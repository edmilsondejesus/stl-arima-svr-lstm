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tr">
        <f>IFERROR(__xludf.DUMMYFUNCTION("GOOGLEFINANCE(""NYSE:IBM"", ""all"", DATE(1980,1,1), DATE(2026,6,8), ""DAILY"")"),"Date")</f>
        <v>Date</v>
      </c>
      <c r="B1" s="2" t="str">
        <f>IFERROR(__xludf.DUMMYFUNCTION("""COMPUTED_VALUE"""),"Open")</f>
        <v>Open</v>
      </c>
      <c r="C1" s="2" t="str">
        <f>IFERROR(__xludf.DUMMYFUNCTION("""COMPUTED_VALUE"""),"High")</f>
        <v>High</v>
      </c>
      <c r="D1" s="2" t="str">
        <f>IFERROR(__xludf.DUMMYFUNCTION("""COMPUTED_VALUE"""),"Low")</f>
        <v>Low</v>
      </c>
      <c r="E1" s="2" t="str">
        <f>IFERROR(__xludf.DUMMYFUNCTION("""COMPUTED_VALUE"""),"Close")</f>
        <v>Close</v>
      </c>
      <c r="F1" s="2" t="str">
        <f>IFERROR(__xludf.DUMMYFUNCTION("""COMPUTED_VALUE"""),"Volume")</f>
        <v>Volume</v>
      </c>
    </row>
    <row r="2">
      <c r="A2" s="3">
        <f>IFERROR(__xludf.DUMMYFUNCTION("""COMPUTED_VALUE"""),29222.666666666668)</f>
        <v>29222.66667</v>
      </c>
      <c r="B2" s="2">
        <f>IFERROR(__xludf.DUMMYFUNCTION("""COMPUTED_VALUE"""),14.92)</f>
        <v>14.92</v>
      </c>
      <c r="C2" s="2">
        <f>IFERROR(__xludf.DUMMYFUNCTION("""COMPUTED_VALUE"""),15.4)</f>
        <v>15.4</v>
      </c>
      <c r="D2" s="2">
        <f>IFERROR(__xludf.DUMMYFUNCTION("""COMPUTED_VALUE"""),14.92)</f>
        <v>14.92</v>
      </c>
      <c r="E2" s="2">
        <f>IFERROR(__xludf.DUMMYFUNCTION("""COMPUTED_VALUE"""),14.92)</f>
        <v>14.92</v>
      </c>
      <c r="F2" s="2">
        <f>IFERROR(__xludf.DUMMYFUNCTION("""COMPUTED_VALUE"""),412000.0)</f>
        <v>412000</v>
      </c>
    </row>
    <row r="3">
      <c r="A3" s="3">
        <f>IFERROR(__xludf.DUMMYFUNCTION("""COMPUTED_VALUE"""),29223.666666666668)</f>
        <v>29223.66667</v>
      </c>
      <c r="B3" s="2">
        <f>IFERROR(__xludf.DUMMYFUNCTION("""COMPUTED_VALUE"""),15.16)</f>
        <v>15.16</v>
      </c>
      <c r="C3" s="2">
        <f>IFERROR(__xludf.DUMMYFUNCTION("""COMPUTED_VALUE"""),15.16)</f>
        <v>15.16</v>
      </c>
      <c r="D3" s="2">
        <f>IFERROR(__xludf.DUMMYFUNCTION("""COMPUTED_VALUE"""),14.63)</f>
        <v>14.63</v>
      </c>
      <c r="E3" s="2">
        <f>IFERROR(__xludf.DUMMYFUNCTION("""COMPUTED_VALUE"""),15.16)</f>
        <v>15.16</v>
      </c>
      <c r="F3" s="2">
        <f>IFERROR(__xludf.DUMMYFUNCTION("""COMPUTED_VALUE"""),610300.0)</f>
        <v>610300</v>
      </c>
    </row>
    <row r="4">
      <c r="A4" s="3">
        <f>IFERROR(__xludf.DUMMYFUNCTION("""COMPUTED_VALUE"""),29224.666666666668)</f>
        <v>29224.66667</v>
      </c>
      <c r="B4" s="2">
        <f>IFERROR(__xludf.DUMMYFUNCTION("""COMPUTED_VALUE"""),15.13)</f>
        <v>15.13</v>
      </c>
      <c r="C4" s="2">
        <f>IFERROR(__xludf.DUMMYFUNCTION("""COMPUTED_VALUE"""),15.22)</f>
        <v>15.22</v>
      </c>
      <c r="D4" s="2">
        <f>IFERROR(__xludf.DUMMYFUNCTION("""COMPUTED_VALUE"""),15.04)</f>
        <v>15.04</v>
      </c>
      <c r="E4" s="2">
        <f>IFERROR(__xludf.DUMMYFUNCTION("""COMPUTED_VALUE"""),15.13)</f>
        <v>15.13</v>
      </c>
      <c r="F4" s="2">
        <f>IFERROR(__xludf.DUMMYFUNCTION("""COMPUTED_VALUE"""),472800.0)</f>
        <v>472800</v>
      </c>
    </row>
    <row r="5">
      <c r="A5" s="3">
        <f>IFERROR(__xludf.DUMMYFUNCTION("""COMPUTED_VALUE"""),29227.666666666668)</f>
        <v>29227.66667</v>
      </c>
      <c r="B5" s="2">
        <f>IFERROR(__xludf.DUMMYFUNCTION("""COMPUTED_VALUE"""),15.07)</f>
        <v>15.07</v>
      </c>
      <c r="C5" s="2">
        <f>IFERROR(__xludf.DUMMYFUNCTION("""COMPUTED_VALUE"""),15.13)</f>
        <v>15.13</v>
      </c>
      <c r="D5" s="2">
        <f>IFERROR(__xludf.DUMMYFUNCTION("""COMPUTED_VALUE"""),14.95)</f>
        <v>14.95</v>
      </c>
      <c r="E5" s="2">
        <f>IFERROR(__xludf.DUMMYFUNCTION("""COMPUTED_VALUE"""),15.07)</f>
        <v>15.07</v>
      </c>
      <c r="F5" s="2">
        <f>IFERROR(__xludf.DUMMYFUNCTION("""COMPUTED_VALUE"""),353900.0)</f>
        <v>353900</v>
      </c>
    </row>
    <row r="6">
      <c r="A6" s="3">
        <f>IFERROR(__xludf.DUMMYFUNCTION("""COMPUTED_VALUE"""),29228.666666666668)</f>
        <v>29228.66667</v>
      </c>
      <c r="B6" s="2">
        <f>IFERROR(__xludf.DUMMYFUNCTION("""COMPUTED_VALUE"""),16.09)</f>
        <v>16.09</v>
      </c>
      <c r="C6" s="2">
        <f>IFERROR(__xludf.DUMMYFUNCTION("""COMPUTED_VALUE"""),16.12)</f>
        <v>16.12</v>
      </c>
      <c r="D6" s="2">
        <f>IFERROR(__xludf.DUMMYFUNCTION("""COMPUTED_VALUE"""),14.95)</f>
        <v>14.95</v>
      </c>
      <c r="E6" s="2">
        <f>IFERROR(__xludf.DUMMYFUNCTION("""COMPUTED_VALUE"""),16.09)</f>
        <v>16.09</v>
      </c>
      <c r="F6" s="2">
        <f>IFERROR(__xludf.DUMMYFUNCTION("""COMPUTED_VALUE"""),709400.0)</f>
        <v>709400</v>
      </c>
    </row>
    <row r="7">
      <c r="A7" s="3">
        <f>IFERROR(__xludf.DUMMYFUNCTION("""COMPUTED_VALUE"""),29229.666666666668)</f>
        <v>29229.66667</v>
      </c>
      <c r="B7" s="2">
        <f>IFERROR(__xludf.DUMMYFUNCTION("""COMPUTED_VALUE"""),15.61)</f>
        <v>15.61</v>
      </c>
      <c r="C7" s="2">
        <f>IFERROR(__xludf.DUMMYFUNCTION("""COMPUTED_VALUE"""),16.24)</f>
        <v>16.24</v>
      </c>
      <c r="D7" s="2">
        <f>IFERROR(__xludf.DUMMYFUNCTION("""COMPUTED_VALUE"""),15.61)</f>
        <v>15.61</v>
      </c>
      <c r="E7" s="2">
        <f>IFERROR(__xludf.DUMMYFUNCTION("""COMPUTED_VALUE"""),15.61)</f>
        <v>15.61</v>
      </c>
      <c r="F7" s="2">
        <f>IFERROR(__xludf.DUMMYFUNCTION("""COMPUTED_VALUE"""),808000.0)</f>
        <v>808000</v>
      </c>
    </row>
    <row r="8">
      <c r="A8" s="3">
        <f>IFERROR(__xludf.DUMMYFUNCTION("""COMPUTED_VALUE"""),29230.666666666668)</f>
        <v>29230.66667</v>
      </c>
      <c r="B8" s="2">
        <f>IFERROR(__xludf.DUMMYFUNCTION("""COMPUTED_VALUE"""),16.12)</f>
        <v>16.12</v>
      </c>
      <c r="C8" s="2">
        <f>IFERROR(__xludf.DUMMYFUNCTION("""COMPUTED_VALUE"""),16.18)</f>
        <v>16.18</v>
      </c>
      <c r="D8" s="2">
        <f>IFERROR(__xludf.DUMMYFUNCTION("""COMPUTED_VALUE"""),15.76)</f>
        <v>15.76</v>
      </c>
      <c r="E8" s="2">
        <f>IFERROR(__xludf.DUMMYFUNCTION("""COMPUTED_VALUE"""),16.12)</f>
        <v>16.12</v>
      </c>
      <c r="F8" s="2">
        <f>IFERROR(__xludf.DUMMYFUNCTION("""COMPUTED_VALUE"""),530400.0)</f>
        <v>530400</v>
      </c>
    </row>
    <row r="9">
      <c r="A9" s="3">
        <f>IFERROR(__xludf.DUMMYFUNCTION("""COMPUTED_VALUE"""),29231.666666666668)</f>
        <v>29231.66667</v>
      </c>
      <c r="B9" s="2">
        <f>IFERROR(__xludf.DUMMYFUNCTION("""COMPUTED_VALUE"""),16.0)</f>
        <v>16</v>
      </c>
      <c r="C9" s="2">
        <f>IFERROR(__xludf.DUMMYFUNCTION("""COMPUTED_VALUE"""),16.3)</f>
        <v>16.3</v>
      </c>
      <c r="D9" s="2">
        <f>IFERROR(__xludf.DUMMYFUNCTION("""COMPUTED_VALUE"""),15.67)</f>
        <v>15.67</v>
      </c>
      <c r="E9" s="2">
        <f>IFERROR(__xludf.DUMMYFUNCTION("""COMPUTED_VALUE"""),16.0)</f>
        <v>16</v>
      </c>
      <c r="F9" s="2">
        <f>IFERROR(__xludf.DUMMYFUNCTION("""COMPUTED_VALUE"""),545000.0)</f>
        <v>545000</v>
      </c>
    </row>
    <row r="10">
      <c r="A10" s="3">
        <f>IFERROR(__xludf.DUMMYFUNCTION("""COMPUTED_VALUE"""),29234.666666666668)</f>
        <v>29234.66667</v>
      </c>
      <c r="B10" s="2">
        <f>IFERROR(__xludf.DUMMYFUNCTION("""COMPUTED_VALUE"""),15.97)</f>
        <v>15.97</v>
      </c>
      <c r="C10" s="2">
        <f>IFERROR(__xludf.DUMMYFUNCTION("""COMPUTED_VALUE"""),16.06)</f>
        <v>16.06</v>
      </c>
      <c r="D10" s="2">
        <f>IFERROR(__xludf.DUMMYFUNCTION("""COMPUTED_VALUE"""),15.82)</f>
        <v>15.82</v>
      </c>
      <c r="E10" s="2">
        <f>IFERROR(__xludf.DUMMYFUNCTION("""COMPUTED_VALUE"""),15.97)</f>
        <v>15.97</v>
      </c>
      <c r="F10" s="2">
        <f>IFERROR(__xludf.DUMMYFUNCTION("""COMPUTED_VALUE"""),397700.0)</f>
        <v>397700</v>
      </c>
    </row>
    <row r="11">
      <c r="A11" s="3">
        <f>IFERROR(__xludf.DUMMYFUNCTION("""COMPUTED_VALUE"""),29235.666666666668)</f>
        <v>29235.66667</v>
      </c>
      <c r="B11" s="2">
        <f>IFERROR(__xludf.DUMMYFUNCTION("""COMPUTED_VALUE"""),16.75)</f>
        <v>16.75</v>
      </c>
      <c r="C11" s="2">
        <f>IFERROR(__xludf.DUMMYFUNCTION("""COMPUTED_VALUE"""),16.78)</f>
        <v>16.78</v>
      </c>
      <c r="D11" s="2">
        <f>IFERROR(__xludf.DUMMYFUNCTION("""COMPUTED_VALUE"""),15.88)</f>
        <v>15.88</v>
      </c>
      <c r="E11" s="2">
        <f>IFERROR(__xludf.DUMMYFUNCTION("""COMPUTED_VALUE"""),16.75)</f>
        <v>16.75</v>
      </c>
      <c r="F11" s="2">
        <f>IFERROR(__xludf.DUMMYFUNCTION("""COMPUTED_VALUE"""),937500.0)</f>
        <v>937500</v>
      </c>
    </row>
    <row r="12">
      <c r="A12" s="3">
        <f>IFERROR(__xludf.DUMMYFUNCTION("""COMPUTED_VALUE"""),29236.666666666668)</f>
        <v>29236.66667</v>
      </c>
      <c r="B12" s="2">
        <f>IFERROR(__xludf.DUMMYFUNCTION("""COMPUTED_VALUE"""),16.72)</f>
        <v>16.72</v>
      </c>
      <c r="C12" s="2">
        <f>IFERROR(__xludf.DUMMYFUNCTION("""COMPUTED_VALUE"""),16.92)</f>
        <v>16.92</v>
      </c>
      <c r="D12" s="2">
        <f>IFERROR(__xludf.DUMMYFUNCTION("""COMPUTED_VALUE"""),16.66)</f>
        <v>16.66</v>
      </c>
      <c r="E12" s="2">
        <f>IFERROR(__xludf.DUMMYFUNCTION("""COMPUTED_VALUE"""),16.72)</f>
        <v>16.72</v>
      </c>
      <c r="F12" s="2">
        <f>IFERROR(__xludf.DUMMYFUNCTION("""COMPUTED_VALUE"""),1502000.0)</f>
        <v>1502000</v>
      </c>
    </row>
    <row r="13">
      <c r="A13" s="3">
        <f>IFERROR(__xludf.DUMMYFUNCTION("""COMPUTED_VALUE"""),29237.666666666668)</f>
        <v>29237.66667</v>
      </c>
      <c r="B13" s="2">
        <f>IFERROR(__xludf.DUMMYFUNCTION("""COMPUTED_VALUE"""),16.54)</f>
        <v>16.54</v>
      </c>
      <c r="C13" s="2">
        <f>IFERROR(__xludf.DUMMYFUNCTION("""COMPUTED_VALUE"""),16.8)</f>
        <v>16.8</v>
      </c>
      <c r="D13" s="2">
        <f>IFERROR(__xludf.DUMMYFUNCTION("""COMPUTED_VALUE"""),16.54)</f>
        <v>16.54</v>
      </c>
      <c r="E13" s="2">
        <f>IFERROR(__xludf.DUMMYFUNCTION("""COMPUTED_VALUE"""),16.54)</f>
        <v>16.54</v>
      </c>
      <c r="F13" s="2">
        <f>IFERROR(__xludf.DUMMYFUNCTION("""COMPUTED_VALUE"""),613000.0)</f>
        <v>613000</v>
      </c>
    </row>
    <row r="14">
      <c r="A14" s="3">
        <f>IFERROR(__xludf.DUMMYFUNCTION("""COMPUTED_VALUE"""),29238.666666666668)</f>
        <v>29238.66667</v>
      </c>
      <c r="B14" s="2">
        <f>IFERROR(__xludf.DUMMYFUNCTION("""COMPUTED_VALUE"""),16.63)</f>
        <v>16.63</v>
      </c>
      <c r="C14" s="2">
        <f>IFERROR(__xludf.DUMMYFUNCTION("""COMPUTED_VALUE"""),16.66)</f>
        <v>16.66</v>
      </c>
      <c r="D14" s="2">
        <f>IFERROR(__xludf.DUMMYFUNCTION("""COMPUTED_VALUE"""),16.39)</f>
        <v>16.39</v>
      </c>
      <c r="E14" s="2">
        <f>IFERROR(__xludf.DUMMYFUNCTION("""COMPUTED_VALUE"""),16.63)</f>
        <v>16.63</v>
      </c>
      <c r="F14" s="2">
        <f>IFERROR(__xludf.DUMMYFUNCTION("""COMPUTED_VALUE"""),653100.0)</f>
        <v>653100</v>
      </c>
    </row>
    <row r="15">
      <c r="A15" s="3">
        <f>IFERROR(__xludf.DUMMYFUNCTION("""COMPUTED_VALUE"""),29241.666666666668)</f>
        <v>29241.66667</v>
      </c>
      <c r="B15" s="2">
        <f>IFERROR(__xludf.DUMMYFUNCTION("""COMPUTED_VALUE"""),16.48)</f>
        <v>16.48</v>
      </c>
      <c r="C15" s="2">
        <f>IFERROR(__xludf.DUMMYFUNCTION("""COMPUTED_VALUE"""),16.69)</f>
        <v>16.69</v>
      </c>
      <c r="D15" s="2">
        <f>IFERROR(__xludf.DUMMYFUNCTION("""COMPUTED_VALUE"""),16.48)</f>
        <v>16.48</v>
      </c>
      <c r="E15" s="2">
        <f>IFERROR(__xludf.DUMMYFUNCTION("""COMPUTED_VALUE"""),16.48)</f>
        <v>16.48</v>
      </c>
      <c r="F15" s="2">
        <f>IFERROR(__xludf.DUMMYFUNCTION("""COMPUTED_VALUE"""),372200.0)</f>
        <v>372200</v>
      </c>
    </row>
    <row r="16">
      <c r="A16" s="3">
        <f>IFERROR(__xludf.DUMMYFUNCTION("""COMPUTED_VALUE"""),29242.666666666668)</f>
        <v>29242.66667</v>
      </c>
      <c r="B16" s="2">
        <f>IFERROR(__xludf.DUMMYFUNCTION("""COMPUTED_VALUE"""),16.48)</f>
        <v>16.48</v>
      </c>
      <c r="C16" s="2">
        <f>IFERROR(__xludf.DUMMYFUNCTION("""COMPUTED_VALUE"""),16.69)</f>
        <v>16.69</v>
      </c>
      <c r="D16" s="2">
        <f>IFERROR(__xludf.DUMMYFUNCTION("""COMPUTED_VALUE"""),16.48)</f>
        <v>16.48</v>
      </c>
      <c r="E16" s="2">
        <f>IFERROR(__xludf.DUMMYFUNCTION("""COMPUTED_VALUE"""),16.48)</f>
        <v>16.48</v>
      </c>
      <c r="F16" s="2">
        <f>IFERROR(__xludf.DUMMYFUNCTION("""COMPUTED_VALUE"""),422100.0)</f>
        <v>422100</v>
      </c>
    </row>
    <row r="17">
      <c r="A17" s="3">
        <f>IFERROR(__xludf.DUMMYFUNCTION("""COMPUTED_VALUE"""),29243.666666666668)</f>
        <v>29243.66667</v>
      </c>
      <c r="B17" s="2">
        <f>IFERROR(__xludf.DUMMYFUNCTION("""COMPUTED_VALUE"""),17.01)</f>
        <v>17.01</v>
      </c>
      <c r="C17" s="2">
        <f>IFERROR(__xludf.DUMMYFUNCTION("""COMPUTED_VALUE"""),17.01)</f>
        <v>17.01</v>
      </c>
      <c r="D17" s="2">
        <f>IFERROR(__xludf.DUMMYFUNCTION("""COMPUTED_VALUE"""),16.48)</f>
        <v>16.48</v>
      </c>
      <c r="E17" s="2">
        <f>IFERROR(__xludf.DUMMYFUNCTION("""COMPUTED_VALUE"""),17.01)</f>
        <v>17.01</v>
      </c>
      <c r="F17" s="2">
        <f>IFERROR(__xludf.DUMMYFUNCTION("""COMPUTED_VALUE"""),530200.0)</f>
        <v>530200</v>
      </c>
    </row>
    <row r="18">
      <c r="A18" s="3">
        <f>IFERROR(__xludf.DUMMYFUNCTION("""COMPUTED_VALUE"""),29244.666666666668)</f>
        <v>29244.66667</v>
      </c>
      <c r="B18" s="2">
        <f>IFERROR(__xludf.DUMMYFUNCTION("""COMPUTED_VALUE"""),16.86)</f>
        <v>16.86</v>
      </c>
      <c r="C18" s="2">
        <f>IFERROR(__xludf.DUMMYFUNCTION("""COMPUTED_VALUE"""),17.07)</f>
        <v>17.07</v>
      </c>
      <c r="D18" s="2">
        <f>IFERROR(__xludf.DUMMYFUNCTION("""COMPUTED_VALUE"""),16.75)</f>
        <v>16.75</v>
      </c>
      <c r="E18" s="2">
        <f>IFERROR(__xludf.DUMMYFUNCTION("""COMPUTED_VALUE"""),16.86)</f>
        <v>16.86</v>
      </c>
      <c r="F18" s="2">
        <f>IFERROR(__xludf.DUMMYFUNCTION("""COMPUTED_VALUE"""),547600.0)</f>
        <v>547600</v>
      </c>
    </row>
    <row r="19">
      <c r="A19" s="3">
        <f>IFERROR(__xludf.DUMMYFUNCTION("""COMPUTED_VALUE"""),29245.666666666668)</f>
        <v>29245.66667</v>
      </c>
      <c r="B19" s="2">
        <f>IFERROR(__xludf.DUMMYFUNCTION("""COMPUTED_VALUE"""),16.75)</f>
        <v>16.75</v>
      </c>
      <c r="C19" s="2">
        <f>IFERROR(__xludf.DUMMYFUNCTION("""COMPUTED_VALUE"""),16.89)</f>
        <v>16.89</v>
      </c>
      <c r="D19" s="2">
        <f>IFERROR(__xludf.DUMMYFUNCTION("""COMPUTED_VALUE"""),16.69)</f>
        <v>16.69</v>
      </c>
      <c r="E19" s="2">
        <f>IFERROR(__xludf.DUMMYFUNCTION("""COMPUTED_VALUE"""),16.75)</f>
        <v>16.75</v>
      </c>
      <c r="F19" s="2">
        <f>IFERROR(__xludf.DUMMYFUNCTION("""COMPUTED_VALUE"""),335900.0)</f>
        <v>335900</v>
      </c>
    </row>
    <row r="20">
      <c r="A20" s="3">
        <f>IFERROR(__xludf.DUMMYFUNCTION("""COMPUTED_VALUE"""),29248.666666666668)</f>
        <v>29248.66667</v>
      </c>
      <c r="B20" s="2">
        <f>IFERROR(__xludf.DUMMYFUNCTION("""COMPUTED_VALUE"""),16.95)</f>
        <v>16.95</v>
      </c>
      <c r="C20" s="2">
        <f>IFERROR(__xludf.DUMMYFUNCTION("""COMPUTED_VALUE"""),17.19)</f>
        <v>17.19</v>
      </c>
      <c r="D20" s="2">
        <f>IFERROR(__xludf.DUMMYFUNCTION("""COMPUTED_VALUE"""),16.75)</f>
        <v>16.75</v>
      </c>
      <c r="E20" s="2">
        <f>IFERROR(__xludf.DUMMYFUNCTION("""COMPUTED_VALUE"""),16.95)</f>
        <v>16.95</v>
      </c>
      <c r="F20" s="2">
        <f>IFERROR(__xludf.DUMMYFUNCTION("""COMPUTED_VALUE"""),364000.0)</f>
        <v>364000</v>
      </c>
    </row>
    <row r="21">
      <c r="A21" s="3">
        <f>IFERROR(__xludf.DUMMYFUNCTION("""COMPUTED_VALUE"""),29249.666666666668)</f>
        <v>29249.66667</v>
      </c>
      <c r="B21" s="2">
        <f>IFERROR(__xludf.DUMMYFUNCTION("""COMPUTED_VALUE"""),16.8)</f>
        <v>16.8</v>
      </c>
      <c r="C21" s="2">
        <f>IFERROR(__xludf.DUMMYFUNCTION("""COMPUTED_VALUE"""),17.04)</f>
        <v>17.04</v>
      </c>
      <c r="D21" s="2">
        <f>IFERROR(__xludf.DUMMYFUNCTION("""COMPUTED_VALUE"""),16.57)</f>
        <v>16.57</v>
      </c>
      <c r="E21" s="2">
        <f>IFERROR(__xludf.DUMMYFUNCTION("""COMPUTED_VALUE"""),16.8)</f>
        <v>16.8</v>
      </c>
      <c r="F21" s="2">
        <f>IFERROR(__xludf.DUMMYFUNCTION("""COMPUTED_VALUE"""),357700.0)</f>
        <v>357700</v>
      </c>
    </row>
    <row r="22">
      <c r="A22" s="3">
        <f>IFERROR(__xludf.DUMMYFUNCTION("""COMPUTED_VALUE"""),29250.666666666668)</f>
        <v>29250.66667</v>
      </c>
      <c r="B22" s="2">
        <f>IFERROR(__xludf.DUMMYFUNCTION("""COMPUTED_VALUE"""),16.8)</f>
        <v>16.8</v>
      </c>
      <c r="C22" s="2">
        <f>IFERROR(__xludf.DUMMYFUNCTION("""COMPUTED_VALUE"""),16.86)</f>
        <v>16.86</v>
      </c>
      <c r="D22" s="2">
        <f>IFERROR(__xludf.DUMMYFUNCTION("""COMPUTED_VALUE"""),16.63)</f>
        <v>16.63</v>
      </c>
      <c r="E22" s="2">
        <f>IFERROR(__xludf.DUMMYFUNCTION("""COMPUTED_VALUE"""),16.8)</f>
        <v>16.8</v>
      </c>
      <c r="F22" s="2">
        <f>IFERROR(__xludf.DUMMYFUNCTION("""COMPUTED_VALUE"""),347100.0)</f>
        <v>347100</v>
      </c>
    </row>
    <row r="23">
      <c r="A23" s="3">
        <f>IFERROR(__xludf.DUMMYFUNCTION("""COMPUTED_VALUE"""),29251.666666666668)</f>
        <v>29251.66667</v>
      </c>
      <c r="B23" s="2">
        <f>IFERROR(__xludf.DUMMYFUNCTION("""COMPUTED_VALUE"""),16.39)</f>
        <v>16.39</v>
      </c>
      <c r="C23" s="2">
        <f>IFERROR(__xludf.DUMMYFUNCTION("""COMPUTED_VALUE"""),16.98)</f>
        <v>16.98</v>
      </c>
      <c r="D23" s="2">
        <f>IFERROR(__xludf.DUMMYFUNCTION("""COMPUTED_VALUE"""),16.3)</f>
        <v>16.3</v>
      </c>
      <c r="E23" s="2">
        <f>IFERROR(__xludf.DUMMYFUNCTION("""COMPUTED_VALUE"""),16.39)</f>
        <v>16.39</v>
      </c>
      <c r="F23" s="2">
        <f>IFERROR(__xludf.DUMMYFUNCTION("""COMPUTED_VALUE"""),586000.0)</f>
        <v>586000</v>
      </c>
    </row>
    <row r="24">
      <c r="A24" s="3">
        <f>IFERROR(__xludf.DUMMYFUNCTION("""COMPUTED_VALUE"""),29252.666666666668)</f>
        <v>29252.66667</v>
      </c>
      <c r="B24" s="2">
        <f>IFERROR(__xludf.DUMMYFUNCTION("""COMPUTED_VALUE"""),16.57)</f>
        <v>16.57</v>
      </c>
      <c r="C24" s="2">
        <f>IFERROR(__xludf.DUMMYFUNCTION("""COMPUTED_VALUE"""),16.6)</f>
        <v>16.6</v>
      </c>
      <c r="D24" s="2">
        <f>IFERROR(__xludf.DUMMYFUNCTION("""COMPUTED_VALUE"""),16.33)</f>
        <v>16.33</v>
      </c>
      <c r="E24" s="2">
        <f>IFERROR(__xludf.DUMMYFUNCTION("""COMPUTED_VALUE"""),16.57)</f>
        <v>16.57</v>
      </c>
      <c r="F24" s="2">
        <f>IFERROR(__xludf.DUMMYFUNCTION("""COMPUTED_VALUE"""),361700.0)</f>
        <v>361700</v>
      </c>
    </row>
    <row r="25">
      <c r="A25" s="3">
        <f>IFERROR(__xludf.DUMMYFUNCTION("""COMPUTED_VALUE"""),29255.666666666668)</f>
        <v>29255.66667</v>
      </c>
      <c r="B25" s="2">
        <f>IFERROR(__xludf.DUMMYFUNCTION("""COMPUTED_VALUE"""),16.51)</f>
        <v>16.51</v>
      </c>
      <c r="C25" s="2">
        <f>IFERROR(__xludf.DUMMYFUNCTION("""COMPUTED_VALUE"""),16.63)</f>
        <v>16.63</v>
      </c>
      <c r="D25" s="2">
        <f>IFERROR(__xludf.DUMMYFUNCTION("""COMPUTED_VALUE"""),16.39)</f>
        <v>16.39</v>
      </c>
      <c r="E25" s="2">
        <f>IFERROR(__xludf.DUMMYFUNCTION("""COMPUTED_VALUE"""),16.51)</f>
        <v>16.51</v>
      </c>
      <c r="F25" s="2">
        <f>IFERROR(__xludf.DUMMYFUNCTION("""COMPUTED_VALUE"""),288200.0)</f>
        <v>288200</v>
      </c>
    </row>
    <row r="26">
      <c r="A26" s="3">
        <f>IFERROR(__xludf.DUMMYFUNCTION("""COMPUTED_VALUE"""),29256.666666666668)</f>
        <v>29256.66667</v>
      </c>
      <c r="B26" s="2">
        <f>IFERROR(__xludf.DUMMYFUNCTION("""COMPUTED_VALUE"""),16.63)</f>
        <v>16.63</v>
      </c>
      <c r="C26" s="2">
        <f>IFERROR(__xludf.DUMMYFUNCTION("""COMPUTED_VALUE"""),16.63)</f>
        <v>16.63</v>
      </c>
      <c r="D26" s="2">
        <f>IFERROR(__xludf.DUMMYFUNCTION("""COMPUTED_VALUE"""),16.42)</f>
        <v>16.42</v>
      </c>
      <c r="E26" s="2">
        <f>IFERROR(__xludf.DUMMYFUNCTION("""COMPUTED_VALUE"""),16.63)</f>
        <v>16.63</v>
      </c>
      <c r="F26" s="2">
        <f>IFERROR(__xludf.DUMMYFUNCTION("""COMPUTED_VALUE"""),381400.0)</f>
        <v>381400</v>
      </c>
    </row>
    <row r="27">
      <c r="A27" s="3">
        <f>IFERROR(__xludf.DUMMYFUNCTION("""COMPUTED_VALUE"""),29257.666666666668)</f>
        <v>29257.66667</v>
      </c>
      <c r="B27" s="2">
        <f>IFERROR(__xludf.DUMMYFUNCTION("""COMPUTED_VALUE"""),16.33)</f>
        <v>16.33</v>
      </c>
      <c r="C27" s="2">
        <f>IFERROR(__xludf.DUMMYFUNCTION("""COMPUTED_VALUE"""),16.48)</f>
        <v>16.48</v>
      </c>
      <c r="D27" s="2">
        <f>IFERROR(__xludf.DUMMYFUNCTION("""COMPUTED_VALUE"""),16.18)</f>
        <v>16.18</v>
      </c>
      <c r="E27" s="2">
        <f>IFERROR(__xludf.DUMMYFUNCTION("""COMPUTED_VALUE"""),16.33)</f>
        <v>16.33</v>
      </c>
      <c r="F27" s="2">
        <f>IFERROR(__xludf.DUMMYFUNCTION("""COMPUTED_VALUE"""),509800.0)</f>
        <v>509800</v>
      </c>
    </row>
    <row r="28">
      <c r="A28" s="3">
        <f>IFERROR(__xludf.DUMMYFUNCTION("""COMPUTED_VALUE"""),29258.666666666668)</f>
        <v>29258.66667</v>
      </c>
      <c r="B28" s="2">
        <f>IFERROR(__xludf.DUMMYFUNCTION("""COMPUTED_VALUE"""),16.03)</f>
        <v>16.03</v>
      </c>
      <c r="C28" s="2">
        <f>IFERROR(__xludf.DUMMYFUNCTION("""COMPUTED_VALUE"""),16.3)</f>
        <v>16.3</v>
      </c>
      <c r="D28" s="2">
        <f>IFERROR(__xludf.DUMMYFUNCTION("""COMPUTED_VALUE"""),16.03)</f>
        <v>16.03</v>
      </c>
      <c r="E28" s="2">
        <f>IFERROR(__xludf.DUMMYFUNCTION("""COMPUTED_VALUE"""),16.03)</f>
        <v>16.03</v>
      </c>
      <c r="F28" s="2">
        <f>IFERROR(__xludf.DUMMYFUNCTION("""COMPUTED_VALUE"""),512800.0)</f>
        <v>512800</v>
      </c>
    </row>
    <row r="29">
      <c r="A29" s="3">
        <f>IFERROR(__xludf.DUMMYFUNCTION("""COMPUTED_VALUE"""),29259.666666666668)</f>
        <v>29259.66667</v>
      </c>
      <c r="B29" s="2">
        <f>IFERROR(__xludf.DUMMYFUNCTION("""COMPUTED_VALUE"""),16.06)</f>
        <v>16.06</v>
      </c>
      <c r="C29" s="2">
        <f>IFERROR(__xludf.DUMMYFUNCTION("""COMPUTED_VALUE"""),16.15)</f>
        <v>16.15</v>
      </c>
      <c r="D29" s="2">
        <f>IFERROR(__xludf.DUMMYFUNCTION("""COMPUTED_VALUE"""),15.82)</f>
        <v>15.82</v>
      </c>
      <c r="E29" s="2">
        <f>IFERROR(__xludf.DUMMYFUNCTION("""COMPUTED_VALUE"""),16.06)</f>
        <v>16.06</v>
      </c>
      <c r="F29" s="2">
        <f>IFERROR(__xludf.DUMMYFUNCTION("""COMPUTED_VALUE"""),628900.0)</f>
        <v>628900</v>
      </c>
    </row>
    <row r="30">
      <c r="A30" s="3">
        <f>IFERROR(__xludf.DUMMYFUNCTION("""COMPUTED_VALUE"""),29262.666666666668)</f>
        <v>29262.66667</v>
      </c>
      <c r="B30" s="2">
        <f>IFERROR(__xludf.DUMMYFUNCTION("""COMPUTED_VALUE"""),15.94)</f>
        <v>15.94</v>
      </c>
      <c r="C30" s="2">
        <f>IFERROR(__xludf.DUMMYFUNCTION("""COMPUTED_VALUE"""),16.12)</f>
        <v>16.12</v>
      </c>
      <c r="D30" s="2">
        <f>IFERROR(__xludf.DUMMYFUNCTION("""COMPUTED_VALUE"""),15.88)</f>
        <v>15.88</v>
      </c>
      <c r="E30" s="2">
        <f>IFERROR(__xludf.DUMMYFUNCTION("""COMPUTED_VALUE"""),15.94)</f>
        <v>15.94</v>
      </c>
      <c r="F30" s="2">
        <f>IFERROR(__xludf.DUMMYFUNCTION("""COMPUTED_VALUE"""),397500.0)</f>
        <v>397500</v>
      </c>
    </row>
    <row r="31">
      <c r="A31" s="3">
        <f>IFERROR(__xludf.DUMMYFUNCTION("""COMPUTED_VALUE"""),29263.666666666668)</f>
        <v>29263.66667</v>
      </c>
      <c r="B31" s="2">
        <f>IFERROR(__xludf.DUMMYFUNCTION("""COMPUTED_VALUE"""),16.45)</f>
        <v>16.45</v>
      </c>
      <c r="C31" s="2">
        <f>IFERROR(__xludf.DUMMYFUNCTION("""COMPUTED_VALUE"""),16.45)</f>
        <v>16.45</v>
      </c>
      <c r="D31" s="2">
        <f>IFERROR(__xludf.DUMMYFUNCTION("""COMPUTED_VALUE"""),15.85)</f>
        <v>15.85</v>
      </c>
      <c r="E31" s="2">
        <f>IFERROR(__xludf.DUMMYFUNCTION("""COMPUTED_VALUE"""),16.45)</f>
        <v>16.45</v>
      </c>
      <c r="F31" s="2">
        <f>IFERROR(__xludf.DUMMYFUNCTION("""COMPUTED_VALUE"""),387100.0)</f>
        <v>387100</v>
      </c>
    </row>
    <row r="32">
      <c r="A32" s="3">
        <f>IFERROR(__xludf.DUMMYFUNCTION("""COMPUTED_VALUE"""),29264.666666666668)</f>
        <v>29264.66667</v>
      </c>
      <c r="B32" s="2">
        <f>IFERROR(__xludf.DUMMYFUNCTION("""COMPUTED_VALUE"""),16.57)</f>
        <v>16.57</v>
      </c>
      <c r="C32" s="2">
        <f>IFERROR(__xludf.DUMMYFUNCTION("""COMPUTED_VALUE"""),16.83)</f>
        <v>16.83</v>
      </c>
      <c r="D32" s="2">
        <f>IFERROR(__xludf.DUMMYFUNCTION("""COMPUTED_VALUE"""),16.54)</f>
        <v>16.54</v>
      </c>
      <c r="E32" s="2">
        <f>IFERROR(__xludf.DUMMYFUNCTION("""COMPUTED_VALUE"""),16.57)</f>
        <v>16.57</v>
      </c>
      <c r="F32" s="2">
        <f>IFERROR(__xludf.DUMMYFUNCTION("""COMPUTED_VALUE"""),807000.0)</f>
        <v>807000</v>
      </c>
    </row>
    <row r="33">
      <c r="A33" s="3">
        <f>IFERROR(__xludf.DUMMYFUNCTION("""COMPUTED_VALUE"""),29265.666666666668)</f>
        <v>29265.66667</v>
      </c>
      <c r="B33" s="2">
        <f>IFERROR(__xludf.DUMMYFUNCTION("""COMPUTED_VALUE"""),16.27)</f>
        <v>16.27</v>
      </c>
      <c r="C33" s="2">
        <f>IFERROR(__xludf.DUMMYFUNCTION("""COMPUTED_VALUE"""),16.78)</f>
        <v>16.78</v>
      </c>
      <c r="D33" s="2">
        <f>IFERROR(__xludf.DUMMYFUNCTION("""COMPUTED_VALUE"""),16.27)</f>
        <v>16.27</v>
      </c>
      <c r="E33" s="2">
        <f>IFERROR(__xludf.DUMMYFUNCTION("""COMPUTED_VALUE"""),16.27)</f>
        <v>16.27</v>
      </c>
      <c r="F33" s="2">
        <f>IFERROR(__xludf.DUMMYFUNCTION("""COMPUTED_VALUE"""),480000.0)</f>
        <v>480000</v>
      </c>
    </row>
    <row r="34">
      <c r="A34" s="3">
        <f>IFERROR(__xludf.DUMMYFUNCTION("""COMPUTED_VALUE"""),29266.666666666668)</f>
        <v>29266.66667</v>
      </c>
      <c r="B34" s="2">
        <f>IFERROR(__xludf.DUMMYFUNCTION("""COMPUTED_VALUE"""),16.15)</f>
        <v>16.15</v>
      </c>
      <c r="C34" s="2">
        <f>IFERROR(__xludf.DUMMYFUNCTION("""COMPUTED_VALUE"""),16.24)</f>
        <v>16.24</v>
      </c>
      <c r="D34" s="2">
        <f>IFERROR(__xludf.DUMMYFUNCTION("""COMPUTED_VALUE"""),16.03)</f>
        <v>16.03</v>
      </c>
      <c r="E34" s="2">
        <f>IFERROR(__xludf.DUMMYFUNCTION("""COMPUTED_VALUE"""),16.15)</f>
        <v>16.15</v>
      </c>
      <c r="F34" s="2">
        <f>IFERROR(__xludf.DUMMYFUNCTION("""COMPUTED_VALUE"""),582800.0)</f>
        <v>582800</v>
      </c>
    </row>
    <row r="35">
      <c r="A35" s="3">
        <f>IFERROR(__xludf.DUMMYFUNCTION("""COMPUTED_VALUE"""),29270.666666666668)</f>
        <v>29270.66667</v>
      </c>
      <c r="B35" s="2">
        <f>IFERROR(__xludf.DUMMYFUNCTION("""COMPUTED_VALUE"""),16.0)</f>
        <v>16</v>
      </c>
      <c r="C35" s="2">
        <f>IFERROR(__xludf.DUMMYFUNCTION("""COMPUTED_VALUE"""),16.18)</f>
        <v>16.18</v>
      </c>
      <c r="D35" s="2">
        <f>IFERROR(__xludf.DUMMYFUNCTION("""COMPUTED_VALUE"""),15.85)</f>
        <v>15.85</v>
      </c>
      <c r="E35" s="2">
        <f>IFERROR(__xludf.DUMMYFUNCTION("""COMPUTED_VALUE"""),16.0)</f>
        <v>16</v>
      </c>
      <c r="F35" s="2">
        <f>IFERROR(__xludf.DUMMYFUNCTION("""COMPUTED_VALUE"""),449000.0)</f>
        <v>449000</v>
      </c>
    </row>
    <row r="36">
      <c r="A36" s="3">
        <f>IFERROR(__xludf.DUMMYFUNCTION("""COMPUTED_VALUE"""),29271.666666666668)</f>
        <v>29271.66667</v>
      </c>
      <c r="B36" s="2">
        <f>IFERROR(__xludf.DUMMYFUNCTION("""COMPUTED_VALUE"""),16.06)</f>
        <v>16.06</v>
      </c>
      <c r="C36" s="2">
        <f>IFERROR(__xludf.DUMMYFUNCTION("""COMPUTED_VALUE"""),16.18)</f>
        <v>16.18</v>
      </c>
      <c r="D36" s="2">
        <f>IFERROR(__xludf.DUMMYFUNCTION("""COMPUTED_VALUE"""),16.03)</f>
        <v>16.03</v>
      </c>
      <c r="E36" s="2">
        <f>IFERROR(__xludf.DUMMYFUNCTION("""COMPUTED_VALUE"""),16.06)</f>
        <v>16.06</v>
      </c>
      <c r="F36" s="2">
        <f>IFERROR(__xludf.DUMMYFUNCTION("""COMPUTED_VALUE"""),266000.0)</f>
        <v>266000</v>
      </c>
    </row>
    <row r="37">
      <c r="A37" s="3">
        <f>IFERROR(__xludf.DUMMYFUNCTION("""COMPUTED_VALUE"""),29272.666666666668)</f>
        <v>29272.66667</v>
      </c>
      <c r="B37" s="2">
        <f>IFERROR(__xludf.DUMMYFUNCTION("""COMPUTED_VALUE"""),15.82)</f>
        <v>15.82</v>
      </c>
      <c r="C37" s="2">
        <f>IFERROR(__xludf.DUMMYFUNCTION("""COMPUTED_VALUE"""),16.03)</f>
        <v>16.03</v>
      </c>
      <c r="D37" s="2">
        <f>IFERROR(__xludf.DUMMYFUNCTION("""COMPUTED_VALUE"""),15.73)</f>
        <v>15.73</v>
      </c>
      <c r="E37" s="2">
        <f>IFERROR(__xludf.DUMMYFUNCTION("""COMPUTED_VALUE"""),15.82)</f>
        <v>15.82</v>
      </c>
      <c r="F37" s="2">
        <f>IFERROR(__xludf.DUMMYFUNCTION("""COMPUTED_VALUE"""),359000.0)</f>
        <v>359000</v>
      </c>
    </row>
    <row r="38">
      <c r="A38" s="3">
        <f>IFERROR(__xludf.DUMMYFUNCTION("""COMPUTED_VALUE"""),29273.666666666668)</f>
        <v>29273.66667</v>
      </c>
      <c r="B38" s="2">
        <f>IFERROR(__xludf.DUMMYFUNCTION("""COMPUTED_VALUE"""),15.76)</f>
        <v>15.76</v>
      </c>
      <c r="C38" s="2">
        <f>IFERROR(__xludf.DUMMYFUNCTION("""COMPUTED_VALUE"""),15.82)</f>
        <v>15.82</v>
      </c>
      <c r="D38" s="2">
        <f>IFERROR(__xludf.DUMMYFUNCTION("""COMPUTED_VALUE"""),15.64)</f>
        <v>15.64</v>
      </c>
      <c r="E38" s="2">
        <f>IFERROR(__xludf.DUMMYFUNCTION("""COMPUTED_VALUE"""),15.76)</f>
        <v>15.76</v>
      </c>
      <c r="F38" s="2">
        <f>IFERROR(__xludf.DUMMYFUNCTION("""COMPUTED_VALUE"""),456700.0)</f>
        <v>456700</v>
      </c>
    </row>
    <row r="39">
      <c r="A39" s="3">
        <f>IFERROR(__xludf.DUMMYFUNCTION("""COMPUTED_VALUE"""),29276.666666666668)</f>
        <v>29276.66667</v>
      </c>
      <c r="B39" s="2">
        <f>IFERROR(__xludf.DUMMYFUNCTION("""COMPUTED_VALUE"""),15.55)</f>
        <v>15.55</v>
      </c>
      <c r="C39" s="2">
        <f>IFERROR(__xludf.DUMMYFUNCTION("""COMPUTED_VALUE"""),15.73)</f>
        <v>15.73</v>
      </c>
      <c r="D39" s="2">
        <f>IFERROR(__xludf.DUMMYFUNCTION("""COMPUTED_VALUE"""),15.49)</f>
        <v>15.49</v>
      </c>
      <c r="E39" s="2">
        <f>IFERROR(__xludf.DUMMYFUNCTION("""COMPUTED_VALUE"""),15.55)</f>
        <v>15.55</v>
      </c>
      <c r="F39" s="2">
        <f>IFERROR(__xludf.DUMMYFUNCTION("""COMPUTED_VALUE"""),543300.0)</f>
        <v>543300</v>
      </c>
    </row>
    <row r="40">
      <c r="A40" s="3">
        <f>IFERROR(__xludf.DUMMYFUNCTION("""COMPUTED_VALUE"""),29277.666666666668)</f>
        <v>29277.66667</v>
      </c>
      <c r="B40" s="2">
        <f>IFERROR(__xludf.DUMMYFUNCTION("""COMPUTED_VALUE"""),15.52)</f>
        <v>15.52</v>
      </c>
      <c r="C40" s="2">
        <f>IFERROR(__xludf.DUMMYFUNCTION("""COMPUTED_VALUE"""),15.61)</f>
        <v>15.61</v>
      </c>
      <c r="D40" s="2">
        <f>IFERROR(__xludf.DUMMYFUNCTION("""COMPUTED_VALUE"""),15.43)</f>
        <v>15.43</v>
      </c>
      <c r="E40" s="2">
        <f>IFERROR(__xludf.DUMMYFUNCTION("""COMPUTED_VALUE"""),15.52)</f>
        <v>15.52</v>
      </c>
      <c r="F40" s="2">
        <f>IFERROR(__xludf.DUMMYFUNCTION("""COMPUTED_VALUE"""),528000.0)</f>
        <v>528000</v>
      </c>
    </row>
    <row r="41">
      <c r="A41" s="3">
        <f>IFERROR(__xludf.DUMMYFUNCTION("""COMPUTED_VALUE"""),29278.666666666668)</f>
        <v>29278.66667</v>
      </c>
      <c r="B41" s="2">
        <f>IFERROR(__xludf.DUMMYFUNCTION("""COMPUTED_VALUE"""),14.81)</f>
        <v>14.81</v>
      </c>
      <c r="C41" s="2">
        <f>IFERROR(__xludf.DUMMYFUNCTION("""COMPUTED_VALUE"""),15.55)</f>
        <v>15.55</v>
      </c>
      <c r="D41" s="2">
        <f>IFERROR(__xludf.DUMMYFUNCTION("""COMPUTED_VALUE"""),14.81)</f>
        <v>14.81</v>
      </c>
      <c r="E41" s="2">
        <f>IFERROR(__xludf.DUMMYFUNCTION("""COMPUTED_VALUE"""),14.81)</f>
        <v>14.81</v>
      </c>
      <c r="F41" s="2">
        <f>IFERROR(__xludf.DUMMYFUNCTION("""COMPUTED_VALUE"""),688700.0)</f>
        <v>688700</v>
      </c>
    </row>
    <row r="42">
      <c r="A42" s="3">
        <f>IFERROR(__xludf.DUMMYFUNCTION("""COMPUTED_VALUE"""),29279.666666666668)</f>
        <v>29279.66667</v>
      </c>
      <c r="B42" s="2">
        <f>IFERROR(__xludf.DUMMYFUNCTION("""COMPUTED_VALUE"""),15.13)</f>
        <v>15.13</v>
      </c>
      <c r="C42" s="2">
        <f>IFERROR(__xludf.DUMMYFUNCTION("""COMPUTED_VALUE"""),15.28)</f>
        <v>15.28</v>
      </c>
      <c r="D42" s="2">
        <f>IFERROR(__xludf.DUMMYFUNCTION("""COMPUTED_VALUE"""),14.83)</f>
        <v>14.83</v>
      </c>
      <c r="E42" s="2">
        <f>IFERROR(__xludf.DUMMYFUNCTION("""COMPUTED_VALUE"""),15.13)</f>
        <v>15.13</v>
      </c>
      <c r="F42" s="2">
        <f>IFERROR(__xludf.DUMMYFUNCTION("""COMPUTED_VALUE"""),689700.0)</f>
        <v>689700</v>
      </c>
    </row>
    <row r="43">
      <c r="A43" s="3">
        <f>IFERROR(__xludf.DUMMYFUNCTION("""COMPUTED_VALUE"""),29280.666666666668)</f>
        <v>29280.66667</v>
      </c>
      <c r="B43" s="2">
        <f>IFERROR(__xludf.DUMMYFUNCTION("""COMPUTED_VALUE"""),15.16)</f>
        <v>15.16</v>
      </c>
      <c r="C43" s="2">
        <f>IFERROR(__xludf.DUMMYFUNCTION("""COMPUTED_VALUE"""),15.22)</f>
        <v>15.22</v>
      </c>
      <c r="D43" s="2">
        <f>IFERROR(__xludf.DUMMYFUNCTION("""COMPUTED_VALUE"""),15.04)</f>
        <v>15.04</v>
      </c>
      <c r="E43" s="2">
        <f>IFERROR(__xludf.DUMMYFUNCTION("""COMPUTED_VALUE"""),15.16)</f>
        <v>15.16</v>
      </c>
      <c r="F43" s="2">
        <f>IFERROR(__xludf.DUMMYFUNCTION("""COMPUTED_VALUE"""),652300.0)</f>
        <v>652300</v>
      </c>
    </row>
    <row r="44">
      <c r="A44" s="3">
        <f>IFERROR(__xludf.DUMMYFUNCTION("""COMPUTED_VALUE"""),29283.666666666668)</f>
        <v>29283.66667</v>
      </c>
      <c r="B44" s="2">
        <f>IFERROR(__xludf.DUMMYFUNCTION("""COMPUTED_VALUE"""),14.98)</f>
        <v>14.98</v>
      </c>
      <c r="C44" s="2">
        <f>IFERROR(__xludf.DUMMYFUNCTION("""COMPUTED_VALUE"""),15.16)</f>
        <v>15.16</v>
      </c>
      <c r="D44" s="2">
        <f>IFERROR(__xludf.DUMMYFUNCTION("""COMPUTED_VALUE"""),14.95)</f>
        <v>14.95</v>
      </c>
      <c r="E44" s="2">
        <f>IFERROR(__xludf.DUMMYFUNCTION("""COMPUTED_VALUE"""),14.98)</f>
        <v>14.98</v>
      </c>
      <c r="F44" s="2">
        <f>IFERROR(__xludf.DUMMYFUNCTION("""COMPUTED_VALUE"""),340500.0)</f>
        <v>340500</v>
      </c>
    </row>
    <row r="45">
      <c r="A45" s="3">
        <f>IFERROR(__xludf.DUMMYFUNCTION("""COMPUTED_VALUE"""),29284.666666666668)</f>
        <v>29284.66667</v>
      </c>
      <c r="B45" s="2">
        <f>IFERROR(__xludf.DUMMYFUNCTION("""COMPUTED_VALUE"""),15.1)</f>
        <v>15.1</v>
      </c>
      <c r="C45" s="2">
        <f>IFERROR(__xludf.DUMMYFUNCTION("""COMPUTED_VALUE"""),15.13)</f>
        <v>15.13</v>
      </c>
      <c r="D45" s="2">
        <f>IFERROR(__xludf.DUMMYFUNCTION("""COMPUTED_VALUE"""),14.86)</f>
        <v>14.86</v>
      </c>
      <c r="E45" s="2">
        <f>IFERROR(__xludf.DUMMYFUNCTION("""COMPUTED_VALUE"""),15.1)</f>
        <v>15.1</v>
      </c>
      <c r="F45" s="2">
        <f>IFERROR(__xludf.DUMMYFUNCTION("""COMPUTED_VALUE"""),447700.0)</f>
        <v>447700</v>
      </c>
    </row>
    <row r="46">
      <c r="A46" s="3">
        <f>IFERROR(__xludf.DUMMYFUNCTION("""COMPUTED_VALUE"""),29285.666666666668)</f>
        <v>29285.66667</v>
      </c>
      <c r="B46" s="2">
        <f>IFERROR(__xludf.DUMMYFUNCTION("""COMPUTED_VALUE"""),14.81)</f>
        <v>14.81</v>
      </c>
      <c r="C46" s="2">
        <f>IFERROR(__xludf.DUMMYFUNCTION("""COMPUTED_VALUE"""),15.07)</f>
        <v>15.07</v>
      </c>
      <c r="D46" s="2">
        <f>IFERROR(__xludf.DUMMYFUNCTION("""COMPUTED_VALUE"""),14.75)</f>
        <v>14.75</v>
      </c>
      <c r="E46" s="2">
        <f>IFERROR(__xludf.DUMMYFUNCTION("""COMPUTED_VALUE"""),14.81)</f>
        <v>14.81</v>
      </c>
      <c r="F46" s="2">
        <f>IFERROR(__xludf.DUMMYFUNCTION("""COMPUTED_VALUE"""),458400.0)</f>
        <v>458400</v>
      </c>
    </row>
    <row r="47">
      <c r="A47" s="3">
        <f>IFERROR(__xludf.DUMMYFUNCTION("""COMPUTED_VALUE"""),29286.666666666668)</f>
        <v>29286.66667</v>
      </c>
      <c r="B47" s="2">
        <f>IFERROR(__xludf.DUMMYFUNCTION("""COMPUTED_VALUE"""),14.6)</f>
        <v>14.6</v>
      </c>
      <c r="C47" s="2">
        <f>IFERROR(__xludf.DUMMYFUNCTION("""COMPUTED_VALUE"""),14.86)</f>
        <v>14.86</v>
      </c>
      <c r="D47" s="2">
        <f>IFERROR(__xludf.DUMMYFUNCTION("""COMPUTED_VALUE"""),14.48)</f>
        <v>14.48</v>
      </c>
      <c r="E47" s="2">
        <f>IFERROR(__xludf.DUMMYFUNCTION("""COMPUTED_VALUE"""),14.6)</f>
        <v>14.6</v>
      </c>
      <c r="F47" s="2">
        <f>IFERROR(__xludf.DUMMYFUNCTION("""COMPUTED_VALUE"""),687400.0)</f>
        <v>687400</v>
      </c>
    </row>
    <row r="48">
      <c r="A48" s="3">
        <f>IFERROR(__xludf.DUMMYFUNCTION("""COMPUTED_VALUE"""),29287.666666666668)</f>
        <v>29287.66667</v>
      </c>
      <c r="B48" s="2">
        <f>IFERROR(__xludf.DUMMYFUNCTION("""COMPUTED_VALUE"""),14.57)</f>
        <v>14.57</v>
      </c>
      <c r="C48" s="2">
        <f>IFERROR(__xludf.DUMMYFUNCTION("""COMPUTED_VALUE"""),14.78)</f>
        <v>14.78</v>
      </c>
      <c r="D48" s="2">
        <f>IFERROR(__xludf.DUMMYFUNCTION("""COMPUTED_VALUE"""),14.54)</f>
        <v>14.54</v>
      </c>
      <c r="E48" s="2">
        <f>IFERROR(__xludf.DUMMYFUNCTION("""COMPUTED_VALUE"""),14.57)</f>
        <v>14.57</v>
      </c>
      <c r="F48" s="2">
        <f>IFERROR(__xludf.DUMMYFUNCTION("""COMPUTED_VALUE"""),625300.0)</f>
        <v>625300</v>
      </c>
    </row>
    <row r="49">
      <c r="A49" s="3">
        <f>IFERROR(__xludf.DUMMYFUNCTION("""COMPUTED_VALUE"""),29290.666666666668)</f>
        <v>29290.66667</v>
      </c>
      <c r="B49" s="2">
        <f>IFERROR(__xludf.DUMMYFUNCTION("""COMPUTED_VALUE"""),14.72)</f>
        <v>14.72</v>
      </c>
      <c r="C49" s="2">
        <f>IFERROR(__xludf.DUMMYFUNCTION("""COMPUTED_VALUE"""),14.86)</f>
        <v>14.86</v>
      </c>
      <c r="D49" s="2">
        <f>IFERROR(__xludf.DUMMYFUNCTION("""COMPUTED_VALUE"""),14.6)</f>
        <v>14.6</v>
      </c>
      <c r="E49" s="2">
        <f>IFERROR(__xludf.DUMMYFUNCTION("""COMPUTED_VALUE"""),14.72)</f>
        <v>14.72</v>
      </c>
      <c r="F49" s="2">
        <f>IFERROR(__xludf.DUMMYFUNCTION("""COMPUTED_VALUE"""),491300.0)</f>
        <v>491300</v>
      </c>
    </row>
    <row r="50">
      <c r="A50" s="3">
        <f>IFERROR(__xludf.DUMMYFUNCTION("""COMPUTED_VALUE"""),29291.666666666668)</f>
        <v>29291.66667</v>
      </c>
      <c r="B50" s="2">
        <f>IFERROR(__xludf.DUMMYFUNCTION("""COMPUTED_VALUE"""),14.86)</f>
        <v>14.86</v>
      </c>
      <c r="C50" s="2">
        <f>IFERROR(__xludf.DUMMYFUNCTION("""COMPUTED_VALUE"""),14.86)</f>
        <v>14.86</v>
      </c>
      <c r="D50" s="2">
        <f>IFERROR(__xludf.DUMMYFUNCTION("""COMPUTED_VALUE"""),14.69)</f>
        <v>14.69</v>
      </c>
      <c r="E50" s="2">
        <f>IFERROR(__xludf.DUMMYFUNCTION("""COMPUTED_VALUE"""),14.86)</f>
        <v>14.86</v>
      </c>
      <c r="F50" s="2">
        <f>IFERROR(__xludf.DUMMYFUNCTION("""COMPUTED_VALUE"""),502300.0)</f>
        <v>502300</v>
      </c>
    </row>
    <row r="51">
      <c r="A51" s="3">
        <f>IFERROR(__xludf.DUMMYFUNCTION("""COMPUTED_VALUE"""),29292.666666666668)</f>
        <v>29292.66667</v>
      </c>
      <c r="B51" s="2">
        <f>IFERROR(__xludf.DUMMYFUNCTION("""COMPUTED_VALUE"""),14.66)</f>
        <v>14.66</v>
      </c>
      <c r="C51" s="2">
        <f>IFERROR(__xludf.DUMMYFUNCTION("""COMPUTED_VALUE"""),14.83)</f>
        <v>14.83</v>
      </c>
      <c r="D51" s="2">
        <f>IFERROR(__xludf.DUMMYFUNCTION("""COMPUTED_VALUE"""),14.54)</f>
        <v>14.54</v>
      </c>
      <c r="E51" s="2">
        <f>IFERROR(__xludf.DUMMYFUNCTION("""COMPUTED_VALUE"""),14.66)</f>
        <v>14.66</v>
      </c>
      <c r="F51" s="2">
        <f>IFERROR(__xludf.DUMMYFUNCTION("""COMPUTED_VALUE"""),495600.0)</f>
        <v>495600</v>
      </c>
    </row>
    <row r="52">
      <c r="A52" s="3">
        <f>IFERROR(__xludf.DUMMYFUNCTION("""COMPUTED_VALUE"""),29293.666666666668)</f>
        <v>29293.66667</v>
      </c>
      <c r="B52" s="2">
        <f>IFERROR(__xludf.DUMMYFUNCTION("""COMPUTED_VALUE"""),14.36)</f>
        <v>14.36</v>
      </c>
      <c r="C52" s="2">
        <f>IFERROR(__xludf.DUMMYFUNCTION("""COMPUTED_VALUE"""),14.63)</f>
        <v>14.63</v>
      </c>
      <c r="D52" s="2">
        <f>IFERROR(__xludf.DUMMYFUNCTION("""COMPUTED_VALUE"""),14.3)</f>
        <v>14.3</v>
      </c>
      <c r="E52" s="2">
        <f>IFERROR(__xludf.DUMMYFUNCTION("""COMPUTED_VALUE"""),14.36)</f>
        <v>14.36</v>
      </c>
      <c r="F52" s="2">
        <f>IFERROR(__xludf.DUMMYFUNCTION("""COMPUTED_VALUE"""),561000.0)</f>
        <v>561000</v>
      </c>
    </row>
    <row r="53">
      <c r="A53" s="3">
        <f>IFERROR(__xludf.DUMMYFUNCTION("""COMPUTED_VALUE"""),29294.666666666668)</f>
        <v>29294.66667</v>
      </c>
      <c r="B53" s="2">
        <f>IFERROR(__xludf.DUMMYFUNCTION("""COMPUTED_VALUE"""),14.3)</f>
        <v>14.3</v>
      </c>
      <c r="C53" s="2">
        <f>IFERROR(__xludf.DUMMYFUNCTION("""COMPUTED_VALUE"""),14.51)</f>
        <v>14.51</v>
      </c>
      <c r="D53" s="2">
        <f>IFERROR(__xludf.DUMMYFUNCTION("""COMPUTED_VALUE"""),14.24)</f>
        <v>14.24</v>
      </c>
      <c r="E53" s="2">
        <f>IFERROR(__xludf.DUMMYFUNCTION("""COMPUTED_VALUE"""),14.3)</f>
        <v>14.3</v>
      </c>
      <c r="F53" s="2">
        <f>IFERROR(__xludf.DUMMYFUNCTION("""COMPUTED_VALUE"""),485900.0)</f>
        <v>485900</v>
      </c>
    </row>
    <row r="54">
      <c r="A54" s="3">
        <f>IFERROR(__xludf.DUMMYFUNCTION("""COMPUTED_VALUE"""),29297.666666666668)</f>
        <v>29297.66667</v>
      </c>
      <c r="B54" s="2">
        <f>IFERROR(__xludf.DUMMYFUNCTION("""COMPUTED_VALUE"""),14.12)</f>
        <v>14.12</v>
      </c>
      <c r="C54" s="2">
        <f>IFERROR(__xludf.DUMMYFUNCTION("""COMPUTED_VALUE"""),14.42)</f>
        <v>14.42</v>
      </c>
      <c r="D54" s="2">
        <f>IFERROR(__xludf.DUMMYFUNCTION("""COMPUTED_VALUE"""),14.12)</f>
        <v>14.12</v>
      </c>
      <c r="E54" s="2">
        <f>IFERROR(__xludf.DUMMYFUNCTION("""COMPUTED_VALUE"""),14.12)</f>
        <v>14.12</v>
      </c>
      <c r="F54" s="2">
        <f>IFERROR(__xludf.DUMMYFUNCTION("""COMPUTED_VALUE"""),414700.0)</f>
        <v>414700</v>
      </c>
    </row>
    <row r="55">
      <c r="A55" s="3">
        <f>IFERROR(__xludf.DUMMYFUNCTION("""COMPUTED_VALUE"""),29298.666666666668)</f>
        <v>29298.66667</v>
      </c>
      <c r="B55" s="2">
        <f>IFERROR(__xludf.DUMMYFUNCTION("""COMPUTED_VALUE"""),14.24)</f>
        <v>14.24</v>
      </c>
      <c r="C55" s="2">
        <f>IFERROR(__xludf.DUMMYFUNCTION("""COMPUTED_VALUE"""),14.39)</f>
        <v>14.39</v>
      </c>
      <c r="D55" s="2">
        <f>IFERROR(__xludf.DUMMYFUNCTION("""COMPUTED_VALUE"""),14.0)</f>
        <v>14</v>
      </c>
      <c r="E55" s="2">
        <f>IFERROR(__xludf.DUMMYFUNCTION("""COMPUTED_VALUE"""),14.24)</f>
        <v>14.24</v>
      </c>
      <c r="F55" s="2">
        <f>IFERROR(__xludf.DUMMYFUNCTION("""COMPUTED_VALUE"""),493600.0)</f>
        <v>493600</v>
      </c>
    </row>
    <row r="56">
      <c r="A56" s="3">
        <f>IFERROR(__xludf.DUMMYFUNCTION("""COMPUTED_VALUE"""),29299.666666666668)</f>
        <v>29299.66667</v>
      </c>
      <c r="B56" s="2">
        <f>IFERROR(__xludf.DUMMYFUNCTION("""COMPUTED_VALUE"""),14.06)</f>
        <v>14.06</v>
      </c>
      <c r="C56" s="2">
        <f>IFERROR(__xludf.DUMMYFUNCTION("""COMPUTED_VALUE"""),14.27)</f>
        <v>14.27</v>
      </c>
      <c r="D56" s="2">
        <f>IFERROR(__xludf.DUMMYFUNCTION("""COMPUTED_VALUE"""),14.03)</f>
        <v>14.03</v>
      </c>
      <c r="E56" s="2">
        <f>IFERROR(__xludf.DUMMYFUNCTION("""COMPUTED_VALUE"""),14.06)</f>
        <v>14.06</v>
      </c>
      <c r="F56" s="2">
        <f>IFERROR(__xludf.DUMMYFUNCTION("""COMPUTED_VALUE"""),368500.0)</f>
        <v>368500</v>
      </c>
    </row>
    <row r="57">
      <c r="A57" s="3">
        <f>IFERROR(__xludf.DUMMYFUNCTION("""COMPUTED_VALUE"""),29300.666666666668)</f>
        <v>29300.66667</v>
      </c>
      <c r="B57" s="2">
        <f>IFERROR(__xludf.DUMMYFUNCTION("""COMPUTED_VALUE"""),13.91)</f>
        <v>13.91</v>
      </c>
      <c r="C57" s="2">
        <f>IFERROR(__xludf.DUMMYFUNCTION("""COMPUTED_VALUE"""),14.15)</f>
        <v>14.15</v>
      </c>
      <c r="D57" s="2">
        <f>IFERROR(__xludf.DUMMYFUNCTION("""COMPUTED_VALUE"""),13.85)</f>
        <v>13.85</v>
      </c>
      <c r="E57" s="2">
        <f>IFERROR(__xludf.DUMMYFUNCTION("""COMPUTED_VALUE"""),13.91)</f>
        <v>13.91</v>
      </c>
      <c r="F57" s="2">
        <f>IFERROR(__xludf.DUMMYFUNCTION("""COMPUTED_VALUE"""),479300.0)</f>
        <v>479300</v>
      </c>
    </row>
    <row r="58">
      <c r="A58" s="3">
        <f>IFERROR(__xludf.DUMMYFUNCTION("""COMPUTED_VALUE"""),29301.666666666668)</f>
        <v>29301.66667</v>
      </c>
      <c r="B58" s="2">
        <f>IFERROR(__xludf.DUMMYFUNCTION("""COMPUTED_VALUE"""),13.55)</f>
        <v>13.55</v>
      </c>
      <c r="C58" s="2">
        <f>IFERROR(__xludf.DUMMYFUNCTION("""COMPUTED_VALUE"""),13.88)</f>
        <v>13.88</v>
      </c>
      <c r="D58" s="2">
        <f>IFERROR(__xludf.DUMMYFUNCTION("""COMPUTED_VALUE"""),13.43)</f>
        <v>13.43</v>
      </c>
      <c r="E58" s="2">
        <f>IFERROR(__xludf.DUMMYFUNCTION("""COMPUTED_VALUE"""),13.55)</f>
        <v>13.55</v>
      </c>
      <c r="F58" s="2">
        <f>IFERROR(__xludf.DUMMYFUNCTION("""COMPUTED_VALUE"""),1480000.0)</f>
        <v>1480000</v>
      </c>
    </row>
    <row r="59">
      <c r="A59" s="3">
        <f>IFERROR(__xludf.DUMMYFUNCTION("""COMPUTED_VALUE"""),29304.666666666668)</f>
        <v>29304.66667</v>
      </c>
      <c r="B59" s="2">
        <f>IFERROR(__xludf.DUMMYFUNCTION("""COMPUTED_VALUE"""),12.92)</f>
        <v>12.92</v>
      </c>
      <c r="C59" s="2">
        <f>IFERROR(__xludf.DUMMYFUNCTION("""COMPUTED_VALUE"""),13.46)</f>
        <v>13.46</v>
      </c>
      <c r="D59" s="2">
        <f>IFERROR(__xludf.DUMMYFUNCTION("""COMPUTED_VALUE"""),12.89)</f>
        <v>12.89</v>
      </c>
      <c r="E59" s="2">
        <f>IFERROR(__xludf.DUMMYFUNCTION("""COMPUTED_VALUE"""),12.92)</f>
        <v>12.92</v>
      </c>
      <c r="F59" s="2">
        <f>IFERROR(__xludf.DUMMYFUNCTION("""COMPUTED_VALUE"""),719800.0)</f>
        <v>719800</v>
      </c>
    </row>
    <row r="60">
      <c r="A60" s="3">
        <f>IFERROR(__xludf.DUMMYFUNCTION("""COMPUTED_VALUE"""),29305.666666666668)</f>
        <v>29305.66667</v>
      </c>
      <c r="B60" s="2">
        <f>IFERROR(__xludf.DUMMYFUNCTION("""COMPUTED_VALUE"""),13.07)</f>
        <v>13.07</v>
      </c>
      <c r="C60" s="2">
        <f>IFERROR(__xludf.DUMMYFUNCTION("""COMPUTED_VALUE"""),13.16)</f>
        <v>13.16</v>
      </c>
      <c r="D60" s="2">
        <f>IFERROR(__xludf.DUMMYFUNCTION("""COMPUTED_VALUE"""),12.89)</f>
        <v>12.89</v>
      </c>
      <c r="E60" s="2">
        <f>IFERROR(__xludf.DUMMYFUNCTION("""COMPUTED_VALUE"""),13.07)</f>
        <v>13.07</v>
      </c>
      <c r="F60" s="2">
        <f>IFERROR(__xludf.DUMMYFUNCTION("""COMPUTED_VALUE"""),750200.0)</f>
        <v>750200</v>
      </c>
    </row>
    <row r="61">
      <c r="A61" s="3">
        <f>IFERROR(__xludf.DUMMYFUNCTION("""COMPUTED_VALUE"""),29306.666666666668)</f>
        <v>29306.66667</v>
      </c>
      <c r="B61" s="2">
        <f>IFERROR(__xludf.DUMMYFUNCTION("""COMPUTED_VALUE"""),12.66)</f>
        <v>12.66</v>
      </c>
      <c r="C61" s="2">
        <f>IFERROR(__xludf.DUMMYFUNCTION("""COMPUTED_VALUE"""),13.34)</f>
        <v>13.34</v>
      </c>
      <c r="D61" s="2">
        <f>IFERROR(__xludf.DUMMYFUNCTION("""COMPUTED_VALUE"""),12.54)</f>
        <v>12.54</v>
      </c>
      <c r="E61" s="2">
        <f>IFERROR(__xludf.DUMMYFUNCTION("""COMPUTED_VALUE"""),12.66)</f>
        <v>12.66</v>
      </c>
      <c r="F61" s="2">
        <f>IFERROR(__xludf.DUMMYFUNCTION("""COMPUTED_VALUE"""),780600.0)</f>
        <v>780600</v>
      </c>
    </row>
    <row r="62">
      <c r="A62" s="3">
        <f>IFERROR(__xludf.DUMMYFUNCTION("""COMPUTED_VALUE"""),29307.666666666668)</f>
        <v>29307.66667</v>
      </c>
      <c r="B62" s="2">
        <f>IFERROR(__xludf.DUMMYFUNCTION("""COMPUTED_VALUE"""),13.73)</f>
        <v>13.73</v>
      </c>
      <c r="C62" s="2">
        <f>IFERROR(__xludf.DUMMYFUNCTION("""COMPUTED_VALUE"""),13.73)</f>
        <v>13.73</v>
      </c>
      <c r="D62" s="2">
        <f>IFERROR(__xludf.DUMMYFUNCTION("""COMPUTED_VALUE"""),12.27)</f>
        <v>12.27</v>
      </c>
      <c r="E62" s="2">
        <f>IFERROR(__xludf.DUMMYFUNCTION("""COMPUTED_VALUE"""),13.73)</f>
        <v>13.73</v>
      </c>
      <c r="F62" s="2">
        <f>IFERROR(__xludf.DUMMYFUNCTION("""COMPUTED_VALUE"""),855300.0)</f>
        <v>855300</v>
      </c>
    </row>
    <row r="63">
      <c r="A63" s="3">
        <f>IFERROR(__xludf.DUMMYFUNCTION("""COMPUTED_VALUE"""),29308.666666666668)</f>
        <v>29308.66667</v>
      </c>
      <c r="B63" s="2">
        <f>IFERROR(__xludf.DUMMYFUNCTION("""COMPUTED_VALUE"""),13.34)</f>
        <v>13.34</v>
      </c>
      <c r="C63" s="2">
        <f>IFERROR(__xludf.DUMMYFUNCTION("""COMPUTED_VALUE"""),13.46)</f>
        <v>13.46</v>
      </c>
      <c r="D63" s="2">
        <f>IFERROR(__xludf.DUMMYFUNCTION("""COMPUTED_VALUE"""),12.92)</f>
        <v>12.92</v>
      </c>
      <c r="E63" s="2">
        <f>IFERROR(__xludf.DUMMYFUNCTION("""COMPUTED_VALUE"""),13.34)</f>
        <v>13.34</v>
      </c>
      <c r="F63" s="2">
        <f>IFERROR(__xludf.DUMMYFUNCTION("""COMPUTED_VALUE"""),678400.0)</f>
        <v>678400</v>
      </c>
    </row>
    <row r="64">
      <c r="A64" s="3">
        <f>IFERROR(__xludf.DUMMYFUNCTION("""COMPUTED_VALUE"""),29311.666666666668)</f>
        <v>29311.66667</v>
      </c>
      <c r="B64" s="2">
        <f>IFERROR(__xludf.DUMMYFUNCTION("""COMPUTED_VALUE"""),13.31)</f>
        <v>13.31</v>
      </c>
      <c r="C64" s="2">
        <f>IFERROR(__xludf.DUMMYFUNCTION("""COMPUTED_VALUE"""),13.34)</f>
        <v>13.34</v>
      </c>
      <c r="D64" s="2">
        <f>IFERROR(__xludf.DUMMYFUNCTION("""COMPUTED_VALUE"""),13.04)</f>
        <v>13.04</v>
      </c>
      <c r="E64" s="2">
        <f>IFERROR(__xludf.DUMMYFUNCTION("""COMPUTED_VALUE"""),13.31)</f>
        <v>13.31</v>
      </c>
      <c r="F64" s="2">
        <f>IFERROR(__xludf.DUMMYFUNCTION("""COMPUTED_VALUE"""),389000.0)</f>
        <v>389000</v>
      </c>
    </row>
    <row r="65">
      <c r="A65" s="3">
        <f>IFERROR(__xludf.DUMMYFUNCTION("""COMPUTED_VALUE"""),29312.666666666668)</f>
        <v>29312.66667</v>
      </c>
      <c r="B65" s="2">
        <f>IFERROR(__xludf.DUMMYFUNCTION("""COMPUTED_VALUE"""),13.1)</f>
        <v>13.1</v>
      </c>
      <c r="C65" s="2">
        <f>IFERROR(__xludf.DUMMYFUNCTION("""COMPUTED_VALUE"""),13.31)</f>
        <v>13.31</v>
      </c>
      <c r="D65" s="2">
        <f>IFERROR(__xludf.DUMMYFUNCTION("""COMPUTED_VALUE"""),13.01)</f>
        <v>13.01</v>
      </c>
      <c r="E65" s="2">
        <f>IFERROR(__xludf.DUMMYFUNCTION("""COMPUTED_VALUE"""),13.1)</f>
        <v>13.1</v>
      </c>
      <c r="F65" s="2">
        <f>IFERROR(__xludf.DUMMYFUNCTION("""COMPUTED_VALUE"""),539500.0)</f>
        <v>539500</v>
      </c>
    </row>
    <row r="66">
      <c r="A66" s="3">
        <f>IFERROR(__xludf.DUMMYFUNCTION("""COMPUTED_VALUE"""),29313.666666666668)</f>
        <v>29313.66667</v>
      </c>
      <c r="B66" s="2">
        <f>IFERROR(__xludf.DUMMYFUNCTION("""COMPUTED_VALUE"""),13.25)</f>
        <v>13.25</v>
      </c>
      <c r="C66" s="2">
        <f>IFERROR(__xludf.DUMMYFUNCTION("""COMPUTED_VALUE"""),13.37)</f>
        <v>13.37</v>
      </c>
      <c r="D66" s="2">
        <f>IFERROR(__xludf.DUMMYFUNCTION("""COMPUTED_VALUE"""),13.04)</f>
        <v>13.04</v>
      </c>
      <c r="E66" s="2">
        <f>IFERROR(__xludf.DUMMYFUNCTION("""COMPUTED_VALUE"""),13.25)</f>
        <v>13.25</v>
      </c>
      <c r="F66" s="2">
        <f>IFERROR(__xludf.DUMMYFUNCTION("""COMPUTED_VALUE"""),373500.0)</f>
        <v>373500</v>
      </c>
    </row>
    <row r="67">
      <c r="A67" s="3">
        <f>IFERROR(__xludf.DUMMYFUNCTION("""COMPUTED_VALUE"""),29314.666666666668)</f>
        <v>29314.66667</v>
      </c>
      <c r="B67" s="2">
        <f>IFERROR(__xludf.DUMMYFUNCTION("""COMPUTED_VALUE"""),13.1)</f>
        <v>13.1</v>
      </c>
      <c r="C67" s="2">
        <f>IFERROR(__xludf.DUMMYFUNCTION("""COMPUTED_VALUE"""),13.34)</f>
        <v>13.34</v>
      </c>
      <c r="D67" s="2">
        <f>IFERROR(__xludf.DUMMYFUNCTION("""COMPUTED_VALUE"""),13.04)</f>
        <v>13.04</v>
      </c>
      <c r="E67" s="2">
        <f>IFERROR(__xludf.DUMMYFUNCTION("""COMPUTED_VALUE"""),13.1)</f>
        <v>13.1</v>
      </c>
      <c r="F67" s="2">
        <f>IFERROR(__xludf.DUMMYFUNCTION("""COMPUTED_VALUE"""),338800.0)</f>
        <v>338800</v>
      </c>
    </row>
    <row r="68">
      <c r="A68" s="3">
        <f>IFERROR(__xludf.DUMMYFUNCTION("""COMPUTED_VALUE"""),29318.666666666668)</f>
        <v>29318.66667</v>
      </c>
      <c r="B68" s="2">
        <f>IFERROR(__xludf.DUMMYFUNCTION("""COMPUTED_VALUE"""),12.75)</f>
        <v>12.75</v>
      </c>
      <c r="C68" s="2">
        <f>IFERROR(__xludf.DUMMYFUNCTION("""COMPUTED_VALUE"""),13.1)</f>
        <v>13.1</v>
      </c>
      <c r="D68" s="2">
        <f>IFERROR(__xludf.DUMMYFUNCTION("""COMPUTED_VALUE"""),12.75)</f>
        <v>12.75</v>
      </c>
      <c r="E68" s="2">
        <f>IFERROR(__xludf.DUMMYFUNCTION("""COMPUTED_VALUE"""),12.75)</f>
        <v>12.75</v>
      </c>
      <c r="F68" s="2">
        <f>IFERROR(__xludf.DUMMYFUNCTION("""COMPUTED_VALUE"""),548300.0)</f>
        <v>548300</v>
      </c>
    </row>
    <row r="69">
      <c r="A69" s="3">
        <f>IFERROR(__xludf.DUMMYFUNCTION("""COMPUTED_VALUE"""),29319.666666666668)</f>
        <v>29319.66667</v>
      </c>
      <c r="B69" s="2">
        <f>IFERROR(__xludf.DUMMYFUNCTION("""COMPUTED_VALUE"""),12.78)</f>
        <v>12.78</v>
      </c>
      <c r="C69" s="2">
        <f>IFERROR(__xludf.DUMMYFUNCTION("""COMPUTED_VALUE"""),13.31)</f>
        <v>13.31</v>
      </c>
      <c r="D69" s="2">
        <f>IFERROR(__xludf.DUMMYFUNCTION("""COMPUTED_VALUE"""),12.66)</f>
        <v>12.66</v>
      </c>
      <c r="E69" s="2">
        <f>IFERROR(__xludf.DUMMYFUNCTION("""COMPUTED_VALUE"""),12.78)</f>
        <v>12.78</v>
      </c>
      <c r="F69" s="2">
        <f>IFERROR(__xludf.DUMMYFUNCTION("""COMPUTED_VALUE"""),522000.0)</f>
        <v>522000</v>
      </c>
    </row>
    <row r="70">
      <c r="A70" s="3">
        <f>IFERROR(__xludf.DUMMYFUNCTION("""COMPUTED_VALUE"""),29320.666666666668)</f>
        <v>29320.66667</v>
      </c>
      <c r="B70" s="2">
        <f>IFERROR(__xludf.DUMMYFUNCTION("""COMPUTED_VALUE"""),13.04)</f>
        <v>13.04</v>
      </c>
      <c r="C70" s="2">
        <f>IFERROR(__xludf.DUMMYFUNCTION("""COMPUTED_VALUE"""),13.07)</f>
        <v>13.07</v>
      </c>
      <c r="D70" s="2">
        <f>IFERROR(__xludf.DUMMYFUNCTION("""COMPUTED_VALUE"""),12.75)</f>
        <v>12.75</v>
      </c>
      <c r="E70" s="2">
        <f>IFERROR(__xludf.DUMMYFUNCTION("""COMPUTED_VALUE"""),13.04)</f>
        <v>13.04</v>
      </c>
      <c r="F70" s="2">
        <f>IFERROR(__xludf.DUMMYFUNCTION("""COMPUTED_VALUE"""),512900.0)</f>
        <v>512900</v>
      </c>
    </row>
    <row r="71">
      <c r="A71" s="3">
        <f>IFERROR(__xludf.DUMMYFUNCTION("""COMPUTED_VALUE"""),29321.666666666668)</f>
        <v>29321.66667</v>
      </c>
      <c r="B71" s="2">
        <f>IFERROR(__xludf.DUMMYFUNCTION("""COMPUTED_VALUE"""),12.95)</f>
        <v>12.95</v>
      </c>
      <c r="C71" s="2">
        <f>IFERROR(__xludf.DUMMYFUNCTION("""COMPUTED_VALUE"""),13.19)</f>
        <v>13.19</v>
      </c>
      <c r="D71" s="2">
        <f>IFERROR(__xludf.DUMMYFUNCTION("""COMPUTED_VALUE"""),12.89)</f>
        <v>12.89</v>
      </c>
      <c r="E71" s="2">
        <f>IFERROR(__xludf.DUMMYFUNCTION("""COMPUTED_VALUE"""),12.95)</f>
        <v>12.95</v>
      </c>
      <c r="F71" s="2">
        <f>IFERROR(__xludf.DUMMYFUNCTION("""COMPUTED_VALUE"""),504900.0)</f>
        <v>504900</v>
      </c>
    </row>
    <row r="72">
      <c r="A72" s="3">
        <f>IFERROR(__xludf.DUMMYFUNCTION("""COMPUTED_VALUE"""),29322.666666666668)</f>
        <v>29322.66667</v>
      </c>
      <c r="B72" s="2">
        <f>IFERROR(__xludf.DUMMYFUNCTION("""COMPUTED_VALUE"""),12.78)</f>
        <v>12.78</v>
      </c>
      <c r="C72" s="2">
        <f>IFERROR(__xludf.DUMMYFUNCTION("""COMPUTED_VALUE"""),13.13)</f>
        <v>13.13</v>
      </c>
      <c r="D72" s="2">
        <f>IFERROR(__xludf.DUMMYFUNCTION("""COMPUTED_VALUE"""),12.78)</f>
        <v>12.78</v>
      </c>
      <c r="E72" s="2">
        <f>IFERROR(__xludf.DUMMYFUNCTION("""COMPUTED_VALUE"""),12.78)</f>
        <v>12.78</v>
      </c>
      <c r="F72" s="2">
        <f>IFERROR(__xludf.DUMMYFUNCTION("""COMPUTED_VALUE"""),651700.0)</f>
        <v>651700</v>
      </c>
    </row>
    <row r="73">
      <c r="A73" s="3">
        <f>IFERROR(__xludf.DUMMYFUNCTION("""COMPUTED_VALUE"""),29325.666666666668)</f>
        <v>29325.66667</v>
      </c>
      <c r="B73" s="2">
        <f>IFERROR(__xludf.DUMMYFUNCTION("""COMPUTED_VALUE"""),12.66)</f>
        <v>12.66</v>
      </c>
      <c r="C73" s="2">
        <f>IFERROR(__xludf.DUMMYFUNCTION("""COMPUTED_VALUE"""),12.84)</f>
        <v>12.84</v>
      </c>
      <c r="D73" s="2">
        <f>IFERROR(__xludf.DUMMYFUNCTION("""COMPUTED_VALUE"""),12.6)</f>
        <v>12.6</v>
      </c>
      <c r="E73" s="2">
        <f>IFERROR(__xludf.DUMMYFUNCTION("""COMPUTED_VALUE"""),12.66)</f>
        <v>12.66</v>
      </c>
      <c r="F73" s="2">
        <f>IFERROR(__xludf.DUMMYFUNCTION("""COMPUTED_VALUE"""),334100.0)</f>
        <v>334100</v>
      </c>
    </row>
    <row r="74">
      <c r="A74" s="3">
        <f>IFERROR(__xludf.DUMMYFUNCTION("""COMPUTED_VALUE"""),29326.666666666668)</f>
        <v>29326.66667</v>
      </c>
      <c r="B74" s="2">
        <f>IFERROR(__xludf.DUMMYFUNCTION("""COMPUTED_VALUE"""),12.42)</f>
        <v>12.42</v>
      </c>
      <c r="C74" s="2">
        <f>IFERROR(__xludf.DUMMYFUNCTION("""COMPUTED_VALUE"""),12.78)</f>
        <v>12.78</v>
      </c>
      <c r="D74" s="2">
        <f>IFERROR(__xludf.DUMMYFUNCTION("""COMPUTED_VALUE"""),12.39)</f>
        <v>12.39</v>
      </c>
      <c r="E74" s="2">
        <f>IFERROR(__xludf.DUMMYFUNCTION("""COMPUTED_VALUE"""),12.42)</f>
        <v>12.42</v>
      </c>
      <c r="F74" s="2">
        <f>IFERROR(__xludf.DUMMYFUNCTION("""COMPUTED_VALUE"""),579900.0)</f>
        <v>579900</v>
      </c>
    </row>
    <row r="75">
      <c r="A75" s="3">
        <f>IFERROR(__xludf.DUMMYFUNCTION("""COMPUTED_VALUE"""),29327.666666666668)</f>
        <v>29327.66667</v>
      </c>
      <c r="B75" s="2">
        <f>IFERROR(__xludf.DUMMYFUNCTION("""COMPUTED_VALUE"""),12.21)</f>
        <v>12.21</v>
      </c>
      <c r="C75" s="2">
        <f>IFERROR(__xludf.DUMMYFUNCTION("""COMPUTED_VALUE"""),12.63)</f>
        <v>12.63</v>
      </c>
      <c r="D75" s="2">
        <f>IFERROR(__xludf.DUMMYFUNCTION("""COMPUTED_VALUE"""),12.18)</f>
        <v>12.18</v>
      </c>
      <c r="E75" s="2">
        <f>IFERROR(__xludf.DUMMYFUNCTION("""COMPUTED_VALUE"""),12.21)</f>
        <v>12.21</v>
      </c>
      <c r="F75" s="2">
        <f>IFERROR(__xludf.DUMMYFUNCTION("""COMPUTED_VALUE"""),672300.0)</f>
        <v>672300</v>
      </c>
    </row>
    <row r="76">
      <c r="A76" s="3">
        <f>IFERROR(__xludf.DUMMYFUNCTION("""COMPUTED_VALUE"""),29328.666666666668)</f>
        <v>29328.66667</v>
      </c>
      <c r="B76" s="2">
        <f>IFERROR(__xludf.DUMMYFUNCTION("""COMPUTED_VALUE"""),12.24)</f>
        <v>12.24</v>
      </c>
      <c r="C76" s="2">
        <f>IFERROR(__xludf.DUMMYFUNCTION("""COMPUTED_VALUE"""),12.33)</f>
        <v>12.33</v>
      </c>
      <c r="D76" s="2">
        <f>IFERROR(__xludf.DUMMYFUNCTION("""COMPUTED_VALUE"""),12.03)</f>
        <v>12.03</v>
      </c>
      <c r="E76" s="2">
        <f>IFERROR(__xludf.DUMMYFUNCTION("""COMPUTED_VALUE"""),12.24)</f>
        <v>12.24</v>
      </c>
      <c r="F76" s="2">
        <f>IFERROR(__xludf.DUMMYFUNCTION("""COMPUTED_VALUE"""),451000.0)</f>
        <v>451000</v>
      </c>
    </row>
    <row r="77">
      <c r="A77" s="3">
        <f>IFERROR(__xludf.DUMMYFUNCTION("""COMPUTED_VALUE"""),29329.666666666668)</f>
        <v>29329.66667</v>
      </c>
      <c r="B77" s="2">
        <f>IFERROR(__xludf.DUMMYFUNCTION("""COMPUTED_VALUE"""),12.24)</f>
        <v>12.24</v>
      </c>
      <c r="C77" s="2">
        <f>IFERROR(__xludf.DUMMYFUNCTION("""COMPUTED_VALUE"""),12.36)</f>
        <v>12.36</v>
      </c>
      <c r="D77" s="2">
        <f>IFERROR(__xludf.DUMMYFUNCTION("""COMPUTED_VALUE"""),12.15)</f>
        <v>12.15</v>
      </c>
      <c r="E77" s="2">
        <f>IFERROR(__xludf.DUMMYFUNCTION("""COMPUTED_VALUE"""),12.24)</f>
        <v>12.24</v>
      </c>
      <c r="F77" s="2">
        <f>IFERROR(__xludf.DUMMYFUNCTION("""COMPUTED_VALUE"""),411900.0)</f>
        <v>411900</v>
      </c>
    </row>
    <row r="78">
      <c r="A78" s="3">
        <f>IFERROR(__xludf.DUMMYFUNCTION("""COMPUTED_VALUE"""),29332.666666666668)</f>
        <v>29332.66667</v>
      </c>
      <c r="B78" s="2">
        <f>IFERROR(__xludf.DUMMYFUNCTION("""COMPUTED_VALUE"""),12.24)</f>
        <v>12.24</v>
      </c>
      <c r="C78" s="2">
        <f>IFERROR(__xludf.DUMMYFUNCTION("""COMPUTED_VALUE"""),12.33)</f>
        <v>12.33</v>
      </c>
      <c r="D78" s="2">
        <f>IFERROR(__xludf.DUMMYFUNCTION("""COMPUTED_VALUE"""),12.06)</f>
        <v>12.06</v>
      </c>
      <c r="E78" s="2">
        <f>IFERROR(__xludf.DUMMYFUNCTION("""COMPUTED_VALUE"""),12.24)</f>
        <v>12.24</v>
      </c>
      <c r="F78" s="2">
        <f>IFERROR(__xludf.DUMMYFUNCTION("""COMPUTED_VALUE"""),663800.0)</f>
        <v>663800</v>
      </c>
    </row>
    <row r="79">
      <c r="A79" s="3">
        <f>IFERROR(__xludf.DUMMYFUNCTION("""COMPUTED_VALUE"""),29333.666666666668)</f>
        <v>29333.66667</v>
      </c>
      <c r="B79" s="2">
        <f>IFERROR(__xludf.DUMMYFUNCTION("""COMPUTED_VALUE"""),12.86)</f>
        <v>12.86</v>
      </c>
      <c r="C79" s="2">
        <f>IFERROR(__xludf.DUMMYFUNCTION("""COMPUTED_VALUE"""),13.01)</f>
        <v>13.01</v>
      </c>
      <c r="D79" s="2">
        <f>IFERROR(__xludf.DUMMYFUNCTION("""COMPUTED_VALUE"""),12.42)</f>
        <v>12.42</v>
      </c>
      <c r="E79" s="2">
        <f>IFERROR(__xludf.DUMMYFUNCTION("""COMPUTED_VALUE"""),12.86)</f>
        <v>12.86</v>
      </c>
      <c r="F79" s="2">
        <f>IFERROR(__xludf.DUMMYFUNCTION("""COMPUTED_VALUE"""),821800.0)</f>
        <v>821800</v>
      </c>
    </row>
    <row r="80">
      <c r="A80" s="3">
        <f>IFERROR(__xludf.DUMMYFUNCTION("""COMPUTED_VALUE"""),29334.666666666668)</f>
        <v>29334.66667</v>
      </c>
      <c r="B80" s="2">
        <f>IFERROR(__xludf.DUMMYFUNCTION("""COMPUTED_VALUE"""),12.78)</f>
        <v>12.78</v>
      </c>
      <c r="C80" s="2">
        <f>IFERROR(__xludf.DUMMYFUNCTION("""COMPUTED_VALUE"""),12.98)</f>
        <v>12.98</v>
      </c>
      <c r="D80" s="2">
        <f>IFERROR(__xludf.DUMMYFUNCTION("""COMPUTED_VALUE"""),12.72)</f>
        <v>12.72</v>
      </c>
      <c r="E80" s="2">
        <f>IFERROR(__xludf.DUMMYFUNCTION("""COMPUTED_VALUE"""),12.78)</f>
        <v>12.78</v>
      </c>
      <c r="F80" s="2">
        <f>IFERROR(__xludf.DUMMYFUNCTION("""COMPUTED_VALUE"""),761400.0)</f>
        <v>761400</v>
      </c>
    </row>
    <row r="81">
      <c r="A81" s="3">
        <f>IFERROR(__xludf.DUMMYFUNCTION("""COMPUTED_VALUE"""),29335.666666666668)</f>
        <v>29335.66667</v>
      </c>
      <c r="B81" s="2">
        <f>IFERROR(__xludf.DUMMYFUNCTION("""COMPUTED_VALUE"""),12.84)</f>
        <v>12.84</v>
      </c>
      <c r="C81" s="2">
        <f>IFERROR(__xludf.DUMMYFUNCTION("""COMPUTED_VALUE"""),12.95)</f>
        <v>12.95</v>
      </c>
      <c r="D81" s="2">
        <f>IFERROR(__xludf.DUMMYFUNCTION("""COMPUTED_VALUE"""),12.72)</f>
        <v>12.72</v>
      </c>
      <c r="E81" s="2">
        <f>IFERROR(__xludf.DUMMYFUNCTION("""COMPUTED_VALUE"""),12.84)</f>
        <v>12.84</v>
      </c>
      <c r="F81" s="2">
        <f>IFERROR(__xludf.DUMMYFUNCTION("""COMPUTED_VALUE"""),372000.0)</f>
        <v>372000</v>
      </c>
    </row>
    <row r="82">
      <c r="A82" s="3">
        <f>IFERROR(__xludf.DUMMYFUNCTION("""COMPUTED_VALUE"""),29336.666666666668)</f>
        <v>29336.66667</v>
      </c>
      <c r="B82" s="2">
        <f>IFERROR(__xludf.DUMMYFUNCTION("""COMPUTED_VALUE"""),13.22)</f>
        <v>13.22</v>
      </c>
      <c r="C82" s="2">
        <f>IFERROR(__xludf.DUMMYFUNCTION("""COMPUTED_VALUE"""),13.22)</f>
        <v>13.22</v>
      </c>
      <c r="D82" s="2">
        <f>IFERROR(__xludf.DUMMYFUNCTION("""COMPUTED_VALUE"""),12.63)</f>
        <v>12.63</v>
      </c>
      <c r="E82" s="2">
        <f>IFERROR(__xludf.DUMMYFUNCTION("""COMPUTED_VALUE"""),13.22)</f>
        <v>13.22</v>
      </c>
      <c r="F82" s="2">
        <f>IFERROR(__xludf.DUMMYFUNCTION("""COMPUTED_VALUE"""),407800.0)</f>
        <v>407800</v>
      </c>
    </row>
    <row r="83">
      <c r="A83" s="3">
        <f>IFERROR(__xludf.DUMMYFUNCTION("""COMPUTED_VALUE"""),29339.666666666668)</f>
        <v>29339.66667</v>
      </c>
      <c r="B83" s="2">
        <f>IFERROR(__xludf.DUMMYFUNCTION("""COMPUTED_VALUE"""),13.01)</f>
        <v>13.01</v>
      </c>
      <c r="C83" s="2">
        <f>IFERROR(__xludf.DUMMYFUNCTION("""COMPUTED_VALUE"""),13.22)</f>
        <v>13.22</v>
      </c>
      <c r="D83" s="2">
        <f>IFERROR(__xludf.DUMMYFUNCTION("""COMPUTED_VALUE"""),12.98)</f>
        <v>12.98</v>
      </c>
      <c r="E83" s="2">
        <f>IFERROR(__xludf.DUMMYFUNCTION("""COMPUTED_VALUE"""),13.01)</f>
        <v>13.01</v>
      </c>
      <c r="F83" s="2">
        <f>IFERROR(__xludf.DUMMYFUNCTION("""COMPUTED_VALUE"""),464000.0)</f>
        <v>464000</v>
      </c>
    </row>
    <row r="84">
      <c r="A84" s="3">
        <f>IFERROR(__xludf.DUMMYFUNCTION("""COMPUTED_VALUE"""),29340.666666666668)</f>
        <v>29340.66667</v>
      </c>
      <c r="B84" s="2">
        <f>IFERROR(__xludf.DUMMYFUNCTION("""COMPUTED_VALUE"""),13.1)</f>
        <v>13.1</v>
      </c>
      <c r="C84" s="2">
        <f>IFERROR(__xludf.DUMMYFUNCTION("""COMPUTED_VALUE"""),13.16)</f>
        <v>13.16</v>
      </c>
      <c r="D84" s="2">
        <f>IFERROR(__xludf.DUMMYFUNCTION("""COMPUTED_VALUE"""),12.92)</f>
        <v>12.92</v>
      </c>
      <c r="E84" s="2">
        <f>IFERROR(__xludf.DUMMYFUNCTION("""COMPUTED_VALUE"""),13.1)</f>
        <v>13.1</v>
      </c>
      <c r="F84" s="2">
        <f>IFERROR(__xludf.DUMMYFUNCTION("""COMPUTED_VALUE"""),298900.0)</f>
        <v>298900</v>
      </c>
    </row>
    <row r="85">
      <c r="A85" s="3">
        <f>IFERROR(__xludf.DUMMYFUNCTION("""COMPUTED_VALUE"""),29341.666666666668)</f>
        <v>29341.66667</v>
      </c>
      <c r="B85" s="2">
        <f>IFERROR(__xludf.DUMMYFUNCTION("""COMPUTED_VALUE"""),13.1)</f>
        <v>13.1</v>
      </c>
      <c r="C85" s="2">
        <f>IFERROR(__xludf.DUMMYFUNCTION("""COMPUTED_VALUE"""),13.16)</f>
        <v>13.16</v>
      </c>
      <c r="D85" s="2">
        <f>IFERROR(__xludf.DUMMYFUNCTION("""COMPUTED_VALUE"""),12.81)</f>
        <v>12.81</v>
      </c>
      <c r="E85" s="2">
        <f>IFERROR(__xludf.DUMMYFUNCTION("""COMPUTED_VALUE"""),13.1)</f>
        <v>13.1</v>
      </c>
      <c r="F85" s="2">
        <f>IFERROR(__xludf.DUMMYFUNCTION("""COMPUTED_VALUE"""),350800.0)</f>
        <v>350800</v>
      </c>
    </row>
    <row r="86">
      <c r="A86" s="3">
        <f>IFERROR(__xludf.DUMMYFUNCTION("""COMPUTED_VALUE"""),29342.666666666668)</f>
        <v>29342.66667</v>
      </c>
      <c r="B86" s="2">
        <f>IFERROR(__xludf.DUMMYFUNCTION("""COMPUTED_VALUE"""),12.98)</f>
        <v>12.98</v>
      </c>
      <c r="C86" s="2">
        <f>IFERROR(__xludf.DUMMYFUNCTION("""COMPUTED_VALUE"""),13.1)</f>
        <v>13.1</v>
      </c>
      <c r="D86" s="2">
        <f>IFERROR(__xludf.DUMMYFUNCTION("""COMPUTED_VALUE"""),12.84)</f>
        <v>12.84</v>
      </c>
      <c r="E86" s="2">
        <f>IFERROR(__xludf.DUMMYFUNCTION("""COMPUTED_VALUE"""),12.98)</f>
        <v>12.98</v>
      </c>
      <c r="F86" s="2">
        <f>IFERROR(__xludf.DUMMYFUNCTION("""COMPUTED_VALUE"""),291900.0)</f>
        <v>291900</v>
      </c>
    </row>
    <row r="87">
      <c r="A87" s="3">
        <f>IFERROR(__xludf.DUMMYFUNCTION("""COMPUTED_VALUE"""),29343.666666666668)</f>
        <v>29343.66667</v>
      </c>
      <c r="B87" s="2">
        <f>IFERROR(__xludf.DUMMYFUNCTION("""COMPUTED_VALUE"""),12.89)</f>
        <v>12.89</v>
      </c>
      <c r="C87" s="2">
        <f>IFERROR(__xludf.DUMMYFUNCTION("""COMPUTED_VALUE"""),12.98)</f>
        <v>12.98</v>
      </c>
      <c r="D87" s="2">
        <f>IFERROR(__xludf.DUMMYFUNCTION("""COMPUTED_VALUE"""),12.86)</f>
        <v>12.86</v>
      </c>
      <c r="E87" s="2">
        <f>IFERROR(__xludf.DUMMYFUNCTION("""COMPUTED_VALUE"""),12.89)</f>
        <v>12.89</v>
      </c>
      <c r="F87" s="2">
        <f>IFERROR(__xludf.DUMMYFUNCTION("""COMPUTED_VALUE"""),243800.0)</f>
        <v>243800</v>
      </c>
    </row>
    <row r="88">
      <c r="A88" s="3">
        <f>IFERROR(__xludf.DUMMYFUNCTION("""COMPUTED_VALUE"""),29346.666666666668)</f>
        <v>29346.66667</v>
      </c>
      <c r="B88" s="2">
        <f>IFERROR(__xludf.DUMMYFUNCTION("""COMPUTED_VALUE"""),13.22)</f>
        <v>13.22</v>
      </c>
      <c r="C88" s="2">
        <f>IFERROR(__xludf.DUMMYFUNCTION("""COMPUTED_VALUE"""),13.31)</f>
        <v>13.31</v>
      </c>
      <c r="D88" s="2">
        <f>IFERROR(__xludf.DUMMYFUNCTION("""COMPUTED_VALUE"""),12.84)</f>
        <v>12.84</v>
      </c>
      <c r="E88" s="2">
        <f>IFERROR(__xludf.DUMMYFUNCTION("""COMPUTED_VALUE"""),13.22)</f>
        <v>13.22</v>
      </c>
      <c r="F88" s="2">
        <f>IFERROR(__xludf.DUMMYFUNCTION("""COMPUTED_VALUE"""),344800.0)</f>
        <v>344800</v>
      </c>
    </row>
    <row r="89">
      <c r="A89" s="3">
        <f>IFERROR(__xludf.DUMMYFUNCTION("""COMPUTED_VALUE"""),29347.666666666668)</f>
        <v>29347.66667</v>
      </c>
      <c r="B89" s="2">
        <f>IFERROR(__xludf.DUMMYFUNCTION("""COMPUTED_VALUE"""),13.1)</f>
        <v>13.1</v>
      </c>
      <c r="C89" s="2">
        <f>IFERROR(__xludf.DUMMYFUNCTION("""COMPUTED_VALUE"""),13.31)</f>
        <v>13.31</v>
      </c>
      <c r="D89" s="2">
        <f>IFERROR(__xludf.DUMMYFUNCTION("""COMPUTED_VALUE"""),13.07)</f>
        <v>13.07</v>
      </c>
      <c r="E89" s="2">
        <f>IFERROR(__xludf.DUMMYFUNCTION("""COMPUTED_VALUE"""),13.1)</f>
        <v>13.1</v>
      </c>
      <c r="F89" s="2">
        <f>IFERROR(__xludf.DUMMYFUNCTION("""COMPUTED_VALUE"""),354600.0)</f>
        <v>354600</v>
      </c>
    </row>
    <row r="90">
      <c r="A90" s="3">
        <f>IFERROR(__xludf.DUMMYFUNCTION("""COMPUTED_VALUE"""),29348.666666666668)</f>
        <v>29348.66667</v>
      </c>
      <c r="B90" s="2">
        <f>IFERROR(__xludf.DUMMYFUNCTION("""COMPUTED_VALUE"""),13.16)</f>
        <v>13.16</v>
      </c>
      <c r="C90" s="2">
        <f>IFERROR(__xludf.DUMMYFUNCTION("""COMPUTED_VALUE"""),13.31)</f>
        <v>13.31</v>
      </c>
      <c r="D90" s="2">
        <f>IFERROR(__xludf.DUMMYFUNCTION("""COMPUTED_VALUE"""),13.07)</f>
        <v>13.07</v>
      </c>
      <c r="E90" s="2">
        <f>IFERROR(__xludf.DUMMYFUNCTION("""COMPUTED_VALUE"""),13.16)</f>
        <v>13.16</v>
      </c>
      <c r="F90" s="2">
        <f>IFERROR(__xludf.DUMMYFUNCTION("""COMPUTED_VALUE"""),414800.0)</f>
        <v>414800</v>
      </c>
    </row>
    <row r="91">
      <c r="A91" s="3">
        <f>IFERROR(__xludf.DUMMYFUNCTION("""COMPUTED_VALUE"""),29349.666666666668)</f>
        <v>29349.66667</v>
      </c>
      <c r="B91" s="2">
        <f>IFERROR(__xludf.DUMMYFUNCTION("""COMPUTED_VALUE"""),12.86)</f>
        <v>12.86</v>
      </c>
      <c r="C91" s="2">
        <f>IFERROR(__xludf.DUMMYFUNCTION("""COMPUTED_VALUE"""),12.98)</f>
        <v>12.98</v>
      </c>
      <c r="D91" s="2">
        <f>IFERROR(__xludf.DUMMYFUNCTION("""COMPUTED_VALUE"""),12.78)</f>
        <v>12.78</v>
      </c>
      <c r="E91" s="2">
        <f>IFERROR(__xludf.DUMMYFUNCTION("""COMPUTED_VALUE"""),12.86)</f>
        <v>12.86</v>
      </c>
      <c r="F91" s="2">
        <f>IFERROR(__xludf.DUMMYFUNCTION("""COMPUTED_VALUE"""),388300.0)</f>
        <v>388300</v>
      </c>
    </row>
    <row r="92">
      <c r="A92" s="3">
        <f>IFERROR(__xludf.DUMMYFUNCTION("""COMPUTED_VALUE"""),29350.666666666668)</f>
        <v>29350.66667</v>
      </c>
      <c r="B92" s="2">
        <f>IFERROR(__xludf.DUMMYFUNCTION("""COMPUTED_VALUE"""),12.45)</f>
        <v>12.45</v>
      </c>
      <c r="C92" s="2">
        <f>IFERROR(__xludf.DUMMYFUNCTION("""COMPUTED_VALUE"""),12.84)</f>
        <v>12.84</v>
      </c>
      <c r="D92" s="2">
        <f>IFERROR(__xludf.DUMMYFUNCTION("""COMPUTED_VALUE"""),12.42)</f>
        <v>12.42</v>
      </c>
      <c r="E92" s="2">
        <f>IFERROR(__xludf.DUMMYFUNCTION("""COMPUTED_VALUE"""),12.45)</f>
        <v>12.45</v>
      </c>
      <c r="F92" s="2">
        <f>IFERROR(__xludf.DUMMYFUNCTION("""COMPUTED_VALUE"""),1044700.0)</f>
        <v>1044700</v>
      </c>
    </row>
    <row r="93">
      <c r="A93" s="3">
        <f>IFERROR(__xludf.DUMMYFUNCTION("""COMPUTED_VALUE"""),29353.666666666668)</f>
        <v>29353.66667</v>
      </c>
      <c r="B93" s="2">
        <f>IFERROR(__xludf.DUMMYFUNCTION("""COMPUTED_VALUE"""),12.48)</f>
        <v>12.48</v>
      </c>
      <c r="C93" s="2">
        <f>IFERROR(__xludf.DUMMYFUNCTION("""COMPUTED_VALUE"""),12.66)</f>
        <v>12.66</v>
      </c>
      <c r="D93" s="2">
        <f>IFERROR(__xludf.DUMMYFUNCTION("""COMPUTED_VALUE"""),12.45)</f>
        <v>12.45</v>
      </c>
      <c r="E93" s="2">
        <f>IFERROR(__xludf.DUMMYFUNCTION("""COMPUTED_VALUE"""),12.48)</f>
        <v>12.48</v>
      </c>
      <c r="F93" s="2">
        <f>IFERROR(__xludf.DUMMYFUNCTION("""COMPUTED_VALUE"""),310400.0)</f>
        <v>310400</v>
      </c>
    </row>
    <row r="94">
      <c r="A94" s="3">
        <f>IFERROR(__xludf.DUMMYFUNCTION("""COMPUTED_VALUE"""),29354.666666666668)</f>
        <v>29354.66667</v>
      </c>
      <c r="B94" s="2">
        <f>IFERROR(__xludf.DUMMYFUNCTION("""COMPUTED_VALUE"""),12.72)</f>
        <v>12.72</v>
      </c>
      <c r="C94" s="2">
        <f>IFERROR(__xludf.DUMMYFUNCTION("""COMPUTED_VALUE"""),12.72)</f>
        <v>12.72</v>
      </c>
      <c r="D94" s="2">
        <f>IFERROR(__xludf.DUMMYFUNCTION("""COMPUTED_VALUE"""),12.51)</f>
        <v>12.51</v>
      </c>
      <c r="E94" s="2">
        <f>IFERROR(__xludf.DUMMYFUNCTION("""COMPUTED_VALUE"""),12.72)</f>
        <v>12.72</v>
      </c>
      <c r="F94" s="2">
        <f>IFERROR(__xludf.DUMMYFUNCTION("""COMPUTED_VALUE"""),439700.0)</f>
        <v>439700</v>
      </c>
    </row>
    <row r="95">
      <c r="A95" s="3">
        <f>IFERROR(__xludf.DUMMYFUNCTION("""COMPUTED_VALUE"""),29355.666666666668)</f>
        <v>29355.66667</v>
      </c>
      <c r="B95" s="2">
        <f>IFERROR(__xludf.DUMMYFUNCTION("""COMPUTED_VALUE"""),12.66)</f>
        <v>12.66</v>
      </c>
      <c r="C95" s="2">
        <f>IFERROR(__xludf.DUMMYFUNCTION("""COMPUTED_VALUE"""),12.78)</f>
        <v>12.78</v>
      </c>
      <c r="D95" s="2">
        <f>IFERROR(__xludf.DUMMYFUNCTION("""COMPUTED_VALUE"""),12.66)</f>
        <v>12.66</v>
      </c>
      <c r="E95" s="2">
        <f>IFERROR(__xludf.DUMMYFUNCTION("""COMPUTED_VALUE"""),12.66)</f>
        <v>12.66</v>
      </c>
      <c r="F95" s="2">
        <f>IFERROR(__xludf.DUMMYFUNCTION("""COMPUTED_VALUE"""),429300.0)</f>
        <v>429300</v>
      </c>
    </row>
    <row r="96">
      <c r="A96" s="3">
        <f>IFERROR(__xludf.DUMMYFUNCTION("""COMPUTED_VALUE"""),29356.666666666668)</f>
        <v>29356.66667</v>
      </c>
      <c r="B96" s="2">
        <f>IFERROR(__xludf.DUMMYFUNCTION("""COMPUTED_VALUE"""),12.54)</f>
        <v>12.54</v>
      </c>
      <c r="C96" s="2">
        <f>IFERROR(__xludf.DUMMYFUNCTION("""COMPUTED_VALUE"""),12.72)</f>
        <v>12.72</v>
      </c>
      <c r="D96" s="2">
        <f>IFERROR(__xludf.DUMMYFUNCTION("""COMPUTED_VALUE"""),12.54)</f>
        <v>12.54</v>
      </c>
      <c r="E96" s="2">
        <f>IFERROR(__xludf.DUMMYFUNCTION("""COMPUTED_VALUE"""),12.54)</f>
        <v>12.54</v>
      </c>
      <c r="F96" s="2">
        <f>IFERROR(__xludf.DUMMYFUNCTION("""COMPUTED_VALUE"""),425500.0)</f>
        <v>425500</v>
      </c>
    </row>
    <row r="97">
      <c r="A97" s="3">
        <f>IFERROR(__xludf.DUMMYFUNCTION("""COMPUTED_VALUE"""),29357.666666666668)</f>
        <v>29357.66667</v>
      </c>
      <c r="B97" s="2">
        <f>IFERROR(__xludf.DUMMYFUNCTION("""COMPUTED_VALUE"""),12.66)</f>
        <v>12.66</v>
      </c>
      <c r="C97" s="2">
        <f>IFERROR(__xludf.DUMMYFUNCTION("""COMPUTED_VALUE"""),12.66)</f>
        <v>12.66</v>
      </c>
      <c r="D97" s="2">
        <f>IFERROR(__xludf.DUMMYFUNCTION("""COMPUTED_VALUE"""),12.54)</f>
        <v>12.54</v>
      </c>
      <c r="E97" s="2">
        <f>IFERROR(__xludf.DUMMYFUNCTION("""COMPUTED_VALUE"""),12.66)</f>
        <v>12.66</v>
      </c>
      <c r="F97" s="2">
        <f>IFERROR(__xludf.DUMMYFUNCTION("""COMPUTED_VALUE"""),305000.0)</f>
        <v>305000</v>
      </c>
    </row>
    <row r="98">
      <c r="A98" s="3">
        <f>IFERROR(__xludf.DUMMYFUNCTION("""COMPUTED_VALUE"""),29360.666666666668)</f>
        <v>29360.66667</v>
      </c>
      <c r="B98" s="2">
        <f>IFERROR(__xludf.DUMMYFUNCTION("""COMPUTED_VALUE"""),12.75)</f>
        <v>12.75</v>
      </c>
      <c r="C98" s="2">
        <f>IFERROR(__xludf.DUMMYFUNCTION("""COMPUTED_VALUE"""),12.84)</f>
        <v>12.84</v>
      </c>
      <c r="D98" s="2">
        <f>IFERROR(__xludf.DUMMYFUNCTION("""COMPUTED_VALUE"""),12.63)</f>
        <v>12.63</v>
      </c>
      <c r="E98" s="2">
        <f>IFERROR(__xludf.DUMMYFUNCTION("""COMPUTED_VALUE"""),12.75)</f>
        <v>12.75</v>
      </c>
      <c r="F98" s="2">
        <f>IFERROR(__xludf.DUMMYFUNCTION("""COMPUTED_VALUE"""),499700.0)</f>
        <v>499700</v>
      </c>
    </row>
    <row r="99">
      <c r="A99" s="3">
        <f>IFERROR(__xludf.DUMMYFUNCTION("""COMPUTED_VALUE"""),29361.666666666668)</f>
        <v>29361.66667</v>
      </c>
      <c r="B99" s="2">
        <f>IFERROR(__xludf.DUMMYFUNCTION("""COMPUTED_VALUE"""),12.6)</f>
        <v>12.6</v>
      </c>
      <c r="C99" s="2">
        <f>IFERROR(__xludf.DUMMYFUNCTION("""COMPUTED_VALUE"""),12.78)</f>
        <v>12.78</v>
      </c>
      <c r="D99" s="2">
        <f>IFERROR(__xludf.DUMMYFUNCTION("""COMPUTED_VALUE"""),12.57)</f>
        <v>12.57</v>
      </c>
      <c r="E99" s="2">
        <f>IFERROR(__xludf.DUMMYFUNCTION("""COMPUTED_VALUE"""),12.6)</f>
        <v>12.6</v>
      </c>
      <c r="F99" s="2">
        <f>IFERROR(__xludf.DUMMYFUNCTION("""COMPUTED_VALUE"""),617700.0)</f>
        <v>617700</v>
      </c>
    </row>
    <row r="100">
      <c r="A100" s="3">
        <f>IFERROR(__xludf.DUMMYFUNCTION("""COMPUTED_VALUE"""),29362.666666666668)</f>
        <v>29362.66667</v>
      </c>
      <c r="B100" s="2">
        <f>IFERROR(__xludf.DUMMYFUNCTION("""COMPUTED_VALUE"""),12.63)</f>
        <v>12.63</v>
      </c>
      <c r="C100" s="2">
        <f>IFERROR(__xludf.DUMMYFUNCTION("""COMPUTED_VALUE"""),12.63)</f>
        <v>12.63</v>
      </c>
      <c r="D100" s="2">
        <f>IFERROR(__xludf.DUMMYFUNCTION("""COMPUTED_VALUE"""),12.45)</f>
        <v>12.45</v>
      </c>
      <c r="E100" s="2">
        <f>IFERROR(__xludf.DUMMYFUNCTION("""COMPUTED_VALUE"""),12.63)</f>
        <v>12.63</v>
      </c>
      <c r="F100" s="2">
        <f>IFERROR(__xludf.DUMMYFUNCTION("""COMPUTED_VALUE"""),325100.0)</f>
        <v>325100</v>
      </c>
    </row>
    <row r="101">
      <c r="A101" s="3">
        <f>IFERROR(__xludf.DUMMYFUNCTION("""COMPUTED_VALUE"""),29363.666666666668)</f>
        <v>29363.66667</v>
      </c>
      <c r="B101" s="2">
        <f>IFERROR(__xludf.DUMMYFUNCTION("""COMPUTED_VALUE"""),12.84)</f>
        <v>12.84</v>
      </c>
      <c r="C101" s="2">
        <f>IFERROR(__xludf.DUMMYFUNCTION("""COMPUTED_VALUE"""),12.92)</f>
        <v>12.92</v>
      </c>
      <c r="D101" s="2">
        <f>IFERROR(__xludf.DUMMYFUNCTION("""COMPUTED_VALUE"""),12.6)</f>
        <v>12.6</v>
      </c>
      <c r="E101" s="2">
        <f>IFERROR(__xludf.DUMMYFUNCTION("""COMPUTED_VALUE"""),12.84)</f>
        <v>12.84</v>
      </c>
      <c r="F101" s="2">
        <f>IFERROR(__xludf.DUMMYFUNCTION("""COMPUTED_VALUE"""),570800.0)</f>
        <v>570800</v>
      </c>
    </row>
    <row r="102">
      <c r="A102" s="3">
        <f>IFERROR(__xludf.DUMMYFUNCTION("""COMPUTED_VALUE"""),29364.666666666668)</f>
        <v>29364.66667</v>
      </c>
      <c r="B102" s="2">
        <f>IFERROR(__xludf.DUMMYFUNCTION("""COMPUTED_VALUE"""),13.07)</f>
        <v>13.07</v>
      </c>
      <c r="C102" s="2">
        <f>IFERROR(__xludf.DUMMYFUNCTION("""COMPUTED_VALUE"""),13.13)</f>
        <v>13.13</v>
      </c>
      <c r="D102" s="2">
        <f>IFERROR(__xludf.DUMMYFUNCTION("""COMPUTED_VALUE"""),12.86)</f>
        <v>12.86</v>
      </c>
      <c r="E102" s="2">
        <f>IFERROR(__xludf.DUMMYFUNCTION("""COMPUTED_VALUE"""),13.07)</f>
        <v>13.07</v>
      </c>
      <c r="F102" s="2">
        <f>IFERROR(__xludf.DUMMYFUNCTION("""COMPUTED_VALUE"""),801500.0)</f>
        <v>801500</v>
      </c>
    </row>
    <row r="103">
      <c r="A103" s="3">
        <f>IFERROR(__xludf.DUMMYFUNCTION("""COMPUTED_VALUE"""),29368.666666666668)</f>
        <v>29368.66667</v>
      </c>
      <c r="B103" s="2">
        <f>IFERROR(__xludf.DUMMYFUNCTION("""COMPUTED_VALUE"""),13.19)</f>
        <v>13.19</v>
      </c>
      <c r="C103" s="2">
        <f>IFERROR(__xludf.DUMMYFUNCTION("""COMPUTED_VALUE"""),13.28)</f>
        <v>13.28</v>
      </c>
      <c r="D103" s="2">
        <f>IFERROR(__xludf.DUMMYFUNCTION("""COMPUTED_VALUE"""),13.1)</f>
        <v>13.1</v>
      </c>
      <c r="E103" s="2">
        <f>IFERROR(__xludf.DUMMYFUNCTION("""COMPUTED_VALUE"""),13.19)</f>
        <v>13.19</v>
      </c>
      <c r="F103" s="2">
        <f>IFERROR(__xludf.DUMMYFUNCTION("""COMPUTED_VALUE"""),655800.0)</f>
        <v>655800</v>
      </c>
    </row>
    <row r="104">
      <c r="A104" s="3">
        <f>IFERROR(__xludf.DUMMYFUNCTION("""COMPUTED_VALUE"""),29369.666666666668)</f>
        <v>29369.66667</v>
      </c>
      <c r="B104" s="2">
        <f>IFERROR(__xludf.DUMMYFUNCTION("""COMPUTED_VALUE"""),13.46)</f>
        <v>13.46</v>
      </c>
      <c r="C104" s="2">
        <f>IFERROR(__xludf.DUMMYFUNCTION("""COMPUTED_VALUE"""),13.52)</f>
        <v>13.52</v>
      </c>
      <c r="D104" s="2">
        <f>IFERROR(__xludf.DUMMYFUNCTION("""COMPUTED_VALUE"""),13.16)</f>
        <v>13.16</v>
      </c>
      <c r="E104" s="2">
        <f>IFERROR(__xludf.DUMMYFUNCTION("""COMPUTED_VALUE"""),13.46)</f>
        <v>13.46</v>
      </c>
      <c r="F104" s="2">
        <f>IFERROR(__xludf.DUMMYFUNCTION("""COMPUTED_VALUE"""),631800.0)</f>
        <v>631800</v>
      </c>
    </row>
    <row r="105">
      <c r="A105" s="3">
        <f>IFERROR(__xludf.DUMMYFUNCTION("""COMPUTED_VALUE"""),29370.666666666668)</f>
        <v>29370.66667</v>
      </c>
      <c r="B105" s="2">
        <f>IFERROR(__xludf.DUMMYFUNCTION("""COMPUTED_VALUE"""),12.98)</f>
        <v>12.98</v>
      </c>
      <c r="C105" s="2">
        <f>IFERROR(__xludf.DUMMYFUNCTION("""COMPUTED_VALUE"""),13.4)</f>
        <v>13.4</v>
      </c>
      <c r="D105" s="2">
        <f>IFERROR(__xludf.DUMMYFUNCTION("""COMPUTED_VALUE"""),12.98)</f>
        <v>12.98</v>
      </c>
      <c r="E105" s="2">
        <f>IFERROR(__xludf.DUMMYFUNCTION("""COMPUTED_VALUE"""),12.98)</f>
        <v>12.98</v>
      </c>
      <c r="F105" s="2">
        <f>IFERROR(__xludf.DUMMYFUNCTION("""COMPUTED_VALUE"""),462300.0)</f>
        <v>462300</v>
      </c>
    </row>
    <row r="106">
      <c r="A106" s="3">
        <f>IFERROR(__xludf.DUMMYFUNCTION("""COMPUTED_VALUE"""),29371.666666666668)</f>
        <v>29371.66667</v>
      </c>
      <c r="B106" s="2">
        <f>IFERROR(__xludf.DUMMYFUNCTION("""COMPUTED_VALUE"""),13.22)</f>
        <v>13.22</v>
      </c>
      <c r="C106" s="2">
        <f>IFERROR(__xludf.DUMMYFUNCTION("""COMPUTED_VALUE"""),13.25)</f>
        <v>13.25</v>
      </c>
      <c r="D106" s="2">
        <f>IFERROR(__xludf.DUMMYFUNCTION("""COMPUTED_VALUE"""),12.92)</f>
        <v>12.92</v>
      </c>
      <c r="E106" s="2">
        <f>IFERROR(__xludf.DUMMYFUNCTION("""COMPUTED_VALUE"""),13.22)</f>
        <v>13.22</v>
      </c>
      <c r="F106" s="2">
        <f>IFERROR(__xludf.DUMMYFUNCTION("""COMPUTED_VALUE"""),440800.0)</f>
        <v>440800</v>
      </c>
    </row>
    <row r="107">
      <c r="A107" s="3">
        <f>IFERROR(__xludf.DUMMYFUNCTION("""COMPUTED_VALUE"""),29374.666666666668)</f>
        <v>29374.66667</v>
      </c>
      <c r="B107" s="2">
        <f>IFERROR(__xludf.DUMMYFUNCTION("""COMPUTED_VALUE"""),13.37)</f>
        <v>13.37</v>
      </c>
      <c r="C107" s="2">
        <f>IFERROR(__xludf.DUMMYFUNCTION("""COMPUTED_VALUE"""),13.7)</f>
        <v>13.7</v>
      </c>
      <c r="D107" s="2">
        <f>IFERROR(__xludf.DUMMYFUNCTION("""COMPUTED_VALUE"""),13.19)</f>
        <v>13.19</v>
      </c>
      <c r="E107" s="2">
        <f>IFERROR(__xludf.DUMMYFUNCTION("""COMPUTED_VALUE"""),13.37)</f>
        <v>13.37</v>
      </c>
      <c r="F107" s="2">
        <f>IFERROR(__xludf.DUMMYFUNCTION("""COMPUTED_VALUE"""),681900.0)</f>
        <v>681900</v>
      </c>
    </row>
    <row r="108">
      <c r="A108" s="3">
        <f>IFERROR(__xludf.DUMMYFUNCTION("""COMPUTED_VALUE"""),29375.666666666668)</f>
        <v>29375.66667</v>
      </c>
      <c r="B108" s="2">
        <f>IFERROR(__xludf.DUMMYFUNCTION("""COMPUTED_VALUE"""),13.46)</f>
        <v>13.46</v>
      </c>
      <c r="C108" s="2">
        <f>IFERROR(__xludf.DUMMYFUNCTION("""COMPUTED_VALUE"""),13.64)</f>
        <v>13.64</v>
      </c>
      <c r="D108" s="2">
        <f>IFERROR(__xludf.DUMMYFUNCTION("""COMPUTED_VALUE"""),13.37)</f>
        <v>13.37</v>
      </c>
      <c r="E108" s="2">
        <f>IFERROR(__xludf.DUMMYFUNCTION("""COMPUTED_VALUE"""),13.46)</f>
        <v>13.46</v>
      </c>
      <c r="F108" s="2">
        <f>IFERROR(__xludf.DUMMYFUNCTION("""COMPUTED_VALUE"""),654600.0)</f>
        <v>654600</v>
      </c>
    </row>
    <row r="109">
      <c r="A109" s="3">
        <f>IFERROR(__xludf.DUMMYFUNCTION("""COMPUTED_VALUE"""),29376.666666666668)</f>
        <v>29376.66667</v>
      </c>
      <c r="B109" s="2">
        <f>IFERROR(__xludf.DUMMYFUNCTION("""COMPUTED_VALUE"""),13.88)</f>
        <v>13.88</v>
      </c>
      <c r="C109" s="2">
        <f>IFERROR(__xludf.DUMMYFUNCTION("""COMPUTED_VALUE"""),13.88)</f>
        <v>13.88</v>
      </c>
      <c r="D109" s="2">
        <f>IFERROR(__xludf.DUMMYFUNCTION("""COMPUTED_VALUE"""),13.49)</f>
        <v>13.49</v>
      </c>
      <c r="E109" s="2">
        <f>IFERROR(__xludf.DUMMYFUNCTION("""COMPUTED_VALUE"""),13.88)</f>
        <v>13.88</v>
      </c>
      <c r="F109" s="2">
        <f>IFERROR(__xludf.DUMMYFUNCTION("""COMPUTED_VALUE"""),905900.0)</f>
        <v>905900</v>
      </c>
    </row>
    <row r="110">
      <c r="A110" s="3">
        <f>IFERROR(__xludf.DUMMYFUNCTION("""COMPUTED_VALUE"""),29377.666666666668)</f>
        <v>29377.66667</v>
      </c>
      <c r="B110" s="2">
        <f>IFERROR(__xludf.DUMMYFUNCTION("""COMPUTED_VALUE"""),13.61)</f>
        <v>13.61</v>
      </c>
      <c r="C110" s="2">
        <f>IFERROR(__xludf.DUMMYFUNCTION("""COMPUTED_VALUE"""),13.94)</f>
        <v>13.94</v>
      </c>
      <c r="D110" s="2">
        <f>IFERROR(__xludf.DUMMYFUNCTION("""COMPUTED_VALUE"""),13.58)</f>
        <v>13.58</v>
      </c>
      <c r="E110" s="2">
        <f>IFERROR(__xludf.DUMMYFUNCTION("""COMPUTED_VALUE"""),13.61)</f>
        <v>13.61</v>
      </c>
      <c r="F110" s="2">
        <f>IFERROR(__xludf.DUMMYFUNCTION("""COMPUTED_VALUE"""),653700.0)</f>
        <v>653700</v>
      </c>
    </row>
    <row r="111">
      <c r="A111" s="3">
        <f>IFERROR(__xludf.DUMMYFUNCTION("""COMPUTED_VALUE"""),29378.666666666668)</f>
        <v>29378.66667</v>
      </c>
      <c r="B111" s="2">
        <f>IFERROR(__xludf.DUMMYFUNCTION("""COMPUTED_VALUE"""),13.64)</f>
        <v>13.64</v>
      </c>
      <c r="C111" s="2">
        <f>IFERROR(__xludf.DUMMYFUNCTION("""COMPUTED_VALUE"""),13.82)</f>
        <v>13.82</v>
      </c>
      <c r="D111" s="2">
        <f>IFERROR(__xludf.DUMMYFUNCTION("""COMPUTED_VALUE"""),13.64)</f>
        <v>13.64</v>
      </c>
      <c r="E111" s="2">
        <f>IFERROR(__xludf.DUMMYFUNCTION("""COMPUTED_VALUE"""),13.64)</f>
        <v>13.64</v>
      </c>
      <c r="F111" s="2">
        <f>IFERROR(__xludf.DUMMYFUNCTION("""COMPUTED_VALUE"""),323400.0)</f>
        <v>323400</v>
      </c>
    </row>
    <row r="112">
      <c r="A112" s="3">
        <f>IFERROR(__xludf.DUMMYFUNCTION("""COMPUTED_VALUE"""),29381.666666666668)</f>
        <v>29381.66667</v>
      </c>
      <c r="B112" s="2">
        <f>IFERROR(__xludf.DUMMYFUNCTION("""COMPUTED_VALUE"""),13.55)</f>
        <v>13.55</v>
      </c>
      <c r="C112" s="2">
        <f>IFERROR(__xludf.DUMMYFUNCTION("""COMPUTED_VALUE"""),13.73)</f>
        <v>13.73</v>
      </c>
      <c r="D112" s="2">
        <f>IFERROR(__xludf.DUMMYFUNCTION("""COMPUTED_VALUE"""),13.52)</f>
        <v>13.52</v>
      </c>
      <c r="E112" s="2">
        <f>IFERROR(__xludf.DUMMYFUNCTION("""COMPUTED_VALUE"""),13.55)</f>
        <v>13.55</v>
      </c>
      <c r="F112" s="2">
        <f>IFERROR(__xludf.DUMMYFUNCTION("""COMPUTED_VALUE"""),317900.0)</f>
        <v>317900</v>
      </c>
    </row>
    <row r="113">
      <c r="A113" s="3">
        <f>IFERROR(__xludf.DUMMYFUNCTION("""COMPUTED_VALUE"""),29382.666666666668)</f>
        <v>29382.66667</v>
      </c>
      <c r="B113" s="2">
        <f>IFERROR(__xludf.DUMMYFUNCTION("""COMPUTED_VALUE"""),13.73)</f>
        <v>13.73</v>
      </c>
      <c r="C113" s="2">
        <f>IFERROR(__xludf.DUMMYFUNCTION("""COMPUTED_VALUE"""),13.79)</f>
        <v>13.79</v>
      </c>
      <c r="D113" s="2">
        <f>IFERROR(__xludf.DUMMYFUNCTION("""COMPUTED_VALUE"""),13.52)</f>
        <v>13.52</v>
      </c>
      <c r="E113" s="2">
        <f>IFERROR(__xludf.DUMMYFUNCTION("""COMPUTED_VALUE"""),13.73)</f>
        <v>13.73</v>
      </c>
      <c r="F113" s="2">
        <f>IFERROR(__xludf.DUMMYFUNCTION("""COMPUTED_VALUE"""),370000.0)</f>
        <v>370000</v>
      </c>
    </row>
    <row r="114">
      <c r="A114" s="3">
        <f>IFERROR(__xludf.DUMMYFUNCTION("""COMPUTED_VALUE"""),29383.666666666668)</f>
        <v>29383.66667</v>
      </c>
      <c r="B114" s="2">
        <f>IFERROR(__xludf.DUMMYFUNCTION("""COMPUTED_VALUE"""),13.85)</f>
        <v>13.85</v>
      </c>
      <c r="C114" s="2">
        <f>IFERROR(__xludf.DUMMYFUNCTION("""COMPUTED_VALUE"""),13.94)</f>
        <v>13.94</v>
      </c>
      <c r="D114" s="2">
        <f>IFERROR(__xludf.DUMMYFUNCTION("""COMPUTED_VALUE"""),13.67)</f>
        <v>13.67</v>
      </c>
      <c r="E114" s="2">
        <f>IFERROR(__xludf.DUMMYFUNCTION("""COMPUTED_VALUE"""),13.85)</f>
        <v>13.85</v>
      </c>
      <c r="F114" s="2">
        <f>IFERROR(__xludf.DUMMYFUNCTION("""COMPUTED_VALUE"""),511200.0)</f>
        <v>511200</v>
      </c>
    </row>
    <row r="115">
      <c r="A115" s="3">
        <f>IFERROR(__xludf.DUMMYFUNCTION("""COMPUTED_VALUE"""),29384.666666666668)</f>
        <v>29384.66667</v>
      </c>
      <c r="B115" s="2">
        <f>IFERROR(__xludf.DUMMYFUNCTION("""COMPUTED_VALUE"""),13.85)</f>
        <v>13.85</v>
      </c>
      <c r="C115" s="2">
        <f>IFERROR(__xludf.DUMMYFUNCTION("""COMPUTED_VALUE"""),13.94)</f>
        <v>13.94</v>
      </c>
      <c r="D115" s="2">
        <f>IFERROR(__xludf.DUMMYFUNCTION("""COMPUTED_VALUE"""),13.67)</f>
        <v>13.67</v>
      </c>
      <c r="E115" s="2">
        <f>IFERROR(__xludf.DUMMYFUNCTION("""COMPUTED_VALUE"""),13.85)</f>
        <v>13.85</v>
      </c>
      <c r="F115" s="2">
        <f>IFERROR(__xludf.DUMMYFUNCTION("""COMPUTED_VALUE"""),523600.0)</f>
        <v>523600</v>
      </c>
    </row>
    <row r="116">
      <c r="A116" s="3">
        <f>IFERROR(__xludf.DUMMYFUNCTION("""COMPUTED_VALUE"""),29385.666666666668)</f>
        <v>29385.66667</v>
      </c>
      <c r="B116" s="2">
        <f>IFERROR(__xludf.DUMMYFUNCTION("""COMPUTED_VALUE"""),14.06)</f>
        <v>14.06</v>
      </c>
      <c r="C116" s="2">
        <f>IFERROR(__xludf.DUMMYFUNCTION("""COMPUTED_VALUE"""),14.12)</f>
        <v>14.12</v>
      </c>
      <c r="D116" s="2">
        <f>IFERROR(__xludf.DUMMYFUNCTION("""COMPUTED_VALUE"""),13.82)</f>
        <v>13.82</v>
      </c>
      <c r="E116" s="2">
        <f>IFERROR(__xludf.DUMMYFUNCTION("""COMPUTED_VALUE"""),14.06)</f>
        <v>14.06</v>
      </c>
      <c r="F116" s="2">
        <f>IFERROR(__xludf.DUMMYFUNCTION("""COMPUTED_VALUE"""),451300.0)</f>
        <v>451300</v>
      </c>
    </row>
    <row r="117">
      <c r="A117" s="3">
        <f>IFERROR(__xludf.DUMMYFUNCTION("""COMPUTED_VALUE"""),29388.666666666668)</f>
        <v>29388.66667</v>
      </c>
      <c r="B117" s="2">
        <f>IFERROR(__xludf.DUMMYFUNCTION("""COMPUTED_VALUE"""),14.42)</f>
        <v>14.42</v>
      </c>
      <c r="C117" s="2">
        <f>IFERROR(__xludf.DUMMYFUNCTION("""COMPUTED_VALUE"""),14.42)</f>
        <v>14.42</v>
      </c>
      <c r="D117" s="2">
        <f>IFERROR(__xludf.DUMMYFUNCTION("""COMPUTED_VALUE"""),14.03)</f>
        <v>14.03</v>
      </c>
      <c r="E117" s="2">
        <f>IFERROR(__xludf.DUMMYFUNCTION("""COMPUTED_VALUE"""),14.42)</f>
        <v>14.42</v>
      </c>
      <c r="F117" s="2">
        <f>IFERROR(__xludf.DUMMYFUNCTION("""COMPUTED_VALUE"""),809900.0)</f>
        <v>809900</v>
      </c>
    </row>
    <row r="118">
      <c r="A118" s="3">
        <f>IFERROR(__xludf.DUMMYFUNCTION("""COMPUTED_VALUE"""),29389.666666666668)</f>
        <v>29389.66667</v>
      </c>
      <c r="B118" s="2">
        <f>IFERROR(__xludf.DUMMYFUNCTION("""COMPUTED_VALUE"""),14.06)</f>
        <v>14.06</v>
      </c>
      <c r="C118" s="2">
        <f>IFERROR(__xludf.DUMMYFUNCTION("""COMPUTED_VALUE"""),14.42)</f>
        <v>14.42</v>
      </c>
      <c r="D118" s="2">
        <f>IFERROR(__xludf.DUMMYFUNCTION("""COMPUTED_VALUE"""),14.06)</f>
        <v>14.06</v>
      </c>
      <c r="E118" s="2">
        <f>IFERROR(__xludf.DUMMYFUNCTION("""COMPUTED_VALUE"""),14.06)</f>
        <v>14.06</v>
      </c>
      <c r="F118" s="2">
        <f>IFERROR(__xludf.DUMMYFUNCTION("""COMPUTED_VALUE"""),537100.0)</f>
        <v>537100</v>
      </c>
    </row>
    <row r="119">
      <c r="A119" s="3">
        <f>IFERROR(__xludf.DUMMYFUNCTION("""COMPUTED_VALUE"""),29390.666666666668)</f>
        <v>29390.66667</v>
      </c>
      <c r="B119" s="2">
        <f>IFERROR(__xludf.DUMMYFUNCTION("""COMPUTED_VALUE"""),14.24)</f>
        <v>14.24</v>
      </c>
      <c r="C119" s="2">
        <f>IFERROR(__xludf.DUMMYFUNCTION("""COMPUTED_VALUE"""),14.27)</f>
        <v>14.27</v>
      </c>
      <c r="D119" s="2">
        <f>IFERROR(__xludf.DUMMYFUNCTION("""COMPUTED_VALUE"""),14.06)</f>
        <v>14.06</v>
      </c>
      <c r="E119" s="2">
        <f>IFERROR(__xludf.DUMMYFUNCTION("""COMPUTED_VALUE"""),14.24)</f>
        <v>14.24</v>
      </c>
      <c r="F119" s="2">
        <f>IFERROR(__xludf.DUMMYFUNCTION("""COMPUTED_VALUE"""),494500.0)</f>
        <v>494500</v>
      </c>
    </row>
    <row r="120">
      <c r="A120" s="3">
        <f>IFERROR(__xludf.DUMMYFUNCTION("""COMPUTED_VALUE"""),29391.666666666668)</f>
        <v>29391.66667</v>
      </c>
      <c r="B120" s="2">
        <f>IFERROR(__xludf.DUMMYFUNCTION("""COMPUTED_VALUE"""),13.82)</f>
        <v>13.82</v>
      </c>
      <c r="C120" s="2">
        <f>IFERROR(__xludf.DUMMYFUNCTION("""COMPUTED_VALUE"""),14.27)</f>
        <v>14.27</v>
      </c>
      <c r="D120" s="2">
        <f>IFERROR(__xludf.DUMMYFUNCTION("""COMPUTED_VALUE"""),13.76)</f>
        <v>13.76</v>
      </c>
      <c r="E120" s="2">
        <f>IFERROR(__xludf.DUMMYFUNCTION("""COMPUTED_VALUE"""),13.82)</f>
        <v>13.82</v>
      </c>
      <c r="F120" s="2">
        <f>IFERROR(__xludf.DUMMYFUNCTION("""COMPUTED_VALUE"""),335200.0)</f>
        <v>335200</v>
      </c>
    </row>
    <row r="121">
      <c r="A121" s="3">
        <f>IFERROR(__xludf.DUMMYFUNCTION("""COMPUTED_VALUE"""),29392.666666666668)</f>
        <v>29392.66667</v>
      </c>
      <c r="B121" s="2">
        <f>IFERROR(__xludf.DUMMYFUNCTION("""COMPUTED_VALUE"""),13.82)</f>
        <v>13.82</v>
      </c>
      <c r="C121" s="2">
        <f>IFERROR(__xludf.DUMMYFUNCTION("""COMPUTED_VALUE"""),13.94)</f>
        <v>13.94</v>
      </c>
      <c r="D121" s="2">
        <f>IFERROR(__xludf.DUMMYFUNCTION("""COMPUTED_VALUE"""),13.79)</f>
        <v>13.79</v>
      </c>
      <c r="E121" s="2">
        <f>IFERROR(__xludf.DUMMYFUNCTION("""COMPUTED_VALUE"""),13.82)</f>
        <v>13.82</v>
      </c>
      <c r="F121" s="2">
        <f>IFERROR(__xludf.DUMMYFUNCTION("""COMPUTED_VALUE"""),294300.0)</f>
        <v>294300</v>
      </c>
    </row>
    <row r="122">
      <c r="A122" s="3">
        <f>IFERROR(__xludf.DUMMYFUNCTION("""COMPUTED_VALUE"""),29395.666666666668)</f>
        <v>29395.66667</v>
      </c>
      <c r="B122" s="2">
        <f>IFERROR(__xludf.DUMMYFUNCTION("""COMPUTED_VALUE"""),14.06)</f>
        <v>14.06</v>
      </c>
      <c r="C122" s="2">
        <f>IFERROR(__xludf.DUMMYFUNCTION("""COMPUTED_VALUE"""),14.15)</f>
        <v>14.15</v>
      </c>
      <c r="D122" s="2">
        <f>IFERROR(__xludf.DUMMYFUNCTION("""COMPUTED_VALUE"""),13.82)</f>
        <v>13.82</v>
      </c>
      <c r="E122" s="2">
        <f>IFERROR(__xludf.DUMMYFUNCTION("""COMPUTED_VALUE"""),14.06)</f>
        <v>14.06</v>
      </c>
      <c r="F122" s="2">
        <f>IFERROR(__xludf.DUMMYFUNCTION("""COMPUTED_VALUE"""),547500.0)</f>
        <v>547500</v>
      </c>
    </row>
    <row r="123">
      <c r="A123" s="3">
        <f>IFERROR(__xludf.DUMMYFUNCTION("""COMPUTED_VALUE"""),29396.666666666668)</f>
        <v>29396.66667</v>
      </c>
      <c r="B123" s="2">
        <f>IFERROR(__xludf.DUMMYFUNCTION("""COMPUTED_VALUE"""),14.18)</f>
        <v>14.18</v>
      </c>
      <c r="C123" s="2">
        <f>IFERROR(__xludf.DUMMYFUNCTION("""COMPUTED_VALUE"""),14.18)</f>
        <v>14.18</v>
      </c>
      <c r="D123" s="2">
        <f>IFERROR(__xludf.DUMMYFUNCTION("""COMPUTED_VALUE"""),13.97)</f>
        <v>13.97</v>
      </c>
      <c r="E123" s="2">
        <f>IFERROR(__xludf.DUMMYFUNCTION("""COMPUTED_VALUE"""),14.18)</f>
        <v>14.18</v>
      </c>
      <c r="F123" s="2">
        <f>IFERROR(__xludf.DUMMYFUNCTION("""COMPUTED_VALUE"""),444700.0)</f>
        <v>444700</v>
      </c>
    </row>
    <row r="124">
      <c r="A124" s="3">
        <f>IFERROR(__xludf.DUMMYFUNCTION("""COMPUTED_VALUE"""),29397.666666666668)</f>
        <v>29397.66667</v>
      </c>
      <c r="B124" s="2">
        <f>IFERROR(__xludf.DUMMYFUNCTION("""COMPUTED_VALUE"""),14.27)</f>
        <v>14.27</v>
      </c>
      <c r="C124" s="2">
        <f>IFERROR(__xludf.DUMMYFUNCTION("""COMPUTED_VALUE"""),14.39)</f>
        <v>14.39</v>
      </c>
      <c r="D124" s="2">
        <f>IFERROR(__xludf.DUMMYFUNCTION("""COMPUTED_VALUE"""),14.09)</f>
        <v>14.09</v>
      </c>
      <c r="E124" s="2">
        <f>IFERROR(__xludf.DUMMYFUNCTION("""COMPUTED_VALUE"""),14.27)</f>
        <v>14.27</v>
      </c>
      <c r="F124" s="2">
        <f>IFERROR(__xludf.DUMMYFUNCTION("""COMPUTED_VALUE"""),572100.0)</f>
        <v>572100</v>
      </c>
    </row>
    <row r="125">
      <c r="A125" s="3">
        <f>IFERROR(__xludf.DUMMYFUNCTION("""COMPUTED_VALUE"""),29398.666666666668)</f>
        <v>29398.66667</v>
      </c>
      <c r="B125" s="2">
        <f>IFERROR(__xludf.DUMMYFUNCTION("""COMPUTED_VALUE"""),14.15)</f>
        <v>14.15</v>
      </c>
      <c r="C125" s="2">
        <f>IFERROR(__xludf.DUMMYFUNCTION("""COMPUTED_VALUE"""),14.39)</f>
        <v>14.39</v>
      </c>
      <c r="D125" s="2">
        <f>IFERROR(__xludf.DUMMYFUNCTION("""COMPUTED_VALUE"""),14.12)</f>
        <v>14.12</v>
      </c>
      <c r="E125" s="2">
        <f>IFERROR(__xludf.DUMMYFUNCTION("""COMPUTED_VALUE"""),14.15)</f>
        <v>14.15</v>
      </c>
      <c r="F125" s="2">
        <f>IFERROR(__xludf.DUMMYFUNCTION("""COMPUTED_VALUE"""),487200.0)</f>
        <v>487200</v>
      </c>
    </row>
    <row r="126">
      <c r="A126" s="3">
        <f>IFERROR(__xludf.DUMMYFUNCTION("""COMPUTED_VALUE"""),29399.666666666668)</f>
        <v>29399.66667</v>
      </c>
      <c r="B126" s="2">
        <f>IFERROR(__xludf.DUMMYFUNCTION("""COMPUTED_VALUE"""),14.27)</f>
        <v>14.27</v>
      </c>
      <c r="C126" s="2">
        <f>IFERROR(__xludf.DUMMYFUNCTION("""COMPUTED_VALUE"""),14.33)</f>
        <v>14.33</v>
      </c>
      <c r="D126" s="2">
        <f>IFERROR(__xludf.DUMMYFUNCTION("""COMPUTED_VALUE"""),14.03)</f>
        <v>14.03</v>
      </c>
      <c r="E126" s="2">
        <f>IFERROR(__xludf.DUMMYFUNCTION("""COMPUTED_VALUE"""),14.27)</f>
        <v>14.27</v>
      </c>
      <c r="F126" s="2">
        <f>IFERROR(__xludf.DUMMYFUNCTION("""COMPUTED_VALUE"""),341100.0)</f>
        <v>341100</v>
      </c>
    </row>
    <row r="127">
      <c r="A127" s="3">
        <f>IFERROR(__xludf.DUMMYFUNCTION("""COMPUTED_VALUE"""),29402.666666666668)</f>
        <v>29402.66667</v>
      </c>
      <c r="B127" s="2">
        <f>IFERROR(__xludf.DUMMYFUNCTION("""COMPUTED_VALUE"""),14.03)</f>
        <v>14.03</v>
      </c>
      <c r="C127" s="2">
        <f>IFERROR(__xludf.DUMMYFUNCTION("""COMPUTED_VALUE"""),14.21)</f>
        <v>14.21</v>
      </c>
      <c r="D127" s="2">
        <f>IFERROR(__xludf.DUMMYFUNCTION("""COMPUTED_VALUE"""),13.94)</f>
        <v>13.94</v>
      </c>
      <c r="E127" s="2">
        <f>IFERROR(__xludf.DUMMYFUNCTION("""COMPUTED_VALUE"""),14.03)</f>
        <v>14.03</v>
      </c>
      <c r="F127" s="2">
        <f>IFERROR(__xludf.DUMMYFUNCTION("""COMPUTED_VALUE"""),303100.0)</f>
        <v>303100</v>
      </c>
    </row>
    <row r="128">
      <c r="A128" s="3">
        <f>IFERROR(__xludf.DUMMYFUNCTION("""COMPUTED_VALUE"""),29403.666666666668)</f>
        <v>29403.66667</v>
      </c>
      <c r="B128" s="2">
        <f>IFERROR(__xludf.DUMMYFUNCTION("""COMPUTED_VALUE"""),14.21)</f>
        <v>14.21</v>
      </c>
      <c r="C128" s="2">
        <f>IFERROR(__xludf.DUMMYFUNCTION("""COMPUTED_VALUE"""),14.24)</f>
        <v>14.24</v>
      </c>
      <c r="D128" s="2">
        <f>IFERROR(__xludf.DUMMYFUNCTION("""COMPUTED_VALUE"""),13.94)</f>
        <v>13.94</v>
      </c>
      <c r="E128" s="2">
        <f>IFERROR(__xludf.DUMMYFUNCTION("""COMPUTED_VALUE"""),14.21)</f>
        <v>14.21</v>
      </c>
      <c r="F128" s="2">
        <f>IFERROR(__xludf.DUMMYFUNCTION("""COMPUTED_VALUE"""),407000.0)</f>
        <v>407000</v>
      </c>
    </row>
    <row r="129">
      <c r="A129" s="3">
        <f>IFERROR(__xludf.DUMMYFUNCTION("""COMPUTED_VALUE"""),29404.666666666668)</f>
        <v>29404.66667</v>
      </c>
      <c r="B129" s="2">
        <f>IFERROR(__xludf.DUMMYFUNCTION("""COMPUTED_VALUE"""),14.48)</f>
        <v>14.48</v>
      </c>
      <c r="C129" s="2">
        <f>IFERROR(__xludf.DUMMYFUNCTION("""COMPUTED_VALUE"""),14.57)</f>
        <v>14.57</v>
      </c>
      <c r="D129" s="2">
        <f>IFERROR(__xludf.DUMMYFUNCTION("""COMPUTED_VALUE"""),14.18)</f>
        <v>14.18</v>
      </c>
      <c r="E129" s="2">
        <f>IFERROR(__xludf.DUMMYFUNCTION("""COMPUTED_VALUE"""),14.48)</f>
        <v>14.48</v>
      </c>
      <c r="F129" s="2">
        <f>IFERROR(__xludf.DUMMYFUNCTION("""COMPUTED_VALUE"""),639100.0)</f>
        <v>639100</v>
      </c>
    </row>
    <row r="130">
      <c r="A130" s="3">
        <f>IFERROR(__xludf.DUMMYFUNCTION("""COMPUTED_VALUE"""),29405.666666666668)</f>
        <v>29405.66667</v>
      </c>
      <c r="B130" s="2">
        <f>IFERROR(__xludf.DUMMYFUNCTION("""COMPUTED_VALUE"""),14.6)</f>
        <v>14.6</v>
      </c>
      <c r="C130" s="2">
        <f>IFERROR(__xludf.DUMMYFUNCTION("""COMPUTED_VALUE"""),14.69)</f>
        <v>14.69</v>
      </c>
      <c r="D130" s="2">
        <f>IFERROR(__xludf.DUMMYFUNCTION("""COMPUTED_VALUE"""),14.48)</f>
        <v>14.48</v>
      </c>
      <c r="E130" s="2">
        <f>IFERROR(__xludf.DUMMYFUNCTION("""COMPUTED_VALUE"""),14.6)</f>
        <v>14.6</v>
      </c>
      <c r="F130" s="2">
        <f>IFERROR(__xludf.DUMMYFUNCTION("""COMPUTED_VALUE"""),465800.0)</f>
        <v>465800</v>
      </c>
    </row>
    <row r="131">
      <c r="A131" s="3">
        <f>IFERROR(__xludf.DUMMYFUNCTION("""COMPUTED_VALUE"""),29409.666666666668)</f>
        <v>29409.66667</v>
      </c>
      <c r="B131" s="2">
        <f>IFERROR(__xludf.DUMMYFUNCTION("""COMPUTED_VALUE"""),14.81)</f>
        <v>14.81</v>
      </c>
      <c r="C131" s="2">
        <f>IFERROR(__xludf.DUMMYFUNCTION("""COMPUTED_VALUE"""),14.86)</f>
        <v>14.86</v>
      </c>
      <c r="D131" s="2">
        <f>IFERROR(__xludf.DUMMYFUNCTION("""COMPUTED_VALUE"""),14.57)</f>
        <v>14.57</v>
      </c>
      <c r="E131" s="2">
        <f>IFERROR(__xludf.DUMMYFUNCTION("""COMPUTED_VALUE"""),14.81)</f>
        <v>14.81</v>
      </c>
      <c r="F131" s="2">
        <f>IFERROR(__xludf.DUMMYFUNCTION("""COMPUTED_VALUE"""),588500.0)</f>
        <v>588500</v>
      </c>
    </row>
    <row r="132">
      <c r="A132" s="3">
        <f>IFERROR(__xludf.DUMMYFUNCTION("""COMPUTED_VALUE"""),29410.666666666668)</f>
        <v>29410.66667</v>
      </c>
      <c r="B132" s="2">
        <f>IFERROR(__xludf.DUMMYFUNCTION("""COMPUTED_VALUE"""),14.75)</f>
        <v>14.75</v>
      </c>
      <c r="C132" s="2">
        <f>IFERROR(__xludf.DUMMYFUNCTION("""COMPUTED_VALUE"""),14.86)</f>
        <v>14.86</v>
      </c>
      <c r="D132" s="2">
        <f>IFERROR(__xludf.DUMMYFUNCTION("""COMPUTED_VALUE"""),14.63)</f>
        <v>14.63</v>
      </c>
      <c r="E132" s="2">
        <f>IFERROR(__xludf.DUMMYFUNCTION("""COMPUTED_VALUE"""),14.75)</f>
        <v>14.75</v>
      </c>
      <c r="F132" s="2">
        <f>IFERROR(__xludf.DUMMYFUNCTION("""COMPUTED_VALUE"""),503000.0)</f>
        <v>503000</v>
      </c>
    </row>
    <row r="133">
      <c r="A133" s="3">
        <f>IFERROR(__xludf.DUMMYFUNCTION("""COMPUTED_VALUE"""),29411.666666666668)</f>
        <v>29411.66667</v>
      </c>
      <c r="B133" s="2">
        <f>IFERROR(__xludf.DUMMYFUNCTION("""COMPUTED_VALUE"""),14.69)</f>
        <v>14.69</v>
      </c>
      <c r="C133" s="2">
        <f>IFERROR(__xludf.DUMMYFUNCTION("""COMPUTED_VALUE"""),15.01)</f>
        <v>15.01</v>
      </c>
      <c r="D133" s="2">
        <f>IFERROR(__xludf.DUMMYFUNCTION("""COMPUTED_VALUE"""),14.63)</f>
        <v>14.63</v>
      </c>
      <c r="E133" s="2">
        <f>IFERROR(__xludf.DUMMYFUNCTION("""COMPUTED_VALUE"""),14.69)</f>
        <v>14.69</v>
      </c>
      <c r="F133" s="2">
        <f>IFERROR(__xludf.DUMMYFUNCTION("""COMPUTED_VALUE"""),477800.0)</f>
        <v>477800</v>
      </c>
    </row>
    <row r="134">
      <c r="A134" s="3">
        <f>IFERROR(__xludf.DUMMYFUNCTION("""COMPUTED_VALUE"""),29412.666666666668)</f>
        <v>29412.66667</v>
      </c>
      <c r="B134" s="2">
        <f>IFERROR(__xludf.DUMMYFUNCTION("""COMPUTED_VALUE"""),14.72)</f>
        <v>14.72</v>
      </c>
      <c r="C134" s="2">
        <f>IFERROR(__xludf.DUMMYFUNCTION("""COMPUTED_VALUE"""),14.89)</f>
        <v>14.89</v>
      </c>
      <c r="D134" s="2">
        <f>IFERROR(__xludf.DUMMYFUNCTION("""COMPUTED_VALUE"""),14.63)</f>
        <v>14.63</v>
      </c>
      <c r="E134" s="2">
        <f>IFERROR(__xludf.DUMMYFUNCTION("""COMPUTED_VALUE"""),14.72)</f>
        <v>14.72</v>
      </c>
      <c r="F134" s="2">
        <f>IFERROR(__xludf.DUMMYFUNCTION("""COMPUTED_VALUE"""),351900.0)</f>
        <v>351900</v>
      </c>
    </row>
    <row r="135">
      <c r="A135" s="3">
        <f>IFERROR(__xludf.DUMMYFUNCTION("""COMPUTED_VALUE"""),29413.666666666668)</f>
        <v>29413.66667</v>
      </c>
      <c r="B135" s="2">
        <f>IFERROR(__xludf.DUMMYFUNCTION("""COMPUTED_VALUE"""),14.98)</f>
        <v>14.98</v>
      </c>
      <c r="C135" s="2">
        <f>IFERROR(__xludf.DUMMYFUNCTION("""COMPUTED_VALUE"""),15.01)</f>
        <v>15.01</v>
      </c>
      <c r="D135" s="2">
        <f>IFERROR(__xludf.DUMMYFUNCTION("""COMPUTED_VALUE"""),14.72)</f>
        <v>14.72</v>
      </c>
      <c r="E135" s="2">
        <f>IFERROR(__xludf.DUMMYFUNCTION("""COMPUTED_VALUE"""),14.98)</f>
        <v>14.98</v>
      </c>
      <c r="F135" s="2">
        <f>IFERROR(__xludf.DUMMYFUNCTION("""COMPUTED_VALUE"""),431300.0)</f>
        <v>431300</v>
      </c>
    </row>
    <row r="136">
      <c r="A136" s="3">
        <f>IFERROR(__xludf.DUMMYFUNCTION("""COMPUTED_VALUE"""),29416.666666666668)</f>
        <v>29416.66667</v>
      </c>
      <c r="B136" s="2">
        <f>IFERROR(__xludf.DUMMYFUNCTION("""COMPUTED_VALUE"""),15.52)</f>
        <v>15.52</v>
      </c>
      <c r="C136" s="2">
        <f>IFERROR(__xludf.DUMMYFUNCTION("""COMPUTED_VALUE"""),15.52)</f>
        <v>15.52</v>
      </c>
      <c r="D136" s="2">
        <f>IFERROR(__xludf.DUMMYFUNCTION("""COMPUTED_VALUE"""),14.98)</f>
        <v>14.98</v>
      </c>
      <c r="E136" s="2">
        <f>IFERROR(__xludf.DUMMYFUNCTION("""COMPUTED_VALUE"""),15.52)</f>
        <v>15.52</v>
      </c>
      <c r="F136" s="2">
        <f>IFERROR(__xludf.DUMMYFUNCTION("""COMPUTED_VALUE"""),504800.0)</f>
        <v>504800</v>
      </c>
    </row>
    <row r="137">
      <c r="A137" s="3">
        <f>IFERROR(__xludf.DUMMYFUNCTION("""COMPUTED_VALUE"""),29417.666666666668)</f>
        <v>29417.66667</v>
      </c>
      <c r="B137" s="2">
        <f>IFERROR(__xludf.DUMMYFUNCTION("""COMPUTED_VALUE"""),15.22)</f>
        <v>15.22</v>
      </c>
      <c r="C137" s="2">
        <f>IFERROR(__xludf.DUMMYFUNCTION("""COMPUTED_VALUE"""),15.58)</f>
        <v>15.58</v>
      </c>
      <c r="D137" s="2">
        <f>IFERROR(__xludf.DUMMYFUNCTION("""COMPUTED_VALUE"""),15.22)</f>
        <v>15.22</v>
      </c>
      <c r="E137" s="2">
        <f>IFERROR(__xludf.DUMMYFUNCTION("""COMPUTED_VALUE"""),15.22)</f>
        <v>15.22</v>
      </c>
      <c r="F137" s="2">
        <f>IFERROR(__xludf.DUMMYFUNCTION("""COMPUTED_VALUE"""),553300.0)</f>
        <v>553300</v>
      </c>
    </row>
    <row r="138">
      <c r="A138" s="3">
        <f>IFERROR(__xludf.DUMMYFUNCTION("""COMPUTED_VALUE"""),29418.666666666668)</f>
        <v>29418.66667</v>
      </c>
      <c r="B138" s="2">
        <f>IFERROR(__xludf.DUMMYFUNCTION("""COMPUTED_VALUE"""),15.34)</f>
        <v>15.34</v>
      </c>
      <c r="C138" s="2">
        <f>IFERROR(__xludf.DUMMYFUNCTION("""COMPUTED_VALUE"""),15.43)</f>
        <v>15.43</v>
      </c>
      <c r="D138" s="2">
        <f>IFERROR(__xludf.DUMMYFUNCTION("""COMPUTED_VALUE"""),15.19)</f>
        <v>15.19</v>
      </c>
      <c r="E138" s="2">
        <f>IFERROR(__xludf.DUMMYFUNCTION("""COMPUTED_VALUE"""),15.34)</f>
        <v>15.34</v>
      </c>
      <c r="F138" s="2">
        <f>IFERROR(__xludf.DUMMYFUNCTION("""COMPUTED_VALUE"""),528300.0)</f>
        <v>528300</v>
      </c>
    </row>
    <row r="139">
      <c r="A139" s="3">
        <f>IFERROR(__xludf.DUMMYFUNCTION("""COMPUTED_VALUE"""),29419.666666666668)</f>
        <v>29419.66667</v>
      </c>
      <c r="B139" s="2">
        <f>IFERROR(__xludf.DUMMYFUNCTION("""COMPUTED_VALUE"""),15.67)</f>
        <v>15.67</v>
      </c>
      <c r="C139" s="2">
        <f>IFERROR(__xludf.DUMMYFUNCTION("""COMPUTED_VALUE"""),15.67)</f>
        <v>15.67</v>
      </c>
      <c r="D139" s="2">
        <f>IFERROR(__xludf.DUMMYFUNCTION("""COMPUTED_VALUE"""),15.28)</f>
        <v>15.28</v>
      </c>
      <c r="E139" s="2">
        <f>IFERROR(__xludf.DUMMYFUNCTION("""COMPUTED_VALUE"""),15.67)</f>
        <v>15.67</v>
      </c>
      <c r="F139" s="2">
        <f>IFERROR(__xludf.DUMMYFUNCTION("""COMPUTED_VALUE"""),305000.0)</f>
        <v>305000</v>
      </c>
    </row>
    <row r="140">
      <c r="A140" s="3">
        <f>IFERROR(__xludf.DUMMYFUNCTION("""COMPUTED_VALUE"""),29420.666666666668)</f>
        <v>29420.66667</v>
      </c>
      <c r="B140" s="2">
        <f>IFERROR(__xludf.DUMMYFUNCTION("""COMPUTED_VALUE"""),15.55)</f>
        <v>15.55</v>
      </c>
      <c r="C140" s="2">
        <f>IFERROR(__xludf.DUMMYFUNCTION("""COMPUTED_VALUE"""),15.7)</f>
        <v>15.7</v>
      </c>
      <c r="D140" s="2">
        <f>IFERROR(__xludf.DUMMYFUNCTION("""COMPUTED_VALUE"""),15.49)</f>
        <v>15.49</v>
      </c>
      <c r="E140" s="2">
        <f>IFERROR(__xludf.DUMMYFUNCTION("""COMPUTED_VALUE"""),15.55)</f>
        <v>15.55</v>
      </c>
      <c r="F140" s="2">
        <f>IFERROR(__xludf.DUMMYFUNCTION("""COMPUTED_VALUE"""),438100.0)</f>
        <v>438100</v>
      </c>
    </row>
    <row r="141">
      <c r="A141" s="3">
        <f>IFERROR(__xludf.DUMMYFUNCTION("""COMPUTED_VALUE"""),29423.666666666668)</f>
        <v>29423.66667</v>
      </c>
      <c r="B141" s="2">
        <f>IFERROR(__xludf.DUMMYFUNCTION("""COMPUTED_VALUE"""),15.76)</f>
        <v>15.76</v>
      </c>
      <c r="C141" s="2">
        <f>IFERROR(__xludf.DUMMYFUNCTION("""COMPUTED_VALUE"""),15.76)</f>
        <v>15.76</v>
      </c>
      <c r="D141" s="2">
        <f>IFERROR(__xludf.DUMMYFUNCTION("""COMPUTED_VALUE"""),15.34)</f>
        <v>15.34</v>
      </c>
      <c r="E141" s="2">
        <f>IFERROR(__xludf.DUMMYFUNCTION("""COMPUTED_VALUE"""),15.76)</f>
        <v>15.76</v>
      </c>
      <c r="F141" s="2">
        <f>IFERROR(__xludf.DUMMYFUNCTION("""COMPUTED_VALUE"""),437200.0)</f>
        <v>437200</v>
      </c>
    </row>
    <row r="142">
      <c r="A142" s="3">
        <f>IFERROR(__xludf.DUMMYFUNCTION("""COMPUTED_VALUE"""),29424.666666666668)</f>
        <v>29424.66667</v>
      </c>
      <c r="B142" s="2">
        <f>IFERROR(__xludf.DUMMYFUNCTION("""COMPUTED_VALUE"""),15.55)</f>
        <v>15.55</v>
      </c>
      <c r="C142" s="2">
        <f>IFERROR(__xludf.DUMMYFUNCTION("""COMPUTED_VALUE"""),15.79)</f>
        <v>15.79</v>
      </c>
      <c r="D142" s="2">
        <f>IFERROR(__xludf.DUMMYFUNCTION("""COMPUTED_VALUE"""),15.46)</f>
        <v>15.46</v>
      </c>
      <c r="E142" s="2">
        <f>IFERROR(__xludf.DUMMYFUNCTION("""COMPUTED_VALUE"""),15.55)</f>
        <v>15.55</v>
      </c>
      <c r="F142" s="2">
        <f>IFERROR(__xludf.DUMMYFUNCTION("""COMPUTED_VALUE"""),553000.0)</f>
        <v>553000</v>
      </c>
    </row>
    <row r="143">
      <c r="A143" s="3">
        <f>IFERROR(__xludf.DUMMYFUNCTION("""COMPUTED_VALUE"""),29425.666666666668)</f>
        <v>29425.66667</v>
      </c>
      <c r="B143" s="2">
        <f>IFERROR(__xludf.DUMMYFUNCTION("""COMPUTED_VALUE"""),15.49)</f>
        <v>15.49</v>
      </c>
      <c r="C143" s="2">
        <f>IFERROR(__xludf.DUMMYFUNCTION("""COMPUTED_VALUE"""),15.61)</f>
        <v>15.61</v>
      </c>
      <c r="D143" s="2">
        <f>IFERROR(__xludf.DUMMYFUNCTION("""COMPUTED_VALUE"""),15.37)</f>
        <v>15.37</v>
      </c>
      <c r="E143" s="2">
        <f>IFERROR(__xludf.DUMMYFUNCTION("""COMPUTED_VALUE"""),15.49)</f>
        <v>15.49</v>
      </c>
      <c r="F143" s="2">
        <f>IFERROR(__xludf.DUMMYFUNCTION("""COMPUTED_VALUE"""),449000.0)</f>
        <v>449000</v>
      </c>
    </row>
    <row r="144">
      <c r="A144" s="3">
        <f>IFERROR(__xludf.DUMMYFUNCTION("""COMPUTED_VALUE"""),29426.666666666668)</f>
        <v>29426.66667</v>
      </c>
      <c r="B144" s="2">
        <f>IFERROR(__xludf.DUMMYFUNCTION("""COMPUTED_VALUE"""),15.46)</f>
        <v>15.46</v>
      </c>
      <c r="C144" s="2">
        <f>IFERROR(__xludf.DUMMYFUNCTION("""COMPUTED_VALUE"""),15.52)</f>
        <v>15.52</v>
      </c>
      <c r="D144" s="2">
        <f>IFERROR(__xludf.DUMMYFUNCTION("""COMPUTED_VALUE"""),15.34)</f>
        <v>15.34</v>
      </c>
      <c r="E144" s="2">
        <f>IFERROR(__xludf.DUMMYFUNCTION("""COMPUTED_VALUE"""),15.46)</f>
        <v>15.46</v>
      </c>
      <c r="F144" s="2">
        <f>IFERROR(__xludf.DUMMYFUNCTION("""COMPUTED_VALUE"""),397400.0)</f>
        <v>397400</v>
      </c>
    </row>
    <row r="145">
      <c r="A145" s="3">
        <f>IFERROR(__xludf.DUMMYFUNCTION("""COMPUTED_VALUE"""),29427.666666666668)</f>
        <v>29427.66667</v>
      </c>
      <c r="B145" s="2">
        <f>IFERROR(__xludf.DUMMYFUNCTION("""COMPUTED_VALUE"""),15.37)</f>
        <v>15.37</v>
      </c>
      <c r="C145" s="2">
        <f>IFERROR(__xludf.DUMMYFUNCTION("""COMPUTED_VALUE"""),15.43)</f>
        <v>15.43</v>
      </c>
      <c r="D145" s="2">
        <f>IFERROR(__xludf.DUMMYFUNCTION("""COMPUTED_VALUE"""),15.25)</f>
        <v>15.25</v>
      </c>
      <c r="E145" s="2">
        <f>IFERROR(__xludf.DUMMYFUNCTION("""COMPUTED_VALUE"""),15.37)</f>
        <v>15.37</v>
      </c>
      <c r="F145" s="2">
        <f>IFERROR(__xludf.DUMMYFUNCTION("""COMPUTED_VALUE"""),375800.0)</f>
        <v>375800</v>
      </c>
    </row>
    <row r="146">
      <c r="A146" s="3">
        <f>IFERROR(__xludf.DUMMYFUNCTION("""COMPUTED_VALUE"""),29430.666666666668)</f>
        <v>29430.66667</v>
      </c>
      <c r="B146" s="2">
        <f>IFERROR(__xludf.DUMMYFUNCTION("""COMPUTED_VALUE"""),15.52)</f>
        <v>15.52</v>
      </c>
      <c r="C146" s="2">
        <f>IFERROR(__xludf.DUMMYFUNCTION("""COMPUTED_VALUE"""),15.58)</f>
        <v>15.58</v>
      </c>
      <c r="D146" s="2">
        <f>IFERROR(__xludf.DUMMYFUNCTION("""COMPUTED_VALUE"""),15.28)</f>
        <v>15.28</v>
      </c>
      <c r="E146" s="2">
        <f>IFERROR(__xludf.DUMMYFUNCTION("""COMPUTED_VALUE"""),15.52)</f>
        <v>15.52</v>
      </c>
      <c r="F146" s="2">
        <f>IFERROR(__xludf.DUMMYFUNCTION("""COMPUTED_VALUE"""),270800.0)</f>
        <v>270800</v>
      </c>
    </row>
    <row r="147">
      <c r="A147" s="3">
        <f>IFERROR(__xludf.DUMMYFUNCTION("""COMPUTED_VALUE"""),29431.666666666668)</f>
        <v>29431.66667</v>
      </c>
      <c r="B147" s="2">
        <f>IFERROR(__xludf.DUMMYFUNCTION("""COMPUTED_VALUE"""),15.55)</f>
        <v>15.55</v>
      </c>
      <c r="C147" s="2">
        <f>IFERROR(__xludf.DUMMYFUNCTION("""COMPUTED_VALUE"""),15.64)</f>
        <v>15.64</v>
      </c>
      <c r="D147" s="2">
        <f>IFERROR(__xludf.DUMMYFUNCTION("""COMPUTED_VALUE"""),15.37)</f>
        <v>15.37</v>
      </c>
      <c r="E147" s="2">
        <f>IFERROR(__xludf.DUMMYFUNCTION("""COMPUTED_VALUE"""),15.55)</f>
        <v>15.55</v>
      </c>
      <c r="F147" s="2">
        <f>IFERROR(__xludf.DUMMYFUNCTION("""COMPUTED_VALUE"""),410600.0)</f>
        <v>410600</v>
      </c>
    </row>
    <row r="148">
      <c r="A148" s="3">
        <f>IFERROR(__xludf.DUMMYFUNCTION("""COMPUTED_VALUE"""),29432.666666666668)</f>
        <v>29432.66667</v>
      </c>
      <c r="B148" s="2">
        <f>IFERROR(__xludf.DUMMYFUNCTION("""COMPUTED_VALUE"""),15.64)</f>
        <v>15.64</v>
      </c>
      <c r="C148" s="2">
        <f>IFERROR(__xludf.DUMMYFUNCTION("""COMPUTED_VALUE"""),15.76)</f>
        <v>15.76</v>
      </c>
      <c r="D148" s="2">
        <f>IFERROR(__xludf.DUMMYFUNCTION("""COMPUTED_VALUE"""),15.55)</f>
        <v>15.55</v>
      </c>
      <c r="E148" s="2">
        <f>IFERROR(__xludf.DUMMYFUNCTION("""COMPUTED_VALUE"""),15.64)</f>
        <v>15.64</v>
      </c>
      <c r="F148" s="2">
        <f>IFERROR(__xludf.DUMMYFUNCTION("""COMPUTED_VALUE"""),555700.0)</f>
        <v>555700</v>
      </c>
    </row>
    <row r="149">
      <c r="A149" s="3">
        <f>IFERROR(__xludf.DUMMYFUNCTION("""COMPUTED_VALUE"""),29433.666666666668)</f>
        <v>29433.66667</v>
      </c>
      <c r="B149" s="2">
        <f>IFERROR(__xludf.DUMMYFUNCTION("""COMPUTED_VALUE"""),15.58)</f>
        <v>15.58</v>
      </c>
      <c r="C149" s="2">
        <f>IFERROR(__xludf.DUMMYFUNCTION("""COMPUTED_VALUE"""),15.61)</f>
        <v>15.61</v>
      </c>
      <c r="D149" s="2">
        <f>IFERROR(__xludf.DUMMYFUNCTION("""COMPUTED_VALUE"""),15.37)</f>
        <v>15.37</v>
      </c>
      <c r="E149" s="2">
        <f>IFERROR(__xludf.DUMMYFUNCTION("""COMPUTED_VALUE"""),15.58)</f>
        <v>15.58</v>
      </c>
      <c r="F149" s="2">
        <f>IFERROR(__xludf.DUMMYFUNCTION("""COMPUTED_VALUE"""),644100.0)</f>
        <v>644100</v>
      </c>
    </row>
    <row r="150">
      <c r="A150" s="3">
        <f>IFERROR(__xludf.DUMMYFUNCTION("""COMPUTED_VALUE"""),29434.666666666668)</f>
        <v>29434.66667</v>
      </c>
      <c r="B150" s="2">
        <f>IFERROR(__xludf.DUMMYFUNCTION("""COMPUTED_VALUE"""),15.55)</f>
        <v>15.55</v>
      </c>
      <c r="C150" s="2">
        <f>IFERROR(__xludf.DUMMYFUNCTION("""COMPUTED_VALUE"""),15.61)</f>
        <v>15.61</v>
      </c>
      <c r="D150" s="2">
        <f>IFERROR(__xludf.DUMMYFUNCTION("""COMPUTED_VALUE"""),15.37)</f>
        <v>15.37</v>
      </c>
      <c r="E150" s="2">
        <f>IFERROR(__xludf.DUMMYFUNCTION("""COMPUTED_VALUE"""),15.55)</f>
        <v>15.55</v>
      </c>
      <c r="F150" s="2">
        <f>IFERROR(__xludf.DUMMYFUNCTION("""COMPUTED_VALUE"""),450700.0)</f>
        <v>450700</v>
      </c>
    </row>
    <row r="151">
      <c r="A151" s="3">
        <f>IFERROR(__xludf.DUMMYFUNCTION("""COMPUTED_VALUE"""),29437.666666666668)</f>
        <v>29437.66667</v>
      </c>
      <c r="B151" s="2">
        <f>IFERROR(__xludf.DUMMYFUNCTION("""COMPUTED_VALUE"""),15.46)</f>
        <v>15.46</v>
      </c>
      <c r="C151" s="2">
        <f>IFERROR(__xludf.DUMMYFUNCTION("""COMPUTED_VALUE"""),15.52)</f>
        <v>15.52</v>
      </c>
      <c r="D151" s="2">
        <f>IFERROR(__xludf.DUMMYFUNCTION("""COMPUTED_VALUE"""),15.4)</f>
        <v>15.4</v>
      </c>
      <c r="E151" s="2">
        <f>IFERROR(__xludf.DUMMYFUNCTION("""COMPUTED_VALUE"""),15.46)</f>
        <v>15.46</v>
      </c>
      <c r="F151" s="2">
        <f>IFERROR(__xludf.DUMMYFUNCTION("""COMPUTED_VALUE"""),373600.0)</f>
        <v>373600</v>
      </c>
    </row>
    <row r="152">
      <c r="A152" s="3">
        <f>IFERROR(__xludf.DUMMYFUNCTION("""COMPUTED_VALUE"""),29438.666666666668)</f>
        <v>29438.66667</v>
      </c>
      <c r="B152" s="2">
        <f>IFERROR(__xludf.DUMMYFUNCTION("""COMPUTED_VALUE"""),15.34)</f>
        <v>15.34</v>
      </c>
      <c r="C152" s="2">
        <f>IFERROR(__xludf.DUMMYFUNCTION("""COMPUTED_VALUE"""),15.61)</f>
        <v>15.61</v>
      </c>
      <c r="D152" s="2">
        <f>IFERROR(__xludf.DUMMYFUNCTION("""COMPUTED_VALUE"""),15.31)</f>
        <v>15.31</v>
      </c>
      <c r="E152" s="2">
        <f>IFERROR(__xludf.DUMMYFUNCTION("""COMPUTED_VALUE"""),15.34)</f>
        <v>15.34</v>
      </c>
      <c r="F152" s="2">
        <f>IFERROR(__xludf.DUMMYFUNCTION("""COMPUTED_VALUE"""),315800.0)</f>
        <v>315800</v>
      </c>
    </row>
    <row r="153">
      <c r="A153" s="3">
        <f>IFERROR(__xludf.DUMMYFUNCTION("""COMPUTED_VALUE"""),29439.666666666668)</f>
        <v>29439.66667</v>
      </c>
      <c r="B153" s="2">
        <f>IFERROR(__xludf.DUMMYFUNCTION("""COMPUTED_VALUE"""),15.67)</f>
        <v>15.67</v>
      </c>
      <c r="C153" s="2">
        <f>IFERROR(__xludf.DUMMYFUNCTION("""COMPUTED_VALUE"""),15.67)</f>
        <v>15.67</v>
      </c>
      <c r="D153" s="2">
        <f>IFERROR(__xludf.DUMMYFUNCTION("""COMPUTED_VALUE"""),15.28)</f>
        <v>15.28</v>
      </c>
      <c r="E153" s="2">
        <f>IFERROR(__xludf.DUMMYFUNCTION("""COMPUTED_VALUE"""),15.67)</f>
        <v>15.67</v>
      </c>
      <c r="F153" s="2">
        <f>IFERROR(__xludf.DUMMYFUNCTION("""COMPUTED_VALUE"""),400800.0)</f>
        <v>400800</v>
      </c>
    </row>
    <row r="154">
      <c r="A154" s="3">
        <f>IFERROR(__xludf.DUMMYFUNCTION("""COMPUTED_VALUE"""),29440.666666666668)</f>
        <v>29440.66667</v>
      </c>
      <c r="B154" s="2">
        <f>IFERROR(__xludf.DUMMYFUNCTION("""COMPUTED_VALUE"""),15.7)</f>
        <v>15.7</v>
      </c>
      <c r="C154" s="2">
        <f>IFERROR(__xludf.DUMMYFUNCTION("""COMPUTED_VALUE"""),15.7)</f>
        <v>15.7</v>
      </c>
      <c r="D154" s="2">
        <f>IFERROR(__xludf.DUMMYFUNCTION("""COMPUTED_VALUE"""),15.46)</f>
        <v>15.46</v>
      </c>
      <c r="E154" s="2">
        <f>IFERROR(__xludf.DUMMYFUNCTION("""COMPUTED_VALUE"""),15.7)</f>
        <v>15.7</v>
      </c>
      <c r="F154" s="2">
        <f>IFERROR(__xludf.DUMMYFUNCTION("""COMPUTED_VALUE"""),511400.0)</f>
        <v>511400</v>
      </c>
    </row>
    <row r="155">
      <c r="A155" s="3">
        <f>IFERROR(__xludf.DUMMYFUNCTION("""COMPUTED_VALUE"""),29441.666666666668)</f>
        <v>29441.66667</v>
      </c>
      <c r="B155" s="2">
        <f>IFERROR(__xludf.DUMMYFUNCTION("""COMPUTED_VALUE"""),15.58)</f>
        <v>15.58</v>
      </c>
      <c r="C155" s="2">
        <f>IFERROR(__xludf.DUMMYFUNCTION("""COMPUTED_VALUE"""),15.82)</f>
        <v>15.82</v>
      </c>
      <c r="D155" s="2">
        <f>IFERROR(__xludf.DUMMYFUNCTION("""COMPUTED_VALUE"""),15.58)</f>
        <v>15.58</v>
      </c>
      <c r="E155" s="2">
        <f>IFERROR(__xludf.DUMMYFUNCTION("""COMPUTED_VALUE"""),15.58)</f>
        <v>15.58</v>
      </c>
      <c r="F155" s="2">
        <f>IFERROR(__xludf.DUMMYFUNCTION("""COMPUTED_VALUE"""),745300.0)</f>
        <v>745300</v>
      </c>
    </row>
    <row r="156">
      <c r="A156" s="3">
        <f>IFERROR(__xludf.DUMMYFUNCTION("""COMPUTED_VALUE"""),29444.666666666668)</f>
        <v>29444.66667</v>
      </c>
      <c r="B156" s="2">
        <f>IFERROR(__xludf.DUMMYFUNCTION("""COMPUTED_VALUE"""),15.94)</f>
        <v>15.94</v>
      </c>
      <c r="C156" s="2">
        <f>IFERROR(__xludf.DUMMYFUNCTION("""COMPUTED_VALUE"""),15.94)</f>
        <v>15.94</v>
      </c>
      <c r="D156" s="2">
        <f>IFERROR(__xludf.DUMMYFUNCTION("""COMPUTED_VALUE"""),15.55)</f>
        <v>15.55</v>
      </c>
      <c r="E156" s="2">
        <f>IFERROR(__xludf.DUMMYFUNCTION("""COMPUTED_VALUE"""),15.94)</f>
        <v>15.94</v>
      </c>
      <c r="F156" s="2">
        <f>IFERROR(__xludf.DUMMYFUNCTION("""COMPUTED_VALUE"""),424400.0)</f>
        <v>424400</v>
      </c>
    </row>
    <row r="157">
      <c r="A157" s="3">
        <f>IFERROR(__xludf.DUMMYFUNCTION("""COMPUTED_VALUE"""),29445.666666666668)</f>
        <v>29445.66667</v>
      </c>
      <c r="B157" s="2">
        <f>IFERROR(__xludf.DUMMYFUNCTION("""COMPUTED_VALUE"""),15.94)</f>
        <v>15.94</v>
      </c>
      <c r="C157" s="2">
        <f>IFERROR(__xludf.DUMMYFUNCTION("""COMPUTED_VALUE"""),16.24)</f>
        <v>16.24</v>
      </c>
      <c r="D157" s="2">
        <f>IFERROR(__xludf.DUMMYFUNCTION("""COMPUTED_VALUE"""),15.85)</f>
        <v>15.85</v>
      </c>
      <c r="E157" s="2">
        <f>IFERROR(__xludf.DUMMYFUNCTION("""COMPUTED_VALUE"""),15.94)</f>
        <v>15.94</v>
      </c>
      <c r="F157" s="2">
        <f>IFERROR(__xludf.DUMMYFUNCTION("""COMPUTED_VALUE"""),702900.0)</f>
        <v>702900</v>
      </c>
    </row>
    <row r="158">
      <c r="A158" s="3">
        <f>IFERROR(__xludf.DUMMYFUNCTION("""COMPUTED_VALUE"""),29446.666666666668)</f>
        <v>29446.66667</v>
      </c>
      <c r="B158" s="2">
        <f>IFERROR(__xludf.DUMMYFUNCTION("""COMPUTED_VALUE"""),15.94)</f>
        <v>15.94</v>
      </c>
      <c r="C158" s="2">
        <f>IFERROR(__xludf.DUMMYFUNCTION("""COMPUTED_VALUE"""),16.12)</f>
        <v>16.12</v>
      </c>
      <c r="D158" s="2">
        <f>IFERROR(__xludf.DUMMYFUNCTION("""COMPUTED_VALUE"""),15.88)</f>
        <v>15.88</v>
      </c>
      <c r="E158" s="2">
        <f>IFERROR(__xludf.DUMMYFUNCTION("""COMPUTED_VALUE"""),15.94)</f>
        <v>15.94</v>
      </c>
      <c r="F158" s="2">
        <f>IFERROR(__xludf.DUMMYFUNCTION("""COMPUTED_VALUE"""),452200.0)</f>
        <v>452200</v>
      </c>
    </row>
    <row r="159">
      <c r="A159" s="3">
        <f>IFERROR(__xludf.DUMMYFUNCTION("""COMPUTED_VALUE"""),29447.666666666668)</f>
        <v>29447.66667</v>
      </c>
      <c r="B159" s="2">
        <f>IFERROR(__xludf.DUMMYFUNCTION("""COMPUTED_VALUE"""),16.45)</f>
        <v>16.45</v>
      </c>
      <c r="C159" s="2">
        <f>IFERROR(__xludf.DUMMYFUNCTION("""COMPUTED_VALUE"""),16.51)</f>
        <v>16.51</v>
      </c>
      <c r="D159" s="2">
        <f>IFERROR(__xludf.DUMMYFUNCTION("""COMPUTED_VALUE"""),15.94)</f>
        <v>15.94</v>
      </c>
      <c r="E159" s="2">
        <f>IFERROR(__xludf.DUMMYFUNCTION("""COMPUTED_VALUE"""),16.45)</f>
        <v>16.45</v>
      </c>
      <c r="F159" s="2">
        <f>IFERROR(__xludf.DUMMYFUNCTION("""COMPUTED_VALUE"""),472700.0)</f>
        <v>472700</v>
      </c>
    </row>
    <row r="160">
      <c r="A160" s="3">
        <f>IFERROR(__xludf.DUMMYFUNCTION("""COMPUTED_VALUE"""),29448.666666666668)</f>
        <v>29448.66667</v>
      </c>
      <c r="B160" s="2">
        <f>IFERROR(__xludf.DUMMYFUNCTION("""COMPUTED_VALUE"""),16.42)</f>
        <v>16.42</v>
      </c>
      <c r="C160" s="2">
        <f>IFERROR(__xludf.DUMMYFUNCTION("""COMPUTED_VALUE"""),16.51)</f>
        <v>16.51</v>
      </c>
      <c r="D160" s="2">
        <f>IFERROR(__xludf.DUMMYFUNCTION("""COMPUTED_VALUE"""),16.3)</f>
        <v>16.3</v>
      </c>
      <c r="E160" s="2">
        <f>IFERROR(__xludf.DUMMYFUNCTION("""COMPUTED_VALUE"""),16.42)</f>
        <v>16.42</v>
      </c>
      <c r="F160" s="2">
        <f>IFERROR(__xludf.DUMMYFUNCTION("""COMPUTED_VALUE"""),517000.0)</f>
        <v>517000</v>
      </c>
    </row>
    <row r="161">
      <c r="A161" s="3">
        <f>IFERROR(__xludf.DUMMYFUNCTION("""COMPUTED_VALUE"""),29451.666666666668)</f>
        <v>29451.66667</v>
      </c>
      <c r="B161" s="2">
        <f>IFERROR(__xludf.DUMMYFUNCTION("""COMPUTED_VALUE"""),15.85)</f>
        <v>15.85</v>
      </c>
      <c r="C161" s="2">
        <f>IFERROR(__xludf.DUMMYFUNCTION("""COMPUTED_VALUE"""),16.24)</f>
        <v>16.24</v>
      </c>
      <c r="D161" s="2">
        <f>IFERROR(__xludf.DUMMYFUNCTION("""COMPUTED_VALUE"""),15.85)</f>
        <v>15.85</v>
      </c>
      <c r="E161" s="2">
        <f>IFERROR(__xludf.DUMMYFUNCTION("""COMPUTED_VALUE"""),15.85)</f>
        <v>15.85</v>
      </c>
      <c r="F161" s="2">
        <f>IFERROR(__xludf.DUMMYFUNCTION("""COMPUTED_VALUE"""),550900.0)</f>
        <v>550900</v>
      </c>
    </row>
    <row r="162">
      <c r="A162" s="3">
        <f>IFERROR(__xludf.DUMMYFUNCTION("""COMPUTED_VALUE"""),29452.666666666668)</f>
        <v>29452.66667</v>
      </c>
      <c r="B162" s="2">
        <f>IFERROR(__xludf.DUMMYFUNCTION("""COMPUTED_VALUE"""),15.76)</f>
        <v>15.76</v>
      </c>
      <c r="C162" s="2">
        <f>IFERROR(__xludf.DUMMYFUNCTION("""COMPUTED_VALUE"""),16.0)</f>
        <v>16</v>
      </c>
      <c r="D162" s="2">
        <f>IFERROR(__xludf.DUMMYFUNCTION("""COMPUTED_VALUE"""),15.73)</f>
        <v>15.73</v>
      </c>
      <c r="E162" s="2">
        <f>IFERROR(__xludf.DUMMYFUNCTION("""COMPUTED_VALUE"""),15.76)</f>
        <v>15.76</v>
      </c>
      <c r="F162" s="2">
        <f>IFERROR(__xludf.DUMMYFUNCTION("""COMPUTED_VALUE"""),452000.0)</f>
        <v>452000</v>
      </c>
    </row>
    <row r="163">
      <c r="A163" s="3">
        <f>IFERROR(__xludf.DUMMYFUNCTION("""COMPUTED_VALUE"""),29453.666666666668)</f>
        <v>29453.66667</v>
      </c>
      <c r="B163" s="2">
        <f>IFERROR(__xludf.DUMMYFUNCTION("""COMPUTED_VALUE"""),15.97)</f>
        <v>15.97</v>
      </c>
      <c r="C163" s="2">
        <f>IFERROR(__xludf.DUMMYFUNCTION("""COMPUTED_VALUE"""),16.21)</f>
        <v>16.21</v>
      </c>
      <c r="D163" s="2">
        <f>IFERROR(__xludf.DUMMYFUNCTION("""COMPUTED_VALUE"""),15.73)</f>
        <v>15.73</v>
      </c>
      <c r="E163" s="2">
        <f>IFERROR(__xludf.DUMMYFUNCTION("""COMPUTED_VALUE"""),15.97)</f>
        <v>15.97</v>
      </c>
      <c r="F163" s="2">
        <f>IFERROR(__xludf.DUMMYFUNCTION("""COMPUTED_VALUE"""),339800.0)</f>
        <v>339800</v>
      </c>
    </row>
    <row r="164">
      <c r="A164" s="3">
        <f>IFERROR(__xludf.DUMMYFUNCTION("""COMPUTED_VALUE"""),29454.666666666668)</f>
        <v>29454.66667</v>
      </c>
      <c r="B164" s="2">
        <f>IFERROR(__xludf.DUMMYFUNCTION("""COMPUTED_VALUE"""),16.12)</f>
        <v>16.12</v>
      </c>
      <c r="C164" s="2">
        <f>IFERROR(__xludf.DUMMYFUNCTION("""COMPUTED_VALUE"""),16.18)</f>
        <v>16.18</v>
      </c>
      <c r="D164" s="2">
        <f>IFERROR(__xludf.DUMMYFUNCTION("""COMPUTED_VALUE"""),15.91)</f>
        <v>15.91</v>
      </c>
      <c r="E164" s="2">
        <f>IFERROR(__xludf.DUMMYFUNCTION("""COMPUTED_VALUE"""),16.12)</f>
        <v>16.12</v>
      </c>
      <c r="F164" s="2">
        <f>IFERROR(__xludf.DUMMYFUNCTION("""COMPUTED_VALUE"""),273600.0)</f>
        <v>273600</v>
      </c>
    </row>
    <row r="165">
      <c r="A165" s="3">
        <f>IFERROR(__xludf.DUMMYFUNCTION("""COMPUTED_VALUE"""),29455.666666666668)</f>
        <v>29455.66667</v>
      </c>
      <c r="B165" s="2">
        <f>IFERROR(__xludf.DUMMYFUNCTION("""COMPUTED_VALUE"""),16.09)</f>
        <v>16.09</v>
      </c>
      <c r="C165" s="2">
        <f>IFERROR(__xludf.DUMMYFUNCTION("""COMPUTED_VALUE"""),16.45)</f>
        <v>16.45</v>
      </c>
      <c r="D165" s="2">
        <f>IFERROR(__xludf.DUMMYFUNCTION("""COMPUTED_VALUE"""),16.09)</f>
        <v>16.09</v>
      </c>
      <c r="E165" s="2">
        <f>IFERROR(__xludf.DUMMYFUNCTION("""COMPUTED_VALUE"""),16.09)</f>
        <v>16.09</v>
      </c>
      <c r="F165" s="2">
        <f>IFERROR(__xludf.DUMMYFUNCTION("""COMPUTED_VALUE"""),409600.0)</f>
        <v>409600</v>
      </c>
    </row>
    <row r="166">
      <c r="A166" s="3">
        <f>IFERROR(__xludf.DUMMYFUNCTION("""COMPUTED_VALUE"""),29458.666666666668)</f>
        <v>29458.66667</v>
      </c>
      <c r="B166" s="2">
        <f>IFERROR(__xludf.DUMMYFUNCTION("""COMPUTED_VALUE"""),16.03)</f>
        <v>16.03</v>
      </c>
      <c r="C166" s="2">
        <f>IFERROR(__xludf.DUMMYFUNCTION("""COMPUTED_VALUE"""),16.12)</f>
        <v>16.12</v>
      </c>
      <c r="D166" s="2">
        <f>IFERROR(__xludf.DUMMYFUNCTION("""COMPUTED_VALUE"""),15.91)</f>
        <v>15.91</v>
      </c>
      <c r="E166" s="2">
        <f>IFERROR(__xludf.DUMMYFUNCTION("""COMPUTED_VALUE"""),16.03)</f>
        <v>16.03</v>
      </c>
      <c r="F166" s="2">
        <f>IFERROR(__xludf.DUMMYFUNCTION("""COMPUTED_VALUE"""),245900.0)</f>
        <v>245900</v>
      </c>
    </row>
    <row r="167">
      <c r="A167" s="3">
        <f>IFERROR(__xludf.DUMMYFUNCTION("""COMPUTED_VALUE"""),29459.666666666668)</f>
        <v>29459.66667</v>
      </c>
      <c r="B167" s="2">
        <f>IFERROR(__xludf.DUMMYFUNCTION("""COMPUTED_VALUE"""),15.94)</f>
        <v>15.94</v>
      </c>
      <c r="C167" s="2">
        <f>IFERROR(__xludf.DUMMYFUNCTION("""COMPUTED_VALUE"""),16.18)</f>
        <v>16.18</v>
      </c>
      <c r="D167" s="2">
        <f>IFERROR(__xludf.DUMMYFUNCTION("""COMPUTED_VALUE"""),15.91)</f>
        <v>15.91</v>
      </c>
      <c r="E167" s="2">
        <f>IFERROR(__xludf.DUMMYFUNCTION("""COMPUTED_VALUE"""),15.94)</f>
        <v>15.94</v>
      </c>
      <c r="F167" s="2">
        <f>IFERROR(__xludf.DUMMYFUNCTION("""COMPUTED_VALUE"""),473200.0)</f>
        <v>473200</v>
      </c>
    </row>
    <row r="168">
      <c r="A168" s="3">
        <f>IFERROR(__xludf.DUMMYFUNCTION("""COMPUTED_VALUE"""),29460.666666666668)</f>
        <v>29460.66667</v>
      </c>
      <c r="B168" s="2">
        <f>IFERROR(__xludf.DUMMYFUNCTION("""COMPUTED_VALUE"""),15.73)</f>
        <v>15.73</v>
      </c>
      <c r="C168" s="2">
        <f>IFERROR(__xludf.DUMMYFUNCTION("""COMPUTED_VALUE"""),16.0)</f>
        <v>16</v>
      </c>
      <c r="D168" s="2">
        <f>IFERROR(__xludf.DUMMYFUNCTION("""COMPUTED_VALUE"""),15.73)</f>
        <v>15.73</v>
      </c>
      <c r="E168" s="2">
        <f>IFERROR(__xludf.DUMMYFUNCTION("""COMPUTED_VALUE"""),15.73)</f>
        <v>15.73</v>
      </c>
      <c r="F168" s="2">
        <f>IFERROR(__xludf.DUMMYFUNCTION("""COMPUTED_VALUE"""),591900.0)</f>
        <v>591900</v>
      </c>
    </row>
    <row r="169">
      <c r="A169" s="3">
        <f>IFERROR(__xludf.DUMMYFUNCTION("""COMPUTED_VALUE"""),29461.666666666668)</f>
        <v>29461.66667</v>
      </c>
      <c r="B169" s="2">
        <f>IFERROR(__xludf.DUMMYFUNCTION("""COMPUTED_VALUE"""),15.52)</f>
        <v>15.52</v>
      </c>
      <c r="C169" s="2">
        <f>IFERROR(__xludf.DUMMYFUNCTION("""COMPUTED_VALUE"""),15.76)</f>
        <v>15.76</v>
      </c>
      <c r="D169" s="2">
        <f>IFERROR(__xludf.DUMMYFUNCTION("""COMPUTED_VALUE"""),15.49)</f>
        <v>15.49</v>
      </c>
      <c r="E169" s="2">
        <f>IFERROR(__xludf.DUMMYFUNCTION("""COMPUTED_VALUE"""),15.52)</f>
        <v>15.52</v>
      </c>
      <c r="F169" s="2">
        <f>IFERROR(__xludf.DUMMYFUNCTION("""COMPUTED_VALUE"""),421900.0)</f>
        <v>421900</v>
      </c>
    </row>
    <row r="170">
      <c r="A170" s="3">
        <f>IFERROR(__xludf.DUMMYFUNCTION("""COMPUTED_VALUE"""),29462.666666666668)</f>
        <v>29462.66667</v>
      </c>
      <c r="B170" s="2">
        <f>IFERROR(__xludf.DUMMYFUNCTION("""COMPUTED_VALUE"""),15.64)</f>
        <v>15.64</v>
      </c>
      <c r="C170" s="2">
        <f>IFERROR(__xludf.DUMMYFUNCTION("""COMPUTED_VALUE"""),15.67)</f>
        <v>15.67</v>
      </c>
      <c r="D170" s="2">
        <f>IFERROR(__xludf.DUMMYFUNCTION("""COMPUTED_VALUE"""),15.46)</f>
        <v>15.46</v>
      </c>
      <c r="E170" s="2">
        <f>IFERROR(__xludf.DUMMYFUNCTION("""COMPUTED_VALUE"""),15.64)</f>
        <v>15.64</v>
      </c>
      <c r="F170" s="2">
        <f>IFERROR(__xludf.DUMMYFUNCTION("""COMPUTED_VALUE"""),378200.0)</f>
        <v>378200</v>
      </c>
    </row>
    <row r="171">
      <c r="A171" s="3">
        <f>IFERROR(__xludf.DUMMYFUNCTION("""COMPUTED_VALUE"""),29466.666666666668)</f>
        <v>29466.66667</v>
      </c>
      <c r="B171" s="2">
        <f>IFERROR(__xludf.DUMMYFUNCTION("""COMPUTED_VALUE"""),15.79)</f>
        <v>15.79</v>
      </c>
      <c r="C171" s="2">
        <f>IFERROR(__xludf.DUMMYFUNCTION("""COMPUTED_VALUE"""),15.88)</f>
        <v>15.88</v>
      </c>
      <c r="D171" s="2">
        <f>IFERROR(__xludf.DUMMYFUNCTION("""COMPUTED_VALUE"""),15.61)</f>
        <v>15.61</v>
      </c>
      <c r="E171" s="2">
        <f>IFERROR(__xludf.DUMMYFUNCTION("""COMPUTED_VALUE"""),15.79)</f>
        <v>15.79</v>
      </c>
      <c r="F171" s="2">
        <f>IFERROR(__xludf.DUMMYFUNCTION("""COMPUTED_VALUE"""),292200.0)</f>
        <v>292200</v>
      </c>
    </row>
    <row r="172">
      <c r="A172" s="3">
        <f>IFERROR(__xludf.DUMMYFUNCTION("""COMPUTED_VALUE"""),29467.666666666668)</f>
        <v>29467.66667</v>
      </c>
      <c r="B172" s="2">
        <f>IFERROR(__xludf.DUMMYFUNCTION("""COMPUTED_VALUE"""),16.12)</f>
        <v>16.12</v>
      </c>
      <c r="C172" s="2">
        <f>IFERROR(__xludf.DUMMYFUNCTION("""COMPUTED_VALUE"""),16.12)</f>
        <v>16.12</v>
      </c>
      <c r="D172" s="2">
        <f>IFERROR(__xludf.DUMMYFUNCTION("""COMPUTED_VALUE"""),15.79)</f>
        <v>15.79</v>
      </c>
      <c r="E172" s="2">
        <f>IFERROR(__xludf.DUMMYFUNCTION("""COMPUTED_VALUE"""),16.12)</f>
        <v>16.12</v>
      </c>
      <c r="F172" s="2">
        <f>IFERROR(__xludf.DUMMYFUNCTION("""COMPUTED_VALUE"""),356800.0)</f>
        <v>356800</v>
      </c>
    </row>
    <row r="173">
      <c r="A173" s="3">
        <f>IFERROR(__xludf.DUMMYFUNCTION("""COMPUTED_VALUE"""),29468.666666666668)</f>
        <v>29468.66667</v>
      </c>
      <c r="B173" s="2">
        <f>IFERROR(__xludf.DUMMYFUNCTION("""COMPUTED_VALUE"""),15.91)</f>
        <v>15.91</v>
      </c>
      <c r="C173" s="2">
        <f>IFERROR(__xludf.DUMMYFUNCTION("""COMPUTED_VALUE"""),16.27)</f>
        <v>16.27</v>
      </c>
      <c r="D173" s="2">
        <f>IFERROR(__xludf.DUMMYFUNCTION("""COMPUTED_VALUE"""),15.82)</f>
        <v>15.82</v>
      </c>
      <c r="E173" s="2">
        <f>IFERROR(__xludf.DUMMYFUNCTION("""COMPUTED_VALUE"""),15.91)</f>
        <v>15.91</v>
      </c>
      <c r="F173" s="2">
        <f>IFERROR(__xludf.DUMMYFUNCTION("""COMPUTED_VALUE"""),548700.0)</f>
        <v>548700</v>
      </c>
    </row>
    <row r="174">
      <c r="A174" s="3">
        <f>IFERROR(__xludf.DUMMYFUNCTION("""COMPUTED_VALUE"""),29469.666666666668)</f>
        <v>29469.66667</v>
      </c>
      <c r="B174" s="2">
        <f>IFERROR(__xludf.DUMMYFUNCTION("""COMPUTED_VALUE"""),15.88)</f>
        <v>15.88</v>
      </c>
      <c r="C174" s="2">
        <f>IFERROR(__xludf.DUMMYFUNCTION("""COMPUTED_VALUE"""),16.06)</f>
        <v>16.06</v>
      </c>
      <c r="D174" s="2">
        <f>IFERROR(__xludf.DUMMYFUNCTION("""COMPUTED_VALUE"""),15.79)</f>
        <v>15.79</v>
      </c>
      <c r="E174" s="2">
        <f>IFERROR(__xludf.DUMMYFUNCTION("""COMPUTED_VALUE"""),15.88)</f>
        <v>15.88</v>
      </c>
      <c r="F174" s="2">
        <f>IFERROR(__xludf.DUMMYFUNCTION("""COMPUTED_VALUE"""),239700.0)</f>
        <v>239700</v>
      </c>
    </row>
    <row r="175">
      <c r="A175" s="3">
        <f>IFERROR(__xludf.DUMMYFUNCTION("""COMPUTED_VALUE"""),29472.666666666668)</f>
        <v>29472.66667</v>
      </c>
      <c r="B175" s="2">
        <f>IFERROR(__xludf.DUMMYFUNCTION("""COMPUTED_VALUE"""),15.34)</f>
        <v>15.34</v>
      </c>
      <c r="C175" s="2">
        <f>IFERROR(__xludf.DUMMYFUNCTION("""COMPUTED_VALUE"""),15.91)</f>
        <v>15.91</v>
      </c>
      <c r="D175" s="2">
        <f>IFERROR(__xludf.DUMMYFUNCTION("""COMPUTED_VALUE"""),15.34)</f>
        <v>15.34</v>
      </c>
      <c r="E175" s="2">
        <f>IFERROR(__xludf.DUMMYFUNCTION("""COMPUTED_VALUE"""),15.34)</f>
        <v>15.34</v>
      </c>
      <c r="F175" s="2">
        <f>IFERROR(__xludf.DUMMYFUNCTION("""COMPUTED_VALUE"""),252700.0)</f>
        <v>252700</v>
      </c>
    </row>
    <row r="176">
      <c r="A176" s="3">
        <f>IFERROR(__xludf.DUMMYFUNCTION("""COMPUTED_VALUE"""),29473.666666666668)</f>
        <v>29473.66667</v>
      </c>
      <c r="B176" s="2">
        <f>IFERROR(__xludf.DUMMYFUNCTION("""COMPUTED_VALUE"""),15.79)</f>
        <v>15.79</v>
      </c>
      <c r="C176" s="2">
        <f>IFERROR(__xludf.DUMMYFUNCTION("""COMPUTED_VALUE"""),15.82)</f>
        <v>15.82</v>
      </c>
      <c r="D176" s="2">
        <f>IFERROR(__xludf.DUMMYFUNCTION("""COMPUTED_VALUE"""),15.31)</f>
        <v>15.31</v>
      </c>
      <c r="E176" s="2">
        <f>IFERROR(__xludf.DUMMYFUNCTION("""COMPUTED_VALUE"""),15.79)</f>
        <v>15.79</v>
      </c>
      <c r="F176" s="2">
        <f>IFERROR(__xludf.DUMMYFUNCTION("""COMPUTED_VALUE"""),412600.0)</f>
        <v>412600</v>
      </c>
    </row>
    <row r="177">
      <c r="A177" s="3">
        <f>IFERROR(__xludf.DUMMYFUNCTION("""COMPUTED_VALUE"""),29474.666666666668)</f>
        <v>29474.66667</v>
      </c>
      <c r="B177" s="2">
        <f>IFERROR(__xludf.DUMMYFUNCTION("""COMPUTED_VALUE"""),15.7)</f>
        <v>15.7</v>
      </c>
      <c r="C177" s="2">
        <f>IFERROR(__xludf.DUMMYFUNCTION("""COMPUTED_VALUE"""),15.82)</f>
        <v>15.82</v>
      </c>
      <c r="D177" s="2">
        <f>IFERROR(__xludf.DUMMYFUNCTION("""COMPUTED_VALUE"""),15.58)</f>
        <v>15.58</v>
      </c>
      <c r="E177" s="2">
        <f>IFERROR(__xludf.DUMMYFUNCTION("""COMPUTED_VALUE"""),15.7)</f>
        <v>15.7</v>
      </c>
      <c r="F177" s="2">
        <f>IFERROR(__xludf.DUMMYFUNCTION("""COMPUTED_VALUE"""),376500.0)</f>
        <v>376500</v>
      </c>
    </row>
    <row r="178">
      <c r="A178" s="3">
        <f>IFERROR(__xludf.DUMMYFUNCTION("""COMPUTED_VALUE"""),29475.666666666668)</f>
        <v>29475.66667</v>
      </c>
      <c r="B178" s="2">
        <f>IFERROR(__xludf.DUMMYFUNCTION("""COMPUTED_VALUE"""),15.85)</f>
        <v>15.85</v>
      </c>
      <c r="C178" s="2">
        <f>IFERROR(__xludf.DUMMYFUNCTION("""COMPUTED_VALUE"""),15.85)</f>
        <v>15.85</v>
      </c>
      <c r="D178" s="2">
        <f>IFERROR(__xludf.DUMMYFUNCTION("""COMPUTED_VALUE"""),15.7)</f>
        <v>15.7</v>
      </c>
      <c r="E178" s="2">
        <f>IFERROR(__xludf.DUMMYFUNCTION("""COMPUTED_VALUE"""),15.85)</f>
        <v>15.85</v>
      </c>
      <c r="F178" s="2">
        <f>IFERROR(__xludf.DUMMYFUNCTION("""COMPUTED_VALUE"""),426000.0)</f>
        <v>426000</v>
      </c>
    </row>
    <row r="179">
      <c r="A179" s="3">
        <f>IFERROR(__xludf.DUMMYFUNCTION("""COMPUTED_VALUE"""),29476.666666666668)</f>
        <v>29476.66667</v>
      </c>
      <c r="B179" s="2">
        <f>IFERROR(__xludf.DUMMYFUNCTION("""COMPUTED_VALUE"""),15.73)</f>
        <v>15.73</v>
      </c>
      <c r="C179" s="2">
        <f>IFERROR(__xludf.DUMMYFUNCTION("""COMPUTED_VALUE"""),15.88)</f>
        <v>15.88</v>
      </c>
      <c r="D179" s="2">
        <f>IFERROR(__xludf.DUMMYFUNCTION("""COMPUTED_VALUE"""),15.7)</f>
        <v>15.7</v>
      </c>
      <c r="E179" s="2">
        <f>IFERROR(__xludf.DUMMYFUNCTION("""COMPUTED_VALUE"""),15.73)</f>
        <v>15.73</v>
      </c>
      <c r="F179" s="2">
        <f>IFERROR(__xludf.DUMMYFUNCTION("""COMPUTED_VALUE"""),432400.0)</f>
        <v>432400</v>
      </c>
    </row>
    <row r="180">
      <c r="A180" s="3">
        <f>IFERROR(__xludf.DUMMYFUNCTION("""COMPUTED_VALUE"""),29479.666666666668)</f>
        <v>29479.66667</v>
      </c>
      <c r="B180" s="2">
        <f>IFERROR(__xludf.DUMMYFUNCTION("""COMPUTED_VALUE"""),15.79)</f>
        <v>15.79</v>
      </c>
      <c r="C180" s="2">
        <f>IFERROR(__xludf.DUMMYFUNCTION("""COMPUTED_VALUE"""),15.82)</f>
        <v>15.82</v>
      </c>
      <c r="D180" s="2">
        <f>IFERROR(__xludf.DUMMYFUNCTION("""COMPUTED_VALUE"""),15.52)</f>
        <v>15.52</v>
      </c>
      <c r="E180" s="2">
        <f>IFERROR(__xludf.DUMMYFUNCTION("""COMPUTED_VALUE"""),15.79)</f>
        <v>15.79</v>
      </c>
      <c r="F180" s="2">
        <f>IFERROR(__xludf.DUMMYFUNCTION("""COMPUTED_VALUE"""),325900.0)</f>
        <v>325900</v>
      </c>
    </row>
    <row r="181">
      <c r="A181" s="3">
        <f>IFERROR(__xludf.DUMMYFUNCTION("""COMPUTED_VALUE"""),29480.666666666668)</f>
        <v>29480.66667</v>
      </c>
      <c r="B181" s="2">
        <f>IFERROR(__xludf.DUMMYFUNCTION("""COMPUTED_VALUE"""),15.67)</f>
        <v>15.67</v>
      </c>
      <c r="C181" s="2">
        <f>IFERROR(__xludf.DUMMYFUNCTION("""COMPUTED_VALUE"""),15.85)</f>
        <v>15.85</v>
      </c>
      <c r="D181" s="2">
        <f>IFERROR(__xludf.DUMMYFUNCTION("""COMPUTED_VALUE"""),15.58)</f>
        <v>15.58</v>
      </c>
      <c r="E181" s="2">
        <f>IFERROR(__xludf.DUMMYFUNCTION("""COMPUTED_VALUE"""),15.67)</f>
        <v>15.67</v>
      </c>
      <c r="F181" s="2">
        <f>IFERROR(__xludf.DUMMYFUNCTION("""COMPUTED_VALUE"""),428200.0)</f>
        <v>428200</v>
      </c>
    </row>
    <row r="182">
      <c r="A182" s="3">
        <f>IFERROR(__xludf.DUMMYFUNCTION("""COMPUTED_VALUE"""),29481.666666666668)</f>
        <v>29481.66667</v>
      </c>
      <c r="B182" s="2">
        <f>IFERROR(__xludf.DUMMYFUNCTION("""COMPUTED_VALUE"""),16.06)</f>
        <v>16.06</v>
      </c>
      <c r="C182" s="2">
        <f>IFERROR(__xludf.DUMMYFUNCTION("""COMPUTED_VALUE"""),16.15)</f>
        <v>16.15</v>
      </c>
      <c r="D182" s="2">
        <f>IFERROR(__xludf.DUMMYFUNCTION("""COMPUTED_VALUE"""),15.67)</f>
        <v>15.67</v>
      </c>
      <c r="E182" s="2">
        <f>IFERROR(__xludf.DUMMYFUNCTION("""COMPUTED_VALUE"""),16.06)</f>
        <v>16.06</v>
      </c>
      <c r="F182" s="2">
        <f>IFERROR(__xludf.DUMMYFUNCTION("""COMPUTED_VALUE"""),829500.0)</f>
        <v>829500</v>
      </c>
    </row>
    <row r="183">
      <c r="A183" s="3">
        <f>IFERROR(__xludf.DUMMYFUNCTION("""COMPUTED_VALUE"""),29482.666666666668)</f>
        <v>29482.66667</v>
      </c>
      <c r="B183" s="2">
        <f>IFERROR(__xludf.DUMMYFUNCTION("""COMPUTED_VALUE"""),15.88)</f>
        <v>15.88</v>
      </c>
      <c r="C183" s="2">
        <f>IFERROR(__xludf.DUMMYFUNCTION("""COMPUTED_VALUE"""),16.09)</f>
        <v>16.09</v>
      </c>
      <c r="D183" s="2">
        <f>IFERROR(__xludf.DUMMYFUNCTION("""COMPUTED_VALUE"""),15.82)</f>
        <v>15.82</v>
      </c>
      <c r="E183" s="2">
        <f>IFERROR(__xludf.DUMMYFUNCTION("""COMPUTED_VALUE"""),15.88)</f>
        <v>15.88</v>
      </c>
      <c r="F183" s="2">
        <f>IFERROR(__xludf.DUMMYFUNCTION("""COMPUTED_VALUE"""),1026000.0)</f>
        <v>1026000</v>
      </c>
    </row>
    <row r="184">
      <c r="A184" s="3">
        <f>IFERROR(__xludf.DUMMYFUNCTION("""COMPUTED_VALUE"""),29483.666666666668)</f>
        <v>29483.66667</v>
      </c>
      <c r="B184" s="2">
        <f>IFERROR(__xludf.DUMMYFUNCTION("""COMPUTED_VALUE"""),16.0)</f>
        <v>16</v>
      </c>
      <c r="C184" s="2">
        <f>IFERROR(__xludf.DUMMYFUNCTION("""COMPUTED_VALUE"""),16.12)</f>
        <v>16.12</v>
      </c>
      <c r="D184" s="2">
        <f>IFERROR(__xludf.DUMMYFUNCTION("""COMPUTED_VALUE"""),15.82)</f>
        <v>15.82</v>
      </c>
      <c r="E184" s="2">
        <f>IFERROR(__xludf.DUMMYFUNCTION("""COMPUTED_VALUE"""),16.0)</f>
        <v>16</v>
      </c>
      <c r="F184" s="2">
        <f>IFERROR(__xludf.DUMMYFUNCTION("""COMPUTED_VALUE"""),548800.0)</f>
        <v>548800</v>
      </c>
    </row>
    <row r="185">
      <c r="A185" s="3">
        <f>IFERROR(__xludf.DUMMYFUNCTION("""COMPUTED_VALUE"""),29486.666666666668)</f>
        <v>29486.66667</v>
      </c>
      <c r="B185" s="2">
        <f>IFERROR(__xludf.DUMMYFUNCTION("""COMPUTED_VALUE"""),16.27)</f>
        <v>16.27</v>
      </c>
      <c r="C185" s="2">
        <f>IFERROR(__xludf.DUMMYFUNCTION("""COMPUTED_VALUE"""),16.33)</f>
        <v>16.33</v>
      </c>
      <c r="D185" s="2">
        <f>IFERROR(__xludf.DUMMYFUNCTION("""COMPUTED_VALUE"""),15.88)</f>
        <v>15.88</v>
      </c>
      <c r="E185" s="2">
        <f>IFERROR(__xludf.DUMMYFUNCTION("""COMPUTED_VALUE"""),16.27)</f>
        <v>16.27</v>
      </c>
      <c r="F185" s="2">
        <f>IFERROR(__xludf.DUMMYFUNCTION("""COMPUTED_VALUE"""),568900.0)</f>
        <v>568900</v>
      </c>
    </row>
    <row r="186">
      <c r="A186" s="3">
        <f>IFERROR(__xludf.DUMMYFUNCTION("""COMPUTED_VALUE"""),29487.666666666668)</f>
        <v>29487.66667</v>
      </c>
      <c r="B186" s="2">
        <f>IFERROR(__xludf.DUMMYFUNCTION("""COMPUTED_VALUE"""),15.97)</f>
        <v>15.97</v>
      </c>
      <c r="C186" s="2">
        <f>IFERROR(__xludf.DUMMYFUNCTION("""COMPUTED_VALUE"""),16.48)</f>
        <v>16.48</v>
      </c>
      <c r="D186" s="2">
        <f>IFERROR(__xludf.DUMMYFUNCTION("""COMPUTED_VALUE"""),15.67)</f>
        <v>15.67</v>
      </c>
      <c r="E186" s="2">
        <f>IFERROR(__xludf.DUMMYFUNCTION("""COMPUTED_VALUE"""),15.97)</f>
        <v>15.97</v>
      </c>
      <c r="F186" s="2">
        <f>IFERROR(__xludf.DUMMYFUNCTION("""COMPUTED_VALUE"""),918900.0)</f>
        <v>918900</v>
      </c>
    </row>
    <row r="187">
      <c r="A187" s="3">
        <f>IFERROR(__xludf.DUMMYFUNCTION("""COMPUTED_VALUE"""),29488.666666666668)</f>
        <v>29488.66667</v>
      </c>
      <c r="B187" s="2">
        <f>IFERROR(__xludf.DUMMYFUNCTION("""COMPUTED_VALUE"""),16.12)</f>
        <v>16.12</v>
      </c>
      <c r="C187" s="2">
        <f>IFERROR(__xludf.DUMMYFUNCTION("""COMPUTED_VALUE"""),16.24)</f>
        <v>16.24</v>
      </c>
      <c r="D187" s="2">
        <f>IFERROR(__xludf.DUMMYFUNCTION("""COMPUTED_VALUE"""),15.94)</f>
        <v>15.94</v>
      </c>
      <c r="E187" s="2">
        <f>IFERROR(__xludf.DUMMYFUNCTION("""COMPUTED_VALUE"""),16.12)</f>
        <v>16.12</v>
      </c>
      <c r="F187" s="2">
        <f>IFERROR(__xludf.DUMMYFUNCTION("""COMPUTED_VALUE"""),547700.0)</f>
        <v>547700</v>
      </c>
    </row>
    <row r="188">
      <c r="A188" s="3">
        <f>IFERROR(__xludf.DUMMYFUNCTION("""COMPUTED_VALUE"""),29489.666666666668)</f>
        <v>29489.66667</v>
      </c>
      <c r="B188" s="2">
        <f>IFERROR(__xludf.DUMMYFUNCTION("""COMPUTED_VALUE"""),15.79)</f>
        <v>15.79</v>
      </c>
      <c r="C188" s="2">
        <f>IFERROR(__xludf.DUMMYFUNCTION("""COMPUTED_VALUE"""),16.21)</f>
        <v>16.21</v>
      </c>
      <c r="D188" s="2">
        <f>IFERROR(__xludf.DUMMYFUNCTION("""COMPUTED_VALUE"""),15.79)</f>
        <v>15.79</v>
      </c>
      <c r="E188" s="2">
        <f>IFERROR(__xludf.DUMMYFUNCTION("""COMPUTED_VALUE"""),15.79)</f>
        <v>15.79</v>
      </c>
      <c r="F188" s="2">
        <f>IFERROR(__xludf.DUMMYFUNCTION("""COMPUTED_VALUE"""),640200.0)</f>
        <v>640200</v>
      </c>
    </row>
    <row r="189">
      <c r="A189" s="3">
        <f>IFERROR(__xludf.DUMMYFUNCTION("""COMPUTED_VALUE"""),29490.666666666668)</f>
        <v>29490.66667</v>
      </c>
      <c r="B189" s="2">
        <f>IFERROR(__xludf.DUMMYFUNCTION("""COMPUTED_VALUE"""),15.43)</f>
        <v>15.43</v>
      </c>
      <c r="C189" s="2">
        <f>IFERROR(__xludf.DUMMYFUNCTION("""COMPUTED_VALUE"""),15.73)</f>
        <v>15.73</v>
      </c>
      <c r="D189" s="2">
        <f>IFERROR(__xludf.DUMMYFUNCTION("""COMPUTED_VALUE"""),15.34)</f>
        <v>15.34</v>
      </c>
      <c r="E189" s="2">
        <f>IFERROR(__xludf.DUMMYFUNCTION("""COMPUTED_VALUE"""),15.43)</f>
        <v>15.43</v>
      </c>
      <c r="F189" s="2">
        <f>IFERROR(__xludf.DUMMYFUNCTION("""COMPUTED_VALUE"""),692300.0)</f>
        <v>692300</v>
      </c>
    </row>
    <row r="190">
      <c r="A190" s="3">
        <f>IFERROR(__xludf.DUMMYFUNCTION("""COMPUTED_VALUE"""),29493.666666666668)</f>
        <v>29493.66667</v>
      </c>
      <c r="B190" s="2">
        <f>IFERROR(__xludf.DUMMYFUNCTION("""COMPUTED_VALUE"""),15.22)</f>
        <v>15.22</v>
      </c>
      <c r="C190" s="2">
        <f>IFERROR(__xludf.DUMMYFUNCTION("""COMPUTED_VALUE"""),15.34)</f>
        <v>15.34</v>
      </c>
      <c r="D190" s="2">
        <f>IFERROR(__xludf.DUMMYFUNCTION("""COMPUTED_VALUE"""),15.13)</f>
        <v>15.13</v>
      </c>
      <c r="E190" s="2">
        <f>IFERROR(__xludf.DUMMYFUNCTION("""COMPUTED_VALUE"""),15.22)</f>
        <v>15.22</v>
      </c>
      <c r="F190" s="2">
        <f>IFERROR(__xludf.DUMMYFUNCTION("""COMPUTED_VALUE"""),666400.0)</f>
        <v>666400</v>
      </c>
    </row>
    <row r="191">
      <c r="A191" s="3">
        <f>IFERROR(__xludf.DUMMYFUNCTION("""COMPUTED_VALUE"""),29494.666666666668)</f>
        <v>29494.66667</v>
      </c>
      <c r="B191" s="2">
        <f>IFERROR(__xludf.DUMMYFUNCTION("""COMPUTED_VALUE"""),15.31)</f>
        <v>15.31</v>
      </c>
      <c r="C191" s="2">
        <f>IFERROR(__xludf.DUMMYFUNCTION("""COMPUTED_VALUE"""),15.4)</f>
        <v>15.4</v>
      </c>
      <c r="D191" s="2">
        <f>IFERROR(__xludf.DUMMYFUNCTION("""COMPUTED_VALUE"""),15.25)</f>
        <v>15.25</v>
      </c>
      <c r="E191" s="2">
        <f>IFERROR(__xludf.DUMMYFUNCTION("""COMPUTED_VALUE"""),15.31)</f>
        <v>15.31</v>
      </c>
      <c r="F191" s="2">
        <f>IFERROR(__xludf.DUMMYFUNCTION("""COMPUTED_VALUE"""),518000.0)</f>
        <v>518000</v>
      </c>
    </row>
    <row r="192">
      <c r="A192" s="3">
        <f>IFERROR(__xludf.DUMMYFUNCTION("""COMPUTED_VALUE"""),29495.666666666668)</f>
        <v>29495.66667</v>
      </c>
      <c r="B192" s="2">
        <f>IFERROR(__xludf.DUMMYFUNCTION("""COMPUTED_VALUE"""),15.67)</f>
        <v>15.67</v>
      </c>
      <c r="C192" s="2">
        <f>IFERROR(__xludf.DUMMYFUNCTION("""COMPUTED_VALUE"""),15.67)</f>
        <v>15.67</v>
      </c>
      <c r="D192" s="2">
        <f>IFERROR(__xludf.DUMMYFUNCTION("""COMPUTED_VALUE"""),15.19)</f>
        <v>15.19</v>
      </c>
      <c r="E192" s="2">
        <f>IFERROR(__xludf.DUMMYFUNCTION("""COMPUTED_VALUE"""),15.67)</f>
        <v>15.67</v>
      </c>
      <c r="F192" s="2">
        <f>IFERROR(__xludf.DUMMYFUNCTION("""COMPUTED_VALUE"""),605100.0)</f>
        <v>605100</v>
      </c>
    </row>
    <row r="193">
      <c r="A193" s="3">
        <f>IFERROR(__xludf.DUMMYFUNCTION("""COMPUTED_VALUE"""),29496.666666666668)</f>
        <v>29496.66667</v>
      </c>
      <c r="B193" s="2">
        <f>IFERROR(__xludf.DUMMYFUNCTION("""COMPUTED_VALUE"""),15.61)</f>
        <v>15.61</v>
      </c>
      <c r="C193" s="2">
        <f>IFERROR(__xludf.DUMMYFUNCTION("""COMPUTED_VALUE"""),15.61)</f>
        <v>15.61</v>
      </c>
      <c r="D193" s="2">
        <f>IFERROR(__xludf.DUMMYFUNCTION("""COMPUTED_VALUE"""),15.31)</f>
        <v>15.31</v>
      </c>
      <c r="E193" s="2">
        <f>IFERROR(__xludf.DUMMYFUNCTION("""COMPUTED_VALUE"""),15.61)</f>
        <v>15.61</v>
      </c>
      <c r="F193" s="2">
        <f>IFERROR(__xludf.DUMMYFUNCTION("""COMPUTED_VALUE"""),478100.0)</f>
        <v>478100</v>
      </c>
    </row>
    <row r="194">
      <c r="A194" s="3">
        <f>IFERROR(__xludf.DUMMYFUNCTION("""COMPUTED_VALUE"""),29497.666666666668)</f>
        <v>29497.66667</v>
      </c>
      <c r="B194" s="2">
        <f>IFERROR(__xludf.DUMMYFUNCTION("""COMPUTED_VALUE"""),15.82)</f>
        <v>15.82</v>
      </c>
      <c r="C194" s="2">
        <f>IFERROR(__xludf.DUMMYFUNCTION("""COMPUTED_VALUE"""),16.0)</f>
        <v>16</v>
      </c>
      <c r="D194" s="2">
        <f>IFERROR(__xludf.DUMMYFUNCTION("""COMPUTED_VALUE"""),15.64)</f>
        <v>15.64</v>
      </c>
      <c r="E194" s="2">
        <f>IFERROR(__xludf.DUMMYFUNCTION("""COMPUTED_VALUE"""),15.82)</f>
        <v>15.82</v>
      </c>
      <c r="F194" s="2">
        <f>IFERROR(__xludf.DUMMYFUNCTION("""COMPUTED_VALUE"""),497200.0)</f>
        <v>497200</v>
      </c>
    </row>
    <row r="195">
      <c r="A195" s="3">
        <f>IFERROR(__xludf.DUMMYFUNCTION("""COMPUTED_VALUE"""),29500.666666666668)</f>
        <v>29500.66667</v>
      </c>
      <c r="B195" s="2">
        <f>IFERROR(__xludf.DUMMYFUNCTION("""COMPUTED_VALUE"""),16.24)</f>
        <v>16.24</v>
      </c>
      <c r="C195" s="2">
        <f>IFERROR(__xludf.DUMMYFUNCTION("""COMPUTED_VALUE"""),16.3)</f>
        <v>16.3</v>
      </c>
      <c r="D195" s="2">
        <f>IFERROR(__xludf.DUMMYFUNCTION("""COMPUTED_VALUE"""),15.88)</f>
        <v>15.88</v>
      </c>
      <c r="E195" s="2">
        <f>IFERROR(__xludf.DUMMYFUNCTION("""COMPUTED_VALUE"""),16.24)</f>
        <v>16.24</v>
      </c>
      <c r="F195" s="2">
        <f>IFERROR(__xludf.DUMMYFUNCTION("""COMPUTED_VALUE"""),738600.0)</f>
        <v>738600</v>
      </c>
    </row>
    <row r="196">
      <c r="A196" s="3">
        <f>IFERROR(__xludf.DUMMYFUNCTION("""COMPUTED_VALUE"""),29501.666666666668)</f>
        <v>29501.66667</v>
      </c>
      <c r="B196" s="2">
        <f>IFERROR(__xludf.DUMMYFUNCTION("""COMPUTED_VALUE"""),16.18)</f>
        <v>16.18</v>
      </c>
      <c r="C196" s="2">
        <f>IFERROR(__xludf.DUMMYFUNCTION("""COMPUTED_VALUE"""),16.3)</f>
        <v>16.3</v>
      </c>
      <c r="D196" s="2">
        <f>IFERROR(__xludf.DUMMYFUNCTION("""COMPUTED_VALUE"""),16.03)</f>
        <v>16.03</v>
      </c>
      <c r="E196" s="2">
        <f>IFERROR(__xludf.DUMMYFUNCTION("""COMPUTED_VALUE"""),16.18)</f>
        <v>16.18</v>
      </c>
      <c r="F196" s="2">
        <f>IFERROR(__xludf.DUMMYFUNCTION("""COMPUTED_VALUE"""),698000.0)</f>
        <v>698000</v>
      </c>
    </row>
    <row r="197">
      <c r="A197" s="3">
        <f>IFERROR(__xludf.DUMMYFUNCTION("""COMPUTED_VALUE"""),29502.666666666668)</f>
        <v>29502.66667</v>
      </c>
      <c r="B197" s="2">
        <f>IFERROR(__xludf.DUMMYFUNCTION("""COMPUTED_VALUE"""),16.72)</f>
        <v>16.72</v>
      </c>
      <c r="C197" s="2">
        <f>IFERROR(__xludf.DUMMYFUNCTION("""COMPUTED_VALUE"""),16.8)</f>
        <v>16.8</v>
      </c>
      <c r="D197" s="2">
        <f>IFERROR(__xludf.DUMMYFUNCTION("""COMPUTED_VALUE"""),16.24)</f>
        <v>16.24</v>
      </c>
      <c r="E197" s="2">
        <f>IFERROR(__xludf.DUMMYFUNCTION("""COMPUTED_VALUE"""),16.72)</f>
        <v>16.72</v>
      </c>
      <c r="F197" s="2">
        <f>IFERROR(__xludf.DUMMYFUNCTION("""COMPUTED_VALUE"""),1169500.0)</f>
        <v>1169500</v>
      </c>
    </row>
    <row r="198">
      <c r="A198" s="3">
        <f>IFERROR(__xludf.DUMMYFUNCTION("""COMPUTED_VALUE"""),29503.666666666668)</f>
        <v>29503.66667</v>
      </c>
      <c r="B198" s="2">
        <f>IFERROR(__xludf.DUMMYFUNCTION("""COMPUTED_VALUE"""),16.75)</f>
        <v>16.75</v>
      </c>
      <c r="C198" s="2">
        <f>IFERROR(__xludf.DUMMYFUNCTION("""COMPUTED_VALUE"""),16.92)</f>
        <v>16.92</v>
      </c>
      <c r="D198" s="2">
        <f>IFERROR(__xludf.DUMMYFUNCTION("""COMPUTED_VALUE"""),16.66)</f>
        <v>16.66</v>
      </c>
      <c r="E198" s="2">
        <f>IFERROR(__xludf.DUMMYFUNCTION("""COMPUTED_VALUE"""),16.75)</f>
        <v>16.75</v>
      </c>
      <c r="F198" s="2">
        <f>IFERROR(__xludf.DUMMYFUNCTION("""COMPUTED_VALUE"""),1184900.0)</f>
        <v>1184900</v>
      </c>
    </row>
    <row r="199">
      <c r="A199" s="3">
        <f>IFERROR(__xludf.DUMMYFUNCTION("""COMPUTED_VALUE"""),29504.666666666668)</f>
        <v>29504.66667</v>
      </c>
      <c r="B199" s="2">
        <f>IFERROR(__xludf.DUMMYFUNCTION("""COMPUTED_VALUE"""),16.54)</f>
        <v>16.54</v>
      </c>
      <c r="C199" s="2">
        <f>IFERROR(__xludf.DUMMYFUNCTION("""COMPUTED_VALUE"""),17.07)</f>
        <v>17.07</v>
      </c>
      <c r="D199" s="2">
        <f>IFERROR(__xludf.DUMMYFUNCTION("""COMPUTED_VALUE"""),16.51)</f>
        <v>16.51</v>
      </c>
      <c r="E199" s="2">
        <f>IFERROR(__xludf.DUMMYFUNCTION("""COMPUTED_VALUE"""),16.54)</f>
        <v>16.54</v>
      </c>
      <c r="F199" s="2">
        <f>IFERROR(__xludf.DUMMYFUNCTION("""COMPUTED_VALUE"""),1104200.0)</f>
        <v>1104200</v>
      </c>
    </row>
    <row r="200">
      <c r="A200" s="3">
        <f>IFERROR(__xludf.DUMMYFUNCTION("""COMPUTED_VALUE"""),29507.666666666668)</f>
        <v>29507.66667</v>
      </c>
      <c r="B200" s="2">
        <f>IFERROR(__xludf.DUMMYFUNCTION("""COMPUTED_VALUE"""),16.83)</f>
        <v>16.83</v>
      </c>
      <c r="C200" s="2">
        <f>IFERROR(__xludf.DUMMYFUNCTION("""COMPUTED_VALUE"""),16.89)</f>
        <v>16.89</v>
      </c>
      <c r="D200" s="2">
        <f>IFERROR(__xludf.DUMMYFUNCTION("""COMPUTED_VALUE"""),16.54)</f>
        <v>16.54</v>
      </c>
      <c r="E200" s="2">
        <f>IFERROR(__xludf.DUMMYFUNCTION("""COMPUTED_VALUE"""),16.83)</f>
        <v>16.83</v>
      </c>
      <c r="F200" s="2">
        <f>IFERROR(__xludf.DUMMYFUNCTION("""COMPUTED_VALUE"""),369600.0)</f>
        <v>369600</v>
      </c>
    </row>
    <row r="201">
      <c r="A201" s="3">
        <f>IFERROR(__xludf.DUMMYFUNCTION("""COMPUTED_VALUE"""),29508.666666666668)</f>
        <v>29508.66667</v>
      </c>
      <c r="B201" s="2">
        <f>IFERROR(__xludf.DUMMYFUNCTION("""COMPUTED_VALUE"""),16.66)</f>
        <v>16.66</v>
      </c>
      <c r="C201" s="2">
        <f>IFERROR(__xludf.DUMMYFUNCTION("""COMPUTED_VALUE"""),16.92)</f>
        <v>16.92</v>
      </c>
      <c r="D201" s="2">
        <f>IFERROR(__xludf.DUMMYFUNCTION("""COMPUTED_VALUE"""),16.6)</f>
        <v>16.6</v>
      </c>
      <c r="E201" s="2">
        <f>IFERROR(__xludf.DUMMYFUNCTION("""COMPUTED_VALUE"""),16.66)</f>
        <v>16.66</v>
      </c>
      <c r="F201" s="2">
        <f>IFERROR(__xludf.DUMMYFUNCTION("""COMPUTED_VALUE"""),718300.0)</f>
        <v>718300</v>
      </c>
    </row>
    <row r="202">
      <c r="A202" s="3">
        <f>IFERROR(__xludf.DUMMYFUNCTION("""COMPUTED_VALUE"""),29509.666666666668)</f>
        <v>29509.66667</v>
      </c>
      <c r="B202" s="2">
        <f>IFERROR(__xludf.DUMMYFUNCTION("""COMPUTED_VALUE"""),16.8)</f>
        <v>16.8</v>
      </c>
      <c r="C202" s="2">
        <f>IFERROR(__xludf.DUMMYFUNCTION("""COMPUTED_VALUE"""),16.8)</f>
        <v>16.8</v>
      </c>
      <c r="D202" s="2">
        <f>IFERROR(__xludf.DUMMYFUNCTION("""COMPUTED_VALUE"""),16.63)</f>
        <v>16.63</v>
      </c>
      <c r="E202" s="2">
        <f>IFERROR(__xludf.DUMMYFUNCTION("""COMPUTED_VALUE"""),16.8)</f>
        <v>16.8</v>
      </c>
      <c r="F202" s="2">
        <f>IFERROR(__xludf.DUMMYFUNCTION("""COMPUTED_VALUE"""),348700.0)</f>
        <v>348700</v>
      </c>
    </row>
    <row r="203">
      <c r="A203" s="3">
        <f>IFERROR(__xludf.DUMMYFUNCTION("""COMPUTED_VALUE"""),29510.666666666668)</f>
        <v>29510.66667</v>
      </c>
      <c r="B203" s="2">
        <f>IFERROR(__xludf.DUMMYFUNCTION("""COMPUTED_VALUE"""),16.39)</f>
        <v>16.39</v>
      </c>
      <c r="C203" s="2">
        <f>IFERROR(__xludf.DUMMYFUNCTION("""COMPUTED_VALUE"""),16.98)</f>
        <v>16.98</v>
      </c>
      <c r="D203" s="2">
        <f>IFERROR(__xludf.DUMMYFUNCTION("""COMPUTED_VALUE"""),16.36)</f>
        <v>16.36</v>
      </c>
      <c r="E203" s="2">
        <f>IFERROR(__xludf.DUMMYFUNCTION("""COMPUTED_VALUE"""),16.39)</f>
        <v>16.39</v>
      </c>
      <c r="F203" s="2">
        <f>IFERROR(__xludf.DUMMYFUNCTION("""COMPUTED_VALUE"""),929300.0)</f>
        <v>929300</v>
      </c>
    </row>
    <row r="204">
      <c r="A204" s="3">
        <f>IFERROR(__xludf.DUMMYFUNCTION("""COMPUTED_VALUE"""),29511.666666666668)</f>
        <v>29511.66667</v>
      </c>
      <c r="B204" s="2">
        <f>IFERROR(__xludf.DUMMYFUNCTION("""COMPUTED_VALUE"""),16.24)</f>
        <v>16.24</v>
      </c>
      <c r="C204" s="2">
        <f>IFERROR(__xludf.DUMMYFUNCTION("""COMPUTED_VALUE"""),16.57)</f>
        <v>16.57</v>
      </c>
      <c r="D204" s="2">
        <f>IFERROR(__xludf.DUMMYFUNCTION("""COMPUTED_VALUE"""),16.18)</f>
        <v>16.18</v>
      </c>
      <c r="E204" s="2">
        <f>IFERROR(__xludf.DUMMYFUNCTION("""COMPUTED_VALUE"""),16.24)</f>
        <v>16.24</v>
      </c>
      <c r="F204" s="2">
        <f>IFERROR(__xludf.DUMMYFUNCTION("""COMPUTED_VALUE"""),557800.0)</f>
        <v>557800</v>
      </c>
    </row>
    <row r="205">
      <c r="A205" s="3">
        <f>IFERROR(__xludf.DUMMYFUNCTION("""COMPUTED_VALUE"""),29514.666666666668)</f>
        <v>29514.66667</v>
      </c>
      <c r="B205" s="2">
        <f>IFERROR(__xludf.DUMMYFUNCTION("""COMPUTED_VALUE"""),16.36)</f>
        <v>16.36</v>
      </c>
      <c r="C205" s="2">
        <f>IFERROR(__xludf.DUMMYFUNCTION("""COMPUTED_VALUE"""),16.36)</f>
        <v>16.36</v>
      </c>
      <c r="D205" s="2">
        <f>IFERROR(__xludf.DUMMYFUNCTION("""COMPUTED_VALUE"""),15.88)</f>
        <v>15.88</v>
      </c>
      <c r="E205" s="2">
        <f>IFERROR(__xludf.DUMMYFUNCTION("""COMPUTED_VALUE"""),16.36)</f>
        <v>16.36</v>
      </c>
      <c r="F205" s="2">
        <f>IFERROR(__xludf.DUMMYFUNCTION("""COMPUTED_VALUE"""),472300.0)</f>
        <v>472300</v>
      </c>
    </row>
    <row r="206">
      <c r="A206" s="3">
        <f>IFERROR(__xludf.DUMMYFUNCTION("""COMPUTED_VALUE"""),29515.666666666668)</f>
        <v>29515.66667</v>
      </c>
      <c r="B206" s="2">
        <f>IFERROR(__xludf.DUMMYFUNCTION("""COMPUTED_VALUE"""),16.24)</f>
        <v>16.24</v>
      </c>
      <c r="C206" s="2">
        <f>IFERROR(__xludf.DUMMYFUNCTION("""COMPUTED_VALUE"""),16.45)</f>
        <v>16.45</v>
      </c>
      <c r="D206" s="2">
        <f>IFERROR(__xludf.DUMMYFUNCTION("""COMPUTED_VALUE"""),16.12)</f>
        <v>16.12</v>
      </c>
      <c r="E206" s="2">
        <f>IFERROR(__xludf.DUMMYFUNCTION("""COMPUTED_VALUE"""),16.24)</f>
        <v>16.24</v>
      </c>
      <c r="F206" s="2">
        <f>IFERROR(__xludf.DUMMYFUNCTION("""COMPUTED_VALUE"""),629200.0)</f>
        <v>629200</v>
      </c>
    </row>
    <row r="207">
      <c r="A207" s="3">
        <f>IFERROR(__xludf.DUMMYFUNCTION("""COMPUTED_VALUE"""),29516.666666666668)</f>
        <v>29516.66667</v>
      </c>
      <c r="B207" s="2">
        <f>IFERROR(__xludf.DUMMYFUNCTION("""COMPUTED_VALUE"""),16.18)</f>
        <v>16.18</v>
      </c>
      <c r="C207" s="2">
        <f>IFERROR(__xludf.DUMMYFUNCTION("""COMPUTED_VALUE"""),16.27)</f>
        <v>16.27</v>
      </c>
      <c r="D207" s="2">
        <f>IFERROR(__xludf.DUMMYFUNCTION("""COMPUTED_VALUE"""),16.12)</f>
        <v>16.12</v>
      </c>
      <c r="E207" s="2">
        <f>IFERROR(__xludf.DUMMYFUNCTION("""COMPUTED_VALUE"""),16.18)</f>
        <v>16.18</v>
      </c>
      <c r="F207" s="2">
        <f>IFERROR(__xludf.DUMMYFUNCTION("""COMPUTED_VALUE"""),439200.0)</f>
        <v>439200</v>
      </c>
    </row>
    <row r="208">
      <c r="A208" s="3">
        <f>IFERROR(__xludf.DUMMYFUNCTION("""COMPUTED_VALUE"""),29517.666666666668)</f>
        <v>29517.66667</v>
      </c>
      <c r="B208" s="2">
        <f>IFERROR(__xludf.DUMMYFUNCTION("""COMPUTED_VALUE"""),15.73)</f>
        <v>15.73</v>
      </c>
      <c r="C208" s="2">
        <f>IFERROR(__xludf.DUMMYFUNCTION("""COMPUTED_VALUE"""),16.18)</f>
        <v>16.18</v>
      </c>
      <c r="D208" s="2">
        <f>IFERROR(__xludf.DUMMYFUNCTION("""COMPUTED_VALUE"""),15.67)</f>
        <v>15.67</v>
      </c>
      <c r="E208" s="2">
        <f>IFERROR(__xludf.DUMMYFUNCTION("""COMPUTED_VALUE"""),15.73)</f>
        <v>15.73</v>
      </c>
      <c r="F208" s="2">
        <f>IFERROR(__xludf.DUMMYFUNCTION("""COMPUTED_VALUE"""),451800.0)</f>
        <v>451800</v>
      </c>
    </row>
    <row r="209">
      <c r="A209" s="3">
        <f>IFERROR(__xludf.DUMMYFUNCTION("""COMPUTED_VALUE"""),29518.666666666668)</f>
        <v>29518.66667</v>
      </c>
      <c r="B209" s="2">
        <f>IFERROR(__xludf.DUMMYFUNCTION("""COMPUTED_VALUE"""),15.91)</f>
        <v>15.91</v>
      </c>
      <c r="C209" s="2">
        <f>IFERROR(__xludf.DUMMYFUNCTION("""COMPUTED_VALUE"""),15.91)</f>
        <v>15.91</v>
      </c>
      <c r="D209" s="2">
        <f>IFERROR(__xludf.DUMMYFUNCTION("""COMPUTED_VALUE"""),15.64)</f>
        <v>15.64</v>
      </c>
      <c r="E209" s="2">
        <f>IFERROR(__xludf.DUMMYFUNCTION("""COMPUTED_VALUE"""),15.91)</f>
        <v>15.91</v>
      </c>
      <c r="F209" s="2">
        <f>IFERROR(__xludf.DUMMYFUNCTION("""COMPUTED_VALUE"""),464100.0)</f>
        <v>464100</v>
      </c>
    </row>
    <row r="210">
      <c r="A210" s="3">
        <f>IFERROR(__xludf.DUMMYFUNCTION("""COMPUTED_VALUE"""),29521.666666666668)</f>
        <v>29521.66667</v>
      </c>
      <c r="B210" s="2">
        <f>IFERROR(__xludf.DUMMYFUNCTION("""COMPUTED_VALUE"""),15.79)</f>
        <v>15.79</v>
      </c>
      <c r="C210" s="2">
        <f>IFERROR(__xludf.DUMMYFUNCTION("""COMPUTED_VALUE"""),15.88)</f>
        <v>15.88</v>
      </c>
      <c r="D210" s="2">
        <f>IFERROR(__xludf.DUMMYFUNCTION("""COMPUTED_VALUE"""),15.7)</f>
        <v>15.7</v>
      </c>
      <c r="E210" s="2">
        <f>IFERROR(__xludf.DUMMYFUNCTION("""COMPUTED_VALUE"""),15.79)</f>
        <v>15.79</v>
      </c>
      <c r="F210" s="2">
        <f>IFERROR(__xludf.DUMMYFUNCTION("""COMPUTED_VALUE"""),243800.0)</f>
        <v>243800</v>
      </c>
    </row>
    <row r="211">
      <c r="A211" s="3">
        <f>IFERROR(__xludf.DUMMYFUNCTION("""COMPUTED_VALUE"""),29522.666666666668)</f>
        <v>29522.66667</v>
      </c>
      <c r="B211" s="2">
        <f>IFERROR(__xludf.DUMMYFUNCTION("""COMPUTED_VALUE"""),15.91)</f>
        <v>15.91</v>
      </c>
      <c r="C211" s="2">
        <f>IFERROR(__xludf.DUMMYFUNCTION("""COMPUTED_VALUE"""),15.94)</f>
        <v>15.94</v>
      </c>
      <c r="D211" s="2">
        <f>IFERROR(__xludf.DUMMYFUNCTION("""COMPUTED_VALUE"""),15.73)</f>
        <v>15.73</v>
      </c>
      <c r="E211" s="2">
        <f>IFERROR(__xludf.DUMMYFUNCTION("""COMPUTED_VALUE"""),15.91)</f>
        <v>15.91</v>
      </c>
      <c r="F211" s="2">
        <f>IFERROR(__xludf.DUMMYFUNCTION("""COMPUTED_VALUE"""),486900.0)</f>
        <v>486900</v>
      </c>
    </row>
    <row r="212">
      <c r="A212" s="3">
        <f>IFERROR(__xludf.DUMMYFUNCTION("""COMPUTED_VALUE"""),29523.666666666668)</f>
        <v>29523.66667</v>
      </c>
      <c r="B212" s="2">
        <f>IFERROR(__xludf.DUMMYFUNCTION("""COMPUTED_VALUE"""),15.64)</f>
        <v>15.64</v>
      </c>
      <c r="C212" s="2">
        <f>IFERROR(__xludf.DUMMYFUNCTION("""COMPUTED_VALUE"""),16.03)</f>
        <v>16.03</v>
      </c>
      <c r="D212" s="2">
        <f>IFERROR(__xludf.DUMMYFUNCTION("""COMPUTED_VALUE"""),15.64)</f>
        <v>15.64</v>
      </c>
      <c r="E212" s="2">
        <f>IFERROR(__xludf.DUMMYFUNCTION("""COMPUTED_VALUE"""),15.64)</f>
        <v>15.64</v>
      </c>
      <c r="F212" s="2">
        <f>IFERROR(__xludf.DUMMYFUNCTION("""COMPUTED_VALUE"""),384100.0)</f>
        <v>384100</v>
      </c>
    </row>
    <row r="213">
      <c r="A213" s="3">
        <f>IFERROR(__xludf.DUMMYFUNCTION("""COMPUTED_VALUE"""),29524.666666666668)</f>
        <v>29524.66667</v>
      </c>
      <c r="B213" s="2">
        <f>IFERROR(__xludf.DUMMYFUNCTION("""COMPUTED_VALUE"""),15.55)</f>
        <v>15.55</v>
      </c>
      <c r="C213" s="2">
        <f>IFERROR(__xludf.DUMMYFUNCTION("""COMPUTED_VALUE"""),15.82)</f>
        <v>15.82</v>
      </c>
      <c r="D213" s="2">
        <f>IFERROR(__xludf.DUMMYFUNCTION("""COMPUTED_VALUE"""),15.55)</f>
        <v>15.55</v>
      </c>
      <c r="E213" s="2">
        <f>IFERROR(__xludf.DUMMYFUNCTION("""COMPUTED_VALUE"""),15.55)</f>
        <v>15.55</v>
      </c>
      <c r="F213" s="2">
        <f>IFERROR(__xludf.DUMMYFUNCTION("""COMPUTED_VALUE"""),394100.0)</f>
        <v>394100</v>
      </c>
    </row>
    <row r="214">
      <c r="A214" s="3">
        <f>IFERROR(__xludf.DUMMYFUNCTION("""COMPUTED_VALUE"""),29525.666666666668)</f>
        <v>29525.66667</v>
      </c>
      <c r="B214" s="2">
        <f>IFERROR(__xludf.DUMMYFUNCTION("""COMPUTED_VALUE"""),15.91)</f>
        <v>15.91</v>
      </c>
      <c r="C214" s="2">
        <f>IFERROR(__xludf.DUMMYFUNCTION("""COMPUTED_VALUE"""),16.06)</f>
        <v>16.06</v>
      </c>
      <c r="D214" s="2">
        <f>IFERROR(__xludf.DUMMYFUNCTION("""COMPUTED_VALUE"""),15.58)</f>
        <v>15.58</v>
      </c>
      <c r="E214" s="2">
        <f>IFERROR(__xludf.DUMMYFUNCTION("""COMPUTED_VALUE"""),15.91)</f>
        <v>15.91</v>
      </c>
      <c r="F214" s="2">
        <f>IFERROR(__xludf.DUMMYFUNCTION("""COMPUTED_VALUE"""),539800.0)</f>
        <v>539800</v>
      </c>
    </row>
    <row r="215">
      <c r="A215" s="3">
        <f>IFERROR(__xludf.DUMMYFUNCTION("""COMPUTED_VALUE"""),29528.666666666668)</f>
        <v>29528.66667</v>
      </c>
      <c r="B215" s="2">
        <f>IFERROR(__xludf.DUMMYFUNCTION("""COMPUTED_VALUE"""),16.12)</f>
        <v>16.12</v>
      </c>
      <c r="C215" s="2">
        <f>IFERROR(__xludf.DUMMYFUNCTION("""COMPUTED_VALUE"""),16.15)</f>
        <v>16.15</v>
      </c>
      <c r="D215" s="2">
        <f>IFERROR(__xludf.DUMMYFUNCTION("""COMPUTED_VALUE"""),15.94)</f>
        <v>15.94</v>
      </c>
      <c r="E215" s="2">
        <f>IFERROR(__xludf.DUMMYFUNCTION("""COMPUTED_VALUE"""),16.12)</f>
        <v>16.12</v>
      </c>
      <c r="F215" s="2">
        <f>IFERROR(__xludf.DUMMYFUNCTION("""COMPUTED_VALUE"""),379600.0)</f>
        <v>379600</v>
      </c>
    </row>
    <row r="216">
      <c r="A216" s="3">
        <f>IFERROR(__xludf.DUMMYFUNCTION("""COMPUTED_VALUE"""),29530.666666666668)</f>
        <v>29530.66667</v>
      </c>
      <c r="B216" s="2">
        <f>IFERROR(__xludf.DUMMYFUNCTION("""COMPUTED_VALUE"""),16.36)</f>
        <v>16.36</v>
      </c>
      <c r="C216" s="2">
        <f>IFERROR(__xludf.DUMMYFUNCTION("""COMPUTED_VALUE"""),16.78)</f>
        <v>16.78</v>
      </c>
      <c r="D216" s="2">
        <f>IFERROR(__xludf.DUMMYFUNCTION("""COMPUTED_VALUE"""),16.24)</f>
        <v>16.24</v>
      </c>
      <c r="E216" s="2">
        <f>IFERROR(__xludf.DUMMYFUNCTION("""COMPUTED_VALUE"""),16.36)</f>
        <v>16.36</v>
      </c>
      <c r="F216" s="2">
        <f>IFERROR(__xludf.DUMMYFUNCTION("""COMPUTED_VALUE"""),1107100.0)</f>
        <v>1107100</v>
      </c>
    </row>
    <row r="217">
      <c r="A217" s="3">
        <f>IFERROR(__xludf.DUMMYFUNCTION("""COMPUTED_VALUE"""),29531.666666666668)</f>
        <v>29531.66667</v>
      </c>
      <c r="B217" s="2">
        <f>IFERROR(__xludf.DUMMYFUNCTION("""COMPUTED_VALUE"""),15.88)</f>
        <v>15.88</v>
      </c>
      <c r="C217" s="2">
        <f>IFERROR(__xludf.DUMMYFUNCTION("""COMPUTED_VALUE"""),16.27)</f>
        <v>16.27</v>
      </c>
      <c r="D217" s="2">
        <f>IFERROR(__xludf.DUMMYFUNCTION("""COMPUTED_VALUE"""),15.82)</f>
        <v>15.82</v>
      </c>
      <c r="E217" s="2">
        <f>IFERROR(__xludf.DUMMYFUNCTION("""COMPUTED_VALUE"""),15.88)</f>
        <v>15.88</v>
      </c>
      <c r="F217" s="2">
        <f>IFERROR(__xludf.DUMMYFUNCTION("""COMPUTED_VALUE"""),598900.0)</f>
        <v>598900</v>
      </c>
    </row>
    <row r="218">
      <c r="A218" s="3">
        <f>IFERROR(__xludf.DUMMYFUNCTION("""COMPUTED_VALUE"""),29532.666666666668)</f>
        <v>29532.66667</v>
      </c>
      <c r="B218" s="2">
        <f>IFERROR(__xludf.DUMMYFUNCTION("""COMPUTED_VALUE"""),16.03)</f>
        <v>16.03</v>
      </c>
      <c r="C218" s="2">
        <f>IFERROR(__xludf.DUMMYFUNCTION("""COMPUTED_VALUE"""),16.03)</f>
        <v>16.03</v>
      </c>
      <c r="D218" s="2">
        <f>IFERROR(__xludf.DUMMYFUNCTION("""COMPUTED_VALUE"""),15.88)</f>
        <v>15.88</v>
      </c>
      <c r="E218" s="2">
        <f>IFERROR(__xludf.DUMMYFUNCTION("""COMPUTED_VALUE"""),16.03)</f>
        <v>16.03</v>
      </c>
      <c r="F218" s="2">
        <f>IFERROR(__xludf.DUMMYFUNCTION("""COMPUTED_VALUE"""),437300.0)</f>
        <v>437300</v>
      </c>
    </row>
    <row r="219">
      <c r="A219" s="3">
        <f>IFERROR(__xludf.DUMMYFUNCTION("""COMPUTED_VALUE"""),29535.666666666668)</f>
        <v>29535.66667</v>
      </c>
      <c r="B219" s="2">
        <f>IFERROR(__xludf.DUMMYFUNCTION("""COMPUTED_VALUE"""),16.06)</f>
        <v>16.06</v>
      </c>
      <c r="C219" s="2">
        <f>IFERROR(__xludf.DUMMYFUNCTION("""COMPUTED_VALUE"""),16.06)</f>
        <v>16.06</v>
      </c>
      <c r="D219" s="2">
        <f>IFERROR(__xludf.DUMMYFUNCTION("""COMPUTED_VALUE"""),15.88)</f>
        <v>15.88</v>
      </c>
      <c r="E219" s="2">
        <f>IFERROR(__xludf.DUMMYFUNCTION("""COMPUTED_VALUE"""),16.06)</f>
        <v>16.06</v>
      </c>
      <c r="F219" s="2">
        <f>IFERROR(__xludf.DUMMYFUNCTION("""COMPUTED_VALUE"""),352400.0)</f>
        <v>352400</v>
      </c>
    </row>
    <row r="220">
      <c r="A220" s="3">
        <f>IFERROR(__xludf.DUMMYFUNCTION("""COMPUTED_VALUE"""),29536.666666666668)</f>
        <v>29536.66667</v>
      </c>
      <c r="B220" s="2">
        <f>IFERROR(__xludf.DUMMYFUNCTION("""COMPUTED_VALUE"""),16.03)</f>
        <v>16.03</v>
      </c>
      <c r="C220" s="2">
        <f>IFERROR(__xludf.DUMMYFUNCTION("""COMPUTED_VALUE"""),16.18)</f>
        <v>16.18</v>
      </c>
      <c r="D220" s="2">
        <f>IFERROR(__xludf.DUMMYFUNCTION("""COMPUTED_VALUE"""),15.97)</f>
        <v>15.97</v>
      </c>
      <c r="E220" s="2">
        <f>IFERROR(__xludf.DUMMYFUNCTION("""COMPUTED_VALUE"""),16.03)</f>
        <v>16.03</v>
      </c>
      <c r="F220" s="2">
        <f>IFERROR(__xludf.DUMMYFUNCTION("""COMPUTED_VALUE"""),311100.0)</f>
        <v>311100</v>
      </c>
    </row>
    <row r="221">
      <c r="A221" s="3">
        <f>IFERROR(__xludf.DUMMYFUNCTION("""COMPUTED_VALUE"""),29537.666666666668)</f>
        <v>29537.66667</v>
      </c>
      <c r="B221" s="2">
        <f>IFERROR(__xludf.DUMMYFUNCTION("""COMPUTED_VALUE"""),16.92)</f>
        <v>16.92</v>
      </c>
      <c r="C221" s="2">
        <f>IFERROR(__xludf.DUMMYFUNCTION("""COMPUTED_VALUE"""),16.98)</f>
        <v>16.98</v>
      </c>
      <c r="D221" s="2">
        <f>IFERROR(__xludf.DUMMYFUNCTION("""COMPUTED_VALUE"""),16.06)</f>
        <v>16.06</v>
      </c>
      <c r="E221" s="2">
        <f>IFERROR(__xludf.DUMMYFUNCTION("""COMPUTED_VALUE"""),16.92)</f>
        <v>16.92</v>
      </c>
      <c r="F221" s="2">
        <f>IFERROR(__xludf.DUMMYFUNCTION("""COMPUTED_VALUE"""),1074100.0)</f>
        <v>1074100</v>
      </c>
    </row>
    <row r="222">
      <c r="A222" s="3">
        <f>IFERROR(__xludf.DUMMYFUNCTION("""COMPUTED_VALUE"""),29538.666666666668)</f>
        <v>29538.66667</v>
      </c>
      <c r="B222" s="2">
        <f>IFERROR(__xludf.DUMMYFUNCTION("""COMPUTED_VALUE"""),17.01)</f>
        <v>17.01</v>
      </c>
      <c r="C222" s="2">
        <f>IFERROR(__xludf.DUMMYFUNCTION("""COMPUTED_VALUE"""),17.1)</f>
        <v>17.1</v>
      </c>
      <c r="D222" s="2">
        <f>IFERROR(__xludf.DUMMYFUNCTION("""COMPUTED_VALUE"""),16.78)</f>
        <v>16.78</v>
      </c>
      <c r="E222" s="2">
        <f>IFERROR(__xludf.DUMMYFUNCTION("""COMPUTED_VALUE"""),17.01)</f>
        <v>17.01</v>
      </c>
      <c r="F222" s="2">
        <f>IFERROR(__xludf.DUMMYFUNCTION("""COMPUTED_VALUE"""),1319100.0)</f>
        <v>1319100</v>
      </c>
    </row>
    <row r="223">
      <c r="A223" s="3">
        <f>IFERROR(__xludf.DUMMYFUNCTION("""COMPUTED_VALUE"""),29539.666666666668)</f>
        <v>29539.66667</v>
      </c>
      <c r="B223" s="2">
        <f>IFERROR(__xludf.DUMMYFUNCTION("""COMPUTED_VALUE"""),17.1)</f>
        <v>17.1</v>
      </c>
      <c r="C223" s="2">
        <f>IFERROR(__xludf.DUMMYFUNCTION("""COMPUTED_VALUE"""),17.25)</f>
        <v>17.25</v>
      </c>
      <c r="D223" s="2">
        <f>IFERROR(__xludf.DUMMYFUNCTION("""COMPUTED_VALUE"""),16.8)</f>
        <v>16.8</v>
      </c>
      <c r="E223" s="2">
        <f>IFERROR(__xludf.DUMMYFUNCTION("""COMPUTED_VALUE"""),17.1)</f>
        <v>17.1</v>
      </c>
      <c r="F223" s="2">
        <f>IFERROR(__xludf.DUMMYFUNCTION("""COMPUTED_VALUE"""),903100.0)</f>
        <v>903100</v>
      </c>
    </row>
    <row r="224">
      <c r="A224" s="3">
        <f>IFERROR(__xludf.DUMMYFUNCTION("""COMPUTED_VALUE"""),29542.666666666668)</f>
        <v>29542.66667</v>
      </c>
      <c r="B224" s="2">
        <f>IFERROR(__xludf.DUMMYFUNCTION("""COMPUTED_VALUE"""),17.1)</f>
        <v>17.1</v>
      </c>
      <c r="C224" s="2">
        <f>IFERROR(__xludf.DUMMYFUNCTION("""COMPUTED_VALUE"""),17.13)</f>
        <v>17.13</v>
      </c>
      <c r="D224" s="2">
        <f>IFERROR(__xludf.DUMMYFUNCTION("""COMPUTED_VALUE"""),16.86)</f>
        <v>16.86</v>
      </c>
      <c r="E224" s="2">
        <f>IFERROR(__xludf.DUMMYFUNCTION("""COMPUTED_VALUE"""),17.1)</f>
        <v>17.1</v>
      </c>
      <c r="F224" s="2">
        <f>IFERROR(__xludf.DUMMYFUNCTION("""COMPUTED_VALUE"""),761000.0)</f>
        <v>761000</v>
      </c>
    </row>
    <row r="225">
      <c r="A225" s="3">
        <f>IFERROR(__xludf.DUMMYFUNCTION("""COMPUTED_VALUE"""),29543.666666666668)</f>
        <v>29543.66667</v>
      </c>
      <c r="B225" s="2">
        <f>IFERROR(__xludf.DUMMYFUNCTION("""COMPUTED_VALUE"""),17.19)</f>
        <v>17.19</v>
      </c>
      <c r="C225" s="2">
        <f>IFERROR(__xludf.DUMMYFUNCTION("""COMPUTED_VALUE"""),17.34)</f>
        <v>17.34</v>
      </c>
      <c r="D225" s="2">
        <f>IFERROR(__xludf.DUMMYFUNCTION("""COMPUTED_VALUE"""),17.1)</f>
        <v>17.1</v>
      </c>
      <c r="E225" s="2">
        <f>IFERROR(__xludf.DUMMYFUNCTION("""COMPUTED_VALUE"""),17.19)</f>
        <v>17.19</v>
      </c>
      <c r="F225" s="2">
        <f>IFERROR(__xludf.DUMMYFUNCTION("""COMPUTED_VALUE"""),854600.0)</f>
        <v>854600</v>
      </c>
    </row>
    <row r="226">
      <c r="A226" s="3">
        <f>IFERROR(__xludf.DUMMYFUNCTION("""COMPUTED_VALUE"""),29544.666666666668)</f>
        <v>29544.66667</v>
      </c>
      <c r="B226" s="2">
        <f>IFERROR(__xludf.DUMMYFUNCTION("""COMPUTED_VALUE"""),17.04)</f>
        <v>17.04</v>
      </c>
      <c r="C226" s="2">
        <f>IFERROR(__xludf.DUMMYFUNCTION("""COMPUTED_VALUE"""),17.37)</f>
        <v>17.37</v>
      </c>
      <c r="D226" s="2">
        <f>IFERROR(__xludf.DUMMYFUNCTION("""COMPUTED_VALUE"""),17.01)</f>
        <v>17.01</v>
      </c>
      <c r="E226" s="2">
        <f>IFERROR(__xludf.DUMMYFUNCTION("""COMPUTED_VALUE"""),17.04)</f>
        <v>17.04</v>
      </c>
      <c r="F226" s="2">
        <f>IFERROR(__xludf.DUMMYFUNCTION("""COMPUTED_VALUE"""),644300.0)</f>
        <v>644300</v>
      </c>
    </row>
    <row r="227">
      <c r="A227" s="3">
        <f>IFERROR(__xludf.DUMMYFUNCTION("""COMPUTED_VALUE"""),29545.666666666668)</f>
        <v>29545.66667</v>
      </c>
      <c r="B227" s="2">
        <f>IFERROR(__xludf.DUMMYFUNCTION("""COMPUTED_VALUE"""),17.19)</f>
        <v>17.19</v>
      </c>
      <c r="C227" s="2">
        <f>IFERROR(__xludf.DUMMYFUNCTION("""COMPUTED_VALUE"""),17.25)</f>
        <v>17.25</v>
      </c>
      <c r="D227" s="2">
        <f>IFERROR(__xludf.DUMMYFUNCTION("""COMPUTED_VALUE"""),16.86)</f>
        <v>16.86</v>
      </c>
      <c r="E227" s="2">
        <f>IFERROR(__xludf.DUMMYFUNCTION("""COMPUTED_VALUE"""),17.19)</f>
        <v>17.19</v>
      </c>
      <c r="F227" s="2">
        <f>IFERROR(__xludf.DUMMYFUNCTION("""COMPUTED_VALUE"""),482800.0)</f>
        <v>482800</v>
      </c>
    </row>
    <row r="228">
      <c r="A228" s="3">
        <f>IFERROR(__xludf.DUMMYFUNCTION("""COMPUTED_VALUE"""),29546.666666666668)</f>
        <v>29546.66667</v>
      </c>
      <c r="B228" s="2">
        <f>IFERROR(__xludf.DUMMYFUNCTION("""COMPUTED_VALUE"""),16.8)</f>
        <v>16.8</v>
      </c>
      <c r="C228" s="2">
        <f>IFERROR(__xludf.DUMMYFUNCTION("""COMPUTED_VALUE"""),17.1)</f>
        <v>17.1</v>
      </c>
      <c r="D228" s="2">
        <f>IFERROR(__xludf.DUMMYFUNCTION("""COMPUTED_VALUE"""),16.75)</f>
        <v>16.75</v>
      </c>
      <c r="E228" s="2">
        <f>IFERROR(__xludf.DUMMYFUNCTION("""COMPUTED_VALUE"""),16.8)</f>
        <v>16.8</v>
      </c>
      <c r="F228" s="2">
        <f>IFERROR(__xludf.DUMMYFUNCTION("""COMPUTED_VALUE"""),377800.0)</f>
        <v>377800</v>
      </c>
    </row>
    <row r="229">
      <c r="A229" s="3">
        <f>IFERROR(__xludf.DUMMYFUNCTION("""COMPUTED_VALUE"""),29549.666666666668)</f>
        <v>29549.66667</v>
      </c>
      <c r="B229" s="2">
        <f>IFERROR(__xludf.DUMMYFUNCTION("""COMPUTED_VALUE"""),16.8)</f>
        <v>16.8</v>
      </c>
      <c r="C229" s="2">
        <f>IFERROR(__xludf.DUMMYFUNCTION("""COMPUTED_VALUE"""),16.8)</f>
        <v>16.8</v>
      </c>
      <c r="D229" s="2">
        <f>IFERROR(__xludf.DUMMYFUNCTION("""COMPUTED_VALUE"""),16.6)</f>
        <v>16.6</v>
      </c>
      <c r="E229" s="2">
        <f>IFERROR(__xludf.DUMMYFUNCTION("""COMPUTED_VALUE"""),16.8)</f>
        <v>16.8</v>
      </c>
      <c r="F229" s="2">
        <f>IFERROR(__xludf.DUMMYFUNCTION("""COMPUTED_VALUE"""),514800.0)</f>
        <v>514800</v>
      </c>
    </row>
    <row r="230">
      <c r="A230" s="3">
        <f>IFERROR(__xludf.DUMMYFUNCTION("""COMPUTED_VALUE"""),29550.666666666668)</f>
        <v>29550.66667</v>
      </c>
      <c r="B230" s="2">
        <f>IFERROR(__xludf.DUMMYFUNCTION("""COMPUTED_VALUE"""),16.6)</f>
        <v>16.6</v>
      </c>
      <c r="C230" s="2">
        <f>IFERROR(__xludf.DUMMYFUNCTION("""COMPUTED_VALUE"""),16.86)</f>
        <v>16.86</v>
      </c>
      <c r="D230" s="2">
        <f>IFERROR(__xludf.DUMMYFUNCTION("""COMPUTED_VALUE"""),16.6)</f>
        <v>16.6</v>
      </c>
      <c r="E230" s="2">
        <f>IFERROR(__xludf.DUMMYFUNCTION("""COMPUTED_VALUE"""),16.6)</f>
        <v>16.6</v>
      </c>
      <c r="F230" s="2">
        <f>IFERROR(__xludf.DUMMYFUNCTION("""COMPUTED_VALUE"""),470500.0)</f>
        <v>470500</v>
      </c>
    </row>
    <row r="231">
      <c r="A231" s="3">
        <f>IFERROR(__xludf.DUMMYFUNCTION("""COMPUTED_VALUE"""),29551.666666666668)</f>
        <v>29551.66667</v>
      </c>
      <c r="B231" s="2">
        <f>IFERROR(__xludf.DUMMYFUNCTION("""COMPUTED_VALUE"""),16.42)</f>
        <v>16.42</v>
      </c>
      <c r="C231" s="2">
        <f>IFERROR(__xludf.DUMMYFUNCTION("""COMPUTED_VALUE"""),16.66)</f>
        <v>16.66</v>
      </c>
      <c r="D231" s="2">
        <f>IFERROR(__xludf.DUMMYFUNCTION("""COMPUTED_VALUE"""),16.39)</f>
        <v>16.39</v>
      </c>
      <c r="E231" s="2">
        <f>IFERROR(__xludf.DUMMYFUNCTION("""COMPUTED_VALUE"""),16.42)</f>
        <v>16.42</v>
      </c>
      <c r="F231" s="2">
        <f>IFERROR(__xludf.DUMMYFUNCTION("""COMPUTED_VALUE"""),527700.0)</f>
        <v>527700</v>
      </c>
    </row>
    <row r="232">
      <c r="A232" s="3">
        <f>IFERROR(__xludf.DUMMYFUNCTION("""COMPUTED_VALUE"""),29553.666666666668)</f>
        <v>29553.66667</v>
      </c>
      <c r="B232" s="2">
        <f>IFERROR(__xludf.DUMMYFUNCTION("""COMPUTED_VALUE"""),16.27)</f>
        <v>16.27</v>
      </c>
      <c r="C232" s="2">
        <f>IFERROR(__xludf.DUMMYFUNCTION("""COMPUTED_VALUE"""),16.45)</f>
        <v>16.45</v>
      </c>
      <c r="D232" s="2">
        <f>IFERROR(__xludf.DUMMYFUNCTION("""COMPUTED_VALUE"""),16.15)</f>
        <v>16.15</v>
      </c>
      <c r="E232" s="2">
        <f>IFERROR(__xludf.DUMMYFUNCTION("""COMPUTED_VALUE"""),16.27)</f>
        <v>16.27</v>
      </c>
      <c r="F232" s="2">
        <f>IFERROR(__xludf.DUMMYFUNCTION("""COMPUTED_VALUE"""),403300.0)</f>
        <v>403300</v>
      </c>
    </row>
    <row r="233">
      <c r="A233" s="3">
        <f>IFERROR(__xludf.DUMMYFUNCTION("""COMPUTED_VALUE"""),29556.666666666668)</f>
        <v>29556.66667</v>
      </c>
      <c r="B233" s="2">
        <f>IFERROR(__xludf.DUMMYFUNCTION("""COMPUTED_VALUE"""),15.88)</f>
        <v>15.88</v>
      </c>
      <c r="C233" s="2">
        <f>IFERROR(__xludf.DUMMYFUNCTION("""COMPUTED_VALUE"""),16.24)</f>
        <v>16.24</v>
      </c>
      <c r="D233" s="2">
        <f>IFERROR(__xludf.DUMMYFUNCTION("""COMPUTED_VALUE"""),15.88)</f>
        <v>15.88</v>
      </c>
      <c r="E233" s="2">
        <f>IFERROR(__xludf.DUMMYFUNCTION("""COMPUTED_VALUE"""),15.88)</f>
        <v>15.88</v>
      </c>
      <c r="F233" s="2">
        <f>IFERROR(__xludf.DUMMYFUNCTION("""COMPUTED_VALUE"""),501000.0)</f>
        <v>501000</v>
      </c>
    </row>
    <row r="234">
      <c r="A234" s="3">
        <f>IFERROR(__xludf.DUMMYFUNCTION("""COMPUTED_VALUE"""),29557.666666666668)</f>
        <v>29557.66667</v>
      </c>
      <c r="B234" s="2">
        <f>IFERROR(__xludf.DUMMYFUNCTION("""COMPUTED_VALUE"""),16.21)</f>
        <v>16.21</v>
      </c>
      <c r="C234" s="2">
        <f>IFERROR(__xludf.DUMMYFUNCTION("""COMPUTED_VALUE"""),16.24)</f>
        <v>16.24</v>
      </c>
      <c r="D234" s="2">
        <f>IFERROR(__xludf.DUMMYFUNCTION("""COMPUTED_VALUE"""),15.82)</f>
        <v>15.82</v>
      </c>
      <c r="E234" s="2">
        <f>IFERROR(__xludf.DUMMYFUNCTION("""COMPUTED_VALUE"""),16.21)</f>
        <v>16.21</v>
      </c>
      <c r="F234" s="2">
        <f>IFERROR(__xludf.DUMMYFUNCTION("""COMPUTED_VALUE"""),617100.0)</f>
        <v>617100</v>
      </c>
    </row>
    <row r="235">
      <c r="A235" s="3">
        <f>IFERROR(__xludf.DUMMYFUNCTION("""COMPUTED_VALUE"""),29558.666666666668)</f>
        <v>29558.66667</v>
      </c>
      <c r="B235" s="2">
        <f>IFERROR(__xludf.DUMMYFUNCTION("""COMPUTED_VALUE"""),16.24)</f>
        <v>16.24</v>
      </c>
      <c r="C235" s="2">
        <f>IFERROR(__xludf.DUMMYFUNCTION("""COMPUTED_VALUE"""),16.48)</f>
        <v>16.48</v>
      </c>
      <c r="D235" s="2">
        <f>IFERROR(__xludf.DUMMYFUNCTION("""COMPUTED_VALUE"""),16.12)</f>
        <v>16.12</v>
      </c>
      <c r="E235" s="2">
        <f>IFERROR(__xludf.DUMMYFUNCTION("""COMPUTED_VALUE"""),16.24)</f>
        <v>16.24</v>
      </c>
      <c r="F235" s="2">
        <f>IFERROR(__xludf.DUMMYFUNCTION("""COMPUTED_VALUE"""),560000.0)</f>
        <v>560000</v>
      </c>
    </row>
    <row r="236">
      <c r="A236" s="3">
        <f>IFERROR(__xludf.DUMMYFUNCTION("""COMPUTED_VALUE"""),29559.666666666668)</f>
        <v>29559.66667</v>
      </c>
      <c r="B236" s="2">
        <f>IFERROR(__xludf.DUMMYFUNCTION("""COMPUTED_VALUE"""),16.33)</f>
        <v>16.33</v>
      </c>
      <c r="C236" s="2">
        <f>IFERROR(__xludf.DUMMYFUNCTION("""COMPUTED_VALUE"""),16.6)</f>
        <v>16.6</v>
      </c>
      <c r="D236" s="2">
        <f>IFERROR(__xludf.DUMMYFUNCTION("""COMPUTED_VALUE"""),16.12)</f>
        <v>16.12</v>
      </c>
      <c r="E236" s="2">
        <f>IFERROR(__xludf.DUMMYFUNCTION("""COMPUTED_VALUE"""),16.33)</f>
        <v>16.33</v>
      </c>
      <c r="F236" s="2">
        <f>IFERROR(__xludf.DUMMYFUNCTION("""COMPUTED_VALUE"""),558700.0)</f>
        <v>558700</v>
      </c>
    </row>
    <row r="237">
      <c r="A237" s="3">
        <f>IFERROR(__xludf.DUMMYFUNCTION("""COMPUTED_VALUE"""),29560.666666666668)</f>
        <v>29560.66667</v>
      </c>
      <c r="B237" s="2">
        <f>IFERROR(__xludf.DUMMYFUNCTION("""COMPUTED_VALUE"""),16.12)</f>
        <v>16.12</v>
      </c>
      <c r="C237" s="2">
        <f>IFERROR(__xludf.DUMMYFUNCTION("""COMPUTED_VALUE"""),16.45)</f>
        <v>16.45</v>
      </c>
      <c r="D237" s="2">
        <f>IFERROR(__xludf.DUMMYFUNCTION("""COMPUTED_VALUE"""),16.12)</f>
        <v>16.12</v>
      </c>
      <c r="E237" s="2">
        <f>IFERROR(__xludf.DUMMYFUNCTION("""COMPUTED_VALUE"""),16.12)</f>
        <v>16.12</v>
      </c>
      <c r="F237" s="2">
        <f>IFERROR(__xludf.DUMMYFUNCTION("""COMPUTED_VALUE"""),480000.0)</f>
        <v>480000</v>
      </c>
    </row>
    <row r="238">
      <c r="A238" s="3">
        <f>IFERROR(__xludf.DUMMYFUNCTION("""COMPUTED_VALUE"""),29563.666666666668)</f>
        <v>29563.66667</v>
      </c>
      <c r="B238" s="2">
        <f>IFERROR(__xludf.DUMMYFUNCTION("""COMPUTED_VALUE"""),15.85)</f>
        <v>15.85</v>
      </c>
      <c r="C238" s="2">
        <f>IFERROR(__xludf.DUMMYFUNCTION("""COMPUTED_VALUE"""),16.06)</f>
        <v>16.06</v>
      </c>
      <c r="D238" s="2">
        <f>IFERROR(__xludf.DUMMYFUNCTION("""COMPUTED_VALUE"""),15.76)</f>
        <v>15.76</v>
      </c>
      <c r="E238" s="2">
        <f>IFERROR(__xludf.DUMMYFUNCTION("""COMPUTED_VALUE"""),15.85)</f>
        <v>15.85</v>
      </c>
      <c r="F238" s="2">
        <f>IFERROR(__xludf.DUMMYFUNCTION("""COMPUTED_VALUE"""),706700.0)</f>
        <v>706700</v>
      </c>
    </row>
    <row r="239">
      <c r="A239" s="3">
        <f>IFERROR(__xludf.DUMMYFUNCTION("""COMPUTED_VALUE"""),29564.666666666668)</f>
        <v>29564.66667</v>
      </c>
      <c r="B239" s="2">
        <f>IFERROR(__xludf.DUMMYFUNCTION("""COMPUTED_VALUE"""),15.79)</f>
        <v>15.79</v>
      </c>
      <c r="C239" s="2">
        <f>IFERROR(__xludf.DUMMYFUNCTION("""COMPUTED_VALUE"""),15.94)</f>
        <v>15.94</v>
      </c>
      <c r="D239" s="2">
        <f>IFERROR(__xludf.DUMMYFUNCTION("""COMPUTED_VALUE"""),15.7)</f>
        <v>15.7</v>
      </c>
      <c r="E239" s="2">
        <f>IFERROR(__xludf.DUMMYFUNCTION("""COMPUTED_VALUE"""),15.79)</f>
        <v>15.79</v>
      </c>
      <c r="F239" s="2">
        <f>IFERROR(__xludf.DUMMYFUNCTION("""COMPUTED_VALUE"""),875500.0)</f>
        <v>875500</v>
      </c>
    </row>
    <row r="240">
      <c r="A240" s="3">
        <f>IFERROR(__xludf.DUMMYFUNCTION("""COMPUTED_VALUE"""),29565.666666666668)</f>
        <v>29565.66667</v>
      </c>
      <c r="B240" s="2">
        <f>IFERROR(__xludf.DUMMYFUNCTION("""COMPUTED_VALUE"""),15.22)</f>
        <v>15.22</v>
      </c>
      <c r="C240" s="2">
        <f>IFERROR(__xludf.DUMMYFUNCTION("""COMPUTED_VALUE"""),15.88)</f>
        <v>15.88</v>
      </c>
      <c r="D240" s="2">
        <f>IFERROR(__xludf.DUMMYFUNCTION("""COMPUTED_VALUE"""),15.22)</f>
        <v>15.22</v>
      </c>
      <c r="E240" s="2">
        <f>IFERROR(__xludf.DUMMYFUNCTION("""COMPUTED_VALUE"""),15.22)</f>
        <v>15.22</v>
      </c>
      <c r="F240" s="2">
        <f>IFERROR(__xludf.DUMMYFUNCTION("""COMPUTED_VALUE"""),487600.0)</f>
        <v>487600</v>
      </c>
    </row>
    <row r="241">
      <c r="A241" s="3">
        <f>IFERROR(__xludf.DUMMYFUNCTION("""COMPUTED_VALUE"""),29566.666666666668)</f>
        <v>29566.66667</v>
      </c>
      <c r="B241" s="2">
        <f>IFERROR(__xludf.DUMMYFUNCTION("""COMPUTED_VALUE"""),15.4)</f>
        <v>15.4</v>
      </c>
      <c r="C241" s="2">
        <f>IFERROR(__xludf.DUMMYFUNCTION("""COMPUTED_VALUE"""),15.4)</f>
        <v>15.4</v>
      </c>
      <c r="D241" s="2">
        <f>IFERROR(__xludf.DUMMYFUNCTION("""COMPUTED_VALUE"""),15.1)</f>
        <v>15.1</v>
      </c>
      <c r="E241" s="2">
        <f>IFERROR(__xludf.DUMMYFUNCTION("""COMPUTED_VALUE"""),15.4)</f>
        <v>15.4</v>
      </c>
      <c r="F241" s="2">
        <f>IFERROR(__xludf.DUMMYFUNCTION("""COMPUTED_VALUE"""),724300.0)</f>
        <v>724300</v>
      </c>
    </row>
    <row r="242">
      <c r="A242" s="3">
        <f>IFERROR(__xludf.DUMMYFUNCTION("""COMPUTED_VALUE"""),29567.666666666668)</f>
        <v>29567.66667</v>
      </c>
      <c r="B242" s="2">
        <f>IFERROR(__xludf.DUMMYFUNCTION("""COMPUTED_VALUE"""),15.7)</f>
        <v>15.7</v>
      </c>
      <c r="C242" s="2">
        <f>IFERROR(__xludf.DUMMYFUNCTION("""COMPUTED_VALUE"""),15.76)</f>
        <v>15.76</v>
      </c>
      <c r="D242" s="2">
        <f>IFERROR(__xludf.DUMMYFUNCTION("""COMPUTED_VALUE"""),15.37)</f>
        <v>15.37</v>
      </c>
      <c r="E242" s="2">
        <f>IFERROR(__xludf.DUMMYFUNCTION("""COMPUTED_VALUE"""),15.7)</f>
        <v>15.7</v>
      </c>
      <c r="F242" s="2">
        <f>IFERROR(__xludf.DUMMYFUNCTION("""COMPUTED_VALUE"""),608700.0)</f>
        <v>608700</v>
      </c>
    </row>
    <row r="243">
      <c r="A243" s="3">
        <f>IFERROR(__xludf.DUMMYFUNCTION("""COMPUTED_VALUE"""),29570.666666666668)</f>
        <v>29570.66667</v>
      </c>
      <c r="B243" s="2">
        <f>IFERROR(__xludf.DUMMYFUNCTION("""COMPUTED_VALUE"""),15.4)</f>
        <v>15.4</v>
      </c>
      <c r="C243" s="2">
        <f>IFERROR(__xludf.DUMMYFUNCTION("""COMPUTED_VALUE"""),15.85)</f>
        <v>15.85</v>
      </c>
      <c r="D243" s="2">
        <f>IFERROR(__xludf.DUMMYFUNCTION("""COMPUTED_VALUE"""),15.4)</f>
        <v>15.4</v>
      </c>
      <c r="E243" s="2">
        <f>IFERROR(__xludf.DUMMYFUNCTION("""COMPUTED_VALUE"""),15.4)</f>
        <v>15.4</v>
      </c>
      <c r="F243" s="2">
        <f>IFERROR(__xludf.DUMMYFUNCTION("""COMPUTED_VALUE"""),336600.0)</f>
        <v>336600</v>
      </c>
    </row>
    <row r="244">
      <c r="A244" s="3">
        <f>IFERROR(__xludf.DUMMYFUNCTION("""COMPUTED_VALUE"""),29571.666666666668)</f>
        <v>29571.66667</v>
      </c>
      <c r="B244" s="2">
        <f>IFERROR(__xludf.DUMMYFUNCTION("""COMPUTED_VALUE"""),15.82)</f>
        <v>15.82</v>
      </c>
      <c r="C244" s="2">
        <f>IFERROR(__xludf.DUMMYFUNCTION("""COMPUTED_VALUE"""),15.82)</f>
        <v>15.82</v>
      </c>
      <c r="D244" s="2">
        <f>IFERROR(__xludf.DUMMYFUNCTION("""COMPUTED_VALUE"""),15.37)</f>
        <v>15.37</v>
      </c>
      <c r="E244" s="2">
        <f>IFERROR(__xludf.DUMMYFUNCTION("""COMPUTED_VALUE"""),15.82)</f>
        <v>15.82</v>
      </c>
      <c r="F244" s="2">
        <f>IFERROR(__xludf.DUMMYFUNCTION("""COMPUTED_VALUE"""),457600.0)</f>
        <v>457600</v>
      </c>
    </row>
    <row r="245">
      <c r="A245" s="3">
        <f>IFERROR(__xludf.DUMMYFUNCTION("""COMPUTED_VALUE"""),29572.666666666668)</f>
        <v>29572.66667</v>
      </c>
      <c r="B245" s="2">
        <f>IFERROR(__xludf.DUMMYFUNCTION("""COMPUTED_VALUE"""),15.58)</f>
        <v>15.58</v>
      </c>
      <c r="C245" s="2">
        <f>IFERROR(__xludf.DUMMYFUNCTION("""COMPUTED_VALUE"""),15.76)</f>
        <v>15.76</v>
      </c>
      <c r="D245" s="2">
        <f>IFERROR(__xludf.DUMMYFUNCTION("""COMPUTED_VALUE"""),15.46)</f>
        <v>15.46</v>
      </c>
      <c r="E245" s="2">
        <f>IFERROR(__xludf.DUMMYFUNCTION("""COMPUTED_VALUE"""),15.58)</f>
        <v>15.58</v>
      </c>
      <c r="F245" s="2">
        <f>IFERROR(__xludf.DUMMYFUNCTION("""COMPUTED_VALUE"""),510400.0)</f>
        <v>510400</v>
      </c>
    </row>
    <row r="246">
      <c r="A246" s="3">
        <f>IFERROR(__xludf.DUMMYFUNCTION("""COMPUTED_VALUE"""),29573.666666666668)</f>
        <v>29573.66667</v>
      </c>
      <c r="B246" s="2">
        <f>IFERROR(__xludf.DUMMYFUNCTION("""COMPUTED_VALUE"""),15.19)</f>
        <v>15.19</v>
      </c>
      <c r="C246" s="2">
        <f>IFERROR(__xludf.DUMMYFUNCTION("""COMPUTED_VALUE"""),15.67)</f>
        <v>15.67</v>
      </c>
      <c r="D246" s="2">
        <f>IFERROR(__xludf.DUMMYFUNCTION("""COMPUTED_VALUE"""),15.19)</f>
        <v>15.19</v>
      </c>
      <c r="E246" s="2">
        <f>IFERROR(__xludf.DUMMYFUNCTION("""COMPUTED_VALUE"""),15.19)</f>
        <v>15.19</v>
      </c>
      <c r="F246" s="2">
        <f>IFERROR(__xludf.DUMMYFUNCTION("""COMPUTED_VALUE"""),654800.0)</f>
        <v>654800</v>
      </c>
    </row>
    <row r="247">
      <c r="A247" s="3">
        <f>IFERROR(__xludf.DUMMYFUNCTION("""COMPUTED_VALUE"""),29574.666666666668)</f>
        <v>29574.66667</v>
      </c>
      <c r="B247" s="2">
        <f>IFERROR(__xludf.DUMMYFUNCTION("""COMPUTED_VALUE"""),15.43)</f>
        <v>15.43</v>
      </c>
      <c r="C247" s="2">
        <f>IFERROR(__xludf.DUMMYFUNCTION("""COMPUTED_VALUE"""),15.49)</f>
        <v>15.49</v>
      </c>
      <c r="D247" s="2">
        <f>IFERROR(__xludf.DUMMYFUNCTION("""COMPUTED_VALUE"""),15.22)</f>
        <v>15.22</v>
      </c>
      <c r="E247" s="2">
        <f>IFERROR(__xludf.DUMMYFUNCTION("""COMPUTED_VALUE"""),15.43)</f>
        <v>15.43</v>
      </c>
      <c r="F247" s="2">
        <f>IFERROR(__xludf.DUMMYFUNCTION("""COMPUTED_VALUE"""),1011200.0)</f>
        <v>1011200</v>
      </c>
    </row>
    <row r="248">
      <c r="A248" s="3">
        <f>IFERROR(__xludf.DUMMYFUNCTION("""COMPUTED_VALUE"""),29577.666666666668)</f>
        <v>29577.66667</v>
      </c>
      <c r="B248" s="2">
        <f>IFERROR(__xludf.DUMMYFUNCTION("""COMPUTED_VALUE"""),16.03)</f>
        <v>16.03</v>
      </c>
      <c r="C248" s="2">
        <f>IFERROR(__xludf.DUMMYFUNCTION("""COMPUTED_VALUE"""),16.06)</f>
        <v>16.06</v>
      </c>
      <c r="D248" s="2">
        <f>IFERROR(__xludf.DUMMYFUNCTION("""COMPUTED_VALUE"""),15.4)</f>
        <v>15.4</v>
      </c>
      <c r="E248" s="2">
        <f>IFERROR(__xludf.DUMMYFUNCTION("""COMPUTED_VALUE"""),16.03)</f>
        <v>16.03</v>
      </c>
      <c r="F248" s="2">
        <f>IFERROR(__xludf.DUMMYFUNCTION("""COMPUTED_VALUE"""),545300.0)</f>
        <v>545300</v>
      </c>
    </row>
    <row r="249">
      <c r="A249" s="3">
        <f>IFERROR(__xludf.DUMMYFUNCTION("""COMPUTED_VALUE"""),29578.666666666668)</f>
        <v>29578.66667</v>
      </c>
      <c r="B249" s="2">
        <f>IFERROR(__xludf.DUMMYFUNCTION("""COMPUTED_VALUE"""),16.06)</f>
        <v>16.06</v>
      </c>
      <c r="C249" s="2">
        <f>IFERROR(__xludf.DUMMYFUNCTION("""COMPUTED_VALUE"""),16.27)</f>
        <v>16.27</v>
      </c>
      <c r="D249" s="2">
        <f>IFERROR(__xludf.DUMMYFUNCTION("""COMPUTED_VALUE"""),15.97)</f>
        <v>15.97</v>
      </c>
      <c r="E249" s="2">
        <f>IFERROR(__xludf.DUMMYFUNCTION("""COMPUTED_VALUE"""),16.06)</f>
        <v>16.06</v>
      </c>
      <c r="F249" s="2">
        <f>IFERROR(__xludf.DUMMYFUNCTION("""COMPUTED_VALUE"""),586100.0)</f>
        <v>586100</v>
      </c>
    </row>
    <row r="250">
      <c r="A250" s="3">
        <f>IFERROR(__xludf.DUMMYFUNCTION("""COMPUTED_VALUE"""),29579.666666666668)</f>
        <v>29579.66667</v>
      </c>
      <c r="B250" s="2">
        <f>IFERROR(__xludf.DUMMYFUNCTION("""COMPUTED_VALUE"""),16.36)</f>
        <v>16.36</v>
      </c>
      <c r="C250" s="2">
        <f>IFERROR(__xludf.DUMMYFUNCTION("""COMPUTED_VALUE"""),16.42)</f>
        <v>16.42</v>
      </c>
      <c r="D250" s="2">
        <f>IFERROR(__xludf.DUMMYFUNCTION("""COMPUTED_VALUE"""),16.0)</f>
        <v>16</v>
      </c>
      <c r="E250" s="2">
        <f>IFERROR(__xludf.DUMMYFUNCTION("""COMPUTED_VALUE"""),16.36)</f>
        <v>16.36</v>
      </c>
      <c r="F250" s="2">
        <f>IFERROR(__xludf.DUMMYFUNCTION("""COMPUTED_VALUE"""),290300.0)</f>
        <v>290300</v>
      </c>
    </row>
    <row r="251">
      <c r="A251" s="3">
        <f>IFERROR(__xludf.DUMMYFUNCTION("""COMPUTED_VALUE"""),29581.666666666668)</f>
        <v>29581.66667</v>
      </c>
      <c r="B251" s="2">
        <f>IFERROR(__xludf.DUMMYFUNCTION("""COMPUTED_VALUE"""),16.48)</f>
        <v>16.48</v>
      </c>
      <c r="C251" s="2">
        <f>IFERROR(__xludf.DUMMYFUNCTION("""COMPUTED_VALUE"""),16.48)</f>
        <v>16.48</v>
      </c>
      <c r="D251" s="2">
        <f>IFERROR(__xludf.DUMMYFUNCTION("""COMPUTED_VALUE"""),16.33)</f>
        <v>16.33</v>
      </c>
      <c r="E251" s="2">
        <f>IFERROR(__xludf.DUMMYFUNCTION("""COMPUTED_VALUE"""),16.48)</f>
        <v>16.48</v>
      </c>
      <c r="F251" s="2">
        <f>IFERROR(__xludf.DUMMYFUNCTION("""COMPUTED_VALUE"""),171300.0)</f>
        <v>171300</v>
      </c>
    </row>
    <row r="252">
      <c r="A252" s="3">
        <f>IFERROR(__xludf.DUMMYFUNCTION("""COMPUTED_VALUE"""),29584.666666666668)</f>
        <v>29584.66667</v>
      </c>
      <c r="B252" s="2">
        <f>IFERROR(__xludf.DUMMYFUNCTION("""COMPUTED_VALUE"""),16.24)</f>
        <v>16.24</v>
      </c>
      <c r="C252" s="2">
        <f>IFERROR(__xludf.DUMMYFUNCTION("""COMPUTED_VALUE"""),16.6)</f>
        <v>16.6</v>
      </c>
      <c r="D252" s="2">
        <f>IFERROR(__xludf.DUMMYFUNCTION("""COMPUTED_VALUE"""),16.18)</f>
        <v>16.18</v>
      </c>
      <c r="E252" s="2">
        <f>IFERROR(__xludf.DUMMYFUNCTION("""COMPUTED_VALUE"""),16.24)</f>
        <v>16.24</v>
      </c>
      <c r="F252" s="2">
        <f>IFERROR(__xludf.DUMMYFUNCTION("""COMPUTED_VALUE"""),346100.0)</f>
        <v>346100</v>
      </c>
    </row>
    <row r="253">
      <c r="A253" s="3">
        <f>IFERROR(__xludf.DUMMYFUNCTION("""COMPUTED_VALUE"""),29585.666666666668)</f>
        <v>29585.66667</v>
      </c>
      <c r="B253" s="2">
        <f>IFERROR(__xludf.DUMMYFUNCTION("""COMPUTED_VALUE"""),16.39)</f>
        <v>16.39</v>
      </c>
      <c r="C253" s="2">
        <f>IFERROR(__xludf.DUMMYFUNCTION("""COMPUTED_VALUE"""),16.54)</f>
        <v>16.54</v>
      </c>
      <c r="D253" s="2">
        <f>IFERROR(__xludf.DUMMYFUNCTION("""COMPUTED_VALUE"""),16.21)</f>
        <v>16.21</v>
      </c>
      <c r="E253" s="2">
        <f>IFERROR(__xludf.DUMMYFUNCTION("""COMPUTED_VALUE"""),16.39)</f>
        <v>16.39</v>
      </c>
      <c r="F253" s="2">
        <f>IFERROR(__xludf.DUMMYFUNCTION("""COMPUTED_VALUE"""),372800.0)</f>
        <v>372800</v>
      </c>
    </row>
    <row r="254">
      <c r="A254" s="3">
        <f>IFERROR(__xludf.DUMMYFUNCTION("""COMPUTED_VALUE"""),29586.666666666668)</f>
        <v>29586.66667</v>
      </c>
      <c r="B254" s="2">
        <f>IFERROR(__xludf.DUMMYFUNCTION("""COMPUTED_VALUE"""),16.21)</f>
        <v>16.21</v>
      </c>
      <c r="C254" s="2">
        <f>IFERROR(__xludf.DUMMYFUNCTION("""COMPUTED_VALUE"""),16.51)</f>
        <v>16.51</v>
      </c>
      <c r="D254" s="2">
        <f>IFERROR(__xludf.DUMMYFUNCTION("""COMPUTED_VALUE"""),16.12)</f>
        <v>16.12</v>
      </c>
      <c r="E254" s="2">
        <f>IFERROR(__xludf.DUMMYFUNCTION("""COMPUTED_VALUE"""),16.21)</f>
        <v>16.21</v>
      </c>
      <c r="F254" s="2">
        <f>IFERROR(__xludf.DUMMYFUNCTION("""COMPUTED_VALUE"""),375200.0)</f>
        <v>375200</v>
      </c>
    </row>
    <row r="255">
      <c r="A255" s="3">
        <f>IFERROR(__xludf.DUMMYFUNCTION("""COMPUTED_VALUE"""),29588.666666666668)</f>
        <v>29588.66667</v>
      </c>
      <c r="B255" s="2">
        <f>IFERROR(__xludf.DUMMYFUNCTION("""COMPUTED_VALUE"""),16.51)</f>
        <v>16.51</v>
      </c>
      <c r="C255" s="2">
        <f>IFERROR(__xludf.DUMMYFUNCTION("""COMPUTED_VALUE"""),16.54)</f>
        <v>16.54</v>
      </c>
      <c r="D255" s="2">
        <f>IFERROR(__xludf.DUMMYFUNCTION("""COMPUTED_VALUE"""),16.15)</f>
        <v>16.15</v>
      </c>
      <c r="E255" s="2">
        <f>IFERROR(__xludf.DUMMYFUNCTION("""COMPUTED_VALUE"""),16.51)</f>
        <v>16.51</v>
      </c>
      <c r="F255" s="2">
        <f>IFERROR(__xludf.DUMMYFUNCTION("""COMPUTED_VALUE"""),292600.0)</f>
        <v>292600</v>
      </c>
    </row>
    <row r="256">
      <c r="A256" s="3">
        <f>IFERROR(__xludf.DUMMYFUNCTION("""COMPUTED_VALUE"""),29591.666666666668)</f>
        <v>29591.66667</v>
      </c>
      <c r="B256" s="2">
        <f>IFERROR(__xludf.DUMMYFUNCTION("""COMPUTED_VALUE"""),16.78)</f>
        <v>16.78</v>
      </c>
      <c r="C256" s="2">
        <f>IFERROR(__xludf.DUMMYFUNCTION("""COMPUTED_VALUE"""),16.89)</f>
        <v>16.89</v>
      </c>
      <c r="D256" s="2">
        <f>IFERROR(__xludf.DUMMYFUNCTION("""COMPUTED_VALUE"""),16.6)</f>
        <v>16.6</v>
      </c>
      <c r="E256" s="2">
        <f>IFERROR(__xludf.DUMMYFUNCTION("""COMPUTED_VALUE"""),16.78)</f>
        <v>16.78</v>
      </c>
      <c r="F256" s="2">
        <f>IFERROR(__xludf.DUMMYFUNCTION("""COMPUTED_VALUE"""),778500.0)</f>
        <v>778500</v>
      </c>
    </row>
    <row r="257">
      <c r="A257" s="3">
        <f>IFERROR(__xludf.DUMMYFUNCTION("""COMPUTED_VALUE"""),29592.666666666668)</f>
        <v>29592.66667</v>
      </c>
      <c r="B257" s="2">
        <f>IFERROR(__xludf.DUMMYFUNCTION("""COMPUTED_VALUE"""),17.07)</f>
        <v>17.07</v>
      </c>
      <c r="C257" s="2">
        <f>IFERROR(__xludf.DUMMYFUNCTION("""COMPUTED_VALUE"""),17.07)</f>
        <v>17.07</v>
      </c>
      <c r="D257" s="2">
        <f>IFERROR(__xludf.DUMMYFUNCTION("""COMPUTED_VALUE"""),16.63)</f>
        <v>16.63</v>
      </c>
      <c r="E257" s="2">
        <f>IFERROR(__xludf.DUMMYFUNCTION("""COMPUTED_VALUE"""),17.07)</f>
        <v>17.07</v>
      </c>
      <c r="F257" s="2">
        <f>IFERROR(__xludf.DUMMYFUNCTION("""COMPUTED_VALUE"""),974000.0)</f>
        <v>974000</v>
      </c>
    </row>
    <row r="258">
      <c r="A258" s="3">
        <f>IFERROR(__xludf.DUMMYFUNCTION("""COMPUTED_VALUE"""),29593.666666666668)</f>
        <v>29593.66667</v>
      </c>
      <c r="B258" s="2">
        <f>IFERROR(__xludf.DUMMYFUNCTION("""COMPUTED_VALUE"""),16.6)</f>
        <v>16.6</v>
      </c>
      <c r="C258" s="2">
        <f>IFERROR(__xludf.DUMMYFUNCTION("""COMPUTED_VALUE"""),16.75)</f>
        <v>16.75</v>
      </c>
      <c r="D258" s="2">
        <f>IFERROR(__xludf.DUMMYFUNCTION("""COMPUTED_VALUE"""),16.51)</f>
        <v>16.51</v>
      </c>
      <c r="E258" s="2">
        <f>IFERROR(__xludf.DUMMYFUNCTION("""COMPUTED_VALUE"""),16.6)</f>
        <v>16.6</v>
      </c>
      <c r="F258" s="2">
        <f>IFERROR(__xludf.DUMMYFUNCTION("""COMPUTED_VALUE"""),1191700.0)</f>
        <v>1191700</v>
      </c>
    </row>
    <row r="259">
      <c r="A259" s="3">
        <f>IFERROR(__xludf.DUMMYFUNCTION("""COMPUTED_VALUE"""),29594.666666666668)</f>
        <v>29594.66667</v>
      </c>
      <c r="B259" s="2">
        <f>IFERROR(__xludf.DUMMYFUNCTION("""COMPUTED_VALUE"""),16.15)</f>
        <v>16.15</v>
      </c>
      <c r="C259" s="2">
        <f>IFERROR(__xludf.DUMMYFUNCTION("""COMPUTED_VALUE"""),16.66)</f>
        <v>16.66</v>
      </c>
      <c r="D259" s="2">
        <f>IFERROR(__xludf.DUMMYFUNCTION("""COMPUTED_VALUE"""),16.09)</f>
        <v>16.09</v>
      </c>
      <c r="E259" s="2">
        <f>IFERROR(__xludf.DUMMYFUNCTION("""COMPUTED_VALUE"""),16.15)</f>
        <v>16.15</v>
      </c>
      <c r="F259" s="2">
        <f>IFERROR(__xludf.DUMMYFUNCTION("""COMPUTED_VALUE"""),634800.0)</f>
        <v>634800</v>
      </c>
    </row>
    <row r="260">
      <c r="A260" s="3">
        <f>IFERROR(__xludf.DUMMYFUNCTION("""COMPUTED_VALUE"""),29595.666666666668)</f>
        <v>29595.66667</v>
      </c>
      <c r="B260" s="2">
        <f>IFERROR(__xludf.DUMMYFUNCTION("""COMPUTED_VALUE"""),16.09)</f>
        <v>16.09</v>
      </c>
      <c r="C260" s="2">
        <f>IFERROR(__xludf.DUMMYFUNCTION("""COMPUTED_VALUE"""),16.24)</f>
        <v>16.24</v>
      </c>
      <c r="D260" s="2">
        <f>IFERROR(__xludf.DUMMYFUNCTION("""COMPUTED_VALUE"""),15.94)</f>
        <v>15.94</v>
      </c>
      <c r="E260" s="2">
        <f>IFERROR(__xludf.DUMMYFUNCTION("""COMPUTED_VALUE"""),16.09)</f>
        <v>16.09</v>
      </c>
      <c r="F260" s="2">
        <f>IFERROR(__xludf.DUMMYFUNCTION("""COMPUTED_VALUE"""),383500.0)</f>
        <v>383500</v>
      </c>
    </row>
    <row r="261">
      <c r="A261" s="3">
        <f>IFERROR(__xludf.DUMMYFUNCTION("""COMPUTED_VALUE"""),29598.666666666668)</f>
        <v>29598.66667</v>
      </c>
      <c r="B261" s="2">
        <f>IFERROR(__xludf.DUMMYFUNCTION("""COMPUTED_VALUE"""),15.94)</f>
        <v>15.94</v>
      </c>
      <c r="C261" s="2">
        <f>IFERROR(__xludf.DUMMYFUNCTION("""COMPUTED_VALUE"""),16.24)</f>
        <v>16.24</v>
      </c>
      <c r="D261" s="2">
        <f>IFERROR(__xludf.DUMMYFUNCTION("""COMPUTED_VALUE"""),15.82)</f>
        <v>15.82</v>
      </c>
      <c r="E261" s="2">
        <f>IFERROR(__xludf.DUMMYFUNCTION("""COMPUTED_VALUE"""),15.94)</f>
        <v>15.94</v>
      </c>
      <c r="F261" s="2">
        <f>IFERROR(__xludf.DUMMYFUNCTION("""COMPUTED_VALUE"""),587700.0)</f>
        <v>587700</v>
      </c>
    </row>
    <row r="262">
      <c r="A262" s="3">
        <f>IFERROR(__xludf.DUMMYFUNCTION("""COMPUTED_VALUE"""),29599.666666666668)</f>
        <v>29599.66667</v>
      </c>
      <c r="B262" s="2">
        <f>IFERROR(__xludf.DUMMYFUNCTION("""COMPUTED_VALUE"""),15.88)</f>
        <v>15.88</v>
      </c>
      <c r="C262" s="2">
        <f>IFERROR(__xludf.DUMMYFUNCTION("""COMPUTED_VALUE"""),15.94)</f>
        <v>15.94</v>
      </c>
      <c r="D262" s="2">
        <f>IFERROR(__xludf.DUMMYFUNCTION("""COMPUTED_VALUE"""),15.58)</f>
        <v>15.58</v>
      </c>
      <c r="E262" s="2">
        <f>IFERROR(__xludf.DUMMYFUNCTION("""COMPUTED_VALUE"""),15.88)</f>
        <v>15.88</v>
      </c>
      <c r="F262" s="2">
        <f>IFERROR(__xludf.DUMMYFUNCTION("""COMPUTED_VALUE"""),691600.0)</f>
        <v>691600</v>
      </c>
    </row>
    <row r="263">
      <c r="A263" s="3">
        <f>IFERROR(__xludf.DUMMYFUNCTION("""COMPUTED_VALUE"""),29600.666666666668)</f>
        <v>29600.66667</v>
      </c>
      <c r="B263" s="2">
        <f>IFERROR(__xludf.DUMMYFUNCTION("""COMPUTED_VALUE"""),15.94)</f>
        <v>15.94</v>
      </c>
      <c r="C263" s="2">
        <f>IFERROR(__xludf.DUMMYFUNCTION("""COMPUTED_VALUE"""),16.12)</f>
        <v>16.12</v>
      </c>
      <c r="D263" s="2">
        <f>IFERROR(__xludf.DUMMYFUNCTION("""COMPUTED_VALUE"""),15.85)</f>
        <v>15.85</v>
      </c>
      <c r="E263" s="2">
        <f>IFERROR(__xludf.DUMMYFUNCTION("""COMPUTED_VALUE"""),15.94)</f>
        <v>15.94</v>
      </c>
      <c r="F263" s="2">
        <f>IFERROR(__xludf.DUMMYFUNCTION("""COMPUTED_VALUE"""),449200.0)</f>
        <v>449200</v>
      </c>
    </row>
    <row r="264">
      <c r="A264" s="3">
        <f>IFERROR(__xludf.DUMMYFUNCTION("""COMPUTED_VALUE"""),29601.666666666668)</f>
        <v>29601.66667</v>
      </c>
      <c r="B264" s="2">
        <f>IFERROR(__xludf.DUMMYFUNCTION("""COMPUTED_VALUE"""),15.7)</f>
        <v>15.7</v>
      </c>
      <c r="C264" s="2">
        <f>IFERROR(__xludf.DUMMYFUNCTION("""COMPUTED_VALUE"""),15.94)</f>
        <v>15.94</v>
      </c>
      <c r="D264" s="2">
        <f>IFERROR(__xludf.DUMMYFUNCTION("""COMPUTED_VALUE"""),15.67)</f>
        <v>15.67</v>
      </c>
      <c r="E264" s="2">
        <f>IFERROR(__xludf.DUMMYFUNCTION("""COMPUTED_VALUE"""),15.7)</f>
        <v>15.7</v>
      </c>
      <c r="F264" s="2">
        <f>IFERROR(__xludf.DUMMYFUNCTION("""COMPUTED_VALUE"""),455700.0)</f>
        <v>455700</v>
      </c>
    </row>
    <row r="265">
      <c r="A265" s="3">
        <f>IFERROR(__xludf.DUMMYFUNCTION("""COMPUTED_VALUE"""),29602.666666666668)</f>
        <v>29602.66667</v>
      </c>
      <c r="B265" s="2">
        <f>IFERROR(__xludf.DUMMYFUNCTION("""COMPUTED_VALUE"""),15.97)</f>
        <v>15.97</v>
      </c>
      <c r="C265" s="2">
        <f>IFERROR(__xludf.DUMMYFUNCTION("""COMPUTED_VALUE"""),16.0)</f>
        <v>16</v>
      </c>
      <c r="D265" s="2">
        <f>IFERROR(__xludf.DUMMYFUNCTION("""COMPUTED_VALUE"""),15.7)</f>
        <v>15.7</v>
      </c>
      <c r="E265" s="2">
        <f>IFERROR(__xludf.DUMMYFUNCTION("""COMPUTED_VALUE"""),15.97)</f>
        <v>15.97</v>
      </c>
      <c r="F265" s="2">
        <f>IFERROR(__xludf.DUMMYFUNCTION("""COMPUTED_VALUE"""),842700.0)</f>
        <v>842700</v>
      </c>
    </row>
    <row r="266">
      <c r="A266" s="3">
        <f>IFERROR(__xludf.DUMMYFUNCTION("""COMPUTED_VALUE"""),29605.666666666668)</f>
        <v>29605.66667</v>
      </c>
      <c r="B266" s="2">
        <f>IFERROR(__xludf.DUMMYFUNCTION("""COMPUTED_VALUE"""),15.91)</f>
        <v>15.91</v>
      </c>
      <c r="C266" s="2">
        <f>IFERROR(__xludf.DUMMYFUNCTION("""COMPUTED_VALUE"""),16.06)</f>
        <v>16.06</v>
      </c>
      <c r="D266" s="2">
        <f>IFERROR(__xludf.DUMMYFUNCTION("""COMPUTED_VALUE"""),15.85)</f>
        <v>15.85</v>
      </c>
      <c r="E266" s="2">
        <f>IFERROR(__xludf.DUMMYFUNCTION("""COMPUTED_VALUE"""),15.91)</f>
        <v>15.91</v>
      </c>
      <c r="F266" s="2">
        <f>IFERROR(__xludf.DUMMYFUNCTION("""COMPUTED_VALUE"""),555900.0)</f>
        <v>555900</v>
      </c>
    </row>
    <row r="267">
      <c r="A267" s="3">
        <f>IFERROR(__xludf.DUMMYFUNCTION("""COMPUTED_VALUE"""),29606.666666666668)</f>
        <v>29606.66667</v>
      </c>
      <c r="B267" s="2">
        <f>IFERROR(__xludf.DUMMYFUNCTION("""COMPUTED_VALUE"""),15.52)</f>
        <v>15.52</v>
      </c>
      <c r="C267" s="2">
        <f>IFERROR(__xludf.DUMMYFUNCTION("""COMPUTED_VALUE"""),16.03)</f>
        <v>16.03</v>
      </c>
      <c r="D267" s="2">
        <f>IFERROR(__xludf.DUMMYFUNCTION("""COMPUTED_VALUE"""),15.46)</f>
        <v>15.46</v>
      </c>
      <c r="E267" s="2">
        <f>IFERROR(__xludf.DUMMYFUNCTION("""COMPUTED_VALUE"""),15.52)</f>
        <v>15.52</v>
      </c>
      <c r="F267" s="2">
        <f>IFERROR(__xludf.DUMMYFUNCTION("""COMPUTED_VALUE"""),596400.0)</f>
        <v>596400</v>
      </c>
    </row>
    <row r="268">
      <c r="A268" s="3">
        <f>IFERROR(__xludf.DUMMYFUNCTION("""COMPUTED_VALUE"""),29607.666666666668)</f>
        <v>29607.66667</v>
      </c>
      <c r="B268" s="2">
        <f>IFERROR(__xludf.DUMMYFUNCTION("""COMPUTED_VALUE"""),15.55)</f>
        <v>15.55</v>
      </c>
      <c r="C268" s="2">
        <f>IFERROR(__xludf.DUMMYFUNCTION("""COMPUTED_VALUE"""),15.67)</f>
        <v>15.67</v>
      </c>
      <c r="D268" s="2">
        <f>IFERROR(__xludf.DUMMYFUNCTION("""COMPUTED_VALUE"""),15.43)</f>
        <v>15.43</v>
      </c>
      <c r="E268" s="2">
        <f>IFERROR(__xludf.DUMMYFUNCTION("""COMPUTED_VALUE"""),15.55)</f>
        <v>15.55</v>
      </c>
      <c r="F268" s="2">
        <f>IFERROR(__xludf.DUMMYFUNCTION("""COMPUTED_VALUE"""),426900.0)</f>
        <v>426900</v>
      </c>
    </row>
    <row r="269">
      <c r="A269" s="3">
        <f>IFERROR(__xludf.DUMMYFUNCTION("""COMPUTED_VALUE"""),29608.666666666668)</f>
        <v>29608.66667</v>
      </c>
      <c r="B269" s="2">
        <f>IFERROR(__xludf.DUMMYFUNCTION("""COMPUTED_VALUE"""),15.58)</f>
        <v>15.58</v>
      </c>
      <c r="C269" s="2">
        <f>IFERROR(__xludf.DUMMYFUNCTION("""COMPUTED_VALUE"""),15.61)</f>
        <v>15.61</v>
      </c>
      <c r="D269" s="2">
        <f>IFERROR(__xludf.DUMMYFUNCTION("""COMPUTED_VALUE"""),15.4)</f>
        <v>15.4</v>
      </c>
      <c r="E269" s="2">
        <f>IFERROR(__xludf.DUMMYFUNCTION("""COMPUTED_VALUE"""),15.58)</f>
        <v>15.58</v>
      </c>
      <c r="F269" s="2">
        <f>IFERROR(__xludf.DUMMYFUNCTION("""COMPUTED_VALUE"""),349700.0)</f>
        <v>349700</v>
      </c>
    </row>
    <row r="270">
      <c r="A270" s="3">
        <f>IFERROR(__xludf.DUMMYFUNCTION("""COMPUTED_VALUE"""),29609.666666666668)</f>
        <v>29609.66667</v>
      </c>
      <c r="B270" s="2">
        <f>IFERROR(__xludf.DUMMYFUNCTION("""COMPUTED_VALUE"""),15.52)</f>
        <v>15.52</v>
      </c>
      <c r="C270" s="2">
        <f>IFERROR(__xludf.DUMMYFUNCTION("""COMPUTED_VALUE"""),15.67)</f>
        <v>15.67</v>
      </c>
      <c r="D270" s="2">
        <f>IFERROR(__xludf.DUMMYFUNCTION("""COMPUTED_VALUE"""),15.49)</f>
        <v>15.49</v>
      </c>
      <c r="E270" s="2">
        <f>IFERROR(__xludf.DUMMYFUNCTION("""COMPUTED_VALUE"""),15.52)</f>
        <v>15.52</v>
      </c>
      <c r="F270" s="2">
        <f>IFERROR(__xludf.DUMMYFUNCTION("""COMPUTED_VALUE"""),273700.0)</f>
        <v>273700</v>
      </c>
    </row>
    <row r="271">
      <c r="A271" s="3">
        <f>IFERROR(__xludf.DUMMYFUNCTION("""COMPUTED_VALUE"""),29612.666666666668)</f>
        <v>29612.66667</v>
      </c>
      <c r="B271" s="2">
        <f>IFERROR(__xludf.DUMMYFUNCTION("""COMPUTED_VALUE"""),15.52)</f>
        <v>15.52</v>
      </c>
      <c r="C271" s="2">
        <f>IFERROR(__xludf.DUMMYFUNCTION("""COMPUTED_VALUE"""),15.64)</f>
        <v>15.64</v>
      </c>
      <c r="D271" s="2">
        <f>IFERROR(__xludf.DUMMYFUNCTION("""COMPUTED_VALUE"""),15.43)</f>
        <v>15.43</v>
      </c>
      <c r="E271" s="2">
        <f>IFERROR(__xludf.DUMMYFUNCTION("""COMPUTED_VALUE"""),15.52)</f>
        <v>15.52</v>
      </c>
      <c r="F271" s="2">
        <f>IFERROR(__xludf.DUMMYFUNCTION("""COMPUTED_VALUE"""),306100.0)</f>
        <v>306100</v>
      </c>
    </row>
    <row r="272">
      <c r="A272" s="3">
        <f>IFERROR(__xludf.DUMMYFUNCTION("""COMPUTED_VALUE"""),29613.666666666668)</f>
        <v>29613.66667</v>
      </c>
      <c r="B272" s="2">
        <f>IFERROR(__xludf.DUMMYFUNCTION("""COMPUTED_VALUE"""),15.64)</f>
        <v>15.64</v>
      </c>
      <c r="C272" s="2">
        <f>IFERROR(__xludf.DUMMYFUNCTION("""COMPUTED_VALUE"""),15.73)</f>
        <v>15.73</v>
      </c>
      <c r="D272" s="2">
        <f>IFERROR(__xludf.DUMMYFUNCTION("""COMPUTED_VALUE"""),15.52)</f>
        <v>15.52</v>
      </c>
      <c r="E272" s="2">
        <f>IFERROR(__xludf.DUMMYFUNCTION("""COMPUTED_VALUE"""),15.64)</f>
        <v>15.64</v>
      </c>
      <c r="F272" s="2">
        <f>IFERROR(__xludf.DUMMYFUNCTION("""COMPUTED_VALUE"""),320200.0)</f>
        <v>320200</v>
      </c>
    </row>
    <row r="273">
      <c r="A273" s="3">
        <f>IFERROR(__xludf.DUMMYFUNCTION("""COMPUTED_VALUE"""),29614.666666666668)</f>
        <v>29614.66667</v>
      </c>
      <c r="B273" s="2">
        <f>IFERROR(__xludf.DUMMYFUNCTION("""COMPUTED_VALUE"""),15.43)</f>
        <v>15.43</v>
      </c>
      <c r="C273" s="2">
        <f>IFERROR(__xludf.DUMMYFUNCTION("""COMPUTED_VALUE"""),15.67)</f>
        <v>15.67</v>
      </c>
      <c r="D273" s="2">
        <f>IFERROR(__xludf.DUMMYFUNCTION("""COMPUTED_VALUE"""),15.4)</f>
        <v>15.4</v>
      </c>
      <c r="E273" s="2">
        <f>IFERROR(__xludf.DUMMYFUNCTION("""COMPUTED_VALUE"""),15.43)</f>
        <v>15.43</v>
      </c>
      <c r="F273" s="2">
        <f>IFERROR(__xludf.DUMMYFUNCTION("""COMPUTED_VALUE"""),275600.0)</f>
        <v>275600</v>
      </c>
    </row>
    <row r="274">
      <c r="A274" s="3">
        <f>IFERROR(__xludf.DUMMYFUNCTION("""COMPUTED_VALUE"""),29615.666666666668)</f>
        <v>29615.66667</v>
      </c>
      <c r="B274" s="2">
        <f>IFERROR(__xludf.DUMMYFUNCTION("""COMPUTED_VALUE"""),15.49)</f>
        <v>15.49</v>
      </c>
      <c r="C274" s="2">
        <f>IFERROR(__xludf.DUMMYFUNCTION("""COMPUTED_VALUE"""),15.64)</f>
        <v>15.64</v>
      </c>
      <c r="D274" s="2">
        <f>IFERROR(__xludf.DUMMYFUNCTION("""COMPUTED_VALUE"""),15.4)</f>
        <v>15.4</v>
      </c>
      <c r="E274" s="2">
        <f>IFERROR(__xludf.DUMMYFUNCTION("""COMPUTED_VALUE"""),15.49)</f>
        <v>15.49</v>
      </c>
      <c r="F274" s="2">
        <f>IFERROR(__xludf.DUMMYFUNCTION("""COMPUTED_VALUE"""),367300.0)</f>
        <v>367300</v>
      </c>
    </row>
    <row r="275">
      <c r="A275" s="3">
        <f>IFERROR(__xludf.DUMMYFUNCTION("""COMPUTED_VALUE"""),29616.666666666668)</f>
        <v>29616.66667</v>
      </c>
      <c r="B275" s="2">
        <f>IFERROR(__xludf.DUMMYFUNCTION("""COMPUTED_VALUE"""),15.37)</f>
        <v>15.37</v>
      </c>
      <c r="C275" s="2">
        <f>IFERROR(__xludf.DUMMYFUNCTION("""COMPUTED_VALUE"""),15.64)</f>
        <v>15.64</v>
      </c>
      <c r="D275" s="2">
        <f>IFERROR(__xludf.DUMMYFUNCTION("""COMPUTED_VALUE"""),15.28)</f>
        <v>15.28</v>
      </c>
      <c r="E275" s="2">
        <f>IFERROR(__xludf.DUMMYFUNCTION("""COMPUTED_VALUE"""),15.37)</f>
        <v>15.37</v>
      </c>
      <c r="F275" s="2">
        <f>IFERROR(__xludf.DUMMYFUNCTION("""COMPUTED_VALUE"""),358100.0)</f>
        <v>358100</v>
      </c>
    </row>
    <row r="276">
      <c r="A276" s="3">
        <f>IFERROR(__xludf.DUMMYFUNCTION("""COMPUTED_VALUE"""),29619.666666666668)</f>
        <v>29619.66667</v>
      </c>
      <c r="B276" s="2">
        <f>IFERROR(__xludf.DUMMYFUNCTION("""COMPUTED_VALUE"""),15.13)</f>
        <v>15.13</v>
      </c>
      <c r="C276" s="2">
        <f>IFERROR(__xludf.DUMMYFUNCTION("""COMPUTED_VALUE"""),15.37)</f>
        <v>15.37</v>
      </c>
      <c r="D276" s="2">
        <f>IFERROR(__xludf.DUMMYFUNCTION("""COMPUTED_VALUE"""),15.04)</f>
        <v>15.04</v>
      </c>
      <c r="E276" s="2">
        <f>IFERROR(__xludf.DUMMYFUNCTION("""COMPUTED_VALUE"""),15.13)</f>
        <v>15.13</v>
      </c>
      <c r="F276" s="2">
        <f>IFERROR(__xludf.DUMMYFUNCTION("""COMPUTED_VALUE"""),381600.0)</f>
        <v>381600</v>
      </c>
    </row>
    <row r="277">
      <c r="A277" s="3">
        <f>IFERROR(__xludf.DUMMYFUNCTION("""COMPUTED_VALUE"""),29620.666666666668)</f>
        <v>29620.66667</v>
      </c>
      <c r="B277" s="2">
        <f>IFERROR(__xludf.DUMMYFUNCTION("""COMPUTED_VALUE"""),15.34)</f>
        <v>15.34</v>
      </c>
      <c r="C277" s="2">
        <f>IFERROR(__xludf.DUMMYFUNCTION("""COMPUTED_VALUE"""),15.34)</f>
        <v>15.34</v>
      </c>
      <c r="D277" s="2">
        <f>IFERROR(__xludf.DUMMYFUNCTION("""COMPUTED_VALUE"""),15.13)</f>
        <v>15.13</v>
      </c>
      <c r="E277" s="2">
        <f>IFERROR(__xludf.DUMMYFUNCTION("""COMPUTED_VALUE"""),15.34)</f>
        <v>15.34</v>
      </c>
      <c r="F277" s="2">
        <f>IFERROR(__xludf.DUMMYFUNCTION("""COMPUTED_VALUE"""),349900.0)</f>
        <v>349900</v>
      </c>
    </row>
    <row r="278">
      <c r="A278" s="3">
        <f>IFERROR(__xludf.DUMMYFUNCTION("""COMPUTED_VALUE"""),29621.666666666668)</f>
        <v>29621.66667</v>
      </c>
      <c r="B278" s="2">
        <f>IFERROR(__xludf.DUMMYFUNCTION("""COMPUTED_VALUE"""),15.4)</f>
        <v>15.4</v>
      </c>
      <c r="C278" s="2">
        <f>IFERROR(__xludf.DUMMYFUNCTION("""COMPUTED_VALUE"""),15.46)</f>
        <v>15.46</v>
      </c>
      <c r="D278" s="2">
        <f>IFERROR(__xludf.DUMMYFUNCTION("""COMPUTED_VALUE"""),15.19)</f>
        <v>15.19</v>
      </c>
      <c r="E278" s="2">
        <f>IFERROR(__xludf.DUMMYFUNCTION("""COMPUTED_VALUE"""),15.4)</f>
        <v>15.4</v>
      </c>
      <c r="F278" s="2">
        <f>IFERROR(__xludf.DUMMYFUNCTION("""COMPUTED_VALUE"""),427000.0)</f>
        <v>427000</v>
      </c>
    </row>
    <row r="279">
      <c r="A279" s="3">
        <f>IFERROR(__xludf.DUMMYFUNCTION("""COMPUTED_VALUE"""),29622.666666666668)</f>
        <v>29622.66667</v>
      </c>
      <c r="B279" s="2">
        <f>IFERROR(__xludf.DUMMYFUNCTION("""COMPUTED_VALUE"""),15.28)</f>
        <v>15.28</v>
      </c>
      <c r="C279" s="2">
        <f>IFERROR(__xludf.DUMMYFUNCTION("""COMPUTED_VALUE"""),15.4)</f>
        <v>15.4</v>
      </c>
      <c r="D279" s="2">
        <f>IFERROR(__xludf.DUMMYFUNCTION("""COMPUTED_VALUE"""),15.25)</f>
        <v>15.25</v>
      </c>
      <c r="E279" s="2">
        <f>IFERROR(__xludf.DUMMYFUNCTION("""COMPUTED_VALUE"""),15.28)</f>
        <v>15.28</v>
      </c>
      <c r="F279" s="2">
        <f>IFERROR(__xludf.DUMMYFUNCTION("""COMPUTED_VALUE"""),290600.0)</f>
        <v>290600</v>
      </c>
    </row>
    <row r="280">
      <c r="A280" s="3">
        <f>IFERROR(__xludf.DUMMYFUNCTION("""COMPUTED_VALUE"""),29623.666666666668)</f>
        <v>29623.66667</v>
      </c>
      <c r="B280" s="2">
        <f>IFERROR(__xludf.DUMMYFUNCTION("""COMPUTED_VALUE"""),15.34)</f>
        <v>15.34</v>
      </c>
      <c r="C280" s="2">
        <f>IFERROR(__xludf.DUMMYFUNCTION("""COMPUTED_VALUE"""),15.46)</f>
        <v>15.46</v>
      </c>
      <c r="D280" s="2">
        <f>IFERROR(__xludf.DUMMYFUNCTION("""COMPUTED_VALUE"""),15.28)</f>
        <v>15.28</v>
      </c>
      <c r="E280" s="2">
        <f>IFERROR(__xludf.DUMMYFUNCTION("""COMPUTED_VALUE"""),15.34)</f>
        <v>15.34</v>
      </c>
      <c r="F280" s="2">
        <f>IFERROR(__xludf.DUMMYFUNCTION("""COMPUTED_VALUE"""),456400.0)</f>
        <v>456400</v>
      </c>
    </row>
    <row r="281">
      <c r="A281" s="3">
        <f>IFERROR(__xludf.DUMMYFUNCTION("""COMPUTED_VALUE"""),29626.666666666668)</f>
        <v>29626.66667</v>
      </c>
      <c r="B281" s="2">
        <f>IFERROR(__xludf.DUMMYFUNCTION("""COMPUTED_VALUE"""),15.16)</f>
        <v>15.16</v>
      </c>
      <c r="C281" s="2">
        <f>IFERROR(__xludf.DUMMYFUNCTION("""COMPUTED_VALUE"""),15.37)</f>
        <v>15.37</v>
      </c>
      <c r="D281" s="2">
        <f>IFERROR(__xludf.DUMMYFUNCTION("""COMPUTED_VALUE"""),15.1)</f>
        <v>15.1</v>
      </c>
      <c r="E281" s="2">
        <f>IFERROR(__xludf.DUMMYFUNCTION("""COMPUTED_VALUE"""),15.16)</f>
        <v>15.16</v>
      </c>
      <c r="F281" s="2">
        <f>IFERROR(__xludf.DUMMYFUNCTION("""COMPUTED_VALUE"""),285400.0)</f>
        <v>285400</v>
      </c>
    </row>
    <row r="282">
      <c r="A282" s="3">
        <f>IFERROR(__xludf.DUMMYFUNCTION("""COMPUTED_VALUE"""),29627.666666666668)</f>
        <v>29627.66667</v>
      </c>
      <c r="B282" s="2">
        <f>IFERROR(__xludf.DUMMYFUNCTION("""COMPUTED_VALUE"""),15.04)</f>
        <v>15.04</v>
      </c>
      <c r="C282" s="2">
        <f>IFERROR(__xludf.DUMMYFUNCTION("""COMPUTED_VALUE"""),15.19)</f>
        <v>15.19</v>
      </c>
      <c r="D282" s="2">
        <f>IFERROR(__xludf.DUMMYFUNCTION("""COMPUTED_VALUE"""),14.98)</f>
        <v>14.98</v>
      </c>
      <c r="E282" s="2">
        <f>IFERROR(__xludf.DUMMYFUNCTION("""COMPUTED_VALUE"""),15.04)</f>
        <v>15.04</v>
      </c>
      <c r="F282" s="2">
        <f>IFERROR(__xludf.DUMMYFUNCTION("""COMPUTED_VALUE"""),392600.0)</f>
        <v>392600</v>
      </c>
    </row>
    <row r="283">
      <c r="A283" s="3">
        <f>IFERROR(__xludf.DUMMYFUNCTION("""COMPUTED_VALUE"""),29628.666666666668)</f>
        <v>29628.66667</v>
      </c>
      <c r="B283" s="2">
        <f>IFERROR(__xludf.DUMMYFUNCTION("""COMPUTED_VALUE"""),14.95)</f>
        <v>14.95</v>
      </c>
      <c r="C283" s="2">
        <f>IFERROR(__xludf.DUMMYFUNCTION("""COMPUTED_VALUE"""),15.1)</f>
        <v>15.1</v>
      </c>
      <c r="D283" s="2">
        <f>IFERROR(__xludf.DUMMYFUNCTION("""COMPUTED_VALUE"""),14.89)</f>
        <v>14.89</v>
      </c>
      <c r="E283" s="2">
        <f>IFERROR(__xludf.DUMMYFUNCTION("""COMPUTED_VALUE"""),14.95)</f>
        <v>14.95</v>
      </c>
      <c r="F283" s="2">
        <f>IFERROR(__xludf.DUMMYFUNCTION("""COMPUTED_VALUE"""),358700.0)</f>
        <v>358700</v>
      </c>
    </row>
    <row r="284">
      <c r="A284" s="3">
        <f>IFERROR(__xludf.DUMMYFUNCTION("""COMPUTED_VALUE"""),29629.666666666668)</f>
        <v>29629.66667</v>
      </c>
      <c r="B284" s="2">
        <f>IFERROR(__xludf.DUMMYFUNCTION("""COMPUTED_VALUE"""),14.75)</f>
        <v>14.75</v>
      </c>
      <c r="C284" s="2">
        <f>IFERROR(__xludf.DUMMYFUNCTION("""COMPUTED_VALUE"""),14.98)</f>
        <v>14.98</v>
      </c>
      <c r="D284" s="2">
        <f>IFERROR(__xludf.DUMMYFUNCTION("""COMPUTED_VALUE"""),14.75)</f>
        <v>14.75</v>
      </c>
      <c r="E284" s="2">
        <f>IFERROR(__xludf.DUMMYFUNCTION("""COMPUTED_VALUE"""),14.75)</f>
        <v>14.75</v>
      </c>
      <c r="F284" s="2">
        <f>IFERROR(__xludf.DUMMYFUNCTION("""COMPUTED_VALUE"""),319100.0)</f>
        <v>319100</v>
      </c>
    </row>
    <row r="285">
      <c r="A285" s="3">
        <f>IFERROR(__xludf.DUMMYFUNCTION("""COMPUTED_VALUE"""),29630.666666666668)</f>
        <v>29630.66667</v>
      </c>
      <c r="B285" s="2">
        <f>IFERROR(__xludf.DUMMYFUNCTION("""COMPUTED_VALUE"""),14.75)</f>
        <v>14.75</v>
      </c>
      <c r="C285" s="2">
        <f>IFERROR(__xludf.DUMMYFUNCTION("""COMPUTED_VALUE"""),14.83)</f>
        <v>14.83</v>
      </c>
      <c r="D285" s="2">
        <f>IFERROR(__xludf.DUMMYFUNCTION("""COMPUTED_VALUE"""),14.63)</f>
        <v>14.63</v>
      </c>
      <c r="E285" s="2">
        <f>IFERROR(__xludf.DUMMYFUNCTION("""COMPUTED_VALUE"""),14.75)</f>
        <v>14.75</v>
      </c>
      <c r="F285" s="2">
        <f>IFERROR(__xludf.DUMMYFUNCTION("""COMPUTED_VALUE"""),374500.0)</f>
        <v>374500</v>
      </c>
    </row>
    <row r="286">
      <c r="A286" s="3">
        <f>IFERROR(__xludf.DUMMYFUNCTION("""COMPUTED_VALUE"""),29634.666666666668)</f>
        <v>29634.66667</v>
      </c>
      <c r="B286" s="2">
        <f>IFERROR(__xludf.DUMMYFUNCTION("""COMPUTED_VALUE"""),14.81)</f>
        <v>14.81</v>
      </c>
      <c r="C286" s="2">
        <f>IFERROR(__xludf.DUMMYFUNCTION("""COMPUTED_VALUE"""),14.92)</f>
        <v>14.92</v>
      </c>
      <c r="D286" s="2">
        <f>IFERROR(__xludf.DUMMYFUNCTION("""COMPUTED_VALUE"""),14.72)</f>
        <v>14.72</v>
      </c>
      <c r="E286" s="2">
        <f>IFERROR(__xludf.DUMMYFUNCTION("""COMPUTED_VALUE"""),14.81)</f>
        <v>14.81</v>
      </c>
      <c r="F286" s="2">
        <f>IFERROR(__xludf.DUMMYFUNCTION("""COMPUTED_VALUE"""),390900.0)</f>
        <v>390900</v>
      </c>
    </row>
    <row r="287">
      <c r="A287" s="3">
        <f>IFERROR(__xludf.DUMMYFUNCTION("""COMPUTED_VALUE"""),29635.666666666668)</f>
        <v>29635.66667</v>
      </c>
      <c r="B287" s="2">
        <f>IFERROR(__xludf.DUMMYFUNCTION("""COMPUTED_VALUE"""),14.81)</f>
        <v>14.81</v>
      </c>
      <c r="C287" s="2">
        <f>IFERROR(__xludf.DUMMYFUNCTION("""COMPUTED_VALUE"""),14.89)</f>
        <v>14.89</v>
      </c>
      <c r="D287" s="2">
        <f>IFERROR(__xludf.DUMMYFUNCTION("""COMPUTED_VALUE"""),14.72)</f>
        <v>14.72</v>
      </c>
      <c r="E287" s="2">
        <f>IFERROR(__xludf.DUMMYFUNCTION("""COMPUTED_VALUE"""),14.81)</f>
        <v>14.81</v>
      </c>
      <c r="F287" s="2">
        <f>IFERROR(__xludf.DUMMYFUNCTION("""COMPUTED_VALUE"""),399300.0)</f>
        <v>399300</v>
      </c>
    </row>
    <row r="288">
      <c r="A288" s="3">
        <f>IFERROR(__xludf.DUMMYFUNCTION("""COMPUTED_VALUE"""),29636.666666666668)</f>
        <v>29636.66667</v>
      </c>
      <c r="B288" s="2">
        <f>IFERROR(__xludf.DUMMYFUNCTION("""COMPUTED_VALUE"""),14.63)</f>
        <v>14.63</v>
      </c>
      <c r="C288" s="2">
        <f>IFERROR(__xludf.DUMMYFUNCTION("""COMPUTED_VALUE"""),14.86)</f>
        <v>14.86</v>
      </c>
      <c r="D288" s="2">
        <f>IFERROR(__xludf.DUMMYFUNCTION("""COMPUTED_VALUE"""),14.6)</f>
        <v>14.6</v>
      </c>
      <c r="E288" s="2">
        <f>IFERROR(__xludf.DUMMYFUNCTION("""COMPUTED_VALUE"""),14.63)</f>
        <v>14.63</v>
      </c>
      <c r="F288" s="2">
        <f>IFERROR(__xludf.DUMMYFUNCTION("""COMPUTED_VALUE"""),438300.0)</f>
        <v>438300</v>
      </c>
    </row>
    <row r="289">
      <c r="A289" s="3">
        <f>IFERROR(__xludf.DUMMYFUNCTION("""COMPUTED_VALUE"""),29637.666666666668)</f>
        <v>29637.66667</v>
      </c>
      <c r="B289" s="2">
        <f>IFERROR(__xludf.DUMMYFUNCTION("""COMPUTED_VALUE"""),14.45)</f>
        <v>14.45</v>
      </c>
      <c r="C289" s="2">
        <f>IFERROR(__xludf.DUMMYFUNCTION("""COMPUTED_VALUE"""),14.72)</f>
        <v>14.72</v>
      </c>
      <c r="D289" s="2">
        <f>IFERROR(__xludf.DUMMYFUNCTION("""COMPUTED_VALUE"""),14.39)</f>
        <v>14.39</v>
      </c>
      <c r="E289" s="2">
        <f>IFERROR(__xludf.DUMMYFUNCTION("""COMPUTED_VALUE"""),14.45)</f>
        <v>14.45</v>
      </c>
      <c r="F289" s="2">
        <f>IFERROR(__xludf.DUMMYFUNCTION("""COMPUTED_VALUE"""),341700.0)</f>
        <v>341700</v>
      </c>
    </row>
    <row r="290">
      <c r="A290" s="3">
        <f>IFERROR(__xludf.DUMMYFUNCTION("""COMPUTED_VALUE"""),29640.666666666668)</f>
        <v>29640.66667</v>
      </c>
      <c r="B290" s="2">
        <f>IFERROR(__xludf.DUMMYFUNCTION("""COMPUTED_VALUE"""),14.81)</f>
        <v>14.81</v>
      </c>
      <c r="C290" s="2">
        <f>IFERROR(__xludf.DUMMYFUNCTION("""COMPUTED_VALUE"""),14.89)</f>
        <v>14.89</v>
      </c>
      <c r="D290" s="2">
        <f>IFERROR(__xludf.DUMMYFUNCTION("""COMPUTED_VALUE"""),14.45)</f>
        <v>14.45</v>
      </c>
      <c r="E290" s="2">
        <f>IFERROR(__xludf.DUMMYFUNCTION("""COMPUTED_VALUE"""),14.81)</f>
        <v>14.81</v>
      </c>
      <c r="F290" s="2">
        <f>IFERROR(__xludf.DUMMYFUNCTION("""COMPUTED_VALUE"""),586400.0)</f>
        <v>586400</v>
      </c>
    </row>
    <row r="291">
      <c r="A291" s="3">
        <f>IFERROR(__xludf.DUMMYFUNCTION("""COMPUTED_VALUE"""),29641.666666666668)</f>
        <v>29641.66667</v>
      </c>
      <c r="B291" s="2">
        <f>IFERROR(__xludf.DUMMYFUNCTION("""COMPUTED_VALUE"""),14.83)</f>
        <v>14.83</v>
      </c>
      <c r="C291" s="2">
        <f>IFERROR(__xludf.DUMMYFUNCTION("""COMPUTED_VALUE"""),14.95)</f>
        <v>14.95</v>
      </c>
      <c r="D291" s="2">
        <f>IFERROR(__xludf.DUMMYFUNCTION("""COMPUTED_VALUE"""),14.78)</f>
        <v>14.78</v>
      </c>
      <c r="E291" s="2">
        <f>IFERROR(__xludf.DUMMYFUNCTION("""COMPUTED_VALUE"""),14.83)</f>
        <v>14.83</v>
      </c>
      <c r="F291" s="2">
        <f>IFERROR(__xludf.DUMMYFUNCTION("""COMPUTED_VALUE"""),523000.0)</f>
        <v>523000</v>
      </c>
    </row>
    <row r="292">
      <c r="A292" s="3">
        <f>IFERROR(__xludf.DUMMYFUNCTION("""COMPUTED_VALUE"""),29642.666666666668)</f>
        <v>29642.66667</v>
      </c>
      <c r="B292" s="2">
        <f>IFERROR(__xludf.DUMMYFUNCTION("""COMPUTED_VALUE"""),15.34)</f>
        <v>15.34</v>
      </c>
      <c r="C292" s="2">
        <f>IFERROR(__xludf.DUMMYFUNCTION("""COMPUTED_VALUE"""),15.34)</f>
        <v>15.34</v>
      </c>
      <c r="D292" s="2">
        <f>IFERROR(__xludf.DUMMYFUNCTION("""COMPUTED_VALUE"""),14.78)</f>
        <v>14.78</v>
      </c>
      <c r="E292" s="2">
        <f>IFERROR(__xludf.DUMMYFUNCTION("""COMPUTED_VALUE"""),15.34)</f>
        <v>15.34</v>
      </c>
      <c r="F292" s="2">
        <f>IFERROR(__xludf.DUMMYFUNCTION("""COMPUTED_VALUE"""),501500.0)</f>
        <v>501500</v>
      </c>
    </row>
    <row r="293">
      <c r="A293" s="3">
        <f>IFERROR(__xludf.DUMMYFUNCTION("""COMPUTED_VALUE"""),29643.666666666668)</f>
        <v>29643.66667</v>
      </c>
      <c r="B293" s="2">
        <f>IFERROR(__xludf.DUMMYFUNCTION("""COMPUTED_VALUE"""),15.46)</f>
        <v>15.46</v>
      </c>
      <c r="C293" s="2">
        <f>IFERROR(__xludf.DUMMYFUNCTION("""COMPUTED_VALUE"""),15.49)</f>
        <v>15.49</v>
      </c>
      <c r="D293" s="2">
        <f>IFERROR(__xludf.DUMMYFUNCTION("""COMPUTED_VALUE"""),15.13)</f>
        <v>15.13</v>
      </c>
      <c r="E293" s="2">
        <f>IFERROR(__xludf.DUMMYFUNCTION("""COMPUTED_VALUE"""),15.46)</f>
        <v>15.46</v>
      </c>
      <c r="F293" s="2">
        <f>IFERROR(__xludf.DUMMYFUNCTION("""COMPUTED_VALUE"""),640300.0)</f>
        <v>640300</v>
      </c>
    </row>
    <row r="294">
      <c r="A294" s="3">
        <f>IFERROR(__xludf.DUMMYFUNCTION("""COMPUTED_VALUE"""),29644.666666666668)</f>
        <v>29644.66667</v>
      </c>
      <c r="B294" s="2">
        <f>IFERROR(__xludf.DUMMYFUNCTION("""COMPUTED_VALUE"""),15.34)</f>
        <v>15.34</v>
      </c>
      <c r="C294" s="2">
        <f>IFERROR(__xludf.DUMMYFUNCTION("""COMPUTED_VALUE"""),15.4)</f>
        <v>15.4</v>
      </c>
      <c r="D294" s="2">
        <f>IFERROR(__xludf.DUMMYFUNCTION("""COMPUTED_VALUE"""),15.22)</f>
        <v>15.22</v>
      </c>
      <c r="E294" s="2">
        <f>IFERROR(__xludf.DUMMYFUNCTION("""COMPUTED_VALUE"""),15.34)</f>
        <v>15.34</v>
      </c>
      <c r="F294" s="2">
        <f>IFERROR(__xludf.DUMMYFUNCTION("""COMPUTED_VALUE"""),467500.0)</f>
        <v>467500</v>
      </c>
    </row>
    <row r="295">
      <c r="A295" s="3">
        <f>IFERROR(__xludf.DUMMYFUNCTION("""COMPUTED_VALUE"""),29647.666666666668)</f>
        <v>29647.66667</v>
      </c>
      <c r="B295" s="2">
        <f>IFERROR(__xludf.DUMMYFUNCTION("""COMPUTED_VALUE"""),15.19)</f>
        <v>15.19</v>
      </c>
      <c r="C295" s="2">
        <f>IFERROR(__xludf.DUMMYFUNCTION("""COMPUTED_VALUE"""),15.34)</f>
        <v>15.34</v>
      </c>
      <c r="D295" s="2">
        <f>IFERROR(__xludf.DUMMYFUNCTION("""COMPUTED_VALUE"""),15.16)</f>
        <v>15.16</v>
      </c>
      <c r="E295" s="2">
        <f>IFERROR(__xludf.DUMMYFUNCTION("""COMPUTED_VALUE"""),15.19)</f>
        <v>15.19</v>
      </c>
      <c r="F295" s="2">
        <f>IFERROR(__xludf.DUMMYFUNCTION("""COMPUTED_VALUE"""),289200.0)</f>
        <v>289200</v>
      </c>
    </row>
    <row r="296">
      <c r="A296" s="3">
        <f>IFERROR(__xludf.DUMMYFUNCTION("""COMPUTED_VALUE"""),29648.666666666668)</f>
        <v>29648.66667</v>
      </c>
      <c r="B296" s="2">
        <f>IFERROR(__xludf.DUMMYFUNCTION("""COMPUTED_VALUE"""),14.92)</f>
        <v>14.92</v>
      </c>
      <c r="C296" s="2">
        <f>IFERROR(__xludf.DUMMYFUNCTION("""COMPUTED_VALUE"""),15.22)</f>
        <v>15.22</v>
      </c>
      <c r="D296" s="2">
        <f>IFERROR(__xludf.DUMMYFUNCTION("""COMPUTED_VALUE"""),14.92)</f>
        <v>14.92</v>
      </c>
      <c r="E296" s="2">
        <f>IFERROR(__xludf.DUMMYFUNCTION("""COMPUTED_VALUE"""),14.92)</f>
        <v>14.92</v>
      </c>
      <c r="F296" s="2">
        <f>IFERROR(__xludf.DUMMYFUNCTION("""COMPUTED_VALUE"""),345100.0)</f>
        <v>345100</v>
      </c>
    </row>
    <row r="297">
      <c r="A297" s="3">
        <f>IFERROR(__xludf.DUMMYFUNCTION("""COMPUTED_VALUE"""),29649.666666666668)</f>
        <v>29649.66667</v>
      </c>
      <c r="B297" s="2">
        <f>IFERROR(__xludf.DUMMYFUNCTION("""COMPUTED_VALUE"""),14.78)</f>
        <v>14.78</v>
      </c>
      <c r="C297" s="2">
        <f>IFERROR(__xludf.DUMMYFUNCTION("""COMPUTED_VALUE"""),15.01)</f>
        <v>15.01</v>
      </c>
      <c r="D297" s="2">
        <f>IFERROR(__xludf.DUMMYFUNCTION("""COMPUTED_VALUE"""),14.72)</f>
        <v>14.72</v>
      </c>
      <c r="E297" s="2">
        <f>IFERROR(__xludf.DUMMYFUNCTION("""COMPUTED_VALUE"""),14.78)</f>
        <v>14.78</v>
      </c>
      <c r="F297" s="2">
        <f>IFERROR(__xludf.DUMMYFUNCTION("""COMPUTED_VALUE"""),314300.0)</f>
        <v>314300</v>
      </c>
    </row>
    <row r="298">
      <c r="A298" s="3">
        <f>IFERROR(__xludf.DUMMYFUNCTION("""COMPUTED_VALUE"""),29650.666666666668)</f>
        <v>29650.66667</v>
      </c>
      <c r="B298" s="2">
        <f>IFERROR(__xludf.DUMMYFUNCTION("""COMPUTED_VALUE"""),14.81)</f>
        <v>14.81</v>
      </c>
      <c r="C298" s="2">
        <f>IFERROR(__xludf.DUMMYFUNCTION("""COMPUTED_VALUE"""),14.89)</f>
        <v>14.89</v>
      </c>
      <c r="D298" s="2">
        <f>IFERROR(__xludf.DUMMYFUNCTION("""COMPUTED_VALUE"""),14.78)</f>
        <v>14.78</v>
      </c>
      <c r="E298" s="2">
        <f>IFERROR(__xludf.DUMMYFUNCTION("""COMPUTED_VALUE"""),14.81)</f>
        <v>14.81</v>
      </c>
      <c r="F298" s="2">
        <f>IFERROR(__xludf.DUMMYFUNCTION("""COMPUTED_VALUE"""),306900.0)</f>
        <v>306900</v>
      </c>
    </row>
    <row r="299">
      <c r="A299" s="3">
        <f>IFERROR(__xludf.DUMMYFUNCTION("""COMPUTED_VALUE"""),29651.666666666668)</f>
        <v>29651.66667</v>
      </c>
      <c r="B299" s="2">
        <f>IFERROR(__xludf.DUMMYFUNCTION("""COMPUTED_VALUE"""),14.78)</f>
        <v>14.78</v>
      </c>
      <c r="C299" s="2">
        <f>IFERROR(__xludf.DUMMYFUNCTION("""COMPUTED_VALUE"""),14.89)</f>
        <v>14.89</v>
      </c>
      <c r="D299" s="2">
        <f>IFERROR(__xludf.DUMMYFUNCTION("""COMPUTED_VALUE"""),14.69)</f>
        <v>14.69</v>
      </c>
      <c r="E299" s="2">
        <f>IFERROR(__xludf.DUMMYFUNCTION("""COMPUTED_VALUE"""),14.78)</f>
        <v>14.78</v>
      </c>
      <c r="F299" s="2">
        <f>IFERROR(__xludf.DUMMYFUNCTION("""COMPUTED_VALUE"""),319100.0)</f>
        <v>319100</v>
      </c>
    </row>
    <row r="300">
      <c r="A300" s="3">
        <f>IFERROR(__xludf.DUMMYFUNCTION("""COMPUTED_VALUE"""),29654.666666666668)</f>
        <v>29654.66667</v>
      </c>
      <c r="B300" s="2">
        <f>IFERROR(__xludf.DUMMYFUNCTION("""COMPUTED_VALUE"""),15.04)</f>
        <v>15.04</v>
      </c>
      <c r="C300" s="2">
        <f>IFERROR(__xludf.DUMMYFUNCTION("""COMPUTED_VALUE"""),15.1)</f>
        <v>15.1</v>
      </c>
      <c r="D300" s="2">
        <f>IFERROR(__xludf.DUMMYFUNCTION("""COMPUTED_VALUE"""),14.75)</f>
        <v>14.75</v>
      </c>
      <c r="E300" s="2">
        <f>IFERROR(__xludf.DUMMYFUNCTION("""COMPUTED_VALUE"""),15.04)</f>
        <v>15.04</v>
      </c>
      <c r="F300" s="2">
        <f>IFERROR(__xludf.DUMMYFUNCTION("""COMPUTED_VALUE"""),415500.0)</f>
        <v>415500</v>
      </c>
    </row>
    <row r="301">
      <c r="A301" s="3">
        <f>IFERROR(__xludf.DUMMYFUNCTION("""COMPUTED_VALUE"""),29655.666666666668)</f>
        <v>29655.66667</v>
      </c>
      <c r="B301" s="2">
        <f>IFERROR(__xludf.DUMMYFUNCTION("""COMPUTED_VALUE"""),14.92)</f>
        <v>14.92</v>
      </c>
      <c r="C301" s="2">
        <f>IFERROR(__xludf.DUMMYFUNCTION("""COMPUTED_VALUE"""),15.13)</f>
        <v>15.13</v>
      </c>
      <c r="D301" s="2">
        <f>IFERROR(__xludf.DUMMYFUNCTION("""COMPUTED_VALUE"""),14.86)</f>
        <v>14.86</v>
      </c>
      <c r="E301" s="2">
        <f>IFERROR(__xludf.DUMMYFUNCTION("""COMPUTED_VALUE"""),14.92)</f>
        <v>14.92</v>
      </c>
      <c r="F301" s="2">
        <f>IFERROR(__xludf.DUMMYFUNCTION("""COMPUTED_VALUE"""),484700.0)</f>
        <v>484700</v>
      </c>
    </row>
    <row r="302">
      <c r="A302" s="3">
        <f>IFERROR(__xludf.DUMMYFUNCTION("""COMPUTED_VALUE"""),29656.666666666668)</f>
        <v>29656.66667</v>
      </c>
      <c r="B302" s="2">
        <f>IFERROR(__xludf.DUMMYFUNCTION("""COMPUTED_VALUE"""),14.86)</f>
        <v>14.86</v>
      </c>
      <c r="C302" s="2">
        <f>IFERROR(__xludf.DUMMYFUNCTION("""COMPUTED_VALUE"""),14.98)</f>
        <v>14.98</v>
      </c>
      <c r="D302" s="2">
        <f>IFERROR(__xludf.DUMMYFUNCTION("""COMPUTED_VALUE"""),14.75)</f>
        <v>14.75</v>
      </c>
      <c r="E302" s="2">
        <f>IFERROR(__xludf.DUMMYFUNCTION("""COMPUTED_VALUE"""),14.86)</f>
        <v>14.86</v>
      </c>
      <c r="F302" s="2">
        <f>IFERROR(__xludf.DUMMYFUNCTION("""COMPUTED_VALUE"""),398000.0)</f>
        <v>398000</v>
      </c>
    </row>
    <row r="303">
      <c r="A303" s="3">
        <f>IFERROR(__xludf.DUMMYFUNCTION("""COMPUTED_VALUE"""),29657.666666666668)</f>
        <v>29657.66667</v>
      </c>
      <c r="B303" s="2">
        <f>IFERROR(__xludf.DUMMYFUNCTION("""COMPUTED_VALUE"""),15.28)</f>
        <v>15.28</v>
      </c>
      <c r="C303" s="2">
        <f>IFERROR(__xludf.DUMMYFUNCTION("""COMPUTED_VALUE"""),15.31)</f>
        <v>15.31</v>
      </c>
      <c r="D303" s="2">
        <f>IFERROR(__xludf.DUMMYFUNCTION("""COMPUTED_VALUE"""),14.89)</f>
        <v>14.89</v>
      </c>
      <c r="E303" s="2">
        <f>IFERROR(__xludf.DUMMYFUNCTION("""COMPUTED_VALUE"""),15.28)</f>
        <v>15.28</v>
      </c>
      <c r="F303" s="2">
        <f>IFERROR(__xludf.DUMMYFUNCTION("""COMPUTED_VALUE"""),398800.0)</f>
        <v>398800</v>
      </c>
    </row>
    <row r="304">
      <c r="A304" s="3">
        <f>IFERROR(__xludf.DUMMYFUNCTION("""COMPUTED_VALUE"""),29658.666666666668)</f>
        <v>29658.66667</v>
      </c>
      <c r="B304" s="2">
        <f>IFERROR(__xludf.DUMMYFUNCTION("""COMPUTED_VALUE"""),15.1)</f>
        <v>15.1</v>
      </c>
      <c r="C304" s="2">
        <f>IFERROR(__xludf.DUMMYFUNCTION("""COMPUTED_VALUE"""),15.43)</f>
        <v>15.43</v>
      </c>
      <c r="D304" s="2">
        <f>IFERROR(__xludf.DUMMYFUNCTION("""COMPUTED_VALUE"""),15.1)</f>
        <v>15.1</v>
      </c>
      <c r="E304" s="2">
        <f>IFERROR(__xludf.DUMMYFUNCTION("""COMPUTED_VALUE"""),15.1)</f>
        <v>15.1</v>
      </c>
      <c r="F304" s="2">
        <f>IFERROR(__xludf.DUMMYFUNCTION("""COMPUTED_VALUE"""),402100.0)</f>
        <v>402100</v>
      </c>
    </row>
    <row r="305">
      <c r="A305" s="3">
        <f>IFERROR(__xludf.DUMMYFUNCTION("""COMPUTED_VALUE"""),29661.666666666668)</f>
        <v>29661.66667</v>
      </c>
      <c r="B305" s="2">
        <f>IFERROR(__xludf.DUMMYFUNCTION("""COMPUTED_VALUE"""),15.43)</f>
        <v>15.43</v>
      </c>
      <c r="C305" s="2">
        <f>IFERROR(__xludf.DUMMYFUNCTION("""COMPUTED_VALUE"""),15.46)</f>
        <v>15.46</v>
      </c>
      <c r="D305" s="2">
        <f>IFERROR(__xludf.DUMMYFUNCTION("""COMPUTED_VALUE"""),15.01)</f>
        <v>15.01</v>
      </c>
      <c r="E305" s="2">
        <f>IFERROR(__xludf.DUMMYFUNCTION("""COMPUTED_VALUE"""),15.43)</f>
        <v>15.43</v>
      </c>
      <c r="F305" s="2">
        <f>IFERROR(__xludf.DUMMYFUNCTION("""COMPUTED_VALUE"""),519400.0)</f>
        <v>519400</v>
      </c>
    </row>
    <row r="306">
      <c r="A306" s="3">
        <f>IFERROR(__xludf.DUMMYFUNCTION("""COMPUTED_VALUE"""),29662.666666666668)</f>
        <v>29662.66667</v>
      </c>
      <c r="B306" s="2">
        <f>IFERROR(__xludf.DUMMYFUNCTION("""COMPUTED_VALUE"""),15.34)</f>
        <v>15.34</v>
      </c>
      <c r="C306" s="2">
        <f>IFERROR(__xludf.DUMMYFUNCTION("""COMPUTED_VALUE"""),15.58)</f>
        <v>15.58</v>
      </c>
      <c r="D306" s="2">
        <f>IFERROR(__xludf.DUMMYFUNCTION("""COMPUTED_VALUE"""),15.31)</f>
        <v>15.31</v>
      </c>
      <c r="E306" s="2">
        <f>IFERROR(__xludf.DUMMYFUNCTION("""COMPUTED_VALUE"""),15.34)</f>
        <v>15.34</v>
      </c>
      <c r="F306" s="2">
        <f>IFERROR(__xludf.DUMMYFUNCTION("""COMPUTED_VALUE"""),708900.0)</f>
        <v>708900</v>
      </c>
    </row>
    <row r="307">
      <c r="A307" s="3">
        <f>IFERROR(__xludf.DUMMYFUNCTION("""COMPUTED_VALUE"""),29663.666666666668)</f>
        <v>29663.66667</v>
      </c>
      <c r="B307" s="2">
        <f>IFERROR(__xludf.DUMMYFUNCTION("""COMPUTED_VALUE"""),15.46)</f>
        <v>15.46</v>
      </c>
      <c r="C307" s="2">
        <f>IFERROR(__xludf.DUMMYFUNCTION("""COMPUTED_VALUE"""),15.58)</f>
        <v>15.58</v>
      </c>
      <c r="D307" s="2">
        <f>IFERROR(__xludf.DUMMYFUNCTION("""COMPUTED_VALUE"""),15.34)</f>
        <v>15.34</v>
      </c>
      <c r="E307" s="2">
        <f>IFERROR(__xludf.DUMMYFUNCTION("""COMPUTED_VALUE"""),15.46)</f>
        <v>15.46</v>
      </c>
      <c r="F307" s="2">
        <f>IFERROR(__xludf.DUMMYFUNCTION("""COMPUTED_VALUE"""),438900.0)</f>
        <v>438900</v>
      </c>
    </row>
    <row r="308">
      <c r="A308" s="3">
        <f>IFERROR(__xludf.DUMMYFUNCTION("""COMPUTED_VALUE"""),29664.666666666668)</f>
        <v>29664.66667</v>
      </c>
      <c r="B308" s="2">
        <f>IFERROR(__xludf.DUMMYFUNCTION("""COMPUTED_VALUE"""),15.22)</f>
        <v>15.22</v>
      </c>
      <c r="C308" s="2">
        <f>IFERROR(__xludf.DUMMYFUNCTION("""COMPUTED_VALUE"""),15.46)</f>
        <v>15.46</v>
      </c>
      <c r="D308" s="2">
        <f>IFERROR(__xludf.DUMMYFUNCTION("""COMPUTED_VALUE"""),15.1)</f>
        <v>15.1</v>
      </c>
      <c r="E308" s="2">
        <f>IFERROR(__xludf.DUMMYFUNCTION("""COMPUTED_VALUE"""),15.22)</f>
        <v>15.22</v>
      </c>
      <c r="F308" s="2">
        <f>IFERROR(__xludf.DUMMYFUNCTION("""COMPUTED_VALUE"""),512000.0)</f>
        <v>512000</v>
      </c>
    </row>
    <row r="309">
      <c r="A309" s="3">
        <f>IFERROR(__xludf.DUMMYFUNCTION("""COMPUTED_VALUE"""),29665.666666666668)</f>
        <v>29665.66667</v>
      </c>
      <c r="B309" s="2">
        <f>IFERROR(__xludf.DUMMYFUNCTION("""COMPUTED_VALUE"""),15.07)</f>
        <v>15.07</v>
      </c>
      <c r="C309" s="2">
        <f>IFERROR(__xludf.DUMMYFUNCTION("""COMPUTED_VALUE"""),15.31)</f>
        <v>15.31</v>
      </c>
      <c r="D309" s="2">
        <f>IFERROR(__xludf.DUMMYFUNCTION("""COMPUTED_VALUE"""),14.98)</f>
        <v>14.98</v>
      </c>
      <c r="E309" s="2">
        <f>IFERROR(__xludf.DUMMYFUNCTION("""COMPUTED_VALUE"""),15.07)</f>
        <v>15.07</v>
      </c>
      <c r="F309" s="2">
        <f>IFERROR(__xludf.DUMMYFUNCTION("""COMPUTED_VALUE"""),649900.0)</f>
        <v>649900</v>
      </c>
    </row>
    <row r="310">
      <c r="A310" s="3">
        <f>IFERROR(__xludf.DUMMYFUNCTION("""COMPUTED_VALUE"""),29668.666666666668)</f>
        <v>29668.66667</v>
      </c>
      <c r="B310" s="2">
        <f>IFERROR(__xludf.DUMMYFUNCTION("""COMPUTED_VALUE"""),15.01)</f>
        <v>15.01</v>
      </c>
      <c r="C310" s="2">
        <f>IFERROR(__xludf.DUMMYFUNCTION("""COMPUTED_VALUE"""),15.13)</f>
        <v>15.13</v>
      </c>
      <c r="D310" s="2">
        <f>IFERROR(__xludf.DUMMYFUNCTION("""COMPUTED_VALUE"""),14.95)</f>
        <v>14.95</v>
      </c>
      <c r="E310" s="2">
        <f>IFERROR(__xludf.DUMMYFUNCTION("""COMPUTED_VALUE"""),15.01)</f>
        <v>15.01</v>
      </c>
      <c r="F310" s="2">
        <f>IFERROR(__xludf.DUMMYFUNCTION("""COMPUTED_VALUE"""),615800.0)</f>
        <v>615800</v>
      </c>
    </row>
    <row r="311">
      <c r="A311" s="3">
        <f>IFERROR(__xludf.DUMMYFUNCTION("""COMPUTED_VALUE"""),29669.666666666668)</f>
        <v>29669.66667</v>
      </c>
      <c r="B311" s="2">
        <f>IFERROR(__xludf.DUMMYFUNCTION("""COMPUTED_VALUE"""),14.86)</f>
        <v>14.86</v>
      </c>
      <c r="C311" s="2">
        <f>IFERROR(__xludf.DUMMYFUNCTION("""COMPUTED_VALUE"""),15.1)</f>
        <v>15.1</v>
      </c>
      <c r="D311" s="2">
        <f>IFERROR(__xludf.DUMMYFUNCTION("""COMPUTED_VALUE"""),14.83)</f>
        <v>14.83</v>
      </c>
      <c r="E311" s="2">
        <f>IFERROR(__xludf.DUMMYFUNCTION("""COMPUTED_VALUE"""),14.86)</f>
        <v>14.86</v>
      </c>
      <c r="F311" s="2">
        <f>IFERROR(__xludf.DUMMYFUNCTION("""COMPUTED_VALUE"""),651800.0)</f>
        <v>651800</v>
      </c>
    </row>
    <row r="312">
      <c r="A312" s="3">
        <f>IFERROR(__xludf.DUMMYFUNCTION("""COMPUTED_VALUE"""),29670.666666666668)</f>
        <v>29670.66667</v>
      </c>
      <c r="B312" s="2">
        <f>IFERROR(__xludf.DUMMYFUNCTION("""COMPUTED_VALUE"""),15.25)</f>
        <v>15.25</v>
      </c>
      <c r="C312" s="2">
        <f>IFERROR(__xludf.DUMMYFUNCTION("""COMPUTED_VALUE"""),15.31)</f>
        <v>15.31</v>
      </c>
      <c r="D312" s="2">
        <f>IFERROR(__xludf.DUMMYFUNCTION("""COMPUTED_VALUE"""),14.83)</f>
        <v>14.83</v>
      </c>
      <c r="E312" s="2">
        <f>IFERROR(__xludf.DUMMYFUNCTION("""COMPUTED_VALUE"""),15.25)</f>
        <v>15.25</v>
      </c>
      <c r="F312" s="2">
        <f>IFERROR(__xludf.DUMMYFUNCTION("""COMPUTED_VALUE"""),425800.0)</f>
        <v>425800</v>
      </c>
    </row>
    <row r="313">
      <c r="A313" s="3">
        <f>IFERROR(__xludf.DUMMYFUNCTION("""COMPUTED_VALUE"""),29671.666666666668)</f>
        <v>29671.66667</v>
      </c>
      <c r="B313" s="2">
        <f>IFERROR(__xludf.DUMMYFUNCTION("""COMPUTED_VALUE"""),15.07)</f>
        <v>15.07</v>
      </c>
      <c r="C313" s="2">
        <f>IFERROR(__xludf.DUMMYFUNCTION("""COMPUTED_VALUE"""),15.34)</f>
        <v>15.34</v>
      </c>
      <c r="D313" s="2">
        <f>IFERROR(__xludf.DUMMYFUNCTION("""COMPUTED_VALUE"""),14.95)</f>
        <v>14.95</v>
      </c>
      <c r="E313" s="2">
        <f>IFERROR(__xludf.DUMMYFUNCTION("""COMPUTED_VALUE"""),15.07)</f>
        <v>15.07</v>
      </c>
      <c r="F313" s="2">
        <f>IFERROR(__xludf.DUMMYFUNCTION("""COMPUTED_VALUE"""),1157000.0)</f>
        <v>1157000</v>
      </c>
    </row>
    <row r="314">
      <c r="A314" s="3">
        <f>IFERROR(__xludf.DUMMYFUNCTION("""COMPUTED_VALUE"""),29672.666666666668)</f>
        <v>29672.66667</v>
      </c>
      <c r="B314" s="2">
        <f>IFERROR(__xludf.DUMMYFUNCTION("""COMPUTED_VALUE"""),14.75)</f>
        <v>14.75</v>
      </c>
      <c r="C314" s="2">
        <f>IFERROR(__xludf.DUMMYFUNCTION("""COMPUTED_VALUE"""),15.13)</f>
        <v>15.13</v>
      </c>
      <c r="D314" s="2">
        <f>IFERROR(__xludf.DUMMYFUNCTION("""COMPUTED_VALUE"""),14.72)</f>
        <v>14.72</v>
      </c>
      <c r="E314" s="2">
        <f>IFERROR(__xludf.DUMMYFUNCTION("""COMPUTED_VALUE"""),14.75)</f>
        <v>14.75</v>
      </c>
      <c r="F314" s="2">
        <f>IFERROR(__xludf.DUMMYFUNCTION("""COMPUTED_VALUE"""),574500.0)</f>
        <v>574500</v>
      </c>
    </row>
    <row r="315">
      <c r="A315" s="3">
        <f>IFERROR(__xludf.DUMMYFUNCTION("""COMPUTED_VALUE"""),29675.666666666668)</f>
        <v>29675.66667</v>
      </c>
      <c r="B315" s="2">
        <f>IFERROR(__xludf.DUMMYFUNCTION("""COMPUTED_VALUE"""),14.69)</f>
        <v>14.69</v>
      </c>
      <c r="C315" s="2">
        <f>IFERROR(__xludf.DUMMYFUNCTION("""COMPUTED_VALUE"""),14.83)</f>
        <v>14.83</v>
      </c>
      <c r="D315" s="2">
        <f>IFERROR(__xludf.DUMMYFUNCTION("""COMPUTED_VALUE"""),14.66)</f>
        <v>14.66</v>
      </c>
      <c r="E315" s="2">
        <f>IFERROR(__xludf.DUMMYFUNCTION("""COMPUTED_VALUE"""),14.69)</f>
        <v>14.69</v>
      </c>
      <c r="F315" s="2">
        <f>IFERROR(__xludf.DUMMYFUNCTION("""COMPUTED_VALUE"""),362500.0)</f>
        <v>362500</v>
      </c>
    </row>
    <row r="316">
      <c r="A316" s="3">
        <f>IFERROR(__xludf.DUMMYFUNCTION("""COMPUTED_VALUE"""),29676.666666666668)</f>
        <v>29676.66667</v>
      </c>
      <c r="B316" s="2">
        <f>IFERROR(__xludf.DUMMYFUNCTION("""COMPUTED_VALUE"""),14.89)</f>
        <v>14.89</v>
      </c>
      <c r="C316" s="2">
        <f>IFERROR(__xludf.DUMMYFUNCTION("""COMPUTED_VALUE"""),14.95)</f>
        <v>14.95</v>
      </c>
      <c r="D316" s="2">
        <f>IFERROR(__xludf.DUMMYFUNCTION("""COMPUTED_VALUE"""),14.78)</f>
        <v>14.78</v>
      </c>
      <c r="E316" s="2">
        <f>IFERROR(__xludf.DUMMYFUNCTION("""COMPUTED_VALUE"""),14.89)</f>
        <v>14.89</v>
      </c>
      <c r="F316" s="2">
        <f>IFERROR(__xludf.DUMMYFUNCTION("""COMPUTED_VALUE"""),473200.0)</f>
        <v>473200</v>
      </c>
    </row>
    <row r="317">
      <c r="A317" s="3">
        <f>IFERROR(__xludf.DUMMYFUNCTION("""COMPUTED_VALUE"""),29677.666666666668)</f>
        <v>29677.66667</v>
      </c>
      <c r="B317" s="2">
        <f>IFERROR(__xludf.DUMMYFUNCTION("""COMPUTED_VALUE"""),15.04)</f>
        <v>15.04</v>
      </c>
      <c r="C317" s="2">
        <f>IFERROR(__xludf.DUMMYFUNCTION("""COMPUTED_VALUE"""),15.13)</f>
        <v>15.13</v>
      </c>
      <c r="D317" s="2">
        <f>IFERROR(__xludf.DUMMYFUNCTION("""COMPUTED_VALUE"""),14.81)</f>
        <v>14.81</v>
      </c>
      <c r="E317" s="2">
        <f>IFERROR(__xludf.DUMMYFUNCTION("""COMPUTED_VALUE"""),15.04)</f>
        <v>15.04</v>
      </c>
      <c r="F317" s="2">
        <f>IFERROR(__xludf.DUMMYFUNCTION("""COMPUTED_VALUE"""),892100.0)</f>
        <v>892100</v>
      </c>
    </row>
    <row r="318">
      <c r="A318" s="3">
        <f>IFERROR(__xludf.DUMMYFUNCTION("""COMPUTED_VALUE"""),29678.666666666668)</f>
        <v>29678.66667</v>
      </c>
      <c r="B318" s="2">
        <f>IFERROR(__xludf.DUMMYFUNCTION("""COMPUTED_VALUE"""),14.83)</f>
        <v>14.83</v>
      </c>
      <c r="C318" s="2">
        <f>IFERROR(__xludf.DUMMYFUNCTION("""COMPUTED_VALUE"""),14.98)</f>
        <v>14.98</v>
      </c>
      <c r="D318" s="2">
        <f>IFERROR(__xludf.DUMMYFUNCTION("""COMPUTED_VALUE"""),14.78)</f>
        <v>14.78</v>
      </c>
      <c r="E318" s="2">
        <f>IFERROR(__xludf.DUMMYFUNCTION("""COMPUTED_VALUE"""),14.83)</f>
        <v>14.83</v>
      </c>
      <c r="F318" s="2">
        <f>IFERROR(__xludf.DUMMYFUNCTION("""COMPUTED_VALUE"""),483100.0)</f>
        <v>483100</v>
      </c>
    </row>
    <row r="319">
      <c r="A319" s="3">
        <f>IFERROR(__xludf.DUMMYFUNCTION("""COMPUTED_VALUE"""),29679.666666666668)</f>
        <v>29679.66667</v>
      </c>
      <c r="B319" s="2">
        <f>IFERROR(__xludf.DUMMYFUNCTION("""COMPUTED_VALUE"""),14.6)</f>
        <v>14.6</v>
      </c>
      <c r="C319" s="2">
        <f>IFERROR(__xludf.DUMMYFUNCTION("""COMPUTED_VALUE"""),14.89)</f>
        <v>14.89</v>
      </c>
      <c r="D319" s="2">
        <f>IFERROR(__xludf.DUMMYFUNCTION("""COMPUTED_VALUE"""),14.51)</f>
        <v>14.51</v>
      </c>
      <c r="E319" s="2">
        <f>IFERROR(__xludf.DUMMYFUNCTION("""COMPUTED_VALUE"""),14.6)</f>
        <v>14.6</v>
      </c>
      <c r="F319" s="2">
        <f>IFERROR(__xludf.DUMMYFUNCTION("""COMPUTED_VALUE"""),620900.0)</f>
        <v>620900</v>
      </c>
    </row>
    <row r="320">
      <c r="A320" s="3">
        <f>IFERROR(__xludf.DUMMYFUNCTION("""COMPUTED_VALUE"""),29682.666666666668)</f>
        <v>29682.66667</v>
      </c>
      <c r="B320" s="2">
        <f>IFERROR(__xludf.DUMMYFUNCTION("""COMPUTED_VALUE"""),14.42)</f>
        <v>14.42</v>
      </c>
      <c r="C320" s="2">
        <f>IFERROR(__xludf.DUMMYFUNCTION("""COMPUTED_VALUE"""),14.57)</f>
        <v>14.57</v>
      </c>
      <c r="D320" s="2">
        <f>IFERROR(__xludf.DUMMYFUNCTION("""COMPUTED_VALUE"""),14.3)</f>
        <v>14.3</v>
      </c>
      <c r="E320" s="2">
        <f>IFERROR(__xludf.DUMMYFUNCTION("""COMPUTED_VALUE"""),14.42)</f>
        <v>14.42</v>
      </c>
      <c r="F320" s="2">
        <f>IFERROR(__xludf.DUMMYFUNCTION("""COMPUTED_VALUE"""),576500.0)</f>
        <v>576500</v>
      </c>
    </row>
    <row r="321">
      <c r="A321" s="3">
        <f>IFERROR(__xludf.DUMMYFUNCTION("""COMPUTED_VALUE"""),29683.666666666668)</f>
        <v>29683.66667</v>
      </c>
      <c r="B321" s="2">
        <f>IFERROR(__xludf.DUMMYFUNCTION("""COMPUTED_VALUE"""),14.33)</f>
        <v>14.33</v>
      </c>
      <c r="C321" s="2">
        <f>IFERROR(__xludf.DUMMYFUNCTION("""COMPUTED_VALUE"""),14.48)</f>
        <v>14.48</v>
      </c>
      <c r="D321" s="2">
        <f>IFERROR(__xludf.DUMMYFUNCTION("""COMPUTED_VALUE"""),14.33)</f>
        <v>14.33</v>
      </c>
      <c r="E321" s="2">
        <f>IFERROR(__xludf.DUMMYFUNCTION("""COMPUTED_VALUE"""),14.33)</f>
        <v>14.33</v>
      </c>
      <c r="F321" s="2">
        <f>IFERROR(__xludf.DUMMYFUNCTION("""COMPUTED_VALUE"""),603800.0)</f>
        <v>603800</v>
      </c>
    </row>
    <row r="322">
      <c r="A322" s="3">
        <f>IFERROR(__xludf.DUMMYFUNCTION("""COMPUTED_VALUE"""),29684.666666666668)</f>
        <v>29684.66667</v>
      </c>
      <c r="B322" s="2">
        <f>IFERROR(__xludf.DUMMYFUNCTION("""COMPUTED_VALUE"""),14.33)</f>
        <v>14.33</v>
      </c>
      <c r="C322" s="2">
        <f>IFERROR(__xludf.DUMMYFUNCTION("""COMPUTED_VALUE"""),14.45)</f>
        <v>14.45</v>
      </c>
      <c r="D322" s="2">
        <f>IFERROR(__xludf.DUMMYFUNCTION("""COMPUTED_VALUE"""),14.3)</f>
        <v>14.3</v>
      </c>
      <c r="E322" s="2">
        <f>IFERROR(__xludf.DUMMYFUNCTION("""COMPUTED_VALUE"""),14.33)</f>
        <v>14.33</v>
      </c>
      <c r="F322" s="2">
        <f>IFERROR(__xludf.DUMMYFUNCTION("""COMPUTED_VALUE"""),667300.0)</f>
        <v>667300</v>
      </c>
    </row>
    <row r="323">
      <c r="A323" s="3">
        <f>IFERROR(__xludf.DUMMYFUNCTION("""COMPUTED_VALUE"""),29685.666666666668)</f>
        <v>29685.66667</v>
      </c>
      <c r="B323" s="2">
        <f>IFERROR(__xludf.DUMMYFUNCTION("""COMPUTED_VALUE"""),14.75)</f>
        <v>14.75</v>
      </c>
      <c r="C323" s="2">
        <f>IFERROR(__xludf.DUMMYFUNCTION("""COMPUTED_VALUE"""),14.75)</f>
        <v>14.75</v>
      </c>
      <c r="D323" s="2">
        <f>IFERROR(__xludf.DUMMYFUNCTION("""COMPUTED_VALUE"""),14.27)</f>
        <v>14.27</v>
      </c>
      <c r="E323" s="2">
        <f>IFERROR(__xludf.DUMMYFUNCTION("""COMPUTED_VALUE"""),14.75)</f>
        <v>14.75</v>
      </c>
      <c r="F323" s="2">
        <f>IFERROR(__xludf.DUMMYFUNCTION("""COMPUTED_VALUE"""),857900.0)</f>
        <v>857900</v>
      </c>
    </row>
    <row r="324">
      <c r="A324" s="3">
        <f>IFERROR(__xludf.DUMMYFUNCTION("""COMPUTED_VALUE"""),29686.666666666668)</f>
        <v>29686.66667</v>
      </c>
      <c r="B324" s="2">
        <f>IFERROR(__xludf.DUMMYFUNCTION("""COMPUTED_VALUE"""),14.51)</f>
        <v>14.51</v>
      </c>
      <c r="C324" s="2">
        <f>IFERROR(__xludf.DUMMYFUNCTION("""COMPUTED_VALUE"""),15.1)</f>
        <v>15.1</v>
      </c>
      <c r="D324" s="2">
        <f>IFERROR(__xludf.DUMMYFUNCTION("""COMPUTED_VALUE"""),14.45)</f>
        <v>14.45</v>
      </c>
      <c r="E324" s="2">
        <f>IFERROR(__xludf.DUMMYFUNCTION("""COMPUTED_VALUE"""),14.51)</f>
        <v>14.51</v>
      </c>
      <c r="F324" s="2">
        <f>IFERROR(__xludf.DUMMYFUNCTION("""COMPUTED_VALUE"""),1267600.0)</f>
        <v>1267600</v>
      </c>
    </row>
    <row r="325">
      <c r="A325" s="3">
        <f>IFERROR(__xludf.DUMMYFUNCTION("""COMPUTED_VALUE"""),29689.666666666668)</f>
        <v>29689.66667</v>
      </c>
      <c r="B325" s="2">
        <f>IFERROR(__xludf.DUMMYFUNCTION("""COMPUTED_VALUE"""),14.36)</f>
        <v>14.36</v>
      </c>
      <c r="C325" s="2">
        <f>IFERROR(__xludf.DUMMYFUNCTION("""COMPUTED_VALUE"""),14.51)</f>
        <v>14.51</v>
      </c>
      <c r="D325" s="2">
        <f>IFERROR(__xludf.DUMMYFUNCTION("""COMPUTED_VALUE"""),14.36)</f>
        <v>14.36</v>
      </c>
      <c r="E325" s="2">
        <f>IFERROR(__xludf.DUMMYFUNCTION("""COMPUTED_VALUE"""),14.36)</f>
        <v>14.36</v>
      </c>
      <c r="F325" s="2">
        <f>IFERROR(__xludf.DUMMYFUNCTION("""COMPUTED_VALUE"""),954200.0)</f>
        <v>954200</v>
      </c>
    </row>
    <row r="326">
      <c r="A326" s="3">
        <f>IFERROR(__xludf.DUMMYFUNCTION("""COMPUTED_VALUE"""),29690.666666666668)</f>
        <v>29690.66667</v>
      </c>
      <c r="B326" s="2">
        <f>IFERROR(__xludf.DUMMYFUNCTION("""COMPUTED_VALUE"""),14.12)</f>
        <v>14.12</v>
      </c>
      <c r="C326" s="2">
        <f>IFERROR(__xludf.DUMMYFUNCTION("""COMPUTED_VALUE"""),14.33)</f>
        <v>14.33</v>
      </c>
      <c r="D326" s="2">
        <f>IFERROR(__xludf.DUMMYFUNCTION("""COMPUTED_VALUE"""),14.12)</f>
        <v>14.12</v>
      </c>
      <c r="E326" s="2">
        <f>IFERROR(__xludf.DUMMYFUNCTION("""COMPUTED_VALUE"""),14.12)</f>
        <v>14.12</v>
      </c>
      <c r="F326" s="2">
        <f>IFERROR(__xludf.DUMMYFUNCTION("""COMPUTED_VALUE"""),1033900.0)</f>
        <v>1033900</v>
      </c>
    </row>
    <row r="327">
      <c r="A327" s="3">
        <f>IFERROR(__xludf.DUMMYFUNCTION("""COMPUTED_VALUE"""),29691.666666666668)</f>
        <v>29691.66667</v>
      </c>
      <c r="B327" s="2">
        <f>IFERROR(__xludf.DUMMYFUNCTION("""COMPUTED_VALUE"""),14.24)</f>
        <v>14.24</v>
      </c>
      <c r="C327" s="2">
        <f>IFERROR(__xludf.DUMMYFUNCTION("""COMPUTED_VALUE"""),14.3)</f>
        <v>14.3</v>
      </c>
      <c r="D327" s="2">
        <f>IFERROR(__xludf.DUMMYFUNCTION("""COMPUTED_VALUE"""),14.09)</f>
        <v>14.09</v>
      </c>
      <c r="E327" s="2">
        <f>IFERROR(__xludf.DUMMYFUNCTION("""COMPUTED_VALUE"""),14.24)</f>
        <v>14.24</v>
      </c>
      <c r="F327" s="2">
        <f>IFERROR(__xludf.DUMMYFUNCTION("""COMPUTED_VALUE"""),999900.0)</f>
        <v>999900</v>
      </c>
    </row>
    <row r="328">
      <c r="A328" s="3">
        <f>IFERROR(__xludf.DUMMYFUNCTION("""COMPUTED_VALUE"""),29692.666666666668)</f>
        <v>29692.66667</v>
      </c>
      <c r="B328" s="2">
        <f>IFERROR(__xludf.DUMMYFUNCTION("""COMPUTED_VALUE"""),14.33)</f>
        <v>14.33</v>
      </c>
      <c r="C328" s="2">
        <f>IFERROR(__xludf.DUMMYFUNCTION("""COMPUTED_VALUE"""),14.39)</f>
        <v>14.39</v>
      </c>
      <c r="D328" s="2">
        <f>IFERROR(__xludf.DUMMYFUNCTION("""COMPUTED_VALUE"""),14.27)</f>
        <v>14.27</v>
      </c>
      <c r="E328" s="2">
        <f>IFERROR(__xludf.DUMMYFUNCTION("""COMPUTED_VALUE"""),14.33)</f>
        <v>14.33</v>
      </c>
      <c r="F328" s="2">
        <f>IFERROR(__xludf.DUMMYFUNCTION("""COMPUTED_VALUE"""),748500.0)</f>
        <v>748500</v>
      </c>
    </row>
    <row r="329">
      <c r="A329" s="3">
        <f>IFERROR(__xludf.DUMMYFUNCTION("""COMPUTED_VALUE"""),29696.666666666668)</f>
        <v>29696.66667</v>
      </c>
      <c r="B329" s="2">
        <f>IFERROR(__xludf.DUMMYFUNCTION("""COMPUTED_VALUE"""),14.72)</f>
        <v>14.72</v>
      </c>
      <c r="C329" s="2">
        <f>IFERROR(__xludf.DUMMYFUNCTION("""COMPUTED_VALUE"""),14.75)</f>
        <v>14.75</v>
      </c>
      <c r="D329" s="2">
        <f>IFERROR(__xludf.DUMMYFUNCTION("""COMPUTED_VALUE"""),14.27)</f>
        <v>14.27</v>
      </c>
      <c r="E329" s="2">
        <f>IFERROR(__xludf.DUMMYFUNCTION("""COMPUTED_VALUE"""),14.72)</f>
        <v>14.72</v>
      </c>
      <c r="F329" s="2">
        <f>IFERROR(__xludf.DUMMYFUNCTION("""COMPUTED_VALUE"""),843400.0)</f>
        <v>843400</v>
      </c>
    </row>
    <row r="330">
      <c r="A330" s="3">
        <f>IFERROR(__xludf.DUMMYFUNCTION("""COMPUTED_VALUE"""),29697.666666666668)</f>
        <v>29697.66667</v>
      </c>
      <c r="B330" s="2">
        <f>IFERROR(__xludf.DUMMYFUNCTION("""COMPUTED_VALUE"""),14.45)</f>
        <v>14.45</v>
      </c>
      <c r="C330" s="2">
        <f>IFERROR(__xludf.DUMMYFUNCTION("""COMPUTED_VALUE"""),14.66)</f>
        <v>14.66</v>
      </c>
      <c r="D330" s="2">
        <f>IFERROR(__xludf.DUMMYFUNCTION("""COMPUTED_VALUE"""),14.42)</f>
        <v>14.42</v>
      </c>
      <c r="E330" s="2">
        <f>IFERROR(__xludf.DUMMYFUNCTION("""COMPUTED_VALUE"""),14.45)</f>
        <v>14.45</v>
      </c>
      <c r="F330" s="2">
        <f>IFERROR(__xludf.DUMMYFUNCTION("""COMPUTED_VALUE"""),734900.0)</f>
        <v>734900</v>
      </c>
    </row>
    <row r="331">
      <c r="A331" s="3">
        <f>IFERROR(__xludf.DUMMYFUNCTION("""COMPUTED_VALUE"""),29698.666666666668)</f>
        <v>29698.66667</v>
      </c>
      <c r="B331" s="2">
        <f>IFERROR(__xludf.DUMMYFUNCTION("""COMPUTED_VALUE"""),14.42)</f>
        <v>14.42</v>
      </c>
      <c r="C331" s="2">
        <f>IFERROR(__xludf.DUMMYFUNCTION("""COMPUTED_VALUE"""),14.57)</f>
        <v>14.57</v>
      </c>
      <c r="D331" s="2">
        <f>IFERROR(__xludf.DUMMYFUNCTION("""COMPUTED_VALUE"""),14.36)</f>
        <v>14.36</v>
      </c>
      <c r="E331" s="2">
        <f>IFERROR(__xludf.DUMMYFUNCTION("""COMPUTED_VALUE"""),14.42)</f>
        <v>14.42</v>
      </c>
      <c r="F331" s="2">
        <f>IFERROR(__xludf.DUMMYFUNCTION("""COMPUTED_VALUE"""),717200.0)</f>
        <v>717200</v>
      </c>
    </row>
    <row r="332">
      <c r="A332" s="3">
        <f>IFERROR(__xludf.DUMMYFUNCTION("""COMPUTED_VALUE"""),29699.666666666668)</f>
        <v>29699.66667</v>
      </c>
      <c r="B332" s="2">
        <f>IFERROR(__xludf.DUMMYFUNCTION("""COMPUTED_VALUE"""),14.42)</f>
        <v>14.42</v>
      </c>
      <c r="C332" s="2">
        <f>IFERROR(__xludf.DUMMYFUNCTION("""COMPUTED_VALUE"""),14.66)</f>
        <v>14.66</v>
      </c>
      <c r="D332" s="2">
        <f>IFERROR(__xludf.DUMMYFUNCTION("""COMPUTED_VALUE"""),14.39)</f>
        <v>14.39</v>
      </c>
      <c r="E332" s="2">
        <f>IFERROR(__xludf.DUMMYFUNCTION("""COMPUTED_VALUE"""),14.42)</f>
        <v>14.42</v>
      </c>
      <c r="F332" s="2">
        <f>IFERROR(__xludf.DUMMYFUNCTION("""COMPUTED_VALUE"""),694600.0)</f>
        <v>694600</v>
      </c>
    </row>
    <row r="333">
      <c r="A333" s="3">
        <f>IFERROR(__xludf.DUMMYFUNCTION("""COMPUTED_VALUE"""),29700.666666666668)</f>
        <v>29700.66667</v>
      </c>
      <c r="B333" s="2">
        <f>IFERROR(__xludf.DUMMYFUNCTION("""COMPUTED_VALUE"""),14.48)</f>
        <v>14.48</v>
      </c>
      <c r="C333" s="2">
        <f>IFERROR(__xludf.DUMMYFUNCTION("""COMPUTED_VALUE"""),14.6)</f>
        <v>14.6</v>
      </c>
      <c r="D333" s="2">
        <f>IFERROR(__xludf.DUMMYFUNCTION("""COMPUTED_VALUE"""),14.27)</f>
        <v>14.27</v>
      </c>
      <c r="E333" s="2">
        <f>IFERROR(__xludf.DUMMYFUNCTION("""COMPUTED_VALUE"""),14.48)</f>
        <v>14.48</v>
      </c>
      <c r="F333" s="2">
        <f>IFERROR(__xludf.DUMMYFUNCTION("""COMPUTED_VALUE"""),644400.0)</f>
        <v>644400</v>
      </c>
    </row>
    <row r="334">
      <c r="A334" s="3">
        <f>IFERROR(__xludf.DUMMYFUNCTION("""COMPUTED_VALUE"""),29703.666666666668)</f>
        <v>29703.66667</v>
      </c>
      <c r="B334" s="2">
        <f>IFERROR(__xludf.DUMMYFUNCTION("""COMPUTED_VALUE"""),14.6)</f>
        <v>14.6</v>
      </c>
      <c r="C334" s="2">
        <f>IFERROR(__xludf.DUMMYFUNCTION("""COMPUTED_VALUE"""),14.66)</f>
        <v>14.66</v>
      </c>
      <c r="D334" s="2">
        <f>IFERROR(__xludf.DUMMYFUNCTION("""COMPUTED_VALUE"""),14.48)</f>
        <v>14.48</v>
      </c>
      <c r="E334" s="2">
        <f>IFERROR(__xludf.DUMMYFUNCTION("""COMPUTED_VALUE"""),14.6)</f>
        <v>14.6</v>
      </c>
      <c r="F334" s="2">
        <f>IFERROR(__xludf.DUMMYFUNCTION("""COMPUTED_VALUE"""),858700.0)</f>
        <v>858700</v>
      </c>
    </row>
    <row r="335">
      <c r="A335" s="3">
        <f>IFERROR(__xludf.DUMMYFUNCTION("""COMPUTED_VALUE"""),29704.666666666668)</f>
        <v>29704.66667</v>
      </c>
      <c r="B335" s="2">
        <f>IFERROR(__xludf.DUMMYFUNCTION("""COMPUTED_VALUE"""),14.42)</f>
        <v>14.42</v>
      </c>
      <c r="C335" s="2">
        <f>IFERROR(__xludf.DUMMYFUNCTION("""COMPUTED_VALUE"""),14.63)</f>
        <v>14.63</v>
      </c>
      <c r="D335" s="2">
        <f>IFERROR(__xludf.DUMMYFUNCTION("""COMPUTED_VALUE"""),14.3)</f>
        <v>14.3</v>
      </c>
      <c r="E335" s="2">
        <f>IFERROR(__xludf.DUMMYFUNCTION("""COMPUTED_VALUE"""),14.42)</f>
        <v>14.42</v>
      </c>
      <c r="F335" s="2">
        <f>IFERROR(__xludf.DUMMYFUNCTION("""COMPUTED_VALUE"""),667100.0)</f>
        <v>667100</v>
      </c>
    </row>
    <row r="336">
      <c r="A336" s="3">
        <f>IFERROR(__xludf.DUMMYFUNCTION("""COMPUTED_VALUE"""),29705.666666666668)</f>
        <v>29705.66667</v>
      </c>
      <c r="B336" s="2">
        <f>IFERROR(__xludf.DUMMYFUNCTION("""COMPUTED_VALUE"""),14.24)</f>
        <v>14.24</v>
      </c>
      <c r="C336" s="2">
        <f>IFERROR(__xludf.DUMMYFUNCTION("""COMPUTED_VALUE"""),14.39)</f>
        <v>14.39</v>
      </c>
      <c r="D336" s="2">
        <f>IFERROR(__xludf.DUMMYFUNCTION("""COMPUTED_VALUE"""),14.21)</f>
        <v>14.21</v>
      </c>
      <c r="E336" s="2">
        <f>IFERROR(__xludf.DUMMYFUNCTION("""COMPUTED_VALUE"""),14.24)</f>
        <v>14.24</v>
      </c>
      <c r="F336" s="2">
        <f>IFERROR(__xludf.DUMMYFUNCTION("""COMPUTED_VALUE"""),700700.0)</f>
        <v>700700</v>
      </c>
    </row>
    <row r="337">
      <c r="A337" s="3">
        <f>IFERROR(__xludf.DUMMYFUNCTION("""COMPUTED_VALUE"""),29706.666666666668)</f>
        <v>29706.66667</v>
      </c>
      <c r="B337" s="2">
        <f>IFERROR(__xludf.DUMMYFUNCTION("""COMPUTED_VALUE"""),14.0)</f>
        <v>14</v>
      </c>
      <c r="C337" s="2">
        <f>IFERROR(__xludf.DUMMYFUNCTION("""COMPUTED_VALUE"""),14.27)</f>
        <v>14.27</v>
      </c>
      <c r="D337" s="2">
        <f>IFERROR(__xludf.DUMMYFUNCTION("""COMPUTED_VALUE"""),14.0)</f>
        <v>14</v>
      </c>
      <c r="E337" s="2">
        <f>IFERROR(__xludf.DUMMYFUNCTION("""COMPUTED_VALUE"""),14.0)</f>
        <v>14</v>
      </c>
      <c r="F337" s="2">
        <f>IFERROR(__xludf.DUMMYFUNCTION("""COMPUTED_VALUE"""),553200.0)</f>
        <v>553200</v>
      </c>
    </row>
    <row r="338">
      <c r="A338" s="3">
        <f>IFERROR(__xludf.DUMMYFUNCTION("""COMPUTED_VALUE"""),29707.666666666668)</f>
        <v>29707.66667</v>
      </c>
      <c r="B338" s="2">
        <f>IFERROR(__xludf.DUMMYFUNCTION("""COMPUTED_VALUE"""),14.12)</f>
        <v>14.12</v>
      </c>
      <c r="C338" s="2">
        <f>IFERROR(__xludf.DUMMYFUNCTION("""COMPUTED_VALUE"""),14.18)</f>
        <v>14.18</v>
      </c>
      <c r="D338" s="2">
        <f>IFERROR(__xludf.DUMMYFUNCTION("""COMPUTED_VALUE"""),13.97)</f>
        <v>13.97</v>
      </c>
      <c r="E338" s="2">
        <f>IFERROR(__xludf.DUMMYFUNCTION("""COMPUTED_VALUE"""),14.12)</f>
        <v>14.12</v>
      </c>
      <c r="F338" s="2">
        <f>IFERROR(__xludf.DUMMYFUNCTION("""COMPUTED_VALUE"""),568600.0)</f>
        <v>568600</v>
      </c>
    </row>
    <row r="339">
      <c r="A339" s="3">
        <f>IFERROR(__xludf.DUMMYFUNCTION("""COMPUTED_VALUE"""),29710.666666666668)</f>
        <v>29710.66667</v>
      </c>
      <c r="B339" s="2">
        <f>IFERROR(__xludf.DUMMYFUNCTION("""COMPUTED_VALUE"""),13.94)</f>
        <v>13.94</v>
      </c>
      <c r="C339" s="2">
        <f>IFERROR(__xludf.DUMMYFUNCTION("""COMPUTED_VALUE"""),13.94)</f>
        <v>13.94</v>
      </c>
      <c r="D339" s="2">
        <f>IFERROR(__xludf.DUMMYFUNCTION("""COMPUTED_VALUE"""),13.88)</f>
        <v>13.88</v>
      </c>
      <c r="E339" s="2">
        <f>IFERROR(__xludf.DUMMYFUNCTION("""COMPUTED_VALUE"""),13.94)</f>
        <v>13.94</v>
      </c>
      <c r="F339" s="2">
        <f>IFERROR(__xludf.DUMMYFUNCTION("""COMPUTED_VALUE"""),489000.0)</f>
        <v>489000</v>
      </c>
    </row>
    <row r="340">
      <c r="A340" s="3">
        <f>IFERROR(__xludf.DUMMYFUNCTION("""COMPUTED_VALUE"""),29711.666666666668)</f>
        <v>29711.66667</v>
      </c>
      <c r="B340" s="2">
        <f>IFERROR(__xludf.DUMMYFUNCTION("""COMPUTED_VALUE"""),13.79)</f>
        <v>13.79</v>
      </c>
      <c r="C340" s="2">
        <f>IFERROR(__xludf.DUMMYFUNCTION("""COMPUTED_VALUE"""),13.91)</f>
        <v>13.91</v>
      </c>
      <c r="D340" s="2">
        <f>IFERROR(__xludf.DUMMYFUNCTION("""COMPUTED_VALUE"""),13.7)</f>
        <v>13.7</v>
      </c>
      <c r="E340" s="2">
        <f>IFERROR(__xludf.DUMMYFUNCTION("""COMPUTED_VALUE"""),13.79)</f>
        <v>13.79</v>
      </c>
      <c r="F340" s="2">
        <f>IFERROR(__xludf.DUMMYFUNCTION("""COMPUTED_VALUE"""),1171200.0)</f>
        <v>1171200</v>
      </c>
    </row>
    <row r="341">
      <c r="A341" s="3">
        <f>IFERROR(__xludf.DUMMYFUNCTION("""COMPUTED_VALUE"""),29712.666666666668)</f>
        <v>29712.66667</v>
      </c>
      <c r="B341" s="2">
        <f>IFERROR(__xludf.DUMMYFUNCTION("""COMPUTED_VALUE"""),13.82)</f>
        <v>13.82</v>
      </c>
      <c r="C341" s="2">
        <f>IFERROR(__xludf.DUMMYFUNCTION("""COMPUTED_VALUE"""),13.88)</f>
        <v>13.88</v>
      </c>
      <c r="D341" s="2">
        <f>IFERROR(__xludf.DUMMYFUNCTION("""COMPUTED_VALUE"""),13.76)</f>
        <v>13.76</v>
      </c>
      <c r="E341" s="2">
        <f>IFERROR(__xludf.DUMMYFUNCTION("""COMPUTED_VALUE"""),13.82)</f>
        <v>13.82</v>
      </c>
      <c r="F341" s="2">
        <f>IFERROR(__xludf.DUMMYFUNCTION("""COMPUTED_VALUE"""),602200.0)</f>
        <v>602200</v>
      </c>
    </row>
    <row r="342">
      <c r="A342" s="3">
        <f>IFERROR(__xludf.DUMMYFUNCTION("""COMPUTED_VALUE"""),29713.666666666668)</f>
        <v>29713.66667</v>
      </c>
      <c r="B342" s="2">
        <f>IFERROR(__xludf.DUMMYFUNCTION("""COMPUTED_VALUE"""),13.7)</f>
        <v>13.7</v>
      </c>
      <c r="C342" s="2">
        <f>IFERROR(__xludf.DUMMYFUNCTION("""COMPUTED_VALUE"""),13.76)</f>
        <v>13.76</v>
      </c>
      <c r="D342" s="2">
        <f>IFERROR(__xludf.DUMMYFUNCTION("""COMPUTED_VALUE"""),13.61)</f>
        <v>13.61</v>
      </c>
      <c r="E342" s="2">
        <f>IFERROR(__xludf.DUMMYFUNCTION("""COMPUTED_VALUE"""),13.7)</f>
        <v>13.7</v>
      </c>
      <c r="F342" s="2">
        <f>IFERROR(__xludf.DUMMYFUNCTION("""COMPUTED_VALUE"""),440000.0)</f>
        <v>440000</v>
      </c>
    </row>
    <row r="343">
      <c r="A343" s="3">
        <f>IFERROR(__xludf.DUMMYFUNCTION("""COMPUTED_VALUE"""),29714.666666666668)</f>
        <v>29714.66667</v>
      </c>
      <c r="B343" s="2">
        <f>IFERROR(__xludf.DUMMYFUNCTION("""COMPUTED_VALUE"""),13.82)</f>
        <v>13.82</v>
      </c>
      <c r="C343" s="2">
        <f>IFERROR(__xludf.DUMMYFUNCTION("""COMPUTED_VALUE"""),13.82)</f>
        <v>13.82</v>
      </c>
      <c r="D343" s="2">
        <f>IFERROR(__xludf.DUMMYFUNCTION("""COMPUTED_VALUE"""),13.61)</f>
        <v>13.61</v>
      </c>
      <c r="E343" s="2">
        <f>IFERROR(__xludf.DUMMYFUNCTION("""COMPUTED_VALUE"""),13.82)</f>
        <v>13.82</v>
      </c>
      <c r="F343" s="2">
        <f>IFERROR(__xludf.DUMMYFUNCTION("""COMPUTED_VALUE"""),488800.0)</f>
        <v>488800</v>
      </c>
    </row>
    <row r="344">
      <c r="A344" s="3">
        <f>IFERROR(__xludf.DUMMYFUNCTION("""COMPUTED_VALUE"""),29717.666666666668)</f>
        <v>29717.66667</v>
      </c>
      <c r="B344" s="2">
        <f>IFERROR(__xludf.DUMMYFUNCTION("""COMPUTED_VALUE"""),13.37)</f>
        <v>13.37</v>
      </c>
      <c r="C344" s="2">
        <f>IFERROR(__xludf.DUMMYFUNCTION("""COMPUTED_VALUE"""),13.76)</f>
        <v>13.76</v>
      </c>
      <c r="D344" s="2">
        <f>IFERROR(__xludf.DUMMYFUNCTION("""COMPUTED_VALUE"""),13.37)</f>
        <v>13.37</v>
      </c>
      <c r="E344" s="2">
        <f>IFERROR(__xludf.DUMMYFUNCTION("""COMPUTED_VALUE"""),13.37)</f>
        <v>13.37</v>
      </c>
      <c r="F344" s="2">
        <f>IFERROR(__xludf.DUMMYFUNCTION("""COMPUTED_VALUE"""),691900.0)</f>
        <v>691900</v>
      </c>
    </row>
    <row r="345">
      <c r="A345" s="3">
        <f>IFERROR(__xludf.DUMMYFUNCTION("""COMPUTED_VALUE"""),29718.666666666668)</f>
        <v>29718.66667</v>
      </c>
      <c r="B345" s="2">
        <f>IFERROR(__xludf.DUMMYFUNCTION("""COMPUTED_VALUE"""),13.55)</f>
        <v>13.55</v>
      </c>
      <c r="C345" s="2">
        <f>IFERROR(__xludf.DUMMYFUNCTION("""COMPUTED_VALUE"""),13.58)</f>
        <v>13.58</v>
      </c>
      <c r="D345" s="2">
        <f>IFERROR(__xludf.DUMMYFUNCTION("""COMPUTED_VALUE"""),13.4)</f>
        <v>13.4</v>
      </c>
      <c r="E345" s="2">
        <f>IFERROR(__xludf.DUMMYFUNCTION("""COMPUTED_VALUE"""),13.55)</f>
        <v>13.55</v>
      </c>
      <c r="F345" s="2">
        <f>IFERROR(__xludf.DUMMYFUNCTION("""COMPUTED_VALUE"""),599800.0)</f>
        <v>599800</v>
      </c>
    </row>
    <row r="346">
      <c r="A346" s="3">
        <f>IFERROR(__xludf.DUMMYFUNCTION("""COMPUTED_VALUE"""),29719.666666666668)</f>
        <v>29719.66667</v>
      </c>
      <c r="B346" s="2">
        <f>IFERROR(__xludf.DUMMYFUNCTION("""COMPUTED_VALUE"""),13.55)</f>
        <v>13.55</v>
      </c>
      <c r="C346" s="2">
        <f>IFERROR(__xludf.DUMMYFUNCTION("""COMPUTED_VALUE"""),13.67)</f>
        <v>13.67</v>
      </c>
      <c r="D346" s="2">
        <f>IFERROR(__xludf.DUMMYFUNCTION("""COMPUTED_VALUE"""),13.49)</f>
        <v>13.49</v>
      </c>
      <c r="E346" s="2">
        <f>IFERROR(__xludf.DUMMYFUNCTION("""COMPUTED_VALUE"""),13.55)</f>
        <v>13.55</v>
      </c>
      <c r="F346" s="2">
        <f>IFERROR(__xludf.DUMMYFUNCTION("""COMPUTED_VALUE"""),354900.0)</f>
        <v>354900</v>
      </c>
    </row>
    <row r="347">
      <c r="A347" s="3">
        <f>IFERROR(__xludf.DUMMYFUNCTION("""COMPUTED_VALUE"""),29720.666666666668)</f>
        <v>29720.66667</v>
      </c>
      <c r="B347" s="2">
        <f>IFERROR(__xludf.DUMMYFUNCTION("""COMPUTED_VALUE"""),13.52)</f>
        <v>13.52</v>
      </c>
      <c r="C347" s="2">
        <f>IFERROR(__xludf.DUMMYFUNCTION("""COMPUTED_VALUE"""),13.64)</f>
        <v>13.64</v>
      </c>
      <c r="D347" s="2">
        <f>IFERROR(__xludf.DUMMYFUNCTION("""COMPUTED_VALUE"""),13.46)</f>
        <v>13.46</v>
      </c>
      <c r="E347" s="2">
        <f>IFERROR(__xludf.DUMMYFUNCTION("""COMPUTED_VALUE"""),13.52)</f>
        <v>13.52</v>
      </c>
      <c r="F347" s="2">
        <f>IFERROR(__xludf.DUMMYFUNCTION("""COMPUTED_VALUE"""),569800.0)</f>
        <v>569800</v>
      </c>
    </row>
    <row r="348">
      <c r="A348" s="3">
        <f>IFERROR(__xludf.DUMMYFUNCTION("""COMPUTED_VALUE"""),29721.666666666668)</f>
        <v>29721.66667</v>
      </c>
      <c r="B348" s="2">
        <f>IFERROR(__xludf.DUMMYFUNCTION("""COMPUTED_VALUE"""),13.46)</f>
        <v>13.46</v>
      </c>
      <c r="C348" s="2">
        <f>IFERROR(__xludf.DUMMYFUNCTION("""COMPUTED_VALUE"""),13.58)</f>
        <v>13.58</v>
      </c>
      <c r="D348" s="2">
        <f>IFERROR(__xludf.DUMMYFUNCTION("""COMPUTED_VALUE"""),13.37)</f>
        <v>13.37</v>
      </c>
      <c r="E348" s="2">
        <f>IFERROR(__xludf.DUMMYFUNCTION("""COMPUTED_VALUE"""),13.46)</f>
        <v>13.46</v>
      </c>
      <c r="F348" s="2">
        <f>IFERROR(__xludf.DUMMYFUNCTION("""COMPUTED_VALUE"""),648900.0)</f>
        <v>648900</v>
      </c>
    </row>
    <row r="349">
      <c r="A349" s="3">
        <f>IFERROR(__xludf.DUMMYFUNCTION("""COMPUTED_VALUE"""),29724.666666666668)</f>
        <v>29724.66667</v>
      </c>
      <c r="B349" s="2">
        <f>IFERROR(__xludf.DUMMYFUNCTION("""COMPUTED_VALUE"""),13.55)</f>
        <v>13.55</v>
      </c>
      <c r="C349" s="2">
        <f>IFERROR(__xludf.DUMMYFUNCTION("""COMPUTED_VALUE"""),13.58)</f>
        <v>13.58</v>
      </c>
      <c r="D349" s="2">
        <f>IFERROR(__xludf.DUMMYFUNCTION("""COMPUTED_VALUE"""),13.43)</f>
        <v>13.43</v>
      </c>
      <c r="E349" s="2">
        <f>IFERROR(__xludf.DUMMYFUNCTION("""COMPUTED_VALUE"""),13.55)</f>
        <v>13.55</v>
      </c>
      <c r="F349" s="2">
        <f>IFERROR(__xludf.DUMMYFUNCTION("""COMPUTED_VALUE"""),492500.0)</f>
        <v>492500</v>
      </c>
    </row>
    <row r="350">
      <c r="A350" s="3">
        <f>IFERROR(__xludf.DUMMYFUNCTION("""COMPUTED_VALUE"""),29725.666666666668)</f>
        <v>29725.66667</v>
      </c>
      <c r="B350" s="2">
        <f>IFERROR(__xludf.DUMMYFUNCTION("""COMPUTED_VALUE"""),13.52)</f>
        <v>13.52</v>
      </c>
      <c r="C350" s="2">
        <f>IFERROR(__xludf.DUMMYFUNCTION("""COMPUTED_VALUE"""),13.52)</f>
        <v>13.52</v>
      </c>
      <c r="D350" s="2">
        <f>IFERROR(__xludf.DUMMYFUNCTION("""COMPUTED_VALUE"""),13.31)</f>
        <v>13.31</v>
      </c>
      <c r="E350" s="2">
        <f>IFERROR(__xludf.DUMMYFUNCTION("""COMPUTED_VALUE"""),13.52)</f>
        <v>13.52</v>
      </c>
      <c r="F350" s="2">
        <f>IFERROR(__xludf.DUMMYFUNCTION("""COMPUTED_VALUE"""),616200.0)</f>
        <v>616200</v>
      </c>
    </row>
    <row r="351">
      <c r="A351" s="3">
        <f>IFERROR(__xludf.DUMMYFUNCTION("""COMPUTED_VALUE"""),29726.666666666668)</f>
        <v>29726.66667</v>
      </c>
      <c r="B351" s="2">
        <f>IFERROR(__xludf.DUMMYFUNCTION("""COMPUTED_VALUE"""),13.46)</f>
        <v>13.46</v>
      </c>
      <c r="C351" s="2">
        <f>IFERROR(__xludf.DUMMYFUNCTION("""COMPUTED_VALUE"""),13.52)</f>
        <v>13.52</v>
      </c>
      <c r="D351" s="2">
        <f>IFERROR(__xludf.DUMMYFUNCTION("""COMPUTED_VALUE"""),13.4)</f>
        <v>13.4</v>
      </c>
      <c r="E351" s="2">
        <f>IFERROR(__xludf.DUMMYFUNCTION("""COMPUTED_VALUE"""),13.46)</f>
        <v>13.46</v>
      </c>
      <c r="F351" s="2">
        <f>IFERROR(__xludf.DUMMYFUNCTION("""COMPUTED_VALUE"""),348000.0)</f>
        <v>348000</v>
      </c>
    </row>
    <row r="352">
      <c r="A352" s="3">
        <f>IFERROR(__xludf.DUMMYFUNCTION("""COMPUTED_VALUE"""),29727.666666666668)</f>
        <v>29727.66667</v>
      </c>
      <c r="B352" s="2">
        <f>IFERROR(__xludf.DUMMYFUNCTION("""COMPUTED_VALUE"""),13.28)</f>
        <v>13.28</v>
      </c>
      <c r="C352" s="2">
        <f>IFERROR(__xludf.DUMMYFUNCTION("""COMPUTED_VALUE"""),13.46)</f>
        <v>13.46</v>
      </c>
      <c r="D352" s="2">
        <f>IFERROR(__xludf.DUMMYFUNCTION("""COMPUTED_VALUE"""),13.25)</f>
        <v>13.25</v>
      </c>
      <c r="E352" s="2">
        <f>IFERROR(__xludf.DUMMYFUNCTION("""COMPUTED_VALUE"""),13.28)</f>
        <v>13.28</v>
      </c>
      <c r="F352" s="2">
        <f>IFERROR(__xludf.DUMMYFUNCTION("""COMPUTED_VALUE"""),461800.0)</f>
        <v>461800</v>
      </c>
    </row>
    <row r="353">
      <c r="A353" s="3">
        <f>IFERROR(__xludf.DUMMYFUNCTION("""COMPUTED_VALUE"""),29728.666666666668)</f>
        <v>29728.66667</v>
      </c>
      <c r="B353" s="2">
        <f>IFERROR(__xludf.DUMMYFUNCTION("""COMPUTED_VALUE"""),13.25)</f>
        <v>13.25</v>
      </c>
      <c r="C353" s="2">
        <f>IFERROR(__xludf.DUMMYFUNCTION("""COMPUTED_VALUE"""),13.34)</f>
        <v>13.34</v>
      </c>
      <c r="D353" s="2">
        <f>IFERROR(__xludf.DUMMYFUNCTION("""COMPUTED_VALUE"""),13.19)</f>
        <v>13.19</v>
      </c>
      <c r="E353" s="2">
        <f>IFERROR(__xludf.DUMMYFUNCTION("""COMPUTED_VALUE"""),13.25)</f>
        <v>13.25</v>
      </c>
      <c r="F353" s="2">
        <f>IFERROR(__xludf.DUMMYFUNCTION("""COMPUTED_VALUE"""),438400.0)</f>
        <v>438400</v>
      </c>
    </row>
    <row r="354">
      <c r="A354" s="3">
        <f>IFERROR(__xludf.DUMMYFUNCTION("""COMPUTED_VALUE"""),29732.666666666668)</f>
        <v>29732.66667</v>
      </c>
      <c r="B354" s="2">
        <f>IFERROR(__xludf.DUMMYFUNCTION("""COMPUTED_VALUE"""),13.4)</f>
        <v>13.4</v>
      </c>
      <c r="C354" s="2">
        <f>IFERROR(__xludf.DUMMYFUNCTION("""COMPUTED_VALUE"""),13.46)</f>
        <v>13.46</v>
      </c>
      <c r="D354" s="2">
        <f>IFERROR(__xludf.DUMMYFUNCTION("""COMPUTED_VALUE"""),13.16)</f>
        <v>13.16</v>
      </c>
      <c r="E354" s="2">
        <f>IFERROR(__xludf.DUMMYFUNCTION("""COMPUTED_VALUE"""),13.4)</f>
        <v>13.4</v>
      </c>
      <c r="F354" s="2">
        <f>IFERROR(__xludf.DUMMYFUNCTION("""COMPUTED_VALUE"""),514900.0)</f>
        <v>514900</v>
      </c>
    </row>
    <row r="355">
      <c r="A355" s="3">
        <f>IFERROR(__xludf.DUMMYFUNCTION("""COMPUTED_VALUE"""),29733.666666666668)</f>
        <v>29733.66667</v>
      </c>
      <c r="B355" s="2">
        <f>IFERROR(__xludf.DUMMYFUNCTION("""COMPUTED_VALUE"""),13.82)</f>
        <v>13.82</v>
      </c>
      <c r="C355" s="2">
        <f>IFERROR(__xludf.DUMMYFUNCTION("""COMPUTED_VALUE"""),13.88)</f>
        <v>13.88</v>
      </c>
      <c r="D355" s="2">
        <f>IFERROR(__xludf.DUMMYFUNCTION("""COMPUTED_VALUE"""),13.34)</f>
        <v>13.34</v>
      </c>
      <c r="E355" s="2">
        <f>IFERROR(__xludf.DUMMYFUNCTION("""COMPUTED_VALUE"""),13.82)</f>
        <v>13.82</v>
      </c>
      <c r="F355" s="2">
        <f>IFERROR(__xludf.DUMMYFUNCTION("""COMPUTED_VALUE"""),673900.0)</f>
        <v>673900</v>
      </c>
    </row>
    <row r="356">
      <c r="A356" s="3">
        <f>IFERROR(__xludf.DUMMYFUNCTION("""COMPUTED_VALUE"""),29734.666666666668)</f>
        <v>29734.66667</v>
      </c>
      <c r="B356" s="2">
        <f>IFERROR(__xludf.DUMMYFUNCTION("""COMPUTED_VALUE"""),13.85)</f>
        <v>13.85</v>
      </c>
      <c r="C356" s="2">
        <f>IFERROR(__xludf.DUMMYFUNCTION("""COMPUTED_VALUE"""),13.97)</f>
        <v>13.97</v>
      </c>
      <c r="D356" s="2">
        <f>IFERROR(__xludf.DUMMYFUNCTION("""COMPUTED_VALUE"""),13.67)</f>
        <v>13.67</v>
      </c>
      <c r="E356" s="2">
        <f>IFERROR(__xludf.DUMMYFUNCTION("""COMPUTED_VALUE"""),13.85)</f>
        <v>13.85</v>
      </c>
      <c r="F356" s="2">
        <f>IFERROR(__xludf.DUMMYFUNCTION("""COMPUTED_VALUE"""),700200.0)</f>
        <v>700200</v>
      </c>
    </row>
    <row r="357">
      <c r="A357" s="3">
        <f>IFERROR(__xludf.DUMMYFUNCTION("""COMPUTED_VALUE"""),29735.666666666668)</f>
        <v>29735.66667</v>
      </c>
      <c r="B357" s="2">
        <f>IFERROR(__xludf.DUMMYFUNCTION("""COMPUTED_VALUE"""),14.03)</f>
        <v>14.03</v>
      </c>
      <c r="C357" s="2">
        <f>IFERROR(__xludf.DUMMYFUNCTION("""COMPUTED_VALUE"""),14.12)</f>
        <v>14.12</v>
      </c>
      <c r="D357" s="2">
        <f>IFERROR(__xludf.DUMMYFUNCTION("""COMPUTED_VALUE"""),13.82)</f>
        <v>13.82</v>
      </c>
      <c r="E357" s="2">
        <f>IFERROR(__xludf.DUMMYFUNCTION("""COMPUTED_VALUE"""),14.03)</f>
        <v>14.03</v>
      </c>
      <c r="F357" s="2">
        <f>IFERROR(__xludf.DUMMYFUNCTION("""COMPUTED_VALUE"""),796900.0)</f>
        <v>796900</v>
      </c>
    </row>
    <row r="358">
      <c r="A358" s="3">
        <f>IFERROR(__xludf.DUMMYFUNCTION("""COMPUTED_VALUE"""),29738.666666666668)</f>
        <v>29738.66667</v>
      </c>
      <c r="B358" s="2">
        <f>IFERROR(__xludf.DUMMYFUNCTION("""COMPUTED_VALUE"""),14.39)</f>
        <v>14.39</v>
      </c>
      <c r="C358" s="2">
        <f>IFERROR(__xludf.DUMMYFUNCTION("""COMPUTED_VALUE"""),14.51)</f>
        <v>14.51</v>
      </c>
      <c r="D358" s="2">
        <f>IFERROR(__xludf.DUMMYFUNCTION("""COMPUTED_VALUE"""),14.27)</f>
        <v>14.27</v>
      </c>
      <c r="E358" s="2">
        <f>IFERROR(__xludf.DUMMYFUNCTION("""COMPUTED_VALUE"""),14.39)</f>
        <v>14.39</v>
      </c>
      <c r="F358" s="2">
        <f>IFERROR(__xludf.DUMMYFUNCTION("""COMPUTED_VALUE"""),1089200.0)</f>
        <v>1089200</v>
      </c>
    </row>
    <row r="359">
      <c r="A359" s="3">
        <f>IFERROR(__xludf.DUMMYFUNCTION("""COMPUTED_VALUE"""),29739.666666666668)</f>
        <v>29739.66667</v>
      </c>
      <c r="B359" s="2">
        <f>IFERROR(__xludf.DUMMYFUNCTION("""COMPUTED_VALUE"""),14.3)</f>
        <v>14.3</v>
      </c>
      <c r="C359" s="2">
        <f>IFERROR(__xludf.DUMMYFUNCTION("""COMPUTED_VALUE"""),14.45)</f>
        <v>14.45</v>
      </c>
      <c r="D359" s="2">
        <f>IFERROR(__xludf.DUMMYFUNCTION("""COMPUTED_VALUE"""),14.3)</f>
        <v>14.3</v>
      </c>
      <c r="E359" s="2">
        <f>IFERROR(__xludf.DUMMYFUNCTION("""COMPUTED_VALUE"""),14.3)</f>
        <v>14.3</v>
      </c>
      <c r="F359" s="2">
        <f>IFERROR(__xludf.DUMMYFUNCTION("""COMPUTED_VALUE"""),747600.0)</f>
        <v>747600</v>
      </c>
    </row>
    <row r="360">
      <c r="A360" s="3">
        <f>IFERROR(__xludf.DUMMYFUNCTION("""COMPUTED_VALUE"""),29740.666666666668)</f>
        <v>29740.66667</v>
      </c>
      <c r="B360" s="2">
        <f>IFERROR(__xludf.DUMMYFUNCTION("""COMPUTED_VALUE"""),14.12)</f>
        <v>14.12</v>
      </c>
      <c r="C360" s="2">
        <f>IFERROR(__xludf.DUMMYFUNCTION("""COMPUTED_VALUE"""),14.27)</f>
        <v>14.27</v>
      </c>
      <c r="D360" s="2">
        <f>IFERROR(__xludf.DUMMYFUNCTION("""COMPUTED_VALUE"""),13.97)</f>
        <v>13.97</v>
      </c>
      <c r="E360" s="2">
        <f>IFERROR(__xludf.DUMMYFUNCTION("""COMPUTED_VALUE"""),14.12)</f>
        <v>14.12</v>
      </c>
      <c r="F360" s="2">
        <f>IFERROR(__xludf.DUMMYFUNCTION("""COMPUTED_VALUE"""),608900.0)</f>
        <v>608900</v>
      </c>
    </row>
    <row r="361">
      <c r="A361" s="3">
        <f>IFERROR(__xludf.DUMMYFUNCTION("""COMPUTED_VALUE"""),29741.666666666668)</f>
        <v>29741.66667</v>
      </c>
      <c r="B361" s="2">
        <f>IFERROR(__xludf.DUMMYFUNCTION("""COMPUTED_VALUE"""),13.85)</f>
        <v>13.85</v>
      </c>
      <c r="C361" s="2">
        <f>IFERROR(__xludf.DUMMYFUNCTION("""COMPUTED_VALUE"""),14.12)</f>
        <v>14.12</v>
      </c>
      <c r="D361" s="2">
        <f>IFERROR(__xludf.DUMMYFUNCTION("""COMPUTED_VALUE"""),13.76)</f>
        <v>13.76</v>
      </c>
      <c r="E361" s="2">
        <f>IFERROR(__xludf.DUMMYFUNCTION("""COMPUTED_VALUE"""),13.85)</f>
        <v>13.85</v>
      </c>
      <c r="F361" s="2">
        <f>IFERROR(__xludf.DUMMYFUNCTION("""COMPUTED_VALUE"""),470300.0)</f>
        <v>470300</v>
      </c>
    </row>
    <row r="362">
      <c r="A362" s="3">
        <f>IFERROR(__xludf.DUMMYFUNCTION("""COMPUTED_VALUE"""),29742.666666666668)</f>
        <v>29742.66667</v>
      </c>
      <c r="B362" s="2">
        <f>IFERROR(__xludf.DUMMYFUNCTION("""COMPUTED_VALUE"""),13.94)</f>
        <v>13.94</v>
      </c>
      <c r="C362" s="2">
        <f>IFERROR(__xludf.DUMMYFUNCTION("""COMPUTED_VALUE"""),13.97)</f>
        <v>13.97</v>
      </c>
      <c r="D362" s="2">
        <f>IFERROR(__xludf.DUMMYFUNCTION("""COMPUTED_VALUE"""),13.85)</f>
        <v>13.85</v>
      </c>
      <c r="E362" s="2">
        <f>IFERROR(__xludf.DUMMYFUNCTION("""COMPUTED_VALUE"""),13.94)</f>
        <v>13.94</v>
      </c>
      <c r="F362" s="2">
        <f>IFERROR(__xludf.DUMMYFUNCTION("""COMPUTED_VALUE"""),489500.0)</f>
        <v>489500</v>
      </c>
    </row>
    <row r="363">
      <c r="A363" s="3">
        <f>IFERROR(__xludf.DUMMYFUNCTION("""COMPUTED_VALUE"""),29745.666666666668)</f>
        <v>29745.66667</v>
      </c>
      <c r="B363" s="2">
        <f>IFERROR(__xludf.DUMMYFUNCTION("""COMPUTED_VALUE"""),13.91)</f>
        <v>13.91</v>
      </c>
      <c r="C363" s="2">
        <f>IFERROR(__xludf.DUMMYFUNCTION("""COMPUTED_VALUE"""),14.06)</f>
        <v>14.06</v>
      </c>
      <c r="D363" s="2">
        <f>IFERROR(__xludf.DUMMYFUNCTION("""COMPUTED_VALUE"""),13.91)</f>
        <v>13.91</v>
      </c>
      <c r="E363" s="2">
        <f>IFERROR(__xludf.DUMMYFUNCTION("""COMPUTED_VALUE"""),13.91)</f>
        <v>13.91</v>
      </c>
      <c r="F363" s="2">
        <f>IFERROR(__xludf.DUMMYFUNCTION("""COMPUTED_VALUE"""),354000.0)</f>
        <v>354000</v>
      </c>
    </row>
    <row r="364">
      <c r="A364" s="3">
        <f>IFERROR(__xludf.DUMMYFUNCTION("""COMPUTED_VALUE"""),29746.666666666668)</f>
        <v>29746.66667</v>
      </c>
      <c r="B364" s="2">
        <f>IFERROR(__xludf.DUMMYFUNCTION("""COMPUTED_VALUE"""),13.7)</f>
        <v>13.7</v>
      </c>
      <c r="C364" s="2">
        <f>IFERROR(__xludf.DUMMYFUNCTION("""COMPUTED_VALUE"""),13.88)</f>
        <v>13.88</v>
      </c>
      <c r="D364" s="2">
        <f>IFERROR(__xludf.DUMMYFUNCTION("""COMPUTED_VALUE"""),13.64)</f>
        <v>13.64</v>
      </c>
      <c r="E364" s="2">
        <f>IFERROR(__xludf.DUMMYFUNCTION("""COMPUTED_VALUE"""),13.7)</f>
        <v>13.7</v>
      </c>
      <c r="F364" s="2">
        <f>IFERROR(__xludf.DUMMYFUNCTION("""COMPUTED_VALUE"""),324700.0)</f>
        <v>324700</v>
      </c>
    </row>
    <row r="365">
      <c r="A365" s="3">
        <f>IFERROR(__xludf.DUMMYFUNCTION("""COMPUTED_VALUE"""),29747.666666666668)</f>
        <v>29747.66667</v>
      </c>
      <c r="B365" s="2">
        <f>IFERROR(__xludf.DUMMYFUNCTION("""COMPUTED_VALUE"""),13.79)</f>
        <v>13.79</v>
      </c>
      <c r="C365" s="2">
        <f>IFERROR(__xludf.DUMMYFUNCTION("""COMPUTED_VALUE"""),13.91)</f>
        <v>13.91</v>
      </c>
      <c r="D365" s="2">
        <f>IFERROR(__xludf.DUMMYFUNCTION("""COMPUTED_VALUE"""),13.7)</f>
        <v>13.7</v>
      </c>
      <c r="E365" s="2">
        <f>IFERROR(__xludf.DUMMYFUNCTION("""COMPUTED_VALUE"""),13.79)</f>
        <v>13.79</v>
      </c>
      <c r="F365" s="2">
        <f>IFERROR(__xludf.DUMMYFUNCTION("""COMPUTED_VALUE"""),550700.0)</f>
        <v>550700</v>
      </c>
    </row>
    <row r="366">
      <c r="A366" s="3">
        <f>IFERROR(__xludf.DUMMYFUNCTION("""COMPUTED_VALUE"""),29748.666666666668)</f>
        <v>29748.66667</v>
      </c>
      <c r="B366" s="2">
        <f>IFERROR(__xludf.DUMMYFUNCTION("""COMPUTED_VALUE"""),14.09)</f>
        <v>14.09</v>
      </c>
      <c r="C366" s="2">
        <f>IFERROR(__xludf.DUMMYFUNCTION("""COMPUTED_VALUE"""),14.21)</f>
        <v>14.21</v>
      </c>
      <c r="D366" s="2">
        <f>IFERROR(__xludf.DUMMYFUNCTION("""COMPUTED_VALUE"""),13.82)</f>
        <v>13.82</v>
      </c>
      <c r="E366" s="2">
        <f>IFERROR(__xludf.DUMMYFUNCTION("""COMPUTED_VALUE"""),14.09)</f>
        <v>14.09</v>
      </c>
      <c r="F366" s="2">
        <f>IFERROR(__xludf.DUMMYFUNCTION("""COMPUTED_VALUE"""),531800.0)</f>
        <v>531800</v>
      </c>
    </row>
    <row r="367">
      <c r="A367" s="3">
        <f>IFERROR(__xludf.DUMMYFUNCTION("""COMPUTED_VALUE"""),29749.666666666668)</f>
        <v>29749.66667</v>
      </c>
      <c r="B367" s="2">
        <f>IFERROR(__xludf.DUMMYFUNCTION("""COMPUTED_VALUE"""),14.18)</f>
        <v>14.18</v>
      </c>
      <c r="C367" s="2">
        <f>IFERROR(__xludf.DUMMYFUNCTION("""COMPUTED_VALUE"""),14.24)</f>
        <v>14.24</v>
      </c>
      <c r="D367" s="2">
        <f>IFERROR(__xludf.DUMMYFUNCTION("""COMPUTED_VALUE"""),14.03)</f>
        <v>14.03</v>
      </c>
      <c r="E367" s="2">
        <f>IFERROR(__xludf.DUMMYFUNCTION("""COMPUTED_VALUE"""),14.18)</f>
        <v>14.18</v>
      </c>
      <c r="F367" s="2">
        <f>IFERROR(__xludf.DUMMYFUNCTION("""COMPUTED_VALUE"""),826800.0)</f>
        <v>826800</v>
      </c>
    </row>
    <row r="368">
      <c r="A368" s="3">
        <f>IFERROR(__xludf.DUMMYFUNCTION("""COMPUTED_VALUE"""),29752.666666666668)</f>
        <v>29752.66667</v>
      </c>
      <c r="B368" s="2">
        <f>IFERROR(__xludf.DUMMYFUNCTION("""COMPUTED_VALUE"""),14.3)</f>
        <v>14.3</v>
      </c>
      <c r="C368" s="2">
        <f>IFERROR(__xludf.DUMMYFUNCTION("""COMPUTED_VALUE"""),14.42)</f>
        <v>14.42</v>
      </c>
      <c r="D368" s="2">
        <f>IFERROR(__xludf.DUMMYFUNCTION("""COMPUTED_VALUE"""),14.24)</f>
        <v>14.24</v>
      </c>
      <c r="E368" s="2">
        <f>IFERROR(__xludf.DUMMYFUNCTION("""COMPUTED_VALUE"""),14.3)</f>
        <v>14.3</v>
      </c>
      <c r="F368" s="2">
        <f>IFERROR(__xludf.DUMMYFUNCTION("""COMPUTED_VALUE"""),518800.0)</f>
        <v>518800</v>
      </c>
    </row>
    <row r="369">
      <c r="A369" s="3">
        <f>IFERROR(__xludf.DUMMYFUNCTION("""COMPUTED_VALUE"""),29753.666666666668)</f>
        <v>29753.66667</v>
      </c>
      <c r="B369" s="2">
        <f>IFERROR(__xludf.DUMMYFUNCTION("""COMPUTED_VALUE"""),14.06)</f>
        <v>14.06</v>
      </c>
      <c r="C369" s="2">
        <f>IFERROR(__xludf.DUMMYFUNCTION("""COMPUTED_VALUE"""),14.27)</f>
        <v>14.27</v>
      </c>
      <c r="D369" s="2">
        <f>IFERROR(__xludf.DUMMYFUNCTION("""COMPUTED_VALUE"""),14.03)</f>
        <v>14.03</v>
      </c>
      <c r="E369" s="2">
        <f>IFERROR(__xludf.DUMMYFUNCTION("""COMPUTED_VALUE"""),14.06)</f>
        <v>14.06</v>
      </c>
      <c r="F369" s="2">
        <f>IFERROR(__xludf.DUMMYFUNCTION("""COMPUTED_VALUE"""),743500.0)</f>
        <v>743500</v>
      </c>
    </row>
    <row r="370">
      <c r="A370" s="3">
        <f>IFERROR(__xludf.DUMMYFUNCTION("""COMPUTED_VALUE"""),29754.666666666668)</f>
        <v>29754.66667</v>
      </c>
      <c r="B370" s="2">
        <f>IFERROR(__xludf.DUMMYFUNCTION("""COMPUTED_VALUE"""),13.97)</f>
        <v>13.97</v>
      </c>
      <c r="C370" s="2">
        <f>IFERROR(__xludf.DUMMYFUNCTION("""COMPUTED_VALUE"""),14.06)</f>
        <v>14.06</v>
      </c>
      <c r="D370" s="2">
        <f>IFERROR(__xludf.DUMMYFUNCTION("""COMPUTED_VALUE"""),13.85)</f>
        <v>13.85</v>
      </c>
      <c r="E370" s="2">
        <f>IFERROR(__xludf.DUMMYFUNCTION("""COMPUTED_VALUE"""),13.97)</f>
        <v>13.97</v>
      </c>
      <c r="F370" s="2">
        <f>IFERROR(__xludf.DUMMYFUNCTION("""COMPUTED_VALUE"""),544900.0)</f>
        <v>544900</v>
      </c>
    </row>
    <row r="371">
      <c r="A371" s="3">
        <f>IFERROR(__xludf.DUMMYFUNCTION("""COMPUTED_VALUE"""),29755.666666666668)</f>
        <v>29755.66667</v>
      </c>
      <c r="B371" s="2">
        <f>IFERROR(__xludf.DUMMYFUNCTION("""COMPUTED_VALUE"""),13.76)</f>
        <v>13.76</v>
      </c>
      <c r="C371" s="2">
        <f>IFERROR(__xludf.DUMMYFUNCTION("""COMPUTED_VALUE"""),13.97)</f>
        <v>13.97</v>
      </c>
      <c r="D371" s="2">
        <f>IFERROR(__xludf.DUMMYFUNCTION("""COMPUTED_VALUE"""),13.67)</f>
        <v>13.67</v>
      </c>
      <c r="E371" s="2">
        <f>IFERROR(__xludf.DUMMYFUNCTION("""COMPUTED_VALUE"""),13.76)</f>
        <v>13.76</v>
      </c>
      <c r="F371" s="2">
        <f>IFERROR(__xludf.DUMMYFUNCTION("""COMPUTED_VALUE"""),321400.0)</f>
        <v>321400</v>
      </c>
    </row>
    <row r="372">
      <c r="A372" s="3">
        <f>IFERROR(__xludf.DUMMYFUNCTION("""COMPUTED_VALUE"""),29756.666666666668)</f>
        <v>29756.66667</v>
      </c>
      <c r="B372" s="2">
        <f>IFERROR(__xludf.DUMMYFUNCTION("""COMPUTED_VALUE"""),13.73)</f>
        <v>13.73</v>
      </c>
      <c r="C372" s="2">
        <f>IFERROR(__xludf.DUMMYFUNCTION("""COMPUTED_VALUE"""),13.85)</f>
        <v>13.85</v>
      </c>
      <c r="D372" s="2">
        <f>IFERROR(__xludf.DUMMYFUNCTION("""COMPUTED_VALUE"""),13.7)</f>
        <v>13.7</v>
      </c>
      <c r="E372" s="2">
        <f>IFERROR(__xludf.DUMMYFUNCTION("""COMPUTED_VALUE"""),13.73)</f>
        <v>13.73</v>
      </c>
      <c r="F372" s="2">
        <f>IFERROR(__xludf.DUMMYFUNCTION("""COMPUTED_VALUE"""),328400.0)</f>
        <v>328400</v>
      </c>
    </row>
    <row r="373">
      <c r="A373" s="3">
        <f>IFERROR(__xludf.DUMMYFUNCTION("""COMPUTED_VALUE"""),29759.666666666668)</f>
        <v>29759.66667</v>
      </c>
      <c r="B373" s="2">
        <f>IFERROR(__xludf.DUMMYFUNCTION("""COMPUTED_VALUE"""),13.88)</f>
        <v>13.88</v>
      </c>
      <c r="C373" s="2">
        <f>IFERROR(__xludf.DUMMYFUNCTION("""COMPUTED_VALUE"""),13.91)</f>
        <v>13.91</v>
      </c>
      <c r="D373" s="2">
        <f>IFERROR(__xludf.DUMMYFUNCTION("""COMPUTED_VALUE"""),13.76)</f>
        <v>13.76</v>
      </c>
      <c r="E373" s="2">
        <f>IFERROR(__xludf.DUMMYFUNCTION("""COMPUTED_VALUE"""),13.88)</f>
        <v>13.88</v>
      </c>
      <c r="F373" s="2">
        <f>IFERROR(__xludf.DUMMYFUNCTION("""COMPUTED_VALUE"""),358900.0)</f>
        <v>358900</v>
      </c>
    </row>
    <row r="374">
      <c r="A374" s="3">
        <f>IFERROR(__xludf.DUMMYFUNCTION("""COMPUTED_VALUE"""),29760.666666666668)</f>
        <v>29760.66667</v>
      </c>
      <c r="B374" s="2">
        <f>IFERROR(__xludf.DUMMYFUNCTION("""COMPUTED_VALUE"""),14.18)</f>
        <v>14.18</v>
      </c>
      <c r="C374" s="2">
        <f>IFERROR(__xludf.DUMMYFUNCTION("""COMPUTED_VALUE"""),14.24)</f>
        <v>14.24</v>
      </c>
      <c r="D374" s="2">
        <f>IFERROR(__xludf.DUMMYFUNCTION("""COMPUTED_VALUE"""),13.88)</f>
        <v>13.88</v>
      </c>
      <c r="E374" s="2">
        <f>IFERROR(__xludf.DUMMYFUNCTION("""COMPUTED_VALUE"""),14.18)</f>
        <v>14.18</v>
      </c>
      <c r="F374" s="2">
        <f>IFERROR(__xludf.DUMMYFUNCTION("""COMPUTED_VALUE"""),583000.0)</f>
        <v>583000</v>
      </c>
    </row>
    <row r="375">
      <c r="A375" s="3">
        <f>IFERROR(__xludf.DUMMYFUNCTION("""COMPUTED_VALUE"""),29761.666666666668)</f>
        <v>29761.66667</v>
      </c>
      <c r="B375" s="2">
        <f>IFERROR(__xludf.DUMMYFUNCTION("""COMPUTED_VALUE"""),14.21)</f>
        <v>14.21</v>
      </c>
      <c r="C375" s="2">
        <f>IFERROR(__xludf.DUMMYFUNCTION("""COMPUTED_VALUE"""),14.21)</f>
        <v>14.21</v>
      </c>
      <c r="D375" s="2">
        <f>IFERROR(__xludf.DUMMYFUNCTION("""COMPUTED_VALUE"""),14.0)</f>
        <v>14</v>
      </c>
      <c r="E375" s="2">
        <f>IFERROR(__xludf.DUMMYFUNCTION("""COMPUTED_VALUE"""),14.21)</f>
        <v>14.21</v>
      </c>
      <c r="F375" s="2">
        <f>IFERROR(__xludf.DUMMYFUNCTION("""COMPUTED_VALUE"""),418600.0)</f>
        <v>418600</v>
      </c>
    </row>
    <row r="376">
      <c r="A376" s="3">
        <f>IFERROR(__xludf.DUMMYFUNCTION("""COMPUTED_VALUE"""),29762.666666666668)</f>
        <v>29762.66667</v>
      </c>
      <c r="B376" s="2">
        <f>IFERROR(__xludf.DUMMYFUNCTION("""COMPUTED_VALUE"""),14.09)</f>
        <v>14.09</v>
      </c>
      <c r="C376" s="2">
        <f>IFERROR(__xludf.DUMMYFUNCTION("""COMPUTED_VALUE"""),14.36)</f>
        <v>14.36</v>
      </c>
      <c r="D376" s="2">
        <f>IFERROR(__xludf.DUMMYFUNCTION("""COMPUTED_VALUE"""),14.03)</f>
        <v>14.03</v>
      </c>
      <c r="E376" s="2">
        <f>IFERROR(__xludf.DUMMYFUNCTION("""COMPUTED_VALUE"""),14.09)</f>
        <v>14.09</v>
      </c>
      <c r="F376" s="2">
        <f>IFERROR(__xludf.DUMMYFUNCTION("""COMPUTED_VALUE"""),430100.0)</f>
        <v>430100</v>
      </c>
    </row>
    <row r="377">
      <c r="A377" s="3">
        <f>IFERROR(__xludf.DUMMYFUNCTION("""COMPUTED_VALUE"""),29763.666666666668)</f>
        <v>29763.66667</v>
      </c>
      <c r="B377" s="2">
        <f>IFERROR(__xludf.DUMMYFUNCTION("""COMPUTED_VALUE"""),14.03)</f>
        <v>14.03</v>
      </c>
      <c r="C377" s="2">
        <f>IFERROR(__xludf.DUMMYFUNCTION("""COMPUTED_VALUE"""),14.24)</f>
        <v>14.24</v>
      </c>
      <c r="D377" s="2">
        <f>IFERROR(__xludf.DUMMYFUNCTION("""COMPUTED_VALUE"""),14.0)</f>
        <v>14</v>
      </c>
      <c r="E377" s="2">
        <f>IFERROR(__xludf.DUMMYFUNCTION("""COMPUTED_VALUE"""),14.03)</f>
        <v>14.03</v>
      </c>
      <c r="F377" s="2">
        <f>IFERROR(__xludf.DUMMYFUNCTION("""COMPUTED_VALUE"""),404500.0)</f>
        <v>404500</v>
      </c>
    </row>
    <row r="378">
      <c r="A378" s="3">
        <f>IFERROR(__xludf.DUMMYFUNCTION("""COMPUTED_VALUE"""),29766.666666666668)</f>
        <v>29766.66667</v>
      </c>
      <c r="B378" s="2">
        <f>IFERROR(__xludf.DUMMYFUNCTION("""COMPUTED_VALUE"""),13.82)</f>
        <v>13.82</v>
      </c>
      <c r="C378" s="2">
        <f>IFERROR(__xludf.DUMMYFUNCTION("""COMPUTED_VALUE"""),14.12)</f>
        <v>14.12</v>
      </c>
      <c r="D378" s="2">
        <f>IFERROR(__xludf.DUMMYFUNCTION("""COMPUTED_VALUE"""),13.76)</f>
        <v>13.76</v>
      </c>
      <c r="E378" s="2">
        <f>IFERROR(__xludf.DUMMYFUNCTION("""COMPUTED_VALUE"""),13.82)</f>
        <v>13.82</v>
      </c>
      <c r="F378" s="2">
        <f>IFERROR(__xludf.DUMMYFUNCTION("""COMPUTED_VALUE"""),298400.0)</f>
        <v>298400</v>
      </c>
    </row>
    <row r="379">
      <c r="A379" s="3">
        <f>IFERROR(__xludf.DUMMYFUNCTION("""COMPUTED_VALUE"""),29767.666666666668)</f>
        <v>29767.66667</v>
      </c>
      <c r="B379" s="2">
        <f>IFERROR(__xludf.DUMMYFUNCTION("""COMPUTED_VALUE"""),13.82)</f>
        <v>13.82</v>
      </c>
      <c r="C379" s="2">
        <f>IFERROR(__xludf.DUMMYFUNCTION("""COMPUTED_VALUE"""),13.85)</f>
        <v>13.85</v>
      </c>
      <c r="D379" s="2">
        <f>IFERROR(__xludf.DUMMYFUNCTION("""COMPUTED_VALUE"""),13.67)</f>
        <v>13.67</v>
      </c>
      <c r="E379" s="2">
        <f>IFERROR(__xludf.DUMMYFUNCTION("""COMPUTED_VALUE"""),13.82)</f>
        <v>13.82</v>
      </c>
      <c r="F379" s="2">
        <f>IFERROR(__xludf.DUMMYFUNCTION("""COMPUTED_VALUE"""),277100.0)</f>
        <v>277100</v>
      </c>
    </row>
    <row r="380">
      <c r="A380" s="3">
        <f>IFERROR(__xludf.DUMMYFUNCTION("""COMPUTED_VALUE"""),29768.666666666668)</f>
        <v>29768.66667</v>
      </c>
      <c r="B380" s="2">
        <f>IFERROR(__xludf.DUMMYFUNCTION("""COMPUTED_VALUE"""),13.58)</f>
        <v>13.58</v>
      </c>
      <c r="C380" s="2">
        <f>IFERROR(__xludf.DUMMYFUNCTION("""COMPUTED_VALUE"""),13.82)</f>
        <v>13.82</v>
      </c>
      <c r="D380" s="2">
        <f>IFERROR(__xludf.DUMMYFUNCTION("""COMPUTED_VALUE"""),13.55)</f>
        <v>13.55</v>
      </c>
      <c r="E380" s="2">
        <f>IFERROR(__xludf.DUMMYFUNCTION("""COMPUTED_VALUE"""),13.58)</f>
        <v>13.58</v>
      </c>
      <c r="F380" s="2">
        <f>IFERROR(__xludf.DUMMYFUNCTION("""COMPUTED_VALUE"""),395300.0)</f>
        <v>395300</v>
      </c>
    </row>
    <row r="381">
      <c r="A381" s="3">
        <f>IFERROR(__xludf.DUMMYFUNCTION("""COMPUTED_VALUE"""),29769.666666666668)</f>
        <v>29769.66667</v>
      </c>
      <c r="B381" s="2">
        <f>IFERROR(__xludf.DUMMYFUNCTION("""COMPUTED_VALUE"""),13.58)</f>
        <v>13.58</v>
      </c>
      <c r="C381" s="2">
        <f>IFERROR(__xludf.DUMMYFUNCTION("""COMPUTED_VALUE"""),13.67)</f>
        <v>13.67</v>
      </c>
      <c r="D381" s="2">
        <f>IFERROR(__xludf.DUMMYFUNCTION("""COMPUTED_VALUE"""),13.46)</f>
        <v>13.46</v>
      </c>
      <c r="E381" s="2">
        <f>IFERROR(__xludf.DUMMYFUNCTION("""COMPUTED_VALUE"""),13.58)</f>
        <v>13.58</v>
      </c>
      <c r="F381" s="2">
        <f>IFERROR(__xludf.DUMMYFUNCTION("""COMPUTED_VALUE"""),434800.0)</f>
        <v>434800</v>
      </c>
    </row>
    <row r="382">
      <c r="A382" s="3">
        <f>IFERROR(__xludf.DUMMYFUNCTION("""COMPUTED_VALUE"""),29773.666666666668)</f>
        <v>29773.66667</v>
      </c>
      <c r="B382" s="2">
        <f>IFERROR(__xludf.DUMMYFUNCTION("""COMPUTED_VALUE"""),13.61)</f>
        <v>13.61</v>
      </c>
      <c r="C382" s="2">
        <f>IFERROR(__xludf.DUMMYFUNCTION("""COMPUTED_VALUE"""),13.64)</f>
        <v>13.64</v>
      </c>
      <c r="D382" s="2">
        <f>IFERROR(__xludf.DUMMYFUNCTION("""COMPUTED_VALUE"""),13.46)</f>
        <v>13.46</v>
      </c>
      <c r="E382" s="2">
        <f>IFERROR(__xludf.DUMMYFUNCTION("""COMPUTED_VALUE"""),13.61)</f>
        <v>13.61</v>
      </c>
      <c r="F382" s="2">
        <f>IFERROR(__xludf.DUMMYFUNCTION("""COMPUTED_VALUE"""),336600.0)</f>
        <v>336600</v>
      </c>
    </row>
    <row r="383">
      <c r="A383" s="3">
        <f>IFERROR(__xludf.DUMMYFUNCTION("""COMPUTED_VALUE"""),29774.666666666668)</f>
        <v>29774.66667</v>
      </c>
      <c r="B383" s="2">
        <f>IFERROR(__xludf.DUMMYFUNCTION("""COMPUTED_VALUE"""),13.61)</f>
        <v>13.61</v>
      </c>
      <c r="C383" s="2">
        <f>IFERROR(__xludf.DUMMYFUNCTION("""COMPUTED_VALUE"""),13.7)</f>
        <v>13.7</v>
      </c>
      <c r="D383" s="2">
        <f>IFERROR(__xludf.DUMMYFUNCTION("""COMPUTED_VALUE"""),13.46)</f>
        <v>13.46</v>
      </c>
      <c r="E383" s="2">
        <f>IFERROR(__xludf.DUMMYFUNCTION("""COMPUTED_VALUE"""),13.61)</f>
        <v>13.61</v>
      </c>
      <c r="F383" s="2">
        <f>IFERROR(__xludf.DUMMYFUNCTION("""COMPUTED_VALUE"""),609800.0)</f>
        <v>609800</v>
      </c>
    </row>
    <row r="384">
      <c r="A384" s="3">
        <f>IFERROR(__xludf.DUMMYFUNCTION("""COMPUTED_VALUE"""),29775.666666666668)</f>
        <v>29775.66667</v>
      </c>
      <c r="B384" s="2">
        <f>IFERROR(__xludf.DUMMYFUNCTION("""COMPUTED_VALUE"""),13.52)</f>
        <v>13.52</v>
      </c>
      <c r="C384" s="2">
        <f>IFERROR(__xludf.DUMMYFUNCTION("""COMPUTED_VALUE"""),13.64)</f>
        <v>13.64</v>
      </c>
      <c r="D384" s="2">
        <f>IFERROR(__xludf.DUMMYFUNCTION("""COMPUTED_VALUE"""),13.46)</f>
        <v>13.46</v>
      </c>
      <c r="E384" s="2">
        <f>IFERROR(__xludf.DUMMYFUNCTION("""COMPUTED_VALUE"""),13.52)</f>
        <v>13.52</v>
      </c>
      <c r="F384" s="2">
        <f>IFERROR(__xludf.DUMMYFUNCTION("""COMPUTED_VALUE"""),340000.0)</f>
        <v>340000</v>
      </c>
    </row>
    <row r="385">
      <c r="A385" s="3">
        <f>IFERROR(__xludf.DUMMYFUNCTION("""COMPUTED_VALUE"""),29776.666666666668)</f>
        <v>29776.66667</v>
      </c>
      <c r="B385" s="2">
        <f>IFERROR(__xludf.DUMMYFUNCTION("""COMPUTED_VALUE"""),13.52)</f>
        <v>13.52</v>
      </c>
      <c r="C385" s="2">
        <f>IFERROR(__xludf.DUMMYFUNCTION("""COMPUTED_VALUE"""),13.58)</f>
        <v>13.58</v>
      </c>
      <c r="D385" s="2">
        <f>IFERROR(__xludf.DUMMYFUNCTION("""COMPUTED_VALUE"""),13.46)</f>
        <v>13.46</v>
      </c>
      <c r="E385" s="2">
        <f>IFERROR(__xludf.DUMMYFUNCTION("""COMPUTED_VALUE"""),13.52)</f>
        <v>13.52</v>
      </c>
      <c r="F385" s="2">
        <f>IFERROR(__xludf.DUMMYFUNCTION("""COMPUTED_VALUE"""),322000.0)</f>
        <v>322000</v>
      </c>
    </row>
    <row r="386">
      <c r="A386" s="3">
        <f>IFERROR(__xludf.DUMMYFUNCTION("""COMPUTED_VALUE"""),29777.666666666668)</f>
        <v>29777.66667</v>
      </c>
      <c r="B386" s="2">
        <f>IFERROR(__xludf.DUMMYFUNCTION("""COMPUTED_VALUE"""),13.46)</f>
        <v>13.46</v>
      </c>
      <c r="C386" s="2">
        <f>IFERROR(__xludf.DUMMYFUNCTION("""COMPUTED_VALUE"""),13.49)</f>
        <v>13.49</v>
      </c>
      <c r="D386" s="2">
        <f>IFERROR(__xludf.DUMMYFUNCTION("""COMPUTED_VALUE"""),13.43)</f>
        <v>13.43</v>
      </c>
      <c r="E386" s="2">
        <f>IFERROR(__xludf.DUMMYFUNCTION("""COMPUTED_VALUE"""),13.46)</f>
        <v>13.46</v>
      </c>
      <c r="F386" s="2">
        <f>IFERROR(__xludf.DUMMYFUNCTION("""COMPUTED_VALUE"""),375800.0)</f>
        <v>375800</v>
      </c>
    </row>
    <row r="387">
      <c r="A387" s="3">
        <f>IFERROR(__xludf.DUMMYFUNCTION("""COMPUTED_VALUE"""),29780.666666666668)</f>
        <v>29780.66667</v>
      </c>
      <c r="B387" s="2">
        <f>IFERROR(__xludf.DUMMYFUNCTION("""COMPUTED_VALUE"""),13.34)</f>
        <v>13.34</v>
      </c>
      <c r="C387" s="2">
        <f>IFERROR(__xludf.DUMMYFUNCTION("""COMPUTED_VALUE"""),13.43)</f>
        <v>13.43</v>
      </c>
      <c r="D387" s="2">
        <f>IFERROR(__xludf.DUMMYFUNCTION("""COMPUTED_VALUE"""),13.31)</f>
        <v>13.31</v>
      </c>
      <c r="E387" s="2">
        <f>IFERROR(__xludf.DUMMYFUNCTION("""COMPUTED_VALUE"""),13.34)</f>
        <v>13.34</v>
      </c>
      <c r="F387" s="2">
        <f>IFERROR(__xludf.DUMMYFUNCTION("""COMPUTED_VALUE"""),465600.0)</f>
        <v>465600</v>
      </c>
    </row>
    <row r="388">
      <c r="A388" s="3">
        <f>IFERROR(__xludf.DUMMYFUNCTION("""COMPUTED_VALUE"""),29781.666666666668)</f>
        <v>29781.66667</v>
      </c>
      <c r="B388" s="2">
        <f>IFERROR(__xludf.DUMMYFUNCTION("""COMPUTED_VALUE"""),13.58)</f>
        <v>13.58</v>
      </c>
      <c r="C388" s="2">
        <f>IFERROR(__xludf.DUMMYFUNCTION("""COMPUTED_VALUE"""),13.58)</f>
        <v>13.58</v>
      </c>
      <c r="D388" s="2">
        <f>IFERROR(__xludf.DUMMYFUNCTION("""COMPUTED_VALUE"""),13.28)</f>
        <v>13.28</v>
      </c>
      <c r="E388" s="2">
        <f>IFERROR(__xludf.DUMMYFUNCTION("""COMPUTED_VALUE"""),13.58)</f>
        <v>13.58</v>
      </c>
      <c r="F388" s="2">
        <f>IFERROR(__xludf.DUMMYFUNCTION("""COMPUTED_VALUE"""),534900.0)</f>
        <v>534900</v>
      </c>
    </row>
    <row r="389">
      <c r="A389" s="3">
        <f>IFERROR(__xludf.DUMMYFUNCTION("""COMPUTED_VALUE"""),29782.666666666668)</f>
        <v>29782.66667</v>
      </c>
      <c r="B389" s="2">
        <f>IFERROR(__xludf.DUMMYFUNCTION("""COMPUTED_VALUE"""),13.52)</f>
        <v>13.52</v>
      </c>
      <c r="C389" s="2">
        <f>IFERROR(__xludf.DUMMYFUNCTION("""COMPUTED_VALUE"""),13.58)</f>
        <v>13.58</v>
      </c>
      <c r="D389" s="2">
        <f>IFERROR(__xludf.DUMMYFUNCTION("""COMPUTED_VALUE"""),13.46)</f>
        <v>13.46</v>
      </c>
      <c r="E389" s="2">
        <f>IFERROR(__xludf.DUMMYFUNCTION("""COMPUTED_VALUE"""),13.52)</f>
        <v>13.52</v>
      </c>
      <c r="F389" s="2">
        <f>IFERROR(__xludf.DUMMYFUNCTION("""COMPUTED_VALUE"""),507000.0)</f>
        <v>507000</v>
      </c>
    </row>
    <row r="390">
      <c r="A390" s="3">
        <f>IFERROR(__xludf.DUMMYFUNCTION("""COMPUTED_VALUE"""),29783.666666666668)</f>
        <v>29783.66667</v>
      </c>
      <c r="B390" s="2">
        <f>IFERROR(__xludf.DUMMYFUNCTION("""COMPUTED_VALUE"""),13.52)</f>
        <v>13.52</v>
      </c>
      <c r="C390" s="2">
        <f>IFERROR(__xludf.DUMMYFUNCTION("""COMPUTED_VALUE"""),13.58)</f>
        <v>13.58</v>
      </c>
      <c r="D390" s="2">
        <f>IFERROR(__xludf.DUMMYFUNCTION("""COMPUTED_VALUE"""),13.4)</f>
        <v>13.4</v>
      </c>
      <c r="E390" s="2">
        <f>IFERROR(__xludf.DUMMYFUNCTION("""COMPUTED_VALUE"""),13.52)</f>
        <v>13.52</v>
      </c>
      <c r="F390" s="2">
        <f>IFERROR(__xludf.DUMMYFUNCTION("""COMPUTED_VALUE"""),335700.0)</f>
        <v>335700</v>
      </c>
    </row>
    <row r="391">
      <c r="A391" s="3">
        <f>IFERROR(__xludf.DUMMYFUNCTION("""COMPUTED_VALUE"""),29784.666666666668)</f>
        <v>29784.66667</v>
      </c>
      <c r="B391" s="2">
        <f>IFERROR(__xludf.DUMMYFUNCTION("""COMPUTED_VALUE"""),13.4)</f>
        <v>13.4</v>
      </c>
      <c r="C391" s="2">
        <f>IFERROR(__xludf.DUMMYFUNCTION("""COMPUTED_VALUE"""),13.52)</f>
        <v>13.52</v>
      </c>
      <c r="D391" s="2">
        <f>IFERROR(__xludf.DUMMYFUNCTION("""COMPUTED_VALUE"""),13.4)</f>
        <v>13.4</v>
      </c>
      <c r="E391" s="2">
        <f>IFERROR(__xludf.DUMMYFUNCTION("""COMPUTED_VALUE"""),13.4)</f>
        <v>13.4</v>
      </c>
      <c r="F391" s="2">
        <f>IFERROR(__xludf.DUMMYFUNCTION("""COMPUTED_VALUE"""),269200.0)</f>
        <v>269200</v>
      </c>
    </row>
    <row r="392">
      <c r="A392" s="3">
        <f>IFERROR(__xludf.DUMMYFUNCTION("""COMPUTED_VALUE"""),29787.666666666668)</f>
        <v>29787.66667</v>
      </c>
      <c r="B392" s="2">
        <f>IFERROR(__xludf.DUMMYFUNCTION("""COMPUTED_VALUE"""),13.22)</f>
        <v>13.22</v>
      </c>
      <c r="C392" s="2">
        <f>IFERROR(__xludf.DUMMYFUNCTION("""COMPUTED_VALUE"""),13.34)</f>
        <v>13.34</v>
      </c>
      <c r="D392" s="2">
        <f>IFERROR(__xludf.DUMMYFUNCTION("""COMPUTED_VALUE"""),13.19)</f>
        <v>13.19</v>
      </c>
      <c r="E392" s="2">
        <f>IFERROR(__xludf.DUMMYFUNCTION("""COMPUTED_VALUE"""),13.22)</f>
        <v>13.22</v>
      </c>
      <c r="F392" s="2">
        <f>IFERROR(__xludf.DUMMYFUNCTION("""COMPUTED_VALUE"""),447400.0)</f>
        <v>447400</v>
      </c>
    </row>
    <row r="393">
      <c r="A393" s="3">
        <f>IFERROR(__xludf.DUMMYFUNCTION("""COMPUTED_VALUE"""),29788.666666666668)</f>
        <v>29788.66667</v>
      </c>
      <c r="B393" s="2">
        <f>IFERROR(__xludf.DUMMYFUNCTION("""COMPUTED_VALUE"""),13.25)</f>
        <v>13.25</v>
      </c>
      <c r="C393" s="2">
        <f>IFERROR(__xludf.DUMMYFUNCTION("""COMPUTED_VALUE"""),13.28)</f>
        <v>13.28</v>
      </c>
      <c r="D393" s="2">
        <f>IFERROR(__xludf.DUMMYFUNCTION("""COMPUTED_VALUE"""),13.16)</f>
        <v>13.16</v>
      </c>
      <c r="E393" s="2">
        <f>IFERROR(__xludf.DUMMYFUNCTION("""COMPUTED_VALUE"""),13.25)</f>
        <v>13.25</v>
      </c>
      <c r="F393" s="2">
        <f>IFERROR(__xludf.DUMMYFUNCTION("""COMPUTED_VALUE"""),385800.0)</f>
        <v>385800</v>
      </c>
    </row>
    <row r="394">
      <c r="A394" s="3">
        <f>IFERROR(__xludf.DUMMYFUNCTION("""COMPUTED_VALUE"""),29789.666666666668)</f>
        <v>29789.66667</v>
      </c>
      <c r="B394" s="2">
        <f>IFERROR(__xludf.DUMMYFUNCTION("""COMPUTED_VALUE"""),13.16)</f>
        <v>13.16</v>
      </c>
      <c r="C394" s="2">
        <f>IFERROR(__xludf.DUMMYFUNCTION("""COMPUTED_VALUE"""),13.34)</f>
        <v>13.34</v>
      </c>
      <c r="D394" s="2">
        <f>IFERROR(__xludf.DUMMYFUNCTION("""COMPUTED_VALUE"""),13.16)</f>
        <v>13.16</v>
      </c>
      <c r="E394" s="2">
        <f>IFERROR(__xludf.DUMMYFUNCTION("""COMPUTED_VALUE"""),13.16)</f>
        <v>13.16</v>
      </c>
      <c r="F394" s="2">
        <f>IFERROR(__xludf.DUMMYFUNCTION("""COMPUTED_VALUE"""),347800.0)</f>
        <v>347800</v>
      </c>
    </row>
    <row r="395">
      <c r="A395" s="3">
        <f>IFERROR(__xludf.DUMMYFUNCTION("""COMPUTED_VALUE"""),29790.666666666668)</f>
        <v>29790.66667</v>
      </c>
      <c r="B395" s="2">
        <f>IFERROR(__xludf.DUMMYFUNCTION("""COMPUTED_VALUE"""),13.1)</f>
        <v>13.1</v>
      </c>
      <c r="C395" s="2">
        <f>IFERROR(__xludf.DUMMYFUNCTION("""COMPUTED_VALUE"""),13.19)</f>
        <v>13.19</v>
      </c>
      <c r="D395" s="2">
        <f>IFERROR(__xludf.DUMMYFUNCTION("""COMPUTED_VALUE"""),13.07)</f>
        <v>13.07</v>
      </c>
      <c r="E395" s="2">
        <f>IFERROR(__xludf.DUMMYFUNCTION("""COMPUTED_VALUE"""),13.1)</f>
        <v>13.1</v>
      </c>
      <c r="F395" s="2">
        <f>IFERROR(__xludf.DUMMYFUNCTION("""COMPUTED_VALUE"""),435700.0)</f>
        <v>435700</v>
      </c>
    </row>
    <row r="396">
      <c r="A396" s="3">
        <f>IFERROR(__xludf.DUMMYFUNCTION("""COMPUTED_VALUE"""),29791.666666666668)</f>
        <v>29791.66667</v>
      </c>
      <c r="B396" s="2">
        <f>IFERROR(__xludf.DUMMYFUNCTION("""COMPUTED_VALUE"""),13.13)</f>
        <v>13.13</v>
      </c>
      <c r="C396" s="2">
        <f>IFERROR(__xludf.DUMMYFUNCTION("""COMPUTED_VALUE"""),13.16)</f>
        <v>13.16</v>
      </c>
      <c r="D396" s="2">
        <f>IFERROR(__xludf.DUMMYFUNCTION("""COMPUTED_VALUE"""),13.04)</f>
        <v>13.04</v>
      </c>
      <c r="E396" s="2">
        <f>IFERROR(__xludf.DUMMYFUNCTION("""COMPUTED_VALUE"""),13.13)</f>
        <v>13.13</v>
      </c>
      <c r="F396" s="2">
        <f>IFERROR(__xludf.DUMMYFUNCTION("""COMPUTED_VALUE"""),309400.0)</f>
        <v>309400</v>
      </c>
    </row>
    <row r="397">
      <c r="A397" s="3">
        <f>IFERROR(__xludf.DUMMYFUNCTION("""COMPUTED_VALUE"""),29794.666666666668)</f>
        <v>29794.66667</v>
      </c>
      <c r="B397" s="2">
        <f>IFERROR(__xludf.DUMMYFUNCTION("""COMPUTED_VALUE"""),13.28)</f>
        <v>13.28</v>
      </c>
      <c r="C397" s="2">
        <f>IFERROR(__xludf.DUMMYFUNCTION("""COMPUTED_VALUE"""),13.28)</f>
        <v>13.28</v>
      </c>
      <c r="D397" s="2">
        <f>IFERROR(__xludf.DUMMYFUNCTION("""COMPUTED_VALUE"""),13.1)</f>
        <v>13.1</v>
      </c>
      <c r="E397" s="2">
        <f>IFERROR(__xludf.DUMMYFUNCTION("""COMPUTED_VALUE"""),13.28)</f>
        <v>13.28</v>
      </c>
      <c r="F397" s="2">
        <f>IFERROR(__xludf.DUMMYFUNCTION("""COMPUTED_VALUE"""),331800.0)</f>
        <v>331800</v>
      </c>
    </row>
    <row r="398">
      <c r="A398" s="3">
        <f>IFERROR(__xludf.DUMMYFUNCTION("""COMPUTED_VALUE"""),29795.666666666668)</f>
        <v>29795.66667</v>
      </c>
      <c r="B398" s="2">
        <f>IFERROR(__xludf.DUMMYFUNCTION("""COMPUTED_VALUE"""),13.22)</f>
        <v>13.22</v>
      </c>
      <c r="C398" s="2">
        <f>IFERROR(__xludf.DUMMYFUNCTION("""COMPUTED_VALUE"""),13.25)</f>
        <v>13.25</v>
      </c>
      <c r="D398" s="2">
        <f>IFERROR(__xludf.DUMMYFUNCTION("""COMPUTED_VALUE"""),13.13)</f>
        <v>13.13</v>
      </c>
      <c r="E398" s="2">
        <f>IFERROR(__xludf.DUMMYFUNCTION("""COMPUTED_VALUE"""),13.22)</f>
        <v>13.22</v>
      </c>
      <c r="F398" s="2">
        <f>IFERROR(__xludf.DUMMYFUNCTION("""COMPUTED_VALUE"""),249100.0)</f>
        <v>249100</v>
      </c>
    </row>
    <row r="399">
      <c r="A399" s="3">
        <f>IFERROR(__xludf.DUMMYFUNCTION("""COMPUTED_VALUE"""),29796.666666666668)</f>
        <v>29796.66667</v>
      </c>
      <c r="B399" s="2">
        <f>IFERROR(__xludf.DUMMYFUNCTION("""COMPUTED_VALUE"""),13.22)</f>
        <v>13.22</v>
      </c>
      <c r="C399" s="2">
        <f>IFERROR(__xludf.DUMMYFUNCTION("""COMPUTED_VALUE"""),13.31)</f>
        <v>13.31</v>
      </c>
      <c r="D399" s="2">
        <f>IFERROR(__xludf.DUMMYFUNCTION("""COMPUTED_VALUE"""),13.19)</f>
        <v>13.19</v>
      </c>
      <c r="E399" s="2">
        <f>IFERROR(__xludf.DUMMYFUNCTION("""COMPUTED_VALUE"""),13.22)</f>
        <v>13.22</v>
      </c>
      <c r="F399" s="2">
        <f>IFERROR(__xludf.DUMMYFUNCTION("""COMPUTED_VALUE"""),234000.0)</f>
        <v>234000</v>
      </c>
    </row>
    <row r="400">
      <c r="A400" s="3">
        <f>IFERROR(__xludf.DUMMYFUNCTION("""COMPUTED_VALUE"""),29797.666666666668)</f>
        <v>29797.66667</v>
      </c>
      <c r="B400" s="2">
        <f>IFERROR(__xludf.DUMMYFUNCTION("""COMPUTED_VALUE"""),13.46)</f>
        <v>13.46</v>
      </c>
      <c r="C400" s="2">
        <f>IFERROR(__xludf.DUMMYFUNCTION("""COMPUTED_VALUE"""),13.52)</f>
        <v>13.52</v>
      </c>
      <c r="D400" s="2">
        <f>IFERROR(__xludf.DUMMYFUNCTION("""COMPUTED_VALUE"""),13.19)</f>
        <v>13.19</v>
      </c>
      <c r="E400" s="2">
        <f>IFERROR(__xludf.DUMMYFUNCTION("""COMPUTED_VALUE"""),13.46)</f>
        <v>13.46</v>
      </c>
      <c r="F400" s="2">
        <f>IFERROR(__xludf.DUMMYFUNCTION("""COMPUTED_VALUE"""),380500.0)</f>
        <v>380500</v>
      </c>
    </row>
    <row r="401">
      <c r="A401" s="3">
        <f>IFERROR(__xludf.DUMMYFUNCTION("""COMPUTED_VALUE"""),29798.666666666668)</f>
        <v>29798.66667</v>
      </c>
      <c r="B401" s="2">
        <f>IFERROR(__xludf.DUMMYFUNCTION("""COMPUTED_VALUE"""),13.4)</f>
        <v>13.4</v>
      </c>
      <c r="C401" s="2">
        <f>IFERROR(__xludf.DUMMYFUNCTION("""COMPUTED_VALUE"""),13.52)</f>
        <v>13.52</v>
      </c>
      <c r="D401" s="2">
        <f>IFERROR(__xludf.DUMMYFUNCTION("""COMPUTED_VALUE"""),13.37)</f>
        <v>13.37</v>
      </c>
      <c r="E401" s="2">
        <f>IFERROR(__xludf.DUMMYFUNCTION("""COMPUTED_VALUE"""),13.4)</f>
        <v>13.4</v>
      </c>
      <c r="F401" s="2">
        <f>IFERROR(__xludf.DUMMYFUNCTION("""COMPUTED_VALUE"""),269000.0)</f>
        <v>269000</v>
      </c>
    </row>
    <row r="402">
      <c r="A402" s="3">
        <f>IFERROR(__xludf.DUMMYFUNCTION("""COMPUTED_VALUE"""),29801.666666666668)</f>
        <v>29801.66667</v>
      </c>
      <c r="B402" s="2">
        <f>IFERROR(__xludf.DUMMYFUNCTION("""COMPUTED_VALUE"""),13.49)</f>
        <v>13.49</v>
      </c>
      <c r="C402" s="2">
        <f>IFERROR(__xludf.DUMMYFUNCTION("""COMPUTED_VALUE"""),13.55)</f>
        <v>13.55</v>
      </c>
      <c r="D402" s="2">
        <f>IFERROR(__xludf.DUMMYFUNCTION("""COMPUTED_VALUE"""),13.4)</f>
        <v>13.4</v>
      </c>
      <c r="E402" s="2">
        <f>IFERROR(__xludf.DUMMYFUNCTION("""COMPUTED_VALUE"""),13.49)</f>
        <v>13.49</v>
      </c>
      <c r="F402" s="2">
        <f>IFERROR(__xludf.DUMMYFUNCTION("""COMPUTED_VALUE"""),290700.0)</f>
        <v>290700</v>
      </c>
    </row>
    <row r="403">
      <c r="A403" s="3">
        <f>IFERROR(__xludf.DUMMYFUNCTION("""COMPUTED_VALUE"""),29802.666666666668)</f>
        <v>29802.66667</v>
      </c>
      <c r="B403" s="2">
        <f>IFERROR(__xludf.DUMMYFUNCTION("""COMPUTED_VALUE"""),13.91)</f>
        <v>13.91</v>
      </c>
      <c r="C403" s="2">
        <f>IFERROR(__xludf.DUMMYFUNCTION("""COMPUTED_VALUE"""),13.91)</f>
        <v>13.91</v>
      </c>
      <c r="D403" s="2">
        <f>IFERROR(__xludf.DUMMYFUNCTION("""COMPUTED_VALUE"""),13.43)</f>
        <v>13.43</v>
      </c>
      <c r="E403" s="2">
        <f>IFERROR(__xludf.DUMMYFUNCTION("""COMPUTED_VALUE"""),13.91)</f>
        <v>13.91</v>
      </c>
      <c r="F403" s="2">
        <f>IFERROR(__xludf.DUMMYFUNCTION("""COMPUTED_VALUE"""),495400.0)</f>
        <v>495400</v>
      </c>
    </row>
    <row r="404">
      <c r="A404" s="3">
        <f>IFERROR(__xludf.DUMMYFUNCTION("""COMPUTED_VALUE"""),29803.666666666668)</f>
        <v>29803.66667</v>
      </c>
      <c r="B404" s="2">
        <f>IFERROR(__xludf.DUMMYFUNCTION("""COMPUTED_VALUE"""),13.94)</f>
        <v>13.94</v>
      </c>
      <c r="C404" s="2">
        <f>IFERROR(__xludf.DUMMYFUNCTION("""COMPUTED_VALUE"""),14.03)</f>
        <v>14.03</v>
      </c>
      <c r="D404" s="2">
        <f>IFERROR(__xludf.DUMMYFUNCTION("""COMPUTED_VALUE"""),13.85)</f>
        <v>13.85</v>
      </c>
      <c r="E404" s="2">
        <f>IFERROR(__xludf.DUMMYFUNCTION("""COMPUTED_VALUE"""),13.94)</f>
        <v>13.94</v>
      </c>
      <c r="F404" s="2">
        <f>IFERROR(__xludf.DUMMYFUNCTION("""COMPUTED_VALUE"""),558100.0)</f>
        <v>558100</v>
      </c>
    </row>
    <row r="405">
      <c r="A405" s="3">
        <f>IFERROR(__xludf.DUMMYFUNCTION("""COMPUTED_VALUE"""),29804.666666666668)</f>
        <v>29804.66667</v>
      </c>
      <c r="B405" s="2">
        <f>IFERROR(__xludf.DUMMYFUNCTION("""COMPUTED_VALUE"""),13.58)</f>
        <v>13.58</v>
      </c>
      <c r="C405" s="2">
        <f>IFERROR(__xludf.DUMMYFUNCTION("""COMPUTED_VALUE"""),13.73)</f>
        <v>13.73</v>
      </c>
      <c r="D405" s="2">
        <f>IFERROR(__xludf.DUMMYFUNCTION("""COMPUTED_VALUE"""),13.58)</f>
        <v>13.58</v>
      </c>
      <c r="E405" s="2">
        <f>IFERROR(__xludf.DUMMYFUNCTION("""COMPUTED_VALUE"""),13.58)</f>
        <v>13.58</v>
      </c>
      <c r="F405" s="2">
        <f>IFERROR(__xludf.DUMMYFUNCTION("""COMPUTED_VALUE"""),304200.0)</f>
        <v>304200</v>
      </c>
    </row>
    <row r="406">
      <c r="A406" s="3">
        <f>IFERROR(__xludf.DUMMYFUNCTION("""COMPUTED_VALUE"""),29805.666666666668)</f>
        <v>29805.66667</v>
      </c>
      <c r="B406" s="2">
        <f>IFERROR(__xludf.DUMMYFUNCTION("""COMPUTED_VALUE"""),13.61)</f>
        <v>13.61</v>
      </c>
      <c r="C406" s="2">
        <f>IFERROR(__xludf.DUMMYFUNCTION("""COMPUTED_VALUE"""),13.67)</f>
        <v>13.67</v>
      </c>
      <c r="D406" s="2">
        <f>IFERROR(__xludf.DUMMYFUNCTION("""COMPUTED_VALUE"""),13.55)</f>
        <v>13.55</v>
      </c>
      <c r="E406" s="2">
        <f>IFERROR(__xludf.DUMMYFUNCTION("""COMPUTED_VALUE"""),13.61)</f>
        <v>13.61</v>
      </c>
      <c r="F406" s="2">
        <f>IFERROR(__xludf.DUMMYFUNCTION("""COMPUTED_VALUE"""),338500.0)</f>
        <v>338500</v>
      </c>
    </row>
    <row r="407">
      <c r="A407" s="3">
        <f>IFERROR(__xludf.DUMMYFUNCTION("""COMPUTED_VALUE"""),29808.666666666668)</f>
        <v>29808.66667</v>
      </c>
      <c r="B407" s="2">
        <f>IFERROR(__xludf.DUMMYFUNCTION("""COMPUTED_VALUE"""),13.82)</f>
        <v>13.82</v>
      </c>
      <c r="C407" s="2">
        <f>IFERROR(__xludf.DUMMYFUNCTION("""COMPUTED_VALUE"""),13.88)</f>
        <v>13.88</v>
      </c>
      <c r="D407" s="2">
        <f>IFERROR(__xludf.DUMMYFUNCTION("""COMPUTED_VALUE"""),13.55)</f>
        <v>13.55</v>
      </c>
      <c r="E407" s="2">
        <f>IFERROR(__xludf.DUMMYFUNCTION("""COMPUTED_VALUE"""),13.82)</f>
        <v>13.82</v>
      </c>
      <c r="F407" s="2">
        <f>IFERROR(__xludf.DUMMYFUNCTION("""COMPUTED_VALUE"""),421100.0)</f>
        <v>421100</v>
      </c>
    </row>
    <row r="408">
      <c r="A408" s="3">
        <f>IFERROR(__xludf.DUMMYFUNCTION("""COMPUTED_VALUE"""),29809.666666666668)</f>
        <v>29809.66667</v>
      </c>
      <c r="B408" s="2">
        <f>IFERROR(__xludf.DUMMYFUNCTION("""COMPUTED_VALUE"""),14.03)</f>
        <v>14.03</v>
      </c>
      <c r="C408" s="2">
        <f>IFERROR(__xludf.DUMMYFUNCTION("""COMPUTED_VALUE"""),14.06)</f>
        <v>14.06</v>
      </c>
      <c r="D408" s="2">
        <f>IFERROR(__xludf.DUMMYFUNCTION("""COMPUTED_VALUE"""),13.82)</f>
        <v>13.82</v>
      </c>
      <c r="E408" s="2">
        <f>IFERROR(__xludf.DUMMYFUNCTION("""COMPUTED_VALUE"""),14.03)</f>
        <v>14.03</v>
      </c>
      <c r="F408" s="2">
        <f>IFERROR(__xludf.DUMMYFUNCTION("""COMPUTED_VALUE"""),546500.0)</f>
        <v>546500</v>
      </c>
    </row>
    <row r="409">
      <c r="A409" s="3">
        <f>IFERROR(__xludf.DUMMYFUNCTION("""COMPUTED_VALUE"""),29810.666666666668)</f>
        <v>29810.66667</v>
      </c>
      <c r="B409" s="2">
        <f>IFERROR(__xludf.DUMMYFUNCTION("""COMPUTED_VALUE"""),13.82)</f>
        <v>13.82</v>
      </c>
      <c r="C409" s="2">
        <f>IFERROR(__xludf.DUMMYFUNCTION("""COMPUTED_VALUE"""),14.03)</f>
        <v>14.03</v>
      </c>
      <c r="D409" s="2">
        <f>IFERROR(__xludf.DUMMYFUNCTION("""COMPUTED_VALUE"""),13.82)</f>
        <v>13.82</v>
      </c>
      <c r="E409" s="2">
        <f>IFERROR(__xludf.DUMMYFUNCTION("""COMPUTED_VALUE"""),13.82)</f>
        <v>13.82</v>
      </c>
      <c r="F409" s="2">
        <f>IFERROR(__xludf.DUMMYFUNCTION("""COMPUTED_VALUE"""),392900.0)</f>
        <v>392900</v>
      </c>
    </row>
    <row r="410">
      <c r="A410" s="3">
        <f>IFERROR(__xludf.DUMMYFUNCTION("""COMPUTED_VALUE"""),29811.666666666668)</f>
        <v>29811.66667</v>
      </c>
      <c r="B410" s="2">
        <f>IFERROR(__xludf.DUMMYFUNCTION("""COMPUTED_VALUE"""),13.91)</f>
        <v>13.91</v>
      </c>
      <c r="C410" s="2">
        <f>IFERROR(__xludf.DUMMYFUNCTION("""COMPUTED_VALUE"""),14.0)</f>
        <v>14</v>
      </c>
      <c r="D410" s="2">
        <f>IFERROR(__xludf.DUMMYFUNCTION("""COMPUTED_VALUE"""),13.88)</f>
        <v>13.88</v>
      </c>
      <c r="E410" s="2">
        <f>IFERROR(__xludf.DUMMYFUNCTION("""COMPUTED_VALUE"""),13.91)</f>
        <v>13.91</v>
      </c>
      <c r="F410" s="2">
        <f>IFERROR(__xludf.DUMMYFUNCTION("""COMPUTED_VALUE"""),336500.0)</f>
        <v>336500</v>
      </c>
    </row>
    <row r="411">
      <c r="A411" s="3">
        <f>IFERROR(__xludf.DUMMYFUNCTION("""COMPUTED_VALUE"""),29812.666666666668)</f>
        <v>29812.66667</v>
      </c>
      <c r="B411" s="2">
        <f>IFERROR(__xludf.DUMMYFUNCTION("""COMPUTED_VALUE"""),13.85)</f>
        <v>13.85</v>
      </c>
      <c r="C411" s="2">
        <f>IFERROR(__xludf.DUMMYFUNCTION("""COMPUTED_VALUE"""),14.03)</f>
        <v>14.03</v>
      </c>
      <c r="D411" s="2">
        <f>IFERROR(__xludf.DUMMYFUNCTION("""COMPUTED_VALUE"""),13.85)</f>
        <v>13.85</v>
      </c>
      <c r="E411" s="2">
        <f>IFERROR(__xludf.DUMMYFUNCTION("""COMPUTED_VALUE"""),13.85)</f>
        <v>13.85</v>
      </c>
      <c r="F411" s="2">
        <f>IFERROR(__xludf.DUMMYFUNCTION("""COMPUTED_VALUE"""),352100.0)</f>
        <v>352100</v>
      </c>
    </row>
    <row r="412">
      <c r="A412" s="3">
        <f>IFERROR(__xludf.DUMMYFUNCTION("""COMPUTED_VALUE"""),29815.666666666668)</f>
        <v>29815.66667</v>
      </c>
      <c r="B412" s="2">
        <f>IFERROR(__xludf.DUMMYFUNCTION("""COMPUTED_VALUE"""),13.55)</f>
        <v>13.55</v>
      </c>
      <c r="C412" s="2">
        <f>IFERROR(__xludf.DUMMYFUNCTION("""COMPUTED_VALUE"""),13.91)</f>
        <v>13.91</v>
      </c>
      <c r="D412" s="2">
        <f>IFERROR(__xludf.DUMMYFUNCTION("""COMPUTED_VALUE"""),13.55)</f>
        <v>13.55</v>
      </c>
      <c r="E412" s="2">
        <f>IFERROR(__xludf.DUMMYFUNCTION("""COMPUTED_VALUE"""),13.55)</f>
        <v>13.55</v>
      </c>
      <c r="F412" s="2">
        <f>IFERROR(__xludf.DUMMYFUNCTION("""COMPUTED_VALUE"""),227500.0)</f>
        <v>227500</v>
      </c>
    </row>
    <row r="413">
      <c r="A413" s="3">
        <f>IFERROR(__xludf.DUMMYFUNCTION("""COMPUTED_VALUE"""),29816.666666666668)</f>
        <v>29816.66667</v>
      </c>
      <c r="B413" s="2">
        <f>IFERROR(__xludf.DUMMYFUNCTION("""COMPUTED_VALUE"""),13.52)</f>
        <v>13.52</v>
      </c>
      <c r="C413" s="2">
        <f>IFERROR(__xludf.DUMMYFUNCTION("""COMPUTED_VALUE"""),13.64)</f>
        <v>13.64</v>
      </c>
      <c r="D413" s="2">
        <f>IFERROR(__xludf.DUMMYFUNCTION("""COMPUTED_VALUE"""),13.43)</f>
        <v>13.43</v>
      </c>
      <c r="E413" s="2">
        <f>IFERROR(__xludf.DUMMYFUNCTION("""COMPUTED_VALUE"""),13.52)</f>
        <v>13.52</v>
      </c>
      <c r="F413" s="2">
        <f>IFERROR(__xludf.DUMMYFUNCTION("""COMPUTED_VALUE"""),482300.0)</f>
        <v>482300</v>
      </c>
    </row>
    <row r="414">
      <c r="A414" s="3">
        <f>IFERROR(__xludf.DUMMYFUNCTION("""COMPUTED_VALUE"""),29817.666666666668)</f>
        <v>29817.66667</v>
      </c>
      <c r="B414" s="2">
        <f>IFERROR(__xludf.DUMMYFUNCTION("""COMPUTED_VALUE"""),13.61)</f>
        <v>13.61</v>
      </c>
      <c r="C414" s="2">
        <f>IFERROR(__xludf.DUMMYFUNCTION("""COMPUTED_VALUE"""),13.67)</f>
        <v>13.67</v>
      </c>
      <c r="D414" s="2">
        <f>IFERROR(__xludf.DUMMYFUNCTION("""COMPUTED_VALUE"""),13.52)</f>
        <v>13.52</v>
      </c>
      <c r="E414" s="2">
        <f>IFERROR(__xludf.DUMMYFUNCTION("""COMPUTED_VALUE"""),13.61)</f>
        <v>13.61</v>
      </c>
      <c r="F414" s="2">
        <f>IFERROR(__xludf.DUMMYFUNCTION("""COMPUTED_VALUE"""),351300.0)</f>
        <v>351300</v>
      </c>
    </row>
    <row r="415">
      <c r="A415" s="3">
        <f>IFERROR(__xludf.DUMMYFUNCTION("""COMPUTED_VALUE"""),29818.666666666668)</f>
        <v>29818.66667</v>
      </c>
      <c r="B415" s="2">
        <f>IFERROR(__xludf.DUMMYFUNCTION("""COMPUTED_VALUE"""),13.67)</f>
        <v>13.67</v>
      </c>
      <c r="C415" s="2">
        <f>IFERROR(__xludf.DUMMYFUNCTION("""COMPUTED_VALUE"""),13.73)</f>
        <v>13.73</v>
      </c>
      <c r="D415" s="2">
        <f>IFERROR(__xludf.DUMMYFUNCTION("""COMPUTED_VALUE"""),13.61)</f>
        <v>13.61</v>
      </c>
      <c r="E415" s="2">
        <f>IFERROR(__xludf.DUMMYFUNCTION("""COMPUTED_VALUE"""),13.67)</f>
        <v>13.67</v>
      </c>
      <c r="F415" s="2">
        <f>IFERROR(__xludf.DUMMYFUNCTION("""COMPUTED_VALUE"""),428200.0)</f>
        <v>428200</v>
      </c>
    </row>
    <row r="416">
      <c r="A416" s="3">
        <f>IFERROR(__xludf.DUMMYFUNCTION("""COMPUTED_VALUE"""),29819.666666666668)</f>
        <v>29819.66667</v>
      </c>
      <c r="B416" s="2">
        <f>IFERROR(__xludf.DUMMYFUNCTION("""COMPUTED_VALUE"""),13.58)</f>
        <v>13.58</v>
      </c>
      <c r="C416" s="2">
        <f>IFERROR(__xludf.DUMMYFUNCTION("""COMPUTED_VALUE"""),13.7)</f>
        <v>13.7</v>
      </c>
      <c r="D416" s="2">
        <f>IFERROR(__xludf.DUMMYFUNCTION("""COMPUTED_VALUE"""),13.55)</f>
        <v>13.55</v>
      </c>
      <c r="E416" s="2">
        <f>IFERROR(__xludf.DUMMYFUNCTION("""COMPUTED_VALUE"""),13.58)</f>
        <v>13.58</v>
      </c>
      <c r="F416" s="2">
        <f>IFERROR(__xludf.DUMMYFUNCTION("""COMPUTED_VALUE"""),203600.0)</f>
        <v>203600</v>
      </c>
    </row>
    <row r="417">
      <c r="A417" s="3">
        <f>IFERROR(__xludf.DUMMYFUNCTION("""COMPUTED_VALUE"""),29822.666666666668)</f>
        <v>29822.66667</v>
      </c>
      <c r="B417" s="2">
        <f>IFERROR(__xludf.DUMMYFUNCTION("""COMPUTED_VALUE"""),13.34)</f>
        <v>13.34</v>
      </c>
      <c r="C417" s="2">
        <f>IFERROR(__xludf.DUMMYFUNCTION("""COMPUTED_VALUE"""),13.52)</f>
        <v>13.52</v>
      </c>
      <c r="D417" s="2">
        <f>IFERROR(__xludf.DUMMYFUNCTION("""COMPUTED_VALUE"""),13.28)</f>
        <v>13.28</v>
      </c>
      <c r="E417" s="2">
        <f>IFERROR(__xludf.DUMMYFUNCTION("""COMPUTED_VALUE"""),13.34)</f>
        <v>13.34</v>
      </c>
      <c r="F417" s="2">
        <f>IFERROR(__xludf.DUMMYFUNCTION("""COMPUTED_VALUE"""),414100.0)</f>
        <v>414100</v>
      </c>
    </row>
    <row r="418">
      <c r="A418" s="3">
        <f>IFERROR(__xludf.DUMMYFUNCTION("""COMPUTED_VALUE"""),29823.666666666668)</f>
        <v>29823.66667</v>
      </c>
      <c r="B418" s="2">
        <f>IFERROR(__xludf.DUMMYFUNCTION("""COMPUTED_VALUE"""),13.34)</f>
        <v>13.34</v>
      </c>
      <c r="C418" s="2">
        <f>IFERROR(__xludf.DUMMYFUNCTION("""COMPUTED_VALUE"""),13.52)</f>
        <v>13.52</v>
      </c>
      <c r="D418" s="2">
        <f>IFERROR(__xludf.DUMMYFUNCTION("""COMPUTED_VALUE"""),13.16)</f>
        <v>13.16</v>
      </c>
      <c r="E418" s="2">
        <f>IFERROR(__xludf.DUMMYFUNCTION("""COMPUTED_VALUE"""),13.34)</f>
        <v>13.34</v>
      </c>
      <c r="F418" s="2">
        <f>IFERROR(__xludf.DUMMYFUNCTION("""COMPUTED_VALUE"""),545600.0)</f>
        <v>545600</v>
      </c>
    </row>
    <row r="419">
      <c r="A419" s="3">
        <f>IFERROR(__xludf.DUMMYFUNCTION("""COMPUTED_VALUE"""),29824.666666666668)</f>
        <v>29824.66667</v>
      </c>
      <c r="B419" s="2">
        <f>IFERROR(__xludf.DUMMYFUNCTION("""COMPUTED_VALUE"""),13.25)</f>
        <v>13.25</v>
      </c>
      <c r="C419" s="2">
        <f>IFERROR(__xludf.DUMMYFUNCTION("""COMPUTED_VALUE"""),13.4)</f>
        <v>13.4</v>
      </c>
      <c r="D419" s="2">
        <f>IFERROR(__xludf.DUMMYFUNCTION("""COMPUTED_VALUE"""),13.22)</f>
        <v>13.22</v>
      </c>
      <c r="E419" s="2">
        <f>IFERROR(__xludf.DUMMYFUNCTION("""COMPUTED_VALUE"""),13.25)</f>
        <v>13.25</v>
      </c>
      <c r="F419" s="2">
        <f>IFERROR(__xludf.DUMMYFUNCTION("""COMPUTED_VALUE"""),324200.0)</f>
        <v>324200</v>
      </c>
    </row>
    <row r="420">
      <c r="A420" s="3">
        <f>IFERROR(__xludf.DUMMYFUNCTION("""COMPUTED_VALUE"""),29825.666666666668)</f>
        <v>29825.66667</v>
      </c>
      <c r="B420" s="2">
        <f>IFERROR(__xludf.DUMMYFUNCTION("""COMPUTED_VALUE"""),13.19)</f>
        <v>13.19</v>
      </c>
      <c r="C420" s="2">
        <f>IFERROR(__xludf.DUMMYFUNCTION("""COMPUTED_VALUE"""),13.46)</f>
        <v>13.46</v>
      </c>
      <c r="D420" s="2">
        <f>IFERROR(__xludf.DUMMYFUNCTION("""COMPUTED_VALUE"""),13.13)</f>
        <v>13.13</v>
      </c>
      <c r="E420" s="2">
        <f>IFERROR(__xludf.DUMMYFUNCTION("""COMPUTED_VALUE"""),13.19)</f>
        <v>13.19</v>
      </c>
      <c r="F420" s="2">
        <f>IFERROR(__xludf.DUMMYFUNCTION("""COMPUTED_VALUE"""),456700.0)</f>
        <v>456700</v>
      </c>
    </row>
    <row r="421">
      <c r="A421" s="3">
        <f>IFERROR(__xludf.DUMMYFUNCTION("""COMPUTED_VALUE"""),29826.666666666668)</f>
        <v>29826.66667</v>
      </c>
      <c r="B421" s="2">
        <f>IFERROR(__xludf.DUMMYFUNCTION("""COMPUTED_VALUE"""),13.34)</f>
        <v>13.34</v>
      </c>
      <c r="C421" s="2">
        <f>IFERROR(__xludf.DUMMYFUNCTION("""COMPUTED_VALUE"""),13.4)</f>
        <v>13.4</v>
      </c>
      <c r="D421" s="2">
        <f>IFERROR(__xludf.DUMMYFUNCTION("""COMPUTED_VALUE"""),13.22)</f>
        <v>13.22</v>
      </c>
      <c r="E421" s="2">
        <f>IFERROR(__xludf.DUMMYFUNCTION("""COMPUTED_VALUE"""),13.34)</f>
        <v>13.34</v>
      </c>
      <c r="F421" s="2">
        <f>IFERROR(__xludf.DUMMYFUNCTION("""COMPUTED_VALUE"""),479500.0)</f>
        <v>479500</v>
      </c>
    </row>
    <row r="422">
      <c r="A422" s="3">
        <f>IFERROR(__xludf.DUMMYFUNCTION("""COMPUTED_VALUE"""),29829.666666666668)</f>
        <v>29829.66667</v>
      </c>
      <c r="B422" s="2">
        <f>IFERROR(__xludf.DUMMYFUNCTION("""COMPUTED_VALUE"""),13.16)</f>
        <v>13.16</v>
      </c>
      <c r="C422" s="2">
        <f>IFERROR(__xludf.DUMMYFUNCTION("""COMPUTED_VALUE"""),13.46)</f>
        <v>13.46</v>
      </c>
      <c r="D422" s="2">
        <f>IFERROR(__xludf.DUMMYFUNCTION("""COMPUTED_VALUE"""),13.13)</f>
        <v>13.13</v>
      </c>
      <c r="E422" s="2">
        <f>IFERROR(__xludf.DUMMYFUNCTION("""COMPUTED_VALUE"""),13.16)</f>
        <v>13.16</v>
      </c>
      <c r="F422" s="2">
        <f>IFERROR(__xludf.DUMMYFUNCTION("""COMPUTED_VALUE"""),377700.0)</f>
        <v>377700</v>
      </c>
    </row>
    <row r="423">
      <c r="A423" s="3">
        <f>IFERROR(__xludf.DUMMYFUNCTION("""COMPUTED_VALUE"""),29830.666666666668)</f>
        <v>29830.66667</v>
      </c>
      <c r="B423" s="2">
        <f>IFERROR(__xludf.DUMMYFUNCTION("""COMPUTED_VALUE"""),13.37)</f>
        <v>13.37</v>
      </c>
      <c r="C423" s="2">
        <f>IFERROR(__xludf.DUMMYFUNCTION("""COMPUTED_VALUE"""),13.4)</f>
        <v>13.4</v>
      </c>
      <c r="D423" s="2">
        <f>IFERROR(__xludf.DUMMYFUNCTION("""COMPUTED_VALUE"""),13.13)</f>
        <v>13.13</v>
      </c>
      <c r="E423" s="2">
        <f>IFERROR(__xludf.DUMMYFUNCTION("""COMPUTED_VALUE"""),13.37)</f>
        <v>13.37</v>
      </c>
      <c r="F423" s="2">
        <f>IFERROR(__xludf.DUMMYFUNCTION("""COMPUTED_VALUE"""),556600.0)</f>
        <v>556600</v>
      </c>
    </row>
    <row r="424">
      <c r="A424" s="3">
        <f>IFERROR(__xludf.DUMMYFUNCTION("""COMPUTED_VALUE"""),29831.666666666668)</f>
        <v>29831.66667</v>
      </c>
      <c r="B424" s="2">
        <f>IFERROR(__xludf.DUMMYFUNCTION("""COMPUTED_VALUE"""),13.31)</f>
        <v>13.31</v>
      </c>
      <c r="C424" s="2">
        <f>IFERROR(__xludf.DUMMYFUNCTION("""COMPUTED_VALUE"""),13.43)</f>
        <v>13.43</v>
      </c>
      <c r="D424" s="2">
        <f>IFERROR(__xludf.DUMMYFUNCTION("""COMPUTED_VALUE"""),13.28)</f>
        <v>13.28</v>
      </c>
      <c r="E424" s="2">
        <f>IFERROR(__xludf.DUMMYFUNCTION("""COMPUTED_VALUE"""),13.31)</f>
        <v>13.31</v>
      </c>
      <c r="F424" s="2">
        <f>IFERROR(__xludf.DUMMYFUNCTION("""COMPUTED_VALUE"""),387200.0)</f>
        <v>387200</v>
      </c>
    </row>
    <row r="425">
      <c r="A425" s="3">
        <f>IFERROR(__xludf.DUMMYFUNCTION("""COMPUTED_VALUE"""),29832.666666666668)</f>
        <v>29832.66667</v>
      </c>
      <c r="B425" s="2">
        <f>IFERROR(__xludf.DUMMYFUNCTION("""COMPUTED_VALUE"""),13.04)</f>
        <v>13.04</v>
      </c>
      <c r="C425" s="2">
        <f>IFERROR(__xludf.DUMMYFUNCTION("""COMPUTED_VALUE"""),13.4)</f>
        <v>13.4</v>
      </c>
      <c r="D425" s="2">
        <f>IFERROR(__xludf.DUMMYFUNCTION("""COMPUTED_VALUE"""),13.01)</f>
        <v>13.01</v>
      </c>
      <c r="E425" s="2">
        <f>IFERROR(__xludf.DUMMYFUNCTION("""COMPUTED_VALUE"""),13.04)</f>
        <v>13.04</v>
      </c>
      <c r="F425" s="2">
        <f>IFERROR(__xludf.DUMMYFUNCTION("""COMPUTED_VALUE"""),437800.0)</f>
        <v>437800</v>
      </c>
    </row>
    <row r="426">
      <c r="A426" s="3">
        <f>IFERROR(__xludf.DUMMYFUNCTION("""COMPUTED_VALUE"""),29833.666666666668)</f>
        <v>29833.66667</v>
      </c>
      <c r="B426" s="2">
        <f>IFERROR(__xludf.DUMMYFUNCTION("""COMPUTED_VALUE"""),12.89)</f>
        <v>12.89</v>
      </c>
      <c r="C426" s="2">
        <f>IFERROR(__xludf.DUMMYFUNCTION("""COMPUTED_VALUE"""),13.1)</f>
        <v>13.1</v>
      </c>
      <c r="D426" s="2">
        <f>IFERROR(__xludf.DUMMYFUNCTION("""COMPUTED_VALUE"""),12.89)</f>
        <v>12.89</v>
      </c>
      <c r="E426" s="2">
        <f>IFERROR(__xludf.DUMMYFUNCTION("""COMPUTED_VALUE"""),12.89)</f>
        <v>12.89</v>
      </c>
      <c r="F426" s="2">
        <f>IFERROR(__xludf.DUMMYFUNCTION("""COMPUTED_VALUE"""),478200.0)</f>
        <v>478200</v>
      </c>
    </row>
    <row r="427">
      <c r="A427" s="3">
        <f>IFERROR(__xludf.DUMMYFUNCTION("""COMPUTED_VALUE"""),29837.666666666668)</f>
        <v>29837.66667</v>
      </c>
      <c r="B427" s="2">
        <f>IFERROR(__xludf.DUMMYFUNCTION("""COMPUTED_VALUE"""),12.89)</f>
        <v>12.89</v>
      </c>
      <c r="C427" s="2">
        <f>IFERROR(__xludf.DUMMYFUNCTION("""COMPUTED_VALUE"""),12.92)</f>
        <v>12.92</v>
      </c>
      <c r="D427" s="2">
        <f>IFERROR(__xludf.DUMMYFUNCTION("""COMPUTED_VALUE"""),12.75)</f>
        <v>12.75</v>
      </c>
      <c r="E427" s="2">
        <f>IFERROR(__xludf.DUMMYFUNCTION("""COMPUTED_VALUE"""),12.89)</f>
        <v>12.89</v>
      </c>
      <c r="F427" s="2">
        <f>IFERROR(__xludf.DUMMYFUNCTION("""COMPUTED_VALUE"""),556000.0)</f>
        <v>556000</v>
      </c>
    </row>
    <row r="428">
      <c r="A428" s="3">
        <f>IFERROR(__xludf.DUMMYFUNCTION("""COMPUTED_VALUE"""),29838.666666666668)</f>
        <v>29838.66667</v>
      </c>
      <c r="B428" s="2">
        <f>IFERROR(__xludf.DUMMYFUNCTION("""COMPUTED_VALUE"""),12.92)</f>
        <v>12.92</v>
      </c>
      <c r="C428" s="2">
        <f>IFERROR(__xludf.DUMMYFUNCTION("""COMPUTED_VALUE"""),13.01)</f>
        <v>13.01</v>
      </c>
      <c r="D428" s="2">
        <f>IFERROR(__xludf.DUMMYFUNCTION("""COMPUTED_VALUE"""),12.81)</f>
        <v>12.81</v>
      </c>
      <c r="E428" s="2">
        <f>IFERROR(__xludf.DUMMYFUNCTION("""COMPUTED_VALUE"""),12.92)</f>
        <v>12.92</v>
      </c>
      <c r="F428" s="2">
        <f>IFERROR(__xludf.DUMMYFUNCTION("""COMPUTED_VALUE"""),389900.0)</f>
        <v>389900</v>
      </c>
    </row>
    <row r="429">
      <c r="A429" s="3">
        <f>IFERROR(__xludf.DUMMYFUNCTION("""COMPUTED_VALUE"""),29839.666666666668)</f>
        <v>29839.66667</v>
      </c>
      <c r="B429" s="2">
        <f>IFERROR(__xludf.DUMMYFUNCTION("""COMPUTED_VALUE"""),13.07)</f>
        <v>13.07</v>
      </c>
      <c r="C429" s="2">
        <f>IFERROR(__xludf.DUMMYFUNCTION("""COMPUTED_VALUE"""),13.13)</f>
        <v>13.13</v>
      </c>
      <c r="D429" s="2">
        <f>IFERROR(__xludf.DUMMYFUNCTION("""COMPUTED_VALUE"""),12.92)</f>
        <v>12.92</v>
      </c>
      <c r="E429" s="2">
        <f>IFERROR(__xludf.DUMMYFUNCTION("""COMPUTED_VALUE"""),13.07)</f>
        <v>13.07</v>
      </c>
      <c r="F429" s="2">
        <f>IFERROR(__xludf.DUMMYFUNCTION("""COMPUTED_VALUE"""),439000.0)</f>
        <v>439000</v>
      </c>
    </row>
    <row r="430">
      <c r="A430" s="3">
        <f>IFERROR(__xludf.DUMMYFUNCTION("""COMPUTED_VALUE"""),29840.666666666668)</f>
        <v>29840.66667</v>
      </c>
      <c r="B430" s="2">
        <f>IFERROR(__xludf.DUMMYFUNCTION("""COMPUTED_VALUE"""),13.31)</f>
        <v>13.31</v>
      </c>
      <c r="C430" s="2">
        <f>IFERROR(__xludf.DUMMYFUNCTION("""COMPUTED_VALUE"""),13.4)</f>
        <v>13.4</v>
      </c>
      <c r="D430" s="2">
        <f>IFERROR(__xludf.DUMMYFUNCTION("""COMPUTED_VALUE"""),13.07)</f>
        <v>13.07</v>
      </c>
      <c r="E430" s="2">
        <f>IFERROR(__xludf.DUMMYFUNCTION("""COMPUTED_VALUE"""),13.31)</f>
        <v>13.31</v>
      </c>
      <c r="F430" s="2">
        <f>IFERROR(__xludf.DUMMYFUNCTION("""COMPUTED_VALUE"""),548000.0)</f>
        <v>548000</v>
      </c>
    </row>
    <row r="431">
      <c r="A431" s="3">
        <f>IFERROR(__xludf.DUMMYFUNCTION("""COMPUTED_VALUE"""),29843.666666666668)</f>
        <v>29843.66667</v>
      </c>
      <c r="B431" s="2">
        <f>IFERROR(__xludf.DUMMYFUNCTION("""COMPUTED_VALUE"""),13.34)</f>
        <v>13.34</v>
      </c>
      <c r="C431" s="2">
        <f>IFERROR(__xludf.DUMMYFUNCTION("""COMPUTED_VALUE"""),13.55)</f>
        <v>13.55</v>
      </c>
      <c r="D431" s="2">
        <f>IFERROR(__xludf.DUMMYFUNCTION("""COMPUTED_VALUE"""),13.13)</f>
        <v>13.13</v>
      </c>
      <c r="E431" s="2">
        <f>IFERROR(__xludf.DUMMYFUNCTION("""COMPUTED_VALUE"""),13.34)</f>
        <v>13.34</v>
      </c>
      <c r="F431" s="2">
        <f>IFERROR(__xludf.DUMMYFUNCTION("""COMPUTED_VALUE"""),387300.0)</f>
        <v>387300</v>
      </c>
    </row>
    <row r="432">
      <c r="A432" s="3">
        <f>IFERROR(__xludf.DUMMYFUNCTION("""COMPUTED_VALUE"""),29844.666666666668)</f>
        <v>29844.66667</v>
      </c>
      <c r="B432" s="2">
        <f>IFERROR(__xludf.DUMMYFUNCTION("""COMPUTED_VALUE"""),13.25)</f>
        <v>13.25</v>
      </c>
      <c r="C432" s="2">
        <f>IFERROR(__xludf.DUMMYFUNCTION("""COMPUTED_VALUE"""),13.49)</f>
        <v>13.49</v>
      </c>
      <c r="D432" s="2">
        <f>IFERROR(__xludf.DUMMYFUNCTION("""COMPUTED_VALUE"""),13.25)</f>
        <v>13.25</v>
      </c>
      <c r="E432" s="2">
        <f>IFERROR(__xludf.DUMMYFUNCTION("""COMPUTED_VALUE"""),13.25)</f>
        <v>13.25</v>
      </c>
      <c r="F432" s="2">
        <f>IFERROR(__xludf.DUMMYFUNCTION("""COMPUTED_VALUE"""),396600.0)</f>
        <v>396600</v>
      </c>
    </row>
    <row r="433">
      <c r="A433" s="3">
        <f>IFERROR(__xludf.DUMMYFUNCTION("""COMPUTED_VALUE"""),29845.666666666668)</f>
        <v>29845.66667</v>
      </c>
      <c r="B433" s="2">
        <f>IFERROR(__xludf.DUMMYFUNCTION("""COMPUTED_VALUE"""),13.1)</f>
        <v>13.1</v>
      </c>
      <c r="C433" s="2">
        <f>IFERROR(__xludf.DUMMYFUNCTION("""COMPUTED_VALUE"""),13.22)</f>
        <v>13.22</v>
      </c>
      <c r="D433" s="2">
        <f>IFERROR(__xludf.DUMMYFUNCTION("""COMPUTED_VALUE"""),13.01)</f>
        <v>13.01</v>
      </c>
      <c r="E433" s="2">
        <f>IFERROR(__xludf.DUMMYFUNCTION("""COMPUTED_VALUE"""),13.1)</f>
        <v>13.1</v>
      </c>
      <c r="F433" s="2">
        <f>IFERROR(__xludf.DUMMYFUNCTION("""COMPUTED_VALUE"""),372500.0)</f>
        <v>372500</v>
      </c>
    </row>
    <row r="434">
      <c r="A434" s="3">
        <f>IFERROR(__xludf.DUMMYFUNCTION("""COMPUTED_VALUE"""),29846.666666666668)</f>
        <v>29846.66667</v>
      </c>
      <c r="B434" s="2">
        <f>IFERROR(__xludf.DUMMYFUNCTION("""COMPUTED_VALUE"""),12.92)</f>
        <v>12.92</v>
      </c>
      <c r="C434" s="2">
        <f>IFERROR(__xludf.DUMMYFUNCTION("""COMPUTED_VALUE"""),13.16)</f>
        <v>13.16</v>
      </c>
      <c r="D434" s="2">
        <f>IFERROR(__xludf.DUMMYFUNCTION("""COMPUTED_VALUE"""),12.78)</f>
        <v>12.78</v>
      </c>
      <c r="E434" s="2">
        <f>IFERROR(__xludf.DUMMYFUNCTION("""COMPUTED_VALUE"""),12.92)</f>
        <v>12.92</v>
      </c>
      <c r="F434" s="2">
        <f>IFERROR(__xludf.DUMMYFUNCTION("""COMPUTED_VALUE"""),551600.0)</f>
        <v>551600</v>
      </c>
    </row>
    <row r="435">
      <c r="A435" s="3">
        <f>IFERROR(__xludf.DUMMYFUNCTION("""COMPUTED_VALUE"""),29847.666666666668)</f>
        <v>29847.66667</v>
      </c>
      <c r="B435" s="2">
        <f>IFERROR(__xludf.DUMMYFUNCTION("""COMPUTED_VALUE"""),12.89)</f>
        <v>12.89</v>
      </c>
      <c r="C435" s="2">
        <f>IFERROR(__xludf.DUMMYFUNCTION("""COMPUTED_VALUE"""),13.01)</f>
        <v>13.01</v>
      </c>
      <c r="D435" s="2">
        <f>IFERROR(__xludf.DUMMYFUNCTION("""COMPUTED_VALUE"""),12.86)</f>
        <v>12.86</v>
      </c>
      <c r="E435" s="2">
        <f>IFERROR(__xludf.DUMMYFUNCTION("""COMPUTED_VALUE"""),12.89)</f>
        <v>12.89</v>
      </c>
      <c r="F435" s="2">
        <f>IFERROR(__xludf.DUMMYFUNCTION("""COMPUTED_VALUE"""),346100.0)</f>
        <v>346100</v>
      </c>
    </row>
    <row r="436">
      <c r="A436" s="3">
        <f>IFERROR(__xludf.DUMMYFUNCTION("""COMPUTED_VALUE"""),29850.666666666668)</f>
        <v>29850.66667</v>
      </c>
      <c r="B436" s="2">
        <f>IFERROR(__xludf.DUMMYFUNCTION("""COMPUTED_VALUE"""),13.1)</f>
        <v>13.1</v>
      </c>
      <c r="C436" s="2">
        <f>IFERROR(__xludf.DUMMYFUNCTION("""COMPUTED_VALUE"""),13.16)</f>
        <v>13.16</v>
      </c>
      <c r="D436" s="2">
        <f>IFERROR(__xludf.DUMMYFUNCTION("""COMPUTED_VALUE"""),12.84)</f>
        <v>12.84</v>
      </c>
      <c r="E436" s="2">
        <f>IFERROR(__xludf.DUMMYFUNCTION("""COMPUTED_VALUE"""),13.1)</f>
        <v>13.1</v>
      </c>
      <c r="F436" s="2">
        <f>IFERROR(__xludf.DUMMYFUNCTION("""COMPUTED_VALUE"""),462500.0)</f>
        <v>462500</v>
      </c>
    </row>
    <row r="437">
      <c r="A437" s="3">
        <f>IFERROR(__xludf.DUMMYFUNCTION("""COMPUTED_VALUE"""),29851.666666666668)</f>
        <v>29851.66667</v>
      </c>
      <c r="B437" s="2">
        <f>IFERROR(__xludf.DUMMYFUNCTION("""COMPUTED_VALUE"""),12.98)</f>
        <v>12.98</v>
      </c>
      <c r="C437" s="2">
        <f>IFERROR(__xludf.DUMMYFUNCTION("""COMPUTED_VALUE"""),13.13)</f>
        <v>13.13</v>
      </c>
      <c r="D437" s="2">
        <f>IFERROR(__xludf.DUMMYFUNCTION("""COMPUTED_VALUE"""),12.92)</f>
        <v>12.92</v>
      </c>
      <c r="E437" s="2">
        <f>IFERROR(__xludf.DUMMYFUNCTION("""COMPUTED_VALUE"""),12.98)</f>
        <v>12.98</v>
      </c>
      <c r="F437" s="2">
        <f>IFERROR(__xludf.DUMMYFUNCTION("""COMPUTED_VALUE"""),427300.0)</f>
        <v>427300</v>
      </c>
    </row>
    <row r="438">
      <c r="A438" s="3">
        <f>IFERROR(__xludf.DUMMYFUNCTION("""COMPUTED_VALUE"""),29852.666666666668)</f>
        <v>29852.66667</v>
      </c>
      <c r="B438" s="2">
        <f>IFERROR(__xludf.DUMMYFUNCTION("""COMPUTED_VALUE"""),13.01)</f>
        <v>13.01</v>
      </c>
      <c r="C438" s="2">
        <f>IFERROR(__xludf.DUMMYFUNCTION("""COMPUTED_VALUE"""),13.04)</f>
        <v>13.04</v>
      </c>
      <c r="D438" s="2">
        <f>IFERROR(__xludf.DUMMYFUNCTION("""COMPUTED_VALUE"""),12.75)</f>
        <v>12.75</v>
      </c>
      <c r="E438" s="2">
        <f>IFERROR(__xludf.DUMMYFUNCTION("""COMPUTED_VALUE"""),13.01)</f>
        <v>13.01</v>
      </c>
      <c r="F438" s="2">
        <f>IFERROR(__xludf.DUMMYFUNCTION("""COMPUTED_VALUE"""),389800.0)</f>
        <v>389800</v>
      </c>
    </row>
    <row r="439">
      <c r="A439" s="3">
        <f>IFERROR(__xludf.DUMMYFUNCTION("""COMPUTED_VALUE"""),29853.666666666668)</f>
        <v>29853.66667</v>
      </c>
      <c r="B439" s="2">
        <f>IFERROR(__xludf.DUMMYFUNCTION("""COMPUTED_VALUE"""),13.04)</f>
        <v>13.04</v>
      </c>
      <c r="C439" s="2">
        <f>IFERROR(__xludf.DUMMYFUNCTION("""COMPUTED_VALUE"""),13.19)</f>
        <v>13.19</v>
      </c>
      <c r="D439" s="2">
        <f>IFERROR(__xludf.DUMMYFUNCTION("""COMPUTED_VALUE"""),12.95)</f>
        <v>12.95</v>
      </c>
      <c r="E439" s="2">
        <f>IFERROR(__xludf.DUMMYFUNCTION("""COMPUTED_VALUE"""),13.04)</f>
        <v>13.04</v>
      </c>
      <c r="F439" s="2">
        <f>IFERROR(__xludf.DUMMYFUNCTION("""COMPUTED_VALUE"""),497600.0)</f>
        <v>497600</v>
      </c>
    </row>
    <row r="440">
      <c r="A440" s="3">
        <f>IFERROR(__xludf.DUMMYFUNCTION("""COMPUTED_VALUE"""),29854.666666666668)</f>
        <v>29854.66667</v>
      </c>
      <c r="B440" s="2">
        <f>IFERROR(__xludf.DUMMYFUNCTION("""COMPUTED_VALUE"""),12.81)</f>
        <v>12.81</v>
      </c>
      <c r="C440" s="2">
        <f>IFERROR(__xludf.DUMMYFUNCTION("""COMPUTED_VALUE"""),12.95)</f>
        <v>12.95</v>
      </c>
      <c r="D440" s="2">
        <f>IFERROR(__xludf.DUMMYFUNCTION("""COMPUTED_VALUE"""),12.72)</f>
        <v>12.72</v>
      </c>
      <c r="E440" s="2">
        <f>IFERROR(__xludf.DUMMYFUNCTION("""COMPUTED_VALUE"""),12.81)</f>
        <v>12.81</v>
      </c>
      <c r="F440" s="2">
        <f>IFERROR(__xludf.DUMMYFUNCTION("""COMPUTED_VALUE"""),524200.0)</f>
        <v>524200</v>
      </c>
    </row>
    <row r="441">
      <c r="A441" s="3">
        <f>IFERROR(__xludf.DUMMYFUNCTION("""COMPUTED_VALUE"""),29857.666666666668)</f>
        <v>29857.66667</v>
      </c>
      <c r="B441" s="2">
        <f>IFERROR(__xludf.DUMMYFUNCTION("""COMPUTED_VALUE"""),13.1)</f>
        <v>13.1</v>
      </c>
      <c r="C441" s="2">
        <f>IFERROR(__xludf.DUMMYFUNCTION("""COMPUTED_VALUE"""),13.13)</f>
        <v>13.13</v>
      </c>
      <c r="D441" s="2">
        <f>IFERROR(__xludf.DUMMYFUNCTION("""COMPUTED_VALUE"""),12.48)</f>
        <v>12.48</v>
      </c>
      <c r="E441" s="2">
        <f>IFERROR(__xludf.DUMMYFUNCTION("""COMPUTED_VALUE"""),13.1)</f>
        <v>13.1</v>
      </c>
      <c r="F441" s="2">
        <f>IFERROR(__xludf.DUMMYFUNCTION("""COMPUTED_VALUE"""),820000.0)</f>
        <v>820000</v>
      </c>
    </row>
    <row r="442">
      <c r="A442" s="3">
        <f>IFERROR(__xludf.DUMMYFUNCTION("""COMPUTED_VALUE"""),29858.666666666668)</f>
        <v>29858.66667</v>
      </c>
      <c r="B442" s="2">
        <f>IFERROR(__xludf.DUMMYFUNCTION("""COMPUTED_VALUE"""),12.69)</f>
        <v>12.69</v>
      </c>
      <c r="C442" s="2">
        <f>IFERROR(__xludf.DUMMYFUNCTION("""COMPUTED_VALUE"""),13.1)</f>
        <v>13.1</v>
      </c>
      <c r="D442" s="2">
        <f>IFERROR(__xludf.DUMMYFUNCTION("""COMPUTED_VALUE"""),12.69)</f>
        <v>12.69</v>
      </c>
      <c r="E442" s="2">
        <f>IFERROR(__xludf.DUMMYFUNCTION("""COMPUTED_VALUE"""),12.69)</f>
        <v>12.69</v>
      </c>
      <c r="F442" s="2">
        <f>IFERROR(__xludf.DUMMYFUNCTION("""COMPUTED_VALUE"""),533100.0)</f>
        <v>533100</v>
      </c>
    </row>
    <row r="443">
      <c r="A443" s="3">
        <f>IFERROR(__xludf.DUMMYFUNCTION("""COMPUTED_VALUE"""),29859.666666666668)</f>
        <v>29859.66667</v>
      </c>
      <c r="B443" s="2">
        <f>IFERROR(__xludf.DUMMYFUNCTION("""COMPUTED_VALUE"""),12.92)</f>
        <v>12.92</v>
      </c>
      <c r="C443" s="2">
        <f>IFERROR(__xludf.DUMMYFUNCTION("""COMPUTED_VALUE"""),13.01)</f>
        <v>13.01</v>
      </c>
      <c r="D443" s="2">
        <f>IFERROR(__xludf.DUMMYFUNCTION("""COMPUTED_VALUE"""),12.69)</f>
        <v>12.69</v>
      </c>
      <c r="E443" s="2">
        <f>IFERROR(__xludf.DUMMYFUNCTION("""COMPUTED_VALUE"""),12.92)</f>
        <v>12.92</v>
      </c>
      <c r="F443" s="2">
        <f>IFERROR(__xludf.DUMMYFUNCTION("""COMPUTED_VALUE"""),529900.0)</f>
        <v>529900</v>
      </c>
    </row>
    <row r="444">
      <c r="A444" s="3">
        <f>IFERROR(__xludf.DUMMYFUNCTION("""COMPUTED_VALUE"""),29860.666666666668)</f>
        <v>29860.66667</v>
      </c>
      <c r="B444" s="2">
        <f>IFERROR(__xludf.DUMMYFUNCTION("""COMPUTED_VALUE"""),12.89)</f>
        <v>12.89</v>
      </c>
      <c r="C444" s="2">
        <f>IFERROR(__xludf.DUMMYFUNCTION("""COMPUTED_VALUE"""),12.98)</f>
        <v>12.98</v>
      </c>
      <c r="D444" s="2">
        <f>IFERROR(__xludf.DUMMYFUNCTION("""COMPUTED_VALUE"""),12.84)</f>
        <v>12.84</v>
      </c>
      <c r="E444" s="2">
        <f>IFERROR(__xludf.DUMMYFUNCTION("""COMPUTED_VALUE"""),12.89)</f>
        <v>12.89</v>
      </c>
      <c r="F444" s="2">
        <f>IFERROR(__xludf.DUMMYFUNCTION("""COMPUTED_VALUE"""),461900.0)</f>
        <v>461900</v>
      </c>
    </row>
    <row r="445">
      <c r="A445" s="3">
        <f>IFERROR(__xludf.DUMMYFUNCTION("""COMPUTED_VALUE"""),29861.666666666668)</f>
        <v>29861.66667</v>
      </c>
      <c r="B445" s="2">
        <f>IFERROR(__xludf.DUMMYFUNCTION("""COMPUTED_VALUE"""),13.13)</f>
        <v>13.13</v>
      </c>
      <c r="C445" s="2">
        <f>IFERROR(__xludf.DUMMYFUNCTION("""COMPUTED_VALUE"""),13.16)</f>
        <v>13.16</v>
      </c>
      <c r="D445" s="2">
        <f>IFERROR(__xludf.DUMMYFUNCTION("""COMPUTED_VALUE"""),12.95)</f>
        <v>12.95</v>
      </c>
      <c r="E445" s="2">
        <f>IFERROR(__xludf.DUMMYFUNCTION("""COMPUTED_VALUE"""),13.13)</f>
        <v>13.13</v>
      </c>
      <c r="F445" s="2">
        <f>IFERROR(__xludf.DUMMYFUNCTION("""COMPUTED_VALUE"""),630200.0)</f>
        <v>630200</v>
      </c>
    </row>
    <row r="446">
      <c r="A446" s="3">
        <f>IFERROR(__xludf.DUMMYFUNCTION("""COMPUTED_VALUE"""),29864.666666666668)</f>
        <v>29864.66667</v>
      </c>
      <c r="B446" s="2">
        <f>IFERROR(__xludf.DUMMYFUNCTION("""COMPUTED_VALUE"""),13.16)</f>
        <v>13.16</v>
      </c>
      <c r="C446" s="2">
        <f>IFERROR(__xludf.DUMMYFUNCTION("""COMPUTED_VALUE"""),13.25)</f>
        <v>13.25</v>
      </c>
      <c r="D446" s="2">
        <f>IFERROR(__xludf.DUMMYFUNCTION("""COMPUTED_VALUE"""),13.07)</f>
        <v>13.07</v>
      </c>
      <c r="E446" s="2">
        <f>IFERROR(__xludf.DUMMYFUNCTION("""COMPUTED_VALUE"""),13.16)</f>
        <v>13.16</v>
      </c>
      <c r="F446" s="2">
        <f>IFERROR(__xludf.DUMMYFUNCTION("""COMPUTED_VALUE"""),584700.0)</f>
        <v>584700</v>
      </c>
    </row>
    <row r="447">
      <c r="A447" s="3">
        <f>IFERROR(__xludf.DUMMYFUNCTION("""COMPUTED_VALUE"""),29865.666666666668)</f>
        <v>29865.66667</v>
      </c>
      <c r="B447" s="2">
        <f>IFERROR(__xludf.DUMMYFUNCTION("""COMPUTED_VALUE"""),12.95)</f>
        <v>12.95</v>
      </c>
      <c r="C447" s="2">
        <f>IFERROR(__xludf.DUMMYFUNCTION("""COMPUTED_VALUE"""),13.16)</f>
        <v>13.16</v>
      </c>
      <c r="D447" s="2">
        <f>IFERROR(__xludf.DUMMYFUNCTION("""COMPUTED_VALUE"""),12.95)</f>
        <v>12.95</v>
      </c>
      <c r="E447" s="2">
        <f>IFERROR(__xludf.DUMMYFUNCTION("""COMPUTED_VALUE"""),12.95)</f>
        <v>12.95</v>
      </c>
      <c r="F447" s="2">
        <f>IFERROR(__xludf.DUMMYFUNCTION("""COMPUTED_VALUE"""),402700.0)</f>
        <v>402700</v>
      </c>
    </row>
    <row r="448">
      <c r="A448" s="3">
        <f>IFERROR(__xludf.DUMMYFUNCTION("""COMPUTED_VALUE"""),29866.666666666668)</f>
        <v>29866.66667</v>
      </c>
      <c r="B448" s="2">
        <f>IFERROR(__xludf.DUMMYFUNCTION("""COMPUTED_VALUE"""),13.13)</f>
        <v>13.13</v>
      </c>
      <c r="C448" s="2">
        <f>IFERROR(__xludf.DUMMYFUNCTION("""COMPUTED_VALUE"""),13.13)</f>
        <v>13.13</v>
      </c>
      <c r="D448" s="2">
        <f>IFERROR(__xludf.DUMMYFUNCTION("""COMPUTED_VALUE"""),12.92)</f>
        <v>12.92</v>
      </c>
      <c r="E448" s="2">
        <f>IFERROR(__xludf.DUMMYFUNCTION("""COMPUTED_VALUE"""),13.13)</f>
        <v>13.13</v>
      </c>
      <c r="F448" s="2">
        <f>IFERROR(__xludf.DUMMYFUNCTION("""COMPUTED_VALUE"""),395100.0)</f>
        <v>395100</v>
      </c>
    </row>
    <row r="449">
      <c r="A449" s="3">
        <f>IFERROR(__xludf.DUMMYFUNCTION("""COMPUTED_VALUE"""),29867.666666666668)</f>
        <v>29867.66667</v>
      </c>
      <c r="B449" s="2">
        <f>IFERROR(__xludf.DUMMYFUNCTION("""COMPUTED_VALUE"""),13.25)</f>
        <v>13.25</v>
      </c>
      <c r="C449" s="2">
        <f>IFERROR(__xludf.DUMMYFUNCTION("""COMPUTED_VALUE"""),13.25)</f>
        <v>13.25</v>
      </c>
      <c r="D449" s="2">
        <f>IFERROR(__xludf.DUMMYFUNCTION("""COMPUTED_VALUE"""),13.01)</f>
        <v>13.01</v>
      </c>
      <c r="E449" s="2">
        <f>IFERROR(__xludf.DUMMYFUNCTION("""COMPUTED_VALUE"""),13.25)</f>
        <v>13.25</v>
      </c>
      <c r="F449" s="2">
        <f>IFERROR(__xludf.DUMMYFUNCTION("""COMPUTED_VALUE"""),518600.0)</f>
        <v>518600</v>
      </c>
    </row>
    <row r="450">
      <c r="A450" s="3">
        <f>IFERROR(__xludf.DUMMYFUNCTION("""COMPUTED_VALUE"""),29868.666666666668)</f>
        <v>29868.66667</v>
      </c>
      <c r="B450" s="2">
        <f>IFERROR(__xludf.DUMMYFUNCTION("""COMPUTED_VALUE"""),13.34)</f>
        <v>13.34</v>
      </c>
      <c r="C450" s="2">
        <f>IFERROR(__xludf.DUMMYFUNCTION("""COMPUTED_VALUE"""),13.43)</f>
        <v>13.43</v>
      </c>
      <c r="D450" s="2">
        <f>IFERROR(__xludf.DUMMYFUNCTION("""COMPUTED_VALUE"""),13.16)</f>
        <v>13.16</v>
      </c>
      <c r="E450" s="2">
        <f>IFERROR(__xludf.DUMMYFUNCTION("""COMPUTED_VALUE"""),13.34)</f>
        <v>13.34</v>
      </c>
      <c r="F450" s="2">
        <f>IFERROR(__xludf.DUMMYFUNCTION("""COMPUTED_VALUE"""),979800.0)</f>
        <v>979800</v>
      </c>
    </row>
    <row r="451">
      <c r="A451" s="3">
        <f>IFERROR(__xludf.DUMMYFUNCTION("""COMPUTED_VALUE"""),29871.666666666668)</f>
        <v>29871.66667</v>
      </c>
      <c r="B451" s="2">
        <f>IFERROR(__xludf.DUMMYFUNCTION("""COMPUTED_VALUE"""),13.25)</f>
        <v>13.25</v>
      </c>
      <c r="C451" s="2">
        <f>IFERROR(__xludf.DUMMYFUNCTION("""COMPUTED_VALUE"""),13.37)</f>
        <v>13.37</v>
      </c>
      <c r="D451" s="2">
        <f>IFERROR(__xludf.DUMMYFUNCTION("""COMPUTED_VALUE"""),13.16)</f>
        <v>13.16</v>
      </c>
      <c r="E451" s="2">
        <f>IFERROR(__xludf.DUMMYFUNCTION("""COMPUTED_VALUE"""),13.25)</f>
        <v>13.25</v>
      </c>
      <c r="F451" s="2">
        <f>IFERROR(__xludf.DUMMYFUNCTION("""COMPUTED_VALUE"""),536100.0)</f>
        <v>536100</v>
      </c>
    </row>
    <row r="452">
      <c r="A452" s="3">
        <f>IFERROR(__xludf.DUMMYFUNCTION("""COMPUTED_VALUE"""),29872.666666666668)</f>
        <v>29872.66667</v>
      </c>
      <c r="B452" s="2">
        <f>IFERROR(__xludf.DUMMYFUNCTION("""COMPUTED_VALUE"""),12.84)</f>
        <v>12.84</v>
      </c>
      <c r="C452" s="2">
        <f>IFERROR(__xludf.DUMMYFUNCTION("""COMPUTED_VALUE"""),13.16)</f>
        <v>13.16</v>
      </c>
      <c r="D452" s="2">
        <f>IFERROR(__xludf.DUMMYFUNCTION("""COMPUTED_VALUE"""),12.78)</f>
        <v>12.78</v>
      </c>
      <c r="E452" s="2">
        <f>IFERROR(__xludf.DUMMYFUNCTION("""COMPUTED_VALUE"""),12.84)</f>
        <v>12.84</v>
      </c>
      <c r="F452" s="2">
        <f>IFERROR(__xludf.DUMMYFUNCTION("""COMPUTED_VALUE"""),814800.0)</f>
        <v>814800</v>
      </c>
    </row>
    <row r="453">
      <c r="A453" s="3">
        <f>IFERROR(__xludf.DUMMYFUNCTION("""COMPUTED_VALUE"""),29873.666666666668)</f>
        <v>29873.66667</v>
      </c>
      <c r="B453" s="2">
        <f>IFERROR(__xludf.DUMMYFUNCTION("""COMPUTED_VALUE"""),12.54)</f>
        <v>12.54</v>
      </c>
      <c r="C453" s="2">
        <f>IFERROR(__xludf.DUMMYFUNCTION("""COMPUTED_VALUE"""),12.75)</f>
        <v>12.75</v>
      </c>
      <c r="D453" s="2">
        <f>IFERROR(__xludf.DUMMYFUNCTION("""COMPUTED_VALUE"""),12.48)</f>
        <v>12.48</v>
      </c>
      <c r="E453" s="2">
        <f>IFERROR(__xludf.DUMMYFUNCTION("""COMPUTED_VALUE"""),12.54)</f>
        <v>12.54</v>
      </c>
      <c r="F453" s="2">
        <f>IFERROR(__xludf.DUMMYFUNCTION("""COMPUTED_VALUE"""),916400.0)</f>
        <v>916400</v>
      </c>
    </row>
    <row r="454">
      <c r="A454" s="3">
        <f>IFERROR(__xludf.DUMMYFUNCTION("""COMPUTED_VALUE"""),29874.666666666668)</f>
        <v>29874.66667</v>
      </c>
      <c r="B454" s="2">
        <f>IFERROR(__xludf.DUMMYFUNCTION("""COMPUTED_VALUE"""),12.48)</f>
        <v>12.48</v>
      </c>
      <c r="C454" s="2">
        <f>IFERROR(__xludf.DUMMYFUNCTION("""COMPUTED_VALUE"""),12.63)</f>
        <v>12.63</v>
      </c>
      <c r="D454" s="2">
        <f>IFERROR(__xludf.DUMMYFUNCTION("""COMPUTED_VALUE"""),12.45)</f>
        <v>12.45</v>
      </c>
      <c r="E454" s="2">
        <f>IFERROR(__xludf.DUMMYFUNCTION("""COMPUTED_VALUE"""),12.48)</f>
        <v>12.48</v>
      </c>
      <c r="F454" s="2">
        <f>IFERROR(__xludf.DUMMYFUNCTION("""COMPUTED_VALUE"""),503600.0)</f>
        <v>503600</v>
      </c>
    </row>
    <row r="455">
      <c r="A455" s="3">
        <f>IFERROR(__xludf.DUMMYFUNCTION("""COMPUTED_VALUE"""),29875.666666666668)</f>
        <v>29875.66667</v>
      </c>
      <c r="B455" s="2">
        <f>IFERROR(__xludf.DUMMYFUNCTION("""COMPUTED_VALUE"""),12.24)</f>
        <v>12.24</v>
      </c>
      <c r="C455" s="2">
        <f>IFERROR(__xludf.DUMMYFUNCTION("""COMPUTED_VALUE"""),12.51)</f>
        <v>12.51</v>
      </c>
      <c r="D455" s="2">
        <f>IFERROR(__xludf.DUMMYFUNCTION("""COMPUTED_VALUE"""),12.18)</f>
        <v>12.18</v>
      </c>
      <c r="E455" s="2">
        <f>IFERROR(__xludf.DUMMYFUNCTION("""COMPUTED_VALUE"""),12.24)</f>
        <v>12.24</v>
      </c>
      <c r="F455" s="2">
        <f>IFERROR(__xludf.DUMMYFUNCTION("""COMPUTED_VALUE"""),584600.0)</f>
        <v>584600</v>
      </c>
    </row>
    <row r="456">
      <c r="A456" s="3">
        <f>IFERROR(__xludf.DUMMYFUNCTION("""COMPUTED_VALUE"""),29878.666666666668)</f>
        <v>29878.66667</v>
      </c>
      <c r="B456" s="2">
        <f>IFERROR(__xludf.DUMMYFUNCTION("""COMPUTED_VALUE"""),12.24)</f>
        <v>12.24</v>
      </c>
      <c r="C456" s="2">
        <f>IFERROR(__xludf.DUMMYFUNCTION("""COMPUTED_VALUE"""),12.33)</f>
        <v>12.33</v>
      </c>
      <c r="D456" s="2">
        <f>IFERROR(__xludf.DUMMYFUNCTION("""COMPUTED_VALUE"""),12.09)</f>
        <v>12.09</v>
      </c>
      <c r="E456" s="2">
        <f>IFERROR(__xludf.DUMMYFUNCTION("""COMPUTED_VALUE"""),12.24)</f>
        <v>12.24</v>
      </c>
      <c r="F456" s="2">
        <f>IFERROR(__xludf.DUMMYFUNCTION("""COMPUTED_VALUE"""),730400.0)</f>
        <v>730400</v>
      </c>
    </row>
    <row r="457">
      <c r="A457" s="3">
        <f>IFERROR(__xludf.DUMMYFUNCTION("""COMPUTED_VALUE"""),29879.666666666668)</f>
        <v>29879.66667</v>
      </c>
      <c r="B457" s="2">
        <f>IFERROR(__xludf.DUMMYFUNCTION("""COMPUTED_VALUE"""),12.33)</f>
        <v>12.33</v>
      </c>
      <c r="C457" s="2">
        <f>IFERROR(__xludf.DUMMYFUNCTION("""COMPUTED_VALUE"""),12.39)</f>
        <v>12.39</v>
      </c>
      <c r="D457" s="2">
        <f>IFERROR(__xludf.DUMMYFUNCTION("""COMPUTED_VALUE"""),12.3)</f>
        <v>12.3</v>
      </c>
      <c r="E457" s="2">
        <f>IFERROR(__xludf.DUMMYFUNCTION("""COMPUTED_VALUE"""),12.33)</f>
        <v>12.33</v>
      </c>
      <c r="F457" s="2">
        <f>IFERROR(__xludf.DUMMYFUNCTION("""COMPUTED_VALUE"""),443300.0)</f>
        <v>443300</v>
      </c>
    </row>
    <row r="458">
      <c r="A458" s="3">
        <f>IFERROR(__xludf.DUMMYFUNCTION("""COMPUTED_VALUE"""),29880.666666666668)</f>
        <v>29880.66667</v>
      </c>
      <c r="B458" s="2">
        <f>IFERROR(__xludf.DUMMYFUNCTION("""COMPUTED_VALUE"""),12.27)</f>
        <v>12.27</v>
      </c>
      <c r="C458" s="2">
        <f>IFERROR(__xludf.DUMMYFUNCTION("""COMPUTED_VALUE"""),12.48)</f>
        <v>12.48</v>
      </c>
      <c r="D458" s="2">
        <f>IFERROR(__xludf.DUMMYFUNCTION("""COMPUTED_VALUE"""),12.21)</f>
        <v>12.21</v>
      </c>
      <c r="E458" s="2">
        <f>IFERROR(__xludf.DUMMYFUNCTION("""COMPUTED_VALUE"""),12.27)</f>
        <v>12.27</v>
      </c>
      <c r="F458" s="2">
        <f>IFERROR(__xludf.DUMMYFUNCTION("""COMPUTED_VALUE"""),478100.0)</f>
        <v>478100</v>
      </c>
    </row>
    <row r="459">
      <c r="A459" s="3">
        <f>IFERROR(__xludf.DUMMYFUNCTION("""COMPUTED_VALUE"""),29881.666666666668)</f>
        <v>29881.66667</v>
      </c>
      <c r="B459" s="2">
        <f>IFERROR(__xludf.DUMMYFUNCTION("""COMPUTED_VALUE"""),12.21)</f>
        <v>12.21</v>
      </c>
      <c r="C459" s="2">
        <f>IFERROR(__xludf.DUMMYFUNCTION("""COMPUTED_VALUE"""),12.33)</f>
        <v>12.33</v>
      </c>
      <c r="D459" s="2">
        <f>IFERROR(__xludf.DUMMYFUNCTION("""COMPUTED_VALUE"""),12.15)</f>
        <v>12.15</v>
      </c>
      <c r="E459" s="2">
        <f>IFERROR(__xludf.DUMMYFUNCTION("""COMPUTED_VALUE"""),12.21)</f>
        <v>12.21</v>
      </c>
      <c r="F459" s="2">
        <f>IFERROR(__xludf.DUMMYFUNCTION("""COMPUTED_VALUE"""),259300.0)</f>
        <v>259300</v>
      </c>
    </row>
    <row r="460">
      <c r="A460" s="3">
        <f>IFERROR(__xludf.DUMMYFUNCTION("""COMPUTED_VALUE"""),29882.666666666668)</f>
        <v>29882.66667</v>
      </c>
      <c r="B460" s="2">
        <f>IFERROR(__xludf.DUMMYFUNCTION("""COMPUTED_VALUE"""),12.18)</f>
        <v>12.18</v>
      </c>
      <c r="C460" s="2">
        <f>IFERROR(__xludf.DUMMYFUNCTION("""COMPUTED_VALUE"""),12.21)</f>
        <v>12.21</v>
      </c>
      <c r="D460" s="2">
        <f>IFERROR(__xludf.DUMMYFUNCTION("""COMPUTED_VALUE"""),12.12)</f>
        <v>12.12</v>
      </c>
      <c r="E460" s="2">
        <f>IFERROR(__xludf.DUMMYFUNCTION("""COMPUTED_VALUE"""),12.18)</f>
        <v>12.18</v>
      </c>
      <c r="F460" s="2">
        <f>IFERROR(__xludf.DUMMYFUNCTION("""COMPUTED_VALUE"""),424800.0)</f>
        <v>424800</v>
      </c>
    </row>
    <row r="461">
      <c r="A461" s="3">
        <f>IFERROR(__xludf.DUMMYFUNCTION("""COMPUTED_VALUE"""),29885.666666666668)</f>
        <v>29885.66667</v>
      </c>
      <c r="B461" s="2">
        <f>IFERROR(__xludf.DUMMYFUNCTION("""COMPUTED_VALUE"""),12.09)</f>
        <v>12.09</v>
      </c>
      <c r="C461" s="2">
        <f>IFERROR(__xludf.DUMMYFUNCTION("""COMPUTED_VALUE"""),12.15)</f>
        <v>12.15</v>
      </c>
      <c r="D461" s="2">
        <f>IFERROR(__xludf.DUMMYFUNCTION("""COMPUTED_VALUE"""),12.03)</f>
        <v>12.03</v>
      </c>
      <c r="E461" s="2">
        <f>IFERROR(__xludf.DUMMYFUNCTION("""COMPUTED_VALUE"""),12.09)</f>
        <v>12.09</v>
      </c>
      <c r="F461" s="2">
        <f>IFERROR(__xludf.DUMMYFUNCTION("""COMPUTED_VALUE"""),360300.0)</f>
        <v>360300</v>
      </c>
    </row>
    <row r="462">
      <c r="A462" s="3">
        <f>IFERROR(__xludf.DUMMYFUNCTION("""COMPUTED_VALUE"""),29886.666666666668)</f>
        <v>29886.66667</v>
      </c>
      <c r="B462" s="2">
        <f>IFERROR(__xludf.DUMMYFUNCTION("""COMPUTED_VALUE"""),12.12)</f>
        <v>12.12</v>
      </c>
      <c r="C462" s="2">
        <f>IFERROR(__xludf.DUMMYFUNCTION("""COMPUTED_VALUE"""),12.24)</f>
        <v>12.24</v>
      </c>
      <c r="D462" s="2">
        <f>IFERROR(__xludf.DUMMYFUNCTION("""COMPUTED_VALUE"""),12.12)</f>
        <v>12.12</v>
      </c>
      <c r="E462" s="2">
        <f>IFERROR(__xludf.DUMMYFUNCTION("""COMPUTED_VALUE"""),12.12)</f>
        <v>12.12</v>
      </c>
      <c r="F462" s="2">
        <f>IFERROR(__xludf.DUMMYFUNCTION("""COMPUTED_VALUE"""),446800.0)</f>
        <v>446800</v>
      </c>
    </row>
    <row r="463">
      <c r="A463" s="3">
        <f>IFERROR(__xludf.DUMMYFUNCTION("""COMPUTED_VALUE"""),29887.666666666668)</f>
        <v>29887.66667</v>
      </c>
      <c r="B463" s="2">
        <f>IFERROR(__xludf.DUMMYFUNCTION("""COMPUTED_VALUE"""),11.82)</f>
        <v>11.82</v>
      </c>
      <c r="C463" s="2">
        <f>IFERROR(__xludf.DUMMYFUNCTION("""COMPUTED_VALUE"""),12.15)</f>
        <v>12.15</v>
      </c>
      <c r="D463" s="2">
        <f>IFERROR(__xludf.DUMMYFUNCTION("""COMPUTED_VALUE"""),11.82)</f>
        <v>11.82</v>
      </c>
      <c r="E463" s="2">
        <f>IFERROR(__xludf.DUMMYFUNCTION("""COMPUTED_VALUE"""),11.82)</f>
        <v>11.82</v>
      </c>
      <c r="F463" s="2">
        <f>IFERROR(__xludf.DUMMYFUNCTION("""COMPUTED_VALUE"""),801000.0)</f>
        <v>801000</v>
      </c>
    </row>
    <row r="464">
      <c r="A464" s="3">
        <f>IFERROR(__xludf.DUMMYFUNCTION("""COMPUTED_VALUE"""),29888.666666666668)</f>
        <v>29888.66667</v>
      </c>
      <c r="B464" s="2">
        <f>IFERROR(__xludf.DUMMYFUNCTION("""COMPUTED_VALUE"""),11.7)</f>
        <v>11.7</v>
      </c>
      <c r="C464" s="2">
        <f>IFERROR(__xludf.DUMMYFUNCTION("""COMPUTED_VALUE"""),11.88)</f>
        <v>11.88</v>
      </c>
      <c r="D464" s="2">
        <f>IFERROR(__xludf.DUMMYFUNCTION("""COMPUTED_VALUE"""),11.55)</f>
        <v>11.55</v>
      </c>
      <c r="E464" s="2">
        <f>IFERROR(__xludf.DUMMYFUNCTION("""COMPUTED_VALUE"""),11.7)</f>
        <v>11.7</v>
      </c>
      <c r="F464" s="2">
        <f>IFERROR(__xludf.DUMMYFUNCTION("""COMPUTED_VALUE"""),948500.0)</f>
        <v>948500</v>
      </c>
    </row>
    <row r="465">
      <c r="A465" s="3">
        <f>IFERROR(__xludf.DUMMYFUNCTION("""COMPUTED_VALUE"""),29889.666666666668)</f>
        <v>29889.66667</v>
      </c>
      <c r="B465" s="2">
        <f>IFERROR(__xludf.DUMMYFUNCTION("""COMPUTED_VALUE"""),12.3)</f>
        <v>12.3</v>
      </c>
      <c r="C465" s="2">
        <f>IFERROR(__xludf.DUMMYFUNCTION("""COMPUTED_VALUE"""),12.36)</f>
        <v>12.36</v>
      </c>
      <c r="D465" s="2">
        <f>IFERROR(__xludf.DUMMYFUNCTION("""COMPUTED_VALUE"""),11.73)</f>
        <v>11.73</v>
      </c>
      <c r="E465" s="2">
        <f>IFERROR(__xludf.DUMMYFUNCTION("""COMPUTED_VALUE"""),12.3)</f>
        <v>12.3</v>
      </c>
      <c r="F465" s="2">
        <f>IFERROR(__xludf.DUMMYFUNCTION("""COMPUTED_VALUE"""),876400.0)</f>
        <v>876400</v>
      </c>
    </row>
    <row r="466">
      <c r="A466" s="3">
        <f>IFERROR(__xludf.DUMMYFUNCTION("""COMPUTED_VALUE"""),29892.666666666668)</f>
        <v>29892.66667</v>
      </c>
      <c r="B466" s="2">
        <f>IFERROR(__xludf.DUMMYFUNCTION("""COMPUTED_VALUE"""),12.66)</f>
        <v>12.66</v>
      </c>
      <c r="C466" s="2">
        <f>IFERROR(__xludf.DUMMYFUNCTION("""COMPUTED_VALUE"""),12.69)</f>
        <v>12.69</v>
      </c>
      <c r="D466" s="2">
        <f>IFERROR(__xludf.DUMMYFUNCTION("""COMPUTED_VALUE"""),12.42)</f>
        <v>12.42</v>
      </c>
      <c r="E466" s="2">
        <f>IFERROR(__xludf.DUMMYFUNCTION("""COMPUTED_VALUE"""),12.66)</f>
        <v>12.66</v>
      </c>
      <c r="F466" s="2">
        <f>IFERROR(__xludf.DUMMYFUNCTION("""COMPUTED_VALUE"""),912100.0)</f>
        <v>912100</v>
      </c>
    </row>
    <row r="467">
      <c r="A467" s="3">
        <f>IFERROR(__xludf.DUMMYFUNCTION("""COMPUTED_VALUE"""),29893.666666666668)</f>
        <v>29893.66667</v>
      </c>
      <c r="B467" s="2">
        <f>IFERROR(__xludf.DUMMYFUNCTION("""COMPUTED_VALUE"""),12.66)</f>
        <v>12.66</v>
      </c>
      <c r="C467" s="2">
        <f>IFERROR(__xludf.DUMMYFUNCTION("""COMPUTED_VALUE"""),12.66)</f>
        <v>12.66</v>
      </c>
      <c r="D467" s="2">
        <f>IFERROR(__xludf.DUMMYFUNCTION("""COMPUTED_VALUE"""),12.48)</f>
        <v>12.48</v>
      </c>
      <c r="E467" s="2">
        <f>IFERROR(__xludf.DUMMYFUNCTION("""COMPUTED_VALUE"""),12.66)</f>
        <v>12.66</v>
      </c>
      <c r="F467" s="2">
        <f>IFERROR(__xludf.DUMMYFUNCTION("""COMPUTED_VALUE"""),707900.0)</f>
        <v>707900</v>
      </c>
    </row>
    <row r="468">
      <c r="A468" s="3">
        <f>IFERROR(__xludf.DUMMYFUNCTION("""COMPUTED_VALUE"""),29894.666666666668)</f>
        <v>29894.66667</v>
      </c>
      <c r="B468" s="2">
        <f>IFERROR(__xludf.DUMMYFUNCTION("""COMPUTED_VALUE"""),12.51)</f>
        <v>12.51</v>
      </c>
      <c r="C468" s="2">
        <f>IFERROR(__xludf.DUMMYFUNCTION("""COMPUTED_VALUE"""),12.51)</f>
        <v>12.51</v>
      </c>
      <c r="D468" s="2">
        <f>IFERROR(__xludf.DUMMYFUNCTION("""COMPUTED_VALUE"""),12.36)</f>
        <v>12.36</v>
      </c>
      <c r="E468" s="2">
        <f>IFERROR(__xludf.DUMMYFUNCTION("""COMPUTED_VALUE"""),12.51)</f>
        <v>12.51</v>
      </c>
      <c r="F468" s="2">
        <f>IFERROR(__xludf.DUMMYFUNCTION("""COMPUTED_VALUE"""),403300.0)</f>
        <v>403300</v>
      </c>
    </row>
    <row r="469">
      <c r="A469" s="3">
        <f>IFERROR(__xludf.DUMMYFUNCTION("""COMPUTED_VALUE"""),29895.666666666668)</f>
        <v>29895.66667</v>
      </c>
      <c r="B469" s="2">
        <f>IFERROR(__xludf.DUMMYFUNCTION("""COMPUTED_VALUE"""),12.3)</f>
        <v>12.3</v>
      </c>
      <c r="C469" s="2">
        <f>IFERROR(__xludf.DUMMYFUNCTION("""COMPUTED_VALUE"""),12.6)</f>
        <v>12.6</v>
      </c>
      <c r="D469" s="2">
        <f>IFERROR(__xludf.DUMMYFUNCTION("""COMPUTED_VALUE"""),12.3)</f>
        <v>12.3</v>
      </c>
      <c r="E469" s="2">
        <f>IFERROR(__xludf.DUMMYFUNCTION("""COMPUTED_VALUE"""),12.3)</f>
        <v>12.3</v>
      </c>
      <c r="F469" s="2">
        <f>IFERROR(__xludf.DUMMYFUNCTION("""COMPUTED_VALUE"""),466400.0)</f>
        <v>466400</v>
      </c>
    </row>
    <row r="470">
      <c r="A470" s="3">
        <f>IFERROR(__xludf.DUMMYFUNCTION("""COMPUTED_VALUE"""),29896.666666666668)</f>
        <v>29896.66667</v>
      </c>
      <c r="B470" s="2">
        <f>IFERROR(__xludf.DUMMYFUNCTION("""COMPUTED_VALUE"""),12.15)</f>
        <v>12.15</v>
      </c>
      <c r="C470" s="2">
        <f>IFERROR(__xludf.DUMMYFUNCTION("""COMPUTED_VALUE"""),12.36)</f>
        <v>12.36</v>
      </c>
      <c r="D470" s="2">
        <f>IFERROR(__xludf.DUMMYFUNCTION("""COMPUTED_VALUE"""),12.12)</f>
        <v>12.12</v>
      </c>
      <c r="E470" s="2">
        <f>IFERROR(__xludf.DUMMYFUNCTION("""COMPUTED_VALUE"""),12.15)</f>
        <v>12.15</v>
      </c>
      <c r="F470" s="2">
        <f>IFERROR(__xludf.DUMMYFUNCTION("""COMPUTED_VALUE"""),633900.0)</f>
        <v>633900</v>
      </c>
    </row>
    <row r="471">
      <c r="A471" s="3">
        <f>IFERROR(__xludf.DUMMYFUNCTION("""COMPUTED_VALUE"""),29899.666666666668)</f>
        <v>29899.66667</v>
      </c>
      <c r="B471" s="2">
        <f>IFERROR(__xludf.DUMMYFUNCTION("""COMPUTED_VALUE"""),12.33)</f>
        <v>12.33</v>
      </c>
      <c r="C471" s="2">
        <f>IFERROR(__xludf.DUMMYFUNCTION("""COMPUTED_VALUE"""),12.36)</f>
        <v>12.36</v>
      </c>
      <c r="D471" s="2">
        <f>IFERROR(__xludf.DUMMYFUNCTION("""COMPUTED_VALUE"""),12.15)</f>
        <v>12.15</v>
      </c>
      <c r="E471" s="2">
        <f>IFERROR(__xludf.DUMMYFUNCTION("""COMPUTED_VALUE"""),12.33)</f>
        <v>12.33</v>
      </c>
      <c r="F471" s="2">
        <f>IFERROR(__xludf.DUMMYFUNCTION("""COMPUTED_VALUE"""),520100.0)</f>
        <v>520100</v>
      </c>
    </row>
    <row r="472">
      <c r="A472" s="3">
        <f>IFERROR(__xludf.DUMMYFUNCTION("""COMPUTED_VALUE"""),29900.666666666668)</f>
        <v>29900.66667</v>
      </c>
      <c r="B472" s="2">
        <f>IFERROR(__xludf.DUMMYFUNCTION("""COMPUTED_VALUE"""),12.48)</f>
        <v>12.48</v>
      </c>
      <c r="C472" s="2">
        <f>IFERROR(__xludf.DUMMYFUNCTION("""COMPUTED_VALUE"""),12.66)</f>
        <v>12.66</v>
      </c>
      <c r="D472" s="2">
        <f>IFERROR(__xludf.DUMMYFUNCTION("""COMPUTED_VALUE"""),12.42)</f>
        <v>12.42</v>
      </c>
      <c r="E472" s="2">
        <f>IFERROR(__xludf.DUMMYFUNCTION("""COMPUTED_VALUE"""),12.48)</f>
        <v>12.48</v>
      </c>
      <c r="F472" s="2">
        <f>IFERROR(__xludf.DUMMYFUNCTION("""COMPUTED_VALUE"""),785700.0)</f>
        <v>785700</v>
      </c>
    </row>
    <row r="473">
      <c r="A473" s="3">
        <f>IFERROR(__xludf.DUMMYFUNCTION("""COMPUTED_VALUE"""),29901.666666666668)</f>
        <v>29901.66667</v>
      </c>
      <c r="B473" s="2">
        <f>IFERROR(__xludf.DUMMYFUNCTION("""COMPUTED_VALUE"""),12.54)</f>
        <v>12.54</v>
      </c>
      <c r="C473" s="2">
        <f>IFERROR(__xludf.DUMMYFUNCTION("""COMPUTED_VALUE"""),12.57)</f>
        <v>12.57</v>
      </c>
      <c r="D473" s="2">
        <f>IFERROR(__xludf.DUMMYFUNCTION("""COMPUTED_VALUE"""),12.24)</f>
        <v>12.24</v>
      </c>
      <c r="E473" s="2">
        <f>IFERROR(__xludf.DUMMYFUNCTION("""COMPUTED_VALUE"""),12.54)</f>
        <v>12.54</v>
      </c>
      <c r="F473" s="2">
        <f>IFERROR(__xludf.DUMMYFUNCTION("""COMPUTED_VALUE"""),371100.0)</f>
        <v>371100</v>
      </c>
    </row>
    <row r="474">
      <c r="A474" s="3">
        <f>IFERROR(__xludf.DUMMYFUNCTION("""COMPUTED_VALUE"""),29902.666666666668)</f>
        <v>29902.66667</v>
      </c>
      <c r="B474" s="2">
        <f>IFERROR(__xludf.DUMMYFUNCTION("""COMPUTED_VALUE"""),12.6)</f>
        <v>12.6</v>
      </c>
      <c r="C474" s="2">
        <f>IFERROR(__xludf.DUMMYFUNCTION("""COMPUTED_VALUE"""),12.69)</f>
        <v>12.69</v>
      </c>
      <c r="D474" s="2">
        <f>IFERROR(__xludf.DUMMYFUNCTION("""COMPUTED_VALUE"""),12.48)</f>
        <v>12.48</v>
      </c>
      <c r="E474" s="2">
        <f>IFERROR(__xludf.DUMMYFUNCTION("""COMPUTED_VALUE"""),12.6)</f>
        <v>12.6</v>
      </c>
      <c r="F474" s="2">
        <f>IFERROR(__xludf.DUMMYFUNCTION("""COMPUTED_VALUE"""),516000.0)</f>
        <v>516000</v>
      </c>
    </row>
    <row r="475">
      <c r="A475" s="3">
        <f>IFERROR(__xludf.DUMMYFUNCTION("""COMPUTED_VALUE"""),29903.666666666668)</f>
        <v>29903.66667</v>
      </c>
      <c r="B475" s="2">
        <f>IFERROR(__xludf.DUMMYFUNCTION("""COMPUTED_VALUE"""),12.33)</f>
        <v>12.33</v>
      </c>
      <c r="C475" s="2">
        <f>IFERROR(__xludf.DUMMYFUNCTION("""COMPUTED_VALUE"""),12.57)</f>
        <v>12.57</v>
      </c>
      <c r="D475" s="2">
        <f>IFERROR(__xludf.DUMMYFUNCTION("""COMPUTED_VALUE"""),12.3)</f>
        <v>12.3</v>
      </c>
      <c r="E475" s="2">
        <f>IFERROR(__xludf.DUMMYFUNCTION("""COMPUTED_VALUE"""),12.33)</f>
        <v>12.33</v>
      </c>
      <c r="F475" s="2">
        <f>IFERROR(__xludf.DUMMYFUNCTION("""COMPUTED_VALUE"""),418100.0)</f>
        <v>418100</v>
      </c>
    </row>
    <row r="476">
      <c r="A476" s="3">
        <f>IFERROR(__xludf.DUMMYFUNCTION("""COMPUTED_VALUE"""),29906.666666666668)</f>
        <v>29906.66667</v>
      </c>
      <c r="B476" s="2">
        <f>IFERROR(__xludf.DUMMYFUNCTION("""COMPUTED_VALUE"""),12.18)</f>
        <v>12.18</v>
      </c>
      <c r="C476" s="2">
        <f>IFERROR(__xludf.DUMMYFUNCTION("""COMPUTED_VALUE"""),12.24)</f>
        <v>12.24</v>
      </c>
      <c r="D476" s="2">
        <f>IFERROR(__xludf.DUMMYFUNCTION("""COMPUTED_VALUE"""),12.06)</f>
        <v>12.06</v>
      </c>
      <c r="E476" s="2">
        <f>IFERROR(__xludf.DUMMYFUNCTION("""COMPUTED_VALUE"""),12.18)</f>
        <v>12.18</v>
      </c>
      <c r="F476" s="2">
        <f>IFERROR(__xludf.DUMMYFUNCTION("""COMPUTED_VALUE"""),377300.0)</f>
        <v>377300</v>
      </c>
    </row>
    <row r="477">
      <c r="A477" s="3">
        <f>IFERROR(__xludf.DUMMYFUNCTION("""COMPUTED_VALUE"""),29907.666666666668)</f>
        <v>29907.66667</v>
      </c>
      <c r="B477" s="2">
        <f>IFERROR(__xludf.DUMMYFUNCTION("""COMPUTED_VALUE"""),12.18)</f>
        <v>12.18</v>
      </c>
      <c r="C477" s="2">
        <f>IFERROR(__xludf.DUMMYFUNCTION("""COMPUTED_VALUE"""),12.27)</f>
        <v>12.27</v>
      </c>
      <c r="D477" s="2">
        <f>IFERROR(__xludf.DUMMYFUNCTION("""COMPUTED_VALUE"""),12.09)</f>
        <v>12.09</v>
      </c>
      <c r="E477" s="2">
        <f>IFERROR(__xludf.DUMMYFUNCTION("""COMPUTED_VALUE"""),12.18)</f>
        <v>12.18</v>
      </c>
      <c r="F477" s="2">
        <f>IFERROR(__xludf.DUMMYFUNCTION("""COMPUTED_VALUE"""),472500.0)</f>
        <v>472500</v>
      </c>
    </row>
    <row r="478">
      <c r="A478" s="3">
        <f>IFERROR(__xludf.DUMMYFUNCTION("""COMPUTED_VALUE"""),29908.666666666668)</f>
        <v>29908.66667</v>
      </c>
      <c r="B478" s="2">
        <f>IFERROR(__xludf.DUMMYFUNCTION("""COMPUTED_VALUE"""),12.03)</f>
        <v>12.03</v>
      </c>
      <c r="C478" s="2">
        <f>IFERROR(__xludf.DUMMYFUNCTION("""COMPUTED_VALUE"""),12.21)</f>
        <v>12.21</v>
      </c>
      <c r="D478" s="2">
        <f>IFERROR(__xludf.DUMMYFUNCTION("""COMPUTED_VALUE"""),12.0)</f>
        <v>12</v>
      </c>
      <c r="E478" s="2">
        <f>IFERROR(__xludf.DUMMYFUNCTION("""COMPUTED_VALUE"""),12.03)</f>
        <v>12.03</v>
      </c>
      <c r="F478" s="2">
        <f>IFERROR(__xludf.DUMMYFUNCTION("""COMPUTED_VALUE"""),542400.0)</f>
        <v>542400</v>
      </c>
    </row>
    <row r="479">
      <c r="A479" s="3">
        <f>IFERROR(__xludf.DUMMYFUNCTION("""COMPUTED_VALUE"""),29909.666666666668)</f>
        <v>29909.66667</v>
      </c>
      <c r="B479" s="2">
        <f>IFERROR(__xludf.DUMMYFUNCTION("""COMPUTED_VALUE"""),12.03)</f>
        <v>12.03</v>
      </c>
      <c r="C479" s="2">
        <f>IFERROR(__xludf.DUMMYFUNCTION("""COMPUTED_VALUE"""),12.03)</f>
        <v>12.03</v>
      </c>
      <c r="D479" s="2">
        <f>IFERROR(__xludf.DUMMYFUNCTION("""COMPUTED_VALUE"""),11.91)</f>
        <v>11.91</v>
      </c>
      <c r="E479" s="2">
        <f>IFERROR(__xludf.DUMMYFUNCTION("""COMPUTED_VALUE"""),12.03)</f>
        <v>12.03</v>
      </c>
      <c r="F479" s="2">
        <f>IFERROR(__xludf.DUMMYFUNCTION("""COMPUTED_VALUE"""),494300.0)</f>
        <v>494300</v>
      </c>
    </row>
    <row r="480">
      <c r="A480" s="3">
        <f>IFERROR(__xludf.DUMMYFUNCTION("""COMPUTED_VALUE"""),29910.666666666668)</f>
        <v>29910.66667</v>
      </c>
      <c r="B480" s="2">
        <f>IFERROR(__xludf.DUMMYFUNCTION("""COMPUTED_VALUE"""),12.09)</f>
        <v>12.09</v>
      </c>
      <c r="C480" s="2">
        <f>IFERROR(__xludf.DUMMYFUNCTION("""COMPUTED_VALUE"""),12.15)</f>
        <v>12.15</v>
      </c>
      <c r="D480" s="2">
        <f>IFERROR(__xludf.DUMMYFUNCTION("""COMPUTED_VALUE"""),12.0)</f>
        <v>12</v>
      </c>
      <c r="E480" s="2">
        <f>IFERROR(__xludf.DUMMYFUNCTION("""COMPUTED_VALUE"""),12.09)</f>
        <v>12.09</v>
      </c>
      <c r="F480" s="2">
        <f>IFERROR(__xludf.DUMMYFUNCTION("""COMPUTED_VALUE"""),362100.0)</f>
        <v>362100</v>
      </c>
    </row>
    <row r="481">
      <c r="A481" s="3">
        <f>IFERROR(__xludf.DUMMYFUNCTION("""COMPUTED_VALUE"""),29913.666666666668)</f>
        <v>29913.66667</v>
      </c>
      <c r="B481" s="2">
        <f>IFERROR(__xludf.DUMMYFUNCTION("""COMPUTED_VALUE"""),12.06)</f>
        <v>12.06</v>
      </c>
      <c r="C481" s="2">
        <f>IFERROR(__xludf.DUMMYFUNCTION("""COMPUTED_VALUE"""),12.15)</f>
        <v>12.15</v>
      </c>
      <c r="D481" s="2">
        <f>IFERROR(__xludf.DUMMYFUNCTION("""COMPUTED_VALUE"""),12.06)</f>
        <v>12.06</v>
      </c>
      <c r="E481" s="2">
        <f>IFERROR(__xludf.DUMMYFUNCTION("""COMPUTED_VALUE"""),12.06)</f>
        <v>12.06</v>
      </c>
      <c r="F481" s="2">
        <f>IFERROR(__xludf.DUMMYFUNCTION("""COMPUTED_VALUE"""),442400.0)</f>
        <v>442400</v>
      </c>
    </row>
    <row r="482">
      <c r="A482" s="3">
        <f>IFERROR(__xludf.DUMMYFUNCTION("""COMPUTED_VALUE"""),29914.666666666668)</f>
        <v>29914.66667</v>
      </c>
      <c r="B482" s="2">
        <f>IFERROR(__xludf.DUMMYFUNCTION("""COMPUTED_VALUE"""),12.48)</f>
        <v>12.48</v>
      </c>
      <c r="C482" s="2">
        <f>IFERROR(__xludf.DUMMYFUNCTION("""COMPUTED_VALUE"""),12.51)</f>
        <v>12.51</v>
      </c>
      <c r="D482" s="2">
        <f>IFERROR(__xludf.DUMMYFUNCTION("""COMPUTED_VALUE"""),12.06)</f>
        <v>12.06</v>
      </c>
      <c r="E482" s="2">
        <f>IFERROR(__xludf.DUMMYFUNCTION("""COMPUTED_VALUE"""),12.48)</f>
        <v>12.48</v>
      </c>
      <c r="F482" s="2">
        <f>IFERROR(__xludf.DUMMYFUNCTION("""COMPUTED_VALUE"""),667300.0)</f>
        <v>667300</v>
      </c>
    </row>
    <row r="483">
      <c r="A483" s="3">
        <f>IFERROR(__xludf.DUMMYFUNCTION("""COMPUTED_VALUE"""),29915.666666666668)</f>
        <v>29915.66667</v>
      </c>
      <c r="B483" s="2">
        <f>IFERROR(__xludf.DUMMYFUNCTION("""COMPUTED_VALUE"""),12.57)</f>
        <v>12.57</v>
      </c>
      <c r="C483" s="2">
        <f>IFERROR(__xludf.DUMMYFUNCTION("""COMPUTED_VALUE"""),12.69)</f>
        <v>12.69</v>
      </c>
      <c r="D483" s="2">
        <f>IFERROR(__xludf.DUMMYFUNCTION("""COMPUTED_VALUE"""),12.54)</f>
        <v>12.54</v>
      </c>
      <c r="E483" s="2">
        <f>IFERROR(__xludf.DUMMYFUNCTION("""COMPUTED_VALUE"""),12.57)</f>
        <v>12.57</v>
      </c>
      <c r="F483" s="2">
        <f>IFERROR(__xludf.DUMMYFUNCTION("""COMPUTED_VALUE"""),871900.0)</f>
        <v>871900</v>
      </c>
    </row>
    <row r="484">
      <c r="A484" s="3">
        <f>IFERROR(__xludf.DUMMYFUNCTION("""COMPUTED_VALUE"""),29917.666666666668)</f>
        <v>29917.66667</v>
      </c>
      <c r="B484" s="2">
        <f>IFERROR(__xludf.DUMMYFUNCTION("""COMPUTED_VALUE"""),13.01)</f>
        <v>13.01</v>
      </c>
      <c r="C484" s="2">
        <f>IFERROR(__xludf.DUMMYFUNCTION("""COMPUTED_VALUE"""),13.01)</f>
        <v>13.01</v>
      </c>
      <c r="D484" s="2">
        <f>IFERROR(__xludf.DUMMYFUNCTION("""COMPUTED_VALUE"""),12.63)</f>
        <v>12.63</v>
      </c>
      <c r="E484" s="2">
        <f>IFERROR(__xludf.DUMMYFUNCTION("""COMPUTED_VALUE"""),13.01)</f>
        <v>13.01</v>
      </c>
      <c r="F484" s="2">
        <f>IFERROR(__xludf.DUMMYFUNCTION("""COMPUTED_VALUE"""),593300.0)</f>
        <v>593300</v>
      </c>
    </row>
    <row r="485">
      <c r="A485" s="3">
        <f>IFERROR(__xludf.DUMMYFUNCTION("""COMPUTED_VALUE"""),29920.666666666668)</f>
        <v>29920.66667</v>
      </c>
      <c r="B485" s="2">
        <f>IFERROR(__xludf.DUMMYFUNCTION("""COMPUTED_VALUE"""),13.01)</f>
        <v>13.01</v>
      </c>
      <c r="C485" s="2">
        <f>IFERROR(__xludf.DUMMYFUNCTION("""COMPUTED_VALUE"""),13.01)</f>
        <v>13.01</v>
      </c>
      <c r="D485" s="2">
        <f>IFERROR(__xludf.DUMMYFUNCTION("""COMPUTED_VALUE"""),12.84)</f>
        <v>12.84</v>
      </c>
      <c r="E485" s="2">
        <f>IFERROR(__xludf.DUMMYFUNCTION("""COMPUTED_VALUE"""),13.01)</f>
        <v>13.01</v>
      </c>
      <c r="F485" s="2">
        <f>IFERROR(__xludf.DUMMYFUNCTION("""COMPUTED_VALUE"""),633300.0)</f>
        <v>633300</v>
      </c>
    </row>
    <row r="486">
      <c r="A486" s="3">
        <f>IFERROR(__xludf.DUMMYFUNCTION("""COMPUTED_VALUE"""),29921.666666666668)</f>
        <v>29921.66667</v>
      </c>
      <c r="B486" s="2">
        <f>IFERROR(__xludf.DUMMYFUNCTION("""COMPUTED_VALUE"""),12.92)</f>
        <v>12.92</v>
      </c>
      <c r="C486" s="2">
        <f>IFERROR(__xludf.DUMMYFUNCTION("""COMPUTED_VALUE"""),13.04)</f>
        <v>13.04</v>
      </c>
      <c r="D486" s="2">
        <f>IFERROR(__xludf.DUMMYFUNCTION("""COMPUTED_VALUE"""),12.86)</f>
        <v>12.86</v>
      </c>
      <c r="E486" s="2">
        <f>IFERROR(__xludf.DUMMYFUNCTION("""COMPUTED_VALUE"""),12.92)</f>
        <v>12.92</v>
      </c>
      <c r="F486" s="2">
        <f>IFERROR(__xludf.DUMMYFUNCTION("""COMPUTED_VALUE"""),526900.0)</f>
        <v>526900</v>
      </c>
    </row>
    <row r="487">
      <c r="A487" s="3">
        <f>IFERROR(__xludf.DUMMYFUNCTION("""COMPUTED_VALUE"""),29922.666666666668)</f>
        <v>29922.66667</v>
      </c>
      <c r="B487" s="2">
        <f>IFERROR(__xludf.DUMMYFUNCTION("""COMPUTED_VALUE"""),12.66)</f>
        <v>12.66</v>
      </c>
      <c r="C487" s="2">
        <f>IFERROR(__xludf.DUMMYFUNCTION("""COMPUTED_VALUE"""),12.84)</f>
        <v>12.84</v>
      </c>
      <c r="D487" s="2">
        <f>IFERROR(__xludf.DUMMYFUNCTION("""COMPUTED_VALUE"""),12.66)</f>
        <v>12.66</v>
      </c>
      <c r="E487" s="2">
        <f>IFERROR(__xludf.DUMMYFUNCTION("""COMPUTED_VALUE"""),12.66)</f>
        <v>12.66</v>
      </c>
      <c r="F487" s="2">
        <f>IFERROR(__xludf.DUMMYFUNCTION("""COMPUTED_VALUE"""),373900.0)</f>
        <v>373900</v>
      </c>
    </row>
    <row r="488">
      <c r="A488" s="3">
        <f>IFERROR(__xludf.DUMMYFUNCTION("""COMPUTED_VALUE"""),29923.666666666668)</f>
        <v>29923.66667</v>
      </c>
      <c r="B488" s="2">
        <f>IFERROR(__xludf.DUMMYFUNCTION("""COMPUTED_VALUE"""),12.89)</f>
        <v>12.89</v>
      </c>
      <c r="C488" s="2">
        <f>IFERROR(__xludf.DUMMYFUNCTION("""COMPUTED_VALUE"""),12.89)</f>
        <v>12.89</v>
      </c>
      <c r="D488" s="2">
        <f>IFERROR(__xludf.DUMMYFUNCTION("""COMPUTED_VALUE"""),12.66)</f>
        <v>12.66</v>
      </c>
      <c r="E488" s="2">
        <f>IFERROR(__xludf.DUMMYFUNCTION("""COMPUTED_VALUE"""),12.89)</f>
        <v>12.89</v>
      </c>
      <c r="F488" s="2">
        <f>IFERROR(__xludf.DUMMYFUNCTION("""COMPUTED_VALUE"""),497300.0)</f>
        <v>497300</v>
      </c>
    </row>
    <row r="489">
      <c r="A489" s="3">
        <f>IFERROR(__xludf.DUMMYFUNCTION("""COMPUTED_VALUE"""),29924.666666666668)</f>
        <v>29924.66667</v>
      </c>
      <c r="B489" s="2">
        <f>IFERROR(__xludf.DUMMYFUNCTION("""COMPUTED_VALUE"""),13.04)</f>
        <v>13.04</v>
      </c>
      <c r="C489" s="2">
        <f>IFERROR(__xludf.DUMMYFUNCTION("""COMPUTED_VALUE"""),13.16)</f>
        <v>13.16</v>
      </c>
      <c r="D489" s="2">
        <f>IFERROR(__xludf.DUMMYFUNCTION("""COMPUTED_VALUE"""),12.89)</f>
        <v>12.89</v>
      </c>
      <c r="E489" s="2">
        <f>IFERROR(__xludf.DUMMYFUNCTION("""COMPUTED_VALUE"""),13.04)</f>
        <v>13.04</v>
      </c>
      <c r="F489" s="2">
        <f>IFERROR(__xludf.DUMMYFUNCTION("""COMPUTED_VALUE"""),962100.0)</f>
        <v>962100</v>
      </c>
    </row>
    <row r="490">
      <c r="A490" s="3">
        <f>IFERROR(__xludf.DUMMYFUNCTION("""COMPUTED_VALUE"""),29927.666666666668)</f>
        <v>29927.66667</v>
      </c>
      <c r="B490" s="2">
        <f>IFERROR(__xludf.DUMMYFUNCTION("""COMPUTED_VALUE"""),12.78)</f>
        <v>12.78</v>
      </c>
      <c r="C490" s="2">
        <f>IFERROR(__xludf.DUMMYFUNCTION("""COMPUTED_VALUE"""),13.22)</f>
        <v>13.22</v>
      </c>
      <c r="D490" s="2">
        <f>IFERROR(__xludf.DUMMYFUNCTION("""COMPUTED_VALUE"""),12.75)</f>
        <v>12.75</v>
      </c>
      <c r="E490" s="2">
        <f>IFERROR(__xludf.DUMMYFUNCTION("""COMPUTED_VALUE"""),12.78)</f>
        <v>12.78</v>
      </c>
      <c r="F490" s="2">
        <f>IFERROR(__xludf.DUMMYFUNCTION("""COMPUTED_VALUE"""),411400.0)</f>
        <v>411400</v>
      </c>
    </row>
    <row r="491">
      <c r="A491" s="3">
        <f>IFERROR(__xludf.DUMMYFUNCTION("""COMPUTED_VALUE"""),29928.666666666668)</f>
        <v>29928.66667</v>
      </c>
      <c r="B491" s="2">
        <f>IFERROR(__xludf.DUMMYFUNCTION("""COMPUTED_VALUE"""),12.72)</f>
        <v>12.72</v>
      </c>
      <c r="C491" s="2">
        <f>IFERROR(__xludf.DUMMYFUNCTION("""COMPUTED_VALUE"""),12.84)</f>
        <v>12.84</v>
      </c>
      <c r="D491" s="2">
        <f>IFERROR(__xludf.DUMMYFUNCTION("""COMPUTED_VALUE"""),12.66)</f>
        <v>12.66</v>
      </c>
      <c r="E491" s="2">
        <f>IFERROR(__xludf.DUMMYFUNCTION("""COMPUTED_VALUE"""),12.72)</f>
        <v>12.72</v>
      </c>
      <c r="F491" s="2">
        <f>IFERROR(__xludf.DUMMYFUNCTION("""COMPUTED_VALUE"""),501200.0)</f>
        <v>501200</v>
      </c>
    </row>
    <row r="492">
      <c r="A492" s="3">
        <f>IFERROR(__xludf.DUMMYFUNCTION("""COMPUTED_VALUE"""),29929.666666666668)</f>
        <v>29929.66667</v>
      </c>
      <c r="B492" s="2">
        <f>IFERROR(__xludf.DUMMYFUNCTION("""COMPUTED_VALUE"""),12.86)</f>
        <v>12.86</v>
      </c>
      <c r="C492" s="2">
        <f>IFERROR(__xludf.DUMMYFUNCTION("""COMPUTED_VALUE"""),12.89)</f>
        <v>12.89</v>
      </c>
      <c r="D492" s="2">
        <f>IFERROR(__xludf.DUMMYFUNCTION("""COMPUTED_VALUE"""),12.75)</f>
        <v>12.75</v>
      </c>
      <c r="E492" s="2">
        <f>IFERROR(__xludf.DUMMYFUNCTION("""COMPUTED_VALUE"""),12.86)</f>
        <v>12.86</v>
      </c>
      <c r="F492" s="2">
        <f>IFERROR(__xludf.DUMMYFUNCTION("""COMPUTED_VALUE"""),426200.0)</f>
        <v>426200</v>
      </c>
    </row>
    <row r="493">
      <c r="A493" s="3">
        <f>IFERROR(__xludf.DUMMYFUNCTION("""COMPUTED_VALUE"""),29930.666666666668)</f>
        <v>29930.66667</v>
      </c>
      <c r="B493" s="2">
        <f>IFERROR(__xludf.DUMMYFUNCTION("""COMPUTED_VALUE"""),13.04)</f>
        <v>13.04</v>
      </c>
      <c r="C493" s="2">
        <f>IFERROR(__xludf.DUMMYFUNCTION("""COMPUTED_VALUE"""),13.07)</f>
        <v>13.07</v>
      </c>
      <c r="D493" s="2">
        <f>IFERROR(__xludf.DUMMYFUNCTION("""COMPUTED_VALUE"""),12.84)</f>
        <v>12.84</v>
      </c>
      <c r="E493" s="2">
        <f>IFERROR(__xludf.DUMMYFUNCTION("""COMPUTED_VALUE"""),13.04)</f>
        <v>13.04</v>
      </c>
      <c r="F493" s="2">
        <f>IFERROR(__xludf.DUMMYFUNCTION("""COMPUTED_VALUE"""),752900.0)</f>
        <v>752900</v>
      </c>
    </row>
    <row r="494">
      <c r="A494" s="3">
        <f>IFERROR(__xludf.DUMMYFUNCTION("""COMPUTED_VALUE"""),29931.666666666668)</f>
        <v>29931.66667</v>
      </c>
      <c r="B494" s="2">
        <f>IFERROR(__xludf.DUMMYFUNCTION("""COMPUTED_VALUE"""),12.98)</f>
        <v>12.98</v>
      </c>
      <c r="C494" s="2">
        <f>IFERROR(__xludf.DUMMYFUNCTION("""COMPUTED_VALUE"""),13.07)</f>
        <v>13.07</v>
      </c>
      <c r="D494" s="2">
        <f>IFERROR(__xludf.DUMMYFUNCTION("""COMPUTED_VALUE"""),12.75)</f>
        <v>12.75</v>
      </c>
      <c r="E494" s="2">
        <f>IFERROR(__xludf.DUMMYFUNCTION("""COMPUTED_VALUE"""),12.98)</f>
        <v>12.98</v>
      </c>
      <c r="F494" s="2">
        <f>IFERROR(__xludf.DUMMYFUNCTION("""COMPUTED_VALUE"""),580300.0)</f>
        <v>580300</v>
      </c>
    </row>
    <row r="495">
      <c r="A495" s="3">
        <f>IFERROR(__xludf.DUMMYFUNCTION("""COMPUTED_VALUE"""),29934.666666666668)</f>
        <v>29934.66667</v>
      </c>
      <c r="B495" s="2">
        <f>IFERROR(__xludf.DUMMYFUNCTION("""COMPUTED_VALUE"""),12.75)</f>
        <v>12.75</v>
      </c>
      <c r="C495" s="2">
        <f>IFERROR(__xludf.DUMMYFUNCTION("""COMPUTED_VALUE"""),12.86)</f>
        <v>12.86</v>
      </c>
      <c r="D495" s="2">
        <f>IFERROR(__xludf.DUMMYFUNCTION("""COMPUTED_VALUE"""),12.72)</f>
        <v>12.72</v>
      </c>
      <c r="E495" s="2">
        <f>IFERROR(__xludf.DUMMYFUNCTION("""COMPUTED_VALUE"""),12.75)</f>
        <v>12.75</v>
      </c>
      <c r="F495" s="2">
        <f>IFERROR(__xludf.DUMMYFUNCTION("""COMPUTED_VALUE"""),568600.0)</f>
        <v>568600</v>
      </c>
    </row>
    <row r="496">
      <c r="A496" s="3">
        <f>IFERROR(__xludf.DUMMYFUNCTION("""COMPUTED_VALUE"""),29935.666666666668)</f>
        <v>29935.66667</v>
      </c>
      <c r="B496" s="2">
        <f>IFERROR(__xludf.DUMMYFUNCTION("""COMPUTED_VALUE"""),12.81)</f>
        <v>12.81</v>
      </c>
      <c r="C496" s="2">
        <f>IFERROR(__xludf.DUMMYFUNCTION("""COMPUTED_VALUE"""),12.86)</f>
        <v>12.86</v>
      </c>
      <c r="D496" s="2">
        <f>IFERROR(__xludf.DUMMYFUNCTION("""COMPUTED_VALUE"""),12.66)</f>
        <v>12.66</v>
      </c>
      <c r="E496" s="2">
        <f>IFERROR(__xludf.DUMMYFUNCTION("""COMPUTED_VALUE"""),12.81)</f>
        <v>12.81</v>
      </c>
      <c r="F496" s="2">
        <f>IFERROR(__xludf.DUMMYFUNCTION("""COMPUTED_VALUE"""),610400.0)</f>
        <v>610400</v>
      </c>
    </row>
    <row r="497">
      <c r="A497" s="3">
        <f>IFERROR(__xludf.DUMMYFUNCTION("""COMPUTED_VALUE"""),29936.666666666668)</f>
        <v>29936.66667</v>
      </c>
      <c r="B497" s="2">
        <f>IFERROR(__xludf.DUMMYFUNCTION("""COMPUTED_VALUE"""),12.92)</f>
        <v>12.92</v>
      </c>
      <c r="C497" s="2">
        <f>IFERROR(__xludf.DUMMYFUNCTION("""COMPUTED_VALUE"""),13.01)</f>
        <v>13.01</v>
      </c>
      <c r="D497" s="2">
        <f>IFERROR(__xludf.DUMMYFUNCTION("""COMPUTED_VALUE"""),12.69)</f>
        <v>12.69</v>
      </c>
      <c r="E497" s="2">
        <f>IFERROR(__xludf.DUMMYFUNCTION("""COMPUTED_VALUE"""),12.92)</f>
        <v>12.92</v>
      </c>
      <c r="F497" s="2">
        <f>IFERROR(__xludf.DUMMYFUNCTION("""COMPUTED_VALUE"""),654400.0)</f>
        <v>654400</v>
      </c>
    </row>
    <row r="498">
      <c r="A498" s="3">
        <f>IFERROR(__xludf.DUMMYFUNCTION("""COMPUTED_VALUE"""),29937.666666666668)</f>
        <v>29937.66667</v>
      </c>
      <c r="B498" s="2">
        <f>IFERROR(__xludf.DUMMYFUNCTION("""COMPUTED_VALUE"""),13.31)</f>
        <v>13.31</v>
      </c>
      <c r="C498" s="2">
        <f>IFERROR(__xludf.DUMMYFUNCTION("""COMPUTED_VALUE"""),13.31)</f>
        <v>13.31</v>
      </c>
      <c r="D498" s="2">
        <f>IFERROR(__xludf.DUMMYFUNCTION("""COMPUTED_VALUE"""),12.92)</f>
        <v>12.92</v>
      </c>
      <c r="E498" s="2">
        <f>IFERROR(__xludf.DUMMYFUNCTION("""COMPUTED_VALUE"""),13.31)</f>
        <v>13.31</v>
      </c>
      <c r="F498" s="2">
        <f>IFERROR(__xludf.DUMMYFUNCTION("""COMPUTED_VALUE"""),931300.0)</f>
        <v>931300</v>
      </c>
    </row>
    <row r="499">
      <c r="A499" s="3">
        <f>IFERROR(__xludf.DUMMYFUNCTION("""COMPUTED_VALUE"""),29938.666666666668)</f>
        <v>29938.66667</v>
      </c>
      <c r="B499" s="2">
        <f>IFERROR(__xludf.DUMMYFUNCTION("""COMPUTED_VALUE"""),13.55)</f>
        <v>13.55</v>
      </c>
      <c r="C499" s="2">
        <f>IFERROR(__xludf.DUMMYFUNCTION("""COMPUTED_VALUE"""),13.61)</f>
        <v>13.61</v>
      </c>
      <c r="D499" s="2">
        <f>IFERROR(__xludf.DUMMYFUNCTION("""COMPUTED_VALUE"""),13.25)</f>
        <v>13.25</v>
      </c>
      <c r="E499" s="2">
        <f>IFERROR(__xludf.DUMMYFUNCTION("""COMPUTED_VALUE"""),13.55)</f>
        <v>13.55</v>
      </c>
      <c r="F499" s="2">
        <f>IFERROR(__xludf.DUMMYFUNCTION("""COMPUTED_VALUE"""),1371000.0)</f>
        <v>1371000</v>
      </c>
    </row>
    <row r="500">
      <c r="A500" s="3">
        <f>IFERROR(__xludf.DUMMYFUNCTION("""COMPUTED_VALUE"""),29941.666666666668)</f>
        <v>29941.66667</v>
      </c>
      <c r="B500" s="2">
        <f>IFERROR(__xludf.DUMMYFUNCTION("""COMPUTED_VALUE"""),13.46)</f>
        <v>13.46</v>
      </c>
      <c r="C500" s="2">
        <f>IFERROR(__xludf.DUMMYFUNCTION("""COMPUTED_VALUE"""),13.58)</f>
        <v>13.58</v>
      </c>
      <c r="D500" s="2">
        <f>IFERROR(__xludf.DUMMYFUNCTION("""COMPUTED_VALUE"""),13.4)</f>
        <v>13.4</v>
      </c>
      <c r="E500" s="2">
        <f>IFERROR(__xludf.DUMMYFUNCTION("""COMPUTED_VALUE"""),13.46)</f>
        <v>13.46</v>
      </c>
      <c r="F500" s="2">
        <f>IFERROR(__xludf.DUMMYFUNCTION("""COMPUTED_VALUE"""),591000.0)</f>
        <v>591000</v>
      </c>
    </row>
    <row r="501">
      <c r="A501" s="3">
        <f>IFERROR(__xludf.DUMMYFUNCTION("""COMPUTED_VALUE"""),29942.666666666668)</f>
        <v>29942.66667</v>
      </c>
      <c r="B501" s="2">
        <f>IFERROR(__xludf.DUMMYFUNCTION("""COMPUTED_VALUE"""),13.58)</f>
        <v>13.58</v>
      </c>
      <c r="C501" s="2">
        <f>IFERROR(__xludf.DUMMYFUNCTION("""COMPUTED_VALUE"""),13.67)</f>
        <v>13.67</v>
      </c>
      <c r="D501" s="2">
        <f>IFERROR(__xludf.DUMMYFUNCTION("""COMPUTED_VALUE"""),13.52)</f>
        <v>13.52</v>
      </c>
      <c r="E501" s="2">
        <f>IFERROR(__xludf.DUMMYFUNCTION("""COMPUTED_VALUE"""),13.58)</f>
        <v>13.58</v>
      </c>
      <c r="F501" s="2">
        <f>IFERROR(__xludf.DUMMYFUNCTION("""COMPUTED_VALUE"""),687000.0)</f>
        <v>687000</v>
      </c>
    </row>
    <row r="502">
      <c r="A502" s="3">
        <f>IFERROR(__xludf.DUMMYFUNCTION("""COMPUTED_VALUE"""),29943.666666666668)</f>
        <v>29943.66667</v>
      </c>
      <c r="B502" s="2">
        <f>IFERROR(__xludf.DUMMYFUNCTION("""COMPUTED_VALUE"""),13.4)</f>
        <v>13.4</v>
      </c>
      <c r="C502" s="2">
        <f>IFERROR(__xludf.DUMMYFUNCTION("""COMPUTED_VALUE"""),13.58)</f>
        <v>13.58</v>
      </c>
      <c r="D502" s="2">
        <f>IFERROR(__xludf.DUMMYFUNCTION("""COMPUTED_VALUE"""),13.37)</f>
        <v>13.37</v>
      </c>
      <c r="E502" s="2">
        <f>IFERROR(__xludf.DUMMYFUNCTION("""COMPUTED_VALUE"""),13.4)</f>
        <v>13.4</v>
      </c>
      <c r="F502" s="2">
        <f>IFERROR(__xludf.DUMMYFUNCTION("""COMPUTED_VALUE"""),455900.0)</f>
        <v>455900</v>
      </c>
    </row>
    <row r="503">
      <c r="A503" s="3">
        <f>IFERROR(__xludf.DUMMYFUNCTION("""COMPUTED_VALUE"""),29944.666666666668)</f>
        <v>29944.66667</v>
      </c>
      <c r="B503" s="2">
        <f>IFERROR(__xludf.DUMMYFUNCTION("""COMPUTED_VALUE"""),13.61)</f>
        <v>13.61</v>
      </c>
      <c r="C503" s="2">
        <f>IFERROR(__xludf.DUMMYFUNCTION("""COMPUTED_VALUE"""),13.61)</f>
        <v>13.61</v>
      </c>
      <c r="D503" s="2">
        <f>IFERROR(__xludf.DUMMYFUNCTION("""COMPUTED_VALUE"""),13.43)</f>
        <v>13.43</v>
      </c>
      <c r="E503" s="2">
        <f>IFERROR(__xludf.DUMMYFUNCTION("""COMPUTED_VALUE"""),13.61)</f>
        <v>13.61</v>
      </c>
      <c r="F503" s="2">
        <f>IFERROR(__xludf.DUMMYFUNCTION("""COMPUTED_VALUE"""),289300.0)</f>
        <v>289300</v>
      </c>
    </row>
    <row r="504">
      <c r="A504" s="3">
        <f>IFERROR(__xludf.DUMMYFUNCTION("""COMPUTED_VALUE"""),29948.666666666668)</f>
        <v>29948.66667</v>
      </c>
      <c r="B504" s="2">
        <f>IFERROR(__xludf.DUMMYFUNCTION("""COMPUTED_VALUE"""),13.49)</f>
        <v>13.49</v>
      </c>
      <c r="C504" s="2">
        <f>IFERROR(__xludf.DUMMYFUNCTION("""COMPUTED_VALUE"""),13.7)</f>
        <v>13.7</v>
      </c>
      <c r="D504" s="2">
        <f>IFERROR(__xludf.DUMMYFUNCTION("""COMPUTED_VALUE"""),13.43)</f>
        <v>13.43</v>
      </c>
      <c r="E504" s="2">
        <f>IFERROR(__xludf.DUMMYFUNCTION("""COMPUTED_VALUE"""),13.49)</f>
        <v>13.49</v>
      </c>
      <c r="F504" s="2">
        <f>IFERROR(__xludf.DUMMYFUNCTION("""COMPUTED_VALUE"""),407800.0)</f>
        <v>407800</v>
      </c>
    </row>
    <row r="505">
      <c r="A505" s="3">
        <f>IFERROR(__xludf.DUMMYFUNCTION("""COMPUTED_VALUE"""),29949.666666666668)</f>
        <v>29949.66667</v>
      </c>
      <c r="B505" s="2">
        <f>IFERROR(__xludf.DUMMYFUNCTION("""COMPUTED_VALUE"""),13.37)</f>
        <v>13.37</v>
      </c>
      <c r="C505" s="2">
        <f>IFERROR(__xludf.DUMMYFUNCTION("""COMPUTED_VALUE"""),13.61)</f>
        <v>13.61</v>
      </c>
      <c r="D505" s="2">
        <f>IFERROR(__xludf.DUMMYFUNCTION("""COMPUTED_VALUE"""),13.31)</f>
        <v>13.31</v>
      </c>
      <c r="E505" s="2">
        <f>IFERROR(__xludf.DUMMYFUNCTION("""COMPUTED_VALUE"""),13.37)</f>
        <v>13.37</v>
      </c>
      <c r="F505" s="2">
        <f>IFERROR(__xludf.DUMMYFUNCTION("""COMPUTED_VALUE"""),395700.0)</f>
        <v>395700</v>
      </c>
    </row>
    <row r="506">
      <c r="A506" s="3">
        <f>IFERROR(__xludf.DUMMYFUNCTION("""COMPUTED_VALUE"""),29950.666666666668)</f>
        <v>29950.66667</v>
      </c>
      <c r="B506" s="2">
        <f>IFERROR(__xludf.DUMMYFUNCTION("""COMPUTED_VALUE"""),13.67)</f>
        <v>13.67</v>
      </c>
      <c r="C506" s="2">
        <f>IFERROR(__xludf.DUMMYFUNCTION("""COMPUTED_VALUE"""),13.76)</f>
        <v>13.76</v>
      </c>
      <c r="D506" s="2">
        <f>IFERROR(__xludf.DUMMYFUNCTION("""COMPUTED_VALUE"""),13.37)</f>
        <v>13.37</v>
      </c>
      <c r="E506" s="2">
        <f>IFERROR(__xludf.DUMMYFUNCTION("""COMPUTED_VALUE"""),13.67)</f>
        <v>13.67</v>
      </c>
      <c r="F506" s="2">
        <f>IFERROR(__xludf.DUMMYFUNCTION("""COMPUTED_VALUE"""),794000.0)</f>
        <v>794000</v>
      </c>
    </row>
    <row r="507">
      <c r="A507" s="3">
        <f>IFERROR(__xludf.DUMMYFUNCTION("""COMPUTED_VALUE"""),29951.666666666668)</f>
        <v>29951.66667</v>
      </c>
      <c r="B507" s="2">
        <f>IFERROR(__xludf.DUMMYFUNCTION("""COMPUTED_VALUE"""),13.58)</f>
        <v>13.58</v>
      </c>
      <c r="C507" s="2">
        <f>IFERROR(__xludf.DUMMYFUNCTION("""COMPUTED_VALUE"""),13.7)</f>
        <v>13.7</v>
      </c>
      <c r="D507" s="2">
        <f>IFERROR(__xludf.DUMMYFUNCTION("""COMPUTED_VALUE"""),13.52)</f>
        <v>13.52</v>
      </c>
      <c r="E507" s="2">
        <f>IFERROR(__xludf.DUMMYFUNCTION("""COMPUTED_VALUE"""),13.58)</f>
        <v>13.58</v>
      </c>
      <c r="F507" s="2">
        <f>IFERROR(__xludf.DUMMYFUNCTION("""COMPUTED_VALUE"""),397600.0)</f>
        <v>397600</v>
      </c>
    </row>
    <row r="508">
      <c r="A508" s="3">
        <f>IFERROR(__xludf.DUMMYFUNCTION("""COMPUTED_VALUE"""),29955.666666666668)</f>
        <v>29955.66667</v>
      </c>
      <c r="B508" s="2">
        <f>IFERROR(__xludf.DUMMYFUNCTION("""COMPUTED_VALUE"""),13.91)</f>
        <v>13.91</v>
      </c>
      <c r="C508" s="2">
        <f>IFERROR(__xludf.DUMMYFUNCTION("""COMPUTED_VALUE"""),13.94)</f>
        <v>13.94</v>
      </c>
      <c r="D508" s="2">
        <f>IFERROR(__xludf.DUMMYFUNCTION("""COMPUTED_VALUE"""),13.58)</f>
        <v>13.58</v>
      </c>
      <c r="E508" s="2">
        <f>IFERROR(__xludf.DUMMYFUNCTION("""COMPUTED_VALUE"""),13.91)</f>
        <v>13.91</v>
      </c>
      <c r="F508" s="2">
        <f>IFERROR(__xludf.DUMMYFUNCTION("""COMPUTED_VALUE"""),727800.0)</f>
        <v>727800</v>
      </c>
    </row>
    <row r="509">
      <c r="A509" s="3">
        <f>IFERROR(__xludf.DUMMYFUNCTION("""COMPUTED_VALUE"""),29956.666666666668)</f>
        <v>29956.66667</v>
      </c>
      <c r="B509" s="2">
        <f>IFERROR(__xludf.DUMMYFUNCTION("""COMPUTED_VALUE"""),13.61)</f>
        <v>13.61</v>
      </c>
      <c r="C509" s="2">
        <f>IFERROR(__xludf.DUMMYFUNCTION("""COMPUTED_VALUE"""),13.82)</f>
        <v>13.82</v>
      </c>
      <c r="D509" s="2">
        <f>IFERROR(__xludf.DUMMYFUNCTION("""COMPUTED_VALUE"""),13.55)</f>
        <v>13.55</v>
      </c>
      <c r="E509" s="2">
        <f>IFERROR(__xludf.DUMMYFUNCTION("""COMPUTED_VALUE"""),13.61)</f>
        <v>13.61</v>
      </c>
      <c r="F509" s="2">
        <f>IFERROR(__xludf.DUMMYFUNCTION("""COMPUTED_VALUE"""),981200.0)</f>
        <v>981200</v>
      </c>
    </row>
    <row r="510">
      <c r="A510" s="3">
        <f>IFERROR(__xludf.DUMMYFUNCTION("""COMPUTED_VALUE"""),29957.666666666668)</f>
        <v>29957.66667</v>
      </c>
      <c r="B510" s="2">
        <f>IFERROR(__xludf.DUMMYFUNCTION("""COMPUTED_VALUE"""),13.55)</f>
        <v>13.55</v>
      </c>
      <c r="C510" s="2">
        <f>IFERROR(__xludf.DUMMYFUNCTION("""COMPUTED_VALUE"""),13.61)</f>
        <v>13.61</v>
      </c>
      <c r="D510" s="2">
        <f>IFERROR(__xludf.DUMMYFUNCTION("""COMPUTED_VALUE"""),13.37)</f>
        <v>13.37</v>
      </c>
      <c r="E510" s="2">
        <f>IFERROR(__xludf.DUMMYFUNCTION("""COMPUTED_VALUE"""),13.55)</f>
        <v>13.55</v>
      </c>
      <c r="F510" s="2">
        <f>IFERROR(__xludf.DUMMYFUNCTION("""COMPUTED_VALUE"""),677500.0)</f>
        <v>677500</v>
      </c>
    </row>
    <row r="511">
      <c r="A511" s="3">
        <f>IFERROR(__xludf.DUMMYFUNCTION("""COMPUTED_VALUE"""),29958.666666666668)</f>
        <v>29958.66667</v>
      </c>
      <c r="B511" s="2">
        <f>IFERROR(__xludf.DUMMYFUNCTION("""COMPUTED_VALUE"""),13.55)</f>
        <v>13.55</v>
      </c>
      <c r="C511" s="2">
        <f>IFERROR(__xludf.DUMMYFUNCTION("""COMPUTED_VALUE"""),13.67)</f>
        <v>13.67</v>
      </c>
      <c r="D511" s="2">
        <f>IFERROR(__xludf.DUMMYFUNCTION("""COMPUTED_VALUE"""),13.28)</f>
        <v>13.28</v>
      </c>
      <c r="E511" s="2">
        <f>IFERROR(__xludf.DUMMYFUNCTION("""COMPUTED_VALUE"""),13.55)</f>
        <v>13.55</v>
      </c>
      <c r="F511" s="2">
        <f>IFERROR(__xludf.DUMMYFUNCTION("""COMPUTED_VALUE"""),757600.0)</f>
        <v>757600</v>
      </c>
    </row>
    <row r="512">
      <c r="A512" s="3">
        <f>IFERROR(__xludf.DUMMYFUNCTION("""COMPUTED_VALUE"""),29962.666666666668)</f>
        <v>29962.66667</v>
      </c>
      <c r="B512" s="2">
        <f>IFERROR(__xludf.DUMMYFUNCTION("""COMPUTED_VALUE"""),13.55)</f>
        <v>13.55</v>
      </c>
      <c r="C512" s="2">
        <f>IFERROR(__xludf.DUMMYFUNCTION("""COMPUTED_VALUE"""),14.03)</f>
        <v>14.03</v>
      </c>
      <c r="D512" s="2">
        <f>IFERROR(__xludf.DUMMYFUNCTION("""COMPUTED_VALUE"""),13.55)</f>
        <v>13.55</v>
      </c>
      <c r="E512" s="2">
        <f>IFERROR(__xludf.DUMMYFUNCTION("""COMPUTED_VALUE"""),13.55)</f>
        <v>13.55</v>
      </c>
      <c r="F512" s="2">
        <f>IFERROR(__xludf.DUMMYFUNCTION("""COMPUTED_VALUE"""),1820100.0)</f>
        <v>1820100</v>
      </c>
    </row>
    <row r="513">
      <c r="A513" s="3">
        <f>IFERROR(__xludf.DUMMYFUNCTION("""COMPUTED_VALUE"""),29963.666666666668)</f>
        <v>29963.66667</v>
      </c>
      <c r="B513" s="2">
        <f>IFERROR(__xludf.DUMMYFUNCTION("""COMPUTED_VALUE"""),13.73)</f>
        <v>13.73</v>
      </c>
      <c r="C513" s="2">
        <f>IFERROR(__xludf.DUMMYFUNCTION("""COMPUTED_VALUE"""),13.94)</f>
        <v>13.94</v>
      </c>
      <c r="D513" s="2">
        <f>IFERROR(__xludf.DUMMYFUNCTION("""COMPUTED_VALUE"""),13.55)</f>
        <v>13.55</v>
      </c>
      <c r="E513" s="2">
        <f>IFERROR(__xludf.DUMMYFUNCTION("""COMPUTED_VALUE"""),13.73)</f>
        <v>13.73</v>
      </c>
      <c r="F513" s="2">
        <f>IFERROR(__xludf.DUMMYFUNCTION("""COMPUTED_VALUE"""),1236900.0)</f>
        <v>1236900</v>
      </c>
    </row>
    <row r="514">
      <c r="A514" s="3">
        <f>IFERROR(__xludf.DUMMYFUNCTION("""COMPUTED_VALUE"""),29964.666666666668)</f>
        <v>29964.66667</v>
      </c>
      <c r="B514" s="2">
        <f>IFERROR(__xludf.DUMMYFUNCTION("""COMPUTED_VALUE"""),13.7)</f>
        <v>13.7</v>
      </c>
      <c r="C514" s="2">
        <f>IFERROR(__xludf.DUMMYFUNCTION("""COMPUTED_VALUE"""),13.91)</f>
        <v>13.91</v>
      </c>
      <c r="D514" s="2">
        <f>IFERROR(__xludf.DUMMYFUNCTION("""COMPUTED_VALUE"""),13.61)</f>
        <v>13.61</v>
      </c>
      <c r="E514" s="2">
        <f>IFERROR(__xludf.DUMMYFUNCTION("""COMPUTED_VALUE"""),13.7)</f>
        <v>13.7</v>
      </c>
      <c r="F514" s="2">
        <f>IFERROR(__xludf.DUMMYFUNCTION("""COMPUTED_VALUE"""),914400.0)</f>
        <v>914400</v>
      </c>
    </row>
    <row r="515">
      <c r="A515" s="3">
        <f>IFERROR(__xludf.DUMMYFUNCTION("""COMPUTED_VALUE"""),29965.666666666668)</f>
        <v>29965.66667</v>
      </c>
      <c r="B515" s="2">
        <f>IFERROR(__xludf.DUMMYFUNCTION("""COMPUTED_VALUE"""),14.06)</f>
        <v>14.06</v>
      </c>
      <c r="C515" s="2">
        <f>IFERROR(__xludf.DUMMYFUNCTION("""COMPUTED_VALUE"""),14.06)</f>
        <v>14.06</v>
      </c>
      <c r="D515" s="2">
        <f>IFERROR(__xludf.DUMMYFUNCTION("""COMPUTED_VALUE"""),13.7)</f>
        <v>13.7</v>
      </c>
      <c r="E515" s="2">
        <f>IFERROR(__xludf.DUMMYFUNCTION("""COMPUTED_VALUE"""),14.06)</f>
        <v>14.06</v>
      </c>
      <c r="F515" s="2">
        <f>IFERROR(__xludf.DUMMYFUNCTION("""COMPUTED_VALUE"""),860200.0)</f>
        <v>860200</v>
      </c>
    </row>
    <row r="516">
      <c r="A516" s="3">
        <f>IFERROR(__xludf.DUMMYFUNCTION("""COMPUTED_VALUE"""),29966.666666666668)</f>
        <v>29966.66667</v>
      </c>
      <c r="B516" s="2">
        <f>IFERROR(__xludf.DUMMYFUNCTION("""COMPUTED_VALUE"""),14.27)</f>
        <v>14.27</v>
      </c>
      <c r="C516" s="2">
        <f>IFERROR(__xludf.DUMMYFUNCTION("""COMPUTED_VALUE"""),14.36)</f>
        <v>14.36</v>
      </c>
      <c r="D516" s="2">
        <f>IFERROR(__xludf.DUMMYFUNCTION("""COMPUTED_VALUE"""),13.97)</f>
        <v>13.97</v>
      </c>
      <c r="E516" s="2">
        <f>IFERROR(__xludf.DUMMYFUNCTION("""COMPUTED_VALUE"""),14.27)</f>
        <v>14.27</v>
      </c>
      <c r="F516" s="2">
        <f>IFERROR(__xludf.DUMMYFUNCTION("""COMPUTED_VALUE"""),1529100.0)</f>
        <v>1529100</v>
      </c>
    </row>
    <row r="517">
      <c r="A517" s="3">
        <f>IFERROR(__xludf.DUMMYFUNCTION("""COMPUTED_VALUE"""),29969.666666666668)</f>
        <v>29969.66667</v>
      </c>
      <c r="B517" s="2">
        <f>IFERROR(__xludf.DUMMYFUNCTION("""COMPUTED_VALUE"""),14.78)</f>
        <v>14.78</v>
      </c>
      <c r="C517" s="2">
        <f>IFERROR(__xludf.DUMMYFUNCTION("""COMPUTED_VALUE"""),14.83)</f>
        <v>14.83</v>
      </c>
      <c r="D517" s="2">
        <f>IFERROR(__xludf.DUMMYFUNCTION("""COMPUTED_VALUE"""),14.18)</f>
        <v>14.18</v>
      </c>
      <c r="E517" s="2">
        <f>IFERROR(__xludf.DUMMYFUNCTION("""COMPUTED_VALUE"""),14.78)</f>
        <v>14.78</v>
      </c>
      <c r="F517" s="2">
        <f>IFERROR(__xludf.DUMMYFUNCTION("""COMPUTED_VALUE"""),1384800.0)</f>
        <v>1384800</v>
      </c>
    </row>
    <row r="518">
      <c r="A518" s="3">
        <f>IFERROR(__xludf.DUMMYFUNCTION("""COMPUTED_VALUE"""),29970.666666666668)</f>
        <v>29970.66667</v>
      </c>
      <c r="B518" s="2">
        <f>IFERROR(__xludf.DUMMYFUNCTION("""COMPUTED_VALUE"""),14.57)</f>
        <v>14.57</v>
      </c>
      <c r="C518" s="2">
        <f>IFERROR(__xludf.DUMMYFUNCTION("""COMPUTED_VALUE"""),14.83)</f>
        <v>14.83</v>
      </c>
      <c r="D518" s="2">
        <f>IFERROR(__xludf.DUMMYFUNCTION("""COMPUTED_VALUE"""),14.51)</f>
        <v>14.51</v>
      </c>
      <c r="E518" s="2">
        <f>IFERROR(__xludf.DUMMYFUNCTION("""COMPUTED_VALUE"""),14.57)</f>
        <v>14.57</v>
      </c>
      <c r="F518" s="2">
        <f>IFERROR(__xludf.DUMMYFUNCTION("""COMPUTED_VALUE"""),1041200.0)</f>
        <v>1041200</v>
      </c>
    </row>
    <row r="519">
      <c r="A519" s="3">
        <f>IFERROR(__xludf.DUMMYFUNCTION("""COMPUTED_VALUE"""),29971.666666666668)</f>
        <v>29971.66667</v>
      </c>
      <c r="B519" s="2">
        <f>IFERROR(__xludf.DUMMYFUNCTION("""COMPUTED_VALUE"""),14.69)</f>
        <v>14.69</v>
      </c>
      <c r="C519" s="2">
        <f>IFERROR(__xludf.DUMMYFUNCTION("""COMPUTED_VALUE"""),14.81)</f>
        <v>14.81</v>
      </c>
      <c r="D519" s="2">
        <f>IFERROR(__xludf.DUMMYFUNCTION("""COMPUTED_VALUE"""),14.51)</f>
        <v>14.51</v>
      </c>
      <c r="E519" s="2">
        <f>IFERROR(__xludf.DUMMYFUNCTION("""COMPUTED_VALUE"""),14.69)</f>
        <v>14.69</v>
      </c>
      <c r="F519" s="2">
        <f>IFERROR(__xludf.DUMMYFUNCTION("""COMPUTED_VALUE"""),1169200.0)</f>
        <v>1169200</v>
      </c>
    </row>
    <row r="520">
      <c r="A520" s="3">
        <f>IFERROR(__xludf.DUMMYFUNCTION("""COMPUTED_VALUE"""),29972.666666666668)</f>
        <v>29972.66667</v>
      </c>
      <c r="B520" s="2">
        <f>IFERROR(__xludf.DUMMYFUNCTION("""COMPUTED_VALUE"""),14.92)</f>
        <v>14.92</v>
      </c>
      <c r="C520" s="2">
        <f>IFERROR(__xludf.DUMMYFUNCTION("""COMPUTED_VALUE"""),15.04)</f>
        <v>15.04</v>
      </c>
      <c r="D520" s="2">
        <f>IFERROR(__xludf.DUMMYFUNCTION("""COMPUTED_VALUE"""),14.72)</f>
        <v>14.72</v>
      </c>
      <c r="E520" s="2">
        <f>IFERROR(__xludf.DUMMYFUNCTION("""COMPUTED_VALUE"""),14.92)</f>
        <v>14.92</v>
      </c>
      <c r="F520" s="2">
        <f>IFERROR(__xludf.DUMMYFUNCTION("""COMPUTED_VALUE"""),979900.0)</f>
        <v>979900</v>
      </c>
    </row>
    <row r="521">
      <c r="A521" s="3">
        <f>IFERROR(__xludf.DUMMYFUNCTION("""COMPUTED_VALUE"""),29973.666666666668)</f>
        <v>29973.66667</v>
      </c>
      <c r="B521" s="2">
        <f>IFERROR(__xludf.DUMMYFUNCTION("""COMPUTED_VALUE"""),14.72)</f>
        <v>14.72</v>
      </c>
      <c r="C521" s="2">
        <f>IFERROR(__xludf.DUMMYFUNCTION("""COMPUTED_VALUE"""),14.95)</f>
        <v>14.95</v>
      </c>
      <c r="D521" s="2">
        <f>IFERROR(__xludf.DUMMYFUNCTION("""COMPUTED_VALUE"""),14.66)</f>
        <v>14.66</v>
      </c>
      <c r="E521" s="2">
        <f>IFERROR(__xludf.DUMMYFUNCTION("""COMPUTED_VALUE"""),14.72)</f>
        <v>14.72</v>
      </c>
      <c r="F521" s="2">
        <f>IFERROR(__xludf.DUMMYFUNCTION("""COMPUTED_VALUE"""),760200.0)</f>
        <v>760200</v>
      </c>
    </row>
    <row r="522">
      <c r="A522" s="3">
        <f>IFERROR(__xludf.DUMMYFUNCTION("""COMPUTED_VALUE"""),29976.666666666668)</f>
        <v>29976.66667</v>
      </c>
      <c r="B522" s="2">
        <f>IFERROR(__xludf.DUMMYFUNCTION("""COMPUTED_VALUE"""),14.81)</f>
        <v>14.81</v>
      </c>
      <c r="C522" s="2">
        <f>IFERROR(__xludf.DUMMYFUNCTION("""COMPUTED_VALUE"""),14.86)</f>
        <v>14.86</v>
      </c>
      <c r="D522" s="2">
        <f>IFERROR(__xludf.DUMMYFUNCTION("""COMPUTED_VALUE"""),14.57)</f>
        <v>14.57</v>
      </c>
      <c r="E522" s="2">
        <f>IFERROR(__xludf.DUMMYFUNCTION("""COMPUTED_VALUE"""),14.81)</f>
        <v>14.81</v>
      </c>
      <c r="F522" s="2">
        <f>IFERROR(__xludf.DUMMYFUNCTION("""COMPUTED_VALUE"""),701300.0)</f>
        <v>701300</v>
      </c>
    </row>
    <row r="523">
      <c r="A523" s="3">
        <f>IFERROR(__xludf.DUMMYFUNCTION("""COMPUTED_VALUE"""),29977.666666666668)</f>
        <v>29977.66667</v>
      </c>
      <c r="B523" s="2">
        <f>IFERROR(__xludf.DUMMYFUNCTION("""COMPUTED_VALUE"""),14.75)</f>
        <v>14.75</v>
      </c>
      <c r="C523" s="2">
        <f>IFERROR(__xludf.DUMMYFUNCTION("""COMPUTED_VALUE"""),14.92)</f>
        <v>14.92</v>
      </c>
      <c r="D523" s="2">
        <f>IFERROR(__xludf.DUMMYFUNCTION("""COMPUTED_VALUE"""),14.72)</f>
        <v>14.72</v>
      </c>
      <c r="E523" s="2">
        <f>IFERROR(__xludf.DUMMYFUNCTION("""COMPUTED_VALUE"""),14.75)</f>
        <v>14.75</v>
      </c>
      <c r="F523" s="2">
        <f>IFERROR(__xludf.DUMMYFUNCTION("""COMPUTED_VALUE"""),656300.0)</f>
        <v>656300</v>
      </c>
    </row>
    <row r="524">
      <c r="A524" s="3">
        <f>IFERROR(__xludf.DUMMYFUNCTION("""COMPUTED_VALUE"""),29978.666666666668)</f>
        <v>29978.66667</v>
      </c>
      <c r="B524" s="2">
        <f>IFERROR(__xludf.DUMMYFUNCTION("""COMPUTED_VALUE"""),14.95)</f>
        <v>14.95</v>
      </c>
      <c r="C524" s="2">
        <f>IFERROR(__xludf.DUMMYFUNCTION("""COMPUTED_VALUE"""),14.98)</f>
        <v>14.98</v>
      </c>
      <c r="D524" s="2">
        <f>IFERROR(__xludf.DUMMYFUNCTION("""COMPUTED_VALUE"""),14.69)</f>
        <v>14.69</v>
      </c>
      <c r="E524" s="2">
        <f>IFERROR(__xludf.DUMMYFUNCTION("""COMPUTED_VALUE"""),14.95)</f>
        <v>14.95</v>
      </c>
      <c r="F524" s="2">
        <f>IFERROR(__xludf.DUMMYFUNCTION("""COMPUTED_VALUE"""),550800.0)</f>
        <v>550800</v>
      </c>
    </row>
    <row r="525">
      <c r="A525" s="3">
        <f>IFERROR(__xludf.DUMMYFUNCTION("""COMPUTED_VALUE"""),29979.666666666668)</f>
        <v>29979.66667</v>
      </c>
      <c r="B525" s="2">
        <f>IFERROR(__xludf.DUMMYFUNCTION("""COMPUTED_VALUE"""),15.37)</f>
        <v>15.37</v>
      </c>
      <c r="C525" s="2">
        <f>IFERROR(__xludf.DUMMYFUNCTION("""COMPUTED_VALUE"""),15.4)</f>
        <v>15.4</v>
      </c>
      <c r="D525" s="2">
        <f>IFERROR(__xludf.DUMMYFUNCTION("""COMPUTED_VALUE"""),15.04)</f>
        <v>15.04</v>
      </c>
      <c r="E525" s="2">
        <f>IFERROR(__xludf.DUMMYFUNCTION("""COMPUTED_VALUE"""),15.37)</f>
        <v>15.37</v>
      </c>
      <c r="F525" s="2">
        <f>IFERROR(__xludf.DUMMYFUNCTION("""COMPUTED_VALUE"""),1149500.0)</f>
        <v>1149500</v>
      </c>
    </row>
    <row r="526">
      <c r="A526" s="3">
        <f>IFERROR(__xludf.DUMMYFUNCTION("""COMPUTED_VALUE"""),29980.666666666668)</f>
        <v>29980.66667</v>
      </c>
      <c r="B526" s="2">
        <f>IFERROR(__xludf.DUMMYFUNCTION("""COMPUTED_VALUE"""),15.19)</f>
        <v>15.19</v>
      </c>
      <c r="C526" s="2">
        <f>IFERROR(__xludf.DUMMYFUNCTION("""COMPUTED_VALUE"""),15.46)</f>
        <v>15.46</v>
      </c>
      <c r="D526" s="2">
        <f>IFERROR(__xludf.DUMMYFUNCTION("""COMPUTED_VALUE"""),15.19)</f>
        <v>15.19</v>
      </c>
      <c r="E526" s="2">
        <f>IFERROR(__xludf.DUMMYFUNCTION("""COMPUTED_VALUE"""),15.19)</f>
        <v>15.19</v>
      </c>
      <c r="F526" s="2">
        <f>IFERROR(__xludf.DUMMYFUNCTION("""COMPUTED_VALUE"""),702400.0)</f>
        <v>702400</v>
      </c>
    </row>
    <row r="527">
      <c r="A527" s="3">
        <f>IFERROR(__xludf.DUMMYFUNCTION("""COMPUTED_VALUE"""),29983.666666666668)</f>
        <v>29983.66667</v>
      </c>
      <c r="B527" s="2">
        <f>IFERROR(__xludf.DUMMYFUNCTION("""COMPUTED_VALUE"""),14.95)</f>
        <v>14.95</v>
      </c>
      <c r="C527" s="2">
        <f>IFERROR(__xludf.DUMMYFUNCTION("""COMPUTED_VALUE"""),15.13)</f>
        <v>15.13</v>
      </c>
      <c r="D527" s="2">
        <f>IFERROR(__xludf.DUMMYFUNCTION("""COMPUTED_VALUE"""),14.92)</f>
        <v>14.92</v>
      </c>
      <c r="E527" s="2">
        <f>IFERROR(__xludf.DUMMYFUNCTION("""COMPUTED_VALUE"""),14.95)</f>
        <v>14.95</v>
      </c>
      <c r="F527" s="2">
        <f>IFERROR(__xludf.DUMMYFUNCTION("""COMPUTED_VALUE"""),684900.0)</f>
        <v>684900</v>
      </c>
    </row>
    <row r="528">
      <c r="A528" s="3">
        <f>IFERROR(__xludf.DUMMYFUNCTION("""COMPUTED_VALUE"""),29984.666666666668)</f>
        <v>29984.66667</v>
      </c>
      <c r="B528" s="2">
        <f>IFERROR(__xludf.DUMMYFUNCTION("""COMPUTED_VALUE"""),15.04)</f>
        <v>15.04</v>
      </c>
      <c r="C528" s="2">
        <f>IFERROR(__xludf.DUMMYFUNCTION("""COMPUTED_VALUE"""),15.16)</f>
        <v>15.16</v>
      </c>
      <c r="D528" s="2">
        <f>IFERROR(__xludf.DUMMYFUNCTION("""COMPUTED_VALUE"""),14.89)</f>
        <v>14.89</v>
      </c>
      <c r="E528" s="2">
        <f>IFERROR(__xludf.DUMMYFUNCTION("""COMPUTED_VALUE"""),15.04)</f>
        <v>15.04</v>
      </c>
      <c r="F528" s="2">
        <f>IFERROR(__xludf.DUMMYFUNCTION("""COMPUTED_VALUE"""),618000.0)</f>
        <v>618000</v>
      </c>
    </row>
    <row r="529">
      <c r="A529" s="3">
        <f>IFERROR(__xludf.DUMMYFUNCTION("""COMPUTED_VALUE"""),29985.666666666668)</f>
        <v>29985.66667</v>
      </c>
      <c r="B529" s="2">
        <f>IFERROR(__xludf.DUMMYFUNCTION("""COMPUTED_VALUE"""),14.98)</f>
        <v>14.98</v>
      </c>
      <c r="C529" s="2">
        <f>IFERROR(__xludf.DUMMYFUNCTION("""COMPUTED_VALUE"""),15.1)</f>
        <v>15.1</v>
      </c>
      <c r="D529" s="2">
        <f>IFERROR(__xludf.DUMMYFUNCTION("""COMPUTED_VALUE"""),14.69)</f>
        <v>14.69</v>
      </c>
      <c r="E529" s="2">
        <f>IFERROR(__xludf.DUMMYFUNCTION("""COMPUTED_VALUE"""),14.98)</f>
        <v>14.98</v>
      </c>
      <c r="F529" s="2">
        <f>IFERROR(__xludf.DUMMYFUNCTION("""COMPUTED_VALUE"""),778600.0)</f>
        <v>778600</v>
      </c>
    </row>
    <row r="530">
      <c r="A530" s="3">
        <f>IFERROR(__xludf.DUMMYFUNCTION("""COMPUTED_VALUE"""),29986.666666666668)</f>
        <v>29986.66667</v>
      </c>
      <c r="B530" s="2">
        <f>IFERROR(__xludf.DUMMYFUNCTION("""COMPUTED_VALUE"""),15.1)</f>
        <v>15.1</v>
      </c>
      <c r="C530" s="2">
        <f>IFERROR(__xludf.DUMMYFUNCTION("""COMPUTED_VALUE"""),15.16)</f>
        <v>15.16</v>
      </c>
      <c r="D530" s="2">
        <f>IFERROR(__xludf.DUMMYFUNCTION("""COMPUTED_VALUE"""),14.72)</f>
        <v>14.72</v>
      </c>
      <c r="E530" s="2">
        <f>IFERROR(__xludf.DUMMYFUNCTION("""COMPUTED_VALUE"""),15.1)</f>
        <v>15.1</v>
      </c>
      <c r="F530" s="2">
        <f>IFERROR(__xludf.DUMMYFUNCTION("""COMPUTED_VALUE"""),745000.0)</f>
        <v>745000</v>
      </c>
    </row>
    <row r="531">
      <c r="A531" s="3">
        <f>IFERROR(__xludf.DUMMYFUNCTION("""COMPUTED_VALUE"""),29987.666666666668)</f>
        <v>29987.66667</v>
      </c>
      <c r="B531" s="2">
        <f>IFERROR(__xludf.DUMMYFUNCTION("""COMPUTED_VALUE"""),15.1)</f>
        <v>15.1</v>
      </c>
      <c r="C531" s="2">
        <f>IFERROR(__xludf.DUMMYFUNCTION("""COMPUTED_VALUE"""),15.28)</f>
        <v>15.28</v>
      </c>
      <c r="D531" s="2">
        <f>IFERROR(__xludf.DUMMYFUNCTION("""COMPUTED_VALUE"""),15.01)</f>
        <v>15.01</v>
      </c>
      <c r="E531" s="2">
        <f>IFERROR(__xludf.DUMMYFUNCTION("""COMPUTED_VALUE"""),15.1)</f>
        <v>15.1</v>
      </c>
      <c r="F531" s="2">
        <f>IFERROR(__xludf.DUMMYFUNCTION("""COMPUTED_VALUE"""),772100.0)</f>
        <v>772100</v>
      </c>
    </row>
    <row r="532">
      <c r="A532" s="3">
        <f>IFERROR(__xludf.DUMMYFUNCTION("""COMPUTED_VALUE"""),29990.666666666668)</f>
        <v>29990.66667</v>
      </c>
      <c r="B532" s="2">
        <f>IFERROR(__xludf.DUMMYFUNCTION("""COMPUTED_VALUE"""),14.69)</f>
        <v>14.69</v>
      </c>
      <c r="C532" s="2">
        <f>IFERROR(__xludf.DUMMYFUNCTION("""COMPUTED_VALUE"""),15.04)</f>
        <v>15.04</v>
      </c>
      <c r="D532" s="2">
        <f>IFERROR(__xludf.DUMMYFUNCTION("""COMPUTED_VALUE"""),14.66)</f>
        <v>14.66</v>
      </c>
      <c r="E532" s="2">
        <f>IFERROR(__xludf.DUMMYFUNCTION("""COMPUTED_VALUE"""),14.69)</f>
        <v>14.69</v>
      </c>
      <c r="F532" s="2">
        <f>IFERROR(__xludf.DUMMYFUNCTION("""COMPUTED_VALUE"""),500700.0)</f>
        <v>500700</v>
      </c>
    </row>
    <row r="533">
      <c r="A533" s="3">
        <f>IFERROR(__xludf.DUMMYFUNCTION("""COMPUTED_VALUE"""),29991.666666666668)</f>
        <v>29991.66667</v>
      </c>
      <c r="B533" s="2">
        <f>IFERROR(__xludf.DUMMYFUNCTION("""COMPUTED_VALUE"""),14.66)</f>
        <v>14.66</v>
      </c>
      <c r="C533" s="2">
        <f>IFERROR(__xludf.DUMMYFUNCTION("""COMPUTED_VALUE"""),14.75)</f>
        <v>14.75</v>
      </c>
      <c r="D533" s="2">
        <f>IFERROR(__xludf.DUMMYFUNCTION("""COMPUTED_VALUE"""),14.57)</f>
        <v>14.57</v>
      </c>
      <c r="E533" s="2">
        <f>IFERROR(__xludf.DUMMYFUNCTION("""COMPUTED_VALUE"""),14.66)</f>
        <v>14.66</v>
      </c>
      <c r="F533" s="2">
        <f>IFERROR(__xludf.DUMMYFUNCTION("""COMPUTED_VALUE"""),843800.0)</f>
        <v>843800</v>
      </c>
    </row>
    <row r="534">
      <c r="A534" s="3">
        <f>IFERROR(__xludf.DUMMYFUNCTION("""COMPUTED_VALUE"""),29992.666666666668)</f>
        <v>29992.66667</v>
      </c>
      <c r="B534" s="2">
        <f>IFERROR(__xludf.DUMMYFUNCTION("""COMPUTED_VALUE"""),14.78)</f>
        <v>14.78</v>
      </c>
      <c r="C534" s="2">
        <f>IFERROR(__xludf.DUMMYFUNCTION("""COMPUTED_VALUE"""),14.89)</f>
        <v>14.89</v>
      </c>
      <c r="D534" s="2">
        <f>IFERROR(__xludf.DUMMYFUNCTION("""COMPUTED_VALUE"""),14.72)</f>
        <v>14.72</v>
      </c>
      <c r="E534" s="2">
        <f>IFERROR(__xludf.DUMMYFUNCTION("""COMPUTED_VALUE"""),14.78)</f>
        <v>14.78</v>
      </c>
      <c r="F534" s="2">
        <f>IFERROR(__xludf.DUMMYFUNCTION("""COMPUTED_VALUE"""),832800.0)</f>
        <v>832800</v>
      </c>
    </row>
    <row r="535">
      <c r="A535" s="3">
        <f>IFERROR(__xludf.DUMMYFUNCTION("""COMPUTED_VALUE"""),29993.666666666668)</f>
        <v>29993.66667</v>
      </c>
      <c r="B535" s="2">
        <f>IFERROR(__xludf.DUMMYFUNCTION("""COMPUTED_VALUE"""),14.63)</f>
        <v>14.63</v>
      </c>
      <c r="C535" s="2">
        <f>IFERROR(__xludf.DUMMYFUNCTION("""COMPUTED_VALUE"""),14.81)</f>
        <v>14.81</v>
      </c>
      <c r="D535" s="2">
        <f>IFERROR(__xludf.DUMMYFUNCTION("""COMPUTED_VALUE"""),14.54)</f>
        <v>14.54</v>
      </c>
      <c r="E535" s="2">
        <f>IFERROR(__xludf.DUMMYFUNCTION("""COMPUTED_VALUE"""),14.63)</f>
        <v>14.63</v>
      </c>
      <c r="F535" s="2">
        <f>IFERROR(__xludf.DUMMYFUNCTION("""COMPUTED_VALUE"""),426400.0)</f>
        <v>426400</v>
      </c>
    </row>
    <row r="536">
      <c r="A536" s="3">
        <f>IFERROR(__xludf.DUMMYFUNCTION("""COMPUTED_VALUE"""),29994.666666666668)</f>
        <v>29994.66667</v>
      </c>
      <c r="B536" s="2">
        <f>IFERROR(__xludf.DUMMYFUNCTION("""COMPUTED_VALUE"""),14.57)</f>
        <v>14.57</v>
      </c>
      <c r="C536" s="2">
        <f>IFERROR(__xludf.DUMMYFUNCTION("""COMPUTED_VALUE"""),14.75)</f>
        <v>14.75</v>
      </c>
      <c r="D536" s="2">
        <f>IFERROR(__xludf.DUMMYFUNCTION("""COMPUTED_VALUE"""),14.57)</f>
        <v>14.57</v>
      </c>
      <c r="E536" s="2">
        <f>IFERROR(__xludf.DUMMYFUNCTION("""COMPUTED_VALUE"""),14.57)</f>
        <v>14.57</v>
      </c>
      <c r="F536" s="2">
        <f>IFERROR(__xludf.DUMMYFUNCTION("""COMPUTED_VALUE"""),296600.0)</f>
        <v>296600</v>
      </c>
    </row>
    <row r="537">
      <c r="A537" s="3">
        <f>IFERROR(__xludf.DUMMYFUNCTION("""COMPUTED_VALUE"""),29998.666666666668)</f>
        <v>29998.66667</v>
      </c>
      <c r="B537" s="2">
        <f>IFERROR(__xludf.DUMMYFUNCTION("""COMPUTED_VALUE"""),14.86)</f>
        <v>14.86</v>
      </c>
      <c r="C537" s="2">
        <f>IFERROR(__xludf.DUMMYFUNCTION("""COMPUTED_VALUE"""),14.89)</f>
        <v>14.89</v>
      </c>
      <c r="D537" s="2">
        <f>IFERROR(__xludf.DUMMYFUNCTION("""COMPUTED_VALUE"""),14.36)</f>
        <v>14.36</v>
      </c>
      <c r="E537" s="2">
        <f>IFERROR(__xludf.DUMMYFUNCTION("""COMPUTED_VALUE"""),14.86)</f>
        <v>14.86</v>
      </c>
      <c r="F537" s="2">
        <f>IFERROR(__xludf.DUMMYFUNCTION("""COMPUTED_VALUE"""),774400.0)</f>
        <v>774400</v>
      </c>
    </row>
    <row r="538">
      <c r="A538" s="3">
        <f>IFERROR(__xludf.DUMMYFUNCTION("""COMPUTED_VALUE"""),29999.666666666668)</f>
        <v>29999.66667</v>
      </c>
      <c r="B538" s="2">
        <f>IFERROR(__xludf.DUMMYFUNCTION("""COMPUTED_VALUE"""),14.86)</f>
        <v>14.86</v>
      </c>
      <c r="C538" s="2">
        <f>IFERROR(__xludf.DUMMYFUNCTION("""COMPUTED_VALUE"""),15.1)</f>
        <v>15.1</v>
      </c>
      <c r="D538" s="2">
        <f>IFERROR(__xludf.DUMMYFUNCTION("""COMPUTED_VALUE"""),14.81)</f>
        <v>14.81</v>
      </c>
      <c r="E538" s="2">
        <f>IFERROR(__xludf.DUMMYFUNCTION("""COMPUTED_VALUE"""),14.86)</f>
        <v>14.86</v>
      </c>
      <c r="F538" s="2">
        <f>IFERROR(__xludf.DUMMYFUNCTION("""COMPUTED_VALUE"""),703800.0)</f>
        <v>703800</v>
      </c>
    </row>
    <row r="539">
      <c r="A539" s="3">
        <f>IFERROR(__xludf.DUMMYFUNCTION("""COMPUTED_VALUE"""),30000.666666666668)</f>
        <v>30000.66667</v>
      </c>
      <c r="B539" s="2">
        <f>IFERROR(__xludf.DUMMYFUNCTION("""COMPUTED_VALUE"""),14.98)</f>
        <v>14.98</v>
      </c>
      <c r="C539" s="2">
        <f>IFERROR(__xludf.DUMMYFUNCTION("""COMPUTED_VALUE"""),15.04)</f>
        <v>15.04</v>
      </c>
      <c r="D539" s="2">
        <f>IFERROR(__xludf.DUMMYFUNCTION("""COMPUTED_VALUE"""),14.92)</f>
        <v>14.92</v>
      </c>
      <c r="E539" s="2">
        <f>IFERROR(__xludf.DUMMYFUNCTION("""COMPUTED_VALUE"""),14.98)</f>
        <v>14.98</v>
      </c>
      <c r="F539" s="2">
        <f>IFERROR(__xludf.DUMMYFUNCTION("""COMPUTED_VALUE"""),638300.0)</f>
        <v>638300</v>
      </c>
    </row>
    <row r="540">
      <c r="A540" s="3">
        <f>IFERROR(__xludf.DUMMYFUNCTION("""COMPUTED_VALUE"""),30001.666666666668)</f>
        <v>30001.66667</v>
      </c>
      <c r="B540" s="2">
        <f>IFERROR(__xludf.DUMMYFUNCTION("""COMPUTED_VALUE"""),14.89)</f>
        <v>14.89</v>
      </c>
      <c r="C540" s="2">
        <f>IFERROR(__xludf.DUMMYFUNCTION("""COMPUTED_VALUE"""),15.04)</f>
        <v>15.04</v>
      </c>
      <c r="D540" s="2">
        <f>IFERROR(__xludf.DUMMYFUNCTION("""COMPUTED_VALUE"""),14.72)</f>
        <v>14.72</v>
      </c>
      <c r="E540" s="2">
        <f>IFERROR(__xludf.DUMMYFUNCTION("""COMPUTED_VALUE"""),14.89)</f>
        <v>14.89</v>
      </c>
      <c r="F540" s="2">
        <f>IFERROR(__xludf.DUMMYFUNCTION("""COMPUTED_VALUE"""),594300.0)</f>
        <v>594300</v>
      </c>
    </row>
    <row r="541">
      <c r="A541" s="3">
        <f>IFERROR(__xludf.DUMMYFUNCTION("""COMPUTED_VALUE"""),30004.666666666668)</f>
        <v>30004.66667</v>
      </c>
      <c r="B541" s="2">
        <f>IFERROR(__xludf.DUMMYFUNCTION("""COMPUTED_VALUE"""),14.42)</f>
        <v>14.42</v>
      </c>
      <c r="C541" s="2">
        <f>IFERROR(__xludf.DUMMYFUNCTION("""COMPUTED_VALUE"""),15.01)</f>
        <v>15.01</v>
      </c>
      <c r="D541" s="2">
        <f>IFERROR(__xludf.DUMMYFUNCTION("""COMPUTED_VALUE"""),14.36)</f>
        <v>14.36</v>
      </c>
      <c r="E541" s="2">
        <f>IFERROR(__xludf.DUMMYFUNCTION("""COMPUTED_VALUE"""),14.42)</f>
        <v>14.42</v>
      </c>
      <c r="F541" s="2">
        <f>IFERROR(__xludf.DUMMYFUNCTION("""COMPUTED_VALUE"""),1173800.0)</f>
        <v>1173800</v>
      </c>
    </row>
    <row r="542">
      <c r="A542" s="3">
        <f>IFERROR(__xludf.DUMMYFUNCTION("""COMPUTED_VALUE"""),30005.666666666668)</f>
        <v>30005.66667</v>
      </c>
      <c r="B542" s="2">
        <f>IFERROR(__xludf.DUMMYFUNCTION("""COMPUTED_VALUE"""),14.54)</f>
        <v>14.54</v>
      </c>
      <c r="C542" s="2">
        <f>IFERROR(__xludf.DUMMYFUNCTION("""COMPUTED_VALUE"""),14.66)</f>
        <v>14.66</v>
      </c>
      <c r="D542" s="2">
        <f>IFERROR(__xludf.DUMMYFUNCTION("""COMPUTED_VALUE"""),14.27)</f>
        <v>14.27</v>
      </c>
      <c r="E542" s="2">
        <f>IFERROR(__xludf.DUMMYFUNCTION("""COMPUTED_VALUE"""),14.54)</f>
        <v>14.54</v>
      </c>
      <c r="F542" s="2">
        <f>IFERROR(__xludf.DUMMYFUNCTION("""COMPUTED_VALUE"""),677300.0)</f>
        <v>677300</v>
      </c>
    </row>
    <row r="543">
      <c r="A543" s="3">
        <f>IFERROR(__xludf.DUMMYFUNCTION("""COMPUTED_VALUE"""),30006.666666666668)</f>
        <v>30006.66667</v>
      </c>
      <c r="B543" s="2">
        <f>IFERROR(__xludf.DUMMYFUNCTION("""COMPUTED_VALUE"""),14.81)</f>
        <v>14.81</v>
      </c>
      <c r="C543" s="2">
        <f>IFERROR(__xludf.DUMMYFUNCTION("""COMPUTED_VALUE"""),14.83)</f>
        <v>14.83</v>
      </c>
      <c r="D543" s="2">
        <f>IFERROR(__xludf.DUMMYFUNCTION("""COMPUTED_VALUE"""),14.36)</f>
        <v>14.36</v>
      </c>
      <c r="E543" s="2">
        <f>IFERROR(__xludf.DUMMYFUNCTION("""COMPUTED_VALUE"""),14.81)</f>
        <v>14.81</v>
      </c>
      <c r="F543" s="2">
        <f>IFERROR(__xludf.DUMMYFUNCTION("""COMPUTED_VALUE"""),704100.0)</f>
        <v>704100</v>
      </c>
    </row>
    <row r="544">
      <c r="A544" s="3">
        <f>IFERROR(__xludf.DUMMYFUNCTION("""COMPUTED_VALUE"""),30007.666666666668)</f>
        <v>30007.66667</v>
      </c>
      <c r="B544" s="2">
        <f>IFERROR(__xludf.DUMMYFUNCTION("""COMPUTED_VALUE"""),14.72)</f>
        <v>14.72</v>
      </c>
      <c r="C544" s="2">
        <f>IFERROR(__xludf.DUMMYFUNCTION("""COMPUTED_VALUE"""),14.92)</f>
        <v>14.92</v>
      </c>
      <c r="D544" s="2">
        <f>IFERROR(__xludf.DUMMYFUNCTION("""COMPUTED_VALUE"""),14.69)</f>
        <v>14.69</v>
      </c>
      <c r="E544" s="2">
        <f>IFERROR(__xludf.DUMMYFUNCTION("""COMPUTED_VALUE"""),14.72)</f>
        <v>14.72</v>
      </c>
      <c r="F544" s="2">
        <f>IFERROR(__xludf.DUMMYFUNCTION("""COMPUTED_VALUE"""),630000.0)</f>
        <v>630000</v>
      </c>
    </row>
    <row r="545">
      <c r="A545" s="3">
        <f>IFERROR(__xludf.DUMMYFUNCTION("""COMPUTED_VALUE"""),30008.666666666668)</f>
        <v>30008.66667</v>
      </c>
      <c r="B545" s="2">
        <f>IFERROR(__xludf.DUMMYFUNCTION("""COMPUTED_VALUE"""),14.78)</f>
        <v>14.78</v>
      </c>
      <c r="C545" s="2">
        <f>IFERROR(__xludf.DUMMYFUNCTION("""COMPUTED_VALUE"""),14.78)</f>
        <v>14.78</v>
      </c>
      <c r="D545" s="2">
        <f>IFERROR(__xludf.DUMMYFUNCTION("""COMPUTED_VALUE"""),14.6)</f>
        <v>14.6</v>
      </c>
      <c r="E545" s="2">
        <f>IFERROR(__xludf.DUMMYFUNCTION("""COMPUTED_VALUE"""),14.78)</f>
        <v>14.78</v>
      </c>
      <c r="F545" s="2">
        <f>IFERROR(__xludf.DUMMYFUNCTION("""COMPUTED_VALUE"""),464900.0)</f>
        <v>464900</v>
      </c>
    </row>
    <row r="546">
      <c r="A546" s="3">
        <f>IFERROR(__xludf.DUMMYFUNCTION("""COMPUTED_VALUE"""),30011.666666666668)</f>
        <v>30011.66667</v>
      </c>
      <c r="B546" s="2">
        <f>IFERROR(__xludf.DUMMYFUNCTION("""COMPUTED_VALUE"""),14.83)</f>
        <v>14.83</v>
      </c>
      <c r="C546" s="2">
        <f>IFERROR(__xludf.DUMMYFUNCTION("""COMPUTED_VALUE"""),14.98)</f>
        <v>14.98</v>
      </c>
      <c r="D546" s="2">
        <f>IFERROR(__xludf.DUMMYFUNCTION("""COMPUTED_VALUE"""),14.69)</f>
        <v>14.69</v>
      </c>
      <c r="E546" s="2">
        <f>IFERROR(__xludf.DUMMYFUNCTION("""COMPUTED_VALUE"""),14.83)</f>
        <v>14.83</v>
      </c>
      <c r="F546" s="2">
        <f>IFERROR(__xludf.DUMMYFUNCTION("""COMPUTED_VALUE"""),667700.0)</f>
        <v>667700</v>
      </c>
    </row>
    <row r="547">
      <c r="A547" s="3">
        <f>IFERROR(__xludf.DUMMYFUNCTION("""COMPUTED_VALUE"""),30012.666666666668)</f>
        <v>30012.66667</v>
      </c>
      <c r="B547" s="2">
        <f>IFERROR(__xludf.DUMMYFUNCTION("""COMPUTED_VALUE"""),14.57)</f>
        <v>14.57</v>
      </c>
      <c r="C547" s="2">
        <f>IFERROR(__xludf.DUMMYFUNCTION("""COMPUTED_VALUE"""),14.89)</f>
        <v>14.89</v>
      </c>
      <c r="D547" s="2">
        <f>IFERROR(__xludf.DUMMYFUNCTION("""COMPUTED_VALUE"""),14.54)</f>
        <v>14.54</v>
      </c>
      <c r="E547" s="2">
        <f>IFERROR(__xludf.DUMMYFUNCTION("""COMPUTED_VALUE"""),14.57)</f>
        <v>14.57</v>
      </c>
      <c r="F547" s="2">
        <f>IFERROR(__xludf.DUMMYFUNCTION("""COMPUTED_VALUE"""),645100.0)</f>
        <v>645100</v>
      </c>
    </row>
    <row r="548">
      <c r="A548" s="3">
        <f>IFERROR(__xludf.DUMMYFUNCTION("""COMPUTED_VALUE"""),30013.666666666668)</f>
        <v>30013.66667</v>
      </c>
      <c r="B548" s="2">
        <f>IFERROR(__xludf.DUMMYFUNCTION("""COMPUTED_VALUE"""),14.3)</f>
        <v>14.3</v>
      </c>
      <c r="C548" s="2">
        <f>IFERROR(__xludf.DUMMYFUNCTION("""COMPUTED_VALUE"""),14.54)</f>
        <v>14.54</v>
      </c>
      <c r="D548" s="2">
        <f>IFERROR(__xludf.DUMMYFUNCTION("""COMPUTED_VALUE"""),14.24)</f>
        <v>14.24</v>
      </c>
      <c r="E548" s="2">
        <f>IFERROR(__xludf.DUMMYFUNCTION("""COMPUTED_VALUE"""),14.3)</f>
        <v>14.3</v>
      </c>
      <c r="F548" s="2">
        <f>IFERROR(__xludf.DUMMYFUNCTION("""COMPUTED_VALUE"""),1058900.0)</f>
        <v>1058900</v>
      </c>
    </row>
    <row r="549">
      <c r="A549" s="3">
        <f>IFERROR(__xludf.DUMMYFUNCTION("""COMPUTED_VALUE"""),30014.666666666668)</f>
        <v>30014.66667</v>
      </c>
      <c r="B549" s="2">
        <f>IFERROR(__xludf.DUMMYFUNCTION("""COMPUTED_VALUE"""),14.12)</f>
        <v>14.12</v>
      </c>
      <c r="C549" s="2">
        <f>IFERROR(__xludf.DUMMYFUNCTION("""COMPUTED_VALUE"""),14.33)</f>
        <v>14.33</v>
      </c>
      <c r="D549" s="2">
        <f>IFERROR(__xludf.DUMMYFUNCTION("""COMPUTED_VALUE"""),13.97)</f>
        <v>13.97</v>
      </c>
      <c r="E549" s="2">
        <f>IFERROR(__xludf.DUMMYFUNCTION("""COMPUTED_VALUE"""),14.12)</f>
        <v>14.12</v>
      </c>
      <c r="F549" s="2">
        <f>IFERROR(__xludf.DUMMYFUNCTION("""COMPUTED_VALUE"""),887400.0)</f>
        <v>887400</v>
      </c>
    </row>
    <row r="550">
      <c r="A550" s="3">
        <f>IFERROR(__xludf.DUMMYFUNCTION("""COMPUTED_VALUE"""),30015.666666666668)</f>
        <v>30015.66667</v>
      </c>
      <c r="B550" s="2">
        <f>IFERROR(__xludf.DUMMYFUNCTION("""COMPUTED_VALUE"""),13.97)</f>
        <v>13.97</v>
      </c>
      <c r="C550" s="2">
        <f>IFERROR(__xludf.DUMMYFUNCTION("""COMPUTED_VALUE"""),14.18)</f>
        <v>14.18</v>
      </c>
      <c r="D550" s="2">
        <f>IFERROR(__xludf.DUMMYFUNCTION("""COMPUTED_VALUE"""),13.88)</f>
        <v>13.88</v>
      </c>
      <c r="E550" s="2">
        <f>IFERROR(__xludf.DUMMYFUNCTION("""COMPUTED_VALUE"""),13.97)</f>
        <v>13.97</v>
      </c>
      <c r="F550" s="2">
        <f>IFERROR(__xludf.DUMMYFUNCTION("""COMPUTED_VALUE"""),1069100.0)</f>
        <v>1069100</v>
      </c>
    </row>
    <row r="551">
      <c r="A551" s="3">
        <f>IFERROR(__xludf.DUMMYFUNCTION("""COMPUTED_VALUE"""),30018.666666666668)</f>
        <v>30018.66667</v>
      </c>
      <c r="B551" s="2">
        <f>IFERROR(__xludf.DUMMYFUNCTION("""COMPUTED_VALUE"""),13.73)</f>
        <v>13.73</v>
      </c>
      <c r="C551" s="2">
        <f>IFERROR(__xludf.DUMMYFUNCTION("""COMPUTED_VALUE"""),14.15)</f>
        <v>14.15</v>
      </c>
      <c r="D551" s="2">
        <f>IFERROR(__xludf.DUMMYFUNCTION("""COMPUTED_VALUE"""),13.7)</f>
        <v>13.7</v>
      </c>
      <c r="E551" s="2">
        <f>IFERROR(__xludf.DUMMYFUNCTION("""COMPUTED_VALUE"""),13.73)</f>
        <v>13.73</v>
      </c>
      <c r="F551" s="2">
        <f>IFERROR(__xludf.DUMMYFUNCTION("""COMPUTED_VALUE"""),729800.0)</f>
        <v>729800</v>
      </c>
    </row>
    <row r="552">
      <c r="A552" s="3">
        <f>IFERROR(__xludf.DUMMYFUNCTION("""COMPUTED_VALUE"""),30019.666666666668)</f>
        <v>30019.66667</v>
      </c>
      <c r="B552" s="2">
        <f>IFERROR(__xludf.DUMMYFUNCTION("""COMPUTED_VALUE"""),14.0)</f>
        <v>14</v>
      </c>
      <c r="C552" s="2">
        <f>IFERROR(__xludf.DUMMYFUNCTION("""COMPUTED_VALUE"""),14.21)</f>
        <v>14.21</v>
      </c>
      <c r="D552" s="2">
        <f>IFERROR(__xludf.DUMMYFUNCTION("""COMPUTED_VALUE"""),13.64)</f>
        <v>13.64</v>
      </c>
      <c r="E552" s="2">
        <f>IFERROR(__xludf.DUMMYFUNCTION("""COMPUTED_VALUE"""),14.0)</f>
        <v>14</v>
      </c>
      <c r="F552" s="2">
        <f>IFERROR(__xludf.DUMMYFUNCTION("""COMPUTED_VALUE"""),1217100.0)</f>
        <v>1217100</v>
      </c>
    </row>
    <row r="553">
      <c r="A553" s="3">
        <f>IFERROR(__xludf.DUMMYFUNCTION("""COMPUTED_VALUE"""),30020.666666666668)</f>
        <v>30020.66667</v>
      </c>
      <c r="B553" s="2">
        <f>IFERROR(__xludf.DUMMYFUNCTION("""COMPUTED_VALUE"""),14.09)</f>
        <v>14.09</v>
      </c>
      <c r="C553" s="2">
        <f>IFERROR(__xludf.DUMMYFUNCTION("""COMPUTED_VALUE"""),14.24)</f>
        <v>14.24</v>
      </c>
      <c r="D553" s="2">
        <f>IFERROR(__xludf.DUMMYFUNCTION("""COMPUTED_VALUE"""),14.0)</f>
        <v>14</v>
      </c>
      <c r="E553" s="2">
        <f>IFERROR(__xludf.DUMMYFUNCTION("""COMPUTED_VALUE"""),14.09)</f>
        <v>14.09</v>
      </c>
      <c r="F553" s="2">
        <f>IFERROR(__xludf.DUMMYFUNCTION("""COMPUTED_VALUE"""),587400.0)</f>
        <v>587400</v>
      </c>
    </row>
    <row r="554">
      <c r="A554" s="3">
        <f>IFERROR(__xludf.DUMMYFUNCTION("""COMPUTED_VALUE"""),30021.666666666668)</f>
        <v>30021.66667</v>
      </c>
      <c r="B554" s="2">
        <f>IFERROR(__xludf.DUMMYFUNCTION("""COMPUTED_VALUE"""),13.91)</f>
        <v>13.91</v>
      </c>
      <c r="C554" s="2">
        <f>IFERROR(__xludf.DUMMYFUNCTION("""COMPUTED_VALUE"""),14.18)</f>
        <v>14.18</v>
      </c>
      <c r="D554" s="2">
        <f>IFERROR(__xludf.DUMMYFUNCTION("""COMPUTED_VALUE"""),13.88)</f>
        <v>13.88</v>
      </c>
      <c r="E554" s="2">
        <f>IFERROR(__xludf.DUMMYFUNCTION("""COMPUTED_VALUE"""),13.91)</f>
        <v>13.91</v>
      </c>
      <c r="F554" s="2">
        <f>IFERROR(__xludf.DUMMYFUNCTION("""COMPUTED_VALUE"""),838600.0)</f>
        <v>838600</v>
      </c>
    </row>
    <row r="555">
      <c r="A555" s="3">
        <f>IFERROR(__xludf.DUMMYFUNCTION("""COMPUTED_VALUE"""),30022.666666666668)</f>
        <v>30022.66667</v>
      </c>
      <c r="B555" s="2">
        <f>IFERROR(__xludf.DUMMYFUNCTION("""COMPUTED_VALUE"""),13.82)</f>
        <v>13.82</v>
      </c>
      <c r="C555" s="2">
        <f>IFERROR(__xludf.DUMMYFUNCTION("""COMPUTED_VALUE"""),13.88)</f>
        <v>13.88</v>
      </c>
      <c r="D555" s="2">
        <f>IFERROR(__xludf.DUMMYFUNCTION("""COMPUTED_VALUE"""),13.7)</f>
        <v>13.7</v>
      </c>
      <c r="E555" s="2">
        <f>IFERROR(__xludf.DUMMYFUNCTION("""COMPUTED_VALUE"""),13.82)</f>
        <v>13.82</v>
      </c>
      <c r="F555" s="2">
        <f>IFERROR(__xludf.DUMMYFUNCTION("""COMPUTED_VALUE"""),815600.0)</f>
        <v>815600</v>
      </c>
    </row>
    <row r="556">
      <c r="A556" s="3">
        <f>IFERROR(__xludf.DUMMYFUNCTION("""COMPUTED_VALUE"""),30025.666666666668)</f>
        <v>30025.66667</v>
      </c>
      <c r="B556" s="2">
        <f>IFERROR(__xludf.DUMMYFUNCTION("""COMPUTED_VALUE"""),14.06)</f>
        <v>14.06</v>
      </c>
      <c r="C556" s="2">
        <f>IFERROR(__xludf.DUMMYFUNCTION("""COMPUTED_VALUE"""),14.06)</f>
        <v>14.06</v>
      </c>
      <c r="D556" s="2">
        <f>IFERROR(__xludf.DUMMYFUNCTION("""COMPUTED_VALUE"""),13.7)</f>
        <v>13.7</v>
      </c>
      <c r="E556" s="2">
        <f>IFERROR(__xludf.DUMMYFUNCTION("""COMPUTED_VALUE"""),14.06)</f>
        <v>14.06</v>
      </c>
      <c r="F556" s="2">
        <f>IFERROR(__xludf.DUMMYFUNCTION("""COMPUTED_VALUE"""),620700.0)</f>
        <v>620700</v>
      </c>
    </row>
    <row r="557">
      <c r="A557" s="3">
        <f>IFERROR(__xludf.DUMMYFUNCTION("""COMPUTED_VALUE"""),30026.666666666668)</f>
        <v>30026.66667</v>
      </c>
      <c r="B557" s="2">
        <f>IFERROR(__xludf.DUMMYFUNCTION("""COMPUTED_VALUE"""),13.7)</f>
        <v>13.7</v>
      </c>
      <c r="C557" s="2">
        <f>IFERROR(__xludf.DUMMYFUNCTION("""COMPUTED_VALUE"""),14.06)</f>
        <v>14.06</v>
      </c>
      <c r="D557" s="2">
        <f>IFERROR(__xludf.DUMMYFUNCTION("""COMPUTED_VALUE"""),13.67)</f>
        <v>13.67</v>
      </c>
      <c r="E557" s="2">
        <f>IFERROR(__xludf.DUMMYFUNCTION("""COMPUTED_VALUE"""),13.7)</f>
        <v>13.7</v>
      </c>
      <c r="F557" s="2">
        <f>IFERROR(__xludf.DUMMYFUNCTION("""COMPUTED_VALUE"""),629200.0)</f>
        <v>629200</v>
      </c>
    </row>
    <row r="558">
      <c r="A558" s="3">
        <f>IFERROR(__xludf.DUMMYFUNCTION("""COMPUTED_VALUE"""),30027.666666666668)</f>
        <v>30027.66667</v>
      </c>
      <c r="B558" s="2">
        <f>IFERROR(__xludf.DUMMYFUNCTION("""COMPUTED_VALUE"""),13.7)</f>
        <v>13.7</v>
      </c>
      <c r="C558" s="2">
        <f>IFERROR(__xludf.DUMMYFUNCTION("""COMPUTED_VALUE"""),13.88)</f>
        <v>13.88</v>
      </c>
      <c r="D558" s="2">
        <f>IFERROR(__xludf.DUMMYFUNCTION("""COMPUTED_VALUE"""),13.7)</f>
        <v>13.7</v>
      </c>
      <c r="E558" s="2">
        <f>IFERROR(__xludf.DUMMYFUNCTION("""COMPUTED_VALUE"""),13.7)</f>
        <v>13.7</v>
      </c>
      <c r="F558" s="2">
        <f>IFERROR(__xludf.DUMMYFUNCTION("""COMPUTED_VALUE"""),735400.0)</f>
        <v>735400</v>
      </c>
    </row>
    <row r="559">
      <c r="A559" s="3">
        <f>IFERROR(__xludf.DUMMYFUNCTION("""COMPUTED_VALUE"""),30028.666666666668)</f>
        <v>30028.66667</v>
      </c>
      <c r="B559" s="2">
        <f>IFERROR(__xludf.DUMMYFUNCTION("""COMPUTED_VALUE"""),13.82)</f>
        <v>13.82</v>
      </c>
      <c r="C559" s="2">
        <f>IFERROR(__xludf.DUMMYFUNCTION("""COMPUTED_VALUE"""),13.94)</f>
        <v>13.94</v>
      </c>
      <c r="D559" s="2">
        <f>IFERROR(__xludf.DUMMYFUNCTION("""COMPUTED_VALUE"""),13.76)</f>
        <v>13.76</v>
      </c>
      <c r="E559" s="2">
        <f>IFERROR(__xludf.DUMMYFUNCTION("""COMPUTED_VALUE"""),13.82)</f>
        <v>13.82</v>
      </c>
      <c r="F559" s="2">
        <f>IFERROR(__xludf.DUMMYFUNCTION("""COMPUTED_VALUE"""),771600.0)</f>
        <v>771600</v>
      </c>
    </row>
    <row r="560">
      <c r="A560" s="3">
        <f>IFERROR(__xludf.DUMMYFUNCTION("""COMPUTED_VALUE"""),30029.666666666668)</f>
        <v>30029.66667</v>
      </c>
      <c r="B560" s="2">
        <f>IFERROR(__xludf.DUMMYFUNCTION("""COMPUTED_VALUE"""),13.76)</f>
        <v>13.76</v>
      </c>
      <c r="C560" s="2">
        <f>IFERROR(__xludf.DUMMYFUNCTION("""COMPUTED_VALUE"""),13.85)</f>
        <v>13.85</v>
      </c>
      <c r="D560" s="2">
        <f>IFERROR(__xludf.DUMMYFUNCTION("""COMPUTED_VALUE"""),13.67)</f>
        <v>13.67</v>
      </c>
      <c r="E560" s="2">
        <f>IFERROR(__xludf.DUMMYFUNCTION("""COMPUTED_VALUE"""),13.76)</f>
        <v>13.76</v>
      </c>
      <c r="F560" s="2">
        <f>IFERROR(__xludf.DUMMYFUNCTION("""COMPUTED_VALUE"""),595500.0)</f>
        <v>595500</v>
      </c>
    </row>
    <row r="561">
      <c r="A561" s="3">
        <f>IFERROR(__xludf.DUMMYFUNCTION("""COMPUTED_VALUE"""),30032.666666666668)</f>
        <v>30032.66667</v>
      </c>
      <c r="B561" s="2">
        <f>IFERROR(__xludf.DUMMYFUNCTION("""COMPUTED_VALUE"""),14.12)</f>
        <v>14.12</v>
      </c>
      <c r="C561" s="2">
        <f>IFERROR(__xludf.DUMMYFUNCTION("""COMPUTED_VALUE"""),14.21)</f>
        <v>14.21</v>
      </c>
      <c r="D561" s="2">
        <f>IFERROR(__xludf.DUMMYFUNCTION("""COMPUTED_VALUE"""),13.82)</f>
        <v>13.82</v>
      </c>
      <c r="E561" s="2">
        <f>IFERROR(__xludf.DUMMYFUNCTION("""COMPUTED_VALUE"""),14.12)</f>
        <v>14.12</v>
      </c>
      <c r="F561" s="2">
        <f>IFERROR(__xludf.DUMMYFUNCTION("""COMPUTED_VALUE"""),737700.0)</f>
        <v>737700</v>
      </c>
    </row>
    <row r="562">
      <c r="A562" s="3">
        <f>IFERROR(__xludf.DUMMYFUNCTION("""COMPUTED_VALUE"""),30033.666666666668)</f>
        <v>30033.66667</v>
      </c>
      <c r="B562" s="2">
        <f>IFERROR(__xludf.DUMMYFUNCTION("""COMPUTED_VALUE"""),14.21)</f>
        <v>14.21</v>
      </c>
      <c r="C562" s="2">
        <f>IFERROR(__xludf.DUMMYFUNCTION("""COMPUTED_VALUE"""),14.24)</f>
        <v>14.24</v>
      </c>
      <c r="D562" s="2">
        <f>IFERROR(__xludf.DUMMYFUNCTION("""COMPUTED_VALUE"""),14.03)</f>
        <v>14.03</v>
      </c>
      <c r="E562" s="2">
        <f>IFERROR(__xludf.DUMMYFUNCTION("""COMPUTED_VALUE"""),14.21)</f>
        <v>14.21</v>
      </c>
      <c r="F562" s="2">
        <f>IFERROR(__xludf.DUMMYFUNCTION("""COMPUTED_VALUE"""),782500.0)</f>
        <v>782500</v>
      </c>
    </row>
    <row r="563">
      <c r="A563" s="3">
        <f>IFERROR(__xludf.DUMMYFUNCTION("""COMPUTED_VALUE"""),30034.666666666668)</f>
        <v>30034.66667</v>
      </c>
      <c r="B563" s="2">
        <f>IFERROR(__xludf.DUMMYFUNCTION("""COMPUTED_VALUE"""),14.12)</f>
        <v>14.12</v>
      </c>
      <c r="C563" s="2">
        <f>IFERROR(__xludf.DUMMYFUNCTION("""COMPUTED_VALUE"""),14.18)</f>
        <v>14.18</v>
      </c>
      <c r="D563" s="2">
        <f>IFERROR(__xludf.DUMMYFUNCTION("""COMPUTED_VALUE"""),14.06)</f>
        <v>14.06</v>
      </c>
      <c r="E563" s="2">
        <f>IFERROR(__xludf.DUMMYFUNCTION("""COMPUTED_VALUE"""),14.12)</f>
        <v>14.12</v>
      </c>
      <c r="F563" s="2">
        <f>IFERROR(__xludf.DUMMYFUNCTION("""COMPUTED_VALUE"""),556500.0)</f>
        <v>556500</v>
      </c>
    </row>
    <row r="564">
      <c r="A564" s="3">
        <f>IFERROR(__xludf.DUMMYFUNCTION("""COMPUTED_VALUE"""),30035.666666666668)</f>
        <v>30035.66667</v>
      </c>
      <c r="B564" s="2">
        <f>IFERROR(__xludf.DUMMYFUNCTION("""COMPUTED_VALUE"""),14.27)</f>
        <v>14.27</v>
      </c>
      <c r="C564" s="2">
        <f>IFERROR(__xludf.DUMMYFUNCTION("""COMPUTED_VALUE"""),14.36)</f>
        <v>14.36</v>
      </c>
      <c r="D564" s="2">
        <f>IFERROR(__xludf.DUMMYFUNCTION("""COMPUTED_VALUE"""),14.12)</f>
        <v>14.12</v>
      </c>
      <c r="E564" s="2">
        <f>IFERROR(__xludf.DUMMYFUNCTION("""COMPUTED_VALUE"""),14.27)</f>
        <v>14.27</v>
      </c>
      <c r="F564" s="2">
        <f>IFERROR(__xludf.DUMMYFUNCTION("""COMPUTED_VALUE"""),561100.0)</f>
        <v>561100</v>
      </c>
    </row>
    <row r="565">
      <c r="A565" s="3">
        <f>IFERROR(__xludf.DUMMYFUNCTION("""COMPUTED_VALUE"""),30036.666666666668)</f>
        <v>30036.66667</v>
      </c>
      <c r="B565" s="2">
        <f>IFERROR(__xludf.DUMMYFUNCTION("""COMPUTED_VALUE"""),14.09)</f>
        <v>14.09</v>
      </c>
      <c r="C565" s="2">
        <f>IFERROR(__xludf.DUMMYFUNCTION("""COMPUTED_VALUE"""),14.27)</f>
        <v>14.27</v>
      </c>
      <c r="D565" s="2">
        <f>IFERROR(__xludf.DUMMYFUNCTION("""COMPUTED_VALUE"""),14.09)</f>
        <v>14.09</v>
      </c>
      <c r="E565" s="2">
        <f>IFERROR(__xludf.DUMMYFUNCTION("""COMPUTED_VALUE"""),14.09)</f>
        <v>14.09</v>
      </c>
      <c r="F565" s="2">
        <f>IFERROR(__xludf.DUMMYFUNCTION("""COMPUTED_VALUE"""),616900.0)</f>
        <v>616900</v>
      </c>
    </row>
    <row r="566">
      <c r="A566" s="3">
        <f>IFERROR(__xludf.DUMMYFUNCTION("""COMPUTED_VALUE"""),30039.666666666668)</f>
        <v>30039.66667</v>
      </c>
      <c r="B566" s="2">
        <f>IFERROR(__xludf.DUMMYFUNCTION("""COMPUTED_VALUE"""),14.3)</f>
        <v>14.3</v>
      </c>
      <c r="C566" s="2">
        <f>IFERROR(__xludf.DUMMYFUNCTION("""COMPUTED_VALUE"""),14.39)</f>
        <v>14.39</v>
      </c>
      <c r="D566" s="2">
        <f>IFERROR(__xludf.DUMMYFUNCTION("""COMPUTED_VALUE"""),14.03)</f>
        <v>14.03</v>
      </c>
      <c r="E566" s="2">
        <f>IFERROR(__xludf.DUMMYFUNCTION("""COMPUTED_VALUE"""),14.3)</f>
        <v>14.3</v>
      </c>
      <c r="F566" s="2">
        <f>IFERROR(__xludf.DUMMYFUNCTION("""COMPUTED_VALUE"""),479900.0)</f>
        <v>479900</v>
      </c>
    </row>
    <row r="567">
      <c r="A567" s="3">
        <f>IFERROR(__xludf.DUMMYFUNCTION("""COMPUTED_VALUE"""),30040.666666666668)</f>
        <v>30040.66667</v>
      </c>
      <c r="B567" s="2">
        <f>IFERROR(__xludf.DUMMYFUNCTION("""COMPUTED_VALUE"""),14.42)</f>
        <v>14.42</v>
      </c>
      <c r="C567" s="2">
        <f>IFERROR(__xludf.DUMMYFUNCTION("""COMPUTED_VALUE"""),14.45)</f>
        <v>14.45</v>
      </c>
      <c r="D567" s="2">
        <f>IFERROR(__xludf.DUMMYFUNCTION("""COMPUTED_VALUE"""),14.24)</f>
        <v>14.24</v>
      </c>
      <c r="E567" s="2">
        <f>IFERROR(__xludf.DUMMYFUNCTION("""COMPUTED_VALUE"""),14.42)</f>
        <v>14.42</v>
      </c>
      <c r="F567" s="2">
        <f>IFERROR(__xludf.DUMMYFUNCTION("""COMPUTED_VALUE"""),674300.0)</f>
        <v>674300</v>
      </c>
    </row>
    <row r="568">
      <c r="A568" s="3">
        <f>IFERROR(__xludf.DUMMYFUNCTION("""COMPUTED_VALUE"""),30041.666666666668)</f>
        <v>30041.66667</v>
      </c>
      <c r="B568" s="2">
        <f>IFERROR(__xludf.DUMMYFUNCTION("""COMPUTED_VALUE"""),14.27)</f>
        <v>14.27</v>
      </c>
      <c r="C568" s="2">
        <f>IFERROR(__xludf.DUMMYFUNCTION("""COMPUTED_VALUE"""),14.48)</f>
        <v>14.48</v>
      </c>
      <c r="D568" s="2">
        <f>IFERROR(__xludf.DUMMYFUNCTION("""COMPUTED_VALUE"""),14.24)</f>
        <v>14.24</v>
      </c>
      <c r="E568" s="2">
        <f>IFERROR(__xludf.DUMMYFUNCTION("""COMPUTED_VALUE"""),14.27)</f>
        <v>14.27</v>
      </c>
      <c r="F568" s="2">
        <f>IFERROR(__xludf.DUMMYFUNCTION("""COMPUTED_VALUE"""),664700.0)</f>
        <v>664700</v>
      </c>
    </row>
    <row r="569">
      <c r="A569" s="3">
        <f>IFERROR(__xludf.DUMMYFUNCTION("""COMPUTED_VALUE"""),30042.666666666668)</f>
        <v>30042.66667</v>
      </c>
      <c r="B569" s="2">
        <f>IFERROR(__xludf.DUMMYFUNCTION("""COMPUTED_VALUE"""),14.57)</f>
        <v>14.57</v>
      </c>
      <c r="C569" s="2">
        <f>IFERROR(__xludf.DUMMYFUNCTION("""COMPUTED_VALUE"""),14.6)</f>
        <v>14.6</v>
      </c>
      <c r="D569" s="2">
        <f>IFERROR(__xludf.DUMMYFUNCTION("""COMPUTED_VALUE"""),14.3)</f>
        <v>14.3</v>
      </c>
      <c r="E569" s="2">
        <f>IFERROR(__xludf.DUMMYFUNCTION("""COMPUTED_VALUE"""),14.57)</f>
        <v>14.57</v>
      </c>
      <c r="F569" s="2">
        <f>IFERROR(__xludf.DUMMYFUNCTION("""COMPUTED_VALUE"""),650300.0)</f>
        <v>650300</v>
      </c>
    </row>
    <row r="570">
      <c r="A570" s="3">
        <f>IFERROR(__xludf.DUMMYFUNCTION("""COMPUTED_VALUE"""),30043.666666666668)</f>
        <v>30043.66667</v>
      </c>
      <c r="B570" s="2">
        <f>IFERROR(__xludf.DUMMYFUNCTION("""COMPUTED_VALUE"""),14.69)</f>
        <v>14.69</v>
      </c>
      <c r="C570" s="2">
        <f>IFERROR(__xludf.DUMMYFUNCTION("""COMPUTED_VALUE"""),14.78)</f>
        <v>14.78</v>
      </c>
      <c r="D570" s="2">
        <f>IFERROR(__xludf.DUMMYFUNCTION("""COMPUTED_VALUE"""),14.57)</f>
        <v>14.57</v>
      </c>
      <c r="E570" s="2">
        <f>IFERROR(__xludf.DUMMYFUNCTION("""COMPUTED_VALUE"""),14.69)</f>
        <v>14.69</v>
      </c>
      <c r="F570" s="2">
        <f>IFERROR(__xludf.DUMMYFUNCTION("""COMPUTED_VALUE"""),839400.0)</f>
        <v>839400</v>
      </c>
    </row>
    <row r="571">
      <c r="A571" s="3">
        <f>IFERROR(__xludf.DUMMYFUNCTION("""COMPUTED_VALUE"""),30046.666666666668)</f>
        <v>30046.66667</v>
      </c>
      <c r="B571" s="2">
        <f>IFERROR(__xludf.DUMMYFUNCTION("""COMPUTED_VALUE"""),14.69)</f>
        <v>14.69</v>
      </c>
      <c r="C571" s="2">
        <f>IFERROR(__xludf.DUMMYFUNCTION("""COMPUTED_VALUE"""),14.75)</f>
        <v>14.75</v>
      </c>
      <c r="D571" s="2">
        <f>IFERROR(__xludf.DUMMYFUNCTION("""COMPUTED_VALUE"""),14.6)</f>
        <v>14.6</v>
      </c>
      <c r="E571" s="2">
        <f>IFERROR(__xludf.DUMMYFUNCTION("""COMPUTED_VALUE"""),14.69)</f>
        <v>14.69</v>
      </c>
      <c r="F571" s="2">
        <f>IFERROR(__xludf.DUMMYFUNCTION("""COMPUTED_VALUE"""),472200.0)</f>
        <v>472200</v>
      </c>
    </row>
    <row r="572">
      <c r="A572" s="3">
        <f>IFERROR(__xludf.DUMMYFUNCTION("""COMPUTED_VALUE"""),30047.666666666668)</f>
        <v>30047.66667</v>
      </c>
      <c r="B572" s="2">
        <f>IFERROR(__xludf.DUMMYFUNCTION("""COMPUTED_VALUE"""),14.75)</f>
        <v>14.75</v>
      </c>
      <c r="C572" s="2">
        <f>IFERROR(__xludf.DUMMYFUNCTION("""COMPUTED_VALUE"""),14.78)</f>
        <v>14.78</v>
      </c>
      <c r="D572" s="2">
        <f>IFERROR(__xludf.DUMMYFUNCTION("""COMPUTED_VALUE"""),14.57)</f>
        <v>14.57</v>
      </c>
      <c r="E572" s="2">
        <f>IFERROR(__xludf.DUMMYFUNCTION("""COMPUTED_VALUE"""),14.75)</f>
        <v>14.75</v>
      </c>
      <c r="F572" s="2">
        <f>IFERROR(__xludf.DUMMYFUNCTION("""COMPUTED_VALUE"""),489400.0)</f>
        <v>489400</v>
      </c>
    </row>
    <row r="573">
      <c r="A573" s="3">
        <f>IFERROR(__xludf.DUMMYFUNCTION("""COMPUTED_VALUE"""),30048.666666666668)</f>
        <v>30048.66667</v>
      </c>
      <c r="B573" s="2">
        <f>IFERROR(__xludf.DUMMYFUNCTION("""COMPUTED_VALUE"""),14.75)</f>
        <v>14.75</v>
      </c>
      <c r="C573" s="2">
        <f>IFERROR(__xludf.DUMMYFUNCTION("""COMPUTED_VALUE"""),14.83)</f>
        <v>14.83</v>
      </c>
      <c r="D573" s="2">
        <f>IFERROR(__xludf.DUMMYFUNCTION("""COMPUTED_VALUE"""),14.69)</f>
        <v>14.69</v>
      </c>
      <c r="E573" s="2">
        <f>IFERROR(__xludf.DUMMYFUNCTION("""COMPUTED_VALUE"""),14.75)</f>
        <v>14.75</v>
      </c>
      <c r="F573" s="2">
        <f>IFERROR(__xludf.DUMMYFUNCTION("""COMPUTED_VALUE"""),589700.0)</f>
        <v>589700</v>
      </c>
    </row>
    <row r="574">
      <c r="A574" s="3">
        <f>IFERROR(__xludf.DUMMYFUNCTION("""COMPUTED_VALUE"""),30049.666666666668)</f>
        <v>30049.66667</v>
      </c>
      <c r="B574" s="2">
        <f>IFERROR(__xludf.DUMMYFUNCTION("""COMPUTED_VALUE"""),14.86)</f>
        <v>14.86</v>
      </c>
      <c r="C574" s="2">
        <f>IFERROR(__xludf.DUMMYFUNCTION("""COMPUTED_VALUE"""),14.92)</f>
        <v>14.92</v>
      </c>
      <c r="D574" s="2">
        <f>IFERROR(__xludf.DUMMYFUNCTION("""COMPUTED_VALUE"""),14.72)</f>
        <v>14.72</v>
      </c>
      <c r="E574" s="2">
        <f>IFERROR(__xludf.DUMMYFUNCTION("""COMPUTED_VALUE"""),14.86)</f>
        <v>14.86</v>
      </c>
      <c r="F574" s="2">
        <f>IFERROR(__xludf.DUMMYFUNCTION("""COMPUTED_VALUE"""),654000.0)</f>
        <v>654000</v>
      </c>
    </row>
    <row r="575">
      <c r="A575" s="3">
        <f>IFERROR(__xludf.DUMMYFUNCTION("""COMPUTED_VALUE"""),30053.666666666668)</f>
        <v>30053.66667</v>
      </c>
      <c r="B575" s="2">
        <f>IFERROR(__xludf.DUMMYFUNCTION("""COMPUTED_VALUE"""),14.83)</f>
        <v>14.83</v>
      </c>
      <c r="C575" s="2">
        <f>IFERROR(__xludf.DUMMYFUNCTION("""COMPUTED_VALUE"""),14.92)</f>
        <v>14.92</v>
      </c>
      <c r="D575" s="2">
        <f>IFERROR(__xludf.DUMMYFUNCTION("""COMPUTED_VALUE"""),14.81)</f>
        <v>14.81</v>
      </c>
      <c r="E575" s="2">
        <f>IFERROR(__xludf.DUMMYFUNCTION("""COMPUTED_VALUE"""),14.83)</f>
        <v>14.83</v>
      </c>
      <c r="F575" s="2">
        <f>IFERROR(__xludf.DUMMYFUNCTION("""COMPUTED_VALUE"""),388200.0)</f>
        <v>388200</v>
      </c>
    </row>
    <row r="576">
      <c r="A576" s="3">
        <f>IFERROR(__xludf.DUMMYFUNCTION("""COMPUTED_VALUE"""),30054.666666666668)</f>
        <v>30054.66667</v>
      </c>
      <c r="B576" s="2">
        <f>IFERROR(__xludf.DUMMYFUNCTION("""COMPUTED_VALUE"""),14.81)</f>
        <v>14.81</v>
      </c>
      <c r="C576" s="2">
        <f>IFERROR(__xludf.DUMMYFUNCTION("""COMPUTED_VALUE"""),14.98)</f>
        <v>14.98</v>
      </c>
      <c r="D576" s="2">
        <f>IFERROR(__xludf.DUMMYFUNCTION("""COMPUTED_VALUE"""),14.78)</f>
        <v>14.78</v>
      </c>
      <c r="E576" s="2">
        <f>IFERROR(__xludf.DUMMYFUNCTION("""COMPUTED_VALUE"""),14.81)</f>
        <v>14.81</v>
      </c>
      <c r="F576" s="2">
        <f>IFERROR(__xludf.DUMMYFUNCTION("""COMPUTED_VALUE"""),423500.0)</f>
        <v>423500</v>
      </c>
    </row>
    <row r="577">
      <c r="A577" s="3">
        <f>IFERROR(__xludf.DUMMYFUNCTION("""COMPUTED_VALUE"""),30055.666666666668)</f>
        <v>30055.66667</v>
      </c>
      <c r="B577" s="2">
        <f>IFERROR(__xludf.DUMMYFUNCTION("""COMPUTED_VALUE"""),15.19)</f>
        <v>15.19</v>
      </c>
      <c r="C577" s="2">
        <f>IFERROR(__xludf.DUMMYFUNCTION("""COMPUTED_VALUE"""),15.28)</f>
        <v>15.28</v>
      </c>
      <c r="D577" s="2">
        <f>IFERROR(__xludf.DUMMYFUNCTION("""COMPUTED_VALUE"""),14.63)</f>
        <v>14.63</v>
      </c>
      <c r="E577" s="2">
        <f>IFERROR(__xludf.DUMMYFUNCTION("""COMPUTED_VALUE"""),15.19)</f>
        <v>15.19</v>
      </c>
      <c r="F577" s="2">
        <f>IFERROR(__xludf.DUMMYFUNCTION("""COMPUTED_VALUE"""),1277400.0)</f>
        <v>1277400</v>
      </c>
    </row>
    <row r="578">
      <c r="A578" s="3">
        <f>IFERROR(__xludf.DUMMYFUNCTION("""COMPUTED_VALUE"""),30056.666666666668)</f>
        <v>30056.66667</v>
      </c>
      <c r="B578" s="2">
        <f>IFERROR(__xludf.DUMMYFUNCTION("""COMPUTED_VALUE"""),15.43)</f>
        <v>15.43</v>
      </c>
      <c r="C578" s="2">
        <f>IFERROR(__xludf.DUMMYFUNCTION("""COMPUTED_VALUE"""),15.43)</f>
        <v>15.43</v>
      </c>
      <c r="D578" s="2">
        <f>IFERROR(__xludf.DUMMYFUNCTION("""COMPUTED_VALUE"""),15.13)</f>
        <v>15.13</v>
      </c>
      <c r="E578" s="2">
        <f>IFERROR(__xludf.DUMMYFUNCTION("""COMPUTED_VALUE"""),15.43)</f>
        <v>15.43</v>
      </c>
      <c r="F578" s="2">
        <f>IFERROR(__xludf.DUMMYFUNCTION("""COMPUTED_VALUE"""),1058800.0)</f>
        <v>1058800</v>
      </c>
    </row>
    <row r="579">
      <c r="A579" s="3">
        <f>IFERROR(__xludf.DUMMYFUNCTION("""COMPUTED_VALUE"""),30057.666666666668)</f>
        <v>30057.66667</v>
      </c>
      <c r="B579" s="2">
        <f>IFERROR(__xludf.DUMMYFUNCTION("""COMPUTED_VALUE"""),15.4)</f>
        <v>15.4</v>
      </c>
      <c r="C579" s="2">
        <f>IFERROR(__xludf.DUMMYFUNCTION("""COMPUTED_VALUE"""),15.49)</f>
        <v>15.49</v>
      </c>
      <c r="D579" s="2">
        <f>IFERROR(__xludf.DUMMYFUNCTION("""COMPUTED_VALUE"""),15.34)</f>
        <v>15.34</v>
      </c>
      <c r="E579" s="2">
        <f>IFERROR(__xludf.DUMMYFUNCTION("""COMPUTED_VALUE"""),15.4)</f>
        <v>15.4</v>
      </c>
      <c r="F579" s="2">
        <f>IFERROR(__xludf.DUMMYFUNCTION("""COMPUTED_VALUE"""),689400.0)</f>
        <v>689400</v>
      </c>
    </row>
    <row r="580">
      <c r="A580" s="3">
        <f>IFERROR(__xludf.DUMMYFUNCTION("""COMPUTED_VALUE"""),30060.666666666668)</f>
        <v>30060.66667</v>
      </c>
      <c r="B580" s="2">
        <f>IFERROR(__xludf.DUMMYFUNCTION("""COMPUTED_VALUE"""),15.22)</f>
        <v>15.22</v>
      </c>
      <c r="C580" s="2">
        <f>IFERROR(__xludf.DUMMYFUNCTION("""COMPUTED_VALUE"""),15.55)</f>
        <v>15.55</v>
      </c>
      <c r="D580" s="2">
        <f>IFERROR(__xludf.DUMMYFUNCTION("""COMPUTED_VALUE"""),15.19)</f>
        <v>15.19</v>
      </c>
      <c r="E580" s="2">
        <f>IFERROR(__xludf.DUMMYFUNCTION("""COMPUTED_VALUE"""),15.22)</f>
        <v>15.22</v>
      </c>
      <c r="F580" s="2">
        <f>IFERROR(__xludf.DUMMYFUNCTION("""COMPUTED_VALUE"""),1140600.0)</f>
        <v>1140600</v>
      </c>
    </row>
    <row r="581">
      <c r="A581" s="3">
        <f>IFERROR(__xludf.DUMMYFUNCTION("""COMPUTED_VALUE"""),30061.666666666668)</f>
        <v>30061.66667</v>
      </c>
      <c r="B581" s="2">
        <f>IFERROR(__xludf.DUMMYFUNCTION("""COMPUTED_VALUE"""),15.1)</f>
        <v>15.1</v>
      </c>
      <c r="C581" s="2">
        <f>IFERROR(__xludf.DUMMYFUNCTION("""COMPUTED_VALUE"""),15.25)</f>
        <v>15.25</v>
      </c>
      <c r="D581" s="2">
        <f>IFERROR(__xludf.DUMMYFUNCTION("""COMPUTED_VALUE"""),15.04)</f>
        <v>15.04</v>
      </c>
      <c r="E581" s="2">
        <f>IFERROR(__xludf.DUMMYFUNCTION("""COMPUTED_VALUE"""),15.1)</f>
        <v>15.1</v>
      </c>
      <c r="F581" s="2">
        <f>IFERROR(__xludf.DUMMYFUNCTION("""COMPUTED_VALUE"""),892800.0)</f>
        <v>892800</v>
      </c>
    </row>
    <row r="582">
      <c r="A582" s="3">
        <f>IFERROR(__xludf.DUMMYFUNCTION("""COMPUTED_VALUE"""),30062.666666666668)</f>
        <v>30062.66667</v>
      </c>
      <c r="B582" s="2">
        <f>IFERROR(__xludf.DUMMYFUNCTION("""COMPUTED_VALUE"""),15.25)</f>
        <v>15.25</v>
      </c>
      <c r="C582" s="2">
        <f>IFERROR(__xludf.DUMMYFUNCTION("""COMPUTED_VALUE"""),15.25)</f>
        <v>15.25</v>
      </c>
      <c r="D582" s="2">
        <f>IFERROR(__xludf.DUMMYFUNCTION("""COMPUTED_VALUE"""),15.1)</f>
        <v>15.1</v>
      </c>
      <c r="E582" s="2">
        <f>IFERROR(__xludf.DUMMYFUNCTION("""COMPUTED_VALUE"""),15.25)</f>
        <v>15.25</v>
      </c>
      <c r="F582" s="2">
        <f>IFERROR(__xludf.DUMMYFUNCTION("""COMPUTED_VALUE"""),512200.0)</f>
        <v>512200</v>
      </c>
    </row>
    <row r="583">
      <c r="A583" s="3">
        <f>IFERROR(__xludf.DUMMYFUNCTION("""COMPUTED_VALUE"""),30063.666666666668)</f>
        <v>30063.66667</v>
      </c>
      <c r="B583" s="2">
        <f>IFERROR(__xludf.DUMMYFUNCTION("""COMPUTED_VALUE"""),15.37)</f>
        <v>15.37</v>
      </c>
      <c r="C583" s="2">
        <f>IFERROR(__xludf.DUMMYFUNCTION("""COMPUTED_VALUE"""),15.46)</f>
        <v>15.46</v>
      </c>
      <c r="D583" s="2">
        <f>IFERROR(__xludf.DUMMYFUNCTION("""COMPUTED_VALUE"""),15.28)</f>
        <v>15.28</v>
      </c>
      <c r="E583" s="2">
        <f>IFERROR(__xludf.DUMMYFUNCTION("""COMPUTED_VALUE"""),15.37)</f>
        <v>15.37</v>
      </c>
      <c r="F583" s="2">
        <f>IFERROR(__xludf.DUMMYFUNCTION("""COMPUTED_VALUE"""),645800.0)</f>
        <v>645800</v>
      </c>
    </row>
    <row r="584">
      <c r="A584" s="3">
        <f>IFERROR(__xludf.DUMMYFUNCTION("""COMPUTED_VALUE"""),30064.666666666668)</f>
        <v>30064.66667</v>
      </c>
      <c r="B584" s="2">
        <f>IFERROR(__xludf.DUMMYFUNCTION("""COMPUTED_VALUE"""),15.7)</f>
        <v>15.7</v>
      </c>
      <c r="C584" s="2">
        <f>IFERROR(__xludf.DUMMYFUNCTION("""COMPUTED_VALUE"""),15.7)</f>
        <v>15.7</v>
      </c>
      <c r="D584" s="2">
        <f>IFERROR(__xludf.DUMMYFUNCTION("""COMPUTED_VALUE"""),15.4)</f>
        <v>15.4</v>
      </c>
      <c r="E584" s="2">
        <f>IFERROR(__xludf.DUMMYFUNCTION("""COMPUTED_VALUE"""),15.7)</f>
        <v>15.7</v>
      </c>
      <c r="F584" s="2">
        <f>IFERROR(__xludf.DUMMYFUNCTION("""COMPUTED_VALUE"""),1214100.0)</f>
        <v>1214100</v>
      </c>
    </row>
    <row r="585">
      <c r="A585" s="3">
        <f>IFERROR(__xludf.DUMMYFUNCTION("""COMPUTED_VALUE"""),30067.666666666668)</f>
        <v>30067.66667</v>
      </c>
      <c r="B585" s="2">
        <f>IFERROR(__xludf.DUMMYFUNCTION("""COMPUTED_VALUE"""),15.76)</f>
        <v>15.76</v>
      </c>
      <c r="C585" s="2">
        <f>IFERROR(__xludf.DUMMYFUNCTION("""COMPUTED_VALUE"""),15.79)</f>
        <v>15.79</v>
      </c>
      <c r="D585" s="2">
        <f>IFERROR(__xludf.DUMMYFUNCTION("""COMPUTED_VALUE"""),15.52)</f>
        <v>15.52</v>
      </c>
      <c r="E585" s="2">
        <f>IFERROR(__xludf.DUMMYFUNCTION("""COMPUTED_VALUE"""),15.76)</f>
        <v>15.76</v>
      </c>
      <c r="F585" s="2">
        <f>IFERROR(__xludf.DUMMYFUNCTION("""COMPUTED_VALUE"""),911700.0)</f>
        <v>911700</v>
      </c>
    </row>
    <row r="586">
      <c r="A586" s="3">
        <f>IFERROR(__xludf.DUMMYFUNCTION("""COMPUTED_VALUE"""),30068.666666666668)</f>
        <v>30068.66667</v>
      </c>
      <c r="B586" s="2">
        <f>IFERROR(__xludf.DUMMYFUNCTION("""COMPUTED_VALUE"""),15.55)</f>
        <v>15.55</v>
      </c>
      <c r="C586" s="2">
        <f>IFERROR(__xludf.DUMMYFUNCTION("""COMPUTED_VALUE"""),15.7)</f>
        <v>15.7</v>
      </c>
      <c r="D586" s="2">
        <f>IFERROR(__xludf.DUMMYFUNCTION("""COMPUTED_VALUE"""),15.43)</f>
        <v>15.43</v>
      </c>
      <c r="E586" s="2">
        <f>IFERROR(__xludf.DUMMYFUNCTION("""COMPUTED_VALUE"""),15.55)</f>
        <v>15.55</v>
      </c>
      <c r="F586" s="2">
        <f>IFERROR(__xludf.DUMMYFUNCTION("""COMPUTED_VALUE"""),685600.0)</f>
        <v>685600</v>
      </c>
    </row>
    <row r="587">
      <c r="A587" s="3">
        <f>IFERROR(__xludf.DUMMYFUNCTION("""COMPUTED_VALUE"""),30069.666666666668)</f>
        <v>30069.66667</v>
      </c>
      <c r="B587" s="2">
        <f>IFERROR(__xludf.DUMMYFUNCTION("""COMPUTED_VALUE"""),15.49)</f>
        <v>15.49</v>
      </c>
      <c r="C587" s="2">
        <f>IFERROR(__xludf.DUMMYFUNCTION("""COMPUTED_VALUE"""),15.58)</f>
        <v>15.58</v>
      </c>
      <c r="D587" s="2">
        <f>IFERROR(__xludf.DUMMYFUNCTION("""COMPUTED_VALUE"""),15.4)</f>
        <v>15.4</v>
      </c>
      <c r="E587" s="2">
        <f>IFERROR(__xludf.DUMMYFUNCTION("""COMPUTED_VALUE"""),15.49)</f>
        <v>15.49</v>
      </c>
      <c r="F587" s="2">
        <f>IFERROR(__xludf.DUMMYFUNCTION("""COMPUTED_VALUE"""),717200.0)</f>
        <v>717200</v>
      </c>
    </row>
    <row r="588">
      <c r="A588" s="3">
        <f>IFERROR(__xludf.DUMMYFUNCTION("""COMPUTED_VALUE"""),30070.666666666668)</f>
        <v>30070.66667</v>
      </c>
      <c r="B588" s="2">
        <f>IFERROR(__xludf.DUMMYFUNCTION("""COMPUTED_VALUE"""),15.31)</f>
        <v>15.31</v>
      </c>
      <c r="C588" s="2">
        <f>IFERROR(__xludf.DUMMYFUNCTION("""COMPUTED_VALUE"""),15.43)</f>
        <v>15.43</v>
      </c>
      <c r="D588" s="2">
        <f>IFERROR(__xludf.DUMMYFUNCTION("""COMPUTED_VALUE"""),15.31)</f>
        <v>15.31</v>
      </c>
      <c r="E588" s="2">
        <f>IFERROR(__xludf.DUMMYFUNCTION("""COMPUTED_VALUE"""),15.31)</f>
        <v>15.31</v>
      </c>
      <c r="F588" s="2">
        <f>IFERROR(__xludf.DUMMYFUNCTION("""COMPUTED_VALUE"""),491600.0)</f>
        <v>491600</v>
      </c>
    </row>
    <row r="589">
      <c r="A589" s="3">
        <f>IFERROR(__xludf.DUMMYFUNCTION("""COMPUTED_VALUE"""),30071.666666666668)</f>
        <v>30071.66667</v>
      </c>
      <c r="B589" s="2">
        <f>IFERROR(__xludf.DUMMYFUNCTION("""COMPUTED_VALUE"""),15.34)</f>
        <v>15.34</v>
      </c>
      <c r="C589" s="2">
        <f>IFERROR(__xludf.DUMMYFUNCTION("""COMPUTED_VALUE"""),15.46)</f>
        <v>15.46</v>
      </c>
      <c r="D589" s="2">
        <f>IFERROR(__xludf.DUMMYFUNCTION("""COMPUTED_VALUE"""),15.28)</f>
        <v>15.28</v>
      </c>
      <c r="E589" s="2">
        <f>IFERROR(__xludf.DUMMYFUNCTION("""COMPUTED_VALUE"""),15.34)</f>
        <v>15.34</v>
      </c>
      <c r="F589" s="2">
        <f>IFERROR(__xludf.DUMMYFUNCTION("""COMPUTED_VALUE"""),759200.0)</f>
        <v>759200</v>
      </c>
    </row>
    <row r="590">
      <c r="A590" s="3">
        <f>IFERROR(__xludf.DUMMYFUNCTION("""COMPUTED_VALUE"""),30074.666666666668)</f>
        <v>30074.66667</v>
      </c>
      <c r="B590" s="2">
        <f>IFERROR(__xludf.DUMMYFUNCTION("""COMPUTED_VALUE"""),15.4)</f>
        <v>15.4</v>
      </c>
      <c r="C590" s="2">
        <f>IFERROR(__xludf.DUMMYFUNCTION("""COMPUTED_VALUE"""),15.46)</f>
        <v>15.46</v>
      </c>
      <c r="D590" s="2">
        <f>IFERROR(__xludf.DUMMYFUNCTION("""COMPUTED_VALUE"""),15.28)</f>
        <v>15.28</v>
      </c>
      <c r="E590" s="2">
        <f>IFERROR(__xludf.DUMMYFUNCTION("""COMPUTED_VALUE"""),15.4)</f>
        <v>15.4</v>
      </c>
      <c r="F590" s="2">
        <f>IFERROR(__xludf.DUMMYFUNCTION("""COMPUTED_VALUE"""),384600.0)</f>
        <v>384600</v>
      </c>
    </row>
    <row r="591">
      <c r="A591" s="3">
        <f>IFERROR(__xludf.DUMMYFUNCTION("""COMPUTED_VALUE"""),30075.666666666668)</f>
        <v>30075.66667</v>
      </c>
      <c r="B591" s="2">
        <f>IFERROR(__xludf.DUMMYFUNCTION("""COMPUTED_VALUE"""),15.46)</f>
        <v>15.46</v>
      </c>
      <c r="C591" s="2">
        <f>IFERROR(__xludf.DUMMYFUNCTION("""COMPUTED_VALUE"""),15.58)</f>
        <v>15.58</v>
      </c>
      <c r="D591" s="2">
        <f>IFERROR(__xludf.DUMMYFUNCTION("""COMPUTED_VALUE"""),15.4)</f>
        <v>15.4</v>
      </c>
      <c r="E591" s="2">
        <f>IFERROR(__xludf.DUMMYFUNCTION("""COMPUTED_VALUE"""),15.46)</f>
        <v>15.46</v>
      </c>
      <c r="F591" s="2">
        <f>IFERROR(__xludf.DUMMYFUNCTION("""COMPUTED_VALUE"""),497500.0)</f>
        <v>497500</v>
      </c>
    </row>
    <row r="592">
      <c r="A592" s="3">
        <f>IFERROR(__xludf.DUMMYFUNCTION("""COMPUTED_VALUE"""),30076.666666666668)</f>
        <v>30076.66667</v>
      </c>
      <c r="B592" s="2">
        <f>IFERROR(__xludf.DUMMYFUNCTION("""COMPUTED_VALUE"""),15.55)</f>
        <v>15.55</v>
      </c>
      <c r="C592" s="2">
        <f>IFERROR(__xludf.DUMMYFUNCTION("""COMPUTED_VALUE"""),15.58)</f>
        <v>15.58</v>
      </c>
      <c r="D592" s="2">
        <f>IFERROR(__xludf.DUMMYFUNCTION("""COMPUTED_VALUE"""),15.46)</f>
        <v>15.46</v>
      </c>
      <c r="E592" s="2">
        <f>IFERROR(__xludf.DUMMYFUNCTION("""COMPUTED_VALUE"""),15.55)</f>
        <v>15.55</v>
      </c>
      <c r="F592" s="2">
        <f>IFERROR(__xludf.DUMMYFUNCTION("""COMPUTED_VALUE"""),855600.0)</f>
        <v>855600</v>
      </c>
    </row>
    <row r="593">
      <c r="A593" s="3">
        <f>IFERROR(__xludf.DUMMYFUNCTION("""COMPUTED_VALUE"""),30077.666666666668)</f>
        <v>30077.66667</v>
      </c>
      <c r="B593" s="2">
        <f>IFERROR(__xludf.DUMMYFUNCTION("""COMPUTED_VALUE"""),15.49)</f>
        <v>15.49</v>
      </c>
      <c r="C593" s="2">
        <f>IFERROR(__xludf.DUMMYFUNCTION("""COMPUTED_VALUE"""),15.55)</f>
        <v>15.55</v>
      </c>
      <c r="D593" s="2">
        <f>IFERROR(__xludf.DUMMYFUNCTION("""COMPUTED_VALUE"""),15.46)</f>
        <v>15.46</v>
      </c>
      <c r="E593" s="2">
        <f>IFERROR(__xludf.DUMMYFUNCTION("""COMPUTED_VALUE"""),15.49)</f>
        <v>15.49</v>
      </c>
      <c r="F593" s="2">
        <f>IFERROR(__xludf.DUMMYFUNCTION("""COMPUTED_VALUE"""),777200.0)</f>
        <v>777200</v>
      </c>
    </row>
    <row r="594">
      <c r="A594" s="3">
        <f>IFERROR(__xludf.DUMMYFUNCTION("""COMPUTED_VALUE"""),30078.666666666668)</f>
        <v>30078.66667</v>
      </c>
      <c r="B594" s="2">
        <f>IFERROR(__xludf.DUMMYFUNCTION("""COMPUTED_VALUE"""),15.46)</f>
        <v>15.46</v>
      </c>
      <c r="C594" s="2">
        <f>IFERROR(__xludf.DUMMYFUNCTION("""COMPUTED_VALUE"""),15.55)</f>
        <v>15.55</v>
      </c>
      <c r="D594" s="2">
        <f>IFERROR(__xludf.DUMMYFUNCTION("""COMPUTED_VALUE"""),15.46)</f>
        <v>15.46</v>
      </c>
      <c r="E594" s="2">
        <f>IFERROR(__xludf.DUMMYFUNCTION("""COMPUTED_VALUE"""),15.46)</f>
        <v>15.46</v>
      </c>
      <c r="F594" s="2">
        <f>IFERROR(__xludf.DUMMYFUNCTION("""COMPUTED_VALUE"""),487900.0)</f>
        <v>487900</v>
      </c>
    </row>
    <row r="595">
      <c r="A595" s="3">
        <f>IFERROR(__xludf.DUMMYFUNCTION("""COMPUTED_VALUE"""),30081.666666666668)</f>
        <v>30081.66667</v>
      </c>
      <c r="B595" s="2">
        <f>IFERROR(__xludf.DUMMYFUNCTION("""COMPUTED_VALUE"""),15.25)</f>
        <v>15.25</v>
      </c>
      <c r="C595" s="2">
        <f>IFERROR(__xludf.DUMMYFUNCTION("""COMPUTED_VALUE"""),15.49)</f>
        <v>15.49</v>
      </c>
      <c r="D595" s="2">
        <f>IFERROR(__xludf.DUMMYFUNCTION("""COMPUTED_VALUE"""),15.25)</f>
        <v>15.25</v>
      </c>
      <c r="E595" s="2">
        <f>IFERROR(__xludf.DUMMYFUNCTION("""COMPUTED_VALUE"""),15.25)</f>
        <v>15.25</v>
      </c>
      <c r="F595" s="2">
        <f>IFERROR(__xludf.DUMMYFUNCTION("""COMPUTED_VALUE"""),569800.0)</f>
        <v>569800</v>
      </c>
    </row>
    <row r="596">
      <c r="A596" s="3">
        <f>IFERROR(__xludf.DUMMYFUNCTION("""COMPUTED_VALUE"""),30082.666666666668)</f>
        <v>30082.66667</v>
      </c>
      <c r="B596" s="2">
        <f>IFERROR(__xludf.DUMMYFUNCTION("""COMPUTED_VALUE"""),15.37)</f>
        <v>15.37</v>
      </c>
      <c r="C596" s="2">
        <f>IFERROR(__xludf.DUMMYFUNCTION("""COMPUTED_VALUE"""),15.46)</f>
        <v>15.46</v>
      </c>
      <c r="D596" s="2">
        <f>IFERROR(__xludf.DUMMYFUNCTION("""COMPUTED_VALUE"""),15.28)</f>
        <v>15.28</v>
      </c>
      <c r="E596" s="2">
        <f>IFERROR(__xludf.DUMMYFUNCTION("""COMPUTED_VALUE"""),15.37)</f>
        <v>15.37</v>
      </c>
      <c r="F596" s="2">
        <f>IFERROR(__xludf.DUMMYFUNCTION("""COMPUTED_VALUE"""),372400.0)</f>
        <v>372400</v>
      </c>
    </row>
    <row r="597">
      <c r="A597" s="3">
        <f>IFERROR(__xludf.DUMMYFUNCTION("""COMPUTED_VALUE"""),30083.666666666668)</f>
        <v>30083.66667</v>
      </c>
      <c r="B597" s="2">
        <f>IFERROR(__xludf.DUMMYFUNCTION("""COMPUTED_VALUE"""),15.25)</f>
        <v>15.25</v>
      </c>
      <c r="C597" s="2">
        <f>IFERROR(__xludf.DUMMYFUNCTION("""COMPUTED_VALUE"""),15.43)</f>
        <v>15.43</v>
      </c>
      <c r="D597" s="2">
        <f>IFERROR(__xludf.DUMMYFUNCTION("""COMPUTED_VALUE"""),15.16)</f>
        <v>15.16</v>
      </c>
      <c r="E597" s="2">
        <f>IFERROR(__xludf.DUMMYFUNCTION("""COMPUTED_VALUE"""),15.25)</f>
        <v>15.25</v>
      </c>
      <c r="F597" s="2">
        <f>IFERROR(__xludf.DUMMYFUNCTION("""COMPUTED_VALUE"""),522600.0)</f>
        <v>522600</v>
      </c>
    </row>
    <row r="598">
      <c r="A598" s="3">
        <f>IFERROR(__xludf.DUMMYFUNCTION("""COMPUTED_VALUE"""),30084.666666666668)</f>
        <v>30084.66667</v>
      </c>
      <c r="B598" s="2">
        <f>IFERROR(__xludf.DUMMYFUNCTION("""COMPUTED_VALUE"""),15.19)</f>
        <v>15.19</v>
      </c>
      <c r="C598" s="2">
        <f>IFERROR(__xludf.DUMMYFUNCTION("""COMPUTED_VALUE"""),15.34)</f>
        <v>15.34</v>
      </c>
      <c r="D598" s="2">
        <f>IFERROR(__xludf.DUMMYFUNCTION("""COMPUTED_VALUE"""),15.19)</f>
        <v>15.19</v>
      </c>
      <c r="E598" s="2">
        <f>IFERROR(__xludf.DUMMYFUNCTION("""COMPUTED_VALUE"""),15.19)</f>
        <v>15.19</v>
      </c>
      <c r="F598" s="2">
        <f>IFERROR(__xludf.DUMMYFUNCTION("""COMPUTED_VALUE"""),368000.0)</f>
        <v>368000</v>
      </c>
    </row>
    <row r="599">
      <c r="A599" s="3">
        <f>IFERROR(__xludf.DUMMYFUNCTION("""COMPUTED_VALUE"""),30085.666666666668)</f>
        <v>30085.66667</v>
      </c>
      <c r="B599" s="2">
        <f>IFERROR(__xludf.DUMMYFUNCTION("""COMPUTED_VALUE"""),15.19)</f>
        <v>15.19</v>
      </c>
      <c r="C599" s="2">
        <f>IFERROR(__xludf.DUMMYFUNCTION("""COMPUTED_VALUE"""),15.28)</f>
        <v>15.28</v>
      </c>
      <c r="D599" s="2">
        <f>IFERROR(__xludf.DUMMYFUNCTION("""COMPUTED_VALUE"""),15.19)</f>
        <v>15.19</v>
      </c>
      <c r="E599" s="2">
        <f>IFERROR(__xludf.DUMMYFUNCTION("""COMPUTED_VALUE"""),15.19)</f>
        <v>15.19</v>
      </c>
      <c r="F599" s="2">
        <f>IFERROR(__xludf.DUMMYFUNCTION("""COMPUTED_VALUE"""),464700.0)</f>
        <v>464700</v>
      </c>
    </row>
    <row r="600">
      <c r="A600" s="3">
        <f>IFERROR(__xludf.DUMMYFUNCTION("""COMPUTED_VALUE"""),30088.666666666668)</f>
        <v>30088.66667</v>
      </c>
      <c r="B600" s="2">
        <f>IFERROR(__xludf.DUMMYFUNCTION("""COMPUTED_VALUE"""),15.01)</f>
        <v>15.01</v>
      </c>
      <c r="C600" s="2">
        <f>IFERROR(__xludf.DUMMYFUNCTION("""COMPUTED_VALUE"""),15.22)</f>
        <v>15.22</v>
      </c>
      <c r="D600" s="2">
        <f>IFERROR(__xludf.DUMMYFUNCTION("""COMPUTED_VALUE"""),14.98)</f>
        <v>14.98</v>
      </c>
      <c r="E600" s="2">
        <f>IFERROR(__xludf.DUMMYFUNCTION("""COMPUTED_VALUE"""),15.01)</f>
        <v>15.01</v>
      </c>
      <c r="F600" s="2">
        <f>IFERROR(__xludf.DUMMYFUNCTION("""COMPUTED_VALUE"""),601000.0)</f>
        <v>601000</v>
      </c>
    </row>
    <row r="601">
      <c r="A601" s="3">
        <f>IFERROR(__xludf.DUMMYFUNCTION("""COMPUTED_VALUE"""),30089.666666666668)</f>
        <v>30089.66667</v>
      </c>
      <c r="B601" s="2">
        <f>IFERROR(__xludf.DUMMYFUNCTION("""COMPUTED_VALUE"""),14.98)</f>
        <v>14.98</v>
      </c>
      <c r="C601" s="2">
        <f>IFERROR(__xludf.DUMMYFUNCTION("""COMPUTED_VALUE"""),15.1)</f>
        <v>15.1</v>
      </c>
      <c r="D601" s="2">
        <f>IFERROR(__xludf.DUMMYFUNCTION("""COMPUTED_VALUE"""),14.98)</f>
        <v>14.98</v>
      </c>
      <c r="E601" s="2">
        <f>IFERROR(__xludf.DUMMYFUNCTION("""COMPUTED_VALUE"""),14.98)</f>
        <v>14.98</v>
      </c>
      <c r="F601" s="2">
        <f>IFERROR(__xludf.DUMMYFUNCTION("""COMPUTED_VALUE"""),446900.0)</f>
        <v>446900</v>
      </c>
    </row>
    <row r="602">
      <c r="A602" s="3">
        <f>IFERROR(__xludf.DUMMYFUNCTION("""COMPUTED_VALUE"""),30090.666666666668)</f>
        <v>30090.66667</v>
      </c>
      <c r="B602" s="2">
        <f>IFERROR(__xludf.DUMMYFUNCTION("""COMPUTED_VALUE"""),14.92)</f>
        <v>14.92</v>
      </c>
      <c r="C602" s="2">
        <f>IFERROR(__xludf.DUMMYFUNCTION("""COMPUTED_VALUE"""),15.1)</f>
        <v>15.1</v>
      </c>
      <c r="D602" s="2">
        <f>IFERROR(__xludf.DUMMYFUNCTION("""COMPUTED_VALUE"""),14.89)</f>
        <v>14.89</v>
      </c>
      <c r="E602" s="2">
        <f>IFERROR(__xludf.DUMMYFUNCTION("""COMPUTED_VALUE"""),14.92)</f>
        <v>14.92</v>
      </c>
      <c r="F602" s="2">
        <f>IFERROR(__xludf.DUMMYFUNCTION("""COMPUTED_VALUE"""),477400.0)</f>
        <v>477400</v>
      </c>
    </row>
    <row r="603">
      <c r="A603" s="3">
        <f>IFERROR(__xludf.DUMMYFUNCTION("""COMPUTED_VALUE"""),30091.666666666668)</f>
        <v>30091.66667</v>
      </c>
      <c r="B603" s="2">
        <f>IFERROR(__xludf.DUMMYFUNCTION("""COMPUTED_VALUE"""),15.04)</f>
        <v>15.04</v>
      </c>
      <c r="C603" s="2">
        <f>IFERROR(__xludf.DUMMYFUNCTION("""COMPUTED_VALUE"""),15.04)</f>
        <v>15.04</v>
      </c>
      <c r="D603" s="2">
        <f>IFERROR(__xludf.DUMMYFUNCTION("""COMPUTED_VALUE"""),14.81)</f>
        <v>14.81</v>
      </c>
      <c r="E603" s="2">
        <f>IFERROR(__xludf.DUMMYFUNCTION("""COMPUTED_VALUE"""),15.04)</f>
        <v>15.04</v>
      </c>
      <c r="F603" s="2">
        <f>IFERROR(__xludf.DUMMYFUNCTION("""COMPUTED_VALUE"""),539200.0)</f>
        <v>539200</v>
      </c>
    </row>
    <row r="604">
      <c r="A604" s="3">
        <f>IFERROR(__xludf.DUMMYFUNCTION("""COMPUTED_VALUE"""),30092.666666666668)</f>
        <v>30092.66667</v>
      </c>
      <c r="B604" s="2">
        <f>IFERROR(__xludf.DUMMYFUNCTION("""COMPUTED_VALUE"""),14.95)</f>
        <v>14.95</v>
      </c>
      <c r="C604" s="2">
        <f>IFERROR(__xludf.DUMMYFUNCTION("""COMPUTED_VALUE"""),15.04)</f>
        <v>15.04</v>
      </c>
      <c r="D604" s="2">
        <f>IFERROR(__xludf.DUMMYFUNCTION("""COMPUTED_VALUE"""),14.89)</f>
        <v>14.89</v>
      </c>
      <c r="E604" s="2">
        <f>IFERROR(__xludf.DUMMYFUNCTION("""COMPUTED_VALUE"""),14.95)</f>
        <v>14.95</v>
      </c>
      <c r="F604" s="2">
        <f>IFERROR(__xludf.DUMMYFUNCTION("""COMPUTED_VALUE"""),824500.0)</f>
        <v>824500</v>
      </c>
    </row>
    <row r="605">
      <c r="A605" s="3">
        <f>IFERROR(__xludf.DUMMYFUNCTION("""COMPUTED_VALUE"""),30095.666666666668)</f>
        <v>30095.66667</v>
      </c>
      <c r="B605" s="2">
        <f>IFERROR(__xludf.DUMMYFUNCTION("""COMPUTED_VALUE"""),14.86)</f>
        <v>14.86</v>
      </c>
      <c r="C605" s="2">
        <f>IFERROR(__xludf.DUMMYFUNCTION("""COMPUTED_VALUE"""),14.95)</f>
        <v>14.95</v>
      </c>
      <c r="D605" s="2">
        <f>IFERROR(__xludf.DUMMYFUNCTION("""COMPUTED_VALUE"""),14.81)</f>
        <v>14.81</v>
      </c>
      <c r="E605" s="2">
        <f>IFERROR(__xludf.DUMMYFUNCTION("""COMPUTED_VALUE"""),14.86)</f>
        <v>14.86</v>
      </c>
      <c r="F605" s="2">
        <f>IFERROR(__xludf.DUMMYFUNCTION("""COMPUTED_VALUE"""),408700.0)</f>
        <v>408700</v>
      </c>
    </row>
    <row r="606">
      <c r="A606" s="3">
        <f>IFERROR(__xludf.DUMMYFUNCTION("""COMPUTED_VALUE"""),30096.666666666668)</f>
        <v>30096.66667</v>
      </c>
      <c r="B606" s="2">
        <f>IFERROR(__xludf.DUMMYFUNCTION("""COMPUTED_VALUE"""),14.78)</f>
        <v>14.78</v>
      </c>
      <c r="C606" s="2">
        <f>IFERROR(__xludf.DUMMYFUNCTION("""COMPUTED_VALUE"""),14.95)</f>
        <v>14.95</v>
      </c>
      <c r="D606" s="2">
        <f>IFERROR(__xludf.DUMMYFUNCTION("""COMPUTED_VALUE"""),14.78)</f>
        <v>14.78</v>
      </c>
      <c r="E606" s="2">
        <f>IFERROR(__xludf.DUMMYFUNCTION("""COMPUTED_VALUE"""),14.78)</f>
        <v>14.78</v>
      </c>
      <c r="F606" s="2">
        <f>IFERROR(__xludf.DUMMYFUNCTION("""COMPUTED_VALUE"""),462700.0)</f>
        <v>462700</v>
      </c>
    </row>
    <row r="607">
      <c r="A607" s="3">
        <f>IFERROR(__xludf.DUMMYFUNCTION("""COMPUTED_VALUE"""),30097.666666666668)</f>
        <v>30097.66667</v>
      </c>
      <c r="B607" s="2">
        <f>IFERROR(__xludf.DUMMYFUNCTION("""COMPUTED_VALUE"""),14.81)</f>
        <v>14.81</v>
      </c>
      <c r="C607" s="2">
        <f>IFERROR(__xludf.DUMMYFUNCTION("""COMPUTED_VALUE"""),14.89)</f>
        <v>14.89</v>
      </c>
      <c r="D607" s="2">
        <f>IFERROR(__xludf.DUMMYFUNCTION("""COMPUTED_VALUE"""),14.72)</f>
        <v>14.72</v>
      </c>
      <c r="E607" s="2">
        <f>IFERROR(__xludf.DUMMYFUNCTION("""COMPUTED_VALUE"""),14.81)</f>
        <v>14.81</v>
      </c>
      <c r="F607" s="2">
        <f>IFERROR(__xludf.DUMMYFUNCTION("""COMPUTED_VALUE"""),501200.0)</f>
        <v>501200</v>
      </c>
    </row>
    <row r="608">
      <c r="A608" s="3">
        <f>IFERROR(__xludf.DUMMYFUNCTION("""COMPUTED_VALUE"""),30098.666666666668)</f>
        <v>30098.66667</v>
      </c>
      <c r="B608" s="2">
        <f>IFERROR(__xludf.DUMMYFUNCTION("""COMPUTED_VALUE"""),14.81)</f>
        <v>14.81</v>
      </c>
      <c r="C608" s="2">
        <f>IFERROR(__xludf.DUMMYFUNCTION("""COMPUTED_VALUE"""),14.89)</f>
        <v>14.89</v>
      </c>
      <c r="D608" s="2">
        <f>IFERROR(__xludf.DUMMYFUNCTION("""COMPUTED_VALUE"""),14.75)</f>
        <v>14.75</v>
      </c>
      <c r="E608" s="2">
        <f>IFERROR(__xludf.DUMMYFUNCTION("""COMPUTED_VALUE"""),14.81)</f>
        <v>14.81</v>
      </c>
      <c r="F608" s="2">
        <f>IFERROR(__xludf.DUMMYFUNCTION("""COMPUTED_VALUE"""),425800.0)</f>
        <v>425800</v>
      </c>
    </row>
    <row r="609">
      <c r="A609" s="3">
        <f>IFERROR(__xludf.DUMMYFUNCTION("""COMPUTED_VALUE"""),30099.666666666668)</f>
        <v>30099.66667</v>
      </c>
      <c r="B609" s="2">
        <f>IFERROR(__xludf.DUMMYFUNCTION("""COMPUTED_VALUE"""),14.69)</f>
        <v>14.69</v>
      </c>
      <c r="C609" s="2">
        <f>IFERROR(__xludf.DUMMYFUNCTION("""COMPUTED_VALUE"""),14.83)</f>
        <v>14.83</v>
      </c>
      <c r="D609" s="2">
        <f>IFERROR(__xludf.DUMMYFUNCTION("""COMPUTED_VALUE"""),14.63)</f>
        <v>14.63</v>
      </c>
      <c r="E609" s="2">
        <f>IFERROR(__xludf.DUMMYFUNCTION("""COMPUTED_VALUE"""),14.69)</f>
        <v>14.69</v>
      </c>
      <c r="F609" s="2">
        <f>IFERROR(__xludf.DUMMYFUNCTION("""COMPUTED_VALUE"""),587200.0)</f>
        <v>587200</v>
      </c>
    </row>
    <row r="610">
      <c r="A610" s="3">
        <f>IFERROR(__xludf.DUMMYFUNCTION("""COMPUTED_VALUE"""),30103.666666666668)</f>
        <v>30103.66667</v>
      </c>
      <c r="B610" s="2">
        <f>IFERROR(__xludf.DUMMYFUNCTION("""COMPUTED_VALUE"""),14.75)</f>
        <v>14.75</v>
      </c>
      <c r="C610" s="2">
        <f>IFERROR(__xludf.DUMMYFUNCTION("""COMPUTED_VALUE"""),14.78)</f>
        <v>14.78</v>
      </c>
      <c r="D610" s="2">
        <f>IFERROR(__xludf.DUMMYFUNCTION("""COMPUTED_VALUE"""),14.66)</f>
        <v>14.66</v>
      </c>
      <c r="E610" s="2">
        <f>IFERROR(__xludf.DUMMYFUNCTION("""COMPUTED_VALUE"""),14.75)</f>
        <v>14.75</v>
      </c>
      <c r="F610" s="2">
        <f>IFERROR(__xludf.DUMMYFUNCTION("""COMPUTED_VALUE"""),412700.0)</f>
        <v>412700</v>
      </c>
    </row>
    <row r="611">
      <c r="A611" s="3">
        <f>IFERROR(__xludf.DUMMYFUNCTION("""COMPUTED_VALUE"""),30104.666666666668)</f>
        <v>30104.66667</v>
      </c>
      <c r="B611" s="2">
        <f>IFERROR(__xludf.DUMMYFUNCTION("""COMPUTED_VALUE"""),14.81)</f>
        <v>14.81</v>
      </c>
      <c r="C611" s="2">
        <f>IFERROR(__xludf.DUMMYFUNCTION("""COMPUTED_VALUE"""),14.83)</f>
        <v>14.83</v>
      </c>
      <c r="D611" s="2">
        <f>IFERROR(__xludf.DUMMYFUNCTION("""COMPUTED_VALUE"""),14.69)</f>
        <v>14.69</v>
      </c>
      <c r="E611" s="2">
        <f>IFERROR(__xludf.DUMMYFUNCTION("""COMPUTED_VALUE"""),14.81)</f>
        <v>14.81</v>
      </c>
      <c r="F611" s="2">
        <f>IFERROR(__xludf.DUMMYFUNCTION("""COMPUTED_VALUE"""),617000.0)</f>
        <v>617000</v>
      </c>
    </row>
    <row r="612">
      <c r="A612" s="3">
        <f>IFERROR(__xludf.DUMMYFUNCTION("""COMPUTED_VALUE"""),30105.666666666668)</f>
        <v>30105.66667</v>
      </c>
      <c r="B612" s="2">
        <f>IFERROR(__xludf.DUMMYFUNCTION("""COMPUTED_VALUE"""),14.69)</f>
        <v>14.69</v>
      </c>
      <c r="C612" s="2">
        <f>IFERROR(__xludf.DUMMYFUNCTION("""COMPUTED_VALUE"""),14.83)</f>
        <v>14.83</v>
      </c>
      <c r="D612" s="2">
        <f>IFERROR(__xludf.DUMMYFUNCTION("""COMPUTED_VALUE"""),14.63)</f>
        <v>14.63</v>
      </c>
      <c r="E612" s="2">
        <f>IFERROR(__xludf.DUMMYFUNCTION("""COMPUTED_VALUE"""),14.69)</f>
        <v>14.69</v>
      </c>
      <c r="F612" s="2">
        <f>IFERROR(__xludf.DUMMYFUNCTION("""COMPUTED_VALUE"""),450800.0)</f>
        <v>450800</v>
      </c>
    </row>
    <row r="613">
      <c r="A613" s="3">
        <f>IFERROR(__xludf.DUMMYFUNCTION("""COMPUTED_VALUE"""),30106.666666666668)</f>
        <v>30106.66667</v>
      </c>
      <c r="B613" s="2">
        <f>IFERROR(__xludf.DUMMYFUNCTION("""COMPUTED_VALUE"""),14.39)</f>
        <v>14.39</v>
      </c>
      <c r="C613" s="2">
        <f>IFERROR(__xludf.DUMMYFUNCTION("""COMPUTED_VALUE"""),14.72)</f>
        <v>14.72</v>
      </c>
      <c r="D613" s="2">
        <f>IFERROR(__xludf.DUMMYFUNCTION("""COMPUTED_VALUE"""),14.36)</f>
        <v>14.36</v>
      </c>
      <c r="E613" s="2">
        <f>IFERROR(__xludf.DUMMYFUNCTION("""COMPUTED_VALUE"""),14.39)</f>
        <v>14.39</v>
      </c>
      <c r="F613" s="2">
        <f>IFERROR(__xludf.DUMMYFUNCTION("""COMPUTED_VALUE"""),402500.0)</f>
        <v>402500</v>
      </c>
    </row>
    <row r="614">
      <c r="A614" s="3">
        <f>IFERROR(__xludf.DUMMYFUNCTION("""COMPUTED_VALUE"""),30109.666666666668)</f>
        <v>30109.66667</v>
      </c>
      <c r="B614" s="2">
        <f>IFERROR(__xludf.DUMMYFUNCTION("""COMPUTED_VALUE"""),14.33)</f>
        <v>14.33</v>
      </c>
      <c r="C614" s="2">
        <f>IFERROR(__xludf.DUMMYFUNCTION("""COMPUTED_VALUE"""),14.48)</f>
        <v>14.48</v>
      </c>
      <c r="D614" s="2">
        <f>IFERROR(__xludf.DUMMYFUNCTION("""COMPUTED_VALUE"""),14.21)</f>
        <v>14.21</v>
      </c>
      <c r="E614" s="2">
        <f>IFERROR(__xludf.DUMMYFUNCTION("""COMPUTED_VALUE"""),14.33)</f>
        <v>14.33</v>
      </c>
      <c r="F614" s="2">
        <f>IFERROR(__xludf.DUMMYFUNCTION("""COMPUTED_VALUE"""),824300.0)</f>
        <v>824300</v>
      </c>
    </row>
    <row r="615">
      <c r="A615" s="3">
        <f>IFERROR(__xludf.DUMMYFUNCTION("""COMPUTED_VALUE"""),30110.666666666668)</f>
        <v>30110.66667</v>
      </c>
      <c r="B615" s="2">
        <f>IFERROR(__xludf.DUMMYFUNCTION("""COMPUTED_VALUE"""),13.91)</f>
        <v>13.91</v>
      </c>
      <c r="C615" s="2">
        <f>IFERROR(__xludf.DUMMYFUNCTION("""COMPUTED_VALUE"""),14.3)</f>
        <v>14.3</v>
      </c>
      <c r="D615" s="2">
        <f>IFERROR(__xludf.DUMMYFUNCTION("""COMPUTED_VALUE"""),13.88)</f>
        <v>13.88</v>
      </c>
      <c r="E615" s="2">
        <f>IFERROR(__xludf.DUMMYFUNCTION("""COMPUTED_VALUE"""),13.91)</f>
        <v>13.91</v>
      </c>
      <c r="F615" s="2">
        <f>IFERROR(__xludf.DUMMYFUNCTION("""COMPUTED_VALUE"""),2034800.0)</f>
        <v>2034800</v>
      </c>
    </row>
    <row r="616">
      <c r="A616" s="3">
        <f>IFERROR(__xludf.DUMMYFUNCTION("""COMPUTED_VALUE"""),30111.666666666668)</f>
        <v>30111.66667</v>
      </c>
      <c r="B616" s="2">
        <f>IFERROR(__xludf.DUMMYFUNCTION("""COMPUTED_VALUE"""),13.88)</f>
        <v>13.88</v>
      </c>
      <c r="C616" s="2">
        <f>IFERROR(__xludf.DUMMYFUNCTION("""COMPUTED_VALUE"""),14.0)</f>
        <v>14</v>
      </c>
      <c r="D616" s="2">
        <f>IFERROR(__xludf.DUMMYFUNCTION("""COMPUTED_VALUE"""),13.73)</f>
        <v>13.73</v>
      </c>
      <c r="E616" s="2">
        <f>IFERROR(__xludf.DUMMYFUNCTION("""COMPUTED_VALUE"""),13.88)</f>
        <v>13.88</v>
      </c>
      <c r="F616" s="2">
        <f>IFERROR(__xludf.DUMMYFUNCTION("""COMPUTED_VALUE"""),1072800.0)</f>
        <v>1072800</v>
      </c>
    </row>
    <row r="617">
      <c r="A617" s="3">
        <f>IFERROR(__xludf.DUMMYFUNCTION("""COMPUTED_VALUE"""),30112.666666666668)</f>
        <v>30112.66667</v>
      </c>
      <c r="B617" s="2">
        <f>IFERROR(__xludf.DUMMYFUNCTION("""COMPUTED_VALUE"""),14.03)</f>
        <v>14.03</v>
      </c>
      <c r="C617" s="2">
        <f>IFERROR(__xludf.DUMMYFUNCTION("""COMPUTED_VALUE"""),14.09)</f>
        <v>14.09</v>
      </c>
      <c r="D617" s="2">
        <f>IFERROR(__xludf.DUMMYFUNCTION("""COMPUTED_VALUE"""),13.85)</f>
        <v>13.85</v>
      </c>
      <c r="E617" s="2">
        <f>IFERROR(__xludf.DUMMYFUNCTION("""COMPUTED_VALUE"""),14.03)</f>
        <v>14.03</v>
      </c>
      <c r="F617" s="2">
        <f>IFERROR(__xludf.DUMMYFUNCTION("""COMPUTED_VALUE"""),684200.0)</f>
        <v>684200</v>
      </c>
    </row>
    <row r="618">
      <c r="A618" s="3">
        <f>IFERROR(__xludf.DUMMYFUNCTION("""COMPUTED_VALUE"""),30113.666666666668)</f>
        <v>30113.66667</v>
      </c>
      <c r="B618" s="2">
        <f>IFERROR(__xludf.DUMMYFUNCTION("""COMPUTED_VALUE"""),14.24)</f>
        <v>14.24</v>
      </c>
      <c r="C618" s="2">
        <f>IFERROR(__xludf.DUMMYFUNCTION("""COMPUTED_VALUE"""),14.36)</f>
        <v>14.36</v>
      </c>
      <c r="D618" s="2">
        <f>IFERROR(__xludf.DUMMYFUNCTION("""COMPUTED_VALUE"""),14.12)</f>
        <v>14.12</v>
      </c>
      <c r="E618" s="2">
        <f>IFERROR(__xludf.DUMMYFUNCTION("""COMPUTED_VALUE"""),14.24)</f>
        <v>14.24</v>
      </c>
      <c r="F618" s="2">
        <f>IFERROR(__xludf.DUMMYFUNCTION("""COMPUTED_VALUE"""),1071500.0)</f>
        <v>1071500</v>
      </c>
    </row>
    <row r="619">
      <c r="A619" s="3">
        <f>IFERROR(__xludf.DUMMYFUNCTION("""COMPUTED_VALUE"""),30116.666666666668)</f>
        <v>30116.66667</v>
      </c>
      <c r="B619" s="2">
        <f>IFERROR(__xludf.DUMMYFUNCTION("""COMPUTED_VALUE"""),14.12)</f>
        <v>14.12</v>
      </c>
      <c r="C619" s="2">
        <f>IFERROR(__xludf.DUMMYFUNCTION("""COMPUTED_VALUE"""),14.21)</f>
        <v>14.21</v>
      </c>
      <c r="D619" s="2">
        <f>IFERROR(__xludf.DUMMYFUNCTION("""COMPUTED_VALUE"""),14.12)</f>
        <v>14.12</v>
      </c>
      <c r="E619" s="2">
        <f>IFERROR(__xludf.DUMMYFUNCTION("""COMPUTED_VALUE"""),14.12)</f>
        <v>14.12</v>
      </c>
      <c r="F619" s="2">
        <f>IFERROR(__xludf.DUMMYFUNCTION("""COMPUTED_VALUE"""),396500.0)</f>
        <v>396500</v>
      </c>
    </row>
    <row r="620">
      <c r="A620" s="3">
        <f>IFERROR(__xludf.DUMMYFUNCTION("""COMPUTED_VALUE"""),30117.666666666668)</f>
        <v>30117.66667</v>
      </c>
      <c r="B620" s="2">
        <f>IFERROR(__xludf.DUMMYFUNCTION("""COMPUTED_VALUE"""),14.27)</f>
        <v>14.27</v>
      </c>
      <c r="C620" s="2">
        <f>IFERROR(__xludf.DUMMYFUNCTION("""COMPUTED_VALUE"""),14.27)</f>
        <v>14.27</v>
      </c>
      <c r="D620" s="2">
        <f>IFERROR(__xludf.DUMMYFUNCTION("""COMPUTED_VALUE"""),14.06)</f>
        <v>14.06</v>
      </c>
      <c r="E620" s="2">
        <f>IFERROR(__xludf.DUMMYFUNCTION("""COMPUTED_VALUE"""),14.27)</f>
        <v>14.27</v>
      </c>
      <c r="F620" s="2">
        <f>IFERROR(__xludf.DUMMYFUNCTION("""COMPUTED_VALUE"""),532600.0)</f>
        <v>532600</v>
      </c>
    </row>
    <row r="621">
      <c r="A621" s="3">
        <f>IFERROR(__xludf.DUMMYFUNCTION("""COMPUTED_VALUE"""),30118.666666666668)</f>
        <v>30118.66667</v>
      </c>
      <c r="B621" s="2">
        <f>IFERROR(__xludf.DUMMYFUNCTION("""COMPUTED_VALUE"""),14.21)</f>
        <v>14.21</v>
      </c>
      <c r="C621" s="2">
        <f>IFERROR(__xludf.DUMMYFUNCTION("""COMPUTED_VALUE"""),14.33)</f>
        <v>14.33</v>
      </c>
      <c r="D621" s="2">
        <f>IFERROR(__xludf.DUMMYFUNCTION("""COMPUTED_VALUE"""),14.15)</f>
        <v>14.15</v>
      </c>
      <c r="E621" s="2">
        <f>IFERROR(__xludf.DUMMYFUNCTION("""COMPUTED_VALUE"""),14.21)</f>
        <v>14.21</v>
      </c>
      <c r="F621" s="2">
        <f>IFERROR(__xludf.DUMMYFUNCTION("""COMPUTED_VALUE"""),465600.0)</f>
        <v>465600</v>
      </c>
    </row>
    <row r="622">
      <c r="A622" s="3">
        <f>IFERROR(__xludf.DUMMYFUNCTION("""COMPUTED_VALUE"""),30119.666666666668)</f>
        <v>30119.66667</v>
      </c>
      <c r="B622" s="2">
        <f>IFERROR(__xludf.DUMMYFUNCTION("""COMPUTED_VALUE"""),13.97)</f>
        <v>13.97</v>
      </c>
      <c r="C622" s="2">
        <f>IFERROR(__xludf.DUMMYFUNCTION("""COMPUTED_VALUE"""),14.15)</f>
        <v>14.15</v>
      </c>
      <c r="D622" s="2">
        <f>IFERROR(__xludf.DUMMYFUNCTION("""COMPUTED_VALUE"""),13.94)</f>
        <v>13.94</v>
      </c>
      <c r="E622" s="2">
        <f>IFERROR(__xludf.DUMMYFUNCTION("""COMPUTED_VALUE"""),13.97)</f>
        <v>13.97</v>
      </c>
      <c r="F622" s="2">
        <f>IFERROR(__xludf.DUMMYFUNCTION("""COMPUTED_VALUE"""),868000.0)</f>
        <v>868000</v>
      </c>
    </row>
    <row r="623">
      <c r="A623" s="3">
        <f>IFERROR(__xludf.DUMMYFUNCTION("""COMPUTED_VALUE"""),30120.666666666668)</f>
        <v>30120.66667</v>
      </c>
      <c r="B623" s="2">
        <f>IFERROR(__xludf.DUMMYFUNCTION("""COMPUTED_VALUE"""),13.94)</f>
        <v>13.94</v>
      </c>
      <c r="C623" s="2">
        <f>IFERROR(__xludf.DUMMYFUNCTION("""COMPUTED_VALUE"""),14.0)</f>
        <v>14</v>
      </c>
      <c r="D623" s="2">
        <f>IFERROR(__xludf.DUMMYFUNCTION("""COMPUTED_VALUE"""),13.94)</f>
        <v>13.94</v>
      </c>
      <c r="E623" s="2">
        <f>IFERROR(__xludf.DUMMYFUNCTION("""COMPUTED_VALUE"""),13.94)</f>
        <v>13.94</v>
      </c>
      <c r="F623" s="2">
        <f>IFERROR(__xludf.DUMMYFUNCTION("""COMPUTED_VALUE"""),333300.0)</f>
        <v>333300</v>
      </c>
    </row>
    <row r="624">
      <c r="A624" s="3">
        <f>IFERROR(__xludf.DUMMYFUNCTION("""COMPUTED_VALUE"""),30123.666666666668)</f>
        <v>30123.66667</v>
      </c>
      <c r="B624" s="2">
        <f>IFERROR(__xludf.DUMMYFUNCTION("""COMPUTED_VALUE"""),14.0)</f>
        <v>14</v>
      </c>
      <c r="C624" s="2">
        <f>IFERROR(__xludf.DUMMYFUNCTION("""COMPUTED_VALUE"""),14.24)</f>
        <v>14.24</v>
      </c>
      <c r="D624" s="2">
        <f>IFERROR(__xludf.DUMMYFUNCTION("""COMPUTED_VALUE"""),13.91)</f>
        <v>13.91</v>
      </c>
      <c r="E624" s="2">
        <f>IFERROR(__xludf.DUMMYFUNCTION("""COMPUTED_VALUE"""),14.0)</f>
        <v>14</v>
      </c>
      <c r="F624" s="2">
        <f>IFERROR(__xludf.DUMMYFUNCTION("""COMPUTED_VALUE"""),696800.0)</f>
        <v>696800</v>
      </c>
    </row>
    <row r="625">
      <c r="A625" s="3">
        <f>IFERROR(__xludf.DUMMYFUNCTION("""COMPUTED_VALUE"""),30124.666666666668)</f>
        <v>30124.66667</v>
      </c>
      <c r="B625" s="2">
        <f>IFERROR(__xludf.DUMMYFUNCTION("""COMPUTED_VALUE"""),14.3)</f>
        <v>14.3</v>
      </c>
      <c r="C625" s="2">
        <f>IFERROR(__xludf.DUMMYFUNCTION("""COMPUTED_VALUE"""),14.3)</f>
        <v>14.3</v>
      </c>
      <c r="D625" s="2">
        <f>IFERROR(__xludf.DUMMYFUNCTION("""COMPUTED_VALUE"""),14.03)</f>
        <v>14.03</v>
      </c>
      <c r="E625" s="2">
        <f>IFERROR(__xludf.DUMMYFUNCTION("""COMPUTED_VALUE"""),14.3)</f>
        <v>14.3</v>
      </c>
      <c r="F625" s="2">
        <f>IFERROR(__xludf.DUMMYFUNCTION("""COMPUTED_VALUE"""),591000.0)</f>
        <v>591000</v>
      </c>
    </row>
    <row r="626">
      <c r="A626" s="3">
        <f>IFERROR(__xludf.DUMMYFUNCTION("""COMPUTED_VALUE"""),30125.666666666668)</f>
        <v>30125.66667</v>
      </c>
      <c r="B626" s="2">
        <f>IFERROR(__xludf.DUMMYFUNCTION("""COMPUTED_VALUE"""),14.6)</f>
        <v>14.6</v>
      </c>
      <c r="C626" s="2">
        <f>IFERROR(__xludf.DUMMYFUNCTION("""COMPUTED_VALUE"""),14.69)</f>
        <v>14.69</v>
      </c>
      <c r="D626" s="2">
        <f>IFERROR(__xludf.DUMMYFUNCTION("""COMPUTED_VALUE"""),14.24)</f>
        <v>14.24</v>
      </c>
      <c r="E626" s="2">
        <f>IFERROR(__xludf.DUMMYFUNCTION("""COMPUTED_VALUE"""),14.6)</f>
        <v>14.6</v>
      </c>
      <c r="F626" s="2">
        <f>IFERROR(__xludf.DUMMYFUNCTION("""COMPUTED_VALUE"""),833800.0)</f>
        <v>833800</v>
      </c>
    </row>
    <row r="627">
      <c r="A627" s="3">
        <f>IFERROR(__xludf.DUMMYFUNCTION("""COMPUTED_VALUE"""),30126.666666666668)</f>
        <v>30126.66667</v>
      </c>
      <c r="B627" s="2">
        <f>IFERROR(__xludf.DUMMYFUNCTION("""COMPUTED_VALUE"""),14.45)</f>
        <v>14.45</v>
      </c>
      <c r="C627" s="2">
        <f>IFERROR(__xludf.DUMMYFUNCTION("""COMPUTED_VALUE"""),14.63)</f>
        <v>14.63</v>
      </c>
      <c r="D627" s="2">
        <f>IFERROR(__xludf.DUMMYFUNCTION("""COMPUTED_VALUE"""),14.42)</f>
        <v>14.42</v>
      </c>
      <c r="E627" s="2">
        <f>IFERROR(__xludf.DUMMYFUNCTION("""COMPUTED_VALUE"""),14.45)</f>
        <v>14.45</v>
      </c>
      <c r="F627" s="2">
        <f>IFERROR(__xludf.DUMMYFUNCTION("""COMPUTED_VALUE"""),690600.0)</f>
        <v>690600</v>
      </c>
    </row>
    <row r="628">
      <c r="A628" s="3">
        <f>IFERROR(__xludf.DUMMYFUNCTION("""COMPUTED_VALUE"""),30127.666666666668)</f>
        <v>30127.66667</v>
      </c>
      <c r="B628" s="2">
        <f>IFERROR(__xludf.DUMMYFUNCTION("""COMPUTED_VALUE"""),14.39)</f>
        <v>14.39</v>
      </c>
      <c r="C628" s="2">
        <f>IFERROR(__xludf.DUMMYFUNCTION("""COMPUTED_VALUE"""),14.48)</f>
        <v>14.48</v>
      </c>
      <c r="D628" s="2">
        <f>IFERROR(__xludf.DUMMYFUNCTION("""COMPUTED_VALUE"""),14.36)</f>
        <v>14.36</v>
      </c>
      <c r="E628" s="2">
        <f>IFERROR(__xludf.DUMMYFUNCTION("""COMPUTED_VALUE"""),14.39)</f>
        <v>14.39</v>
      </c>
      <c r="F628" s="2">
        <f>IFERROR(__xludf.DUMMYFUNCTION("""COMPUTED_VALUE"""),448600.0)</f>
        <v>448600</v>
      </c>
    </row>
    <row r="629">
      <c r="A629" s="3">
        <f>IFERROR(__xludf.DUMMYFUNCTION("""COMPUTED_VALUE"""),30130.666666666668)</f>
        <v>30130.66667</v>
      </c>
      <c r="B629" s="2">
        <f>IFERROR(__xludf.DUMMYFUNCTION("""COMPUTED_VALUE"""),14.6)</f>
        <v>14.6</v>
      </c>
      <c r="C629" s="2">
        <f>IFERROR(__xludf.DUMMYFUNCTION("""COMPUTED_VALUE"""),14.69)</f>
        <v>14.69</v>
      </c>
      <c r="D629" s="2">
        <f>IFERROR(__xludf.DUMMYFUNCTION("""COMPUTED_VALUE"""),14.36)</f>
        <v>14.36</v>
      </c>
      <c r="E629" s="2">
        <f>IFERROR(__xludf.DUMMYFUNCTION("""COMPUTED_VALUE"""),14.6)</f>
        <v>14.6</v>
      </c>
      <c r="F629" s="2">
        <f>IFERROR(__xludf.DUMMYFUNCTION("""COMPUTED_VALUE"""),454600.0)</f>
        <v>454600</v>
      </c>
    </row>
    <row r="630">
      <c r="A630" s="3">
        <f>IFERROR(__xludf.DUMMYFUNCTION("""COMPUTED_VALUE"""),30131.666666666668)</f>
        <v>30131.66667</v>
      </c>
      <c r="B630" s="2">
        <f>IFERROR(__xludf.DUMMYFUNCTION("""COMPUTED_VALUE"""),14.6)</f>
        <v>14.6</v>
      </c>
      <c r="C630" s="2">
        <f>IFERROR(__xludf.DUMMYFUNCTION("""COMPUTED_VALUE"""),14.66)</f>
        <v>14.66</v>
      </c>
      <c r="D630" s="2">
        <f>IFERROR(__xludf.DUMMYFUNCTION("""COMPUTED_VALUE"""),14.48)</f>
        <v>14.48</v>
      </c>
      <c r="E630" s="2">
        <f>IFERROR(__xludf.DUMMYFUNCTION("""COMPUTED_VALUE"""),14.6)</f>
        <v>14.6</v>
      </c>
      <c r="F630" s="2">
        <f>IFERROR(__xludf.DUMMYFUNCTION("""COMPUTED_VALUE"""),345300.0)</f>
        <v>345300</v>
      </c>
    </row>
    <row r="631">
      <c r="A631" s="3">
        <f>IFERROR(__xludf.DUMMYFUNCTION("""COMPUTED_VALUE"""),30132.666666666668)</f>
        <v>30132.66667</v>
      </c>
      <c r="B631" s="2">
        <f>IFERROR(__xludf.DUMMYFUNCTION("""COMPUTED_VALUE"""),14.48)</f>
        <v>14.48</v>
      </c>
      <c r="C631" s="2">
        <f>IFERROR(__xludf.DUMMYFUNCTION("""COMPUTED_VALUE"""),14.69)</f>
        <v>14.69</v>
      </c>
      <c r="D631" s="2">
        <f>IFERROR(__xludf.DUMMYFUNCTION("""COMPUTED_VALUE"""),14.48)</f>
        <v>14.48</v>
      </c>
      <c r="E631" s="2">
        <f>IFERROR(__xludf.DUMMYFUNCTION("""COMPUTED_VALUE"""),14.48)</f>
        <v>14.48</v>
      </c>
      <c r="F631" s="2">
        <f>IFERROR(__xludf.DUMMYFUNCTION("""COMPUTED_VALUE"""),721300.0)</f>
        <v>721300</v>
      </c>
    </row>
    <row r="632">
      <c r="A632" s="3">
        <f>IFERROR(__xludf.DUMMYFUNCTION("""COMPUTED_VALUE"""),30133.666666666668)</f>
        <v>30133.66667</v>
      </c>
      <c r="B632" s="2">
        <f>IFERROR(__xludf.DUMMYFUNCTION("""COMPUTED_VALUE"""),14.48)</f>
        <v>14.48</v>
      </c>
      <c r="C632" s="2">
        <f>IFERROR(__xludf.DUMMYFUNCTION("""COMPUTED_VALUE"""),14.54)</f>
        <v>14.54</v>
      </c>
      <c r="D632" s="2">
        <f>IFERROR(__xludf.DUMMYFUNCTION("""COMPUTED_VALUE"""),14.39)</f>
        <v>14.39</v>
      </c>
      <c r="E632" s="2">
        <f>IFERROR(__xludf.DUMMYFUNCTION("""COMPUTED_VALUE"""),14.48)</f>
        <v>14.48</v>
      </c>
      <c r="F632" s="2">
        <f>IFERROR(__xludf.DUMMYFUNCTION("""COMPUTED_VALUE"""),392000.0)</f>
        <v>392000</v>
      </c>
    </row>
    <row r="633">
      <c r="A633" s="3">
        <f>IFERROR(__xludf.DUMMYFUNCTION("""COMPUTED_VALUE"""),30134.666666666668)</f>
        <v>30134.66667</v>
      </c>
      <c r="B633" s="2">
        <f>IFERROR(__xludf.DUMMYFUNCTION("""COMPUTED_VALUE"""),14.33)</f>
        <v>14.33</v>
      </c>
      <c r="C633" s="2">
        <f>IFERROR(__xludf.DUMMYFUNCTION("""COMPUTED_VALUE"""),14.48)</f>
        <v>14.48</v>
      </c>
      <c r="D633" s="2">
        <f>IFERROR(__xludf.DUMMYFUNCTION("""COMPUTED_VALUE"""),14.33)</f>
        <v>14.33</v>
      </c>
      <c r="E633" s="2">
        <f>IFERROR(__xludf.DUMMYFUNCTION("""COMPUTED_VALUE"""),14.33)</f>
        <v>14.33</v>
      </c>
      <c r="F633" s="2">
        <f>IFERROR(__xludf.DUMMYFUNCTION("""COMPUTED_VALUE"""),290100.0)</f>
        <v>290100</v>
      </c>
    </row>
    <row r="634">
      <c r="A634" s="3">
        <f>IFERROR(__xludf.DUMMYFUNCTION("""COMPUTED_VALUE"""),30138.666666666668)</f>
        <v>30138.66667</v>
      </c>
      <c r="B634" s="2">
        <f>IFERROR(__xludf.DUMMYFUNCTION("""COMPUTED_VALUE"""),14.42)</f>
        <v>14.42</v>
      </c>
      <c r="C634" s="2">
        <f>IFERROR(__xludf.DUMMYFUNCTION("""COMPUTED_VALUE"""),14.51)</f>
        <v>14.51</v>
      </c>
      <c r="D634" s="2">
        <f>IFERROR(__xludf.DUMMYFUNCTION("""COMPUTED_VALUE"""),14.18)</f>
        <v>14.18</v>
      </c>
      <c r="E634" s="2">
        <f>IFERROR(__xludf.DUMMYFUNCTION("""COMPUTED_VALUE"""),14.42)</f>
        <v>14.42</v>
      </c>
      <c r="F634" s="2">
        <f>IFERROR(__xludf.DUMMYFUNCTION("""COMPUTED_VALUE"""),358800.0)</f>
        <v>358800</v>
      </c>
    </row>
    <row r="635">
      <c r="A635" s="3">
        <f>IFERROR(__xludf.DUMMYFUNCTION("""COMPUTED_VALUE"""),30139.666666666668)</f>
        <v>30139.66667</v>
      </c>
      <c r="B635" s="2">
        <f>IFERROR(__xludf.DUMMYFUNCTION("""COMPUTED_VALUE"""),14.57)</f>
        <v>14.57</v>
      </c>
      <c r="C635" s="2">
        <f>IFERROR(__xludf.DUMMYFUNCTION("""COMPUTED_VALUE"""),14.63)</f>
        <v>14.63</v>
      </c>
      <c r="D635" s="2">
        <f>IFERROR(__xludf.DUMMYFUNCTION("""COMPUTED_VALUE"""),14.42)</f>
        <v>14.42</v>
      </c>
      <c r="E635" s="2">
        <f>IFERROR(__xludf.DUMMYFUNCTION("""COMPUTED_VALUE"""),14.57)</f>
        <v>14.57</v>
      </c>
      <c r="F635" s="2">
        <f>IFERROR(__xludf.DUMMYFUNCTION("""COMPUTED_VALUE"""),638300.0)</f>
        <v>638300</v>
      </c>
    </row>
    <row r="636">
      <c r="A636" s="3">
        <f>IFERROR(__xludf.DUMMYFUNCTION("""COMPUTED_VALUE"""),30140.666666666668)</f>
        <v>30140.66667</v>
      </c>
      <c r="B636" s="2">
        <f>IFERROR(__xludf.DUMMYFUNCTION("""COMPUTED_VALUE"""),14.69)</f>
        <v>14.69</v>
      </c>
      <c r="C636" s="2">
        <f>IFERROR(__xludf.DUMMYFUNCTION("""COMPUTED_VALUE"""),14.72)</f>
        <v>14.72</v>
      </c>
      <c r="D636" s="2">
        <f>IFERROR(__xludf.DUMMYFUNCTION("""COMPUTED_VALUE"""),14.27)</f>
        <v>14.27</v>
      </c>
      <c r="E636" s="2">
        <f>IFERROR(__xludf.DUMMYFUNCTION("""COMPUTED_VALUE"""),14.69)</f>
        <v>14.69</v>
      </c>
      <c r="F636" s="2">
        <f>IFERROR(__xludf.DUMMYFUNCTION("""COMPUTED_VALUE"""),963900.0)</f>
        <v>963900</v>
      </c>
    </row>
    <row r="637">
      <c r="A637" s="3">
        <f>IFERROR(__xludf.DUMMYFUNCTION("""COMPUTED_VALUE"""),30141.666666666668)</f>
        <v>30141.66667</v>
      </c>
      <c r="B637" s="2">
        <f>IFERROR(__xludf.DUMMYFUNCTION("""COMPUTED_VALUE"""),14.92)</f>
        <v>14.92</v>
      </c>
      <c r="C637" s="2">
        <f>IFERROR(__xludf.DUMMYFUNCTION("""COMPUTED_VALUE"""),14.92)</f>
        <v>14.92</v>
      </c>
      <c r="D637" s="2">
        <f>IFERROR(__xludf.DUMMYFUNCTION("""COMPUTED_VALUE"""),14.66)</f>
        <v>14.66</v>
      </c>
      <c r="E637" s="2">
        <f>IFERROR(__xludf.DUMMYFUNCTION("""COMPUTED_VALUE"""),14.92)</f>
        <v>14.92</v>
      </c>
      <c r="F637" s="2">
        <f>IFERROR(__xludf.DUMMYFUNCTION("""COMPUTED_VALUE"""),1247100.0)</f>
        <v>1247100</v>
      </c>
    </row>
    <row r="638">
      <c r="A638" s="3">
        <f>IFERROR(__xludf.DUMMYFUNCTION("""COMPUTED_VALUE"""),30144.666666666668)</f>
        <v>30144.66667</v>
      </c>
      <c r="B638" s="2">
        <f>IFERROR(__xludf.DUMMYFUNCTION("""COMPUTED_VALUE"""),15.16)</f>
        <v>15.16</v>
      </c>
      <c r="C638" s="2">
        <f>IFERROR(__xludf.DUMMYFUNCTION("""COMPUTED_VALUE"""),15.19)</f>
        <v>15.19</v>
      </c>
      <c r="D638" s="2">
        <f>IFERROR(__xludf.DUMMYFUNCTION("""COMPUTED_VALUE"""),15.01)</f>
        <v>15.01</v>
      </c>
      <c r="E638" s="2">
        <f>IFERROR(__xludf.DUMMYFUNCTION("""COMPUTED_VALUE"""),15.16)</f>
        <v>15.16</v>
      </c>
      <c r="F638" s="2">
        <f>IFERROR(__xludf.DUMMYFUNCTION("""COMPUTED_VALUE"""),985100.0)</f>
        <v>985100</v>
      </c>
    </row>
    <row r="639">
      <c r="A639" s="3">
        <f>IFERROR(__xludf.DUMMYFUNCTION("""COMPUTED_VALUE"""),30145.666666666668)</f>
        <v>30145.66667</v>
      </c>
      <c r="B639" s="2">
        <f>IFERROR(__xludf.DUMMYFUNCTION("""COMPUTED_VALUE"""),15.4)</f>
        <v>15.4</v>
      </c>
      <c r="C639" s="2">
        <f>IFERROR(__xludf.DUMMYFUNCTION("""COMPUTED_VALUE"""),15.52)</f>
        <v>15.52</v>
      </c>
      <c r="D639" s="2">
        <f>IFERROR(__xludf.DUMMYFUNCTION("""COMPUTED_VALUE"""),15.07)</f>
        <v>15.07</v>
      </c>
      <c r="E639" s="2">
        <f>IFERROR(__xludf.DUMMYFUNCTION("""COMPUTED_VALUE"""),15.4)</f>
        <v>15.4</v>
      </c>
      <c r="F639" s="2">
        <f>IFERROR(__xludf.DUMMYFUNCTION("""COMPUTED_VALUE"""),1556300.0)</f>
        <v>1556300</v>
      </c>
    </row>
    <row r="640">
      <c r="A640" s="3">
        <f>IFERROR(__xludf.DUMMYFUNCTION("""COMPUTED_VALUE"""),30146.666666666668)</f>
        <v>30146.66667</v>
      </c>
      <c r="B640" s="2">
        <f>IFERROR(__xludf.DUMMYFUNCTION("""COMPUTED_VALUE"""),15.97)</f>
        <v>15.97</v>
      </c>
      <c r="C640" s="2">
        <f>IFERROR(__xludf.DUMMYFUNCTION("""COMPUTED_VALUE"""),15.97)</f>
        <v>15.97</v>
      </c>
      <c r="D640" s="2">
        <f>IFERROR(__xludf.DUMMYFUNCTION("""COMPUTED_VALUE"""),15.46)</f>
        <v>15.46</v>
      </c>
      <c r="E640" s="2">
        <f>IFERROR(__xludf.DUMMYFUNCTION("""COMPUTED_VALUE"""),15.97)</f>
        <v>15.97</v>
      </c>
      <c r="F640" s="2">
        <f>IFERROR(__xludf.DUMMYFUNCTION("""COMPUTED_VALUE"""),1688100.0)</f>
        <v>1688100</v>
      </c>
    </row>
    <row r="641">
      <c r="A641" s="3">
        <f>IFERROR(__xludf.DUMMYFUNCTION("""COMPUTED_VALUE"""),30147.666666666668)</f>
        <v>30147.66667</v>
      </c>
      <c r="B641" s="2">
        <f>IFERROR(__xludf.DUMMYFUNCTION("""COMPUTED_VALUE"""),15.94)</f>
        <v>15.94</v>
      </c>
      <c r="C641" s="2">
        <f>IFERROR(__xludf.DUMMYFUNCTION("""COMPUTED_VALUE"""),16.12)</f>
        <v>16.12</v>
      </c>
      <c r="D641" s="2">
        <f>IFERROR(__xludf.DUMMYFUNCTION("""COMPUTED_VALUE"""),15.85)</f>
        <v>15.85</v>
      </c>
      <c r="E641" s="2">
        <f>IFERROR(__xludf.DUMMYFUNCTION("""COMPUTED_VALUE"""),15.94)</f>
        <v>15.94</v>
      </c>
      <c r="F641" s="2">
        <f>IFERROR(__xludf.DUMMYFUNCTION("""COMPUTED_VALUE"""),1578700.0)</f>
        <v>1578700</v>
      </c>
    </row>
    <row r="642">
      <c r="A642" s="3">
        <f>IFERROR(__xludf.DUMMYFUNCTION("""COMPUTED_VALUE"""),30148.666666666668)</f>
        <v>30148.66667</v>
      </c>
      <c r="B642" s="2">
        <f>IFERROR(__xludf.DUMMYFUNCTION("""COMPUTED_VALUE"""),15.94)</f>
        <v>15.94</v>
      </c>
      <c r="C642" s="2">
        <f>IFERROR(__xludf.DUMMYFUNCTION("""COMPUTED_VALUE"""),16.18)</f>
        <v>16.18</v>
      </c>
      <c r="D642" s="2">
        <f>IFERROR(__xludf.DUMMYFUNCTION("""COMPUTED_VALUE"""),15.88)</f>
        <v>15.88</v>
      </c>
      <c r="E642" s="2">
        <f>IFERROR(__xludf.DUMMYFUNCTION("""COMPUTED_VALUE"""),15.94)</f>
        <v>15.94</v>
      </c>
      <c r="F642" s="2">
        <f>IFERROR(__xludf.DUMMYFUNCTION("""COMPUTED_VALUE"""),1452600.0)</f>
        <v>1452600</v>
      </c>
    </row>
    <row r="643">
      <c r="A643" s="3">
        <f>IFERROR(__xludf.DUMMYFUNCTION("""COMPUTED_VALUE"""),30151.666666666668)</f>
        <v>30151.66667</v>
      </c>
      <c r="B643" s="2">
        <f>IFERROR(__xludf.DUMMYFUNCTION("""COMPUTED_VALUE"""),15.73)</f>
        <v>15.73</v>
      </c>
      <c r="C643" s="2">
        <f>IFERROR(__xludf.DUMMYFUNCTION("""COMPUTED_VALUE"""),15.91)</f>
        <v>15.91</v>
      </c>
      <c r="D643" s="2">
        <f>IFERROR(__xludf.DUMMYFUNCTION("""COMPUTED_VALUE"""),15.67)</f>
        <v>15.67</v>
      </c>
      <c r="E643" s="2">
        <f>IFERROR(__xludf.DUMMYFUNCTION("""COMPUTED_VALUE"""),15.73)</f>
        <v>15.73</v>
      </c>
      <c r="F643" s="2">
        <f>IFERROR(__xludf.DUMMYFUNCTION("""COMPUTED_VALUE"""),997700.0)</f>
        <v>997700</v>
      </c>
    </row>
    <row r="644">
      <c r="A644" s="3">
        <f>IFERROR(__xludf.DUMMYFUNCTION("""COMPUTED_VALUE"""),30152.666666666668)</f>
        <v>30152.66667</v>
      </c>
      <c r="B644" s="2">
        <f>IFERROR(__xludf.DUMMYFUNCTION("""COMPUTED_VALUE"""),16.09)</f>
        <v>16.09</v>
      </c>
      <c r="C644" s="2">
        <f>IFERROR(__xludf.DUMMYFUNCTION("""COMPUTED_VALUE"""),16.15)</f>
        <v>16.15</v>
      </c>
      <c r="D644" s="2">
        <f>IFERROR(__xludf.DUMMYFUNCTION("""COMPUTED_VALUE"""),15.73)</f>
        <v>15.73</v>
      </c>
      <c r="E644" s="2">
        <f>IFERROR(__xludf.DUMMYFUNCTION("""COMPUTED_VALUE"""),16.09)</f>
        <v>16.09</v>
      </c>
      <c r="F644" s="2">
        <f>IFERROR(__xludf.DUMMYFUNCTION("""COMPUTED_VALUE"""),1306900.0)</f>
        <v>1306900</v>
      </c>
    </row>
    <row r="645">
      <c r="A645" s="3">
        <f>IFERROR(__xludf.DUMMYFUNCTION("""COMPUTED_VALUE"""),30153.666666666668)</f>
        <v>30153.66667</v>
      </c>
      <c r="B645" s="2">
        <f>IFERROR(__xludf.DUMMYFUNCTION("""COMPUTED_VALUE"""),16.12)</f>
        <v>16.12</v>
      </c>
      <c r="C645" s="2">
        <f>IFERROR(__xludf.DUMMYFUNCTION("""COMPUTED_VALUE"""),16.39)</f>
        <v>16.39</v>
      </c>
      <c r="D645" s="2">
        <f>IFERROR(__xludf.DUMMYFUNCTION("""COMPUTED_VALUE"""),16.06)</f>
        <v>16.06</v>
      </c>
      <c r="E645" s="2">
        <f>IFERROR(__xludf.DUMMYFUNCTION("""COMPUTED_VALUE"""),16.12)</f>
        <v>16.12</v>
      </c>
      <c r="F645" s="2">
        <f>IFERROR(__xludf.DUMMYFUNCTION("""COMPUTED_VALUE"""),1274500.0)</f>
        <v>1274500</v>
      </c>
    </row>
    <row r="646">
      <c r="A646" s="3">
        <f>IFERROR(__xludf.DUMMYFUNCTION("""COMPUTED_VALUE"""),30154.666666666668)</f>
        <v>30154.66667</v>
      </c>
      <c r="B646" s="2">
        <f>IFERROR(__xludf.DUMMYFUNCTION("""COMPUTED_VALUE"""),15.91)</f>
        <v>15.91</v>
      </c>
      <c r="C646" s="2">
        <f>IFERROR(__xludf.DUMMYFUNCTION("""COMPUTED_VALUE"""),16.09)</f>
        <v>16.09</v>
      </c>
      <c r="D646" s="2">
        <f>IFERROR(__xludf.DUMMYFUNCTION("""COMPUTED_VALUE"""),15.88)</f>
        <v>15.88</v>
      </c>
      <c r="E646" s="2">
        <f>IFERROR(__xludf.DUMMYFUNCTION("""COMPUTED_VALUE"""),15.91)</f>
        <v>15.91</v>
      </c>
      <c r="F646" s="2">
        <f>IFERROR(__xludf.DUMMYFUNCTION("""COMPUTED_VALUE"""),1036200.0)</f>
        <v>1036200</v>
      </c>
    </row>
    <row r="647">
      <c r="A647" s="3">
        <f>IFERROR(__xludf.DUMMYFUNCTION("""COMPUTED_VALUE"""),30155.666666666668)</f>
        <v>30155.66667</v>
      </c>
      <c r="B647" s="2">
        <f>IFERROR(__xludf.DUMMYFUNCTION("""COMPUTED_VALUE"""),15.88)</f>
        <v>15.88</v>
      </c>
      <c r="C647" s="2">
        <f>IFERROR(__xludf.DUMMYFUNCTION("""COMPUTED_VALUE"""),16.0)</f>
        <v>16</v>
      </c>
      <c r="D647" s="2">
        <f>IFERROR(__xludf.DUMMYFUNCTION("""COMPUTED_VALUE"""),15.85)</f>
        <v>15.85</v>
      </c>
      <c r="E647" s="2">
        <f>IFERROR(__xludf.DUMMYFUNCTION("""COMPUTED_VALUE"""),15.88)</f>
        <v>15.88</v>
      </c>
      <c r="F647" s="2">
        <f>IFERROR(__xludf.DUMMYFUNCTION("""COMPUTED_VALUE"""),404000.0)</f>
        <v>404000</v>
      </c>
    </row>
    <row r="648">
      <c r="A648" s="3">
        <f>IFERROR(__xludf.DUMMYFUNCTION("""COMPUTED_VALUE"""),30158.666666666668)</f>
        <v>30158.66667</v>
      </c>
      <c r="B648" s="2">
        <f>IFERROR(__xludf.DUMMYFUNCTION("""COMPUTED_VALUE"""),15.73)</f>
        <v>15.73</v>
      </c>
      <c r="C648" s="2">
        <f>IFERROR(__xludf.DUMMYFUNCTION("""COMPUTED_VALUE"""),15.91)</f>
        <v>15.91</v>
      </c>
      <c r="D648" s="2">
        <f>IFERROR(__xludf.DUMMYFUNCTION("""COMPUTED_VALUE"""),15.7)</f>
        <v>15.7</v>
      </c>
      <c r="E648" s="2">
        <f>IFERROR(__xludf.DUMMYFUNCTION("""COMPUTED_VALUE"""),15.73)</f>
        <v>15.73</v>
      </c>
      <c r="F648" s="2">
        <f>IFERROR(__xludf.DUMMYFUNCTION("""COMPUTED_VALUE"""),392600.0)</f>
        <v>392600</v>
      </c>
    </row>
    <row r="649">
      <c r="A649" s="3">
        <f>IFERROR(__xludf.DUMMYFUNCTION("""COMPUTED_VALUE"""),30159.666666666668)</f>
        <v>30159.66667</v>
      </c>
      <c r="B649" s="2">
        <f>IFERROR(__xludf.DUMMYFUNCTION("""COMPUTED_VALUE"""),15.64)</f>
        <v>15.64</v>
      </c>
      <c r="C649" s="2">
        <f>IFERROR(__xludf.DUMMYFUNCTION("""COMPUTED_VALUE"""),15.82)</f>
        <v>15.82</v>
      </c>
      <c r="D649" s="2">
        <f>IFERROR(__xludf.DUMMYFUNCTION("""COMPUTED_VALUE"""),15.64)</f>
        <v>15.64</v>
      </c>
      <c r="E649" s="2">
        <f>IFERROR(__xludf.DUMMYFUNCTION("""COMPUTED_VALUE"""),15.64)</f>
        <v>15.64</v>
      </c>
      <c r="F649" s="2">
        <f>IFERROR(__xludf.DUMMYFUNCTION("""COMPUTED_VALUE"""),393500.0)</f>
        <v>393500</v>
      </c>
    </row>
    <row r="650">
      <c r="A650" s="3">
        <f>IFERROR(__xludf.DUMMYFUNCTION("""COMPUTED_VALUE"""),30160.666666666668)</f>
        <v>30160.66667</v>
      </c>
      <c r="B650" s="2">
        <f>IFERROR(__xludf.DUMMYFUNCTION("""COMPUTED_VALUE"""),15.49)</f>
        <v>15.49</v>
      </c>
      <c r="C650" s="2">
        <f>IFERROR(__xludf.DUMMYFUNCTION("""COMPUTED_VALUE"""),15.76)</f>
        <v>15.76</v>
      </c>
      <c r="D650" s="2">
        <f>IFERROR(__xludf.DUMMYFUNCTION("""COMPUTED_VALUE"""),15.49)</f>
        <v>15.49</v>
      </c>
      <c r="E650" s="2">
        <f>IFERROR(__xludf.DUMMYFUNCTION("""COMPUTED_VALUE"""),15.49)</f>
        <v>15.49</v>
      </c>
      <c r="F650" s="2">
        <f>IFERROR(__xludf.DUMMYFUNCTION("""COMPUTED_VALUE"""),675300.0)</f>
        <v>675300</v>
      </c>
    </row>
    <row r="651">
      <c r="A651" s="3">
        <f>IFERROR(__xludf.DUMMYFUNCTION("""COMPUTED_VALUE"""),30161.666666666668)</f>
        <v>30161.66667</v>
      </c>
      <c r="B651" s="2">
        <f>IFERROR(__xludf.DUMMYFUNCTION("""COMPUTED_VALUE"""),15.64)</f>
        <v>15.64</v>
      </c>
      <c r="C651" s="2">
        <f>IFERROR(__xludf.DUMMYFUNCTION("""COMPUTED_VALUE"""),15.67)</f>
        <v>15.67</v>
      </c>
      <c r="D651" s="2">
        <f>IFERROR(__xludf.DUMMYFUNCTION("""COMPUTED_VALUE"""),15.37)</f>
        <v>15.37</v>
      </c>
      <c r="E651" s="2">
        <f>IFERROR(__xludf.DUMMYFUNCTION("""COMPUTED_VALUE"""),15.64)</f>
        <v>15.64</v>
      </c>
      <c r="F651" s="2">
        <f>IFERROR(__xludf.DUMMYFUNCTION("""COMPUTED_VALUE"""),574100.0)</f>
        <v>574100</v>
      </c>
    </row>
    <row r="652">
      <c r="A652" s="3">
        <f>IFERROR(__xludf.DUMMYFUNCTION("""COMPUTED_VALUE"""),30162.666666666668)</f>
        <v>30162.66667</v>
      </c>
      <c r="B652" s="2">
        <f>IFERROR(__xludf.DUMMYFUNCTION("""COMPUTED_VALUE"""),15.67)</f>
        <v>15.67</v>
      </c>
      <c r="C652" s="2">
        <f>IFERROR(__xludf.DUMMYFUNCTION("""COMPUTED_VALUE"""),15.82)</f>
        <v>15.82</v>
      </c>
      <c r="D652" s="2">
        <f>IFERROR(__xludf.DUMMYFUNCTION("""COMPUTED_VALUE"""),15.64)</f>
        <v>15.64</v>
      </c>
      <c r="E652" s="2">
        <f>IFERROR(__xludf.DUMMYFUNCTION("""COMPUTED_VALUE"""),15.67)</f>
        <v>15.67</v>
      </c>
      <c r="F652" s="2">
        <f>IFERROR(__xludf.DUMMYFUNCTION("""COMPUTED_VALUE"""),491100.0)</f>
        <v>491100</v>
      </c>
    </row>
    <row r="653">
      <c r="A653" s="3">
        <f>IFERROR(__xludf.DUMMYFUNCTION("""COMPUTED_VALUE"""),30165.666666666668)</f>
        <v>30165.66667</v>
      </c>
      <c r="B653" s="2">
        <f>IFERROR(__xludf.DUMMYFUNCTION("""COMPUTED_VALUE"""),15.94)</f>
        <v>15.94</v>
      </c>
      <c r="C653" s="2">
        <f>IFERROR(__xludf.DUMMYFUNCTION("""COMPUTED_VALUE"""),16.03)</f>
        <v>16.03</v>
      </c>
      <c r="D653" s="2">
        <f>IFERROR(__xludf.DUMMYFUNCTION("""COMPUTED_VALUE"""),15.79)</f>
        <v>15.79</v>
      </c>
      <c r="E653" s="2">
        <f>IFERROR(__xludf.DUMMYFUNCTION("""COMPUTED_VALUE"""),15.94)</f>
        <v>15.94</v>
      </c>
      <c r="F653" s="2">
        <f>IFERROR(__xludf.DUMMYFUNCTION("""COMPUTED_VALUE"""),626800.0)</f>
        <v>626800</v>
      </c>
    </row>
    <row r="654">
      <c r="A654" s="3">
        <f>IFERROR(__xludf.DUMMYFUNCTION("""COMPUTED_VALUE"""),30166.666666666668)</f>
        <v>30166.66667</v>
      </c>
      <c r="B654" s="2">
        <f>IFERROR(__xludf.DUMMYFUNCTION("""COMPUTED_VALUE"""),15.76)</f>
        <v>15.76</v>
      </c>
      <c r="C654" s="2">
        <f>IFERROR(__xludf.DUMMYFUNCTION("""COMPUTED_VALUE"""),16.06)</f>
        <v>16.06</v>
      </c>
      <c r="D654" s="2">
        <f>IFERROR(__xludf.DUMMYFUNCTION("""COMPUTED_VALUE"""),15.76)</f>
        <v>15.76</v>
      </c>
      <c r="E654" s="2">
        <f>IFERROR(__xludf.DUMMYFUNCTION("""COMPUTED_VALUE"""),15.76)</f>
        <v>15.76</v>
      </c>
      <c r="F654" s="2">
        <f>IFERROR(__xludf.DUMMYFUNCTION("""COMPUTED_VALUE"""),651000.0)</f>
        <v>651000</v>
      </c>
    </row>
    <row r="655">
      <c r="A655" s="3">
        <f>IFERROR(__xludf.DUMMYFUNCTION("""COMPUTED_VALUE"""),30167.666666666668)</f>
        <v>30167.66667</v>
      </c>
      <c r="B655" s="2">
        <f>IFERROR(__xludf.DUMMYFUNCTION("""COMPUTED_VALUE"""),15.67)</f>
        <v>15.67</v>
      </c>
      <c r="C655" s="2">
        <f>IFERROR(__xludf.DUMMYFUNCTION("""COMPUTED_VALUE"""),15.79)</f>
        <v>15.79</v>
      </c>
      <c r="D655" s="2">
        <f>IFERROR(__xludf.DUMMYFUNCTION("""COMPUTED_VALUE"""),15.64)</f>
        <v>15.64</v>
      </c>
      <c r="E655" s="2">
        <f>IFERROR(__xludf.DUMMYFUNCTION("""COMPUTED_VALUE"""),15.67)</f>
        <v>15.67</v>
      </c>
      <c r="F655" s="2">
        <f>IFERROR(__xludf.DUMMYFUNCTION("""COMPUTED_VALUE"""),849900.0)</f>
        <v>849900</v>
      </c>
    </row>
    <row r="656">
      <c r="A656" s="3">
        <f>IFERROR(__xludf.DUMMYFUNCTION("""COMPUTED_VALUE"""),30168.666666666668)</f>
        <v>30168.66667</v>
      </c>
      <c r="B656" s="2">
        <f>IFERROR(__xludf.DUMMYFUNCTION("""COMPUTED_VALUE"""),15.25)</f>
        <v>15.25</v>
      </c>
      <c r="C656" s="2">
        <f>IFERROR(__xludf.DUMMYFUNCTION("""COMPUTED_VALUE"""),15.46)</f>
        <v>15.46</v>
      </c>
      <c r="D656" s="2">
        <f>IFERROR(__xludf.DUMMYFUNCTION("""COMPUTED_VALUE"""),15.22)</f>
        <v>15.22</v>
      </c>
      <c r="E656" s="2">
        <f>IFERROR(__xludf.DUMMYFUNCTION("""COMPUTED_VALUE"""),15.25)</f>
        <v>15.25</v>
      </c>
      <c r="F656" s="2">
        <f>IFERROR(__xludf.DUMMYFUNCTION("""COMPUTED_VALUE"""),688700.0)</f>
        <v>688700</v>
      </c>
    </row>
    <row r="657">
      <c r="A657" s="3">
        <f>IFERROR(__xludf.DUMMYFUNCTION("""COMPUTED_VALUE"""),30169.666666666668)</f>
        <v>30169.66667</v>
      </c>
      <c r="B657" s="2">
        <f>IFERROR(__xludf.DUMMYFUNCTION("""COMPUTED_VALUE"""),15.07)</f>
        <v>15.07</v>
      </c>
      <c r="C657" s="2">
        <f>IFERROR(__xludf.DUMMYFUNCTION("""COMPUTED_VALUE"""),15.34)</f>
        <v>15.34</v>
      </c>
      <c r="D657" s="2">
        <f>IFERROR(__xludf.DUMMYFUNCTION("""COMPUTED_VALUE"""),15.04)</f>
        <v>15.04</v>
      </c>
      <c r="E657" s="2">
        <f>IFERROR(__xludf.DUMMYFUNCTION("""COMPUTED_VALUE"""),15.07)</f>
        <v>15.07</v>
      </c>
      <c r="F657" s="2">
        <f>IFERROR(__xludf.DUMMYFUNCTION("""COMPUTED_VALUE"""),338400.0)</f>
        <v>338400</v>
      </c>
    </row>
    <row r="658">
      <c r="A658" s="3">
        <f>IFERROR(__xludf.DUMMYFUNCTION("""COMPUTED_VALUE"""),30172.666666666668)</f>
        <v>30172.66667</v>
      </c>
      <c r="B658" s="2">
        <f>IFERROR(__xludf.DUMMYFUNCTION("""COMPUTED_VALUE"""),15.1)</f>
        <v>15.1</v>
      </c>
      <c r="C658" s="2">
        <f>IFERROR(__xludf.DUMMYFUNCTION("""COMPUTED_VALUE"""),15.1)</f>
        <v>15.1</v>
      </c>
      <c r="D658" s="2">
        <f>IFERROR(__xludf.DUMMYFUNCTION("""COMPUTED_VALUE"""),14.89)</f>
        <v>14.89</v>
      </c>
      <c r="E658" s="2">
        <f>IFERROR(__xludf.DUMMYFUNCTION("""COMPUTED_VALUE"""),15.1)</f>
        <v>15.1</v>
      </c>
      <c r="F658" s="2">
        <f>IFERROR(__xludf.DUMMYFUNCTION("""COMPUTED_VALUE"""),673600.0)</f>
        <v>673600</v>
      </c>
    </row>
    <row r="659">
      <c r="A659" s="3">
        <f>IFERROR(__xludf.DUMMYFUNCTION("""COMPUTED_VALUE"""),30173.666666666668)</f>
        <v>30173.66667</v>
      </c>
      <c r="B659" s="2">
        <f>IFERROR(__xludf.DUMMYFUNCTION("""COMPUTED_VALUE"""),15.04)</f>
        <v>15.04</v>
      </c>
      <c r="C659" s="2">
        <f>IFERROR(__xludf.DUMMYFUNCTION("""COMPUTED_VALUE"""),15.22)</f>
        <v>15.22</v>
      </c>
      <c r="D659" s="2">
        <f>IFERROR(__xludf.DUMMYFUNCTION("""COMPUTED_VALUE"""),15.04)</f>
        <v>15.04</v>
      </c>
      <c r="E659" s="2">
        <f>IFERROR(__xludf.DUMMYFUNCTION("""COMPUTED_VALUE"""),15.04)</f>
        <v>15.04</v>
      </c>
      <c r="F659" s="2">
        <f>IFERROR(__xludf.DUMMYFUNCTION("""COMPUTED_VALUE"""),1084500.0)</f>
        <v>1084500</v>
      </c>
    </row>
    <row r="660">
      <c r="A660" s="3">
        <f>IFERROR(__xludf.DUMMYFUNCTION("""COMPUTED_VALUE"""),30174.666666666668)</f>
        <v>30174.66667</v>
      </c>
      <c r="B660" s="2">
        <f>IFERROR(__xludf.DUMMYFUNCTION("""COMPUTED_VALUE"""),14.89)</f>
        <v>14.89</v>
      </c>
      <c r="C660" s="2">
        <f>IFERROR(__xludf.DUMMYFUNCTION("""COMPUTED_VALUE"""),15.07)</f>
        <v>15.07</v>
      </c>
      <c r="D660" s="2">
        <f>IFERROR(__xludf.DUMMYFUNCTION("""COMPUTED_VALUE"""),14.89)</f>
        <v>14.89</v>
      </c>
      <c r="E660" s="2">
        <f>IFERROR(__xludf.DUMMYFUNCTION("""COMPUTED_VALUE"""),14.89)</f>
        <v>14.89</v>
      </c>
      <c r="F660" s="2">
        <f>IFERROR(__xludf.DUMMYFUNCTION("""COMPUTED_VALUE"""),743200.0)</f>
        <v>743200</v>
      </c>
    </row>
    <row r="661">
      <c r="A661" s="3">
        <f>IFERROR(__xludf.DUMMYFUNCTION("""COMPUTED_VALUE"""),30175.666666666668)</f>
        <v>30175.66667</v>
      </c>
      <c r="B661" s="2">
        <f>IFERROR(__xludf.DUMMYFUNCTION("""COMPUTED_VALUE"""),14.86)</f>
        <v>14.86</v>
      </c>
      <c r="C661" s="2">
        <f>IFERROR(__xludf.DUMMYFUNCTION("""COMPUTED_VALUE"""),15.01)</f>
        <v>15.01</v>
      </c>
      <c r="D661" s="2">
        <f>IFERROR(__xludf.DUMMYFUNCTION("""COMPUTED_VALUE"""),14.83)</f>
        <v>14.83</v>
      </c>
      <c r="E661" s="2">
        <f>IFERROR(__xludf.DUMMYFUNCTION("""COMPUTED_VALUE"""),14.86)</f>
        <v>14.86</v>
      </c>
      <c r="F661" s="2">
        <f>IFERROR(__xludf.DUMMYFUNCTION("""COMPUTED_VALUE"""),555100.0)</f>
        <v>555100</v>
      </c>
    </row>
    <row r="662">
      <c r="A662" s="3">
        <f>IFERROR(__xludf.DUMMYFUNCTION("""COMPUTED_VALUE"""),30176.666666666668)</f>
        <v>30176.66667</v>
      </c>
      <c r="B662" s="2">
        <f>IFERROR(__xludf.DUMMYFUNCTION("""COMPUTED_VALUE"""),15.01)</f>
        <v>15.01</v>
      </c>
      <c r="C662" s="2">
        <f>IFERROR(__xludf.DUMMYFUNCTION("""COMPUTED_VALUE"""),15.04)</f>
        <v>15.04</v>
      </c>
      <c r="D662" s="2">
        <f>IFERROR(__xludf.DUMMYFUNCTION("""COMPUTED_VALUE"""),14.86)</f>
        <v>14.86</v>
      </c>
      <c r="E662" s="2">
        <f>IFERROR(__xludf.DUMMYFUNCTION("""COMPUTED_VALUE"""),15.01)</f>
        <v>15.01</v>
      </c>
      <c r="F662" s="2">
        <f>IFERROR(__xludf.DUMMYFUNCTION("""COMPUTED_VALUE"""),581900.0)</f>
        <v>581900</v>
      </c>
    </row>
    <row r="663">
      <c r="A663" s="3">
        <f>IFERROR(__xludf.DUMMYFUNCTION("""COMPUTED_VALUE"""),30179.666666666668)</f>
        <v>30179.66667</v>
      </c>
      <c r="B663" s="2">
        <f>IFERROR(__xludf.DUMMYFUNCTION("""COMPUTED_VALUE"""),15.01)</f>
        <v>15.01</v>
      </c>
      <c r="C663" s="2">
        <f>IFERROR(__xludf.DUMMYFUNCTION("""COMPUTED_VALUE"""),15.19)</f>
        <v>15.19</v>
      </c>
      <c r="D663" s="2">
        <f>IFERROR(__xludf.DUMMYFUNCTION("""COMPUTED_VALUE"""),14.98)</f>
        <v>14.98</v>
      </c>
      <c r="E663" s="2">
        <f>IFERROR(__xludf.DUMMYFUNCTION("""COMPUTED_VALUE"""),15.01)</f>
        <v>15.01</v>
      </c>
      <c r="F663" s="2">
        <f>IFERROR(__xludf.DUMMYFUNCTION("""COMPUTED_VALUE"""),534500.0)</f>
        <v>534500</v>
      </c>
    </row>
    <row r="664">
      <c r="A664" s="3">
        <f>IFERROR(__xludf.DUMMYFUNCTION("""COMPUTED_VALUE"""),30180.666666666668)</f>
        <v>30180.66667</v>
      </c>
      <c r="B664" s="2">
        <f>IFERROR(__xludf.DUMMYFUNCTION("""COMPUTED_VALUE"""),15.76)</f>
        <v>15.76</v>
      </c>
      <c r="C664" s="2">
        <f>IFERROR(__xludf.DUMMYFUNCTION("""COMPUTED_VALUE"""),15.79)</f>
        <v>15.79</v>
      </c>
      <c r="D664" s="2">
        <f>IFERROR(__xludf.DUMMYFUNCTION("""COMPUTED_VALUE"""),15.04)</f>
        <v>15.04</v>
      </c>
      <c r="E664" s="2">
        <f>IFERROR(__xludf.DUMMYFUNCTION("""COMPUTED_VALUE"""),15.76)</f>
        <v>15.76</v>
      </c>
      <c r="F664" s="2">
        <f>IFERROR(__xludf.DUMMYFUNCTION("""COMPUTED_VALUE"""),1182200.0)</f>
        <v>1182200</v>
      </c>
    </row>
    <row r="665">
      <c r="A665" s="3">
        <f>IFERROR(__xludf.DUMMYFUNCTION("""COMPUTED_VALUE"""),30181.666666666668)</f>
        <v>30181.66667</v>
      </c>
      <c r="B665" s="2">
        <f>IFERROR(__xludf.DUMMYFUNCTION("""COMPUTED_VALUE"""),15.7)</f>
        <v>15.7</v>
      </c>
      <c r="C665" s="2">
        <f>IFERROR(__xludf.DUMMYFUNCTION("""COMPUTED_VALUE"""),16.15)</f>
        <v>16.15</v>
      </c>
      <c r="D665" s="2">
        <f>IFERROR(__xludf.DUMMYFUNCTION("""COMPUTED_VALUE"""),15.7)</f>
        <v>15.7</v>
      </c>
      <c r="E665" s="2">
        <f>IFERROR(__xludf.DUMMYFUNCTION("""COMPUTED_VALUE"""),15.7)</f>
        <v>15.7</v>
      </c>
      <c r="F665" s="2">
        <f>IFERROR(__xludf.DUMMYFUNCTION("""COMPUTED_VALUE"""),1707000.0)</f>
        <v>1707000</v>
      </c>
    </row>
    <row r="666">
      <c r="A666" s="3">
        <f>IFERROR(__xludf.DUMMYFUNCTION("""COMPUTED_VALUE"""),30182.666666666668)</f>
        <v>30182.66667</v>
      </c>
      <c r="B666" s="2">
        <f>IFERROR(__xludf.DUMMYFUNCTION("""COMPUTED_VALUE"""),15.76)</f>
        <v>15.76</v>
      </c>
      <c r="C666" s="2">
        <f>IFERROR(__xludf.DUMMYFUNCTION("""COMPUTED_VALUE"""),15.94)</f>
        <v>15.94</v>
      </c>
      <c r="D666" s="2">
        <f>IFERROR(__xludf.DUMMYFUNCTION("""COMPUTED_VALUE"""),15.58)</f>
        <v>15.58</v>
      </c>
      <c r="E666" s="2">
        <f>IFERROR(__xludf.DUMMYFUNCTION("""COMPUTED_VALUE"""),15.76)</f>
        <v>15.76</v>
      </c>
      <c r="F666" s="2">
        <f>IFERROR(__xludf.DUMMYFUNCTION("""COMPUTED_VALUE"""),1361100.0)</f>
        <v>1361100</v>
      </c>
    </row>
    <row r="667">
      <c r="A667" s="3">
        <f>IFERROR(__xludf.DUMMYFUNCTION("""COMPUTED_VALUE"""),30183.666666666668)</f>
        <v>30183.66667</v>
      </c>
      <c r="B667" s="2">
        <f>IFERROR(__xludf.DUMMYFUNCTION("""COMPUTED_VALUE"""),16.3)</f>
        <v>16.3</v>
      </c>
      <c r="C667" s="2">
        <f>IFERROR(__xludf.DUMMYFUNCTION("""COMPUTED_VALUE"""),16.39)</f>
        <v>16.39</v>
      </c>
      <c r="D667" s="2">
        <f>IFERROR(__xludf.DUMMYFUNCTION("""COMPUTED_VALUE"""),15.76)</f>
        <v>15.76</v>
      </c>
      <c r="E667" s="2">
        <f>IFERROR(__xludf.DUMMYFUNCTION("""COMPUTED_VALUE"""),16.3)</f>
        <v>16.3</v>
      </c>
      <c r="F667" s="2">
        <f>IFERROR(__xludf.DUMMYFUNCTION("""COMPUTED_VALUE"""),1356200.0)</f>
        <v>1356200</v>
      </c>
    </row>
    <row r="668">
      <c r="A668" s="3">
        <f>IFERROR(__xludf.DUMMYFUNCTION("""COMPUTED_VALUE"""),30186.666666666668)</f>
        <v>30186.66667</v>
      </c>
      <c r="B668" s="2">
        <f>IFERROR(__xludf.DUMMYFUNCTION("""COMPUTED_VALUE"""),16.57)</f>
        <v>16.57</v>
      </c>
      <c r="C668" s="2">
        <f>IFERROR(__xludf.DUMMYFUNCTION("""COMPUTED_VALUE"""),16.6)</f>
        <v>16.6</v>
      </c>
      <c r="D668" s="2">
        <f>IFERROR(__xludf.DUMMYFUNCTION("""COMPUTED_VALUE"""),16.18)</f>
        <v>16.18</v>
      </c>
      <c r="E668" s="2">
        <f>IFERROR(__xludf.DUMMYFUNCTION("""COMPUTED_VALUE"""),16.57)</f>
        <v>16.57</v>
      </c>
      <c r="F668" s="2">
        <f>IFERROR(__xludf.DUMMYFUNCTION("""COMPUTED_VALUE"""),1545400.0)</f>
        <v>1545400</v>
      </c>
    </row>
    <row r="669">
      <c r="A669" s="3">
        <f>IFERROR(__xludf.DUMMYFUNCTION("""COMPUTED_VALUE"""),30187.666666666668)</f>
        <v>30187.66667</v>
      </c>
      <c r="B669" s="2">
        <f>IFERROR(__xludf.DUMMYFUNCTION("""COMPUTED_VALUE"""),16.33)</f>
        <v>16.33</v>
      </c>
      <c r="C669" s="2">
        <f>IFERROR(__xludf.DUMMYFUNCTION("""COMPUTED_VALUE"""),16.54)</f>
        <v>16.54</v>
      </c>
      <c r="D669" s="2">
        <f>IFERROR(__xludf.DUMMYFUNCTION("""COMPUTED_VALUE"""),16.27)</f>
        <v>16.27</v>
      </c>
      <c r="E669" s="2">
        <f>IFERROR(__xludf.DUMMYFUNCTION("""COMPUTED_VALUE"""),16.33)</f>
        <v>16.33</v>
      </c>
      <c r="F669" s="2">
        <f>IFERROR(__xludf.DUMMYFUNCTION("""COMPUTED_VALUE"""),1491000.0)</f>
        <v>1491000</v>
      </c>
    </row>
    <row r="670">
      <c r="A670" s="3">
        <f>IFERROR(__xludf.DUMMYFUNCTION("""COMPUTED_VALUE"""),30188.666666666668)</f>
        <v>30188.66667</v>
      </c>
      <c r="B670" s="2">
        <f>IFERROR(__xludf.DUMMYFUNCTION("""COMPUTED_VALUE"""),16.51)</f>
        <v>16.51</v>
      </c>
      <c r="C670" s="2">
        <f>IFERROR(__xludf.DUMMYFUNCTION("""COMPUTED_VALUE"""),16.75)</f>
        <v>16.75</v>
      </c>
      <c r="D670" s="2">
        <f>IFERROR(__xludf.DUMMYFUNCTION("""COMPUTED_VALUE"""),16.33)</f>
        <v>16.33</v>
      </c>
      <c r="E670" s="2">
        <f>IFERROR(__xludf.DUMMYFUNCTION("""COMPUTED_VALUE"""),16.51)</f>
        <v>16.51</v>
      </c>
      <c r="F670" s="2">
        <f>IFERROR(__xludf.DUMMYFUNCTION("""COMPUTED_VALUE"""),1427400.0)</f>
        <v>1427400</v>
      </c>
    </row>
    <row r="671">
      <c r="A671" s="3">
        <f>IFERROR(__xludf.DUMMYFUNCTION("""COMPUTED_VALUE"""),30189.666666666668)</f>
        <v>30189.66667</v>
      </c>
      <c r="B671" s="2">
        <f>IFERROR(__xludf.DUMMYFUNCTION("""COMPUTED_VALUE"""),16.51)</f>
        <v>16.51</v>
      </c>
      <c r="C671" s="2">
        <f>IFERROR(__xludf.DUMMYFUNCTION("""COMPUTED_VALUE"""),16.83)</f>
        <v>16.83</v>
      </c>
      <c r="D671" s="2">
        <f>IFERROR(__xludf.DUMMYFUNCTION("""COMPUTED_VALUE"""),16.48)</f>
        <v>16.48</v>
      </c>
      <c r="E671" s="2">
        <f>IFERROR(__xludf.DUMMYFUNCTION("""COMPUTED_VALUE"""),16.51)</f>
        <v>16.51</v>
      </c>
      <c r="F671" s="2">
        <f>IFERROR(__xludf.DUMMYFUNCTION("""COMPUTED_VALUE"""),1480300.0)</f>
        <v>1480300</v>
      </c>
    </row>
    <row r="672">
      <c r="A672" s="3">
        <f>IFERROR(__xludf.DUMMYFUNCTION("""COMPUTED_VALUE"""),30190.666666666668)</f>
        <v>30190.66667</v>
      </c>
      <c r="B672" s="2">
        <f>IFERROR(__xludf.DUMMYFUNCTION("""COMPUTED_VALUE"""),16.48)</f>
        <v>16.48</v>
      </c>
      <c r="C672" s="2">
        <f>IFERROR(__xludf.DUMMYFUNCTION("""COMPUTED_VALUE"""),16.54)</f>
        <v>16.54</v>
      </c>
      <c r="D672" s="2">
        <f>IFERROR(__xludf.DUMMYFUNCTION("""COMPUTED_VALUE"""),16.33)</f>
        <v>16.33</v>
      </c>
      <c r="E672" s="2">
        <f>IFERROR(__xludf.DUMMYFUNCTION("""COMPUTED_VALUE"""),16.48)</f>
        <v>16.48</v>
      </c>
      <c r="F672" s="2">
        <f>IFERROR(__xludf.DUMMYFUNCTION("""COMPUTED_VALUE"""),689500.0)</f>
        <v>689500</v>
      </c>
    </row>
    <row r="673">
      <c r="A673" s="3">
        <f>IFERROR(__xludf.DUMMYFUNCTION("""COMPUTED_VALUE"""),30193.666666666668)</f>
        <v>30193.66667</v>
      </c>
      <c r="B673" s="2">
        <f>IFERROR(__xludf.DUMMYFUNCTION("""COMPUTED_VALUE"""),16.69)</f>
        <v>16.69</v>
      </c>
      <c r="C673" s="2">
        <f>IFERROR(__xludf.DUMMYFUNCTION("""COMPUTED_VALUE"""),16.72)</f>
        <v>16.72</v>
      </c>
      <c r="D673" s="2">
        <f>IFERROR(__xludf.DUMMYFUNCTION("""COMPUTED_VALUE"""),16.33)</f>
        <v>16.33</v>
      </c>
      <c r="E673" s="2">
        <f>IFERROR(__xludf.DUMMYFUNCTION("""COMPUTED_VALUE"""),16.69)</f>
        <v>16.69</v>
      </c>
      <c r="F673" s="2">
        <f>IFERROR(__xludf.DUMMYFUNCTION("""COMPUTED_VALUE"""),781400.0)</f>
        <v>781400</v>
      </c>
    </row>
    <row r="674">
      <c r="A674" s="3">
        <f>IFERROR(__xludf.DUMMYFUNCTION("""COMPUTED_VALUE"""),30194.666666666668)</f>
        <v>30194.66667</v>
      </c>
      <c r="B674" s="2">
        <f>IFERROR(__xludf.DUMMYFUNCTION("""COMPUTED_VALUE"""),16.83)</f>
        <v>16.83</v>
      </c>
      <c r="C674" s="2">
        <f>IFERROR(__xludf.DUMMYFUNCTION("""COMPUTED_VALUE"""),16.95)</f>
        <v>16.95</v>
      </c>
      <c r="D674" s="2">
        <f>IFERROR(__xludf.DUMMYFUNCTION("""COMPUTED_VALUE"""),16.63)</f>
        <v>16.63</v>
      </c>
      <c r="E674" s="2">
        <f>IFERROR(__xludf.DUMMYFUNCTION("""COMPUTED_VALUE"""),16.83)</f>
        <v>16.83</v>
      </c>
      <c r="F674" s="2">
        <f>IFERROR(__xludf.DUMMYFUNCTION("""COMPUTED_VALUE"""),1235000.0)</f>
        <v>1235000</v>
      </c>
    </row>
    <row r="675">
      <c r="A675" s="3">
        <f>IFERROR(__xludf.DUMMYFUNCTION("""COMPUTED_VALUE"""),30195.666666666668)</f>
        <v>30195.66667</v>
      </c>
      <c r="B675" s="2">
        <f>IFERROR(__xludf.DUMMYFUNCTION("""COMPUTED_VALUE"""),16.66)</f>
        <v>16.66</v>
      </c>
      <c r="C675" s="2">
        <f>IFERROR(__xludf.DUMMYFUNCTION("""COMPUTED_VALUE"""),16.95)</f>
        <v>16.95</v>
      </c>
      <c r="D675" s="2">
        <f>IFERROR(__xludf.DUMMYFUNCTION("""COMPUTED_VALUE"""),16.6)</f>
        <v>16.6</v>
      </c>
      <c r="E675" s="2">
        <f>IFERROR(__xludf.DUMMYFUNCTION("""COMPUTED_VALUE"""),16.66)</f>
        <v>16.66</v>
      </c>
      <c r="F675" s="2">
        <f>IFERROR(__xludf.DUMMYFUNCTION("""COMPUTED_VALUE"""),1117400.0)</f>
        <v>1117400</v>
      </c>
    </row>
    <row r="676">
      <c r="A676" s="3">
        <f>IFERROR(__xludf.DUMMYFUNCTION("""COMPUTED_VALUE"""),30196.666666666668)</f>
        <v>30196.66667</v>
      </c>
      <c r="B676" s="2">
        <f>IFERROR(__xludf.DUMMYFUNCTION("""COMPUTED_VALUE"""),17.04)</f>
        <v>17.04</v>
      </c>
      <c r="C676" s="2">
        <f>IFERROR(__xludf.DUMMYFUNCTION("""COMPUTED_VALUE"""),17.19)</f>
        <v>17.19</v>
      </c>
      <c r="D676" s="2">
        <f>IFERROR(__xludf.DUMMYFUNCTION("""COMPUTED_VALUE"""),16.57)</f>
        <v>16.57</v>
      </c>
      <c r="E676" s="2">
        <f>IFERROR(__xludf.DUMMYFUNCTION("""COMPUTED_VALUE"""),17.04)</f>
        <v>17.04</v>
      </c>
      <c r="F676" s="2">
        <f>IFERROR(__xludf.DUMMYFUNCTION("""COMPUTED_VALUE"""),949700.0)</f>
        <v>949700</v>
      </c>
    </row>
    <row r="677">
      <c r="A677" s="3">
        <f>IFERROR(__xludf.DUMMYFUNCTION("""COMPUTED_VALUE"""),30197.666666666668)</f>
        <v>30197.66667</v>
      </c>
      <c r="B677" s="2">
        <f>IFERROR(__xludf.DUMMYFUNCTION("""COMPUTED_VALUE"""),17.22)</f>
        <v>17.22</v>
      </c>
      <c r="C677" s="2">
        <f>IFERROR(__xludf.DUMMYFUNCTION("""COMPUTED_VALUE"""),17.67)</f>
        <v>17.67</v>
      </c>
      <c r="D677" s="2">
        <f>IFERROR(__xludf.DUMMYFUNCTION("""COMPUTED_VALUE"""),17.1)</f>
        <v>17.1</v>
      </c>
      <c r="E677" s="2">
        <f>IFERROR(__xludf.DUMMYFUNCTION("""COMPUTED_VALUE"""),17.22)</f>
        <v>17.22</v>
      </c>
      <c r="F677" s="2">
        <f>IFERROR(__xludf.DUMMYFUNCTION("""COMPUTED_VALUE"""),1662800.0)</f>
        <v>1662800</v>
      </c>
    </row>
    <row r="678">
      <c r="A678" s="3">
        <f>IFERROR(__xludf.DUMMYFUNCTION("""COMPUTED_VALUE"""),30201.666666666668)</f>
        <v>30201.66667</v>
      </c>
      <c r="B678" s="2">
        <f>IFERROR(__xludf.DUMMYFUNCTION("""COMPUTED_VALUE"""),17.31)</f>
        <v>17.31</v>
      </c>
      <c r="C678" s="2">
        <f>IFERROR(__xludf.DUMMYFUNCTION("""COMPUTED_VALUE"""),17.37)</f>
        <v>17.37</v>
      </c>
      <c r="D678" s="2">
        <f>IFERROR(__xludf.DUMMYFUNCTION("""COMPUTED_VALUE"""),17.13)</f>
        <v>17.13</v>
      </c>
      <c r="E678" s="2">
        <f>IFERROR(__xludf.DUMMYFUNCTION("""COMPUTED_VALUE"""),17.31)</f>
        <v>17.31</v>
      </c>
      <c r="F678" s="2">
        <f>IFERROR(__xludf.DUMMYFUNCTION("""COMPUTED_VALUE"""),1121300.0)</f>
        <v>1121300</v>
      </c>
    </row>
    <row r="679">
      <c r="A679" s="3">
        <f>IFERROR(__xludf.DUMMYFUNCTION("""COMPUTED_VALUE"""),30202.666666666668)</f>
        <v>30202.66667</v>
      </c>
      <c r="B679" s="2">
        <f>IFERROR(__xludf.DUMMYFUNCTION("""COMPUTED_VALUE"""),17.31)</f>
        <v>17.31</v>
      </c>
      <c r="C679" s="2">
        <f>IFERROR(__xludf.DUMMYFUNCTION("""COMPUTED_VALUE"""),17.58)</f>
        <v>17.58</v>
      </c>
      <c r="D679" s="2">
        <f>IFERROR(__xludf.DUMMYFUNCTION("""COMPUTED_VALUE"""),17.22)</f>
        <v>17.22</v>
      </c>
      <c r="E679" s="2">
        <f>IFERROR(__xludf.DUMMYFUNCTION("""COMPUTED_VALUE"""),17.31)</f>
        <v>17.31</v>
      </c>
      <c r="F679" s="2">
        <f>IFERROR(__xludf.DUMMYFUNCTION("""COMPUTED_VALUE"""),1429900.0)</f>
        <v>1429900</v>
      </c>
    </row>
    <row r="680">
      <c r="A680" s="3">
        <f>IFERROR(__xludf.DUMMYFUNCTION("""COMPUTED_VALUE"""),30203.666666666668)</f>
        <v>30203.66667</v>
      </c>
      <c r="B680" s="2">
        <f>IFERROR(__xludf.DUMMYFUNCTION("""COMPUTED_VALUE"""),17.16)</f>
        <v>17.16</v>
      </c>
      <c r="C680" s="2">
        <f>IFERROR(__xludf.DUMMYFUNCTION("""COMPUTED_VALUE"""),17.49)</f>
        <v>17.49</v>
      </c>
      <c r="D680" s="2">
        <f>IFERROR(__xludf.DUMMYFUNCTION("""COMPUTED_VALUE"""),17.13)</f>
        <v>17.13</v>
      </c>
      <c r="E680" s="2">
        <f>IFERROR(__xludf.DUMMYFUNCTION("""COMPUTED_VALUE"""),17.16)</f>
        <v>17.16</v>
      </c>
      <c r="F680" s="2">
        <f>IFERROR(__xludf.DUMMYFUNCTION("""COMPUTED_VALUE"""),781100.0)</f>
        <v>781100</v>
      </c>
    </row>
    <row r="681">
      <c r="A681" s="3">
        <f>IFERROR(__xludf.DUMMYFUNCTION("""COMPUTED_VALUE"""),30204.666666666668)</f>
        <v>30204.66667</v>
      </c>
      <c r="B681" s="2">
        <f>IFERROR(__xludf.DUMMYFUNCTION("""COMPUTED_VALUE"""),17.04)</f>
        <v>17.04</v>
      </c>
      <c r="C681" s="2">
        <f>IFERROR(__xludf.DUMMYFUNCTION("""COMPUTED_VALUE"""),17.22)</f>
        <v>17.22</v>
      </c>
      <c r="D681" s="2">
        <f>IFERROR(__xludf.DUMMYFUNCTION("""COMPUTED_VALUE"""),16.89)</f>
        <v>16.89</v>
      </c>
      <c r="E681" s="2">
        <f>IFERROR(__xludf.DUMMYFUNCTION("""COMPUTED_VALUE"""),17.04)</f>
        <v>17.04</v>
      </c>
      <c r="F681" s="2">
        <f>IFERROR(__xludf.DUMMYFUNCTION("""COMPUTED_VALUE"""),946700.0)</f>
        <v>946700</v>
      </c>
    </row>
    <row r="682">
      <c r="A682" s="3">
        <f>IFERROR(__xludf.DUMMYFUNCTION("""COMPUTED_VALUE"""),30207.666666666668)</f>
        <v>30207.66667</v>
      </c>
      <c r="B682" s="2">
        <f>IFERROR(__xludf.DUMMYFUNCTION("""COMPUTED_VALUE"""),17.4)</f>
        <v>17.4</v>
      </c>
      <c r="C682" s="2">
        <f>IFERROR(__xludf.DUMMYFUNCTION("""COMPUTED_VALUE"""),17.43)</f>
        <v>17.43</v>
      </c>
      <c r="D682" s="2">
        <f>IFERROR(__xludf.DUMMYFUNCTION("""COMPUTED_VALUE"""),16.98)</f>
        <v>16.98</v>
      </c>
      <c r="E682" s="2">
        <f>IFERROR(__xludf.DUMMYFUNCTION("""COMPUTED_VALUE"""),17.4)</f>
        <v>17.4</v>
      </c>
      <c r="F682" s="2">
        <f>IFERROR(__xludf.DUMMYFUNCTION("""COMPUTED_VALUE"""),727600.0)</f>
        <v>727600</v>
      </c>
    </row>
    <row r="683">
      <c r="A683" s="3">
        <f>IFERROR(__xludf.DUMMYFUNCTION("""COMPUTED_VALUE"""),30208.666666666668)</f>
        <v>30208.66667</v>
      </c>
      <c r="B683" s="2">
        <f>IFERROR(__xludf.DUMMYFUNCTION("""COMPUTED_VALUE"""),17.31)</f>
        <v>17.31</v>
      </c>
      <c r="C683" s="2">
        <f>IFERROR(__xludf.DUMMYFUNCTION("""COMPUTED_VALUE"""),17.67)</f>
        <v>17.67</v>
      </c>
      <c r="D683" s="2">
        <f>IFERROR(__xludf.DUMMYFUNCTION("""COMPUTED_VALUE"""),17.25)</f>
        <v>17.25</v>
      </c>
      <c r="E683" s="2">
        <f>IFERROR(__xludf.DUMMYFUNCTION("""COMPUTED_VALUE"""),17.31)</f>
        <v>17.31</v>
      </c>
      <c r="F683" s="2">
        <f>IFERROR(__xludf.DUMMYFUNCTION("""COMPUTED_VALUE"""),1220100.0)</f>
        <v>1220100</v>
      </c>
    </row>
    <row r="684">
      <c r="A684" s="3">
        <f>IFERROR(__xludf.DUMMYFUNCTION("""COMPUTED_VALUE"""),30209.666666666668)</f>
        <v>30209.66667</v>
      </c>
      <c r="B684" s="2">
        <f>IFERROR(__xludf.DUMMYFUNCTION("""COMPUTED_VALUE"""),17.52)</f>
        <v>17.52</v>
      </c>
      <c r="C684" s="2">
        <f>IFERROR(__xludf.DUMMYFUNCTION("""COMPUTED_VALUE"""),17.58)</f>
        <v>17.58</v>
      </c>
      <c r="D684" s="2">
        <f>IFERROR(__xludf.DUMMYFUNCTION("""COMPUTED_VALUE"""),17.25)</f>
        <v>17.25</v>
      </c>
      <c r="E684" s="2">
        <f>IFERROR(__xludf.DUMMYFUNCTION("""COMPUTED_VALUE"""),17.52)</f>
        <v>17.52</v>
      </c>
      <c r="F684" s="2">
        <f>IFERROR(__xludf.DUMMYFUNCTION("""COMPUTED_VALUE"""),940800.0)</f>
        <v>940800</v>
      </c>
    </row>
    <row r="685">
      <c r="A685" s="3">
        <f>IFERROR(__xludf.DUMMYFUNCTION("""COMPUTED_VALUE"""),30210.666666666668)</f>
        <v>30210.66667</v>
      </c>
      <c r="B685" s="2">
        <f>IFERROR(__xludf.DUMMYFUNCTION("""COMPUTED_VALUE"""),17.7)</f>
        <v>17.7</v>
      </c>
      <c r="C685" s="2">
        <f>IFERROR(__xludf.DUMMYFUNCTION("""COMPUTED_VALUE"""),17.91)</f>
        <v>17.91</v>
      </c>
      <c r="D685" s="2">
        <f>IFERROR(__xludf.DUMMYFUNCTION("""COMPUTED_VALUE"""),17.49)</f>
        <v>17.49</v>
      </c>
      <c r="E685" s="2">
        <f>IFERROR(__xludf.DUMMYFUNCTION("""COMPUTED_VALUE"""),17.7)</f>
        <v>17.7</v>
      </c>
      <c r="F685" s="2">
        <f>IFERROR(__xludf.DUMMYFUNCTION("""COMPUTED_VALUE"""),1409700.0)</f>
        <v>1409700</v>
      </c>
    </row>
    <row r="686">
      <c r="A686" s="3">
        <f>IFERROR(__xludf.DUMMYFUNCTION("""COMPUTED_VALUE"""),30211.666666666668)</f>
        <v>30211.66667</v>
      </c>
      <c r="B686" s="2">
        <f>IFERROR(__xludf.DUMMYFUNCTION("""COMPUTED_VALUE"""),17.7)</f>
        <v>17.7</v>
      </c>
      <c r="C686" s="2">
        <f>IFERROR(__xludf.DUMMYFUNCTION("""COMPUTED_VALUE"""),17.85)</f>
        <v>17.85</v>
      </c>
      <c r="D686" s="2">
        <f>IFERROR(__xludf.DUMMYFUNCTION("""COMPUTED_VALUE"""),17.61)</f>
        <v>17.61</v>
      </c>
      <c r="E686" s="2">
        <f>IFERROR(__xludf.DUMMYFUNCTION("""COMPUTED_VALUE"""),17.7)</f>
        <v>17.7</v>
      </c>
      <c r="F686" s="2">
        <f>IFERROR(__xludf.DUMMYFUNCTION("""COMPUTED_VALUE"""),726800.0)</f>
        <v>726800</v>
      </c>
    </row>
    <row r="687">
      <c r="A687" s="3">
        <f>IFERROR(__xludf.DUMMYFUNCTION("""COMPUTED_VALUE"""),30214.666666666668)</f>
        <v>30214.66667</v>
      </c>
      <c r="B687" s="2">
        <f>IFERROR(__xludf.DUMMYFUNCTION("""COMPUTED_VALUE"""),17.85)</f>
        <v>17.85</v>
      </c>
      <c r="C687" s="2">
        <f>IFERROR(__xludf.DUMMYFUNCTION("""COMPUTED_VALUE"""),17.85)</f>
        <v>17.85</v>
      </c>
      <c r="D687" s="2">
        <f>IFERROR(__xludf.DUMMYFUNCTION("""COMPUTED_VALUE"""),17.52)</f>
        <v>17.52</v>
      </c>
      <c r="E687" s="2">
        <f>IFERROR(__xludf.DUMMYFUNCTION("""COMPUTED_VALUE"""),17.85)</f>
        <v>17.85</v>
      </c>
      <c r="F687" s="2">
        <f>IFERROR(__xludf.DUMMYFUNCTION("""COMPUTED_VALUE"""),812100.0)</f>
        <v>812100</v>
      </c>
    </row>
    <row r="688">
      <c r="A688" s="3">
        <f>IFERROR(__xludf.DUMMYFUNCTION("""COMPUTED_VALUE"""),30215.666666666668)</f>
        <v>30215.66667</v>
      </c>
      <c r="B688" s="2">
        <f>IFERROR(__xludf.DUMMYFUNCTION("""COMPUTED_VALUE"""),18.33)</f>
        <v>18.33</v>
      </c>
      <c r="C688" s="2">
        <f>IFERROR(__xludf.DUMMYFUNCTION("""COMPUTED_VALUE"""),18.33)</f>
        <v>18.33</v>
      </c>
      <c r="D688" s="2">
        <f>IFERROR(__xludf.DUMMYFUNCTION("""COMPUTED_VALUE"""),17.85)</f>
        <v>17.85</v>
      </c>
      <c r="E688" s="2">
        <f>IFERROR(__xludf.DUMMYFUNCTION("""COMPUTED_VALUE"""),18.33)</f>
        <v>18.33</v>
      </c>
      <c r="F688" s="2">
        <f>IFERROR(__xludf.DUMMYFUNCTION("""COMPUTED_VALUE"""),1321700.0)</f>
        <v>1321700</v>
      </c>
    </row>
    <row r="689">
      <c r="A689" s="3">
        <f>IFERROR(__xludf.DUMMYFUNCTION("""COMPUTED_VALUE"""),30216.666666666668)</f>
        <v>30216.66667</v>
      </c>
      <c r="B689" s="2">
        <f>IFERROR(__xludf.DUMMYFUNCTION("""COMPUTED_VALUE"""),18.03)</f>
        <v>18.03</v>
      </c>
      <c r="C689" s="2">
        <f>IFERROR(__xludf.DUMMYFUNCTION("""COMPUTED_VALUE"""),18.54)</f>
        <v>18.54</v>
      </c>
      <c r="D689" s="2">
        <f>IFERROR(__xludf.DUMMYFUNCTION("""COMPUTED_VALUE"""),18.03)</f>
        <v>18.03</v>
      </c>
      <c r="E689" s="2">
        <f>IFERROR(__xludf.DUMMYFUNCTION("""COMPUTED_VALUE"""),18.03)</f>
        <v>18.03</v>
      </c>
      <c r="F689" s="2">
        <f>IFERROR(__xludf.DUMMYFUNCTION("""COMPUTED_VALUE"""),1604100.0)</f>
        <v>1604100</v>
      </c>
    </row>
    <row r="690">
      <c r="A690" s="3">
        <f>IFERROR(__xludf.DUMMYFUNCTION("""COMPUTED_VALUE"""),30217.666666666668)</f>
        <v>30217.66667</v>
      </c>
      <c r="B690" s="2">
        <f>IFERROR(__xludf.DUMMYFUNCTION("""COMPUTED_VALUE"""),18.24)</f>
        <v>18.24</v>
      </c>
      <c r="C690" s="2">
        <f>IFERROR(__xludf.DUMMYFUNCTION("""COMPUTED_VALUE"""),18.3)</f>
        <v>18.3</v>
      </c>
      <c r="D690" s="2">
        <f>IFERROR(__xludf.DUMMYFUNCTION("""COMPUTED_VALUE"""),17.97)</f>
        <v>17.97</v>
      </c>
      <c r="E690" s="2">
        <f>IFERROR(__xludf.DUMMYFUNCTION("""COMPUTED_VALUE"""),18.24)</f>
        <v>18.24</v>
      </c>
      <c r="F690" s="2">
        <f>IFERROR(__xludf.DUMMYFUNCTION("""COMPUTED_VALUE"""),1254000.0)</f>
        <v>1254000</v>
      </c>
    </row>
    <row r="691">
      <c r="A691" s="3">
        <f>IFERROR(__xludf.DUMMYFUNCTION("""COMPUTED_VALUE"""),30218.666666666668)</f>
        <v>30218.66667</v>
      </c>
      <c r="B691" s="2">
        <f>IFERROR(__xludf.DUMMYFUNCTION("""COMPUTED_VALUE"""),18.15)</f>
        <v>18.15</v>
      </c>
      <c r="C691" s="2">
        <f>IFERROR(__xludf.DUMMYFUNCTION("""COMPUTED_VALUE"""),18.27)</f>
        <v>18.27</v>
      </c>
      <c r="D691" s="2">
        <f>IFERROR(__xludf.DUMMYFUNCTION("""COMPUTED_VALUE"""),18.06)</f>
        <v>18.06</v>
      </c>
      <c r="E691" s="2">
        <f>IFERROR(__xludf.DUMMYFUNCTION("""COMPUTED_VALUE"""),18.15)</f>
        <v>18.15</v>
      </c>
      <c r="F691" s="2">
        <f>IFERROR(__xludf.DUMMYFUNCTION("""COMPUTED_VALUE"""),887100.0)</f>
        <v>887100</v>
      </c>
    </row>
    <row r="692">
      <c r="A692" s="3">
        <f>IFERROR(__xludf.DUMMYFUNCTION("""COMPUTED_VALUE"""),30221.666666666668)</f>
        <v>30221.66667</v>
      </c>
      <c r="B692" s="2">
        <f>IFERROR(__xludf.DUMMYFUNCTION("""COMPUTED_VALUE"""),18.3)</f>
        <v>18.3</v>
      </c>
      <c r="C692" s="2">
        <f>IFERROR(__xludf.DUMMYFUNCTION("""COMPUTED_VALUE"""),18.39)</f>
        <v>18.39</v>
      </c>
      <c r="D692" s="2">
        <f>IFERROR(__xludf.DUMMYFUNCTION("""COMPUTED_VALUE"""),18.09)</f>
        <v>18.09</v>
      </c>
      <c r="E692" s="2">
        <f>IFERROR(__xludf.DUMMYFUNCTION("""COMPUTED_VALUE"""),18.3)</f>
        <v>18.3</v>
      </c>
      <c r="F692" s="2">
        <f>IFERROR(__xludf.DUMMYFUNCTION("""COMPUTED_VALUE"""),490500.0)</f>
        <v>490500</v>
      </c>
    </row>
    <row r="693">
      <c r="A693" s="3">
        <f>IFERROR(__xludf.DUMMYFUNCTION("""COMPUTED_VALUE"""),30222.666666666668)</f>
        <v>30222.66667</v>
      </c>
      <c r="B693" s="2">
        <f>IFERROR(__xludf.DUMMYFUNCTION("""COMPUTED_VALUE"""),18.21)</f>
        <v>18.21</v>
      </c>
      <c r="C693" s="2">
        <f>IFERROR(__xludf.DUMMYFUNCTION("""COMPUTED_VALUE"""),18.45)</f>
        <v>18.45</v>
      </c>
      <c r="D693" s="2">
        <f>IFERROR(__xludf.DUMMYFUNCTION("""COMPUTED_VALUE"""),18.21)</f>
        <v>18.21</v>
      </c>
      <c r="E693" s="2">
        <f>IFERROR(__xludf.DUMMYFUNCTION("""COMPUTED_VALUE"""),18.21)</f>
        <v>18.21</v>
      </c>
      <c r="F693" s="2">
        <f>IFERROR(__xludf.DUMMYFUNCTION("""COMPUTED_VALUE"""),868300.0)</f>
        <v>868300</v>
      </c>
    </row>
    <row r="694">
      <c r="A694" s="3">
        <f>IFERROR(__xludf.DUMMYFUNCTION("""COMPUTED_VALUE"""),30223.666666666668)</f>
        <v>30223.66667</v>
      </c>
      <c r="B694" s="2">
        <f>IFERROR(__xludf.DUMMYFUNCTION("""COMPUTED_VALUE"""),17.85)</f>
        <v>17.85</v>
      </c>
      <c r="C694" s="2">
        <f>IFERROR(__xludf.DUMMYFUNCTION("""COMPUTED_VALUE"""),18.24)</f>
        <v>18.24</v>
      </c>
      <c r="D694" s="2">
        <f>IFERROR(__xludf.DUMMYFUNCTION("""COMPUTED_VALUE"""),17.79)</f>
        <v>17.79</v>
      </c>
      <c r="E694" s="2">
        <f>IFERROR(__xludf.DUMMYFUNCTION("""COMPUTED_VALUE"""),17.85)</f>
        <v>17.85</v>
      </c>
      <c r="F694" s="2">
        <f>IFERROR(__xludf.DUMMYFUNCTION("""COMPUTED_VALUE"""),831000.0)</f>
        <v>831000</v>
      </c>
    </row>
    <row r="695">
      <c r="A695" s="3">
        <f>IFERROR(__xludf.DUMMYFUNCTION("""COMPUTED_VALUE"""),30224.666666666668)</f>
        <v>30224.66667</v>
      </c>
      <c r="B695" s="2">
        <f>IFERROR(__xludf.DUMMYFUNCTION("""COMPUTED_VALUE"""),17.52)</f>
        <v>17.52</v>
      </c>
      <c r="C695" s="2">
        <f>IFERROR(__xludf.DUMMYFUNCTION("""COMPUTED_VALUE"""),17.88)</f>
        <v>17.88</v>
      </c>
      <c r="D695" s="2">
        <f>IFERROR(__xludf.DUMMYFUNCTION("""COMPUTED_VALUE"""),17.49)</f>
        <v>17.49</v>
      </c>
      <c r="E695" s="2">
        <f>IFERROR(__xludf.DUMMYFUNCTION("""COMPUTED_VALUE"""),17.52)</f>
        <v>17.52</v>
      </c>
      <c r="F695" s="2">
        <f>IFERROR(__xludf.DUMMYFUNCTION("""COMPUTED_VALUE"""),997900.0)</f>
        <v>997900</v>
      </c>
    </row>
    <row r="696">
      <c r="A696" s="3">
        <f>IFERROR(__xludf.DUMMYFUNCTION("""COMPUTED_VALUE"""),30225.666666666668)</f>
        <v>30225.66667</v>
      </c>
      <c r="B696" s="2">
        <f>IFERROR(__xludf.DUMMYFUNCTION("""COMPUTED_VALUE"""),17.7)</f>
        <v>17.7</v>
      </c>
      <c r="C696" s="2">
        <f>IFERROR(__xludf.DUMMYFUNCTION("""COMPUTED_VALUE"""),17.82)</f>
        <v>17.82</v>
      </c>
      <c r="D696" s="2">
        <f>IFERROR(__xludf.DUMMYFUNCTION("""COMPUTED_VALUE"""),17.52)</f>
        <v>17.52</v>
      </c>
      <c r="E696" s="2">
        <f>IFERROR(__xludf.DUMMYFUNCTION("""COMPUTED_VALUE"""),17.7)</f>
        <v>17.7</v>
      </c>
      <c r="F696" s="2">
        <f>IFERROR(__xludf.DUMMYFUNCTION("""COMPUTED_VALUE"""),747500.0)</f>
        <v>747500</v>
      </c>
    </row>
    <row r="697">
      <c r="A697" s="3">
        <f>IFERROR(__xludf.DUMMYFUNCTION("""COMPUTED_VALUE"""),30228.666666666668)</f>
        <v>30228.66667</v>
      </c>
      <c r="B697" s="2">
        <f>IFERROR(__xludf.DUMMYFUNCTION("""COMPUTED_VALUE"""),17.79)</f>
        <v>17.79</v>
      </c>
      <c r="C697" s="2">
        <f>IFERROR(__xludf.DUMMYFUNCTION("""COMPUTED_VALUE"""),17.82)</f>
        <v>17.82</v>
      </c>
      <c r="D697" s="2">
        <f>IFERROR(__xludf.DUMMYFUNCTION("""COMPUTED_VALUE"""),17.49)</f>
        <v>17.49</v>
      </c>
      <c r="E697" s="2">
        <f>IFERROR(__xludf.DUMMYFUNCTION("""COMPUTED_VALUE"""),17.79)</f>
        <v>17.79</v>
      </c>
      <c r="F697" s="2">
        <f>IFERROR(__xludf.DUMMYFUNCTION("""COMPUTED_VALUE"""),614900.0)</f>
        <v>614900</v>
      </c>
    </row>
    <row r="698">
      <c r="A698" s="3">
        <f>IFERROR(__xludf.DUMMYFUNCTION("""COMPUTED_VALUE"""),30229.666666666668)</f>
        <v>30229.66667</v>
      </c>
      <c r="B698" s="2">
        <f>IFERROR(__xludf.DUMMYFUNCTION("""COMPUTED_VALUE"""),17.94)</f>
        <v>17.94</v>
      </c>
      <c r="C698" s="2">
        <f>IFERROR(__xludf.DUMMYFUNCTION("""COMPUTED_VALUE"""),18.18)</f>
        <v>18.18</v>
      </c>
      <c r="D698" s="2">
        <f>IFERROR(__xludf.DUMMYFUNCTION("""COMPUTED_VALUE"""),17.82)</f>
        <v>17.82</v>
      </c>
      <c r="E698" s="2">
        <f>IFERROR(__xludf.DUMMYFUNCTION("""COMPUTED_VALUE"""),17.94)</f>
        <v>17.94</v>
      </c>
      <c r="F698" s="2">
        <f>IFERROR(__xludf.DUMMYFUNCTION("""COMPUTED_VALUE"""),752300.0)</f>
        <v>752300</v>
      </c>
    </row>
    <row r="699">
      <c r="A699" s="3">
        <f>IFERROR(__xludf.DUMMYFUNCTION("""COMPUTED_VALUE"""),30230.666666666668)</f>
        <v>30230.66667</v>
      </c>
      <c r="B699" s="2">
        <f>IFERROR(__xludf.DUMMYFUNCTION("""COMPUTED_VALUE"""),18.86)</f>
        <v>18.86</v>
      </c>
      <c r="C699" s="2">
        <f>IFERROR(__xludf.DUMMYFUNCTION("""COMPUTED_VALUE"""),18.86)</f>
        <v>18.86</v>
      </c>
      <c r="D699" s="2">
        <f>IFERROR(__xludf.DUMMYFUNCTION("""COMPUTED_VALUE"""),18.0)</f>
        <v>18</v>
      </c>
      <c r="E699" s="2">
        <f>IFERROR(__xludf.DUMMYFUNCTION("""COMPUTED_VALUE"""),18.86)</f>
        <v>18.86</v>
      </c>
      <c r="F699" s="2">
        <f>IFERROR(__xludf.DUMMYFUNCTION("""COMPUTED_VALUE"""),1346100.0)</f>
        <v>1346100</v>
      </c>
    </row>
    <row r="700">
      <c r="A700" s="3">
        <f>IFERROR(__xludf.DUMMYFUNCTION("""COMPUTED_VALUE"""),30231.666666666668)</f>
        <v>30231.66667</v>
      </c>
      <c r="B700" s="2">
        <f>IFERROR(__xludf.DUMMYFUNCTION("""COMPUTED_VALUE"""),19.19)</f>
        <v>19.19</v>
      </c>
      <c r="C700" s="2">
        <f>IFERROR(__xludf.DUMMYFUNCTION("""COMPUTED_VALUE"""),19.19)</f>
        <v>19.19</v>
      </c>
      <c r="D700" s="2">
        <f>IFERROR(__xludf.DUMMYFUNCTION("""COMPUTED_VALUE"""),18.72)</f>
        <v>18.72</v>
      </c>
      <c r="E700" s="2">
        <f>IFERROR(__xludf.DUMMYFUNCTION("""COMPUTED_VALUE"""),19.19)</f>
        <v>19.19</v>
      </c>
      <c r="F700" s="2">
        <f>IFERROR(__xludf.DUMMYFUNCTION("""COMPUTED_VALUE"""),2207600.0)</f>
        <v>2207600</v>
      </c>
    </row>
    <row r="701">
      <c r="A701" s="3">
        <f>IFERROR(__xludf.DUMMYFUNCTION("""COMPUTED_VALUE"""),30232.666666666668)</f>
        <v>30232.66667</v>
      </c>
      <c r="B701" s="2">
        <f>IFERROR(__xludf.DUMMYFUNCTION("""COMPUTED_VALUE"""),19.37)</f>
        <v>19.37</v>
      </c>
      <c r="C701" s="2">
        <f>IFERROR(__xludf.DUMMYFUNCTION("""COMPUTED_VALUE"""),19.37)</f>
        <v>19.37</v>
      </c>
      <c r="D701" s="2">
        <f>IFERROR(__xludf.DUMMYFUNCTION("""COMPUTED_VALUE"""),18.92)</f>
        <v>18.92</v>
      </c>
      <c r="E701" s="2">
        <f>IFERROR(__xludf.DUMMYFUNCTION("""COMPUTED_VALUE"""),19.37)</f>
        <v>19.37</v>
      </c>
      <c r="F701" s="2">
        <f>IFERROR(__xludf.DUMMYFUNCTION("""COMPUTED_VALUE"""),1342500.0)</f>
        <v>1342500</v>
      </c>
    </row>
    <row r="702">
      <c r="A702" s="3">
        <f>IFERROR(__xludf.DUMMYFUNCTION("""COMPUTED_VALUE"""),30235.666666666668)</f>
        <v>30235.66667</v>
      </c>
      <c r="B702" s="2">
        <f>IFERROR(__xludf.DUMMYFUNCTION("""COMPUTED_VALUE"""),19.94)</f>
        <v>19.94</v>
      </c>
      <c r="C702" s="2">
        <f>IFERROR(__xludf.DUMMYFUNCTION("""COMPUTED_VALUE"""),20.18)</f>
        <v>20.18</v>
      </c>
      <c r="D702" s="2">
        <f>IFERROR(__xludf.DUMMYFUNCTION("""COMPUTED_VALUE"""),19.43)</f>
        <v>19.43</v>
      </c>
      <c r="E702" s="2">
        <f>IFERROR(__xludf.DUMMYFUNCTION("""COMPUTED_VALUE"""),19.94)</f>
        <v>19.94</v>
      </c>
      <c r="F702" s="2">
        <f>IFERROR(__xludf.DUMMYFUNCTION("""COMPUTED_VALUE"""),1439300.0)</f>
        <v>1439300</v>
      </c>
    </row>
    <row r="703">
      <c r="A703" s="3">
        <f>IFERROR(__xludf.DUMMYFUNCTION("""COMPUTED_VALUE"""),30236.666666666668)</f>
        <v>30236.66667</v>
      </c>
      <c r="B703" s="2">
        <f>IFERROR(__xludf.DUMMYFUNCTION("""COMPUTED_VALUE"""),19.76)</f>
        <v>19.76</v>
      </c>
      <c r="C703" s="2">
        <f>IFERROR(__xludf.DUMMYFUNCTION("""COMPUTED_VALUE"""),20.15)</f>
        <v>20.15</v>
      </c>
      <c r="D703" s="2">
        <f>IFERROR(__xludf.DUMMYFUNCTION("""COMPUTED_VALUE"""),19.67)</f>
        <v>19.67</v>
      </c>
      <c r="E703" s="2">
        <f>IFERROR(__xludf.DUMMYFUNCTION("""COMPUTED_VALUE"""),19.76)</f>
        <v>19.76</v>
      </c>
      <c r="F703" s="2">
        <f>IFERROR(__xludf.DUMMYFUNCTION("""COMPUTED_VALUE"""),1500400.0)</f>
        <v>1500400</v>
      </c>
    </row>
    <row r="704">
      <c r="A704" s="3">
        <f>IFERROR(__xludf.DUMMYFUNCTION("""COMPUTED_VALUE"""),30237.666666666668)</f>
        <v>30237.66667</v>
      </c>
      <c r="B704" s="2">
        <f>IFERROR(__xludf.DUMMYFUNCTION("""COMPUTED_VALUE"""),19.94)</f>
        <v>19.94</v>
      </c>
      <c r="C704" s="2">
        <f>IFERROR(__xludf.DUMMYFUNCTION("""COMPUTED_VALUE"""),20.09)</f>
        <v>20.09</v>
      </c>
      <c r="D704" s="2">
        <f>IFERROR(__xludf.DUMMYFUNCTION("""COMPUTED_VALUE"""),19.4)</f>
        <v>19.4</v>
      </c>
      <c r="E704" s="2">
        <f>IFERROR(__xludf.DUMMYFUNCTION("""COMPUTED_VALUE"""),19.94)</f>
        <v>19.94</v>
      </c>
      <c r="F704" s="2">
        <f>IFERROR(__xludf.DUMMYFUNCTION("""COMPUTED_VALUE"""),1401900.0)</f>
        <v>1401900</v>
      </c>
    </row>
    <row r="705">
      <c r="A705" s="3">
        <f>IFERROR(__xludf.DUMMYFUNCTION("""COMPUTED_VALUE"""),30238.666666666668)</f>
        <v>30238.66667</v>
      </c>
      <c r="B705" s="2">
        <f>IFERROR(__xludf.DUMMYFUNCTION("""COMPUTED_VALUE"""),19.13)</f>
        <v>19.13</v>
      </c>
      <c r="C705" s="2">
        <f>IFERROR(__xludf.DUMMYFUNCTION("""COMPUTED_VALUE"""),19.55)</f>
        <v>19.55</v>
      </c>
      <c r="D705" s="2">
        <f>IFERROR(__xludf.DUMMYFUNCTION("""COMPUTED_VALUE"""),18.98)</f>
        <v>18.98</v>
      </c>
      <c r="E705" s="2">
        <f>IFERROR(__xludf.DUMMYFUNCTION("""COMPUTED_VALUE"""),19.13)</f>
        <v>19.13</v>
      </c>
      <c r="F705" s="2">
        <f>IFERROR(__xludf.DUMMYFUNCTION("""COMPUTED_VALUE"""),1154900.0)</f>
        <v>1154900</v>
      </c>
    </row>
    <row r="706">
      <c r="A706" s="3">
        <f>IFERROR(__xludf.DUMMYFUNCTION("""COMPUTED_VALUE"""),30239.666666666668)</f>
        <v>30239.66667</v>
      </c>
      <c r="B706" s="2">
        <f>IFERROR(__xludf.DUMMYFUNCTION("""COMPUTED_VALUE"""),18.98)</f>
        <v>18.98</v>
      </c>
      <c r="C706" s="2">
        <f>IFERROR(__xludf.DUMMYFUNCTION("""COMPUTED_VALUE"""),19.19)</f>
        <v>19.19</v>
      </c>
      <c r="D706" s="2">
        <f>IFERROR(__xludf.DUMMYFUNCTION("""COMPUTED_VALUE"""),18.86)</f>
        <v>18.86</v>
      </c>
      <c r="E706" s="2">
        <f>IFERROR(__xludf.DUMMYFUNCTION("""COMPUTED_VALUE"""),18.98)</f>
        <v>18.98</v>
      </c>
      <c r="F706" s="2">
        <f>IFERROR(__xludf.DUMMYFUNCTION("""COMPUTED_VALUE"""),1218600.0)</f>
        <v>1218600</v>
      </c>
    </row>
    <row r="707">
      <c r="A707" s="3">
        <f>IFERROR(__xludf.DUMMYFUNCTION("""COMPUTED_VALUE"""),30242.666666666668)</f>
        <v>30242.66667</v>
      </c>
      <c r="B707" s="2">
        <f>IFERROR(__xludf.DUMMYFUNCTION("""COMPUTED_VALUE"""),19.82)</f>
        <v>19.82</v>
      </c>
      <c r="C707" s="2">
        <f>IFERROR(__xludf.DUMMYFUNCTION("""COMPUTED_VALUE"""),19.82)</f>
        <v>19.82</v>
      </c>
      <c r="D707" s="2">
        <f>IFERROR(__xludf.DUMMYFUNCTION("""COMPUTED_VALUE"""),19.01)</f>
        <v>19.01</v>
      </c>
      <c r="E707" s="2">
        <f>IFERROR(__xludf.DUMMYFUNCTION("""COMPUTED_VALUE"""),19.82)</f>
        <v>19.82</v>
      </c>
      <c r="F707" s="2">
        <f>IFERROR(__xludf.DUMMYFUNCTION("""COMPUTED_VALUE"""),1135400.0)</f>
        <v>1135400</v>
      </c>
    </row>
    <row r="708">
      <c r="A708" s="3">
        <f>IFERROR(__xludf.DUMMYFUNCTION("""COMPUTED_VALUE"""),30243.666666666668)</f>
        <v>30243.66667</v>
      </c>
      <c r="B708" s="2">
        <f>IFERROR(__xludf.DUMMYFUNCTION("""COMPUTED_VALUE"""),19.61)</f>
        <v>19.61</v>
      </c>
      <c r="C708" s="2">
        <f>IFERROR(__xludf.DUMMYFUNCTION("""COMPUTED_VALUE"""),19.94)</f>
        <v>19.94</v>
      </c>
      <c r="D708" s="2">
        <f>IFERROR(__xludf.DUMMYFUNCTION("""COMPUTED_VALUE"""),19.4)</f>
        <v>19.4</v>
      </c>
      <c r="E708" s="2">
        <f>IFERROR(__xludf.DUMMYFUNCTION("""COMPUTED_VALUE"""),19.61)</f>
        <v>19.61</v>
      </c>
      <c r="F708" s="2">
        <f>IFERROR(__xludf.DUMMYFUNCTION("""COMPUTED_VALUE"""),1215500.0)</f>
        <v>1215500</v>
      </c>
    </row>
    <row r="709">
      <c r="A709" s="3">
        <f>IFERROR(__xludf.DUMMYFUNCTION("""COMPUTED_VALUE"""),30244.666666666668)</f>
        <v>30244.66667</v>
      </c>
      <c r="B709" s="2">
        <f>IFERROR(__xludf.DUMMYFUNCTION("""COMPUTED_VALUE"""),20.18)</f>
        <v>20.18</v>
      </c>
      <c r="C709" s="2">
        <f>IFERROR(__xludf.DUMMYFUNCTION("""COMPUTED_VALUE"""),20.18)</f>
        <v>20.18</v>
      </c>
      <c r="D709" s="2">
        <f>IFERROR(__xludf.DUMMYFUNCTION("""COMPUTED_VALUE"""),19.46)</f>
        <v>19.46</v>
      </c>
      <c r="E709" s="2">
        <f>IFERROR(__xludf.DUMMYFUNCTION("""COMPUTED_VALUE"""),20.18)</f>
        <v>20.18</v>
      </c>
      <c r="F709" s="2">
        <f>IFERROR(__xludf.DUMMYFUNCTION("""COMPUTED_VALUE"""),1142600.0)</f>
        <v>1142600</v>
      </c>
    </row>
    <row r="710">
      <c r="A710" s="3">
        <f>IFERROR(__xludf.DUMMYFUNCTION("""COMPUTED_VALUE"""),30245.666666666668)</f>
        <v>30245.66667</v>
      </c>
      <c r="B710" s="2">
        <f>IFERROR(__xludf.DUMMYFUNCTION("""COMPUTED_VALUE"""),20.0)</f>
        <v>20</v>
      </c>
      <c r="C710" s="2">
        <f>IFERROR(__xludf.DUMMYFUNCTION("""COMPUTED_VALUE"""),20.24)</f>
        <v>20.24</v>
      </c>
      <c r="D710" s="2">
        <f>IFERROR(__xludf.DUMMYFUNCTION("""COMPUTED_VALUE"""),19.58)</f>
        <v>19.58</v>
      </c>
      <c r="E710" s="2">
        <f>IFERROR(__xludf.DUMMYFUNCTION("""COMPUTED_VALUE"""),20.0)</f>
        <v>20</v>
      </c>
      <c r="F710" s="2">
        <f>IFERROR(__xludf.DUMMYFUNCTION("""COMPUTED_VALUE"""),1204900.0)</f>
        <v>1204900</v>
      </c>
    </row>
    <row r="711">
      <c r="A711" s="3">
        <f>IFERROR(__xludf.DUMMYFUNCTION("""COMPUTED_VALUE"""),30246.666666666668)</f>
        <v>30246.66667</v>
      </c>
      <c r="B711" s="2">
        <f>IFERROR(__xludf.DUMMYFUNCTION("""COMPUTED_VALUE"""),19.76)</f>
        <v>19.76</v>
      </c>
      <c r="C711" s="2">
        <f>IFERROR(__xludf.DUMMYFUNCTION("""COMPUTED_VALUE"""),20.24)</f>
        <v>20.24</v>
      </c>
      <c r="D711" s="2">
        <f>IFERROR(__xludf.DUMMYFUNCTION("""COMPUTED_VALUE"""),19.76)</f>
        <v>19.76</v>
      </c>
      <c r="E711" s="2">
        <f>IFERROR(__xludf.DUMMYFUNCTION("""COMPUTED_VALUE"""),19.76)</f>
        <v>19.76</v>
      </c>
      <c r="F711" s="2">
        <f>IFERROR(__xludf.DUMMYFUNCTION("""COMPUTED_VALUE"""),1139000.0)</f>
        <v>1139000</v>
      </c>
    </row>
    <row r="712">
      <c r="A712" s="3">
        <f>IFERROR(__xludf.DUMMYFUNCTION("""COMPUTED_VALUE"""),30249.666666666668)</f>
        <v>30249.66667</v>
      </c>
      <c r="B712" s="2">
        <f>IFERROR(__xludf.DUMMYFUNCTION("""COMPUTED_VALUE"""),19.1)</f>
        <v>19.1</v>
      </c>
      <c r="C712" s="2">
        <f>IFERROR(__xludf.DUMMYFUNCTION("""COMPUTED_VALUE"""),19.55)</f>
        <v>19.55</v>
      </c>
      <c r="D712" s="2">
        <f>IFERROR(__xludf.DUMMYFUNCTION("""COMPUTED_VALUE"""),19.1)</f>
        <v>19.1</v>
      </c>
      <c r="E712" s="2">
        <f>IFERROR(__xludf.DUMMYFUNCTION("""COMPUTED_VALUE"""),19.1)</f>
        <v>19.1</v>
      </c>
      <c r="F712" s="2">
        <f>IFERROR(__xludf.DUMMYFUNCTION("""COMPUTED_VALUE"""),1073600.0)</f>
        <v>1073600</v>
      </c>
    </row>
    <row r="713">
      <c r="A713" s="3">
        <f>IFERROR(__xludf.DUMMYFUNCTION("""COMPUTED_VALUE"""),30250.666666666668)</f>
        <v>30250.66667</v>
      </c>
      <c r="B713" s="2">
        <f>IFERROR(__xludf.DUMMYFUNCTION("""COMPUTED_VALUE"""),19.58)</f>
        <v>19.58</v>
      </c>
      <c r="C713" s="2">
        <f>IFERROR(__xludf.DUMMYFUNCTION("""COMPUTED_VALUE"""),19.61)</f>
        <v>19.61</v>
      </c>
      <c r="D713" s="2">
        <f>IFERROR(__xludf.DUMMYFUNCTION("""COMPUTED_VALUE"""),18.95)</f>
        <v>18.95</v>
      </c>
      <c r="E713" s="2">
        <f>IFERROR(__xludf.DUMMYFUNCTION("""COMPUTED_VALUE"""),19.58)</f>
        <v>19.58</v>
      </c>
      <c r="F713" s="2">
        <f>IFERROR(__xludf.DUMMYFUNCTION("""COMPUTED_VALUE"""),1259300.0)</f>
        <v>1259300</v>
      </c>
    </row>
    <row r="714">
      <c r="A714" s="3">
        <f>IFERROR(__xludf.DUMMYFUNCTION("""COMPUTED_VALUE"""),30251.666666666668)</f>
        <v>30251.66667</v>
      </c>
      <c r="B714" s="2">
        <f>IFERROR(__xludf.DUMMYFUNCTION("""COMPUTED_VALUE"""),19.49)</f>
        <v>19.49</v>
      </c>
      <c r="C714" s="2">
        <f>IFERROR(__xludf.DUMMYFUNCTION("""COMPUTED_VALUE"""),19.67)</f>
        <v>19.67</v>
      </c>
      <c r="D714" s="2">
        <f>IFERROR(__xludf.DUMMYFUNCTION("""COMPUTED_VALUE"""),19.22)</f>
        <v>19.22</v>
      </c>
      <c r="E714" s="2">
        <f>IFERROR(__xludf.DUMMYFUNCTION("""COMPUTED_VALUE"""),19.49)</f>
        <v>19.49</v>
      </c>
      <c r="F714" s="2">
        <f>IFERROR(__xludf.DUMMYFUNCTION("""COMPUTED_VALUE"""),939000.0)</f>
        <v>939000</v>
      </c>
    </row>
    <row r="715">
      <c r="A715" s="3">
        <f>IFERROR(__xludf.DUMMYFUNCTION("""COMPUTED_VALUE"""),30252.666666666668)</f>
        <v>30252.66667</v>
      </c>
      <c r="B715" s="2">
        <f>IFERROR(__xludf.DUMMYFUNCTION("""COMPUTED_VALUE"""),19.01)</f>
        <v>19.01</v>
      </c>
      <c r="C715" s="2">
        <f>IFERROR(__xludf.DUMMYFUNCTION("""COMPUTED_VALUE"""),19.46)</f>
        <v>19.46</v>
      </c>
      <c r="D715" s="2">
        <f>IFERROR(__xludf.DUMMYFUNCTION("""COMPUTED_VALUE"""),18.98)</f>
        <v>18.98</v>
      </c>
      <c r="E715" s="2">
        <f>IFERROR(__xludf.DUMMYFUNCTION("""COMPUTED_VALUE"""),19.01)</f>
        <v>19.01</v>
      </c>
      <c r="F715" s="2">
        <f>IFERROR(__xludf.DUMMYFUNCTION("""COMPUTED_VALUE"""),1082600.0)</f>
        <v>1082600</v>
      </c>
    </row>
    <row r="716">
      <c r="A716" s="3">
        <f>IFERROR(__xludf.DUMMYFUNCTION("""COMPUTED_VALUE"""),30253.666666666668)</f>
        <v>30253.66667</v>
      </c>
      <c r="B716" s="2">
        <f>IFERROR(__xludf.DUMMYFUNCTION("""COMPUTED_VALUE"""),19.07)</f>
        <v>19.07</v>
      </c>
      <c r="C716" s="2">
        <f>IFERROR(__xludf.DUMMYFUNCTION("""COMPUTED_VALUE"""),19.22)</f>
        <v>19.22</v>
      </c>
      <c r="D716" s="2">
        <f>IFERROR(__xludf.DUMMYFUNCTION("""COMPUTED_VALUE"""),18.89)</f>
        <v>18.89</v>
      </c>
      <c r="E716" s="2">
        <f>IFERROR(__xludf.DUMMYFUNCTION("""COMPUTED_VALUE"""),19.07)</f>
        <v>19.07</v>
      </c>
      <c r="F716" s="2">
        <f>IFERROR(__xludf.DUMMYFUNCTION("""COMPUTED_VALUE"""),706400.0)</f>
        <v>706400</v>
      </c>
    </row>
    <row r="717">
      <c r="A717" s="3">
        <f>IFERROR(__xludf.DUMMYFUNCTION("""COMPUTED_VALUE"""),30256.666666666668)</f>
        <v>30256.66667</v>
      </c>
      <c r="B717" s="2">
        <f>IFERROR(__xludf.DUMMYFUNCTION("""COMPUTED_VALUE"""),19.46)</f>
        <v>19.46</v>
      </c>
      <c r="C717" s="2">
        <f>IFERROR(__xludf.DUMMYFUNCTION("""COMPUTED_VALUE"""),19.46)</f>
        <v>19.46</v>
      </c>
      <c r="D717" s="2">
        <f>IFERROR(__xludf.DUMMYFUNCTION("""COMPUTED_VALUE"""),18.98)</f>
        <v>18.98</v>
      </c>
      <c r="E717" s="2">
        <f>IFERROR(__xludf.DUMMYFUNCTION("""COMPUTED_VALUE"""),19.46)</f>
        <v>19.46</v>
      </c>
      <c r="F717" s="2">
        <f>IFERROR(__xludf.DUMMYFUNCTION("""COMPUTED_VALUE"""),832300.0)</f>
        <v>832300</v>
      </c>
    </row>
    <row r="718">
      <c r="A718" s="3">
        <f>IFERROR(__xludf.DUMMYFUNCTION("""COMPUTED_VALUE"""),30257.666666666668)</f>
        <v>30257.66667</v>
      </c>
      <c r="B718" s="2">
        <f>IFERROR(__xludf.DUMMYFUNCTION("""COMPUTED_VALUE"""),19.55)</f>
        <v>19.55</v>
      </c>
      <c r="C718" s="2">
        <f>IFERROR(__xludf.DUMMYFUNCTION("""COMPUTED_VALUE"""),19.82)</f>
        <v>19.82</v>
      </c>
      <c r="D718" s="2">
        <f>IFERROR(__xludf.DUMMYFUNCTION("""COMPUTED_VALUE"""),19.46)</f>
        <v>19.46</v>
      </c>
      <c r="E718" s="2">
        <f>IFERROR(__xludf.DUMMYFUNCTION("""COMPUTED_VALUE"""),19.55)</f>
        <v>19.55</v>
      </c>
      <c r="F718" s="2">
        <f>IFERROR(__xludf.DUMMYFUNCTION("""COMPUTED_VALUE"""),1035500.0)</f>
        <v>1035500</v>
      </c>
    </row>
    <row r="719">
      <c r="A719" s="3">
        <f>IFERROR(__xludf.DUMMYFUNCTION("""COMPUTED_VALUE"""),30258.666666666668)</f>
        <v>30258.66667</v>
      </c>
      <c r="B719" s="2">
        <f>IFERROR(__xludf.DUMMYFUNCTION("""COMPUTED_VALUE"""),20.36)</f>
        <v>20.36</v>
      </c>
      <c r="C719" s="2">
        <f>IFERROR(__xludf.DUMMYFUNCTION("""COMPUTED_VALUE"""),20.42)</f>
        <v>20.42</v>
      </c>
      <c r="D719" s="2">
        <f>IFERROR(__xludf.DUMMYFUNCTION("""COMPUTED_VALUE"""),19.64)</f>
        <v>19.64</v>
      </c>
      <c r="E719" s="2">
        <f>IFERROR(__xludf.DUMMYFUNCTION("""COMPUTED_VALUE"""),20.36)</f>
        <v>20.36</v>
      </c>
      <c r="F719" s="2">
        <f>IFERROR(__xludf.DUMMYFUNCTION("""COMPUTED_VALUE"""),1488700.0)</f>
        <v>1488700</v>
      </c>
    </row>
    <row r="720">
      <c r="A720" s="3">
        <f>IFERROR(__xludf.DUMMYFUNCTION("""COMPUTED_VALUE"""),30259.666666666668)</f>
        <v>30259.66667</v>
      </c>
      <c r="B720" s="2">
        <f>IFERROR(__xludf.DUMMYFUNCTION("""COMPUTED_VALUE"""),20.06)</f>
        <v>20.06</v>
      </c>
      <c r="C720" s="2">
        <f>IFERROR(__xludf.DUMMYFUNCTION("""COMPUTED_VALUE"""),20.39)</f>
        <v>20.39</v>
      </c>
      <c r="D720" s="2">
        <f>IFERROR(__xludf.DUMMYFUNCTION("""COMPUTED_VALUE"""),20.0)</f>
        <v>20</v>
      </c>
      <c r="E720" s="2">
        <f>IFERROR(__xludf.DUMMYFUNCTION("""COMPUTED_VALUE"""),20.06)</f>
        <v>20.06</v>
      </c>
      <c r="F720" s="2">
        <f>IFERROR(__xludf.DUMMYFUNCTION("""COMPUTED_VALUE"""),1637300.0)</f>
        <v>1637300</v>
      </c>
    </row>
    <row r="721">
      <c r="A721" s="3">
        <f>IFERROR(__xludf.DUMMYFUNCTION("""COMPUTED_VALUE"""),30260.666666666668)</f>
        <v>30260.66667</v>
      </c>
      <c r="B721" s="2">
        <f>IFERROR(__xludf.DUMMYFUNCTION("""COMPUTED_VALUE"""),20.12)</f>
        <v>20.12</v>
      </c>
      <c r="C721" s="2">
        <f>IFERROR(__xludf.DUMMYFUNCTION("""COMPUTED_VALUE"""),20.3)</f>
        <v>20.3</v>
      </c>
      <c r="D721" s="2">
        <f>IFERROR(__xludf.DUMMYFUNCTION("""COMPUTED_VALUE"""),19.97)</f>
        <v>19.97</v>
      </c>
      <c r="E721" s="2">
        <f>IFERROR(__xludf.DUMMYFUNCTION("""COMPUTED_VALUE"""),20.12)</f>
        <v>20.12</v>
      </c>
      <c r="F721" s="2">
        <f>IFERROR(__xludf.DUMMYFUNCTION("""COMPUTED_VALUE"""),995300.0)</f>
        <v>995300</v>
      </c>
    </row>
    <row r="722">
      <c r="A722" s="3">
        <f>IFERROR(__xludf.DUMMYFUNCTION("""COMPUTED_VALUE"""),30263.666666666668)</f>
        <v>30263.66667</v>
      </c>
      <c r="B722" s="2">
        <f>IFERROR(__xludf.DUMMYFUNCTION("""COMPUTED_VALUE"""),19.91)</f>
        <v>19.91</v>
      </c>
      <c r="C722" s="2">
        <f>IFERROR(__xludf.DUMMYFUNCTION("""COMPUTED_VALUE"""),20.0)</f>
        <v>20</v>
      </c>
      <c r="D722" s="2">
        <f>IFERROR(__xludf.DUMMYFUNCTION("""COMPUTED_VALUE"""),19.82)</f>
        <v>19.82</v>
      </c>
      <c r="E722" s="2">
        <f>IFERROR(__xludf.DUMMYFUNCTION("""COMPUTED_VALUE"""),19.91)</f>
        <v>19.91</v>
      </c>
      <c r="F722" s="2">
        <f>IFERROR(__xludf.DUMMYFUNCTION("""COMPUTED_VALUE"""),718400.0)</f>
        <v>718400</v>
      </c>
    </row>
    <row r="723">
      <c r="A723" s="3">
        <f>IFERROR(__xludf.DUMMYFUNCTION("""COMPUTED_VALUE"""),30264.666666666668)</f>
        <v>30264.66667</v>
      </c>
      <c r="B723" s="2">
        <f>IFERROR(__xludf.DUMMYFUNCTION("""COMPUTED_VALUE"""),20.48)</f>
        <v>20.48</v>
      </c>
      <c r="C723" s="2">
        <f>IFERROR(__xludf.DUMMYFUNCTION("""COMPUTED_VALUE"""),20.51)</f>
        <v>20.51</v>
      </c>
      <c r="D723" s="2">
        <f>IFERROR(__xludf.DUMMYFUNCTION("""COMPUTED_VALUE"""),19.97)</f>
        <v>19.97</v>
      </c>
      <c r="E723" s="2">
        <f>IFERROR(__xludf.DUMMYFUNCTION("""COMPUTED_VALUE"""),20.48)</f>
        <v>20.48</v>
      </c>
      <c r="F723" s="2">
        <f>IFERROR(__xludf.DUMMYFUNCTION("""COMPUTED_VALUE"""),994100.0)</f>
        <v>994100</v>
      </c>
    </row>
    <row r="724">
      <c r="A724" s="3">
        <f>IFERROR(__xludf.DUMMYFUNCTION("""COMPUTED_VALUE"""),30265.666666666668)</f>
        <v>30265.66667</v>
      </c>
      <c r="B724" s="2">
        <f>IFERROR(__xludf.DUMMYFUNCTION("""COMPUTED_VALUE"""),20.15)</f>
        <v>20.15</v>
      </c>
      <c r="C724" s="2">
        <f>IFERROR(__xludf.DUMMYFUNCTION("""COMPUTED_VALUE"""),20.66)</f>
        <v>20.66</v>
      </c>
      <c r="D724" s="2">
        <f>IFERROR(__xludf.DUMMYFUNCTION("""COMPUTED_VALUE"""),20.0)</f>
        <v>20</v>
      </c>
      <c r="E724" s="2">
        <f>IFERROR(__xludf.DUMMYFUNCTION("""COMPUTED_VALUE"""),20.15)</f>
        <v>20.15</v>
      </c>
      <c r="F724" s="2">
        <f>IFERROR(__xludf.DUMMYFUNCTION("""COMPUTED_VALUE"""),953500.0)</f>
        <v>953500</v>
      </c>
    </row>
    <row r="725">
      <c r="A725" s="3">
        <f>IFERROR(__xludf.DUMMYFUNCTION("""COMPUTED_VALUE"""),30266.666666666668)</f>
        <v>30266.66667</v>
      </c>
      <c r="B725" s="2">
        <f>IFERROR(__xludf.DUMMYFUNCTION("""COMPUTED_VALUE"""),20.39)</f>
        <v>20.39</v>
      </c>
      <c r="C725" s="2">
        <f>IFERROR(__xludf.DUMMYFUNCTION("""COMPUTED_VALUE"""),20.39)</f>
        <v>20.39</v>
      </c>
      <c r="D725" s="2">
        <f>IFERROR(__xludf.DUMMYFUNCTION("""COMPUTED_VALUE"""),19.94)</f>
        <v>19.94</v>
      </c>
      <c r="E725" s="2">
        <f>IFERROR(__xludf.DUMMYFUNCTION("""COMPUTED_VALUE"""),20.39)</f>
        <v>20.39</v>
      </c>
      <c r="F725" s="2">
        <f>IFERROR(__xludf.DUMMYFUNCTION("""COMPUTED_VALUE"""),552300.0)</f>
        <v>552300</v>
      </c>
    </row>
    <row r="726">
      <c r="A726" s="3">
        <f>IFERROR(__xludf.DUMMYFUNCTION("""COMPUTED_VALUE"""),30267.666666666668)</f>
        <v>30267.66667</v>
      </c>
      <c r="B726" s="2">
        <f>IFERROR(__xludf.DUMMYFUNCTION("""COMPUTED_VALUE"""),19.91)</f>
        <v>19.91</v>
      </c>
      <c r="C726" s="2">
        <f>IFERROR(__xludf.DUMMYFUNCTION("""COMPUTED_VALUE"""),20.36)</f>
        <v>20.36</v>
      </c>
      <c r="D726" s="2">
        <f>IFERROR(__xludf.DUMMYFUNCTION("""COMPUTED_VALUE"""),19.91)</f>
        <v>19.91</v>
      </c>
      <c r="E726" s="2">
        <f>IFERROR(__xludf.DUMMYFUNCTION("""COMPUTED_VALUE"""),19.91)</f>
        <v>19.91</v>
      </c>
      <c r="F726" s="2">
        <f>IFERROR(__xludf.DUMMYFUNCTION("""COMPUTED_VALUE"""),845600.0)</f>
        <v>845600</v>
      </c>
    </row>
    <row r="727">
      <c r="A727" s="3">
        <f>IFERROR(__xludf.DUMMYFUNCTION("""COMPUTED_VALUE"""),30270.666666666668)</f>
        <v>30270.66667</v>
      </c>
      <c r="B727" s="2">
        <f>IFERROR(__xludf.DUMMYFUNCTION("""COMPUTED_VALUE"""),19.64)</f>
        <v>19.64</v>
      </c>
      <c r="C727" s="2">
        <f>IFERROR(__xludf.DUMMYFUNCTION("""COMPUTED_VALUE"""),19.76)</f>
        <v>19.76</v>
      </c>
      <c r="D727" s="2">
        <f>IFERROR(__xludf.DUMMYFUNCTION("""COMPUTED_VALUE"""),19.58)</f>
        <v>19.58</v>
      </c>
      <c r="E727" s="2">
        <f>IFERROR(__xludf.DUMMYFUNCTION("""COMPUTED_VALUE"""),19.64)</f>
        <v>19.64</v>
      </c>
      <c r="F727" s="2">
        <f>IFERROR(__xludf.DUMMYFUNCTION("""COMPUTED_VALUE"""),911400.0)</f>
        <v>911400</v>
      </c>
    </row>
    <row r="728">
      <c r="A728" s="3">
        <f>IFERROR(__xludf.DUMMYFUNCTION("""COMPUTED_VALUE"""),30271.666666666668)</f>
        <v>30271.66667</v>
      </c>
      <c r="B728" s="2">
        <f>IFERROR(__xludf.DUMMYFUNCTION("""COMPUTED_VALUE"""),19.61)</f>
        <v>19.61</v>
      </c>
      <c r="C728" s="2">
        <f>IFERROR(__xludf.DUMMYFUNCTION("""COMPUTED_VALUE"""),19.85)</f>
        <v>19.85</v>
      </c>
      <c r="D728" s="2">
        <f>IFERROR(__xludf.DUMMYFUNCTION("""COMPUTED_VALUE"""),19.34)</f>
        <v>19.34</v>
      </c>
      <c r="E728" s="2">
        <f>IFERROR(__xludf.DUMMYFUNCTION("""COMPUTED_VALUE"""),19.61)</f>
        <v>19.61</v>
      </c>
      <c r="F728" s="2">
        <f>IFERROR(__xludf.DUMMYFUNCTION("""COMPUTED_VALUE"""),986000.0)</f>
        <v>986000</v>
      </c>
    </row>
    <row r="729">
      <c r="A729" s="3">
        <f>IFERROR(__xludf.DUMMYFUNCTION("""COMPUTED_VALUE"""),30272.666666666668)</f>
        <v>30272.66667</v>
      </c>
      <c r="B729" s="2">
        <f>IFERROR(__xludf.DUMMYFUNCTION("""COMPUTED_VALUE"""),20.06)</f>
        <v>20.06</v>
      </c>
      <c r="C729" s="2">
        <f>IFERROR(__xludf.DUMMYFUNCTION("""COMPUTED_VALUE"""),20.18)</f>
        <v>20.18</v>
      </c>
      <c r="D729" s="2">
        <f>IFERROR(__xludf.DUMMYFUNCTION("""COMPUTED_VALUE"""),19.67)</f>
        <v>19.67</v>
      </c>
      <c r="E729" s="2">
        <f>IFERROR(__xludf.DUMMYFUNCTION("""COMPUTED_VALUE"""),20.06)</f>
        <v>20.06</v>
      </c>
      <c r="F729" s="2">
        <f>IFERROR(__xludf.DUMMYFUNCTION("""COMPUTED_VALUE"""),883100.0)</f>
        <v>883100</v>
      </c>
    </row>
    <row r="730">
      <c r="A730" s="3">
        <f>IFERROR(__xludf.DUMMYFUNCTION("""COMPUTED_VALUE"""),30273.666666666668)</f>
        <v>30273.66667</v>
      </c>
      <c r="B730" s="2">
        <f>IFERROR(__xludf.DUMMYFUNCTION("""COMPUTED_VALUE"""),20.0)</f>
        <v>20</v>
      </c>
      <c r="C730" s="2">
        <f>IFERROR(__xludf.DUMMYFUNCTION("""COMPUTED_VALUE"""),20.18)</f>
        <v>20.18</v>
      </c>
      <c r="D730" s="2">
        <f>IFERROR(__xludf.DUMMYFUNCTION("""COMPUTED_VALUE"""),19.94)</f>
        <v>19.94</v>
      </c>
      <c r="E730" s="2">
        <f>IFERROR(__xludf.DUMMYFUNCTION("""COMPUTED_VALUE"""),20.0)</f>
        <v>20</v>
      </c>
      <c r="F730" s="2">
        <f>IFERROR(__xludf.DUMMYFUNCTION("""COMPUTED_VALUE"""),713800.0)</f>
        <v>713800</v>
      </c>
    </row>
    <row r="731">
      <c r="A731" s="3">
        <f>IFERROR(__xludf.DUMMYFUNCTION("""COMPUTED_VALUE"""),30274.666666666668)</f>
        <v>30274.66667</v>
      </c>
      <c r="B731" s="2">
        <f>IFERROR(__xludf.DUMMYFUNCTION("""COMPUTED_VALUE"""),19.94)</f>
        <v>19.94</v>
      </c>
      <c r="C731" s="2">
        <f>IFERROR(__xludf.DUMMYFUNCTION("""COMPUTED_VALUE"""),20.15)</f>
        <v>20.15</v>
      </c>
      <c r="D731" s="2">
        <f>IFERROR(__xludf.DUMMYFUNCTION("""COMPUTED_VALUE"""),19.79)</f>
        <v>19.79</v>
      </c>
      <c r="E731" s="2">
        <f>IFERROR(__xludf.DUMMYFUNCTION("""COMPUTED_VALUE"""),19.94)</f>
        <v>19.94</v>
      </c>
      <c r="F731" s="2">
        <f>IFERROR(__xludf.DUMMYFUNCTION("""COMPUTED_VALUE"""),692300.0)</f>
        <v>692300</v>
      </c>
    </row>
    <row r="732">
      <c r="A732" s="3">
        <f>IFERROR(__xludf.DUMMYFUNCTION("""COMPUTED_VALUE"""),30277.666666666668)</f>
        <v>30277.66667</v>
      </c>
      <c r="B732" s="2">
        <f>IFERROR(__xludf.DUMMYFUNCTION("""COMPUTED_VALUE"""),19.22)</f>
        <v>19.22</v>
      </c>
      <c r="C732" s="2">
        <f>IFERROR(__xludf.DUMMYFUNCTION("""COMPUTED_VALUE"""),19.82)</f>
        <v>19.82</v>
      </c>
      <c r="D732" s="2">
        <f>IFERROR(__xludf.DUMMYFUNCTION("""COMPUTED_VALUE"""),19.22)</f>
        <v>19.22</v>
      </c>
      <c r="E732" s="2">
        <f>IFERROR(__xludf.DUMMYFUNCTION("""COMPUTED_VALUE"""),19.22)</f>
        <v>19.22</v>
      </c>
      <c r="F732" s="2">
        <f>IFERROR(__xludf.DUMMYFUNCTION("""COMPUTED_VALUE"""),632400.0)</f>
        <v>632400</v>
      </c>
    </row>
    <row r="733">
      <c r="A733" s="3">
        <f>IFERROR(__xludf.DUMMYFUNCTION("""COMPUTED_VALUE"""),30278.666666666668)</f>
        <v>30278.66667</v>
      </c>
      <c r="B733" s="2">
        <f>IFERROR(__xludf.DUMMYFUNCTION("""COMPUTED_VALUE"""),19.4)</f>
        <v>19.4</v>
      </c>
      <c r="C733" s="2">
        <f>IFERROR(__xludf.DUMMYFUNCTION("""COMPUTED_VALUE"""),19.61)</f>
        <v>19.61</v>
      </c>
      <c r="D733" s="2">
        <f>IFERROR(__xludf.DUMMYFUNCTION("""COMPUTED_VALUE"""),19.25)</f>
        <v>19.25</v>
      </c>
      <c r="E733" s="2">
        <f>IFERROR(__xludf.DUMMYFUNCTION("""COMPUTED_VALUE"""),19.4)</f>
        <v>19.4</v>
      </c>
      <c r="F733" s="2">
        <f>IFERROR(__xludf.DUMMYFUNCTION("""COMPUTED_VALUE"""),768300.0)</f>
        <v>768300</v>
      </c>
    </row>
    <row r="734">
      <c r="A734" s="3">
        <f>IFERROR(__xludf.DUMMYFUNCTION("""COMPUTED_VALUE"""),30279.666666666668)</f>
        <v>30279.66667</v>
      </c>
      <c r="B734" s="2">
        <f>IFERROR(__xludf.DUMMYFUNCTION("""COMPUTED_VALUE"""),19.76)</f>
        <v>19.76</v>
      </c>
      <c r="C734" s="2">
        <f>IFERROR(__xludf.DUMMYFUNCTION("""COMPUTED_VALUE"""),19.76)</f>
        <v>19.76</v>
      </c>
      <c r="D734" s="2">
        <f>IFERROR(__xludf.DUMMYFUNCTION("""COMPUTED_VALUE"""),19.52)</f>
        <v>19.52</v>
      </c>
      <c r="E734" s="2">
        <f>IFERROR(__xludf.DUMMYFUNCTION("""COMPUTED_VALUE"""),19.76)</f>
        <v>19.76</v>
      </c>
      <c r="F734" s="2">
        <f>IFERROR(__xludf.DUMMYFUNCTION("""COMPUTED_VALUE"""),715600.0)</f>
        <v>715600</v>
      </c>
    </row>
    <row r="735">
      <c r="A735" s="3">
        <f>IFERROR(__xludf.DUMMYFUNCTION("""COMPUTED_VALUE"""),30281.666666666668)</f>
        <v>30281.66667</v>
      </c>
      <c r="B735" s="2">
        <f>IFERROR(__xludf.DUMMYFUNCTION("""COMPUTED_VALUE"""),19.91)</f>
        <v>19.91</v>
      </c>
      <c r="C735" s="2">
        <f>IFERROR(__xludf.DUMMYFUNCTION("""COMPUTED_VALUE"""),19.97)</f>
        <v>19.97</v>
      </c>
      <c r="D735" s="2">
        <f>IFERROR(__xludf.DUMMYFUNCTION("""COMPUTED_VALUE"""),19.82)</f>
        <v>19.82</v>
      </c>
      <c r="E735" s="2">
        <f>IFERROR(__xludf.DUMMYFUNCTION("""COMPUTED_VALUE"""),19.91)</f>
        <v>19.91</v>
      </c>
      <c r="F735" s="2">
        <f>IFERROR(__xludf.DUMMYFUNCTION("""COMPUTED_VALUE"""),376700.0)</f>
        <v>376700</v>
      </c>
    </row>
    <row r="736">
      <c r="A736" s="3">
        <f>IFERROR(__xludf.DUMMYFUNCTION("""COMPUTED_VALUE"""),30284.666666666668)</f>
        <v>30284.66667</v>
      </c>
      <c r="B736" s="2">
        <f>IFERROR(__xludf.DUMMYFUNCTION("""COMPUTED_VALUE"""),19.7)</f>
        <v>19.7</v>
      </c>
      <c r="C736" s="2">
        <f>IFERROR(__xludf.DUMMYFUNCTION("""COMPUTED_VALUE"""),20.0)</f>
        <v>20</v>
      </c>
      <c r="D736" s="2">
        <f>IFERROR(__xludf.DUMMYFUNCTION("""COMPUTED_VALUE"""),19.58)</f>
        <v>19.58</v>
      </c>
      <c r="E736" s="2">
        <f>IFERROR(__xludf.DUMMYFUNCTION("""COMPUTED_VALUE"""),19.7)</f>
        <v>19.7</v>
      </c>
      <c r="F736" s="2">
        <f>IFERROR(__xludf.DUMMYFUNCTION("""COMPUTED_VALUE"""),517100.0)</f>
        <v>517100</v>
      </c>
    </row>
    <row r="737">
      <c r="A737" s="3">
        <f>IFERROR(__xludf.DUMMYFUNCTION("""COMPUTED_VALUE"""),30285.666666666668)</f>
        <v>30285.66667</v>
      </c>
      <c r="B737" s="2">
        <f>IFERROR(__xludf.DUMMYFUNCTION("""COMPUTED_VALUE"""),20.66)</f>
        <v>20.66</v>
      </c>
      <c r="C737" s="2">
        <f>IFERROR(__xludf.DUMMYFUNCTION("""COMPUTED_VALUE"""),20.66)</f>
        <v>20.66</v>
      </c>
      <c r="D737" s="2">
        <f>IFERROR(__xludf.DUMMYFUNCTION("""COMPUTED_VALUE"""),19.7)</f>
        <v>19.7</v>
      </c>
      <c r="E737" s="2">
        <f>IFERROR(__xludf.DUMMYFUNCTION("""COMPUTED_VALUE"""),20.66)</f>
        <v>20.66</v>
      </c>
      <c r="F737" s="2">
        <f>IFERROR(__xludf.DUMMYFUNCTION("""COMPUTED_VALUE"""),1015800.0)</f>
        <v>1015800</v>
      </c>
    </row>
    <row r="738">
      <c r="A738" s="3">
        <f>IFERROR(__xludf.DUMMYFUNCTION("""COMPUTED_VALUE"""),30286.666666666668)</f>
        <v>30286.66667</v>
      </c>
      <c r="B738" s="2">
        <f>IFERROR(__xludf.DUMMYFUNCTION("""COMPUTED_VALUE"""),20.66)</f>
        <v>20.66</v>
      </c>
      <c r="C738" s="2">
        <f>IFERROR(__xludf.DUMMYFUNCTION("""COMPUTED_VALUE"""),21.07)</f>
        <v>21.07</v>
      </c>
      <c r="D738" s="2">
        <f>IFERROR(__xludf.DUMMYFUNCTION("""COMPUTED_VALUE"""),20.57)</f>
        <v>20.57</v>
      </c>
      <c r="E738" s="2">
        <f>IFERROR(__xludf.DUMMYFUNCTION("""COMPUTED_VALUE"""),20.66)</f>
        <v>20.66</v>
      </c>
      <c r="F738" s="2">
        <f>IFERROR(__xludf.DUMMYFUNCTION("""COMPUTED_VALUE"""),1525100.0)</f>
        <v>1525100</v>
      </c>
    </row>
    <row r="739">
      <c r="A739" s="3">
        <f>IFERROR(__xludf.DUMMYFUNCTION("""COMPUTED_VALUE"""),30287.666666666668)</f>
        <v>30287.66667</v>
      </c>
      <c r="B739" s="2">
        <f>IFERROR(__xludf.DUMMYFUNCTION("""COMPUTED_VALUE"""),21.07)</f>
        <v>21.07</v>
      </c>
      <c r="C739" s="2">
        <f>IFERROR(__xludf.DUMMYFUNCTION("""COMPUTED_VALUE"""),21.31)</f>
        <v>21.31</v>
      </c>
      <c r="D739" s="2">
        <f>IFERROR(__xludf.DUMMYFUNCTION("""COMPUTED_VALUE"""),20.66)</f>
        <v>20.66</v>
      </c>
      <c r="E739" s="2">
        <f>IFERROR(__xludf.DUMMYFUNCTION("""COMPUTED_VALUE"""),21.07)</f>
        <v>21.07</v>
      </c>
      <c r="F739" s="2">
        <f>IFERROR(__xludf.DUMMYFUNCTION("""COMPUTED_VALUE"""),1539100.0)</f>
        <v>1539100</v>
      </c>
    </row>
    <row r="740">
      <c r="A740" s="3">
        <f>IFERROR(__xludf.DUMMYFUNCTION("""COMPUTED_VALUE"""),30288.666666666668)</f>
        <v>30288.66667</v>
      </c>
      <c r="B740" s="2">
        <f>IFERROR(__xludf.DUMMYFUNCTION("""COMPUTED_VALUE"""),21.07)</f>
        <v>21.07</v>
      </c>
      <c r="C740" s="2">
        <f>IFERROR(__xludf.DUMMYFUNCTION("""COMPUTED_VALUE"""),21.34)</f>
        <v>21.34</v>
      </c>
      <c r="D740" s="2">
        <f>IFERROR(__xludf.DUMMYFUNCTION("""COMPUTED_VALUE"""),20.98)</f>
        <v>20.98</v>
      </c>
      <c r="E740" s="2">
        <f>IFERROR(__xludf.DUMMYFUNCTION("""COMPUTED_VALUE"""),21.07)</f>
        <v>21.07</v>
      </c>
      <c r="F740" s="2">
        <f>IFERROR(__xludf.DUMMYFUNCTION("""COMPUTED_VALUE"""),771700.0)</f>
        <v>771700</v>
      </c>
    </row>
    <row r="741">
      <c r="A741" s="3">
        <f>IFERROR(__xludf.DUMMYFUNCTION("""COMPUTED_VALUE"""),30291.666666666668)</f>
        <v>30291.66667</v>
      </c>
      <c r="B741" s="2">
        <f>IFERROR(__xludf.DUMMYFUNCTION("""COMPUTED_VALUE"""),22.15)</f>
        <v>22.15</v>
      </c>
      <c r="C741" s="2">
        <f>IFERROR(__xludf.DUMMYFUNCTION("""COMPUTED_VALUE"""),22.39)</f>
        <v>22.39</v>
      </c>
      <c r="D741" s="2">
        <f>IFERROR(__xludf.DUMMYFUNCTION("""COMPUTED_VALUE"""),20.98)</f>
        <v>20.98</v>
      </c>
      <c r="E741" s="2">
        <f>IFERROR(__xludf.DUMMYFUNCTION("""COMPUTED_VALUE"""),22.15)</f>
        <v>22.15</v>
      </c>
      <c r="F741" s="2">
        <f>IFERROR(__xludf.DUMMYFUNCTION("""COMPUTED_VALUE"""),1154000.0)</f>
        <v>1154000</v>
      </c>
    </row>
    <row r="742">
      <c r="A742" s="3">
        <f>IFERROR(__xludf.DUMMYFUNCTION("""COMPUTED_VALUE"""),30292.666666666668)</f>
        <v>30292.66667</v>
      </c>
      <c r="B742" s="2">
        <f>IFERROR(__xludf.DUMMYFUNCTION("""COMPUTED_VALUE"""),22.72)</f>
        <v>22.72</v>
      </c>
      <c r="C742" s="2">
        <f>IFERROR(__xludf.DUMMYFUNCTION("""COMPUTED_VALUE"""),23.01)</f>
        <v>23.01</v>
      </c>
      <c r="D742" s="2">
        <f>IFERROR(__xludf.DUMMYFUNCTION("""COMPUTED_VALUE"""),22.27)</f>
        <v>22.27</v>
      </c>
      <c r="E742" s="2">
        <f>IFERROR(__xludf.DUMMYFUNCTION("""COMPUTED_VALUE"""),22.72)</f>
        <v>22.72</v>
      </c>
      <c r="F742" s="2">
        <f>IFERROR(__xludf.DUMMYFUNCTION("""COMPUTED_VALUE"""),1709800.0)</f>
        <v>1709800</v>
      </c>
    </row>
    <row r="743">
      <c r="A743" s="3">
        <f>IFERROR(__xludf.DUMMYFUNCTION("""COMPUTED_VALUE"""),30293.666666666668)</f>
        <v>30293.66667</v>
      </c>
      <c r="B743" s="2">
        <f>IFERROR(__xludf.DUMMYFUNCTION("""COMPUTED_VALUE"""),22.57)</f>
        <v>22.57</v>
      </c>
      <c r="C743" s="2">
        <f>IFERROR(__xludf.DUMMYFUNCTION("""COMPUTED_VALUE"""),23.28)</f>
        <v>23.28</v>
      </c>
      <c r="D743" s="2">
        <f>IFERROR(__xludf.DUMMYFUNCTION("""COMPUTED_VALUE"""),22.57)</f>
        <v>22.57</v>
      </c>
      <c r="E743" s="2">
        <f>IFERROR(__xludf.DUMMYFUNCTION("""COMPUTED_VALUE"""),22.57)</f>
        <v>22.57</v>
      </c>
      <c r="F743" s="2">
        <f>IFERROR(__xludf.DUMMYFUNCTION("""COMPUTED_VALUE"""),1313500.0)</f>
        <v>1313500</v>
      </c>
    </row>
    <row r="744">
      <c r="A744" s="3">
        <f>IFERROR(__xludf.DUMMYFUNCTION("""COMPUTED_VALUE"""),30294.666666666668)</f>
        <v>30294.66667</v>
      </c>
      <c r="B744" s="2">
        <f>IFERROR(__xludf.DUMMYFUNCTION("""COMPUTED_VALUE"""),22.36)</f>
        <v>22.36</v>
      </c>
      <c r="C744" s="2">
        <f>IFERROR(__xludf.DUMMYFUNCTION("""COMPUTED_VALUE"""),22.92)</f>
        <v>22.92</v>
      </c>
      <c r="D744" s="2">
        <f>IFERROR(__xludf.DUMMYFUNCTION("""COMPUTED_VALUE"""),22.09)</f>
        <v>22.09</v>
      </c>
      <c r="E744" s="2">
        <f>IFERROR(__xludf.DUMMYFUNCTION("""COMPUTED_VALUE"""),22.36)</f>
        <v>22.36</v>
      </c>
      <c r="F744" s="2">
        <f>IFERROR(__xludf.DUMMYFUNCTION("""COMPUTED_VALUE"""),1118500.0)</f>
        <v>1118500</v>
      </c>
    </row>
    <row r="745">
      <c r="A745" s="3">
        <f>IFERROR(__xludf.DUMMYFUNCTION("""COMPUTED_VALUE"""),30295.666666666668)</f>
        <v>30295.66667</v>
      </c>
      <c r="B745" s="2">
        <f>IFERROR(__xludf.DUMMYFUNCTION("""COMPUTED_VALUE"""),22.15)</f>
        <v>22.15</v>
      </c>
      <c r="C745" s="2">
        <f>IFERROR(__xludf.DUMMYFUNCTION("""COMPUTED_VALUE"""),22.72)</f>
        <v>22.72</v>
      </c>
      <c r="D745" s="2">
        <f>IFERROR(__xludf.DUMMYFUNCTION("""COMPUTED_VALUE"""),22.06)</f>
        <v>22.06</v>
      </c>
      <c r="E745" s="2">
        <f>IFERROR(__xludf.DUMMYFUNCTION("""COMPUTED_VALUE"""),22.15)</f>
        <v>22.15</v>
      </c>
      <c r="F745" s="2">
        <f>IFERROR(__xludf.DUMMYFUNCTION("""COMPUTED_VALUE"""),957500.0)</f>
        <v>957500</v>
      </c>
    </row>
    <row r="746">
      <c r="A746" s="3">
        <f>IFERROR(__xludf.DUMMYFUNCTION("""COMPUTED_VALUE"""),30298.666666666668)</f>
        <v>30298.66667</v>
      </c>
      <c r="B746" s="2">
        <f>IFERROR(__xludf.DUMMYFUNCTION("""COMPUTED_VALUE"""),22.42)</f>
        <v>22.42</v>
      </c>
      <c r="C746" s="2">
        <f>IFERROR(__xludf.DUMMYFUNCTION("""COMPUTED_VALUE"""),22.63)</f>
        <v>22.63</v>
      </c>
      <c r="D746" s="2">
        <f>IFERROR(__xludf.DUMMYFUNCTION("""COMPUTED_VALUE"""),22.24)</f>
        <v>22.24</v>
      </c>
      <c r="E746" s="2">
        <f>IFERROR(__xludf.DUMMYFUNCTION("""COMPUTED_VALUE"""),22.42)</f>
        <v>22.42</v>
      </c>
      <c r="F746" s="2">
        <f>IFERROR(__xludf.DUMMYFUNCTION("""COMPUTED_VALUE"""),654200.0)</f>
        <v>654200</v>
      </c>
    </row>
    <row r="747">
      <c r="A747" s="3">
        <f>IFERROR(__xludf.DUMMYFUNCTION("""COMPUTED_VALUE"""),30299.666666666668)</f>
        <v>30299.66667</v>
      </c>
      <c r="B747" s="2">
        <f>IFERROR(__xludf.DUMMYFUNCTION("""COMPUTED_VALUE"""),21.73)</f>
        <v>21.73</v>
      </c>
      <c r="C747" s="2">
        <f>IFERROR(__xludf.DUMMYFUNCTION("""COMPUTED_VALUE"""),22.98)</f>
        <v>22.98</v>
      </c>
      <c r="D747" s="2">
        <f>IFERROR(__xludf.DUMMYFUNCTION("""COMPUTED_VALUE"""),21.61)</f>
        <v>21.61</v>
      </c>
      <c r="E747" s="2">
        <f>IFERROR(__xludf.DUMMYFUNCTION("""COMPUTED_VALUE"""),21.73)</f>
        <v>21.73</v>
      </c>
      <c r="F747" s="2">
        <f>IFERROR(__xludf.DUMMYFUNCTION("""COMPUTED_VALUE"""),1287400.0)</f>
        <v>1287400</v>
      </c>
    </row>
    <row r="748">
      <c r="A748" s="3">
        <f>IFERROR(__xludf.DUMMYFUNCTION("""COMPUTED_VALUE"""),30300.666666666668)</f>
        <v>30300.66667</v>
      </c>
      <c r="B748" s="2">
        <f>IFERROR(__xludf.DUMMYFUNCTION("""COMPUTED_VALUE"""),21.34)</f>
        <v>21.34</v>
      </c>
      <c r="C748" s="2">
        <f>IFERROR(__xludf.DUMMYFUNCTION("""COMPUTED_VALUE"""),21.85)</f>
        <v>21.85</v>
      </c>
      <c r="D748" s="2">
        <f>IFERROR(__xludf.DUMMYFUNCTION("""COMPUTED_VALUE"""),21.28)</f>
        <v>21.28</v>
      </c>
      <c r="E748" s="2">
        <f>IFERROR(__xludf.DUMMYFUNCTION("""COMPUTED_VALUE"""),21.34)</f>
        <v>21.34</v>
      </c>
      <c r="F748" s="2">
        <f>IFERROR(__xludf.DUMMYFUNCTION("""COMPUTED_VALUE"""),1305000.0)</f>
        <v>1305000</v>
      </c>
    </row>
    <row r="749">
      <c r="A749" s="3">
        <f>IFERROR(__xludf.DUMMYFUNCTION("""COMPUTED_VALUE"""),30301.666666666668)</f>
        <v>30301.66667</v>
      </c>
      <c r="B749" s="2">
        <f>IFERROR(__xludf.DUMMYFUNCTION("""COMPUTED_VALUE"""),21.67)</f>
        <v>21.67</v>
      </c>
      <c r="C749" s="2">
        <f>IFERROR(__xludf.DUMMYFUNCTION("""COMPUTED_VALUE"""),21.79)</f>
        <v>21.79</v>
      </c>
      <c r="D749" s="2">
        <f>IFERROR(__xludf.DUMMYFUNCTION("""COMPUTED_VALUE"""),21.37)</f>
        <v>21.37</v>
      </c>
      <c r="E749" s="2">
        <f>IFERROR(__xludf.DUMMYFUNCTION("""COMPUTED_VALUE"""),21.67)</f>
        <v>21.67</v>
      </c>
      <c r="F749" s="2">
        <f>IFERROR(__xludf.DUMMYFUNCTION("""COMPUTED_VALUE"""),997900.0)</f>
        <v>997900</v>
      </c>
    </row>
    <row r="750">
      <c r="A750" s="3">
        <f>IFERROR(__xludf.DUMMYFUNCTION("""COMPUTED_VALUE"""),30302.666666666668)</f>
        <v>30302.66667</v>
      </c>
      <c r="B750" s="2">
        <f>IFERROR(__xludf.DUMMYFUNCTION("""COMPUTED_VALUE"""),22.3)</f>
        <v>22.3</v>
      </c>
      <c r="C750" s="2">
        <f>IFERROR(__xludf.DUMMYFUNCTION("""COMPUTED_VALUE"""),22.6)</f>
        <v>22.6</v>
      </c>
      <c r="D750" s="2">
        <f>IFERROR(__xludf.DUMMYFUNCTION("""COMPUTED_VALUE"""),21.85)</f>
        <v>21.85</v>
      </c>
      <c r="E750" s="2">
        <f>IFERROR(__xludf.DUMMYFUNCTION("""COMPUTED_VALUE"""),22.3)</f>
        <v>22.3</v>
      </c>
      <c r="F750" s="2">
        <f>IFERROR(__xludf.DUMMYFUNCTION("""COMPUTED_VALUE"""),1143000.0)</f>
        <v>1143000</v>
      </c>
    </row>
    <row r="751">
      <c r="A751" s="3">
        <f>IFERROR(__xludf.DUMMYFUNCTION("""COMPUTED_VALUE"""),30305.666666666668)</f>
        <v>30305.66667</v>
      </c>
      <c r="B751" s="2">
        <f>IFERROR(__xludf.DUMMYFUNCTION("""COMPUTED_VALUE"""),22.09)</f>
        <v>22.09</v>
      </c>
      <c r="C751" s="2">
        <f>IFERROR(__xludf.DUMMYFUNCTION("""COMPUTED_VALUE"""),22.6)</f>
        <v>22.6</v>
      </c>
      <c r="D751" s="2">
        <f>IFERROR(__xludf.DUMMYFUNCTION("""COMPUTED_VALUE"""),21.97)</f>
        <v>21.97</v>
      </c>
      <c r="E751" s="2">
        <f>IFERROR(__xludf.DUMMYFUNCTION("""COMPUTED_VALUE"""),22.09)</f>
        <v>22.09</v>
      </c>
      <c r="F751" s="2">
        <f>IFERROR(__xludf.DUMMYFUNCTION("""COMPUTED_VALUE"""),613900.0)</f>
        <v>613900</v>
      </c>
    </row>
    <row r="752">
      <c r="A752" s="3">
        <f>IFERROR(__xludf.DUMMYFUNCTION("""COMPUTED_VALUE"""),30306.666666666668)</f>
        <v>30306.66667</v>
      </c>
      <c r="B752" s="2">
        <f>IFERROR(__xludf.DUMMYFUNCTION("""COMPUTED_VALUE"""),22.86)</f>
        <v>22.86</v>
      </c>
      <c r="C752" s="2">
        <f>IFERROR(__xludf.DUMMYFUNCTION("""COMPUTED_VALUE"""),22.92)</f>
        <v>22.92</v>
      </c>
      <c r="D752" s="2">
        <f>IFERROR(__xludf.DUMMYFUNCTION("""COMPUTED_VALUE"""),22.15)</f>
        <v>22.15</v>
      </c>
      <c r="E752" s="2">
        <f>IFERROR(__xludf.DUMMYFUNCTION("""COMPUTED_VALUE"""),22.86)</f>
        <v>22.86</v>
      </c>
      <c r="F752" s="2">
        <f>IFERROR(__xludf.DUMMYFUNCTION("""COMPUTED_VALUE"""),870100.0)</f>
        <v>870100</v>
      </c>
    </row>
    <row r="753">
      <c r="A753" s="3">
        <f>IFERROR(__xludf.DUMMYFUNCTION("""COMPUTED_VALUE"""),30307.666666666668)</f>
        <v>30307.66667</v>
      </c>
      <c r="B753" s="2">
        <f>IFERROR(__xludf.DUMMYFUNCTION("""COMPUTED_VALUE"""),22.33)</f>
        <v>22.33</v>
      </c>
      <c r="C753" s="2">
        <f>IFERROR(__xludf.DUMMYFUNCTION("""COMPUTED_VALUE"""),23.01)</f>
        <v>23.01</v>
      </c>
      <c r="D753" s="2">
        <f>IFERROR(__xludf.DUMMYFUNCTION("""COMPUTED_VALUE"""),22.33)</f>
        <v>22.33</v>
      </c>
      <c r="E753" s="2">
        <f>IFERROR(__xludf.DUMMYFUNCTION("""COMPUTED_VALUE"""),22.33)</f>
        <v>22.33</v>
      </c>
      <c r="F753" s="2">
        <f>IFERROR(__xludf.DUMMYFUNCTION("""COMPUTED_VALUE"""),1014800.0)</f>
        <v>1014800</v>
      </c>
    </row>
    <row r="754">
      <c r="A754" s="3">
        <f>IFERROR(__xludf.DUMMYFUNCTION("""COMPUTED_VALUE"""),30308.666666666668)</f>
        <v>30308.66667</v>
      </c>
      <c r="B754" s="2">
        <f>IFERROR(__xludf.DUMMYFUNCTION("""COMPUTED_VALUE"""),22.36)</f>
        <v>22.36</v>
      </c>
      <c r="C754" s="2">
        <f>IFERROR(__xludf.DUMMYFUNCTION("""COMPUTED_VALUE"""),22.57)</f>
        <v>22.57</v>
      </c>
      <c r="D754" s="2">
        <f>IFERROR(__xludf.DUMMYFUNCTION("""COMPUTED_VALUE"""),22.33)</f>
        <v>22.33</v>
      </c>
      <c r="E754" s="2">
        <f>IFERROR(__xludf.DUMMYFUNCTION("""COMPUTED_VALUE"""),22.36)</f>
        <v>22.36</v>
      </c>
      <c r="F754" s="2">
        <f>IFERROR(__xludf.DUMMYFUNCTION("""COMPUTED_VALUE"""),590000.0)</f>
        <v>590000</v>
      </c>
    </row>
    <row r="755">
      <c r="A755" s="3">
        <f>IFERROR(__xludf.DUMMYFUNCTION("""COMPUTED_VALUE"""),30312.666666666668)</f>
        <v>30312.66667</v>
      </c>
      <c r="B755" s="2">
        <f>IFERROR(__xludf.DUMMYFUNCTION("""COMPUTED_VALUE"""),23.01)</f>
        <v>23.01</v>
      </c>
      <c r="C755" s="2">
        <f>IFERROR(__xludf.DUMMYFUNCTION("""COMPUTED_VALUE"""),23.13)</f>
        <v>23.13</v>
      </c>
      <c r="D755" s="2">
        <f>IFERROR(__xludf.DUMMYFUNCTION("""COMPUTED_VALUE"""),22.3)</f>
        <v>22.3</v>
      </c>
      <c r="E755" s="2">
        <f>IFERROR(__xludf.DUMMYFUNCTION("""COMPUTED_VALUE"""),23.01)</f>
        <v>23.01</v>
      </c>
      <c r="F755" s="2">
        <f>IFERROR(__xludf.DUMMYFUNCTION("""COMPUTED_VALUE"""),647000.0)</f>
        <v>647000</v>
      </c>
    </row>
    <row r="756">
      <c r="A756" s="3">
        <f>IFERROR(__xludf.DUMMYFUNCTION("""COMPUTED_VALUE"""),30313.666666666668)</f>
        <v>30313.66667</v>
      </c>
      <c r="B756" s="2">
        <f>IFERROR(__xludf.DUMMYFUNCTION("""COMPUTED_VALUE"""),22.72)</f>
        <v>22.72</v>
      </c>
      <c r="C756" s="2">
        <f>IFERROR(__xludf.DUMMYFUNCTION("""COMPUTED_VALUE"""),23.01)</f>
        <v>23.01</v>
      </c>
      <c r="D756" s="2">
        <f>IFERROR(__xludf.DUMMYFUNCTION("""COMPUTED_VALUE"""),22.63)</f>
        <v>22.63</v>
      </c>
      <c r="E756" s="2">
        <f>IFERROR(__xludf.DUMMYFUNCTION("""COMPUTED_VALUE"""),22.72)</f>
        <v>22.72</v>
      </c>
      <c r="F756" s="2">
        <f>IFERROR(__xludf.DUMMYFUNCTION("""COMPUTED_VALUE"""),674700.0)</f>
        <v>674700</v>
      </c>
    </row>
    <row r="757">
      <c r="A757" s="3">
        <f>IFERROR(__xludf.DUMMYFUNCTION("""COMPUTED_VALUE"""),30314.666666666668)</f>
        <v>30314.66667</v>
      </c>
      <c r="B757" s="2">
        <f>IFERROR(__xludf.DUMMYFUNCTION("""COMPUTED_VALUE"""),23.07)</f>
        <v>23.07</v>
      </c>
      <c r="C757" s="2">
        <f>IFERROR(__xludf.DUMMYFUNCTION("""COMPUTED_VALUE"""),23.22)</f>
        <v>23.22</v>
      </c>
      <c r="D757" s="2">
        <f>IFERROR(__xludf.DUMMYFUNCTION("""COMPUTED_VALUE"""),22.77)</f>
        <v>22.77</v>
      </c>
      <c r="E757" s="2">
        <f>IFERROR(__xludf.DUMMYFUNCTION("""COMPUTED_VALUE"""),23.07)</f>
        <v>23.07</v>
      </c>
      <c r="F757" s="2">
        <f>IFERROR(__xludf.DUMMYFUNCTION("""COMPUTED_VALUE"""),799900.0)</f>
        <v>799900</v>
      </c>
    </row>
    <row r="758">
      <c r="A758" s="3">
        <f>IFERROR(__xludf.DUMMYFUNCTION("""COMPUTED_VALUE"""),30315.666666666668)</f>
        <v>30315.66667</v>
      </c>
      <c r="B758" s="2">
        <f>IFERROR(__xludf.DUMMYFUNCTION("""COMPUTED_VALUE"""),22.95)</f>
        <v>22.95</v>
      </c>
      <c r="C758" s="2">
        <f>IFERROR(__xludf.DUMMYFUNCTION("""COMPUTED_VALUE"""),23.4)</f>
        <v>23.4</v>
      </c>
      <c r="D758" s="2">
        <f>IFERROR(__xludf.DUMMYFUNCTION("""COMPUTED_VALUE"""),22.86)</f>
        <v>22.86</v>
      </c>
      <c r="E758" s="2">
        <f>IFERROR(__xludf.DUMMYFUNCTION("""COMPUTED_VALUE"""),22.95)</f>
        <v>22.95</v>
      </c>
      <c r="F758" s="2">
        <f>IFERROR(__xludf.DUMMYFUNCTION("""COMPUTED_VALUE"""),725400.0)</f>
        <v>725400</v>
      </c>
    </row>
    <row r="759">
      <c r="A759" s="3">
        <f>IFERROR(__xludf.DUMMYFUNCTION("""COMPUTED_VALUE"""),30316.666666666668)</f>
        <v>30316.66667</v>
      </c>
      <c r="B759" s="2">
        <f>IFERROR(__xludf.DUMMYFUNCTION("""COMPUTED_VALUE"""),22.98)</f>
        <v>22.98</v>
      </c>
      <c r="C759" s="2">
        <f>IFERROR(__xludf.DUMMYFUNCTION("""COMPUTED_VALUE"""),23.19)</f>
        <v>23.19</v>
      </c>
      <c r="D759" s="2">
        <f>IFERROR(__xludf.DUMMYFUNCTION("""COMPUTED_VALUE"""),22.95)</f>
        <v>22.95</v>
      </c>
      <c r="E759" s="2">
        <f>IFERROR(__xludf.DUMMYFUNCTION("""COMPUTED_VALUE"""),22.98)</f>
        <v>22.98</v>
      </c>
      <c r="F759" s="2">
        <f>IFERROR(__xludf.DUMMYFUNCTION("""COMPUTED_VALUE"""),373700.0)</f>
        <v>373700</v>
      </c>
    </row>
    <row r="760">
      <c r="A760" s="3">
        <f>IFERROR(__xludf.DUMMYFUNCTION("""COMPUTED_VALUE"""),30319.666666666668)</f>
        <v>30319.66667</v>
      </c>
      <c r="B760" s="2">
        <f>IFERROR(__xludf.DUMMYFUNCTION("""COMPUTED_VALUE"""),22.21)</f>
        <v>22.21</v>
      </c>
      <c r="C760" s="2">
        <f>IFERROR(__xludf.DUMMYFUNCTION("""COMPUTED_VALUE"""),23.16)</f>
        <v>23.16</v>
      </c>
      <c r="D760" s="2">
        <f>IFERROR(__xludf.DUMMYFUNCTION("""COMPUTED_VALUE"""),22.09)</f>
        <v>22.09</v>
      </c>
      <c r="E760" s="2">
        <f>IFERROR(__xludf.DUMMYFUNCTION("""COMPUTED_VALUE"""),22.21)</f>
        <v>22.21</v>
      </c>
      <c r="F760" s="2">
        <f>IFERROR(__xludf.DUMMYFUNCTION("""COMPUTED_VALUE"""),760600.0)</f>
        <v>760600</v>
      </c>
    </row>
    <row r="761">
      <c r="A761" s="3">
        <f>IFERROR(__xludf.DUMMYFUNCTION("""COMPUTED_VALUE"""),30320.666666666668)</f>
        <v>30320.66667</v>
      </c>
      <c r="B761" s="2">
        <f>IFERROR(__xludf.DUMMYFUNCTION("""COMPUTED_VALUE"""),22.83)</f>
        <v>22.83</v>
      </c>
      <c r="C761" s="2">
        <f>IFERROR(__xludf.DUMMYFUNCTION("""COMPUTED_VALUE"""),22.83)</f>
        <v>22.83</v>
      </c>
      <c r="D761" s="2">
        <f>IFERROR(__xludf.DUMMYFUNCTION("""COMPUTED_VALUE"""),22.06)</f>
        <v>22.06</v>
      </c>
      <c r="E761" s="2">
        <f>IFERROR(__xludf.DUMMYFUNCTION("""COMPUTED_VALUE"""),22.83)</f>
        <v>22.83</v>
      </c>
      <c r="F761" s="2">
        <f>IFERROR(__xludf.DUMMYFUNCTION("""COMPUTED_VALUE"""),915100.0)</f>
        <v>915100</v>
      </c>
    </row>
    <row r="762">
      <c r="A762" s="3">
        <f>IFERROR(__xludf.DUMMYFUNCTION("""COMPUTED_VALUE"""),30321.666666666668)</f>
        <v>30321.66667</v>
      </c>
      <c r="B762" s="2">
        <f>IFERROR(__xludf.DUMMYFUNCTION("""COMPUTED_VALUE"""),22.92)</f>
        <v>22.92</v>
      </c>
      <c r="C762" s="2">
        <f>IFERROR(__xludf.DUMMYFUNCTION("""COMPUTED_VALUE"""),23.1)</f>
        <v>23.1</v>
      </c>
      <c r="D762" s="2">
        <f>IFERROR(__xludf.DUMMYFUNCTION("""COMPUTED_VALUE"""),22.69)</f>
        <v>22.69</v>
      </c>
      <c r="E762" s="2">
        <f>IFERROR(__xludf.DUMMYFUNCTION("""COMPUTED_VALUE"""),22.92)</f>
        <v>22.92</v>
      </c>
      <c r="F762" s="2">
        <f>IFERROR(__xludf.DUMMYFUNCTION("""COMPUTED_VALUE"""),950900.0)</f>
        <v>950900</v>
      </c>
    </row>
    <row r="763">
      <c r="A763" s="3">
        <f>IFERROR(__xludf.DUMMYFUNCTION("""COMPUTED_VALUE"""),30322.666666666668)</f>
        <v>30322.66667</v>
      </c>
      <c r="B763" s="2">
        <f>IFERROR(__xludf.DUMMYFUNCTION("""COMPUTED_VALUE"""),23.31)</f>
        <v>23.31</v>
      </c>
      <c r="C763" s="2">
        <f>IFERROR(__xludf.DUMMYFUNCTION("""COMPUTED_VALUE"""),23.52)</f>
        <v>23.52</v>
      </c>
      <c r="D763" s="2">
        <f>IFERROR(__xludf.DUMMYFUNCTION("""COMPUTED_VALUE"""),22.8)</f>
        <v>22.8</v>
      </c>
      <c r="E763" s="2">
        <f>IFERROR(__xludf.DUMMYFUNCTION("""COMPUTED_VALUE"""),23.31)</f>
        <v>23.31</v>
      </c>
      <c r="F763" s="2">
        <f>IFERROR(__xludf.DUMMYFUNCTION("""COMPUTED_VALUE"""),1024200.0)</f>
        <v>1024200</v>
      </c>
    </row>
    <row r="764">
      <c r="A764" s="3">
        <f>IFERROR(__xludf.DUMMYFUNCTION("""COMPUTED_VALUE"""),30323.666666666668)</f>
        <v>30323.66667</v>
      </c>
      <c r="B764" s="2">
        <f>IFERROR(__xludf.DUMMYFUNCTION("""COMPUTED_VALUE"""),23.07)</f>
        <v>23.07</v>
      </c>
      <c r="C764" s="2">
        <f>IFERROR(__xludf.DUMMYFUNCTION("""COMPUTED_VALUE"""),23.49)</f>
        <v>23.49</v>
      </c>
      <c r="D764" s="2">
        <f>IFERROR(__xludf.DUMMYFUNCTION("""COMPUTED_VALUE"""),23.04)</f>
        <v>23.04</v>
      </c>
      <c r="E764" s="2">
        <f>IFERROR(__xludf.DUMMYFUNCTION("""COMPUTED_VALUE"""),23.07)</f>
        <v>23.07</v>
      </c>
      <c r="F764" s="2">
        <f>IFERROR(__xludf.DUMMYFUNCTION("""COMPUTED_VALUE"""),1060600.0)</f>
        <v>1060600</v>
      </c>
    </row>
    <row r="765">
      <c r="A765" s="3">
        <f>IFERROR(__xludf.DUMMYFUNCTION("""COMPUTED_VALUE"""),30326.666666666668)</f>
        <v>30326.66667</v>
      </c>
      <c r="B765" s="2">
        <f>IFERROR(__xludf.DUMMYFUNCTION("""COMPUTED_VALUE"""),23.4)</f>
        <v>23.4</v>
      </c>
      <c r="C765" s="2">
        <f>IFERROR(__xludf.DUMMYFUNCTION("""COMPUTED_VALUE"""),23.7)</f>
        <v>23.7</v>
      </c>
      <c r="D765" s="2">
        <f>IFERROR(__xludf.DUMMYFUNCTION("""COMPUTED_VALUE"""),22.92)</f>
        <v>22.92</v>
      </c>
      <c r="E765" s="2">
        <f>IFERROR(__xludf.DUMMYFUNCTION("""COMPUTED_VALUE"""),23.4)</f>
        <v>23.4</v>
      </c>
      <c r="F765" s="2">
        <f>IFERROR(__xludf.DUMMYFUNCTION("""COMPUTED_VALUE"""),1114200.0)</f>
        <v>1114200</v>
      </c>
    </row>
    <row r="766">
      <c r="A766" s="3">
        <f>IFERROR(__xludf.DUMMYFUNCTION("""COMPUTED_VALUE"""),30327.666666666668)</f>
        <v>30327.66667</v>
      </c>
      <c r="B766" s="2">
        <f>IFERROR(__xludf.DUMMYFUNCTION("""COMPUTED_VALUE"""),23.4)</f>
        <v>23.4</v>
      </c>
      <c r="C766" s="2">
        <f>IFERROR(__xludf.DUMMYFUNCTION("""COMPUTED_VALUE"""),23.49)</f>
        <v>23.49</v>
      </c>
      <c r="D766" s="2">
        <f>IFERROR(__xludf.DUMMYFUNCTION("""COMPUTED_VALUE"""),23.16)</f>
        <v>23.16</v>
      </c>
      <c r="E766" s="2">
        <f>IFERROR(__xludf.DUMMYFUNCTION("""COMPUTED_VALUE"""),23.4)</f>
        <v>23.4</v>
      </c>
      <c r="F766" s="2">
        <f>IFERROR(__xludf.DUMMYFUNCTION("""COMPUTED_VALUE"""),850900.0)</f>
        <v>850900</v>
      </c>
    </row>
    <row r="767">
      <c r="A767" s="3">
        <f>IFERROR(__xludf.DUMMYFUNCTION("""COMPUTED_VALUE"""),30328.666666666668)</f>
        <v>30328.66667</v>
      </c>
      <c r="B767" s="2">
        <f>IFERROR(__xludf.DUMMYFUNCTION("""COMPUTED_VALUE"""),23.43)</f>
        <v>23.43</v>
      </c>
      <c r="C767" s="2">
        <f>IFERROR(__xludf.DUMMYFUNCTION("""COMPUTED_VALUE"""),23.91)</f>
        <v>23.91</v>
      </c>
      <c r="D767" s="2">
        <f>IFERROR(__xludf.DUMMYFUNCTION("""COMPUTED_VALUE"""),23.4)</f>
        <v>23.4</v>
      </c>
      <c r="E767" s="2">
        <f>IFERROR(__xludf.DUMMYFUNCTION("""COMPUTED_VALUE"""),23.43)</f>
        <v>23.43</v>
      </c>
      <c r="F767" s="2">
        <f>IFERROR(__xludf.DUMMYFUNCTION("""COMPUTED_VALUE"""),1525900.0)</f>
        <v>1525900</v>
      </c>
    </row>
    <row r="768">
      <c r="A768" s="3">
        <f>IFERROR(__xludf.DUMMYFUNCTION("""COMPUTED_VALUE"""),30329.666666666668)</f>
        <v>30329.66667</v>
      </c>
      <c r="B768" s="2">
        <f>IFERROR(__xludf.DUMMYFUNCTION("""COMPUTED_VALUE"""),23.55)</f>
        <v>23.55</v>
      </c>
      <c r="C768" s="2">
        <f>IFERROR(__xludf.DUMMYFUNCTION("""COMPUTED_VALUE"""),23.7)</f>
        <v>23.7</v>
      </c>
      <c r="D768" s="2">
        <f>IFERROR(__xludf.DUMMYFUNCTION("""COMPUTED_VALUE"""),23.43)</f>
        <v>23.43</v>
      </c>
      <c r="E768" s="2">
        <f>IFERROR(__xludf.DUMMYFUNCTION("""COMPUTED_VALUE"""),23.55)</f>
        <v>23.55</v>
      </c>
      <c r="F768" s="2">
        <f>IFERROR(__xludf.DUMMYFUNCTION("""COMPUTED_VALUE"""),735000.0)</f>
        <v>735000</v>
      </c>
    </row>
    <row r="769">
      <c r="A769" s="3">
        <f>IFERROR(__xludf.DUMMYFUNCTION("""COMPUTED_VALUE"""),30330.666666666668)</f>
        <v>30330.66667</v>
      </c>
      <c r="B769" s="2">
        <f>IFERROR(__xludf.DUMMYFUNCTION("""COMPUTED_VALUE"""),23.67)</f>
        <v>23.67</v>
      </c>
      <c r="C769" s="2">
        <f>IFERROR(__xludf.DUMMYFUNCTION("""COMPUTED_VALUE"""),23.85)</f>
        <v>23.85</v>
      </c>
      <c r="D769" s="2">
        <f>IFERROR(__xludf.DUMMYFUNCTION("""COMPUTED_VALUE"""),23.52)</f>
        <v>23.52</v>
      </c>
      <c r="E769" s="2">
        <f>IFERROR(__xludf.DUMMYFUNCTION("""COMPUTED_VALUE"""),23.67)</f>
        <v>23.67</v>
      </c>
      <c r="F769" s="2">
        <f>IFERROR(__xludf.DUMMYFUNCTION("""COMPUTED_VALUE"""),874000.0)</f>
        <v>874000</v>
      </c>
    </row>
    <row r="770">
      <c r="A770" s="3">
        <f>IFERROR(__xludf.DUMMYFUNCTION("""COMPUTED_VALUE"""),30333.666666666668)</f>
        <v>30333.66667</v>
      </c>
      <c r="B770" s="2">
        <f>IFERROR(__xludf.DUMMYFUNCTION("""COMPUTED_VALUE"""),23.7)</f>
        <v>23.7</v>
      </c>
      <c r="C770" s="2">
        <f>IFERROR(__xludf.DUMMYFUNCTION("""COMPUTED_VALUE"""),24.06)</f>
        <v>24.06</v>
      </c>
      <c r="D770" s="2">
        <f>IFERROR(__xludf.DUMMYFUNCTION("""COMPUTED_VALUE"""),23.7)</f>
        <v>23.7</v>
      </c>
      <c r="E770" s="2">
        <f>IFERROR(__xludf.DUMMYFUNCTION("""COMPUTED_VALUE"""),23.7)</f>
        <v>23.7</v>
      </c>
      <c r="F770" s="2">
        <f>IFERROR(__xludf.DUMMYFUNCTION("""COMPUTED_VALUE"""),1144700.0)</f>
        <v>1144700</v>
      </c>
    </row>
    <row r="771">
      <c r="A771" s="3">
        <f>IFERROR(__xludf.DUMMYFUNCTION("""COMPUTED_VALUE"""),30334.666666666668)</f>
        <v>30334.66667</v>
      </c>
      <c r="B771" s="2">
        <f>IFERROR(__xludf.DUMMYFUNCTION("""COMPUTED_VALUE"""),23.79)</f>
        <v>23.79</v>
      </c>
      <c r="C771" s="2">
        <f>IFERROR(__xludf.DUMMYFUNCTION("""COMPUTED_VALUE"""),23.97)</f>
        <v>23.97</v>
      </c>
      <c r="D771" s="2">
        <f>IFERROR(__xludf.DUMMYFUNCTION("""COMPUTED_VALUE"""),23.52)</f>
        <v>23.52</v>
      </c>
      <c r="E771" s="2">
        <f>IFERROR(__xludf.DUMMYFUNCTION("""COMPUTED_VALUE"""),23.79)</f>
        <v>23.79</v>
      </c>
      <c r="F771" s="2">
        <f>IFERROR(__xludf.DUMMYFUNCTION("""COMPUTED_VALUE"""),1015000.0)</f>
        <v>1015000</v>
      </c>
    </row>
    <row r="772">
      <c r="A772" s="3">
        <f>IFERROR(__xludf.DUMMYFUNCTION("""COMPUTED_VALUE"""),30335.666666666668)</f>
        <v>30335.66667</v>
      </c>
      <c r="B772" s="2">
        <f>IFERROR(__xludf.DUMMYFUNCTION("""COMPUTED_VALUE"""),23.52)</f>
        <v>23.52</v>
      </c>
      <c r="C772" s="2">
        <f>IFERROR(__xludf.DUMMYFUNCTION("""COMPUTED_VALUE"""),23.94)</f>
        <v>23.94</v>
      </c>
      <c r="D772" s="2">
        <f>IFERROR(__xludf.DUMMYFUNCTION("""COMPUTED_VALUE"""),23.16)</f>
        <v>23.16</v>
      </c>
      <c r="E772" s="2">
        <f>IFERROR(__xludf.DUMMYFUNCTION("""COMPUTED_VALUE"""),23.52)</f>
        <v>23.52</v>
      </c>
      <c r="F772" s="2">
        <f>IFERROR(__xludf.DUMMYFUNCTION("""COMPUTED_VALUE"""),968700.0)</f>
        <v>968700</v>
      </c>
    </row>
    <row r="773">
      <c r="A773" s="3">
        <f>IFERROR(__xludf.DUMMYFUNCTION("""COMPUTED_VALUE"""),30336.666666666668)</f>
        <v>30336.66667</v>
      </c>
      <c r="B773" s="2">
        <f>IFERROR(__xludf.DUMMYFUNCTION("""COMPUTED_VALUE"""),23.37)</f>
        <v>23.37</v>
      </c>
      <c r="C773" s="2">
        <f>IFERROR(__xludf.DUMMYFUNCTION("""COMPUTED_VALUE"""),23.58)</f>
        <v>23.58</v>
      </c>
      <c r="D773" s="2">
        <f>IFERROR(__xludf.DUMMYFUNCTION("""COMPUTED_VALUE"""),23.1)</f>
        <v>23.1</v>
      </c>
      <c r="E773" s="2">
        <f>IFERROR(__xludf.DUMMYFUNCTION("""COMPUTED_VALUE"""),23.37)</f>
        <v>23.37</v>
      </c>
      <c r="F773" s="2">
        <f>IFERROR(__xludf.DUMMYFUNCTION("""COMPUTED_VALUE"""),627800.0)</f>
        <v>627800</v>
      </c>
    </row>
    <row r="774">
      <c r="A774" s="3">
        <f>IFERROR(__xludf.DUMMYFUNCTION("""COMPUTED_VALUE"""),30337.666666666668)</f>
        <v>30337.66667</v>
      </c>
      <c r="B774" s="2">
        <f>IFERROR(__xludf.DUMMYFUNCTION("""COMPUTED_VALUE"""),22.6)</f>
        <v>22.6</v>
      </c>
      <c r="C774" s="2">
        <f>IFERROR(__xludf.DUMMYFUNCTION("""COMPUTED_VALUE"""),23.28)</f>
        <v>23.28</v>
      </c>
      <c r="D774" s="2">
        <f>IFERROR(__xludf.DUMMYFUNCTION("""COMPUTED_VALUE"""),22.45)</f>
        <v>22.45</v>
      </c>
      <c r="E774" s="2">
        <f>IFERROR(__xludf.DUMMYFUNCTION("""COMPUTED_VALUE"""),22.6)</f>
        <v>22.6</v>
      </c>
      <c r="F774" s="2">
        <f>IFERROR(__xludf.DUMMYFUNCTION("""COMPUTED_VALUE"""),1785100.0)</f>
        <v>1785100</v>
      </c>
    </row>
    <row r="775">
      <c r="A775" s="3">
        <f>IFERROR(__xludf.DUMMYFUNCTION("""COMPUTED_VALUE"""),30340.666666666668)</f>
        <v>30340.66667</v>
      </c>
      <c r="B775" s="2">
        <f>IFERROR(__xludf.DUMMYFUNCTION("""COMPUTED_VALUE"""),22.42)</f>
        <v>22.42</v>
      </c>
      <c r="C775" s="2">
        <f>IFERROR(__xludf.DUMMYFUNCTION("""COMPUTED_VALUE"""),22.48)</f>
        <v>22.48</v>
      </c>
      <c r="D775" s="2">
        <f>IFERROR(__xludf.DUMMYFUNCTION("""COMPUTED_VALUE"""),22.03)</f>
        <v>22.03</v>
      </c>
      <c r="E775" s="2">
        <f>IFERROR(__xludf.DUMMYFUNCTION("""COMPUTED_VALUE"""),22.42)</f>
        <v>22.42</v>
      </c>
      <c r="F775" s="2">
        <f>IFERROR(__xludf.DUMMYFUNCTION("""COMPUTED_VALUE"""),1477500.0)</f>
        <v>1477500</v>
      </c>
    </row>
    <row r="776">
      <c r="A776" s="3">
        <f>IFERROR(__xludf.DUMMYFUNCTION("""COMPUTED_VALUE"""),30341.666666666668)</f>
        <v>30341.66667</v>
      </c>
      <c r="B776" s="2">
        <f>IFERROR(__xludf.DUMMYFUNCTION("""COMPUTED_VALUE"""),22.92)</f>
        <v>22.92</v>
      </c>
      <c r="C776" s="2">
        <f>IFERROR(__xludf.DUMMYFUNCTION("""COMPUTED_VALUE"""),22.98)</f>
        <v>22.98</v>
      </c>
      <c r="D776" s="2">
        <f>IFERROR(__xludf.DUMMYFUNCTION("""COMPUTED_VALUE"""),22.54)</f>
        <v>22.54</v>
      </c>
      <c r="E776" s="2">
        <f>IFERROR(__xludf.DUMMYFUNCTION("""COMPUTED_VALUE"""),22.92)</f>
        <v>22.92</v>
      </c>
      <c r="F776" s="2">
        <f>IFERROR(__xludf.DUMMYFUNCTION("""COMPUTED_VALUE"""),1133600.0)</f>
        <v>1133600</v>
      </c>
    </row>
    <row r="777">
      <c r="A777" s="3">
        <f>IFERROR(__xludf.DUMMYFUNCTION("""COMPUTED_VALUE"""),30342.666666666668)</f>
        <v>30342.66667</v>
      </c>
      <c r="B777" s="2">
        <f>IFERROR(__xludf.DUMMYFUNCTION("""COMPUTED_VALUE"""),22.72)</f>
        <v>22.72</v>
      </c>
      <c r="C777" s="2">
        <f>IFERROR(__xludf.DUMMYFUNCTION("""COMPUTED_VALUE"""),22.95)</f>
        <v>22.95</v>
      </c>
      <c r="D777" s="2">
        <f>IFERROR(__xludf.DUMMYFUNCTION("""COMPUTED_VALUE"""),22.66)</f>
        <v>22.66</v>
      </c>
      <c r="E777" s="2">
        <f>IFERROR(__xludf.DUMMYFUNCTION("""COMPUTED_VALUE"""),22.72)</f>
        <v>22.72</v>
      </c>
      <c r="F777" s="2">
        <f>IFERROR(__xludf.DUMMYFUNCTION("""COMPUTED_VALUE"""),842500.0)</f>
        <v>842500</v>
      </c>
    </row>
    <row r="778">
      <c r="A778" s="3">
        <f>IFERROR(__xludf.DUMMYFUNCTION("""COMPUTED_VALUE"""),30343.666666666668)</f>
        <v>30343.66667</v>
      </c>
      <c r="B778" s="2">
        <f>IFERROR(__xludf.DUMMYFUNCTION("""COMPUTED_VALUE"""),23.31)</f>
        <v>23.31</v>
      </c>
      <c r="C778" s="2">
        <f>IFERROR(__xludf.DUMMYFUNCTION("""COMPUTED_VALUE"""),23.4)</f>
        <v>23.4</v>
      </c>
      <c r="D778" s="2">
        <f>IFERROR(__xludf.DUMMYFUNCTION("""COMPUTED_VALUE"""),22.86)</f>
        <v>22.86</v>
      </c>
      <c r="E778" s="2">
        <f>IFERROR(__xludf.DUMMYFUNCTION("""COMPUTED_VALUE"""),23.31)</f>
        <v>23.31</v>
      </c>
      <c r="F778" s="2">
        <f>IFERROR(__xludf.DUMMYFUNCTION("""COMPUTED_VALUE"""),792600.0)</f>
        <v>792600</v>
      </c>
    </row>
    <row r="779">
      <c r="A779" s="3">
        <f>IFERROR(__xludf.DUMMYFUNCTION("""COMPUTED_VALUE"""),30344.666666666668)</f>
        <v>30344.66667</v>
      </c>
      <c r="B779" s="2">
        <f>IFERROR(__xludf.DUMMYFUNCTION("""COMPUTED_VALUE"""),23.25)</f>
        <v>23.25</v>
      </c>
      <c r="C779" s="2">
        <f>IFERROR(__xludf.DUMMYFUNCTION("""COMPUTED_VALUE"""),23.52)</f>
        <v>23.52</v>
      </c>
      <c r="D779" s="2">
        <f>IFERROR(__xludf.DUMMYFUNCTION("""COMPUTED_VALUE"""),23.19)</f>
        <v>23.19</v>
      </c>
      <c r="E779" s="2">
        <f>IFERROR(__xludf.DUMMYFUNCTION("""COMPUTED_VALUE"""),23.25)</f>
        <v>23.25</v>
      </c>
      <c r="F779" s="2">
        <f>IFERROR(__xludf.DUMMYFUNCTION("""COMPUTED_VALUE"""),633800.0)</f>
        <v>633800</v>
      </c>
    </row>
    <row r="780">
      <c r="A780" s="3">
        <f>IFERROR(__xludf.DUMMYFUNCTION("""COMPUTED_VALUE"""),30347.666666666668)</f>
        <v>30347.66667</v>
      </c>
      <c r="B780" s="2">
        <f>IFERROR(__xludf.DUMMYFUNCTION("""COMPUTED_VALUE"""),23.61)</f>
        <v>23.61</v>
      </c>
      <c r="C780" s="2">
        <f>IFERROR(__xludf.DUMMYFUNCTION("""COMPUTED_VALUE"""),23.61)</f>
        <v>23.61</v>
      </c>
      <c r="D780" s="2">
        <f>IFERROR(__xludf.DUMMYFUNCTION("""COMPUTED_VALUE"""),23.1)</f>
        <v>23.1</v>
      </c>
      <c r="E780" s="2">
        <f>IFERROR(__xludf.DUMMYFUNCTION("""COMPUTED_VALUE"""),23.61)</f>
        <v>23.61</v>
      </c>
      <c r="F780" s="2">
        <f>IFERROR(__xludf.DUMMYFUNCTION("""COMPUTED_VALUE"""),574200.0)</f>
        <v>574200</v>
      </c>
    </row>
    <row r="781">
      <c r="A781" s="3">
        <f>IFERROR(__xludf.DUMMYFUNCTION("""COMPUTED_VALUE"""),30348.666666666668)</f>
        <v>30348.66667</v>
      </c>
      <c r="B781" s="2">
        <f>IFERROR(__xludf.DUMMYFUNCTION("""COMPUTED_VALUE"""),23.16)</f>
        <v>23.16</v>
      </c>
      <c r="C781" s="2">
        <f>IFERROR(__xludf.DUMMYFUNCTION("""COMPUTED_VALUE"""),23.7)</f>
        <v>23.7</v>
      </c>
      <c r="D781" s="2">
        <f>IFERROR(__xludf.DUMMYFUNCTION("""COMPUTED_VALUE"""),23.16)</f>
        <v>23.16</v>
      </c>
      <c r="E781" s="2">
        <f>IFERROR(__xludf.DUMMYFUNCTION("""COMPUTED_VALUE"""),23.16)</f>
        <v>23.16</v>
      </c>
      <c r="F781" s="2">
        <f>IFERROR(__xludf.DUMMYFUNCTION("""COMPUTED_VALUE"""),660200.0)</f>
        <v>660200</v>
      </c>
    </row>
    <row r="782">
      <c r="A782" s="3">
        <f>IFERROR(__xludf.DUMMYFUNCTION("""COMPUTED_VALUE"""),30349.666666666668)</f>
        <v>30349.66667</v>
      </c>
      <c r="B782" s="2">
        <f>IFERROR(__xludf.DUMMYFUNCTION("""COMPUTED_VALUE"""),22.92)</f>
        <v>22.92</v>
      </c>
      <c r="C782" s="2">
        <f>IFERROR(__xludf.DUMMYFUNCTION("""COMPUTED_VALUE"""),23.22)</f>
        <v>23.22</v>
      </c>
      <c r="D782" s="2">
        <f>IFERROR(__xludf.DUMMYFUNCTION("""COMPUTED_VALUE"""),22.74)</f>
        <v>22.74</v>
      </c>
      <c r="E782" s="2">
        <f>IFERROR(__xludf.DUMMYFUNCTION("""COMPUTED_VALUE"""),22.92)</f>
        <v>22.92</v>
      </c>
      <c r="F782" s="2">
        <f>IFERROR(__xludf.DUMMYFUNCTION("""COMPUTED_VALUE"""),1121900.0)</f>
        <v>1121900</v>
      </c>
    </row>
    <row r="783">
      <c r="A783" s="3">
        <f>IFERROR(__xludf.DUMMYFUNCTION("""COMPUTED_VALUE"""),30350.666666666668)</f>
        <v>30350.66667</v>
      </c>
      <c r="B783" s="2">
        <f>IFERROR(__xludf.DUMMYFUNCTION("""COMPUTED_VALUE"""),22.8)</f>
        <v>22.8</v>
      </c>
      <c r="C783" s="2">
        <f>IFERROR(__xludf.DUMMYFUNCTION("""COMPUTED_VALUE"""),22.92)</f>
        <v>22.92</v>
      </c>
      <c r="D783" s="2">
        <f>IFERROR(__xludf.DUMMYFUNCTION("""COMPUTED_VALUE"""),22.72)</f>
        <v>22.72</v>
      </c>
      <c r="E783" s="2">
        <f>IFERROR(__xludf.DUMMYFUNCTION("""COMPUTED_VALUE"""),22.8)</f>
        <v>22.8</v>
      </c>
      <c r="F783" s="2">
        <f>IFERROR(__xludf.DUMMYFUNCTION("""COMPUTED_VALUE"""),816400.0)</f>
        <v>816400</v>
      </c>
    </row>
    <row r="784">
      <c r="A784" s="3">
        <f>IFERROR(__xludf.DUMMYFUNCTION("""COMPUTED_VALUE"""),30351.666666666668)</f>
        <v>30351.66667</v>
      </c>
      <c r="B784" s="2">
        <f>IFERROR(__xludf.DUMMYFUNCTION("""COMPUTED_VALUE"""),23.25)</f>
        <v>23.25</v>
      </c>
      <c r="C784" s="2">
        <f>IFERROR(__xludf.DUMMYFUNCTION("""COMPUTED_VALUE"""),23.28)</f>
        <v>23.28</v>
      </c>
      <c r="D784" s="2">
        <f>IFERROR(__xludf.DUMMYFUNCTION("""COMPUTED_VALUE"""),22.77)</f>
        <v>22.77</v>
      </c>
      <c r="E784" s="2">
        <f>IFERROR(__xludf.DUMMYFUNCTION("""COMPUTED_VALUE"""),23.25)</f>
        <v>23.25</v>
      </c>
      <c r="F784" s="2">
        <f>IFERROR(__xludf.DUMMYFUNCTION("""COMPUTED_VALUE"""),835000.0)</f>
        <v>835000</v>
      </c>
    </row>
    <row r="785">
      <c r="A785" s="3">
        <f>IFERROR(__xludf.DUMMYFUNCTION("""COMPUTED_VALUE"""),30354.666666666668)</f>
        <v>30354.66667</v>
      </c>
      <c r="B785" s="2">
        <f>IFERROR(__xludf.DUMMYFUNCTION("""COMPUTED_VALUE"""),23.19)</f>
        <v>23.19</v>
      </c>
      <c r="C785" s="2">
        <f>IFERROR(__xludf.DUMMYFUNCTION("""COMPUTED_VALUE"""),23.49)</f>
        <v>23.49</v>
      </c>
      <c r="D785" s="2">
        <f>IFERROR(__xludf.DUMMYFUNCTION("""COMPUTED_VALUE"""),23.07)</f>
        <v>23.07</v>
      </c>
      <c r="E785" s="2">
        <f>IFERROR(__xludf.DUMMYFUNCTION("""COMPUTED_VALUE"""),23.19)</f>
        <v>23.19</v>
      </c>
      <c r="F785" s="2">
        <f>IFERROR(__xludf.DUMMYFUNCTION("""COMPUTED_VALUE"""),563400.0)</f>
        <v>563400</v>
      </c>
    </row>
    <row r="786">
      <c r="A786" s="3">
        <f>IFERROR(__xludf.DUMMYFUNCTION("""COMPUTED_VALUE"""),30355.666666666668)</f>
        <v>30355.66667</v>
      </c>
      <c r="B786" s="2">
        <f>IFERROR(__xludf.DUMMYFUNCTION("""COMPUTED_VALUE"""),22.72)</f>
        <v>22.72</v>
      </c>
      <c r="C786" s="2">
        <f>IFERROR(__xludf.DUMMYFUNCTION("""COMPUTED_VALUE"""),23.25)</f>
        <v>23.25</v>
      </c>
      <c r="D786" s="2">
        <f>IFERROR(__xludf.DUMMYFUNCTION("""COMPUTED_VALUE"""),22.69)</f>
        <v>22.69</v>
      </c>
      <c r="E786" s="2">
        <f>IFERROR(__xludf.DUMMYFUNCTION("""COMPUTED_VALUE"""),22.72)</f>
        <v>22.72</v>
      </c>
      <c r="F786" s="2">
        <f>IFERROR(__xludf.DUMMYFUNCTION("""COMPUTED_VALUE"""),643500.0)</f>
        <v>643500</v>
      </c>
    </row>
    <row r="787">
      <c r="A787" s="3">
        <f>IFERROR(__xludf.DUMMYFUNCTION("""COMPUTED_VALUE"""),30356.666666666668)</f>
        <v>30356.66667</v>
      </c>
      <c r="B787" s="2">
        <f>IFERROR(__xludf.DUMMYFUNCTION("""COMPUTED_VALUE"""),22.57)</f>
        <v>22.57</v>
      </c>
      <c r="C787" s="2">
        <f>IFERROR(__xludf.DUMMYFUNCTION("""COMPUTED_VALUE"""),22.8)</f>
        <v>22.8</v>
      </c>
      <c r="D787" s="2">
        <f>IFERROR(__xludf.DUMMYFUNCTION("""COMPUTED_VALUE"""),22.42)</f>
        <v>22.42</v>
      </c>
      <c r="E787" s="2">
        <f>IFERROR(__xludf.DUMMYFUNCTION("""COMPUTED_VALUE"""),22.57)</f>
        <v>22.57</v>
      </c>
      <c r="F787" s="2">
        <f>IFERROR(__xludf.DUMMYFUNCTION("""COMPUTED_VALUE"""),912700.0)</f>
        <v>912700</v>
      </c>
    </row>
    <row r="788">
      <c r="A788" s="3">
        <f>IFERROR(__xludf.DUMMYFUNCTION("""COMPUTED_VALUE"""),30357.666666666668)</f>
        <v>30357.66667</v>
      </c>
      <c r="B788" s="2">
        <f>IFERROR(__xludf.DUMMYFUNCTION("""COMPUTED_VALUE"""),23.01)</f>
        <v>23.01</v>
      </c>
      <c r="C788" s="2">
        <f>IFERROR(__xludf.DUMMYFUNCTION("""COMPUTED_VALUE"""),23.13)</f>
        <v>23.13</v>
      </c>
      <c r="D788" s="2">
        <f>IFERROR(__xludf.DUMMYFUNCTION("""COMPUTED_VALUE"""),22.72)</f>
        <v>22.72</v>
      </c>
      <c r="E788" s="2">
        <f>IFERROR(__xludf.DUMMYFUNCTION("""COMPUTED_VALUE"""),23.01)</f>
        <v>23.01</v>
      </c>
      <c r="F788" s="2">
        <f>IFERROR(__xludf.DUMMYFUNCTION("""COMPUTED_VALUE"""),771200.0)</f>
        <v>771200</v>
      </c>
    </row>
    <row r="789">
      <c r="A789" s="3">
        <f>IFERROR(__xludf.DUMMYFUNCTION("""COMPUTED_VALUE"""),30358.666666666668)</f>
        <v>30358.66667</v>
      </c>
      <c r="B789" s="2">
        <f>IFERROR(__xludf.DUMMYFUNCTION("""COMPUTED_VALUE"""),23.01)</f>
        <v>23.01</v>
      </c>
      <c r="C789" s="2">
        <f>IFERROR(__xludf.DUMMYFUNCTION("""COMPUTED_VALUE"""),23.34)</f>
        <v>23.34</v>
      </c>
      <c r="D789" s="2">
        <f>IFERROR(__xludf.DUMMYFUNCTION("""COMPUTED_VALUE"""),22.92)</f>
        <v>22.92</v>
      </c>
      <c r="E789" s="2">
        <f>IFERROR(__xludf.DUMMYFUNCTION("""COMPUTED_VALUE"""),23.01)</f>
        <v>23.01</v>
      </c>
      <c r="F789" s="2">
        <f>IFERROR(__xludf.DUMMYFUNCTION("""COMPUTED_VALUE"""),791000.0)</f>
        <v>791000</v>
      </c>
    </row>
    <row r="790">
      <c r="A790" s="3">
        <f>IFERROR(__xludf.DUMMYFUNCTION("""COMPUTED_VALUE"""),30361.666666666668)</f>
        <v>30361.66667</v>
      </c>
      <c r="B790" s="2">
        <f>IFERROR(__xludf.DUMMYFUNCTION("""COMPUTED_VALUE"""),23.64)</f>
        <v>23.64</v>
      </c>
      <c r="C790" s="2">
        <f>IFERROR(__xludf.DUMMYFUNCTION("""COMPUTED_VALUE"""),23.76)</f>
        <v>23.76</v>
      </c>
      <c r="D790" s="2">
        <f>IFERROR(__xludf.DUMMYFUNCTION("""COMPUTED_VALUE"""),23.16)</f>
        <v>23.16</v>
      </c>
      <c r="E790" s="2">
        <f>IFERROR(__xludf.DUMMYFUNCTION("""COMPUTED_VALUE"""),23.64)</f>
        <v>23.64</v>
      </c>
      <c r="F790" s="2">
        <f>IFERROR(__xludf.DUMMYFUNCTION("""COMPUTED_VALUE"""),1145100.0)</f>
        <v>1145100</v>
      </c>
    </row>
    <row r="791">
      <c r="A791" s="3">
        <f>IFERROR(__xludf.DUMMYFUNCTION("""COMPUTED_VALUE"""),30362.666666666668)</f>
        <v>30362.66667</v>
      </c>
      <c r="B791" s="2">
        <f>IFERROR(__xludf.DUMMYFUNCTION("""COMPUTED_VALUE"""),23.61)</f>
        <v>23.61</v>
      </c>
      <c r="C791" s="2">
        <f>IFERROR(__xludf.DUMMYFUNCTION("""COMPUTED_VALUE"""),24.0)</f>
        <v>24</v>
      </c>
      <c r="D791" s="2">
        <f>IFERROR(__xludf.DUMMYFUNCTION("""COMPUTED_VALUE"""),23.58)</f>
        <v>23.58</v>
      </c>
      <c r="E791" s="2">
        <f>IFERROR(__xludf.DUMMYFUNCTION("""COMPUTED_VALUE"""),23.61)</f>
        <v>23.61</v>
      </c>
      <c r="F791" s="2">
        <f>IFERROR(__xludf.DUMMYFUNCTION("""COMPUTED_VALUE"""),1352800.0)</f>
        <v>1352800</v>
      </c>
    </row>
    <row r="792">
      <c r="A792" s="3">
        <f>IFERROR(__xludf.DUMMYFUNCTION("""COMPUTED_VALUE"""),30363.666666666668)</f>
        <v>30363.66667</v>
      </c>
      <c r="B792" s="2">
        <f>IFERROR(__xludf.DUMMYFUNCTION("""COMPUTED_VALUE"""),23.49)</f>
        <v>23.49</v>
      </c>
      <c r="C792" s="2">
        <f>IFERROR(__xludf.DUMMYFUNCTION("""COMPUTED_VALUE"""),23.94)</f>
        <v>23.94</v>
      </c>
      <c r="D792" s="2">
        <f>IFERROR(__xludf.DUMMYFUNCTION("""COMPUTED_VALUE"""),23.46)</f>
        <v>23.46</v>
      </c>
      <c r="E792" s="2">
        <f>IFERROR(__xludf.DUMMYFUNCTION("""COMPUTED_VALUE"""),23.49)</f>
        <v>23.49</v>
      </c>
      <c r="F792" s="2">
        <f>IFERROR(__xludf.DUMMYFUNCTION("""COMPUTED_VALUE"""),939600.0)</f>
        <v>939600</v>
      </c>
    </row>
    <row r="793">
      <c r="A793" s="3">
        <f>IFERROR(__xludf.DUMMYFUNCTION("""COMPUTED_VALUE"""),30364.666666666668)</f>
        <v>30364.66667</v>
      </c>
      <c r="B793" s="2">
        <f>IFERROR(__xludf.DUMMYFUNCTION("""COMPUTED_VALUE"""),23.49)</f>
        <v>23.49</v>
      </c>
      <c r="C793" s="2">
        <f>IFERROR(__xludf.DUMMYFUNCTION("""COMPUTED_VALUE"""),23.64)</f>
        <v>23.64</v>
      </c>
      <c r="D793" s="2">
        <f>IFERROR(__xludf.DUMMYFUNCTION("""COMPUTED_VALUE"""),23.16)</f>
        <v>23.16</v>
      </c>
      <c r="E793" s="2">
        <f>IFERROR(__xludf.DUMMYFUNCTION("""COMPUTED_VALUE"""),23.49)</f>
        <v>23.49</v>
      </c>
      <c r="F793" s="2">
        <f>IFERROR(__xludf.DUMMYFUNCTION("""COMPUTED_VALUE"""),1116900.0)</f>
        <v>1116900</v>
      </c>
    </row>
    <row r="794">
      <c r="A794" s="3">
        <f>IFERROR(__xludf.DUMMYFUNCTION("""COMPUTED_VALUE"""),30365.666666666668)</f>
        <v>30365.66667</v>
      </c>
      <c r="B794" s="2">
        <f>IFERROR(__xludf.DUMMYFUNCTION("""COMPUTED_VALUE"""),23.55)</f>
        <v>23.55</v>
      </c>
      <c r="C794" s="2">
        <f>IFERROR(__xludf.DUMMYFUNCTION("""COMPUTED_VALUE"""),23.76)</f>
        <v>23.76</v>
      </c>
      <c r="D794" s="2">
        <f>IFERROR(__xludf.DUMMYFUNCTION("""COMPUTED_VALUE"""),23.46)</f>
        <v>23.46</v>
      </c>
      <c r="E794" s="2">
        <f>IFERROR(__xludf.DUMMYFUNCTION("""COMPUTED_VALUE"""),23.55)</f>
        <v>23.55</v>
      </c>
      <c r="F794" s="2">
        <f>IFERROR(__xludf.DUMMYFUNCTION("""COMPUTED_VALUE"""),671500.0)</f>
        <v>671500</v>
      </c>
    </row>
    <row r="795">
      <c r="A795" s="3">
        <f>IFERROR(__xludf.DUMMYFUNCTION("""COMPUTED_VALUE"""),30369.666666666668)</f>
        <v>30369.66667</v>
      </c>
      <c r="B795" s="2">
        <f>IFERROR(__xludf.DUMMYFUNCTION("""COMPUTED_VALUE"""),23.19)</f>
        <v>23.19</v>
      </c>
      <c r="C795" s="2">
        <f>IFERROR(__xludf.DUMMYFUNCTION("""COMPUTED_VALUE"""),23.76)</f>
        <v>23.76</v>
      </c>
      <c r="D795" s="2">
        <f>IFERROR(__xludf.DUMMYFUNCTION("""COMPUTED_VALUE"""),23.16)</f>
        <v>23.16</v>
      </c>
      <c r="E795" s="2">
        <f>IFERROR(__xludf.DUMMYFUNCTION("""COMPUTED_VALUE"""),23.19)</f>
        <v>23.19</v>
      </c>
      <c r="F795" s="2">
        <f>IFERROR(__xludf.DUMMYFUNCTION("""COMPUTED_VALUE"""),746400.0)</f>
        <v>746400</v>
      </c>
    </row>
    <row r="796">
      <c r="A796" s="3">
        <f>IFERROR(__xludf.DUMMYFUNCTION("""COMPUTED_VALUE"""),30370.666666666668)</f>
        <v>30370.66667</v>
      </c>
      <c r="B796" s="2">
        <f>IFERROR(__xludf.DUMMYFUNCTION("""COMPUTED_VALUE"""),23.58)</f>
        <v>23.58</v>
      </c>
      <c r="C796" s="2">
        <f>IFERROR(__xludf.DUMMYFUNCTION("""COMPUTED_VALUE"""),23.58)</f>
        <v>23.58</v>
      </c>
      <c r="D796" s="2">
        <f>IFERROR(__xludf.DUMMYFUNCTION("""COMPUTED_VALUE"""),23.19)</f>
        <v>23.19</v>
      </c>
      <c r="E796" s="2">
        <f>IFERROR(__xludf.DUMMYFUNCTION("""COMPUTED_VALUE"""),23.58)</f>
        <v>23.58</v>
      </c>
      <c r="F796" s="2">
        <f>IFERROR(__xludf.DUMMYFUNCTION("""COMPUTED_VALUE"""),639600.0)</f>
        <v>639600</v>
      </c>
    </row>
    <row r="797">
      <c r="A797" s="3">
        <f>IFERROR(__xludf.DUMMYFUNCTION("""COMPUTED_VALUE"""),30371.666666666668)</f>
        <v>30371.66667</v>
      </c>
      <c r="B797" s="2">
        <f>IFERROR(__xludf.DUMMYFUNCTION("""COMPUTED_VALUE"""),24.09)</f>
        <v>24.09</v>
      </c>
      <c r="C797" s="2">
        <f>IFERROR(__xludf.DUMMYFUNCTION("""COMPUTED_VALUE"""),24.24)</f>
        <v>24.24</v>
      </c>
      <c r="D797" s="2">
        <f>IFERROR(__xludf.DUMMYFUNCTION("""COMPUTED_VALUE"""),23.7)</f>
        <v>23.7</v>
      </c>
      <c r="E797" s="2">
        <f>IFERROR(__xludf.DUMMYFUNCTION("""COMPUTED_VALUE"""),24.09)</f>
        <v>24.09</v>
      </c>
      <c r="F797" s="2">
        <f>IFERROR(__xludf.DUMMYFUNCTION("""COMPUTED_VALUE"""),1365600.0)</f>
        <v>1365600</v>
      </c>
    </row>
    <row r="798">
      <c r="A798" s="3">
        <f>IFERROR(__xludf.DUMMYFUNCTION("""COMPUTED_VALUE"""),30372.666666666668)</f>
        <v>30372.66667</v>
      </c>
      <c r="B798" s="2">
        <f>IFERROR(__xludf.DUMMYFUNCTION("""COMPUTED_VALUE"""),23.97)</f>
        <v>23.97</v>
      </c>
      <c r="C798" s="2">
        <f>IFERROR(__xludf.DUMMYFUNCTION("""COMPUTED_VALUE"""),24.18)</f>
        <v>24.18</v>
      </c>
      <c r="D798" s="2">
        <f>IFERROR(__xludf.DUMMYFUNCTION("""COMPUTED_VALUE"""),23.88)</f>
        <v>23.88</v>
      </c>
      <c r="E798" s="2">
        <f>IFERROR(__xludf.DUMMYFUNCTION("""COMPUTED_VALUE"""),23.97)</f>
        <v>23.97</v>
      </c>
      <c r="F798" s="2">
        <f>IFERROR(__xludf.DUMMYFUNCTION("""COMPUTED_VALUE"""),1052100.0)</f>
        <v>1052100</v>
      </c>
    </row>
    <row r="799">
      <c r="A799" s="3">
        <f>IFERROR(__xludf.DUMMYFUNCTION("""COMPUTED_VALUE"""),30375.666666666668)</f>
        <v>30375.66667</v>
      </c>
      <c r="B799" s="2">
        <f>IFERROR(__xludf.DUMMYFUNCTION("""COMPUTED_VALUE"""),23.64)</f>
        <v>23.64</v>
      </c>
      <c r="C799" s="2">
        <f>IFERROR(__xludf.DUMMYFUNCTION("""COMPUTED_VALUE"""),24.0)</f>
        <v>24</v>
      </c>
      <c r="D799" s="2">
        <f>IFERROR(__xludf.DUMMYFUNCTION("""COMPUTED_VALUE"""),23.64)</f>
        <v>23.64</v>
      </c>
      <c r="E799" s="2">
        <f>IFERROR(__xludf.DUMMYFUNCTION("""COMPUTED_VALUE"""),23.64)</f>
        <v>23.64</v>
      </c>
      <c r="F799" s="2">
        <f>IFERROR(__xludf.DUMMYFUNCTION("""COMPUTED_VALUE"""),910600.0)</f>
        <v>910600</v>
      </c>
    </row>
    <row r="800">
      <c r="A800" s="3">
        <f>IFERROR(__xludf.DUMMYFUNCTION("""COMPUTED_VALUE"""),30376.666666666668)</f>
        <v>30376.66667</v>
      </c>
      <c r="B800" s="2">
        <f>IFERROR(__xludf.DUMMYFUNCTION("""COMPUTED_VALUE"""),24.3)</f>
        <v>24.3</v>
      </c>
      <c r="C800" s="2">
        <f>IFERROR(__xludf.DUMMYFUNCTION("""COMPUTED_VALUE"""),24.33)</f>
        <v>24.33</v>
      </c>
      <c r="D800" s="2">
        <f>IFERROR(__xludf.DUMMYFUNCTION("""COMPUTED_VALUE"""),23.79)</f>
        <v>23.79</v>
      </c>
      <c r="E800" s="2">
        <f>IFERROR(__xludf.DUMMYFUNCTION("""COMPUTED_VALUE"""),24.3)</f>
        <v>24.3</v>
      </c>
      <c r="F800" s="2">
        <f>IFERROR(__xludf.DUMMYFUNCTION("""COMPUTED_VALUE"""),1106500.0)</f>
        <v>1106500</v>
      </c>
    </row>
    <row r="801">
      <c r="A801" s="3">
        <f>IFERROR(__xludf.DUMMYFUNCTION("""COMPUTED_VALUE"""),30377.666666666668)</f>
        <v>30377.66667</v>
      </c>
      <c r="B801" s="2">
        <f>IFERROR(__xludf.DUMMYFUNCTION("""COMPUTED_VALUE"""),24.39)</f>
        <v>24.39</v>
      </c>
      <c r="C801" s="2">
        <f>IFERROR(__xludf.DUMMYFUNCTION("""COMPUTED_VALUE"""),24.6)</f>
        <v>24.6</v>
      </c>
      <c r="D801" s="2">
        <f>IFERROR(__xludf.DUMMYFUNCTION("""COMPUTED_VALUE"""),24.18)</f>
        <v>24.18</v>
      </c>
      <c r="E801" s="2">
        <f>IFERROR(__xludf.DUMMYFUNCTION("""COMPUTED_VALUE"""),24.39)</f>
        <v>24.39</v>
      </c>
      <c r="F801" s="2">
        <f>IFERROR(__xludf.DUMMYFUNCTION("""COMPUTED_VALUE"""),1328200.0)</f>
        <v>1328200</v>
      </c>
    </row>
    <row r="802">
      <c r="A802" s="3">
        <f>IFERROR(__xludf.DUMMYFUNCTION("""COMPUTED_VALUE"""),30378.666666666668)</f>
        <v>30378.66667</v>
      </c>
      <c r="B802" s="2">
        <f>IFERROR(__xludf.DUMMYFUNCTION("""COMPUTED_VALUE"""),24.33)</f>
        <v>24.33</v>
      </c>
      <c r="C802" s="2">
        <f>IFERROR(__xludf.DUMMYFUNCTION("""COMPUTED_VALUE"""),24.6)</f>
        <v>24.6</v>
      </c>
      <c r="D802" s="2">
        <f>IFERROR(__xludf.DUMMYFUNCTION("""COMPUTED_VALUE"""),24.18)</f>
        <v>24.18</v>
      </c>
      <c r="E802" s="2">
        <f>IFERROR(__xludf.DUMMYFUNCTION("""COMPUTED_VALUE"""),24.33)</f>
        <v>24.33</v>
      </c>
      <c r="F802" s="2">
        <f>IFERROR(__xludf.DUMMYFUNCTION("""COMPUTED_VALUE"""),843400.0)</f>
        <v>843400</v>
      </c>
    </row>
    <row r="803">
      <c r="A803" s="3">
        <f>IFERROR(__xludf.DUMMYFUNCTION("""COMPUTED_VALUE"""),30379.666666666668)</f>
        <v>30379.66667</v>
      </c>
      <c r="B803" s="2">
        <f>IFERROR(__xludf.DUMMYFUNCTION("""COMPUTED_VALUE"""),24.42)</f>
        <v>24.42</v>
      </c>
      <c r="C803" s="2">
        <f>IFERROR(__xludf.DUMMYFUNCTION("""COMPUTED_VALUE"""),24.42)</f>
        <v>24.42</v>
      </c>
      <c r="D803" s="2">
        <f>IFERROR(__xludf.DUMMYFUNCTION("""COMPUTED_VALUE"""),24.15)</f>
        <v>24.15</v>
      </c>
      <c r="E803" s="2">
        <f>IFERROR(__xludf.DUMMYFUNCTION("""COMPUTED_VALUE"""),24.42)</f>
        <v>24.42</v>
      </c>
      <c r="F803" s="2">
        <f>IFERROR(__xludf.DUMMYFUNCTION("""COMPUTED_VALUE"""),685700.0)</f>
        <v>685700</v>
      </c>
    </row>
    <row r="804">
      <c r="A804" s="3">
        <f>IFERROR(__xludf.DUMMYFUNCTION("""COMPUTED_VALUE"""),30382.666666666668)</f>
        <v>30382.66667</v>
      </c>
      <c r="B804" s="2">
        <f>IFERROR(__xludf.DUMMYFUNCTION("""COMPUTED_VALUE"""),24.6)</f>
        <v>24.6</v>
      </c>
      <c r="C804" s="2">
        <f>IFERROR(__xludf.DUMMYFUNCTION("""COMPUTED_VALUE"""),24.69)</f>
        <v>24.69</v>
      </c>
      <c r="D804" s="2">
        <f>IFERROR(__xludf.DUMMYFUNCTION("""COMPUTED_VALUE"""),24.3)</f>
        <v>24.3</v>
      </c>
      <c r="E804" s="2">
        <f>IFERROR(__xludf.DUMMYFUNCTION("""COMPUTED_VALUE"""),24.6)</f>
        <v>24.6</v>
      </c>
      <c r="F804" s="2">
        <f>IFERROR(__xludf.DUMMYFUNCTION("""COMPUTED_VALUE"""),798800.0)</f>
        <v>798800</v>
      </c>
    </row>
    <row r="805">
      <c r="A805" s="3">
        <f>IFERROR(__xludf.DUMMYFUNCTION("""COMPUTED_VALUE"""),30383.666666666668)</f>
        <v>30383.66667</v>
      </c>
      <c r="B805" s="2">
        <f>IFERROR(__xludf.DUMMYFUNCTION("""COMPUTED_VALUE"""),24.09)</f>
        <v>24.09</v>
      </c>
      <c r="C805" s="2">
        <f>IFERROR(__xludf.DUMMYFUNCTION("""COMPUTED_VALUE"""),24.66)</f>
        <v>24.66</v>
      </c>
      <c r="D805" s="2">
        <f>IFERROR(__xludf.DUMMYFUNCTION("""COMPUTED_VALUE"""),23.88)</f>
        <v>23.88</v>
      </c>
      <c r="E805" s="2">
        <f>IFERROR(__xludf.DUMMYFUNCTION("""COMPUTED_VALUE"""),24.09)</f>
        <v>24.09</v>
      </c>
      <c r="F805" s="2">
        <f>IFERROR(__xludf.DUMMYFUNCTION("""COMPUTED_VALUE"""),791700.0)</f>
        <v>791700</v>
      </c>
    </row>
    <row r="806">
      <c r="A806" s="3">
        <f>IFERROR(__xludf.DUMMYFUNCTION("""COMPUTED_VALUE"""),30384.666666666668)</f>
        <v>30384.66667</v>
      </c>
      <c r="B806" s="2">
        <f>IFERROR(__xludf.DUMMYFUNCTION("""COMPUTED_VALUE"""),24.42)</f>
        <v>24.42</v>
      </c>
      <c r="C806" s="2">
        <f>IFERROR(__xludf.DUMMYFUNCTION("""COMPUTED_VALUE"""),24.45)</f>
        <v>24.45</v>
      </c>
      <c r="D806" s="2">
        <f>IFERROR(__xludf.DUMMYFUNCTION("""COMPUTED_VALUE"""),24.03)</f>
        <v>24.03</v>
      </c>
      <c r="E806" s="2">
        <f>IFERROR(__xludf.DUMMYFUNCTION("""COMPUTED_VALUE"""),24.42)</f>
        <v>24.42</v>
      </c>
      <c r="F806" s="2">
        <f>IFERROR(__xludf.DUMMYFUNCTION("""COMPUTED_VALUE"""),756800.0)</f>
        <v>756800</v>
      </c>
    </row>
    <row r="807">
      <c r="A807" s="3">
        <f>IFERROR(__xludf.DUMMYFUNCTION("""COMPUTED_VALUE"""),30385.666666666668)</f>
        <v>30385.66667</v>
      </c>
      <c r="B807" s="2">
        <f>IFERROR(__xludf.DUMMYFUNCTION("""COMPUTED_VALUE"""),23.94)</f>
        <v>23.94</v>
      </c>
      <c r="C807" s="2">
        <f>IFERROR(__xludf.DUMMYFUNCTION("""COMPUTED_VALUE"""),24.51)</f>
        <v>24.51</v>
      </c>
      <c r="D807" s="2">
        <f>IFERROR(__xludf.DUMMYFUNCTION("""COMPUTED_VALUE"""),23.91)</f>
        <v>23.91</v>
      </c>
      <c r="E807" s="2">
        <f>IFERROR(__xludf.DUMMYFUNCTION("""COMPUTED_VALUE"""),23.94)</f>
        <v>23.94</v>
      </c>
      <c r="F807" s="2">
        <f>IFERROR(__xludf.DUMMYFUNCTION("""COMPUTED_VALUE"""),670100.0)</f>
        <v>670100</v>
      </c>
    </row>
    <row r="808">
      <c r="A808" s="3">
        <f>IFERROR(__xludf.DUMMYFUNCTION("""COMPUTED_VALUE"""),30386.666666666668)</f>
        <v>30386.66667</v>
      </c>
      <c r="B808" s="2">
        <f>IFERROR(__xludf.DUMMYFUNCTION("""COMPUTED_VALUE"""),24.06)</f>
        <v>24.06</v>
      </c>
      <c r="C808" s="2">
        <f>IFERROR(__xludf.DUMMYFUNCTION("""COMPUTED_VALUE"""),24.12)</f>
        <v>24.12</v>
      </c>
      <c r="D808" s="2">
        <f>IFERROR(__xludf.DUMMYFUNCTION("""COMPUTED_VALUE"""),23.85)</f>
        <v>23.85</v>
      </c>
      <c r="E808" s="2">
        <f>IFERROR(__xludf.DUMMYFUNCTION("""COMPUTED_VALUE"""),24.06)</f>
        <v>24.06</v>
      </c>
      <c r="F808" s="2">
        <f>IFERROR(__xludf.DUMMYFUNCTION("""COMPUTED_VALUE"""),504500.0)</f>
        <v>504500</v>
      </c>
    </row>
    <row r="809">
      <c r="A809" s="3">
        <f>IFERROR(__xludf.DUMMYFUNCTION("""COMPUTED_VALUE"""),30389.666666666668)</f>
        <v>30389.66667</v>
      </c>
      <c r="B809" s="2">
        <f>IFERROR(__xludf.DUMMYFUNCTION("""COMPUTED_VALUE"""),24.0)</f>
        <v>24</v>
      </c>
      <c r="C809" s="2">
        <f>IFERROR(__xludf.DUMMYFUNCTION("""COMPUTED_VALUE"""),24.15)</f>
        <v>24.15</v>
      </c>
      <c r="D809" s="2">
        <f>IFERROR(__xludf.DUMMYFUNCTION("""COMPUTED_VALUE"""),23.82)</f>
        <v>23.82</v>
      </c>
      <c r="E809" s="2">
        <f>IFERROR(__xludf.DUMMYFUNCTION("""COMPUTED_VALUE"""),24.0)</f>
        <v>24</v>
      </c>
      <c r="F809" s="2">
        <f>IFERROR(__xludf.DUMMYFUNCTION("""COMPUTED_VALUE"""),660000.0)</f>
        <v>660000</v>
      </c>
    </row>
    <row r="810">
      <c r="A810" s="3">
        <f>IFERROR(__xludf.DUMMYFUNCTION("""COMPUTED_VALUE"""),30390.666666666668)</f>
        <v>30390.66667</v>
      </c>
      <c r="B810" s="2">
        <f>IFERROR(__xludf.DUMMYFUNCTION("""COMPUTED_VALUE"""),24.09)</f>
        <v>24.09</v>
      </c>
      <c r="C810" s="2">
        <f>IFERROR(__xludf.DUMMYFUNCTION("""COMPUTED_VALUE"""),24.12)</f>
        <v>24.12</v>
      </c>
      <c r="D810" s="2">
        <f>IFERROR(__xludf.DUMMYFUNCTION("""COMPUTED_VALUE"""),23.88)</f>
        <v>23.88</v>
      </c>
      <c r="E810" s="2">
        <f>IFERROR(__xludf.DUMMYFUNCTION("""COMPUTED_VALUE"""),24.09)</f>
        <v>24.09</v>
      </c>
      <c r="F810" s="2">
        <f>IFERROR(__xludf.DUMMYFUNCTION("""COMPUTED_VALUE"""),692800.0)</f>
        <v>692800</v>
      </c>
    </row>
    <row r="811">
      <c r="A811" s="3">
        <f>IFERROR(__xludf.DUMMYFUNCTION("""COMPUTED_VALUE"""),30391.666666666668)</f>
        <v>30391.66667</v>
      </c>
      <c r="B811" s="2">
        <f>IFERROR(__xludf.DUMMYFUNCTION("""COMPUTED_VALUE"""),23.61)</f>
        <v>23.61</v>
      </c>
      <c r="C811" s="2">
        <f>IFERROR(__xludf.DUMMYFUNCTION("""COMPUTED_VALUE"""),24.06)</f>
        <v>24.06</v>
      </c>
      <c r="D811" s="2">
        <f>IFERROR(__xludf.DUMMYFUNCTION("""COMPUTED_VALUE"""),23.58)</f>
        <v>23.58</v>
      </c>
      <c r="E811" s="2">
        <f>IFERROR(__xludf.DUMMYFUNCTION("""COMPUTED_VALUE"""),23.61)</f>
        <v>23.61</v>
      </c>
      <c r="F811" s="2">
        <f>IFERROR(__xludf.DUMMYFUNCTION("""COMPUTED_VALUE"""),707500.0)</f>
        <v>707500</v>
      </c>
    </row>
    <row r="812">
      <c r="A812" s="3">
        <f>IFERROR(__xludf.DUMMYFUNCTION("""COMPUTED_VALUE"""),30392.666666666668)</f>
        <v>30392.66667</v>
      </c>
      <c r="B812" s="2">
        <f>IFERROR(__xludf.DUMMYFUNCTION("""COMPUTED_VALUE"""),23.61)</f>
        <v>23.61</v>
      </c>
      <c r="C812" s="2">
        <f>IFERROR(__xludf.DUMMYFUNCTION("""COMPUTED_VALUE"""),23.7)</f>
        <v>23.7</v>
      </c>
      <c r="D812" s="2">
        <f>IFERROR(__xludf.DUMMYFUNCTION("""COMPUTED_VALUE"""),23.55)</f>
        <v>23.55</v>
      </c>
      <c r="E812" s="2">
        <f>IFERROR(__xludf.DUMMYFUNCTION("""COMPUTED_VALUE"""),23.61)</f>
        <v>23.61</v>
      </c>
      <c r="F812" s="2">
        <f>IFERROR(__xludf.DUMMYFUNCTION("""COMPUTED_VALUE"""),666900.0)</f>
        <v>666900</v>
      </c>
    </row>
    <row r="813">
      <c r="A813" s="3">
        <f>IFERROR(__xludf.DUMMYFUNCTION("""COMPUTED_VALUE"""),30393.666666666668)</f>
        <v>30393.66667</v>
      </c>
      <c r="B813" s="2">
        <f>IFERROR(__xludf.DUMMYFUNCTION("""COMPUTED_VALUE"""),23.85)</f>
        <v>23.85</v>
      </c>
      <c r="C813" s="2">
        <f>IFERROR(__xludf.DUMMYFUNCTION("""COMPUTED_VALUE"""),23.88)</f>
        <v>23.88</v>
      </c>
      <c r="D813" s="2">
        <f>IFERROR(__xludf.DUMMYFUNCTION("""COMPUTED_VALUE"""),23.67)</f>
        <v>23.67</v>
      </c>
      <c r="E813" s="2">
        <f>IFERROR(__xludf.DUMMYFUNCTION("""COMPUTED_VALUE"""),23.85)</f>
        <v>23.85</v>
      </c>
      <c r="F813" s="2">
        <f>IFERROR(__xludf.DUMMYFUNCTION("""COMPUTED_VALUE"""),646700.0)</f>
        <v>646700</v>
      </c>
    </row>
    <row r="814">
      <c r="A814" s="3">
        <f>IFERROR(__xludf.DUMMYFUNCTION("""COMPUTED_VALUE"""),30396.666666666668)</f>
        <v>30396.66667</v>
      </c>
      <c r="B814" s="2">
        <f>IFERROR(__xludf.DUMMYFUNCTION("""COMPUTED_VALUE"""),24.06)</f>
        <v>24.06</v>
      </c>
      <c r="C814" s="2">
        <f>IFERROR(__xludf.DUMMYFUNCTION("""COMPUTED_VALUE"""),24.15)</f>
        <v>24.15</v>
      </c>
      <c r="D814" s="2">
        <f>IFERROR(__xludf.DUMMYFUNCTION("""COMPUTED_VALUE"""),23.7)</f>
        <v>23.7</v>
      </c>
      <c r="E814" s="2">
        <f>IFERROR(__xludf.DUMMYFUNCTION("""COMPUTED_VALUE"""),24.06)</f>
        <v>24.06</v>
      </c>
      <c r="F814" s="2">
        <f>IFERROR(__xludf.DUMMYFUNCTION("""COMPUTED_VALUE"""),991100.0)</f>
        <v>991100</v>
      </c>
    </row>
    <row r="815">
      <c r="A815" s="3">
        <f>IFERROR(__xludf.DUMMYFUNCTION("""COMPUTED_VALUE"""),30397.666666666668)</f>
        <v>30397.66667</v>
      </c>
      <c r="B815" s="2">
        <f>IFERROR(__xludf.DUMMYFUNCTION("""COMPUTED_VALUE"""),23.91)</f>
        <v>23.91</v>
      </c>
      <c r="C815" s="2">
        <f>IFERROR(__xludf.DUMMYFUNCTION("""COMPUTED_VALUE"""),24.15)</f>
        <v>24.15</v>
      </c>
      <c r="D815" s="2">
        <f>IFERROR(__xludf.DUMMYFUNCTION("""COMPUTED_VALUE"""),23.88)</f>
        <v>23.88</v>
      </c>
      <c r="E815" s="2">
        <f>IFERROR(__xludf.DUMMYFUNCTION("""COMPUTED_VALUE"""),23.91)</f>
        <v>23.91</v>
      </c>
      <c r="F815" s="2">
        <f>IFERROR(__xludf.DUMMYFUNCTION("""COMPUTED_VALUE"""),601200.0)</f>
        <v>601200</v>
      </c>
    </row>
    <row r="816">
      <c r="A816" s="3">
        <f>IFERROR(__xludf.DUMMYFUNCTION("""COMPUTED_VALUE"""),30398.666666666668)</f>
        <v>30398.66667</v>
      </c>
      <c r="B816" s="2">
        <f>IFERROR(__xludf.DUMMYFUNCTION("""COMPUTED_VALUE"""),24.39)</f>
        <v>24.39</v>
      </c>
      <c r="C816" s="2">
        <f>IFERROR(__xludf.DUMMYFUNCTION("""COMPUTED_VALUE"""),24.57)</f>
        <v>24.57</v>
      </c>
      <c r="D816" s="2">
        <f>IFERROR(__xludf.DUMMYFUNCTION("""COMPUTED_VALUE"""),23.94)</f>
        <v>23.94</v>
      </c>
      <c r="E816" s="2">
        <f>IFERROR(__xludf.DUMMYFUNCTION("""COMPUTED_VALUE"""),24.39)</f>
        <v>24.39</v>
      </c>
      <c r="F816" s="2">
        <f>IFERROR(__xludf.DUMMYFUNCTION("""COMPUTED_VALUE"""),945000.0)</f>
        <v>945000</v>
      </c>
    </row>
    <row r="817">
      <c r="A817" s="3">
        <f>IFERROR(__xludf.DUMMYFUNCTION("""COMPUTED_VALUE"""),30399.666666666668)</f>
        <v>30399.66667</v>
      </c>
      <c r="B817" s="2">
        <f>IFERROR(__xludf.DUMMYFUNCTION("""COMPUTED_VALUE"""),24.42)</f>
        <v>24.42</v>
      </c>
      <c r="C817" s="2">
        <f>IFERROR(__xludf.DUMMYFUNCTION("""COMPUTED_VALUE"""),24.63)</f>
        <v>24.63</v>
      </c>
      <c r="D817" s="2">
        <f>IFERROR(__xludf.DUMMYFUNCTION("""COMPUTED_VALUE"""),24.21)</f>
        <v>24.21</v>
      </c>
      <c r="E817" s="2">
        <f>IFERROR(__xludf.DUMMYFUNCTION("""COMPUTED_VALUE"""),24.42)</f>
        <v>24.42</v>
      </c>
      <c r="F817" s="2">
        <f>IFERROR(__xludf.DUMMYFUNCTION("""COMPUTED_VALUE"""),933300.0)</f>
        <v>933300</v>
      </c>
    </row>
    <row r="818">
      <c r="A818" s="3">
        <f>IFERROR(__xludf.DUMMYFUNCTION("""COMPUTED_VALUE"""),30400.666666666668)</f>
        <v>30400.66667</v>
      </c>
      <c r="B818" s="2">
        <f>IFERROR(__xludf.DUMMYFUNCTION("""COMPUTED_VALUE"""),24.39)</f>
        <v>24.39</v>
      </c>
      <c r="C818" s="2">
        <f>IFERROR(__xludf.DUMMYFUNCTION("""COMPUTED_VALUE"""),24.66)</f>
        <v>24.66</v>
      </c>
      <c r="D818" s="2">
        <f>IFERROR(__xludf.DUMMYFUNCTION("""COMPUTED_VALUE"""),24.3)</f>
        <v>24.3</v>
      </c>
      <c r="E818" s="2">
        <f>IFERROR(__xludf.DUMMYFUNCTION("""COMPUTED_VALUE"""),24.39)</f>
        <v>24.39</v>
      </c>
      <c r="F818" s="2">
        <f>IFERROR(__xludf.DUMMYFUNCTION("""COMPUTED_VALUE"""),653200.0)</f>
        <v>653200</v>
      </c>
    </row>
    <row r="819">
      <c r="A819" s="3">
        <f>IFERROR(__xludf.DUMMYFUNCTION("""COMPUTED_VALUE"""),30403.666666666668)</f>
        <v>30403.66667</v>
      </c>
      <c r="B819" s="2">
        <f>IFERROR(__xludf.DUMMYFUNCTION("""COMPUTED_VALUE"""),24.45)</f>
        <v>24.45</v>
      </c>
      <c r="C819" s="2">
        <f>IFERROR(__xludf.DUMMYFUNCTION("""COMPUTED_VALUE"""),24.57)</f>
        <v>24.57</v>
      </c>
      <c r="D819" s="2">
        <f>IFERROR(__xludf.DUMMYFUNCTION("""COMPUTED_VALUE"""),24.3)</f>
        <v>24.3</v>
      </c>
      <c r="E819" s="2">
        <f>IFERROR(__xludf.DUMMYFUNCTION("""COMPUTED_VALUE"""),24.45)</f>
        <v>24.45</v>
      </c>
      <c r="F819" s="2">
        <f>IFERROR(__xludf.DUMMYFUNCTION("""COMPUTED_VALUE"""),498400.0)</f>
        <v>498400</v>
      </c>
    </row>
    <row r="820">
      <c r="A820" s="3">
        <f>IFERROR(__xludf.DUMMYFUNCTION("""COMPUTED_VALUE"""),30404.666666666668)</f>
        <v>30404.66667</v>
      </c>
      <c r="B820" s="2">
        <f>IFERROR(__xludf.DUMMYFUNCTION("""COMPUTED_VALUE"""),24.57)</f>
        <v>24.57</v>
      </c>
      <c r="C820" s="2">
        <f>IFERROR(__xludf.DUMMYFUNCTION("""COMPUTED_VALUE"""),24.83)</f>
        <v>24.83</v>
      </c>
      <c r="D820" s="2">
        <f>IFERROR(__xludf.DUMMYFUNCTION("""COMPUTED_VALUE"""),24.48)</f>
        <v>24.48</v>
      </c>
      <c r="E820" s="2">
        <f>IFERROR(__xludf.DUMMYFUNCTION("""COMPUTED_VALUE"""),24.57)</f>
        <v>24.57</v>
      </c>
      <c r="F820" s="2">
        <f>IFERROR(__xludf.DUMMYFUNCTION("""COMPUTED_VALUE"""),784800.0)</f>
        <v>784800</v>
      </c>
    </row>
    <row r="821">
      <c r="A821" s="3">
        <f>IFERROR(__xludf.DUMMYFUNCTION("""COMPUTED_VALUE"""),30405.666666666668)</f>
        <v>30405.66667</v>
      </c>
      <c r="B821" s="2">
        <f>IFERROR(__xludf.DUMMYFUNCTION("""COMPUTED_VALUE"""),24.89)</f>
        <v>24.89</v>
      </c>
      <c r="C821" s="2">
        <f>IFERROR(__xludf.DUMMYFUNCTION("""COMPUTED_VALUE"""),24.95)</f>
        <v>24.95</v>
      </c>
      <c r="D821" s="2">
        <f>IFERROR(__xludf.DUMMYFUNCTION("""COMPUTED_VALUE"""),24.66)</f>
        <v>24.66</v>
      </c>
      <c r="E821" s="2">
        <f>IFERROR(__xludf.DUMMYFUNCTION("""COMPUTED_VALUE"""),24.89)</f>
        <v>24.89</v>
      </c>
      <c r="F821" s="2">
        <f>IFERROR(__xludf.DUMMYFUNCTION("""COMPUTED_VALUE"""),827000.0)</f>
        <v>827000</v>
      </c>
    </row>
    <row r="822">
      <c r="A822" s="3">
        <f>IFERROR(__xludf.DUMMYFUNCTION("""COMPUTED_VALUE"""),30406.666666666668)</f>
        <v>30406.66667</v>
      </c>
      <c r="B822" s="2">
        <f>IFERROR(__xludf.DUMMYFUNCTION("""COMPUTED_VALUE"""),24.3)</f>
        <v>24.3</v>
      </c>
      <c r="C822" s="2">
        <f>IFERROR(__xludf.DUMMYFUNCTION("""COMPUTED_VALUE"""),25.04)</f>
        <v>25.04</v>
      </c>
      <c r="D822" s="2">
        <f>IFERROR(__xludf.DUMMYFUNCTION("""COMPUTED_VALUE"""),24.27)</f>
        <v>24.27</v>
      </c>
      <c r="E822" s="2">
        <f>IFERROR(__xludf.DUMMYFUNCTION("""COMPUTED_VALUE"""),24.3)</f>
        <v>24.3</v>
      </c>
      <c r="F822" s="2">
        <f>IFERROR(__xludf.DUMMYFUNCTION("""COMPUTED_VALUE"""),601100.0)</f>
        <v>601100</v>
      </c>
    </row>
    <row r="823">
      <c r="A823" s="3">
        <f>IFERROR(__xludf.DUMMYFUNCTION("""COMPUTED_VALUE"""),30410.666666666668)</f>
        <v>30410.66667</v>
      </c>
      <c r="B823" s="2">
        <f>IFERROR(__xludf.DUMMYFUNCTION("""COMPUTED_VALUE"""),24.45)</f>
        <v>24.45</v>
      </c>
      <c r="C823" s="2">
        <f>IFERROR(__xludf.DUMMYFUNCTION("""COMPUTED_VALUE"""),24.48)</f>
        <v>24.48</v>
      </c>
      <c r="D823" s="2">
        <f>IFERROR(__xludf.DUMMYFUNCTION("""COMPUTED_VALUE"""),24.15)</f>
        <v>24.15</v>
      </c>
      <c r="E823" s="2">
        <f>IFERROR(__xludf.DUMMYFUNCTION("""COMPUTED_VALUE"""),24.45)</f>
        <v>24.45</v>
      </c>
      <c r="F823" s="2">
        <f>IFERROR(__xludf.DUMMYFUNCTION("""COMPUTED_VALUE"""),679200.0)</f>
        <v>679200</v>
      </c>
    </row>
    <row r="824">
      <c r="A824" s="3">
        <f>IFERROR(__xludf.DUMMYFUNCTION("""COMPUTED_VALUE"""),30411.666666666668)</f>
        <v>30411.66667</v>
      </c>
      <c r="B824" s="2">
        <f>IFERROR(__xludf.DUMMYFUNCTION("""COMPUTED_VALUE"""),24.36)</f>
        <v>24.36</v>
      </c>
      <c r="C824" s="2">
        <f>IFERROR(__xludf.DUMMYFUNCTION("""COMPUTED_VALUE"""),24.66)</f>
        <v>24.66</v>
      </c>
      <c r="D824" s="2">
        <f>IFERROR(__xludf.DUMMYFUNCTION("""COMPUTED_VALUE"""),24.33)</f>
        <v>24.33</v>
      </c>
      <c r="E824" s="2">
        <f>IFERROR(__xludf.DUMMYFUNCTION("""COMPUTED_VALUE"""),24.36)</f>
        <v>24.36</v>
      </c>
      <c r="F824" s="2">
        <f>IFERROR(__xludf.DUMMYFUNCTION("""COMPUTED_VALUE"""),711800.0)</f>
        <v>711800</v>
      </c>
    </row>
    <row r="825">
      <c r="A825" s="3">
        <f>IFERROR(__xludf.DUMMYFUNCTION("""COMPUTED_VALUE"""),30412.666666666668)</f>
        <v>30412.66667</v>
      </c>
      <c r="B825" s="2">
        <f>IFERROR(__xludf.DUMMYFUNCTION("""COMPUTED_VALUE"""),24.51)</f>
        <v>24.51</v>
      </c>
      <c r="C825" s="2">
        <f>IFERROR(__xludf.DUMMYFUNCTION("""COMPUTED_VALUE"""),24.57)</f>
        <v>24.57</v>
      </c>
      <c r="D825" s="2">
        <f>IFERROR(__xludf.DUMMYFUNCTION("""COMPUTED_VALUE"""),24.18)</f>
        <v>24.18</v>
      </c>
      <c r="E825" s="2">
        <f>IFERROR(__xludf.DUMMYFUNCTION("""COMPUTED_VALUE"""),24.51)</f>
        <v>24.51</v>
      </c>
      <c r="F825" s="2">
        <f>IFERROR(__xludf.DUMMYFUNCTION("""COMPUTED_VALUE"""),858000.0)</f>
        <v>858000</v>
      </c>
    </row>
    <row r="826">
      <c r="A826" s="3">
        <f>IFERROR(__xludf.DUMMYFUNCTION("""COMPUTED_VALUE"""),30413.666666666668)</f>
        <v>30413.66667</v>
      </c>
      <c r="B826" s="2">
        <f>IFERROR(__xludf.DUMMYFUNCTION("""COMPUTED_VALUE"""),24.66)</f>
        <v>24.66</v>
      </c>
      <c r="C826" s="2">
        <f>IFERROR(__xludf.DUMMYFUNCTION("""COMPUTED_VALUE"""),24.69)</f>
        <v>24.69</v>
      </c>
      <c r="D826" s="2">
        <f>IFERROR(__xludf.DUMMYFUNCTION("""COMPUTED_VALUE"""),24.36)</f>
        <v>24.36</v>
      </c>
      <c r="E826" s="2">
        <f>IFERROR(__xludf.DUMMYFUNCTION("""COMPUTED_VALUE"""),24.66)</f>
        <v>24.66</v>
      </c>
      <c r="F826" s="2">
        <f>IFERROR(__xludf.DUMMYFUNCTION("""COMPUTED_VALUE"""),607100.0)</f>
        <v>607100</v>
      </c>
    </row>
    <row r="827">
      <c r="A827" s="3">
        <f>IFERROR(__xludf.DUMMYFUNCTION("""COMPUTED_VALUE"""),30414.666666666668)</f>
        <v>30414.66667</v>
      </c>
      <c r="B827" s="2">
        <f>IFERROR(__xludf.DUMMYFUNCTION("""COMPUTED_VALUE"""),24.8)</f>
        <v>24.8</v>
      </c>
      <c r="C827" s="2">
        <f>IFERROR(__xludf.DUMMYFUNCTION("""COMPUTED_VALUE"""),24.83)</f>
        <v>24.83</v>
      </c>
      <c r="D827" s="2">
        <f>IFERROR(__xludf.DUMMYFUNCTION("""COMPUTED_VALUE"""),24.51)</f>
        <v>24.51</v>
      </c>
      <c r="E827" s="2">
        <f>IFERROR(__xludf.DUMMYFUNCTION("""COMPUTED_VALUE"""),24.8)</f>
        <v>24.8</v>
      </c>
      <c r="F827" s="2">
        <f>IFERROR(__xludf.DUMMYFUNCTION("""COMPUTED_VALUE"""),894200.0)</f>
        <v>894200</v>
      </c>
    </row>
    <row r="828">
      <c r="A828" s="3">
        <f>IFERROR(__xludf.DUMMYFUNCTION("""COMPUTED_VALUE"""),30417.666666666668)</f>
        <v>30417.66667</v>
      </c>
      <c r="B828" s="2">
        <f>IFERROR(__xludf.DUMMYFUNCTION("""COMPUTED_VALUE"""),25.46)</f>
        <v>25.46</v>
      </c>
      <c r="C828" s="2">
        <f>IFERROR(__xludf.DUMMYFUNCTION("""COMPUTED_VALUE"""),25.49)</f>
        <v>25.49</v>
      </c>
      <c r="D828" s="2">
        <f>IFERROR(__xludf.DUMMYFUNCTION("""COMPUTED_VALUE"""),24.98)</f>
        <v>24.98</v>
      </c>
      <c r="E828" s="2">
        <f>IFERROR(__xludf.DUMMYFUNCTION("""COMPUTED_VALUE"""),25.46)</f>
        <v>25.46</v>
      </c>
      <c r="F828" s="2">
        <f>IFERROR(__xludf.DUMMYFUNCTION("""COMPUTED_VALUE"""),1651200.0)</f>
        <v>1651200</v>
      </c>
    </row>
    <row r="829">
      <c r="A829" s="3">
        <f>IFERROR(__xludf.DUMMYFUNCTION("""COMPUTED_VALUE"""),30418.666666666668)</f>
        <v>30418.66667</v>
      </c>
      <c r="B829" s="2">
        <f>IFERROR(__xludf.DUMMYFUNCTION("""COMPUTED_VALUE"""),25.55)</f>
        <v>25.55</v>
      </c>
      <c r="C829" s="2">
        <f>IFERROR(__xludf.DUMMYFUNCTION("""COMPUTED_VALUE"""),25.64)</f>
        <v>25.64</v>
      </c>
      <c r="D829" s="2">
        <f>IFERROR(__xludf.DUMMYFUNCTION("""COMPUTED_VALUE"""),25.31)</f>
        <v>25.31</v>
      </c>
      <c r="E829" s="2">
        <f>IFERROR(__xludf.DUMMYFUNCTION("""COMPUTED_VALUE"""),25.55)</f>
        <v>25.55</v>
      </c>
      <c r="F829" s="2">
        <f>IFERROR(__xludf.DUMMYFUNCTION("""COMPUTED_VALUE"""),1049000.0)</f>
        <v>1049000</v>
      </c>
    </row>
    <row r="830">
      <c r="A830" s="3">
        <f>IFERROR(__xludf.DUMMYFUNCTION("""COMPUTED_VALUE"""),30419.666666666668)</f>
        <v>30419.66667</v>
      </c>
      <c r="B830" s="2">
        <f>IFERROR(__xludf.DUMMYFUNCTION("""COMPUTED_VALUE"""),25.97)</f>
        <v>25.97</v>
      </c>
      <c r="C830" s="2">
        <f>IFERROR(__xludf.DUMMYFUNCTION("""COMPUTED_VALUE"""),26.03)</f>
        <v>26.03</v>
      </c>
      <c r="D830" s="2">
        <f>IFERROR(__xludf.DUMMYFUNCTION("""COMPUTED_VALUE"""),25.64)</f>
        <v>25.64</v>
      </c>
      <c r="E830" s="2">
        <f>IFERROR(__xludf.DUMMYFUNCTION("""COMPUTED_VALUE"""),25.97)</f>
        <v>25.97</v>
      </c>
      <c r="F830" s="2">
        <f>IFERROR(__xludf.DUMMYFUNCTION("""COMPUTED_VALUE"""),978800.0)</f>
        <v>978800</v>
      </c>
    </row>
    <row r="831">
      <c r="A831" s="3">
        <f>IFERROR(__xludf.DUMMYFUNCTION("""COMPUTED_VALUE"""),30420.666666666668)</f>
        <v>30420.66667</v>
      </c>
      <c r="B831" s="2">
        <f>IFERROR(__xludf.DUMMYFUNCTION("""COMPUTED_VALUE"""),26.15)</f>
        <v>26.15</v>
      </c>
      <c r="C831" s="2">
        <f>IFERROR(__xludf.DUMMYFUNCTION("""COMPUTED_VALUE"""),26.27)</f>
        <v>26.27</v>
      </c>
      <c r="D831" s="2">
        <f>IFERROR(__xludf.DUMMYFUNCTION("""COMPUTED_VALUE"""),25.61)</f>
        <v>25.61</v>
      </c>
      <c r="E831" s="2">
        <f>IFERROR(__xludf.DUMMYFUNCTION("""COMPUTED_VALUE"""),26.15)</f>
        <v>26.15</v>
      </c>
      <c r="F831" s="2">
        <f>IFERROR(__xludf.DUMMYFUNCTION("""COMPUTED_VALUE"""),1007500.0)</f>
        <v>1007500</v>
      </c>
    </row>
    <row r="832">
      <c r="A832" s="3">
        <f>IFERROR(__xludf.DUMMYFUNCTION("""COMPUTED_VALUE"""),30421.666666666668)</f>
        <v>30421.66667</v>
      </c>
      <c r="B832" s="2">
        <f>IFERROR(__xludf.DUMMYFUNCTION("""COMPUTED_VALUE"""),26.3)</f>
        <v>26.3</v>
      </c>
      <c r="C832" s="2">
        <f>IFERROR(__xludf.DUMMYFUNCTION("""COMPUTED_VALUE"""),26.39)</f>
        <v>26.39</v>
      </c>
      <c r="D832" s="2">
        <f>IFERROR(__xludf.DUMMYFUNCTION("""COMPUTED_VALUE"""),26.18)</f>
        <v>26.18</v>
      </c>
      <c r="E832" s="2">
        <f>IFERROR(__xludf.DUMMYFUNCTION("""COMPUTED_VALUE"""),26.3)</f>
        <v>26.3</v>
      </c>
      <c r="F832" s="2">
        <f>IFERROR(__xludf.DUMMYFUNCTION("""COMPUTED_VALUE"""),794100.0)</f>
        <v>794100</v>
      </c>
    </row>
    <row r="833">
      <c r="A833" s="3">
        <f>IFERROR(__xludf.DUMMYFUNCTION("""COMPUTED_VALUE"""),30424.666666666668)</f>
        <v>30424.66667</v>
      </c>
      <c r="B833" s="2">
        <f>IFERROR(__xludf.DUMMYFUNCTION("""COMPUTED_VALUE"""),26.89)</f>
        <v>26.89</v>
      </c>
      <c r="C833" s="2">
        <f>IFERROR(__xludf.DUMMYFUNCTION("""COMPUTED_VALUE"""),26.89)</f>
        <v>26.89</v>
      </c>
      <c r="D833" s="2">
        <f>IFERROR(__xludf.DUMMYFUNCTION("""COMPUTED_VALUE"""),26.27)</f>
        <v>26.27</v>
      </c>
      <c r="E833" s="2">
        <f>IFERROR(__xludf.DUMMYFUNCTION("""COMPUTED_VALUE"""),26.89)</f>
        <v>26.89</v>
      </c>
      <c r="F833" s="2">
        <f>IFERROR(__xludf.DUMMYFUNCTION("""COMPUTED_VALUE"""),1020400.0)</f>
        <v>1020400</v>
      </c>
    </row>
    <row r="834">
      <c r="A834" s="3">
        <f>IFERROR(__xludf.DUMMYFUNCTION("""COMPUTED_VALUE"""),30425.666666666668)</f>
        <v>30425.66667</v>
      </c>
      <c r="B834" s="2">
        <f>IFERROR(__xludf.DUMMYFUNCTION("""COMPUTED_VALUE"""),26.63)</f>
        <v>26.63</v>
      </c>
      <c r="C834" s="2">
        <f>IFERROR(__xludf.DUMMYFUNCTION("""COMPUTED_VALUE"""),26.77)</f>
        <v>26.77</v>
      </c>
      <c r="D834" s="2">
        <f>IFERROR(__xludf.DUMMYFUNCTION("""COMPUTED_VALUE"""),26.51)</f>
        <v>26.51</v>
      </c>
      <c r="E834" s="2">
        <f>IFERROR(__xludf.DUMMYFUNCTION("""COMPUTED_VALUE"""),26.63)</f>
        <v>26.63</v>
      </c>
      <c r="F834" s="2">
        <f>IFERROR(__xludf.DUMMYFUNCTION("""COMPUTED_VALUE"""),929400.0)</f>
        <v>929400</v>
      </c>
    </row>
    <row r="835">
      <c r="A835" s="3">
        <f>IFERROR(__xludf.DUMMYFUNCTION("""COMPUTED_VALUE"""),30426.666666666668)</f>
        <v>30426.66667</v>
      </c>
      <c r="B835" s="2">
        <f>IFERROR(__xludf.DUMMYFUNCTION("""COMPUTED_VALUE"""),27.49)</f>
        <v>27.49</v>
      </c>
      <c r="C835" s="2">
        <f>IFERROR(__xludf.DUMMYFUNCTION("""COMPUTED_VALUE"""),27.52)</f>
        <v>27.52</v>
      </c>
      <c r="D835" s="2">
        <f>IFERROR(__xludf.DUMMYFUNCTION("""COMPUTED_VALUE"""),26.68)</f>
        <v>26.68</v>
      </c>
      <c r="E835" s="2">
        <f>IFERROR(__xludf.DUMMYFUNCTION("""COMPUTED_VALUE"""),27.49)</f>
        <v>27.49</v>
      </c>
      <c r="F835" s="2">
        <f>IFERROR(__xludf.DUMMYFUNCTION("""COMPUTED_VALUE"""),970600.0)</f>
        <v>970600</v>
      </c>
    </row>
    <row r="836">
      <c r="A836" s="3">
        <f>IFERROR(__xludf.DUMMYFUNCTION("""COMPUTED_VALUE"""),30427.666666666668)</f>
        <v>30427.66667</v>
      </c>
      <c r="B836" s="2">
        <f>IFERROR(__xludf.DUMMYFUNCTION("""COMPUTED_VALUE"""),27.46)</f>
        <v>27.46</v>
      </c>
      <c r="C836" s="2">
        <f>IFERROR(__xludf.DUMMYFUNCTION("""COMPUTED_VALUE"""),27.58)</f>
        <v>27.58</v>
      </c>
      <c r="D836" s="2">
        <f>IFERROR(__xludf.DUMMYFUNCTION("""COMPUTED_VALUE"""),27.25)</f>
        <v>27.25</v>
      </c>
      <c r="E836" s="2">
        <f>IFERROR(__xludf.DUMMYFUNCTION("""COMPUTED_VALUE"""),27.46)</f>
        <v>27.46</v>
      </c>
      <c r="F836" s="2">
        <f>IFERROR(__xludf.DUMMYFUNCTION("""COMPUTED_VALUE"""),1071700.0)</f>
        <v>1071700</v>
      </c>
    </row>
    <row r="837">
      <c r="A837" s="3">
        <f>IFERROR(__xludf.DUMMYFUNCTION("""COMPUTED_VALUE"""),30428.666666666668)</f>
        <v>30428.66667</v>
      </c>
      <c r="B837" s="2">
        <f>IFERROR(__xludf.DUMMYFUNCTION("""COMPUTED_VALUE"""),28.0)</f>
        <v>28</v>
      </c>
      <c r="C837" s="2">
        <f>IFERROR(__xludf.DUMMYFUNCTION("""COMPUTED_VALUE"""),28.15)</f>
        <v>28.15</v>
      </c>
      <c r="D837" s="2">
        <f>IFERROR(__xludf.DUMMYFUNCTION("""COMPUTED_VALUE"""),27.4)</f>
        <v>27.4</v>
      </c>
      <c r="E837" s="2">
        <f>IFERROR(__xludf.DUMMYFUNCTION("""COMPUTED_VALUE"""),28.0)</f>
        <v>28</v>
      </c>
      <c r="F837" s="2">
        <f>IFERROR(__xludf.DUMMYFUNCTION("""COMPUTED_VALUE"""),807900.0)</f>
        <v>807900</v>
      </c>
    </row>
    <row r="838">
      <c r="A838" s="3">
        <f>IFERROR(__xludf.DUMMYFUNCTION("""COMPUTED_VALUE"""),30431.666666666668)</f>
        <v>30431.66667</v>
      </c>
      <c r="B838" s="2">
        <f>IFERROR(__xludf.DUMMYFUNCTION("""COMPUTED_VALUE"""),27.34)</f>
        <v>27.34</v>
      </c>
      <c r="C838" s="2">
        <f>IFERROR(__xludf.DUMMYFUNCTION("""COMPUTED_VALUE"""),27.97)</f>
        <v>27.97</v>
      </c>
      <c r="D838" s="2">
        <f>IFERROR(__xludf.DUMMYFUNCTION("""COMPUTED_VALUE"""),27.16)</f>
        <v>27.16</v>
      </c>
      <c r="E838" s="2">
        <f>IFERROR(__xludf.DUMMYFUNCTION("""COMPUTED_VALUE"""),27.34)</f>
        <v>27.34</v>
      </c>
      <c r="F838" s="2">
        <f>IFERROR(__xludf.DUMMYFUNCTION("""COMPUTED_VALUE"""),775100.0)</f>
        <v>775100</v>
      </c>
    </row>
    <row r="839">
      <c r="A839" s="3">
        <f>IFERROR(__xludf.DUMMYFUNCTION("""COMPUTED_VALUE"""),30432.666666666668)</f>
        <v>30432.66667</v>
      </c>
      <c r="B839" s="2">
        <f>IFERROR(__xludf.DUMMYFUNCTION("""COMPUTED_VALUE"""),27.97)</f>
        <v>27.97</v>
      </c>
      <c r="C839" s="2">
        <f>IFERROR(__xludf.DUMMYFUNCTION("""COMPUTED_VALUE"""),28.0)</f>
        <v>28</v>
      </c>
      <c r="D839" s="2">
        <f>IFERROR(__xludf.DUMMYFUNCTION("""COMPUTED_VALUE"""),27.13)</f>
        <v>27.13</v>
      </c>
      <c r="E839" s="2">
        <f>IFERROR(__xludf.DUMMYFUNCTION("""COMPUTED_VALUE"""),27.97)</f>
        <v>27.97</v>
      </c>
      <c r="F839" s="2">
        <f>IFERROR(__xludf.DUMMYFUNCTION("""COMPUTED_VALUE"""),941000.0)</f>
        <v>941000</v>
      </c>
    </row>
    <row r="840">
      <c r="A840" s="3">
        <f>IFERROR(__xludf.DUMMYFUNCTION("""COMPUTED_VALUE"""),30433.666666666668)</f>
        <v>30433.66667</v>
      </c>
      <c r="B840" s="2">
        <f>IFERROR(__xludf.DUMMYFUNCTION("""COMPUTED_VALUE"""),27.7)</f>
        <v>27.7</v>
      </c>
      <c r="C840" s="2">
        <f>IFERROR(__xludf.DUMMYFUNCTION("""COMPUTED_VALUE"""),28.18)</f>
        <v>28.18</v>
      </c>
      <c r="D840" s="2">
        <f>IFERROR(__xludf.DUMMYFUNCTION("""COMPUTED_VALUE"""),27.46)</f>
        <v>27.46</v>
      </c>
      <c r="E840" s="2">
        <f>IFERROR(__xludf.DUMMYFUNCTION("""COMPUTED_VALUE"""),27.7)</f>
        <v>27.7</v>
      </c>
      <c r="F840" s="2">
        <f>IFERROR(__xludf.DUMMYFUNCTION("""COMPUTED_VALUE"""),910900.0)</f>
        <v>910900</v>
      </c>
    </row>
    <row r="841">
      <c r="A841" s="3">
        <f>IFERROR(__xludf.DUMMYFUNCTION("""COMPUTED_VALUE"""),30434.666666666668)</f>
        <v>30434.66667</v>
      </c>
      <c r="B841" s="2">
        <f>IFERROR(__xludf.DUMMYFUNCTION("""COMPUTED_VALUE"""),28.0)</f>
        <v>28</v>
      </c>
      <c r="C841" s="2">
        <f>IFERROR(__xludf.DUMMYFUNCTION("""COMPUTED_VALUE"""),28.06)</f>
        <v>28.06</v>
      </c>
      <c r="D841" s="2">
        <f>IFERROR(__xludf.DUMMYFUNCTION("""COMPUTED_VALUE"""),27.67)</f>
        <v>27.67</v>
      </c>
      <c r="E841" s="2">
        <f>IFERROR(__xludf.DUMMYFUNCTION("""COMPUTED_VALUE"""),28.0)</f>
        <v>28</v>
      </c>
      <c r="F841" s="2">
        <f>IFERROR(__xludf.DUMMYFUNCTION("""COMPUTED_VALUE"""),765400.0)</f>
        <v>765400</v>
      </c>
    </row>
    <row r="842">
      <c r="A842" s="3">
        <f>IFERROR(__xludf.DUMMYFUNCTION("""COMPUTED_VALUE"""),30435.666666666668)</f>
        <v>30435.66667</v>
      </c>
      <c r="B842" s="2">
        <f>IFERROR(__xludf.DUMMYFUNCTION("""COMPUTED_VALUE"""),27.94)</f>
        <v>27.94</v>
      </c>
      <c r="C842" s="2">
        <f>IFERROR(__xludf.DUMMYFUNCTION("""COMPUTED_VALUE"""),28.09)</f>
        <v>28.09</v>
      </c>
      <c r="D842" s="2">
        <f>IFERROR(__xludf.DUMMYFUNCTION("""COMPUTED_VALUE"""),27.7)</f>
        <v>27.7</v>
      </c>
      <c r="E842" s="2">
        <f>IFERROR(__xludf.DUMMYFUNCTION("""COMPUTED_VALUE"""),27.94)</f>
        <v>27.94</v>
      </c>
      <c r="F842" s="2">
        <f>IFERROR(__xludf.DUMMYFUNCTION("""COMPUTED_VALUE"""),764000.0)</f>
        <v>764000</v>
      </c>
    </row>
    <row r="843">
      <c r="A843" s="3">
        <f>IFERROR(__xludf.DUMMYFUNCTION("""COMPUTED_VALUE"""),30438.666666666668)</f>
        <v>30438.66667</v>
      </c>
      <c r="B843" s="2">
        <f>IFERROR(__xludf.DUMMYFUNCTION("""COMPUTED_VALUE"""),27.46)</f>
        <v>27.46</v>
      </c>
      <c r="C843" s="2">
        <f>IFERROR(__xludf.DUMMYFUNCTION("""COMPUTED_VALUE"""),27.97)</f>
        <v>27.97</v>
      </c>
      <c r="D843" s="2">
        <f>IFERROR(__xludf.DUMMYFUNCTION("""COMPUTED_VALUE"""),27.4)</f>
        <v>27.4</v>
      </c>
      <c r="E843" s="2">
        <f>IFERROR(__xludf.DUMMYFUNCTION("""COMPUTED_VALUE"""),27.46)</f>
        <v>27.46</v>
      </c>
      <c r="F843" s="2">
        <f>IFERROR(__xludf.DUMMYFUNCTION("""COMPUTED_VALUE"""),972900.0)</f>
        <v>972900</v>
      </c>
    </row>
    <row r="844">
      <c r="A844" s="3">
        <f>IFERROR(__xludf.DUMMYFUNCTION("""COMPUTED_VALUE"""),30439.666666666668)</f>
        <v>30439.66667</v>
      </c>
      <c r="B844" s="2">
        <f>IFERROR(__xludf.DUMMYFUNCTION("""COMPUTED_VALUE"""),27.58)</f>
        <v>27.58</v>
      </c>
      <c r="C844" s="2">
        <f>IFERROR(__xludf.DUMMYFUNCTION("""COMPUTED_VALUE"""),27.67)</f>
        <v>27.67</v>
      </c>
      <c r="D844" s="2">
        <f>IFERROR(__xludf.DUMMYFUNCTION("""COMPUTED_VALUE"""),27.37)</f>
        <v>27.37</v>
      </c>
      <c r="E844" s="2">
        <f>IFERROR(__xludf.DUMMYFUNCTION("""COMPUTED_VALUE"""),27.58)</f>
        <v>27.58</v>
      </c>
      <c r="F844" s="2">
        <f>IFERROR(__xludf.DUMMYFUNCTION("""COMPUTED_VALUE"""),909600.0)</f>
        <v>909600</v>
      </c>
    </row>
    <row r="845">
      <c r="A845" s="3">
        <f>IFERROR(__xludf.DUMMYFUNCTION("""COMPUTED_VALUE"""),30440.666666666668)</f>
        <v>30440.66667</v>
      </c>
      <c r="B845" s="2">
        <f>IFERROR(__xludf.DUMMYFUNCTION("""COMPUTED_VALUE"""),27.82)</f>
        <v>27.82</v>
      </c>
      <c r="C845" s="2">
        <f>IFERROR(__xludf.DUMMYFUNCTION("""COMPUTED_VALUE"""),27.91)</f>
        <v>27.91</v>
      </c>
      <c r="D845" s="2">
        <f>IFERROR(__xludf.DUMMYFUNCTION("""COMPUTED_VALUE"""),27.55)</f>
        <v>27.55</v>
      </c>
      <c r="E845" s="2">
        <f>IFERROR(__xludf.DUMMYFUNCTION("""COMPUTED_VALUE"""),27.82)</f>
        <v>27.82</v>
      </c>
      <c r="F845" s="2">
        <f>IFERROR(__xludf.DUMMYFUNCTION("""COMPUTED_VALUE"""),612800.0)</f>
        <v>612800</v>
      </c>
    </row>
    <row r="846">
      <c r="A846" s="3">
        <f>IFERROR(__xludf.DUMMYFUNCTION("""COMPUTED_VALUE"""),30441.666666666668)</f>
        <v>30441.66667</v>
      </c>
      <c r="B846" s="2">
        <f>IFERROR(__xludf.DUMMYFUNCTION("""COMPUTED_VALUE"""),27.64)</f>
        <v>27.64</v>
      </c>
      <c r="C846" s="2">
        <f>IFERROR(__xludf.DUMMYFUNCTION("""COMPUTED_VALUE"""),27.67)</f>
        <v>27.67</v>
      </c>
      <c r="D846" s="2">
        <f>IFERROR(__xludf.DUMMYFUNCTION("""COMPUTED_VALUE"""),27.37)</f>
        <v>27.37</v>
      </c>
      <c r="E846" s="2">
        <f>IFERROR(__xludf.DUMMYFUNCTION("""COMPUTED_VALUE"""),27.64)</f>
        <v>27.64</v>
      </c>
      <c r="F846" s="2">
        <f>IFERROR(__xludf.DUMMYFUNCTION("""COMPUTED_VALUE"""),575200.0)</f>
        <v>575200</v>
      </c>
    </row>
    <row r="847">
      <c r="A847" s="3">
        <f>IFERROR(__xludf.DUMMYFUNCTION("""COMPUTED_VALUE"""),30442.666666666668)</f>
        <v>30442.66667</v>
      </c>
      <c r="B847" s="2">
        <f>IFERROR(__xludf.DUMMYFUNCTION("""COMPUTED_VALUE"""),28.09)</f>
        <v>28.09</v>
      </c>
      <c r="C847" s="2">
        <f>IFERROR(__xludf.DUMMYFUNCTION("""COMPUTED_VALUE"""),28.24)</f>
        <v>28.24</v>
      </c>
      <c r="D847" s="2">
        <f>IFERROR(__xludf.DUMMYFUNCTION("""COMPUTED_VALUE"""),27.58)</f>
        <v>27.58</v>
      </c>
      <c r="E847" s="2">
        <f>IFERROR(__xludf.DUMMYFUNCTION("""COMPUTED_VALUE"""),28.09)</f>
        <v>28.09</v>
      </c>
      <c r="F847" s="2">
        <f>IFERROR(__xludf.DUMMYFUNCTION("""COMPUTED_VALUE"""),861900.0)</f>
        <v>861900</v>
      </c>
    </row>
    <row r="848">
      <c r="A848" s="3">
        <f>IFERROR(__xludf.DUMMYFUNCTION("""COMPUTED_VALUE"""),30445.666666666668)</f>
        <v>30445.66667</v>
      </c>
      <c r="B848" s="2">
        <f>IFERROR(__xludf.DUMMYFUNCTION("""COMPUTED_VALUE"""),28.06)</f>
        <v>28.06</v>
      </c>
      <c r="C848" s="2">
        <f>IFERROR(__xludf.DUMMYFUNCTION("""COMPUTED_VALUE"""),28.24)</f>
        <v>28.24</v>
      </c>
      <c r="D848" s="2">
        <f>IFERROR(__xludf.DUMMYFUNCTION("""COMPUTED_VALUE"""),27.85)</f>
        <v>27.85</v>
      </c>
      <c r="E848" s="2">
        <f>IFERROR(__xludf.DUMMYFUNCTION("""COMPUTED_VALUE"""),28.06)</f>
        <v>28.06</v>
      </c>
      <c r="F848" s="2">
        <f>IFERROR(__xludf.DUMMYFUNCTION("""COMPUTED_VALUE"""),627300.0)</f>
        <v>627300</v>
      </c>
    </row>
    <row r="849">
      <c r="A849" s="3">
        <f>IFERROR(__xludf.DUMMYFUNCTION("""COMPUTED_VALUE"""),30446.666666666668)</f>
        <v>30446.66667</v>
      </c>
      <c r="B849" s="2">
        <f>IFERROR(__xludf.DUMMYFUNCTION("""COMPUTED_VALUE"""),27.91)</f>
        <v>27.91</v>
      </c>
      <c r="C849" s="2">
        <f>IFERROR(__xludf.DUMMYFUNCTION("""COMPUTED_VALUE"""),28.09)</f>
        <v>28.09</v>
      </c>
      <c r="D849" s="2">
        <f>IFERROR(__xludf.DUMMYFUNCTION("""COMPUTED_VALUE"""),27.88)</f>
        <v>27.88</v>
      </c>
      <c r="E849" s="2">
        <f>IFERROR(__xludf.DUMMYFUNCTION("""COMPUTED_VALUE"""),27.91)</f>
        <v>27.91</v>
      </c>
      <c r="F849" s="2">
        <f>IFERROR(__xludf.DUMMYFUNCTION("""COMPUTED_VALUE"""),453100.0)</f>
        <v>453100</v>
      </c>
    </row>
    <row r="850">
      <c r="A850" s="3">
        <f>IFERROR(__xludf.DUMMYFUNCTION("""COMPUTED_VALUE"""),30447.666666666668)</f>
        <v>30447.66667</v>
      </c>
      <c r="B850" s="2">
        <f>IFERROR(__xludf.DUMMYFUNCTION("""COMPUTED_VALUE"""),27.58)</f>
        <v>27.58</v>
      </c>
      <c r="C850" s="2">
        <f>IFERROR(__xludf.DUMMYFUNCTION("""COMPUTED_VALUE"""),27.94)</f>
        <v>27.94</v>
      </c>
      <c r="D850" s="2">
        <f>IFERROR(__xludf.DUMMYFUNCTION("""COMPUTED_VALUE"""),27.52)</f>
        <v>27.52</v>
      </c>
      <c r="E850" s="2">
        <f>IFERROR(__xludf.DUMMYFUNCTION("""COMPUTED_VALUE"""),27.58)</f>
        <v>27.58</v>
      </c>
      <c r="F850" s="2">
        <f>IFERROR(__xludf.DUMMYFUNCTION("""COMPUTED_VALUE"""),492200.0)</f>
        <v>492200</v>
      </c>
    </row>
    <row r="851">
      <c r="A851" s="3">
        <f>IFERROR(__xludf.DUMMYFUNCTION("""COMPUTED_VALUE"""),30448.666666666668)</f>
        <v>30448.66667</v>
      </c>
      <c r="B851" s="2">
        <f>IFERROR(__xludf.DUMMYFUNCTION("""COMPUTED_VALUE"""),27.58)</f>
        <v>27.58</v>
      </c>
      <c r="C851" s="2">
        <f>IFERROR(__xludf.DUMMYFUNCTION("""COMPUTED_VALUE"""),27.7)</f>
        <v>27.7</v>
      </c>
      <c r="D851" s="2">
        <f>IFERROR(__xludf.DUMMYFUNCTION("""COMPUTED_VALUE"""),27.46)</f>
        <v>27.46</v>
      </c>
      <c r="E851" s="2">
        <f>IFERROR(__xludf.DUMMYFUNCTION("""COMPUTED_VALUE"""),27.58)</f>
        <v>27.58</v>
      </c>
      <c r="F851" s="2">
        <f>IFERROR(__xludf.DUMMYFUNCTION("""COMPUTED_VALUE"""),469900.0)</f>
        <v>469900</v>
      </c>
    </row>
    <row r="852">
      <c r="A852" s="3">
        <f>IFERROR(__xludf.DUMMYFUNCTION("""COMPUTED_VALUE"""),30449.666666666668)</f>
        <v>30449.66667</v>
      </c>
      <c r="B852" s="2">
        <f>IFERROR(__xludf.DUMMYFUNCTION("""COMPUTED_VALUE"""),27.82)</f>
        <v>27.82</v>
      </c>
      <c r="C852" s="2">
        <f>IFERROR(__xludf.DUMMYFUNCTION("""COMPUTED_VALUE"""),27.85)</f>
        <v>27.85</v>
      </c>
      <c r="D852" s="2">
        <f>IFERROR(__xludf.DUMMYFUNCTION("""COMPUTED_VALUE"""),27.61)</f>
        <v>27.61</v>
      </c>
      <c r="E852" s="2">
        <f>IFERROR(__xludf.DUMMYFUNCTION("""COMPUTED_VALUE"""),27.82)</f>
        <v>27.82</v>
      </c>
      <c r="F852" s="2">
        <f>IFERROR(__xludf.DUMMYFUNCTION("""COMPUTED_VALUE"""),424700.0)</f>
        <v>424700</v>
      </c>
    </row>
    <row r="853">
      <c r="A853" s="3">
        <f>IFERROR(__xludf.DUMMYFUNCTION("""COMPUTED_VALUE"""),30452.666666666668)</f>
        <v>30452.66667</v>
      </c>
      <c r="B853" s="2">
        <f>IFERROR(__xludf.DUMMYFUNCTION("""COMPUTED_VALUE"""),27.52)</f>
        <v>27.52</v>
      </c>
      <c r="C853" s="2">
        <f>IFERROR(__xludf.DUMMYFUNCTION("""COMPUTED_VALUE"""),27.52)</f>
        <v>27.52</v>
      </c>
      <c r="D853" s="2">
        <f>IFERROR(__xludf.DUMMYFUNCTION("""COMPUTED_VALUE"""),27.22)</f>
        <v>27.22</v>
      </c>
      <c r="E853" s="2">
        <f>IFERROR(__xludf.DUMMYFUNCTION("""COMPUTED_VALUE"""),27.52)</f>
        <v>27.52</v>
      </c>
      <c r="F853" s="2">
        <f>IFERROR(__xludf.DUMMYFUNCTION("""COMPUTED_VALUE"""),668900.0)</f>
        <v>668900</v>
      </c>
    </row>
    <row r="854">
      <c r="A854" s="3">
        <f>IFERROR(__xludf.DUMMYFUNCTION("""COMPUTED_VALUE"""),30453.666666666668)</f>
        <v>30453.66667</v>
      </c>
      <c r="B854" s="2">
        <f>IFERROR(__xludf.DUMMYFUNCTION("""COMPUTED_VALUE"""),27.22)</f>
        <v>27.22</v>
      </c>
      <c r="C854" s="2">
        <f>IFERROR(__xludf.DUMMYFUNCTION("""COMPUTED_VALUE"""),27.46)</f>
        <v>27.46</v>
      </c>
      <c r="D854" s="2">
        <f>IFERROR(__xludf.DUMMYFUNCTION("""COMPUTED_VALUE"""),27.01)</f>
        <v>27.01</v>
      </c>
      <c r="E854" s="2">
        <f>IFERROR(__xludf.DUMMYFUNCTION("""COMPUTED_VALUE"""),27.22)</f>
        <v>27.22</v>
      </c>
      <c r="F854" s="2">
        <f>IFERROR(__xludf.DUMMYFUNCTION("""COMPUTED_VALUE"""),722000.0)</f>
        <v>722000</v>
      </c>
    </row>
    <row r="855">
      <c r="A855" s="3">
        <f>IFERROR(__xludf.DUMMYFUNCTION("""COMPUTED_VALUE"""),30454.666666666668)</f>
        <v>30454.66667</v>
      </c>
      <c r="B855" s="2">
        <f>IFERROR(__xludf.DUMMYFUNCTION("""COMPUTED_VALUE"""),26.68)</f>
        <v>26.68</v>
      </c>
      <c r="C855" s="2">
        <f>IFERROR(__xludf.DUMMYFUNCTION("""COMPUTED_VALUE"""),27.4)</f>
        <v>27.4</v>
      </c>
      <c r="D855" s="2">
        <f>IFERROR(__xludf.DUMMYFUNCTION("""COMPUTED_VALUE"""),26.45)</f>
        <v>26.45</v>
      </c>
      <c r="E855" s="2">
        <f>IFERROR(__xludf.DUMMYFUNCTION("""COMPUTED_VALUE"""),26.68)</f>
        <v>26.68</v>
      </c>
      <c r="F855" s="2">
        <f>IFERROR(__xludf.DUMMYFUNCTION("""COMPUTED_VALUE"""),802300.0)</f>
        <v>802300</v>
      </c>
    </row>
    <row r="856">
      <c r="A856" s="3">
        <f>IFERROR(__xludf.DUMMYFUNCTION("""COMPUTED_VALUE"""),30455.666666666668)</f>
        <v>30455.66667</v>
      </c>
      <c r="B856" s="2">
        <f>IFERROR(__xludf.DUMMYFUNCTION("""COMPUTED_VALUE"""),26.57)</f>
        <v>26.57</v>
      </c>
      <c r="C856" s="2">
        <f>IFERROR(__xludf.DUMMYFUNCTION("""COMPUTED_VALUE"""),26.86)</f>
        <v>26.86</v>
      </c>
      <c r="D856" s="2">
        <f>IFERROR(__xludf.DUMMYFUNCTION("""COMPUTED_VALUE"""),26.39)</f>
        <v>26.39</v>
      </c>
      <c r="E856" s="2">
        <f>IFERROR(__xludf.DUMMYFUNCTION("""COMPUTED_VALUE"""),26.57)</f>
        <v>26.57</v>
      </c>
      <c r="F856" s="2">
        <f>IFERROR(__xludf.DUMMYFUNCTION("""COMPUTED_VALUE"""),673500.0)</f>
        <v>673500</v>
      </c>
    </row>
    <row r="857">
      <c r="A857" s="3">
        <f>IFERROR(__xludf.DUMMYFUNCTION("""COMPUTED_VALUE"""),30456.666666666668)</f>
        <v>30456.66667</v>
      </c>
      <c r="B857" s="2">
        <f>IFERROR(__xludf.DUMMYFUNCTION("""COMPUTED_VALUE"""),26.45)</f>
        <v>26.45</v>
      </c>
      <c r="C857" s="2">
        <f>IFERROR(__xludf.DUMMYFUNCTION("""COMPUTED_VALUE"""),26.68)</f>
        <v>26.68</v>
      </c>
      <c r="D857" s="2">
        <f>IFERROR(__xludf.DUMMYFUNCTION("""COMPUTED_VALUE"""),26.33)</f>
        <v>26.33</v>
      </c>
      <c r="E857" s="2">
        <f>IFERROR(__xludf.DUMMYFUNCTION("""COMPUTED_VALUE"""),26.45)</f>
        <v>26.45</v>
      </c>
      <c r="F857" s="2">
        <f>IFERROR(__xludf.DUMMYFUNCTION("""COMPUTED_VALUE"""),538900.0)</f>
        <v>538900</v>
      </c>
    </row>
    <row r="858">
      <c r="A858" s="3">
        <f>IFERROR(__xludf.DUMMYFUNCTION("""COMPUTED_VALUE"""),30459.666666666668)</f>
        <v>30459.66667</v>
      </c>
      <c r="B858" s="2">
        <f>IFERROR(__xludf.DUMMYFUNCTION("""COMPUTED_VALUE"""),26.86)</f>
        <v>26.86</v>
      </c>
      <c r="C858" s="2">
        <f>IFERROR(__xludf.DUMMYFUNCTION("""COMPUTED_VALUE"""),26.95)</f>
        <v>26.95</v>
      </c>
      <c r="D858" s="2">
        <f>IFERROR(__xludf.DUMMYFUNCTION("""COMPUTED_VALUE"""),26.21)</f>
        <v>26.21</v>
      </c>
      <c r="E858" s="2">
        <f>IFERROR(__xludf.DUMMYFUNCTION("""COMPUTED_VALUE"""),26.86)</f>
        <v>26.86</v>
      </c>
      <c r="F858" s="2">
        <f>IFERROR(__xludf.DUMMYFUNCTION("""COMPUTED_VALUE"""),813000.0)</f>
        <v>813000</v>
      </c>
    </row>
    <row r="859">
      <c r="A859" s="3">
        <f>IFERROR(__xludf.DUMMYFUNCTION("""COMPUTED_VALUE"""),30460.666666666668)</f>
        <v>30460.66667</v>
      </c>
      <c r="B859" s="2">
        <f>IFERROR(__xludf.DUMMYFUNCTION("""COMPUTED_VALUE"""),27.37)</f>
        <v>27.37</v>
      </c>
      <c r="C859" s="2">
        <f>IFERROR(__xludf.DUMMYFUNCTION("""COMPUTED_VALUE"""),27.46)</f>
        <v>27.46</v>
      </c>
      <c r="D859" s="2">
        <f>IFERROR(__xludf.DUMMYFUNCTION("""COMPUTED_VALUE"""),26.98)</f>
        <v>26.98</v>
      </c>
      <c r="E859" s="2">
        <f>IFERROR(__xludf.DUMMYFUNCTION("""COMPUTED_VALUE"""),27.37)</f>
        <v>27.37</v>
      </c>
      <c r="F859" s="2">
        <f>IFERROR(__xludf.DUMMYFUNCTION("""COMPUTED_VALUE"""),665400.0)</f>
        <v>665400</v>
      </c>
    </row>
    <row r="860">
      <c r="A860" s="3">
        <f>IFERROR(__xludf.DUMMYFUNCTION("""COMPUTED_VALUE"""),30461.666666666668)</f>
        <v>30461.66667</v>
      </c>
      <c r="B860" s="2">
        <f>IFERROR(__xludf.DUMMYFUNCTION("""COMPUTED_VALUE"""),27.61)</f>
        <v>27.61</v>
      </c>
      <c r="C860" s="2">
        <f>IFERROR(__xludf.DUMMYFUNCTION("""COMPUTED_VALUE"""),27.61)</f>
        <v>27.61</v>
      </c>
      <c r="D860" s="2">
        <f>IFERROR(__xludf.DUMMYFUNCTION("""COMPUTED_VALUE"""),27.07)</f>
        <v>27.07</v>
      </c>
      <c r="E860" s="2">
        <f>IFERROR(__xludf.DUMMYFUNCTION("""COMPUTED_VALUE"""),27.61)</f>
        <v>27.61</v>
      </c>
      <c r="F860" s="2">
        <f>IFERROR(__xludf.DUMMYFUNCTION("""COMPUTED_VALUE"""),843600.0)</f>
        <v>843600</v>
      </c>
    </row>
    <row r="861">
      <c r="A861" s="3">
        <f>IFERROR(__xludf.DUMMYFUNCTION("""COMPUTED_VALUE"""),30462.666666666668)</f>
        <v>30462.66667</v>
      </c>
      <c r="B861" s="2">
        <f>IFERROR(__xludf.DUMMYFUNCTION("""COMPUTED_VALUE"""),27.31)</f>
        <v>27.31</v>
      </c>
      <c r="C861" s="2">
        <f>IFERROR(__xludf.DUMMYFUNCTION("""COMPUTED_VALUE"""),27.67)</f>
        <v>27.67</v>
      </c>
      <c r="D861" s="2">
        <f>IFERROR(__xludf.DUMMYFUNCTION("""COMPUTED_VALUE"""),27.28)</f>
        <v>27.28</v>
      </c>
      <c r="E861" s="2">
        <f>IFERROR(__xludf.DUMMYFUNCTION("""COMPUTED_VALUE"""),27.31)</f>
        <v>27.31</v>
      </c>
      <c r="F861" s="2">
        <f>IFERROR(__xludf.DUMMYFUNCTION("""COMPUTED_VALUE"""),647800.0)</f>
        <v>647800</v>
      </c>
    </row>
    <row r="862">
      <c r="A862" s="3">
        <f>IFERROR(__xludf.DUMMYFUNCTION("""COMPUTED_VALUE"""),30463.666666666668)</f>
        <v>30463.66667</v>
      </c>
      <c r="B862" s="2">
        <f>IFERROR(__xludf.DUMMYFUNCTION("""COMPUTED_VALUE"""),26.98)</f>
        <v>26.98</v>
      </c>
      <c r="C862" s="2">
        <f>IFERROR(__xludf.DUMMYFUNCTION("""COMPUTED_VALUE"""),27.46)</f>
        <v>27.46</v>
      </c>
      <c r="D862" s="2">
        <f>IFERROR(__xludf.DUMMYFUNCTION("""COMPUTED_VALUE"""),26.95)</f>
        <v>26.95</v>
      </c>
      <c r="E862" s="2">
        <f>IFERROR(__xludf.DUMMYFUNCTION("""COMPUTED_VALUE"""),26.98)</f>
        <v>26.98</v>
      </c>
      <c r="F862" s="2">
        <f>IFERROR(__xludf.DUMMYFUNCTION("""COMPUTED_VALUE"""),404400.0)</f>
        <v>404400</v>
      </c>
    </row>
    <row r="863">
      <c r="A863" s="3">
        <f>IFERROR(__xludf.DUMMYFUNCTION("""COMPUTED_VALUE"""),30467.666666666668)</f>
        <v>30467.66667</v>
      </c>
      <c r="B863" s="2">
        <f>IFERROR(__xludf.DUMMYFUNCTION("""COMPUTED_VALUE"""),26.57)</f>
        <v>26.57</v>
      </c>
      <c r="C863" s="2">
        <f>IFERROR(__xludf.DUMMYFUNCTION("""COMPUTED_VALUE"""),26.95)</f>
        <v>26.95</v>
      </c>
      <c r="D863" s="2">
        <f>IFERROR(__xludf.DUMMYFUNCTION("""COMPUTED_VALUE"""),26.33)</f>
        <v>26.33</v>
      </c>
      <c r="E863" s="2">
        <f>IFERROR(__xludf.DUMMYFUNCTION("""COMPUTED_VALUE"""),26.57)</f>
        <v>26.57</v>
      </c>
      <c r="F863" s="2">
        <f>IFERROR(__xludf.DUMMYFUNCTION("""COMPUTED_VALUE"""),734800.0)</f>
        <v>734800</v>
      </c>
    </row>
    <row r="864">
      <c r="A864" s="3">
        <f>IFERROR(__xludf.DUMMYFUNCTION("""COMPUTED_VALUE"""),30468.666666666668)</f>
        <v>30468.66667</v>
      </c>
      <c r="B864" s="2">
        <f>IFERROR(__xludf.DUMMYFUNCTION("""COMPUTED_VALUE"""),26.71)</f>
        <v>26.71</v>
      </c>
      <c r="C864" s="2">
        <f>IFERROR(__xludf.DUMMYFUNCTION("""COMPUTED_VALUE"""),26.71)</f>
        <v>26.71</v>
      </c>
      <c r="D864" s="2">
        <f>IFERROR(__xludf.DUMMYFUNCTION("""COMPUTED_VALUE"""),26.33)</f>
        <v>26.33</v>
      </c>
      <c r="E864" s="2">
        <f>IFERROR(__xludf.DUMMYFUNCTION("""COMPUTED_VALUE"""),26.71)</f>
        <v>26.71</v>
      </c>
      <c r="F864" s="2">
        <f>IFERROR(__xludf.DUMMYFUNCTION("""COMPUTED_VALUE"""),890300.0)</f>
        <v>890300</v>
      </c>
    </row>
    <row r="865">
      <c r="A865" s="3">
        <f>IFERROR(__xludf.DUMMYFUNCTION("""COMPUTED_VALUE"""),30469.666666666668)</f>
        <v>30469.66667</v>
      </c>
      <c r="B865" s="2">
        <f>IFERROR(__xludf.DUMMYFUNCTION("""COMPUTED_VALUE"""),27.1)</f>
        <v>27.1</v>
      </c>
      <c r="C865" s="2">
        <f>IFERROR(__xludf.DUMMYFUNCTION("""COMPUTED_VALUE"""),27.19)</f>
        <v>27.19</v>
      </c>
      <c r="D865" s="2">
        <f>IFERROR(__xludf.DUMMYFUNCTION("""COMPUTED_VALUE"""),26.57)</f>
        <v>26.57</v>
      </c>
      <c r="E865" s="2">
        <f>IFERROR(__xludf.DUMMYFUNCTION("""COMPUTED_VALUE"""),27.1)</f>
        <v>27.1</v>
      </c>
      <c r="F865" s="2">
        <f>IFERROR(__xludf.DUMMYFUNCTION("""COMPUTED_VALUE"""),803000.0)</f>
        <v>803000</v>
      </c>
    </row>
    <row r="866">
      <c r="A866" s="3">
        <f>IFERROR(__xludf.DUMMYFUNCTION("""COMPUTED_VALUE"""),30470.666666666668)</f>
        <v>30470.66667</v>
      </c>
      <c r="B866" s="2">
        <f>IFERROR(__xludf.DUMMYFUNCTION("""COMPUTED_VALUE"""),27.22)</f>
        <v>27.22</v>
      </c>
      <c r="C866" s="2">
        <f>IFERROR(__xludf.DUMMYFUNCTION("""COMPUTED_VALUE"""),27.43)</f>
        <v>27.43</v>
      </c>
      <c r="D866" s="2">
        <f>IFERROR(__xludf.DUMMYFUNCTION("""COMPUTED_VALUE"""),26.98)</f>
        <v>26.98</v>
      </c>
      <c r="E866" s="2">
        <f>IFERROR(__xludf.DUMMYFUNCTION("""COMPUTED_VALUE"""),27.22)</f>
        <v>27.22</v>
      </c>
      <c r="F866" s="2">
        <f>IFERROR(__xludf.DUMMYFUNCTION("""COMPUTED_VALUE"""),662100.0)</f>
        <v>662100</v>
      </c>
    </row>
    <row r="867">
      <c r="A867" s="3">
        <f>IFERROR(__xludf.DUMMYFUNCTION("""COMPUTED_VALUE"""),30473.666666666668)</f>
        <v>30473.66667</v>
      </c>
      <c r="B867" s="2">
        <f>IFERROR(__xludf.DUMMYFUNCTION("""COMPUTED_VALUE"""),27.64)</f>
        <v>27.64</v>
      </c>
      <c r="C867" s="2">
        <f>IFERROR(__xludf.DUMMYFUNCTION("""COMPUTED_VALUE"""),27.73)</f>
        <v>27.73</v>
      </c>
      <c r="D867" s="2">
        <f>IFERROR(__xludf.DUMMYFUNCTION("""COMPUTED_VALUE"""),27.13)</f>
        <v>27.13</v>
      </c>
      <c r="E867" s="2">
        <f>IFERROR(__xludf.DUMMYFUNCTION("""COMPUTED_VALUE"""),27.64)</f>
        <v>27.64</v>
      </c>
      <c r="F867" s="2">
        <f>IFERROR(__xludf.DUMMYFUNCTION("""COMPUTED_VALUE"""),573900.0)</f>
        <v>573900</v>
      </c>
    </row>
    <row r="868">
      <c r="A868" s="3">
        <f>IFERROR(__xludf.DUMMYFUNCTION("""COMPUTED_VALUE"""),30474.666666666668)</f>
        <v>30474.66667</v>
      </c>
      <c r="B868" s="2">
        <f>IFERROR(__xludf.DUMMYFUNCTION("""COMPUTED_VALUE"""),27.01)</f>
        <v>27.01</v>
      </c>
      <c r="C868" s="2">
        <f>IFERROR(__xludf.DUMMYFUNCTION("""COMPUTED_VALUE"""),27.76)</f>
        <v>27.76</v>
      </c>
      <c r="D868" s="2">
        <f>IFERROR(__xludf.DUMMYFUNCTION("""COMPUTED_VALUE"""),26.98)</f>
        <v>26.98</v>
      </c>
      <c r="E868" s="2">
        <f>IFERROR(__xludf.DUMMYFUNCTION("""COMPUTED_VALUE"""),27.01)</f>
        <v>27.01</v>
      </c>
      <c r="F868" s="2">
        <f>IFERROR(__xludf.DUMMYFUNCTION("""COMPUTED_VALUE"""),791400.0)</f>
        <v>791400</v>
      </c>
    </row>
    <row r="869">
      <c r="A869" s="3">
        <f>IFERROR(__xludf.DUMMYFUNCTION("""COMPUTED_VALUE"""),30475.666666666668)</f>
        <v>30475.66667</v>
      </c>
      <c r="B869" s="2">
        <f>IFERROR(__xludf.DUMMYFUNCTION("""COMPUTED_VALUE"""),27.07)</f>
        <v>27.07</v>
      </c>
      <c r="C869" s="2">
        <f>IFERROR(__xludf.DUMMYFUNCTION("""COMPUTED_VALUE"""),27.4)</f>
        <v>27.4</v>
      </c>
      <c r="D869" s="2">
        <f>IFERROR(__xludf.DUMMYFUNCTION("""COMPUTED_VALUE"""),26.89)</f>
        <v>26.89</v>
      </c>
      <c r="E869" s="2">
        <f>IFERROR(__xludf.DUMMYFUNCTION("""COMPUTED_VALUE"""),27.07)</f>
        <v>27.07</v>
      </c>
      <c r="F869" s="2">
        <f>IFERROR(__xludf.DUMMYFUNCTION("""COMPUTED_VALUE"""),831700.0)</f>
        <v>831700</v>
      </c>
    </row>
    <row r="870">
      <c r="A870" s="3">
        <f>IFERROR(__xludf.DUMMYFUNCTION("""COMPUTED_VALUE"""),30476.666666666668)</f>
        <v>30476.66667</v>
      </c>
      <c r="B870" s="2">
        <f>IFERROR(__xludf.DUMMYFUNCTION("""COMPUTED_VALUE"""),27.16)</f>
        <v>27.16</v>
      </c>
      <c r="C870" s="2">
        <f>IFERROR(__xludf.DUMMYFUNCTION("""COMPUTED_VALUE"""),27.34)</f>
        <v>27.34</v>
      </c>
      <c r="D870" s="2">
        <f>IFERROR(__xludf.DUMMYFUNCTION("""COMPUTED_VALUE"""),27.01)</f>
        <v>27.01</v>
      </c>
      <c r="E870" s="2">
        <f>IFERROR(__xludf.DUMMYFUNCTION("""COMPUTED_VALUE"""),27.16)</f>
        <v>27.16</v>
      </c>
      <c r="F870" s="2">
        <f>IFERROR(__xludf.DUMMYFUNCTION("""COMPUTED_VALUE"""),672300.0)</f>
        <v>672300</v>
      </c>
    </row>
    <row r="871">
      <c r="A871" s="3">
        <f>IFERROR(__xludf.DUMMYFUNCTION("""COMPUTED_VALUE"""),30477.666666666668)</f>
        <v>30477.66667</v>
      </c>
      <c r="B871" s="2">
        <f>IFERROR(__xludf.DUMMYFUNCTION("""COMPUTED_VALUE"""),27.28)</f>
        <v>27.28</v>
      </c>
      <c r="C871" s="2">
        <f>IFERROR(__xludf.DUMMYFUNCTION("""COMPUTED_VALUE"""),27.37)</f>
        <v>27.37</v>
      </c>
      <c r="D871" s="2">
        <f>IFERROR(__xludf.DUMMYFUNCTION("""COMPUTED_VALUE"""),27.13)</f>
        <v>27.13</v>
      </c>
      <c r="E871" s="2">
        <f>IFERROR(__xludf.DUMMYFUNCTION("""COMPUTED_VALUE"""),27.28)</f>
        <v>27.28</v>
      </c>
      <c r="F871" s="2">
        <f>IFERROR(__xludf.DUMMYFUNCTION("""COMPUTED_VALUE"""),419600.0)</f>
        <v>419600</v>
      </c>
    </row>
    <row r="872">
      <c r="A872" s="3">
        <f>IFERROR(__xludf.DUMMYFUNCTION("""COMPUTED_VALUE"""),30480.666666666668)</f>
        <v>30480.66667</v>
      </c>
      <c r="B872" s="2">
        <f>IFERROR(__xludf.DUMMYFUNCTION("""COMPUTED_VALUE"""),28.0)</f>
        <v>28</v>
      </c>
      <c r="C872" s="2">
        <f>IFERROR(__xludf.DUMMYFUNCTION("""COMPUTED_VALUE"""),28.0)</f>
        <v>28</v>
      </c>
      <c r="D872" s="2">
        <f>IFERROR(__xludf.DUMMYFUNCTION("""COMPUTED_VALUE"""),27.25)</f>
        <v>27.25</v>
      </c>
      <c r="E872" s="2">
        <f>IFERROR(__xludf.DUMMYFUNCTION("""COMPUTED_VALUE"""),28.0)</f>
        <v>28</v>
      </c>
      <c r="F872" s="2">
        <f>IFERROR(__xludf.DUMMYFUNCTION("""COMPUTED_VALUE"""),737800.0)</f>
        <v>737800</v>
      </c>
    </row>
    <row r="873">
      <c r="A873" s="3">
        <f>IFERROR(__xludf.DUMMYFUNCTION("""COMPUTED_VALUE"""),30481.666666666668)</f>
        <v>30481.66667</v>
      </c>
      <c r="B873" s="2">
        <f>IFERROR(__xludf.DUMMYFUNCTION("""COMPUTED_VALUE"""),28.18)</f>
        <v>28.18</v>
      </c>
      <c r="C873" s="2">
        <f>IFERROR(__xludf.DUMMYFUNCTION("""COMPUTED_VALUE"""),28.6)</f>
        <v>28.6</v>
      </c>
      <c r="D873" s="2">
        <f>IFERROR(__xludf.DUMMYFUNCTION("""COMPUTED_VALUE"""),27.94)</f>
        <v>27.94</v>
      </c>
      <c r="E873" s="2">
        <f>IFERROR(__xludf.DUMMYFUNCTION("""COMPUTED_VALUE"""),28.18)</f>
        <v>28.18</v>
      </c>
      <c r="F873" s="2">
        <f>IFERROR(__xludf.DUMMYFUNCTION("""COMPUTED_VALUE"""),971500.0)</f>
        <v>971500</v>
      </c>
    </row>
    <row r="874">
      <c r="A874" s="3">
        <f>IFERROR(__xludf.DUMMYFUNCTION("""COMPUTED_VALUE"""),30482.666666666668)</f>
        <v>30482.66667</v>
      </c>
      <c r="B874" s="2">
        <f>IFERROR(__xludf.DUMMYFUNCTION("""COMPUTED_VALUE"""),28.89)</f>
        <v>28.89</v>
      </c>
      <c r="C874" s="2">
        <f>IFERROR(__xludf.DUMMYFUNCTION("""COMPUTED_VALUE"""),28.89)</f>
        <v>28.89</v>
      </c>
      <c r="D874" s="2">
        <f>IFERROR(__xludf.DUMMYFUNCTION("""COMPUTED_VALUE"""),28.21)</f>
        <v>28.21</v>
      </c>
      <c r="E874" s="2">
        <f>IFERROR(__xludf.DUMMYFUNCTION("""COMPUTED_VALUE"""),28.89)</f>
        <v>28.89</v>
      </c>
      <c r="F874" s="2">
        <f>IFERROR(__xludf.DUMMYFUNCTION("""COMPUTED_VALUE"""),1170300.0)</f>
        <v>1170300</v>
      </c>
    </row>
    <row r="875">
      <c r="A875" s="3">
        <f>IFERROR(__xludf.DUMMYFUNCTION("""COMPUTED_VALUE"""),30483.666666666668)</f>
        <v>30483.66667</v>
      </c>
      <c r="B875" s="2">
        <f>IFERROR(__xludf.DUMMYFUNCTION("""COMPUTED_VALUE"""),29.07)</f>
        <v>29.07</v>
      </c>
      <c r="C875" s="2">
        <f>IFERROR(__xludf.DUMMYFUNCTION("""COMPUTED_VALUE"""),29.34)</f>
        <v>29.34</v>
      </c>
      <c r="D875" s="2">
        <f>IFERROR(__xludf.DUMMYFUNCTION("""COMPUTED_VALUE"""),29.01)</f>
        <v>29.01</v>
      </c>
      <c r="E875" s="2">
        <f>IFERROR(__xludf.DUMMYFUNCTION("""COMPUTED_VALUE"""),29.07)</f>
        <v>29.07</v>
      </c>
      <c r="F875" s="2">
        <f>IFERROR(__xludf.DUMMYFUNCTION("""COMPUTED_VALUE"""),1233400.0)</f>
        <v>1233400</v>
      </c>
    </row>
    <row r="876">
      <c r="A876" s="3">
        <f>IFERROR(__xludf.DUMMYFUNCTION("""COMPUTED_VALUE"""),30484.666666666668)</f>
        <v>30484.66667</v>
      </c>
      <c r="B876" s="2">
        <f>IFERROR(__xludf.DUMMYFUNCTION("""COMPUTED_VALUE"""),28.92)</f>
        <v>28.92</v>
      </c>
      <c r="C876" s="2">
        <f>IFERROR(__xludf.DUMMYFUNCTION("""COMPUTED_VALUE"""),29.19)</f>
        <v>29.19</v>
      </c>
      <c r="D876" s="2">
        <f>IFERROR(__xludf.DUMMYFUNCTION("""COMPUTED_VALUE"""),28.71)</f>
        <v>28.71</v>
      </c>
      <c r="E876" s="2">
        <f>IFERROR(__xludf.DUMMYFUNCTION("""COMPUTED_VALUE"""),28.92)</f>
        <v>28.92</v>
      </c>
      <c r="F876" s="2">
        <f>IFERROR(__xludf.DUMMYFUNCTION("""COMPUTED_VALUE"""),625500.0)</f>
        <v>625500</v>
      </c>
    </row>
    <row r="877">
      <c r="A877" s="3">
        <f>IFERROR(__xludf.DUMMYFUNCTION("""COMPUTED_VALUE"""),30487.666666666668)</f>
        <v>30487.66667</v>
      </c>
      <c r="B877" s="2">
        <f>IFERROR(__xludf.DUMMYFUNCTION("""COMPUTED_VALUE"""),29.13)</f>
        <v>29.13</v>
      </c>
      <c r="C877" s="2">
        <f>IFERROR(__xludf.DUMMYFUNCTION("""COMPUTED_VALUE"""),29.31)</f>
        <v>29.31</v>
      </c>
      <c r="D877" s="2">
        <f>IFERROR(__xludf.DUMMYFUNCTION("""COMPUTED_VALUE"""),29.01)</f>
        <v>29.01</v>
      </c>
      <c r="E877" s="2">
        <f>IFERROR(__xludf.DUMMYFUNCTION("""COMPUTED_VALUE"""),29.13)</f>
        <v>29.13</v>
      </c>
      <c r="F877" s="2">
        <f>IFERROR(__xludf.DUMMYFUNCTION("""COMPUTED_VALUE"""),648400.0)</f>
        <v>648400</v>
      </c>
    </row>
    <row r="878">
      <c r="A878" s="3">
        <f>IFERROR(__xludf.DUMMYFUNCTION("""COMPUTED_VALUE"""),30488.666666666668)</f>
        <v>30488.66667</v>
      </c>
      <c r="B878" s="2">
        <f>IFERROR(__xludf.DUMMYFUNCTION("""COMPUTED_VALUE"""),29.4)</f>
        <v>29.4</v>
      </c>
      <c r="C878" s="2">
        <f>IFERROR(__xludf.DUMMYFUNCTION("""COMPUTED_VALUE"""),29.52)</f>
        <v>29.52</v>
      </c>
      <c r="D878" s="2">
        <f>IFERROR(__xludf.DUMMYFUNCTION("""COMPUTED_VALUE"""),28.8)</f>
        <v>28.8</v>
      </c>
      <c r="E878" s="2">
        <f>IFERROR(__xludf.DUMMYFUNCTION("""COMPUTED_VALUE"""),29.4)</f>
        <v>29.4</v>
      </c>
      <c r="F878" s="2">
        <f>IFERROR(__xludf.DUMMYFUNCTION("""COMPUTED_VALUE"""),827200.0)</f>
        <v>827200</v>
      </c>
    </row>
    <row r="879">
      <c r="A879" s="3">
        <f>IFERROR(__xludf.DUMMYFUNCTION("""COMPUTED_VALUE"""),30489.666666666668)</f>
        <v>30489.66667</v>
      </c>
      <c r="B879" s="2">
        <f>IFERROR(__xludf.DUMMYFUNCTION("""COMPUTED_VALUE"""),29.49)</f>
        <v>29.49</v>
      </c>
      <c r="C879" s="2">
        <f>IFERROR(__xludf.DUMMYFUNCTION("""COMPUTED_VALUE"""),29.73)</f>
        <v>29.73</v>
      </c>
      <c r="D879" s="2">
        <f>IFERROR(__xludf.DUMMYFUNCTION("""COMPUTED_VALUE"""),29.25)</f>
        <v>29.25</v>
      </c>
      <c r="E879" s="2">
        <f>IFERROR(__xludf.DUMMYFUNCTION("""COMPUTED_VALUE"""),29.49)</f>
        <v>29.49</v>
      </c>
      <c r="F879" s="2">
        <f>IFERROR(__xludf.DUMMYFUNCTION("""COMPUTED_VALUE"""),734300.0)</f>
        <v>734300</v>
      </c>
    </row>
    <row r="880">
      <c r="A880" s="3">
        <f>IFERROR(__xludf.DUMMYFUNCTION("""COMPUTED_VALUE"""),30490.666666666668)</f>
        <v>30490.66667</v>
      </c>
      <c r="B880" s="2">
        <f>IFERROR(__xludf.DUMMYFUNCTION("""COMPUTED_VALUE"""),29.43)</f>
        <v>29.43</v>
      </c>
      <c r="C880" s="2">
        <f>IFERROR(__xludf.DUMMYFUNCTION("""COMPUTED_VALUE"""),29.55)</f>
        <v>29.55</v>
      </c>
      <c r="D880" s="2">
        <f>IFERROR(__xludf.DUMMYFUNCTION("""COMPUTED_VALUE"""),29.31)</f>
        <v>29.31</v>
      </c>
      <c r="E880" s="2">
        <f>IFERROR(__xludf.DUMMYFUNCTION("""COMPUTED_VALUE"""),29.43)</f>
        <v>29.43</v>
      </c>
      <c r="F880" s="2">
        <f>IFERROR(__xludf.DUMMYFUNCTION("""COMPUTED_VALUE"""),582000.0)</f>
        <v>582000</v>
      </c>
    </row>
    <row r="881">
      <c r="A881" s="3">
        <f>IFERROR(__xludf.DUMMYFUNCTION("""COMPUTED_VALUE"""),30491.666666666668)</f>
        <v>30491.66667</v>
      </c>
      <c r="B881" s="2">
        <f>IFERROR(__xludf.DUMMYFUNCTION("""COMPUTED_VALUE"""),29.37)</f>
        <v>29.37</v>
      </c>
      <c r="C881" s="2">
        <f>IFERROR(__xludf.DUMMYFUNCTION("""COMPUTED_VALUE"""),29.58)</f>
        <v>29.58</v>
      </c>
      <c r="D881" s="2">
        <f>IFERROR(__xludf.DUMMYFUNCTION("""COMPUTED_VALUE"""),29.28)</f>
        <v>29.28</v>
      </c>
      <c r="E881" s="2">
        <f>IFERROR(__xludf.DUMMYFUNCTION("""COMPUTED_VALUE"""),29.37)</f>
        <v>29.37</v>
      </c>
      <c r="F881" s="2">
        <f>IFERROR(__xludf.DUMMYFUNCTION("""COMPUTED_VALUE"""),446300.0)</f>
        <v>446300</v>
      </c>
    </row>
    <row r="882">
      <c r="A882" s="3">
        <f>IFERROR(__xludf.DUMMYFUNCTION("""COMPUTED_VALUE"""),30494.666666666668)</f>
        <v>30494.66667</v>
      </c>
      <c r="B882" s="2">
        <f>IFERROR(__xludf.DUMMYFUNCTION("""COMPUTED_VALUE"""),28.86)</f>
        <v>28.86</v>
      </c>
      <c r="C882" s="2">
        <f>IFERROR(__xludf.DUMMYFUNCTION("""COMPUTED_VALUE"""),29.31)</f>
        <v>29.31</v>
      </c>
      <c r="D882" s="2">
        <f>IFERROR(__xludf.DUMMYFUNCTION("""COMPUTED_VALUE"""),28.71)</f>
        <v>28.71</v>
      </c>
      <c r="E882" s="2">
        <f>IFERROR(__xludf.DUMMYFUNCTION("""COMPUTED_VALUE"""),28.86)</f>
        <v>28.86</v>
      </c>
      <c r="F882" s="2">
        <f>IFERROR(__xludf.DUMMYFUNCTION("""COMPUTED_VALUE"""),542900.0)</f>
        <v>542900</v>
      </c>
    </row>
    <row r="883">
      <c r="A883" s="3">
        <f>IFERROR(__xludf.DUMMYFUNCTION("""COMPUTED_VALUE"""),30495.666666666668)</f>
        <v>30495.66667</v>
      </c>
      <c r="B883" s="2">
        <f>IFERROR(__xludf.DUMMYFUNCTION("""COMPUTED_VALUE"""),28.18)</f>
        <v>28.18</v>
      </c>
      <c r="C883" s="2">
        <f>IFERROR(__xludf.DUMMYFUNCTION("""COMPUTED_VALUE"""),28.98)</f>
        <v>28.98</v>
      </c>
      <c r="D883" s="2">
        <f>IFERROR(__xludf.DUMMYFUNCTION("""COMPUTED_VALUE"""),28.12)</f>
        <v>28.12</v>
      </c>
      <c r="E883" s="2">
        <f>IFERROR(__xludf.DUMMYFUNCTION("""COMPUTED_VALUE"""),28.18)</f>
        <v>28.18</v>
      </c>
      <c r="F883" s="2">
        <f>IFERROR(__xludf.DUMMYFUNCTION("""COMPUTED_VALUE"""),865300.0)</f>
        <v>865300</v>
      </c>
    </row>
    <row r="884">
      <c r="A884" s="3">
        <f>IFERROR(__xludf.DUMMYFUNCTION("""COMPUTED_VALUE"""),30496.666666666668)</f>
        <v>30496.66667</v>
      </c>
      <c r="B884" s="2">
        <f>IFERROR(__xludf.DUMMYFUNCTION("""COMPUTED_VALUE"""),28.65)</f>
        <v>28.65</v>
      </c>
      <c r="C884" s="2">
        <f>IFERROR(__xludf.DUMMYFUNCTION("""COMPUTED_VALUE"""),28.86)</f>
        <v>28.86</v>
      </c>
      <c r="D884" s="2">
        <f>IFERROR(__xludf.DUMMYFUNCTION("""COMPUTED_VALUE"""),28.15)</f>
        <v>28.15</v>
      </c>
      <c r="E884" s="2">
        <f>IFERROR(__xludf.DUMMYFUNCTION("""COMPUTED_VALUE"""),28.65)</f>
        <v>28.65</v>
      </c>
      <c r="F884" s="2">
        <f>IFERROR(__xludf.DUMMYFUNCTION("""COMPUTED_VALUE"""),669800.0)</f>
        <v>669800</v>
      </c>
    </row>
    <row r="885">
      <c r="A885" s="3">
        <f>IFERROR(__xludf.DUMMYFUNCTION("""COMPUTED_VALUE"""),30497.666666666668)</f>
        <v>30497.66667</v>
      </c>
      <c r="B885" s="2">
        <f>IFERROR(__xludf.DUMMYFUNCTION("""COMPUTED_VALUE"""),28.71)</f>
        <v>28.71</v>
      </c>
      <c r="C885" s="2">
        <f>IFERROR(__xludf.DUMMYFUNCTION("""COMPUTED_VALUE"""),28.89)</f>
        <v>28.89</v>
      </c>
      <c r="D885" s="2">
        <f>IFERROR(__xludf.DUMMYFUNCTION("""COMPUTED_VALUE"""),28.6)</f>
        <v>28.6</v>
      </c>
      <c r="E885" s="2">
        <f>IFERROR(__xludf.DUMMYFUNCTION("""COMPUTED_VALUE"""),28.71)</f>
        <v>28.71</v>
      </c>
      <c r="F885" s="2">
        <f>IFERROR(__xludf.DUMMYFUNCTION("""COMPUTED_VALUE"""),556200.0)</f>
        <v>556200</v>
      </c>
    </row>
    <row r="886">
      <c r="A886" s="3">
        <f>IFERROR(__xludf.DUMMYFUNCTION("""COMPUTED_VALUE"""),30498.666666666668)</f>
        <v>30498.66667</v>
      </c>
      <c r="B886" s="2">
        <f>IFERROR(__xludf.DUMMYFUNCTION("""COMPUTED_VALUE"""),28.89)</f>
        <v>28.89</v>
      </c>
      <c r="C886" s="2">
        <f>IFERROR(__xludf.DUMMYFUNCTION("""COMPUTED_VALUE"""),28.95)</f>
        <v>28.95</v>
      </c>
      <c r="D886" s="2">
        <f>IFERROR(__xludf.DUMMYFUNCTION("""COMPUTED_VALUE"""),28.74)</f>
        <v>28.74</v>
      </c>
      <c r="E886" s="2">
        <f>IFERROR(__xludf.DUMMYFUNCTION("""COMPUTED_VALUE"""),28.89)</f>
        <v>28.89</v>
      </c>
      <c r="F886" s="2">
        <f>IFERROR(__xludf.DUMMYFUNCTION("""COMPUTED_VALUE"""),373100.0)</f>
        <v>373100</v>
      </c>
    </row>
    <row r="887">
      <c r="A887" s="3">
        <f>IFERROR(__xludf.DUMMYFUNCTION("""COMPUTED_VALUE"""),30502.666666666668)</f>
        <v>30502.66667</v>
      </c>
      <c r="B887" s="2">
        <f>IFERROR(__xludf.DUMMYFUNCTION("""COMPUTED_VALUE"""),28.48)</f>
        <v>28.48</v>
      </c>
      <c r="C887" s="2">
        <f>IFERROR(__xludf.DUMMYFUNCTION("""COMPUTED_VALUE"""),28.57)</f>
        <v>28.57</v>
      </c>
      <c r="D887" s="2">
        <f>IFERROR(__xludf.DUMMYFUNCTION("""COMPUTED_VALUE"""),28.33)</f>
        <v>28.33</v>
      </c>
      <c r="E887" s="2">
        <f>IFERROR(__xludf.DUMMYFUNCTION("""COMPUTED_VALUE"""),28.48)</f>
        <v>28.48</v>
      </c>
      <c r="F887" s="2">
        <f>IFERROR(__xludf.DUMMYFUNCTION("""COMPUTED_VALUE"""),943300.0)</f>
        <v>943300</v>
      </c>
    </row>
    <row r="888">
      <c r="A888" s="3">
        <f>IFERROR(__xludf.DUMMYFUNCTION("""COMPUTED_VALUE"""),30503.666666666668)</f>
        <v>30503.66667</v>
      </c>
      <c r="B888" s="2">
        <f>IFERROR(__xludf.DUMMYFUNCTION("""COMPUTED_VALUE"""),29.04)</f>
        <v>29.04</v>
      </c>
      <c r="C888" s="2">
        <f>IFERROR(__xludf.DUMMYFUNCTION("""COMPUTED_VALUE"""),29.07)</f>
        <v>29.07</v>
      </c>
      <c r="D888" s="2">
        <f>IFERROR(__xludf.DUMMYFUNCTION("""COMPUTED_VALUE"""),28.42)</f>
        <v>28.42</v>
      </c>
      <c r="E888" s="2">
        <f>IFERROR(__xludf.DUMMYFUNCTION("""COMPUTED_VALUE"""),29.04)</f>
        <v>29.04</v>
      </c>
      <c r="F888" s="2">
        <f>IFERROR(__xludf.DUMMYFUNCTION("""COMPUTED_VALUE"""),679200.0)</f>
        <v>679200</v>
      </c>
    </row>
    <row r="889">
      <c r="A889" s="3">
        <f>IFERROR(__xludf.DUMMYFUNCTION("""COMPUTED_VALUE"""),30504.666666666668)</f>
        <v>30504.66667</v>
      </c>
      <c r="B889" s="2">
        <f>IFERROR(__xludf.DUMMYFUNCTION("""COMPUTED_VALUE"""),28.6)</f>
        <v>28.6</v>
      </c>
      <c r="C889" s="2">
        <f>IFERROR(__xludf.DUMMYFUNCTION("""COMPUTED_VALUE"""),29.31)</f>
        <v>29.31</v>
      </c>
      <c r="D889" s="2">
        <f>IFERROR(__xludf.DUMMYFUNCTION("""COMPUTED_VALUE"""),28.6)</f>
        <v>28.6</v>
      </c>
      <c r="E889" s="2">
        <f>IFERROR(__xludf.DUMMYFUNCTION("""COMPUTED_VALUE"""),28.6)</f>
        <v>28.6</v>
      </c>
      <c r="F889" s="2">
        <f>IFERROR(__xludf.DUMMYFUNCTION("""COMPUTED_VALUE"""),965500.0)</f>
        <v>965500</v>
      </c>
    </row>
    <row r="890">
      <c r="A890" s="3">
        <f>IFERROR(__xludf.DUMMYFUNCTION("""COMPUTED_VALUE"""),30505.666666666668)</f>
        <v>30505.66667</v>
      </c>
      <c r="B890" s="2">
        <f>IFERROR(__xludf.DUMMYFUNCTION("""COMPUTED_VALUE"""),29.01)</f>
        <v>29.01</v>
      </c>
      <c r="C890" s="2">
        <f>IFERROR(__xludf.DUMMYFUNCTION("""COMPUTED_VALUE"""),29.01)</f>
        <v>29.01</v>
      </c>
      <c r="D890" s="2">
        <f>IFERROR(__xludf.DUMMYFUNCTION("""COMPUTED_VALUE"""),28.71)</f>
        <v>28.71</v>
      </c>
      <c r="E890" s="2">
        <f>IFERROR(__xludf.DUMMYFUNCTION("""COMPUTED_VALUE"""),29.01)</f>
        <v>29.01</v>
      </c>
      <c r="F890" s="2">
        <f>IFERROR(__xludf.DUMMYFUNCTION("""COMPUTED_VALUE"""),434600.0)</f>
        <v>434600</v>
      </c>
    </row>
    <row r="891">
      <c r="A891" s="3">
        <f>IFERROR(__xludf.DUMMYFUNCTION("""COMPUTED_VALUE"""),30508.666666666668)</f>
        <v>30508.66667</v>
      </c>
      <c r="B891" s="2">
        <f>IFERROR(__xludf.DUMMYFUNCTION("""COMPUTED_VALUE"""),29.43)</f>
        <v>29.43</v>
      </c>
      <c r="C891" s="2">
        <f>IFERROR(__xludf.DUMMYFUNCTION("""COMPUTED_VALUE"""),29.46)</f>
        <v>29.46</v>
      </c>
      <c r="D891" s="2">
        <f>IFERROR(__xludf.DUMMYFUNCTION("""COMPUTED_VALUE"""),29.01)</f>
        <v>29.01</v>
      </c>
      <c r="E891" s="2">
        <f>IFERROR(__xludf.DUMMYFUNCTION("""COMPUTED_VALUE"""),29.43)</f>
        <v>29.43</v>
      </c>
      <c r="F891" s="2">
        <f>IFERROR(__xludf.DUMMYFUNCTION("""COMPUTED_VALUE"""),776700.0)</f>
        <v>776700</v>
      </c>
    </row>
    <row r="892">
      <c r="A892" s="3">
        <f>IFERROR(__xludf.DUMMYFUNCTION("""COMPUTED_VALUE"""),30509.666666666668)</f>
        <v>30509.66667</v>
      </c>
      <c r="B892" s="2">
        <f>IFERROR(__xludf.DUMMYFUNCTION("""COMPUTED_VALUE"""),28.86)</f>
        <v>28.86</v>
      </c>
      <c r="C892" s="2">
        <f>IFERROR(__xludf.DUMMYFUNCTION("""COMPUTED_VALUE"""),29.49)</f>
        <v>29.49</v>
      </c>
      <c r="D892" s="2">
        <f>IFERROR(__xludf.DUMMYFUNCTION("""COMPUTED_VALUE"""),28.8)</f>
        <v>28.8</v>
      </c>
      <c r="E892" s="2">
        <f>IFERROR(__xludf.DUMMYFUNCTION("""COMPUTED_VALUE"""),28.86)</f>
        <v>28.86</v>
      </c>
      <c r="F892" s="2">
        <f>IFERROR(__xludf.DUMMYFUNCTION("""COMPUTED_VALUE"""),905600.0)</f>
        <v>905600</v>
      </c>
    </row>
    <row r="893">
      <c r="A893" s="3">
        <f>IFERROR(__xludf.DUMMYFUNCTION("""COMPUTED_VALUE"""),30510.666666666668)</f>
        <v>30510.66667</v>
      </c>
      <c r="B893" s="2">
        <f>IFERROR(__xludf.DUMMYFUNCTION("""COMPUTED_VALUE"""),28.95)</f>
        <v>28.95</v>
      </c>
      <c r="C893" s="2">
        <f>IFERROR(__xludf.DUMMYFUNCTION("""COMPUTED_VALUE"""),29.07)</f>
        <v>29.07</v>
      </c>
      <c r="D893" s="2">
        <f>IFERROR(__xludf.DUMMYFUNCTION("""COMPUTED_VALUE"""),28.71)</f>
        <v>28.71</v>
      </c>
      <c r="E893" s="2">
        <f>IFERROR(__xludf.DUMMYFUNCTION("""COMPUTED_VALUE"""),28.95)</f>
        <v>28.95</v>
      </c>
      <c r="F893" s="2">
        <f>IFERROR(__xludf.DUMMYFUNCTION("""COMPUTED_VALUE"""),619800.0)</f>
        <v>619800</v>
      </c>
    </row>
    <row r="894">
      <c r="A894" s="3">
        <f>IFERROR(__xludf.DUMMYFUNCTION("""COMPUTED_VALUE"""),30511.666666666668)</f>
        <v>30511.66667</v>
      </c>
      <c r="B894" s="2">
        <f>IFERROR(__xludf.DUMMYFUNCTION("""COMPUTED_VALUE"""),29.13)</f>
        <v>29.13</v>
      </c>
      <c r="C894" s="2">
        <f>IFERROR(__xludf.DUMMYFUNCTION("""COMPUTED_VALUE"""),29.61)</f>
        <v>29.61</v>
      </c>
      <c r="D894" s="2">
        <f>IFERROR(__xludf.DUMMYFUNCTION("""COMPUTED_VALUE"""),29.04)</f>
        <v>29.04</v>
      </c>
      <c r="E894" s="2">
        <f>IFERROR(__xludf.DUMMYFUNCTION("""COMPUTED_VALUE"""),29.13)</f>
        <v>29.13</v>
      </c>
      <c r="F894" s="2">
        <f>IFERROR(__xludf.DUMMYFUNCTION("""COMPUTED_VALUE"""),1173500.0)</f>
        <v>1173500</v>
      </c>
    </row>
    <row r="895">
      <c r="A895" s="3">
        <f>IFERROR(__xludf.DUMMYFUNCTION("""COMPUTED_VALUE"""),30512.666666666668)</f>
        <v>30512.66667</v>
      </c>
      <c r="B895" s="2">
        <f>IFERROR(__xludf.DUMMYFUNCTION("""COMPUTED_VALUE"""),28.68)</f>
        <v>28.68</v>
      </c>
      <c r="C895" s="2">
        <f>IFERROR(__xludf.DUMMYFUNCTION("""COMPUTED_VALUE"""),29.07)</f>
        <v>29.07</v>
      </c>
      <c r="D895" s="2">
        <f>IFERROR(__xludf.DUMMYFUNCTION("""COMPUTED_VALUE"""),28.54)</f>
        <v>28.54</v>
      </c>
      <c r="E895" s="2">
        <f>IFERROR(__xludf.DUMMYFUNCTION("""COMPUTED_VALUE"""),28.68)</f>
        <v>28.68</v>
      </c>
      <c r="F895" s="2">
        <f>IFERROR(__xludf.DUMMYFUNCTION("""COMPUTED_VALUE"""),934200.0)</f>
        <v>934200</v>
      </c>
    </row>
    <row r="896">
      <c r="A896" s="3">
        <f>IFERROR(__xludf.DUMMYFUNCTION("""COMPUTED_VALUE"""),30515.666666666668)</f>
        <v>30515.66667</v>
      </c>
      <c r="B896" s="2">
        <f>IFERROR(__xludf.DUMMYFUNCTION("""COMPUTED_VALUE"""),28.63)</f>
        <v>28.63</v>
      </c>
      <c r="C896" s="2">
        <f>IFERROR(__xludf.DUMMYFUNCTION("""COMPUTED_VALUE"""),28.77)</f>
        <v>28.77</v>
      </c>
      <c r="D896" s="2">
        <f>IFERROR(__xludf.DUMMYFUNCTION("""COMPUTED_VALUE"""),28.45)</f>
        <v>28.45</v>
      </c>
      <c r="E896" s="2">
        <f>IFERROR(__xludf.DUMMYFUNCTION("""COMPUTED_VALUE"""),28.63)</f>
        <v>28.63</v>
      </c>
      <c r="F896" s="2">
        <f>IFERROR(__xludf.DUMMYFUNCTION("""COMPUTED_VALUE"""),816500.0)</f>
        <v>816500</v>
      </c>
    </row>
    <row r="897">
      <c r="A897" s="3">
        <f>IFERROR(__xludf.DUMMYFUNCTION("""COMPUTED_VALUE"""),30516.666666666668)</f>
        <v>30516.66667</v>
      </c>
      <c r="B897" s="2">
        <f>IFERROR(__xludf.DUMMYFUNCTION("""COMPUTED_VALUE"""),28.86)</f>
        <v>28.86</v>
      </c>
      <c r="C897" s="2">
        <f>IFERROR(__xludf.DUMMYFUNCTION("""COMPUTED_VALUE"""),29.01)</f>
        <v>29.01</v>
      </c>
      <c r="D897" s="2">
        <f>IFERROR(__xludf.DUMMYFUNCTION("""COMPUTED_VALUE"""),28.65)</f>
        <v>28.65</v>
      </c>
      <c r="E897" s="2">
        <f>IFERROR(__xludf.DUMMYFUNCTION("""COMPUTED_VALUE"""),28.86)</f>
        <v>28.86</v>
      </c>
      <c r="F897" s="2">
        <f>IFERROR(__xludf.DUMMYFUNCTION("""COMPUTED_VALUE"""),731000.0)</f>
        <v>731000</v>
      </c>
    </row>
    <row r="898">
      <c r="A898" s="3">
        <f>IFERROR(__xludf.DUMMYFUNCTION("""COMPUTED_VALUE"""),30517.666666666668)</f>
        <v>30517.66667</v>
      </c>
      <c r="B898" s="2">
        <f>IFERROR(__xludf.DUMMYFUNCTION("""COMPUTED_VALUE"""),29.94)</f>
        <v>29.94</v>
      </c>
      <c r="C898" s="2">
        <f>IFERROR(__xludf.DUMMYFUNCTION("""COMPUTED_VALUE"""),29.94)</f>
        <v>29.94</v>
      </c>
      <c r="D898" s="2">
        <f>IFERROR(__xludf.DUMMYFUNCTION("""COMPUTED_VALUE"""),29.13)</f>
        <v>29.13</v>
      </c>
      <c r="E898" s="2">
        <f>IFERROR(__xludf.DUMMYFUNCTION("""COMPUTED_VALUE"""),29.94)</f>
        <v>29.94</v>
      </c>
      <c r="F898" s="2">
        <f>IFERROR(__xludf.DUMMYFUNCTION("""COMPUTED_VALUE"""),1313600.0)</f>
        <v>1313600</v>
      </c>
    </row>
    <row r="899">
      <c r="A899" s="3">
        <f>IFERROR(__xludf.DUMMYFUNCTION("""COMPUTED_VALUE"""),30518.666666666668)</f>
        <v>30518.66667</v>
      </c>
      <c r="B899" s="2">
        <f>IFERROR(__xludf.DUMMYFUNCTION("""COMPUTED_VALUE"""),29.97)</f>
        <v>29.97</v>
      </c>
      <c r="C899" s="2">
        <f>IFERROR(__xludf.DUMMYFUNCTION("""COMPUTED_VALUE"""),30.15)</f>
        <v>30.15</v>
      </c>
      <c r="D899" s="2">
        <f>IFERROR(__xludf.DUMMYFUNCTION("""COMPUTED_VALUE"""),29.49)</f>
        <v>29.49</v>
      </c>
      <c r="E899" s="2">
        <f>IFERROR(__xludf.DUMMYFUNCTION("""COMPUTED_VALUE"""),29.97)</f>
        <v>29.97</v>
      </c>
      <c r="F899" s="2">
        <f>IFERROR(__xludf.DUMMYFUNCTION("""COMPUTED_VALUE"""),934700.0)</f>
        <v>934700</v>
      </c>
    </row>
    <row r="900">
      <c r="A900" s="3">
        <f>IFERROR(__xludf.DUMMYFUNCTION("""COMPUTED_VALUE"""),30519.666666666668)</f>
        <v>30519.66667</v>
      </c>
      <c r="B900" s="2">
        <f>IFERROR(__xludf.DUMMYFUNCTION("""COMPUTED_VALUE"""),29.7)</f>
        <v>29.7</v>
      </c>
      <c r="C900" s="2">
        <f>IFERROR(__xludf.DUMMYFUNCTION("""COMPUTED_VALUE"""),29.97)</f>
        <v>29.97</v>
      </c>
      <c r="D900" s="2">
        <f>IFERROR(__xludf.DUMMYFUNCTION("""COMPUTED_VALUE"""),29.7)</f>
        <v>29.7</v>
      </c>
      <c r="E900" s="2">
        <f>IFERROR(__xludf.DUMMYFUNCTION("""COMPUTED_VALUE"""),29.7)</f>
        <v>29.7</v>
      </c>
      <c r="F900" s="2">
        <f>IFERROR(__xludf.DUMMYFUNCTION("""COMPUTED_VALUE"""),501800.0)</f>
        <v>501800</v>
      </c>
    </row>
    <row r="901">
      <c r="A901" s="3">
        <f>IFERROR(__xludf.DUMMYFUNCTION("""COMPUTED_VALUE"""),30522.666666666668)</f>
        <v>30522.66667</v>
      </c>
      <c r="B901" s="2">
        <f>IFERROR(__xludf.DUMMYFUNCTION("""COMPUTED_VALUE"""),30.06)</f>
        <v>30.06</v>
      </c>
      <c r="C901" s="2">
        <f>IFERROR(__xludf.DUMMYFUNCTION("""COMPUTED_VALUE"""),30.15)</f>
        <v>30.15</v>
      </c>
      <c r="D901" s="2">
        <f>IFERROR(__xludf.DUMMYFUNCTION("""COMPUTED_VALUE"""),29.49)</f>
        <v>29.49</v>
      </c>
      <c r="E901" s="2">
        <f>IFERROR(__xludf.DUMMYFUNCTION("""COMPUTED_VALUE"""),30.06)</f>
        <v>30.06</v>
      </c>
      <c r="F901" s="2">
        <f>IFERROR(__xludf.DUMMYFUNCTION("""COMPUTED_VALUE"""),742900.0)</f>
        <v>742900</v>
      </c>
    </row>
    <row r="902">
      <c r="A902" s="3">
        <f>IFERROR(__xludf.DUMMYFUNCTION("""COMPUTED_VALUE"""),30523.666666666668)</f>
        <v>30523.66667</v>
      </c>
      <c r="B902" s="2">
        <f>IFERROR(__xludf.DUMMYFUNCTION("""COMPUTED_VALUE"""),30.03)</f>
        <v>30.03</v>
      </c>
      <c r="C902" s="2">
        <f>IFERROR(__xludf.DUMMYFUNCTION("""COMPUTED_VALUE"""),30.33)</f>
        <v>30.33</v>
      </c>
      <c r="D902" s="2">
        <f>IFERROR(__xludf.DUMMYFUNCTION("""COMPUTED_VALUE"""),29.91)</f>
        <v>29.91</v>
      </c>
      <c r="E902" s="2">
        <f>IFERROR(__xludf.DUMMYFUNCTION("""COMPUTED_VALUE"""),30.03)</f>
        <v>30.03</v>
      </c>
      <c r="F902" s="2">
        <f>IFERROR(__xludf.DUMMYFUNCTION("""COMPUTED_VALUE"""),779400.0)</f>
        <v>779400</v>
      </c>
    </row>
    <row r="903">
      <c r="A903" s="3">
        <f>IFERROR(__xludf.DUMMYFUNCTION("""COMPUTED_VALUE"""),30524.666666666668)</f>
        <v>30524.66667</v>
      </c>
      <c r="B903" s="2">
        <f>IFERROR(__xludf.DUMMYFUNCTION("""COMPUTED_VALUE"""),29.46)</f>
        <v>29.46</v>
      </c>
      <c r="C903" s="2">
        <f>IFERROR(__xludf.DUMMYFUNCTION("""COMPUTED_VALUE"""),30.21)</f>
        <v>30.21</v>
      </c>
      <c r="D903" s="2">
        <f>IFERROR(__xludf.DUMMYFUNCTION("""COMPUTED_VALUE"""),29.28)</f>
        <v>29.28</v>
      </c>
      <c r="E903" s="2">
        <f>IFERROR(__xludf.DUMMYFUNCTION("""COMPUTED_VALUE"""),29.46)</f>
        <v>29.46</v>
      </c>
      <c r="F903" s="2">
        <f>IFERROR(__xludf.DUMMYFUNCTION("""COMPUTED_VALUE"""),785800.0)</f>
        <v>785800</v>
      </c>
    </row>
    <row r="904">
      <c r="A904" s="3">
        <f>IFERROR(__xludf.DUMMYFUNCTION("""COMPUTED_VALUE"""),30525.666666666668)</f>
        <v>30525.66667</v>
      </c>
      <c r="B904" s="2">
        <f>IFERROR(__xludf.DUMMYFUNCTION("""COMPUTED_VALUE"""),29.13)</f>
        <v>29.13</v>
      </c>
      <c r="C904" s="2">
        <f>IFERROR(__xludf.DUMMYFUNCTION("""COMPUTED_VALUE"""),29.64)</f>
        <v>29.64</v>
      </c>
      <c r="D904" s="2">
        <f>IFERROR(__xludf.DUMMYFUNCTION("""COMPUTED_VALUE"""),29.01)</f>
        <v>29.01</v>
      </c>
      <c r="E904" s="2">
        <f>IFERROR(__xludf.DUMMYFUNCTION("""COMPUTED_VALUE"""),29.13)</f>
        <v>29.13</v>
      </c>
      <c r="F904" s="2">
        <f>IFERROR(__xludf.DUMMYFUNCTION("""COMPUTED_VALUE"""),715400.0)</f>
        <v>715400</v>
      </c>
    </row>
    <row r="905">
      <c r="A905" s="3">
        <f>IFERROR(__xludf.DUMMYFUNCTION("""COMPUTED_VALUE"""),30526.666666666668)</f>
        <v>30526.66667</v>
      </c>
      <c r="B905" s="2">
        <f>IFERROR(__xludf.DUMMYFUNCTION("""COMPUTED_VALUE"""),28.74)</f>
        <v>28.74</v>
      </c>
      <c r="C905" s="2">
        <f>IFERROR(__xludf.DUMMYFUNCTION("""COMPUTED_VALUE"""),29.13)</f>
        <v>29.13</v>
      </c>
      <c r="D905" s="2">
        <f>IFERROR(__xludf.DUMMYFUNCTION("""COMPUTED_VALUE"""),28.51)</f>
        <v>28.51</v>
      </c>
      <c r="E905" s="2">
        <f>IFERROR(__xludf.DUMMYFUNCTION("""COMPUTED_VALUE"""),28.74)</f>
        <v>28.74</v>
      </c>
      <c r="F905" s="2">
        <f>IFERROR(__xludf.DUMMYFUNCTION("""COMPUTED_VALUE"""),1244500.0)</f>
        <v>1244500</v>
      </c>
    </row>
    <row r="906">
      <c r="A906" s="3">
        <f>IFERROR(__xludf.DUMMYFUNCTION("""COMPUTED_VALUE"""),30529.666666666668)</f>
        <v>30529.66667</v>
      </c>
      <c r="B906" s="2">
        <f>IFERROR(__xludf.DUMMYFUNCTION("""COMPUTED_VALUE"""),28.83)</f>
        <v>28.83</v>
      </c>
      <c r="C906" s="2">
        <f>IFERROR(__xludf.DUMMYFUNCTION("""COMPUTED_VALUE"""),28.98)</f>
        <v>28.98</v>
      </c>
      <c r="D906" s="2">
        <f>IFERROR(__xludf.DUMMYFUNCTION("""COMPUTED_VALUE"""),28.71)</f>
        <v>28.71</v>
      </c>
      <c r="E906" s="2">
        <f>IFERROR(__xludf.DUMMYFUNCTION("""COMPUTED_VALUE"""),28.83)</f>
        <v>28.83</v>
      </c>
      <c r="F906" s="2">
        <f>IFERROR(__xludf.DUMMYFUNCTION("""COMPUTED_VALUE"""),807100.0)</f>
        <v>807100</v>
      </c>
    </row>
    <row r="907">
      <c r="A907" s="3">
        <f>IFERROR(__xludf.DUMMYFUNCTION("""COMPUTED_VALUE"""),30530.666666666668)</f>
        <v>30530.66667</v>
      </c>
      <c r="B907" s="2">
        <f>IFERROR(__xludf.DUMMYFUNCTION("""COMPUTED_VALUE"""),28.77)</f>
        <v>28.77</v>
      </c>
      <c r="C907" s="2">
        <f>IFERROR(__xludf.DUMMYFUNCTION("""COMPUTED_VALUE"""),29.01)</f>
        <v>29.01</v>
      </c>
      <c r="D907" s="2">
        <f>IFERROR(__xludf.DUMMYFUNCTION("""COMPUTED_VALUE"""),28.68)</f>
        <v>28.68</v>
      </c>
      <c r="E907" s="2">
        <f>IFERROR(__xludf.DUMMYFUNCTION("""COMPUTED_VALUE"""),28.77)</f>
        <v>28.77</v>
      </c>
      <c r="F907" s="2">
        <f>IFERROR(__xludf.DUMMYFUNCTION("""COMPUTED_VALUE"""),509000.0)</f>
        <v>509000</v>
      </c>
    </row>
    <row r="908">
      <c r="A908" s="3">
        <f>IFERROR(__xludf.DUMMYFUNCTION("""COMPUTED_VALUE"""),30531.666666666668)</f>
        <v>30531.66667</v>
      </c>
      <c r="B908" s="2">
        <f>IFERROR(__xludf.DUMMYFUNCTION("""COMPUTED_VALUE"""),28.95)</f>
        <v>28.95</v>
      </c>
      <c r="C908" s="2">
        <f>IFERROR(__xludf.DUMMYFUNCTION("""COMPUTED_VALUE"""),28.98)</f>
        <v>28.98</v>
      </c>
      <c r="D908" s="2">
        <f>IFERROR(__xludf.DUMMYFUNCTION("""COMPUTED_VALUE"""),28.45)</f>
        <v>28.45</v>
      </c>
      <c r="E908" s="2">
        <f>IFERROR(__xludf.DUMMYFUNCTION("""COMPUTED_VALUE"""),28.95)</f>
        <v>28.95</v>
      </c>
      <c r="F908" s="2">
        <f>IFERROR(__xludf.DUMMYFUNCTION("""COMPUTED_VALUE"""),820100.0)</f>
        <v>820100</v>
      </c>
    </row>
    <row r="909">
      <c r="A909" s="3">
        <f>IFERROR(__xludf.DUMMYFUNCTION("""COMPUTED_VALUE"""),30532.666666666668)</f>
        <v>30532.66667</v>
      </c>
      <c r="B909" s="2">
        <f>IFERROR(__xludf.DUMMYFUNCTION("""COMPUTED_VALUE"""),28.54)</f>
        <v>28.54</v>
      </c>
      <c r="C909" s="2">
        <f>IFERROR(__xludf.DUMMYFUNCTION("""COMPUTED_VALUE"""),28.63)</f>
        <v>28.63</v>
      </c>
      <c r="D909" s="2">
        <f>IFERROR(__xludf.DUMMYFUNCTION("""COMPUTED_VALUE"""),28.06)</f>
        <v>28.06</v>
      </c>
      <c r="E909" s="2">
        <f>IFERROR(__xludf.DUMMYFUNCTION("""COMPUTED_VALUE"""),28.54)</f>
        <v>28.54</v>
      </c>
      <c r="F909" s="2">
        <f>IFERROR(__xludf.DUMMYFUNCTION("""COMPUTED_VALUE"""),887900.0)</f>
        <v>887900</v>
      </c>
    </row>
    <row r="910">
      <c r="A910" s="3">
        <f>IFERROR(__xludf.DUMMYFUNCTION("""COMPUTED_VALUE"""),30533.666666666668)</f>
        <v>30533.66667</v>
      </c>
      <c r="B910" s="2">
        <f>IFERROR(__xludf.DUMMYFUNCTION("""COMPUTED_VALUE"""),28.6)</f>
        <v>28.6</v>
      </c>
      <c r="C910" s="2">
        <f>IFERROR(__xludf.DUMMYFUNCTION("""COMPUTED_VALUE"""),28.68)</f>
        <v>28.68</v>
      </c>
      <c r="D910" s="2">
        <f>IFERROR(__xludf.DUMMYFUNCTION("""COMPUTED_VALUE"""),28.42)</f>
        <v>28.42</v>
      </c>
      <c r="E910" s="2">
        <f>IFERROR(__xludf.DUMMYFUNCTION("""COMPUTED_VALUE"""),28.6)</f>
        <v>28.6</v>
      </c>
      <c r="F910" s="2">
        <f>IFERROR(__xludf.DUMMYFUNCTION("""COMPUTED_VALUE"""),716800.0)</f>
        <v>716800</v>
      </c>
    </row>
    <row r="911">
      <c r="A911" s="3">
        <f>IFERROR(__xludf.DUMMYFUNCTION("""COMPUTED_VALUE"""),30536.666666666668)</f>
        <v>30536.66667</v>
      </c>
      <c r="B911" s="2">
        <f>IFERROR(__xludf.DUMMYFUNCTION("""COMPUTED_VALUE"""),28.42)</f>
        <v>28.42</v>
      </c>
      <c r="C911" s="2">
        <f>IFERROR(__xludf.DUMMYFUNCTION("""COMPUTED_VALUE"""),28.63)</f>
        <v>28.63</v>
      </c>
      <c r="D911" s="2">
        <f>IFERROR(__xludf.DUMMYFUNCTION("""COMPUTED_VALUE"""),28.3)</f>
        <v>28.3</v>
      </c>
      <c r="E911" s="2">
        <f>IFERROR(__xludf.DUMMYFUNCTION("""COMPUTED_VALUE"""),28.42)</f>
        <v>28.42</v>
      </c>
      <c r="F911" s="2">
        <f>IFERROR(__xludf.DUMMYFUNCTION("""COMPUTED_VALUE"""),549300.0)</f>
        <v>549300</v>
      </c>
    </row>
    <row r="912">
      <c r="A912" s="3">
        <f>IFERROR(__xludf.DUMMYFUNCTION("""COMPUTED_VALUE"""),30537.666666666668)</f>
        <v>30537.66667</v>
      </c>
      <c r="B912" s="2">
        <f>IFERROR(__xludf.DUMMYFUNCTION("""COMPUTED_VALUE"""),28.21)</f>
        <v>28.21</v>
      </c>
      <c r="C912" s="2">
        <f>IFERROR(__xludf.DUMMYFUNCTION("""COMPUTED_VALUE"""),28.54)</f>
        <v>28.54</v>
      </c>
      <c r="D912" s="2">
        <f>IFERROR(__xludf.DUMMYFUNCTION("""COMPUTED_VALUE"""),27.85)</f>
        <v>27.85</v>
      </c>
      <c r="E912" s="2">
        <f>IFERROR(__xludf.DUMMYFUNCTION("""COMPUTED_VALUE"""),28.21)</f>
        <v>28.21</v>
      </c>
      <c r="F912" s="2">
        <f>IFERROR(__xludf.DUMMYFUNCTION("""COMPUTED_VALUE"""),1182500.0)</f>
        <v>1182500</v>
      </c>
    </row>
    <row r="913">
      <c r="A913" s="3">
        <f>IFERROR(__xludf.DUMMYFUNCTION("""COMPUTED_VALUE"""),30538.666666666668)</f>
        <v>30538.66667</v>
      </c>
      <c r="B913" s="2">
        <f>IFERROR(__xludf.DUMMYFUNCTION("""COMPUTED_VALUE"""),28.21)</f>
        <v>28.21</v>
      </c>
      <c r="C913" s="2">
        <f>IFERROR(__xludf.DUMMYFUNCTION("""COMPUTED_VALUE"""),28.42)</f>
        <v>28.42</v>
      </c>
      <c r="D913" s="2">
        <f>IFERROR(__xludf.DUMMYFUNCTION("""COMPUTED_VALUE"""),27.94)</f>
        <v>27.94</v>
      </c>
      <c r="E913" s="2">
        <f>IFERROR(__xludf.DUMMYFUNCTION("""COMPUTED_VALUE"""),28.21)</f>
        <v>28.21</v>
      </c>
      <c r="F913" s="2">
        <f>IFERROR(__xludf.DUMMYFUNCTION("""COMPUTED_VALUE"""),893800.0)</f>
        <v>893800</v>
      </c>
    </row>
    <row r="914">
      <c r="A914" s="3">
        <f>IFERROR(__xludf.DUMMYFUNCTION("""COMPUTED_VALUE"""),30539.666666666668)</f>
        <v>30539.66667</v>
      </c>
      <c r="B914" s="2">
        <f>IFERROR(__xludf.DUMMYFUNCTION("""COMPUTED_VALUE"""),28.12)</f>
        <v>28.12</v>
      </c>
      <c r="C914" s="2">
        <f>IFERROR(__xludf.DUMMYFUNCTION("""COMPUTED_VALUE"""),28.33)</f>
        <v>28.33</v>
      </c>
      <c r="D914" s="2">
        <f>IFERROR(__xludf.DUMMYFUNCTION("""COMPUTED_VALUE"""),28.06)</f>
        <v>28.06</v>
      </c>
      <c r="E914" s="2">
        <f>IFERROR(__xludf.DUMMYFUNCTION("""COMPUTED_VALUE"""),28.12)</f>
        <v>28.12</v>
      </c>
      <c r="F914" s="2">
        <f>IFERROR(__xludf.DUMMYFUNCTION("""COMPUTED_VALUE"""),430500.0)</f>
        <v>430500</v>
      </c>
    </row>
    <row r="915">
      <c r="A915" s="3">
        <f>IFERROR(__xludf.DUMMYFUNCTION("""COMPUTED_VALUE"""),30540.666666666668)</f>
        <v>30540.66667</v>
      </c>
      <c r="B915" s="2">
        <f>IFERROR(__xludf.DUMMYFUNCTION("""COMPUTED_VALUE"""),28.3)</f>
        <v>28.3</v>
      </c>
      <c r="C915" s="2">
        <f>IFERROR(__xludf.DUMMYFUNCTION("""COMPUTED_VALUE"""),28.39)</f>
        <v>28.39</v>
      </c>
      <c r="D915" s="2">
        <f>IFERROR(__xludf.DUMMYFUNCTION("""COMPUTED_VALUE"""),28.15)</f>
        <v>28.15</v>
      </c>
      <c r="E915" s="2">
        <f>IFERROR(__xludf.DUMMYFUNCTION("""COMPUTED_VALUE"""),28.3)</f>
        <v>28.3</v>
      </c>
      <c r="F915" s="2">
        <f>IFERROR(__xludf.DUMMYFUNCTION("""COMPUTED_VALUE"""),382900.0)</f>
        <v>382900</v>
      </c>
    </row>
    <row r="916">
      <c r="A916" s="3">
        <f>IFERROR(__xludf.DUMMYFUNCTION("""COMPUTED_VALUE"""),30543.666666666668)</f>
        <v>30543.66667</v>
      </c>
      <c r="B916" s="2">
        <f>IFERROR(__xludf.DUMMYFUNCTION("""COMPUTED_VALUE"""),28.77)</f>
        <v>28.77</v>
      </c>
      <c r="C916" s="2">
        <f>IFERROR(__xludf.DUMMYFUNCTION("""COMPUTED_VALUE"""),29.01)</f>
        <v>29.01</v>
      </c>
      <c r="D916" s="2">
        <f>IFERROR(__xludf.DUMMYFUNCTION("""COMPUTED_VALUE"""),28.45)</f>
        <v>28.45</v>
      </c>
      <c r="E916" s="2">
        <f>IFERROR(__xludf.DUMMYFUNCTION("""COMPUTED_VALUE"""),28.77)</f>
        <v>28.77</v>
      </c>
      <c r="F916" s="2">
        <f>IFERROR(__xludf.DUMMYFUNCTION("""COMPUTED_VALUE"""),1094700.0)</f>
        <v>1094700</v>
      </c>
    </row>
    <row r="917">
      <c r="A917" s="3">
        <f>IFERROR(__xludf.DUMMYFUNCTION("""COMPUTED_VALUE"""),30544.666666666668)</f>
        <v>30544.66667</v>
      </c>
      <c r="B917" s="2">
        <f>IFERROR(__xludf.DUMMYFUNCTION("""COMPUTED_VALUE"""),29.04)</f>
        <v>29.04</v>
      </c>
      <c r="C917" s="2">
        <f>IFERROR(__xludf.DUMMYFUNCTION("""COMPUTED_VALUE"""),29.13)</f>
        <v>29.13</v>
      </c>
      <c r="D917" s="2">
        <f>IFERROR(__xludf.DUMMYFUNCTION("""COMPUTED_VALUE"""),28.74)</f>
        <v>28.74</v>
      </c>
      <c r="E917" s="2">
        <f>IFERROR(__xludf.DUMMYFUNCTION("""COMPUTED_VALUE"""),29.04)</f>
        <v>29.04</v>
      </c>
      <c r="F917" s="2">
        <f>IFERROR(__xludf.DUMMYFUNCTION("""COMPUTED_VALUE"""),716700.0)</f>
        <v>716700</v>
      </c>
    </row>
    <row r="918">
      <c r="A918" s="3">
        <f>IFERROR(__xludf.DUMMYFUNCTION("""COMPUTED_VALUE"""),30545.666666666668)</f>
        <v>30545.66667</v>
      </c>
      <c r="B918" s="2">
        <f>IFERROR(__xludf.DUMMYFUNCTION("""COMPUTED_VALUE"""),29.37)</f>
        <v>29.37</v>
      </c>
      <c r="C918" s="2">
        <f>IFERROR(__xludf.DUMMYFUNCTION("""COMPUTED_VALUE"""),29.49)</f>
        <v>29.49</v>
      </c>
      <c r="D918" s="2">
        <f>IFERROR(__xludf.DUMMYFUNCTION("""COMPUTED_VALUE"""),29.04)</f>
        <v>29.04</v>
      </c>
      <c r="E918" s="2">
        <f>IFERROR(__xludf.DUMMYFUNCTION("""COMPUTED_VALUE"""),29.37)</f>
        <v>29.37</v>
      </c>
      <c r="F918" s="2">
        <f>IFERROR(__xludf.DUMMYFUNCTION("""COMPUTED_VALUE"""),866000.0)</f>
        <v>866000</v>
      </c>
    </row>
    <row r="919">
      <c r="A919" s="3">
        <f>IFERROR(__xludf.DUMMYFUNCTION("""COMPUTED_VALUE"""),30546.666666666668)</f>
        <v>30546.66667</v>
      </c>
      <c r="B919" s="2">
        <f>IFERROR(__xludf.DUMMYFUNCTION("""COMPUTED_VALUE"""),29.04)</f>
        <v>29.04</v>
      </c>
      <c r="C919" s="2">
        <f>IFERROR(__xludf.DUMMYFUNCTION("""COMPUTED_VALUE"""),29.55)</f>
        <v>29.55</v>
      </c>
      <c r="D919" s="2">
        <f>IFERROR(__xludf.DUMMYFUNCTION("""COMPUTED_VALUE"""),28.98)</f>
        <v>28.98</v>
      </c>
      <c r="E919" s="2">
        <f>IFERROR(__xludf.DUMMYFUNCTION("""COMPUTED_VALUE"""),29.04)</f>
        <v>29.04</v>
      </c>
      <c r="F919" s="2">
        <f>IFERROR(__xludf.DUMMYFUNCTION("""COMPUTED_VALUE"""),740500.0)</f>
        <v>740500</v>
      </c>
    </row>
    <row r="920">
      <c r="A920" s="3">
        <f>IFERROR(__xludf.DUMMYFUNCTION("""COMPUTED_VALUE"""),30547.666666666668)</f>
        <v>30547.66667</v>
      </c>
      <c r="B920" s="2">
        <f>IFERROR(__xludf.DUMMYFUNCTION("""COMPUTED_VALUE"""),29.25)</f>
        <v>29.25</v>
      </c>
      <c r="C920" s="2">
        <f>IFERROR(__xludf.DUMMYFUNCTION("""COMPUTED_VALUE"""),29.25)</f>
        <v>29.25</v>
      </c>
      <c r="D920" s="2">
        <f>IFERROR(__xludf.DUMMYFUNCTION("""COMPUTED_VALUE"""),28.92)</f>
        <v>28.92</v>
      </c>
      <c r="E920" s="2">
        <f>IFERROR(__xludf.DUMMYFUNCTION("""COMPUTED_VALUE"""),29.25)</f>
        <v>29.25</v>
      </c>
      <c r="F920" s="2">
        <f>IFERROR(__xludf.DUMMYFUNCTION("""COMPUTED_VALUE"""),398800.0)</f>
        <v>398800</v>
      </c>
    </row>
    <row r="921">
      <c r="A921" s="3">
        <f>IFERROR(__xludf.DUMMYFUNCTION("""COMPUTED_VALUE"""),30550.666666666668)</f>
        <v>30550.66667</v>
      </c>
      <c r="B921" s="2">
        <f>IFERROR(__xludf.DUMMYFUNCTION("""COMPUTED_VALUE"""),28.95)</f>
        <v>28.95</v>
      </c>
      <c r="C921" s="2">
        <f>IFERROR(__xludf.DUMMYFUNCTION("""COMPUTED_VALUE"""),29.43)</f>
        <v>29.43</v>
      </c>
      <c r="D921" s="2">
        <f>IFERROR(__xludf.DUMMYFUNCTION("""COMPUTED_VALUE"""),28.8)</f>
        <v>28.8</v>
      </c>
      <c r="E921" s="2">
        <f>IFERROR(__xludf.DUMMYFUNCTION("""COMPUTED_VALUE"""),28.95)</f>
        <v>28.95</v>
      </c>
      <c r="F921" s="2">
        <f>IFERROR(__xludf.DUMMYFUNCTION("""COMPUTED_VALUE"""),668100.0)</f>
        <v>668100</v>
      </c>
    </row>
    <row r="922">
      <c r="A922" s="3">
        <f>IFERROR(__xludf.DUMMYFUNCTION("""COMPUTED_VALUE"""),30551.666666666668)</f>
        <v>30551.66667</v>
      </c>
      <c r="B922" s="2">
        <f>IFERROR(__xludf.DUMMYFUNCTION("""COMPUTED_VALUE"""),28.51)</f>
        <v>28.51</v>
      </c>
      <c r="C922" s="2">
        <f>IFERROR(__xludf.DUMMYFUNCTION("""COMPUTED_VALUE"""),28.86)</f>
        <v>28.86</v>
      </c>
      <c r="D922" s="2">
        <f>IFERROR(__xludf.DUMMYFUNCTION("""COMPUTED_VALUE"""),28.3)</f>
        <v>28.3</v>
      </c>
      <c r="E922" s="2">
        <f>IFERROR(__xludf.DUMMYFUNCTION("""COMPUTED_VALUE"""),28.51)</f>
        <v>28.51</v>
      </c>
      <c r="F922" s="2">
        <f>IFERROR(__xludf.DUMMYFUNCTION("""COMPUTED_VALUE"""),1175800.0)</f>
        <v>1175800</v>
      </c>
    </row>
    <row r="923">
      <c r="A923" s="3">
        <f>IFERROR(__xludf.DUMMYFUNCTION("""COMPUTED_VALUE"""),30552.666666666668)</f>
        <v>30552.66667</v>
      </c>
      <c r="B923" s="2">
        <f>IFERROR(__xludf.DUMMYFUNCTION("""COMPUTED_VALUE"""),27.82)</f>
        <v>27.82</v>
      </c>
      <c r="C923" s="2">
        <f>IFERROR(__xludf.DUMMYFUNCTION("""COMPUTED_VALUE"""),28.42)</f>
        <v>28.42</v>
      </c>
      <c r="D923" s="2">
        <f>IFERROR(__xludf.DUMMYFUNCTION("""COMPUTED_VALUE"""),27.7)</f>
        <v>27.7</v>
      </c>
      <c r="E923" s="2">
        <f>IFERROR(__xludf.DUMMYFUNCTION("""COMPUTED_VALUE"""),27.82)</f>
        <v>27.82</v>
      </c>
      <c r="F923" s="2">
        <f>IFERROR(__xludf.DUMMYFUNCTION("""COMPUTED_VALUE"""),974500.0)</f>
        <v>974500</v>
      </c>
    </row>
    <row r="924">
      <c r="A924" s="3">
        <f>IFERROR(__xludf.DUMMYFUNCTION("""COMPUTED_VALUE"""),30553.666666666668)</f>
        <v>30553.66667</v>
      </c>
      <c r="B924" s="2">
        <f>IFERROR(__xludf.DUMMYFUNCTION("""COMPUTED_VALUE"""),27.76)</f>
        <v>27.76</v>
      </c>
      <c r="C924" s="2">
        <f>IFERROR(__xludf.DUMMYFUNCTION("""COMPUTED_VALUE"""),27.91)</f>
        <v>27.91</v>
      </c>
      <c r="D924" s="2">
        <f>IFERROR(__xludf.DUMMYFUNCTION("""COMPUTED_VALUE"""),27.52)</f>
        <v>27.52</v>
      </c>
      <c r="E924" s="2">
        <f>IFERROR(__xludf.DUMMYFUNCTION("""COMPUTED_VALUE"""),27.76)</f>
        <v>27.76</v>
      </c>
      <c r="F924" s="2">
        <f>IFERROR(__xludf.DUMMYFUNCTION("""COMPUTED_VALUE"""),927400.0)</f>
        <v>927400</v>
      </c>
    </row>
    <row r="925">
      <c r="A925" s="3">
        <f>IFERROR(__xludf.DUMMYFUNCTION("""COMPUTED_VALUE"""),30554.666666666668)</f>
        <v>30554.66667</v>
      </c>
      <c r="B925" s="2">
        <f>IFERROR(__xludf.DUMMYFUNCTION("""COMPUTED_VALUE"""),28.15)</f>
        <v>28.15</v>
      </c>
      <c r="C925" s="2">
        <f>IFERROR(__xludf.DUMMYFUNCTION("""COMPUTED_VALUE"""),28.24)</f>
        <v>28.24</v>
      </c>
      <c r="D925" s="2">
        <f>IFERROR(__xludf.DUMMYFUNCTION("""COMPUTED_VALUE"""),27.61)</f>
        <v>27.61</v>
      </c>
      <c r="E925" s="2">
        <f>IFERROR(__xludf.DUMMYFUNCTION("""COMPUTED_VALUE"""),28.15)</f>
        <v>28.15</v>
      </c>
      <c r="F925" s="2">
        <f>IFERROR(__xludf.DUMMYFUNCTION("""COMPUTED_VALUE"""),681300.0)</f>
        <v>681300</v>
      </c>
    </row>
    <row r="926">
      <c r="A926" s="3">
        <f>IFERROR(__xludf.DUMMYFUNCTION("""COMPUTED_VALUE"""),30557.666666666668)</f>
        <v>30557.66667</v>
      </c>
      <c r="B926" s="2">
        <f>IFERROR(__xludf.DUMMYFUNCTION("""COMPUTED_VALUE"""),28.42)</f>
        <v>28.42</v>
      </c>
      <c r="C926" s="2">
        <f>IFERROR(__xludf.DUMMYFUNCTION("""COMPUTED_VALUE"""),28.48)</f>
        <v>28.48</v>
      </c>
      <c r="D926" s="2">
        <f>IFERROR(__xludf.DUMMYFUNCTION("""COMPUTED_VALUE"""),27.91)</f>
        <v>27.91</v>
      </c>
      <c r="E926" s="2">
        <f>IFERROR(__xludf.DUMMYFUNCTION("""COMPUTED_VALUE"""),28.42)</f>
        <v>28.42</v>
      </c>
      <c r="F926" s="2">
        <f>IFERROR(__xludf.DUMMYFUNCTION("""COMPUTED_VALUE"""),510300.0)</f>
        <v>510300</v>
      </c>
    </row>
    <row r="927">
      <c r="A927" s="3">
        <f>IFERROR(__xludf.DUMMYFUNCTION("""COMPUTED_VALUE"""),30558.666666666668)</f>
        <v>30558.66667</v>
      </c>
      <c r="B927" s="2">
        <f>IFERROR(__xludf.DUMMYFUNCTION("""COMPUTED_VALUE"""),28.03)</f>
        <v>28.03</v>
      </c>
      <c r="C927" s="2">
        <f>IFERROR(__xludf.DUMMYFUNCTION("""COMPUTED_VALUE"""),28.48)</f>
        <v>28.48</v>
      </c>
      <c r="D927" s="2">
        <f>IFERROR(__xludf.DUMMYFUNCTION("""COMPUTED_VALUE"""),28.0)</f>
        <v>28</v>
      </c>
      <c r="E927" s="2">
        <f>IFERROR(__xludf.DUMMYFUNCTION("""COMPUTED_VALUE"""),28.03)</f>
        <v>28.03</v>
      </c>
      <c r="F927" s="2">
        <f>IFERROR(__xludf.DUMMYFUNCTION("""COMPUTED_VALUE"""),691900.0)</f>
        <v>691900</v>
      </c>
    </row>
    <row r="928">
      <c r="A928" s="3">
        <f>IFERROR(__xludf.DUMMYFUNCTION("""COMPUTED_VALUE"""),30559.666666666668)</f>
        <v>30559.66667</v>
      </c>
      <c r="B928" s="2">
        <f>IFERROR(__xludf.DUMMYFUNCTION("""COMPUTED_VALUE"""),28.54)</f>
        <v>28.54</v>
      </c>
      <c r="C928" s="2">
        <f>IFERROR(__xludf.DUMMYFUNCTION("""COMPUTED_VALUE"""),28.54)</f>
        <v>28.54</v>
      </c>
      <c r="D928" s="2">
        <f>IFERROR(__xludf.DUMMYFUNCTION("""COMPUTED_VALUE"""),27.97)</f>
        <v>27.97</v>
      </c>
      <c r="E928" s="2">
        <f>IFERROR(__xludf.DUMMYFUNCTION("""COMPUTED_VALUE"""),28.54)</f>
        <v>28.54</v>
      </c>
      <c r="F928" s="2">
        <f>IFERROR(__xludf.DUMMYFUNCTION("""COMPUTED_VALUE"""),603300.0)</f>
        <v>603300</v>
      </c>
    </row>
    <row r="929">
      <c r="A929" s="3">
        <f>IFERROR(__xludf.DUMMYFUNCTION("""COMPUTED_VALUE"""),30560.666666666668)</f>
        <v>30560.66667</v>
      </c>
      <c r="B929" s="2">
        <f>IFERROR(__xludf.DUMMYFUNCTION("""COMPUTED_VALUE"""),28.33)</f>
        <v>28.33</v>
      </c>
      <c r="C929" s="2">
        <f>IFERROR(__xludf.DUMMYFUNCTION("""COMPUTED_VALUE"""),28.57)</f>
        <v>28.57</v>
      </c>
      <c r="D929" s="2">
        <f>IFERROR(__xludf.DUMMYFUNCTION("""COMPUTED_VALUE"""),28.21)</f>
        <v>28.21</v>
      </c>
      <c r="E929" s="2">
        <f>IFERROR(__xludf.DUMMYFUNCTION("""COMPUTED_VALUE"""),28.33)</f>
        <v>28.33</v>
      </c>
      <c r="F929" s="2">
        <f>IFERROR(__xludf.DUMMYFUNCTION("""COMPUTED_VALUE"""),621700.0)</f>
        <v>621700</v>
      </c>
    </row>
    <row r="930">
      <c r="A930" s="3">
        <f>IFERROR(__xludf.DUMMYFUNCTION("""COMPUTED_VALUE"""),30561.666666666668)</f>
        <v>30561.66667</v>
      </c>
      <c r="B930" s="2">
        <f>IFERROR(__xludf.DUMMYFUNCTION("""COMPUTED_VALUE"""),28.6)</f>
        <v>28.6</v>
      </c>
      <c r="C930" s="2">
        <f>IFERROR(__xludf.DUMMYFUNCTION("""COMPUTED_VALUE"""),28.6)</f>
        <v>28.6</v>
      </c>
      <c r="D930" s="2">
        <f>IFERROR(__xludf.DUMMYFUNCTION("""COMPUTED_VALUE"""),28.3)</f>
        <v>28.3</v>
      </c>
      <c r="E930" s="2">
        <f>IFERROR(__xludf.DUMMYFUNCTION("""COMPUTED_VALUE"""),28.6)</f>
        <v>28.6</v>
      </c>
      <c r="F930" s="2">
        <f>IFERROR(__xludf.DUMMYFUNCTION("""COMPUTED_VALUE"""),548800.0)</f>
        <v>548800</v>
      </c>
    </row>
    <row r="931">
      <c r="A931" s="3">
        <f>IFERROR(__xludf.DUMMYFUNCTION("""COMPUTED_VALUE"""),30565.666666666668)</f>
        <v>30565.66667</v>
      </c>
      <c r="B931" s="2">
        <f>IFERROR(__xludf.DUMMYFUNCTION("""COMPUTED_VALUE"""),29.1)</f>
        <v>29.1</v>
      </c>
      <c r="C931" s="2">
        <f>IFERROR(__xludf.DUMMYFUNCTION("""COMPUTED_VALUE"""),29.1)</f>
        <v>29.1</v>
      </c>
      <c r="D931" s="2">
        <f>IFERROR(__xludf.DUMMYFUNCTION("""COMPUTED_VALUE"""),28.65)</f>
        <v>28.65</v>
      </c>
      <c r="E931" s="2">
        <f>IFERROR(__xludf.DUMMYFUNCTION("""COMPUTED_VALUE"""),29.1)</f>
        <v>29.1</v>
      </c>
      <c r="F931" s="2">
        <f>IFERROR(__xludf.DUMMYFUNCTION("""COMPUTED_VALUE"""),798400.0)</f>
        <v>798400</v>
      </c>
    </row>
    <row r="932">
      <c r="A932" s="3">
        <f>IFERROR(__xludf.DUMMYFUNCTION("""COMPUTED_VALUE"""),30566.666666666668)</f>
        <v>30566.66667</v>
      </c>
      <c r="B932" s="2">
        <f>IFERROR(__xludf.DUMMYFUNCTION("""COMPUTED_VALUE"""),29.22)</f>
        <v>29.22</v>
      </c>
      <c r="C932" s="2">
        <f>IFERROR(__xludf.DUMMYFUNCTION("""COMPUTED_VALUE"""),29.34)</f>
        <v>29.34</v>
      </c>
      <c r="D932" s="2">
        <f>IFERROR(__xludf.DUMMYFUNCTION("""COMPUTED_VALUE"""),28.89)</f>
        <v>28.89</v>
      </c>
      <c r="E932" s="2">
        <f>IFERROR(__xludf.DUMMYFUNCTION("""COMPUTED_VALUE"""),29.22)</f>
        <v>29.22</v>
      </c>
      <c r="F932" s="2">
        <f>IFERROR(__xludf.DUMMYFUNCTION("""COMPUTED_VALUE"""),904000.0)</f>
        <v>904000</v>
      </c>
    </row>
    <row r="933">
      <c r="A933" s="3">
        <f>IFERROR(__xludf.DUMMYFUNCTION("""COMPUTED_VALUE"""),30567.666666666668)</f>
        <v>30567.66667</v>
      </c>
      <c r="B933" s="2">
        <f>IFERROR(__xludf.DUMMYFUNCTION("""COMPUTED_VALUE"""),29.19)</f>
        <v>29.19</v>
      </c>
      <c r="C933" s="2">
        <f>IFERROR(__xludf.DUMMYFUNCTION("""COMPUTED_VALUE"""),29.49)</f>
        <v>29.49</v>
      </c>
      <c r="D933" s="2">
        <f>IFERROR(__xludf.DUMMYFUNCTION("""COMPUTED_VALUE"""),29.04)</f>
        <v>29.04</v>
      </c>
      <c r="E933" s="2">
        <f>IFERROR(__xludf.DUMMYFUNCTION("""COMPUTED_VALUE"""),29.19)</f>
        <v>29.19</v>
      </c>
      <c r="F933" s="2">
        <f>IFERROR(__xludf.DUMMYFUNCTION("""COMPUTED_VALUE"""),634300.0)</f>
        <v>634300</v>
      </c>
    </row>
    <row r="934">
      <c r="A934" s="3">
        <f>IFERROR(__xludf.DUMMYFUNCTION("""COMPUTED_VALUE"""),30568.666666666668)</f>
        <v>30568.66667</v>
      </c>
      <c r="B934" s="2">
        <f>IFERROR(__xludf.DUMMYFUNCTION("""COMPUTED_VALUE"""),29.19)</f>
        <v>29.19</v>
      </c>
      <c r="C934" s="2">
        <f>IFERROR(__xludf.DUMMYFUNCTION("""COMPUTED_VALUE"""),29.31)</f>
        <v>29.31</v>
      </c>
      <c r="D934" s="2">
        <f>IFERROR(__xludf.DUMMYFUNCTION("""COMPUTED_VALUE"""),28.98)</f>
        <v>28.98</v>
      </c>
      <c r="E934" s="2">
        <f>IFERROR(__xludf.DUMMYFUNCTION("""COMPUTED_VALUE"""),29.19)</f>
        <v>29.19</v>
      </c>
      <c r="F934" s="2">
        <f>IFERROR(__xludf.DUMMYFUNCTION("""COMPUTED_VALUE"""),395700.0)</f>
        <v>395700</v>
      </c>
    </row>
    <row r="935">
      <c r="A935" s="3">
        <f>IFERROR(__xludf.DUMMYFUNCTION("""COMPUTED_VALUE"""),30571.666666666668)</f>
        <v>30571.66667</v>
      </c>
      <c r="B935" s="2">
        <f>IFERROR(__xludf.DUMMYFUNCTION("""COMPUTED_VALUE"""),29.01)</f>
        <v>29.01</v>
      </c>
      <c r="C935" s="2">
        <f>IFERROR(__xludf.DUMMYFUNCTION("""COMPUTED_VALUE"""),29.46)</f>
        <v>29.46</v>
      </c>
      <c r="D935" s="2">
        <f>IFERROR(__xludf.DUMMYFUNCTION("""COMPUTED_VALUE"""),28.92)</f>
        <v>28.92</v>
      </c>
      <c r="E935" s="2">
        <f>IFERROR(__xludf.DUMMYFUNCTION("""COMPUTED_VALUE"""),29.01)</f>
        <v>29.01</v>
      </c>
      <c r="F935" s="2">
        <f>IFERROR(__xludf.DUMMYFUNCTION("""COMPUTED_VALUE"""),1108100.0)</f>
        <v>1108100</v>
      </c>
    </row>
    <row r="936">
      <c r="A936" s="3">
        <f>IFERROR(__xludf.DUMMYFUNCTION("""COMPUTED_VALUE"""),30572.666666666668)</f>
        <v>30572.66667</v>
      </c>
      <c r="B936" s="2">
        <f>IFERROR(__xludf.DUMMYFUNCTION("""COMPUTED_VALUE"""),29.13)</f>
        <v>29.13</v>
      </c>
      <c r="C936" s="2">
        <f>IFERROR(__xludf.DUMMYFUNCTION("""COMPUTED_VALUE"""),29.13)</f>
        <v>29.13</v>
      </c>
      <c r="D936" s="2">
        <f>IFERROR(__xludf.DUMMYFUNCTION("""COMPUTED_VALUE"""),28.8)</f>
        <v>28.8</v>
      </c>
      <c r="E936" s="2">
        <f>IFERROR(__xludf.DUMMYFUNCTION("""COMPUTED_VALUE"""),29.13)</f>
        <v>29.13</v>
      </c>
      <c r="F936" s="2">
        <f>IFERROR(__xludf.DUMMYFUNCTION("""COMPUTED_VALUE"""),725600.0)</f>
        <v>725600</v>
      </c>
    </row>
    <row r="937">
      <c r="A937" s="3">
        <f>IFERROR(__xludf.DUMMYFUNCTION("""COMPUTED_VALUE"""),30573.666666666668)</f>
        <v>30573.66667</v>
      </c>
      <c r="B937" s="2">
        <f>IFERROR(__xludf.DUMMYFUNCTION("""COMPUTED_VALUE"""),29.34)</f>
        <v>29.34</v>
      </c>
      <c r="C937" s="2">
        <f>IFERROR(__xludf.DUMMYFUNCTION("""COMPUTED_VALUE"""),29.49)</f>
        <v>29.49</v>
      </c>
      <c r="D937" s="2">
        <f>IFERROR(__xludf.DUMMYFUNCTION("""COMPUTED_VALUE"""),29.04)</f>
        <v>29.04</v>
      </c>
      <c r="E937" s="2">
        <f>IFERROR(__xludf.DUMMYFUNCTION("""COMPUTED_VALUE"""),29.34)</f>
        <v>29.34</v>
      </c>
      <c r="F937" s="2">
        <f>IFERROR(__xludf.DUMMYFUNCTION("""COMPUTED_VALUE"""),814300.0)</f>
        <v>814300</v>
      </c>
    </row>
    <row r="938">
      <c r="A938" s="3">
        <f>IFERROR(__xludf.DUMMYFUNCTION("""COMPUTED_VALUE"""),30574.666666666668)</f>
        <v>30574.66667</v>
      </c>
      <c r="B938" s="2">
        <f>IFERROR(__xludf.DUMMYFUNCTION("""COMPUTED_VALUE"""),29.07)</f>
        <v>29.07</v>
      </c>
      <c r="C938" s="2">
        <f>IFERROR(__xludf.DUMMYFUNCTION("""COMPUTED_VALUE"""),29.43)</f>
        <v>29.43</v>
      </c>
      <c r="D938" s="2">
        <f>IFERROR(__xludf.DUMMYFUNCTION("""COMPUTED_VALUE"""),29.01)</f>
        <v>29.01</v>
      </c>
      <c r="E938" s="2">
        <f>IFERROR(__xludf.DUMMYFUNCTION("""COMPUTED_VALUE"""),29.07)</f>
        <v>29.07</v>
      </c>
      <c r="F938" s="2">
        <f>IFERROR(__xludf.DUMMYFUNCTION("""COMPUTED_VALUE"""),691100.0)</f>
        <v>691100</v>
      </c>
    </row>
    <row r="939">
      <c r="A939" s="3">
        <f>IFERROR(__xludf.DUMMYFUNCTION("""COMPUTED_VALUE"""),30575.666666666668)</f>
        <v>30575.66667</v>
      </c>
      <c r="B939" s="2">
        <f>IFERROR(__xludf.DUMMYFUNCTION("""COMPUTED_VALUE"""),29.4)</f>
        <v>29.4</v>
      </c>
      <c r="C939" s="2">
        <f>IFERROR(__xludf.DUMMYFUNCTION("""COMPUTED_VALUE"""),29.67)</f>
        <v>29.67</v>
      </c>
      <c r="D939" s="2">
        <f>IFERROR(__xludf.DUMMYFUNCTION("""COMPUTED_VALUE"""),29.01)</f>
        <v>29.01</v>
      </c>
      <c r="E939" s="2">
        <f>IFERROR(__xludf.DUMMYFUNCTION("""COMPUTED_VALUE"""),29.4)</f>
        <v>29.4</v>
      </c>
      <c r="F939" s="2">
        <f>IFERROR(__xludf.DUMMYFUNCTION("""COMPUTED_VALUE"""),819700.0)</f>
        <v>819700</v>
      </c>
    </row>
    <row r="940">
      <c r="A940" s="3">
        <f>IFERROR(__xludf.DUMMYFUNCTION("""COMPUTED_VALUE"""),30578.666666666668)</f>
        <v>30578.66667</v>
      </c>
      <c r="B940" s="2">
        <f>IFERROR(__xludf.DUMMYFUNCTION("""COMPUTED_VALUE"""),29.55)</f>
        <v>29.55</v>
      </c>
      <c r="C940" s="2">
        <f>IFERROR(__xludf.DUMMYFUNCTION("""COMPUTED_VALUE"""),29.82)</f>
        <v>29.82</v>
      </c>
      <c r="D940" s="2">
        <f>IFERROR(__xludf.DUMMYFUNCTION("""COMPUTED_VALUE"""),29.28)</f>
        <v>29.28</v>
      </c>
      <c r="E940" s="2">
        <f>IFERROR(__xludf.DUMMYFUNCTION("""COMPUTED_VALUE"""),29.55)</f>
        <v>29.55</v>
      </c>
      <c r="F940" s="2">
        <f>IFERROR(__xludf.DUMMYFUNCTION("""COMPUTED_VALUE"""),911500.0)</f>
        <v>911500</v>
      </c>
    </row>
    <row r="941">
      <c r="A941" s="3">
        <f>IFERROR(__xludf.DUMMYFUNCTION("""COMPUTED_VALUE"""),30579.666666666668)</f>
        <v>30579.66667</v>
      </c>
      <c r="B941" s="2">
        <f>IFERROR(__xludf.DUMMYFUNCTION("""COMPUTED_VALUE"""),29.58)</f>
        <v>29.58</v>
      </c>
      <c r="C941" s="2">
        <f>IFERROR(__xludf.DUMMYFUNCTION("""COMPUTED_VALUE"""),29.73)</f>
        <v>29.73</v>
      </c>
      <c r="D941" s="2">
        <f>IFERROR(__xludf.DUMMYFUNCTION("""COMPUTED_VALUE"""),29.4)</f>
        <v>29.4</v>
      </c>
      <c r="E941" s="2">
        <f>IFERROR(__xludf.DUMMYFUNCTION("""COMPUTED_VALUE"""),29.58)</f>
        <v>29.58</v>
      </c>
      <c r="F941" s="2">
        <f>IFERROR(__xludf.DUMMYFUNCTION("""COMPUTED_VALUE"""),942300.0)</f>
        <v>942300</v>
      </c>
    </row>
    <row r="942">
      <c r="A942" s="3">
        <f>IFERROR(__xludf.DUMMYFUNCTION("""COMPUTED_VALUE"""),30580.666666666668)</f>
        <v>30580.66667</v>
      </c>
      <c r="B942" s="2">
        <f>IFERROR(__xludf.DUMMYFUNCTION("""COMPUTED_VALUE"""),29.37)</f>
        <v>29.37</v>
      </c>
      <c r="C942" s="2">
        <f>IFERROR(__xludf.DUMMYFUNCTION("""COMPUTED_VALUE"""),29.64)</f>
        <v>29.64</v>
      </c>
      <c r="D942" s="2">
        <f>IFERROR(__xludf.DUMMYFUNCTION("""COMPUTED_VALUE"""),29.34)</f>
        <v>29.34</v>
      </c>
      <c r="E942" s="2">
        <f>IFERROR(__xludf.DUMMYFUNCTION("""COMPUTED_VALUE"""),29.37)</f>
        <v>29.37</v>
      </c>
      <c r="F942" s="2">
        <f>IFERROR(__xludf.DUMMYFUNCTION("""COMPUTED_VALUE"""),1070900.0)</f>
        <v>1070900</v>
      </c>
    </row>
    <row r="943">
      <c r="A943" s="3">
        <f>IFERROR(__xludf.DUMMYFUNCTION("""COMPUTED_VALUE"""),30581.666666666668)</f>
        <v>30581.66667</v>
      </c>
      <c r="B943" s="2">
        <f>IFERROR(__xludf.DUMMYFUNCTION("""COMPUTED_VALUE"""),29.76)</f>
        <v>29.76</v>
      </c>
      <c r="C943" s="2">
        <f>IFERROR(__xludf.DUMMYFUNCTION("""COMPUTED_VALUE"""),29.79)</f>
        <v>29.79</v>
      </c>
      <c r="D943" s="2">
        <f>IFERROR(__xludf.DUMMYFUNCTION("""COMPUTED_VALUE"""),29.31)</f>
        <v>29.31</v>
      </c>
      <c r="E943" s="2">
        <f>IFERROR(__xludf.DUMMYFUNCTION("""COMPUTED_VALUE"""),29.76)</f>
        <v>29.76</v>
      </c>
      <c r="F943" s="2">
        <f>IFERROR(__xludf.DUMMYFUNCTION("""COMPUTED_VALUE"""),1099300.0)</f>
        <v>1099300</v>
      </c>
    </row>
    <row r="944">
      <c r="A944" s="3">
        <f>IFERROR(__xludf.DUMMYFUNCTION("""COMPUTED_VALUE"""),30582.666666666668)</f>
        <v>30582.66667</v>
      </c>
      <c r="B944" s="2">
        <f>IFERROR(__xludf.DUMMYFUNCTION("""COMPUTED_VALUE"""),30.24)</f>
        <v>30.24</v>
      </c>
      <c r="C944" s="2">
        <f>IFERROR(__xludf.DUMMYFUNCTION("""COMPUTED_VALUE"""),30.24)</f>
        <v>30.24</v>
      </c>
      <c r="D944" s="2">
        <f>IFERROR(__xludf.DUMMYFUNCTION("""COMPUTED_VALUE"""),29.67)</f>
        <v>29.67</v>
      </c>
      <c r="E944" s="2">
        <f>IFERROR(__xludf.DUMMYFUNCTION("""COMPUTED_VALUE"""),30.24)</f>
        <v>30.24</v>
      </c>
      <c r="F944" s="2">
        <f>IFERROR(__xludf.DUMMYFUNCTION("""COMPUTED_VALUE"""),1111900.0)</f>
        <v>1111900</v>
      </c>
    </row>
    <row r="945">
      <c r="A945" s="3">
        <f>IFERROR(__xludf.DUMMYFUNCTION("""COMPUTED_VALUE"""),30585.666666666668)</f>
        <v>30585.66667</v>
      </c>
      <c r="B945" s="2">
        <f>IFERROR(__xludf.DUMMYFUNCTION("""COMPUTED_VALUE"""),30.71)</f>
        <v>30.71</v>
      </c>
      <c r="C945" s="2">
        <f>IFERROR(__xludf.DUMMYFUNCTION("""COMPUTED_VALUE"""),30.92)</f>
        <v>30.92</v>
      </c>
      <c r="D945" s="2">
        <f>IFERROR(__xludf.DUMMYFUNCTION("""COMPUTED_VALUE"""),30.09)</f>
        <v>30.09</v>
      </c>
      <c r="E945" s="2">
        <f>IFERROR(__xludf.DUMMYFUNCTION("""COMPUTED_VALUE"""),30.71)</f>
        <v>30.71</v>
      </c>
      <c r="F945" s="2">
        <f>IFERROR(__xludf.DUMMYFUNCTION("""COMPUTED_VALUE"""),2097500.0)</f>
        <v>2097500</v>
      </c>
    </row>
    <row r="946">
      <c r="A946" s="3">
        <f>IFERROR(__xludf.DUMMYFUNCTION("""COMPUTED_VALUE"""),30586.666666666668)</f>
        <v>30586.66667</v>
      </c>
      <c r="B946" s="2">
        <f>IFERROR(__xludf.DUMMYFUNCTION("""COMPUTED_VALUE"""),30.54)</f>
        <v>30.54</v>
      </c>
      <c r="C946" s="2">
        <f>IFERROR(__xludf.DUMMYFUNCTION("""COMPUTED_VALUE"""),30.65)</f>
        <v>30.65</v>
      </c>
      <c r="D946" s="2">
        <f>IFERROR(__xludf.DUMMYFUNCTION("""COMPUTED_VALUE"""),30.21)</f>
        <v>30.21</v>
      </c>
      <c r="E946" s="2">
        <f>IFERROR(__xludf.DUMMYFUNCTION("""COMPUTED_VALUE"""),30.54)</f>
        <v>30.54</v>
      </c>
      <c r="F946" s="2">
        <f>IFERROR(__xludf.DUMMYFUNCTION("""COMPUTED_VALUE"""),1271500.0)</f>
        <v>1271500</v>
      </c>
    </row>
    <row r="947">
      <c r="A947" s="3">
        <f>IFERROR(__xludf.DUMMYFUNCTION("""COMPUTED_VALUE"""),30587.666666666668)</f>
        <v>30587.66667</v>
      </c>
      <c r="B947" s="2">
        <f>IFERROR(__xludf.DUMMYFUNCTION("""COMPUTED_VALUE"""),30.74)</f>
        <v>30.74</v>
      </c>
      <c r="C947" s="2">
        <f>IFERROR(__xludf.DUMMYFUNCTION("""COMPUTED_VALUE"""),30.83)</f>
        <v>30.83</v>
      </c>
      <c r="D947" s="2">
        <f>IFERROR(__xludf.DUMMYFUNCTION("""COMPUTED_VALUE"""),30.51)</f>
        <v>30.51</v>
      </c>
      <c r="E947" s="2">
        <f>IFERROR(__xludf.DUMMYFUNCTION("""COMPUTED_VALUE"""),30.74)</f>
        <v>30.74</v>
      </c>
      <c r="F947" s="2">
        <f>IFERROR(__xludf.DUMMYFUNCTION("""COMPUTED_VALUE"""),1099600.0)</f>
        <v>1099600</v>
      </c>
    </row>
    <row r="948">
      <c r="A948" s="3">
        <f>IFERROR(__xludf.DUMMYFUNCTION("""COMPUTED_VALUE"""),30588.666666666668)</f>
        <v>30588.66667</v>
      </c>
      <c r="B948" s="2">
        <f>IFERROR(__xludf.DUMMYFUNCTION("""COMPUTED_VALUE"""),30.54)</f>
        <v>30.54</v>
      </c>
      <c r="C948" s="2">
        <f>IFERROR(__xludf.DUMMYFUNCTION("""COMPUTED_VALUE"""),30.92)</f>
        <v>30.92</v>
      </c>
      <c r="D948" s="2">
        <f>IFERROR(__xludf.DUMMYFUNCTION("""COMPUTED_VALUE"""),30.54)</f>
        <v>30.54</v>
      </c>
      <c r="E948" s="2">
        <f>IFERROR(__xludf.DUMMYFUNCTION("""COMPUTED_VALUE"""),30.54)</f>
        <v>30.54</v>
      </c>
      <c r="F948" s="2">
        <f>IFERROR(__xludf.DUMMYFUNCTION("""COMPUTED_VALUE"""),723500.0)</f>
        <v>723500</v>
      </c>
    </row>
    <row r="949">
      <c r="A949" s="3">
        <f>IFERROR(__xludf.DUMMYFUNCTION("""COMPUTED_VALUE"""),30589.666666666668)</f>
        <v>30589.66667</v>
      </c>
      <c r="B949" s="2">
        <f>IFERROR(__xludf.DUMMYFUNCTION("""COMPUTED_VALUE"""),30.3)</f>
        <v>30.3</v>
      </c>
      <c r="C949" s="2">
        <f>IFERROR(__xludf.DUMMYFUNCTION("""COMPUTED_VALUE"""),30.6)</f>
        <v>30.6</v>
      </c>
      <c r="D949" s="2">
        <f>IFERROR(__xludf.DUMMYFUNCTION("""COMPUTED_VALUE"""),30.21)</f>
        <v>30.21</v>
      </c>
      <c r="E949" s="2">
        <f>IFERROR(__xludf.DUMMYFUNCTION("""COMPUTED_VALUE"""),30.3)</f>
        <v>30.3</v>
      </c>
      <c r="F949" s="2">
        <f>IFERROR(__xludf.DUMMYFUNCTION("""COMPUTED_VALUE"""),570500.0)</f>
        <v>570500</v>
      </c>
    </row>
    <row r="950">
      <c r="A950" s="3">
        <f>IFERROR(__xludf.DUMMYFUNCTION("""COMPUTED_VALUE"""),30592.666666666668)</f>
        <v>30592.66667</v>
      </c>
      <c r="B950" s="2">
        <f>IFERROR(__xludf.DUMMYFUNCTION("""COMPUTED_VALUE"""),30.6)</f>
        <v>30.6</v>
      </c>
      <c r="C950" s="2">
        <f>IFERROR(__xludf.DUMMYFUNCTION("""COMPUTED_VALUE"""),30.68)</f>
        <v>30.68</v>
      </c>
      <c r="D950" s="2">
        <f>IFERROR(__xludf.DUMMYFUNCTION("""COMPUTED_VALUE"""),30.15)</f>
        <v>30.15</v>
      </c>
      <c r="E950" s="2">
        <f>IFERROR(__xludf.DUMMYFUNCTION("""COMPUTED_VALUE"""),30.6)</f>
        <v>30.6</v>
      </c>
      <c r="F950" s="2">
        <f>IFERROR(__xludf.DUMMYFUNCTION("""COMPUTED_VALUE"""),878300.0)</f>
        <v>878300</v>
      </c>
    </row>
    <row r="951">
      <c r="A951" s="3">
        <f>IFERROR(__xludf.DUMMYFUNCTION("""COMPUTED_VALUE"""),30593.666666666668)</f>
        <v>30593.66667</v>
      </c>
      <c r="B951" s="2">
        <f>IFERROR(__xludf.DUMMYFUNCTION("""COMPUTED_VALUE"""),31.01)</f>
        <v>31.01</v>
      </c>
      <c r="C951" s="2">
        <f>IFERROR(__xludf.DUMMYFUNCTION("""COMPUTED_VALUE"""),31.07)</f>
        <v>31.07</v>
      </c>
      <c r="D951" s="2">
        <f>IFERROR(__xludf.DUMMYFUNCTION("""COMPUTED_VALUE"""),30.77)</f>
        <v>30.77</v>
      </c>
      <c r="E951" s="2">
        <f>IFERROR(__xludf.DUMMYFUNCTION("""COMPUTED_VALUE"""),31.01)</f>
        <v>31.01</v>
      </c>
      <c r="F951" s="2">
        <f>IFERROR(__xludf.DUMMYFUNCTION("""COMPUTED_VALUE"""),1190200.0)</f>
        <v>1190200</v>
      </c>
    </row>
    <row r="952">
      <c r="A952" s="3">
        <f>IFERROR(__xludf.DUMMYFUNCTION("""COMPUTED_VALUE"""),30594.666666666668)</f>
        <v>30594.66667</v>
      </c>
      <c r="B952" s="2">
        <f>IFERROR(__xludf.DUMMYFUNCTION("""COMPUTED_VALUE"""),31.31)</f>
        <v>31.31</v>
      </c>
      <c r="C952" s="2">
        <f>IFERROR(__xludf.DUMMYFUNCTION("""COMPUTED_VALUE"""),31.34)</f>
        <v>31.34</v>
      </c>
      <c r="D952" s="2">
        <f>IFERROR(__xludf.DUMMYFUNCTION("""COMPUTED_VALUE"""),30.83)</f>
        <v>30.83</v>
      </c>
      <c r="E952" s="2">
        <f>IFERROR(__xludf.DUMMYFUNCTION("""COMPUTED_VALUE"""),31.31)</f>
        <v>31.31</v>
      </c>
      <c r="F952" s="2">
        <f>IFERROR(__xludf.DUMMYFUNCTION("""COMPUTED_VALUE"""),1391200.0)</f>
        <v>1391200</v>
      </c>
    </row>
    <row r="953">
      <c r="A953" s="3">
        <f>IFERROR(__xludf.DUMMYFUNCTION("""COMPUTED_VALUE"""),30595.666666666668)</f>
        <v>30595.66667</v>
      </c>
      <c r="B953" s="2">
        <f>IFERROR(__xludf.DUMMYFUNCTION("""COMPUTED_VALUE"""),31.55)</f>
        <v>31.55</v>
      </c>
      <c r="C953" s="2">
        <f>IFERROR(__xludf.DUMMYFUNCTION("""COMPUTED_VALUE"""),31.58)</f>
        <v>31.58</v>
      </c>
      <c r="D953" s="2">
        <f>IFERROR(__xludf.DUMMYFUNCTION("""COMPUTED_VALUE"""),31.28)</f>
        <v>31.28</v>
      </c>
      <c r="E953" s="2">
        <f>IFERROR(__xludf.DUMMYFUNCTION("""COMPUTED_VALUE"""),31.55)</f>
        <v>31.55</v>
      </c>
      <c r="F953" s="2">
        <f>IFERROR(__xludf.DUMMYFUNCTION("""COMPUTED_VALUE"""),1104600.0)</f>
        <v>1104600</v>
      </c>
    </row>
    <row r="954">
      <c r="A954" s="3">
        <f>IFERROR(__xludf.DUMMYFUNCTION("""COMPUTED_VALUE"""),30596.666666666668)</f>
        <v>30596.66667</v>
      </c>
      <c r="B954" s="2">
        <f>IFERROR(__xludf.DUMMYFUNCTION("""COMPUTED_VALUE"""),31.58)</f>
        <v>31.58</v>
      </c>
      <c r="C954" s="2">
        <f>IFERROR(__xludf.DUMMYFUNCTION("""COMPUTED_VALUE"""),31.64)</f>
        <v>31.64</v>
      </c>
      <c r="D954" s="2">
        <f>IFERROR(__xludf.DUMMYFUNCTION("""COMPUTED_VALUE"""),31.46)</f>
        <v>31.46</v>
      </c>
      <c r="E954" s="2">
        <f>IFERROR(__xludf.DUMMYFUNCTION("""COMPUTED_VALUE"""),31.58)</f>
        <v>31.58</v>
      </c>
      <c r="F954" s="2">
        <f>IFERROR(__xludf.DUMMYFUNCTION("""COMPUTED_VALUE"""),803300.0)</f>
        <v>803300</v>
      </c>
    </row>
    <row r="955">
      <c r="A955" s="3">
        <f>IFERROR(__xludf.DUMMYFUNCTION("""COMPUTED_VALUE"""),30599.666666666668)</f>
        <v>30599.66667</v>
      </c>
      <c r="B955" s="2">
        <f>IFERROR(__xludf.DUMMYFUNCTION("""COMPUTED_VALUE"""),32.06)</f>
        <v>32.06</v>
      </c>
      <c r="C955" s="2">
        <f>IFERROR(__xludf.DUMMYFUNCTION("""COMPUTED_VALUE"""),32.06)</f>
        <v>32.06</v>
      </c>
      <c r="D955" s="2">
        <f>IFERROR(__xludf.DUMMYFUNCTION("""COMPUTED_VALUE"""),31.4)</f>
        <v>31.4</v>
      </c>
      <c r="E955" s="2">
        <f>IFERROR(__xludf.DUMMYFUNCTION("""COMPUTED_VALUE"""),32.06)</f>
        <v>32.06</v>
      </c>
      <c r="F955" s="2">
        <f>IFERROR(__xludf.DUMMYFUNCTION("""COMPUTED_VALUE"""),658400.0)</f>
        <v>658400</v>
      </c>
    </row>
    <row r="956">
      <c r="A956" s="3">
        <f>IFERROR(__xludf.DUMMYFUNCTION("""COMPUTED_VALUE"""),30600.666666666668)</f>
        <v>30600.66667</v>
      </c>
      <c r="B956" s="2">
        <f>IFERROR(__xludf.DUMMYFUNCTION("""COMPUTED_VALUE"""),31.76)</f>
        <v>31.76</v>
      </c>
      <c r="C956" s="2">
        <f>IFERROR(__xludf.DUMMYFUNCTION("""COMPUTED_VALUE"""),32.0)</f>
        <v>32</v>
      </c>
      <c r="D956" s="2">
        <f>IFERROR(__xludf.DUMMYFUNCTION("""COMPUTED_VALUE"""),31.7)</f>
        <v>31.7</v>
      </c>
      <c r="E956" s="2">
        <f>IFERROR(__xludf.DUMMYFUNCTION("""COMPUTED_VALUE"""),31.76)</f>
        <v>31.76</v>
      </c>
      <c r="F956" s="2">
        <f>IFERROR(__xludf.DUMMYFUNCTION("""COMPUTED_VALUE"""),687100.0)</f>
        <v>687100</v>
      </c>
    </row>
    <row r="957">
      <c r="A957" s="3">
        <f>IFERROR(__xludf.DUMMYFUNCTION("""COMPUTED_VALUE"""),30601.666666666668)</f>
        <v>30601.66667</v>
      </c>
      <c r="B957" s="2">
        <f>IFERROR(__xludf.DUMMYFUNCTION("""COMPUTED_VALUE"""),31.67)</f>
        <v>31.67</v>
      </c>
      <c r="C957" s="2">
        <f>IFERROR(__xludf.DUMMYFUNCTION("""COMPUTED_VALUE"""),31.85)</f>
        <v>31.85</v>
      </c>
      <c r="D957" s="2">
        <f>IFERROR(__xludf.DUMMYFUNCTION("""COMPUTED_VALUE"""),31.49)</f>
        <v>31.49</v>
      </c>
      <c r="E957" s="2">
        <f>IFERROR(__xludf.DUMMYFUNCTION("""COMPUTED_VALUE"""),31.67)</f>
        <v>31.67</v>
      </c>
      <c r="F957" s="2">
        <f>IFERROR(__xludf.DUMMYFUNCTION("""COMPUTED_VALUE"""),931000.0)</f>
        <v>931000</v>
      </c>
    </row>
    <row r="958">
      <c r="A958" s="3">
        <f>IFERROR(__xludf.DUMMYFUNCTION("""COMPUTED_VALUE"""),30602.666666666668)</f>
        <v>30602.66667</v>
      </c>
      <c r="B958" s="2">
        <f>IFERROR(__xludf.DUMMYFUNCTION("""COMPUTED_VALUE"""),31.91)</f>
        <v>31.91</v>
      </c>
      <c r="C958" s="2">
        <f>IFERROR(__xludf.DUMMYFUNCTION("""COMPUTED_VALUE"""),31.97)</f>
        <v>31.97</v>
      </c>
      <c r="D958" s="2">
        <f>IFERROR(__xludf.DUMMYFUNCTION("""COMPUTED_VALUE"""),31.67)</f>
        <v>31.67</v>
      </c>
      <c r="E958" s="2">
        <f>IFERROR(__xludf.DUMMYFUNCTION("""COMPUTED_VALUE"""),31.91)</f>
        <v>31.91</v>
      </c>
      <c r="F958" s="2">
        <f>IFERROR(__xludf.DUMMYFUNCTION("""COMPUTED_VALUE"""),722400.0)</f>
        <v>722400</v>
      </c>
    </row>
    <row r="959">
      <c r="A959" s="3">
        <f>IFERROR(__xludf.DUMMYFUNCTION("""COMPUTED_VALUE"""),30603.666666666668)</f>
        <v>30603.66667</v>
      </c>
      <c r="B959" s="2">
        <f>IFERROR(__xludf.DUMMYFUNCTION("""COMPUTED_VALUE"""),31.46)</f>
        <v>31.46</v>
      </c>
      <c r="C959" s="2">
        <f>IFERROR(__xludf.DUMMYFUNCTION("""COMPUTED_VALUE"""),31.94)</f>
        <v>31.94</v>
      </c>
      <c r="D959" s="2">
        <f>IFERROR(__xludf.DUMMYFUNCTION("""COMPUTED_VALUE"""),31.22)</f>
        <v>31.22</v>
      </c>
      <c r="E959" s="2">
        <f>IFERROR(__xludf.DUMMYFUNCTION("""COMPUTED_VALUE"""),31.46)</f>
        <v>31.46</v>
      </c>
      <c r="F959" s="2">
        <f>IFERROR(__xludf.DUMMYFUNCTION("""COMPUTED_VALUE"""),2012600.0)</f>
        <v>2012600</v>
      </c>
    </row>
    <row r="960">
      <c r="A960" s="3">
        <f>IFERROR(__xludf.DUMMYFUNCTION("""COMPUTED_VALUE"""),30606.666666666668)</f>
        <v>30606.66667</v>
      </c>
      <c r="B960" s="2">
        <f>IFERROR(__xludf.DUMMYFUNCTION("""COMPUTED_VALUE"""),31.46)</f>
        <v>31.46</v>
      </c>
      <c r="C960" s="2">
        <f>IFERROR(__xludf.DUMMYFUNCTION("""COMPUTED_VALUE"""),31.67)</f>
        <v>31.67</v>
      </c>
      <c r="D960" s="2">
        <f>IFERROR(__xludf.DUMMYFUNCTION("""COMPUTED_VALUE"""),31.16)</f>
        <v>31.16</v>
      </c>
      <c r="E960" s="2">
        <f>IFERROR(__xludf.DUMMYFUNCTION("""COMPUTED_VALUE"""),31.46)</f>
        <v>31.46</v>
      </c>
      <c r="F960" s="2">
        <f>IFERROR(__xludf.DUMMYFUNCTION("""COMPUTED_VALUE"""),1129800.0)</f>
        <v>1129800</v>
      </c>
    </row>
    <row r="961">
      <c r="A961" s="3">
        <f>IFERROR(__xludf.DUMMYFUNCTION("""COMPUTED_VALUE"""),30607.666666666668)</f>
        <v>30607.66667</v>
      </c>
      <c r="B961" s="2">
        <f>IFERROR(__xludf.DUMMYFUNCTION("""COMPUTED_VALUE"""),30.74)</f>
        <v>30.74</v>
      </c>
      <c r="C961" s="2">
        <f>IFERROR(__xludf.DUMMYFUNCTION("""COMPUTED_VALUE"""),31.55)</f>
        <v>31.55</v>
      </c>
      <c r="D961" s="2">
        <f>IFERROR(__xludf.DUMMYFUNCTION("""COMPUTED_VALUE"""),30.68)</f>
        <v>30.68</v>
      </c>
      <c r="E961" s="2">
        <f>IFERROR(__xludf.DUMMYFUNCTION("""COMPUTED_VALUE"""),30.74)</f>
        <v>30.74</v>
      </c>
      <c r="F961" s="2">
        <f>IFERROR(__xludf.DUMMYFUNCTION("""COMPUTED_VALUE"""),1743600.0)</f>
        <v>1743600</v>
      </c>
    </row>
    <row r="962">
      <c r="A962" s="3">
        <f>IFERROR(__xludf.DUMMYFUNCTION("""COMPUTED_VALUE"""),30608.666666666668)</f>
        <v>30608.66667</v>
      </c>
      <c r="B962" s="2">
        <f>IFERROR(__xludf.DUMMYFUNCTION("""COMPUTED_VALUE"""),31.16)</f>
        <v>31.16</v>
      </c>
      <c r="C962" s="2">
        <f>IFERROR(__xludf.DUMMYFUNCTION("""COMPUTED_VALUE"""),31.22)</f>
        <v>31.22</v>
      </c>
      <c r="D962" s="2">
        <f>IFERROR(__xludf.DUMMYFUNCTION("""COMPUTED_VALUE"""),30.71)</f>
        <v>30.71</v>
      </c>
      <c r="E962" s="2">
        <f>IFERROR(__xludf.DUMMYFUNCTION("""COMPUTED_VALUE"""),31.16)</f>
        <v>31.16</v>
      </c>
      <c r="F962" s="2">
        <f>IFERROR(__xludf.DUMMYFUNCTION("""COMPUTED_VALUE"""),2072600.0)</f>
        <v>2072600</v>
      </c>
    </row>
    <row r="963">
      <c r="A963" s="3">
        <f>IFERROR(__xludf.DUMMYFUNCTION("""COMPUTED_VALUE"""),30609.666666666668)</f>
        <v>30609.66667</v>
      </c>
      <c r="B963" s="2">
        <f>IFERROR(__xludf.DUMMYFUNCTION("""COMPUTED_VALUE"""),30.98)</f>
        <v>30.98</v>
      </c>
      <c r="C963" s="2">
        <f>IFERROR(__xludf.DUMMYFUNCTION("""COMPUTED_VALUE"""),31.16)</f>
        <v>31.16</v>
      </c>
      <c r="D963" s="2">
        <f>IFERROR(__xludf.DUMMYFUNCTION("""COMPUTED_VALUE"""),30.95)</f>
        <v>30.95</v>
      </c>
      <c r="E963" s="2">
        <f>IFERROR(__xludf.DUMMYFUNCTION("""COMPUTED_VALUE"""),30.98)</f>
        <v>30.98</v>
      </c>
      <c r="F963" s="2">
        <f>IFERROR(__xludf.DUMMYFUNCTION("""COMPUTED_VALUE"""),1141600.0)</f>
        <v>1141600</v>
      </c>
    </row>
    <row r="964">
      <c r="A964" s="3">
        <f>IFERROR(__xludf.DUMMYFUNCTION("""COMPUTED_VALUE"""),30610.666666666668)</f>
        <v>30610.66667</v>
      </c>
      <c r="B964" s="2">
        <f>IFERROR(__xludf.DUMMYFUNCTION("""COMPUTED_VALUE"""),30.33)</f>
        <v>30.33</v>
      </c>
      <c r="C964" s="2">
        <f>IFERROR(__xludf.DUMMYFUNCTION("""COMPUTED_VALUE"""),30.98)</f>
        <v>30.98</v>
      </c>
      <c r="D964" s="2">
        <f>IFERROR(__xludf.DUMMYFUNCTION("""COMPUTED_VALUE"""),29.73)</f>
        <v>29.73</v>
      </c>
      <c r="E964" s="2">
        <f>IFERROR(__xludf.DUMMYFUNCTION("""COMPUTED_VALUE"""),30.33)</f>
        <v>30.33</v>
      </c>
      <c r="F964" s="2">
        <f>IFERROR(__xludf.DUMMYFUNCTION("""COMPUTED_VALUE"""),1555400.0)</f>
        <v>1555400</v>
      </c>
    </row>
    <row r="965">
      <c r="A965" s="3">
        <f>IFERROR(__xludf.DUMMYFUNCTION("""COMPUTED_VALUE"""),30613.666666666668)</f>
        <v>30613.66667</v>
      </c>
      <c r="B965" s="2">
        <f>IFERROR(__xludf.DUMMYFUNCTION("""COMPUTED_VALUE"""),30.62)</f>
        <v>30.62</v>
      </c>
      <c r="C965" s="2">
        <f>IFERROR(__xludf.DUMMYFUNCTION("""COMPUTED_VALUE"""),30.71)</f>
        <v>30.71</v>
      </c>
      <c r="D965" s="2">
        <f>IFERROR(__xludf.DUMMYFUNCTION("""COMPUTED_VALUE"""),29.97)</f>
        <v>29.97</v>
      </c>
      <c r="E965" s="2">
        <f>IFERROR(__xludf.DUMMYFUNCTION("""COMPUTED_VALUE"""),30.62)</f>
        <v>30.62</v>
      </c>
      <c r="F965" s="2">
        <f>IFERROR(__xludf.DUMMYFUNCTION("""COMPUTED_VALUE"""),1491500.0)</f>
        <v>1491500</v>
      </c>
    </row>
    <row r="966">
      <c r="A966" s="3">
        <f>IFERROR(__xludf.DUMMYFUNCTION("""COMPUTED_VALUE"""),30614.666666666668)</f>
        <v>30614.66667</v>
      </c>
      <c r="B966" s="2">
        <f>IFERROR(__xludf.DUMMYFUNCTION("""COMPUTED_VALUE"""),30.68)</f>
        <v>30.68</v>
      </c>
      <c r="C966" s="2">
        <f>IFERROR(__xludf.DUMMYFUNCTION("""COMPUTED_VALUE"""),30.86)</f>
        <v>30.86</v>
      </c>
      <c r="D966" s="2">
        <f>IFERROR(__xludf.DUMMYFUNCTION("""COMPUTED_VALUE"""),30.62)</f>
        <v>30.62</v>
      </c>
      <c r="E966" s="2">
        <f>IFERROR(__xludf.DUMMYFUNCTION("""COMPUTED_VALUE"""),30.68)</f>
        <v>30.68</v>
      </c>
      <c r="F966" s="2">
        <f>IFERROR(__xludf.DUMMYFUNCTION("""COMPUTED_VALUE"""),1180600.0)</f>
        <v>1180600</v>
      </c>
    </row>
    <row r="967">
      <c r="A967" s="3">
        <f>IFERROR(__xludf.DUMMYFUNCTION("""COMPUTED_VALUE"""),30615.666666666668)</f>
        <v>30615.66667</v>
      </c>
      <c r="B967" s="2">
        <f>IFERROR(__xludf.DUMMYFUNCTION("""COMPUTED_VALUE"""),30.57)</f>
        <v>30.57</v>
      </c>
      <c r="C967" s="2">
        <f>IFERROR(__xludf.DUMMYFUNCTION("""COMPUTED_VALUE"""),30.77)</f>
        <v>30.77</v>
      </c>
      <c r="D967" s="2">
        <f>IFERROR(__xludf.DUMMYFUNCTION("""COMPUTED_VALUE"""),30.45)</f>
        <v>30.45</v>
      </c>
      <c r="E967" s="2">
        <f>IFERROR(__xludf.DUMMYFUNCTION("""COMPUTED_VALUE"""),30.57)</f>
        <v>30.57</v>
      </c>
      <c r="F967" s="2">
        <f>IFERROR(__xludf.DUMMYFUNCTION("""COMPUTED_VALUE"""),977800.0)</f>
        <v>977800</v>
      </c>
    </row>
    <row r="968">
      <c r="A968" s="3">
        <f>IFERROR(__xludf.DUMMYFUNCTION("""COMPUTED_VALUE"""),30616.666666666668)</f>
        <v>30616.66667</v>
      </c>
      <c r="B968" s="2">
        <f>IFERROR(__xludf.DUMMYFUNCTION("""COMPUTED_VALUE"""),30.89)</f>
        <v>30.89</v>
      </c>
      <c r="C968" s="2">
        <f>IFERROR(__xludf.DUMMYFUNCTION("""COMPUTED_VALUE"""),30.89)</f>
        <v>30.89</v>
      </c>
      <c r="D968" s="2">
        <f>IFERROR(__xludf.DUMMYFUNCTION("""COMPUTED_VALUE"""),30.42)</f>
        <v>30.42</v>
      </c>
      <c r="E968" s="2">
        <f>IFERROR(__xludf.DUMMYFUNCTION("""COMPUTED_VALUE"""),30.89)</f>
        <v>30.89</v>
      </c>
      <c r="F968" s="2">
        <f>IFERROR(__xludf.DUMMYFUNCTION("""COMPUTED_VALUE"""),702100.0)</f>
        <v>702100</v>
      </c>
    </row>
    <row r="969">
      <c r="A969" s="3">
        <f>IFERROR(__xludf.DUMMYFUNCTION("""COMPUTED_VALUE"""),30617.666666666668)</f>
        <v>30617.66667</v>
      </c>
      <c r="B969" s="2">
        <f>IFERROR(__xludf.DUMMYFUNCTION("""COMPUTED_VALUE"""),30.57)</f>
        <v>30.57</v>
      </c>
      <c r="C969" s="2">
        <f>IFERROR(__xludf.DUMMYFUNCTION("""COMPUTED_VALUE"""),31.04)</f>
        <v>31.04</v>
      </c>
      <c r="D969" s="2">
        <f>IFERROR(__xludf.DUMMYFUNCTION("""COMPUTED_VALUE"""),30.36)</f>
        <v>30.36</v>
      </c>
      <c r="E969" s="2">
        <f>IFERROR(__xludf.DUMMYFUNCTION("""COMPUTED_VALUE"""),30.57)</f>
        <v>30.57</v>
      </c>
      <c r="F969" s="2">
        <f>IFERROR(__xludf.DUMMYFUNCTION("""COMPUTED_VALUE"""),1105800.0)</f>
        <v>1105800</v>
      </c>
    </row>
    <row r="970">
      <c r="A970" s="3">
        <f>IFERROR(__xludf.DUMMYFUNCTION("""COMPUTED_VALUE"""),30620.666666666668)</f>
        <v>30620.66667</v>
      </c>
      <c r="B970" s="2">
        <f>IFERROR(__xludf.DUMMYFUNCTION("""COMPUTED_VALUE"""),30.27)</f>
        <v>30.27</v>
      </c>
      <c r="C970" s="2">
        <f>IFERROR(__xludf.DUMMYFUNCTION("""COMPUTED_VALUE"""),30.8)</f>
        <v>30.8</v>
      </c>
      <c r="D970" s="2">
        <f>IFERROR(__xludf.DUMMYFUNCTION("""COMPUTED_VALUE"""),30.09)</f>
        <v>30.09</v>
      </c>
      <c r="E970" s="2">
        <f>IFERROR(__xludf.DUMMYFUNCTION("""COMPUTED_VALUE"""),30.27)</f>
        <v>30.27</v>
      </c>
      <c r="F970" s="2">
        <f>IFERROR(__xludf.DUMMYFUNCTION("""COMPUTED_VALUE"""),1441600.0)</f>
        <v>1441600</v>
      </c>
    </row>
    <row r="971">
      <c r="A971" s="3">
        <f>IFERROR(__xludf.DUMMYFUNCTION("""COMPUTED_VALUE"""),30621.666666666668)</f>
        <v>30621.66667</v>
      </c>
      <c r="B971" s="2">
        <f>IFERROR(__xludf.DUMMYFUNCTION("""COMPUTED_VALUE"""),30.27)</f>
        <v>30.27</v>
      </c>
      <c r="C971" s="2">
        <f>IFERROR(__xludf.DUMMYFUNCTION("""COMPUTED_VALUE"""),30.39)</f>
        <v>30.39</v>
      </c>
      <c r="D971" s="2">
        <f>IFERROR(__xludf.DUMMYFUNCTION("""COMPUTED_VALUE"""),29.85)</f>
        <v>29.85</v>
      </c>
      <c r="E971" s="2">
        <f>IFERROR(__xludf.DUMMYFUNCTION("""COMPUTED_VALUE"""),30.27)</f>
        <v>30.27</v>
      </c>
      <c r="F971" s="2">
        <f>IFERROR(__xludf.DUMMYFUNCTION("""COMPUTED_VALUE"""),1413200.0)</f>
        <v>1413200</v>
      </c>
    </row>
    <row r="972">
      <c r="A972" s="3">
        <f>IFERROR(__xludf.DUMMYFUNCTION("""COMPUTED_VALUE"""),30622.666666666668)</f>
        <v>30622.66667</v>
      </c>
      <c r="B972" s="2">
        <f>IFERROR(__xludf.DUMMYFUNCTION("""COMPUTED_VALUE"""),30.21)</f>
        <v>30.21</v>
      </c>
      <c r="C972" s="2">
        <f>IFERROR(__xludf.DUMMYFUNCTION("""COMPUTED_VALUE"""),30.33)</f>
        <v>30.33</v>
      </c>
      <c r="D972" s="2">
        <f>IFERROR(__xludf.DUMMYFUNCTION("""COMPUTED_VALUE"""),29.97)</f>
        <v>29.97</v>
      </c>
      <c r="E972" s="2">
        <f>IFERROR(__xludf.DUMMYFUNCTION("""COMPUTED_VALUE"""),30.21)</f>
        <v>30.21</v>
      </c>
      <c r="F972" s="2">
        <f>IFERROR(__xludf.DUMMYFUNCTION("""COMPUTED_VALUE"""),946400.0)</f>
        <v>946400</v>
      </c>
    </row>
    <row r="973">
      <c r="A973" s="3">
        <f>IFERROR(__xludf.DUMMYFUNCTION("""COMPUTED_VALUE"""),30623.666666666668)</f>
        <v>30623.66667</v>
      </c>
      <c r="B973" s="2">
        <f>IFERROR(__xludf.DUMMYFUNCTION("""COMPUTED_VALUE"""),29.58)</f>
        <v>29.58</v>
      </c>
      <c r="C973" s="2">
        <f>IFERROR(__xludf.DUMMYFUNCTION("""COMPUTED_VALUE"""),30.21)</f>
        <v>30.21</v>
      </c>
      <c r="D973" s="2">
        <f>IFERROR(__xludf.DUMMYFUNCTION("""COMPUTED_VALUE"""),29.49)</f>
        <v>29.49</v>
      </c>
      <c r="E973" s="2">
        <f>IFERROR(__xludf.DUMMYFUNCTION("""COMPUTED_VALUE"""),29.58)</f>
        <v>29.58</v>
      </c>
      <c r="F973" s="2">
        <f>IFERROR(__xludf.DUMMYFUNCTION("""COMPUTED_VALUE"""),922600.0)</f>
        <v>922600</v>
      </c>
    </row>
    <row r="974">
      <c r="A974" s="3">
        <f>IFERROR(__xludf.DUMMYFUNCTION("""COMPUTED_VALUE"""),30624.666666666668)</f>
        <v>30624.66667</v>
      </c>
      <c r="B974" s="2">
        <f>IFERROR(__xludf.DUMMYFUNCTION("""COMPUTED_VALUE"""),29.19)</f>
        <v>29.19</v>
      </c>
      <c r="C974" s="2">
        <f>IFERROR(__xludf.DUMMYFUNCTION("""COMPUTED_VALUE"""),29.43)</f>
        <v>29.43</v>
      </c>
      <c r="D974" s="2">
        <f>IFERROR(__xludf.DUMMYFUNCTION("""COMPUTED_VALUE"""),29.07)</f>
        <v>29.07</v>
      </c>
      <c r="E974" s="2">
        <f>IFERROR(__xludf.DUMMYFUNCTION("""COMPUTED_VALUE"""),29.19)</f>
        <v>29.19</v>
      </c>
      <c r="F974" s="2">
        <f>IFERROR(__xludf.DUMMYFUNCTION("""COMPUTED_VALUE"""),1474500.0)</f>
        <v>1474500</v>
      </c>
    </row>
    <row r="975">
      <c r="A975" s="3">
        <f>IFERROR(__xludf.DUMMYFUNCTION("""COMPUTED_VALUE"""),30627.666666666668)</f>
        <v>30627.66667</v>
      </c>
      <c r="B975" s="2">
        <f>IFERROR(__xludf.DUMMYFUNCTION("""COMPUTED_VALUE"""),29.16)</f>
        <v>29.16</v>
      </c>
      <c r="C975" s="2">
        <f>IFERROR(__xludf.DUMMYFUNCTION("""COMPUTED_VALUE"""),29.46)</f>
        <v>29.46</v>
      </c>
      <c r="D975" s="2">
        <f>IFERROR(__xludf.DUMMYFUNCTION("""COMPUTED_VALUE"""),29.13)</f>
        <v>29.13</v>
      </c>
      <c r="E975" s="2">
        <f>IFERROR(__xludf.DUMMYFUNCTION("""COMPUTED_VALUE"""),29.16)</f>
        <v>29.16</v>
      </c>
      <c r="F975" s="2">
        <f>IFERROR(__xludf.DUMMYFUNCTION("""COMPUTED_VALUE"""),803600.0)</f>
        <v>803600</v>
      </c>
    </row>
    <row r="976">
      <c r="A976" s="3">
        <f>IFERROR(__xludf.DUMMYFUNCTION("""COMPUTED_VALUE"""),30628.666666666668)</f>
        <v>30628.66667</v>
      </c>
      <c r="B976" s="2">
        <f>IFERROR(__xludf.DUMMYFUNCTION("""COMPUTED_VALUE"""),29.19)</f>
        <v>29.19</v>
      </c>
      <c r="C976" s="2">
        <f>IFERROR(__xludf.DUMMYFUNCTION("""COMPUTED_VALUE"""),29.34)</f>
        <v>29.34</v>
      </c>
      <c r="D976" s="2">
        <f>IFERROR(__xludf.DUMMYFUNCTION("""COMPUTED_VALUE"""),29.1)</f>
        <v>29.1</v>
      </c>
      <c r="E976" s="2">
        <f>IFERROR(__xludf.DUMMYFUNCTION("""COMPUTED_VALUE"""),29.19)</f>
        <v>29.19</v>
      </c>
      <c r="F976" s="2">
        <f>IFERROR(__xludf.DUMMYFUNCTION("""COMPUTED_VALUE"""),650900.0)</f>
        <v>650900</v>
      </c>
    </row>
    <row r="977">
      <c r="A977" s="3">
        <f>IFERROR(__xludf.DUMMYFUNCTION("""COMPUTED_VALUE"""),30629.666666666668)</f>
        <v>30629.66667</v>
      </c>
      <c r="B977" s="2">
        <f>IFERROR(__xludf.DUMMYFUNCTION("""COMPUTED_VALUE"""),29.52)</f>
        <v>29.52</v>
      </c>
      <c r="C977" s="2">
        <f>IFERROR(__xludf.DUMMYFUNCTION("""COMPUTED_VALUE"""),29.52)</f>
        <v>29.52</v>
      </c>
      <c r="D977" s="2">
        <f>IFERROR(__xludf.DUMMYFUNCTION("""COMPUTED_VALUE"""),29.22)</f>
        <v>29.22</v>
      </c>
      <c r="E977" s="2">
        <f>IFERROR(__xludf.DUMMYFUNCTION("""COMPUTED_VALUE"""),29.52)</f>
        <v>29.52</v>
      </c>
      <c r="F977" s="2">
        <f>IFERROR(__xludf.DUMMYFUNCTION("""COMPUTED_VALUE"""),858900.0)</f>
        <v>858900</v>
      </c>
    </row>
    <row r="978">
      <c r="A978" s="3">
        <f>IFERROR(__xludf.DUMMYFUNCTION("""COMPUTED_VALUE"""),30630.666666666668)</f>
        <v>30630.66667</v>
      </c>
      <c r="B978" s="2">
        <f>IFERROR(__xludf.DUMMYFUNCTION("""COMPUTED_VALUE"""),29.91)</f>
        <v>29.91</v>
      </c>
      <c r="C978" s="2">
        <f>IFERROR(__xludf.DUMMYFUNCTION("""COMPUTED_VALUE"""),30.03)</f>
        <v>30.03</v>
      </c>
      <c r="D978" s="2">
        <f>IFERROR(__xludf.DUMMYFUNCTION("""COMPUTED_VALUE"""),29.61)</f>
        <v>29.61</v>
      </c>
      <c r="E978" s="2">
        <f>IFERROR(__xludf.DUMMYFUNCTION("""COMPUTED_VALUE"""),29.91)</f>
        <v>29.91</v>
      </c>
      <c r="F978" s="2">
        <f>IFERROR(__xludf.DUMMYFUNCTION("""COMPUTED_VALUE"""),1165800.0)</f>
        <v>1165800</v>
      </c>
    </row>
    <row r="979">
      <c r="A979" s="3">
        <f>IFERROR(__xludf.DUMMYFUNCTION("""COMPUTED_VALUE"""),30631.666666666668)</f>
        <v>30631.66667</v>
      </c>
      <c r="B979" s="2">
        <f>IFERROR(__xludf.DUMMYFUNCTION("""COMPUTED_VALUE"""),30.3)</f>
        <v>30.3</v>
      </c>
      <c r="C979" s="2">
        <f>IFERROR(__xludf.DUMMYFUNCTION("""COMPUTED_VALUE"""),30.39)</f>
        <v>30.39</v>
      </c>
      <c r="D979" s="2">
        <f>IFERROR(__xludf.DUMMYFUNCTION("""COMPUTED_VALUE"""),29.88)</f>
        <v>29.88</v>
      </c>
      <c r="E979" s="2">
        <f>IFERROR(__xludf.DUMMYFUNCTION("""COMPUTED_VALUE"""),30.3)</f>
        <v>30.3</v>
      </c>
      <c r="F979" s="2">
        <f>IFERROR(__xludf.DUMMYFUNCTION("""COMPUTED_VALUE"""),784800.0)</f>
        <v>784800</v>
      </c>
    </row>
    <row r="980">
      <c r="A980" s="3">
        <f>IFERROR(__xludf.DUMMYFUNCTION("""COMPUTED_VALUE"""),30634.666666666668)</f>
        <v>30634.66667</v>
      </c>
      <c r="B980" s="2">
        <f>IFERROR(__xludf.DUMMYFUNCTION("""COMPUTED_VALUE"""),30.45)</f>
        <v>30.45</v>
      </c>
      <c r="C980" s="2">
        <f>IFERROR(__xludf.DUMMYFUNCTION("""COMPUTED_VALUE"""),30.62)</f>
        <v>30.62</v>
      </c>
      <c r="D980" s="2">
        <f>IFERROR(__xludf.DUMMYFUNCTION("""COMPUTED_VALUE"""),30.33)</f>
        <v>30.33</v>
      </c>
      <c r="E980" s="2">
        <f>IFERROR(__xludf.DUMMYFUNCTION("""COMPUTED_VALUE"""),30.45)</f>
        <v>30.45</v>
      </c>
      <c r="F980" s="2">
        <f>IFERROR(__xludf.DUMMYFUNCTION("""COMPUTED_VALUE"""),1030600.0)</f>
        <v>1030600</v>
      </c>
    </row>
    <row r="981">
      <c r="A981" s="3">
        <f>IFERROR(__xludf.DUMMYFUNCTION("""COMPUTED_VALUE"""),30635.666666666668)</f>
        <v>30635.66667</v>
      </c>
      <c r="B981" s="2">
        <f>IFERROR(__xludf.DUMMYFUNCTION("""COMPUTED_VALUE"""),29.73)</f>
        <v>29.73</v>
      </c>
      <c r="C981" s="2">
        <f>IFERROR(__xludf.DUMMYFUNCTION("""COMPUTED_VALUE"""),30.48)</f>
        <v>30.48</v>
      </c>
      <c r="D981" s="2">
        <f>IFERROR(__xludf.DUMMYFUNCTION("""COMPUTED_VALUE"""),29.61)</f>
        <v>29.61</v>
      </c>
      <c r="E981" s="2">
        <f>IFERROR(__xludf.DUMMYFUNCTION("""COMPUTED_VALUE"""),29.73)</f>
        <v>29.73</v>
      </c>
      <c r="F981" s="2">
        <f>IFERROR(__xludf.DUMMYFUNCTION("""COMPUTED_VALUE"""),1354300.0)</f>
        <v>1354300</v>
      </c>
    </row>
    <row r="982">
      <c r="A982" s="3">
        <f>IFERROR(__xludf.DUMMYFUNCTION("""COMPUTED_VALUE"""),30636.666666666668)</f>
        <v>30636.66667</v>
      </c>
      <c r="B982" s="2">
        <f>IFERROR(__xludf.DUMMYFUNCTION("""COMPUTED_VALUE"""),29.79)</f>
        <v>29.79</v>
      </c>
      <c r="C982" s="2">
        <f>IFERROR(__xludf.DUMMYFUNCTION("""COMPUTED_VALUE"""),29.97)</f>
        <v>29.97</v>
      </c>
      <c r="D982" s="2">
        <f>IFERROR(__xludf.DUMMYFUNCTION("""COMPUTED_VALUE"""),29.52)</f>
        <v>29.52</v>
      </c>
      <c r="E982" s="2">
        <f>IFERROR(__xludf.DUMMYFUNCTION("""COMPUTED_VALUE"""),29.79)</f>
        <v>29.79</v>
      </c>
      <c r="F982" s="2">
        <f>IFERROR(__xludf.DUMMYFUNCTION("""COMPUTED_VALUE"""),1053800.0)</f>
        <v>1053800</v>
      </c>
    </row>
    <row r="983">
      <c r="A983" s="3">
        <f>IFERROR(__xludf.DUMMYFUNCTION("""COMPUTED_VALUE"""),30637.666666666668)</f>
        <v>30637.66667</v>
      </c>
      <c r="B983" s="2">
        <f>IFERROR(__xludf.DUMMYFUNCTION("""COMPUTED_VALUE"""),29.46)</f>
        <v>29.46</v>
      </c>
      <c r="C983" s="2">
        <f>IFERROR(__xludf.DUMMYFUNCTION("""COMPUTED_VALUE"""),29.73)</f>
        <v>29.73</v>
      </c>
      <c r="D983" s="2">
        <f>IFERROR(__xludf.DUMMYFUNCTION("""COMPUTED_VALUE"""),29.34)</f>
        <v>29.34</v>
      </c>
      <c r="E983" s="2">
        <f>IFERROR(__xludf.DUMMYFUNCTION("""COMPUTED_VALUE"""),29.46)</f>
        <v>29.46</v>
      </c>
      <c r="F983" s="2">
        <f>IFERROR(__xludf.DUMMYFUNCTION("""COMPUTED_VALUE"""),816300.0)</f>
        <v>816300</v>
      </c>
    </row>
    <row r="984">
      <c r="A984" s="3">
        <f>IFERROR(__xludf.DUMMYFUNCTION("""COMPUTED_VALUE"""),30638.666666666668)</f>
        <v>30638.66667</v>
      </c>
      <c r="B984" s="2">
        <f>IFERROR(__xludf.DUMMYFUNCTION("""COMPUTED_VALUE"""),29.49)</f>
        <v>29.49</v>
      </c>
      <c r="C984" s="2">
        <f>IFERROR(__xludf.DUMMYFUNCTION("""COMPUTED_VALUE"""),29.55)</f>
        <v>29.55</v>
      </c>
      <c r="D984" s="2">
        <f>IFERROR(__xludf.DUMMYFUNCTION("""COMPUTED_VALUE"""),29.13)</f>
        <v>29.13</v>
      </c>
      <c r="E984" s="2">
        <f>IFERROR(__xludf.DUMMYFUNCTION("""COMPUTED_VALUE"""),29.49)</f>
        <v>29.49</v>
      </c>
      <c r="F984" s="2">
        <f>IFERROR(__xludf.DUMMYFUNCTION("""COMPUTED_VALUE"""),818100.0)</f>
        <v>818100</v>
      </c>
    </row>
    <row r="985">
      <c r="A985" s="3">
        <f>IFERROR(__xludf.DUMMYFUNCTION("""COMPUTED_VALUE"""),30641.666666666668)</f>
        <v>30641.66667</v>
      </c>
      <c r="B985" s="2">
        <f>IFERROR(__xludf.DUMMYFUNCTION("""COMPUTED_VALUE"""),29.91)</f>
        <v>29.91</v>
      </c>
      <c r="C985" s="2">
        <f>IFERROR(__xludf.DUMMYFUNCTION("""COMPUTED_VALUE"""),29.97)</f>
        <v>29.97</v>
      </c>
      <c r="D985" s="2">
        <f>IFERROR(__xludf.DUMMYFUNCTION("""COMPUTED_VALUE"""),29.4)</f>
        <v>29.4</v>
      </c>
      <c r="E985" s="2">
        <f>IFERROR(__xludf.DUMMYFUNCTION("""COMPUTED_VALUE"""),29.91)</f>
        <v>29.91</v>
      </c>
      <c r="F985" s="2">
        <f>IFERROR(__xludf.DUMMYFUNCTION("""COMPUTED_VALUE"""),778300.0)</f>
        <v>778300</v>
      </c>
    </row>
    <row r="986">
      <c r="A986" s="3">
        <f>IFERROR(__xludf.DUMMYFUNCTION("""COMPUTED_VALUE"""),30642.666666666668)</f>
        <v>30642.66667</v>
      </c>
      <c r="B986" s="2">
        <f>IFERROR(__xludf.DUMMYFUNCTION("""COMPUTED_VALUE"""),29.37)</f>
        <v>29.37</v>
      </c>
      <c r="C986" s="2">
        <f>IFERROR(__xludf.DUMMYFUNCTION("""COMPUTED_VALUE"""),30.0)</f>
        <v>30</v>
      </c>
      <c r="D986" s="2">
        <f>IFERROR(__xludf.DUMMYFUNCTION("""COMPUTED_VALUE"""),29.28)</f>
        <v>29.28</v>
      </c>
      <c r="E986" s="2">
        <f>IFERROR(__xludf.DUMMYFUNCTION("""COMPUTED_VALUE"""),29.37)</f>
        <v>29.37</v>
      </c>
      <c r="F986" s="2">
        <f>IFERROR(__xludf.DUMMYFUNCTION("""COMPUTED_VALUE"""),985000.0)</f>
        <v>985000</v>
      </c>
    </row>
    <row r="987">
      <c r="A987" s="3">
        <f>IFERROR(__xludf.DUMMYFUNCTION("""COMPUTED_VALUE"""),30643.666666666668)</f>
        <v>30643.66667</v>
      </c>
      <c r="B987" s="2">
        <f>IFERROR(__xludf.DUMMYFUNCTION("""COMPUTED_VALUE"""),28.86)</f>
        <v>28.86</v>
      </c>
      <c r="C987" s="2">
        <f>IFERROR(__xludf.DUMMYFUNCTION("""COMPUTED_VALUE"""),29.46)</f>
        <v>29.46</v>
      </c>
      <c r="D987" s="2">
        <f>IFERROR(__xludf.DUMMYFUNCTION("""COMPUTED_VALUE"""),28.65)</f>
        <v>28.65</v>
      </c>
      <c r="E987" s="2">
        <f>IFERROR(__xludf.DUMMYFUNCTION("""COMPUTED_VALUE"""),28.86)</f>
        <v>28.86</v>
      </c>
      <c r="F987" s="2">
        <f>IFERROR(__xludf.DUMMYFUNCTION("""COMPUTED_VALUE"""),1783600.0)</f>
        <v>1783600</v>
      </c>
    </row>
    <row r="988">
      <c r="A988" s="3">
        <f>IFERROR(__xludf.DUMMYFUNCTION("""COMPUTED_VALUE"""),30645.666666666668)</f>
        <v>30645.66667</v>
      </c>
      <c r="B988" s="2">
        <f>IFERROR(__xludf.DUMMYFUNCTION("""COMPUTED_VALUE"""),28.89)</f>
        <v>28.89</v>
      </c>
      <c r="C988" s="2">
        <f>IFERROR(__xludf.DUMMYFUNCTION("""COMPUTED_VALUE"""),29.07)</f>
        <v>29.07</v>
      </c>
      <c r="D988" s="2">
        <f>IFERROR(__xludf.DUMMYFUNCTION("""COMPUTED_VALUE"""),28.86)</f>
        <v>28.86</v>
      </c>
      <c r="E988" s="2">
        <f>IFERROR(__xludf.DUMMYFUNCTION("""COMPUTED_VALUE"""),28.89)</f>
        <v>28.89</v>
      </c>
      <c r="F988" s="2">
        <f>IFERROR(__xludf.DUMMYFUNCTION("""COMPUTED_VALUE"""),548800.0)</f>
        <v>548800</v>
      </c>
    </row>
    <row r="989">
      <c r="A989" s="3">
        <f>IFERROR(__xludf.DUMMYFUNCTION("""COMPUTED_VALUE"""),30648.666666666668)</f>
        <v>30648.66667</v>
      </c>
      <c r="B989" s="2">
        <f>IFERROR(__xludf.DUMMYFUNCTION("""COMPUTED_VALUE"""),28.48)</f>
        <v>28.48</v>
      </c>
      <c r="C989" s="2">
        <f>IFERROR(__xludf.DUMMYFUNCTION("""COMPUTED_VALUE"""),28.89)</f>
        <v>28.89</v>
      </c>
      <c r="D989" s="2">
        <f>IFERROR(__xludf.DUMMYFUNCTION("""COMPUTED_VALUE"""),28.24)</f>
        <v>28.24</v>
      </c>
      <c r="E989" s="2">
        <f>IFERROR(__xludf.DUMMYFUNCTION("""COMPUTED_VALUE"""),28.48)</f>
        <v>28.48</v>
      </c>
      <c r="F989" s="2">
        <f>IFERROR(__xludf.DUMMYFUNCTION("""COMPUTED_VALUE"""),1349700.0)</f>
        <v>1349700</v>
      </c>
    </row>
    <row r="990">
      <c r="A990" s="3">
        <f>IFERROR(__xludf.DUMMYFUNCTION("""COMPUTED_VALUE"""),30649.666666666668)</f>
        <v>30649.66667</v>
      </c>
      <c r="B990" s="2">
        <f>IFERROR(__xludf.DUMMYFUNCTION("""COMPUTED_VALUE"""),29.04)</f>
        <v>29.04</v>
      </c>
      <c r="C990" s="2">
        <f>IFERROR(__xludf.DUMMYFUNCTION("""COMPUTED_VALUE"""),29.07)</f>
        <v>29.07</v>
      </c>
      <c r="D990" s="2">
        <f>IFERROR(__xludf.DUMMYFUNCTION("""COMPUTED_VALUE"""),28.33)</f>
        <v>28.33</v>
      </c>
      <c r="E990" s="2">
        <f>IFERROR(__xludf.DUMMYFUNCTION("""COMPUTED_VALUE"""),29.04)</f>
        <v>29.04</v>
      </c>
      <c r="F990" s="2">
        <f>IFERROR(__xludf.DUMMYFUNCTION("""COMPUTED_VALUE"""),1277800.0)</f>
        <v>1277800</v>
      </c>
    </row>
    <row r="991">
      <c r="A991" s="3">
        <f>IFERROR(__xludf.DUMMYFUNCTION("""COMPUTED_VALUE"""),30650.666666666668)</f>
        <v>30650.66667</v>
      </c>
      <c r="B991" s="2">
        <f>IFERROR(__xludf.DUMMYFUNCTION("""COMPUTED_VALUE"""),28.03)</f>
        <v>28.03</v>
      </c>
      <c r="C991" s="2">
        <f>IFERROR(__xludf.DUMMYFUNCTION("""COMPUTED_VALUE"""),29.19)</f>
        <v>29.19</v>
      </c>
      <c r="D991" s="2">
        <f>IFERROR(__xludf.DUMMYFUNCTION("""COMPUTED_VALUE"""),28.03)</f>
        <v>28.03</v>
      </c>
      <c r="E991" s="2">
        <f>IFERROR(__xludf.DUMMYFUNCTION("""COMPUTED_VALUE"""),28.03)</f>
        <v>28.03</v>
      </c>
      <c r="F991" s="2">
        <f>IFERROR(__xludf.DUMMYFUNCTION("""COMPUTED_VALUE"""),1475700.0)</f>
        <v>1475700</v>
      </c>
    </row>
    <row r="992">
      <c r="A992" s="3">
        <f>IFERROR(__xludf.DUMMYFUNCTION("""COMPUTED_VALUE"""),30651.666666666668)</f>
        <v>30651.66667</v>
      </c>
      <c r="B992" s="2">
        <f>IFERROR(__xludf.DUMMYFUNCTION("""COMPUTED_VALUE"""),28.39)</f>
        <v>28.39</v>
      </c>
      <c r="C992" s="2">
        <f>IFERROR(__xludf.DUMMYFUNCTION("""COMPUTED_VALUE"""),28.54)</f>
        <v>28.54</v>
      </c>
      <c r="D992" s="2">
        <f>IFERROR(__xludf.DUMMYFUNCTION("""COMPUTED_VALUE"""),28.09)</f>
        <v>28.09</v>
      </c>
      <c r="E992" s="2">
        <f>IFERROR(__xludf.DUMMYFUNCTION("""COMPUTED_VALUE"""),28.39)</f>
        <v>28.39</v>
      </c>
      <c r="F992" s="2">
        <f>IFERROR(__xludf.DUMMYFUNCTION("""COMPUTED_VALUE"""),1391300.0)</f>
        <v>1391300</v>
      </c>
    </row>
    <row r="993">
      <c r="A993" s="3">
        <f>IFERROR(__xludf.DUMMYFUNCTION("""COMPUTED_VALUE"""),30652.666666666668)</f>
        <v>30652.66667</v>
      </c>
      <c r="B993" s="2">
        <f>IFERROR(__xludf.DUMMYFUNCTION("""COMPUTED_VALUE"""),28.15)</f>
        <v>28.15</v>
      </c>
      <c r="C993" s="2">
        <f>IFERROR(__xludf.DUMMYFUNCTION("""COMPUTED_VALUE"""),28.48)</f>
        <v>28.48</v>
      </c>
      <c r="D993" s="2">
        <f>IFERROR(__xludf.DUMMYFUNCTION("""COMPUTED_VALUE"""),28.09)</f>
        <v>28.09</v>
      </c>
      <c r="E993" s="2">
        <f>IFERROR(__xludf.DUMMYFUNCTION("""COMPUTED_VALUE"""),28.15)</f>
        <v>28.15</v>
      </c>
      <c r="F993" s="2">
        <f>IFERROR(__xludf.DUMMYFUNCTION("""COMPUTED_VALUE"""),1077900.0)</f>
        <v>1077900</v>
      </c>
    </row>
    <row r="994">
      <c r="A994" s="3">
        <f>IFERROR(__xludf.DUMMYFUNCTION("""COMPUTED_VALUE"""),30655.666666666668)</f>
        <v>30655.66667</v>
      </c>
      <c r="B994" s="2">
        <f>IFERROR(__xludf.DUMMYFUNCTION("""COMPUTED_VALUE"""),28.33)</f>
        <v>28.33</v>
      </c>
      <c r="C994" s="2">
        <f>IFERROR(__xludf.DUMMYFUNCTION("""COMPUTED_VALUE"""),28.45)</f>
        <v>28.45</v>
      </c>
      <c r="D994" s="2">
        <f>IFERROR(__xludf.DUMMYFUNCTION("""COMPUTED_VALUE"""),27.97)</f>
        <v>27.97</v>
      </c>
      <c r="E994" s="2">
        <f>IFERROR(__xludf.DUMMYFUNCTION("""COMPUTED_VALUE"""),28.33)</f>
        <v>28.33</v>
      </c>
      <c r="F994" s="2">
        <f>IFERROR(__xludf.DUMMYFUNCTION("""COMPUTED_VALUE"""),1148800.0)</f>
        <v>1148800</v>
      </c>
    </row>
    <row r="995">
      <c r="A995" s="3">
        <f>IFERROR(__xludf.DUMMYFUNCTION("""COMPUTED_VALUE"""),30656.666666666668)</f>
        <v>30656.66667</v>
      </c>
      <c r="B995" s="2">
        <f>IFERROR(__xludf.DUMMYFUNCTION("""COMPUTED_VALUE"""),28.09)</f>
        <v>28.09</v>
      </c>
      <c r="C995" s="2">
        <f>IFERROR(__xludf.DUMMYFUNCTION("""COMPUTED_VALUE"""),28.48)</f>
        <v>28.48</v>
      </c>
      <c r="D995" s="2">
        <f>IFERROR(__xludf.DUMMYFUNCTION("""COMPUTED_VALUE"""),28.09)</f>
        <v>28.09</v>
      </c>
      <c r="E995" s="2">
        <f>IFERROR(__xludf.DUMMYFUNCTION("""COMPUTED_VALUE"""),28.09)</f>
        <v>28.09</v>
      </c>
      <c r="F995" s="2">
        <f>IFERROR(__xludf.DUMMYFUNCTION("""COMPUTED_VALUE"""),756100.0)</f>
        <v>756100</v>
      </c>
    </row>
    <row r="996">
      <c r="A996" s="3">
        <f>IFERROR(__xludf.DUMMYFUNCTION("""COMPUTED_VALUE"""),30657.666666666668)</f>
        <v>30657.66667</v>
      </c>
      <c r="B996" s="2">
        <f>IFERROR(__xludf.DUMMYFUNCTION("""COMPUTED_VALUE"""),28.48)</f>
        <v>28.48</v>
      </c>
      <c r="C996" s="2">
        <f>IFERROR(__xludf.DUMMYFUNCTION("""COMPUTED_VALUE"""),28.51)</f>
        <v>28.51</v>
      </c>
      <c r="D996" s="2">
        <f>IFERROR(__xludf.DUMMYFUNCTION("""COMPUTED_VALUE"""),28.09)</f>
        <v>28.09</v>
      </c>
      <c r="E996" s="2">
        <f>IFERROR(__xludf.DUMMYFUNCTION("""COMPUTED_VALUE"""),28.48)</f>
        <v>28.48</v>
      </c>
      <c r="F996" s="2">
        <f>IFERROR(__xludf.DUMMYFUNCTION("""COMPUTED_VALUE"""),776500.0)</f>
        <v>776500</v>
      </c>
    </row>
    <row r="997">
      <c r="A997" s="3">
        <f>IFERROR(__xludf.DUMMYFUNCTION("""COMPUTED_VALUE"""),30658.666666666668)</f>
        <v>30658.66667</v>
      </c>
      <c r="B997" s="2">
        <f>IFERROR(__xludf.DUMMYFUNCTION("""COMPUTED_VALUE"""),28.42)</f>
        <v>28.42</v>
      </c>
      <c r="C997" s="2">
        <f>IFERROR(__xludf.DUMMYFUNCTION("""COMPUTED_VALUE"""),28.63)</f>
        <v>28.63</v>
      </c>
      <c r="D997" s="2">
        <f>IFERROR(__xludf.DUMMYFUNCTION("""COMPUTED_VALUE"""),28.3)</f>
        <v>28.3</v>
      </c>
      <c r="E997" s="2">
        <f>IFERROR(__xludf.DUMMYFUNCTION("""COMPUTED_VALUE"""),28.42)</f>
        <v>28.42</v>
      </c>
      <c r="F997" s="2">
        <f>IFERROR(__xludf.DUMMYFUNCTION("""COMPUTED_VALUE"""),865200.0)</f>
        <v>865200</v>
      </c>
    </row>
    <row r="998">
      <c r="A998" s="3">
        <f>IFERROR(__xludf.DUMMYFUNCTION("""COMPUTED_VALUE"""),30659.666666666668)</f>
        <v>30659.66667</v>
      </c>
      <c r="B998" s="2">
        <f>IFERROR(__xludf.DUMMYFUNCTION("""COMPUTED_VALUE"""),29.19)</f>
        <v>29.19</v>
      </c>
      <c r="C998" s="2">
        <f>IFERROR(__xludf.DUMMYFUNCTION("""COMPUTED_VALUE"""),29.22)</f>
        <v>29.22</v>
      </c>
      <c r="D998" s="2">
        <f>IFERROR(__xludf.DUMMYFUNCTION("""COMPUTED_VALUE"""),28.8)</f>
        <v>28.8</v>
      </c>
      <c r="E998" s="2">
        <f>IFERROR(__xludf.DUMMYFUNCTION("""COMPUTED_VALUE"""),29.19)</f>
        <v>29.19</v>
      </c>
      <c r="F998" s="2">
        <f>IFERROR(__xludf.DUMMYFUNCTION("""COMPUTED_VALUE"""),1666700.0)</f>
        <v>1666700</v>
      </c>
    </row>
    <row r="999">
      <c r="A999" s="3">
        <f>IFERROR(__xludf.DUMMYFUNCTION("""COMPUTED_VALUE"""),30662.666666666668)</f>
        <v>30662.66667</v>
      </c>
      <c r="B999" s="2">
        <f>IFERROR(__xludf.DUMMYFUNCTION("""COMPUTED_VALUE"""),29.61)</f>
        <v>29.61</v>
      </c>
      <c r="C999" s="2">
        <f>IFERROR(__xludf.DUMMYFUNCTION("""COMPUTED_VALUE"""),29.73)</f>
        <v>29.73</v>
      </c>
      <c r="D999" s="2">
        <f>IFERROR(__xludf.DUMMYFUNCTION("""COMPUTED_VALUE"""),29.19)</f>
        <v>29.19</v>
      </c>
      <c r="E999" s="2">
        <f>IFERROR(__xludf.DUMMYFUNCTION("""COMPUTED_VALUE"""),29.61)</f>
        <v>29.61</v>
      </c>
      <c r="F999" s="2">
        <f>IFERROR(__xludf.DUMMYFUNCTION("""COMPUTED_VALUE"""),1197900.0)</f>
        <v>1197900</v>
      </c>
    </row>
    <row r="1000">
      <c r="A1000" s="3">
        <f>IFERROR(__xludf.DUMMYFUNCTION("""COMPUTED_VALUE"""),30663.666666666668)</f>
        <v>30663.66667</v>
      </c>
      <c r="B1000" s="2">
        <f>IFERROR(__xludf.DUMMYFUNCTION("""COMPUTED_VALUE"""),29.16)</f>
        <v>29.16</v>
      </c>
      <c r="C1000" s="2">
        <f>IFERROR(__xludf.DUMMYFUNCTION("""COMPUTED_VALUE"""),29.7)</f>
        <v>29.7</v>
      </c>
      <c r="D1000" s="2">
        <f>IFERROR(__xludf.DUMMYFUNCTION("""COMPUTED_VALUE"""),29.13)</f>
        <v>29.13</v>
      </c>
      <c r="E1000" s="2">
        <f>IFERROR(__xludf.DUMMYFUNCTION("""COMPUTED_VALUE"""),29.16)</f>
        <v>29.16</v>
      </c>
      <c r="F1000" s="2">
        <f>IFERROR(__xludf.DUMMYFUNCTION("""COMPUTED_VALUE"""),992000.0)</f>
        <v>992000</v>
      </c>
    </row>
    <row r="1001">
      <c r="A1001" s="3">
        <f>IFERROR(__xludf.DUMMYFUNCTION("""COMPUTED_VALUE"""),30664.666666666668)</f>
        <v>30664.66667</v>
      </c>
      <c r="B1001" s="2">
        <f>IFERROR(__xludf.DUMMYFUNCTION("""COMPUTED_VALUE"""),28.86)</f>
        <v>28.86</v>
      </c>
      <c r="C1001" s="2">
        <f>IFERROR(__xludf.DUMMYFUNCTION("""COMPUTED_VALUE"""),29.4)</f>
        <v>29.4</v>
      </c>
      <c r="D1001" s="2">
        <f>IFERROR(__xludf.DUMMYFUNCTION("""COMPUTED_VALUE"""),28.8)</f>
        <v>28.8</v>
      </c>
      <c r="E1001" s="2">
        <f>IFERROR(__xludf.DUMMYFUNCTION("""COMPUTED_VALUE"""),28.86)</f>
        <v>28.86</v>
      </c>
      <c r="F1001" s="2">
        <f>IFERROR(__xludf.DUMMYFUNCTION("""COMPUTED_VALUE"""),856200.0)</f>
        <v>856200</v>
      </c>
    </row>
    <row r="1002">
      <c r="A1002" s="3">
        <f>IFERROR(__xludf.DUMMYFUNCTION("""COMPUTED_VALUE"""),30665.666666666668)</f>
        <v>30665.66667</v>
      </c>
      <c r="B1002" s="2">
        <f>IFERROR(__xludf.DUMMYFUNCTION("""COMPUTED_VALUE"""),28.54)</f>
        <v>28.54</v>
      </c>
      <c r="C1002" s="2">
        <f>IFERROR(__xludf.DUMMYFUNCTION("""COMPUTED_VALUE"""),29.04)</f>
        <v>29.04</v>
      </c>
      <c r="D1002" s="2">
        <f>IFERROR(__xludf.DUMMYFUNCTION("""COMPUTED_VALUE"""),28.54)</f>
        <v>28.54</v>
      </c>
      <c r="E1002" s="2">
        <f>IFERROR(__xludf.DUMMYFUNCTION("""COMPUTED_VALUE"""),28.54)</f>
        <v>28.54</v>
      </c>
      <c r="F1002" s="2">
        <f>IFERROR(__xludf.DUMMYFUNCTION("""COMPUTED_VALUE"""),1140100.0)</f>
        <v>1140100</v>
      </c>
    </row>
    <row r="1003">
      <c r="A1003" s="3">
        <f>IFERROR(__xludf.DUMMYFUNCTION("""COMPUTED_VALUE"""),30666.666666666668)</f>
        <v>30666.66667</v>
      </c>
      <c r="B1003" s="2">
        <f>IFERROR(__xludf.DUMMYFUNCTION("""COMPUTED_VALUE"""),28.86)</f>
        <v>28.86</v>
      </c>
      <c r="C1003" s="2">
        <f>IFERROR(__xludf.DUMMYFUNCTION("""COMPUTED_VALUE"""),28.86)</f>
        <v>28.86</v>
      </c>
      <c r="D1003" s="2">
        <f>IFERROR(__xludf.DUMMYFUNCTION("""COMPUTED_VALUE"""),28.57)</f>
        <v>28.57</v>
      </c>
      <c r="E1003" s="2">
        <f>IFERROR(__xludf.DUMMYFUNCTION("""COMPUTED_VALUE"""),28.86)</f>
        <v>28.86</v>
      </c>
      <c r="F1003" s="2">
        <f>IFERROR(__xludf.DUMMYFUNCTION("""COMPUTED_VALUE"""),641000.0)</f>
        <v>641000</v>
      </c>
    </row>
    <row r="1004">
      <c r="A1004" s="3">
        <f>IFERROR(__xludf.DUMMYFUNCTION("""COMPUTED_VALUE"""),30669.666666666668)</f>
        <v>30669.66667</v>
      </c>
      <c r="B1004" s="2">
        <f>IFERROR(__xludf.DUMMYFUNCTION("""COMPUTED_VALUE"""),28.95)</f>
        <v>28.95</v>
      </c>
      <c r="C1004" s="2">
        <f>IFERROR(__xludf.DUMMYFUNCTION("""COMPUTED_VALUE"""),29.22)</f>
        <v>29.22</v>
      </c>
      <c r="D1004" s="2">
        <f>IFERROR(__xludf.DUMMYFUNCTION("""COMPUTED_VALUE"""),28.86)</f>
        <v>28.86</v>
      </c>
      <c r="E1004" s="2">
        <f>IFERROR(__xludf.DUMMYFUNCTION("""COMPUTED_VALUE"""),28.95)</f>
        <v>28.95</v>
      </c>
      <c r="F1004" s="2">
        <f>IFERROR(__xludf.DUMMYFUNCTION("""COMPUTED_VALUE"""),1081800.0)</f>
        <v>1081800</v>
      </c>
    </row>
    <row r="1005">
      <c r="A1005" s="3">
        <f>IFERROR(__xludf.DUMMYFUNCTION("""COMPUTED_VALUE"""),30670.666666666668)</f>
        <v>30670.66667</v>
      </c>
      <c r="B1005" s="2">
        <f>IFERROR(__xludf.DUMMYFUNCTION("""COMPUTED_VALUE"""),29.07)</f>
        <v>29.07</v>
      </c>
      <c r="C1005" s="2">
        <f>IFERROR(__xludf.DUMMYFUNCTION("""COMPUTED_VALUE"""),29.28)</f>
        <v>29.28</v>
      </c>
      <c r="D1005" s="2">
        <f>IFERROR(__xludf.DUMMYFUNCTION("""COMPUTED_VALUE"""),28.92)</f>
        <v>28.92</v>
      </c>
      <c r="E1005" s="2">
        <f>IFERROR(__xludf.DUMMYFUNCTION("""COMPUTED_VALUE"""),29.07)</f>
        <v>29.07</v>
      </c>
      <c r="F1005" s="2">
        <f>IFERROR(__xludf.DUMMYFUNCTION("""COMPUTED_VALUE"""),835200.0)</f>
        <v>835200</v>
      </c>
    </row>
    <row r="1006">
      <c r="A1006" s="3">
        <f>IFERROR(__xludf.DUMMYFUNCTION("""COMPUTED_VALUE"""),30671.666666666668)</f>
        <v>30671.66667</v>
      </c>
      <c r="B1006" s="2">
        <f>IFERROR(__xludf.DUMMYFUNCTION("""COMPUTED_VALUE"""),29.52)</f>
        <v>29.52</v>
      </c>
      <c r="C1006" s="2">
        <f>IFERROR(__xludf.DUMMYFUNCTION("""COMPUTED_VALUE"""),29.52)</f>
        <v>29.52</v>
      </c>
      <c r="D1006" s="2">
        <f>IFERROR(__xludf.DUMMYFUNCTION("""COMPUTED_VALUE"""),29.16)</f>
        <v>29.16</v>
      </c>
      <c r="E1006" s="2">
        <f>IFERROR(__xludf.DUMMYFUNCTION("""COMPUTED_VALUE"""),29.52)</f>
        <v>29.52</v>
      </c>
      <c r="F1006" s="2">
        <f>IFERROR(__xludf.DUMMYFUNCTION("""COMPUTED_VALUE"""),848200.0)</f>
        <v>848200</v>
      </c>
    </row>
    <row r="1007">
      <c r="A1007" s="3">
        <f>IFERROR(__xludf.DUMMYFUNCTION("""COMPUTED_VALUE"""),30672.666666666668)</f>
        <v>30672.66667</v>
      </c>
      <c r="B1007" s="2">
        <f>IFERROR(__xludf.DUMMYFUNCTION("""COMPUTED_VALUE"""),29.34)</f>
        <v>29.34</v>
      </c>
      <c r="C1007" s="2">
        <f>IFERROR(__xludf.DUMMYFUNCTION("""COMPUTED_VALUE"""),29.64)</f>
        <v>29.64</v>
      </c>
      <c r="D1007" s="2">
        <f>IFERROR(__xludf.DUMMYFUNCTION("""COMPUTED_VALUE"""),29.25)</f>
        <v>29.25</v>
      </c>
      <c r="E1007" s="2">
        <f>IFERROR(__xludf.DUMMYFUNCTION("""COMPUTED_VALUE"""),29.34)</f>
        <v>29.34</v>
      </c>
      <c r="F1007" s="2">
        <f>IFERROR(__xludf.DUMMYFUNCTION("""COMPUTED_VALUE"""),890600.0)</f>
        <v>890600</v>
      </c>
    </row>
    <row r="1008">
      <c r="A1008" s="3">
        <f>IFERROR(__xludf.DUMMYFUNCTION("""COMPUTED_VALUE"""),30673.666666666668)</f>
        <v>30673.66667</v>
      </c>
      <c r="B1008" s="2">
        <f>IFERROR(__xludf.DUMMYFUNCTION("""COMPUTED_VALUE"""),29.52)</f>
        <v>29.52</v>
      </c>
      <c r="C1008" s="2">
        <f>IFERROR(__xludf.DUMMYFUNCTION("""COMPUTED_VALUE"""),29.55)</f>
        <v>29.55</v>
      </c>
      <c r="D1008" s="2">
        <f>IFERROR(__xludf.DUMMYFUNCTION("""COMPUTED_VALUE"""),29.28)</f>
        <v>29.28</v>
      </c>
      <c r="E1008" s="2">
        <f>IFERROR(__xludf.DUMMYFUNCTION("""COMPUTED_VALUE"""),29.52)</f>
        <v>29.52</v>
      </c>
      <c r="F1008" s="2">
        <f>IFERROR(__xludf.DUMMYFUNCTION("""COMPUTED_VALUE"""),604600.0)</f>
        <v>604600</v>
      </c>
    </row>
    <row r="1009">
      <c r="A1009" s="3">
        <f>IFERROR(__xludf.DUMMYFUNCTION("""COMPUTED_VALUE"""),30677.666666666668)</f>
        <v>30677.66667</v>
      </c>
      <c r="B1009" s="2">
        <f>IFERROR(__xludf.DUMMYFUNCTION("""COMPUTED_VALUE"""),29.76)</f>
        <v>29.76</v>
      </c>
      <c r="C1009" s="2">
        <f>IFERROR(__xludf.DUMMYFUNCTION("""COMPUTED_VALUE"""),29.79)</f>
        <v>29.79</v>
      </c>
      <c r="D1009" s="2">
        <f>IFERROR(__xludf.DUMMYFUNCTION("""COMPUTED_VALUE"""),29.61)</f>
        <v>29.61</v>
      </c>
      <c r="E1009" s="2">
        <f>IFERROR(__xludf.DUMMYFUNCTION("""COMPUTED_VALUE"""),29.76)</f>
        <v>29.76</v>
      </c>
      <c r="F1009" s="2">
        <f>IFERROR(__xludf.DUMMYFUNCTION("""COMPUTED_VALUE"""),570300.0)</f>
        <v>570300</v>
      </c>
    </row>
    <row r="1010">
      <c r="A1010" s="3">
        <f>IFERROR(__xludf.DUMMYFUNCTION("""COMPUTED_VALUE"""),30678.666666666668)</f>
        <v>30678.66667</v>
      </c>
      <c r="B1010" s="2">
        <f>IFERROR(__xludf.DUMMYFUNCTION("""COMPUTED_VALUE"""),29.67)</f>
        <v>29.67</v>
      </c>
      <c r="C1010" s="2">
        <f>IFERROR(__xludf.DUMMYFUNCTION("""COMPUTED_VALUE"""),29.76)</f>
        <v>29.76</v>
      </c>
      <c r="D1010" s="2">
        <f>IFERROR(__xludf.DUMMYFUNCTION("""COMPUTED_VALUE"""),29.49)</f>
        <v>29.49</v>
      </c>
      <c r="E1010" s="2">
        <f>IFERROR(__xludf.DUMMYFUNCTION("""COMPUTED_VALUE"""),29.67)</f>
        <v>29.67</v>
      </c>
      <c r="F1010" s="2">
        <f>IFERROR(__xludf.DUMMYFUNCTION("""COMPUTED_VALUE"""),769200.0)</f>
        <v>769200</v>
      </c>
    </row>
    <row r="1011">
      <c r="A1011" s="3">
        <f>IFERROR(__xludf.DUMMYFUNCTION("""COMPUTED_VALUE"""),30679.666666666668)</f>
        <v>30679.66667</v>
      </c>
      <c r="B1011" s="2">
        <f>IFERROR(__xludf.DUMMYFUNCTION("""COMPUTED_VALUE"""),29.4)</f>
        <v>29.4</v>
      </c>
      <c r="C1011" s="2">
        <f>IFERROR(__xludf.DUMMYFUNCTION("""COMPUTED_VALUE"""),29.82)</f>
        <v>29.82</v>
      </c>
      <c r="D1011" s="2">
        <f>IFERROR(__xludf.DUMMYFUNCTION("""COMPUTED_VALUE"""),29.37)</f>
        <v>29.37</v>
      </c>
      <c r="E1011" s="2">
        <f>IFERROR(__xludf.DUMMYFUNCTION("""COMPUTED_VALUE"""),29.4)</f>
        <v>29.4</v>
      </c>
      <c r="F1011" s="2">
        <f>IFERROR(__xludf.DUMMYFUNCTION("""COMPUTED_VALUE"""),592300.0)</f>
        <v>592300</v>
      </c>
    </row>
    <row r="1012">
      <c r="A1012" s="3">
        <f>IFERROR(__xludf.DUMMYFUNCTION("""COMPUTED_VALUE"""),30680.666666666668)</f>
        <v>30680.66667</v>
      </c>
      <c r="B1012" s="2">
        <f>IFERROR(__xludf.DUMMYFUNCTION("""COMPUTED_VALUE"""),29.13)</f>
        <v>29.13</v>
      </c>
      <c r="C1012" s="2">
        <f>IFERROR(__xludf.DUMMYFUNCTION("""COMPUTED_VALUE"""),29.46)</f>
        <v>29.46</v>
      </c>
      <c r="D1012" s="2">
        <f>IFERROR(__xludf.DUMMYFUNCTION("""COMPUTED_VALUE"""),29.13)</f>
        <v>29.13</v>
      </c>
      <c r="E1012" s="2">
        <f>IFERROR(__xludf.DUMMYFUNCTION("""COMPUTED_VALUE"""),29.13)</f>
        <v>29.13</v>
      </c>
      <c r="F1012" s="2">
        <f>IFERROR(__xludf.DUMMYFUNCTION("""COMPUTED_VALUE"""),421400.0)</f>
        <v>421400</v>
      </c>
    </row>
    <row r="1013">
      <c r="A1013" s="3">
        <f>IFERROR(__xludf.DUMMYFUNCTION("""COMPUTED_VALUE"""),30684.666666666668)</f>
        <v>30684.66667</v>
      </c>
      <c r="B1013" s="2">
        <f>IFERROR(__xludf.DUMMYFUNCTION("""COMPUTED_VALUE"""),29.07)</f>
        <v>29.07</v>
      </c>
      <c r="C1013" s="2">
        <f>IFERROR(__xludf.DUMMYFUNCTION("""COMPUTED_VALUE"""),29.46)</f>
        <v>29.46</v>
      </c>
      <c r="D1013" s="2">
        <f>IFERROR(__xludf.DUMMYFUNCTION("""COMPUTED_VALUE"""),29.04)</f>
        <v>29.04</v>
      </c>
      <c r="E1013" s="2">
        <f>IFERROR(__xludf.DUMMYFUNCTION("""COMPUTED_VALUE"""),29.07)</f>
        <v>29.07</v>
      </c>
      <c r="F1013" s="2">
        <f>IFERROR(__xludf.DUMMYFUNCTION("""COMPUTED_VALUE"""),725000.0)</f>
        <v>725000</v>
      </c>
    </row>
    <row r="1014">
      <c r="A1014" s="3">
        <f>IFERROR(__xludf.DUMMYFUNCTION("""COMPUTED_VALUE"""),30685.666666666668)</f>
        <v>30685.66667</v>
      </c>
      <c r="B1014" s="2">
        <f>IFERROR(__xludf.DUMMYFUNCTION("""COMPUTED_VALUE"""),29.58)</f>
        <v>29.58</v>
      </c>
      <c r="C1014" s="2">
        <f>IFERROR(__xludf.DUMMYFUNCTION("""COMPUTED_VALUE"""),29.61)</f>
        <v>29.61</v>
      </c>
      <c r="D1014" s="2">
        <f>IFERROR(__xludf.DUMMYFUNCTION("""COMPUTED_VALUE"""),29.07)</f>
        <v>29.07</v>
      </c>
      <c r="E1014" s="2">
        <f>IFERROR(__xludf.DUMMYFUNCTION("""COMPUTED_VALUE"""),29.58)</f>
        <v>29.58</v>
      </c>
      <c r="F1014" s="2">
        <f>IFERROR(__xludf.DUMMYFUNCTION("""COMPUTED_VALUE"""),1986900.0)</f>
        <v>1986900</v>
      </c>
    </row>
    <row r="1015">
      <c r="A1015" s="3">
        <f>IFERROR(__xludf.DUMMYFUNCTION("""COMPUTED_VALUE"""),30686.666666666668)</f>
        <v>30686.66667</v>
      </c>
      <c r="B1015" s="2">
        <f>IFERROR(__xludf.DUMMYFUNCTION("""COMPUTED_VALUE"""),29.67)</f>
        <v>29.67</v>
      </c>
      <c r="C1015" s="2">
        <f>IFERROR(__xludf.DUMMYFUNCTION("""COMPUTED_VALUE"""),29.85)</f>
        <v>29.85</v>
      </c>
      <c r="D1015" s="2">
        <f>IFERROR(__xludf.DUMMYFUNCTION("""COMPUTED_VALUE"""),29.28)</f>
        <v>29.28</v>
      </c>
      <c r="E1015" s="2">
        <f>IFERROR(__xludf.DUMMYFUNCTION("""COMPUTED_VALUE"""),29.67)</f>
        <v>29.67</v>
      </c>
      <c r="F1015" s="2">
        <f>IFERROR(__xludf.DUMMYFUNCTION("""COMPUTED_VALUE"""),1290900.0)</f>
        <v>1290900</v>
      </c>
    </row>
    <row r="1016">
      <c r="A1016" s="3">
        <f>IFERROR(__xludf.DUMMYFUNCTION("""COMPUTED_VALUE"""),30687.666666666668)</f>
        <v>30687.66667</v>
      </c>
      <c r="B1016" s="2">
        <f>IFERROR(__xludf.DUMMYFUNCTION("""COMPUTED_VALUE"""),29.49)</f>
        <v>29.49</v>
      </c>
      <c r="C1016" s="2">
        <f>IFERROR(__xludf.DUMMYFUNCTION("""COMPUTED_VALUE"""),29.73)</f>
        <v>29.73</v>
      </c>
      <c r="D1016" s="2">
        <f>IFERROR(__xludf.DUMMYFUNCTION("""COMPUTED_VALUE"""),29.37)</f>
        <v>29.37</v>
      </c>
      <c r="E1016" s="2">
        <f>IFERROR(__xludf.DUMMYFUNCTION("""COMPUTED_VALUE"""),29.49)</f>
        <v>29.49</v>
      </c>
      <c r="F1016" s="2">
        <f>IFERROR(__xludf.DUMMYFUNCTION("""COMPUTED_VALUE"""),945900.0)</f>
        <v>945900</v>
      </c>
    </row>
    <row r="1017">
      <c r="A1017" s="3">
        <f>IFERROR(__xludf.DUMMYFUNCTION("""COMPUTED_VALUE"""),30690.666666666668)</f>
        <v>30690.66667</v>
      </c>
      <c r="B1017" s="2">
        <f>IFERROR(__xludf.DUMMYFUNCTION("""COMPUTED_VALUE"""),29.46)</f>
        <v>29.46</v>
      </c>
      <c r="C1017" s="2">
        <f>IFERROR(__xludf.DUMMYFUNCTION("""COMPUTED_VALUE"""),29.61)</f>
        <v>29.61</v>
      </c>
      <c r="D1017" s="2">
        <f>IFERROR(__xludf.DUMMYFUNCTION("""COMPUTED_VALUE"""),29.25)</f>
        <v>29.25</v>
      </c>
      <c r="E1017" s="2">
        <f>IFERROR(__xludf.DUMMYFUNCTION("""COMPUTED_VALUE"""),29.46)</f>
        <v>29.46</v>
      </c>
      <c r="F1017" s="2">
        <f>IFERROR(__xludf.DUMMYFUNCTION("""COMPUTED_VALUE"""),742500.0)</f>
        <v>742500</v>
      </c>
    </row>
    <row r="1018">
      <c r="A1018" s="3">
        <f>IFERROR(__xludf.DUMMYFUNCTION("""COMPUTED_VALUE"""),30691.666666666668)</f>
        <v>30691.66667</v>
      </c>
      <c r="B1018" s="2">
        <f>IFERROR(__xludf.DUMMYFUNCTION("""COMPUTED_VALUE"""),29.19)</f>
        <v>29.19</v>
      </c>
      <c r="C1018" s="2">
        <f>IFERROR(__xludf.DUMMYFUNCTION("""COMPUTED_VALUE"""),29.58)</f>
        <v>29.58</v>
      </c>
      <c r="D1018" s="2">
        <f>IFERROR(__xludf.DUMMYFUNCTION("""COMPUTED_VALUE"""),29.13)</f>
        <v>29.13</v>
      </c>
      <c r="E1018" s="2">
        <f>IFERROR(__xludf.DUMMYFUNCTION("""COMPUTED_VALUE"""),29.19)</f>
        <v>29.19</v>
      </c>
      <c r="F1018" s="2">
        <f>IFERROR(__xludf.DUMMYFUNCTION("""COMPUTED_VALUE"""),718700.0)</f>
        <v>718700</v>
      </c>
    </row>
    <row r="1019">
      <c r="A1019" s="3">
        <f>IFERROR(__xludf.DUMMYFUNCTION("""COMPUTED_VALUE"""),30692.666666666668)</f>
        <v>30692.66667</v>
      </c>
      <c r="B1019" s="2">
        <f>IFERROR(__xludf.DUMMYFUNCTION("""COMPUTED_VALUE"""),29.19)</f>
        <v>29.19</v>
      </c>
      <c r="C1019" s="2">
        <f>IFERROR(__xludf.DUMMYFUNCTION("""COMPUTED_VALUE"""),29.31)</f>
        <v>29.31</v>
      </c>
      <c r="D1019" s="2">
        <f>IFERROR(__xludf.DUMMYFUNCTION("""COMPUTED_VALUE"""),29.1)</f>
        <v>29.1</v>
      </c>
      <c r="E1019" s="2">
        <f>IFERROR(__xludf.DUMMYFUNCTION("""COMPUTED_VALUE"""),29.19)</f>
        <v>29.19</v>
      </c>
      <c r="F1019" s="2">
        <f>IFERROR(__xludf.DUMMYFUNCTION("""COMPUTED_VALUE"""),822300.0)</f>
        <v>822300</v>
      </c>
    </row>
    <row r="1020">
      <c r="A1020" s="3">
        <f>IFERROR(__xludf.DUMMYFUNCTION("""COMPUTED_VALUE"""),30693.666666666668)</f>
        <v>30693.66667</v>
      </c>
      <c r="B1020" s="2">
        <f>IFERROR(__xludf.DUMMYFUNCTION("""COMPUTED_VALUE"""),28.95)</f>
        <v>28.95</v>
      </c>
      <c r="C1020" s="2">
        <f>IFERROR(__xludf.DUMMYFUNCTION("""COMPUTED_VALUE"""),29.37)</f>
        <v>29.37</v>
      </c>
      <c r="D1020" s="2">
        <f>IFERROR(__xludf.DUMMYFUNCTION("""COMPUTED_VALUE"""),28.95)</f>
        <v>28.95</v>
      </c>
      <c r="E1020" s="2">
        <f>IFERROR(__xludf.DUMMYFUNCTION("""COMPUTED_VALUE"""),28.95)</f>
        <v>28.95</v>
      </c>
      <c r="F1020" s="2">
        <f>IFERROR(__xludf.DUMMYFUNCTION("""COMPUTED_VALUE"""),890900.0)</f>
        <v>890900</v>
      </c>
    </row>
    <row r="1021">
      <c r="A1021" s="3">
        <f>IFERROR(__xludf.DUMMYFUNCTION("""COMPUTED_VALUE"""),30694.666666666668)</f>
        <v>30694.66667</v>
      </c>
      <c r="B1021" s="2">
        <f>IFERROR(__xludf.DUMMYFUNCTION("""COMPUTED_VALUE"""),28.42)</f>
        <v>28.42</v>
      </c>
      <c r="C1021" s="2">
        <f>IFERROR(__xludf.DUMMYFUNCTION("""COMPUTED_VALUE"""),29.19)</f>
        <v>29.19</v>
      </c>
      <c r="D1021" s="2">
        <f>IFERROR(__xludf.DUMMYFUNCTION("""COMPUTED_VALUE"""),28.24)</f>
        <v>28.24</v>
      </c>
      <c r="E1021" s="2">
        <f>IFERROR(__xludf.DUMMYFUNCTION("""COMPUTED_VALUE"""),28.42)</f>
        <v>28.42</v>
      </c>
      <c r="F1021" s="2">
        <f>IFERROR(__xludf.DUMMYFUNCTION("""COMPUTED_VALUE"""),1761300.0)</f>
        <v>1761300</v>
      </c>
    </row>
    <row r="1022">
      <c r="A1022" s="3">
        <f>IFERROR(__xludf.DUMMYFUNCTION("""COMPUTED_VALUE"""),30697.666666666668)</f>
        <v>30697.66667</v>
      </c>
      <c r="B1022" s="2">
        <f>IFERROR(__xludf.DUMMYFUNCTION("""COMPUTED_VALUE"""),28.77)</f>
        <v>28.77</v>
      </c>
      <c r="C1022" s="2">
        <f>IFERROR(__xludf.DUMMYFUNCTION("""COMPUTED_VALUE"""),28.77)</f>
        <v>28.77</v>
      </c>
      <c r="D1022" s="2">
        <f>IFERROR(__xludf.DUMMYFUNCTION("""COMPUTED_VALUE"""),28.42)</f>
        <v>28.42</v>
      </c>
      <c r="E1022" s="2">
        <f>IFERROR(__xludf.DUMMYFUNCTION("""COMPUTED_VALUE"""),28.77)</f>
        <v>28.77</v>
      </c>
      <c r="F1022" s="2">
        <f>IFERROR(__xludf.DUMMYFUNCTION("""COMPUTED_VALUE"""),1202200.0)</f>
        <v>1202200</v>
      </c>
    </row>
    <row r="1023">
      <c r="A1023" s="3">
        <f>IFERROR(__xludf.DUMMYFUNCTION("""COMPUTED_VALUE"""),30698.666666666668)</f>
        <v>30698.66667</v>
      </c>
      <c r="B1023" s="2">
        <f>IFERROR(__xludf.DUMMYFUNCTION("""COMPUTED_VALUE"""),28.89)</f>
        <v>28.89</v>
      </c>
      <c r="C1023" s="2">
        <f>IFERROR(__xludf.DUMMYFUNCTION("""COMPUTED_VALUE"""),28.89)</f>
        <v>28.89</v>
      </c>
      <c r="D1023" s="2">
        <f>IFERROR(__xludf.DUMMYFUNCTION("""COMPUTED_VALUE"""),28.63)</f>
        <v>28.63</v>
      </c>
      <c r="E1023" s="2">
        <f>IFERROR(__xludf.DUMMYFUNCTION("""COMPUTED_VALUE"""),28.89)</f>
        <v>28.89</v>
      </c>
      <c r="F1023" s="2">
        <f>IFERROR(__xludf.DUMMYFUNCTION("""COMPUTED_VALUE"""),878700.0)</f>
        <v>878700</v>
      </c>
    </row>
    <row r="1024">
      <c r="A1024" s="3">
        <f>IFERROR(__xludf.DUMMYFUNCTION("""COMPUTED_VALUE"""),30699.666666666668)</f>
        <v>30699.66667</v>
      </c>
      <c r="B1024" s="2">
        <f>IFERROR(__xludf.DUMMYFUNCTION("""COMPUTED_VALUE"""),28.77)</f>
        <v>28.77</v>
      </c>
      <c r="C1024" s="2">
        <f>IFERROR(__xludf.DUMMYFUNCTION("""COMPUTED_VALUE"""),29.1)</f>
        <v>29.1</v>
      </c>
      <c r="D1024" s="2">
        <f>IFERROR(__xludf.DUMMYFUNCTION("""COMPUTED_VALUE"""),28.42)</f>
        <v>28.42</v>
      </c>
      <c r="E1024" s="2">
        <f>IFERROR(__xludf.DUMMYFUNCTION("""COMPUTED_VALUE"""),28.77)</f>
        <v>28.77</v>
      </c>
      <c r="F1024" s="2">
        <f>IFERROR(__xludf.DUMMYFUNCTION("""COMPUTED_VALUE"""),2040300.0)</f>
        <v>2040300</v>
      </c>
    </row>
    <row r="1025">
      <c r="A1025" s="3">
        <f>IFERROR(__xludf.DUMMYFUNCTION("""COMPUTED_VALUE"""),30700.666666666668)</f>
        <v>30700.66667</v>
      </c>
      <c r="B1025" s="2">
        <f>IFERROR(__xludf.DUMMYFUNCTION("""COMPUTED_VALUE"""),28.39)</f>
        <v>28.39</v>
      </c>
      <c r="C1025" s="2">
        <f>IFERROR(__xludf.DUMMYFUNCTION("""COMPUTED_VALUE"""),28.83)</f>
        <v>28.83</v>
      </c>
      <c r="D1025" s="2">
        <f>IFERROR(__xludf.DUMMYFUNCTION("""COMPUTED_VALUE"""),28.24)</f>
        <v>28.24</v>
      </c>
      <c r="E1025" s="2">
        <f>IFERROR(__xludf.DUMMYFUNCTION("""COMPUTED_VALUE"""),28.39)</f>
        <v>28.39</v>
      </c>
      <c r="F1025" s="2">
        <f>IFERROR(__xludf.DUMMYFUNCTION("""COMPUTED_VALUE"""),2172600.0)</f>
        <v>2172600</v>
      </c>
    </row>
    <row r="1026">
      <c r="A1026" s="3">
        <f>IFERROR(__xludf.DUMMYFUNCTION("""COMPUTED_VALUE"""),30701.666666666668)</f>
        <v>30701.66667</v>
      </c>
      <c r="B1026" s="2">
        <f>IFERROR(__xludf.DUMMYFUNCTION("""COMPUTED_VALUE"""),27.94)</f>
        <v>27.94</v>
      </c>
      <c r="C1026" s="2">
        <f>IFERROR(__xludf.DUMMYFUNCTION("""COMPUTED_VALUE"""),28.45)</f>
        <v>28.45</v>
      </c>
      <c r="D1026" s="2">
        <f>IFERROR(__xludf.DUMMYFUNCTION("""COMPUTED_VALUE"""),27.94)</f>
        <v>27.94</v>
      </c>
      <c r="E1026" s="2">
        <f>IFERROR(__xludf.DUMMYFUNCTION("""COMPUTED_VALUE"""),27.94)</f>
        <v>27.94</v>
      </c>
      <c r="F1026" s="2">
        <f>IFERROR(__xludf.DUMMYFUNCTION("""COMPUTED_VALUE"""),2785100.0)</f>
        <v>2785100</v>
      </c>
    </row>
    <row r="1027">
      <c r="A1027" s="3">
        <f>IFERROR(__xludf.DUMMYFUNCTION("""COMPUTED_VALUE"""),30704.666666666668)</f>
        <v>30704.66667</v>
      </c>
      <c r="B1027" s="2">
        <f>IFERROR(__xludf.DUMMYFUNCTION("""COMPUTED_VALUE"""),27.73)</f>
        <v>27.73</v>
      </c>
      <c r="C1027" s="2">
        <f>IFERROR(__xludf.DUMMYFUNCTION("""COMPUTED_VALUE"""),27.97)</f>
        <v>27.97</v>
      </c>
      <c r="D1027" s="2">
        <f>IFERROR(__xludf.DUMMYFUNCTION("""COMPUTED_VALUE"""),27.7)</f>
        <v>27.7</v>
      </c>
      <c r="E1027" s="2">
        <f>IFERROR(__xludf.DUMMYFUNCTION("""COMPUTED_VALUE"""),27.73)</f>
        <v>27.73</v>
      </c>
      <c r="F1027" s="2">
        <f>IFERROR(__xludf.DUMMYFUNCTION("""COMPUTED_VALUE"""),1332700.0)</f>
        <v>1332700</v>
      </c>
    </row>
    <row r="1028">
      <c r="A1028" s="3">
        <f>IFERROR(__xludf.DUMMYFUNCTION("""COMPUTED_VALUE"""),30705.666666666668)</f>
        <v>30705.66667</v>
      </c>
      <c r="B1028" s="2">
        <f>IFERROR(__xludf.DUMMYFUNCTION("""COMPUTED_VALUE"""),27.88)</f>
        <v>27.88</v>
      </c>
      <c r="C1028" s="2">
        <f>IFERROR(__xludf.DUMMYFUNCTION("""COMPUTED_VALUE"""),28.0)</f>
        <v>28</v>
      </c>
      <c r="D1028" s="2">
        <f>IFERROR(__xludf.DUMMYFUNCTION("""COMPUTED_VALUE"""),27.79)</f>
        <v>27.79</v>
      </c>
      <c r="E1028" s="2">
        <f>IFERROR(__xludf.DUMMYFUNCTION("""COMPUTED_VALUE"""),27.88)</f>
        <v>27.88</v>
      </c>
      <c r="F1028" s="2">
        <f>IFERROR(__xludf.DUMMYFUNCTION("""COMPUTED_VALUE"""),1067700.0)</f>
        <v>1067700</v>
      </c>
    </row>
    <row r="1029">
      <c r="A1029" s="3">
        <f>IFERROR(__xludf.DUMMYFUNCTION("""COMPUTED_VALUE"""),30706.666666666668)</f>
        <v>30706.66667</v>
      </c>
      <c r="B1029" s="2">
        <f>IFERROR(__xludf.DUMMYFUNCTION("""COMPUTED_VALUE"""),27.55)</f>
        <v>27.55</v>
      </c>
      <c r="C1029" s="2">
        <f>IFERROR(__xludf.DUMMYFUNCTION("""COMPUTED_VALUE"""),28.12)</f>
        <v>28.12</v>
      </c>
      <c r="D1029" s="2">
        <f>IFERROR(__xludf.DUMMYFUNCTION("""COMPUTED_VALUE"""),27.46)</f>
        <v>27.46</v>
      </c>
      <c r="E1029" s="2">
        <f>IFERROR(__xludf.DUMMYFUNCTION("""COMPUTED_VALUE"""),27.55)</f>
        <v>27.55</v>
      </c>
      <c r="F1029" s="2">
        <f>IFERROR(__xludf.DUMMYFUNCTION("""COMPUTED_VALUE"""),1576500.0)</f>
        <v>1576500</v>
      </c>
    </row>
    <row r="1030">
      <c r="A1030" s="3">
        <f>IFERROR(__xludf.DUMMYFUNCTION("""COMPUTED_VALUE"""),30707.666666666668)</f>
        <v>30707.66667</v>
      </c>
      <c r="B1030" s="2">
        <f>IFERROR(__xludf.DUMMYFUNCTION("""COMPUTED_VALUE"""),27.37)</f>
        <v>27.37</v>
      </c>
      <c r="C1030" s="2">
        <f>IFERROR(__xludf.DUMMYFUNCTION("""COMPUTED_VALUE"""),27.67)</f>
        <v>27.67</v>
      </c>
      <c r="D1030" s="2">
        <f>IFERROR(__xludf.DUMMYFUNCTION("""COMPUTED_VALUE"""),27.22)</f>
        <v>27.22</v>
      </c>
      <c r="E1030" s="2">
        <f>IFERROR(__xludf.DUMMYFUNCTION("""COMPUTED_VALUE"""),27.37)</f>
        <v>27.37</v>
      </c>
      <c r="F1030" s="2">
        <f>IFERROR(__xludf.DUMMYFUNCTION("""COMPUTED_VALUE"""),1403800.0)</f>
        <v>1403800</v>
      </c>
    </row>
    <row r="1031">
      <c r="A1031" s="3">
        <f>IFERROR(__xludf.DUMMYFUNCTION("""COMPUTED_VALUE"""),30708.666666666668)</f>
        <v>30708.66667</v>
      </c>
      <c r="B1031" s="2">
        <f>IFERROR(__xludf.DUMMYFUNCTION("""COMPUTED_VALUE"""),27.43)</f>
        <v>27.43</v>
      </c>
      <c r="C1031" s="2">
        <f>IFERROR(__xludf.DUMMYFUNCTION("""COMPUTED_VALUE"""),27.46)</f>
        <v>27.46</v>
      </c>
      <c r="D1031" s="2">
        <f>IFERROR(__xludf.DUMMYFUNCTION("""COMPUTED_VALUE"""),26.89)</f>
        <v>26.89</v>
      </c>
      <c r="E1031" s="2">
        <f>IFERROR(__xludf.DUMMYFUNCTION("""COMPUTED_VALUE"""),27.43)</f>
        <v>27.43</v>
      </c>
      <c r="F1031" s="2">
        <f>IFERROR(__xludf.DUMMYFUNCTION("""COMPUTED_VALUE"""),1498700.0)</f>
        <v>1498700</v>
      </c>
    </row>
    <row r="1032">
      <c r="A1032" s="3">
        <f>IFERROR(__xludf.DUMMYFUNCTION("""COMPUTED_VALUE"""),30711.666666666668)</f>
        <v>30711.66667</v>
      </c>
      <c r="B1032" s="2">
        <f>IFERROR(__xludf.DUMMYFUNCTION("""COMPUTED_VALUE"""),27.19)</f>
        <v>27.19</v>
      </c>
      <c r="C1032" s="2">
        <f>IFERROR(__xludf.DUMMYFUNCTION("""COMPUTED_VALUE"""),27.46)</f>
        <v>27.46</v>
      </c>
      <c r="D1032" s="2">
        <f>IFERROR(__xludf.DUMMYFUNCTION("""COMPUTED_VALUE"""),27.01)</f>
        <v>27.01</v>
      </c>
      <c r="E1032" s="2">
        <f>IFERROR(__xludf.DUMMYFUNCTION("""COMPUTED_VALUE"""),27.19)</f>
        <v>27.19</v>
      </c>
      <c r="F1032" s="2">
        <f>IFERROR(__xludf.DUMMYFUNCTION("""COMPUTED_VALUE"""),1301700.0)</f>
        <v>1301700</v>
      </c>
    </row>
    <row r="1033">
      <c r="A1033" s="3">
        <f>IFERROR(__xludf.DUMMYFUNCTION("""COMPUTED_VALUE"""),30712.666666666668)</f>
        <v>30712.66667</v>
      </c>
      <c r="B1033" s="2">
        <f>IFERROR(__xludf.DUMMYFUNCTION("""COMPUTED_VALUE"""),27.25)</f>
        <v>27.25</v>
      </c>
      <c r="C1033" s="2">
        <f>IFERROR(__xludf.DUMMYFUNCTION("""COMPUTED_VALUE"""),27.4)</f>
        <v>27.4</v>
      </c>
      <c r="D1033" s="2">
        <f>IFERROR(__xludf.DUMMYFUNCTION("""COMPUTED_VALUE"""),27.04)</f>
        <v>27.04</v>
      </c>
      <c r="E1033" s="2">
        <f>IFERROR(__xludf.DUMMYFUNCTION("""COMPUTED_VALUE"""),27.25)</f>
        <v>27.25</v>
      </c>
      <c r="F1033" s="2">
        <f>IFERROR(__xludf.DUMMYFUNCTION("""COMPUTED_VALUE"""),1647100.0)</f>
        <v>1647100</v>
      </c>
    </row>
    <row r="1034">
      <c r="A1034" s="3">
        <f>IFERROR(__xludf.DUMMYFUNCTION("""COMPUTED_VALUE"""),30713.666666666668)</f>
        <v>30713.66667</v>
      </c>
      <c r="B1034" s="2">
        <f>IFERROR(__xludf.DUMMYFUNCTION("""COMPUTED_VALUE"""),27.16)</f>
        <v>27.16</v>
      </c>
      <c r="C1034" s="2">
        <f>IFERROR(__xludf.DUMMYFUNCTION("""COMPUTED_VALUE"""),27.37)</f>
        <v>27.37</v>
      </c>
      <c r="D1034" s="2">
        <f>IFERROR(__xludf.DUMMYFUNCTION("""COMPUTED_VALUE"""),27.04)</f>
        <v>27.04</v>
      </c>
      <c r="E1034" s="2">
        <f>IFERROR(__xludf.DUMMYFUNCTION("""COMPUTED_VALUE"""),27.16)</f>
        <v>27.16</v>
      </c>
      <c r="F1034" s="2">
        <f>IFERROR(__xludf.DUMMYFUNCTION("""COMPUTED_VALUE"""),1277500.0)</f>
        <v>1277500</v>
      </c>
    </row>
    <row r="1035">
      <c r="A1035" s="3">
        <f>IFERROR(__xludf.DUMMYFUNCTION("""COMPUTED_VALUE"""),30714.666666666668)</f>
        <v>30714.66667</v>
      </c>
      <c r="B1035" s="2">
        <f>IFERROR(__xludf.DUMMYFUNCTION("""COMPUTED_VALUE"""),27.31)</f>
        <v>27.31</v>
      </c>
      <c r="C1035" s="2">
        <f>IFERROR(__xludf.DUMMYFUNCTION("""COMPUTED_VALUE"""),27.34)</f>
        <v>27.34</v>
      </c>
      <c r="D1035" s="2">
        <f>IFERROR(__xludf.DUMMYFUNCTION("""COMPUTED_VALUE"""),26.92)</f>
        <v>26.92</v>
      </c>
      <c r="E1035" s="2">
        <f>IFERROR(__xludf.DUMMYFUNCTION("""COMPUTED_VALUE"""),27.31)</f>
        <v>27.31</v>
      </c>
      <c r="F1035" s="2">
        <f>IFERROR(__xludf.DUMMYFUNCTION("""COMPUTED_VALUE"""),1204700.0)</f>
        <v>1204700</v>
      </c>
    </row>
    <row r="1036">
      <c r="A1036" s="3">
        <f>IFERROR(__xludf.DUMMYFUNCTION("""COMPUTED_VALUE"""),30715.666666666668)</f>
        <v>30715.66667</v>
      </c>
      <c r="B1036" s="2">
        <f>IFERROR(__xludf.DUMMYFUNCTION("""COMPUTED_VALUE"""),26.45)</f>
        <v>26.45</v>
      </c>
      <c r="C1036" s="2">
        <f>IFERROR(__xludf.DUMMYFUNCTION("""COMPUTED_VALUE"""),27.25)</f>
        <v>27.25</v>
      </c>
      <c r="D1036" s="2">
        <f>IFERROR(__xludf.DUMMYFUNCTION("""COMPUTED_VALUE"""),26.45)</f>
        <v>26.45</v>
      </c>
      <c r="E1036" s="2">
        <f>IFERROR(__xludf.DUMMYFUNCTION("""COMPUTED_VALUE"""),26.45)</f>
        <v>26.45</v>
      </c>
      <c r="F1036" s="2">
        <f>IFERROR(__xludf.DUMMYFUNCTION("""COMPUTED_VALUE"""),1495900.0)</f>
        <v>1495900</v>
      </c>
    </row>
    <row r="1037">
      <c r="A1037" s="3">
        <f>IFERROR(__xludf.DUMMYFUNCTION("""COMPUTED_VALUE"""),30718.666666666668)</f>
        <v>30718.66667</v>
      </c>
      <c r="B1037" s="2">
        <f>IFERROR(__xludf.DUMMYFUNCTION("""COMPUTED_VALUE"""),25.97)</f>
        <v>25.97</v>
      </c>
      <c r="C1037" s="2">
        <f>IFERROR(__xludf.DUMMYFUNCTION("""COMPUTED_VALUE"""),26.48)</f>
        <v>26.48</v>
      </c>
      <c r="D1037" s="2">
        <f>IFERROR(__xludf.DUMMYFUNCTION("""COMPUTED_VALUE"""),25.91)</f>
        <v>25.91</v>
      </c>
      <c r="E1037" s="2">
        <f>IFERROR(__xludf.DUMMYFUNCTION("""COMPUTED_VALUE"""),25.97)</f>
        <v>25.97</v>
      </c>
      <c r="F1037" s="2">
        <f>IFERROR(__xludf.DUMMYFUNCTION("""COMPUTED_VALUE"""),2468000.0)</f>
        <v>2468000</v>
      </c>
    </row>
    <row r="1038">
      <c r="A1038" s="3">
        <f>IFERROR(__xludf.DUMMYFUNCTION("""COMPUTED_VALUE"""),30719.666666666668)</f>
        <v>30719.66667</v>
      </c>
      <c r="B1038" s="2">
        <f>IFERROR(__xludf.DUMMYFUNCTION("""COMPUTED_VALUE"""),26.39)</f>
        <v>26.39</v>
      </c>
      <c r="C1038" s="2">
        <f>IFERROR(__xludf.DUMMYFUNCTION("""COMPUTED_VALUE"""),26.45)</f>
        <v>26.45</v>
      </c>
      <c r="D1038" s="2">
        <f>IFERROR(__xludf.DUMMYFUNCTION("""COMPUTED_VALUE"""),25.91)</f>
        <v>25.91</v>
      </c>
      <c r="E1038" s="2">
        <f>IFERROR(__xludf.DUMMYFUNCTION("""COMPUTED_VALUE"""),26.39)</f>
        <v>26.39</v>
      </c>
      <c r="F1038" s="2">
        <f>IFERROR(__xludf.DUMMYFUNCTION("""COMPUTED_VALUE"""),2679400.0)</f>
        <v>2679400</v>
      </c>
    </row>
    <row r="1039">
      <c r="A1039" s="3">
        <f>IFERROR(__xludf.DUMMYFUNCTION("""COMPUTED_VALUE"""),30720.666666666668)</f>
        <v>30720.66667</v>
      </c>
      <c r="B1039" s="2">
        <f>IFERROR(__xludf.DUMMYFUNCTION("""COMPUTED_VALUE"""),25.73)</f>
        <v>25.73</v>
      </c>
      <c r="C1039" s="2">
        <f>IFERROR(__xludf.DUMMYFUNCTION("""COMPUTED_VALUE"""),26.48)</f>
        <v>26.48</v>
      </c>
      <c r="D1039" s="2">
        <f>IFERROR(__xludf.DUMMYFUNCTION("""COMPUTED_VALUE"""),25.67)</f>
        <v>25.67</v>
      </c>
      <c r="E1039" s="2">
        <f>IFERROR(__xludf.DUMMYFUNCTION("""COMPUTED_VALUE"""),25.73)</f>
        <v>25.73</v>
      </c>
      <c r="F1039" s="2">
        <f>IFERROR(__xludf.DUMMYFUNCTION("""COMPUTED_VALUE"""),1579300.0)</f>
        <v>1579300</v>
      </c>
    </row>
    <row r="1040">
      <c r="A1040" s="3">
        <f>IFERROR(__xludf.DUMMYFUNCTION("""COMPUTED_VALUE"""),30721.666666666668)</f>
        <v>30721.66667</v>
      </c>
      <c r="B1040" s="2">
        <f>IFERROR(__xludf.DUMMYFUNCTION("""COMPUTED_VALUE"""),26.03)</f>
        <v>26.03</v>
      </c>
      <c r="C1040" s="2">
        <f>IFERROR(__xludf.DUMMYFUNCTION("""COMPUTED_VALUE"""),26.3)</f>
        <v>26.3</v>
      </c>
      <c r="D1040" s="2">
        <f>IFERROR(__xludf.DUMMYFUNCTION("""COMPUTED_VALUE"""),25.43)</f>
        <v>25.43</v>
      </c>
      <c r="E1040" s="2">
        <f>IFERROR(__xludf.DUMMYFUNCTION("""COMPUTED_VALUE"""),26.03)</f>
        <v>26.03</v>
      </c>
      <c r="F1040" s="2">
        <f>IFERROR(__xludf.DUMMYFUNCTION("""COMPUTED_VALUE"""),2368400.0)</f>
        <v>2368400</v>
      </c>
    </row>
    <row r="1041">
      <c r="A1041" s="3">
        <f>IFERROR(__xludf.DUMMYFUNCTION("""COMPUTED_VALUE"""),30722.666666666668)</f>
        <v>30722.66667</v>
      </c>
      <c r="B1041" s="2">
        <f>IFERROR(__xludf.DUMMYFUNCTION("""COMPUTED_VALUE"""),26.24)</f>
        <v>26.24</v>
      </c>
      <c r="C1041" s="2">
        <f>IFERROR(__xludf.DUMMYFUNCTION("""COMPUTED_VALUE"""),26.39)</f>
        <v>26.39</v>
      </c>
      <c r="D1041" s="2">
        <f>IFERROR(__xludf.DUMMYFUNCTION("""COMPUTED_VALUE"""),26.12)</f>
        <v>26.12</v>
      </c>
      <c r="E1041" s="2">
        <f>IFERROR(__xludf.DUMMYFUNCTION("""COMPUTED_VALUE"""),26.24)</f>
        <v>26.24</v>
      </c>
      <c r="F1041" s="2">
        <f>IFERROR(__xludf.DUMMYFUNCTION("""COMPUTED_VALUE"""),1626000.0)</f>
        <v>1626000</v>
      </c>
    </row>
    <row r="1042">
      <c r="A1042" s="3">
        <f>IFERROR(__xludf.DUMMYFUNCTION("""COMPUTED_VALUE"""),30725.666666666668)</f>
        <v>30725.66667</v>
      </c>
      <c r="B1042" s="2">
        <f>IFERROR(__xludf.DUMMYFUNCTION("""COMPUTED_VALUE"""),26.03)</f>
        <v>26.03</v>
      </c>
      <c r="C1042" s="2">
        <f>IFERROR(__xludf.DUMMYFUNCTION("""COMPUTED_VALUE"""),26.33)</f>
        <v>26.33</v>
      </c>
      <c r="D1042" s="2">
        <f>IFERROR(__xludf.DUMMYFUNCTION("""COMPUTED_VALUE"""),25.79)</f>
        <v>25.79</v>
      </c>
      <c r="E1042" s="2">
        <f>IFERROR(__xludf.DUMMYFUNCTION("""COMPUTED_VALUE"""),26.03)</f>
        <v>26.03</v>
      </c>
      <c r="F1042" s="2">
        <f>IFERROR(__xludf.DUMMYFUNCTION("""COMPUTED_VALUE"""),980300.0)</f>
        <v>980300</v>
      </c>
    </row>
    <row r="1043">
      <c r="A1043" s="3">
        <f>IFERROR(__xludf.DUMMYFUNCTION("""COMPUTED_VALUE"""),30726.666666666668)</f>
        <v>30726.66667</v>
      </c>
      <c r="B1043" s="2">
        <f>IFERROR(__xludf.DUMMYFUNCTION("""COMPUTED_VALUE"""),26.48)</f>
        <v>26.48</v>
      </c>
      <c r="C1043" s="2">
        <f>IFERROR(__xludf.DUMMYFUNCTION("""COMPUTED_VALUE"""),26.51)</f>
        <v>26.51</v>
      </c>
      <c r="D1043" s="2">
        <f>IFERROR(__xludf.DUMMYFUNCTION("""COMPUTED_VALUE"""),26.06)</f>
        <v>26.06</v>
      </c>
      <c r="E1043" s="2">
        <f>IFERROR(__xludf.DUMMYFUNCTION("""COMPUTED_VALUE"""),26.48)</f>
        <v>26.48</v>
      </c>
      <c r="F1043" s="2">
        <f>IFERROR(__xludf.DUMMYFUNCTION("""COMPUTED_VALUE"""),1146100.0)</f>
        <v>1146100</v>
      </c>
    </row>
    <row r="1044">
      <c r="A1044" s="3">
        <f>IFERROR(__xludf.DUMMYFUNCTION("""COMPUTED_VALUE"""),30727.666666666668)</f>
        <v>30727.66667</v>
      </c>
      <c r="B1044" s="2">
        <f>IFERROR(__xludf.DUMMYFUNCTION("""COMPUTED_VALUE"""),26.18)</f>
        <v>26.18</v>
      </c>
      <c r="C1044" s="2">
        <f>IFERROR(__xludf.DUMMYFUNCTION("""COMPUTED_VALUE"""),26.6)</f>
        <v>26.6</v>
      </c>
      <c r="D1044" s="2">
        <f>IFERROR(__xludf.DUMMYFUNCTION("""COMPUTED_VALUE"""),26.15)</f>
        <v>26.15</v>
      </c>
      <c r="E1044" s="2">
        <f>IFERROR(__xludf.DUMMYFUNCTION("""COMPUTED_VALUE"""),26.18)</f>
        <v>26.18</v>
      </c>
      <c r="F1044" s="2">
        <f>IFERROR(__xludf.DUMMYFUNCTION("""COMPUTED_VALUE"""),1145100.0)</f>
        <v>1145100</v>
      </c>
    </row>
    <row r="1045">
      <c r="A1045" s="3">
        <f>IFERROR(__xludf.DUMMYFUNCTION("""COMPUTED_VALUE"""),30728.666666666668)</f>
        <v>30728.66667</v>
      </c>
      <c r="B1045" s="2">
        <f>IFERROR(__xludf.DUMMYFUNCTION("""COMPUTED_VALUE"""),26.18)</f>
        <v>26.18</v>
      </c>
      <c r="C1045" s="2">
        <f>IFERROR(__xludf.DUMMYFUNCTION("""COMPUTED_VALUE"""),26.36)</f>
        <v>26.36</v>
      </c>
      <c r="D1045" s="2">
        <f>IFERROR(__xludf.DUMMYFUNCTION("""COMPUTED_VALUE"""),25.94)</f>
        <v>25.94</v>
      </c>
      <c r="E1045" s="2">
        <f>IFERROR(__xludf.DUMMYFUNCTION("""COMPUTED_VALUE"""),26.18)</f>
        <v>26.18</v>
      </c>
      <c r="F1045" s="2">
        <f>IFERROR(__xludf.DUMMYFUNCTION("""COMPUTED_VALUE"""),1145200.0)</f>
        <v>1145200</v>
      </c>
    </row>
    <row r="1046">
      <c r="A1046" s="3">
        <f>IFERROR(__xludf.DUMMYFUNCTION("""COMPUTED_VALUE"""),30729.666666666668)</f>
        <v>30729.66667</v>
      </c>
      <c r="B1046" s="2">
        <f>IFERROR(__xludf.DUMMYFUNCTION("""COMPUTED_VALUE"""),26.21)</f>
        <v>26.21</v>
      </c>
      <c r="C1046" s="2">
        <f>IFERROR(__xludf.DUMMYFUNCTION("""COMPUTED_VALUE"""),26.39)</f>
        <v>26.39</v>
      </c>
      <c r="D1046" s="2">
        <f>IFERROR(__xludf.DUMMYFUNCTION("""COMPUTED_VALUE"""),26.06)</f>
        <v>26.06</v>
      </c>
      <c r="E1046" s="2">
        <f>IFERROR(__xludf.DUMMYFUNCTION("""COMPUTED_VALUE"""),26.21)</f>
        <v>26.21</v>
      </c>
      <c r="F1046" s="2">
        <f>IFERROR(__xludf.DUMMYFUNCTION("""COMPUTED_VALUE"""),725100.0)</f>
        <v>725100</v>
      </c>
    </row>
    <row r="1047">
      <c r="A1047" s="3">
        <f>IFERROR(__xludf.DUMMYFUNCTION("""COMPUTED_VALUE"""),30733.666666666668)</f>
        <v>30733.66667</v>
      </c>
      <c r="B1047" s="2">
        <f>IFERROR(__xludf.DUMMYFUNCTION("""COMPUTED_VALUE"""),26.12)</f>
        <v>26.12</v>
      </c>
      <c r="C1047" s="2">
        <f>IFERROR(__xludf.DUMMYFUNCTION("""COMPUTED_VALUE"""),26.24)</f>
        <v>26.24</v>
      </c>
      <c r="D1047" s="2">
        <f>IFERROR(__xludf.DUMMYFUNCTION("""COMPUTED_VALUE"""),25.94)</f>
        <v>25.94</v>
      </c>
      <c r="E1047" s="2">
        <f>IFERROR(__xludf.DUMMYFUNCTION("""COMPUTED_VALUE"""),26.12)</f>
        <v>26.12</v>
      </c>
      <c r="F1047" s="2">
        <f>IFERROR(__xludf.DUMMYFUNCTION("""COMPUTED_VALUE"""),659200.0)</f>
        <v>659200</v>
      </c>
    </row>
    <row r="1048">
      <c r="A1048" s="3">
        <f>IFERROR(__xludf.DUMMYFUNCTION("""COMPUTED_VALUE"""),30734.666666666668)</f>
        <v>30734.66667</v>
      </c>
      <c r="B1048" s="2">
        <f>IFERROR(__xludf.DUMMYFUNCTION("""COMPUTED_VALUE"""),26.06)</f>
        <v>26.06</v>
      </c>
      <c r="C1048" s="2">
        <f>IFERROR(__xludf.DUMMYFUNCTION("""COMPUTED_VALUE"""),26.33)</f>
        <v>26.33</v>
      </c>
      <c r="D1048" s="2">
        <f>IFERROR(__xludf.DUMMYFUNCTION("""COMPUTED_VALUE"""),25.94)</f>
        <v>25.94</v>
      </c>
      <c r="E1048" s="2">
        <f>IFERROR(__xludf.DUMMYFUNCTION("""COMPUTED_VALUE"""),26.06)</f>
        <v>26.06</v>
      </c>
      <c r="F1048" s="2">
        <f>IFERROR(__xludf.DUMMYFUNCTION("""COMPUTED_VALUE"""),1124600.0)</f>
        <v>1124600</v>
      </c>
    </row>
    <row r="1049">
      <c r="A1049" s="3">
        <f>IFERROR(__xludf.DUMMYFUNCTION("""COMPUTED_VALUE"""),30735.666666666668)</f>
        <v>30735.66667</v>
      </c>
      <c r="B1049" s="2">
        <f>IFERROR(__xludf.DUMMYFUNCTION("""COMPUTED_VALUE"""),26.09)</f>
        <v>26.09</v>
      </c>
      <c r="C1049" s="2">
        <f>IFERROR(__xludf.DUMMYFUNCTION("""COMPUTED_VALUE"""),26.09)</f>
        <v>26.09</v>
      </c>
      <c r="D1049" s="2">
        <f>IFERROR(__xludf.DUMMYFUNCTION("""COMPUTED_VALUE"""),25.55)</f>
        <v>25.55</v>
      </c>
      <c r="E1049" s="2">
        <f>IFERROR(__xludf.DUMMYFUNCTION("""COMPUTED_VALUE"""),26.09)</f>
        <v>26.09</v>
      </c>
      <c r="F1049" s="2">
        <f>IFERROR(__xludf.DUMMYFUNCTION("""COMPUTED_VALUE"""),1471500.0)</f>
        <v>1471500</v>
      </c>
    </row>
    <row r="1050">
      <c r="A1050" s="3">
        <f>IFERROR(__xludf.DUMMYFUNCTION("""COMPUTED_VALUE"""),30736.666666666668)</f>
        <v>30736.66667</v>
      </c>
      <c r="B1050" s="2">
        <f>IFERROR(__xludf.DUMMYFUNCTION("""COMPUTED_VALUE"""),26.57)</f>
        <v>26.57</v>
      </c>
      <c r="C1050" s="2">
        <f>IFERROR(__xludf.DUMMYFUNCTION("""COMPUTED_VALUE"""),26.63)</f>
        <v>26.63</v>
      </c>
      <c r="D1050" s="2">
        <f>IFERROR(__xludf.DUMMYFUNCTION("""COMPUTED_VALUE"""),26.09)</f>
        <v>26.09</v>
      </c>
      <c r="E1050" s="2">
        <f>IFERROR(__xludf.DUMMYFUNCTION("""COMPUTED_VALUE"""),26.57)</f>
        <v>26.57</v>
      </c>
      <c r="F1050" s="2">
        <f>IFERROR(__xludf.DUMMYFUNCTION("""COMPUTED_VALUE"""),1043200.0)</f>
        <v>1043200</v>
      </c>
    </row>
    <row r="1051">
      <c r="A1051" s="3">
        <f>IFERROR(__xludf.DUMMYFUNCTION("""COMPUTED_VALUE"""),30739.666666666668)</f>
        <v>30739.66667</v>
      </c>
      <c r="B1051" s="2">
        <f>IFERROR(__xludf.DUMMYFUNCTION("""COMPUTED_VALUE"""),26.95)</f>
        <v>26.95</v>
      </c>
      <c r="C1051" s="2">
        <f>IFERROR(__xludf.DUMMYFUNCTION("""COMPUTED_VALUE"""),27.1)</f>
        <v>27.1</v>
      </c>
      <c r="D1051" s="2">
        <f>IFERROR(__xludf.DUMMYFUNCTION("""COMPUTED_VALUE"""),26.45)</f>
        <v>26.45</v>
      </c>
      <c r="E1051" s="2">
        <f>IFERROR(__xludf.DUMMYFUNCTION("""COMPUTED_VALUE"""),26.95)</f>
        <v>26.95</v>
      </c>
      <c r="F1051" s="2">
        <f>IFERROR(__xludf.DUMMYFUNCTION("""COMPUTED_VALUE"""),1458900.0)</f>
        <v>1458900</v>
      </c>
    </row>
    <row r="1052">
      <c r="A1052" s="3">
        <f>IFERROR(__xludf.DUMMYFUNCTION("""COMPUTED_VALUE"""),30740.666666666668)</f>
        <v>30740.66667</v>
      </c>
      <c r="B1052" s="2">
        <f>IFERROR(__xludf.DUMMYFUNCTION("""COMPUTED_VALUE"""),26.27)</f>
        <v>26.27</v>
      </c>
      <c r="C1052" s="2">
        <f>IFERROR(__xludf.DUMMYFUNCTION("""COMPUTED_VALUE"""),26.86)</f>
        <v>26.86</v>
      </c>
      <c r="D1052" s="2">
        <f>IFERROR(__xludf.DUMMYFUNCTION("""COMPUTED_VALUE"""),26.24)</f>
        <v>26.24</v>
      </c>
      <c r="E1052" s="2">
        <f>IFERROR(__xludf.DUMMYFUNCTION("""COMPUTED_VALUE"""),26.27)</f>
        <v>26.27</v>
      </c>
      <c r="F1052" s="2">
        <f>IFERROR(__xludf.DUMMYFUNCTION("""COMPUTED_VALUE"""),1241300.0)</f>
        <v>1241300</v>
      </c>
    </row>
    <row r="1053">
      <c r="A1053" s="3">
        <f>IFERROR(__xludf.DUMMYFUNCTION("""COMPUTED_VALUE"""),30741.666666666668)</f>
        <v>30741.66667</v>
      </c>
      <c r="B1053" s="2">
        <f>IFERROR(__xludf.DUMMYFUNCTION("""COMPUTED_VALUE"""),26.33)</f>
        <v>26.33</v>
      </c>
      <c r="C1053" s="2">
        <f>IFERROR(__xludf.DUMMYFUNCTION("""COMPUTED_VALUE"""),26.68)</f>
        <v>26.68</v>
      </c>
      <c r="D1053" s="2">
        <f>IFERROR(__xludf.DUMMYFUNCTION("""COMPUTED_VALUE"""),26.12)</f>
        <v>26.12</v>
      </c>
      <c r="E1053" s="2">
        <f>IFERROR(__xludf.DUMMYFUNCTION("""COMPUTED_VALUE"""),26.33)</f>
        <v>26.33</v>
      </c>
      <c r="F1053" s="2">
        <f>IFERROR(__xludf.DUMMYFUNCTION("""COMPUTED_VALUE"""),1117000.0)</f>
        <v>1117000</v>
      </c>
    </row>
    <row r="1054">
      <c r="A1054" s="3">
        <f>IFERROR(__xludf.DUMMYFUNCTION("""COMPUTED_VALUE"""),30742.666666666668)</f>
        <v>30742.66667</v>
      </c>
      <c r="B1054" s="2">
        <f>IFERROR(__xludf.DUMMYFUNCTION("""COMPUTED_VALUE"""),26.63)</f>
        <v>26.63</v>
      </c>
      <c r="C1054" s="2">
        <f>IFERROR(__xludf.DUMMYFUNCTION("""COMPUTED_VALUE"""),26.66)</f>
        <v>26.66</v>
      </c>
      <c r="D1054" s="2">
        <f>IFERROR(__xludf.DUMMYFUNCTION("""COMPUTED_VALUE"""),26.21)</f>
        <v>26.21</v>
      </c>
      <c r="E1054" s="2">
        <f>IFERROR(__xludf.DUMMYFUNCTION("""COMPUTED_VALUE"""),26.63)</f>
        <v>26.63</v>
      </c>
      <c r="F1054" s="2">
        <f>IFERROR(__xludf.DUMMYFUNCTION("""COMPUTED_VALUE"""),812900.0)</f>
        <v>812900</v>
      </c>
    </row>
    <row r="1055">
      <c r="A1055" s="3">
        <f>IFERROR(__xludf.DUMMYFUNCTION("""COMPUTED_VALUE"""),30743.666666666668)</f>
        <v>30743.66667</v>
      </c>
      <c r="B1055" s="2">
        <f>IFERROR(__xludf.DUMMYFUNCTION("""COMPUTED_VALUE"""),26.74)</f>
        <v>26.74</v>
      </c>
      <c r="C1055" s="2">
        <f>IFERROR(__xludf.DUMMYFUNCTION("""COMPUTED_VALUE"""),26.95)</f>
        <v>26.95</v>
      </c>
      <c r="D1055" s="2">
        <f>IFERROR(__xludf.DUMMYFUNCTION("""COMPUTED_VALUE"""),26.66)</f>
        <v>26.66</v>
      </c>
      <c r="E1055" s="2">
        <f>IFERROR(__xludf.DUMMYFUNCTION("""COMPUTED_VALUE"""),26.74)</f>
        <v>26.74</v>
      </c>
      <c r="F1055" s="2">
        <f>IFERROR(__xludf.DUMMYFUNCTION("""COMPUTED_VALUE"""),1005000.0)</f>
        <v>1005000</v>
      </c>
    </row>
    <row r="1056">
      <c r="A1056" s="3">
        <f>IFERROR(__xludf.DUMMYFUNCTION("""COMPUTED_VALUE"""),30746.666666666668)</f>
        <v>30746.66667</v>
      </c>
      <c r="B1056" s="2">
        <f>IFERROR(__xludf.DUMMYFUNCTION("""COMPUTED_VALUE"""),26.51)</f>
        <v>26.51</v>
      </c>
      <c r="C1056" s="2">
        <f>IFERROR(__xludf.DUMMYFUNCTION("""COMPUTED_VALUE"""),26.63)</f>
        <v>26.63</v>
      </c>
      <c r="D1056" s="2">
        <f>IFERROR(__xludf.DUMMYFUNCTION("""COMPUTED_VALUE"""),26.36)</f>
        <v>26.36</v>
      </c>
      <c r="E1056" s="2">
        <f>IFERROR(__xludf.DUMMYFUNCTION("""COMPUTED_VALUE"""),26.51)</f>
        <v>26.51</v>
      </c>
      <c r="F1056" s="2">
        <f>IFERROR(__xludf.DUMMYFUNCTION("""COMPUTED_VALUE"""),779400.0)</f>
        <v>779400</v>
      </c>
    </row>
    <row r="1057">
      <c r="A1057" s="3">
        <f>IFERROR(__xludf.DUMMYFUNCTION("""COMPUTED_VALUE"""),30747.666666666668)</f>
        <v>30747.66667</v>
      </c>
      <c r="B1057" s="2">
        <f>IFERROR(__xludf.DUMMYFUNCTION("""COMPUTED_VALUE"""),26.09)</f>
        <v>26.09</v>
      </c>
      <c r="C1057" s="2">
        <f>IFERROR(__xludf.DUMMYFUNCTION("""COMPUTED_VALUE"""),26.66)</f>
        <v>26.66</v>
      </c>
      <c r="D1057" s="2">
        <f>IFERROR(__xludf.DUMMYFUNCTION("""COMPUTED_VALUE"""),26.06)</f>
        <v>26.06</v>
      </c>
      <c r="E1057" s="2">
        <f>IFERROR(__xludf.DUMMYFUNCTION("""COMPUTED_VALUE"""),26.09)</f>
        <v>26.09</v>
      </c>
      <c r="F1057" s="2">
        <f>IFERROR(__xludf.DUMMYFUNCTION("""COMPUTED_VALUE"""),868500.0)</f>
        <v>868500</v>
      </c>
    </row>
    <row r="1058">
      <c r="A1058" s="3">
        <f>IFERROR(__xludf.DUMMYFUNCTION("""COMPUTED_VALUE"""),30748.666666666668)</f>
        <v>30748.66667</v>
      </c>
      <c r="B1058" s="2">
        <f>IFERROR(__xludf.DUMMYFUNCTION("""COMPUTED_VALUE"""),25.7)</f>
        <v>25.7</v>
      </c>
      <c r="C1058" s="2">
        <f>IFERROR(__xludf.DUMMYFUNCTION("""COMPUTED_VALUE"""),25.85)</f>
        <v>25.85</v>
      </c>
      <c r="D1058" s="2">
        <f>IFERROR(__xludf.DUMMYFUNCTION("""COMPUTED_VALUE"""),25.46)</f>
        <v>25.46</v>
      </c>
      <c r="E1058" s="2">
        <f>IFERROR(__xludf.DUMMYFUNCTION("""COMPUTED_VALUE"""),25.7)</f>
        <v>25.7</v>
      </c>
      <c r="F1058" s="2">
        <f>IFERROR(__xludf.DUMMYFUNCTION("""COMPUTED_VALUE"""),1570300.0)</f>
        <v>1570300</v>
      </c>
    </row>
    <row r="1059">
      <c r="A1059" s="3">
        <f>IFERROR(__xludf.DUMMYFUNCTION("""COMPUTED_VALUE"""),30749.666666666668)</f>
        <v>30749.66667</v>
      </c>
      <c r="B1059" s="2">
        <f>IFERROR(__xludf.DUMMYFUNCTION("""COMPUTED_VALUE"""),25.91)</f>
        <v>25.91</v>
      </c>
      <c r="C1059" s="2">
        <f>IFERROR(__xludf.DUMMYFUNCTION("""COMPUTED_VALUE"""),26.09)</f>
        <v>26.09</v>
      </c>
      <c r="D1059" s="2">
        <f>IFERROR(__xludf.DUMMYFUNCTION("""COMPUTED_VALUE"""),25.7)</f>
        <v>25.7</v>
      </c>
      <c r="E1059" s="2">
        <f>IFERROR(__xludf.DUMMYFUNCTION("""COMPUTED_VALUE"""),25.91)</f>
        <v>25.91</v>
      </c>
      <c r="F1059" s="2">
        <f>IFERROR(__xludf.DUMMYFUNCTION("""COMPUTED_VALUE"""),899400.0)</f>
        <v>899400</v>
      </c>
    </row>
    <row r="1060">
      <c r="A1060" s="3">
        <f>IFERROR(__xludf.DUMMYFUNCTION("""COMPUTED_VALUE"""),30750.666666666668)</f>
        <v>30750.66667</v>
      </c>
      <c r="B1060" s="2">
        <f>IFERROR(__xludf.DUMMYFUNCTION("""COMPUTED_VALUE"""),25.79)</f>
        <v>25.79</v>
      </c>
      <c r="C1060" s="2">
        <f>IFERROR(__xludf.DUMMYFUNCTION("""COMPUTED_VALUE"""),25.94)</f>
        <v>25.94</v>
      </c>
      <c r="D1060" s="2">
        <f>IFERROR(__xludf.DUMMYFUNCTION("""COMPUTED_VALUE"""),25.64)</f>
        <v>25.64</v>
      </c>
      <c r="E1060" s="2">
        <f>IFERROR(__xludf.DUMMYFUNCTION("""COMPUTED_VALUE"""),25.79)</f>
        <v>25.79</v>
      </c>
      <c r="F1060" s="2">
        <f>IFERROR(__xludf.DUMMYFUNCTION("""COMPUTED_VALUE"""),729600.0)</f>
        <v>729600</v>
      </c>
    </row>
    <row r="1061">
      <c r="A1061" s="3">
        <f>IFERROR(__xludf.DUMMYFUNCTION("""COMPUTED_VALUE"""),30753.666666666668)</f>
        <v>30753.66667</v>
      </c>
      <c r="B1061" s="2">
        <f>IFERROR(__xludf.DUMMYFUNCTION("""COMPUTED_VALUE"""),26.33)</f>
        <v>26.33</v>
      </c>
      <c r="C1061" s="2">
        <f>IFERROR(__xludf.DUMMYFUNCTION("""COMPUTED_VALUE"""),26.39)</f>
        <v>26.39</v>
      </c>
      <c r="D1061" s="2">
        <f>IFERROR(__xludf.DUMMYFUNCTION("""COMPUTED_VALUE"""),25.91)</f>
        <v>25.91</v>
      </c>
      <c r="E1061" s="2">
        <f>IFERROR(__xludf.DUMMYFUNCTION("""COMPUTED_VALUE"""),26.33)</f>
        <v>26.33</v>
      </c>
      <c r="F1061" s="2">
        <f>IFERROR(__xludf.DUMMYFUNCTION("""COMPUTED_VALUE"""),1455900.0)</f>
        <v>1455900</v>
      </c>
    </row>
    <row r="1062">
      <c r="A1062" s="3">
        <f>IFERROR(__xludf.DUMMYFUNCTION("""COMPUTED_VALUE"""),30754.666666666668)</f>
        <v>30754.66667</v>
      </c>
      <c r="B1062" s="2">
        <f>IFERROR(__xludf.DUMMYFUNCTION("""COMPUTED_VALUE"""),26.42)</f>
        <v>26.42</v>
      </c>
      <c r="C1062" s="2">
        <f>IFERROR(__xludf.DUMMYFUNCTION("""COMPUTED_VALUE"""),26.74)</f>
        <v>26.74</v>
      </c>
      <c r="D1062" s="2">
        <f>IFERROR(__xludf.DUMMYFUNCTION("""COMPUTED_VALUE"""),26.36)</f>
        <v>26.36</v>
      </c>
      <c r="E1062" s="2">
        <f>IFERROR(__xludf.DUMMYFUNCTION("""COMPUTED_VALUE"""),26.42)</f>
        <v>26.42</v>
      </c>
      <c r="F1062" s="2">
        <f>IFERROR(__xludf.DUMMYFUNCTION("""COMPUTED_VALUE"""),1432300.0)</f>
        <v>1432300</v>
      </c>
    </row>
    <row r="1063">
      <c r="A1063" s="3">
        <f>IFERROR(__xludf.DUMMYFUNCTION("""COMPUTED_VALUE"""),30755.666666666668)</f>
        <v>30755.66667</v>
      </c>
      <c r="B1063" s="2">
        <f>IFERROR(__xludf.DUMMYFUNCTION("""COMPUTED_VALUE"""),26.51)</f>
        <v>26.51</v>
      </c>
      <c r="C1063" s="2">
        <f>IFERROR(__xludf.DUMMYFUNCTION("""COMPUTED_VALUE"""),26.63)</f>
        <v>26.63</v>
      </c>
      <c r="D1063" s="2">
        <f>IFERROR(__xludf.DUMMYFUNCTION("""COMPUTED_VALUE"""),26.36)</f>
        <v>26.36</v>
      </c>
      <c r="E1063" s="2">
        <f>IFERROR(__xludf.DUMMYFUNCTION("""COMPUTED_VALUE"""),26.51)</f>
        <v>26.51</v>
      </c>
      <c r="F1063" s="2">
        <f>IFERROR(__xludf.DUMMYFUNCTION("""COMPUTED_VALUE"""),990700.0)</f>
        <v>990700</v>
      </c>
    </row>
    <row r="1064">
      <c r="A1064" s="3">
        <f>IFERROR(__xludf.DUMMYFUNCTION("""COMPUTED_VALUE"""),30756.666666666668)</f>
        <v>30756.66667</v>
      </c>
      <c r="B1064" s="2">
        <f>IFERROR(__xludf.DUMMYFUNCTION("""COMPUTED_VALUE"""),26.74)</f>
        <v>26.74</v>
      </c>
      <c r="C1064" s="2">
        <f>IFERROR(__xludf.DUMMYFUNCTION("""COMPUTED_VALUE"""),26.86)</f>
        <v>26.86</v>
      </c>
      <c r="D1064" s="2">
        <f>IFERROR(__xludf.DUMMYFUNCTION("""COMPUTED_VALUE"""),26.54)</f>
        <v>26.54</v>
      </c>
      <c r="E1064" s="2">
        <f>IFERROR(__xludf.DUMMYFUNCTION("""COMPUTED_VALUE"""),26.74)</f>
        <v>26.74</v>
      </c>
      <c r="F1064" s="2">
        <f>IFERROR(__xludf.DUMMYFUNCTION("""COMPUTED_VALUE"""),954700.0)</f>
        <v>954700</v>
      </c>
    </row>
    <row r="1065">
      <c r="A1065" s="3">
        <f>IFERROR(__xludf.DUMMYFUNCTION("""COMPUTED_VALUE"""),30757.666666666668)</f>
        <v>30757.66667</v>
      </c>
      <c r="B1065" s="2">
        <f>IFERROR(__xludf.DUMMYFUNCTION("""COMPUTED_VALUE"""),27.16)</f>
        <v>27.16</v>
      </c>
      <c r="C1065" s="2">
        <f>IFERROR(__xludf.DUMMYFUNCTION("""COMPUTED_VALUE"""),27.28)</f>
        <v>27.28</v>
      </c>
      <c r="D1065" s="2">
        <f>IFERROR(__xludf.DUMMYFUNCTION("""COMPUTED_VALUE"""),26.92)</f>
        <v>26.92</v>
      </c>
      <c r="E1065" s="2">
        <f>IFERROR(__xludf.DUMMYFUNCTION("""COMPUTED_VALUE"""),27.16)</f>
        <v>27.16</v>
      </c>
      <c r="F1065" s="2">
        <f>IFERROR(__xludf.DUMMYFUNCTION("""COMPUTED_VALUE"""),2110500.0)</f>
        <v>2110500</v>
      </c>
    </row>
    <row r="1066">
      <c r="A1066" s="3">
        <f>IFERROR(__xludf.DUMMYFUNCTION("""COMPUTED_VALUE"""),30760.666666666668)</f>
        <v>30760.66667</v>
      </c>
      <c r="B1066" s="2">
        <f>IFERROR(__xludf.DUMMYFUNCTION("""COMPUTED_VALUE"""),27.22)</f>
        <v>27.22</v>
      </c>
      <c r="C1066" s="2">
        <f>IFERROR(__xludf.DUMMYFUNCTION("""COMPUTED_VALUE"""),27.22)</f>
        <v>27.22</v>
      </c>
      <c r="D1066" s="2">
        <f>IFERROR(__xludf.DUMMYFUNCTION("""COMPUTED_VALUE"""),26.86)</f>
        <v>26.86</v>
      </c>
      <c r="E1066" s="2">
        <f>IFERROR(__xludf.DUMMYFUNCTION("""COMPUTED_VALUE"""),27.22)</f>
        <v>27.22</v>
      </c>
      <c r="F1066" s="2">
        <f>IFERROR(__xludf.DUMMYFUNCTION("""COMPUTED_VALUE"""),817600.0)</f>
        <v>817600</v>
      </c>
    </row>
    <row r="1067">
      <c r="A1067" s="3">
        <f>IFERROR(__xludf.DUMMYFUNCTION("""COMPUTED_VALUE"""),30761.666666666668)</f>
        <v>30761.66667</v>
      </c>
      <c r="B1067" s="2">
        <f>IFERROR(__xludf.DUMMYFUNCTION("""COMPUTED_VALUE"""),27.4)</f>
        <v>27.4</v>
      </c>
      <c r="C1067" s="2">
        <f>IFERROR(__xludf.DUMMYFUNCTION("""COMPUTED_VALUE"""),27.55)</f>
        <v>27.55</v>
      </c>
      <c r="D1067" s="2">
        <f>IFERROR(__xludf.DUMMYFUNCTION("""COMPUTED_VALUE"""),27.1)</f>
        <v>27.1</v>
      </c>
      <c r="E1067" s="2">
        <f>IFERROR(__xludf.DUMMYFUNCTION("""COMPUTED_VALUE"""),27.4)</f>
        <v>27.4</v>
      </c>
      <c r="F1067" s="2">
        <f>IFERROR(__xludf.DUMMYFUNCTION("""COMPUTED_VALUE"""),1241000.0)</f>
        <v>1241000</v>
      </c>
    </row>
    <row r="1068">
      <c r="A1068" s="3">
        <f>IFERROR(__xludf.DUMMYFUNCTION("""COMPUTED_VALUE"""),30762.666666666668)</f>
        <v>30762.66667</v>
      </c>
      <c r="B1068" s="2">
        <f>IFERROR(__xludf.DUMMYFUNCTION("""COMPUTED_VALUE"""),27.22)</f>
        <v>27.22</v>
      </c>
      <c r="C1068" s="2">
        <f>IFERROR(__xludf.DUMMYFUNCTION("""COMPUTED_VALUE"""),27.58)</f>
        <v>27.58</v>
      </c>
      <c r="D1068" s="2">
        <f>IFERROR(__xludf.DUMMYFUNCTION("""COMPUTED_VALUE"""),27.22)</f>
        <v>27.22</v>
      </c>
      <c r="E1068" s="2">
        <f>IFERROR(__xludf.DUMMYFUNCTION("""COMPUTED_VALUE"""),27.22)</f>
        <v>27.22</v>
      </c>
      <c r="F1068" s="2">
        <f>IFERROR(__xludf.DUMMYFUNCTION("""COMPUTED_VALUE"""),914900.0)</f>
        <v>914900</v>
      </c>
    </row>
    <row r="1069">
      <c r="A1069" s="3">
        <f>IFERROR(__xludf.DUMMYFUNCTION("""COMPUTED_VALUE"""),30763.666666666668)</f>
        <v>30763.66667</v>
      </c>
      <c r="B1069" s="2">
        <f>IFERROR(__xludf.DUMMYFUNCTION("""COMPUTED_VALUE"""),26.92)</f>
        <v>26.92</v>
      </c>
      <c r="C1069" s="2">
        <f>IFERROR(__xludf.DUMMYFUNCTION("""COMPUTED_VALUE"""),27.22)</f>
        <v>27.22</v>
      </c>
      <c r="D1069" s="2">
        <f>IFERROR(__xludf.DUMMYFUNCTION("""COMPUTED_VALUE"""),26.83)</f>
        <v>26.83</v>
      </c>
      <c r="E1069" s="2">
        <f>IFERROR(__xludf.DUMMYFUNCTION("""COMPUTED_VALUE"""),26.92)</f>
        <v>26.92</v>
      </c>
      <c r="F1069" s="2">
        <f>IFERROR(__xludf.DUMMYFUNCTION("""COMPUTED_VALUE"""),881400.0)</f>
        <v>881400</v>
      </c>
    </row>
    <row r="1070">
      <c r="A1070" s="3">
        <f>IFERROR(__xludf.DUMMYFUNCTION("""COMPUTED_VALUE"""),30764.666666666668)</f>
        <v>30764.66667</v>
      </c>
      <c r="B1070" s="2">
        <f>IFERROR(__xludf.DUMMYFUNCTION("""COMPUTED_VALUE"""),26.8)</f>
        <v>26.8</v>
      </c>
      <c r="C1070" s="2">
        <f>IFERROR(__xludf.DUMMYFUNCTION("""COMPUTED_VALUE"""),26.98)</f>
        <v>26.98</v>
      </c>
      <c r="D1070" s="2">
        <f>IFERROR(__xludf.DUMMYFUNCTION("""COMPUTED_VALUE"""),26.63)</f>
        <v>26.63</v>
      </c>
      <c r="E1070" s="2">
        <f>IFERROR(__xludf.DUMMYFUNCTION("""COMPUTED_VALUE"""),26.8)</f>
        <v>26.8</v>
      </c>
      <c r="F1070" s="2">
        <f>IFERROR(__xludf.DUMMYFUNCTION("""COMPUTED_VALUE"""),836700.0)</f>
        <v>836700</v>
      </c>
    </row>
    <row r="1071">
      <c r="A1071" s="3">
        <f>IFERROR(__xludf.DUMMYFUNCTION("""COMPUTED_VALUE"""),30767.666666666668)</f>
        <v>30767.66667</v>
      </c>
      <c r="B1071" s="2">
        <f>IFERROR(__xludf.DUMMYFUNCTION("""COMPUTED_VALUE"""),26.8)</f>
        <v>26.8</v>
      </c>
      <c r="C1071" s="2">
        <f>IFERROR(__xludf.DUMMYFUNCTION("""COMPUTED_VALUE"""),27.04)</f>
        <v>27.04</v>
      </c>
      <c r="D1071" s="2">
        <f>IFERROR(__xludf.DUMMYFUNCTION("""COMPUTED_VALUE"""),26.68)</f>
        <v>26.68</v>
      </c>
      <c r="E1071" s="2">
        <f>IFERROR(__xludf.DUMMYFUNCTION("""COMPUTED_VALUE"""),26.8)</f>
        <v>26.8</v>
      </c>
      <c r="F1071" s="2">
        <f>IFERROR(__xludf.DUMMYFUNCTION("""COMPUTED_VALUE"""),694200.0)</f>
        <v>694200</v>
      </c>
    </row>
    <row r="1072">
      <c r="A1072" s="3">
        <f>IFERROR(__xludf.DUMMYFUNCTION("""COMPUTED_VALUE"""),30768.666666666668)</f>
        <v>30768.66667</v>
      </c>
      <c r="B1072" s="2">
        <f>IFERROR(__xludf.DUMMYFUNCTION("""COMPUTED_VALUE"""),27.19)</f>
        <v>27.19</v>
      </c>
      <c r="C1072" s="2">
        <f>IFERROR(__xludf.DUMMYFUNCTION("""COMPUTED_VALUE"""),27.19)</f>
        <v>27.19</v>
      </c>
      <c r="D1072" s="2">
        <f>IFERROR(__xludf.DUMMYFUNCTION("""COMPUTED_VALUE"""),26.89)</f>
        <v>26.89</v>
      </c>
      <c r="E1072" s="2">
        <f>IFERROR(__xludf.DUMMYFUNCTION("""COMPUTED_VALUE"""),27.19)</f>
        <v>27.19</v>
      </c>
      <c r="F1072" s="2">
        <f>IFERROR(__xludf.DUMMYFUNCTION("""COMPUTED_VALUE"""),1236900.0)</f>
        <v>1236900</v>
      </c>
    </row>
    <row r="1073">
      <c r="A1073" s="3">
        <f>IFERROR(__xludf.DUMMYFUNCTION("""COMPUTED_VALUE"""),30769.666666666668)</f>
        <v>30769.66667</v>
      </c>
      <c r="B1073" s="2">
        <f>IFERROR(__xludf.DUMMYFUNCTION("""COMPUTED_VALUE"""),27.55)</f>
        <v>27.55</v>
      </c>
      <c r="C1073" s="2">
        <f>IFERROR(__xludf.DUMMYFUNCTION("""COMPUTED_VALUE"""),27.55)</f>
        <v>27.55</v>
      </c>
      <c r="D1073" s="2">
        <f>IFERROR(__xludf.DUMMYFUNCTION("""COMPUTED_VALUE"""),27.13)</f>
        <v>27.13</v>
      </c>
      <c r="E1073" s="2">
        <f>IFERROR(__xludf.DUMMYFUNCTION("""COMPUTED_VALUE"""),27.55)</f>
        <v>27.55</v>
      </c>
      <c r="F1073" s="2">
        <f>IFERROR(__xludf.DUMMYFUNCTION("""COMPUTED_VALUE"""),1045100.0)</f>
        <v>1045100</v>
      </c>
    </row>
    <row r="1074">
      <c r="A1074" s="3">
        <f>IFERROR(__xludf.DUMMYFUNCTION("""COMPUTED_VALUE"""),30770.666666666668)</f>
        <v>30770.66667</v>
      </c>
      <c r="B1074" s="2">
        <f>IFERROR(__xludf.DUMMYFUNCTION("""COMPUTED_VALUE"""),27.16)</f>
        <v>27.16</v>
      </c>
      <c r="C1074" s="2">
        <f>IFERROR(__xludf.DUMMYFUNCTION("""COMPUTED_VALUE"""),27.64)</f>
        <v>27.64</v>
      </c>
      <c r="D1074" s="2">
        <f>IFERROR(__xludf.DUMMYFUNCTION("""COMPUTED_VALUE"""),27.16)</f>
        <v>27.16</v>
      </c>
      <c r="E1074" s="2">
        <f>IFERROR(__xludf.DUMMYFUNCTION("""COMPUTED_VALUE"""),27.16)</f>
        <v>27.16</v>
      </c>
      <c r="F1074" s="2">
        <f>IFERROR(__xludf.DUMMYFUNCTION("""COMPUTED_VALUE"""),872800.0)</f>
        <v>872800</v>
      </c>
    </row>
    <row r="1075">
      <c r="A1075" s="3">
        <f>IFERROR(__xludf.DUMMYFUNCTION("""COMPUTED_VALUE"""),30771.666666666668)</f>
        <v>30771.66667</v>
      </c>
      <c r="B1075" s="2">
        <f>IFERROR(__xludf.DUMMYFUNCTION("""COMPUTED_VALUE"""),27.22)</f>
        <v>27.22</v>
      </c>
      <c r="C1075" s="2">
        <f>IFERROR(__xludf.DUMMYFUNCTION("""COMPUTED_VALUE"""),27.37)</f>
        <v>27.37</v>
      </c>
      <c r="D1075" s="2">
        <f>IFERROR(__xludf.DUMMYFUNCTION("""COMPUTED_VALUE"""),27.13)</f>
        <v>27.13</v>
      </c>
      <c r="E1075" s="2">
        <f>IFERROR(__xludf.DUMMYFUNCTION("""COMPUTED_VALUE"""),27.22)</f>
        <v>27.22</v>
      </c>
      <c r="F1075" s="2">
        <f>IFERROR(__xludf.DUMMYFUNCTION("""COMPUTED_VALUE"""),588700.0)</f>
        <v>588700</v>
      </c>
    </row>
    <row r="1076">
      <c r="A1076" s="3">
        <f>IFERROR(__xludf.DUMMYFUNCTION("""COMPUTED_VALUE"""),30774.666666666668)</f>
        <v>30774.66667</v>
      </c>
      <c r="B1076" s="2">
        <f>IFERROR(__xludf.DUMMYFUNCTION("""COMPUTED_VALUE"""),26.74)</f>
        <v>26.74</v>
      </c>
      <c r="C1076" s="2">
        <f>IFERROR(__xludf.DUMMYFUNCTION("""COMPUTED_VALUE"""),27.37)</f>
        <v>27.37</v>
      </c>
      <c r="D1076" s="2">
        <f>IFERROR(__xludf.DUMMYFUNCTION("""COMPUTED_VALUE"""),26.51)</f>
        <v>26.51</v>
      </c>
      <c r="E1076" s="2">
        <f>IFERROR(__xludf.DUMMYFUNCTION("""COMPUTED_VALUE"""),26.74)</f>
        <v>26.74</v>
      </c>
      <c r="F1076" s="2">
        <f>IFERROR(__xludf.DUMMYFUNCTION("""COMPUTED_VALUE"""),993500.0)</f>
        <v>993500</v>
      </c>
    </row>
    <row r="1077">
      <c r="A1077" s="3">
        <f>IFERROR(__xludf.DUMMYFUNCTION("""COMPUTED_VALUE"""),30775.666666666668)</f>
        <v>30775.66667</v>
      </c>
      <c r="B1077" s="2">
        <f>IFERROR(__xludf.DUMMYFUNCTION("""COMPUTED_VALUE"""),26.54)</f>
        <v>26.54</v>
      </c>
      <c r="C1077" s="2">
        <f>IFERROR(__xludf.DUMMYFUNCTION("""COMPUTED_VALUE"""),26.86)</f>
        <v>26.86</v>
      </c>
      <c r="D1077" s="2">
        <f>IFERROR(__xludf.DUMMYFUNCTION("""COMPUTED_VALUE"""),26.36)</f>
        <v>26.36</v>
      </c>
      <c r="E1077" s="2">
        <f>IFERROR(__xludf.DUMMYFUNCTION("""COMPUTED_VALUE"""),26.54)</f>
        <v>26.54</v>
      </c>
      <c r="F1077" s="2">
        <f>IFERROR(__xludf.DUMMYFUNCTION("""COMPUTED_VALUE"""),978900.0)</f>
        <v>978900</v>
      </c>
    </row>
    <row r="1078">
      <c r="A1078" s="3">
        <f>IFERROR(__xludf.DUMMYFUNCTION("""COMPUTED_VALUE"""),30776.666666666668)</f>
        <v>30776.66667</v>
      </c>
      <c r="B1078" s="2">
        <f>IFERROR(__xludf.DUMMYFUNCTION("""COMPUTED_VALUE"""),26.51)</f>
        <v>26.51</v>
      </c>
      <c r="C1078" s="2">
        <f>IFERROR(__xludf.DUMMYFUNCTION("""COMPUTED_VALUE"""),26.63)</f>
        <v>26.63</v>
      </c>
      <c r="D1078" s="2">
        <f>IFERROR(__xludf.DUMMYFUNCTION("""COMPUTED_VALUE"""),26.42)</f>
        <v>26.42</v>
      </c>
      <c r="E1078" s="2">
        <f>IFERROR(__xludf.DUMMYFUNCTION("""COMPUTED_VALUE"""),26.51)</f>
        <v>26.51</v>
      </c>
      <c r="F1078" s="2">
        <f>IFERROR(__xludf.DUMMYFUNCTION("""COMPUTED_VALUE"""),712400.0)</f>
        <v>712400</v>
      </c>
    </row>
    <row r="1079">
      <c r="A1079" s="3">
        <f>IFERROR(__xludf.DUMMYFUNCTION("""COMPUTED_VALUE"""),30777.666666666668)</f>
        <v>30777.66667</v>
      </c>
      <c r="B1079" s="2">
        <f>IFERROR(__xludf.DUMMYFUNCTION("""COMPUTED_VALUE"""),25.97)</f>
        <v>25.97</v>
      </c>
      <c r="C1079" s="2">
        <f>IFERROR(__xludf.DUMMYFUNCTION("""COMPUTED_VALUE"""),26.6)</f>
        <v>26.6</v>
      </c>
      <c r="D1079" s="2">
        <f>IFERROR(__xludf.DUMMYFUNCTION("""COMPUTED_VALUE"""),25.88)</f>
        <v>25.88</v>
      </c>
      <c r="E1079" s="2">
        <f>IFERROR(__xludf.DUMMYFUNCTION("""COMPUTED_VALUE"""),25.97)</f>
        <v>25.97</v>
      </c>
      <c r="F1079" s="2">
        <f>IFERROR(__xludf.DUMMYFUNCTION("""COMPUTED_VALUE"""),1361800.0)</f>
        <v>1361800</v>
      </c>
    </row>
    <row r="1080">
      <c r="A1080" s="3">
        <f>IFERROR(__xludf.DUMMYFUNCTION("""COMPUTED_VALUE"""),30778.666666666668)</f>
        <v>30778.66667</v>
      </c>
      <c r="B1080" s="2">
        <f>IFERROR(__xludf.DUMMYFUNCTION("""COMPUTED_VALUE"""),26.21)</f>
        <v>26.21</v>
      </c>
      <c r="C1080" s="2">
        <f>IFERROR(__xludf.DUMMYFUNCTION("""COMPUTED_VALUE"""),26.21)</f>
        <v>26.21</v>
      </c>
      <c r="D1080" s="2">
        <f>IFERROR(__xludf.DUMMYFUNCTION("""COMPUTED_VALUE"""),25.73)</f>
        <v>25.73</v>
      </c>
      <c r="E1080" s="2">
        <f>IFERROR(__xludf.DUMMYFUNCTION("""COMPUTED_VALUE"""),26.21)</f>
        <v>26.21</v>
      </c>
      <c r="F1080" s="2">
        <f>IFERROR(__xludf.DUMMYFUNCTION("""COMPUTED_VALUE"""),1296000.0)</f>
        <v>1296000</v>
      </c>
    </row>
    <row r="1081">
      <c r="A1081" s="3">
        <f>IFERROR(__xludf.DUMMYFUNCTION("""COMPUTED_VALUE"""),30781.666666666668)</f>
        <v>30781.66667</v>
      </c>
      <c r="B1081" s="2">
        <f>IFERROR(__xludf.DUMMYFUNCTION("""COMPUTED_VALUE"""),26.18)</f>
        <v>26.18</v>
      </c>
      <c r="C1081" s="2">
        <f>IFERROR(__xludf.DUMMYFUNCTION("""COMPUTED_VALUE"""),26.27)</f>
        <v>26.27</v>
      </c>
      <c r="D1081" s="2">
        <f>IFERROR(__xludf.DUMMYFUNCTION("""COMPUTED_VALUE"""),25.94)</f>
        <v>25.94</v>
      </c>
      <c r="E1081" s="2">
        <f>IFERROR(__xludf.DUMMYFUNCTION("""COMPUTED_VALUE"""),26.18)</f>
        <v>26.18</v>
      </c>
      <c r="F1081" s="2">
        <f>IFERROR(__xludf.DUMMYFUNCTION("""COMPUTED_VALUE"""),945400.0)</f>
        <v>945400</v>
      </c>
    </row>
    <row r="1082">
      <c r="A1082" s="3">
        <f>IFERROR(__xludf.DUMMYFUNCTION("""COMPUTED_VALUE"""),30782.666666666668)</f>
        <v>30782.66667</v>
      </c>
      <c r="B1082" s="2">
        <f>IFERROR(__xludf.DUMMYFUNCTION("""COMPUTED_VALUE"""),26.27)</f>
        <v>26.27</v>
      </c>
      <c r="C1082" s="2">
        <f>IFERROR(__xludf.DUMMYFUNCTION("""COMPUTED_VALUE"""),26.45)</f>
        <v>26.45</v>
      </c>
      <c r="D1082" s="2">
        <f>IFERROR(__xludf.DUMMYFUNCTION("""COMPUTED_VALUE"""),26.21)</f>
        <v>26.21</v>
      </c>
      <c r="E1082" s="2">
        <f>IFERROR(__xludf.DUMMYFUNCTION("""COMPUTED_VALUE"""),26.27)</f>
        <v>26.27</v>
      </c>
      <c r="F1082" s="2">
        <f>IFERROR(__xludf.DUMMYFUNCTION("""COMPUTED_VALUE"""),810600.0)</f>
        <v>810600</v>
      </c>
    </row>
    <row r="1083">
      <c r="A1083" s="3">
        <f>IFERROR(__xludf.DUMMYFUNCTION("""COMPUTED_VALUE"""),30783.666666666668)</f>
        <v>30783.66667</v>
      </c>
      <c r="B1083" s="2">
        <f>IFERROR(__xludf.DUMMYFUNCTION("""COMPUTED_VALUE"""),26.0)</f>
        <v>26</v>
      </c>
      <c r="C1083" s="2">
        <f>IFERROR(__xludf.DUMMYFUNCTION("""COMPUTED_VALUE"""),26.36)</f>
        <v>26.36</v>
      </c>
      <c r="D1083" s="2">
        <f>IFERROR(__xludf.DUMMYFUNCTION("""COMPUTED_VALUE"""),25.97)</f>
        <v>25.97</v>
      </c>
      <c r="E1083" s="2">
        <f>IFERROR(__xludf.DUMMYFUNCTION("""COMPUTED_VALUE"""),26.0)</f>
        <v>26</v>
      </c>
      <c r="F1083" s="2">
        <f>IFERROR(__xludf.DUMMYFUNCTION("""COMPUTED_VALUE"""),671700.0)</f>
        <v>671700</v>
      </c>
    </row>
    <row r="1084">
      <c r="A1084" s="3">
        <f>IFERROR(__xludf.DUMMYFUNCTION("""COMPUTED_VALUE"""),30784.666666666668)</f>
        <v>30784.66667</v>
      </c>
      <c r="B1084" s="2">
        <f>IFERROR(__xludf.DUMMYFUNCTION("""COMPUTED_VALUE"""),26.86)</f>
        <v>26.86</v>
      </c>
      <c r="C1084" s="2">
        <f>IFERROR(__xludf.DUMMYFUNCTION("""COMPUTED_VALUE"""),26.92)</f>
        <v>26.92</v>
      </c>
      <c r="D1084" s="2">
        <f>IFERROR(__xludf.DUMMYFUNCTION("""COMPUTED_VALUE"""),25.67)</f>
        <v>25.67</v>
      </c>
      <c r="E1084" s="2">
        <f>IFERROR(__xludf.DUMMYFUNCTION("""COMPUTED_VALUE"""),26.86)</f>
        <v>26.86</v>
      </c>
      <c r="F1084" s="2">
        <f>IFERROR(__xludf.DUMMYFUNCTION("""COMPUTED_VALUE"""),1779600.0)</f>
        <v>1779600</v>
      </c>
    </row>
    <row r="1085">
      <c r="A1085" s="3">
        <f>IFERROR(__xludf.DUMMYFUNCTION("""COMPUTED_VALUE"""),30785.666666666668)</f>
        <v>30785.66667</v>
      </c>
      <c r="B1085" s="2">
        <f>IFERROR(__xludf.DUMMYFUNCTION("""COMPUTED_VALUE"""),26.57)</f>
        <v>26.57</v>
      </c>
      <c r="C1085" s="2">
        <f>IFERROR(__xludf.DUMMYFUNCTION("""COMPUTED_VALUE"""),27.1)</f>
        <v>27.1</v>
      </c>
      <c r="D1085" s="2">
        <f>IFERROR(__xludf.DUMMYFUNCTION("""COMPUTED_VALUE"""),26.54)</f>
        <v>26.54</v>
      </c>
      <c r="E1085" s="2">
        <f>IFERROR(__xludf.DUMMYFUNCTION("""COMPUTED_VALUE"""),26.57)</f>
        <v>26.57</v>
      </c>
      <c r="F1085" s="2">
        <f>IFERROR(__xludf.DUMMYFUNCTION("""COMPUTED_VALUE"""),1348200.0)</f>
        <v>1348200</v>
      </c>
    </row>
    <row r="1086">
      <c r="A1086" s="3">
        <f>IFERROR(__xludf.DUMMYFUNCTION("""COMPUTED_VALUE"""),30788.666666666668)</f>
        <v>30788.66667</v>
      </c>
      <c r="B1086" s="2">
        <f>IFERROR(__xludf.DUMMYFUNCTION("""COMPUTED_VALUE"""),26.92)</f>
        <v>26.92</v>
      </c>
      <c r="C1086" s="2">
        <f>IFERROR(__xludf.DUMMYFUNCTION("""COMPUTED_VALUE"""),26.95)</f>
        <v>26.95</v>
      </c>
      <c r="D1086" s="2">
        <f>IFERROR(__xludf.DUMMYFUNCTION("""COMPUTED_VALUE"""),26.42)</f>
        <v>26.42</v>
      </c>
      <c r="E1086" s="2">
        <f>IFERROR(__xludf.DUMMYFUNCTION("""COMPUTED_VALUE"""),26.92)</f>
        <v>26.92</v>
      </c>
      <c r="F1086" s="2">
        <f>IFERROR(__xludf.DUMMYFUNCTION("""COMPUTED_VALUE"""),770500.0)</f>
        <v>770500</v>
      </c>
    </row>
    <row r="1087">
      <c r="A1087" s="3">
        <f>IFERROR(__xludf.DUMMYFUNCTION("""COMPUTED_VALUE"""),30789.666666666668)</f>
        <v>30789.66667</v>
      </c>
      <c r="B1087" s="2">
        <f>IFERROR(__xludf.DUMMYFUNCTION("""COMPUTED_VALUE"""),26.8)</f>
        <v>26.8</v>
      </c>
      <c r="C1087" s="2">
        <f>IFERROR(__xludf.DUMMYFUNCTION("""COMPUTED_VALUE"""),27.1)</f>
        <v>27.1</v>
      </c>
      <c r="D1087" s="2">
        <f>IFERROR(__xludf.DUMMYFUNCTION("""COMPUTED_VALUE"""),26.74)</f>
        <v>26.74</v>
      </c>
      <c r="E1087" s="2">
        <f>IFERROR(__xludf.DUMMYFUNCTION("""COMPUTED_VALUE"""),26.8)</f>
        <v>26.8</v>
      </c>
      <c r="F1087" s="2">
        <f>IFERROR(__xludf.DUMMYFUNCTION("""COMPUTED_VALUE"""),931500.0)</f>
        <v>931500</v>
      </c>
    </row>
    <row r="1088">
      <c r="A1088" s="3">
        <f>IFERROR(__xludf.DUMMYFUNCTION("""COMPUTED_VALUE"""),30790.666666666668)</f>
        <v>30790.66667</v>
      </c>
      <c r="B1088" s="2">
        <f>IFERROR(__xludf.DUMMYFUNCTION("""COMPUTED_VALUE"""),26.54)</f>
        <v>26.54</v>
      </c>
      <c r="C1088" s="2">
        <f>IFERROR(__xludf.DUMMYFUNCTION("""COMPUTED_VALUE"""),26.8)</f>
        <v>26.8</v>
      </c>
      <c r="D1088" s="2">
        <f>IFERROR(__xludf.DUMMYFUNCTION("""COMPUTED_VALUE"""),26.39)</f>
        <v>26.39</v>
      </c>
      <c r="E1088" s="2">
        <f>IFERROR(__xludf.DUMMYFUNCTION("""COMPUTED_VALUE"""),26.54)</f>
        <v>26.54</v>
      </c>
      <c r="F1088" s="2">
        <f>IFERROR(__xludf.DUMMYFUNCTION("""COMPUTED_VALUE"""),720700.0)</f>
        <v>720700</v>
      </c>
    </row>
    <row r="1089">
      <c r="A1089" s="3">
        <f>IFERROR(__xludf.DUMMYFUNCTION("""COMPUTED_VALUE"""),30791.666666666668)</f>
        <v>30791.66667</v>
      </c>
      <c r="B1089" s="2">
        <f>IFERROR(__xludf.DUMMYFUNCTION("""COMPUTED_VALUE"""),26.45)</f>
        <v>26.45</v>
      </c>
      <c r="C1089" s="2">
        <f>IFERROR(__xludf.DUMMYFUNCTION("""COMPUTED_VALUE"""),26.54)</f>
        <v>26.54</v>
      </c>
      <c r="D1089" s="2">
        <f>IFERROR(__xludf.DUMMYFUNCTION("""COMPUTED_VALUE"""),26.3)</f>
        <v>26.3</v>
      </c>
      <c r="E1089" s="2">
        <f>IFERROR(__xludf.DUMMYFUNCTION("""COMPUTED_VALUE"""),26.45)</f>
        <v>26.45</v>
      </c>
      <c r="F1089" s="2">
        <f>IFERROR(__xludf.DUMMYFUNCTION("""COMPUTED_VALUE"""),1028700.0)</f>
        <v>1028700</v>
      </c>
    </row>
    <row r="1090">
      <c r="A1090" s="3">
        <f>IFERROR(__xludf.DUMMYFUNCTION("""COMPUTED_VALUE"""),30795.666666666668)</f>
        <v>30795.66667</v>
      </c>
      <c r="B1090" s="2">
        <f>IFERROR(__xludf.DUMMYFUNCTION("""COMPUTED_VALUE"""),26.24)</f>
        <v>26.24</v>
      </c>
      <c r="C1090" s="2">
        <f>IFERROR(__xludf.DUMMYFUNCTION("""COMPUTED_VALUE"""),26.6)</f>
        <v>26.6</v>
      </c>
      <c r="D1090" s="2">
        <f>IFERROR(__xludf.DUMMYFUNCTION("""COMPUTED_VALUE"""),26.18)</f>
        <v>26.18</v>
      </c>
      <c r="E1090" s="2">
        <f>IFERROR(__xludf.DUMMYFUNCTION("""COMPUTED_VALUE"""),26.24)</f>
        <v>26.24</v>
      </c>
      <c r="F1090" s="2">
        <f>IFERROR(__xludf.DUMMYFUNCTION("""COMPUTED_VALUE"""),836400.0)</f>
        <v>836400</v>
      </c>
    </row>
    <row r="1091">
      <c r="A1091" s="3">
        <f>IFERROR(__xludf.DUMMYFUNCTION("""COMPUTED_VALUE"""),30796.666666666668)</f>
        <v>30796.66667</v>
      </c>
      <c r="B1091" s="2">
        <f>IFERROR(__xludf.DUMMYFUNCTION("""COMPUTED_VALUE"""),26.45)</f>
        <v>26.45</v>
      </c>
      <c r="C1091" s="2">
        <f>IFERROR(__xludf.DUMMYFUNCTION("""COMPUTED_VALUE"""),26.66)</f>
        <v>26.66</v>
      </c>
      <c r="D1091" s="2">
        <f>IFERROR(__xludf.DUMMYFUNCTION("""COMPUTED_VALUE"""),26.15)</f>
        <v>26.15</v>
      </c>
      <c r="E1091" s="2">
        <f>IFERROR(__xludf.DUMMYFUNCTION("""COMPUTED_VALUE"""),26.45)</f>
        <v>26.45</v>
      </c>
      <c r="F1091" s="2">
        <f>IFERROR(__xludf.DUMMYFUNCTION("""COMPUTED_VALUE"""),1104400.0)</f>
        <v>1104400</v>
      </c>
    </row>
    <row r="1092">
      <c r="A1092" s="3">
        <f>IFERROR(__xludf.DUMMYFUNCTION("""COMPUTED_VALUE"""),30797.666666666668)</f>
        <v>30797.66667</v>
      </c>
      <c r="B1092" s="2">
        <f>IFERROR(__xludf.DUMMYFUNCTION("""COMPUTED_VALUE"""),26.71)</f>
        <v>26.71</v>
      </c>
      <c r="C1092" s="2">
        <f>IFERROR(__xludf.DUMMYFUNCTION("""COMPUTED_VALUE"""),26.8)</f>
        <v>26.8</v>
      </c>
      <c r="D1092" s="2">
        <f>IFERROR(__xludf.DUMMYFUNCTION("""COMPUTED_VALUE"""),26.42)</f>
        <v>26.42</v>
      </c>
      <c r="E1092" s="2">
        <f>IFERROR(__xludf.DUMMYFUNCTION("""COMPUTED_VALUE"""),26.71)</f>
        <v>26.71</v>
      </c>
      <c r="F1092" s="2">
        <f>IFERROR(__xludf.DUMMYFUNCTION("""COMPUTED_VALUE"""),899400.0)</f>
        <v>899400</v>
      </c>
    </row>
    <row r="1093">
      <c r="A1093" s="3">
        <f>IFERROR(__xludf.DUMMYFUNCTION("""COMPUTED_VALUE"""),30798.666666666668)</f>
        <v>30798.66667</v>
      </c>
      <c r="B1093" s="2">
        <f>IFERROR(__xludf.DUMMYFUNCTION("""COMPUTED_VALUE"""),27.04)</f>
        <v>27.04</v>
      </c>
      <c r="C1093" s="2">
        <f>IFERROR(__xludf.DUMMYFUNCTION("""COMPUTED_VALUE"""),27.1)</f>
        <v>27.1</v>
      </c>
      <c r="D1093" s="2">
        <f>IFERROR(__xludf.DUMMYFUNCTION("""COMPUTED_VALUE"""),26.71)</f>
        <v>26.71</v>
      </c>
      <c r="E1093" s="2">
        <f>IFERROR(__xludf.DUMMYFUNCTION("""COMPUTED_VALUE"""),27.04)</f>
        <v>27.04</v>
      </c>
      <c r="F1093" s="2">
        <f>IFERROR(__xludf.DUMMYFUNCTION("""COMPUTED_VALUE"""),1090000.0)</f>
        <v>1090000</v>
      </c>
    </row>
    <row r="1094">
      <c r="A1094" s="3">
        <f>IFERROR(__xludf.DUMMYFUNCTION("""COMPUTED_VALUE"""),30799.666666666668)</f>
        <v>30799.66667</v>
      </c>
      <c r="B1094" s="2">
        <f>IFERROR(__xludf.DUMMYFUNCTION("""COMPUTED_VALUE"""),27.07)</f>
        <v>27.07</v>
      </c>
      <c r="C1094" s="2">
        <f>IFERROR(__xludf.DUMMYFUNCTION("""COMPUTED_VALUE"""),27.28)</f>
        <v>27.28</v>
      </c>
      <c r="D1094" s="2">
        <f>IFERROR(__xludf.DUMMYFUNCTION("""COMPUTED_VALUE"""),26.89)</f>
        <v>26.89</v>
      </c>
      <c r="E1094" s="2">
        <f>IFERROR(__xludf.DUMMYFUNCTION("""COMPUTED_VALUE"""),27.07)</f>
        <v>27.07</v>
      </c>
      <c r="F1094" s="2">
        <f>IFERROR(__xludf.DUMMYFUNCTION("""COMPUTED_VALUE"""),1022900.0)</f>
        <v>1022900</v>
      </c>
    </row>
    <row r="1095">
      <c r="A1095" s="3">
        <f>IFERROR(__xludf.DUMMYFUNCTION("""COMPUTED_VALUE"""),30802.666666666668)</f>
        <v>30802.66667</v>
      </c>
      <c r="B1095" s="2">
        <f>IFERROR(__xludf.DUMMYFUNCTION("""COMPUTED_VALUE"""),27.16)</f>
        <v>27.16</v>
      </c>
      <c r="C1095" s="2">
        <f>IFERROR(__xludf.DUMMYFUNCTION("""COMPUTED_VALUE"""),27.37)</f>
        <v>27.37</v>
      </c>
      <c r="D1095" s="2">
        <f>IFERROR(__xludf.DUMMYFUNCTION("""COMPUTED_VALUE"""),26.92)</f>
        <v>26.92</v>
      </c>
      <c r="E1095" s="2">
        <f>IFERROR(__xludf.DUMMYFUNCTION("""COMPUTED_VALUE"""),27.16)</f>
        <v>27.16</v>
      </c>
      <c r="F1095" s="2">
        <f>IFERROR(__xludf.DUMMYFUNCTION("""COMPUTED_VALUE"""),1122500.0)</f>
        <v>1122500</v>
      </c>
    </row>
    <row r="1096">
      <c r="A1096" s="3">
        <f>IFERROR(__xludf.DUMMYFUNCTION("""COMPUTED_VALUE"""),30803.666666666668)</f>
        <v>30803.66667</v>
      </c>
      <c r="B1096" s="2">
        <f>IFERROR(__xludf.DUMMYFUNCTION("""COMPUTED_VALUE"""),27.82)</f>
        <v>27.82</v>
      </c>
      <c r="C1096" s="2">
        <f>IFERROR(__xludf.DUMMYFUNCTION("""COMPUTED_VALUE"""),27.82)</f>
        <v>27.82</v>
      </c>
      <c r="D1096" s="2">
        <f>IFERROR(__xludf.DUMMYFUNCTION("""COMPUTED_VALUE"""),27.22)</f>
        <v>27.22</v>
      </c>
      <c r="E1096" s="2">
        <f>IFERROR(__xludf.DUMMYFUNCTION("""COMPUTED_VALUE"""),27.82)</f>
        <v>27.82</v>
      </c>
      <c r="F1096" s="2">
        <f>IFERROR(__xludf.DUMMYFUNCTION("""COMPUTED_VALUE"""),1463500.0)</f>
        <v>1463500</v>
      </c>
    </row>
    <row r="1097">
      <c r="A1097" s="3">
        <f>IFERROR(__xludf.DUMMYFUNCTION("""COMPUTED_VALUE"""),30804.666666666668)</f>
        <v>30804.66667</v>
      </c>
      <c r="B1097" s="2">
        <f>IFERROR(__xludf.DUMMYFUNCTION("""COMPUTED_VALUE"""),27.76)</f>
        <v>27.76</v>
      </c>
      <c r="C1097" s="2">
        <f>IFERROR(__xludf.DUMMYFUNCTION("""COMPUTED_VALUE"""),28.0)</f>
        <v>28</v>
      </c>
      <c r="D1097" s="2">
        <f>IFERROR(__xludf.DUMMYFUNCTION("""COMPUTED_VALUE"""),27.7)</f>
        <v>27.7</v>
      </c>
      <c r="E1097" s="2">
        <f>IFERROR(__xludf.DUMMYFUNCTION("""COMPUTED_VALUE"""),27.76)</f>
        <v>27.76</v>
      </c>
      <c r="F1097" s="2">
        <f>IFERROR(__xludf.DUMMYFUNCTION("""COMPUTED_VALUE"""),1337900.0)</f>
        <v>1337900</v>
      </c>
    </row>
    <row r="1098">
      <c r="A1098" s="3">
        <f>IFERROR(__xludf.DUMMYFUNCTION("""COMPUTED_VALUE"""),30805.666666666668)</f>
        <v>30805.66667</v>
      </c>
      <c r="B1098" s="2">
        <f>IFERROR(__xludf.DUMMYFUNCTION("""COMPUTED_VALUE"""),27.61)</f>
        <v>27.61</v>
      </c>
      <c r="C1098" s="2">
        <f>IFERROR(__xludf.DUMMYFUNCTION("""COMPUTED_VALUE"""),27.79)</f>
        <v>27.79</v>
      </c>
      <c r="D1098" s="2">
        <f>IFERROR(__xludf.DUMMYFUNCTION("""COMPUTED_VALUE"""),27.46)</f>
        <v>27.46</v>
      </c>
      <c r="E1098" s="2">
        <f>IFERROR(__xludf.DUMMYFUNCTION("""COMPUTED_VALUE"""),27.61)</f>
        <v>27.61</v>
      </c>
      <c r="F1098" s="2">
        <f>IFERROR(__xludf.DUMMYFUNCTION("""COMPUTED_VALUE"""),751900.0)</f>
        <v>751900</v>
      </c>
    </row>
    <row r="1099">
      <c r="A1099" s="3">
        <f>IFERROR(__xludf.DUMMYFUNCTION("""COMPUTED_VALUE"""),30806.666666666668)</f>
        <v>30806.66667</v>
      </c>
      <c r="B1099" s="2">
        <f>IFERROR(__xludf.DUMMYFUNCTION("""COMPUTED_VALUE"""),26.92)</f>
        <v>26.92</v>
      </c>
      <c r="C1099" s="2">
        <f>IFERROR(__xludf.DUMMYFUNCTION("""COMPUTED_VALUE"""),27.43)</f>
        <v>27.43</v>
      </c>
      <c r="D1099" s="2">
        <f>IFERROR(__xludf.DUMMYFUNCTION("""COMPUTED_VALUE"""),26.86)</f>
        <v>26.86</v>
      </c>
      <c r="E1099" s="2">
        <f>IFERROR(__xludf.DUMMYFUNCTION("""COMPUTED_VALUE"""),26.92)</f>
        <v>26.92</v>
      </c>
      <c r="F1099" s="2">
        <f>IFERROR(__xludf.DUMMYFUNCTION("""COMPUTED_VALUE"""),896200.0)</f>
        <v>896200</v>
      </c>
    </row>
    <row r="1100">
      <c r="A1100" s="3">
        <f>IFERROR(__xludf.DUMMYFUNCTION("""COMPUTED_VALUE"""),30809.666666666668)</f>
        <v>30809.66667</v>
      </c>
      <c r="B1100" s="2">
        <f>IFERROR(__xludf.DUMMYFUNCTION("""COMPUTED_VALUE"""),27.04)</f>
        <v>27.04</v>
      </c>
      <c r="C1100" s="2">
        <f>IFERROR(__xludf.DUMMYFUNCTION("""COMPUTED_VALUE"""),27.07)</f>
        <v>27.07</v>
      </c>
      <c r="D1100" s="2">
        <f>IFERROR(__xludf.DUMMYFUNCTION("""COMPUTED_VALUE"""),26.83)</f>
        <v>26.83</v>
      </c>
      <c r="E1100" s="2">
        <f>IFERROR(__xludf.DUMMYFUNCTION("""COMPUTED_VALUE"""),27.04)</f>
        <v>27.04</v>
      </c>
      <c r="F1100" s="2">
        <f>IFERROR(__xludf.DUMMYFUNCTION("""COMPUTED_VALUE"""),714500.0)</f>
        <v>714500</v>
      </c>
    </row>
    <row r="1101">
      <c r="A1101" s="3">
        <f>IFERROR(__xludf.DUMMYFUNCTION("""COMPUTED_VALUE"""),30810.666666666668)</f>
        <v>30810.66667</v>
      </c>
      <c r="B1101" s="2">
        <f>IFERROR(__xludf.DUMMYFUNCTION("""COMPUTED_VALUE"""),27.28)</f>
        <v>27.28</v>
      </c>
      <c r="C1101" s="2">
        <f>IFERROR(__xludf.DUMMYFUNCTION("""COMPUTED_VALUE"""),27.28)</f>
        <v>27.28</v>
      </c>
      <c r="D1101" s="2">
        <f>IFERROR(__xludf.DUMMYFUNCTION("""COMPUTED_VALUE"""),26.92)</f>
        <v>26.92</v>
      </c>
      <c r="E1101" s="2">
        <f>IFERROR(__xludf.DUMMYFUNCTION("""COMPUTED_VALUE"""),27.28)</f>
        <v>27.28</v>
      </c>
      <c r="F1101" s="2">
        <f>IFERROR(__xludf.DUMMYFUNCTION("""COMPUTED_VALUE"""),726900.0)</f>
        <v>726900</v>
      </c>
    </row>
    <row r="1102">
      <c r="A1102" s="3">
        <f>IFERROR(__xludf.DUMMYFUNCTION("""COMPUTED_VALUE"""),30811.666666666668)</f>
        <v>30811.66667</v>
      </c>
      <c r="B1102" s="2">
        <f>IFERROR(__xludf.DUMMYFUNCTION("""COMPUTED_VALUE"""),26.95)</f>
        <v>26.95</v>
      </c>
      <c r="C1102" s="2">
        <f>IFERROR(__xludf.DUMMYFUNCTION("""COMPUTED_VALUE"""),27.43)</f>
        <v>27.43</v>
      </c>
      <c r="D1102" s="2">
        <f>IFERROR(__xludf.DUMMYFUNCTION("""COMPUTED_VALUE"""),26.86)</f>
        <v>26.86</v>
      </c>
      <c r="E1102" s="2">
        <f>IFERROR(__xludf.DUMMYFUNCTION("""COMPUTED_VALUE"""),26.95)</f>
        <v>26.95</v>
      </c>
      <c r="F1102" s="2">
        <f>IFERROR(__xludf.DUMMYFUNCTION("""COMPUTED_VALUE"""),1074300.0)</f>
        <v>1074300</v>
      </c>
    </row>
    <row r="1103">
      <c r="A1103" s="3">
        <f>IFERROR(__xludf.DUMMYFUNCTION("""COMPUTED_VALUE"""),30812.666666666668)</f>
        <v>30812.66667</v>
      </c>
      <c r="B1103" s="2">
        <f>IFERROR(__xludf.DUMMYFUNCTION("""COMPUTED_VALUE"""),26.83)</f>
        <v>26.83</v>
      </c>
      <c r="C1103" s="2">
        <f>IFERROR(__xludf.DUMMYFUNCTION("""COMPUTED_VALUE"""),27.07)</f>
        <v>27.07</v>
      </c>
      <c r="D1103" s="2">
        <f>IFERROR(__xludf.DUMMYFUNCTION("""COMPUTED_VALUE"""),26.66)</f>
        <v>26.66</v>
      </c>
      <c r="E1103" s="2">
        <f>IFERROR(__xludf.DUMMYFUNCTION("""COMPUTED_VALUE"""),26.83)</f>
        <v>26.83</v>
      </c>
      <c r="F1103" s="2">
        <f>IFERROR(__xludf.DUMMYFUNCTION("""COMPUTED_VALUE"""),1039700.0)</f>
        <v>1039700</v>
      </c>
    </row>
    <row r="1104">
      <c r="A1104" s="3">
        <f>IFERROR(__xludf.DUMMYFUNCTION("""COMPUTED_VALUE"""),30813.666666666668)</f>
        <v>30813.66667</v>
      </c>
      <c r="B1104" s="2">
        <f>IFERROR(__xludf.DUMMYFUNCTION("""COMPUTED_VALUE"""),26.57)</f>
        <v>26.57</v>
      </c>
      <c r="C1104" s="2">
        <f>IFERROR(__xludf.DUMMYFUNCTION("""COMPUTED_VALUE"""),26.77)</f>
        <v>26.77</v>
      </c>
      <c r="D1104" s="2">
        <f>IFERROR(__xludf.DUMMYFUNCTION("""COMPUTED_VALUE"""),26.39)</f>
        <v>26.39</v>
      </c>
      <c r="E1104" s="2">
        <f>IFERROR(__xludf.DUMMYFUNCTION("""COMPUTED_VALUE"""),26.57)</f>
        <v>26.57</v>
      </c>
      <c r="F1104" s="2">
        <f>IFERROR(__xludf.DUMMYFUNCTION("""COMPUTED_VALUE"""),808400.0)</f>
        <v>808400</v>
      </c>
    </row>
    <row r="1105">
      <c r="A1105" s="3">
        <f>IFERROR(__xludf.DUMMYFUNCTION("""COMPUTED_VALUE"""),30816.666666666668)</f>
        <v>30816.66667</v>
      </c>
      <c r="B1105" s="2">
        <f>IFERROR(__xludf.DUMMYFUNCTION("""COMPUTED_VALUE"""),26.8)</f>
        <v>26.8</v>
      </c>
      <c r="C1105" s="2">
        <f>IFERROR(__xludf.DUMMYFUNCTION("""COMPUTED_VALUE"""),26.8)</f>
        <v>26.8</v>
      </c>
      <c r="D1105" s="2">
        <f>IFERROR(__xludf.DUMMYFUNCTION("""COMPUTED_VALUE"""),26.39)</f>
        <v>26.39</v>
      </c>
      <c r="E1105" s="2">
        <f>IFERROR(__xludf.DUMMYFUNCTION("""COMPUTED_VALUE"""),26.8)</f>
        <v>26.8</v>
      </c>
      <c r="F1105" s="2">
        <f>IFERROR(__xludf.DUMMYFUNCTION("""COMPUTED_VALUE"""),655000.0)</f>
        <v>655000</v>
      </c>
    </row>
    <row r="1106">
      <c r="A1106" s="3">
        <f>IFERROR(__xludf.DUMMYFUNCTION("""COMPUTED_VALUE"""),30817.666666666668)</f>
        <v>30817.66667</v>
      </c>
      <c r="B1106" s="2">
        <f>IFERROR(__xludf.DUMMYFUNCTION("""COMPUTED_VALUE"""),26.98)</f>
        <v>26.98</v>
      </c>
      <c r="C1106" s="2">
        <f>IFERROR(__xludf.DUMMYFUNCTION("""COMPUTED_VALUE"""),27.04)</f>
        <v>27.04</v>
      </c>
      <c r="D1106" s="2">
        <f>IFERROR(__xludf.DUMMYFUNCTION("""COMPUTED_VALUE"""),26.8)</f>
        <v>26.8</v>
      </c>
      <c r="E1106" s="2">
        <f>IFERROR(__xludf.DUMMYFUNCTION("""COMPUTED_VALUE"""),26.98)</f>
        <v>26.98</v>
      </c>
      <c r="F1106" s="2">
        <f>IFERROR(__xludf.DUMMYFUNCTION("""COMPUTED_VALUE"""),892700.0)</f>
        <v>892700</v>
      </c>
    </row>
    <row r="1107">
      <c r="A1107" s="3">
        <f>IFERROR(__xludf.DUMMYFUNCTION("""COMPUTED_VALUE"""),30818.666666666668)</f>
        <v>30818.66667</v>
      </c>
      <c r="B1107" s="2">
        <f>IFERROR(__xludf.DUMMYFUNCTION("""COMPUTED_VALUE"""),26.74)</f>
        <v>26.74</v>
      </c>
      <c r="C1107" s="2">
        <f>IFERROR(__xludf.DUMMYFUNCTION("""COMPUTED_VALUE"""),26.95)</f>
        <v>26.95</v>
      </c>
      <c r="D1107" s="2">
        <f>IFERROR(__xludf.DUMMYFUNCTION("""COMPUTED_VALUE"""),26.68)</f>
        <v>26.68</v>
      </c>
      <c r="E1107" s="2">
        <f>IFERROR(__xludf.DUMMYFUNCTION("""COMPUTED_VALUE"""),26.74)</f>
        <v>26.74</v>
      </c>
      <c r="F1107" s="2">
        <f>IFERROR(__xludf.DUMMYFUNCTION("""COMPUTED_VALUE"""),890600.0)</f>
        <v>890600</v>
      </c>
    </row>
    <row r="1108">
      <c r="A1108" s="3">
        <f>IFERROR(__xludf.DUMMYFUNCTION("""COMPUTED_VALUE"""),30819.666666666668)</f>
        <v>30819.66667</v>
      </c>
      <c r="B1108" s="2">
        <f>IFERROR(__xludf.DUMMYFUNCTION("""COMPUTED_VALUE"""),26.36)</f>
        <v>26.36</v>
      </c>
      <c r="C1108" s="2">
        <f>IFERROR(__xludf.DUMMYFUNCTION("""COMPUTED_VALUE"""),26.68)</f>
        <v>26.68</v>
      </c>
      <c r="D1108" s="2">
        <f>IFERROR(__xludf.DUMMYFUNCTION("""COMPUTED_VALUE"""),26.18)</f>
        <v>26.18</v>
      </c>
      <c r="E1108" s="2">
        <f>IFERROR(__xludf.DUMMYFUNCTION("""COMPUTED_VALUE"""),26.36)</f>
        <v>26.36</v>
      </c>
      <c r="F1108" s="2">
        <f>IFERROR(__xludf.DUMMYFUNCTION("""COMPUTED_VALUE"""),1090900.0)</f>
        <v>1090900</v>
      </c>
    </row>
    <row r="1109">
      <c r="A1109" s="3">
        <f>IFERROR(__xludf.DUMMYFUNCTION("""COMPUTED_VALUE"""),30820.666666666668)</f>
        <v>30820.66667</v>
      </c>
      <c r="B1109" s="2">
        <f>IFERROR(__xludf.DUMMYFUNCTION("""COMPUTED_VALUE"""),26.12)</f>
        <v>26.12</v>
      </c>
      <c r="C1109" s="2">
        <f>IFERROR(__xludf.DUMMYFUNCTION("""COMPUTED_VALUE"""),26.48)</f>
        <v>26.48</v>
      </c>
      <c r="D1109" s="2">
        <f>IFERROR(__xludf.DUMMYFUNCTION("""COMPUTED_VALUE"""),25.94)</f>
        <v>25.94</v>
      </c>
      <c r="E1109" s="2">
        <f>IFERROR(__xludf.DUMMYFUNCTION("""COMPUTED_VALUE"""),26.12)</f>
        <v>26.12</v>
      </c>
      <c r="F1109" s="2">
        <f>IFERROR(__xludf.DUMMYFUNCTION("""COMPUTED_VALUE"""),1548900.0)</f>
        <v>1548900</v>
      </c>
    </row>
    <row r="1110">
      <c r="A1110" s="3">
        <f>IFERROR(__xludf.DUMMYFUNCTION("""COMPUTED_VALUE"""),30823.666666666668)</f>
        <v>30823.66667</v>
      </c>
      <c r="B1110" s="2">
        <f>IFERROR(__xludf.DUMMYFUNCTION("""COMPUTED_VALUE"""),25.94)</f>
        <v>25.94</v>
      </c>
      <c r="C1110" s="2">
        <f>IFERROR(__xludf.DUMMYFUNCTION("""COMPUTED_VALUE"""),26.21)</f>
        <v>26.21</v>
      </c>
      <c r="D1110" s="2">
        <f>IFERROR(__xludf.DUMMYFUNCTION("""COMPUTED_VALUE"""),25.85)</f>
        <v>25.85</v>
      </c>
      <c r="E1110" s="2">
        <f>IFERROR(__xludf.DUMMYFUNCTION("""COMPUTED_VALUE"""),25.94)</f>
        <v>25.94</v>
      </c>
      <c r="F1110" s="2">
        <f>IFERROR(__xludf.DUMMYFUNCTION("""COMPUTED_VALUE"""),916700.0)</f>
        <v>916700</v>
      </c>
    </row>
    <row r="1111">
      <c r="A1111" s="3">
        <f>IFERROR(__xludf.DUMMYFUNCTION("""COMPUTED_VALUE"""),30824.666666666668)</f>
        <v>30824.66667</v>
      </c>
      <c r="B1111" s="2">
        <f>IFERROR(__xludf.DUMMYFUNCTION("""COMPUTED_VALUE"""),25.79)</f>
        <v>25.79</v>
      </c>
      <c r="C1111" s="2">
        <f>IFERROR(__xludf.DUMMYFUNCTION("""COMPUTED_VALUE"""),25.91)</f>
        <v>25.91</v>
      </c>
      <c r="D1111" s="2">
        <f>IFERROR(__xludf.DUMMYFUNCTION("""COMPUTED_VALUE"""),25.67)</f>
        <v>25.67</v>
      </c>
      <c r="E1111" s="2">
        <f>IFERROR(__xludf.DUMMYFUNCTION("""COMPUTED_VALUE"""),25.79)</f>
        <v>25.79</v>
      </c>
      <c r="F1111" s="2">
        <f>IFERROR(__xludf.DUMMYFUNCTION("""COMPUTED_VALUE"""),1190100.0)</f>
        <v>1190100</v>
      </c>
    </row>
    <row r="1112">
      <c r="A1112" s="3">
        <f>IFERROR(__xludf.DUMMYFUNCTION("""COMPUTED_VALUE"""),30825.666666666668)</f>
        <v>30825.66667</v>
      </c>
      <c r="B1112" s="2">
        <f>IFERROR(__xludf.DUMMYFUNCTION("""COMPUTED_VALUE"""),25.7)</f>
        <v>25.7</v>
      </c>
      <c r="C1112" s="2">
        <f>IFERROR(__xludf.DUMMYFUNCTION("""COMPUTED_VALUE"""),26.03)</f>
        <v>26.03</v>
      </c>
      <c r="D1112" s="2">
        <f>IFERROR(__xludf.DUMMYFUNCTION("""COMPUTED_VALUE"""),25.7)</f>
        <v>25.7</v>
      </c>
      <c r="E1112" s="2">
        <f>IFERROR(__xludf.DUMMYFUNCTION("""COMPUTED_VALUE"""),25.7)</f>
        <v>25.7</v>
      </c>
      <c r="F1112" s="2">
        <f>IFERROR(__xludf.DUMMYFUNCTION("""COMPUTED_VALUE"""),1057500.0)</f>
        <v>1057500</v>
      </c>
    </row>
    <row r="1113">
      <c r="A1113" s="3">
        <f>IFERROR(__xludf.DUMMYFUNCTION("""COMPUTED_VALUE"""),30826.666666666668)</f>
        <v>30826.66667</v>
      </c>
      <c r="B1113" s="2">
        <f>IFERROR(__xludf.DUMMYFUNCTION("""COMPUTED_VALUE"""),25.49)</f>
        <v>25.49</v>
      </c>
      <c r="C1113" s="2">
        <f>IFERROR(__xludf.DUMMYFUNCTION("""COMPUTED_VALUE"""),25.82)</f>
        <v>25.82</v>
      </c>
      <c r="D1113" s="2">
        <f>IFERROR(__xludf.DUMMYFUNCTION("""COMPUTED_VALUE"""),25.34)</f>
        <v>25.34</v>
      </c>
      <c r="E1113" s="2">
        <f>IFERROR(__xludf.DUMMYFUNCTION("""COMPUTED_VALUE"""),25.49)</f>
        <v>25.49</v>
      </c>
      <c r="F1113" s="2">
        <f>IFERROR(__xludf.DUMMYFUNCTION("""COMPUTED_VALUE"""),1164500.0)</f>
        <v>1164500</v>
      </c>
    </row>
    <row r="1114">
      <c r="A1114" s="3">
        <f>IFERROR(__xludf.DUMMYFUNCTION("""COMPUTED_VALUE"""),30827.666666666668)</f>
        <v>30827.66667</v>
      </c>
      <c r="B1114" s="2">
        <f>IFERROR(__xludf.DUMMYFUNCTION("""COMPUTED_VALUE"""),25.61)</f>
        <v>25.61</v>
      </c>
      <c r="C1114" s="2">
        <f>IFERROR(__xludf.DUMMYFUNCTION("""COMPUTED_VALUE"""),25.76)</f>
        <v>25.76</v>
      </c>
      <c r="D1114" s="2">
        <f>IFERROR(__xludf.DUMMYFUNCTION("""COMPUTED_VALUE"""),25.49)</f>
        <v>25.49</v>
      </c>
      <c r="E1114" s="2">
        <f>IFERROR(__xludf.DUMMYFUNCTION("""COMPUTED_VALUE"""),25.61)</f>
        <v>25.61</v>
      </c>
      <c r="F1114" s="2">
        <f>IFERROR(__xludf.DUMMYFUNCTION("""COMPUTED_VALUE"""),925000.0)</f>
        <v>925000</v>
      </c>
    </row>
    <row r="1115">
      <c r="A1115" s="3">
        <f>IFERROR(__xludf.DUMMYFUNCTION("""COMPUTED_VALUE"""),30831.666666666668)</f>
        <v>30831.66667</v>
      </c>
      <c r="B1115" s="2">
        <f>IFERROR(__xludf.DUMMYFUNCTION("""COMPUTED_VALUE"""),25.46)</f>
        <v>25.46</v>
      </c>
      <c r="C1115" s="2">
        <f>IFERROR(__xludf.DUMMYFUNCTION("""COMPUTED_VALUE"""),25.7)</f>
        <v>25.7</v>
      </c>
      <c r="D1115" s="2">
        <f>IFERROR(__xludf.DUMMYFUNCTION("""COMPUTED_VALUE"""),25.25)</f>
        <v>25.25</v>
      </c>
      <c r="E1115" s="2">
        <f>IFERROR(__xludf.DUMMYFUNCTION("""COMPUTED_VALUE"""),25.46)</f>
        <v>25.46</v>
      </c>
      <c r="F1115" s="2">
        <f>IFERROR(__xludf.DUMMYFUNCTION("""COMPUTED_VALUE"""),752100.0)</f>
        <v>752100</v>
      </c>
    </row>
    <row r="1116">
      <c r="A1116" s="3">
        <f>IFERROR(__xludf.DUMMYFUNCTION("""COMPUTED_VALUE"""),30832.666666666668)</f>
        <v>30832.66667</v>
      </c>
      <c r="B1116" s="2">
        <f>IFERROR(__xludf.DUMMYFUNCTION("""COMPUTED_VALUE"""),25.61)</f>
        <v>25.61</v>
      </c>
      <c r="C1116" s="2">
        <f>IFERROR(__xludf.DUMMYFUNCTION("""COMPUTED_VALUE"""),25.91)</f>
        <v>25.91</v>
      </c>
      <c r="D1116" s="2">
        <f>IFERROR(__xludf.DUMMYFUNCTION("""COMPUTED_VALUE"""),25.22)</f>
        <v>25.22</v>
      </c>
      <c r="E1116" s="2">
        <f>IFERROR(__xludf.DUMMYFUNCTION("""COMPUTED_VALUE"""),25.61)</f>
        <v>25.61</v>
      </c>
      <c r="F1116" s="2">
        <f>IFERROR(__xludf.DUMMYFUNCTION("""COMPUTED_VALUE"""),1180300.0)</f>
        <v>1180300</v>
      </c>
    </row>
    <row r="1117">
      <c r="A1117" s="3">
        <f>IFERROR(__xludf.DUMMYFUNCTION("""COMPUTED_VALUE"""),30833.666666666668)</f>
        <v>30833.66667</v>
      </c>
      <c r="B1117" s="2">
        <f>IFERROR(__xludf.DUMMYFUNCTION("""COMPUTED_VALUE"""),25.73)</f>
        <v>25.73</v>
      </c>
      <c r="C1117" s="2">
        <f>IFERROR(__xludf.DUMMYFUNCTION("""COMPUTED_VALUE"""),25.97)</f>
        <v>25.97</v>
      </c>
      <c r="D1117" s="2">
        <f>IFERROR(__xludf.DUMMYFUNCTION("""COMPUTED_VALUE"""),25.67)</f>
        <v>25.67</v>
      </c>
      <c r="E1117" s="2">
        <f>IFERROR(__xludf.DUMMYFUNCTION("""COMPUTED_VALUE"""),25.73)</f>
        <v>25.73</v>
      </c>
      <c r="F1117" s="2">
        <f>IFERROR(__xludf.DUMMYFUNCTION("""COMPUTED_VALUE"""),1171800.0)</f>
        <v>1171800</v>
      </c>
    </row>
    <row r="1118">
      <c r="A1118" s="3">
        <f>IFERROR(__xludf.DUMMYFUNCTION("""COMPUTED_VALUE"""),30834.666666666668)</f>
        <v>30834.66667</v>
      </c>
      <c r="B1118" s="2">
        <f>IFERROR(__xludf.DUMMYFUNCTION("""COMPUTED_VALUE"""),25.76)</f>
        <v>25.76</v>
      </c>
      <c r="C1118" s="2">
        <f>IFERROR(__xludf.DUMMYFUNCTION("""COMPUTED_VALUE"""),25.94)</f>
        <v>25.94</v>
      </c>
      <c r="D1118" s="2">
        <f>IFERROR(__xludf.DUMMYFUNCTION("""COMPUTED_VALUE"""),25.61)</f>
        <v>25.61</v>
      </c>
      <c r="E1118" s="2">
        <f>IFERROR(__xludf.DUMMYFUNCTION("""COMPUTED_VALUE"""),25.76)</f>
        <v>25.76</v>
      </c>
      <c r="F1118" s="2">
        <f>IFERROR(__xludf.DUMMYFUNCTION("""COMPUTED_VALUE"""),1211200.0)</f>
        <v>1211200</v>
      </c>
    </row>
    <row r="1119">
      <c r="A1119" s="3">
        <f>IFERROR(__xludf.DUMMYFUNCTION("""COMPUTED_VALUE"""),30837.666666666668)</f>
        <v>30837.66667</v>
      </c>
      <c r="B1119" s="2">
        <f>IFERROR(__xludf.DUMMYFUNCTION("""COMPUTED_VALUE"""),25.85)</f>
        <v>25.85</v>
      </c>
      <c r="C1119" s="2">
        <f>IFERROR(__xludf.DUMMYFUNCTION("""COMPUTED_VALUE"""),26.09)</f>
        <v>26.09</v>
      </c>
      <c r="D1119" s="2">
        <f>IFERROR(__xludf.DUMMYFUNCTION("""COMPUTED_VALUE"""),25.79)</f>
        <v>25.79</v>
      </c>
      <c r="E1119" s="2">
        <f>IFERROR(__xludf.DUMMYFUNCTION("""COMPUTED_VALUE"""),25.85)</f>
        <v>25.85</v>
      </c>
      <c r="F1119" s="2">
        <f>IFERROR(__xludf.DUMMYFUNCTION("""COMPUTED_VALUE"""),1164000.0)</f>
        <v>1164000</v>
      </c>
    </row>
    <row r="1120">
      <c r="A1120" s="3">
        <f>IFERROR(__xludf.DUMMYFUNCTION("""COMPUTED_VALUE"""),30838.666666666668)</f>
        <v>30838.66667</v>
      </c>
      <c r="B1120" s="2">
        <f>IFERROR(__xludf.DUMMYFUNCTION("""COMPUTED_VALUE"""),25.16)</f>
        <v>25.16</v>
      </c>
      <c r="C1120" s="2">
        <f>IFERROR(__xludf.DUMMYFUNCTION("""COMPUTED_VALUE"""),25.7)</f>
        <v>25.7</v>
      </c>
      <c r="D1120" s="2">
        <f>IFERROR(__xludf.DUMMYFUNCTION("""COMPUTED_VALUE"""),25.07)</f>
        <v>25.07</v>
      </c>
      <c r="E1120" s="2">
        <f>IFERROR(__xludf.DUMMYFUNCTION("""COMPUTED_VALUE"""),25.16)</f>
        <v>25.16</v>
      </c>
      <c r="F1120" s="2">
        <f>IFERROR(__xludf.DUMMYFUNCTION("""COMPUTED_VALUE"""),1969000.0)</f>
        <v>1969000</v>
      </c>
    </row>
    <row r="1121">
      <c r="A1121" s="3">
        <f>IFERROR(__xludf.DUMMYFUNCTION("""COMPUTED_VALUE"""),30839.666666666668)</f>
        <v>30839.66667</v>
      </c>
      <c r="B1121" s="2">
        <f>IFERROR(__xludf.DUMMYFUNCTION("""COMPUTED_VALUE"""),25.25)</f>
        <v>25.25</v>
      </c>
      <c r="C1121" s="2">
        <f>IFERROR(__xludf.DUMMYFUNCTION("""COMPUTED_VALUE"""),25.31)</f>
        <v>25.31</v>
      </c>
      <c r="D1121" s="2">
        <f>IFERROR(__xludf.DUMMYFUNCTION("""COMPUTED_VALUE"""),24.69)</f>
        <v>24.69</v>
      </c>
      <c r="E1121" s="2">
        <f>IFERROR(__xludf.DUMMYFUNCTION("""COMPUTED_VALUE"""),25.25)</f>
        <v>25.25</v>
      </c>
      <c r="F1121" s="2">
        <f>IFERROR(__xludf.DUMMYFUNCTION("""COMPUTED_VALUE"""),2713700.0)</f>
        <v>2713700</v>
      </c>
    </row>
    <row r="1122">
      <c r="A1122" s="3">
        <f>IFERROR(__xludf.DUMMYFUNCTION("""COMPUTED_VALUE"""),30840.666666666668)</f>
        <v>30840.66667</v>
      </c>
      <c r="B1122" s="2">
        <f>IFERROR(__xludf.DUMMYFUNCTION("""COMPUTED_VALUE"""),25.22)</f>
        <v>25.22</v>
      </c>
      <c r="C1122" s="2">
        <f>IFERROR(__xludf.DUMMYFUNCTION("""COMPUTED_VALUE"""),25.37)</f>
        <v>25.37</v>
      </c>
      <c r="D1122" s="2">
        <f>IFERROR(__xludf.DUMMYFUNCTION("""COMPUTED_VALUE"""),25.01)</f>
        <v>25.01</v>
      </c>
      <c r="E1122" s="2">
        <f>IFERROR(__xludf.DUMMYFUNCTION("""COMPUTED_VALUE"""),25.22)</f>
        <v>25.22</v>
      </c>
      <c r="F1122" s="2">
        <f>IFERROR(__xludf.DUMMYFUNCTION("""COMPUTED_VALUE"""),1261800.0)</f>
        <v>1261800</v>
      </c>
    </row>
    <row r="1123">
      <c r="A1123" s="3">
        <f>IFERROR(__xludf.DUMMYFUNCTION("""COMPUTED_VALUE"""),30841.666666666668)</f>
        <v>30841.66667</v>
      </c>
      <c r="B1123" s="2">
        <f>IFERROR(__xludf.DUMMYFUNCTION("""COMPUTED_VALUE"""),25.25)</f>
        <v>25.25</v>
      </c>
      <c r="C1123" s="2">
        <f>IFERROR(__xludf.DUMMYFUNCTION("""COMPUTED_VALUE"""),25.31)</f>
        <v>25.31</v>
      </c>
      <c r="D1123" s="2">
        <f>IFERROR(__xludf.DUMMYFUNCTION("""COMPUTED_VALUE"""),24.98)</f>
        <v>24.98</v>
      </c>
      <c r="E1123" s="2">
        <f>IFERROR(__xludf.DUMMYFUNCTION("""COMPUTED_VALUE"""),25.25)</f>
        <v>25.25</v>
      </c>
      <c r="F1123" s="2">
        <f>IFERROR(__xludf.DUMMYFUNCTION("""COMPUTED_VALUE"""),1106600.0)</f>
        <v>1106600</v>
      </c>
    </row>
    <row r="1124">
      <c r="A1124" s="3">
        <f>IFERROR(__xludf.DUMMYFUNCTION("""COMPUTED_VALUE"""),30844.666666666668)</f>
        <v>30844.66667</v>
      </c>
      <c r="B1124" s="2">
        <f>IFERROR(__xludf.DUMMYFUNCTION("""COMPUTED_VALUE"""),24.89)</f>
        <v>24.89</v>
      </c>
      <c r="C1124" s="2">
        <f>IFERROR(__xludf.DUMMYFUNCTION("""COMPUTED_VALUE"""),25.19)</f>
        <v>25.19</v>
      </c>
      <c r="D1124" s="2">
        <f>IFERROR(__xludf.DUMMYFUNCTION("""COMPUTED_VALUE"""),24.86)</f>
        <v>24.86</v>
      </c>
      <c r="E1124" s="2">
        <f>IFERROR(__xludf.DUMMYFUNCTION("""COMPUTED_VALUE"""),24.89)</f>
        <v>24.89</v>
      </c>
      <c r="F1124" s="2">
        <f>IFERROR(__xludf.DUMMYFUNCTION("""COMPUTED_VALUE"""),917000.0)</f>
        <v>917000</v>
      </c>
    </row>
    <row r="1125">
      <c r="A1125" s="3">
        <f>IFERROR(__xludf.DUMMYFUNCTION("""COMPUTED_VALUE"""),30845.666666666668)</f>
        <v>30845.66667</v>
      </c>
      <c r="B1125" s="2">
        <f>IFERROR(__xludf.DUMMYFUNCTION("""COMPUTED_VALUE"""),24.95)</f>
        <v>24.95</v>
      </c>
      <c r="C1125" s="2">
        <f>IFERROR(__xludf.DUMMYFUNCTION("""COMPUTED_VALUE"""),25.04)</f>
        <v>25.04</v>
      </c>
      <c r="D1125" s="2">
        <f>IFERROR(__xludf.DUMMYFUNCTION("""COMPUTED_VALUE"""),24.77)</f>
        <v>24.77</v>
      </c>
      <c r="E1125" s="2">
        <f>IFERROR(__xludf.DUMMYFUNCTION("""COMPUTED_VALUE"""),24.95)</f>
        <v>24.95</v>
      </c>
      <c r="F1125" s="2">
        <f>IFERROR(__xludf.DUMMYFUNCTION("""COMPUTED_VALUE"""),1273800.0)</f>
        <v>1273800</v>
      </c>
    </row>
    <row r="1126">
      <c r="A1126" s="3">
        <f>IFERROR(__xludf.DUMMYFUNCTION("""COMPUTED_VALUE"""),30846.666666666668)</f>
        <v>30846.66667</v>
      </c>
      <c r="B1126" s="2">
        <f>IFERROR(__xludf.DUMMYFUNCTION("""COMPUTED_VALUE"""),24.92)</f>
        <v>24.92</v>
      </c>
      <c r="C1126" s="2">
        <f>IFERROR(__xludf.DUMMYFUNCTION("""COMPUTED_VALUE"""),25.19)</f>
        <v>25.19</v>
      </c>
      <c r="D1126" s="2">
        <f>IFERROR(__xludf.DUMMYFUNCTION("""COMPUTED_VALUE"""),24.89)</f>
        <v>24.89</v>
      </c>
      <c r="E1126" s="2">
        <f>IFERROR(__xludf.DUMMYFUNCTION("""COMPUTED_VALUE"""),24.92)</f>
        <v>24.92</v>
      </c>
      <c r="F1126" s="2">
        <f>IFERROR(__xludf.DUMMYFUNCTION("""COMPUTED_VALUE"""),841800.0)</f>
        <v>841800</v>
      </c>
    </row>
    <row r="1127">
      <c r="A1127" s="3">
        <f>IFERROR(__xludf.DUMMYFUNCTION("""COMPUTED_VALUE"""),30847.666666666668)</f>
        <v>30847.66667</v>
      </c>
      <c r="B1127" s="2">
        <f>IFERROR(__xludf.DUMMYFUNCTION("""COMPUTED_VALUE"""),24.06)</f>
        <v>24.06</v>
      </c>
      <c r="C1127" s="2">
        <f>IFERROR(__xludf.DUMMYFUNCTION("""COMPUTED_VALUE"""),24.86)</f>
        <v>24.86</v>
      </c>
      <c r="D1127" s="2">
        <f>IFERROR(__xludf.DUMMYFUNCTION("""COMPUTED_VALUE"""),24.0)</f>
        <v>24</v>
      </c>
      <c r="E1127" s="2">
        <f>IFERROR(__xludf.DUMMYFUNCTION("""COMPUTED_VALUE"""),24.06)</f>
        <v>24.06</v>
      </c>
      <c r="F1127" s="2">
        <f>IFERROR(__xludf.DUMMYFUNCTION("""COMPUTED_VALUE"""),1996300.0)</f>
        <v>1996300</v>
      </c>
    </row>
    <row r="1128">
      <c r="A1128" s="3">
        <f>IFERROR(__xludf.DUMMYFUNCTION("""COMPUTED_VALUE"""),30848.666666666668)</f>
        <v>30848.66667</v>
      </c>
      <c r="B1128" s="2">
        <f>IFERROR(__xludf.DUMMYFUNCTION("""COMPUTED_VALUE"""),23.76)</f>
        <v>23.76</v>
      </c>
      <c r="C1128" s="2">
        <f>IFERROR(__xludf.DUMMYFUNCTION("""COMPUTED_VALUE"""),24.15)</f>
        <v>24.15</v>
      </c>
      <c r="D1128" s="2">
        <f>IFERROR(__xludf.DUMMYFUNCTION("""COMPUTED_VALUE"""),23.67)</f>
        <v>23.67</v>
      </c>
      <c r="E1128" s="2">
        <f>IFERROR(__xludf.DUMMYFUNCTION("""COMPUTED_VALUE"""),23.76)</f>
        <v>23.76</v>
      </c>
      <c r="F1128" s="2">
        <f>IFERROR(__xludf.DUMMYFUNCTION("""COMPUTED_VALUE"""),2507000.0)</f>
        <v>2507000</v>
      </c>
    </row>
    <row r="1129">
      <c r="A1129" s="3">
        <f>IFERROR(__xludf.DUMMYFUNCTION("""COMPUTED_VALUE"""),30851.666666666668)</f>
        <v>30851.66667</v>
      </c>
      <c r="B1129" s="2">
        <f>IFERROR(__xludf.DUMMYFUNCTION("""COMPUTED_VALUE"""),24.3)</f>
        <v>24.3</v>
      </c>
      <c r="C1129" s="2">
        <f>IFERROR(__xludf.DUMMYFUNCTION("""COMPUTED_VALUE"""),24.33)</f>
        <v>24.33</v>
      </c>
      <c r="D1129" s="2">
        <f>IFERROR(__xludf.DUMMYFUNCTION("""COMPUTED_VALUE"""),23.64)</f>
        <v>23.64</v>
      </c>
      <c r="E1129" s="2">
        <f>IFERROR(__xludf.DUMMYFUNCTION("""COMPUTED_VALUE"""),24.3)</f>
        <v>24.3</v>
      </c>
      <c r="F1129" s="2">
        <f>IFERROR(__xludf.DUMMYFUNCTION("""COMPUTED_VALUE"""),1419600.0)</f>
        <v>1419600</v>
      </c>
    </row>
    <row r="1130">
      <c r="A1130" s="3">
        <f>IFERROR(__xludf.DUMMYFUNCTION("""COMPUTED_VALUE"""),30852.666666666668)</f>
        <v>30852.66667</v>
      </c>
      <c r="B1130" s="2">
        <f>IFERROR(__xludf.DUMMYFUNCTION("""COMPUTED_VALUE"""),24.54)</f>
        <v>24.54</v>
      </c>
      <c r="C1130" s="2">
        <f>IFERROR(__xludf.DUMMYFUNCTION("""COMPUTED_VALUE"""),24.77)</f>
        <v>24.77</v>
      </c>
      <c r="D1130" s="2">
        <f>IFERROR(__xludf.DUMMYFUNCTION("""COMPUTED_VALUE"""),24.33)</f>
        <v>24.33</v>
      </c>
      <c r="E1130" s="2">
        <f>IFERROR(__xludf.DUMMYFUNCTION("""COMPUTED_VALUE"""),24.54)</f>
        <v>24.54</v>
      </c>
      <c r="F1130" s="2">
        <f>IFERROR(__xludf.DUMMYFUNCTION("""COMPUTED_VALUE"""),1512000.0)</f>
        <v>1512000</v>
      </c>
    </row>
    <row r="1131">
      <c r="A1131" s="3">
        <f>IFERROR(__xludf.DUMMYFUNCTION("""COMPUTED_VALUE"""),30853.666666666668)</f>
        <v>30853.66667</v>
      </c>
      <c r="B1131" s="2">
        <f>IFERROR(__xludf.DUMMYFUNCTION("""COMPUTED_VALUE"""),25.82)</f>
        <v>25.82</v>
      </c>
      <c r="C1131" s="2">
        <f>IFERROR(__xludf.DUMMYFUNCTION("""COMPUTED_VALUE"""),25.91)</f>
        <v>25.91</v>
      </c>
      <c r="D1131" s="2">
        <f>IFERROR(__xludf.DUMMYFUNCTION("""COMPUTED_VALUE"""),24.27)</f>
        <v>24.27</v>
      </c>
      <c r="E1131" s="2">
        <f>IFERROR(__xludf.DUMMYFUNCTION("""COMPUTED_VALUE"""),25.82)</f>
        <v>25.82</v>
      </c>
      <c r="F1131" s="2">
        <f>IFERROR(__xludf.DUMMYFUNCTION("""COMPUTED_VALUE"""),1763600.0)</f>
        <v>1763600</v>
      </c>
    </row>
    <row r="1132">
      <c r="A1132" s="3">
        <f>IFERROR(__xludf.DUMMYFUNCTION("""COMPUTED_VALUE"""),30854.666666666668)</f>
        <v>30854.66667</v>
      </c>
      <c r="B1132" s="2">
        <f>IFERROR(__xludf.DUMMYFUNCTION("""COMPUTED_VALUE"""),25.28)</f>
        <v>25.28</v>
      </c>
      <c r="C1132" s="2">
        <f>IFERROR(__xludf.DUMMYFUNCTION("""COMPUTED_VALUE"""),25.79)</f>
        <v>25.79</v>
      </c>
      <c r="D1132" s="2">
        <f>IFERROR(__xludf.DUMMYFUNCTION("""COMPUTED_VALUE"""),25.16)</f>
        <v>25.16</v>
      </c>
      <c r="E1132" s="2">
        <f>IFERROR(__xludf.DUMMYFUNCTION("""COMPUTED_VALUE"""),25.28)</f>
        <v>25.28</v>
      </c>
      <c r="F1132" s="2">
        <f>IFERROR(__xludf.DUMMYFUNCTION("""COMPUTED_VALUE"""),1884700.0)</f>
        <v>1884700</v>
      </c>
    </row>
    <row r="1133">
      <c r="A1133" s="3">
        <f>IFERROR(__xludf.DUMMYFUNCTION("""COMPUTED_VALUE"""),30855.666666666668)</f>
        <v>30855.66667</v>
      </c>
      <c r="B1133" s="2">
        <f>IFERROR(__xludf.DUMMYFUNCTION("""COMPUTED_VALUE"""),25.13)</f>
        <v>25.13</v>
      </c>
      <c r="C1133" s="2">
        <f>IFERROR(__xludf.DUMMYFUNCTION("""COMPUTED_VALUE"""),25.43)</f>
        <v>25.43</v>
      </c>
      <c r="D1133" s="2">
        <f>IFERROR(__xludf.DUMMYFUNCTION("""COMPUTED_VALUE"""),25.1)</f>
        <v>25.1</v>
      </c>
      <c r="E1133" s="2">
        <f>IFERROR(__xludf.DUMMYFUNCTION("""COMPUTED_VALUE"""),25.13)</f>
        <v>25.13</v>
      </c>
      <c r="F1133" s="2">
        <f>IFERROR(__xludf.DUMMYFUNCTION("""COMPUTED_VALUE"""),908700.0)</f>
        <v>908700</v>
      </c>
    </row>
    <row r="1134">
      <c r="A1134" s="3">
        <f>IFERROR(__xludf.DUMMYFUNCTION("""COMPUTED_VALUE"""),30858.666666666668)</f>
        <v>30858.66667</v>
      </c>
      <c r="B1134" s="2">
        <f>IFERROR(__xludf.DUMMYFUNCTION("""COMPUTED_VALUE"""),25.19)</f>
        <v>25.19</v>
      </c>
      <c r="C1134" s="2">
        <f>IFERROR(__xludf.DUMMYFUNCTION("""COMPUTED_VALUE"""),25.37)</f>
        <v>25.37</v>
      </c>
      <c r="D1134" s="2">
        <f>IFERROR(__xludf.DUMMYFUNCTION("""COMPUTED_VALUE"""),25.16)</f>
        <v>25.16</v>
      </c>
      <c r="E1134" s="2">
        <f>IFERROR(__xludf.DUMMYFUNCTION("""COMPUTED_VALUE"""),25.19)</f>
        <v>25.19</v>
      </c>
      <c r="F1134" s="2">
        <f>IFERROR(__xludf.DUMMYFUNCTION("""COMPUTED_VALUE"""),749600.0)</f>
        <v>749600</v>
      </c>
    </row>
    <row r="1135">
      <c r="A1135" s="3">
        <f>IFERROR(__xludf.DUMMYFUNCTION("""COMPUTED_VALUE"""),30859.666666666668)</f>
        <v>30859.66667</v>
      </c>
      <c r="B1135" s="2">
        <f>IFERROR(__xludf.DUMMYFUNCTION("""COMPUTED_VALUE"""),24.86)</f>
        <v>24.86</v>
      </c>
      <c r="C1135" s="2">
        <f>IFERROR(__xludf.DUMMYFUNCTION("""COMPUTED_VALUE"""),25.19)</f>
        <v>25.19</v>
      </c>
      <c r="D1135" s="2">
        <f>IFERROR(__xludf.DUMMYFUNCTION("""COMPUTED_VALUE"""),24.63)</f>
        <v>24.63</v>
      </c>
      <c r="E1135" s="2">
        <f>IFERROR(__xludf.DUMMYFUNCTION("""COMPUTED_VALUE"""),24.86)</f>
        <v>24.86</v>
      </c>
      <c r="F1135" s="2">
        <f>IFERROR(__xludf.DUMMYFUNCTION("""COMPUTED_VALUE"""),949400.0)</f>
        <v>949400</v>
      </c>
    </row>
    <row r="1136">
      <c r="A1136" s="3">
        <f>IFERROR(__xludf.DUMMYFUNCTION("""COMPUTED_VALUE"""),30860.666666666668)</f>
        <v>30860.66667</v>
      </c>
      <c r="B1136" s="2">
        <f>IFERROR(__xludf.DUMMYFUNCTION("""COMPUTED_VALUE"""),24.63)</f>
        <v>24.63</v>
      </c>
      <c r="C1136" s="2">
        <f>IFERROR(__xludf.DUMMYFUNCTION("""COMPUTED_VALUE"""),24.95)</f>
        <v>24.95</v>
      </c>
      <c r="D1136" s="2">
        <f>IFERROR(__xludf.DUMMYFUNCTION("""COMPUTED_VALUE"""),24.54)</f>
        <v>24.54</v>
      </c>
      <c r="E1136" s="2">
        <f>IFERROR(__xludf.DUMMYFUNCTION("""COMPUTED_VALUE"""),24.63)</f>
        <v>24.63</v>
      </c>
      <c r="F1136" s="2">
        <f>IFERROR(__xludf.DUMMYFUNCTION("""COMPUTED_VALUE"""),1113400.0)</f>
        <v>1113400</v>
      </c>
    </row>
    <row r="1137">
      <c r="A1137" s="3">
        <f>IFERROR(__xludf.DUMMYFUNCTION("""COMPUTED_VALUE"""),30861.666666666668)</f>
        <v>30861.66667</v>
      </c>
      <c r="B1137" s="2">
        <f>IFERROR(__xludf.DUMMYFUNCTION("""COMPUTED_VALUE"""),25.13)</f>
        <v>25.13</v>
      </c>
      <c r="C1137" s="2">
        <f>IFERROR(__xludf.DUMMYFUNCTION("""COMPUTED_VALUE"""),25.22)</f>
        <v>25.22</v>
      </c>
      <c r="D1137" s="2">
        <f>IFERROR(__xludf.DUMMYFUNCTION("""COMPUTED_VALUE"""),24.6)</f>
        <v>24.6</v>
      </c>
      <c r="E1137" s="2">
        <f>IFERROR(__xludf.DUMMYFUNCTION("""COMPUTED_VALUE"""),25.13)</f>
        <v>25.13</v>
      </c>
      <c r="F1137" s="2">
        <f>IFERROR(__xludf.DUMMYFUNCTION("""COMPUTED_VALUE"""),728000.0)</f>
        <v>728000</v>
      </c>
    </row>
    <row r="1138">
      <c r="A1138" s="3">
        <f>IFERROR(__xludf.DUMMYFUNCTION("""COMPUTED_VALUE"""),30862.666666666668)</f>
        <v>30862.66667</v>
      </c>
      <c r="B1138" s="2">
        <f>IFERROR(__xludf.DUMMYFUNCTION("""COMPUTED_VALUE"""),25.25)</f>
        <v>25.25</v>
      </c>
      <c r="C1138" s="2">
        <f>IFERROR(__xludf.DUMMYFUNCTION("""COMPUTED_VALUE"""),25.43)</f>
        <v>25.43</v>
      </c>
      <c r="D1138" s="2">
        <f>IFERROR(__xludf.DUMMYFUNCTION("""COMPUTED_VALUE"""),25.1)</f>
        <v>25.1</v>
      </c>
      <c r="E1138" s="2">
        <f>IFERROR(__xludf.DUMMYFUNCTION("""COMPUTED_VALUE"""),25.25)</f>
        <v>25.25</v>
      </c>
      <c r="F1138" s="2">
        <f>IFERROR(__xludf.DUMMYFUNCTION("""COMPUTED_VALUE"""),1137100.0)</f>
        <v>1137100</v>
      </c>
    </row>
    <row r="1139">
      <c r="A1139" s="3">
        <f>IFERROR(__xludf.DUMMYFUNCTION("""COMPUTED_VALUE"""),30865.666666666668)</f>
        <v>30865.66667</v>
      </c>
      <c r="B1139" s="2">
        <f>IFERROR(__xludf.DUMMYFUNCTION("""COMPUTED_VALUE"""),25.28)</f>
        <v>25.28</v>
      </c>
      <c r="C1139" s="2">
        <f>IFERROR(__xludf.DUMMYFUNCTION("""COMPUTED_VALUE"""),25.28)</f>
        <v>25.28</v>
      </c>
      <c r="D1139" s="2">
        <f>IFERROR(__xludf.DUMMYFUNCTION("""COMPUTED_VALUE"""),25.01)</f>
        <v>25.01</v>
      </c>
      <c r="E1139" s="2">
        <f>IFERROR(__xludf.DUMMYFUNCTION("""COMPUTED_VALUE"""),25.28)</f>
        <v>25.28</v>
      </c>
      <c r="F1139" s="2">
        <f>IFERROR(__xludf.DUMMYFUNCTION("""COMPUTED_VALUE"""),604500.0)</f>
        <v>604500</v>
      </c>
    </row>
    <row r="1140">
      <c r="A1140" s="3">
        <f>IFERROR(__xludf.DUMMYFUNCTION("""COMPUTED_VALUE"""),30866.666666666668)</f>
        <v>30866.66667</v>
      </c>
      <c r="B1140" s="2">
        <f>IFERROR(__xludf.DUMMYFUNCTION("""COMPUTED_VALUE"""),25.58)</f>
        <v>25.58</v>
      </c>
      <c r="C1140" s="2">
        <f>IFERROR(__xludf.DUMMYFUNCTION("""COMPUTED_VALUE"""),25.64)</f>
        <v>25.64</v>
      </c>
      <c r="D1140" s="2">
        <f>IFERROR(__xludf.DUMMYFUNCTION("""COMPUTED_VALUE"""),25.34)</f>
        <v>25.34</v>
      </c>
      <c r="E1140" s="2">
        <f>IFERROR(__xludf.DUMMYFUNCTION("""COMPUTED_VALUE"""),25.58)</f>
        <v>25.58</v>
      </c>
      <c r="F1140" s="2">
        <f>IFERROR(__xludf.DUMMYFUNCTION("""COMPUTED_VALUE"""),549200.0)</f>
        <v>549200</v>
      </c>
    </row>
    <row r="1141">
      <c r="A1141" s="3">
        <f>IFERROR(__xludf.DUMMYFUNCTION("""COMPUTED_VALUE"""),30868.666666666668)</f>
        <v>30868.66667</v>
      </c>
      <c r="B1141" s="2">
        <f>IFERROR(__xludf.DUMMYFUNCTION("""COMPUTED_VALUE"""),25.4)</f>
        <v>25.4</v>
      </c>
      <c r="C1141" s="2">
        <f>IFERROR(__xludf.DUMMYFUNCTION("""COMPUTED_VALUE"""),25.67)</f>
        <v>25.67</v>
      </c>
      <c r="D1141" s="2">
        <f>IFERROR(__xludf.DUMMYFUNCTION("""COMPUTED_VALUE"""),25.37)</f>
        <v>25.37</v>
      </c>
      <c r="E1141" s="2">
        <f>IFERROR(__xludf.DUMMYFUNCTION("""COMPUTED_VALUE"""),25.4)</f>
        <v>25.4</v>
      </c>
      <c r="F1141" s="2">
        <f>IFERROR(__xludf.DUMMYFUNCTION("""COMPUTED_VALUE"""),525400.0)</f>
        <v>525400</v>
      </c>
    </row>
    <row r="1142">
      <c r="A1142" s="3">
        <f>IFERROR(__xludf.DUMMYFUNCTION("""COMPUTED_VALUE"""),30869.666666666668)</f>
        <v>30869.66667</v>
      </c>
      <c r="B1142" s="2">
        <f>IFERROR(__xludf.DUMMYFUNCTION("""COMPUTED_VALUE"""),25.25)</f>
        <v>25.25</v>
      </c>
      <c r="C1142" s="2">
        <f>IFERROR(__xludf.DUMMYFUNCTION("""COMPUTED_VALUE"""),25.31)</f>
        <v>25.31</v>
      </c>
      <c r="D1142" s="2">
        <f>IFERROR(__xludf.DUMMYFUNCTION("""COMPUTED_VALUE"""),24.98)</f>
        <v>24.98</v>
      </c>
      <c r="E1142" s="2">
        <f>IFERROR(__xludf.DUMMYFUNCTION("""COMPUTED_VALUE"""),25.25)</f>
        <v>25.25</v>
      </c>
      <c r="F1142" s="2">
        <f>IFERROR(__xludf.DUMMYFUNCTION("""COMPUTED_VALUE"""),521400.0)</f>
        <v>521400</v>
      </c>
    </row>
    <row r="1143">
      <c r="A1143" s="3">
        <f>IFERROR(__xludf.DUMMYFUNCTION("""COMPUTED_VALUE"""),30872.666666666668)</f>
        <v>30872.66667</v>
      </c>
      <c r="B1143" s="2">
        <f>IFERROR(__xludf.DUMMYFUNCTION("""COMPUTED_VALUE"""),25.61)</f>
        <v>25.61</v>
      </c>
      <c r="C1143" s="2">
        <f>IFERROR(__xludf.DUMMYFUNCTION("""COMPUTED_VALUE"""),25.67)</f>
        <v>25.67</v>
      </c>
      <c r="D1143" s="2">
        <f>IFERROR(__xludf.DUMMYFUNCTION("""COMPUTED_VALUE"""),25.16)</f>
        <v>25.16</v>
      </c>
      <c r="E1143" s="2">
        <f>IFERROR(__xludf.DUMMYFUNCTION("""COMPUTED_VALUE"""),25.61)</f>
        <v>25.61</v>
      </c>
      <c r="F1143" s="2">
        <f>IFERROR(__xludf.DUMMYFUNCTION("""COMPUTED_VALUE"""),704700.0)</f>
        <v>704700</v>
      </c>
    </row>
    <row r="1144">
      <c r="A1144" s="3">
        <f>IFERROR(__xludf.DUMMYFUNCTION("""COMPUTED_VALUE"""),30873.666666666668)</f>
        <v>30873.66667</v>
      </c>
      <c r="B1144" s="2">
        <f>IFERROR(__xludf.DUMMYFUNCTION("""COMPUTED_VALUE"""),25.58)</f>
        <v>25.58</v>
      </c>
      <c r="C1144" s="2">
        <f>IFERROR(__xludf.DUMMYFUNCTION("""COMPUTED_VALUE"""),25.64)</f>
        <v>25.64</v>
      </c>
      <c r="D1144" s="2">
        <f>IFERROR(__xludf.DUMMYFUNCTION("""COMPUTED_VALUE"""),25.37)</f>
        <v>25.37</v>
      </c>
      <c r="E1144" s="2">
        <f>IFERROR(__xludf.DUMMYFUNCTION("""COMPUTED_VALUE"""),25.58)</f>
        <v>25.58</v>
      </c>
      <c r="F1144" s="2">
        <f>IFERROR(__xludf.DUMMYFUNCTION("""COMPUTED_VALUE"""),802400.0)</f>
        <v>802400</v>
      </c>
    </row>
    <row r="1145">
      <c r="A1145" s="3">
        <f>IFERROR(__xludf.DUMMYFUNCTION("""COMPUTED_VALUE"""),30874.666666666668)</f>
        <v>30874.66667</v>
      </c>
      <c r="B1145" s="2">
        <f>IFERROR(__xludf.DUMMYFUNCTION("""COMPUTED_VALUE"""),25.13)</f>
        <v>25.13</v>
      </c>
      <c r="C1145" s="2">
        <f>IFERROR(__xludf.DUMMYFUNCTION("""COMPUTED_VALUE"""),25.58)</f>
        <v>25.58</v>
      </c>
      <c r="D1145" s="2">
        <f>IFERROR(__xludf.DUMMYFUNCTION("""COMPUTED_VALUE"""),25.13)</f>
        <v>25.13</v>
      </c>
      <c r="E1145" s="2">
        <f>IFERROR(__xludf.DUMMYFUNCTION("""COMPUTED_VALUE"""),25.13)</f>
        <v>25.13</v>
      </c>
      <c r="F1145" s="2">
        <f>IFERROR(__xludf.DUMMYFUNCTION("""COMPUTED_VALUE"""),897500.0)</f>
        <v>897500</v>
      </c>
    </row>
    <row r="1146">
      <c r="A1146" s="3">
        <f>IFERROR(__xludf.DUMMYFUNCTION("""COMPUTED_VALUE"""),30875.666666666668)</f>
        <v>30875.66667</v>
      </c>
      <c r="B1146" s="2">
        <f>IFERROR(__xludf.DUMMYFUNCTION("""COMPUTED_VALUE"""),24.92)</f>
        <v>24.92</v>
      </c>
      <c r="C1146" s="2">
        <f>IFERROR(__xludf.DUMMYFUNCTION("""COMPUTED_VALUE"""),25.22)</f>
        <v>25.22</v>
      </c>
      <c r="D1146" s="2">
        <f>IFERROR(__xludf.DUMMYFUNCTION("""COMPUTED_VALUE"""),24.86)</f>
        <v>24.86</v>
      </c>
      <c r="E1146" s="2">
        <f>IFERROR(__xludf.DUMMYFUNCTION("""COMPUTED_VALUE"""),24.92)</f>
        <v>24.92</v>
      </c>
      <c r="F1146" s="2">
        <f>IFERROR(__xludf.DUMMYFUNCTION("""COMPUTED_VALUE"""),1076900.0)</f>
        <v>1076900</v>
      </c>
    </row>
    <row r="1147">
      <c r="A1147" s="3">
        <f>IFERROR(__xludf.DUMMYFUNCTION("""COMPUTED_VALUE"""),30876.666666666668)</f>
        <v>30876.66667</v>
      </c>
      <c r="B1147" s="2">
        <f>IFERROR(__xludf.DUMMYFUNCTION("""COMPUTED_VALUE"""),25.13)</f>
        <v>25.13</v>
      </c>
      <c r="C1147" s="2">
        <f>IFERROR(__xludf.DUMMYFUNCTION("""COMPUTED_VALUE"""),25.25)</f>
        <v>25.25</v>
      </c>
      <c r="D1147" s="2">
        <f>IFERROR(__xludf.DUMMYFUNCTION("""COMPUTED_VALUE"""),24.83)</f>
        <v>24.83</v>
      </c>
      <c r="E1147" s="2">
        <f>IFERROR(__xludf.DUMMYFUNCTION("""COMPUTED_VALUE"""),25.13)</f>
        <v>25.13</v>
      </c>
      <c r="F1147" s="2">
        <f>IFERROR(__xludf.DUMMYFUNCTION("""COMPUTED_VALUE"""),856100.0)</f>
        <v>856100</v>
      </c>
    </row>
    <row r="1148">
      <c r="A1148" s="3">
        <f>IFERROR(__xludf.DUMMYFUNCTION("""COMPUTED_VALUE"""),30879.666666666668)</f>
        <v>30879.66667</v>
      </c>
      <c r="B1148" s="2">
        <f>IFERROR(__xludf.DUMMYFUNCTION("""COMPUTED_VALUE"""),25.61)</f>
        <v>25.61</v>
      </c>
      <c r="C1148" s="2">
        <f>IFERROR(__xludf.DUMMYFUNCTION("""COMPUTED_VALUE"""),25.61)</f>
        <v>25.61</v>
      </c>
      <c r="D1148" s="2">
        <f>IFERROR(__xludf.DUMMYFUNCTION("""COMPUTED_VALUE"""),24.95)</f>
        <v>24.95</v>
      </c>
      <c r="E1148" s="2">
        <f>IFERROR(__xludf.DUMMYFUNCTION("""COMPUTED_VALUE"""),25.61)</f>
        <v>25.61</v>
      </c>
      <c r="F1148" s="2">
        <f>IFERROR(__xludf.DUMMYFUNCTION("""COMPUTED_VALUE"""),925700.0)</f>
        <v>925700</v>
      </c>
    </row>
    <row r="1149">
      <c r="A1149" s="3">
        <f>IFERROR(__xludf.DUMMYFUNCTION("""COMPUTED_VALUE"""),30880.666666666668)</f>
        <v>30880.66667</v>
      </c>
      <c r="B1149" s="2">
        <f>IFERROR(__xludf.DUMMYFUNCTION("""COMPUTED_VALUE"""),25.82)</f>
        <v>25.82</v>
      </c>
      <c r="C1149" s="2">
        <f>IFERROR(__xludf.DUMMYFUNCTION("""COMPUTED_VALUE"""),25.88)</f>
        <v>25.88</v>
      </c>
      <c r="D1149" s="2">
        <f>IFERROR(__xludf.DUMMYFUNCTION("""COMPUTED_VALUE"""),25.49)</f>
        <v>25.49</v>
      </c>
      <c r="E1149" s="2">
        <f>IFERROR(__xludf.DUMMYFUNCTION("""COMPUTED_VALUE"""),25.82)</f>
        <v>25.82</v>
      </c>
      <c r="F1149" s="2">
        <f>IFERROR(__xludf.DUMMYFUNCTION("""COMPUTED_VALUE"""),1047100.0)</f>
        <v>1047100</v>
      </c>
    </row>
    <row r="1150">
      <c r="A1150" s="3">
        <f>IFERROR(__xludf.DUMMYFUNCTION("""COMPUTED_VALUE"""),30881.666666666668)</f>
        <v>30881.66667</v>
      </c>
      <c r="B1150" s="2">
        <f>IFERROR(__xludf.DUMMYFUNCTION("""COMPUTED_VALUE"""),25.67)</f>
        <v>25.67</v>
      </c>
      <c r="C1150" s="2">
        <f>IFERROR(__xludf.DUMMYFUNCTION("""COMPUTED_VALUE"""),25.82)</f>
        <v>25.82</v>
      </c>
      <c r="D1150" s="2">
        <f>IFERROR(__xludf.DUMMYFUNCTION("""COMPUTED_VALUE"""),25.58)</f>
        <v>25.58</v>
      </c>
      <c r="E1150" s="2">
        <f>IFERROR(__xludf.DUMMYFUNCTION("""COMPUTED_VALUE"""),25.67)</f>
        <v>25.67</v>
      </c>
      <c r="F1150" s="2">
        <f>IFERROR(__xludf.DUMMYFUNCTION("""COMPUTED_VALUE"""),625100.0)</f>
        <v>625100</v>
      </c>
    </row>
    <row r="1151">
      <c r="A1151" s="3">
        <f>IFERROR(__xludf.DUMMYFUNCTION("""COMPUTED_VALUE"""),30882.666666666668)</f>
        <v>30882.66667</v>
      </c>
      <c r="B1151" s="2">
        <f>IFERROR(__xludf.DUMMYFUNCTION("""COMPUTED_VALUE"""),25.55)</f>
        <v>25.55</v>
      </c>
      <c r="C1151" s="2">
        <f>IFERROR(__xludf.DUMMYFUNCTION("""COMPUTED_VALUE"""),25.64)</f>
        <v>25.64</v>
      </c>
      <c r="D1151" s="2">
        <f>IFERROR(__xludf.DUMMYFUNCTION("""COMPUTED_VALUE"""),25.37)</f>
        <v>25.37</v>
      </c>
      <c r="E1151" s="2">
        <f>IFERROR(__xludf.DUMMYFUNCTION("""COMPUTED_VALUE"""),25.55)</f>
        <v>25.55</v>
      </c>
      <c r="F1151" s="2">
        <f>IFERROR(__xludf.DUMMYFUNCTION("""COMPUTED_VALUE"""),895900.0)</f>
        <v>895900</v>
      </c>
    </row>
    <row r="1152">
      <c r="A1152" s="3">
        <f>IFERROR(__xludf.DUMMYFUNCTION("""COMPUTED_VALUE"""),30883.666666666668)</f>
        <v>30883.66667</v>
      </c>
      <c r="B1152" s="2">
        <f>IFERROR(__xludf.DUMMYFUNCTION("""COMPUTED_VALUE"""),25.43)</f>
        <v>25.43</v>
      </c>
      <c r="C1152" s="2">
        <f>IFERROR(__xludf.DUMMYFUNCTION("""COMPUTED_VALUE"""),25.61)</f>
        <v>25.61</v>
      </c>
      <c r="D1152" s="2">
        <f>IFERROR(__xludf.DUMMYFUNCTION("""COMPUTED_VALUE"""),25.19)</f>
        <v>25.19</v>
      </c>
      <c r="E1152" s="2">
        <f>IFERROR(__xludf.DUMMYFUNCTION("""COMPUTED_VALUE"""),25.43)</f>
        <v>25.43</v>
      </c>
      <c r="F1152" s="2">
        <f>IFERROR(__xludf.DUMMYFUNCTION("""COMPUTED_VALUE"""),810000.0)</f>
        <v>810000</v>
      </c>
    </row>
    <row r="1153">
      <c r="A1153" s="3">
        <f>IFERROR(__xludf.DUMMYFUNCTION("""COMPUTED_VALUE"""),30886.666666666668)</f>
        <v>30886.66667</v>
      </c>
      <c r="B1153" s="2">
        <f>IFERROR(__xludf.DUMMYFUNCTION("""COMPUTED_VALUE"""),25.34)</f>
        <v>25.34</v>
      </c>
      <c r="C1153" s="2">
        <f>IFERROR(__xludf.DUMMYFUNCTION("""COMPUTED_VALUE"""),25.4)</f>
        <v>25.4</v>
      </c>
      <c r="D1153" s="2">
        <f>IFERROR(__xludf.DUMMYFUNCTION("""COMPUTED_VALUE"""),25.1)</f>
        <v>25.1</v>
      </c>
      <c r="E1153" s="2">
        <f>IFERROR(__xludf.DUMMYFUNCTION("""COMPUTED_VALUE"""),25.34)</f>
        <v>25.34</v>
      </c>
      <c r="F1153" s="2">
        <f>IFERROR(__xludf.DUMMYFUNCTION("""COMPUTED_VALUE"""),931100.0)</f>
        <v>931100</v>
      </c>
    </row>
    <row r="1154">
      <c r="A1154" s="3">
        <f>IFERROR(__xludf.DUMMYFUNCTION("""COMPUTED_VALUE"""),30887.666666666668)</f>
        <v>30887.66667</v>
      </c>
      <c r="B1154" s="2">
        <f>IFERROR(__xludf.DUMMYFUNCTION("""COMPUTED_VALUE"""),25.16)</f>
        <v>25.16</v>
      </c>
      <c r="C1154" s="2">
        <f>IFERROR(__xludf.DUMMYFUNCTION("""COMPUTED_VALUE"""),25.55)</f>
        <v>25.55</v>
      </c>
      <c r="D1154" s="2">
        <f>IFERROR(__xludf.DUMMYFUNCTION("""COMPUTED_VALUE"""),25.1)</f>
        <v>25.1</v>
      </c>
      <c r="E1154" s="2">
        <f>IFERROR(__xludf.DUMMYFUNCTION("""COMPUTED_VALUE"""),25.16)</f>
        <v>25.16</v>
      </c>
      <c r="F1154" s="2">
        <f>IFERROR(__xludf.DUMMYFUNCTION("""COMPUTED_VALUE"""),710200.0)</f>
        <v>710200</v>
      </c>
    </row>
    <row r="1155">
      <c r="A1155" s="3">
        <f>IFERROR(__xludf.DUMMYFUNCTION("""COMPUTED_VALUE"""),30888.666666666668)</f>
        <v>30888.66667</v>
      </c>
      <c r="B1155" s="2">
        <f>IFERROR(__xludf.DUMMYFUNCTION("""COMPUTED_VALUE"""),25.58)</f>
        <v>25.58</v>
      </c>
      <c r="C1155" s="2">
        <f>IFERROR(__xludf.DUMMYFUNCTION("""COMPUTED_VALUE"""),25.73)</f>
        <v>25.73</v>
      </c>
      <c r="D1155" s="2">
        <f>IFERROR(__xludf.DUMMYFUNCTION("""COMPUTED_VALUE"""),24.95)</f>
        <v>24.95</v>
      </c>
      <c r="E1155" s="2">
        <f>IFERROR(__xludf.DUMMYFUNCTION("""COMPUTED_VALUE"""),25.58)</f>
        <v>25.58</v>
      </c>
      <c r="F1155" s="2">
        <f>IFERROR(__xludf.DUMMYFUNCTION("""COMPUTED_VALUE"""),1591800.0)</f>
        <v>1591800</v>
      </c>
    </row>
    <row r="1156">
      <c r="A1156" s="3">
        <f>IFERROR(__xludf.DUMMYFUNCTION("""COMPUTED_VALUE"""),30889.666666666668)</f>
        <v>30889.66667</v>
      </c>
      <c r="B1156" s="2">
        <f>IFERROR(__xludf.DUMMYFUNCTION("""COMPUTED_VALUE"""),25.85)</f>
        <v>25.85</v>
      </c>
      <c r="C1156" s="2">
        <f>IFERROR(__xludf.DUMMYFUNCTION("""COMPUTED_VALUE"""),25.97)</f>
        <v>25.97</v>
      </c>
      <c r="D1156" s="2">
        <f>IFERROR(__xludf.DUMMYFUNCTION("""COMPUTED_VALUE"""),25.49)</f>
        <v>25.49</v>
      </c>
      <c r="E1156" s="2">
        <f>IFERROR(__xludf.DUMMYFUNCTION("""COMPUTED_VALUE"""),25.85)</f>
        <v>25.85</v>
      </c>
      <c r="F1156" s="2">
        <f>IFERROR(__xludf.DUMMYFUNCTION("""COMPUTED_VALUE"""),1002700.0)</f>
        <v>1002700</v>
      </c>
    </row>
    <row r="1157">
      <c r="A1157" s="3">
        <f>IFERROR(__xludf.DUMMYFUNCTION("""COMPUTED_VALUE"""),30890.666666666668)</f>
        <v>30890.66667</v>
      </c>
      <c r="B1157" s="2">
        <f>IFERROR(__xludf.DUMMYFUNCTION("""COMPUTED_VALUE"""),26.03)</f>
        <v>26.03</v>
      </c>
      <c r="C1157" s="2">
        <f>IFERROR(__xludf.DUMMYFUNCTION("""COMPUTED_VALUE"""),26.18)</f>
        <v>26.18</v>
      </c>
      <c r="D1157" s="2">
        <f>IFERROR(__xludf.DUMMYFUNCTION("""COMPUTED_VALUE"""),25.76)</f>
        <v>25.76</v>
      </c>
      <c r="E1157" s="2">
        <f>IFERROR(__xludf.DUMMYFUNCTION("""COMPUTED_VALUE"""),26.03)</f>
        <v>26.03</v>
      </c>
      <c r="F1157" s="2">
        <f>IFERROR(__xludf.DUMMYFUNCTION("""COMPUTED_VALUE"""),1059300.0)</f>
        <v>1059300</v>
      </c>
    </row>
    <row r="1158">
      <c r="A1158" s="3">
        <f>IFERROR(__xludf.DUMMYFUNCTION("""COMPUTED_VALUE"""),30893.666666666668)</f>
        <v>30893.66667</v>
      </c>
      <c r="B1158" s="2">
        <f>IFERROR(__xludf.DUMMYFUNCTION("""COMPUTED_VALUE"""),25.88)</f>
        <v>25.88</v>
      </c>
      <c r="C1158" s="2">
        <f>IFERROR(__xludf.DUMMYFUNCTION("""COMPUTED_VALUE"""),26.12)</f>
        <v>26.12</v>
      </c>
      <c r="D1158" s="2">
        <f>IFERROR(__xludf.DUMMYFUNCTION("""COMPUTED_VALUE"""),25.85)</f>
        <v>25.85</v>
      </c>
      <c r="E1158" s="2">
        <f>IFERROR(__xludf.DUMMYFUNCTION("""COMPUTED_VALUE"""),25.88)</f>
        <v>25.88</v>
      </c>
      <c r="F1158" s="2">
        <f>IFERROR(__xludf.DUMMYFUNCTION("""COMPUTED_VALUE"""),610400.0)</f>
        <v>610400</v>
      </c>
    </row>
    <row r="1159">
      <c r="A1159" s="3">
        <f>IFERROR(__xludf.DUMMYFUNCTION("""COMPUTED_VALUE"""),30894.666666666668)</f>
        <v>30894.66667</v>
      </c>
      <c r="B1159" s="2">
        <f>IFERROR(__xludf.DUMMYFUNCTION("""COMPUTED_VALUE"""),26.45)</f>
        <v>26.45</v>
      </c>
      <c r="C1159" s="2">
        <f>IFERROR(__xludf.DUMMYFUNCTION("""COMPUTED_VALUE"""),26.48)</f>
        <v>26.48</v>
      </c>
      <c r="D1159" s="2">
        <f>IFERROR(__xludf.DUMMYFUNCTION("""COMPUTED_VALUE"""),26.0)</f>
        <v>26</v>
      </c>
      <c r="E1159" s="2">
        <f>IFERROR(__xludf.DUMMYFUNCTION("""COMPUTED_VALUE"""),26.45)</f>
        <v>26.45</v>
      </c>
      <c r="F1159" s="2">
        <f>IFERROR(__xludf.DUMMYFUNCTION("""COMPUTED_VALUE"""),1280300.0)</f>
        <v>1280300</v>
      </c>
    </row>
    <row r="1160">
      <c r="A1160" s="3">
        <f>IFERROR(__xludf.DUMMYFUNCTION("""COMPUTED_VALUE"""),30895.666666666668)</f>
        <v>30895.66667</v>
      </c>
      <c r="B1160" s="2">
        <f>IFERROR(__xludf.DUMMYFUNCTION("""COMPUTED_VALUE"""),26.95)</f>
        <v>26.95</v>
      </c>
      <c r="C1160" s="2">
        <f>IFERROR(__xludf.DUMMYFUNCTION("""COMPUTED_VALUE"""),27.04)</f>
        <v>27.04</v>
      </c>
      <c r="D1160" s="2">
        <f>IFERROR(__xludf.DUMMYFUNCTION("""COMPUTED_VALUE"""),26.48)</f>
        <v>26.48</v>
      </c>
      <c r="E1160" s="2">
        <f>IFERROR(__xludf.DUMMYFUNCTION("""COMPUTED_VALUE"""),26.95)</f>
        <v>26.95</v>
      </c>
      <c r="F1160" s="2">
        <f>IFERROR(__xludf.DUMMYFUNCTION("""COMPUTED_VALUE"""),1468700.0)</f>
        <v>1468700</v>
      </c>
    </row>
    <row r="1161">
      <c r="A1161" s="3">
        <f>IFERROR(__xludf.DUMMYFUNCTION("""COMPUTED_VALUE"""),30896.666666666668)</f>
        <v>30896.66667</v>
      </c>
      <c r="B1161" s="2">
        <f>IFERROR(__xludf.DUMMYFUNCTION("""COMPUTED_VALUE"""),27.43)</f>
        <v>27.43</v>
      </c>
      <c r="C1161" s="2">
        <f>IFERROR(__xludf.DUMMYFUNCTION("""COMPUTED_VALUE"""),27.49)</f>
        <v>27.49</v>
      </c>
      <c r="D1161" s="2">
        <f>IFERROR(__xludf.DUMMYFUNCTION("""COMPUTED_VALUE"""),27.1)</f>
        <v>27.1</v>
      </c>
      <c r="E1161" s="2">
        <f>IFERROR(__xludf.DUMMYFUNCTION("""COMPUTED_VALUE"""),27.43)</f>
        <v>27.43</v>
      </c>
      <c r="F1161" s="2">
        <f>IFERROR(__xludf.DUMMYFUNCTION("""COMPUTED_VALUE"""),1841200.0)</f>
        <v>1841200</v>
      </c>
    </row>
    <row r="1162">
      <c r="A1162" s="3">
        <f>IFERROR(__xludf.DUMMYFUNCTION("""COMPUTED_VALUE"""),30897.666666666668)</f>
        <v>30897.66667</v>
      </c>
      <c r="B1162" s="2">
        <f>IFERROR(__xludf.DUMMYFUNCTION("""COMPUTED_VALUE"""),28.71)</f>
        <v>28.71</v>
      </c>
      <c r="C1162" s="2">
        <f>IFERROR(__xludf.DUMMYFUNCTION("""COMPUTED_VALUE"""),28.95)</f>
        <v>28.95</v>
      </c>
      <c r="D1162" s="2">
        <f>IFERROR(__xludf.DUMMYFUNCTION("""COMPUTED_VALUE"""),27.94)</f>
        <v>27.94</v>
      </c>
      <c r="E1162" s="2">
        <f>IFERROR(__xludf.DUMMYFUNCTION("""COMPUTED_VALUE"""),28.71)</f>
        <v>28.71</v>
      </c>
      <c r="F1162" s="2">
        <f>IFERROR(__xludf.DUMMYFUNCTION("""COMPUTED_VALUE"""),3259200.0)</f>
        <v>3259200</v>
      </c>
    </row>
    <row r="1163">
      <c r="A1163" s="3">
        <f>IFERROR(__xludf.DUMMYFUNCTION("""COMPUTED_VALUE"""),30900.666666666668)</f>
        <v>30900.66667</v>
      </c>
      <c r="B1163" s="2">
        <f>IFERROR(__xludf.DUMMYFUNCTION("""COMPUTED_VALUE"""),29.07)</f>
        <v>29.07</v>
      </c>
      <c r="C1163" s="2">
        <f>IFERROR(__xludf.DUMMYFUNCTION("""COMPUTED_VALUE"""),29.61)</f>
        <v>29.61</v>
      </c>
      <c r="D1163" s="2">
        <f>IFERROR(__xludf.DUMMYFUNCTION("""COMPUTED_VALUE"""),28.65)</f>
        <v>28.65</v>
      </c>
      <c r="E1163" s="2">
        <f>IFERROR(__xludf.DUMMYFUNCTION("""COMPUTED_VALUE"""),29.07)</f>
        <v>29.07</v>
      </c>
      <c r="F1163" s="2">
        <f>IFERROR(__xludf.DUMMYFUNCTION("""COMPUTED_VALUE"""),2491600.0)</f>
        <v>2491600</v>
      </c>
    </row>
    <row r="1164">
      <c r="A1164" s="3">
        <f>IFERROR(__xludf.DUMMYFUNCTION("""COMPUTED_VALUE"""),30901.666666666668)</f>
        <v>30901.66667</v>
      </c>
      <c r="B1164" s="2">
        <f>IFERROR(__xludf.DUMMYFUNCTION("""COMPUTED_VALUE"""),28.98)</f>
        <v>28.98</v>
      </c>
      <c r="C1164" s="2">
        <f>IFERROR(__xludf.DUMMYFUNCTION("""COMPUTED_VALUE"""),29.31)</f>
        <v>29.31</v>
      </c>
      <c r="D1164" s="2">
        <f>IFERROR(__xludf.DUMMYFUNCTION("""COMPUTED_VALUE"""),28.65)</f>
        <v>28.65</v>
      </c>
      <c r="E1164" s="2">
        <f>IFERROR(__xludf.DUMMYFUNCTION("""COMPUTED_VALUE"""),28.98)</f>
        <v>28.98</v>
      </c>
      <c r="F1164" s="2">
        <f>IFERROR(__xludf.DUMMYFUNCTION("""COMPUTED_VALUE"""),1712700.0)</f>
        <v>1712700</v>
      </c>
    </row>
    <row r="1165">
      <c r="A1165" s="3">
        <f>IFERROR(__xludf.DUMMYFUNCTION("""COMPUTED_VALUE"""),30902.666666666668)</f>
        <v>30902.66667</v>
      </c>
      <c r="B1165" s="2">
        <f>IFERROR(__xludf.DUMMYFUNCTION("""COMPUTED_VALUE"""),28.33)</f>
        <v>28.33</v>
      </c>
      <c r="C1165" s="2">
        <f>IFERROR(__xludf.DUMMYFUNCTION("""COMPUTED_VALUE"""),28.89)</f>
        <v>28.89</v>
      </c>
      <c r="D1165" s="2">
        <f>IFERROR(__xludf.DUMMYFUNCTION("""COMPUTED_VALUE"""),28.24)</f>
        <v>28.24</v>
      </c>
      <c r="E1165" s="2">
        <f>IFERROR(__xludf.DUMMYFUNCTION("""COMPUTED_VALUE"""),28.33)</f>
        <v>28.33</v>
      </c>
      <c r="F1165" s="2">
        <f>IFERROR(__xludf.DUMMYFUNCTION("""COMPUTED_VALUE"""),1725300.0)</f>
        <v>1725300</v>
      </c>
    </row>
    <row r="1166">
      <c r="A1166" s="3">
        <f>IFERROR(__xludf.DUMMYFUNCTION("""COMPUTED_VALUE"""),30903.666666666668)</f>
        <v>30903.66667</v>
      </c>
      <c r="B1166" s="2">
        <f>IFERROR(__xludf.DUMMYFUNCTION("""COMPUTED_VALUE"""),29.31)</f>
        <v>29.31</v>
      </c>
      <c r="C1166" s="2">
        <f>IFERROR(__xludf.DUMMYFUNCTION("""COMPUTED_VALUE"""),29.43)</f>
        <v>29.43</v>
      </c>
      <c r="D1166" s="2">
        <f>IFERROR(__xludf.DUMMYFUNCTION("""COMPUTED_VALUE"""),28.3)</f>
        <v>28.3</v>
      </c>
      <c r="E1166" s="2">
        <f>IFERROR(__xludf.DUMMYFUNCTION("""COMPUTED_VALUE"""),29.31)</f>
        <v>29.31</v>
      </c>
      <c r="F1166" s="2">
        <f>IFERROR(__xludf.DUMMYFUNCTION("""COMPUTED_VALUE"""),1629000.0)</f>
        <v>1629000</v>
      </c>
    </row>
    <row r="1167">
      <c r="A1167" s="3">
        <f>IFERROR(__xludf.DUMMYFUNCTION("""COMPUTED_VALUE"""),30904.666666666668)</f>
        <v>30904.66667</v>
      </c>
      <c r="B1167" s="2">
        <f>IFERROR(__xludf.DUMMYFUNCTION("""COMPUTED_VALUE"""),28.89)</f>
        <v>28.89</v>
      </c>
      <c r="C1167" s="2">
        <f>IFERROR(__xludf.DUMMYFUNCTION("""COMPUTED_VALUE"""),29.82)</f>
        <v>29.82</v>
      </c>
      <c r="D1167" s="2">
        <f>IFERROR(__xludf.DUMMYFUNCTION("""COMPUTED_VALUE"""),28.83)</f>
        <v>28.83</v>
      </c>
      <c r="E1167" s="2">
        <f>IFERROR(__xludf.DUMMYFUNCTION("""COMPUTED_VALUE"""),28.89)</f>
        <v>28.89</v>
      </c>
      <c r="F1167" s="2">
        <f>IFERROR(__xludf.DUMMYFUNCTION("""COMPUTED_VALUE"""),2301300.0)</f>
        <v>2301300</v>
      </c>
    </row>
    <row r="1168">
      <c r="A1168" s="3">
        <f>IFERROR(__xludf.DUMMYFUNCTION("""COMPUTED_VALUE"""),30907.666666666668)</f>
        <v>30907.66667</v>
      </c>
      <c r="B1168" s="2">
        <f>IFERROR(__xludf.DUMMYFUNCTION("""COMPUTED_VALUE"""),29.19)</f>
        <v>29.19</v>
      </c>
      <c r="C1168" s="2">
        <f>IFERROR(__xludf.DUMMYFUNCTION("""COMPUTED_VALUE"""),29.31)</f>
        <v>29.31</v>
      </c>
      <c r="D1168" s="2">
        <f>IFERROR(__xludf.DUMMYFUNCTION("""COMPUTED_VALUE"""),28.71)</f>
        <v>28.71</v>
      </c>
      <c r="E1168" s="2">
        <f>IFERROR(__xludf.DUMMYFUNCTION("""COMPUTED_VALUE"""),29.19)</f>
        <v>29.19</v>
      </c>
      <c r="F1168" s="2">
        <f>IFERROR(__xludf.DUMMYFUNCTION("""COMPUTED_VALUE"""),1165200.0)</f>
        <v>1165200</v>
      </c>
    </row>
    <row r="1169">
      <c r="A1169" s="3">
        <f>IFERROR(__xludf.DUMMYFUNCTION("""COMPUTED_VALUE"""),30908.666666666668)</f>
        <v>30908.66667</v>
      </c>
      <c r="B1169" s="2">
        <f>IFERROR(__xludf.DUMMYFUNCTION("""COMPUTED_VALUE"""),28.95)</f>
        <v>28.95</v>
      </c>
      <c r="C1169" s="2">
        <f>IFERROR(__xludf.DUMMYFUNCTION("""COMPUTED_VALUE"""),29.43)</f>
        <v>29.43</v>
      </c>
      <c r="D1169" s="2">
        <f>IFERROR(__xludf.DUMMYFUNCTION("""COMPUTED_VALUE"""),28.83)</f>
        <v>28.83</v>
      </c>
      <c r="E1169" s="2">
        <f>IFERROR(__xludf.DUMMYFUNCTION("""COMPUTED_VALUE"""),28.95)</f>
        <v>28.95</v>
      </c>
      <c r="F1169" s="2">
        <f>IFERROR(__xludf.DUMMYFUNCTION("""COMPUTED_VALUE"""),808700.0)</f>
        <v>808700</v>
      </c>
    </row>
    <row r="1170">
      <c r="A1170" s="3">
        <f>IFERROR(__xludf.DUMMYFUNCTION("""COMPUTED_VALUE"""),30909.666666666668)</f>
        <v>30909.66667</v>
      </c>
      <c r="B1170" s="2">
        <f>IFERROR(__xludf.DUMMYFUNCTION("""COMPUTED_VALUE"""),29.13)</f>
        <v>29.13</v>
      </c>
      <c r="C1170" s="2">
        <f>IFERROR(__xludf.DUMMYFUNCTION("""COMPUTED_VALUE"""),29.49)</f>
        <v>29.49</v>
      </c>
      <c r="D1170" s="2">
        <f>IFERROR(__xludf.DUMMYFUNCTION("""COMPUTED_VALUE"""),28.89)</f>
        <v>28.89</v>
      </c>
      <c r="E1170" s="2">
        <f>IFERROR(__xludf.DUMMYFUNCTION("""COMPUTED_VALUE"""),29.13)</f>
        <v>29.13</v>
      </c>
      <c r="F1170" s="2">
        <f>IFERROR(__xludf.DUMMYFUNCTION("""COMPUTED_VALUE"""),1119700.0)</f>
        <v>1119700</v>
      </c>
    </row>
    <row r="1171">
      <c r="A1171" s="3">
        <f>IFERROR(__xludf.DUMMYFUNCTION("""COMPUTED_VALUE"""),30910.666666666668)</f>
        <v>30910.66667</v>
      </c>
      <c r="B1171" s="2">
        <f>IFERROR(__xludf.DUMMYFUNCTION("""COMPUTED_VALUE"""),29.4)</f>
        <v>29.4</v>
      </c>
      <c r="C1171" s="2">
        <f>IFERROR(__xludf.DUMMYFUNCTION("""COMPUTED_VALUE"""),29.52)</f>
        <v>29.52</v>
      </c>
      <c r="D1171" s="2">
        <f>IFERROR(__xludf.DUMMYFUNCTION("""COMPUTED_VALUE"""),29.19)</f>
        <v>29.19</v>
      </c>
      <c r="E1171" s="2">
        <f>IFERROR(__xludf.DUMMYFUNCTION("""COMPUTED_VALUE"""),29.4)</f>
        <v>29.4</v>
      </c>
      <c r="F1171" s="2">
        <f>IFERROR(__xludf.DUMMYFUNCTION("""COMPUTED_VALUE"""),1039600.0)</f>
        <v>1039600</v>
      </c>
    </row>
    <row r="1172">
      <c r="A1172" s="3">
        <f>IFERROR(__xludf.DUMMYFUNCTION("""COMPUTED_VALUE"""),30911.666666666668)</f>
        <v>30911.66667</v>
      </c>
      <c r="B1172" s="2">
        <f>IFERROR(__xludf.DUMMYFUNCTION("""COMPUTED_VALUE"""),29.37)</f>
        <v>29.37</v>
      </c>
      <c r="C1172" s="2">
        <f>IFERROR(__xludf.DUMMYFUNCTION("""COMPUTED_VALUE"""),29.58)</f>
        <v>29.58</v>
      </c>
      <c r="D1172" s="2">
        <f>IFERROR(__xludf.DUMMYFUNCTION("""COMPUTED_VALUE"""),29.25)</f>
        <v>29.25</v>
      </c>
      <c r="E1172" s="2">
        <f>IFERROR(__xludf.DUMMYFUNCTION("""COMPUTED_VALUE"""),29.37)</f>
        <v>29.37</v>
      </c>
      <c r="F1172" s="2">
        <f>IFERROR(__xludf.DUMMYFUNCTION("""COMPUTED_VALUE"""),920100.0)</f>
        <v>920100</v>
      </c>
    </row>
    <row r="1173">
      <c r="A1173" s="3">
        <f>IFERROR(__xludf.DUMMYFUNCTION("""COMPUTED_VALUE"""),30914.666666666668)</f>
        <v>30914.66667</v>
      </c>
      <c r="B1173" s="2">
        <f>IFERROR(__xludf.DUMMYFUNCTION("""COMPUTED_VALUE"""),29.43)</f>
        <v>29.43</v>
      </c>
      <c r="C1173" s="2">
        <f>IFERROR(__xludf.DUMMYFUNCTION("""COMPUTED_VALUE"""),29.49)</f>
        <v>29.49</v>
      </c>
      <c r="D1173" s="2">
        <f>IFERROR(__xludf.DUMMYFUNCTION("""COMPUTED_VALUE"""),29.25)</f>
        <v>29.25</v>
      </c>
      <c r="E1173" s="2">
        <f>IFERROR(__xludf.DUMMYFUNCTION("""COMPUTED_VALUE"""),29.43)</f>
        <v>29.43</v>
      </c>
      <c r="F1173" s="2">
        <f>IFERROR(__xludf.DUMMYFUNCTION("""COMPUTED_VALUE"""),862300.0)</f>
        <v>862300</v>
      </c>
    </row>
    <row r="1174">
      <c r="A1174" s="3">
        <f>IFERROR(__xludf.DUMMYFUNCTION("""COMPUTED_VALUE"""),30915.666666666668)</f>
        <v>30915.66667</v>
      </c>
      <c r="B1174" s="2">
        <f>IFERROR(__xludf.DUMMYFUNCTION("""COMPUTED_VALUE"""),30.06)</f>
        <v>30.06</v>
      </c>
      <c r="C1174" s="2">
        <f>IFERROR(__xludf.DUMMYFUNCTION("""COMPUTED_VALUE"""),30.27)</f>
        <v>30.27</v>
      </c>
      <c r="D1174" s="2">
        <f>IFERROR(__xludf.DUMMYFUNCTION("""COMPUTED_VALUE"""),29.49)</f>
        <v>29.49</v>
      </c>
      <c r="E1174" s="2">
        <f>IFERROR(__xludf.DUMMYFUNCTION("""COMPUTED_VALUE"""),30.06)</f>
        <v>30.06</v>
      </c>
      <c r="F1174" s="2">
        <f>IFERROR(__xludf.DUMMYFUNCTION("""COMPUTED_VALUE"""),2250800.0)</f>
        <v>2250800</v>
      </c>
    </row>
    <row r="1175">
      <c r="A1175" s="3">
        <f>IFERROR(__xludf.DUMMYFUNCTION("""COMPUTED_VALUE"""),30916.666666666668)</f>
        <v>30916.66667</v>
      </c>
      <c r="B1175" s="2">
        <f>IFERROR(__xludf.DUMMYFUNCTION("""COMPUTED_VALUE"""),29.67)</f>
        <v>29.67</v>
      </c>
      <c r="C1175" s="2">
        <f>IFERROR(__xludf.DUMMYFUNCTION("""COMPUTED_VALUE"""),30.18)</f>
        <v>30.18</v>
      </c>
      <c r="D1175" s="2">
        <f>IFERROR(__xludf.DUMMYFUNCTION("""COMPUTED_VALUE"""),29.61)</f>
        <v>29.61</v>
      </c>
      <c r="E1175" s="2">
        <f>IFERROR(__xludf.DUMMYFUNCTION("""COMPUTED_VALUE"""),29.67)</f>
        <v>29.67</v>
      </c>
      <c r="F1175" s="2">
        <f>IFERROR(__xludf.DUMMYFUNCTION("""COMPUTED_VALUE"""),1454100.0)</f>
        <v>1454100</v>
      </c>
    </row>
    <row r="1176">
      <c r="A1176" s="3">
        <f>IFERROR(__xludf.DUMMYFUNCTION("""COMPUTED_VALUE"""),30917.666666666668)</f>
        <v>30917.66667</v>
      </c>
      <c r="B1176" s="2">
        <f>IFERROR(__xludf.DUMMYFUNCTION("""COMPUTED_VALUE"""),29.85)</f>
        <v>29.85</v>
      </c>
      <c r="C1176" s="2">
        <f>IFERROR(__xludf.DUMMYFUNCTION("""COMPUTED_VALUE"""),30.03)</f>
        <v>30.03</v>
      </c>
      <c r="D1176" s="2">
        <f>IFERROR(__xludf.DUMMYFUNCTION("""COMPUTED_VALUE"""),29.58)</f>
        <v>29.58</v>
      </c>
      <c r="E1176" s="2">
        <f>IFERROR(__xludf.DUMMYFUNCTION("""COMPUTED_VALUE"""),29.85)</f>
        <v>29.85</v>
      </c>
      <c r="F1176" s="2">
        <f>IFERROR(__xludf.DUMMYFUNCTION("""COMPUTED_VALUE"""),992100.0)</f>
        <v>992100</v>
      </c>
    </row>
    <row r="1177">
      <c r="A1177" s="3">
        <f>IFERROR(__xludf.DUMMYFUNCTION("""COMPUTED_VALUE"""),30918.666666666668)</f>
        <v>30918.66667</v>
      </c>
      <c r="B1177" s="2">
        <f>IFERROR(__xludf.DUMMYFUNCTION("""COMPUTED_VALUE"""),30.0)</f>
        <v>30</v>
      </c>
      <c r="C1177" s="2">
        <f>IFERROR(__xludf.DUMMYFUNCTION("""COMPUTED_VALUE"""),30.0)</f>
        <v>30</v>
      </c>
      <c r="D1177" s="2">
        <f>IFERROR(__xludf.DUMMYFUNCTION("""COMPUTED_VALUE"""),29.82)</f>
        <v>29.82</v>
      </c>
      <c r="E1177" s="2">
        <f>IFERROR(__xludf.DUMMYFUNCTION("""COMPUTED_VALUE"""),30.0)</f>
        <v>30</v>
      </c>
      <c r="F1177" s="2">
        <f>IFERROR(__xludf.DUMMYFUNCTION("""COMPUTED_VALUE"""),679900.0)</f>
        <v>679900</v>
      </c>
    </row>
    <row r="1178">
      <c r="A1178" s="3">
        <f>IFERROR(__xludf.DUMMYFUNCTION("""COMPUTED_VALUE"""),30921.666666666668)</f>
        <v>30921.66667</v>
      </c>
      <c r="B1178" s="2">
        <f>IFERROR(__xludf.DUMMYFUNCTION("""COMPUTED_VALUE"""),29.79)</f>
        <v>29.79</v>
      </c>
      <c r="C1178" s="2">
        <f>IFERROR(__xludf.DUMMYFUNCTION("""COMPUTED_VALUE"""),29.79)</f>
        <v>29.79</v>
      </c>
      <c r="D1178" s="2">
        <f>IFERROR(__xludf.DUMMYFUNCTION("""COMPUTED_VALUE"""),29.52)</f>
        <v>29.52</v>
      </c>
      <c r="E1178" s="2">
        <f>IFERROR(__xludf.DUMMYFUNCTION("""COMPUTED_VALUE"""),29.79)</f>
        <v>29.79</v>
      </c>
      <c r="F1178" s="2">
        <f>IFERROR(__xludf.DUMMYFUNCTION("""COMPUTED_VALUE"""),639500.0)</f>
        <v>639500</v>
      </c>
    </row>
    <row r="1179">
      <c r="A1179" s="3">
        <f>IFERROR(__xludf.DUMMYFUNCTION("""COMPUTED_VALUE"""),30922.666666666668)</f>
        <v>30922.66667</v>
      </c>
      <c r="B1179" s="2">
        <f>IFERROR(__xludf.DUMMYFUNCTION("""COMPUTED_VALUE"""),29.94)</f>
        <v>29.94</v>
      </c>
      <c r="C1179" s="2">
        <f>IFERROR(__xludf.DUMMYFUNCTION("""COMPUTED_VALUE"""),30.03)</f>
        <v>30.03</v>
      </c>
      <c r="D1179" s="2">
        <f>IFERROR(__xludf.DUMMYFUNCTION("""COMPUTED_VALUE"""),29.7)</f>
        <v>29.7</v>
      </c>
      <c r="E1179" s="2">
        <f>IFERROR(__xludf.DUMMYFUNCTION("""COMPUTED_VALUE"""),29.94)</f>
        <v>29.94</v>
      </c>
      <c r="F1179" s="2">
        <f>IFERROR(__xludf.DUMMYFUNCTION("""COMPUTED_VALUE"""),603400.0)</f>
        <v>603400</v>
      </c>
    </row>
    <row r="1180">
      <c r="A1180" s="3">
        <f>IFERROR(__xludf.DUMMYFUNCTION("""COMPUTED_VALUE"""),30923.666666666668)</f>
        <v>30923.66667</v>
      </c>
      <c r="B1180" s="2">
        <f>IFERROR(__xludf.DUMMYFUNCTION("""COMPUTED_VALUE"""),29.67)</f>
        <v>29.67</v>
      </c>
      <c r="C1180" s="2">
        <f>IFERROR(__xludf.DUMMYFUNCTION("""COMPUTED_VALUE"""),30.09)</f>
        <v>30.09</v>
      </c>
      <c r="D1180" s="2">
        <f>IFERROR(__xludf.DUMMYFUNCTION("""COMPUTED_VALUE"""),29.67)</f>
        <v>29.67</v>
      </c>
      <c r="E1180" s="2">
        <f>IFERROR(__xludf.DUMMYFUNCTION("""COMPUTED_VALUE"""),29.67)</f>
        <v>29.67</v>
      </c>
      <c r="F1180" s="2">
        <f>IFERROR(__xludf.DUMMYFUNCTION("""COMPUTED_VALUE"""),775900.0)</f>
        <v>775900</v>
      </c>
    </row>
    <row r="1181">
      <c r="A1181" s="3">
        <f>IFERROR(__xludf.DUMMYFUNCTION("""COMPUTED_VALUE"""),30924.666666666668)</f>
        <v>30924.66667</v>
      </c>
      <c r="B1181" s="2">
        <f>IFERROR(__xludf.DUMMYFUNCTION("""COMPUTED_VALUE"""),29.52)</f>
        <v>29.52</v>
      </c>
      <c r="C1181" s="2">
        <f>IFERROR(__xludf.DUMMYFUNCTION("""COMPUTED_VALUE"""),29.82)</f>
        <v>29.82</v>
      </c>
      <c r="D1181" s="2">
        <f>IFERROR(__xludf.DUMMYFUNCTION("""COMPUTED_VALUE"""),29.46)</f>
        <v>29.46</v>
      </c>
      <c r="E1181" s="2">
        <f>IFERROR(__xludf.DUMMYFUNCTION("""COMPUTED_VALUE"""),29.52)</f>
        <v>29.52</v>
      </c>
      <c r="F1181" s="2">
        <f>IFERROR(__xludf.DUMMYFUNCTION("""COMPUTED_VALUE"""),545500.0)</f>
        <v>545500</v>
      </c>
    </row>
    <row r="1182">
      <c r="A1182" s="3">
        <f>IFERROR(__xludf.DUMMYFUNCTION("""COMPUTED_VALUE"""),30925.666666666668)</f>
        <v>30925.66667</v>
      </c>
      <c r="B1182" s="2">
        <f>IFERROR(__xludf.DUMMYFUNCTION("""COMPUTED_VALUE"""),29.55)</f>
        <v>29.55</v>
      </c>
      <c r="C1182" s="2">
        <f>IFERROR(__xludf.DUMMYFUNCTION("""COMPUTED_VALUE"""),29.64)</f>
        <v>29.64</v>
      </c>
      <c r="D1182" s="2">
        <f>IFERROR(__xludf.DUMMYFUNCTION("""COMPUTED_VALUE"""),29.37)</f>
        <v>29.37</v>
      </c>
      <c r="E1182" s="2">
        <f>IFERROR(__xludf.DUMMYFUNCTION("""COMPUTED_VALUE"""),29.55)</f>
        <v>29.55</v>
      </c>
      <c r="F1182" s="2">
        <f>IFERROR(__xludf.DUMMYFUNCTION("""COMPUTED_VALUE"""),549000.0)</f>
        <v>549000</v>
      </c>
    </row>
    <row r="1183">
      <c r="A1183" s="3">
        <f>IFERROR(__xludf.DUMMYFUNCTION("""COMPUTED_VALUE"""),30929.666666666668)</f>
        <v>30929.66667</v>
      </c>
      <c r="B1183" s="2">
        <f>IFERROR(__xludf.DUMMYFUNCTION("""COMPUTED_VALUE"""),29.25)</f>
        <v>29.25</v>
      </c>
      <c r="C1183" s="2">
        <f>IFERROR(__xludf.DUMMYFUNCTION("""COMPUTED_VALUE"""),29.4)</f>
        <v>29.4</v>
      </c>
      <c r="D1183" s="2">
        <f>IFERROR(__xludf.DUMMYFUNCTION("""COMPUTED_VALUE"""),29.1)</f>
        <v>29.1</v>
      </c>
      <c r="E1183" s="2">
        <f>IFERROR(__xludf.DUMMYFUNCTION("""COMPUTED_VALUE"""),29.25)</f>
        <v>29.25</v>
      </c>
      <c r="F1183" s="2">
        <f>IFERROR(__xludf.DUMMYFUNCTION("""COMPUTED_VALUE"""),640600.0)</f>
        <v>640600</v>
      </c>
    </row>
    <row r="1184">
      <c r="A1184" s="3">
        <f>IFERROR(__xludf.DUMMYFUNCTION("""COMPUTED_VALUE"""),30930.666666666668)</f>
        <v>30930.66667</v>
      </c>
      <c r="B1184" s="2">
        <f>IFERROR(__xludf.DUMMYFUNCTION("""COMPUTED_VALUE"""),29.22)</f>
        <v>29.22</v>
      </c>
      <c r="C1184" s="2">
        <f>IFERROR(__xludf.DUMMYFUNCTION("""COMPUTED_VALUE"""),29.28)</f>
        <v>29.28</v>
      </c>
      <c r="D1184" s="2">
        <f>IFERROR(__xludf.DUMMYFUNCTION("""COMPUTED_VALUE"""),29.07)</f>
        <v>29.07</v>
      </c>
      <c r="E1184" s="2">
        <f>IFERROR(__xludf.DUMMYFUNCTION("""COMPUTED_VALUE"""),29.22)</f>
        <v>29.22</v>
      </c>
      <c r="F1184" s="2">
        <f>IFERROR(__xludf.DUMMYFUNCTION("""COMPUTED_VALUE"""),852600.0)</f>
        <v>852600</v>
      </c>
    </row>
    <row r="1185">
      <c r="A1185" s="3">
        <f>IFERROR(__xludf.DUMMYFUNCTION("""COMPUTED_VALUE"""),30931.666666666668)</f>
        <v>30931.66667</v>
      </c>
      <c r="B1185" s="2">
        <f>IFERROR(__xludf.DUMMYFUNCTION("""COMPUTED_VALUE"""),29.46)</f>
        <v>29.46</v>
      </c>
      <c r="C1185" s="2">
        <f>IFERROR(__xludf.DUMMYFUNCTION("""COMPUTED_VALUE"""),29.67)</f>
        <v>29.67</v>
      </c>
      <c r="D1185" s="2">
        <f>IFERROR(__xludf.DUMMYFUNCTION("""COMPUTED_VALUE"""),29.34)</f>
        <v>29.34</v>
      </c>
      <c r="E1185" s="2">
        <f>IFERROR(__xludf.DUMMYFUNCTION("""COMPUTED_VALUE"""),29.46)</f>
        <v>29.46</v>
      </c>
      <c r="F1185" s="2">
        <f>IFERROR(__xludf.DUMMYFUNCTION("""COMPUTED_VALUE"""),931600.0)</f>
        <v>931600</v>
      </c>
    </row>
    <row r="1186">
      <c r="A1186" s="3">
        <f>IFERROR(__xludf.DUMMYFUNCTION("""COMPUTED_VALUE"""),30932.666666666668)</f>
        <v>30932.66667</v>
      </c>
      <c r="B1186" s="2">
        <f>IFERROR(__xludf.DUMMYFUNCTION("""COMPUTED_VALUE"""),29.04)</f>
        <v>29.04</v>
      </c>
      <c r="C1186" s="2">
        <f>IFERROR(__xludf.DUMMYFUNCTION("""COMPUTED_VALUE"""),29.58)</f>
        <v>29.58</v>
      </c>
      <c r="D1186" s="2">
        <f>IFERROR(__xludf.DUMMYFUNCTION("""COMPUTED_VALUE"""),28.95)</f>
        <v>28.95</v>
      </c>
      <c r="E1186" s="2">
        <f>IFERROR(__xludf.DUMMYFUNCTION("""COMPUTED_VALUE"""),29.04)</f>
        <v>29.04</v>
      </c>
      <c r="F1186" s="2">
        <f>IFERROR(__xludf.DUMMYFUNCTION("""COMPUTED_VALUE"""),779700.0)</f>
        <v>779700</v>
      </c>
    </row>
    <row r="1187">
      <c r="A1187" s="3">
        <f>IFERROR(__xludf.DUMMYFUNCTION("""COMPUTED_VALUE"""),30935.666666666668)</f>
        <v>30935.66667</v>
      </c>
      <c r="B1187" s="2">
        <f>IFERROR(__xludf.DUMMYFUNCTION("""COMPUTED_VALUE"""),29.31)</f>
        <v>29.31</v>
      </c>
      <c r="C1187" s="2">
        <f>IFERROR(__xludf.DUMMYFUNCTION("""COMPUTED_VALUE"""),29.46)</f>
        <v>29.46</v>
      </c>
      <c r="D1187" s="2">
        <f>IFERROR(__xludf.DUMMYFUNCTION("""COMPUTED_VALUE"""),28.86)</f>
        <v>28.86</v>
      </c>
      <c r="E1187" s="2">
        <f>IFERROR(__xludf.DUMMYFUNCTION("""COMPUTED_VALUE"""),29.31)</f>
        <v>29.31</v>
      </c>
      <c r="F1187" s="2">
        <f>IFERROR(__xludf.DUMMYFUNCTION("""COMPUTED_VALUE"""),960800.0)</f>
        <v>960800</v>
      </c>
    </row>
    <row r="1188">
      <c r="A1188" s="3">
        <f>IFERROR(__xludf.DUMMYFUNCTION("""COMPUTED_VALUE"""),30936.666666666668)</f>
        <v>30936.66667</v>
      </c>
      <c r="B1188" s="2">
        <f>IFERROR(__xludf.DUMMYFUNCTION("""COMPUTED_VALUE"""),29.13)</f>
        <v>29.13</v>
      </c>
      <c r="C1188" s="2">
        <f>IFERROR(__xludf.DUMMYFUNCTION("""COMPUTED_VALUE"""),29.73)</f>
        <v>29.73</v>
      </c>
      <c r="D1188" s="2">
        <f>IFERROR(__xludf.DUMMYFUNCTION("""COMPUTED_VALUE"""),29.13)</f>
        <v>29.13</v>
      </c>
      <c r="E1188" s="2">
        <f>IFERROR(__xludf.DUMMYFUNCTION("""COMPUTED_VALUE"""),29.13)</f>
        <v>29.13</v>
      </c>
      <c r="F1188" s="2">
        <f>IFERROR(__xludf.DUMMYFUNCTION("""COMPUTED_VALUE"""),1433200.0)</f>
        <v>1433200</v>
      </c>
    </row>
    <row r="1189">
      <c r="A1189" s="3">
        <f>IFERROR(__xludf.DUMMYFUNCTION("""COMPUTED_VALUE"""),30937.666666666668)</f>
        <v>30937.66667</v>
      </c>
      <c r="B1189" s="2">
        <f>IFERROR(__xludf.DUMMYFUNCTION("""COMPUTED_VALUE"""),29.34)</f>
        <v>29.34</v>
      </c>
      <c r="C1189" s="2">
        <f>IFERROR(__xludf.DUMMYFUNCTION("""COMPUTED_VALUE"""),29.46)</f>
        <v>29.46</v>
      </c>
      <c r="D1189" s="2">
        <f>IFERROR(__xludf.DUMMYFUNCTION("""COMPUTED_VALUE"""),29.13)</f>
        <v>29.13</v>
      </c>
      <c r="E1189" s="2">
        <f>IFERROR(__xludf.DUMMYFUNCTION("""COMPUTED_VALUE"""),29.34)</f>
        <v>29.34</v>
      </c>
      <c r="F1189" s="2">
        <f>IFERROR(__xludf.DUMMYFUNCTION("""COMPUTED_VALUE"""),792000.0)</f>
        <v>792000</v>
      </c>
    </row>
    <row r="1190">
      <c r="A1190" s="3">
        <f>IFERROR(__xludf.DUMMYFUNCTION("""COMPUTED_VALUE"""),30938.666666666668)</f>
        <v>30938.66667</v>
      </c>
      <c r="B1190" s="2">
        <f>IFERROR(__xludf.DUMMYFUNCTION("""COMPUTED_VALUE"""),30.12)</f>
        <v>30.12</v>
      </c>
      <c r="C1190" s="2">
        <f>IFERROR(__xludf.DUMMYFUNCTION("""COMPUTED_VALUE"""),30.12)</f>
        <v>30.12</v>
      </c>
      <c r="D1190" s="2">
        <f>IFERROR(__xludf.DUMMYFUNCTION("""COMPUTED_VALUE"""),29.28)</f>
        <v>29.28</v>
      </c>
      <c r="E1190" s="2">
        <f>IFERROR(__xludf.DUMMYFUNCTION("""COMPUTED_VALUE"""),30.12)</f>
        <v>30.12</v>
      </c>
      <c r="F1190" s="2">
        <f>IFERROR(__xludf.DUMMYFUNCTION("""COMPUTED_VALUE"""),1108900.0)</f>
        <v>1108900</v>
      </c>
    </row>
    <row r="1191">
      <c r="A1191" s="3">
        <f>IFERROR(__xludf.DUMMYFUNCTION("""COMPUTED_VALUE"""),30939.666666666668)</f>
        <v>30939.66667</v>
      </c>
      <c r="B1191" s="2">
        <f>IFERROR(__xludf.DUMMYFUNCTION("""COMPUTED_VALUE"""),30.27)</f>
        <v>30.27</v>
      </c>
      <c r="C1191" s="2">
        <f>IFERROR(__xludf.DUMMYFUNCTION("""COMPUTED_VALUE"""),30.51)</f>
        <v>30.51</v>
      </c>
      <c r="D1191" s="2">
        <f>IFERROR(__xludf.DUMMYFUNCTION("""COMPUTED_VALUE"""),30.15)</f>
        <v>30.15</v>
      </c>
      <c r="E1191" s="2">
        <f>IFERROR(__xludf.DUMMYFUNCTION("""COMPUTED_VALUE"""),30.27)</f>
        <v>30.27</v>
      </c>
      <c r="F1191" s="2">
        <f>IFERROR(__xludf.DUMMYFUNCTION("""COMPUTED_VALUE"""),1447700.0)</f>
        <v>1447700</v>
      </c>
    </row>
    <row r="1192">
      <c r="A1192" s="3">
        <f>IFERROR(__xludf.DUMMYFUNCTION("""COMPUTED_VALUE"""),30942.666666666668)</f>
        <v>30942.66667</v>
      </c>
      <c r="B1192" s="2">
        <f>IFERROR(__xludf.DUMMYFUNCTION("""COMPUTED_VALUE"""),30.48)</f>
        <v>30.48</v>
      </c>
      <c r="C1192" s="2">
        <f>IFERROR(__xludf.DUMMYFUNCTION("""COMPUTED_VALUE"""),30.68)</f>
        <v>30.68</v>
      </c>
      <c r="D1192" s="2">
        <f>IFERROR(__xludf.DUMMYFUNCTION("""COMPUTED_VALUE"""),30.12)</f>
        <v>30.12</v>
      </c>
      <c r="E1192" s="2">
        <f>IFERROR(__xludf.DUMMYFUNCTION("""COMPUTED_VALUE"""),30.48)</f>
        <v>30.48</v>
      </c>
      <c r="F1192" s="2">
        <f>IFERROR(__xludf.DUMMYFUNCTION("""COMPUTED_VALUE"""),1133300.0)</f>
        <v>1133300</v>
      </c>
    </row>
    <row r="1193">
      <c r="A1193" s="3">
        <f>IFERROR(__xludf.DUMMYFUNCTION("""COMPUTED_VALUE"""),30943.666666666668)</f>
        <v>30943.66667</v>
      </c>
      <c r="B1193" s="2">
        <f>IFERROR(__xludf.DUMMYFUNCTION("""COMPUTED_VALUE"""),30.24)</f>
        <v>30.24</v>
      </c>
      <c r="C1193" s="2">
        <f>IFERROR(__xludf.DUMMYFUNCTION("""COMPUTED_VALUE"""),30.54)</f>
        <v>30.54</v>
      </c>
      <c r="D1193" s="2">
        <f>IFERROR(__xludf.DUMMYFUNCTION("""COMPUTED_VALUE"""),30.21)</f>
        <v>30.21</v>
      </c>
      <c r="E1193" s="2">
        <f>IFERROR(__xludf.DUMMYFUNCTION("""COMPUTED_VALUE"""),30.24)</f>
        <v>30.24</v>
      </c>
      <c r="F1193" s="2">
        <f>IFERROR(__xludf.DUMMYFUNCTION("""COMPUTED_VALUE"""),1071700.0)</f>
        <v>1071700</v>
      </c>
    </row>
    <row r="1194">
      <c r="A1194" s="3">
        <f>IFERROR(__xludf.DUMMYFUNCTION("""COMPUTED_VALUE"""),30944.666666666668)</f>
        <v>30944.66667</v>
      </c>
      <c r="B1194" s="2">
        <f>IFERROR(__xludf.DUMMYFUNCTION("""COMPUTED_VALUE"""),30.06)</f>
        <v>30.06</v>
      </c>
      <c r="C1194" s="2">
        <f>IFERROR(__xludf.DUMMYFUNCTION("""COMPUTED_VALUE"""),30.68)</f>
        <v>30.68</v>
      </c>
      <c r="D1194" s="2">
        <f>IFERROR(__xludf.DUMMYFUNCTION("""COMPUTED_VALUE"""),29.85)</f>
        <v>29.85</v>
      </c>
      <c r="E1194" s="2">
        <f>IFERROR(__xludf.DUMMYFUNCTION("""COMPUTED_VALUE"""),30.06)</f>
        <v>30.06</v>
      </c>
      <c r="F1194" s="2">
        <f>IFERROR(__xludf.DUMMYFUNCTION("""COMPUTED_VALUE"""),1598600.0)</f>
        <v>1598600</v>
      </c>
    </row>
    <row r="1195">
      <c r="A1195" s="3">
        <f>IFERROR(__xludf.DUMMYFUNCTION("""COMPUTED_VALUE"""),30945.666666666668)</f>
        <v>30945.66667</v>
      </c>
      <c r="B1195" s="2">
        <f>IFERROR(__xludf.DUMMYFUNCTION("""COMPUTED_VALUE"""),30.09)</f>
        <v>30.09</v>
      </c>
      <c r="C1195" s="2">
        <f>IFERROR(__xludf.DUMMYFUNCTION("""COMPUTED_VALUE"""),30.15)</f>
        <v>30.15</v>
      </c>
      <c r="D1195" s="2">
        <f>IFERROR(__xludf.DUMMYFUNCTION("""COMPUTED_VALUE"""),29.88)</f>
        <v>29.88</v>
      </c>
      <c r="E1195" s="2">
        <f>IFERROR(__xludf.DUMMYFUNCTION("""COMPUTED_VALUE"""),30.09)</f>
        <v>30.09</v>
      </c>
      <c r="F1195" s="2">
        <f>IFERROR(__xludf.DUMMYFUNCTION("""COMPUTED_VALUE"""),1229200.0)</f>
        <v>1229200</v>
      </c>
    </row>
    <row r="1196">
      <c r="A1196" s="3">
        <f>IFERROR(__xludf.DUMMYFUNCTION("""COMPUTED_VALUE"""),30946.666666666668)</f>
        <v>30946.66667</v>
      </c>
      <c r="B1196" s="2">
        <f>IFERROR(__xludf.DUMMYFUNCTION("""COMPUTED_VALUE"""),29.67)</f>
        <v>29.67</v>
      </c>
      <c r="C1196" s="2">
        <f>IFERROR(__xludf.DUMMYFUNCTION("""COMPUTED_VALUE"""),30.45)</f>
        <v>30.45</v>
      </c>
      <c r="D1196" s="2">
        <f>IFERROR(__xludf.DUMMYFUNCTION("""COMPUTED_VALUE"""),29.52)</f>
        <v>29.52</v>
      </c>
      <c r="E1196" s="2">
        <f>IFERROR(__xludf.DUMMYFUNCTION("""COMPUTED_VALUE"""),29.67)</f>
        <v>29.67</v>
      </c>
      <c r="F1196" s="2">
        <f>IFERROR(__xludf.DUMMYFUNCTION("""COMPUTED_VALUE"""),1391000.0)</f>
        <v>1391000</v>
      </c>
    </row>
    <row r="1197">
      <c r="A1197" s="3">
        <f>IFERROR(__xludf.DUMMYFUNCTION("""COMPUTED_VALUE"""),30949.666666666668)</f>
        <v>30949.66667</v>
      </c>
      <c r="B1197" s="2">
        <f>IFERROR(__xludf.DUMMYFUNCTION("""COMPUTED_VALUE"""),29.55)</f>
        <v>29.55</v>
      </c>
      <c r="C1197" s="2">
        <f>IFERROR(__xludf.DUMMYFUNCTION("""COMPUTED_VALUE"""),29.88)</f>
        <v>29.88</v>
      </c>
      <c r="D1197" s="2">
        <f>IFERROR(__xludf.DUMMYFUNCTION("""COMPUTED_VALUE"""),29.52)</f>
        <v>29.52</v>
      </c>
      <c r="E1197" s="2">
        <f>IFERROR(__xludf.DUMMYFUNCTION("""COMPUTED_VALUE"""),29.55)</f>
        <v>29.55</v>
      </c>
      <c r="F1197" s="2">
        <f>IFERROR(__xludf.DUMMYFUNCTION("""COMPUTED_VALUE"""),836800.0)</f>
        <v>836800</v>
      </c>
    </row>
    <row r="1198">
      <c r="A1198" s="3">
        <f>IFERROR(__xludf.DUMMYFUNCTION("""COMPUTED_VALUE"""),30950.666666666668)</f>
        <v>30950.66667</v>
      </c>
      <c r="B1198" s="2">
        <f>IFERROR(__xludf.DUMMYFUNCTION("""COMPUTED_VALUE"""),29.61)</f>
        <v>29.61</v>
      </c>
      <c r="C1198" s="2">
        <f>IFERROR(__xludf.DUMMYFUNCTION("""COMPUTED_VALUE"""),29.79)</f>
        <v>29.79</v>
      </c>
      <c r="D1198" s="2">
        <f>IFERROR(__xludf.DUMMYFUNCTION("""COMPUTED_VALUE"""),29.31)</f>
        <v>29.31</v>
      </c>
      <c r="E1198" s="2">
        <f>IFERROR(__xludf.DUMMYFUNCTION("""COMPUTED_VALUE"""),29.61)</f>
        <v>29.61</v>
      </c>
      <c r="F1198" s="2">
        <f>IFERROR(__xludf.DUMMYFUNCTION("""COMPUTED_VALUE"""),1132600.0)</f>
        <v>1132600</v>
      </c>
    </row>
    <row r="1199">
      <c r="A1199" s="3">
        <f>IFERROR(__xludf.DUMMYFUNCTION("""COMPUTED_VALUE"""),30951.666666666668)</f>
        <v>30951.66667</v>
      </c>
      <c r="B1199" s="2">
        <f>IFERROR(__xludf.DUMMYFUNCTION("""COMPUTED_VALUE"""),29.76)</f>
        <v>29.76</v>
      </c>
      <c r="C1199" s="2">
        <f>IFERROR(__xludf.DUMMYFUNCTION("""COMPUTED_VALUE"""),30.09)</f>
        <v>30.09</v>
      </c>
      <c r="D1199" s="2">
        <f>IFERROR(__xludf.DUMMYFUNCTION("""COMPUTED_VALUE"""),29.61)</f>
        <v>29.61</v>
      </c>
      <c r="E1199" s="2">
        <f>IFERROR(__xludf.DUMMYFUNCTION("""COMPUTED_VALUE"""),29.76)</f>
        <v>29.76</v>
      </c>
      <c r="F1199" s="2">
        <f>IFERROR(__xludf.DUMMYFUNCTION("""COMPUTED_VALUE"""),1033200.0)</f>
        <v>1033200</v>
      </c>
    </row>
    <row r="1200">
      <c r="A1200" s="3">
        <f>IFERROR(__xludf.DUMMYFUNCTION("""COMPUTED_VALUE"""),30952.666666666668)</f>
        <v>30952.66667</v>
      </c>
      <c r="B1200" s="2">
        <f>IFERROR(__xludf.DUMMYFUNCTION("""COMPUTED_VALUE"""),30.06)</f>
        <v>30.06</v>
      </c>
      <c r="C1200" s="2">
        <f>IFERROR(__xludf.DUMMYFUNCTION("""COMPUTED_VALUE"""),30.09)</f>
        <v>30.09</v>
      </c>
      <c r="D1200" s="2">
        <f>IFERROR(__xludf.DUMMYFUNCTION("""COMPUTED_VALUE"""),29.91)</f>
        <v>29.91</v>
      </c>
      <c r="E1200" s="2">
        <f>IFERROR(__xludf.DUMMYFUNCTION("""COMPUTED_VALUE"""),30.06)</f>
        <v>30.06</v>
      </c>
      <c r="F1200" s="2">
        <f>IFERROR(__xludf.DUMMYFUNCTION("""COMPUTED_VALUE"""),716800.0)</f>
        <v>716800</v>
      </c>
    </row>
    <row r="1201">
      <c r="A1201" s="3">
        <f>IFERROR(__xludf.DUMMYFUNCTION("""COMPUTED_VALUE"""),30953.666666666668)</f>
        <v>30953.66667</v>
      </c>
      <c r="B1201" s="2">
        <f>IFERROR(__xludf.DUMMYFUNCTION("""COMPUTED_VALUE"""),29.67)</f>
        <v>29.67</v>
      </c>
      <c r="C1201" s="2">
        <f>IFERROR(__xludf.DUMMYFUNCTION("""COMPUTED_VALUE"""),30.12)</f>
        <v>30.12</v>
      </c>
      <c r="D1201" s="2">
        <f>IFERROR(__xludf.DUMMYFUNCTION("""COMPUTED_VALUE"""),29.61)</f>
        <v>29.61</v>
      </c>
      <c r="E1201" s="2">
        <f>IFERROR(__xludf.DUMMYFUNCTION("""COMPUTED_VALUE"""),29.67)</f>
        <v>29.67</v>
      </c>
      <c r="F1201" s="2">
        <f>IFERROR(__xludf.DUMMYFUNCTION("""COMPUTED_VALUE"""),709000.0)</f>
        <v>709000</v>
      </c>
    </row>
    <row r="1202">
      <c r="A1202" s="3">
        <f>IFERROR(__xludf.DUMMYFUNCTION("""COMPUTED_VALUE"""),30956.666666666668)</f>
        <v>30956.66667</v>
      </c>
      <c r="B1202" s="2">
        <f>IFERROR(__xludf.DUMMYFUNCTION("""COMPUTED_VALUE"""),29.28)</f>
        <v>29.28</v>
      </c>
      <c r="C1202" s="2">
        <f>IFERROR(__xludf.DUMMYFUNCTION("""COMPUTED_VALUE"""),29.55)</f>
        <v>29.55</v>
      </c>
      <c r="D1202" s="2">
        <f>IFERROR(__xludf.DUMMYFUNCTION("""COMPUTED_VALUE"""),29.19)</f>
        <v>29.19</v>
      </c>
      <c r="E1202" s="2">
        <f>IFERROR(__xludf.DUMMYFUNCTION("""COMPUTED_VALUE"""),29.28)</f>
        <v>29.28</v>
      </c>
      <c r="F1202" s="2">
        <f>IFERROR(__xludf.DUMMYFUNCTION("""COMPUTED_VALUE"""),822100.0)</f>
        <v>822100</v>
      </c>
    </row>
    <row r="1203">
      <c r="A1203" s="3">
        <f>IFERROR(__xludf.DUMMYFUNCTION("""COMPUTED_VALUE"""),30957.666666666668)</f>
        <v>30957.66667</v>
      </c>
      <c r="B1203" s="2">
        <f>IFERROR(__xludf.DUMMYFUNCTION("""COMPUTED_VALUE"""),29.07)</f>
        <v>29.07</v>
      </c>
      <c r="C1203" s="2">
        <f>IFERROR(__xludf.DUMMYFUNCTION("""COMPUTED_VALUE"""),29.52)</f>
        <v>29.52</v>
      </c>
      <c r="D1203" s="2">
        <f>IFERROR(__xludf.DUMMYFUNCTION("""COMPUTED_VALUE"""),29.07)</f>
        <v>29.07</v>
      </c>
      <c r="E1203" s="2">
        <f>IFERROR(__xludf.DUMMYFUNCTION("""COMPUTED_VALUE"""),29.07)</f>
        <v>29.07</v>
      </c>
      <c r="F1203" s="2">
        <f>IFERROR(__xludf.DUMMYFUNCTION("""COMPUTED_VALUE"""),1015000.0)</f>
        <v>1015000</v>
      </c>
    </row>
    <row r="1204">
      <c r="A1204" s="3">
        <f>IFERROR(__xludf.DUMMYFUNCTION("""COMPUTED_VALUE"""),30958.666666666668)</f>
        <v>30958.66667</v>
      </c>
      <c r="B1204" s="2">
        <f>IFERROR(__xludf.DUMMYFUNCTION("""COMPUTED_VALUE"""),28.95)</f>
        <v>28.95</v>
      </c>
      <c r="C1204" s="2">
        <f>IFERROR(__xludf.DUMMYFUNCTION("""COMPUTED_VALUE"""),29.25)</f>
        <v>29.25</v>
      </c>
      <c r="D1204" s="2">
        <f>IFERROR(__xludf.DUMMYFUNCTION("""COMPUTED_VALUE"""),28.77)</f>
        <v>28.77</v>
      </c>
      <c r="E1204" s="2">
        <f>IFERROR(__xludf.DUMMYFUNCTION("""COMPUTED_VALUE"""),28.95)</f>
        <v>28.95</v>
      </c>
      <c r="F1204" s="2">
        <f>IFERROR(__xludf.DUMMYFUNCTION("""COMPUTED_VALUE"""),1276100.0)</f>
        <v>1276100</v>
      </c>
    </row>
    <row r="1205">
      <c r="A1205" s="3">
        <f>IFERROR(__xludf.DUMMYFUNCTION("""COMPUTED_VALUE"""),30959.666666666668)</f>
        <v>30959.66667</v>
      </c>
      <c r="B1205" s="2">
        <f>IFERROR(__xludf.DUMMYFUNCTION("""COMPUTED_VALUE"""),29.1)</f>
        <v>29.1</v>
      </c>
      <c r="C1205" s="2">
        <f>IFERROR(__xludf.DUMMYFUNCTION("""COMPUTED_VALUE"""),29.19)</f>
        <v>29.19</v>
      </c>
      <c r="D1205" s="2">
        <f>IFERROR(__xludf.DUMMYFUNCTION("""COMPUTED_VALUE"""),29.01)</f>
        <v>29.01</v>
      </c>
      <c r="E1205" s="2">
        <f>IFERROR(__xludf.DUMMYFUNCTION("""COMPUTED_VALUE"""),29.1)</f>
        <v>29.1</v>
      </c>
      <c r="F1205" s="2">
        <f>IFERROR(__xludf.DUMMYFUNCTION("""COMPUTED_VALUE"""),722000.0)</f>
        <v>722000</v>
      </c>
    </row>
    <row r="1206">
      <c r="A1206" s="3">
        <f>IFERROR(__xludf.DUMMYFUNCTION("""COMPUTED_VALUE"""),30960.666666666668)</f>
        <v>30960.66667</v>
      </c>
      <c r="B1206" s="2">
        <f>IFERROR(__xludf.DUMMYFUNCTION("""COMPUTED_VALUE"""),28.95)</f>
        <v>28.95</v>
      </c>
      <c r="C1206" s="2">
        <f>IFERROR(__xludf.DUMMYFUNCTION("""COMPUTED_VALUE"""),29.22)</f>
        <v>29.22</v>
      </c>
      <c r="D1206" s="2">
        <f>IFERROR(__xludf.DUMMYFUNCTION("""COMPUTED_VALUE"""),28.92)</f>
        <v>28.92</v>
      </c>
      <c r="E1206" s="2">
        <f>IFERROR(__xludf.DUMMYFUNCTION("""COMPUTED_VALUE"""),28.95)</f>
        <v>28.95</v>
      </c>
      <c r="F1206" s="2">
        <f>IFERROR(__xludf.DUMMYFUNCTION("""COMPUTED_VALUE"""),574500.0)</f>
        <v>574500</v>
      </c>
    </row>
    <row r="1207">
      <c r="A1207" s="3">
        <f>IFERROR(__xludf.DUMMYFUNCTION("""COMPUTED_VALUE"""),30963.666666666668)</f>
        <v>30963.66667</v>
      </c>
      <c r="B1207" s="2">
        <f>IFERROR(__xludf.DUMMYFUNCTION("""COMPUTED_VALUE"""),28.92)</f>
        <v>28.92</v>
      </c>
      <c r="C1207" s="2">
        <f>IFERROR(__xludf.DUMMYFUNCTION("""COMPUTED_VALUE"""),28.92)</f>
        <v>28.92</v>
      </c>
      <c r="D1207" s="2">
        <f>IFERROR(__xludf.DUMMYFUNCTION("""COMPUTED_VALUE"""),28.71)</f>
        <v>28.71</v>
      </c>
      <c r="E1207" s="2">
        <f>IFERROR(__xludf.DUMMYFUNCTION("""COMPUTED_VALUE"""),28.92)</f>
        <v>28.92</v>
      </c>
      <c r="F1207" s="2">
        <f>IFERROR(__xludf.DUMMYFUNCTION("""COMPUTED_VALUE"""),439000.0)</f>
        <v>439000</v>
      </c>
    </row>
    <row r="1208">
      <c r="A1208" s="3">
        <f>IFERROR(__xludf.DUMMYFUNCTION("""COMPUTED_VALUE"""),30964.666666666668)</f>
        <v>30964.66667</v>
      </c>
      <c r="B1208" s="2">
        <f>IFERROR(__xludf.DUMMYFUNCTION("""COMPUTED_VALUE"""),28.86)</f>
        <v>28.86</v>
      </c>
      <c r="C1208" s="2">
        <f>IFERROR(__xludf.DUMMYFUNCTION("""COMPUTED_VALUE"""),29.19)</f>
        <v>29.19</v>
      </c>
      <c r="D1208" s="2">
        <f>IFERROR(__xludf.DUMMYFUNCTION("""COMPUTED_VALUE"""),28.77)</f>
        <v>28.77</v>
      </c>
      <c r="E1208" s="2">
        <f>IFERROR(__xludf.DUMMYFUNCTION("""COMPUTED_VALUE"""),28.86)</f>
        <v>28.86</v>
      </c>
      <c r="F1208" s="2">
        <f>IFERROR(__xludf.DUMMYFUNCTION("""COMPUTED_VALUE"""),918300.0)</f>
        <v>918300</v>
      </c>
    </row>
    <row r="1209">
      <c r="A1209" s="3">
        <f>IFERROR(__xludf.DUMMYFUNCTION("""COMPUTED_VALUE"""),30965.666666666668)</f>
        <v>30965.66667</v>
      </c>
      <c r="B1209" s="2">
        <f>IFERROR(__xludf.DUMMYFUNCTION("""COMPUTED_VALUE"""),29.1)</f>
        <v>29.1</v>
      </c>
      <c r="C1209" s="2">
        <f>IFERROR(__xludf.DUMMYFUNCTION("""COMPUTED_VALUE"""),29.1)</f>
        <v>29.1</v>
      </c>
      <c r="D1209" s="2">
        <f>IFERROR(__xludf.DUMMYFUNCTION("""COMPUTED_VALUE"""),28.36)</f>
        <v>28.36</v>
      </c>
      <c r="E1209" s="2">
        <f>IFERROR(__xludf.DUMMYFUNCTION("""COMPUTED_VALUE"""),29.1)</f>
        <v>29.1</v>
      </c>
      <c r="F1209" s="2">
        <f>IFERROR(__xludf.DUMMYFUNCTION("""COMPUTED_VALUE"""),1735300.0)</f>
        <v>1735300</v>
      </c>
    </row>
    <row r="1210">
      <c r="A1210" s="3">
        <f>IFERROR(__xludf.DUMMYFUNCTION("""COMPUTED_VALUE"""),30966.666666666668)</f>
        <v>30966.66667</v>
      </c>
      <c r="B1210" s="2">
        <f>IFERROR(__xludf.DUMMYFUNCTION("""COMPUTED_VALUE"""),28.71)</f>
        <v>28.71</v>
      </c>
      <c r="C1210" s="2">
        <f>IFERROR(__xludf.DUMMYFUNCTION("""COMPUTED_VALUE"""),29.16)</f>
        <v>29.16</v>
      </c>
      <c r="D1210" s="2">
        <f>IFERROR(__xludf.DUMMYFUNCTION("""COMPUTED_VALUE"""),28.68)</f>
        <v>28.68</v>
      </c>
      <c r="E1210" s="2">
        <f>IFERROR(__xludf.DUMMYFUNCTION("""COMPUTED_VALUE"""),28.71)</f>
        <v>28.71</v>
      </c>
      <c r="F1210" s="2">
        <f>IFERROR(__xludf.DUMMYFUNCTION("""COMPUTED_VALUE"""),1382100.0)</f>
        <v>1382100</v>
      </c>
    </row>
    <row r="1211">
      <c r="A1211" s="3">
        <f>IFERROR(__xludf.DUMMYFUNCTION("""COMPUTED_VALUE"""),30967.666666666668)</f>
        <v>30967.66667</v>
      </c>
      <c r="B1211" s="2">
        <f>IFERROR(__xludf.DUMMYFUNCTION("""COMPUTED_VALUE"""),29.1)</f>
        <v>29.1</v>
      </c>
      <c r="C1211" s="2">
        <f>IFERROR(__xludf.DUMMYFUNCTION("""COMPUTED_VALUE"""),29.19)</f>
        <v>29.19</v>
      </c>
      <c r="D1211" s="2">
        <f>IFERROR(__xludf.DUMMYFUNCTION("""COMPUTED_VALUE"""),28.8)</f>
        <v>28.8</v>
      </c>
      <c r="E1211" s="2">
        <f>IFERROR(__xludf.DUMMYFUNCTION("""COMPUTED_VALUE"""),29.1)</f>
        <v>29.1</v>
      </c>
      <c r="F1211" s="2">
        <f>IFERROR(__xludf.DUMMYFUNCTION("""COMPUTED_VALUE"""),1200800.0)</f>
        <v>1200800</v>
      </c>
    </row>
    <row r="1212">
      <c r="A1212" s="3">
        <f>IFERROR(__xludf.DUMMYFUNCTION("""COMPUTED_VALUE"""),30970.666666666668)</f>
        <v>30970.66667</v>
      </c>
      <c r="B1212" s="2">
        <f>IFERROR(__xludf.DUMMYFUNCTION("""COMPUTED_VALUE"""),29.25)</f>
        <v>29.25</v>
      </c>
      <c r="C1212" s="2">
        <f>IFERROR(__xludf.DUMMYFUNCTION("""COMPUTED_VALUE"""),29.46)</f>
        <v>29.46</v>
      </c>
      <c r="D1212" s="2">
        <f>IFERROR(__xludf.DUMMYFUNCTION("""COMPUTED_VALUE"""),28.98)</f>
        <v>28.98</v>
      </c>
      <c r="E1212" s="2">
        <f>IFERROR(__xludf.DUMMYFUNCTION("""COMPUTED_VALUE"""),29.25)</f>
        <v>29.25</v>
      </c>
      <c r="F1212" s="2">
        <f>IFERROR(__xludf.DUMMYFUNCTION("""COMPUTED_VALUE"""),1075500.0)</f>
        <v>1075500</v>
      </c>
    </row>
    <row r="1213">
      <c r="A1213" s="3">
        <f>IFERROR(__xludf.DUMMYFUNCTION("""COMPUTED_VALUE"""),30971.666666666668)</f>
        <v>30971.66667</v>
      </c>
      <c r="B1213" s="2">
        <f>IFERROR(__xludf.DUMMYFUNCTION("""COMPUTED_VALUE"""),28.95)</f>
        <v>28.95</v>
      </c>
      <c r="C1213" s="2">
        <f>IFERROR(__xludf.DUMMYFUNCTION("""COMPUTED_VALUE"""),29.31)</f>
        <v>29.31</v>
      </c>
      <c r="D1213" s="2">
        <f>IFERROR(__xludf.DUMMYFUNCTION("""COMPUTED_VALUE"""),28.77)</f>
        <v>28.77</v>
      </c>
      <c r="E1213" s="2">
        <f>IFERROR(__xludf.DUMMYFUNCTION("""COMPUTED_VALUE"""),28.95)</f>
        <v>28.95</v>
      </c>
      <c r="F1213" s="2">
        <f>IFERROR(__xludf.DUMMYFUNCTION("""COMPUTED_VALUE"""),1154200.0)</f>
        <v>1154200</v>
      </c>
    </row>
    <row r="1214">
      <c r="A1214" s="3">
        <f>IFERROR(__xludf.DUMMYFUNCTION("""COMPUTED_VALUE"""),30972.666666666668)</f>
        <v>30972.66667</v>
      </c>
      <c r="B1214" s="2">
        <f>IFERROR(__xludf.DUMMYFUNCTION("""COMPUTED_VALUE"""),29.1)</f>
        <v>29.1</v>
      </c>
      <c r="C1214" s="2">
        <f>IFERROR(__xludf.DUMMYFUNCTION("""COMPUTED_VALUE"""),29.37)</f>
        <v>29.37</v>
      </c>
      <c r="D1214" s="2">
        <f>IFERROR(__xludf.DUMMYFUNCTION("""COMPUTED_VALUE"""),28.8)</f>
        <v>28.8</v>
      </c>
      <c r="E1214" s="2">
        <f>IFERROR(__xludf.DUMMYFUNCTION("""COMPUTED_VALUE"""),29.1)</f>
        <v>29.1</v>
      </c>
      <c r="F1214" s="2">
        <f>IFERROR(__xludf.DUMMYFUNCTION("""COMPUTED_VALUE"""),770600.0)</f>
        <v>770600</v>
      </c>
    </row>
    <row r="1215">
      <c r="A1215" s="3">
        <f>IFERROR(__xludf.DUMMYFUNCTION("""COMPUTED_VALUE"""),30973.666666666668)</f>
        <v>30973.66667</v>
      </c>
      <c r="B1215" s="2">
        <f>IFERROR(__xludf.DUMMYFUNCTION("""COMPUTED_VALUE"""),30.09)</f>
        <v>30.09</v>
      </c>
      <c r="C1215" s="2">
        <f>IFERROR(__xludf.DUMMYFUNCTION("""COMPUTED_VALUE"""),30.15)</f>
        <v>30.15</v>
      </c>
      <c r="D1215" s="2">
        <f>IFERROR(__xludf.DUMMYFUNCTION("""COMPUTED_VALUE"""),29.07)</f>
        <v>29.07</v>
      </c>
      <c r="E1215" s="2">
        <f>IFERROR(__xludf.DUMMYFUNCTION("""COMPUTED_VALUE"""),30.09)</f>
        <v>30.09</v>
      </c>
      <c r="F1215" s="2">
        <f>IFERROR(__xludf.DUMMYFUNCTION("""COMPUTED_VALUE"""),1346000.0)</f>
        <v>1346000</v>
      </c>
    </row>
    <row r="1216">
      <c r="A1216" s="3">
        <f>IFERROR(__xludf.DUMMYFUNCTION("""COMPUTED_VALUE"""),30974.666666666668)</f>
        <v>30974.66667</v>
      </c>
      <c r="B1216" s="2">
        <f>IFERROR(__xludf.DUMMYFUNCTION("""COMPUTED_VALUE"""),29.85)</f>
        <v>29.85</v>
      </c>
      <c r="C1216" s="2">
        <f>IFERROR(__xludf.DUMMYFUNCTION("""COMPUTED_VALUE"""),30.51)</f>
        <v>30.51</v>
      </c>
      <c r="D1216" s="2">
        <f>IFERROR(__xludf.DUMMYFUNCTION("""COMPUTED_VALUE"""),29.7)</f>
        <v>29.7</v>
      </c>
      <c r="E1216" s="2">
        <f>IFERROR(__xludf.DUMMYFUNCTION("""COMPUTED_VALUE"""),29.85)</f>
        <v>29.85</v>
      </c>
      <c r="F1216" s="2">
        <f>IFERROR(__xludf.DUMMYFUNCTION("""COMPUTED_VALUE"""),1871400.0)</f>
        <v>1871400</v>
      </c>
    </row>
    <row r="1217">
      <c r="A1217" s="3">
        <f>IFERROR(__xludf.DUMMYFUNCTION("""COMPUTED_VALUE"""),30977.666666666668)</f>
        <v>30977.66667</v>
      </c>
      <c r="B1217" s="2">
        <f>IFERROR(__xludf.DUMMYFUNCTION("""COMPUTED_VALUE"""),30.09)</f>
        <v>30.09</v>
      </c>
      <c r="C1217" s="2">
        <f>IFERROR(__xludf.DUMMYFUNCTION("""COMPUTED_VALUE"""),30.21)</f>
        <v>30.21</v>
      </c>
      <c r="D1217" s="2">
        <f>IFERROR(__xludf.DUMMYFUNCTION("""COMPUTED_VALUE"""),29.82)</f>
        <v>29.82</v>
      </c>
      <c r="E1217" s="2">
        <f>IFERROR(__xludf.DUMMYFUNCTION("""COMPUTED_VALUE"""),30.09)</f>
        <v>30.09</v>
      </c>
      <c r="F1217" s="2">
        <f>IFERROR(__xludf.DUMMYFUNCTION("""COMPUTED_VALUE"""),960300.0)</f>
        <v>960300</v>
      </c>
    </row>
    <row r="1218">
      <c r="A1218" s="3">
        <f>IFERROR(__xludf.DUMMYFUNCTION("""COMPUTED_VALUE"""),30978.666666666668)</f>
        <v>30978.66667</v>
      </c>
      <c r="B1218" s="2">
        <f>IFERROR(__xludf.DUMMYFUNCTION("""COMPUTED_VALUE"""),30.24)</f>
        <v>30.24</v>
      </c>
      <c r="C1218" s="2">
        <f>IFERROR(__xludf.DUMMYFUNCTION("""COMPUTED_VALUE"""),30.42)</f>
        <v>30.42</v>
      </c>
      <c r="D1218" s="2">
        <f>IFERROR(__xludf.DUMMYFUNCTION("""COMPUTED_VALUE"""),30.09)</f>
        <v>30.09</v>
      </c>
      <c r="E1218" s="2">
        <f>IFERROR(__xludf.DUMMYFUNCTION("""COMPUTED_VALUE"""),30.24)</f>
        <v>30.24</v>
      </c>
      <c r="F1218" s="2">
        <f>IFERROR(__xludf.DUMMYFUNCTION("""COMPUTED_VALUE"""),1220400.0)</f>
        <v>1220400</v>
      </c>
    </row>
    <row r="1219">
      <c r="A1219" s="3">
        <f>IFERROR(__xludf.DUMMYFUNCTION("""COMPUTED_VALUE"""),30979.666666666668)</f>
        <v>30979.66667</v>
      </c>
      <c r="B1219" s="2">
        <f>IFERROR(__xludf.DUMMYFUNCTION("""COMPUTED_VALUE"""),30.27)</f>
        <v>30.27</v>
      </c>
      <c r="C1219" s="2">
        <f>IFERROR(__xludf.DUMMYFUNCTION("""COMPUTED_VALUE"""),30.42)</f>
        <v>30.42</v>
      </c>
      <c r="D1219" s="2">
        <f>IFERROR(__xludf.DUMMYFUNCTION("""COMPUTED_VALUE"""),30.15)</f>
        <v>30.15</v>
      </c>
      <c r="E1219" s="2">
        <f>IFERROR(__xludf.DUMMYFUNCTION("""COMPUTED_VALUE"""),30.27)</f>
        <v>30.27</v>
      </c>
      <c r="F1219" s="2">
        <f>IFERROR(__xludf.DUMMYFUNCTION("""COMPUTED_VALUE"""),855300.0)</f>
        <v>855300</v>
      </c>
    </row>
    <row r="1220">
      <c r="A1220" s="3">
        <f>IFERROR(__xludf.DUMMYFUNCTION("""COMPUTED_VALUE"""),30980.666666666668)</f>
        <v>30980.66667</v>
      </c>
      <c r="B1220" s="2">
        <f>IFERROR(__xludf.DUMMYFUNCTION("""COMPUTED_VALUE"""),29.88)</f>
        <v>29.88</v>
      </c>
      <c r="C1220" s="2">
        <f>IFERROR(__xludf.DUMMYFUNCTION("""COMPUTED_VALUE"""),30.27)</f>
        <v>30.27</v>
      </c>
      <c r="D1220" s="2">
        <f>IFERROR(__xludf.DUMMYFUNCTION("""COMPUTED_VALUE"""),29.82)</f>
        <v>29.82</v>
      </c>
      <c r="E1220" s="2">
        <f>IFERROR(__xludf.DUMMYFUNCTION("""COMPUTED_VALUE"""),29.88)</f>
        <v>29.88</v>
      </c>
      <c r="F1220" s="2">
        <f>IFERROR(__xludf.DUMMYFUNCTION("""COMPUTED_VALUE"""),1067200.0)</f>
        <v>1067200</v>
      </c>
    </row>
    <row r="1221">
      <c r="A1221" s="3">
        <f>IFERROR(__xludf.DUMMYFUNCTION("""COMPUTED_VALUE"""),30981.666666666668)</f>
        <v>30981.66667</v>
      </c>
      <c r="B1221" s="2">
        <f>IFERROR(__xludf.DUMMYFUNCTION("""COMPUTED_VALUE"""),29.64)</f>
        <v>29.64</v>
      </c>
      <c r="C1221" s="2">
        <f>IFERROR(__xludf.DUMMYFUNCTION("""COMPUTED_VALUE"""),29.76)</f>
        <v>29.76</v>
      </c>
      <c r="D1221" s="2">
        <f>IFERROR(__xludf.DUMMYFUNCTION("""COMPUTED_VALUE"""),29.55)</f>
        <v>29.55</v>
      </c>
      <c r="E1221" s="2">
        <f>IFERROR(__xludf.DUMMYFUNCTION("""COMPUTED_VALUE"""),29.64)</f>
        <v>29.64</v>
      </c>
      <c r="F1221" s="2">
        <f>IFERROR(__xludf.DUMMYFUNCTION("""COMPUTED_VALUE"""),642000.0)</f>
        <v>642000</v>
      </c>
    </row>
    <row r="1222">
      <c r="A1222" s="3">
        <f>IFERROR(__xludf.DUMMYFUNCTION("""COMPUTED_VALUE"""),30984.666666666668)</f>
        <v>30984.66667</v>
      </c>
      <c r="B1222" s="2">
        <f>IFERROR(__xludf.DUMMYFUNCTION("""COMPUTED_VALUE"""),29.76)</f>
        <v>29.76</v>
      </c>
      <c r="C1222" s="2">
        <f>IFERROR(__xludf.DUMMYFUNCTION("""COMPUTED_VALUE"""),29.82)</f>
        <v>29.82</v>
      </c>
      <c r="D1222" s="2">
        <f>IFERROR(__xludf.DUMMYFUNCTION("""COMPUTED_VALUE"""),29.64)</f>
        <v>29.64</v>
      </c>
      <c r="E1222" s="2">
        <f>IFERROR(__xludf.DUMMYFUNCTION("""COMPUTED_VALUE"""),29.76)</f>
        <v>29.76</v>
      </c>
      <c r="F1222" s="2">
        <f>IFERROR(__xludf.DUMMYFUNCTION("""COMPUTED_VALUE"""),387400.0)</f>
        <v>387400</v>
      </c>
    </row>
    <row r="1223">
      <c r="A1223" s="3">
        <f>IFERROR(__xludf.DUMMYFUNCTION("""COMPUTED_VALUE"""),30985.666666666668)</f>
        <v>30985.66667</v>
      </c>
      <c r="B1223" s="2">
        <f>IFERROR(__xludf.DUMMYFUNCTION("""COMPUTED_VALUE"""),30.27)</f>
        <v>30.27</v>
      </c>
      <c r="C1223" s="2">
        <f>IFERROR(__xludf.DUMMYFUNCTION("""COMPUTED_VALUE"""),30.36)</f>
        <v>30.36</v>
      </c>
      <c r="D1223" s="2">
        <f>IFERROR(__xludf.DUMMYFUNCTION("""COMPUTED_VALUE"""),29.88)</f>
        <v>29.88</v>
      </c>
      <c r="E1223" s="2">
        <f>IFERROR(__xludf.DUMMYFUNCTION("""COMPUTED_VALUE"""),30.27)</f>
        <v>30.27</v>
      </c>
      <c r="F1223" s="2">
        <f>IFERROR(__xludf.DUMMYFUNCTION("""COMPUTED_VALUE"""),990500.0)</f>
        <v>990500</v>
      </c>
    </row>
    <row r="1224">
      <c r="A1224" s="3">
        <f>IFERROR(__xludf.DUMMYFUNCTION("""COMPUTED_VALUE"""),30986.666666666668)</f>
        <v>30986.66667</v>
      </c>
      <c r="B1224" s="2">
        <f>IFERROR(__xludf.DUMMYFUNCTION("""COMPUTED_VALUE"""),29.76)</f>
        <v>29.76</v>
      </c>
      <c r="C1224" s="2">
        <f>IFERROR(__xludf.DUMMYFUNCTION("""COMPUTED_VALUE"""),30.12)</f>
        <v>30.12</v>
      </c>
      <c r="D1224" s="2">
        <f>IFERROR(__xludf.DUMMYFUNCTION("""COMPUTED_VALUE"""),29.76)</f>
        <v>29.76</v>
      </c>
      <c r="E1224" s="2">
        <f>IFERROR(__xludf.DUMMYFUNCTION("""COMPUTED_VALUE"""),29.76)</f>
        <v>29.76</v>
      </c>
      <c r="F1224" s="2">
        <f>IFERROR(__xludf.DUMMYFUNCTION("""COMPUTED_VALUE"""),929500.0)</f>
        <v>929500</v>
      </c>
    </row>
    <row r="1225">
      <c r="A1225" s="3">
        <f>IFERROR(__xludf.DUMMYFUNCTION("""COMPUTED_VALUE"""),30987.666666666668)</f>
        <v>30987.66667</v>
      </c>
      <c r="B1225" s="2">
        <f>IFERROR(__xludf.DUMMYFUNCTION("""COMPUTED_VALUE"""),30.03)</f>
        <v>30.03</v>
      </c>
      <c r="C1225" s="2">
        <f>IFERROR(__xludf.DUMMYFUNCTION("""COMPUTED_VALUE"""),30.3)</f>
        <v>30.3</v>
      </c>
      <c r="D1225" s="2">
        <f>IFERROR(__xludf.DUMMYFUNCTION("""COMPUTED_VALUE"""),29.91)</f>
        <v>29.91</v>
      </c>
      <c r="E1225" s="2">
        <f>IFERROR(__xludf.DUMMYFUNCTION("""COMPUTED_VALUE"""),30.03)</f>
        <v>30.03</v>
      </c>
      <c r="F1225" s="2">
        <f>IFERROR(__xludf.DUMMYFUNCTION("""COMPUTED_VALUE"""),1200100.0)</f>
        <v>1200100</v>
      </c>
    </row>
    <row r="1226">
      <c r="A1226" s="3">
        <f>IFERROR(__xludf.DUMMYFUNCTION("""COMPUTED_VALUE"""),30988.666666666668)</f>
        <v>30988.66667</v>
      </c>
      <c r="B1226" s="2">
        <f>IFERROR(__xludf.DUMMYFUNCTION("""COMPUTED_VALUE"""),30.06)</f>
        <v>30.06</v>
      </c>
      <c r="C1226" s="2">
        <f>IFERROR(__xludf.DUMMYFUNCTION("""COMPUTED_VALUE"""),30.21)</f>
        <v>30.21</v>
      </c>
      <c r="D1226" s="2">
        <f>IFERROR(__xludf.DUMMYFUNCTION("""COMPUTED_VALUE"""),30.03)</f>
        <v>30.03</v>
      </c>
      <c r="E1226" s="2">
        <f>IFERROR(__xludf.DUMMYFUNCTION("""COMPUTED_VALUE"""),30.06)</f>
        <v>30.06</v>
      </c>
      <c r="F1226" s="2">
        <f>IFERROR(__xludf.DUMMYFUNCTION("""COMPUTED_VALUE"""),763200.0)</f>
        <v>763200</v>
      </c>
    </row>
    <row r="1227">
      <c r="A1227" s="3">
        <f>IFERROR(__xludf.DUMMYFUNCTION("""COMPUTED_VALUE"""),30991.666666666668)</f>
        <v>30991.66667</v>
      </c>
      <c r="B1227" s="2">
        <f>IFERROR(__xludf.DUMMYFUNCTION("""COMPUTED_VALUE"""),30.27)</f>
        <v>30.27</v>
      </c>
      <c r="C1227" s="2">
        <f>IFERROR(__xludf.DUMMYFUNCTION("""COMPUTED_VALUE"""),30.3)</f>
        <v>30.3</v>
      </c>
      <c r="D1227" s="2">
        <f>IFERROR(__xludf.DUMMYFUNCTION("""COMPUTED_VALUE"""),29.55)</f>
        <v>29.55</v>
      </c>
      <c r="E1227" s="2">
        <f>IFERROR(__xludf.DUMMYFUNCTION("""COMPUTED_VALUE"""),30.27)</f>
        <v>30.27</v>
      </c>
      <c r="F1227" s="2">
        <f>IFERROR(__xludf.DUMMYFUNCTION("""COMPUTED_VALUE"""),589700.0)</f>
        <v>589700</v>
      </c>
    </row>
    <row r="1228">
      <c r="A1228" s="3">
        <f>IFERROR(__xludf.DUMMYFUNCTION("""COMPUTED_VALUE"""),30992.666666666668)</f>
        <v>30992.66667</v>
      </c>
      <c r="B1228" s="2">
        <f>IFERROR(__xludf.DUMMYFUNCTION("""COMPUTED_VALUE"""),30.45)</f>
        <v>30.45</v>
      </c>
      <c r="C1228" s="2">
        <f>IFERROR(__xludf.DUMMYFUNCTION("""COMPUTED_VALUE"""),30.51)</f>
        <v>30.51</v>
      </c>
      <c r="D1228" s="2">
        <f>IFERROR(__xludf.DUMMYFUNCTION("""COMPUTED_VALUE"""),30.21)</f>
        <v>30.21</v>
      </c>
      <c r="E1228" s="2">
        <f>IFERROR(__xludf.DUMMYFUNCTION("""COMPUTED_VALUE"""),30.45)</f>
        <v>30.45</v>
      </c>
      <c r="F1228" s="2">
        <f>IFERROR(__xludf.DUMMYFUNCTION("""COMPUTED_VALUE"""),1270600.0)</f>
        <v>1270600</v>
      </c>
    </row>
    <row r="1229">
      <c r="A1229" s="3">
        <f>IFERROR(__xludf.DUMMYFUNCTION("""COMPUTED_VALUE"""),30993.666666666668)</f>
        <v>30993.66667</v>
      </c>
      <c r="B1229" s="2">
        <f>IFERROR(__xludf.DUMMYFUNCTION("""COMPUTED_VALUE"""),30.03)</f>
        <v>30.03</v>
      </c>
      <c r="C1229" s="2">
        <f>IFERROR(__xludf.DUMMYFUNCTION("""COMPUTED_VALUE"""),30.36)</f>
        <v>30.36</v>
      </c>
      <c r="D1229" s="2">
        <f>IFERROR(__xludf.DUMMYFUNCTION("""COMPUTED_VALUE"""),29.94)</f>
        <v>29.94</v>
      </c>
      <c r="E1229" s="2">
        <f>IFERROR(__xludf.DUMMYFUNCTION("""COMPUTED_VALUE"""),30.03)</f>
        <v>30.03</v>
      </c>
      <c r="F1229" s="2">
        <f>IFERROR(__xludf.DUMMYFUNCTION("""COMPUTED_VALUE"""),1668400.0)</f>
        <v>1668400</v>
      </c>
    </row>
    <row r="1230">
      <c r="A1230" s="3">
        <f>IFERROR(__xludf.DUMMYFUNCTION("""COMPUTED_VALUE"""),30994.666666666668)</f>
        <v>30994.66667</v>
      </c>
      <c r="B1230" s="2">
        <f>IFERROR(__xludf.DUMMYFUNCTION("""COMPUTED_VALUE"""),29.82)</f>
        <v>29.82</v>
      </c>
      <c r="C1230" s="2">
        <f>IFERROR(__xludf.DUMMYFUNCTION("""COMPUTED_VALUE"""),30.03)</f>
        <v>30.03</v>
      </c>
      <c r="D1230" s="2">
        <f>IFERROR(__xludf.DUMMYFUNCTION("""COMPUTED_VALUE"""),29.67)</f>
        <v>29.67</v>
      </c>
      <c r="E1230" s="2">
        <f>IFERROR(__xludf.DUMMYFUNCTION("""COMPUTED_VALUE"""),29.82)</f>
        <v>29.82</v>
      </c>
      <c r="F1230" s="2">
        <f>IFERROR(__xludf.DUMMYFUNCTION("""COMPUTED_VALUE"""),1056700.0)</f>
        <v>1056700</v>
      </c>
    </row>
    <row r="1231">
      <c r="A1231" s="3">
        <f>IFERROR(__xludf.DUMMYFUNCTION("""COMPUTED_VALUE"""),30995.666666666668)</f>
        <v>30995.66667</v>
      </c>
      <c r="B1231" s="2">
        <f>IFERROR(__xludf.DUMMYFUNCTION("""COMPUTED_VALUE"""),29.43)</f>
        <v>29.43</v>
      </c>
      <c r="C1231" s="2">
        <f>IFERROR(__xludf.DUMMYFUNCTION("""COMPUTED_VALUE"""),29.97)</f>
        <v>29.97</v>
      </c>
      <c r="D1231" s="2">
        <f>IFERROR(__xludf.DUMMYFUNCTION("""COMPUTED_VALUE"""),29.43)</f>
        <v>29.43</v>
      </c>
      <c r="E1231" s="2">
        <f>IFERROR(__xludf.DUMMYFUNCTION("""COMPUTED_VALUE"""),29.43)</f>
        <v>29.43</v>
      </c>
      <c r="F1231" s="2">
        <f>IFERROR(__xludf.DUMMYFUNCTION("""COMPUTED_VALUE"""),944300.0)</f>
        <v>944300</v>
      </c>
    </row>
    <row r="1232">
      <c r="A1232" s="3">
        <f>IFERROR(__xludf.DUMMYFUNCTION("""COMPUTED_VALUE"""),30998.666666666668)</f>
        <v>30998.66667</v>
      </c>
      <c r="B1232" s="2">
        <f>IFERROR(__xludf.DUMMYFUNCTION("""COMPUTED_VALUE"""),29.61)</f>
        <v>29.61</v>
      </c>
      <c r="C1232" s="2">
        <f>IFERROR(__xludf.DUMMYFUNCTION("""COMPUTED_VALUE"""),29.61)</f>
        <v>29.61</v>
      </c>
      <c r="D1232" s="2">
        <f>IFERROR(__xludf.DUMMYFUNCTION("""COMPUTED_VALUE"""),29.31)</f>
        <v>29.31</v>
      </c>
      <c r="E1232" s="2">
        <f>IFERROR(__xludf.DUMMYFUNCTION("""COMPUTED_VALUE"""),29.61)</f>
        <v>29.61</v>
      </c>
      <c r="F1232" s="2">
        <f>IFERROR(__xludf.DUMMYFUNCTION("""COMPUTED_VALUE"""),782700.0)</f>
        <v>782700</v>
      </c>
    </row>
    <row r="1233">
      <c r="A1233" s="3">
        <f>IFERROR(__xludf.DUMMYFUNCTION("""COMPUTED_VALUE"""),30999.666666666668)</f>
        <v>30999.66667</v>
      </c>
      <c r="B1233" s="2">
        <f>IFERROR(__xludf.DUMMYFUNCTION("""COMPUTED_VALUE"""),29.31)</f>
        <v>29.31</v>
      </c>
      <c r="C1233" s="2">
        <f>IFERROR(__xludf.DUMMYFUNCTION("""COMPUTED_VALUE"""),29.67)</f>
        <v>29.67</v>
      </c>
      <c r="D1233" s="2">
        <f>IFERROR(__xludf.DUMMYFUNCTION("""COMPUTED_VALUE"""),29.25)</f>
        <v>29.25</v>
      </c>
      <c r="E1233" s="2">
        <f>IFERROR(__xludf.DUMMYFUNCTION("""COMPUTED_VALUE"""),29.31)</f>
        <v>29.31</v>
      </c>
      <c r="F1233" s="2">
        <f>IFERROR(__xludf.DUMMYFUNCTION("""COMPUTED_VALUE"""),1111000.0)</f>
        <v>1111000</v>
      </c>
    </row>
    <row r="1234">
      <c r="A1234" s="3">
        <f>IFERROR(__xludf.DUMMYFUNCTION("""COMPUTED_VALUE"""),31000.666666666668)</f>
        <v>31000.66667</v>
      </c>
      <c r="B1234" s="2">
        <f>IFERROR(__xludf.DUMMYFUNCTION("""COMPUTED_VALUE"""),29.4)</f>
        <v>29.4</v>
      </c>
      <c r="C1234" s="2">
        <f>IFERROR(__xludf.DUMMYFUNCTION("""COMPUTED_VALUE"""),29.55)</f>
        <v>29.55</v>
      </c>
      <c r="D1234" s="2">
        <f>IFERROR(__xludf.DUMMYFUNCTION("""COMPUTED_VALUE"""),29.13)</f>
        <v>29.13</v>
      </c>
      <c r="E1234" s="2">
        <f>IFERROR(__xludf.DUMMYFUNCTION("""COMPUTED_VALUE"""),29.4)</f>
        <v>29.4</v>
      </c>
      <c r="F1234" s="2">
        <f>IFERROR(__xludf.DUMMYFUNCTION("""COMPUTED_VALUE"""),988200.0)</f>
        <v>988200</v>
      </c>
    </row>
    <row r="1235">
      <c r="A1235" s="3">
        <f>IFERROR(__xludf.DUMMYFUNCTION("""COMPUTED_VALUE"""),31001.666666666668)</f>
        <v>31001.66667</v>
      </c>
      <c r="B1235" s="2">
        <f>IFERROR(__xludf.DUMMYFUNCTION("""COMPUTED_VALUE"""),29.31)</f>
        <v>29.31</v>
      </c>
      <c r="C1235" s="2">
        <f>IFERROR(__xludf.DUMMYFUNCTION("""COMPUTED_VALUE"""),29.43)</f>
        <v>29.43</v>
      </c>
      <c r="D1235" s="2">
        <f>IFERROR(__xludf.DUMMYFUNCTION("""COMPUTED_VALUE"""),29.13)</f>
        <v>29.13</v>
      </c>
      <c r="E1235" s="2">
        <f>IFERROR(__xludf.DUMMYFUNCTION("""COMPUTED_VALUE"""),29.31)</f>
        <v>29.31</v>
      </c>
      <c r="F1235" s="2">
        <f>IFERROR(__xludf.DUMMYFUNCTION("""COMPUTED_VALUE"""),709100.0)</f>
        <v>709100</v>
      </c>
    </row>
    <row r="1236">
      <c r="A1236" s="3">
        <f>IFERROR(__xludf.DUMMYFUNCTION("""COMPUTED_VALUE"""),31002.666666666668)</f>
        <v>31002.66667</v>
      </c>
      <c r="B1236" s="2">
        <f>IFERROR(__xludf.DUMMYFUNCTION("""COMPUTED_VALUE"""),29.01)</f>
        <v>29.01</v>
      </c>
      <c r="C1236" s="2">
        <f>IFERROR(__xludf.DUMMYFUNCTION("""COMPUTED_VALUE"""),29.4)</f>
        <v>29.4</v>
      </c>
      <c r="D1236" s="2">
        <f>IFERROR(__xludf.DUMMYFUNCTION("""COMPUTED_VALUE"""),28.92)</f>
        <v>28.92</v>
      </c>
      <c r="E1236" s="2">
        <f>IFERROR(__xludf.DUMMYFUNCTION("""COMPUTED_VALUE"""),29.01)</f>
        <v>29.01</v>
      </c>
      <c r="F1236" s="2">
        <f>IFERROR(__xludf.DUMMYFUNCTION("""COMPUTED_VALUE"""),1120300.0)</f>
        <v>1120300</v>
      </c>
    </row>
    <row r="1237">
      <c r="A1237" s="3">
        <f>IFERROR(__xludf.DUMMYFUNCTION("""COMPUTED_VALUE"""),31005.666666666668)</f>
        <v>31005.66667</v>
      </c>
      <c r="B1237" s="2">
        <f>IFERROR(__xludf.DUMMYFUNCTION("""COMPUTED_VALUE"""),28.65)</f>
        <v>28.65</v>
      </c>
      <c r="C1237" s="2">
        <f>IFERROR(__xludf.DUMMYFUNCTION("""COMPUTED_VALUE"""),29.04)</f>
        <v>29.04</v>
      </c>
      <c r="D1237" s="2">
        <f>IFERROR(__xludf.DUMMYFUNCTION("""COMPUTED_VALUE"""),28.54)</f>
        <v>28.54</v>
      </c>
      <c r="E1237" s="2">
        <f>IFERROR(__xludf.DUMMYFUNCTION("""COMPUTED_VALUE"""),28.65)</f>
        <v>28.65</v>
      </c>
      <c r="F1237" s="2">
        <f>IFERROR(__xludf.DUMMYFUNCTION("""COMPUTED_VALUE"""),1073400.0)</f>
        <v>1073400</v>
      </c>
    </row>
    <row r="1238">
      <c r="A1238" s="3">
        <f>IFERROR(__xludf.DUMMYFUNCTION("""COMPUTED_VALUE"""),31006.666666666668)</f>
        <v>31006.66667</v>
      </c>
      <c r="B1238" s="2">
        <f>IFERROR(__xludf.DUMMYFUNCTION("""COMPUTED_VALUE"""),28.95)</f>
        <v>28.95</v>
      </c>
      <c r="C1238" s="2">
        <f>IFERROR(__xludf.DUMMYFUNCTION("""COMPUTED_VALUE"""),28.98)</f>
        <v>28.98</v>
      </c>
      <c r="D1238" s="2">
        <f>IFERROR(__xludf.DUMMYFUNCTION("""COMPUTED_VALUE"""),28.68)</f>
        <v>28.68</v>
      </c>
      <c r="E1238" s="2">
        <f>IFERROR(__xludf.DUMMYFUNCTION("""COMPUTED_VALUE"""),28.95)</f>
        <v>28.95</v>
      </c>
      <c r="F1238" s="2">
        <f>IFERROR(__xludf.DUMMYFUNCTION("""COMPUTED_VALUE"""),1359800.0)</f>
        <v>1359800</v>
      </c>
    </row>
    <row r="1239">
      <c r="A1239" s="3">
        <f>IFERROR(__xludf.DUMMYFUNCTION("""COMPUTED_VALUE"""),31007.666666666668)</f>
        <v>31007.66667</v>
      </c>
      <c r="B1239" s="2">
        <f>IFERROR(__xludf.DUMMYFUNCTION("""COMPUTED_VALUE"""),28.89)</f>
        <v>28.89</v>
      </c>
      <c r="C1239" s="2">
        <f>IFERROR(__xludf.DUMMYFUNCTION("""COMPUTED_VALUE"""),28.98)</f>
        <v>28.98</v>
      </c>
      <c r="D1239" s="2">
        <f>IFERROR(__xludf.DUMMYFUNCTION("""COMPUTED_VALUE"""),28.57)</f>
        <v>28.57</v>
      </c>
      <c r="E1239" s="2">
        <f>IFERROR(__xludf.DUMMYFUNCTION("""COMPUTED_VALUE"""),28.89)</f>
        <v>28.89</v>
      </c>
      <c r="F1239" s="2">
        <f>IFERROR(__xludf.DUMMYFUNCTION("""COMPUTED_VALUE"""),1066800.0)</f>
        <v>1066800</v>
      </c>
    </row>
    <row r="1240">
      <c r="A1240" s="3">
        <f>IFERROR(__xludf.DUMMYFUNCTION("""COMPUTED_VALUE"""),31009.666666666668)</f>
        <v>31009.66667</v>
      </c>
      <c r="B1240" s="2">
        <f>IFERROR(__xludf.DUMMYFUNCTION("""COMPUTED_VALUE"""),29.28)</f>
        <v>29.28</v>
      </c>
      <c r="C1240" s="2">
        <f>IFERROR(__xludf.DUMMYFUNCTION("""COMPUTED_VALUE"""),29.28)</f>
        <v>29.28</v>
      </c>
      <c r="D1240" s="2">
        <f>IFERROR(__xludf.DUMMYFUNCTION("""COMPUTED_VALUE"""),28.92)</f>
        <v>28.92</v>
      </c>
      <c r="E1240" s="2">
        <f>IFERROR(__xludf.DUMMYFUNCTION("""COMPUTED_VALUE"""),29.28)</f>
        <v>29.28</v>
      </c>
      <c r="F1240" s="2">
        <f>IFERROR(__xludf.DUMMYFUNCTION("""COMPUTED_VALUE"""),1027100.0)</f>
        <v>1027100</v>
      </c>
    </row>
    <row r="1241">
      <c r="A1241" s="3">
        <f>IFERROR(__xludf.DUMMYFUNCTION("""COMPUTED_VALUE"""),31012.666666666668)</f>
        <v>31012.66667</v>
      </c>
      <c r="B1241" s="2">
        <f>IFERROR(__xludf.DUMMYFUNCTION("""COMPUTED_VALUE"""),29.34)</f>
        <v>29.34</v>
      </c>
      <c r="C1241" s="2">
        <f>IFERROR(__xludf.DUMMYFUNCTION("""COMPUTED_VALUE"""),29.43)</f>
        <v>29.43</v>
      </c>
      <c r="D1241" s="2">
        <f>IFERROR(__xludf.DUMMYFUNCTION("""COMPUTED_VALUE"""),29.16)</f>
        <v>29.16</v>
      </c>
      <c r="E1241" s="2">
        <f>IFERROR(__xludf.DUMMYFUNCTION("""COMPUTED_VALUE"""),29.34)</f>
        <v>29.34</v>
      </c>
      <c r="F1241" s="2">
        <f>IFERROR(__xludf.DUMMYFUNCTION("""COMPUTED_VALUE"""),1013700.0)</f>
        <v>1013700</v>
      </c>
    </row>
    <row r="1242">
      <c r="A1242" s="3">
        <f>IFERROR(__xludf.DUMMYFUNCTION("""COMPUTED_VALUE"""),31013.666666666668)</f>
        <v>31013.66667</v>
      </c>
      <c r="B1242" s="2">
        <f>IFERROR(__xludf.DUMMYFUNCTION("""COMPUTED_VALUE"""),29.79)</f>
        <v>29.79</v>
      </c>
      <c r="C1242" s="2">
        <f>IFERROR(__xludf.DUMMYFUNCTION("""COMPUTED_VALUE"""),29.88)</f>
        <v>29.88</v>
      </c>
      <c r="D1242" s="2">
        <f>IFERROR(__xludf.DUMMYFUNCTION("""COMPUTED_VALUE"""),29.31)</f>
        <v>29.31</v>
      </c>
      <c r="E1242" s="2">
        <f>IFERROR(__xludf.DUMMYFUNCTION("""COMPUTED_VALUE"""),29.79)</f>
        <v>29.79</v>
      </c>
      <c r="F1242" s="2">
        <f>IFERROR(__xludf.DUMMYFUNCTION("""COMPUTED_VALUE"""),1319400.0)</f>
        <v>1319400</v>
      </c>
    </row>
    <row r="1243">
      <c r="A1243" s="3">
        <f>IFERROR(__xludf.DUMMYFUNCTION("""COMPUTED_VALUE"""),31014.666666666668)</f>
        <v>31014.66667</v>
      </c>
      <c r="B1243" s="2">
        <f>IFERROR(__xludf.DUMMYFUNCTION("""COMPUTED_VALUE"""),29.4)</f>
        <v>29.4</v>
      </c>
      <c r="C1243" s="2">
        <f>IFERROR(__xludf.DUMMYFUNCTION("""COMPUTED_VALUE"""),29.82)</f>
        <v>29.82</v>
      </c>
      <c r="D1243" s="2">
        <f>IFERROR(__xludf.DUMMYFUNCTION("""COMPUTED_VALUE"""),29.37)</f>
        <v>29.37</v>
      </c>
      <c r="E1243" s="2">
        <f>IFERROR(__xludf.DUMMYFUNCTION("""COMPUTED_VALUE"""),29.4)</f>
        <v>29.4</v>
      </c>
      <c r="F1243" s="2">
        <f>IFERROR(__xludf.DUMMYFUNCTION("""COMPUTED_VALUE"""),947700.0)</f>
        <v>947700</v>
      </c>
    </row>
    <row r="1244">
      <c r="A1244" s="3">
        <f>IFERROR(__xludf.DUMMYFUNCTION("""COMPUTED_VALUE"""),31015.666666666668)</f>
        <v>31015.66667</v>
      </c>
      <c r="B1244" s="2">
        <f>IFERROR(__xludf.DUMMYFUNCTION("""COMPUTED_VALUE"""),29.13)</f>
        <v>29.13</v>
      </c>
      <c r="C1244" s="2">
        <f>IFERROR(__xludf.DUMMYFUNCTION("""COMPUTED_VALUE"""),29.4)</f>
        <v>29.4</v>
      </c>
      <c r="D1244" s="2">
        <f>IFERROR(__xludf.DUMMYFUNCTION("""COMPUTED_VALUE"""),29.04)</f>
        <v>29.04</v>
      </c>
      <c r="E1244" s="2">
        <f>IFERROR(__xludf.DUMMYFUNCTION("""COMPUTED_VALUE"""),29.13)</f>
        <v>29.13</v>
      </c>
      <c r="F1244" s="2">
        <f>IFERROR(__xludf.DUMMYFUNCTION("""COMPUTED_VALUE"""),1034200.0)</f>
        <v>1034200</v>
      </c>
    </row>
    <row r="1245">
      <c r="A1245" s="3">
        <f>IFERROR(__xludf.DUMMYFUNCTION("""COMPUTED_VALUE"""),31016.666666666668)</f>
        <v>31016.66667</v>
      </c>
      <c r="B1245" s="2">
        <f>IFERROR(__xludf.DUMMYFUNCTION("""COMPUTED_VALUE"""),29.07)</f>
        <v>29.07</v>
      </c>
      <c r="C1245" s="2">
        <f>IFERROR(__xludf.DUMMYFUNCTION("""COMPUTED_VALUE"""),29.19)</f>
        <v>29.19</v>
      </c>
      <c r="D1245" s="2">
        <f>IFERROR(__xludf.DUMMYFUNCTION("""COMPUTED_VALUE"""),28.83)</f>
        <v>28.83</v>
      </c>
      <c r="E1245" s="2">
        <f>IFERROR(__xludf.DUMMYFUNCTION("""COMPUTED_VALUE"""),29.07)</f>
        <v>29.07</v>
      </c>
      <c r="F1245" s="2">
        <f>IFERROR(__xludf.DUMMYFUNCTION("""COMPUTED_VALUE"""),831700.0)</f>
        <v>831700</v>
      </c>
    </row>
    <row r="1246">
      <c r="A1246" s="3">
        <f>IFERROR(__xludf.DUMMYFUNCTION("""COMPUTED_VALUE"""),31019.666666666668)</f>
        <v>31019.66667</v>
      </c>
      <c r="B1246" s="2">
        <f>IFERROR(__xludf.DUMMYFUNCTION("""COMPUTED_VALUE"""),28.65)</f>
        <v>28.65</v>
      </c>
      <c r="C1246" s="2">
        <f>IFERROR(__xludf.DUMMYFUNCTION("""COMPUTED_VALUE"""),28.98)</f>
        <v>28.98</v>
      </c>
      <c r="D1246" s="2">
        <f>IFERROR(__xludf.DUMMYFUNCTION("""COMPUTED_VALUE"""),28.54)</f>
        <v>28.54</v>
      </c>
      <c r="E1246" s="2">
        <f>IFERROR(__xludf.DUMMYFUNCTION("""COMPUTED_VALUE"""),28.65)</f>
        <v>28.65</v>
      </c>
      <c r="F1246" s="2">
        <f>IFERROR(__xludf.DUMMYFUNCTION("""COMPUTED_VALUE"""),1303000.0)</f>
        <v>1303000</v>
      </c>
    </row>
    <row r="1247">
      <c r="A1247" s="3">
        <f>IFERROR(__xludf.DUMMYFUNCTION("""COMPUTED_VALUE"""),31020.666666666668)</f>
        <v>31020.66667</v>
      </c>
      <c r="B1247" s="2">
        <f>IFERROR(__xludf.DUMMYFUNCTION("""COMPUTED_VALUE"""),28.71)</f>
        <v>28.71</v>
      </c>
      <c r="C1247" s="2">
        <f>IFERROR(__xludf.DUMMYFUNCTION("""COMPUTED_VALUE"""),28.89)</f>
        <v>28.89</v>
      </c>
      <c r="D1247" s="2">
        <f>IFERROR(__xludf.DUMMYFUNCTION("""COMPUTED_VALUE"""),28.65)</f>
        <v>28.65</v>
      </c>
      <c r="E1247" s="2">
        <f>IFERROR(__xludf.DUMMYFUNCTION("""COMPUTED_VALUE"""),28.71)</f>
        <v>28.71</v>
      </c>
      <c r="F1247" s="2">
        <f>IFERROR(__xludf.DUMMYFUNCTION("""COMPUTED_VALUE"""),997000.0)</f>
        <v>997000</v>
      </c>
    </row>
    <row r="1248">
      <c r="A1248" s="3">
        <f>IFERROR(__xludf.DUMMYFUNCTION("""COMPUTED_VALUE"""),31021.666666666668)</f>
        <v>31021.66667</v>
      </c>
      <c r="B1248" s="2">
        <f>IFERROR(__xludf.DUMMYFUNCTION("""COMPUTED_VALUE"""),28.15)</f>
        <v>28.15</v>
      </c>
      <c r="C1248" s="2">
        <f>IFERROR(__xludf.DUMMYFUNCTION("""COMPUTED_VALUE"""),28.71)</f>
        <v>28.71</v>
      </c>
      <c r="D1248" s="2">
        <f>IFERROR(__xludf.DUMMYFUNCTION("""COMPUTED_VALUE"""),28.03)</f>
        <v>28.03</v>
      </c>
      <c r="E1248" s="2">
        <f>IFERROR(__xludf.DUMMYFUNCTION("""COMPUTED_VALUE"""),28.15)</f>
        <v>28.15</v>
      </c>
      <c r="F1248" s="2">
        <f>IFERROR(__xludf.DUMMYFUNCTION("""COMPUTED_VALUE"""),1276300.0)</f>
        <v>1276300</v>
      </c>
    </row>
    <row r="1249">
      <c r="A1249" s="3">
        <f>IFERROR(__xludf.DUMMYFUNCTION("""COMPUTED_VALUE"""),31022.666666666668)</f>
        <v>31022.66667</v>
      </c>
      <c r="B1249" s="2">
        <f>IFERROR(__xludf.DUMMYFUNCTION("""COMPUTED_VALUE"""),28.3)</f>
        <v>28.3</v>
      </c>
      <c r="C1249" s="2">
        <f>IFERROR(__xludf.DUMMYFUNCTION("""COMPUTED_VALUE"""),28.48)</f>
        <v>28.48</v>
      </c>
      <c r="D1249" s="2">
        <f>IFERROR(__xludf.DUMMYFUNCTION("""COMPUTED_VALUE"""),28.0)</f>
        <v>28</v>
      </c>
      <c r="E1249" s="2">
        <f>IFERROR(__xludf.DUMMYFUNCTION("""COMPUTED_VALUE"""),28.3)</f>
        <v>28.3</v>
      </c>
      <c r="F1249" s="2">
        <f>IFERROR(__xludf.DUMMYFUNCTION("""COMPUTED_VALUE"""),1424600.0)</f>
        <v>1424600</v>
      </c>
    </row>
    <row r="1250">
      <c r="A1250" s="3">
        <f>IFERROR(__xludf.DUMMYFUNCTION("""COMPUTED_VALUE"""),31023.666666666668)</f>
        <v>31023.66667</v>
      </c>
      <c r="B1250" s="2">
        <f>IFERROR(__xludf.DUMMYFUNCTION("""COMPUTED_VALUE"""),27.97)</f>
        <v>27.97</v>
      </c>
      <c r="C1250" s="2">
        <f>IFERROR(__xludf.DUMMYFUNCTION("""COMPUTED_VALUE"""),28.45)</f>
        <v>28.45</v>
      </c>
      <c r="D1250" s="2">
        <f>IFERROR(__xludf.DUMMYFUNCTION("""COMPUTED_VALUE"""),27.82)</f>
        <v>27.82</v>
      </c>
      <c r="E1250" s="2">
        <f>IFERROR(__xludf.DUMMYFUNCTION("""COMPUTED_VALUE"""),27.97)</f>
        <v>27.97</v>
      </c>
      <c r="F1250" s="2">
        <f>IFERROR(__xludf.DUMMYFUNCTION("""COMPUTED_VALUE"""),1015600.0)</f>
        <v>1015600</v>
      </c>
    </row>
    <row r="1251">
      <c r="A1251" s="3">
        <f>IFERROR(__xludf.DUMMYFUNCTION("""COMPUTED_VALUE"""),31026.666666666668)</f>
        <v>31026.66667</v>
      </c>
      <c r="B1251" s="2">
        <f>IFERROR(__xludf.DUMMYFUNCTION("""COMPUTED_VALUE"""),28.15)</f>
        <v>28.15</v>
      </c>
      <c r="C1251" s="2">
        <f>IFERROR(__xludf.DUMMYFUNCTION("""COMPUTED_VALUE"""),28.24)</f>
        <v>28.24</v>
      </c>
      <c r="D1251" s="2">
        <f>IFERROR(__xludf.DUMMYFUNCTION("""COMPUTED_VALUE"""),27.7)</f>
        <v>27.7</v>
      </c>
      <c r="E1251" s="2">
        <f>IFERROR(__xludf.DUMMYFUNCTION("""COMPUTED_VALUE"""),28.15)</f>
        <v>28.15</v>
      </c>
      <c r="F1251" s="2">
        <f>IFERROR(__xludf.DUMMYFUNCTION("""COMPUTED_VALUE"""),1711000.0)</f>
        <v>1711000</v>
      </c>
    </row>
    <row r="1252">
      <c r="A1252" s="3">
        <f>IFERROR(__xludf.DUMMYFUNCTION("""COMPUTED_VALUE"""),31027.666666666668)</f>
        <v>31027.66667</v>
      </c>
      <c r="B1252" s="2">
        <f>IFERROR(__xludf.DUMMYFUNCTION("""COMPUTED_VALUE"""),28.45)</f>
        <v>28.45</v>
      </c>
      <c r="C1252" s="2">
        <f>IFERROR(__xludf.DUMMYFUNCTION("""COMPUTED_VALUE"""),28.45)</f>
        <v>28.45</v>
      </c>
      <c r="D1252" s="2">
        <f>IFERROR(__xludf.DUMMYFUNCTION("""COMPUTED_VALUE"""),28.12)</f>
        <v>28.12</v>
      </c>
      <c r="E1252" s="2">
        <f>IFERROR(__xludf.DUMMYFUNCTION("""COMPUTED_VALUE"""),28.45)</f>
        <v>28.45</v>
      </c>
      <c r="F1252" s="2">
        <f>IFERROR(__xludf.DUMMYFUNCTION("""COMPUTED_VALUE"""),1285000.0)</f>
        <v>1285000</v>
      </c>
    </row>
    <row r="1253">
      <c r="A1253" s="3">
        <f>IFERROR(__xludf.DUMMYFUNCTION("""COMPUTED_VALUE"""),31028.666666666668)</f>
        <v>31028.66667</v>
      </c>
      <c r="B1253" s="2">
        <f>IFERROR(__xludf.DUMMYFUNCTION("""COMPUTED_VALUE"""),28.36)</f>
        <v>28.36</v>
      </c>
      <c r="C1253" s="2">
        <f>IFERROR(__xludf.DUMMYFUNCTION("""COMPUTED_VALUE"""),28.51)</f>
        <v>28.51</v>
      </c>
      <c r="D1253" s="2">
        <f>IFERROR(__xludf.DUMMYFUNCTION("""COMPUTED_VALUE"""),28.27)</f>
        <v>28.27</v>
      </c>
      <c r="E1253" s="2">
        <f>IFERROR(__xludf.DUMMYFUNCTION("""COMPUTED_VALUE"""),28.36)</f>
        <v>28.36</v>
      </c>
      <c r="F1253" s="2">
        <f>IFERROR(__xludf.DUMMYFUNCTION("""COMPUTED_VALUE"""),687200.0)</f>
        <v>687200</v>
      </c>
    </row>
    <row r="1254">
      <c r="A1254" s="3">
        <f>IFERROR(__xludf.DUMMYFUNCTION("""COMPUTED_VALUE"""),31029.666666666668)</f>
        <v>31029.66667</v>
      </c>
      <c r="B1254" s="2">
        <f>IFERROR(__xludf.DUMMYFUNCTION("""COMPUTED_VALUE"""),28.12)</f>
        <v>28.12</v>
      </c>
      <c r="C1254" s="2">
        <f>IFERROR(__xludf.DUMMYFUNCTION("""COMPUTED_VALUE"""),28.57)</f>
        <v>28.57</v>
      </c>
      <c r="D1254" s="2">
        <f>IFERROR(__xludf.DUMMYFUNCTION("""COMPUTED_VALUE"""),28.06)</f>
        <v>28.06</v>
      </c>
      <c r="E1254" s="2">
        <f>IFERROR(__xludf.DUMMYFUNCTION("""COMPUTED_VALUE"""),28.12)</f>
        <v>28.12</v>
      </c>
      <c r="F1254" s="2">
        <f>IFERROR(__xludf.DUMMYFUNCTION("""COMPUTED_VALUE"""),1147700.0)</f>
        <v>1147700</v>
      </c>
    </row>
    <row r="1255">
      <c r="A1255" s="3">
        <f>IFERROR(__xludf.DUMMYFUNCTION("""COMPUTED_VALUE"""),31030.666666666668)</f>
        <v>31030.66667</v>
      </c>
      <c r="B1255" s="2">
        <f>IFERROR(__xludf.DUMMYFUNCTION("""COMPUTED_VALUE"""),28.36)</f>
        <v>28.36</v>
      </c>
      <c r="C1255" s="2">
        <f>IFERROR(__xludf.DUMMYFUNCTION("""COMPUTED_VALUE"""),28.71)</f>
        <v>28.71</v>
      </c>
      <c r="D1255" s="2">
        <f>IFERROR(__xludf.DUMMYFUNCTION("""COMPUTED_VALUE"""),28.15)</f>
        <v>28.15</v>
      </c>
      <c r="E1255" s="2">
        <f>IFERROR(__xludf.DUMMYFUNCTION("""COMPUTED_VALUE"""),28.36)</f>
        <v>28.36</v>
      </c>
      <c r="F1255" s="2">
        <f>IFERROR(__xludf.DUMMYFUNCTION("""COMPUTED_VALUE"""),1366600.0)</f>
        <v>1366600</v>
      </c>
    </row>
    <row r="1256">
      <c r="A1256" s="3">
        <f>IFERROR(__xludf.DUMMYFUNCTION("""COMPUTED_VALUE"""),31033.666666666668)</f>
        <v>31033.66667</v>
      </c>
      <c r="B1256" s="2">
        <f>IFERROR(__xludf.DUMMYFUNCTION("""COMPUTED_VALUE"""),28.42)</f>
        <v>28.42</v>
      </c>
      <c r="C1256" s="2">
        <f>IFERROR(__xludf.DUMMYFUNCTION("""COMPUTED_VALUE"""),28.42)</f>
        <v>28.42</v>
      </c>
      <c r="D1256" s="2">
        <f>IFERROR(__xludf.DUMMYFUNCTION("""COMPUTED_VALUE"""),28.03)</f>
        <v>28.03</v>
      </c>
      <c r="E1256" s="2">
        <f>IFERROR(__xludf.DUMMYFUNCTION("""COMPUTED_VALUE"""),28.42)</f>
        <v>28.42</v>
      </c>
      <c r="F1256" s="2">
        <f>IFERROR(__xludf.DUMMYFUNCTION("""COMPUTED_VALUE"""),1061900.0)</f>
        <v>1061900</v>
      </c>
    </row>
    <row r="1257">
      <c r="A1257" s="3">
        <f>IFERROR(__xludf.DUMMYFUNCTION("""COMPUTED_VALUE"""),31034.666666666668)</f>
        <v>31034.66667</v>
      </c>
      <c r="B1257" s="2">
        <f>IFERROR(__xludf.DUMMYFUNCTION("""COMPUTED_VALUE"""),29.4)</f>
        <v>29.4</v>
      </c>
      <c r="C1257" s="2">
        <f>IFERROR(__xludf.DUMMYFUNCTION("""COMPUTED_VALUE"""),29.43)</f>
        <v>29.43</v>
      </c>
      <c r="D1257" s="2">
        <f>IFERROR(__xludf.DUMMYFUNCTION("""COMPUTED_VALUE"""),28.65)</f>
        <v>28.65</v>
      </c>
      <c r="E1257" s="2">
        <f>IFERROR(__xludf.DUMMYFUNCTION("""COMPUTED_VALUE"""),29.4)</f>
        <v>29.4</v>
      </c>
      <c r="F1257" s="2">
        <f>IFERROR(__xludf.DUMMYFUNCTION("""COMPUTED_VALUE"""),1994700.0)</f>
        <v>1994700</v>
      </c>
    </row>
    <row r="1258">
      <c r="A1258" s="3">
        <f>IFERROR(__xludf.DUMMYFUNCTION("""COMPUTED_VALUE"""),31035.666666666668)</f>
        <v>31035.66667</v>
      </c>
      <c r="B1258" s="2">
        <f>IFERROR(__xludf.DUMMYFUNCTION("""COMPUTED_VALUE"""),29.37)</f>
        <v>29.37</v>
      </c>
      <c r="C1258" s="2">
        <f>IFERROR(__xludf.DUMMYFUNCTION("""COMPUTED_VALUE"""),29.73)</f>
        <v>29.73</v>
      </c>
      <c r="D1258" s="2">
        <f>IFERROR(__xludf.DUMMYFUNCTION("""COMPUTED_VALUE"""),29.22)</f>
        <v>29.22</v>
      </c>
      <c r="E1258" s="2">
        <f>IFERROR(__xludf.DUMMYFUNCTION("""COMPUTED_VALUE"""),29.37)</f>
        <v>29.37</v>
      </c>
      <c r="F1258" s="2">
        <f>IFERROR(__xludf.DUMMYFUNCTION("""COMPUTED_VALUE"""),1642000.0)</f>
        <v>1642000</v>
      </c>
    </row>
    <row r="1259">
      <c r="A1259" s="3">
        <f>IFERROR(__xludf.DUMMYFUNCTION("""COMPUTED_VALUE"""),31036.666666666668)</f>
        <v>31036.66667</v>
      </c>
      <c r="B1259" s="2">
        <f>IFERROR(__xludf.DUMMYFUNCTION("""COMPUTED_VALUE"""),29.22)</f>
        <v>29.22</v>
      </c>
      <c r="C1259" s="2">
        <f>IFERROR(__xludf.DUMMYFUNCTION("""COMPUTED_VALUE"""),29.58)</f>
        <v>29.58</v>
      </c>
      <c r="D1259" s="2">
        <f>IFERROR(__xludf.DUMMYFUNCTION("""COMPUTED_VALUE"""),29.16)</f>
        <v>29.16</v>
      </c>
      <c r="E1259" s="2">
        <f>IFERROR(__xludf.DUMMYFUNCTION("""COMPUTED_VALUE"""),29.22)</f>
        <v>29.22</v>
      </c>
      <c r="F1259" s="2">
        <f>IFERROR(__xludf.DUMMYFUNCTION("""COMPUTED_VALUE"""),998000.0)</f>
        <v>998000</v>
      </c>
    </row>
    <row r="1260">
      <c r="A1260" s="3">
        <f>IFERROR(__xludf.DUMMYFUNCTION("""COMPUTED_VALUE"""),31037.666666666668)</f>
        <v>31037.66667</v>
      </c>
      <c r="B1260" s="2">
        <f>IFERROR(__xludf.DUMMYFUNCTION("""COMPUTED_VALUE"""),29.55)</f>
        <v>29.55</v>
      </c>
      <c r="C1260" s="2">
        <f>IFERROR(__xludf.DUMMYFUNCTION("""COMPUTED_VALUE"""),29.55)</f>
        <v>29.55</v>
      </c>
      <c r="D1260" s="2">
        <f>IFERROR(__xludf.DUMMYFUNCTION("""COMPUTED_VALUE"""),28.65)</f>
        <v>28.65</v>
      </c>
      <c r="E1260" s="2">
        <f>IFERROR(__xludf.DUMMYFUNCTION("""COMPUTED_VALUE"""),29.55)</f>
        <v>29.55</v>
      </c>
      <c r="F1260" s="2">
        <f>IFERROR(__xludf.DUMMYFUNCTION("""COMPUTED_VALUE"""),1368700.0)</f>
        <v>1368700</v>
      </c>
    </row>
    <row r="1261">
      <c r="A1261" s="3">
        <f>IFERROR(__xludf.DUMMYFUNCTION("""COMPUTED_VALUE"""),31040.666666666668)</f>
        <v>31040.66667</v>
      </c>
      <c r="B1261" s="2">
        <f>IFERROR(__xludf.DUMMYFUNCTION("""COMPUTED_VALUE"""),29.67)</f>
        <v>29.67</v>
      </c>
      <c r="C1261" s="2">
        <f>IFERROR(__xludf.DUMMYFUNCTION("""COMPUTED_VALUE"""),29.73)</f>
        <v>29.73</v>
      </c>
      <c r="D1261" s="2">
        <f>IFERROR(__xludf.DUMMYFUNCTION("""COMPUTED_VALUE"""),29.43)</f>
        <v>29.43</v>
      </c>
      <c r="E1261" s="2">
        <f>IFERROR(__xludf.DUMMYFUNCTION("""COMPUTED_VALUE"""),29.67)</f>
        <v>29.67</v>
      </c>
      <c r="F1261" s="2">
        <f>IFERROR(__xludf.DUMMYFUNCTION("""COMPUTED_VALUE"""),754200.0)</f>
        <v>754200</v>
      </c>
    </row>
    <row r="1262">
      <c r="A1262" s="3">
        <f>IFERROR(__xludf.DUMMYFUNCTION("""COMPUTED_VALUE"""),31042.666666666668)</f>
        <v>31042.66667</v>
      </c>
      <c r="B1262" s="2">
        <f>IFERROR(__xludf.DUMMYFUNCTION("""COMPUTED_VALUE"""),29.55)</f>
        <v>29.55</v>
      </c>
      <c r="C1262" s="2">
        <f>IFERROR(__xludf.DUMMYFUNCTION("""COMPUTED_VALUE"""),29.67)</f>
        <v>29.67</v>
      </c>
      <c r="D1262" s="2">
        <f>IFERROR(__xludf.DUMMYFUNCTION("""COMPUTED_VALUE"""),29.52)</f>
        <v>29.52</v>
      </c>
      <c r="E1262" s="2">
        <f>IFERROR(__xludf.DUMMYFUNCTION("""COMPUTED_VALUE"""),29.55)</f>
        <v>29.55</v>
      </c>
      <c r="F1262" s="2">
        <f>IFERROR(__xludf.DUMMYFUNCTION("""COMPUTED_VALUE"""),418300.0)</f>
        <v>418300</v>
      </c>
    </row>
    <row r="1263">
      <c r="A1263" s="3">
        <f>IFERROR(__xludf.DUMMYFUNCTION("""COMPUTED_VALUE"""),31043.666666666668)</f>
        <v>31043.66667</v>
      </c>
      <c r="B1263" s="2">
        <f>IFERROR(__xludf.DUMMYFUNCTION("""COMPUTED_VALUE"""),29.4)</f>
        <v>29.4</v>
      </c>
      <c r="C1263" s="2">
        <f>IFERROR(__xludf.DUMMYFUNCTION("""COMPUTED_VALUE"""),29.67)</f>
        <v>29.67</v>
      </c>
      <c r="D1263" s="2">
        <f>IFERROR(__xludf.DUMMYFUNCTION("""COMPUTED_VALUE"""),29.31)</f>
        <v>29.31</v>
      </c>
      <c r="E1263" s="2">
        <f>IFERROR(__xludf.DUMMYFUNCTION("""COMPUTED_VALUE"""),29.4)</f>
        <v>29.4</v>
      </c>
      <c r="F1263" s="2">
        <f>IFERROR(__xludf.DUMMYFUNCTION("""COMPUTED_VALUE"""),505200.0)</f>
        <v>505200</v>
      </c>
    </row>
    <row r="1264">
      <c r="A1264" s="3">
        <f>IFERROR(__xludf.DUMMYFUNCTION("""COMPUTED_VALUE"""),31044.666666666668)</f>
        <v>31044.66667</v>
      </c>
      <c r="B1264" s="2">
        <f>IFERROR(__xludf.DUMMYFUNCTION("""COMPUTED_VALUE"""),29.49)</f>
        <v>29.49</v>
      </c>
      <c r="C1264" s="2">
        <f>IFERROR(__xludf.DUMMYFUNCTION("""COMPUTED_VALUE"""),29.61)</f>
        <v>29.61</v>
      </c>
      <c r="D1264" s="2">
        <f>IFERROR(__xludf.DUMMYFUNCTION("""COMPUTED_VALUE"""),29.31)</f>
        <v>29.31</v>
      </c>
      <c r="E1264" s="2">
        <f>IFERROR(__xludf.DUMMYFUNCTION("""COMPUTED_VALUE"""),29.49)</f>
        <v>29.49</v>
      </c>
      <c r="F1264" s="2">
        <f>IFERROR(__xludf.DUMMYFUNCTION("""COMPUTED_VALUE"""),573600.0)</f>
        <v>573600</v>
      </c>
    </row>
    <row r="1265">
      <c r="A1265" s="3">
        <f>IFERROR(__xludf.DUMMYFUNCTION("""COMPUTED_VALUE"""),31047.666666666668)</f>
        <v>31047.66667</v>
      </c>
      <c r="B1265" s="2">
        <f>IFERROR(__xludf.DUMMYFUNCTION("""COMPUTED_VALUE"""),29.4)</f>
        <v>29.4</v>
      </c>
      <c r="C1265" s="2">
        <f>IFERROR(__xludf.DUMMYFUNCTION("""COMPUTED_VALUE"""),29.58)</f>
        <v>29.58</v>
      </c>
      <c r="D1265" s="2">
        <f>IFERROR(__xludf.DUMMYFUNCTION("""COMPUTED_VALUE"""),29.34)</f>
        <v>29.34</v>
      </c>
      <c r="E1265" s="2">
        <f>IFERROR(__xludf.DUMMYFUNCTION("""COMPUTED_VALUE"""),29.4)</f>
        <v>29.4</v>
      </c>
      <c r="F1265" s="2">
        <f>IFERROR(__xludf.DUMMYFUNCTION("""COMPUTED_VALUE"""),685000.0)</f>
        <v>685000</v>
      </c>
    </row>
    <row r="1266">
      <c r="A1266" s="3">
        <f>IFERROR(__xludf.DUMMYFUNCTION("""COMPUTED_VALUE"""),31049.666666666668)</f>
        <v>31049.66667</v>
      </c>
      <c r="B1266" s="2">
        <f>IFERROR(__xludf.DUMMYFUNCTION("""COMPUTED_VALUE"""),28.89)</f>
        <v>28.89</v>
      </c>
      <c r="C1266" s="2">
        <f>IFERROR(__xludf.DUMMYFUNCTION("""COMPUTED_VALUE"""),29.28)</f>
        <v>29.28</v>
      </c>
      <c r="D1266" s="2">
        <f>IFERROR(__xludf.DUMMYFUNCTION("""COMPUTED_VALUE"""),28.83)</f>
        <v>28.83</v>
      </c>
      <c r="E1266" s="2">
        <f>IFERROR(__xludf.DUMMYFUNCTION("""COMPUTED_VALUE"""),28.89)</f>
        <v>28.89</v>
      </c>
      <c r="F1266" s="2">
        <f>IFERROR(__xludf.DUMMYFUNCTION("""COMPUTED_VALUE"""),872500.0)</f>
        <v>872500</v>
      </c>
    </row>
    <row r="1267">
      <c r="A1267" s="3">
        <f>IFERROR(__xludf.DUMMYFUNCTION("""COMPUTED_VALUE"""),31050.666666666668)</f>
        <v>31050.66667</v>
      </c>
      <c r="B1267" s="2">
        <f>IFERROR(__xludf.DUMMYFUNCTION("""COMPUTED_VALUE"""),28.65)</f>
        <v>28.65</v>
      </c>
      <c r="C1267" s="2">
        <f>IFERROR(__xludf.DUMMYFUNCTION("""COMPUTED_VALUE"""),29.19)</f>
        <v>29.19</v>
      </c>
      <c r="D1267" s="2">
        <f>IFERROR(__xludf.DUMMYFUNCTION("""COMPUTED_VALUE"""),28.63)</f>
        <v>28.63</v>
      </c>
      <c r="E1267" s="2">
        <f>IFERROR(__xludf.DUMMYFUNCTION("""COMPUTED_VALUE"""),28.65)</f>
        <v>28.65</v>
      </c>
      <c r="F1267" s="2">
        <f>IFERROR(__xludf.DUMMYFUNCTION("""COMPUTED_VALUE"""),1388100.0)</f>
        <v>1388100</v>
      </c>
    </row>
    <row r="1268">
      <c r="A1268" s="3">
        <f>IFERROR(__xludf.DUMMYFUNCTION("""COMPUTED_VALUE"""),31051.666666666668)</f>
        <v>31051.66667</v>
      </c>
      <c r="B1268" s="2">
        <f>IFERROR(__xludf.DUMMYFUNCTION("""COMPUTED_VALUE"""),28.6)</f>
        <v>28.6</v>
      </c>
      <c r="C1268" s="2">
        <f>IFERROR(__xludf.DUMMYFUNCTION("""COMPUTED_VALUE"""),28.74)</f>
        <v>28.74</v>
      </c>
      <c r="D1268" s="2">
        <f>IFERROR(__xludf.DUMMYFUNCTION("""COMPUTED_VALUE"""),28.42)</f>
        <v>28.42</v>
      </c>
      <c r="E1268" s="2">
        <f>IFERROR(__xludf.DUMMYFUNCTION("""COMPUTED_VALUE"""),28.6)</f>
        <v>28.6</v>
      </c>
      <c r="F1268" s="2">
        <f>IFERROR(__xludf.DUMMYFUNCTION("""COMPUTED_VALUE"""),1007000.0)</f>
        <v>1007000</v>
      </c>
    </row>
    <row r="1269">
      <c r="A1269" s="3">
        <f>IFERROR(__xludf.DUMMYFUNCTION("""COMPUTED_VALUE"""),31054.666666666668)</f>
        <v>31054.66667</v>
      </c>
      <c r="B1269" s="2">
        <f>IFERROR(__xludf.DUMMYFUNCTION("""COMPUTED_VALUE"""),28.74)</f>
        <v>28.74</v>
      </c>
      <c r="C1269" s="2">
        <f>IFERROR(__xludf.DUMMYFUNCTION("""COMPUTED_VALUE"""),28.86)</f>
        <v>28.86</v>
      </c>
      <c r="D1269" s="2">
        <f>IFERROR(__xludf.DUMMYFUNCTION("""COMPUTED_VALUE"""),28.6)</f>
        <v>28.6</v>
      </c>
      <c r="E1269" s="2">
        <f>IFERROR(__xludf.DUMMYFUNCTION("""COMPUTED_VALUE"""),28.74)</f>
        <v>28.74</v>
      </c>
      <c r="F1269" s="2">
        <f>IFERROR(__xludf.DUMMYFUNCTION("""COMPUTED_VALUE"""),1167800.0)</f>
        <v>1167800</v>
      </c>
    </row>
    <row r="1270">
      <c r="A1270" s="3">
        <f>IFERROR(__xludf.DUMMYFUNCTION("""COMPUTED_VALUE"""),31055.666666666668)</f>
        <v>31055.66667</v>
      </c>
      <c r="B1270" s="2">
        <f>IFERROR(__xludf.DUMMYFUNCTION("""COMPUTED_VALUE"""),28.6)</f>
        <v>28.6</v>
      </c>
      <c r="C1270" s="2">
        <f>IFERROR(__xludf.DUMMYFUNCTION("""COMPUTED_VALUE"""),28.77)</f>
        <v>28.77</v>
      </c>
      <c r="D1270" s="2">
        <f>IFERROR(__xludf.DUMMYFUNCTION("""COMPUTED_VALUE"""),28.48)</f>
        <v>28.48</v>
      </c>
      <c r="E1270" s="2">
        <f>IFERROR(__xludf.DUMMYFUNCTION("""COMPUTED_VALUE"""),28.6)</f>
        <v>28.6</v>
      </c>
      <c r="F1270" s="2">
        <f>IFERROR(__xludf.DUMMYFUNCTION("""COMPUTED_VALUE"""),1123100.0)</f>
        <v>1123100</v>
      </c>
    </row>
    <row r="1271">
      <c r="A1271" s="3">
        <f>IFERROR(__xludf.DUMMYFUNCTION("""COMPUTED_VALUE"""),31056.666666666668)</f>
        <v>31056.66667</v>
      </c>
      <c r="B1271" s="2">
        <f>IFERROR(__xludf.DUMMYFUNCTION("""COMPUTED_VALUE"""),28.74)</f>
        <v>28.74</v>
      </c>
      <c r="C1271" s="2">
        <f>IFERROR(__xludf.DUMMYFUNCTION("""COMPUTED_VALUE"""),28.83)</f>
        <v>28.83</v>
      </c>
      <c r="D1271" s="2">
        <f>IFERROR(__xludf.DUMMYFUNCTION("""COMPUTED_VALUE"""),28.54)</f>
        <v>28.54</v>
      </c>
      <c r="E1271" s="2">
        <f>IFERROR(__xludf.DUMMYFUNCTION("""COMPUTED_VALUE"""),28.74)</f>
        <v>28.74</v>
      </c>
      <c r="F1271" s="2">
        <f>IFERROR(__xludf.DUMMYFUNCTION("""COMPUTED_VALUE"""),1310700.0)</f>
        <v>1310700</v>
      </c>
    </row>
    <row r="1272">
      <c r="A1272" s="3">
        <f>IFERROR(__xludf.DUMMYFUNCTION("""COMPUTED_VALUE"""),31057.666666666668)</f>
        <v>31057.66667</v>
      </c>
      <c r="B1272" s="2">
        <f>IFERROR(__xludf.DUMMYFUNCTION("""COMPUTED_VALUE"""),29.55)</f>
        <v>29.55</v>
      </c>
      <c r="C1272" s="2">
        <f>IFERROR(__xludf.DUMMYFUNCTION("""COMPUTED_VALUE"""),29.55)</f>
        <v>29.55</v>
      </c>
      <c r="D1272" s="2">
        <f>IFERROR(__xludf.DUMMYFUNCTION("""COMPUTED_VALUE"""),28.57)</f>
        <v>28.57</v>
      </c>
      <c r="E1272" s="2">
        <f>IFERROR(__xludf.DUMMYFUNCTION("""COMPUTED_VALUE"""),29.55)</f>
        <v>29.55</v>
      </c>
      <c r="F1272" s="2">
        <f>IFERROR(__xludf.DUMMYFUNCTION("""COMPUTED_VALUE"""),1639700.0)</f>
        <v>1639700</v>
      </c>
    </row>
    <row r="1273">
      <c r="A1273" s="3">
        <f>IFERROR(__xludf.DUMMYFUNCTION("""COMPUTED_VALUE"""),31058.666666666668)</f>
        <v>31058.66667</v>
      </c>
      <c r="B1273" s="2">
        <f>IFERROR(__xludf.DUMMYFUNCTION("""COMPUTED_VALUE"""),29.31)</f>
        <v>29.31</v>
      </c>
      <c r="C1273" s="2">
        <f>IFERROR(__xludf.DUMMYFUNCTION("""COMPUTED_VALUE"""),29.61)</f>
        <v>29.61</v>
      </c>
      <c r="D1273" s="2">
        <f>IFERROR(__xludf.DUMMYFUNCTION("""COMPUTED_VALUE"""),29.16)</f>
        <v>29.16</v>
      </c>
      <c r="E1273" s="2">
        <f>IFERROR(__xludf.DUMMYFUNCTION("""COMPUTED_VALUE"""),29.31)</f>
        <v>29.31</v>
      </c>
      <c r="F1273" s="2">
        <f>IFERROR(__xludf.DUMMYFUNCTION("""COMPUTED_VALUE"""),1114600.0)</f>
        <v>1114600</v>
      </c>
    </row>
    <row r="1274">
      <c r="A1274" s="3">
        <f>IFERROR(__xludf.DUMMYFUNCTION("""COMPUTED_VALUE"""),31061.666666666668)</f>
        <v>31061.66667</v>
      </c>
      <c r="B1274" s="2">
        <f>IFERROR(__xludf.DUMMYFUNCTION("""COMPUTED_VALUE"""),29.79)</f>
        <v>29.79</v>
      </c>
      <c r="C1274" s="2">
        <f>IFERROR(__xludf.DUMMYFUNCTION("""COMPUTED_VALUE"""),29.91)</f>
        <v>29.91</v>
      </c>
      <c r="D1274" s="2">
        <f>IFERROR(__xludf.DUMMYFUNCTION("""COMPUTED_VALUE"""),29.25)</f>
        <v>29.25</v>
      </c>
      <c r="E1274" s="2">
        <f>IFERROR(__xludf.DUMMYFUNCTION("""COMPUTED_VALUE"""),29.79)</f>
        <v>29.79</v>
      </c>
      <c r="F1274" s="2">
        <f>IFERROR(__xludf.DUMMYFUNCTION("""COMPUTED_VALUE"""),1941900.0)</f>
        <v>1941900</v>
      </c>
    </row>
    <row r="1275">
      <c r="A1275" s="3">
        <f>IFERROR(__xludf.DUMMYFUNCTION("""COMPUTED_VALUE"""),31062.666666666668)</f>
        <v>31062.66667</v>
      </c>
      <c r="B1275" s="2">
        <f>IFERROR(__xludf.DUMMYFUNCTION("""COMPUTED_VALUE"""),29.76)</f>
        <v>29.76</v>
      </c>
      <c r="C1275" s="2">
        <f>IFERROR(__xludf.DUMMYFUNCTION("""COMPUTED_VALUE"""),30.0)</f>
        <v>30</v>
      </c>
      <c r="D1275" s="2">
        <f>IFERROR(__xludf.DUMMYFUNCTION("""COMPUTED_VALUE"""),29.61)</f>
        <v>29.61</v>
      </c>
      <c r="E1275" s="2">
        <f>IFERROR(__xludf.DUMMYFUNCTION("""COMPUTED_VALUE"""),29.76)</f>
        <v>29.76</v>
      </c>
      <c r="F1275" s="2">
        <f>IFERROR(__xludf.DUMMYFUNCTION("""COMPUTED_VALUE"""),1626400.0)</f>
        <v>1626400</v>
      </c>
    </row>
    <row r="1276">
      <c r="A1276" s="3">
        <f>IFERROR(__xludf.DUMMYFUNCTION("""COMPUTED_VALUE"""),31063.666666666668)</f>
        <v>31063.66667</v>
      </c>
      <c r="B1276" s="2">
        <f>IFERROR(__xludf.DUMMYFUNCTION("""COMPUTED_VALUE"""),29.58)</f>
        <v>29.58</v>
      </c>
      <c r="C1276" s="2">
        <f>IFERROR(__xludf.DUMMYFUNCTION("""COMPUTED_VALUE"""),29.97)</f>
        <v>29.97</v>
      </c>
      <c r="D1276" s="2">
        <f>IFERROR(__xludf.DUMMYFUNCTION("""COMPUTED_VALUE"""),29.52)</f>
        <v>29.52</v>
      </c>
      <c r="E1276" s="2">
        <f>IFERROR(__xludf.DUMMYFUNCTION("""COMPUTED_VALUE"""),29.58)</f>
        <v>29.58</v>
      </c>
      <c r="F1276" s="2">
        <f>IFERROR(__xludf.DUMMYFUNCTION("""COMPUTED_VALUE"""),1360400.0)</f>
        <v>1360400</v>
      </c>
    </row>
    <row r="1277">
      <c r="A1277" s="3">
        <f>IFERROR(__xludf.DUMMYFUNCTION("""COMPUTED_VALUE"""),31064.666666666668)</f>
        <v>31064.66667</v>
      </c>
      <c r="B1277" s="2">
        <f>IFERROR(__xludf.DUMMYFUNCTION("""COMPUTED_VALUE"""),29.52)</f>
        <v>29.52</v>
      </c>
      <c r="C1277" s="2">
        <f>IFERROR(__xludf.DUMMYFUNCTION("""COMPUTED_VALUE"""),29.76)</f>
        <v>29.76</v>
      </c>
      <c r="D1277" s="2">
        <f>IFERROR(__xludf.DUMMYFUNCTION("""COMPUTED_VALUE"""),29.43)</f>
        <v>29.43</v>
      </c>
      <c r="E1277" s="2">
        <f>IFERROR(__xludf.DUMMYFUNCTION("""COMPUTED_VALUE"""),29.52)</f>
        <v>29.52</v>
      </c>
      <c r="F1277" s="2">
        <f>IFERROR(__xludf.DUMMYFUNCTION("""COMPUTED_VALUE"""),1069600.0)</f>
        <v>1069600</v>
      </c>
    </row>
    <row r="1278">
      <c r="A1278" s="3">
        <f>IFERROR(__xludf.DUMMYFUNCTION("""COMPUTED_VALUE"""),31065.666666666668)</f>
        <v>31065.66667</v>
      </c>
      <c r="B1278" s="2">
        <f>IFERROR(__xludf.DUMMYFUNCTION("""COMPUTED_VALUE"""),29.64)</f>
        <v>29.64</v>
      </c>
      <c r="C1278" s="2">
        <f>IFERROR(__xludf.DUMMYFUNCTION("""COMPUTED_VALUE"""),29.85)</f>
        <v>29.85</v>
      </c>
      <c r="D1278" s="2">
        <f>IFERROR(__xludf.DUMMYFUNCTION("""COMPUTED_VALUE"""),29.52)</f>
        <v>29.52</v>
      </c>
      <c r="E1278" s="2">
        <f>IFERROR(__xludf.DUMMYFUNCTION("""COMPUTED_VALUE"""),29.64)</f>
        <v>29.64</v>
      </c>
      <c r="F1278" s="2">
        <f>IFERROR(__xludf.DUMMYFUNCTION("""COMPUTED_VALUE"""),1163300.0)</f>
        <v>1163300</v>
      </c>
    </row>
    <row r="1279">
      <c r="A1279" s="3">
        <f>IFERROR(__xludf.DUMMYFUNCTION("""COMPUTED_VALUE"""),31068.666666666668)</f>
        <v>31068.66667</v>
      </c>
      <c r="B1279" s="2">
        <f>IFERROR(__xludf.DUMMYFUNCTION("""COMPUTED_VALUE"""),30.62)</f>
        <v>30.62</v>
      </c>
      <c r="C1279" s="2">
        <f>IFERROR(__xludf.DUMMYFUNCTION("""COMPUTED_VALUE"""),30.68)</f>
        <v>30.68</v>
      </c>
      <c r="D1279" s="2">
        <f>IFERROR(__xludf.DUMMYFUNCTION("""COMPUTED_VALUE"""),29.76)</f>
        <v>29.76</v>
      </c>
      <c r="E1279" s="2">
        <f>IFERROR(__xludf.DUMMYFUNCTION("""COMPUTED_VALUE"""),30.62)</f>
        <v>30.62</v>
      </c>
      <c r="F1279" s="2">
        <f>IFERROR(__xludf.DUMMYFUNCTION("""COMPUTED_VALUE"""),2138800.0)</f>
        <v>2138800</v>
      </c>
    </row>
    <row r="1280">
      <c r="A1280" s="3">
        <f>IFERROR(__xludf.DUMMYFUNCTION("""COMPUTED_VALUE"""),31069.666666666668)</f>
        <v>31069.66667</v>
      </c>
      <c r="B1280" s="2">
        <f>IFERROR(__xludf.DUMMYFUNCTION("""COMPUTED_VALUE"""),30.95)</f>
        <v>30.95</v>
      </c>
      <c r="C1280" s="2">
        <f>IFERROR(__xludf.DUMMYFUNCTION("""COMPUTED_VALUE"""),31.19)</f>
        <v>31.19</v>
      </c>
      <c r="D1280" s="2">
        <f>IFERROR(__xludf.DUMMYFUNCTION("""COMPUTED_VALUE"""),30.83)</f>
        <v>30.83</v>
      </c>
      <c r="E1280" s="2">
        <f>IFERROR(__xludf.DUMMYFUNCTION("""COMPUTED_VALUE"""),30.95)</f>
        <v>30.95</v>
      </c>
      <c r="F1280" s="2">
        <f>IFERROR(__xludf.DUMMYFUNCTION("""COMPUTED_VALUE"""),2539000.0)</f>
        <v>2539000</v>
      </c>
    </row>
    <row r="1281">
      <c r="A1281" s="3">
        <f>IFERROR(__xludf.DUMMYFUNCTION("""COMPUTED_VALUE"""),31070.666666666668)</f>
        <v>31070.66667</v>
      </c>
      <c r="B1281" s="2">
        <f>IFERROR(__xludf.DUMMYFUNCTION("""COMPUTED_VALUE"""),31.64)</f>
        <v>31.64</v>
      </c>
      <c r="C1281" s="2">
        <f>IFERROR(__xludf.DUMMYFUNCTION("""COMPUTED_VALUE"""),31.67)</f>
        <v>31.67</v>
      </c>
      <c r="D1281" s="2">
        <f>IFERROR(__xludf.DUMMYFUNCTION("""COMPUTED_VALUE"""),30.89)</f>
        <v>30.89</v>
      </c>
      <c r="E1281" s="2">
        <f>IFERROR(__xludf.DUMMYFUNCTION("""COMPUTED_VALUE"""),31.64)</f>
        <v>31.64</v>
      </c>
      <c r="F1281" s="2">
        <f>IFERROR(__xludf.DUMMYFUNCTION("""COMPUTED_VALUE"""),2270200.0)</f>
        <v>2270200</v>
      </c>
    </row>
    <row r="1282">
      <c r="A1282" s="3">
        <f>IFERROR(__xludf.DUMMYFUNCTION("""COMPUTED_VALUE"""),31071.666666666668)</f>
        <v>31071.66667</v>
      </c>
      <c r="B1282" s="2">
        <f>IFERROR(__xludf.DUMMYFUNCTION("""COMPUTED_VALUE"""),31.79)</f>
        <v>31.79</v>
      </c>
      <c r="C1282" s="2">
        <f>IFERROR(__xludf.DUMMYFUNCTION("""COMPUTED_VALUE"""),32.12)</f>
        <v>32.12</v>
      </c>
      <c r="D1282" s="2">
        <f>IFERROR(__xludf.DUMMYFUNCTION("""COMPUTED_VALUE"""),31.61)</f>
        <v>31.61</v>
      </c>
      <c r="E1282" s="2">
        <f>IFERROR(__xludf.DUMMYFUNCTION("""COMPUTED_VALUE"""),31.79)</f>
        <v>31.79</v>
      </c>
      <c r="F1282" s="2">
        <f>IFERROR(__xludf.DUMMYFUNCTION("""COMPUTED_VALUE"""),1825200.0)</f>
        <v>1825200</v>
      </c>
    </row>
    <row r="1283">
      <c r="A1283" s="3">
        <f>IFERROR(__xludf.DUMMYFUNCTION("""COMPUTED_VALUE"""),31072.666666666668)</f>
        <v>31072.66667</v>
      </c>
      <c r="B1283" s="2">
        <f>IFERROR(__xludf.DUMMYFUNCTION("""COMPUTED_VALUE"""),31.82)</f>
        <v>31.82</v>
      </c>
      <c r="C1283" s="2">
        <f>IFERROR(__xludf.DUMMYFUNCTION("""COMPUTED_VALUE"""),32.03)</f>
        <v>32.03</v>
      </c>
      <c r="D1283" s="2">
        <f>IFERROR(__xludf.DUMMYFUNCTION("""COMPUTED_VALUE"""),31.67)</f>
        <v>31.67</v>
      </c>
      <c r="E1283" s="2">
        <f>IFERROR(__xludf.DUMMYFUNCTION("""COMPUTED_VALUE"""),31.82)</f>
        <v>31.82</v>
      </c>
      <c r="F1283" s="2">
        <f>IFERROR(__xludf.DUMMYFUNCTION("""COMPUTED_VALUE"""),1212300.0)</f>
        <v>1212300</v>
      </c>
    </row>
    <row r="1284">
      <c r="A1284" s="3">
        <f>IFERROR(__xludf.DUMMYFUNCTION("""COMPUTED_VALUE"""),31075.666666666668)</f>
        <v>31075.66667</v>
      </c>
      <c r="B1284" s="2">
        <f>IFERROR(__xludf.DUMMYFUNCTION("""COMPUTED_VALUE"""),32.15)</f>
        <v>32.15</v>
      </c>
      <c r="C1284" s="2">
        <f>IFERROR(__xludf.DUMMYFUNCTION("""COMPUTED_VALUE"""),32.3)</f>
        <v>32.3</v>
      </c>
      <c r="D1284" s="2">
        <f>IFERROR(__xludf.DUMMYFUNCTION("""COMPUTED_VALUE"""),31.82)</f>
        <v>31.82</v>
      </c>
      <c r="E1284" s="2">
        <f>IFERROR(__xludf.DUMMYFUNCTION("""COMPUTED_VALUE"""),32.15)</f>
        <v>32.15</v>
      </c>
      <c r="F1284" s="2">
        <f>IFERROR(__xludf.DUMMYFUNCTION("""COMPUTED_VALUE"""),1936500.0)</f>
        <v>1936500</v>
      </c>
    </row>
    <row r="1285">
      <c r="A1285" s="3">
        <f>IFERROR(__xludf.DUMMYFUNCTION("""COMPUTED_VALUE"""),31076.666666666668)</f>
        <v>31076.66667</v>
      </c>
      <c r="B1285" s="2">
        <f>IFERROR(__xludf.DUMMYFUNCTION("""COMPUTED_VALUE"""),32.71)</f>
        <v>32.71</v>
      </c>
      <c r="C1285" s="2">
        <f>IFERROR(__xludf.DUMMYFUNCTION("""COMPUTED_VALUE"""),32.71)</f>
        <v>32.71</v>
      </c>
      <c r="D1285" s="2">
        <f>IFERROR(__xludf.DUMMYFUNCTION("""COMPUTED_VALUE"""),31.94)</f>
        <v>31.94</v>
      </c>
      <c r="E1285" s="2">
        <f>IFERROR(__xludf.DUMMYFUNCTION("""COMPUTED_VALUE"""),32.71)</f>
        <v>32.71</v>
      </c>
      <c r="F1285" s="2">
        <f>IFERROR(__xludf.DUMMYFUNCTION("""COMPUTED_VALUE"""),1128700.0)</f>
        <v>1128700</v>
      </c>
    </row>
    <row r="1286">
      <c r="A1286" s="3">
        <f>IFERROR(__xludf.DUMMYFUNCTION("""COMPUTED_VALUE"""),31077.666666666668)</f>
        <v>31077.66667</v>
      </c>
      <c r="B1286" s="2">
        <f>IFERROR(__xludf.DUMMYFUNCTION("""COMPUTED_VALUE"""),32.62)</f>
        <v>32.62</v>
      </c>
      <c r="C1286" s="2">
        <f>IFERROR(__xludf.DUMMYFUNCTION("""COMPUTED_VALUE"""),32.86)</f>
        <v>32.86</v>
      </c>
      <c r="D1286" s="2">
        <f>IFERROR(__xludf.DUMMYFUNCTION("""COMPUTED_VALUE"""),32.51)</f>
        <v>32.51</v>
      </c>
      <c r="E1286" s="2">
        <f>IFERROR(__xludf.DUMMYFUNCTION("""COMPUTED_VALUE"""),32.62)</f>
        <v>32.62</v>
      </c>
      <c r="F1286" s="2">
        <f>IFERROR(__xludf.DUMMYFUNCTION("""COMPUTED_VALUE"""),1563600.0)</f>
        <v>1563600</v>
      </c>
    </row>
    <row r="1287">
      <c r="A1287" s="3">
        <f>IFERROR(__xludf.DUMMYFUNCTION("""COMPUTED_VALUE"""),31078.666666666668)</f>
        <v>31078.66667</v>
      </c>
      <c r="B1287" s="2">
        <f>IFERROR(__xludf.DUMMYFUNCTION("""COMPUTED_VALUE"""),32.57)</f>
        <v>32.57</v>
      </c>
      <c r="C1287" s="2">
        <f>IFERROR(__xludf.DUMMYFUNCTION("""COMPUTED_VALUE"""),32.68)</f>
        <v>32.68</v>
      </c>
      <c r="D1287" s="2">
        <f>IFERROR(__xludf.DUMMYFUNCTION("""COMPUTED_VALUE"""),32.3)</f>
        <v>32.3</v>
      </c>
      <c r="E1287" s="2">
        <f>IFERROR(__xludf.DUMMYFUNCTION("""COMPUTED_VALUE"""),32.57)</f>
        <v>32.57</v>
      </c>
      <c r="F1287" s="2">
        <f>IFERROR(__xludf.DUMMYFUNCTION("""COMPUTED_VALUE"""),1263100.0)</f>
        <v>1263100</v>
      </c>
    </row>
    <row r="1288">
      <c r="A1288" s="3">
        <f>IFERROR(__xludf.DUMMYFUNCTION("""COMPUTED_VALUE"""),31079.666666666668)</f>
        <v>31079.66667</v>
      </c>
      <c r="B1288" s="2">
        <f>IFERROR(__xludf.DUMMYFUNCTION("""COMPUTED_VALUE"""),32.39)</f>
        <v>32.39</v>
      </c>
      <c r="C1288" s="2">
        <f>IFERROR(__xludf.DUMMYFUNCTION("""COMPUTED_VALUE"""),32.48)</f>
        <v>32.48</v>
      </c>
      <c r="D1288" s="2">
        <f>IFERROR(__xludf.DUMMYFUNCTION("""COMPUTED_VALUE"""),32.33)</f>
        <v>32.33</v>
      </c>
      <c r="E1288" s="2">
        <f>IFERROR(__xludf.DUMMYFUNCTION("""COMPUTED_VALUE"""),32.39)</f>
        <v>32.39</v>
      </c>
      <c r="F1288" s="2">
        <f>IFERROR(__xludf.DUMMYFUNCTION("""COMPUTED_VALUE"""),830400.0)</f>
        <v>830400</v>
      </c>
    </row>
    <row r="1289">
      <c r="A1289" s="3">
        <f>IFERROR(__xludf.DUMMYFUNCTION("""COMPUTED_VALUE"""),31082.666666666668)</f>
        <v>31082.66667</v>
      </c>
      <c r="B1289" s="2">
        <f>IFERROR(__xludf.DUMMYFUNCTION("""COMPUTED_VALUE"""),32.86)</f>
        <v>32.86</v>
      </c>
      <c r="C1289" s="2">
        <f>IFERROR(__xludf.DUMMYFUNCTION("""COMPUTED_VALUE"""),33.01)</f>
        <v>33.01</v>
      </c>
      <c r="D1289" s="2">
        <f>IFERROR(__xludf.DUMMYFUNCTION("""COMPUTED_VALUE"""),32.24)</f>
        <v>32.24</v>
      </c>
      <c r="E1289" s="2">
        <f>IFERROR(__xludf.DUMMYFUNCTION("""COMPUTED_VALUE"""),32.86)</f>
        <v>32.86</v>
      </c>
      <c r="F1289" s="2">
        <f>IFERROR(__xludf.DUMMYFUNCTION("""COMPUTED_VALUE"""),1345900.0)</f>
        <v>1345900</v>
      </c>
    </row>
    <row r="1290">
      <c r="A1290" s="3">
        <f>IFERROR(__xludf.DUMMYFUNCTION("""COMPUTED_VALUE"""),31083.666666666668)</f>
        <v>31083.66667</v>
      </c>
      <c r="B1290" s="2">
        <f>IFERROR(__xludf.DUMMYFUNCTION("""COMPUTED_VALUE"""),32.59)</f>
        <v>32.59</v>
      </c>
      <c r="C1290" s="2">
        <f>IFERROR(__xludf.DUMMYFUNCTION("""COMPUTED_VALUE"""),33.01)</f>
        <v>33.01</v>
      </c>
      <c r="D1290" s="2">
        <f>IFERROR(__xludf.DUMMYFUNCTION("""COMPUTED_VALUE"""),32.48)</f>
        <v>32.48</v>
      </c>
      <c r="E1290" s="2">
        <f>IFERROR(__xludf.DUMMYFUNCTION("""COMPUTED_VALUE"""),32.59)</f>
        <v>32.59</v>
      </c>
      <c r="F1290" s="2">
        <f>IFERROR(__xludf.DUMMYFUNCTION("""COMPUTED_VALUE"""),1265900.0)</f>
        <v>1265900</v>
      </c>
    </row>
    <row r="1291">
      <c r="A1291" s="3">
        <f>IFERROR(__xludf.DUMMYFUNCTION("""COMPUTED_VALUE"""),31084.666666666668)</f>
        <v>31084.66667</v>
      </c>
      <c r="B1291" s="2">
        <f>IFERROR(__xludf.DUMMYFUNCTION("""COMPUTED_VALUE"""),32.33)</f>
        <v>32.33</v>
      </c>
      <c r="C1291" s="2">
        <f>IFERROR(__xludf.DUMMYFUNCTION("""COMPUTED_VALUE"""),32.62)</f>
        <v>32.62</v>
      </c>
      <c r="D1291" s="2">
        <f>IFERROR(__xludf.DUMMYFUNCTION("""COMPUTED_VALUE"""),32.24)</f>
        <v>32.24</v>
      </c>
      <c r="E1291" s="2">
        <f>IFERROR(__xludf.DUMMYFUNCTION("""COMPUTED_VALUE"""),32.33)</f>
        <v>32.33</v>
      </c>
      <c r="F1291" s="2">
        <f>IFERROR(__xludf.DUMMYFUNCTION("""COMPUTED_VALUE"""),1296900.0)</f>
        <v>1296900</v>
      </c>
    </row>
    <row r="1292">
      <c r="A1292" s="3">
        <f>IFERROR(__xludf.DUMMYFUNCTION("""COMPUTED_VALUE"""),31085.666666666668)</f>
        <v>31085.66667</v>
      </c>
      <c r="B1292" s="2">
        <f>IFERROR(__xludf.DUMMYFUNCTION("""COMPUTED_VALUE"""),32.74)</f>
        <v>32.74</v>
      </c>
      <c r="C1292" s="2">
        <f>IFERROR(__xludf.DUMMYFUNCTION("""COMPUTED_VALUE"""),32.86)</f>
        <v>32.86</v>
      </c>
      <c r="D1292" s="2">
        <f>IFERROR(__xludf.DUMMYFUNCTION("""COMPUTED_VALUE"""),32.45)</f>
        <v>32.45</v>
      </c>
      <c r="E1292" s="2">
        <f>IFERROR(__xludf.DUMMYFUNCTION("""COMPUTED_VALUE"""),32.74)</f>
        <v>32.74</v>
      </c>
      <c r="F1292" s="2">
        <f>IFERROR(__xludf.DUMMYFUNCTION("""COMPUTED_VALUE"""),1059300.0)</f>
        <v>1059300</v>
      </c>
    </row>
    <row r="1293">
      <c r="A1293" s="3">
        <f>IFERROR(__xludf.DUMMYFUNCTION("""COMPUTED_VALUE"""),31086.666666666668)</f>
        <v>31086.66667</v>
      </c>
      <c r="B1293" s="2">
        <f>IFERROR(__xludf.DUMMYFUNCTION("""COMPUTED_VALUE"""),32.77)</f>
        <v>32.77</v>
      </c>
      <c r="C1293" s="2">
        <f>IFERROR(__xludf.DUMMYFUNCTION("""COMPUTED_VALUE"""),32.92)</f>
        <v>32.92</v>
      </c>
      <c r="D1293" s="2">
        <f>IFERROR(__xludf.DUMMYFUNCTION("""COMPUTED_VALUE"""),32.65)</f>
        <v>32.65</v>
      </c>
      <c r="E1293" s="2">
        <f>IFERROR(__xludf.DUMMYFUNCTION("""COMPUTED_VALUE"""),32.77)</f>
        <v>32.77</v>
      </c>
      <c r="F1293" s="2">
        <f>IFERROR(__xludf.DUMMYFUNCTION("""COMPUTED_VALUE"""),848900.0)</f>
        <v>848900</v>
      </c>
    </row>
    <row r="1294">
      <c r="A1294" s="3">
        <f>IFERROR(__xludf.DUMMYFUNCTION("""COMPUTED_VALUE"""),31089.666666666668)</f>
        <v>31089.66667</v>
      </c>
      <c r="B1294" s="2">
        <f>IFERROR(__xludf.DUMMYFUNCTION("""COMPUTED_VALUE"""),31.88)</f>
        <v>31.88</v>
      </c>
      <c r="C1294" s="2">
        <f>IFERROR(__xludf.DUMMYFUNCTION("""COMPUTED_VALUE"""),32.77)</f>
        <v>32.77</v>
      </c>
      <c r="D1294" s="2">
        <f>IFERROR(__xludf.DUMMYFUNCTION("""COMPUTED_VALUE"""),31.7)</f>
        <v>31.7</v>
      </c>
      <c r="E1294" s="2">
        <f>IFERROR(__xludf.DUMMYFUNCTION("""COMPUTED_VALUE"""),31.88)</f>
        <v>31.88</v>
      </c>
      <c r="F1294" s="2">
        <f>IFERROR(__xludf.DUMMYFUNCTION("""COMPUTED_VALUE"""),2513600.0)</f>
        <v>2513600</v>
      </c>
    </row>
    <row r="1295">
      <c r="A1295" s="3">
        <f>IFERROR(__xludf.DUMMYFUNCTION("""COMPUTED_VALUE"""),31090.666666666668)</f>
        <v>31090.66667</v>
      </c>
      <c r="B1295" s="2">
        <f>IFERROR(__xludf.DUMMYFUNCTION("""COMPUTED_VALUE"""),31.46)</f>
        <v>31.46</v>
      </c>
      <c r="C1295" s="2">
        <f>IFERROR(__xludf.DUMMYFUNCTION("""COMPUTED_VALUE"""),31.76)</f>
        <v>31.76</v>
      </c>
      <c r="D1295" s="2">
        <f>IFERROR(__xludf.DUMMYFUNCTION("""COMPUTED_VALUE"""),31.34)</f>
        <v>31.34</v>
      </c>
      <c r="E1295" s="2">
        <f>IFERROR(__xludf.DUMMYFUNCTION("""COMPUTED_VALUE"""),31.46)</f>
        <v>31.46</v>
      </c>
      <c r="F1295" s="2">
        <f>IFERROR(__xludf.DUMMYFUNCTION("""COMPUTED_VALUE"""),2221700.0)</f>
        <v>2221700</v>
      </c>
    </row>
    <row r="1296">
      <c r="A1296" s="3">
        <f>IFERROR(__xludf.DUMMYFUNCTION("""COMPUTED_VALUE"""),31091.666666666668)</f>
        <v>31091.66667</v>
      </c>
      <c r="B1296" s="2">
        <f>IFERROR(__xludf.DUMMYFUNCTION("""COMPUTED_VALUE"""),31.94)</f>
        <v>31.94</v>
      </c>
      <c r="C1296" s="2">
        <f>IFERROR(__xludf.DUMMYFUNCTION("""COMPUTED_VALUE"""),32.15)</f>
        <v>32.15</v>
      </c>
      <c r="D1296" s="2">
        <f>IFERROR(__xludf.DUMMYFUNCTION("""COMPUTED_VALUE"""),31.46)</f>
        <v>31.46</v>
      </c>
      <c r="E1296" s="2">
        <f>IFERROR(__xludf.DUMMYFUNCTION("""COMPUTED_VALUE"""),31.94)</f>
        <v>31.94</v>
      </c>
      <c r="F1296" s="2">
        <f>IFERROR(__xludf.DUMMYFUNCTION("""COMPUTED_VALUE"""),1577600.0)</f>
        <v>1577600</v>
      </c>
    </row>
    <row r="1297">
      <c r="A1297" s="3">
        <f>IFERROR(__xludf.DUMMYFUNCTION("""COMPUTED_VALUE"""),31092.666666666668)</f>
        <v>31092.66667</v>
      </c>
      <c r="B1297" s="2">
        <f>IFERROR(__xludf.DUMMYFUNCTION("""COMPUTED_VALUE"""),31.52)</f>
        <v>31.52</v>
      </c>
      <c r="C1297" s="2">
        <f>IFERROR(__xludf.DUMMYFUNCTION("""COMPUTED_VALUE"""),32.15)</f>
        <v>32.15</v>
      </c>
      <c r="D1297" s="2">
        <f>IFERROR(__xludf.DUMMYFUNCTION("""COMPUTED_VALUE"""),31.52)</f>
        <v>31.52</v>
      </c>
      <c r="E1297" s="2">
        <f>IFERROR(__xludf.DUMMYFUNCTION("""COMPUTED_VALUE"""),31.52)</f>
        <v>31.52</v>
      </c>
      <c r="F1297" s="2">
        <f>IFERROR(__xludf.DUMMYFUNCTION("""COMPUTED_VALUE"""),1343300.0)</f>
        <v>1343300</v>
      </c>
    </row>
    <row r="1298">
      <c r="A1298" s="3">
        <f>IFERROR(__xludf.DUMMYFUNCTION("""COMPUTED_VALUE"""),31093.666666666668)</f>
        <v>31093.66667</v>
      </c>
      <c r="B1298" s="2">
        <f>IFERROR(__xludf.DUMMYFUNCTION("""COMPUTED_VALUE"""),31.37)</f>
        <v>31.37</v>
      </c>
      <c r="C1298" s="2">
        <f>IFERROR(__xludf.DUMMYFUNCTION("""COMPUTED_VALUE"""),31.7)</f>
        <v>31.7</v>
      </c>
      <c r="D1298" s="2">
        <f>IFERROR(__xludf.DUMMYFUNCTION("""COMPUTED_VALUE"""),31.22)</f>
        <v>31.22</v>
      </c>
      <c r="E1298" s="2">
        <f>IFERROR(__xludf.DUMMYFUNCTION("""COMPUTED_VALUE"""),31.37)</f>
        <v>31.37</v>
      </c>
      <c r="F1298" s="2">
        <f>IFERROR(__xludf.DUMMYFUNCTION("""COMPUTED_VALUE"""),1065400.0)</f>
        <v>1065400</v>
      </c>
    </row>
    <row r="1299">
      <c r="A1299" s="3">
        <f>IFERROR(__xludf.DUMMYFUNCTION("""COMPUTED_VALUE"""),31097.666666666668)</f>
        <v>31097.66667</v>
      </c>
      <c r="B1299" s="2">
        <f>IFERROR(__xludf.DUMMYFUNCTION("""COMPUTED_VALUE"""),31.49)</f>
        <v>31.49</v>
      </c>
      <c r="C1299" s="2">
        <f>IFERROR(__xludf.DUMMYFUNCTION("""COMPUTED_VALUE"""),31.58)</f>
        <v>31.58</v>
      </c>
      <c r="D1299" s="2">
        <f>IFERROR(__xludf.DUMMYFUNCTION("""COMPUTED_VALUE"""),31.34)</f>
        <v>31.34</v>
      </c>
      <c r="E1299" s="2">
        <f>IFERROR(__xludf.DUMMYFUNCTION("""COMPUTED_VALUE"""),31.49)</f>
        <v>31.49</v>
      </c>
      <c r="F1299" s="2">
        <f>IFERROR(__xludf.DUMMYFUNCTION("""COMPUTED_VALUE"""),732100.0)</f>
        <v>732100</v>
      </c>
    </row>
    <row r="1300">
      <c r="A1300" s="3">
        <f>IFERROR(__xludf.DUMMYFUNCTION("""COMPUTED_VALUE"""),31098.666666666668)</f>
        <v>31098.66667</v>
      </c>
      <c r="B1300" s="2">
        <f>IFERROR(__xludf.DUMMYFUNCTION("""COMPUTED_VALUE"""),31.94)</f>
        <v>31.94</v>
      </c>
      <c r="C1300" s="2">
        <f>IFERROR(__xludf.DUMMYFUNCTION("""COMPUTED_VALUE"""),32.21)</f>
        <v>32.21</v>
      </c>
      <c r="D1300" s="2">
        <f>IFERROR(__xludf.DUMMYFUNCTION("""COMPUTED_VALUE"""),31.49)</f>
        <v>31.49</v>
      </c>
      <c r="E1300" s="2">
        <f>IFERROR(__xludf.DUMMYFUNCTION("""COMPUTED_VALUE"""),31.94)</f>
        <v>31.94</v>
      </c>
      <c r="F1300" s="2">
        <f>IFERROR(__xludf.DUMMYFUNCTION("""COMPUTED_VALUE"""),1455800.0)</f>
        <v>1455800</v>
      </c>
    </row>
    <row r="1301">
      <c r="A1301" s="3">
        <f>IFERROR(__xludf.DUMMYFUNCTION("""COMPUTED_VALUE"""),31099.666666666668)</f>
        <v>31099.66667</v>
      </c>
      <c r="B1301" s="2">
        <f>IFERROR(__xludf.DUMMYFUNCTION("""COMPUTED_VALUE"""),31.94)</f>
        <v>31.94</v>
      </c>
      <c r="C1301" s="2">
        <f>IFERROR(__xludf.DUMMYFUNCTION("""COMPUTED_VALUE"""),32.12)</f>
        <v>32.12</v>
      </c>
      <c r="D1301" s="2">
        <f>IFERROR(__xludf.DUMMYFUNCTION("""COMPUTED_VALUE"""),31.76)</f>
        <v>31.76</v>
      </c>
      <c r="E1301" s="2">
        <f>IFERROR(__xludf.DUMMYFUNCTION("""COMPUTED_VALUE"""),31.94)</f>
        <v>31.94</v>
      </c>
      <c r="F1301" s="2">
        <f>IFERROR(__xludf.DUMMYFUNCTION("""COMPUTED_VALUE"""),838400.0)</f>
        <v>838400</v>
      </c>
    </row>
    <row r="1302">
      <c r="A1302" s="3">
        <f>IFERROR(__xludf.DUMMYFUNCTION("""COMPUTED_VALUE"""),31100.666666666668)</f>
        <v>31100.66667</v>
      </c>
      <c r="B1302" s="2">
        <f>IFERROR(__xludf.DUMMYFUNCTION("""COMPUTED_VALUE"""),31.73)</f>
        <v>31.73</v>
      </c>
      <c r="C1302" s="2">
        <f>IFERROR(__xludf.DUMMYFUNCTION("""COMPUTED_VALUE"""),32.06)</f>
        <v>32.06</v>
      </c>
      <c r="D1302" s="2">
        <f>IFERROR(__xludf.DUMMYFUNCTION("""COMPUTED_VALUE"""),31.55)</f>
        <v>31.55</v>
      </c>
      <c r="E1302" s="2">
        <f>IFERROR(__xludf.DUMMYFUNCTION("""COMPUTED_VALUE"""),31.73)</f>
        <v>31.73</v>
      </c>
      <c r="F1302" s="2">
        <f>IFERROR(__xludf.DUMMYFUNCTION("""COMPUTED_VALUE"""),919500.0)</f>
        <v>919500</v>
      </c>
    </row>
    <row r="1303">
      <c r="A1303" s="3">
        <f>IFERROR(__xludf.DUMMYFUNCTION("""COMPUTED_VALUE"""),31103.666666666668)</f>
        <v>31103.66667</v>
      </c>
      <c r="B1303" s="2">
        <f>IFERROR(__xludf.DUMMYFUNCTION("""COMPUTED_VALUE"""),31.97)</f>
        <v>31.97</v>
      </c>
      <c r="C1303" s="2">
        <f>IFERROR(__xludf.DUMMYFUNCTION("""COMPUTED_VALUE"""),31.97)</f>
        <v>31.97</v>
      </c>
      <c r="D1303" s="2">
        <f>IFERROR(__xludf.DUMMYFUNCTION("""COMPUTED_VALUE"""),31.55)</f>
        <v>31.55</v>
      </c>
      <c r="E1303" s="2">
        <f>IFERROR(__xludf.DUMMYFUNCTION("""COMPUTED_VALUE"""),31.97)</f>
        <v>31.97</v>
      </c>
      <c r="F1303" s="2">
        <f>IFERROR(__xludf.DUMMYFUNCTION("""COMPUTED_VALUE"""),765200.0)</f>
        <v>765200</v>
      </c>
    </row>
    <row r="1304">
      <c r="A1304" s="3">
        <f>IFERROR(__xludf.DUMMYFUNCTION("""COMPUTED_VALUE"""),31104.666666666668)</f>
        <v>31104.66667</v>
      </c>
      <c r="B1304" s="2">
        <f>IFERROR(__xludf.DUMMYFUNCTION("""COMPUTED_VALUE"""),32.12)</f>
        <v>32.12</v>
      </c>
      <c r="C1304" s="2">
        <f>IFERROR(__xludf.DUMMYFUNCTION("""COMPUTED_VALUE"""),32.36)</f>
        <v>32.36</v>
      </c>
      <c r="D1304" s="2">
        <f>IFERROR(__xludf.DUMMYFUNCTION("""COMPUTED_VALUE"""),31.82)</f>
        <v>31.82</v>
      </c>
      <c r="E1304" s="2">
        <f>IFERROR(__xludf.DUMMYFUNCTION("""COMPUTED_VALUE"""),32.12)</f>
        <v>32.12</v>
      </c>
      <c r="F1304" s="2">
        <f>IFERROR(__xludf.DUMMYFUNCTION("""COMPUTED_VALUE"""),1149800.0)</f>
        <v>1149800</v>
      </c>
    </row>
    <row r="1305">
      <c r="A1305" s="3">
        <f>IFERROR(__xludf.DUMMYFUNCTION("""COMPUTED_VALUE"""),31105.666666666668)</f>
        <v>31105.66667</v>
      </c>
      <c r="B1305" s="2">
        <f>IFERROR(__xludf.DUMMYFUNCTION("""COMPUTED_VALUE"""),31.79)</f>
        <v>31.79</v>
      </c>
      <c r="C1305" s="2">
        <f>IFERROR(__xludf.DUMMYFUNCTION("""COMPUTED_VALUE"""),32.24)</f>
        <v>32.24</v>
      </c>
      <c r="D1305" s="2">
        <f>IFERROR(__xludf.DUMMYFUNCTION("""COMPUTED_VALUE"""),31.7)</f>
        <v>31.7</v>
      </c>
      <c r="E1305" s="2">
        <f>IFERROR(__xludf.DUMMYFUNCTION("""COMPUTED_VALUE"""),31.79)</f>
        <v>31.79</v>
      </c>
      <c r="F1305" s="2">
        <f>IFERROR(__xludf.DUMMYFUNCTION("""COMPUTED_VALUE"""),867600.0)</f>
        <v>867600</v>
      </c>
    </row>
    <row r="1306">
      <c r="A1306" s="3">
        <f>IFERROR(__xludf.DUMMYFUNCTION("""COMPUTED_VALUE"""),31106.666666666668)</f>
        <v>31106.66667</v>
      </c>
      <c r="B1306" s="2">
        <f>IFERROR(__xludf.DUMMYFUNCTION("""COMPUTED_VALUE"""),32.0)</f>
        <v>32</v>
      </c>
      <c r="C1306" s="2">
        <f>IFERROR(__xludf.DUMMYFUNCTION("""COMPUTED_VALUE"""),32.12)</f>
        <v>32.12</v>
      </c>
      <c r="D1306" s="2">
        <f>IFERROR(__xludf.DUMMYFUNCTION("""COMPUTED_VALUE"""),31.7)</f>
        <v>31.7</v>
      </c>
      <c r="E1306" s="2">
        <f>IFERROR(__xludf.DUMMYFUNCTION("""COMPUTED_VALUE"""),32.0)</f>
        <v>32</v>
      </c>
      <c r="F1306" s="2">
        <f>IFERROR(__xludf.DUMMYFUNCTION("""COMPUTED_VALUE"""),882400.0)</f>
        <v>882400</v>
      </c>
    </row>
    <row r="1307">
      <c r="A1307" s="3">
        <f>IFERROR(__xludf.DUMMYFUNCTION("""COMPUTED_VALUE"""),31107.666666666668)</f>
        <v>31107.66667</v>
      </c>
      <c r="B1307" s="2">
        <f>IFERROR(__xludf.DUMMYFUNCTION("""COMPUTED_VALUE"""),32.45)</f>
        <v>32.45</v>
      </c>
      <c r="C1307" s="2">
        <f>IFERROR(__xludf.DUMMYFUNCTION("""COMPUTED_VALUE"""),32.65)</f>
        <v>32.65</v>
      </c>
      <c r="D1307" s="2">
        <f>IFERROR(__xludf.DUMMYFUNCTION("""COMPUTED_VALUE"""),32.0)</f>
        <v>32</v>
      </c>
      <c r="E1307" s="2">
        <f>IFERROR(__xludf.DUMMYFUNCTION("""COMPUTED_VALUE"""),32.45)</f>
        <v>32.45</v>
      </c>
      <c r="F1307" s="2">
        <f>IFERROR(__xludf.DUMMYFUNCTION("""COMPUTED_VALUE"""),1382800.0)</f>
        <v>1382800</v>
      </c>
    </row>
    <row r="1308">
      <c r="A1308" s="3">
        <f>IFERROR(__xludf.DUMMYFUNCTION("""COMPUTED_VALUE"""),31110.666666666668)</f>
        <v>31110.66667</v>
      </c>
      <c r="B1308" s="2">
        <f>IFERROR(__xludf.DUMMYFUNCTION("""COMPUTED_VALUE"""),32.24)</f>
        <v>32.24</v>
      </c>
      <c r="C1308" s="2">
        <f>IFERROR(__xludf.DUMMYFUNCTION("""COMPUTED_VALUE"""),32.57)</f>
        <v>32.57</v>
      </c>
      <c r="D1308" s="2">
        <f>IFERROR(__xludf.DUMMYFUNCTION("""COMPUTED_VALUE"""),32.09)</f>
        <v>32.09</v>
      </c>
      <c r="E1308" s="2">
        <f>IFERROR(__xludf.DUMMYFUNCTION("""COMPUTED_VALUE"""),32.24)</f>
        <v>32.24</v>
      </c>
      <c r="F1308" s="2">
        <f>IFERROR(__xludf.DUMMYFUNCTION("""COMPUTED_VALUE"""),890100.0)</f>
        <v>890100</v>
      </c>
    </row>
    <row r="1309">
      <c r="A1309" s="3">
        <f>IFERROR(__xludf.DUMMYFUNCTION("""COMPUTED_VALUE"""),31111.666666666668)</f>
        <v>31111.66667</v>
      </c>
      <c r="B1309" s="2">
        <f>IFERROR(__xludf.DUMMYFUNCTION("""COMPUTED_VALUE"""),32.24)</f>
        <v>32.24</v>
      </c>
      <c r="C1309" s="2">
        <f>IFERROR(__xludf.DUMMYFUNCTION("""COMPUTED_VALUE"""),32.45)</f>
        <v>32.45</v>
      </c>
      <c r="D1309" s="2">
        <f>IFERROR(__xludf.DUMMYFUNCTION("""COMPUTED_VALUE"""),32.15)</f>
        <v>32.15</v>
      </c>
      <c r="E1309" s="2">
        <f>IFERROR(__xludf.DUMMYFUNCTION("""COMPUTED_VALUE"""),32.24)</f>
        <v>32.24</v>
      </c>
      <c r="F1309" s="2">
        <f>IFERROR(__xludf.DUMMYFUNCTION("""COMPUTED_VALUE"""),1013500.0)</f>
        <v>1013500</v>
      </c>
    </row>
    <row r="1310">
      <c r="A1310" s="3">
        <f>IFERROR(__xludf.DUMMYFUNCTION("""COMPUTED_VALUE"""),31112.666666666668)</f>
        <v>31112.66667</v>
      </c>
      <c r="B1310" s="2">
        <f>IFERROR(__xludf.DUMMYFUNCTION("""COMPUTED_VALUE"""),31.73)</f>
        <v>31.73</v>
      </c>
      <c r="C1310" s="2">
        <f>IFERROR(__xludf.DUMMYFUNCTION("""COMPUTED_VALUE"""),32.36)</f>
        <v>32.36</v>
      </c>
      <c r="D1310" s="2">
        <f>IFERROR(__xludf.DUMMYFUNCTION("""COMPUTED_VALUE"""),31.7)</f>
        <v>31.7</v>
      </c>
      <c r="E1310" s="2">
        <f>IFERROR(__xludf.DUMMYFUNCTION("""COMPUTED_VALUE"""),31.73)</f>
        <v>31.73</v>
      </c>
      <c r="F1310" s="2">
        <f>IFERROR(__xludf.DUMMYFUNCTION("""COMPUTED_VALUE"""),1031500.0)</f>
        <v>1031500</v>
      </c>
    </row>
    <row r="1311">
      <c r="A1311" s="3">
        <f>IFERROR(__xludf.DUMMYFUNCTION("""COMPUTED_VALUE"""),31113.666666666668)</f>
        <v>31113.66667</v>
      </c>
      <c r="B1311" s="2">
        <f>IFERROR(__xludf.DUMMYFUNCTION("""COMPUTED_VALUE"""),31.07)</f>
        <v>31.07</v>
      </c>
      <c r="C1311" s="2">
        <f>IFERROR(__xludf.DUMMYFUNCTION("""COMPUTED_VALUE"""),31.85)</f>
        <v>31.85</v>
      </c>
      <c r="D1311" s="2">
        <f>IFERROR(__xludf.DUMMYFUNCTION("""COMPUTED_VALUE"""),31.04)</f>
        <v>31.04</v>
      </c>
      <c r="E1311" s="2">
        <f>IFERROR(__xludf.DUMMYFUNCTION("""COMPUTED_VALUE"""),31.07)</f>
        <v>31.07</v>
      </c>
      <c r="F1311" s="2">
        <f>IFERROR(__xludf.DUMMYFUNCTION("""COMPUTED_VALUE"""),1685000.0)</f>
        <v>1685000</v>
      </c>
    </row>
    <row r="1312">
      <c r="A1312" s="3">
        <f>IFERROR(__xludf.DUMMYFUNCTION("""COMPUTED_VALUE"""),31114.666666666668)</f>
        <v>31114.66667</v>
      </c>
      <c r="B1312" s="2">
        <f>IFERROR(__xludf.DUMMYFUNCTION("""COMPUTED_VALUE"""),30.95)</f>
        <v>30.95</v>
      </c>
      <c r="C1312" s="2">
        <f>IFERROR(__xludf.DUMMYFUNCTION("""COMPUTED_VALUE"""),31.28)</f>
        <v>31.28</v>
      </c>
      <c r="D1312" s="2">
        <f>IFERROR(__xludf.DUMMYFUNCTION("""COMPUTED_VALUE"""),30.83)</f>
        <v>30.83</v>
      </c>
      <c r="E1312" s="2">
        <f>IFERROR(__xludf.DUMMYFUNCTION("""COMPUTED_VALUE"""),30.95)</f>
        <v>30.95</v>
      </c>
      <c r="F1312" s="2">
        <f>IFERROR(__xludf.DUMMYFUNCTION("""COMPUTED_VALUE"""),1723200.0)</f>
        <v>1723200</v>
      </c>
    </row>
    <row r="1313">
      <c r="A1313" s="3">
        <f>IFERROR(__xludf.DUMMYFUNCTION("""COMPUTED_VALUE"""),31117.666666666668)</f>
        <v>31117.66667</v>
      </c>
      <c r="B1313" s="2">
        <f>IFERROR(__xludf.DUMMYFUNCTION("""COMPUTED_VALUE"""),31.4)</f>
        <v>31.4</v>
      </c>
      <c r="C1313" s="2">
        <f>IFERROR(__xludf.DUMMYFUNCTION("""COMPUTED_VALUE"""),31.46)</f>
        <v>31.46</v>
      </c>
      <c r="D1313" s="2">
        <f>IFERROR(__xludf.DUMMYFUNCTION("""COMPUTED_VALUE"""),30.98)</f>
        <v>30.98</v>
      </c>
      <c r="E1313" s="2">
        <f>IFERROR(__xludf.DUMMYFUNCTION("""COMPUTED_VALUE"""),31.4)</f>
        <v>31.4</v>
      </c>
      <c r="F1313" s="2">
        <f>IFERROR(__xludf.DUMMYFUNCTION("""COMPUTED_VALUE"""),1051400.0)</f>
        <v>1051400</v>
      </c>
    </row>
    <row r="1314">
      <c r="A1314" s="3">
        <f>IFERROR(__xludf.DUMMYFUNCTION("""COMPUTED_VALUE"""),31118.666666666668)</f>
        <v>31118.66667</v>
      </c>
      <c r="B1314" s="2">
        <f>IFERROR(__xludf.DUMMYFUNCTION("""COMPUTED_VALUE"""),31.49)</f>
        <v>31.49</v>
      </c>
      <c r="C1314" s="2">
        <f>IFERROR(__xludf.DUMMYFUNCTION("""COMPUTED_VALUE"""),31.64)</f>
        <v>31.64</v>
      </c>
      <c r="D1314" s="2">
        <f>IFERROR(__xludf.DUMMYFUNCTION("""COMPUTED_VALUE"""),31.28)</f>
        <v>31.28</v>
      </c>
      <c r="E1314" s="2">
        <f>IFERROR(__xludf.DUMMYFUNCTION("""COMPUTED_VALUE"""),31.49)</f>
        <v>31.49</v>
      </c>
      <c r="F1314" s="2">
        <f>IFERROR(__xludf.DUMMYFUNCTION("""COMPUTED_VALUE"""),879600.0)</f>
        <v>879600</v>
      </c>
    </row>
    <row r="1315">
      <c r="A1315" s="3">
        <f>IFERROR(__xludf.DUMMYFUNCTION("""COMPUTED_VALUE"""),31119.666666666668)</f>
        <v>31119.66667</v>
      </c>
      <c r="B1315" s="2">
        <f>IFERROR(__xludf.DUMMYFUNCTION("""COMPUTED_VALUE"""),31.04)</f>
        <v>31.04</v>
      </c>
      <c r="C1315" s="2">
        <f>IFERROR(__xludf.DUMMYFUNCTION("""COMPUTED_VALUE"""),31.52)</f>
        <v>31.52</v>
      </c>
      <c r="D1315" s="2">
        <f>IFERROR(__xludf.DUMMYFUNCTION("""COMPUTED_VALUE"""),30.89)</f>
        <v>30.89</v>
      </c>
      <c r="E1315" s="2">
        <f>IFERROR(__xludf.DUMMYFUNCTION("""COMPUTED_VALUE"""),31.04)</f>
        <v>31.04</v>
      </c>
      <c r="F1315" s="2">
        <f>IFERROR(__xludf.DUMMYFUNCTION("""COMPUTED_VALUE"""),1194800.0)</f>
        <v>1194800</v>
      </c>
    </row>
    <row r="1316">
      <c r="A1316" s="3">
        <f>IFERROR(__xludf.DUMMYFUNCTION("""COMPUTED_VALUE"""),31120.666666666668)</f>
        <v>31120.66667</v>
      </c>
      <c r="B1316" s="2">
        <f>IFERROR(__xludf.DUMMYFUNCTION("""COMPUTED_VALUE"""),30.77)</f>
        <v>30.77</v>
      </c>
      <c r="C1316" s="2">
        <f>IFERROR(__xludf.DUMMYFUNCTION("""COMPUTED_VALUE"""),31.13)</f>
        <v>31.13</v>
      </c>
      <c r="D1316" s="2">
        <f>IFERROR(__xludf.DUMMYFUNCTION("""COMPUTED_VALUE"""),30.74)</f>
        <v>30.74</v>
      </c>
      <c r="E1316" s="2">
        <f>IFERROR(__xludf.DUMMYFUNCTION("""COMPUTED_VALUE"""),30.77)</f>
        <v>30.77</v>
      </c>
      <c r="F1316" s="2">
        <f>IFERROR(__xludf.DUMMYFUNCTION("""COMPUTED_VALUE"""),1271800.0)</f>
        <v>1271800</v>
      </c>
    </row>
    <row r="1317">
      <c r="A1317" s="3">
        <f>IFERROR(__xludf.DUMMYFUNCTION("""COMPUTED_VALUE"""),31121.666666666668)</f>
        <v>31121.66667</v>
      </c>
      <c r="B1317" s="2">
        <f>IFERROR(__xludf.DUMMYFUNCTION("""COMPUTED_VALUE"""),30.71)</f>
        <v>30.71</v>
      </c>
      <c r="C1317" s="2">
        <f>IFERROR(__xludf.DUMMYFUNCTION("""COMPUTED_VALUE"""),31.04)</f>
        <v>31.04</v>
      </c>
      <c r="D1317" s="2">
        <f>IFERROR(__xludf.DUMMYFUNCTION("""COMPUTED_VALUE"""),30.57)</f>
        <v>30.57</v>
      </c>
      <c r="E1317" s="2">
        <f>IFERROR(__xludf.DUMMYFUNCTION("""COMPUTED_VALUE"""),30.71)</f>
        <v>30.71</v>
      </c>
      <c r="F1317" s="2">
        <f>IFERROR(__xludf.DUMMYFUNCTION("""COMPUTED_VALUE"""),1197400.0)</f>
        <v>1197400</v>
      </c>
    </row>
    <row r="1318">
      <c r="A1318" s="3">
        <f>IFERROR(__xludf.DUMMYFUNCTION("""COMPUTED_VALUE"""),31124.666666666668)</f>
        <v>31124.66667</v>
      </c>
      <c r="B1318" s="2">
        <f>IFERROR(__xludf.DUMMYFUNCTION("""COMPUTED_VALUE"""),30.65)</f>
        <v>30.65</v>
      </c>
      <c r="C1318" s="2">
        <f>IFERROR(__xludf.DUMMYFUNCTION("""COMPUTED_VALUE"""),30.83)</f>
        <v>30.83</v>
      </c>
      <c r="D1318" s="2">
        <f>IFERROR(__xludf.DUMMYFUNCTION("""COMPUTED_VALUE"""),30.51)</f>
        <v>30.51</v>
      </c>
      <c r="E1318" s="2">
        <f>IFERROR(__xludf.DUMMYFUNCTION("""COMPUTED_VALUE"""),30.65)</f>
        <v>30.65</v>
      </c>
      <c r="F1318" s="2">
        <f>IFERROR(__xludf.DUMMYFUNCTION("""COMPUTED_VALUE"""),1206700.0)</f>
        <v>1206700</v>
      </c>
    </row>
    <row r="1319">
      <c r="A1319" s="3">
        <f>IFERROR(__xludf.DUMMYFUNCTION("""COMPUTED_VALUE"""),31125.666666666668)</f>
        <v>31125.66667</v>
      </c>
      <c r="B1319" s="2">
        <f>IFERROR(__xludf.DUMMYFUNCTION("""COMPUTED_VALUE"""),31.16)</f>
        <v>31.16</v>
      </c>
      <c r="C1319" s="2">
        <f>IFERROR(__xludf.DUMMYFUNCTION("""COMPUTED_VALUE"""),31.31)</f>
        <v>31.31</v>
      </c>
      <c r="D1319" s="2">
        <f>IFERROR(__xludf.DUMMYFUNCTION("""COMPUTED_VALUE"""),30.62)</f>
        <v>30.62</v>
      </c>
      <c r="E1319" s="2">
        <f>IFERROR(__xludf.DUMMYFUNCTION("""COMPUTED_VALUE"""),31.16)</f>
        <v>31.16</v>
      </c>
      <c r="F1319" s="2">
        <f>IFERROR(__xludf.DUMMYFUNCTION("""COMPUTED_VALUE"""),1037200.0)</f>
        <v>1037200</v>
      </c>
    </row>
    <row r="1320">
      <c r="A1320" s="3">
        <f>IFERROR(__xludf.DUMMYFUNCTION("""COMPUTED_VALUE"""),31126.666666666668)</f>
        <v>31126.66667</v>
      </c>
      <c r="B1320" s="2">
        <f>IFERROR(__xludf.DUMMYFUNCTION("""COMPUTED_VALUE"""),30.89)</f>
        <v>30.89</v>
      </c>
      <c r="C1320" s="2">
        <f>IFERROR(__xludf.DUMMYFUNCTION("""COMPUTED_VALUE"""),31.19)</f>
        <v>31.19</v>
      </c>
      <c r="D1320" s="2">
        <f>IFERROR(__xludf.DUMMYFUNCTION("""COMPUTED_VALUE"""),30.8)</f>
        <v>30.8</v>
      </c>
      <c r="E1320" s="2">
        <f>IFERROR(__xludf.DUMMYFUNCTION("""COMPUTED_VALUE"""),30.89)</f>
        <v>30.89</v>
      </c>
      <c r="F1320" s="2">
        <f>IFERROR(__xludf.DUMMYFUNCTION("""COMPUTED_VALUE"""),1118800.0)</f>
        <v>1118800</v>
      </c>
    </row>
    <row r="1321">
      <c r="A1321" s="3">
        <f>IFERROR(__xludf.DUMMYFUNCTION("""COMPUTED_VALUE"""),31127.666666666668)</f>
        <v>31127.66667</v>
      </c>
      <c r="B1321" s="2">
        <f>IFERROR(__xludf.DUMMYFUNCTION("""COMPUTED_VALUE"""),30.74)</f>
        <v>30.74</v>
      </c>
      <c r="C1321" s="2">
        <f>IFERROR(__xludf.DUMMYFUNCTION("""COMPUTED_VALUE"""),31.04)</f>
        <v>31.04</v>
      </c>
      <c r="D1321" s="2">
        <f>IFERROR(__xludf.DUMMYFUNCTION("""COMPUTED_VALUE"""),30.6)</f>
        <v>30.6</v>
      </c>
      <c r="E1321" s="2">
        <f>IFERROR(__xludf.DUMMYFUNCTION("""COMPUTED_VALUE"""),30.74)</f>
        <v>30.74</v>
      </c>
      <c r="F1321" s="2">
        <f>IFERROR(__xludf.DUMMYFUNCTION("""COMPUTED_VALUE"""),1552200.0)</f>
        <v>1552200</v>
      </c>
    </row>
    <row r="1322">
      <c r="A1322" s="3">
        <f>IFERROR(__xludf.DUMMYFUNCTION("""COMPUTED_VALUE"""),31128.666666666668)</f>
        <v>31128.66667</v>
      </c>
      <c r="B1322" s="2">
        <f>IFERROR(__xludf.DUMMYFUNCTION("""COMPUTED_VALUE"""),30.51)</f>
        <v>30.51</v>
      </c>
      <c r="C1322" s="2">
        <f>IFERROR(__xludf.DUMMYFUNCTION("""COMPUTED_VALUE"""),30.74)</f>
        <v>30.74</v>
      </c>
      <c r="D1322" s="2">
        <f>IFERROR(__xludf.DUMMYFUNCTION("""COMPUTED_VALUE"""),30.51)</f>
        <v>30.51</v>
      </c>
      <c r="E1322" s="2">
        <f>IFERROR(__xludf.DUMMYFUNCTION("""COMPUTED_VALUE"""),30.51)</f>
        <v>30.51</v>
      </c>
      <c r="F1322" s="2">
        <f>IFERROR(__xludf.DUMMYFUNCTION("""COMPUTED_VALUE"""),1197800.0)</f>
        <v>1197800</v>
      </c>
    </row>
    <row r="1323">
      <c r="A1323" s="3">
        <f>IFERROR(__xludf.DUMMYFUNCTION("""COMPUTED_VALUE"""),31131.666666666668)</f>
        <v>31131.66667</v>
      </c>
      <c r="B1323" s="2">
        <f>IFERROR(__xludf.DUMMYFUNCTION("""COMPUTED_VALUE"""),29.73)</f>
        <v>29.73</v>
      </c>
      <c r="C1323" s="2">
        <f>IFERROR(__xludf.DUMMYFUNCTION("""COMPUTED_VALUE"""),30.57)</f>
        <v>30.57</v>
      </c>
      <c r="D1323" s="2">
        <f>IFERROR(__xludf.DUMMYFUNCTION("""COMPUTED_VALUE"""),29.73)</f>
        <v>29.73</v>
      </c>
      <c r="E1323" s="2">
        <f>IFERROR(__xludf.DUMMYFUNCTION("""COMPUTED_VALUE"""),29.73)</f>
        <v>29.73</v>
      </c>
      <c r="F1323" s="2">
        <f>IFERROR(__xludf.DUMMYFUNCTION("""COMPUTED_VALUE"""),2057900.0)</f>
        <v>2057900</v>
      </c>
    </row>
    <row r="1324">
      <c r="A1324" s="3">
        <f>IFERROR(__xludf.DUMMYFUNCTION("""COMPUTED_VALUE"""),31132.666666666668)</f>
        <v>31132.66667</v>
      </c>
      <c r="B1324" s="2">
        <f>IFERROR(__xludf.DUMMYFUNCTION("""COMPUTED_VALUE"""),29.94)</f>
        <v>29.94</v>
      </c>
      <c r="C1324" s="2">
        <f>IFERROR(__xludf.DUMMYFUNCTION("""COMPUTED_VALUE"""),30.0)</f>
        <v>30</v>
      </c>
      <c r="D1324" s="2">
        <f>IFERROR(__xludf.DUMMYFUNCTION("""COMPUTED_VALUE"""),29.64)</f>
        <v>29.64</v>
      </c>
      <c r="E1324" s="2">
        <f>IFERROR(__xludf.DUMMYFUNCTION("""COMPUTED_VALUE"""),29.94)</f>
        <v>29.94</v>
      </c>
      <c r="F1324" s="2">
        <f>IFERROR(__xludf.DUMMYFUNCTION("""COMPUTED_VALUE"""),1404400.0)</f>
        <v>1404400</v>
      </c>
    </row>
    <row r="1325">
      <c r="A1325" s="3">
        <f>IFERROR(__xludf.DUMMYFUNCTION("""COMPUTED_VALUE"""),31133.666666666668)</f>
        <v>31133.66667</v>
      </c>
      <c r="B1325" s="2">
        <f>IFERROR(__xludf.DUMMYFUNCTION("""COMPUTED_VALUE"""),30.18)</f>
        <v>30.18</v>
      </c>
      <c r="C1325" s="2">
        <f>IFERROR(__xludf.DUMMYFUNCTION("""COMPUTED_VALUE"""),30.24)</f>
        <v>30.24</v>
      </c>
      <c r="D1325" s="2">
        <f>IFERROR(__xludf.DUMMYFUNCTION("""COMPUTED_VALUE"""),29.97)</f>
        <v>29.97</v>
      </c>
      <c r="E1325" s="2">
        <f>IFERROR(__xludf.DUMMYFUNCTION("""COMPUTED_VALUE"""),30.18)</f>
        <v>30.18</v>
      </c>
      <c r="F1325" s="2">
        <f>IFERROR(__xludf.DUMMYFUNCTION("""COMPUTED_VALUE"""),1098400.0)</f>
        <v>1098400</v>
      </c>
    </row>
    <row r="1326">
      <c r="A1326" s="3">
        <f>IFERROR(__xludf.DUMMYFUNCTION("""COMPUTED_VALUE"""),31134.666666666668)</f>
        <v>31134.66667</v>
      </c>
      <c r="B1326" s="2">
        <f>IFERROR(__xludf.DUMMYFUNCTION("""COMPUTED_VALUE"""),30.24)</f>
        <v>30.24</v>
      </c>
      <c r="C1326" s="2">
        <f>IFERROR(__xludf.DUMMYFUNCTION("""COMPUTED_VALUE"""),30.48)</f>
        <v>30.48</v>
      </c>
      <c r="D1326" s="2">
        <f>IFERROR(__xludf.DUMMYFUNCTION("""COMPUTED_VALUE"""),30.18)</f>
        <v>30.18</v>
      </c>
      <c r="E1326" s="2">
        <f>IFERROR(__xludf.DUMMYFUNCTION("""COMPUTED_VALUE"""),30.24)</f>
        <v>30.24</v>
      </c>
      <c r="F1326" s="2">
        <f>IFERROR(__xludf.DUMMYFUNCTION("""COMPUTED_VALUE"""),993400.0)</f>
        <v>993400</v>
      </c>
    </row>
    <row r="1327">
      <c r="A1327" s="3">
        <f>IFERROR(__xludf.DUMMYFUNCTION("""COMPUTED_VALUE"""),31135.666666666668)</f>
        <v>31135.66667</v>
      </c>
      <c r="B1327" s="2">
        <f>IFERROR(__xludf.DUMMYFUNCTION("""COMPUTED_VALUE"""),30.33)</f>
        <v>30.33</v>
      </c>
      <c r="C1327" s="2">
        <f>IFERROR(__xludf.DUMMYFUNCTION("""COMPUTED_VALUE"""),30.36)</f>
        <v>30.36</v>
      </c>
      <c r="D1327" s="2">
        <f>IFERROR(__xludf.DUMMYFUNCTION("""COMPUTED_VALUE"""),30.0)</f>
        <v>30</v>
      </c>
      <c r="E1327" s="2">
        <f>IFERROR(__xludf.DUMMYFUNCTION("""COMPUTED_VALUE"""),30.33)</f>
        <v>30.33</v>
      </c>
      <c r="F1327" s="2">
        <f>IFERROR(__xludf.DUMMYFUNCTION("""COMPUTED_VALUE"""),695000.0)</f>
        <v>695000</v>
      </c>
    </row>
    <row r="1328">
      <c r="A1328" s="3">
        <f>IFERROR(__xludf.DUMMYFUNCTION("""COMPUTED_VALUE"""),31138.666666666668)</f>
        <v>31138.66667</v>
      </c>
      <c r="B1328" s="2">
        <f>IFERROR(__xludf.DUMMYFUNCTION("""COMPUTED_VALUE"""),30.6)</f>
        <v>30.6</v>
      </c>
      <c r="C1328" s="2">
        <f>IFERROR(__xludf.DUMMYFUNCTION("""COMPUTED_VALUE"""),30.62)</f>
        <v>30.62</v>
      </c>
      <c r="D1328" s="2">
        <f>IFERROR(__xludf.DUMMYFUNCTION("""COMPUTED_VALUE"""),30.3)</f>
        <v>30.3</v>
      </c>
      <c r="E1328" s="2">
        <f>IFERROR(__xludf.DUMMYFUNCTION("""COMPUTED_VALUE"""),30.6)</f>
        <v>30.6</v>
      </c>
      <c r="F1328" s="2">
        <f>IFERROR(__xludf.DUMMYFUNCTION("""COMPUTED_VALUE"""),840800.0)</f>
        <v>840800</v>
      </c>
    </row>
    <row r="1329">
      <c r="A1329" s="3">
        <f>IFERROR(__xludf.DUMMYFUNCTION("""COMPUTED_VALUE"""),31139.666666666668)</f>
        <v>31139.66667</v>
      </c>
      <c r="B1329" s="2">
        <f>IFERROR(__xludf.DUMMYFUNCTION("""COMPUTED_VALUE"""),30.51)</f>
        <v>30.51</v>
      </c>
      <c r="C1329" s="2">
        <f>IFERROR(__xludf.DUMMYFUNCTION("""COMPUTED_VALUE"""),30.92)</f>
        <v>30.92</v>
      </c>
      <c r="D1329" s="2">
        <f>IFERROR(__xludf.DUMMYFUNCTION("""COMPUTED_VALUE"""),30.45)</f>
        <v>30.45</v>
      </c>
      <c r="E1329" s="2">
        <f>IFERROR(__xludf.DUMMYFUNCTION("""COMPUTED_VALUE"""),30.51)</f>
        <v>30.51</v>
      </c>
      <c r="F1329" s="2">
        <f>IFERROR(__xludf.DUMMYFUNCTION("""COMPUTED_VALUE"""),949000.0)</f>
        <v>949000</v>
      </c>
    </row>
    <row r="1330">
      <c r="A1330" s="3">
        <f>IFERROR(__xludf.DUMMYFUNCTION("""COMPUTED_VALUE"""),31140.666666666668)</f>
        <v>31140.66667</v>
      </c>
      <c r="B1330" s="2">
        <f>IFERROR(__xludf.DUMMYFUNCTION("""COMPUTED_VALUE"""),30.21)</f>
        <v>30.21</v>
      </c>
      <c r="C1330" s="2">
        <f>IFERROR(__xludf.DUMMYFUNCTION("""COMPUTED_VALUE"""),30.48)</f>
        <v>30.48</v>
      </c>
      <c r="D1330" s="2">
        <f>IFERROR(__xludf.DUMMYFUNCTION("""COMPUTED_VALUE"""),30.15)</f>
        <v>30.15</v>
      </c>
      <c r="E1330" s="2">
        <f>IFERROR(__xludf.DUMMYFUNCTION("""COMPUTED_VALUE"""),30.21)</f>
        <v>30.21</v>
      </c>
      <c r="F1330" s="2">
        <f>IFERROR(__xludf.DUMMYFUNCTION("""COMPUTED_VALUE"""),829000.0)</f>
        <v>829000</v>
      </c>
    </row>
    <row r="1331">
      <c r="A1331" s="3">
        <f>IFERROR(__xludf.DUMMYFUNCTION("""COMPUTED_VALUE"""),31141.666666666668)</f>
        <v>31141.66667</v>
      </c>
      <c r="B1331" s="2">
        <f>IFERROR(__xludf.DUMMYFUNCTION("""COMPUTED_VALUE"""),30.33)</f>
        <v>30.33</v>
      </c>
      <c r="C1331" s="2">
        <f>IFERROR(__xludf.DUMMYFUNCTION("""COMPUTED_VALUE"""),30.39)</f>
        <v>30.39</v>
      </c>
      <c r="D1331" s="2">
        <f>IFERROR(__xludf.DUMMYFUNCTION("""COMPUTED_VALUE"""),29.97)</f>
        <v>29.97</v>
      </c>
      <c r="E1331" s="2">
        <f>IFERROR(__xludf.DUMMYFUNCTION("""COMPUTED_VALUE"""),30.33)</f>
        <v>30.33</v>
      </c>
      <c r="F1331" s="2">
        <f>IFERROR(__xludf.DUMMYFUNCTION("""COMPUTED_VALUE"""),536800.0)</f>
        <v>536800</v>
      </c>
    </row>
    <row r="1332">
      <c r="A1332" s="3">
        <f>IFERROR(__xludf.DUMMYFUNCTION("""COMPUTED_VALUE"""),31145.666666666668)</f>
        <v>31145.66667</v>
      </c>
      <c r="B1332" s="2">
        <f>IFERROR(__xludf.DUMMYFUNCTION("""COMPUTED_VALUE"""),29.58)</f>
        <v>29.58</v>
      </c>
      <c r="C1332" s="2">
        <f>IFERROR(__xludf.DUMMYFUNCTION("""COMPUTED_VALUE"""),30.33)</f>
        <v>30.33</v>
      </c>
      <c r="D1332" s="2">
        <f>IFERROR(__xludf.DUMMYFUNCTION("""COMPUTED_VALUE"""),29.58)</f>
        <v>29.58</v>
      </c>
      <c r="E1332" s="2">
        <f>IFERROR(__xludf.DUMMYFUNCTION("""COMPUTED_VALUE"""),29.58)</f>
        <v>29.58</v>
      </c>
      <c r="F1332" s="2">
        <f>IFERROR(__xludf.DUMMYFUNCTION("""COMPUTED_VALUE"""),1219000.0)</f>
        <v>1219000</v>
      </c>
    </row>
    <row r="1333">
      <c r="A1333" s="3">
        <f>IFERROR(__xludf.DUMMYFUNCTION("""COMPUTED_VALUE"""),31146.666666666668)</f>
        <v>31146.66667</v>
      </c>
      <c r="B1333" s="2">
        <f>IFERROR(__xludf.DUMMYFUNCTION("""COMPUTED_VALUE"""),29.76)</f>
        <v>29.76</v>
      </c>
      <c r="C1333" s="2">
        <f>IFERROR(__xludf.DUMMYFUNCTION("""COMPUTED_VALUE"""),29.94)</f>
        <v>29.94</v>
      </c>
      <c r="D1333" s="2">
        <f>IFERROR(__xludf.DUMMYFUNCTION("""COMPUTED_VALUE"""),29.67)</f>
        <v>29.67</v>
      </c>
      <c r="E1333" s="2">
        <f>IFERROR(__xludf.DUMMYFUNCTION("""COMPUTED_VALUE"""),29.76)</f>
        <v>29.76</v>
      </c>
      <c r="F1333" s="2">
        <f>IFERROR(__xludf.DUMMYFUNCTION("""COMPUTED_VALUE"""),969700.0)</f>
        <v>969700</v>
      </c>
    </row>
    <row r="1334">
      <c r="A1334" s="3">
        <f>IFERROR(__xludf.DUMMYFUNCTION("""COMPUTED_VALUE"""),31147.666666666668)</f>
        <v>31147.66667</v>
      </c>
      <c r="B1334" s="2">
        <f>IFERROR(__xludf.DUMMYFUNCTION("""COMPUTED_VALUE"""),30.06)</f>
        <v>30.06</v>
      </c>
      <c r="C1334" s="2">
        <f>IFERROR(__xludf.DUMMYFUNCTION("""COMPUTED_VALUE"""),30.24)</f>
        <v>30.24</v>
      </c>
      <c r="D1334" s="2">
        <f>IFERROR(__xludf.DUMMYFUNCTION("""COMPUTED_VALUE"""),29.91)</f>
        <v>29.91</v>
      </c>
      <c r="E1334" s="2">
        <f>IFERROR(__xludf.DUMMYFUNCTION("""COMPUTED_VALUE"""),30.06)</f>
        <v>30.06</v>
      </c>
      <c r="F1334" s="2">
        <f>IFERROR(__xludf.DUMMYFUNCTION("""COMPUTED_VALUE"""),1016300.0)</f>
        <v>1016300</v>
      </c>
    </row>
    <row r="1335">
      <c r="A1335" s="3">
        <f>IFERROR(__xludf.DUMMYFUNCTION("""COMPUTED_VALUE"""),31148.666666666668)</f>
        <v>31148.66667</v>
      </c>
      <c r="B1335" s="2">
        <f>IFERROR(__xludf.DUMMYFUNCTION("""COMPUTED_VALUE"""),30.33)</f>
        <v>30.33</v>
      </c>
      <c r="C1335" s="2">
        <f>IFERROR(__xludf.DUMMYFUNCTION("""COMPUTED_VALUE"""),30.48)</f>
        <v>30.48</v>
      </c>
      <c r="D1335" s="2">
        <f>IFERROR(__xludf.DUMMYFUNCTION("""COMPUTED_VALUE"""),30.21)</f>
        <v>30.21</v>
      </c>
      <c r="E1335" s="2">
        <f>IFERROR(__xludf.DUMMYFUNCTION("""COMPUTED_VALUE"""),30.33)</f>
        <v>30.33</v>
      </c>
      <c r="F1335" s="2">
        <f>IFERROR(__xludf.DUMMYFUNCTION("""COMPUTED_VALUE"""),1235400.0)</f>
        <v>1235400</v>
      </c>
    </row>
    <row r="1336">
      <c r="A1336" s="3">
        <f>IFERROR(__xludf.DUMMYFUNCTION("""COMPUTED_VALUE"""),31149.666666666668)</f>
        <v>31149.66667</v>
      </c>
      <c r="B1336" s="2">
        <f>IFERROR(__xludf.DUMMYFUNCTION("""COMPUTED_VALUE"""),30.57)</f>
        <v>30.57</v>
      </c>
      <c r="C1336" s="2">
        <f>IFERROR(__xludf.DUMMYFUNCTION("""COMPUTED_VALUE"""),30.6)</f>
        <v>30.6</v>
      </c>
      <c r="D1336" s="2">
        <f>IFERROR(__xludf.DUMMYFUNCTION("""COMPUTED_VALUE"""),30.3)</f>
        <v>30.3</v>
      </c>
      <c r="E1336" s="2">
        <f>IFERROR(__xludf.DUMMYFUNCTION("""COMPUTED_VALUE"""),30.57)</f>
        <v>30.57</v>
      </c>
      <c r="F1336" s="2">
        <f>IFERROR(__xludf.DUMMYFUNCTION("""COMPUTED_VALUE"""),952600.0)</f>
        <v>952600</v>
      </c>
    </row>
    <row r="1337">
      <c r="A1337" s="3">
        <f>IFERROR(__xludf.DUMMYFUNCTION("""COMPUTED_VALUE"""),31152.666666666668)</f>
        <v>31152.66667</v>
      </c>
      <c r="B1337" s="2">
        <f>IFERROR(__xludf.DUMMYFUNCTION("""COMPUTED_VALUE"""),30.86)</f>
        <v>30.86</v>
      </c>
      <c r="C1337" s="2">
        <f>IFERROR(__xludf.DUMMYFUNCTION("""COMPUTED_VALUE"""),30.98)</f>
        <v>30.98</v>
      </c>
      <c r="D1337" s="2">
        <f>IFERROR(__xludf.DUMMYFUNCTION("""COMPUTED_VALUE"""),30.54)</f>
        <v>30.54</v>
      </c>
      <c r="E1337" s="2">
        <f>IFERROR(__xludf.DUMMYFUNCTION("""COMPUTED_VALUE"""),30.86)</f>
        <v>30.86</v>
      </c>
      <c r="F1337" s="2">
        <f>IFERROR(__xludf.DUMMYFUNCTION("""COMPUTED_VALUE"""),1033800.0)</f>
        <v>1033800</v>
      </c>
    </row>
    <row r="1338">
      <c r="A1338" s="3">
        <f>IFERROR(__xludf.DUMMYFUNCTION("""COMPUTED_VALUE"""),31153.666666666668)</f>
        <v>31153.66667</v>
      </c>
      <c r="B1338" s="2">
        <f>IFERROR(__xludf.DUMMYFUNCTION("""COMPUTED_VALUE"""),30.98)</f>
        <v>30.98</v>
      </c>
      <c r="C1338" s="2">
        <f>IFERROR(__xludf.DUMMYFUNCTION("""COMPUTED_VALUE"""),31.13)</f>
        <v>31.13</v>
      </c>
      <c r="D1338" s="2">
        <f>IFERROR(__xludf.DUMMYFUNCTION("""COMPUTED_VALUE"""),30.68)</f>
        <v>30.68</v>
      </c>
      <c r="E1338" s="2">
        <f>IFERROR(__xludf.DUMMYFUNCTION("""COMPUTED_VALUE"""),30.98)</f>
        <v>30.98</v>
      </c>
      <c r="F1338" s="2">
        <f>IFERROR(__xludf.DUMMYFUNCTION("""COMPUTED_VALUE"""),1165200.0)</f>
        <v>1165200</v>
      </c>
    </row>
    <row r="1339">
      <c r="A1339" s="3">
        <f>IFERROR(__xludf.DUMMYFUNCTION("""COMPUTED_VALUE"""),31154.666666666668)</f>
        <v>31154.66667</v>
      </c>
      <c r="B1339" s="2">
        <f>IFERROR(__xludf.DUMMYFUNCTION("""COMPUTED_VALUE"""),30.95)</f>
        <v>30.95</v>
      </c>
      <c r="C1339" s="2">
        <f>IFERROR(__xludf.DUMMYFUNCTION("""COMPUTED_VALUE"""),31.07)</f>
        <v>31.07</v>
      </c>
      <c r="D1339" s="2">
        <f>IFERROR(__xludf.DUMMYFUNCTION("""COMPUTED_VALUE"""),30.86)</f>
        <v>30.86</v>
      </c>
      <c r="E1339" s="2">
        <f>IFERROR(__xludf.DUMMYFUNCTION("""COMPUTED_VALUE"""),30.95)</f>
        <v>30.95</v>
      </c>
      <c r="F1339" s="2">
        <f>IFERROR(__xludf.DUMMYFUNCTION("""COMPUTED_VALUE"""),901700.0)</f>
        <v>901700</v>
      </c>
    </row>
    <row r="1340">
      <c r="A1340" s="3">
        <f>IFERROR(__xludf.DUMMYFUNCTION("""COMPUTED_VALUE"""),31155.666666666668)</f>
        <v>31155.66667</v>
      </c>
      <c r="B1340" s="2">
        <f>IFERROR(__xludf.DUMMYFUNCTION("""COMPUTED_VALUE"""),30.45)</f>
        <v>30.45</v>
      </c>
      <c r="C1340" s="2">
        <f>IFERROR(__xludf.DUMMYFUNCTION("""COMPUTED_VALUE"""),31.04)</f>
        <v>31.04</v>
      </c>
      <c r="D1340" s="2">
        <f>IFERROR(__xludf.DUMMYFUNCTION("""COMPUTED_VALUE"""),30.42)</f>
        <v>30.42</v>
      </c>
      <c r="E1340" s="2">
        <f>IFERROR(__xludf.DUMMYFUNCTION("""COMPUTED_VALUE"""),30.45)</f>
        <v>30.45</v>
      </c>
      <c r="F1340" s="2">
        <f>IFERROR(__xludf.DUMMYFUNCTION("""COMPUTED_VALUE"""),998800.0)</f>
        <v>998800</v>
      </c>
    </row>
    <row r="1341">
      <c r="A1341" s="3">
        <f>IFERROR(__xludf.DUMMYFUNCTION("""COMPUTED_VALUE"""),31156.666666666668)</f>
        <v>31156.66667</v>
      </c>
      <c r="B1341" s="2">
        <f>IFERROR(__xludf.DUMMYFUNCTION("""COMPUTED_VALUE"""),30.48)</f>
        <v>30.48</v>
      </c>
      <c r="C1341" s="2">
        <f>IFERROR(__xludf.DUMMYFUNCTION("""COMPUTED_VALUE"""),30.6)</f>
        <v>30.6</v>
      </c>
      <c r="D1341" s="2">
        <f>IFERROR(__xludf.DUMMYFUNCTION("""COMPUTED_VALUE"""),30.3)</f>
        <v>30.3</v>
      </c>
      <c r="E1341" s="2">
        <f>IFERROR(__xludf.DUMMYFUNCTION("""COMPUTED_VALUE"""),30.48)</f>
        <v>30.48</v>
      </c>
      <c r="F1341" s="2">
        <f>IFERROR(__xludf.DUMMYFUNCTION("""COMPUTED_VALUE"""),739700.0)</f>
        <v>739700</v>
      </c>
    </row>
    <row r="1342">
      <c r="A1342" s="3">
        <f>IFERROR(__xludf.DUMMYFUNCTION("""COMPUTED_VALUE"""),31159.666666666668)</f>
        <v>31159.66667</v>
      </c>
      <c r="B1342" s="2">
        <f>IFERROR(__xludf.DUMMYFUNCTION("""COMPUTED_VALUE"""),30.51)</f>
        <v>30.51</v>
      </c>
      <c r="C1342" s="2">
        <f>IFERROR(__xludf.DUMMYFUNCTION("""COMPUTED_VALUE"""),30.57)</f>
        <v>30.57</v>
      </c>
      <c r="D1342" s="2">
        <f>IFERROR(__xludf.DUMMYFUNCTION("""COMPUTED_VALUE"""),30.27)</f>
        <v>30.27</v>
      </c>
      <c r="E1342" s="2">
        <f>IFERROR(__xludf.DUMMYFUNCTION("""COMPUTED_VALUE"""),30.51)</f>
        <v>30.51</v>
      </c>
      <c r="F1342" s="2">
        <f>IFERROR(__xludf.DUMMYFUNCTION("""COMPUTED_VALUE"""),649100.0)</f>
        <v>649100</v>
      </c>
    </row>
    <row r="1343">
      <c r="A1343" s="3">
        <f>IFERROR(__xludf.DUMMYFUNCTION("""COMPUTED_VALUE"""),31160.666666666668)</f>
        <v>31160.66667</v>
      </c>
      <c r="B1343" s="2">
        <f>IFERROR(__xludf.DUMMYFUNCTION("""COMPUTED_VALUE"""),30.8)</f>
        <v>30.8</v>
      </c>
      <c r="C1343" s="2">
        <f>IFERROR(__xludf.DUMMYFUNCTION("""COMPUTED_VALUE"""),30.86)</f>
        <v>30.86</v>
      </c>
      <c r="D1343" s="2">
        <f>IFERROR(__xludf.DUMMYFUNCTION("""COMPUTED_VALUE"""),30.39)</f>
        <v>30.39</v>
      </c>
      <c r="E1343" s="2">
        <f>IFERROR(__xludf.DUMMYFUNCTION("""COMPUTED_VALUE"""),30.8)</f>
        <v>30.8</v>
      </c>
      <c r="F1343" s="2">
        <f>IFERROR(__xludf.DUMMYFUNCTION("""COMPUTED_VALUE"""),969200.0)</f>
        <v>969200</v>
      </c>
    </row>
    <row r="1344">
      <c r="A1344" s="3">
        <f>IFERROR(__xludf.DUMMYFUNCTION("""COMPUTED_VALUE"""),31161.666666666668)</f>
        <v>31161.66667</v>
      </c>
      <c r="B1344" s="2">
        <f>IFERROR(__xludf.DUMMYFUNCTION("""COMPUTED_VALUE"""),30.71)</f>
        <v>30.71</v>
      </c>
      <c r="C1344" s="2">
        <f>IFERROR(__xludf.DUMMYFUNCTION("""COMPUTED_VALUE"""),30.83)</f>
        <v>30.83</v>
      </c>
      <c r="D1344" s="2">
        <f>IFERROR(__xludf.DUMMYFUNCTION("""COMPUTED_VALUE"""),30.39)</f>
        <v>30.39</v>
      </c>
      <c r="E1344" s="2">
        <f>IFERROR(__xludf.DUMMYFUNCTION("""COMPUTED_VALUE"""),30.71)</f>
        <v>30.71</v>
      </c>
      <c r="F1344" s="2">
        <f>IFERROR(__xludf.DUMMYFUNCTION("""COMPUTED_VALUE"""),821400.0)</f>
        <v>821400</v>
      </c>
    </row>
    <row r="1345">
      <c r="A1345" s="3">
        <f>IFERROR(__xludf.DUMMYFUNCTION("""COMPUTED_VALUE"""),31162.666666666668)</f>
        <v>31162.66667</v>
      </c>
      <c r="B1345" s="2">
        <f>IFERROR(__xludf.DUMMYFUNCTION("""COMPUTED_VALUE"""),30.77)</f>
        <v>30.77</v>
      </c>
      <c r="C1345" s="2">
        <f>IFERROR(__xludf.DUMMYFUNCTION("""COMPUTED_VALUE"""),30.8)</f>
        <v>30.8</v>
      </c>
      <c r="D1345" s="2">
        <f>IFERROR(__xludf.DUMMYFUNCTION("""COMPUTED_VALUE"""),30.6)</f>
        <v>30.6</v>
      </c>
      <c r="E1345" s="2">
        <f>IFERROR(__xludf.DUMMYFUNCTION("""COMPUTED_VALUE"""),30.77)</f>
        <v>30.77</v>
      </c>
      <c r="F1345" s="2">
        <f>IFERROR(__xludf.DUMMYFUNCTION("""COMPUTED_VALUE"""),986000.0)</f>
        <v>986000</v>
      </c>
    </row>
    <row r="1346">
      <c r="A1346" s="3">
        <f>IFERROR(__xludf.DUMMYFUNCTION("""COMPUTED_VALUE"""),31163.666666666668)</f>
        <v>31163.66667</v>
      </c>
      <c r="B1346" s="2">
        <f>IFERROR(__xludf.DUMMYFUNCTION("""COMPUTED_VALUE"""),30.36)</f>
        <v>30.36</v>
      </c>
      <c r="C1346" s="2">
        <f>IFERROR(__xludf.DUMMYFUNCTION("""COMPUTED_VALUE"""),30.77)</f>
        <v>30.77</v>
      </c>
      <c r="D1346" s="2">
        <f>IFERROR(__xludf.DUMMYFUNCTION("""COMPUTED_VALUE"""),30.36)</f>
        <v>30.36</v>
      </c>
      <c r="E1346" s="2">
        <f>IFERROR(__xludf.DUMMYFUNCTION("""COMPUTED_VALUE"""),30.36)</f>
        <v>30.36</v>
      </c>
      <c r="F1346" s="2">
        <f>IFERROR(__xludf.DUMMYFUNCTION("""COMPUTED_VALUE"""),699600.0)</f>
        <v>699600</v>
      </c>
    </row>
    <row r="1347">
      <c r="A1347" s="3">
        <f>IFERROR(__xludf.DUMMYFUNCTION("""COMPUTED_VALUE"""),31166.666666666668)</f>
        <v>31166.66667</v>
      </c>
      <c r="B1347" s="2">
        <f>IFERROR(__xludf.DUMMYFUNCTION("""COMPUTED_VALUE"""),30.15)</f>
        <v>30.15</v>
      </c>
      <c r="C1347" s="2">
        <f>IFERROR(__xludf.DUMMYFUNCTION("""COMPUTED_VALUE"""),30.36)</f>
        <v>30.36</v>
      </c>
      <c r="D1347" s="2">
        <f>IFERROR(__xludf.DUMMYFUNCTION("""COMPUTED_VALUE"""),30.12)</f>
        <v>30.12</v>
      </c>
      <c r="E1347" s="2">
        <f>IFERROR(__xludf.DUMMYFUNCTION("""COMPUTED_VALUE"""),30.15)</f>
        <v>30.15</v>
      </c>
      <c r="F1347" s="2">
        <f>IFERROR(__xludf.DUMMYFUNCTION("""COMPUTED_VALUE"""),812800.0)</f>
        <v>812800</v>
      </c>
    </row>
    <row r="1348">
      <c r="A1348" s="3">
        <f>IFERROR(__xludf.DUMMYFUNCTION("""COMPUTED_VALUE"""),31167.666666666668)</f>
        <v>31167.66667</v>
      </c>
      <c r="B1348" s="2">
        <f>IFERROR(__xludf.DUMMYFUNCTION("""COMPUTED_VALUE"""),30.21)</f>
        <v>30.21</v>
      </c>
      <c r="C1348" s="2">
        <f>IFERROR(__xludf.DUMMYFUNCTION("""COMPUTED_VALUE"""),30.27)</f>
        <v>30.27</v>
      </c>
      <c r="D1348" s="2">
        <f>IFERROR(__xludf.DUMMYFUNCTION("""COMPUTED_VALUE"""),29.97)</f>
        <v>29.97</v>
      </c>
      <c r="E1348" s="2">
        <f>IFERROR(__xludf.DUMMYFUNCTION("""COMPUTED_VALUE"""),30.21)</f>
        <v>30.21</v>
      </c>
      <c r="F1348" s="2">
        <f>IFERROR(__xludf.DUMMYFUNCTION("""COMPUTED_VALUE"""),1280300.0)</f>
        <v>1280300</v>
      </c>
    </row>
    <row r="1349">
      <c r="A1349" s="3">
        <f>IFERROR(__xludf.DUMMYFUNCTION("""COMPUTED_VALUE"""),31168.666666666668)</f>
        <v>31168.66667</v>
      </c>
      <c r="B1349" s="2">
        <f>IFERROR(__xludf.DUMMYFUNCTION("""COMPUTED_VALUE"""),30.0)</f>
        <v>30</v>
      </c>
      <c r="C1349" s="2">
        <f>IFERROR(__xludf.DUMMYFUNCTION("""COMPUTED_VALUE"""),30.3)</f>
        <v>30.3</v>
      </c>
      <c r="D1349" s="2">
        <f>IFERROR(__xludf.DUMMYFUNCTION("""COMPUTED_VALUE"""),29.88)</f>
        <v>29.88</v>
      </c>
      <c r="E1349" s="2">
        <f>IFERROR(__xludf.DUMMYFUNCTION("""COMPUTED_VALUE"""),30.0)</f>
        <v>30</v>
      </c>
      <c r="F1349" s="2">
        <f>IFERROR(__xludf.DUMMYFUNCTION("""COMPUTED_VALUE"""),1135000.0)</f>
        <v>1135000</v>
      </c>
    </row>
    <row r="1350">
      <c r="A1350" s="3">
        <f>IFERROR(__xludf.DUMMYFUNCTION("""COMPUTED_VALUE"""),31169.666666666668)</f>
        <v>31169.66667</v>
      </c>
      <c r="B1350" s="2">
        <f>IFERROR(__xludf.DUMMYFUNCTION("""COMPUTED_VALUE"""),29.94)</f>
        <v>29.94</v>
      </c>
      <c r="C1350" s="2">
        <f>IFERROR(__xludf.DUMMYFUNCTION("""COMPUTED_VALUE"""),30.18)</f>
        <v>30.18</v>
      </c>
      <c r="D1350" s="2">
        <f>IFERROR(__xludf.DUMMYFUNCTION("""COMPUTED_VALUE"""),29.79)</f>
        <v>29.79</v>
      </c>
      <c r="E1350" s="2">
        <f>IFERROR(__xludf.DUMMYFUNCTION("""COMPUTED_VALUE"""),29.94)</f>
        <v>29.94</v>
      </c>
      <c r="F1350" s="2">
        <f>IFERROR(__xludf.DUMMYFUNCTION("""COMPUTED_VALUE"""),1258800.0)</f>
        <v>1258800</v>
      </c>
    </row>
    <row r="1351">
      <c r="A1351" s="3">
        <f>IFERROR(__xludf.DUMMYFUNCTION("""COMPUTED_VALUE"""),31170.666666666668)</f>
        <v>31170.66667</v>
      </c>
      <c r="B1351" s="2">
        <f>IFERROR(__xludf.DUMMYFUNCTION("""COMPUTED_VALUE"""),29.85)</f>
        <v>29.85</v>
      </c>
      <c r="C1351" s="2">
        <f>IFERROR(__xludf.DUMMYFUNCTION("""COMPUTED_VALUE"""),30.0)</f>
        <v>30</v>
      </c>
      <c r="D1351" s="2">
        <f>IFERROR(__xludf.DUMMYFUNCTION("""COMPUTED_VALUE"""),29.76)</f>
        <v>29.76</v>
      </c>
      <c r="E1351" s="2">
        <f>IFERROR(__xludf.DUMMYFUNCTION("""COMPUTED_VALUE"""),29.85)</f>
        <v>29.85</v>
      </c>
      <c r="F1351" s="2">
        <f>IFERROR(__xludf.DUMMYFUNCTION("""COMPUTED_VALUE"""),770500.0)</f>
        <v>770500</v>
      </c>
    </row>
    <row r="1352">
      <c r="A1352" s="3">
        <f>IFERROR(__xludf.DUMMYFUNCTION("""COMPUTED_VALUE"""),31173.666666666668)</f>
        <v>31173.66667</v>
      </c>
      <c r="B1352" s="2">
        <f>IFERROR(__xludf.DUMMYFUNCTION("""COMPUTED_VALUE"""),29.79)</f>
        <v>29.79</v>
      </c>
      <c r="C1352" s="2">
        <f>IFERROR(__xludf.DUMMYFUNCTION("""COMPUTED_VALUE"""),30.0)</f>
        <v>30</v>
      </c>
      <c r="D1352" s="2">
        <f>IFERROR(__xludf.DUMMYFUNCTION("""COMPUTED_VALUE"""),29.79)</f>
        <v>29.79</v>
      </c>
      <c r="E1352" s="2">
        <f>IFERROR(__xludf.DUMMYFUNCTION("""COMPUTED_VALUE"""),29.79)</f>
        <v>29.79</v>
      </c>
      <c r="F1352" s="2">
        <f>IFERROR(__xludf.DUMMYFUNCTION("""COMPUTED_VALUE"""),579400.0)</f>
        <v>579400</v>
      </c>
    </row>
    <row r="1353">
      <c r="A1353" s="3">
        <f>IFERROR(__xludf.DUMMYFUNCTION("""COMPUTED_VALUE"""),31174.666666666668)</f>
        <v>31174.66667</v>
      </c>
      <c r="B1353" s="2">
        <f>IFERROR(__xludf.DUMMYFUNCTION("""COMPUTED_VALUE"""),30.03)</f>
        <v>30.03</v>
      </c>
      <c r="C1353" s="2">
        <f>IFERROR(__xludf.DUMMYFUNCTION("""COMPUTED_VALUE"""),30.15)</f>
        <v>30.15</v>
      </c>
      <c r="D1353" s="2">
        <f>IFERROR(__xludf.DUMMYFUNCTION("""COMPUTED_VALUE"""),29.85)</f>
        <v>29.85</v>
      </c>
      <c r="E1353" s="2">
        <f>IFERROR(__xludf.DUMMYFUNCTION("""COMPUTED_VALUE"""),30.03)</f>
        <v>30.03</v>
      </c>
      <c r="F1353" s="2">
        <f>IFERROR(__xludf.DUMMYFUNCTION("""COMPUTED_VALUE"""),772900.0)</f>
        <v>772900</v>
      </c>
    </row>
    <row r="1354">
      <c r="A1354" s="3">
        <f>IFERROR(__xludf.DUMMYFUNCTION("""COMPUTED_VALUE"""),31175.666666666668)</f>
        <v>31175.66667</v>
      </c>
      <c r="B1354" s="2">
        <f>IFERROR(__xludf.DUMMYFUNCTION("""COMPUTED_VALUE"""),30.36)</f>
        <v>30.36</v>
      </c>
      <c r="C1354" s="2">
        <f>IFERROR(__xludf.DUMMYFUNCTION("""COMPUTED_VALUE"""),30.39)</f>
        <v>30.39</v>
      </c>
      <c r="D1354" s="2">
        <f>IFERROR(__xludf.DUMMYFUNCTION("""COMPUTED_VALUE"""),29.94)</f>
        <v>29.94</v>
      </c>
      <c r="E1354" s="2">
        <f>IFERROR(__xludf.DUMMYFUNCTION("""COMPUTED_VALUE"""),30.36)</f>
        <v>30.36</v>
      </c>
      <c r="F1354" s="2">
        <f>IFERROR(__xludf.DUMMYFUNCTION("""COMPUTED_VALUE"""),925700.0)</f>
        <v>925700</v>
      </c>
    </row>
    <row r="1355">
      <c r="A1355" s="3">
        <f>IFERROR(__xludf.DUMMYFUNCTION("""COMPUTED_VALUE"""),31176.666666666668)</f>
        <v>31176.66667</v>
      </c>
      <c r="B1355" s="2">
        <f>IFERROR(__xludf.DUMMYFUNCTION("""COMPUTED_VALUE"""),30.54)</f>
        <v>30.54</v>
      </c>
      <c r="C1355" s="2">
        <f>IFERROR(__xludf.DUMMYFUNCTION("""COMPUTED_VALUE"""),30.62)</f>
        <v>30.62</v>
      </c>
      <c r="D1355" s="2">
        <f>IFERROR(__xludf.DUMMYFUNCTION("""COMPUTED_VALUE"""),30.33)</f>
        <v>30.33</v>
      </c>
      <c r="E1355" s="2">
        <f>IFERROR(__xludf.DUMMYFUNCTION("""COMPUTED_VALUE"""),30.54)</f>
        <v>30.54</v>
      </c>
      <c r="F1355" s="2">
        <f>IFERROR(__xludf.DUMMYFUNCTION("""COMPUTED_VALUE"""),978300.0)</f>
        <v>978300</v>
      </c>
    </row>
    <row r="1356">
      <c r="A1356" s="3">
        <f>IFERROR(__xludf.DUMMYFUNCTION("""COMPUTED_VALUE"""),31177.666666666668)</f>
        <v>31177.66667</v>
      </c>
      <c r="B1356" s="2">
        <f>IFERROR(__xludf.DUMMYFUNCTION("""COMPUTED_VALUE"""),31.07)</f>
        <v>31.07</v>
      </c>
      <c r="C1356" s="2">
        <f>IFERROR(__xludf.DUMMYFUNCTION("""COMPUTED_VALUE"""),31.25)</f>
        <v>31.25</v>
      </c>
      <c r="D1356" s="2">
        <f>IFERROR(__xludf.DUMMYFUNCTION("""COMPUTED_VALUE"""),30.68)</f>
        <v>30.68</v>
      </c>
      <c r="E1356" s="2">
        <f>IFERROR(__xludf.DUMMYFUNCTION("""COMPUTED_VALUE"""),31.07)</f>
        <v>31.07</v>
      </c>
      <c r="F1356" s="2">
        <f>IFERROR(__xludf.DUMMYFUNCTION("""COMPUTED_VALUE"""),2239000.0)</f>
        <v>2239000</v>
      </c>
    </row>
    <row r="1357">
      <c r="A1357" s="3">
        <f>IFERROR(__xludf.DUMMYFUNCTION("""COMPUTED_VALUE"""),31180.666666666668)</f>
        <v>31180.66667</v>
      </c>
      <c r="B1357" s="2">
        <f>IFERROR(__xludf.DUMMYFUNCTION("""COMPUTED_VALUE"""),31.1)</f>
        <v>31.1</v>
      </c>
      <c r="C1357" s="2">
        <f>IFERROR(__xludf.DUMMYFUNCTION("""COMPUTED_VALUE"""),31.19)</f>
        <v>31.19</v>
      </c>
      <c r="D1357" s="2">
        <f>IFERROR(__xludf.DUMMYFUNCTION("""COMPUTED_VALUE"""),30.98)</f>
        <v>30.98</v>
      </c>
      <c r="E1357" s="2">
        <f>IFERROR(__xludf.DUMMYFUNCTION("""COMPUTED_VALUE"""),31.1)</f>
        <v>31.1</v>
      </c>
      <c r="F1357" s="2">
        <f>IFERROR(__xludf.DUMMYFUNCTION("""COMPUTED_VALUE"""),1157600.0)</f>
        <v>1157600</v>
      </c>
    </row>
    <row r="1358">
      <c r="A1358" s="3">
        <f>IFERROR(__xludf.DUMMYFUNCTION("""COMPUTED_VALUE"""),31181.666666666668)</f>
        <v>31181.66667</v>
      </c>
      <c r="B1358" s="2">
        <f>IFERROR(__xludf.DUMMYFUNCTION("""COMPUTED_VALUE"""),30.57)</f>
        <v>30.57</v>
      </c>
      <c r="C1358" s="2">
        <f>IFERROR(__xludf.DUMMYFUNCTION("""COMPUTED_VALUE"""),31.25)</f>
        <v>31.25</v>
      </c>
      <c r="D1358" s="2">
        <f>IFERROR(__xludf.DUMMYFUNCTION("""COMPUTED_VALUE"""),30.51)</f>
        <v>30.51</v>
      </c>
      <c r="E1358" s="2">
        <f>IFERROR(__xludf.DUMMYFUNCTION("""COMPUTED_VALUE"""),30.57)</f>
        <v>30.57</v>
      </c>
      <c r="F1358" s="2">
        <f>IFERROR(__xludf.DUMMYFUNCTION("""COMPUTED_VALUE"""),1551200.0)</f>
        <v>1551200</v>
      </c>
    </row>
    <row r="1359">
      <c r="A1359" s="3">
        <f>IFERROR(__xludf.DUMMYFUNCTION("""COMPUTED_VALUE"""),31182.666666666668)</f>
        <v>31182.66667</v>
      </c>
      <c r="B1359" s="2">
        <f>IFERROR(__xludf.DUMMYFUNCTION("""COMPUTED_VALUE"""),30.68)</f>
        <v>30.68</v>
      </c>
      <c r="C1359" s="2">
        <f>IFERROR(__xludf.DUMMYFUNCTION("""COMPUTED_VALUE"""),30.86)</f>
        <v>30.86</v>
      </c>
      <c r="D1359" s="2">
        <f>IFERROR(__xludf.DUMMYFUNCTION("""COMPUTED_VALUE"""),30.51)</f>
        <v>30.51</v>
      </c>
      <c r="E1359" s="2">
        <f>IFERROR(__xludf.DUMMYFUNCTION("""COMPUTED_VALUE"""),30.68)</f>
        <v>30.68</v>
      </c>
      <c r="F1359" s="2">
        <f>IFERROR(__xludf.DUMMYFUNCTION("""COMPUTED_VALUE"""),1047600.0)</f>
        <v>1047600</v>
      </c>
    </row>
    <row r="1360">
      <c r="A1360" s="3">
        <f>IFERROR(__xludf.DUMMYFUNCTION("""COMPUTED_VALUE"""),31183.666666666668)</f>
        <v>31183.66667</v>
      </c>
      <c r="B1360" s="2">
        <f>IFERROR(__xludf.DUMMYFUNCTION("""COMPUTED_VALUE"""),30.8)</f>
        <v>30.8</v>
      </c>
      <c r="C1360" s="2">
        <f>IFERROR(__xludf.DUMMYFUNCTION("""COMPUTED_VALUE"""),30.92)</f>
        <v>30.92</v>
      </c>
      <c r="D1360" s="2">
        <f>IFERROR(__xludf.DUMMYFUNCTION("""COMPUTED_VALUE"""),30.68)</f>
        <v>30.68</v>
      </c>
      <c r="E1360" s="2">
        <f>IFERROR(__xludf.DUMMYFUNCTION("""COMPUTED_VALUE"""),30.8)</f>
        <v>30.8</v>
      </c>
      <c r="F1360" s="2">
        <f>IFERROR(__xludf.DUMMYFUNCTION("""COMPUTED_VALUE"""),981900.0)</f>
        <v>981900</v>
      </c>
    </row>
    <row r="1361">
      <c r="A1361" s="3">
        <f>IFERROR(__xludf.DUMMYFUNCTION("""COMPUTED_VALUE"""),31184.666666666668)</f>
        <v>31184.66667</v>
      </c>
      <c r="B1361" s="2">
        <f>IFERROR(__xludf.DUMMYFUNCTION("""COMPUTED_VALUE"""),31.22)</f>
        <v>31.22</v>
      </c>
      <c r="C1361" s="2">
        <f>IFERROR(__xludf.DUMMYFUNCTION("""COMPUTED_VALUE"""),31.34)</f>
        <v>31.34</v>
      </c>
      <c r="D1361" s="2">
        <f>IFERROR(__xludf.DUMMYFUNCTION("""COMPUTED_VALUE"""),30.71)</f>
        <v>30.71</v>
      </c>
      <c r="E1361" s="2">
        <f>IFERROR(__xludf.DUMMYFUNCTION("""COMPUTED_VALUE"""),31.22)</f>
        <v>31.22</v>
      </c>
      <c r="F1361" s="2">
        <f>IFERROR(__xludf.DUMMYFUNCTION("""COMPUTED_VALUE"""),1346600.0)</f>
        <v>1346600</v>
      </c>
    </row>
    <row r="1362">
      <c r="A1362" s="3">
        <f>IFERROR(__xludf.DUMMYFUNCTION("""COMPUTED_VALUE"""),31187.666666666668)</f>
        <v>31187.66667</v>
      </c>
      <c r="B1362" s="2">
        <f>IFERROR(__xludf.DUMMYFUNCTION("""COMPUTED_VALUE"""),31.76)</f>
        <v>31.76</v>
      </c>
      <c r="C1362" s="2">
        <f>IFERROR(__xludf.DUMMYFUNCTION("""COMPUTED_VALUE"""),31.82)</f>
        <v>31.82</v>
      </c>
      <c r="D1362" s="2">
        <f>IFERROR(__xludf.DUMMYFUNCTION("""COMPUTED_VALUE"""),31.43)</f>
        <v>31.43</v>
      </c>
      <c r="E1362" s="2">
        <f>IFERROR(__xludf.DUMMYFUNCTION("""COMPUTED_VALUE"""),31.76)</f>
        <v>31.76</v>
      </c>
      <c r="F1362" s="2">
        <f>IFERROR(__xludf.DUMMYFUNCTION("""COMPUTED_VALUE"""),1716100.0)</f>
        <v>1716100</v>
      </c>
    </row>
    <row r="1363">
      <c r="A1363" s="3">
        <f>IFERROR(__xludf.DUMMYFUNCTION("""COMPUTED_VALUE"""),31188.666666666668)</f>
        <v>31188.66667</v>
      </c>
      <c r="B1363" s="2">
        <f>IFERROR(__xludf.DUMMYFUNCTION("""COMPUTED_VALUE"""),31.76)</f>
        <v>31.76</v>
      </c>
      <c r="C1363" s="2">
        <f>IFERROR(__xludf.DUMMYFUNCTION("""COMPUTED_VALUE"""),31.82)</f>
        <v>31.82</v>
      </c>
      <c r="D1363" s="2">
        <f>IFERROR(__xludf.DUMMYFUNCTION("""COMPUTED_VALUE"""),31.61)</f>
        <v>31.61</v>
      </c>
      <c r="E1363" s="2">
        <f>IFERROR(__xludf.DUMMYFUNCTION("""COMPUTED_VALUE"""),31.76)</f>
        <v>31.76</v>
      </c>
      <c r="F1363" s="2">
        <f>IFERROR(__xludf.DUMMYFUNCTION("""COMPUTED_VALUE"""),1215000.0)</f>
        <v>1215000</v>
      </c>
    </row>
    <row r="1364">
      <c r="A1364" s="3">
        <f>IFERROR(__xludf.DUMMYFUNCTION("""COMPUTED_VALUE"""),31189.666666666668)</f>
        <v>31189.66667</v>
      </c>
      <c r="B1364" s="2">
        <f>IFERROR(__xludf.DUMMYFUNCTION("""COMPUTED_VALUE"""),31.61)</f>
        <v>31.61</v>
      </c>
      <c r="C1364" s="2">
        <f>IFERROR(__xludf.DUMMYFUNCTION("""COMPUTED_VALUE"""),31.7)</f>
        <v>31.7</v>
      </c>
      <c r="D1364" s="2">
        <f>IFERROR(__xludf.DUMMYFUNCTION("""COMPUTED_VALUE"""),31.49)</f>
        <v>31.49</v>
      </c>
      <c r="E1364" s="2">
        <f>IFERROR(__xludf.DUMMYFUNCTION("""COMPUTED_VALUE"""),31.61)</f>
        <v>31.61</v>
      </c>
      <c r="F1364" s="2">
        <f>IFERROR(__xludf.DUMMYFUNCTION("""COMPUTED_VALUE"""),857100.0)</f>
        <v>857100</v>
      </c>
    </row>
    <row r="1365">
      <c r="A1365" s="3">
        <f>IFERROR(__xludf.DUMMYFUNCTION("""COMPUTED_VALUE"""),31190.666666666668)</f>
        <v>31190.66667</v>
      </c>
      <c r="B1365" s="2">
        <f>IFERROR(__xludf.DUMMYFUNCTION("""COMPUTED_VALUE"""),31.37)</f>
        <v>31.37</v>
      </c>
      <c r="C1365" s="2">
        <f>IFERROR(__xludf.DUMMYFUNCTION("""COMPUTED_VALUE"""),31.61)</f>
        <v>31.61</v>
      </c>
      <c r="D1365" s="2">
        <f>IFERROR(__xludf.DUMMYFUNCTION("""COMPUTED_VALUE"""),31.34)</f>
        <v>31.34</v>
      </c>
      <c r="E1365" s="2">
        <f>IFERROR(__xludf.DUMMYFUNCTION("""COMPUTED_VALUE"""),31.37)</f>
        <v>31.37</v>
      </c>
      <c r="F1365" s="2">
        <f>IFERROR(__xludf.DUMMYFUNCTION("""COMPUTED_VALUE"""),829300.0)</f>
        <v>829300</v>
      </c>
    </row>
    <row r="1366">
      <c r="A1366" s="3">
        <f>IFERROR(__xludf.DUMMYFUNCTION("""COMPUTED_VALUE"""),31191.666666666668)</f>
        <v>31191.66667</v>
      </c>
      <c r="B1366" s="2">
        <f>IFERROR(__xludf.DUMMYFUNCTION("""COMPUTED_VALUE"""),31.25)</f>
        <v>31.25</v>
      </c>
      <c r="C1366" s="2">
        <f>IFERROR(__xludf.DUMMYFUNCTION("""COMPUTED_VALUE"""),31.43)</f>
        <v>31.43</v>
      </c>
      <c r="D1366" s="2">
        <f>IFERROR(__xludf.DUMMYFUNCTION("""COMPUTED_VALUE"""),31.22)</f>
        <v>31.22</v>
      </c>
      <c r="E1366" s="2">
        <f>IFERROR(__xludf.DUMMYFUNCTION("""COMPUTED_VALUE"""),31.25)</f>
        <v>31.25</v>
      </c>
      <c r="F1366" s="2">
        <f>IFERROR(__xludf.DUMMYFUNCTION("""COMPUTED_VALUE"""),675200.0)</f>
        <v>675200</v>
      </c>
    </row>
    <row r="1367">
      <c r="A1367" s="3">
        <f>IFERROR(__xludf.DUMMYFUNCTION("""COMPUTED_VALUE"""),31195.666666666668)</f>
        <v>31195.66667</v>
      </c>
      <c r="B1367" s="2">
        <f>IFERROR(__xludf.DUMMYFUNCTION("""COMPUTED_VALUE"""),31.13)</f>
        <v>31.13</v>
      </c>
      <c r="C1367" s="2">
        <f>IFERROR(__xludf.DUMMYFUNCTION("""COMPUTED_VALUE"""),31.46)</f>
        <v>31.46</v>
      </c>
      <c r="D1367" s="2">
        <f>IFERROR(__xludf.DUMMYFUNCTION("""COMPUTED_VALUE"""),30.98)</f>
        <v>30.98</v>
      </c>
      <c r="E1367" s="2">
        <f>IFERROR(__xludf.DUMMYFUNCTION("""COMPUTED_VALUE"""),31.13)</f>
        <v>31.13</v>
      </c>
      <c r="F1367" s="2">
        <f>IFERROR(__xludf.DUMMYFUNCTION("""COMPUTED_VALUE"""),921900.0)</f>
        <v>921900</v>
      </c>
    </row>
    <row r="1368">
      <c r="A1368" s="3">
        <f>IFERROR(__xludf.DUMMYFUNCTION("""COMPUTED_VALUE"""),31196.666666666668)</f>
        <v>31196.66667</v>
      </c>
      <c r="B1368" s="2">
        <f>IFERROR(__xludf.DUMMYFUNCTION("""COMPUTED_VALUE"""),30.98)</f>
        <v>30.98</v>
      </c>
      <c r="C1368" s="2">
        <f>IFERROR(__xludf.DUMMYFUNCTION("""COMPUTED_VALUE"""),31.1)</f>
        <v>31.1</v>
      </c>
      <c r="D1368" s="2">
        <f>IFERROR(__xludf.DUMMYFUNCTION("""COMPUTED_VALUE"""),30.86)</f>
        <v>30.86</v>
      </c>
      <c r="E1368" s="2">
        <f>IFERROR(__xludf.DUMMYFUNCTION("""COMPUTED_VALUE"""),30.98)</f>
        <v>30.98</v>
      </c>
      <c r="F1368" s="2">
        <f>IFERROR(__xludf.DUMMYFUNCTION("""COMPUTED_VALUE"""),939700.0)</f>
        <v>939700</v>
      </c>
    </row>
    <row r="1369">
      <c r="A1369" s="3">
        <f>IFERROR(__xludf.DUMMYFUNCTION("""COMPUTED_VALUE"""),31197.666666666668)</f>
        <v>31197.66667</v>
      </c>
      <c r="B1369" s="2">
        <f>IFERROR(__xludf.DUMMYFUNCTION("""COMPUTED_VALUE"""),30.57)</f>
        <v>30.57</v>
      </c>
      <c r="C1369" s="2">
        <f>IFERROR(__xludf.DUMMYFUNCTION("""COMPUTED_VALUE"""),30.92)</f>
        <v>30.92</v>
      </c>
      <c r="D1369" s="2">
        <f>IFERROR(__xludf.DUMMYFUNCTION("""COMPUTED_VALUE"""),30.39)</f>
        <v>30.39</v>
      </c>
      <c r="E1369" s="2">
        <f>IFERROR(__xludf.DUMMYFUNCTION("""COMPUTED_VALUE"""),30.57)</f>
        <v>30.57</v>
      </c>
      <c r="F1369" s="2">
        <f>IFERROR(__xludf.DUMMYFUNCTION("""COMPUTED_VALUE"""),1666600.0)</f>
        <v>1666600</v>
      </c>
    </row>
    <row r="1370">
      <c r="A1370" s="3">
        <f>IFERROR(__xludf.DUMMYFUNCTION("""COMPUTED_VALUE"""),31198.666666666668)</f>
        <v>31198.66667</v>
      </c>
      <c r="B1370" s="2">
        <f>IFERROR(__xludf.DUMMYFUNCTION("""COMPUTED_VALUE"""),30.71)</f>
        <v>30.71</v>
      </c>
      <c r="C1370" s="2">
        <f>IFERROR(__xludf.DUMMYFUNCTION("""COMPUTED_VALUE"""),31.04)</f>
        <v>31.04</v>
      </c>
      <c r="D1370" s="2">
        <f>IFERROR(__xludf.DUMMYFUNCTION("""COMPUTED_VALUE"""),30.39)</f>
        <v>30.39</v>
      </c>
      <c r="E1370" s="2">
        <f>IFERROR(__xludf.DUMMYFUNCTION("""COMPUTED_VALUE"""),30.71)</f>
        <v>30.71</v>
      </c>
      <c r="F1370" s="2">
        <f>IFERROR(__xludf.DUMMYFUNCTION("""COMPUTED_VALUE"""),1371900.0)</f>
        <v>1371900</v>
      </c>
    </row>
    <row r="1371">
      <c r="A1371" s="3">
        <f>IFERROR(__xludf.DUMMYFUNCTION("""COMPUTED_VALUE"""),31201.666666666668)</f>
        <v>31201.66667</v>
      </c>
      <c r="B1371" s="2">
        <f>IFERROR(__xludf.DUMMYFUNCTION("""COMPUTED_VALUE"""),30.83)</f>
        <v>30.83</v>
      </c>
      <c r="C1371" s="2">
        <f>IFERROR(__xludf.DUMMYFUNCTION("""COMPUTED_VALUE"""),30.92)</f>
        <v>30.92</v>
      </c>
      <c r="D1371" s="2">
        <f>IFERROR(__xludf.DUMMYFUNCTION("""COMPUTED_VALUE"""),30.62)</f>
        <v>30.62</v>
      </c>
      <c r="E1371" s="2">
        <f>IFERROR(__xludf.DUMMYFUNCTION("""COMPUTED_VALUE"""),30.83)</f>
        <v>30.83</v>
      </c>
      <c r="F1371" s="2">
        <f>IFERROR(__xludf.DUMMYFUNCTION("""COMPUTED_VALUE"""),1265600.0)</f>
        <v>1265600</v>
      </c>
    </row>
    <row r="1372">
      <c r="A1372" s="3">
        <f>IFERROR(__xludf.DUMMYFUNCTION("""COMPUTED_VALUE"""),31202.666666666668)</f>
        <v>31202.66667</v>
      </c>
      <c r="B1372" s="2">
        <f>IFERROR(__xludf.DUMMYFUNCTION("""COMPUTED_VALUE"""),30.98)</f>
        <v>30.98</v>
      </c>
      <c r="C1372" s="2">
        <f>IFERROR(__xludf.DUMMYFUNCTION("""COMPUTED_VALUE"""),31.07)</f>
        <v>31.07</v>
      </c>
      <c r="D1372" s="2">
        <f>IFERROR(__xludf.DUMMYFUNCTION("""COMPUTED_VALUE"""),30.74)</f>
        <v>30.74</v>
      </c>
      <c r="E1372" s="2">
        <f>IFERROR(__xludf.DUMMYFUNCTION("""COMPUTED_VALUE"""),30.98)</f>
        <v>30.98</v>
      </c>
      <c r="F1372" s="2">
        <f>IFERROR(__xludf.DUMMYFUNCTION("""COMPUTED_VALUE"""),1176100.0)</f>
        <v>1176100</v>
      </c>
    </row>
    <row r="1373">
      <c r="A1373" s="3">
        <f>IFERROR(__xludf.DUMMYFUNCTION("""COMPUTED_VALUE"""),31203.666666666668)</f>
        <v>31203.66667</v>
      </c>
      <c r="B1373" s="2">
        <f>IFERROR(__xludf.DUMMYFUNCTION("""COMPUTED_VALUE"""),30.68)</f>
        <v>30.68</v>
      </c>
      <c r="C1373" s="2">
        <f>IFERROR(__xludf.DUMMYFUNCTION("""COMPUTED_VALUE"""),31.19)</f>
        <v>31.19</v>
      </c>
      <c r="D1373" s="2">
        <f>IFERROR(__xludf.DUMMYFUNCTION("""COMPUTED_VALUE"""),30.68)</f>
        <v>30.68</v>
      </c>
      <c r="E1373" s="2">
        <f>IFERROR(__xludf.DUMMYFUNCTION("""COMPUTED_VALUE"""),30.68)</f>
        <v>30.68</v>
      </c>
      <c r="F1373" s="2">
        <f>IFERROR(__xludf.DUMMYFUNCTION("""COMPUTED_VALUE"""),1644500.0)</f>
        <v>1644500</v>
      </c>
    </row>
    <row r="1374">
      <c r="A1374" s="3">
        <f>IFERROR(__xludf.DUMMYFUNCTION("""COMPUTED_VALUE"""),31204.666666666668)</f>
        <v>31204.66667</v>
      </c>
      <c r="B1374" s="2">
        <f>IFERROR(__xludf.DUMMYFUNCTION("""COMPUTED_VALUE"""),30.98)</f>
        <v>30.98</v>
      </c>
      <c r="C1374" s="2">
        <f>IFERROR(__xludf.DUMMYFUNCTION("""COMPUTED_VALUE"""),30.98)</f>
        <v>30.98</v>
      </c>
      <c r="D1374" s="2">
        <f>IFERROR(__xludf.DUMMYFUNCTION("""COMPUTED_VALUE"""),30.48)</f>
        <v>30.48</v>
      </c>
      <c r="E1374" s="2">
        <f>IFERROR(__xludf.DUMMYFUNCTION("""COMPUTED_VALUE"""),30.98)</f>
        <v>30.98</v>
      </c>
      <c r="F1374" s="2">
        <f>IFERROR(__xludf.DUMMYFUNCTION("""COMPUTED_VALUE"""),1193500.0)</f>
        <v>1193500</v>
      </c>
    </row>
    <row r="1375">
      <c r="A1375" s="3">
        <f>IFERROR(__xludf.DUMMYFUNCTION("""COMPUTED_VALUE"""),31205.666666666668)</f>
        <v>31205.66667</v>
      </c>
      <c r="B1375" s="2">
        <f>IFERROR(__xludf.DUMMYFUNCTION("""COMPUTED_VALUE"""),30.42)</f>
        <v>30.42</v>
      </c>
      <c r="C1375" s="2">
        <f>IFERROR(__xludf.DUMMYFUNCTION("""COMPUTED_VALUE"""),31.01)</f>
        <v>31.01</v>
      </c>
      <c r="D1375" s="2">
        <f>IFERROR(__xludf.DUMMYFUNCTION("""COMPUTED_VALUE"""),30.39)</f>
        <v>30.39</v>
      </c>
      <c r="E1375" s="2">
        <f>IFERROR(__xludf.DUMMYFUNCTION("""COMPUTED_VALUE"""),30.42)</f>
        <v>30.42</v>
      </c>
      <c r="F1375" s="2">
        <f>IFERROR(__xludf.DUMMYFUNCTION("""COMPUTED_VALUE"""),1185900.0)</f>
        <v>1185900</v>
      </c>
    </row>
    <row r="1376">
      <c r="A1376" s="3">
        <f>IFERROR(__xludf.DUMMYFUNCTION("""COMPUTED_VALUE"""),31208.666666666668)</f>
        <v>31208.66667</v>
      </c>
      <c r="B1376" s="2">
        <f>IFERROR(__xludf.DUMMYFUNCTION("""COMPUTED_VALUE"""),30.48)</f>
        <v>30.48</v>
      </c>
      <c r="C1376" s="2">
        <f>IFERROR(__xludf.DUMMYFUNCTION("""COMPUTED_VALUE"""),30.54)</f>
        <v>30.54</v>
      </c>
      <c r="D1376" s="2">
        <f>IFERROR(__xludf.DUMMYFUNCTION("""COMPUTED_VALUE"""),30.3)</f>
        <v>30.3</v>
      </c>
      <c r="E1376" s="2">
        <f>IFERROR(__xludf.DUMMYFUNCTION("""COMPUTED_VALUE"""),30.48)</f>
        <v>30.48</v>
      </c>
      <c r="F1376" s="2">
        <f>IFERROR(__xludf.DUMMYFUNCTION("""COMPUTED_VALUE"""),863400.0)</f>
        <v>863400</v>
      </c>
    </row>
    <row r="1377">
      <c r="A1377" s="3">
        <f>IFERROR(__xludf.DUMMYFUNCTION("""COMPUTED_VALUE"""),31209.666666666668)</f>
        <v>31209.66667</v>
      </c>
      <c r="B1377" s="2">
        <f>IFERROR(__xludf.DUMMYFUNCTION("""COMPUTED_VALUE"""),30.09)</f>
        <v>30.09</v>
      </c>
      <c r="C1377" s="2">
        <f>IFERROR(__xludf.DUMMYFUNCTION("""COMPUTED_VALUE"""),30.62)</f>
        <v>30.62</v>
      </c>
      <c r="D1377" s="2">
        <f>IFERROR(__xludf.DUMMYFUNCTION("""COMPUTED_VALUE"""),30.09)</f>
        <v>30.09</v>
      </c>
      <c r="E1377" s="2">
        <f>IFERROR(__xludf.DUMMYFUNCTION("""COMPUTED_VALUE"""),30.09)</f>
        <v>30.09</v>
      </c>
      <c r="F1377" s="2">
        <f>IFERROR(__xludf.DUMMYFUNCTION("""COMPUTED_VALUE"""),1423900.0)</f>
        <v>1423900</v>
      </c>
    </row>
    <row r="1378">
      <c r="A1378" s="3">
        <f>IFERROR(__xludf.DUMMYFUNCTION("""COMPUTED_VALUE"""),31210.666666666668)</f>
        <v>31210.66667</v>
      </c>
      <c r="B1378" s="2">
        <f>IFERROR(__xludf.DUMMYFUNCTION("""COMPUTED_VALUE"""),28.83)</f>
        <v>28.83</v>
      </c>
      <c r="C1378" s="2">
        <f>IFERROR(__xludf.DUMMYFUNCTION("""COMPUTED_VALUE"""),30.12)</f>
        <v>30.12</v>
      </c>
      <c r="D1378" s="2">
        <f>IFERROR(__xludf.DUMMYFUNCTION("""COMPUTED_VALUE"""),28.8)</f>
        <v>28.8</v>
      </c>
      <c r="E1378" s="2">
        <f>IFERROR(__xludf.DUMMYFUNCTION("""COMPUTED_VALUE"""),28.83)</f>
        <v>28.83</v>
      </c>
      <c r="F1378" s="2">
        <f>IFERROR(__xludf.DUMMYFUNCTION("""COMPUTED_VALUE"""),3055500.0)</f>
        <v>3055500</v>
      </c>
    </row>
    <row r="1379">
      <c r="A1379" s="3">
        <f>IFERROR(__xludf.DUMMYFUNCTION("""COMPUTED_VALUE"""),31211.666666666668)</f>
        <v>31211.66667</v>
      </c>
      <c r="B1379" s="2">
        <f>IFERROR(__xludf.DUMMYFUNCTION("""COMPUTED_VALUE"""),28.33)</f>
        <v>28.33</v>
      </c>
      <c r="C1379" s="2">
        <f>IFERROR(__xludf.DUMMYFUNCTION("""COMPUTED_VALUE"""),28.71)</f>
        <v>28.71</v>
      </c>
      <c r="D1379" s="2">
        <f>IFERROR(__xludf.DUMMYFUNCTION("""COMPUTED_VALUE"""),28.24)</f>
        <v>28.24</v>
      </c>
      <c r="E1379" s="2">
        <f>IFERROR(__xludf.DUMMYFUNCTION("""COMPUTED_VALUE"""),28.33)</f>
        <v>28.33</v>
      </c>
      <c r="F1379" s="2">
        <f>IFERROR(__xludf.DUMMYFUNCTION("""COMPUTED_VALUE"""),3276700.0)</f>
        <v>3276700</v>
      </c>
    </row>
    <row r="1380">
      <c r="A1380" s="3">
        <f>IFERROR(__xludf.DUMMYFUNCTION("""COMPUTED_VALUE"""),31212.666666666668)</f>
        <v>31212.66667</v>
      </c>
      <c r="B1380" s="2">
        <f>IFERROR(__xludf.DUMMYFUNCTION("""COMPUTED_VALUE"""),28.92)</f>
        <v>28.92</v>
      </c>
      <c r="C1380" s="2">
        <f>IFERROR(__xludf.DUMMYFUNCTION("""COMPUTED_VALUE"""),28.92)</f>
        <v>28.92</v>
      </c>
      <c r="D1380" s="2">
        <f>IFERROR(__xludf.DUMMYFUNCTION("""COMPUTED_VALUE"""),28.51)</f>
        <v>28.51</v>
      </c>
      <c r="E1380" s="2">
        <f>IFERROR(__xludf.DUMMYFUNCTION("""COMPUTED_VALUE"""),28.92)</f>
        <v>28.92</v>
      </c>
      <c r="F1380" s="2">
        <f>IFERROR(__xludf.DUMMYFUNCTION("""COMPUTED_VALUE"""),1753000.0)</f>
        <v>1753000</v>
      </c>
    </row>
    <row r="1381">
      <c r="A1381" s="3">
        <f>IFERROR(__xludf.DUMMYFUNCTION("""COMPUTED_VALUE"""),31215.666666666668)</f>
        <v>31215.66667</v>
      </c>
      <c r="B1381" s="2">
        <f>IFERROR(__xludf.DUMMYFUNCTION("""COMPUTED_VALUE"""),28.68)</f>
        <v>28.68</v>
      </c>
      <c r="C1381" s="2">
        <f>IFERROR(__xludf.DUMMYFUNCTION("""COMPUTED_VALUE"""),28.77)</f>
        <v>28.77</v>
      </c>
      <c r="D1381" s="2">
        <f>IFERROR(__xludf.DUMMYFUNCTION("""COMPUTED_VALUE"""),28.48)</f>
        <v>28.48</v>
      </c>
      <c r="E1381" s="2">
        <f>IFERROR(__xludf.DUMMYFUNCTION("""COMPUTED_VALUE"""),28.68)</f>
        <v>28.68</v>
      </c>
      <c r="F1381" s="2">
        <f>IFERROR(__xludf.DUMMYFUNCTION("""COMPUTED_VALUE"""),1316600.0)</f>
        <v>1316600</v>
      </c>
    </row>
    <row r="1382">
      <c r="A1382" s="3">
        <f>IFERROR(__xludf.DUMMYFUNCTION("""COMPUTED_VALUE"""),31216.666666666668)</f>
        <v>31216.66667</v>
      </c>
      <c r="B1382" s="2">
        <f>IFERROR(__xludf.DUMMYFUNCTION("""COMPUTED_VALUE"""),28.63)</f>
        <v>28.63</v>
      </c>
      <c r="C1382" s="2">
        <f>IFERROR(__xludf.DUMMYFUNCTION("""COMPUTED_VALUE"""),29.04)</f>
        <v>29.04</v>
      </c>
      <c r="D1382" s="2">
        <f>IFERROR(__xludf.DUMMYFUNCTION("""COMPUTED_VALUE"""),28.45)</f>
        <v>28.45</v>
      </c>
      <c r="E1382" s="2">
        <f>IFERROR(__xludf.DUMMYFUNCTION("""COMPUTED_VALUE"""),28.63)</f>
        <v>28.63</v>
      </c>
      <c r="F1382" s="2">
        <f>IFERROR(__xludf.DUMMYFUNCTION("""COMPUTED_VALUE"""),1819000.0)</f>
        <v>1819000</v>
      </c>
    </row>
    <row r="1383">
      <c r="A1383" s="3">
        <f>IFERROR(__xludf.DUMMYFUNCTION("""COMPUTED_VALUE"""),31217.666666666668)</f>
        <v>31217.66667</v>
      </c>
      <c r="B1383" s="2">
        <f>IFERROR(__xludf.DUMMYFUNCTION("""COMPUTED_VALUE"""),28.51)</f>
        <v>28.51</v>
      </c>
      <c r="C1383" s="2">
        <f>IFERROR(__xludf.DUMMYFUNCTION("""COMPUTED_VALUE"""),28.86)</f>
        <v>28.86</v>
      </c>
      <c r="D1383" s="2">
        <f>IFERROR(__xludf.DUMMYFUNCTION("""COMPUTED_VALUE"""),28.48)</f>
        <v>28.48</v>
      </c>
      <c r="E1383" s="2">
        <f>IFERROR(__xludf.DUMMYFUNCTION("""COMPUTED_VALUE"""),28.51)</f>
        <v>28.51</v>
      </c>
      <c r="F1383" s="2">
        <f>IFERROR(__xludf.DUMMYFUNCTION("""COMPUTED_VALUE"""),1268900.0)</f>
        <v>1268900</v>
      </c>
    </row>
    <row r="1384">
      <c r="A1384" s="3">
        <f>IFERROR(__xludf.DUMMYFUNCTION("""COMPUTED_VALUE"""),31218.666666666668)</f>
        <v>31218.66667</v>
      </c>
      <c r="B1384" s="2">
        <f>IFERROR(__xludf.DUMMYFUNCTION("""COMPUTED_VALUE"""),28.36)</f>
        <v>28.36</v>
      </c>
      <c r="C1384" s="2">
        <f>IFERROR(__xludf.DUMMYFUNCTION("""COMPUTED_VALUE"""),28.6)</f>
        <v>28.6</v>
      </c>
      <c r="D1384" s="2">
        <f>IFERROR(__xludf.DUMMYFUNCTION("""COMPUTED_VALUE"""),28.03)</f>
        <v>28.03</v>
      </c>
      <c r="E1384" s="2">
        <f>IFERROR(__xludf.DUMMYFUNCTION("""COMPUTED_VALUE"""),28.36)</f>
        <v>28.36</v>
      </c>
      <c r="F1384" s="2">
        <f>IFERROR(__xludf.DUMMYFUNCTION("""COMPUTED_VALUE"""),1400300.0)</f>
        <v>1400300</v>
      </c>
    </row>
    <row r="1385">
      <c r="A1385" s="3">
        <f>IFERROR(__xludf.DUMMYFUNCTION("""COMPUTED_VALUE"""),31219.666666666668)</f>
        <v>31219.66667</v>
      </c>
      <c r="B1385" s="2">
        <f>IFERROR(__xludf.DUMMYFUNCTION("""COMPUTED_VALUE"""),28.51)</f>
        <v>28.51</v>
      </c>
      <c r="C1385" s="2">
        <f>IFERROR(__xludf.DUMMYFUNCTION("""COMPUTED_VALUE"""),28.6)</f>
        <v>28.6</v>
      </c>
      <c r="D1385" s="2">
        <f>IFERROR(__xludf.DUMMYFUNCTION("""COMPUTED_VALUE"""),28.27)</f>
        <v>28.27</v>
      </c>
      <c r="E1385" s="2">
        <f>IFERROR(__xludf.DUMMYFUNCTION("""COMPUTED_VALUE"""),28.51)</f>
        <v>28.51</v>
      </c>
      <c r="F1385" s="2">
        <f>IFERROR(__xludf.DUMMYFUNCTION("""COMPUTED_VALUE"""),1365100.0)</f>
        <v>1365100</v>
      </c>
    </row>
    <row r="1386">
      <c r="A1386" s="3">
        <f>IFERROR(__xludf.DUMMYFUNCTION("""COMPUTED_VALUE"""),31222.666666666668)</f>
        <v>31222.66667</v>
      </c>
      <c r="B1386" s="2">
        <f>IFERROR(__xludf.DUMMYFUNCTION("""COMPUTED_VALUE"""),28.86)</f>
        <v>28.86</v>
      </c>
      <c r="C1386" s="2">
        <f>IFERROR(__xludf.DUMMYFUNCTION("""COMPUTED_VALUE"""),28.92)</f>
        <v>28.92</v>
      </c>
      <c r="D1386" s="2">
        <f>IFERROR(__xludf.DUMMYFUNCTION("""COMPUTED_VALUE"""),28.36)</f>
        <v>28.36</v>
      </c>
      <c r="E1386" s="2">
        <f>IFERROR(__xludf.DUMMYFUNCTION("""COMPUTED_VALUE"""),28.86)</f>
        <v>28.86</v>
      </c>
      <c r="F1386" s="2">
        <f>IFERROR(__xludf.DUMMYFUNCTION("""COMPUTED_VALUE"""),1125300.0)</f>
        <v>1125300</v>
      </c>
    </row>
    <row r="1387">
      <c r="A1387" s="3">
        <f>IFERROR(__xludf.DUMMYFUNCTION("""COMPUTED_VALUE"""),31223.666666666668)</f>
        <v>31223.66667</v>
      </c>
      <c r="B1387" s="2">
        <f>IFERROR(__xludf.DUMMYFUNCTION("""COMPUTED_VALUE"""),29.13)</f>
        <v>29.13</v>
      </c>
      <c r="C1387" s="2">
        <f>IFERROR(__xludf.DUMMYFUNCTION("""COMPUTED_VALUE"""),29.46)</f>
        <v>29.46</v>
      </c>
      <c r="D1387" s="2">
        <f>IFERROR(__xludf.DUMMYFUNCTION("""COMPUTED_VALUE"""),28.98)</f>
        <v>28.98</v>
      </c>
      <c r="E1387" s="2">
        <f>IFERROR(__xludf.DUMMYFUNCTION("""COMPUTED_VALUE"""),29.13)</f>
        <v>29.13</v>
      </c>
      <c r="F1387" s="2">
        <f>IFERROR(__xludf.DUMMYFUNCTION("""COMPUTED_VALUE"""),1753000.0)</f>
        <v>1753000</v>
      </c>
    </row>
    <row r="1388">
      <c r="A1388" s="3">
        <f>IFERROR(__xludf.DUMMYFUNCTION("""COMPUTED_VALUE"""),31224.666666666668)</f>
        <v>31224.66667</v>
      </c>
      <c r="B1388" s="2">
        <f>IFERROR(__xludf.DUMMYFUNCTION("""COMPUTED_VALUE"""),29.4)</f>
        <v>29.4</v>
      </c>
      <c r="C1388" s="2">
        <f>IFERROR(__xludf.DUMMYFUNCTION("""COMPUTED_VALUE"""),29.43)</f>
        <v>29.43</v>
      </c>
      <c r="D1388" s="2">
        <f>IFERROR(__xludf.DUMMYFUNCTION("""COMPUTED_VALUE"""),29.13)</f>
        <v>29.13</v>
      </c>
      <c r="E1388" s="2">
        <f>IFERROR(__xludf.DUMMYFUNCTION("""COMPUTED_VALUE"""),29.4)</f>
        <v>29.4</v>
      </c>
      <c r="F1388" s="2">
        <f>IFERROR(__xludf.DUMMYFUNCTION("""COMPUTED_VALUE"""),914300.0)</f>
        <v>914300</v>
      </c>
    </row>
    <row r="1389">
      <c r="A1389" s="3">
        <f>IFERROR(__xludf.DUMMYFUNCTION("""COMPUTED_VALUE"""),31225.666666666668)</f>
        <v>31225.66667</v>
      </c>
      <c r="B1389" s="2">
        <f>IFERROR(__xludf.DUMMYFUNCTION("""COMPUTED_VALUE"""),29.61)</f>
        <v>29.61</v>
      </c>
      <c r="C1389" s="2">
        <f>IFERROR(__xludf.DUMMYFUNCTION("""COMPUTED_VALUE"""),29.67)</f>
        <v>29.67</v>
      </c>
      <c r="D1389" s="2">
        <f>IFERROR(__xludf.DUMMYFUNCTION("""COMPUTED_VALUE"""),29.4)</f>
        <v>29.4</v>
      </c>
      <c r="E1389" s="2">
        <f>IFERROR(__xludf.DUMMYFUNCTION("""COMPUTED_VALUE"""),29.61)</f>
        <v>29.61</v>
      </c>
      <c r="F1389" s="2">
        <f>IFERROR(__xludf.DUMMYFUNCTION("""COMPUTED_VALUE"""),1151500.0)</f>
        <v>1151500</v>
      </c>
    </row>
    <row r="1390">
      <c r="A1390" s="3">
        <f>IFERROR(__xludf.DUMMYFUNCTION("""COMPUTED_VALUE"""),31226.666666666668)</f>
        <v>31226.66667</v>
      </c>
      <c r="B1390" s="2">
        <f>IFERROR(__xludf.DUMMYFUNCTION("""COMPUTED_VALUE"""),29.55)</f>
        <v>29.55</v>
      </c>
      <c r="C1390" s="2">
        <f>IFERROR(__xludf.DUMMYFUNCTION("""COMPUTED_VALUE"""),29.73)</f>
        <v>29.73</v>
      </c>
      <c r="D1390" s="2">
        <f>IFERROR(__xludf.DUMMYFUNCTION("""COMPUTED_VALUE"""),29.49)</f>
        <v>29.49</v>
      </c>
      <c r="E1390" s="2">
        <f>IFERROR(__xludf.DUMMYFUNCTION("""COMPUTED_VALUE"""),29.55)</f>
        <v>29.55</v>
      </c>
      <c r="F1390" s="2">
        <f>IFERROR(__xludf.DUMMYFUNCTION("""COMPUTED_VALUE"""),820500.0)</f>
        <v>820500</v>
      </c>
    </row>
    <row r="1391">
      <c r="A1391" s="3">
        <f>IFERROR(__xludf.DUMMYFUNCTION("""COMPUTED_VALUE"""),31229.666666666668)</f>
        <v>31229.66667</v>
      </c>
      <c r="B1391" s="2">
        <f>IFERROR(__xludf.DUMMYFUNCTION("""COMPUTED_VALUE"""),29.82)</f>
        <v>29.82</v>
      </c>
      <c r="C1391" s="2">
        <f>IFERROR(__xludf.DUMMYFUNCTION("""COMPUTED_VALUE"""),29.85)</f>
        <v>29.85</v>
      </c>
      <c r="D1391" s="2">
        <f>IFERROR(__xludf.DUMMYFUNCTION("""COMPUTED_VALUE"""),29.37)</f>
        <v>29.37</v>
      </c>
      <c r="E1391" s="2">
        <f>IFERROR(__xludf.DUMMYFUNCTION("""COMPUTED_VALUE"""),29.82)</f>
        <v>29.82</v>
      </c>
      <c r="F1391" s="2">
        <f>IFERROR(__xludf.DUMMYFUNCTION("""COMPUTED_VALUE"""),890800.0)</f>
        <v>890800</v>
      </c>
    </row>
    <row r="1392">
      <c r="A1392" s="3">
        <f>IFERROR(__xludf.DUMMYFUNCTION("""COMPUTED_VALUE"""),31230.666666666668)</f>
        <v>31230.66667</v>
      </c>
      <c r="B1392" s="2">
        <f>IFERROR(__xludf.DUMMYFUNCTION("""COMPUTED_VALUE"""),29.7)</f>
        <v>29.7</v>
      </c>
      <c r="C1392" s="2">
        <f>IFERROR(__xludf.DUMMYFUNCTION("""COMPUTED_VALUE"""),29.94)</f>
        <v>29.94</v>
      </c>
      <c r="D1392" s="2">
        <f>IFERROR(__xludf.DUMMYFUNCTION("""COMPUTED_VALUE"""),29.67)</f>
        <v>29.67</v>
      </c>
      <c r="E1392" s="2">
        <f>IFERROR(__xludf.DUMMYFUNCTION("""COMPUTED_VALUE"""),29.7)</f>
        <v>29.7</v>
      </c>
      <c r="F1392" s="2">
        <f>IFERROR(__xludf.DUMMYFUNCTION("""COMPUTED_VALUE"""),1064800.0)</f>
        <v>1064800</v>
      </c>
    </row>
    <row r="1393">
      <c r="A1393" s="3">
        <f>IFERROR(__xludf.DUMMYFUNCTION("""COMPUTED_VALUE"""),31231.666666666668)</f>
        <v>31231.66667</v>
      </c>
      <c r="B1393" s="2">
        <f>IFERROR(__xludf.DUMMYFUNCTION("""COMPUTED_VALUE"""),29.55)</f>
        <v>29.55</v>
      </c>
      <c r="C1393" s="2">
        <f>IFERROR(__xludf.DUMMYFUNCTION("""COMPUTED_VALUE"""),29.76)</f>
        <v>29.76</v>
      </c>
      <c r="D1393" s="2">
        <f>IFERROR(__xludf.DUMMYFUNCTION("""COMPUTED_VALUE"""),29.43)</f>
        <v>29.43</v>
      </c>
      <c r="E1393" s="2">
        <f>IFERROR(__xludf.DUMMYFUNCTION("""COMPUTED_VALUE"""),29.55)</f>
        <v>29.55</v>
      </c>
      <c r="F1393" s="2">
        <f>IFERROR(__xludf.DUMMYFUNCTION("""COMPUTED_VALUE"""),666900.0)</f>
        <v>666900</v>
      </c>
    </row>
    <row r="1394">
      <c r="A1394" s="3">
        <f>IFERROR(__xludf.DUMMYFUNCTION("""COMPUTED_VALUE"""),31233.666666666668)</f>
        <v>31233.66667</v>
      </c>
      <c r="B1394" s="2">
        <f>IFERROR(__xludf.DUMMYFUNCTION("""COMPUTED_VALUE"""),29.73)</f>
        <v>29.73</v>
      </c>
      <c r="C1394" s="2">
        <f>IFERROR(__xludf.DUMMYFUNCTION("""COMPUTED_VALUE"""),29.82)</f>
        <v>29.82</v>
      </c>
      <c r="D1394" s="2">
        <f>IFERROR(__xludf.DUMMYFUNCTION("""COMPUTED_VALUE"""),29.64)</f>
        <v>29.64</v>
      </c>
      <c r="E1394" s="2">
        <f>IFERROR(__xludf.DUMMYFUNCTION("""COMPUTED_VALUE"""),29.73)</f>
        <v>29.73</v>
      </c>
      <c r="F1394" s="2">
        <f>IFERROR(__xludf.DUMMYFUNCTION("""COMPUTED_VALUE"""),368900.0)</f>
        <v>368900</v>
      </c>
    </row>
    <row r="1395">
      <c r="A1395" s="3">
        <f>IFERROR(__xludf.DUMMYFUNCTION("""COMPUTED_VALUE"""),31236.666666666668)</f>
        <v>31236.66667</v>
      </c>
      <c r="B1395" s="2">
        <f>IFERROR(__xludf.DUMMYFUNCTION("""COMPUTED_VALUE"""),29.49)</f>
        <v>29.49</v>
      </c>
      <c r="C1395" s="2">
        <f>IFERROR(__xludf.DUMMYFUNCTION("""COMPUTED_VALUE"""),29.73)</f>
        <v>29.73</v>
      </c>
      <c r="D1395" s="2">
        <f>IFERROR(__xludf.DUMMYFUNCTION("""COMPUTED_VALUE"""),29.43)</f>
        <v>29.43</v>
      </c>
      <c r="E1395" s="2">
        <f>IFERROR(__xludf.DUMMYFUNCTION("""COMPUTED_VALUE"""),29.49)</f>
        <v>29.49</v>
      </c>
      <c r="F1395" s="2">
        <f>IFERROR(__xludf.DUMMYFUNCTION("""COMPUTED_VALUE"""),792600.0)</f>
        <v>792600</v>
      </c>
    </row>
    <row r="1396">
      <c r="A1396" s="3">
        <f>IFERROR(__xludf.DUMMYFUNCTION("""COMPUTED_VALUE"""),31237.666666666668)</f>
        <v>31237.66667</v>
      </c>
      <c r="B1396" s="2">
        <f>IFERROR(__xludf.DUMMYFUNCTION("""COMPUTED_VALUE"""),28.95)</f>
        <v>28.95</v>
      </c>
      <c r="C1396" s="2">
        <f>IFERROR(__xludf.DUMMYFUNCTION("""COMPUTED_VALUE"""),29.43)</f>
        <v>29.43</v>
      </c>
      <c r="D1396" s="2">
        <f>IFERROR(__xludf.DUMMYFUNCTION("""COMPUTED_VALUE"""),28.77)</f>
        <v>28.77</v>
      </c>
      <c r="E1396" s="2">
        <f>IFERROR(__xludf.DUMMYFUNCTION("""COMPUTED_VALUE"""),28.95)</f>
        <v>28.95</v>
      </c>
      <c r="F1396" s="2">
        <f>IFERROR(__xludf.DUMMYFUNCTION("""COMPUTED_VALUE"""),1199500.0)</f>
        <v>1199500</v>
      </c>
    </row>
    <row r="1397">
      <c r="A1397" s="3">
        <f>IFERROR(__xludf.DUMMYFUNCTION("""COMPUTED_VALUE"""),31238.666666666668)</f>
        <v>31238.66667</v>
      </c>
      <c r="B1397" s="2">
        <f>IFERROR(__xludf.DUMMYFUNCTION("""COMPUTED_VALUE"""),29.37)</f>
        <v>29.37</v>
      </c>
      <c r="C1397" s="2">
        <f>IFERROR(__xludf.DUMMYFUNCTION("""COMPUTED_VALUE"""),29.46)</f>
        <v>29.46</v>
      </c>
      <c r="D1397" s="2">
        <f>IFERROR(__xludf.DUMMYFUNCTION("""COMPUTED_VALUE"""),28.65)</f>
        <v>28.65</v>
      </c>
      <c r="E1397" s="2">
        <f>IFERROR(__xludf.DUMMYFUNCTION("""COMPUTED_VALUE"""),29.37)</f>
        <v>29.37</v>
      </c>
      <c r="F1397" s="2">
        <f>IFERROR(__xludf.DUMMYFUNCTION("""COMPUTED_VALUE"""),1687300.0)</f>
        <v>1687300</v>
      </c>
    </row>
    <row r="1398">
      <c r="A1398" s="3">
        <f>IFERROR(__xludf.DUMMYFUNCTION("""COMPUTED_VALUE"""),31239.666666666668)</f>
        <v>31239.66667</v>
      </c>
      <c r="B1398" s="2">
        <f>IFERROR(__xludf.DUMMYFUNCTION("""COMPUTED_VALUE"""),29.55)</f>
        <v>29.55</v>
      </c>
      <c r="C1398" s="2">
        <f>IFERROR(__xludf.DUMMYFUNCTION("""COMPUTED_VALUE"""),29.64)</f>
        <v>29.64</v>
      </c>
      <c r="D1398" s="2">
        <f>IFERROR(__xludf.DUMMYFUNCTION("""COMPUTED_VALUE"""),29.34)</f>
        <v>29.34</v>
      </c>
      <c r="E1398" s="2">
        <f>IFERROR(__xludf.DUMMYFUNCTION("""COMPUTED_VALUE"""),29.55)</f>
        <v>29.55</v>
      </c>
      <c r="F1398" s="2">
        <f>IFERROR(__xludf.DUMMYFUNCTION("""COMPUTED_VALUE"""),1043900.0)</f>
        <v>1043900</v>
      </c>
    </row>
    <row r="1399">
      <c r="A1399" s="3">
        <f>IFERROR(__xludf.DUMMYFUNCTION("""COMPUTED_VALUE"""),31240.666666666668)</f>
        <v>31240.66667</v>
      </c>
      <c r="B1399" s="2">
        <f>IFERROR(__xludf.DUMMYFUNCTION("""COMPUTED_VALUE"""),29.67)</f>
        <v>29.67</v>
      </c>
      <c r="C1399" s="2">
        <f>IFERROR(__xludf.DUMMYFUNCTION("""COMPUTED_VALUE"""),29.76)</f>
        <v>29.76</v>
      </c>
      <c r="D1399" s="2">
        <f>IFERROR(__xludf.DUMMYFUNCTION("""COMPUTED_VALUE"""),29.43)</f>
        <v>29.43</v>
      </c>
      <c r="E1399" s="2">
        <f>IFERROR(__xludf.DUMMYFUNCTION("""COMPUTED_VALUE"""),29.67)</f>
        <v>29.67</v>
      </c>
      <c r="F1399" s="2">
        <f>IFERROR(__xludf.DUMMYFUNCTION("""COMPUTED_VALUE"""),986800.0)</f>
        <v>986800</v>
      </c>
    </row>
    <row r="1400">
      <c r="A1400" s="3">
        <f>IFERROR(__xludf.DUMMYFUNCTION("""COMPUTED_VALUE"""),31243.666666666668)</f>
        <v>31243.66667</v>
      </c>
      <c r="B1400" s="2">
        <f>IFERROR(__xludf.DUMMYFUNCTION("""COMPUTED_VALUE"""),29.97)</f>
        <v>29.97</v>
      </c>
      <c r="C1400" s="2">
        <f>IFERROR(__xludf.DUMMYFUNCTION("""COMPUTED_VALUE"""),30.27)</f>
        <v>30.27</v>
      </c>
      <c r="D1400" s="2">
        <f>IFERROR(__xludf.DUMMYFUNCTION("""COMPUTED_VALUE"""),29.46)</f>
        <v>29.46</v>
      </c>
      <c r="E1400" s="2">
        <f>IFERROR(__xludf.DUMMYFUNCTION("""COMPUTED_VALUE"""),29.97)</f>
        <v>29.97</v>
      </c>
      <c r="F1400" s="2">
        <f>IFERROR(__xludf.DUMMYFUNCTION("""COMPUTED_VALUE"""),1557700.0)</f>
        <v>1557700</v>
      </c>
    </row>
    <row r="1401">
      <c r="A1401" s="3">
        <f>IFERROR(__xludf.DUMMYFUNCTION("""COMPUTED_VALUE"""),31244.666666666668)</f>
        <v>31244.66667</v>
      </c>
      <c r="B1401" s="2">
        <f>IFERROR(__xludf.DUMMYFUNCTION("""COMPUTED_VALUE"""),30.68)</f>
        <v>30.68</v>
      </c>
      <c r="C1401" s="2">
        <f>IFERROR(__xludf.DUMMYFUNCTION("""COMPUTED_VALUE"""),30.74)</f>
        <v>30.74</v>
      </c>
      <c r="D1401" s="2">
        <f>IFERROR(__xludf.DUMMYFUNCTION("""COMPUTED_VALUE"""),29.97)</f>
        <v>29.97</v>
      </c>
      <c r="E1401" s="2">
        <f>IFERROR(__xludf.DUMMYFUNCTION("""COMPUTED_VALUE"""),30.68)</f>
        <v>30.68</v>
      </c>
      <c r="F1401" s="2">
        <f>IFERROR(__xludf.DUMMYFUNCTION("""COMPUTED_VALUE"""),1601300.0)</f>
        <v>1601300</v>
      </c>
    </row>
    <row r="1402">
      <c r="A1402" s="3">
        <f>IFERROR(__xludf.DUMMYFUNCTION("""COMPUTED_VALUE"""),31245.666666666668)</f>
        <v>31245.66667</v>
      </c>
      <c r="B1402" s="2">
        <f>IFERROR(__xludf.DUMMYFUNCTION("""COMPUTED_VALUE"""),30.89)</f>
        <v>30.89</v>
      </c>
      <c r="C1402" s="2">
        <f>IFERROR(__xludf.DUMMYFUNCTION("""COMPUTED_VALUE"""),31.1)</f>
        <v>31.1</v>
      </c>
      <c r="D1402" s="2">
        <f>IFERROR(__xludf.DUMMYFUNCTION("""COMPUTED_VALUE"""),30.8)</f>
        <v>30.8</v>
      </c>
      <c r="E1402" s="2">
        <f>IFERROR(__xludf.DUMMYFUNCTION("""COMPUTED_VALUE"""),30.89)</f>
        <v>30.89</v>
      </c>
      <c r="F1402" s="2">
        <f>IFERROR(__xludf.DUMMYFUNCTION("""COMPUTED_VALUE"""),1885600.0)</f>
        <v>1885600</v>
      </c>
    </row>
    <row r="1403">
      <c r="A1403" s="3">
        <f>IFERROR(__xludf.DUMMYFUNCTION("""COMPUTED_VALUE"""),31246.666666666668)</f>
        <v>31246.66667</v>
      </c>
      <c r="B1403" s="2">
        <f>IFERROR(__xludf.DUMMYFUNCTION("""COMPUTED_VALUE"""),30.74)</f>
        <v>30.74</v>
      </c>
      <c r="C1403" s="2">
        <f>IFERROR(__xludf.DUMMYFUNCTION("""COMPUTED_VALUE"""),31.04)</f>
        <v>31.04</v>
      </c>
      <c r="D1403" s="2">
        <f>IFERROR(__xludf.DUMMYFUNCTION("""COMPUTED_VALUE"""),30.65)</f>
        <v>30.65</v>
      </c>
      <c r="E1403" s="2">
        <f>IFERROR(__xludf.DUMMYFUNCTION("""COMPUTED_VALUE"""),30.74)</f>
        <v>30.74</v>
      </c>
      <c r="F1403" s="2">
        <f>IFERROR(__xludf.DUMMYFUNCTION("""COMPUTED_VALUE"""),1729600.0)</f>
        <v>1729600</v>
      </c>
    </row>
    <row r="1404">
      <c r="A1404" s="3">
        <f>IFERROR(__xludf.DUMMYFUNCTION("""COMPUTED_VALUE"""),31247.666666666668)</f>
        <v>31247.66667</v>
      </c>
      <c r="B1404" s="2">
        <f>IFERROR(__xludf.DUMMYFUNCTION("""COMPUTED_VALUE"""),30.86)</f>
        <v>30.86</v>
      </c>
      <c r="C1404" s="2">
        <f>IFERROR(__xludf.DUMMYFUNCTION("""COMPUTED_VALUE"""),31.04)</f>
        <v>31.04</v>
      </c>
      <c r="D1404" s="2">
        <f>IFERROR(__xludf.DUMMYFUNCTION("""COMPUTED_VALUE"""),30.74)</f>
        <v>30.74</v>
      </c>
      <c r="E1404" s="2">
        <f>IFERROR(__xludf.DUMMYFUNCTION("""COMPUTED_VALUE"""),30.86)</f>
        <v>30.86</v>
      </c>
      <c r="F1404" s="2">
        <f>IFERROR(__xludf.DUMMYFUNCTION("""COMPUTED_VALUE"""),1389100.0)</f>
        <v>1389100</v>
      </c>
    </row>
    <row r="1405">
      <c r="A1405" s="3">
        <f>IFERROR(__xludf.DUMMYFUNCTION("""COMPUTED_VALUE"""),31250.666666666668)</f>
        <v>31250.66667</v>
      </c>
      <c r="B1405" s="2">
        <f>IFERROR(__xludf.DUMMYFUNCTION("""COMPUTED_VALUE"""),31.01)</f>
        <v>31.01</v>
      </c>
      <c r="C1405" s="2">
        <f>IFERROR(__xludf.DUMMYFUNCTION("""COMPUTED_VALUE"""),31.01)</f>
        <v>31.01</v>
      </c>
      <c r="D1405" s="2">
        <f>IFERROR(__xludf.DUMMYFUNCTION("""COMPUTED_VALUE"""),30.71)</f>
        <v>30.71</v>
      </c>
      <c r="E1405" s="2">
        <f>IFERROR(__xludf.DUMMYFUNCTION("""COMPUTED_VALUE"""),31.01)</f>
        <v>31.01</v>
      </c>
      <c r="F1405" s="2">
        <f>IFERROR(__xludf.DUMMYFUNCTION("""COMPUTED_VALUE"""),1075600.0)</f>
        <v>1075600</v>
      </c>
    </row>
    <row r="1406">
      <c r="A1406" s="3">
        <f>IFERROR(__xludf.DUMMYFUNCTION("""COMPUTED_VALUE"""),31251.666666666668)</f>
        <v>31251.66667</v>
      </c>
      <c r="B1406" s="2">
        <f>IFERROR(__xludf.DUMMYFUNCTION("""COMPUTED_VALUE"""),30.89)</f>
        <v>30.89</v>
      </c>
      <c r="C1406" s="2">
        <f>IFERROR(__xludf.DUMMYFUNCTION("""COMPUTED_VALUE"""),31.49)</f>
        <v>31.49</v>
      </c>
      <c r="D1406" s="2">
        <f>IFERROR(__xludf.DUMMYFUNCTION("""COMPUTED_VALUE"""),30.8)</f>
        <v>30.8</v>
      </c>
      <c r="E1406" s="2">
        <f>IFERROR(__xludf.DUMMYFUNCTION("""COMPUTED_VALUE"""),30.89)</f>
        <v>30.89</v>
      </c>
      <c r="F1406" s="2">
        <f>IFERROR(__xludf.DUMMYFUNCTION("""COMPUTED_VALUE"""),1879800.0)</f>
        <v>1879800</v>
      </c>
    </row>
    <row r="1407">
      <c r="A1407" s="3">
        <f>IFERROR(__xludf.DUMMYFUNCTION("""COMPUTED_VALUE"""),31252.666666666668)</f>
        <v>31252.66667</v>
      </c>
      <c r="B1407" s="2">
        <f>IFERROR(__xludf.DUMMYFUNCTION("""COMPUTED_VALUE"""),30.83)</f>
        <v>30.83</v>
      </c>
      <c r="C1407" s="2">
        <f>IFERROR(__xludf.DUMMYFUNCTION("""COMPUTED_VALUE"""),31.01)</f>
        <v>31.01</v>
      </c>
      <c r="D1407" s="2">
        <f>IFERROR(__xludf.DUMMYFUNCTION("""COMPUTED_VALUE"""),30.48)</f>
        <v>30.48</v>
      </c>
      <c r="E1407" s="2">
        <f>IFERROR(__xludf.DUMMYFUNCTION("""COMPUTED_VALUE"""),30.83)</f>
        <v>30.83</v>
      </c>
      <c r="F1407" s="2">
        <f>IFERROR(__xludf.DUMMYFUNCTION("""COMPUTED_VALUE"""),1465300.0)</f>
        <v>1465300</v>
      </c>
    </row>
    <row r="1408">
      <c r="A1408" s="3">
        <f>IFERROR(__xludf.DUMMYFUNCTION("""COMPUTED_VALUE"""),31253.666666666668)</f>
        <v>31253.66667</v>
      </c>
      <c r="B1408" s="2">
        <f>IFERROR(__xludf.DUMMYFUNCTION("""COMPUTED_VALUE"""),31.1)</f>
        <v>31.1</v>
      </c>
      <c r="C1408" s="2">
        <f>IFERROR(__xludf.DUMMYFUNCTION("""COMPUTED_VALUE"""),31.1)</f>
        <v>31.1</v>
      </c>
      <c r="D1408" s="2">
        <f>IFERROR(__xludf.DUMMYFUNCTION("""COMPUTED_VALUE"""),30.71)</f>
        <v>30.71</v>
      </c>
      <c r="E1408" s="2">
        <f>IFERROR(__xludf.DUMMYFUNCTION("""COMPUTED_VALUE"""),31.1)</f>
        <v>31.1</v>
      </c>
      <c r="F1408" s="2">
        <f>IFERROR(__xludf.DUMMYFUNCTION("""COMPUTED_VALUE"""),1538800.0)</f>
        <v>1538800</v>
      </c>
    </row>
    <row r="1409">
      <c r="A1409" s="3">
        <f>IFERROR(__xludf.DUMMYFUNCTION("""COMPUTED_VALUE"""),31254.666666666668)</f>
        <v>31254.66667</v>
      </c>
      <c r="B1409" s="2">
        <f>IFERROR(__xludf.DUMMYFUNCTION("""COMPUTED_VALUE"""),31.52)</f>
        <v>31.52</v>
      </c>
      <c r="C1409" s="2">
        <f>IFERROR(__xludf.DUMMYFUNCTION("""COMPUTED_VALUE"""),31.64)</f>
        <v>31.64</v>
      </c>
      <c r="D1409" s="2">
        <f>IFERROR(__xludf.DUMMYFUNCTION("""COMPUTED_VALUE"""),31.07)</f>
        <v>31.07</v>
      </c>
      <c r="E1409" s="2">
        <f>IFERROR(__xludf.DUMMYFUNCTION("""COMPUTED_VALUE"""),31.52)</f>
        <v>31.52</v>
      </c>
      <c r="F1409" s="2">
        <f>IFERROR(__xludf.DUMMYFUNCTION("""COMPUTED_VALUE"""),1420500.0)</f>
        <v>1420500</v>
      </c>
    </row>
    <row r="1410">
      <c r="A1410" s="3">
        <f>IFERROR(__xludf.DUMMYFUNCTION("""COMPUTED_VALUE"""),31257.666666666668)</f>
        <v>31257.66667</v>
      </c>
      <c r="B1410" s="2">
        <f>IFERROR(__xludf.DUMMYFUNCTION("""COMPUTED_VALUE"""),30.95)</f>
        <v>30.95</v>
      </c>
      <c r="C1410" s="2">
        <f>IFERROR(__xludf.DUMMYFUNCTION("""COMPUTED_VALUE"""),31.52)</f>
        <v>31.52</v>
      </c>
      <c r="D1410" s="2">
        <f>IFERROR(__xludf.DUMMYFUNCTION("""COMPUTED_VALUE"""),30.89)</f>
        <v>30.89</v>
      </c>
      <c r="E1410" s="2">
        <f>IFERROR(__xludf.DUMMYFUNCTION("""COMPUTED_VALUE"""),30.95)</f>
        <v>30.95</v>
      </c>
      <c r="F1410" s="2">
        <f>IFERROR(__xludf.DUMMYFUNCTION("""COMPUTED_VALUE"""),1017300.0)</f>
        <v>1017300</v>
      </c>
    </row>
    <row r="1411">
      <c r="A1411" s="3">
        <f>IFERROR(__xludf.DUMMYFUNCTION("""COMPUTED_VALUE"""),31258.666666666668)</f>
        <v>31258.66667</v>
      </c>
      <c r="B1411" s="2">
        <f>IFERROR(__xludf.DUMMYFUNCTION("""COMPUTED_VALUE"""),31.16)</f>
        <v>31.16</v>
      </c>
      <c r="C1411" s="2">
        <f>IFERROR(__xludf.DUMMYFUNCTION("""COMPUTED_VALUE"""),31.22)</f>
        <v>31.22</v>
      </c>
      <c r="D1411" s="2">
        <f>IFERROR(__xludf.DUMMYFUNCTION("""COMPUTED_VALUE"""),30.83)</f>
        <v>30.83</v>
      </c>
      <c r="E1411" s="2">
        <f>IFERROR(__xludf.DUMMYFUNCTION("""COMPUTED_VALUE"""),31.16)</f>
        <v>31.16</v>
      </c>
      <c r="F1411" s="2">
        <f>IFERROR(__xludf.DUMMYFUNCTION("""COMPUTED_VALUE"""),1139800.0)</f>
        <v>1139800</v>
      </c>
    </row>
    <row r="1412">
      <c r="A1412" s="3">
        <f>IFERROR(__xludf.DUMMYFUNCTION("""COMPUTED_VALUE"""),31259.666666666668)</f>
        <v>31259.66667</v>
      </c>
      <c r="B1412" s="2">
        <f>IFERROR(__xludf.DUMMYFUNCTION("""COMPUTED_VALUE"""),31.37)</f>
        <v>31.37</v>
      </c>
      <c r="C1412" s="2">
        <f>IFERROR(__xludf.DUMMYFUNCTION("""COMPUTED_VALUE"""),31.49)</f>
        <v>31.49</v>
      </c>
      <c r="D1412" s="2">
        <f>IFERROR(__xludf.DUMMYFUNCTION("""COMPUTED_VALUE"""),31.16)</f>
        <v>31.16</v>
      </c>
      <c r="E1412" s="2">
        <f>IFERROR(__xludf.DUMMYFUNCTION("""COMPUTED_VALUE"""),31.37)</f>
        <v>31.37</v>
      </c>
      <c r="F1412" s="2">
        <f>IFERROR(__xludf.DUMMYFUNCTION("""COMPUTED_VALUE"""),1383000.0)</f>
        <v>1383000</v>
      </c>
    </row>
    <row r="1413">
      <c r="A1413" s="3">
        <f>IFERROR(__xludf.DUMMYFUNCTION("""COMPUTED_VALUE"""),31260.666666666668)</f>
        <v>31260.66667</v>
      </c>
      <c r="B1413" s="2">
        <f>IFERROR(__xludf.DUMMYFUNCTION("""COMPUTED_VALUE"""),31.64)</f>
        <v>31.64</v>
      </c>
      <c r="C1413" s="2">
        <f>IFERROR(__xludf.DUMMYFUNCTION("""COMPUTED_VALUE"""),31.7)</f>
        <v>31.7</v>
      </c>
      <c r="D1413" s="2">
        <f>IFERROR(__xludf.DUMMYFUNCTION("""COMPUTED_VALUE"""),31.43)</f>
        <v>31.43</v>
      </c>
      <c r="E1413" s="2">
        <f>IFERROR(__xludf.DUMMYFUNCTION("""COMPUTED_VALUE"""),31.64)</f>
        <v>31.64</v>
      </c>
      <c r="F1413" s="2">
        <f>IFERROR(__xludf.DUMMYFUNCTION("""COMPUTED_VALUE"""),1360900.0)</f>
        <v>1360900</v>
      </c>
    </row>
    <row r="1414">
      <c r="A1414" s="3">
        <f>IFERROR(__xludf.DUMMYFUNCTION("""COMPUTED_VALUE"""),31261.666666666668)</f>
        <v>31261.66667</v>
      </c>
      <c r="B1414" s="2">
        <f>IFERROR(__xludf.DUMMYFUNCTION("""COMPUTED_VALUE"""),31.43)</f>
        <v>31.43</v>
      </c>
      <c r="C1414" s="2">
        <f>IFERROR(__xludf.DUMMYFUNCTION("""COMPUTED_VALUE"""),31.58)</f>
        <v>31.58</v>
      </c>
      <c r="D1414" s="2">
        <f>IFERROR(__xludf.DUMMYFUNCTION("""COMPUTED_VALUE"""),31.37)</f>
        <v>31.37</v>
      </c>
      <c r="E1414" s="2">
        <f>IFERROR(__xludf.DUMMYFUNCTION("""COMPUTED_VALUE"""),31.43)</f>
        <v>31.43</v>
      </c>
      <c r="F1414" s="2">
        <f>IFERROR(__xludf.DUMMYFUNCTION("""COMPUTED_VALUE"""),666800.0)</f>
        <v>666800</v>
      </c>
    </row>
    <row r="1415">
      <c r="A1415" s="3">
        <f>IFERROR(__xludf.DUMMYFUNCTION("""COMPUTED_VALUE"""),31264.666666666668)</f>
        <v>31264.66667</v>
      </c>
      <c r="B1415" s="2">
        <f>IFERROR(__xludf.DUMMYFUNCTION("""COMPUTED_VALUE"""),31.34)</f>
        <v>31.34</v>
      </c>
      <c r="C1415" s="2">
        <f>IFERROR(__xludf.DUMMYFUNCTION("""COMPUTED_VALUE"""),31.4)</f>
        <v>31.4</v>
      </c>
      <c r="D1415" s="2">
        <f>IFERROR(__xludf.DUMMYFUNCTION("""COMPUTED_VALUE"""),31.16)</f>
        <v>31.16</v>
      </c>
      <c r="E1415" s="2">
        <f>IFERROR(__xludf.DUMMYFUNCTION("""COMPUTED_VALUE"""),31.34)</f>
        <v>31.34</v>
      </c>
      <c r="F1415" s="2">
        <f>IFERROR(__xludf.DUMMYFUNCTION("""COMPUTED_VALUE"""),670400.0)</f>
        <v>670400</v>
      </c>
    </row>
    <row r="1416">
      <c r="A1416" s="3">
        <f>IFERROR(__xludf.DUMMYFUNCTION("""COMPUTED_VALUE"""),31265.666666666668)</f>
        <v>31265.66667</v>
      </c>
      <c r="B1416" s="2">
        <f>IFERROR(__xludf.DUMMYFUNCTION("""COMPUTED_VALUE"""),30.89)</f>
        <v>30.89</v>
      </c>
      <c r="C1416" s="2">
        <f>IFERROR(__xludf.DUMMYFUNCTION("""COMPUTED_VALUE"""),31.46)</f>
        <v>31.46</v>
      </c>
      <c r="D1416" s="2">
        <f>IFERROR(__xludf.DUMMYFUNCTION("""COMPUTED_VALUE"""),30.83)</f>
        <v>30.83</v>
      </c>
      <c r="E1416" s="2">
        <f>IFERROR(__xludf.DUMMYFUNCTION("""COMPUTED_VALUE"""),30.89)</f>
        <v>30.89</v>
      </c>
      <c r="F1416" s="2">
        <f>IFERROR(__xludf.DUMMYFUNCTION("""COMPUTED_VALUE"""),1075400.0)</f>
        <v>1075400</v>
      </c>
    </row>
    <row r="1417">
      <c r="A1417" s="3">
        <f>IFERROR(__xludf.DUMMYFUNCTION("""COMPUTED_VALUE"""),31266.666666666668)</f>
        <v>31266.66667</v>
      </c>
      <c r="B1417" s="2">
        <f>IFERROR(__xludf.DUMMYFUNCTION("""COMPUTED_VALUE"""),30.86)</f>
        <v>30.86</v>
      </c>
      <c r="C1417" s="2">
        <f>IFERROR(__xludf.DUMMYFUNCTION("""COMPUTED_VALUE"""),30.98)</f>
        <v>30.98</v>
      </c>
      <c r="D1417" s="2">
        <f>IFERROR(__xludf.DUMMYFUNCTION("""COMPUTED_VALUE"""),30.8)</f>
        <v>30.8</v>
      </c>
      <c r="E1417" s="2">
        <f>IFERROR(__xludf.DUMMYFUNCTION("""COMPUTED_VALUE"""),30.86)</f>
        <v>30.86</v>
      </c>
      <c r="F1417" s="2">
        <f>IFERROR(__xludf.DUMMYFUNCTION("""COMPUTED_VALUE"""),954300.0)</f>
        <v>954300</v>
      </c>
    </row>
    <row r="1418">
      <c r="A1418" s="3">
        <f>IFERROR(__xludf.DUMMYFUNCTION("""COMPUTED_VALUE"""),31267.666666666668)</f>
        <v>31267.66667</v>
      </c>
      <c r="B1418" s="2">
        <f>IFERROR(__xludf.DUMMYFUNCTION("""COMPUTED_VALUE"""),30.65)</f>
        <v>30.65</v>
      </c>
      <c r="C1418" s="2">
        <f>IFERROR(__xludf.DUMMYFUNCTION("""COMPUTED_VALUE"""),30.77)</f>
        <v>30.77</v>
      </c>
      <c r="D1418" s="2">
        <f>IFERROR(__xludf.DUMMYFUNCTION("""COMPUTED_VALUE"""),30.39)</f>
        <v>30.39</v>
      </c>
      <c r="E1418" s="2">
        <f>IFERROR(__xludf.DUMMYFUNCTION("""COMPUTED_VALUE"""),30.65)</f>
        <v>30.65</v>
      </c>
      <c r="F1418" s="2">
        <f>IFERROR(__xludf.DUMMYFUNCTION("""COMPUTED_VALUE"""),1117300.0)</f>
        <v>1117300</v>
      </c>
    </row>
    <row r="1419">
      <c r="A1419" s="3">
        <f>IFERROR(__xludf.DUMMYFUNCTION("""COMPUTED_VALUE"""),31268.666666666668)</f>
        <v>31268.66667</v>
      </c>
      <c r="B1419" s="2">
        <f>IFERROR(__xludf.DUMMYFUNCTION("""COMPUTED_VALUE"""),30.42)</f>
        <v>30.42</v>
      </c>
      <c r="C1419" s="2">
        <f>IFERROR(__xludf.DUMMYFUNCTION("""COMPUTED_VALUE"""),30.71)</f>
        <v>30.71</v>
      </c>
      <c r="D1419" s="2">
        <f>IFERROR(__xludf.DUMMYFUNCTION("""COMPUTED_VALUE"""),30.39)</f>
        <v>30.39</v>
      </c>
      <c r="E1419" s="2">
        <f>IFERROR(__xludf.DUMMYFUNCTION("""COMPUTED_VALUE"""),30.42)</f>
        <v>30.42</v>
      </c>
      <c r="F1419" s="2">
        <f>IFERROR(__xludf.DUMMYFUNCTION("""COMPUTED_VALUE"""),691000.0)</f>
        <v>691000</v>
      </c>
    </row>
    <row r="1420">
      <c r="A1420" s="3">
        <f>IFERROR(__xludf.DUMMYFUNCTION("""COMPUTED_VALUE"""),31271.666666666668)</f>
        <v>31271.66667</v>
      </c>
      <c r="B1420" s="2">
        <f>IFERROR(__xludf.DUMMYFUNCTION("""COMPUTED_VALUE"""),30.36)</f>
        <v>30.36</v>
      </c>
      <c r="C1420" s="2">
        <f>IFERROR(__xludf.DUMMYFUNCTION("""COMPUTED_VALUE"""),30.42)</f>
        <v>30.42</v>
      </c>
      <c r="D1420" s="2">
        <f>IFERROR(__xludf.DUMMYFUNCTION("""COMPUTED_VALUE"""),30.24)</f>
        <v>30.24</v>
      </c>
      <c r="E1420" s="2">
        <f>IFERROR(__xludf.DUMMYFUNCTION("""COMPUTED_VALUE"""),30.36)</f>
        <v>30.36</v>
      </c>
      <c r="F1420" s="2">
        <f>IFERROR(__xludf.DUMMYFUNCTION("""COMPUTED_VALUE"""),980100.0)</f>
        <v>980100</v>
      </c>
    </row>
    <row r="1421">
      <c r="A1421" s="3">
        <f>IFERROR(__xludf.DUMMYFUNCTION("""COMPUTED_VALUE"""),31272.666666666668)</f>
        <v>31272.66667</v>
      </c>
      <c r="B1421" s="2">
        <f>IFERROR(__xludf.DUMMYFUNCTION("""COMPUTED_VALUE"""),30.24)</f>
        <v>30.24</v>
      </c>
      <c r="C1421" s="2">
        <f>IFERROR(__xludf.DUMMYFUNCTION("""COMPUTED_VALUE"""),30.45)</f>
        <v>30.45</v>
      </c>
      <c r="D1421" s="2">
        <f>IFERROR(__xludf.DUMMYFUNCTION("""COMPUTED_VALUE"""),30.03)</f>
        <v>30.03</v>
      </c>
      <c r="E1421" s="2">
        <f>IFERROR(__xludf.DUMMYFUNCTION("""COMPUTED_VALUE"""),30.24)</f>
        <v>30.24</v>
      </c>
      <c r="F1421" s="2">
        <f>IFERROR(__xludf.DUMMYFUNCTION("""COMPUTED_VALUE"""),745800.0)</f>
        <v>745800</v>
      </c>
    </row>
    <row r="1422">
      <c r="A1422" s="3">
        <f>IFERROR(__xludf.DUMMYFUNCTION("""COMPUTED_VALUE"""),31273.666666666668)</f>
        <v>31273.66667</v>
      </c>
      <c r="B1422" s="2">
        <f>IFERROR(__xludf.DUMMYFUNCTION("""COMPUTED_VALUE"""),30.27)</f>
        <v>30.27</v>
      </c>
      <c r="C1422" s="2">
        <f>IFERROR(__xludf.DUMMYFUNCTION("""COMPUTED_VALUE"""),30.83)</f>
        <v>30.83</v>
      </c>
      <c r="D1422" s="2">
        <f>IFERROR(__xludf.DUMMYFUNCTION("""COMPUTED_VALUE"""),30.27)</f>
        <v>30.27</v>
      </c>
      <c r="E1422" s="2">
        <f>IFERROR(__xludf.DUMMYFUNCTION("""COMPUTED_VALUE"""),30.27)</f>
        <v>30.27</v>
      </c>
      <c r="F1422" s="2">
        <f>IFERROR(__xludf.DUMMYFUNCTION("""COMPUTED_VALUE"""),543700.0)</f>
        <v>543700</v>
      </c>
    </row>
    <row r="1423">
      <c r="A1423" s="3">
        <f>IFERROR(__xludf.DUMMYFUNCTION("""COMPUTED_VALUE"""),31274.666666666668)</f>
        <v>31274.66667</v>
      </c>
      <c r="B1423" s="2">
        <f>IFERROR(__xludf.DUMMYFUNCTION("""COMPUTED_VALUE"""),30.18)</f>
        <v>30.18</v>
      </c>
      <c r="C1423" s="2">
        <f>IFERROR(__xludf.DUMMYFUNCTION("""COMPUTED_VALUE"""),30.39)</f>
        <v>30.39</v>
      </c>
      <c r="D1423" s="2">
        <f>IFERROR(__xludf.DUMMYFUNCTION("""COMPUTED_VALUE"""),30.03)</f>
        <v>30.03</v>
      </c>
      <c r="E1423" s="2">
        <f>IFERROR(__xludf.DUMMYFUNCTION("""COMPUTED_VALUE"""),30.18)</f>
        <v>30.18</v>
      </c>
      <c r="F1423" s="2">
        <f>IFERROR(__xludf.DUMMYFUNCTION("""COMPUTED_VALUE"""),723500.0)</f>
        <v>723500</v>
      </c>
    </row>
    <row r="1424">
      <c r="A1424" s="3">
        <f>IFERROR(__xludf.DUMMYFUNCTION("""COMPUTED_VALUE"""),31275.666666666668)</f>
        <v>31275.66667</v>
      </c>
      <c r="B1424" s="2">
        <f>IFERROR(__xludf.DUMMYFUNCTION("""COMPUTED_VALUE"""),30.03)</f>
        <v>30.03</v>
      </c>
      <c r="C1424" s="2">
        <f>IFERROR(__xludf.DUMMYFUNCTION("""COMPUTED_VALUE"""),30.18)</f>
        <v>30.18</v>
      </c>
      <c r="D1424" s="2">
        <f>IFERROR(__xludf.DUMMYFUNCTION("""COMPUTED_VALUE"""),29.97)</f>
        <v>29.97</v>
      </c>
      <c r="E1424" s="2">
        <f>IFERROR(__xludf.DUMMYFUNCTION("""COMPUTED_VALUE"""),30.03)</f>
        <v>30.03</v>
      </c>
      <c r="F1424" s="2">
        <f>IFERROR(__xludf.DUMMYFUNCTION("""COMPUTED_VALUE"""),804400.0)</f>
        <v>804400</v>
      </c>
    </row>
    <row r="1425">
      <c r="A1425" s="3">
        <f>IFERROR(__xludf.DUMMYFUNCTION("""COMPUTED_VALUE"""),31278.666666666668)</f>
        <v>31278.66667</v>
      </c>
      <c r="B1425" s="2">
        <f>IFERROR(__xludf.DUMMYFUNCTION("""COMPUTED_VALUE"""),30.06)</f>
        <v>30.06</v>
      </c>
      <c r="C1425" s="2">
        <f>IFERROR(__xludf.DUMMYFUNCTION("""COMPUTED_VALUE"""),30.18)</f>
        <v>30.18</v>
      </c>
      <c r="D1425" s="2">
        <f>IFERROR(__xludf.DUMMYFUNCTION("""COMPUTED_VALUE"""),30.03)</f>
        <v>30.03</v>
      </c>
      <c r="E1425" s="2">
        <f>IFERROR(__xludf.DUMMYFUNCTION("""COMPUTED_VALUE"""),30.06)</f>
        <v>30.06</v>
      </c>
      <c r="F1425" s="2">
        <f>IFERROR(__xludf.DUMMYFUNCTION("""COMPUTED_VALUE"""),511500.0)</f>
        <v>511500</v>
      </c>
    </row>
    <row r="1426">
      <c r="A1426" s="3">
        <f>IFERROR(__xludf.DUMMYFUNCTION("""COMPUTED_VALUE"""),31279.666666666668)</f>
        <v>31279.66667</v>
      </c>
      <c r="B1426" s="2">
        <f>IFERROR(__xludf.DUMMYFUNCTION("""COMPUTED_VALUE"""),30.45)</f>
        <v>30.45</v>
      </c>
      <c r="C1426" s="2">
        <f>IFERROR(__xludf.DUMMYFUNCTION("""COMPUTED_VALUE"""),30.51)</f>
        <v>30.51</v>
      </c>
      <c r="D1426" s="2">
        <f>IFERROR(__xludf.DUMMYFUNCTION("""COMPUTED_VALUE"""),30.06)</f>
        <v>30.06</v>
      </c>
      <c r="E1426" s="2">
        <f>IFERROR(__xludf.DUMMYFUNCTION("""COMPUTED_VALUE"""),30.45)</f>
        <v>30.45</v>
      </c>
      <c r="F1426" s="2">
        <f>IFERROR(__xludf.DUMMYFUNCTION("""COMPUTED_VALUE"""),925200.0)</f>
        <v>925200</v>
      </c>
    </row>
    <row r="1427">
      <c r="A1427" s="3">
        <f>IFERROR(__xludf.DUMMYFUNCTION("""COMPUTED_VALUE"""),31280.666666666668)</f>
        <v>31280.66667</v>
      </c>
      <c r="B1427" s="2">
        <f>IFERROR(__xludf.DUMMYFUNCTION("""COMPUTED_VALUE"""),30.65)</f>
        <v>30.65</v>
      </c>
      <c r="C1427" s="2">
        <f>IFERROR(__xludf.DUMMYFUNCTION("""COMPUTED_VALUE"""),30.65)</f>
        <v>30.65</v>
      </c>
      <c r="D1427" s="2">
        <f>IFERROR(__xludf.DUMMYFUNCTION("""COMPUTED_VALUE"""),30.48)</f>
        <v>30.48</v>
      </c>
      <c r="E1427" s="2">
        <f>IFERROR(__xludf.DUMMYFUNCTION("""COMPUTED_VALUE"""),30.65)</f>
        <v>30.65</v>
      </c>
      <c r="F1427" s="2">
        <f>IFERROR(__xludf.DUMMYFUNCTION("""COMPUTED_VALUE"""),709000.0)</f>
        <v>709000</v>
      </c>
    </row>
    <row r="1428">
      <c r="A1428" s="3">
        <f>IFERROR(__xludf.DUMMYFUNCTION("""COMPUTED_VALUE"""),31281.666666666668)</f>
        <v>31281.66667</v>
      </c>
      <c r="B1428" s="2">
        <f>IFERROR(__xludf.DUMMYFUNCTION("""COMPUTED_VALUE"""),30.24)</f>
        <v>30.24</v>
      </c>
      <c r="C1428" s="2">
        <f>IFERROR(__xludf.DUMMYFUNCTION("""COMPUTED_VALUE"""),30.65)</f>
        <v>30.65</v>
      </c>
      <c r="D1428" s="2">
        <f>IFERROR(__xludf.DUMMYFUNCTION("""COMPUTED_VALUE"""),30.18)</f>
        <v>30.18</v>
      </c>
      <c r="E1428" s="2">
        <f>IFERROR(__xludf.DUMMYFUNCTION("""COMPUTED_VALUE"""),30.24)</f>
        <v>30.24</v>
      </c>
      <c r="F1428" s="2">
        <f>IFERROR(__xludf.DUMMYFUNCTION("""COMPUTED_VALUE"""),789900.0)</f>
        <v>789900</v>
      </c>
    </row>
    <row r="1429">
      <c r="A1429" s="3">
        <f>IFERROR(__xludf.DUMMYFUNCTION("""COMPUTED_VALUE"""),31282.666666666668)</f>
        <v>31282.66667</v>
      </c>
      <c r="B1429" s="2">
        <f>IFERROR(__xludf.DUMMYFUNCTION("""COMPUTED_VALUE"""),30.3)</f>
        <v>30.3</v>
      </c>
      <c r="C1429" s="2">
        <f>IFERROR(__xludf.DUMMYFUNCTION("""COMPUTED_VALUE"""),30.36)</f>
        <v>30.36</v>
      </c>
      <c r="D1429" s="2">
        <f>IFERROR(__xludf.DUMMYFUNCTION("""COMPUTED_VALUE"""),30.18)</f>
        <v>30.18</v>
      </c>
      <c r="E1429" s="2">
        <f>IFERROR(__xludf.DUMMYFUNCTION("""COMPUTED_VALUE"""),30.3)</f>
        <v>30.3</v>
      </c>
      <c r="F1429" s="2">
        <f>IFERROR(__xludf.DUMMYFUNCTION("""COMPUTED_VALUE"""),638500.0)</f>
        <v>638500</v>
      </c>
    </row>
    <row r="1430">
      <c r="A1430" s="3">
        <f>IFERROR(__xludf.DUMMYFUNCTION("""COMPUTED_VALUE"""),31285.666666666668)</f>
        <v>31285.66667</v>
      </c>
      <c r="B1430" s="2">
        <f>IFERROR(__xludf.DUMMYFUNCTION("""COMPUTED_VALUE"""),30.62)</f>
        <v>30.62</v>
      </c>
      <c r="C1430" s="2">
        <f>IFERROR(__xludf.DUMMYFUNCTION("""COMPUTED_VALUE"""),30.62)</f>
        <v>30.62</v>
      </c>
      <c r="D1430" s="2">
        <f>IFERROR(__xludf.DUMMYFUNCTION("""COMPUTED_VALUE"""),30.18)</f>
        <v>30.18</v>
      </c>
      <c r="E1430" s="2">
        <f>IFERROR(__xludf.DUMMYFUNCTION("""COMPUTED_VALUE"""),30.62)</f>
        <v>30.62</v>
      </c>
      <c r="F1430" s="2">
        <f>IFERROR(__xludf.DUMMYFUNCTION("""COMPUTED_VALUE"""),611900.0)</f>
        <v>611900</v>
      </c>
    </row>
    <row r="1431">
      <c r="A1431" s="3">
        <f>IFERROR(__xludf.DUMMYFUNCTION("""COMPUTED_VALUE"""),31286.666666666668)</f>
        <v>31286.66667</v>
      </c>
      <c r="B1431" s="2">
        <f>IFERROR(__xludf.DUMMYFUNCTION("""COMPUTED_VALUE"""),30.62)</f>
        <v>30.62</v>
      </c>
      <c r="C1431" s="2">
        <f>IFERROR(__xludf.DUMMYFUNCTION("""COMPUTED_VALUE"""),30.77)</f>
        <v>30.77</v>
      </c>
      <c r="D1431" s="2">
        <f>IFERROR(__xludf.DUMMYFUNCTION("""COMPUTED_VALUE"""),30.51)</f>
        <v>30.51</v>
      </c>
      <c r="E1431" s="2">
        <f>IFERROR(__xludf.DUMMYFUNCTION("""COMPUTED_VALUE"""),30.62)</f>
        <v>30.62</v>
      </c>
      <c r="F1431" s="2">
        <f>IFERROR(__xludf.DUMMYFUNCTION("""COMPUTED_VALUE"""),786800.0)</f>
        <v>786800</v>
      </c>
    </row>
    <row r="1432">
      <c r="A1432" s="3">
        <f>IFERROR(__xludf.DUMMYFUNCTION("""COMPUTED_VALUE"""),31287.666666666668)</f>
        <v>31287.66667</v>
      </c>
      <c r="B1432" s="2">
        <f>IFERROR(__xludf.DUMMYFUNCTION("""COMPUTED_VALUE"""),30.57)</f>
        <v>30.57</v>
      </c>
      <c r="C1432" s="2">
        <f>IFERROR(__xludf.DUMMYFUNCTION("""COMPUTED_VALUE"""),30.71)</f>
        <v>30.71</v>
      </c>
      <c r="D1432" s="2">
        <f>IFERROR(__xludf.DUMMYFUNCTION("""COMPUTED_VALUE"""),30.45)</f>
        <v>30.45</v>
      </c>
      <c r="E1432" s="2">
        <f>IFERROR(__xludf.DUMMYFUNCTION("""COMPUTED_VALUE"""),30.57)</f>
        <v>30.57</v>
      </c>
      <c r="F1432" s="2">
        <f>IFERROR(__xludf.DUMMYFUNCTION("""COMPUTED_VALUE"""),596000.0)</f>
        <v>596000</v>
      </c>
    </row>
    <row r="1433">
      <c r="A1433" s="3">
        <f>IFERROR(__xludf.DUMMYFUNCTION("""COMPUTED_VALUE"""),31288.666666666668)</f>
        <v>31288.66667</v>
      </c>
      <c r="B1433" s="2">
        <f>IFERROR(__xludf.DUMMYFUNCTION("""COMPUTED_VALUE"""),30.45)</f>
        <v>30.45</v>
      </c>
      <c r="C1433" s="2">
        <f>IFERROR(__xludf.DUMMYFUNCTION("""COMPUTED_VALUE"""),30.57)</f>
        <v>30.57</v>
      </c>
      <c r="D1433" s="2">
        <f>IFERROR(__xludf.DUMMYFUNCTION("""COMPUTED_VALUE"""),30.39)</f>
        <v>30.39</v>
      </c>
      <c r="E1433" s="2">
        <f>IFERROR(__xludf.DUMMYFUNCTION("""COMPUTED_VALUE"""),30.45)</f>
        <v>30.45</v>
      </c>
      <c r="F1433" s="2">
        <f>IFERROR(__xludf.DUMMYFUNCTION("""COMPUTED_VALUE"""),505100.0)</f>
        <v>505100</v>
      </c>
    </row>
    <row r="1434">
      <c r="A1434" s="3">
        <f>IFERROR(__xludf.DUMMYFUNCTION("""COMPUTED_VALUE"""),31289.666666666668)</f>
        <v>31289.66667</v>
      </c>
      <c r="B1434" s="2">
        <f>IFERROR(__xludf.DUMMYFUNCTION("""COMPUTED_VALUE"""),30.24)</f>
        <v>30.24</v>
      </c>
      <c r="C1434" s="2">
        <f>IFERROR(__xludf.DUMMYFUNCTION("""COMPUTED_VALUE"""),30.48)</f>
        <v>30.48</v>
      </c>
      <c r="D1434" s="2">
        <f>IFERROR(__xludf.DUMMYFUNCTION("""COMPUTED_VALUE"""),30.21)</f>
        <v>30.21</v>
      </c>
      <c r="E1434" s="2">
        <f>IFERROR(__xludf.DUMMYFUNCTION("""COMPUTED_VALUE"""),30.24)</f>
        <v>30.24</v>
      </c>
      <c r="F1434" s="2">
        <f>IFERROR(__xludf.DUMMYFUNCTION("""COMPUTED_VALUE"""),625100.0)</f>
        <v>625100</v>
      </c>
    </row>
    <row r="1435">
      <c r="A1435" s="3">
        <f>IFERROR(__xludf.DUMMYFUNCTION("""COMPUTED_VALUE"""),31293.666666666668)</f>
        <v>31293.66667</v>
      </c>
      <c r="B1435" s="2">
        <f>IFERROR(__xludf.DUMMYFUNCTION("""COMPUTED_VALUE"""),30.36)</f>
        <v>30.36</v>
      </c>
      <c r="C1435" s="2">
        <f>IFERROR(__xludf.DUMMYFUNCTION("""COMPUTED_VALUE"""),30.45)</f>
        <v>30.45</v>
      </c>
      <c r="D1435" s="2">
        <f>IFERROR(__xludf.DUMMYFUNCTION("""COMPUTED_VALUE"""),30.21)</f>
        <v>30.21</v>
      </c>
      <c r="E1435" s="2">
        <f>IFERROR(__xludf.DUMMYFUNCTION("""COMPUTED_VALUE"""),30.36)</f>
        <v>30.36</v>
      </c>
      <c r="F1435" s="2">
        <f>IFERROR(__xludf.DUMMYFUNCTION("""COMPUTED_VALUE"""),1019800.0)</f>
        <v>1019800</v>
      </c>
    </row>
    <row r="1436">
      <c r="A1436" s="3">
        <f>IFERROR(__xludf.DUMMYFUNCTION("""COMPUTED_VALUE"""),31294.666666666668)</f>
        <v>31294.66667</v>
      </c>
      <c r="B1436" s="2">
        <f>IFERROR(__xludf.DUMMYFUNCTION("""COMPUTED_VALUE"""),30.39)</f>
        <v>30.39</v>
      </c>
      <c r="C1436" s="2">
        <f>IFERROR(__xludf.DUMMYFUNCTION("""COMPUTED_VALUE"""),30.39)</f>
        <v>30.39</v>
      </c>
      <c r="D1436" s="2">
        <f>IFERROR(__xludf.DUMMYFUNCTION("""COMPUTED_VALUE"""),30.21)</f>
        <v>30.21</v>
      </c>
      <c r="E1436" s="2">
        <f>IFERROR(__xludf.DUMMYFUNCTION("""COMPUTED_VALUE"""),30.39)</f>
        <v>30.39</v>
      </c>
      <c r="F1436" s="2">
        <f>IFERROR(__xludf.DUMMYFUNCTION("""COMPUTED_VALUE"""),737300.0)</f>
        <v>737300</v>
      </c>
    </row>
    <row r="1437">
      <c r="A1437" s="3">
        <f>IFERROR(__xludf.DUMMYFUNCTION("""COMPUTED_VALUE"""),31295.666666666668)</f>
        <v>31295.66667</v>
      </c>
      <c r="B1437" s="2">
        <f>IFERROR(__xludf.DUMMYFUNCTION("""COMPUTED_VALUE"""),30.65)</f>
        <v>30.65</v>
      </c>
      <c r="C1437" s="2">
        <f>IFERROR(__xludf.DUMMYFUNCTION("""COMPUTED_VALUE"""),30.71)</f>
        <v>30.71</v>
      </c>
      <c r="D1437" s="2">
        <f>IFERROR(__xludf.DUMMYFUNCTION("""COMPUTED_VALUE"""),30.33)</f>
        <v>30.33</v>
      </c>
      <c r="E1437" s="2">
        <f>IFERROR(__xludf.DUMMYFUNCTION("""COMPUTED_VALUE"""),30.65)</f>
        <v>30.65</v>
      </c>
      <c r="F1437" s="2">
        <f>IFERROR(__xludf.DUMMYFUNCTION("""COMPUTED_VALUE"""),989200.0)</f>
        <v>989200</v>
      </c>
    </row>
    <row r="1438">
      <c r="A1438" s="3">
        <f>IFERROR(__xludf.DUMMYFUNCTION("""COMPUTED_VALUE"""),31296.666666666668)</f>
        <v>31296.66667</v>
      </c>
      <c r="B1438" s="2">
        <f>IFERROR(__xludf.DUMMYFUNCTION("""COMPUTED_VALUE"""),30.83)</f>
        <v>30.83</v>
      </c>
      <c r="C1438" s="2">
        <f>IFERROR(__xludf.DUMMYFUNCTION("""COMPUTED_VALUE"""),30.98)</f>
        <v>30.98</v>
      </c>
      <c r="D1438" s="2">
        <f>IFERROR(__xludf.DUMMYFUNCTION("""COMPUTED_VALUE"""),30.71)</f>
        <v>30.71</v>
      </c>
      <c r="E1438" s="2">
        <f>IFERROR(__xludf.DUMMYFUNCTION("""COMPUTED_VALUE"""),30.83)</f>
        <v>30.83</v>
      </c>
      <c r="F1438" s="2">
        <f>IFERROR(__xludf.DUMMYFUNCTION("""COMPUTED_VALUE"""),1061900.0)</f>
        <v>1061900</v>
      </c>
    </row>
    <row r="1439">
      <c r="A1439" s="3">
        <f>IFERROR(__xludf.DUMMYFUNCTION("""COMPUTED_VALUE"""),31299.666666666668)</f>
        <v>31299.66667</v>
      </c>
      <c r="B1439" s="2">
        <f>IFERROR(__xludf.DUMMYFUNCTION("""COMPUTED_VALUE"""),30.89)</f>
        <v>30.89</v>
      </c>
      <c r="C1439" s="2">
        <f>IFERROR(__xludf.DUMMYFUNCTION("""COMPUTED_VALUE"""),31.16)</f>
        <v>31.16</v>
      </c>
      <c r="D1439" s="2">
        <f>IFERROR(__xludf.DUMMYFUNCTION("""COMPUTED_VALUE"""),30.86)</f>
        <v>30.86</v>
      </c>
      <c r="E1439" s="2">
        <f>IFERROR(__xludf.DUMMYFUNCTION("""COMPUTED_VALUE"""),30.89)</f>
        <v>30.89</v>
      </c>
      <c r="F1439" s="2">
        <f>IFERROR(__xludf.DUMMYFUNCTION("""COMPUTED_VALUE"""),1108800.0)</f>
        <v>1108800</v>
      </c>
    </row>
    <row r="1440">
      <c r="A1440" s="3">
        <f>IFERROR(__xludf.DUMMYFUNCTION("""COMPUTED_VALUE"""),31300.666666666668)</f>
        <v>31300.66667</v>
      </c>
      <c r="B1440" s="2">
        <f>IFERROR(__xludf.DUMMYFUNCTION("""COMPUTED_VALUE"""),30.54)</f>
        <v>30.54</v>
      </c>
      <c r="C1440" s="2">
        <f>IFERROR(__xludf.DUMMYFUNCTION("""COMPUTED_VALUE"""),30.92)</f>
        <v>30.92</v>
      </c>
      <c r="D1440" s="2">
        <f>IFERROR(__xludf.DUMMYFUNCTION("""COMPUTED_VALUE"""),30.48)</f>
        <v>30.48</v>
      </c>
      <c r="E1440" s="2">
        <f>IFERROR(__xludf.DUMMYFUNCTION("""COMPUTED_VALUE"""),30.54)</f>
        <v>30.54</v>
      </c>
      <c r="F1440" s="2">
        <f>IFERROR(__xludf.DUMMYFUNCTION("""COMPUTED_VALUE"""),944800.0)</f>
        <v>944800</v>
      </c>
    </row>
    <row r="1441">
      <c r="A1441" s="3">
        <f>IFERROR(__xludf.DUMMYFUNCTION("""COMPUTED_VALUE"""),31301.666666666668)</f>
        <v>31301.66667</v>
      </c>
      <c r="B1441" s="2">
        <f>IFERROR(__xludf.DUMMYFUNCTION("""COMPUTED_VALUE"""),30.39)</f>
        <v>30.39</v>
      </c>
      <c r="C1441" s="2">
        <f>IFERROR(__xludf.DUMMYFUNCTION("""COMPUTED_VALUE"""),30.68)</f>
        <v>30.68</v>
      </c>
      <c r="D1441" s="2">
        <f>IFERROR(__xludf.DUMMYFUNCTION("""COMPUTED_VALUE"""),30.33)</f>
        <v>30.33</v>
      </c>
      <c r="E1441" s="2">
        <f>IFERROR(__xludf.DUMMYFUNCTION("""COMPUTED_VALUE"""),30.39)</f>
        <v>30.39</v>
      </c>
      <c r="F1441" s="2">
        <f>IFERROR(__xludf.DUMMYFUNCTION("""COMPUTED_VALUE"""),836000.0)</f>
        <v>836000</v>
      </c>
    </row>
    <row r="1442">
      <c r="A1442" s="3">
        <f>IFERROR(__xludf.DUMMYFUNCTION("""COMPUTED_VALUE"""),31302.666666666668)</f>
        <v>31302.66667</v>
      </c>
      <c r="B1442" s="2">
        <f>IFERROR(__xludf.DUMMYFUNCTION("""COMPUTED_VALUE"""),30.36)</f>
        <v>30.36</v>
      </c>
      <c r="C1442" s="2">
        <f>IFERROR(__xludf.DUMMYFUNCTION("""COMPUTED_VALUE"""),30.68)</f>
        <v>30.68</v>
      </c>
      <c r="D1442" s="2">
        <f>IFERROR(__xludf.DUMMYFUNCTION("""COMPUTED_VALUE"""),30.27)</f>
        <v>30.27</v>
      </c>
      <c r="E1442" s="2">
        <f>IFERROR(__xludf.DUMMYFUNCTION("""COMPUTED_VALUE"""),30.36)</f>
        <v>30.36</v>
      </c>
      <c r="F1442" s="2">
        <f>IFERROR(__xludf.DUMMYFUNCTION("""COMPUTED_VALUE"""),1388500.0)</f>
        <v>1388500</v>
      </c>
    </row>
    <row r="1443">
      <c r="A1443" s="3">
        <f>IFERROR(__xludf.DUMMYFUNCTION("""COMPUTED_VALUE"""),31303.666666666668)</f>
        <v>31303.66667</v>
      </c>
      <c r="B1443" s="2">
        <f>IFERROR(__xludf.DUMMYFUNCTION("""COMPUTED_VALUE"""),30.45)</f>
        <v>30.45</v>
      </c>
      <c r="C1443" s="2">
        <f>IFERROR(__xludf.DUMMYFUNCTION("""COMPUTED_VALUE"""),30.57)</f>
        <v>30.57</v>
      </c>
      <c r="D1443" s="2">
        <f>IFERROR(__xludf.DUMMYFUNCTION("""COMPUTED_VALUE"""),30.12)</f>
        <v>30.12</v>
      </c>
      <c r="E1443" s="2">
        <f>IFERROR(__xludf.DUMMYFUNCTION("""COMPUTED_VALUE"""),30.45)</f>
        <v>30.45</v>
      </c>
      <c r="F1443" s="2">
        <f>IFERROR(__xludf.DUMMYFUNCTION("""COMPUTED_VALUE"""),1223000.0)</f>
        <v>1223000</v>
      </c>
    </row>
    <row r="1444">
      <c r="A1444" s="3">
        <f>IFERROR(__xludf.DUMMYFUNCTION("""COMPUTED_VALUE"""),31306.666666666668)</f>
        <v>31306.66667</v>
      </c>
      <c r="B1444" s="2">
        <f>IFERROR(__xludf.DUMMYFUNCTION("""COMPUTED_VALUE"""),30.65)</f>
        <v>30.65</v>
      </c>
      <c r="C1444" s="2">
        <f>IFERROR(__xludf.DUMMYFUNCTION("""COMPUTED_VALUE"""),30.68)</f>
        <v>30.68</v>
      </c>
      <c r="D1444" s="2">
        <f>IFERROR(__xludf.DUMMYFUNCTION("""COMPUTED_VALUE"""),30.45)</f>
        <v>30.45</v>
      </c>
      <c r="E1444" s="2">
        <f>IFERROR(__xludf.DUMMYFUNCTION("""COMPUTED_VALUE"""),30.65)</f>
        <v>30.65</v>
      </c>
      <c r="F1444" s="2">
        <f>IFERROR(__xludf.DUMMYFUNCTION("""COMPUTED_VALUE"""),687300.0)</f>
        <v>687300</v>
      </c>
    </row>
    <row r="1445">
      <c r="A1445" s="3">
        <f>IFERROR(__xludf.DUMMYFUNCTION("""COMPUTED_VALUE"""),31307.666666666668)</f>
        <v>31307.66667</v>
      </c>
      <c r="B1445" s="2">
        <f>IFERROR(__xludf.DUMMYFUNCTION("""COMPUTED_VALUE"""),30.27)</f>
        <v>30.27</v>
      </c>
      <c r="C1445" s="2">
        <f>IFERROR(__xludf.DUMMYFUNCTION("""COMPUTED_VALUE"""),30.68)</f>
        <v>30.68</v>
      </c>
      <c r="D1445" s="2">
        <f>IFERROR(__xludf.DUMMYFUNCTION("""COMPUTED_VALUE"""),30.21)</f>
        <v>30.21</v>
      </c>
      <c r="E1445" s="2">
        <f>IFERROR(__xludf.DUMMYFUNCTION("""COMPUTED_VALUE"""),30.27)</f>
        <v>30.27</v>
      </c>
      <c r="F1445" s="2">
        <f>IFERROR(__xludf.DUMMYFUNCTION("""COMPUTED_VALUE"""),981900.0)</f>
        <v>981900</v>
      </c>
    </row>
    <row r="1446">
      <c r="A1446" s="3">
        <f>IFERROR(__xludf.DUMMYFUNCTION("""COMPUTED_VALUE"""),31308.666666666668)</f>
        <v>31308.66667</v>
      </c>
      <c r="B1446" s="2">
        <f>IFERROR(__xludf.DUMMYFUNCTION("""COMPUTED_VALUE"""),30.45)</f>
        <v>30.45</v>
      </c>
      <c r="C1446" s="2">
        <f>IFERROR(__xludf.DUMMYFUNCTION("""COMPUTED_VALUE"""),30.57)</f>
        <v>30.57</v>
      </c>
      <c r="D1446" s="2">
        <f>IFERROR(__xludf.DUMMYFUNCTION("""COMPUTED_VALUE"""),30.21)</f>
        <v>30.21</v>
      </c>
      <c r="E1446" s="2">
        <f>IFERROR(__xludf.DUMMYFUNCTION("""COMPUTED_VALUE"""),30.45)</f>
        <v>30.45</v>
      </c>
      <c r="F1446" s="2">
        <f>IFERROR(__xludf.DUMMYFUNCTION("""COMPUTED_VALUE"""),1637700.0)</f>
        <v>1637700</v>
      </c>
    </row>
    <row r="1447">
      <c r="A1447" s="3">
        <f>IFERROR(__xludf.DUMMYFUNCTION("""COMPUTED_VALUE"""),31309.666666666668)</f>
        <v>31309.66667</v>
      </c>
      <c r="B1447" s="2">
        <f>IFERROR(__xludf.DUMMYFUNCTION("""COMPUTED_VALUE"""),30.57)</f>
        <v>30.57</v>
      </c>
      <c r="C1447" s="2">
        <f>IFERROR(__xludf.DUMMYFUNCTION("""COMPUTED_VALUE"""),30.57)</f>
        <v>30.57</v>
      </c>
      <c r="D1447" s="2">
        <f>IFERROR(__xludf.DUMMYFUNCTION("""COMPUTED_VALUE"""),30.21)</f>
        <v>30.21</v>
      </c>
      <c r="E1447" s="2">
        <f>IFERROR(__xludf.DUMMYFUNCTION("""COMPUTED_VALUE"""),30.57)</f>
        <v>30.57</v>
      </c>
      <c r="F1447" s="2">
        <f>IFERROR(__xludf.DUMMYFUNCTION("""COMPUTED_VALUE"""),1494200.0)</f>
        <v>1494200</v>
      </c>
    </row>
    <row r="1448">
      <c r="A1448" s="3">
        <f>IFERROR(__xludf.DUMMYFUNCTION("""COMPUTED_VALUE"""),31310.666666666668)</f>
        <v>31310.66667</v>
      </c>
      <c r="B1448" s="2">
        <f>IFERROR(__xludf.DUMMYFUNCTION("""COMPUTED_VALUE"""),30.27)</f>
        <v>30.27</v>
      </c>
      <c r="C1448" s="2">
        <f>IFERROR(__xludf.DUMMYFUNCTION("""COMPUTED_VALUE"""),30.57)</f>
        <v>30.57</v>
      </c>
      <c r="D1448" s="2">
        <f>IFERROR(__xludf.DUMMYFUNCTION("""COMPUTED_VALUE"""),30.18)</f>
        <v>30.18</v>
      </c>
      <c r="E1448" s="2">
        <f>IFERROR(__xludf.DUMMYFUNCTION("""COMPUTED_VALUE"""),30.27)</f>
        <v>30.27</v>
      </c>
      <c r="F1448" s="2">
        <f>IFERROR(__xludf.DUMMYFUNCTION("""COMPUTED_VALUE"""),1090500.0)</f>
        <v>1090500</v>
      </c>
    </row>
    <row r="1449">
      <c r="A1449" s="3">
        <f>IFERROR(__xludf.DUMMYFUNCTION("""COMPUTED_VALUE"""),31313.666666666668)</f>
        <v>31313.66667</v>
      </c>
      <c r="B1449" s="2">
        <f>IFERROR(__xludf.DUMMYFUNCTION("""COMPUTED_VALUE"""),30.6)</f>
        <v>30.6</v>
      </c>
      <c r="C1449" s="2">
        <f>IFERROR(__xludf.DUMMYFUNCTION("""COMPUTED_VALUE"""),30.65)</f>
        <v>30.65</v>
      </c>
      <c r="D1449" s="2">
        <f>IFERROR(__xludf.DUMMYFUNCTION("""COMPUTED_VALUE"""),30.48)</f>
        <v>30.48</v>
      </c>
      <c r="E1449" s="2">
        <f>IFERROR(__xludf.DUMMYFUNCTION("""COMPUTED_VALUE"""),30.6)</f>
        <v>30.6</v>
      </c>
      <c r="F1449" s="2">
        <f>IFERROR(__xludf.DUMMYFUNCTION("""COMPUTED_VALUE"""),1654800.0)</f>
        <v>1654800</v>
      </c>
    </row>
    <row r="1450">
      <c r="A1450" s="3">
        <f>IFERROR(__xludf.DUMMYFUNCTION("""COMPUTED_VALUE"""),31314.666666666668)</f>
        <v>31314.66667</v>
      </c>
      <c r="B1450" s="2">
        <f>IFERROR(__xludf.DUMMYFUNCTION("""COMPUTED_VALUE"""),30.27)</f>
        <v>30.27</v>
      </c>
      <c r="C1450" s="2">
        <f>IFERROR(__xludf.DUMMYFUNCTION("""COMPUTED_VALUE"""),30.57)</f>
        <v>30.57</v>
      </c>
      <c r="D1450" s="2">
        <f>IFERROR(__xludf.DUMMYFUNCTION("""COMPUTED_VALUE"""),30.15)</f>
        <v>30.15</v>
      </c>
      <c r="E1450" s="2">
        <f>IFERROR(__xludf.DUMMYFUNCTION("""COMPUTED_VALUE"""),30.27)</f>
        <v>30.27</v>
      </c>
      <c r="F1450" s="2">
        <f>IFERROR(__xludf.DUMMYFUNCTION("""COMPUTED_VALUE"""),939000.0)</f>
        <v>939000</v>
      </c>
    </row>
    <row r="1451">
      <c r="A1451" s="3">
        <f>IFERROR(__xludf.DUMMYFUNCTION("""COMPUTED_VALUE"""),31315.666666666668)</f>
        <v>31315.66667</v>
      </c>
      <c r="B1451" s="2">
        <f>IFERROR(__xludf.DUMMYFUNCTION("""COMPUTED_VALUE"""),29.61)</f>
        <v>29.61</v>
      </c>
      <c r="C1451" s="2">
        <f>IFERROR(__xludf.DUMMYFUNCTION("""COMPUTED_VALUE"""),30.33)</f>
        <v>30.33</v>
      </c>
      <c r="D1451" s="2">
        <f>IFERROR(__xludf.DUMMYFUNCTION("""COMPUTED_VALUE"""),29.55)</f>
        <v>29.55</v>
      </c>
      <c r="E1451" s="2">
        <f>IFERROR(__xludf.DUMMYFUNCTION("""COMPUTED_VALUE"""),29.61)</f>
        <v>29.61</v>
      </c>
      <c r="F1451" s="2">
        <f>IFERROR(__xludf.DUMMYFUNCTION("""COMPUTED_VALUE"""),2137500.0)</f>
        <v>2137500</v>
      </c>
    </row>
    <row r="1452">
      <c r="A1452" s="3">
        <f>IFERROR(__xludf.DUMMYFUNCTION("""COMPUTED_VALUE"""),31316.666666666668)</f>
        <v>31316.66667</v>
      </c>
      <c r="B1452" s="2">
        <f>IFERROR(__xludf.DUMMYFUNCTION("""COMPUTED_VALUE"""),29.55)</f>
        <v>29.55</v>
      </c>
      <c r="C1452" s="2">
        <f>IFERROR(__xludf.DUMMYFUNCTION("""COMPUTED_VALUE"""),29.58)</f>
        <v>29.58</v>
      </c>
      <c r="D1452" s="2">
        <f>IFERROR(__xludf.DUMMYFUNCTION("""COMPUTED_VALUE"""),29.19)</f>
        <v>29.19</v>
      </c>
      <c r="E1452" s="2">
        <f>IFERROR(__xludf.DUMMYFUNCTION("""COMPUTED_VALUE"""),29.55)</f>
        <v>29.55</v>
      </c>
      <c r="F1452" s="2">
        <f>IFERROR(__xludf.DUMMYFUNCTION("""COMPUTED_VALUE"""),2125700.0)</f>
        <v>2125700</v>
      </c>
    </row>
    <row r="1453">
      <c r="A1453" s="3">
        <f>IFERROR(__xludf.DUMMYFUNCTION("""COMPUTED_VALUE"""),31317.666666666668)</f>
        <v>31317.66667</v>
      </c>
      <c r="B1453" s="2">
        <f>IFERROR(__xludf.DUMMYFUNCTION("""COMPUTED_VALUE"""),29.49)</f>
        <v>29.49</v>
      </c>
      <c r="C1453" s="2">
        <f>IFERROR(__xludf.DUMMYFUNCTION("""COMPUTED_VALUE"""),29.49)</f>
        <v>29.49</v>
      </c>
      <c r="D1453" s="2">
        <f>IFERROR(__xludf.DUMMYFUNCTION("""COMPUTED_VALUE"""),29.49)</f>
        <v>29.49</v>
      </c>
      <c r="E1453" s="2">
        <f>IFERROR(__xludf.DUMMYFUNCTION("""COMPUTED_VALUE"""),29.49)</f>
        <v>29.49</v>
      </c>
      <c r="F1453" s="2">
        <f>IFERROR(__xludf.DUMMYFUNCTION("""COMPUTED_VALUE"""),1100.0)</f>
        <v>1100</v>
      </c>
    </row>
    <row r="1454">
      <c r="A1454" s="3">
        <f>IFERROR(__xludf.DUMMYFUNCTION("""COMPUTED_VALUE"""),31320.666666666668)</f>
        <v>31320.66667</v>
      </c>
      <c r="B1454" s="2">
        <f>IFERROR(__xludf.DUMMYFUNCTION("""COMPUTED_VALUE"""),29.58)</f>
        <v>29.58</v>
      </c>
      <c r="C1454" s="2">
        <f>IFERROR(__xludf.DUMMYFUNCTION("""COMPUTED_VALUE"""),29.67)</f>
        <v>29.67</v>
      </c>
      <c r="D1454" s="2">
        <f>IFERROR(__xludf.DUMMYFUNCTION("""COMPUTED_VALUE"""),29.37)</f>
        <v>29.37</v>
      </c>
      <c r="E1454" s="2">
        <f>IFERROR(__xludf.DUMMYFUNCTION("""COMPUTED_VALUE"""),29.58)</f>
        <v>29.58</v>
      </c>
      <c r="F1454" s="2">
        <f>IFERROR(__xludf.DUMMYFUNCTION("""COMPUTED_VALUE"""),1055500.0)</f>
        <v>1055500</v>
      </c>
    </row>
    <row r="1455">
      <c r="A1455" s="3">
        <f>IFERROR(__xludf.DUMMYFUNCTION("""COMPUTED_VALUE"""),31321.666666666668)</f>
        <v>31321.66667</v>
      </c>
      <c r="B1455" s="2">
        <f>IFERROR(__xludf.DUMMYFUNCTION("""COMPUTED_VALUE"""),30.24)</f>
        <v>30.24</v>
      </c>
      <c r="C1455" s="2">
        <f>IFERROR(__xludf.DUMMYFUNCTION("""COMPUTED_VALUE"""),30.24)</f>
        <v>30.24</v>
      </c>
      <c r="D1455" s="2">
        <f>IFERROR(__xludf.DUMMYFUNCTION("""COMPUTED_VALUE"""),29.58)</f>
        <v>29.58</v>
      </c>
      <c r="E1455" s="2">
        <f>IFERROR(__xludf.DUMMYFUNCTION("""COMPUTED_VALUE"""),30.24)</f>
        <v>30.24</v>
      </c>
      <c r="F1455" s="2">
        <f>IFERROR(__xludf.DUMMYFUNCTION("""COMPUTED_VALUE"""),1415400.0)</f>
        <v>1415400</v>
      </c>
    </row>
    <row r="1456">
      <c r="A1456" s="3">
        <f>IFERROR(__xludf.DUMMYFUNCTION("""COMPUTED_VALUE"""),31322.666666666668)</f>
        <v>31322.66667</v>
      </c>
      <c r="B1456" s="2">
        <f>IFERROR(__xludf.DUMMYFUNCTION("""COMPUTED_VALUE"""),29.7)</f>
        <v>29.7</v>
      </c>
      <c r="C1456" s="2">
        <f>IFERROR(__xludf.DUMMYFUNCTION("""COMPUTED_VALUE"""),30.33)</f>
        <v>30.33</v>
      </c>
      <c r="D1456" s="2">
        <f>IFERROR(__xludf.DUMMYFUNCTION("""COMPUTED_VALUE"""),29.7)</f>
        <v>29.7</v>
      </c>
      <c r="E1456" s="2">
        <f>IFERROR(__xludf.DUMMYFUNCTION("""COMPUTED_VALUE"""),29.7)</f>
        <v>29.7</v>
      </c>
      <c r="F1456" s="2">
        <f>IFERROR(__xludf.DUMMYFUNCTION("""COMPUTED_VALUE"""),1482900.0)</f>
        <v>1482900</v>
      </c>
    </row>
    <row r="1457">
      <c r="A1457" s="3">
        <f>IFERROR(__xludf.DUMMYFUNCTION("""COMPUTED_VALUE"""),31323.666666666668)</f>
        <v>31323.66667</v>
      </c>
      <c r="B1457" s="2">
        <f>IFERROR(__xludf.DUMMYFUNCTION("""COMPUTED_VALUE"""),29.7)</f>
        <v>29.7</v>
      </c>
      <c r="C1457" s="2">
        <f>IFERROR(__xludf.DUMMYFUNCTION("""COMPUTED_VALUE"""),29.91)</f>
        <v>29.91</v>
      </c>
      <c r="D1457" s="2">
        <f>IFERROR(__xludf.DUMMYFUNCTION("""COMPUTED_VALUE"""),29.55)</f>
        <v>29.55</v>
      </c>
      <c r="E1457" s="2">
        <f>IFERROR(__xludf.DUMMYFUNCTION("""COMPUTED_VALUE"""),29.7)</f>
        <v>29.7</v>
      </c>
      <c r="F1457" s="2">
        <f>IFERROR(__xludf.DUMMYFUNCTION("""COMPUTED_VALUE"""),1406400.0)</f>
        <v>1406400</v>
      </c>
    </row>
    <row r="1458">
      <c r="A1458" s="3">
        <f>IFERROR(__xludf.DUMMYFUNCTION("""COMPUTED_VALUE"""),31324.666666666668)</f>
        <v>31324.66667</v>
      </c>
      <c r="B1458" s="2">
        <f>IFERROR(__xludf.DUMMYFUNCTION("""COMPUTED_VALUE"""),29.49)</f>
        <v>29.49</v>
      </c>
      <c r="C1458" s="2">
        <f>IFERROR(__xludf.DUMMYFUNCTION("""COMPUTED_VALUE"""),29.7)</f>
        <v>29.7</v>
      </c>
      <c r="D1458" s="2">
        <f>IFERROR(__xludf.DUMMYFUNCTION("""COMPUTED_VALUE"""),29.34)</f>
        <v>29.34</v>
      </c>
      <c r="E1458" s="2">
        <f>IFERROR(__xludf.DUMMYFUNCTION("""COMPUTED_VALUE"""),29.49)</f>
        <v>29.49</v>
      </c>
      <c r="F1458" s="2">
        <f>IFERROR(__xludf.DUMMYFUNCTION("""COMPUTED_VALUE"""),1019400.0)</f>
        <v>1019400</v>
      </c>
    </row>
    <row r="1459">
      <c r="A1459" s="3">
        <f>IFERROR(__xludf.DUMMYFUNCTION("""COMPUTED_VALUE"""),31327.666666666668)</f>
        <v>31327.66667</v>
      </c>
      <c r="B1459" s="2">
        <f>IFERROR(__xludf.DUMMYFUNCTION("""COMPUTED_VALUE"""),29.67)</f>
        <v>29.67</v>
      </c>
      <c r="C1459" s="2">
        <f>IFERROR(__xludf.DUMMYFUNCTION("""COMPUTED_VALUE"""),29.85)</f>
        <v>29.85</v>
      </c>
      <c r="D1459" s="2">
        <f>IFERROR(__xludf.DUMMYFUNCTION("""COMPUTED_VALUE"""),29.4)</f>
        <v>29.4</v>
      </c>
      <c r="E1459" s="2">
        <f>IFERROR(__xludf.DUMMYFUNCTION("""COMPUTED_VALUE"""),29.67)</f>
        <v>29.67</v>
      </c>
      <c r="F1459" s="2">
        <f>IFERROR(__xludf.DUMMYFUNCTION("""COMPUTED_VALUE"""),1101300.0)</f>
        <v>1101300</v>
      </c>
    </row>
    <row r="1460">
      <c r="A1460" s="3">
        <f>IFERROR(__xludf.DUMMYFUNCTION("""COMPUTED_VALUE"""),31328.666666666668)</f>
        <v>31328.66667</v>
      </c>
      <c r="B1460" s="2">
        <f>IFERROR(__xludf.DUMMYFUNCTION("""COMPUTED_VALUE"""),29.7)</f>
        <v>29.7</v>
      </c>
      <c r="C1460" s="2">
        <f>IFERROR(__xludf.DUMMYFUNCTION("""COMPUTED_VALUE"""),29.79)</f>
        <v>29.79</v>
      </c>
      <c r="D1460" s="2">
        <f>IFERROR(__xludf.DUMMYFUNCTION("""COMPUTED_VALUE"""),29.49)</f>
        <v>29.49</v>
      </c>
      <c r="E1460" s="2">
        <f>IFERROR(__xludf.DUMMYFUNCTION("""COMPUTED_VALUE"""),29.7)</f>
        <v>29.7</v>
      </c>
      <c r="F1460" s="2">
        <f>IFERROR(__xludf.DUMMYFUNCTION("""COMPUTED_VALUE"""),835900.0)</f>
        <v>835900</v>
      </c>
    </row>
    <row r="1461">
      <c r="A1461" s="3">
        <f>IFERROR(__xludf.DUMMYFUNCTION("""COMPUTED_VALUE"""),31329.666666666668)</f>
        <v>31329.66667</v>
      </c>
      <c r="B1461" s="2">
        <f>IFERROR(__xludf.DUMMYFUNCTION("""COMPUTED_VALUE"""),29.67)</f>
        <v>29.67</v>
      </c>
      <c r="C1461" s="2">
        <f>IFERROR(__xludf.DUMMYFUNCTION("""COMPUTED_VALUE"""),29.94)</f>
        <v>29.94</v>
      </c>
      <c r="D1461" s="2">
        <f>IFERROR(__xludf.DUMMYFUNCTION("""COMPUTED_VALUE"""),29.67)</f>
        <v>29.67</v>
      </c>
      <c r="E1461" s="2">
        <f>IFERROR(__xludf.DUMMYFUNCTION("""COMPUTED_VALUE"""),29.67)</f>
        <v>29.67</v>
      </c>
      <c r="F1461" s="2">
        <f>IFERROR(__xludf.DUMMYFUNCTION("""COMPUTED_VALUE"""),762500.0)</f>
        <v>762500</v>
      </c>
    </row>
    <row r="1462">
      <c r="A1462" s="3">
        <f>IFERROR(__xludf.DUMMYFUNCTION("""COMPUTED_VALUE"""),31330.666666666668)</f>
        <v>31330.66667</v>
      </c>
      <c r="B1462" s="2">
        <f>IFERROR(__xludf.DUMMYFUNCTION("""COMPUTED_VALUE"""),29.7)</f>
        <v>29.7</v>
      </c>
      <c r="C1462" s="2">
        <f>IFERROR(__xludf.DUMMYFUNCTION("""COMPUTED_VALUE"""),29.79)</f>
        <v>29.79</v>
      </c>
      <c r="D1462" s="2">
        <f>IFERROR(__xludf.DUMMYFUNCTION("""COMPUTED_VALUE"""),29.55)</f>
        <v>29.55</v>
      </c>
      <c r="E1462" s="2">
        <f>IFERROR(__xludf.DUMMYFUNCTION("""COMPUTED_VALUE"""),29.7)</f>
        <v>29.7</v>
      </c>
      <c r="F1462" s="2">
        <f>IFERROR(__xludf.DUMMYFUNCTION("""COMPUTED_VALUE"""),886100.0)</f>
        <v>886100</v>
      </c>
    </row>
    <row r="1463">
      <c r="A1463" s="3">
        <f>IFERROR(__xludf.DUMMYFUNCTION("""COMPUTED_VALUE"""),31331.666666666668)</f>
        <v>31331.66667</v>
      </c>
      <c r="B1463" s="2">
        <f>IFERROR(__xludf.DUMMYFUNCTION("""COMPUTED_VALUE"""),30.0)</f>
        <v>30</v>
      </c>
      <c r="C1463" s="2">
        <f>IFERROR(__xludf.DUMMYFUNCTION("""COMPUTED_VALUE"""),30.15)</f>
        <v>30.15</v>
      </c>
      <c r="D1463" s="2">
        <f>IFERROR(__xludf.DUMMYFUNCTION("""COMPUTED_VALUE"""),29.52)</f>
        <v>29.52</v>
      </c>
      <c r="E1463" s="2">
        <f>IFERROR(__xludf.DUMMYFUNCTION("""COMPUTED_VALUE"""),30.0)</f>
        <v>30</v>
      </c>
      <c r="F1463" s="2">
        <f>IFERROR(__xludf.DUMMYFUNCTION("""COMPUTED_VALUE"""),1380100.0)</f>
        <v>1380100</v>
      </c>
    </row>
    <row r="1464">
      <c r="A1464" s="3">
        <f>IFERROR(__xludf.DUMMYFUNCTION("""COMPUTED_VALUE"""),31334.666666666668)</f>
        <v>31334.66667</v>
      </c>
      <c r="B1464" s="2">
        <f>IFERROR(__xludf.DUMMYFUNCTION("""COMPUTED_VALUE"""),30.57)</f>
        <v>30.57</v>
      </c>
      <c r="C1464" s="2">
        <f>IFERROR(__xludf.DUMMYFUNCTION("""COMPUTED_VALUE"""),30.6)</f>
        <v>30.6</v>
      </c>
      <c r="D1464" s="2">
        <f>IFERROR(__xludf.DUMMYFUNCTION("""COMPUTED_VALUE"""),29.94)</f>
        <v>29.94</v>
      </c>
      <c r="E1464" s="2">
        <f>IFERROR(__xludf.DUMMYFUNCTION("""COMPUTED_VALUE"""),30.57)</f>
        <v>30.57</v>
      </c>
      <c r="F1464" s="2">
        <f>IFERROR(__xludf.DUMMYFUNCTION("""COMPUTED_VALUE"""),1384200.0)</f>
        <v>1384200</v>
      </c>
    </row>
    <row r="1465">
      <c r="A1465" s="3">
        <f>IFERROR(__xludf.DUMMYFUNCTION("""COMPUTED_VALUE"""),31335.666666666668)</f>
        <v>31335.66667</v>
      </c>
      <c r="B1465" s="2">
        <f>IFERROR(__xludf.DUMMYFUNCTION("""COMPUTED_VALUE"""),30.57)</f>
        <v>30.57</v>
      </c>
      <c r="C1465" s="2">
        <f>IFERROR(__xludf.DUMMYFUNCTION("""COMPUTED_VALUE"""),30.8)</f>
        <v>30.8</v>
      </c>
      <c r="D1465" s="2">
        <f>IFERROR(__xludf.DUMMYFUNCTION("""COMPUTED_VALUE"""),30.33)</f>
        <v>30.33</v>
      </c>
      <c r="E1465" s="2">
        <f>IFERROR(__xludf.DUMMYFUNCTION("""COMPUTED_VALUE"""),30.57)</f>
        <v>30.57</v>
      </c>
      <c r="F1465" s="2">
        <f>IFERROR(__xludf.DUMMYFUNCTION("""COMPUTED_VALUE"""),1353400.0)</f>
        <v>1353400</v>
      </c>
    </row>
    <row r="1466">
      <c r="A1466" s="3">
        <f>IFERROR(__xludf.DUMMYFUNCTION("""COMPUTED_VALUE"""),31336.666666666668)</f>
        <v>31336.66667</v>
      </c>
      <c r="B1466" s="2">
        <f>IFERROR(__xludf.DUMMYFUNCTION("""COMPUTED_VALUE"""),30.89)</f>
        <v>30.89</v>
      </c>
      <c r="C1466" s="2">
        <f>IFERROR(__xludf.DUMMYFUNCTION("""COMPUTED_VALUE"""),30.92)</f>
        <v>30.92</v>
      </c>
      <c r="D1466" s="2">
        <f>IFERROR(__xludf.DUMMYFUNCTION("""COMPUTED_VALUE"""),30.45)</f>
        <v>30.45</v>
      </c>
      <c r="E1466" s="2">
        <f>IFERROR(__xludf.DUMMYFUNCTION("""COMPUTED_VALUE"""),30.89)</f>
        <v>30.89</v>
      </c>
      <c r="F1466" s="2">
        <f>IFERROR(__xludf.DUMMYFUNCTION("""COMPUTED_VALUE"""),1165800.0)</f>
        <v>1165800</v>
      </c>
    </row>
    <row r="1467">
      <c r="A1467" s="3">
        <f>IFERROR(__xludf.DUMMYFUNCTION("""COMPUTED_VALUE"""),31337.666666666668)</f>
        <v>31337.66667</v>
      </c>
      <c r="B1467" s="2">
        <f>IFERROR(__xludf.DUMMYFUNCTION("""COMPUTED_VALUE"""),30.68)</f>
        <v>30.68</v>
      </c>
      <c r="C1467" s="2">
        <f>IFERROR(__xludf.DUMMYFUNCTION("""COMPUTED_VALUE"""),31.04)</f>
        <v>31.04</v>
      </c>
      <c r="D1467" s="2">
        <f>IFERROR(__xludf.DUMMYFUNCTION("""COMPUTED_VALUE"""),30.62)</f>
        <v>30.62</v>
      </c>
      <c r="E1467" s="2">
        <f>IFERROR(__xludf.DUMMYFUNCTION("""COMPUTED_VALUE"""),30.68)</f>
        <v>30.68</v>
      </c>
      <c r="F1467" s="2">
        <f>IFERROR(__xludf.DUMMYFUNCTION("""COMPUTED_VALUE"""),1356300.0)</f>
        <v>1356300</v>
      </c>
    </row>
    <row r="1468">
      <c r="A1468" s="3">
        <f>IFERROR(__xludf.DUMMYFUNCTION("""COMPUTED_VALUE"""),31338.666666666668)</f>
        <v>31338.66667</v>
      </c>
      <c r="B1468" s="2">
        <f>IFERROR(__xludf.DUMMYFUNCTION("""COMPUTED_VALUE"""),30.48)</f>
        <v>30.48</v>
      </c>
      <c r="C1468" s="2">
        <f>IFERROR(__xludf.DUMMYFUNCTION("""COMPUTED_VALUE"""),30.8)</f>
        <v>30.8</v>
      </c>
      <c r="D1468" s="2">
        <f>IFERROR(__xludf.DUMMYFUNCTION("""COMPUTED_VALUE"""),30.48)</f>
        <v>30.48</v>
      </c>
      <c r="E1468" s="2">
        <f>IFERROR(__xludf.DUMMYFUNCTION("""COMPUTED_VALUE"""),30.48)</f>
        <v>30.48</v>
      </c>
      <c r="F1468" s="2">
        <f>IFERROR(__xludf.DUMMYFUNCTION("""COMPUTED_VALUE"""),895800.0)</f>
        <v>895800</v>
      </c>
    </row>
    <row r="1469">
      <c r="A1469" s="3">
        <f>IFERROR(__xludf.DUMMYFUNCTION("""COMPUTED_VALUE"""),31341.666666666668)</f>
        <v>31341.66667</v>
      </c>
      <c r="B1469" s="2">
        <f>IFERROR(__xludf.DUMMYFUNCTION("""COMPUTED_VALUE"""),30.45)</f>
        <v>30.45</v>
      </c>
      <c r="C1469" s="2">
        <f>IFERROR(__xludf.DUMMYFUNCTION("""COMPUTED_VALUE"""),30.54)</f>
        <v>30.54</v>
      </c>
      <c r="D1469" s="2">
        <f>IFERROR(__xludf.DUMMYFUNCTION("""COMPUTED_VALUE"""),30.39)</f>
        <v>30.39</v>
      </c>
      <c r="E1469" s="2">
        <f>IFERROR(__xludf.DUMMYFUNCTION("""COMPUTED_VALUE"""),30.45)</f>
        <v>30.45</v>
      </c>
      <c r="F1469" s="2">
        <f>IFERROR(__xludf.DUMMYFUNCTION("""COMPUTED_VALUE"""),635200.0)</f>
        <v>635200</v>
      </c>
    </row>
    <row r="1470">
      <c r="A1470" s="3">
        <f>IFERROR(__xludf.DUMMYFUNCTION("""COMPUTED_VALUE"""),31342.666666666668)</f>
        <v>31342.66667</v>
      </c>
      <c r="B1470" s="2">
        <f>IFERROR(__xludf.DUMMYFUNCTION("""COMPUTED_VALUE"""),30.83)</f>
        <v>30.83</v>
      </c>
      <c r="C1470" s="2">
        <f>IFERROR(__xludf.DUMMYFUNCTION("""COMPUTED_VALUE"""),31.07)</f>
        <v>31.07</v>
      </c>
      <c r="D1470" s="2">
        <f>IFERROR(__xludf.DUMMYFUNCTION("""COMPUTED_VALUE"""),30.48)</f>
        <v>30.48</v>
      </c>
      <c r="E1470" s="2">
        <f>IFERROR(__xludf.DUMMYFUNCTION("""COMPUTED_VALUE"""),30.83)</f>
        <v>30.83</v>
      </c>
      <c r="F1470" s="2">
        <f>IFERROR(__xludf.DUMMYFUNCTION("""COMPUTED_VALUE"""),1254700.0)</f>
        <v>1254700</v>
      </c>
    </row>
    <row r="1471">
      <c r="A1471" s="3">
        <f>IFERROR(__xludf.DUMMYFUNCTION("""COMPUTED_VALUE"""),31343.666666666668)</f>
        <v>31343.66667</v>
      </c>
      <c r="B1471" s="2">
        <f>IFERROR(__xludf.DUMMYFUNCTION("""COMPUTED_VALUE"""),31.16)</f>
        <v>31.16</v>
      </c>
      <c r="C1471" s="2">
        <f>IFERROR(__xludf.DUMMYFUNCTION("""COMPUTED_VALUE"""),31.25)</f>
        <v>31.25</v>
      </c>
      <c r="D1471" s="2">
        <f>IFERROR(__xludf.DUMMYFUNCTION("""COMPUTED_VALUE"""),30.89)</f>
        <v>30.89</v>
      </c>
      <c r="E1471" s="2">
        <f>IFERROR(__xludf.DUMMYFUNCTION("""COMPUTED_VALUE"""),31.16)</f>
        <v>31.16</v>
      </c>
      <c r="F1471" s="2">
        <f>IFERROR(__xludf.DUMMYFUNCTION("""COMPUTED_VALUE"""),1730000.0)</f>
        <v>1730000</v>
      </c>
    </row>
    <row r="1472">
      <c r="A1472" s="3">
        <f>IFERROR(__xludf.DUMMYFUNCTION("""COMPUTED_VALUE"""),31344.666666666668)</f>
        <v>31344.66667</v>
      </c>
      <c r="B1472" s="2">
        <f>IFERROR(__xludf.DUMMYFUNCTION("""COMPUTED_VALUE"""),30.71)</f>
        <v>30.71</v>
      </c>
      <c r="C1472" s="2">
        <f>IFERROR(__xludf.DUMMYFUNCTION("""COMPUTED_VALUE"""),31.34)</f>
        <v>31.34</v>
      </c>
      <c r="D1472" s="2">
        <f>IFERROR(__xludf.DUMMYFUNCTION("""COMPUTED_VALUE"""),30.62)</f>
        <v>30.62</v>
      </c>
      <c r="E1472" s="2">
        <f>IFERROR(__xludf.DUMMYFUNCTION("""COMPUTED_VALUE"""),30.71)</f>
        <v>30.71</v>
      </c>
      <c r="F1472" s="2">
        <f>IFERROR(__xludf.DUMMYFUNCTION("""COMPUTED_VALUE"""),1195400.0)</f>
        <v>1195400</v>
      </c>
    </row>
    <row r="1473">
      <c r="A1473" s="3">
        <f>IFERROR(__xludf.DUMMYFUNCTION("""COMPUTED_VALUE"""),31345.666666666668)</f>
        <v>31345.66667</v>
      </c>
      <c r="B1473" s="2">
        <f>IFERROR(__xludf.DUMMYFUNCTION("""COMPUTED_VALUE"""),30.57)</f>
        <v>30.57</v>
      </c>
      <c r="C1473" s="2">
        <f>IFERROR(__xludf.DUMMYFUNCTION("""COMPUTED_VALUE"""),30.77)</f>
        <v>30.77</v>
      </c>
      <c r="D1473" s="2">
        <f>IFERROR(__xludf.DUMMYFUNCTION("""COMPUTED_VALUE"""),30.45)</f>
        <v>30.45</v>
      </c>
      <c r="E1473" s="2">
        <f>IFERROR(__xludf.DUMMYFUNCTION("""COMPUTED_VALUE"""),30.57)</f>
        <v>30.57</v>
      </c>
      <c r="F1473" s="2">
        <f>IFERROR(__xludf.DUMMYFUNCTION("""COMPUTED_VALUE"""),775200.0)</f>
        <v>775200</v>
      </c>
    </row>
    <row r="1474">
      <c r="A1474" s="3">
        <f>IFERROR(__xludf.DUMMYFUNCTION("""COMPUTED_VALUE"""),31348.666666666668)</f>
        <v>31348.66667</v>
      </c>
      <c r="B1474" s="2">
        <f>IFERROR(__xludf.DUMMYFUNCTION("""COMPUTED_VALUE"""),30.89)</f>
        <v>30.89</v>
      </c>
      <c r="C1474" s="2">
        <f>IFERROR(__xludf.DUMMYFUNCTION("""COMPUTED_VALUE"""),30.89)</f>
        <v>30.89</v>
      </c>
      <c r="D1474" s="2">
        <f>IFERROR(__xludf.DUMMYFUNCTION("""COMPUTED_VALUE"""),30.45)</f>
        <v>30.45</v>
      </c>
      <c r="E1474" s="2">
        <f>IFERROR(__xludf.DUMMYFUNCTION("""COMPUTED_VALUE"""),30.89)</f>
        <v>30.89</v>
      </c>
      <c r="F1474" s="2">
        <f>IFERROR(__xludf.DUMMYFUNCTION("""COMPUTED_VALUE"""),765400.0)</f>
        <v>765400</v>
      </c>
    </row>
    <row r="1475">
      <c r="A1475" s="3">
        <f>IFERROR(__xludf.DUMMYFUNCTION("""COMPUTED_VALUE"""),31349.666666666668)</f>
        <v>31349.66667</v>
      </c>
      <c r="B1475" s="2">
        <f>IFERROR(__xludf.DUMMYFUNCTION("""COMPUTED_VALUE"""),31.16)</f>
        <v>31.16</v>
      </c>
      <c r="C1475" s="2">
        <f>IFERROR(__xludf.DUMMYFUNCTION("""COMPUTED_VALUE"""),31.37)</f>
        <v>31.37</v>
      </c>
      <c r="D1475" s="2">
        <f>IFERROR(__xludf.DUMMYFUNCTION("""COMPUTED_VALUE"""),30.92)</f>
        <v>30.92</v>
      </c>
      <c r="E1475" s="2">
        <f>IFERROR(__xludf.DUMMYFUNCTION("""COMPUTED_VALUE"""),31.16)</f>
        <v>31.16</v>
      </c>
      <c r="F1475" s="2">
        <f>IFERROR(__xludf.DUMMYFUNCTION("""COMPUTED_VALUE"""),1046500.0)</f>
        <v>1046500</v>
      </c>
    </row>
    <row r="1476">
      <c r="A1476" s="3">
        <f>IFERROR(__xludf.DUMMYFUNCTION("""COMPUTED_VALUE"""),31350.666666666668)</f>
        <v>31350.66667</v>
      </c>
      <c r="B1476" s="2">
        <f>IFERROR(__xludf.DUMMYFUNCTION("""COMPUTED_VALUE"""),31.31)</f>
        <v>31.31</v>
      </c>
      <c r="C1476" s="2">
        <f>IFERROR(__xludf.DUMMYFUNCTION("""COMPUTED_VALUE"""),31.37)</f>
        <v>31.37</v>
      </c>
      <c r="D1476" s="2">
        <f>IFERROR(__xludf.DUMMYFUNCTION("""COMPUTED_VALUE"""),31.1)</f>
        <v>31.1</v>
      </c>
      <c r="E1476" s="2">
        <f>IFERROR(__xludf.DUMMYFUNCTION("""COMPUTED_VALUE"""),31.31)</f>
        <v>31.31</v>
      </c>
      <c r="F1476" s="2">
        <f>IFERROR(__xludf.DUMMYFUNCTION("""COMPUTED_VALUE"""),1470100.0)</f>
        <v>1470100</v>
      </c>
    </row>
    <row r="1477">
      <c r="A1477" s="3">
        <f>IFERROR(__xludf.DUMMYFUNCTION("""COMPUTED_VALUE"""),31351.666666666668)</f>
        <v>31351.66667</v>
      </c>
      <c r="B1477" s="2">
        <f>IFERROR(__xludf.DUMMYFUNCTION("""COMPUTED_VALUE"""),31.01)</f>
        <v>31.01</v>
      </c>
      <c r="C1477" s="2">
        <f>IFERROR(__xludf.DUMMYFUNCTION("""COMPUTED_VALUE"""),31.22)</f>
        <v>31.22</v>
      </c>
      <c r="D1477" s="2">
        <f>IFERROR(__xludf.DUMMYFUNCTION("""COMPUTED_VALUE"""),30.89)</f>
        <v>30.89</v>
      </c>
      <c r="E1477" s="2">
        <f>IFERROR(__xludf.DUMMYFUNCTION("""COMPUTED_VALUE"""),31.01)</f>
        <v>31.01</v>
      </c>
      <c r="F1477" s="2">
        <f>IFERROR(__xludf.DUMMYFUNCTION("""COMPUTED_VALUE"""),1152900.0)</f>
        <v>1152900</v>
      </c>
    </row>
    <row r="1478">
      <c r="A1478" s="3">
        <f>IFERROR(__xludf.DUMMYFUNCTION("""COMPUTED_VALUE"""),31352.666666666668)</f>
        <v>31352.66667</v>
      </c>
      <c r="B1478" s="2">
        <f>IFERROR(__xludf.DUMMYFUNCTION("""COMPUTED_VALUE"""),31.25)</f>
        <v>31.25</v>
      </c>
      <c r="C1478" s="2">
        <f>IFERROR(__xludf.DUMMYFUNCTION("""COMPUTED_VALUE"""),31.31)</f>
        <v>31.31</v>
      </c>
      <c r="D1478" s="2">
        <f>IFERROR(__xludf.DUMMYFUNCTION("""COMPUTED_VALUE"""),30.95)</f>
        <v>30.95</v>
      </c>
      <c r="E1478" s="2">
        <f>IFERROR(__xludf.DUMMYFUNCTION("""COMPUTED_VALUE"""),31.25)</f>
        <v>31.25</v>
      </c>
      <c r="F1478" s="2">
        <f>IFERROR(__xludf.DUMMYFUNCTION("""COMPUTED_VALUE"""),1137600.0)</f>
        <v>1137600</v>
      </c>
    </row>
    <row r="1479">
      <c r="A1479" s="3">
        <f>IFERROR(__xludf.DUMMYFUNCTION("""COMPUTED_VALUE"""),31355.666666666668)</f>
        <v>31355.66667</v>
      </c>
      <c r="B1479" s="2">
        <f>IFERROR(__xludf.DUMMYFUNCTION("""COMPUTED_VALUE"""),31.58)</f>
        <v>31.58</v>
      </c>
      <c r="C1479" s="2">
        <f>IFERROR(__xludf.DUMMYFUNCTION("""COMPUTED_VALUE"""),31.67)</f>
        <v>31.67</v>
      </c>
      <c r="D1479" s="2">
        <f>IFERROR(__xludf.DUMMYFUNCTION("""COMPUTED_VALUE"""),31.16)</f>
        <v>31.16</v>
      </c>
      <c r="E1479" s="2">
        <f>IFERROR(__xludf.DUMMYFUNCTION("""COMPUTED_VALUE"""),31.58)</f>
        <v>31.58</v>
      </c>
      <c r="F1479" s="2">
        <f>IFERROR(__xludf.DUMMYFUNCTION("""COMPUTED_VALUE"""),1730500.0)</f>
        <v>1730500</v>
      </c>
    </row>
    <row r="1480">
      <c r="A1480" s="3">
        <f>IFERROR(__xludf.DUMMYFUNCTION("""COMPUTED_VALUE"""),31356.666666666668)</f>
        <v>31356.66667</v>
      </c>
      <c r="B1480" s="2">
        <f>IFERROR(__xludf.DUMMYFUNCTION("""COMPUTED_VALUE"""),31.85)</f>
        <v>31.85</v>
      </c>
      <c r="C1480" s="2">
        <f>IFERROR(__xludf.DUMMYFUNCTION("""COMPUTED_VALUE"""),32.0)</f>
        <v>32</v>
      </c>
      <c r="D1480" s="2">
        <f>IFERROR(__xludf.DUMMYFUNCTION("""COMPUTED_VALUE"""),31.58)</f>
        <v>31.58</v>
      </c>
      <c r="E1480" s="2">
        <f>IFERROR(__xludf.DUMMYFUNCTION("""COMPUTED_VALUE"""),31.85)</f>
        <v>31.85</v>
      </c>
      <c r="F1480" s="2">
        <f>IFERROR(__xludf.DUMMYFUNCTION("""COMPUTED_VALUE"""),1829900.0)</f>
        <v>1829900</v>
      </c>
    </row>
    <row r="1481">
      <c r="A1481" s="3">
        <f>IFERROR(__xludf.DUMMYFUNCTION("""COMPUTED_VALUE"""),31357.666666666668)</f>
        <v>31357.66667</v>
      </c>
      <c r="B1481" s="2">
        <f>IFERROR(__xludf.DUMMYFUNCTION("""COMPUTED_VALUE"""),31.73)</f>
        <v>31.73</v>
      </c>
      <c r="C1481" s="2">
        <f>IFERROR(__xludf.DUMMYFUNCTION("""COMPUTED_VALUE"""),31.82)</f>
        <v>31.82</v>
      </c>
      <c r="D1481" s="2">
        <f>IFERROR(__xludf.DUMMYFUNCTION("""COMPUTED_VALUE"""),31.34)</f>
        <v>31.34</v>
      </c>
      <c r="E1481" s="2">
        <f>IFERROR(__xludf.DUMMYFUNCTION("""COMPUTED_VALUE"""),31.73)</f>
        <v>31.73</v>
      </c>
      <c r="F1481" s="2">
        <f>IFERROR(__xludf.DUMMYFUNCTION("""COMPUTED_VALUE"""),1979700.0)</f>
        <v>1979700</v>
      </c>
    </row>
    <row r="1482">
      <c r="A1482" s="3">
        <f>IFERROR(__xludf.DUMMYFUNCTION("""COMPUTED_VALUE"""),31358.666666666668)</f>
        <v>31358.66667</v>
      </c>
      <c r="B1482" s="2">
        <f>IFERROR(__xludf.DUMMYFUNCTION("""COMPUTED_VALUE"""),31.55)</f>
        <v>31.55</v>
      </c>
      <c r="C1482" s="2">
        <f>IFERROR(__xludf.DUMMYFUNCTION("""COMPUTED_VALUE"""),31.7)</f>
        <v>31.7</v>
      </c>
      <c r="D1482" s="2">
        <f>IFERROR(__xludf.DUMMYFUNCTION("""COMPUTED_VALUE"""),31.43)</f>
        <v>31.43</v>
      </c>
      <c r="E1482" s="2">
        <f>IFERROR(__xludf.DUMMYFUNCTION("""COMPUTED_VALUE"""),31.55)</f>
        <v>31.55</v>
      </c>
      <c r="F1482" s="2">
        <f>IFERROR(__xludf.DUMMYFUNCTION("""COMPUTED_VALUE"""),1046800.0)</f>
        <v>1046800</v>
      </c>
    </row>
    <row r="1483">
      <c r="A1483" s="3">
        <f>IFERROR(__xludf.DUMMYFUNCTION("""COMPUTED_VALUE"""),31359.666666666668)</f>
        <v>31359.66667</v>
      </c>
      <c r="B1483" s="2">
        <f>IFERROR(__xludf.DUMMYFUNCTION("""COMPUTED_VALUE"""),31.64)</f>
        <v>31.64</v>
      </c>
      <c r="C1483" s="2">
        <f>IFERROR(__xludf.DUMMYFUNCTION("""COMPUTED_VALUE"""),31.76)</f>
        <v>31.76</v>
      </c>
      <c r="D1483" s="2">
        <f>IFERROR(__xludf.DUMMYFUNCTION("""COMPUTED_VALUE"""),31.46)</f>
        <v>31.46</v>
      </c>
      <c r="E1483" s="2">
        <f>IFERROR(__xludf.DUMMYFUNCTION("""COMPUTED_VALUE"""),31.64)</f>
        <v>31.64</v>
      </c>
      <c r="F1483" s="2">
        <f>IFERROR(__xludf.DUMMYFUNCTION("""COMPUTED_VALUE"""),1181600.0)</f>
        <v>1181600</v>
      </c>
    </row>
    <row r="1484">
      <c r="A1484" s="3">
        <f>IFERROR(__xludf.DUMMYFUNCTION("""COMPUTED_VALUE"""),31362.666666666668)</f>
        <v>31362.66667</v>
      </c>
      <c r="B1484" s="2">
        <f>IFERROR(__xludf.DUMMYFUNCTION("""COMPUTED_VALUE"""),32.15)</f>
        <v>32.15</v>
      </c>
      <c r="C1484" s="2">
        <f>IFERROR(__xludf.DUMMYFUNCTION("""COMPUTED_VALUE"""),32.21)</f>
        <v>32.21</v>
      </c>
      <c r="D1484" s="2">
        <f>IFERROR(__xludf.DUMMYFUNCTION("""COMPUTED_VALUE"""),31.67)</f>
        <v>31.67</v>
      </c>
      <c r="E1484" s="2">
        <f>IFERROR(__xludf.DUMMYFUNCTION("""COMPUTED_VALUE"""),32.15)</f>
        <v>32.15</v>
      </c>
      <c r="F1484" s="2">
        <f>IFERROR(__xludf.DUMMYFUNCTION("""COMPUTED_VALUE"""),1662800.0)</f>
        <v>1662800</v>
      </c>
    </row>
    <row r="1485">
      <c r="A1485" s="3">
        <f>IFERROR(__xludf.DUMMYFUNCTION("""COMPUTED_VALUE"""),31363.666666666668)</f>
        <v>31363.66667</v>
      </c>
      <c r="B1485" s="2">
        <f>IFERROR(__xludf.DUMMYFUNCTION("""COMPUTED_VALUE"""),32.33)</f>
        <v>32.33</v>
      </c>
      <c r="C1485" s="2">
        <f>IFERROR(__xludf.DUMMYFUNCTION("""COMPUTED_VALUE"""),32.57)</f>
        <v>32.57</v>
      </c>
      <c r="D1485" s="2">
        <f>IFERROR(__xludf.DUMMYFUNCTION("""COMPUTED_VALUE"""),32.18)</f>
        <v>32.18</v>
      </c>
      <c r="E1485" s="2">
        <f>IFERROR(__xludf.DUMMYFUNCTION("""COMPUTED_VALUE"""),32.33)</f>
        <v>32.33</v>
      </c>
      <c r="F1485" s="2">
        <f>IFERROR(__xludf.DUMMYFUNCTION("""COMPUTED_VALUE"""),2355400.0)</f>
        <v>2355400</v>
      </c>
    </row>
    <row r="1486">
      <c r="A1486" s="3">
        <f>IFERROR(__xludf.DUMMYFUNCTION("""COMPUTED_VALUE"""),31364.666666666668)</f>
        <v>31364.66667</v>
      </c>
      <c r="B1486" s="2">
        <f>IFERROR(__xludf.DUMMYFUNCTION("""COMPUTED_VALUE"""),32.24)</f>
        <v>32.24</v>
      </c>
      <c r="C1486" s="2">
        <f>IFERROR(__xludf.DUMMYFUNCTION("""COMPUTED_VALUE"""),32.42)</f>
        <v>32.42</v>
      </c>
      <c r="D1486" s="2">
        <f>IFERROR(__xludf.DUMMYFUNCTION("""COMPUTED_VALUE"""),32.15)</f>
        <v>32.15</v>
      </c>
      <c r="E1486" s="2">
        <f>IFERROR(__xludf.DUMMYFUNCTION("""COMPUTED_VALUE"""),32.24)</f>
        <v>32.24</v>
      </c>
      <c r="F1486" s="2">
        <f>IFERROR(__xludf.DUMMYFUNCTION("""COMPUTED_VALUE"""),1404300.0)</f>
        <v>1404300</v>
      </c>
    </row>
    <row r="1487">
      <c r="A1487" s="3">
        <f>IFERROR(__xludf.DUMMYFUNCTION("""COMPUTED_VALUE"""),31365.666666666668)</f>
        <v>31365.66667</v>
      </c>
      <c r="B1487" s="2">
        <f>IFERROR(__xludf.DUMMYFUNCTION("""COMPUTED_VALUE"""),32.62)</f>
        <v>32.62</v>
      </c>
      <c r="C1487" s="2">
        <f>IFERROR(__xludf.DUMMYFUNCTION("""COMPUTED_VALUE"""),32.71)</f>
        <v>32.71</v>
      </c>
      <c r="D1487" s="2">
        <f>IFERROR(__xludf.DUMMYFUNCTION("""COMPUTED_VALUE"""),32.18)</f>
        <v>32.18</v>
      </c>
      <c r="E1487" s="2">
        <f>IFERROR(__xludf.DUMMYFUNCTION("""COMPUTED_VALUE"""),32.62)</f>
        <v>32.62</v>
      </c>
      <c r="F1487" s="2">
        <f>IFERROR(__xludf.DUMMYFUNCTION("""COMPUTED_VALUE"""),1343500.0)</f>
        <v>1343500</v>
      </c>
    </row>
    <row r="1488">
      <c r="A1488" s="3">
        <f>IFERROR(__xludf.DUMMYFUNCTION("""COMPUTED_VALUE"""),31366.666666666668)</f>
        <v>31366.66667</v>
      </c>
      <c r="B1488" s="2">
        <f>IFERROR(__xludf.DUMMYFUNCTION("""COMPUTED_VALUE"""),32.65)</f>
        <v>32.65</v>
      </c>
      <c r="C1488" s="2">
        <f>IFERROR(__xludf.DUMMYFUNCTION("""COMPUTED_VALUE"""),33.04)</f>
        <v>33.04</v>
      </c>
      <c r="D1488" s="2">
        <f>IFERROR(__xludf.DUMMYFUNCTION("""COMPUTED_VALUE"""),32.57)</f>
        <v>32.57</v>
      </c>
      <c r="E1488" s="2">
        <f>IFERROR(__xludf.DUMMYFUNCTION("""COMPUTED_VALUE"""),32.65)</f>
        <v>32.65</v>
      </c>
      <c r="F1488" s="2">
        <f>IFERROR(__xludf.DUMMYFUNCTION("""COMPUTED_VALUE"""),2066000.0)</f>
        <v>2066000</v>
      </c>
    </row>
    <row r="1489">
      <c r="A1489" s="3">
        <f>IFERROR(__xludf.DUMMYFUNCTION("""COMPUTED_VALUE"""),31369.666666666668)</f>
        <v>31369.66667</v>
      </c>
      <c r="B1489" s="2">
        <f>IFERROR(__xludf.DUMMYFUNCTION("""COMPUTED_VALUE"""),33.07)</f>
        <v>33.07</v>
      </c>
      <c r="C1489" s="2">
        <f>IFERROR(__xludf.DUMMYFUNCTION("""COMPUTED_VALUE"""),33.1)</f>
        <v>33.1</v>
      </c>
      <c r="D1489" s="2">
        <f>IFERROR(__xludf.DUMMYFUNCTION("""COMPUTED_VALUE"""),32.62)</f>
        <v>32.62</v>
      </c>
      <c r="E1489" s="2">
        <f>IFERROR(__xludf.DUMMYFUNCTION("""COMPUTED_VALUE"""),33.07)</f>
        <v>33.07</v>
      </c>
      <c r="F1489" s="2">
        <f>IFERROR(__xludf.DUMMYFUNCTION("""COMPUTED_VALUE"""),1180400.0)</f>
        <v>1180400</v>
      </c>
    </row>
    <row r="1490">
      <c r="A1490" s="3">
        <f>IFERROR(__xludf.DUMMYFUNCTION("""COMPUTED_VALUE"""),31370.666666666668)</f>
        <v>31370.66667</v>
      </c>
      <c r="B1490" s="2">
        <f>IFERROR(__xludf.DUMMYFUNCTION("""COMPUTED_VALUE"""),33.01)</f>
        <v>33.01</v>
      </c>
      <c r="C1490" s="2">
        <f>IFERROR(__xludf.DUMMYFUNCTION("""COMPUTED_VALUE"""),33.25)</f>
        <v>33.25</v>
      </c>
      <c r="D1490" s="2">
        <f>IFERROR(__xludf.DUMMYFUNCTION("""COMPUTED_VALUE"""),32.77)</f>
        <v>32.77</v>
      </c>
      <c r="E1490" s="2">
        <f>IFERROR(__xludf.DUMMYFUNCTION("""COMPUTED_VALUE"""),33.01)</f>
        <v>33.01</v>
      </c>
      <c r="F1490" s="2">
        <f>IFERROR(__xludf.DUMMYFUNCTION("""COMPUTED_VALUE"""),1664700.0)</f>
        <v>1664700</v>
      </c>
    </row>
    <row r="1491">
      <c r="A1491" s="3">
        <f>IFERROR(__xludf.DUMMYFUNCTION("""COMPUTED_VALUE"""),31371.666666666668)</f>
        <v>31371.66667</v>
      </c>
      <c r="B1491" s="2">
        <f>IFERROR(__xludf.DUMMYFUNCTION("""COMPUTED_VALUE"""),33.19)</f>
        <v>33.19</v>
      </c>
      <c r="C1491" s="2">
        <f>IFERROR(__xludf.DUMMYFUNCTION("""COMPUTED_VALUE"""),33.22)</f>
        <v>33.22</v>
      </c>
      <c r="D1491" s="2">
        <f>IFERROR(__xludf.DUMMYFUNCTION("""COMPUTED_VALUE"""),32.92)</f>
        <v>32.92</v>
      </c>
      <c r="E1491" s="2">
        <f>IFERROR(__xludf.DUMMYFUNCTION("""COMPUTED_VALUE"""),33.19)</f>
        <v>33.19</v>
      </c>
      <c r="F1491" s="2">
        <f>IFERROR(__xludf.DUMMYFUNCTION("""COMPUTED_VALUE"""),983900.0)</f>
        <v>983900</v>
      </c>
    </row>
    <row r="1492">
      <c r="A1492" s="3">
        <f>IFERROR(__xludf.DUMMYFUNCTION("""COMPUTED_VALUE"""),31372.666666666668)</f>
        <v>31372.66667</v>
      </c>
      <c r="B1492" s="2">
        <f>IFERROR(__xludf.DUMMYFUNCTION("""COMPUTED_VALUE"""),33.49)</f>
        <v>33.49</v>
      </c>
      <c r="C1492" s="2">
        <f>IFERROR(__xludf.DUMMYFUNCTION("""COMPUTED_VALUE"""),33.49)</f>
        <v>33.49</v>
      </c>
      <c r="D1492" s="2">
        <f>IFERROR(__xludf.DUMMYFUNCTION("""COMPUTED_VALUE"""),33.19)</f>
        <v>33.19</v>
      </c>
      <c r="E1492" s="2">
        <f>IFERROR(__xludf.DUMMYFUNCTION("""COMPUTED_VALUE"""),33.49)</f>
        <v>33.49</v>
      </c>
      <c r="F1492" s="2">
        <f>IFERROR(__xludf.DUMMYFUNCTION("""COMPUTED_VALUE"""),1715200.0)</f>
        <v>1715200</v>
      </c>
    </row>
    <row r="1493">
      <c r="A1493" s="3">
        <f>IFERROR(__xludf.DUMMYFUNCTION("""COMPUTED_VALUE"""),31373.666666666668)</f>
        <v>31373.66667</v>
      </c>
      <c r="B1493" s="2">
        <f>IFERROR(__xludf.DUMMYFUNCTION("""COMPUTED_VALUE"""),33.31)</f>
        <v>33.31</v>
      </c>
      <c r="C1493" s="2">
        <f>IFERROR(__xludf.DUMMYFUNCTION("""COMPUTED_VALUE"""),33.55)</f>
        <v>33.55</v>
      </c>
      <c r="D1493" s="2">
        <f>IFERROR(__xludf.DUMMYFUNCTION("""COMPUTED_VALUE"""),33.25)</f>
        <v>33.25</v>
      </c>
      <c r="E1493" s="2">
        <f>IFERROR(__xludf.DUMMYFUNCTION("""COMPUTED_VALUE"""),33.31)</f>
        <v>33.31</v>
      </c>
      <c r="F1493" s="2">
        <f>IFERROR(__xludf.DUMMYFUNCTION("""COMPUTED_VALUE"""),1074700.0)</f>
        <v>1074700</v>
      </c>
    </row>
    <row r="1494">
      <c r="A1494" s="3">
        <f>IFERROR(__xludf.DUMMYFUNCTION("""COMPUTED_VALUE"""),31376.666666666668)</f>
        <v>31376.66667</v>
      </c>
      <c r="B1494" s="2">
        <f>IFERROR(__xludf.DUMMYFUNCTION("""COMPUTED_VALUE"""),33.19)</f>
        <v>33.19</v>
      </c>
      <c r="C1494" s="2">
        <f>IFERROR(__xludf.DUMMYFUNCTION("""COMPUTED_VALUE"""),33.31)</f>
        <v>33.31</v>
      </c>
      <c r="D1494" s="2">
        <f>IFERROR(__xludf.DUMMYFUNCTION("""COMPUTED_VALUE"""),33.04)</f>
        <v>33.04</v>
      </c>
      <c r="E1494" s="2">
        <f>IFERROR(__xludf.DUMMYFUNCTION("""COMPUTED_VALUE"""),33.19)</f>
        <v>33.19</v>
      </c>
      <c r="F1494" s="2">
        <f>IFERROR(__xludf.DUMMYFUNCTION("""COMPUTED_VALUE"""),618500.0)</f>
        <v>618500</v>
      </c>
    </row>
    <row r="1495">
      <c r="A1495" s="3">
        <f>IFERROR(__xludf.DUMMYFUNCTION("""COMPUTED_VALUE"""),31377.666666666668)</f>
        <v>31377.66667</v>
      </c>
      <c r="B1495" s="2">
        <f>IFERROR(__xludf.DUMMYFUNCTION("""COMPUTED_VALUE"""),33.19)</f>
        <v>33.19</v>
      </c>
      <c r="C1495" s="2">
        <f>IFERROR(__xludf.DUMMYFUNCTION("""COMPUTED_VALUE"""),33.37)</f>
        <v>33.37</v>
      </c>
      <c r="D1495" s="2">
        <f>IFERROR(__xludf.DUMMYFUNCTION("""COMPUTED_VALUE"""),33.13)</f>
        <v>33.13</v>
      </c>
      <c r="E1495" s="2">
        <f>IFERROR(__xludf.DUMMYFUNCTION("""COMPUTED_VALUE"""),33.19)</f>
        <v>33.19</v>
      </c>
      <c r="F1495" s="2">
        <f>IFERROR(__xludf.DUMMYFUNCTION("""COMPUTED_VALUE"""),705500.0)</f>
        <v>705500</v>
      </c>
    </row>
    <row r="1496">
      <c r="A1496" s="3">
        <f>IFERROR(__xludf.DUMMYFUNCTION("""COMPUTED_VALUE"""),31378.666666666668)</f>
        <v>31378.66667</v>
      </c>
      <c r="B1496" s="2">
        <f>IFERROR(__xludf.DUMMYFUNCTION("""COMPUTED_VALUE"""),33.49)</f>
        <v>33.49</v>
      </c>
      <c r="C1496" s="2">
        <f>IFERROR(__xludf.DUMMYFUNCTION("""COMPUTED_VALUE"""),33.55)</f>
        <v>33.55</v>
      </c>
      <c r="D1496" s="2">
        <f>IFERROR(__xludf.DUMMYFUNCTION("""COMPUTED_VALUE"""),33.19)</f>
        <v>33.19</v>
      </c>
      <c r="E1496" s="2">
        <f>IFERROR(__xludf.DUMMYFUNCTION("""COMPUTED_VALUE"""),33.49)</f>
        <v>33.49</v>
      </c>
      <c r="F1496" s="2">
        <f>IFERROR(__xludf.DUMMYFUNCTION("""COMPUTED_VALUE"""),1078400.0)</f>
        <v>1078400</v>
      </c>
    </row>
    <row r="1497">
      <c r="A1497" s="3">
        <f>IFERROR(__xludf.DUMMYFUNCTION("""COMPUTED_VALUE"""),31380.666666666668)</f>
        <v>31380.66667</v>
      </c>
      <c r="B1497" s="2">
        <f>IFERROR(__xludf.DUMMYFUNCTION("""COMPUTED_VALUE"""),33.37)</f>
        <v>33.37</v>
      </c>
      <c r="C1497" s="2">
        <f>IFERROR(__xludf.DUMMYFUNCTION("""COMPUTED_VALUE"""),33.61)</f>
        <v>33.61</v>
      </c>
      <c r="D1497" s="2">
        <f>IFERROR(__xludf.DUMMYFUNCTION("""COMPUTED_VALUE"""),33.25)</f>
        <v>33.25</v>
      </c>
      <c r="E1497" s="2">
        <f>IFERROR(__xludf.DUMMYFUNCTION("""COMPUTED_VALUE"""),33.37)</f>
        <v>33.37</v>
      </c>
      <c r="F1497" s="2">
        <f>IFERROR(__xludf.DUMMYFUNCTION("""COMPUTED_VALUE"""),513800.0)</f>
        <v>513800</v>
      </c>
    </row>
    <row r="1498">
      <c r="A1498" s="3">
        <f>IFERROR(__xludf.DUMMYFUNCTION("""COMPUTED_VALUE"""),31383.666666666668)</f>
        <v>31383.66667</v>
      </c>
      <c r="B1498" s="2">
        <f>IFERROR(__xludf.DUMMYFUNCTION("""COMPUTED_VALUE"""),32.92)</f>
        <v>32.92</v>
      </c>
      <c r="C1498" s="2">
        <f>IFERROR(__xludf.DUMMYFUNCTION("""COMPUTED_VALUE"""),33.4)</f>
        <v>33.4</v>
      </c>
      <c r="D1498" s="2">
        <f>IFERROR(__xludf.DUMMYFUNCTION("""COMPUTED_VALUE"""),32.89)</f>
        <v>32.89</v>
      </c>
      <c r="E1498" s="2">
        <f>IFERROR(__xludf.DUMMYFUNCTION("""COMPUTED_VALUE"""),32.92)</f>
        <v>32.92</v>
      </c>
      <c r="F1498" s="2">
        <f>IFERROR(__xludf.DUMMYFUNCTION("""COMPUTED_VALUE"""),671600.0)</f>
        <v>671600</v>
      </c>
    </row>
    <row r="1499">
      <c r="A1499" s="3">
        <f>IFERROR(__xludf.DUMMYFUNCTION("""COMPUTED_VALUE"""),31384.666666666668)</f>
        <v>31384.66667</v>
      </c>
      <c r="B1499" s="2">
        <f>IFERROR(__xludf.DUMMYFUNCTION("""COMPUTED_VALUE"""),33.1)</f>
        <v>33.1</v>
      </c>
      <c r="C1499" s="2">
        <f>IFERROR(__xludf.DUMMYFUNCTION("""COMPUTED_VALUE"""),33.1)</f>
        <v>33.1</v>
      </c>
      <c r="D1499" s="2">
        <f>IFERROR(__xludf.DUMMYFUNCTION("""COMPUTED_VALUE"""),32.86)</f>
        <v>32.86</v>
      </c>
      <c r="E1499" s="2">
        <f>IFERROR(__xludf.DUMMYFUNCTION("""COMPUTED_VALUE"""),33.1)</f>
        <v>33.1</v>
      </c>
      <c r="F1499" s="2">
        <f>IFERROR(__xludf.DUMMYFUNCTION("""COMPUTED_VALUE"""),767700.0)</f>
        <v>767700</v>
      </c>
    </row>
    <row r="1500">
      <c r="A1500" s="3">
        <f>IFERROR(__xludf.DUMMYFUNCTION("""COMPUTED_VALUE"""),31385.666666666668)</f>
        <v>31385.66667</v>
      </c>
      <c r="B1500" s="2">
        <f>IFERROR(__xludf.DUMMYFUNCTION("""COMPUTED_VALUE"""),33.88)</f>
        <v>33.88</v>
      </c>
      <c r="C1500" s="2">
        <f>IFERROR(__xludf.DUMMYFUNCTION("""COMPUTED_VALUE"""),33.88)</f>
        <v>33.88</v>
      </c>
      <c r="D1500" s="2">
        <f>IFERROR(__xludf.DUMMYFUNCTION("""COMPUTED_VALUE"""),33.1)</f>
        <v>33.1</v>
      </c>
      <c r="E1500" s="2">
        <f>IFERROR(__xludf.DUMMYFUNCTION("""COMPUTED_VALUE"""),33.88)</f>
        <v>33.88</v>
      </c>
      <c r="F1500" s="2">
        <f>IFERROR(__xludf.DUMMYFUNCTION("""COMPUTED_VALUE"""),1214500.0)</f>
        <v>1214500</v>
      </c>
    </row>
    <row r="1501">
      <c r="A1501" s="3">
        <f>IFERROR(__xludf.DUMMYFUNCTION("""COMPUTED_VALUE"""),31386.666666666668)</f>
        <v>31386.66667</v>
      </c>
      <c r="B1501" s="2">
        <f>IFERROR(__xludf.DUMMYFUNCTION("""COMPUTED_VALUE"""),33.61)</f>
        <v>33.61</v>
      </c>
      <c r="C1501" s="2">
        <f>IFERROR(__xludf.DUMMYFUNCTION("""COMPUTED_VALUE"""),34.12)</f>
        <v>34.12</v>
      </c>
      <c r="D1501" s="2">
        <f>IFERROR(__xludf.DUMMYFUNCTION("""COMPUTED_VALUE"""),33.58)</f>
        <v>33.58</v>
      </c>
      <c r="E1501" s="2">
        <f>IFERROR(__xludf.DUMMYFUNCTION("""COMPUTED_VALUE"""),33.61)</f>
        <v>33.61</v>
      </c>
      <c r="F1501" s="2">
        <f>IFERROR(__xludf.DUMMYFUNCTION("""COMPUTED_VALUE"""),1905700.0)</f>
        <v>1905700</v>
      </c>
    </row>
    <row r="1502">
      <c r="A1502" s="3">
        <f>IFERROR(__xludf.DUMMYFUNCTION("""COMPUTED_VALUE"""),31387.666666666668)</f>
        <v>31387.66667</v>
      </c>
      <c r="B1502" s="2">
        <f>IFERROR(__xludf.DUMMYFUNCTION("""COMPUTED_VALUE"""),33.85)</f>
        <v>33.85</v>
      </c>
      <c r="C1502" s="2">
        <f>IFERROR(__xludf.DUMMYFUNCTION("""COMPUTED_VALUE"""),33.85)</f>
        <v>33.85</v>
      </c>
      <c r="D1502" s="2">
        <f>IFERROR(__xludf.DUMMYFUNCTION("""COMPUTED_VALUE"""),33.49)</f>
        <v>33.49</v>
      </c>
      <c r="E1502" s="2">
        <f>IFERROR(__xludf.DUMMYFUNCTION("""COMPUTED_VALUE"""),33.85)</f>
        <v>33.85</v>
      </c>
      <c r="F1502" s="2">
        <f>IFERROR(__xludf.DUMMYFUNCTION("""COMPUTED_VALUE"""),1638400.0)</f>
        <v>1638400</v>
      </c>
    </row>
    <row r="1503">
      <c r="A1503" s="3">
        <f>IFERROR(__xludf.DUMMYFUNCTION("""COMPUTED_VALUE"""),31390.666666666668)</f>
        <v>31390.66667</v>
      </c>
      <c r="B1503" s="2">
        <f>IFERROR(__xludf.DUMMYFUNCTION("""COMPUTED_VALUE"""),34.54)</f>
        <v>34.54</v>
      </c>
      <c r="C1503" s="2">
        <f>IFERROR(__xludf.DUMMYFUNCTION("""COMPUTED_VALUE"""),34.59)</f>
        <v>34.59</v>
      </c>
      <c r="D1503" s="2">
        <f>IFERROR(__xludf.DUMMYFUNCTION("""COMPUTED_VALUE"""),33.94)</f>
        <v>33.94</v>
      </c>
      <c r="E1503" s="2">
        <f>IFERROR(__xludf.DUMMYFUNCTION("""COMPUTED_VALUE"""),34.54)</f>
        <v>34.54</v>
      </c>
      <c r="F1503" s="2">
        <f>IFERROR(__xludf.DUMMYFUNCTION("""COMPUTED_VALUE"""),1662500.0)</f>
        <v>1662500</v>
      </c>
    </row>
    <row r="1504">
      <c r="A1504" s="3">
        <f>IFERROR(__xludf.DUMMYFUNCTION("""COMPUTED_VALUE"""),31391.666666666668)</f>
        <v>31391.66667</v>
      </c>
      <c r="B1504" s="2">
        <f>IFERROR(__xludf.DUMMYFUNCTION("""COMPUTED_VALUE"""),35.01)</f>
        <v>35.01</v>
      </c>
      <c r="C1504" s="2">
        <f>IFERROR(__xludf.DUMMYFUNCTION("""COMPUTED_VALUE"""),35.34)</f>
        <v>35.34</v>
      </c>
      <c r="D1504" s="2">
        <f>IFERROR(__xludf.DUMMYFUNCTION("""COMPUTED_VALUE"""),34.45)</f>
        <v>34.45</v>
      </c>
      <c r="E1504" s="2">
        <f>IFERROR(__xludf.DUMMYFUNCTION("""COMPUTED_VALUE"""),35.01)</f>
        <v>35.01</v>
      </c>
      <c r="F1504" s="2">
        <f>IFERROR(__xludf.DUMMYFUNCTION("""COMPUTED_VALUE"""),1940200.0)</f>
        <v>1940200</v>
      </c>
    </row>
    <row r="1505">
      <c r="A1505" s="3">
        <f>IFERROR(__xludf.DUMMYFUNCTION("""COMPUTED_VALUE"""),31392.666666666668)</f>
        <v>31392.66667</v>
      </c>
      <c r="B1505" s="2">
        <f>IFERROR(__xludf.DUMMYFUNCTION("""COMPUTED_VALUE"""),35.58)</f>
        <v>35.58</v>
      </c>
      <c r="C1505" s="2">
        <f>IFERROR(__xludf.DUMMYFUNCTION("""COMPUTED_VALUE"""),35.67)</f>
        <v>35.67</v>
      </c>
      <c r="D1505" s="2">
        <f>IFERROR(__xludf.DUMMYFUNCTION("""COMPUTED_VALUE"""),35.01)</f>
        <v>35.01</v>
      </c>
      <c r="E1505" s="2">
        <f>IFERROR(__xludf.DUMMYFUNCTION("""COMPUTED_VALUE"""),35.58)</f>
        <v>35.58</v>
      </c>
      <c r="F1505" s="2">
        <f>IFERROR(__xludf.DUMMYFUNCTION("""COMPUTED_VALUE"""),1985600.0)</f>
        <v>1985600</v>
      </c>
    </row>
    <row r="1506">
      <c r="A1506" s="3">
        <f>IFERROR(__xludf.DUMMYFUNCTION("""COMPUTED_VALUE"""),31393.666666666668)</f>
        <v>31393.66667</v>
      </c>
      <c r="B1506" s="2">
        <f>IFERROR(__xludf.DUMMYFUNCTION("""COMPUTED_VALUE"""),35.49)</f>
        <v>35.49</v>
      </c>
      <c r="C1506" s="2">
        <f>IFERROR(__xludf.DUMMYFUNCTION("""COMPUTED_VALUE"""),35.67)</f>
        <v>35.67</v>
      </c>
      <c r="D1506" s="2">
        <f>IFERROR(__xludf.DUMMYFUNCTION("""COMPUTED_VALUE"""),35.1)</f>
        <v>35.1</v>
      </c>
      <c r="E1506" s="2">
        <f>IFERROR(__xludf.DUMMYFUNCTION("""COMPUTED_VALUE"""),35.49)</f>
        <v>35.49</v>
      </c>
      <c r="F1506" s="2">
        <f>IFERROR(__xludf.DUMMYFUNCTION("""COMPUTED_VALUE"""),1407600.0)</f>
        <v>1407600</v>
      </c>
    </row>
    <row r="1507">
      <c r="A1507" s="3">
        <f>IFERROR(__xludf.DUMMYFUNCTION("""COMPUTED_VALUE"""),31394.666666666668)</f>
        <v>31394.66667</v>
      </c>
      <c r="B1507" s="2">
        <f>IFERROR(__xludf.DUMMYFUNCTION("""COMPUTED_VALUE"""),35.88)</f>
        <v>35.88</v>
      </c>
      <c r="C1507" s="2">
        <f>IFERROR(__xludf.DUMMYFUNCTION("""COMPUTED_VALUE"""),36.18)</f>
        <v>36.18</v>
      </c>
      <c r="D1507" s="2">
        <f>IFERROR(__xludf.DUMMYFUNCTION("""COMPUTED_VALUE"""),35.61)</f>
        <v>35.61</v>
      </c>
      <c r="E1507" s="2">
        <f>IFERROR(__xludf.DUMMYFUNCTION("""COMPUTED_VALUE"""),35.88)</f>
        <v>35.88</v>
      </c>
      <c r="F1507" s="2">
        <f>IFERROR(__xludf.DUMMYFUNCTION("""COMPUTED_VALUE"""),1890100.0)</f>
        <v>1890100</v>
      </c>
    </row>
    <row r="1508">
      <c r="A1508" s="3">
        <f>IFERROR(__xludf.DUMMYFUNCTION("""COMPUTED_VALUE"""),31397.666666666668)</f>
        <v>31397.66667</v>
      </c>
      <c r="B1508" s="2">
        <f>IFERROR(__xludf.DUMMYFUNCTION("""COMPUTED_VALUE"""),36.36)</f>
        <v>36.36</v>
      </c>
      <c r="C1508" s="2">
        <f>IFERROR(__xludf.DUMMYFUNCTION("""COMPUTED_VALUE"""),36.65)</f>
        <v>36.65</v>
      </c>
      <c r="D1508" s="2">
        <f>IFERROR(__xludf.DUMMYFUNCTION("""COMPUTED_VALUE"""),35.82)</f>
        <v>35.82</v>
      </c>
      <c r="E1508" s="2">
        <f>IFERROR(__xludf.DUMMYFUNCTION("""COMPUTED_VALUE"""),36.36)</f>
        <v>36.36</v>
      </c>
      <c r="F1508" s="2">
        <f>IFERROR(__xludf.DUMMYFUNCTION("""COMPUTED_VALUE"""),1586100.0)</f>
        <v>1586100</v>
      </c>
    </row>
    <row r="1509">
      <c r="A1509" s="3">
        <f>IFERROR(__xludf.DUMMYFUNCTION("""COMPUTED_VALUE"""),31398.666666666668)</f>
        <v>31398.66667</v>
      </c>
      <c r="B1509" s="2">
        <f>IFERROR(__xludf.DUMMYFUNCTION("""COMPUTED_VALUE"""),36.42)</f>
        <v>36.42</v>
      </c>
      <c r="C1509" s="2">
        <f>IFERROR(__xludf.DUMMYFUNCTION("""COMPUTED_VALUE"""),36.89)</f>
        <v>36.89</v>
      </c>
      <c r="D1509" s="2">
        <f>IFERROR(__xludf.DUMMYFUNCTION("""COMPUTED_VALUE"""),36.18)</f>
        <v>36.18</v>
      </c>
      <c r="E1509" s="2">
        <f>IFERROR(__xludf.DUMMYFUNCTION("""COMPUTED_VALUE"""),36.42)</f>
        <v>36.42</v>
      </c>
      <c r="F1509" s="2">
        <f>IFERROR(__xludf.DUMMYFUNCTION("""COMPUTED_VALUE"""),1786100.0)</f>
        <v>1786100</v>
      </c>
    </row>
    <row r="1510">
      <c r="A1510" s="3">
        <f>IFERROR(__xludf.DUMMYFUNCTION("""COMPUTED_VALUE"""),31399.666666666668)</f>
        <v>31399.66667</v>
      </c>
      <c r="B1510" s="2">
        <f>IFERROR(__xludf.DUMMYFUNCTION("""COMPUTED_VALUE"""),36.51)</f>
        <v>36.51</v>
      </c>
      <c r="C1510" s="2">
        <f>IFERROR(__xludf.DUMMYFUNCTION("""COMPUTED_VALUE"""),36.74)</f>
        <v>36.74</v>
      </c>
      <c r="D1510" s="2">
        <f>IFERROR(__xludf.DUMMYFUNCTION("""COMPUTED_VALUE"""),36.21)</f>
        <v>36.21</v>
      </c>
      <c r="E1510" s="2">
        <f>IFERROR(__xludf.DUMMYFUNCTION("""COMPUTED_VALUE"""),36.51)</f>
        <v>36.51</v>
      </c>
      <c r="F1510" s="2">
        <f>IFERROR(__xludf.DUMMYFUNCTION("""COMPUTED_VALUE"""),1525700.0)</f>
        <v>1525700</v>
      </c>
    </row>
    <row r="1511">
      <c r="A1511" s="3">
        <f>IFERROR(__xludf.DUMMYFUNCTION("""COMPUTED_VALUE"""),31400.666666666668)</f>
        <v>31400.66667</v>
      </c>
      <c r="B1511" s="2">
        <f>IFERROR(__xludf.DUMMYFUNCTION("""COMPUTED_VALUE"""),36.71)</f>
        <v>36.71</v>
      </c>
      <c r="C1511" s="2">
        <f>IFERROR(__xludf.DUMMYFUNCTION("""COMPUTED_VALUE"""),36.77)</f>
        <v>36.77</v>
      </c>
      <c r="D1511" s="2">
        <f>IFERROR(__xludf.DUMMYFUNCTION("""COMPUTED_VALUE"""),36.39)</f>
        <v>36.39</v>
      </c>
      <c r="E1511" s="2">
        <f>IFERROR(__xludf.DUMMYFUNCTION("""COMPUTED_VALUE"""),36.71)</f>
        <v>36.71</v>
      </c>
      <c r="F1511" s="2">
        <f>IFERROR(__xludf.DUMMYFUNCTION("""COMPUTED_VALUE"""),1105900.0)</f>
        <v>1105900</v>
      </c>
    </row>
    <row r="1512">
      <c r="A1512" s="3">
        <f>IFERROR(__xludf.DUMMYFUNCTION("""COMPUTED_VALUE"""),31401.666666666668)</f>
        <v>31401.66667</v>
      </c>
      <c r="B1512" s="2">
        <f>IFERROR(__xludf.DUMMYFUNCTION("""COMPUTED_VALUE"""),36.83)</f>
        <v>36.83</v>
      </c>
      <c r="C1512" s="2">
        <f>IFERROR(__xludf.DUMMYFUNCTION("""COMPUTED_VALUE"""),37.4)</f>
        <v>37.4</v>
      </c>
      <c r="D1512" s="2">
        <f>IFERROR(__xludf.DUMMYFUNCTION("""COMPUTED_VALUE"""),36.83)</f>
        <v>36.83</v>
      </c>
      <c r="E1512" s="2">
        <f>IFERROR(__xludf.DUMMYFUNCTION("""COMPUTED_VALUE"""),36.83)</f>
        <v>36.83</v>
      </c>
      <c r="F1512" s="2">
        <f>IFERROR(__xludf.DUMMYFUNCTION("""COMPUTED_VALUE"""),2128100.0)</f>
        <v>2128100</v>
      </c>
    </row>
    <row r="1513">
      <c r="A1513" s="3">
        <f>IFERROR(__xludf.DUMMYFUNCTION("""COMPUTED_VALUE"""),31404.666666666668)</f>
        <v>31404.66667</v>
      </c>
      <c r="B1513" s="2">
        <f>IFERROR(__xludf.DUMMYFUNCTION("""COMPUTED_VALUE"""),36.77)</f>
        <v>36.77</v>
      </c>
      <c r="C1513" s="2">
        <f>IFERROR(__xludf.DUMMYFUNCTION("""COMPUTED_VALUE"""),37.04)</f>
        <v>37.04</v>
      </c>
      <c r="D1513" s="2">
        <f>IFERROR(__xludf.DUMMYFUNCTION("""COMPUTED_VALUE"""),36.65)</f>
        <v>36.65</v>
      </c>
      <c r="E1513" s="2">
        <f>IFERROR(__xludf.DUMMYFUNCTION("""COMPUTED_VALUE"""),36.77)</f>
        <v>36.77</v>
      </c>
      <c r="F1513" s="2">
        <f>IFERROR(__xludf.DUMMYFUNCTION("""COMPUTED_VALUE"""),1220900.0)</f>
        <v>1220900</v>
      </c>
    </row>
    <row r="1514">
      <c r="A1514" s="3">
        <f>IFERROR(__xludf.DUMMYFUNCTION("""COMPUTED_VALUE"""),31405.666666666668)</f>
        <v>31405.66667</v>
      </c>
      <c r="B1514" s="2">
        <f>IFERROR(__xludf.DUMMYFUNCTION("""COMPUTED_VALUE"""),36.48)</f>
        <v>36.48</v>
      </c>
      <c r="C1514" s="2">
        <f>IFERROR(__xludf.DUMMYFUNCTION("""COMPUTED_VALUE"""),36.92)</f>
        <v>36.92</v>
      </c>
      <c r="D1514" s="2">
        <f>IFERROR(__xludf.DUMMYFUNCTION("""COMPUTED_VALUE"""),36.12)</f>
        <v>36.12</v>
      </c>
      <c r="E1514" s="2">
        <f>IFERROR(__xludf.DUMMYFUNCTION("""COMPUTED_VALUE"""),36.48)</f>
        <v>36.48</v>
      </c>
      <c r="F1514" s="2">
        <f>IFERROR(__xludf.DUMMYFUNCTION("""COMPUTED_VALUE"""),1011600.0)</f>
        <v>1011600</v>
      </c>
    </row>
    <row r="1515">
      <c r="A1515" s="3">
        <f>IFERROR(__xludf.DUMMYFUNCTION("""COMPUTED_VALUE"""),31407.666666666668)</f>
        <v>31407.66667</v>
      </c>
      <c r="B1515" s="2">
        <f>IFERROR(__xludf.DUMMYFUNCTION("""COMPUTED_VALUE"""),36.59)</f>
        <v>36.59</v>
      </c>
      <c r="C1515" s="2">
        <f>IFERROR(__xludf.DUMMYFUNCTION("""COMPUTED_VALUE"""),36.71)</f>
        <v>36.71</v>
      </c>
      <c r="D1515" s="2">
        <f>IFERROR(__xludf.DUMMYFUNCTION("""COMPUTED_VALUE"""),36.33)</f>
        <v>36.33</v>
      </c>
      <c r="E1515" s="2">
        <f>IFERROR(__xludf.DUMMYFUNCTION("""COMPUTED_VALUE"""),36.59)</f>
        <v>36.59</v>
      </c>
      <c r="F1515" s="2">
        <f>IFERROR(__xludf.DUMMYFUNCTION("""COMPUTED_VALUE"""),562700.0)</f>
        <v>562700</v>
      </c>
    </row>
    <row r="1516">
      <c r="A1516" s="3">
        <f>IFERROR(__xludf.DUMMYFUNCTION("""COMPUTED_VALUE"""),31408.666666666668)</f>
        <v>31408.66667</v>
      </c>
      <c r="B1516" s="2">
        <f>IFERROR(__xludf.DUMMYFUNCTION("""COMPUTED_VALUE"""),37.13)</f>
        <v>37.13</v>
      </c>
      <c r="C1516" s="2">
        <f>IFERROR(__xludf.DUMMYFUNCTION("""COMPUTED_VALUE"""),37.16)</f>
        <v>37.16</v>
      </c>
      <c r="D1516" s="2">
        <f>IFERROR(__xludf.DUMMYFUNCTION("""COMPUTED_VALUE"""),36.71)</f>
        <v>36.71</v>
      </c>
      <c r="E1516" s="2">
        <f>IFERROR(__xludf.DUMMYFUNCTION("""COMPUTED_VALUE"""),37.13)</f>
        <v>37.13</v>
      </c>
      <c r="F1516" s="2">
        <f>IFERROR(__xludf.DUMMYFUNCTION("""COMPUTED_VALUE"""),727100.0)</f>
        <v>727100</v>
      </c>
    </row>
    <row r="1517">
      <c r="A1517" s="3">
        <f>IFERROR(__xludf.DUMMYFUNCTION("""COMPUTED_VALUE"""),31411.666666666668)</f>
        <v>31411.66667</v>
      </c>
      <c r="B1517" s="2">
        <f>IFERROR(__xludf.DUMMYFUNCTION("""COMPUTED_VALUE"""),37.79)</f>
        <v>37.79</v>
      </c>
      <c r="C1517" s="2">
        <f>IFERROR(__xludf.DUMMYFUNCTION("""COMPUTED_VALUE"""),37.85)</f>
        <v>37.85</v>
      </c>
      <c r="D1517" s="2">
        <f>IFERROR(__xludf.DUMMYFUNCTION("""COMPUTED_VALUE"""),37.25)</f>
        <v>37.25</v>
      </c>
      <c r="E1517" s="2">
        <f>IFERROR(__xludf.DUMMYFUNCTION("""COMPUTED_VALUE"""),37.79)</f>
        <v>37.79</v>
      </c>
      <c r="F1517" s="2">
        <f>IFERROR(__xludf.DUMMYFUNCTION("""COMPUTED_VALUE"""),953200.0)</f>
        <v>953200</v>
      </c>
    </row>
    <row r="1518">
      <c r="A1518" s="3">
        <f>IFERROR(__xludf.DUMMYFUNCTION("""COMPUTED_VALUE"""),31412.666666666668)</f>
        <v>31412.66667</v>
      </c>
      <c r="B1518" s="2">
        <f>IFERROR(__xludf.DUMMYFUNCTION("""COMPUTED_VALUE"""),37.13)</f>
        <v>37.13</v>
      </c>
      <c r="C1518" s="2">
        <f>IFERROR(__xludf.DUMMYFUNCTION("""COMPUTED_VALUE"""),37.91)</f>
        <v>37.91</v>
      </c>
      <c r="D1518" s="2">
        <f>IFERROR(__xludf.DUMMYFUNCTION("""COMPUTED_VALUE"""),37.01)</f>
        <v>37.01</v>
      </c>
      <c r="E1518" s="2">
        <f>IFERROR(__xludf.DUMMYFUNCTION("""COMPUTED_VALUE"""),37.13)</f>
        <v>37.13</v>
      </c>
      <c r="F1518" s="2">
        <f>IFERROR(__xludf.DUMMYFUNCTION("""COMPUTED_VALUE"""),924100.0)</f>
        <v>924100</v>
      </c>
    </row>
    <row r="1519">
      <c r="A1519" s="3">
        <f>IFERROR(__xludf.DUMMYFUNCTION("""COMPUTED_VALUE"""),31414.666666666668)</f>
        <v>31414.66667</v>
      </c>
      <c r="B1519" s="2">
        <f>IFERROR(__xludf.DUMMYFUNCTION("""COMPUTED_VALUE"""),36.3)</f>
        <v>36.3</v>
      </c>
      <c r="C1519" s="2">
        <f>IFERROR(__xludf.DUMMYFUNCTION("""COMPUTED_VALUE"""),36.98)</f>
        <v>36.98</v>
      </c>
      <c r="D1519" s="2">
        <f>IFERROR(__xludf.DUMMYFUNCTION("""COMPUTED_VALUE"""),36.21)</f>
        <v>36.21</v>
      </c>
      <c r="E1519" s="2">
        <f>IFERROR(__xludf.DUMMYFUNCTION("""COMPUTED_VALUE"""),36.3)</f>
        <v>36.3</v>
      </c>
      <c r="F1519" s="2">
        <f>IFERROR(__xludf.DUMMYFUNCTION("""COMPUTED_VALUE"""),1804600.0)</f>
        <v>1804600</v>
      </c>
    </row>
    <row r="1520">
      <c r="A1520" s="3">
        <f>IFERROR(__xludf.DUMMYFUNCTION("""COMPUTED_VALUE"""),31415.666666666668)</f>
        <v>31415.66667</v>
      </c>
      <c r="B1520" s="2">
        <f>IFERROR(__xludf.DUMMYFUNCTION("""COMPUTED_VALUE"""),36.86)</f>
        <v>36.86</v>
      </c>
      <c r="C1520" s="2">
        <f>IFERROR(__xludf.DUMMYFUNCTION("""COMPUTED_VALUE"""),36.86)</f>
        <v>36.86</v>
      </c>
      <c r="D1520" s="2">
        <f>IFERROR(__xludf.DUMMYFUNCTION("""COMPUTED_VALUE"""),36.39)</f>
        <v>36.39</v>
      </c>
      <c r="E1520" s="2">
        <f>IFERROR(__xludf.DUMMYFUNCTION("""COMPUTED_VALUE"""),36.86)</f>
        <v>36.86</v>
      </c>
      <c r="F1520" s="2">
        <f>IFERROR(__xludf.DUMMYFUNCTION("""COMPUTED_VALUE"""),1059800.0)</f>
        <v>1059800</v>
      </c>
    </row>
    <row r="1521">
      <c r="A1521" s="3">
        <f>IFERROR(__xludf.DUMMYFUNCTION("""COMPUTED_VALUE"""),31418.666666666668)</f>
        <v>31418.66667</v>
      </c>
      <c r="B1521" s="2">
        <f>IFERROR(__xludf.DUMMYFUNCTION("""COMPUTED_VALUE"""),36.86)</f>
        <v>36.86</v>
      </c>
      <c r="C1521" s="2">
        <f>IFERROR(__xludf.DUMMYFUNCTION("""COMPUTED_VALUE"""),36.98)</f>
        <v>36.98</v>
      </c>
      <c r="D1521" s="2">
        <f>IFERROR(__xludf.DUMMYFUNCTION("""COMPUTED_VALUE"""),36.56)</f>
        <v>36.56</v>
      </c>
      <c r="E1521" s="2">
        <f>IFERROR(__xludf.DUMMYFUNCTION("""COMPUTED_VALUE"""),36.86)</f>
        <v>36.86</v>
      </c>
      <c r="F1521" s="2">
        <f>IFERROR(__xludf.DUMMYFUNCTION("""COMPUTED_VALUE"""),802200.0)</f>
        <v>802200</v>
      </c>
    </row>
    <row r="1522">
      <c r="A1522" s="3">
        <f>IFERROR(__xludf.DUMMYFUNCTION("""COMPUTED_VALUE"""),31419.666666666668)</f>
        <v>31419.66667</v>
      </c>
      <c r="B1522" s="2">
        <f>IFERROR(__xludf.DUMMYFUNCTION("""COMPUTED_VALUE"""),37.16)</f>
        <v>37.16</v>
      </c>
      <c r="C1522" s="2">
        <f>IFERROR(__xludf.DUMMYFUNCTION("""COMPUTED_VALUE"""),37.37)</f>
        <v>37.37</v>
      </c>
      <c r="D1522" s="2">
        <f>IFERROR(__xludf.DUMMYFUNCTION("""COMPUTED_VALUE"""),36.86)</f>
        <v>36.86</v>
      </c>
      <c r="E1522" s="2">
        <f>IFERROR(__xludf.DUMMYFUNCTION("""COMPUTED_VALUE"""),37.16)</f>
        <v>37.16</v>
      </c>
      <c r="F1522" s="2">
        <f>IFERROR(__xludf.DUMMYFUNCTION("""COMPUTED_VALUE"""),1443900.0)</f>
        <v>1443900</v>
      </c>
    </row>
    <row r="1523">
      <c r="A1523" s="3">
        <f>IFERROR(__xludf.DUMMYFUNCTION("""COMPUTED_VALUE"""),31420.666666666668)</f>
        <v>31420.66667</v>
      </c>
      <c r="B1523" s="2">
        <f>IFERROR(__xludf.DUMMYFUNCTION("""COMPUTED_VALUE"""),35.55)</f>
        <v>35.55</v>
      </c>
      <c r="C1523" s="2">
        <f>IFERROR(__xludf.DUMMYFUNCTION("""COMPUTED_VALUE"""),37.25)</f>
        <v>37.25</v>
      </c>
      <c r="D1523" s="2">
        <f>IFERROR(__xludf.DUMMYFUNCTION("""COMPUTED_VALUE"""),35.1)</f>
        <v>35.1</v>
      </c>
      <c r="E1523" s="2">
        <f>IFERROR(__xludf.DUMMYFUNCTION("""COMPUTED_VALUE"""),35.55)</f>
        <v>35.55</v>
      </c>
      <c r="F1523" s="2">
        <f>IFERROR(__xludf.DUMMYFUNCTION("""COMPUTED_VALUE"""),1958900.0)</f>
        <v>1958900</v>
      </c>
    </row>
    <row r="1524">
      <c r="A1524" s="3">
        <f>IFERROR(__xludf.DUMMYFUNCTION("""COMPUTED_VALUE"""),31421.666666666668)</f>
        <v>31421.66667</v>
      </c>
      <c r="B1524" s="2">
        <f>IFERROR(__xludf.DUMMYFUNCTION("""COMPUTED_VALUE"""),35.91)</f>
        <v>35.91</v>
      </c>
      <c r="C1524" s="2">
        <f>IFERROR(__xludf.DUMMYFUNCTION("""COMPUTED_VALUE"""),35.91)</f>
        <v>35.91</v>
      </c>
      <c r="D1524" s="2">
        <f>IFERROR(__xludf.DUMMYFUNCTION("""COMPUTED_VALUE"""),35.16)</f>
        <v>35.16</v>
      </c>
      <c r="E1524" s="2">
        <f>IFERROR(__xludf.DUMMYFUNCTION("""COMPUTED_VALUE"""),35.91)</f>
        <v>35.91</v>
      </c>
      <c r="F1524" s="2">
        <f>IFERROR(__xludf.DUMMYFUNCTION("""COMPUTED_VALUE"""),2218300.0)</f>
        <v>2218300</v>
      </c>
    </row>
    <row r="1525">
      <c r="A1525" s="3">
        <f>IFERROR(__xludf.DUMMYFUNCTION("""COMPUTED_VALUE"""),31422.666666666668)</f>
        <v>31422.66667</v>
      </c>
      <c r="B1525" s="2">
        <f>IFERROR(__xludf.DUMMYFUNCTION("""COMPUTED_VALUE"""),35.46)</f>
        <v>35.46</v>
      </c>
      <c r="C1525" s="2">
        <f>IFERROR(__xludf.DUMMYFUNCTION("""COMPUTED_VALUE"""),36.06)</f>
        <v>36.06</v>
      </c>
      <c r="D1525" s="2">
        <f>IFERROR(__xludf.DUMMYFUNCTION("""COMPUTED_VALUE"""),35.34)</f>
        <v>35.34</v>
      </c>
      <c r="E1525" s="2">
        <f>IFERROR(__xludf.DUMMYFUNCTION("""COMPUTED_VALUE"""),35.46)</f>
        <v>35.46</v>
      </c>
      <c r="F1525" s="2">
        <f>IFERROR(__xludf.DUMMYFUNCTION("""COMPUTED_VALUE"""),1290200.0)</f>
        <v>1290200</v>
      </c>
    </row>
    <row r="1526">
      <c r="A1526" s="3">
        <f>IFERROR(__xludf.DUMMYFUNCTION("""COMPUTED_VALUE"""),31425.666666666668)</f>
        <v>31425.66667</v>
      </c>
      <c r="B1526" s="2">
        <f>IFERROR(__xludf.DUMMYFUNCTION("""COMPUTED_VALUE"""),35.58)</f>
        <v>35.58</v>
      </c>
      <c r="C1526" s="2">
        <f>IFERROR(__xludf.DUMMYFUNCTION("""COMPUTED_VALUE"""),35.73)</f>
        <v>35.73</v>
      </c>
      <c r="D1526" s="2">
        <f>IFERROR(__xludf.DUMMYFUNCTION("""COMPUTED_VALUE"""),35.31)</f>
        <v>35.31</v>
      </c>
      <c r="E1526" s="2">
        <f>IFERROR(__xludf.DUMMYFUNCTION("""COMPUTED_VALUE"""),35.58)</f>
        <v>35.58</v>
      </c>
      <c r="F1526" s="2">
        <f>IFERROR(__xludf.DUMMYFUNCTION("""COMPUTED_VALUE"""),1145700.0)</f>
        <v>1145700</v>
      </c>
    </row>
    <row r="1527">
      <c r="A1527" s="3">
        <f>IFERROR(__xludf.DUMMYFUNCTION("""COMPUTED_VALUE"""),31426.666666666668)</f>
        <v>31426.66667</v>
      </c>
      <c r="B1527" s="2">
        <f>IFERROR(__xludf.DUMMYFUNCTION("""COMPUTED_VALUE"""),35.64)</f>
        <v>35.64</v>
      </c>
      <c r="C1527" s="2">
        <f>IFERROR(__xludf.DUMMYFUNCTION("""COMPUTED_VALUE"""),35.79)</f>
        <v>35.79</v>
      </c>
      <c r="D1527" s="2">
        <f>IFERROR(__xludf.DUMMYFUNCTION("""COMPUTED_VALUE"""),35.52)</f>
        <v>35.52</v>
      </c>
      <c r="E1527" s="2">
        <f>IFERROR(__xludf.DUMMYFUNCTION("""COMPUTED_VALUE"""),35.64)</f>
        <v>35.64</v>
      </c>
      <c r="F1527" s="2">
        <f>IFERROR(__xludf.DUMMYFUNCTION("""COMPUTED_VALUE"""),885100.0)</f>
        <v>885100</v>
      </c>
    </row>
    <row r="1528">
      <c r="A1528" s="3">
        <f>IFERROR(__xludf.DUMMYFUNCTION("""COMPUTED_VALUE"""),31427.666666666668)</f>
        <v>31427.66667</v>
      </c>
      <c r="B1528" s="2">
        <f>IFERROR(__xludf.DUMMYFUNCTION("""COMPUTED_VALUE"""),36.45)</f>
        <v>36.45</v>
      </c>
      <c r="C1528" s="2">
        <f>IFERROR(__xludf.DUMMYFUNCTION("""COMPUTED_VALUE"""),36.48)</f>
        <v>36.48</v>
      </c>
      <c r="D1528" s="2">
        <f>IFERROR(__xludf.DUMMYFUNCTION("""COMPUTED_VALUE"""),35.64)</f>
        <v>35.64</v>
      </c>
      <c r="E1528" s="2">
        <f>IFERROR(__xludf.DUMMYFUNCTION("""COMPUTED_VALUE"""),36.45)</f>
        <v>36.45</v>
      </c>
      <c r="F1528" s="2">
        <f>IFERROR(__xludf.DUMMYFUNCTION("""COMPUTED_VALUE"""),1393600.0)</f>
        <v>1393600</v>
      </c>
    </row>
    <row r="1529">
      <c r="A1529" s="3">
        <f>IFERROR(__xludf.DUMMYFUNCTION("""COMPUTED_VALUE"""),31428.666666666668)</f>
        <v>31428.66667</v>
      </c>
      <c r="B1529" s="2">
        <f>IFERROR(__xludf.DUMMYFUNCTION("""COMPUTED_VALUE"""),37.25)</f>
        <v>37.25</v>
      </c>
      <c r="C1529" s="2">
        <f>IFERROR(__xludf.DUMMYFUNCTION("""COMPUTED_VALUE"""),37.37)</f>
        <v>37.37</v>
      </c>
      <c r="D1529" s="2">
        <f>IFERROR(__xludf.DUMMYFUNCTION("""COMPUTED_VALUE"""),36.54)</f>
        <v>36.54</v>
      </c>
      <c r="E1529" s="2">
        <f>IFERROR(__xludf.DUMMYFUNCTION("""COMPUTED_VALUE"""),37.25)</f>
        <v>37.25</v>
      </c>
      <c r="F1529" s="2">
        <f>IFERROR(__xludf.DUMMYFUNCTION("""COMPUTED_VALUE"""),2014600.0)</f>
        <v>2014600</v>
      </c>
    </row>
    <row r="1530">
      <c r="A1530" s="3">
        <f>IFERROR(__xludf.DUMMYFUNCTION("""COMPUTED_VALUE"""),31429.666666666668)</f>
        <v>31429.66667</v>
      </c>
      <c r="B1530" s="2">
        <f>IFERROR(__xludf.DUMMYFUNCTION("""COMPUTED_VALUE"""),36.03)</f>
        <v>36.03</v>
      </c>
      <c r="C1530" s="2">
        <f>IFERROR(__xludf.DUMMYFUNCTION("""COMPUTED_VALUE"""),37.31)</f>
        <v>37.31</v>
      </c>
      <c r="D1530" s="2">
        <f>IFERROR(__xludf.DUMMYFUNCTION("""COMPUTED_VALUE"""),35.82)</f>
        <v>35.82</v>
      </c>
      <c r="E1530" s="2">
        <f>IFERROR(__xludf.DUMMYFUNCTION("""COMPUTED_VALUE"""),36.03)</f>
        <v>36.03</v>
      </c>
      <c r="F1530" s="2">
        <f>IFERROR(__xludf.DUMMYFUNCTION("""COMPUTED_VALUE"""),2507700.0)</f>
        <v>2507700</v>
      </c>
    </row>
    <row r="1531">
      <c r="A1531" s="3">
        <f>IFERROR(__xludf.DUMMYFUNCTION("""COMPUTED_VALUE"""),31432.666666666668)</f>
        <v>31432.66667</v>
      </c>
      <c r="B1531" s="2">
        <f>IFERROR(__xludf.DUMMYFUNCTION("""COMPUTED_VALUE"""),35.67)</f>
        <v>35.67</v>
      </c>
      <c r="C1531" s="2">
        <f>IFERROR(__xludf.DUMMYFUNCTION("""COMPUTED_VALUE"""),35.82)</f>
        <v>35.82</v>
      </c>
      <c r="D1531" s="2">
        <f>IFERROR(__xludf.DUMMYFUNCTION("""COMPUTED_VALUE"""),35.4)</f>
        <v>35.4</v>
      </c>
      <c r="E1531" s="2">
        <f>IFERROR(__xludf.DUMMYFUNCTION("""COMPUTED_VALUE"""),35.67)</f>
        <v>35.67</v>
      </c>
      <c r="F1531" s="2">
        <f>IFERROR(__xludf.DUMMYFUNCTION("""COMPUTED_VALUE"""),1438800.0)</f>
        <v>1438800</v>
      </c>
    </row>
    <row r="1532">
      <c r="A1532" s="3">
        <f>IFERROR(__xludf.DUMMYFUNCTION("""COMPUTED_VALUE"""),31433.666666666668)</f>
        <v>31433.66667</v>
      </c>
      <c r="B1532" s="2">
        <f>IFERROR(__xludf.DUMMYFUNCTION("""COMPUTED_VALUE"""),35.7)</f>
        <v>35.7</v>
      </c>
      <c r="C1532" s="2">
        <f>IFERROR(__xludf.DUMMYFUNCTION("""COMPUTED_VALUE"""),35.91)</f>
        <v>35.91</v>
      </c>
      <c r="D1532" s="2">
        <f>IFERROR(__xludf.DUMMYFUNCTION("""COMPUTED_VALUE"""),35.46)</f>
        <v>35.46</v>
      </c>
      <c r="E1532" s="2">
        <f>IFERROR(__xludf.DUMMYFUNCTION("""COMPUTED_VALUE"""),35.7)</f>
        <v>35.7</v>
      </c>
      <c r="F1532" s="2">
        <f>IFERROR(__xludf.DUMMYFUNCTION("""COMPUTED_VALUE"""),1349600.0)</f>
        <v>1349600</v>
      </c>
    </row>
    <row r="1533">
      <c r="A1533" s="3">
        <f>IFERROR(__xludf.DUMMYFUNCTION("""COMPUTED_VALUE"""),31434.666666666668)</f>
        <v>31434.66667</v>
      </c>
      <c r="B1533" s="2">
        <f>IFERROR(__xludf.DUMMYFUNCTION("""COMPUTED_VALUE"""),34.45)</f>
        <v>34.45</v>
      </c>
      <c r="C1533" s="2">
        <f>IFERROR(__xludf.DUMMYFUNCTION("""COMPUTED_VALUE"""),35.82)</f>
        <v>35.82</v>
      </c>
      <c r="D1533" s="2">
        <f>IFERROR(__xludf.DUMMYFUNCTION("""COMPUTED_VALUE"""),34.15)</f>
        <v>34.15</v>
      </c>
      <c r="E1533" s="2">
        <f>IFERROR(__xludf.DUMMYFUNCTION("""COMPUTED_VALUE"""),34.45)</f>
        <v>34.45</v>
      </c>
      <c r="F1533" s="2">
        <f>IFERROR(__xludf.DUMMYFUNCTION("""COMPUTED_VALUE"""),1535800.0)</f>
        <v>1535800</v>
      </c>
    </row>
    <row r="1534">
      <c r="A1534" s="3">
        <f>IFERROR(__xludf.DUMMYFUNCTION("""COMPUTED_VALUE"""),31435.666666666668)</f>
        <v>31435.66667</v>
      </c>
      <c r="B1534" s="2">
        <f>IFERROR(__xludf.DUMMYFUNCTION("""COMPUTED_VALUE"""),35.34)</f>
        <v>35.34</v>
      </c>
      <c r="C1534" s="2">
        <f>IFERROR(__xludf.DUMMYFUNCTION("""COMPUTED_VALUE"""),35.34)</f>
        <v>35.34</v>
      </c>
      <c r="D1534" s="2">
        <f>IFERROR(__xludf.DUMMYFUNCTION("""COMPUTED_VALUE"""),34.42)</f>
        <v>34.42</v>
      </c>
      <c r="E1534" s="2">
        <f>IFERROR(__xludf.DUMMYFUNCTION("""COMPUTED_VALUE"""),35.34)</f>
        <v>35.34</v>
      </c>
      <c r="F1534" s="2">
        <f>IFERROR(__xludf.DUMMYFUNCTION("""COMPUTED_VALUE"""),1352700.0)</f>
        <v>1352700</v>
      </c>
    </row>
    <row r="1535">
      <c r="A1535" s="3">
        <f>IFERROR(__xludf.DUMMYFUNCTION("""COMPUTED_VALUE"""),31436.666666666668)</f>
        <v>31436.66667</v>
      </c>
      <c r="B1535" s="2">
        <f>IFERROR(__xludf.DUMMYFUNCTION("""COMPUTED_VALUE"""),35.82)</f>
        <v>35.82</v>
      </c>
      <c r="C1535" s="2">
        <f>IFERROR(__xludf.DUMMYFUNCTION("""COMPUTED_VALUE"""),35.94)</f>
        <v>35.94</v>
      </c>
      <c r="D1535" s="2">
        <f>IFERROR(__xludf.DUMMYFUNCTION("""COMPUTED_VALUE"""),35.31)</f>
        <v>35.31</v>
      </c>
      <c r="E1535" s="2">
        <f>IFERROR(__xludf.DUMMYFUNCTION("""COMPUTED_VALUE"""),35.82)</f>
        <v>35.82</v>
      </c>
      <c r="F1535" s="2">
        <f>IFERROR(__xludf.DUMMYFUNCTION("""COMPUTED_VALUE"""),1411000.0)</f>
        <v>1411000</v>
      </c>
    </row>
    <row r="1536">
      <c r="A1536" s="3">
        <f>IFERROR(__xludf.DUMMYFUNCTION("""COMPUTED_VALUE"""),31439.666666666668)</f>
        <v>31439.66667</v>
      </c>
      <c r="B1536" s="2">
        <f>IFERROR(__xludf.DUMMYFUNCTION("""COMPUTED_VALUE"""),35.73)</f>
        <v>35.73</v>
      </c>
      <c r="C1536" s="2">
        <f>IFERROR(__xludf.DUMMYFUNCTION("""COMPUTED_VALUE"""),36.12)</f>
        <v>36.12</v>
      </c>
      <c r="D1536" s="2">
        <f>IFERROR(__xludf.DUMMYFUNCTION("""COMPUTED_VALUE"""),35.4)</f>
        <v>35.4</v>
      </c>
      <c r="E1536" s="2">
        <f>IFERROR(__xludf.DUMMYFUNCTION("""COMPUTED_VALUE"""),35.73)</f>
        <v>35.73</v>
      </c>
      <c r="F1536" s="2">
        <f>IFERROR(__xludf.DUMMYFUNCTION("""COMPUTED_VALUE"""),1125800.0)</f>
        <v>1125800</v>
      </c>
    </row>
    <row r="1537">
      <c r="A1537" s="3">
        <f>IFERROR(__xludf.DUMMYFUNCTION("""COMPUTED_VALUE"""),31440.666666666668)</f>
        <v>31440.66667</v>
      </c>
      <c r="B1537" s="2">
        <f>IFERROR(__xludf.DUMMYFUNCTION("""COMPUTED_VALUE"""),36.24)</f>
        <v>36.24</v>
      </c>
      <c r="C1537" s="2">
        <f>IFERROR(__xludf.DUMMYFUNCTION("""COMPUTED_VALUE"""),36.24)</f>
        <v>36.24</v>
      </c>
      <c r="D1537" s="2">
        <f>IFERROR(__xludf.DUMMYFUNCTION("""COMPUTED_VALUE"""),35.58)</f>
        <v>35.58</v>
      </c>
      <c r="E1537" s="2">
        <f>IFERROR(__xludf.DUMMYFUNCTION("""COMPUTED_VALUE"""),36.24)</f>
        <v>36.24</v>
      </c>
      <c r="F1537" s="2">
        <f>IFERROR(__xludf.DUMMYFUNCTION("""COMPUTED_VALUE"""),1115800.0)</f>
        <v>1115800</v>
      </c>
    </row>
    <row r="1538">
      <c r="A1538" s="3">
        <f>IFERROR(__xludf.DUMMYFUNCTION("""COMPUTED_VALUE"""),31441.666666666668)</f>
        <v>31441.66667</v>
      </c>
      <c r="B1538" s="2">
        <f>IFERROR(__xludf.DUMMYFUNCTION("""COMPUTED_VALUE"""),36.06)</f>
        <v>36.06</v>
      </c>
      <c r="C1538" s="2">
        <f>IFERROR(__xludf.DUMMYFUNCTION("""COMPUTED_VALUE"""),36.68)</f>
        <v>36.68</v>
      </c>
      <c r="D1538" s="2">
        <f>IFERROR(__xludf.DUMMYFUNCTION("""COMPUTED_VALUE"""),35.91)</f>
        <v>35.91</v>
      </c>
      <c r="E1538" s="2">
        <f>IFERROR(__xludf.DUMMYFUNCTION("""COMPUTED_VALUE"""),36.06)</f>
        <v>36.06</v>
      </c>
      <c r="F1538" s="2">
        <f>IFERROR(__xludf.DUMMYFUNCTION("""COMPUTED_VALUE"""),1658700.0)</f>
        <v>1658700</v>
      </c>
    </row>
    <row r="1539">
      <c r="A1539" s="3">
        <f>IFERROR(__xludf.DUMMYFUNCTION("""COMPUTED_VALUE"""),31442.666666666668)</f>
        <v>31442.66667</v>
      </c>
      <c r="B1539" s="2">
        <f>IFERROR(__xludf.DUMMYFUNCTION("""COMPUTED_VALUE"""),35.7)</f>
        <v>35.7</v>
      </c>
      <c r="C1539" s="2">
        <f>IFERROR(__xludf.DUMMYFUNCTION("""COMPUTED_VALUE"""),36.09)</f>
        <v>36.09</v>
      </c>
      <c r="D1539" s="2">
        <f>IFERROR(__xludf.DUMMYFUNCTION("""COMPUTED_VALUE"""),35.49)</f>
        <v>35.49</v>
      </c>
      <c r="E1539" s="2">
        <f>IFERROR(__xludf.DUMMYFUNCTION("""COMPUTED_VALUE"""),35.7)</f>
        <v>35.7</v>
      </c>
      <c r="F1539" s="2">
        <f>IFERROR(__xludf.DUMMYFUNCTION("""COMPUTED_VALUE"""),955900.0)</f>
        <v>955900</v>
      </c>
    </row>
    <row r="1540">
      <c r="A1540" s="3">
        <f>IFERROR(__xludf.DUMMYFUNCTION("""COMPUTED_VALUE"""),31443.666666666668)</f>
        <v>31443.66667</v>
      </c>
      <c r="B1540" s="2">
        <f>IFERROR(__xludf.DUMMYFUNCTION("""COMPUTED_VALUE"""),36.18)</f>
        <v>36.18</v>
      </c>
      <c r="C1540" s="2">
        <f>IFERROR(__xludf.DUMMYFUNCTION("""COMPUTED_VALUE"""),36.65)</f>
        <v>36.65</v>
      </c>
      <c r="D1540" s="2">
        <f>IFERROR(__xludf.DUMMYFUNCTION("""COMPUTED_VALUE"""),35.67)</f>
        <v>35.67</v>
      </c>
      <c r="E1540" s="2">
        <f>IFERROR(__xludf.DUMMYFUNCTION("""COMPUTED_VALUE"""),36.18)</f>
        <v>36.18</v>
      </c>
      <c r="F1540" s="2">
        <f>IFERROR(__xludf.DUMMYFUNCTION("""COMPUTED_VALUE"""),1423000.0)</f>
        <v>1423000</v>
      </c>
    </row>
    <row r="1541">
      <c r="A1541" s="3">
        <f>IFERROR(__xludf.DUMMYFUNCTION("""COMPUTED_VALUE"""),31446.666666666668)</f>
        <v>31446.66667</v>
      </c>
      <c r="B1541" s="2">
        <f>IFERROR(__xludf.DUMMYFUNCTION("""COMPUTED_VALUE"""),36.92)</f>
        <v>36.92</v>
      </c>
      <c r="C1541" s="2">
        <f>IFERROR(__xludf.DUMMYFUNCTION("""COMPUTED_VALUE"""),36.92)</f>
        <v>36.92</v>
      </c>
      <c r="D1541" s="2">
        <f>IFERROR(__xludf.DUMMYFUNCTION("""COMPUTED_VALUE"""),36.21)</f>
        <v>36.21</v>
      </c>
      <c r="E1541" s="2">
        <f>IFERROR(__xludf.DUMMYFUNCTION("""COMPUTED_VALUE"""),36.92)</f>
        <v>36.92</v>
      </c>
      <c r="F1541" s="2">
        <f>IFERROR(__xludf.DUMMYFUNCTION("""COMPUTED_VALUE"""),1387100.0)</f>
        <v>1387100</v>
      </c>
    </row>
    <row r="1542">
      <c r="A1542" s="3">
        <f>IFERROR(__xludf.DUMMYFUNCTION("""COMPUTED_VALUE"""),31447.666666666668)</f>
        <v>31447.66667</v>
      </c>
      <c r="B1542" s="2">
        <f>IFERROR(__xludf.DUMMYFUNCTION("""COMPUTED_VALUE"""),36.77)</f>
        <v>36.77</v>
      </c>
      <c r="C1542" s="2">
        <f>IFERROR(__xludf.DUMMYFUNCTION("""COMPUTED_VALUE"""),37.13)</f>
        <v>37.13</v>
      </c>
      <c r="D1542" s="2">
        <f>IFERROR(__xludf.DUMMYFUNCTION("""COMPUTED_VALUE"""),36.24)</f>
        <v>36.24</v>
      </c>
      <c r="E1542" s="2">
        <f>IFERROR(__xludf.DUMMYFUNCTION("""COMPUTED_VALUE"""),36.77)</f>
        <v>36.77</v>
      </c>
      <c r="F1542" s="2">
        <f>IFERROR(__xludf.DUMMYFUNCTION("""COMPUTED_VALUE"""),1730900.0)</f>
        <v>1730900</v>
      </c>
    </row>
    <row r="1543">
      <c r="A1543" s="3">
        <f>IFERROR(__xludf.DUMMYFUNCTION("""COMPUTED_VALUE"""),31448.666666666668)</f>
        <v>31448.66667</v>
      </c>
      <c r="B1543" s="2">
        <f>IFERROR(__xludf.DUMMYFUNCTION("""COMPUTED_VALUE"""),36.98)</f>
        <v>36.98</v>
      </c>
      <c r="C1543" s="2">
        <f>IFERROR(__xludf.DUMMYFUNCTION("""COMPUTED_VALUE"""),37.01)</f>
        <v>37.01</v>
      </c>
      <c r="D1543" s="2">
        <f>IFERROR(__xludf.DUMMYFUNCTION("""COMPUTED_VALUE"""),36.33)</f>
        <v>36.33</v>
      </c>
      <c r="E1543" s="2">
        <f>IFERROR(__xludf.DUMMYFUNCTION("""COMPUTED_VALUE"""),36.98)</f>
        <v>36.98</v>
      </c>
      <c r="F1543" s="2">
        <f>IFERROR(__xludf.DUMMYFUNCTION("""COMPUTED_VALUE"""),1027800.0)</f>
        <v>1027800</v>
      </c>
    </row>
    <row r="1544">
      <c r="A1544" s="3">
        <f>IFERROR(__xludf.DUMMYFUNCTION("""COMPUTED_VALUE"""),31449.666666666668)</f>
        <v>31449.66667</v>
      </c>
      <c r="B1544" s="2">
        <f>IFERROR(__xludf.DUMMYFUNCTION("""COMPUTED_VALUE"""),37.01)</f>
        <v>37.01</v>
      </c>
      <c r="C1544" s="2">
        <f>IFERROR(__xludf.DUMMYFUNCTION("""COMPUTED_VALUE"""),37.25)</f>
        <v>37.25</v>
      </c>
      <c r="D1544" s="2">
        <f>IFERROR(__xludf.DUMMYFUNCTION("""COMPUTED_VALUE"""),36.77)</f>
        <v>36.77</v>
      </c>
      <c r="E1544" s="2">
        <f>IFERROR(__xludf.DUMMYFUNCTION("""COMPUTED_VALUE"""),37.01)</f>
        <v>37.01</v>
      </c>
      <c r="F1544" s="2">
        <f>IFERROR(__xludf.DUMMYFUNCTION("""COMPUTED_VALUE"""),1354600.0)</f>
        <v>1354600</v>
      </c>
    </row>
    <row r="1545">
      <c r="A1545" s="3">
        <f>IFERROR(__xludf.DUMMYFUNCTION("""COMPUTED_VALUE"""),31450.666666666668)</f>
        <v>31450.66667</v>
      </c>
      <c r="B1545" s="2">
        <f>IFERROR(__xludf.DUMMYFUNCTION("""COMPUTED_VALUE"""),37.19)</f>
        <v>37.19</v>
      </c>
      <c r="C1545" s="2">
        <f>IFERROR(__xludf.DUMMYFUNCTION("""COMPUTED_VALUE"""),37.55)</f>
        <v>37.55</v>
      </c>
      <c r="D1545" s="2">
        <f>IFERROR(__xludf.DUMMYFUNCTION("""COMPUTED_VALUE"""),36.06)</f>
        <v>36.06</v>
      </c>
      <c r="E1545" s="2">
        <f>IFERROR(__xludf.DUMMYFUNCTION("""COMPUTED_VALUE"""),37.19)</f>
        <v>37.19</v>
      </c>
      <c r="F1545" s="2">
        <f>IFERROR(__xludf.DUMMYFUNCTION("""COMPUTED_VALUE"""),1842800.0)</f>
        <v>1842800</v>
      </c>
    </row>
    <row r="1546">
      <c r="A1546" s="3">
        <f>IFERROR(__xludf.DUMMYFUNCTION("""COMPUTED_VALUE"""),31453.666666666668)</f>
        <v>31453.66667</v>
      </c>
      <c r="B1546" s="2">
        <f>IFERROR(__xludf.DUMMYFUNCTION("""COMPUTED_VALUE"""),37.55)</f>
        <v>37.55</v>
      </c>
      <c r="C1546" s="2">
        <f>IFERROR(__xludf.DUMMYFUNCTION("""COMPUTED_VALUE"""),37.64)</f>
        <v>37.64</v>
      </c>
      <c r="D1546" s="2">
        <f>IFERROR(__xludf.DUMMYFUNCTION("""COMPUTED_VALUE"""),37.1)</f>
        <v>37.1</v>
      </c>
      <c r="E1546" s="2">
        <f>IFERROR(__xludf.DUMMYFUNCTION("""COMPUTED_VALUE"""),37.55)</f>
        <v>37.55</v>
      </c>
      <c r="F1546" s="2">
        <f>IFERROR(__xludf.DUMMYFUNCTION("""COMPUTED_VALUE"""),1401700.0)</f>
        <v>1401700</v>
      </c>
    </row>
    <row r="1547">
      <c r="A1547" s="3">
        <f>IFERROR(__xludf.DUMMYFUNCTION("""COMPUTED_VALUE"""),31454.666666666668)</f>
        <v>31454.66667</v>
      </c>
      <c r="B1547" s="2">
        <f>IFERROR(__xludf.DUMMYFUNCTION("""COMPUTED_VALUE"""),37.43)</f>
        <v>37.43</v>
      </c>
      <c r="C1547" s="2">
        <f>IFERROR(__xludf.DUMMYFUNCTION("""COMPUTED_VALUE"""),37.79)</f>
        <v>37.79</v>
      </c>
      <c r="D1547" s="2">
        <f>IFERROR(__xludf.DUMMYFUNCTION("""COMPUTED_VALUE"""),37.25)</f>
        <v>37.25</v>
      </c>
      <c r="E1547" s="2">
        <f>IFERROR(__xludf.DUMMYFUNCTION("""COMPUTED_VALUE"""),37.43)</f>
        <v>37.43</v>
      </c>
      <c r="F1547" s="2">
        <f>IFERROR(__xludf.DUMMYFUNCTION("""COMPUTED_VALUE"""),1455300.0)</f>
        <v>1455300</v>
      </c>
    </row>
    <row r="1548">
      <c r="A1548" s="3">
        <f>IFERROR(__xludf.DUMMYFUNCTION("""COMPUTED_VALUE"""),31455.666666666668)</f>
        <v>31455.66667</v>
      </c>
      <c r="B1548" s="2">
        <f>IFERROR(__xludf.DUMMYFUNCTION("""COMPUTED_VALUE"""),37.01)</f>
        <v>37.01</v>
      </c>
      <c r="C1548" s="2">
        <f>IFERROR(__xludf.DUMMYFUNCTION("""COMPUTED_VALUE"""),37.55)</f>
        <v>37.55</v>
      </c>
      <c r="D1548" s="2">
        <f>IFERROR(__xludf.DUMMYFUNCTION("""COMPUTED_VALUE"""),36.71)</f>
        <v>36.71</v>
      </c>
      <c r="E1548" s="2">
        <f>IFERROR(__xludf.DUMMYFUNCTION("""COMPUTED_VALUE"""),37.01)</f>
        <v>37.01</v>
      </c>
      <c r="F1548" s="2">
        <f>IFERROR(__xludf.DUMMYFUNCTION("""COMPUTED_VALUE"""),1734500.0)</f>
        <v>1734500</v>
      </c>
    </row>
    <row r="1549">
      <c r="A1549" s="3">
        <f>IFERROR(__xludf.DUMMYFUNCTION("""COMPUTED_VALUE"""),31456.666666666668)</f>
        <v>31456.66667</v>
      </c>
      <c r="B1549" s="2">
        <f>IFERROR(__xludf.DUMMYFUNCTION("""COMPUTED_VALUE"""),37.16)</f>
        <v>37.16</v>
      </c>
      <c r="C1549" s="2">
        <f>IFERROR(__xludf.DUMMYFUNCTION("""COMPUTED_VALUE"""),37.22)</f>
        <v>37.22</v>
      </c>
      <c r="D1549" s="2">
        <f>IFERROR(__xludf.DUMMYFUNCTION("""COMPUTED_VALUE"""),36.65)</f>
        <v>36.65</v>
      </c>
      <c r="E1549" s="2">
        <f>IFERROR(__xludf.DUMMYFUNCTION("""COMPUTED_VALUE"""),37.16)</f>
        <v>37.16</v>
      </c>
      <c r="F1549" s="2">
        <f>IFERROR(__xludf.DUMMYFUNCTION("""COMPUTED_VALUE"""),1253000.0)</f>
        <v>1253000</v>
      </c>
    </row>
    <row r="1550">
      <c r="A1550" s="3">
        <f>IFERROR(__xludf.DUMMYFUNCTION("""COMPUTED_VALUE"""),31457.666666666668)</f>
        <v>31457.66667</v>
      </c>
      <c r="B1550" s="2">
        <f>IFERROR(__xludf.DUMMYFUNCTION("""COMPUTED_VALUE"""),37.31)</f>
        <v>37.31</v>
      </c>
      <c r="C1550" s="2">
        <f>IFERROR(__xludf.DUMMYFUNCTION("""COMPUTED_VALUE"""),37.7)</f>
        <v>37.7</v>
      </c>
      <c r="D1550" s="2">
        <f>IFERROR(__xludf.DUMMYFUNCTION("""COMPUTED_VALUE"""),37.07)</f>
        <v>37.07</v>
      </c>
      <c r="E1550" s="2">
        <f>IFERROR(__xludf.DUMMYFUNCTION("""COMPUTED_VALUE"""),37.31)</f>
        <v>37.31</v>
      </c>
      <c r="F1550" s="2">
        <f>IFERROR(__xludf.DUMMYFUNCTION("""COMPUTED_VALUE"""),1738800.0)</f>
        <v>1738800</v>
      </c>
    </row>
    <row r="1551">
      <c r="A1551" s="3">
        <f>IFERROR(__xludf.DUMMYFUNCTION("""COMPUTED_VALUE"""),31461.666666666668)</f>
        <v>31461.66667</v>
      </c>
      <c r="B1551" s="2">
        <f>IFERROR(__xludf.DUMMYFUNCTION("""COMPUTED_VALUE"""),37.94)</f>
        <v>37.94</v>
      </c>
      <c r="C1551" s="2">
        <f>IFERROR(__xludf.DUMMYFUNCTION("""COMPUTED_VALUE"""),38.15)</f>
        <v>38.15</v>
      </c>
      <c r="D1551" s="2">
        <f>IFERROR(__xludf.DUMMYFUNCTION("""COMPUTED_VALUE"""),37.25)</f>
        <v>37.25</v>
      </c>
      <c r="E1551" s="2">
        <f>IFERROR(__xludf.DUMMYFUNCTION("""COMPUTED_VALUE"""),37.94)</f>
        <v>37.94</v>
      </c>
      <c r="F1551" s="2">
        <f>IFERROR(__xludf.DUMMYFUNCTION("""COMPUTED_VALUE"""),1852300.0)</f>
        <v>1852300</v>
      </c>
    </row>
    <row r="1552">
      <c r="A1552" s="3">
        <f>IFERROR(__xludf.DUMMYFUNCTION("""COMPUTED_VALUE"""),31462.666666666668)</f>
        <v>31462.66667</v>
      </c>
      <c r="B1552" s="2">
        <f>IFERROR(__xludf.DUMMYFUNCTION("""COMPUTED_VALUE"""),37.61)</f>
        <v>37.61</v>
      </c>
      <c r="C1552" s="2">
        <f>IFERROR(__xludf.DUMMYFUNCTION("""COMPUTED_VALUE"""),38.3)</f>
        <v>38.3</v>
      </c>
      <c r="D1552" s="2">
        <f>IFERROR(__xludf.DUMMYFUNCTION("""COMPUTED_VALUE"""),37.52)</f>
        <v>37.52</v>
      </c>
      <c r="E1552" s="2">
        <f>IFERROR(__xludf.DUMMYFUNCTION("""COMPUTED_VALUE"""),37.61)</f>
        <v>37.61</v>
      </c>
      <c r="F1552" s="2">
        <f>IFERROR(__xludf.DUMMYFUNCTION("""COMPUTED_VALUE"""),1643000.0)</f>
        <v>1643000</v>
      </c>
    </row>
    <row r="1553">
      <c r="A1553" s="3">
        <f>IFERROR(__xludf.DUMMYFUNCTION("""COMPUTED_VALUE"""),31463.666666666668)</f>
        <v>31463.66667</v>
      </c>
      <c r="B1553" s="2">
        <f>IFERROR(__xludf.DUMMYFUNCTION("""COMPUTED_VALUE"""),38.0)</f>
        <v>38</v>
      </c>
      <c r="C1553" s="2">
        <f>IFERROR(__xludf.DUMMYFUNCTION("""COMPUTED_VALUE"""),38.0)</f>
        <v>38</v>
      </c>
      <c r="D1553" s="2">
        <f>IFERROR(__xludf.DUMMYFUNCTION("""COMPUTED_VALUE"""),37.52)</f>
        <v>37.52</v>
      </c>
      <c r="E1553" s="2">
        <f>IFERROR(__xludf.DUMMYFUNCTION("""COMPUTED_VALUE"""),38.0)</f>
        <v>38</v>
      </c>
      <c r="F1553" s="2">
        <f>IFERROR(__xludf.DUMMYFUNCTION("""COMPUTED_VALUE"""),1304200.0)</f>
        <v>1304200</v>
      </c>
    </row>
    <row r="1554">
      <c r="A1554" s="3">
        <f>IFERROR(__xludf.DUMMYFUNCTION("""COMPUTED_VALUE"""),31464.666666666668)</f>
        <v>31464.66667</v>
      </c>
      <c r="B1554" s="2">
        <f>IFERROR(__xludf.DUMMYFUNCTION("""COMPUTED_VALUE"""),38.15)</f>
        <v>38.15</v>
      </c>
      <c r="C1554" s="2">
        <f>IFERROR(__xludf.DUMMYFUNCTION("""COMPUTED_VALUE"""),38.45)</f>
        <v>38.45</v>
      </c>
      <c r="D1554" s="2">
        <f>IFERROR(__xludf.DUMMYFUNCTION("""COMPUTED_VALUE"""),38.0)</f>
        <v>38</v>
      </c>
      <c r="E1554" s="2">
        <f>IFERROR(__xludf.DUMMYFUNCTION("""COMPUTED_VALUE"""),38.15)</f>
        <v>38.15</v>
      </c>
      <c r="F1554" s="2">
        <f>IFERROR(__xludf.DUMMYFUNCTION("""COMPUTED_VALUE"""),1794100.0)</f>
        <v>1794100</v>
      </c>
    </row>
    <row r="1555">
      <c r="A1555" s="3">
        <f>IFERROR(__xludf.DUMMYFUNCTION("""COMPUTED_VALUE"""),31467.666666666668)</f>
        <v>31467.66667</v>
      </c>
      <c r="B1555" s="2">
        <f>IFERROR(__xludf.DUMMYFUNCTION("""COMPUTED_VALUE"""),37.94)</f>
        <v>37.94</v>
      </c>
      <c r="C1555" s="2">
        <f>IFERROR(__xludf.DUMMYFUNCTION("""COMPUTED_VALUE"""),38.21)</f>
        <v>38.21</v>
      </c>
      <c r="D1555" s="2">
        <f>IFERROR(__xludf.DUMMYFUNCTION("""COMPUTED_VALUE"""),37.67)</f>
        <v>37.67</v>
      </c>
      <c r="E1555" s="2">
        <f>IFERROR(__xludf.DUMMYFUNCTION("""COMPUTED_VALUE"""),37.94)</f>
        <v>37.94</v>
      </c>
      <c r="F1555" s="2">
        <f>IFERROR(__xludf.DUMMYFUNCTION("""COMPUTED_VALUE"""),1720100.0)</f>
        <v>1720100</v>
      </c>
    </row>
    <row r="1556">
      <c r="A1556" s="3">
        <f>IFERROR(__xludf.DUMMYFUNCTION("""COMPUTED_VALUE"""),31468.666666666668)</f>
        <v>31468.66667</v>
      </c>
      <c r="B1556" s="2">
        <f>IFERROR(__xludf.DUMMYFUNCTION("""COMPUTED_VALUE"""),37.61)</f>
        <v>37.61</v>
      </c>
      <c r="C1556" s="2">
        <f>IFERROR(__xludf.DUMMYFUNCTION("""COMPUTED_VALUE"""),37.88)</f>
        <v>37.88</v>
      </c>
      <c r="D1556" s="2">
        <f>IFERROR(__xludf.DUMMYFUNCTION("""COMPUTED_VALUE"""),37.37)</f>
        <v>37.37</v>
      </c>
      <c r="E1556" s="2">
        <f>IFERROR(__xludf.DUMMYFUNCTION("""COMPUTED_VALUE"""),37.61)</f>
        <v>37.61</v>
      </c>
      <c r="F1556" s="2">
        <f>IFERROR(__xludf.DUMMYFUNCTION("""COMPUTED_VALUE"""),1225400.0)</f>
        <v>1225400</v>
      </c>
    </row>
    <row r="1557">
      <c r="A1557" s="3">
        <f>IFERROR(__xludf.DUMMYFUNCTION("""COMPUTED_VALUE"""),31469.666666666668)</f>
        <v>31469.66667</v>
      </c>
      <c r="B1557" s="2">
        <f>IFERROR(__xludf.DUMMYFUNCTION("""COMPUTED_VALUE"""),37.79)</f>
        <v>37.79</v>
      </c>
      <c r="C1557" s="2">
        <f>IFERROR(__xludf.DUMMYFUNCTION("""COMPUTED_VALUE"""),38.0)</f>
        <v>38</v>
      </c>
      <c r="D1557" s="2">
        <f>IFERROR(__xludf.DUMMYFUNCTION("""COMPUTED_VALUE"""),37.58)</f>
        <v>37.58</v>
      </c>
      <c r="E1557" s="2">
        <f>IFERROR(__xludf.DUMMYFUNCTION("""COMPUTED_VALUE"""),37.79)</f>
        <v>37.79</v>
      </c>
      <c r="F1557" s="2">
        <f>IFERROR(__xludf.DUMMYFUNCTION("""COMPUTED_VALUE"""),1129500.0)</f>
        <v>1129500</v>
      </c>
    </row>
    <row r="1558">
      <c r="A1558" s="3">
        <f>IFERROR(__xludf.DUMMYFUNCTION("""COMPUTED_VALUE"""),31470.666666666668)</f>
        <v>31470.66667</v>
      </c>
      <c r="B1558" s="2">
        <f>IFERROR(__xludf.DUMMYFUNCTION("""COMPUTED_VALUE"""),37.22)</f>
        <v>37.22</v>
      </c>
      <c r="C1558" s="2">
        <f>IFERROR(__xludf.DUMMYFUNCTION("""COMPUTED_VALUE"""),37.46)</f>
        <v>37.46</v>
      </c>
      <c r="D1558" s="2">
        <f>IFERROR(__xludf.DUMMYFUNCTION("""COMPUTED_VALUE"""),36.89)</f>
        <v>36.89</v>
      </c>
      <c r="E1558" s="2">
        <f>IFERROR(__xludf.DUMMYFUNCTION("""COMPUTED_VALUE"""),37.22)</f>
        <v>37.22</v>
      </c>
      <c r="F1558" s="2">
        <f>IFERROR(__xludf.DUMMYFUNCTION("""COMPUTED_VALUE"""),2783600.0)</f>
        <v>2783600</v>
      </c>
    </row>
    <row r="1559">
      <c r="A1559" s="3">
        <f>IFERROR(__xludf.DUMMYFUNCTION("""COMPUTED_VALUE"""),31471.666666666668)</f>
        <v>31471.66667</v>
      </c>
      <c r="B1559" s="2">
        <f>IFERROR(__xludf.DUMMYFUNCTION("""COMPUTED_VALUE"""),36.03)</f>
        <v>36.03</v>
      </c>
      <c r="C1559" s="2">
        <f>IFERROR(__xludf.DUMMYFUNCTION("""COMPUTED_VALUE"""),37.43)</f>
        <v>37.43</v>
      </c>
      <c r="D1559" s="2">
        <f>IFERROR(__xludf.DUMMYFUNCTION("""COMPUTED_VALUE"""),35.82)</f>
        <v>35.82</v>
      </c>
      <c r="E1559" s="2">
        <f>IFERROR(__xludf.DUMMYFUNCTION("""COMPUTED_VALUE"""),36.03)</f>
        <v>36.03</v>
      </c>
      <c r="F1559" s="2">
        <f>IFERROR(__xludf.DUMMYFUNCTION("""COMPUTED_VALUE"""),3246600.0)</f>
        <v>3246600</v>
      </c>
    </row>
    <row r="1560">
      <c r="A1560" s="3">
        <f>IFERROR(__xludf.DUMMYFUNCTION("""COMPUTED_VALUE"""),31474.666666666668)</f>
        <v>31474.66667</v>
      </c>
      <c r="B1560" s="2">
        <f>IFERROR(__xludf.DUMMYFUNCTION("""COMPUTED_VALUE"""),36.12)</f>
        <v>36.12</v>
      </c>
      <c r="C1560" s="2">
        <f>IFERROR(__xludf.DUMMYFUNCTION("""COMPUTED_VALUE"""),36.42)</f>
        <v>36.42</v>
      </c>
      <c r="D1560" s="2">
        <f>IFERROR(__xludf.DUMMYFUNCTION("""COMPUTED_VALUE"""),35.85)</f>
        <v>35.85</v>
      </c>
      <c r="E1560" s="2">
        <f>IFERROR(__xludf.DUMMYFUNCTION("""COMPUTED_VALUE"""),36.12)</f>
        <v>36.12</v>
      </c>
      <c r="F1560" s="2">
        <f>IFERROR(__xludf.DUMMYFUNCTION("""COMPUTED_VALUE"""),2555300.0)</f>
        <v>2555300</v>
      </c>
    </row>
    <row r="1561">
      <c r="A1561" s="3">
        <f>IFERROR(__xludf.DUMMYFUNCTION("""COMPUTED_VALUE"""),31475.666666666668)</f>
        <v>31475.66667</v>
      </c>
      <c r="B1561" s="2">
        <f>IFERROR(__xludf.DUMMYFUNCTION("""COMPUTED_VALUE"""),35.76)</f>
        <v>35.76</v>
      </c>
      <c r="C1561" s="2">
        <f>IFERROR(__xludf.DUMMYFUNCTION("""COMPUTED_VALUE"""),36.56)</f>
        <v>36.56</v>
      </c>
      <c r="D1561" s="2">
        <f>IFERROR(__xludf.DUMMYFUNCTION("""COMPUTED_VALUE"""),35.61)</f>
        <v>35.61</v>
      </c>
      <c r="E1561" s="2">
        <f>IFERROR(__xludf.DUMMYFUNCTION("""COMPUTED_VALUE"""),35.76)</f>
        <v>35.76</v>
      </c>
      <c r="F1561" s="2">
        <f>IFERROR(__xludf.DUMMYFUNCTION("""COMPUTED_VALUE"""),1867300.0)</f>
        <v>1867300</v>
      </c>
    </row>
    <row r="1562">
      <c r="A1562" s="3">
        <f>IFERROR(__xludf.DUMMYFUNCTION("""COMPUTED_VALUE"""),31476.666666666668)</f>
        <v>31476.66667</v>
      </c>
      <c r="B1562" s="2">
        <f>IFERROR(__xludf.DUMMYFUNCTION("""COMPUTED_VALUE"""),35.43)</f>
        <v>35.43</v>
      </c>
      <c r="C1562" s="2">
        <f>IFERROR(__xludf.DUMMYFUNCTION("""COMPUTED_VALUE"""),35.43)</f>
        <v>35.43</v>
      </c>
      <c r="D1562" s="2">
        <f>IFERROR(__xludf.DUMMYFUNCTION("""COMPUTED_VALUE"""),34.98)</f>
        <v>34.98</v>
      </c>
      <c r="E1562" s="2">
        <f>IFERROR(__xludf.DUMMYFUNCTION("""COMPUTED_VALUE"""),35.43)</f>
        <v>35.43</v>
      </c>
      <c r="F1562" s="2">
        <f>IFERROR(__xludf.DUMMYFUNCTION("""COMPUTED_VALUE"""),2976500.0)</f>
        <v>2976500</v>
      </c>
    </row>
    <row r="1563">
      <c r="A1563" s="3">
        <f>IFERROR(__xludf.DUMMYFUNCTION("""COMPUTED_VALUE"""),31477.666666666668)</f>
        <v>31477.66667</v>
      </c>
      <c r="B1563" s="2">
        <f>IFERROR(__xludf.DUMMYFUNCTION("""COMPUTED_VALUE"""),35.04)</f>
        <v>35.04</v>
      </c>
      <c r="C1563" s="2">
        <f>IFERROR(__xludf.DUMMYFUNCTION("""COMPUTED_VALUE"""),35.61)</f>
        <v>35.61</v>
      </c>
      <c r="D1563" s="2">
        <f>IFERROR(__xludf.DUMMYFUNCTION("""COMPUTED_VALUE"""),34.68)</f>
        <v>34.68</v>
      </c>
      <c r="E1563" s="2">
        <f>IFERROR(__xludf.DUMMYFUNCTION("""COMPUTED_VALUE"""),35.04)</f>
        <v>35.04</v>
      </c>
      <c r="F1563" s="2">
        <f>IFERROR(__xludf.DUMMYFUNCTION("""COMPUTED_VALUE"""),3258300.0)</f>
        <v>3258300</v>
      </c>
    </row>
    <row r="1564">
      <c r="A1564" s="3">
        <f>IFERROR(__xludf.DUMMYFUNCTION("""COMPUTED_VALUE"""),31478.666666666668)</f>
        <v>31478.66667</v>
      </c>
      <c r="B1564" s="2">
        <f>IFERROR(__xludf.DUMMYFUNCTION("""COMPUTED_VALUE"""),34.86)</f>
        <v>34.86</v>
      </c>
      <c r="C1564" s="2">
        <f>IFERROR(__xludf.DUMMYFUNCTION("""COMPUTED_VALUE"""),35.16)</f>
        <v>35.16</v>
      </c>
      <c r="D1564" s="2">
        <f>IFERROR(__xludf.DUMMYFUNCTION("""COMPUTED_VALUE"""),34.51)</f>
        <v>34.51</v>
      </c>
      <c r="E1564" s="2">
        <f>IFERROR(__xludf.DUMMYFUNCTION("""COMPUTED_VALUE"""),34.86)</f>
        <v>34.86</v>
      </c>
      <c r="F1564" s="2">
        <f>IFERROR(__xludf.DUMMYFUNCTION("""COMPUTED_VALUE"""),2143700.0)</f>
        <v>2143700</v>
      </c>
    </row>
    <row r="1565">
      <c r="A1565" s="3">
        <f>IFERROR(__xludf.DUMMYFUNCTION("""COMPUTED_VALUE"""),31481.666666666668)</f>
        <v>31481.66667</v>
      </c>
      <c r="B1565" s="2">
        <f>IFERROR(__xludf.DUMMYFUNCTION("""COMPUTED_VALUE"""),35.46)</f>
        <v>35.46</v>
      </c>
      <c r="C1565" s="2">
        <f>IFERROR(__xludf.DUMMYFUNCTION("""COMPUTED_VALUE"""),35.46)</f>
        <v>35.46</v>
      </c>
      <c r="D1565" s="2">
        <f>IFERROR(__xludf.DUMMYFUNCTION("""COMPUTED_VALUE"""),34.92)</f>
        <v>34.92</v>
      </c>
      <c r="E1565" s="2">
        <f>IFERROR(__xludf.DUMMYFUNCTION("""COMPUTED_VALUE"""),35.46)</f>
        <v>35.46</v>
      </c>
      <c r="F1565" s="2">
        <f>IFERROR(__xludf.DUMMYFUNCTION("""COMPUTED_VALUE"""),1562700.0)</f>
        <v>1562700</v>
      </c>
    </row>
    <row r="1566">
      <c r="A1566" s="3">
        <f>IFERROR(__xludf.DUMMYFUNCTION("""COMPUTED_VALUE"""),31482.666666666668)</f>
        <v>31482.66667</v>
      </c>
      <c r="B1566" s="2">
        <f>IFERROR(__xludf.DUMMYFUNCTION("""COMPUTED_VALUE"""),36.3)</f>
        <v>36.3</v>
      </c>
      <c r="C1566" s="2">
        <f>IFERROR(__xludf.DUMMYFUNCTION("""COMPUTED_VALUE"""),36.33)</f>
        <v>36.33</v>
      </c>
      <c r="D1566" s="2">
        <f>IFERROR(__xludf.DUMMYFUNCTION("""COMPUTED_VALUE"""),35.58)</f>
        <v>35.58</v>
      </c>
      <c r="E1566" s="2">
        <f>IFERROR(__xludf.DUMMYFUNCTION("""COMPUTED_VALUE"""),36.3)</f>
        <v>36.3</v>
      </c>
      <c r="F1566" s="2">
        <f>IFERROR(__xludf.DUMMYFUNCTION("""COMPUTED_VALUE"""),1948500.0)</f>
        <v>1948500</v>
      </c>
    </row>
    <row r="1567">
      <c r="A1567" s="3">
        <f>IFERROR(__xludf.DUMMYFUNCTION("""COMPUTED_VALUE"""),31483.666666666668)</f>
        <v>31483.66667</v>
      </c>
      <c r="B1567" s="2">
        <f>IFERROR(__xludf.DUMMYFUNCTION("""COMPUTED_VALUE"""),35.58)</f>
        <v>35.58</v>
      </c>
      <c r="C1567" s="2">
        <f>IFERROR(__xludf.DUMMYFUNCTION("""COMPUTED_VALUE"""),36.45)</f>
        <v>36.45</v>
      </c>
      <c r="D1567" s="2">
        <f>IFERROR(__xludf.DUMMYFUNCTION("""COMPUTED_VALUE"""),35.55)</f>
        <v>35.55</v>
      </c>
      <c r="E1567" s="2">
        <f>IFERROR(__xludf.DUMMYFUNCTION("""COMPUTED_VALUE"""),35.58)</f>
        <v>35.58</v>
      </c>
      <c r="F1567" s="2">
        <f>IFERROR(__xludf.DUMMYFUNCTION("""COMPUTED_VALUE"""),2305800.0)</f>
        <v>2305800</v>
      </c>
    </row>
    <row r="1568">
      <c r="A1568" s="3">
        <f>IFERROR(__xludf.DUMMYFUNCTION("""COMPUTED_VALUE"""),31484.666666666668)</f>
        <v>31484.66667</v>
      </c>
      <c r="B1568" s="2">
        <f>IFERROR(__xludf.DUMMYFUNCTION("""COMPUTED_VALUE"""),35.94)</f>
        <v>35.94</v>
      </c>
      <c r="C1568" s="2">
        <f>IFERROR(__xludf.DUMMYFUNCTION("""COMPUTED_VALUE"""),36.03)</f>
        <v>36.03</v>
      </c>
      <c r="D1568" s="2">
        <f>IFERROR(__xludf.DUMMYFUNCTION("""COMPUTED_VALUE"""),35.28)</f>
        <v>35.28</v>
      </c>
      <c r="E1568" s="2">
        <f>IFERROR(__xludf.DUMMYFUNCTION("""COMPUTED_VALUE"""),35.94)</f>
        <v>35.94</v>
      </c>
      <c r="F1568" s="2">
        <f>IFERROR(__xludf.DUMMYFUNCTION("""COMPUTED_VALUE"""),2086200.0)</f>
        <v>2086200</v>
      </c>
    </row>
    <row r="1569">
      <c r="A1569" s="3">
        <f>IFERROR(__xludf.DUMMYFUNCTION("""COMPUTED_VALUE"""),31485.666666666668)</f>
        <v>31485.66667</v>
      </c>
      <c r="B1569" s="2">
        <f>IFERROR(__xludf.DUMMYFUNCTION("""COMPUTED_VALUE"""),35.91)</f>
        <v>35.91</v>
      </c>
      <c r="C1569" s="2">
        <f>IFERROR(__xludf.DUMMYFUNCTION("""COMPUTED_VALUE"""),36.18)</f>
        <v>36.18</v>
      </c>
      <c r="D1569" s="2">
        <f>IFERROR(__xludf.DUMMYFUNCTION("""COMPUTED_VALUE"""),35.34)</f>
        <v>35.34</v>
      </c>
      <c r="E1569" s="2">
        <f>IFERROR(__xludf.DUMMYFUNCTION("""COMPUTED_VALUE"""),35.91)</f>
        <v>35.91</v>
      </c>
      <c r="F1569" s="2">
        <f>IFERROR(__xludf.DUMMYFUNCTION("""COMPUTED_VALUE"""),2512500.0)</f>
        <v>2512500</v>
      </c>
    </row>
    <row r="1570">
      <c r="A1570" s="3">
        <f>IFERROR(__xludf.DUMMYFUNCTION("""COMPUTED_VALUE"""),31488.666666666668)</f>
        <v>31488.66667</v>
      </c>
      <c r="B1570" s="2">
        <f>IFERROR(__xludf.DUMMYFUNCTION("""COMPUTED_VALUE"""),36.03)</f>
        <v>36.03</v>
      </c>
      <c r="C1570" s="2">
        <f>IFERROR(__xludf.DUMMYFUNCTION("""COMPUTED_VALUE"""),36.06)</f>
        <v>36.06</v>
      </c>
      <c r="D1570" s="2">
        <f>IFERROR(__xludf.DUMMYFUNCTION("""COMPUTED_VALUE"""),35.7)</f>
        <v>35.7</v>
      </c>
      <c r="E1570" s="2">
        <f>IFERROR(__xludf.DUMMYFUNCTION("""COMPUTED_VALUE"""),36.03)</f>
        <v>36.03</v>
      </c>
      <c r="F1570" s="2">
        <f>IFERROR(__xludf.DUMMYFUNCTION("""COMPUTED_VALUE"""),1927700.0)</f>
        <v>1927700</v>
      </c>
    </row>
    <row r="1571">
      <c r="A1571" s="3">
        <f>IFERROR(__xludf.DUMMYFUNCTION("""COMPUTED_VALUE"""),31489.666666666668)</f>
        <v>31489.66667</v>
      </c>
      <c r="B1571" s="2">
        <f>IFERROR(__xludf.DUMMYFUNCTION("""COMPUTED_VALUE"""),36.39)</f>
        <v>36.39</v>
      </c>
      <c r="C1571" s="2">
        <f>IFERROR(__xludf.DUMMYFUNCTION("""COMPUTED_VALUE"""),36.65)</f>
        <v>36.65</v>
      </c>
      <c r="D1571" s="2">
        <f>IFERROR(__xludf.DUMMYFUNCTION("""COMPUTED_VALUE"""),36.0)</f>
        <v>36</v>
      </c>
      <c r="E1571" s="2">
        <f>IFERROR(__xludf.DUMMYFUNCTION("""COMPUTED_VALUE"""),36.39)</f>
        <v>36.39</v>
      </c>
      <c r="F1571" s="2">
        <f>IFERROR(__xludf.DUMMYFUNCTION("""COMPUTED_VALUE"""),1816700.0)</f>
        <v>1816700</v>
      </c>
    </row>
    <row r="1572">
      <c r="A1572" s="3">
        <f>IFERROR(__xludf.DUMMYFUNCTION("""COMPUTED_VALUE"""),31490.666666666668)</f>
        <v>31490.66667</v>
      </c>
      <c r="B1572" s="2">
        <f>IFERROR(__xludf.DUMMYFUNCTION("""COMPUTED_VALUE"""),36.21)</f>
        <v>36.21</v>
      </c>
      <c r="C1572" s="2">
        <f>IFERROR(__xludf.DUMMYFUNCTION("""COMPUTED_VALUE"""),36.39)</f>
        <v>36.39</v>
      </c>
      <c r="D1572" s="2">
        <f>IFERROR(__xludf.DUMMYFUNCTION("""COMPUTED_VALUE"""),35.88)</f>
        <v>35.88</v>
      </c>
      <c r="E1572" s="2">
        <f>IFERROR(__xludf.DUMMYFUNCTION("""COMPUTED_VALUE"""),36.21)</f>
        <v>36.21</v>
      </c>
      <c r="F1572" s="2">
        <f>IFERROR(__xludf.DUMMYFUNCTION("""COMPUTED_VALUE"""),1304700.0)</f>
        <v>1304700</v>
      </c>
    </row>
    <row r="1573">
      <c r="A1573" s="3">
        <f>IFERROR(__xludf.DUMMYFUNCTION("""COMPUTED_VALUE"""),31491.666666666668)</f>
        <v>31491.66667</v>
      </c>
      <c r="B1573" s="2">
        <f>IFERROR(__xludf.DUMMYFUNCTION("""COMPUTED_VALUE"""),35.85)</f>
        <v>35.85</v>
      </c>
      <c r="C1573" s="2">
        <f>IFERROR(__xludf.DUMMYFUNCTION("""COMPUTED_VALUE"""),36.48)</f>
        <v>36.48</v>
      </c>
      <c r="D1573" s="2">
        <f>IFERROR(__xludf.DUMMYFUNCTION("""COMPUTED_VALUE"""),35.79)</f>
        <v>35.79</v>
      </c>
      <c r="E1573" s="2">
        <f>IFERROR(__xludf.DUMMYFUNCTION("""COMPUTED_VALUE"""),35.85)</f>
        <v>35.85</v>
      </c>
      <c r="F1573" s="2">
        <f>IFERROR(__xludf.DUMMYFUNCTION("""COMPUTED_VALUE"""),1452200.0)</f>
        <v>1452200</v>
      </c>
    </row>
    <row r="1574">
      <c r="A1574" s="3">
        <f>IFERROR(__xludf.DUMMYFUNCTION("""COMPUTED_VALUE"""),31492.666666666668)</f>
        <v>31492.66667</v>
      </c>
      <c r="B1574" s="2">
        <f>IFERROR(__xludf.DUMMYFUNCTION("""COMPUTED_VALUE"""),35.58)</f>
        <v>35.58</v>
      </c>
      <c r="C1574" s="2">
        <f>IFERROR(__xludf.DUMMYFUNCTION("""COMPUTED_VALUE"""),36.03)</f>
        <v>36.03</v>
      </c>
      <c r="D1574" s="2">
        <f>IFERROR(__xludf.DUMMYFUNCTION("""COMPUTED_VALUE"""),35.46)</f>
        <v>35.46</v>
      </c>
      <c r="E1574" s="2">
        <f>IFERROR(__xludf.DUMMYFUNCTION("""COMPUTED_VALUE"""),35.58)</f>
        <v>35.58</v>
      </c>
      <c r="F1574" s="2">
        <f>IFERROR(__xludf.DUMMYFUNCTION("""COMPUTED_VALUE"""),2273800.0)</f>
        <v>2273800</v>
      </c>
    </row>
    <row r="1575">
      <c r="A1575" s="3">
        <f>IFERROR(__xludf.DUMMYFUNCTION("""COMPUTED_VALUE"""),31495.666666666668)</f>
        <v>31495.66667</v>
      </c>
      <c r="B1575" s="2">
        <f>IFERROR(__xludf.DUMMYFUNCTION("""COMPUTED_VALUE"""),35.55)</f>
        <v>35.55</v>
      </c>
      <c r="C1575" s="2">
        <f>IFERROR(__xludf.DUMMYFUNCTION("""COMPUTED_VALUE"""),35.82)</f>
        <v>35.82</v>
      </c>
      <c r="D1575" s="2">
        <f>IFERROR(__xludf.DUMMYFUNCTION("""COMPUTED_VALUE"""),34.98)</f>
        <v>34.98</v>
      </c>
      <c r="E1575" s="2">
        <f>IFERROR(__xludf.DUMMYFUNCTION("""COMPUTED_VALUE"""),35.55)</f>
        <v>35.55</v>
      </c>
      <c r="F1575" s="2">
        <f>IFERROR(__xludf.DUMMYFUNCTION("""COMPUTED_VALUE"""),1593700.0)</f>
        <v>1593700</v>
      </c>
    </row>
    <row r="1576">
      <c r="A1576" s="3">
        <f>IFERROR(__xludf.DUMMYFUNCTION("""COMPUTED_VALUE"""),31496.666666666668)</f>
        <v>31496.66667</v>
      </c>
      <c r="B1576" s="2">
        <f>IFERROR(__xludf.DUMMYFUNCTION("""COMPUTED_VALUE"""),35.34)</f>
        <v>35.34</v>
      </c>
      <c r="C1576" s="2">
        <f>IFERROR(__xludf.DUMMYFUNCTION("""COMPUTED_VALUE"""),35.52)</f>
        <v>35.52</v>
      </c>
      <c r="D1576" s="2">
        <f>IFERROR(__xludf.DUMMYFUNCTION("""COMPUTED_VALUE"""),35.16)</f>
        <v>35.16</v>
      </c>
      <c r="E1576" s="2">
        <f>IFERROR(__xludf.DUMMYFUNCTION("""COMPUTED_VALUE"""),35.34)</f>
        <v>35.34</v>
      </c>
      <c r="F1576" s="2">
        <f>IFERROR(__xludf.DUMMYFUNCTION("""COMPUTED_VALUE"""),1158000.0)</f>
        <v>1158000</v>
      </c>
    </row>
    <row r="1577">
      <c r="A1577" s="3">
        <f>IFERROR(__xludf.DUMMYFUNCTION("""COMPUTED_VALUE"""),31497.666666666668)</f>
        <v>31497.66667</v>
      </c>
      <c r="B1577" s="2">
        <f>IFERROR(__xludf.DUMMYFUNCTION("""COMPUTED_VALUE"""),35.25)</f>
        <v>35.25</v>
      </c>
      <c r="C1577" s="2">
        <f>IFERROR(__xludf.DUMMYFUNCTION("""COMPUTED_VALUE"""),35.31)</f>
        <v>35.31</v>
      </c>
      <c r="D1577" s="2">
        <f>IFERROR(__xludf.DUMMYFUNCTION("""COMPUTED_VALUE"""),35.04)</f>
        <v>35.04</v>
      </c>
      <c r="E1577" s="2">
        <f>IFERROR(__xludf.DUMMYFUNCTION("""COMPUTED_VALUE"""),35.25)</f>
        <v>35.25</v>
      </c>
      <c r="F1577" s="2">
        <f>IFERROR(__xludf.DUMMYFUNCTION("""COMPUTED_VALUE"""),1491000.0)</f>
        <v>1491000</v>
      </c>
    </row>
    <row r="1578">
      <c r="A1578" s="3">
        <f>IFERROR(__xludf.DUMMYFUNCTION("""COMPUTED_VALUE"""),31498.666666666668)</f>
        <v>31498.66667</v>
      </c>
      <c r="B1578" s="2">
        <f>IFERROR(__xludf.DUMMYFUNCTION("""COMPUTED_VALUE"""),35.61)</f>
        <v>35.61</v>
      </c>
      <c r="C1578" s="2">
        <f>IFERROR(__xludf.DUMMYFUNCTION("""COMPUTED_VALUE"""),36.06)</f>
        <v>36.06</v>
      </c>
      <c r="D1578" s="2">
        <f>IFERROR(__xludf.DUMMYFUNCTION("""COMPUTED_VALUE"""),35.37)</f>
        <v>35.37</v>
      </c>
      <c r="E1578" s="2">
        <f>IFERROR(__xludf.DUMMYFUNCTION("""COMPUTED_VALUE"""),35.61)</f>
        <v>35.61</v>
      </c>
      <c r="F1578" s="2">
        <f>IFERROR(__xludf.DUMMYFUNCTION("""COMPUTED_VALUE"""),2196900.0)</f>
        <v>2196900</v>
      </c>
    </row>
    <row r="1579">
      <c r="A1579" s="3">
        <f>IFERROR(__xludf.DUMMYFUNCTION("""COMPUTED_VALUE"""),31502.666666666668)</f>
        <v>31502.66667</v>
      </c>
      <c r="B1579" s="2">
        <f>IFERROR(__xludf.DUMMYFUNCTION("""COMPUTED_VALUE"""),36.18)</f>
        <v>36.18</v>
      </c>
      <c r="C1579" s="2">
        <f>IFERROR(__xludf.DUMMYFUNCTION("""COMPUTED_VALUE"""),36.56)</f>
        <v>36.56</v>
      </c>
      <c r="D1579" s="2">
        <f>IFERROR(__xludf.DUMMYFUNCTION("""COMPUTED_VALUE"""),35.73)</f>
        <v>35.73</v>
      </c>
      <c r="E1579" s="2">
        <f>IFERROR(__xludf.DUMMYFUNCTION("""COMPUTED_VALUE"""),36.18)</f>
        <v>36.18</v>
      </c>
      <c r="F1579" s="2">
        <f>IFERROR(__xludf.DUMMYFUNCTION("""COMPUTED_VALUE"""),1939500.0)</f>
        <v>1939500</v>
      </c>
    </row>
    <row r="1580">
      <c r="A1580" s="3">
        <f>IFERROR(__xludf.DUMMYFUNCTION("""COMPUTED_VALUE"""),31503.666666666668)</f>
        <v>31503.66667</v>
      </c>
      <c r="B1580" s="2">
        <f>IFERROR(__xludf.DUMMYFUNCTION("""COMPUTED_VALUE"""),35.61)</f>
        <v>35.61</v>
      </c>
      <c r="C1580" s="2">
        <f>IFERROR(__xludf.DUMMYFUNCTION("""COMPUTED_VALUE"""),36.3)</f>
        <v>36.3</v>
      </c>
      <c r="D1580" s="2">
        <f>IFERROR(__xludf.DUMMYFUNCTION("""COMPUTED_VALUE"""),35.61)</f>
        <v>35.61</v>
      </c>
      <c r="E1580" s="2">
        <f>IFERROR(__xludf.DUMMYFUNCTION("""COMPUTED_VALUE"""),35.61)</f>
        <v>35.61</v>
      </c>
      <c r="F1580" s="2">
        <f>IFERROR(__xludf.DUMMYFUNCTION("""COMPUTED_VALUE"""),2206200.0)</f>
        <v>2206200</v>
      </c>
    </row>
    <row r="1581">
      <c r="A1581" s="3">
        <f>IFERROR(__xludf.DUMMYFUNCTION("""COMPUTED_VALUE"""),31504.666666666668)</f>
        <v>31504.66667</v>
      </c>
      <c r="B1581" s="2">
        <f>IFERROR(__xludf.DUMMYFUNCTION("""COMPUTED_VALUE"""),36.06)</f>
        <v>36.06</v>
      </c>
      <c r="C1581" s="2">
        <f>IFERROR(__xludf.DUMMYFUNCTION("""COMPUTED_VALUE"""),36.09)</f>
        <v>36.09</v>
      </c>
      <c r="D1581" s="2">
        <f>IFERROR(__xludf.DUMMYFUNCTION("""COMPUTED_VALUE"""),35.34)</f>
        <v>35.34</v>
      </c>
      <c r="E1581" s="2">
        <f>IFERROR(__xludf.DUMMYFUNCTION("""COMPUTED_VALUE"""),36.06)</f>
        <v>36.06</v>
      </c>
      <c r="F1581" s="2">
        <f>IFERROR(__xludf.DUMMYFUNCTION("""COMPUTED_VALUE"""),1932600.0)</f>
        <v>1932600</v>
      </c>
    </row>
    <row r="1582">
      <c r="A1582" s="3">
        <f>IFERROR(__xludf.DUMMYFUNCTION("""COMPUTED_VALUE"""),31505.666666666668)</f>
        <v>31505.66667</v>
      </c>
      <c r="B1582" s="2">
        <f>IFERROR(__xludf.DUMMYFUNCTION("""COMPUTED_VALUE"""),35.73)</f>
        <v>35.73</v>
      </c>
      <c r="C1582" s="2">
        <f>IFERROR(__xludf.DUMMYFUNCTION("""COMPUTED_VALUE"""),36.51)</f>
        <v>36.51</v>
      </c>
      <c r="D1582" s="2">
        <f>IFERROR(__xludf.DUMMYFUNCTION("""COMPUTED_VALUE"""),35.58)</f>
        <v>35.58</v>
      </c>
      <c r="E1582" s="2">
        <f>IFERROR(__xludf.DUMMYFUNCTION("""COMPUTED_VALUE"""),35.73)</f>
        <v>35.73</v>
      </c>
      <c r="F1582" s="2">
        <f>IFERROR(__xludf.DUMMYFUNCTION("""COMPUTED_VALUE"""),1912100.0)</f>
        <v>1912100</v>
      </c>
    </row>
    <row r="1583">
      <c r="A1583" s="3">
        <f>IFERROR(__xludf.DUMMYFUNCTION("""COMPUTED_VALUE"""),31506.666666666668)</f>
        <v>31506.66667</v>
      </c>
      <c r="B1583" s="2">
        <f>IFERROR(__xludf.DUMMYFUNCTION("""COMPUTED_VALUE"""),35.4)</f>
        <v>35.4</v>
      </c>
      <c r="C1583" s="2">
        <f>IFERROR(__xludf.DUMMYFUNCTION("""COMPUTED_VALUE"""),35.85)</f>
        <v>35.85</v>
      </c>
      <c r="D1583" s="2">
        <f>IFERROR(__xludf.DUMMYFUNCTION("""COMPUTED_VALUE"""),35.37)</f>
        <v>35.37</v>
      </c>
      <c r="E1583" s="2">
        <f>IFERROR(__xludf.DUMMYFUNCTION("""COMPUTED_VALUE"""),35.4)</f>
        <v>35.4</v>
      </c>
      <c r="F1583" s="2">
        <f>IFERROR(__xludf.DUMMYFUNCTION("""COMPUTED_VALUE"""),1794800.0)</f>
        <v>1794800</v>
      </c>
    </row>
    <row r="1584">
      <c r="A1584" s="3">
        <f>IFERROR(__xludf.DUMMYFUNCTION("""COMPUTED_VALUE"""),31509.666666666668)</f>
        <v>31509.66667</v>
      </c>
      <c r="B1584" s="2">
        <f>IFERROR(__xludf.DUMMYFUNCTION("""COMPUTED_VALUE"""),35.7)</f>
        <v>35.7</v>
      </c>
      <c r="C1584" s="2">
        <f>IFERROR(__xludf.DUMMYFUNCTION("""COMPUTED_VALUE"""),35.88)</f>
        <v>35.88</v>
      </c>
      <c r="D1584" s="2">
        <f>IFERROR(__xludf.DUMMYFUNCTION("""COMPUTED_VALUE"""),35.19)</f>
        <v>35.19</v>
      </c>
      <c r="E1584" s="2">
        <f>IFERROR(__xludf.DUMMYFUNCTION("""COMPUTED_VALUE"""),35.7)</f>
        <v>35.7</v>
      </c>
      <c r="F1584" s="2">
        <f>IFERROR(__xludf.DUMMYFUNCTION("""COMPUTED_VALUE"""),1600700.0)</f>
        <v>1600700</v>
      </c>
    </row>
    <row r="1585">
      <c r="A1585" s="3">
        <f>IFERROR(__xludf.DUMMYFUNCTION("""COMPUTED_VALUE"""),31510.666666666668)</f>
        <v>31510.66667</v>
      </c>
      <c r="B1585" s="2">
        <f>IFERROR(__xludf.DUMMYFUNCTION("""COMPUTED_VALUE"""),36.3)</f>
        <v>36.3</v>
      </c>
      <c r="C1585" s="2">
        <f>IFERROR(__xludf.DUMMYFUNCTION("""COMPUTED_VALUE"""),36.3)</f>
        <v>36.3</v>
      </c>
      <c r="D1585" s="2">
        <f>IFERROR(__xludf.DUMMYFUNCTION("""COMPUTED_VALUE"""),35.76)</f>
        <v>35.76</v>
      </c>
      <c r="E1585" s="2">
        <f>IFERROR(__xludf.DUMMYFUNCTION("""COMPUTED_VALUE"""),36.3)</f>
        <v>36.3</v>
      </c>
      <c r="F1585" s="2">
        <f>IFERROR(__xludf.DUMMYFUNCTION("""COMPUTED_VALUE"""),1692100.0)</f>
        <v>1692100</v>
      </c>
    </row>
    <row r="1586">
      <c r="A1586" s="3">
        <f>IFERROR(__xludf.DUMMYFUNCTION("""COMPUTED_VALUE"""),31511.666666666668)</f>
        <v>31511.66667</v>
      </c>
      <c r="B1586" s="2">
        <f>IFERROR(__xludf.DUMMYFUNCTION("""COMPUTED_VALUE"""),35.64)</f>
        <v>35.64</v>
      </c>
      <c r="C1586" s="2">
        <f>IFERROR(__xludf.DUMMYFUNCTION("""COMPUTED_VALUE"""),36.45)</f>
        <v>36.45</v>
      </c>
      <c r="D1586" s="2">
        <f>IFERROR(__xludf.DUMMYFUNCTION("""COMPUTED_VALUE"""),35.43)</f>
        <v>35.43</v>
      </c>
      <c r="E1586" s="2">
        <f>IFERROR(__xludf.DUMMYFUNCTION("""COMPUTED_VALUE"""),35.64)</f>
        <v>35.64</v>
      </c>
      <c r="F1586" s="2">
        <f>IFERROR(__xludf.DUMMYFUNCTION("""COMPUTED_VALUE"""),1654400.0)</f>
        <v>1654400</v>
      </c>
    </row>
    <row r="1587">
      <c r="A1587" s="3">
        <f>IFERROR(__xludf.DUMMYFUNCTION("""COMPUTED_VALUE"""),31512.666666666668)</f>
        <v>31512.66667</v>
      </c>
      <c r="B1587" s="2">
        <f>IFERROR(__xludf.DUMMYFUNCTION("""COMPUTED_VALUE"""),35.88)</f>
        <v>35.88</v>
      </c>
      <c r="C1587" s="2">
        <f>IFERROR(__xludf.DUMMYFUNCTION("""COMPUTED_VALUE"""),36.18)</f>
        <v>36.18</v>
      </c>
      <c r="D1587" s="2">
        <f>IFERROR(__xludf.DUMMYFUNCTION("""COMPUTED_VALUE"""),35.37)</f>
        <v>35.37</v>
      </c>
      <c r="E1587" s="2">
        <f>IFERROR(__xludf.DUMMYFUNCTION("""COMPUTED_VALUE"""),35.88)</f>
        <v>35.88</v>
      </c>
      <c r="F1587" s="2">
        <f>IFERROR(__xludf.DUMMYFUNCTION("""COMPUTED_VALUE"""),1469000.0)</f>
        <v>1469000</v>
      </c>
    </row>
    <row r="1588">
      <c r="A1588" s="3">
        <f>IFERROR(__xludf.DUMMYFUNCTION("""COMPUTED_VALUE"""),31513.666666666668)</f>
        <v>31513.66667</v>
      </c>
      <c r="B1588" s="2">
        <f>IFERROR(__xludf.DUMMYFUNCTION("""COMPUTED_VALUE"""),35.76)</f>
        <v>35.76</v>
      </c>
      <c r="C1588" s="2">
        <f>IFERROR(__xludf.DUMMYFUNCTION("""COMPUTED_VALUE"""),36.39)</f>
        <v>36.39</v>
      </c>
      <c r="D1588" s="2">
        <f>IFERROR(__xludf.DUMMYFUNCTION("""COMPUTED_VALUE"""),35.64)</f>
        <v>35.64</v>
      </c>
      <c r="E1588" s="2">
        <f>IFERROR(__xludf.DUMMYFUNCTION("""COMPUTED_VALUE"""),35.76)</f>
        <v>35.76</v>
      </c>
      <c r="F1588" s="2">
        <f>IFERROR(__xludf.DUMMYFUNCTION("""COMPUTED_VALUE"""),2224700.0)</f>
        <v>2224700</v>
      </c>
    </row>
    <row r="1589">
      <c r="A1589" s="3">
        <f>IFERROR(__xludf.DUMMYFUNCTION("""COMPUTED_VALUE"""),31516.666666666668)</f>
        <v>31516.66667</v>
      </c>
      <c r="B1589" s="2">
        <f>IFERROR(__xludf.DUMMYFUNCTION("""COMPUTED_VALUE"""),36.39)</f>
        <v>36.39</v>
      </c>
      <c r="C1589" s="2">
        <f>IFERROR(__xludf.DUMMYFUNCTION("""COMPUTED_VALUE"""),36.45)</f>
        <v>36.45</v>
      </c>
      <c r="D1589" s="2">
        <f>IFERROR(__xludf.DUMMYFUNCTION("""COMPUTED_VALUE"""),35.61)</f>
        <v>35.61</v>
      </c>
      <c r="E1589" s="2">
        <f>IFERROR(__xludf.DUMMYFUNCTION("""COMPUTED_VALUE"""),36.39)</f>
        <v>36.39</v>
      </c>
      <c r="F1589" s="2">
        <f>IFERROR(__xludf.DUMMYFUNCTION("""COMPUTED_VALUE"""),1104500.0)</f>
        <v>1104500</v>
      </c>
    </row>
    <row r="1590">
      <c r="A1590" s="3">
        <f>IFERROR(__xludf.DUMMYFUNCTION("""COMPUTED_VALUE"""),31517.666666666668)</f>
        <v>31517.66667</v>
      </c>
      <c r="B1590" s="2">
        <f>IFERROR(__xludf.DUMMYFUNCTION("""COMPUTED_VALUE"""),36.45)</f>
        <v>36.45</v>
      </c>
      <c r="C1590" s="2">
        <f>IFERROR(__xludf.DUMMYFUNCTION("""COMPUTED_VALUE"""),36.68)</f>
        <v>36.68</v>
      </c>
      <c r="D1590" s="2">
        <f>IFERROR(__xludf.DUMMYFUNCTION("""COMPUTED_VALUE"""),36.18)</f>
        <v>36.18</v>
      </c>
      <c r="E1590" s="2">
        <f>IFERROR(__xludf.DUMMYFUNCTION("""COMPUTED_VALUE"""),36.45)</f>
        <v>36.45</v>
      </c>
      <c r="F1590" s="2">
        <f>IFERROR(__xludf.DUMMYFUNCTION("""COMPUTED_VALUE"""),1751200.0)</f>
        <v>1751200</v>
      </c>
    </row>
    <row r="1591">
      <c r="A1591" s="3">
        <f>IFERROR(__xludf.DUMMYFUNCTION("""COMPUTED_VALUE"""),31518.666666666668)</f>
        <v>31518.66667</v>
      </c>
      <c r="B1591" s="2">
        <f>IFERROR(__xludf.DUMMYFUNCTION("""COMPUTED_VALUE"""),36.95)</f>
        <v>36.95</v>
      </c>
      <c r="C1591" s="2">
        <f>IFERROR(__xludf.DUMMYFUNCTION("""COMPUTED_VALUE"""),37.07)</f>
        <v>37.07</v>
      </c>
      <c r="D1591" s="2">
        <f>IFERROR(__xludf.DUMMYFUNCTION("""COMPUTED_VALUE"""),36.59)</f>
        <v>36.59</v>
      </c>
      <c r="E1591" s="2">
        <f>IFERROR(__xludf.DUMMYFUNCTION("""COMPUTED_VALUE"""),36.95)</f>
        <v>36.95</v>
      </c>
      <c r="F1591" s="2">
        <f>IFERROR(__xludf.DUMMYFUNCTION("""COMPUTED_VALUE"""),1872200.0)</f>
        <v>1872200</v>
      </c>
    </row>
    <row r="1592">
      <c r="A1592" s="3">
        <f>IFERROR(__xludf.DUMMYFUNCTION("""COMPUTED_VALUE"""),31519.666666666668)</f>
        <v>31519.66667</v>
      </c>
      <c r="B1592" s="2">
        <f>IFERROR(__xludf.DUMMYFUNCTION("""COMPUTED_VALUE"""),36.92)</f>
        <v>36.92</v>
      </c>
      <c r="C1592" s="2">
        <f>IFERROR(__xludf.DUMMYFUNCTION("""COMPUTED_VALUE"""),37.16)</f>
        <v>37.16</v>
      </c>
      <c r="D1592" s="2">
        <f>IFERROR(__xludf.DUMMYFUNCTION("""COMPUTED_VALUE"""),36.8)</f>
        <v>36.8</v>
      </c>
      <c r="E1592" s="2">
        <f>IFERROR(__xludf.DUMMYFUNCTION("""COMPUTED_VALUE"""),36.92)</f>
        <v>36.92</v>
      </c>
      <c r="F1592" s="2">
        <f>IFERROR(__xludf.DUMMYFUNCTION("""COMPUTED_VALUE"""),1739400.0)</f>
        <v>1739400</v>
      </c>
    </row>
    <row r="1593">
      <c r="A1593" s="3">
        <f>IFERROR(__xludf.DUMMYFUNCTION("""COMPUTED_VALUE"""),31520.666666666668)</f>
        <v>31520.66667</v>
      </c>
      <c r="B1593" s="2">
        <f>IFERROR(__xludf.DUMMYFUNCTION("""COMPUTED_VALUE"""),36.45)</f>
        <v>36.45</v>
      </c>
      <c r="C1593" s="2">
        <f>IFERROR(__xludf.DUMMYFUNCTION("""COMPUTED_VALUE"""),36.98)</f>
        <v>36.98</v>
      </c>
      <c r="D1593" s="2">
        <f>IFERROR(__xludf.DUMMYFUNCTION("""COMPUTED_VALUE"""),36.42)</f>
        <v>36.42</v>
      </c>
      <c r="E1593" s="2">
        <f>IFERROR(__xludf.DUMMYFUNCTION("""COMPUTED_VALUE"""),36.45)</f>
        <v>36.45</v>
      </c>
      <c r="F1593" s="2">
        <f>IFERROR(__xludf.DUMMYFUNCTION("""COMPUTED_VALUE"""),1462100.0)</f>
        <v>1462100</v>
      </c>
    </row>
    <row r="1594">
      <c r="A1594" s="3">
        <f>IFERROR(__xludf.DUMMYFUNCTION("""COMPUTED_VALUE"""),31523.666666666668)</f>
        <v>31523.66667</v>
      </c>
      <c r="B1594" s="2">
        <f>IFERROR(__xludf.DUMMYFUNCTION("""COMPUTED_VALUE"""),36.98)</f>
        <v>36.98</v>
      </c>
      <c r="C1594" s="2">
        <f>IFERROR(__xludf.DUMMYFUNCTION("""COMPUTED_VALUE"""),36.98)</f>
        <v>36.98</v>
      </c>
      <c r="D1594" s="2">
        <f>IFERROR(__xludf.DUMMYFUNCTION("""COMPUTED_VALUE"""),36.36)</f>
        <v>36.36</v>
      </c>
      <c r="E1594" s="2">
        <f>IFERROR(__xludf.DUMMYFUNCTION("""COMPUTED_VALUE"""),36.98)</f>
        <v>36.98</v>
      </c>
      <c r="F1594" s="2">
        <f>IFERROR(__xludf.DUMMYFUNCTION("""COMPUTED_VALUE"""),1440200.0)</f>
        <v>1440200</v>
      </c>
    </row>
    <row r="1595">
      <c r="A1595" s="3">
        <f>IFERROR(__xludf.DUMMYFUNCTION("""COMPUTED_VALUE"""),31524.666666666668)</f>
        <v>31524.66667</v>
      </c>
      <c r="B1595" s="2">
        <f>IFERROR(__xludf.DUMMYFUNCTION("""COMPUTED_VALUE"""),36.54)</f>
        <v>36.54</v>
      </c>
      <c r="C1595" s="2">
        <f>IFERROR(__xludf.DUMMYFUNCTION("""COMPUTED_VALUE"""),37.04)</f>
        <v>37.04</v>
      </c>
      <c r="D1595" s="2">
        <f>IFERROR(__xludf.DUMMYFUNCTION("""COMPUTED_VALUE"""),36.36)</f>
        <v>36.36</v>
      </c>
      <c r="E1595" s="2">
        <f>IFERROR(__xludf.DUMMYFUNCTION("""COMPUTED_VALUE"""),36.54)</f>
        <v>36.54</v>
      </c>
      <c r="F1595" s="2">
        <f>IFERROR(__xludf.DUMMYFUNCTION("""COMPUTED_VALUE"""),1198100.0)</f>
        <v>1198100</v>
      </c>
    </row>
    <row r="1596">
      <c r="A1596" s="3">
        <f>IFERROR(__xludf.DUMMYFUNCTION("""COMPUTED_VALUE"""),31525.666666666668)</f>
        <v>31525.66667</v>
      </c>
      <c r="B1596" s="2">
        <f>IFERROR(__xludf.DUMMYFUNCTION("""COMPUTED_VALUE"""),37.07)</f>
        <v>37.07</v>
      </c>
      <c r="C1596" s="2">
        <f>IFERROR(__xludf.DUMMYFUNCTION("""COMPUTED_VALUE"""),37.07)</f>
        <v>37.07</v>
      </c>
      <c r="D1596" s="2">
        <f>IFERROR(__xludf.DUMMYFUNCTION("""COMPUTED_VALUE"""),36.33)</f>
        <v>36.33</v>
      </c>
      <c r="E1596" s="2">
        <f>IFERROR(__xludf.DUMMYFUNCTION("""COMPUTED_VALUE"""),37.07)</f>
        <v>37.07</v>
      </c>
      <c r="F1596" s="2">
        <f>IFERROR(__xludf.DUMMYFUNCTION("""COMPUTED_VALUE"""),1035700.0)</f>
        <v>1035700</v>
      </c>
    </row>
    <row r="1597">
      <c r="A1597" s="3">
        <f>IFERROR(__xludf.DUMMYFUNCTION("""COMPUTED_VALUE"""),31526.666666666668)</f>
        <v>31526.66667</v>
      </c>
      <c r="B1597" s="2">
        <f>IFERROR(__xludf.DUMMYFUNCTION("""COMPUTED_VALUE"""),37.64)</f>
        <v>37.64</v>
      </c>
      <c r="C1597" s="2">
        <f>IFERROR(__xludf.DUMMYFUNCTION("""COMPUTED_VALUE"""),37.85)</f>
        <v>37.85</v>
      </c>
      <c r="D1597" s="2">
        <f>IFERROR(__xludf.DUMMYFUNCTION("""COMPUTED_VALUE"""),37.13)</f>
        <v>37.13</v>
      </c>
      <c r="E1597" s="2">
        <f>IFERROR(__xludf.DUMMYFUNCTION("""COMPUTED_VALUE"""),37.64)</f>
        <v>37.64</v>
      </c>
      <c r="F1597" s="2">
        <f>IFERROR(__xludf.DUMMYFUNCTION("""COMPUTED_VALUE"""),2199900.0)</f>
        <v>2199900</v>
      </c>
    </row>
    <row r="1598">
      <c r="A1598" s="3">
        <f>IFERROR(__xludf.DUMMYFUNCTION("""COMPUTED_VALUE"""),31527.666666666668)</f>
        <v>31527.66667</v>
      </c>
      <c r="B1598" s="2">
        <f>IFERROR(__xludf.DUMMYFUNCTION("""COMPUTED_VALUE"""),38.09)</f>
        <v>38.09</v>
      </c>
      <c r="C1598" s="2">
        <f>IFERROR(__xludf.DUMMYFUNCTION("""COMPUTED_VALUE"""),38.3)</f>
        <v>38.3</v>
      </c>
      <c r="D1598" s="2">
        <f>IFERROR(__xludf.DUMMYFUNCTION("""COMPUTED_VALUE"""),37.85)</f>
        <v>37.85</v>
      </c>
      <c r="E1598" s="2">
        <f>IFERROR(__xludf.DUMMYFUNCTION("""COMPUTED_VALUE"""),38.09)</f>
        <v>38.09</v>
      </c>
      <c r="F1598" s="2">
        <f>IFERROR(__xludf.DUMMYFUNCTION("""COMPUTED_VALUE"""),1642300.0)</f>
        <v>1642300</v>
      </c>
    </row>
    <row r="1599">
      <c r="A1599" s="3">
        <f>IFERROR(__xludf.DUMMYFUNCTION("""COMPUTED_VALUE"""),31530.666666666668)</f>
        <v>31530.66667</v>
      </c>
      <c r="B1599" s="2">
        <f>IFERROR(__xludf.DUMMYFUNCTION("""COMPUTED_VALUE"""),38.53)</f>
        <v>38.53</v>
      </c>
      <c r="C1599" s="2">
        <f>IFERROR(__xludf.DUMMYFUNCTION("""COMPUTED_VALUE"""),38.53)</f>
        <v>38.53</v>
      </c>
      <c r="D1599" s="2">
        <f>IFERROR(__xludf.DUMMYFUNCTION("""COMPUTED_VALUE"""),37.85)</f>
        <v>37.85</v>
      </c>
      <c r="E1599" s="2">
        <f>IFERROR(__xludf.DUMMYFUNCTION("""COMPUTED_VALUE"""),38.53)</f>
        <v>38.53</v>
      </c>
      <c r="F1599" s="2">
        <f>IFERROR(__xludf.DUMMYFUNCTION("""COMPUTED_VALUE"""),1314600.0)</f>
        <v>1314600</v>
      </c>
    </row>
    <row r="1600">
      <c r="A1600" s="3">
        <f>IFERROR(__xludf.DUMMYFUNCTION("""COMPUTED_VALUE"""),31531.666666666668)</f>
        <v>31531.66667</v>
      </c>
      <c r="B1600" s="2">
        <f>IFERROR(__xludf.DUMMYFUNCTION("""COMPUTED_VALUE"""),38.06)</f>
        <v>38.06</v>
      </c>
      <c r="C1600" s="2">
        <f>IFERROR(__xludf.DUMMYFUNCTION("""COMPUTED_VALUE"""),38.65)</f>
        <v>38.65</v>
      </c>
      <c r="D1600" s="2">
        <f>IFERROR(__xludf.DUMMYFUNCTION("""COMPUTED_VALUE"""),37.79)</f>
        <v>37.79</v>
      </c>
      <c r="E1600" s="2">
        <f>IFERROR(__xludf.DUMMYFUNCTION("""COMPUTED_VALUE"""),38.06)</f>
        <v>38.06</v>
      </c>
      <c r="F1600" s="2">
        <f>IFERROR(__xludf.DUMMYFUNCTION("""COMPUTED_VALUE"""),1523400.0)</f>
        <v>1523400</v>
      </c>
    </row>
    <row r="1601">
      <c r="A1601" s="3">
        <f>IFERROR(__xludf.DUMMYFUNCTION("""COMPUTED_VALUE"""),31532.666666666668)</f>
        <v>31532.66667</v>
      </c>
      <c r="B1601" s="2">
        <f>IFERROR(__xludf.DUMMYFUNCTION("""COMPUTED_VALUE"""),37.31)</f>
        <v>37.31</v>
      </c>
      <c r="C1601" s="2">
        <f>IFERROR(__xludf.DUMMYFUNCTION("""COMPUTED_VALUE"""),38.15)</f>
        <v>38.15</v>
      </c>
      <c r="D1601" s="2">
        <f>IFERROR(__xludf.DUMMYFUNCTION("""COMPUTED_VALUE"""),37.31)</f>
        <v>37.31</v>
      </c>
      <c r="E1601" s="2">
        <f>IFERROR(__xludf.DUMMYFUNCTION("""COMPUTED_VALUE"""),37.31)</f>
        <v>37.31</v>
      </c>
      <c r="F1601" s="2">
        <f>IFERROR(__xludf.DUMMYFUNCTION("""COMPUTED_VALUE"""),1141200.0)</f>
        <v>1141200</v>
      </c>
    </row>
    <row r="1602">
      <c r="A1602" s="3">
        <f>IFERROR(__xludf.DUMMYFUNCTION("""COMPUTED_VALUE"""),31533.666666666668)</f>
        <v>31533.66667</v>
      </c>
      <c r="B1602" s="2">
        <f>IFERROR(__xludf.DUMMYFUNCTION("""COMPUTED_VALUE"""),37.46)</f>
        <v>37.46</v>
      </c>
      <c r="C1602" s="2">
        <f>IFERROR(__xludf.DUMMYFUNCTION("""COMPUTED_VALUE"""),37.61)</f>
        <v>37.61</v>
      </c>
      <c r="D1602" s="2">
        <f>IFERROR(__xludf.DUMMYFUNCTION("""COMPUTED_VALUE"""),37.19)</f>
        <v>37.19</v>
      </c>
      <c r="E1602" s="2">
        <f>IFERROR(__xludf.DUMMYFUNCTION("""COMPUTED_VALUE"""),37.46)</f>
        <v>37.46</v>
      </c>
      <c r="F1602" s="2">
        <f>IFERROR(__xludf.DUMMYFUNCTION("""COMPUTED_VALUE"""),1175000.0)</f>
        <v>1175000</v>
      </c>
    </row>
    <row r="1603">
      <c r="A1603" s="3">
        <f>IFERROR(__xludf.DUMMYFUNCTION("""COMPUTED_VALUE"""),31534.666666666668)</f>
        <v>31534.66667</v>
      </c>
      <c r="B1603" s="2">
        <f>IFERROR(__xludf.DUMMYFUNCTION("""COMPUTED_VALUE"""),36.8)</f>
        <v>36.8</v>
      </c>
      <c r="C1603" s="2">
        <f>IFERROR(__xludf.DUMMYFUNCTION("""COMPUTED_VALUE"""),37.55)</f>
        <v>37.55</v>
      </c>
      <c r="D1603" s="2">
        <f>IFERROR(__xludf.DUMMYFUNCTION("""COMPUTED_VALUE"""),36.68)</f>
        <v>36.68</v>
      </c>
      <c r="E1603" s="2">
        <f>IFERROR(__xludf.DUMMYFUNCTION("""COMPUTED_VALUE"""),36.8)</f>
        <v>36.8</v>
      </c>
      <c r="F1603" s="2">
        <f>IFERROR(__xludf.DUMMYFUNCTION("""COMPUTED_VALUE"""),1264400.0)</f>
        <v>1264400</v>
      </c>
    </row>
    <row r="1604">
      <c r="A1604" s="3">
        <f>IFERROR(__xludf.DUMMYFUNCTION("""COMPUTED_VALUE"""),31537.666666666668)</f>
        <v>31537.66667</v>
      </c>
      <c r="B1604" s="2">
        <f>IFERROR(__xludf.DUMMYFUNCTION("""COMPUTED_VALUE"""),37.16)</f>
        <v>37.16</v>
      </c>
      <c r="C1604" s="2">
        <f>IFERROR(__xludf.DUMMYFUNCTION("""COMPUTED_VALUE"""),37.22)</f>
        <v>37.22</v>
      </c>
      <c r="D1604" s="2">
        <f>IFERROR(__xludf.DUMMYFUNCTION("""COMPUTED_VALUE"""),36.89)</f>
        <v>36.89</v>
      </c>
      <c r="E1604" s="2">
        <f>IFERROR(__xludf.DUMMYFUNCTION("""COMPUTED_VALUE"""),37.16)</f>
        <v>37.16</v>
      </c>
      <c r="F1604" s="2">
        <f>IFERROR(__xludf.DUMMYFUNCTION("""COMPUTED_VALUE"""),1032900.0)</f>
        <v>1032900</v>
      </c>
    </row>
    <row r="1605">
      <c r="A1605" s="3">
        <f>IFERROR(__xludf.DUMMYFUNCTION("""COMPUTED_VALUE"""),31538.666666666668)</f>
        <v>31538.66667</v>
      </c>
      <c r="B1605" s="2">
        <f>IFERROR(__xludf.DUMMYFUNCTION("""COMPUTED_VALUE"""),36.83)</f>
        <v>36.83</v>
      </c>
      <c r="C1605" s="2">
        <f>IFERROR(__xludf.DUMMYFUNCTION("""COMPUTED_VALUE"""),37.22)</f>
        <v>37.22</v>
      </c>
      <c r="D1605" s="2">
        <f>IFERROR(__xludf.DUMMYFUNCTION("""COMPUTED_VALUE"""),36.65)</f>
        <v>36.65</v>
      </c>
      <c r="E1605" s="2">
        <f>IFERROR(__xludf.DUMMYFUNCTION("""COMPUTED_VALUE"""),36.83)</f>
        <v>36.83</v>
      </c>
      <c r="F1605" s="2">
        <f>IFERROR(__xludf.DUMMYFUNCTION("""COMPUTED_VALUE"""),1340600.0)</f>
        <v>1340600</v>
      </c>
    </row>
    <row r="1606">
      <c r="A1606" s="3">
        <f>IFERROR(__xludf.DUMMYFUNCTION("""COMPUTED_VALUE"""),31539.666666666668)</f>
        <v>31539.66667</v>
      </c>
      <c r="B1606" s="2">
        <f>IFERROR(__xludf.DUMMYFUNCTION("""COMPUTED_VALUE"""),36.12)</f>
        <v>36.12</v>
      </c>
      <c r="C1606" s="2">
        <f>IFERROR(__xludf.DUMMYFUNCTION("""COMPUTED_VALUE"""),36.65)</f>
        <v>36.65</v>
      </c>
      <c r="D1606" s="2">
        <f>IFERROR(__xludf.DUMMYFUNCTION("""COMPUTED_VALUE"""),35.82)</f>
        <v>35.82</v>
      </c>
      <c r="E1606" s="2">
        <f>IFERROR(__xludf.DUMMYFUNCTION("""COMPUTED_VALUE"""),36.12)</f>
        <v>36.12</v>
      </c>
      <c r="F1606" s="2">
        <f>IFERROR(__xludf.DUMMYFUNCTION("""COMPUTED_VALUE"""),2185100.0)</f>
        <v>2185100</v>
      </c>
    </row>
    <row r="1607">
      <c r="A1607" s="3">
        <f>IFERROR(__xludf.DUMMYFUNCTION("""COMPUTED_VALUE"""),31540.666666666668)</f>
        <v>31540.66667</v>
      </c>
      <c r="B1607" s="2">
        <f>IFERROR(__xludf.DUMMYFUNCTION("""COMPUTED_VALUE"""),35.58)</f>
        <v>35.58</v>
      </c>
      <c r="C1607" s="2">
        <f>IFERROR(__xludf.DUMMYFUNCTION("""COMPUTED_VALUE"""),35.94)</f>
        <v>35.94</v>
      </c>
      <c r="D1607" s="2">
        <f>IFERROR(__xludf.DUMMYFUNCTION("""COMPUTED_VALUE"""),35.49)</f>
        <v>35.49</v>
      </c>
      <c r="E1607" s="2">
        <f>IFERROR(__xludf.DUMMYFUNCTION("""COMPUTED_VALUE"""),35.58)</f>
        <v>35.58</v>
      </c>
      <c r="F1607" s="2">
        <f>IFERROR(__xludf.DUMMYFUNCTION("""COMPUTED_VALUE"""),1599400.0)</f>
        <v>1599400</v>
      </c>
    </row>
    <row r="1608">
      <c r="A1608" s="3">
        <f>IFERROR(__xludf.DUMMYFUNCTION("""COMPUTED_VALUE"""),31541.666666666668)</f>
        <v>31541.66667</v>
      </c>
      <c r="B1608" s="2">
        <f>IFERROR(__xludf.DUMMYFUNCTION("""COMPUTED_VALUE"""),35.76)</f>
        <v>35.76</v>
      </c>
      <c r="C1608" s="2">
        <f>IFERROR(__xludf.DUMMYFUNCTION("""COMPUTED_VALUE"""),35.88)</f>
        <v>35.88</v>
      </c>
      <c r="D1608" s="2">
        <f>IFERROR(__xludf.DUMMYFUNCTION("""COMPUTED_VALUE"""),35.37)</f>
        <v>35.37</v>
      </c>
      <c r="E1608" s="2">
        <f>IFERROR(__xludf.DUMMYFUNCTION("""COMPUTED_VALUE"""),35.76)</f>
        <v>35.76</v>
      </c>
      <c r="F1608" s="2">
        <f>IFERROR(__xludf.DUMMYFUNCTION("""COMPUTED_VALUE"""),1161200.0)</f>
        <v>1161200</v>
      </c>
    </row>
    <row r="1609">
      <c r="A1609" s="3">
        <f>IFERROR(__xludf.DUMMYFUNCTION("""COMPUTED_VALUE"""),31544.666666666668)</f>
        <v>31544.66667</v>
      </c>
      <c r="B1609" s="2">
        <f>IFERROR(__xludf.DUMMYFUNCTION("""COMPUTED_VALUE"""),35.82)</f>
        <v>35.82</v>
      </c>
      <c r="C1609" s="2">
        <f>IFERROR(__xludf.DUMMYFUNCTION("""COMPUTED_VALUE"""),36.18)</f>
        <v>36.18</v>
      </c>
      <c r="D1609" s="2">
        <f>IFERROR(__xludf.DUMMYFUNCTION("""COMPUTED_VALUE"""),35.76)</f>
        <v>35.76</v>
      </c>
      <c r="E1609" s="2">
        <f>IFERROR(__xludf.DUMMYFUNCTION("""COMPUTED_VALUE"""),35.82)</f>
        <v>35.82</v>
      </c>
      <c r="F1609" s="2">
        <f>IFERROR(__xludf.DUMMYFUNCTION("""COMPUTED_VALUE"""),980800.0)</f>
        <v>980800</v>
      </c>
    </row>
    <row r="1610">
      <c r="A1610" s="3">
        <f>IFERROR(__xludf.DUMMYFUNCTION("""COMPUTED_VALUE"""),31545.666666666668)</f>
        <v>31545.66667</v>
      </c>
      <c r="B1610" s="2">
        <f>IFERROR(__xludf.DUMMYFUNCTION("""COMPUTED_VALUE"""),35.55)</f>
        <v>35.55</v>
      </c>
      <c r="C1610" s="2">
        <f>IFERROR(__xludf.DUMMYFUNCTION("""COMPUTED_VALUE"""),35.91)</f>
        <v>35.91</v>
      </c>
      <c r="D1610" s="2">
        <f>IFERROR(__xludf.DUMMYFUNCTION("""COMPUTED_VALUE"""),35.52)</f>
        <v>35.52</v>
      </c>
      <c r="E1610" s="2">
        <f>IFERROR(__xludf.DUMMYFUNCTION("""COMPUTED_VALUE"""),35.55)</f>
        <v>35.55</v>
      </c>
      <c r="F1610" s="2">
        <f>IFERROR(__xludf.DUMMYFUNCTION("""COMPUTED_VALUE"""),1435200.0)</f>
        <v>1435200</v>
      </c>
    </row>
    <row r="1611">
      <c r="A1611" s="3">
        <f>IFERROR(__xludf.DUMMYFUNCTION("""COMPUTED_VALUE"""),31546.666666666668)</f>
        <v>31546.66667</v>
      </c>
      <c r="B1611" s="2">
        <f>IFERROR(__xludf.DUMMYFUNCTION("""COMPUTED_VALUE"""),35.37)</f>
        <v>35.37</v>
      </c>
      <c r="C1611" s="2">
        <f>IFERROR(__xludf.DUMMYFUNCTION("""COMPUTED_VALUE"""),35.61)</f>
        <v>35.61</v>
      </c>
      <c r="D1611" s="2">
        <f>IFERROR(__xludf.DUMMYFUNCTION("""COMPUTED_VALUE"""),35.1)</f>
        <v>35.1</v>
      </c>
      <c r="E1611" s="2">
        <f>IFERROR(__xludf.DUMMYFUNCTION("""COMPUTED_VALUE"""),35.37)</f>
        <v>35.37</v>
      </c>
      <c r="F1611" s="2">
        <f>IFERROR(__xludf.DUMMYFUNCTION("""COMPUTED_VALUE"""),1715900.0)</f>
        <v>1715900</v>
      </c>
    </row>
    <row r="1612">
      <c r="A1612" s="3">
        <f>IFERROR(__xludf.DUMMYFUNCTION("""COMPUTED_VALUE"""),31547.666666666668)</f>
        <v>31547.66667</v>
      </c>
      <c r="B1612" s="2">
        <f>IFERROR(__xludf.DUMMYFUNCTION("""COMPUTED_VALUE"""),34.71)</f>
        <v>34.71</v>
      </c>
      <c r="C1612" s="2">
        <f>IFERROR(__xludf.DUMMYFUNCTION("""COMPUTED_VALUE"""),35.37)</f>
        <v>35.37</v>
      </c>
      <c r="D1612" s="2">
        <f>IFERROR(__xludf.DUMMYFUNCTION("""COMPUTED_VALUE"""),34.71)</f>
        <v>34.71</v>
      </c>
      <c r="E1612" s="2">
        <f>IFERROR(__xludf.DUMMYFUNCTION("""COMPUTED_VALUE"""),34.71)</f>
        <v>34.71</v>
      </c>
      <c r="F1612" s="2">
        <f>IFERROR(__xludf.DUMMYFUNCTION("""COMPUTED_VALUE"""),1489000.0)</f>
        <v>1489000</v>
      </c>
    </row>
    <row r="1613">
      <c r="A1613" s="3">
        <f>IFERROR(__xludf.DUMMYFUNCTION("""COMPUTED_VALUE"""),31548.666666666668)</f>
        <v>31548.66667</v>
      </c>
      <c r="B1613" s="2">
        <f>IFERROR(__xludf.DUMMYFUNCTION("""COMPUTED_VALUE"""),34.59)</f>
        <v>34.59</v>
      </c>
      <c r="C1613" s="2">
        <f>IFERROR(__xludf.DUMMYFUNCTION("""COMPUTED_VALUE"""),34.77)</f>
        <v>34.77</v>
      </c>
      <c r="D1613" s="2">
        <f>IFERROR(__xludf.DUMMYFUNCTION("""COMPUTED_VALUE"""),34.54)</f>
        <v>34.54</v>
      </c>
      <c r="E1613" s="2">
        <f>IFERROR(__xludf.DUMMYFUNCTION("""COMPUTED_VALUE"""),34.59)</f>
        <v>34.59</v>
      </c>
      <c r="F1613" s="2">
        <f>IFERROR(__xludf.DUMMYFUNCTION("""COMPUTED_VALUE"""),1457700.0)</f>
        <v>1457700</v>
      </c>
    </row>
    <row r="1614">
      <c r="A1614" s="3">
        <f>IFERROR(__xludf.DUMMYFUNCTION("""COMPUTED_VALUE"""),31551.666666666668)</f>
        <v>31551.66667</v>
      </c>
      <c r="B1614" s="2">
        <f>IFERROR(__xludf.DUMMYFUNCTION("""COMPUTED_VALUE"""),34.42)</f>
        <v>34.42</v>
      </c>
      <c r="C1614" s="2">
        <f>IFERROR(__xludf.DUMMYFUNCTION("""COMPUTED_VALUE"""),34.68)</f>
        <v>34.68</v>
      </c>
      <c r="D1614" s="2">
        <f>IFERROR(__xludf.DUMMYFUNCTION("""COMPUTED_VALUE"""),34.33)</f>
        <v>34.33</v>
      </c>
      <c r="E1614" s="2">
        <f>IFERROR(__xludf.DUMMYFUNCTION("""COMPUTED_VALUE"""),34.42)</f>
        <v>34.42</v>
      </c>
      <c r="F1614" s="2">
        <f>IFERROR(__xludf.DUMMYFUNCTION("""COMPUTED_VALUE"""),1316700.0)</f>
        <v>1316700</v>
      </c>
    </row>
    <row r="1615">
      <c r="A1615" s="3">
        <f>IFERROR(__xludf.DUMMYFUNCTION("""COMPUTED_VALUE"""),31552.666666666668)</f>
        <v>31552.66667</v>
      </c>
      <c r="B1615" s="2">
        <f>IFERROR(__xludf.DUMMYFUNCTION("""COMPUTED_VALUE"""),34.92)</f>
        <v>34.92</v>
      </c>
      <c r="C1615" s="2">
        <f>IFERROR(__xludf.DUMMYFUNCTION("""COMPUTED_VALUE"""),34.95)</f>
        <v>34.95</v>
      </c>
      <c r="D1615" s="2">
        <f>IFERROR(__xludf.DUMMYFUNCTION("""COMPUTED_VALUE"""),34.45)</f>
        <v>34.45</v>
      </c>
      <c r="E1615" s="2">
        <f>IFERROR(__xludf.DUMMYFUNCTION("""COMPUTED_VALUE"""),34.92)</f>
        <v>34.92</v>
      </c>
      <c r="F1615" s="2">
        <f>IFERROR(__xludf.DUMMYFUNCTION("""COMPUTED_VALUE"""),1014700.0)</f>
        <v>1014700</v>
      </c>
    </row>
    <row r="1616">
      <c r="A1616" s="3">
        <f>IFERROR(__xludf.DUMMYFUNCTION("""COMPUTED_VALUE"""),31553.666666666668)</f>
        <v>31553.66667</v>
      </c>
      <c r="B1616" s="2">
        <f>IFERROR(__xludf.DUMMYFUNCTION("""COMPUTED_VALUE"""),34.51)</f>
        <v>34.51</v>
      </c>
      <c r="C1616" s="2">
        <f>IFERROR(__xludf.DUMMYFUNCTION("""COMPUTED_VALUE"""),35.01)</f>
        <v>35.01</v>
      </c>
      <c r="D1616" s="2">
        <f>IFERROR(__xludf.DUMMYFUNCTION("""COMPUTED_VALUE"""),34.45)</f>
        <v>34.45</v>
      </c>
      <c r="E1616" s="2">
        <f>IFERROR(__xludf.DUMMYFUNCTION("""COMPUTED_VALUE"""),34.51)</f>
        <v>34.51</v>
      </c>
      <c r="F1616" s="2">
        <f>IFERROR(__xludf.DUMMYFUNCTION("""COMPUTED_VALUE"""),1215900.0)</f>
        <v>1215900</v>
      </c>
    </row>
    <row r="1617">
      <c r="A1617" s="3">
        <f>IFERROR(__xludf.DUMMYFUNCTION("""COMPUTED_VALUE"""),31554.666666666668)</f>
        <v>31554.66667</v>
      </c>
      <c r="B1617" s="2">
        <f>IFERROR(__xludf.DUMMYFUNCTION("""COMPUTED_VALUE"""),34.24)</f>
        <v>34.24</v>
      </c>
      <c r="C1617" s="2">
        <f>IFERROR(__xludf.DUMMYFUNCTION("""COMPUTED_VALUE"""),34.65)</f>
        <v>34.65</v>
      </c>
      <c r="D1617" s="2">
        <f>IFERROR(__xludf.DUMMYFUNCTION("""COMPUTED_VALUE"""),33.97)</f>
        <v>33.97</v>
      </c>
      <c r="E1617" s="2">
        <f>IFERROR(__xludf.DUMMYFUNCTION("""COMPUTED_VALUE"""),34.24)</f>
        <v>34.24</v>
      </c>
      <c r="F1617" s="2">
        <f>IFERROR(__xludf.DUMMYFUNCTION("""COMPUTED_VALUE"""),2336300.0)</f>
        <v>2336300</v>
      </c>
    </row>
    <row r="1618">
      <c r="A1618" s="3">
        <f>IFERROR(__xludf.DUMMYFUNCTION("""COMPUTED_VALUE"""),31555.666666666668)</f>
        <v>31555.66667</v>
      </c>
      <c r="B1618" s="2">
        <f>IFERROR(__xludf.DUMMYFUNCTION("""COMPUTED_VALUE"""),34.36)</f>
        <v>34.36</v>
      </c>
      <c r="C1618" s="2">
        <f>IFERROR(__xludf.DUMMYFUNCTION("""COMPUTED_VALUE"""),34.92)</f>
        <v>34.92</v>
      </c>
      <c r="D1618" s="2">
        <f>IFERROR(__xludf.DUMMYFUNCTION("""COMPUTED_VALUE"""),34.3)</f>
        <v>34.3</v>
      </c>
      <c r="E1618" s="2">
        <f>IFERROR(__xludf.DUMMYFUNCTION("""COMPUTED_VALUE"""),34.36)</f>
        <v>34.36</v>
      </c>
      <c r="F1618" s="2">
        <f>IFERROR(__xludf.DUMMYFUNCTION("""COMPUTED_VALUE"""),1667200.0)</f>
        <v>1667200</v>
      </c>
    </row>
    <row r="1619">
      <c r="A1619" s="3">
        <f>IFERROR(__xludf.DUMMYFUNCTION("""COMPUTED_VALUE"""),31559.666666666668)</f>
        <v>31559.66667</v>
      </c>
      <c r="B1619" s="2">
        <f>IFERROR(__xludf.DUMMYFUNCTION("""COMPUTED_VALUE"""),35.1)</f>
        <v>35.1</v>
      </c>
      <c r="C1619" s="2">
        <f>IFERROR(__xludf.DUMMYFUNCTION("""COMPUTED_VALUE"""),35.1)</f>
        <v>35.1</v>
      </c>
      <c r="D1619" s="2">
        <f>IFERROR(__xludf.DUMMYFUNCTION("""COMPUTED_VALUE"""),34.36)</f>
        <v>34.36</v>
      </c>
      <c r="E1619" s="2">
        <f>IFERROR(__xludf.DUMMYFUNCTION("""COMPUTED_VALUE"""),35.1)</f>
        <v>35.1</v>
      </c>
      <c r="F1619" s="2">
        <f>IFERROR(__xludf.DUMMYFUNCTION("""COMPUTED_VALUE"""),1365700.0)</f>
        <v>1365700</v>
      </c>
    </row>
    <row r="1620">
      <c r="A1620" s="3">
        <f>IFERROR(__xludf.DUMMYFUNCTION("""COMPUTED_VALUE"""),31560.666666666668)</f>
        <v>31560.66667</v>
      </c>
      <c r="B1620" s="2">
        <f>IFERROR(__xludf.DUMMYFUNCTION("""COMPUTED_VALUE"""),36.15)</f>
        <v>36.15</v>
      </c>
      <c r="C1620" s="2">
        <f>IFERROR(__xludf.DUMMYFUNCTION("""COMPUTED_VALUE"""),36.42)</f>
        <v>36.42</v>
      </c>
      <c r="D1620" s="2">
        <f>IFERROR(__xludf.DUMMYFUNCTION("""COMPUTED_VALUE"""),35.31)</f>
        <v>35.31</v>
      </c>
      <c r="E1620" s="2">
        <f>IFERROR(__xludf.DUMMYFUNCTION("""COMPUTED_VALUE"""),36.15)</f>
        <v>36.15</v>
      </c>
      <c r="F1620" s="2">
        <f>IFERROR(__xludf.DUMMYFUNCTION("""COMPUTED_VALUE"""),3713300.0)</f>
        <v>3713300</v>
      </c>
    </row>
    <row r="1621">
      <c r="A1621" s="3">
        <f>IFERROR(__xludf.DUMMYFUNCTION("""COMPUTED_VALUE"""),31561.666666666668)</f>
        <v>31561.66667</v>
      </c>
      <c r="B1621" s="2">
        <f>IFERROR(__xludf.DUMMYFUNCTION("""COMPUTED_VALUE"""),36.51)</f>
        <v>36.51</v>
      </c>
      <c r="C1621" s="2">
        <f>IFERROR(__xludf.DUMMYFUNCTION("""COMPUTED_VALUE"""),36.68)</f>
        <v>36.68</v>
      </c>
      <c r="D1621" s="2">
        <f>IFERROR(__xludf.DUMMYFUNCTION("""COMPUTED_VALUE"""),35.88)</f>
        <v>35.88</v>
      </c>
      <c r="E1621" s="2">
        <f>IFERROR(__xludf.DUMMYFUNCTION("""COMPUTED_VALUE"""),36.51)</f>
        <v>36.51</v>
      </c>
      <c r="F1621" s="2">
        <f>IFERROR(__xludf.DUMMYFUNCTION("""COMPUTED_VALUE"""),1814900.0)</f>
        <v>1814900</v>
      </c>
    </row>
    <row r="1622">
      <c r="A1622" s="3">
        <f>IFERROR(__xludf.DUMMYFUNCTION("""COMPUTED_VALUE"""),31562.666666666668)</f>
        <v>31562.66667</v>
      </c>
      <c r="B1622" s="2">
        <f>IFERROR(__xludf.DUMMYFUNCTION("""COMPUTED_VALUE"""),36.39)</f>
        <v>36.39</v>
      </c>
      <c r="C1622" s="2">
        <f>IFERROR(__xludf.DUMMYFUNCTION("""COMPUTED_VALUE"""),36.92)</f>
        <v>36.92</v>
      </c>
      <c r="D1622" s="2">
        <f>IFERROR(__xludf.DUMMYFUNCTION("""COMPUTED_VALUE"""),36.3)</f>
        <v>36.3</v>
      </c>
      <c r="E1622" s="2">
        <f>IFERROR(__xludf.DUMMYFUNCTION("""COMPUTED_VALUE"""),36.39)</f>
        <v>36.39</v>
      </c>
      <c r="F1622" s="2">
        <f>IFERROR(__xludf.DUMMYFUNCTION("""COMPUTED_VALUE"""),1990400.0)</f>
        <v>1990400</v>
      </c>
    </row>
    <row r="1623">
      <c r="A1623" s="3">
        <f>IFERROR(__xludf.DUMMYFUNCTION("""COMPUTED_VALUE"""),31565.666666666668)</f>
        <v>31565.66667</v>
      </c>
      <c r="B1623" s="2">
        <f>IFERROR(__xludf.DUMMYFUNCTION("""COMPUTED_VALUE"""),36.36)</f>
        <v>36.36</v>
      </c>
      <c r="C1623" s="2">
        <f>IFERROR(__xludf.DUMMYFUNCTION("""COMPUTED_VALUE"""),36.65)</f>
        <v>36.65</v>
      </c>
      <c r="D1623" s="2">
        <f>IFERROR(__xludf.DUMMYFUNCTION("""COMPUTED_VALUE"""),36.24)</f>
        <v>36.24</v>
      </c>
      <c r="E1623" s="2">
        <f>IFERROR(__xludf.DUMMYFUNCTION("""COMPUTED_VALUE"""),36.36)</f>
        <v>36.36</v>
      </c>
      <c r="F1623" s="2">
        <f>IFERROR(__xludf.DUMMYFUNCTION("""COMPUTED_VALUE"""),1292200.0)</f>
        <v>1292200</v>
      </c>
    </row>
    <row r="1624">
      <c r="A1624" s="3">
        <f>IFERROR(__xludf.DUMMYFUNCTION("""COMPUTED_VALUE"""),31566.666666666668)</f>
        <v>31566.66667</v>
      </c>
      <c r="B1624" s="2">
        <f>IFERROR(__xludf.DUMMYFUNCTION("""COMPUTED_VALUE"""),36.48)</f>
        <v>36.48</v>
      </c>
      <c r="C1624" s="2">
        <f>IFERROR(__xludf.DUMMYFUNCTION("""COMPUTED_VALUE"""),36.48)</f>
        <v>36.48</v>
      </c>
      <c r="D1624" s="2">
        <f>IFERROR(__xludf.DUMMYFUNCTION("""COMPUTED_VALUE"""),36.18)</f>
        <v>36.18</v>
      </c>
      <c r="E1624" s="2">
        <f>IFERROR(__xludf.DUMMYFUNCTION("""COMPUTED_VALUE"""),36.48)</f>
        <v>36.48</v>
      </c>
      <c r="F1624" s="2">
        <f>IFERROR(__xludf.DUMMYFUNCTION("""COMPUTED_VALUE"""),1168100.0)</f>
        <v>1168100</v>
      </c>
    </row>
    <row r="1625">
      <c r="A1625" s="3">
        <f>IFERROR(__xludf.DUMMYFUNCTION("""COMPUTED_VALUE"""),31567.666666666668)</f>
        <v>31567.66667</v>
      </c>
      <c r="B1625" s="2">
        <f>IFERROR(__xludf.DUMMYFUNCTION("""COMPUTED_VALUE"""),35.82)</f>
        <v>35.82</v>
      </c>
      <c r="C1625" s="2">
        <f>IFERROR(__xludf.DUMMYFUNCTION("""COMPUTED_VALUE"""),36.51)</f>
        <v>36.51</v>
      </c>
      <c r="D1625" s="2">
        <f>IFERROR(__xludf.DUMMYFUNCTION("""COMPUTED_VALUE"""),35.7)</f>
        <v>35.7</v>
      </c>
      <c r="E1625" s="2">
        <f>IFERROR(__xludf.DUMMYFUNCTION("""COMPUTED_VALUE"""),35.82)</f>
        <v>35.82</v>
      </c>
      <c r="F1625" s="2">
        <f>IFERROR(__xludf.DUMMYFUNCTION("""COMPUTED_VALUE"""),1452000.0)</f>
        <v>1452000</v>
      </c>
    </row>
    <row r="1626">
      <c r="A1626" s="3">
        <f>IFERROR(__xludf.DUMMYFUNCTION("""COMPUTED_VALUE"""),31568.666666666668)</f>
        <v>31568.66667</v>
      </c>
      <c r="B1626" s="2">
        <f>IFERROR(__xludf.DUMMYFUNCTION("""COMPUTED_VALUE"""),36.0)</f>
        <v>36</v>
      </c>
      <c r="C1626" s="2">
        <f>IFERROR(__xludf.DUMMYFUNCTION("""COMPUTED_VALUE"""),36.03)</f>
        <v>36.03</v>
      </c>
      <c r="D1626" s="2">
        <f>IFERROR(__xludf.DUMMYFUNCTION("""COMPUTED_VALUE"""),35.67)</f>
        <v>35.67</v>
      </c>
      <c r="E1626" s="2">
        <f>IFERROR(__xludf.DUMMYFUNCTION("""COMPUTED_VALUE"""),36.0)</f>
        <v>36</v>
      </c>
      <c r="F1626" s="2">
        <f>IFERROR(__xludf.DUMMYFUNCTION("""COMPUTED_VALUE"""),966900.0)</f>
        <v>966900</v>
      </c>
    </row>
    <row r="1627">
      <c r="A1627" s="3">
        <f>IFERROR(__xludf.DUMMYFUNCTION("""COMPUTED_VALUE"""),31569.666666666668)</f>
        <v>31569.66667</v>
      </c>
      <c r="B1627" s="2">
        <f>IFERROR(__xludf.DUMMYFUNCTION("""COMPUTED_VALUE"""),35.79)</f>
        <v>35.79</v>
      </c>
      <c r="C1627" s="2">
        <f>IFERROR(__xludf.DUMMYFUNCTION("""COMPUTED_VALUE"""),36.06)</f>
        <v>36.06</v>
      </c>
      <c r="D1627" s="2">
        <f>IFERROR(__xludf.DUMMYFUNCTION("""COMPUTED_VALUE"""),35.58)</f>
        <v>35.58</v>
      </c>
      <c r="E1627" s="2">
        <f>IFERROR(__xludf.DUMMYFUNCTION("""COMPUTED_VALUE"""),35.79)</f>
        <v>35.79</v>
      </c>
      <c r="F1627" s="2">
        <f>IFERROR(__xludf.DUMMYFUNCTION("""COMPUTED_VALUE"""),837400.0)</f>
        <v>837400</v>
      </c>
    </row>
    <row r="1628">
      <c r="A1628" s="3">
        <f>IFERROR(__xludf.DUMMYFUNCTION("""COMPUTED_VALUE"""),31572.666666666668)</f>
        <v>31572.66667</v>
      </c>
      <c r="B1628" s="2">
        <f>IFERROR(__xludf.DUMMYFUNCTION("""COMPUTED_VALUE"""),35.04)</f>
        <v>35.04</v>
      </c>
      <c r="C1628" s="2">
        <f>IFERROR(__xludf.DUMMYFUNCTION("""COMPUTED_VALUE"""),35.58)</f>
        <v>35.58</v>
      </c>
      <c r="D1628" s="2">
        <f>IFERROR(__xludf.DUMMYFUNCTION("""COMPUTED_VALUE"""),34.98)</f>
        <v>34.98</v>
      </c>
      <c r="E1628" s="2">
        <f>IFERROR(__xludf.DUMMYFUNCTION("""COMPUTED_VALUE"""),35.04)</f>
        <v>35.04</v>
      </c>
      <c r="F1628" s="2">
        <f>IFERROR(__xludf.DUMMYFUNCTION("""COMPUTED_VALUE"""),1549500.0)</f>
        <v>1549500</v>
      </c>
    </row>
    <row r="1629">
      <c r="A1629" s="3">
        <f>IFERROR(__xludf.DUMMYFUNCTION("""COMPUTED_VALUE"""),31573.666666666668)</f>
        <v>31573.66667</v>
      </c>
      <c r="B1629" s="2">
        <f>IFERROR(__xludf.DUMMYFUNCTION("""COMPUTED_VALUE"""),35.43)</f>
        <v>35.43</v>
      </c>
      <c r="C1629" s="2">
        <f>IFERROR(__xludf.DUMMYFUNCTION("""COMPUTED_VALUE"""),35.52)</f>
        <v>35.52</v>
      </c>
      <c r="D1629" s="2">
        <f>IFERROR(__xludf.DUMMYFUNCTION("""COMPUTED_VALUE"""),35.01)</f>
        <v>35.01</v>
      </c>
      <c r="E1629" s="2">
        <f>IFERROR(__xludf.DUMMYFUNCTION("""COMPUTED_VALUE"""),35.43)</f>
        <v>35.43</v>
      </c>
      <c r="F1629" s="2">
        <f>IFERROR(__xludf.DUMMYFUNCTION("""COMPUTED_VALUE"""),1285900.0)</f>
        <v>1285900</v>
      </c>
    </row>
    <row r="1630">
      <c r="A1630" s="3">
        <f>IFERROR(__xludf.DUMMYFUNCTION("""COMPUTED_VALUE"""),31574.666666666668)</f>
        <v>31574.66667</v>
      </c>
      <c r="B1630" s="2">
        <f>IFERROR(__xludf.DUMMYFUNCTION("""COMPUTED_VALUE"""),35.61)</f>
        <v>35.61</v>
      </c>
      <c r="C1630" s="2">
        <f>IFERROR(__xludf.DUMMYFUNCTION("""COMPUTED_VALUE"""),35.7)</f>
        <v>35.7</v>
      </c>
      <c r="D1630" s="2">
        <f>IFERROR(__xludf.DUMMYFUNCTION("""COMPUTED_VALUE"""),35.4)</f>
        <v>35.4</v>
      </c>
      <c r="E1630" s="2">
        <f>IFERROR(__xludf.DUMMYFUNCTION("""COMPUTED_VALUE"""),35.61)</f>
        <v>35.61</v>
      </c>
      <c r="F1630" s="2">
        <f>IFERROR(__xludf.DUMMYFUNCTION("""COMPUTED_VALUE"""),1099000.0)</f>
        <v>1099000</v>
      </c>
    </row>
    <row r="1631">
      <c r="A1631" s="3">
        <f>IFERROR(__xludf.DUMMYFUNCTION("""COMPUTED_VALUE"""),31575.666666666668)</f>
        <v>31575.66667</v>
      </c>
      <c r="B1631" s="2">
        <f>IFERROR(__xludf.DUMMYFUNCTION("""COMPUTED_VALUE"""),35.34)</f>
        <v>35.34</v>
      </c>
      <c r="C1631" s="2">
        <f>IFERROR(__xludf.DUMMYFUNCTION("""COMPUTED_VALUE"""),35.61)</f>
        <v>35.61</v>
      </c>
      <c r="D1631" s="2">
        <f>IFERROR(__xludf.DUMMYFUNCTION("""COMPUTED_VALUE"""),35.28)</f>
        <v>35.28</v>
      </c>
      <c r="E1631" s="2">
        <f>IFERROR(__xludf.DUMMYFUNCTION("""COMPUTED_VALUE"""),35.34)</f>
        <v>35.34</v>
      </c>
      <c r="F1631" s="2">
        <f>IFERROR(__xludf.DUMMYFUNCTION("""COMPUTED_VALUE"""),790800.0)</f>
        <v>790800</v>
      </c>
    </row>
    <row r="1632">
      <c r="A1632" s="3">
        <f>IFERROR(__xludf.DUMMYFUNCTION("""COMPUTED_VALUE"""),31576.666666666668)</f>
        <v>31576.66667</v>
      </c>
      <c r="B1632" s="2">
        <f>IFERROR(__xludf.DUMMYFUNCTION("""COMPUTED_VALUE"""),35.73)</f>
        <v>35.73</v>
      </c>
      <c r="C1632" s="2">
        <f>IFERROR(__xludf.DUMMYFUNCTION("""COMPUTED_VALUE"""),35.79)</f>
        <v>35.79</v>
      </c>
      <c r="D1632" s="2">
        <f>IFERROR(__xludf.DUMMYFUNCTION("""COMPUTED_VALUE"""),35.34)</f>
        <v>35.34</v>
      </c>
      <c r="E1632" s="2">
        <f>IFERROR(__xludf.DUMMYFUNCTION("""COMPUTED_VALUE"""),35.73)</f>
        <v>35.73</v>
      </c>
      <c r="F1632" s="2">
        <f>IFERROR(__xludf.DUMMYFUNCTION("""COMPUTED_VALUE"""),927500.0)</f>
        <v>927500</v>
      </c>
    </row>
    <row r="1633">
      <c r="A1633" s="3">
        <f>IFERROR(__xludf.DUMMYFUNCTION("""COMPUTED_VALUE"""),31579.666666666668)</f>
        <v>31579.66667</v>
      </c>
      <c r="B1633" s="2">
        <f>IFERROR(__xludf.DUMMYFUNCTION("""COMPUTED_VALUE"""),35.46)</f>
        <v>35.46</v>
      </c>
      <c r="C1633" s="2">
        <f>IFERROR(__xludf.DUMMYFUNCTION("""COMPUTED_VALUE"""),35.79)</f>
        <v>35.79</v>
      </c>
      <c r="D1633" s="2">
        <f>IFERROR(__xludf.DUMMYFUNCTION("""COMPUTED_VALUE"""),35.37)</f>
        <v>35.37</v>
      </c>
      <c r="E1633" s="2">
        <f>IFERROR(__xludf.DUMMYFUNCTION("""COMPUTED_VALUE"""),35.46)</f>
        <v>35.46</v>
      </c>
      <c r="F1633" s="2">
        <f>IFERROR(__xludf.DUMMYFUNCTION("""COMPUTED_VALUE"""),907800.0)</f>
        <v>907800</v>
      </c>
    </row>
    <row r="1634">
      <c r="A1634" s="3">
        <f>IFERROR(__xludf.DUMMYFUNCTION("""COMPUTED_VALUE"""),31580.666666666668)</f>
        <v>31580.66667</v>
      </c>
      <c r="B1634" s="2">
        <f>IFERROR(__xludf.DUMMYFUNCTION("""COMPUTED_VALUE"""),35.07)</f>
        <v>35.07</v>
      </c>
      <c r="C1634" s="2">
        <f>IFERROR(__xludf.DUMMYFUNCTION("""COMPUTED_VALUE"""),35.52)</f>
        <v>35.52</v>
      </c>
      <c r="D1634" s="2">
        <f>IFERROR(__xludf.DUMMYFUNCTION("""COMPUTED_VALUE"""),34.98)</f>
        <v>34.98</v>
      </c>
      <c r="E1634" s="2">
        <f>IFERROR(__xludf.DUMMYFUNCTION("""COMPUTED_VALUE"""),35.07)</f>
        <v>35.07</v>
      </c>
      <c r="F1634" s="2">
        <f>IFERROR(__xludf.DUMMYFUNCTION("""COMPUTED_VALUE"""),971000.0)</f>
        <v>971000</v>
      </c>
    </row>
    <row r="1635">
      <c r="A1635" s="3">
        <f>IFERROR(__xludf.DUMMYFUNCTION("""COMPUTED_VALUE"""),31581.666666666668)</f>
        <v>31581.66667</v>
      </c>
      <c r="B1635" s="2">
        <f>IFERROR(__xludf.DUMMYFUNCTION("""COMPUTED_VALUE"""),34.95)</f>
        <v>34.95</v>
      </c>
      <c r="C1635" s="2">
        <f>IFERROR(__xludf.DUMMYFUNCTION("""COMPUTED_VALUE"""),35.1)</f>
        <v>35.1</v>
      </c>
      <c r="D1635" s="2">
        <f>IFERROR(__xludf.DUMMYFUNCTION("""COMPUTED_VALUE"""),34.42)</f>
        <v>34.42</v>
      </c>
      <c r="E1635" s="2">
        <f>IFERROR(__xludf.DUMMYFUNCTION("""COMPUTED_VALUE"""),34.95)</f>
        <v>34.95</v>
      </c>
      <c r="F1635" s="2">
        <f>IFERROR(__xludf.DUMMYFUNCTION("""COMPUTED_VALUE"""),1461800.0)</f>
        <v>1461800</v>
      </c>
    </row>
    <row r="1636">
      <c r="A1636" s="3">
        <f>IFERROR(__xludf.DUMMYFUNCTION("""COMPUTED_VALUE"""),31582.666666666668)</f>
        <v>31582.66667</v>
      </c>
      <c r="B1636" s="2">
        <f>IFERROR(__xludf.DUMMYFUNCTION("""COMPUTED_VALUE"""),34.62)</f>
        <v>34.62</v>
      </c>
      <c r="C1636" s="2">
        <f>IFERROR(__xludf.DUMMYFUNCTION("""COMPUTED_VALUE"""),35.1)</f>
        <v>35.1</v>
      </c>
      <c r="D1636" s="2">
        <f>IFERROR(__xludf.DUMMYFUNCTION("""COMPUTED_VALUE"""),34.62)</f>
        <v>34.62</v>
      </c>
      <c r="E1636" s="2">
        <f>IFERROR(__xludf.DUMMYFUNCTION("""COMPUTED_VALUE"""),34.62)</f>
        <v>34.62</v>
      </c>
      <c r="F1636" s="2">
        <f>IFERROR(__xludf.DUMMYFUNCTION("""COMPUTED_VALUE"""),1381700.0)</f>
        <v>1381700</v>
      </c>
    </row>
    <row r="1637">
      <c r="A1637" s="3">
        <f>IFERROR(__xludf.DUMMYFUNCTION("""COMPUTED_VALUE"""),31583.666666666668)</f>
        <v>31583.66667</v>
      </c>
      <c r="B1637" s="2">
        <f>IFERROR(__xludf.DUMMYFUNCTION("""COMPUTED_VALUE"""),35.22)</f>
        <v>35.22</v>
      </c>
      <c r="C1637" s="2">
        <f>IFERROR(__xludf.DUMMYFUNCTION("""COMPUTED_VALUE"""),35.22)</f>
        <v>35.22</v>
      </c>
      <c r="D1637" s="2">
        <f>IFERROR(__xludf.DUMMYFUNCTION("""COMPUTED_VALUE"""),34.54)</f>
        <v>34.54</v>
      </c>
      <c r="E1637" s="2">
        <f>IFERROR(__xludf.DUMMYFUNCTION("""COMPUTED_VALUE"""),35.22)</f>
        <v>35.22</v>
      </c>
      <c r="F1637" s="2">
        <f>IFERROR(__xludf.DUMMYFUNCTION("""COMPUTED_VALUE"""),1650700.0)</f>
        <v>1650700</v>
      </c>
    </row>
    <row r="1638">
      <c r="A1638" s="3">
        <f>IFERROR(__xludf.DUMMYFUNCTION("""COMPUTED_VALUE"""),31586.666666666668)</f>
        <v>31586.66667</v>
      </c>
      <c r="B1638" s="2">
        <f>IFERROR(__xludf.DUMMYFUNCTION("""COMPUTED_VALUE"""),34.65)</f>
        <v>34.65</v>
      </c>
      <c r="C1638" s="2">
        <f>IFERROR(__xludf.DUMMYFUNCTION("""COMPUTED_VALUE"""),35.1)</f>
        <v>35.1</v>
      </c>
      <c r="D1638" s="2">
        <f>IFERROR(__xludf.DUMMYFUNCTION("""COMPUTED_VALUE"""),34.51)</f>
        <v>34.51</v>
      </c>
      <c r="E1638" s="2">
        <f>IFERROR(__xludf.DUMMYFUNCTION("""COMPUTED_VALUE"""),34.65)</f>
        <v>34.65</v>
      </c>
      <c r="F1638" s="2">
        <f>IFERROR(__xludf.DUMMYFUNCTION("""COMPUTED_VALUE"""),1070900.0)</f>
        <v>1070900</v>
      </c>
    </row>
    <row r="1639">
      <c r="A1639" s="3">
        <f>IFERROR(__xludf.DUMMYFUNCTION("""COMPUTED_VALUE"""),31587.666666666668)</f>
        <v>31587.66667</v>
      </c>
      <c r="B1639" s="2">
        <f>IFERROR(__xludf.DUMMYFUNCTION("""COMPUTED_VALUE"""),34.98)</f>
        <v>34.98</v>
      </c>
      <c r="C1639" s="2">
        <f>IFERROR(__xludf.DUMMYFUNCTION("""COMPUTED_VALUE"""),35.31)</f>
        <v>35.31</v>
      </c>
      <c r="D1639" s="2">
        <f>IFERROR(__xludf.DUMMYFUNCTION("""COMPUTED_VALUE"""),34.56)</f>
        <v>34.56</v>
      </c>
      <c r="E1639" s="2">
        <f>IFERROR(__xludf.DUMMYFUNCTION("""COMPUTED_VALUE"""),34.98)</f>
        <v>34.98</v>
      </c>
      <c r="F1639" s="2">
        <f>IFERROR(__xludf.DUMMYFUNCTION("""COMPUTED_VALUE"""),1205600.0)</f>
        <v>1205600</v>
      </c>
    </row>
    <row r="1640">
      <c r="A1640" s="3">
        <f>IFERROR(__xludf.DUMMYFUNCTION("""COMPUTED_VALUE"""),31588.666666666668)</f>
        <v>31588.66667</v>
      </c>
      <c r="B1640" s="2">
        <f>IFERROR(__xludf.DUMMYFUNCTION("""COMPUTED_VALUE"""),35.22)</f>
        <v>35.22</v>
      </c>
      <c r="C1640" s="2">
        <f>IFERROR(__xludf.DUMMYFUNCTION("""COMPUTED_VALUE"""),35.46)</f>
        <v>35.46</v>
      </c>
      <c r="D1640" s="2">
        <f>IFERROR(__xludf.DUMMYFUNCTION("""COMPUTED_VALUE"""),35.04)</f>
        <v>35.04</v>
      </c>
      <c r="E1640" s="2">
        <f>IFERROR(__xludf.DUMMYFUNCTION("""COMPUTED_VALUE"""),35.22)</f>
        <v>35.22</v>
      </c>
      <c r="F1640" s="2">
        <f>IFERROR(__xludf.DUMMYFUNCTION("""COMPUTED_VALUE"""),1116200.0)</f>
        <v>1116200</v>
      </c>
    </row>
    <row r="1641">
      <c r="A1641" s="3">
        <f>IFERROR(__xludf.DUMMYFUNCTION("""COMPUTED_VALUE"""),31589.666666666668)</f>
        <v>31589.66667</v>
      </c>
      <c r="B1641" s="2">
        <f>IFERROR(__xludf.DUMMYFUNCTION("""COMPUTED_VALUE"""),35.04)</f>
        <v>35.04</v>
      </c>
      <c r="C1641" s="2">
        <f>IFERROR(__xludf.DUMMYFUNCTION("""COMPUTED_VALUE"""),35.25)</f>
        <v>35.25</v>
      </c>
      <c r="D1641" s="2">
        <f>IFERROR(__xludf.DUMMYFUNCTION("""COMPUTED_VALUE"""),35.01)</f>
        <v>35.01</v>
      </c>
      <c r="E1641" s="2">
        <f>IFERROR(__xludf.DUMMYFUNCTION("""COMPUTED_VALUE"""),35.04)</f>
        <v>35.04</v>
      </c>
      <c r="F1641" s="2">
        <f>IFERROR(__xludf.DUMMYFUNCTION("""COMPUTED_VALUE"""),803800.0)</f>
        <v>803800</v>
      </c>
    </row>
    <row r="1642">
      <c r="A1642" s="3">
        <f>IFERROR(__xludf.DUMMYFUNCTION("""COMPUTED_VALUE"""),31590.666666666668)</f>
        <v>31590.66667</v>
      </c>
      <c r="B1642" s="2">
        <f>IFERROR(__xludf.DUMMYFUNCTION("""COMPUTED_VALUE"""),35.1)</f>
        <v>35.1</v>
      </c>
      <c r="C1642" s="2">
        <f>IFERROR(__xludf.DUMMYFUNCTION("""COMPUTED_VALUE"""),35.19)</f>
        <v>35.19</v>
      </c>
      <c r="D1642" s="2">
        <f>IFERROR(__xludf.DUMMYFUNCTION("""COMPUTED_VALUE"""),35.01)</f>
        <v>35.01</v>
      </c>
      <c r="E1642" s="2">
        <f>IFERROR(__xludf.DUMMYFUNCTION("""COMPUTED_VALUE"""),35.1)</f>
        <v>35.1</v>
      </c>
      <c r="F1642" s="2">
        <f>IFERROR(__xludf.DUMMYFUNCTION("""COMPUTED_VALUE"""),687400.0)</f>
        <v>687400</v>
      </c>
    </row>
    <row r="1643">
      <c r="A1643" s="3">
        <f>IFERROR(__xludf.DUMMYFUNCTION("""COMPUTED_VALUE"""),31593.666666666668)</f>
        <v>31593.66667</v>
      </c>
      <c r="B1643" s="2">
        <f>IFERROR(__xludf.DUMMYFUNCTION("""COMPUTED_VALUE"""),34.98)</f>
        <v>34.98</v>
      </c>
      <c r="C1643" s="2">
        <f>IFERROR(__xludf.DUMMYFUNCTION("""COMPUTED_VALUE"""),35.22)</f>
        <v>35.22</v>
      </c>
      <c r="D1643" s="2">
        <f>IFERROR(__xludf.DUMMYFUNCTION("""COMPUTED_VALUE"""),34.92)</f>
        <v>34.92</v>
      </c>
      <c r="E1643" s="2">
        <f>IFERROR(__xludf.DUMMYFUNCTION("""COMPUTED_VALUE"""),34.98)</f>
        <v>34.98</v>
      </c>
      <c r="F1643" s="2">
        <f>IFERROR(__xludf.DUMMYFUNCTION("""COMPUTED_VALUE"""),999500.0)</f>
        <v>999500</v>
      </c>
    </row>
    <row r="1644">
      <c r="A1644" s="3">
        <f>IFERROR(__xludf.DUMMYFUNCTION("""COMPUTED_VALUE"""),31594.666666666668)</f>
        <v>31594.66667</v>
      </c>
      <c r="B1644" s="2">
        <f>IFERROR(__xludf.DUMMYFUNCTION("""COMPUTED_VALUE"""),35.49)</f>
        <v>35.49</v>
      </c>
      <c r="C1644" s="2">
        <f>IFERROR(__xludf.DUMMYFUNCTION("""COMPUTED_VALUE"""),35.49)</f>
        <v>35.49</v>
      </c>
      <c r="D1644" s="2">
        <f>IFERROR(__xludf.DUMMYFUNCTION("""COMPUTED_VALUE"""),34.95)</f>
        <v>34.95</v>
      </c>
      <c r="E1644" s="2">
        <f>IFERROR(__xludf.DUMMYFUNCTION("""COMPUTED_VALUE"""),35.49)</f>
        <v>35.49</v>
      </c>
      <c r="F1644" s="2">
        <f>IFERROR(__xludf.DUMMYFUNCTION("""COMPUTED_VALUE"""),1749700.0)</f>
        <v>1749700</v>
      </c>
    </row>
    <row r="1645">
      <c r="A1645" s="3">
        <f>IFERROR(__xludf.DUMMYFUNCTION("""COMPUTED_VALUE"""),31595.666666666668)</f>
        <v>31595.66667</v>
      </c>
      <c r="B1645" s="2">
        <f>IFERROR(__xludf.DUMMYFUNCTION("""COMPUTED_VALUE"""),35.7)</f>
        <v>35.7</v>
      </c>
      <c r="C1645" s="2">
        <f>IFERROR(__xludf.DUMMYFUNCTION("""COMPUTED_VALUE"""),35.85)</f>
        <v>35.85</v>
      </c>
      <c r="D1645" s="2">
        <f>IFERROR(__xludf.DUMMYFUNCTION("""COMPUTED_VALUE"""),35.4)</f>
        <v>35.4</v>
      </c>
      <c r="E1645" s="2">
        <f>IFERROR(__xludf.DUMMYFUNCTION("""COMPUTED_VALUE"""),35.7)</f>
        <v>35.7</v>
      </c>
      <c r="F1645" s="2">
        <f>IFERROR(__xludf.DUMMYFUNCTION("""COMPUTED_VALUE"""),1573600.0)</f>
        <v>1573600</v>
      </c>
    </row>
    <row r="1646">
      <c r="A1646" s="3">
        <f>IFERROR(__xludf.DUMMYFUNCTION("""COMPUTED_VALUE"""),31596.666666666668)</f>
        <v>31596.66667</v>
      </c>
      <c r="B1646" s="2">
        <f>IFERROR(__xludf.DUMMYFUNCTION("""COMPUTED_VALUE"""),35.58)</f>
        <v>35.58</v>
      </c>
      <c r="C1646" s="2">
        <f>IFERROR(__xludf.DUMMYFUNCTION("""COMPUTED_VALUE"""),35.85)</f>
        <v>35.85</v>
      </c>
      <c r="D1646" s="2">
        <f>IFERROR(__xludf.DUMMYFUNCTION("""COMPUTED_VALUE"""),35.4)</f>
        <v>35.4</v>
      </c>
      <c r="E1646" s="2">
        <f>IFERROR(__xludf.DUMMYFUNCTION("""COMPUTED_VALUE"""),35.58)</f>
        <v>35.58</v>
      </c>
      <c r="F1646" s="2">
        <f>IFERROR(__xludf.DUMMYFUNCTION("""COMPUTED_VALUE"""),969600.0)</f>
        <v>969600</v>
      </c>
    </row>
    <row r="1647">
      <c r="A1647" s="3">
        <f>IFERROR(__xludf.DUMMYFUNCTION("""COMPUTED_VALUE"""),31600.666666666668)</f>
        <v>31600.66667</v>
      </c>
      <c r="B1647" s="2">
        <f>IFERROR(__xludf.DUMMYFUNCTION("""COMPUTED_VALUE"""),34.68)</f>
        <v>34.68</v>
      </c>
      <c r="C1647" s="2">
        <f>IFERROR(__xludf.DUMMYFUNCTION("""COMPUTED_VALUE"""),35.37)</f>
        <v>35.37</v>
      </c>
      <c r="D1647" s="2">
        <f>IFERROR(__xludf.DUMMYFUNCTION("""COMPUTED_VALUE"""),34.62)</f>
        <v>34.62</v>
      </c>
      <c r="E1647" s="2">
        <f>IFERROR(__xludf.DUMMYFUNCTION("""COMPUTED_VALUE"""),34.68)</f>
        <v>34.68</v>
      </c>
      <c r="F1647" s="2">
        <f>IFERROR(__xludf.DUMMYFUNCTION("""COMPUTED_VALUE"""),1255900.0)</f>
        <v>1255900</v>
      </c>
    </row>
    <row r="1648">
      <c r="A1648" s="3">
        <f>IFERROR(__xludf.DUMMYFUNCTION("""COMPUTED_VALUE"""),31601.666666666668)</f>
        <v>31601.66667</v>
      </c>
      <c r="B1648" s="2">
        <f>IFERROR(__xludf.DUMMYFUNCTION("""COMPUTED_VALUE"""),34.54)</f>
        <v>34.54</v>
      </c>
      <c r="C1648" s="2">
        <f>IFERROR(__xludf.DUMMYFUNCTION("""COMPUTED_VALUE"""),34.54)</f>
        <v>34.54</v>
      </c>
      <c r="D1648" s="2">
        <f>IFERROR(__xludf.DUMMYFUNCTION("""COMPUTED_VALUE"""),34.15)</f>
        <v>34.15</v>
      </c>
      <c r="E1648" s="2">
        <f>IFERROR(__xludf.DUMMYFUNCTION("""COMPUTED_VALUE"""),34.54)</f>
        <v>34.54</v>
      </c>
      <c r="F1648" s="2">
        <f>IFERROR(__xludf.DUMMYFUNCTION("""COMPUTED_VALUE"""),1961200.0)</f>
        <v>1961200</v>
      </c>
    </row>
    <row r="1649">
      <c r="A1649" s="3">
        <f>IFERROR(__xludf.DUMMYFUNCTION("""COMPUTED_VALUE"""),31602.666666666668)</f>
        <v>31602.66667</v>
      </c>
      <c r="B1649" s="2">
        <f>IFERROR(__xludf.DUMMYFUNCTION("""COMPUTED_VALUE"""),34.45)</f>
        <v>34.45</v>
      </c>
      <c r="C1649" s="2">
        <f>IFERROR(__xludf.DUMMYFUNCTION("""COMPUTED_VALUE"""),34.56)</f>
        <v>34.56</v>
      </c>
      <c r="D1649" s="2">
        <f>IFERROR(__xludf.DUMMYFUNCTION("""COMPUTED_VALUE"""),34.27)</f>
        <v>34.27</v>
      </c>
      <c r="E1649" s="2">
        <f>IFERROR(__xludf.DUMMYFUNCTION("""COMPUTED_VALUE"""),34.45)</f>
        <v>34.45</v>
      </c>
      <c r="F1649" s="2">
        <f>IFERROR(__xludf.DUMMYFUNCTION("""COMPUTED_VALUE"""),1309100.0)</f>
        <v>1309100</v>
      </c>
    </row>
    <row r="1650">
      <c r="A1650" s="3">
        <f>IFERROR(__xludf.DUMMYFUNCTION("""COMPUTED_VALUE"""),31603.666666666668)</f>
        <v>31603.66667</v>
      </c>
      <c r="B1650" s="2">
        <f>IFERROR(__xludf.DUMMYFUNCTION("""COMPUTED_VALUE"""),34.8)</f>
        <v>34.8</v>
      </c>
      <c r="C1650" s="2">
        <f>IFERROR(__xludf.DUMMYFUNCTION("""COMPUTED_VALUE"""),34.83)</f>
        <v>34.83</v>
      </c>
      <c r="D1650" s="2">
        <f>IFERROR(__xludf.DUMMYFUNCTION("""COMPUTED_VALUE"""),33.73)</f>
        <v>33.73</v>
      </c>
      <c r="E1650" s="2">
        <f>IFERROR(__xludf.DUMMYFUNCTION("""COMPUTED_VALUE"""),34.8)</f>
        <v>34.8</v>
      </c>
      <c r="F1650" s="2">
        <f>IFERROR(__xludf.DUMMYFUNCTION("""COMPUTED_VALUE"""),1795400.0)</f>
        <v>1795400</v>
      </c>
    </row>
    <row r="1651">
      <c r="A1651" s="3">
        <f>IFERROR(__xludf.DUMMYFUNCTION("""COMPUTED_VALUE"""),31604.666666666668)</f>
        <v>31604.66667</v>
      </c>
      <c r="B1651" s="2">
        <f>IFERROR(__xludf.DUMMYFUNCTION("""COMPUTED_VALUE"""),34.18)</f>
        <v>34.18</v>
      </c>
      <c r="C1651" s="2">
        <f>IFERROR(__xludf.DUMMYFUNCTION("""COMPUTED_VALUE"""),34.77)</f>
        <v>34.77</v>
      </c>
      <c r="D1651" s="2">
        <f>IFERROR(__xludf.DUMMYFUNCTION("""COMPUTED_VALUE"""),34.15)</f>
        <v>34.15</v>
      </c>
      <c r="E1651" s="2">
        <f>IFERROR(__xludf.DUMMYFUNCTION("""COMPUTED_VALUE"""),34.18)</f>
        <v>34.18</v>
      </c>
      <c r="F1651" s="2">
        <f>IFERROR(__xludf.DUMMYFUNCTION("""COMPUTED_VALUE"""),2233200.0)</f>
        <v>2233200</v>
      </c>
    </row>
    <row r="1652">
      <c r="A1652" s="3">
        <f>IFERROR(__xludf.DUMMYFUNCTION("""COMPUTED_VALUE"""),31607.666666666668)</f>
        <v>31607.66667</v>
      </c>
      <c r="B1652" s="2">
        <f>IFERROR(__xludf.DUMMYFUNCTION("""COMPUTED_VALUE"""),33.25)</f>
        <v>33.25</v>
      </c>
      <c r="C1652" s="2">
        <f>IFERROR(__xludf.DUMMYFUNCTION("""COMPUTED_VALUE"""),33.76)</f>
        <v>33.76</v>
      </c>
      <c r="D1652" s="2">
        <f>IFERROR(__xludf.DUMMYFUNCTION("""COMPUTED_VALUE"""),33.25)</f>
        <v>33.25</v>
      </c>
      <c r="E1652" s="2">
        <f>IFERROR(__xludf.DUMMYFUNCTION("""COMPUTED_VALUE"""),33.25)</f>
        <v>33.25</v>
      </c>
      <c r="F1652" s="2">
        <f>IFERROR(__xludf.DUMMYFUNCTION("""COMPUTED_VALUE"""),2228300.0)</f>
        <v>2228300</v>
      </c>
    </row>
    <row r="1653">
      <c r="A1653" s="3">
        <f>IFERROR(__xludf.DUMMYFUNCTION("""COMPUTED_VALUE"""),31608.666666666668)</f>
        <v>31608.66667</v>
      </c>
      <c r="B1653" s="2">
        <f>IFERROR(__xludf.DUMMYFUNCTION("""COMPUTED_VALUE"""),32.42)</f>
        <v>32.42</v>
      </c>
      <c r="C1653" s="2">
        <f>IFERROR(__xludf.DUMMYFUNCTION("""COMPUTED_VALUE"""),33.1)</f>
        <v>33.1</v>
      </c>
      <c r="D1653" s="2">
        <f>IFERROR(__xludf.DUMMYFUNCTION("""COMPUTED_VALUE"""),32.36)</f>
        <v>32.36</v>
      </c>
      <c r="E1653" s="2">
        <f>IFERROR(__xludf.DUMMYFUNCTION("""COMPUTED_VALUE"""),32.42)</f>
        <v>32.42</v>
      </c>
      <c r="F1653" s="2">
        <f>IFERROR(__xludf.DUMMYFUNCTION("""COMPUTED_VALUE"""),3620500.0)</f>
        <v>3620500</v>
      </c>
    </row>
    <row r="1654">
      <c r="A1654" s="3">
        <f>IFERROR(__xludf.DUMMYFUNCTION("""COMPUTED_VALUE"""),31609.666666666668)</f>
        <v>31609.66667</v>
      </c>
      <c r="B1654" s="2">
        <f>IFERROR(__xludf.DUMMYFUNCTION("""COMPUTED_VALUE"""),31.79)</f>
        <v>31.79</v>
      </c>
      <c r="C1654" s="2">
        <f>IFERROR(__xludf.DUMMYFUNCTION("""COMPUTED_VALUE"""),32.51)</f>
        <v>32.51</v>
      </c>
      <c r="D1654" s="2">
        <f>IFERROR(__xludf.DUMMYFUNCTION("""COMPUTED_VALUE"""),31.7)</f>
        <v>31.7</v>
      </c>
      <c r="E1654" s="2">
        <f>IFERROR(__xludf.DUMMYFUNCTION("""COMPUTED_VALUE"""),31.79)</f>
        <v>31.79</v>
      </c>
      <c r="F1654" s="2">
        <f>IFERROR(__xludf.DUMMYFUNCTION("""COMPUTED_VALUE"""),3065600.0)</f>
        <v>3065600</v>
      </c>
    </row>
    <row r="1655">
      <c r="A1655" s="3">
        <f>IFERROR(__xludf.DUMMYFUNCTION("""COMPUTED_VALUE"""),31610.666666666668)</f>
        <v>31610.66667</v>
      </c>
      <c r="B1655" s="2">
        <f>IFERROR(__xludf.DUMMYFUNCTION("""COMPUTED_VALUE"""),31.52)</f>
        <v>31.52</v>
      </c>
      <c r="C1655" s="2">
        <f>IFERROR(__xludf.DUMMYFUNCTION("""COMPUTED_VALUE"""),32.0)</f>
        <v>32</v>
      </c>
      <c r="D1655" s="2">
        <f>IFERROR(__xludf.DUMMYFUNCTION("""COMPUTED_VALUE"""),31.46)</f>
        <v>31.46</v>
      </c>
      <c r="E1655" s="2">
        <f>IFERROR(__xludf.DUMMYFUNCTION("""COMPUTED_VALUE"""),31.52)</f>
        <v>31.52</v>
      </c>
      <c r="F1655" s="2">
        <f>IFERROR(__xludf.DUMMYFUNCTION("""COMPUTED_VALUE"""),2373700.0)</f>
        <v>2373700</v>
      </c>
    </row>
    <row r="1656">
      <c r="A1656" s="3">
        <f>IFERROR(__xludf.DUMMYFUNCTION("""COMPUTED_VALUE"""),31611.666666666668)</f>
        <v>31611.66667</v>
      </c>
      <c r="B1656" s="2">
        <f>IFERROR(__xludf.DUMMYFUNCTION("""COMPUTED_VALUE"""),31.46)</f>
        <v>31.46</v>
      </c>
      <c r="C1656" s="2">
        <f>IFERROR(__xludf.DUMMYFUNCTION("""COMPUTED_VALUE"""),31.88)</f>
        <v>31.88</v>
      </c>
      <c r="D1656" s="2">
        <f>IFERROR(__xludf.DUMMYFUNCTION("""COMPUTED_VALUE"""),31.01)</f>
        <v>31.01</v>
      </c>
      <c r="E1656" s="2">
        <f>IFERROR(__xludf.DUMMYFUNCTION("""COMPUTED_VALUE"""),31.46)</f>
        <v>31.46</v>
      </c>
      <c r="F1656" s="2">
        <f>IFERROR(__xludf.DUMMYFUNCTION("""COMPUTED_VALUE"""),2431600.0)</f>
        <v>2431600</v>
      </c>
    </row>
    <row r="1657">
      <c r="A1657" s="3">
        <f>IFERROR(__xludf.DUMMYFUNCTION("""COMPUTED_VALUE"""),31614.666666666668)</f>
        <v>31614.66667</v>
      </c>
      <c r="B1657" s="2">
        <f>IFERROR(__xludf.DUMMYFUNCTION("""COMPUTED_VALUE"""),31.49)</f>
        <v>31.49</v>
      </c>
      <c r="C1657" s="2">
        <f>IFERROR(__xludf.DUMMYFUNCTION("""COMPUTED_VALUE"""),31.61)</f>
        <v>31.61</v>
      </c>
      <c r="D1657" s="2">
        <f>IFERROR(__xludf.DUMMYFUNCTION("""COMPUTED_VALUE"""),31.22)</f>
        <v>31.22</v>
      </c>
      <c r="E1657" s="2">
        <f>IFERROR(__xludf.DUMMYFUNCTION("""COMPUTED_VALUE"""),31.49)</f>
        <v>31.49</v>
      </c>
      <c r="F1657" s="2">
        <f>IFERROR(__xludf.DUMMYFUNCTION("""COMPUTED_VALUE"""),1365300.0)</f>
        <v>1365300</v>
      </c>
    </row>
    <row r="1658">
      <c r="A1658" s="3">
        <f>IFERROR(__xludf.DUMMYFUNCTION("""COMPUTED_VALUE"""),31615.666666666668)</f>
        <v>31615.66667</v>
      </c>
      <c r="B1658" s="2">
        <f>IFERROR(__xludf.DUMMYFUNCTION("""COMPUTED_VALUE"""),31.91)</f>
        <v>31.91</v>
      </c>
      <c r="C1658" s="2">
        <f>IFERROR(__xludf.DUMMYFUNCTION("""COMPUTED_VALUE"""),31.97)</f>
        <v>31.97</v>
      </c>
      <c r="D1658" s="2">
        <f>IFERROR(__xludf.DUMMYFUNCTION("""COMPUTED_VALUE"""),31.4)</f>
        <v>31.4</v>
      </c>
      <c r="E1658" s="2">
        <f>IFERROR(__xludf.DUMMYFUNCTION("""COMPUTED_VALUE"""),31.91)</f>
        <v>31.91</v>
      </c>
      <c r="F1658" s="2">
        <f>IFERROR(__xludf.DUMMYFUNCTION("""COMPUTED_VALUE"""),1586400.0)</f>
        <v>1586400</v>
      </c>
    </row>
    <row r="1659">
      <c r="A1659" s="3">
        <f>IFERROR(__xludf.DUMMYFUNCTION("""COMPUTED_VALUE"""),31616.666666666668)</f>
        <v>31616.66667</v>
      </c>
      <c r="B1659" s="2">
        <f>IFERROR(__xludf.DUMMYFUNCTION("""COMPUTED_VALUE"""),31.79)</f>
        <v>31.79</v>
      </c>
      <c r="C1659" s="2">
        <f>IFERROR(__xludf.DUMMYFUNCTION("""COMPUTED_VALUE"""),32.0)</f>
        <v>32</v>
      </c>
      <c r="D1659" s="2">
        <f>IFERROR(__xludf.DUMMYFUNCTION("""COMPUTED_VALUE"""),31.67)</f>
        <v>31.67</v>
      </c>
      <c r="E1659" s="2">
        <f>IFERROR(__xludf.DUMMYFUNCTION("""COMPUTED_VALUE"""),31.79)</f>
        <v>31.79</v>
      </c>
      <c r="F1659" s="2">
        <f>IFERROR(__xludf.DUMMYFUNCTION("""COMPUTED_VALUE"""),1154800.0)</f>
        <v>1154800</v>
      </c>
    </row>
    <row r="1660">
      <c r="A1660" s="3">
        <f>IFERROR(__xludf.DUMMYFUNCTION("""COMPUTED_VALUE"""),31617.666666666668)</f>
        <v>31617.66667</v>
      </c>
      <c r="B1660" s="2">
        <f>IFERROR(__xludf.DUMMYFUNCTION("""COMPUTED_VALUE"""),31.79)</f>
        <v>31.79</v>
      </c>
      <c r="C1660" s="2">
        <f>IFERROR(__xludf.DUMMYFUNCTION("""COMPUTED_VALUE"""),31.91)</f>
        <v>31.91</v>
      </c>
      <c r="D1660" s="2">
        <f>IFERROR(__xludf.DUMMYFUNCTION("""COMPUTED_VALUE"""),31.64)</f>
        <v>31.64</v>
      </c>
      <c r="E1660" s="2">
        <f>IFERROR(__xludf.DUMMYFUNCTION("""COMPUTED_VALUE"""),31.79)</f>
        <v>31.79</v>
      </c>
      <c r="F1660" s="2">
        <f>IFERROR(__xludf.DUMMYFUNCTION("""COMPUTED_VALUE"""),1202300.0)</f>
        <v>1202300</v>
      </c>
    </row>
    <row r="1661">
      <c r="A1661" s="3">
        <f>IFERROR(__xludf.DUMMYFUNCTION("""COMPUTED_VALUE"""),31618.666666666668)</f>
        <v>31618.66667</v>
      </c>
      <c r="B1661" s="2">
        <f>IFERROR(__xludf.DUMMYFUNCTION("""COMPUTED_VALUE"""),32.03)</f>
        <v>32.03</v>
      </c>
      <c r="C1661" s="2">
        <f>IFERROR(__xludf.DUMMYFUNCTION("""COMPUTED_VALUE"""),32.24)</f>
        <v>32.24</v>
      </c>
      <c r="D1661" s="2">
        <f>IFERROR(__xludf.DUMMYFUNCTION("""COMPUTED_VALUE"""),31.82)</f>
        <v>31.82</v>
      </c>
      <c r="E1661" s="2">
        <f>IFERROR(__xludf.DUMMYFUNCTION("""COMPUTED_VALUE"""),32.03)</f>
        <v>32.03</v>
      </c>
      <c r="F1661" s="2">
        <f>IFERROR(__xludf.DUMMYFUNCTION("""COMPUTED_VALUE"""),885200.0)</f>
        <v>885200</v>
      </c>
    </row>
    <row r="1662">
      <c r="A1662" s="3">
        <f>IFERROR(__xludf.DUMMYFUNCTION("""COMPUTED_VALUE"""),31621.666666666668)</f>
        <v>31621.66667</v>
      </c>
      <c r="B1662" s="2">
        <f>IFERROR(__xludf.DUMMYFUNCTION("""COMPUTED_VALUE"""),31.61)</f>
        <v>31.61</v>
      </c>
      <c r="C1662" s="2">
        <f>IFERROR(__xludf.DUMMYFUNCTION("""COMPUTED_VALUE"""),32.21)</f>
        <v>32.21</v>
      </c>
      <c r="D1662" s="2">
        <f>IFERROR(__xludf.DUMMYFUNCTION("""COMPUTED_VALUE"""),31.52)</f>
        <v>31.52</v>
      </c>
      <c r="E1662" s="2">
        <f>IFERROR(__xludf.DUMMYFUNCTION("""COMPUTED_VALUE"""),31.61)</f>
        <v>31.61</v>
      </c>
      <c r="F1662" s="2">
        <f>IFERROR(__xludf.DUMMYFUNCTION("""COMPUTED_VALUE"""),1481000.0)</f>
        <v>1481000</v>
      </c>
    </row>
    <row r="1663">
      <c r="A1663" s="3">
        <f>IFERROR(__xludf.DUMMYFUNCTION("""COMPUTED_VALUE"""),31622.666666666668)</f>
        <v>31622.66667</v>
      </c>
      <c r="B1663" s="2">
        <f>IFERROR(__xludf.DUMMYFUNCTION("""COMPUTED_VALUE"""),31.34)</f>
        <v>31.34</v>
      </c>
      <c r="C1663" s="2">
        <f>IFERROR(__xludf.DUMMYFUNCTION("""COMPUTED_VALUE"""),31.7)</f>
        <v>31.7</v>
      </c>
      <c r="D1663" s="2">
        <f>IFERROR(__xludf.DUMMYFUNCTION("""COMPUTED_VALUE"""),31.25)</f>
        <v>31.25</v>
      </c>
      <c r="E1663" s="2">
        <f>IFERROR(__xludf.DUMMYFUNCTION("""COMPUTED_VALUE"""),31.34)</f>
        <v>31.34</v>
      </c>
      <c r="F1663" s="2">
        <f>IFERROR(__xludf.DUMMYFUNCTION("""COMPUTED_VALUE"""),1105600.0)</f>
        <v>1105600</v>
      </c>
    </row>
    <row r="1664">
      <c r="A1664" s="3">
        <f>IFERROR(__xludf.DUMMYFUNCTION("""COMPUTED_VALUE"""),31623.666666666668)</f>
        <v>31623.66667</v>
      </c>
      <c r="B1664" s="2">
        <f>IFERROR(__xludf.DUMMYFUNCTION("""COMPUTED_VALUE"""),31.58)</f>
        <v>31.58</v>
      </c>
      <c r="C1664" s="2">
        <f>IFERROR(__xludf.DUMMYFUNCTION("""COMPUTED_VALUE"""),31.82)</f>
        <v>31.82</v>
      </c>
      <c r="D1664" s="2">
        <f>IFERROR(__xludf.DUMMYFUNCTION("""COMPUTED_VALUE"""),31.1)</f>
        <v>31.1</v>
      </c>
      <c r="E1664" s="2">
        <f>IFERROR(__xludf.DUMMYFUNCTION("""COMPUTED_VALUE"""),31.58)</f>
        <v>31.58</v>
      </c>
      <c r="F1664" s="2">
        <f>IFERROR(__xludf.DUMMYFUNCTION("""COMPUTED_VALUE"""),1276500.0)</f>
        <v>1276500</v>
      </c>
    </row>
    <row r="1665">
      <c r="A1665" s="3">
        <f>IFERROR(__xludf.DUMMYFUNCTION("""COMPUTED_VALUE"""),31624.666666666668)</f>
        <v>31624.66667</v>
      </c>
      <c r="B1665" s="2">
        <f>IFERROR(__xludf.DUMMYFUNCTION("""COMPUTED_VALUE"""),31.64)</f>
        <v>31.64</v>
      </c>
      <c r="C1665" s="2">
        <f>IFERROR(__xludf.DUMMYFUNCTION("""COMPUTED_VALUE"""),31.82)</f>
        <v>31.82</v>
      </c>
      <c r="D1665" s="2">
        <f>IFERROR(__xludf.DUMMYFUNCTION("""COMPUTED_VALUE"""),31.55)</f>
        <v>31.55</v>
      </c>
      <c r="E1665" s="2">
        <f>IFERROR(__xludf.DUMMYFUNCTION("""COMPUTED_VALUE"""),31.64)</f>
        <v>31.64</v>
      </c>
      <c r="F1665" s="2">
        <f>IFERROR(__xludf.DUMMYFUNCTION("""COMPUTED_VALUE"""),1039500.0)</f>
        <v>1039500</v>
      </c>
    </row>
    <row r="1666">
      <c r="A1666" s="3">
        <f>IFERROR(__xludf.DUMMYFUNCTION("""COMPUTED_VALUE"""),31625.666666666668)</f>
        <v>31625.66667</v>
      </c>
      <c r="B1666" s="2">
        <f>IFERROR(__xludf.DUMMYFUNCTION("""COMPUTED_VALUE"""),31.37)</f>
        <v>31.37</v>
      </c>
      <c r="C1666" s="2">
        <f>IFERROR(__xludf.DUMMYFUNCTION("""COMPUTED_VALUE"""),31.85)</f>
        <v>31.85</v>
      </c>
      <c r="D1666" s="2">
        <f>IFERROR(__xludf.DUMMYFUNCTION("""COMPUTED_VALUE"""),31.37)</f>
        <v>31.37</v>
      </c>
      <c r="E1666" s="2">
        <f>IFERROR(__xludf.DUMMYFUNCTION("""COMPUTED_VALUE"""),31.37)</f>
        <v>31.37</v>
      </c>
      <c r="F1666" s="2">
        <f>IFERROR(__xludf.DUMMYFUNCTION("""COMPUTED_VALUE"""),760800.0)</f>
        <v>760800</v>
      </c>
    </row>
    <row r="1667">
      <c r="A1667" s="3">
        <f>IFERROR(__xludf.DUMMYFUNCTION("""COMPUTED_VALUE"""),31628.666666666668)</f>
        <v>31628.66667</v>
      </c>
      <c r="B1667" s="2">
        <f>IFERROR(__xludf.DUMMYFUNCTION("""COMPUTED_VALUE"""),31.43)</f>
        <v>31.43</v>
      </c>
      <c r="C1667" s="2">
        <f>IFERROR(__xludf.DUMMYFUNCTION("""COMPUTED_VALUE"""),31.49)</f>
        <v>31.49</v>
      </c>
      <c r="D1667" s="2">
        <f>IFERROR(__xludf.DUMMYFUNCTION("""COMPUTED_VALUE"""),31.07)</f>
        <v>31.07</v>
      </c>
      <c r="E1667" s="2">
        <f>IFERROR(__xludf.DUMMYFUNCTION("""COMPUTED_VALUE"""),31.43)</f>
        <v>31.43</v>
      </c>
      <c r="F1667" s="2">
        <f>IFERROR(__xludf.DUMMYFUNCTION("""COMPUTED_VALUE"""),1519800.0)</f>
        <v>1519800</v>
      </c>
    </row>
    <row r="1668">
      <c r="A1668" s="3">
        <f>IFERROR(__xludf.DUMMYFUNCTION("""COMPUTED_VALUE"""),31629.666666666668)</f>
        <v>31629.66667</v>
      </c>
      <c r="B1668" s="2">
        <f>IFERROR(__xludf.DUMMYFUNCTION("""COMPUTED_VALUE"""),31.25)</f>
        <v>31.25</v>
      </c>
      <c r="C1668" s="2">
        <f>IFERROR(__xludf.DUMMYFUNCTION("""COMPUTED_VALUE"""),31.49)</f>
        <v>31.49</v>
      </c>
      <c r="D1668" s="2">
        <f>IFERROR(__xludf.DUMMYFUNCTION("""COMPUTED_VALUE"""),31.22)</f>
        <v>31.22</v>
      </c>
      <c r="E1668" s="2">
        <f>IFERROR(__xludf.DUMMYFUNCTION("""COMPUTED_VALUE"""),31.25)</f>
        <v>31.25</v>
      </c>
      <c r="F1668" s="2">
        <f>IFERROR(__xludf.DUMMYFUNCTION("""COMPUTED_VALUE"""),1150700.0)</f>
        <v>1150700</v>
      </c>
    </row>
    <row r="1669">
      <c r="A1669" s="3">
        <f>IFERROR(__xludf.DUMMYFUNCTION("""COMPUTED_VALUE"""),31630.666666666668)</f>
        <v>31630.66667</v>
      </c>
      <c r="B1669" s="2">
        <f>IFERROR(__xludf.DUMMYFUNCTION("""COMPUTED_VALUE"""),31.31)</f>
        <v>31.31</v>
      </c>
      <c r="C1669" s="2">
        <f>IFERROR(__xludf.DUMMYFUNCTION("""COMPUTED_VALUE"""),31.4)</f>
        <v>31.4</v>
      </c>
      <c r="D1669" s="2">
        <f>IFERROR(__xludf.DUMMYFUNCTION("""COMPUTED_VALUE"""),30.95)</f>
        <v>30.95</v>
      </c>
      <c r="E1669" s="2">
        <f>IFERROR(__xludf.DUMMYFUNCTION("""COMPUTED_VALUE"""),31.31)</f>
        <v>31.31</v>
      </c>
      <c r="F1669" s="2">
        <f>IFERROR(__xludf.DUMMYFUNCTION("""COMPUTED_VALUE"""),1617900.0)</f>
        <v>1617900</v>
      </c>
    </row>
    <row r="1670">
      <c r="A1670" s="3">
        <f>IFERROR(__xludf.DUMMYFUNCTION("""COMPUTED_VALUE"""),31631.666666666668)</f>
        <v>31631.66667</v>
      </c>
      <c r="B1670" s="2">
        <f>IFERROR(__xludf.DUMMYFUNCTION("""COMPUTED_VALUE"""),31.28)</f>
        <v>31.28</v>
      </c>
      <c r="C1670" s="2">
        <f>IFERROR(__xludf.DUMMYFUNCTION("""COMPUTED_VALUE"""),31.49)</f>
        <v>31.49</v>
      </c>
      <c r="D1670" s="2">
        <f>IFERROR(__xludf.DUMMYFUNCTION("""COMPUTED_VALUE"""),31.07)</f>
        <v>31.07</v>
      </c>
      <c r="E1670" s="2">
        <f>IFERROR(__xludf.DUMMYFUNCTION("""COMPUTED_VALUE"""),31.28)</f>
        <v>31.28</v>
      </c>
      <c r="F1670" s="2">
        <f>IFERROR(__xludf.DUMMYFUNCTION("""COMPUTED_VALUE"""),1194800.0)</f>
        <v>1194800</v>
      </c>
    </row>
    <row r="1671">
      <c r="A1671" s="3">
        <f>IFERROR(__xludf.DUMMYFUNCTION("""COMPUTED_VALUE"""),31632.666666666668)</f>
        <v>31632.66667</v>
      </c>
      <c r="B1671" s="2">
        <f>IFERROR(__xludf.DUMMYFUNCTION("""COMPUTED_VALUE"""),31.04)</f>
        <v>31.04</v>
      </c>
      <c r="C1671" s="2">
        <f>IFERROR(__xludf.DUMMYFUNCTION("""COMPUTED_VALUE"""),31.34)</f>
        <v>31.34</v>
      </c>
      <c r="D1671" s="2">
        <f>IFERROR(__xludf.DUMMYFUNCTION("""COMPUTED_VALUE"""),30.98)</f>
        <v>30.98</v>
      </c>
      <c r="E1671" s="2">
        <f>IFERROR(__xludf.DUMMYFUNCTION("""COMPUTED_VALUE"""),31.04)</f>
        <v>31.04</v>
      </c>
      <c r="F1671" s="2">
        <f>IFERROR(__xludf.DUMMYFUNCTION("""COMPUTED_VALUE"""),906900.0)</f>
        <v>906900</v>
      </c>
    </row>
    <row r="1672">
      <c r="A1672" s="3">
        <f>IFERROR(__xludf.DUMMYFUNCTION("""COMPUTED_VALUE"""),31635.666666666668)</f>
        <v>31635.66667</v>
      </c>
      <c r="B1672" s="2">
        <f>IFERROR(__xludf.DUMMYFUNCTION("""COMPUTED_VALUE"""),31.28)</f>
        <v>31.28</v>
      </c>
      <c r="C1672" s="2">
        <f>IFERROR(__xludf.DUMMYFUNCTION("""COMPUTED_VALUE"""),31.43)</f>
        <v>31.43</v>
      </c>
      <c r="D1672" s="2">
        <f>IFERROR(__xludf.DUMMYFUNCTION("""COMPUTED_VALUE"""),30.86)</f>
        <v>30.86</v>
      </c>
      <c r="E1672" s="2">
        <f>IFERROR(__xludf.DUMMYFUNCTION("""COMPUTED_VALUE"""),31.28)</f>
        <v>31.28</v>
      </c>
      <c r="F1672" s="2">
        <f>IFERROR(__xludf.DUMMYFUNCTION("""COMPUTED_VALUE"""),1580400.0)</f>
        <v>1580400</v>
      </c>
    </row>
    <row r="1673">
      <c r="A1673" s="3">
        <f>IFERROR(__xludf.DUMMYFUNCTION("""COMPUTED_VALUE"""),31636.666666666668)</f>
        <v>31636.66667</v>
      </c>
      <c r="B1673" s="2">
        <f>IFERROR(__xludf.DUMMYFUNCTION("""COMPUTED_VALUE"""),31.64)</f>
        <v>31.64</v>
      </c>
      <c r="C1673" s="2">
        <f>IFERROR(__xludf.DUMMYFUNCTION("""COMPUTED_VALUE"""),31.7)</f>
        <v>31.7</v>
      </c>
      <c r="D1673" s="2">
        <f>IFERROR(__xludf.DUMMYFUNCTION("""COMPUTED_VALUE"""),31.19)</f>
        <v>31.19</v>
      </c>
      <c r="E1673" s="2">
        <f>IFERROR(__xludf.DUMMYFUNCTION("""COMPUTED_VALUE"""),31.64)</f>
        <v>31.64</v>
      </c>
      <c r="F1673" s="2">
        <f>IFERROR(__xludf.DUMMYFUNCTION("""COMPUTED_VALUE"""),1577400.0)</f>
        <v>1577400</v>
      </c>
    </row>
    <row r="1674">
      <c r="A1674" s="3">
        <f>IFERROR(__xludf.DUMMYFUNCTION("""COMPUTED_VALUE"""),31637.666666666668)</f>
        <v>31637.66667</v>
      </c>
      <c r="B1674" s="2">
        <f>IFERROR(__xludf.DUMMYFUNCTION("""COMPUTED_VALUE"""),32.0)</f>
        <v>32</v>
      </c>
      <c r="C1674" s="2">
        <f>IFERROR(__xludf.DUMMYFUNCTION("""COMPUTED_VALUE"""),32.09)</f>
        <v>32.09</v>
      </c>
      <c r="D1674" s="2">
        <f>IFERROR(__xludf.DUMMYFUNCTION("""COMPUTED_VALUE"""),31.64)</f>
        <v>31.64</v>
      </c>
      <c r="E1674" s="2">
        <f>IFERROR(__xludf.DUMMYFUNCTION("""COMPUTED_VALUE"""),32.0)</f>
        <v>32</v>
      </c>
      <c r="F1674" s="2">
        <f>IFERROR(__xludf.DUMMYFUNCTION("""COMPUTED_VALUE"""),1825600.0)</f>
        <v>1825600</v>
      </c>
    </row>
    <row r="1675">
      <c r="A1675" s="3">
        <f>IFERROR(__xludf.DUMMYFUNCTION("""COMPUTED_VALUE"""),31638.666666666668)</f>
        <v>31638.66667</v>
      </c>
      <c r="B1675" s="2">
        <f>IFERROR(__xludf.DUMMYFUNCTION("""COMPUTED_VALUE"""),32.06)</f>
        <v>32.06</v>
      </c>
      <c r="C1675" s="2">
        <f>IFERROR(__xludf.DUMMYFUNCTION("""COMPUTED_VALUE"""),32.3)</f>
        <v>32.3</v>
      </c>
      <c r="D1675" s="2">
        <f>IFERROR(__xludf.DUMMYFUNCTION("""COMPUTED_VALUE"""),31.94)</f>
        <v>31.94</v>
      </c>
      <c r="E1675" s="2">
        <f>IFERROR(__xludf.DUMMYFUNCTION("""COMPUTED_VALUE"""),32.06)</f>
        <v>32.06</v>
      </c>
      <c r="F1675" s="2">
        <f>IFERROR(__xludf.DUMMYFUNCTION("""COMPUTED_VALUE"""),1323700.0)</f>
        <v>1323700</v>
      </c>
    </row>
    <row r="1676">
      <c r="A1676" s="3">
        <f>IFERROR(__xludf.DUMMYFUNCTION("""COMPUTED_VALUE"""),31639.666666666668)</f>
        <v>31639.66667</v>
      </c>
      <c r="B1676" s="2">
        <f>IFERROR(__xludf.DUMMYFUNCTION("""COMPUTED_VALUE"""),31.79)</f>
        <v>31.79</v>
      </c>
      <c r="C1676" s="2">
        <f>IFERROR(__xludf.DUMMYFUNCTION("""COMPUTED_VALUE"""),32.12)</f>
        <v>32.12</v>
      </c>
      <c r="D1676" s="2">
        <f>IFERROR(__xludf.DUMMYFUNCTION("""COMPUTED_VALUE"""),31.76)</f>
        <v>31.76</v>
      </c>
      <c r="E1676" s="2">
        <f>IFERROR(__xludf.DUMMYFUNCTION("""COMPUTED_VALUE"""),31.79)</f>
        <v>31.79</v>
      </c>
      <c r="F1676" s="2">
        <f>IFERROR(__xludf.DUMMYFUNCTION("""COMPUTED_VALUE"""),1078400.0)</f>
        <v>1078400</v>
      </c>
    </row>
    <row r="1677">
      <c r="A1677" s="3">
        <f>IFERROR(__xludf.DUMMYFUNCTION("""COMPUTED_VALUE"""),31642.666666666668)</f>
        <v>31642.66667</v>
      </c>
      <c r="B1677" s="2">
        <f>IFERROR(__xludf.DUMMYFUNCTION("""COMPUTED_VALUE"""),32.33)</f>
        <v>32.33</v>
      </c>
      <c r="C1677" s="2">
        <f>IFERROR(__xludf.DUMMYFUNCTION("""COMPUTED_VALUE"""),32.42)</f>
        <v>32.42</v>
      </c>
      <c r="D1677" s="2">
        <f>IFERROR(__xludf.DUMMYFUNCTION("""COMPUTED_VALUE"""),31.79)</f>
        <v>31.79</v>
      </c>
      <c r="E1677" s="2">
        <f>IFERROR(__xludf.DUMMYFUNCTION("""COMPUTED_VALUE"""),32.33)</f>
        <v>32.33</v>
      </c>
      <c r="F1677" s="2">
        <f>IFERROR(__xludf.DUMMYFUNCTION("""COMPUTED_VALUE"""),1445900.0)</f>
        <v>1445900</v>
      </c>
    </row>
    <row r="1678">
      <c r="A1678" s="3">
        <f>IFERROR(__xludf.DUMMYFUNCTION("""COMPUTED_VALUE"""),31643.666666666668)</f>
        <v>31643.66667</v>
      </c>
      <c r="B1678" s="2">
        <f>IFERROR(__xludf.DUMMYFUNCTION("""COMPUTED_VALUE"""),32.65)</f>
        <v>32.65</v>
      </c>
      <c r="C1678" s="2">
        <f>IFERROR(__xludf.DUMMYFUNCTION("""COMPUTED_VALUE"""),32.89)</f>
        <v>32.89</v>
      </c>
      <c r="D1678" s="2">
        <f>IFERROR(__xludf.DUMMYFUNCTION("""COMPUTED_VALUE"""),32.27)</f>
        <v>32.27</v>
      </c>
      <c r="E1678" s="2">
        <f>IFERROR(__xludf.DUMMYFUNCTION("""COMPUTED_VALUE"""),32.65)</f>
        <v>32.65</v>
      </c>
      <c r="F1678" s="2">
        <f>IFERROR(__xludf.DUMMYFUNCTION("""COMPUTED_VALUE"""),1647200.0)</f>
        <v>1647200</v>
      </c>
    </row>
    <row r="1679">
      <c r="A1679" s="3">
        <f>IFERROR(__xludf.DUMMYFUNCTION("""COMPUTED_VALUE"""),31644.666666666668)</f>
        <v>31644.66667</v>
      </c>
      <c r="B1679" s="2">
        <f>IFERROR(__xludf.DUMMYFUNCTION("""COMPUTED_VALUE"""),33.25)</f>
        <v>33.25</v>
      </c>
      <c r="C1679" s="2">
        <f>IFERROR(__xludf.DUMMYFUNCTION("""COMPUTED_VALUE"""),33.31)</f>
        <v>33.31</v>
      </c>
      <c r="D1679" s="2">
        <f>IFERROR(__xludf.DUMMYFUNCTION("""COMPUTED_VALUE"""),32.65)</f>
        <v>32.65</v>
      </c>
      <c r="E1679" s="2">
        <f>IFERROR(__xludf.DUMMYFUNCTION("""COMPUTED_VALUE"""),33.25)</f>
        <v>33.25</v>
      </c>
      <c r="F1679" s="2">
        <f>IFERROR(__xludf.DUMMYFUNCTION("""COMPUTED_VALUE"""),1576900.0)</f>
        <v>1576900</v>
      </c>
    </row>
    <row r="1680">
      <c r="A1680" s="3">
        <f>IFERROR(__xludf.DUMMYFUNCTION("""COMPUTED_VALUE"""),31645.666666666668)</f>
        <v>31645.66667</v>
      </c>
      <c r="B1680" s="2">
        <f>IFERROR(__xludf.DUMMYFUNCTION("""COMPUTED_VALUE"""),32.95)</f>
        <v>32.95</v>
      </c>
      <c r="C1680" s="2">
        <f>IFERROR(__xludf.DUMMYFUNCTION("""COMPUTED_VALUE"""),33.55)</f>
        <v>33.55</v>
      </c>
      <c r="D1680" s="2">
        <f>IFERROR(__xludf.DUMMYFUNCTION("""COMPUTED_VALUE"""),32.77)</f>
        <v>32.77</v>
      </c>
      <c r="E1680" s="2">
        <f>IFERROR(__xludf.DUMMYFUNCTION("""COMPUTED_VALUE"""),32.95)</f>
        <v>32.95</v>
      </c>
      <c r="F1680" s="2">
        <f>IFERROR(__xludf.DUMMYFUNCTION("""COMPUTED_VALUE"""),1664400.0)</f>
        <v>1664400</v>
      </c>
    </row>
    <row r="1681">
      <c r="A1681" s="3">
        <f>IFERROR(__xludf.DUMMYFUNCTION("""COMPUTED_VALUE"""),31646.666666666668)</f>
        <v>31646.66667</v>
      </c>
      <c r="B1681" s="2">
        <f>IFERROR(__xludf.DUMMYFUNCTION("""COMPUTED_VALUE"""),32.95)</f>
        <v>32.95</v>
      </c>
      <c r="C1681" s="2">
        <f>IFERROR(__xludf.DUMMYFUNCTION("""COMPUTED_VALUE"""),32.98)</f>
        <v>32.98</v>
      </c>
      <c r="D1681" s="2">
        <f>IFERROR(__xludf.DUMMYFUNCTION("""COMPUTED_VALUE"""),32.8)</f>
        <v>32.8</v>
      </c>
      <c r="E1681" s="2">
        <f>IFERROR(__xludf.DUMMYFUNCTION("""COMPUTED_VALUE"""),32.95)</f>
        <v>32.95</v>
      </c>
      <c r="F1681" s="2">
        <f>IFERROR(__xludf.DUMMYFUNCTION("""COMPUTED_VALUE"""),763400.0)</f>
        <v>763400</v>
      </c>
    </row>
    <row r="1682">
      <c r="A1682" s="3">
        <f>IFERROR(__xludf.DUMMYFUNCTION("""COMPUTED_VALUE"""),31649.666666666668)</f>
        <v>31649.66667</v>
      </c>
      <c r="B1682" s="2">
        <f>IFERROR(__xludf.DUMMYFUNCTION("""COMPUTED_VALUE"""),33.19)</f>
        <v>33.19</v>
      </c>
      <c r="C1682" s="2">
        <f>IFERROR(__xludf.DUMMYFUNCTION("""COMPUTED_VALUE"""),33.43)</f>
        <v>33.43</v>
      </c>
      <c r="D1682" s="2">
        <f>IFERROR(__xludf.DUMMYFUNCTION("""COMPUTED_VALUE"""),32.95)</f>
        <v>32.95</v>
      </c>
      <c r="E1682" s="2">
        <f>IFERROR(__xludf.DUMMYFUNCTION("""COMPUTED_VALUE"""),33.19)</f>
        <v>33.19</v>
      </c>
      <c r="F1682" s="2">
        <f>IFERROR(__xludf.DUMMYFUNCTION("""COMPUTED_VALUE"""),1466900.0)</f>
        <v>1466900</v>
      </c>
    </row>
    <row r="1683">
      <c r="A1683" s="3">
        <f>IFERROR(__xludf.DUMMYFUNCTION("""COMPUTED_VALUE"""),31650.666666666668)</f>
        <v>31650.66667</v>
      </c>
      <c r="B1683" s="2">
        <f>IFERROR(__xludf.DUMMYFUNCTION("""COMPUTED_VALUE"""),33.7)</f>
        <v>33.7</v>
      </c>
      <c r="C1683" s="2">
        <f>IFERROR(__xludf.DUMMYFUNCTION("""COMPUTED_VALUE"""),33.73)</f>
        <v>33.73</v>
      </c>
      <c r="D1683" s="2">
        <f>IFERROR(__xludf.DUMMYFUNCTION("""COMPUTED_VALUE"""),33.16)</f>
        <v>33.16</v>
      </c>
      <c r="E1683" s="2">
        <f>IFERROR(__xludf.DUMMYFUNCTION("""COMPUTED_VALUE"""),33.7)</f>
        <v>33.7</v>
      </c>
      <c r="F1683" s="2">
        <f>IFERROR(__xludf.DUMMYFUNCTION("""COMPUTED_VALUE"""),1858600.0)</f>
        <v>1858600</v>
      </c>
    </row>
    <row r="1684">
      <c r="A1684" s="3">
        <f>IFERROR(__xludf.DUMMYFUNCTION("""COMPUTED_VALUE"""),31651.666666666668)</f>
        <v>31651.66667</v>
      </c>
      <c r="B1684" s="2">
        <f>IFERROR(__xludf.DUMMYFUNCTION("""COMPUTED_VALUE"""),33.7)</f>
        <v>33.7</v>
      </c>
      <c r="C1684" s="2">
        <f>IFERROR(__xludf.DUMMYFUNCTION("""COMPUTED_VALUE"""),33.91)</f>
        <v>33.91</v>
      </c>
      <c r="D1684" s="2">
        <f>IFERROR(__xludf.DUMMYFUNCTION("""COMPUTED_VALUE"""),33.55)</f>
        <v>33.55</v>
      </c>
      <c r="E1684" s="2">
        <f>IFERROR(__xludf.DUMMYFUNCTION("""COMPUTED_VALUE"""),33.7)</f>
        <v>33.7</v>
      </c>
      <c r="F1684" s="2">
        <f>IFERROR(__xludf.DUMMYFUNCTION("""COMPUTED_VALUE"""),1561600.0)</f>
        <v>1561600</v>
      </c>
    </row>
    <row r="1685">
      <c r="A1685" s="3">
        <f>IFERROR(__xludf.DUMMYFUNCTION("""COMPUTED_VALUE"""),31652.666666666668)</f>
        <v>31652.66667</v>
      </c>
      <c r="B1685" s="2">
        <f>IFERROR(__xludf.DUMMYFUNCTION("""COMPUTED_VALUE"""),33.43)</f>
        <v>33.43</v>
      </c>
      <c r="C1685" s="2">
        <f>IFERROR(__xludf.DUMMYFUNCTION("""COMPUTED_VALUE"""),33.52)</f>
        <v>33.52</v>
      </c>
      <c r="D1685" s="2">
        <f>IFERROR(__xludf.DUMMYFUNCTION("""COMPUTED_VALUE"""),33.31)</f>
        <v>33.31</v>
      </c>
      <c r="E1685" s="2">
        <f>IFERROR(__xludf.DUMMYFUNCTION("""COMPUTED_VALUE"""),33.43)</f>
        <v>33.43</v>
      </c>
      <c r="F1685" s="2">
        <f>IFERROR(__xludf.DUMMYFUNCTION("""COMPUTED_VALUE"""),1229000.0)</f>
        <v>1229000</v>
      </c>
    </row>
    <row r="1686">
      <c r="A1686" s="3">
        <f>IFERROR(__xludf.DUMMYFUNCTION("""COMPUTED_VALUE"""),31653.666666666668)</f>
        <v>31653.66667</v>
      </c>
      <c r="B1686" s="2">
        <f>IFERROR(__xludf.DUMMYFUNCTION("""COMPUTED_VALUE"""),33.13)</f>
        <v>33.13</v>
      </c>
      <c r="C1686" s="2">
        <f>IFERROR(__xludf.DUMMYFUNCTION("""COMPUTED_VALUE"""),33.43)</f>
        <v>33.43</v>
      </c>
      <c r="D1686" s="2">
        <f>IFERROR(__xludf.DUMMYFUNCTION("""COMPUTED_VALUE"""),32.95)</f>
        <v>32.95</v>
      </c>
      <c r="E1686" s="2">
        <f>IFERROR(__xludf.DUMMYFUNCTION("""COMPUTED_VALUE"""),33.13)</f>
        <v>33.13</v>
      </c>
      <c r="F1686" s="2">
        <f>IFERROR(__xludf.DUMMYFUNCTION("""COMPUTED_VALUE"""),887600.0)</f>
        <v>887600</v>
      </c>
    </row>
    <row r="1687">
      <c r="A1687" s="3">
        <f>IFERROR(__xludf.DUMMYFUNCTION("""COMPUTED_VALUE"""),31657.666666666668)</f>
        <v>31657.66667</v>
      </c>
      <c r="B1687" s="2">
        <f>IFERROR(__xludf.DUMMYFUNCTION("""COMPUTED_VALUE"""),32.48)</f>
        <v>32.48</v>
      </c>
      <c r="C1687" s="2">
        <f>IFERROR(__xludf.DUMMYFUNCTION("""COMPUTED_VALUE"""),33.16)</f>
        <v>33.16</v>
      </c>
      <c r="D1687" s="2">
        <f>IFERROR(__xludf.DUMMYFUNCTION("""COMPUTED_VALUE"""),32.36)</f>
        <v>32.36</v>
      </c>
      <c r="E1687" s="2">
        <f>IFERROR(__xludf.DUMMYFUNCTION("""COMPUTED_VALUE"""),32.48)</f>
        <v>32.48</v>
      </c>
      <c r="F1687" s="2">
        <f>IFERROR(__xludf.DUMMYFUNCTION("""COMPUTED_VALUE"""),1938300.0)</f>
        <v>1938300</v>
      </c>
    </row>
    <row r="1688">
      <c r="A1688" s="3">
        <f>IFERROR(__xludf.DUMMYFUNCTION("""COMPUTED_VALUE"""),31658.666666666668)</f>
        <v>31658.66667</v>
      </c>
      <c r="B1688" s="2">
        <f>IFERROR(__xludf.DUMMYFUNCTION("""COMPUTED_VALUE"""),32.51)</f>
        <v>32.51</v>
      </c>
      <c r="C1688" s="2">
        <f>IFERROR(__xludf.DUMMYFUNCTION("""COMPUTED_VALUE"""),32.57)</f>
        <v>32.57</v>
      </c>
      <c r="D1688" s="2">
        <f>IFERROR(__xludf.DUMMYFUNCTION("""COMPUTED_VALUE"""),32.27)</f>
        <v>32.27</v>
      </c>
      <c r="E1688" s="2">
        <f>IFERROR(__xludf.DUMMYFUNCTION("""COMPUTED_VALUE"""),32.51)</f>
        <v>32.51</v>
      </c>
      <c r="F1688" s="2">
        <f>IFERROR(__xludf.DUMMYFUNCTION("""COMPUTED_VALUE"""),1628600.0)</f>
        <v>1628600</v>
      </c>
    </row>
    <row r="1689">
      <c r="A1689" s="3">
        <f>IFERROR(__xludf.DUMMYFUNCTION("""COMPUTED_VALUE"""),31659.666666666668)</f>
        <v>31659.66667</v>
      </c>
      <c r="B1689" s="2">
        <f>IFERROR(__xludf.DUMMYFUNCTION("""COMPUTED_VALUE"""),33.28)</f>
        <v>33.28</v>
      </c>
      <c r="C1689" s="2">
        <f>IFERROR(__xludf.DUMMYFUNCTION("""COMPUTED_VALUE"""),33.31)</f>
        <v>33.31</v>
      </c>
      <c r="D1689" s="2">
        <f>IFERROR(__xludf.DUMMYFUNCTION("""COMPUTED_VALUE"""),32.48)</f>
        <v>32.48</v>
      </c>
      <c r="E1689" s="2">
        <f>IFERROR(__xludf.DUMMYFUNCTION("""COMPUTED_VALUE"""),33.28)</f>
        <v>33.28</v>
      </c>
      <c r="F1689" s="2">
        <f>IFERROR(__xludf.DUMMYFUNCTION("""COMPUTED_VALUE"""),1630000.0)</f>
        <v>1630000</v>
      </c>
    </row>
    <row r="1690">
      <c r="A1690" s="3">
        <f>IFERROR(__xludf.DUMMYFUNCTION("""COMPUTED_VALUE"""),31660.666666666668)</f>
        <v>31660.66667</v>
      </c>
      <c r="B1690" s="2">
        <f>IFERROR(__xludf.DUMMYFUNCTION("""COMPUTED_VALUE"""),33.52)</f>
        <v>33.52</v>
      </c>
      <c r="C1690" s="2">
        <f>IFERROR(__xludf.DUMMYFUNCTION("""COMPUTED_VALUE"""),33.67)</f>
        <v>33.67</v>
      </c>
      <c r="D1690" s="2">
        <f>IFERROR(__xludf.DUMMYFUNCTION("""COMPUTED_VALUE"""),33.07)</f>
        <v>33.07</v>
      </c>
      <c r="E1690" s="2">
        <f>IFERROR(__xludf.DUMMYFUNCTION("""COMPUTED_VALUE"""),33.52)</f>
        <v>33.52</v>
      </c>
      <c r="F1690" s="2">
        <f>IFERROR(__xludf.DUMMYFUNCTION("""COMPUTED_VALUE"""),2619000.0)</f>
        <v>2619000</v>
      </c>
    </row>
    <row r="1691">
      <c r="A1691" s="3">
        <f>IFERROR(__xludf.DUMMYFUNCTION("""COMPUTED_VALUE"""),31663.666666666668)</f>
        <v>31663.66667</v>
      </c>
      <c r="B1691" s="2">
        <f>IFERROR(__xludf.DUMMYFUNCTION("""COMPUTED_VALUE"""),34.33)</f>
        <v>34.33</v>
      </c>
      <c r="C1691" s="2">
        <f>IFERROR(__xludf.DUMMYFUNCTION("""COMPUTED_VALUE"""),34.36)</f>
        <v>34.36</v>
      </c>
      <c r="D1691" s="2">
        <f>IFERROR(__xludf.DUMMYFUNCTION("""COMPUTED_VALUE"""),33.64)</f>
        <v>33.64</v>
      </c>
      <c r="E1691" s="2">
        <f>IFERROR(__xludf.DUMMYFUNCTION("""COMPUTED_VALUE"""),34.33)</f>
        <v>34.33</v>
      </c>
      <c r="F1691" s="2">
        <f>IFERROR(__xludf.DUMMYFUNCTION("""COMPUTED_VALUE"""),2629100.0)</f>
        <v>2629100</v>
      </c>
    </row>
    <row r="1692">
      <c r="A1692" s="3">
        <f>IFERROR(__xludf.DUMMYFUNCTION("""COMPUTED_VALUE"""),31664.666666666668)</f>
        <v>31664.66667</v>
      </c>
      <c r="B1692" s="2">
        <f>IFERROR(__xludf.DUMMYFUNCTION("""COMPUTED_VALUE"""),34.36)</f>
        <v>34.36</v>
      </c>
      <c r="C1692" s="2">
        <f>IFERROR(__xludf.DUMMYFUNCTION("""COMPUTED_VALUE"""),34.74)</f>
        <v>34.74</v>
      </c>
      <c r="D1692" s="2">
        <f>IFERROR(__xludf.DUMMYFUNCTION("""COMPUTED_VALUE"""),34.27)</f>
        <v>34.27</v>
      </c>
      <c r="E1692" s="2">
        <f>IFERROR(__xludf.DUMMYFUNCTION("""COMPUTED_VALUE"""),34.36)</f>
        <v>34.36</v>
      </c>
      <c r="F1692" s="2">
        <f>IFERROR(__xludf.DUMMYFUNCTION("""COMPUTED_VALUE"""),2251100.0)</f>
        <v>2251100</v>
      </c>
    </row>
    <row r="1693">
      <c r="A1693" s="3">
        <f>IFERROR(__xludf.DUMMYFUNCTION("""COMPUTED_VALUE"""),31665.666666666668)</f>
        <v>31665.66667</v>
      </c>
      <c r="B1693" s="2">
        <f>IFERROR(__xludf.DUMMYFUNCTION("""COMPUTED_VALUE"""),34.42)</f>
        <v>34.42</v>
      </c>
      <c r="C1693" s="2">
        <f>IFERROR(__xludf.DUMMYFUNCTION("""COMPUTED_VALUE"""),34.51)</f>
        <v>34.51</v>
      </c>
      <c r="D1693" s="2">
        <f>IFERROR(__xludf.DUMMYFUNCTION("""COMPUTED_VALUE"""),34.12)</f>
        <v>34.12</v>
      </c>
      <c r="E1693" s="2">
        <f>IFERROR(__xludf.DUMMYFUNCTION("""COMPUTED_VALUE"""),34.42)</f>
        <v>34.42</v>
      </c>
      <c r="F1693" s="2">
        <f>IFERROR(__xludf.DUMMYFUNCTION("""COMPUTED_VALUE"""),1766900.0)</f>
        <v>1766900</v>
      </c>
    </row>
    <row r="1694">
      <c r="A1694" s="3">
        <f>IFERROR(__xludf.DUMMYFUNCTION("""COMPUTED_VALUE"""),31666.666666666668)</f>
        <v>31666.66667</v>
      </c>
      <c r="B1694" s="2">
        <f>IFERROR(__xludf.DUMMYFUNCTION("""COMPUTED_VALUE"""),33.25)</f>
        <v>33.25</v>
      </c>
      <c r="C1694" s="2">
        <f>IFERROR(__xludf.DUMMYFUNCTION("""COMPUTED_VALUE"""),34.12)</f>
        <v>34.12</v>
      </c>
      <c r="D1694" s="2">
        <f>IFERROR(__xludf.DUMMYFUNCTION("""COMPUTED_VALUE"""),33.13)</f>
        <v>33.13</v>
      </c>
      <c r="E1694" s="2">
        <f>IFERROR(__xludf.DUMMYFUNCTION("""COMPUTED_VALUE"""),33.25)</f>
        <v>33.25</v>
      </c>
      <c r="F1694" s="2">
        <f>IFERROR(__xludf.DUMMYFUNCTION("""COMPUTED_VALUE"""),2860600.0)</f>
        <v>2860600</v>
      </c>
    </row>
    <row r="1695">
      <c r="A1695" s="3">
        <f>IFERROR(__xludf.DUMMYFUNCTION("""COMPUTED_VALUE"""),31667.666666666668)</f>
        <v>31667.66667</v>
      </c>
      <c r="B1695" s="2">
        <f>IFERROR(__xludf.DUMMYFUNCTION("""COMPUTED_VALUE"""),32.8)</f>
        <v>32.8</v>
      </c>
      <c r="C1695" s="2">
        <f>IFERROR(__xludf.DUMMYFUNCTION("""COMPUTED_VALUE"""),33.4)</f>
        <v>33.4</v>
      </c>
      <c r="D1695" s="2">
        <f>IFERROR(__xludf.DUMMYFUNCTION("""COMPUTED_VALUE"""),32.54)</f>
        <v>32.54</v>
      </c>
      <c r="E1695" s="2">
        <f>IFERROR(__xludf.DUMMYFUNCTION("""COMPUTED_VALUE"""),32.8)</f>
        <v>32.8</v>
      </c>
      <c r="F1695" s="2">
        <f>IFERROR(__xludf.DUMMYFUNCTION("""COMPUTED_VALUE"""),4379500.0)</f>
        <v>4379500</v>
      </c>
    </row>
    <row r="1696">
      <c r="A1696" s="3">
        <f>IFERROR(__xludf.DUMMYFUNCTION("""COMPUTED_VALUE"""),31670.666666666668)</f>
        <v>31670.66667</v>
      </c>
      <c r="B1696" s="2">
        <f>IFERROR(__xludf.DUMMYFUNCTION("""COMPUTED_VALUE"""),32.71)</f>
        <v>32.71</v>
      </c>
      <c r="C1696" s="2">
        <f>IFERROR(__xludf.DUMMYFUNCTION("""COMPUTED_VALUE"""),33.07)</f>
        <v>33.07</v>
      </c>
      <c r="D1696" s="2">
        <f>IFERROR(__xludf.DUMMYFUNCTION("""COMPUTED_VALUE"""),32.48)</f>
        <v>32.48</v>
      </c>
      <c r="E1696" s="2">
        <f>IFERROR(__xludf.DUMMYFUNCTION("""COMPUTED_VALUE"""),32.71)</f>
        <v>32.71</v>
      </c>
      <c r="F1696" s="2">
        <f>IFERROR(__xludf.DUMMYFUNCTION("""COMPUTED_VALUE"""),2194500.0)</f>
        <v>2194500</v>
      </c>
    </row>
    <row r="1697">
      <c r="A1697" s="3">
        <f>IFERROR(__xludf.DUMMYFUNCTION("""COMPUTED_VALUE"""),31671.666666666668)</f>
        <v>31671.66667</v>
      </c>
      <c r="B1697" s="2">
        <f>IFERROR(__xludf.DUMMYFUNCTION("""COMPUTED_VALUE"""),33.01)</f>
        <v>33.01</v>
      </c>
      <c r="C1697" s="2">
        <f>IFERROR(__xludf.DUMMYFUNCTION("""COMPUTED_VALUE"""),33.07)</f>
        <v>33.07</v>
      </c>
      <c r="D1697" s="2">
        <f>IFERROR(__xludf.DUMMYFUNCTION("""COMPUTED_VALUE"""),32.39)</f>
        <v>32.39</v>
      </c>
      <c r="E1697" s="2">
        <f>IFERROR(__xludf.DUMMYFUNCTION("""COMPUTED_VALUE"""),33.01)</f>
        <v>33.01</v>
      </c>
      <c r="F1697" s="2">
        <f>IFERROR(__xludf.DUMMYFUNCTION("""COMPUTED_VALUE"""),1413100.0)</f>
        <v>1413100</v>
      </c>
    </row>
    <row r="1698">
      <c r="A1698" s="3">
        <f>IFERROR(__xludf.DUMMYFUNCTION("""COMPUTED_VALUE"""),31672.666666666668)</f>
        <v>31672.66667</v>
      </c>
      <c r="B1698" s="2">
        <f>IFERROR(__xludf.DUMMYFUNCTION("""COMPUTED_VALUE"""),32.86)</f>
        <v>32.86</v>
      </c>
      <c r="C1698" s="2">
        <f>IFERROR(__xludf.DUMMYFUNCTION("""COMPUTED_VALUE"""),33.34)</f>
        <v>33.34</v>
      </c>
      <c r="D1698" s="2">
        <f>IFERROR(__xludf.DUMMYFUNCTION("""COMPUTED_VALUE"""),32.86)</f>
        <v>32.86</v>
      </c>
      <c r="E1698" s="2">
        <f>IFERROR(__xludf.DUMMYFUNCTION("""COMPUTED_VALUE"""),32.86)</f>
        <v>32.86</v>
      </c>
      <c r="F1698" s="2">
        <f>IFERROR(__xludf.DUMMYFUNCTION("""COMPUTED_VALUE"""),1361600.0)</f>
        <v>1361600</v>
      </c>
    </row>
    <row r="1699">
      <c r="A1699" s="3">
        <f>IFERROR(__xludf.DUMMYFUNCTION("""COMPUTED_VALUE"""),31673.666666666668)</f>
        <v>31673.66667</v>
      </c>
      <c r="B1699" s="2">
        <f>IFERROR(__xludf.DUMMYFUNCTION("""COMPUTED_VALUE"""),33.04)</f>
        <v>33.04</v>
      </c>
      <c r="C1699" s="2">
        <f>IFERROR(__xludf.DUMMYFUNCTION("""COMPUTED_VALUE"""),33.19)</f>
        <v>33.19</v>
      </c>
      <c r="D1699" s="2">
        <f>IFERROR(__xludf.DUMMYFUNCTION("""COMPUTED_VALUE"""),32.65)</f>
        <v>32.65</v>
      </c>
      <c r="E1699" s="2">
        <f>IFERROR(__xludf.DUMMYFUNCTION("""COMPUTED_VALUE"""),33.04)</f>
        <v>33.04</v>
      </c>
      <c r="F1699" s="2">
        <f>IFERROR(__xludf.DUMMYFUNCTION("""COMPUTED_VALUE"""),1507800.0)</f>
        <v>1507800</v>
      </c>
    </row>
    <row r="1700">
      <c r="A1700" s="3">
        <f>IFERROR(__xludf.DUMMYFUNCTION("""COMPUTED_VALUE"""),31674.666666666668)</f>
        <v>31674.66667</v>
      </c>
      <c r="B1700" s="2">
        <f>IFERROR(__xludf.DUMMYFUNCTION("""COMPUTED_VALUE"""),32.68)</f>
        <v>32.68</v>
      </c>
      <c r="C1700" s="2">
        <f>IFERROR(__xludf.DUMMYFUNCTION("""COMPUTED_VALUE"""),33.01)</f>
        <v>33.01</v>
      </c>
      <c r="D1700" s="2">
        <f>IFERROR(__xludf.DUMMYFUNCTION("""COMPUTED_VALUE"""),32.65)</f>
        <v>32.65</v>
      </c>
      <c r="E1700" s="2">
        <f>IFERROR(__xludf.DUMMYFUNCTION("""COMPUTED_VALUE"""),32.68)</f>
        <v>32.68</v>
      </c>
      <c r="F1700" s="2">
        <f>IFERROR(__xludf.DUMMYFUNCTION("""COMPUTED_VALUE"""),1670300.0)</f>
        <v>1670300</v>
      </c>
    </row>
    <row r="1701">
      <c r="A1701" s="3">
        <f>IFERROR(__xludf.DUMMYFUNCTION("""COMPUTED_VALUE"""),31677.666666666668)</f>
        <v>31677.66667</v>
      </c>
      <c r="B1701" s="2">
        <f>IFERROR(__xludf.DUMMYFUNCTION("""COMPUTED_VALUE"""),33.1)</f>
        <v>33.1</v>
      </c>
      <c r="C1701" s="2">
        <f>IFERROR(__xludf.DUMMYFUNCTION("""COMPUTED_VALUE"""),33.1)</f>
        <v>33.1</v>
      </c>
      <c r="D1701" s="2">
        <f>IFERROR(__xludf.DUMMYFUNCTION("""COMPUTED_VALUE"""),32.74)</f>
        <v>32.74</v>
      </c>
      <c r="E1701" s="2">
        <f>IFERROR(__xludf.DUMMYFUNCTION("""COMPUTED_VALUE"""),33.1)</f>
        <v>33.1</v>
      </c>
      <c r="F1701" s="2">
        <f>IFERROR(__xludf.DUMMYFUNCTION("""COMPUTED_VALUE"""),1473000.0)</f>
        <v>1473000</v>
      </c>
    </row>
    <row r="1702">
      <c r="A1702" s="3">
        <f>IFERROR(__xludf.DUMMYFUNCTION("""COMPUTED_VALUE"""),31678.666666666668)</f>
        <v>31678.66667</v>
      </c>
      <c r="B1702" s="2">
        <f>IFERROR(__xludf.DUMMYFUNCTION("""COMPUTED_VALUE"""),33.25)</f>
        <v>33.25</v>
      </c>
      <c r="C1702" s="2">
        <f>IFERROR(__xludf.DUMMYFUNCTION("""COMPUTED_VALUE"""),33.28)</f>
        <v>33.28</v>
      </c>
      <c r="D1702" s="2">
        <f>IFERROR(__xludf.DUMMYFUNCTION("""COMPUTED_VALUE"""),33.04)</f>
        <v>33.04</v>
      </c>
      <c r="E1702" s="2">
        <f>IFERROR(__xludf.DUMMYFUNCTION("""COMPUTED_VALUE"""),33.25)</f>
        <v>33.25</v>
      </c>
      <c r="F1702" s="2">
        <f>IFERROR(__xludf.DUMMYFUNCTION("""COMPUTED_VALUE"""),1419200.0)</f>
        <v>1419200</v>
      </c>
    </row>
    <row r="1703">
      <c r="A1703" s="3">
        <f>IFERROR(__xludf.DUMMYFUNCTION("""COMPUTED_VALUE"""),31679.666666666668)</f>
        <v>31679.66667</v>
      </c>
      <c r="B1703" s="2">
        <f>IFERROR(__xludf.DUMMYFUNCTION("""COMPUTED_VALUE"""),32.83)</f>
        <v>32.83</v>
      </c>
      <c r="C1703" s="2">
        <f>IFERROR(__xludf.DUMMYFUNCTION("""COMPUTED_VALUE"""),33.28)</f>
        <v>33.28</v>
      </c>
      <c r="D1703" s="2">
        <f>IFERROR(__xludf.DUMMYFUNCTION("""COMPUTED_VALUE"""),32.74)</f>
        <v>32.74</v>
      </c>
      <c r="E1703" s="2">
        <f>IFERROR(__xludf.DUMMYFUNCTION("""COMPUTED_VALUE"""),32.83)</f>
        <v>32.83</v>
      </c>
      <c r="F1703" s="2">
        <f>IFERROR(__xludf.DUMMYFUNCTION("""COMPUTED_VALUE"""),1813400.0)</f>
        <v>1813400</v>
      </c>
    </row>
    <row r="1704">
      <c r="A1704" s="3">
        <f>IFERROR(__xludf.DUMMYFUNCTION("""COMPUTED_VALUE"""),31680.666666666668)</f>
        <v>31680.66667</v>
      </c>
      <c r="B1704" s="2">
        <f>IFERROR(__xludf.DUMMYFUNCTION("""COMPUTED_VALUE"""),32.42)</f>
        <v>32.42</v>
      </c>
      <c r="C1704" s="2">
        <f>IFERROR(__xludf.DUMMYFUNCTION("""COMPUTED_VALUE"""),32.86)</f>
        <v>32.86</v>
      </c>
      <c r="D1704" s="2">
        <f>IFERROR(__xludf.DUMMYFUNCTION("""COMPUTED_VALUE"""),32.06)</f>
        <v>32.06</v>
      </c>
      <c r="E1704" s="2">
        <f>IFERROR(__xludf.DUMMYFUNCTION("""COMPUTED_VALUE"""),32.42)</f>
        <v>32.42</v>
      </c>
      <c r="F1704" s="2">
        <f>IFERROR(__xludf.DUMMYFUNCTION("""COMPUTED_VALUE"""),1472100.0)</f>
        <v>1472100</v>
      </c>
    </row>
    <row r="1705">
      <c r="A1705" s="3">
        <f>IFERROR(__xludf.DUMMYFUNCTION("""COMPUTED_VALUE"""),31681.666666666668)</f>
        <v>31681.66667</v>
      </c>
      <c r="B1705" s="2">
        <f>IFERROR(__xludf.DUMMYFUNCTION("""COMPUTED_VALUE"""),32.36)</f>
        <v>32.36</v>
      </c>
      <c r="C1705" s="2">
        <f>IFERROR(__xludf.DUMMYFUNCTION("""COMPUTED_VALUE"""),32.62)</f>
        <v>32.62</v>
      </c>
      <c r="D1705" s="2">
        <f>IFERROR(__xludf.DUMMYFUNCTION("""COMPUTED_VALUE"""),32.24)</f>
        <v>32.24</v>
      </c>
      <c r="E1705" s="2">
        <f>IFERROR(__xludf.DUMMYFUNCTION("""COMPUTED_VALUE"""),32.36)</f>
        <v>32.36</v>
      </c>
      <c r="F1705" s="2">
        <f>IFERROR(__xludf.DUMMYFUNCTION("""COMPUTED_VALUE"""),1100000.0)</f>
        <v>1100000</v>
      </c>
    </row>
    <row r="1706">
      <c r="A1706" s="3">
        <f>IFERROR(__xludf.DUMMYFUNCTION("""COMPUTED_VALUE"""),31684.666666666668)</f>
        <v>31684.66667</v>
      </c>
      <c r="B1706" s="2">
        <f>IFERROR(__xludf.DUMMYFUNCTION("""COMPUTED_VALUE"""),32.06)</f>
        <v>32.06</v>
      </c>
      <c r="C1706" s="2">
        <f>IFERROR(__xludf.DUMMYFUNCTION("""COMPUTED_VALUE"""),32.3)</f>
        <v>32.3</v>
      </c>
      <c r="D1706" s="2">
        <f>IFERROR(__xludf.DUMMYFUNCTION("""COMPUTED_VALUE"""),31.79)</f>
        <v>31.79</v>
      </c>
      <c r="E1706" s="2">
        <f>IFERROR(__xludf.DUMMYFUNCTION("""COMPUTED_VALUE"""),32.06)</f>
        <v>32.06</v>
      </c>
      <c r="F1706" s="2">
        <f>IFERROR(__xludf.DUMMYFUNCTION("""COMPUTED_VALUE"""),1752200.0)</f>
        <v>1752200</v>
      </c>
    </row>
    <row r="1707">
      <c r="A1707" s="3">
        <f>IFERROR(__xludf.DUMMYFUNCTION("""COMPUTED_VALUE"""),31685.666666666668)</f>
        <v>31685.66667</v>
      </c>
      <c r="B1707" s="2">
        <f>IFERROR(__xludf.DUMMYFUNCTION("""COMPUTED_VALUE"""),32.12)</f>
        <v>32.12</v>
      </c>
      <c r="C1707" s="2">
        <f>IFERROR(__xludf.DUMMYFUNCTION("""COMPUTED_VALUE"""),32.45)</f>
        <v>32.45</v>
      </c>
      <c r="D1707" s="2">
        <f>IFERROR(__xludf.DUMMYFUNCTION("""COMPUTED_VALUE"""),32.06)</f>
        <v>32.06</v>
      </c>
      <c r="E1707" s="2">
        <f>IFERROR(__xludf.DUMMYFUNCTION("""COMPUTED_VALUE"""),32.12)</f>
        <v>32.12</v>
      </c>
      <c r="F1707" s="2">
        <f>IFERROR(__xludf.DUMMYFUNCTION("""COMPUTED_VALUE"""),1751900.0)</f>
        <v>1751900</v>
      </c>
    </row>
    <row r="1708">
      <c r="A1708" s="3">
        <f>IFERROR(__xludf.DUMMYFUNCTION("""COMPUTED_VALUE"""),31686.666666666668)</f>
        <v>31686.66667</v>
      </c>
      <c r="B1708" s="2">
        <f>IFERROR(__xludf.DUMMYFUNCTION("""COMPUTED_VALUE"""),31.76)</f>
        <v>31.76</v>
      </c>
      <c r="C1708" s="2">
        <f>IFERROR(__xludf.DUMMYFUNCTION("""COMPUTED_VALUE"""),32.36)</f>
        <v>32.36</v>
      </c>
      <c r="D1708" s="2">
        <f>IFERROR(__xludf.DUMMYFUNCTION("""COMPUTED_VALUE"""),31.67)</f>
        <v>31.67</v>
      </c>
      <c r="E1708" s="2">
        <f>IFERROR(__xludf.DUMMYFUNCTION("""COMPUTED_VALUE"""),31.76)</f>
        <v>31.76</v>
      </c>
      <c r="F1708" s="2">
        <f>IFERROR(__xludf.DUMMYFUNCTION("""COMPUTED_VALUE"""),1258900.0)</f>
        <v>1258900</v>
      </c>
    </row>
    <row r="1709">
      <c r="A1709" s="3">
        <f>IFERROR(__xludf.DUMMYFUNCTION("""COMPUTED_VALUE"""),31687.666666666668)</f>
        <v>31687.66667</v>
      </c>
      <c r="B1709" s="2">
        <f>IFERROR(__xludf.DUMMYFUNCTION("""COMPUTED_VALUE"""),31.76)</f>
        <v>31.76</v>
      </c>
      <c r="C1709" s="2">
        <f>IFERROR(__xludf.DUMMYFUNCTION("""COMPUTED_VALUE"""),31.85)</f>
        <v>31.85</v>
      </c>
      <c r="D1709" s="2">
        <f>IFERROR(__xludf.DUMMYFUNCTION("""COMPUTED_VALUE"""),31.58)</f>
        <v>31.58</v>
      </c>
      <c r="E1709" s="2">
        <f>IFERROR(__xludf.DUMMYFUNCTION("""COMPUTED_VALUE"""),31.76)</f>
        <v>31.76</v>
      </c>
      <c r="F1709" s="2">
        <f>IFERROR(__xludf.DUMMYFUNCTION("""COMPUTED_VALUE"""),1146700.0)</f>
        <v>1146700</v>
      </c>
    </row>
    <row r="1710">
      <c r="A1710" s="3">
        <f>IFERROR(__xludf.DUMMYFUNCTION("""COMPUTED_VALUE"""),31688.666666666668)</f>
        <v>31688.66667</v>
      </c>
      <c r="B1710" s="2">
        <f>IFERROR(__xludf.DUMMYFUNCTION("""COMPUTED_VALUE"""),31.25)</f>
        <v>31.25</v>
      </c>
      <c r="C1710" s="2">
        <f>IFERROR(__xludf.DUMMYFUNCTION("""COMPUTED_VALUE"""),31.82)</f>
        <v>31.82</v>
      </c>
      <c r="D1710" s="2">
        <f>IFERROR(__xludf.DUMMYFUNCTION("""COMPUTED_VALUE"""),31.19)</f>
        <v>31.19</v>
      </c>
      <c r="E1710" s="2">
        <f>IFERROR(__xludf.DUMMYFUNCTION("""COMPUTED_VALUE"""),31.25)</f>
        <v>31.25</v>
      </c>
      <c r="F1710" s="2">
        <f>IFERROR(__xludf.DUMMYFUNCTION("""COMPUTED_VALUE"""),2005200.0)</f>
        <v>2005200</v>
      </c>
    </row>
    <row r="1711">
      <c r="A1711" s="3">
        <f>IFERROR(__xludf.DUMMYFUNCTION("""COMPUTED_VALUE"""),31691.666666666668)</f>
        <v>31691.66667</v>
      </c>
      <c r="B1711" s="2">
        <f>IFERROR(__xludf.DUMMYFUNCTION("""COMPUTED_VALUE"""),31.88)</f>
        <v>31.88</v>
      </c>
      <c r="C1711" s="2">
        <f>IFERROR(__xludf.DUMMYFUNCTION("""COMPUTED_VALUE"""),31.91)</f>
        <v>31.91</v>
      </c>
      <c r="D1711" s="2">
        <f>IFERROR(__xludf.DUMMYFUNCTION("""COMPUTED_VALUE"""),31.28)</f>
        <v>31.28</v>
      </c>
      <c r="E1711" s="2">
        <f>IFERROR(__xludf.DUMMYFUNCTION("""COMPUTED_VALUE"""),31.88)</f>
        <v>31.88</v>
      </c>
      <c r="F1711" s="2">
        <f>IFERROR(__xludf.DUMMYFUNCTION("""COMPUTED_VALUE"""),995100.0)</f>
        <v>995100</v>
      </c>
    </row>
    <row r="1712">
      <c r="A1712" s="3">
        <f>IFERROR(__xludf.DUMMYFUNCTION("""COMPUTED_VALUE"""),31692.666666666668)</f>
        <v>31692.66667</v>
      </c>
      <c r="B1712" s="2">
        <f>IFERROR(__xludf.DUMMYFUNCTION("""COMPUTED_VALUE"""),30.6)</f>
        <v>30.6</v>
      </c>
      <c r="C1712" s="2">
        <f>IFERROR(__xludf.DUMMYFUNCTION("""COMPUTED_VALUE"""),31.91)</f>
        <v>31.91</v>
      </c>
      <c r="D1712" s="2">
        <f>IFERROR(__xludf.DUMMYFUNCTION("""COMPUTED_VALUE"""),30.6)</f>
        <v>30.6</v>
      </c>
      <c r="E1712" s="2">
        <f>IFERROR(__xludf.DUMMYFUNCTION("""COMPUTED_VALUE"""),30.6)</f>
        <v>30.6</v>
      </c>
      <c r="F1712" s="2">
        <f>IFERROR(__xludf.DUMMYFUNCTION("""COMPUTED_VALUE"""),3374900.0)</f>
        <v>3374900</v>
      </c>
    </row>
    <row r="1713">
      <c r="A1713" s="3">
        <f>IFERROR(__xludf.DUMMYFUNCTION("""COMPUTED_VALUE"""),31693.666666666668)</f>
        <v>31693.66667</v>
      </c>
      <c r="B1713" s="2">
        <f>IFERROR(__xludf.DUMMYFUNCTION("""COMPUTED_VALUE"""),30.45)</f>
        <v>30.45</v>
      </c>
      <c r="C1713" s="2">
        <f>IFERROR(__xludf.DUMMYFUNCTION("""COMPUTED_VALUE"""),30.45)</f>
        <v>30.45</v>
      </c>
      <c r="D1713" s="2">
        <f>IFERROR(__xludf.DUMMYFUNCTION("""COMPUTED_VALUE"""),30.15)</f>
        <v>30.15</v>
      </c>
      <c r="E1713" s="2">
        <f>IFERROR(__xludf.DUMMYFUNCTION("""COMPUTED_VALUE"""),30.45)</f>
        <v>30.45</v>
      </c>
      <c r="F1713" s="2">
        <f>IFERROR(__xludf.DUMMYFUNCTION("""COMPUTED_VALUE"""),3260200.0)</f>
        <v>3260200</v>
      </c>
    </row>
    <row r="1714">
      <c r="A1714" s="3">
        <f>IFERROR(__xludf.DUMMYFUNCTION("""COMPUTED_VALUE"""),31694.666666666668)</f>
        <v>31694.66667</v>
      </c>
      <c r="B1714" s="2">
        <f>IFERROR(__xludf.DUMMYFUNCTION("""COMPUTED_VALUE"""),29.13)</f>
        <v>29.13</v>
      </c>
      <c r="C1714" s="2">
        <f>IFERROR(__xludf.DUMMYFUNCTION("""COMPUTED_VALUE"""),30.54)</f>
        <v>30.54</v>
      </c>
      <c r="D1714" s="2">
        <f>IFERROR(__xludf.DUMMYFUNCTION("""COMPUTED_VALUE"""),29.07)</f>
        <v>29.07</v>
      </c>
      <c r="E1714" s="2">
        <f>IFERROR(__xludf.DUMMYFUNCTION("""COMPUTED_VALUE"""),29.13)</f>
        <v>29.13</v>
      </c>
      <c r="F1714" s="2">
        <f>IFERROR(__xludf.DUMMYFUNCTION("""COMPUTED_VALUE"""),3089700.0)</f>
        <v>3089700</v>
      </c>
    </row>
    <row r="1715">
      <c r="A1715" s="3">
        <f>IFERROR(__xludf.DUMMYFUNCTION("""COMPUTED_VALUE"""),31695.666666666668)</f>
        <v>31695.66667</v>
      </c>
      <c r="B1715" s="2">
        <f>IFERROR(__xludf.DUMMYFUNCTION("""COMPUTED_VALUE"""),29.52)</f>
        <v>29.52</v>
      </c>
      <c r="C1715" s="2">
        <f>IFERROR(__xludf.DUMMYFUNCTION("""COMPUTED_VALUE"""),29.73)</f>
        <v>29.73</v>
      </c>
      <c r="D1715" s="2">
        <f>IFERROR(__xludf.DUMMYFUNCTION("""COMPUTED_VALUE"""),29.22)</f>
        <v>29.22</v>
      </c>
      <c r="E1715" s="2">
        <f>IFERROR(__xludf.DUMMYFUNCTION("""COMPUTED_VALUE"""),29.52)</f>
        <v>29.52</v>
      </c>
      <c r="F1715" s="2">
        <f>IFERROR(__xludf.DUMMYFUNCTION("""COMPUTED_VALUE"""),2431100.0)</f>
        <v>2431100</v>
      </c>
    </row>
    <row r="1716">
      <c r="A1716" s="3">
        <f>IFERROR(__xludf.DUMMYFUNCTION("""COMPUTED_VALUE"""),31698.666666666668)</f>
        <v>31698.66667</v>
      </c>
      <c r="B1716" s="2">
        <f>IFERROR(__xludf.DUMMYFUNCTION("""COMPUTED_VALUE"""),29.13)</f>
        <v>29.13</v>
      </c>
      <c r="C1716" s="2">
        <f>IFERROR(__xludf.DUMMYFUNCTION("""COMPUTED_VALUE"""),29.91)</f>
        <v>29.91</v>
      </c>
      <c r="D1716" s="2">
        <f>IFERROR(__xludf.DUMMYFUNCTION("""COMPUTED_VALUE"""),29.1)</f>
        <v>29.1</v>
      </c>
      <c r="E1716" s="2">
        <f>IFERROR(__xludf.DUMMYFUNCTION("""COMPUTED_VALUE"""),29.13)</f>
        <v>29.13</v>
      </c>
      <c r="F1716" s="2">
        <f>IFERROR(__xludf.DUMMYFUNCTION("""COMPUTED_VALUE"""),1609300.0)</f>
        <v>1609300</v>
      </c>
    </row>
    <row r="1717">
      <c r="A1717" s="3">
        <f>IFERROR(__xludf.DUMMYFUNCTION("""COMPUTED_VALUE"""),31699.666666666668)</f>
        <v>31699.66667</v>
      </c>
      <c r="B1717" s="2">
        <f>IFERROR(__xludf.DUMMYFUNCTION("""COMPUTED_VALUE"""),28.86)</f>
        <v>28.86</v>
      </c>
      <c r="C1717" s="2">
        <f>IFERROR(__xludf.DUMMYFUNCTION("""COMPUTED_VALUE"""),29.37)</f>
        <v>29.37</v>
      </c>
      <c r="D1717" s="2">
        <f>IFERROR(__xludf.DUMMYFUNCTION("""COMPUTED_VALUE"""),28.6)</f>
        <v>28.6</v>
      </c>
      <c r="E1717" s="2">
        <f>IFERROR(__xludf.DUMMYFUNCTION("""COMPUTED_VALUE"""),28.86)</f>
        <v>28.86</v>
      </c>
      <c r="F1717" s="2">
        <f>IFERROR(__xludf.DUMMYFUNCTION("""COMPUTED_VALUE"""),3142200.0)</f>
        <v>3142200</v>
      </c>
    </row>
    <row r="1718">
      <c r="A1718" s="3">
        <f>IFERROR(__xludf.DUMMYFUNCTION("""COMPUTED_VALUE"""),31700.666666666668)</f>
        <v>31700.66667</v>
      </c>
      <c r="B1718" s="2">
        <f>IFERROR(__xludf.DUMMYFUNCTION("""COMPUTED_VALUE"""),29.37)</f>
        <v>29.37</v>
      </c>
      <c r="C1718" s="2">
        <f>IFERROR(__xludf.DUMMYFUNCTION("""COMPUTED_VALUE"""),29.37)</f>
        <v>29.37</v>
      </c>
      <c r="D1718" s="2">
        <f>IFERROR(__xludf.DUMMYFUNCTION("""COMPUTED_VALUE"""),28.74)</f>
        <v>28.74</v>
      </c>
      <c r="E1718" s="2">
        <f>IFERROR(__xludf.DUMMYFUNCTION("""COMPUTED_VALUE"""),29.37)</f>
        <v>29.37</v>
      </c>
      <c r="F1718" s="2">
        <f>IFERROR(__xludf.DUMMYFUNCTION("""COMPUTED_VALUE"""),2239600.0)</f>
        <v>2239600</v>
      </c>
    </row>
    <row r="1719">
      <c r="A1719" s="3">
        <f>IFERROR(__xludf.DUMMYFUNCTION("""COMPUTED_VALUE"""),31701.666666666668)</f>
        <v>31701.66667</v>
      </c>
      <c r="B1719" s="2">
        <f>IFERROR(__xludf.DUMMYFUNCTION("""COMPUTED_VALUE"""),28.92)</f>
        <v>28.92</v>
      </c>
      <c r="C1719" s="2">
        <f>IFERROR(__xludf.DUMMYFUNCTION("""COMPUTED_VALUE"""),29.46)</f>
        <v>29.46</v>
      </c>
      <c r="D1719" s="2">
        <f>IFERROR(__xludf.DUMMYFUNCTION("""COMPUTED_VALUE"""),28.86)</f>
        <v>28.86</v>
      </c>
      <c r="E1719" s="2">
        <f>IFERROR(__xludf.DUMMYFUNCTION("""COMPUTED_VALUE"""),28.92)</f>
        <v>28.92</v>
      </c>
      <c r="F1719" s="2">
        <f>IFERROR(__xludf.DUMMYFUNCTION("""COMPUTED_VALUE"""),2220500.0)</f>
        <v>2220500</v>
      </c>
    </row>
    <row r="1720">
      <c r="A1720" s="3">
        <f>IFERROR(__xludf.DUMMYFUNCTION("""COMPUTED_VALUE"""),31702.666666666668)</f>
        <v>31702.66667</v>
      </c>
      <c r="B1720" s="2">
        <f>IFERROR(__xludf.DUMMYFUNCTION("""COMPUTED_VALUE"""),29.1)</f>
        <v>29.1</v>
      </c>
      <c r="C1720" s="2">
        <f>IFERROR(__xludf.DUMMYFUNCTION("""COMPUTED_VALUE"""),29.22)</f>
        <v>29.22</v>
      </c>
      <c r="D1720" s="2">
        <f>IFERROR(__xludf.DUMMYFUNCTION("""COMPUTED_VALUE"""),28.77)</f>
        <v>28.77</v>
      </c>
      <c r="E1720" s="2">
        <f>IFERROR(__xludf.DUMMYFUNCTION("""COMPUTED_VALUE"""),29.1)</f>
        <v>29.1</v>
      </c>
      <c r="F1720" s="2">
        <f>IFERROR(__xludf.DUMMYFUNCTION("""COMPUTED_VALUE"""),1947600.0)</f>
        <v>1947600</v>
      </c>
    </row>
    <row r="1721">
      <c r="A1721" s="3">
        <f>IFERROR(__xludf.DUMMYFUNCTION("""COMPUTED_VALUE"""),31705.666666666668)</f>
        <v>31705.66667</v>
      </c>
      <c r="B1721" s="2">
        <f>IFERROR(__xludf.DUMMYFUNCTION("""COMPUTED_VALUE"""),28.71)</f>
        <v>28.71</v>
      </c>
      <c r="C1721" s="2">
        <f>IFERROR(__xludf.DUMMYFUNCTION("""COMPUTED_VALUE"""),28.95)</f>
        <v>28.95</v>
      </c>
      <c r="D1721" s="2">
        <f>IFERROR(__xludf.DUMMYFUNCTION("""COMPUTED_VALUE"""),28.63)</f>
        <v>28.63</v>
      </c>
      <c r="E1721" s="2">
        <f>IFERROR(__xludf.DUMMYFUNCTION("""COMPUTED_VALUE"""),28.71)</f>
        <v>28.71</v>
      </c>
      <c r="F1721" s="2">
        <f>IFERROR(__xludf.DUMMYFUNCTION("""COMPUTED_VALUE"""),1484700.0)</f>
        <v>1484700</v>
      </c>
    </row>
    <row r="1722">
      <c r="A1722" s="3">
        <f>IFERROR(__xludf.DUMMYFUNCTION("""COMPUTED_VALUE"""),31706.666666666668)</f>
        <v>31706.66667</v>
      </c>
      <c r="B1722" s="2">
        <f>IFERROR(__xludf.DUMMYFUNCTION("""COMPUTED_VALUE"""),28.98)</f>
        <v>28.98</v>
      </c>
      <c r="C1722" s="2">
        <f>IFERROR(__xludf.DUMMYFUNCTION("""COMPUTED_VALUE"""),28.98)</f>
        <v>28.98</v>
      </c>
      <c r="D1722" s="2">
        <f>IFERROR(__xludf.DUMMYFUNCTION("""COMPUTED_VALUE"""),28.71)</f>
        <v>28.71</v>
      </c>
      <c r="E1722" s="2">
        <f>IFERROR(__xludf.DUMMYFUNCTION("""COMPUTED_VALUE"""),28.98)</f>
        <v>28.98</v>
      </c>
      <c r="F1722" s="2">
        <f>IFERROR(__xludf.DUMMYFUNCTION("""COMPUTED_VALUE"""),1697000.0)</f>
        <v>1697000</v>
      </c>
    </row>
    <row r="1723">
      <c r="A1723" s="3">
        <f>IFERROR(__xludf.DUMMYFUNCTION("""COMPUTED_VALUE"""),31707.666666666668)</f>
        <v>31707.66667</v>
      </c>
      <c r="B1723" s="2">
        <f>IFERROR(__xludf.DUMMYFUNCTION("""COMPUTED_VALUE"""),28.74)</f>
        <v>28.74</v>
      </c>
      <c r="C1723" s="2">
        <f>IFERROR(__xludf.DUMMYFUNCTION("""COMPUTED_VALUE"""),29.01)</f>
        <v>29.01</v>
      </c>
      <c r="D1723" s="2">
        <f>IFERROR(__xludf.DUMMYFUNCTION("""COMPUTED_VALUE"""),28.68)</f>
        <v>28.68</v>
      </c>
      <c r="E1723" s="2">
        <f>IFERROR(__xludf.DUMMYFUNCTION("""COMPUTED_VALUE"""),28.74)</f>
        <v>28.74</v>
      </c>
      <c r="F1723" s="2">
        <f>IFERROR(__xludf.DUMMYFUNCTION("""COMPUTED_VALUE"""),1283900.0)</f>
        <v>1283900</v>
      </c>
    </row>
    <row r="1724">
      <c r="A1724" s="3">
        <f>IFERROR(__xludf.DUMMYFUNCTION("""COMPUTED_VALUE"""),31708.666666666668)</f>
        <v>31708.66667</v>
      </c>
      <c r="B1724" s="2">
        <f>IFERROR(__xludf.DUMMYFUNCTION("""COMPUTED_VALUE"""),29.01)</f>
        <v>29.01</v>
      </c>
      <c r="C1724" s="2">
        <f>IFERROR(__xludf.DUMMYFUNCTION("""COMPUTED_VALUE"""),29.25)</f>
        <v>29.25</v>
      </c>
      <c r="D1724" s="2">
        <f>IFERROR(__xludf.DUMMYFUNCTION("""COMPUTED_VALUE"""),28.8)</f>
        <v>28.8</v>
      </c>
      <c r="E1724" s="2">
        <f>IFERROR(__xludf.DUMMYFUNCTION("""COMPUTED_VALUE"""),29.01)</f>
        <v>29.01</v>
      </c>
      <c r="F1724" s="2">
        <f>IFERROR(__xludf.DUMMYFUNCTION("""COMPUTED_VALUE"""),1727300.0)</f>
        <v>1727300</v>
      </c>
    </row>
    <row r="1725">
      <c r="A1725" s="3">
        <f>IFERROR(__xludf.DUMMYFUNCTION("""COMPUTED_VALUE"""),31709.666666666668)</f>
        <v>31709.66667</v>
      </c>
      <c r="B1725" s="2">
        <f>IFERROR(__xludf.DUMMYFUNCTION("""COMPUTED_VALUE"""),28.98)</f>
        <v>28.98</v>
      </c>
      <c r="C1725" s="2">
        <f>IFERROR(__xludf.DUMMYFUNCTION("""COMPUTED_VALUE"""),29.19)</f>
        <v>29.19</v>
      </c>
      <c r="D1725" s="2">
        <f>IFERROR(__xludf.DUMMYFUNCTION("""COMPUTED_VALUE"""),28.95)</f>
        <v>28.95</v>
      </c>
      <c r="E1725" s="2">
        <f>IFERROR(__xludf.DUMMYFUNCTION("""COMPUTED_VALUE"""),28.98)</f>
        <v>28.98</v>
      </c>
      <c r="F1725" s="2">
        <f>IFERROR(__xludf.DUMMYFUNCTION("""COMPUTED_VALUE"""),1507400.0)</f>
        <v>1507400</v>
      </c>
    </row>
    <row r="1726">
      <c r="A1726" s="3">
        <f>IFERROR(__xludf.DUMMYFUNCTION("""COMPUTED_VALUE"""),31712.666666666668)</f>
        <v>31712.66667</v>
      </c>
      <c r="B1726" s="2">
        <f>IFERROR(__xludf.DUMMYFUNCTION("""COMPUTED_VALUE"""),29.16)</f>
        <v>29.16</v>
      </c>
      <c r="C1726" s="2">
        <f>IFERROR(__xludf.DUMMYFUNCTION("""COMPUTED_VALUE"""),29.16)</f>
        <v>29.16</v>
      </c>
      <c r="D1726" s="2">
        <f>IFERROR(__xludf.DUMMYFUNCTION("""COMPUTED_VALUE"""),28.65)</f>
        <v>28.65</v>
      </c>
      <c r="E1726" s="2">
        <f>IFERROR(__xludf.DUMMYFUNCTION("""COMPUTED_VALUE"""),29.16)</f>
        <v>29.16</v>
      </c>
      <c r="F1726" s="2">
        <f>IFERROR(__xludf.DUMMYFUNCTION("""COMPUTED_VALUE"""),1197000.0)</f>
        <v>1197000</v>
      </c>
    </row>
    <row r="1727">
      <c r="A1727" s="3">
        <f>IFERROR(__xludf.DUMMYFUNCTION("""COMPUTED_VALUE"""),31713.666666666668)</f>
        <v>31713.66667</v>
      </c>
      <c r="B1727" s="2">
        <f>IFERROR(__xludf.DUMMYFUNCTION("""COMPUTED_VALUE"""),28.83)</f>
        <v>28.83</v>
      </c>
      <c r="C1727" s="2">
        <f>IFERROR(__xludf.DUMMYFUNCTION("""COMPUTED_VALUE"""),29.22)</f>
        <v>29.22</v>
      </c>
      <c r="D1727" s="2">
        <f>IFERROR(__xludf.DUMMYFUNCTION("""COMPUTED_VALUE"""),28.8)</f>
        <v>28.8</v>
      </c>
      <c r="E1727" s="2">
        <f>IFERROR(__xludf.DUMMYFUNCTION("""COMPUTED_VALUE"""),28.83)</f>
        <v>28.83</v>
      </c>
      <c r="F1727" s="2">
        <f>IFERROR(__xludf.DUMMYFUNCTION("""COMPUTED_VALUE"""),1213200.0)</f>
        <v>1213200</v>
      </c>
    </row>
    <row r="1728">
      <c r="A1728" s="3">
        <f>IFERROR(__xludf.DUMMYFUNCTION("""COMPUTED_VALUE"""),31714.666666666668)</f>
        <v>31714.66667</v>
      </c>
      <c r="B1728" s="2">
        <f>IFERROR(__xludf.DUMMYFUNCTION("""COMPUTED_VALUE"""),28.86)</f>
        <v>28.86</v>
      </c>
      <c r="C1728" s="2">
        <f>IFERROR(__xludf.DUMMYFUNCTION("""COMPUTED_VALUE"""),29.07)</f>
        <v>29.07</v>
      </c>
      <c r="D1728" s="2">
        <f>IFERROR(__xludf.DUMMYFUNCTION("""COMPUTED_VALUE"""),28.71)</f>
        <v>28.71</v>
      </c>
      <c r="E1728" s="2">
        <f>IFERROR(__xludf.DUMMYFUNCTION("""COMPUTED_VALUE"""),28.86)</f>
        <v>28.86</v>
      </c>
      <c r="F1728" s="2">
        <f>IFERROR(__xludf.DUMMYFUNCTION("""COMPUTED_VALUE"""),1036500.0)</f>
        <v>1036500</v>
      </c>
    </row>
    <row r="1729">
      <c r="A1729" s="3">
        <f>IFERROR(__xludf.DUMMYFUNCTION("""COMPUTED_VALUE"""),31715.666666666668)</f>
        <v>31715.66667</v>
      </c>
      <c r="B1729" s="2">
        <f>IFERROR(__xludf.DUMMYFUNCTION("""COMPUTED_VALUE"""),29.13)</f>
        <v>29.13</v>
      </c>
      <c r="C1729" s="2">
        <f>IFERROR(__xludf.DUMMYFUNCTION("""COMPUTED_VALUE"""),29.37)</f>
        <v>29.37</v>
      </c>
      <c r="D1729" s="2">
        <f>IFERROR(__xludf.DUMMYFUNCTION("""COMPUTED_VALUE"""),28.98)</f>
        <v>28.98</v>
      </c>
      <c r="E1729" s="2">
        <f>IFERROR(__xludf.DUMMYFUNCTION("""COMPUTED_VALUE"""),29.13)</f>
        <v>29.13</v>
      </c>
      <c r="F1729" s="2">
        <f>IFERROR(__xludf.DUMMYFUNCTION("""COMPUTED_VALUE"""),1701800.0)</f>
        <v>1701800</v>
      </c>
    </row>
    <row r="1730">
      <c r="A1730" s="3">
        <f>IFERROR(__xludf.DUMMYFUNCTION("""COMPUTED_VALUE"""),31716.666666666668)</f>
        <v>31716.66667</v>
      </c>
      <c r="B1730" s="2">
        <f>IFERROR(__xludf.DUMMYFUNCTION("""COMPUTED_VALUE"""),29.52)</f>
        <v>29.52</v>
      </c>
      <c r="C1730" s="2">
        <f>IFERROR(__xludf.DUMMYFUNCTION("""COMPUTED_VALUE"""),29.55)</f>
        <v>29.55</v>
      </c>
      <c r="D1730" s="2">
        <f>IFERROR(__xludf.DUMMYFUNCTION("""COMPUTED_VALUE"""),29.07)</f>
        <v>29.07</v>
      </c>
      <c r="E1730" s="2">
        <f>IFERROR(__xludf.DUMMYFUNCTION("""COMPUTED_VALUE"""),29.52)</f>
        <v>29.52</v>
      </c>
      <c r="F1730" s="2">
        <f>IFERROR(__xludf.DUMMYFUNCTION("""COMPUTED_VALUE"""),1163300.0)</f>
        <v>1163300</v>
      </c>
    </row>
    <row r="1731">
      <c r="A1731" s="3">
        <f>IFERROR(__xludf.DUMMYFUNCTION("""COMPUTED_VALUE"""),31719.666666666668)</f>
        <v>31719.66667</v>
      </c>
      <c r="B1731" s="2">
        <f>IFERROR(__xludf.DUMMYFUNCTION("""COMPUTED_VALUE"""),30.18)</f>
        <v>30.18</v>
      </c>
      <c r="C1731" s="2">
        <f>IFERROR(__xludf.DUMMYFUNCTION("""COMPUTED_VALUE"""),30.18)</f>
        <v>30.18</v>
      </c>
      <c r="D1731" s="2">
        <f>IFERROR(__xludf.DUMMYFUNCTION("""COMPUTED_VALUE"""),29.55)</f>
        <v>29.55</v>
      </c>
      <c r="E1731" s="2">
        <f>IFERROR(__xludf.DUMMYFUNCTION("""COMPUTED_VALUE"""),30.18)</f>
        <v>30.18</v>
      </c>
      <c r="F1731" s="2">
        <f>IFERROR(__xludf.DUMMYFUNCTION("""COMPUTED_VALUE"""),1229700.0)</f>
        <v>1229700</v>
      </c>
    </row>
    <row r="1732">
      <c r="A1732" s="3">
        <f>IFERROR(__xludf.DUMMYFUNCTION("""COMPUTED_VALUE"""),31720.666666666668)</f>
        <v>31720.66667</v>
      </c>
      <c r="B1732" s="2">
        <f>IFERROR(__xludf.DUMMYFUNCTION("""COMPUTED_VALUE"""),30.06)</f>
        <v>30.06</v>
      </c>
      <c r="C1732" s="2">
        <f>IFERROR(__xludf.DUMMYFUNCTION("""COMPUTED_VALUE"""),30.21)</f>
        <v>30.21</v>
      </c>
      <c r="D1732" s="2">
        <f>IFERROR(__xludf.DUMMYFUNCTION("""COMPUTED_VALUE"""),29.79)</f>
        <v>29.79</v>
      </c>
      <c r="E1732" s="2">
        <f>IFERROR(__xludf.DUMMYFUNCTION("""COMPUTED_VALUE"""),30.06)</f>
        <v>30.06</v>
      </c>
      <c r="F1732" s="2">
        <f>IFERROR(__xludf.DUMMYFUNCTION("""COMPUTED_VALUE"""),1662600.0)</f>
        <v>1662600</v>
      </c>
    </row>
    <row r="1733">
      <c r="A1733" s="3">
        <f>IFERROR(__xludf.DUMMYFUNCTION("""COMPUTED_VALUE"""),31721.666666666668)</f>
        <v>31721.66667</v>
      </c>
      <c r="B1733" s="2">
        <f>IFERROR(__xludf.DUMMYFUNCTION("""COMPUTED_VALUE"""),29.4)</f>
        <v>29.4</v>
      </c>
      <c r="C1733" s="2">
        <f>IFERROR(__xludf.DUMMYFUNCTION("""COMPUTED_VALUE"""),29.79)</f>
        <v>29.79</v>
      </c>
      <c r="D1733" s="2">
        <f>IFERROR(__xludf.DUMMYFUNCTION("""COMPUTED_VALUE"""),29.25)</f>
        <v>29.25</v>
      </c>
      <c r="E1733" s="2">
        <f>IFERROR(__xludf.DUMMYFUNCTION("""COMPUTED_VALUE"""),29.4)</f>
        <v>29.4</v>
      </c>
      <c r="F1733" s="2">
        <f>IFERROR(__xludf.DUMMYFUNCTION("""COMPUTED_VALUE"""),2107700.0)</f>
        <v>2107700</v>
      </c>
    </row>
    <row r="1734">
      <c r="A1734" s="3">
        <f>IFERROR(__xludf.DUMMYFUNCTION("""COMPUTED_VALUE"""),31722.666666666668)</f>
        <v>31722.66667</v>
      </c>
      <c r="B1734" s="2">
        <f>IFERROR(__xludf.DUMMYFUNCTION("""COMPUTED_VALUE"""),28.98)</f>
        <v>28.98</v>
      </c>
      <c r="C1734" s="2">
        <f>IFERROR(__xludf.DUMMYFUNCTION("""COMPUTED_VALUE"""),29.13)</f>
        <v>29.13</v>
      </c>
      <c r="D1734" s="2">
        <f>IFERROR(__xludf.DUMMYFUNCTION("""COMPUTED_VALUE"""),28.48)</f>
        <v>28.48</v>
      </c>
      <c r="E1734" s="2">
        <f>IFERROR(__xludf.DUMMYFUNCTION("""COMPUTED_VALUE"""),28.98)</f>
        <v>28.98</v>
      </c>
      <c r="F1734" s="2">
        <f>IFERROR(__xludf.DUMMYFUNCTION("""COMPUTED_VALUE"""),2581200.0)</f>
        <v>2581200</v>
      </c>
    </row>
    <row r="1735">
      <c r="A1735" s="3">
        <f>IFERROR(__xludf.DUMMYFUNCTION("""COMPUTED_VALUE"""),31723.666666666668)</f>
        <v>31723.66667</v>
      </c>
      <c r="B1735" s="2">
        <f>IFERROR(__xludf.DUMMYFUNCTION("""COMPUTED_VALUE"""),29.01)</f>
        <v>29.01</v>
      </c>
      <c r="C1735" s="2">
        <f>IFERROR(__xludf.DUMMYFUNCTION("""COMPUTED_VALUE"""),29.1)</f>
        <v>29.1</v>
      </c>
      <c r="D1735" s="2">
        <f>IFERROR(__xludf.DUMMYFUNCTION("""COMPUTED_VALUE"""),28.65)</f>
        <v>28.65</v>
      </c>
      <c r="E1735" s="2">
        <f>IFERROR(__xludf.DUMMYFUNCTION("""COMPUTED_VALUE"""),29.01)</f>
        <v>29.01</v>
      </c>
      <c r="F1735" s="2">
        <f>IFERROR(__xludf.DUMMYFUNCTION("""COMPUTED_VALUE"""),1103400.0)</f>
        <v>1103400</v>
      </c>
    </row>
    <row r="1736">
      <c r="A1736" s="3">
        <f>IFERROR(__xludf.DUMMYFUNCTION("""COMPUTED_VALUE"""),31726.666666666668)</f>
        <v>31726.66667</v>
      </c>
      <c r="B1736" s="2">
        <f>IFERROR(__xludf.DUMMYFUNCTION("""COMPUTED_VALUE"""),29.4)</f>
        <v>29.4</v>
      </c>
      <c r="C1736" s="2">
        <f>IFERROR(__xludf.DUMMYFUNCTION("""COMPUTED_VALUE"""),29.43)</f>
        <v>29.43</v>
      </c>
      <c r="D1736" s="2">
        <f>IFERROR(__xludf.DUMMYFUNCTION("""COMPUTED_VALUE"""),28.95)</f>
        <v>28.95</v>
      </c>
      <c r="E1736" s="2">
        <f>IFERROR(__xludf.DUMMYFUNCTION("""COMPUTED_VALUE"""),29.4)</f>
        <v>29.4</v>
      </c>
      <c r="F1736" s="2">
        <f>IFERROR(__xludf.DUMMYFUNCTION("""COMPUTED_VALUE"""),998200.0)</f>
        <v>998200</v>
      </c>
    </row>
    <row r="1737">
      <c r="A1737" s="3">
        <f>IFERROR(__xludf.DUMMYFUNCTION("""COMPUTED_VALUE"""),31727.666666666668)</f>
        <v>31727.66667</v>
      </c>
      <c r="B1737" s="2">
        <f>IFERROR(__xludf.DUMMYFUNCTION("""COMPUTED_VALUE"""),29.55)</f>
        <v>29.55</v>
      </c>
      <c r="C1737" s="2">
        <f>IFERROR(__xludf.DUMMYFUNCTION("""COMPUTED_VALUE"""),29.67)</f>
        <v>29.67</v>
      </c>
      <c r="D1737" s="2">
        <f>IFERROR(__xludf.DUMMYFUNCTION("""COMPUTED_VALUE"""),29.34)</f>
        <v>29.34</v>
      </c>
      <c r="E1737" s="2">
        <f>IFERROR(__xludf.DUMMYFUNCTION("""COMPUTED_VALUE"""),29.55)</f>
        <v>29.55</v>
      </c>
      <c r="F1737" s="2">
        <f>IFERROR(__xludf.DUMMYFUNCTION("""COMPUTED_VALUE"""),751400.0)</f>
        <v>751400</v>
      </c>
    </row>
    <row r="1738">
      <c r="A1738" s="3">
        <f>IFERROR(__xludf.DUMMYFUNCTION("""COMPUTED_VALUE"""),31728.666666666668)</f>
        <v>31728.66667</v>
      </c>
      <c r="B1738" s="2">
        <f>IFERROR(__xludf.DUMMYFUNCTION("""COMPUTED_VALUE"""),29.31)</f>
        <v>29.31</v>
      </c>
      <c r="C1738" s="2">
        <f>IFERROR(__xludf.DUMMYFUNCTION("""COMPUTED_VALUE"""),29.7)</f>
        <v>29.7</v>
      </c>
      <c r="D1738" s="2">
        <f>IFERROR(__xludf.DUMMYFUNCTION("""COMPUTED_VALUE"""),29.1)</f>
        <v>29.1</v>
      </c>
      <c r="E1738" s="2">
        <f>IFERROR(__xludf.DUMMYFUNCTION("""COMPUTED_VALUE"""),29.31)</f>
        <v>29.31</v>
      </c>
      <c r="F1738" s="2">
        <f>IFERROR(__xludf.DUMMYFUNCTION("""COMPUTED_VALUE"""),1130500.0)</f>
        <v>1130500</v>
      </c>
    </row>
    <row r="1739">
      <c r="A1739" s="3">
        <f>IFERROR(__xludf.DUMMYFUNCTION("""COMPUTED_VALUE"""),31729.666666666668)</f>
        <v>31729.66667</v>
      </c>
      <c r="B1739" s="2">
        <f>IFERROR(__xludf.DUMMYFUNCTION("""COMPUTED_VALUE"""),28.63)</f>
        <v>28.63</v>
      </c>
      <c r="C1739" s="2">
        <f>IFERROR(__xludf.DUMMYFUNCTION("""COMPUTED_VALUE"""),29.37)</f>
        <v>29.37</v>
      </c>
      <c r="D1739" s="2">
        <f>IFERROR(__xludf.DUMMYFUNCTION("""COMPUTED_VALUE"""),28.63)</f>
        <v>28.63</v>
      </c>
      <c r="E1739" s="2">
        <f>IFERROR(__xludf.DUMMYFUNCTION("""COMPUTED_VALUE"""),28.63)</f>
        <v>28.63</v>
      </c>
      <c r="F1739" s="2">
        <f>IFERROR(__xludf.DUMMYFUNCTION("""COMPUTED_VALUE"""),1226400.0)</f>
        <v>1226400</v>
      </c>
    </row>
    <row r="1740">
      <c r="A1740" s="3">
        <f>IFERROR(__xludf.DUMMYFUNCTION("""COMPUTED_VALUE"""),31730.666666666668)</f>
        <v>31730.66667</v>
      </c>
      <c r="B1740" s="2">
        <f>IFERROR(__xludf.DUMMYFUNCTION("""COMPUTED_VALUE"""),28.98)</f>
        <v>28.98</v>
      </c>
      <c r="C1740" s="2">
        <f>IFERROR(__xludf.DUMMYFUNCTION("""COMPUTED_VALUE"""),29.01)</f>
        <v>29.01</v>
      </c>
      <c r="D1740" s="2">
        <f>IFERROR(__xludf.DUMMYFUNCTION("""COMPUTED_VALUE"""),28.57)</f>
        <v>28.57</v>
      </c>
      <c r="E1740" s="2">
        <f>IFERROR(__xludf.DUMMYFUNCTION("""COMPUTED_VALUE"""),28.98)</f>
        <v>28.98</v>
      </c>
      <c r="F1740" s="2">
        <f>IFERROR(__xludf.DUMMYFUNCTION("""COMPUTED_VALUE"""),1203900.0)</f>
        <v>1203900</v>
      </c>
    </row>
    <row r="1741">
      <c r="A1741" s="3">
        <f>IFERROR(__xludf.DUMMYFUNCTION("""COMPUTED_VALUE"""),31733.666666666668)</f>
        <v>31733.66667</v>
      </c>
      <c r="B1741" s="2">
        <f>IFERROR(__xludf.DUMMYFUNCTION("""COMPUTED_VALUE"""),29.13)</f>
        <v>29.13</v>
      </c>
      <c r="C1741" s="2">
        <f>IFERROR(__xludf.DUMMYFUNCTION("""COMPUTED_VALUE"""),29.52)</f>
        <v>29.52</v>
      </c>
      <c r="D1741" s="2">
        <f>IFERROR(__xludf.DUMMYFUNCTION("""COMPUTED_VALUE"""),28.8)</f>
        <v>28.8</v>
      </c>
      <c r="E1741" s="2">
        <f>IFERROR(__xludf.DUMMYFUNCTION("""COMPUTED_VALUE"""),29.13)</f>
        <v>29.13</v>
      </c>
      <c r="F1741" s="2">
        <f>IFERROR(__xludf.DUMMYFUNCTION("""COMPUTED_VALUE"""),1198700.0)</f>
        <v>1198700</v>
      </c>
    </row>
    <row r="1742">
      <c r="A1742" s="3">
        <f>IFERROR(__xludf.DUMMYFUNCTION("""COMPUTED_VALUE"""),31734.666666666668)</f>
        <v>31734.66667</v>
      </c>
      <c r="B1742" s="2">
        <f>IFERROR(__xludf.DUMMYFUNCTION("""COMPUTED_VALUE"""),28.77)</f>
        <v>28.77</v>
      </c>
      <c r="C1742" s="2">
        <f>IFERROR(__xludf.DUMMYFUNCTION("""COMPUTED_VALUE"""),29.4)</f>
        <v>29.4</v>
      </c>
      <c r="D1742" s="2">
        <f>IFERROR(__xludf.DUMMYFUNCTION("""COMPUTED_VALUE"""),28.71)</f>
        <v>28.71</v>
      </c>
      <c r="E1742" s="2">
        <f>IFERROR(__xludf.DUMMYFUNCTION("""COMPUTED_VALUE"""),28.77)</f>
        <v>28.77</v>
      </c>
      <c r="F1742" s="2">
        <f>IFERROR(__xludf.DUMMYFUNCTION("""COMPUTED_VALUE"""),1740100.0)</f>
        <v>1740100</v>
      </c>
    </row>
    <row r="1743">
      <c r="A1743" s="3">
        <f>IFERROR(__xludf.DUMMYFUNCTION("""COMPUTED_VALUE"""),31735.666666666668)</f>
        <v>31735.66667</v>
      </c>
      <c r="B1743" s="2">
        <f>IFERROR(__xludf.DUMMYFUNCTION("""COMPUTED_VALUE"""),29.37)</f>
        <v>29.37</v>
      </c>
      <c r="C1743" s="2">
        <f>IFERROR(__xludf.DUMMYFUNCTION("""COMPUTED_VALUE"""),29.37)</f>
        <v>29.37</v>
      </c>
      <c r="D1743" s="2">
        <f>IFERROR(__xludf.DUMMYFUNCTION("""COMPUTED_VALUE"""),28.68)</f>
        <v>28.68</v>
      </c>
      <c r="E1743" s="2">
        <f>IFERROR(__xludf.DUMMYFUNCTION("""COMPUTED_VALUE"""),29.37)</f>
        <v>29.37</v>
      </c>
      <c r="F1743" s="2">
        <f>IFERROR(__xludf.DUMMYFUNCTION("""COMPUTED_VALUE"""),1669000.0)</f>
        <v>1669000</v>
      </c>
    </row>
    <row r="1744">
      <c r="A1744" s="3">
        <f>IFERROR(__xludf.DUMMYFUNCTION("""COMPUTED_VALUE"""),31736.666666666668)</f>
        <v>31736.66667</v>
      </c>
      <c r="B1744" s="2">
        <f>IFERROR(__xludf.DUMMYFUNCTION("""COMPUTED_VALUE"""),29.49)</f>
        <v>29.49</v>
      </c>
      <c r="C1744" s="2">
        <f>IFERROR(__xludf.DUMMYFUNCTION("""COMPUTED_VALUE"""),29.58)</f>
        <v>29.58</v>
      </c>
      <c r="D1744" s="2">
        <f>IFERROR(__xludf.DUMMYFUNCTION("""COMPUTED_VALUE"""),29.07)</f>
        <v>29.07</v>
      </c>
      <c r="E1744" s="2">
        <f>IFERROR(__xludf.DUMMYFUNCTION("""COMPUTED_VALUE"""),29.49)</f>
        <v>29.49</v>
      </c>
      <c r="F1744" s="2">
        <f>IFERROR(__xludf.DUMMYFUNCTION("""COMPUTED_VALUE"""),1707000.0)</f>
        <v>1707000</v>
      </c>
    </row>
    <row r="1745">
      <c r="A1745" s="3">
        <f>IFERROR(__xludf.DUMMYFUNCTION("""COMPUTED_VALUE"""),31737.666666666668)</f>
        <v>31737.66667</v>
      </c>
      <c r="B1745" s="2">
        <f>IFERROR(__xludf.DUMMYFUNCTION("""COMPUTED_VALUE"""),29.43)</f>
        <v>29.43</v>
      </c>
      <c r="C1745" s="2">
        <f>IFERROR(__xludf.DUMMYFUNCTION("""COMPUTED_VALUE"""),29.94)</f>
        <v>29.94</v>
      </c>
      <c r="D1745" s="2">
        <f>IFERROR(__xludf.DUMMYFUNCTION("""COMPUTED_VALUE"""),29.28)</f>
        <v>29.28</v>
      </c>
      <c r="E1745" s="2">
        <f>IFERROR(__xludf.DUMMYFUNCTION("""COMPUTED_VALUE"""),29.43)</f>
        <v>29.43</v>
      </c>
      <c r="F1745" s="2">
        <f>IFERROR(__xludf.DUMMYFUNCTION("""COMPUTED_VALUE"""),2093400.0)</f>
        <v>2093400</v>
      </c>
    </row>
    <row r="1746">
      <c r="A1746" s="3">
        <f>IFERROR(__xludf.DUMMYFUNCTION("""COMPUTED_VALUE"""),31740.666666666668)</f>
        <v>31740.66667</v>
      </c>
      <c r="B1746" s="2">
        <f>IFERROR(__xludf.DUMMYFUNCTION("""COMPUTED_VALUE"""),29.76)</f>
        <v>29.76</v>
      </c>
      <c r="C1746" s="2">
        <f>IFERROR(__xludf.DUMMYFUNCTION("""COMPUTED_VALUE"""),29.91)</f>
        <v>29.91</v>
      </c>
      <c r="D1746" s="2">
        <f>IFERROR(__xludf.DUMMYFUNCTION("""COMPUTED_VALUE"""),29.43)</f>
        <v>29.43</v>
      </c>
      <c r="E1746" s="2">
        <f>IFERROR(__xludf.DUMMYFUNCTION("""COMPUTED_VALUE"""),29.76)</f>
        <v>29.76</v>
      </c>
      <c r="F1746" s="2">
        <f>IFERROR(__xludf.DUMMYFUNCTION("""COMPUTED_VALUE"""),1595800.0)</f>
        <v>1595800</v>
      </c>
    </row>
    <row r="1747">
      <c r="A1747" s="3">
        <f>IFERROR(__xludf.DUMMYFUNCTION("""COMPUTED_VALUE"""),31741.666666666668)</f>
        <v>31741.66667</v>
      </c>
      <c r="B1747" s="2">
        <f>IFERROR(__xludf.DUMMYFUNCTION("""COMPUTED_VALUE"""),30.36)</f>
        <v>30.36</v>
      </c>
      <c r="C1747" s="2">
        <f>IFERROR(__xludf.DUMMYFUNCTION("""COMPUTED_VALUE"""),30.45)</f>
        <v>30.45</v>
      </c>
      <c r="D1747" s="2">
        <f>IFERROR(__xludf.DUMMYFUNCTION("""COMPUTED_VALUE"""),29.64)</f>
        <v>29.64</v>
      </c>
      <c r="E1747" s="2">
        <f>IFERROR(__xludf.DUMMYFUNCTION("""COMPUTED_VALUE"""),30.36)</f>
        <v>30.36</v>
      </c>
      <c r="F1747" s="2">
        <f>IFERROR(__xludf.DUMMYFUNCTION("""COMPUTED_VALUE"""),1898900.0)</f>
        <v>1898900</v>
      </c>
    </row>
    <row r="1748">
      <c r="A1748" s="3">
        <f>IFERROR(__xludf.DUMMYFUNCTION("""COMPUTED_VALUE"""),31742.666666666668)</f>
        <v>31742.66667</v>
      </c>
      <c r="B1748" s="2">
        <f>IFERROR(__xludf.DUMMYFUNCTION("""COMPUTED_VALUE"""),30.09)</f>
        <v>30.09</v>
      </c>
      <c r="C1748" s="2">
        <f>IFERROR(__xludf.DUMMYFUNCTION("""COMPUTED_VALUE"""),30.54)</f>
        <v>30.54</v>
      </c>
      <c r="D1748" s="2">
        <f>IFERROR(__xludf.DUMMYFUNCTION("""COMPUTED_VALUE"""),30.09)</f>
        <v>30.09</v>
      </c>
      <c r="E1748" s="2">
        <f>IFERROR(__xludf.DUMMYFUNCTION("""COMPUTED_VALUE"""),30.09)</f>
        <v>30.09</v>
      </c>
      <c r="F1748" s="2">
        <f>IFERROR(__xludf.DUMMYFUNCTION("""COMPUTED_VALUE"""),1008400.0)</f>
        <v>1008400</v>
      </c>
    </row>
    <row r="1749">
      <c r="A1749" s="3">
        <f>IFERROR(__xludf.DUMMYFUNCTION("""COMPUTED_VALUE"""),31744.666666666668)</f>
        <v>31744.66667</v>
      </c>
      <c r="B1749" s="2">
        <f>IFERROR(__xludf.DUMMYFUNCTION("""COMPUTED_VALUE"""),30.36)</f>
        <v>30.36</v>
      </c>
      <c r="C1749" s="2">
        <f>IFERROR(__xludf.DUMMYFUNCTION("""COMPUTED_VALUE"""),30.39)</f>
        <v>30.39</v>
      </c>
      <c r="D1749" s="2">
        <f>IFERROR(__xludf.DUMMYFUNCTION("""COMPUTED_VALUE"""),30.21)</f>
        <v>30.21</v>
      </c>
      <c r="E1749" s="2">
        <f>IFERROR(__xludf.DUMMYFUNCTION("""COMPUTED_VALUE"""),30.36)</f>
        <v>30.36</v>
      </c>
      <c r="F1749" s="2">
        <f>IFERROR(__xludf.DUMMYFUNCTION("""COMPUTED_VALUE"""),727000.0)</f>
        <v>727000</v>
      </c>
    </row>
    <row r="1750">
      <c r="A1750" s="3">
        <f>IFERROR(__xludf.DUMMYFUNCTION("""COMPUTED_VALUE"""),31747.666666666668)</f>
        <v>31747.66667</v>
      </c>
      <c r="B1750" s="2">
        <f>IFERROR(__xludf.DUMMYFUNCTION("""COMPUTED_VALUE"""),30.42)</f>
        <v>30.42</v>
      </c>
      <c r="C1750" s="2">
        <f>IFERROR(__xludf.DUMMYFUNCTION("""COMPUTED_VALUE"""),30.42)</f>
        <v>30.42</v>
      </c>
      <c r="D1750" s="2">
        <f>IFERROR(__xludf.DUMMYFUNCTION("""COMPUTED_VALUE"""),29.91)</f>
        <v>29.91</v>
      </c>
      <c r="E1750" s="2">
        <f>IFERROR(__xludf.DUMMYFUNCTION("""COMPUTED_VALUE"""),30.42)</f>
        <v>30.42</v>
      </c>
      <c r="F1750" s="2">
        <f>IFERROR(__xludf.DUMMYFUNCTION("""COMPUTED_VALUE"""),1211700.0)</f>
        <v>1211700</v>
      </c>
    </row>
    <row r="1751">
      <c r="A1751" s="3">
        <f>IFERROR(__xludf.DUMMYFUNCTION("""COMPUTED_VALUE"""),31748.666666666668)</f>
        <v>31748.66667</v>
      </c>
      <c r="B1751" s="2">
        <f>IFERROR(__xludf.DUMMYFUNCTION("""COMPUTED_VALUE"""),31.01)</f>
        <v>31.01</v>
      </c>
      <c r="C1751" s="2">
        <f>IFERROR(__xludf.DUMMYFUNCTION("""COMPUTED_VALUE"""),31.01)</f>
        <v>31.01</v>
      </c>
      <c r="D1751" s="2">
        <f>IFERROR(__xludf.DUMMYFUNCTION("""COMPUTED_VALUE"""),30.45)</f>
        <v>30.45</v>
      </c>
      <c r="E1751" s="2">
        <f>IFERROR(__xludf.DUMMYFUNCTION("""COMPUTED_VALUE"""),31.01)</f>
        <v>31.01</v>
      </c>
      <c r="F1751" s="2">
        <f>IFERROR(__xludf.DUMMYFUNCTION("""COMPUTED_VALUE"""),2926400.0)</f>
        <v>2926400</v>
      </c>
    </row>
    <row r="1752">
      <c r="A1752" s="3">
        <f>IFERROR(__xludf.DUMMYFUNCTION("""COMPUTED_VALUE"""),31749.666666666668)</f>
        <v>31749.66667</v>
      </c>
      <c r="B1752" s="2">
        <f>IFERROR(__xludf.DUMMYFUNCTION("""COMPUTED_VALUE"""),30.71)</f>
        <v>30.71</v>
      </c>
      <c r="C1752" s="2">
        <f>IFERROR(__xludf.DUMMYFUNCTION("""COMPUTED_VALUE"""),31.07)</f>
        <v>31.07</v>
      </c>
      <c r="D1752" s="2">
        <f>IFERROR(__xludf.DUMMYFUNCTION("""COMPUTED_VALUE"""),30.71)</f>
        <v>30.71</v>
      </c>
      <c r="E1752" s="2">
        <f>IFERROR(__xludf.DUMMYFUNCTION("""COMPUTED_VALUE"""),30.71)</f>
        <v>30.71</v>
      </c>
      <c r="F1752" s="2">
        <f>IFERROR(__xludf.DUMMYFUNCTION("""COMPUTED_VALUE"""),1883700.0)</f>
        <v>1883700</v>
      </c>
    </row>
    <row r="1753">
      <c r="A1753" s="3">
        <f>IFERROR(__xludf.DUMMYFUNCTION("""COMPUTED_VALUE"""),31750.666666666668)</f>
        <v>31750.66667</v>
      </c>
      <c r="B1753" s="2">
        <f>IFERROR(__xludf.DUMMYFUNCTION("""COMPUTED_VALUE"""),30.51)</f>
        <v>30.51</v>
      </c>
      <c r="C1753" s="2">
        <f>IFERROR(__xludf.DUMMYFUNCTION("""COMPUTED_VALUE"""),30.86)</f>
        <v>30.86</v>
      </c>
      <c r="D1753" s="2">
        <f>IFERROR(__xludf.DUMMYFUNCTION("""COMPUTED_VALUE"""),30.48)</f>
        <v>30.48</v>
      </c>
      <c r="E1753" s="2">
        <f>IFERROR(__xludf.DUMMYFUNCTION("""COMPUTED_VALUE"""),30.51)</f>
        <v>30.51</v>
      </c>
      <c r="F1753" s="2">
        <f>IFERROR(__xludf.DUMMYFUNCTION("""COMPUTED_VALUE"""),1334400.0)</f>
        <v>1334400</v>
      </c>
    </row>
    <row r="1754">
      <c r="A1754" s="3">
        <f>IFERROR(__xludf.DUMMYFUNCTION("""COMPUTED_VALUE"""),31751.666666666668)</f>
        <v>31751.66667</v>
      </c>
      <c r="B1754" s="2">
        <f>IFERROR(__xludf.DUMMYFUNCTION("""COMPUTED_VALUE"""),30.24)</f>
        <v>30.24</v>
      </c>
      <c r="C1754" s="2">
        <f>IFERROR(__xludf.DUMMYFUNCTION("""COMPUTED_VALUE"""),30.68)</f>
        <v>30.68</v>
      </c>
      <c r="D1754" s="2">
        <f>IFERROR(__xludf.DUMMYFUNCTION("""COMPUTED_VALUE"""),30.15)</f>
        <v>30.15</v>
      </c>
      <c r="E1754" s="2">
        <f>IFERROR(__xludf.DUMMYFUNCTION("""COMPUTED_VALUE"""),30.24)</f>
        <v>30.24</v>
      </c>
      <c r="F1754" s="2">
        <f>IFERROR(__xludf.DUMMYFUNCTION("""COMPUTED_VALUE"""),1298000.0)</f>
        <v>1298000</v>
      </c>
    </row>
    <row r="1755">
      <c r="A1755" s="3">
        <f>IFERROR(__xludf.DUMMYFUNCTION("""COMPUTED_VALUE"""),31754.666666666668)</f>
        <v>31754.66667</v>
      </c>
      <c r="B1755" s="2">
        <f>IFERROR(__xludf.DUMMYFUNCTION("""COMPUTED_VALUE"""),30.51)</f>
        <v>30.51</v>
      </c>
      <c r="C1755" s="2">
        <f>IFERROR(__xludf.DUMMYFUNCTION("""COMPUTED_VALUE"""),30.74)</f>
        <v>30.74</v>
      </c>
      <c r="D1755" s="2">
        <f>IFERROR(__xludf.DUMMYFUNCTION("""COMPUTED_VALUE"""),30.03)</f>
        <v>30.03</v>
      </c>
      <c r="E1755" s="2">
        <f>IFERROR(__xludf.DUMMYFUNCTION("""COMPUTED_VALUE"""),30.51)</f>
        <v>30.51</v>
      </c>
      <c r="F1755" s="2">
        <f>IFERROR(__xludf.DUMMYFUNCTION("""COMPUTED_VALUE"""),1530800.0)</f>
        <v>1530800</v>
      </c>
    </row>
    <row r="1756">
      <c r="A1756" s="3">
        <f>IFERROR(__xludf.DUMMYFUNCTION("""COMPUTED_VALUE"""),31755.666666666668)</f>
        <v>31755.66667</v>
      </c>
      <c r="B1756" s="2">
        <f>IFERROR(__xludf.DUMMYFUNCTION("""COMPUTED_VALUE"""),30.3)</f>
        <v>30.3</v>
      </c>
      <c r="C1756" s="2">
        <f>IFERROR(__xludf.DUMMYFUNCTION("""COMPUTED_VALUE"""),30.6)</f>
        <v>30.6</v>
      </c>
      <c r="D1756" s="2">
        <f>IFERROR(__xludf.DUMMYFUNCTION("""COMPUTED_VALUE"""),30.21)</f>
        <v>30.21</v>
      </c>
      <c r="E1756" s="2">
        <f>IFERROR(__xludf.DUMMYFUNCTION("""COMPUTED_VALUE"""),30.3)</f>
        <v>30.3</v>
      </c>
      <c r="F1756" s="2">
        <f>IFERROR(__xludf.DUMMYFUNCTION("""COMPUTED_VALUE"""),1003700.0)</f>
        <v>1003700</v>
      </c>
    </row>
    <row r="1757">
      <c r="A1757" s="3">
        <f>IFERROR(__xludf.DUMMYFUNCTION("""COMPUTED_VALUE"""),31756.666666666668)</f>
        <v>31756.66667</v>
      </c>
      <c r="B1757" s="2">
        <f>IFERROR(__xludf.DUMMYFUNCTION("""COMPUTED_VALUE"""),30.57)</f>
        <v>30.57</v>
      </c>
      <c r="C1757" s="2">
        <f>IFERROR(__xludf.DUMMYFUNCTION("""COMPUTED_VALUE"""),30.8)</f>
        <v>30.8</v>
      </c>
      <c r="D1757" s="2">
        <f>IFERROR(__xludf.DUMMYFUNCTION("""COMPUTED_VALUE"""),30.27)</f>
        <v>30.27</v>
      </c>
      <c r="E1757" s="2">
        <f>IFERROR(__xludf.DUMMYFUNCTION("""COMPUTED_VALUE"""),30.57)</f>
        <v>30.57</v>
      </c>
      <c r="F1757" s="2">
        <f>IFERROR(__xludf.DUMMYFUNCTION("""COMPUTED_VALUE"""),1427300.0)</f>
        <v>1427300</v>
      </c>
    </row>
    <row r="1758">
      <c r="A1758" s="3">
        <f>IFERROR(__xludf.DUMMYFUNCTION("""COMPUTED_VALUE"""),31757.666666666668)</f>
        <v>31757.66667</v>
      </c>
      <c r="B1758" s="2">
        <f>IFERROR(__xludf.DUMMYFUNCTION("""COMPUTED_VALUE"""),30.57)</f>
        <v>30.57</v>
      </c>
      <c r="C1758" s="2">
        <f>IFERROR(__xludf.DUMMYFUNCTION("""COMPUTED_VALUE"""),30.89)</f>
        <v>30.89</v>
      </c>
      <c r="D1758" s="2">
        <f>IFERROR(__xludf.DUMMYFUNCTION("""COMPUTED_VALUE"""),30.51)</f>
        <v>30.51</v>
      </c>
      <c r="E1758" s="2">
        <f>IFERROR(__xludf.DUMMYFUNCTION("""COMPUTED_VALUE"""),30.57)</f>
        <v>30.57</v>
      </c>
      <c r="F1758" s="2">
        <f>IFERROR(__xludf.DUMMYFUNCTION("""COMPUTED_VALUE"""),2179500.0)</f>
        <v>2179500</v>
      </c>
    </row>
    <row r="1759">
      <c r="A1759" s="3">
        <f>IFERROR(__xludf.DUMMYFUNCTION("""COMPUTED_VALUE"""),31758.666666666668)</f>
        <v>31758.66667</v>
      </c>
      <c r="B1759" s="2">
        <f>IFERROR(__xludf.DUMMYFUNCTION("""COMPUTED_VALUE"""),30.21)</f>
        <v>30.21</v>
      </c>
      <c r="C1759" s="2">
        <f>IFERROR(__xludf.DUMMYFUNCTION("""COMPUTED_VALUE"""),30.62)</f>
        <v>30.62</v>
      </c>
      <c r="D1759" s="2">
        <f>IFERROR(__xludf.DUMMYFUNCTION("""COMPUTED_VALUE"""),30.18)</f>
        <v>30.18</v>
      </c>
      <c r="E1759" s="2">
        <f>IFERROR(__xludf.DUMMYFUNCTION("""COMPUTED_VALUE"""),30.21)</f>
        <v>30.21</v>
      </c>
      <c r="F1759" s="2">
        <f>IFERROR(__xludf.DUMMYFUNCTION("""COMPUTED_VALUE"""),1030600.0)</f>
        <v>1030600</v>
      </c>
    </row>
    <row r="1760">
      <c r="A1760" s="3">
        <f>IFERROR(__xludf.DUMMYFUNCTION("""COMPUTED_VALUE"""),31761.666666666668)</f>
        <v>31761.66667</v>
      </c>
      <c r="B1760" s="2">
        <f>IFERROR(__xludf.DUMMYFUNCTION("""COMPUTED_VALUE"""),30.48)</f>
        <v>30.48</v>
      </c>
      <c r="C1760" s="2">
        <f>IFERROR(__xludf.DUMMYFUNCTION("""COMPUTED_VALUE"""),30.48)</f>
        <v>30.48</v>
      </c>
      <c r="D1760" s="2">
        <f>IFERROR(__xludf.DUMMYFUNCTION("""COMPUTED_VALUE"""),29.94)</f>
        <v>29.94</v>
      </c>
      <c r="E1760" s="2">
        <f>IFERROR(__xludf.DUMMYFUNCTION("""COMPUTED_VALUE"""),30.48)</f>
        <v>30.48</v>
      </c>
      <c r="F1760" s="2">
        <f>IFERROR(__xludf.DUMMYFUNCTION("""COMPUTED_VALUE"""),1401900.0)</f>
        <v>1401900</v>
      </c>
    </row>
    <row r="1761">
      <c r="A1761" s="3">
        <f>IFERROR(__xludf.DUMMYFUNCTION("""COMPUTED_VALUE"""),31762.666666666668)</f>
        <v>31762.66667</v>
      </c>
      <c r="B1761" s="2">
        <f>IFERROR(__xludf.DUMMYFUNCTION("""COMPUTED_VALUE"""),30.6)</f>
        <v>30.6</v>
      </c>
      <c r="C1761" s="2">
        <f>IFERROR(__xludf.DUMMYFUNCTION("""COMPUTED_VALUE"""),30.68)</f>
        <v>30.68</v>
      </c>
      <c r="D1761" s="2">
        <f>IFERROR(__xludf.DUMMYFUNCTION("""COMPUTED_VALUE"""),30.33)</f>
        <v>30.33</v>
      </c>
      <c r="E1761" s="2">
        <f>IFERROR(__xludf.DUMMYFUNCTION("""COMPUTED_VALUE"""),30.6)</f>
        <v>30.6</v>
      </c>
      <c r="F1761" s="2">
        <f>IFERROR(__xludf.DUMMYFUNCTION("""COMPUTED_VALUE"""),1566000.0)</f>
        <v>1566000</v>
      </c>
    </row>
    <row r="1762">
      <c r="A1762" s="3">
        <f>IFERROR(__xludf.DUMMYFUNCTION("""COMPUTED_VALUE"""),31763.666666666668)</f>
        <v>31763.66667</v>
      </c>
      <c r="B1762" s="2">
        <f>IFERROR(__xludf.DUMMYFUNCTION("""COMPUTED_VALUE"""),30.27)</f>
        <v>30.27</v>
      </c>
      <c r="C1762" s="2">
        <f>IFERROR(__xludf.DUMMYFUNCTION("""COMPUTED_VALUE"""),30.6)</f>
        <v>30.6</v>
      </c>
      <c r="D1762" s="2">
        <f>IFERROR(__xludf.DUMMYFUNCTION("""COMPUTED_VALUE"""),30.18)</f>
        <v>30.18</v>
      </c>
      <c r="E1762" s="2">
        <f>IFERROR(__xludf.DUMMYFUNCTION("""COMPUTED_VALUE"""),30.27)</f>
        <v>30.27</v>
      </c>
      <c r="F1762" s="2">
        <f>IFERROR(__xludf.DUMMYFUNCTION("""COMPUTED_VALUE"""),1151900.0)</f>
        <v>1151900</v>
      </c>
    </row>
    <row r="1763">
      <c r="A1763" s="3">
        <f>IFERROR(__xludf.DUMMYFUNCTION("""COMPUTED_VALUE"""),31764.666666666668)</f>
        <v>31764.66667</v>
      </c>
      <c r="B1763" s="2">
        <f>IFERROR(__xludf.DUMMYFUNCTION("""COMPUTED_VALUE"""),29.94)</f>
        <v>29.94</v>
      </c>
      <c r="C1763" s="2">
        <f>IFERROR(__xludf.DUMMYFUNCTION("""COMPUTED_VALUE"""),30.33)</f>
        <v>30.33</v>
      </c>
      <c r="D1763" s="2">
        <f>IFERROR(__xludf.DUMMYFUNCTION("""COMPUTED_VALUE"""),29.88)</f>
        <v>29.88</v>
      </c>
      <c r="E1763" s="2">
        <f>IFERROR(__xludf.DUMMYFUNCTION("""COMPUTED_VALUE"""),29.94)</f>
        <v>29.94</v>
      </c>
      <c r="F1763" s="2">
        <f>IFERROR(__xludf.DUMMYFUNCTION("""COMPUTED_VALUE"""),1608600.0)</f>
        <v>1608600</v>
      </c>
    </row>
    <row r="1764">
      <c r="A1764" s="3">
        <f>IFERROR(__xludf.DUMMYFUNCTION("""COMPUTED_VALUE"""),31765.666666666668)</f>
        <v>31765.66667</v>
      </c>
      <c r="B1764" s="2">
        <f>IFERROR(__xludf.DUMMYFUNCTION("""COMPUTED_VALUE"""),29.88)</f>
        <v>29.88</v>
      </c>
      <c r="C1764" s="2">
        <f>IFERROR(__xludf.DUMMYFUNCTION("""COMPUTED_VALUE"""),30.06)</f>
        <v>30.06</v>
      </c>
      <c r="D1764" s="2">
        <f>IFERROR(__xludf.DUMMYFUNCTION("""COMPUTED_VALUE"""),29.67)</f>
        <v>29.67</v>
      </c>
      <c r="E1764" s="2">
        <f>IFERROR(__xludf.DUMMYFUNCTION("""COMPUTED_VALUE"""),29.88)</f>
        <v>29.88</v>
      </c>
      <c r="F1764" s="2">
        <f>IFERROR(__xludf.DUMMYFUNCTION("""COMPUTED_VALUE"""),2834300.0)</f>
        <v>2834300</v>
      </c>
    </row>
    <row r="1765">
      <c r="A1765" s="3">
        <f>IFERROR(__xludf.DUMMYFUNCTION("""COMPUTED_VALUE"""),31768.666666666668)</f>
        <v>31768.66667</v>
      </c>
      <c r="B1765" s="2">
        <f>IFERROR(__xludf.DUMMYFUNCTION("""COMPUTED_VALUE"""),29.4)</f>
        <v>29.4</v>
      </c>
      <c r="C1765" s="2">
        <f>IFERROR(__xludf.DUMMYFUNCTION("""COMPUTED_VALUE"""),29.85)</f>
        <v>29.85</v>
      </c>
      <c r="D1765" s="2">
        <f>IFERROR(__xludf.DUMMYFUNCTION("""COMPUTED_VALUE"""),28.92)</f>
        <v>28.92</v>
      </c>
      <c r="E1765" s="2">
        <f>IFERROR(__xludf.DUMMYFUNCTION("""COMPUTED_VALUE"""),29.4)</f>
        <v>29.4</v>
      </c>
      <c r="F1765" s="2">
        <f>IFERROR(__xludf.DUMMYFUNCTION("""COMPUTED_VALUE"""),1635500.0)</f>
        <v>1635500</v>
      </c>
    </row>
    <row r="1766">
      <c r="A1766" s="3">
        <f>IFERROR(__xludf.DUMMYFUNCTION("""COMPUTED_VALUE"""),31769.666666666668)</f>
        <v>31769.66667</v>
      </c>
      <c r="B1766" s="2">
        <f>IFERROR(__xludf.DUMMYFUNCTION("""COMPUTED_VALUE"""),28.77)</f>
        <v>28.77</v>
      </c>
      <c r="C1766" s="2">
        <f>IFERROR(__xludf.DUMMYFUNCTION("""COMPUTED_VALUE"""),29.25)</f>
        <v>29.25</v>
      </c>
      <c r="D1766" s="2">
        <f>IFERROR(__xludf.DUMMYFUNCTION("""COMPUTED_VALUE"""),28.74)</f>
        <v>28.74</v>
      </c>
      <c r="E1766" s="2">
        <f>IFERROR(__xludf.DUMMYFUNCTION("""COMPUTED_VALUE"""),28.77)</f>
        <v>28.77</v>
      </c>
      <c r="F1766" s="2">
        <f>IFERROR(__xludf.DUMMYFUNCTION("""COMPUTED_VALUE"""),2427100.0)</f>
        <v>2427100</v>
      </c>
    </row>
    <row r="1767">
      <c r="A1767" s="3">
        <f>IFERROR(__xludf.DUMMYFUNCTION("""COMPUTED_VALUE"""),31770.666666666668)</f>
        <v>31770.66667</v>
      </c>
      <c r="B1767" s="2">
        <f>IFERROR(__xludf.DUMMYFUNCTION("""COMPUTED_VALUE"""),29.13)</f>
        <v>29.13</v>
      </c>
      <c r="C1767" s="2">
        <f>IFERROR(__xludf.DUMMYFUNCTION("""COMPUTED_VALUE"""),29.25)</f>
        <v>29.25</v>
      </c>
      <c r="D1767" s="2">
        <f>IFERROR(__xludf.DUMMYFUNCTION("""COMPUTED_VALUE"""),28.77)</f>
        <v>28.77</v>
      </c>
      <c r="E1767" s="2">
        <f>IFERROR(__xludf.DUMMYFUNCTION("""COMPUTED_VALUE"""),29.13)</f>
        <v>29.13</v>
      </c>
      <c r="F1767" s="2">
        <f>IFERROR(__xludf.DUMMYFUNCTION("""COMPUTED_VALUE"""),1032900.0)</f>
        <v>1032900</v>
      </c>
    </row>
    <row r="1768">
      <c r="A1768" s="3">
        <f>IFERROR(__xludf.DUMMYFUNCTION("""COMPUTED_VALUE"""),31772.666666666668)</f>
        <v>31772.66667</v>
      </c>
      <c r="B1768" s="2">
        <f>IFERROR(__xludf.DUMMYFUNCTION("""COMPUTED_VALUE"""),29.13)</f>
        <v>29.13</v>
      </c>
      <c r="C1768" s="2">
        <f>IFERROR(__xludf.DUMMYFUNCTION("""COMPUTED_VALUE"""),29.19)</f>
        <v>29.19</v>
      </c>
      <c r="D1768" s="2">
        <f>IFERROR(__xludf.DUMMYFUNCTION("""COMPUTED_VALUE"""),29.07)</f>
        <v>29.07</v>
      </c>
      <c r="E1768" s="2">
        <f>IFERROR(__xludf.DUMMYFUNCTION("""COMPUTED_VALUE"""),29.13)</f>
        <v>29.13</v>
      </c>
      <c r="F1768" s="2">
        <f>IFERROR(__xludf.DUMMYFUNCTION("""COMPUTED_VALUE"""),382300.0)</f>
        <v>382300</v>
      </c>
    </row>
    <row r="1769">
      <c r="A1769" s="3">
        <f>IFERROR(__xludf.DUMMYFUNCTION("""COMPUTED_VALUE"""),31775.666666666668)</f>
        <v>31775.66667</v>
      </c>
      <c r="B1769" s="2">
        <f>IFERROR(__xludf.DUMMYFUNCTION("""COMPUTED_VALUE"""),28.8)</f>
        <v>28.8</v>
      </c>
      <c r="C1769" s="2">
        <f>IFERROR(__xludf.DUMMYFUNCTION("""COMPUTED_VALUE"""),29.13)</f>
        <v>29.13</v>
      </c>
      <c r="D1769" s="2">
        <f>IFERROR(__xludf.DUMMYFUNCTION("""COMPUTED_VALUE"""),28.71)</f>
        <v>28.71</v>
      </c>
      <c r="E1769" s="2">
        <f>IFERROR(__xludf.DUMMYFUNCTION("""COMPUTED_VALUE"""),28.8)</f>
        <v>28.8</v>
      </c>
      <c r="F1769" s="2">
        <f>IFERROR(__xludf.DUMMYFUNCTION("""COMPUTED_VALUE"""),1012300.0)</f>
        <v>1012300</v>
      </c>
    </row>
    <row r="1770">
      <c r="A1770" s="3">
        <f>IFERROR(__xludf.DUMMYFUNCTION("""COMPUTED_VALUE"""),31776.666666666668)</f>
        <v>31776.66667</v>
      </c>
      <c r="B1770" s="2">
        <f>IFERROR(__xludf.DUMMYFUNCTION("""COMPUTED_VALUE"""),28.86)</f>
        <v>28.86</v>
      </c>
      <c r="C1770" s="2">
        <f>IFERROR(__xludf.DUMMYFUNCTION("""COMPUTED_VALUE"""),29.04)</f>
        <v>29.04</v>
      </c>
      <c r="D1770" s="2">
        <f>IFERROR(__xludf.DUMMYFUNCTION("""COMPUTED_VALUE"""),28.71)</f>
        <v>28.71</v>
      </c>
      <c r="E1770" s="2">
        <f>IFERROR(__xludf.DUMMYFUNCTION("""COMPUTED_VALUE"""),28.86)</f>
        <v>28.86</v>
      </c>
      <c r="F1770" s="2">
        <f>IFERROR(__xludf.DUMMYFUNCTION("""COMPUTED_VALUE"""),1216900.0)</f>
        <v>1216900</v>
      </c>
    </row>
    <row r="1771">
      <c r="A1771" s="3">
        <f>IFERROR(__xludf.DUMMYFUNCTION("""COMPUTED_VALUE"""),31777.666666666668)</f>
        <v>31777.66667</v>
      </c>
      <c r="B1771" s="2">
        <f>IFERROR(__xludf.DUMMYFUNCTION("""COMPUTED_VALUE"""),28.65)</f>
        <v>28.65</v>
      </c>
      <c r="C1771" s="2">
        <f>IFERROR(__xludf.DUMMYFUNCTION("""COMPUTED_VALUE"""),29.1)</f>
        <v>29.1</v>
      </c>
      <c r="D1771" s="2">
        <f>IFERROR(__xludf.DUMMYFUNCTION("""COMPUTED_VALUE"""),28.65)</f>
        <v>28.65</v>
      </c>
      <c r="E1771" s="2">
        <f>IFERROR(__xludf.DUMMYFUNCTION("""COMPUTED_VALUE"""),28.65)</f>
        <v>28.65</v>
      </c>
      <c r="F1771" s="2">
        <f>IFERROR(__xludf.DUMMYFUNCTION("""COMPUTED_VALUE"""),1509200.0)</f>
        <v>1509200</v>
      </c>
    </row>
    <row r="1772">
      <c r="A1772" s="3">
        <f>IFERROR(__xludf.DUMMYFUNCTION("""COMPUTED_VALUE"""),31779.666666666668)</f>
        <v>31779.66667</v>
      </c>
      <c r="B1772" s="2">
        <f>IFERROR(__xludf.DUMMYFUNCTION("""COMPUTED_VALUE"""),29.13)</f>
        <v>29.13</v>
      </c>
      <c r="C1772" s="2">
        <f>IFERROR(__xludf.DUMMYFUNCTION("""COMPUTED_VALUE"""),29.25)</f>
        <v>29.25</v>
      </c>
      <c r="D1772" s="2">
        <f>IFERROR(__xludf.DUMMYFUNCTION("""COMPUTED_VALUE"""),28.86)</f>
        <v>28.86</v>
      </c>
      <c r="E1772" s="2">
        <f>IFERROR(__xludf.DUMMYFUNCTION("""COMPUTED_VALUE"""),29.13)</f>
        <v>29.13</v>
      </c>
      <c r="F1772" s="2">
        <f>IFERROR(__xludf.DUMMYFUNCTION("""COMPUTED_VALUE"""),685000.0)</f>
        <v>685000</v>
      </c>
    </row>
    <row r="1773">
      <c r="A1773" s="3">
        <f>IFERROR(__xludf.DUMMYFUNCTION("""COMPUTED_VALUE"""),31782.666666666668)</f>
        <v>31782.66667</v>
      </c>
      <c r="B1773" s="2">
        <f>IFERROR(__xludf.DUMMYFUNCTION("""COMPUTED_VALUE"""),29.52)</f>
        <v>29.52</v>
      </c>
      <c r="C1773" s="2">
        <f>IFERROR(__xludf.DUMMYFUNCTION("""COMPUTED_VALUE"""),29.61)</f>
        <v>29.61</v>
      </c>
      <c r="D1773" s="2">
        <f>IFERROR(__xludf.DUMMYFUNCTION("""COMPUTED_VALUE"""),29.28)</f>
        <v>29.28</v>
      </c>
      <c r="E1773" s="2">
        <f>IFERROR(__xludf.DUMMYFUNCTION("""COMPUTED_VALUE"""),29.52)</f>
        <v>29.52</v>
      </c>
      <c r="F1773" s="2">
        <f>IFERROR(__xludf.DUMMYFUNCTION("""COMPUTED_VALUE"""),1764500.0)</f>
        <v>1764500</v>
      </c>
    </row>
    <row r="1774">
      <c r="A1774" s="3">
        <f>IFERROR(__xludf.DUMMYFUNCTION("""COMPUTED_VALUE"""),31783.666666666668)</f>
        <v>31783.66667</v>
      </c>
      <c r="B1774" s="2">
        <f>IFERROR(__xludf.DUMMYFUNCTION("""COMPUTED_VALUE"""),29.37)</f>
        <v>29.37</v>
      </c>
      <c r="C1774" s="2">
        <f>IFERROR(__xludf.DUMMYFUNCTION("""COMPUTED_VALUE"""),29.7)</f>
        <v>29.7</v>
      </c>
      <c r="D1774" s="2">
        <f>IFERROR(__xludf.DUMMYFUNCTION("""COMPUTED_VALUE"""),29.28)</f>
        <v>29.28</v>
      </c>
      <c r="E1774" s="2">
        <f>IFERROR(__xludf.DUMMYFUNCTION("""COMPUTED_VALUE"""),29.37)</f>
        <v>29.37</v>
      </c>
      <c r="F1774" s="2">
        <f>IFERROR(__xludf.DUMMYFUNCTION("""COMPUTED_VALUE"""),1962800.0)</f>
        <v>1962800</v>
      </c>
    </row>
    <row r="1775">
      <c r="A1775" s="3">
        <f>IFERROR(__xludf.DUMMYFUNCTION("""COMPUTED_VALUE"""),31784.666666666668)</f>
        <v>31784.66667</v>
      </c>
      <c r="B1775" s="2">
        <f>IFERROR(__xludf.DUMMYFUNCTION("""COMPUTED_VALUE"""),29.49)</f>
        <v>29.49</v>
      </c>
      <c r="C1775" s="2">
        <f>IFERROR(__xludf.DUMMYFUNCTION("""COMPUTED_VALUE"""),29.61)</f>
        <v>29.61</v>
      </c>
      <c r="D1775" s="2">
        <f>IFERROR(__xludf.DUMMYFUNCTION("""COMPUTED_VALUE"""),29.16)</f>
        <v>29.16</v>
      </c>
      <c r="E1775" s="2">
        <f>IFERROR(__xludf.DUMMYFUNCTION("""COMPUTED_VALUE"""),29.49)</f>
        <v>29.49</v>
      </c>
      <c r="F1775" s="2">
        <f>IFERROR(__xludf.DUMMYFUNCTION("""COMPUTED_VALUE"""),1681900.0)</f>
        <v>1681900</v>
      </c>
    </row>
    <row r="1776">
      <c r="A1776" s="3">
        <f>IFERROR(__xludf.DUMMYFUNCTION("""COMPUTED_VALUE"""),31785.666666666668)</f>
        <v>31785.66667</v>
      </c>
      <c r="B1776" s="2">
        <f>IFERROR(__xludf.DUMMYFUNCTION("""COMPUTED_VALUE"""),29.34)</f>
        <v>29.34</v>
      </c>
      <c r="C1776" s="2">
        <f>IFERROR(__xludf.DUMMYFUNCTION("""COMPUTED_VALUE"""),29.46)</f>
        <v>29.46</v>
      </c>
      <c r="D1776" s="2">
        <f>IFERROR(__xludf.DUMMYFUNCTION("""COMPUTED_VALUE"""),28.98)</f>
        <v>28.98</v>
      </c>
      <c r="E1776" s="2">
        <f>IFERROR(__xludf.DUMMYFUNCTION("""COMPUTED_VALUE"""),29.34)</f>
        <v>29.34</v>
      </c>
      <c r="F1776" s="2">
        <f>IFERROR(__xludf.DUMMYFUNCTION("""COMPUTED_VALUE"""),2244500.0)</f>
        <v>2244500</v>
      </c>
    </row>
    <row r="1777">
      <c r="A1777" s="3">
        <f>IFERROR(__xludf.DUMMYFUNCTION("""COMPUTED_VALUE"""),31786.666666666668)</f>
        <v>31786.66667</v>
      </c>
      <c r="B1777" s="2">
        <f>IFERROR(__xludf.DUMMYFUNCTION("""COMPUTED_VALUE"""),29.19)</f>
        <v>29.19</v>
      </c>
      <c r="C1777" s="2">
        <f>IFERROR(__xludf.DUMMYFUNCTION("""COMPUTED_VALUE"""),29.28)</f>
        <v>29.28</v>
      </c>
      <c r="D1777" s="2">
        <f>IFERROR(__xludf.DUMMYFUNCTION("""COMPUTED_VALUE"""),29.01)</f>
        <v>29.01</v>
      </c>
      <c r="E1777" s="2">
        <f>IFERROR(__xludf.DUMMYFUNCTION("""COMPUTED_VALUE"""),29.19)</f>
        <v>29.19</v>
      </c>
      <c r="F1777" s="2">
        <f>IFERROR(__xludf.DUMMYFUNCTION("""COMPUTED_VALUE"""),1726400.0)</f>
        <v>1726400</v>
      </c>
    </row>
    <row r="1778">
      <c r="A1778" s="3">
        <f>IFERROR(__xludf.DUMMYFUNCTION("""COMPUTED_VALUE"""),31789.666666666668)</f>
        <v>31789.66667</v>
      </c>
      <c r="B1778" s="2">
        <f>IFERROR(__xludf.DUMMYFUNCTION("""COMPUTED_VALUE"""),28.74)</f>
        <v>28.74</v>
      </c>
      <c r="C1778" s="2">
        <f>IFERROR(__xludf.DUMMYFUNCTION("""COMPUTED_VALUE"""),28.92)</f>
        <v>28.92</v>
      </c>
      <c r="D1778" s="2">
        <f>IFERROR(__xludf.DUMMYFUNCTION("""COMPUTED_VALUE"""),28.65)</f>
        <v>28.65</v>
      </c>
      <c r="E1778" s="2">
        <f>IFERROR(__xludf.DUMMYFUNCTION("""COMPUTED_VALUE"""),28.74)</f>
        <v>28.74</v>
      </c>
      <c r="F1778" s="2">
        <f>IFERROR(__xludf.DUMMYFUNCTION("""COMPUTED_VALUE"""),2515700.0)</f>
        <v>2515700</v>
      </c>
    </row>
    <row r="1779">
      <c r="A1779" s="3">
        <f>IFERROR(__xludf.DUMMYFUNCTION("""COMPUTED_VALUE"""),31790.666666666668)</f>
        <v>31790.66667</v>
      </c>
      <c r="B1779" s="2">
        <f>IFERROR(__xludf.DUMMYFUNCTION("""COMPUTED_VALUE"""),27.82)</f>
        <v>27.82</v>
      </c>
      <c r="C1779" s="2">
        <f>IFERROR(__xludf.DUMMYFUNCTION("""COMPUTED_VALUE"""),28.36)</f>
        <v>28.36</v>
      </c>
      <c r="D1779" s="2">
        <f>IFERROR(__xludf.DUMMYFUNCTION("""COMPUTED_VALUE"""),27.7)</f>
        <v>27.7</v>
      </c>
      <c r="E1779" s="2">
        <f>IFERROR(__xludf.DUMMYFUNCTION("""COMPUTED_VALUE"""),27.82)</f>
        <v>27.82</v>
      </c>
      <c r="F1779" s="2">
        <f>IFERROR(__xludf.DUMMYFUNCTION("""COMPUTED_VALUE"""),3974300.0)</f>
        <v>3974300</v>
      </c>
    </row>
    <row r="1780">
      <c r="A1780" s="3">
        <f>IFERROR(__xludf.DUMMYFUNCTION("""COMPUTED_VALUE"""),31791.666666666668)</f>
        <v>31791.66667</v>
      </c>
      <c r="B1780" s="2">
        <f>IFERROR(__xludf.DUMMYFUNCTION("""COMPUTED_VALUE"""),28.33)</f>
        <v>28.33</v>
      </c>
      <c r="C1780" s="2">
        <f>IFERROR(__xludf.DUMMYFUNCTION("""COMPUTED_VALUE"""),28.36)</f>
        <v>28.36</v>
      </c>
      <c r="D1780" s="2">
        <f>IFERROR(__xludf.DUMMYFUNCTION("""COMPUTED_VALUE"""),27.64)</f>
        <v>27.64</v>
      </c>
      <c r="E1780" s="2">
        <f>IFERROR(__xludf.DUMMYFUNCTION("""COMPUTED_VALUE"""),28.33)</f>
        <v>28.33</v>
      </c>
      <c r="F1780" s="2">
        <f>IFERROR(__xludf.DUMMYFUNCTION("""COMPUTED_VALUE"""),3199000.0)</f>
        <v>3199000</v>
      </c>
    </row>
    <row r="1781">
      <c r="A1781" s="3">
        <f>IFERROR(__xludf.DUMMYFUNCTION("""COMPUTED_VALUE"""),31792.666666666668)</f>
        <v>31792.66667</v>
      </c>
      <c r="B1781" s="2">
        <f>IFERROR(__xludf.DUMMYFUNCTION("""COMPUTED_VALUE"""),28.65)</f>
        <v>28.65</v>
      </c>
      <c r="C1781" s="2">
        <f>IFERROR(__xludf.DUMMYFUNCTION("""COMPUTED_VALUE"""),28.98)</f>
        <v>28.98</v>
      </c>
      <c r="D1781" s="2">
        <f>IFERROR(__xludf.DUMMYFUNCTION("""COMPUTED_VALUE"""),28.36)</f>
        <v>28.36</v>
      </c>
      <c r="E1781" s="2">
        <f>IFERROR(__xludf.DUMMYFUNCTION("""COMPUTED_VALUE"""),28.65)</f>
        <v>28.65</v>
      </c>
      <c r="F1781" s="2">
        <f>IFERROR(__xludf.DUMMYFUNCTION("""COMPUTED_VALUE"""),2749000.0)</f>
        <v>2749000</v>
      </c>
    </row>
    <row r="1782">
      <c r="A1782" s="3">
        <f>IFERROR(__xludf.DUMMYFUNCTION("""COMPUTED_VALUE"""),31793.666666666668)</f>
        <v>31793.66667</v>
      </c>
      <c r="B1782" s="2">
        <f>IFERROR(__xludf.DUMMYFUNCTION("""COMPUTED_VALUE"""),28.65)</f>
        <v>28.65</v>
      </c>
      <c r="C1782" s="2">
        <f>IFERROR(__xludf.DUMMYFUNCTION("""COMPUTED_VALUE"""),28.92)</f>
        <v>28.92</v>
      </c>
      <c r="D1782" s="2">
        <f>IFERROR(__xludf.DUMMYFUNCTION("""COMPUTED_VALUE"""),28.54)</f>
        <v>28.54</v>
      </c>
      <c r="E1782" s="2">
        <f>IFERROR(__xludf.DUMMYFUNCTION("""COMPUTED_VALUE"""),28.65)</f>
        <v>28.65</v>
      </c>
      <c r="F1782" s="2">
        <f>IFERROR(__xludf.DUMMYFUNCTION("""COMPUTED_VALUE"""),2655100.0)</f>
        <v>2655100</v>
      </c>
    </row>
    <row r="1783">
      <c r="A1783" s="3">
        <f>IFERROR(__xludf.DUMMYFUNCTION("""COMPUTED_VALUE"""),31796.666666666668)</f>
        <v>31796.66667</v>
      </c>
      <c r="B1783" s="2">
        <f>IFERROR(__xludf.DUMMYFUNCTION("""COMPUTED_VALUE"""),29.91)</f>
        <v>29.91</v>
      </c>
      <c r="C1783" s="2">
        <f>IFERROR(__xludf.DUMMYFUNCTION("""COMPUTED_VALUE"""),29.91)</f>
        <v>29.91</v>
      </c>
      <c r="D1783" s="2">
        <f>IFERROR(__xludf.DUMMYFUNCTION("""COMPUTED_VALUE"""),28.42)</f>
        <v>28.42</v>
      </c>
      <c r="E1783" s="2">
        <f>IFERROR(__xludf.DUMMYFUNCTION("""COMPUTED_VALUE"""),29.91)</f>
        <v>29.91</v>
      </c>
      <c r="F1783" s="2">
        <f>IFERROR(__xludf.DUMMYFUNCTION("""COMPUTED_VALUE"""),2745600.0)</f>
        <v>2745600</v>
      </c>
    </row>
    <row r="1784">
      <c r="A1784" s="3">
        <f>IFERROR(__xludf.DUMMYFUNCTION("""COMPUTED_VALUE"""),31797.666666666668)</f>
        <v>31797.66667</v>
      </c>
      <c r="B1784" s="2">
        <f>IFERROR(__xludf.DUMMYFUNCTION("""COMPUTED_VALUE"""),29.31)</f>
        <v>29.31</v>
      </c>
      <c r="C1784" s="2">
        <f>IFERROR(__xludf.DUMMYFUNCTION("""COMPUTED_VALUE"""),30.39)</f>
        <v>30.39</v>
      </c>
      <c r="D1784" s="2">
        <f>IFERROR(__xludf.DUMMYFUNCTION("""COMPUTED_VALUE"""),29.13)</f>
        <v>29.13</v>
      </c>
      <c r="E1784" s="2">
        <f>IFERROR(__xludf.DUMMYFUNCTION("""COMPUTED_VALUE"""),29.31)</f>
        <v>29.31</v>
      </c>
      <c r="F1784" s="2">
        <f>IFERROR(__xludf.DUMMYFUNCTION("""COMPUTED_VALUE"""),3278400.0)</f>
        <v>3278400</v>
      </c>
    </row>
    <row r="1785">
      <c r="A1785" s="3">
        <f>IFERROR(__xludf.DUMMYFUNCTION("""COMPUTED_VALUE"""),31798.666666666668)</f>
        <v>31798.66667</v>
      </c>
      <c r="B1785" s="2">
        <f>IFERROR(__xludf.DUMMYFUNCTION("""COMPUTED_VALUE"""),29.31)</f>
        <v>29.31</v>
      </c>
      <c r="C1785" s="2">
        <f>IFERROR(__xludf.DUMMYFUNCTION("""COMPUTED_VALUE"""),29.82)</f>
        <v>29.82</v>
      </c>
      <c r="D1785" s="2">
        <f>IFERROR(__xludf.DUMMYFUNCTION("""COMPUTED_VALUE"""),29.07)</f>
        <v>29.07</v>
      </c>
      <c r="E1785" s="2">
        <f>IFERROR(__xludf.DUMMYFUNCTION("""COMPUTED_VALUE"""),29.31)</f>
        <v>29.31</v>
      </c>
      <c r="F1785" s="2">
        <f>IFERROR(__xludf.DUMMYFUNCTION("""COMPUTED_VALUE"""),2694000.0)</f>
        <v>2694000</v>
      </c>
    </row>
    <row r="1786">
      <c r="A1786" s="3">
        <f>IFERROR(__xludf.DUMMYFUNCTION("""COMPUTED_VALUE"""),31799.666666666668)</f>
        <v>31799.66667</v>
      </c>
      <c r="B1786" s="2">
        <f>IFERROR(__xludf.DUMMYFUNCTION("""COMPUTED_VALUE"""),30.42)</f>
        <v>30.42</v>
      </c>
      <c r="C1786" s="2">
        <f>IFERROR(__xludf.DUMMYFUNCTION("""COMPUTED_VALUE"""),30.57)</f>
        <v>30.57</v>
      </c>
      <c r="D1786" s="2">
        <f>IFERROR(__xludf.DUMMYFUNCTION("""COMPUTED_VALUE"""),29.28)</f>
        <v>29.28</v>
      </c>
      <c r="E1786" s="2">
        <f>IFERROR(__xludf.DUMMYFUNCTION("""COMPUTED_VALUE"""),30.42)</f>
        <v>30.42</v>
      </c>
      <c r="F1786" s="2">
        <f>IFERROR(__xludf.DUMMYFUNCTION("""COMPUTED_VALUE"""),2534100.0)</f>
        <v>2534100</v>
      </c>
    </row>
    <row r="1787">
      <c r="A1787" s="3">
        <f>IFERROR(__xludf.DUMMYFUNCTION("""COMPUTED_VALUE"""),31800.666666666668)</f>
        <v>31800.66667</v>
      </c>
      <c r="B1787" s="2">
        <f>IFERROR(__xludf.DUMMYFUNCTION("""COMPUTED_VALUE"""),30.15)</f>
        <v>30.15</v>
      </c>
      <c r="C1787" s="2">
        <f>IFERROR(__xludf.DUMMYFUNCTION("""COMPUTED_VALUE"""),31.01)</f>
        <v>31.01</v>
      </c>
      <c r="D1787" s="2">
        <f>IFERROR(__xludf.DUMMYFUNCTION("""COMPUTED_VALUE"""),29.61)</f>
        <v>29.61</v>
      </c>
      <c r="E1787" s="2">
        <f>IFERROR(__xludf.DUMMYFUNCTION("""COMPUTED_VALUE"""),30.15)</f>
        <v>30.15</v>
      </c>
      <c r="F1787" s="2">
        <f>IFERROR(__xludf.DUMMYFUNCTION("""COMPUTED_VALUE"""),3973400.0)</f>
        <v>3973400</v>
      </c>
    </row>
    <row r="1788">
      <c r="A1788" s="3">
        <f>IFERROR(__xludf.DUMMYFUNCTION("""COMPUTED_VALUE"""),31803.666666666668)</f>
        <v>31803.66667</v>
      </c>
      <c r="B1788" s="2">
        <f>IFERROR(__xludf.DUMMYFUNCTION("""COMPUTED_VALUE"""),30.39)</f>
        <v>30.39</v>
      </c>
      <c r="C1788" s="2">
        <f>IFERROR(__xludf.DUMMYFUNCTION("""COMPUTED_VALUE"""),30.54)</f>
        <v>30.54</v>
      </c>
      <c r="D1788" s="2">
        <f>IFERROR(__xludf.DUMMYFUNCTION("""COMPUTED_VALUE"""),29.79)</f>
        <v>29.79</v>
      </c>
      <c r="E1788" s="2">
        <f>IFERROR(__xludf.DUMMYFUNCTION("""COMPUTED_VALUE"""),30.39)</f>
        <v>30.39</v>
      </c>
      <c r="F1788" s="2">
        <f>IFERROR(__xludf.DUMMYFUNCTION("""COMPUTED_VALUE"""),1917700.0)</f>
        <v>1917700</v>
      </c>
    </row>
    <row r="1789">
      <c r="A1789" s="3">
        <f>IFERROR(__xludf.DUMMYFUNCTION("""COMPUTED_VALUE"""),31804.666666666668)</f>
        <v>31804.66667</v>
      </c>
      <c r="B1789" s="2">
        <f>IFERROR(__xludf.DUMMYFUNCTION("""COMPUTED_VALUE"""),30.89)</f>
        <v>30.89</v>
      </c>
      <c r="C1789" s="2">
        <f>IFERROR(__xludf.DUMMYFUNCTION("""COMPUTED_VALUE"""),30.98)</f>
        <v>30.98</v>
      </c>
      <c r="D1789" s="2">
        <f>IFERROR(__xludf.DUMMYFUNCTION("""COMPUTED_VALUE"""),30.54)</f>
        <v>30.54</v>
      </c>
      <c r="E1789" s="2">
        <f>IFERROR(__xludf.DUMMYFUNCTION("""COMPUTED_VALUE"""),30.89)</f>
        <v>30.89</v>
      </c>
      <c r="F1789" s="2">
        <f>IFERROR(__xludf.DUMMYFUNCTION("""COMPUTED_VALUE"""),2094500.0)</f>
        <v>2094500</v>
      </c>
    </row>
    <row r="1790">
      <c r="A1790" s="3">
        <f>IFERROR(__xludf.DUMMYFUNCTION("""COMPUTED_VALUE"""),31805.666666666668)</f>
        <v>31805.66667</v>
      </c>
      <c r="B1790" s="2">
        <f>IFERROR(__xludf.DUMMYFUNCTION("""COMPUTED_VALUE"""),31.04)</f>
        <v>31.04</v>
      </c>
      <c r="C1790" s="2">
        <f>IFERROR(__xludf.DUMMYFUNCTION("""COMPUTED_VALUE"""),31.1)</f>
        <v>31.1</v>
      </c>
      <c r="D1790" s="2">
        <f>IFERROR(__xludf.DUMMYFUNCTION("""COMPUTED_VALUE"""),30.68)</f>
        <v>30.68</v>
      </c>
      <c r="E1790" s="2">
        <f>IFERROR(__xludf.DUMMYFUNCTION("""COMPUTED_VALUE"""),31.04)</f>
        <v>31.04</v>
      </c>
      <c r="F1790" s="2">
        <f>IFERROR(__xludf.DUMMYFUNCTION("""COMPUTED_VALUE"""),2260300.0)</f>
        <v>2260300</v>
      </c>
    </row>
    <row r="1791">
      <c r="A1791" s="3">
        <f>IFERROR(__xludf.DUMMYFUNCTION("""COMPUTED_VALUE"""),31806.666666666668)</f>
        <v>31806.66667</v>
      </c>
      <c r="B1791" s="2">
        <f>IFERROR(__xludf.DUMMYFUNCTION("""COMPUTED_VALUE"""),30.71)</f>
        <v>30.71</v>
      </c>
      <c r="C1791" s="2">
        <f>IFERROR(__xludf.DUMMYFUNCTION("""COMPUTED_VALUE"""),31.25)</f>
        <v>31.25</v>
      </c>
      <c r="D1791" s="2">
        <f>IFERROR(__xludf.DUMMYFUNCTION("""COMPUTED_VALUE"""),30.45)</f>
        <v>30.45</v>
      </c>
      <c r="E1791" s="2">
        <f>IFERROR(__xludf.DUMMYFUNCTION("""COMPUTED_VALUE"""),30.71)</f>
        <v>30.71</v>
      </c>
      <c r="F1791" s="2">
        <f>IFERROR(__xludf.DUMMYFUNCTION("""COMPUTED_VALUE"""),2187800.0)</f>
        <v>2187800</v>
      </c>
    </row>
    <row r="1792">
      <c r="A1792" s="3">
        <f>IFERROR(__xludf.DUMMYFUNCTION("""COMPUTED_VALUE"""),31807.666666666668)</f>
        <v>31807.66667</v>
      </c>
      <c r="B1792" s="2">
        <f>IFERROR(__xludf.DUMMYFUNCTION("""COMPUTED_VALUE"""),30.74)</f>
        <v>30.74</v>
      </c>
      <c r="C1792" s="2">
        <f>IFERROR(__xludf.DUMMYFUNCTION("""COMPUTED_VALUE"""),30.83)</f>
        <v>30.83</v>
      </c>
      <c r="D1792" s="2">
        <f>IFERROR(__xludf.DUMMYFUNCTION("""COMPUTED_VALUE"""),30.45)</f>
        <v>30.45</v>
      </c>
      <c r="E1792" s="2">
        <f>IFERROR(__xludf.DUMMYFUNCTION("""COMPUTED_VALUE"""),30.74)</f>
        <v>30.74</v>
      </c>
      <c r="F1792" s="2">
        <f>IFERROR(__xludf.DUMMYFUNCTION("""COMPUTED_VALUE"""),1440900.0)</f>
        <v>1440900</v>
      </c>
    </row>
    <row r="1793">
      <c r="A1793" s="3">
        <f>IFERROR(__xludf.DUMMYFUNCTION("""COMPUTED_VALUE"""),31810.666666666668)</f>
        <v>31810.66667</v>
      </c>
      <c r="B1793" s="2">
        <f>IFERROR(__xludf.DUMMYFUNCTION("""COMPUTED_VALUE"""),31.58)</f>
        <v>31.58</v>
      </c>
      <c r="C1793" s="2">
        <f>IFERROR(__xludf.DUMMYFUNCTION("""COMPUTED_VALUE"""),31.64)</f>
        <v>31.64</v>
      </c>
      <c r="D1793" s="2">
        <f>IFERROR(__xludf.DUMMYFUNCTION("""COMPUTED_VALUE"""),30.57)</f>
        <v>30.57</v>
      </c>
      <c r="E1793" s="2">
        <f>IFERROR(__xludf.DUMMYFUNCTION("""COMPUTED_VALUE"""),31.58)</f>
        <v>31.58</v>
      </c>
      <c r="F1793" s="2">
        <f>IFERROR(__xludf.DUMMYFUNCTION("""COMPUTED_VALUE"""),2001500.0)</f>
        <v>2001500</v>
      </c>
    </row>
    <row r="1794">
      <c r="A1794" s="3">
        <f>IFERROR(__xludf.DUMMYFUNCTION("""COMPUTED_VALUE"""),31811.666666666668)</f>
        <v>31811.66667</v>
      </c>
      <c r="B1794" s="2">
        <f>IFERROR(__xludf.DUMMYFUNCTION("""COMPUTED_VALUE"""),31.76)</f>
        <v>31.76</v>
      </c>
      <c r="C1794" s="2">
        <f>IFERROR(__xludf.DUMMYFUNCTION("""COMPUTED_VALUE"""),32.09)</f>
        <v>32.09</v>
      </c>
      <c r="D1794" s="2">
        <f>IFERROR(__xludf.DUMMYFUNCTION("""COMPUTED_VALUE"""),31.67)</f>
        <v>31.67</v>
      </c>
      <c r="E1794" s="2">
        <f>IFERROR(__xludf.DUMMYFUNCTION("""COMPUTED_VALUE"""),31.76)</f>
        <v>31.76</v>
      </c>
      <c r="F1794" s="2">
        <f>IFERROR(__xludf.DUMMYFUNCTION("""COMPUTED_VALUE"""),2473500.0)</f>
        <v>2473500</v>
      </c>
    </row>
    <row r="1795">
      <c r="A1795" s="3">
        <f>IFERROR(__xludf.DUMMYFUNCTION("""COMPUTED_VALUE"""),31812.666666666668)</f>
        <v>31812.66667</v>
      </c>
      <c r="B1795" s="2">
        <f>IFERROR(__xludf.DUMMYFUNCTION("""COMPUTED_VALUE"""),32.27)</f>
        <v>32.27</v>
      </c>
      <c r="C1795" s="2">
        <f>IFERROR(__xludf.DUMMYFUNCTION("""COMPUTED_VALUE"""),32.27)</f>
        <v>32.27</v>
      </c>
      <c r="D1795" s="2">
        <f>IFERROR(__xludf.DUMMYFUNCTION("""COMPUTED_VALUE"""),31.4)</f>
        <v>31.4</v>
      </c>
      <c r="E1795" s="2">
        <f>IFERROR(__xludf.DUMMYFUNCTION("""COMPUTED_VALUE"""),32.27)</f>
        <v>32.27</v>
      </c>
      <c r="F1795" s="2">
        <f>IFERROR(__xludf.DUMMYFUNCTION("""COMPUTED_VALUE"""),2339600.0)</f>
        <v>2339600</v>
      </c>
    </row>
    <row r="1796">
      <c r="A1796" s="3">
        <f>IFERROR(__xludf.DUMMYFUNCTION("""COMPUTED_VALUE"""),31813.666666666668)</f>
        <v>31813.66667</v>
      </c>
      <c r="B1796" s="2">
        <f>IFERROR(__xludf.DUMMYFUNCTION("""COMPUTED_VALUE"""),32.68)</f>
        <v>32.68</v>
      </c>
      <c r="C1796" s="2">
        <f>IFERROR(__xludf.DUMMYFUNCTION("""COMPUTED_VALUE"""),32.83)</f>
        <v>32.83</v>
      </c>
      <c r="D1796" s="2">
        <f>IFERROR(__xludf.DUMMYFUNCTION("""COMPUTED_VALUE"""),32.06)</f>
        <v>32.06</v>
      </c>
      <c r="E1796" s="2">
        <f>IFERROR(__xludf.DUMMYFUNCTION("""COMPUTED_VALUE"""),32.68)</f>
        <v>32.68</v>
      </c>
      <c r="F1796" s="2">
        <f>IFERROR(__xludf.DUMMYFUNCTION("""COMPUTED_VALUE"""),3186200.0)</f>
        <v>3186200</v>
      </c>
    </row>
    <row r="1797">
      <c r="A1797" s="3">
        <f>IFERROR(__xludf.DUMMYFUNCTION("""COMPUTED_VALUE"""),31814.666666666668)</f>
        <v>31814.66667</v>
      </c>
      <c r="B1797" s="2">
        <f>IFERROR(__xludf.DUMMYFUNCTION("""COMPUTED_VALUE"""),32.42)</f>
        <v>32.42</v>
      </c>
      <c r="C1797" s="2">
        <f>IFERROR(__xludf.DUMMYFUNCTION("""COMPUTED_VALUE"""),32.74)</f>
        <v>32.74</v>
      </c>
      <c r="D1797" s="2">
        <f>IFERROR(__xludf.DUMMYFUNCTION("""COMPUTED_VALUE"""),32.36)</f>
        <v>32.36</v>
      </c>
      <c r="E1797" s="2">
        <f>IFERROR(__xludf.DUMMYFUNCTION("""COMPUTED_VALUE"""),32.42)</f>
        <v>32.42</v>
      </c>
      <c r="F1797" s="2">
        <f>IFERROR(__xludf.DUMMYFUNCTION("""COMPUTED_VALUE"""),1623800.0)</f>
        <v>1623800</v>
      </c>
    </row>
    <row r="1798">
      <c r="A1798" s="3">
        <f>IFERROR(__xludf.DUMMYFUNCTION("""COMPUTED_VALUE"""),31817.666666666668)</f>
        <v>31817.66667</v>
      </c>
      <c r="B1798" s="2">
        <f>IFERROR(__xludf.DUMMYFUNCTION("""COMPUTED_VALUE"""),31.94)</f>
        <v>31.94</v>
      </c>
      <c r="C1798" s="2">
        <f>IFERROR(__xludf.DUMMYFUNCTION("""COMPUTED_VALUE"""),32.45)</f>
        <v>32.45</v>
      </c>
      <c r="D1798" s="2">
        <f>IFERROR(__xludf.DUMMYFUNCTION("""COMPUTED_VALUE"""),31.64)</f>
        <v>31.64</v>
      </c>
      <c r="E1798" s="2">
        <f>IFERROR(__xludf.DUMMYFUNCTION("""COMPUTED_VALUE"""),31.94)</f>
        <v>31.94</v>
      </c>
      <c r="F1798" s="2">
        <f>IFERROR(__xludf.DUMMYFUNCTION("""COMPUTED_VALUE"""),1684700.0)</f>
        <v>1684700</v>
      </c>
    </row>
    <row r="1799">
      <c r="A1799" s="3">
        <f>IFERROR(__xludf.DUMMYFUNCTION("""COMPUTED_VALUE"""),31818.666666666668)</f>
        <v>31818.66667</v>
      </c>
      <c r="B1799" s="2">
        <f>IFERROR(__xludf.DUMMYFUNCTION("""COMPUTED_VALUE"""),31.85)</f>
        <v>31.85</v>
      </c>
      <c r="C1799" s="2">
        <f>IFERROR(__xludf.DUMMYFUNCTION("""COMPUTED_VALUE"""),32.18)</f>
        <v>32.18</v>
      </c>
      <c r="D1799" s="2">
        <f>IFERROR(__xludf.DUMMYFUNCTION("""COMPUTED_VALUE"""),31.4)</f>
        <v>31.4</v>
      </c>
      <c r="E1799" s="2">
        <f>IFERROR(__xludf.DUMMYFUNCTION("""COMPUTED_VALUE"""),31.85)</f>
        <v>31.85</v>
      </c>
      <c r="F1799" s="2">
        <f>IFERROR(__xludf.DUMMYFUNCTION("""COMPUTED_VALUE"""),1859300.0)</f>
        <v>1859300</v>
      </c>
    </row>
    <row r="1800">
      <c r="A1800" s="3">
        <f>IFERROR(__xludf.DUMMYFUNCTION("""COMPUTED_VALUE"""),31819.666666666668)</f>
        <v>31819.66667</v>
      </c>
      <c r="B1800" s="2">
        <f>IFERROR(__xludf.DUMMYFUNCTION("""COMPUTED_VALUE"""),32.0)</f>
        <v>32</v>
      </c>
      <c r="C1800" s="2">
        <f>IFERROR(__xludf.DUMMYFUNCTION("""COMPUTED_VALUE"""),32.12)</f>
        <v>32.12</v>
      </c>
      <c r="D1800" s="2">
        <f>IFERROR(__xludf.DUMMYFUNCTION("""COMPUTED_VALUE"""),31.7)</f>
        <v>31.7</v>
      </c>
      <c r="E1800" s="2">
        <f>IFERROR(__xludf.DUMMYFUNCTION("""COMPUTED_VALUE"""),32.0)</f>
        <v>32</v>
      </c>
      <c r="F1800" s="2">
        <f>IFERROR(__xludf.DUMMYFUNCTION("""COMPUTED_VALUE"""),1312600.0)</f>
        <v>1312600</v>
      </c>
    </row>
    <row r="1801">
      <c r="A1801" s="3">
        <f>IFERROR(__xludf.DUMMYFUNCTION("""COMPUTED_VALUE"""),31820.666666666668)</f>
        <v>31820.66667</v>
      </c>
      <c r="B1801" s="2">
        <f>IFERROR(__xludf.DUMMYFUNCTION("""COMPUTED_VALUE"""),31.67)</f>
        <v>31.67</v>
      </c>
      <c r="C1801" s="2">
        <f>IFERROR(__xludf.DUMMYFUNCTION("""COMPUTED_VALUE"""),32.24)</f>
        <v>32.24</v>
      </c>
      <c r="D1801" s="2">
        <f>IFERROR(__xludf.DUMMYFUNCTION("""COMPUTED_VALUE"""),31.67)</f>
        <v>31.67</v>
      </c>
      <c r="E1801" s="2">
        <f>IFERROR(__xludf.DUMMYFUNCTION("""COMPUTED_VALUE"""),31.67)</f>
        <v>31.67</v>
      </c>
      <c r="F1801" s="2">
        <f>IFERROR(__xludf.DUMMYFUNCTION("""COMPUTED_VALUE"""),1735900.0)</f>
        <v>1735900</v>
      </c>
    </row>
    <row r="1802">
      <c r="A1802" s="3">
        <f>IFERROR(__xludf.DUMMYFUNCTION("""COMPUTED_VALUE"""),31821.666666666668)</f>
        <v>31821.66667</v>
      </c>
      <c r="B1802" s="2">
        <f>IFERROR(__xludf.DUMMYFUNCTION("""COMPUTED_VALUE"""),32.12)</f>
        <v>32.12</v>
      </c>
      <c r="C1802" s="2">
        <f>IFERROR(__xludf.DUMMYFUNCTION("""COMPUTED_VALUE"""),32.18)</f>
        <v>32.18</v>
      </c>
      <c r="D1802" s="2">
        <f>IFERROR(__xludf.DUMMYFUNCTION("""COMPUTED_VALUE"""),31.58)</f>
        <v>31.58</v>
      </c>
      <c r="E1802" s="2">
        <f>IFERROR(__xludf.DUMMYFUNCTION("""COMPUTED_VALUE"""),32.12)</f>
        <v>32.12</v>
      </c>
      <c r="F1802" s="2">
        <f>IFERROR(__xludf.DUMMYFUNCTION("""COMPUTED_VALUE"""),1408900.0)</f>
        <v>1408900</v>
      </c>
    </row>
    <row r="1803">
      <c r="A1803" s="3">
        <f>IFERROR(__xludf.DUMMYFUNCTION("""COMPUTED_VALUE"""),31825.666666666668)</f>
        <v>31825.66667</v>
      </c>
      <c r="B1803" s="2">
        <f>IFERROR(__xludf.DUMMYFUNCTION("""COMPUTED_VALUE"""),33.04)</f>
        <v>33.04</v>
      </c>
      <c r="C1803" s="2">
        <f>IFERROR(__xludf.DUMMYFUNCTION("""COMPUTED_VALUE"""),33.1)</f>
        <v>33.1</v>
      </c>
      <c r="D1803" s="2">
        <f>IFERROR(__xludf.DUMMYFUNCTION("""COMPUTED_VALUE"""),32.06)</f>
        <v>32.06</v>
      </c>
      <c r="E1803" s="2">
        <f>IFERROR(__xludf.DUMMYFUNCTION("""COMPUTED_VALUE"""),33.04)</f>
        <v>33.04</v>
      </c>
      <c r="F1803" s="2">
        <f>IFERROR(__xludf.DUMMYFUNCTION("""COMPUTED_VALUE"""),2309500.0)</f>
        <v>2309500</v>
      </c>
    </row>
    <row r="1804">
      <c r="A1804" s="3">
        <f>IFERROR(__xludf.DUMMYFUNCTION("""COMPUTED_VALUE"""),31826.666666666668)</f>
        <v>31826.66667</v>
      </c>
      <c r="B1804" s="2">
        <f>IFERROR(__xludf.DUMMYFUNCTION("""COMPUTED_VALUE"""),32.95)</f>
        <v>32.95</v>
      </c>
      <c r="C1804" s="2">
        <f>IFERROR(__xludf.DUMMYFUNCTION("""COMPUTED_VALUE"""),33.31)</f>
        <v>33.31</v>
      </c>
      <c r="D1804" s="2">
        <f>IFERROR(__xludf.DUMMYFUNCTION("""COMPUTED_VALUE"""),32.74)</f>
        <v>32.74</v>
      </c>
      <c r="E1804" s="2">
        <f>IFERROR(__xludf.DUMMYFUNCTION("""COMPUTED_VALUE"""),32.95)</f>
        <v>32.95</v>
      </c>
      <c r="F1804" s="2">
        <f>IFERROR(__xludf.DUMMYFUNCTION("""COMPUTED_VALUE"""),1914000.0)</f>
        <v>1914000</v>
      </c>
    </row>
    <row r="1805">
      <c r="A1805" s="3">
        <f>IFERROR(__xludf.DUMMYFUNCTION("""COMPUTED_VALUE"""),31827.666666666668)</f>
        <v>31827.66667</v>
      </c>
      <c r="B1805" s="2">
        <f>IFERROR(__xludf.DUMMYFUNCTION("""COMPUTED_VALUE"""),33.22)</f>
        <v>33.22</v>
      </c>
      <c r="C1805" s="2">
        <f>IFERROR(__xludf.DUMMYFUNCTION("""COMPUTED_VALUE"""),33.34)</f>
        <v>33.34</v>
      </c>
      <c r="D1805" s="2">
        <f>IFERROR(__xludf.DUMMYFUNCTION("""COMPUTED_VALUE"""),32.83)</f>
        <v>32.83</v>
      </c>
      <c r="E1805" s="2">
        <f>IFERROR(__xludf.DUMMYFUNCTION("""COMPUTED_VALUE"""),33.22)</f>
        <v>33.22</v>
      </c>
      <c r="F1805" s="2">
        <f>IFERROR(__xludf.DUMMYFUNCTION("""COMPUTED_VALUE"""),1442500.0)</f>
        <v>1442500</v>
      </c>
    </row>
    <row r="1806">
      <c r="A1806" s="3">
        <f>IFERROR(__xludf.DUMMYFUNCTION("""COMPUTED_VALUE"""),31828.666666666668)</f>
        <v>31828.66667</v>
      </c>
      <c r="B1806" s="2">
        <f>IFERROR(__xludf.DUMMYFUNCTION("""COMPUTED_VALUE"""),33.34)</f>
        <v>33.34</v>
      </c>
      <c r="C1806" s="2">
        <f>IFERROR(__xludf.DUMMYFUNCTION("""COMPUTED_VALUE"""),33.37)</f>
        <v>33.37</v>
      </c>
      <c r="D1806" s="2">
        <f>IFERROR(__xludf.DUMMYFUNCTION("""COMPUTED_VALUE"""),32.98)</f>
        <v>32.98</v>
      </c>
      <c r="E1806" s="2">
        <f>IFERROR(__xludf.DUMMYFUNCTION("""COMPUTED_VALUE"""),33.34)</f>
        <v>33.34</v>
      </c>
      <c r="F1806" s="2">
        <f>IFERROR(__xludf.DUMMYFUNCTION("""COMPUTED_VALUE"""),2039900.0)</f>
        <v>2039900</v>
      </c>
    </row>
    <row r="1807">
      <c r="A1807" s="3">
        <f>IFERROR(__xludf.DUMMYFUNCTION("""COMPUTED_VALUE"""),31831.666666666668)</f>
        <v>31831.66667</v>
      </c>
      <c r="B1807" s="2">
        <f>IFERROR(__xludf.DUMMYFUNCTION("""COMPUTED_VALUE"""),34.24)</f>
        <v>34.24</v>
      </c>
      <c r="C1807" s="2">
        <f>IFERROR(__xludf.DUMMYFUNCTION("""COMPUTED_VALUE"""),34.42)</f>
        <v>34.42</v>
      </c>
      <c r="D1807" s="2">
        <f>IFERROR(__xludf.DUMMYFUNCTION("""COMPUTED_VALUE"""),33.13)</f>
        <v>33.13</v>
      </c>
      <c r="E1807" s="2">
        <f>IFERROR(__xludf.DUMMYFUNCTION("""COMPUTED_VALUE"""),34.24)</f>
        <v>34.24</v>
      </c>
      <c r="F1807" s="2">
        <f>IFERROR(__xludf.DUMMYFUNCTION("""COMPUTED_VALUE"""),2897700.0)</f>
        <v>2897700</v>
      </c>
    </row>
    <row r="1808">
      <c r="A1808" s="3">
        <f>IFERROR(__xludf.DUMMYFUNCTION("""COMPUTED_VALUE"""),31832.666666666668)</f>
        <v>31832.66667</v>
      </c>
      <c r="B1808" s="2">
        <f>IFERROR(__xludf.DUMMYFUNCTION("""COMPUTED_VALUE"""),34.15)</f>
        <v>34.15</v>
      </c>
      <c r="C1808" s="2">
        <f>IFERROR(__xludf.DUMMYFUNCTION("""COMPUTED_VALUE"""),34.45)</f>
        <v>34.45</v>
      </c>
      <c r="D1808" s="2">
        <f>IFERROR(__xludf.DUMMYFUNCTION("""COMPUTED_VALUE"""),34.0)</f>
        <v>34</v>
      </c>
      <c r="E1808" s="2">
        <f>IFERROR(__xludf.DUMMYFUNCTION("""COMPUTED_VALUE"""),34.15)</f>
        <v>34.15</v>
      </c>
      <c r="F1808" s="2">
        <f>IFERROR(__xludf.DUMMYFUNCTION("""COMPUTED_VALUE"""),2016400.0)</f>
        <v>2016400</v>
      </c>
    </row>
    <row r="1809">
      <c r="A1809" s="3">
        <f>IFERROR(__xludf.DUMMYFUNCTION("""COMPUTED_VALUE"""),31833.666666666668)</f>
        <v>31833.66667</v>
      </c>
      <c r="B1809" s="2">
        <f>IFERROR(__xludf.DUMMYFUNCTION("""COMPUTED_VALUE"""),33.85)</f>
        <v>33.85</v>
      </c>
      <c r="C1809" s="2">
        <f>IFERROR(__xludf.DUMMYFUNCTION("""COMPUTED_VALUE"""),34.27)</f>
        <v>34.27</v>
      </c>
      <c r="D1809" s="2">
        <f>IFERROR(__xludf.DUMMYFUNCTION("""COMPUTED_VALUE"""),33.85)</f>
        <v>33.85</v>
      </c>
      <c r="E1809" s="2">
        <f>IFERROR(__xludf.DUMMYFUNCTION("""COMPUTED_VALUE"""),33.85)</f>
        <v>33.85</v>
      </c>
      <c r="F1809" s="2">
        <f>IFERROR(__xludf.DUMMYFUNCTION("""COMPUTED_VALUE"""),1257800.0)</f>
        <v>1257800</v>
      </c>
    </row>
    <row r="1810">
      <c r="A1810" s="3">
        <f>IFERROR(__xludf.DUMMYFUNCTION("""COMPUTED_VALUE"""),31834.666666666668)</f>
        <v>31834.66667</v>
      </c>
      <c r="B1810" s="2">
        <f>IFERROR(__xludf.DUMMYFUNCTION("""COMPUTED_VALUE"""),33.28)</f>
        <v>33.28</v>
      </c>
      <c r="C1810" s="2">
        <f>IFERROR(__xludf.DUMMYFUNCTION("""COMPUTED_VALUE"""),33.82)</f>
        <v>33.82</v>
      </c>
      <c r="D1810" s="2">
        <f>IFERROR(__xludf.DUMMYFUNCTION("""COMPUTED_VALUE"""),33.28)</f>
        <v>33.28</v>
      </c>
      <c r="E1810" s="2">
        <f>IFERROR(__xludf.DUMMYFUNCTION("""COMPUTED_VALUE"""),33.28)</f>
        <v>33.28</v>
      </c>
      <c r="F1810" s="2">
        <f>IFERROR(__xludf.DUMMYFUNCTION("""COMPUTED_VALUE"""),1834300.0)</f>
        <v>1834300</v>
      </c>
    </row>
    <row r="1811">
      <c r="A1811" s="3">
        <f>IFERROR(__xludf.DUMMYFUNCTION("""COMPUTED_VALUE"""),31835.666666666668)</f>
        <v>31835.66667</v>
      </c>
      <c r="B1811" s="2">
        <f>IFERROR(__xludf.DUMMYFUNCTION("""COMPUTED_VALUE"""),33.31)</f>
        <v>33.31</v>
      </c>
      <c r="C1811" s="2">
        <f>IFERROR(__xludf.DUMMYFUNCTION("""COMPUTED_VALUE"""),33.58)</f>
        <v>33.58</v>
      </c>
      <c r="D1811" s="2">
        <f>IFERROR(__xludf.DUMMYFUNCTION("""COMPUTED_VALUE"""),33.25)</f>
        <v>33.25</v>
      </c>
      <c r="E1811" s="2">
        <f>IFERROR(__xludf.DUMMYFUNCTION("""COMPUTED_VALUE"""),33.31)</f>
        <v>33.31</v>
      </c>
      <c r="F1811" s="2">
        <f>IFERROR(__xludf.DUMMYFUNCTION("""COMPUTED_VALUE"""),1038400.0)</f>
        <v>1038400</v>
      </c>
    </row>
    <row r="1812">
      <c r="A1812" s="3">
        <f>IFERROR(__xludf.DUMMYFUNCTION("""COMPUTED_VALUE"""),31838.666666666668)</f>
        <v>31838.66667</v>
      </c>
      <c r="B1812" s="2">
        <f>IFERROR(__xludf.DUMMYFUNCTION("""COMPUTED_VALUE"""),33.07)</f>
        <v>33.07</v>
      </c>
      <c r="C1812" s="2">
        <f>IFERROR(__xludf.DUMMYFUNCTION("""COMPUTED_VALUE"""),33.43)</f>
        <v>33.43</v>
      </c>
      <c r="D1812" s="2">
        <f>IFERROR(__xludf.DUMMYFUNCTION("""COMPUTED_VALUE"""),33.01)</f>
        <v>33.01</v>
      </c>
      <c r="E1812" s="2">
        <f>IFERROR(__xludf.DUMMYFUNCTION("""COMPUTED_VALUE"""),33.07)</f>
        <v>33.07</v>
      </c>
      <c r="F1812" s="2">
        <f>IFERROR(__xludf.DUMMYFUNCTION("""COMPUTED_VALUE"""),1044100.0)</f>
        <v>1044100</v>
      </c>
    </row>
    <row r="1813">
      <c r="A1813" s="3">
        <f>IFERROR(__xludf.DUMMYFUNCTION("""COMPUTED_VALUE"""),31839.666666666668)</f>
        <v>31839.66667</v>
      </c>
      <c r="B1813" s="2">
        <f>IFERROR(__xludf.DUMMYFUNCTION("""COMPUTED_VALUE"""),32.98)</f>
        <v>32.98</v>
      </c>
      <c r="C1813" s="2">
        <f>IFERROR(__xludf.DUMMYFUNCTION("""COMPUTED_VALUE"""),33.16)</f>
        <v>33.16</v>
      </c>
      <c r="D1813" s="2">
        <f>IFERROR(__xludf.DUMMYFUNCTION("""COMPUTED_VALUE"""),32.86)</f>
        <v>32.86</v>
      </c>
      <c r="E1813" s="2">
        <f>IFERROR(__xludf.DUMMYFUNCTION("""COMPUTED_VALUE"""),32.98)</f>
        <v>32.98</v>
      </c>
      <c r="F1813" s="2">
        <f>IFERROR(__xludf.DUMMYFUNCTION("""COMPUTED_VALUE"""),986100.0)</f>
        <v>986100</v>
      </c>
    </row>
    <row r="1814">
      <c r="A1814" s="3">
        <f>IFERROR(__xludf.DUMMYFUNCTION("""COMPUTED_VALUE"""),31840.666666666668)</f>
        <v>31840.66667</v>
      </c>
      <c r="B1814" s="2">
        <f>IFERROR(__xludf.DUMMYFUNCTION("""COMPUTED_VALUE"""),33.4)</f>
        <v>33.4</v>
      </c>
      <c r="C1814" s="2">
        <f>IFERROR(__xludf.DUMMYFUNCTION("""COMPUTED_VALUE"""),33.76)</f>
        <v>33.76</v>
      </c>
      <c r="D1814" s="2">
        <f>IFERROR(__xludf.DUMMYFUNCTION("""COMPUTED_VALUE"""),33.01)</f>
        <v>33.01</v>
      </c>
      <c r="E1814" s="2">
        <f>IFERROR(__xludf.DUMMYFUNCTION("""COMPUTED_VALUE"""),33.4)</f>
        <v>33.4</v>
      </c>
      <c r="F1814" s="2">
        <f>IFERROR(__xludf.DUMMYFUNCTION("""COMPUTED_VALUE"""),1807000.0)</f>
        <v>1807000</v>
      </c>
    </row>
    <row r="1815">
      <c r="A1815" s="3">
        <f>IFERROR(__xludf.DUMMYFUNCTION("""COMPUTED_VALUE"""),31841.666666666668)</f>
        <v>31841.66667</v>
      </c>
      <c r="B1815" s="2">
        <f>IFERROR(__xludf.DUMMYFUNCTION("""COMPUTED_VALUE"""),33.52)</f>
        <v>33.52</v>
      </c>
      <c r="C1815" s="2">
        <f>IFERROR(__xludf.DUMMYFUNCTION("""COMPUTED_VALUE"""),33.88)</f>
        <v>33.88</v>
      </c>
      <c r="D1815" s="2">
        <f>IFERROR(__xludf.DUMMYFUNCTION("""COMPUTED_VALUE"""),33.43)</f>
        <v>33.43</v>
      </c>
      <c r="E1815" s="2">
        <f>IFERROR(__xludf.DUMMYFUNCTION("""COMPUTED_VALUE"""),33.52)</f>
        <v>33.52</v>
      </c>
      <c r="F1815" s="2">
        <f>IFERROR(__xludf.DUMMYFUNCTION("""COMPUTED_VALUE"""),1322200.0)</f>
        <v>1322200</v>
      </c>
    </row>
    <row r="1816">
      <c r="A1816" s="3">
        <f>IFERROR(__xludf.DUMMYFUNCTION("""COMPUTED_VALUE"""),31842.666666666668)</f>
        <v>31842.66667</v>
      </c>
      <c r="B1816" s="2">
        <f>IFERROR(__xludf.DUMMYFUNCTION("""COMPUTED_VALUE"""),33.28)</f>
        <v>33.28</v>
      </c>
      <c r="C1816" s="2">
        <f>IFERROR(__xludf.DUMMYFUNCTION("""COMPUTED_VALUE"""),33.55)</f>
        <v>33.55</v>
      </c>
      <c r="D1816" s="2">
        <f>IFERROR(__xludf.DUMMYFUNCTION("""COMPUTED_VALUE"""),33.19)</f>
        <v>33.19</v>
      </c>
      <c r="E1816" s="2">
        <f>IFERROR(__xludf.DUMMYFUNCTION("""COMPUTED_VALUE"""),33.28)</f>
        <v>33.28</v>
      </c>
      <c r="F1816" s="2">
        <f>IFERROR(__xludf.DUMMYFUNCTION("""COMPUTED_VALUE"""),956400.0)</f>
        <v>956400</v>
      </c>
    </row>
    <row r="1817">
      <c r="A1817" s="3">
        <f>IFERROR(__xludf.DUMMYFUNCTION("""COMPUTED_VALUE"""),31845.666666666668)</f>
        <v>31845.66667</v>
      </c>
      <c r="B1817" s="2">
        <f>IFERROR(__xludf.DUMMYFUNCTION("""COMPUTED_VALUE"""),33.16)</f>
        <v>33.16</v>
      </c>
      <c r="C1817" s="2">
        <f>IFERROR(__xludf.DUMMYFUNCTION("""COMPUTED_VALUE"""),33.16)</f>
        <v>33.16</v>
      </c>
      <c r="D1817" s="2">
        <f>IFERROR(__xludf.DUMMYFUNCTION("""COMPUTED_VALUE"""),32.92)</f>
        <v>32.92</v>
      </c>
      <c r="E1817" s="2">
        <f>IFERROR(__xludf.DUMMYFUNCTION("""COMPUTED_VALUE"""),33.16)</f>
        <v>33.16</v>
      </c>
      <c r="F1817" s="2">
        <f>IFERROR(__xludf.DUMMYFUNCTION("""COMPUTED_VALUE"""),1321800.0)</f>
        <v>1321800</v>
      </c>
    </row>
    <row r="1818">
      <c r="A1818" s="3">
        <f>IFERROR(__xludf.DUMMYFUNCTION("""COMPUTED_VALUE"""),31846.666666666668)</f>
        <v>31846.66667</v>
      </c>
      <c r="B1818" s="2">
        <f>IFERROR(__xludf.DUMMYFUNCTION("""COMPUTED_VALUE"""),34.12)</f>
        <v>34.12</v>
      </c>
      <c r="C1818" s="2">
        <f>IFERROR(__xludf.DUMMYFUNCTION("""COMPUTED_VALUE"""),34.12)</f>
        <v>34.12</v>
      </c>
      <c r="D1818" s="2">
        <f>IFERROR(__xludf.DUMMYFUNCTION("""COMPUTED_VALUE"""),33.13)</f>
        <v>33.13</v>
      </c>
      <c r="E1818" s="2">
        <f>IFERROR(__xludf.DUMMYFUNCTION("""COMPUTED_VALUE"""),34.12)</f>
        <v>34.12</v>
      </c>
      <c r="F1818" s="2">
        <f>IFERROR(__xludf.DUMMYFUNCTION("""COMPUTED_VALUE"""),1852100.0)</f>
        <v>1852100</v>
      </c>
    </row>
    <row r="1819">
      <c r="A1819" s="3">
        <f>IFERROR(__xludf.DUMMYFUNCTION("""COMPUTED_VALUE"""),31847.666666666668)</f>
        <v>31847.66667</v>
      </c>
      <c r="B1819" s="2">
        <f>IFERROR(__xludf.DUMMYFUNCTION("""COMPUTED_VALUE"""),33.85)</f>
        <v>33.85</v>
      </c>
      <c r="C1819" s="2">
        <f>IFERROR(__xludf.DUMMYFUNCTION("""COMPUTED_VALUE"""),34.48)</f>
        <v>34.48</v>
      </c>
      <c r="D1819" s="2">
        <f>IFERROR(__xludf.DUMMYFUNCTION("""COMPUTED_VALUE"""),33.79)</f>
        <v>33.79</v>
      </c>
      <c r="E1819" s="2">
        <f>IFERROR(__xludf.DUMMYFUNCTION("""COMPUTED_VALUE"""),33.85)</f>
        <v>33.85</v>
      </c>
      <c r="F1819" s="2">
        <f>IFERROR(__xludf.DUMMYFUNCTION("""COMPUTED_VALUE"""),2332600.0)</f>
        <v>2332600</v>
      </c>
    </row>
    <row r="1820">
      <c r="A1820" s="3">
        <f>IFERROR(__xludf.DUMMYFUNCTION("""COMPUTED_VALUE"""),31848.666666666668)</f>
        <v>31848.66667</v>
      </c>
      <c r="B1820" s="2">
        <f>IFERROR(__xludf.DUMMYFUNCTION("""COMPUTED_VALUE"""),34.45)</f>
        <v>34.45</v>
      </c>
      <c r="C1820" s="2">
        <f>IFERROR(__xludf.DUMMYFUNCTION("""COMPUTED_VALUE"""),34.65)</f>
        <v>34.65</v>
      </c>
      <c r="D1820" s="2">
        <f>IFERROR(__xludf.DUMMYFUNCTION("""COMPUTED_VALUE"""),33.64)</f>
        <v>33.64</v>
      </c>
      <c r="E1820" s="2">
        <f>IFERROR(__xludf.DUMMYFUNCTION("""COMPUTED_VALUE"""),34.45)</f>
        <v>34.45</v>
      </c>
      <c r="F1820" s="2">
        <f>IFERROR(__xludf.DUMMYFUNCTION("""COMPUTED_VALUE"""),2192800.0)</f>
        <v>2192800</v>
      </c>
    </row>
    <row r="1821">
      <c r="A1821" s="3">
        <f>IFERROR(__xludf.DUMMYFUNCTION("""COMPUTED_VALUE"""),31849.666666666668)</f>
        <v>31849.66667</v>
      </c>
      <c r="B1821" s="2">
        <f>IFERROR(__xludf.DUMMYFUNCTION("""COMPUTED_VALUE"""),34.59)</f>
        <v>34.59</v>
      </c>
      <c r="C1821" s="2">
        <f>IFERROR(__xludf.DUMMYFUNCTION("""COMPUTED_VALUE"""),34.86)</f>
        <v>34.86</v>
      </c>
      <c r="D1821" s="2">
        <f>IFERROR(__xludf.DUMMYFUNCTION("""COMPUTED_VALUE"""),34.54)</f>
        <v>34.54</v>
      </c>
      <c r="E1821" s="2">
        <f>IFERROR(__xludf.DUMMYFUNCTION("""COMPUTED_VALUE"""),34.59)</f>
        <v>34.59</v>
      </c>
      <c r="F1821" s="2">
        <f>IFERROR(__xludf.DUMMYFUNCTION("""COMPUTED_VALUE"""),1881900.0)</f>
        <v>1881900</v>
      </c>
    </row>
    <row r="1822">
      <c r="A1822" s="3">
        <f>IFERROR(__xludf.DUMMYFUNCTION("""COMPUTED_VALUE"""),31852.666666666668)</f>
        <v>31852.66667</v>
      </c>
      <c r="B1822" s="2">
        <f>IFERROR(__xludf.DUMMYFUNCTION("""COMPUTED_VALUE"""),34.54)</f>
        <v>34.54</v>
      </c>
      <c r="C1822" s="2">
        <f>IFERROR(__xludf.DUMMYFUNCTION("""COMPUTED_VALUE"""),34.62)</f>
        <v>34.62</v>
      </c>
      <c r="D1822" s="2">
        <f>IFERROR(__xludf.DUMMYFUNCTION("""COMPUTED_VALUE"""),34.18)</f>
        <v>34.18</v>
      </c>
      <c r="E1822" s="2">
        <f>IFERROR(__xludf.DUMMYFUNCTION("""COMPUTED_VALUE"""),34.54)</f>
        <v>34.54</v>
      </c>
      <c r="F1822" s="2">
        <f>IFERROR(__xludf.DUMMYFUNCTION("""COMPUTED_VALUE"""),994600.0)</f>
        <v>994600</v>
      </c>
    </row>
    <row r="1823">
      <c r="A1823" s="3">
        <f>IFERROR(__xludf.DUMMYFUNCTION("""COMPUTED_VALUE"""),31853.666666666668)</f>
        <v>31853.66667</v>
      </c>
      <c r="B1823" s="2">
        <f>IFERROR(__xludf.DUMMYFUNCTION("""COMPUTED_VALUE"""),35.13)</f>
        <v>35.13</v>
      </c>
      <c r="C1823" s="2">
        <f>IFERROR(__xludf.DUMMYFUNCTION("""COMPUTED_VALUE"""),35.13)</f>
        <v>35.13</v>
      </c>
      <c r="D1823" s="2">
        <f>IFERROR(__xludf.DUMMYFUNCTION("""COMPUTED_VALUE"""),34.48)</f>
        <v>34.48</v>
      </c>
      <c r="E1823" s="2">
        <f>IFERROR(__xludf.DUMMYFUNCTION("""COMPUTED_VALUE"""),35.13)</f>
        <v>35.13</v>
      </c>
      <c r="F1823" s="2">
        <f>IFERROR(__xludf.DUMMYFUNCTION("""COMPUTED_VALUE"""),1948800.0)</f>
        <v>1948800</v>
      </c>
    </row>
    <row r="1824">
      <c r="A1824" s="3">
        <f>IFERROR(__xludf.DUMMYFUNCTION("""COMPUTED_VALUE"""),31854.666666666668)</f>
        <v>31854.66667</v>
      </c>
      <c r="B1824" s="2">
        <f>IFERROR(__xludf.DUMMYFUNCTION("""COMPUTED_VALUE"""),34.92)</f>
        <v>34.92</v>
      </c>
      <c r="C1824" s="2">
        <f>IFERROR(__xludf.DUMMYFUNCTION("""COMPUTED_VALUE"""),35.34)</f>
        <v>35.34</v>
      </c>
      <c r="D1824" s="2">
        <f>IFERROR(__xludf.DUMMYFUNCTION("""COMPUTED_VALUE"""),34.65)</f>
        <v>34.65</v>
      </c>
      <c r="E1824" s="2">
        <f>IFERROR(__xludf.DUMMYFUNCTION("""COMPUTED_VALUE"""),34.92)</f>
        <v>34.92</v>
      </c>
      <c r="F1824" s="2">
        <f>IFERROR(__xludf.DUMMYFUNCTION("""COMPUTED_VALUE"""),1897200.0)</f>
        <v>1897200</v>
      </c>
    </row>
    <row r="1825">
      <c r="A1825" s="3">
        <f>IFERROR(__xludf.DUMMYFUNCTION("""COMPUTED_VALUE"""),31855.666666666668)</f>
        <v>31855.66667</v>
      </c>
      <c r="B1825" s="2">
        <f>IFERROR(__xludf.DUMMYFUNCTION("""COMPUTED_VALUE"""),35.1)</f>
        <v>35.1</v>
      </c>
      <c r="C1825" s="2">
        <f>IFERROR(__xludf.DUMMYFUNCTION("""COMPUTED_VALUE"""),35.19)</f>
        <v>35.19</v>
      </c>
      <c r="D1825" s="2">
        <f>IFERROR(__xludf.DUMMYFUNCTION("""COMPUTED_VALUE"""),34.83)</f>
        <v>34.83</v>
      </c>
      <c r="E1825" s="2">
        <f>IFERROR(__xludf.DUMMYFUNCTION("""COMPUTED_VALUE"""),35.1)</f>
        <v>35.1</v>
      </c>
      <c r="F1825" s="2">
        <f>IFERROR(__xludf.DUMMYFUNCTION("""COMPUTED_VALUE"""),1092900.0)</f>
        <v>1092900</v>
      </c>
    </row>
    <row r="1826">
      <c r="A1826" s="3">
        <f>IFERROR(__xludf.DUMMYFUNCTION("""COMPUTED_VALUE"""),31856.666666666668)</f>
        <v>31856.66667</v>
      </c>
      <c r="B1826" s="2">
        <f>IFERROR(__xludf.DUMMYFUNCTION("""COMPUTED_VALUE"""),35.49)</f>
        <v>35.49</v>
      </c>
      <c r="C1826" s="2">
        <f>IFERROR(__xludf.DUMMYFUNCTION("""COMPUTED_VALUE"""),35.64)</f>
        <v>35.64</v>
      </c>
      <c r="D1826" s="2">
        <f>IFERROR(__xludf.DUMMYFUNCTION("""COMPUTED_VALUE"""),35.19)</f>
        <v>35.19</v>
      </c>
      <c r="E1826" s="2">
        <f>IFERROR(__xludf.DUMMYFUNCTION("""COMPUTED_VALUE"""),35.49)</f>
        <v>35.49</v>
      </c>
      <c r="F1826" s="2">
        <f>IFERROR(__xludf.DUMMYFUNCTION("""COMPUTED_VALUE"""),2175100.0)</f>
        <v>2175100</v>
      </c>
    </row>
    <row r="1827">
      <c r="A1827" s="3">
        <f>IFERROR(__xludf.DUMMYFUNCTION("""COMPUTED_VALUE"""),31859.666666666668)</f>
        <v>31859.66667</v>
      </c>
      <c r="B1827" s="2">
        <f>IFERROR(__xludf.DUMMYFUNCTION("""COMPUTED_VALUE"""),35.76)</f>
        <v>35.76</v>
      </c>
      <c r="C1827" s="2">
        <f>IFERROR(__xludf.DUMMYFUNCTION("""COMPUTED_VALUE"""),35.88)</f>
        <v>35.88</v>
      </c>
      <c r="D1827" s="2">
        <f>IFERROR(__xludf.DUMMYFUNCTION("""COMPUTED_VALUE"""),35.46)</f>
        <v>35.46</v>
      </c>
      <c r="E1827" s="2">
        <f>IFERROR(__xludf.DUMMYFUNCTION("""COMPUTED_VALUE"""),35.76)</f>
        <v>35.76</v>
      </c>
      <c r="F1827" s="2">
        <f>IFERROR(__xludf.DUMMYFUNCTION("""COMPUTED_VALUE"""),2185600.0)</f>
        <v>2185600</v>
      </c>
    </row>
    <row r="1828">
      <c r="A1828" s="3">
        <f>IFERROR(__xludf.DUMMYFUNCTION("""COMPUTED_VALUE"""),31860.666666666668)</f>
        <v>31860.66667</v>
      </c>
      <c r="B1828" s="2">
        <f>IFERROR(__xludf.DUMMYFUNCTION("""COMPUTED_VALUE"""),36.51)</f>
        <v>36.51</v>
      </c>
      <c r="C1828" s="2">
        <f>IFERROR(__xludf.DUMMYFUNCTION("""COMPUTED_VALUE"""),36.51)</f>
        <v>36.51</v>
      </c>
      <c r="D1828" s="2">
        <f>IFERROR(__xludf.DUMMYFUNCTION("""COMPUTED_VALUE"""),35.64)</f>
        <v>35.64</v>
      </c>
      <c r="E1828" s="2">
        <f>IFERROR(__xludf.DUMMYFUNCTION("""COMPUTED_VALUE"""),36.51)</f>
        <v>36.51</v>
      </c>
      <c r="F1828" s="2">
        <f>IFERROR(__xludf.DUMMYFUNCTION("""COMPUTED_VALUE"""),1683800.0)</f>
        <v>1683800</v>
      </c>
    </row>
    <row r="1829">
      <c r="A1829" s="3">
        <f>IFERROR(__xludf.DUMMYFUNCTION("""COMPUTED_VALUE"""),31861.666666666668)</f>
        <v>31861.66667</v>
      </c>
      <c r="B1829" s="2">
        <f>IFERROR(__xludf.DUMMYFUNCTION("""COMPUTED_VALUE"""),37.16)</f>
        <v>37.16</v>
      </c>
      <c r="C1829" s="2">
        <f>IFERROR(__xludf.DUMMYFUNCTION("""COMPUTED_VALUE"""),37.37)</f>
        <v>37.37</v>
      </c>
      <c r="D1829" s="2">
        <f>IFERROR(__xludf.DUMMYFUNCTION("""COMPUTED_VALUE"""),36.33)</f>
        <v>36.33</v>
      </c>
      <c r="E1829" s="2">
        <f>IFERROR(__xludf.DUMMYFUNCTION("""COMPUTED_VALUE"""),37.16)</f>
        <v>37.16</v>
      </c>
      <c r="F1829" s="2">
        <f>IFERROR(__xludf.DUMMYFUNCTION("""COMPUTED_VALUE"""),2084300.0)</f>
        <v>2084300</v>
      </c>
    </row>
    <row r="1830">
      <c r="A1830" s="3">
        <f>IFERROR(__xludf.DUMMYFUNCTION("""COMPUTED_VALUE"""),31862.666666666668)</f>
        <v>31862.66667</v>
      </c>
      <c r="B1830" s="2">
        <f>IFERROR(__xludf.DUMMYFUNCTION("""COMPUTED_VALUE"""),36.77)</f>
        <v>36.77</v>
      </c>
      <c r="C1830" s="2">
        <f>IFERROR(__xludf.DUMMYFUNCTION("""COMPUTED_VALUE"""),37.4)</f>
        <v>37.4</v>
      </c>
      <c r="D1830" s="2">
        <f>IFERROR(__xludf.DUMMYFUNCTION("""COMPUTED_VALUE"""),36.74)</f>
        <v>36.74</v>
      </c>
      <c r="E1830" s="2">
        <f>IFERROR(__xludf.DUMMYFUNCTION("""COMPUTED_VALUE"""),36.77)</f>
        <v>36.77</v>
      </c>
      <c r="F1830" s="2">
        <f>IFERROR(__xludf.DUMMYFUNCTION("""COMPUTED_VALUE"""),1986000.0)</f>
        <v>1986000</v>
      </c>
    </row>
    <row r="1831">
      <c r="A1831" s="3">
        <f>IFERROR(__xludf.DUMMYFUNCTION("""COMPUTED_VALUE"""),31863.666666666668)</f>
        <v>31863.66667</v>
      </c>
      <c r="B1831" s="2">
        <f>IFERROR(__xludf.DUMMYFUNCTION("""COMPUTED_VALUE"""),36.0)</f>
        <v>36</v>
      </c>
      <c r="C1831" s="2">
        <f>IFERROR(__xludf.DUMMYFUNCTION("""COMPUTED_VALUE"""),36.8)</f>
        <v>36.8</v>
      </c>
      <c r="D1831" s="2">
        <f>IFERROR(__xludf.DUMMYFUNCTION("""COMPUTED_VALUE"""),35.94)</f>
        <v>35.94</v>
      </c>
      <c r="E1831" s="2">
        <f>IFERROR(__xludf.DUMMYFUNCTION("""COMPUTED_VALUE"""),36.0)</f>
        <v>36</v>
      </c>
      <c r="F1831" s="2">
        <f>IFERROR(__xludf.DUMMYFUNCTION("""COMPUTED_VALUE"""),1767000.0)</f>
        <v>1767000</v>
      </c>
    </row>
    <row r="1832">
      <c r="A1832" s="3">
        <f>IFERROR(__xludf.DUMMYFUNCTION("""COMPUTED_VALUE"""),31866.666666666668)</f>
        <v>31866.66667</v>
      </c>
      <c r="B1832" s="2">
        <f>IFERROR(__xludf.DUMMYFUNCTION("""COMPUTED_VALUE"""),36.39)</f>
        <v>36.39</v>
      </c>
      <c r="C1832" s="2">
        <f>IFERROR(__xludf.DUMMYFUNCTION("""COMPUTED_VALUE"""),36.48)</f>
        <v>36.48</v>
      </c>
      <c r="D1832" s="2">
        <f>IFERROR(__xludf.DUMMYFUNCTION("""COMPUTED_VALUE"""),34.83)</f>
        <v>34.83</v>
      </c>
      <c r="E1832" s="2">
        <f>IFERROR(__xludf.DUMMYFUNCTION("""COMPUTED_VALUE"""),36.39)</f>
        <v>36.39</v>
      </c>
      <c r="F1832" s="2">
        <f>IFERROR(__xludf.DUMMYFUNCTION("""COMPUTED_VALUE"""),3220900.0)</f>
        <v>3220900</v>
      </c>
    </row>
    <row r="1833">
      <c r="A1833" s="3">
        <f>IFERROR(__xludf.DUMMYFUNCTION("""COMPUTED_VALUE"""),31867.666666666668)</f>
        <v>31867.66667</v>
      </c>
      <c r="B1833" s="2">
        <f>IFERROR(__xludf.DUMMYFUNCTION("""COMPUTED_VALUE"""),35.85)</f>
        <v>35.85</v>
      </c>
      <c r="C1833" s="2">
        <f>IFERROR(__xludf.DUMMYFUNCTION("""COMPUTED_VALUE"""),36.62)</f>
        <v>36.62</v>
      </c>
      <c r="D1833" s="2">
        <f>IFERROR(__xludf.DUMMYFUNCTION("""COMPUTED_VALUE"""),35.7)</f>
        <v>35.7</v>
      </c>
      <c r="E1833" s="2">
        <f>IFERROR(__xludf.DUMMYFUNCTION("""COMPUTED_VALUE"""),35.85)</f>
        <v>35.85</v>
      </c>
      <c r="F1833" s="2">
        <f>IFERROR(__xludf.DUMMYFUNCTION("""COMPUTED_VALUE"""),2634800.0)</f>
        <v>2634800</v>
      </c>
    </row>
    <row r="1834">
      <c r="A1834" s="3">
        <f>IFERROR(__xludf.DUMMYFUNCTION("""COMPUTED_VALUE"""),31868.666666666668)</f>
        <v>31868.66667</v>
      </c>
      <c r="B1834" s="2">
        <f>IFERROR(__xludf.DUMMYFUNCTION("""COMPUTED_VALUE"""),36.09)</f>
        <v>36.09</v>
      </c>
      <c r="C1834" s="2">
        <f>IFERROR(__xludf.DUMMYFUNCTION("""COMPUTED_VALUE"""),36.3)</f>
        <v>36.3</v>
      </c>
      <c r="D1834" s="2">
        <f>IFERROR(__xludf.DUMMYFUNCTION("""COMPUTED_VALUE"""),35.58)</f>
        <v>35.58</v>
      </c>
      <c r="E1834" s="2">
        <f>IFERROR(__xludf.DUMMYFUNCTION("""COMPUTED_VALUE"""),36.09)</f>
        <v>36.09</v>
      </c>
      <c r="F1834" s="2">
        <f>IFERROR(__xludf.DUMMYFUNCTION("""COMPUTED_VALUE"""),2650500.0)</f>
        <v>2650500</v>
      </c>
    </row>
    <row r="1835">
      <c r="A1835" s="3">
        <f>IFERROR(__xludf.DUMMYFUNCTION("""COMPUTED_VALUE"""),31869.666666666668)</f>
        <v>31869.66667</v>
      </c>
      <c r="B1835" s="2">
        <f>IFERROR(__xludf.DUMMYFUNCTION("""COMPUTED_VALUE"""),35.34)</f>
        <v>35.34</v>
      </c>
      <c r="C1835" s="2">
        <f>IFERROR(__xludf.DUMMYFUNCTION("""COMPUTED_VALUE"""),36.15)</f>
        <v>36.15</v>
      </c>
      <c r="D1835" s="2">
        <f>IFERROR(__xludf.DUMMYFUNCTION("""COMPUTED_VALUE"""),35.22)</f>
        <v>35.22</v>
      </c>
      <c r="E1835" s="2">
        <f>IFERROR(__xludf.DUMMYFUNCTION("""COMPUTED_VALUE"""),35.34)</f>
        <v>35.34</v>
      </c>
      <c r="F1835" s="2">
        <f>IFERROR(__xludf.DUMMYFUNCTION("""COMPUTED_VALUE"""),2398700.0)</f>
        <v>2398700</v>
      </c>
    </row>
    <row r="1836">
      <c r="A1836" s="3">
        <f>IFERROR(__xludf.DUMMYFUNCTION("""COMPUTED_VALUE"""),31870.666666666668)</f>
        <v>31870.66667</v>
      </c>
      <c r="B1836" s="2">
        <f>IFERROR(__xludf.DUMMYFUNCTION("""COMPUTED_VALUE"""),35.7)</f>
        <v>35.7</v>
      </c>
      <c r="C1836" s="2">
        <f>IFERROR(__xludf.DUMMYFUNCTION("""COMPUTED_VALUE"""),36.0)</f>
        <v>36</v>
      </c>
      <c r="D1836" s="2">
        <f>IFERROR(__xludf.DUMMYFUNCTION("""COMPUTED_VALUE"""),34.77)</f>
        <v>34.77</v>
      </c>
      <c r="E1836" s="2">
        <f>IFERROR(__xludf.DUMMYFUNCTION("""COMPUTED_VALUE"""),35.7)</f>
        <v>35.7</v>
      </c>
      <c r="F1836" s="2">
        <f>IFERROR(__xludf.DUMMYFUNCTION("""COMPUTED_VALUE"""),3281500.0)</f>
        <v>3281500</v>
      </c>
    </row>
    <row r="1837">
      <c r="A1837" s="3">
        <f>IFERROR(__xludf.DUMMYFUNCTION("""COMPUTED_VALUE"""),31873.666666666668)</f>
        <v>31873.66667</v>
      </c>
      <c r="B1837" s="2">
        <f>IFERROR(__xludf.DUMMYFUNCTION("""COMPUTED_VALUE"""),35.67)</f>
        <v>35.67</v>
      </c>
      <c r="C1837" s="2">
        <f>IFERROR(__xludf.DUMMYFUNCTION("""COMPUTED_VALUE"""),35.91)</f>
        <v>35.91</v>
      </c>
      <c r="D1837" s="2">
        <f>IFERROR(__xludf.DUMMYFUNCTION("""COMPUTED_VALUE"""),35.55)</f>
        <v>35.55</v>
      </c>
      <c r="E1837" s="2">
        <f>IFERROR(__xludf.DUMMYFUNCTION("""COMPUTED_VALUE"""),35.67)</f>
        <v>35.67</v>
      </c>
      <c r="F1837" s="2">
        <f>IFERROR(__xludf.DUMMYFUNCTION("""COMPUTED_VALUE"""),1763300.0)</f>
        <v>1763300</v>
      </c>
    </row>
    <row r="1838">
      <c r="A1838" s="3">
        <f>IFERROR(__xludf.DUMMYFUNCTION("""COMPUTED_VALUE"""),31874.666666666668)</f>
        <v>31874.66667</v>
      </c>
      <c r="B1838" s="2">
        <f>IFERROR(__xludf.DUMMYFUNCTION("""COMPUTED_VALUE"""),34.98)</f>
        <v>34.98</v>
      </c>
      <c r="C1838" s="2">
        <f>IFERROR(__xludf.DUMMYFUNCTION("""COMPUTED_VALUE"""),35.85)</f>
        <v>35.85</v>
      </c>
      <c r="D1838" s="2">
        <f>IFERROR(__xludf.DUMMYFUNCTION("""COMPUTED_VALUE"""),34.98)</f>
        <v>34.98</v>
      </c>
      <c r="E1838" s="2">
        <f>IFERROR(__xludf.DUMMYFUNCTION("""COMPUTED_VALUE"""),34.98)</f>
        <v>34.98</v>
      </c>
      <c r="F1838" s="2">
        <f>IFERROR(__xludf.DUMMYFUNCTION("""COMPUTED_VALUE"""),2090300.0)</f>
        <v>2090300</v>
      </c>
    </row>
    <row r="1839">
      <c r="A1839" s="3">
        <f>IFERROR(__xludf.DUMMYFUNCTION("""COMPUTED_VALUE"""),31875.666666666668)</f>
        <v>31875.66667</v>
      </c>
      <c r="B1839" s="2">
        <f>IFERROR(__xludf.DUMMYFUNCTION("""COMPUTED_VALUE"""),35.25)</f>
        <v>35.25</v>
      </c>
      <c r="C1839" s="2">
        <f>IFERROR(__xludf.DUMMYFUNCTION("""COMPUTED_VALUE"""),35.4)</f>
        <v>35.4</v>
      </c>
      <c r="D1839" s="2">
        <f>IFERROR(__xludf.DUMMYFUNCTION("""COMPUTED_VALUE"""),34.89)</f>
        <v>34.89</v>
      </c>
      <c r="E1839" s="2">
        <f>IFERROR(__xludf.DUMMYFUNCTION("""COMPUTED_VALUE"""),35.25)</f>
        <v>35.25</v>
      </c>
      <c r="F1839" s="2">
        <f>IFERROR(__xludf.DUMMYFUNCTION("""COMPUTED_VALUE"""),1694200.0)</f>
        <v>1694200</v>
      </c>
    </row>
    <row r="1840">
      <c r="A1840" s="3">
        <f>IFERROR(__xludf.DUMMYFUNCTION("""COMPUTED_VALUE"""),31876.666666666668)</f>
        <v>31876.66667</v>
      </c>
      <c r="B1840" s="2">
        <f>IFERROR(__xludf.DUMMYFUNCTION("""COMPUTED_VALUE"""),34.39)</f>
        <v>34.39</v>
      </c>
      <c r="C1840" s="2">
        <f>IFERROR(__xludf.DUMMYFUNCTION("""COMPUTED_VALUE"""),35.22)</f>
        <v>35.22</v>
      </c>
      <c r="D1840" s="2">
        <f>IFERROR(__xludf.DUMMYFUNCTION("""COMPUTED_VALUE"""),34.27)</f>
        <v>34.27</v>
      </c>
      <c r="E1840" s="2">
        <f>IFERROR(__xludf.DUMMYFUNCTION("""COMPUTED_VALUE"""),34.39)</f>
        <v>34.39</v>
      </c>
      <c r="F1840" s="2">
        <f>IFERROR(__xludf.DUMMYFUNCTION("""COMPUTED_VALUE"""),2201600.0)</f>
        <v>2201600</v>
      </c>
    </row>
    <row r="1841">
      <c r="A1841" s="3">
        <f>IFERROR(__xludf.DUMMYFUNCTION("""COMPUTED_VALUE"""),31877.666666666668)</f>
        <v>31877.66667</v>
      </c>
      <c r="B1841" s="2">
        <f>IFERROR(__xludf.DUMMYFUNCTION("""COMPUTED_VALUE"""),34.62)</f>
        <v>34.62</v>
      </c>
      <c r="C1841" s="2">
        <f>IFERROR(__xludf.DUMMYFUNCTION("""COMPUTED_VALUE"""),34.77)</f>
        <v>34.77</v>
      </c>
      <c r="D1841" s="2">
        <f>IFERROR(__xludf.DUMMYFUNCTION("""COMPUTED_VALUE"""),34.06)</f>
        <v>34.06</v>
      </c>
      <c r="E1841" s="2">
        <f>IFERROR(__xludf.DUMMYFUNCTION("""COMPUTED_VALUE"""),34.62)</f>
        <v>34.62</v>
      </c>
      <c r="F1841" s="2">
        <f>IFERROR(__xludf.DUMMYFUNCTION("""COMPUTED_VALUE"""),2319400.0)</f>
        <v>2319400</v>
      </c>
    </row>
    <row r="1842">
      <c r="A1842" s="3">
        <f>IFERROR(__xludf.DUMMYFUNCTION("""COMPUTED_VALUE"""),31880.666666666668)</f>
        <v>31880.66667</v>
      </c>
      <c r="B1842" s="2">
        <f>IFERROR(__xludf.DUMMYFUNCTION("""COMPUTED_VALUE"""),35.25)</f>
        <v>35.25</v>
      </c>
      <c r="C1842" s="2">
        <f>IFERROR(__xludf.DUMMYFUNCTION("""COMPUTED_VALUE"""),35.88)</f>
        <v>35.88</v>
      </c>
      <c r="D1842" s="2">
        <f>IFERROR(__xludf.DUMMYFUNCTION("""COMPUTED_VALUE"""),35.04)</f>
        <v>35.04</v>
      </c>
      <c r="E1842" s="2">
        <f>IFERROR(__xludf.DUMMYFUNCTION("""COMPUTED_VALUE"""),35.25)</f>
        <v>35.25</v>
      </c>
      <c r="F1842" s="2">
        <f>IFERROR(__xludf.DUMMYFUNCTION("""COMPUTED_VALUE"""),3301800.0)</f>
        <v>3301800</v>
      </c>
    </row>
    <row r="1843">
      <c r="A1843" s="3">
        <f>IFERROR(__xludf.DUMMYFUNCTION("""COMPUTED_VALUE"""),31881.666666666668)</f>
        <v>31881.66667</v>
      </c>
      <c r="B1843" s="2">
        <f>IFERROR(__xludf.DUMMYFUNCTION("""COMPUTED_VALUE"""),35.37)</f>
        <v>35.37</v>
      </c>
      <c r="C1843" s="2">
        <f>IFERROR(__xludf.DUMMYFUNCTION("""COMPUTED_VALUE"""),36.03)</f>
        <v>36.03</v>
      </c>
      <c r="D1843" s="2">
        <f>IFERROR(__xludf.DUMMYFUNCTION("""COMPUTED_VALUE"""),34.98)</f>
        <v>34.98</v>
      </c>
      <c r="E1843" s="2">
        <f>IFERROR(__xludf.DUMMYFUNCTION("""COMPUTED_VALUE"""),35.37)</f>
        <v>35.37</v>
      </c>
      <c r="F1843" s="2">
        <f>IFERROR(__xludf.DUMMYFUNCTION("""COMPUTED_VALUE"""),4176200.0)</f>
        <v>4176200</v>
      </c>
    </row>
    <row r="1844">
      <c r="A1844" s="3">
        <f>IFERROR(__xludf.DUMMYFUNCTION("""COMPUTED_VALUE"""),31882.666666666668)</f>
        <v>31882.66667</v>
      </c>
      <c r="B1844" s="2">
        <f>IFERROR(__xludf.DUMMYFUNCTION("""COMPUTED_VALUE"""),36.03)</f>
        <v>36.03</v>
      </c>
      <c r="C1844" s="2">
        <f>IFERROR(__xludf.DUMMYFUNCTION("""COMPUTED_VALUE"""),36.27)</f>
        <v>36.27</v>
      </c>
      <c r="D1844" s="2">
        <f>IFERROR(__xludf.DUMMYFUNCTION("""COMPUTED_VALUE"""),35.58)</f>
        <v>35.58</v>
      </c>
      <c r="E1844" s="2">
        <f>IFERROR(__xludf.DUMMYFUNCTION("""COMPUTED_VALUE"""),36.03)</f>
        <v>36.03</v>
      </c>
      <c r="F1844" s="2">
        <f>IFERROR(__xludf.DUMMYFUNCTION("""COMPUTED_VALUE"""),3046300.0)</f>
        <v>3046300</v>
      </c>
    </row>
    <row r="1845">
      <c r="A1845" s="3">
        <f>IFERROR(__xludf.DUMMYFUNCTION("""COMPUTED_VALUE"""),31883.666666666668)</f>
        <v>31883.66667</v>
      </c>
      <c r="B1845" s="2">
        <f>IFERROR(__xludf.DUMMYFUNCTION("""COMPUTED_VALUE"""),35.82)</f>
        <v>35.82</v>
      </c>
      <c r="C1845" s="2">
        <f>IFERROR(__xludf.DUMMYFUNCTION("""COMPUTED_VALUE"""),36.36)</f>
        <v>36.36</v>
      </c>
      <c r="D1845" s="2">
        <f>IFERROR(__xludf.DUMMYFUNCTION("""COMPUTED_VALUE"""),35.79)</f>
        <v>35.79</v>
      </c>
      <c r="E1845" s="2">
        <f>IFERROR(__xludf.DUMMYFUNCTION("""COMPUTED_VALUE"""),35.82)</f>
        <v>35.82</v>
      </c>
      <c r="F1845" s="2">
        <f>IFERROR(__xludf.DUMMYFUNCTION("""COMPUTED_VALUE"""),2973100.0)</f>
        <v>2973100</v>
      </c>
    </row>
    <row r="1846">
      <c r="A1846" s="3">
        <f>IFERROR(__xludf.DUMMYFUNCTION("""COMPUTED_VALUE"""),31887.666666666668)</f>
        <v>31887.66667</v>
      </c>
      <c r="B1846" s="2">
        <f>IFERROR(__xludf.DUMMYFUNCTION("""COMPUTED_VALUE"""),35.82)</f>
        <v>35.82</v>
      </c>
      <c r="C1846" s="2">
        <f>IFERROR(__xludf.DUMMYFUNCTION("""COMPUTED_VALUE"""),35.97)</f>
        <v>35.97</v>
      </c>
      <c r="D1846" s="2">
        <f>IFERROR(__xludf.DUMMYFUNCTION("""COMPUTED_VALUE"""),35.52)</f>
        <v>35.52</v>
      </c>
      <c r="E1846" s="2">
        <f>IFERROR(__xludf.DUMMYFUNCTION("""COMPUTED_VALUE"""),35.82)</f>
        <v>35.82</v>
      </c>
      <c r="F1846" s="2">
        <f>IFERROR(__xludf.DUMMYFUNCTION("""COMPUTED_VALUE"""),1813300.0)</f>
        <v>1813300</v>
      </c>
    </row>
    <row r="1847">
      <c r="A1847" s="3">
        <f>IFERROR(__xludf.DUMMYFUNCTION("""COMPUTED_VALUE"""),31888.666666666668)</f>
        <v>31888.66667</v>
      </c>
      <c r="B1847" s="2">
        <f>IFERROR(__xludf.DUMMYFUNCTION("""COMPUTED_VALUE"""),37.49)</f>
        <v>37.49</v>
      </c>
      <c r="C1847" s="2">
        <f>IFERROR(__xludf.DUMMYFUNCTION("""COMPUTED_VALUE"""),37.73)</f>
        <v>37.73</v>
      </c>
      <c r="D1847" s="2">
        <f>IFERROR(__xludf.DUMMYFUNCTION("""COMPUTED_VALUE"""),35.46)</f>
        <v>35.46</v>
      </c>
      <c r="E1847" s="2">
        <f>IFERROR(__xludf.DUMMYFUNCTION("""COMPUTED_VALUE"""),37.49)</f>
        <v>37.49</v>
      </c>
      <c r="F1847" s="2">
        <f>IFERROR(__xludf.DUMMYFUNCTION("""COMPUTED_VALUE"""),2692700.0)</f>
        <v>2692700</v>
      </c>
    </row>
    <row r="1848">
      <c r="A1848" s="3">
        <f>IFERROR(__xludf.DUMMYFUNCTION("""COMPUTED_VALUE"""),31889.666666666668)</f>
        <v>31889.66667</v>
      </c>
      <c r="B1848" s="2">
        <f>IFERROR(__xludf.DUMMYFUNCTION("""COMPUTED_VALUE"""),36.83)</f>
        <v>36.83</v>
      </c>
      <c r="C1848" s="2">
        <f>IFERROR(__xludf.DUMMYFUNCTION("""COMPUTED_VALUE"""),37.49)</f>
        <v>37.49</v>
      </c>
      <c r="D1848" s="2">
        <f>IFERROR(__xludf.DUMMYFUNCTION("""COMPUTED_VALUE"""),36.74)</f>
        <v>36.74</v>
      </c>
      <c r="E1848" s="2">
        <f>IFERROR(__xludf.DUMMYFUNCTION("""COMPUTED_VALUE"""),36.83)</f>
        <v>36.83</v>
      </c>
      <c r="F1848" s="2">
        <f>IFERROR(__xludf.DUMMYFUNCTION("""COMPUTED_VALUE"""),3012000.0)</f>
        <v>3012000</v>
      </c>
    </row>
    <row r="1849">
      <c r="A1849" s="3">
        <f>IFERROR(__xludf.DUMMYFUNCTION("""COMPUTED_VALUE"""),31890.666666666668)</f>
        <v>31890.66667</v>
      </c>
      <c r="B1849" s="2">
        <f>IFERROR(__xludf.DUMMYFUNCTION("""COMPUTED_VALUE"""),36.83)</f>
        <v>36.83</v>
      </c>
      <c r="C1849" s="2">
        <f>IFERROR(__xludf.DUMMYFUNCTION("""COMPUTED_VALUE"""),37.37)</f>
        <v>37.37</v>
      </c>
      <c r="D1849" s="2">
        <f>IFERROR(__xludf.DUMMYFUNCTION("""COMPUTED_VALUE"""),36.56)</f>
        <v>36.56</v>
      </c>
      <c r="E1849" s="2">
        <f>IFERROR(__xludf.DUMMYFUNCTION("""COMPUTED_VALUE"""),36.83)</f>
        <v>36.83</v>
      </c>
      <c r="F1849" s="2">
        <f>IFERROR(__xludf.DUMMYFUNCTION("""COMPUTED_VALUE"""),2384400.0)</f>
        <v>2384400</v>
      </c>
    </row>
    <row r="1850">
      <c r="A1850" s="3">
        <f>IFERROR(__xludf.DUMMYFUNCTION("""COMPUTED_VALUE"""),31891.666666666668)</f>
        <v>31891.66667</v>
      </c>
      <c r="B1850" s="2">
        <f>IFERROR(__xludf.DUMMYFUNCTION("""COMPUTED_VALUE"""),36.24)</f>
        <v>36.24</v>
      </c>
      <c r="C1850" s="2">
        <f>IFERROR(__xludf.DUMMYFUNCTION("""COMPUTED_VALUE"""),36.8)</f>
        <v>36.8</v>
      </c>
      <c r="D1850" s="2">
        <f>IFERROR(__xludf.DUMMYFUNCTION("""COMPUTED_VALUE"""),36.18)</f>
        <v>36.18</v>
      </c>
      <c r="E1850" s="2">
        <f>IFERROR(__xludf.DUMMYFUNCTION("""COMPUTED_VALUE"""),36.24)</f>
        <v>36.24</v>
      </c>
      <c r="F1850" s="2">
        <f>IFERROR(__xludf.DUMMYFUNCTION("""COMPUTED_VALUE"""),1804700.0)</f>
        <v>1804700</v>
      </c>
    </row>
    <row r="1851">
      <c r="A1851" s="3">
        <f>IFERROR(__xludf.DUMMYFUNCTION("""COMPUTED_VALUE"""),31894.666666666668)</f>
        <v>31894.66667</v>
      </c>
      <c r="B1851" s="2">
        <f>IFERROR(__xludf.DUMMYFUNCTION("""COMPUTED_VALUE"""),36.83)</f>
        <v>36.83</v>
      </c>
      <c r="C1851" s="2">
        <f>IFERROR(__xludf.DUMMYFUNCTION("""COMPUTED_VALUE"""),37.25)</f>
        <v>37.25</v>
      </c>
      <c r="D1851" s="2">
        <f>IFERROR(__xludf.DUMMYFUNCTION("""COMPUTED_VALUE"""),35.7)</f>
        <v>35.7</v>
      </c>
      <c r="E1851" s="2">
        <f>IFERROR(__xludf.DUMMYFUNCTION("""COMPUTED_VALUE"""),36.83)</f>
        <v>36.83</v>
      </c>
      <c r="F1851" s="2">
        <f>IFERROR(__xludf.DUMMYFUNCTION("""COMPUTED_VALUE"""),3308900.0)</f>
        <v>3308900</v>
      </c>
    </row>
    <row r="1852">
      <c r="A1852" s="3">
        <f>IFERROR(__xludf.DUMMYFUNCTION("""COMPUTED_VALUE"""),31895.666666666668)</f>
        <v>31895.66667</v>
      </c>
      <c r="B1852" s="2">
        <f>IFERROR(__xludf.DUMMYFUNCTION("""COMPUTED_VALUE"""),37.07)</f>
        <v>37.07</v>
      </c>
      <c r="C1852" s="2">
        <f>IFERROR(__xludf.DUMMYFUNCTION("""COMPUTED_VALUE"""),37.4)</f>
        <v>37.4</v>
      </c>
      <c r="D1852" s="2">
        <f>IFERROR(__xludf.DUMMYFUNCTION("""COMPUTED_VALUE"""),36.92)</f>
        <v>36.92</v>
      </c>
      <c r="E1852" s="2">
        <f>IFERROR(__xludf.DUMMYFUNCTION("""COMPUTED_VALUE"""),37.07)</f>
        <v>37.07</v>
      </c>
      <c r="F1852" s="2">
        <f>IFERROR(__xludf.DUMMYFUNCTION("""COMPUTED_VALUE"""),2945900.0)</f>
        <v>2945900</v>
      </c>
    </row>
    <row r="1853">
      <c r="A1853" s="3">
        <f>IFERROR(__xludf.DUMMYFUNCTION("""COMPUTED_VALUE"""),31896.666666666668)</f>
        <v>31896.66667</v>
      </c>
      <c r="B1853" s="2">
        <f>IFERROR(__xludf.DUMMYFUNCTION("""COMPUTED_VALUE"""),37.88)</f>
        <v>37.88</v>
      </c>
      <c r="C1853" s="2">
        <f>IFERROR(__xludf.DUMMYFUNCTION("""COMPUTED_VALUE"""),38.12)</f>
        <v>38.12</v>
      </c>
      <c r="D1853" s="2">
        <f>IFERROR(__xludf.DUMMYFUNCTION("""COMPUTED_VALUE"""),37.22)</f>
        <v>37.22</v>
      </c>
      <c r="E1853" s="2">
        <f>IFERROR(__xludf.DUMMYFUNCTION("""COMPUTED_VALUE"""),37.88)</f>
        <v>37.88</v>
      </c>
      <c r="F1853" s="2">
        <f>IFERROR(__xludf.DUMMYFUNCTION("""COMPUTED_VALUE"""),3248900.0)</f>
        <v>3248900</v>
      </c>
    </row>
    <row r="1854">
      <c r="A1854" s="3">
        <f>IFERROR(__xludf.DUMMYFUNCTION("""COMPUTED_VALUE"""),31897.666666666668)</f>
        <v>31897.66667</v>
      </c>
      <c r="B1854" s="2">
        <f>IFERROR(__xludf.DUMMYFUNCTION("""COMPUTED_VALUE"""),38.24)</f>
        <v>38.24</v>
      </c>
      <c r="C1854" s="2">
        <f>IFERROR(__xludf.DUMMYFUNCTION("""COMPUTED_VALUE"""),38.56)</f>
        <v>38.56</v>
      </c>
      <c r="D1854" s="2">
        <f>IFERROR(__xludf.DUMMYFUNCTION("""COMPUTED_VALUE"""),37.67)</f>
        <v>37.67</v>
      </c>
      <c r="E1854" s="2">
        <f>IFERROR(__xludf.DUMMYFUNCTION("""COMPUTED_VALUE"""),38.24)</f>
        <v>38.24</v>
      </c>
      <c r="F1854" s="2">
        <f>IFERROR(__xludf.DUMMYFUNCTION("""COMPUTED_VALUE"""),3272200.0)</f>
        <v>3272200</v>
      </c>
    </row>
    <row r="1855">
      <c r="A1855" s="3">
        <f>IFERROR(__xludf.DUMMYFUNCTION("""COMPUTED_VALUE"""),31898.666666666668)</f>
        <v>31898.66667</v>
      </c>
      <c r="B1855" s="2">
        <f>IFERROR(__xludf.DUMMYFUNCTION("""COMPUTED_VALUE"""),38.36)</f>
        <v>38.36</v>
      </c>
      <c r="C1855" s="2">
        <f>IFERROR(__xludf.DUMMYFUNCTION("""COMPUTED_VALUE"""),38.77)</f>
        <v>38.77</v>
      </c>
      <c r="D1855" s="2">
        <f>IFERROR(__xludf.DUMMYFUNCTION("""COMPUTED_VALUE"""),38.0)</f>
        <v>38</v>
      </c>
      <c r="E1855" s="2">
        <f>IFERROR(__xludf.DUMMYFUNCTION("""COMPUTED_VALUE"""),38.36)</f>
        <v>38.36</v>
      </c>
      <c r="F1855" s="2">
        <f>IFERROR(__xludf.DUMMYFUNCTION("""COMPUTED_VALUE"""),2385000.0)</f>
        <v>2385000</v>
      </c>
    </row>
    <row r="1856">
      <c r="A1856" s="3">
        <f>IFERROR(__xludf.DUMMYFUNCTION("""COMPUTED_VALUE"""),31901.666666666668)</f>
        <v>31901.66667</v>
      </c>
      <c r="B1856" s="2">
        <f>IFERROR(__xludf.DUMMYFUNCTION("""COMPUTED_VALUE"""),38.92)</f>
        <v>38.92</v>
      </c>
      <c r="C1856" s="2">
        <f>IFERROR(__xludf.DUMMYFUNCTION("""COMPUTED_VALUE"""),38.92)</f>
        <v>38.92</v>
      </c>
      <c r="D1856" s="2">
        <f>IFERROR(__xludf.DUMMYFUNCTION("""COMPUTED_VALUE"""),38.15)</f>
        <v>38.15</v>
      </c>
      <c r="E1856" s="2">
        <f>IFERROR(__xludf.DUMMYFUNCTION("""COMPUTED_VALUE"""),38.92)</f>
        <v>38.92</v>
      </c>
      <c r="F1856" s="2">
        <f>IFERROR(__xludf.DUMMYFUNCTION("""COMPUTED_VALUE"""),1561700.0)</f>
        <v>1561700</v>
      </c>
    </row>
    <row r="1857">
      <c r="A1857" s="3">
        <f>IFERROR(__xludf.DUMMYFUNCTION("""COMPUTED_VALUE"""),31902.666666666668)</f>
        <v>31902.66667</v>
      </c>
      <c r="B1857" s="2">
        <f>IFERROR(__xludf.DUMMYFUNCTION("""COMPUTED_VALUE"""),39.85)</f>
        <v>39.85</v>
      </c>
      <c r="C1857" s="2">
        <f>IFERROR(__xludf.DUMMYFUNCTION("""COMPUTED_VALUE"""),40.03)</f>
        <v>40.03</v>
      </c>
      <c r="D1857" s="2">
        <f>IFERROR(__xludf.DUMMYFUNCTION("""COMPUTED_VALUE"""),39.22)</f>
        <v>39.22</v>
      </c>
      <c r="E1857" s="2">
        <f>IFERROR(__xludf.DUMMYFUNCTION("""COMPUTED_VALUE"""),39.85)</f>
        <v>39.85</v>
      </c>
      <c r="F1857" s="2">
        <f>IFERROR(__xludf.DUMMYFUNCTION("""COMPUTED_VALUE"""),2792500.0)</f>
        <v>2792500</v>
      </c>
    </row>
    <row r="1858">
      <c r="A1858" s="3">
        <f>IFERROR(__xludf.DUMMYFUNCTION("""COMPUTED_VALUE"""),31903.666666666668)</f>
        <v>31903.66667</v>
      </c>
      <c r="B1858" s="2">
        <f>IFERROR(__xludf.DUMMYFUNCTION("""COMPUTED_VALUE"""),39.82)</f>
        <v>39.82</v>
      </c>
      <c r="C1858" s="2">
        <f>IFERROR(__xludf.DUMMYFUNCTION("""COMPUTED_VALUE"""),40.03)</f>
        <v>40.03</v>
      </c>
      <c r="D1858" s="2">
        <f>IFERROR(__xludf.DUMMYFUNCTION("""COMPUTED_VALUE"""),39.64)</f>
        <v>39.64</v>
      </c>
      <c r="E1858" s="2">
        <f>IFERROR(__xludf.DUMMYFUNCTION("""COMPUTED_VALUE"""),39.82)</f>
        <v>39.82</v>
      </c>
      <c r="F1858" s="2">
        <f>IFERROR(__xludf.DUMMYFUNCTION("""COMPUTED_VALUE"""),2187900.0)</f>
        <v>2187900</v>
      </c>
    </row>
    <row r="1859">
      <c r="A1859" s="3">
        <f>IFERROR(__xludf.DUMMYFUNCTION("""COMPUTED_VALUE"""),31904.666666666668)</f>
        <v>31904.66667</v>
      </c>
      <c r="B1859" s="2">
        <f>IFERROR(__xludf.DUMMYFUNCTION("""COMPUTED_VALUE"""),39.37)</f>
        <v>39.37</v>
      </c>
      <c r="C1859" s="2">
        <f>IFERROR(__xludf.DUMMYFUNCTION("""COMPUTED_VALUE"""),39.82)</f>
        <v>39.82</v>
      </c>
      <c r="D1859" s="2">
        <f>IFERROR(__xludf.DUMMYFUNCTION("""COMPUTED_VALUE"""),39.13)</f>
        <v>39.13</v>
      </c>
      <c r="E1859" s="2">
        <f>IFERROR(__xludf.DUMMYFUNCTION("""COMPUTED_VALUE"""),39.37)</f>
        <v>39.37</v>
      </c>
      <c r="F1859" s="2">
        <f>IFERROR(__xludf.DUMMYFUNCTION("""COMPUTED_VALUE"""),1652200.0)</f>
        <v>1652200</v>
      </c>
    </row>
    <row r="1860">
      <c r="A1860" s="3">
        <f>IFERROR(__xludf.DUMMYFUNCTION("""COMPUTED_VALUE"""),31905.666666666668)</f>
        <v>31905.66667</v>
      </c>
      <c r="B1860" s="2">
        <f>IFERROR(__xludf.DUMMYFUNCTION("""COMPUTED_VALUE"""),39.1)</f>
        <v>39.1</v>
      </c>
      <c r="C1860" s="2">
        <f>IFERROR(__xludf.DUMMYFUNCTION("""COMPUTED_VALUE"""),39.61)</f>
        <v>39.61</v>
      </c>
      <c r="D1860" s="2">
        <f>IFERROR(__xludf.DUMMYFUNCTION("""COMPUTED_VALUE"""),38.98)</f>
        <v>38.98</v>
      </c>
      <c r="E1860" s="2">
        <f>IFERROR(__xludf.DUMMYFUNCTION("""COMPUTED_VALUE"""),39.1)</f>
        <v>39.1</v>
      </c>
      <c r="F1860" s="2">
        <f>IFERROR(__xludf.DUMMYFUNCTION("""COMPUTED_VALUE"""),1430700.0)</f>
        <v>1430700</v>
      </c>
    </row>
    <row r="1861">
      <c r="A1861" s="3">
        <f>IFERROR(__xludf.DUMMYFUNCTION("""COMPUTED_VALUE"""),31908.666666666668)</f>
        <v>31908.66667</v>
      </c>
      <c r="B1861" s="2">
        <f>IFERROR(__xludf.DUMMYFUNCTION("""COMPUTED_VALUE"""),38.92)</f>
        <v>38.92</v>
      </c>
      <c r="C1861" s="2">
        <f>IFERROR(__xludf.DUMMYFUNCTION("""COMPUTED_VALUE"""),39.97)</f>
        <v>39.97</v>
      </c>
      <c r="D1861" s="2">
        <f>IFERROR(__xludf.DUMMYFUNCTION("""COMPUTED_VALUE"""),38.92)</f>
        <v>38.92</v>
      </c>
      <c r="E1861" s="2">
        <f>IFERROR(__xludf.DUMMYFUNCTION("""COMPUTED_VALUE"""),38.92)</f>
        <v>38.92</v>
      </c>
      <c r="F1861" s="2">
        <f>IFERROR(__xludf.DUMMYFUNCTION("""COMPUTED_VALUE"""),2269600.0)</f>
        <v>2269600</v>
      </c>
    </row>
    <row r="1862">
      <c r="A1862" s="3">
        <f>IFERROR(__xludf.DUMMYFUNCTION("""COMPUTED_VALUE"""),31909.666666666668)</f>
        <v>31909.66667</v>
      </c>
      <c r="B1862" s="2">
        <f>IFERROR(__xludf.DUMMYFUNCTION("""COMPUTED_VALUE"""),39.49)</f>
        <v>39.49</v>
      </c>
      <c r="C1862" s="2">
        <f>IFERROR(__xludf.DUMMYFUNCTION("""COMPUTED_VALUE"""),39.67)</f>
        <v>39.67</v>
      </c>
      <c r="D1862" s="2">
        <f>IFERROR(__xludf.DUMMYFUNCTION("""COMPUTED_VALUE"""),38.74)</f>
        <v>38.74</v>
      </c>
      <c r="E1862" s="2">
        <f>IFERROR(__xludf.DUMMYFUNCTION("""COMPUTED_VALUE"""),39.49)</f>
        <v>39.49</v>
      </c>
      <c r="F1862" s="2">
        <f>IFERROR(__xludf.DUMMYFUNCTION("""COMPUTED_VALUE"""),1998200.0)</f>
        <v>1998200</v>
      </c>
    </row>
    <row r="1863">
      <c r="A1863" s="3">
        <f>IFERROR(__xludf.DUMMYFUNCTION("""COMPUTED_VALUE"""),31910.666666666668)</f>
        <v>31910.66667</v>
      </c>
      <c r="B1863" s="2">
        <f>IFERROR(__xludf.DUMMYFUNCTION("""COMPUTED_VALUE"""),39.7)</f>
        <v>39.7</v>
      </c>
      <c r="C1863" s="2">
        <f>IFERROR(__xludf.DUMMYFUNCTION("""COMPUTED_VALUE"""),39.88)</f>
        <v>39.88</v>
      </c>
      <c r="D1863" s="2">
        <f>IFERROR(__xludf.DUMMYFUNCTION("""COMPUTED_VALUE"""),39.28)</f>
        <v>39.28</v>
      </c>
      <c r="E1863" s="2">
        <f>IFERROR(__xludf.DUMMYFUNCTION("""COMPUTED_VALUE"""),39.7)</f>
        <v>39.7</v>
      </c>
      <c r="F1863" s="2">
        <f>IFERROR(__xludf.DUMMYFUNCTION("""COMPUTED_VALUE"""),1736700.0)</f>
        <v>1736700</v>
      </c>
    </row>
    <row r="1864">
      <c r="A1864" s="3">
        <f>IFERROR(__xludf.DUMMYFUNCTION("""COMPUTED_VALUE"""),31911.666666666668)</f>
        <v>31911.66667</v>
      </c>
      <c r="B1864" s="2">
        <f>IFERROR(__xludf.DUMMYFUNCTION("""COMPUTED_VALUE"""),39.43)</f>
        <v>39.43</v>
      </c>
      <c r="C1864" s="2">
        <f>IFERROR(__xludf.DUMMYFUNCTION("""COMPUTED_VALUE"""),39.97)</f>
        <v>39.97</v>
      </c>
      <c r="D1864" s="2">
        <f>IFERROR(__xludf.DUMMYFUNCTION("""COMPUTED_VALUE"""),39.4)</f>
        <v>39.4</v>
      </c>
      <c r="E1864" s="2">
        <f>IFERROR(__xludf.DUMMYFUNCTION("""COMPUTED_VALUE"""),39.43)</f>
        <v>39.43</v>
      </c>
      <c r="F1864" s="2">
        <f>IFERROR(__xludf.DUMMYFUNCTION("""COMPUTED_VALUE"""),1346300.0)</f>
        <v>1346300</v>
      </c>
    </row>
    <row r="1865">
      <c r="A1865" s="3">
        <f>IFERROR(__xludf.DUMMYFUNCTION("""COMPUTED_VALUE"""),31912.666666666668)</f>
        <v>31912.66667</v>
      </c>
      <c r="B1865" s="2">
        <f>IFERROR(__xludf.DUMMYFUNCTION("""COMPUTED_VALUE"""),38.36)</f>
        <v>38.36</v>
      </c>
      <c r="C1865" s="2">
        <f>IFERROR(__xludf.DUMMYFUNCTION("""COMPUTED_VALUE"""),39.49)</f>
        <v>39.49</v>
      </c>
      <c r="D1865" s="2">
        <f>IFERROR(__xludf.DUMMYFUNCTION("""COMPUTED_VALUE"""),38.36)</f>
        <v>38.36</v>
      </c>
      <c r="E1865" s="2">
        <f>IFERROR(__xludf.DUMMYFUNCTION("""COMPUTED_VALUE"""),38.36)</f>
        <v>38.36</v>
      </c>
      <c r="F1865" s="2">
        <f>IFERROR(__xludf.DUMMYFUNCTION("""COMPUTED_VALUE"""),1992100.0)</f>
        <v>1992100</v>
      </c>
    </row>
    <row r="1866">
      <c r="A1866" s="3">
        <f>IFERROR(__xludf.DUMMYFUNCTION("""COMPUTED_VALUE"""),31915.666666666668)</f>
        <v>31915.66667</v>
      </c>
      <c r="B1866" s="2">
        <f>IFERROR(__xludf.DUMMYFUNCTION("""COMPUTED_VALUE"""),38.45)</f>
        <v>38.45</v>
      </c>
      <c r="C1866" s="2">
        <f>IFERROR(__xludf.DUMMYFUNCTION("""COMPUTED_VALUE"""),38.51)</f>
        <v>38.51</v>
      </c>
      <c r="D1866" s="2">
        <f>IFERROR(__xludf.DUMMYFUNCTION("""COMPUTED_VALUE"""),37.52)</f>
        <v>37.52</v>
      </c>
      <c r="E1866" s="2">
        <f>IFERROR(__xludf.DUMMYFUNCTION("""COMPUTED_VALUE"""),38.45)</f>
        <v>38.45</v>
      </c>
      <c r="F1866" s="2">
        <f>IFERROR(__xludf.DUMMYFUNCTION("""COMPUTED_VALUE"""),2513200.0)</f>
        <v>2513200</v>
      </c>
    </row>
    <row r="1867">
      <c r="A1867" s="3">
        <f>IFERROR(__xludf.DUMMYFUNCTION("""COMPUTED_VALUE"""),31916.666666666668)</f>
        <v>31916.66667</v>
      </c>
      <c r="B1867" s="2">
        <f>IFERROR(__xludf.DUMMYFUNCTION("""COMPUTED_VALUE"""),37.43)</f>
        <v>37.43</v>
      </c>
      <c r="C1867" s="2">
        <f>IFERROR(__xludf.DUMMYFUNCTION("""COMPUTED_VALUE"""),38.62)</f>
        <v>38.62</v>
      </c>
      <c r="D1867" s="2">
        <f>IFERROR(__xludf.DUMMYFUNCTION("""COMPUTED_VALUE"""),37.16)</f>
        <v>37.16</v>
      </c>
      <c r="E1867" s="2">
        <f>IFERROR(__xludf.DUMMYFUNCTION("""COMPUTED_VALUE"""),37.43)</f>
        <v>37.43</v>
      </c>
      <c r="F1867" s="2">
        <f>IFERROR(__xludf.DUMMYFUNCTION("""COMPUTED_VALUE"""),2646700.0)</f>
        <v>2646700</v>
      </c>
    </row>
    <row r="1868">
      <c r="A1868" s="3">
        <f>IFERROR(__xludf.DUMMYFUNCTION("""COMPUTED_VALUE"""),31917.666666666668)</f>
        <v>31917.66667</v>
      </c>
      <c r="B1868" s="2">
        <f>IFERROR(__xludf.DUMMYFUNCTION("""COMPUTED_VALUE"""),37.4)</f>
        <v>37.4</v>
      </c>
      <c r="C1868" s="2">
        <f>IFERROR(__xludf.DUMMYFUNCTION("""COMPUTED_VALUE"""),37.88)</f>
        <v>37.88</v>
      </c>
      <c r="D1868" s="2">
        <f>IFERROR(__xludf.DUMMYFUNCTION("""COMPUTED_VALUE"""),37.01)</f>
        <v>37.01</v>
      </c>
      <c r="E1868" s="2">
        <f>IFERROR(__xludf.DUMMYFUNCTION("""COMPUTED_VALUE"""),37.4)</f>
        <v>37.4</v>
      </c>
      <c r="F1868" s="2">
        <f>IFERROR(__xludf.DUMMYFUNCTION("""COMPUTED_VALUE"""),2714300.0)</f>
        <v>2714300</v>
      </c>
    </row>
    <row r="1869">
      <c r="A1869" s="3">
        <f>IFERROR(__xludf.DUMMYFUNCTION("""COMPUTED_VALUE"""),31918.666666666668)</f>
        <v>31918.66667</v>
      </c>
      <c r="B1869" s="2">
        <f>IFERROR(__xludf.DUMMYFUNCTION("""COMPUTED_VALUE"""),37.55)</f>
        <v>37.55</v>
      </c>
      <c r="C1869" s="2">
        <f>IFERROR(__xludf.DUMMYFUNCTION("""COMPUTED_VALUE"""),37.91)</f>
        <v>37.91</v>
      </c>
      <c r="D1869" s="2">
        <f>IFERROR(__xludf.DUMMYFUNCTION("""COMPUTED_VALUE"""),37.46)</f>
        <v>37.46</v>
      </c>
      <c r="E1869" s="2">
        <f>IFERROR(__xludf.DUMMYFUNCTION("""COMPUTED_VALUE"""),37.55)</f>
        <v>37.55</v>
      </c>
      <c r="F1869" s="2">
        <f>IFERROR(__xludf.DUMMYFUNCTION("""COMPUTED_VALUE"""),1698700.0)</f>
        <v>1698700</v>
      </c>
    </row>
    <row r="1870">
      <c r="A1870" s="3">
        <f>IFERROR(__xludf.DUMMYFUNCTION("""COMPUTED_VALUE"""),31919.666666666668)</f>
        <v>31919.66667</v>
      </c>
      <c r="B1870" s="2">
        <f>IFERROR(__xludf.DUMMYFUNCTION("""COMPUTED_VALUE"""),37.4)</f>
        <v>37.4</v>
      </c>
      <c r="C1870" s="2">
        <f>IFERROR(__xludf.DUMMYFUNCTION("""COMPUTED_VALUE"""),38.03)</f>
        <v>38.03</v>
      </c>
      <c r="D1870" s="2">
        <f>IFERROR(__xludf.DUMMYFUNCTION("""COMPUTED_VALUE"""),37.28)</f>
        <v>37.28</v>
      </c>
      <c r="E1870" s="2">
        <f>IFERROR(__xludf.DUMMYFUNCTION("""COMPUTED_VALUE"""),37.4)</f>
        <v>37.4</v>
      </c>
      <c r="F1870" s="2">
        <f>IFERROR(__xludf.DUMMYFUNCTION("""COMPUTED_VALUE"""),1032300.0)</f>
        <v>1032300</v>
      </c>
    </row>
    <row r="1871">
      <c r="A1871" s="3">
        <f>IFERROR(__xludf.DUMMYFUNCTION("""COMPUTED_VALUE"""),31923.666666666668)</f>
        <v>31923.66667</v>
      </c>
      <c r="B1871" s="2">
        <f>IFERROR(__xludf.DUMMYFUNCTION("""COMPUTED_VALUE"""),38.36)</f>
        <v>38.36</v>
      </c>
      <c r="C1871" s="2">
        <f>IFERROR(__xludf.DUMMYFUNCTION("""COMPUTED_VALUE"""),38.39)</f>
        <v>38.39</v>
      </c>
      <c r="D1871" s="2">
        <f>IFERROR(__xludf.DUMMYFUNCTION("""COMPUTED_VALUE"""),37.79)</f>
        <v>37.79</v>
      </c>
      <c r="E1871" s="2">
        <f>IFERROR(__xludf.DUMMYFUNCTION("""COMPUTED_VALUE"""),38.36)</f>
        <v>38.36</v>
      </c>
      <c r="F1871" s="2">
        <f>IFERROR(__xludf.DUMMYFUNCTION("""COMPUTED_VALUE"""),1439100.0)</f>
        <v>1439100</v>
      </c>
    </row>
    <row r="1872">
      <c r="A1872" s="3">
        <f>IFERROR(__xludf.DUMMYFUNCTION("""COMPUTED_VALUE"""),31924.666666666668)</f>
        <v>31924.66667</v>
      </c>
      <c r="B1872" s="2">
        <f>IFERROR(__xludf.DUMMYFUNCTION("""COMPUTED_VALUE"""),38.45)</f>
        <v>38.45</v>
      </c>
      <c r="C1872" s="2">
        <f>IFERROR(__xludf.DUMMYFUNCTION("""COMPUTED_VALUE"""),38.77)</f>
        <v>38.77</v>
      </c>
      <c r="D1872" s="2">
        <f>IFERROR(__xludf.DUMMYFUNCTION("""COMPUTED_VALUE"""),38.21)</f>
        <v>38.21</v>
      </c>
      <c r="E1872" s="2">
        <f>IFERROR(__xludf.DUMMYFUNCTION("""COMPUTED_VALUE"""),38.45)</f>
        <v>38.45</v>
      </c>
      <c r="F1872" s="2">
        <f>IFERROR(__xludf.DUMMYFUNCTION("""COMPUTED_VALUE"""),1724000.0)</f>
        <v>1724000</v>
      </c>
    </row>
    <row r="1873">
      <c r="A1873" s="3">
        <f>IFERROR(__xludf.DUMMYFUNCTION("""COMPUTED_VALUE"""),31925.666666666668)</f>
        <v>31925.66667</v>
      </c>
      <c r="B1873" s="2">
        <f>IFERROR(__xludf.DUMMYFUNCTION("""COMPUTED_VALUE"""),38.83)</f>
        <v>38.83</v>
      </c>
      <c r="C1873" s="2">
        <f>IFERROR(__xludf.DUMMYFUNCTION("""COMPUTED_VALUE"""),38.86)</f>
        <v>38.86</v>
      </c>
      <c r="D1873" s="2">
        <f>IFERROR(__xludf.DUMMYFUNCTION("""COMPUTED_VALUE"""),38.03)</f>
        <v>38.03</v>
      </c>
      <c r="E1873" s="2">
        <f>IFERROR(__xludf.DUMMYFUNCTION("""COMPUTED_VALUE"""),38.83)</f>
        <v>38.83</v>
      </c>
      <c r="F1873" s="2">
        <f>IFERROR(__xludf.DUMMYFUNCTION("""COMPUTED_VALUE"""),1403100.0)</f>
        <v>1403100</v>
      </c>
    </row>
    <row r="1874">
      <c r="A1874" s="3">
        <f>IFERROR(__xludf.DUMMYFUNCTION("""COMPUTED_VALUE"""),31926.666666666668)</f>
        <v>31926.66667</v>
      </c>
      <c r="B1874" s="2">
        <f>IFERROR(__xludf.DUMMYFUNCTION("""COMPUTED_VALUE"""),38.21)</f>
        <v>38.21</v>
      </c>
      <c r="C1874" s="2">
        <f>IFERROR(__xludf.DUMMYFUNCTION("""COMPUTED_VALUE"""),39.13)</f>
        <v>39.13</v>
      </c>
      <c r="D1874" s="2">
        <f>IFERROR(__xludf.DUMMYFUNCTION("""COMPUTED_VALUE"""),38.21)</f>
        <v>38.21</v>
      </c>
      <c r="E1874" s="2">
        <f>IFERROR(__xludf.DUMMYFUNCTION("""COMPUTED_VALUE"""),38.21)</f>
        <v>38.21</v>
      </c>
      <c r="F1874" s="2">
        <f>IFERROR(__xludf.DUMMYFUNCTION("""COMPUTED_VALUE"""),1235000.0)</f>
        <v>1235000</v>
      </c>
    </row>
    <row r="1875">
      <c r="A1875" s="3">
        <f>IFERROR(__xludf.DUMMYFUNCTION("""COMPUTED_VALUE"""),31929.666666666668)</f>
        <v>31929.66667</v>
      </c>
      <c r="B1875" s="2">
        <f>IFERROR(__xludf.DUMMYFUNCTION("""COMPUTED_VALUE"""),38.12)</f>
        <v>38.12</v>
      </c>
      <c r="C1875" s="2">
        <f>IFERROR(__xludf.DUMMYFUNCTION("""COMPUTED_VALUE"""),38.53)</f>
        <v>38.53</v>
      </c>
      <c r="D1875" s="2">
        <f>IFERROR(__xludf.DUMMYFUNCTION("""COMPUTED_VALUE"""),38.03)</f>
        <v>38.03</v>
      </c>
      <c r="E1875" s="2">
        <f>IFERROR(__xludf.DUMMYFUNCTION("""COMPUTED_VALUE"""),38.12)</f>
        <v>38.12</v>
      </c>
      <c r="F1875" s="2">
        <f>IFERROR(__xludf.DUMMYFUNCTION("""COMPUTED_VALUE"""),1330300.0)</f>
        <v>1330300</v>
      </c>
    </row>
    <row r="1876">
      <c r="A1876" s="3">
        <f>IFERROR(__xludf.DUMMYFUNCTION("""COMPUTED_VALUE"""),31930.666666666668)</f>
        <v>31930.66667</v>
      </c>
      <c r="B1876" s="2">
        <f>IFERROR(__xludf.DUMMYFUNCTION("""COMPUTED_VALUE"""),37.55)</f>
        <v>37.55</v>
      </c>
      <c r="C1876" s="2">
        <f>IFERROR(__xludf.DUMMYFUNCTION("""COMPUTED_VALUE"""),38.15)</f>
        <v>38.15</v>
      </c>
      <c r="D1876" s="2">
        <f>IFERROR(__xludf.DUMMYFUNCTION("""COMPUTED_VALUE"""),37.55)</f>
        <v>37.55</v>
      </c>
      <c r="E1876" s="2">
        <f>IFERROR(__xludf.DUMMYFUNCTION("""COMPUTED_VALUE"""),37.55)</f>
        <v>37.55</v>
      </c>
      <c r="F1876" s="2">
        <f>IFERROR(__xludf.DUMMYFUNCTION("""COMPUTED_VALUE"""),1855500.0)</f>
        <v>1855500</v>
      </c>
    </row>
    <row r="1877">
      <c r="A1877" s="3">
        <f>IFERROR(__xludf.DUMMYFUNCTION("""COMPUTED_VALUE"""),31931.666666666668)</f>
        <v>31931.66667</v>
      </c>
      <c r="B1877" s="2">
        <f>IFERROR(__xludf.DUMMYFUNCTION("""COMPUTED_VALUE"""),38.27)</f>
        <v>38.27</v>
      </c>
      <c r="C1877" s="2">
        <f>IFERROR(__xludf.DUMMYFUNCTION("""COMPUTED_VALUE"""),38.3)</f>
        <v>38.3</v>
      </c>
      <c r="D1877" s="2">
        <f>IFERROR(__xludf.DUMMYFUNCTION("""COMPUTED_VALUE"""),37.7)</f>
        <v>37.7</v>
      </c>
      <c r="E1877" s="2">
        <f>IFERROR(__xludf.DUMMYFUNCTION("""COMPUTED_VALUE"""),38.27)</f>
        <v>38.27</v>
      </c>
      <c r="F1877" s="2">
        <f>IFERROR(__xludf.DUMMYFUNCTION("""COMPUTED_VALUE"""),1655700.0)</f>
        <v>1655700</v>
      </c>
    </row>
    <row r="1878">
      <c r="A1878" s="3">
        <f>IFERROR(__xludf.DUMMYFUNCTION("""COMPUTED_VALUE"""),31932.666666666668)</f>
        <v>31932.66667</v>
      </c>
      <c r="B1878" s="2">
        <f>IFERROR(__xludf.DUMMYFUNCTION("""COMPUTED_VALUE"""),38.53)</f>
        <v>38.53</v>
      </c>
      <c r="C1878" s="2">
        <f>IFERROR(__xludf.DUMMYFUNCTION("""COMPUTED_VALUE"""),38.53)</f>
        <v>38.53</v>
      </c>
      <c r="D1878" s="2">
        <f>IFERROR(__xludf.DUMMYFUNCTION("""COMPUTED_VALUE"""),38.12)</f>
        <v>38.12</v>
      </c>
      <c r="E1878" s="2">
        <f>IFERROR(__xludf.DUMMYFUNCTION("""COMPUTED_VALUE"""),38.53)</f>
        <v>38.53</v>
      </c>
      <c r="F1878" s="2">
        <f>IFERROR(__xludf.DUMMYFUNCTION("""COMPUTED_VALUE"""),1089400.0)</f>
        <v>1089400</v>
      </c>
    </row>
    <row r="1879">
      <c r="A1879" s="3">
        <f>IFERROR(__xludf.DUMMYFUNCTION("""COMPUTED_VALUE"""),31933.666666666668)</f>
        <v>31933.66667</v>
      </c>
      <c r="B1879" s="2">
        <f>IFERROR(__xludf.DUMMYFUNCTION("""COMPUTED_VALUE"""),38.21)</f>
        <v>38.21</v>
      </c>
      <c r="C1879" s="2">
        <f>IFERROR(__xludf.DUMMYFUNCTION("""COMPUTED_VALUE"""),38.51)</f>
        <v>38.51</v>
      </c>
      <c r="D1879" s="2">
        <f>IFERROR(__xludf.DUMMYFUNCTION("""COMPUTED_VALUE"""),37.94)</f>
        <v>37.94</v>
      </c>
      <c r="E1879" s="2">
        <f>IFERROR(__xludf.DUMMYFUNCTION("""COMPUTED_VALUE"""),38.21)</f>
        <v>38.21</v>
      </c>
      <c r="F1879" s="2">
        <f>IFERROR(__xludf.DUMMYFUNCTION("""COMPUTED_VALUE"""),1050800.0)</f>
        <v>1050800</v>
      </c>
    </row>
    <row r="1880">
      <c r="A1880" s="3">
        <f>IFERROR(__xludf.DUMMYFUNCTION("""COMPUTED_VALUE"""),31936.666666666668)</f>
        <v>31936.66667</v>
      </c>
      <c r="B1880" s="2">
        <f>IFERROR(__xludf.DUMMYFUNCTION("""COMPUTED_VALUE"""),38.51)</f>
        <v>38.51</v>
      </c>
      <c r="C1880" s="2">
        <f>IFERROR(__xludf.DUMMYFUNCTION("""COMPUTED_VALUE"""),38.65)</f>
        <v>38.65</v>
      </c>
      <c r="D1880" s="2">
        <f>IFERROR(__xludf.DUMMYFUNCTION("""COMPUTED_VALUE"""),37.91)</f>
        <v>37.91</v>
      </c>
      <c r="E1880" s="2">
        <f>IFERROR(__xludf.DUMMYFUNCTION("""COMPUTED_VALUE"""),38.51)</f>
        <v>38.51</v>
      </c>
      <c r="F1880" s="2">
        <f>IFERROR(__xludf.DUMMYFUNCTION("""COMPUTED_VALUE"""),1205300.0)</f>
        <v>1205300</v>
      </c>
    </row>
    <row r="1881">
      <c r="A1881" s="3">
        <f>IFERROR(__xludf.DUMMYFUNCTION("""COMPUTED_VALUE"""),31937.666666666668)</f>
        <v>31937.66667</v>
      </c>
      <c r="B1881" s="2">
        <f>IFERROR(__xludf.DUMMYFUNCTION("""COMPUTED_VALUE"""),38.18)</f>
        <v>38.18</v>
      </c>
      <c r="C1881" s="2">
        <f>IFERROR(__xludf.DUMMYFUNCTION("""COMPUTED_VALUE"""),38.59)</f>
        <v>38.59</v>
      </c>
      <c r="D1881" s="2">
        <f>IFERROR(__xludf.DUMMYFUNCTION("""COMPUTED_VALUE"""),38.03)</f>
        <v>38.03</v>
      </c>
      <c r="E1881" s="2">
        <f>IFERROR(__xludf.DUMMYFUNCTION("""COMPUTED_VALUE"""),38.18)</f>
        <v>38.18</v>
      </c>
      <c r="F1881" s="2">
        <f>IFERROR(__xludf.DUMMYFUNCTION("""COMPUTED_VALUE"""),1315000.0)</f>
        <v>1315000</v>
      </c>
    </row>
    <row r="1882">
      <c r="A1882" s="3">
        <f>IFERROR(__xludf.DUMMYFUNCTION("""COMPUTED_VALUE"""),31938.666666666668)</f>
        <v>31938.66667</v>
      </c>
      <c r="B1882" s="2">
        <f>IFERROR(__xludf.DUMMYFUNCTION("""COMPUTED_VALUE"""),37.67)</f>
        <v>37.67</v>
      </c>
      <c r="C1882" s="2">
        <f>IFERROR(__xludf.DUMMYFUNCTION("""COMPUTED_VALUE"""),38.56)</f>
        <v>38.56</v>
      </c>
      <c r="D1882" s="2">
        <f>IFERROR(__xludf.DUMMYFUNCTION("""COMPUTED_VALUE"""),37.25)</f>
        <v>37.25</v>
      </c>
      <c r="E1882" s="2">
        <f>IFERROR(__xludf.DUMMYFUNCTION("""COMPUTED_VALUE"""),37.67)</f>
        <v>37.67</v>
      </c>
      <c r="F1882" s="2">
        <f>IFERROR(__xludf.DUMMYFUNCTION("""COMPUTED_VALUE"""),1898700.0)</f>
        <v>1898700</v>
      </c>
    </row>
    <row r="1883">
      <c r="A1883" s="3">
        <f>IFERROR(__xludf.DUMMYFUNCTION("""COMPUTED_VALUE"""),31939.666666666668)</f>
        <v>31939.66667</v>
      </c>
      <c r="B1883" s="2">
        <f>IFERROR(__xludf.DUMMYFUNCTION("""COMPUTED_VALUE"""),37.64)</f>
        <v>37.64</v>
      </c>
      <c r="C1883" s="2">
        <f>IFERROR(__xludf.DUMMYFUNCTION("""COMPUTED_VALUE"""),38.0)</f>
        <v>38</v>
      </c>
      <c r="D1883" s="2">
        <f>IFERROR(__xludf.DUMMYFUNCTION("""COMPUTED_VALUE"""),37.49)</f>
        <v>37.49</v>
      </c>
      <c r="E1883" s="2">
        <f>IFERROR(__xludf.DUMMYFUNCTION("""COMPUTED_VALUE"""),37.64)</f>
        <v>37.64</v>
      </c>
      <c r="F1883" s="2">
        <f>IFERROR(__xludf.DUMMYFUNCTION("""COMPUTED_VALUE"""),1569000.0)</f>
        <v>1569000</v>
      </c>
    </row>
    <row r="1884">
      <c r="A1884" s="3">
        <f>IFERROR(__xludf.DUMMYFUNCTION("""COMPUTED_VALUE"""),31940.666666666668)</f>
        <v>31940.66667</v>
      </c>
      <c r="B1884" s="2">
        <f>IFERROR(__xludf.DUMMYFUNCTION("""COMPUTED_VALUE"""),37.4)</f>
        <v>37.4</v>
      </c>
      <c r="C1884" s="2">
        <f>IFERROR(__xludf.DUMMYFUNCTION("""COMPUTED_VALUE"""),38.06)</f>
        <v>38.06</v>
      </c>
      <c r="D1884" s="2">
        <f>IFERROR(__xludf.DUMMYFUNCTION("""COMPUTED_VALUE"""),37.31)</f>
        <v>37.31</v>
      </c>
      <c r="E1884" s="2">
        <f>IFERROR(__xludf.DUMMYFUNCTION("""COMPUTED_VALUE"""),37.4)</f>
        <v>37.4</v>
      </c>
      <c r="F1884" s="2">
        <f>IFERROR(__xludf.DUMMYFUNCTION("""COMPUTED_VALUE"""),1407500.0)</f>
        <v>1407500</v>
      </c>
    </row>
    <row r="1885">
      <c r="A1885" s="3">
        <f>IFERROR(__xludf.DUMMYFUNCTION("""COMPUTED_VALUE"""),31943.666666666668)</f>
        <v>31943.66667</v>
      </c>
      <c r="B1885" s="2">
        <f>IFERROR(__xludf.DUMMYFUNCTION("""COMPUTED_VALUE"""),38.12)</f>
        <v>38.12</v>
      </c>
      <c r="C1885" s="2">
        <f>IFERROR(__xludf.DUMMYFUNCTION("""COMPUTED_VALUE"""),38.24)</f>
        <v>38.24</v>
      </c>
      <c r="D1885" s="2">
        <f>IFERROR(__xludf.DUMMYFUNCTION("""COMPUTED_VALUE"""),37.73)</f>
        <v>37.73</v>
      </c>
      <c r="E1885" s="2">
        <f>IFERROR(__xludf.DUMMYFUNCTION("""COMPUTED_VALUE"""),38.12)</f>
        <v>38.12</v>
      </c>
      <c r="F1885" s="2">
        <f>IFERROR(__xludf.DUMMYFUNCTION("""COMPUTED_VALUE"""),1548500.0)</f>
        <v>1548500</v>
      </c>
    </row>
    <row r="1886">
      <c r="A1886" s="3">
        <f>IFERROR(__xludf.DUMMYFUNCTION("""COMPUTED_VALUE"""),31944.666666666668)</f>
        <v>31944.66667</v>
      </c>
      <c r="B1886" s="2">
        <f>IFERROR(__xludf.DUMMYFUNCTION("""COMPUTED_VALUE"""),38.68)</f>
        <v>38.68</v>
      </c>
      <c r="C1886" s="2">
        <f>IFERROR(__xludf.DUMMYFUNCTION("""COMPUTED_VALUE"""),38.74)</f>
        <v>38.74</v>
      </c>
      <c r="D1886" s="2">
        <f>IFERROR(__xludf.DUMMYFUNCTION("""COMPUTED_VALUE"""),38.06)</f>
        <v>38.06</v>
      </c>
      <c r="E1886" s="2">
        <f>IFERROR(__xludf.DUMMYFUNCTION("""COMPUTED_VALUE"""),38.68)</f>
        <v>38.68</v>
      </c>
      <c r="F1886" s="2">
        <f>IFERROR(__xludf.DUMMYFUNCTION("""COMPUTED_VALUE"""),1660600.0)</f>
        <v>1660600</v>
      </c>
    </row>
    <row r="1887">
      <c r="A1887" s="3">
        <f>IFERROR(__xludf.DUMMYFUNCTION("""COMPUTED_VALUE"""),31945.666666666668)</f>
        <v>31945.66667</v>
      </c>
      <c r="B1887" s="2">
        <f>IFERROR(__xludf.DUMMYFUNCTION("""COMPUTED_VALUE"""),38.53)</f>
        <v>38.53</v>
      </c>
      <c r="C1887" s="2">
        <f>IFERROR(__xludf.DUMMYFUNCTION("""COMPUTED_VALUE"""),38.8)</f>
        <v>38.8</v>
      </c>
      <c r="D1887" s="2">
        <f>IFERROR(__xludf.DUMMYFUNCTION("""COMPUTED_VALUE"""),38.27)</f>
        <v>38.27</v>
      </c>
      <c r="E1887" s="2">
        <f>IFERROR(__xludf.DUMMYFUNCTION("""COMPUTED_VALUE"""),38.53)</f>
        <v>38.53</v>
      </c>
      <c r="F1887" s="2">
        <f>IFERROR(__xludf.DUMMYFUNCTION("""COMPUTED_VALUE"""),1214900.0)</f>
        <v>1214900</v>
      </c>
    </row>
    <row r="1888">
      <c r="A1888" s="3">
        <f>IFERROR(__xludf.DUMMYFUNCTION("""COMPUTED_VALUE"""),31946.666666666668)</f>
        <v>31946.66667</v>
      </c>
      <c r="B1888" s="2">
        <f>IFERROR(__xludf.DUMMYFUNCTION("""COMPUTED_VALUE"""),38.42)</f>
        <v>38.42</v>
      </c>
      <c r="C1888" s="2">
        <f>IFERROR(__xludf.DUMMYFUNCTION("""COMPUTED_VALUE"""),38.68)</f>
        <v>38.68</v>
      </c>
      <c r="D1888" s="2">
        <f>IFERROR(__xludf.DUMMYFUNCTION("""COMPUTED_VALUE"""),38.24)</f>
        <v>38.24</v>
      </c>
      <c r="E1888" s="2">
        <f>IFERROR(__xludf.DUMMYFUNCTION("""COMPUTED_VALUE"""),38.42)</f>
        <v>38.42</v>
      </c>
      <c r="F1888" s="2">
        <f>IFERROR(__xludf.DUMMYFUNCTION("""COMPUTED_VALUE"""),1119400.0)</f>
        <v>1119400</v>
      </c>
    </row>
    <row r="1889">
      <c r="A1889" s="3">
        <f>IFERROR(__xludf.DUMMYFUNCTION("""COMPUTED_VALUE"""),31947.666666666668)</f>
        <v>31947.66667</v>
      </c>
      <c r="B1889" s="2">
        <f>IFERROR(__xludf.DUMMYFUNCTION("""COMPUTED_VALUE"""),38.53)</f>
        <v>38.53</v>
      </c>
      <c r="C1889" s="2">
        <f>IFERROR(__xludf.DUMMYFUNCTION("""COMPUTED_VALUE"""),38.71)</f>
        <v>38.71</v>
      </c>
      <c r="D1889" s="2">
        <f>IFERROR(__xludf.DUMMYFUNCTION("""COMPUTED_VALUE"""),38.3)</f>
        <v>38.3</v>
      </c>
      <c r="E1889" s="2">
        <f>IFERROR(__xludf.DUMMYFUNCTION("""COMPUTED_VALUE"""),38.53)</f>
        <v>38.53</v>
      </c>
      <c r="F1889" s="2">
        <f>IFERROR(__xludf.DUMMYFUNCTION("""COMPUTED_VALUE"""),2368700.0)</f>
        <v>2368700</v>
      </c>
    </row>
    <row r="1890">
      <c r="A1890" s="3">
        <f>IFERROR(__xludf.DUMMYFUNCTION("""COMPUTED_VALUE"""),31950.666666666668)</f>
        <v>31950.66667</v>
      </c>
      <c r="B1890" s="2">
        <f>IFERROR(__xludf.DUMMYFUNCTION("""COMPUTED_VALUE"""),38.98)</f>
        <v>38.98</v>
      </c>
      <c r="C1890" s="2">
        <f>IFERROR(__xludf.DUMMYFUNCTION("""COMPUTED_VALUE"""),39.04)</f>
        <v>39.04</v>
      </c>
      <c r="D1890" s="2">
        <f>IFERROR(__xludf.DUMMYFUNCTION("""COMPUTED_VALUE"""),38.65)</f>
        <v>38.65</v>
      </c>
      <c r="E1890" s="2">
        <f>IFERROR(__xludf.DUMMYFUNCTION("""COMPUTED_VALUE"""),38.98)</f>
        <v>38.98</v>
      </c>
      <c r="F1890" s="2">
        <f>IFERROR(__xludf.DUMMYFUNCTION("""COMPUTED_VALUE"""),1776800.0)</f>
        <v>1776800</v>
      </c>
    </row>
    <row r="1891">
      <c r="A1891" s="3">
        <f>IFERROR(__xludf.DUMMYFUNCTION("""COMPUTED_VALUE"""),31951.666666666668)</f>
        <v>31951.66667</v>
      </c>
      <c r="B1891" s="2">
        <f>IFERROR(__xludf.DUMMYFUNCTION("""COMPUTED_VALUE"""),39.37)</f>
        <v>39.37</v>
      </c>
      <c r="C1891" s="2">
        <f>IFERROR(__xludf.DUMMYFUNCTION("""COMPUTED_VALUE"""),39.4)</f>
        <v>39.4</v>
      </c>
      <c r="D1891" s="2">
        <f>IFERROR(__xludf.DUMMYFUNCTION("""COMPUTED_VALUE"""),38.8)</f>
        <v>38.8</v>
      </c>
      <c r="E1891" s="2">
        <f>IFERROR(__xludf.DUMMYFUNCTION("""COMPUTED_VALUE"""),39.37)</f>
        <v>39.37</v>
      </c>
      <c r="F1891" s="2">
        <f>IFERROR(__xludf.DUMMYFUNCTION("""COMPUTED_VALUE"""),2170000.0)</f>
        <v>2170000</v>
      </c>
    </row>
    <row r="1892">
      <c r="A1892" s="3">
        <f>IFERROR(__xludf.DUMMYFUNCTION("""COMPUTED_VALUE"""),31952.666666666668)</f>
        <v>31952.66667</v>
      </c>
      <c r="B1892" s="2">
        <f>IFERROR(__xludf.DUMMYFUNCTION("""COMPUTED_VALUE"""),39.67)</f>
        <v>39.67</v>
      </c>
      <c r="C1892" s="2">
        <f>IFERROR(__xludf.DUMMYFUNCTION("""COMPUTED_VALUE"""),40.03)</f>
        <v>40.03</v>
      </c>
      <c r="D1892" s="2">
        <f>IFERROR(__xludf.DUMMYFUNCTION("""COMPUTED_VALUE"""),39.31)</f>
        <v>39.31</v>
      </c>
      <c r="E1892" s="2">
        <f>IFERROR(__xludf.DUMMYFUNCTION("""COMPUTED_VALUE"""),39.67)</f>
        <v>39.67</v>
      </c>
      <c r="F1892" s="2">
        <f>IFERROR(__xludf.DUMMYFUNCTION("""COMPUTED_VALUE"""),2425400.0)</f>
        <v>2425400</v>
      </c>
    </row>
    <row r="1893">
      <c r="A1893" s="3">
        <f>IFERROR(__xludf.DUMMYFUNCTION("""COMPUTED_VALUE"""),31953.666666666668)</f>
        <v>31953.66667</v>
      </c>
      <c r="B1893" s="2">
        <f>IFERROR(__xludf.DUMMYFUNCTION("""COMPUTED_VALUE"""),40.09)</f>
        <v>40.09</v>
      </c>
      <c r="C1893" s="2">
        <f>IFERROR(__xludf.DUMMYFUNCTION("""COMPUTED_VALUE"""),40.27)</f>
        <v>40.27</v>
      </c>
      <c r="D1893" s="2">
        <f>IFERROR(__xludf.DUMMYFUNCTION("""COMPUTED_VALUE"""),39.88)</f>
        <v>39.88</v>
      </c>
      <c r="E1893" s="2">
        <f>IFERROR(__xludf.DUMMYFUNCTION("""COMPUTED_VALUE"""),40.09)</f>
        <v>40.09</v>
      </c>
      <c r="F1893" s="2">
        <f>IFERROR(__xludf.DUMMYFUNCTION("""COMPUTED_VALUE"""),1937800.0)</f>
        <v>1937800</v>
      </c>
    </row>
    <row r="1894">
      <c r="A1894" s="3">
        <f>IFERROR(__xludf.DUMMYFUNCTION("""COMPUTED_VALUE"""),31954.666666666668)</f>
        <v>31954.66667</v>
      </c>
      <c r="B1894" s="2">
        <f>IFERROR(__xludf.DUMMYFUNCTION("""COMPUTED_VALUE"""),39.76)</f>
        <v>39.76</v>
      </c>
      <c r="C1894" s="2">
        <f>IFERROR(__xludf.DUMMYFUNCTION("""COMPUTED_VALUE"""),40.06)</f>
        <v>40.06</v>
      </c>
      <c r="D1894" s="2">
        <f>IFERROR(__xludf.DUMMYFUNCTION("""COMPUTED_VALUE"""),39.67)</f>
        <v>39.67</v>
      </c>
      <c r="E1894" s="2">
        <f>IFERROR(__xludf.DUMMYFUNCTION("""COMPUTED_VALUE"""),39.76)</f>
        <v>39.76</v>
      </c>
      <c r="F1894" s="2">
        <f>IFERROR(__xludf.DUMMYFUNCTION("""COMPUTED_VALUE"""),1284300.0)</f>
        <v>1284300</v>
      </c>
    </row>
    <row r="1895">
      <c r="A1895" s="3">
        <f>IFERROR(__xludf.DUMMYFUNCTION("""COMPUTED_VALUE"""),31957.666666666668)</f>
        <v>31957.66667</v>
      </c>
      <c r="B1895" s="2">
        <f>IFERROR(__xludf.DUMMYFUNCTION("""COMPUTED_VALUE"""),39.49)</f>
        <v>39.49</v>
      </c>
      <c r="C1895" s="2">
        <f>IFERROR(__xludf.DUMMYFUNCTION("""COMPUTED_VALUE"""),39.76)</f>
        <v>39.76</v>
      </c>
      <c r="D1895" s="2">
        <f>IFERROR(__xludf.DUMMYFUNCTION("""COMPUTED_VALUE"""),39.4)</f>
        <v>39.4</v>
      </c>
      <c r="E1895" s="2">
        <f>IFERROR(__xludf.DUMMYFUNCTION("""COMPUTED_VALUE"""),39.49)</f>
        <v>39.49</v>
      </c>
      <c r="F1895" s="2">
        <f>IFERROR(__xludf.DUMMYFUNCTION("""COMPUTED_VALUE"""),1122400.0)</f>
        <v>1122400</v>
      </c>
    </row>
    <row r="1896">
      <c r="A1896" s="3">
        <f>IFERROR(__xludf.DUMMYFUNCTION("""COMPUTED_VALUE"""),31958.666666666668)</f>
        <v>31958.66667</v>
      </c>
      <c r="B1896" s="2">
        <f>IFERROR(__xludf.DUMMYFUNCTION("""COMPUTED_VALUE"""),38.8)</f>
        <v>38.8</v>
      </c>
      <c r="C1896" s="2">
        <f>IFERROR(__xludf.DUMMYFUNCTION("""COMPUTED_VALUE"""),39.58)</f>
        <v>39.58</v>
      </c>
      <c r="D1896" s="2">
        <f>IFERROR(__xludf.DUMMYFUNCTION("""COMPUTED_VALUE"""),38.8)</f>
        <v>38.8</v>
      </c>
      <c r="E1896" s="2">
        <f>IFERROR(__xludf.DUMMYFUNCTION("""COMPUTED_VALUE"""),38.8)</f>
        <v>38.8</v>
      </c>
      <c r="F1896" s="2">
        <f>IFERROR(__xludf.DUMMYFUNCTION("""COMPUTED_VALUE"""),1709900.0)</f>
        <v>1709900</v>
      </c>
    </row>
    <row r="1897">
      <c r="A1897" s="3">
        <f>IFERROR(__xludf.DUMMYFUNCTION("""COMPUTED_VALUE"""),31959.666666666668)</f>
        <v>31959.66667</v>
      </c>
      <c r="B1897" s="2">
        <f>IFERROR(__xludf.DUMMYFUNCTION("""COMPUTED_VALUE"""),39.16)</f>
        <v>39.16</v>
      </c>
      <c r="C1897" s="2">
        <f>IFERROR(__xludf.DUMMYFUNCTION("""COMPUTED_VALUE"""),39.31)</f>
        <v>39.31</v>
      </c>
      <c r="D1897" s="2">
        <f>IFERROR(__xludf.DUMMYFUNCTION("""COMPUTED_VALUE"""),38.86)</f>
        <v>38.86</v>
      </c>
      <c r="E1897" s="2">
        <f>IFERROR(__xludf.DUMMYFUNCTION("""COMPUTED_VALUE"""),39.16)</f>
        <v>39.16</v>
      </c>
      <c r="F1897" s="2">
        <f>IFERROR(__xludf.DUMMYFUNCTION("""COMPUTED_VALUE"""),1540800.0)</f>
        <v>1540800</v>
      </c>
    </row>
    <row r="1898">
      <c r="A1898" s="3">
        <f>IFERROR(__xludf.DUMMYFUNCTION("""COMPUTED_VALUE"""),31960.666666666668)</f>
        <v>31960.66667</v>
      </c>
      <c r="B1898" s="2">
        <f>IFERROR(__xludf.DUMMYFUNCTION("""COMPUTED_VALUE"""),39.22)</f>
        <v>39.22</v>
      </c>
      <c r="C1898" s="2">
        <f>IFERROR(__xludf.DUMMYFUNCTION("""COMPUTED_VALUE"""),39.43)</f>
        <v>39.43</v>
      </c>
      <c r="D1898" s="2">
        <f>IFERROR(__xludf.DUMMYFUNCTION("""COMPUTED_VALUE"""),39.16)</f>
        <v>39.16</v>
      </c>
      <c r="E1898" s="2">
        <f>IFERROR(__xludf.DUMMYFUNCTION("""COMPUTED_VALUE"""),39.22)</f>
        <v>39.22</v>
      </c>
      <c r="F1898" s="2">
        <f>IFERROR(__xludf.DUMMYFUNCTION("""COMPUTED_VALUE"""),1209300.0)</f>
        <v>1209300</v>
      </c>
    </row>
    <row r="1899">
      <c r="A1899" s="3">
        <f>IFERROR(__xludf.DUMMYFUNCTION("""COMPUTED_VALUE"""),31964.666666666668)</f>
        <v>31964.66667</v>
      </c>
      <c r="B1899" s="2">
        <f>IFERROR(__xludf.DUMMYFUNCTION("""COMPUTED_VALUE"""),39.43)</f>
        <v>39.43</v>
      </c>
      <c r="C1899" s="2">
        <f>IFERROR(__xludf.DUMMYFUNCTION("""COMPUTED_VALUE"""),39.55)</f>
        <v>39.55</v>
      </c>
      <c r="D1899" s="2">
        <f>IFERROR(__xludf.DUMMYFUNCTION("""COMPUTED_VALUE"""),39.19)</f>
        <v>39.19</v>
      </c>
      <c r="E1899" s="2">
        <f>IFERROR(__xludf.DUMMYFUNCTION("""COMPUTED_VALUE"""),39.43)</f>
        <v>39.43</v>
      </c>
      <c r="F1899" s="2">
        <f>IFERROR(__xludf.DUMMYFUNCTION("""COMPUTED_VALUE"""),1451400.0)</f>
        <v>1451400</v>
      </c>
    </row>
    <row r="1900">
      <c r="A1900" s="3">
        <f>IFERROR(__xludf.DUMMYFUNCTION("""COMPUTED_VALUE"""),31965.666666666668)</f>
        <v>31965.66667</v>
      </c>
      <c r="B1900" s="2">
        <f>IFERROR(__xludf.DUMMYFUNCTION("""COMPUTED_VALUE"""),39.13)</f>
        <v>39.13</v>
      </c>
      <c r="C1900" s="2">
        <f>IFERROR(__xludf.DUMMYFUNCTION("""COMPUTED_VALUE"""),39.64)</f>
        <v>39.64</v>
      </c>
      <c r="D1900" s="2">
        <f>IFERROR(__xludf.DUMMYFUNCTION("""COMPUTED_VALUE"""),39.13)</f>
        <v>39.13</v>
      </c>
      <c r="E1900" s="2">
        <f>IFERROR(__xludf.DUMMYFUNCTION("""COMPUTED_VALUE"""),39.13)</f>
        <v>39.13</v>
      </c>
      <c r="F1900" s="2">
        <f>IFERROR(__xludf.DUMMYFUNCTION("""COMPUTED_VALUE"""),1318200.0)</f>
        <v>1318200</v>
      </c>
    </row>
    <row r="1901">
      <c r="A1901" s="3">
        <f>IFERROR(__xludf.DUMMYFUNCTION("""COMPUTED_VALUE"""),31966.666666666668)</f>
        <v>31966.66667</v>
      </c>
      <c r="B1901" s="2">
        <f>IFERROR(__xludf.DUMMYFUNCTION("""COMPUTED_VALUE"""),39.82)</f>
        <v>39.82</v>
      </c>
      <c r="C1901" s="2">
        <f>IFERROR(__xludf.DUMMYFUNCTION("""COMPUTED_VALUE"""),39.85)</f>
        <v>39.85</v>
      </c>
      <c r="D1901" s="2">
        <f>IFERROR(__xludf.DUMMYFUNCTION("""COMPUTED_VALUE"""),39.28)</f>
        <v>39.28</v>
      </c>
      <c r="E1901" s="2">
        <f>IFERROR(__xludf.DUMMYFUNCTION("""COMPUTED_VALUE"""),39.82)</f>
        <v>39.82</v>
      </c>
      <c r="F1901" s="2">
        <f>IFERROR(__xludf.DUMMYFUNCTION("""COMPUTED_VALUE"""),1589000.0)</f>
        <v>1589000</v>
      </c>
    </row>
    <row r="1902">
      <c r="A1902" s="3">
        <f>IFERROR(__xludf.DUMMYFUNCTION("""COMPUTED_VALUE"""),31967.666666666668)</f>
        <v>31967.66667</v>
      </c>
      <c r="B1902" s="2">
        <f>IFERROR(__xludf.DUMMYFUNCTION("""COMPUTED_VALUE"""),39.7)</f>
        <v>39.7</v>
      </c>
      <c r="C1902" s="2">
        <f>IFERROR(__xludf.DUMMYFUNCTION("""COMPUTED_VALUE"""),39.94)</f>
        <v>39.94</v>
      </c>
      <c r="D1902" s="2">
        <f>IFERROR(__xludf.DUMMYFUNCTION("""COMPUTED_VALUE"""),39.58)</f>
        <v>39.58</v>
      </c>
      <c r="E1902" s="2">
        <f>IFERROR(__xludf.DUMMYFUNCTION("""COMPUTED_VALUE"""),39.7)</f>
        <v>39.7</v>
      </c>
      <c r="F1902" s="2">
        <f>IFERROR(__xludf.DUMMYFUNCTION("""COMPUTED_VALUE"""),1339800.0)</f>
        <v>1339800</v>
      </c>
    </row>
    <row r="1903">
      <c r="A1903" s="3">
        <f>IFERROR(__xludf.DUMMYFUNCTION("""COMPUTED_VALUE"""),31968.666666666668)</f>
        <v>31968.66667</v>
      </c>
      <c r="B1903" s="2">
        <f>IFERROR(__xludf.DUMMYFUNCTION("""COMPUTED_VALUE"""),39.88)</f>
        <v>39.88</v>
      </c>
      <c r="C1903" s="2">
        <f>IFERROR(__xludf.DUMMYFUNCTION("""COMPUTED_VALUE"""),39.94)</f>
        <v>39.94</v>
      </c>
      <c r="D1903" s="2">
        <f>IFERROR(__xludf.DUMMYFUNCTION("""COMPUTED_VALUE"""),39.52)</f>
        <v>39.52</v>
      </c>
      <c r="E1903" s="2">
        <f>IFERROR(__xludf.DUMMYFUNCTION("""COMPUTED_VALUE"""),39.88)</f>
        <v>39.88</v>
      </c>
      <c r="F1903" s="2">
        <f>IFERROR(__xludf.DUMMYFUNCTION("""COMPUTED_VALUE"""),1105300.0)</f>
        <v>1105300</v>
      </c>
    </row>
    <row r="1904">
      <c r="A1904" s="3">
        <f>IFERROR(__xludf.DUMMYFUNCTION("""COMPUTED_VALUE"""),31971.666666666668)</f>
        <v>31971.66667</v>
      </c>
      <c r="B1904" s="2">
        <f>IFERROR(__xludf.DUMMYFUNCTION("""COMPUTED_VALUE"""),40.56)</f>
        <v>40.56</v>
      </c>
      <c r="C1904" s="2">
        <f>IFERROR(__xludf.DUMMYFUNCTION("""COMPUTED_VALUE"""),40.56)</f>
        <v>40.56</v>
      </c>
      <c r="D1904" s="2">
        <f>IFERROR(__xludf.DUMMYFUNCTION("""COMPUTED_VALUE"""),39.91)</f>
        <v>39.91</v>
      </c>
      <c r="E1904" s="2">
        <f>IFERROR(__xludf.DUMMYFUNCTION("""COMPUTED_VALUE"""),40.56)</f>
        <v>40.56</v>
      </c>
      <c r="F1904" s="2">
        <f>IFERROR(__xludf.DUMMYFUNCTION("""COMPUTED_VALUE"""),2366600.0)</f>
        <v>2366600</v>
      </c>
    </row>
    <row r="1905">
      <c r="A1905" s="3">
        <f>IFERROR(__xludf.DUMMYFUNCTION("""COMPUTED_VALUE"""),31972.666666666668)</f>
        <v>31972.66667</v>
      </c>
      <c r="B1905" s="2">
        <f>IFERROR(__xludf.DUMMYFUNCTION("""COMPUTED_VALUE"""),40.0)</f>
        <v>40</v>
      </c>
      <c r="C1905" s="2">
        <f>IFERROR(__xludf.DUMMYFUNCTION("""COMPUTED_VALUE"""),40.56)</f>
        <v>40.56</v>
      </c>
      <c r="D1905" s="2">
        <f>IFERROR(__xludf.DUMMYFUNCTION("""COMPUTED_VALUE"""),39.76)</f>
        <v>39.76</v>
      </c>
      <c r="E1905" s="2">
        <f>IFERROR(__xludf.DUMMYFUNCTION("""COMPUTED_VALUE"""),40.0)</f>
        <v>40</v>
      </c>
      <c r="F1905" s="2">
        <f>IFERROR(__xludf.DUMMYFUNCTION("""COMPUTED_VALUE"""),2380400.0)</f>
        <v>2380400</v>
      </c>
    </row>
    <row r="1906">
      <c r="A1906" s="3">
        <f>IFERROR(__xludf.DUMMYFUNCTION("""COMPUTED_VALUE"""),31973.666666666668)</f>
        <v>31973.66667</v>
      </c>
      <c r="B1906" s="2">
        <f>IFERROR(__xludf.DUMMYFUNCTION("""COMPUTED_VALUE"""),40.12)</f>
        <v>40.12</v>
      </c>
      <c r="C1906" s="2">
        <f>IFERROR(__xludf.DUMMYFUNCTION("""COMPUTED_VALUE"""),40.48)</f>
        <v>40.48</v>
      </c>
      <c r="D1906" s="2">
        <f>IFERROR(__xludf.DUMMYFUNCTION("""COMPUTED_VALUE"""),39.79)</f>
        <v>39.79</v>
      </c>
      <c r="E1906" s="2">
        <f>IFERROR(__xludf.DUMMYFUNCTION("""COMPUTED_VALUE"""),40.12)</f>
        <v>40.12</v>
      </c>
      <c r="F1906" s="2">
        <f>IFERROR(__xludf.DUMMYFUNCTION("""COMPUTED_VALUE"""),2263400.0)</f>
        <v>2263400</v>
      </c>
    </row>
    <row r="1907">
      <c r="A1907" s="3">
        <f>IFERROR(__xludf.DUMMYFUNCTION("""COMPUTED_VALUE"""),31974.666666666668)</f>
        <v>31974.66667</v>
      </c>
      <c r="B1907" s="2">
        <f>IFERROR(__xludf.DUMMYFUNCTION("""COMPUTED_VALUE"""),40.15)</f>
        <v>40.15</v>
      </c>
      <c r="C1907" s="2">
        <f>IFERROR(__xludf.DUMMYFUNCTION("""COMPUTED_VALUE"""),40.3)</f>
        <v>40.3</v>
      </c>
      <c r="D1907" s="2">
        <f>IFERROR(__xludf.DUMMYFUNCTION("""COMPUTED_VALUE"""),39.97)</f>
        <v>39.97</v>
      </c>
      <c r="E1907" s="2">
        <f>IFERROR(__xludf.DUMMYFUNCTION("""COMPUTED_VALUE"""),40.15)</f>
        <v>40.15</v>
      </c>
      <c r="F1907" s="2">
        <f>IFERROR(__xludf.DUMMYFUNCTION("""COMPUTED_VALUE"""),1126100.0)</f>
        <v>1126100</v>
      </c>
    </row>
    <row r="1908">
      <c r="A1908" s="3">
        <f>IFERROR(__xludf.DUMMYFUNCTION("""COMPUTED_VALUE"""),31975.666666666668)</f>
        <v>31975.66667</v>
      </c>
      <c r="B1908" s="2">
        <f>IFERROR(__xludf.DUMMYFUNCTION("""COMPUTED_VALUE"""),39.88)</f>
        <v>39.88</v>
      </c>
      <c r="C1908" s="2">
        <f>IFERROR(__xludf.DUMMYFUNCTION("""COMPUTED_VALUE"""),40.24)</f>
        <v>40.24</v>
      </c>
      <c r="D1908" s="2">
        <f>IFERROR(__xludf.DUMMYFUNCTION("""COMPUTED_VALUE"""),39.82)</f>
        <v>39.82</v>
      </c>
      <c r="E1908" s="2">
        <f>IFERROR(__xludf.DUMMYFUNCTION("""COMPUTED_VALUE"""),39.88)</f>
        <v>39.88</v>
      </c>
      <c r="F1908" s="2">
        <f>IFERROR(__xludf.DUMMYFUNCTION("""COMPUTED_VALUE"""),1665400.0)</f>
        <v>1665400</v>
      </c>
    </row>
    <row r="1909">
      <c r="A1909" s="3">
        <f>IFERROR(__xludf.DUMMYFUNCTION("""COMPUTED_VALUE"""),31978.666666666668)</f>
        <v>31978.66667</v>
      </c>
      <c r="B1909" s="2">
        <f>IFERROR(__xludf.DUMMYFUNCTION("""COMPUTED_VALUE"""),39.31)</f>
        <v>39.31</v>
      </c>
      <c r="C1909" s="2">
        <f>IFERROR(__xludf.DUMMYFUNCTION("""COMPUTED_VALUE"""),39.61)</f>
        <v>39.61</v>
      </c>
      <c r="D1909" s="2">
        <f>IFERROR(__xludf.DUMMYFUNCTION("""COMPUTED_VALUE"""),39.16)</f>
        <v>39.16</v>
      </c>
      <c r="E1909" s="2">
        <f>IFERROR(__xludf.DUMMYFUNCTION("""COMPUTED_VALUE"""),39.31)</f>
        <v>39.31</v>
      </c>
      <c r="F1909" s="2">
        <f>IFERROR(__xludf.DUMMYFUNCTION("""COMPUTED_VALUE"""),1190400.0)</f>
        <v>1190400</v>
      </c>
    </row>
    <row r="1910">
      <c r="A1910" s="3">
        <f>IFERROR(__xludf.DUMMYFUNCTION("""COMPUTED_VALUE"""),31979.666666666668)</f>
        <v>31979.66667</v>
      </c>
      <c r="B1910" s="2">
        <f>IFERROR(__xludf.DUMMYFUNCTION("""COMPUTED_VALUE"""),38.86)</f>
        <v>38.86</v>
      </c>
      <c r="C1910" s="2">
        <f>IFERROR(__xludf.DUMMYFUNCTION("""COMPUTED_VALUE"""),39.31)</f>
        <v>39.31</v>
      </c>
      <c r="D1910" s="2">
        <f>IFERROR(__xludf.DUMMYFUNCTION("""COMPUTED_VALUE"""),38.68)</f>
        <v>38.68</v>
      </c>
      <c r="E1910" s="2">
        <f>IFERROR(__xludf.DUMMYFUNCTION("""COMPUTED_VALUE"""),38.86)</f>
        <v>38.86</v>
      </c>
      <c r="F1910" s="2">
        <f>IFERROR(__xludf.DUMMYFUNCTION("""COMPUTED_VALUE"""),1594000.0)</f>
        <v>1594000</v>
      </c>
    </row>
    <row r="1911">
      <c r="A1911" s="3">
        <f>IFERROR(__xludf.DUMMYFUNCTION("""COMPUTED_VALUE"""),31980.666666666668)</f>
        <v>31980.66667</v>
      </c>
      <c r="B1911" s="2">
        <f>IFERROR(__xludf.DUMMYFUNCTION("""COMPUTED_VALUE"""),38.53)</f>
        <v>38.53</v>
      </c>
      <c r="C1911" s="2">
        <f>IFERROR(__xludf.DUMMYFUNCTION("""COMPUTED_VALUE"""),38.89)</f>
        <v>38.89</v>
      </c>
      <c r="D1911" s="2">
        <f>IFERROR(__xludf.DUMMYFUNCTION("""COMPUTED_VALUE"""),38.51)</f>
        <v>38.51</v>
      </c>
      <c r="E1911" s="2">
        <f>IFERROR(__xludf.DUMMYFUNCTION("""COMPUTED_VALUE"""),38.53)</f>
        <v>38.53</v>
      </c>
      <c r="F1911" s="2">
        <f>IFERROR(__xludf.DUMMYFUNCTION("""COMPUTED_VALUE"""),1445100.0)</f>
        <v>1445100</v>
      </c>
    </row>
    <row r="1912">
      <c r="A1912" s="3">
        <f>IFERROR(__xludf.DUMMYFUNCTION("""COMPUTED_VALUE"""),31981.666666666668)</f>
        <v>31981.66667</v>
      </c>
      <c r="B1912" s="2">
        <f>IFERROR(__xludf.DUMMYFUNCTION("""COMPUTED_VALUE"""),38.24)</f>
        <v>38.24</v>
      </c>
      <c r="C1912" s="2">
        <f>IFERROR(__xludf.DUMMYFUNCTION("""COMPUTED_VALUE"""),38.74)</f>
        <v>38.74</v>
      </c>
      <c r="D1912" s="2">
        <f>IFERROR(__xludf.DUMMYFUNCTION("""COMPUTED_VALUE"""),38.0)</f>
        <v>38</v>
      </c>
      <c r="E1912" s="2">
        <f>IFERROR(__xludf.DUMMYFUNCTION("""COMPUTED_VALUE"""),38.24)</f>
        <v>38.24</v>
      </c>
      <c r="F1912" s="2">
        <f>IFERROR(__xludf.DUMMYFUNCTION("""COMPUTED_VALUE"""),1661900.0)</f>
        <v>1661900</v>
      </c>
    </row>
    <row r="1913">
      <c r="A1913" s="3">
        <f>IFERROR(__xludf.DUMMYFUNCTION("""COMPUTED_VALUE"""),31982.666666666668)</f>
        <v>31982.66667</v>
      </c>
      <c r="B1913" s="2">
        <f>IFERROR(__xludf.DUMMYFUNCTION("""COMPUTED_VALUE"""),38.51)</f>
        <v>38.51</v>
      </c>
      <c r="C1913" s="2">
        <f>IFERROR(__xludf.DUMMYFUNCTION("""COMPUTED_VALUE"""),38.56)</f>
        <v>38.56</v>
      </c>
      <c r="D1913" s="2">
        <f>IFERROR(__xludf.DUMMYFUNCTION("""COMPUTED_VALUE"""),38.24)</f>
        <v>38.24</v>
      </c>
      <c r="E1913" s="2">
        <f>IFERROR(__xludf.DUMMYFUNCTION("""COMPUTED_VALUE"""),38.51)</f>
        <v>38.51</v>
      </c>
      <c r="F1913" s="2">
        <f>IFERROR(__xludf.DUMMYFUNCTION("""COMPUTED_VALUE"""),885900.0)</f>
        <v>885900</v>
      </c>
    </row>
    <row r="1914">
      <c r="A1914" s="3">
        <f>IFERROR(__xludf.DUMMYFUNCTION("""COMPUTED_VALUE"""),31985.666666666668)</f>
        <v>31985.66667</v>
      </c>
      <c r="B1914" s="2">
        <f>IFERROR(__xludf.DUMMYFUNCTION("""COMPUTED_VALUE"""),38.71)</f>
        <v>38.71</v>
      </c>
      <c r="C1914" s="2">
        <f>IFERROR(__xludf.DUMMYFUNCTION("""COMPUTED_VALUE"""),38.83)</f>
        <v>38.83</v>
      </c>
      <c r="D1914" s="2">
        <f>IFERROR(__xludf.DUMMYFUNCTION("""COMPUTED_VALUE"""),38.42)</f>
        <v>38.42</v>
      </c>
      <c r="E1914" s="2">
        <f>IFERROR(__xludf.DUMMYFUNCTION("""COMPUTED_VALUE"""),38.71)</f>
        <v>38.71</v>
      </c>
      <c r="F1914" s="2">
        <f>IFERROR(__xludf.DUMMYFUNCTION("""COMPUTED_VALUE"""),903900.0)</f>
        <v>903900</v>
      </c>
    </row>
    <row r="1915">
      <c r="A1915" s="3">
        <f>IFERROR(__xludf.DUMMYFUNCTION("""COMPUTED_VALUE"""),31986.666666666668)</f>
        <v>31986.66667</v>
      </c>
      <c r="B1915" s="2">
        <f>IFERROR(__xludf.DUMMYFUNCTION("""COMPUTED_VALUE"""),38.51)</f>
        <v>38.51</v>
      </c>
      <c r="C1915" s="2">
        <f>IFERROR(__xludf.DUMMYFUNCTION("""COMPUTED_VALUE"""),38.89)</f>
        <v>38.89</v>
      </c>
      <c r="D1915" s="2">
        <f>IFERROR(__xludf.DUMMYFUNCTION("""COMPUTED_VALUE"""),38.24)</f>
        <v>38.24</v>
      </c>
      <c r="E1915" s="2">
        <f>IFERROR(__xludf.DUMMYFUNCTION("""COMPUTED_VALUE"""),38.51)</f>
        <v>38.51</v>
      </c>
      <c r="F1915" s="2">
        <f>IFERROR(__xludf.DUMMYFUNCTION("""COMPUTED_VALUE"""),1222900.0)</f>
        <v>1222900</v>
      </c>
    </row>
    <row r="1916">
      <c r="A1916" s="3">
        <f>IFERROR(__xludf.DUMMYFUNCTION("""COMPUTED_VALUE"""),31987.666666666668)</f>
        <v>31987.66667</v>
      </c>
      <c r="B1916" s="2">
        <f>IFERROR(__xludf.DUMMYFUNCTION("""COMPUTED_VALUE"""),38.56)</f>
        <v>38.56</v>
      </c>
      <c r="C1916" s="2">
        <f>IFERROR(__xludf.DUMMYFUNCTION("""COMPUTED_VALUE"""),38.62)</f>
        <v>38.62</v>
      </c>
      <c r="D1916" s="2">
        <f>IFERROR(__xludf.DUMMYFUNCTION("""COMPUTED_VALUE"""),38.12)</f>
        <v>38.12</v>
      </c>
      <c r="E1916" s="2">
        <f>IFERROR(__xludf.DUMMYFUNCTION("""COMPUTED_VALUE"""),38.56)</f>
        <v>38.56</v>
      </c>
      <c r="F1916" s="2">
        <f>IFERROR(__xludf.DUMMYFUNCTION("""COMPUTED_VALUE"""),1346900.0)</f>
        <v>1346900</v>
      </c>
    </row>
    <row r="1917">
      <c r="A1917" s="3">
        <f>IFERROR(__xludf.DUMMYFUNCTION("""COMPUTED_VALUE"""),31988.666666666668)</f>
        <v>31988.66667</v>
      </c>
      <c r="B1917" s="2">
        <f>IFERROR(__xludf.DUMMYFUNCTION("""COMPUTED_VALUE"""),38.77)</f>
        <v>38.77</v>
      </c>
      <c r="C1917" s="2">
        <f>IFERROR(__xludf.DUMMYFUNCTION("""COMPUTED_VALUE"""),38.8)</f>
        <v>38.8</v>
      </c>
      <c r="D1917" s="2">
        <f>IFERROR(__xludf.DUMMYFUNCTION("""COMPUTED_VALUE"""),38.36)</f>
        <v>38.36</v>
      </c>
      <c r="E1917" s="2">
        <f>IFERROR(__xludf.DUMMYFUNCTION("""COMPUTED_VALUE"""),38.77)</f>
        <v>38.77</v>
      </c>
      <c r="F1917" s="2">
        <f>IFERROR(__xludf.DUMMYFUNCTION("""COMPUTED_VALUE"""),1735100.0)</f>
        <v>1735100</v>
      </c>
    </row>
    <row r="1918">
      <c r="A1918" s="3">
        <f>IFERROR(__xludf.DUMMYFUNCTION("""COMPUTED_VALUE"""),31989.666666666668)</f>
        <v>31989.66667</v>
      </c>
      <c r="B1918" s="2">
        <f>IFERROR(__xludf.DUMMYFUNCTION("""COMPUTED_VALUE"""),38.45)</f>
        <v>38.45</v>
      </c>
      <c r="C1918" s="2">
        <f>IFERROR(__xludf.DUMMYFUNCTION("""COMPUTED_VALUE"""),38.92)</f>
        <v>38.92</v>
      </c>
      <c r="D1918" s="2">
        <f>IFERROR(__xludf.DUMMYFUNCTION("""COMPUTED_VALUE"""),38.39)</f>
        <v>38.39</v>
      </c>
      <c r="E1918" s="2">
        <f>IFERROR(__xludf.DUMMYFUNCTION("""COMPUTED_VALUE"""),38.45)</f>
        <v>38.45</v>
      </c>
      <c r="F1918" s="2">
        <f>IFERROR(__xludf.DUMMYFUNCTION("""COMPUTED_VALUE"""),1218700.0)</f>
        <v>1218700</v>
      </c>
    </row>
    <row r="1919">
      <c r="A1919" s="3">
        <f>IFERROR(__xludf.DUMMYFUNCTION("""COMPUTED_VALUE"""),31992.666666666668)</f>
        <v>31992.66667</v>
      </c>
      <c r="B1919" s="2">
        <f>IFERROR(__xludf.DUMMYFUNCTION("""COMPUTED_VALUE"""),38.03)</f>
        <v>38.03</v>
      </c>
      <c r="C1919" s="2">
        <f>IFERROR(__xludf.DUMMYFUNCTION("""COMPUTED_VALUE"""),38.42)</f>
        <v>38.42</v>
      </c>
      <c r="D1919" s="2">
        <f>IFERROR(__xludf.DUMMYFUNCTION("""COMPUTED_VALUE"""),37.91)</f>
        <v>37.91</v>
      </c>
      <c r="E1919" s="2">
        <f>IFERROR(__xludf.DUMMYFUNCTION("""COMPUTED_VALUE"""),38.03)</f>
        <v>38.03</v>
      </c>
      <c r="F1919" s="2">
        <f>IFERROR(__xludf.DUMMYFUNCTION("""COMPUTED_VALUE"""),2058200.0)</f>
        <v>2058200</v>
      </c>
    </row>
    <row r="1920">
      <c r="A1920" s="3">
        <f>IFERROR(__xludf.DUMMYFUNCTION("""COMPUTED_VALUE"""),31993.666666666668)</f>
        <v>31993.66667</v>
      </c>
      <c r="B1920" s="2">
        <f>IFERROR(__xludf.DUMMYFUNCTION("""COMPUTED_VALUE"""),38.06)</f>
        <v>38.06</v>
      </c>
      <c r="C1920" s="2">
        <f>IFERROR(__xludf.DUMMYFUNCTION("""COMPUTED_VALUE"""),38.21)</f>
        <v>38.21</v>
      </c>
      <c r="D1920" s="2">
        <f>IFERROR(__xludf.DUMMYFUNCTION("""COMPUTED_VALUE"""),37.85)</f>
        <v>37.85</v>
      </c>
      <c r="E1920" s="2">
        <f>IFERROR(__xludf.DUMMYFUNCTION("""COMPUTED_VALUE"""),38.06)</f>
        <v>38.06</v>
      </c>
      <c r="F1920" s="2">
        <f>IFERROR(__xludf.DUMMYFUNCTION("""COMPUTED_VALUE"""),1668400.0)</f>
        <v>1668400</v>
      </c>
    </row>
    <row r="1921">
      <c r="A1921" s="3">
        <f>IFERROR(__xludf.DUMMYFUNCTION("""COMPUTED_VALUE"""),31994.666666666668)</f>
        <v>31994.66667</v>
      </c>
      <c r="B1921" s="2">
        <f>IFERROR(__xludf.DUMMYFUNCTION("""COMPUTED_VALUE"""),38.27)</f>
        <v>38.27</v>
      </c>
      <c r="C1921" s="2">
        <f>IFERROR(__xludf.DUMMYFUNCTION("""COMPUTED_VALUE"""),38.45)</f>
        <v>38.45</v>
      </c>
      <c r="D1921" s="2">
        <f>IFERROR(__xludf.DUMMYFUNCTION("""COMPUTED_VALUE"""),38.15)</f>
        <v>38.15</v>
      </c>
      <c r="E1921" s="2">
        <f>IFERROR(__xludf.DUMMYFUNCTION("""COMPUTED_VALUE"""),38.27)</f>
        <v>38.27</v>
      </c>
      <c r="F1921" s="2">
        <f>IFERROR(__xludf.DUMMYFUNCTION("""COMPUTED_VALUE"""),2435800.0)</f>
        <v>2435800</v>
      </c>
    </row>
    <row r="1922">
      <c r="A1922" s="3">
        <f>IFERROR(__xludf.DUMMYFUNCTION("""COMPUTED_VALUE"""),31995.666666666668)</f>
        <v>31995.66667</v>
      </c>
      <c r="B1922" s="2">
        <f>IFERROR(__xludf.DUMMYFUNCTION("""COMPUTED_VALUE"""),38.92)</f>
        <v>38.92</v>
      </c>
      <c r="C1922" s="2">
        <f>IFERROR(__xludf.DUMMYFUNCTION("""COMPUTED_VALUE"""),38.98)</f>
        <v>38.98</v>
      </c>
      <c r="D1922" s="2">
        <f>IFERROR(__xludf.DUMMYFUNCTION("""COMPUTED_VALUE"""),38.0)</f>
        <v>38</v>
      </c>
      <c r="E1922" s="2">
        <f>IFERROR(__xludf.DUMMYFUNCTION("""COMPUTED_VALUE"""),38.92)</f>
        <v>38.92</v>
      </c>
      <c r="F1922" s="2">
        <f>IFERROR(__xludf.DUMMYFUNCTION("""COMPUTED_VALUE"""),2284000.0)</f>
        <v>2284000</v>
      </c>
    </row>
    <row r="1923">
      <c r="A1923" s="3">
        <f>IFERROR(__xludf.DUMMYFUNCTION("""COMPUTED_VALUE"""),31996.666666666668)</f>
        <v>31996.66667</v>
      </c>
      <c r="B1923" s="2">
        <f>IFERROR(__xludf.DUMMYFUNCTION("""COMPUTED_VALUE"""),39.25)</f>
        <v>39.25</v>
      </c>
      <c r="C1923" s="2">
        <f>IFERROR(__xludf.DUMMYFUNCTION("""COMPUTED_VALUE"""),39.55)</f>
        <v>39.55</v>
      </c>
      <c r="D1923" s="2">
        <f>IFERROR(__xludf.DUMMYFUNCTION("""COMPUTED_VALUE"""),38.92)</f>
        <v>38.92</v>
      </c>
      <c r="E1923" s="2">
        <f>IFERROR(__xludf.DUMMYFUNCTION("""COMPUTED_VALUE"""),39.25)</f>
        <v>39.25</v>
      </c>
      <c r="F1923" s="2">
        <f>IFERROR(__xludf.DUMMYFUNCTION("""COMPUTED_VALUE"""),2386900.0)</f>
        <v>2386900</v>
      </c>
    </row>
    <row r="1924">
      <c r="A1924" s="3">
        <f>IFERROR(__xludf.DUMMYFUNCTION("""COMPUTED_VALUE"""),31999.666666666668)</f>
        <v>31999.66667</v>
      </c>
      <c r="B1924" s="2">
        <f>IFERROR(__xludf.DUMMYFUNCTION("""COMPUTED_VALUE"""),39.82)</f>
        <v>39.82</v>
      </c>
      <c r="C1924" s="2">
        <f>IFERROR(__xludf.DUMMYFUNCTION("""COMPUTED_VALUE"""),39.82)</f>
        <v>39.82</v>
      </c>
      <c r="D1924" s="2">
        <f>IFERROR(__xludf.DUMMYFUNCTION("""COMPUTED_VALUE"""),39.28)</f>
        <v>39.28</v>
      </c>
      <c r="E1924" s="2">
        <f>IFERROR(__xludf.DUMMYFUNCTION("""COMPUTED_VALUE"""),39.82)</f>
        <v>39.82</v>
      </c>
      <c r="F1924" s="2">
        <f>IFERROR(__xludf.DUMMYFUNCTION("""COMPUTED_VALUE"""),1632300.0)</f>
        <v>1632300</v>
      </c>
    </row>
    <row r="1925">
      <c r="A1925" s="3">
        <f>IFERROR(__xludf.DUMMYFUNCTION("""COMPUTED_VALUE"""),32000.666666666668)</f>
        <v>32000.66667</v>
      </c>
      <c r="B1925" s="2">
        <f>IFERROR(__xludf.DUMMYFUNCTION("""COMPUTED_VALUE"""),40.36)</f>
        <v>40.36</v>
      </c>
      <c r="C1925" s="2">
        <f>IFERROR(__xludf.DUMMYFUNCTION("""COMPUTED_VALUE"""),40.5)</f>
        <v>40.5</v>
      </c>
      <c r="D1925" s="2">
        <f>IFERROR(__xludf.DUMMYFUNCTION("""COMPUTED_VALUE"""),39.91)</f>
        <v>39.91</v>
      </c>
      <c r="E1925" s="2">
        <f>IFERROR(__xludf.DUMMYFUNCTION("""COMPUTED_VALUE"""),40.36)</f>
        <v>40.36</v>
      </c>
      <c r="F1925" s="2">
        <f>IFERROR(__xludf.DUMMYFUNCTION("""COMPUTED_VALUE"""),3203300.0)</f>
        <v>3203300</v>
      </c>
    </row>
    <row r="1926">
      <c r="A1926" s="3">
        <f>IFERROR(__xludf.DUMMYFUNCTION("""COMPUTED_VALUE"""),32001.666666666668)</f>
        <v>32001.66667</v>
      </c>
      <c r="B1926" s="2">
        <f>IFERROR(__xludf.DUMMYFUNCTION("""COMPUTED_VALUE"""),40.68)</f>
        <v>40.68</v>
      </c>
      <c r="C1926" s="2">
        <f>IFERROR(__xludf.DUMMYFUNCTION("""COMPUTED_VALUE"""),41.1)</f>
        <v>41.1</v>
      </c>
      <c r="D1926" s="2">
        <f>IFERROR(__xludf.DUMMYFUNCTION("""COMPUTED_VALUE"""),40.27)</f>
        <v>40.27</v>
      </c>
      <c r="E1926" s="2">
        <f>IFERROR(__xludf.DUMMYFUNCTION("""COMPUTED_VALUE"""),40.68)</f>
        <v>40.68</v>
      </c>
      <c r="F1926" s="2">
        <f>IFERROR(__xludf.DUMMYFUNCTION("""COMPUTED_VALUE"""),3299900.0)</f>
        <v>3299900</v>
      </c>
    </row>
    <row r="1927">
      <c r="A1927" s="3">
        <f>IFERROR(__xludf.DUMMYFUNCTION("""COMPUTED_VALUE"""),32002.666666666668)</f>
        <v>32002.66667</v>
      </c>
      <c r="B1927" s="2">
        <f>IFERROR(__xludf.DUMMYFUNCTION("""COMPUTED_VALUE"""),41.4)</f>
        <v>41.4</v>
      </c>
      <c r="C1927" s="2">
        <f>IFERROR(__xludf.DUMMYFUNCTION("""COMPUTED_VALUE"""),41.55)</f>
        <v>41.55</v>
      </c>
      <c r="D1927" s="2">
        <f>IFERROR(__xludf.DUMMYFUNCTION("""COMPUTED_VALUE"""),40.68)</f>
        <v>40.68</v>
      </c>
      <c r="E1927" s="2">
        <f>IFERROR(__xludf.DUMMYFUNCTION("""COMPUTED_VALUE"""),41.4)</f>
        <v>41.4</v>
      </c>
      <c r="F1927" s="2">
        <f>IFERROR(__xludf.DUMMYFUNCTION("""COMPUTED_VALUE"""),2588300.0)</f>
        <v>2588300</v>
      </c>
    </row>
    <row r="1928">
      <c r="A1928" s="3">
        <f>IFERROR(__xludf.DUMMYFUNCTION("""COMPUTED_VALUE"""),32003.666666666668)</f>
        <v>32003.66667</v>
      </c>
      <c r="B1928" s="2">
        <f>IFERROR(__xludf.DUMMYFUNCTION("""COMPUTED_VALUE"""),41.37)</f>
        <v>41.37</v>
      </c>
      <c r="C1928" s="2">
        <f>IFERROR(__xludf.DUMMYFUNCTION("""COMPUTED_VALUE"""),41.79)</f>
        <v>41.79</v>
      </c>
      <c r="D1928" s="2">
        <f>IFERROR(__xludf.DUMMYFUNCTION("""COMPUTED_VALUE"""),41.07)</f>
        <v>41.07</v>
      </c>
      <c r="E1928" s="2">
        <f>IFERROR(__xludf.DUMMYFUNCTION("""COMPUTED_VALUE"""),41.37)</f>
        <v>41.37</v>
      </c>
      <c r="F1928" s="2">
        <f>IFERROR(__xludf.DUMMYFUNCTION("""COMPUTED_VALUE"""),2110800.0)</f>
        <v>2110800</v>
      </c>
    </row>
    <row r="1929">
      <c r="A1929" s="3">
        <f>IFERROR(__xludf.DUMMYFUNCTION("""COMPUTED_VALUE"""),32006.666666666668)</f>
        <v>32006.66667</v>
      </c>
      <c r="B1929" s="2">
        <f>IFERROR(__xludf.DUMMYFUNCTION("""COMPUTED_VALUE"""),41.67)</f>
        <v>41.67</v>
      </c>
      <c r="C1929" s="2">
        <f>IFERROR(__xludf.DUMMYFUNCTION("""COMPUTED_VALUE"""),41.73)</f>
        <v>41.73</v>
      </c>
      <c r="D1929" s="2">
        <f>IFERROR(__xludf.DUMMYFUNCTION("""COMPUTED_VALUE"""),41.37)</f>
        <v>41.37</v>
      </c>
      <c r="E1929" s="2">
        <f>IFERROR(__xludf.DUMMYFUNCTION("""COMPUTED_VALUE"""),41.67)</f>
        <v>41.67</v>
      </c>
      <c r="F1929" s="2">
        <f>IFERROR(__xludf.DUMMYFUNCTION("""COMPUTED_VALUE"""),1514600.0)</f>
        <v>1514600</v>
      </c>
    </row>
    <row r="1930">
      <c r="A1930" s="3">
        <f>IFERROR(__xludf.DUMMYFUNCTION("""COMPUTED_VALUE"""),32007.666666666668)</f>
        <v>32007.66667</v>
      </c>
      <c r="B1930" s="2">
        <f>IFERROR(__xludf.DUMMYFUNCTION("""COMPUTED_VALUE"""),41.28)</f>
        <v>41.28</v>
      </c>
      <c r="C1930" s="2">
        <f>IFERROR(__xludf.DUMMYFUNCTION("""COMPUTED_VALUE"""),41.52)</f>
        <v>41.52</v>
      </c>
      <c r="D1930" s="2">
        <f>IFERROR(__xludf.DUMMYFUNCTION("""COMPUTED_VALUE"""),40.83)</f>
        <v>40.83</v>
      </c>
      <c r="E1930" s="2">
        <f>IFERROR(__xludf.DUMMYFUNCTION("""COMPUTED_VALUE"""),41.28)</f>
        <v>41.28</v>
      </c>
      <c r="F1930" s="2">
        <f>IFERROR(__xludf.DUMMYFUNCTION("""COMPUTED_VALUE"""),2439800.0)</f>
        <v>2439800</v>
      </c>
    </row>
    <row r="1931">
      <c r="A1931" s="3">
        <f>IFERROR(__xludf.DUMMYFUNCTION("""COMPUTED_VALUE"""),32008.666666666668)</f>
        <v>32008.66667</v>
      </c>
      <c r="B1931" s="2">
        <f>IFERROR(__xludf.DUMMYFUNCTION("""COMPUTED_VALUE"""),41.22)</f>
        <v>41.22</v>
      </c>
      <c r="C1931" s="2">
        <f>IFERROR(__xludf.DUMMYFUNCTION("""COMPUTED_VALUE"""),41.37)</f>
        <v>41.37</v>
      </c>
      <c r="D1931" s="2">
        <f>IFERROR(__xludf.DUMMYFUNCTION("""COMPUTED_VALUE"""),40.74)</f>
        <v>40.74</v>
      </c>
      <c r="E1931" s="2">
        <f>IFERROR(__xludf.DUMMYFUNCTION("""COMPUTED_VALUE"""),41.22)</f>
        <v>41.22</v>
      </c>
      <c r="F1931" s="2">
        <f>IFERROR(__xludf.DUMMYFUNCTION("""COMPUTED_VALUE"""),1915800.0)</f>
        <v>1915800</v>
      </c>
    </row>
    <row r="1932">
      <c r="A1932" s="3">
        <f>IFERROR(__xludf.DUMMYFUNCTION("""COMPUTED_VALUE"""),32009.666666666668)</f>
        <v>32009.66667</v>
      </c>
      <c r="B1932" s="2">
        <f>IFERROR(__xludf.DUMMYFUNCTION("""COMPUTED_VALUE"""),41.73)</f>
        <v>41.73</v>
      </c>
      <c r="C1932" s="2">
        <f>IFERROR(__xludf.DUMMYFUNCTION("""COMPUTED_VALUE"""),41.85)</f>
        <v>41.85</v>
      </c>
      <c r="D1932" s="2">
        <f>IFERROR(__xludf.DUMMYFUNCTION("""COMPUTED_VALUE"""),41.34)</f>
        <v>41.34</v>
      </c>
      <c r="E1932" s="2">
        <f>IFERROR(__xludf.DUMMYFUNCTION("""COMPUTED_VALUE"""),41.73)</f>
        <v>41.73</v>
      </c>
      <c r="F1932" s="2">
        <f>IFERROR(__xludf.DUMMYFUNCTION("""COMPUTED_VALUE"""),1882400.0)</f>
        <v>1882400</v>
      </c>
    </row>
    <row r="1933">
      <c r="A1933" s="3">
        <f>IFERROR(__xludf.DUMMYFUNCTION("""COMPUTED_VALUE"""),32010.666666666668)</f>
        <v>32010.66667</v>
      </c>
      <c r="B1933" s="2">
        <f>IFERROR(__xludf.DUMMYFUNCTION("""COMPUTED_VALUE"""),41.73)</f>
        <v>41.73</v>
      </c>
      <c r="C1933" s="2">
        <f>IFERROR(__xludf.DUMMYFUNCTION("""COMPUTED_VALUE"""),42.0)</f>
        <v>42</v>
      </c>
      <c r="D1933" s="2">
        <f>IFERROR(__xludf.DUMMYFUNCTION("""COMPUTED_VALUE"""),41.67)</f>
        <v>41.67</v>
      </c>
      <c r="E1933" s="2">
        <f>IFERROR(__xludf.DUMMYFUNCTION("""COMPUTED_VALUE"""),41.73)</f>
        <v>41.73</v>
      </c>
      <c r="F1933" s="2">
        <f>IFERROR(__xludf.DUMMYFUNCTION("""COMPUTED_VALUE"""),2266600.0)</f>
        <v>2266600</v>
      </c>
    </row>
    <row r="1934">
      <c r="A1934" s="3">
        <f>IFERROR(__xludf.DUMMYFUNCTION("""COMPUTED_VALUE"""),32013.666666666668)</f>
        <v>32013.66667</v>
      </c>
      <c r="B1934" s="2">
        <f>IFERROR(__xludf.DUMMYFUNCTION("""COMPUTED_VALUE"""),41.7)</f>
        <v>41.7</v>
      </c>
      <c r="C1934" s="2">
        <f>IFERROR(__xludf.DUMMYFUNCTION("""COMPUTED_VALUE"""),41.82)</f>
        <v>41.82</v>
      </c>
      <c r="D1934" s="2">
        <f>IFERROR(__xludf.DUMMYFUNCTION("""COMPUTED_VALUE"""),41.34)</f>
        <v>41.34</v>
      </c>
      <c r="E1934" s="2">
        <f>IFERROR(__xludf.DUMMYFUNCTION("""COMPUTED_VALUE"""),41.7)</f>
        <v>41.7</v>
      </c>
      <c r="F1934" s="2">
        <f>IFERROR(__xludf.DUMMYFUNCTION("""COMPUTED_VALUE"""),1637900.0)</f>
        <v>1637900</v>
      </c>
    </row>
    <row r="1935">
      <c r="A1935" s="3">
        <f>IFERROR(__xludf.DUMMYFUNCTION("""COMPUTED_VALUE"""),32014.666666666668)</f>
        <v>32014.66667</v>
      </c>
      <c r="B1935" s="2">
        <f>IFERROR(__xludf.DUMMYFUNCTION("""COMPUTED_VALUE"""),41.07)</f>
        <v>41.07</v>
      </c>
      <c r="C1935" s="2">
        <f>IFERROR(__xludf.DUMMYFUNCTION("""COMPUTED_VALUE"""),41.76)</f>
        <v>41.76</v>
      </c>
      <c r="D1935" s="2">
        <f>IFERROR(__xludf.DUMMYFUNCTION("""COMPUTED_VALUE"""),40.83)</f>
        <v>40.83</v>
      </c>
      <c r="E1935" s="2">
        <f>IFERROR(__xludf.DUMMYFUNCTION("""COMPUTED_VALUE"""),41.07)</f>
        <v>41.07</v>
      </c>
      <c r="F1935" s="2">
        <f>IFERROR(__xludf.DUMMYFUNCTION("""COMPUTED_VALUE"""),2035400.0)</f>
        <v>2035400</v>
      </c>
    </row>
    <row r="1936">
      <c r="A1936" s="3">
        <f>IFERROR(__xludf.DUMMYFUNCTION("""COMPUTED_VALUE"""),32015.666666666668)</f>
        <v>32015.66667</v>
      </c>
      <c r="B1936" s="2">
        <f>IFERROR(__xludf.DUMMYFUNCTION("""COMPUTED_VALUE"""),40.09)</f>
        <v>40.09</v>
      </c>
      <c r="C1936" s="2">
        <f>IFERROR(__xludf.DUMMYFUNCTION("""COMPUTED_VALUE"""),40.48)</f>
        <v>40.48</v>
      </c>
      <c r="D1936" s="2">
        <f>IFERROR(__xludf.DUMMYFUNCTION("""COMPUTED_VALUE"""),39.82)</f>
        <v>39.82</v>
      </c>
      <c r="E1936" s="2">
        <f>IFERROR(__xludf.DUMMYFUNCTION("""COMPUTED_VALUE"""),40.09)</f>
        <v>40.09</v>
      </c>
      <c r="F1936" s="2">
        <f>IFERROR(__xludf.DUMMYFUNCTION("""COMPUTED_VALUE"""),3993300.0)</f>
        <v>3993300</v>
      </c>
    </row>
    <row r="1937">
      <c r="A1937" s="3">
        <f>IFERROR(__xludf.DUMMYFUNCTION("""COMPUTED_VALUE"""),32016.666666666668)</f>
        <v>32016.66667</v>
      </c>
      <c r="B1937" s="2">
        <f>IFERROR(__xludf.DUMMYFUNCTION("""COMPUTED_VALUE"""),39.7)</f>
        <v>39.7</v>
      </c>
      <c r="C1937" s="2">
        <f>IFERROR(__xludf.DUMMYFUNCTION("""COMPUTED_VALUE"""),40.21)</f>
        <v>40.21</v>
      </c>
      <c r="D1937" s="2">
        <f>IFERROR(__xludf.DUMMYFUNCTION("""COMPUTED_VALUE"""),39.61)</f>
        <v>39.61</v>
      </c>
      <c r="E1937" s="2">
        <f>IFERROR(__xludf.DUMMYFUNCTION("""COMPUTED_VALUE"""),39.7)</f>
        <v>39.7</v>
      </c>
      <c r="F1937" s="2">
        <f>IFERROR(__xludf.DUMMYFUNCTION("""COMPUTED_VALUE"""),2329300.0)</f>
        <v>2329300</v>
      </c>
    </row>
    <row r="1938">
      <c r="A1938" s="3">
        <f>IFERROR(__xludf.DUMMYFUNCTION("""COMPUTED_VALUE"""),32017.666666666668)</f>
        <v>32017.66667</v>
      </c>
      <c r="B1938" s="2">
        <f>IFERROR(__xludf.DUMMYFUNCTION("""COMPUTED_VALUE"""),39.76)</f>
        <v>39.76</v>
      </c>
      <c r="C1938" s="2">
        <f>IFERROR(__xludf.DUMMYFUNCTION("""COMPUTED_VALUE"""),40.12)</f>
        <v>40.12</v>
      </c>
      <c r="D1938" s="2">
        <f>IFERROR(__xludf.DUMMYFUNCTION("""COMPUTED_VALUE"""),39.46)</f>
        <v>39.46</v>
      </c>
      <c r="E1938" s="2">
        <f>IFERROR(__xludf.DUMMYFUNCTION("""COMPUTED_VALUE"""),39.76)</f>
        <v>39.76</v>
      </c>
      <c r="F1938" s="2">
        <f>IFERROR(__xludf.DUMMYFUNCTION("""COMPUTED_VALUE"""),1877100.0)</f>
        <v>1877100</v>
      </c>
    </row>
    <row r="1939">
      <c r="A1939" s="3">
        <f>IFERROR(__xludf.DUMMYFUNCTION("""COMPUTED_VALUE"""),32020.666666666668)</f>
        <v>32020.66667</v>
      </c>
      <c r="B1939" s="2">
        <f>IFERROR(__xludf.DUMMYFUNCTION("""COMPUTED_VALUE"""),40.21)</f>
        <v>40.21</v>
      </c>
      <c r="C1939" s="2">
        <f>IFERROR(__xludf.DUMMYFUNCTION("""COMPUTED_VALUE"""),40.48)</f>
        <v>40.48</v>
      </c>
      <c r="D1939" s="2">
        <f>IFERROR(__xludf.DUMMYFUNCTION("""COMPUTED_VALUE"""),39.76)</f>
        <v>39.76</v>
      </c>
      <c r="E1939" s="2">
        <f>IFERROR(__xludf.DUMMYFUNCTION("""COMPUTED_VALUE"""),40.21)</f>
        <v>40.21</v>
      </c>
      <c r="F1939" s="2">
        <f>IFERROR(__xludf.DUMMYFUNCTION("""COMPUTED_VALUE"""),1786600.0)</f>
        <v>1786600</v>
      </c>
    </row>
    <row r="1940">
      <c r="A1940" s="3">
        <f>IFERROR(__xludf.DUMMYFUNCTION("""COMPUTED_VALUE"""),32021.666666666668)</f>
        <v>32021.66667</v>
      </c>
      <c r="B1940" s="2">
        <f>IFERROR(__xludf.DUMMYFUNCTION("""COMPUTED_VALUE"""),38.89)</f>
        <v>38.89</v>
      </c>
      <c r="C1940" s="2">
        <f>IFERROR(__xludf.DUMMYFUNCTION("""COMPUTED_VALUE"""),40.45)</f>
        <v>40.45</v>
      </c>
      <c r="D1940" s="2">
        <f>IFERROR(__xludf.DUMMYFUNCTION("""COMPUTED_VALUE"""),38.74)</f>
        <v>38.74</v>
      </c>
      <c r="E1940" s="2">
        <f>IFERROR(__xludf.DUMMYFUNCTION("""COMPUTED_VALUE"""),38.89)</f>
        <v>38.89</v>
      </c>
      <c r="F1940" s="2">
        <f>IFERROR(__xludf.DUMMYFUNCTION("""COMPUTED_VALUE"""),2220200.0)</f>
        <v>2220200</v>
      </c>
    </row>
    <row r="1941">
      <c r="A1941" s="3">
        <f>IFERROR(__xludf.DUMMYFUNCTION("""COMPUTED_VALUE"""),32022.666666666668)</f>
        <v>32022.66667</v>
      </c>
      <c r="B1941" s="2">
        <f>IFERROR(__xludf.DUMMYFUNCTION("""COMPUTED_VALUE"""),38.8)</f>
        <v>38.8</v>
      </c>
      <c r="C1941" s="2">
        <f>IFERROR(__xludf.DUMMYFUNCTION("""COMPUTED_VALUE"""),39.19)</f>
        <v>39.19</v>
      </c>
      <c r="D1941" s="2">
        <f>IFERROR(__xludf.DUMMYFUNCTION("""COMPUTED_VALUE"""),38.51)</f>
        <v>38.51</v>
      </c>
      <c r="E1941" s="2">
        <f>IFERROR(__xludf.DUMMYFUNCTION("""COMPUTED_VALUE"""),38.8)</f>
        <v>38.8</v>
      </c>
      <c r="F1941" s="2">
        <f>IFERROR(__xludf.DUMMYFUNCTION("""COMPUTED_VALUE"""),2963200.0)</f>
        <v>2963200</v>
      </c>
    </row>
    <row r="1942">
      <c r="A1942" s="3">
        <f>IFERROR(__xludf.DUMMYFUNCTION("""COMPUTED_VALUE"""),32023.666666666668)</f>
        <v>32023.66667</v>
      </c>
      <c r="B1942" s="2">
        <f>IFERROR(__xludf.DUMMYFUNCTION("""COMPUTED_VALUE"""),38.59)</f>
        <v>38.59</v>
      </c>
      <c r="C1942" s="2">
        <f>IFERROR(__xludf.DUMMYFUNCTION("""COMPUTED_VALUE"""),39.04)</f>
        <v>39.04</v>
      </c>
      <c r="D1942" s="2">
        <f>IFERROR(__xludf.DUMMYFUNCTION("""COMPUTED_VALUE"""),38.27)</f>
        <v>38.27</v>
      </c>
      <c r="E1942" s="2">
        <f>IFERROR(__xludf.DUMMYFUNCTION("""COMPUTED_VALUE"""),38.59)</f>
        <v>38.59</v>
      </c>
      <c r="F1942" s="2">
        <f>IFERROR(__xludf.DUMMYFUNCTION("""COMPUTED_VALUE"""),2226100.0)</f>
        <v>2226100</v>
      </c>
    </row>
    <row r="1943">
      <c r="A1943" s="3">
        <f>IFERROR(__xludf.DUMMYFUNCTION("""COMPUTED_VALUE"""),32024.666666666668)</f>
        <v>32024.66667</v>
      </c>
      <c r="B1943" s="2">
        <f>IFERROR(__xludf.DUMMYFUNCTION("""COMPUTED_VALUE"""),38.39)</f>
        <v>38.39</v>
      </c>
      <c r="C1943" s="2">
        <f>IFERROR(__xludf.DUMMYFUNCTION("""COMPUTED_VALUE"""),38.86)</f>
        <v>38.86</v>
      </c>
      <c r="D1943" s="2">
        <f>IFERROR(__xludf.DUMMYFUNCTION("""COMPUTED_VALUE"""),38.36)</f>
        <v>38.36</v>
      </c>
      <c r="E1943" s="2">
        <f>IFERROR(__xludf.DUMMYFUNCTION("""COMPUTED_VALUE"""),38.39)</f>
        <v>38.39</v>
      </c>
      <c r="F1943" s="2">
        <f>IFERROR(__xludf.DUMMYFUNCTION("""COMPUTED_VALUE"""),1476100.0)</f>
        <v>1476100</v>
      </c>
    </row>
    <row r="1944">
      <c r="A1944" s="3">
        <f>IFERROR(__xludf.DUMMYFUNCTION("""COMPUTED_VALUE"""),32028.666666666668)</f>
        <v>32028.66667</v>
      </c>
      <c r="B1944" s="2">
        <f>IFERROR(__xludf.DUMMYFUNCTION("""COMPUTED_VALUE"""),37.67)</f>
        <v>37.67</v>
      </c>
      <c r="C1944" s="2">
        <f>IFERROR(__xludf.DUMMYFUNCTION("""COMPUTED_VALUE"""),38.33)</f>
        <v>38.33</v>
      </c>
      <c r="D1944" s="2">
        <f>IFERROR(__xludf.DUMMYFUNCTION("""COMPUTED_VALUE"""),37.22)</f>
        <v>37.22</v>
      </c>
      <c r="E1944" s="2">
        <f>IFERROR(__xludf.DUMMYFUNCTION("""COMPUTED_VALUE"""),37.67)</f>
        <v>37.67</v>
      </c>
      <c r="F1944" s="2">
        <f>IFERROR(__xludf.DUMMYFUNCTION("""COMPUTED_VALUE"""),2964900.0)</f>
        <v>2964900</v>
      </c>
    </row>
    <row r="1945">
      <c r="A1945" s="3">
        <f>IFERROR(__xludf.DUMMYFUNCTION("""COMPUTED_VALUE"""),32029.666666666668)</f>
        <v>32029.66667</v>
      </c>
      <c r="B1945" s="2">
        <f>IFERROR(__xludf.DUMMYFUNCTION("""COMPUTED_VALUE"""),37.55)</f>
        <v>37.55</v>
      </c>
      <c r="C1945" s="2">
        <f>IFERROR(__xludf.DUMMYFUNCTION("""COMPUTED_VALUE"""),37.76)</f>
        <v>37.76</v>
      </c>
      <c r="D1945" s="2">
        <f>IFERROR(__xludf.DUMMYFUNCTION("""COMPUTED_VALUE"""),37.01)</f>
        <v>37.01</v>
      </c>
      <c r="E1945" s="2">
        <f>IFERROR(__xludf.DUMMYFUNCTION("""COMPUTED_VALUE"""),37.55)</f>
        <v>37.55</v>
      </c>
      <c r="F1945" s="2">
        <f>IFERROR(__xludf.DUMMYFUNCTION("""COMPUTED_VALUE"""),3612900.0)</f>
        <v>3612900</v>
      </c>
    </row>
    <row r="1946">
      <c r="A1946" s="3">
        <f>IFERROR(__xludf.DUMMYFUNCTION("""COMPUTED_VALUE"""),32030.666666666668)</f>
        <v>32030.66667</v>
      </c>
      <c r="B1946" s="2">
        <f>IFERROR(__xludf.DUMMYFUNCTION("""COMPUTED_VALUE"""),37.67)</f>
        <v>37.67</v>
      </c>
      <c r="C1946" s="2">
        <f>IFERROR(__xludf.DUMMYFUNCTION("""COMPUTED_VALUE"""),37.82)</f>
        <v>37.82</v>
      </c>
      <c r="D1946" s="2">
        <f>IFERROR(__xludf.DUMMYFUNCTION("""COMPUTED_VALUE"""),37.52)</f>
        <v>37.52</v>
      </c>
      <c r="E1946" s="2">
        <f>IFERROR(__xludf.DUMMYFUNCTION("""COMPUTED_VALUE"""),37.67)</f>
        <v>37.67</v>
      </c>
      <c r="F1946" s="2">
        <f>IFERROR(__xludf.DUMMYFUNCTION("""COMPUTED_VALUE"""),1909800.0)</f>
        <v>1909800</v>
      </c>
    </row>
    <row r="1947">
      <c r="A1947" s="3">
        <f>IFERROR(__xludf.DUMMYFUNCTION("""COMPUTED_VALUE"""),32031.666666666668)</f>
        <v>32031.66667</v>
      </c>
      <c r="B1947" s="2">
        <f>IFERROR(__xludf.DUMMYFUNCTION("""COMPUTED_VALUE"""),38.48)</f>
        <v>38.48</v>
      </c>
      <c r="C1947" s="2">
        <f>IFERROR(__xludf.DUMMYFUNCTION("""COMPUTED_VALUE"""),38.53)</f>
        <v>38.53</v>
      </c>
      <c r="D1947" s="2">
        <f>IFERROR(__xludf.DUMMYFUNCTION("""COMPUTED_VALUE"""),37.7)</f>
        <v>37.7</v>
      </c>
      <c r="E1947" s="2">
        <f>IFERROR(__xludf.DUMMYFUNCTION("""COMPUTED_VALUE"""),38.48)</f>
        <v>38.48</v>
      </c>
      <c r="F1947" s="2">
        <f>IFERROR(__xludf.DUMMYFUNCTION("""COMPUTED_VALUE"""),2319300.0)</f>
        <v>2319300</v>
      </c>
    </row>
    <row r="1948">
      <c r="A1948" s="3">
        <f>IFERROR(__xludf.DUMMYFUNCTION("""COMPUTED_VALUE"""),32034.666666666668)</f>
        <v>32034.66667</v>
      </c>
      <c r="B1948" s="2">
        <f>IFERROR(__xludf.DUMMYFUNCTION("""COMPUTED_VALUE"""),38.68)</f>
        <v>38.68</v>
      </c>
      <c r="C1948" s="2">
        <f>IFERROR(__xludf.DUMMYFUNCTION("""COMPUTED_VALUE"""),38.86)</f>
        <v>38.86</v>
      </c>
      <c r="D1948" s="2">
        <f>IFERROR(__xludf.DUMMYFUNCTION("""COMPUTED_VALUE"""),38.51)</f>
        <v>38.51</v>
      </c>
      <c r="E1948" s="2">
        <f>IFERROR(__xludf.DUMMYFUNCTION("""COMPUTED_VALUE"""),38.68)</f>
        <v>38.68</v>
      </c>
      <c r="F1948" s="2">
        <f>IFERROR(__xludf.DUMMYFUNCTION("""COMPUTED_VALUE"""),1317600.0)</f>
        <v>1317600</v>
      </c>
    </row>
    <row r="1949">
      <c r="A1949" s="3">
        <f>IFERROR(__xludf.DUMMYFUNCTION("""COMPUTED_VALUE"""),32035.666666666668)</f>
        <v>32035.66667</v>
      </c>
      <c r="B1949" s="2">
        <f>IFERROR(__xludf.DUMMYFUNCTION("""COMPUTED_VALUE"""),37.61)</f>
        <v>37.61</v>
      </c>
      <c r="C1949" s="2">
        <f>IFERROR(__xludf.DUMMYFUNCTION("""COMPUTED_VALUE"""),38.74)</f>
        <v>38.74</v>
      </c>
      <c r="D1949" s="2">
        <f>IFERROR(__xludf.DUMMYFUNCTION("""COMPUTED_VALUE"""),37.49)</f>
        <v>37.49</v>
      </c>
      <c r="E1949" s="2">
        <f>IFERROR(__xludf.DUMMYFUNCTION("""COMPUTED_VALUE"""),37.61)</f>
        <v>37.61</v>
      </c>
      <c r="F1949" s="2">
        <f>IFERROR(__xludf.DUMMYFUNCTION("""COMPUTED_VALUE"""),2371100.0)</f>
        <v>2371100</v>
      </c>
    </row>
    <row r="1950">
      <c r="A1950" s="3">
        <f>IFERROR(__xludf.DUMMYFUNCTION("""COMPUTED_VALUE"""),32036.666666666668)</f>
        <v>32036.66667</v>
      </c>
      <c r="B1950" s="2">
        <f>IFERROR(__xludf.DUMMYFUNCTION("""COMPUTED_VALUE"""),37.4)</f>
        <v>37.4</v>
      </c>
      <c r="C1950" s="2">
        <f>IFERROR(__xludf.DUMMYFUNCTION("""COMPUTED_VALUE"""),38.18)</f>
        <v>38.18</v>
      </c>
      <c r="D1950" s="2">
        <f>IFERROR(__xludf.DUMMYFUNCTION("""COMPUTED_VALUE"""),37.25)</f>
        <v>37.25</v>
      </c>
      <c r="E1950" s="2">
        <f>IFERROR(__xludf.DUMMYFUNCTION("""COMPUTED_VALUE"""),37.4)</f>
        <v>37.4</v>
      </c>
      <c r="F1950" s="2">
        <f>IFERROR(__xludf.DUMMYFUNCTION("""COMPUTED_VALUE"""),2385900.0)</f>
        <v>2385900</v>
      </c>
    </row>
    <row r="1951">
      <c r="A1951" s="3">
        <f>IFERROR(__xludf.DUMMYFUNCTION("""COMPUTED_VALUE"""),32037.666666666668)</f>
        <v>32037.66667</v>
      </c>
      <c r="B1951" s="2">
        <f>IFERROR(__xludf.DUMMYFUNCTION("""COMPUTED_VALUE"""),37.7)</f>
        <v>37.7</v>
      </c>
      <c r="C1951" s="2">
        <f>IFERROR(__xludf.DUMMYFUNCTION("""COMPUTED_VALUE"""),37.88)</f>
        <v>37.88</v>
      </c>
      <c r="D1951" s="2">
        <f>IFERROR(__xludf.DUMMYFUNCTION("""COMPUTED_VALUE"""),37.28)</f>
        <v>37.28</v>
      </c>
      <c r="E1951" s="2">
        <f>IFERROR(__xludf.DUMMYFUNCTION("""COMPUTED_VALUE"""),37.7)</f>
        <v>37.7</v>
      </c>
      <c r="F1951" s="2">
        <f>IFERROR(__xludf.DUMMYFUNCTION("""COMPUTED_VALUE"""),2035900.0)</f>
        <v>2035900</v>
      </c>
    </row>
    <row r="1952">
      <c r="A1952" s="3">
        <f>IFERROR(__xludf.DUMMYFUNCTION("""COMPUTED_VALUE"""),32038.666666666668)</f>
        <v>32038.66667</v>
      </c>
      <c r="B1952" s="2">
        <f>IFERROR(__xludf.DUMMYFUNCTION("""COMPUTED_VALUE"""),37.1)</f>
        <v>37.1</v>
      </c>
      <c r="C1952" s="2">
        <f>IFERROR(__xludf.DUMMYFUNCTION("""COMPUTED_VALUE"""),37.85)</f>
        <v>37.85</v>
      </c>
      <c r="D1952" s="2">
        <f>IFERROR(__xludf.DUMMYFUNCTION("""COMPUTED_VALUE"""),37.04)</f>
        <v>37.04</v>
      </c>
      <c r="E1952" s="2">
        <f>IFERROR(__xludf.DUMMYFUNCTION("""COMPUTED_VALUE"""),37.1)</f>
        <v>37.1</v>
      </c>
      <c r="F1952" s="2">
        <f>IFERROR(__xludf.DUMMYFUNCTION("""COMPUTED_VALUE"""),2265300.0)</f>
        <v>2265300</v>
      </c>
    </row>
    <row r="1953">
      <c r="A1953" s="3">
        <f>IFERROR(__xludf.DUMMYFUNCTION("""COMPUTED_VALUE"""),32041.666666666668)</f>
        <v>32041.66667</v>
      </c>
      <c r="B1953" s="2">
        <f>IFERROR(__xludf.DUMMYFUNCTION("""COMPUTED_VALUE"""),35.94)</f>
        <v>35.94</v>
      </c>
      <c r="C1953" s="2">
        <f>IFERROR(__xludf.DUMMYFUNCTION("""COMPUTED_VALUE"""),37.37)</f>
        <v>37.37</v>
      </c>
      <c r="D1953" s="2">
        <f>IFERROR(__xludf.DUMMYFUNCTION("""COMPUTED_VALUE"""),35.76)</f>
        <v>35.76</v>
      </c>
      <c r="E1953" s="2">
        <f>IFERROR(__xludf.DUMMYFUNCTION("""COMPUTED_VALUE"""),35.94)</f>
        <v>35.94</v>
      </c>
      <c r="F1953" s="2">
        <f>IFERROR(__xludf.DUMMYFUNCTION("""COMPUTED_VALUE"""),2744800.0)</f>
        <v>2744800</v>
      </c>
    </row>
    <row r="1954">
      <c r="A1954" s="3">
        <f>IFERROR(__xludf.DUMMYFUNCTION("""COMPUTED_VALUE"""),32042.666666666668)</f>
        <v>32042.66667</v>
      </c>
      <c r="B1954" s="2">
        <f>IFERROR(__xludf.DUMMYFUNCTION("""COMPUTED_VALUE"""),37.19)</f>
        <v>37.19</v>
      </c>
      <c r="C1954" s="2">
        <f>IFERROR(__xludf.DUMMYFUNCTION("""COMPUTED_VALUE"""),37.19)</f>
        <v>37.19</v>
      </c>
      <c r="D1954" s="2">
        <f>IFERROR(__xludf.DUMMYFUNCTION("""COMPUTED_VALUE"""),35.64)</f>
        <v>35.64</v>
      </c>
      <c r="E1954" s="2">
        <f>IFERROR(__xludf.DUMMYFUNCTION("""COMPUTED_VALUE"""),37.19)</f>
        <v>37.19</v>
      </c>
      <c r="F1954" s="2">
        <f>IFERROR(__xludf.DUMMYFUNCTION("""COMPUTED_VALUE"""),2916000.0)</f>
        <v>2916000</v>
      </c>
    </row>
    <row r="1955">
      <c r="A1955" s="3">
        <f>IFERROR(__xludf.DUMMYFUNCTION("""COMPUTED_VALUE"""),32043.666666666668)</f>
        <v>32043.66667</v>
      </c>
      <c r="B1955" s="2">
        <f>IFERROR(__xludf.DUMMYFUNCTION("""COMPUTED_VALUE"""),36.83)</f>
        <v>36.83</v>
      </c>
      <c r="C1955" s="2">
        <f>IFERROR(__xludf.DUMMYFUNCTION("""COMPUTED_VALUE"""),37.25)</f>
        <v>37.25</v>
      </c>
      <c r="D1955" s="2">
        <f>IFERROR(__xludf.DUMMYFUNCTION("""COMPUTED_VALUE"""),36.51)</f>
        <v>36.51</v>
      </c>
      <c r="E1955" s="2">
        <f>IFERROR(__xludf.DUMMYFUNCTION("""COMPUTED_VALUE"""),36.83)</f>
        <v>36.83</v>
      </c>
      <c r="F1955" s="2">
        <f>IFERROR(__xludf.DUMMYFUNCTION("""COMPUTED_VALUE"""),2464500.0)</f>
        <v>2464500</v>
      </c>
    </row>
    <row r="1956">
      <c r="A1956" s="3">
        <f>IFERROR(__xludf.DUMMYFUNCTION("""COMPUTED_VALUE"""),32044.666666666668)</f>
        <v>32044.66667</v>
      </c>
      <c r="B1956" s="2">
        <f>IFERROR(__xludf.DUMMYFUNCTION("""COMPUTED_VALUE"""),37.22)</f>
        <v>37.22</v>
      </c>
      <c r="C1956" s="2">
        <f>IFERROR(__xludf.DUMMYFUNCTION("""COMPUTED_VALUE"""),37.76)</f>
        <v>37.76</v>
      </c>
      <c r="D1956" s="2">
        <f>IFERROR(__xludf.DUMMYFUNCTION("""COMPUTED_VALUE"""),36.68)</f>
        <v>36.68</v>
      </c>
      <c r="E1956" s="2">
        <f>IFERROR(__xludf.DUMMYFUNCTION("""COMPUTED_VALUE"""),37.22)</f>
        <v>37.22</v>
      </c>
      <c r="F1956" s="2">
        <f>IFERROR(__xludf.DUMMYFUNCTION("""COMPUTED_VALUE"""),2066500.0)</f>
        <v>2066500</v>
      </c>
    </row>
    <row r="1957">
      <c r="A1957" s="3">
        <f>IFERROR(__xludf.DUMMYFUNCTION("""COMPUTED_VALUE"""),32045.666666666668)</f>
        <v>32045.66667</v>
      </c>
      <c r="B1957" s="2">
        <f>IFERROR(__xludf.DUMMYFUNCTION("""COMPUTED_VALUE"""),37.25)</f>
        <v>37.25</v>
      </c>
      <c r="C1957" s="2">
        <f>IFERROR(__xludf.DUMMYFUNCTION("""COMPUTED_VALUE"""),37.4)</f>
        <v>37.4</v>
      </c>
      <c r="D1957" s="2">
        <f>IFERROR(__xludf.DUMMYFUNCTION("""COMPUTED_VALUE"""),37.01)</f>
        <v>37.01</v>
      </c>
      <c r="E1957" s="2">
        <f>IFERROR(__xludf.DUMMYFUNCTION("""COMPUTED_VALUE"""),37.25)</f>
        <v>37.25</v>
      </c>
      <c r="F1957" s="2">
        <f>IFERROR(__xludf.DUMMYFUNCTION("""COMPUTED_VALUE"""),1066300.0)</f>
        <v>1066300</v>
      </c>
    </row>
    <row r="1958">
      <c r="A1958" s="3">
        <f>IFERROR(__xludf.DUMMYFUNCTION("""COMPUTED_VALUE"""),32048.666666666668)</f>
        <v>32048.66667</v>
      </c>
      <c r="B1958" s="2">
        <f>IFERROR(__xludf.DUMMYFUNCTION("""COMPUTED_VALUE"""),36.48)</f>
        <v>36.48</v>
      </c>
      <c r="C1958" s="2">
        <f>IFERROR(__xludf.DUMMYFUNCTION("""COMPUTED_VALUE"""),37.79)</f>
        <v>37.79</v>
      </c>
      <c r="D1958" s="2">
        <f>IFERROR(__xludf.DUMMYFUNCTION("""COMPUTED_VALUE"""),36.18)</f>
        <v>36.18</v>
      </c>
      <c r="E1958" s="2">
        <f>IFERROR(__xludf.DUMMYFUNCTION("""COMPUTED_VALUE"""),36.48)</f>
        <v>36.48</v>
      </c>
      <c r="F1958" s="2">
        <f>IFERROR(__xludf.DUMMYFUNCTION("""COMPUTED_VALUE"""),2264100.0)</f>
        <v>2264100</v>
      </c>
    </row>
    <row r="1959">
      <c r="A1959" s="3">
        <f>IFERROR(__xludf.DUMMYFUNCTION("""COMPUTED_VALUE"""),32049.666666666668)</f>
        <v>32049.66667</v>
      </c>
      <c r="B1959" s="2">
        <f>IFERROR(__xludf.DUMMYFUNCTION("""COMPUTED_VALUE"""),35.94)</f>
        <v>35.94</v>
      </c>
      <c r="C1959" s="2">
        <f>IFERROR(__xludf.DUMMYFUNCTION("""COMPUTED_VALUE"""),36.71)</f>
        <v>36.71</v>
      </c>
      <c r="D1959" s="2">
        <f>IFERROR(__xludf.DUMMYFUNCTION("""COMPUTED_VALUE"""),35.7)</f>
        <v>35.7</v>
      </c>
      <c r="E1959" s="2">
        <f>IFERROR(__xludf.DUMMYFUNCTION("""COMPUTED_VALUE"""),35.94)</f>
        <v>35.94</v>
      </c>
      <c r="F1959" s="2">
        <f>IFERROR(__xludf.DUMMYFUNCTION("""COMPUTED_VALUE"""),2630500.0)</f>
        <v>2630500</v>
      </c>
    </row>
    <row r="1960">
      <c r="A1960" s="3">
        <f>IFERROR(__xludf.DUMMYFUNCTION("""COMPUTED_VALUE"""),32050.666666666668)</f>
        <v>32050.66667</v>
      </c>
      <c r="B1960" s="2">
        <f>IFERROR(__xludf.DUMMYFUNCTION("""COMPUTED_VALUE"""),36.0)</f>
        <v>36</v>
      </c>
      <c r="C1960" s="2">
        <f>IFERROR(__xludf.DUMMYFUNCTION("""COMPUTED_VALUE"""),36.27)</f>
        <v>36.27</v>
      </c>
      <c r="D1960" s="2">
        <f>IFERROR(__xludf.DUMMYFUNCTION("""COMPUTED_VALUE"""),35.46)</f>
        <v>35.46</v>
      </c>
      <c r="E1960" s="2">
        <f>IFERROR(__xludf.DUMMYFUNCTION("""COMPUTED_VALUE"""),36.0)</f>
        <v>36</v>
      </c>
      <c r="F1960" s="2">
        <f>IFERROR(__xludf.DUMMYFUNCTION("""COMPUTED_VALUE"""),3073400.0)</f>
        <v>3073400</v>
      </c>
    </row>
    <row r="1961">
      <c r="A1961" s="3">
        <f>IFERROR(__xludf.DUMMYFUNCTION("""COMPUTED_VALUE"""),32051.666666666668)</f>
        <v>32051.66667</v>
      </c>
      <c r="B1961" s="2">
        <f>IFERROR(__xludf.DUMMYFUNCTION("""COMPUTED_VALUE"""),36.92)</f>
        <v>36.92</v>
      </c>
      <c r="C1961" s="2">
        <f>IFERROR(__xludf.DUMMYFUNCTION("""COMPUTED_VALUE"""),36.95)</f>
        <v>36.95</v>
      </c>
      <c r="D1961" s="2">
        <f>IFERROR(__xludf.DUMMYFUNCTION("""COMPUTED_VALUE"""),36.06)</f>
        <v>36.06</v>
      </c>
      <c r="E1961" s="2">
        <f>IFERROR(__xludf.DUMMYFUNCTION("""COMPUTED_VALUE"""),36.92)</f>
        <v>36.92</v>
      </c>
      <c r="F1961" s="2">
        <f>IFERROR(__xludf.DUMMYFUNCTION("""COMPUTED_VALUE"""),1908400.0)</f>
        <v>1908400</v>
      </c>
    </row>
    <row r="1962">
      <c r="A1962" s="3">
        <f>IFERROR(__xludf.DUMMYFUNCTION("""COMPUTED_VALUE"""),32052.666666666668)</f>
        <v>32052.66667</v>
      </c>
      <c r="B1962" s="2">
        <f>IFERROR(__xludf.DUMMYFUNCTION("""COMPUTED_VALUE"""),37.07)</f>
        <v>37.07</v>
      </c>
      <c r="C1962" s="2">
        <f>IFERROR(__xludf.DUMMYFUNCTION("""COMPUTED_VALUE"""),37.46)</f>
        <v>37.46</v>
      </c>
      <c r="D1962" s="2">
        <f>IFERROR(__xludf.DUMMYFUNCTION("""COMPUTED_VALUE"""),36.95)</f>
        <v>36.95</v>
      </c>
      <c r="E1962" s="2">
        <f>IFERROR(__xludf.DUMMYFUNCTION("""COMPUTED_VALUE"""),37.07)</f>
        <v>37.07</v>
      </c>
      <c r="F1962" s="2">
        <f>IFERROR(__xludf.DUMMYFUNCTION("""COMPUTED_VALUE"""),1868500.0)</f>
        <v>1868500</v>
      </c>
    </row>
    <row r="1963">
      <c r="A1963" s="3">
        <f>IFERROR(__xludf.DUMMYFUNCTION("""COMPUTED_VALUE"""),32055.666666666668)</f>
        <v>32055.66667</v>
      </c>
      <c r="B1963" s="2">
        <f>IFERROR(__xludf.DUMMYFUNCTION("""COMPUTED_VALUE"""),37.37)</f>
        <v>37.37</v>
      </c>
      <c r="C1963" s="2">
        <f>IFERROR(__xludf.DUMMYFUNCTION("""COMPUTED_VALUE"""),37.55)</f>
        <v>37.55</v>
      </c>
      <c r="D1963" s="2">
        <f>IFERROR(__xludf.DUMMYFUNCTION("""COMPUTED_VALUE"""),36.89)</f>
        <v>36.89</v>
      </c>
      <c r="E1963" s="2">
        <f>IFERROR(__xludf.DUMMYFUNCTION("""COMPUTED_VALUE"""),37.37)</f>
        <v>37.37</v>
      </c>
      <c r="F1963" s="2">
        <f>IFERROR(__xludf.DUMMYFUNCTION("""COMPUTED_VALUE"""),1544300.0)</f>
        <v>1544300</v>
      </c>
    </row>
    <row r="1964">
      <c r="A1964" s="3">
        <f>IFERROR(__xludf.DUMMYFUNCTION("""COMPUTED_VALUE"""),32056.666666666668)</f>
        <v>32056.66667</v>
      </c>
      <c r="B1964" s="2">
        <f>IFERROR(__xludf.DUMMYFUNCTION("""COMPUTED_VALUE"""),36.06)</f>
        <v>36.06</v>
      </c>
      <c r="C1964" s="2">
        <f>IFERROR(__xludf.DUMMYFUNCTION("""COMPUTED_VALUE"""),37.34)</f>
        <v>37.34</v>
      </c>
      <c r="D1964" s="2">
        <f>IFERROR(__xludf.DUMMYFUNCTION("""COMPUTED_VALUE"""),36.06)</f>
        <v>36.06</v>
      </c>
      <c r="E1964" s="2">
        <f>IFERROR(__xludf.DUMMYFUNCTION("""COMPUTED_VALUE"""),36.06)</f>
        <v>36.06</v>
      </c>
      <c r="F1964" s="2">
        <f>IFERROR(__xludf.DUMMYFUNCTION("""COMPUTED_VALUE"""),2044200.0)</f>
        <v>2044200</v>
      </c>
    </row>
    <row r="1965">
      <c r="A1965" s="3">
        <f>IFERROR(__xludf.DUMMYFUNCTION("""COMPUTED_VALUE"""),32057.666666666668)</f>
        <v>32057.66667</v>
      </c>
      <c r="B1965" s="2">
        <f>IFERROR(__xludf.DUMMYFUNCTION("""COMPUTED_VALUE"""),36.48)</f>
        <v>36.48</v>
      </c>
      <c r="C1965" s="2">
        <f>IFERROR(__xludf.DUMMYFUNCTION("""COMPUTED_VALUE"""),36.54)</f>
        <v>36.54</v>
      </c>
      <c r="D1965" s="2">
        <f>IFERROR(__xludf.DUMMYFUNCTION("""COMPUTED_VALUE"""),35.82)</f>
        <v>35.82</v>
      </c>
      <c r="E1965" s="2">
        <f>IFERROR(__xludf.DUMMYFUNCTION("""COMPUTED_VALUE"""),36.48)</f>
        <v>36.48</v>
      </c>
      <c r="F1965" s="2">
        <f>IFERROR(__xludf.DUMMYFUNCTION("""COMPUTED_VALUE"""),2039500.0)</f>
        <v>2039500</v>
      </c>
    </row>
    <row r="1966">
      <c r="A1966" s="3">
        <f>IFERROR(__xludf.DUMMYFUNCTION("""COMPUTED_VALUE"""),32058.666666666668)</f>
        <v>32058.66667</v>
      </c>
      <c r="B1966" s="2">
        <f>IFERROR(__xludf.DUMMYFUNCTION("""COMPUTED_VALUE"""),36.18)</f>
        <v>36.18</v>
      </c>
      <c r="C1966" s="2">
        <f>IFERROR(__xludf.DUMMYFUNCTION("""COMPUTED_VALUE"""),36.51)</f>
        <v>36.51</v>
      </c>
      <c r="D1966" s="2">
        <f>IFERROR(__xludf.DUMMYFUNCTION("""COMPUTED_VALUE"""),35.82)</f>
        <v>35.82</v>
      </c>
      <c r="E1966" s="2">
        <f>IFERROR(__xludf.DUMMYFUNCTION("""COMPUTED_VALUE"""),36.18)</f>
        <v>36.18</v>
      </c>
      <c r="F1966" s="2">
        <f>IFERROR(__xludf.DUMMYFUNCTION("""COMPUTED_VALUE"""),1838200.0)</f>
        <v>1838200</v>
      </c>
    </row>
    <row r="1967">
      <c r="A1967" s="3">
        <f>IFERROR(__xludf.DUMMYFUNCTION("""COMPUTED_VALUE"""),32059.666666666668)</f>
        <v>32059.66667</v>
      </c>
      <c r="B1967" s="2">
        <f>IFERROR(__xludf.DUMMYFUNCTION("""COMPUTED_VALUE"""),35.19)</f>
        <v>35.19</v>
      </c>
      <c r="C1967" s="2">
        <f>IFERROR(__xludf.DUMMYFUNCTION("""COMPUTED_VALUE"""),36.21)</f>
        <v>36.21</v>
      </c>
      <c r="D1967" s="2">
        <f>IFERROR(__xludf.DUMMYFUNCTION("""COMPUTED_VALUE"""),35.1)</f>
        <v>35.1</v>
      </c>
      <c r="E1967" s="2">
        <f>IFERROR(__xludf.DUMMYFUNCTION("""COMPUTED_VALUE"""),35.19)</f>
        <v>35.19</v>
      </c>
      <c r="F1967" s="2">
        <f>IFERROR(__xludf.DUMMYFUNCTION("""COMPUTED_VALUE"""),2361000.0)</f>
        <v>2361000</v>
      </c>
    </row>
    <row r="1968">
      <c r="A1968" s="3">
        <f>IFERROR(__xludf.DUMMYFUNCTION("""COMPUTED_VALUE"""),32062.666666666668)</f>
        <v>32062.66667</v>
      </c>
      <c r="B1968" s="2">
        <f>IFERROR(__xludf.DUMMYFUNCTION("""COMPUTED_VALUE"""),35.7)</f>
        <v>35.7</v>
      </c>
      <c r="C1968" s="2">
        <f>IFERROR(__xludf.DUMMYFUNCTION("""COMPUTED_VALUE"""),36.12)</f>
        <v>36.12</v>
      </c>
      <c r="D1968" s="2">
        <f>IFERROR(__xludf.DUMMYFUNCTION("""COMPUTED_VALUE"""),34.74)</f>
        <v>34.74</v>
      </c>
      <c r="E1968" s="2">
        <f>IFERROR(__xludf.DUMMYFUNCTION("""COMPUTED_VALUE"""),35.7)</f>
        <v>35.7</v>
      </c>
      <c r="F1968" s="2">
        <f>IFERROR(__xludf.DUMMYFUNCTION("""COMPUTED_VALUE"""),1872300.0)</f>
        <v>1872300</v>
      </c>
    </row>
    <row r="1969">
      <c r="A1969" s="3">
        <f>IFERROR(__xludf.DUMMYFUNCTION("""COMPUTED_VALUE"""),32063.666666666668)</f>
        <v>32063.66667</v>
      </c>
      <c r="B1969" s="2">
        <f>IFERROR(__xludf.DUMMYFUNCTION("""COMPUTED_VALUE"""),35.52)</f>
        <v>35.52</v>
      </c>
      <c r="C1969" s="2">
        <f>IFERROR(__xludf.DUMMYFUNCTION("""COMPUTED_VALUE"""),36.18)</f>
        <v>36.18</v>
      </c>
      <c r="D1969" s="2">
        <f>IFERROR(__xludf.DUMMYFUNCTION("""COMPUTED_VALUE"""),34.62)</f>
        <v>34.62</v>
      </c>
      <c r="E1969" s="2">
        <f>IFERROR(__xludf.DUMMYFUNCTION("""COMPUTED_VALUE"""),35.52)</f>
        <v>35.52</v>
      </c>
      <c r="F1969" s="2">
        <f>IFERROR(__xludf.DUMMYFUNCTION("""COMPUTED_VALUE"""),3206000.0)</f>
        <v>3206000</v>
      </c>
    </row>
    <row r="1970">
      <c r="A1970" s="3">
        <f>IFERROR(__xludf.DUMMYFUNCTION("""COMPUTED_VALUE"""),32064.666666666668)</f>
        <v>32064.66667</v>
      </c>
      <c r="B1970" s="2">
        <f>IFERROR(__xludf.DUMMYFUNCTION("""COMPUTED_VALUE"""),34.68)</f>
        <v>34.68</v>
      </c>
      <c r="C1970" s="2">
        <f>IFERROR(__xludf.DUMMYFUNCTION("""COMPUTED_VALUE"""),35.19)</f>
        <v>35.19</v>
      </c>
      <c r="D1970" s="2">
        <f>IFERROR(__xludf.DUMMYFUNCTION("""COMPUTED_VALUE"""),34.42)</f>
        <v>34.42</v>
      </c>
      <c r="E1970" s="2">
        <f>IFERROR(__xludf.DUMMYFUNCTION("""COMPUTED_VALUE"""),34.68)</f>
        <v>34.68</v>
      </c>
      <c r="F1970" s="2">
        <f>IFERROR(__xludf.DUMMYFUNCTION("""COMPUTED_VALUE"""),2922100.0)</f>
        <v>2922100</v>
      </c>
    </row>
    <row r="1971">
      <c r="A1971" s="3">
        <f>IFERROR(__xludf.DUMMYFUNCTION("""COMPUTED_VALUE"""),32065.666666666668)</f>
        <v>32065.66667</v>
      </c>
      <c r="B1971" s="2">
        <f>IFERROR(__xludf.DUMMYFUNCTION("""COMPUTED_VALUE"""),33.46)</f>
        <v>33.46</v>
      </c>
      <c r="C1971" s="2">
        <f>IFERROR(__xludf.DUMMYFUNCTION("""COMPUTED_VALUE"""),34.8)</f>
        <v>34.8</v>
      </c>
      <c r="D1971" s="2">
        <f>IFERROR(__xludf.DUMMYFUNCTION("""COMPUTED_VALUE"""),33.43)</f>
        <v>33.43</v>
      </c>
      <c r="E1971" s="2">
        <f>IFERROR(__xludf.DUMMYFUNCTION("""COMPUTED_VALUE"""),33.46)</f>
        <v>33.46</v>
      </c>
      <c r="F1971" s="2">
        <f>IFERROR(__xludf.DUMMYFUNCTION("""COMPUTED_VALUE"""),3923900.0)</f>
        <v>3923900</v>
      </c>
    </row>
    <row r="1972">
      <c r="A1972" s="3">
        <f>IFERROR(__xludf.DUMMYFUNCTION("""COMPUTED_VALUE"""),32066.666666666668)</f>
        <v>32066.66667</v>
      </c>
      <c r="B1972" s="2">
        <f>IFERROR(__xludf.DUMMYFUNCTION("""COMPUTED_VALUE"""),32.24)</f>
        <v>32.24</v>
      </c>
      <c r="C1972" s="2">
        <f>IFERROR(__xludf.DUMMYFUNCTION("""COMPUTED_VALUE"""),33.73)</f>
        <v>33.73</v>
      </c>
      <c r="D1972" s="2">
        <f>IFERROR(__xludf.DUMMYFUNCTION("""COMPUTED_VALUE"""),31.52)</f>
        <v>31.52</v>
      </c>
      <c r="E1972" s="2">
        <f>IFERROR(__xludf.DUMMYFUNCTION("""COMPUTED_VALUE"""),32.24)</f>
        <v>32.24</v>
      </c>
      <c r="F1972" s="2">
        <f>IFERROR(__xludf.DUMMYFUNCTION("""COMPUTED_VALUE"""),4665600.0)</f>
        <v>4665600</v>
      </c>
    </row>
    <row r="1973">
      <c r="A1973" s="3">
        <f>IFERROR(__xludf.DUMMYFUNCTION("""COMPUTED_VALUE"""),32069.666666666668)</f>
        <v>32069.66667</v>
      </c>
      <c r="B1973" s="2">
        <f>IFERROR(__xludf.DUMMYFUNCTION("""COMPUTED_VALUE"""),24.66)</f>
        <v>24.66</v>
      </c>
      <c r="C1973" s="2">
        <f>IFERROR(__xludf.DUMMYFUNCTION("""COMPUTED_VALUE"""),32.95)</f>
        <v>32.95</v>
      </c>
      <c r="D1973" s="2">
        <f>IFERROR(__xludf.DUMMYFUNCTION("""COMPUTED_VALUE"""),23.88)</f>
        <v>23.88</v>
      </c>
      <c r="E1973" s="2">
        <f>IFERROR(__xludf.DUMMYFUNCTION("""COMPUTED_VALUE"""),24.66)</f>
        <v>24.66</v>
      </c>
      <c r="F1973" s="2">
        <f>IFERROR(__xludf.DUMMYFUNCTION("""COMPUTED_VALUE"""),6384300.0)</f>
        <v>6384300</v>
      </c>
    </row>
    <row r="1974">
      <c r="A1974" s="3">
        <f>IFERROR(__xludf.DUMMYFUNCTION("""COMPUTED_VALUE"""),32070.666666666668)</f>
        <v>32070.66667</v>
      </c>
      <c r="B1974" s="2">
        <f>IFERROR(__xludf.DUMMYFUNCTION("""COMPUTED_VALUE"""),27.46)</f>
        <v>27.46</v>
      </c>
      <c r="C1974" s="2">
        <f>IFERROR(__xludf.DUMMYFUNCTION("""COMPUTED_VALUE"""),29.13)</f>
        <v>29.13</v>
      </c>
      <c r="D1974" s="2">
        <f>IFERROR(__xludf.DUMMYFUNCTION("""COMPUTED_VALUE"""),26.3)</f>
        <v>26.3</v>
      </c>
      <c r="E1974" s="2">
        <f>IFERROR(__xludf.DUMMYFUNCTION("""COMPUTED_VALUE"""),27.46)</f>
        <v>27.46</v>
      </c>
      <c r="F1974" s="2">
        <f>IFERROR(__xludf.DUMMYFUNCTION("""COMPUTED_VALUE"""),7033200.0)</f>
        <v>7033200</v>
      </c>
    </row>
    <row r="1975">
      <c r="A1975" s="3">
        <f>IFERROR(__xludf.DUMMYFUNCTION("""COMPUTED_VALUE"""),32071.666666666668)</f>
        <v>32071.66667</v>
      </c>
      <c r="B1975" s="2">
        <f>IFERROR(__xludf.DUMMYFUNCTION("""COMPUTED_VALUE"""),29.31)</f>
        <v>29.31</v>
      </c>
      <c r="C1975" s="2">
        <f>IFERROR(__xludf.DUMMYFUNCTION("""COMPUTED_VALUE"""),29.97)</f>
        <v>29.97</v>
      </c>
      <c r="D1975" s="2">
        <f>IFERROR(__xludf.DUMMYFUNCTION("""COMPUTED_VALUE"""),28.65)</f>
        <v>28.65</v>
      </c>
      <c r="E1975" s="2">
        <f>IFERROR(__xludf.DUMMYFUNCTION("""COMPUTED_VALUE"""),29.31)</f>
        <v>29.31</v>
      </c>
      <c r="F1975" s="2">
        <f>IFERROR(__xludf.DUMMYFUNCTION("""COMPUTED_VALUE"""),5386800.0)</f>
        <v>5386800</v>
      </c>
    </row>
    <row r="1976">
      <c r="A1976" s="3">
        <f>IFERROR(__xludf.DUMMYFUNCTION("""COMPUTED_VALUE"""),32072.666666666668)</f>
        <v>32072.66667</v>
      </c>
      <c r="B1976" s="2">
        <f>IFERROR(__xludf.DUMMYFUNCTION("""COMPUTED_VALUE"""),28.65)</f>
        <v>28.65</v>
      </c>
      <c r="C1976" s="2">
        <f>IFERROR(__xludf.DUMMYFUNCTION("""COMPUTED_VALUE"""),29.25)</f>
        <v>29.25</v>
      </c>
      <c r="D1976" s="2">
        <f>IFERROR(__xludf.DUMMYFUNCTION("""COMPUTED_VALUE"""),26.74)</f>
        <v>26.74</v>
      </c>
      <c r="E1976" s="2">
        <f>IFERROR(__xludf.DUMMYFUNCTION("""COMPUTED_VALUE"""),28.65)</f>
        <v>28.65</v>
      </c>
      <c r="F1976" s="2">
        <f>IFERROR(__xludf.DUMMYFUNCTION("""COMPUTED_VALUE"""),3985700.0)</f>
        <v>3985700</v>
      </c>
    </row>
    <row r="1977">
      <c r="A1977" s="3">
        <f>IFERROR(__xludf.DUMMYFUNCTION("""COMPUTED_VALUE"""),32073.666666666668)</f>
        <v>32073.66667</v>
      </c>
      <c r="B1977" s="2">
        <f>IFERROR(__xludf.DUMMYFUNCTION("""COMPUTED_VALUE"""),28.83)</f>
        <v>28.83</v>
      </c>
      <c r="C1977" s="2">
        <f>IFERROR(__xludf.DUMMYFUNCTION("""COMPUTED_VALUE"""),29.31)</f>
        <v>29.31</v>
      </c>
      <c r="D1977" s="2">
        <f>IFERROR(__xludf.DUMMYFUNCTION("""COMPUTED_VALUE"""),28.18)</f>
        <v>28.18</v>
      </c>
      <c r="E1977" s="2">
        <f>IFERROR(__xludf.DUMMYFUNCTION("""COMPUTED_VALUE"""),28.83)</f>
        <v>28.83</v>
      </c>
      <c r="F1977" s="2">
        <f>IFERROR(__xludf.DUMMYFUNCTION("""COMPUTED_VALUE"""),2095600.0)</f>
        <v>2095600</v>
      </c>
    </row>
    <row r="1978">
      <c r="A1978" s="3">
        <f>IFERROR(__xludf.DUMMYFUNCTION("""COMPUTED_VALUE"""),32076.666666666668)</f>
        <v>32076.66667</v>
      </c>
      <c r="B1978" s="2">
        <f>IFERROR(__xludf.DUMMYFUNCTION("""COMPUTED_VALUE"""),26.74)</f>
        <v>26.74</v>
      </c>
      <c r="C1978" s="2">
        <f>IFERROR(__xludf.DUMMYFUNCTION("""COMPUTED_VALUE"""),27.94)</f>
        <v>27.94</v>
      </c>
      <c r="D1978" s="2">
        <f>IFERROR(__xludf.DUMMYFUNCTION("""COMPUTED_VALUE"""),26.74)</f>
        <v>26.74</v>
      </c>
      <c r="E1978" s="2">
        <f>IFERROR(__xludf.DUMMYFUNCTION("""COMPUTED_VALUE"""),26.74)</f>
        <v>26.74</v>
      </c>
      <c r="F1978" s="2">
        <f>IFERROR(__xludf.DUMMYFUNCTION("""COMPUTED_VALUE"""),2495700.0)</f>
        <v>2495700</v>
      </c>
    </row>
    <row r="1979">
      <c r="A1979" s="3">
        <f>IFERROR(__xludf.DUMMYFUNCTION("""COMPUTED_VALUE"""),32077.666666666668)</f>
        <v>32077.66667</v>
      </c>
      <c r="B1979" s="2">
        <f>IFERROR(__xludf.DUMMYFUNCTION("""COMPUTED_VALUE"""),28.18)</f>
        <v>28.18</v>
      </c>
      <c r="C1979" s="2">
        <f>IFERROR(__xludf.DUMMYFUNCTION("""COMPUTED_VALUE"""),28.33)</f>
        <v>28.33</v>
      </c>
      <c r="D1979" s="2">
        <f>IFERROR(__xludf.DUMMYFUNCTION("""COMPUTED_VALUE"""),27.46)</f>
        <v>27.46</v>
      </c>
      <c r="E1979" s="2">
        <f>IFERROR(__xludf.DUMMYFUNCTION("""COMPUTED_VALUE"""),28.18)</f>
        <v>28.18</v>
      </c>
      <c r="F1979" s="2">
        <f>IFERROR(__xludf.DUMMYFUNCTION("""COMPUTED_VALUE"""),2487000.0)</f>
        <v>2487000</v>
      </c>
    </row>
    <row r="1980">
      <c r="A1980" s="3">
        <f>IFERROR(__xludf.DUMMYFUNCTION("""COMPUTED_VALUE"""),32078.666666666668)</f>
        <v>32078.66667</v>
      </c>
      <c r="B1980" s="2">
        <f>IFERROR(__xludf.DUMMYFUNCTION("""COMPUTED_VALUE"""),28.18)</f>
        <v>28.18</v>
      </c>
      <c r="C1980" s="2">
        <f>IFERROR(__xludf.DUMMYFUNCTION("""COMPUTED_VALUE"""),28.65)</f>
        <v>28.65</v>
      </c>
      <c r="D1980" s="2">
        <f>IFERROR(__xludf.DUMMYFUNCTION("""COMPUTED_VALUE"""),27.22)</f>
        <v>27.22</v>
      </c>
      <c r="E1980" s="2">
        <f>IFERROR(__xludf.DUMMYFUNCTION("""COMPUTED_VALUE"""),28.18)</f>
        <v>28.18</v>
      </c>
      <c r="F1980" s="2">
        <f>IFERROR(__xludf.DUMMYFUNCTION("""COMPUTED_VALUE"""),2734500.0)</f>
        <v>2734500</v>
      </c>
    </row>
    <row r="1981">
      <c r="A1981" s="3">
        <f>IFERROR(__xludf.DUMMYFUNCTION("""COMPUTED_VALUE"""),32079.666666666668)</f>
        <v>32079.66667</v>
      </c>
      <c r="B1981" s="2">
        <f>IFERROR(__xludf.DUMMYFUNCTION("""COMPUTED_VALUE"""),28.71)</f>
        <v>28.71</v>
      </c>
      <c r="C1981" s="2">
        <f>IFERROR(__xludf.DUMMYFUNCTION("""COMPUTED_VALUE"""),29.37)</f>
        <v>29.37</v>
      </c>
      <c r="D1981" s="2">
        <f>IFERROR(__xludf.DUMMYFUNCTION("""COMPUTED_VALUE"""),28.24)</f>
        <v>28.24</v>
      </c>
      <c r="E1981" s="2">
        <f>IFERROR(__xludf.DUMMYFUNCTION("""COMPUTED_VALUE"""),28.71)</f>
        <v>28.71</v>
      </c>
      <c r="F1981" s="2">
        <f>IFERROR(__xludf.DUMMYFUNCTION("""COMPUTED_VALUE"""),2216000.0)</f>
        <v>2216000</v>
      </c>
    </row>
    <row r="1982">
      <c r="A1982" s="3">
        <f>IFERROR(__xludf.DUMMYFUNCTION("""COMPUTED_VALUE"""),32080.666666666668)</f>
        <v>32080.66667</v>
      </c>
      <c r="B1982" s="2">
        <f>IFERROR(__xludf.DUMMYFUNCTION("""COMPUTED_VALUE"""),29.25)</f>
        <v>29.25</v>
      </c>
      <c r="C1982" s="2">
        <f>IFERROR(__xludf.DUMMYFUNCTION("""COMPUTED_VALUE"""),29.85)</f>
        <v>29.85</v>
      </c>
      <c r="D1982" s="2">
        <f>IFERROR(__xludf.DUMMYFUNCTION("""COMPUTED_VALUE"""),29.07)</f>
        <v>29.07</v>
      </c>
      <c r="E1982" s="2">
        <f>IFERROR(__xludf.DUMMYFUNCTION("""COMPUTED_VALUE"""),29.25)</f>
        <v>29.25</v>
      </c>
      <c r="F1982" s="2">
        <f>IFERROR(__xludf.DUMMYFUNCTION("""COMPUTED_VALUE"""),2265200.0)</f>
        <v>2265200</v>
      </c>
    </row>
    <row r="1983">
      <c r="A1983" s="3">
        <f>IFERROR(__xludf.DUMMYFUNCTION("""COMPUTED_VALUE"""),32083.666666666668)</f>
        <v>32083.66667</v>
      </c>
      <c r="B1983" s="2">
        <f>IFERROR(__xludf.DUMMYFUNCTION("""COMPUTED_VALUE"""),29.73)</f>
        <v>29.73</v>
      </c>
      <c r="C1983" s="2">
        <f>IFERROR(__xludf.DUMMYFUNCTION("""COMPUTED_VALUE"""),29.82)</f>
        <v>29.82</v>
      </c>
      <c r="D1983" s="2">
        <f>IFERROR(__xludf.DUMMYFUNCTION("""COMPUTED_VALUE"""),28.89)</f>
        <v>28.89</v>
      </c>
      <c r="E1983" s="2">
        <f>IFERROR(__xludf.DUMMYFUNCTION("""COMPUTED_VALUE"""),29.73)</f>
        <v>29.73</v>
      </c>
      <c r="F1983" s="2">
        <f>IFERROR(__xludf.DUMMYFUNCTION("""COMPUTED_VALUE"""),1599000.0)</f>
        <v>1599000</v>
      </c>
    </row>
    <row r="1984">
      <c r="A1984" s="3">
        <f>IFERROR(__xludf.DUMMYFUNCTION("""COMPUTED_VALUE"""),32084.666666666668)</f>
        <v>32084.66667</v>
      </c>
      <c r="B1984" s="2">
        <f>IFERROR(__xludf.DUMMYFUNCTION("""COMPUTED_VALUE"""),29.1)</f>
        <v>29.1</v>
      </c>
      <c r="C1984" s="2">
        <f>IFERROR(__xludf.DUMMYFUNCTION("""COMPUTED_VALUE"""),29.37)</f>
        <v>29.37</v>
      </c>
      <c r="D1984" s="2">
        <f>IFERROR(__xludf.DUMMYFUNCTION("""COMPUTED_VALUE"""),28.18)</f>
        <v>28.18</v>
      </c>
      <c r="E1984" s="2">
        <f>IFERROR(__xludf.DUMMYFUNCTION("""COMPUTED_VALUE"""),29.1)</f>
        <v>29.1</v>
      </c>
      <c r="F1984" s="2">
        <f>IFERROR(__xludf.DUMMYFUNCTION("""COMPUTED_VALUE"""),1932800.0)</f>
        <v>1932800</v>
      </c>
    </row>
    <row r="1985">
      <c r="A1985" s="3">
        <f>IFERROR(__xludf.DUMMYFUNCTION("""COMPUTED_VALUE"""),32085.666666666668)</f>
        <v>32085.66667</v>
      </c>
      <c r="B1985" s="2">
        <f>IFERROR(__xludf.DUMMYFUNCTION("""COMPUTED_VALUE"""),28.8)</f>
        <v>28.8</v>
      </c>
      <c r="C1985" s="2">
        <f>IFERROR(__xludf.DUMMYFUNCTION("""COMPUTED_VALUE"""),29.25)</f>
        <v>29.25</v>
      </c>
      <c r="D1985" s="2">
        <f>IFERROR(__xludf.DUMMYFUNCTION("""COMPUTED_VALUE"""),28.54)</f>
        <v>28.54</v>
      </c>
      <c r="E1985" s="2">
        <f>IFERROR(__xludf.DUMMYFUNCTION("""COMPUTED_VALUE"""),28.8)</f>
        <v>28.8</v>
      </c>
      <c r="F1985" s="2">
        <f>IFERROR(__xludf.DUMMYFUNCTION("""COMPUTED_VALUE"""),1799100.0)</f>
        <v>1799100</v>
      </c>
    </row>
    <row r="1986">
      <c r="A1986" s="3">
        <f>IFERROR(__xludf.DUMMYFUNCTION("""COMPUTED_VALUE"""),32086.666666666668)</f>
        <v>32086.66667</v>
      </c>
      <c r="B1986" s="2">
        <f>IFERROR(__xludf.DUMMYFUNCTION("""COMPUTED_VALUE"""),29.55)</f>
        <v>29.55</v>
      </c>
      <c r="C1986" s="2">
        <f>IFERROR(__xludf.DUMMYFUNCTION("""COMPUTED_VALUE"""),29.76)</f>
        <v>29.76</v>
      </c>
      <c r="D1986" s="2">
        <f>IFERROR(__xludf.DUMMYFUNCTION("""COMPUTED_VALUE"""),28.45)</f>
        <v>28.45</v>
      </c>
      <c r="E1986" s="2">
        <f>IFERROR(__xludf.DUMMYFUNCTION("""COMPUTED_VALUE"""),29.55)</f>
        <v>29.55</v>
      </c>
      <c r="F1986" s="2">
        <f>IFERROR(__xludf.DUMMYFUNCTION("""COMPUTED_VALUE"""),2139400.0)</f>
        <v>2139400</v>
      </c>
    </row>
    <row r="1987">
      <c r="A1987" s="3">
        <f>IFERROR(__xludf.DUMMYFUNCTION("""COMPUTED_VALUE"""),32087.666666666668)</f>
        <v>32087.66667</v>
      </c>
      <c r="B1987" s="2">
        <f>IFERROR(__xludf.DUMMYFUNCTION("""COMPUTED_VALUE"""),28.54)</f>
        <v>28.54</v>
      </c>
      <c r="C1987" s="2">
        <f>IFERROR(__xludf.DUMMYFUNCTION("""COMPUTED_VALUE"""),29.73)</f>
        <v>29.73</v>
      </c>
      <c r="D1987" s="2">
        <f>IFERROR(__xludf.DUMMYFUNCTION("""COMPUTED_VALUE"""),28.42)</f>
        <v>28.42</v>
      </c>
      <c r="E1987" s="2">
        <f>IFERROR(__xludf.DUMMYFUNCTION("""COMPUTED_VALUE"""),28.54)</f>
        <v>28.54</v>
      </c>
      <c r="F1987" s="2">
        <f>IFERROR(__xludf.DUMMYFUNCTION("""COMPUTED_VALUE"""),1665700.0)</f>
        <v>1665700</v>
      </c>
    </row>
    <row r="1988">
      <c r="A1988" s="3">
        <f>IFERROR(__xludf.DUMMYFUNCTION("""COMPUTED_VALUE"""),32090.666666666668)</f>
        <v>32090.66667</v>
      </c>
      <c r="B1988" s="2">
        <f>IFERROR(__xludf.DUMMYFUNCTION("""COMPUTED_VALUE"""),28.21)</f>
        <v>28.21</v>
      </c>
      <c r="C1988" s="2">
        <f>IFERROR(__xludf.DUMMYFUNCTION("""COMPUTED_VALUE"""),28.6)</f>
        <v>28.6</v>
      </c>
      <c r="D1988" s="2">
        <f>IFERROR(__xludf.DUMMYFUNCTION("""COMPUTED_VALUE"""),28.18)</f>
        <v>28.18</v>
      </c>
      <c r="E1988" s="2">
        <f>IFERROR(__xludf.DUMMYFUNCTION("""COMPUTED_VALUE"""),28.21)</f>
        <v>28.21</v>
      </c>
      <c r="F1988" s="2">
        <f>IFERROR(__xludf.DUMMYFUNCTION("""COMPUTED_VALUE"""),2001600.0)</f>
        <v>2001600</v>
      </c>
    </row>
    <row r="1989">
      <c r="A1989" s="3">
        <f>IFERROR(__xludf.DUMMYFUNCTION("""COMPUTED_VALUE"""),32091.666666666668)</f>
        <v>32091.66667</v>
      </c>
      <c r="B1989" s="2">
        <f>IFERROR(__xludf.DUMMYFUNCTION("""COMPUTED_VALUE"""),28.12)</f>
        <v>28.12</v>
      </c>
      <c r="C1989" s="2">
        <f>IFERROR(__xludf.DUMMYFUNCTION("""COMPUTED_VALUE"""),28.54)</f>
        <v>28.54</v>
      </c>
      <c r="D1989" s="2">
        <f>IFERROR(__xludf.DUMMYFUNCTION("""COMPUTED_VALUE"""),27.49)</f>
        <v>27.49</v>
      </c>
      <c r="E1989" s="2">
        <f>IFERROR(__xludf.DUMMYFUNCTION("""COMPUTED_VALUE"""),28.12)</f>
        <v>28.12</v>
      </c>
      <c r="F1989" s="2">
        <f>IFERROR(__xludf.DUMMYFUNCTION("""COMPUTED_VALUE"""),1960000.0)</f>
        <v>1960000</v>
      </c>
    </row>
    <row r="1990">
      <c r="A1990" s="3">
        <f>IFERROR(__xludf.DUMMYFUNCTION("""COMPUTED_VALUE"""),32092.666666666668)</f>
        <v>32092.66667</v>
      </c>
      <c r="B1990" s="2">
        <f>IFERROR(__xludf.DUMMYFUNCTION("""COMPUTED_VALUE"""),28.48)</f>
        <v>28.48</v>
      </c>
      <c r="C1990" s="2">
        <f>IFERROR(__xludf.DUMMYFUNCTION("""COMPUTED_VALUE"""),28.68)</f>
        <v>28.68</v>
      </c>
      <c r="D1990" s="2">
        <f>IFERROR(__xludf.DUMMYFUNCTION("""COMPUTED_VALUE"""),28.24)</f>
        <v>28.24</v>
      </c>
      <c r="E1990" s="2">
        <f>IFERROR(__xludf.DUMMYFUNCTION("""COMPUTED_VALUE"""),28.48)</f>
        <v>28.48</v>
      </c>
      <c r="F1990" s="2">
        <f>IFERROR(__xludf.DUMMYFUNCTION("""COMPUTED_VALUE"""),1282800.0)</f>
        <v>1282800</v>
      </c>
    </row>
    <row r="1991">
      <c r="A1991" s="3">
        <f>IFERROR(__xludf.DUMMYFUNCTION("""COMPUTED_VALUE"""),32093.666666666668)</f>
        <v>32093.66667</v>
      </c>
      <c r="B1991" s="2">
        <f>IFERROR(__xludf.DUMMYFUNCTION("""COMPUTED_VALUE"""),29.19)</f>
        <v>29.19</v>
      </c>
      <c r="C1991" s="2">
        <f>IFERROR(__xludf.DUMMYFUNCTION("""COMPUTED_VALUE"""),29.49)</f>
        <v>29.49</v>
      </c>
      <c r="D1991" s="2">
        <f>IFERROR(__xludf.DUMMYFUNCTION("""COMPUTED_VALUE"""),28.92)</f>
        <v>28.92</v>
      </c>
      <c r="E1991" s="2">
        <f>IFERROR(__xludf.DUMMYFUNCTION("""COMPUTED_VALUE"""),29.19)</f>
        <v>29.19</v>
      </c>
      <c r="F1991" s="2">
        <f>IFERROR(__xludf.DUMMYFUNCTION("""COMPUTED_VALUE"""),2029600.0)</f>
        <v>2029600</v>
      </c>
    </row>
    <row r="1992">
      <c r="A1992" s="3">
        <f>IFERROR(__xludf.DUMMYFUNCTION("""COMPUTED_VALUE"""),32094.666666666668)</f>
        <v>32094.66667</v>
      </c>
      <c r="B1992" s="2">
        <f>IFERROR(__xludf.DUMMYFUNCTION("""COMPUTED_VALUE"""),29.04)</f>
        <v>29.04</v>
      </c>
      <c r="C1992" s="2">
        <f>IFERROR(__xludf.DUMMYFUNCTION("""COMPUTED_VALUE"""),29.28)</f>
        <v>29.28</v>
      </c>
      <c r="D1992" s="2">
        <f>IFERROR(__xludf.DUMMYFUNCTION("""COMPUTED_VALUE"""),28.95)</f>
        <v>28.95</v>
      </c>
      <c r="E1992" s="2">
        <f>IFERROR(__xludf.DUMMYFUNCTION("""COMPUTED_VALUE"""),29.04)</f>
        <v>29.04</v>
      </c>
      <c r="F1992" s="2">
        <f>IFERROR(__xludf.DUMMYFUNCTION("""COMPUTED_VALUE"""),1449800.0)</f>
        <v>1449800</v>
      </c>
    </row>
    <row r="1993">
      <c r="A1993" s="3">
        <f>IFERROR(__xludf.DUMMYFUNCTION("""COMPUTED_VALUE"""),32097.666666666668)</f>
        <v>32097.66667</v>
      </c>
      <c r="B1993" s="2">
        <f>IFERROR(__xludf.DUMMYFUNCTION("""COMPUTED_VALUE"""),28.65)</f>
        <v>28.65</v>
      </c>
      <c r="C1993" s="2">
        <f>IFERROR(__xludf.DUMMYFUNCTION("""COMPUTED_VALUE"""),29.43)</f>
        <v>29.43</v>
      </c>
      <c r="D1993" s="2">
        <f>IFERROR(__xludf.DUMMYFUNCTION("""COMPUTED_VALUE"""),28.12)</f>
        <v>28.12</v>
      </c>
      <c r="E1993" s="2">
        <f>IFERROR(__xludf.DUMMYFUNCTION("""COMPUTED_VALUE"""),28.65)</f>
        <v>28.65</v>
      </c>
      <c r="F1993" s="2">
        <f>IFERROR(__xludf.DUMMYFUNCTION("""COMPUTED_VALUE"""),1745600.0)</f>
        <v>1745600</v>
      </c>
    </row>
    <row r="1994">
      <c r="A1994" s="3">
        <f>IFERROR(__xludf.DUMMYFUNCTION("""COMPUTED_VALUE"""),32098.666666666668)</f>
        <v>32098.66667</v>
      </c>
      <c r="B1994" s="2">
        <f>IFERROR(__xludf.DUMMYFUNCTION("""COMPUTED_VALUE"""),28.12)</f>
        <v>28.12</v>
      </c>
      <c r="C1994" s="2">
        <f>IFERROR(__xludf.DUMMYFUNCTION("""COMPUTED_VALUE"""),28.48)</f>
        <v>28.48</v>
      </c>
      <c r="D1994" s="2">
        <f>IFERROR(__xludf.DUMMYFUNCTION("""COMPUTED_VALUE"""),27.76)</f>
        <v>27.76</v>
      </c>
      <c r="E1994" s="2">
        <f>IFERROR(__xludf.DUMMYFUNCTION("""COMPUTED_VALUE"""),28.12)</f>
        <v>28.12</v>
      </c>
      <c r="F1994" s="2">
        <f>IFERROR(__xludf.DUMMYFUNCTION("""COMPUTED_VALUE"""),2064700.0)</f>
        <v>2064700</v>
      </c>
    </row>
    <row r="1995">
      <c r="A1995" s="3">
        <f>IFERROR(__xludf.DUMMYFUNCTION("""COMPUTED_VALUE"""),32099.666666666668)</f>
        <v>32099.66667</v>
      </c>
      <c r="B1995" s="2">
        <f>IFERROR(__xludf.DUMMYFUNCTION("""COMPUTED_VALUE"""),28.27)</f>
        <v>28.27</v>
      </c>
      <c r="C1995" s="2">
        <f>IFERROR(__xludf.DUMMYFUNCTION("""COMPUTED_VALUE"""),28.54)</f>
        <v>28.54</v>
      </c>
      <c r="D1995" s="2">
        <f>IFERROR(__xludf.DUMMYFUNCTION("""COMPUTED_VALUE"""),27.76)</f>
        <v>27.76</v>
      </c>
      <c r="E1995" s="2">
        <f>IFERROR(__xludf.DUMMYFUNCTION("""COMPUTED_VALUE"""),28.27)</f>
        <v>28.27</v>
      </c>
      <c r="F1995" s="2">
        <f>IFERROR(__xludf.DUMMYFUNCTION("""COMPUTED_VALUE"""),1553000.0)</f>
        <v>1553000</v>
      </c>
    </row>
    <row r="1996">
      <c r="A1996" s="3">
        <f>IFERROR(__xludf.DUMMYFUNCTION("""COMPUTED_VALUE"""),32100.666666666668)</f>
        <v>32100.66667</v>
      </c>
      <c r="B1996" s="2">
        <f>IFERROR(__xludf.DUMMYFUNCTION("""COMPUTED_VALUE"""),27.61)</f>
        <v>27.61</v>
      </c>
      <c r="C1996" s="2">
        <f>IFERROR(__xludf.DUMMYFUNCTION("""COMPUTED_VALUE"""),28.39)</f>
        <v>28.39</v>
      </c>
      <c r="D1996" s="2">
        <f>IFERROR(__xludf.DUMMYFUNCTION("""COMPUTED_VALUE"""),27.61)</f>
        <v>27.61</v>
      </c>
      <c r="E1996" s="2">
        <f>IFERROR(__xludf.DUMMYFUNCTION("""COMPUTED_VALUE"""),27.61)</f>
        <v>27.61</v>
      </c>
      <c r="F1996" s="2">
        <f>IFERROR(__xludf.DUMMYFUNCTION("""COMPUTED_VALUE"""),1663700.0)</f>
        <v>1663700</v>
      </c>
    </row>
    <row r="1997">
      <c r="A1997" s="3">
        <f>IFERROR(__xludf.DUMMYFUNCTION("""COMPUTED_VALUE"""),32101.666666666668)</f>
        <v>32101.66667</v>
      </c>
      <c r="B1997" s="2">
        <f>IFERROR(__xludf.DUMMYFUNCTION("""COMPUTED_VALUE"""),28.12)</f>
        <v>28.12</v>
      </c>
      <c r="C1997" s="2">
        <f>IFERROR(__xludf.DUMMYFUNCTION("""COMPUTED_VALUE"""),28.15)</f>
        <v>28.15</v>
      </c>
      <c r="D1997" s="2">
        <f>IFERROR(__xludf.DUMMYFUNCTION("""COMPUTED_VALUE"""),27.4)</f>
        <v>27.4</v>
      </c>
      <c r="E1997" s="2">
        <f>IFERROR(__xludf.DUMMYFUNCTION("""COMPUTED_VALUE"""),28.12)</f>
        <v>28.12</v>
      </c>
      <c r="F1997" s="2">
        <f>IFERROR(__xludf.DUMMYFUNCTION("""COMPUTED_VALUE"""),2428400.0)</f>
        <v>2428400</v>
      </c>
    </row>
    <row r="1998">
      <c r="A1998" s="3">
        <f>IFERROR(__xludf.DUMMYFUNCTION("""COMPUTED_VALUE"""),32104.666666666668)</f>
        <v>32104.66667</v>
      </c>
      <c r="B1998" s="2">
        <f>IFERROR(__xludf.DUMMYFUNCTION("""COMPUTED_VALUE"""),28.06)</f>
        <v>28.06</v>
      </c>
      <c r="C1998" s="2">
        <f>IFERROR(__xludf.DUMMYFUNCTION("""COMPUTED_VALUE"""),28.12)</f>
        <v>28.12</v>
      </c>
      <c r="D1998" s="2">
        <f>IFERROR(__xludf.DUMMYFUNCTION("""COMPUTED_VALUE"""),27.76)</f>
        <v>27.76</v>
      </c>
      <c r="E1998" s="2">
        <f>IFERROR(__xludf.DUMMYFUNCTION("""COMPUTED_VALUE"""),28.06)</f>
        <v>28.06</v>
      </c>
      <c r="F1998" s="2">
        <f>IFERROR(__xludf.DUMMYFUNCTION("""COMPUTED_VALUE"""),951600.0)</f>
        <v>951600</v>
      </c>
    </row>
    <row r="1999">
      <c r="A1999" s="3">
        <f>IFERROR(__xludf.DUMMYFUNCTION("""COMPUTED_VALUE"""),32105.666666666668)</f>
        <v>32105.66667</v>
      </c>
      <c r="B1999" s="2">
        <f>IFERROR(__xludf.DUMMYFUNCTION("""COMPUTED_VALUE"""),28.3)</f>
        <v>28.3</v>
      </c>
      <c r="C1999" s="2">
        <f>IFERROR(__xludf.DUMMYFUNCTION("""COMPUTED_VALUE"""),28.54)</f>
        <v>28.54</v>
      </c>
      <c r="D1999" s="2">
        <f>IFERROR(__xludf.DUMMYFUNCTION("""COMPUTED_VALUE"""),28.15)</f>
        <v>28.15</v>
      </c>
      <c r="E1999" s="2">
        <f>IFERROR(__xludf.DUMMYFUNCTION("""COMPUTED_VALUE"""),28.3)</f>
        <v>28.3</v>
      </c>
      <c r="F1999" s="2">
        <f>IFERROR(__xludf.DUMMYFUNCTION("""COMPUTED_VALUE"""),1598000.0)</f>
        <v>1598000</v>
      </c>
    </row>
    <row r="2000">
      <c r="A2000" s="3">
        <f>IFERROR(__xludf.DUMMYFUNCTION("""COMPUTED_VALUE"""),32106.666666666668)</f>
        <v>32106.66667</v>
      </c>
      <c r="B2000" s="2">
        <f>IFERROR(__xludf.DUMMYFUNCTION("""COMPUTED_VALUE"""),28.09)</f>
        <v>28.09</v>
      </c>
      <c r="C2000" s="2">
        <f>IFERROR(__xludf.DUMMYFUNCTION("""COMPUTED_VALUE"""),28.39)</f>
        <v>28.39</v>
      </c>
      <c r="D2000" s="2">
        <f>IFERROR(__xludf.DUMMYFUNCTION("""COMPUTED_VALUE"""),28.03)</f>
        <v>28.03</v>
      </c>
      <c r="E2000" s="2">
        <f>IFERROR(__xludf.DUMMYFUNCTION("""COMPUTED_VALUE"""),28.09)</f>
        <v>28.09</v>
      </c>
      <c r="F2000" s="2">
        <f>IFERROR(__xludf.DUMMYFUNCTION("""COMPUTED_VALUE"""),1171100.0)</f>
        <v>1171100</v>
      </c>
    </row>
    <row r="2001">
      <c r="A2001" s="3">
        <f>IFERROR(__xludf.DUMMYFUNCTION("""COMPUTED_VALUE"""),32108.666666666668)</f>
        <v>32108.66667</v>
      </c>
      <c r="B2001" s="2">
        <f>IFERROR(__xludf.DUMMYFUNCTION("""COMPUTED_VALUE"""),27.43)</f>
        <v>27.43</v>
      </c>
      <c r="C2001" s="2">
        <f>IFERROR(__xludf.DUMMYFUNCTION("""COMPUTED_VALUE"""),27.94)</f>
        <v>27.94</v>
      </c>
      <c r="D2001" s="2">
        <f>IFERROR(__xludf.DUMMYFUNCTION("""COMPUTED_VALUE"""),27.31)</f>
        <v>27.31</v>
      </c>
      <c r="E2001" s="2">
        <f>IFERROR(__xludf.DUMMYFUNCTION("""COMPUTED_VALUE"""),27.43)</f>
        <v>27.43</v>
      </c>
      <c r="F2001" s="2">
        <f>IFERROR(__xludf.DUMMYFUNCTION("""COMPUTED_VALUE"""),922500.0)</f>
        <v>922500</v>
      </c>
    </row>
    <row r="2002">
      <c r="A2002" s="3">
        <f>IFERROR(__xludf.DUMMYFUNCTION("""COMPUTED_VALUE"""),32111.666666666668)</f>
        <v>32111.66667</v>
      </c>
      <c r="B2002" s="2">
        <f>IFERROR(__xludf.DUMMYFUNCTION("""COMPUTED_VALUE"""),26.45)</f>
        <v>26.45</v>
      </c>
      <c r="C2002" s="2">
        <f>IFERROR(__xludf.DUMMYFUNCTION("""COMPUTED_VALUE"""),26.83)</f>
        <v>26.83</v>
      </c>
      <c r="D2002" s="2">
        <f>IFERROR(__xludf.DUMMYFUNCTION("""COMPUTED_VALUE"""),26.27)</f>
        <v>26.27</v>
      </c>
      <c r="E2002" s="2">
        <f>IFERROR(__xludf.DUMMYFUNCTION("""COMPUTED_VALUE"""),26.45)</f>
        <v>26.45</v>
      </c>
      <c r="F2002" s="2">
        <f>IFERROR(__xludf.DUMMYFUNCTION("""COMPUTED_VALUE"""),2802300.0)</f>
        <v>2802300</v>
      </c>
    </row>
    <row r="2003">
      <c r="A2003" s="3">
        <f>IFERROR(__xludf.DUMMYFUNCTION("""COMPUTED_VALUE"""),32112.666666666668)</f>
        <v>32112.66667</v>
      </c>
      <c r="B2003" s="2">
        <f>IFERROR(__xludf.DUMMYFUNCTION("""COMPUTED_VALUE"""),26.57)</f>
        <v>26.57</v>
      </c>
      <c r="C2003" s="2">
        <f>IFERROR(__xludf.DUMMYFUNCTION("""COMPUTED_VALUE"""),26.95)</f>
        <v>26.95</v>
      </c>
      <c r="D2003" s="2">
        <f>IFERROR(__xludf.DUMMYFUNCTION("""COMPUTED_VALUE"""),26.51)</f>
        <v>26.51</v>
      </c>
      <c r="E2003" s="2">
        <f>IFERROR(__xludf.DUMMYFUNCTION("""COMPUTED_VALUE"""),26.57)</f>
        <v>26.57</v>
      </c>
      <c r="F2003" s="2">
        <f>IFERROR(__xludf.DUMMYFUNCTION("""COMPUTED_VALUE"""),1611700.0)</f>
        <v>1611700</v>
      </c>
    </row>
    <row r="2004">
      <c r="A2004" s="3">
        <f>IFERROR(__xludf.DUMMYFUNCTION("""COMPUTED_VALUE"""),32113.666666666668)</f>
        <v>32113.66667</v>
      </c>
      <c r="B2004" s="2">
        <f>IFERROR(__xludf.DUMMYFUNCTION("""COMPUTED_VALUE"""),26.39)</f>
        <v>26.39</v>
      </c>
      <c r="C2004" s="2">
        <f>IFERROR(__xludf.DUMMYFUNCTION("""COMPUTED_VALUE"""),26.77)</f>
        <v>26.77</v>
      </c>
      <c r="D2004" s="2">
        <f>IFERROR(__xludf.DUMMYFUNCTION("""COMPUTED_VALUE"""),26.33)</f>
        <v>26.33</v>
      </c>
      <c r="E2004" s="2">
        <f>IFERROR(__xludf.DUMMYFUNCTION("""COMPUTED_VALUE"""),26.39)</f>
        <v>26.39</v>
      </c>
      <c r="F2004" s="2">
        <f>IFERROR(__xludf.DUMMYFUNCTION("""COMPUTED_VALUE"""),1347400.0)</f>
        <v>1347400</v>
      </c>
    </row>
    <row r="2005">
      <c r="A2005" s="3">
        <f>IFERROR(__xludf.DUMMYFUNCTION("""COMPUTED_VALUE"""),32114.666666666668)</f>
        <v>32114.66667</v>
      </c>
      <c r="B2005" s="2">
        <f>IFERROR(__xludf.DUMMYFUNCTION("""COMPUTED_VALUE"""),25.43)</f>
        <v>25.43</v>
      </c>
      <c r="C2005" s="2">
        <f>IFERROR(__xludf.DUMMYFUNCTION("""COMPUTED_VALUE"""),26.48)</f>
        <v>26.48</v>
      </c>
      <c r="D2005" s="2">
        <f>IFERROR(__xludf.DUMMYFUNCTION("""COMPUTED_VALUE"""),25.43)</f>
        <v>25.43</v>
      </c>
      <c r="E2005" s="2">
        <f>IFERROR(__xludf.DUMMYFUNCTION("""COMPUTED_VALUE"""),25.43)</f>
        <v>25.43</v>
      </c>
      <c r="F2005" s="2">
        <f>IFERROR(__xludf.DUMMYFUNCTION("""COMPUTED_VALUE"""),2360900.0)</f>
        <v>2360900</v>
      </c>
    </row>
    <row r="2006">
      <c r="A2006" s="3">
        <f>IFERROR(__xludf.DUMMYFUNCTION("""COMPUTED_VALUE"""),32115.666666666668)</f>
        <v>32115.66667</v>
      </c>
      <c r="B2006" s="2">
        <f>IFERROR(__xludf.DUMMYFUNCTION("""COMPUTED_VALUE"""),25.73)</f>
        <v>25.73</v>
      </c>
      <c r="C2006" s="2">
        <f>IFERROR(__xludf.DUMMYFUNCTION("""COMPUTED_VALUE"""),25.73)</f>
        <v>25.73</v>
      </c>
      <c r="D2006" s="2">
        <f>IFERROR(__xludf.DUMMYFUNCTION("""COMPUTED_VALUE"""),25.07)</f>
        <v>25.07</v>
      </c>
      <c r="E2006" s="2">
        <f>IFERROR(__xludf.DUMMYFUNCTION("""COMPUTED_VALUE"""),25.73)</f>
        <v>25.73</v>
      </c>
      <c r="F2006" s="2">
        <f>IFERROR(__xludf.DUMMYFUNCTION("""COMPUTED_VALUE"""),2137300.0)</f>
        <v>2137300</v>
      </c>
    </row>
    <row r="2007">
      <c r="A2007" s="3">
        <f>IFERROR(__xludf.DUMMYFUNCTION("""COMPUTED_VALUE"""),32118.666666666668)</f>
        <v>32118.66667</v>
      </c>
      <c r="B2007" s="2">
        <f>IFERROR(__xludf.DUMMYFUNCTION("""COMPUTED_VALUE"""),26.15)</f>
        <v>26.15</v>
      </c>
      <c r="C2007" s="2">
        <f>IFERROR(__xludf.DUMMYFUNCTION("""COMPUTED_VALUE"""),26.15)</f>
        <v>26.15</v>
      </c>
      <c r="D2007" s="2">
        <f>IFERROR(__xludf.DUMMYFUNCTION("""COMPUTED_VALUE"""),25.73)</f>
        <v>25.73</v>
      </c>
      <c r="E2007" s="2">
        <f>IFERROR(__xludf.DUMMYFUNCTION("""COMPUTED_VALUE"""),26.15)</f>
        <v>26.15</v>
      </c>
      <c r="F2007" s="2">
        <f>IFERROR(__xludf.DUMMYFUNCTION("""COMPUTED_VALUE"""),1475100.0)</f>
        <v>1475100</v>
      </c>
    </row>
    <row r="2008">
      <c r="A2008" s="3">
        <f>IFERROR(__xludf.DUMMYFUNCTION("""COMPUTED_VALUE"""),32119.666666666668)</f>
        <v>32119.66667</v>
      </c>
      <c r="B2008" s="2">
        <f>IFERROR(__xludf.DUMMYFUNCTION("""COMPUTED_VALUE"""),26.63)</f>
        <v>26.63</v>
      </c>
      <c r="C2008" s="2">
        <f>IFERROR(__xludf.DUMMYFUNCTION("""COMPUTED_VALUE"""),26.63)</f>
        <v>26.63</v>
      </c>
      <c r="D2008" s="2">
        <f>IFERROR(__xludf.DUMMYFUNCTION("""COMPUTED_VALUE"""),25.88)</f>
        <v>25.88</v>
      </c>
      <c r="E2008" s="2">
        <f>IFERROR(__xludf.DUMMYFUNCTION("""COMPUTED_VALUE"""),26.63)</f>
        <v>26.63</v>
      </c>
      <c r="F2008" s="2">
        <f>IFERROR(__xludf.DUMMYFUNCTION("""COMPUTED_VALUE"""),1549200.0)</f>
        <v>1549200</v>
      </c>
    </row>
    <row r="2009">
      <c r="A2009" s="3">
        <f>IFERROR(__xludf.DUMMYFUNCTION("""COMPUTED_VALUE"""),32120.666666666668)</f>
        <v>32120.66667</v>
      </c>
      <c r="B2009" s="2">
        <f>IFERROR(__xludf.DUMMYFUNCTION("""COMPUTED_VALUE"""),27.22)</f>
        <v>27.22</v>
      </c>
      <c r="C2009" s="2">
        <f>IFERROR(__xludf.DUMMYFUNCTION("""COMPUTED_VALUE"""),27.4)</f>
        <v>27.4</v>
      </c>
      <c r="D2009" s="2">
        <f>IFERROR(__xludf.DUMMYFUNCTION("""COMPUTED_VALUE"""),26.51)</f>
        <v>26.51</v>
      </c>
      <c r="E2009" s="2">
        <f>IFERROR(__xludf.DUMMYFUNCTION("""COMPUTED_VALUE"""),27.22)</f>
        <v>27.22</v>
      </c>
      <c r="F2009" s="2">
        <f>IFERROR(__xludf.DUMMYFUNCTION("""COMPUTED_VALUE"""),2025400.0)</f>
        <v>2025400</v>
      </c>
    </row>
    <row r="2010">
      <c r="A2010" s="3">
        <f>IFERROR(__xludf.DUMMYFUNCTION("""COMPUTED_VALUE"""),32121.666666666668)</f>
        <v>32121.66667</v>
      </c>
      <c r="B2010" s="2">
        <f>IFERROR(__xludf.DUMMYFUNCTION("""COMPUTED_VALUE"""),26.51)</f>
        <v>26.51</v>
      </c>
      <c r="C2010" s="2">
        <f>IFERROR(__xludf.DUMMYFUNCTION("""COMPUTED_VALUE"""),27.34)</f>
        <v>27.34</v>
      </c>
      <c r="D2010" s="2">
        <f>IFERROR(__xludf.DUMMYFUNCTION("""COMPUTED_VALUE"""),26.39)</f>
        <v>26.39</v>
      </c>
      <c r="E2010" s="2">
        <f>IFERROR(__xludf.DUMMYFUNCTION("""COMPUTED_VALUE"""),26.51)</f>
        <v>26.51</v>
      </c>
      <c r="F2010" s="2">
        <f>IFERROR(__xludf.DUMMYFUNCTION("""COMPUTED_VALUE"""),2390700.0)</f>
        <v>2390700</v>
      </c>
    </row>
    <row r="2011">
      <c r="A2011" s="3">
        <f>IFERROR(__xludf.DUMMYFUNCTION("""COMPUTED_VALUE"""),32122.666666666668)</f>
        <v>32122.66667</v>
      </c>
      <c r="B2011" s="2">
        <f>IFERROR(__xludf.DUMMYFUNCTION("""COMPUTED_VALUE"""),26.3)</f>
        <v>26.3</v>
      </c>
      <c r="C2011" s="2">
        <f>IFERROR(__xludf.DUMMYFUNCTION("""COMPUTED_VALUE"""),26.66)</f>
        <v>26.66</v>
      </c>
      <c r="D2011" s="2">
        <f>IFERROR(__xludf.DUMMYFUNCTION("""COMPUTED_VALUE"""),26.09)</f>
        <v>26.09</v>
      </c>
      <c r="E2011" s="2">
        <f>IFERROR(__xludf.DUMMYFUNCTION("""COMPUTED_VALUE"""),26.3)</f>
        <v>26.3</v>
      </c>
      <c r="F2011" s="2">
        <f>IFERROR(__xludf.DUMMYFUNCTION("""COMPUTED_VALUE"""),1413800.0)</f>
        <v>1413800</v>
      </c>
    </row>
    <row r="2012">
      <c r="A2012" s="3">
        <f>IFERROR(__xludf.DUMMYFUNCTION("""COMPUTED_VALUE"""),32125.666666666668)</f>
        <v>32125.66667</v>
      </c>
      <c r="B2012" s="2">
        <f>IFERROR(__xludf.DUMMYFUNCTION("""COMPUTED_VALUE"""),27.49)</f>
        <v>27.49</v>
      </c>
      <c r="C2012" s="2">
        <f>IFERROR(__xludf.DUMMYFUNCTION("""COMPUTED_VALUE"""),27.64)</f>
        <v>27.64</v>
      </c>
      <c r="D2012" s="2">
        <f>IFERROR(__xludf.DUMMYFUNCTION("""COMPUTED_VALUE"""),26.33)</f>
        <v>26.33</v>
      </c>
      <c r="E2012" s="2">
        <f>IFERROR(__xludf.DUMMYFUNCTION("""COMPUTED_VALUE"""),27.49)</f>
        <v>27.49</v>
      </c>
      <c r="F2012" s="2">
        <f>IFERROR(__xludf.DUMMYFUNCTION("""COMPUTED_VALUE"""),1697500.0)</f>
        <v>1697500</v>
      </c>
    </row>
    <row r="2013">
      <c r="A2013" s="3">
        <f>IFERROR(__xludf.DUMMYFUNCTION("""COMPUTED_VALUE"""),32126.666666666668)</f>
        <v>32126.66667</v>
      </c>
      <c r="B2013" s="2">
        <f>IFERROR(__xludf.DUMMYFUNCTION("""COMPUTED_VALUE"""),27.7)</f>
        <v>27.7</v>
      </c>
      <c r="C2013" s="2">
        <f>IFERROR(__xludf.DUMMYFUNCTION("""COMPUTED_VALUE"""),27.94)</f>
        <v>27.94</v>
      </c>
      <c r="D2013" s="2">
        <f>IFERROR(__xludf.DUMMYFUNCTION("""COMPUTED_VALUE"""),27.28)</f>
        <v>27.28</v>
      </c>
      <c r="E2013" s="2">
        <f>IFERROR(__xludf.DUMMYFUNCTION("""COMPUTED_VALUE"""),27.7)</f>
        <v>27.7</v>
      </c>
      <c r="F2013" s="2">
        <f>IFERROR(__xludf.DUMMYFUNCTION("""COMPUTED_VALUE"""),2332400.0)</f>
        <v>2332400</v>
      </c>
    </row>
    <row r="2014">
      <c r="A2014" s="3">
        <f>IFERROR(__xludf.DUMMYFUNCTION("""COMPUTED_VALUE"""),32127.666666666668)</f>
        <v>32127.66667</v>
      </c>
      <c r="B2014" s="2">
        <f>IFERROR(__xludf.DUMMYFUNCTION("""COMPUTED_VALUE"""),28.39)</f>
        <v>28.39</v>
      </c>
      <c r="C2014" s="2">
        <f>IFERROR(__xludf.DUMMYFUNCTION("""COMPUTED_VALUE"""),28.48)</f>
        <v>28.48</v>
      </c>
      <c r="D2014" s="2">
        <f>IFERROR(__xludf.DUMMYFUNCTION("""COMPUTED_VALUE"""),27.64)</f>
        <v>27.64</v>
      </c>
      <c r="E2014" s="2">
        <f>IFERROR(__xludf.DUMMYFUNCTION("""COMPUTED_VALUE"""),28.39)</f>
        <v>28.39</v>
      </c>
      <c r="F2014" s="2">
        <f>IFERROR(__xludf.DUMMYFUNCTION("""COMPUTED_VALUE"""),2233600.0)</f>
        <v>2233600</v>
      </c>
    </row>
    <row r="2015">
      <c r="A2015" s="3">
        <f>IFERROR(__xludf.DUMMYFUNCTION("""COMPUTED_VALUE"""),32128.666666666668)</f>
        <v>32128.66667</v>
      </c>
      <c r="B2015" s="2">
        <f>IFERROR(__xludf.DUMMYFUNCTION("""COMPUTED_VALUE"""),27.58)</f>
        <v>27.58</v>
      </c>
      <c r="C2015" s="2">
        <f>IFERROR(__xludf.DUMMYFUNCTION("""COMPUTED_VALUE"""),28.54)</f>
        <v>28.54</v>
      </c>
      <c r="D2015" s="2">
        <f>IFERROR(__xludf.DUMMYFUNCTION("""COMPUTED_VALUE"""),27.46)</f>
        <v>27.46</v>
      </c>
      <c r="E2015" s="2">
        <f>IFERROR(__xludf.DUMMYFUNCTION("""COMPUTED_VALUE"""),27.58)</f>
        <v>27.58</v>
      </c>
      <c r="F2015" s="2">
        <f>IFERROR(__xludf.DUMMYFUNCTION("""COMPUTED_VALUE"""),1824700.0)</f>
        <v>1824700</v>
      </c>
    </row>
    <row r="2016">
      <c r="A2016" s="3">
        <f>IFERROR(__xludf.DUMMYFUNCTION("""COMPUTED_VALUE"""),32129.666666666668)</f>
        <v>32129.66667</v>
      </c>
      <c r="B2016" s="2">
        <f>IFERROR(__xludf.DUMMYFUNCTION("""COMPUTED_VALUE"""),28.0)</f>
        <v>28</v>
      </c>
      <c r="C2016" s="2">
        <f>IFERROR(__xludf.DUMMYFUNCTION("""COMPUTED_VALUE"""),28.24)</f>
        <v>28.24</v>
      </c>
      <c r="D2016" s="2">
        <f>IFERROR(__xludf.DUMMYFUNCTION("""COMPUTED_VALUE"""),27.52)</f>
        <v>27.52</v>
      </c>
      <c r="E2016" s="2">
        <f>IFERROR(__xludf.DUMMYFUNCTION("""COMPUTED_VALUE"""),28.0)</f>
        <v>28</v>
      </c>
      <c r="F2016" s="2">
        <f>IFERROR(__xludf.DUMMYFUNCTION("""COMPUTED_VALUE"""),2798900.0)</f>
        <v>2798900</v>
      </c>
    </row>
    <row r="2017">
      <c r="A2017" s="3">
        <f>IFERROR(__xludf.DUMMYFUNCTION("""COMPUTED_VALUE"""),32132.666666666668)</f>
        <v>32132.66667</v>
      </c>
      <c r="B2017" s="2">
        <f>IFERROR(__xludf.DUMMYFUNCTION("""COMPUTED_VALUE"""),28.24)</f>
        <v>28.24</v>
      </c>
      <c r="C2017" s="2">
        <f>IFERROR(__xludf.DUMMYFUNCTION("""COMPUTED_VALUE"""),28.54)</f>
        <v>28.54</v>
      </c>
      <c r="D2017" s="2">
        <f>IFERROR(__xludf.DUMMYFUNCTION("""COMPUTED_VALUE"""),27.91)</f>
        <v>27.91</v>
      </c>
      <c r="E2017" s="2">
        <f>IFERROR(__xludf.DUMMYFUNCTION("""COMPUTED_VALUE"""),28.24)</f>
        <v>28.24</v>
      </c>
      <c r="F2017" s="2">
        <f>IFERROR(__xludf.DUMMYFUNCTION("""COMPUTED_VALUE"""),1550200.0)</f>
        <v>1550200</v>
      </c>
    </row>
    <row r="2018">
      <c r="A2018" s="3">
        <f>IFERROR(__xludf.DUMMYFUNCTION("""COMPUTED_VALUE"""),32133.666666666668)</f>
        <v>32133.66667</v>
      </c>
      <c r="B2018" s="2">
        <f>IFERROR(__xludf.DUMMYFUNCTION("""COMPUTED_VALUE"""),28.24)</f>
        <v>28.24</v>
      </c>
      <c r="C2018" s="2">
        <f>IFERROR(__xludf.DUMMYFUNCTION("""COMPUTED_VALUE"""),28.27)</f>
        <v>28.27</v>
      </c>
      <c r="D2018" s="2">
        <f>IFERROR(__xludf.DUMMYFUNCTION("""COMPUTED_VALUE"""),27.82)</f>
        <v>27.82</v>
      </c>
      <c r="E2018" s="2">
        <f>IFERROR(__xludf.DUMMYFUNCTION("""COMPUTED_VALUE"""),28.24)</f>
        <v>28.24</v>
      </c>
      <c r="F2018" s="2">
        <f>IFERROR(__xludf.DUMMYFUNCTION("""COMPUTED_VALUE"""),1217000.0)</f>
        <v>1217000</v>
      </c>
    </row>
    <row r="2019">
      <c r="A2019" s="3">
        <f>IFERROR(__xludf.DUMMYFUNCTION("""COMPUTED_VALUE"""),32134.666666666668)</f>
        <v>32134.66667</v>
      </c>
      <c r="B2019" s="2">
        <f>IFERROR(__xludf.DUMMYFUNCTION("""COMPUTED_VALUE"""),28.54)</f>
        <v>28.54</v>
      </c>
      <c r="C2019" s="2">
        <f>IFERROR(__xludf.DUMMYFUNCTION("""COMPUTED_VALUE"""),28.74)</f>
        <v>28.74</v>
      </c>
      <c r="D2019" s="2">
        <f>IFERROR(__xludf.DUMMYFUNCTION("""COMPUTED_VALUE"""),28.36)</f>
        <v>28.36</v>
      </c>
      <c r="E2019" s="2">
        <f>IFERROR(__xludf.DUMMYFUNCTION("""COMPUTED_VALUE"""),28.54)</f>
        <v>28.54</v>
      </c>
      <c r="F2019" s="2">
        <f>IFERROR(__xludf.DUMMYFUNCTION("""COMPUTED_VALUE"""),1646500.0)</f>
        <v>1646500</v>
      </c>
    </row>
    <row r="2020">
      <c r="A2020" s="3">
        <f>IFERROR(__xludf.DUMMYFUNCTION("""COMPUTED_VALUE"""),32135.666666666668)</f>
        <v>32135.66667</v>
      </c>
      <c r="B2020" s="2">
        <f>IFERROR(__xludf.DUMMYFUNCTION("""COMPUTED_VALUE"""),28.63)</f>
        <v>28.63</v>
      </c>
      <c r="C2020" s="2">
        <f>IFERROR(__xludf.DUMMYFUNCTION("""COMPUTED_VALUE"""),28.63)</f>
        <v>28.63</v>
      </c>
      <c r="D2020" s="2">
        <f>IFERROR(__xludf.DUMMYFUNCTION("""COMPUTED_VALUE"""),28.42)</f>
        <v>28.42</v>
      </c>
      <c r="E2020" s="2">
        <f>IFERROR(__xludf.DUMMYFUNCTION("""COMPUTED_VALUE"""),28.63)</f>
        <v>28.63</v>
      </c>
      <c r="F2020" s="2">
        <f>IFERROR(__xludf.DUMMYFUNCTION("""COMPUTED_VALUE"""),630300.0)</f>
        <v>630300</v>
      </c>
    </row>
    <row r="2021">
      <c r="A2021" s="3">
        <f>IFERROR(__xludf.DUMMYFUNCTION("""COMPUTED_VALUE"""),32139.666666666668)</f>
        <v>32139.66667</v>
      </c>
      <c r="B2021" s="2">
        <f>IFERROR(__xludf.DUMMYFUNCTION("""COMPUTED_VALUE"""),27.64)</f>
        <v>27.64</v>
      </c>
      <c r="C2021" s="2">
        <f>IFERROR(__xludf.DUMMYFUNCTION("""COMPUTED_VALUE"""),28.09)</f>
        <v>28.09</v>
      </c>
      <c r="D2021" s="2">
        <f>IFERROR(__xludf.DUMMYFUNCTION("""COMPUTED_VALUE"""),27.49)</f>
        <v>27.49</v>
      </c>
      <c r="E2021" s="2">
        <f>IFERROR(__xludf.DUMMYFUNCTION("""COMPUTED_VALUE"""),27.64)</f>
        <v>27.64</v>
      </c>
      <c r="F2021" s="2">
        <f>IFERROR(__xludf.DUMMYFUNCTION("""COMPUTED_VALUE"""),1086800.0)</f>
        <v>1086800</v>
      </c>
    </row>
    <row r="2022">
      <c r="A2022" s="3">
        <f>IFERROR(__xludf.DUMMYFUNCTION("""COMPUTED_VALUE"""),32140.666666666668)</f>
        <v>32140.66667</v>
      </c>
      <c r="B2022" s="2">
        <f>IFERROR(__xludf.DUMMYFUNCTION("""COMPUTED_VALUE"""),27.7)</f>
        <v>27.7</v>
      </c>
      <c r="C2022" s="2">
        <f>IFERROR(__xludf.DUMMYFUNCTION("""COMPUTED_VALUE"""),27.85)</f>
        <v>27.85</v>
      </c>
      <c r="D2022" s="2">
        <f>IFERROR(__xludf.DUMMYFUNCTION("""COMPUTED_VALUE"""),27.58)</f>
        <v>27.58</v>
      </c>
      <c r="E2022" s="2">
        <f>IFERROR(__xludf.DUMMYFUNCTION("""COMPUTED_VALUE"""),27.7)</f>
        <v>27.7</v>
      </c>
      <c r="F2022" s="2">
        <f>IFERROR(__xludf.DUMMYFUNCTION("""COMPUTED_VALUE"""),681900.0)</f>
        <v>681900</v>
      </c>
    </row>
    <row r="2023">
      <c r="A2023" s="3">
        <f>IFERROR(__xludf.DUMMYFUNCTION("""COMPUTED_VALUE"""),32141.666666666668)</f>
        <v>32141.66667</v>
      </c>
      <c r="B2023" s="2">
        <f>IFERROR(__xludf.DUMMYFUNCTION("""COMPUTED_VALUE"""),27.94)</f>
        <v>27.94</v>
      </c>
      <c r="C2023" s="2">
        <f>IFERROR(__xludf.DUMMYFUNCTION("""COMPUTED_VALUE"""),28.12)</f>
        <v>28.12</v>
      </c>
      <c r="D2023" s="2">
        <f>IFERROR(__xludf.DUMMYFUNCTION("""COMPUTED_VALUE"""),27.79)</f>
        <v>27.79</v>
      </c>
      <c r="E2023" s="2">
        <f>IFERROR(__xludf.DUMMYFUNCTION("""COMPUTED_VALUE"""),27.94)</f>
        <v>27.94</v>
      </c>
      <c r="F2023" s="2">
        <f>IFERROR(__xludf.DUMMYFUNCTION("""COMPUTED_VALUE"""),1048800.0)</f>
        <v>1048800</v>
      </c>
    </row>
    <row r="2024">
      <c r="A2024" s="3">
        <f>IFERROR(__xludf.DUMMYFUNCTION("""COMPUTED_VALUE"""),32142.666666666668)</f>
        <v>32142.66667</v>
      </c>
      <c r="B2024" s="2">
        <f>IFERROR(__xludf.DUMMYFUNCTION("""COMPUTED_VALUE"""),27.58)</f>
        <v>27.58</v>
      </c>
      <c r="C2024" s="2">
        <f>IFERROR(__xludf.DUMMYFUNCTION("""COMPUTED_VALUE"""),27.79)</f>
        <v>27.79</v>
      </c>
      <c r="D2024" s="2">
        <f>IFERROR(__xludf.DUMMYFUNCTION("""COMPUTED_VALUE"""),27.52)</f>
        <v>27.52</v>
      </c>
      <c r="E2024" s="2">
        <f>IFERROR(__xludf.DUMMYFUNCTION("""COMPUTED_VALUE"""),27.58)</f>
        <v>27.58</v>
      </c>
      <c r="F2024" s="2">
        <f>IFERROR(__xludf.DUMMYFUNCTION("""COMPUTED_VALUE"""),1165100.0)</f>
        <v>1165100</v>
      </c>
    </row>
    <row r="2025">
      <c r="A2025" s="3">
        <f>IFERROR(__xludf.DUMMYFUNCTION("""COMPUTED_VALUE"""),32146.666666666668)</f>
        <v>32146.66667</v>
      </c>
      <c r="B2025" s="2">
        <f>IFERROR(__xludf.DUMMYFUNCTION("""COMPUTED_VALUE"""),28.83)</f>
        <v>28.83</v>
      </c>
      <c r="C2025" s="2">
        <f>IFERROR(__xludf.DUMMYFUNCTION("""COMPUTED_VALUE"""),28.95)</f>
        <v>28.95</v>
      </c>
      <c r="D2025" s="2">
        <f>IFERROR(__xludf.DUMMYFUNCTION("""COMPUTED_VALUE"""),27.88)</f>
        <v>27.88</v>
      </c>
      <c r="E2025" s="2">
        <f>IFERROR(__xludf.DUMMYFUNCTION("""COMPUTED_VALUE"""),28.83)</f>
        <v>28.83</v>
      </c>
      <c r="F2025" s="2">
        <f>IFERROR(__xludf.DUMMYFUNCTION("""COMPUTED_VALUE"""),1835100.0)</f>
        <v>1835100</v>
      </c>
    </row>
    <row r="2026">
      <c r="A2026" s="3">
        <f>IFERROR(__xludf.DUMMYFUNCTION("""COMPUTED_VALUE"""),32147.666666666668)</f>
        <v>32147.66667</v>
      </c>
      <c r="B2026" s="2">
        <f>IFERROR(__xludf.DUMMYFUNCTION("""COMPUTED_VALUE"""),29.1)</f>
        <v>29.1</v>
      </c>
      <c r="C2026" s="2">
        <f>IFERROR(__xludf.DUMMYFUNCTION("""COMPUTED_VALUE"""),29.49)</f>
        <v>29.49</v>
      </c>
      <c r="D2026" s="2">
        <f>IFERROR(__xludf.DUMMYFUNCTION("""COMPUTED_VALUE"""),29.04)</f>
        <v>29.04</v>
      </c>
      <c r="E2026" s="2">
        <f>IFERROR(__xludf.DUMMYFUNCTION("""COMPUTED_VALUE"""),29.1)</f>
        <v>29.1</v>
      </c>
      <c r="F2026" s="2">
        <f>IFERROR(__xludf.DUMMYFUNCTION("""COMPUTED_VALUE"""),2172200.0)</f>
        <v>2172200</v>
      </c>
    </row>
    <row r="2027">
      <c r="A2027" s="3">
        <f>IFERROR(__xludf.DUMMYFUNCTION("""COMPUTED_VALUE"""),32148.666666666668)</f>
        <v>32148.66667</v>
      </c>
      <c r="B2027" s="2">
        <f>IFERROR(__xludf.DUMMYFUNCTION("""COMPUTED_VALUE"""),29.34)</f>
        <v>29.34</v>
      </c>
      <c r="C2027" s="2">
        <f>IFERROR(__xludf.DUMMYFUNCTION("""COMPUTED_VALUE"""),29.43)</f>
        <v>29.43</v>
      </c>
      <c r="D2027" s="2">
        <f>IFERROR(__xludf.DUMMYFUNCTION("""COMPUTED_VALUE"""),28.95)</f>
        <v>28.95</v>
      </c>
      <c r="E2027" s="2">
        <f>IFERROR(__xludf.DUMMYFUNCTION("""COMPUTED_VALUE"""),29.34)</f>
        <v>29.34</v>
      </c>
      <c r="F2027" s="2">
        <f>IFERROR(__xludf.DUMMYFUNCTION("""COMPUTED_VALUE"""),1577100.0)</f>
        <v>1577100</v>
      </c>
    </row>
    <row r="2028">
      <c r="A2028" s="3">
        <f>IFERROR(__xludf.DUMMYFUNCTION("""COMPUTED_VALUE"""),32149.666666666668)</f>
        <v>32149.66667</v>
      </c>
      <c r="B2028" s="2">
        <f>IFERROR(__xludf.DUMMYFUNCTION("""COMPUTED_VALUE"""),29.46)</f>
        <v>29.46</v>
      </c>
      <c r="C2028" s="2">
        <f>IFERROR(__xludf.DUMMYFUNCTION("""COMPUTED_VALUE"""),29.61)</f>
        <v>29.61</v>
      </c>
      <c r="D2028" s="2">
        <f>IFERROR(__xludf.DUMMYFUNCTION("""COMPUTED_VALUE"""),28.92)</f>
        <v>28.92</v>
      </c>
      <c r="E2028" s="2">
        <f>IFERROR(__xludf.DUMMYFUNCTION("""COMPUTED_VALUE"""),29.46)</f>
        <v>29.46</v>
      </c>
      <c r="F2028" s="2">
        <f>IFERROR(__xludf.DUMMYFUNCTION("""COMPUTED_VALUE"""),1430300.0)</f>
        <v>1430300</v>
      </c>
    </row>
    <row r="2029">
      <c r="A2029" s="3">
        <f>IFERROR(__xludf.DUMMYFUNCTION("""COMPUTED_VALUE"""),32150.666666666668)</f>
        <v>32150.66667</v>
      </c>
      <c r="B2029" s="2">
        <f>IFERROR(__xludf.DUMMYFUNCTION("""COMPUTED_VALUE"""),27.43)</f>
        <v>27.43</v>
      </c>
      <c r="C2029" s="2">
        <f>IFERROR(__xludf.DUMMYFUNCTION("""COMPUTED_VALUE"""),29.55)</f>
        <v>29.55</v>
      </c>
      <c r="D2029" s="2">
        <f>IFERROR(__xludf.DUMMYFUNCTION("""COMPUTED_VALUE"""),27.43)</f>
        <v>27.43</v>
      </c>
      <c r="E2029" s="2">
        <f>IFERROR(__xludf.DUMMYFUNCTION("""COMPUTED_VALUE"""),27.43)</f>
        <v>27.43</v>
      </c>
      <c r="F2029" s="2">
        <f>IFERROR(__xludf.DUMMYFUNCTION("""COMPUTED_VALUE"""),2112000.0)</f>
        <v>2112000</v>
      </c>
    </row>
    <row r="2030">
      <c r="A2030" s="3">
        <f>IFERROR(__xludf.DUMMYFUNCTION("""COMPUTED_VALUE"""),32153.666666666668)</f>
        <v>32153.66667</v>
      </c>
      <c r="B2030" s="2">
        <f>IFERROR(__xludf.DUMMYFUNCTION("""COMPUTED_VALUE"""),28.12)</f>
        <v>28.12</v>
      </c>
      <c r="C2030" s="2">
        <f>IFERROR(__xludf.DUMMYFUNCTION("""COMPUTED_VALUE"""),28.18)</f>
        <v>28.18</v>
      </c>
      <c r="D2030" s="2">
        <f>IFERROR(__xludf.DUMMYFUNCTION("""COMPUTED_VALUE"""),27.34)</f>
        <v>27.34</v>
      </c>
      <c r="E2030" s="2">
        <f>IFERROR(__xludf.DUMMYFUNCTION("""COMPUTED_VALUE"""),28.12)</f>
        <v>28.12</v>
      </c>
      <c r="F2030" s="2">
        <f>IFERROR(__xludf.DUMMYFUNCTION("""COMPUTED_VALUE"""),1785000.0)</f>
        <v>1785000</v>
      </c>
    </row>
    <row r="2031">
      <c r="A2031" s="3">
        <f>IFERROR(__xludf.DUMMYFUNCTION("""COMPUTED_VALUE"""),32154.666666666668)</f>
        <v>32154.66667</v>
      </c>
      <c r="B2031" s="2">
        <f>IFERROR(__xludf.DUMMYFUNCTION("""COMPUTED_VALUE"""),27.52)</f>
        <v>27.52</v>
      </c>
      <c r="C2031" s="2">
        <f>IFERROR(__xludf.DUMMYFUNCTION("""COMPUTED_VALUE"""),28.12)</f>
        <v>28.12</v>
      </c>
      <c r="D2031" s="2">
        <f>IFERROR(__xludf.DUMMYFUNCTION("""COMPUTED_VALUE"""),27.04)</f>
        <v>27.04</v>
      </c>
      <c r="E2031" s="2">
        <f>IFERROR(__xludf.DUMMYFUNCTION("""COMPUTED_VALUE"""),27.52)</f>
        <v>27.52</v>
      </c>
      <c r="F2031" s="2">
        <f>IFERROR(__xludf.DUMMYFUNCTION("""COMPUTED_VALUE"""),2356000.0)</f>
        <v>2356000</v>
      </c>
    </row>
    <row r="2032">
      <c r="A2032" s="3">
        <f>IFERROR(__xludf.DUMMYFUNCTION("""COMPUTED_VALUE"""),32155.666666666668)</f>
        <v>32155.66667</v>
      </c>
      <c r="B2032" s="2">
        <f>IFERROR(__xludf.DUMMYFUNCTION("""COMPUTED_VALUE"""),27.73)</f>
        <v>27.73</v>
      </c>
      <c r="C2032" s="2">
        <f>IFERROR(__xludf.DUMMYFUNCTION("""COMPUTED_VALUE"""),28.24)</f>
        <v>28.24</v>
      </c>
      <c r="D2032" s="2">
        <f>IFERROR(__xludf.DUMMYFUNCTION("""COMPUTED_VALUE"""),27.07)</f>
        <v>27.07</v>
      </c>
      <c r="E2032" s="2">
        <f>IFERROR(__xludf.DUMMYFUNCTION("""COMPUTED_VALUE"""),27.73)</f>
        <v>27.73</v>
      </c>
      <c r="F2032" s="2">
        <f>IFERROR(__xludf.DUMMYFUNCTION("""COMPUTED_VALUE"""),2174600.0)</f>
        <v>2174600</v>
      </c>
    </row>
    <row r="2033">
      <c r="A2033" s="3">
        <f>IFERROR(__xludf.DUMMYFUNCTION("""COMPUTED_VALUE"""),32156.666666666668)</f>
        <v>32156.66667</v>
      </c>
      <c r="B2033" s="2">
        <f>IFERROR(__xludf.DUMMYFUNCTION("""COMPUTED_VALUE"""),27.67)</f>
        <v>27.67</v>
      </c>
      <c r="C2033" s="2">
        <f>IFERROR(__xludf.DUMMYFUNCTION("""COMPUTED_VALUE"""),28.03)</f>
        <v>28.03</v>
      </c>
      <c r="D2033" s="2">
        <f>IFERROR(__xludf.DUMMYFUNCTION("""COMPUTED_VALUE"""),27.34)</f>
        <v>27.34</v>
      </c>
      <c r="E2033" s="2">
        <f>IFERROR(__xludf.DUMMYFUNCTION("""COMPUTED_VALUE"""),27.67)</f>
        <v>27.67</v>
      </c>
      <c r="F2033" s="2">
        <f>IFERROR(__xludf.DUMMYFUNCTION("""COMPUTED_VALUE"""),1268800.0)</f>
        <v>1268800</v>
      </c>
    </row>
    <row r="2034">
      <c r="A2034" s="3">
        <f>IFERROR(__xludf.DUMMYFUNCTION("""COMPUTED_VALUE"""),32157.666666666668)</f>
        <v>32157.66667</v>
      </c>
      <c r="B2034" s="2">
        <f>IFERROR(__xludf.DUMMYFUNCTION("""COMPUTED_VALUE"""),28.42)</f>
        <v>28.42</v>
      </c>
      <c r="C2034" s="2">
        <f>IFERROR(__xludf.DUMMYFUNCTION("""COMPUTED_VALUE"""),28.71)</f>
        <v>28.71</v>
      </c>
      <c r="D2034" s="2">
        <f>IFERROR(__xludf.DUMMYFUNCTION("""COMPUTED_VALUE"""),28.27)</f>
        <v>28.27</v>
      </c>
      <c r="E2034" s="2">
        <f>IFERROR(__xludf.DUMMYFUNCTION("""COMPUTED_VALUE"""),28.42)</f>
        <v>28.42</v>
      </c>
      <c r="F2034" s="2">
        <f>IFERROR(__xludf.DUMMYFUNCTION("""COMPUTED_VALUE"""),2801800.0)</f>
        <v>2801800</v>
      </c>
    </row>
    <row r="2035">
      <c r="A2035" s="3">
        <f>IFERROR(__xludf.DUMMYFUNCTION("""COMPUTED_VALUE"""),32160.666666666668)</f>
        <v>32160.66667</v>
      </c>
      <c r="B2035" s="2">
        <f>IFERROR(__xludf.DUMMYFUNCTION("""COMPUTED_VALUE"""),28.12)</f>
        <v>28.12</v>
      </c>
      <c r="C2035" s="2">
        <f>IFERROR(__xludf.DUMMYFUNCTION("""COMPUTED_VALUE"""),28.6)</f>
        <v>28.6</v>
      </c>
      <c r="D2035" s="2">
        <f>IFERROR(__xludf.DUMMYFUNCTION("""COMPUTED_VALUE"""),27.94)</f>
        <v>27.94</v>
      </c>
      <c r="E2035" s="2">
        <f>IFERROR(__xludf.DUMMYFUNCTION("""COMPUTED_VALUE"""),28.12)</f>
        <v>28.12</v>
      </c>
      <c r="F2035" s="2">
        <f>IFERROR(__xludf.DUMMYFUNCTION("""COMPUTED_VALUE"""),1283100.0)</f>
        <v>1283100</v>
      </c>
    </row>
    <row r="2036">
      <c r="A2036" s="3">
        <f>IFERROR(__xludf.DUMMYFUNCTION("""COMPUTED_VALUE"""),32161.666666666668)</f>
        <v>32161.66667</v>
      </c>
      <c r="B2036" s="2">
        <f>IFERROR(__xludf.DUMMYFUNCTION("""COMPUTED_VALUE"""),26.68)</f>
        <v>26.68</v>
      </c>
      <c r="C2036" s="2">
        <f>IFERROR(__xludf.DUMMYFUNCTION("""COMPUTED_VALUE"""),27.58)</f>
        <v>27.58</v>
      </c>
      <c r="D2036" s="2">
        <f>IFERROR(__xludf.DUMMYFUNCTION("""COMPUTED_VALUE"""),26.63)</f>
        <v>26.63</v>
      </c>
      <c r="E2036" s="2">
        <f>IFERROR(__xludf.DUMMYFUNCTION("""COMPUTED_VALUE"""),26.68)</f>
        <v>26.68</v>
      </c>
      <c r="F2036" s="2">
        <f>IFERROR(__xludf.DUMMYFUNCTION("""COMPUTED_VALUE"""),3689300.0)</f>
        <v>3689300</v>
      </c>
    </row>
    <row r="2037">
      <c r="A2037" s="3">
        <f>IFERROR(__xludf.DUMMYFUNCTION("""COMPUTED_VALUE"""),32162.666666666668)</f>
        <v>32162.66667</v>
      </c>
      <c r="B2037" s="2">
        <f>IFERROR(__xludf.DUMMYFUNCTION("""COMPUTED_VALUE"""),26.36)</f>
        <v>26.36</v>
      </c>
      <c r="C2037" s="2">
        <f>IFERROR(__xludf.DUMMYFUNCTION("""COMPUTED_VALUE"""),26.6)</f>
        <v>26.6</v>
      </c>
      <c r="D2037" s="2">
        <f>IFERROR(__xludf.DUMMYFUNCTION("""COMPUTED_VALUE"""),25.94)</f>
        <v>25.94</v>
      </c>
      <c r="E2037" s="2">
        <f>IFERROR(__xludf.DUMMYFUNCTION("""COMPUTED_VALUE"""),26.36)</f>
        <v>26.36</v>
      </c>
      <c r="F2037" s="2">
        <f>IFERROR(__xludf.DUMMYFUNCTION("""COMPUTED_VALUE"""),4240800.0)</f>
        <v>4240800</v>
      </c>
    </row>
    <row r="2038">
      <c r="A2038" s="3">
        <f>IFERROR(__xludf.DUMMYFUNCTION("""COMPUTED_VALUE"""),32163.666666666668)</f>
        <v>32163.66667</v>
      </c>
      <c r="B2038" s="2">
        <f>IFERROR(__xludf.DUMMYFUNCTION("""COMPUTED_VALUE"""),26.51)</f>
        <v>26.51</v>
      </c>
      <c r="C2038" s="2">
        <f>IFERROR(__xludf.DUMMYFUNCTION("""COMPUTED_VALUE"""),26.74)</f>
        <v>26.74</v>
      </c>
      <c r="D2038" s="2">
        <f>IFERROR(__xludf.DUMMYFUNCTION("""COMPUTED_VALUE"""),26.03)</f>
        <v>26.03</v>
      </c>
      <c r="E2038" s="2">
        <f>IFERROR(__xludf.DUMMYFUNCTION("""COMPUTED_VALUE"""),26.51)</f>
        <v>26.51</v>
      </c>
      <c r="F2038" s="2">
        <f>IFERROR(__xludf.DUMMYFUNCTION("""COMPUTED_VALUE"""),2502200.0)</f>
        <v>2502200</v>
      </c>
    </row>
    <row r="2039">
      <c r="A2039" s="3">
        <f>IFERROR(__xludf.DUMMYFUNCTION("""COMPUTED_VALUE"""),32164.666666666668)</f>
        <v>32164.66667</v>
      </c>
      <c r="B2039" s="2">
        <f>IFERROR(__xludf.DUMMYFUNCTION("""COMPUTED_VALUE"""),26.39)</f>
        <v>26.39</v>
      </c>
      <c r="C2039" s="2">
        <f>IFERROR(__xludf.DUMMYFUNCTION("""COMPUTED_VALUE"""),26.68)</f>
        <v>26.68</v>
      </c>
      <c r="D2039" s="2">
        <f>IFERROR(__xludf.DUMMYFUNCTION("""COMPUTED_VALUE"""),26.18)</f>
        <v>26.18</v>
      </c>
      <c r="E2039" s="2">
        <f>IFERROR(__xludf.DUMMYFUNCTION("""COMPUTED_VALUE"""),26.39)</f>
        <v>26.39</v>
      </c>
      <c r="F2039" s="2">
        <f>IFERROR(__xludf.DUMMYFUNCTION("""COMPUTED_VALUE"""),1350700.0)</f>
        <v>1350700</v>
      </c>
    </row>
    <row r="2040">
      <c r="A2040" s="3">
        <f>IFERROR(__xludf.DUMMYFUNCTION("""COMPUTED_VALUE"""),32167.666666666668)</f>
        <v>32167.66667</v>
      </c>
      <c r="B2040" s="2">
        <f>IFERROR(__xludf.DUMMYFUNCTION("""COMPUTED_VALUE"""),27.04)</f>
        <v>27.04</v>
      </c>
      <c r="C2040" s="2">
        <f>IFERROR(__xludf.DUMMYFUNCTION("""COMPUTED_VALUE"""),27.04)</f>
        <v>27.04</v>
      </c>
      <c r="D2040" s="2">
        <f>IFERROR(__xludf.DUMMYFUNCTION("""COMPUTED_VALUE"""),26.39)</f>
        <v>26.39</v>
      </c>
      <c r="E2040" s="2">
        <f>IFERROR(__xludf.DUMMYFUNCTION("""COMPUTED_VALUE"""),27.04)</f>
        <v>27.04</v>
      </c>
      <c r="F2040" s="2">
        <f>IFERROR(__xludf.DUMMYFUNCTION("""COMPUTED_VALUE"""),1687200.0)</f>
        <v>1687200</v>
      </c>
    </row>
    <row r="2041">
      <c r="A2041" s="3">
        <f>IFERROR(__xludf.DUMMYFUNCTION("""COMPUTED_VALUE"""),32168.666666666668)</f>
        <v>32168.66667</v>
      </c>
      <c r="B2041" s="2">
        <f>IFERROR(__xludf.DUMMYFUNCTION("""COMPUTED_VALUE"""),26.71)</f>
        <v>26.71</v>
      </c>
      <c r="C2041" s="2">
        <f>IFERROR(__xludf.DUMMYFUNCTION("""COMPUTED_VALUE"""),27.1)</f>
        <v>27.1</v>
      </c>
      <c r="D2041" s="2">
        <f>IFERROR(__xludf.DUMMYFUNCTION("""COMPUTED_VALUE"""),26.63)</f>
        <v>26.63</v>
      </c>
      <c r="E2041" s="2">
        <f>IFERROR(__xludf.DUMMYFUNCTION("""COMPUTED_VALUE"""),26.71)</f>
        <v>26.71</v>
      </c>
      <c r="F2041" s="2">
        <f>IFERROR(__xludf.DUMMYFUNCTION("""COMPUTED_VALUE"""),1137900.0)</f>
        <v>1137900</v>
      </c>
    </row>
    <row r="2042">
      <c r="A2042" s="3">
        <f>IFERROR(__xludf.DUMMYFUNCTION("""COMPUTED_VALUE"""),32169.666666666668)</f>
        <v>32169.66667</v>
      </c>
      <c r="B2042" s="2">
        <f>IFERROR(__xludf.DUMMYFUNCTION("""COMPUTED_VALUE"""),26.92)</f>
        <v>26.92</v>
      </c>
      <c r="C2042" s="2">
        <f>IFERROR(__xludf.DUMMYFUNCTION("""COMPUTED_VALUE"""),27.4)</f>
        <v>27.4</v>
      </c>
      <c r="D2042" s="2">
        <f>IFERROR(__xludf.DUMMYFUNCTION("""COMPUTED_VALUE"""),26.63)</f>
        <v>26.63</v>
      </c>
      <c r="E2042" s="2">
        <f>IFERROR(__xludf.DUMMYFUNCTION("""COMPUTED_VALUE"""),26.92)</f>
        <v>26.92</v>
      </c>
      <c r="F2042" s="2">
        <f>IFERROR(__xludf.DUMMYFUNCTION("""COMPUTED_VALUE"""),2003800.0)</f>
        <v>2003800</v>
      </c>
    </row>
    <row r="2043">
      <c r="A2043" s="3">
        <f>IFERROR(__xludf.DUMMYFUNCTION("""COMPUTED_VALUE"""),32170.666666666668)</f>
        <v>32170.66667</v>
      </c>
      <c r="B2043" s="2">
        <f>IFERROR(__xludf.DUMMYFUNCTION("""COMPUTED_VALUE"""),27.16)</f>
        <v>27.16</v>
      </c>
      <c r="C2043" s="2">
        <f>IFERROR(__xludf.DUMMYFUNCTION("""COMPUTED_VALUE"""),27.34)</f>
        <v>27.34</v>
      </c>
      <c r="D2043" s="2">
        <f>IFERROR(__xludf.DUMMYFUNCTION("""COMPUTED_VALUE"""),26.98)</f>
        <v>26.98</v>
      </c>
      <c r="E2043" s="2">
        <f>IFERROR(__xludf.DUMMYFUNCTION("""COMPUTED_VALUE"""),27.16)</f>
        <v>27.16</v>
      </c>
      <c r="F2043" s="2">
        <f>IFERROR(__xludf.DUMMYFUNCTION("""COMPUTED_VALUE"""),1229400.0)</f>
        <v>1229400</v>
      </c>
    </row>
    <row r="2044">
      <c r="A2044" s="3">
        <f>IFERROR(__xludf.DUMMYFUNCTION("""COMPUTED_VALUE"""),32171.666666666668)</f>
        <v>32171.66667</v>
      </c>
      <c r="B2044" s="2">
        <f>IFERROR(__xludf.DUMMYFUNCTION("""COMPUTED_VALUE"""),26.83)</f>
        <v>26.83</v>
      </c>
      <c r="C2044" s="2">
        <f>IFERROR(__xludf.DUMMYFUNCTION("""COMPUTED_VALUE"""),27.31)</f>
        <v>27.31</v>
      </c>
      <c r="D2044" s="2">
        <f>IFERROR(__xludf.DUMMYFUNCTION("""COMPUTED_VALUE"""),26.39)</f>
        <v>26.39</v>
      </c>
      <c r="E2044" s="2">
        <f>IFERROR(__xludf.DUMMYFUNCTION("""COMPUTED_VALUE"""),26.83)</f>
        <v>26.83</v>
      </c>
      <c r="F2044" s="2">
        <f>IFERROR(__xludf.DUMMYFUNCTION("""COMPUTED_VALUE"""),1710000.0)</f>
        <v>1710000</v>
      </c>
    </row>
    <row r="2045">
      <c r="A2045" s="3">
        <f>IFERROR(__xludf.DUMMYFUNCTION("""COMPUTED_VALUE"""),32174.666666666668)</f>
        <v>32174.66667</v>
      </c>
      <c r="B2045" s="2">
        <f>IFERROR(__xludf.DUMMYFUNCTION("""COMPUTED_VALUE"""),26.27)</f>
        <v>26.27</v>
      </c>
      <c r="C2045" s="2">
        <f>IFERROR(__xludf.DUMMYFUNCTION("""COMPUTED_VALUE"""),27.1)</f>
        <v>27.1</v>
      </c>
      <c r="D2045" s="2">
        <f>IFERROR(__xludf.DUMMYFUNCTION("""COMPUTED_VALUE"""),26.27)</f>
        <v>26.27</v>
      </c>
      <c r="E2045" s="2">
        <f>IFERROR(__xludf.DUMMYFUNCTION("""COMPUTED_VALUE"""),26.27)</f>
        <v>26.27</v>
      </c>
      <c r="F2045" s="2">
        <f>IFERROR(__xludf.DUMMYFUNCTION("""COMPUTED_VALUE"""),1878400.0)</f>
        <v>1878400</v>
      </c>
    </row>
    <row r="2046">
      <c r="A2046" s="3">
        <f>IFERROR(__xludf.DUMMYFUNCTION("""COMPUTED_VALUE"""),32175.666666666668)</f>
        <v>32175.66667</v>
      </c>
      <c r="B2046" s="2">
        <f>IFERROR(__xludf.DUMMYFUNCTION("""COMPUTED_VALUE"""),26.24)</f>
        <v>26.24</v>
      </c>
      <c r="C2046" s="2">
        <f>IFERROR(__xludf.DUMMYFUNCTION("""COMPUTED_VALUE"""),26.42)</f>
        <v>26.42</v>
      </c>
      <c r="D2046" s="2">
        <f>IFERROR(__xludf.DUMMYFUNCTION("""COMPUTED_VALUE"""),26.06)</f>
        <v>26.06</v>
      </c>
      <c r="E2046" s="2">
        <f>IFERROR(__xludf.DUMMYFUNCTION("""COMPUTED_VALUE"""),26.24)</f>
        <v>26.24</v>
      </c>
      <c r="F2046" s="2">
        <f>IFERROR(__xludf.DUMMYFUNCTION("""COMPUTED_VALUE"""),2400700.0)</f>
        <v>2400700</v>
      </c>
    </row>
    <row r="2047">
      <c r="A2047" s="3">
        <f>IFERROR(__xludf.DUMMYFUNCTION("""COMPUTED_VALUE"""),32176.666666666668)</f>
        <v>32176.66667</v>
      </c>
      <c r="B2047" s="2">
        <f>IFERROR(__xludf.DUMMYFUNCTION("""COMPUTED_VALUE"""),26.03)</f>
        <v>26.03</v>
      </c>
      <c r="C2047" s="2">
        <f>IFERROR(__xludf.DUMMYFUNCTION("""COMPUTED_VALUE"""),26.68)</f>
        <v>26.68</v>
      </c>
      <c r="D2047" s="2">
        <f>IFERROR(__xludf.DUMMYFUNCTION("""COMPUTED_VALUE"""),25.85)</f>
        <v>25.85</v>
      </c>
      <c r="E2047" s="2">
        <f>IFERROR(__xludf.DUMMYFUNCTION("""COMPUTED_VALUE"""),26.03)</f>
        <v>26.03</v>
      </c>
      <c r="F2047" s="2">
        <f>IFERROR(__xludf.DUMMYFUNCTION("""COMPUTED_VALUE"""),2724400.0)</f>
        <v>2724400</v>
      </c>
    </row>
    <row r="2048">
      <c r="A2048" s="3">
        <f>IFERROR(__xludf.DUMMYFUNCTION("""COMPUTED_VALUE"""),32177.666666666668)</f>
        <v>32177.66667</v>
      </c>
      <c r="B2048" s="2">
        <f>IFERROR(__xludf.DUMMYFUNCTION("""COMPUTED_VALUE"""),25.94)</f>
        <v>25.94</v>
      </c>
      <c r="C2048" s="2">
        <f>IFERROR(__xludf.DUMMYFUNCTION("""COMPUTED_VALUE"""),26.09)</f>
        <v>26.09</v>
      </c>
      <c r="D2048" s="2">
        <f>IFERROR(__xludf.DUMMYFUNCTION("""COMPUTED_VALUE"""),25.67)</f>
        <v>25.67</v>
      </c>
      <c r="E2048" s="2">
        <f>IFERROR(__xludf.DUMMYFUNCTION("""COMPUTED_VALUE"""),25.94)</f>
        <v>25.94</v>
      </c>
      <c r="F2048" s="2">
        <f>IFERROR(__xludf.DUMMYFUNCTION("""COMPUTED_VALUE"""),1842400.0)</f>
        <v>1842400</v>
      </c>
    </row>
    <row r="2049">
      <c r="A2049" s="3">
        <f>IFERROR(__xludf.DUMMYFUNCTION("""COMPUTED_VALUE"""),32178.666666666668)</f>
        <v>32178.66667</v>
      </c>
      <c r="B2049" s="2">
        <f>IFERROR(__xludf.DUMMYFUNCTION("""COMPUTED_VALUE"""),25.79)</f>
        <v>25.79</v>
      </c>
      <c r="C2049" s="2">
        <f>IFERROR(__xludf.DUMMYFUNCTION("""COMPUTED_VALUE"""),26.15)</f>
        <v>26.15</v>
      </c>
      <c r="D2049" s="2">
        <f>IFERROR(__xludf.DUMMYFUNCTION("""COMPUTED_VALUE"""),25.73)</f>
        <v>25.73</v>
      </c>
      <c r="E2049" s="2">
        <f>IFERROR(__xludf.DUMMYFUNCTION("""COMPUTED_VALUE"""),25.79)</f>
        <v>25.79</v>
      </c>
      <c r="F2049" s="2">
        <f>IFERROR(__xludf.DUMMYFUNCTION("""COMPUTED_VALUE"""),1154700.0)</f>
        <v>1154700</v>
      </c>
    </row>
    <row r="2050">
      <c r="A2050" s="3">
        <f>IFERROR(__xludf.DUMMYFUNCTION("""COMPUTED_VALUE"""),32181.666666666668)</f>
        <v>32181.66667</v>
      </c>
      <c r="B2050" s="2">
        <f>IFERROR(__xludf.DUMMYFUNCTION("""COMPUTED_VALUE"""),25.73)</f>
        <v>25.73</v>
      </c>
      <c r="C2050" s="2">
        <f>IFERROR(__xludf.DUMMYFUNCTION("""COMPUTED_VALUE"""),25.88)</f>
        <v>25.88</v>
      </c>
      <c r="D2050" s="2">
        <f>IFERROR(__xludf.DUMMYFUNCTION("""COMPUTED_VALUE"""),25.52)</f>
        <v>25.52</v>
      </c>
      <c r="E2050" s="2">
        <f>IFERROR(__xludf.DUMMYFUNCTION("""COMPUTED_VALUE"""),25.73)</f>
        <v>25.73</v>
      </c>
      <c r="F2050" s="2">
        <f>IFERROR(__xludf.DUMMYFUNCTION("""COMPUTED_VALUE"""),1835200.0)</f>
        <v>1835200</v>
      </c>
    </row>
    <row r="2051">
      <c r="A2051" s="3">
        <f>IFERROR(__xludf.DUMMYFUNCTION("""COMPUTED_VALUE"""),32182.666666666668)</f>
        <v>32182.66667</v>
      </c>
      <c r="B2051" s="2">
        <f>IFERROR(__xludf.DUMMYFUNCTION("""COMPUTED_VALUE"""),26.06)</f>
        <v>26.06</v>
      </c>
      <c r="C2051" s="2">
        <f>IFERROR(__xludf.DUMMYFUNCTION("""COMPUTED_VALUE"""),26.09)</f>
        <v>26.09</v>
      </c>
      <c r="D2051" s="2">
        <f>IFERROR(__xludf.DUMMYFUNCTION("""COMPUTED_VALUE"""),25.61)</f>
        <v>25.61</v>
      </c>
      <c r="E2051" s="2">
        <f>IFERROR(__xludf.DUMMYFUNCTION("""COMPUTED_VALUE"""),26.06)</f>
        <v>26.06</v>
      </c>
      <c r="F2051" s="2">
        <f>IFERROR(__xludf.DUMMYFUNCTION("""COMPUTED_VALUE"""),1443900.0)</f>
        <v>1443900</v>
      </c>
    </row>
    <row r="2052">
      <c r="A2052" s="3">
        <f>IFERROR(__xludf.DUMMYFUNCTION("""COMPUTED_VALUE"""),32183.666666666668)</f>
        <v>32183.66667</v>
      </c>
      <c r="B2052" s="2">
        <f>IFERROR(__xludf.DUMMYFUNCTION("""COMPUTED_VALUE"""),26.66)</f>
        <v>26.66</v>
      </c>
      <c r="C2052" s="2">
        <f>IFERROR(__xludf.DUMMYFUNCTION("""COMPUTED_VALUE"""),26.68)</f>
        <v>26.68</v>
      </c>
      <c r="D2052" s="2">
        <f>IFERROR(__xludf.DUMMYFUNCTION("""COMPUTED_VALUE"""),26.15)</f>
        <v>26.15</v>
      </c>
      <c r="E2052" s="2">
        <f>IFERROR(__xludf.DUMMYFUNCTION("""COMPUTED_VALUE"""),26.66)</f>
        <v>26.66</v>
      </c>
      <c r="F2052" s="2">
        <f>IFERROR(__xludf.DUMMYFUNCTION("""COMPUTED_VALUE"""),2137000.0)</f>
        <v>2137000</v>
      </c>
    </row>
    <row r="2053">
      <c r="A2053" s="3">
        <f>IFERROR(__xludf.DUMMYFUNCTION("""COMPUTED_VALUE"""),32184.666666666668)</f>
        <v>32184.66667</v>
      </c>
      <c r="B2053" s="2">
        <f>IFERROR(__xludf.DUMMYFUNCTION("""COMPUTED_VALUE"""),26.57)</f>
        <v>26.57</v>
      </c>
      <c r="C2053" s="2">
        <f>IFERROR(__xludf.DUMMYFUNCTION("""COMPUTED_VALUE"""),26.83)</f>
        <v>26.83</v>
      </c>
      <c r="D2053" s="2">
        <f>IFERROR(__xludf.DUMMYFUNCTION("""COMPUTED_VALUE"""),26.39)</f>
        <v>26.39</v>
      </c>
      <c r="E2053" s="2">
        <f>IFERROR(__xludf.DUMMYFUNCTION("""COMPUTED_VALUE"""),26.57)</f>
        <v>26.57</v>
      </c>
      <c r="F2053" s="2">
        <f>IFERROR(__xludf.DUMMYFUNCTION("""COMPUTED_VALUE"""),1483400.0)</f>
        <v>1483400</v>
      </c>
    </row>
    <row r="2054">
      <c r="A2054" s="3">
        <f>IFERROR(__xludf.DUMMYFUNCTION("""COMPUTED_VALUE"""),32185.666666666668)</f>
        <v>32185.66667</v>
      </c>
      <c r="B2054" s="2">
        <f>IFERROR(__xludf.DUMMYFUNCTION("""COMPUTED_VALUE"""),26.74)</f>
        <v>26.74</v>
      </c>
      <c r="C2054" s="2">
        <f>IFERROR(__xludf.DUMMYFUNCTION("""COMPUTED_VALUE"""),26.95)</f>
        <v>26.95</v>
      </c>
      <c r="D2054" s="2">
        <f>IFERROR(__xludf.DUMMYFUNCTION("""COMPUTED_VALUE"""),26.51)</f>
        <v>26.51</v>
      </c>
      <c r="E2054" s="2">
        <f>IFERROR(__xludf.DUMMYFUNCTION("""COMPUTED_VALUE"""),26.74)</f>
        <v>26.74</v>
      </c>
      <c r="F2054" s="2">
        <f>IFERROR(__xludf.DUMMYFUNCTION("""COMPUTED_VALUE"""),1316000.0)</f>
        <v>1316000</v>
      </c>
    </row>
    <row r="2055">
      <c r="A2055" s="3">
        <f>IFERROR(__xludf.DUMMYFUNCTION("""COMPUTED_VALUE"""),32189.666666666668)</f>
        <v>32189.66667</v>
      </c>
      <c r="B2055" s="2">
        <f>IFERROR(__xludf.DUMMYFUNCTION("""COMPUTED_VALUE"""),27.16)</f>
        <v>27.16</v>
      </c>
      <c r="C2055" s="2">
        <f>IFERROR(__xludf.DUMMYFUNCTION("""COMPUTED_VALUE"""),27.16)</f>
        <v>27.16</v>
      </c>
      <c r="D2055" s="2">
        <f>IFERROR(__xludf.DUMMYFUNCTION("""COMPUTED_VALUE"""),26.86)</f>
        <v>26.86</v>
      </c>
      <c r="E2055" s="2">
        <f>IFERROR(__xludf.DUMMYFUNCTION("""COMPUTED_VALUE"""),27.16)</f>
        <v>27.16</v>
      </c>
      <c r="F2055" s="2">
        <f>IFERROR(__xludf.DUMMYFUNCTION("""COMPUTED_VALUE"""),1438400.0)</f>
        <v>1438400</v>
      </c>
    </row>
    <row r="2056">
      <c r="A2056" s="3">
        <f>IFERROR(__xludf.DUMMYFUNCTION("""COMPUTED_VALUE"""),32190.666666666668)</f>
        <v>32190.66667</v>
      </c>
      <c r="B2056" s="2">
        <f>IFERROR(__xludf.DUMMYFUNCTION("""COMPUTED_VALUE"""),26.92)</f>
        <v>26.92</v>
      </c>
      <c r="C2056" s="2">
        <f>IFERROR(__xludf.DUMMYFUNCTION("""COMPUTED_VALUE"""),27.28)</f>
        <v>27.28</v>
      </c>
      <c r="D2056" s="2">
        <f>IFERROR(__xludf.DUMMYFUNCTION("""COMPUTED_VALUE"""),26.74)</f>
        <v>26.74</v>
      </c>
      <c r="E2056" s="2">
        <f>IFERROR(__xludf.DUMMYFUNCTION("""COMPUTED_VALUE"""),26.92)</f>
        <v>26.92</v>
      </c>
      <c r="F2056" s="2">
        <f>IFERROR(__xludf.DUMMYFUNCTION("""COMPUTED_VALUE"""),1854700.0)</f>
        <v>1854700</v>
      </c>
    </row>
    <row r="2057">
      <c r="A2057" s="3">
        <f>IFERROR(__xludf.DUMMYFUNCTION("""COMPUTED_VALUE"""),32191.666666666668)</f>
        <v>32191.66667</v>
      </c>
      <c r="B2057" s="2">
        <f>IFERROR(__xludf.DUMMYFUNCTION("""COMPUTED_VALUE"""),26.86)</f>
        <v>26.86</v>
      </c>
      <c r="C2057" s="2">
        <f>IFERROR(__xludf.DUMMYFUNCTION("""COMPUTED_VALUE"""),27.16)</f>
        <v>27.16</v>
      </c>
      <c r="D2057" s="2">
        <f>IFERROR(__xludf.DUMMYFUNCTION("""COMPUTED_VALUE"""),26.77)</f>
        <v>26.77</v>
      </c>
      <c r="E2057" s="2">
        <f>IFERROR(__xludf.DUMMYFUNCTION("""COMPUTED_VALUE"""),26.86)</f>
        <v>26.86</v>
      </c>
      <c r="F2057" s="2">
        <f>IFERROR(__xludf.DUMMYFUNCTION("""COMPUTED_VALUE"""),1494100.0)</f>
        <v>1494100</v>
      </c>
    </row>
    <row r="2058">
      <c r="A2058" s="3">
        <f>IFERROR(__xludf.DUMMYFUNCTION("""COMPUTED_VALUE"""),32192.666666666668)</f>
        <v>32192.66667</v>
      </c>
      <c r="B2058" s="2">
        <f>IFERROR(__xludf.DUMMYFUNCTION("""COMPUTED_VALUE"""),27.07)</f>
        <v>27.07</v>
      </c>
      <c r="C2058" s="2">
        <f>IFERROR(__xludf.DUMMYFUNCTION("""COMPUTED_VALUE"""),27.07)</f>
        <v>27.07</v>
      </c>
      <c r="D2058" s="2">
        <f>IFERROR(__xludf.DUMMYFUNCTION("""COMPUTED_VALUE"""),26.77)</f>
        <v>26.77</v>
      </c>
      <c r="E2058" s="2">
        <f>IFERROR(__xludf.DUMMYFUNCTION("""COMPUTED_VALUE"""),27.07)</f>
        <v>27.07</v>
      </c>
      <c r="F2058" s="2">
        <f>IFERROR(__xludf.DUMMYFUNCTION("""COMPUTED_VALUE"""),1429500.0)</f>
        <v>1429500</v>
      </c>
    </row>
    <row r="2059">
      <c r="A2059" s="3">
        <f>IFERROR(__xludf.DUMMYFUNCTION("""COMPUTED_VALUE"""),32195.666666666668)</f>
        <v>32195.66667</v>
      </c>
      <c r="B2059" s="2">
        <f>IFERROR(__xludf.DUMMYFUNCTION("""COMPUTED_VALUE"""),27.52)</f>
        <v>27.52</v>
      </c>
      <c r="C2059" s="2">
        <f>IFERROR(__xludf.DUMMYFUNCTION("""COMPUTED_VALUE"""),27.61)</f>
        <v>27.61</v>
      </c>
      <c r="D2059" s="2">
        <f>IFERROR(__xludf.DUMMYFUNCTION("""COMPUTED_VALUE"""),27.01)</f>
        <v>27.01</v>
      </c>
      <c r="E2059" s="2">
        <f>IFERROR(__xludf.DUMMYFUNCTION("""COMPUTED_VALUE"""),27.52)</f>
        <v>27.52</v>
      </c>
      <c r="F2059" s="2">
        <f>IFERROR(__xludf.DUMMYFUNCTION("""COMPUTED_VALUE"""),1886400.0)</f>
        <v>1886400</v>
      </c>
    </row>
    <row r="2060">
      <c r="A2060" s="3">
        <f>IFERROR(__xludf.DUMMYFUNCTION("""COMPUTED_VALUE"""),32196.666666666668)</f>
        <v>32196.66667</v>
      </c>
      <c r="B2060" s="2">
        <f>IFERROR(__xludf.DUMMYFUNCTION("""COMPUTED_VALUE"""),27.55)</f>
        <v>27.55</v>
      </c>
      <c r="C2060" s="2">
        <f>IFERROR(__xludf.DUMMYFUNCTION("""COMPUTED_VALUE"""),27.67)</f>
        <v>27.67</v>
      </c>
      <c r="D2060" s="2">
        <f>IFERROR(__xludf.DUMMYFUNCTION("""COMPUTED_VALUE"""),27.31)</f>
        <v>27.31</v>
      </c>
      <c r="E2060" s="2">
        <f>IFERROR(__xludf.DUMMYFUNCTION("""COMPUTED_VALUE"""),27.55)</f>
        <v>27.55</v>
      </c>
      <c r="F2060" s="2">
        <f>IFERROR(__xludf.DUMMYFUNCTION("""COMPUTED_VALUE"""),1852500.0)</f>
        <v>1852500</v>
      </c>
    </row>
    <row r="2061">
      <c r="A2061" s="3">
        <f>IFERROR(__xludf.DUMMYFUNCTION("""COMPUTED_VALUE"""),32197.666666666668)</f>
        <v>32197.66667</v>
      </c>
      <c r="B2061" s="2">
        <f>IFERROR(__xludf.DUMMYFUNCTION("""COMPUTED_VALUE"""),27.73)</f>
        <v>27.73</v>
      </c>
      <c r="C2061" s="2">
        <f>IFERROR(__xludf.DUMMYFUNCTION("""COMPUTED_VALUE"""),27.88)</f>
        <v>27.88</v>
      </c>
      <c r="D2061" s="2">
        <f>IFERROR(__xludf.DUMMYFUNCTION("""COMPUTED_VALUE"""),27.4)</f>
        <v>27.4</v>
      </c>
      <c r="E2061" s="2">
        <f>IFERROR(__xludf.DUMMYFUNCTION("""COMPUTED_VALUE"""),27.73)</f>
        <v>27.73</v>
      </c>
      <c r="F2061" s="2">
        <f>IFERROR(__xludf.DUMMYFUNCTION("""COMPUTED_VALUE"""),1719400.0)</f>
        <v>1719400</v>
      </c>
    </row>
    <row r="2062">
      <c r="A2062" s="3">
        <f>IFERROR(__xludf.DUMMYFUNCTION("""COMPUTED_VALUE"""),32198.666666666668)</f>
        <v>32198.66667</v>
      </c>
      <c r="B2062" s="2">
        <f>IFERROR(__xludf.DUMMYFUNCTION("""COMPUTED_VALUE"""),27.34)</f>
        <v>27.34</v>
      </c>
      <c r="C2062" s="2">
        <f>IFERROR(__xludf.DUMMYFUNCTION("""COMPUTED_VALUE"""),28.15)</f>
        <v>28.15</v>
      </c>
      <c r="D2062" s="2">
        <f>IFERROR(__xludf.DUMMYFUNCTION("""COMPUTED_VALUE"""),27.25)</f>
        <v>27.25</v>
      </c>
      <c r="E2062" s="2">
        <f>IFERROR(__xludf.DUMMYFUNCTION("""COMPUTED_VALUE"""),27.34)</f>
        <v>27.34</v>
      </c>
      <c r="F2062" s="2">
        <f>IFERROR(__xludf.DUMMYFUNCTION("""COMPUTED_VALUE"""),2379000.0)</f>
        <v>2379000</v>
      </c>
    </row>
    <row r="2063">
      <c r="A2063" s="3">
        <f>IFERROR(__xludf.DUMMYFUNCTION("""COMPUTED_VALUE"""),32199.666666666668)</f>
        <v>32199.66667</v>
      </c>
      <c r="B2063" s="2">
        <f>IFERROR(__xludf.DUMMYFUNCTION("""COMPUTED_VALUE"""),27.64)</f>
        <v>27.64</v>
      </c>
      <c r="C2063" s="2">
        <f>IFERROR(__xludf.DUMMYFUNCTION("""COMPUTED_VALUE"""),27.64)</f>
        <v>27.64</v>
      </c>
      <c r="D2063" s="2">
        <f>IFERROR(__xludf.DUMMYFUNCTION("""COMPUTED_VALUE"""),27.25)</f>
        <v>27.25</v>
      </c>
      <c r="E2063" s="2">
        <f>IFERROR(__xludf.DUMMYFUNCTION("""COMPUTED_VALUE"""),27.64)</f>
        <v>27.64</v>
      </c>
      <c r="F2063" s="2">
        <f>IFERROR(__xludf.DUMMYFUNCTION("""COMPUTED_VALUE"""),1308600.0)</f>
        <v>1308600</v>
      </c>
    </row>
    <row r="2064">
      <c r="A2064" s="3">
        <f>IFERROR(__xludf.DUMMYFUNCTION("""COMPUTED_VALUE"""),32202.666666666668)</f>
        <v>32202.66667</v>
      </c>
      <c r="B2064" s="2">
        <f>IFERROR(__xludf.DUMMYFUNCTION("""COMPUTED_VALUE"""),28.06)</f>
        <v>28.06</v>
      </c>
      <c r="C2064" s="2">
        <f>IFERROR(__xludf.DUMMYFUNCTION("""COMPUTED_VALUE"""),28.12)</f>
        <v>28.12</v>
      </c>
      <c r="D2064" s="2">
        <f>IFERROR(__xludf.DUMMYFUNCTION("""COMPUTED_VALUE"""),27.4)</f>
        <v>27.4</v>
      </c>
      <c r="E2064" s="2">
        <f>IFERROR(__xludf.DUMMYFUNCTION("""COMPUTED_VALUE"""),28.06)</f>
        <v>28.06</v>
      </c>
      <c r="F2064" s="2">
        <f>IFERROR(__xludf.DUMMYFUNCTION("""COMPUTED_VALUE"""),1427100.0)</f>
        <v>1427100</v>
      </c>
    </row>
    <row r="2065">
      <c r="A2065" s="3">
        <f>IFERROR(__xludf.DUMMYFUNCTION("""COMPUTED_VALUE"""),32203.666666666668)</f>
        <v>32203.66667</v>
      </c>
      <c r="B2065" s="2">
        <f>IFERROR(__xludf.DUMMYFUNCTION("""COMPUTED_VALUE"""),27.94)</f>
        <v>27.94</v>
      </c>
      <c r="C2065" s="2">
        <f>IFERROR(__xludf.DUMMYFUNCTION("""COMPUTED_VALUE"""),28.27)</f>
        <v>28.27</v>
      </c>
      <c r="D2065" s="2">
        <f>IFERROR(__xludf.DUMMYFUNCTION("""COMPUTED_VALUE"""),27.76)</f>
        <v>27.76</v>
      </c>
      <c r="E2065" s="2">
        <f>IFERROR(__xludf.DUMMYFUNCTION("""COMPUTED_VALUE"""),27.94)</f>
        <v>27.94</v>
      </c>
      <c r="F2065" s="2">
        <f>IFERROR(__xludf.DUMMYFUNCTION("""COMPUTED_VALUE"""),1972800.0)</f>
        <v>1972800</v>
      </c>
    </row>
    <row r="2066">
      <c r="A2066" s="3">
        <f>IFERROR(__xludf.DUMMYFUNCTION("""COMPUTED_VALUE"""),32204.666666666668)</f>
        <v>32204.66667</v>
      </c>
      <c r="B2066" s="2">
        <f>IFERROR(__xludf.DUMMYFUNCTION("""COMPUTED_VALUE"""),28.0)</f>
        <v>28</v>
      </c>
      <c r="C2066" s="2">
        <f>IFERROR(__xludf.DUMMYFUNCTION("""COMPUTED_VALUE"""),28.27)</f>
        <v>28.27</v>
      </c>
      <c r="D2066" s="2">
        <f>IFERROR(__xludf.DUMMYFUNCTION("""COMPUTED_VALUE"""),27.91)</f>
        <v>27.91</v>
      </c>
      <c r="E2066" s="2">
        <f>IFERROR(__xludf.DUMMYFUNCTION("""COMPUTED_VALUE"""),28.0)</f>
        <v>28</v>
      </c>
      <c r="F2066" s="2">
        <f>IFERROR(__xludf.DUMMYFUNCTION("""COMPUTED_VALUE"""),1461200.0)</f>
        <v>1461200</v>
      </c>
    </row>
    <row r="2067">
      <c r="A2067" s="3">
        <f>IFERROR(__xludf.DUMMYFUNCTION("""COMPUTED_VALUE"""),32205.666666666668)</f>
        <v>32205.66667</v>
      </c>
      <c r="B2067" s="2">
        <f>IFERROR(__xludf.DUMMYFUNCTION("""COMPUTED_VALUE"""),27.82)</f>
        <v>27.82</v>
      </c>
      <c r="C2067" s="2">
        <f>IFERROR(__xludf.DUMMYFUNCTION("""COMPUTED_VALUE"""),28.0)</f>
        <v>28</v>
      </c>
      <c r="D2067" s="2">
        <f>IFERROR(__xludf.DUMMYFUNCTION("""COMPUTED_VALUE"""),27.64)</f>
        <v>27.64</v>
      </c>
      <c r="E2067" s="2">
        <f>IFERROR(__xludf.DUMMYFUNCTION("""COMPUTED_VALUE"""),27.82)</f>
        <v>27.82</v>
      </c>
      <c r="F2067" s="2">
        <f>IFERROR(__xludf.DUMMYFUNCTION("""COMPUTED_VALUE"""),1085700.0)</f>
        <v>1085700</v>
      </c>
    </row>
    <row r="2068">
      <c r="A2068" s="3">
        <f>IFERROR(__xludf.DUMMYFUNCTION("""COMPUTED_VALUE"""),32206.666666666668)</f>
        <v>32206.66667</v>
      </c>
      <c r="B2068" s="2">
        <f>IFERROR(__xludf.DUMMYFUNCTION("""COMPUTED_VALUE"""),27.91)</f>
        <v>27.91</v>
      </c>
      <c r="C2068" s="2">
        <f>IFERROR(__xludf.DUMMYFUNCTION("""COMPUTED_VALUE"""),28.06)</f>
        <v>28.06</v>
      </c>
      <c r="D2068" s="2">
        <f>IFERROR(__xludf.DUMMYFUNCTION("""COMPUTED_VALUE"""),27.52)</f>
        <v>27.52</v>
      </c>
      <c r="E2068" s="2">
        <f>IFERROR(__xludf.DUMMYFUNCTION("""COMPUTED_VALUE"""),27.91)</f>
        <v>27.91</v>
      </c>
      <c r="F2068" s="2">
        <f>IFERROR(__xludf.DUMMYFUNCTION("""COMPUTED_VALUE"""),1250500.0)</f>
        <v>1250500</v>
      </c>
    </row>
    <row r="2069">
      <c r="A2069" s="3">
        <f>IFERROR(__xludf.DUMMYFUNCTION("""COMPUTED_VALUE"""),32209.666666666668)</f>
        <v>32209.66667</v>
      </c>
      <c r="B2069" s="2">
        <f>IFERROR(__xludf.DUMMYFUNCTION("""COMPUTED_VALUE"""),28.0)</f>
        <v>28</v>
      </c>
      <c r="C2069" s="2">
        <f>IFERROR(__xludf.DUMMYFUNCTION("""COMPUTED_VALUE"""),28.06)</f>
        <v>28.06</v>
      </c>
      <c r="D2069" s="2">
        <f>IFERROR(__xludf.DUMMYFUNCTION("""COMPUTED_VALUE"""),27.73)</f>
        <v>27.73</v>
      </c>
      <c r="E2069" s="2">
        <f>IFERROR(__xludf.DUMMYFUNCTION("""COMPUTED_VALUE"""),28.0)</f>
        <v>28</v>
      </c>
      <c r="F2069" s="2">
        <f>IFERROR(__xludf.DUMMYFUNCTION("""COMPUTED_VALUE"""),890200.0)</f>
        <v>890200</v>
      </c>
    </row>
    <row r="2070">
      <c r="A2070" s="3">
        <f>IFERROR(__xludf.DUMMYFUNCTION("""COMPUTED_VALUE"""),32210.666666666668)</f>
        <v>32210.66667</v>
      </c>
      <c r="B2070" s="2">
        <f>IFERROR(__xludf.DUMMYFUNCTION("""COMPUTED_VALUE"""),28.09)</f>
        <v>28.09</v>
      </c>
      <c r="C2070" s="2">
        <f>IFERROR(__xludf.DUMMYFUNCTION("""COMPUTED_VALUE"""),28.33)</f>
        <v>28.33</v>
      </c>
      <c r="D2070" s="2">
        <f>IFERROR(__xludf.DUMMYFUNCTION("""COMPUTED_VALUE"""),28.0)</f>
        <v>28</v>
      </c>
      <c r="E2070" s="2">
        <f>IFERROR(__xludf.DUMMYFUNCTION("""COMPUTED_VALUE"""),28.09)</f>
        <v>28.09</v>
      </c>
      <c r="F2070" s="2">
        <f>IFERROR(__xludf.DUMMYFUNCTION("""COMPUTED_VALUE"""),1462200.0)</f>
        <v>1462200</v>
      </c>
    </row>
    <row r="2071">
      <c r="A2071" s="3">
        <f>IFERROR(__xludf.DUMMYFUNCTION("""COMPUTED_VALUE"""),32211.666666666668)</f>
        <v>32211.66667</v>
      </c>
      <c r="B2071" s="2">
        <f>IFERROR(__xludf.DUMMYFUNCTION("""COMPUTED_VALUE"""),27.85)</f>
        <v>27.85</v>
      </c>
      <c r="C2071" s="2">
        <f>IFERROR(__xludf.DUMMYFUNCTION("""COMPUTED_VALUE"""),28.12)</f>
        <v>28.12</v>
      </c>
      <c r="D2071" s="2">
        <f>IFERROR(__xludf.DUMMYFUNCTION("""COMPUTED_VALUE"""),27.76)</f>
        <v>27.76</v>
      </c>
      <c r="E2071" s="2">
        <f>IFERROR(__xludf.DUMMYFUNCTION("""COMPUTED_VALUE"""),27.85)</f>
        <v>27.85</v>
      </c>
      <c r="F2071" s="2">
        <f>IFERROR(__xludf.DUMMYFUNCTION("""COMPUTED_VALUE"""),1120800.0)</f>
        <v>1120800</v>
      </c>
    </row>
    <row r="2072">
      <c r="A2072" s="3">
        <f>IFERROR(__xludf.DUMMYFUNCTION("""COMPUTED_VALUE"""),32212.666666666668)</f>
        <v>32212.66667</v>
      </c>
      <c r="B2072" s="2">
        <f>IFERROR(__xludf.DUMMYFUNCTION("""COMPUTED_VALUE"""),27.16)</f>
        <v>27.16</v>
      </c>
      <c r="C2072" s="2">
        <f>IFERROR(__xludf.DUMMYFUNCTION("""COMPUTED_VALUE"""),27.82)</f>
        <v>27.82</v>
      </c>
      <c r="D2072" s="2">
        <f>IFERROR(__xludf.DUMMYFUNCTION("""COMPUTED_VALUE"""),27.13)</f>
        <v>27.13</v>
      </c>
      <c r="E2072" s="2">
        <f>IFERROR(__xludf.DUMMYFUNCTION("""COMPUTED_VALUE"""),27.16)</f>
        <v>27.16</v>
      </c>
      <c r="F2072" s="2">
        <f>IFERROR(__xludf.DUMMYFUNCTION("""COMPUTED_VALUE"""),1440200.0)</f>
        <v>1440200</v>
      </c>
    </row>
    <row r="2073">
      <c r="A2073" s="3">
        <f>IFERROR(__xludf.DUMMYFUNCTION("""COMPUTED_VALUE"""),32213.666666666668)</f>
        <v>32213.66667</v>
      </c>
      <c r="B2073" s="2">
        <f>IFERROR(__xludf.DUMMYFUNCTION("""COMPUTED_VALUE"""),27.58)</f>
        <v>27.58</v>
      </c>
      <c r="C2073" s="2">
        <f>IFERROR(__xludf.DUMMYFUNCTION("""COMPUTED_VALUE"""),27.58)</f>
        <v>27.58</v>
      </c>
      <c r="D2073" s="2">
        <f>IFERROR(__xludf.DUMMYFUNCTION("""COMPUTED_VALUE"""),26.83)</f>
        <v>26.83</v>
      </c>
      <c r="E2073" s="2">
        <f>IFERROR(__xludf.DUMMYFUNCTION("""COMPUTED_VALUE"""),27.58)</f>
        <v>27.58</v>
      </c>
      <c r="F2073" s="2">
        <f>IFERROR(__xludf.DUMMYFUNCTION("""COMPUTED_VALUE"""),1798300.0)</f>
        <v>1798300</v>
      </c>
    </row>
    <row r="2074">
      <c r="A2074" s="3">
        <f>IFERROR(__xludf.DUMMYFUNCTION("""COMPUTED_VALUE"""),32216.666666666668)</f>
        <v>32216.66667</v>
      </c>
      <c r="B2074" s="2">
        <f>IFERROR(__xludf.DUMMYFUNCTION("""COMPUTED_VALUE"""),27.58)</f>
        <v>27.58</v>
      </c>
      <c r="C2074" s="2">
        <f>IFERROR(__xludf.DUMMYFUNCTION("""COMPUTED_VALUE"""),27.64)</f>
        <v>27.64</v>
      </c>
      <c r="D2074" s="2">
        <f>IFERROR(__xludf.DUMMYFUNCTION("""COMPUTED_VALUE"""),27.34)</f>
        <v>27.34</v>
      </c>
      <c r="E2074" s="2">
        <f>IFERROR(__xludf.DUMMYFUNCTION("""COMPUTED_VALUE"""),27.58)</f>
        <v>27.58</v>
      </c>
      <c r="F2074" s="2">
        <f>IFERROR(__xludf.DUMMYFUNCTION("""COMPUTED_VALUE"""),990200.0)</f>
        <v>990200</v>
      </c>
    </row>
    <row r="2075">
      <c r="A2075" s="3">
        <f>IFERROR(__xludf.DUMMYFUNCTION("""COMPUTED_VALUE"""),32217.666666666668)</f>
        <v>32217.66667</v>
      </c>
      <c r="B2075" s="2">
        <f>IFERROR(__xludf.DUMMYFUNCTION("""COMPUTED_VALUE"""),27.22)</f>
        <v>27.22</v>
      </c>
      <c r="C2075" s="2">
        <f>IFERROR(__xludf.DUMMYFUNCTION("""COMPUTED_VALUE"""),27.55)</f>
        <v>27.55</v>
      </c>
      <c r="D2075" s="2">
        <f>IFERROR(__xludf.DUMMYFUNCTION("""COMPUTED_VALUE"""),27.13)</f>
        <v>27.13</v>
      </c>
      <c r="E2075" s="2">
        <f>IFERROR(__xludf.DUMMYFUNCTION("""COMPUTED_VALUE"""),27.22)</f>
        <v>27.22</v>
      </c>
      <c r="F2075" s="2">
        <f>IFERROR(__xludf.DUMMYFUNCTION("""COMPUTED_VALUE"""),1339200.0)</f>
        <v>1339200</v>
      </c>
    </row>
    <row r="2076">
      <c r="A2076" s="3">
        <f>IFERROR(__xludf.DUMMYFUNCTION("""COMPUTED_VALUE"""),32218.666666666668)</f>
        <v>32218.66667</v>
      </c>
      <c r="B2076" s="2">
        <f>IFERROR(__xludf.DUMMYFUNCTION("""COMPUTED_VALUE"""),27.52)</f>
        <v>27.52</v>
      </c>
      <c r="C2076" s="2">
        <f>IFERROR(__xludf.DUMMYFUNCTION("""COMPUTED_VALUE"""),27.55)</f>
        <v>27.55</v>
      </c>
      <c r="D2076" s="2">
        <f>IFERROR(__xludf.DUMMYFUNCTION("""COMPUTED_VALUE"""),27.07)</f>
        <v>27.07</v>
      </c>
      <c r="E2076" s="2">
        <f>IFERROR(__xludf.DUMMYFUNCTION("""COMPUTED_VALUE"""),27.52)</f>
        <v>27.52</v>
      </c>
      <c r="F2076" s="2">
        <f>IFERROR(__xludf.DUMMYFUNCTION("""COMPUTED_VALUE"""),1128400.0)</f>
        <v>1128400</v>
      </c>
    </row>
    <row r="2077">
      <c r="A2077" s="3">
        <f>IFERROR(__xludf.DUMMYFUNCTION("""COMPUTED_VALUE"""),32219.666666666668)</f>
        <v>32219.66667</v>
      </c>
      <c r="B2077" s="2">
        <f>IFERROR(__xludf.DUMMYFUNCTION("""COMPUTED_VALUE"""),27.43)</f>
        <v>27.43</v>
      </c>
      <c r="C2077" s="2">
        <f>IFERROR(__xludf.DUMMYFUNCTION("""COMPUTED_VALUE"""),27.58)</f>
        <v>27.58</v>
      </c>
      <c r="D2077" s="2">
        <f>IFERROR(__xludf.DUMMYFUNCTION("""COMPUTED_VALUE"""),27.16)</f>
        <v>27.16</v>
      </c>
      <c r="E2077" s="2">
        <f>IFERROR(__xludf.DUMMYFUNCTION("""COMPUTED_VALUE"""),27.43)</f>
        <v>27.43</v>
      </c>
      <c r="F2077" s="2">
        <f>IFERROR(__xludf.DUMMYFUNCTION("""COMPUTED_VALUE"""),1777600.0)</f>
        <v>1777600</v>
      </c>
    </row>
    <row r="2078">
      <c r="A2078" s="3">
        <f>IFERROR(__xludf.DUMMYFUNCTION("""COMPUTED_VALUE"""),32220.666666666668)</f>
        <v>32220.66667</v>
      </c>
      <c r="B2078" s="2">
        <f>IFERROR(__xludf.DUMMYFUNCTION("""COMPUTED_VALUE"""),27.28)</f>
        <v>27.28</v>
      </c>
      <c r="C2078" s="2">
        <f>IFERROR(__xludf.DUMMYFUNCTION("""COMPUTED_VALUE"""),27.37)</f>
        <v>27.37</v>
      </c>
      <c r="D2078" s="2">
        <f>IFERROR(__xludf.DUMMYFUNCTION("""COMPUTED_VALUE"""),27.04)</f>
        <v>27.04</v>
      </c>
      <c r="E2078" s="2">
        <f>IFERROR(__xludf.DUMMYFUNCTION("""COMPUTED_VALUE"""),27.28)</f>
        <v>27.28</v>
      </c>
      <c r="F2078" s="2">
        <f>IFERROR(__xludf.DUMMYFUNCTION("""COMPUTED_VALUE"""),2149500.0)</f>
        <v>2149500</v>
      </c>
    </row>
    <row r="2079">
      <c r="A2079" s="3">
        <f>IFERROR(__xludf.DUMMYFUNCTION("""COMPUTED_VALUE"""),32223.666666666668)</f>
        <v>32223.66667</v>
      </c>
      <c r="B2079" s="2">
        <f>IFERROR(__xludf.DUMMYFUNCTION("""COMPUTED_VALUE"""),27.16)</f>
        <v>27.16</v>
      </c>
      <c r="C2079" s="2">
        <f>IFERROR(__xludf.DUMMYFUNCTION("""COMPUTED_VALUE"""),27.22)</f>
        <v>27.22</v>
      </c>
      <c r="D2079" s="2">
        <f>IFERROR(__xludf.DUMMYFUNCTION("""COMPUTED_VALUE"""),26.92)</f>
        <v>26.92</v>
      </c>
      <c r="E2079" s="2">
        <f>IFERROR(__xludf.DUMMYFUNCTION("""COMPUTED_VALUE"""),27.16)</f>
        <v>27.16</v>
      </c>
      <c r="F2079" s="2">
        <f>IFERROR(__xludf.DUMMYFUNCTION("""COMPUTED_VALUE"""),1078200.0)</f>
        <v>1078200</v>
      </c>
    </row>
    <row r="2080">
      <c r="A2080" s="3">
        <f>IFERROR(__xludf.DUMMYFUNCTION("""COMPUTED_VALUE"""),32224.666666666668)</f>
        <v>32224.66667</v>
      </c>
      <c r="B2080" s="2">
        <f>IFERROR(__xludf.DUMMYFUNCTION("""COMPUTED_VALUE"""),27.01)</f>
        <v>27.01</v>
      </c>
      <c r="C2080" s="2">
        <f>IFERROR(__xludf.DUMMYFUNCTION("""COMPUTED_VALUE"""),27.28)</f>
        <v>27.28</v>
      </c>
      <c r="D2080" s="2">
        <f>IFERROR(__xludf.DUMMYFUNCTION("""COMPUTED_VALUE"""),27.01)</f>
        <v>27.01</v>
      </c>
      <c r="E2080" s="2">
        <f>IFERROR(__xludf.DUMMYFUNCTION("""COMPUTED_VALUE"""),27.01)</f>
        <v>27.01</v>
      </c>
      <c r="F2080" s="2">
        <f>IFERROR(__xludf.DUMMYFUNCTION("""COMPUTED_VALUE"""),923100.0)</f>
        <v>923100</v>
      </c>
    </row>
    <row r="2081">
      <c r="A2081" s="3">
        <f>IFERROR(__xludf.DUMMYFUNCTION("""COMPUTED_VALUE"""),32225.666666666668)</f>
        <v>32225.66667</v>
      </c>
      <c r="B2081" s="2">
        <f>IFERROR(__xludf.DUMMYFUNCTION("""COMPUTED_VALUE"""),26.66)</f>
        <v>26.66</v>
      </c>
      <c r="C2081" s="2">
        <f>IFERROR(__xludf.DUMMYFUNCTION("""COMPUTED_VALUE"""),27.07)</f>
        <v>27.07</v>
      </c>
      <c r="D2081" s="2">
        <f>IFERROR(__xludf.DUMMYFUNCTION("""COMPUTED_VALUE"""),26.57)</f>
        <v>26.57</v>
      </c>
      <c r="E2081" s="2">
        <f>IFERROR(__xludf.DUMMYFUNCTION("""COMPUTED_VALUE"""),26.66)</f>
        <v>26.66</v>
      </c>
      <c r="F2081" s="2">
        <f>IFERROR(__xludf.DUMMYFUNCTION("""COMPUTED_VALUE"""),1341500.0)</f>
        <v>1341500</v>
      </c>
    </row>
    <row r="2082">
      <c r="A2082" s="3">
        <f>IFERROR(__xludf.DUMMYFUNCTION("""COMPUTED_VALUE"""),32226.666666666668)</f>
        <v>32226.66667</v>
      </c>
      <c r="B2082" s="2">
        <f>IFERROR(__xludf.DUMMYFUNCTION("""COMPUTED_VALUE"""),26.21)</f>
        <v>26.21</v>
      </c>
      <c r="C2082" s="2">
        <f>IFERROR(__xludf.DUMMYFUNCTION("""COMPUTED_VALUE"""),26.39)</f>
        <v>26.39</v>
      </c>
      <c r="D2082" s="2">
        <f>IFERROR(__xludf.DUMMYFUNCTION("""COMPUTED_VALUE"""),26.12)</f>
        <v>26.12</v>
      </c>
      <c r="E2082" s="2">
        <f>IFERROR(__xludf.DUMMYFUNCTION("""COMPUTED_VALUE"""),26.21)</f>
        <v>26.21</v>
      </c>
      <c r="F2082" s="2">
        <f>IFERROR(__xludf.DUMMYFUNCTION("""COMPUTED_VALUE"""),1785000.0)</f>
        <v>1785000</v>
      </c>
    </row>
    <row r="2083">
      <c r="A2083" s="3">
        <f>IFERROR(__xludf.DUMMYFUNCTION("""COMPUTED_VALUE"""),32227.666666666668)</f>
        <v>32227.66667</v>
      </c>
      <c r="B2083" s="2">
        <f>IFERROR(__xludf.DUMMYFUNCTION("""COMPUTED_VALUE"""),25.55)</f>
        <v>25.55</v>
      </c>
      <c r="C2083" s="2">
        <f>IFERROR(__xludf.DUMMYFUNCTION("""COMPUTED_VALUE"""),26.36)</f>
        <v>26.36</v>
      </c>
      <c r="D2083" s="2">
        <f>IFERROR(__xludf.DUMMYFUNCTION("""COMPUTED_VALUE"""),25.43)</f>
        <v>25.43</v>
      </c>
      <c r="E2083" s="2">
        <f>IFERROR(__xludf.DUMMYFUNCTION("""COMPUTED_VALUE"""),25.55)</f>
        <v>25.55</v>
      </c>
      <c r="F2083" s="2">
        <f>IFERROR(__xludf.DUMMYFUNCTION("""COMPUTED_VALUE"""),1882300.0)</f>
        <v>1882300</v>
      </c>
    </row>
    <row r="2084">
      <c r="A2084" s="3">
        <f>IFERROR(__xludf.DUMMYFUNCTION("""COMPUTED_VALUE"""),32230.666666666668)</f>
        <v>32230.66667</v>
      </c>
      <c r="B2084" s="2">
        <f>IFERROR(__xludf.DUMMYFUNCTION("""COMPUTED_VALUE"""),25.82)</f>
        <v>25.82</v>
      </c>
      <c r="C2084" s="2">
        <f>IFERROR(__xludf.DUMMYFUNCTION("""COMPUTED_VALUE"""),25.88)</f>
        <v>25.88</v>
      </c>
      <c r="D2084" s="2">
        <f>IFERROR(__xludf.DUMMYFUNCTION("""COMPUTED_VALUE"""),24.89)</f>
        <v>24.89</v>
      </c>
      <c r="E2084" s="2">
        <f>IFERROR(__xludf.DUMMYFUNCTION("""COMPUTED_VALUE"""),25.82)</f>
        <v>25.82</v>
      </c>
      <c r="F2084" s="2">
        <f>IFERROR(__xludf.DUMMYFUNCTION("""COMPUTED_VALUE"""),2186600.0)</f>
        <v>2186600</v>
      </c>
    </row>
    <row r="2085">
      <c r="A2085" s="3">
        <f>IFERROR(__xludf.DUMMYFUNCTION("""COMPUTED_VALUE"""),32231.666666666668)</f>
        <v>32231.66667</v>
      </c>
      <c r="B2085" s="2">
        <f>IFERROR(__xludf.DUMMYFUNCTION("""COMPUTED_VALUE"""),25.28)</f>
        <v>25.28</v>
      </c>
      <c r="C2085" s="2">
        <f>IFERROR(__xludf.DUMMYFUNCTION("""COMPUTED_VALUE"""),25.97)</f>
        <v>25.97</v>
      </c>
      <c r="D2085" s="2">
        <f>IFERROR(__xludf.DUMMYFUNCTION("""COMPUTED_VALUE"""),25.28)</f>
        <v>25.28</v>
      </c>
      <c r="E2085" s="2">
        <f>IFERROR(__xludf.DUMMYFUNCTION("""COMPUTED_VALUE"""),25.28)</f>
        <v>25.28</v>
      </c>
      <c r="F2085" s="2">
        <f>IFERROR(__xludf.DUMMYFUNCTION("""COMPUTED_VALUE"""),1899100.0)</f>
        <v>1899100</v>
      </c>
    </row>
    <row r="2086">
      <c r="A2086" s="3">
        <f>IFERROR(__xludf.DUMMYFUNCTION("""COMPUTED_VALUE"""),32232.666666666668)</f>
        <v>32232.66667</v>
      </c>
      <c r="B2086" s="2">
        <f>IFERROR(__xludf.DUMMYFUNCTION("""COMPUTED_VALUE"""),25.1)</f>
        <v>25.1</v>
      </c>
      <c r="C2086" s="2">
        <f>IFERROR(__xludf.DUMMYFUNCTION("""COMPUTED_VALUE"""),25.46)</f>
        <v>25.46</v>
      </c>
      <c r="D2086" s="2">
        <f>IFERROR(__xludf.DUMMYFUNCTION("""COMPUTED_VALUE"""),25.01)</f>
        <v>25.01</v>
      </c>
      <c r="E2086" s="2">
        <f>IFERROR(__xludf.DUMMYFUNCTION("""COMPUTED_VALUE"""),25.1)</f>
        <v>25.1</v>
      </c>
      <c r="F2086" s="2">
        <f>IFERROR(__xludf.DUMMYFUNCTION("""COMPUTED_VALUE"""),2135000.0)</f>
        <v>2135000</v>
      </c>
    </row>
    <row r="2087">
      <c r="A2087" s="3">
        <f>IFERROR(__xludf.DUMMYFUNCTION("""COMPUTED_VALUE"""),32233.666666666668)</f>
        <v>32233.66667</v>
      </c>
      <c r="B2087" s="2">
        <f>IFERROR(__xludf.DUMMYFUNCTION("""COMPUTED_VALUE"""),25.7)</f>
        <v>25.7</v>
      </c>
      <c r="C2087" s="2">
        <f>IFERROR(__xludf.DUMMYFUNCTION("""COMPUTED_VALUE"""),25.91)</f>
        <v>25.91</v>
      </c>
      <c r="D2087" s="2">
        <f>IFERROR(__xludf.DUMMYFUNCTION("""COMPUTED_VALUE"""),24.95)</f>
        <v>24.95</v>
      </c>
      <c r="E2087" s="2">
        <f>IFERROR(__xludf.DUMMYFUNCTION("""COMPUTED_VALUE"""),25.7)</f>
        <v>25.7</v>
      </c>
      <c r="F2087" s="2">
        <f>IFERROR(__xludf.DUMMYFUNCTION("""COMPUTED_VALUE"""),1752000.0)</f>
        <v>1752000</v>
      </c>
    </row>
    <row r="2088">
      <c r="A2088" s="3">
        <f>IFERROR(__xludf.DUMMYFUNCTION("""COMPUTED_VALUE"""),32237.666666666668)</f>
        <v>32237.66667</v>
      </c>
      <c r="B2088" s="2">
        <f>IFERROR(__xludf.DUMMYFUNCTION("""COMPUTED_VALUE"""),25.67)</f>
        <v>25.67</v>
      </c>
      <c r="C2088" s="2">
        <f>IFERROR(__xludf.DUMMYFUNCTION("""COMPUTED_VALUE"""),26.03)</f>
        <v>26.03</v>
      </c>
      <c r="D2088" s="2">
        <f>IFERROR(__xludf.DUMMYFUNCTION("""COMPUTED_VALUE"""),25.49)</f>
        <v>25.49</v>
      </c>
      <c r="E2088" s="2">
        <f>IFERROR(__xludf.DUMMYFUNCTION("""COMPUTED_VALUE"""),25.67)</f>
        <v>25.67</v>
      </c>
      <c r="F2088" s="2">
        <f>IFERROR(__xludf.DUMMYFUNCTION("""COMPUTED_VALUE"""),1497600.0)</f>
        <v>1497600</v>
      </c>
    </row>
    <row r="2089">
      <c r="A2089" s="3">
        <f>IFERROR(__xludf.DUMMYFUNCTION("""COMPUTED_VALUE"""),32238.666666666668)</f>
        <v>32238.66667</v>
      </c>
      <c r="B2089" s="2">
        <f>IFERROR(__xludf.DUMMYFUNCTION("""COMPUTED_VALUE"""),25.67)</f>
        <v>25.67</v>
      </c>
      <c r="C2089" s="2">
        <f>IFERROR(__xludf.DUMMYFUNCTION("""COMPUTED_VALUE"""),25.85)</f>
        <v>25.85</v>
      </c>
      <c r="D2089" s="2">
        <f>IFERROR(__xludf.DUMMYFUNCTION("""COMPUTED_VALUE"""),25.22)</f>
        <v>25.22</v>
      </c>
      <c r="E2089" s="2">
        <f>IFERROR(__xludf.DUMMYFUNCTION("""COMPUTED_VALUE"""),25.67)</f>
        <v>25.67</v>
      </c>
      <c r="F2089" s="2">
        <f>IFERROR(__xludf.DUMMYFUNCTION("""COMPUTED_VALUE"""),1531800.0)</f>
        <v>1531800</v>
      </c>
    </row>
    <row r="2090">
      <c r="A2090" s="3">
        <f>IFERROR(__xludf.DUMMYFUNCTION("""COMPUTED_VALUE"""),32239.666666666668)</f>
        <v>32239.66667</v>
      </c>
      <c r="B2090" s="2">
        <f>IFERROR(__xludf.DUMMYFUNCTION("""COMPUTED_VALUE"""),26.18)</f>
        <v>26.18</v>
      </c>
      <c r="C2090" s="2">
        <f>IFERROR(__xludf.DUMMYFUNCTION("""COMPUTED_VALUE"""),26.21)</f>
        <v>26.21</v>
      </c>
      <c r="D2090" s="2">
        <f>IFERROR(__xludf.DUMMYFUNCTION("""COMPUTED_VALUE"""),25.25)</f>
        <v>25.25</v>
      </c>
      <c r="E2090" s="2">
        <f>IFERROR(__xludf.DUMMYFUNCTION("""COMPUTED_VALUE"""),26.18)</f>
        <v>26.18</v>
      </c>
      <c r="F2090" s="2">
        <f>IFERROR(__xludf.DUMMYFUNCTION("""COMPUTED_VALUE"""),1879100.0)</f>
        <v>1879100</v>
      </c>
    </row>
    <row r="2091">
      <c r="A2091" s="3">
        <f>IFERROR(__xludf.DUMMYFUNCTION("""COMPUTED_VALUE"""),32240.666666666668)</f>
        <v>32240.66667</v>
      </c>
      <c r="B2091" s="2">
        <f>IFERROR(__xludf.DUMMYFUNCTION("""COMPUTED_VALUE"""),26.09)</f>
        <v>26.09</v>
      </c>
      <c r="C2091" s="2">
        <f>IFERROR(__xludf.DUMMYFUNCTION("""COMPUTED_VALUE"""),26.33)</f>
        <v>26.33</v>
      </c>
      <c r="D2091" s="2">
        <f>IFERROR(__xludf.DUMMYFUNCTION("""COMPUTED_VALUE"""),25.82)</f>
        <v>25.82</v>
      </c>
      <c r="E2091" s="2">
        <f>IFERROR(__xludf.DUMMYFUNCTION("""COMPUTED_VALUE"""),26.09)</f>
        <v>26.09</v>
      </c>
      <c r="F2091" s="2">
        <f>IFERROR(__xludf.DUMMYFUNCTION("""COMPUTED_VALUE"""),1566200.0)</f>
        <v>1566200</v>
      </c>
    </row>
    <row r="2092">
      <c r="A2092" s="3">
        <f>IFERROR(__xludf.DUMMYFUNCTION("""COMPUTED_VALUE"""),32241.666666666668)</f>
        <v>32241.66667</v>
      </c>
      <c r="B2092" s="2">
        <f>IFERROR(__xludf.DUMMYFUNCTION("""COMPUTED_VALUE"""),26.66)</f>
        <v>26.66</v>
      </c>
      <c r="C2092" s="2">
        <f>IFERROR(__xludf.DUMMYFUNCTION("""COMPUTED_VALUE"""),26.89)</f>
        <v>26.89</v>
      </c>
      <c r="D2092" s="2">
        <f>IFERROR(__xludf.DUMMYFUNCTION("""COMPUTED_VALUE"""),26.12)</f>
        <v>26.12</v>
      </c>
      <c r="E2092" s="2">
        <f>IFERROR(__xludf.DUMMYFUNCTION("""COMPUTED_VALUE"""),26.66)</f>
        <v>26.66</v>
      </c>
      <c r="F2092" s="2">
        <f>IFERROR(__xludf.DUMMYFUNCTION("""COMPUTED_VALUE"""),1742800.0)</f>
        <v>1742800</v>
      </c>
    </row>
    <row r="2093">
      <c r="A2093" s="3">
        <f>IFERROR(__xludf.DUMMYFUNCTION("""COMPUTED_VALUE"""),32244.666666666668)</f>
        <v>32244.66667</v>
      </c>
      <c r="B2093" s="2">
        <f>IFERROR(__xludf.DUMMYFUNCTION("""COMPUTED_VALUE"""),27.07)</f>
        <v>27.07</v>
      </c>
      <c r="C2093" s="2">
        <f>IFERROR(__xludf.DUMMYFUNCTION("""COMPUTED_VALUE"""),27.13)</f>
        <v>27.13</v>
      </c>
      <c r="D2093" s="2">
        <f>IFERROR(__xludf.DUMMYFUNCTION("""COMPUTED_VALUE"""),26.71)</f>
        <v>26.71</v>
      </c>
      <c r="E2093" s="2">
        <f>IFERROR(__xludf.DUMMYFUNCTION("""COMPUTED_VALUE"""),27.07)</f>
        <v>27.07</v>
      </c>
      <c r="F2093" s="2">
        <f>IFERROR(__xludf.DUMMYFUNCTION("""COMPUTED_VALUE"""),1498400.0)</f>
        <v>1498400</v>
      </c>
    </row>
    <row r="2094">
      <c r="A2094" s="3">
        <f>IFERROR(__xludf.DUMMYFUNCTION("""COMPUTED_VALUE"""),32245.666666666668)</f>
        <v>32245.66667</v>
      </c>
      <c r="B2094" s="2">
        <f>IFERROR(__xludf.DUMMYFUNCTION("""COMPUTED_VALUE"""),27.13)</f>
        <v>27.13</v>
      </c>
      <c r="C2094" s="2">
        <f>IFERROR(__xludf.DUMMYFUNCTION("""COMPUTED_VALUE"""),27.25)</f>
        <v>27.25</v>
      </c>
      <c r="D2094" s="2">
        <f>IFERROR(__xludf.DUMMYFUNCTION("""COMPUTED_VALUE"""),27.04)</f>
        <v>27.04</v>
      </c>
      <c r="E2094" s="2">
        <f>IFERROR(__xludf.DUMMYFUNCTION("""COMPUTED_VALUE"""),27.13)</f>
        <v>27.13</v>
      </c>
      <c r="F2094" s="2">
        <f>IFERROR(__xludf.DUMMYFUNCTION("""COMPUTED_VALUE"""),1337800.0)</f>
        <v>1337800</v>
      </c>
    </row>
    <row r="2095">
      <c r="A2095" s="3">
        <f>IFERROR(__xludf.DUMMYFUNCTION("""COMPUTED_VALUE"""),32246.666666666668)</f>
        <v>32246.66667</v>
      </c>
      <c r="B2095" s="2">
        <f>IFERROR(__xludf.DUMMYFUNCTION("""COMPUTED_VALUE"""),27.73)</f>
        <v>27.73</v>
      </c>
      <c r="C2095" s="2">
        <f>IFERROR(__xludf.DUMMYFUNCTION("""COMPUTED_VALUE"""),27.82)</f>
        <v>27.82</v>
      </c>
      <c r="D2095" s="2">
        <f>IFERROR(__xludf.DUMMYFUNCTION("""COMPUTED_VALUE"""),27.28)</f>
        <v>27.28</v>
      </c>
      <c r="E2095" s="2">
        <f>IFERROR(__xludf.DUMMYFUNCTION("""COMPUTED_VALUE"""),27.73)</f>
        <v>27.73</v>
      </c>
      <c r="F2095" s="2">
        <f>IFERROR(__xludf.DUMMYFUNCTION("""COMPUTED_VALUE"""),2583900.0)</f>
        <v>2583900</v>
      </c>
    </row>
    <row r="2096">
      <c r="A2096" s="3">
        <f>IFERROR(__xludf.DUMMYFUNCTION("""COMPUTED_VALUE"""),32247.666666666668)</f>
        <v>32247.66667</v>
      </c>
      <c r="B2096" s="2">
        <f>IFERROR(__xludf.DUMMYFUNCTION("""COMPUTED_VALUE"""),26.6)</f>
        <v>26.6</v>
      </c>
      <c r="C2096" s="2">
        <f>IFERROR(__xludf.DUMMYFUNCTION("""COMPUTED_VALUE"""),27.64)</f>
        <v>27.64</v>
      </c>
      <c r="D2096" s="2">
        <f>IFERROR(__xludf.DUMMYFUNCTION("""COMPUTED_VALUE"""),26.57)</f>
        <v>26.57</v>
      </c>
      <c r="E2096" s="2">
        <f>IFERROR(__xludf.DUMMYFUNCTION("""COMPUTED_VALUE"""),26.6)</f>
        <v>26.6</v>
      </c>
      <c r="F2096" s="2">
        <f>IFERROR(__xludf.DUMMYFUNCTION("""COMPUTED_VALUE"""),2851800.0)</f>
        <v>2851800</v>
      </c>
    </row>
    <row r="2097">
      <c r="A2097" s="3">
        <f>IFERROR(__xludf.DUMMYFUNCTION("""COMPUTED_VALUE"""),32248.666666666668)</f>
        <v>32248.66667</v>
      </c>
      <c r="B2097" s="2">
        <f>IFERROR(__xludf.DUMMYFUNCTION("""COMPUTED_VALUE"""),27.25)</f>
        <v>27.25</v>
      </c>
      <c r="C2097" s="2">
        <f>IFERROR(__xludf.DUMMYFUNCTION("""COMPUTED_VALUE"""),27.31)</f>
        <v>27.31</v>
      </c>
      <c r="D2097" s="2">
        <f>IFERROR(__xludf.DUMMYFUNCTION("""COMPUTED_VALUE"""),26.51)</f>
        <v>26.51</v>
      </c>
      <c r="E2097" s="2">
        <f>IFERROR(__xludf.DUMMYFUNCTION("""COMPUTED_VALUE"""),27.25)</f>
        <v>27.25</v>
      </c>
      <c r="F2097" s="2">
        <f>IFERROR(__xludf.DUMMYFUNCTION("""COMPUTED_VALUE"""),2796200.0)</f>
        <v>2796200</v>
      </c>
    </row>
    <row r="2098">
      <c r="A2098" s="3">
        <f>IFERROR(__xludf.DUMMYFUNCTION("""COMPUTED_VALUE"""),32251.666666666668)</f>
        <v>32251.66667</v>
      </c>
      <c r="B2098" s="2">
        <f>IFERROR(__xludf.DUMMYFUNCTION("""COMPUTED_VALUE"""),27.22)</f>
        <v>27.22</v>
      </c>
      <c r="C2098" s="2">
        <f>IFERROR(__xludf.DUMMYFUNCTION("""COMPUTED_VALUE"""),27.34)</f>
        <v>27.34</v>
      </c>
      <c r="D2098" s="2">
        <f>IFERROR(__xludf.DUMMYFUNCTION("""COMPUTED_VALUE"""),27.04)</f>
        <v>27.04</v>
      </c>
      <c r="E2098" s="2">
        <f>IFERROR(__xludf.DUMMYFUNCTION("""COMPUTED_VALUE"""),27.22)</f>
        <v>27.22</v>
      </c>
      <c r="F2098" s="2">
        <f>IFERROR(__xludf.DUMMYFUNCTION("""COMPUTED_VALUE"""),1390000.0)</f>
        <v>1390000</v>
      </c>
    </row>
    <row r="2099">
      <c r="A2099" s="3">
        <f>IFERROR(__xludf.DUMMYFUNCTION("""COMPUTED_VALUE"""),32252.666666666668)</f>
        <v>32252.66667</v>
      </c>
      <c r="B2099" s="2">
        <f>IFERROR(__xludf.DUMMYFUNCTION("""COMPUTED_VALUE"""),27.01)</f>
        <v>27.01</v>
      </c>
      <c r="C2099" s="2">
        <f>IFERROR(__xludf.DUMMYFUNCTION("""COMPUTED_VALUE"""),27.7)</f>
        <v>27.7</v>
      </c>
      <c r="D2099" s="2">
        <f>IFERROR(__xludf.DUMMYFUNCTION("""COMPUTED_VALUE"""),26.98)</f>
        <v>26.98</v>
      </c>
      <c r="E2099" s="2">
        <f>IFERROR(__xludf.DUMMYFUNCTION("""COMPUTED_VALUE"""),27.01)</f>
        <v>27.01</v>
      </c>
      <c r="F2099" s="2">
        <f>IFERROR(__xludf.DUMMYFUNCTION("""COMPUTED_VALUE"""),1749300.0)</f>
        <v>1749300</v>
      </c>
    </row>
    <row r="2100">
      <c r="A2100" s="3">
        <f>IFERROR(__xludf.DUMMYFUNCTION("""COMPUTED_VALUE"""),32253.666666666668)</f>
        <v>32253.66667</v>
      </c>
      <c r="B2100" s="2">
        <f>IFERROR(__xludf.DUMMYFUNCTION("""COMPUTED_VALUE"""),26.95)</f>
        <v>26.95</v>
      </c>
      <c r="C2100" s="2">
        <f>IFERROR(__xludf.DUMMYFUNCTION("""COMPUTED_VALUE"""),27.19)</f>
        <v>27.19</v>
      </c>
      <c r="D2100" s="2">
        <f>IFERROR(__xludf.DUMMYFUNCTION("""COMPUTED_VALUE"""),26.74)</f>
        <v>26.74</v>
      </c>
      <c r="E2100" s="2">
        <f>IFERROR(__xludf.DUMMYFUNCTION("""COMPUTED_VALUE"""),26.95)</f>
        <v>26.95</v>
      </c>
      <c r="F2100" s="2">
        <f>IFERROR(__xludf.DUMMYFUNCTION("""COMPUTED_VALUE"""),1668500.0)</f>
        <v>1668500</v>
      </c>
    </row>
    <row r="2101">
      <c r="A2101" s="3">
        <f>IFERROR(__xludf.DUMMYFUNCTION("""COMPUTED_VALUE"""),32254.666666666668)</f>
        <v>32254.66667</v>
      </c>
      <c r="B2101" s="2">
        <f>IFERROR(__xludf.DUMMYFUNCTION("""COMPUTED_VALUE"""),26.83)</f>
        <v>26.83</v>
      </c>
      <c r="C2101" s="2">
        <f>IFERROR(__xludf.DUMMYFUNCTION("""COMPUTED_VALUE"""),27.25)</f>
        <v>27.25</v>
      </c>
      <c r="D2101" s="2">
        <f>IFERROR(__xludf.DUMMYFUNCTION("""COMPUTED_VALUE"""),26.63)</f>
        <v>26.63</v>
      </c>
      <c r="E2101" s="2">
        <f>IFERROR(__xludf.DUMMYFUNCTION("""COMPUTED_VALUE"""),26.83)</f>
        <v>26.83</v>
      </c>
      <c r="F2101" s="2">
        <f>IFERROR(__xludf.DUMMYFUNCTION("""COMPUTED_VALUE"""),1930600.0)</f>
        <v>1930600</v>
      </c>
    </row>
    <row r="2102">
      <c r="A2102" s="3">
        <f>IFERROR(__xludf.DUMMYFUNCTION("""COMPUTED_VALUE"""),32255.666666666668)</f>
        <v>32255.66667</v>
      </c>
      <c r="B2102" s="2">
        <f>IFERROR(__xludf.DUMMYFUNCTION("""COMPUTED_VALUE"""),27.16)</f>
        <v>27.16</v>
      </c>
      <c r="C2102" s="2">
        <f>IFERROR(__xludf.DUMMYFUNCTION("""COMPUTED_VALUE"""),27.28)</f>
        <v>27.28</v>
      </c>
      <c r="D2102" s="2">
        <f>IFERROR(__xludf.DUMMYFUNCTION("""COMPUTED_VALUE"""),26.83)</f>
        <v>26.83</v>
      </c>
      <c r="E2102" s="2">
        <f>IFERROR(__xludf.DUMMYFUNCTION("""COMPUTED_VALUE"""),27.16)</f>
        <v>27.16</v>
      </c>
      <c r="F2102" s="2">
        <f>IFERROR(__xludf.DUMMYFUNCTION("""COMPUTED_VALUE"""),1100000.0)</f>
        <v>1100000</v>
      </c>
    </row>
    <row r="2103">
      <c r="A2103" s="3">
        <f>IFERROR(__xludf.DUMMYFUNCTION("""COMPUTED_VALUE"""),32258.666666666668)</f>
        <v>32258.66667</v>
      </c>
      <c r="B2103" s="2">
        <f>IFERROR(__xludf.DUMMYFUNCTION("""COMPUTED_VALUE"""),27.19)</f>
        <v>27.19</v>
      </c>
      <c r="C2103" s="2">
        <f>IFERROR(__xludf.DUMMYFUNCTION("""COMPUTED_VALUE"""),27.37)</f>
        <v>27.37</v>
      </c>
      <c r="D2103" s="2">
        <f>IFERROR(__xludf.DUMMYFUNCTION("""COMPUTED_VALUE"""),27.1)</f>
        <v>27.1</v>
      </c>
      <c r="E2103" s="2">
        <f>IFERROR(__xludf.DUMMYFUNCTION("""COMPUTED_VALUE"""),27.19)</f>
        <v>27.19</v>
      </c>
      <c r="F2103" s="2">
        <f>IFERROR(__xludf.DUMMYFUNCTION("""COMPUTED_VALUE"""),1205800.0)</f>
        <v>1205800</v>
      </c>
    </row>
    <row r="2104">
      <c r="A2104" s="3">
        <f>IFERROR(__xludf.DUMMYFUNCTION("""COMPUTED_VALUE"""),32259.666666666668)</f>
        <v>32259.66667</v>
      </c>
      <c r="B2104" s="2">
        <f>IFERROR(__xludf.DUMMYFUNCTION("""COMPUTED_VALUE"""),27.28)</f>
        <v>27.28</v>
      </c>
      <c r="C2104" s="2">
        <f>IFERROR(__xludf.DUMMYFUNCTION("""COMPUTED_VALUE"""),27.4)</f>
        <v>27.4</v>
      </c>
      <c r="D2104" s="2">
        <f>IFERROR(__xludf.DUMMYFUNCTION("""COMPUTED_VALUE"""),27.07)</f>
        <v>27.07</v>
      </c>
      <c r="E2104" s="2">
        <f>IFERROR(__xludf.DUMMYFUNCTION("""COMPUTED_VALUE"""),27.28)</f>
        <v>27.28</v>
      </c>
      <c r="F2104" s="2">
        <f>IFERROR(__xludf.DUMMYFUNCTION("""COMPUTED_VALUE"""),1313600.0)</f>
        <v>1313600</v>
      </c>
    </row>
    <row r="2105">
      <c r="A2105" s="3">
        <f>IFERROR(__xludf.DUMMYFUNCTION("""COMPUTED_VALUE"""),32260.666666666668)</f>
        <v>32260.66667</v>
      </c>
      <c r="B2105" s="2">
        <f>IFERROR(__xludf.DUMMYFUNCTION("""COMPUTED_VALUE"""),27.22)</f>
        <v>27.22</v>
      </c>
      <c r="C2105" s="2">
        <f>IFERROR(__xludf.DUMMYFUNCTION("""COMPUTED_VALUE"""),27.34)</f>
        <v>27.34</v>
      </c>
      <c r="D2105" s="2">
        <f>IFERROR(__xludf.DUMMYFUNCTION("""COMPUTED_VALUE"""),27.01)</f>
        <v>27.01</v>
      </c>
      <c r="E2105" s="2">
        <f>IFERROR(__xludf.DUMMYFUNCTION("""COMPUTED_VALUE"""),27.22)</f>
        <v>27.22</v>
      </c>
      <c r="F2105" s="2">
        <f>IFERROR(__xludf.DUMMYFUNCTION("""COMPUTED_VALUE"""),945100.0)</f>
        <v>945100</v>
      </c>
    </row>
    <row r="2106">
      <c r="A2106" s="3">
        <f>IFERROR(__xludf.DUMMYFUNCTION("""COMPUTED_VALUE"""),32261.666666666668)</f>
        <v>32261.66667</v>
      </c>
      <c r="B2106" s="2">
        <f>IFERROR(__xludf.DUMMYFUNCTION("""COMPUTED_VALUE"""),27.01)</f>
        <v>27.01</v>
      </c>
      <c r="C2106" s="2">
        <f>IFERROR(__xludf.DUMMYFUNCTION("""COMPUTED_VALUE"""),27.1)</f>
        <v>27.1</v>
      </c>
      <c r="D2106" s="2">
        <f>IFERROR(__xludf.DUMMYFUNCTION("""COMPUTED_VALUE"""),26.89)</f>
        <v>26.89</v>
      </c>
      <c r="E2106" s="2">
        <f>IFERROR(__xludf.DUMMYFUNCTION("""COMPUTED_VALUE"""),27.01)</f>
        <v>27.01</v>
      </c>
      <c r="F2106" s="2">
        <f>IFERROR(__xludf.DUMMYFUNCTION("""COMPUTED_VALUE"""),801900.0)</f>
        <v>801900</v>
      </c>
    </row>
    <row r="2107">
      <c r="A2107" s="3">
        <f>IFERROR(__xludf.DUMMYFUNCTION("""COMPUTED_VALUE"""),32262.666666666668)</f>
        <v>32262.66667</v>
      </c>
      <c r="B2107" s="2">
        <f>IFERROR(__xludf.DUMMYFUNCTION("""COMPUTED_VALUE"""),27.07)</f>
        <v>27.07</v>
      </c>
      <c r="C2107" s="2">
        <f>IFERROR(__xludf.DUMMYFUNCTION("""COMPUTED_VALUE"""),27.16)</f>
        <v>27.16</v>
      </c>
      <c r="D2107" s="2">
        <f>IFERROR(__xludf.DUMMYFUNCTION("""COMPUTED_VALUE"""),26.89)</f>
        <v>26.89</v>
      </c>
      <c r="E2107" s="2">
        <f>IFERROR(__xludf.DUMMYFUNCTION("""COMPUTED_VALUE"""),27.07)</f>
        <v>27.07</v>
      </c>
      <c r="F2107" s="2">
        <f>IFERROR(__xludf.DUMMYFUNCTION("""COMPUTED_VALUE"""),766600.0)</f>
        <v>766600</v>
      </c>
    </row>
    <row r="2108">
      <c r="A2108" s="3">
        <f>IFERROR(__xludf.DUMMYFUNCTION("""COMPUTED_VALUE"""),32265.666666666668)</f>
        <v>32265.66667</v>
      </c>
      <c r="B2108" s="2">
        <f>IFERROR(__xludf.DUMMYFUNCTION("""COMPUTED_VALUE"""),27.25)</f>
        <v>27.25</v>
      </c>
      <c r="C2108" s="2">
        <f>IFERROR(__xludf.DUMMYFUNCTION("""COMPUTED_VALUE"""),27.31)</f>
        <v>27.31</v>
      </c>
      <c r="D2108" s="2">
        <f>IFERROR(__xludf.DUMMYFUNCTION("""COMPUTED_VALUE"""),27.01)</f>
        <v>27.01</v>
      </c>
      <c r="E2108" s="2">
        <f>IFERROR(__xludf.DUMMYFUNCTION("""COMPUTED_VALUE"""),27.25)</f>
        <v>27.25</v>
      </c>
      <c r="F2108" s="2">
        <f>IFERROR(__xludf.DUMMYFUNCTION("""COMPUTED_VALUE"""),1044900.0)</f>
        <v>1044900</v>
      </c>
    </row>
    <row r="2109">
      <c r="A2109" s="3">
        <f>IFERROR(__xludf.DUMMYFUNCTION("""COMPUTED_VALUE"""),32266.666666666668)</f>
        <v>32266.66667</v>
      </c>
      <c r="B2109" s="2">
        <f>IFERROR(__xludf.DUMMYFUNCTION("""COMPUTED_VALUE"""),27.37)</f>
        <v>27.37</v>
      </c>
      <c r="C2109" s="2">
        <f>IFERROR(__xludf.DUMMYFUNCTION("""COMPUTED_VALUE"""),27.49)</f>
        <v>27.49</v>
      </c>
      <c r="D2109" s="2">
        <f>IFERROR(__xludf.DUMMYFUNCTION("""COMPUTED_VALUE"""),27.04)</f>
        <v>27.04</v>
      </c>
      <c r="E2109" s="2">
        <f>IFERROR(__xludf.DUMMYFUNCTION("""COMPUTED_VALUE"""),27.37)</f>
        <v>27.37</v>
      </c>
      <c r="F2109" s="2">
        <f>IFERROR(__xludf.DUMMYFUNCTION("""COMPUTED_VALUE"""),852800.0)</f>
        <v>852800</v>
      </c>
    </row>
    <row r="2110">
      <c r="A2110" s="3">
        <f>IFERROR(__xludf.DUMMYFUNCTION("""COMPUTED_VALUE"""),32267.666666666668)</f>
        <v>32267.66667</v>
      </c>
      <c r="B2110" s="2">
        <f>IFERROR(__xludf.DUMMYFUNCTION("""COMPUTED_VALUE"""),27.04)</f>
        <v>27.04</v>
      </c>
      <c r="C2110" s="2">
        <f>IFERROR(__xludf.DUMMYFUNCTION("""COMPUTED_VALUE"""),27.4)</f>
        <v>27.4</v>
      </c>
      <c r="D2110" s="2">
        <f>IFERROR(__xludf.DUMMYFUNCTION("""COMPUTED_VALUE"""),27.04)</f>
        <v>27.04</v>
      </c>
      <c r="E2110" s="2">
        <f>IFERROR(__xludf.DUMMYFUNCTION("""COMPUTED_VALUE"""),27.04)</f>
        <v>27.04</v>
      </c>
      <c r="F2110" s="2">
        <f>IFERROR(__xludf.DUMMYFUNCTION("""COMPUTED_VALUE"""),1184600.0)</f>
        <v>1184600</v>
      </c>
    </row>
    <row r="2111">
      <c r="A2111" s="3">
        <f>IFERROR(__xludf.DUMMYFUNCTION("""COMPUTED_VALUE"""),32268.666666666668)</f>
        <v>32268.66667</v>
      </c>
      <c r="B2111" s="2">
        <f>IFERROR(__xludf.DUMMYFUNCTION("""COMPUTED_VALUE"""),26.57)</f>
        <v>26.57</v>
      </c>
      <c r="C2111" s="2">
        <f>IFERROR(__xludf.DUMMYFUNCTION("""COMPUTED_VALUE"""),26.66)</f>
        <v>26.66</v>
      </c>
      <c r="D2111" s="2">
        <f>IFERROR(__xludf.DUMMYFUNCTION("""COMPUTED_VALUE"""),26.48)</f>
        <v>26.48</v>
      </c>
      <c r="E2111" s="2">
        <f>IFERROR(__xludf.DUMMYFUNCTION("""COMPUTED_VALUE"""),26.57)</f>
        <v>26.57</v>
      </c>
      <c r="F2111" s="2">
        <f>IFERROR(__xludf.DUMMYFUNCTION("""COMPUTED_VALUE"""),1168900.0)</f>
        <v>1168900</v>
      </c>
    </row>
    <row r="2112">
      <c r="A2112" s="3">
        <f>IFERROR(__xludf.DUMMYFUNCTION("""COMPUTED_VALUE"""),32269.666666666668)</f>
        <v>32269.66667</v>
      </c>
      <c r="B2112" s="2">
        <f>IFERROR(__xludf.DUMMYFUNCTION("""COMPUTED_VALUE"""),26.39)</f>
        <v>26.39</v>
      </c>
      <c r="C2112" s="2">
        <f>IFERROR(__xludf.DUMMYFUNCTION("""COMPUTED_VALUE"""),26.71)</f>
        <v>26.71</v>
      </c>
      <c r="D2112" s="2">
        <f>IFERROR(__xludf.DUMMYFUNCTION("""COMPUTED_VALUE"""),26.3)</f>
        <v>26.3</v>
      </c>
      <c r="E2112" s="2">
        <f>IFERROR(__xludf.DUMMYFUNCTION("""COMPUTED_VALUE"""),26.39)</f>
        <v>26.39</v>
      </c>
      <c r="F2112" s="2">
        <f>IFERROR(__xludf.DUMMYFUNCTION("""COMPUTED_VALUE"""),766900.0)</f>
        <v>766900</v>
      </c>
    </row>
    <row r="2113">
      <c r="A2113" s="3">
        <f>IFERROR(__xludf.DUMMYFUNCTION("""COMPUTED_VALUE"""),32272.666666666668)</f>
        <v>32272.66667</v>
      </c>
      <c r="B2113" s="2">
        <f>IFERROR(__xludf.DUMMYFUNCTION("""COMPUTED_VALUE"""),26.39)</f>
        <v>26.39</v>
      </c>
      <c r="C2113" s="2">
        <f>IFERROR(__xludf.DUMMYFUNCTION("""COMPUTED_VALUE"""),26.48)</f>
        <v>26.48</v>
      </c>
      <c r="D2113" s="2">
        <f>IFERROR(__xludf.DUMMYFUNCTION("""COMPUTED_VALUE"""),26.24)</f>
        <v>26.24</v>
      </c>
      <c r="E2113" s="2">
        <f>IFERROR(__xludf.DUMMYFUNCTION("""COMPUTED_VALUE"""),26.39)</f>
        <v>26.39</v>
      </c>
      <c r="F2113" s="2">
        <f>IFERROR(__xludf.DUMMYFUNCTION("""COMPUTED_VALUE"""),798000.0)</f>
        <v>798000</v>
      </c>
    </row>
    <row r="2114">
      <c r="A2114" s="3">
        <f>IFERROR(__xludf.DUMMYFUNCTION("""COMPUTED_VALUE"""),32273.666666666668)</f>
        <v>32273.66667</v>
      </c>
      <c r="B2114" s="2">
        <f>IFERROR(__xludf.DUMMYFUNCTION("""COMPUTED_VALUE"""),26.48)</f>
        <v>26.48</v>
      </c>
      <c r="C2114" s="2">
        <f>IFERROR(__xludf.DUMMYFUNCTION("""COMPUTED_VALUE"""),26.63)</f>
        <v>26.63</v>
      </c>
      <c r="D2114" s="2">
        <f>IFERROR(__xludf.DUMMYFUNCTION("""COMPUTED_VALUE"""),26.27)</f>
        <v>26.27</v>
      </c>
      <c r="E2114" s="2">
        <f>IFERROR(__xludf.DUMMYFUNCTION("""COMPUTED_VALUE"""),26.48)</f>
        <v>26.48</v>
      </c>
      <c r="F2114" s="2">
        <f>IFERROR(__xludf.DUMMYFUNCTION("""COMPUTED_VALUE"""),924700.0)</f>
        <v>924700</v>
      </c>
    </row>
    <row r="2115">
      <c r="A2115" s="3">
        <f>IFERROR(__xludf.DUMMYFUNCTION("""COMPUTED_VALUE"""),32274.666666666668)</f>
        <v>32274.66667</v>
      </c>
      <c r="B2115" s="2">
        <f>IFERROR(__xludf.DUMMYFUNCTION("""COMPUTED_VALUE"""),25.97)</f>
        <v>25.97</v>
      </c>
      <c r="C2115" s="2">
        <f>IFERROR(__xludf.DUMMYFUNCTION("""COMPUTED_VALUE"""),26.24)</f>
        <v>26.24</v>
      </c>
      <c r="D2115" s="2">
        <f>IFERROR(__xludf.DUMMYFUNCTION("""COMPUTED_VALUE"""),25.88)</f>
        <v>25.88</v>
      </c>
      <c r="E2115" s="2">
        <f>IFERROR(__xludf.DUMMYFUNCTION("""COMPUTED_VALUE"""),25.97)</f>
        <v>25.97</v>
      </c>
      <c r="F2115" s="2">
        <f>IFERROR(__xludf.DUMMYFUNCTION("""COMPUTED_VALUE"""),1598300.0)</f>
        <v>1598300</v>
      </c>
    </row>
    <row r="2116">
      <c r="A2116" s="3">
        <f>IFERROR(__xludf.DUMMYFUNCTION("""COMPUTED_VALUE"""),32275.666666666668)</f>
        <v>32275.66667</v>
      </c>
      <c r="B2116" s="2">
        <f>IFERROR(__xludf.DUMMYFUNCTION("""COMPUTED_VALUE"""),25.97)</f>
        <v>25.97</v>
      </c>
      <c r="C2116" s="2">
        <f>IFERROR(__xludf.DUMMYFUNCTION("""COMPUTED_VALUE"""),26.12)</f>
        <v>26.12</v>
      </c>
      <c r="D2116" s="2">
        <f>IFERROR(__xludf.DUMMYFUNCTION("""COMPUTED_VALUE"""),25.94)</f>
        <v>25.94</v>
      </c>
      <c r="E2116" s="2">
        <f>IFERROR(__xludf.DUMMYFUNCTION("""COMPUTED_VALUE"""),25.97)</f>
        <v>25.97</v>
      </c>
      <c r="F2116" s="2">
        <f>IFERROR(__xludf.DUMMYFUNCTION("""COMPUTED_VALUE"""),809800.0)</f>
        <v>809800</v>
      </c>
    </row>
    <row r="2117">
      <c r="A2117" s="3">
        <f>IFERROR(__xludf.DUMMYFUNCTION("""COMPUTED_VALUE"""),32276.666666666668)</f>
        <v>32276.66667</v>
      </c>
      <c r="B2117" s="2">
        <f>IFERROR(__xludf.DUMMYFUNCTION("""COMPUTED_VALUE"""),26.36)</f>
        <v>26.36</v>
      </c>
      <c r="C2117" s="2">
        <f>IFERROR(__xludf.DUMMYFUNCTION("""COMPUTED_VALUE"""),26.36)</f>
        <v>26.36</v>
      </c>
      <c r="D2117" s="2">
        <f>IFERROR(__xludf.DUMMYFUNCTION("""COMPUTED_VALUE"""),26.06)</f>
        <v>26.06</v>
      </c>
      <c r="E2117" s="2">
        <f>IFERROR(__xludf.DUMMYFUNCTION("""COMPUTED_VALUE"""),26.36)</f>
        <v>26.36</v>
      </c>
      <c r="F2117" s="2">
        <f>IFERROR(__xludf.DUMMYFUNCTION("""COMPUTED_VALUE"""),763500.0)</f>
        <v>763500</v>
      </c>
    </row>
    <row r="2118">
      <c r="A2118" s="3">
        <f>IFERROR(__xludf.DUMMYFUNCTION("""COMPUTED_VALUE"""),32279.666666666668)</f>
        <v>32279.66667</v>
      </c>
      <c r="B2118" s="2">
        <f>IFERROR(__xludf.DUMMYFUNCTION("""COMPUTED_VALUE"""),26.66)</f>
        <v>26.66</v>
      </c>
      <c r="C2118" s="2">
        <f>IFERROR(__xludf.DUMMYFUNCTION("""COMPUTED_VALUE"""),26.68)</f>
        <v>26.68</v>
      </c>
      <c r="D2118" s="2">
        <f>IFERROR(__xludf.DUMMYFUNCTION("""COMPUTED_VALUE"""),26.24)</f>
        <v>26.24</v>
      </c>
      <c r="E2118" s="2">
        <f>IFERROR(__xludf.DUMMYFUNCTION("""COMPUTED_VALUE"""),26.66)</f>
        <v>26.66</v>
      </c>
      <c r="F2118" s="2">
        <f>IFERROR(__xludf.DUMMYFUNCTION("""COMPUTED_VALUE"""),725300.0)</f>
        <v>725300</v>
      </c>
    </row>
    <row r="2119">
      <c r="A2119" s="3">
        <f>IFERROR(__xludf.DUMMYFUNCTION("""COMPUTED_VALUE"""),32280.666666666668)</f>
        <v>32280.66667</v>
      </c>
      <c r="B2119" s="2">
        <f>IFERROR(__xludf.DUMMYFUNCTION("""COMPUTED_VALUE"""),26.3)</f>
        <v>26.3</v>
      </c>
      <c r="C2119" s="2">
        <f>IFERROR(__xludf.DUMMYFUNCTION("""COMPUTED_VALUE"""),26.92)</f>
        <v>26.92</v>
      </c>
      <c r="D2119" s="2">
        <f>IFERROR(__xludf.DUMMYFUNCTION("""COMPUTED_VALUE"""),26.27)</f>
        <v>26.27</v>
      </c>
      <c r="E2119" s="2">
        <f>IFERROR(__xludf.DUMMYFUNCTION("""COMPUTED_VALUE"""),26.3)</f>
        <v>26.3</v>
      </c>
      <c r="F2119" s="2">
        <f>IFERROR(__xludf.DUMMYFUNCTION("""COMPUTED_VALUE"""),1273200.0)</f>
        <v>1273200</v>
      </c>
    </row>
    <row r="2120">
      <c r="A2120" s="3">
        <f>IFERROR(__xludf.DUMMYFUNCTION("""COMPUTED_VALUE"""),32281.666666666668)</f>
        <v>32281.66667</v>
      </c>
      <c r="B2120" s="2">
        <f>IFERROR(__xludf.DUMMYFUNCTION("""COMPUTED_VALUE"""),26.0)</f>
        <v>26</v>
      </c>
      <c r="C2120" s="2">
        <f>IFERROR(__xludf.DUMMYFUNCTION("""COMPUTED_VALUE"""),26.42)</f>
        <v>26.42</v>
      </c>
      <c r="D2120" s="2">
        <f>IFERROR(__xludf.DUMMYFUNCTION("""COMPUTED_VALUE"""),25.91)</f>
        <v>25.91</v>
      </c>
      <c r="E2120" s="2">
        <f>IFERROR(__xludf.DUMMYFUNCTION("""COMPUTED_VALUE"""),26.0)</f>
        <v>26</v>
      </c>
      <c r="F2120" s="2">
        <f>IFERROR(__xludf.DUMMYFUNCTION("""COMPUTED_VALUE"""),1220500.0)</f>
        <v>1220500</v>
      </c>
    </row>
    <row r="2121">
      <c r="A2121" s="3">
        <f>IFERROR(__xludf.DUMMYFUNCTION("""COMPUTED_VALUE"""),32282.666666666668)</f>
        <v>32282.66667</v>
      </c>
      <c r="B2121" s="2">
        <f>IFERROR(__xludf.DUMMYFUNCTION("""COMPUTED_VALUE"""),26.39)</f>
        <v>26.39</v>
      </c>
      <c r="C2121" s="2">
        <f>IFERROR(__xludf.DUMMYFUNCTION("""COMPUTED_VALUE"""),26.42)</f>
        <v>26.42</v>
      </c>
      <c r="D2121" s="2">
        <f>IFERROR(__xludf.DUMMYFUNCTION("""COMPUTED_VALUE"""),25.94)</f>
        <v>25.94</v>
      </c>
      <c r="E2121" s="2">
        <f>IFERROR(__xludf.DUMMYFUNCTION("""COMPUTED_VALUE"""),26.39)</f>
        <v>26.39</v>
      </c>
      <c r="F2121" s="2">
        <f>IFERROR(__xludf.DUMMYFUNCTION("""COMPUTED_VALUE"""),1516700.0)</f>
        <v>1516700</v>
      </c>
    </row>
    <row r="2122">
      <c r="A2122" s="3">
        <f>IFERROR(__xludf.DUMMYFUNCTION("""COMPUTED_VALUE"""),32283.666666666668)</f>
        <v>32283.66667</v>
      </c>
      <c r="B2122" s="2">
        <f>IFERROR(__xludf.DUMMYFUNCTION("""COMPUTED_VALUE"""),26.15)</f>
        <v>26.15</v>
      </c>
      <c r="C2122" s="2">
        <f>IFERROR(__xludf.DUMMYFUNCTION("""COMPUTED_VALUE"""),26.45)</f>
        <v>26.45</v>
      </c>
      <c r="D2122" s="2">
        <f>IFERROR(__xludf.DUMMYFUNCTION("""COMPUTED_VALUE"""),26.12)</f>
        <v>26.12</v>
      </c>
      <c r="E2122" s="2">
        <f>IFERROR(__xludf.DUMMYFUNCTION("""COMPUTED_VALUE"""),26.15)</f>
        <v>26.15</v>
      </c>
      <c r="F2122" s="2">
        <f>IFERROR(__xludf.DUMMYFUNCTION("""COMPUTED_VALUE"""),1010400.0)</f>
        <v>1010400</v>
      </c>
    </row>
    <row r="2123">
      <c r="A2123" s="3">
        <f>IFERROR(__xludf.DUMMYFUNCTION("""COMPUTED_VALUE"""),32286.666666666668)</f>
        <v>32286.66667</v>
      </c>
      <c r="B2123" s="2">
        <f>IFERROR(__xludf.DUMMYFUNCTION("""COMPUTED_VALUE"""),25.97)</f>
        <v>25.97</v>
      </c>
      <c r="C2123" s="2">
        <f>IFERROR(__xludf.DUMMYFUNCTION("""COMPUTED_VALUE"""),26.24)</f>
        <v>26.24</v>
      </c>
      <c r="D2123" s="2">
        <f>IFERROR(__xludf.DUMMYFUNCTION("""COMPUTED_VALUE"""),25.82)</f>
        <v>25.82</v>
      </c>
      <c r="E2123" s="2">
        <f>IFERROR(__xludf.DUMMYFUNCTION("""COMPUTED_VALUE"""),25.97)</f>
        <v>25.97</v>
      </c>
      <c r="F2123" s="2">
        <f>IFERROR(__xludf.DUMMYFUNCTION("""COMPUTED_VALUE"""),911900.0)</f>
        <v>911900</v>
      </c>
    </row>
    <row r="2124">
      <c r="A2124" s="3">
        <f>IFERROR(__xludf.DUMMYFUNCTION("""COMPUTED_VALUE"""),32287.666666666668)</f>
        <v>32287.66667</v>
      </c>
      <c r="B2124" s="2">
        <f>IFERROR(__xludf.DUMMYFUNCTION("""COMPUTED_VALUE"""),26.09)</f>
        <v>26.09</v>
      </c>
      <c r="C2124" s="2">
        <f>IFERROR(__xludf.DUMMYFUNCTION("""COMPUTED_VALUE"""),26.15)</f>
        <v>26.15</v>
      </c>
      <c r="D2124" s="2">
        <f>IFERROR(__xludf.DUMMYFUNCTION("""COMPUTED_VALUE"""),25.94)</f>
        <v>25.94</v>
      </c>
      <c r="E2124" s="2">
        <f>IFERROR(__xludf.DUMMYFUNCTION("""COMPUTED_VALUE"""),26.09)</f>
        <v>26.09</v>
      </c>
      <c r="F2124" s="2">
        <f>IFERROR(__xludf.DUMMYFUNCTION("""COMPUTED_VALUE"""),900900.0)</f>
        <v>900900</v>
      </c>
    </row>
    <row r="2125">
      <c r="A2125" s="3">
        <f>IFERROR(__xludf.DUMMYFUNCTION("""COMPUTED_VALUE"""),32288.666666666668)</f>
        <v>32288.66667</v>
      </c>
      <c r="B2125" s="2">
        <f>IFERROR(__xludf.DUMMYFUNCTION("""COMPUTED_VALUE"""),25.91)</f>
        <v>25.91</v>
      </c>
      <c r="C2125" s="2">
        <f>IFERROR(__xludf.DUMMYFUNCTION("""COMPUTED_VALUE"""),26.21)</f>
        <v>26.21</v>
      </c>
      <c r="D2125" s="2">
        <f>IFERROR(__xludf.DUMMYFUNCTION("""COMPUTED_VALUE"""),25.91)</f>
        <v>25.91</v>
      </c>
      <c r="E2125" s="2">
        <f>IFERROR(__xludf.DUMMYFUNCTION("""COMPUTED_VALUE"""),25.91)</f>
        <v>25.91</v>
      </c>
      <c r="F2125" s="2">
        <f>IFERROR(__xludf.DUMMYFUNCTION("""COMPUTED_VALUE"""),1019800.0)</f>
        <v>1019800</v>
      </c>
    </row>
    <row r="2126">
      <c r="A2126" s="3">
        <f>IFERROR(__xludf.DUMMYFUNCTION("""COMPUTED_VALUE"""),32289.666666666668)</f>
        <v>32289.66667</v>
      </c>
      <c r="B2126" s="2">
        <f>IFERROR(__xludf.DUMMYFUNCTION("""COMPUTED_VALUE"""),25.85)</f>
        <v>25.85</v>
      </c>
      <c r="C2126" s="2">
        <f>IFERROR(__xludf.DUMMYFUNCTION("""COMPUTED_VALUE"""),26.09)</f>
        <v>26.09</v>
      </c>
      <c r="D2126" s="2">
        <f>IFERROR(__xludf.DUMMYFUNCTION("""COMPUTED_VALUE"""),25.82)</f>
        <v>25.82</v>
      </c>
      <c r="E2126" s="2">
        <f>IFERROR(__xludf.DUMMYFUNCTION("""COMPUTED_VALUE"""),25.85)</f>
        <v>25.85</v>
      </c>
      <c r="F2126" s="2">
        <f>IFERROR(__xludf.DUMMYFUNCTION("""COMPUTED_VALUE"""),806800.0)</f>
        <v>806800</v>
      </c>
    </row>
    <row r="2127">
      <c r="A2127" s="3">
        <f>IFERROR(__xludf.DUMMYFUNCTION("""COMPUTED_VALUE"""),32290.666666666668)</f>
        <v>32290.66667</v>
      </c>
      <c r="B2127" s="2">
        <f>IFERROR(__xludf.DUMMYFUNCTION("""COMPUTED_VALUE"""),25.79)</f>
        <v>25.79</v>
      </c>
      <c r="C2127" s="2">
        <f>IFERROR(__xludf.DUMMYFUNCTION("""COMPUTED_VALUE"""),25.88)</f>
        <v>25.88</v>
      </c>
      <c r="D2127" s="2">
        <f>IFERROR(__xludf.DUMMYFUNCTION("""COMPUTED_VALUE"""),25.67)</f>
        <v>25.67</v>
      </c>
      <c r="E2127" s="2">
        <f>IFERROR(__xludf.DUMMYFUNCTION("""COMPUTED_VALUE"""),25.79)</f>
        <v>25.79</v>
      </c>
      <c r="F2127" s="2">
        <f>IFERROR(__xludf.DUMMYFUNCTION("""COMPUTED_VALUE"""),527000.0)</f>
        <v>527000</v>
      </c>
    </row>
    <row r="2128">
      <c r="A2128" s="3">
        <f>IFERROR(__xludf.DUMMYFUNCTION("""COMPUTED_VALUE"""),32294.666666666668)</f>
        <v>32294.66667</v>
      </c>
      <c r="B2128" s="2">
        <f>IFERROR(__xludf.DUMMYFUNCTION("""COMPUTED_VALUE"""),26.86)</f>
        <v>26.86</v>
      </c>
      <c r="C2128" s="2">
        <f>IFERROR(__xludf.DUMMYFUNCTION("""COMPUTED_VALUE"""),26.98)</f>
        <v>26.98</v>
      </c>
      <c r="D2128" s="2">
        <f>IFERROR(__xludf.DUMMYFUNCTION("""COMPUTED_VALUE"""),25.82)</f>
        <v>25.82</v>
      </c>
      <c r="E2128" s="2">
        <f>IFERROR(__xludf.DUMMYFUNCTION("""COMPUTED_VALUE"""),26.86)</f>
        <v>26.86</v>
      </c>
      <c r="F2128" s="2">
        <f>IFERROR(__xludf.DUMMYFUNCTION("""COMPUTED_VALUE"""),1212400.0)</f>
        <v>1212400</v>
      </c>
    </row>
    <row r="2129">
      <c r="A2129" s="3">
        <f>IFERROR(__xludf.DUMMYFUNCTION("""COMPUTED_VALUE"""),32295.666666666668)</f>
        <v>32295.66667</v>
      </c>
      <c r="B2129" s="2">
        <f>IFERROR(__xludf.DUMMYFUNCTION("""COMPUTED_VALUE"""),27.01)</f>
        <v>27.01</v>
      </c>
      <c r="C2129" s="2">
        <f>IFERROR(__xludf.DUMMYFUNCTION("""COMPUTED_VALUE"""),27.34)</f>
        <v>27.34</v>
      </c>
      <c r="D2129" s="2">
        <f>IFERROR(__xludf.DUMMYFUNCTION("""COMPUTED_VALUE"""),26.83)</f>
        <v>26.83</v>
      </c>
      <c r="E2129" s="2">
        <f>IFERROR(__xludf.DUMMYFUNCTION("""COMPUTED_VALUE"""),27.01)</f>
        <v>27.01</v>
      </c>
      <c r="F2129" s="2">
        <f>IFERROR(__xludf.DUMMYFUNCTION("""COMPUTED_VALUE"""),2176800.0)</f>
        <v>2176800</v>
      </c>
    </row>
    <row r="2130">
      <c r="A2130" s="3">
        <f>IFERROR(__xludf.DUMMYFUNCTION("""COMPUTED_VALUE"""),32296.666666666668)</f>
        <v>32296.66667</v>
      </c>
      <c r="B2130" s="2">
        <f>IFERROR(__xludf.DUMMYFUNCTION("""COMPUTED_VALUE"""),26.89)</f>
        <v>26.89</v>
      </c>
      <c r="C2130" s="2">
        <f>IFERROR(__xludf.DUMMYFUNCTION("""COMPUTED_VALUE"""),27.13)</f>
        <v>27.13</v>
      </c>
      <c r="D2130" s="2">
        <f>IFERROR(__xludf.DUMMYFUNCTION("""COMPUTED_VALUE"""),26.68)</f>
        <v>26.68</v>
      </c>
      <c r="E2130" s="2">
        <f>IFERROR(__xludf.DUMMYFUNCTION("""COMPUTED_VALUE"""),26.89)</f>
        <v>26.89</v>
      </c>
      <c r="F2130" s="2">
        <f>IFERROR(__xludf.DUMMYFUNCTION("""COMPUTED_VALUE"""),1096500.0)</f>
        <v>1096500</v>
      </c>
    </row>
    <row r="2131">
      <c r="A2131" s="3">
        <f>IFERROR(__xludf.DUMMYFUNCTION("""COMPUTED_VALUE"""),32297.666666666668)</f>
        <v>32297.66667</v>
      </c>
      <c r="B2131" s="2">
        <f>IFERROR(__xludf.DUMMYFUNCTION("""COMPUTED_VALUE"""),27.04)</f>
        <v>27.04</v>
      </c>
      <c r="C2131" s="2">
        <f>IFERROR(__xludf.DUMMYFUNCTION("""COMPUTED_VALUE"""),27.19)</f>
        <v>27.19</v>
      </c>
      <c r="D2131" s="2">
        <f>IFERROR(__xludf.DUMMYFUNCTION("""COMPUTED_VALUE"""),26.74)</f>
        <v>26.74</v>
      </c>
      <c r="E2131" s="2">
        <f>IFERROR(__xludf.DUMMYFUNCTION("""COMPUTED_VALUE"""),27.04)</f>
        <v>27.04</v>
      </c>
      <c r="F2131" s="2">
        <f>IFERROR(__xludf.DUMMYFUNCTION("""COMPUTED_VALUE"""),836300.0)</f>
        <v>836300</v>
      </c>
    </row>
    <row r="2132">
      <c r="A2132" s="3">
        <f>IFERROR(__xludf.DUMMYFUNCTION("""COMPUTED_VALUE"""),32300.666666666668)</f>
        <v>32300.66667</v>
      </c>
      <c r="B2132" s="2">
        <f>IFERROR(__xludf.DUMMYFUNCTION("""COMPUTED_VALUE"""),27.31)</f>
        <v>27.31</v>
      </c>
      <c r="C2132" s="2">
        <f>IFERROR(__xludf.DUMMYFUNCTION("""COMPUTED_VALUE"""),27.31)</f>
        <v>27.31</v>
      </c>
      <c r="D2132" s="2">
        <f>IFERROR(__xludf.DUMMYFUNCTION("""COMPUTED_VALUE"""),26.98)</f>
        <v>26.98</v>
      </c>
      <c r="E2132" s="2">
        <f>IFERROR(__xludf.DUMMYFUNCTION("""COMPUTED_VALUE"""),27.31)</f>
        <v>27.31</v>
      </c>
      <c r="F2132" s="2">
        <f>IFERROR(__xludf.DUMMYFUNCTION("""COMPUTED_VALUE"""),1066200.0)</f>
        <v>1066200</v>
      </c>
    </row>
    <row r="2133">
      <c r="A2133" s="3">
        <f>IFERROR(__xludf.DUMMYFUNCTION("""COMPUTED_VALUE"""),32301.666666666668)</f>
        <v>32301.66667</v>
      </c>
      <c r="B2133" s="2">
        <f>IFERROR(__xludf.DUMMYFUNCTION("""COMPUTED_VALUE"""),27.16)</f>
        <v>27.16</v>
      </c>
      <c r="C2133" s="2">
        <f>IFERROR(__xludf.DUMMYFUNCTION("""COMPUTED_VALUE"""),27.52)</f>
        <v>27.52</v>
      </c>
      <c r="D2133" s="2">
        <f>IFERROR(__xludf.DUMMYFUNCTION("""COMPUTED_VALUE"""),27.13)</f>
        <v>27.13</v>
      </c>
      <c r="E2133" s="2">
        <f>IFERROR(__xludf.DUMMYFUNCTION("""COMPUTED_VALUE"""),27.16)</f>
        <v>27.16</v>
      </c>
      <c r="F2133" s="2">
        <f>IFERROR(__xludf.DUMMYFUNCTION("""COMPUTED_VALUE"""),1731900.0)</f>
        <v>1731900</v>
      </c>
    </row>
    <row r="2134">
      <c r="A2134" s="3">
        <f>IFERROR(__xludf.DUMMYFUNCTION("""COMPUTED_VALUE"""),32302.666666666668)</f>
        <v>32302.66667</v>
      </c>
      <c r="B2134" s="2">
        <f>IFERROR(__xludf.DUMMYFUNCTION("""COMPUTED_VALUE"""),27.85)</f>
        <v>27.85</v>
      </c>
      <c r="C2134" s="2">
        <f>IFERROR(__xludf.DUMMYFUNCTION("""COMPUTED_VALUE"""),27.91)</f>
        <v>27.91</v>
      </c>
      <c r="D2134" s="2">
        <f>IFERROR(__xludf.DUMMYFUNCTION("""COMPUTED_VALUE"""),27.22)</f>
        <v>27.22</v>
      </c>
      <c r="E2134" s="2">
        <f>IFERROR(__xludf.DUMMYFUNCTION("""COMPUTED_VALUE"""),27.85)</f>
        <v>27.85</v>
      </c>
      <c r="F2134" s="2">
        <f>IFERROR(__xludf.DUMMYFUNCTION("""COMPUTED_VALUE"""),2111900.0)</f>
        <v>2111900</v>
      </c>
    </row>
    <row r="2135">
      <c r="A2135" s="3">
        <f>IFERROR(__xludf.DUMMYFUNCTION("""COMPUTED_VALUE"""),32303.666666666668)</f>
        <v>32303.66667</v>
      </c>
      <c r="B2135" s="2">
        <f>IFERROR(__xludf.DUMMYFUNCTION("""COMPUTED_VALUE"""),27.55)</f>
        <v>27.55</v>
      </c>
      <c r="C2135" s="2">
        <f>IFERROR(__xludf.DUMMYFUNCTION("""COMPUTED_VALUE"""),27.97)</f>
        <v>27.97</v>
      </c>
      <c r="D2135" s="2">
        <f>IFERROR(__xludf.DUMMYFUNCTION("""COMPUTED_VALUE"""),27.52)</f>
        <v>27.52</v>
      </c>
      <c r="E2135" s="2">
        <f>IFERROR(__xludf.DUMMYFUNCTION("""COMPUTED_VALUE"""),27.55)</f>
        <v>27.55</v>
      </c>
      <c r="F2135" s="2">
        <f>IFERROR(__xludf.DUMMYFUNCTION("""COMPUTED_VALUE"""),1637200.0)</f>
        <v>1637200</v>
      </c>
    </row>
    <row r="2136">
      <c r="A2136" s="3">
        <f>IFERROR(__xludf.DUMMYFUNCTION("""COMPUTED_VALUE"""),32304.666666666668)</f>
        <v>32304.66667</v>
      </c>
      <c r="B2136" s="2">
        <f>IFERROR(__xludf.DUMMYFUNCTION("""COMPUTED_VALUE"""),27.7)</f>
        <v>27.7</v>
      </c>
      <c r="C2136" s="2">
        <f>IFERROR(__xludf.DUMMYFUNCTION("""COMPUTED_VALUE"""),28.03)</f>
        <v>28.03</v>
      </c>
      <c r="D2136" s="2">
        <f>IFERROR(__xludf.DUMMYFUNCTION("""COMPUTED_VALUE"""),27.58)</f>
        <v>27.58</v>
      </c>
      <c r="E2136" s="2">
        <f>IFERROR(__xludf.DUMMYFUNCTION("""COMPUTED_VALUE"""),27.7)</f>
        <v>27.7</v>
      </c>
      <c r="F2136" s="2">
        <f>IFERROR(__xludf.DUMMYFUNCTION("""COMPUTED_VALUE"""),1285600.0)</f>
        <v>1285600</v>
      </c>
    </row>
    <row r="2137">
      <c r="A2137" s="3">
        <f>IFERROR(__xludf.DUMMYFUNCTION("""COMPUTED_VALUE"""),32307.666666666668)</f>
        <v>32307.66667</v>
      </c>
      <c r="B2137" s="2">
        <f>IFERROR(__xludf.DUMMYFUNCTION("""COMPUTED_VALUE"""),27.94)</f>
        <v>27.94</v>
      </c>
      <c r="C2137" s="2">
        <f>IFERROR(__xludf.DUMMYFUNCTION("""COMPUTED_VALUE"""),28.03)</f>
        <v>28.03</v>
      </c>
      <c r="D2137" s="2">
        <f>IFERROR(__xludf.DUMMYFUNCTION("""COMPUTED_VALUE"""),27.64)</f>
        <v>27.64</v>
      </c>
      <c r="E2137" s="2">
        <f>IFERROR(__xludf.DUMMYFUNCTION("""COMPUTED_VALUE"""),27.94)</f>
        <v>27.94</v>
      </c>
      <c r="F2137" s="2">
        <f>IFERROR(__xludf.DUMMYFUNCTION("""COMPUTED_VALUE"""),1028900.0)</f>
        <v>1028900</v>
      </c>
    </row>
    <row r="2138">
      <c r="A2138" s="3">
        <f>IFERROR(__xludf.DUMMYFUNCTION("""COMPUTED_VALUE"""),32308.666666666668)</f>
        <v>32308.66667</v>
      </c>
      <c r="B2138" s="2">
        <f>IFERROR(__xludf.DUMMYFUNCTION("""COMPUTED_VALUE"""),28.36)</f>
        <v>28.36</v>
      </c>
      <c r="C2138" s="2">
        <f>IFERROR(__xludf.DUMMYFUNCTION("""COMPUTED_VALUE"""),28.6)</f>
        <v>28.6</v>
      </c>
      <c r="D2138" s="2">
        <f>IFERROR(__xludf.DUMMYFUNCTION("""COMPUTED_VALUE"""),28.24)</f>
        <v>28.24</v>
      </c>
      <c r="E2138" s="2">
        <f>IFERROR(__xludf.DUMMYFUNCTION("""COMPUTED_VALUE"""),28.36)</f>
        <v>28.36</v>
      </c>
      <c r="F2138" s="2">
        <f>IFERROR(__xludf.DUMMYFUNCTION("""COMPUTED_VALUE"""),2390400.0)</f>
        <v>2390400</v>
      </c>
    </row>
    <row r="2139">
      <c r="A2139" s="3">
        <f>IFERROR(__xludf.DUMMYFUNCTION("""COMPUTED_VALUE"""),32309.666666666668)</f>
        <v>32309.66667</v>
      </c>
      <c r="B2139" s="2">
        <f>IFERROR(__xludf.DUMMYFUNCTION("""COMPUTED_VALUE"""),28.39)</f>
        <v>28.39</v>
      </c>
      <c r="C2139" s="2">
        <f>IFERROR(__xludf.DUMMYFUNCTION("""COMPUTED_VALUE"""),28.57)</f>
        <v>28.57</v>
      </c>
      <c r="D2139" s="2">
        <f>IFERROR(__xludf.DUMMYFUNCTION("""COMPUTED_VALUE"""),28.3)</f>
        <v>28.3</v>
      </c>
      <c r="E2139" s="2">
        <f>IFERROR(__xludf.DUMMYFUNCTION("""COMPUTED_VALUE"""),28.39)</f>
        <v>28.39</v>
      </c>
      <c r="F2139" s="2">
        <f>IFERROR(__xludf.DUMMYFUNCTION("""COMPUTED_VALUE"""),1368900.0)</f>
        <v>1368900</v>
      </c>
    </row>
    <row r="2140">
      <c r="A2140" s="3">
        <f>IFERROR(__xludf.DUMMYFUNCTION("""COMPUTED_VALUE"""),32310.666666666668)</f>
        <v>32310.66667</v>
      </c>
      <c r="B2140" s="2">
        <f>IFERROR(__xludf.DUMMYFUNCTION("""COMPUTED_VALUE"""),27.97)</f>
        <v>27.97</v>
      </c>
      <c r="C2140" s="2">
        <f>IFERROR(__xludf.DUMMYFUNCTION("""COMPUTED_VALUE"""),28.27)</f>
        <v>28.27</v>
      </c>
      <c r="D2140" s="2">
        <f>IFERROR(__xludf.DUMMYFUNCTION("""COMPUTED_VALUE"""),27.97)</f>
        <v>27.97</v>
      </c>
      <c r="E2140" s="2">
        <f>IFERROR(__xludf.DUMMYFUNCTION("""COMPUTED_VALUE"""),27.97)</f>
        <v>27.97</v>
      </c>
      <c r="F2140" s="2">
        <f>IFERROR(__xludf.DUMMYFUNCTION("""COMPUTED_VALUE"""),1191700.0)</f>
        <v>1191700</v>
      </c>
    </row>
    <row r="2141">
      <c r="A2141" s="3">
        <f>IFERROR(__xludf.DUMMYFUNCTION("""COMPUTED_VALUE"""),32311.666666666668)</f>
        <v>32311.66667</v>
      </c>
      <c r="B2141" s="2">
        <f>IFERROR(__xludf.DUMMYFUNCTION("""COMPUTED_VALUE"""),28.06)</f>
        <v>28.06</v>
      </c>
      <c r="C2141" s="2">
        <f>IFERROR(__xludf.DUMMYFUNCTION("""COMPUTED_VALUE"""),28.06)</f>
        <v>28.06</v>
      </c>
      <c r="D2141" s="2">
        <f>IFERROR(__xludf.DUMMYFUNCTION("""COMPUTED_VALUE"""),27.64)</f>
        <v>27.64</v>
      </c>
      <c r="E2141" s="2">
        <f>IFERROR(__xludf.DUMMYFUNCTION("""COMPUTED_VALUE"""),28.06)</f>
        <v>28.06</v>
      </c>
      <c r="F2141" s="2">
        <f>IFERROR(__xludf.DUMMYFUNCTION("""COMPUTED_VALUE"""),2294700.0)</f>
        <v>2294700</v>
      </c>
    </row>
    <row r="2142">
      <c r="A2142" s="3">
        <f>IFERROR(__xludf.DUMMYFUNCTION("""COMPUTED_VALUE"""),32314.666666666668)</f>
        <v>32314.66667</v>
      </c>
      <c r="B2142" s="2">
        <f>IFERROR(__xludf.DUMMYFUNCTION("""COMPUTED_VALUE"""),27.97)</f>
        <v>27.97</v>
      </c>
      <c r="C2142" s="2">
        <f>IFERROR(__xludf.DUMMYFUNCTION("""COMPUTED_VALUE"""),28.09)</f>
        <v>28.09</v>
      </c>
      <c r="D2142" s="2">
        <f>IFERROR(__xludf.DUMMYFUNCTION("""COMPUTED_VALUE"""),27.85)</f>
        <v>27.85</v>
      </c>
      <c r="E2142" s="2">
        <f>IFERROR(__xludf.DUMMYFUNCTION("""COMPUTED_VALUE"""),27.97)</f>
        <v>27.97</v>
      </c>
      <c r="F2142" s="2">
        <f>IFERROR(__xludf.DUMMYFUNCTION("""COMPUTED_VALUE"""),936500.0)</f>
        <v>936500</v>
      </c>
    </row>
    <row r="2143">
      <c r="A2143" s="3">
        <f>IFERROR(__xludf.DUMMYFUNCTION("""COMPUTED_VALUE"""),32315.666666666668)</f>
        <v>32315.66667</v>
      </c>
      <c r="B2143" s="2">
        <f>IFERROR(__xludf.DUMMYFUNCTION("""COMPUTED_VALUE"""),28.71)</f>
        <v>28.71</v>
      </c>
      <c r="C2143" s="2">
        <f>IFERROR(__xludf.DUMMYFUNCTION("""COMPUTED_VALUE"""),28.74)</f>
        <v>28.74</v>
      </c>
      <c r="D2143" s="2">
        <f>IFERROR(__xludf.DUMMYFUNCTION("""COMPUTED_VALUE"""),28.06)</f>
        <v>28.06</v>
      </c>
      <c r="E2143" s="2">
        <f>IFERROR(__xludf.DUMMYFUNCTION("""COMPUTED_VALUE"""),28.71)</f>
        <v>28.71</v>
      </c>
      <c r="F2143" s="2">
        <f>IFERROR(__xludf.DUMMYFUNCTION("""COMPUTED_VALUE"""),2113600.0)</f>
        <v>2113600</v>
      </c>
    </row>
    <row r="2144">
      <c r="A2144" s="3">
        <f>IFERROR(__xludf.DUMMYFUNCTION("""COMPUTED_VALUE"""),32316.666666666668)</f>
        <v>32316.66667</v>
      </c>
      <c r="B2144" s="2">
        <f>IFERROR(__xludf.DUMMYFUNCTION("""COMPUTED_VALUE"""),29.37)</f>
        <v>29.37</v>
      </c>
      <c r="C2144" s="2">
        <f>IFERROR(__xludf.DUMMYFUNCTION("""COMPUTED_VALUE"""),29.52)</f>
        <v>29.52</v>
      </c>
      <c r="D2144" s="2">
        <f>IFERROR(__xludf.DUMMYFUNCTION("""COMPUTED_VALUE"""),29.28)</f>
        <v>29.28</v>
      </c>
      <c r="E2144" s="2">
        <f>IFERROR(__xludf.DUMMYFUNCTION("""COMPUTED_VALUE"""),29.37)</f>
        <v>29.37</v>
      </c>
      <c r="F2144" s="2">
        <f>IFERROR(__xludf.DUMMYFUNCTION("""COMPUTED_VALUE"""),4090000.0)</f>
        <v>4090000</v>
      </c>
    </row>
    <row r="2145">
      <c r="A2145" s="3">
        <f>IFERROR(__xludf.DUMMYFUNCTION("""COMPUTED_VALUE"""),32317.666666666668)</f>
        <v>32317.66667</v>
      </c>
      <c r="B2145" s="2">
        <f>IFERROR(__xludf.DUMMYFUNCTION("""COMPUTED_VALUE"""),30.03)</f>
        <v>30.03</v>
      </c>
      <c r="C2145" s="2">
        <f>IFERROR(__xludf.DUMMYFUNCTION("""COMPUTED_VALUE"""),30.06)</f>
        <v>30.06</v>
      </c>
      <c r="D2145" s="2">
        <f>IFERROR(__xludf.DUMMYFUNCTION("""COMPUTED_VALUE"""),29.31)</f>
        <v>29.31</v>
      </c>
      <c r="E2145" s="2">
        <f>IFERROR(__xludf.DUMMYFUNCTION("""COMPUTED_VALUE"""),30.03)</f>
        <v>30.03</v>
      </c>
      <c r="F2145" s="2">
        <f>IFERROR(__xludf.DUMMYFUNCTION("""COMPUTED_VALUE"""),2924000.0)</f>
        <v>2924000</v>
      </c>
    </row>
    <row r="2146">
      <c r="A2146" s="3">
        <f>IFERROR(__xludf.DUMMYFUNCTION("""COMPUTED_VALUE"""),32318.666666666668)</f>
        <v>32318.66667</v>
      </c>
      <c r="B2146" s="2">
        <f>IFERROR(__xludf.DUMMYFUNCTION("""COMPUTED_VALUE"""),29.88)</f>
        <v>29.88</v>
      </c>
      <c r="C2146" s="2">
        <f>IFERROR(__xludf.DUMMYFUNCTION("""COMPUTED_VALUE"""),30.15)</f>
        <v>30.15</v>
      </c>
      <c r="D2146" s="2">
        <f>IFERROR(__xludf.DUMMYFUNCTION("""COMPUTED_VALUE"""),29.79)</f>
        <v>29.79</v>
      </c>
      <c r="E2146" s="2">
        <f>IFERROR(__xludf.DUMMYFUNCTION("""COMPUTED_VALUE"""),29.88)</f>
        <v>29.88</v>
      </c>
      <c r="F2146" s="2">
        <f>IFERROR(__xludf.DUMMYFUNCTION("""COMPUTED_VALUE"""),1686700.0)</f>
        <v>1686700</v>
      </c>
    </row>
    <row r="2147">
      <c r="A2147" s="3">
        <f>IFERROR(__xludf.DUMMYFUNCTION("""COMPUTED_VALUE"""),32321.666666666668)</f>
        <v>32321.66667</v>
      </c>
      <c r="B2147" s="2">
        <f>IFERROR(__xludf.DUMMYFUNCTION("""COMPUTED_VALUE"""),29.85)</f>
        <v>29.85</v>
      </c>
      <c r="C2147" s="2">
        <f>IFERROR(__xludf.DUMMYFUNCTION("""COMPUTED_VALUE"""),30.15)</f>
        <v>30.15</v>
      </c>
      <c r="D2147" s="2">
        <f>IFERROR(__xludf.DUMMYFUNCTION("""COMPUTED_VALUE"""),29.79)</f>
        <v>29.79</v>
      </c>
      <c r="E2147" s="2">
        <f>IFERROR(__xludf.DUMMYFUNCTION("""COMPUTED_VALUE"""),29.85)</f>
        <v>29.85</v>
      </c>
      <c r="F2147" s="2">
        <f>IFERROR(__xludf.DUMMYFUNCTION("""COMPUTED_VALUE"""),1696700.0)</f>
        <v>1696700</v>
      </c>
    </row>
    <row r="2148">
      <c r="A2148" s="3">
        <f>IFERROR(__xludf.DUMMYFUNCTION("""COMPUTED_VALUE"""),32322.666666666668)</f>
        <v>32322.66667</v>
      </c>
      <c r="B2148" s="2">
        <f>IFERROR(__xludf.DUMMYFUNCTION("""COMPUTED_VALUE"""),30.33)</f>
        <v>30.33</v>
      </c>
      <c r="C2148" s="2">
        <f>IFERROR(__xludf.DUMMYFUNCTION("""COMPUTED_VALUE"""),30.51)</f>
        <v>30.51</v>
      </c>
      <c r="D2148" s="2">
        <f>IFERROR(__xludf.DUMMYFUNCTION("""COMPUTED_VALUE"""),29.85)</f>
        <v>29.85</v>
      </c>
      <c r="E2148" s="2">
        <f>IFERROR(__xludf.DUMMYFUNCTION("""COMPUTED_VALUE"""),30.33)</f>
        <v>30.33</v>
      </c>
      <c r="F2148" s="2">
        <f>IFERROR(__xludf.DUMMYFUNCTION("""COMPUTED_VALUE"""),1838600.0)</f>
        <v>1838600</v>
      </c>
    </row>
    <row r="2149">
      <c r="A2149" s="3">
        <f>IFERROR(__xludf.DUMMYFUNCTION("""COMPUTED_VALUE"""),32323.666666666668)</f>
        <v>32323.66667</v>
      </c>
      <c r="B2149" s="2">
        <f>IFERROR(__xludf.DUMMYFUNCTION("""COMPUTED_VALUE"""),30.33)</f>
        <v>30.33</v>
      </c>
      <c r="C2149" s="2">
        <f>IFERROR(__xludf.DUMMYFUNCTION("""COMPUTED_VALUE"""),30.65)</f>
        <v>30.65</v>
      </c>
      <c r="D2149" s="2">
        <f>IFERROR(__xludf.DUMMYFUNCTION("""COMPUTED_VALUE"""),30.18)</f>
        <v>30.18</v>
      </c>
      <c r="E2149" s="2">
        <f>IFERROR(__xludf.DUMMYFUNCTION("""COMPUTED_VALUE"""),30.33)</f>
        <v>30.33</v>
      </c>
      <c r="F2149" s="2">
        <f>IFERROR(__xludf.DUMMYFUNCTION("""COMPUTED_VALUE"""),2155900.0)</f>
        <v>2155900</v>
      </c>
    </row>
    <row r="2150">
      <c r="A2150" s="3">
        <f>IFERROR(__xludf.DUMMYFUNCTION("""COMPUTED_VALUE"""),32324.666666666668)</f>
        <v>32324.66667</v>
      </c>
      <c r="B2150" s="2">
        <f>IFERROR(__xludf.DUMMYFUNCTION("""COMPUTED_VALUE"""),30.42)</f>
        <v>30.42</v>
      </c>
      <c r="C2150" s="2">
        <f>IFERROR(__xludf.DUMMYFUNCTION("""COMPUTED_VALUE"""),30.51)</f>
        <v>30.51</v>
      </c>
      <c r="D2150" s="2">
        <f>IFERROR(__xludf.DUMMYFUNCTION("""COMPUTED_VALUE"""),30.27)</f>
        <v>30.27</v>
      </c>
      <c r="E2150" s="2">
        <f>IFERROR(__xludf.DUMMYFUNCTION("""COMPUTED_VALUE"""),30.42)</f>
        <v>30.42</v>
      </c>
      <c r="F2150" s="2">
        <f>IFERROR(__xludf.DUMMYFUNCTION("""COMPUTED_VALUE"""),1584100.0)</f>
        <v>1584100</v>
      </c>
    </row>
    <row r="2151">
      <c r="A2151" s="3">
        <f>IFERROR(__xludf.DUMMYFUNCTION("""COMPUTED_VALUE"""),32325.666666666668)</f>
        <v>32325.66667</v>
      </c>
      <c r="B2151" s="2">
        <f>IFERROR(__xludf.DUMMYFUNCTION("""COMPUTED_VALUE"""),30.24)</f>
        <v>30.24</v>
      </c>
      <c r="C2151" s="2">
        <f>IFERROR(__xludf.DUMMYFUNCTION("""COMPUTED_VALUE"""),30.51)</f>
        <v>30.51</v>
      </c>
      <c r="D2151" s="2">
        <f>IFERROR(__xludf.DUMMYFUNCTION("""COMPUTED_VALUE"""),30.03)</f>
        <v>30.03</v>
      </c>
      <c r="E2151" s="2">
        <f>IFERROR(__xludf.DUMMYFUNCTION("""COMPUTED_VALUE"""),30.24)</f>
        <v>30.24</v>
      </c>
      <c r="F2151" s="2">
        <f>IFERROR(__xludf.DUMMYFUNCTION("""COMPUTED_VALUE"""),1062400.0)</f>
        <v>1062400</v>
      </c>
    </row>
    <row r="2152">
      <c r="A2152" s="3">
        <f>IFERROR(__xludf.DUMMYFUNCTION("""COMPUTED_VALUE"""),32329.666666666668)</f>
        <v>32329.66667</v>
      </c>
      <c r="B2152" s="2">
        <f>IFERROR(__xludf.DUMMYFUNCTION("""COMPUTED_VALUE"""),30.86)</f>
        <v>30.86</v>
      </c>
      <c r="C2152" s="2">
        <f>IFERROR(__xludf.DUMMYFUNCTION("""COMPUTED_VALUE"""),30.86)</f>
        <v>30.86</v>
      </c>
      <c r="D2152" s="2">
        <f>IFERROR(__xludf.DUMMYFUNCTION("""COMPUTED_VALUE"""),30.09)</f>
        <v>30.09</v>
      </c>
      <c r="E2152" s="2">
        <f>IFERROR(__xludf.DUMMYFUNCTION("""COMPUTED_VALUE"""),30.86)</f>
        <v>30.86</v>
      </c>
      <c r="F2152" s="2">
        <f>IFERROR(__xludf.DUMMYFUNCTION("""COMPUTED_VALUE"""),1337300.0)</f>
        <v>1337300</v>
      </c>
    </row>
    <row r="2153">
      <c r="A2153" s="3">
        <f>IFERROR(__xludf.DUMMYFUNCTION("""COMPUTED_VALUE"""),32330.666666666668)</f>
        <v>32330.66667</v>
      </c>
      <c r="B2153" s="2">
        <f>IFERROR(__xludf.DUMMYFUNCTION("""COMPUTED_VALUE"""),30.3)</f>
        <v>30.3</v>
      </c>
      <c r="C2153" s="2">
        <f>IFERROR(__xludf.DUMMYFUNCTION("""COMPUTED_VALUE"""),30.92)</f>
        <v>30.92</v>
      </c>
      <c r="D2153" s="2">
        <f>IFERROR(__xludf.DUMMYFUNCTION("""COMPUTED_VALUE"""),30.09)</f>
        <v>30.09</v>
      </c>
      <c r="E2153" s="2">
        <f>IFERROR(__xludf.DUMMYFUNCTION("""COMPUTED_VALUE"""),30.3)</f>
        <v>30.3</v>
      </c>
      <c r="F2153" s="2">
        <f>IFERROR(__xludf.DUMMYFUNCTION("""COMPUTED_VALUE"""),2029300.0)</f>
        <v>2029300</v>
      </c>
    </row>
    <row r="2154">
      <c r="A2154" s="3">
        <f>IFERROR(__xludf.DUMMYFUNCTION("""COMPUTED_VALUE"""),32331.666666666668)</f>
        <v>32331.66667</v>
      </c>
      <c r="B2154" s="2">
        <f>IFERROR(__xludf.DUMMYFUNCTION("""COMPUTED_VALUE"""),30.48)</f>
        <v>30.48</v>
      </c>
      <c r="C2154" s="2">
        <f>IFERROR(__xludf.DUMMYFUNCTION("""COMPUTED_VALUE"""),30.54)</f>
        <v>30.54</v>
      </c>
      <c r="D2154" s="2">
        <f>IFERROR(__xludf.DUMMYFUNCTION("""COMPUTED_VALUE"""),30.18)</f>
        <v>30.18</v>
      </c>
      <c r="E2154" s="2">
        <f>IFERROR(__xludf.DUMMYFUNCTION("""COMPUTED_VALUE"""),30.48)</f>
        <v>30.48</v>
      </c>
      <c r="F2154" s="2">
        <f>IFERROR(__xludf.DUMMYFUNCTION("""COMPUTED_VALUE"""),2065700.0)</f>
        <v>2065700</v>
      </c>
    </row>
    <row r="2155">
      <c r="A2155" s="3">
        <f>IFERROR(__xludf.DUMMYFUNCTION("""COMPUTED_VALUE"""),32332.666666666668)</f>
        <v>32332.66667</v>
      </c>
      <c r="B2155" s="2">
        <f>IFERROR(__xludf.DUMMYFUNCTION("""COMPUTED_VALUE"""),30.18)</f>
        <v>30.18</v>
      </c>
      <c r="C2155" s="2">
        <f>IFERROR(__xludf.DUMMYFUNCTION("""COMPUTED_VALUE"""),30.62)</f>
        <v>30.62</v>
      </c>
      <c r="D2155" s="2">
        <f>IFERROR(__xludf.DUMMYFUNCTION("""COMPUTED_VALUE"""),30.15)</f>
        <v>30.15</v>
      </c>
      <c r="E2155" s="2">
        <f>IFERROR(__xludf.DUMMYFUNCTION("""COMPUTED_VALUE"""),30.18)</f>
        <v>30.18</v>
      </c>
      <c r="F2155" s="2">
        <f>IFERROR(__xludf.DUMMYFUNCTION("""COMPUTED_VALUE"""),1449400.0)</f>
        <v>1449400</v>
      </c>
    </row>
    <row r="2156">
      <c r="A2156" s="3">
        <f>IFERROR(__xludf.DUMMYFUNCTION("""COMPUTED_VALUE"""),32335.666666666668)</f>
        <v>32335.66667</v>
      </c>
      <c r="B2156" s="2">
        <f>IFERROR(__xludf.DUMMYFUNCTION("""COMPUTED_VALUE"""),30.27)</f>
        <v>30.27</v>
      </c>
      <c r="C2156" s="2">
        <f>IFERROR(__xludf.DUMMYFUNCTION("""COMPUTED_VALUE"""),30.42)</f>
        <v>30.42</v>
      </c>
      <c r="D2156" s="2">
        <f>IFERROR(__xludf.DUMMYFUNCTION("""COMPUTED_VALUE"""),30.18)</f>
        <v>30.18</v>
      </c>
      <c r="E2156" s="2">
        <f>IFERROR(__xludf.DUMMYFUNCTION("""COMPUTED_VALUE"""),30.27)</f>
        <v>30.27</v>
      </c>
      <c r="F2156" s="2">
        <f>IFERROR(__xludf.DUMMYFUNCTION("""COMPUTED_VALUE"""),758400.0)</f>
        <v>758400</v>
      </c>
    </row>
    <row r="2157">
      <c r="A2157" s="3">
        <f>IFERROR(__xludf.DUMMYFUNCTION("""COMPUTED_VALUE"""),32336.666666666668)</f>
        <v>32336.66667</v>
      </c>
      <c r="B2157" s="2">
        <f>IFERROR(__xludf.DUMMYFUNCTION("""COMPUTED_VALUE"""),29.91)</f>
        <v>29.91</v>
      </c>
      <c r="C2157" s="2">
        <f>IFERROR(__xludf.DUMMYFUNCTION("""COMPUTED_VALUE"""),30.42)</f>
        <v>30.42</v>
      </c>
      <c r="D2157" s="2">
        <f>IFERROR(__xludf.DUMMYFUNCTION("""COMPUTED_VALUE"""),29.7)</f>
        <v>29.7</v>
      </c>
      <c r="E2157" s="2">
        <f>IFERROR(__xludf.DUMMYFUNCTION("""COMPUTED_VALUE"""),29.91)</f>
        <v>29.91</v>
      </c>
      <c r="F2157" s="2">
        <f>IFERROR(__xludf.DUMMYFUNCTION("""COMPUTED_VALUE"""),1646400.0)</f>
        <v>1646400</v>
      </c>
    </row>
    <row r="2158">
      <c r="A2158" s="3">
        <f>IFERROR(__xludf.DUMMYFUNCTION("""COMPUTED_VALUE"""),32337.666666666668)</f>
        <v>32337.66667</v>
      </c>
      <c r="B2158" s="2">
        <f>IFERROR(__xludf.DUMMYFUNCTION("""COMPUTED_VALUE"""),29.91)</f>
        <v>29.91</v>
      </c>
      <c r="C2158" s="2">
        <f>IFERROR(__xludf.DUMMYFUNCTION("""COMPUTED_VALUE"""),30.0)</f>
        <v>30</v>
      </c>
      <c r="D2158" s="2">
        <f>IFERROR(__xludf.DUMMYFUNCTION("""COMPUTED_VALUE"""),29.49)</f>
        <v>29.49</v>
      </c>
      <c r="E2158" s="2">
        <f>IFERROR(__xludf.DUMMYFUNCTION("""COMPUTED_VALUE"""),29.91)</f>
        <v>29.91</v>
      </c>
      <c r="F2158" s="2">
        <f>IFERROR(__xludf.DUMMYFUNCTION("""COMPUTED_VALUE"""),1681900.0)</f>
        <v>1681900</v>
      </c>
    </row>
    <row r="2159">
      <c r="A2159" s="3">
        <f>IFERROR(__xludf.DUMMYFUNCTION("""COMPUTED_VALUE"""),32338.666666666668)</f>
        <v>32338.66667</v>
      </c>
      <c r="B2159" s="2">
        <f>IFERROR(__xludf.DUMMYFUNCTION("""COMPUTED_VALUE"""),29.79)</f>
        <v>29.79</v>
      </c>
      <c r="C2159" s="2">
        <f>IFERROR(__xludf.DUMMYFUNCTION("""COMPUTED_VALUE"""),30.03)</f>
        <v>30.03</v>
      </c>
      <c r="D2159" s="2">
        <f>IFERROR(__xludf.DUMMYFUNCTION("""COMPUTED_VALUE"""),29.76)</f>
        <v>29.76</v>
      </c>
      <c r="E2159" s="2">
        <f>IFERROR(__xludf.DUMMYFUNCTION("""COMPUTED_VALUE"""),29.79)</f>
        <v>29.79</v>
      </c>
      <c r="F2159" s="2">
        <f>IFERROR(__xludf.DUMMYFUNCTION("""COMPUTED_VALUE"""),1287700.0)</f>
        <v>1287700</v>
      </c>
    </row>
    <row r="2160">
      <c r="A2160" s="3">
        <f>IFERROR(__xludf.DUMMYFUNCTION("""COMPUTED_VALUE"""),32339.666666666668)</f>
        <v>32339.66667</v>
      </c>
      <c r="B2160" s="2">
        <f>IFERROR(__xludf.DUMMYFUNCTION("""COMPUTED_VALUE"""),29.97)</f>
        <v>29.97</v>
      </c>
      <c r="C2160" s="2">
        <f>IFERROR(__xludf.DUMMYFUNCTION("""COMPUTED_VALUE"""),30.15)</f>
        <v>30.15</v>
      </c>
      <c r="D2160" s="2">
        <f>IFERROR(__xludf.DUMMYFUNCTION("""COMPUTED_VALUE"""),29.85)</f>
        <v>29.85</v>
      </c>
      <c r="E2160" s="2">
        <f>IFERROR(__xludf.DUMMYFUNCTION("""COMPUTED_VALUE"""),29.97)</f>
        <v>29.97</v>
      </c>
      <c r="F2160" s="2">
        <f>IFERROR(__xludf.DUMMYFUNCTION("""COMPUTED_VALUE"""),1972700.0)</f>
        <v>1972700</v>
      </c>
    </row>
    <row r="2161">
      <c r="A2161" s="3">
        <f>IFERROR(__xludf.DUMMYFUNCTION("""COMPUTED_VALUE"""),32342.666666666668)</f>
        <v>32342.66667</v>
      </c>
      <c r="B2161" s="2">
        <f>IFERROR(__xludf.DUMMYFUNCTION("""COMPUTED_VALUE"""),29.88)</f>
        <v>29.88</v>
      </c>
      <c r="C2161" s="2">
        <f>IFERROR(__xludf.DUMMYFUNCTION("""COMPUTED_VALUE"""),30.15)</f>
        <v>30.15</v>
      </c>
      <c r="D2161" s="2">
        <f>IFERROR(__xludf.DUMMYFUNCTION("""COMPUTED_VALUE"""),29.82)</f>
        <v>29.82</v>
      </c>
      <c r="E2161" s="2">
        <f>IFERROR(__xludf.DUMMYFUNCTION("""COMPUTED_VALUE"""),29.88)</f>
        <v>29.88</v>
      </c>
      <c r="F2161" s="2">
        <f>IFERROR(__xludf.DUMMYFUNCTION("""COMPUTED_VALUE"""),1723000.0)</f>
        <v>1723000</v>
      </c>
    </row>
    <row r="2162">
      <c r="A2162" s="3">
        <f>IFERROR(__xludf.DUMMYFUNCTION("""COMPUTED_VALUE"""),32343.666666666668)</f>
        <v>32343.66667</v>
      </c>
      <c r="B2162" s="2">
        <f>IFERROR(__xludf.DUMMYFUNCTION("""COMPUTED_VALUE"""),29.61)</f>
        <v>29.61</v>
      </c>
      <c r="C2162" s="2">
        <f>IFERROR(__xludf.DUMMYFUNCTION("""COMPUTED_VALUE"""),29.94)</f>
        <v>29.94</v>
      </c>
      <c r="D2162" s="2">
        <f>IFERROR(__xludf.DUMMYFUNCTION("""COMPUTED_VALUE"""),29.4)</f>
        <v>29.4</v>
      </c>
      <c r="E2162" s="2">
        <f>IFERROR(__xludf.DUMMYFUNCTION("""COMPUTED_VALUE"""),29.61)</f>
        <v>29.61</v>
      </c>
      <c r="F2162" s="2">
        <f>IFERROR(__xludf.DUMMYFUNCTION("""COMPUTED_VALUE"""),1503500.0)</f>
        <v>1503500</v>
      </c>
    </row>
    <row r="2163">
      <c r="A2163" s="3">
        <f>IFERROR(__xludf.DUMMYFUNCTION("""COMPUTED_VALUE"""),32344.666666666668)</f>
        <v>32344.66667</v>
      </c>
      <c r="B2163" s="2">
        <f>IFERROR(__xludf.DUMMYFUNCTION("""COMPUTED_VALUE"""),29.61)</f>
        <v>29.61</v>
      </c>
      <c r="C2163" s="2">
        <f>IFERROR(__xludf.DUMMYFUNCTION("""COMPUTED_VALUE"""),29.79)</f>
        <v>29.79</v>
      </c>
      <c r="D2163" s="2">
        <f>IFERROR(__xludf.DUMMYFUNCTION("""COMPUTED_VALUE"""),29.46)</f>
        <v>29.46</v>
      </c>
      <c r="E2163" s="2">
        <f>IFERROR(__xludf.DUMMYFUNCTION("""COMPUTED_VALUE"""),29.61)</f>
        <v>29.61</v>
      </c>
      <c r="F2163" s="2">
        <f>IFERROR(__xludf.DUMMYFUNCTION("""COMPUTED_VALUE"""),1214200.0)</f>
        <v>1214200</v>
      </c>
    </row>
    <row r="2164">
      <c r="A2164" s="3">
        <f>IFERROR(__xludf.DUMMYFUNCTION("""COMPUTED_VALUE"""),32345.666666666668)</f>
        <v>32345.66667</v>
      </c>
      <c r="B2164" s="2">
        <f>IFERROR(__xludf.DUMMYFUNCTION("""COMPUTED_VALUE"""),29.07)</f>
        <v>29.07</v>
      </c>
      <c r="C2164" s="2">
        <f>IFERROR(__xludf.DUMMYFUNCTION("""COMPUTED_VALUE"""),29.52)</f>
        <v>29.52</v>
      </c>
      <c r="D2164" s="2">
        <f>IFERROR(__xludf.DUMMYFUNCTION("""COMPUTED_VALUE"""),29.01)</f>
        <v>29.01</v>
      </c>
      <c r="E2164" s="2">
        <f>IFERROR(__xludf.DUMMYFUNCTION("""COMPUTED_VALUE"""),29.07)</f>
        <v>29.07</v>
      </c>
      <c r="F2164" s="2">
        <f>IFERROR(__xludf.DUMMYFUNCTION("""COMPUTED_VALUE"""),1193200.0)</f>
        <v>1193200</v>
      </c>
    </row>
    <row r="2165">
      <c r="A2165" s="3">
        <f>IFERROR(__xludf.DUMMYFUNCTION("""COMPUTED_VALUE"""),32346.666666666668)</f>
        <v>32346.66667</v>
      </c>
      <c r="B2165" s="2">
        <f>IFERROR(__xludf.DUMMYFUNCTION("""COMPUTED_VALUE"""),28.68)</f>
        <v>28.68</v>
      </c>
      <c r="C2165" s="2">
        <f>IFERROR(__xludf.DUMMYFUNCTION("""COMPUTED_VALUE"""),29.04)</f>
        <v>29.04</v>
      </c>
      <c r="D2165" s="2">
        <f>IFERROR(__xludf.DUMMYFUNCTION("""COMPUTED_VALUE"""),28.65)</f>
        <v>28.65</v>
      </c>
      <c r="E2165" s="2">
        <f>IFERROR(__xludf.DUMMYFUNCTION("""COMPUTED_VALUE"""),28.68)</f>
        <v>28.68</v>
      </c>
      <c r="F2165" s="2">
        <f>IFERROR(__xludf.DUMMYFUNCTION("""COMPUTED_VALUE"""),1818700.0)</f>
        <v>1818700</v>
      </c>
    </row>
    <row r="2166">
      <c r="A2166" s="3">
        <f>IFERROR(__xludf.DUMMYFUNCTION("""COMPUTED_VALUE"""),32349.666666666668)</f>
        <v>32349.66667</v>
      </c>
      <c r="B2166" s="2">
        <f>IFERROR(__xludf.DUMMYFUNCTION("""COMPUTED_VALUE"""),29.22)</f>
        <v>29.22</v>
      </c>
      <c r="C2166" s="2">
        <f>IFERROR(__xludf.DUMMYFUNCTION("""COMPUTED_VALUE"""),29.22)</f>
        <v>29.22</v>
      </c>
      <c r="D2166" s="2">
        <f>IFERROR(__xludf.DUMMYFUNCTION("""COMPUTED_VALUE"""),28.71)</f>
        <v>28.71</v>
      </c>
      <c r="E2166" s="2">
        <f>IFERROR(__xludf.DUMMYFUNCTION("""COMPUTED_VALUE"""),29.22)</f>
        <v>29.22</v>
      </c>
      <c r="F2166" s="2">
        <f>IFERROR(__xludf.DUMMYFUNCTION("""COMPUTED_VALUE"""),1132600.0)</f>
        <v>1132600</v>
      </c>
    </row>
    <row r="2167">
      <c r="A2167" s="3">
        <f>IFERROR(__xludf.DUMMYFUNCTION("""COMPUTED_VALUE"""),32350.666666666668)</f>
        <v>32350.66667</v>
      </c>
      <c r="B2167" s="2">
        <f>IFERROR(__xludf.DUMMYFUNCTION("""COMPUTED_VALUE"""),29.28)</f>
        <v>29.28</v>
      </c>
      <c r="C2167" s="2">
        <f>IFERROR(__xludf.DUMMYFUNCTION("""COMPUTED_VALUE"""),29.46)</f>
        <v>29.46</v>
      </c>
      <c r="D2167" s="2">
        <f>IFERROR(__xludf.DUMMYFUNCTION("""COMPUTED_VALUE"""),29.22)</f>
        <v>29.22</v>
      </c>
      <c r="E2167" s="2">
        <f>IFERROR(__xludf.DUMMYFUNCTION("""COMPUTED_VALUE"""),29.28)</f>
        <v>29.28</v>
      </c>
      <c r="F2167" s="2">
        <f>IFERROR(__xludf.DUMMYFUNCTION("""COMPUTED_VALUE"""),1308000.0)</f>
        <v>1308000</v>
      </c>
    </row>
    <row r="2168">
      <c r="A2168" s="3">
        <f>IFERROR(__xludf.DUMMYFUNCTION("""COMPUTED_VALUE"""),32351.666666666668)</f>
        <v>32351.66667</v>
      </c>
      <c r="B2168" s="2">
        <f>IFERROR(__xludf.DUMMYFUNCTION("""COMPUTED_VALUE"""),28.92)</f>
        <v>28.92</v>
      </c>
      <c r="C2168" s="2">
        <f>IFERROR(__xludf.DUMMYFUNCTION("""COMPUTED_VALUE"""),29.4)</f>
        <v>29.4</v>
      </c>
      <c r="D2168" s="2">
        <f>IFERROR(__xludf.DUMMYFUNCTION("""COMPUTED_VALUE"""),28.83)</f>
        <v>28.83</v>
      </c>
      <c r="E2168" s="2">
        <f>IFERROR(__xludf.DUMMYFUNCTION("""COMPUTED_VALUE"""),28.92)</f>
        <v>28.92</v>
      </c>
      <c r="F2168" s="2">
        <f>IFERROR(__xludf.DUMMYFUNCTION("""COMPUTED_VALUE"""),1292600.0)</f>
        <v>1292600</v>
      </c>
    </row>
    <row r="2169">
      <c r="A2169" s="3">
        <f>IFERROR(__xludf.DUMMYFUNCTION("""COMPUTED_VALUE"""),32352.666666666668)</f>
        <v>32352.66667</v>
      </c>
      <c r="B2169" s="2">
        <f>IFERROR(__xludf.DUMMYFUNCTION("""COMPUTED_VALUE"""),29.55)</f>
        <v>29.55</v>
      </c>
      <c r="C2169" s="2">
        <f>IFERROR(__xludf.DUMMYFUNCTION("""COMPUTED_VALUE"""),29.58)</f>
        <v>29.58</v>
      </c>
      <c r="D2169" s="2">
        <f>IFERROR(__xludf.DUMMYFUNCTION("""COMPUTED_VALUE"""),28.95)</f>
        <v>28.95</v>
      </c>
      <c r="E2169" s="2">
        <f>IFERROR(__xludf.DUMMYFUNCTION("""COMPUTED_VALUE"""),29.55)</f>
        <v>29.55</v>
      </c>
      <c r="F2169" s="2">
        <f>IFERROR(__xludf.DUMMYFUNCTION("""COMPUTED_VALUE"""),1211900.0)</f>
        <v>1211900</v>
      </c>
    </row>
    <row r="2170">
      <c r="A2170" s="3">
        <f>IFERROR(__xludf.DUMMYFUNCTION("""COMPUTED_VALUE"""),32353.666666666668)</f>
        <v>32353.66667</v>
      </c>
      <c r="B2170" s="2">
        <f>IFERROR(__xludf.DUMMYFUNCTION("""COMPUTED_VALUE"""),30.03)</f>
        <v>30.03</v>
      </c>
      <c r="C2170" s="2">
        <f>IFERROR(__xludf.DUMMYFUNCTION("""COMPUTED_VALUE"""),30.15)</f>
        <v>30.15</v>
      </c>
      <c r="D2170" s="2">
        <f>IFERROR(__xludf.DUMMYFUNCTION("""COMPUTED_VALUE"""),29.67)</f>
        <v>29.67</v>
      </c>
      <c r="E2170" s="2">
        <f>IFERROR(__xludf.DUMMYFUNCTION("""COMPUTED_VALUE"""),30.03)</f>
        <v>30.03</v>
      </c>
      <c r="F2170" s="2">
        <f>IFERROR(__xludf.DUMMYFUNCTION("""COMPUTED_VALUE"""),1833800.0)</f>
        <v>1833800</v>
      </c>
    </row>
    <row r="2171">
      <c r="A2171" s="3">
        <f>IFERROR(__xludf.DUMMYFUNCTION("""COMPUTED_VALUE"""),32356.666666666668)</f>
        <v>32356.66667</v>
      </c>
      <c r="B2171" s="2">
        <f>IFERROR(__xludf.DUMMYFUNCTION("""COMPUTED_VALUE"""),30.15)</f>
        <v>30.15</v>
      </c>
      <c r="C2171" s="2">
        <f>IFERROR(__xludf.DUMMYFUNCTION("""COMPUTED_VALUE"""),30.21)</f>
        <v>30.21</v>
      </c>
      <c r="D2171" s="2">
        <f>IFERROR(__xludf.DUMMYFUNCTION("""COMPUTED_VALUE"""),29.94)</f>
        <v>29.94</v>
      </c>
      <c r="E2171" s="2">
        <f>IFERROR(__xludf.DUMMYFUNCTION("""COMPUTED_VALUE"""),30.15)</f>
        <v>30.15</v>
      </c>
      <c r="F2171" s="2">
        <f>IFERROR(__xludf.DUMMYFUNCTION("""COMPUTED_VALUE"""),1086100.0)</f>
        <v>1086100</v>
      </c>
    </row>
    <row r="2172">
      <c r="A2172" s="3">
        <f>IFERROR(__xludf.DUMMYFUNCTION("""COMPUTED_VALUE"""),32357.666666666668)</f>
        <v>32357.66667</v>
      </c>
      <c r="B2172" s="2">
        <f>IFERROR(__xludf.DUMMYFUNCTION("""COMPUTED_VALUE"""),30.03)</f>
        <v>30.03</v>
      </c>
      <c r="C2172" s="2">
        <f>IFERROR(__xludf.DUMMYFUNCTION("""COMPUTED_VALUE"""),30.3)</f>
        <v>30.3</v>
      </c>
      <c r="D2172" s="2">
        <f>IFERROR(__xludf.DUMMYFUNCTION("""COMPUTED_VALUE"""),29.76)</f>
        <v>29.76</v>
      </c>
      <c r="E2172" s="2">
        <f>IFERROR(__xludf.DUMMYFUNCTION("""COMPUTED_VALUE"""),30.03)</f>
        <v>30.03</v>
      </c>
      <c r="F2172" s="2">
        <f>IFERROR(__xludf.DUMMYFUNCTION("""COMPUTED_VALUE"""),1338400.0)</f>
        <v>1338400</v>
      </c>
    </row>
    <row r="2173">
      <c r="A2173" s="3">
        <f>IFERROR(__xludf.DUMMYFUNCTION("""COMPUTED_VALUE"""),32358.666666666668)</f>
        <v>32358.66667</v>
      </c>
      <c r="B2173" s="2">
        <f>IFERROR(__xludf.DUMMYFUNCTION("""COMPUTED_VALUE"""),30.03)</f>
        <v>30.03</v>
      </c>
      <c r="C2173" s="2">
        <f>IFERROR(__xludf.DUMMYFUNCTION("""COMPUTED_VALUE"""),30.21)</f>
        <v>30.21</v>
      </c>
      <c r="D2173" s="2">
        <f>IFERROR(__xludf.DUMMYFUNCTION("""COMPUTED_VALUE"""),29.97)</f>
        <v>29.97</v>
      </c>
      <c r="E2173" s="2">
        <f>IFERROR(__xludf.DUMMYFUNCTION("""COMPUTED_VALUE"""),30.03)</f>
        <v>30.03</v>
      </c>
      <c r="F2173" s="2">
        <f>IFERROR(__xludf.DUMMYFUNCTION("""COMPUTED_VALUE"""),1921400.0)</f>
        <v>1921400</v>
      </c>
    </row>
    <row r="2174">
      <c r="A2174" s="3">
        <f>IFERROR(__xludf.DUMMYFUNCTION("""COMPUTED_VALUE"""),32359.666666666668)</f>
        <v>32359.66667</v>
      </c>
      <c r="B2174" s="2">
        <f>IFERROR(__xludf.DUMMYFUNCTION("""COMPUTED_VALUE"""),29.67)</f>
        <v>29.67</v>
      </c>
      <c r="C2174" s="2">
        <f>IFERROR(__xludf.DUMMYFUNCTION("""COMPUTED_VALUE"""),29.97)</f>
        <v>29.97</v>
      </c>
      <c r="D2174" s="2">
        <f>IFERROR(__xludf.DUMMYFUNCTION("""COMPUTED_VALUE"""),29.61)</f>
        <v>29.61</v>
      </c>
      <c r="E2174" s="2">
        <f>IFERROR(__xludf.DUMMYFUNCTION("""COMPUTED_VALUE"""),29.67)</f>
        <v>29.67</v>
      </c>
      <c r="F2174" s="2">
        <f>IFERROR(__xludf.DUMMYFUNCTION("""COMPUTED_VALUE"""),1113800.0)</f>
        <v>1113800</v>
      </c>
    </row>
    <row r="2175">
      <c r="A2175" s="3">
        <f>IFERROR(__xludf.DUMMYFUNCTION("""COMPUTED_VALUE"""),32360.666666666668)</f>
        <v>32360.66667</v>
      </c>
      <c r="B2175" s="2">
        <f>IFERROR(__xludf.DUMMYFUNCTION("""COMPUTED_VALUE"""),29.58)</f>
        <v>29.58</v>
      </c>
      <c r="C2175" s="2">
        <f>IFERROR(__xludf.DUMMYFUNCTION("""COMPUTED_VALUE"""),29.67)</f>
        <v>29.67</v>
      </c>
      <c r="D2175" s="2">
        <f>IFERROR(__xludf.DUMMYFUNCTION("""COMPUTED_VALUE"""),29.49)</f>
        <v>29.49</v>
      </c>
      <c r="E2175" s="2">
        <f>IFERROR(__xludf.DUMMYFUNCTION("""COMPUTED_VALUE"""),29.58)</f>
        <v>29.58</v>
      </c>
      <c r="F2175" s="2">
        <f>IFERROR(__xludf.DUMMYFUNCTION("""COMPUTED_VALUE"""),721000.0)</f>
        <v>721000</v>
      </c>
    </row>
    <row r="2176">
      <c r="A2176" s="3">
        <f>IFERROR(__xludf.DUMMYFUNCTION("""COMPUTED_VALUE"""),32363.666666666668)</f>
        <v>32363.66667</v>
      </c>
      <c r="B2176" s="2">
        <f>IFERROR(__xludf.DUMMYFUNCTION("""COMPUTED_VALUE"""),29.4)</f>
        <v>29.4</v>
      </c>
      <c r="C2176" s="2">
        <f>IFERROR(__xludf.DUMMYFUNCTION("""COMPUTED_VALUE"""),29.7)</f>
        <v>29.7</v>
      </c>
      <c r="D2176" s="2">
        <f>IFERROR(__xludf.DUMMYFUNCTION("""COMPUTED_VALUE"""),29.4)</f>
        <v>29.4</v>
      </c>
      <c r="E2176" s="2">
        <f>IFERROR(__xludf.DUMMYFUNCTION("""COMPUTED_VALUE"""),29.4)</f>
        <v>29.4</v>
      </c>
      <c r="F2176" s="2">
        <f>IFERROR(__xludf.DUMMYFUNCTION("""COMPUTED_VALUE"""),647000.0)</f>
        <v>647000</v>
      </c>
    </row>
    <row r="2177">
      <c r="A2177" s="3">
        <f>IFERROR(__xludf.DUMMYFUNCTION("""COMPUTED_VALUE"""),32364.666666666668)</f>
        <v>32364.66667</v>
      </c>
      <c r="B2177" s="2">
        <f>IFERROR(__xludf.DUMMYFUNCTION("""COMPUTED_VALUE"""),29.04)</f>
        <v>29.04</v>
      </c>
      <c r="C2177" s="2">
        <f>IFERROR(__xludf.DUMMYFUNCTION("""COMPUTED_VALUE"""),29.52)</f>
        <v>29.52</v>
      </c>
      <c r="D2177" s="2">
        <f>IFERROR(__xludf.DUMMYFUNCTION("""COMPUTED_VALUE"""),29.04)</f>
        <v>29.04</v>
      </c>
      <c r="E2177" s="2">
        <f>IFERROR(__xludf.DUMMYFUNCTION("""COMPUTED_VALUE"""),29.04)</f>
        <v>29.04</v>
      </c>
      <c r="F2177" s="2">
        <f>IFERROR(__xludf.DUMMYFUNCTION("""COMPUTED_VALUE"""),1626500.0)</f>
        <v>1626500</v>
      </c>
    </row>
    <row r="2178">
      <c r="A2178" s="3">
        <f>IFERROR(__xludf.DUMMYFUNCTION("""COMPUTED_VALUE"""),32365.666666666668)</f>
        <v>32365.66667</v>
      </c>
      <c r="B2178" s="2">
        <f>IFERROR(__xludf.DUMMYFUNCTION("""COMPUTED_VALUE"""),28.39)</f>
        <v>28.39</v>
      </c>
      <c r="C2178" s="2">
        <f>IFERROR(__xludf.DUMMYFUNCTION("""COMPUTED_VALUE"""),29.04)</f>
        <v>29.04</v>
      </c>
      <c r="D2178" s="2">
        <f>IFERROR(__xludf.DUMMYFUNCTION("""COMPUTED_VALUE"""),28.39)</f>
        <v>28.39</v>
      </c>
      <c r="E2178" s="2">
        <f>IFERROR(__xludf.DUMMYFUNCTION("""COMPUTED_VALUE"""),28.39)</f>
        <v>28.39</v>
      </c>
      <c r="F2178" s="2">
        <f>IFERROR(__xludf.DUMMYFUNCTION("""COMPUTED_VALUE"""),2036500.0)</f>
        <v>2036500</v>
      </c>
    </row>
    <row r="2179">
      <c r="A2179" s="3">
        <f>IFERROR(__xludf.DUMMYFUNCTION("""COMPUTED_VALUE"""),32366.666666666668)</f>
        <v>32366.66667</v>
      </c>
      <c r="B2179" s="2">
        <f>IFERROR(__xludf.DUMMYFUNCTION("""COMPUTED_VALUE"""),28.42)</f>
        <v>28.42</v>
      </c>
      <c r="C2179" s="2">
        <f>IFERROR(__xludf.DUMMYFUNCTION("""COMPUTED_VALUE"""),28.57)</f>
        <v>28.57</v>
      </c>
      <c r="D2179" s="2">
        <f>IFERROR(__xludf.DUMMYFUNCTION("""COMPUTED_VALUE"""),28.03)</f>
        <v>28.03</v>
      </c>
      <c r="E2179" s="2">
        <f>IFERROR(__xludf.DUMMYFUNCTION("""COMPUTED_VALUE"""),28.42)</f>
        <v>28.42</v>
      </c>
      <c r="F2179" s="2">
        <f>IFERROR(__xludf.DUMMYFUNCTION("""COMPUTED_VALUE"""),1903000.0)</f>
        <v>1903000</v>
      </c>
    </row>
    <row r="2180">
      <c r="A2180" s="3">
        <f>IFERROR(__xludf.DUMMYFUNCTION("""COMPUTED_VALUE"""),32367.666666666668)</f>
        <v>32367.66667</v>
      </c>
      <c r="B2180" s="2">
        <f>IFERROR(__xludf.DUMMYFUNCTION("""COMPUTED_VALUE"""),28.18)</f>
        <v>28.18</v>
      </c>
      <c r="C2180" s="2">
        <f>IFERROR(__xludf.DUMMYFUNCTION("""COMPUTED_VALUE"""),28.36)</f>
        <v>28.36</v>
      </c>
      <c r="D2180" s="2">
        <f>IFERROR(__xludf.DUMMYFUNCTION("""COMPUTED_VALUE"""),28.15)</f>
        <v>28.15</v>
      </c>
      <c r="E2180" s="2">
        <f>IFERROR(__xludf.DUMMYFUNCTION("""COMPUTED_VALUE"""),28.18)</f>
        <v>28.18</v>
      </c>
      <c r="F2180" s="2">
        <f>IFERROR(__xludf.DUMMYFUNCTION("""COMPUTED_VALUE"""),935500.0)</f>
        <v>935500</v>
      </c>
    </row>
    <row r="2181">
      <c r="A2181" s="3">
        <f>IFERROR(__xludf.DUMMYFUNCTION("""COMPUTED_VALUE"""),32370.666666666668)</f>
        <v>32370.66667</v>
      </c>
      <c r="B2181" s="2">
        <f>IFERROR(__xludf.DUMMYFUNCTION("""COMPUTED_VALUE"""),27.49)</f>
        <v>27.49</v>
      </c>
      <c r="C2181" s="2">
        <f>IFERROR(__xludf.DUMMYFUNCTION("""COMPUTED_VALUE"""),28.15)</f>
        <v>28.15</v>
      </c>
      <c r="D2181" s="2">
        <f>IFERROR(__xludf.DUMMYFUNCTION("""COMPUTED_VALUE"""),27.46)</f>
        <v>27.46</v>
      </c>
      <c r="E2181" s="2">
        <f>IFERROR(__xludf.DUMMYFUNCTION("""COMPUTED_VALUE"""),27.49)</f>
        <v>27.49</v>
      </c>
      <c r="F2181" s="2">
        <f>IFERROR(__xludf.DUMMYFUNCTION("""COMPUTED_VALUE"""),1664000.0)</f>
        <v>1664000</v>
      </c>
    </row>
    <row r="2182">
      <c r="A2182" s="3">
        <f>IFERROR(__xludf.DUMMYFUNCTION("""COMPUTED_VALUE"""),32371.666666666668)</f>
        <v>32371.66667</v>
      </c>
      <c r="B2182" s="2">
        <f>IFERROR(__xludf.DUMMYFUNCTION("""COMPUTED_VALUE"""),27.64)</f>
        <v>27.64</v>
      </c>
      <c r="C2182" s="2">
        <f>IFERROR(__xludf.DUMMYFUNCTION("""COMPUTED_VALUE"""),27.88)</f>
        <v>27.88</v>
      </c>
      <c r="D2182" s="2">
        <f>IFERROR(__xludf.DUMMYFUNCTION("""COMPUTED_VALUE"""),27.37)</f>
        <v>27.37</v>
      </c>
      <c r="E2182" s="2">
        <f>IFERROR(__xludf.DUMMYFUNCTION("""COMPUTED_VALUE"""),27.64)</f>
        <v>27.64</v>
      </c>
      <c r="F2182" s="2">
        <f>IFERROR(__xludf.DUMMYFUNCTION("""COMPUTED_VALUE"""),2204000.0)</f>
        <v>2204000</v>
      </c>
    </row>
    <row r="2183">
      <c r="A2183" s="3">
        <f>IFERROR(__xludf.DUMMYFUNCTION("""COMPUTED_VALUE"""),32372.666666666668)</f>
        <v>32372.66667</v>
      </c>
      <c r="B2183" s="2">
        <f>IFERROR(__xludf.DUMMYFUNCTION("""COMPUTED_VALUE"""),27.37)</f>
        <v>27.37</v>
      </c>
      <c r="C2183" s="2">
        <f>IFERROR(__xludf.DUMMYFUNCTION("""COMPUTED_VALUE"""),27.79)</f>
        <v>27.79</v>
      </c>
      <c r="D2183" s="2">
        <f>IFERROR(__xludf.DUMMYFUNCTION("""COMPUTED_VALUE"""),27.16)</f>
        <v>27.16</v>
      </c>
      <c r="E2183" s="2">
        <f>IFERROR(__xludf.DUMMYFUNCTION("""COMPUTED_VALUE"""),27.37)</f>
        <v>27.37</v>
      </c>
      <c r="F2183" s="2">
        <f>IFERROR(__xludf.DUMMYFUNCTION("""COMPUTED_VALUE"""),1467700.0)</f>
        <v>1467700</v>
      </c>
    </row>
    <row r="2184">
      <c r="A2184" s="3">
        <f>IFERROR(__xludf.DUMMYFUNCTION("""COMPUTED_VALUE"""),32373.666666666668)</f>
        <v>32373.66667</v>
      </c>
      <c r="B2184" s="2">
        <f>IFERROR(__xludf.DUMMYFUNCTION("""COMPUTED_VALUE"""),27.37)</f>
        <v>27.37</v>
      </c>
      <c r="C2184" s="2">
        <f>IFERROR(__xludf.DUMMYFUNCTION("""COMPUTED_VALUE"""),27.58)</f>
        <v>27.58</v>
      </c>
      <c r="D2184" s="2">
        <f>IFERROR(__xludf.DUMMYFUNCTION("""COMPUTED_VALUE"""),27.25)</f>
        <v>27.25</v>
      </c>
      <c r="E2184" s="2">
        <f>IFERROR(__xludf.DUMMYFUNCTION("""COMPUTED_VALUE"""),27.37)</f>
        <v>27.37</v>
      </c>
      <c r="F2184" s="2">
        <f>IFERROR(__xludf.DUMMYFUNCTION("""COMPUTED_VALUE"""),908400.0)</f>
        <v>908400</v>
      </c>
    </row>
    <row r="2185">
      <c r="A2185" s="3">
        <f>IFERROR(__xludf.DUMMYFUNCTION("""COMPUTED_VALUE"""),32374.666666666668)</f>
        <v>32374.66667</v>
      </c>
      <c r="B2185" s="2">
        <f>IFERROR(__xludf.DUMMYFUNCTION("""COMPUTED_VALUE"""),26.92)</f>
        <v>26.92</v>
      </c>
      <c r="C2185" s="2">
        <f>IFERROR(__xludf.DUMMYFUNCTION("""COMPUTED_VALUE"""),27.46)</f>
        <v>27.46</v>
      </c>
      <c r="D2185" s="2">
        <f>IFERROR(__xludf.DUMMYFUNCTION("""COMPUTED_VALUE"""),26.86)</f>
        <v>26.86</v>
      </c>
      <c r="E2185" s="2">
        <f>IFERROR(__xludf.DUMMYFUNCTION("""COMPUTED_VALUE"""),26.92)</f>
        <v>26.92</v>
      </c>
      <c r="F2185" s="2">
        <f>IFERROR(__xludf.DUMMYFUNCTION("""COMPUTED_VALUE"""),1319900.0)</f>
        <v>1319900</v>
      </c>
    </row>
    <row r="2186">
      <c r="A2186" s="3">
        <f>IFERROR(__xludf.DUMMYFUNCTION("""COMPUTED_VALUE"""),32377.666666666668)</f>
        <v>32377.66667</v>
      </c>
      <c r="B2186" s="2">
        <f>IFERROR(__xludf.DUMMYFUNCTION("""COMPUTED_VALUE"""),26.45)</f>
        <v>26.45</v>
      </c>
      <c r="C2186" s="2">
        <f>IFERROR(__xludf.DUMMYFUNCTION("""COMPUTED_VALUE"""),27.01)</f>
        <v>27.01</v>
      </c>
      <c r="D2186" s="2">
        <f>IFERROR(__xludf.DUMMYFUNCTION("""COMPUTED_VALUE"""),26.45)</f>
        <v>26.45</v>
      </c>
      <c r="E2186" s="2">
        <f>IFERROR(__xludf.DUMMYFUNCTION("""COMPUTED_VALUE"""),26.45)</f>
        <v>26.45</v>
      </c>
      <c r="F2186" s="2">
        <f>IFERROR(__xludf.DUMMYFUNCTION("""COMPUTED_VALUE"""),1119800.0)</f>
        <v>1119800</v>
      </c>
    </row>
    <row r="2187">
      <c r="A2187" s="3">
        <f>IFERROR(__xludf.DUMMYFUNCTION("""COMPUTED_VALUE"""),32378.666666666668)</f>
        <v>32378.66667</v>
      </c>
      <c r="B2187" s="2">
        <f>IFERROR(__xludf.DUMMYFUNCTION("""COMPUTED_VALUE"""),26.48)</f>
        <v>26.48</v>
      </c>
      <c r="C2187" s="2">
        <f>IFERROR(__xludf.DUMMYFUNCTION("""COMPUTED_VALUE"""),26.68)</f>
        <v>26.68</v>
      </c>
      <c r="D2187" s="2">
        <f>IFERROR(__xludf.DUMMYFUNCTION("""COMPUTED_VALUE"""),26.36)</f>
        <v>26.36</v>
      </c>
      <c r="E2187" s="2">
        <f>IFERROR(__xludf.DUMMYFUNCTION("""COMPUTED_VALUE"""),26.48)</f>
        <v>26.48</v>
      </c>
      <c r="F2187" s="2">
        <f>IFERROR(__xludf.DUMMYFUNCTION("""COMPUTED_VALUE"""),1193700.0)</f>
        <v>1193700</v>
      </c>
    </row>
    <row r="2188">
      <c r="A2188" s="3">
        <f>IFERROR(__xludf.DUMMYFUNCTION("""COMPUTED_VALUE"""),32379.666666666668)</f>
        <v>32379.66667</v>
      </c>
      <c r="B2188" s="2">
        <f>IFERROR(__xludf.DUMMYFUNCTION("""COMPUTED_VALUE"""),26.92)</f>
        <v>26.92</v>
      </c>
      <c r="C2188" s="2">
        <f>IFERROR(__xludf.DUMMYFUNCTION("""COMPUTED_VALUE"""),26.95)</f>
        <v>26.95</v>
      </c>
      <c r="D2188" s="2">
        <f>IFERROR(__xludf.DUMMYFUNCTION("""COMPUTED_VALUE"""),26.57)</f>
        <v>26.57</v>
      </c>
      <c r="E2188" s="2">
        <f>IFERROR(__xludf.DUMMYFUNCTION("""COMPUTED_VALUE"""),26.92)</f>
        <v>26.92</v>
      </c>
      <c r="F2188" s="2">
        <f>IFERROR(__xludf.DUMMYFUNCTION("""COMPUTED_VALUE"""),1318200.0)</f>
        <v>1318200</v>
      </c>
    </row>
    <row r="2189">
      <c r="A2189" s="3">
        <f>IFERROR(__xludf.DUMMYFUNCTION("""COMPUTED_VALUE"""),32380.666666666668)</f>
        <v>32380.66667</v>
      </c>
      <c r="B2189" s="2">
        <f>IFERROR(__xludf.DUMMYFUNCTION("""COMPUTED_VALUE"""),26.66)</f>
        <v>26.66</v>
      </c>
      <c r="C2189" s="2">
        <f>IFERROR(__xludf.DUMMYFUNCTION("""COMPUTED_VALUE"""),26.77)</f>
        <v>26.77</v>
      </c>
      <c r="D2189" s="2">
        <f>IFERROR(__xludf.DUMMYFUNCTION("""COMPUTED_VALUE"""),26.45)</f>
        <v>26.45</v>
      </c>
      <c r="E2189" s="2">
        <f>IFERROR(__xludf.DUMMYFUNCTION("""COMPUTED_VALUE"""),26.66)</f>
        <v>26.66</v>
      </c>
      <c r="F2189" s="2">
        <f>IFERROR(__xludf.DUMMYFUNCTION("""COMPUTED_VALUE"""),1230300.0)</f>
        <v>1230300</v>
      </c>
    </row>
    <row r="2190">
      <c r="A2190" s="3">
        <f>IFERROR(__xludf.DUMMYFUNCTION("""COMPUTED_VALUE"""),32381.666666666668)</f>
        <v>32381.66667</v>
      </c>
      <c r="B2190" s="2">
        <f>IFERROR(__xludf.DUMMYFUNCTION("""COMPUTED_VALUE"""),26.8)</f>
        <v>26.8</v>
      </c>
      <c r="C2190" s="2">
        <f>IFERROR(__xludf.DUMMYFUNCTION("""COMPUTED_VALUE"""),26.92)</f>
        <v>26.92</v>
      </c>
      <c r="D2190" s="2">
        <f>IFERROR(__xludf.DUMMYFUNCTION("""COMPUTED_VALUE"""),26.63)</f>
        <v>26.63</v>
      </c>
      <c r="E2190" s="2">
        <f>IFERROR(__xludf.DUMMYFUNCTION("""COMPUTED_VALUE"""),26.8)</f>
        <v>26.8</v>
      </c>
      <c r="F2190" s="2">
        <f>IFERROR(__xludf.DUMMYFUNCTION("""COMPUTED_VALUE"""),769000.0)</f>
        <v>769000</v>
      </c>
    </row>
    <row r="2191">
      <c r="A2191" s="3">
        <f>IFERROR(__xludf.DUMMYFUNCTION("""COMPUTED_VALUE"""),32384.666666666668)</f>
        <v>32384.66667</v>
      </c>
      <c r="B2191" s="2">
        <f>IFERROR(__xludf.DUMMYFUNCTION("""COMPUTED_VALUE"""),27.07)</f>
        <v>27.07</v>
      </c>
      <c r="C2191" s="2">
        <f>IFERROR(__xludf.DUMMYFUNCTION("""COMPUTED_VALUE"""),27.22)</f>
        <v>27.22</v>
      </c>
      <c r="D2191" s="2">
        <f>IFERROR(__xludf.DUMMYFUNCTION("""COMPUTED_VALUE"""),26.92)</f>
        <v>26.92</v>
      </c>
      <c r="E2191" s="2">
        <f>IFERROR(__xludf.DUMMYFUNCTION("""COMPUTED_VALUE"""),27.07)</f>
        <v>27.07</v>
      </c>
      <c r="F2191" s="2">
        <f>IFERROR(__xludf.DUMMYFUNCTION("""COMPUTED_VALUE"""),867400.0)</f>
        <v>867400</v>
      </c>
    </row>
    <row r="2192">
      <c r="A2192" s="3">
        <f>IFERROR(__xludf.DUMMYFUNCTION("""COMPUTED_VALUE"""),32385.666666666668)</f>
        <v>32385.66667</v>
      </c>
      <c r="B2192" s="2">
        <f>IFERROR(__xludf.DUMMYFUNCTION("""COMPUTED_VALUE"""),26.95)</f>
        <v>26.95</v>
      </c>
      <c r="C2192" s="2">
        <f>IFERROR(__xludf.DUMMYFUNCTION("""COMPUTED_VALUE"""),27.16)</f>
        <v>27.16</v>
      </c>
      <c r="D2192" s="2">
        <f>IFERROR(__xludf.DUMMYFUNCTION("""COMPUTED_VALUE"""),26.89)</f>
        <v>26.89</v>
      </c>
      <c r="E2192" s="2">
        <f>IFERROR(__xludf.DUMMYFUNCTION("""COMPUTED_VALUE"""),26.95)</f>
        <v>26.95</v>
      </c>
      <c r="F2192" s="2">
        <f>IFERROR(__xludf.DUMMYFUNCTION("""COMPUTED_VALUE"""),896800.0)</f>
        <v>896800</v>
      </c>
    </row>
    <row r="2193">
      <c r="A2193" s="3">
        <f>IFERROR(__xludf.DUMMYFUNCTION("""COMPUTED_VALUE"""),32386.666666666668)</f>
        <v>32386.66667</v>
      </c>
      <c r="B2193" s="2">
        <f>IFERROR(__xludf.DUMMYFUNCTION("""COMPUTED_VALUE"""),26.63)</f>
        <v>26.63</v>
      </c>
      <c r="C2193" s="2">
        <f>IFERROR(__xludf.DUMMYFUNCTION("""COMPUTED_VALUE"""),27.1)</f>
        <v>27.1</v>
      </c>
      <c r="D2193" s="2">
        <f>IFERROR(__xludf.DUMMYFUNCTION("""COMPUTED_VALUE"""),26.45)</f>
        <v>26.45</v>
      </c>
      <c r="E2193" s="2">
        <f>IFERROR(__xludf.DUMMYFUNCTION("""COMPUTED_VALUE"""),26.63)</f>
        <v>26.63</v>
      </c>
      <c r="F2193" s="2">
        <f>IFERROR(__xludf.DUMMYFUNCTION("""COMPUTED_VALUE"""),932200.0)</f>
        <v>932200</v>
      </c>
    </row>
    <row r="2194">
      <c r="A2194" s="3">
        <f>IFERROR(__xludf.DUMMYFUNCTION("""COMPUTED_VALUE"""),32387.666666666668)</f>
        <v>32387.66667</v>
      </c>
      <c r="B2194" s="2">
        <f>IFERROR(__xludf.DUMMYFUNCTION("""COMPUTED_VALUE"""),26.33)</f>
        <v>26.33</v>
      </c>
      <c r="C2194" s="2">
        <f>IFERROR(__xludf.DUMMYFUNCTION("""COMPUTED_VALUE"""),26.54)</f>
        <v>26.54</v>
      </c>
      <c r="D2194" s="2">
        <f>IFERROR(__xludf.DUMMYFUNCTION("""COMPUTED_VALUE"""),26.15)</f>
        <v>26.15</v>
      </c>
      <c r="E2194" s="2">
        <f>IFERROR(__xludf.DUMMYFUNCTION("""COMPUTED_VALUE"""),26.33)</f>
        <v>26.33</v>
      </c>
      <c r="F2194" s="2">
        <f>IFERROR(__xludf.DUMMYFUNCTION("""COMPUTED_VALUE"""),1488100.0)</f>
        <v>1488100</v>
      </c>
    </row>
    <row r="2195">
      <c r="A2195" s="3">
        <f>IFERROR(__xludf.DUMMYFUNCTION("""COMPUTED_VALUE"""),32388.666666666668)</f>
        <v>32388.66667</v>
      </c>
      <c r="B2195" s="2">
        <f>IFERROR(__xludf.DUMMYFUNCTION("""COMPUTED_VALUE"""),27.22)</f>
        <v>27.22</v>
      </c>
      <c r="C2195" s="2">
        <f>IFERROR(__xludf.DUMMYFUNCTION("""COMPUTED_VALUE"""),27.4)</f>
        <v>27.4</v>
      </c>
      <c r="D2195" s="2">
        <f>IFERROR(__xludf.DUMMYFUNCTION("""COMPUTED_VALUE"""),26.66)</f>
        <v>26.66</v>
      </c>
      <c r="E2195" s="2">
        <f>IFERROR(__xludf.DUMMYFUNCTION("""COMPUTED_VALUE"""),27.22)</f>
        <v>27.22</v>
      </c>
      <c r="F2195" s="2">
        <f>IFERROR(__xludf.DUMMYFUNCTION("""COMPUTED_VALUE"""),1564500.0)</f>
        <v>1564500</v>
      </c>
    </row>
    <row r="2196">
      <c r="A2196" s="3">
        <f>IFERROR(__xludf.DUMMYFUNCTION("""COMPUTED_VALUE"""),32392.666666666668)</f>
        <v>32392.66667</v>
      </c>
      <c r="B2196" s="2">
        <f>IFERROR(__xludf.DUMMYFUNCTION("""COMPUTED_VALUE"""),26.95)</f>
        <v>26.95</v>
      </c>
      <c r="C2196" s="2">
        <f>IFERROR(__xludf.DUMMYFUNCTION("""COMPUTED_VALUE"""),27.19)</f>
        <v>27.19</v>
      </c>
      <c r="D2196" s="2">
        <f>IFERROR(__xludf.DUMMYFUNCTION("""COMPUTED_VALUE"""),26.83)</f>
        <v>26.83</v>
      </c>
      <c r="E2196" s="2">
        <f>IFERROR(__xludf.DUMMYFUNCTION("""COMPUTED_VALUE"""),26.95)</f>
        <v>26.95</v>
      </c>
      <c r="F2196" s="2">
        <f>IFERROR(__xludf.DUMMYFUNCTION("""COMPUTED_VALUE"""),958200.0)</f>
        <v>958200</v>
      </c>
    </row>
    <row r="2197">
      <c r="A2197" s="3">
        <f>IFERROR(__xludf.DUMMYFUNCTION("""COMPUTED_VALUE"""),32393.666666666668)</f>
        <v>32393.66667</v>
      </c>
      <c r="B2197" s="2">
        <f>IFERROR(__xludf.DUMMYFUNCTION("""COMPUTED_VALUE"""),26.68)</f>
        <v>26.68</v>
      </c>
      <c r="C2197" s="2">
        <f>IFERROR(__xludf.DUMMYFUNCTION("""COMPUTED_VALUE"""),27.04)</f>
        <v>27.04</v>
      </c>
      <c r="D2197" s="2">
        <f>IFERROR(__xludf.DUMMYFUNCTION("""COMPUTED_VALUE"""),26.66)</f>
        <v>26.66</v>
      </c>
      <c r="E2197" s="2">
        <f>IFERROR(__xludf.DUMMYFUNCTION("""COMPUTED_VALUE"""),26.68)</f>
        <v>26.68</v>
      </c>
      <c r="F2197" s="2">
        <f>IFERROR(__xludf.DUMMYFUNCTION("""COMPUTED_VALUE"""),919500.0)</f>
        <v>919500</v>
      </c>
    </row>
    <row r="2198">
      <c r="A2198" s="3">
        <f>IFERROR(__xludf.DUMMYFUNCTION("""COMPUTED_VALUE"""),32394.666666666668)</f>
        <v>32394.66667</v>
      </c>
      <c r="B2198" s="2">
        <f>IFERROR(__xludf.DUMMYFUNCTION("""COMPUTED_VALUE"""),26.77)</f>
        <v>26.77</v>
      </c>
      <c r="C2198" s="2">
        <f>IFERROR(__xludf.DUMMYFUNCTION("""COMPUTED_VALUE"""),27.01)</f>
        <v>27.01</v>
      </c>
      <c r="D2198" s="2">
        <f>IFERROR(__xludf.DUMMYFUNCTION("""COMPUTED_VALUE"""),26.6)</f>
        <v>26.6</v>
      </c>
      <c r="E2198" s="2">
        <f>IFERROR(__xludf.DUMMYFUNCTION("""COMPUTED_VALUE"""),26.77)</f>
        <v>26.77</v>
      </c>
      <c r="F2198" s="2">
        <f>IFERROR(__xludf.DUMMYFUNCTION("""COMPUTED_VALUE"""),1048200.0)</f>
        <v>1048200</v>
      </c>
    </row>
    <row r="2199">
      <c r="A2199" s="3">
        <f>IFERROR(__xludf.DUMMYFUNCTION("""COMPUTED_VALUE"""),32395.666666666668)</f>
        <v>32395.66667</v>
      </c>
      <c r="B2199" s="2">
        <f>IFERROR(__xludf.DUMMYFUNCTION("""COMPUTED_VALUE"""),27.31)</f>
        <v>27.31</v>
      </c>
      <c r="C2199" s="2">
        <f>IFERROR(__xludf.DUMMYFUNCTION("""COMPUTED_VALUE"""),27.52)</f>
        <v>27.52</v>
      </c>
      <c r="D2199" s="2">
        <f>IFERROR(__xludf.DUMMYFUNCTION("""COMPUTED_VALUE"""),26.57)</f>
        <v>26.57</v>
      </c>
      <c r="E2199" s="2">
        <f>IFERROR(__xludf.DUMMYFUNCTION("""COMPUTED_VALUE"""),27.31)</f>
        <v>27.31</v>
      </c>
      <c r="F2199" s="2">
        <f>IFERROR(__xludf.DUMMYFUNCTION("""COMPUTED_VALUE"""),1972000.0)</f>
        <v>1972000</v>
      </c>
    </row>
    <row r="2200">
      <c r="A2200" s="3">
        <f>IFERROR(__xludf.DUMMYFUNCTION("""COMPUTED_VALUE"""),32398.666666666668)</f>
        <v>32398.66667</v>
      </c>
      <c r="B2200" s="2">
        <f>IFERROR(__xludf.DUMMYFUNCTION("""COMPUTED_VALUE"""),27.13)</f>
        <v>27.13</v>
      </c>
      <c r="C2200" s="2">
        <f>IFERROR(__xludf.DUMMYFUNCTION("""COMPUTED_VALUE"""),27.55)</f>
        <v>27.55</v>
      </c>
      <c r="D2200" s="2">
        <f>IFERROR(__xludf.DUMMYFUNCTION("""COMPUTED_VALUE"""),27.07)</f>
        <v>27.07</v>
      </c>
      <c r="E2200" s="2">
        <f>IFERROR(__xludf.DUMMYFUNCTION("""COMPUTED_VALUE"""),27.13)</f>
        <v>27.13</v>
      </c>
      <c r="F2200" s="2">
        <f>IFERROR(__xludf.DUMMYFUNCTION("""COMPUTED_VALUE"""),1306000.0)</f>
        <v>1306000</v>
      </c>
    </row>
    <row r="2201">
      <c r="A2201" s="3">
        <f>IFERROR(__xludf.DUMMYFUNCTION("""COMPUTED_VALUE"""),32399.666666666668)</f>
        <v>32399.66667</v>
      </c>
      <c r="B2201" s="2">
        <f>IFERROR(__xludf.DUMMYFUNCTION("""COMPUTED_VALUE"""),27.46)</f>
        <v>27.46</v>
      </c>
      <c r="C2201" s="2">
        <f>IFERROR(__xludf.DUMMYFUNCTION("""COMPUTED_VALUE"""),27.46)</f>
        <v>27.46</v>
      </c>
      <c r="D2201" s="2">
        <f>IFERROR(__xludf.DUMMYFUNCTION("""COMPUTED_VALUE"""),26.86)</f>
        <v>26.86</v>
      </c>
      <c r="E2201" s="2">
        <f>IFERROR(__xludf.DUMMYFUNCTION("""COMPUTED_VALUE"""),27.46)</f>
        <v>27.46</v>
      </c>
      <c r="F2201" s="2">
        <f>IFERROR(__xludf.DUMMYFUNCTION("""COMPUTED_VALUE"""),1317500.0)</f>
        <v>1317500</v>
      </c>
    </row>
    <row r="2202">
      <c r="A2202" s="3">
        <f>IFERROR(__xludf.DUMMYFUNCTION("""COMPUTED_VALUE"""),32400.666666666668)</f>
        <v>32400.66667</v>
      </c>
      <c r="B2202" s="2">
        <f>IFERROR(__xludf.DUMMYFUNCTION("""COMPUTED_VALUE"""),27.37)</f>
        <v>27.37</v>
      </c>
      <c r="C2202" s="2">
        <f>IFERROR(__xludf.DUMMYFUNCTION("""COMPUTED_VALUE"""),27.67)</f>
        <v>27.67</v>
      </c>
      <c r="D2202" s="2">
        <f>IFERROR(__xludf.DUMMYFUNCTION("""COMPUTED_VALUE"""),27.1)</f>
        <v>27.1</v>
      </c>
      <c r="E2202" s="2">
        <f>IFERROR(__xludf.DUMMYFUNCTION("""COMPUTED_VALUE"""),27.37)</f>
        <v>27.37</v>
      </c>
      <c r="F2202" s="2">
        <f>IFERROR(__xludf.DUMMYFUNCTION("""COMPUTED_VALUE"""),1839700.0)</f>
        <v>1839700</v>
      </c>
    </row>
    <row r="2203">
      <c r="A2203" s="3">
        <f>IFERROR(__xludf.DUMMYFUNCTION("""COMPUTED_VALUE"""),32401.666666666668)</f>
        <v>32401.66667</v>
      </c>
      <c r="B2203" s="2">
        <f>IFERROR(__xludf.DUMMYFUNCTION("""COMPUTED_VALUE"""),27.16)</f>
        <v>27.16</v>
      </c>
      <c r="C2203" s="2">
        <f>IFERROR(__xludf.DUMMYFUNCTION("""COMPUTED_VALUE"""),27.55)</f>
        <v>27.55</v>
      </c>
      <c r="D2203" s="2">
        <f>IFERROR(__xludf.DUMMYFUNCTION("""COMPUTED_VALUE"""),27.16)</f>
        <v>27.16</v>
      </c>
      <c r="E2203" s="2">
        <f>IFERROR(__xludf.DUMMYFUNCTION("""COMPUTED_VALUE"""),27.16)</f>
        <v>27.16</v>
      </c>
      <c r="F2203" s="2">
        <f>IFERROR(__xludf.DUMMYFUNCTION("""COMPUTED_VALUE"""),897000.0)</f>
        <v>897000</v>
      </c>
    </row>
    <row r="2204">
      <c r="A2204" s="3">
        <f>IFERROR(__xludf.DUMMYFUNCTION("""COMPUTED_VALUE"""),32402.666666666668)</f>
        <v>32402.66667</v>
      </c>
      <c r="B2204" s="2">
        <f>IFERROR(__xludf.DUMMYFUNCTION("""COMPUTED_VALUE"""),27.28)</f>
        <v>27.28</v>
      </c>
      <c r="C2204" s="2">
        <f>IFERROR(__xludf.DUMMYFUNCTION("""COMPUTED_VALUE"""),27.46)</f>
        <v>27.46</v>
      </c>
      <c r="D2204" s="2">
        <f>IFERROR(__xludf.DUMMYFUNCTION("""COMPUTED_VALUE"""),27.07)</f>
        <v>27.07</v>
      </c>
      <c r="E2204" s="2">
        <f>IFERROR(__xludf.DUMMYFUNCTION("""COMPUTED_VALUE"""),27.28)</f>
        <v>27.28</v>
      </c>
      <c r="F2204" s="2">
        <f>IFERROR(__xludf.DUMMYFUNCTION("""COMPUTED_VALUE"""),2360300.0)</f>
        <v>2360300</v>
      </c>
    </row>
    <row r="2205">
      <c r="A2205" s="3">
        <f>IFERROR(__xludf.DUMMYFUNCTION("""COMPUTED_VALUE"""),32405.666666666668)</f>
        <v>32405.66667</v>
      </c>
      <c r="B2205" s="2">
        <f>IFERROR(__xludf.DUMMYFUNCTION("""COMPUTED_VALUE"""),26.92)</f>
        <v>26.92</v>
      </c>
      <c r="C2205" s="2">
        <f>IFERROR(__xludf.DUMMYFUNCTION("""COMPUTED_VALUE"""),27.25)</f>
        <v>27.25</v>
      </c>
      <c r="D2205" s="2">
        <f>IFERROR(__xludf.DUMMYFUNCTION("""COMPUTED_VALUE"""),26.68)</f>
        <v>26.68</v>
      </c>
      <c r="E2205" s="2">
        <f>IFERROR(__xludf.DUMMYFUNCTION("""COMPUTED_VALUE"""),26.92)</f>
        <v>26.92</v>
      </c>
      <c r="F2205" s="2">
        <f>IFERROR(__xludf.DUMMYFUNCTION("""COMPUTED_VALUE"""),1549500.0)</f>
        <v>1549500</v>
      </c>
    </row>
    <row r="2206">
      <c r="A2206" s="3">
        <f>IFERROR(__xludf.DUMMYFUNCTION("""COMPUTED_VALUE"""),32406.666666666668)</f>
        <v>32406.66667</v>
      </c>
      <c r="B2206" s="2">
        <f>IFERROR(__xludf.DUMMYFUNCTION("""COMPUTED_VALUE"""),26.92)</f>
        <v>26.92</v>
      </c>
      <c r="C2206" s="2">
        <f>IFERROR(__xludf.DUMMYFUNCTION("""COMPUTED_VALUE"""),27.07)</f>
        <v>27.07</v>
      </c>
      <c r="D2206" s="2">
        <f>IFERROR(__xludf.DUMMYFUNCTION("""COMPUTED_VALUE"""),26.83)</f>
        <v>26.83</v>
      </c>
      <c r="E2206" s="2">
        <f>IFERROR(__xludf.DUMMYFUNCTION("""COMPUTED_VALUE"""),26.92)</f>
        <v>26.92</v>
      </c>
      <c r="F2206" s="2">
        <f>IFERROR(__xludf.DUMMYFUNCTION("""COMPUTED_VALUE"""),732300.0)</f>
        <v>732300</v>
      </c>
    </row>
    <row r="2207">
      <c r="A2207" s="3">
        <f>IFERROR(__xludf.DUMMYFUNCTION("""COMPUTED_VALUE"""),32407.666666666668)</f>
        <v>32407.66667</v>
      </c>
      <c r="B2207" s="2">
        <f>IFERROR(__xludf.DUMMYFUNCTION("""COMPUTED_VALUE"""),27.04)</f>
        <v>27.04</v>
      </c>
      <c r="C2207" s="2">
        <f>IFERROR(__xludf.DUMMYFUNCTION("""COMPUTED_VALUE"""),27.13)</f>
        <v>27.13</v>
      </c>
      <c r="D2207" s="2">
        <f>IFERROR(__xludf.DUMMYFUNCTION("""COMPUTED_VALUE"""),26.86)</f>
        <v>26.86</v>
      </c>
      <c r="E2207" s="2">
        <f>IFERROR(__xludf.DUMMYFUNCTION("""COMPUTED_VALUE"""),27.04)</f>
        <v>27.04</v>
      </c>
      <c r="F2207" s="2">
        <f>IFERROR(__xludf.DUMMYFUNCTION("""COMPUTED_VALUE"""),673900.0)</f>
        <v>673900</v>
      </c>
    </row>
    <row r="2208">
      <c r="A2208" s="3">
        <f>IFERROR(__xludf.DUMMYFUNCTION("""COMPUTED_VALUE"""),32408.666666666668)</f>
        <v>32408.66667</v>
      </c>
      <c r="B2208" s="2">
        <f>IFERROR(__xludf.DUMMYFUNCTION("""COMPUTED_VALUE"""),26.74)</f>
        <v>26.74</v>
      </c>
      <c r="C2208" s="2">
        <f>IFERROR(__xludf.DUMMYFUNCTION("""COMPUTED_VALUE"""),27.19)</f>
        <v>27.19</v>
      </c>
      <c r="D2208" s="2">
        <f>IFERROR(__xludf.DUMMYFUNCTION("""COMPUTED_VALUE"""),26.74)</f>
        <v>26.74</v>
      </c>
      <c r="E2208" s="2">
        <f>IFERROR(__xludf.DUMMYFUNCTION("""COMPUTED_VALUE"""),26.74)</f>
        <v>26.74</v>
      </c>
      <c r="F2208" s="2">
        <f>IFERROR(__xludf.DUMMYFUNCTION("""COMPUTED_VALUE"""),1275600.0)</f>
        <v>1275600</v>
      </c>
    </row>
    <row r="2209">
      <c r="A2209" s="3">
        <f>IFERROR(__xludf.DUMMYFUNCTION("""COMPUTED_VALUE"""),32409.666666666668)</f>
        <v>32409.66667</v>
      </c>
      <c r="B2209" s="2">
        <f>IFERROR(__xludf.DUMMYFUNCTION("""COMPUTED_VALUE"""),26.95)</f>
        <v>26.95</v>
      </c>
      <c r="C2209" s="2">
        <f>IFERROR(__xludf.DUMMYFUNCTION("""COMPUTED_VALUE"""),27.07)</f>
        <v>27.07</v>
      </c>
      <c r="D2209" s="2">
        <f>IFERROR(__xludf.DUMMYFUNCTION("""COMPUTED_VALUE"""),26.68)</f>
        <v>26.68</v>
      </c>
      <c r="E2209" s="2">
        <f>IFERROR(__xludf.DUMMYFUNCTION("""COMPUTED_VALUE"""),26.95)</f>
        <v>26.95</v>
      </c>
      <c r="F2209" s="2">
        <f>IFERROR(__xludf.DUMMYFUNCTION("""COMPUTED_VALUE"""),900900.0)</f>
        <v>900900</v>
      </c>
    </row>
    <row r="2210">
      <c r="A2210" s="3">
        <f>IFERROR(__xludf.DUMMYFUNCTION("""COMPUTED_VALUE"""),32412.666666666668)</f>
        <v>32412.66667</v>
      </c>
      <c r="B2210" s="2">
        <f>IFERROR(__xludf.DUMMYFUNCTION("""COMPUTED_VALUE"""),26.8)</f>
        <v>26.8</v>
      </c>
      <c r="C2210" s="2">
        <f>IFERROR(__xludf.DUMMYFUNCTION("""COMPUTED_VALUE"""),27.13)</f>
        <v>27.13</v>
      </c>
      <c r="D2210" s="2">
        <f>IFERROR(__xludf.DUMMYFUNCTION("""COMPUTED_VALUE"""),26.8)</f>
        <v>26.8</v>
      </c>
      <c r="E2210" s="2">
        <f>IFERROR(__xludf.DUMMYFUNCTION("""COMPUTED_VALUE"""),26.8)</f>
        <v>26.8</v>
      </c>
      <c r="F2210" s="2">
        <f>IFERROR(__xludf.DUMMYFUNCTION("""COMPUTED_VALUE"""),851300.0)</f>
        <v>851300</v>
      </c>
    </row>
    <row r="2211">
      <c r="A2211" s="3">
        <f>IFERROR(__xludf.DUMMYFUNCTION("""COMPUTED_VALUE"""),32413.666666666668)</f>
        <v>32413.66667</v>
      </c>
      <c r="B2211" s="2">
        <f>IFERROR(__xludf.DUMMYFUNCTION("""COMPUTED_VALUE"""),27.04)</f>
        <v>27.04</v>
      </c>
      <c r="C2211" s="2">
        <f>IFERROR(__xludf.DUMMYFUNCTION("""COMPUTED_VALUE"""),27.13)</f>
        <v>27.13</v>
      </c>
      <c r="D2211" s="2">
        <f>IFERROR(__xludf.DUMMYFUNCTION("""COMPUTED_VALUE"""),26.6)</f>
        <v>26.6</v>
      </c>
      <c r="E2211" s="2">
        <f>IFERROR(__xludf.DUMMYFUNCTION("""COMPUTED_VALUE"""),27.04)</f>
        <v>27.04</v>
      </c>
      <c r="F2211" s="2">
        <f>IFERROR(__xludf.DUMMYFUNCTION("""COMPUTED_VALUE"""),1204900.0)</f>
        <v>1204900</v>
      </c>
    </row>
    <row r="2212">
      <c r="A2212" s="3">
        <f>IFERROR(__xludf.DUMMYFUNCTION("""COMPUTED_VALUE"""),32414.666666666668)</f>
        <v>32414.66667</v>
      </c>
      <c r="B2212" s="2">
        <f>IFERROR(__xludf.DUMMYFUNCTION("""COMPUTED_VALUE"""),27.19)</f>
        <v>27.19</v>
      </c>
      <c r="C2212" s="2">
        <f>IFERROR(__xludf.DUMMYFUNCTION("""COMPUTED_VALUE"""),27.25)</f>
        <v>27.25</v>
      </c>
      <c r="D2212" s="2">
        <f>IFERROR(__xludf.DUMMYFUNCTION("""COMPUTED_VALUE"""),26.98)</f>
        <v>26.98</v>
      </c>
      <c r="E2212" s="2">
        <f>IFERROR(__xludf.DUMMYFUNCTION("""COMPUTED_VALUE"""),27.19)</f>
        <v>27.19</v>
      </c>
      <c r="F2212" s="2">
        <f>IFERROR(__xludf.DUMMYFUNCTION("""COMPUTED_VALUE"""),995800.0)</f>
        <v>995800</v>
      </c>
    </row>
    <row r="2213">
      <c r="A2213" s="3">
        <f>IFERROR(__xludf.DUMMYFUNCTION("""COMPUTED_VALUE"""),32415.666666666668)</f>
        <v>32415.66667</v>
      </c>
      <c r="B2213" s="2">
        <f>IFERROR(__xludf.DUMMYFUNCTION("""COMPUTED_VALUE"""),27.55)</f>
        <v>27.55</v>
      </c>
      <c r="C2213" s="2">
        <f>IFERROR(__xludf.DUMMYFUNCTION("""COMPUTED_VALUE"""),27.58)</f>
        <v>27.58</v>
      </c>
      <c r="D2213" s="2">
        <f>IFERROR(__xludf.DUMMYFUNCTION("""COMPUTED_VALUE"""),27.16)</f>
        <v>27.16</v>
      </c>
      <c r="E2213" s="2">
        <f>IFERROR(__xludf.DUMMYFUNCTION("""COMPUTED_VALUE"""),27.55)</f>
        <v>27.55</v>
      </c>
      <c r="F2213" s="2">
        <f>IFERROR(__xludf.DUMMYFUNCTION("""COMPUTED_VALUE"""),1357400.0)</f>
        <v>1357400</v>
      </c>
    </row>
    <row r="2214">
      <c r="A2214" s="3">
        <f>IFERROR(__xludf.DUMMYFUNCTION("""COMPUTED_VALUE"""),32416.666666666668)</f>
        <v>32416.66667</v>
      </c>
      <c r="B2214" s="2">
        <f>IFERROR(__xludf.DUMMYFUNCTION("""COMPUTED_VALUE"""),27.55)</f>
        <v>27.55</v>
      </c>
      <c r="C2214" s="2">
        <f>IFERROR(__xludf.DUMMYFUNCTION("""COMPUTED_VALUE"""),27.82)</f>
        <v>27.82</v>
      </c>
      <c r="D2214" s="2">
        <f>IFERROR(__xludf.DUMMYFUNCTION("""COMPUTED_VALUE"""),27.4)</f>
        <v>27.4</v>
      </c>
      <c r="E2214" s="2">
        <f>IFERROR(__xludf.DUMMYFUNCTION("""COMPUTED_VALUE"""),27.55)</f>
        <v>27.55</v>
      </c>
      <c r="F2214" s="2">
        <f>IFERROR(__xludf.DUMMYFUNCTION("""COMPUTED_VALUE"""),1619300.0)</f>
        <v>1619300</v>
      </c>
    </row>
    <row r="2215">
      <c r="A2215" s="3">
        <f>IFERROR(__xludf.DUMMYFUNCTION("""COMPUTED_VALUE"""),32419.666666666668)</f>
        <v>32419.66667</v>
      </c>
      <c r="B2215" s="2">
        <f>IFERROR(__xludf.DUMMYFUNCTION("""COMPUTED_VALUE"""),27.43)</f>
        <v>27.43</v>
      </c>
      <c r="C2215" s="2">
        <f>IFERROR(__xludf.DUMMYFUNCTION("""COMPUTED_VALUE"""),27.52)</f>
        <v>27.52</v>
      </c>
      <c r="D2215" s="2">
        <f>IFERROR(__xludf.DUMMYFUNCTION("""COMPUTED_VALUE"""),27.22)</f>
        <v>27.22</v>
      </c>
      <c r="E2215" s="2">
        <f>IFERROR(__xludf.DUMMYFUNCTION("""COMPUTED_VALUE"""),27.43)</f>
        <v>27.43</v>
      </c>
      <c r="F2215" s="2">
        <f>IFERROR(__xludf.DUMMYFUNCTION("""COMPUTED_VALUE"""),1043000.0)</f>
        <v>1043000</v>
      </c>
    </row>
    <row r="2216">
      <c r="A2216" s="3">
        <f>IFERROR(__xludf.DUMMYFUNCTION("""COMPUTED_VALUE"""),32420.666666666668)</f>
        <v>32420.66667</v>
      </c>
      <c r="B2216" s="2">
        <f>IFERROR(__xludf.DUMMYFUNCTION("""COMPUTED_VALUE"""),27.34)</f>
        <v>27.34</v>
      </c>
      <c r="C2216" s="2">
        <f>IFERROR(__xludf.DUMMYFUNCTION("""COMPUTED_VALUE"""),27.55)</f>
        <v>27.55</v>
      </c>
      <c r="D2216" s="2">
        <f>IFERROR(__xludf.DUMMYFUNCTION("""COMPUTED_VALUE"""),27.31)</f>
        <v>27.31</v>
      </c>
      <c r="E2216" s="2">
        <f>IFERROR(__xludf.DUMMYFUNCTION("""COMPUTED_VALUE"""),27.34)</f>
        <v>27.34</v>
      </c>
      <c r="F2216" s="2">
        <f>IFERROR(__xludf.DUMMYFUNCTION("""COMPUTED_VALUE"""),835000.0)</f>
        <v>835000</v>
      </c>
    </row>
    <row r="2217">
      <c r="A2217" s="3">
        <f>IFERROR(__xludf.DUMMYFUNCTION("""COMPUTED_VALUE"""),32421.666666666668)</f>
        <v>32421.66667</v>
      </c>
      <c r="B2217" s="2">
        <f>IFERROR(__xludf.DUMMYFUNCTION("""COMPUTED_VALUE"""),27.19)</f>
        <v>27.19</v>
      </c>
      <c r="C2217" s="2">
        <f>IFERROR(__xludf.DUMMYFUNCTION("""COMPUTED_VALUE"""),27.31)</f>
        <v>27.31</v>
      </c>
      <c r="D2217" s="2">
        <f>IFERROR(__xludf.DUMMYFUNCTION("""COMPUTED_VALUE"""),26.92)</f>
        <v>26.92</v>
      </c>
      <c r="E2217" s="2">
        <f>IFERROR(__xludf.DUMMYFUNCTION("""COMPUTED_VALUE"""),27.19)</f>
        <v>27.19</v>
      </c>
      <c r="F2217" s="2">
        <f>IFERROR(__xludf.DUMMYFUNCTION("""COMPUTED_VALUE"""),1131100.0)</f>
        <v>1131100</v>
      </c>
    </row>
    <row r="2218">
      <c r="A2218" s="3">
        <f>IFERROR(__xludf.DUMMYFUNCTION("""COMPUTED_VALUE"""),32422.666666666668)</f>
        <v>32422.66667</v>
      </c>
      <c r="B2218" s="2">
        <f>IFERROR(__xludf.DUMMYFUNCTION("""COMPUTED_VALUE"""),27.22)</f>
        <v>27.22</v>
      </c>
      <c r="C2218" s="2">
        <f>IFERROR(__xludf.DUMMYFUNCTION("""COMPUTED_VALUE"""),27.25)</f>
        <v>27.25</v>
      </c>
      <c r="D2218" s="2">
        <f>IFERROR(__xludf.DUMMYFUNCTION("""COMPUTED_VALUE"""),27.07)</f>
        <v>27.07</v>
      </c>
      <c r="E2218" s="2">
        <f>IFERROR(__xludf.DUMMYFUNCTION("""COMPUTED_VALUE"""),27.22)</f>
        <v>27.22</v>
      </c>
      <c r="F2218" s="2">
        <f>IFERROR(__xludf.DUMMYFUNCTION("""COMPUTED_VALUE"""),778300.0)</f>
        <v>778300</v>
      </c>
    </row>
    <row r="2219">
      <c r="A2219" s="3">
        <f>IFERROR(__xludf.DUMMYFUNCTION("""COMPUTED_VALUE"""),32423.666666666668)</f>
        <v>32423.66667</v>
      </c>
      <c r="B2219" s="2">
        <f>IFERROR(__xludf.DUMMYFUNCTION("""COMPUTED_VALUE"""),27.7)</f>
        <v>27.7</v>
      </c>
      <c r="C2219" s="2">
        <f>IFERROR(__xludf.DUMMYFUNCTION("""COMPUTED_VALUE"""),27.76)</f>
        <v>27.76</v>
      </c>
      <c r="D2219" s="2">
        <f>IFERROR(__xludf.DUMMYFUNCTION("""COMPUTED_VALUE"""),27.4)</f>
        <v>27.4</v>
      </c>
      <c r="E2219" s="2">
        <f>IFERROR(__xludf.DUMMYFUNCTION("""COMPUTED_VALUE"""),27.7)</f>
        <v>27.7</v>
      </c>
      <c r="F2219" s="2">
        <f>IFERROR(__xludf.DUMMYFUNCTION("""COMPUTED_VALUE"""),1973100.0)</f>
        <v>1973100</v>
      </c>
    </row>
    <row r="2220">
      <c r="A2220" s="3">
        <f>IFERROR(__xludf.DUMMYFUNCTION("""COMPUTED_VALUE"""),32426.666666666668)</f>
        <v>32426.66667</v>
      </c>
      <c r="B2220" s="2">
        <f>IFERROR(__xludf.DUMMYFUNCTION("""COMPUTED_VALUE"""),27.73)</f>
        <v>27.73</v>
      </c>
      <c r="C2220" s="2">
        <f>IFERROR(__xludf.DUMMYFUNCTION("""COMPUTED_VALUE"""),27.82)</f>
        <v>27.82</v>
      </c>
      <c r="D2220" s="2">
        <f>IFERROR(__xludf.DUMMYFUNCTION("""COMPUTED_VALUE"""),27.58)</f>
        <v>27.58</v>
      </c>
      <c r="E2220" s="2">
        <f>IFERROR(__xludf.DUMMYFUNCTION("""COMPUTED_VALUE"""),27.73)</f>
        <v>27.73</v>
      </c>
      <c r="F2220" s="2">
        <f>IFERROR(__xludf.DUMMYFUNCTION("""COMPUTED_VALUE"""),836500.0)</f>
        <v>836500</v>
      </c>
    </row>
    <row r="2221">
      <c r="A2221" s="3">
        <f>IFERROR(__xludf.DUMMYFUNCTION("""COMPUTED_VALUE"""),32427.666666666668)</f>
        <v>32427.66667</v>
      </c>
      <c r="B2221" s="2">
        <f>IFERROR(__xludf.DUMMYFUNCTION("""COMPUTED_VALUE"""),28.36)</f>
        <v>28.36</v>
      </c>
      <c r="C2221" s="2">
        <f>IFERROR(__xludf.DUMMYFUNCTION("""COMPUTED_VALUE"""),28.36)</f>
        <v>28.36</v>
      </c>
      <c r="D2221" s="2">
        <f>IFERROR(__xludf.DUMMYFUNCTION("""COMPUTED_VALUE"""),27.73)</f>
        <v>27.73</v>
      </c>
      <c r="E2221" s="2">
        <f>IFERROR(__xludf.DUMMYFUNCTION("""COMPUTED_VALUE"""),28.36)</f>
        <v>28.36</v>
      </c>
      <c r="F2221" s="2">
        <f>IFERROR(__xludf.DUMMYFUNCTION("""COMPUTED_VALUE"""),1604300.0)</f>
        <v>1604300</v>
      </c>
    </row>
    <row r="2222">
      <c r="A2222" s="3">
        <f>IFERROR(__xludf.DUMMYFUNCTION("""COMPUTED_VALUE"""),32428.666666666668)</f>
        <v>32428.66667</v>
      </c>
      <c r="B2222" s="2">
        <f>IFERROR(__xludf.DUMMYFUNCTION("""COMPUTED_VALUE"""),28.06)</f>
        <v>28.06</v>
      </c>
      <c r="C2222" s="2">
        <f>IFERROR(__xludf.DUMMYFUNCTION("""COMPUTED_VALUE"""),28.3)</f>
        <v>28.3</v>
      </c>
      <c r="D2222" s="2">
        <f>IFERROR(__xludf.DUMMYFUNCTION("""COMPUTED_VALUE"""),28.06)</f>
        <v>28.06</v>
      </c>
      <c r="E2222" s="2">
        <f>IFERROR(__xludf.DUMMYFUNCTION("""COMPUTED_VALUE"""),28.06)</f>
        <v>28.06</v>
      </c>
      <c r="F2222" s="2">
        <f>IFERROR(__xludf.DUMMYFUNCTION("""COMPUTED_VALUE"""),1816100.0)</f>
        <v>1816100</v>
      </c>
    </row>
    <row r="2223">
      <c r="A2223" s="3">
        <f>IFERROR(__xludf.DUMMYFUNCTION("""COMPUTED_VALUE"""),32429.666666666668)</f>
        <v>32429.66667</v>
      </c>
      <c r="B2223" s="2">
        <f>IFERROR(__xludf.DUMMYFUNCTION("""COMPUTED_VALUE"""),28.33)</f>
        <v>28.33</v>
      </c>
      <c r="C2223" s="2">
        <f>IFERROR(__xludf.DUMMYFUNCTION("""COMPUTED_VALUE"""),28.6)</f>
        <v>28.6</v>
      </c>
      <c r="D2223" s="2">
        <f>IFERROR(__xludf.DUMMYFUNCTION("""COMPUTED_VALUE"""),28.12)</f>
        <v>28.12</v>
      </c>
      <c r="E2223" s="2">
        <f>IFERROR(__xludf.DUMMYFUNCTION("""COMPUTED_VALUE"""),28.33)</f>
        <v>28.33</v>
      </c>
      <c r="F2223" s="2">
        <f>IFERROR(__xludf.DUMMYFUNCTION("""COMPUTED_VALUE"""),1524900.0)</f>
        <v>1524900</v>
      </c>
    </row>
    <row r="2224">
      <c r="A2224" s="3">
        <f>IFERROR(__xludf.DUMMYFUNCTION("""COMPUTED_VALUE"""),32430.666666666668)</f>
        <v>32430.66667</v>
      </c>
      <c r="B2224" s="2">
        <f>IFERROR(__xludf.DUMMYFUNCTION("""COMPUTED_VALUE"""),28.6)</f>
        <v>28.6</v>
      </c>
      <c r="C2224" s="2">
        <f>IFERROR(__xludf.DUMMYFUNCTION("""COMPUTED_VALUE"""),28.71)</f>
        <v>28.71</v>
      </c>
      <c r="D2224" s="2">
        <f>IFERROR(__xludf.DUMMYFUNCTION("""COMPUTED_VALUE"""),28.51)</f>
        <v>28.51</v>
      </c>
      <c r="E2224" s="2">
        <f>IFERROR(__xludf.DUMMYFUNCTION("""COMPUTED_VALUE"""),28.6)</f>
        <v>28.6</v>
      </c>
      <c r="F2224" s="2">
        <f>IFERROR(__xludf.DUMMYFUNCTION("""COMPUTED_VALUE"""),2245000.0)</f>
        <v>2245000</v>
      </c>
    </row>
    <row r="2225">
      <c r="A2225" s="3">
        <f>IFERROR(__xludf.DUMMYFUNCTION("""COMPUTED_VALUE"""),32433.666666666668)</f>
        <v>32433.66667</v>
      </c>
      <c r="B2225" s="2">
        <f>IFERROR(__xludf.DUMMYFUNCTION("""COMPUTED_VALUE"""),28.92)</f>
        <v>28.92</v>
      </c>
      <c r="C2225" s="2">
        <f>IFERROR(__xludf.DUMMYFUNCTION("""COMPUTED_VALUE"""),29.1)</f>
        <v>29.1</v>
      </c>
      <c r="D2225" s="2">
        <f>IFERROR(__xludf.DUMMYFUNCTION("""COMPUTED_VALUE"""),28.51)</f>
        <v>28.51</v>
      </c>
      <c r="E2225" s="2">
        <f>IFERROR(__xludf.DUMMYFUNCTION("""COMPUTED_VALUE"""),28.92)</f>
        <v>28.92</v>
      </c>
      <c r="F2225" s="2">
        <f>IFERROR(__xludf.DUMMYFUNCTION("""COMPUTED_VALUE"""),1092000.0)</f>
        <v>1092000</v>
      </c>
    </row>
    <row r="2226">
      <c r="A2226" s="3">
        <f>IFERROR(__xludf.DUMMYFUNCTION("""COMPUTED_VALUE"""),32434.666666666668)</f>
        <v>32434.66667</v>
      </c>
      <c r="B2226" s="2">
        <f>IFERROR(__xludf.DUMMYFUNCTION("""COMPUTED_VALUE"""),29.7)</f>
        <v>29.7</v>
      </c>
      <c r="C2226" s="2">
        <f>IFERROR(__xludf.DUMMYFUNCTION("""COMPUTED_VALUE"""),29.7)</f>
        <v>29.7</v>
      </c>
      <c r="D2226" s="2">
        <f>IFERROR(__xludf.DUMMYFUNCTION("""COMPUTED_VALUE"""),28.92)</f>
        <v>28.92</v>
      </c>
      <c r="E2226" s="2">
        <f>IFERROR(__xludf.DUMMYFUNCTION("""COMPUTED_VALUE"""),29.7)</f>
        <v>29.7</v>
      </c>
      <c r="F2226" s="2">
        <f>IFERROR(__xludf.DUMMYFUNCTION("""COMPUTED_VALUE"""),1769800.0)</f>
        <v>1769800</v>
      </c>
    </row>
    <row r="2227">
      <c r="A2227" s="3">
        <f>IFERROR(__xludf.DUMMYFUNCTION("""COMPUTED_VALUE"""),32435.666666666668)</f>
        <v>32435.66667</v>
      </c>
      <c r="B2227" s="2">
        <f>IFERROR(__xludf.DUMMYFUNCTION("""COMPUTED_VALUE"""),29.22)</f>
        <v>29.22</v>
      </c>
      <c r="C2227" s="2">
        <f>IFERROR(__xludf.DUMMYFUNCTION("""COMPUTED_VALUE"""),29.79)</f>
        <v>29.79</v>
      </c>
      <c r="D2227" s="2">
        <f>IFERROR(__xludf.DUMMYFUNCTION("""COMPUTED_VALUE"""),28.77)</f>
        <v>28.77</v>
      </c>
      <c r="E2227" s="2">
        <f>IFERROR(__xludf.DUMMYFUNCTION("""COMPUTED_VALUE"""),29.22)</f>
        <v>29.22</v>
      </c>
      <c r="F2227" s="2">
        <f>IFERROR(__xludf.DUMMYFUNCTION("""COMPUTED_VALUE"""),2245600.0)</f>
        <v>2245600</v>
      </c>
    </row>
    <row r="2228">
      <c r="A2228" s="3">
        <f>IFERROR(__xludf.DUMMYFUNCTION("""COMPUTED_VALUE"""),32436.666666666668)</f>
        <v>32436.66667</v>
      </c>
      <c r="B2228" s="2">
        <f>IFERROR(__xludf.DUMMYFUNCTION("""COMPUTED_VALUE"""),29.82)</f>
        <v>29.82</v>
      </c>
      <c r="C2228" s="2">
        <f>IFERROR(__xludf.DUMMYFUNCTION("""COMPUTED_VALUE"""),29.82)</f>
        <v>29.82</v>
      </c>
      <c r="D2228" s="2">
        <f>IFERROR(__xludf.DUMMYFUNCTION("""COMPUTED_VALUE"""),29.22)</f>
        <v>29.22</v>
      </c>
      <c r="E2228" s="2">
        <f>IFERROR(__xludf.DUMMYFUNCTION("""COMPUTED_VALUE"""),29.82)</f>
        <v>29.82</v>
      </c>
      <c r="F2228" s="2">
        <f>IFERROR(__xludf.DUMMYFUNCTION("""COMPUTED_VALUE"""),1706700.0)</f>
        <v>1706700</v>
      </c>
    </row>
    <row r="2229">
      <c r="A2229" s="3">
        <f>IFERROR(__xludf.DUMMYFUNCTION("""COMPUTED_VALUE"""),32437.666666666668)</f>
        <v>32437.66667</v>
      </c>
      <c r="B2229" s="2">
        <f>IFERROR(__xludf.DUMMYFUNCTION("""COMPUTED_VALUE"""),29.7)</f>
        <v>29.7</v>
      </c>
      <c r="C2229" s="2">
        <f>IFERROR(__xludf.DUMMYFUNCTION("""COMPUTED_VALUE"""),29.76)</f>
        <v>29.76</v>
      </c>
      <c r="D2229" s="2">
        <f>IFERROR(__xludf.DUMMYFUNCTION("""COMPUTED_VALUE"""),29.52)</f>
        <v>29.52</v>
      </c>
      <c r="E2229" s="2">
        <f>IFERROR(__xludf.DUMMYFUNCTION("""COMPUTED_VALUE"""),29.7)</f>
        <v>29.7</v>
      </c>
      <c r="F2229" s="2">
        <f>IFERROR(__xludf.DUMMYFUNCTION("""COMPUTED_VALUE"""),1934200.0)</f>
        <v>1934200</v>
      </c>
    </row>
    <row r="2230">
      <c r="A2230" s="3">
        <f>IFERROR(__xludf.DUMMYFUNCTION("""COMPUTED_VALUE"""),32440.666666666668)</f>
        <v>32440.66667</v>
      </c>
      <c r="B2230" s="2">
        <f>IFERROR(__xludf.DUMMYFUNCTION("""COMPUTED_VALUE"""),29.4)</f>
        <v>29.4</v>
      </c>
      <c r="C2230" s="2">
        <f>IFERROR(__xludf.DUMMYFUNCTION("""COMPUTED_VALUE"""),29.76)</f>
        <v>29.76</v>
      </c>
      <c r="D2230" s="2">
        <f>IFERROR(__xludf.DUMMYFUNCTION("""COMPUTED_VALUE"""),29.4)</f>
        <v>29.4</v>
      </c>
      <c r="E2230" s="2">
        <f>IFERROR(__xludf.DUMMYFUNCTION("""COMPUTED_VALUE"""),29.4)</f>
        <v>29.4</v>
      </c>
      <c r="F2230" s="2">
        <f>IFERROR(__xludf.DUMMYFUNCTION("""COMPUTED_VALUE"""),1023300.0)</f>
        <v>1023300</v>
      </c>
    </row>
    <row r="2231">
      <c r="A2231" s="3">
        <f>IFERROR(__xludf.DUMMYFUNCTION("""COMPUTED_VALUE"""),32441.666666666668)</f>
        <v>32441.66667</v>
      </c>
      <c r="B2231" s="2">
        <f>IFERROR(__xludf.DUMMYFUNCTION("""COMPUTED_VALUE"""),29.34)</f>
        <v>29.34</v>
      </c>
      <c r="C2231" s="2">
        <f>IFERROR(__xludf.DUMMYFUNCTION("""COMPUTED_VALUE"""),29.49)</f>
        <v>29.49</v>
      </c>
      <c r="D2231" s="2">
        <f>IFERROR(__xludf.DUMMYFUNCTION("""COMPUTED_VALUE"""),29.19)</f>
        <v>29.19</v>
      </c>
      <c r="E2231" s="2">
        <f>IFERROR(__xludf.DUMMYFUNCTION("""COMPUTED_VALUE"""),29.34)</f>
        <v>29.34</v>
      </c>
      <c r="F2231" s="2">
        <f>IFERROR(__xludf.DUMMYFUNCTION("""COMPUTED_VALUE"""),1028000.0)</f>
        <v>1028000</v>
      </c>
    </row>
    <row r="2232">
      <c r="A2232" s="3">
        <f>IFERROR(__xludf.DUMMYFUNCTION("""COMPUTED_VALUE"""),32442.666666666668)</f>
        <v>32442.66667</v>
      </c>
      <c r="B2232" s="2">
        <f>IFERROR(__xludf.DUMMYFUNCTION("""COMPUTED_VALUE"""),29.04)</f>
        <v>29.04</v>
      </c>
      <c r="C2232" s="2">
        <f>IFERROR(__xludf.DUMMYFUNCTION("""COMPUTED_VALUE"""),29.25)</f>
        <v>29.25</v>
      </c>
      <c r="D2232" s="2">
        <f>IFERROR(__xludf.DUMMYFUNCTION("""COMPUTED_VALUE"""),29.01)</f>
        <v>29.01</v>
      </c>
      <c r="E2232" s="2">
        <f>IFERROR(__xludf.DUMMYFUNCTION("""COMPUTED_VALUE"""),29.04)</f>
        <v>29.04</v>
      </c>
      <c r="F2232" s="2">
        <f>IFERROR(__xludf.DUMMYFUNCTION("""COMPUTED_VALUE"""),914300.0)</f>
        <v>914300</v>
      </c>
    </row>
    <row r="2233">
      <c r="A2233" s="3">
        <f>IFERROR(__xludf.DUMMYFUNCTION("""COMPUTED_VALUE"""),32443.666666666668)</f>
        <v>32443.66667</v>
      </c>
      <c r="B2233" s="2">
        <f>IFERROR(__xludf.DUMMYFUNCTION("""COMPUTED_VALUE"""),28.71)</f>
        <v>28.71</v>
      </c>
      <c r="C2233" s="2">
        <f>IFERROR(__xludf.DUMMYFUNCTION("""COMPUTED_VALUE"""),28.95)</f>
        <v>28.95</v>
      </c>
      <c r="D2233" s="2">
        <f>IFERROR(__xludf.DUMMYFUNCTION("""COMPUTED_VALUE"""),28.54)</f>
        <v>28.54</v>
      </c>
      <c r="E2233" s="2">
        <f>IFERROR(__xludf.DUMMYFUNCTION("""COMPUTED_VALUE"""),28.71)</f>
        <v>28.71</v>
      </c>
      <c r="F2233" s="2">
        <f>IFERROR(__xludf.DUMMYFUNCTION("""COMPUTED_VALUE"""),1349200.0)</f>
        <v>1349200</v>
      </c>
    </row>
    <row r="2234">
      <c r="A2234" s="3">
        <f>IFERROR(__xludf.DUMMYFUNCTION("""COMPUTED_VALUE"""),32444.666666666668)</f>
        <v>32444.66667</v>
      </c>
      <c r="B2234" s="2">
        <f>IFERROR(__xludf.DUMMYFUNCTION("""COMPUTED_VALUE"""),28.83)</f>
        <v>28.83</v>
      </c>
      <c r="C2234" s="2">
        <f>IFERROR(__xludf.DUMMYFUNCTION("""COMPUTED_VALUE"""),28.95)</f>
        <v>28.95</v>
      </c>
      <c r="D2234" s="2">
        <f>IFERROR(__xludf.DUMMYFUNCTION("""COMPUTED_VALUE"""),28.74)</f>
        <v>28.74</v>
      </c>
      <c r="E2234" s="2">
        <f>IFERROR(__xludf.DUMMYFUNCTION("""COMPUTED_VALUE"""),28.83)</f>
        <v>28.83</v>
      </c>
      <c r="F2234" s="2">
        <f>IFERROR(__xludf.DUMMYFUNCTION("""COMPUTED_VALUE"""),952200.0)</f>
        <v>952200</v>
      </c>
    </row>
    <row r="2235">
      <c r="A2235" s="3">
        <f>IFERROR(__xludf.DUMMYFUNCTION("""COMPUTED_VALUE"""),32447.666666666668)</f>
        <v>32447.66667</v>
      </c>
      <c r="B2235" s="2">
        <f>IFERROR(__xludf.DUMMYFUNCTION("""COMPUTED_VALUE"""),29.28)</f>
        <v>29.28</v>
      </c>
      <c r="C2235" s="2">
        <f>IFERROR(__xludf.DUMMYFUNCTION("""COMPUTED_VALUE"""),29.34)</f>
        <v>29.34</v>
      </c>
      <c r="D2235" s="2">
        <f>IFERROR(__xludf.DUMMYFUNCTION("""COMPUTED_VALUE"""),28.71)</f>
        <v>28.71</v>
      </c>
      <c r="E2235" s="2">
        <f>IFERROR(__xludf.DUMMYFUNCTION("""COMPUTED_VALUE"""),29.28)</f>
        <v>29.28</v>
      </c>
      <c r="F2235" s="2">
        <f>IFERROR(__xludf.DUMMYFUNCTION("""COMPUTED_VALUE"""),1266700.0)</f>
        <v>1266700</v>
      </c>
    </row>
    <row r="2236">
      <c r="A2236" s="3">
        <f>IFERROR(__xludf.DUMMYFUNCTION("""COMPUTED_VALUE"""),32448.666666666668)</f>
        <v>32448.66667</v>
      </c>
      <c r="B2236" s="2">
        <f>IFERROR(__xludf.DUMMYFUNCTION("""COMPUTED_VALUE"""),29.61)</f>
        <v>29.61</v>
      </c>
      <c r="C2236" s="2">
        <f>IFERROR(__xludf.DUMMYFUNCTION("""COMPUTED_VALUE"""),29.7)</f>
        <v>29.7</v>
      </c>
      <c r="D2236" s="2">
        <f>IFERROR(__xludf.DUMMYFUNCTION("""COMPUTED_VALUE"""),29.25)</f>
        <v>29.25</v>
      </c>
      <c r="E2236" s="2">
        <f>IFERROR(__xludf.DUMMYFUNCTION("""COMPUTED_VALUE"""),29.61)</f>
        <v>29.61</v>
      </c>
      <c r="F2236" s="2">
        <f>IFERROR(__xludf.DUMMYFUNCTION("""COMPUTED_VALUE"""),1277400.0)</f>
        <v>1277400</v>
      </c>
    </row>
    <row r="2237">
      <c r="A2237" s="3">
        <f>IFERROR(__xludf.DUMMYFUNCTION("""COMPUTED_VALUE"""),32449.666666666668)</f>
        <v>32449.66667</v>
      </c>
      <c r="B2237" s="2">
        <f>IFERROR(__xludf.DUMMYFUNCTION("""COMPUTED_VALUE"""),29.34)</f>
        <v>29.34</v>
      </c>
      <c r="C2237" s="2">
        <f>IFERROR(__xludf.DUMMYFUNCTION("""COMPUTED_VALUE"""),29.58)</f>
        <v>29.58</v>
      </c>
      <c r="D2237" s="2">
        <f>IFERROR(__xludf.DUMMYFUNCTION("""COMPUTED_VALUE"""),29.07)</f>
        <v>29.07</v>
      </c>
      <c r="E2237" s="2">
        <f>IFERROR(__xludf.DUMMYFUNCTION("""COMPUTED_VALUE"""),29.34)</f>
        <v>29.34</v>
      </c>
      <c r="F2237" s="2">
        <f>IFERROR(__xludf.DUMMYFUNCTION("""COMPUTED_VALUE"""),1024000.0)</f>
        <v>1024000</v>
      </c>
    </row>
    <row r="2238">
      <c r="A2238" s="3">
        <f>IFERROR(__xludf.DUMMYFUNCTION("""COMPUTED_VALUE"""),32450.666666666668)</f>
        <v>32450.66667</v>
      </c>
      <c r="B2238" s="2">
        <f>IFERROR(__xludf.DUMMYFUNCTION("""COMPUTED_VALUE"""),29.19)</f>
        <v>29.19</v>
      </c>
      <c r="C2238" s="2">
        <f>IFERROR(__xludf.DUMMYFUNCTION("""COMPUTED_VALUE"""),29.34)</f>
        <v>29.34</v>
      </c>
      <c r="D2238" s="2">
        <f>IFERROR(__xludf.DUMMYFUNCTION("""COMPUTED_VALUE"""),29.16)</f>
        <v>29.16</v>
      </c>
      <c r="E2238" s="2">
        <f>IFERROR(__xludf.DUMMYFUNCTION("""COMPUTED_VALUE"""),29.19)</f>
        <v>29.19</v>
      </c>
      <c r="F2238" s="2">
        <f>IFERROR(__xludf.DUMMYFUNCTION("""COMPUTED_VALUE"""),899900.0)</f>
        <v>899900</v>
      </c>
    </row>
    <row r="2239">
      <c r="A2239" s="3">
        <f>IFERROR(__xludf.DUMMYFUNCTION("""COMPUTED_VALUE"""),32451.666666666668)</f>
        <v>32451.66667</v>
      </c>
      <c r="B2239" s="2">
        <f>IFERROR(__xludf.DUMMYFUNCTION("""COMPUTED_VALUE"""),28.71)</f>
        <v>28.71</v>
      </c>
      <c r="C2239" s="2">
        <f>IFERROR(__xludf.DUMMYFUNCTION("""COMPUTED_VALUE"""),28.98)</f>
        <v>28.98</v>
      </c>
      <c r="D2239" s="2">
        <f>IFERROR(__xludf.DUMMYFUNCTION("""COMPUTED_VALUE"""),28.71)</f>
        <v>28.71</v>
      </c>
      <c r="E2239" s="2">
        <f>IFERROR(__xludf.DUMMYFUNCTION("""COMPUTED_VALUE"""),28.71)</f>
        <v>28.71</v>
      </c>
      <c r="F2239" s="2">
        <f>IFERROR(__xludf.DUMMYFUNCTION("""COMPUTED_VALUE"""),1716800.0)</f>
        <v>1716800</v>
      </c>
    </row>
    <row r="2240">
      <c r="A2240" s="3">
        <f>IFERROR(__xludf.DUMMYFUNCTION("""COMPUTED_VALUE"""),32454.666666666668)</f>
        <v>32454.66667</v>
      </c>
      <c r="B2240" s="2">
        <f>IFERROR(__xludf.DUMMYFUNCTION("""COMPUTED_VALUE"""),28.45)</f>
        <v>28.45</v>
      </c>
      <c r="C2240" s="2">
        <f>IFERROR(__xludf.DUMMYFUNCTION("""COMPUTED_VALUE"""),28.68)</f>
        <v>28.68</v>
      </c>
      <c r="D2240" s="2">
        <f>IFERROR(__xludf.DUMMYFUNCTION("""COMPUTED_VALUE"""),28.33)</f>
        <v>28.33</v>
      </c>
      <c r="E2240" s="2">
        <f>IFERROR(__xludf.DUMMYFUNCTION("""COMPUTED_VALUE"""),28.45)</f>
        <v>28.45</v>
      </c>
      <c r="F2240" s="2">
        <f>IFERROR(__xludf.DUMMYFUNCTION("""COMPUTED_VALUE"""),1439200.0)</f>
        <v>1439200</v>
      </c>
    </row>
    <row r="2241">
      <c r="A2241" s="3">
        <f>IFERROR(__xludf.DUMMYFUNCTION("""COMPUTED_VALUE"""),32455.666666666668)</f>
        <v>32455.66667</v>
      </c>
      <c r="B2241" s="2">
        <f>IFERROR(__xludf.DUMMYFUNCTION("""COMPUTED_VALUE"""),28.6)</f>
        <v>28.6</v>
      </c>
      <c r="C2241" s="2">
        <f>IFERROR(__xludf.DUMMYFUNCTION("""COMPUTED_VALUE"""),28.8)</f>
        <v>28.8</v>
      </c>
      <c r="D2241" s="2">
        <f>IFERROR(__xludf.DUMMYFUNCTION("""COMPUTED_VALUE"""),28.51)</f>
        <v>28.51</v>
      </c>
      <c r="E2241" s="2">
        <f>IFERROR(__xludf.DUMMYFUNCTION("""COMPUTED_VALUE"""),28.6)</f>
        <v>28.6</v>
      </c>
      <c r="F2241" s="2">
        <f>IFERROR(__xludf.DUMMYFUNCTION("""COMPUTED_VALUE"""),1116600.0)</f>
        <v>1116600</v>
      </c>
    </row>
    <row r="2242">
      <c r="A2242" s="3">
        <f>IFERROR(__xludf.DUMMYFUNCTION("""COMPUTED_VALUE"""),32456.666666666668)</f>
        <v>32456.66667</v>
      </c>
      <c r="B2242" s="2">
        <f>IFERROR(__xludf.DUMMYFUNCTION("""COMPUTED_VALUE"""),28.63)</f>
        <v>28.63</v>
      </c>
      <c r="C2242" s="2">
        <f>IFERROR(__xludf.DUMMYFUNCTION("""COMPUTED_VALUE"""),28.65)</f>
        <v>28.65</v>
      </c>
      <c r="D2242" s="2">
        <f>IFERROR(__xludf.DUMMYFUNCTION("""COMPUTED_VALUE"""),28.3)</f>
        <v>28.3</v>
      </c>
      <c r="E2242" s="2">
        <f>IFERROR(__xludf.DUMMYFUNCTION("""COMPUTED_VALUE"""),28.63)</f>
        <v>28.63</v>
      </c>
      <c r="F2242" s="2">
        <f>IFERROR(__xludf.DUMMYFUNCTION("""COMPUTED_VALUE"""),1391100.0)</f>
        <v>1391100</v>
      </c>
    </row>
    <row r="2243">
      <c r="A2243" s="3">
        <f>IFERROR(__xludf.DUMMYFUNCTION("""COMPUTED_VALUE"""),32457.666666666668)</f>
        <v>32457.66667</v>
      </c>
      <c r="B2243" s="2">
        <f>IFERROR(__xludf.DUMMYFUNCTION("""COMPUTED_VALUE"""),28.6)</f>
        <v>28.6</v>
      </c>
      <c r="C2243" s="2">
        <f>IFERROR(__xludf.DUMMYFUNCTION("""COMPUTED_VALUE"""),28.74)</f>
        <v>28.74</v>
      </c>
      <c r="D2243" s="2">
        <f>IFERROR(__xludf.DUMMYFUNCTION("""COMPUTED_VALUE"""),28.57)</f>
        <v>28.57</v>
      </c>
      <c r="E2243" s="2">
        <f>IFERROR(__xludf.DUMMYFUNCTION("""COMPUTED_VALUE"""),28.6)</f>
        <v>28.6</v>
      </c>
      <c r="F2243" s="2">
        <f>IFERROR(__xludf.DUMMYFUNCTION("""COMPUTED_VALUE"""),1128500.0)</f>
        <v>1128500</v>
      </c>
    </row>
    <row r="2244">
      <c r="A2244" s="3">
        <f>IFERROR(__xludf.DUMMYFUNCTION("""COMPUTED_VALUE"""),32458.666666666668)</f>
        <v>32458.66667</v>
      </c>
      <c r="B2244" s="2">
        <f>IFERROR(__xludf.DUMMYFUNCTION("""COMPUTED_VALUE"""),27.85)</f>
        <v>27.85</v>
      </c>
      <c r="C2244" s="2">
        <f>IFERROR(__xludf.DUMMYFUNCTION("""COMPUTED_VALUE"""),28.48)</f>
        <v>28.48</v>
      </c>
      <c r="D2244" s="2">
        <f>IFERROR(__xludf.DUMMYFUNCTION("""COMPUTED_VALUE"""),27.79)</f>
        <v>27.79</v>
      </c>
      <c r="E2244" s="2">
        <f>IFERROR(__xludf.DUMMYFUNCTION("""COMPUTED_VALUE"""),27.85)</f>
        <v>27.85</v>
      </c>
      <c r="F2244" s="2">
        <f>IFERROR(__xludf.DUMMYFUNCTION("""COMPUTED_VALUE"""),1385200.0)</f>
        <v>1385200</v>
      </c>
    </row>
    <row r="2245">
      <c r="A2245" s="3">
        <f>IFERROR(__xludf.DUMMYFUNCTION("""COMPUTED_VALUE"""),32461.666666666668)</f>
        <v>32461.66667</v>
      </c>
      <c r="B2245" s="2">
        <f>IFERROR(__xludf.DUMMYFUNCTION("""COMPUTED_VALUE"""),27.97)</f>
        <v>27.97</v>
      </c>
      <c r="C2245" s="2">
        <f>IFERROR(__xludf.DUMMYFUNCTION("""COMPUTED_VALUE"""),28.06)</f>
        <v>28.06</v>
      </c>
      <c r="D2245" s="2">
        <f>IFERROR(__xludf.DUMMYFUNCTION("""COMPUTED_VALUE"""),27.79)</f>
        <v>27.79</v>
      </c>
      <c r="E2245" s="2">
        <f>IFERROR(__xludf.DUMMYFUNCTION("""COMPUTED_VALUE"""),27.97)</f>
        <v>27.97</v>
      </c>
      <c r="F2245" s="2">
        <f>IFERROR(__xludf.DUMMYFUNCTION("""COMPUTED_VALUE"""),1327900.0)</f>
        <v>1327900</v>
      </c>
    </row>
    <row r="2246">
      <c r="A2246" s="3">
        <f>IFERROR(__xludf.DUMMYFUNCTION("""COMPUTED_VALUE"""),32462.666666666668)</f>
        <v>32462.66667</v>
      </c>
      <c r="B2246" s="2">
        <f>IFERROR(__xludf.DUMMYFUNCTION("""COMPUTED_VALUE"""),28.06)</f>
        <v>28.06</v>
      </c>
      <c r="C2246" s="2">
        <f>IFERROR(__xludf.DUMMYFUNCTION("""COMPUTED_VALUE"""),28.21)</f>
        <v>28.21</v>
      </c>
      <c r="D2246" s="2">
        <f>IFERROR(__xludf.DUMMYFUNCTION("""COMPUTED_VALUE"""),27.94)</f>
        <v>27.94</v>
      </c>
      <c r="E2246" s="2">
        <f>IFERROR(__xludf.DUMMYFUNCTION("""COMPUTED_VALUE"""),28.06)</f>
        <v>28.06</v>
      </c>
      <c r="F2246" s="2">
        <f>IFERROR(__xludf.DUMMYFUNCTION("""COMPUTED_VALUE"""),1022000.0)</f>
        <v>1022000</v>
      </c>
    </row>
    <row r="2247">
      <c r="A2247" s="3">
        <f>IFERROR(__xludf.DUMMYFUNCTION("""COMPUTED_VALUE"""),32463.666666666668)</f>
        <v>32463.66667</v>
      </c>
      <c r="B2247" s="2">
        <f>IFERROR(__xludf.DUMMYFUNCTION("""COMPUTED_VALUE"""),27.58)</f>
        <v>27.58</v>
      </c>
      <c r="C2247" s="2">
        <f>IFERROR(__xludf.DUMMYFUNCTION("""COMPUTED_VALUE"""),28.06)</f>
        <v>28.06</v>
      </c>
      <c r="D2247" s="2">
        <f>IFERROR(__xludf.DUMMYFUNCTION("""COMPUTED_VALUE"""),27.34)</f>
        <v>27.34</v>
      </c>
      <c r="E2247" s="2">
        <f>IFERROR(__xludf.DUMMYFUNCTION("""COMPUTED_VALUE"""),27.58)</f>
        <v>27.58</v>
      </c>
      <c r="F2247" s="2">
        <f>IFERROR(__xludf.DUMMYFUNCTION("""COMPUTED_VALUE"""),1856500.0)</f>
        <v>1856500</v>
      </c>
    </row>
    <row r="2248">
      <c r="A2248" s="3">
        <f>IFERROR(__xludf.DUMMYFUNCTION("""COMPUTED_VALUE"""),32464.666666666668)</f>
        <v>32464.66667</v>
      </c>
      <c r="B2248" s="2">
        <f>IFERROR(__xludf.DUMMYFUNCTION("""COMPUTED_VALUE"""),27.58)</f>
        <v>27.58</v>
      </c>
      <c r="C2248" s="2">
        <f>IFERROR(__xludf.DUMMYFUNCTION("""COMPUTED_VALUE"""),27.7)</f>
        <v>27.7</v>
      </c>
      <c r="D2248" s="2">
        <f>IFERROR(__xludf.DUMMYFUNCTION("""COMPUTED_VALUE"""),27.43)</f>
        <v>27.43</v>
      </c>
      <c r="E2248" s="2">
        <f>IFERROR(__xludf.DUMMYFUNCTION("""COMPUTED_VALUE"""),27.58)</f>
        <v>27.58</v>
      </c>
      <c r="F2248" s="2">
        <f>IFERROR(__xludf.DUMMYFUNCTION("""COMPUTED_VALUE"""),1236300.0)</f>
        <v>1236300</v>
      </c>
    </row>
    <row r="2249">
      <c r="A2249" s="3">
        <f>IFERROR(__xludf.DUMMYFUNCTION("""COMPUTED_VALUE"""),32465.666666666668)</f>
        <v>32465.66667</v>
      </c>
      <c r="B2249" s="2">
        <f>IFERROR(__xludf.DUMMYFUNCTION("""COMPUTED_VALUE"""),27.64)</f>
        <v>27.64</v>
      </c>
      <c r="C2249" s="2">
        <f>IFERROR(__xludf.DUMMYFUNCTION("""COMPUTED_VALUE"""),27.73)</f>
        <v>27.73</v>
      </c>
      <c r="D2249" s="2">
        <f>IFERROR(__xludf.DUMMYFUNCTION("""COMPUTED_VALUE"""),27.55)</f>
        <v>27.55</v>
      </c>
      <c r="E2249" s="2">
        <f>IFERROR(__xludf.DUMMYFUNCTION("""COMPUTED_VALUE"""),27.64)</f>
        <v>27.64</v>
      </c>
      <c r="F2249" s="2">
        <f>IFERROR(__xludf.DUMMYFUNCTION("""COMPUTED_VALUE"""),1140500.0)</f>
        <v>1140500</v>
      </c>
    </row>
    <row r="2250">
      <c r="A2250" s="3">
        <f>IFERROR(__xludf.DUMMYFUNCTION("""COMPUTED_VALUE"""),32468.666666666668)</f>
        <v>32468.66667</v>
      </c>
      <c r="B2250" s="2">
        <f>IFERROR(__xludf.DUMMYFUNCTION("""COMPUTED_VALUE"""),27.61)</f>
        <v>27.61</v>
      </c>
      <c r="C2250" s="2">
        <f>IFERROR(__xludf.DUMMYFUNCTION("""COMPUTED_VALUE"""),27.61)</f>
        <v>27.61</v>
      </c>
      <c r="D2250" s="2">
        <f>IFERROR(__xludf.DUMMYFUNCTION("""COMPUTED_VALUE"""),27.25)</f>
        <v>27.25</v>
      </c>
      <c r="E2250" s="2">
        <f>IFERROR(__xludf.DUMMYFUNCTION("""COMPUTED_VALUE"""),27.61)</f>
        <v>27.61</v>
      </c>
      <c r="F2250" s="2">
        <f>IFERROR(__xludf.DUMMYFUNCTION("""COMPUTED_VALUE"""),1014400.0)</f>
        <v>1014400</v>
      </c>
    </row>
    <row r="2251">
      <c r="A2251" s="3">
        <f>IFERROR(__xludf.DUMMYFUNCTION("""COMPUTED_VALUE"""),32469.666666666668)</f>
        <v>32469.66667</v>
      </c>
      <c r="B2251" s="2">
        <f>IFERROR(__xludf.DUMMYFUNCTION("""COMPUTED_VALUE"""),27.94)</f>
        <v>27.94</v>
      </c>
      <c r="C2251" s="2">
        <f>IFERROR(__xludf.DUMMYFUNCTION("""COMPUTED_VALUE"""),28.0)</f>
        <v>28</v>
      </c>
      <c r="D2251" s="2">
        <f>IFERROR(__xludf.DUMMYFUNCTION("""COMPUTED_VALUE"""),27.55)</f>
        <v>27.55</v>
      </c>
      <c r="E2251" s="2">
        <f>IFERROR(__xludf.DUMMYFUNCTION("""COMPUTED_VALUE"""),27.94)</f>
        <v>27.94</v>
      </c>
      <c r="F2251" s="2">
        <f>IFERROR(__xludf.DUMMYFUNCTION("""COMPUTED_VALUE"""),1025800.0)</f>
        <v>1025800</v>
      </c>
    </row>
    <row r="2252">
      <c r="A2252" s="3">
        <f>IFERROR(__xludf.DUMMYFUNCTION("""COMPUTED_VALUE"""),32470.666666666668)</f>
        <v>32470.66667</v>
      </c>
      <c r="B2252" s="2">
        <f>IFERROR(__xludf.DUMMYFUNCTION("""COMPUTED_VALUE"""),28.18)</f>
        <v>28.18</v>
      </c>
      <c r="C2252" s="2">
        <f>IFERROR(__xludf.DUMMYFUNCTION("""COMPUTED_VALUE"""),28.3)</f>
        <v>28.3</v>
      </c>
      <c r="D2252" s="2">
        <f>IFERROR(__xludf.DUMMYFUNCTION("""COMPUTED_VALUE"""),27.94)</f>
        <v>27.94</v>
      </c>
      <c r="E2252" s="2">
        <f>IFERROR(__xludf.DUMMYFUNCTION("""COMPUTED_VALUE"""),28.18)</f>
        <v>28.18</v>
      </c>
      <c r="F2252" s="2">
        <f>IFERROR(__xludf.DUMMYFUNCTION("""COMPUTED_VALUE"""),780600.0)</f>
        <v>780600</v>
      </c>
    </row>
    <row r="2253">
      <c r="A2253" s="3">
        <f>IFERROR(__xludf.DUMMYFUNCTION("""COMPUTED_VALUE"""),32472.666666666668)</f>
        <v>32472.66667</v>
      </c>
      <c r="B2253" s="2">
        <f>IFERROR(__xludf.DUMMYFUNCTION("""COMPUTED_VALUE"""),27.7)</f>
        <v>27.7</v>
      </c>
      <c r="C2253" s="2">
        <f>IFERROR(__xludf.DUMMYFUNCTION("""COMPUTED_VALUE"""),27.88)</f>
        <v>27.88</v>
      </c>
      <c r="D2253" s="2">
        <f>IFERROR(__xludf.DUMMYFUNCTION("""COMPUTED_VALUE"""),27.7)</f>
        <v>27.7</v>
      </c>
      <c r="E2253" s="2">
        <f>IFERROR(__xludf.DUMMYFUNCTION("""COMPUTED_VALUE"""),27.7)</f>
        <v>27.7</v>
      </c>
      <c r="F2253" s="2">
        <f>IFERROR(__xludf.DUMMYFUNCTION("""COMPUTED_VALUE"""),661000.0)</f>
        <v>661000</v>
      </c>
    </row>
    <row r="2254">
      <c r="A2254" s="3">
        <f>IFERROR(__xludf.DUMMYFUNCTION("""COMPUTED_VALUE"""),32475.666666666668)</f>
        <v>32475.66667</v>
      </c>
      <c r="B2254" s="2">
        <f>IFERROR(__xludf.DUMMYFUNCTION("""COMPUTED_VALUE"""),28.39)</f>
        <v>28.39</v>
      </c>
      <c r="C2254" s="2">
        <f>IFERROR(__xludf.DUMMYFUNCTION("""COMPUTED_VALUE"""),28.6)</f>
        <v>28.6</v>
      </c>
      <c r="D2254" s="2">
        <f>IFERROR(__xludf.DUMMYFUNCTION("""COMPUTED_VALUE"""),27.76)</f>
        <v>27.76</v>
      </c>
      <c r="E2254" s="2">
        <f>IFERROR(__xludf.DUMMYFUNCTION("""COMPUTED_VALUE"""),28.39)</f>
        <v>28.39</v>
      </c>
      <c r="F2254" s="2">
        <f>IFERROR(__xludf.DUMMYFUNCTION("""COMPUTED_VALUE"""),1492600.0)</f>
        <v>1492600</v>
      </c>
    </row>
    <row r="2255">
      <c r="A2255" s="3">
        <f>IFERROR(__xludf.DUMMYFUNCTION("""COMPUTED_VALUE"""),32476.666666666668)</f>
        <v>32476.66667</v>
      </c>
      <c r="B2255" s="2">
        <f>IFERROR(__xludf.DUMMYFUNCTION("""COMPUTED_VALUE"""),28.51)</f>
        <v>28.51</v>
      </c>
      <c r="C2255" s="2">
        <f>IFERROR(__xludf.DUMMYFUNCTION("""COMPUTED_VALUE"""),28.6)</f>
        <v>28.6</v>
      </c>
      <c r="D2255" s="2">
        <f>IFERROR(__xludf.DUMMYFUNCTION("""COMPUTED_VALUE"""),28.09)</f>
        <v>28.09</v>
      </c>
      <c r="E2255" s="2">
        <f>IFERROR(__xludf.DUMMYFUNCTION("""COMPUTED_VALUE"""),28.51)</f>
        <v>28.51</v>
      </c>
      <c r="F2255" s="2">
        <f>IFERROR(__xludf.DUMMYFUNCTION("""COMPUTED_VALUE"""),1695200.0)</f>
        <v>1695200</v>
      </c>
    </row>
    <row r="2256">
      <c r="A2256" s="3">
        <f>IFERROR(__xludf.DUMMYFUNCTION("""COMPUTED_VALUE"""),32477.666666666668)</f>
        <v>32477.66667</v>
      </c>
      <c r="B2256" s="2">
        <f>IFERROR(__xludf.DUMMYFUNCTION("""COMPUTED_VALUE"""),28.3)</f>
        <v>28.3</v>
      </c>
      <c r="C2256" s="2">
        <f>IFERROR(__xludf.DUMMYFUNCTION("""COMPUTED_VALUE"""),28.6)</f>
        <v>28.6</v>
      </c>
      <c r="D2256" s="2">
        <f>IFERROR(__xludf.DUMMYFUNCTION("""COMPUTED_VALUE"""),28.24)</f>
        <v>28.24</v>
      </c>
      <c r="E2256" s="2">
        <f>IFERROR(__xludf.DUMMYFUNCTION("""COMPUTED_VALUE"""),28.3)</f>
        <v>28.3</v>
      </c>
      <c r="F2256" s="2">
        <f>IFERROR(__xludf.DUMMYFUNCTION("""COMPUTED_VALUE"""),1270900.0)</f>
        <v>1270900</v>
      </c>
    </row>
    <row r="2257">
      <c r="A2257" s="3">
        <f>IFERROR(__xludf.DUMMYFUNCTION("""COMPUTED_VALUE"""),32478.666666666668)</f>
        <v>32478.66667</v>
      </c>
      <c r="B2257" s="2">
        <f>IFERROR(__xludf.DUMMYFUNCTION("""COMPUTED_VALUE"""),28.24)</f>
        <v>28.24</v>
      </c>
      <c r="C2257" s="2">
        <f>IFERROR(__xludf.DUMMYFUNCTION("""COMPUTED_VALUE"""),28.36)</f>
        <v>28.36</v>
      </c>
      <c r="D2257" s="2">
        <f>IFERROR(__xludf.DUMMYFUNCTION("""COMPUTED_VALUE"""),28.12)</f>
        <v>28.12</v>
      </c>
      <c r="E2257" s="2">
        <f>IFERROR(__xludf.DUMMYFUNCTION("""COMPUTED_VALUE"""),28.24)</f>
        <v>28.24</v>
      </c>
      <c r="F2257" s="2">
        <f>IFERROR(__xludf.DUMMYFUNCTION("""COMPUTED_VALUE"""),897700.0)</f>
        <v>897700</v>
      </c>
    </row>
    <row r="2258">
      <c r="A2258" s="3">
        <f>IFERROR(__xludf.DUMMYFUNCTION("""COMPUTED_VALUE"""),32479.666666666668)</f>
        <v>32479.66667</v>
      </c>
      <c r="B2258" s="2">
        <f>IFERROR(__xludf.DUMMYFUNCTION("""COMPUTED_VALUE"""),28.48)</f>
        <v>28.48</v>
      </c>
      <c r="C2258" s="2">
        <f>IFERROR(__xludf.DUMMYFUNCTION("""COMPUTED_VALUE"""),28.51)</f>
        <v>28.51</v>
      </c>
      <c r="D2258" s="2">
        <f>IFERROR(__xludf.DUMMYFUNCTION("""COMPUTED_VALUE"""),28.09)</f>
        <v>28.09</v>
      </c>
      <c r="E2258" s="2">
        <f>IFERROR(__xludf.DUMMYFUNCTION("""COMPUTED_VALUE"""),28.48)</f>
        <v>28.48</v>
      </c>
      <c r="F2258" s="2">
        <f>IFERROR(__xludf.DUMMYFUNCTION("""COMPUTED_VALUE"""),1357800.0)</f>
        <v>1357800</v>
      </c>
    </row>
    <row r="2259">
      <c r="A2259" s="3">
        <f>IFERROR(__xludf.DUMMYFUNCTION("""COMPUTED_VALUE"""),32482.666666666668)</f>
        <v>32482.66667</v>
      </c>
      <c r="B2259" s="2">
        <f>IFERROR(__xludf.DUMMYFUNCTION("""COMPUTED_VALUE"""),28.86)</f>
        <v>28.86</v>
      </c>
      <c r="C2259" s="2">
        <f>IFERROR(__xludf.DUMMYFUNCTION("""COMPUTED_VALUE"""),29.04)</f>
        <v>29.04</v>
      </c>
      <c r="D2259" s="2">
        <f>IFERROR(__xludf.DUMMYFUNCTION("""COMPUTED_VALUE"""),28.54)</f>
        <v>28.54</v>
      </c>
      <c r="E2259" s="2">
        <f>IFERROR(__xludf.DUMMYFUNCTION("""COMPUTED_VALUE"""),28.86)</f>
        <v>28.86</v>
      </c>
      <c r="F2259" s="2">
        <f>IFERROR(__xludf.DUMMYFUNCTION("""COMPUTED_VALUE"""),1379500.0)</f>
        <v>1379500</v>
      </c>
    </row>
    <row r="2260">
      <c r="A2260" s="3">
        <f>IFERROR(__xludf.DUMMYFUNCTION("""COMPUTED_VALUE"""),32483.666666666668)</f>
        <v>32483.66667</v>
      </c>
      <c r="B2260" s="2">
        <f>IFERROR(__xludf.DUMMYFUNCTION("""COMPUTED_VALUE"""),29.16)</f>
        <v>29.16</v>
      </c>
      <c r="C2260" s="2">
        <f>IFERROR(__xludf.DUMMYFUNCTION("""COMPUTED_VALUE"""),29.16)</f>
        <v>29.16</v>
      </c>
      <c r="D2260" s="2">
        <f>IFERROR(__xludf.DUMMYFUNCTION("""COMPUTED_VALUE"""),28.77)</f>
        <v>28.77</v>
      </c>
      <c r="E2260" s="2">
        <f>IFERROR(__xludf.DUMMYFUNCTION("""COMPUTED_VALUE"""),29.16)</f>
        <v>29.16</v>
      </c>
      <c r="F2260" s="2">
        <f>IFERROR(__xludf.DUMMYFUNCTION("""COMPUTED_VALUE"""),1268500.0)</f>
        <v>1268500</v>
      </c>
    </row>
    <row r="2261">
      <c r="A2261" s="3">
        <f>IFERROR(__xludf.DUMMYFUNCTION("""COMPUTED_VALUE"""),32484.666666666668)</f>
        <v>32484.66667</v>
      </c>
      <c r="B2261" s="2">
        <f>IFERROR(__xludf.DUMMYFUNCTION("""COMPUTED_VALUE"""),28.89)</f>
        <v>28.89</v>
      </c>
      <c r="C2261" s="2">
        <f>IFERROR(__xludf.DUMMYFUNCTION("""COMPUTED_VALUE"""),29.31)</f>
        <v>29.31</v>
      </c>
      <c r="D2261" s="2">
        <f>IFERROR(__xludf.DUMMYFUNCTION("""COMPUTED_VALUE"""),28.86)</f>
        <v>28.86</v>
      </c>
      <c r="E2261" s="2">
        <f>IFERROR(__xludf.DUMMYFUNCTION("""COMPUTED_VALUE"""),28.89)</f>
        <v>28.89</v>
      </c>
      <c r="F2261" s="2">
        <f>IFERROR(__xludf.DUMMYFUNCTION("""COMPUTED_VALUE"""),1404800.0)</f>
        <v>1404800</v>
      </c>
    </row>
    <row r="2262">
      <c r="A2262" s="3">
        <f>IFERROR(__xludf.DUMMYFUNCTION("""COMPUTED_VALUE"""),32485.666666666668)</f>
        <v>32485.66667</v>
      </c>
      <c r="B2262" s="2">
        <f>IFERROR(__xludf.DUMMYFUNCTION("""COMPUTED_VALUE"""),28.51)</f>
        <v>28.51</v>
      </c>
      <c r="C2262" s="2">
        <f>IFERROR(__xludf.DUMMYFUNCTION("""COMPUTED_VALUE"""),28.98)</f>
        <v>28.98</v>
      </c>
      <c r="D2262" s="2">
        <f>IFERROR(__xludf.DUMMYFUNCTION("""COMPUTED_VALUE"""),28.51)</f>
        <v>28.51</v>
      </c>
      <c r="E2262" s="2">
        <f>IFERROR(__xludf.DUMMYFUNCTION("""COMPUTED_VALUE"""),28.51)</f>
        <v>28.51</v>
      </c>
      <c r="F2262" s="2">
        <f>IFERROR(__xludf.DUMMYFUNCTION("""COMPUTED_VALUE"""),909600.0)</f>
        <v>909600</v>
      </c>
    </row>
    <row r="2263">
      <c r="A2263" s="3">
        <f>IFERROR(__xludf.DUMMYFUNCTION("""COMPUTED_VALUE"""),32486.666666666668)</f>
        <v>32486.66667</v>
      </c>
      <c r="B2263" s="2">
        <f>IFERROR(__xludf.DUMMYFUNCTION("""COMPUTED_VALUE"""),28.74)</f>
        <v>28.74</v>
      </c>
      <c r="C2263" s="2">
        <f>IFERROR(__xludf.DUMMYFUNCTION("""COMPUTED_VALUE"""),28.83)</f>
        <v>28.83</v>
      </c>
      <c r="D2263" s="2">
        <f>IFERROR(__xludf.DUMMYFUNCTION("""COMPUTED_VALUE"""),28.57)</f>
        <v>28.57</v>
      </c>
      <c r="E2263" s="2">
        <f>IFERROR(__xludf.DUMMYFUNCTION("""COMPUTED_VALUE"""),28.74)</f>
        <v>28.74</v>
      </c>
      <c r="F2263" s="2">
        <f>IFERROR(__xludf.DUMMYFUNCTION("""COMPUTED_VALUE"""),1128200.0)</f>
        <v>1128200</v>
      </c>
    </row>
    <row r="2264">
      <c r="A2264" s="3">
        <f>IFERROR(__xludf.DUMMYFUNCTION("""COMPUTED_VALUE"""),32489.666666666668)</f>
        <v>32489.66667</v>
      </c>
      <c r="B2264" s="2">
        <f>IFERROR(__xludf.DUMMYFUNCTION("""COMPUTED_VALUE"""),28.77)</f>
        <v>28.77</v>
      </c>
      <c r="C2264" s="2">
        <f>IFERROR(__xludf.DUMMYFUNCTION("""COMPUTED_VALUE"""),29.1)</f>
        <v>29.1</v>
      </c>
      <c r="D2264" s="2">
        <f>IFERROR(__xludf.DUMMYFUNCTION("""COMPUTED_VALUE"""),28.68)</f>
        <v>28.68</v>
      </c>
      <c r="E2264" s="2">
        <f>IFERROR(__xludf.DUMMYFUNCTION("""COMPUTED_VALUE"""),28.77)</f>
        <v>28.77</v>
      </c>
      <c r="F2264" s="2">
        <f>IFERROR(__xludf.DUMMYFUNCTION("""COMPUTED_VALUE"""),895800.0)</f>
        <v>895800</v>
      </c>
    </row>
    <row r="2265">
      <c r="A2265" s="3">
        <f>IFERROR(__xludf.DUMMYFUNCTION("""COMPUTED_VALUE"""),32490.666666666668)</f>
        <v>32490.66667</v>
      </c>
      <c r="B2265" s="2">
        <f>IFERROR(__xludf.DUMMYFUNCTION("""COMPUTED_VALUE"""),28.83)</f>
        <v>28.83</v>
      </c>
      <c r="C2265" s="2">
        <f>IFERROR(__xludf.DUMMYFUNCTION("""COMPUTED_VALUE"""),28.83)</f>
        <v>28.83</v>
      </c>
      <c r="D2265" s="2">
        <f>IFERROR(__xludf.DUMMYFUNCTION("""COMPUTED_VALUE"""),28.54)</f>
        <v>28.54</v>
      </c>
      <c r="E2265" s="2">
        <f>IFERROR(__xludf.DUMMYFUNCTION("""COMPUTED_VALUE"""),28.83)</f>
        <v>28.83</v>
      </c>
      <c r="F2265" s="2">
        <f>IFERROR(__xludf.DUMMYFUNCTION("""COMPUTED_VALUE"""),959600.0)</f>
        <v>959600</v>
      </c>
    </row>
    <row r="2266">
      <c r="A2266" s="3">
        <f>IFERROR(__xludf.DUMMYFUNCTION("""COMPUTED_VALUE"""),32491.666666666668)</f>
        <v>32491.66667</v>
      </c>
      <c r="B2266" s="2">
        <f>IFERROR(__xludf.DUMMYFUNCTION("""COMPUTED_VALUE"""),28.77)</f>
        <v>28.77</v>
      </c>
      <c r="C2266" s="2">
        <f>IFERROR(__xludf.DUMMYFUNCTION("""COMPUTED_VALUE"""),29.07)</f>
        <v>29.07</v>
      </c>
      <c r="D2266" s="2">
        <f>IFERROR(__xludf.DUMMYFUNCTION("""COMPUTED_VALUE"""),28.71)</f>
        <v>28.71</v>
      </c>
      <c r="E2266" s="2">
        <f>IFERROR(__xludf.DUMMYFUNCTION("""COMPUTED_VALUE"""),28.77)</f>
        <v>28.77</v>
      </c>
      <c r="F2266" s="2">
        <f>IFERROR(__xludf.DUMMYFUNCTION("""COMPUTED_VALUE"""),1195800.0)</f>
        <v>1195800</v>
      </c>
    </row>
    <row r="2267">
      <c r="A2267" s="3">
        <f>IFERROR(__xludf.DUMMYFUNCTION("""COMPUTED_VALUE"""),32492.666666666668)</f>
        <v>32492.66667</v>
      </c>
      <c r="B2267" s="2">
        <f>IFERROR(__xludf.DUMMYFUNCTION("""COMPUTED_VALUE"""),28.89)</f>
        <v>28.89</v>
      </c>
      <c r="C2267" s="2">
        <f>IFERROR(__xludf.DUMMYFUNCTION("""COMPUTED_VALUE"""),29.04)</f>
        <v>29.04</v>
      </c>
      <c r="D2267" s="2">
        <f>IFERROR(__xludf.DUMMYFUNCTION("""COMPUTED_VALUE"""),28.71)</f>
        <v>28.71</v>
      </c>
      <c r="E2267" s="2">
        <f>IFERROR(__xludf.DUMMYFUNCTION("""COMPUTED_VALUE"""),28.89)</f>
        <v>28.89</v>
      </c>
      <c r="F2267" s="2">
        <f>IFERROR(__xludf.DUMMYFUNCTION("""COMPUTED_VALUE"""),925400.0)</f>
        <v>925400</v>
      </c>
    </row>
    <row r="2268">
      <c r="A2268" s="3">
        <f>IFERROR(__xludf.DUMMYFUNCTION("""COMPUTED_VALUE"""),32493.666666666668)</f>
        <v>32493.66667</v>
      </c>
      <c r="B2268" s="2">
        <f>IFERROR(__xludf.DUMMYFUNCTION("""COMPUTED_VALUE"""),28.95)</f>
        <v>28.95</v>
      </c>
      <c r="C2268" s="2">
        <f>IFERROR(__xludf.DUMMYFUNCTION("""COMPUTED_VALUE"""),29.1)</f>
        <v>29.1</v>
      </c>
      <c r="D2268" s="2">
        <f>IFERROR(__xludf.DUMMYFUNCTION("""COMPUTED_VALUE"""),28.92)</f>
        <v>28.92</v>
      </c>
      <c r="E2268" s="2">
        <f>IFERROR(__xludf.DUMMYFUNCTION("""COMPUTED_VALUE"""),28.95)</f>
        <v>28.95</v>
      </c>
      <c r="F2268" s="2">
        <f>IFERROR(__xludf.DUMMYFUNCTION("""COMPUTED_VALUE"""),2007100.0)</f>
        <v>2007100</v>
      </c>
    </row>
    <row r="2269">
      <c r="A2269" s="3">
        <f>IFERROR(__xludf.DUMMYFUNCTION("""COMPUTED_VALUE"""),32496.666666666668)</f>
        <v>32496.66667</v>
      </c>
      <c r="B2269" s="2">
        <f>IFERROR(__xludf.DUMMYFUNCTION("""COMPUTED_VALUE"""),29.31)</f>
        <v>29.31</v>
      </c>
      <c r="C2269" s="2">
        <f>IFERROR(__xludf.DUMMYFUNCTION("""COMPUTED_VALUE"""),29.43)</f>
        <v>29.43</v>
      </c>
      <c r="D2269" s="2">
        <f>IFERROR(__xludf.DUMMYFUNCTION("""COMPUTED_VALUE"""),28.92)</f>
        <v>28.92</v>
      </c>
      <c r="E2269" s="2">
        <f>IFERROR(__xludf.DUMMYFUNCTION("""COMPUTED_VALUE"""),29.31)</f>
        <v>29.31</v>
      </c>
      <c r="F2269" s="2">
        <f>IFERROR(__xludf.DUMMYFUNCTION("""COMPUTED_VALUE"""),1422000.0)</f>
        <v>1422000</v>
      </c>
    </row>
    <row r="2270">
      <c r="A2270" s="3">
        <f>IFERROR(__xludf.DUMMYFUNCTION("""COMPUTED_VALUE"""),32497.666666666668)</f>
        <v>32497.66667</v>
      </c>
      <c r="B2270" s="2">
        <f>IFERROR(__xludf.DUMMYFUNCTION("""COMPUTED_VALUE"""),29.43)</f>
        <v>29.43</v>
      </c>
      <c r="C2270" s="2">
        <f>IFERROR(__xludf.DUMMYFUNCTION("""COMPUTED_VALUE"""),29.64)</f>
        <v>29.64</v>
      </c>
      <c r="D2270" s="2">
        <f>IFERROR(__xludf.DUMMYFUNCTION("""COMPUTED_VALUE"""),29.37)</f>
        <v>29.37</v>
      </c>
      <c r="E2270" s="2">
        <f>IFERROR(__xludf.DUMMYFUNCTION("""COMPUTED_VALUE"""),29.43)</f>
        <v>29.43</v>
      </c>
      <c r="F2270" s="2">
        <f>IFERROR(__xludf.DUMMYFUNCTION("""COMPUTED_VALUE"""),2105600.0)</f>
        <v>2105600</v>
      </c>
    </row>
    <row r="2271">
      <c r="A2271" s="3">
        <f>IFERROR(__xludf.DUMMYFUNCTION("""COMPUTED_VALUE"""),32498.666666666668)</f>
        <v>32498.66667</v>
      </c>
      <c r="B2271" s="2">
        <f>IFERROR(__xludf.DUMMYFUNCTION("""COMPUTED_VALUE"""),29.37)</f>
        <v>29.37</v>
      </c>
      <c r="C2271" s="2">
        <f>IFERROR(__xludf.DUMMYFUNCTION("""COMPUTED_VALUE"""),29.52)</f>
        <v>29.52</v>
      </c>
      <c r="D2271" s="2">
        <f>IFERROR(__xludf.DUMMYFUNCTION("""COMPUTED_VALUE"""),29.31)</f>
        <v>29.31</v>
      </c>
      <c r="E2271" s="2">
        <f>IFERROR(__xludf.DUMMYFUNCTION("""COMPUTED_VALUE"""),29.37)</f>
        <v>29.37</v>
      </c>
      <c r="F2271" s="2">
        <f>IFERROR(__xludf.DUMMYFUNCTION("""COMPUTED_VALUE"""),1207400.0)</f>
        <v>1207400</v>
      </c>
    </row>
    <row r="2272">
      <c r="A2272" s="3">
        <f>IFERROR(__xludf.DUMMYFUNCTION("""COMPUTED_VALUE"""),32499.666666666668)</f>
        <v>32499.66667</v>
      </c>
      <c r="B2272" s="2">
        <f>IFERROR(__xludf.DUMMYFUNCTION("""COMPUTED_VALUE"""),29.25)</f>
        <v>29.25</v>
      </c>
      <c r="C2272" s="2">
        <f>IFERROR(__xludf.DUMMYFUNCTION("""COMPUTED_VALUE"""),29.43)</f>
        <v>29.43</v>
      </c>
      <c r="D2272" s="2">
        <f>IFERROR(__xludf.DUMMYFUNCTION("""COMPUTED_VALUE"""),29.22)</f>
        <v>29.22</v>
      </c>
      <c r="E2272" s="2">
        <f>IFERROR(__xludf.DUMMYFUNCTION("""COMPUTED_VALUE"""),29.25)</f>
        <v>29.25</v>
      </c>
      <c r="F2272" s="2">
        <f>IFERROR(__xludf.DUMMYFUNCTION("""COMPUTED_VALUE"""),797000.0)</f>
        <v>797000</v>
      </c>
    </row>
    <row r="2273">
      <c r="A2273" s="3">
        <f>IFERROR(__xludf.DUMMYFUNCTION("""COMPUTED_VALUE"""),32500.666666666668)</f>
        <v>32500.66667</v>
      </c>
      <c r="B2273" s="2">
        <f>IFERROR(__xludf.DUMMYFUNCTION("""COMPUTED_VALUE"""),29.46)</f>
        <v>29.46</v>
      </c>
      <c r="C2273" s="2">
        <f>IFERROR(__xludf.DUMMYFUNCTION("""COMPUTED_VALUE"""),29.49)</f>
        <v>29.49</v>
      </c>
      <c r="D2273" s="2">
        <f>IFERROR(__xludf.DUMMYFUNCTION("""COMPUTED_VALUE"""),29.31)</f>
        <v>29.31</v>
      </c>
      <c r="E2273" s="2">
        <f>IFERROR(__xludf.DUMMYFUNCTION("""COMPUTED_VALUE"""),29.46)</f>
        <v>29.46</v>
      </c>
      <c r="F2273" s="2">
        <f>IFERROR(__xludf.DUMMYFUNCTION("""COMPUTED_VALUE"""),462900.0)</f>
        <v>462900</v>
      </c>
    </row>
    <row r="2274">
      <c r="A2274" s="3">
        <f>IFERROR(__xludf.DUMMYFUNCTION("""COMPUTED_VALUE"""),32504.666666666668)</f>
        <v>32504.66667</v>
      </c>
      <c r="B2274" s="2">
        <f>IFERROR(__xludf.DUMMYFUNCTION("""COMPUTED_VALUE"""),29.4)</f>
        <v>29.4</v>
      </c>
      <c r="C2274" s="2">
        <f>IFERROR(__xludf.DUMMYFUNCTION("""COMPUTED_VALUE"""),29.58)</f>
        <v>29.58</v>
      </c>
      <c r="D2274" s="2">
        <f>IFERROR(__xludf.DUMMYFUNCTION("""COMPUTED_VALUE"""),29.28)</f>
        <v>29.28</v>
      </c>
      <c r="E2274" s="2">
        <f>IFERROR(__xludf.DUMMYFUNCTION("""COMPUTED_VALUE"""),29.4)</f>
        <v>29.4</v>
      </c>
      <c r="F2274" s="2">
        <f>IFERROR(__xludf.DUMMYFUNCTION("""COMPUTED_VALUE"""),575000.0)</f>
        <v>575000</v>
      </c>
    </row>
    <row r="2275">
      <c r="A2275" s="3">
        <f>IFERROR(__xludf.DUMMYFUNCTION("""COMPUTED_VALUE"""),32505.666666666668)</f>
        <v>32505.66667</v>
      </c>
      <c r="B2275" s="2">
        <f>IFERROR(__xludf.DUMMYFUNCTION("""COMPUTED_VALUE"""),29.25)</f>
        <v>29.25</v>
      </c>
      <c r="C2275" s="2">
        <f>IFERROR(__xludf.DUMMYFUNCTION("""COMPUTED_VALUE"""),29.4)</f>
        <v>29.4</v>
      </c>
      <c r="D2275" s="2">
        <f>IFERROR(__xludf.DUMMYFUNCTION("""COMPUTED_VALUE"""),29.1)</f>
        <v>29.1</v>
      </c>
      <c r="E2275" s="2">
        <f>IFERROR(__xludf.DUMMYFUNCTION("""COMPUTED_VALUE"""),29.25)</f>
        <v>29.25</v>
      </c>
      <c r="F2275" s="2">
        <f>IFERROR(__xludf.DUMMYFUNCTION("""COMPUTED_VALUE"""),583200.0)</f>
        <v>583200</v>
      </c>
    </row>
    <row r="2276">
      <c r="A2276" s="3">
        <f>IFERROR(__xludf.DUMMYFUNCTION("""COMPUTED_VALUE"""),32506.666666666668)</f>
        <v>32506.66667</v>
      </c>
      <c r="B2276" s="2">
        <f>IFERROR(__xludf.DUMMYFUNCTION("""COMPUTED_VALUE"""),29.43)</f>
        <v>29.43</v>
      </c>
      <c r="C2276" s="2">
        <f>IFERROR(__xludf.DUMMYFUNCTION("""COMPUTED_VALUE"""),29.61)</f>
        <v>29.61</v>
      </c>
      <c r="D2276" s="2">
        <f>IFERROR(__xludf.DUMMYFUNCTION("""COMPUTED_VALUE"""),29.25)</f>
        <v>29.25</v>
      </c>
      <c r="E2276" s="2">
        <f>IFERROR(__xludf.DUMMYFUNCTION("""COMPUTED_VALUE"""),29.43)</f>
        <v>29.43</v>
      </c>
      <c r="F2276" s="2">
        <f>IFERROR(__xludf.DUMMYFUNCTION("""COMPUTED_VALUE"""),771300.0)</f>
        <v>771300</v>
      </c>
    </row>
    <row r="2277">
      <c r="A2277" s="3">
        <f>IFERROR(__xludf.DUMMYFUNCTION("""COMPUTED_VALUE"""),32507.666666666668)</f>
        <v>32507.66667</v>
      </c>
      <c r="B2277" s="2">
        <f>IFERROR(__xludf.DUMMYFUNCTION("""COMPUTED_VALUE"""),29.1)</f>
        <v>29.1</v>
      </c>
      <c r="C2277" s="2">
        <f>IFERROR(__xludf.DUMMYFUNCTION("""COMPUTED_VALUE"""),29.52)</f>
        <v>29.52</v>
      </c>
      <c r="D2277" s="2">
        <f>IFERROR(__xludf.DUMMYFUNCTION("""COMPUTED_VALUE"""),29.04)</f>
        <v>29.04</v>
      </c>
      <c r="E2277" s="2">
        <f>IFERROR(__xludf.DUMMYFUNCTION("""COMPUTED_VALUE"""),29.1)</f>
        <v>29.1</v>
      </c>
      <c r="F2277" s="2">
        <f>IFERROR(__xludf.DUMMYFUNCTION("""COMPUTED_VALUE"""),591400.0)</f>
        <v>591400</v>
      </c>
    </row>
    <row r="2278">
      <c r="A2278" s="3">
        <f>IFERROR(__xludf.DUMMYFUNCTION("""COMPUTED_VALUE"""),32511.666666666668)</f>
        <v>32511.66667</v>
      </c>
      <c r="B2278" s="2">
        <f>IFERROR(__xludf.DUMMYFUNCTION("""COMPUTED_VALUE"""),28.89)</f>
        <v>28.89</v>
      </c>
      <c r="C2278" s="2">
        <f>IFERROR(__xludf.DUMMYFUNCTION("""COMPUTED_VALUE"""),29.19)</f>
        <v>29.19</v>
      </c>
      <c r="D2278" s="2">
        <f>IFERROR(__xludf.DUMMYFUNCTION("""COMPUTED_VALUE"""),28.8)</f>
        <v>28.8</v>
      </c>
      <c r="E2278" s="2">
        <f>IFERROR(__xludf.DUMMYFUNCTION("""COMPUTED_VALUE"""),28.89)</f>
        <v>28.89</v>
      </c>
      <c r="F2278" s="2">
        <f>IFERROR(__xludf.DUMMYFUNCTION("""COMPUTED_VALUE"""),1454600.0)</f>
        <v>1454600</v>
      </c>
    </row>
    <row r="2279">
      <c r="A2279" s="3">
        <f>IFERROR(__xludf.DUMMYFUNCTION("""COMPUTED_VALUE"""),32512.666666666668)</f>
        <v>32512.66667</v>
      </c>
      <c r="B2279" s="2">
        <f>IFERROR(__xludf.DUMMYFUNCTION("""COMPUTED_VALUE"""),29.25)</f>
        <v>29.25</v>
      </c>
      <c r="C2279" s="2">
        <f>IFERROR(__xludf.DUMMYFUNCTION("""COMPUTED_VALUE"""),29.28)</f>
        <v>29.28</v>
      </c>
      <c r="D2279" s="2">
        <f>IFERROR(__xludf.DUMMYFUNCTION("""COMPUTED_VALUE"""),28.95)</f>
        <v>28.95</v>
      </c>
      <c r="E2279" s="2">
        <f>IFERROR(__xludf.DUMMYFUNCTION("""COMPUTED_VALUE"""),29.25)</f>
        <v>29.25</v>
      </c>
      <c r="F2279" s="2">
        <f>IFERROR(__xludf.DUMMYFUNCTION("""COMPUTED_VALUE"""),1272400.0)</f>
        <v>1272400</v>
      </c>
    </row>
    <row r="2280">
      <c r="A2280" s="3">
        <f>IFERROR(__xludf.DUMMYFUNCTION("""COMPUTED_VALUE"""),32513.666666666668)</f>
        <v>32513.66667</v>
      </c>
      <c r="B2280" s="2">
        <f>IFERROR(__xludf.DUMMYFUNCTION("""COMPUTED_VALUE"""),29.19)</f>
        <v>29.19</v>
      </c>
      <c r="C2280" s="2">
        <f>IFERROR(__xludf.DUMMYFUNCTION("""COMPUTED_VALUE"""),29.4)</f>
        <v>29.4</v>
      </c>
      <c r="D2280" s="2">
        <f>IFERROR(__xludf.DUMMYFUNCTION("""COMPUTED_VALUE"""),29.13)</f>
        <v>29.13</v>
      </c>
      <c r="E2280" s="2">
        <f>IFERROR(__xludf.DUMMYFUNCTION("""COMPUTED_VALUE"""),29.19)</f>
        <v>29.19</v>
      </c>
      <c r="F2280" s="2">
        <f>IFERROR(__xludf.DUMMYFUNCTION("""COMPUTED_VALUE"""),1444600.0)</f>
        <v>1444600</v>
      </c>
    </row>
    <row r="2281">
      <c r="A2281" s="3">
        <f>IFERROR(__xludf.DUMMYFUNCTION("""COMPUTED_VALUE"""),32514.666666666668)</f>
        <v>32514.66667</v>
      </c>
      <c r="B2281" s="2">
        <f>IFERROR(__xludf.DUMMYFUNCTION("""COMPUTED_VALUE"""),29.1)</f>
        <v>29.1</v>
      </c>
      <c r="C2281" s="2">
        <f>IFERROR(__xludf.DUMMYFUNCTION("""COMPUTED_VALUE"""),29.31)</f>
        <v>29.31</v>
      </c>
      <c r="D2281" s="2">
        <f>IFERROR(__xludf.DUMMYFUNCTION("""COMPUTED_VALUE"""),28.98)</f>
        <v>28.98</v>
      </c>
      <c r="E2281" s="2">
        <f>IFERROR(__xludf.DUMMYFUNCTION("""COMPUTED_VALUE"""),29.1)</f>
        <v>29.1</v>
      </c>
      <c r="F2281" s="2">
        <f>IFERROR(__xludf.DUMMYFUNCTION("""COMPUTED_VALUE"""),1276000.0)</f>
        <v>1276000</v>
      </c>
    </row>
    <row r="2282">
      <c r="A2282" s="3">
        <f>IFERROR(__xludf.DUMMYFUNCTION("""COMPUTED_VALUE"""),32517.666666666668)</f>
        <v>32517.66667</v>
      </c>
      <c r="B2282" s="2">
        <f>IFERROR(__xludf.DUMMYFUNCTION("""COMPUTED_VALUE"""),29.13)</f>
        <v>29.13</v>
      </c>
      <c r="C2282" s="2">
        <f>IFERROR(__xludf.DUMMYFUNCTION("""COMPUTED_VALUE"""),29.22)</f>
        <v>29.22</v>
      </c>
      <c r="D2282" s="2">
        <f>IFERROR(__xludf.DUMMYFUNCTION("""COMPUTED_VALUE"""),29.01)</f>
        <v>29.01</v>
      </c>
      <c r="E2282" s="2">
        <f>IFERROR(__xludf.DUMMYFUNCTION("""COMPUTED_VALUE"""),29.13)</f>
        <v>29.13</v>
      </c>
      <c r="F2282" s="2">
        <f>IFERROR(__xludf.DUMMYFUNCTION("""COMPUTED_VALUE"""),1151100.0)</f>
        <v>1151100</v>
      </c>
    </row>
    <row r="2283">
      <c r="A2283" s="3">
        <f>IFERROR(__xludf.DUMMYFUNCTION("""COMPUTED_VALUE"""),32518.666666666668)</f>
        <v>32518.66667</v>
      </c>
      <c r="B2283" s="2">
        <f>IFERROR(__xludf.DUMMYFUNCTION("""COMPUTED_VALUE"""),28.92)</f>
        <v>28.92</v>
      </c>
      <c r="C2283" s="2">
        <f>IFERROR(__xludf.DUMMYFUNCTION("""COMPUTED_VALUE"""),29.25)</f>
        <v>29.25</v>
      </c>
      <c r="D2283" s="2">
        <f>IFERROR(__xludf.DUMMYFUNCTION("""COMPUTED_VALUE"""),28.86)</f>
        <v>28.86</v>
      </c>
      <c r="E2283" s="2">
        <f>IFERROR(__xludf.DUMMYFUNCTION("""COMPUTED_VALUE"""),28.92)</f>
        <v>28.92</v>
      </c>
      <c r="F2283" s="2">
        <f>IFERROR(__xludf.DUMMYFUNCTION("""COMPUTED_VALUE"""),1073700.0)</f>
        <v>1073700</v>
      </c>
    </row>
    <row r="2284">
      <c r="A2284" s="3">
        <f>IFERROR(__xludf.DUMMYFUNCTION("""COMPUTED_VALUE"""),32519.666666666668)</f>
        <v>32519.66667</v>
      </c>
      <c r="B2284" s="2">
        <f>IFERROR(__xludf.DUMMYFUNCTION("""COMPUTED_VALUE"""),29.19)</f>
        <v>29.19</v>
      </c>
      <c r="C2284" s="2">
        <f>IFERROR(__xludf.DUMMYFUNCTION("""COMPUTED_VALUE"""),29.19)</f>
        <v>29.19</v>
      </c>
      <c r="D2284" s="2">
        <f>IFERROR(__xludf.DUMMYFUNCTION("""COMPUTED_VALUE"""),28.83)</f>
        <v>28.83</v>
      </c>
      <c r="E2284" s="2">
        <f>IFERROR(__xludf.DUMMYFUNCTION("""COMPUTED_VALUE"""),29.19)</f>
        <v>29.19</v>
      </c>
      <c r="F2284" s="2">
        <f>IFERROR(__xludf.DUMMYFUNCTION("""COMPUTED_VALUE"""),957600.0)</f>
        <v>957600</v>
      </c>
    </row>
    <row r="2285">
      <c r="A2285" s="3">
        <f>IFERROR(__xludf.DUMMYFUNCTION("""COMPUTED_VALUE"""),32520.666666666668)</f>
        <v>32520.66667</v>
      </c>
      <c r="B2285" s="2">
        <f>IFERROR(__xludf.DUMMYFUNCTION("""COMPUTED_VALUE"""),29.4)</f>
        <v>29.4</v>
      </c>
      <c r="C2285" s="2">
        <f>IFERROR(__xludf.DUMMYFUNCTION("""COMPUTED_VALUE"""),29.64)</f>
        <v>29.64</v>
      </c>
      <c r="D2285" s="2">
        <f>IFERROR(__xludf.DUMMYFUNCTION("""COMPUTED_VALUE"""),29.19)</f>
        <v>29.19</v>
      </c>
      <c r="E2285" s="2">
        <f>IFERROR(__xludf.DUMMYFUNCTION("""COMPUTED_VALUE"""),29.4)</f>
        <v>29.4</v>
      </c>
      <c r="F2285" s="2">
        <f>IFERROR(__xludf.DUMMYFUNCTION("""COMPUTED_VALUE"""),1981900.0)</f>
        <v>1981900</v>
      </c>
    </row>
    <row r="2286">
      <c r="A2286" s="3">
        <f>IFERROR(__xludf.DUMMYFUNCTION("""COMPUTED_VALUE"""),32521.666666666668)</f>
        <v>32521.66667</v>
      </c>
      <c r="B2286" s="2">
        <f>IFERROR(__xludf.DUMMYFUNCTION("""COMPUTED_VALUE"""),29.46)</f>
        <v>29.46</v>
      </c>
      <c r="C2286" s="2">
        <f>IFERROR(__xludf.DUMMYFUNCTION("""COMPUTED_VALUE"""),29.55)</f>
        <v>29.55</v>
      </c>
      <c r="D2286" s="2">
        <f>IFERROR(__xludf.DUMMYFUNCTION("""COMPUTED_VALUE"""),29.22)</f>
        <v>29.22</v>
      </c>
      <c r="E2286" s="2">
        <f>IFERROR(__xludf.DUMMYFUNCTION("""COMPUTED_VALUE"""),29.46)</f>
        <v>29.46</v>
      </c>
      <c r="F2286" s="2">
        <f>IFERROR(__xludf.DUMMYFUNCTION("""COMPUTED_VALUE"""),1169500.0)</f>
        <v>1169500</v>
      </c>
    </row>
    <row r="2287">
      <c r="A2287" s="3">
        <f>IFERROR(__xludf.DUMMYFUNCTION("""COMPUTED_VALUE"""),32524.666666666668)</f>
        <v>32524.66667</v>
      </c>
      <c r="B2287" s="2">
        <f>IFERROR(__xludf.DUMMYFUNCTION("""COMPUTED_VALUE"""),29.67)</f>
        <v>29.67</v>
      </c>
      <c r="C2287" s="2">
        <f>IFERROR(__xludf.DUMMYFUNCTION("""COMPUTED_VALUE"""),29.88)</f>
        <v>29.88</v>
      </c>
      <c r="D2287" s="2">
        <f>IFERROR(__xludf.DUMMYFUNCTION("""COMPUTED_VALUE"""),29.46)</f>
        <v>29.46</v>
      </c>
      <c r="E2287" s="2">
        <f>IFERROR(__xludf.DUMMYFUNCTION("""COMPUTED_VALUE"""),29.67)</f>
        <v>29.67</v>
      </c>
      <c r="F2287" s="2">
        <f>IFERROR(__xludf.DUMMYFUNCTION("""COMPUTED_VALUE"""),1249000.0)</f>
        <v>1249000</v>
      </c>
    </row>
    <row r="2288">
      <c r="A2288" s="3">
        <f>IFERROR(__xludf.DUMMYFUNCTION("""COMPUTED_VALUE"""),32525.666666666668)</f>
        <v>32525.66667</v>
      </c>
      <c r="B2288" s="2">
        <f>IFERROR(__xludf.DUMMYFUNCTION("""COMPUTED_VALUE"""),29.58)</f>
        <v>29.58</v>
      </c>
      <c r="C2288" s="2">
        <f>IFERROR(__xludf.DUMMYFUNCTION("""COMPUTED_VALUE"""),29.73)</f>
        <v>29.73</v>
      </c>
      <c r="D2288" s="2">
        <f>IFERROR(__xludf.DUMMYFUNCTION("""COMPUTED_VALUE"""),29.49)</f>
        <v>29.49</v>
      </c>
      <c r="E2288" s="2">
        <f>IFERROR(__xludf.DUMMYFUNCTION("""COMPUTED_VALUE"""),29.58)</f>
        <v>29.58</v>
      </c>
      <c r="F2288" s="2">
        <f>IFERROR(__xludf.DUMMYFUNCTION("""COMPUTED_VALUE"""),1177700.0)</f>
        <v>1177700</v>
      </c>
    </row>
    <row r="2289">
      <c r="A2289" s="3">
        <f>IFERROR(__xludf.DUMMYFUNCTION("""COMPUTED_VALUE"""),32526.666666666668)</f>
        <v>32526.66667</v>
      </c>
      <c r="B2289" s="2">
        <f>IFERROR(__xludf.DUMMYFUNCTION("""COMPUTED_VALUE"""),29.85)</f>
        <v>29.85</v>
      </c>
      <c r="C2289" s="2">
        <f>IFERROR(__xludf.DUMMYFUNCTION("""COMPUTED_VALUE"""),29.85)</f>
        <v>29.85</v>
      </c>
      <c r="D2289" s="2">
        <f>IFERROR(__xludf.DUMMYFUNCTION("""COMPUTED_VALUE"""),29.16)</f>
        <v>29.16</v>
      </c>
      <c r="E2289" s="2">
        <f>IFERROR(__xludf.DUMMYFUNCTION("""COMPUTED_VALUE"""),29.85)</f>
        <v>29.85</v>
      </c>
      <c r="F2289" s="2">
        <f>IFERROR(__xludf.DUMMYFUNCTION("""COMPUTED_VALUE"""),1970600.0)</f>
        <v>1970600</v>
      </c>
    </row>
    <row r="2290">
      <c r="A2290" s="3">
        <f>IFERROR(__xludf.DUMMYFUNCTION("""COMPUTED_VALUE"""),32527.666666666668)</f>
        <v>32527.66667</v>
      </c>
      <c r="B2290" s="2">
        <f>IFERROR(__xludf.DUMMYFUNCTION("""COMPUTED_VALUE"""),29.67)</f>
        <v>29.67</v>
      </c>
      <c r="C2290" s="2">
        <f>IFERROR(__xludf.DUMMYFUNCTION("""COMPUTED_VALUE"""),29.94)</f>
        <v>29.94</v>
      </c>
      <c r="D2290" s="2">
        <f>IFERROR(__xludf.DUMMYFUNCTION("""COMPUTED_VALUE"""),29.55)</f>
        <v>29.55</v>
      </c>
      <c r="E2290" s="2">
        <f>IFERROR(__xludf.DUMMYFUNCTION("""COMPUTED_VALUE"""),29.67)</f>
        <v>29.67</v>
      </c>
      <c r="F2290" s="2">
        <f>IFERROR(__xludf.DUMMYFUNCTION("""COMPUTED_VALUE"""),1745600.0)</f>
        <v>1745600</v>
      </c>
    </row>
    <row r="2291">
      <c r="A2291" s="3">
        <f>IFERROR(__xludf.DUMMYFUNCTION("""COMPUTED_VALUE"""),32528.666666666668)</f>
        <v>32528.66667</v>
      </c>
      <c r="B2291" s="2">
        <f>IFERROR(__xludf.DUMMYFUNCTION("""COMPUTED_VALUE"""),29.52)</f>
        <v>29.52</v>
      </c>
      <c r="C2291" s="2">
        <f>IFERROR(__xludf.DUMMYFUNCTION("""COMPUTED_VALUE"""),29.7)</f>
        <v>29.7</v>
      </c>
      <c r="D2291" s="2">
        <f>IFERROR(__xludf.DUMMYFUNCTION("""COMPUTED_VALUE"""),29.49)</f>
        <v>29.49</v>
      </c>
      <c r="E2291" s="2">
        <f>IFERROR(__xludf.DUMMYFUNCTION("""COMPUTED_VALUE"""),29.52)</f>
        <v>29.52</v>
      </c>
      <c r="F2291" s="2">
        <f>IFERROR(__xludf.DUMMYFUNCTION("""COMPUTED_VALUE"""),1016300.0)</f>
        <v>1016300</v>
      </c>
    </row>
    <row r="2292">
      <c r="A2292" s="3">
        <f>IFERROR(__xludf.DUMMYFUNCTION("""COMPUTED_VALUE"""),32531.666666666668)</f>
        <v>32531.66667</v>
      </c>
      <c r="B2292" s="2">
        <f>IFERROR(__xludf.DUMMYFUNCTION("""COMPUTED_VALUE"""),29.22)</f>
        <v>29.22</v>
      </c>
      <c r="C2292" s="2">
        <f>IFERROR(__xludf.DUMMYFUNCTION("""COMPUTED_VALUE"""),29.64)</f>
        <v>29.64</v>
      </c>
      <c r="D2292" s="2">
        <f>IFERROR(__xludf.DUMMYFUNCTION("""COMPUTED_VALUE"""),29.16)</f>
        <v>29.16</v>
      </c>
      <c r="E2292" s="2">
        <f>IFERROR(__xludf.DUMMYFUNCTION("""COMPUTED_VALUE"""),29.22)</f>
        <v>29.22</v>
      </c>
      <c r="F2292" s="2">
        <f>IFERROR(__xludf.DUMMYFUNCTION("""COMPUTED_VALUE"""),956900.0)</f>
        <v>956900</v>
      </c>
    </row>
    <row r="2293">
      <c r="A2293" s="3">
        <f>IFERROR(__xludf.DUMMYFUNCTION("""COMPUTED_VALUE"""),32532.666666666668)</f>
        <v>32532.66667</v>
      </c>
      <c r="B2293" s="2">
        <f>IFERROR(__xludf.DUMMYFUNCTION("""COMPUTED_VALUE"""),29.67)</f>
        <v>29.67</v>
      </c>
      <c r="C2293" s="2">
        <f>IFERROR(__xludf.DUMMYFUNCTION("""COMPUTED_VALUE"""),29.76)</f>
        <v>29.76</v>
      </c>
      <c r="D2293" s="2">
        <f>IFERROR(__xludf.DUMMYFUNCTION("""COMPUTED_VALUE"""),29.16)</f>
        <v>29.16</v>
      </c>
      <c r="E2293" s="2">
        <f>IFERROR(__xludf.DUMMYFUNCTION("""COMPUTED_VALUE"""),29.67)</f>
        <v>29.67</v>
      </c>
      <c r="F2293" s="2">
        <f>IFERROR(__xludf.DUMMYFUNCTION("""COMPUTED_VALUE"""),1392500.0)</f>
        <v>1392500</v>
      </c>
    </row>
    <row r="2294">
      <c r="A2294" s="3">
        <f>IFERROR(__xludf.DUMMYFUNCTION("""COMPUTED_VALUE"""),32533.666666666668)</f>
        <v>32533.66667</v>
      </c>
      <c r="B2294" s="2">
        <f>IFERROR(__xludf.DUMMYFUNCTION("""COMPUTED_VALUE"""),29.43)</f>
        <v>29.43</v>
      </c>
      <c r="C2294" s="2">
        <f>IFERROR(__xludf.DUMMYFUNCTION("""COMPUTED_VALUE"""),29.7)</f>
        <v>29.7</v>
      </c>
      <c r="D2294" s="2">
        <f>IFERROR(__xludf.DUMMYFUNCTION("""COMPUTED_VALUE"""),29.37)</f>
        <v>29.37</v>
      </c>
      <c r="E2294" s="2">
        <f>IFERROR(__xludf.DUMMYFUNCTION("""COMPUTED_VALUE"""),29.43)</f>
        <v>29.43</v>
      </c>
      <c r="F2294" s="2">
        <f>IFERROR(__xludf.DUMMYFUNCTION("""COMPUTED_VALUE"""),1417200.0)</f>
        <v>1417200</v>
      </c>
    </row>
    <row r="2295">
      <c r="A2295" s="3">
        <f>IFERROR(__xludf.DUMMYFUNCTION("""COMPUTED_VALUE"""),32534.666666666668)</f>
        <v>32534.66667</v>
      </c>
      <c r="B2295" s="2">
        <f>IFERROR(__xludf.DUMMYFUNCTION("""COMPUTED_VALUE"""),30.09)</f>
        <v>30.09</v>
      </c>
      <c r="C2295" s="2">
        <f>IFERROR(__xludf.DUMMYFUNCTION("""COMPUTED_VALUE"""),30.33)</f>
        <v>30.33</v>
      </c>
      <c r="D2295" s="2">
        <f>IFERROR(__xludf.DUMMYFUNCTION("""COMPUTED_VALUE"""),29.4)</f>
        <v>29.4</v>
      </c>
      <c r="E2295" s="2">
        <f>IFERROR(__xludf.DUMMYFUNCTION("""COMPUTED_VALUE"""),30.09)</f>
        <v>30.09</v>
      </c>
      <c r="F2295" s="2">
        <f>IFERROR(__xludf.DUMMYFUNCTION("""COMPUTED_VALUE"""),2560900.0)</f>
        <v>2560900</v>
      </c>
    </row>
    <row r="2296">
      <c r="A2296" s="3">
        <f>IFERROR(__xludf.DUMMYFUNCTION("""COMPUTED_VALUE"""),32535.666666666668)</f>
        <v>32535.66667</v>
      </c>
      <c r="B2296" s="2">
        <f>IFERROR(__xludf.DUMMYFUNCTION("""COMPUTED_VALUE"""),30.3)</f>
        <v>30.3</v>
      </c>
      <c r="C2296" s="2">
        <f>IFERROR(__xludf.DUMMYFUNCTION("""COMPUTED_VALUE"""),30.54)</f>
        <v>30.54</v>
      </c>
      <c r="D2296" s="2">
        <f>IFERROR(__xludf.DUMMYFUNCTION("""COMPUTED_VALUE"""),30.18)</f>
        <v>30.18</v>
      </c>
      <c r="E2296" s="2">
        <f>IFERROR(__xludf.DUMMYFUNCTION("""COMPUTED_VALUE"""),30.3)</f>
        <v>30.3</v>
      </c>
      <c r="F2296" s="2">
        <f>IFERROR(__xludf.DUMMYFUNCTION("""COMPUTED_VALUE"""),2975500.0)</f>
        <v>2975500</v>
      </c>
    </row>
    <row r="2297">
      <c r="A2297" s="3">
        <f>IFERROR(__xludf.DUMMYFUNCTION("""COMPUTED_VALUE"""),32538.666666666668)</f>
        <v>32538.66667</v>
      </c>
      <c r="B2297" s="2">
        <f>IFERROR(__xludf.DUMMYFUNCTION("""COMPUTED_VALUE"""),30.74)</f>
        <v>30.74</v>
      </c>
      <c r="C2297" s="2">
        <f>IFERROR(__xludf.DUMMYFUNCTION("""COMPUTED_VALUE"""),30.86)</f>
        <v>30.86</v>
      </c>
      <c r="D2297" s="2">
        <f>IFERROR(__xludf.DUMMYFUNCTION("""COMPUTED_VALUE"""),30.39)</f>
        <v>30.39</v>
      </c>
      <c r="E2297" s="2">
        <f>IFERROR(__xludf.DUMMYFUNCTION("""COMPUTED_VALUE"""),30.74)</f>
        <v>30.74</v>
      </c>
      <c r="F2297" s="2">
        <f>IFERROR(__xludf.DUMMYFUNCTION("""COMPUTED_VALUE"""),2060400.0)</f>
        <v>2060400</v>
      </c>
    </row>
    <row r="2298">
      <c r="A2298" s="3">
        <f>IFERROR(__xludf.DUMMYFUNCTION("""COMPUTED_VALUE"""),32539.666666666668)</f>
        <v>32539.66667</v>
      </c>
      <c r="B2298" s="2">
        <f>IFERROR(__xludf.DUMMYFUNCTION("""COMPUTED_VALUE"""),31.19)</f>
        <v>31.19</v>
      </c>
      <c r="C2298" s="2">
        <f>IFERROR(__xludf.DUMMYFUNCTION("""COMPUTED_VALUE"""),31.25)</f>
        <v>31.25</v>
      </c>
      <c r="D2298" s="2">
        <f>IFERROR(__xludf.DUMMYFUNCTION("""COMPUTED_VALUE"""),30.42)</f>
        <v>30.42</v>
      </c>
      <c r="E2298" s="2">
        <f>IFERROR(__xludf.DUMMYFUNCTION("""COMPUTED_VALUE"""),31.19)</f>
        <v>31.19</v>
      </c>
      <c r="F2298" s="2">
        <f>IFERROR(__xludf.DUMMYFUNCTION("""COMPUTED_VALUE"""),2378400.0)</f>
        <v>2378400</v>
      </c>
    </row>
    <row r="2299">
      <c r="A2299" s="3">
        <f>IFERROR(__xludf.DUMMYFUNCTION("""COMPUTED_VALUE"""),32540.666666666668)</f>
        <v>32540.66667</v>
      </c>
      <c r="B2299" s="2">
        <f>IFERROR(__xludf.DUMMYFUNCTION("""COMPUTED_VALUE"""),30.95)</f>
        <v>30.95</v>
      </c>
      <c r="C2299" s="2">
        <f>IFERROR(__xludf.DUMMYFUNCTION("""COMPUTED_VALUE"""),31.25)</f>
        <v>31.25</v>
      </c>
      <c r="D2299" s="2">
        <f>IFERROR(__xludf.DUMMYFUNCTION("""COMPUTED_VALUE"""),30.86)</f>
        <v>30.86</v>
      </c>
      <c r="E2299" s="2">
        <f>IFERROR(__xludf.DUMMYFUNCTION("""COMPUTED_VALUE"""),30.95)</f>
        <v>30.95</v>
      </c>
      <c r="F2299" s="2">
        <f>IFERROR(__xludf.DUMMYFUNCTION("""COMPUTED_VALUE"""),2168400.0)</f>
        <v>2168400</v>
      </c>
    </row>
    <row r="2300">
      <c r="A2300" s="3">
        <f>IFERROR(__xludf.DUMMYFUNCTION("""COMPUTED_VALUE"""),32541.666666666668)</f>
        <v>32541.66667</v>
      </c>
      <c r="B2300" s="2">
        <f>IFERROR(__xludf.DUMMYFUNCTION("""COMPUTED_VALUE"""),30.65)</f>
        <v>30.65</v>
      </c>
      <c r="C2300" s="2">
        <f>IFERROR(__xludf.DUMMYFUNCTION("""COMPUTED_VALUE"""),31.01)</f>
        <v>31.01</v>
      </c>
      <c r="D2300" s="2">
        <f>IFERROR(__xludf.DUMMYFUNCTION("""COMPUTED_VALUE"""),30.54)</f>
        <v>30.54</v>
      </c>
      <c r="E2300" s="2">
        <f>IFERROR(__xludf.DUMMYFUNCTION("""COMPUTED_VALUE"""),30.65)</f>
        <v>30.65</v>
      </c>
      <c r="F2300" s="2">
        <f>IFERROR(__xludf.DUMMYFUNCTION("""COMPUTED_VALUE"""),1697300.0)</f>
        <v>1697300</v>
      </c>
    </row>
    <row r="2301">
      <c r="A2301" s="3">
        <f>IFERROR(__xludf.DUMMYFUNCTION("""COMPUTED_VALUE"""),32542.666666666668)</f>
        <v>32542.66667</v>
      </c>
      <c r="B2301" s="2">
        <f>IFERROR(__xludf.DUMMYFUNCTION("""COMPUTED_VALUE"""),30.51)</f>
        <v>30.51</v>
      </c>
      <c r="C2301" s="2">
        <f>IFERROR(__xludf.DUMMYFUNCTION("""COMPUTED_VALUE"""),30.77)</f>
        <v>30.77</v>
      </c>
      <c r="D2301" s="2">
        <f>IFERROR(__xludf.DUMMYFUNCTION("""COMPUTED_VALUE"""),30.3)</f>
        <v>30.3</v>
      </c>
      <c r="E2301" s="2">
        <f>IFERROR(__xludf.DUMMYFUNCTION("""COMPUTED_VALUE"""),30.51)</f>
        <v>30.51</v>
      </c>
      <c r="F2301" s="2">
        <f>IFERROR(__xludf.DUMMYFUNCTION("""COMPUTED_VALUE"""),1553600.0)</f>
        <v>1553600</v>
      </c>
    </row>
    <row r="2302">
      <c r="A2302" s="3">
        <f>IFERROR(__xludf.DUMMYFUNCTION("""COMPUTED_VALUE"""),32545.666666666668)</f>
        <v>32545.66667</v>
      </c>
      <c r="B2302" s="2">
        <f>IFERROR(__xludf.DUMMYFUNCTION("""COMPUTED_VALUE"""),30.24)</f>
        <v>30.24</v>
      </c>
      <c r="C2302" s="2">
        <f>IFERROR(__xludf.DUMMYFUNCTION("""COMPUTED_VALUE"""),30.54)</f>
        <v>30.54</v>
      </c>
      <c r="D2302" s="2">
        <f>IFERROR(__xludf.DUMMYFUNCTION("""COMPUTED_VALUE"""),30.15)</f>
        <v>30.15</v>
      </c>
      <c r="E2302" s="2">
        <f>IFERROR(__xludf.DUMMYFUNCTION("""COMPUTED_VALUE"""),30.24)</f>
        <v>30.24</v>
      </c>
      <c r="F2302" s="2">
        <f>IFERROR(__xludf.DUMMYFUNCTION("""COMPUTED_VALUE"""),1200900.0)</f>
        <v>1200900</v>
      </c>
    </row>
    <row r="2303">
      <c r="A2303" s="3">
        <f>IFERROR(__xludf.DUMMYFUNCTION("""COMPUTED_VALUE"""),32546.666666666668)</f>
        <v>32546.66667</v>
      </c>
      <c r="B2303" s="2">
        <f>IFERROR(__xludf.DUMMYFUNCTION("""COMPUTED_VALUE"""),30.48)</f>
        <v>30.48</v>
      </c>
      <c r="C2303" s="2">
        <f>IFERROR(__xludf.DUMMYFUNCTION("""COMPUTED_VALUE"""),30.71)</f>
        <v>30.71</v>
      </c>
      <c r="D2303" s="2">
        <f>IFERROR(__xludf.DUMMYFUNCTION("""COMPUTED_VALUE"""),30.15)</f>
        <v>30.15</v>
      </c>
      <c r="E2303" s="2">
        <f>IFERROR(__xludf.DUMMYFUNCTION("""COMPUTED_VALUE"""),30.48)</f>
        <v>30.48</v>
      </c>
      <c r="F2303" s="2">
        <f>IFERROR(__xludf.DUMMYFUNCTION("""COMPUTED_VALUE"""),1546800.0)</f>
        <v>1546800</v>
      </c>
    </row>
    <row r="2304">
      <c r="A2304" s="3">
        <f>IFERROR(__xludf.DUMMYFUNCTION("""COMPUTED_VALUE"""),32547.666666666668)</f>
        <v>32547.66667</v>
      </c>
      <c r="B2304" s="2">
        <f>IFERROR(__xludf.DUMMYFUNCTION("""COMPUTED_VALUE"""),30.33)</f>
        <v>30.33</v>
      </c>
      <c r="C2304" s="2">
        <f>IFERROR(__xludf.DUMMYFUNCTION("""COMPUTED_VALUE"""),30.65)</f>
        <v>30.65</v>
      </c>
      <c r="D2304" s="2">
        <f>IFERROR(__xludf.DUMMYFUNCTION("""COMPUTED_VALUE"""),30.3)</f>
        <v>30.3</v>
      </c>
      <c r="E2304" s="2">
        <f>IFERROR(__xludf.DUMMYFUNCTION("""COMPUTED_VALUE"""),30.33)</f>
        <v>30.33</v>
      </c>
      <c r="F2304" s="2">
        <f>IFERROR(__xludf.DUMMYFUNCTION("""COMPUTED_VALUE"""),1528800.0)</f>
        <v>1528800</v>
      </c>
    </row>
    <row r="2305">
      <c r="A2305" s="3">
        <f>IFERROR(__xludf.DUMMYFUNCTION("""COMPUTED_VALUE"""),32548.666666666668)</f>
        <v>32548.66667</v>
      </c>
      <c r="B2305" s="2">
        <f>IFERROR(__xludf.DUMMYFUNCTION("""COMPUTED_VALUE"""),30.18)</f>
        <v>30.18</v>
      </c>
      <c r="C2305" s="2">
        <f>IFERROR(__xludf.DUMMYFUNCTION("""COMPUTED_VALUE"""),30.45)</f>
        <v>30.45</v>
      </c>
      <c r="D2305" s="2">
        <f>IFERROR(__xludf.DUMMYFUNCTION("""COMPUTED_VALUE"""),30.09)</f>
        <v>30.09</v>
      </c>
      <c r="E2305" s="2">
        <f>IFERROR(__xludf.DUMMYFUNCTION("""COMPUTED_VALUE"""),30.18)</f>
        <v>30.18</v>
      </c>
      <c r="F2305" s="2">
        <f>IFERROR(__xludf.DUMMYFUNCTION("""COMPUTED_VALUE"""),1586000.0)</f>
        <v>1586000</v>
      </c>
    </row>
    <row r="2306">
      <c r="A2306" s="3">
        <f>IFERROR(__xludf.DUMMYFUNCTION("""COMPUTED_VALUE"""),32549.666666666668)</f>
        <v>32549.66667</v>
      </c>
      <c r="B2306" s="2">
        <f>IFERROR(__xludf.DUMMYFUNCTION("""COMPUTED_VALUE"""),29.85)</f>
        <v>29.85</v>
      </c>
      <c r="C2306" s="2">
        <f>IFERROR(__xludf.DUMMYFUNCTION("""COMPUTED_VALUE"""),30.24)</f>
        <v>30.24</v>
      </c>
      <c r="D2306" s="2">
        <f>IFERROR(__xludf.DUMMYFUNCTION("""COMPUTED_VALUE"""),29.85)</f>
        <v>29.85</v>
      </c>
      <c r="E2306" s="2">
        <f>IFERROR(__xludf.DUMMYFUNCTION("""COMPUTED_VALUE"""),29.85)</f>
        <v>29.85</v>
      </c>
      <c r="F2306" s="2">
        <f>IFERROR(__xludf.DUMMYFUNCTION("""COMPUTED_VALUE"""),1925600.0)</f>
        <v>1925600</v>
      </c>
    </row>
    <row r="2307">
      <c r="A2307" s="3">
        <f>IFERROR(__xludf.DUMMYFUNCTION("""COMPUTED_VALUE"""),32552.666666666668)</f>
        <v>32552.66667</v>
      </c>
      <c r="B2307" s="2">
        <f>IFERROR(__xludf.DUMMYFUNCTION("""COMPUTED_VALUE"""),30.09)</f>
        <v>30.09</v>
      </c>
      <c r="C2307" s="2">
        <f>IFERROR(__xludf.DUMMYFUNCTION("""COMPUTED_VALUE"""),30.15)</f>
        <v>30.15</v>
      </c>
      <c r="D2307" s="2">
        <f>IFERROR(__xludf.DUMMYFUNCTION("""COMPUTED_VALUE"""),29.79)</f>
        <v>29.79</v>
      </c>
      <c r="E2307" s="2">
        <f>IFERROR(__xludf.DUMMYFUNCTION("""COMPUTED_VALUE"""),30.09)</f>
        <v>30.09</v>
      </c>
      <c r="F2307" s="2">
        <f>IFERROR(__xludf.DUMMYFUNCTION("""COMPUTED_VALUE"""),1358200.0)</f>
        <v>1358200</v>
      </c>
    </row>
    <row r="2308">
      <c r="A2308" s="3">
        <f>IFERROR(__xludf.DUMMYFUNCTION("""COMPUTED_VALUE"""),32553.666666666668)</f>
        <v>32553.66667</v>
      </c>
      <c r="B2308" s="2">
        <f>IFERROR(__xludf.DUMMYFUNCTION("""COMPUTED_VALUE"""),29.79)</f>
        <v>29.79</v>
      </c>
      <c r="C2308" s="2">
        <f>IFERROR(__xludf.DUMMYFUNCTION("""COMPUTED_VALUE"""),30.27)</f>
        <v>30.27</v>
      </c>
      <c r="D2308" s="2">
        <f>IFERROR(__xludf.DUMMYFUNCTION("""COMPUTED_VALUE"""),29.79)</f>
        <v>29.79</v>
      </c>
      <c r="E2308" s="2">
        <f>IFERROR(__xludf.DUMMYFUNCTION("""COMPUTED_VALUE"""),29.79)</f>
        <v>29.79</v>
      </c>
      <c r="F2308" s="2">
        <f>IFERROR(__xludf.DUMMYFUNCTION("""COMPUTED_VALUE"""),1115600.0)</f>
        <v>1115600</v>
      </c>
    </row>
    <row r="2309">
      <c r="A2309" s="3">
        <f>IFERROR(__xludf.DUMMYFUNCTION("""COMPUTED_VALUE"""),32554.666666666668)</f>
        <v>32554.66667</v>
      </c>
      <c r="B2309" s="2">
        <f>IFERROR(__xludf.DUMMYFUNCTION("""COMPUTED_VALUE"""),30.33)</f>
        <v>30.33</v>
      </c>
      <c r="C2309" s="2">
        <f>IFERROR(__xludf.DUMMYFUNCTION("""COMPUTED_VALUE"""),30.36)</f>
        <v>30.36</v>
      </c>
      <c r="D2309" s="2">
        <f>IFERROR(__xludf.DUMMYFUNCTION("""COMPUTED_VALUE"""),29.82)</f>
        <v>29.82</v>
      </c>
      <c r="E2309" s="2">
        <f>IFERROR(__xludf.DUMMYFUNCTION("""COMPUTED_VALUE"""),30.33)</f>
        <v>30.33</v>
      </c>
      <c r="F2309" s="2">
        <f>IFERROR(__xludf.DUMMYFUNCTION("""COMPUTED_VALUE"""),1607200.0)</f>
        <v>1607200</v>
      </c>
    </row>
    <row r="2310">
      <c r="A2310" s="3">
        <f>IFERROR(__xludf.DUMMYFUNCTION("""COMPUTED_VALUE"""),32555.666666666668)</f>
        <v>32555.66667</v>
      </c>
      <c r="B2310" s="2">
        <f>IFERROR(__xludf.DUMMYFUNCTION("""COMPUTED_VALUE"""),30.06)</f>
        <v>30.06</v>
      </c>
      <c r="C2310" s="2">
        <f>IFERROR(__xludf.DUMMYFUNCTION("""COMPUTED_VALUE"""),30.3)</f>
        <v>30.3</v>
      </c>
      <c r="D2310" s="2">
        <f>IFERROR(__xludf.DUMMYFUNCTION("""COMPUTED_VALUE"""),29.85)</f>
        <v>29.85</v>
      </c>
      <c r="E2310" s="2">
        <f>IFERROR(__xludf.DUMMYFUNCTION("""COMPUTED_VALUE"""),30.06)</f>
        <v>30.06</v>
      </c>
      <c r="F2310" s="2">
        <f>IFERROR(__xludf.DUMMYFUNCTION("""COMPUTED_VALUE"""),1271600.0)</f>
        <v>1271600</v>
      </c>
    </row>
    <row r="2311">
      <c r="A2311" s="3">
        <f>IFERROR(__xludf.DUMMYFUNCTION("""COMPUTED_VALUE"""),32556.666666666668)</f>
        <v>32556.66667</v>
      </c>
      <c r="B2311" s="2">
        <f>IFERROR(__xludf.DUMMYFUNCTION("""COMPUTED_VALUE"""),29.91)</f>
        <v>29.91</v>
      </c>
      <c r="C2311" s="2">
        <f>IFERROR(__xludf.DUMMYFUNCTION("""COMPUTED_VALUE"""),30.24)</f>
        <v>30.24</v>
      </c>
      <c r="D2311" s="2">
        <f>IFERROR(__xludf.DUMMYFUNCTION("""COMPUTED_VALUE"""),29.91)</f>
        <v>29.91</v>
      </c>
      <c r="E2311" s="2">
        <f>IFERROR(__xludf.DUMMYFUNCTION("""COMPUTED_VALUE"""),29.91)</f>
        <v>29.91</v>
      </c>
      <c r="F2311" s="2">
        <f>IFERROR(__xludf.DUMMYFUNCTION("""COMPUTED_VALUE"""),1336700.0)</f>
        <v>1336700</v>
      </c>
    </row>
    <row r="2312">
      <c r="A2312" s="3">
        <f>IFERROR(__xludf.DUMMYFUNCTION("""COMPUTED_VALUE"""),32560.666666666668)</f>
        <v>32560.66667</v>
      </c>
      <c r="B2312" s="2">
        <f>IFERROR(__xludf.DUMMYFUNCTION("""COMPUTED_VALUE"""),29.97)</f>
        <v>29.97</v>
      </c>
      <c r="C2312" s="2">
        <f>IFERROR(__xludf.DUMMYFUNCTION("""COMPUTED_VALUE"""),30.09)</f>
        <v>30.09</v>
      </c>
      <c r="D2312" s="2">
        <f>IFERROR(__xludf.DUMMYFUNCTION("""COMPUTED_VALUE"""),29.85)</f>
        <v>29.85</v>
      </c>
      <c r="E2312" s="2">
        <f>IFERROR(__xludf.DUMMYFUNCTION("""COMPUTED_VALUE"""),29.97)</f>
        <v>29.97</v>
      </c>
      <c r="F2312" s="2">
        <f>IFERROR(__xludf.DUMMYFUNCTION("""COMPUTED_VALUE"""),1100300.0)</f>
        <v>1100300</v>
      </c>
    </row>
    <row r="2313">
      <c r="A2313" s="3">
        <f>IFERROR(__xludf.DUMMYFUNCTION("""COMPUTED_VALUE"""),32561.666666666668)</f>
        <v>32561.66667</v>
      </c>
      <c r="B2313" s="2">
        <f>IFERROR(__xludf.DUMMYFUNCTION("""COMPUTED_VALUE"""),29.46)</f>
        <v>29.46</v>
      </c>
      <c r="C2313" s="2">
        <f>IFERROR(__xludf.DUMMYFUNCTION("""COMPUTED_VALUE"""),29.97)</f>
        <v>29.97</v>
      </c>
      <c r="D2313" s="2">
        <f>IFERROR(__xludf.DUMMYFUNCTION("""COMPUTED_VALUE"""),29.43)</f>
        <v>29.43</v>
      </c>
      <c r="E2313" s="2">
        <f>IFERROR(__xludf.DUMMYFUNCTION("""COMPUTED_VALUE"""),29.46)</f>
        <v>29.46</v>
      </c>
      <c r="F2313" s="2">
        <f>IFERROR(__xludf.DUMMYFUNCTION("""COMPUTED_VALUE"""),1352000.0)</f>
        <v>1352000</v>
      </c>
    </row>
    <row r="2314">
      <c r="A2314" s="3">
        <f>IFERROR(__xludf.DUMMYFUNCTION("""COMPUTED_VALUE"""),32562.666666666668)</f>
        <v>32562.66667</v>
      </c>
      <c r="B2314" s="2">
        <f>IFERROR(__xludf.DUMMYFUNCTION("""COMPUTED_VALUE"""),29.46)</f>
        <v>29.46</v>
      </c>
      <c r="C2314" s="2">
        <f>IFERROR(__xludf.DUMMYFUNCTION("""COMPUTED_VALUE"""),29.52)</f>
        <v>29.52</v>
      </c>
      <c r="D2314" s="2">
        <f>IFERROR(__xludf.DUMMYFUNCTION("""COMPUTED_VALUE"""),29.28)</f>
        <v>29.28</v>
      </c>
      <c r="E2314" s="2">
        <f>IFERROR(__xludf.DUMMYFUNCTION("""COMPUTED_VALUE"""),29.46)</f>
        <v>29.46</v>
      </c>
      <c r="F2314" s="2">
        <f>IFERROR(__xludf.DUMMYFUNCTION("""COMPUTED_VALUE"""),1567200.0)</f>
        <v>1567200</v>
      </c>
    </row>
    <row r="2315">
      <c r="A2315" s="3">
        <f>IFERROR(__xludf.DUMMYFUNCTION("""COMPUTED_VALUE"""),32563.666666666668)</f>
        <v>32563.66667</v>
      </c>
      <c r="B2315" s="2">
        <f>IFERROR(__xludf.DUMMYFUNCTION("""COMPUTED_VALUE"""),28.92)</f>
        <v>28.92</v>
      </c>
      <c r="C2315" s="2">
        <f>IFERROR(__xludf.DUMMYFUNCTION("""COMPUTED_VALUE"""),29.49)</f>
        <v>29.49</v>
      </c>
      <c r="D2315" s="2">
        <f>IFERROR(__xludf.DUMMYFUNCTION("""COMPUTED_VALUE"""),28.92)</f>
        <v>28.92</v>
      </c>
      <c r="E2315" s="2">
        <f>IFERROR(__xludf.DUMMYFUNCTION("""COMPUTED_VALUE"""),28.92)</f>
        <v>28.92</v>
      </c>
      <c r="F2315" s="2">
        <f>IFERROR(__xludf.DUMMYFUNCTION("""COMPUTED_VALUE"""),1747900.0)</f>
        <v>1747900</v>
      </c>
    </row>
    <row r="2316">
      <c r="A2316" s="3">
        <f>IFERROR(__xludf.DUMMYFUNCTION("""COMPUTED_VALUE"""),32566.666666666668)</f>
        <v>32566.66667</v>
      </c>
      <c r="B2316" s="2">
        <f>IFERROR(__xludf.DUMMYFUNCTION("""COMPUTED_VALUE"""),29.04)</f>
        <v>29.04</v>
      </c>
      <c r="C2316" s="2">
        <f>IFERROR(__xludf.DUMMYFUNCTION("""COMPUTED_VALUE"""),29.1)</f>
        <v>29.1</v>
      </c>
      <c r="D2316" s="2">
        <f>IFERROR(__xludf.DUMMYFUNCTION("""COMPUTED_VALUE"""),28.8)</f>
        <v>28.8</v>
      </c>
      <c r="E2316" s="2">
        <f>IFERROR(__xludf.DUMMYFUNCTION("""COMPUTED_VALUE"""),29.04)</f>
        <v>29.04</v>
      </c>
      <c r="F2316" s="2">
        <f>IFERROR(__xludf.DUMMYFUNCTION("""COMPUTED_VALUE"""),1763600.0)</f>
        <v>1763600</v>
      </c>
    </row>
    <row r="2317">
      <c r="A2317" s="3">
        <f>IFERROR(__xludf.DUMMYFUNCTION("""COMPUTED_VALUE"""),32567.666666666668)</f>
        <v>32567.66667</v>
      </c>
      <c r="B2317" s="2">
        <f>IFERROR(__xludf.DUMMYFUNCTION("""COMPUTED_VALUE"""),29.01)</f>
        <v>29.01</v>
      </c>
      <c r="C2317" s="2">
        <f>IFERROR(__xludf.DUMMYFUNCTION("""COMPUTED_VALUE"""),29.19)</f>
        <v>29.19</v>
      </c>
      <c r="D2317" s="2">
        <f>IFERROR(__xludf.DUMMYFUNCTION("""COMPUTED_VALUE"""),28.98)</f>
        <v>28.98</v>
      </c>
      <c r="E2317" s="2">
        <f>IFERROR(__xludf.DUMMYFUNCTION("""COMPUTED_VALUE"""),29.01)</f>
        <v>29.01</v>
      </c>
      <c r="F2317" s="2">
        <f>IFERROR(__xludf.DUMMYFUNCTION("""COMPUTED_VALUE"""),1221400.0)</f>
        <v>1221400</v>
      </c>
    </row>
    <row r="2318">
      <c r="A2318" s="3">
        <f>IFERROR(__xludf.DUMMYFUNCTION("""COMPUTED_VALUE"""),32568.666666666668)</f>
        <v>32568.66667</v>
      </c>
      <c r="B2318" s="2">
        <f>IFERROR(__xludf.DUMMYFUNCTION("""COMPUTED_VALUE"""),28.63)</f>
        <v>28.63</v>
      </c>
      <c r="C2318" s="2">
        <f>IFERROR(__xludf.DUMMYFUNCTION("""COMPUTED_VALUE"""),29.22)</f>
        <v>29.22</v>
      </c>
      <c r="D2318" s="2">
        <f>IFERROR(__xludf.DUMMYFUNCTION("""COMPUTED_VALUE"""),28.45)</f>
        <v>28.45</v>
      </c>
      <c r="E2318" s="2">
        <f>IFERROR(__xludf.DUMMYFUNCTION("""COMPUTED_VALUE"""),28.63)</f>
        <v>28.63</v>
      </c>
      <c r="F2318" s="2">
        <f>IFERROR(__xludf.DUMMYFUNCTION("""COMPUTED_VALUE"""),1499600.0)</f>
        <v>1499600</v>
      </c>
    </row>
    <row r="2319">
      <c r="A2319" s="3">
        <f>IFERROR(__xludf.DUMMYFUNCTION("""COMPUTED_VALUE"""),32569.666666666668)</f>
        <v>32569.66667</v>
      </c>
      <c r="B2319" s="2">
        <f>IFERROR(__xludf.DUMMYFUNCTION("""COMPUTED_VALUE"""),28.77)</f>
        <v>28.77</v>
      </c>
      <c r="C2319" s="2">
        <f>IFERROR(__xludf.DUMMYFUNCTION("""COMPUTED_VALUE"""),28.86)</f>
        <v>28.86</v>
      </c>
      <c r="D2319" s="2">
        <f>IFERROR(__xludf.DUMMYFUNCTION("""COMPUTED_VALUE"""),28.6)</f>
        <v>28.6</v>
      </c>
      <c r="E2319" s="2">
        <f>IFERROR(__xludf.DUMMYFUNCTION("""COMPUTED_VALUE"""),28.77)</f>
        <v>28.77</v>
      </c>
      <c r="F2319" s="2">
        <f>IFERROR(__xludf.DUMMYFUNCTION("""COMPUTED_VALUE"""),1338000.0)</f>
        <v>1338000</v>
      </c>
    </row>
    <row r="2320">
      <c r="A2320" s="3">
        <f>IFERROR(__xludf.DUMMYFUNCTION("""COMPUTED_VALUE"""),32570.666666666668)</f>
        <v>32570.66667</v>
      </c>
      <c r="B2320" s="2">
        <f>IFERROR(__xludf.DUMMYFUNCTION("""COMPUTED_VALUE"""),28.86)</f>
        <v>28.86</v>
      </c>
      <c r="C2320" s="2">
        <f>IFERROR(__xludf.DUMMYFUNCTION("""COMPUTED_VALUE"""),28.89)</f>
        <v>28.89</v>
      </c>
      <c r="D2320" s="2">
        <f>IFERROR(__xludf.DUMMYFUNCTION("""COMPUTED_VALUE"""),28.68)</f>
        <v>28.68</v>
      </c>
      <c r="E2320" s="2">
        <f>IFERROR(__xludf.DUMMYFUNCTION("""COMPUTED_VALUE"""),28.86)</f>
        <v>28.86</v>
      </c>
      <c r="F2320" s="2">
        <f>IFERROR(__xludf.DUMMYFUNCTION("""COMPUTED_VALUE"""),946600.0)</f>
        <v>946600</v>
      </c>
    </row>
    <row r="2321">
      <c r="A2321" s="3">
        <f>IFERROR(__xludf.DUMMYFUNCTION("""COMPUTED_VALUE"""),32573.666666666668)</f>
        <v>32573.66667</v>
      </c>
      <c r="B2321" s="2">
        <f>IFERROR(__xludf.DUMMYFUNCTION("""COMPUTED_VALUE"""),29.01)</f>
        <v>29.01</v>
      </c>
      <c r="C2321" s="2">
        <f>IFERROR(__xludf.DUMMYFUNCTION("""COMPUTED_VALUE"""),29.04)</f>
        <v>29.04</v>
      </c>
      <c r="D2321" s="2">
        <f>IFERROR(__xludf.DUMMYFUNCTION("""COMPUTED_VALUE"""),28.8)</f>
        <v>28.8</v>
      </c>
      <c r="E2321" s="2">
        <f>IFERROR(__xludf.DUMMYFUNCTION("""COMPUTED_VALUE"""),29.01)</f>
        <v>29.01</v>
      </c>
      <c r="F2321" s="2">
        <f>IFERROR(__xludf.DUMMYFUNCTION("""COMPUTED_VALUE"""),1327800.0)</f>
        <v>1327800</v>
      </c>
    </row>
    <row r="2322">
      <c r="A2322" s="3">
        <f>IFERROR(__xludf.DUMMYFUNCTION("""COMPUTED_VALUE"""),32574.666666666668)</f>
        <v>32574.66667</v>
      </c>
      <c r="B2322" s="2">
        <f>IFERROR(__xludf.DUMMYFUNCTION("""COMPUTED_VALUE"""),28.63)</f>
        <v>28.63</v>
      </c>
      <c r="C2322" s="2">
        <f>IFERROR(__xludf.DUMMYFUNCTION("""COMPUTED_VALUE"""),28.92)</f>
        <v>28.92</v>
      </c>
      <c r="D2322" s="2">
        <f>IFERROR(__xludf.DUMMYFUNCTION("""COMPUTED_VALUE"""),28.51)</f>
        <v>28.51</v>
      </c>
      <c r="E2322" s="2">
        <f>IFERROR(__xludf.DUMMYFUNCTION("""COMPUTED_VALUE"""),28.63)</f>
        <v>28.63</v>
      </c>
      <c r="F2322" s="2">
        <f>IFERROR(__xludf.DUMMYFUNCTION("""COMPUTED_VALUE"""),1876800.0)</f>
        <v>1876800</v>
      </c>
    </row>
    <row r="2323">
      <c r="A2323" s="3">
        <f>IFERROR(__xludf.DUMMYFUNCTION("""COMPUTED_VALUE"""),32575.666666666668)</f>
        <v>32575.66667</v>
      </c>
      <c r="B2323" s="2">
        <f>IFERROR(__xludf.DUMMYFUNCTION("""COMPUTED_VALUE"""),28.57)</f>
        <v>28.57</v>
      </c>
      <c r="C2323" s="2">
        <f>IFERROR(__xludf.DUMMYFUNCTION("""COMPUTED_VALUE"""),28.8)</f>
        <v>28.8</v>
      </c>
      <c r="D2323" s="2">
        <f>IFERROR(__xludf.DUMMYFUNCTION("""COMPUTED_VALUE"""),28.54)</f>
        <v>28.54</v>
      </c>
      <c r="E2323" s="2">
        <f>IFERROR(__xludf.DUMMYFUNCTION("""COMPUTED_VALUE"""),28.57)</f>
        <v>28.57</v>
      </c>
      <c r="F2323" s="2">
        <f>IFERROR(__xludf.DUMMYFUNCTION("""COMPUTED_VALUE"""),1346800.0)</f>
        <v>1346800</v>
      </c>
    </row>
    <row r="2324">
      <c r="A2324" s="3">
        <f>IFERROR(__xludf.DUMMYFUNCTION("""COMPUTED_VALUE"""),32576.666666666668)</f>
        <v>32576.66667</v>
      </c>
      <c r="B2324" s="2">
        <f>IFERROR(__xludf.DUMMYFUNCTION("""COMPUTED_VALUE"""),28.33)</f>
        <v>28.33</v>
      </c>
      <c r="C2324" s="2">
        <f>IFERROR(__xludf.DUMMYFUNCTION("""COMPUTED_VALUE"""),28.63)</f>
        <v>28.63</v>
      </c>
      <c r="D2324" s="2">
        <f>IFERROR(__xludf.DUMMYFUNCTION("""COMPUTED_VALUE"""),28.21)</f>
        <v>28.21</v>
      </c>
      <c r="E2324" s="2">
        <f>IFERROR(__xludf.DUMMYFUNCTION("""COMPUTED_VALUE"""),28.33)</f>
        <v>28.33</v>
      </c>
      <c r="F2324" s="2">
        <f>IFERROR(__xludf.DUMMYFUNCTION("""COMPUTED_VALUE"""),1412900.0)</f>
        <v>1412900</v>
      </c>
    </row>
    <row r="2325">
      <c r="A2325" s="3">
        <f>IFERROR(__xludf.DUMMYFUNCTION("""COMPUTED_VALUE"""),32577.666666666668)</f>
        <v>32577.66667</v>
      </c>
      <c r="B2325" s="2">
        <f>IFERROR(__xludf.DUMMYFUNCTION("""COMPUTED_VALUE"""),28.24)</f>
        <v>28.24</v>
      </c>
      <c r="C2325" s="2">
        <f>IFERROR(__xludf.DUMMYFUNCTION("""COMPUTED_VALUE"""),28.3)</f>
        <v>28.3</v>
      </c>
      <c r="D2325" s="2">
        <f>IFERROR(__xludf.DUMMYFUNCTION("""COMPUTED_VALUE"""),27.97)</f>
        <v>27.97</v>
      </c>
      <c r="E2325" s="2">
        <f>IFERROR(__xludf.DUMMYFUNCTION("""COMPUTED_VALUE"""),28.24)</f>
        <v>28.24</v>
      </c>
      <c r="F2325" s="2">
        <f>IFERROR(__xludf.DUMMYFUNCTION("""COMPUTED_VALUE"""),1786100.0)</f>
        <v>1786100</v>
      </c>
    </row>
    <row r="2326">
      <c r="A2326" s="3">
        <f>IFERROR(__xludf.DUMMYFUNCTION("""COMPUTED_VALUE"""),32580.666666666668)</f>
        <v>32580.66667</v>
      </c>
      <c r="B2326" s="2">
        <f>IFERROR(__xludf.DUMMYFUNCTION("""COMPUTED_VALUE"""),28.39)</f>
        <v>28.39</v>
      </c>
      <c r="C2326" s="2">
        <f>IFERROR(__xludf.DUMMYFUNCTION("""COMPUTED_VALUE"""),28.57)</f>
        <v>28.57</v>
      </c>
      <c r="D2326" s="2">
        <f>IFERROR(__xludf.DUMMYFUNCTION("""COMPUTED_VALUE"""),28.21)</f>
        <v>28.21</v>
      </c>
      <c r="E2326" s="2">
        <f>IFERROR(__xludf.DUMMYFUNCTION("""COMPUTED_VALUE"""),28.39)</f>
        <v>28.39</v>
      </c>
      <c r="F2326" s="2">
        <f>IFERROR(__xludf.DUMMYFUNCTION("""COMPUTED_VALUE"""),1427600.0)</f>
        <v>1427600</v>
      </c>
    </row>
    <row r="2327">
      <c r="A2327" s="3">
        <f>IFERROR(__xludf.DUMMYFUNCTION("""COMPUTED_VALUE"""),32581.666666666668)</f>
        <v>32581.66667</v>
      </c>
      <c r="B2327" s="2">
        <f>IFERROR(__xludf.DUMMYFUNCTION("""COMPUTED_VALUE"""),28.15)</f>
        <v>28.15</v>
      </c>
      <c r="C2327" s="2">
        <f>IFERROR(__xludf.DUMMYFUNCTION("""COMPUTED_VALUE"""),28.51)</f>
        <v>28.51</v>
      </c>
      <c r="D2327" s="2">
        <f>IFERROR(__xludf.DUMMYFUNCTION("""COMPUTED_VALUE"""),28.09)</f>
        <v>28.09</v>
      </c>
      <c r="E2327" s="2">
        <f>IFERROR(__xludf.DUMMYFUNCTION("""COMPUTED_VALUE"""),28.15)</f>
        <v>28.15</v>
      </c>
      <c r="F2327" s="2">
        <f>IFERROR(__xludf.DUMMYFUNCTION("""COMPUTED_VALUE"""),1169900.0)</f>
        <v>1169900</v>
      </c>
    </row>
    <row r="2328">
      <c r="A2328" s="3">
        <f>IFERROR(__xludf.DUMMYFUNCTION("""COMPUTED_VALUE"""),32582.666666666668)</f>
        <v>32582.66667</v>
      </c>
      <c r="B2328" s="2">
        <f>IFERROR(__xludf.DUMMYFUNCTION("""COMPUTED_VALUE"""),27.94)</f>
        <v>27.94</v>
      </c>
      <c r="C2328" s="2">
        <f>IFERROR(__xludf.DUMMYFUNCTION("""COMPUTED_VALUE"""),28.36)</f>
        <v>28.36</v>
      </c>
      <c r="D2328" s="2">
        <f>IFERROR(__xludf.DUMMYFUNCTION("""COMPUTED_VALUE"""),27.94)</f>
        <v>27.94</v>
      </c>
      <c r="E2328" s="2">
        <f>IFERROR(__xludf.DUMMYFUNCTION("""COMPUTED_VALUE"""),27.94)</f>
        <v>27.94</v>
      </c>
      <c r="F2328" s="2">
        <f>IFERROR(__xludf.DUMMYFUNCTION("""COMPUTED_VALUE"""),1651500.0)</f>
        <v>1651500</v>
      </c>
    </row>
    <row r="2329">
      <c r="A2329" s="3">
        <f>IFERROR(__xludf.DUMMYFUNCTION("""COMPUTED_VALUE"""),32583.666666666668)</f>
        <v>32583.66667</v>
      </c>
      <c r="B2329" s="2">
        <f>IFERROR(__xludf.DUMMYFUNCTION("""COMPUTED_VALUE"""),28.21)</f>
        <v>28.21</v>
      </c>
      <c r="C2329" s="2">
        <f>IFERROR(__xludf.DUMMYFUNCTION("""COMPUTED_VALUE"""),28.36)</f>
        <v>28.36</v>
      </c>
      <c r="D2329" s="2">
        <f>IFERROR(__xludf.DUMMYFUNCTION("""COMPUTED_VALUE"""),28.0)</f>
        <v>28</v>
      </c>
      <c r="E2329" s="2">
        <f>IFERROR(__xludf.DUMMYFUNCTION("""COMPUTED_VALUE"""),28.21)</f>
        <v>28.21</v>
      </c>
      <c r="F2329" s="2">
        <f>IFERROR(__xludf.DUMMYFUNCTION("""COMPUTED_VALUE"""),2266900.0)</f>
        <v>2266900</v>
      </c>
    </row>
    <row r="2330">
      <c r="A2330" s="3">
        <f>IFERROR(__xludf.DUMMYFUNCTION("""COMPUTED_VALUE"""),32584.666666666668)</f>
        <v>32584.66667</v>
      </c>
      <c r="B2330" s="2">
        <f>IFERROR(__xludf.DUMMYFUNCTION("""COMPUTED_VALUE"""),26.86)</f>
        <v>26.86</v>
      </c>
      <c r="C2330" s="2">
        <f>IFERROR(__xludf.DUMMYFUNCTION("""COMPUTED_VALUE"""),27.82)</f>
        <v>27.82</v>
      </c>
      <c r="D2330" s="2">
        <f>IFERROR(__xludf.DUMMYFUNCTION("""COMPUTED_VALUE"""),26.6)</f>
        <v>26.6</v>
      </c>
      <c r="E2330" s="2">
        <f>IFERROR(__xludf.DUMMYFUNCTION("""COMPUTED_VALUE"""),26.86)</f>
        <v>26.86</v>
      </c>
      <c r="F2330" s="2">
        <f>IFERROR(__xludf.DUMMYFUNCTION("""COMPUTED_VALUE"""),4686100.0)</f>
        <v>4686100</v>
      </c>
    </row>
    <row r="2331">
      <c r="A2331" s="3">
        <f>IFERROR(__xludf.DUMMYFUNCTION("""COMPUTED_VALUE"""),32587.666666666668)</f>
        <v>32587.66667</v>
      </c>
      <c r="B2331" s="2">
        <f>IFERROR(__xludf.DUMMYFUNCTION("""COMPUTED_VALUE"""),26.15)</f>
        <v>26.15</v>
      </c>
      <c r="C2331" s="2">
        <f>IFERROR(__xludf.DUMMYFUNCTION("""COMPUTED_VALUE"""),26.6)</f>
        <v>26.6</v>
      </c>
      <c r="D2331" s="2">
        <f>IFERROR(__xludf.DUMMYFUNCTION("""COMPUTED_VALUE"""),26.03)</f>
        <v>26.03</v>
      </c>
      <c r="E2331" s="2">
        <f>IFERROR(__xludf.DUMMYFUNCTION("""COMPUTED_VALUE"""),26.15)</f>
        <v>26.15</v>
      </c>
      <c r="F2331" s="2">
        <f>IFERROR(__xludf.DUMMYFUNCTION("""COMPUTED_VALUE"""),3978600.0)</f>
        <v>3978600</v>
      </c>
    </row>
    <row r="2332">
      <c r="A2332" s="3">
        <f>IFERROR(__xludf.DUMMYFUNCTION("""COMPUTED_VALUE"""),32588.666666666668)</f>
        <v>32588.66667</v>
      </c>
      <c r="B2332" s="2">
        <f>IFERROR(__xludf.DUMMYFUNCTION("""COMPUTED_VALUE"""),26.3)</f>
        <v>26.3</v>
      </c>
      <c r="C2332" s="2">
        <f>IFERROR(__xludf.DUMMYFUNCTION("""COMPUTED_VALUE"""),26.39)</f>
        <v>26.39</v>
      </c>
      <c r="D2332" s="2">
        <f>IFERROR(__xludf.DUMMYFUNCTION("""COMPUTED_VALUE"""),26.21)</f>
        <v>26.21</v>
      </c>
      <c r="E2332" s="2">
        <f>IFERROR(__xludf.DUMMYFUNCTION("""COMPUTED_VALUE"""),26.3)</f>
        <v>26.3</v>
      </c>
      <c r="F2332" s="2">
        <f>IFERROR(__xludf.DUMMYFUNCTION("""COMPUTED_VALUE"""),3456300.0)</f>
        <v>3456300</v>
      </c>
    </row>
    <row r="2333">
      <c r="A2333" s="3">
        <f>IFERROR(__xludf.DUMMYFUNCTION("""COMPUTED_VALUE"""),32589.666666666668)</f>
        <v>32589.66667</v>
      </c>
      <c r="B2333" s="2">
        <f>IFERROR(__xludf.DUMMYFUNCTION("""COMPUTED_VALUE"""),26.09)</f>
        <v>26.09</v>
      </c>
      <c r="C2333" s="2">
        <f>IFERROR(__xludf.DUMMYFUNCTION("""COMPUTED_VALUE"""),26.12)</f>
        <v>26.12</v>
      </c>
      <c r="D2333" s="2">
        <f>IFERROR(__xludf.DUMMYFUNCTION("""COMPUTED_VALUE"""),25.7)</f>
        <v>25.7</v>
      </c>
      <c r="E2333" s="2">
        <f>IFERROR(__xludf.DUMMYFUNCTION("""COMPUTED_VALUE"""),26.09)</f>
        <v>26.09</v>
      </c>
      <c r="F2333" s="2">
        <f>IFERROR(__xludf.DUMMYFUNCTION("""COMPUTED_VALUE"""),2594700.0)</f>
        <v>2594700</v>
      </c>
    </row>
    <row r="2334">
      <c r="A2334" s="3">
        <f>IFERROR(__xludf.DUMMYFUNCTION("""COMPUTED_VALUE"""),32590.666666666668)</f>
        <v>32590.66667</v>
      </c>
      <c r="B2334" s="2">
        <f>IFERROR(__xludf.DUMMYFUNCTION("""COMPUTED_VALUE"""),26.18)</f>
        <v>26.18</v>
      </c>
      <c r="C2334" s="2">
        <f>IFERROR(__xludf.DUMMYFUNCTION("""COMPUTED_VALUE"""),26.33)</f>
        <v>26.33</v>
      </c>
      <c r="D2334" s="2">
        <f>IFERROR(__xludf.DUMMYFUNCTION("""COMPUTED_VALUE"""),25.91)</f>
        <v>25.91</v>
      </c>
      <c r="E2334" s="2">
        <f>IFERROR(__xludf.DUMMYFUNCTION("""COMPUTED_VALUE"""),26.18)</f>
        <v>26.18</v>
      </c>
      <c r="F2334" s="2">
        <f>IFERROR(__xludf.DUMMYFUNCTION("""COMPUTED_VALUE"""),2015500.0)</f>
        <v>2015500</v>
      </c>
    </row>
    <row r="2335">
      <c r="A2335" s="3">
        <f>IFERROR(__xludf.DUMMYFUNCTION("""COMPUTED_VALUE"""),32594.666666666668)</f>
        <v>32594.66667</v>
      </c>
      <c r="B2335" s="2">
        <f>IFERROR(__xludf.DUMMYFUNCTION("""COMPUTED_VALUE"""),26.3)</f>
        <v>26.3</v>
      </c>
      <c r="C2335" s="2">
        <f>IFERROR(__xludf.DUMMYFUNCTION("""COMPUTED_VALUE"""),26.36)</f>
        <v>26.36</v>
      </c>
      <c r="D2335" s="2">
        <f>IFERROR(__xludf.DUMMYFUNCTION("""COMPUTED_VALUE"""),26.03)</f>
        <v>26.03</v>
      </c>
      <c r="E2335" s="2">
        <f>IFERROR(__xludf.DUMMYFUNCTION("""COMPUTED_VALUE"""),26.3)</f>
        <v>26.3</v>
      </c>
      <c r="F2335" s="2">
        <f>IFERROR(__xludf.DUMMYFUNCTION("""COMPUTED_VALUE"""),1363800.0)</f>
        <v>1363800</v>
      </c>
    </row>
    <row r="2336">
      <c r="A2336" s="3">
        <f>IFERROR(__xludf.DUMMYFUNCTION("""COMPUTED_VALUE"""),32595.666666666668)</f>
        <v>32595.66667</v>
      </c>
      <c r="B2336" s="2">
        <f>IFERROR(__xludf.DUMMYFUNCTION("""COMPUTED_VALUE"""),26.27)</f>
        <v>26.27</v>
      </c>
      <c r="C2336" s="2">
        <f>IFERROR(__xludf.DUMMYFUNCTION("""COMPUTED_VALUE"""),26.48)</f>
        <v>26.48</v>
      </c>
      <c r="D2336" s="2">
        <f>IFERROR(__xludf.DUMMYFUNCTION("""COMPUTED_VALUE"""),26.12)</f>
        <v>26.12</v>
      </c>
      <c r="E2336" s="2">
        <f>IFERROR(__xludf.DUMMYFUNCTION("""COMPUTED_VALUE"""),26.27)</f>
        <v>26.27</v>
      </c>
      <c r="F2336" s="2">
        <f>IFERROR(__xludf.DUMMYFUNCTION("""COMPUTED_VALUE"""),1247400.0)</f>
        <v>1247400</v>
      </c>
    </row>
    <row r="2337">
      <c r="A2337" s="3">
        <f>IFERROR(__xludf.DUMMYFUNCTION("""COMPUTED_VALUE"""),32596.666666666668)</f>
        <v>32596.66667</v>
      </c>
      <c r="B2337" s="2">
        <f>IFERROR(__xludf.DUMMYFUNCTION("""COMPUTED_VALUE"""),26.18)</f>
        <v>26.18</v>
      </c>
      <c r="C2337" s="2">
        <f>IFERROR(__xludf.DUMMYFUNCTION("""COMPUTED_VALUE"""),26.36)</f>
        <v>26.36</v>
      </c>
      <c r="D2337" s="2">
        <f>IFERROR(__xludf.DUMMYFUNCTION("""COMPUTED_VALUE"""),26.06)</f>
        <v>26.06</v>
      </c>
      <c r="E2337" s="2">
        <f>IFERROR(__xludf.DUMMYFUNCTION("""COMPUTED_VALUE"""),26.18)</f>
        <v>26.18</v>
      </c>
      <c r="F2337" s="2">
        <f>IFERROR(__xludf.DUMMYFUNCTION("""COMPUTED_VALUE"""),1224600.0)</f>
        <v>1224600</v>
      </c>
    </row>
    <row r="2338">
      <c r="A2338" s="3">
        <f>IFERROR(__xludf.DUMMYFUNCTION("""COMPUTED_VALUE"""),32597.666666666668)</f>
        <v>32597.66667</v>
      </c>
      <c r="B2338" s="2">
        <f>IFERROR(__xludf.DUMMYFUNCTION("""COMPUTED_VALUE"""),25.97)</f>
        <v>25.97</v>
      </c>
      <c r="C2338" s="2">
        <f>IFERROR(__xludf.DUMMYFUNCTION("""COMPUTED_VALUE"""),26.21)</f>
        <v>26.21</v>
      </c>
      <c r="D2338" s="2">
        <f>IFERROR(__xludf.DUMMYFUNCTION("""COMPUTED_VALUE"""),25.85)</f>
        <v>25.85</v>
      </c>
      <c r="E2338" s="2">
        <f>IFERROR(__xludf.DUMMYFUNCTION("""COMPUTED_VALUE"""),25.97)</f>
        <v>25.97</v>
      </c>
      <c r="F2338" s="2">
        <f>IFERROR(__xludf.DUMMYFUNCTION("""COMPUTED_VALUE"""),1652400.0)</f>
        <v>1652400</v>
      </c>
    </row>
    <row r="2339">
      <c r="A2339" s="3">
        <f>IFERROR(__xludf.DUMMYFUNCTION("""COMPUTED_VALUE"""),32598.666666666668)</f>
        <v>32598.66667</v>
      </c>
      <c r="B2339" s="2">
        <f>IFERROR(__xludf.DUMMYFUNCTION("""COMPUTED_VALUE"""),26.06)</f>
        <v>26.06</v>
      </c>
      <c r="C2339" s="2">
        <f>IFERROR(__xludf.DUMMYFUNCTION("""COMPUTED_VALUE"""),26.15)</f>
        <v>26.15</v>
      </c>
      <c r="D2339" s="2">
        <f>IFERROR(__xludf.DUMMYFUNCTION("""COMPUTED_VALUE"""),26.03)</f>
        <v>26.03</v>
      </c>
      <c r="E2339" s="2">
        <f>IFERROR(__xludf.DUMMYFUNCTION("""COMPUTED_VALUE"""),26.06)</f>
        <v>26.06</v>
      </c>
      <c r="F2339" s="2">
        <f>IFERROR(__xludf.DUMMYFUNCTION("""COMPUTED_VALUE"""),1119700.0)</f>
        <v>1119700</v>
      </c>
    </row>
    <row r="2340">
      <c r="A2340" s="3">
        <f>IFERROR(__xludf.DUMMYFUNCTION("""COMPUTED_VALUE"""),32601.666666666668)</f>
        <v>32601.66667</v>
      </c>
      <c r="B2340" s="2">
        <f>IFERROR(__xludf.DUMMYFUNCTION("""COMPUTED_VALUE"""),25.91)</f>
        <v>25.91</v>
      </c>
      <c r="C2340" s="2">
        <f>IFERROR(__xludf.DUMMYFUNCTION("""COMPUTED_VALUE"""),26.15)</f>
        <v>26.15</v>
      </c>
      <c r="D2340" s="2">
        <f>IFERROR(__xludf.DUMMYFUNCTION("""COMPUTED_VALUE"""),25.91)</f>
        <v>25.91</v>
      </c>
      <c r="E2340" s="2">
        <f>IFERROR(__xludf.DUMMYFUNCTION("""COMPUTED_VALUE"""),25.91)</f>
        <v>25.91</v>
      </c>
      <c r="F2340" s="2">
        <f>IFERROR(__xludf.DUMMYFUNCTION("""COMPUTED_VALUE"""),1281000.0)</f>
        <v>1281000</v>
      </c>
    </row>
    <row r="2341">
      <c r="A2341" s="3">
        <f>IFERROR(__xludf.DUMMYFUNCTION("""COMPUTED_VALUE"""),32602.666666666668)</f>
        <v>32602.66667</v>
      </c>
      <c r="B2341" s="2">
        <f>IFERROR(__xludf.DUMMYFUNCTION("""COMPUTED_VALUE"""),25.58)</f>
        <v>25.58</v>
      </c>
      <c r="C2341" s="2">
        <f>IFERROR(__xludf.DUMMYFUNCTION("""COMPUTED_VALUE"""),25.91)</f>
        <v>25.91</v>
      </c>
      <c r="D2341" s="2">
        <f>IFERROR(__xludf.DUMMYFUNCTION("""COMPUTED_VALUE"""),25.37)</f>
        <v>25.37</v>
      </c>
      <c r="E2341" s="2">
        <f>IFERROR(__xludf.DUMMYFUNCTION("""COMPUTED_VALUE"""),25.58)</f>
        <v>25.58</v>
      </c>
      <c r="F2341" s="2">
        <f>IFERROR(__xludf.DUMMYFUNCTION("""COMPUTED_VALUE"""),2336700.0)</f>
        <v>2336700</v>
      </c>
    </row>
    <row r="2342">
      <c r="A2342" s="3">
        <f>IFERROR(__xludf.DUMMYFUNCTION("""COMPUTED_VALUE"""),32603.666666666668)</f>
        <v>32603.66667</v>
      </c>
      <c r="B2342" s="2">
        <f>IFERROR(__xludf.DUMMYFUNCTION("""COMPUTED_VALUE"""),25.73)</f>
        <v>25.73</v>
      </c>
      <c r="C2342" s="2">
        <f>IFERROR(__xludf.DUMMYFUNCTION("""COMPUTED_VALUE"""),25.79)</f>
        <v>25.79</v>
      </c>
      <c r="D2342" s="2">
        <f>IFERROR(__xludf.DUMMYFUNCTION("""COMPUTED_VALUE"""),25.58)</f>
        <v>25.58</v>
      </c>
      <c r="E2342" s="2">
        <f>IFERROR(__xludf.DUMMYFUNCTION("""COMPUTED_VALUE"""),25.73)</f>
        <v>25.73</v>
      </c>
      <c r="F2342" s="2">
        <f>IFERROR(__xludf.DUMMYFUNCTION("""COMPUTED_VALUE"""),1452000.0)</f>
        <v>1452000</v>
      </c>
    </row>
    <row r="2343">
      <c r="A2343" s="3">
        <f>IFERROR(__xludf.DUMMYFUNCTION("""COMPUTED_VALUE"""),32604.666666666668)</f>
        <v>32604.66667</v>
      </c>
      <c r="B2343" s="2">
        <f>IFERROR(__xludf.DUMMYFUNCTION("""COMPUTED_VALUE"""),25.79)</f>
        <v>25.79</v>
      </c>
      <c r="C2343" s="2">
        <f>IFERROR(__xludf.DUMMYFUNCTION("""COMPUTED_VALUE"""),25.85)</f>
        <v>25.85</v>
      </c>
      <c r="D2343" s="2">
        <f>IFERROR(__xludf.DUMMYFUNCTION("""COMPUTED_VALUE"""),25.58)</f>
        <v>25.58</v>
      </c>
      <c r="E2343" s="2">
        <f>IFERROR(__xludf.DUMMYFUNCTION("""COMPUTED_VALUE"""),25.79)</f>
        <v>25.79</v>
      </c>
      <c r="F2343" s="2">
        <f>IFERROR(__xludf.DUMMYFUNCTION("""COMPUTED_VALUE"""),1002400.0)</f>
        <v>1002400</v>
      </c>
    </row>
    <row r="2344">
      <c r="A2344" s="3">
        <f>IFERROR(__xludf.DUMMYFUNCTION("""COMPUTED_VALUE"""),32605.666666666668)</f>
        <v>32605.66667</v>
      </c>
      <c r="B2344" s="2">
        <f>IFERROR(__xludf.DUMMYFUNCTION("""COMPUTED_VALUE"""),26.21)</f>
        <v>26.21</v>
      </c>
      <c r="C2344" s="2">
        <f>IFERROR(__xludf.DUMMYFUNCTION("""COMPUTED_VALUE"""),26.33)</f>
        <v>26.33</v>
      </c>
      <c r="D2344" s="2">
        <f>IFERROR(__xludf.DUMMYFUNCTION("""COMPUTED_VALUE"""),25.73)</f>
        <v>25.73</v>
      </c>
      <c r="E2344" s="2">
        <f>IFERROR(__xludf.DUMMYFUNCTION("""COMPUTED_VALUE"""),26.21)</f>
        <v>26.21</v>
      </c>
      <c r="F2344" s="2">
        <f>IFERROR(__xludf.DUMMYFUNCTION("""COMPUTED_VALUE"""),1606700.0)</f>
        <v>1606700</v>
      </c>
    </row>
    <row r="2345">
      <c r="A2345" s="3">
        <f>IFERROR(__xludf.DUMMYFUNCTION("""COMPUTED_VALUE"""),32608.666666666668)</f>
        <v>32608.66667</v>
      </c>
      <c r="B2345" s="2">
        <f>IFERROR(__xludf.DUMMYFUNCTION("""COMPUTED_VALUE"""),26.27)</f>
        <v>26.27</v>
      </c>
      <c r="C2345" s="2">
        <f>IFERROR(__xludf.DUMMYFUNCTION("""COMPUTED_VALUE"""),26.33)</f>
        <v>26.33</v>
      </c>
      <c r="D2345" s="2">
        <f>IFERROR(__xludf.DUMMYFUNCTION("""COMPUTED_VALUE"""),26.15)</f>
        <v>26.15</v>
      </c>
      <c r="E2345" s="2">
        <f>IFERROR(__xludf.DUMMYFUNCTION("""COMPUTED_VALUE"""),26.27)</f>
        <v>26.27</v>
      </c>
      <c r="F2345" s="2">
        <f>IFERROR(__xludf.DUMMYFUNCTION("""COMPUTED_VALUE"""),844500.0)</f>
        <v>844500</v>
      </c>
    </row>
    <row r="2346">
      <c r="A2346" s="3">
        <f>IFERROR(__xludf.DUMMYFUNCTION("""COMPUTED_VALUE"""),32609.666666666668)</f>
        <v>32609.66667</v>
      </c>
      <c r="B2346" s="2">
        <f>IFERROR(__xludf.DUMMYFUNCTION("""COMPUTED_VALUE"""),26.54)</f>
        <v>26.54</v>
      </c>
      <c r="C2346" s="2">
        <f>IFERROR(__xludf.DUMMYFUNCTION("""COMPUTED_VALUE"""),26.6)</f>
        <v>26.6</v>
      </c>
      <c r="D2346" s="2">
        <f>IFERROR(__xludf.DUMMYFUNCTION("""COMPUTED_VALUE"""),26.27)</f>
        <v>26.27</v>
      </c>
      <c r="E2346" s="2">
        <f>IFERROR(__xludf.DUMMYFUNCTION("""COMPUTED_VALUE"""),26.54)</f>
        <v>26.54</v>
      </c>
      <c r="F2346" s="2">
        <f>IFERROR(__xludf.DUMMYFUNCTION("""COMPUTED_VALUE"""),1186900.0)</f>
        <v>1186900</v>
      </c>
    </row>
    <row r="2347">
      <c r="A2347" s="3">
        <f>IFERROR(__xludf.DUMMYFUNCTION("""COMPUTED_VALUE"""),32610.666666666668)</f>
        <v>32610.66667</v>
      </c>
      <c r="B2347" s="2">
        <f>IFERROR(__xludf.DUMMYFUNCTION("""COMPUTED_VALUE"""),26.54)</f>
        <v>26.54</v>
      </c>
      <c r="C2347" s="2">
        <f>IFERROR(__xludf.DUMMYFUNCTION("""COMPUTED_VALUE"""),26.8)</f>
        <v>26.8</v>
      </c>
      <c r="D2347" s="2">
        <f>IFERROR(__xludf.DUMMYFUNCTION("""COMPUTED_VALUE"""),26.48)</f>
        <v>26.48</v>
      </c>
      <c r="E2347" s="2">
        <f>IFERROR(__xludf.DUMMYFUNCTION("""COMPUTED_VALUE"""),26.54)</f>
        <v>26.54</v>
      </c>
      <c r="F2347" s="2">
        <f>IFERROR(__xludf.DUMMYFUNCTION("""COMPUTED_VALUE"""),1009400.0)</f>
        <v>1009400</v>
      </c>
    </row>
    <row r="2348">
      <c r="A2348" s="3">
        <f>IFERROR(__xludf.DUMMYFUNCTION("""COMPUTED_VALUE"""),32611.666666666668)</f>
        <v>32611.66667</v>
      </c>
      <c r="B2348" s="2">
        <f>IFERROR(__xludf.DUMMYFUNCTION("""COMPUTED_VALUE"""),26.09)</f>
        <v>26.09</v>
      </c>
      <c r="C2348" s="2">
        <f>IFERROR(__xludf.DUMMYFUNCTION("""COMPUTED_VALUE"""),26.51)</f>
        <v>26.51</v>
      </c>
      <c r="D2348" s="2">
        <f>IFERROR(__xludf.DUMMYFUNCTION("""COMPUTED_VALUE"""),26.0)</f>
        <v>26</v>
      </c>
      <c r="E2348" s="2">
        <f>IFERROR(__xludf.DUMMYFUNCTION("""COMPUTED_VALUE"""),26.09)</f>
        <v>26.09</v>
      </c>
      <c r="F2348" s="2">
        <f>IFERROR(__xludf.DUMMYFUNCTION("""COMPUTED_VALUE"""),956700.0)</f>
        <v>956700</v>
      </c>
    </row>
    <row r="2349">
      <c r="A2349" s="3">
        <f>IFERROR(__xludf.DUMMYFUNCTION("""COMPUTED_VALUE"""),32612.666666666668)</f>
        <v>32612.66667</v>
      </c>
      <c r="B2349" s="2">
        <f>IFERROR(__xludf.DUMMYFUNCTION("""COMPUTED_VALUE"""),26.48)</f>
        <v>26.48</v>
      </c>
      <c r="C2349" s="2">
        <f>IFERROR(__xludf.DUMMYFUNCTION("""COMPUTED_VALUE"""),26.74)</f>
        <v>26.74</v>
      </c>
      <c r="D2349" s="2">
        <f>IFERROR(__xludf.DUMMYFUNCTION("""COMPUTED_VALUE"""),26.39)</f>
        <v>26.39</v>
      </c>
      <c r="E2349" s="2">
        <f>IFERROR(__xludf.DUMMYFUNCTION("""COMPUTED_VALUE"""),26.48)</f>
        <v>26.48</v>
      </c>
      <c r="F2349" s="2">
        <f>IFERROR(__xludf.DUMMYFUNCTION("""COMPUTED_VALUE"""),1790200.0)</f>
        <v>1790200</v>
      </c>
    </row>
    <row r="2350">
      <c r="A2350" s="3">
        <f>IFERROR(__xludf.DUMMYFUNCTION("""COMPUTED_VALUE"""),32615.666666666668)</f>
        <v>32615.66667</v>
      </c>
      <c r="B2350" s="2">
        <f>IFERROR(__xludf.DUMMYFUNCTION("""COMPUTED_VALUE"""),26.6)</f>
        <v>26.6</v>
      </c>
      <c r="C2350" s="2">
        <f>IFERROR(__xludf.DUMMYFUNCTION("""COMPUTED_VALUE"""),26.68)</f>
        <v>26.68</v>
      </c>
      <c r="D2350" s="2">
        <f>IFERROR(__xludf.DUMMYFUNCTION("""COMPUTED_VALUE"""),26.45)</f>
        <v>26.45</v>
      </c>
      <c r="E2350" s="2">
        <f>IFERROR(__xludf.DUMMYFUNCTION("""COMPUTED_VALUE"""),26.6)</f>
        <v>26.6</v>
      </c>
      <c r="F2350" s="2">
        <f>IFERROR(__xludf.DUMMYFUNCTION("""COMPUTED_VALUE"""),912200.0)</f>
        <v>912200</v>
      </c>
    </row>
    <row r="2351">
      <c r="A2351" s="3">
        <f>IFERROR(__xludf.DUMMYFUNCTION("""COMPUTED_VALUE"""),32616.666666666668)</f>
        <v>32616.66667</v>
      </c>
      <c r="B2351" s="2">
        <f>IFERROR(__xludf.DUMMYFUNCTION("""COMPUTED_VALUE"""),26.98)</f>
        <v>26.98</v>
      </c>
      <c r="C2351" s="2">
        <f>IFERROR(__xludf.DUMMYFUNCTION("""COMPUTED_VALUE"""),27.01)</f>
        <v>27.01</v>
      </c>
      <c r="D2351" s="2">
        <f>IFERROR(__xludf.DUMMYFUNCTION("""COMPUTED_VALUE"""),26.77)</f>
        <v>26.77</v>
      </c>
      <c r="E2351" s="2">
        <f>IFERROR(__xludf.DUMMYFUNCTION("""COMPUTED_VALUE"""),26.98)</f>
        <v>26.98</v>
      </c>
      <c r="F2351" s="2">
        <f>IFERROR(__xludf.DUMMYFUNCTION("""COMPUTED_VALUE"""),1557400.0)</f>
        <v>1557400</v>
      </c>
    </row>
    <row r="2352">
      <c r="A2352" s="3">
        <f>IFERROR(__xludf.DUMMYFUNCTION("""COMPUTED_VALUE"""),32617.666666666668)</f>
        <v>32617.66667</v>
      </c>
      <c r="B2352" s="2">
        <f>IFERROR(__xludf.DUMMYFUNCTION("""COMPUTED_VALUE"""),26.83)</f>
        <v>26.83</v>
      </c>
      <c r="C2352" s="2">
        <f>IFERROR(__xludf.DUMMYFUNCTION("""COMPUTED_VALUE"""),27.01)</f>
        <v>27.01</v>
      </c>
      <c r="D2352" s="2">
        <f>IFERROR(__xludf.DUMMYFUNCTION("""COMPUTED_VALUE"""),26.77)</f>
        <v>26.77</v>
      </c>
      <c r="E2352" s="2">
        <f>IFERROR(__xludf.DUMMYFUNCTION("""COMPUTED_VALUE"""),26.83)</f>
        <v>26.83</v>
      </c>
      <c r="F2352" s="2">
        <f>IFERROR(__xludf.DUMMYFUNCTION("""COMPUTED_VALUE"""),1455100.0)</f>
        <v>1455100</v>
      </c>
    </row>
    <row r="2353">
      <c r="A2353" s="3">
        <f>IFERROR(__xludf.DUMMYFUNCTION("""COMPUTED_VALUE"""),32618.666666666668)</f>
        <v>32618.66667</v>
      </c>
      <c r="B2353" s="2">
        <f>IFERROR(__xludf.DUMMYFUNCTION("""COMPUTED_VALUE"""),26.83)</f>
        <v>26.83</v>
      </c>
      <c r="C2353" s="2">
        <f>IFERROR(__xludf.DUMMYFUNCTION("""COMPUTED_VALUE"""),26.95)</f>
        <v>26.95</v>
      </c>
      <c r="D2353" s="2">
        <f>IFERROR(__xludf.DUMMYFUNCTION("""COMPUTED_VALUE"""),26.51)</f>
        <v>26.51</v>
      </c>
      <c r="E2353" s="2">
        <f>IFERROR(__xludf.DUMMYFUNCTION("""COMPUTED_VALUE"""),26.83)</f>
        <v>26.83</v>
      </c>
      <c r="F2353" s="2">
        <f>IFERROR(__xludf.DUMMYFUNCTION("""COMPUTED_VALUE"""),1232900.0)</f>
        <v>1232900</v>
      </c>
    </row>
    <row r="2354">
      <c r="A2354" s="3">
        <f>IFERROR(__xludf.DUMMYFUNCTION("""COMPUTED_VALUE"""),32619.666666666668)</f>
        <v>32619.66667</v>
      </c>
      <c r="B2354" s="2">
        <f>IFERROR(__xludf.DUMMYFUNCTION("""COMPUTED_VALUE"""),27.1)</f>
        <v>27.1</v>
      </c>
      <c r="C2354" s="2">
        <f>IFERROR(__xludf.DUMMYFUNCTION("""COMPUTED_VALUE"""),27.1)</f>
        <v>27.1</v>
      </c>
      <c r="D2354" s="2">
        <f>IFERROR(__xludf.DUMMYFUNCTION("""COMPUTED_VALUE"""),26.77)</f>
        <v>26.77</v>
      </c>
      <c r="E2354" s="2">
        <f>IFERROR(__xludf.DUMMYFUNCTION("""COMPUTED_VALUE"""),27.1)</f>
        <v>27.1</v>
      </c>
      <c r="F2354" s="2">
        <f>IFERROR(__xludf.DUMMYFUNCTION("""COMPUTED_VALUE"""),1539400.0)</f>
        <v>1539400</v>
      </c>
    </row>
    <row r="2355">
      <c r="A2355" s="3">
        <f>IFERROR(__xludf.DUMMYFUNCTION("""COMPUTED_VALUE"""),32622.666666666668)</f>
        <v>32622.66667</v>
      </c>
      <c r="B2355" s="2">
        <f>IFERROR(__xludf.DUMMYFUNCTION("""COMPUTED_VALUE"""),27.1)</f>
        <v>27.1</v>
      </c>
      <c r="C2355" s="2">
        <f>IFERROR(__xludf.DUMMYFUNCTION("""COMPUTED_VALUE"""),27.31)</f>
        <v>27.31</v>
      </c>
      <c r="D2355" s="2">
        <f>IFERROR(__xludf.DUMMYFUNCTION("""COMPUTED_VALUE"""),27.01)</f>
        <v>27.01</v>
      </c>
      <c r="E2355" s="2">
        <f>IFERROR(__xludf.DUMMYFUNCTION("""COMPUTED_VALUE"""),27.1)</f>
        <v>27.1</v>
      </c>
      <c r="F2355" s="2">
        <f>IFERROR(__xludf.DUMMYFUNCTION("""COMPUTED_VALUE"""),1444300.0)</f>
        <v>1444300</v>
      </c>
    </row>
    <row r="2356">
      <c r="A2356" s="3">
        <f>IFERROR(__xludf.DUMMYFUNCTION("""COMPUTED_VALUE"""),32623.666666666668)</f>
        <v>32623.66667</v>
      </c>
      <c r="B2356" s="2">
        <f>IFERROR(__xludf.DUMMYFUNCTION("""COMPUTED_VALUE"""),27.34)</f>
        <v>27.34</v>
      </c>
      <c r="C2356" s="2">
        <f>IFERROR(__xludf.DUMMYFUNCTION("""COMPUTED_VALUE"""),27.49)</f>
        <v>27.49</v>
      </c>
      <c r="D2356" s="2">
        <f>IFERROR(__xludf.DUMMYFUNCTION("""COMPUTED_VALUE"""),27.07)</f>
        <v>27.07</v>
      </c>
      <c r="E2356" s="2">
        <f>IFERROR(__xludf.DUMMYFUNCTION("""COMPUTED_VALUE"""),27.34)</f>
        <v>27.34</v>
      </c>
      <c r="F2356" s="2">
        <f>IFERROR(__xludf.DUMMYFUNCTION("""COMPUTED_VALUE"""),2005300.0)</f>
        <v>2005300</v>
      </c>
    </row>
    <row r="2357">
      <c r="A2357" s="3">
        <f>IFERROR(__xludf.DUMMYFUNCTION("""COMPUTED_VALUE"""),32624.666666666668)</f>
        <v>32624.66667</v>
      </c>
      <c r="B2357" s="2">
        <f>IFERROR(__xludf.DUMMYFUNCTION("""COMPUTED_VALUE"""),27.34)</f>
        <v>27.34</v>
      </c>
      <c r="C2357" s="2">
        <f>IFERROR(__xludf.DUMMYFUNCTION("""COMPUTED_VALUE"""),27.4)</f>
        <v>27.4</v>
      </c>
      <c r="D2357" s="2">
        <f>IFERROR(__xludf.DUMMYFUNCTION("""COMPUTED_VALUE"""),27.1)</f>
        <v>27.1</v>
      </c>
      <c r="E2357" s="2">
        <f>IFERROR(__xludf.DUMMYFUNCTION("""COMPUTED_VALUE"""),27.34)</f>
        <v>27.34</v>
      </c>
      <c r="F2357" s="2">
        <f>IFERROR(__xludf.DUMMYFUNCTION("""COMPUTED_VALUE"""),1301600.0)</f>
        <v>1301600</v>
      </c>
    </row>
    <row r="2358">
      <c r="A2358" s="3">
        <f>IFERROR(__xludf.DUMMYFUNCTION("""COMPUTED_VALUE"""),32625.666666666668)</f>
        <v>32625.66667</v>
      </c>
      <c r="B2358" s="2">
        <f>IFERROR(__xludf.DUMMYFUNCTION("""COMPUTED_VALUE"""),27.37)</f>
        <v>27.37</v>
      </c>
      <c r="C2358" s="2">
        <f>IFERROR(__xludf.DUMMYFUNCTION("""COMPUTED_VALUE"""),27.64)</f>
        <v>27.64</v>
      </c>
      <c r="D2358" s="2">
        <f>IFERROR(__xludf.DUMMYFUNCTION("""COMPUTED_VALUE"""),27.28)</f>
        <v>27.28</v>
      </c>
      <c r="E2358" s="2">
        <f>IFERROR(__xludf.DUMMYFUNCTION("""COMPUTED_VALUE"""),27.37)</f>
        <v>27.37</v>
      </c>
      <c r="F2358" s="2">
        <f>IFERROR(__xludf.DUMMYFUNCTION("""COMPUTED_VALUE"""),1858400.0)</f>
        <v>1858400</v>
      </c>
    </row>
    <row r="2359">
      <c r="A2359" s="3">
        <f>IFERROR(__xludf.DUMMYFUNCTION("""COMPUTED_VALUE"""),32626.666666666668)</f>
        <v>32626.66667</v>
      </c>
      <c r="B2359" s="2">
        <f>IFERROR(__xludf.DUMMYFUNCTION("""COMPUTED_VALUE"""),27.25)</f>
        <v>27.25</v>
      </c>
      <c r="C2359" s="2">
        <f>IFERROR(__xludf.DUMMYFUNCTION("""COMPUTED_VALUE"""),27.37)</f>
        <v>27.37</v>
      </c>
      <c r="D2359" s="2">
        <f>IFERROR(__xludf.DUMMYFUNCTION("""COMPUTED_VALUE"""),27.22)</f>
        <v>27.22</v>
      </c>
      <c r="E2359" s="2">
        <f>IFERROR(__xludf.DUMMYFUNCTION("""COMPUTED_VALUE"""),27.25)</f>
        <v>27.25</v>
      </c>
      <c r="F2359" s="2">
        <f>IFERROR(__xludf.DUMMYFUNCTION("""COMPUTED_VALUE"""),1109500.0)</f>
        <v>1109500</v>
      </c>
    </row>
    <row r="2360">
      <c r="A2360" s="3">
        <f>IFERROR(__xludf.DUMMYFUNCTION("""COMPUTED_VALUE"""),32629.666666666668)</f>
        <v>32629.66667</v>
      </c>
      <c r="B2360" s="2">
        <f>IFERROR(__xludf.DUMMYFUNCTION("""COMPUTED_VALUE"""),27.07)</f>
        <v>27.07</v>
      </c>
      <c r="C2360" s="2">
        <f>IFERROR(__xludf.DUMMYFUNCTION("""COMPUTED_VALUE"""),27.13)</f>
        <v>27.13</v>
      </c>
      <c r="D2360" s="2">
        <f>IFERROR(__xludf.DUMMYFUNCTION("""COMPUTED_VALUE"""),26.95)</f>
        <v>26.95</v>
      </c>
      <c r="E2360" s="2">
        <f>IFERROR(__xludf.DUMMYFUNCTION("""COMPUTED_VALUE"""),27.07)</f>
        <v>27.07</v>
      </c>
      <c r="F2360" s="2">
        <f>IFERROR(__xludf.DUMMYFUNCTION("""COMPUTED_VALUE"""),1178300.0)</f>
        <v>1178300</v>
      </c>
    </row>
    <row r="2361">
      <c r="A2361" s="3">
        <f>IFERROR(__xludf.DUMMYFUNCTION("""COMPUTED_VALUE"""),32630.666666666668)</f>
        <v>32630.66667</v>
      </c>
      <c r="B2361" s="2">
        <f>IFERROR(__xludf.DUMMYFUNCTION("""COMPUTED_VALUE"""),26.83)</f>
        <v>26.83</v>
      </c>
      <c r="C2361" s="2">
        <f>IFERROR(__xludf.DUMMYFUNCTION("""COMPUTED_VALUE"""),27.16)</f>
        <v>27.16</v>
      </c>
      <c r="D2361" s="2">
        <f>IFERROR(__xludf.DUMMYFUNCTION("""COMPUTED_VALUE"""),26.83)</f>
        <v>26.83</v>
      </c>
      <c r="E2361" s="2">
        <f>IFERROR(__xludf.DUMMYFUNCTION("""COMPUTED_VALUE"""),26.83)</f>
        <v>26.83</v>
      </c>
      <c r="F2361" s="2">
        <f>IFERROR(__xludf.DUMMYFUNCTION("""COMPUTED_VALUE"""),936000.0)</f>
        <v>936000</v>
      </c>
    </row>
    <row r="2362">
      <c r="A2362" s="3">
        <f>IFERROR(__xludf.DUMMYFUNCTION("""COMPUTED_VALUE"""),32631.666666666668)</f>
        <v>32631.66667</v>
      </c>
      <c r="B2362" s="2">
        <f>IFERROR(__xludf.DUMMYFUNCTION("""COMPUTED_VALUE"""),26.63)</f>
        <v>26.63</v>
      </c>
      <c r="C2362" s="2">
        <f>IFERROR(__xludf.DUMMYFUNCTION("""COMPUTED_VALUE"""),26.86)</f>
        <v>26.86</v>
      </c>
      <c r="D2362" s="2">
        <f>IFERROR(__xludf.DUMMYFUNCTION("""COMPUTED_VALUE"""),26.63)</f>
        <v>26.63</v>
      </c>
      <c r="E2362" s="2">
        <f>IFERROR(__xludf.DUMMYFUNCTION("""COMPUTED_VALUE"""),26.63)</f>
        <v>26.63</v>
      </c>
      <c r="F2362" s="2">
        <f>IFERROR(__xludf.DUMMYFUNCTION("""COMPUTED_VALUE"""),1432200.0)</f>
        <v>1432200</v>
      </c>
    </row>
    <row r="2363">
      <c r="A2363" s="3">
        <f>IFERROR(__xludf.DUMMYFUNCTION("""COMPUTED_VALUE"""),32632.666666666668)</f>
        <v>32632.66667</v>
      </c>
      <c r="B2363" s="2">
        <f>IFERROR(__xludf.DUMMYFUNCTION("""COMPUTED_VALUE"""),26.42)</f>
        <v>26.42</v>
      </c>
      <c r="C2363" s="2">
        <f>IFERROR(__xludf.DUMMYFUNCTION("""COMPUTED_VALUE"""),26.54)</f>
        <v>26.54</v>
      </c>
      <c r="D2363" s="2">
        <f>IFERROR(__xludf.DUMMYFUNCTION("""COMPUTED_VALUE"""),26.33)</f>
        <v>26.33</v>
      </c>
      <c r="E2363" s="2">
        <f>IFERROR(__xludf.DUMMYFUNCTION("""COMPUTED_VALUE"""),26.42)</f>
        <v>26.42</v>
      </c>
      <c r="F2363" s="2">
        <f>IFERROR(__xludf.DUMMYFUNCTION("""COMPUTED_VALUE"""),984000.0)</f>
        <v>984000</v>
      </c>
    </row>
    <row r="2364">
      <c r="A2364" s="3">
        <f>IFERROR(__xludf.DUMMYFUNCTION("""COMPUTED_VALUE"""),32633.666666666668)</f>
        <v>32633.66667</v>
      </c>
      <c r="B2364" s="2">
        <f>IFERROR(__xludf.DUMMYFUNCTION("""COMPUTED_VALUE"""),26.12)</f>
        <v>26.12</v>
      </c>
      <c r="C2364" s="2">
        <f>IFERROR(__xludf.DUMMYFUNCTION("""COMPUTED_VALUE"""),26.6)</f>
        <v>26.6</v>
      </c>
      <c r="D2364" s="2">
        <f>IFERROR(__xludf.DUMMYFUNCTION("""COMPUTED_VALUE"""),26.06)</f>
        <v>26.06</v>
      </c>
      <c r="E2364" s="2">
        <f>IFERROR(__xludf.DUMMYFUNCTION("""COMPUTED_VALUE"""),26.12)</f>
        <v>26.12</v>
      </c>
      <c r="F2364" s="2">
        <f>IFERROR(__xludf.DUMMYFUNCTION("""COMPUTED_VALUE"""),1444300.0)</f>
        <v>1444300</v>
      </c>
    </row>
    <row r="2365">
      <c r="A2365" s="3">
        <f>IFERROR(__xludf.DUMMYFUNCTION("""COMPUTED_VALUE"""),32636.666666666668)</f>
        <v>32636.66667</v>
      </c>
      <c r="B2365" s="2">
        <f>IFERROR(__xludf.DUMMYFUNCTION("""COMPUTED_VALUE"""),26.15)</f>
        <v>26.15</v>
      </c>
      <c r="C2365" s="2">
        <f>IFERROR(__xludf.DUMMYFUNCTION("""COMPUTED_VALUE"""),26.21)</f>
        <v>26.21</v>
      </c>
      <c r="D2365" s="2">
        <f>IFERROR(__xludf.DUMMYFUNCTION("""COMPUTED_VALUE"""),25.94)</f>
        <v>25.94</v>
      </c>
      <c r="E2365" s="2">
        <f>IFERROR(__xludf.DUMMYFUNCTION("""COMPUTED_VALUE"""),26.15)</f>
        <v>26.15</v>
      </c>
      <c r="F2365" s="2">
        <f>IFERROR(__xludf.DUMMYFUNCTION("""COMPUTED_VALUE"""),1322000.0)</f>
        <v>1322000</v>
      </c>
    </row>
    <row r="2366">
      <c r="A2366" s="3">
        <f>IFERROR(__xludf.DUMMYFUNCTION("""COMPUTED_VALUE"""),32637.666666666668)</f>
        <v>32637.66667</v>
      </c>
      <c r="B2366" s="2">
        <f>IFERROR(__xludf.DUMMYFUNCTION("""COMPUTED_VALUE"""),26.21)</f>
        <v>26.21</v>
      </c>
      <c r="C2366" s="2">
        <f>IFERROR(__xludf.DUMMYFUNCTION("""COMPUTED_VALUE"""),26.3)</f>
        <v>26.3</v>
      </c>
      <c r="D2366" s="2">
        <f>IFERROR(__xludf.DUMMYFUNCTION("""COMPUTED_VALUE"""),26.06)</f>
        <v>26.06</v>
      </c>
      <c r="E2366" s="2">
        <f>IFERROR(__xludf.DUMMYFUNCTION("""COMPUTED_VALUE"""),26.21)</f>
        <v>26.21</v>
      </c>
      <c r="F2366" s="2">
        <f>IFERROR(__xludf.DUMMYFUNCTION("""COMPUTED_VALUE"""),1522400.0)</f>
        <v>1522400</v>
      </c>
    </row>
    <row r="2367">
      <c r="A2367" s="3">
        <f>IFERROR(__xludf.DUMMYFUNCTION("""COMPUTED_VALUE"""),32638.666666666668)</f>
        <v>32638.66667</v>
      </c>
      <c r="B2367" s="2">
        <f>IFERROR(__xludf.DUMMYFUNCTION("""COMPUTED_VALUE"""),26.18)</f>
        <v>26.18</v>
      </c>
      <c r="C2367" s="2">
        <f>IFERROR(__xludf.DUMMYFUNCTION("""COMPUTED_VALUE"""),26.33)</f>
        <v>26.33</v>
      </c>
      <c r="D2367" s="2">
        <f>IFERROR(__xludf.DUMMYFUNCTION("""COMPUTED_VALUE"""),26.18)</f>
        <v>26.18</v>
      </c>
      <c r="E2367" s="2">
        <f>IFERROR(__xludf.DUMMYFUNCTION("""COMPUTED_VALUE"""),26.18)</f>
        <v>26.18</v>
      </c>
      <c r="F2367" s="2">
        <f>IFERROR(__xludf.DUMMYFUNCTION("""COMPUTED_VALUE"""),1289400.0)</f>
        <v>1289400</v>
      </c>
    </row>
    <row r="2368">
      <c r="A2368" s="3">
        <f>IFERROR(__xludf.DUMMYFUNCTION("""COMPUTED_VALUE"""),32639.666666666668)</f>
        <v>32639.66667</v>
      </c>
      <c r="B2368" s="2">
        <f>IFERROR(__xludf.DUMMYFUNCTION("""COMPUTED_VALUE"""),26.06)</f>
        <v>26.06</v>
      </c>
      <c r="C2368" s="2">
        <f>IFERROR(__xludf.DUMMYFUNCTION("""COMPUTED_VALUE"""),26.24)</f>
        <v>26.24</v>
      </c>
      <c r="D2368" s="2">
        <f>IFERROR(__xludf.DUMMYFUNCTION("""COMPUTED_VALUE"""),26.03)</f>
        <v>26.03</v>
      </c>
      <c r="E2368" s="2">
        <f>IFERROR(__xludf.DUMMYFUNCTION("""COMPUTED_VALUE"""),26.06)</f>
        <v>26.06</v>
      </c>
      <c r="F2368" s="2">
        <f>IFERROR(__xludf.DUMMYFUNCTION("""COMPUTED_VALUE"""),1192600.0)</f>
        <v>1192600</v>
      </c>
    </row>
    <row r="2369">
      <c r="A2369" s="3">
        <f>IFERROR(__xludf.DUMMYFUNCTION("""COMPUTED_VALUE"""),32640.666666666668)</f>
        <v>32640.66667</v>
      </c>
      <c r="B2369" s="2">
        <f>IFERROR(__xludf.DUMMYFUNCTION("""COMPUTED_VALUE"""),26.45)</f>
        <v>26.45</v>
      </c>
      <c r="C2369" s="2">
        <f>IFERROR(__xludf.DUMMYFUNCTION("""COMPUTED_VALUE"""),26.57)</f>
        <v>26.57</v>
      </c>
      <c r="D2369" s="2">
        <f>IFERROR(__xludf.DUMMYFUNCTION("""COMPUTED_VALUE"""),26.33)</f>
        <v>26.33</v>
      </c>
      <c r="E2369" s="2">
        <f>IFERROR(__xludf.DUMMYFUNCTION("""COMPUTED_VALUE"""),26.45)</f>
        <v>26.45</v>
      </c>
      <c r="F2369" s="2">
        <f>IFERROR(__xludf.DUMMYFUNCTION("""COMPUTED_VALUE"""),1720900.0)</f>
        <v>1720900</v>
      </c>
    </row>
    <row r="2370">
      <c r="A2370" s="3">
        <f>IFERROR(__xludf.DUMMYFUNCTION("""COMPUTED_VALUE"""),32643.666666666668)</f>
        <v>32643.66667</v>
      </c>
      <c r="B2370" s="2">
        <f>IFERROR(__xludf.DUMMYFUNCTION("""COMPUTED_VALUE"""),26.92)</f>
        <v>26.92</v>
      </c>
      <c r="C2370" s="2">
        <f>IFERROR(__xludf.DUMMYFUNCTION("""COMPUTED_VALUE"""),26.95)</f>
        <v>26.95</v>
      </c>
      <c r="D2370" s="2">
        <f>IFERROR(__xludf.DUMMYFUNCTION("""COMPUTED_VALUE"""),26.42)</f>
        <v>26.42</v>
      </c>
      <c r="E2370" s="2">
        <f>IFERROR(__xludf.DUMMYFUNCTION("""COMPUTED_VALUE"""),26.92)</f>
        <v>26.92</v>
      </c>
      <c r="F2370" s="2">
        <f>IFERROR(__xludf.DUMMYFUNCTION("""COMPUTED_VALUE"""),2010200.0)</f>
        <v>2010200</v>
      </c>
    </row>
    <row r="2371">
      <c r="A2371" s="3">
        <f>IFERROR(__xludf.DUMMYFUNCTION("""COMPUTED_VALUE"""),32644.666666666668)</f>
        <v>32644.66667</v>
      </c>
      <c r="B2371" s="2">
        <f>IFERROR(__xludf.DUMMYFUNCTION("""COMPUTED_VALUE"""),26.6)</f>
        <v>26.6</v>
      </c>
      <c r="C2371" s="2">
        <f>IFERROR(__xludf.DUMMYFUNCTION("""COMPUTED_VALUE"""),27.01)</f>
        <v>27.01</v>
      </c>
      <c r="D2371" s="2">
        <f>IFERROR(__xludf.DUMMYFUNCTION("""COMPUTED_VALUE"""),26.57)</f>
        <v>26.57</v>
      </c>
      <c r="E2371" s="2">
        <f>IFERROR(__xludf.DUMMYFUNCTION("""COMPUTED_VALUE"""),26.6)</f>
        <v>26.6</v>
      </c>
      <c r="F2371" s="2">
        <f>IFERROR(__xludf.DUMMYFUNCTION("""COMPUTED_VALUE"""),2003800.0)</f>
        <v>2003800</v>
      </c>
    </row>
    <row r="2372">
      <c r="A2372" s="3">
        <f>IFERROR(__xludf.DUMMYFUNCTION("""COMPUTED_VALUE"""),32645.666666666668)</f>
        <v>32645.66667</v>
      </c>
      <c r="B2372" s="2">
        <f>IFERROR(__xludf.DUMMYFUNCTION("""COMPUTED_VALUE"""),26.63)</f>
        <v>26.63</v>
      </c>
      <c r="C2372" s="2">
        <f>IFERROR(__xludf.DUMMYFUNCTION("""COMPUTED_VALUE"""),26.71)</f>
        <v>26.71</v>
      </c>
      <c r="D2372" s="2">
        <f>IFERROR(__xludf.DUMMYFUNCTION("""COMPUTED_VALUE"""),26.33)</f>
        <v>26.33</v>
      </c>
      <c r="E2372" s="2">
        <f>IFERROR(__xludf.DUMMYFUNCTION("""COMPUTED_VALUE"""),26.63)</f>
        <v>26.63</v>
      </c>
      <c r="F2372" s="2">
        <f>IFERROR(__xludf.DUMMYFUNCTION("""COMPUTED_VALUE"""),1789500.0)</f>
        <v>1789500</v>
      </c>
    </row>
    <row r="2373">
      <c r="A2373" s="3">
        <f>IFERROR(__xludf.DUMMYFUNCTION("""COMPUTED_VALUE"""),32646.666666666668)</f>
        <v>32646.66667</v>
      </c>
      <c r="B2373" s="2">
        <f>IFERROR(__xludf.DUMMYFUNCTION("""COMPUTED_VALUE"""),26.74)</f>
        <v>26.74</v>
      </c>
      <c r="C2373" s="2">
        <f>IFERROR(__xludf.DUMMYFUNCTION("""COMPUTED_VALUE"""),26.86)</f>
        <v>26.86</v>
      </c>
      <c r="D2373" s="2">
        <f>IFERROR(__xludf.DUMMYFUNCTION("""COMPUTED_VALUE"""),26.42)</f>
        <v>26.42</v>
      </c>
      <c r="E2373" s="2">
        <f>IFERROR(__xludf.DUMMYFUNCTION("""COMPUTED_VALUE"""),26.74)</f>
        <v>26.74</v>
      </c>
      <c r="F2373" s="2">
        <f>IFERROR(__xludf.DUMMYFUNCTION("""COMPUTED_VALUE"""),1743000.0)</f>
        <v>1743000</v>
      </c>
    </row>
    <row r="2374">
      <c r="A2374" s="3">
        <f>IFERROR(__xludf.DUMMYFUNCTION("""COMPUTED_VALUE"""),32647.666666666668)</f>
        <v>32647.66667</v>
      </c>
      <c r="B2374" s="2">
        <f>IFERROR(__xludf.DUMMYFUNCTION("""COMPUTED_VALUE"""),26.54)</f>
        <v>26.54</v>
      </c>
      <c r="C2374" s="2">
        <f>IFERROR(__xludf.DUMMYFUNCTION("""COMPUTED_VALUE"""),26.86)</f>
        <v>26.86</v>
      </c>
      <c r="D2374" s="2">
        <f>IFERROR(__xludf.DUMMYFUNCTION("""COMPUTED_VALUE"""),26.48)</f>
        <v>26.48</v>
      </c>
      <c r="E2374" s="2">
        <f>IFERROR(__xludf.DUMMYFUNCTION("""COMPUTED_VALUE"""),26.54)</f>
        <v>26.54</v>
      </c>
      <c r="F2374" s="2">
        <f>IFERROR(__xludf.DUMMYFUNCTION("""COMPUTED_VALUE"""),2866300.0)</f>
        <v>2866300</v>
      </c>
    </row>
    <row r="2375">
      <c r="A2375" s="3">
        <f>IFERROR(__xludf.DUMMYFUNCTION("""COMPUTED_VALUE"""),32650.666666666668)</f>
        <v>32650.66667</v>
      </c>
      <c r="B2375" s="2">
        <f>IFERROR(__xludf.DUMMYFUNCTION("""COMPUTED_VALUE"""),26.24)</f>
        <v>26.24</v>
      </c>
      <c r="C2375" s="2">
        <f>IFERROR(__xludf.DUMMYFUNCTION("""COMPUTED_VALUE"""),26.71)</f>
        <v>26.71</v>
      </c>
      <c r="D2375" s="2">
        <f>IFERROR(__xludf.DUMMYFUNCTION("""COMPUTED_VALUE"""),26.09)</f>
        <v>26.09</v>
      </c>
      <c r="E2375" s="2">
        <f>IFERROR(__xludf.DUMMYFUNCTION("""COMPUTED_VALUE"""),26.24)</f>
        <v>26.24</v>
      </c>
      <c r="F2375" s="2">
        <f>IFERROR(__xludf.DUMMYFUNCTION("""COMPUTED_VALUE"""),1932000.0)</f>
        <v>1932000</v>
      </c>
    </row>
    <row r="2376">
      <c r="A2376" s="3">
        <f>IFERROR(__xludf.DUMMYFUNCTION("""COMPUTED_VALUE"""),32651.666666666668)</f>
        <v>32651.66667</v>
      </c>
      <c r="B2376" s="2">
        <f>IFERROR(__xludf.DUMMYFUNCTION("""COMPUTED_VALUE"""),26.15)</f>
        <v>26.15</v>
      </c>
      <c r="C2376" s="2">
        <f>IFERROR(__xludf.DUMMYFUNCTION("""COMPUTED_VALUE"""),26.24)</f>
        <v>26.24</v>
      </c>
      <c r="D2376" s="2">
        <f>IFERROR(__xludf.DUMMYFUNCTION("""COMPUTED_VALUE"""),26.06)</f>
        <v>26.06</v>
      </c>
      <c r="E2376" s="2">
        <f>IFERROR(__xludf.DUMMYFUNCTION("""COMPUTED_VALUE"""),26.15)</f>
        <v>26.15</v>
      </c>
      <c r="F2376" s="2">
        <f>IFERROR(__xludf.DUMMYFUNCTION("""COMPUTED_VALUE"""),2007600.0)</f>
        <v>2007600</v>
      </c>
    </row>
    <row r="2377">
      <c r="A2377" s="3">
        <f>IFERROR(__xludf.DUMMYFUNCTION("""COMPUTED_VALUE"""),32652.666666666668)</f>
        <v>32652.66667</v>
      </c>
      <c r="B2377" s="2">
        <f>IFERROR(__xludf.DUMMYFUNCTION("""COMPUTED_VALUE"""),26.21)</f>
        <v>26.21</v>
      </c>
      <c r="C2377" s="2">
        <f>IFERROR(__xludf.DUMMYFUNCTION("""COMPUTED_VALUE"""),26.3)</f>
        <v>26.3</v>
      </c>
      <c r="D2377" s="2">
        <f>IFERROR(__xludf.DUMMYFUNCTION("""COMPUTED_VALUE"""),26.12)</f>
        <v>26.12</v>
      </c>
      <c r="E2377" s="2">
        <f>IFERROR(__xludf.DUMMYFUNCTION("""COMPUTED_VALUE"""),26.21)</f>
        <v>26.21</v>
      </c>
      <c r="F2377" s="2">
        <f>IFERROR(__xludf.DUMMYFUNCTION("""COMPUTED_VALUE"""),1681000.0)</f>
        <v>1681000</v>
      </c>
    </row>
    <row r="2378">
      <c r="A2378" s="3">
        <f>IFERROR(__xludf.DUMMYFUNCTION("""COMPUTED_VALUE"""),32653.666666666668)</f>
        <v>32653.66667</v>
      </c>
      <c r="B2378" s="2">
        <f>IFERROR(__xludf.DUMMYFUNCTION("""COMPUTED_VALUE"""),26.18)</f>
        <v>26.18</v>
      </c>
      <c r="C2378" s="2">
        <f>IFERROR(__xludf.DUMMYFUNCTION("""COMPUTED_VALUE"""),26.33)</f>
        <v>26.33</v>
      </c>
      <c r="D2378" s="2">
        <f>IFERROR(__xludf.DUMMYFUNCTION("""COMPUTED_VALUE"""),26.15)</f>
        <v>26.15</v>
      </c>
      <c r="E2378" s="2">
        <f>IFERROR(__xludf.DUMMYFUNCTION("""COMPUTED_VALUE"""),26.18)</f>
        <v>26.18</v>
      </c>
      <c r="F2378" s="2">
        <f>IFERROR(__xludf.DUMMYFUNCTION("""COMPUTED_VALUE"""),979800.0)</f>
        <v>979800</v>
      </c>
    </row>
    <row r="2379">
      <c r="A2379" s="3">
        <f>IFERROR(__xludf.DUMMYFUNCTION("""COMPUTED_VALUE"""),32654.666666666668)</f>
        <v>32654.66667</v>
      </c>
      <c r="B2379" s="2">
        <f>IFERROR(__xludf.DUMMYFUNCTION("""COMPUTED_VALUE"""),26.15)</f>
        <v>26.15</v>
      </c>
      <c r="C2379" s="2">
        <f>IFERROR(__xludf.DUMMYFUNCTION("""COMPUTED_VALUE"""),26.27)</f>
        <v>26.27</v>
      </c>
      <c r="D2379" s="2">
        <f>IFERROR(__xludf.DUMMYFUNCTION("""COMPUTED_VALUE"""),26.09)</f>
        <v>26.09</v>
      </c>
      <c r="E2379" s="2">
        <f>IFERROR(__xludf.DUMMYFUNCTION("""COMPUTED_VALUE"""),26.15)</f>
        <v>26.15</v>
      </c>
      <c r="F2379" s="2">
        <f>IFERROR(__xludf.DUMMYFUNCTION("""COMPUTED_VALUE"""),841600.0)</f>
        <v>841600</v>
      </c>
    </row>
    <row r="2380">
      <c r="A2380" s="3">
        <f>IFERROR(__xludf.DUMMYFUNCTION("""COMPUTED_VALUE"""),32658.666666666668)</f>
        <v>32658.66667</v>
      </c>
      <c r="B2380" s="2">
        <f>IFERROR(__xludf.DUMMYFUNCTION("""COMPUTED_VALUE"""),25.85)</f>
        <v>25.85</v>
      </c>
      <c r="C2380" s="2">
        <f>IFERROR(__xludf.DUMMYFUNCTION("""COMPUTED_VALUE"""),26.21)</f>
        <v>26.21</v>
      </c>
      <c r="D2380" s="2">
        <f>IFERROR(__xludf.DUMMYFUNCTION("""COMPUTED_VALUE"""),25.67)</f>
        <v>25.67</v>
      </c>
      <c r="E2380" s="2">
        <f>IFERROR(__xludf.DUMMYFUNCTION("""COMPUTED_VALUE"""),25.85)</f>
        <v>25.85</v>
      </c>
      <c r="F2380" s="2">
        <f>IFERROR(__xludf.DUMMYFUNCTION("""COMPUTED_VALUE"""),1633100.0)</f>
        <v>1633100</v>
      </c>
    </row>
    <row r="2381">
      <c r="A2381" s="3">
        <f>IFERROR(__xludf.DUMMYFUNCTION("""COMPUTED_VALUE"""),32659.666666666668)</f>
        <v>32659.66667</v>
      </c>
      <c r="B2381" s="2">
        <f>IFERROR(__xludf.DUMMYFUNCTION("""COMPUTED_VALUE"""),26.18)</f>
        <v>26.18</v>
      </c>
      <c r="C2381" s="2">
        <f>IFERROR(__xludf.DUMMYFUNCTION("""COMPUTED_VALUE"""),26.3)</f>
        <v>26.3</v>
      </c>
      <c r="D2381" s="2">
        <f>IFERROR(__xludf.DUMMYFUNCTION("""COMPUTED_VALUE"""),25.76)</f>
        <v>25.76</v>
      </c>
      <c r="E2381" s="2">
        <f>IFERROR(__xludf.DUMMYFUNCTION("""COMPUTED_VALUE"""),26.18)</f>
        <v>26.18</v>
      </c>
      <c r="F2381" s="2">
        <f>IFERROR(__xludf.DUMMYFUNCTION("""COMPUTED_VALUE"""),1736100.0)</f>
        <v>1736100</v>
      </c>
    </row>
    <row r="2382">
      <c r="A2382" s="3">
        <f>IFERROR(__xludf.DUMMYFUNCTION("""COMPUTED_VALUE"""),32660.666666666668)</f>
        <v>32660.66667</v>
      </c>
      <c r="B2382" s="2">
        <f>IFERROR(__xludf.DUMMYFUNCTION("""COMPUTED_VALUE"""),26.27)</f>
        <v>26.27</v>
      </c>
      <c r="C2382" s="2">
        <f>IFERROR(__xludf.DUMMYFUNCTION("""COMPUTED_VALUE"""),26.45)</f>
        <v>26.45</v>
      </c>
      <c r="D2382" s="2">
        <f>IFERROR(__xludf.DUMMYFUNCTION("""COMPUTED_VALUE"""),26.15)</f>
        <v>26.15</v>
      </c>
      <c r="E2382" s="2">
        <f>IFERROR(__xludf.DUMMYFUNCTION("""COMPUTED_VALUE"""),26.27)</f>
        <v>26.27</v>
      </c>
      <c r="F2382" s="2">
        <f>IFERROR(__xludf.DUMMYFUNCTION("""COMPUTED_VALUE"""),1401400.0)</f>
        <v>1401400</v>
      </c>
    </row>
    <row r="2383">
      <c r="A2383" s="3">
        <f>IFERROR(__xludf.DUMMYFUNCTION("""COMPUTED_VALUE"""),32661.666666666668)</f>
        <v>32661.66667</v>
      </c>
      <c r="B2383" s="2">
        <f>IFERROR(__xludf.DUMMYFUNCTION("""COMPUTED_VALUE"""),26.3)</f>
        <v>26.3</v>
      </c>
      <c r="C2383" s="2">
        <f>IFERROR(__xludf.DUMMYFUNCTION("""COMPUTED_VALUE"""),26.48)</f>
        <v>26.48</v>
      </c>
      <c r="D2383" s="2">
        <f>IFERROR(__xludf.DUMMYFUNCTION("""COMPUTED_VALUE"""),26.18)</f>
        <v>26.18</v>
      </c>
      <c r="E2383" s="2">
        <f>IFERROR(__xludf.DUMMYFUNCTION("""COMPUTED_VALUE"""),26.3)</f>
        <v>26.3</v>
      </c>
      <c r="F2383" s="2">
        <f>IFERROR(__xludf.DUMMYFUNCTION("""COMPUTED_VALUE"""),1615200.0)</f>
        <v>1615200</v>
      </c>
    </row>
    <row r="2384">
      <c r="A2384" s="3">
        <f>IFERROR(__xludf.DUMMYFUNCTION("""COMPUTED_VALUE"""),32664.666666666668)</f>
        <v>32664.66667</v>
      </c>
      <c r="B2384" s="2">
        <f>IFERROR(__xludf.DUMMYFUNCTION("""COMPUTED_VALUE"""),26.03)</f>
        <v>26.03</v>
      </c>
      <c r="C2384" s="2">
        <f>IFERROR(__xludf.DUMMYFUNCTION("""COMPUTED_VALUE"""),26.3)</f>
        <v>26.3</v>
      </c>
      <c r="D2384" s="2">
        <f>IFERROR(__xludf.DUMMYFUNCTION("""COMPUTED_VALUE"""),25.97)</f>
        <v>25.97</v>
      </c>
      <c r="E2384" s="2">
        <f>IFERROR(__xludf.DUMMYFUNCTION("""COMPUTED_VALUE"""),26.03)</f>
        <v>26.03</v>
      </c>
      <c r="F2384" s="2">
        <f>IFERROR(__xludf.DUMMYFUNCTION("""COMPUTED_VALUE"""),1269700.0)</f>
        <v>1269700</v>
      </c>
    </row>
    <row r="2385">
      <c r="A2385" s="3">
        <f>IFERROR(__xludf.DUMMYFUNCTION("""COMPUTED_VALUE"""),32665.666666666668)</f>
        <v>32665.66667</v>
      </c>
      <c r="B2385" s="2">
        <f>IFERROR(__xludf.DUMMYFUNCTION("""COMPUTED_VALUE"""),26.18)</f>
        <v>26.18</v>
      </c>
      <c r="C2385" s="2">
        <f>IFERROR(__xludf.DUMMYFUNCTION("""COMPUTED_VALUE"""),26.21)</f>
        <v>26.21</v>
      </c>
      <c r="D2385" s="2">
        <f>IFERROR(__xludf.DUMMYFUNCTION("""COMPUTED_VALUE"""),25.94)</f>
        <v>25.94</v>
      </c>
      <c r="E2385" s="2">
        <f>IFERROR(__xludf.DUMMYFUNCTION("""COMPUTED_VALUE"""),26.18)</f>
        <v>26.18</v>
      </c>
      <c r="F2385" s="2">
        <f>IFERROR(__xludf.DUMMYFUNCTION("""COMPUTED_VALUE"""),1771100.0)</f>
        <v>1771100</v>
      </c>
    </row>
    <row r="2386">
      <c r="A2386" s="3">
        <f>IFERROR(__xludf.DUMMYFUNCTION("""COMPUTED_VALUE"""),32666.666666666668)</f>
        <v>32666.66667</v>
      </c>
      <c r="B2386" s="2">
        <f>IFERROR(__xludf.DUMMYFUNCTION("""COMPUTED_VALUE"""),26.15)</f>
        <v>26.15</v>
      </c>
      <c r="C2386" s="2">
        <f>IFERROR(__xludf.DUMMYFUNCTION("""COMPUTED_VALUE"""),26.36)</f>
        <v>26.36</v>
      </c>
      <c r="D2386" s="2">
        <f>IFERROR(__xludf.DUMMYFUNCTION("""COMPUTED_VALUE"""),26.06)</f>
        <v>26.06</v>
      </c>
      <c r="E2386" s="2">
        <f>IFERROR(__xludf.DUMMYFUNCTION("""COMPUTED_VALUE"""),26.15)</f>
        <v>26.15</v>
      </c>
      <c r="F2386" s="2">
        <f>IFERROR(__xludf.DUMMYFUNCTION("""COMPUTED_VALUE"""),1142300.0)</f>
        <v>1142300</v>
      </c>
    </row>
    <row r="2387">
      <c r="A2387" s="3">
        <f>IFERROR(__xludf.DUMMYFUNCTION("""COMPUTED_VALUE"""),32667.666666666668)</f>
        <v>32667.66667</v>
      </c>
      <c r="B2387" s="2">
        <f>IFERROR(__xludf.DUMMYFUNCTION("""COMPUTED_VALUE"""),26.09)</f>
        <v>26.09</v>
      </c>
      <c r="C2387" s="2">
        <f>IFERROR(__xludf.DUMMYFUNCTION("""COMPUTED_VALUE"""),26.18)</f>
        <v>26.18</v>
      </c>
      <c r="D2387" s="2">
        <f>IFERROR(__xludf.DUMMYFUNCTION("""COMPUTED_VALUE"""),25.97)</f>
        <v>25.97</v>
      </c>
      <c r="E2387" s="2">
        <f>IFERROR(__xludf.DUMMYFUNCTION("""COMPUTED_VALUE"""),26.09)</f>
        <v>26.09</v>
      </c>
      <c r="F2387" s="2">
        <f>IFERROR(__xludf.DUMMYFUNCTION("""COMPUTED_VALUE"""),1271500.0)</f>
        <v>1271500</v>
      </c>
    </row>
    <row r="2388">
      <c r="A2388" s="3">
        <f>IFERROR(__xludf.DUMMYFUNCTION("""COMPUTED_VALUE"""),32668.666666666668)</f>
        <v>32668.66667</v>
      </c>
      <c r="B2388" s="2">
        <f>IFERROR(__xludf.DUMMYFUNCTION("""COMPUTED_VALUE"""),25.88)</f>
        <v>25.88</v>
      </c>
      <c r="C2388" s="2">
        <f>IFERROR(__xludf.DUMMYFUNCTION("""COMPUTED_VALUE"""),26.15)</f>
        <v>26.15</v>
      </c>
      <c r="D2388" s="2">
        <f>IFERROR(__xludf.DUMMYFUNCTION("""COMPUTED_VALUE"""),25.88)</f>
        <v>25.88</v>
      </c>
      <c r="E2388" s="2">
        <f>IFERROR(__xludf.DUMMYFUNCTION("""COMPUTED_VALUE"""),25.88)</f>
        <v>25.88</v>
      </c>
      <c r="F2388" s="2">
        <f>IFERROR(__xludf.DUMMYFUNCTION("""COMPUTED_VALUE"""),1391800.0)</f>
        <v>1391800</v>
      </c>
    </row>
    <row r="2389">
      <c r="A2389" s="3">
        <f>IFERROR(__xludf.DUMMYFUNCTION("""COMPUTED_VALUE"""),32671.666666666668)</f>
        <v>32671.66667</v>
      </c>
      <c r="B2389" s="2">
        <f>IFERROR(__xludf.DUMMYFUNCTION("""COMPUTED_VALUE"""),26.0)</f>
        <v>26</v>
      </c>
      <c r="C2389" s="2">
        <f>IFERROR(__xludf.DUMMYFUNCTION("""COMPUTED_VALUE"""),26.03)</f>
        <v>26.03</v>
      </c>
      <c r="D2389" s="2">
        <f>IFERROR(__xludf.DUMMYFUNCTION("""COMPUTED_VALUE"""),25.67)</f>
        <v>25.67</v>
      </c>
      <c r="E2389" s="2">
        <f>IFERROR(__xludf.DUMMYFUNCTION("""COMPUTED_VALUE"""),26.0)</f>
        <v>26</v>
      </c>
      <c r="F2389" s="2">
        <f>IFERROR(__xludf.DUMMYFUNCTION("""COMPUTED_VALUE"""),1918800.0)</f>
        <v>1918800</v>
      </c>
    </row>
    <row r="2390">
      <c r="A2390" s="3">
        <f>IFERROR(__xludf.DUMMYFUNCTION("""COMPUTED_VALUE"""),32672.666666666668)</f>
        <v>32672.66667</v>
      </c>
      <c r="B2390" s="2">
        <f>IFERROR(__xludf.DUMMYFUNCTION("""COMPUTED_VALUE"""),26.51)</f>
        <v>26.51</v>
      </c>
      <c r="C2390" s="2">
        <f>IFERROR(__xludf.DUMMYFUNCTION("""COMPUTED_VALUE"""),26.66)</f>
        <v>26.66</v>
      </c>
      <c r="D2390" s="2">
        <f>IFERROR(__xludf.DUMMYFUNCTION("""COMPUTED_VALUE"""),25.91)</f>
        <v>25.91</v>
      </c>
      <c r="E2390" s="2">
        <f>IFERROR(__xludf.DUMMYFUNCTION("""COMPUTED_VALUE"""),26.51)</f>
        <v>26.51</v>
      </c>
      <c r="F2390" s="2">
        <f>IFERROR(__xludf.DUMMYFUNCTION("""COMPUTED_VALUE"""),2324000.0)</f>
        <v>2324000</v>
      </c>
    </row>
    <row r="2391">
      <c r="A2391" s="3">
        <f>IFERROR(__xludf.DUMMYFUNCTION("""COMPUTED_VALUE"""),32673.666666666668)</f>
        <v>32673.66667</v>
      </c>
      <c r="B2391" s="2">
        <f>IFERROR(__xludf.DUMMYFUNCTION("""COMPUTED_VALUE"""),26.36)</f>
        <v>26.36</v>
      </c>
      <c r="C2391" s="2">
        <f>IFERROR(__xludf.DUMMYFUNCTION("""COMPUTED_VALUE"""),26.63)</f>
        <v>26.63</v>
      </c>
      <c r="D2391" s="2">
        <f>IFERROR(__xludf.DUMMYFUNCTION("""COMPUTED_VALUE"""),26.18)</f>
        <v>26.18</v>
      </c>
      <c r="E2391" s="2">
        <f>IFERROR(__xludf.DUMMYFUNCTION("""COMPUTED_VALUE"""),26.36)</f>
        <v>26.36</v>
      </c>
      <c r="F2391" s="2">
        <f>IFERROR(__xludf.DUMMYFUNCTION("""COMPUTED_VALUE"""),1195200.0)</f>
        <v>1195200</v>
      </c>
    </row>
    <row r="2392">
      <c r="A2392" s="3">
        <f>IFERROR(__xludf.DUMMYFUNCTION("""COMPUTED_VALUE"""),32674.666666666668)</f>
        <v>32674.66667</v>
      </c>
      <c r="B2392" s="2">
        <f>IFERROR(__xludf.DUMMYFUNCTION("""COMPUTED_VALUE"""),26.12)</f>
        <v>26.12</v>
      </c>
      <c r="C2392" s="2">
        <f>IFERROR(__xludf.DUMMYFUNCTION("""COMPUTED_VALUE"""),26.39)</f>
        <v>26.39</v>
      </c>
      <c r="D2392" s="2">
        <f>IFERROR(__xludf.DUMMYFUNCTION("""COMPUTED_VALUE"""),25.91)</f>
        <v>25.91</v>
      </c>
      <c r="E2392" s="2">
        <f>IFERROR(__xludf.DUMMYFUNCTION("""COMPUTED_VALUE"""),26.12)</f>
        <v>26.12</v>
      </c>
      <c r="F2392" s="2">
        <f>IFERROR(__xludf.DUMMYFUNCTION("""COMPUTED_VALUE"""),1569100.0)</f>
        <v>1569100</v>
      </c>
    </row>
    <row r="2393">
      <c r="A2393" s="3">
        <f>IFERROR(__xludf.DUMMYFUNCTION("""COMPUTED_VALUE"""),32675.666666666668)</f>
        <v>32675.66667</v>
      </c>
      <c r="B2393" s="2">
        <f>IFERROR(__xludf.DUMMYFUNCTION("""COMPUTED_VALUE"""),26.15)</f>
        <v>26.15</v>
      </c>
      <c r="C2393" s="2">
        <f>IFERROR(__xludf.DUMMYFUNCTION("""COMPUTED_VALUE"""),26.18)</f>
        <v>26.18</v>
      </c>
      <c r="D2393" s="2">
        <f>IFERROR(__xludf.DUMMYFUNCTION("""COMPUTED_VALUE"""),25.88)</f>
        <v>25.88</v>
      </c>
      <c r="E2393" s="2">
        <f>IFERROR(__xludf.DUMMYFUNCTION("""COMPUTED_VALUE"""),26.15)</f>
        <v>26.15</v>
      </c>
      <c r="F2393" s="2">
        <f>IFERROR(__xludf.DUMMYFUNCTION("""COMPUTED_VALUE"""),2725300.0)</f>
        <v>2725300</v>
      </c>
    </row>
    <row r="2394">
      <c r="A2394" s="3">
        <f>IFERROR(__xludf.DUMMYFUNCTION("""COMPUTED_VALUE"""),32678.666666666668)</f>
        <v>32678.66667</v>
      </c>
      <c r="B2394" s="2">
        <f>IFERROR(__xludf.DUMMYFUNCTION("""COMPUTED_VALUE"""),26.36)</f>
        <v>26.36</v>
      </c>
      <c r="C2394" s="2">
        <f>IFERROR(__xludf.DUMMYFUNCTION("""COMPUTED_VALUE"""),26.39)</f>
        <v>26.39</v>
      </c>
      <c r="D2394" s="2">
        <f>IFERROR(__xludf.DUMMYFUNCTION("""COMPUTED_VALUE"""),26.18)</f>
        <v>26.18</v>
      </c>
      <c r="E2394" s="2">
        <f>IFERROR(__xludf.DUMMYFUNCTION("""COMPUTED_VALUE"""),26.36)</f>
        <v>26.36</v>
      </c>
      <c r="F2394" s="2">
        <f>IFERROR(__xludf.DUMMYFUNCTION("""COMPUTED_VALUE"""),1234400.0)</f>
        <v>1234400</v>
      </c>
    </row>
    <row r="2395">
      <c r="A2395" s="3">
        <f>IFERROR(__xludf.DUMMYFUNCTION("""COMPUTED_VALUE"""),32679.666666666668)</f>
        <v>32679.66667</v>
      </c>
      <c r="B2395" s="2">
        <f>IFERROR(__xludf.DUMMYFUNCTION("""COMPUTED_VALUE"""),26.15)</f>
        <v>26.15</v>
      </c>
      <c r="C2395" s="2">
        <f>IFERROR(__xludf.DUMMYFUNCTION("""COMPUTED_VALUE"""),26.57)</f>
        <v>26.57</v>
      </c>
      <c r="D2395" s="2">
        <f>IFERROR(__xludf.DUMMYFUNCTION("""COMPUTED_VALUE"""),26.12)</f>
        <v>26.12</v>
      </c>
      <c r="E2395" s="2">
        <f>IFERROR(__xludf.DUMMYFUNCTION("""COMPUTED_VALUE"""),26.15)</f>
        <v>26.15</v>
      </c>
      <c r="F2395" s="2">
        <f>IFERROR(__xludf.DUMMYFUNCTION("""COMPUTED_VALUE"""),1180500.0)</f>
        <v>1180500</v>
      </c>
    </row>
    <row r="2396">
      <c r="A2396" s="3">
        <f>IFERROR(__xludf.DUMMYFUNCTION("""COMPUTED_VALUE"""),32680.666666666668)</f>
        <v>32680.66667</v>
      </c>
      <c r="B2396" s="2">
        <f>IFERROR(__xludf.DUMMYFUNCTION("""COMPUTED_VALUE"""),26.21)</f>
        <v>26.21</v>
      </c>
      <c r="C2396" s="2">
        <f>IFERROR(__xludf.DUMMYFUNCTION("""COMPUTED_VALUE"""),26.36)</f>
        <v>26.36</v>
      </c>
      <c r="D2396" s="2">
        <f>IFERROR(__xludf.DUMMYFUNCTION("""COMPUTED_VALUE"""),26.12)</f>
        <v>26.12</v>
      </c>
      <c r="E2396" s="2">
        <f>IFERROR(__xludf.DUMMYFUNCTION("""COMPUTED_VALUE"""),26.21)</f>
        <v>26.21</v>
      </c>
      <c r="F2396" s="2">
        <f>IFERROR(__xludf.DUMMYFUNCTION("""COMPUTED_VALUE"""),1284100.0)</f>
        <v>1284100</v>
      </c>
    </row>
    <row r="2397">
      <c r="A2397" s="3">
        <f>IFERROR(__xludf.DUMMYFUNCTION("""COMPUTED_VALUE"""),32681.666666666668)</f>
        <v>32681.66667</v>
      </c>
      <c r="B2397" s="2">
        <f>IFERROR(__xludf.DUMMYFUNCTION("""COMPUTED_VALUE"""),26.06)</f>
        <v>26.06</v>
      </c>
      <c r="C2397" s="2">
        <f>IFERROR(__xludf.DUMMYFUNCTION("""COMPUTED_VALUE"""),26.24)</f>
        <v>26.24</v>
      </c>
      <c r="D2397" s="2">
        <f>IFERROR(__xludf.DUMMYFUNCTION("""COMPUTED_VALUE"""),25.91)</f>
        <v>25.91</v>
      </c>
      <c r="E2397" s="2">
        <f>IFERROR(__xludf.DUMMYFUNCTION("""COMPUTED_VALUE"""),26.06)</f>
        <v>26.06</v>
      </c>
      <c r="F2397" s="2">
        <f>IFERROR(__xludf.DUMMYFUNCTION("""COMPUTED_VALUE"""),1542100.0)</f>
        <v>1542100</v>
      </c>
    </row>
    <row r="2398">
      <c r="A2398" s="3">
        <f>IFERROR(__xludf.DUMMYFUNCTION("""COMPUTED_VALUE"""),32682.666666666668)</f>
        <v>32682.66667</v>
      </c>
      <c r="B2398" s="2">
        <f>IFERROR(__xludf.DUMMYFUNCTION("""COMPUTED_VALUE"""),26.48)</f>
        <v>26.48</v>
      </c>
      <c r="C2398" s="2">
        <f>IFERROR(__xludf.DUMMYFUNCTION("""COMPUTED_VALUE"""),26.54)</f>
        <v>26.54</v>
      </c>
      <c r="D2398" s="2">
        <f>IFERROR(__xludf.DUMMYFUNCTION("""COMPUTED_VALUE"""),26.18)</f>
        <v>26.18</v>
      </c>
      <c r="E2398" s="2">
        <f>IFERROR(__xludf.DUMMYFUNCTION("""COMPUTED_VALUE"""),26.48)</f>
        <v>26.48</v>
      </c>
      <c r="F2398" s="2">
        <f>IFERROR(__xludf.DUMMYFUNCTION("""COMPUTED_VALUE"""),2127900.0)</f>
        <v>2127900</v>
      </c>
    </row>
    <row r="2399">
      <c r="A2399" s="3">
        <f>IFERROR(__xludf.DUMMYFUNCTION("""COMPUTED_VALUE"""),32685.666666666668)</f>
        <v>32685.66667</v>
      </c>
      <c r="B2399" s="2">
        <f>IFERROR(__xludf.DUMMYFUNCTION("""COMPUTED_VALUE"""),26.74)</f>
        <v>26.74</v>
      </c>
      <c r="C2399" s="2">
        <f>IFERROR(__xludf.DUMMYFUNCTION("""COMPUTED_VALUE"""),26.92)</f>
        <v>26.92</v>
      </c>
      <c r="D2399" s="2">
        <f>IFERROR(__xludf.DUMMYFUNCTION("""COMPUTED_VALUE"""),26.48)</f>
        <v>26.48</v>
      </c>
      <c r="E2399" s="2">
        <f>IFERROR(__xludf.DUMMYFUNCTION("""COMPUTED_VALUE"""),26.74)</f>
        <v>26.74</v>
      </c>
      <c r="F2399" s="2">
        <f>IFERROR(__xludf.DUMMYFUNCTION("""COMPUTED_VALUE"""),1709100.0)</f>
        <v>1709100</v>
      </c>
    </row>
    <row r="2400">
      <c r="A2400" s="3">
        <f>IFERROR(__xludf.DUMMYFUNCTION("""COMPUTED_VALUE"""),32686.666666666668)</f>
        <v>32686.66667</v>
      </c>
      <c r="B2400" s="2">
        <f>IFERROR(__xludf.DUMMYFUNCTION("""COMPUTED_VALUE"""),27.31)</f>
        <v>27.31</v>
      </c>
      <c r="C2400" s="2">
        <f>IFERROR(__xludf.DUMMYFUNCTION("""COMPUTED_VALUE"""),27.34)</f>
        <v>27.34</v>
      </c>
      <c r="D2400" s="2">
        <f>IFERROR(__xludf.DUMMYFUNCTION("""COMPUTED_VALUE"""),26.83)</f>
        <v>26.83</v>
      </c>
      <c r="E2400" s="2">
        <f>IFERROR(__xludf.DUMMYFUNCTION("""COMPUTED_VALUE"""),27.31)</f>
        <v>27.31</v>
      </c>
      <c r="F2400" s="2">
        <f>IFERROR(__xludf.DUMMYFUNCTION("""COMPUTED_VALUE"""),2429300.0)</f>
        <v>2429300</v>
      </c>
    </row>
    <row r="2401">
      <c r="A2401" s="3">
        <f>IFERROR(__xludf.DUMMYFUNCTION("""COMPUTED_VALUE"""),32687.666666666668)</f>
        <v>32687.66667</v>
      </c>
      <c r="B2401" s="2">
        <f>IFERROR(__xludf.DUMMYFUNCTION("""COMPUTED_VALUE"""),27.19)</f>
        <v>27.19</v>
      </c>
      <c r="C2401" s="2">
        <f>IFERROR(__xludf.DUMMYFUNCTION("""COMPUTED_VALUE"""),27.49)</f>
        <v>27.49</v>
      </c>
      <c r="D2401" s="2">
        <f>IFERROR(__xludf.DUMMYFUNCTION("""COMPUTED_VALUE"""),27.01)</f>
        <v>27.01</v>
      </c>
      <c r="E2401" s="2">
        <f>IFERROR(__xludf.DUMMYFUNCTION("""COMPUTED_VALUE"""),27.19)</f>
        <v>27.19</v>
      </c>
      <c r="F2401" s="2">
        <f>IFERROR(__xludf.DUMMYFUNCTION("""COMPUTED_VALUE"""),1694200.0)</f>
        <v>1694200</v>
      </c>
    </row>
    <row r="2402">
      <c r="A2402" s="3">
        <f>IFERROR(__xludf.DUMMYFUNCTION("""COMPUTED_VALUE"""),32688.666666666668)</f>
        <v>32688.66667</v>
      </c>
      <c r="B2402" s="2">
        <f>IFERROR(__xludf.DUMMYFUNCTION("""COMPUTED_VALUE"""),26.63)</f>
        <v>26.63</v>
      </c>
      <c r="C2402" s="2">
        <f>IFERROR(__xludf.DUMMYFUNCTION("""COMPUTED_VALUE"""),27.04)</f>
        <v>27.04</v>
      </c>
      <c r="D2402" s="2">
        <f>IFERROR(__xludf.DUMMYFUNCTION("""COMPUTED_VALUE"""),26.57)</f>
        <v>26.57</v>
      </c>
      <c r="E2402" s="2">
        <f>IFERROR(__xludf.DUMMYFUNCTION("""COMPUTED_VALUE"""),26.63)</f>
        <v>26.63</v>
      </c>
      <c r="F2402" s="2">
        <f>IFERROR(__xludf.DUMMYFUNCTION("""COMPUTED_VALUE"""),1609500.0)</f>
        <v>1609500</v>
      </c>
    </row>
    <row r="2403">
      <c r="A2403" s="3">
        <f>IFERROR(__xludf.DUMMYFUNCTION("""COMPUTED_VALUE"""),32689.666666666668)</f>
        <v>32689.66667</v>
      </c>
      <c r="B2403" s="2">
        <f>IFERROR(__xludf.DUMMYFUNCTION("""COMPUTED_VALUE"""),26.71)</f>
        <v>26.71</v>
      </c>
      <c r="C2403" s="2">
        <f>IFERROR(__xludf.DUMMYFUNCTION("""COMPUTED_VALUE"""),26.77)</f>
        <v>26.77</v>
      </c>
      <c r="D2403" s="2">
        <f>IFERROR(__xludf.DUMMYFUNCTION("""COMPUTED_VALUE"""),26.18)</f>
        <v>26.18</v>
      </c>
      <c r="E2403" s="2">
        <f>IFERROR(__xludf.DUMMYFUNCTION("""COMPUTED_VALUE"""),26.71)</f>
        <v>26.71</v>
      </c>
      <c r="F2403" s="2">
        <f>IFERROR(__xludf.DUMMYFUNCTION("""COMPUTED_VALUE"""),1824700.0)</f>
        <v>1824700</v>
      </c>
    </row>
    <row r="2404">
      <c r="A2404" s="3">
        <f>IFERROR(__xludf.DUMMYFUNCTION("""COMPUTED_VALUE"""),32692.666666666668)</f>
        <v>32692.66667</v>
      </c>
      <c r="B2404" s="2">
        <f>IFERROR(__xludf.DUMMYFUNCTION("""COMPUTED_VALUE"""),26.8)</f>
        <v>26.8</v>
      </c>
      <c r="C2404" s="2">
        <f>IFERROR(__xludf.DUMMYFUNCTION("""COMPUTED_VALUE"""),26.86)</f>
        <v>26.86</v>
      </c>
      <c r="D2404" s="2">
        <f>IFERROR(__xludf.DUMMYFUNCTION("""COMPUTED_VALUE"""),26.68)</f>
        <v>26.68</v>
      </c>
      <c r="E2404" s="2">
        <f>IFERROR(__xludf.DUMMYFUNCTION("""COMPUTED_VALUE"""),26.8)</f>
        <v>26.8</v>
      </c>
      <c r="F2404" s="2">
        <f>IFERROR(__xludf.DUMMYFUNCTION("""COMPUTED_VALUE"""),612800.0)</f>
        <v>612800</v>
      </c>
    </row>
    <row r="2405">
      <c r="A2405" s="3">
        <f>IFERROR(__xludf.DUMMYFUNCTION("""COMPUTED_VALUE"""),32694.666666666668)</f>
        <v>32694.66667</v>
      </c>
      <c r="B2405" s="2">
        <f>IFERROR(__xludf.DUMMYFUNCTION("""COMPUTED_VALUE"""),26.74)</f>
        <v>26.74</v>
      </c>
      <c r="C2405" s="2">
        <f>IFERROR(__xludf.DUMMYFUNCTION("""COMPUTED_VALUE"""),26.92)</f>
        <v>26.92</v>
      </c>
      <c r="D2405" s="2">
        <f>IFERROR(__xludf.DUMMYFUNCTION("""COMPUTED_VALUE"""),26.57)</f>
        <v>26.57</v>
      </c>
      <c r="E2405" s="2">
        <f>IFERROR(__xludf.DUMMYFUNCTION("""COMPUTED_VALUE"""),26.74)</f>
        <v>26.74</v>
      </c>
      <c r="F2405" s="2">
        <f>IFERROR(__xludf.DUMMYFUNCTION("""COMPUTED_VALUE"""),1031100.0)</f>
        <v>1031100</v>
      </c>
    </row>
    <row r="2406">
      <c r="A2406" s="3">
        <f>IFERROR(__xludf.DUMMYFUNCTION("""COMPUTED_VALUE"""),32695.666666666668)</f>
        <v>32695.66667</v>
      </c>
      <c r="B2406" s="2">
        <f>IFERROR(__xludf.DUMMYFUNCTION("""COMPUTED_VALUE"""),26.66)</f>
        <v>26.66</v>
      </c>
      <c r="C2406" s="2">
        <f>IFERROR(__xludf.DUMMYFUNCTION("""COMPUTED_VALUE"""),26.83)</f>
        <v>26.83</v>
      </c>
      <c r="D2406" s="2">
        <f>IFERROR(__xludf.DUMMYFUNCTION("""COMPUTED_VALUE"""),26.6)</f>
        <v>26.6</v>
      </c>
      <c r="E2406" s="2">
        <f>IFERROR(__xludf.DUMMYFUNCTION("""COMPUTED_VALUE"""),26.66)</f>
        <v>26.66</v>
      </c>
      <c r="F2406" s="2">
        <f>IFERROR(__xludf.DUMMYFUNCTION("""COMPUTED_VALUE"""),839300.0)</f>
        <v>839300</v>
      </c>
    </row>
    <row r="2407">
      <c r="A2407" s="3">
        <f>IFERROR(__xludf.DUMMYFUNCTION("""COMPUTED_VALUE"""),32696.666666666668)</f>
        <v>32696.66667</v>
      </c>
      <c r="B2407" s="2">
        <f>IFERROR(__xludf.DUMMYFUNCTION("""COMPUTED_VALUE"""),26.77)</f>
        <v>26.77</v>
      </c>
      <c r="C2407" s="2">
        <f>IFERROR(__xludf.DUMMYFUNCTION("""COMPUTED_VALUE"""),26.92)</f>
        <v>26.92</v>
      </c>
      <c r="D2407" s="2">
        <f>IFERROR(__xludf.DUMMYFUNCTION("""COMPUTED_VALUE"""),26.57)</f>
        <v>26.57</v>
      </c>
      <c r="E2407" s="2">
        <f>IFERROR(__xludf.DUMMYFUNCTION("""COMPUTED_VALUE"""),26.77)</f>
        <v>26.77</v>
      </c>
      <c r="F2407" s="2">
        <f>IFERROR(__xludf.DUMMYFUNCTION("""COMPUTED_VALUE"""),1215800.0)</f>
        <v>1215800</v>
      </c>
    </row>
    <row r="2408">
      <c r="A2408" s="3">
        <f>IFERROR(__xludf.DUMMYFUNCTION("""COMPUTED_VALUE"""),32699.666666666668)</f>
        <v>32699.66667</v>
      </c>
      <c r="B2408" s="2">
        <f>IFERROR(__xludf.DUMMYFUNCTION("""COMPUTED_VALUE"""),27.37)</f>
        <v>27.37</v>
      </c>
      <c r="C2408" s="2">
        <f>IFERROR(__xludf.DUMMYFUNCTION("""COMPUTED_VALUE"""),27.46)</f>
        <v>27.46</v>
      </c>
      <c r="D2408" s="2">
        <f>IFERROR(__xludf.DUMMYFUNCTION("""COMPUTED_VALUE"""),26.8)</f>
        <v>26.8</v>
      </c>
      <c r="E2408" s="2">
        <f>IFERROR(__xludf.DUMMYFUNCTION("""COMPUTED_VALUE"""),27.37)</f>
        <v>27.37</v>
      </c>
      <c r="F2408" s="2">
        <f>IFERROR(__xludf.DUMMYFUNCTION("""COMPUTED_VALUE"""),1752100.0)</f>
        <v>1752100</v>
      </c>
    </row>
    <row r="2409">
      <c r="A2409" s="3">
        <f>IFERROR(__xludf.DUMMYFUNCTION("""COMPUTED_VALUE"""),32700.666666666668)</f>
        <v>32700.66667</v>
      </c>
      <c r="B2409" s="2">
        <f>IFERROR(__xludf.DUMMYFUNCTION("""COMPUTED_VALUE"""),27.19)</f>
        <v>27.19</v>
      </c>
      <c r="C2409" s="2">
        <f>IFERROR(__xludf.DUMMYFUNCTION("""COMPUTED_VALUE"""),27.67)</f>
        <v>27.67</v>
      </c>
      <c r="D2409" s="2">
        <f>IFERROR(__xludf.DUMMYFUNCTION("""COMPUTED_VALUE"""),27.13)</f>
        <v>27.13</v>
      </c>
      <c r="E2409" s="2">
        <f>IFERROR(__xludf.DUMMYFUNCTION("""COMPUTED_VALUE"""),27.19)</f>
        <v>27.19</v>
      </c>
      <c r="F2409" s="2">
        <f>IFERROR(__xludf.DUMMYFUNCTION("""COMPUTED_VALUE"""),1742500.0)</f>
        <v>1742500</v>
      </c>
    </row>
    <row r="2410">
      <c r="A2410" s="3">
        <f>IFERROR(__xludf.DUMMYFUNCTION("""COMPUTED_VALUE"""),32701.666666666668)</f>
        <v>32701.66667</v>
      </c>
      <c r="B2410" s="2">
        <f>IFERROR(__xludf.DUMMYFUNCTION("""COMPUTED_VALUE"""),27.4)</f>
        <v>27.4</v>
      </c>
      <c r="C2410" s="2">
        <f>IFERROR(__xludf.DUMMYFUNCTION("""COMPUTED_VALUE"""),27.49)</f>
        <v>27.49</v>
      </c>
      <c r="D2410" s="2">
        <f>IFERROR(__xludf.DUMMYFUNCTION("""COMPUTED_VALUE"""),27.07)</f>
        <v>27.07</v>
      </c>
      <c r="E2410" s="2">
        <f>IFERROR(__xludf.DUMMYFUNCTION("""COMPUTED_VALUE"""),27.4)</f>
        <v>27.4</v>
      </c>
      <c r="F2410" s="2">
        <f>IFERROR(__xludf.DUMMYFUNCTION("""COMPUTED_VALUE"""),1153400.0)</f>
        <v>1153400</v>
      </c>
    </row>
    <row r="2411">
      <c r="A2411" s="3">
        <f>IFERROR(__xludf.DUMMYFUNCTION("""COMPUTED_VALUE"""),32702.666666666668)</f>
        <v>32702.66667</v>
      </c>
      <c r="B2411" s="2">
        <f>IFERROR(__xludf.DUMMYFUNCTION("""COMPUTED_VALUE"""),27.43)</f>
        <v>27.43</v>
      </c>
      <c r="C2411" s="2">
        <f>IFERROR(__xludf.DUMMYFUNCTION("""COMPUTED_VALUE"""),27.52)</f>
        <v>27.52</v>
      </c>
      <c r="D2411" s="2">
        <f>IFERROR(__xludf.DUMMYFUNCTION("""COMPUTED_VALUE"""),27.28)</f>
        <v>27.28</v>
      </c>
      <c r="E2411" s="2">
        <f>IFERROR(__xludf.DUMMYFUNCTION("""COMPUTED_VALUE"""),27.43)</f>
        <v>27.43</v>
      </c>
      <c r="F2411" s="2">
        <f>IFERROR(__xludf.DUMMYFUNCTION("""COMPUTED_VALUE"""),1168600.0)</f>
        <v>1168600</v>
      </c>
    </row>
    <row r="2412">
      <c r="A2412" s="3">
        <f>IFERROR(__xludf.DUMMYFUNCTION("""COMPUTED_VALUE"""),32703.666666666668)</f>
        <v>32703.66667</v>
      </c>
      <c r="B2412" s="2">
        <f>IFERROR(__xludf.DUMMYFUNCTION("""COMPUTED_VALUE"""),27.4)</f>
        <v>27.4</v>
      </c>
      <c r="C2412" s="2">
        <f>IFERROR(__xludf.DUMMYFUNCTION("""COMPUTED_VALUE"""),27.46)</f>
        <v>27.46</v>
      </c>
      <c r="D2412" s="2">
        <f>IFERROR(__xludf.DUMMYFUNCTION("""COMPUTED_VALUE"""),27.13)</f>
        <v>27.13</v>
      </c>
      <c r="E2412" s="2">
        <f>IFERROR(__xludf.DUMMYFUNCTION("""COMPUTED_VALUE"""),27.4)</f>
        <v>27.4</v>
      </c>
      <c r="F2412" s="2">
        <f>IFERROR(__xludf.DUMMYFUNCTION("""COMPUTED_VALUE"""),1448300.0)</f>
        <v>1448300</v>
      </c>
    </row>
    <row r="2413">
      <c r="A2413" s="3">
        <f>IFERROR(__xludf.DUMMYFUNCTION("""COMPUTED_VALUE"""),32706.666666666668)</f>
        <v>32706.66667</v>
      </c>
      <c r="B2413" s="2">
        <f>IFERROR(__xludf.DUMMYFUNCTION("""COMPUTED_VALUE"""),27.7)</f>
        <v>27.7</v>
      </c>
      <c r="C2413" s="2">
        <f>IFERROR(__xludf.DUMMYFUNCTION("""COMPUTED_VALUE"""),27.82)</f>
        <v>27.82</v>
      </c>
      <c r="D2413" s="2">
        <f>IFERROR(__xludf.DUMMYFUNCTION("""COMPUTED_VALUE"""),27.34)</f>
        <v>27.34</v>
      </c>
      <c r="E2413" s="2">
        <f>IFERROR(__xludf.DUMMYFUNCTION("""COMPUTED_VALUE"""),27.7)</f>
        <v>27.7</v>
      </c>
      <c r="F2413" s="2">
        <f>IFERROR(__xludf.DUMMYFUNCTION("""COMPUTED_VALUE"""),1421200.0)</f>
        <v>1421200</v>
      </c>
    </row>
    <row r="2414">
      <c r="A2414" s="3">
        <f>IFERROR(__xludf.DUMMYFUNCTION("""COMPUTED_VALUE"""),32707.666666666668)</f>
        <v>32707.66667</v>
      </c>
      <c r="B2414" s="2">
        <f>IFERROR(__xludf.DUMMYFUNCTION("""COMPUTED_VALUE"""),27.4)</f>
        <v>27.4</v>
      </c>
      <c r="C2414" s="2">
        <f>IFERROR(__xludf.DUMMYFUNCTION("""COMPUTED_VALUE"""),27.88)</f>
        <v>27.88</v>
      </c>
      <c r="D2414" s="2">
        <f>IFERROR(__xludf.DUMMYFUNCTION("""COMPUTED_VALUE"""),27.34)</f>
        <v>27.34</v>
      </c>
      <c r="E2414" s="2">
        <f>IFERROR(__xludf.DUMMYFUNCTION("""COMPUTED_VALUE"""),27.4)</f>
        <v>27.4</v>
      </c>
      <c r="F2414" s="2">
        <f>IFERROR(__xludf.DUMMYFUNCTION("""COMPUTED_VALUE"""),1512600.0)</f>
        <v>1512600</v>
      </c>
    </row>
    <row r="2415">
      <c r="A2415" s="3">
        <f>IFERROR(__xludf.DUMMYFUNCTION("""COMPUTED_VALUE"""),32708.666666666668)</f>
        <v>32708.66667</v>
      </c>
      <c r="B2415" s="2">
        <f>IFERROR(__xludf.DUMMYFUNCTION("""COMPUTED_VALUE"""),27.31)</f>
        <v>27.31</v>
      </c>
      <c r="C2415" s="2">
        <f>IFERROR(__xludf.DUMMYFUNCTION("""COMPUTED_VALUE"""),27.58)</f>
        <v>27.58</v>
      </c>
      <c r="D2415" s="2">
        <f>IFERROR(__xludf.DUMMYFUNCTION("""COMPUTED_VALUE"""),27.25)</f>
        <v>27.25</v>
      </c>
      <c r="E2415" s="2">
        <f>IFERROR(__xludf.DUMMYFUNCTION("""COMPUTED_VALUE"""),27.31)</f>
        <v>27.31</v>
      </c>
      <c r="F2415" s="2">
        <f>IFERROR(__xludf.DUMMYFUNCTION("""COMPUTED_VALUE"""),1369600.0)</f>
        <v>1369600</v>
      </c>
    </row>
    <row r="2416">
      <c r="A2416" s="3">
        <f>IFERROR(__xludf.DUMMYFUNCTION("""COMPUTED_VALUE"""),32709.666666666668)</f>
        <v>32709.66667</v>
      </c>
      <c r="B2416" s="2">
        <f>IFERROR(__xludf.DUMMYFUNCTION("""COMPUTED_VALUE"""),26.92)</f>
        <v>26.92</v>
      </c>
      <c r="C2416" s="2">
        <f>IFERROR(__xludf.DUMMYFUNCTION("""COMPUTED_VALUE"""),27.37)</f>
        <v>27.37</v>
      </c>
      <c r="D2416" s="2">
        <f>IFERROR(__xludf.DUMMYFUNCTION("""COMPUTED_VALUE"""),26.92)</f>
        <v>26.92</v>
      </c>
      <c r="E2416" s="2">
        <f>IFERROR(__xludf.DUMMYFUNCTION("""COMPUTED_VALUE"""),26.92)</f>
        <v>26.92</v>
      </c>
      <c r="F2416" s="2">
        <f>IFERROR(__xludf.DUMMYFUNCTION("""COMPUTED_VALUE"""),1263800.0)</f>
        <v>1263800</v>
      </c>
    </row>
    <row r="2417">
      <c r="A2417" s="3">
        <f>IFERROR(__xludf.DUMMYFUNCTION("""COMPUTED_VALUE"""),32710.666666666668)</f>
        <v>32710.66667</v>
      </c>
      <c r="B2417" s="2">
        <f>IFERROR(__xludf.DUMMYFUNCTION("""COMPUTED_VALUE"""),27.25)</f>
        <v>27.25</v>
      </c>
      <c r="C2417" s="2">
        <f>IFERROR(__xludf.DUMMYFUNCTION("""COMPUTED_VALUE"""),27.31)</f>
        <v>27.31</v>
      </c>
      <c r="D2417" s="2">
        <f>IFERROR(__xludf.DUMMYFUNCTION("""COMPUTED_VALUE"""),26.86)</f>
        <v>26.86</v>
      </c>
      <c r="E2417" s="2">
        <f>IFERROR(__xludf.DUMMYFUNCTION("""COMPUTED_VALUE"""),27.25)</f>
        <v>27.25</v>
      </c>
      <c r="F2417" s="2">
        <f>IFERROR(__xludf.DUMMYFUNCTION("""COMPUTED_VALUE"""),1652700.0)</f>
        <v>1652700</v>
      </c>
    </row>
    <row r="2418">
      <c r="A2418" s="3">
        <f>IFERROR(__xludf.DUMMYFUNCTION("""COMPUTED_VALUE"""),32713.666666666668)</f>
        <v>32713.66667</v>
      </c>
      <c r="B2418" s="2">
        <f>IFERROR(__xludf.DUMMYFUNCTION("""COMPUTED_VALUE"""),27.1)</f>
        <v>27.1</v>
      </c>
      <c r="C2418" s="2">
        <f>IFERROR(__xludf.DUMMYFUNCTION("""COMPUTED_VALUE"""),27.25)</f>
        <v>27.25</v>
      </c>
      <c r="D2418" s="2">
        <f>IFERROR(__xludf.DUMMYFUNCTION("""COMPUTED_VALUE"""),27.07)</f>
        <v>27.07</v>
      </c>
      <c r="E2418" s="2">
        <f>IFERROR(__xludf.DUMMYFUNCTION("""COMPUTED_VALUE"""),27.1)</f>
        <v>27.1</v>
      </c>
      <c r="F2418" s="2">
        <f>IFERROR(__xludf.DUMMYFUNCTION("""COMPUTED_VALUE"""),947400.0)</f>
        <v>947400</v>
      </c>
    </row>
    <row r="2419">
      <c r="A2419" s="3">
        <f>IFERROR(__xludf.DUMMYFUNCTION("""COMPUTED_VALUE"""),32714.666666666668)</f>
        <v>32714.66667</v>
      </c>
      <c r="B2419" s="2">
        <f>IFERROR(__xludf.DUMMYFUNCTION("""COMPUTED_VALUE"""),26.92)</f>
        <v>26.92</v>
      </c>
      <c r="C2419" s="2">
        <f>IFERROR(__xludf.DUMMYFUNCTION("""COMPUTED_VALUE"""),27.31)</f>
        <v>27.31</v>
      </c>
      <c r="D2419" s="2">
        <f>IFERROR(__xludf.DUMMYFUNCTION("""COMPUTED_VALUE"""),26.86)</f>
        <v>26.86</v>
      </c>
      <c r="E2419" s="2">
        <f>IFERROR(__xludf.DUMMYFUNCTION("""COMPUTED_VALUE"""),26.92)</f>
        <v>26.92</v>
      </c>
      <c r="F2419" s="2">
        <f>IFERROR(__xludf.DUMMYFUNCTION("""COMPUTED_VALUE"""),1100100.0)</f>
        <v>1100100</v>
      </c>
    </row>
    <row r="2420">
      <c r="A2420" s="3">
        <f>IFERROR(__xludf.DUMMYFUNCTION("""COMPUTED_VALUE"""),32715.666666666668)</f>
        <v>32715.66667</v>
      </c>
      <c r="B2420" s="2">
        <f>IFERROR(__xludf.DUMMYFUNCTION("""COMPUTED_VALUE"""),26.86)</f>
        <v>26.86</v>
      </c>
      <c r="C2420" s="2">
        <f>IFERROR(__xludf.DUMMYFUNCTION("""COMPUTED_VALUE"""),26.89)</f>
        <v>26.89</v>
      </c>
      <c r="D2420" s="2">
        <f>IFERROR(__xludf.DUMMYFUNCTION("""COMPUTED_VALUE"""),26.42)</f>
        <v>26.42</v>
      </c>
      <c r="E2420" s="2">
        <f>IFERROR(__xludf.DUMMYFUNCTION("""COMPUTED_VALUE"""),26.86)</f>
        <v>26.86</v>
      </c>
      <c r="F2420" s="2">
        <f>IFERROR(__xludf.DUMMYFUNCTION("""COMPUTED_VALUE"""),2195900.0)</f>
        <v>2195900</v>
      </c>
    </row>
    <row r="2421">
      <c r="A2421" s="3">
        <f>IFERROR(__xludf.DUMMYFUNCTION("""COMPUTED_VALUE"""),32716.666666666668)</f>
        <v>32716.66667</v>
      </c>
      <c r="B2421" s="2">
        <f>IFERROR(__xludf.DUMMYFUNCTION("""COMPUTED_VALUE"""),26.98)</f>
        <v>26.98</v>
      </c>
      <c r="C2421" s="2">
        <f>IFERROR(__xludf.DUMMYFUNCTION("""COMPUTED_VALUE"""),26.98)</f>
        <v>26.98</v>
      </c>
      <c r="D2421" s="2">
        <f>IFERROR(__xludf.DUMMYFUNCTION("""COMPUTED_VALUE"""),26.71)</f>
        <v>26.71</v>
      </c>
      <c r="E2421" s="2">
        <f>IFERROR(__xludf.DUMMYFUNCTION("""COMPUTED_VALUE"""),26.98)</f>
        <v>26.98</v>
      </c>
      <c r="F2421" s="2">
        <f>IFERROR(__xludf.DUMMYFUNCTION("""COMPUTED_VALUE"""),1558100.0)</f>
        <v>1558100</v>
      </c>
    </row>
    <row r="2422">
      <c r="A2422" s="3">
        <f>IFERROR(__xludf.DUMMYFUNCTION("""COMPUTED_VALUE"""),32717.666666666668)</f>
        <v>32717.66667</v>
      </c>
      <c r="B2422" s="2">
        <f>IFERROR(__xludf.DUMMYFUNCTION("""COMPUTED_VALUE"""),27.07)</f>
        <v>27.07</v>
      </c>
      <c r="C2422" s="2">
        <f>IFERROR(__xludf.DUMMYFUNCTION("""COMPUTED_VALUE"""),27.28)</f>
        <v>27.28</v>
      </c>
      <c r="D2422" s="2">
        <f>IFERROR(__xludf.DUMMYFUNCTION("""COMPUTED_VALUE"""),27.01)</f>
        <v>27.01</v>
      </c>
      <c r="E2422" s="2">
        <f>IFERROR(__xludf.DUMMYFUNCTION("""COMPUTED_VALUE"""),27.07)</f>
        <v>27.07</v>
      </c>
      <c r="F2422" s="2">
        <f>IFERROR(__xludf.DUMMYFUNCTION("""COMPUTED_VALUE"""),1187700.0)</f>
        <v>1187700</v>
      </c>
    </row>
    <row r="2423">
      <c r="A2423" s="3">
        <f>IFERROR(__xludf.DUMMYFUNCTION("""COMPUTED_VALUE"""),32720.666666666668)</f>
        <v>32720.66667</v>
      </c>
      <c r="B2423" s="2">
        <f>IFERROR(__xludf.DUMMYFUNCTION("""COMPUTED_VALUE"""),27.46)</f>
        <v>27.46</v>
      </c>
      <c r="C2423" s="2">
        <f>IFERROR(__xludf.DUMMYFUNCTION("""COMPUTED_VALUE"""),27.52)</f>
        <v>27.52</v>
      </c>
      <c r="D2423" s="2">
        <f>IFERROR(__xludf.DUMMYFUNCTION("""COMPUTED_VALUE"""),27.13)</f>
        <v>27.13</v>
      </c>
      <c r="E2423" s="2">
        <f>IFERROR(__xludf.DUMMYFUNCTION("""COMPUTED_VALUE"""),27.46)</f>
        <v>27.46</v>
      </c>
      <c r="F2423" s="2">
        <f>IFERROR(__xludf.DUMMYFUNCTION("""COMPUTED_VALUE"""),1365300.0)</f>
        <v>1365300</v>
      </c>
    </row>
    <row r="2424">
      <c r="A2424" s="3">
        <f>IFERROR(__xludf.DUMMYFUNCTION("""COMPUTED_VALUE"""),32721.666666666668)</f>
        <v>32721.66667</v>
      </c>
      <c r="B2424" s="2">
        <f>IFERROR(__xludf.DUMMYFUNCTION("""COMPUTED_VALUE"""),27.37)</f>
        <v>27.37</v>
      </c>
      <c r="C2424" s="2">
        <f>IFERROR(__xludf.DUMMYFUNCTION("""COMPUTED_VALUE"""),27.82)</f>
        <v>27.82</v>
      </c>
      <c r="D2424" s="2">
        <f>IFERROR(__xludf.DUMMYFUNCTION("""COMPUTED_VALUE"""),27.34)</f>
        <v>27.34</v>
      </c>
      <c r="E2424" s="2">
        <f>IFERROR(__xludf.DUMMYFUNCTION("""COMPUTED_VALUE"""),27.37)</f>
        <v>27.37</v>
      </c>
      <c r="F2424" s="2">
        <f>IFERROR(__xludf.DUMMYFUNCTION("""COMPUTED_VALUE"""),1992000.0)</f>
        <v>1992000</v>
      </c>
    </row>
    <row r="2425">
      <c r="A2425" s="3">
        <f>IFERROR(__xludf.DUMMYFUNCTION("""COMPUTED_VALUE"""),32722.666666666668)</f>
        <v>32722.66667</v>
      </c>
      <c r="B2425" s="2">
        <f>IFERROR(__xludf.DUMMYFUNCTION("""COMPUTED_VALUE"""),27.22)</f>
        <v>27.22</v>
      </c>
      <c r="C2425" s="2">
        <f>IFERROR(__xludf.DUMMYFUNCTION("""COMPUTED_VALUE"""),27.46)</f>
        <v>27.46</v>
      </c>
      <c r="D2425" s="2">
        <f>IFERROR(__xludf.DUMMYFUNCTION("""COMPUTED_VALUE"""),27.13)</f>
        <v>27.13</v>
      </c>
      <c r="E2425" s="2">
        <f>IFERROR(__xludf.DUMMYFUNCTION("""COMPUTED_VALUE"""),27.22)</f>
        <v>27.22</v>
      </c>
      <c r="F2425" s="2">
        <f>IFERROR(__xludf.DUMMYFUNCTION("""COMPUTED_VALUE"""),1582100.0)</f>
        <v>1582100</v>
      </c>
    </row>
    <row r="2426">
      <c r="A2426" s="3">
        <f>IFERROR(__xludf.DUMMYFUNCTION("""COMPUTED_VALUE"""),32723.666666666668)</f>
        <v>32723.66667</v>
      </c>
      <c r="B2426" s="2">
        <f>IFERROR(__xludf.DUMMYFUNCTION("""COMPUTED_VALUE"""),27.16)</f>
        <v>27.16</v>
      </c>
      <c r="C2426" s="2">
        <f>IFERROR(__xludf.DUMMYFUNCTION("""COMPUTED_VALUE"""),27.22)</f>
        <v>27.22</v>
      </c>
      <c r="D2426" s="2">
        <f>IFERROR(__xludf.DUMMYFUNCTION("""COMPUTED_VALUE"""),26.89)</f>
        <v>26.89</v>
      </c>
      <c r="E2426" s="2">
        <f>IFERROR(__xludf.DUMMYFUNCTION("""COMPUTED_VALUE"""),27.16)</f>
        <v>27.16</v>
      </c>
      <c r="F2426" s="2">
        <f>IFERROR(__xludf.DUMMYFUNCTION("""COMPUTED_VALUE"""),2225000.0)</f>
        <v>2225000</v>
      </c>
    </row>
    <row r="2427">
      <c r="A2427" s="3">
        <f>IFERROR(__xludf.DUMMYFUNCTION("""COMPUTED_VALUE"""),32724.666666666668)</f>
        <v>32724.66667</v>
      </c>
      <c r="B2427" s="2">
        <f>IFERROR(__xludf.DUMMYFUNCTION("""COMPUTED_VALUE"""),27.58)</f>
        <v>27.58</v>
      </c>
      <c r="C2427" s="2">
        <f>IFERROR(__xludf.DUMMYFUNCTION("""COMPUTED_VALUE"""),27.64)</f>
        <v>27.64</v>
      </c>
      <c r="D2427" s="2">
        <f>IFERROR(__xludf.DUMMYFUNCTION("""COMPUTED_VALUE"""),27.04)</f>
        <v>27.04</v>
      </c>
      <c r="E2427" s="2">
        <f>IFERROR(__xludf.DUMMYFUNCTION("""COMPUTED_VALUE"""),27.58)</f>
        <v>27.58</v>
      </c>
      <c r="F2427" s="2">
        <f>IFERROR(__xludf.DUMMYFUNCTION("""COMPUTED_VALUE"""),2406400.0)</f>
        <v>2406400</v>
      </c>
    </row>
    <row r="2428">
      <c r="A2428" s="3">
        <f>IFERROR(__xludf.DUMMYFUNCTION("""COMPUTED_VALUE"""),32727.666666666668)</f>
        <v>32727.66667</v>
      </c>
      <c r="B2428" s="2">
        <f>IFERROR(__xludf.DUMMYFUNCTION("""COMPUTED_VALUE"""),28.03)</f>
        <v>28.03</v>
      </c>
      <c r="C2428" s="2">
        <f>IFERROR(__xludf.DUMMYFUNCTION("""COMPUTED_VALUE"""),28.09)</f>
        <v>28.09</v>
      </c>
      <c r="D2428" s="2">
        <f>IFERROR(__xludf.DUMMYFUNCTION("""COMPUTED_VALUE"""),27.64)</f>
        <v>27.64</v>
      </c>
      <c r="E2428" s="2">
        <f>IFERROR(__xludf.DUMMYFUNCTION("""COMPUTED_VALUE"""),28.03)</f>
        <v>28.03</v>
      </c>
      <c r="F2428" s="2">
        <f>IFERROR(__xludf.DUMMYFUNCTION("""COMPUTED_VALUE"""),2209500.0)</f>
        <v>2209500</v>
      </c>
    </row>
    <row r="2429">
      <c r="A2429" s="3">
        <f>IFERROR(__xludf.DUMMYFUNCTION("""COMPUTED_VALUE"""),32728.666666666668)</f>
        <v>32728.66667</v>
      </c>
      <c r="B2429" s="2">
        <f>IFERROR(__xludf.DUMMYFUNCTION("""COMPUTED_VALUE"""),28.24)</f>
        <v>28.24</v>
      </c>
      <c r="C2429" s="2">
        <f>IFERROR(__xludf.DUMMYFUNCTION("""COMPUTED_VALUE"""),28.51)</f>
        <v>28.51</v>
      </c>
      <c r="D2429" s="2">
        <f>IFERROR(__xludf.DUMMYFUNCTION("""COMPUTED_VALUE"""),28.12)</f>
        <v>28.12</v>
      </c>
      <c r="E2429" s="2">
        <f>IFERROR(__xludf.DUMMYFUNCTION("""COMPUTED_VALUE"""),28.24)</f>
        <v>28.24</v>
      </c>
      <c r="F2429" s="2">
        <f>IFERROR(__xludf.DUMMYFUNCTION("""COMPUTED_VALUE"""),2648200.0)</f>
        <v>2648200</v>
      </c>
    </row>
    <row r="2430">
      <c r="A2430" s="3">
        <f>IFERROR(__xludf.DUMMYFUNCTION("""COMPUTED_VALUE"""),32729.666666666668)</f>
        <v>32729.66667</v>
      </c>
      <c r="B2430" s="2">
        <f>IFERROR(__xludf.DUMMYFUNCTION("""COMPUTED_VALUE"""),27.97)</f>
        <v>27.97</v>
      </c>
      <c r="C2430" s="2">
        <f>IFERROR(__xludf.DUMMYFUNCTION("""COMPUTED_VALUE"""),28.45)</f>
        <v>28.45</v>
      </c>
      <c r="D2430" s="2">
        <f>IFERROR(__xludf.DUMMYFUNCTION("""COMPUTED_VALUE"""),27.97)</f>
        <v>27.97</v>
      </c>
      <c r="E2430" s="2">
        <f>IFERROR(__xludf.DUMMYFUNCTION("""COMPUTED_VALUE"""),27.97)</f>
        <v>27.97</v>
      </c>
      <c r="F2430" s="2">
        <f>IFERROR(__xludf.DUMMYFUNCTION("""COMPUTED_VALUE"""),1619800.0)</f>
        <v>1619800</v>
      </c>
    </row>
    <row r="2431">
      <c r="A2431" s="3">
        <f>IFERROR(__xludf.DUMMYFUNCTION("""COMPUTED_VALUE"""),32730.666666666668)</f>
        <v>32730.66667</v>
      </c>
      <c r="B2431" s="2">
        <f>IFERROR(__xludf.DUMMYFUNCTION("""COMPUTED_VALUE"""),28.06)</f>
        <v>28.06</v>
      </c>
      <c r="C2431" s="2">
        <f>IFERROR(__xludf.DUMMYFUNCTION("""COMPUTED_VALUE"""),28.24)</f>
        <v>28.24</v>
      </c>
      <c r="D2431" s="2">
        <f>IFERROR(__xludf.DUMMYFUNCTION("""COMPUTED_VALUE"""),27.73)</f>
        <v>27.73</v>
      </c>
      <c r="E2431" s="2">
        <f>IFERROR(__xludf.DUMMYFUNCTION("""COMPUTED_VALUE"""),28.06)</f>
        <v>28.06</v>
      </c>
      <c r="F2431" s="2">
        <f>IFERROR(__xludf.DUMMYFUNCTION("""COMPUTED_VALUE"""),1385500.0)</f>
        <v>1385500</v>
      </c>
    </row>
    <row r="2432">
      <c r="A2432" s="3">
        <f>IFERROR(__xludf.DUMMYFUNCTION("""COMPUTED_VALUE"""),32731.666666666668)</f>
        <v>32731.66667</v>
      </c>
      <c r="B2432" s="2">
        <f>IFERROR(__xludf.DUMMYFUNCTION("""COMPUTED_VALUE"""),27.58)</f>
        <v>27.58</v>
      </c>
      <c r="C2432" s="2">
        <f>IFERROR(__xludf.DUMMYFUNCTION("""COMPUTED_VALUE"""),28.24)</f>
        <v>28.24</v>
      </c>
      <c r="D2432" s="2">
        <f>IFERROR(__xludf.DUMMYFUNCTION("""COMPUTED_VALUE"""),27.43)</f>
        <v>27.43</v>
      </c>
      <c r="E2432" s="2">
        <f>IFERROR(__xludf.DUMMYFUNCTION("""COMPUTED_VALUE"""),27.58)</f>
        <v>27.58</v>
      </c>
      <c r="F2432" s="2">
        <f>IFERROR(__xludf.DUMMYFUNCTION("""COMPUTED_VALUE"""),1791300.0)</f>
        <v>1791300</v>
      </c>
    </row>
    <row r="2433">
      <c r="A2433" s="3">
        <f>IFERROR(__xludf.DUMMYFUNCTION("""COMPUTED_VALUE"""),32734.666666666668)</f>
        <v>32734.66667</v>
      </c>
      <c r="B2433" s="2">
        <f>IFERROR(__xludf.DUMMYFUNCTION("""COMPUTED_VALUE"""),27.73)</f>
        <v>27.73</v>
      </c>
      <c r="C2433" s="2">
        <f>IFERROR(__xludf.DUMMYFUNCTION("""COMPUTED_VALUE"""),27.82)</f>
        <v>27.82</v>
      </c>
      <c r="D2433" s="2">
        <f>IFERROR(__xludf.DUMMYFUNCTION("""COMPUTED_VALUE"""),27.4)</f>
        <v>27.4</v>
      </c>
      <c r="E2433" s="2">
        <f>IFERROR(__xludf.DUMMYFUNCTION("""COMPUTED_VALUE"""),27.73)</f>
        <v>27.73</v>
      </c>
      <c r="F2433" s="2">
        <f>IFERROR(__xludf.DUMMYFUNCTION("""COMPUTED_VALUE"""),1485600.0)</f>
        <v>1485600</v>
      </c>
    </row>
    <row r="2434">
      <c r="A2434" s="3">
        <f>IFERROR(__xludf.DUMMYFUNCTION("""COMPUTED_VALUE"""),32735.666666666668)</f>
        <v>32735.66667</v>
      </c>
      <c r="B2434" s="2">
        <f>IFERROR(__xludf.DUMMYFUNCTION("""COMPUTED_VALUE"""),27.76)</f>
        <v>27.76</v>
      </c>
      <c r="C2434" s="2">
        <f>IFERROR(__xludf.DUMMYFUNCTION("""COMPUTED_VALUE"""),27.82)</f>
        <v>27.82</v>
      </c>
      <c r="D2434" s="2">
        <f>IFERROR(__xludf.DUMMYFUNCTION("""COMPUTED_VALUE"""),27.55)</f>
        <v>27.55</v>
      </c>
      <c r="E2434" s="2">
        <f>IFERROR(__xludf.DUMMYFUNCTION("""COMPUTED_VALUE"""),27.76)</f>
        <v>27.76</v>
      </c>
      <c r="F2434" s="2">
        <f>IFERROR(__xludf.DUMMYFUNCTION("""COMPUTED_VALUE"""),1102400.0)</f>
        <v>1102400</v>
      </c>
    </row>
    <row r="2435">
      <c r="A2435" s="3">
        <f>IFERROR(__xludf.DUMMYFUNCTION("""COMPUTED_VALUE"""),32736.666666666668)</f>
        <v>32736.66667</v>
      </c>
      <c r="B2435" s="2">
        <f>IFERROR(__xludf.DUMMYFUNCTION("""COMPUTED_VALUE"""),27.58)</f>
        <v>27.58</v>
      </c>
      <c r="C2435" s="2">
        <f>IFERROR(__xludf.DUMMYFUNCTION("""COMPUTED_VALUE"""),27.79)</f>
        <v>27.79</v>
      </c>
      <c r="D2435" s="2">
        <f>IFERROR(__xludf.DUMMYFUNCTION("""COMPUTED_VALUE"""),27.49)</f>
        <v>27.49</v>
      </c>
      <c r="E2435" s="2">
        <f>IFERROR(__xludf.DUMMYFUNCTION("""COMPUTED_VALUE"""),27.58)</f>
        <v>27.58</v>
      </c>
      <c r="F2435" s="2">
        <f>IFERROR(__xludf.DUMMYFUNCTION("""COMPUTED_VALUE"""),1024400.0)</f>
        <v>1024400</v>
      </c>
    </row>
    <row r="2436">
      <c r="A2436" s="3">
        <f>IFERROR(__xludf.DUMMYFUNCTION("""COMPUTED_VALUE"""),32737.666666666668)</f>
        <v>32737.66667</v>
      </c>
      <c r="B2436" s="2">
        <f>IFERROR(__xludf.DUMMYFUNCTION("""COMPUTED_VALUE"""),27.4)</f>
        <v>27.4</v>
      </c>
      <c r="C2436" s="2">
        <f>IFERROR(__xludf.DUMMYFUNCTION("""COMPUTED_VALUE"""),27.64)</f>
        <v>27.64</v>
      </c>
      <c r="D2436" s="2">
        <f>IFERROR(__xludf.DUMMYFUNCTION("""COMPUTED_VALUE"""),27.31)</f>
        <v>27.31</v>
      </c>
      <c r="E2436" s="2">
        <f>IFERROR(__xludf.DUMMYFUNCTION("""COMPUTED_VALUE"""),27.4)</f>
        <v>27.4</v>
      </c>
      <c r="F2436" s="2">
        <f>IFERROR(__xludf.DUMMYFUNCTION("""COMPUTED_VALUE"""),1092700.0)</f>
        <v>1092700</v>
      </c>
    </row>
    <row r="2437">
      <c r="A2437" s="3">
        <f>IFERROR(__xludf.DUMMYFUNCTION("""COMPUTED_VALUE"""),32738.666666666668)</f>
        <v>32738.66667</v>
      </c>
      <c r="B2437" s="2">
        <f>IFERROR(__xludf.DUMMYFUNCTION("""COMPUTED_VALUE"""),27.49)</f>
        <v>27.49</v>
      </c>
      <c r="C2437" s="2">
        <f>IFERROR(__xludf.DUMMYFUNCTION("""COMPUTED_VALUE"""),27.58)</f>
        <v>27.58</v>
      </c>
      <c r="D2437" s="2">
        <f>IFERROR(__xludf.DUMMYFUNCTION("""COMPUTED_VALUE"""),27.4)</f>
        <v>27.4</v>
      </c>
      <c r="E2437" s="2">
        <f>IFERROR(__xludf.DUMMYFUNCTION("""COMPUTED_VALUE"""),27.49)</f>
        <v>27.49</v>
      </c>
      <c r="F2437" s="2">
        <f>IFERROR(__xludf.DUMMYFUNCTION("""COMPUTED_VALUE"""),1310700.0)</f>
        <v>1310700</v>
      </c>
    </row>
    <row r="2438">
      <c r="A2438" s="3">
        <f>IFERROR(__xludf.DUMMYFUNCTION("""COMPUTED_VALUE"""),32741.666666666668)</f>
        <v>32741.66667</v>
      </c>
      <c r="B2438" s="2">
        <f>IFERROR(__xludf.DUMMYFUNCTION("""COMPUTED_VALUE"""),26.98)</f>
        <v>26.98</v>
      </c>
      <c r="C2438" s="2">
        <f>IFERROR(__xludf.DUMMYFUNCTION("""COMPUTED_VALUE"""),27.55)</f>
        <v>27.55</v>
      </c>
      <c r="D2438" s="2">
        <f>IFERROR(__xludf.DUMMYFUNCTION("""COMPUTED_VALUE"""),26.98)</f>
        <v>26.98</v>
      </c>
      <c r="E2438" s="2">
        <f>IFERROR(__xludf.DUMMYFUNCTION("""COMPUTED_VALUE"""),26.98)</f>
        <v>26.98</v>
      </c>
      <c r="F2438" s="2">
        <f>IFERROR(__xludf.DUMMYFUNCTION("""COMPUTED_VALUE"""),1228500.0)</f>
        <v>1228500</v>
      </c>
    </row>
    <row r="2439">
      <c r="A2439" s="3">
        <f>IFERROR(__xludf.DUMMYFUNCTION("""COMPUTED_VALUE"""),32742.666666666668)</f>
        <v>32742.66667</v>
      </c>
      <c r="B2439" s="2">
        <f>IFERROR(__xludf.DUMMYFUNCTION("""COMPUTED_VALUE"""),27.13)</f>
        <v>27.13</v>
      </c>
      <c r="C2439" s="2">
        <f>IFERROR(__xludf.DUMMYFUNCTION("""COMPUTED_VALUE"""),27.19)</f>
        <v>27.19</v>
      </c>
      <c r="D2439" s="2">
        <f>IFERROR(__xludf.DUMMYFUNCTION("""COMPUTED_VALUE"""),26.86)</f>
        <v>26.86</v>
      </c>
      <c r="E2439" s="2">
        <f>IFERROR(__xludf.DUMMYFUNCTION("""COMPUTED_VALUE"""),27.13)</f>
        <v>27.13</v>
      </c>
      <c r="F2439" s="2">
        <f>IFERROR(__xludf.DUMMYFUNCTION("""COMPUTED_VALUE"""),1576000.0)</f>
        <v>1576000</v>
      </c>
    </row>
    <row r="2440">
      <c r="A2440" s="3">
        <f>IFERROR(__xludf.DUMMYFUNCTION("""COMPUTED_VALUE"""),32743.666666666668)</f>
        <v>32743.66667</v>
      </c>
      <c r="B2440" s="2">
        <f>IFERROR(__xludf.DUMMYFUNCTION("""COMPUTED_VALUE"""),27.22)</f>
        <v>27.22</v>
      </c>
      <c r="C2440" s="2">
        <f>IFERROR(__xludf.DUMMYFUNCTION("""COMPUTED_VALUE"""),27.25)</f>
        <v>27.25</v>
      </c>
      <c r="D2440" s="2">
        <f>IFERROR(__xludf.DUMMYFUNCTION("""COMPUTED_VALUE"""),26.92)</f>
        <v>26.92</v>
      </c>
      <c r="E2440" s="2">
        <f>IFERROR(__xludf.DUMMYFUNCTION("""COMPUTED_VALUE"""),27.22)</f>
        <v>27.22</v>
      </c>
      <c r="F2440" s="2">
        <f>IFERROR(__xludf.DUMMYFUNCTION("""COMPUTED_VALUE"""),1014400.0)</f>
        <v>1014400</v>
      </c>
    </row>
    <row r="2441">
      <c r="A2441" s="3">
        <f>IFERROR(__xludf.DUMMYFUNCTION("""COMPUTED_VALUE"""),32744.666666666668)</f>
        <v>32744.66667</v>
      </c>
      <c r="B2441" s="2">
        <f>IFERROR(__xludf.DUMMYFUNCTION("""COMPUTED_VALUE"""),27.7)</f>
        <v>27.7</v>
      </c>
      <c r="C2441" s="2">
        <f>IFERROR(__xludf.DUMMYFUNCTION("""COMPUTED_VALUE"""),27.73)</f>
        <v>27.73</v>
      </c>
      <c r="D2441" s="2">
        <f>IFERROR(__xludf.DUMMYFUNCTION("""COMPUTED_VALUE"""),27.04)</f>
        <v>27.04</v>
      </c>
      <c r="E2441" s="2">
        <f>IFERROR(__xludf.DUMMYFUNCTION("""COMPUTED_VALUE"""),27.7)</f>
        <v>27.7</v>
      </c>
      <c r="F2441" s="2">
        <f>IFERROR(__xludf.DUMMYFUNCTION("""COMPUTED_VALUE"""),2561100.0)</f>
        <v>2561100</v>
      </c>
    </row>
    <row r="2442">
      <c r="A2442" s="3">
        <f>IFERROR(__xludf.DUMMYFUNCTION("""COMPUTED_VALUE"""),32745.666666666668)</f>
        <v>32745.66667</v>
      </c>
      <c r="B2442" s="2">
        <f>IFERROR(__xludf.DUMMYFUNCTION("""COMPUTED_VALUE"""),27.73)</f>
        <v>27.73</v>
      </c>
      <c r="C2442" s="2">
        <f>IFERROR(__xludf.DUMMYFUNCTION("""COMPUTED_VALUE"""),27.82)</f>
        <v>27.82</v>
      </c>
      <c r="D2442" s="2">
        <f>IFERROR(__xludf.DUMMYFUNCTION("""COMPUTED_VALUE"""),27.61)</f>
        <v>27.61</v>
      </c>
      <c r="E2442" s="2">
        <f>IFERROR(__xludf.DUMMYFUNCTION("""COMPUTED_VALUE"""),27.73)</f>
        <v>27.73</v>
      </c>
      <c r="F2442" s="2">
        <f>IFERROR(__xludf.DUMMYFUNCTION("""COMPUTED_VALUE"""),1397600.0)</f>
        <v>1397600</v>
      </c>
    </row>
    <row r="2443">
      <c r="A2443" s="3">
        <f>IFERROR(__xludf.DUMMYFUNCTION("""COMPUTED_VALUE"""),32748.666666666668)</f>
        <v>32748.66667</v>
      </c>
      <c r="B2443" s="2">
        <f>IFERROR(__xludf.DUMMYFUNCTION("""COMPUTED_VALUE"""),28.18)</f>
        <v>28.18</v>
      </c>
      <c r="C2443" s="2">
        <f>IFERROR(__xludf.DUMMYFUNCTION("""COMPUTED_VALUE"""),28.21)</f>
        <v>28.21</v>
      </c>
      <c r="D2443" s="2">
        <f>IFERROR(__xludf.DUMMYFUNCTION("""COMPUTED_VALUE"""),27.55)</f>
        <v>27.55</v>
      </c>
      <c r="E2443" s="2">
        <f>IFERROR(__xludf.DUMMYFUNCTION("""COMPUTED_VALUE"""),28.18)</f>
        <v>28.18</v>
      </c>
      <c r="F2443" s="2">
        <f>IFERROR(__xludf.DUMMYFUNCTION("""COMPUTED_VALUE"""),1681600.0)</f>
        <v>1681600</v>
      </c>
    </row>
    <row r="2444">
      <c r="A2444" s="3">
        <f>IFERROR(__xludf.DUMMYFUNCTION("""COMPUTED_VALUE"""),32749.666666666668)</f>
        <v>32749.66667</v>
      </c>
      <c r="B2444" s="2">
        <f>IFERROR(__xludf.DUMMYFUNCTION("""COMPUTED_VALUE"""),27.79)</f>
        <v>27.79</v>
      </c>
      <c r="C2444" s="2">
        <f>IFERROR(__xludf.DUMMYFUNCTION("""COMPUTED_VALUE"""),28.27)</f>
        <v>28.27</v>
      </c>
      <c r="D2444" s="2">
        <f>IFERROR(__xludf.DUMMYFUNCTION("""COMPUTED_VALUE"""),27.7)</f>
        <v>27.7</v>
      </c>
      <c r="E2444" s="2">
        <f>IFERROR(__xludf.DUMMYFUNCTION("""COMPUTED_VALUE"""),27.79)</f>
        <v>27.79</v>
      </c>
      <c r="F2444" s="2">
        <f>IFERROR(__xludf.DUMMYFUNCTION("""COMPUTED_VALUE"""),1333800.0)</f>
        <v>1333800</v>
      </c>
    </row>
    <row r="2445">
      <c r="A2445" s="3">
        <f>IFERROR(__xludf.DUMMYFUNCTION("""COMPUTED_VALUE"""),32750.666666666668)</f>
        <v>32750.66667</v>
      </c>
      <c r="B2445" s="2">
        <f>IFERROR(__xludf.DUMMYFUNCTION("""COMPUTED_VALUE"""),27.91)</f>
        <v>27.91</v>
      </c>
      <c r="C2445" s="2">
        <f>IFERROR(__xludf.DUMMYFUNCTION("""COMPUTED_VALUE"""),28.06)</f>
        <v>28.06</v>
      </c>
      <c r="D2445" s="2">
        <f>IFERROR(__xludf.DUMMYFUNCTION("""COMPUTED_VALUE"""),27.73)</f>
        <v>27.73</v>
      </c>
      <c r="E2445" s="2">
        <f>IFERROR(__xludf.DUMMYFUNCTION("""COMPUTED_VALUE"""),27.91)</f>
        <v>27.91</v>
      </c>
      <c r="F2445" s="2">
        <f>IFERROR(__xludf.DUMMYFUNCTION("""COMPUTED_VALUE"""),1509800.0)</f>
        <v>1509800</v>
      </c>
    </row>
    <row r="2446">
      <c r="A2446" s="3">
        <f>IFERROR(__xludf.DUMMYFUNCTION("""COMPUTED_VALUE"""),32751.666666666668)</f>
        <v>32751.66667</v>
      </c>
      <c r="B2446" s="2">
        <f>IFERROR(__xludf.DUMMYFUNCTION("""COMPUTED_VALUE"""),27.97)</f>
        <v>27.97</v>
      </c>
      <c r="C2446" s="2">
        <f>IFERROR(__xludf.DUMMYFUNCTION("""COMPUTED_VALUE"""),28.09)</f>
        <v>28.09</v>
      </c>
      <c r="D2446" s="2">
        <f>IFERROR(__xludf.DUMMYFUNCTION("""COMPUTED_VALUE"""),27.91)</f>
        <v>27.91</v>
      </c>
      <c r="E2446" s="2">
        <f>IFERROR(__xludf.DUMMYFUNCTION("""COMPUTED_VALUE"""),27.97)</f>
        <v>27.97</v>
      </c>
      <c r="F2446" s="2">
        <f>IFERROR(__xludf.DUMMYFUNCTION("""COMPUTED_VALUE"""),939000.0)</f>
        <v>939000</v>
      </c>
    </row>
    <row r="2447">
      <c r="A2447" s="3">
        <f>IFERROR(__xludf.DUMMYFUNCTION("""COMPUTED_VALUE"""),32752.666666666668)</f>
        <v>32752.66667</v>
      </c>
      <c r="B2447" s="2">
        <f>IFERROR(__xludf.DUMMYFUNCTION("""COMPUTED_VALUE"""),28.03)</f>
        <v>28.03</v>
      </c>
      <c r="C2447" s="2">
        <f>IFERROR(__xludf.DUMMYFUNCTION("""COMPUTED_VALUE"""),28.24)</f>
        <v>28.24</v>
      </c>
      <c r="D2447" s="2">
        <f>IFERROR(__xludf.DUMMYFUNCTION("""COMPUTED_VALUE"""),27.91)</f>
        <v>27.91</v>
      </c>
      <c r="E2447" s="2">
        <f>IFERROR(__xludf.DUMMYFUNCTION("""COMPUTED_VALUE"""),28.03)</f>
        <v>28.03</v>
      </c>
      <c r="F2447" s="2">
        <f>IFERROR(__xludf.DUMMYFUNCTION("""COMPUTED_VALUE"""),1049800.0)</f>
        <v>1049800</v>
      </c>
    </row>
    <row r="2448">
      <c r="A2448" s="3">
        <f>IFERROR(__xludf.DUMMYFUNCTION("""COMPUTED_VALUE"""),32756.666666666668)</f>
        <v>32756.66667</v>
      </c>
      <c r="B2448" s="2">
        <f>IFERROR(__xludf.DUMMYFUNCTION("""COMPUTED_VALUE"""),28.12)</f>
        <v>28.12</v>
      </c>
      <c r="C2448" s="2">
        <f>IFERROR(__xludf.DUMMYFUNCTION("""COMPUTED_VALUE"""),28.36)</f>
        <v>28.36</v>
      </c>
      <c r="D2448" s="2">
        <f>IFERROR(__xludf.DUMMYFUNCTION("""COMPUTED_VALUE"""),28.03)</f>
        <v>28.03</v>
      </c>
      <c r="E2448" s="2">
        <f>IFERROR(__xludf.DUMMYFUNCTION("""COMPUTED_VALUE"""),28.12)</f>
        <v>28.12</v>
      </c>
      <c r="F2448" s="2">
        <f>IFERROR(__xludf.DUMMYFUNCTION("""COMPUTED_VALUE"""),1708300.0)</f>
        <v>1708300</v>
      </c>
    </row>
    <row r="2449">
      <c r="A2449" s="3">
        <f>IFERROR(__xludf.DUMMYFUNCTION("""COMPUTED_VALUE"""),32757.666666666668)</f>
        <v>32757.66667</v>
      </c>
      <c r="B2449" s="2">
        <f>IFERROR(__xludf.DUMMYFUNCTION("""COMPUTED_VALUE"""),27.88)</f>
        <v>27.88</v>
      </c>
      <c r="C2449" s="2">
        <f>IFERROR(__xludf.DUMMYFUNCTION("""COMPUTED_VALUE"""),28.09)</f>
        <v>28.09</v>
      </c>
      <c r="D2449" s="2">
        <f>IFERROR(__xludf.DUMMYFUNCTION("""COMPUTED_VALUE"""),27.7)</f>
        <v>27.7</v>
      </c>
      <c r="E2449" s="2">
        <f>IFERROR(__xludf.DUMMYFUNCTION("""COMPUTED_VALUE"""),27.88)</f>
        <v>27.88</v>
      </c>
      <c r="F2449" s="2">
        <f>IFERROR(__xludf.DUMMYFUNCTION("""COMPUTED_VALUE"""),1105600.0)</f>
        <v>1105600</v>
      </c>
    </row>
    <row r="2450">
      <c r="A2450" s="3">
        <f>IFERROR(__xludf.DUMMYFUNCTION("""COMPUTED_VALUE"""),32758.666666666668)</f>
        <v>32758.66667</v>
      </c>
      <c r="B2450" s="2">
        <f>IFERROR(__xludf.DUMMYFUNCTION("""COMPUTED_VALUE"""),27.76)</f>
        <v>27.76</v>
      </c>
      <c r="C2450" s="2">
        <f>IFERROR(__xludf.DUMMYFUNCTION("""COMPUTED_VALUE"""),27.94)</f>
        <v>27.94</v>
      </c>
      <c r="D2450" s="2">
        <f>IFERROR(__xludf.DUMMYFUNCTION("""COMPUTED_VALUE"""),27.67)</f>
        <v>27.67</v>
      </c>
      <c r="E2450" s="2">
        <f>IFERROR(__xludf.DUMMYFUNCTION("""COMPUTED_VALUE"""),27.76)</f>
        <v>27.76</v>
      </c>
      <c r="F2450" s="2">
        <f>IFERROR(__xludf.DUMMYFUNCTION("""COMPUTED_VALUE"""),1141200.0)</f>
        <v>1141200</v>
      </c>
    </row>
    <row r="2451">
      <c r="A2451" s="3">
        <f>IFERROR(__xludf.DUMMYFUNCTION("""COMPUTED_VALUE"""),32759.666666666668)</f>
        <v>32759.66667</v>
      </c>
      <c r="B2451" s="2">
        <f>IFERROR(__xludf.DUMMYFUNCTION("""COMPUTED_VALUE"""),27.7)</f>
        <v>27.7</v>
      </c>
      <c r="C2451" s="2">
        <f>IFERROR(__xludf.DUMMYFUNCTION("""COMPUTED_VALUE"""),27.79)</f>
        <v>27.79</v>
      </c>
      <c r="D2451" s="2">
        <f>IFERROR(__xludf.DUMMYFUNCTION("""COMPUTED_VALUE"""),27.46)</f>
        <v>27.46</v>
      </c>
      <c r="E2451" s="2">
        <f>IFERROR(__xludf.DUMMYFUNCTION("""COMPUTED_VALUE"""),27.7)</f>
        <v>27.7</v>
      </c>
      <c r="F2451" s="2">
        <f>IFERROR(__xludf.DUMMYFUNCTION("""COMPUTED_VALUE"""),1173400.0)</f>
        <v>1173400</v>
      </c>
    </row>
    <row r="2452">
      <c r="A2452" s="3">
        <f>IFERROR(__xludf.DUMMYFUNCTION("""COMPUTED_VALUE"""),32762.666666666668)</f>
        <v>32762.66667</v>
      </c>
      <c r="B2452" s="2">
        <f>IFERROR(__xludf.DUMMYFUNCTION("""COMPUTED_VALUE"""),27.76)</f>
        <v>27.76</v>
      </c>
      <c r="C2452" s="2">
        <f>IFERROR(__xludf.DUMMYFUNCTION("""COMPUTED_VALUE"""),27.79)</f>
        <v>27.79</v>
      </c>
      <c r="D2452" s="2">
        <f>IFERROR(__xludf.DUMMYFUNCTION("""COMPUTED_VALUE"""),27.55)</f>
        <v>27.55</v>
      </c>
      <c r="E2452" s="2">
        <f>IFERROR(__xludf.DUMMYFUNCTION("""COMPUTED_VALUE"""),27.76)</f>
        <v>27.76</v>
      </c>
      <c r="F2452" s="2">
        <f>IFERROR(__xludf.DUMMYFUNCTION("""COMPUTED_VALUE"""),946600.0)</f>
        <v>946600</v>
      </c>
    </row>
    <row r="2453">
      <c r="A2453" s="3">
        <f>IFERROR(__xludf.DUMMYFUNCTION("""COMPUTED_VALUE"""),32763.666666666668)</f>
        <v>32763.66667</v>
      </c>
      <c r="B2453" s="2">
        <f>IFERROR(__xludf.DUMMYFUNCTION("""COMPUTED_VALUE"""),27.91)</f>
        <v>27.91</v>
      </c>
      <c r="C2453" s="2">
        <f>IFERROR(__xludf.DUMMYFUNCTION("""COMPUTED_VALUE"""),28.0)</f>
        <v>28</v>
      </c>
      <c r="D2453" s="2">
        <f>IFERROR(__xludf.DUMMYFUNCTION("""COMPUTED_VALUE"""),27.73)</f>
        <v>27.73</v>
      </c>
      <c r="E2453" s="2">
        <f>IFERROR(__xludf.DUMMYFUNCTION("""COMPUTED_VALUE"""),27.91)</f>
        <v>27.91</v>
      </c>
      <c r="F2453" s="2">
        <f>IFERROR(__xludf.DUMMYFUNCTION("""COMPUTED_VALUE"""),1079200.0)</f>
        <v>1079200</v>
      </c>
    </row>
    <row r="2454">
      <c r="A2454" s="3">
        <f>IFERROR(__xludf.DUMMYFUNCTION("""COMPUTED_VALUE"""),32764.666666666668)</f>
        <v>32764.66667</v>
      </c>
      <c r="B2454" s="2">
        <f>IFERROR(__xludf.DUMMYFUNCTION("""COMPUTED_VALUE"""),27.55)</f>
        <v>27.55</v>
      </c>
      <c r="C2454" s="2">
        <f>IFERROR(__xludf.DUMMYFUNCTION("""COMPUTED_VALUE"""),28.06)</f>
        <v>28.06</v>
      </c>
      <c r="D2454" s="2">
        <f>IFERROR(__xludf.DUMMYFUNCTION("""COMPUTED_VALUE"""),27.55)</f>
        <v>27.55</v>
      </c>
      <c r="E2454" s="2">
        <f>IFERROR(__xludf.DUMMYFUNCTION("""COMPUTED_VALUE"""),27.55)</f>
        <v>27.55</v>
      </c>
      <c r="F2454" s="2">
        <f>IFERROR(__xludf.DUMMYFUNCTION("""COMPUTED_VALUE"""),1667000.0)</f>
        <v>1667000</v>
      </c>
    </row>
    <row r="2455">
      <c r="A2455" s="3">
        <f>IFERROR(__xludf.DUMMYFUNCTION("""COMPUTED_VALUE"""),32765.666666666668)</f>
        <v>32765.66667</v>
      </c>
      <c r="B2455" s="2">
        <f>IFERROR(__xludf.DUMMYFUNCTION("""COMPUTED_VALUE"""),27.64)</f>
        <v>27.64</v>
      </c>
      <c r="C2455" s="2">
        <f>IFERROR(__xludf.DUMMYFUNCTION("""COMPUTED_VALUE"""),27.67)</f>
        <v>27.67</v>
      </c>
      <c r="D2455" s="2">
        <f>IFERROR(__xludf.DUMMYFUNCTION("""COMPUTED_VALUE"""),27.46)</f>
        <v>27.46</v>
      </c>
      <c r="E2455" s="2">
        <f>IFERROR(__xludf.DUMMYFUNCTION("""COMPUTED_VALUE"""),27.64)</f>
        <v>27.64</v>
      </c>
      <c r="F2455" s="2">
        <f>IFERROR(__xludf.DUMMYFUNCTION("""COMPUTED_VALUE"""),1069500.0)</f>
        <v>1069500</v>
      </c>
    </row>
    <row r="2456">
      <c r="A2456" s="3">
        <f>IFERROR(__xludf.DUMMYFUNCTION("""COMPUTED_VALUE"""),32766.666666666668)</f>
        <v>32766.66667</v>
      </c>
      <c r="B2456" s="2">
        <f>IFERROR(__xludf.DUMMYFUNCTION("""COMPUTED_VALUE"""),27.58)</f>
        <v>27.58</v>
      </c>
      <c r="C2456" s="2">
        <f>IFERROR(__xludf.DUMMYFUNCTION("""COMPUTED_VALUE"""),27.76)</f>
        <v>27.76</v>
      </c>
      <c r="D2456" s="2">
        <f>IFERROR(__xludf.DUMMYFUNCTION("""COMPUTED_VALUE"""),27.49)</f>
        <v>27.49</v>
      </c>
      <c r="E2456" s="2">
        <f>IFERROR(__xludf.DUMMYFUNCTION("""COMPUTED_VALUE"""),27.58)</f>
        <v>27.58</v>
      </c>
      <c r="F2456" s="2">
        <f>IFERROR(__xludf.DUMMYFUNCTION("""COMPUTED_VALUE"""),2053800.0)</f>
        <v>2053800</v>
      </c>
    </row>
    <row r="2457">
      <c r="A2457" s="3">
        <f>IFERROR(__xludf.DUMMYFUNCTION("""COMPUTED_VALUE"""),32769.666666666664)</f>
        <v>32769.66667</v>
      </c>
      <c r="B2457" s="2">
        <f>IFERROR(__xludf.DUMMYFUNCTION("""COMPUTED_VALUE"""),27.73)</f>
        <v>27.73</v>
      </c>
      <c r="C2457" s="2">
        <f>IFERROR(__xludf.DUMMYFUNCTION("""COMPUTED_VALUE"""),27.73)</f>
        <v>27.73</v>
      </c>
      <c r="D2457" s="2">
        <f>IFERROR(__xludf.DUMMYFUNCTION("""COMPUTED_VALUE"""),27.55)</f>
        <v>27.55</v>
      </c>
      <c r="E2457" s="2">
        <f>IFERROR(__xludf.DUMMYFUNCTION("""COMPUTED_VALUE"""),27.73)</f>
        <v>27.73</v>
      </c>
      <c r="F2457" s="2">
        <f>IFERROR(__xludf.DUMMYFUNCTION("""COMPUTED_VALUE"""),899400.0)</f>
        <v>899400</v>
      </c>
    </row>
    <row r="2458">
      <c r="A2458" s="3">
        <f>IFERROR(__xludf.DUMMYFUNCTION("""COMPUTED_VALUE"""),32770.666666666664)</f>
        <v>32770.66667</v>
      </c>
      <c r="B2458" s="2">
        <f>IFERROR(__xludf.DUMMYFUNCTION("""COMPUTED_VALUE"""),27.7)</f>
        <v>27.7</v>
      </c>
      <c r="C2458" s="2">
        <f>IFERROR(__xludf.DUMMYFUNCTION("""COMPUTED_VALUE"""),27.82)</f>
        <v>27.82</v>
      </c>
      <c r="D2458" s="2">
        <f>IFERROR(__xludf.DUMMYFUNCTION("""COMPUTED_VALUE"""),27.7)</f>
        <v>27.7</v>
      </c>
      <c r="E2458" s="2">
        <f>IFERROR(__xludf.DUMMYFUNCTION("""COMPUTED_VALUE"""),27.7)</f>
        <v>27.7</v>
      </c>
      <c r="F2458" s="2">
        <f>IFERROR(__xludf.DUMMYFUNCTION("""COMPUTED_VALUE"""),1038000.0)</f>
        <v>1038000</v>
      </c>
    </row>
    <row r="2459">
      <c r="A2459" s="3">
        <f>IFERROR(__xludf.DUMMYFUNCTION("""COMPUTED_VALUE"""),32771.666666666664)</f>
        <v>32771.66667</v>
      </c>
      <c r="B2459" s="2">
        <f>IFERROR(__xludf.DUMMYFUNCTION("""COMPUTED_VALUE"""),27.7)</f>
        <v>27.7</v>
      </c>
      <c r="C2459" s="2">
        <f>IFERROR(__xludf.DUMMYFUNCTION("""COMPUTED_VALUE"""),27.79)</f>
        <v>27.79</v>
      </c>
      <c r="D2459" s="2">
        <f>IFERROR(__xludf.DUMMYFUNCTION("""COMPUTED_VALUE"""),27.64)</f>
        <v>27.64</v>
      </c>
      <c r="E2459" s="2">
        <f>IFERROR(__xludf.DUMMYFUNCTION("""COMPUTED_VALUE"""),27.7)</f>
        <v>27.7</v>
      </c>
      <c r="F2459" s="2">
        <f>IFERROR(__xludf.DUMMYFUNCTION("""COMPUTED_VALUE"""),964400.0)</f>
        <v>964400</v>
      </c>
    </row>
    <row r="2460">
      <c r="A2460" s="3">
        <f>IFERROR(__xludf.DUMMYFUNCTION("""COMPUTED_VALUE"""),32772.666666666664)</f>
        <v>32772.66667</v>
      </c>
      <c r="B2460" s="2">
        <f>IFERROR(__xludf.DUMMYFUNCTION("""COMPUTED_VALUE"""),27.73)</f>
        <v>27.73</v>
      </c>
      <c r="C2460" s="2">
        <f>IFERROR(__xludf.DUMMYFUNCTION("""COMPUTED_VALUE"""),28.0)</f>
        <v>28</v>
      </c>
      <c r="D2460" s="2">
        <f>IFERROR(__xludf.DUMMYFUNCTION("""COMPUTED_VALUE"""),27.7)</f>
        <v>27.7</v>
      </c>
      <c r="E2460" s="2">
        <f>IFERROR(__xludf.DUMMYFUNCTION("""COMPUTED_VALUE"""),27.73)</f>
        <v>27.73</v>
      </c>
      <c r="F2460" s="2">
        <f>IFERROR(__xludf.DUMMYFUNCTION("""COMPUTED_VALUE"""),1193500.0)</f>
        <v>1193500</v>
      </c>
    </row>
    <row r="2461">
      <c r="A2461" s="3">
        <f>IFERROR(__xludf.DUMMYFUNCTION("""COMPUTED_VALUE"""),32773.666666666664)</f>
        <v>32773.66667</v>
      </c>
      <c r="B2461" s="2">
        <f>IFERROR(__xludf.DUMMYFUNCTION("""COMPUTED_VALUE"""),27.82)</f>
        <v>27.82</v>
      </c>
      <c r="C2461" s="2">
        <f>IFERROR(__xludf.DUMMYFUNCTION("""COMPUTED_VALUE"""),27.91)</f>
        <v>27.91</v>
      </c>
      <c r="D2461" s="2">
        <f>IFERROR(__xludf.DUMMYFUNCTION("""COMPUTED_VALUE"""),27.73)</f>
        <v>27.73</v>
      </c>
      <c r="E2461" s="2">
        <f>IFERROR(__xludf.DUMMYFUNCTION("""COMPUTED_VALUE"""),27.82)</f>
        <v>27.82</v>
      </c>
      <c r="F2461" s="2">
        <f>IFERROR(__xludf.DUMMYFUNCTION("""COMPUTED_VALUE"""),727000.0)</f>
        <v>727000</v>
      </c>
    </row>
    <row r="2462">
      <c r="A2462" s="3">
        <f>IFERROR(__xludf.DUMMYFUNCTION("""COMPUTED_VALUE"""),32776.666666666664)</f>
        <v>32776.66667</v>
      </c>
      <c r="B2462" s="2">
        <f>IFERROR(__xludf.DUMMYFUNCTION("""COMPUTED_VALUE"""),27.76)</f>
        <v>27.76</v>
      </c>
      <c r="C2462" s="2">
        <f>IFERROR(__xludf.DUMMYFUNCTION("""COMPUTED_VALUE"""),28.15)</f>
        <v>28.15</v>
      </c>
      <c r="D2462" s="2">
        <f>IFERROR(__xludf.DUMMYFUNCTION("""COMPUTED_VALUE"""),27.73)</f>
        <v>27.73</v>
      </c>
      <c r="E2462" s="2">
        <f>IFERROR(__xludf.DUMMYFUNCTION("""COMPUTED_VALUE"""),27.76)</f>
        <v>27.76</v>
      </c>
      <c r="F2462" s="2">
        <f>IFERROR(__xludf.DUMMYFUNCTION("""COMPUTED_VALUE"""),1140500.0)</f>
        <v>1140500</v>
      </c>
    </row>
    <row r="2463">
      <c r="A2463" s="3">
        <f>IFERROR(__xludf.DUMMYFUNCTION("""COMPUTED_VALUE"""),32777.666666666664)</f>
        <v>32777.66667</v>
      </c>
      <c r="B2463" s="2">
        <f>IFERROR(__xludf.DUMMYFUNCTION("""COMPUTED_VALUE"""),28.06)</f>
        <v>28.06</v>
      </c>
      <c r="C2463" s="2">
        <f>IFERROR(__xludf.DUMMYFUNCTION("""COMPUTED_VALUE"""),28.12)</f>
        <v>28.12</v>
      </c>
      <c r="D2463" s="2">
        <f>IFERROR(__xludf.DUMMYFUNCTION("""COMPUTED_VALUE"""),27.85)</f>
        <v>27.85</v>
      </c>
      <c r="E2463" s="2">
        <f>IFERROR(__xludf.DUMMYFUNCTION("""COMPUTED_VALUE"""),28.06)</f>
        <v>28.06</v>
      </c>
      <c r="F2463" s="2">
        <f>IFERROR(__xludf.DUMMYFUNCTION("""COMPUTED_VALUE"""),1369700.0)</f>
        <v>1369700</v>
      </c>
    </row>
    <row r="2464">
      <c r="A2464" s="3">
        <f>IFERROR(__xludf.DUMMYFUNCTION("""COMPUTED_VALUE"""),32778.666666666664)</f>
        <v>32778.66667</v>
      </c>
      <c r="B2464" s="2">
        <f>IFERROR(__xludf.DUMMYFUNCTION("""COMPUTED_VALUE"""),26.63)</f>
        <v>26.63</v>
      </c>
      <c r="C2464" s="2">
        <f>IFERROR(__xludf.DUMMYFUNCTION("""COMPUTED_VALUE"""),26.86)</f>
        <v>26.86</v>
      </c>
      <c r="D2464" s="2">
        <f>IFERROR(__xludf.DUMMYFUNCTION("""COMPUTED_VALUE"""),26.51)</f>
        <v>26.51</v>
      </c>
      <c r="E2464" s="2">
        <f>IFERROR(__xludf.DUMMYFUNCTION("""COMPUTED_VALUE"""),26.63)</f>
        <v>26.63</v>
      </c>
      <c r="F2464" s="2">
        <f>IFERROR(__xludf.DUMMYFUNCTION("""COMPUTED_VALUE"""),5656500.0)</f>
        <v>5656500</v>
      </c>
    </row>
    <row r="2465">
      <c r="A2465" s="3">
        <f>IFERROR(__xludf.DUMMYFUNCTION("""COMPUTED_VALUE"""),32779.666666666664)</f>
        <v>32779.66667</v>
      </c>
      <c r="B2465" s="2">
        <f>IFERROR(__xludf.DUMMYFUNCTION("""COMPUTED_VALUE"""),26.03)</f>
        <v>26.03</v>
      </c>
      <c r="C2465" s="2">
        <f>IFERROR(__xludf.DUMMYFUNCTION("""COMPUTED_VALUE"""),26.57)</f>
        <v>26.57</v>
      </c>
      <c r="D2465" s="2">
        <f>IFERROR(__xludf.DUMMYFUNCTION("""COMPUTED_VALUE"""),25.73)</f>
        <v>25.73</v>
      </c>
      <c r="E2465" s="2">
        <f>IFERROR(__xludf.DUMMYFUNCTION("""COMPUTED_VALUE"""),26.03)</f>
        <v>26.03</v>
      </c>
      <c r="F2465" s="2">
        <f>IFERROR(__xludf.DUMMYFUNCTION("""COMPUTED_VALUE"""),3925700.0)</f>
        <v>3925700</v>
      </c>
    </row>
    <row r="2466">
      <c r="A2466" s="3">
        <f>IFERROR(__xludf.DUMMYFUNCTION("""COMPUTED_VALUE"""),32780.666666666664)</f>
        <v>32780.66667</v>
      </c>
      <c r="B2466" s="2">
        <f>IFERROR(__xludf.DUMMYFUNCTION("""COMPUTED_VALUE"""),26.09)</f>
        <v>26.09</v>
      </c>
      <c r="C2466" s="2">
        <f>IFERROR(__xludf.DUMMYFUNCTION("""COMPUTED_VALUE"""),26.12)</f>
        <v>26.12</v>
      </c>
      <c r="D2466" s="2">
        <f>IFERROR(__xludf.DUMMYFUNCTION("""COMPUTED_VALUE"""),25.94)</f>
        <v>25.94</v>
      </c>
      <c r="E2466" s="2">
        <f>IFERROR(__xludf.DUMMYFUNCTION("""COMPUTED_VALUE"""),26.09)</f>
        <v>26.09</v>
      </c>
      <c r="F2466" s="2">
        <f>IFERROR(__xludf.DUMMYFUNCTION("""COMPUTED_VALUE"""),2171500.0)</f>
        <v>2171500</v>
      </c>
    </row>
    <row r="2467">
      <c r="A2467" s="3">
        <f>IFERROR(__xludf.DUMMYFUNCTION("""COMPUTED_VALUE"""),32783.666666666664)</f>
        <v>32783.66667</v>
      </c>
      <c r="B2467" s="2">
        <f>IFERROR(__xludf.DUMMYFUNCTION("""COMPUTED_VALUE"""),25.94)</f>
        <v>25.94</v>
      </c>
      <c r="C2467" s="2">
        <f>IFERROR(__xludf.DUMMYFUNCTION("""COMPUTED_VALUE"""),26.21)</f>
        <v>26.21</v>
      </c>
      <c r="D2467" s="2">
        <f>IFERROR(__xludf.DUMMYFUNCTION("""COMPUTED_VALUE"""),25.88)</f>
        <v>25.88</v>
      </c>
      <c r="E2467" s="2">
        <f>IFERROR(__xludf.DUMMYFUNCTION("""COMPUTED_VALUE"""),25.94)</f>
        <v>25.94</v>
      </c>
      <c r="F2467" s="2">
        <f>IFERROR(__xludf.DUMMYFUNCTION("""COMPUTED_VALUE"""),1544900.0)</f>
        <v>1544900</v>
      </c>
    </row>
    <row r="2468">
      <c r="A2468" s="3">
        <f>IFERROR(__xludf.DUMMYFUNCTION("""COMPUTED_VALUE"""),32784.666666666664)</f>
        <v>32784.66667</v>
      </c>
      <c r="B2468" s="2">
        <f>IFERROR(__xludf.DUMMYFUNCTION("""COMPUTED_VALUE"""),25.31)</f>
        <v>25.31</v>
      </c>
      <c r="C2468" s="2">
        <f>IFERROR(__xludf.DUMMYFUNCTION("""COMPUTED_VALUE"""),25.85)</f>
        <v>25.85</v>
      </c>
      <c r="D2468" s="2">
        <f>IFERROR(__xludf.DUMMYFUNCTION("""COMPUTED_VALUE"""),25.22)</f>
        <v>25.22</v>
      </c>
      <c r="E2468" s="2">
        <f>IFERROR(__xludf.DUMMYFUNCTION("""COMPUTED_VALUE"""),25.31)</f>
        <v>25.31</v>
      </c>
      <c r="F2468" s="2">
        <f>IFERROR(__xludf.DUMMYFUNCTION("""COMPUTED_VALUE"""),2969800.0)</f>
        <v>2969800</v>
      </c>
    </row>
    <row r="2469">
      <c r="A2469" s="3">
        <f>IFERROR(__xludf.DUMMYFUNCTION("""COMPUTED_VALUE"""),32785.666666666664)</f>
        <v>32785.66667</v>
      </c>
      <c r="B2469" s="2">
        <f>IFERROR(__xludf.DUMMYFUNCTION("""COMPUTED_VALUE"""),25.85)</f>
        <v>25.85</v>
      </c>
      <c r="C2469" s="2">
        <f>IFERROR(__xludf.DUMMYFUNCTION("""COMPUTED_VALUE"""),25.85)</f>
        <v>25.85</v>
      </c>
      <c r="D2469" s="2">
        <f>IFERROR(__xludf.DUMMYFUNCTION("""COMPUTED_VALUE"""),25.31)</f>
        <v>25.31</v>
      </c>
      <c r="E2469" s="2">
        <f>IFERROR(__xludf.DUMMYFUNCTION("""COMPUTED_VALUE"""),25.85)</f>
        <v>25.85</v>
      </c>
      <c r="F2469" s="2">
        <f>IFERROR(__xludf.DUMMYFUNCTION("""COMPUTED_VALUE"""),3042500.0)</f>
        <v>3042500</v>
      </c>
    </row>
    <row r="2470">
      <c r="A2470" s="3">
        <f>IFERROR(__xludf.DUMMYFUNCTION("""COMPUTED_VALUE"""),32786.666666666664)</f>
        <v>32786.66667</v>
      </c>
      <c r="B2470" s="2">
        <f>IFERROR(__xludf.DUMMYFUNCTION("""COMPUTED_VALUE"""),25.67)</f>
        <v>25.67</v>
      </c>
      <c r="C2470" s="2">
        <f>IFERROR(__xludf.DUMMYFUNCTION("""COMPUTED_VALUE"""),26.06)</f>
        <v>26.06</v>
      </c>
      <c r="D2470" s="2">
        <f>IFERROR(__xludf.DUMMYFUNCTION("""COMPUTED_VALUE"""),25.55)</f>
        <v>25.55</v>
      </c>
      <c r="E2470" s="2">
        <f>IFERROR(__xludf.DUMMYFUNCTION("""COMPUTED_VALUE"""),25.67)</f>
        <v>25.67</v>
      </c>
      <c r="F2470" s="2">
        <f>IFERROR(__xludf.DUMMYFUNCTION("""COMPUTED_VALUE"""),1740500.0)</f>
        <v>1740500</v>
      </c>
    </row>
    <row r="2471">
      <c r="A2471" s="3">
        <f>IFERROR(__xludf.DUMMYFUNCTION("""COMPUTED_VALUE"""),32787.666666666664)</f>
        <v>32787.66667</v>
      </c>
      <c r="B2471" s="2">
        <f>IFERROR(__xludf.DUMMYFUNCTION("""COMPUTED_VALUE"""),25.67)</f>
        <v>25.67</v>
      </c>
      <c r="C2471" s="2">
        <f>IFERROR(__xludf.DUMMYFUNCTION("""COMPUTED_VALUE"""),25.82)</f>
        <v>25.82</v>
      </c>
      <c r="D2471" s="2">
        <f>IFERROR(__xludf.DUMMYFUNCTION("""COMPUTED_VALUE"""),25.58)</f>
        <v>25.58</v>
      </c>
      <c r="E2471" s="2">
        <f>IFERROR(__xludf.DUMMYFUNCTION("""COMPUTED_VALUE"""),25.67)</f>
        <v>25.67</v>
      </c>
      <c r="F2471" s="2">
        <f>IFERROR(__xludf.DUMMYFUNCTION("""COMPUTED_VALUE"""),1390700.0)</f>
        <v>1390700</v>
      </c>
    </row>
    <row r="2472">
      <c r="A2472" s="3">
        <f>IFERROR(__xludf.DUMMYFUNCTION("""COMPUTED_VALUE"""),32790.666666666664)</f>
        <v>32790.66667</v>
      </c>
      <c r="B2472" s="2">
        <f>IFERROR(__xludf.DUMMYFUNCTION("""COMPUTED_VALUE"""),26.09)</f>
        <v>26.09</v>
      </c>
      <c r="C2472" s="2">
        <f>IFERROR(__xludf.DUMMYFUNCTION("""COMPUTED_VALUE"""),26.09)</f>
        <v>26.09</v>
      </c>
      <c r="D2472" s="2">
        <f>IFERROR(__xludf.DUMMYFUNCTION("""COMPUTED_VALUE"""),25.73)</f>
        <v>25.73</v>
      </c>
      <c r="E2472" s="2">
        <f>IFERROR(__xludf.DUMMYFUNCTION("""COMPUTED_VALUE"""),26.09)</f>
        <v>26.09</v>
      </c>
      <c r="F2472" s="2">
        <f>IFERROR(__xludf.DUMMYFUNCTION("""COMPUTED_VALUE"""),793000.0)</f>
        <v>793000</v>
      </c>
    </row>
    <row r="2473">
      <c r="A2473" s="3">
        <f>IFERROR(__xludf.DUMMYFUNCTION("""COMPUTED_VALUE"""),32791.666666666664)</f>
        <v>32791.66667</v>
      </c>
      <c r="B2473" s="2">
        <f>IFERROR(__xludf.DUMMYFUNCTION("""COMPUTED_VALUE"""),25.85)</f>
        <v>25.85</v>
      </c>
      <c r="C2473" s="2">
        <f>IFERROR(__xludf.DUMMYFUNCTION("""COMPUTED_VALUE"""),26.12)</f>
        <v>26.12</v>
      </c>
      <c r="D2473" s="2">
        <f>IFERROR(__xludf.DUMMYFUNCTION("""COMPUTED_VALUE"""),25.76)</f>
        <v>25.76</v>
      </c>
      <c r="E2473" s="2">
        <f>IFERROR(__xludf.DUMMYFUNCTION("""COMPUTED_VALUE"""),25.85)</f>
        <v>25.85</v>
      </c>
      <c r="F2473" s="2">
        <f>IFERROR(__xludf.DUMMYFUNCTION("""COMPUTED_VALUE"""),1064500.0)</f>
        <v>1064500</v>
      </c>
    </row>
    <row r="2474">
      <c r="A2474" s="3">
        <f>IFERROR(__xludf.DUMMYFUNCTION("""COMPUTED_VALUE"""),32792.666666666664)</f>
        <v>32792.66667</v>
      </c>
      <c r="B2474" s="2">
        <f>IFERROR(__xludf.DUMMYFUNCTION("""COMPUTED_VALUE"""),25.73)</f>
        <v>25.73</v>
      </c>
      <c r="C2474" s="2">
        <f>IFERROR(__xludf.DUMMYFUNCTION("""COMPUTED_VALUE"""),25.85)</f>
        <v>25.85</v>
      </c>
      <c r="D2474" s="2">
        <f>IFERROR(__xludf.DUMMYFUNCTION("""COMPUTED_VALUE"""),25.67)</f>
        <v>25.67</v>
      </c>
      <c r="E2474" s="2">
        <f>IFERROR(__xludf.DUMMYFUNCTION("""COMPUTED_VALUE"""),25.73)</f>
        <v>25.73</v>
      </c>
      <c r="F2474" s="2">
        <f>IFERROR(__xludf.DUMMYFUNCTION("""COMPUTED_VALUE"""),1174100.0)</f>
        <v>1174100</v>
      </c>
    </row>
    <row r="2475">
      <c r="A2475" s="3">
        <f>IFERROR(__xludf.DUMMYFUNCTION("""COMPUTED_VALUE"""),32793.666666666664)</f>
        <v>32793.66667</v>
      </c>
      <c r="B2475" s="2">
        <f>IFERROR(__xludf.DUMMYFUNCTION("""COMPUTED_VALUE"""),25.7)</f>
        <v>25.7</v>
      </c>
      <c r="C2475" s="2">
        <f>IFERROR(__xludf.DUMMYFUNCTION("""COMPUTED_VALUE"""),25.73)</f>
        <v>25.73</v>
      </c>
      <c r="D2475" s="2">
        <f>IFERROR(__xludf.DUMMYFUNCTION("""COMPUTED_VALUE"""),25.61)</f>
        <v>25.61</v>
      </c>
      <c r="E2475" s="2">
        <f>IFERROR(__xludf.DUMMYFUNCTION("""COMPUTED_VALUE"""),25.7)</f>
        <v>25.7</v>
      </c>
      <c r="F2475" s="2">
        <f>IFERROR(__xludf.DUMMYFUNCTION("""COMPUTED_VALUE"""),1042600.0)</f>
        <v>1042600</v>
      </c>
    </row>
    <row r="2476">
      <c r="A2476" s="3">
        <f>IFERROR(__xludf.DUMMYFUNCTION("""COMPUTED_VALUE"""),32794.666666666664)</f>
        <v>32794.66667</v>
      </c>
      <c r="B2476" s="2">
        <f>IFERROR(__xludf.DUMMYFUNCTION("""COMPUTED_VALUE"""),24.36)</f>
        <v>24.36</v>
      </c>
      <c r="C2476" s="2">
        <f>IFERROR(__xludf.DUMMYFUNCTION("""COMPUTED_VALUE"""),25.79)</f>
        <v>25.79</v>
      </c>
      <c r="D2476" s="2">
        <f>IFERROR(__xludf.DUMMYFUNCTION("""COMPUTED_VALUE"""),23.85)</f>
        <v>23.85</v>
      </c>
      <c r="E2476" s="2">
        <f>IFERROR(__xludf.DUMMYFUNCTION("""COMPUTED_VALUE"""),24.36)</f>
        <v>24.36</v>
      </c>
      <c r="F2476" s="2">
        <f>IFERROR(__xludf.DUMMYFUNCTION("""COMPUTED_VALUE"""),2443700.0)</f>
        <v>2443700</v>
      </c>
    </row>
    <row r="2477">
      <c r="A2477" s="3">
        <f>IFERROR(__xludf.DUMMYFUNCTION("""COMPUTED_VALUE"""),32797.666666666664)</f>
        <v>32797.66667</v>
      </c>
      <c r="B2477" s="2">
        <f>IFERROR(__xludf.DUMMYFUNCTION("""COMPUTED_VALUE"""),24.6)</f>
        <v>24.6</v>
      </c>
      <c r="C2477" s="2">
        <f>IFERROR(__xludf.DUMMYFUNCTION("""COMPUTED_VALUE"""),25.73)</f>
        <v>25.73</v>
      </c>
      <c r="D2477" s="2">
        <f>IFERROR(__xludf.DUMMYFUNCTION("""COMPUTED_VALUE"""),23.34)</f>
        <v>23.34</v>
      </c>
      <c r="E2477" s="2">
        <f>IFERROR(__xludf.DUMMYFUNCTION("""COMPUTED_VALUE"""),24.6)</f>
        <v>24.6</v>
      </c>
      <c r="F2477" s="2">
        <f>IFERROR(__xludf.DUMMYFUNCTION("""COMPUTED_VALUE"""),5362700.0)</f>
        <v>5362700</v>
      </c>
    </row>
    <row r="2478">
      <c r="A2478" s="3">
        <f>IFERROR(__xludf.DUMMYFUNCTION("""COMPUTED_VALUE"""),32798.666666666664)</f>
        <v>32798.66667</v>
      </c>
      <c r="B2478" s="2">
        <f>IFERROR(__xludf.DUMMYFUNCTION("""COMPUTED_VALUE"""),24.42)</f>
        <v>24.42</v>
      </c>
      <c r="C2478" s="2">
        <f>IFERROR(__xludf.DUMMYFUNCTION("""COMPUTED_VALUE"""),24.57)</f>
        <v>24.57</v>
      </c>
      <c r="D2478" s="2">
        <f>IFERROR(__xludf.DUMMYFUNCTION("""COMPUTED_VALUE"""),24.0)</f>
        <v>24</v>
      </c>
      <c r="E2478" s="2">
        <f>IFERROR(__xludf.DUMMYFUNCTION("""COMPUTED_VALUE"""),24.42)</f>
        <v>24.42</v>
      </c>
      <c r="F2478" s="2">
        <f>IFERROR(__xludf.DUMMYFUNCTION("""COMPUTED_VALUE"""),2907100.0)</f>
        <v>2907100</v>
      </c>
    </row>
    <row r="2479">
      <c r="A2479" s="3">
        <f>IFERROR(__xludf.DUMMYFUNCTION("""COMPUTED_VALUE"""),32799.666666666664)</f>
        <v>32799.66667</v>
      </c>
      <c r="B2479" s="2">
        <f>IFERROR(__xludf.DUMMYFUNCTION("""COMPUTED_VALUE"""),24.3)</f>
        <v>24.3</v>
      </c>
      <c r="C2479" s="2">
        <f>IFERROR(__xludf.DUMMYFUNCTION("""COMPUTED_VALUE"""),24.6)</f>
        <v>24.6</v>
      </c>
      <c r="D2479" s="2">
        <f>IFERROR(__xludf.DUMMYFUNCTION("""COMPUTED_VALUE"""),24.24)</f>
        <v>24.24</v>
      </c>
      <c r="E2479" s="2">
        <f>IFERROR(__xludf.DUMMYFUNCTION("""COMPUTED_VALUE"""),24.3)</f>
        <v>24.3</v>
      </c>
      <c r="F2479" s="2">
        <f>IFERROR(__xludf.DUMMYFUNCTION("""COMPUTED_VALUE"""),1563300.0)</f>
        <v>1563300</v>
      </c>
    </row>
    <row r="2480">
      <c r="A2480" s="3">
        <f>IFERROR(__xludf.DUMMYFUNCTION("""COMPUTED_VALUE"""),32800.666666666664)</f>
        <v>32800.66667</v>
      </c>
      <c r="B2480" s="2">
        <f>IFERROR(__xludf.DUMMYFUNCTION("""COMPUTED_VALUE"""),24.86)</f>
        <v>24.86</v>
      </c>
      <c r="C2480" s="2">
        <f>IFERROR(__xludf.DUMMYFUNCTION("""COMPUTED_VALUE"""),25.16)</f>
        <v>25.16</v>
      </c>
      <c r="D2480" s="2">
        <f>IFERROR(__xludf.DUMMYFUNCTION("""COMPUTED_VALUE"""),24.63)</f>
        <v>24.63</v>
      </c>
      <c r="E2480" s="2">
        <f>IFERROR(__xludf.DUMMYFUNCTION("""COMPUTED_VALUE"""),24.86)</f>
        <v>24.86</v>
      </c>
      <c r="F2480" s="2">
        <f>IFERROR(__xludf.DUMMYFUNCTION("""COMPUTED_VALUE"""),2224100.0)</f>
        <v>2224100</v>
      </c>
    </row>
    <row r="2481">
      <c r="A2481" s="3">
        <f>IFERROR(__xludf.DUMMYFUNCTION("""COMPUTED_VALUE"""),32801.666666666664)</f>
        <v>32801.66667</v>
      </c>
      <c r="B2481" s="2">
        <f>IFERROR(__xludf.DUMMYFUNCTION("""COMPUTED_VALUE"""),24.89)</f>
        <v>24.89</v>
      </c>
      <c r="C2481" s="2">
        <f>IFERROR(__xludf.DUMMYFUNCTION("""COMPUTED_VALUE"""),24.98)</f>
        <v>24.98</v>
      </c>
      <c r="D2481" s="2">
        <f>IFERROR(__xludf.DUMMYFUNCTION("""COMPUTED_VALUE"""),24.71)</f>
        <v>24.71</v>
      </c>
      <c r="E2481" s="2">
        <f>IFERROR(__xludf.DUMMYFUNCTION("""COMPUTED_VALUE"""),24.89)</f>
        <v>24.89</v>
      </c>
      <c r="F2481" s="2">
        <f>IFERROR(__xludf.DUMMYFUNCTION("""COMPUTED_VALUE"""),1931600.0)</f>
        <v>1931600</v>
      </c>
    </row>
    <row r="2482">
      <c r="A2482" s="3">
        <f>IFERROR(__xludf.DUMMYFUNCTION("""COMPUTED_VALUE"""),32804.666666666664)</f>
        <v>32804.66667</v>
      </c>
      <c r="B2482" s="2">
        <f>IFERROR(__xludf.DUMMYFUNCTION("""COMPUTED_VALUE"""),24.71)</f>
        <v>24.71</v>
      </c>
      <c r="C2482" s="2">
        <f>IFERROR(__xludf.DUMMYFUNCTION("""COMPUTED_VALUE"""),25.01)</f>
        <v>25.01</v>
      </c>
      <c r="D2482" s="2">
        <f>IFERROR(__xludf.DUMMYFUNCTION("""COMPUTED_VALUE"""),24.69)</f>
        <v>24.69</v>
      </c>
      <c r="E2482" s="2">
        <f>IFERROR(__xludf.DUMMYFUNCTION("""COMPUTED_VALUE"""),24.71)</f>
        <v>24.71</v>
      </c>
      <c r="F2482" s="2">
        <f>IFERROR(__xludf.DUMMYFUNCTION("""COMPUTED_VALUE"""),1450000.0)</f>
        <v>1450000</v>
      </c>
    </row>
    <row r="2483">
      <c r="A2483" s="3">
        <f>IFERROR(__xludf.DUMMYFUNCTION("""COMPUTED_VALUE"""),32805.666666666664)</f>
        <v>32805.66667</v>
      </c>
      <c r="B2483" s="2">
        <f>IFERROR(__xludf.DUMMYFUNCTION("""COMPUTED_VALUE"""),24.6)</f>
        <v>24.6</v>
      </c>
      <c r="C2483" s="2">
        <f>IFERROR(__xludf.DUMMYFUNCTION("""COMPUTED_VALUE"""),24.74)</f>
        <v>24.74</v>
      </c>
      <c r="D2483" s="2">
        <f>IFERROR(__xludf.DUMMYFUNCTION("""COMPUTED_VALUE"""),24.12)</f>
        <v>24.12</v>
      </c>
      <c r="E2483" s="2">
        <f>IFERROR(__xludf.DUMMYFUNCTION("""COMPUTED_VALUE"""),24.6)</f>
        <v>24.6</v>
      </c>
      <c r="F2483" s="2">
        <f>IFERROR(__xludf.DUMMYFUNCTION("""COMPUTED_VALUE"""),2020500.0)</f>
        <v>2020500</v>
      </c>
    </row>
    <row r="2484">
      <c r="A2484" s="3">
        <f>IFERROR(__xludf.DUMMYFUNCTION("""COMPUTED_VALUE"""),32806.666666666664)</f>
        <v>32806.66667</v>
      </c>
      <c r="B2484" s="2">
        <f>IFERROR(__xludf.DUMMYFUNCTION("""COMPUTED_VALUE"""),24.33)</f>
        <v>24.33</v>
      </c>
      <c r="C2484" s="2">
        <f>IFERROR(__xludf.DUMMYFUNCTION("""COMPUTED_VALUE"""),24.54)</f>
        <v>24.54</v>
      </c>
      <c r="D2484" s="2">
        <f>IFERROR(__xludf.DUMMYFUNCTION("""COMPUTED_VALUE"""),24.3)</f>
        <v>24.3</v>
      </c>
      <c r="E2484" s="2">
        <f>IFERROR(__xludf.DUMMYFUNCTION("""COMPUTED_VALUE"""),24.33)</f>
        <v>24.33</v>
      </c>
      <c r="F2484" s="2">
        <f>IFERROR(__xludf.DUMMYFUNCTION("""COMPUTED_VALUE"""),1094300.0)</f>
        <v>1094300</v>
      </c>
    </row>
    <row r="2485">
      <c r="A2485" s="3">
        <f>IFERROR(__xludf.DUMMYFUNCTION("""COMPUTED_VALUE"""),32807.666666666664)</f>
        <v>32807.66667</v>
      </c>
      <c r="B2485" s="2">
        <f>IFERROR(__xludf.DUMMYFUNCTION("""COMPUTED_VALUE"""),24.06)</f>
        <v>24.06</v>
      </c>
      <c r="C2485" s="2">
        <f>IFERROR(__xludf.DUMMYFUNCTION("""COMPUTED_VALUE"""),24.3)</f>
        <v>24.3</v>
      </c>
      <c r="D2485" s="2">
        <f>IFERROR(__xludf.DUMMYFUNCTION("""COMPUTED_VALUE"""),24.0)</f>
        <v>24</v>
      </c>
      <c r="E2485" s="2">
        <f>IFERROR(__xludf.DUMMYFUNCTION("""COMPUTED_VALUE"""),24.06)</f>
        <v>24.06</v>
      </c>
      <c r="F2485" s="2">
        <f>IFERROR(__xludf.DUMMYFUNCTION("""COMPUTED_VALUE"""),1705900.0)</f>
        <v>1705900</v>
      </c>
    </row>
    <row r="2486">
      <c r="A2486" s="3">
        <f>IFERROR(__xludf.DUMMYFUNCTION("""COMPUTED_VALUE"""),32808.666666666664)</f>
        <v>32808.66667</v>
      </c>
      <c r="B2486" s="2">
        <f>IFERROR(__xludf.DUMMYFUNCTION("""COMPUTED_VALUE"""),23.85)</f>
        <v>23.85</v>
      </c>
      <c r="C2486" s="2">
        <f>IFERROR(__xludf.DUMMYFUNCTION("""COMPUTED_VALUE"""),24.09)</f>
        <v>24.09</v>
      </c>
      <c r="D2486" s="2">
        <f>IFERROR(__xludf.DUMMYFUNCTION("""COMPUTED_VALUE"""),23.76)</f>
        <v>23.76</v>
      </c>
      <c r="E2486" s="2">
        <f>IFERROR(__xludf.DUMMYFUNCTION("""COMPUTED_VALUE"""),23.85)</f>
        <v>23.85</v>
      </c>
      <c r="F2486" s="2">
        <f>IFERROR(__xludf.DUMMYFUNCTION("""COMPUTED_VALUE"""),2082100.0)</f>
        <v>2082100</v>
      </c>
    </row>
    <row r="2487">
      <c r="A2487" s="3">
        <f>IFERROR(__xludf.DUMMYFUNCTION("""COMPUTED_VALUE"""),32811.666666666664)</f>
        <v>32811.66667</v>
      </c>
      <c r="B2487" s="2">
        <f>IFERROR(__xludf.DUMMYFUNCTION("""COMPUTED_VALUE"""),23.76)</f>
        <v>23.76</v>
      </c>
      <c r="C2487" s="2">
        <f>IFERROR(__xludf.DUMMYFUNCTION("""COMPUTED_VALUE"""),24.06)</f>
        <v>24.06</v>
      </c>
      <c r="D2487" s="2">
        <f>IFERROR(__xludf.DUMMYFUNCTION("""COMPUTED_VALUE"""),23.73)</f>
        <v>23.73</v>
      </c>
      <c r="E2487" s="2">
        <f>IFERROR(__xludf.DUMMYFUNCTION("""COMPUTED_VALUE"""),23.76)</f>
        <v>23.76</v>
      </c>
      <c r="F2487" s="2">
        <f>IFERROR(__xludf.DUMMYFUNCTION("""COMPUTED_VALUE"""),1185400.0)</f>
        <v>1185400</v>
      </c>
    </row>
    <row r="2488">
      <c r="A2488" s="3">
        <f>IFERROR(__xludf.DUMMYFUNCTION("""COMPUTED_VALUE"""),32812.666666666664)</f>
        <v>32812.66667</v>
      </c>
      <c r="B2488" s="2">
        <f>IFERROR(__xludf.DUMMYFUNCTION("""COMPUTED_VALUE"""),23.94)</f>
        <v>23.94</v>
      </c>
      <c r="C2488" s="2">
        <f>IFERROR(__xludf.DUMMYFUNCTION("""COMPUTED_VALUE"""),24.03)</f>
        <v>24.03</v>
      </c>
      <c r="D2488" s="2">
        <f>IFERROR(__xludf.DUMMYFUNCTION("""COMPUTED_VALUE"""),23.85)</f>
        <v>23.85</v>
      </c>
      <c r="E2488" s="2">
        <f>IFERROR(__xludf.DUMMYFUNCTION("""COMPUTED_VALUE"""),23.94)</f>
        <v>23.94</v>
      </c>
      <c r="F2488" s="2">
        <f>IFERROR(__xludf.DUMMYFUNCTION("""COMPUTED_VALUE"""),1759000.0)</f>
        <v>1759000</v>
      </c>
    </row>
    <row r="2489">
      <c r="A2489" s="3">
        <f>IFERROR(__xludf.DUMMYFUNCTION("""COMPUTED_VALUE"""),32813.666666666664)</f>
        <v>32813.66667</v>
      </c>
      <c r="B2489" s="2">
        <f>IFERROR(__xludf.DUMMYFUNCTION("""COMPUTED_VALUE"""),23.88)</f>
        <v>23.88</v>
      </c>
      <c r="C2489" s="2">
        <f>IFERROR(__xludf.DUMMYFUNCTION("""COMPUTED_VALUE"""),23.97)</f>
        <v>23.97</v>
      </c>
      <c r="D2489" s="2">
        <f>IFERROR(__xludf.DUMMYFUNCTION("""COMPUTED_VALUE"""),23.79)</f>
        <v>23.79</v>
      </c>
      <c r="E2489" s="2">
        <f>IFERROR(__xludf.DUMMYFUNCTION("""COMPUTED_VALUE"""),23.88)</f>
        <v>23.88</v>
      </c>
      <c r="F2489" s="2">
        <f>IFERROR(__xludf.DUMMYFUNCTION("""COMPUTED_VALUE"""),1806100.0)</f>
        <v>1806100</v>
      </c>
    </row>
    <row r="2490">
      <c r="A2490" s="3">
        <f>IFERROR(__xludf.DUMMYFUNCTION("""COMPUTED_VALUE"""),32814.666666666664)</f>
        <v>32814.66667</v>
      </c>
      <c r="B2490" s="2">
        <f>IFERROR(__xludf.DUMMYFUNCTION("""COMPUTED_VALUE"""),23.37)</f>
        <v>23.37</v>
      </c>
      <c r="C2490" s="2">
        <f>IFERROR(__xludf.DUMMYFUNCTION("""COMPUTED_VALUE"""),23.79)</f>
        <v>23.79</v>
      </c>
      <c r="D2490" s="2">
        <f>IFERROR(__xludf.DUMMYFUNCTION("""COMPUTED_VALUE"""),23.1)</f>
        <v>23.1</v>
      </c>
      <c r="E2490" s="2">
        <f>IFERROR(__xludf.DUMMYFUNCTION("""COMPUTED_VALUE"""),23.37)</f>
        <v>23.37</v>
      </c>
      <c r="F2490" s="2">
        <f>IFERROR(__xludf.DUMMYFUNCTION("""COMPUTED_VALUE"""),2694500.0)</f>
        <v>2694500</v>
      </c>
    </row>
    <row r="2491">
      <c r="A2491" s="3">
        <f>IFERROR(__xludf.DUMMYFUNCTION("""COMPUTED_VALUE"""),32815.666666666664)</f>
        <v>32815.66667</v>
      </c>
      <c r="B2491" s="2">
        <f>IFERROR(__xludf.DUMMYFUNCTION("""COMPUTED_VALUE"""),23.52)</f>
        <v>23.52</v>
      </c>
      <c r="C2491" s="2">
        <f>IFERROR(__xludf.DUMMYFUNCTION("""COMPUTED_VALUE"""),23.61)</f>
        <v>23.61</v>
      </c>
      <c r="D2491" s="2">
        <f>IFERROR(__xludf.DUMMYFUNCTION("""COMPUTED_VALUE"""),23.37)</f>
        <v>23.37</v>
      </c>
      <c r="E2491" s="2">
        <f>IFERROR(__xludf.DUMMYFUNCTION("""COMPUTED_VALUE"""),23.52)</f>
        <v>23.52</v>
      </c>
      <c r="F2491" s="2">
        <f>IFERROR(__xludf.DUMMYFUNCTION("""COMPUTED_VALUE"""),1120400.0)</f>
        <v>1120400</v>
      </c>
    </row>
    <row r="2492">
      <c r="A2492" s="3">
        <f>IFERROR(__xludf.DUMMYFUNCTION("""COMPUTED_VALUE"""),32818.666666666664)</f>
        <v>32818.66667</v>
      </c>
      <c r="B2492" s="2">
        <f>IFERROR(__xludf.DUMMYFUNCTION("""COMPUTED_VALUE"""),23.07)</f>
        <v>23.07</v>
      </c>
      <c r="C2492" s="2">
        <f>IFERROR(__xludf.DUMMYFUNCTION("""COMPUTED_VALUE"""),23.43)</f>
        <v>23.43</v>
      </c>
      <c r="D2492" s="2">
        <f>IFERROR(__xludf.DUMMYFUNCTION("""COMPUTED_VALUE"""),23.04)</f>
        <v>23.04</v>
      </c>
      <c r="E2492" s="2">
        <f>IFERROR(__xludf.DUMMYFUNCTION("""COMPUTED_VALUE"""),23.07)</f>
        <v>23.07</v>
      </c>
      <c r="F2492" s="2">
        <f>IFERROR(__xludf.DUMMYFUNCTION("""COMPUTED_VALUE"""),2004600.0)</f>
        <v>2004600</v>
      </c>
    </row>
    <row r="2493">
      <c r="A2493" s="3">
        <f>IFERROR(__xludf.DUMMYFUNCTION("""COMPUTED_VALUE"""),32819.666666666664)</f>
        <v>32819.66667</v>
      </c>
      <c r="B2493" s="2">
        <f>IFERROR(__xludf.DUMMYFUNCTION("""COMPUTED_VALUE"""),23.25)</f>
        <v>23.25</v>
      </c>
      <c r="C2493" s="2">
        <f>IFERROR(__xludf.DUMMYFUNCTION("""COMPUTED_VALUE"""),23.34)</f>
        <v>23.34</v>
      </c>
      <c r="D2493" s="2">
        <f>IFERROR(__xludf.DUMMYFUNCTION("""COMPUTED_VALUE"""),22.98)</f>
        <v>22.98</v>
      </c>
      <c r="E2493" s="2">
        <f>IFERROR(__xludf.DUMMYFUNCTION("""COMPUTED_VALUE"""),23.25)</f>
        <v>23.25</v>
      </c>
      <c r="F2493" s="2">
        <f>IFERROR(__xludf.DUMMYFUNCTION("""COMPUTED_VALUE"""),1499100.0)</f>
        <v>1499100</v>
      </c>
    </row>
    <row r="2494">
      <c r="A2494" s="3">
        <f>IFERROR(__xludf.DUMMYFUNCTION("""COMPUTED_VALUE"""),32820.666666666664)</f>
        <v>32820.66667</v>
      </c>
      <c r="B2494" s="2">
        <f>IFERROR(__xludf.DUMMYFUNCTION("""COMPUTED_VALUE"""),23.1)</f>
        <v>23.1</v>
      </c>
      <c r="C2494" s="2">
        <f>IFERROR(__xludf.DUMMYFUNCTION("""COMPUTED_VALUE"""),23.4)</f>
        <v>23.4</v>
      </c>
      <c r="D2494" s="2">
        <f>IFERROR(__xludf.DUMMYFUNCTION("""COMPUTED_VALUE"""),23.1)</f>
        <v>23.1</v>
      </c>
      <c r="E2494" s="2">
        <f>IFERROR(__xludf.DUMMYFUNCTION("""COMPUTED_VALUE"""),23.1)</f>
        <v>23.1</v>
      </c>
      <c r="F2494" s="2">
        <f>IFERROR(__xludf.DUMMYFUNCTION("""COMPUTED_VALUE"""),1578800.0)</f>
        <v>1578800</v>
      </c>
    </row>
    <row r="2495">
      <c r="A2495" s="3">
        <f>IFERROR(__xludf.DUMMYFUNCTION("""COMPUTED_VALUE"""),32821.666666666664)</f>
        <v>32821.66667</v>
      </c>
      <c r="B2495" s="2">
        <f>IFERROR(__xludf.DUMMYFUNCTION("""COMPUTED_VALUE"""),23.25)</f>
        <v>23.25</v>
      </c>
      <c r="C2495" s="2">
        <f>IFERROR(__xludf.DUMMYFUNCTION("""COMPUTED_VALUE"""),23.28)</f>
        <v>23.28</v>
      </c>
      <c r="D2495" s="2">
        <f>IFERROR(__xludf.DUMMYFUNCTION("""COMPUTED_VALUE"""),23.04)</f>
        <v>23.04</v>
      </c>
      <c r="E2495" s="2">
        <f>IFERROR(__xludf.DUMMYFUNCTION("""COMPUTED_VALUE"""),23.25)</f>
        <v>23.25</v>
      </c>
      <c r="F2495" s="2">
        <f>IFERROR(__xludf.DUMMYFUNCTION("""COMPUTED_VALUE"""),1527900.0)</f>
        <v>1527900</v>
      </c>
    </row>
    <row r="2496">
      <c r="A2496" s="3">
        <f>IFERROR(__xludf.DUMMYFUNCTION("""COMPUTED_VALUE"""),32822.666666666664)</f>
        <v>32822.66667</v>
      </c>
      <c r="B2496" s="2">
        <f>IFERROR(__xludf.DUMMYFUNCTION("""COMPUTED_VALUE"""),23.43)</f>
        <v>23.43</v>
      </c>
      <c r="C2496" s="2">
        <f>IFERROR(__xludf.DUMMYFUNCTION("""COMPUTED_VALUE"""),23.55)</f>
        <v>23.55</v>
      </c>
      <c r="D2496" s="2">
        <f>IFERROR(__xludf.DUMMYFUNCTION("""COMPUTED_VALUE"""),23.31)</f>
        <v>23.31</v>
      </c>
      <c r="E2496" s="2">
        <f>IFERROR(__xludf.DUMMYFUNCTION("""COMPUTED_VALUE"""),23.43)</f>
        <v>23.43</v>
      </c>
      <c r="F2496" s="2">
        <f>IFERROR(__xludf.DUMMYFUNCTION("""COMPUTED_VALUE"""),1327600.0)</f>
        <v>1327600</v>
      </c>
    </row>
    <row r="2497">
      <c r="A2497" s="3">
        <f>IFERROR(__xludf.DUMMYFUNCTION("""COMPUTED_VALUE"""),32825.666666666664)</f>
        <v>32825.66667</v>
      </c>
      <c r="B2497" s="2">
        <f>IFERROR(__xludf.DUMMYFUNCTION("""COMPUTED_VALUE"""),23.46)</f>
        <v>23.46</v>
      </c>
      <c r="C2497" s="2">
        <f>IFERROR(__xludf.DUMMYFUNCTION("""COMPUTED_VALUE"""),23.61)</f>
        <v>23.61</v>
      </c>
      <c r="D2497" s="2">
        <f>IFERROR(__xludf.DUMMYFUNCTION("""COMPUTED_VALUE"""),23.34)</f>
        <v>23.34</v>
      </c>
      <c r="E2497" s="2">
        <f>IFERROR(__xludf.DUMMYFUNCTION("""COMPUTED_VALUE"""),23.46)</f>
        <v>23.46</v>
      </c>
      <c r="F2497" s="2">
        <f>IFERROR(__xludf.DUMMYFUNCTION("""COMPUTED_VALUE"""),1428400.0)</f>
        <v>1428400</v>
      </c>
    </row>
    <row r="2498">
      <c r="A2498" s="3">
        <f>IFERROR(__xludf.DUMMYFUNCTION("""COMPUTED_VALUE"""),32826.666666666664)</f>
        <v>32826.66667</v>
      </c>
      <c r="B2498" s="2">
        <f>IFERROR(__xludf.DUMMYFUNCTION("""COMPUTED_VALUE"""),23.4)</f>
        <v>23.4</v>
      </c>
      <c r="C2498" s="2">
        <f>IFERROR(__xludf.DUMMYFUNCTION("""COMPUTED_VALUE"""),23.7)</f>
        <v>23.7</v>
      </c>
      <c r="D2498" s="2">
        <f>IFERROR(__xludf.DUMMYFUNCTION("""COMPUTED_VALUE"""),23.34)</f>
        <v>23.34</v>
      </c>
      <c r="E2498" s="2">
        <f>IFERROR(__xludf.DUMMYFUNCTION("""COMPUTED_VALUE"""),23.4)</f>
        <v>23.4</v>
      </c>
      <c r="F2498" s="2">
        <f>IFERROR(__xludf.DUMMYFUNCTION("""COMPUTED_VALUE"""),1689900.0)</f>
        <v>1689900</v>
      </c>
    </row>
    <row r="2499">
      <c r="A2499" s="3">
        <f>IFERROR(__xludf.DUMMYFUNCTION("""COMPUTED_VALUE"""),32827.666666666664)</f>
        <v>32827.66667</v>
      </c>
      <c r="B2499" s="2">
        <f>IFERROR(__xludf.DUMMYFUNCTION("""COMPUTED_VALUE"""),23.37)</f>
        <v>23.37</v>
      </c>
      <c r="C2499" s="2">
        <f>IFERROR(__xludf.DUMMYFUNCTION("""COMPUTED_VALUE"""),23.52)</f>
        <v>23.52</v>
      </c>
      <c r="D2499" s="2">
        <f>IFERROR(__xludf.DUMMYFUNCTION("""COMPUTED_VALUE"""),23.19)</f>
        <v>23.19</v>
      </c>
      <c r="E2499" s="2">
        <f>IFERROR(__xludf.DUMMYFUNCTION("""COMPUTED_VALUE"""),23.37)</f>
        <v>23.37</v>
      </c>
      <c r="F2499" s="2">
        <f>IFERROR(__xludf.DUMMYFUNCTION("""COMPUTED_VALUE"""),1305300.0)</f>
        <v>1305300</v>
      </c>
    </row>
    <row r="2500">
      <c r="A2500" s="3">
        <f>IFERROR(__xludf.DUMMYFUNCTION("""COMPUTED_VALUE"""),32828.666666666664)</f>
        <v>32828.66667</v>
      </c>
      <c r="B2500" s="2">
        <f>IFERROR(__xludf.DUMMYFUNCTION("""COMPUTED_VALUE"""),23.19)</f>
        <v>23.19</v>
      </c>
      <c r="C2500" s="2">
        <f>IFERROR(__xludf.DUMMYFUNCTION("""COMPUTED_VALUE"""),23.46)</f>
        <v>23.46</v>
      </c>
      <c r="D2500" s="2">
        <f>IFERROR(__xludf.DUMMYFUNCTION("""COMPUTED_VALUE"""),22.92)</f>
        <v>22.92</v>
      </c>
      <c r="E2500" s="2">
        <f>IFERROR(__xludf.DUMMYFUNCTION("""COMPUTED_VALUE"""),23.19)</f>
        <v>23.19</v>
      </c>
      <c r="F2500" s="2">
        <f>IFERROR(__xludf.DUMMYFUNCTION("""COMPUTED_VALUE"""),1811300.0)</f>
        <v>1811300</v>
      </c>
    </row>
    <row r="2501">
      <c r="A2501" s="3">
        <f>IFERROR(__xludf.DUMMYFUNCTION("""COMPUTED_VALUE"""),32829.666666666664)</f>
        <v>32829.66667</v>
      </c>
      <c r="B2501" s="2">
        <f>IFERROR(__xludf.DUMMYFUNCTION("""COMPUTED_VALUE"""),23.67)</f>
        <v>23.67</v>
      </c>
      <c r="C2501" s="2">
        <f>IFERROR(__xludf.DUMMYFUNCTION("""COMPUTED_VALUE"""),23.82)</f>
        <v>23.82</v>
      </c>
      <c r="D2501" s="2">
        <f>IFERROR(__xludf.DUMMYFUNCTION("""COMPUTED_VALUE"""),23.1)</f>
        <v>23.1</v>
      </c>
      <c r="E2501" s="2">
        <f>IFERROR(__xludf.DUMMYFUNCTION("""COMPUTED_VALUE"""),23.67)</f>
        <v>23.67</v>
      </c>
      <c r="F2501" s="2">
        <f>IFERROR(__xludf.DUMMYFUNCTION("""COMPUTED_VALUE"""),2277300.0)</f>
        <v>2277300</v>
      </c>
    </row>
    <row r="2502">
      <c r="A2502" s="3">
        <f>IFERROR(__xludf.DUMMYFUNCTION("""COMPUTED_VALUE"""),32832.666666666664)</f>
        <v>32832.66667</v>
      </c>
      <c r="B2502" s="2">
        <f>IFERROR(__xludf.DUMMYFUNCTION("""COMPUTED_VALUE"""),23.58)</f>
        <v>23.58</v>
      </c>
      <c r="C2502" s="2">
        <f>IFERROR(__xludf.DUMMYFUNCTION("""COMPUTED_VALUE"""),23.73)</f>
        <v>23.73</v>
      </c>
      <c r="D2502" s="2">
        <f>IFERROR(__xludf.DUMMYFUNCTION("""COMPUTED_VALUE"""),23.4)</f>
        <v>23.4</v>
      </c>
      <c r="E2502" s="2">
        <f>IFERROR(__xludf.DUMMYFUNCTION("""COMPUTED_VALUE"""),23.58)</f>
        <v>23.58</v>
      </c>
      <c r="F2502" s="2">
        <f>IFERROR(__xludf.DUMMYFUNCTION("""COMPUTED_VALUE"""),1249700.0)</f>
        <v>1249700</v>
      </c>
    </row>
    <row r="2503">
      <c r="A2503" s="3">
        <f>IFERROR(__xludf.DUMMYFUNCTION("""COMPUTED_VALUE"""),32833.666666666664)</f>
        <v>32833.66667</v>
      </c>
      <c r="B2503" s="2">
        <f>IFERROR(__xludf.DUMMYFUNCTION("""COMPUTED_VALUE"""),23.76)</f>
        <v>23.76</v>
      </c>
      <c r="C2503" s="2">
        <f>IFERROR(__xludf.DUMMYFUNCTION("""COMPUTED_VALUE"""),23.82)</f>
        <v>23.82</v>
      </c>
      <c r="D2503" s="2">
        <f>IFERROR(__xludf.DUMMYFUNCTION("""COMPUTED_VALUE"""),23.52)</f>
        <v>23.52</v>
      </c>
      <c r="E2503" s="2">
        <f>IFERROR(__xludf.DUMMYFUNCTION("""COMPUTED_VALUE"""),23.76)</f>
        <v>23.76</v>
      </c>
      <c r="F2503" s="2">
        <f>IFERROR(__xludf.DUMMYFUNCTION("""COMPUTED_VALUE"""),1127900.0)</f>
        <v>1127900</v>
      </c>
    </row>
    <row r="2504">
      <c r="A2504" s="3">
        <f>IFERROR(__xludf.DUMMYFUNCTION("""COMPUTED_VALUE"""),32834.666666666664)</f>
        <v>32834.66667</v>
      </c>
      <c r="B2504" s="2">
        <f>IFERROR(__xludf.DUMMYFUNCTION("""COMPUTED_VALUE"""),23.91)</f>
        <v>23.91</v>
      </c>
      <c r="C2504" s="2">
        <f>IFERROR(__xludf.DUMMYFUNCTION("""COMPUTED_VALUE"""),24.0)</f>
        <v>24</v>
      </c>
      <c r="D2504" s="2">
        <f>IFERROR(__xludf.DUMMYFUNCTION("""COMPUTED_VALUE"""),23.73)</f>
        <v>23.73</v>
      </c>
      <c r="E2504" s="2">
        <f>IFERROR(__xludf.DUMMYFUNCTION("""COMPUTED_VALUE"""),23.91)</f>
        <v>23.91</v>
      </c>
      <c r="F2504" s="2">
        <f>IFERROR(__xludf.DUMMYFUNCTION("""COMPUTED_VALUE"""),1129400.0)</f>
        <v>1129400</v>
      </c>
    </row>
    <row r="2505">
      <c r="A2505" s="3">
        <f>IFERROR(__xludf.DUMMYFUNCTION("""COMPUTED_VALUE"""),32836.666666666664)</f>
        <v>32836.66667</v>
      </c>
      <c r="B2505" s="2">
        <f>IFERROR(__xludf.DUMMYFUNCTION("""COMPUTED_VALUE"""),23.97)</f>
        <v>23.97</v>
      </c>
      <c r="C2505" s="2">
        <f>IFERROR(__xludf.DUMMYFUNCTION("""COMPUTED_VALUE"""),24.06)</f>
        <v>24.06</v>
      </c>
      <c r="D2505" s="2">
        <f>IFERROR(__xludf.DUMMYFUNCTION("""COMPUTED_VALUE"""),23.94)</f>
        <v>23.94</v>
      </c>
      <c r="E2505" s="2">
        <f>IFERROR(__xludf.DUMMYFUNCTION("""COMPUTED_VALUE"""),23.97)</f>
        <v>23.97</v>
      </c>
      <c r="F2505" s="2">
        <f>IFERROR(__xludf.DUMMYFUNCTION("""COMPUTED_VALUE"""),638800.0)</f>
        <v>638800</v>
      </c>
    </row>
    <row r="2506">
      <c r="A2506" s="3">
        <f>IFERROR(__xludf.DUMMYFUNCTION("""COMPUTED_VALUE"""),32839.666666666664)</f>
        <v>32839.66667</v>
      </c>
      <c r="B2506" s="2">
        <f>IFERROR(__xludf.DUMMYFUNCTION("""COMPUTED_VALUE"""),23.73)</f>
        <v>23.73</v>
      </c>
      <c r="C2506" s="2">
        <f>IFERROR(__xludf.DUMMYFUNCTION("""COMPUTED_VALUE"""),24.06)</f>
        <v>24.06</v>
      </c>
      <c r="D2506" s="2">
        <f>IFERROR(__xludf.DUMMYFUNCTION("""COMPUTED_VALUE"""),23.46)</f>
        <v>23.46</v>
      </c>
      <c r="E2506" s="2">
        <f>IFERROR(__xludf.DUMMYFUNCTION("""COMPUTED_VALUE"""),23.73)</f>
        <v>23.73</v>
      </c>
      <c r="F2506" s="2">
        <f>IFERROR(__xludf.DUMMYFUNCTION("""COMPUTED_VALUE"""),1245400.0)</f>
        <v>1245400</v>
      </c>
    </row>
    <row r="2507">
      <c r="A2507" s="3">
        <f>IFERROR(__xludf.DUMMYFUNCTION("""COMPUTED_VALUE"""),32840.666666666664)</f>
        <v>32840.66667</v>
      </c>
      <c r="B2507" s="2">
        <f>IFERROR(__xludf.DUMMYFUNCTION("""COMPUTED_VALUE"""),23.61)</f>
        <v>23.61</v>
      </c>
      <c r="C2507" s="2">
        <f>IFERROR(__xludf.DUMMYFUNCTION("""COMPUTED_VALUE"""),23.73)</f>
        <v>23.73</v>
      </c>
      <c r="D2507" s="2">
        <f>IFERROR(__xludf.DUMMYFUNCTION("""COMPUTED_VALUE"""),23.52)</f>
        <v>23.52</v>
      </c>
      <c r="E2507" s="2">
        <f>IFERROR(__xludf.DUMMYFUNCTION("""COMPUTED_VALUE"""),23.61)</f>
        <v>23.61</v>
      </c>
      <c r="F2507" s="2">
        <f>IFERROR(__xludf.DUMMYFUNCTION("""COMPUTED_VALUE"""),1157600.0)</f>
        <v>1157600</v>
      </c>
    </row>
    <row r="2508">
      <c r="A2508" s="3">
        <f>IFERROR(__xludf.DUMMYFUNCTION("""COMPUTED_VALUE"""),32841.666666666664)</f>
        <v>32841.66667</v>
      </c>
      <c r="B2508" s="2">
        <f>IFERROR(__xludf.DUMMYFUNCTION("""COMPUTED_VALUE"""),23.34)</f>
        <v>23.34</v>
      </c>
      <c r="C2508" s="2">
        <f>IFERROR(__xludf.DUMMYFUNCTION("""COMPUTED_VALUE"""),23.55)</f>
        <v>23.55</v>
      </c>
      <c r="D2508" s="2">
        <f>IFERROR(__xludf.DUMMYFUNCTION("""COMPUTED_VALUE"""),23.28)</f>
        <v>23.28</v>
      </c>
      <c r="E2508" s="2">
        <f>IFERROR(__xludf.DUMMYFUNCTION("""COMPUTED_VALUE"""),23.34)</f>
        <v>23.34</v>
      </c>
      <c r="F2508" s="2">
        <f>IFERROR(__xludf.DUMMYFUNCTION("""COMPUTED_VALUE"""),956500.0)</f>
        <v>956500</v>
      </c>
    </row>
    <row r="2509">
      <c r="A2509" s="3">
        <f>IFERROR(__xludf.DUMMYFUNCTION("""COMPUTED_VALUE"""),32842.666666666664)</f>
        <v>32842.66667</v>
      </c>
      <c r="B2509" s="2">
        <f>IFERROR(__xludf.DUMMYFUNCTION("""COMPUTED_VALUE"""),23.31)</f>
        <v>23.31</v>
      </c>
      <c r="C2509" s="2">
        <f>IFERROR(__xludf.DUMMYFUNCTION("""COMPUTED_VALUE"""),23.43)</f>
        <v>23.43</v>
      </c>
      <c r="D2509" s="2">
        <f>IFERROR(__xludf.DUMMYFUNCTION("""COMPUTED_VALUE"""),23.13)</f>
        <v>23.13</v>
      </c>
      <c r="E2509" s="2">
        <f>IFERROR(__xludf.DUMMYFUNCTION("""COMPUTED_VALUE"""),23.31)</f>
        <v>23.31</v>
      </c>
      <c r="F2509" s="2">
        <f>IFERROR(__xludf.DUMMYFUNCTION("""COMPUTED_VALUE"""),1001300.0)</f>
        <v>1001300</v>
      </c>
    </row>
    <row r="2510">
      <c r="A2510" s="3">
        <f>IFERROR(__xludf.DUMMYFUNCTION("""COMPUTED_VALUE"""),32843.666666666664)</f>
        <v>32843.66667</v>
      </c>
      <c r="B2510" s="2">
        <f>IFERROR(__xludf.DUMMYFUNCTION("""COMPUTED_VALUE"""),23.19)</f>
        <v>23.19</v>
      </c>
      <c r="C2510" s="2">
        <f>IFERROR(__xludf.DUMMYFUNCTION("""COMPUTED_VALUE"""),23.43)</f>
        <v>23.43</v>
      </c>
      <c r="D2510" s="2">
        <f>IFERROR(__xludf.DUMMYFUNCTION("""COMPUTED_VALUE"""),23.13)</f>
        <v>23.13</v>
      </c>
      <c r="E2510" s="2">
        <f>IFERROR(__xludf.DUMMYFUNCTION("""COMPUTED_VALUE"""),23.19)</f>
        <v>23.19</v>
      </c>
      <c r="F2510" s="2">
        <f>IFERROR(__xludf.DUMMYFUNCTION("""COMPUTED_VALUE"""),1434200.0)</f>
        <v>1434200</v>
      </c>
    </row>
    <row r="2511">
      <c r="A2511" s="3">
        <f>IFERROR(__xludf.DUMMYFUNCTION("""COMPUTED_VALUE"""),32846.666666666664)</f>
        <v>32846.66667</v>
      </c>
      <c r="B2511" s="2">
        <f>IFERROR(__xludf.DUMMYFUNCTION("""COMPUTED_VALUE"""),23.7)</f>
        <v>23.7</v>
      </c>
      <c r="C2511" s="2">
        <f>IFERROR(__xludf.DUMMYFUNCTION("""COMPUTED_VALUE"""),23.76)</f>
        <v>23.76</v>
      </c>
      <c r="D2511" s="2">
        <f>IFERROR(__xludf.DUMMYFUNCTION("""COMPUTED_VALUE"""),23.25)</f>
        <v>23.25</v>
      </c>
      <c r="E2511" s="2">
        <f>IFERROR(__xludf.DUMMYFUNCTION("""COMPUTED_VALUE"""),23.7)</f>
        <v>23.7</v>
      </c>
      <c r="F2511" s="2">
        <f>IFERROR(__xludf.DUMMYFUNCTION("""COMPUTED_VALUE"""),2026900.0)</f>
        <v>2026900</v>
      </c>
    </row>
    <row r="2512">
      <c r="A2512" s="3">
        <f>IFERROR(__xludf.DUMMYFUNCTION("""COMPUTED_VALUE"""),32847.666666666664)</f>
        <v>32847.66667</v>
      </c>
      <c r="B2512" s="2">
        <f>IFERROR(__xludf.DUMMYFUNCTION("""COMPUTED_VALUE"""),23.79)</f>
        <v>23.79</v>
      </c>
      <c r="C2512" s="2">
        <f>IFERROR(__xludf.DUMMYFUNCTION("""COMPUTED_VALUE"""),24.33)</f>
        <v>24.33</v>
      </c>
      <c r="D2512" s="2">
        <f>IFERROR(__xludf.DUMMYFUNCTION("""COMPUTED_VALUE"""),23.79)</f>
        <v>23.79</v>
      </c>
      <c r="E2512" s="2">
        <f>IFERROR(__xludf.DUMMYFUNCTION("""COMPUTED_VALUE"""),23.79)</f>
        <v>23.79</v>
      </c>
      <c r="F2512" s="2">
        <f>IFERROR(__xludf.DUMMYFUNCTION("""COMPUTED_VALUE"""),2216700.0)</f>
        <v>2216700</v>
      </c>
    </row>
    <row r="2513">
      <c r="A2513" s="3">
        <f>IFERROR(__xludf.DUMMYFUNCTION("""COMPUTED_VALUE"""),32848.666666666664)</f>
        <v>32848.66667</v>
      </c>
      <c r="B2513" s="2">
        <f>IFERROR(__xludf.DUMMYFUNCTION("""COMPUTED_VALUE"""),23.55)</f>
        <v>23.55</v>
      </c>
      <c r="C2513" s="2">
        <f>IFERROR(__xludf.DUMMYFUNCTION("""COMPUTED_VALUE"""),23.7)</f>
        <v>23.7</v>
      </c>
      <c r="D2513" s="2">
        <f>IFERROR(__xludf.DUMMYFUNCTION("""COMPUTED_VALUE"""),23.52)</f>
        <v>23.52</v>
      </c>
      <c r="E2513" s="2">
        <f>IFERROR(__xludf.DUMMYFUNCTION("""COMPUTED_VALUE"""),23.55)</f>
        <v>23.55</v>
      </c>
      <c r="F2513" s="2">
        <f>IFERROR(__xludf.DUMMYFUNCTION("""COMPUTED_VALUE"""),1333800.0)</f>
        <v>1333800</v>
      </c>
    </row>
    <row r="2514">
      <c r="A2514" s="3">
        <f>IFERROR(__xludf.DUMMYFUNCTION("""COMPUTED_VALUE"""),32849.666666666664)</f>
        <v>32849.66667</v>
      </c>
      <c r="B2514" s="2">
        <f>IFERROR(__xludf.DUMMYFUNCTION("""COMPUTED_VALUE"""),23.4)</f>
        <v>23.4</v>
      </c>
      <c r="C2514" s="2">
        <f>IFERROR(__xludf.DUMMYFUNCTION("""COMPUTED_VALUE"""),23.7)</f>
        <v>23.7</v>
      </c>
      <c r="D2514" s="2">
        <f>IFERROR(__xludf.DUMMYFUNCTION("""COMPUTED_VALUE"""),23.31)</f>
        <v>23.31</v>
      </c>
      <c r="E2514" s="2">
        <f>IFERROR(__xludf.DUMMYFUNCTION("""COMPUTED_VALUE"""),23.4)</f>
        <v>23.4</v>
      </c>
      <c r="F2514" s="2">
        <f>IFERROR(__xludf.DUMMYFUNCTION("""COMPUTED_VALUE"""),1381200.0)</f>
        <v>1381200</v>
      </c>
    </row>
    <row r="2515">
      <c r="A2515" s="3">
        <f>IFERROR(__xludf.DUMMYFUNCTION("""COMPUTED_VALUE"""),32850.666666666664)</f>
        <v>32850.66667</v>
      </c>
      <c r="B2515" s="2">
        <f>IFERROR(__xludf.DUMMYFUNCTION("""COMPUTED_VALUE"""),23.13)</f>
        <v>23.13</v>
      </c>
      <c r="C2515" s="2">
        <f>IFERROR(__xludf.DUMMYFUNCTION("""COMPUTED_VALUE"""),23.43)</f>
        <v>23.43</v>
      </c>
      <c r="D2515" s="2">
        <f>IFERROR(__xludf.DUMMYFUNCTION("""COMPUTED_VALUE"""),23.04)</f>
        <v>23.04</v>
      </c>
      <c r="E2515" s="2">
        <f>IFERROR(__xludf.DUMMYFUNCTION("""COMPUTED_VALUE"""),23.13)</f>
        <v>23.13</v>
      </c>
      <c r="F2515" s="2">
        <f>IFERROR(__xludf.DUMMYFUNCTION("""COMPUTED_VALUE"""),1227700.0)</f>
        <v>1227700</v>
      </c>
    </row>
    <row r="2516">
      <c r="A2516" s="3">
        <f>IFERROR(__xludf.DUMMYFUNCTION("""COMPUTED_VALUE"""),32853.666666666664)</f>
        <v>32853.66667</v>
      </c>
      <c r="B2516" s="2">
        <f>IFERROR(__xludf.DUMMYFUNCTION("""COMPUTED_VALUE"""),22.95)</f>
        <v>22.95</v>
      </c>
      <c r="C2516" s="2">
        <f>IFERROR(__xludf.DUMMYFUNCTION("""COMPUTED_VALUE"""),23.1)</f>
        <v>23.1</v>
      </c>
      <c r="D2516" s="2">
        <f>IFERROR(__xludf.DUMMYFUNCTION("""COMPUTED_VALUE"""),22.8)</f>
        <v>22.8</v>
      </c>
      <c r="E2516" s="2">
        <f>IFERROR(__xludf.DUMMYFUNCTION("""COMPUTED_VALUE"""),22.95)</f>
        <v>22.95</v>
      </c>
      <c r="F2516" s="2">
        <f>IFERROR(__xludf.DUMMYFUNCTION("""COMPUTED_VALUE"""),1737200.0)</f>
        <v>1737200</v>
      </c>
    </row>
    <row r="2517">
      <c r="A2517" s="3">
        <f>IFERROR(__xludf.DUMMYFUNCTION("""COMPUTED_VALUE"""),32854.666666666664)</f>
        <v>32854.66667</v>
      </c>
      <c r="B2517" s="2">
        <f>IFERROR(__xludf.DUMMYFUNCTION("""COMPUTED_VALUE"""),23.16)</f>
        <v>23.16</v>
      </c>
      <c r="C2517" s="2">
        <f>IFERROR(__xludf.DUMMYFUNCTION("""COMPUTED_VALUE"""),23.16)</f>
        <v>23.16</v>
      </c>
      <c r="D2517" s="2">
        <f>IFERROR(__xludf.DUMMYFUNCTION("""COMPUTED_VALUE"""),22.83)</f>
        <v>22.83</v>
      </c>
      <c r="E2517" s="2">
        <f>IFERROR(__xludf.DUMMYFUNCTION("""COMPUTED_VALUE"""),23.16)</f>
        <v>23.16</v>
      </c>
      <c r="F2517" s="2">
        <f>IFERROR(__xludf.DUMMYFUNCTION("""COMPUTED_VALUE"""),2102100.0)</f>
        <v>2102100</v>
      </c>
    </row>
    <row r="2518">
      <c r="A2518" s="3">
        <f>IFERROR(__xludf.DUMMYFUNCTION("""COMPUTED_VALUE"""),32855.666666666664)</f>
        <v>32855.66667</v>
      </c>
      <c r="B2518" s="2">
        <f>IFERROR(__xludf.DUMMYFUNCTION("""COMPUTED_VALUE"""),22.89)</f>
        <v>22.89</v>
      </c>
      <c r="C2518" s="2">
        <f>IFERROR(__xludf.DUMMYFUNCTION("""COMPUTED_VALUE"""),23.25)</f>
        <v>23.25</v>
      </c>
      <c r="D2518" s="2">
        <f>IFERROR(__xludf.DUMMYFUNCTION("""COMPUTED_VALUE"""),22.83)</f>
        <v>22.83</v>
      </c>
      <c r="E2518" s="2">
        <f>IFERROR(__xludf.DUMMYFUNCTION("""COMPUTED_VALUE"""),22.89)</f>
        <v>22.89</v>
      </c>
      <c r="F2518" s="2">
        <f>IFERROR(__xludf.DUMMYFUNCTION("""COMPUTED_VALUE"""),1333900.0)</f>
        <v>1333900</v>
      </c>
    </row>
    <row r="2519">
      <c r="A2519" s="3">
        <f>IFERROR(__xludf.DUMMYFUNCTION("""COMPUTED_VALUE"""),32856.666666666664)</f>
        <v>32856.66667</v>
      </c>
      <c r="B2519" s="2">
        <f>IFERROR(__xludf.DUMMYFUNCTION("""COMPUTED_VALUE"""),22.72)</f>
        <v>22.72</v>
      </c>
      <c r="C2519" s="2">
        <f>IFERROR(__xludf.DUMMYFUNCTION("""COMPUTED_VALUE"""),22.8)</f>
        <v>22.8</v>
      </c>
      <c r="D2519" s="2">
        <f>IFERROR(__xludf.DUMMYFUNCTION("""COMPUTED_VALUE"""),22.69)</f>
        <v>22.69</v>
      </c>
      <c r="E2519" s="2">
        <f>IFERROR(__xludf.DUMMYFUNCTION("""COMPUTED_VALUE"""),22.72)</f>
        <v>22.72</v>
      </c>
      <c r="F2519" s="2">
        <f>IFERROR(__xludf.DUMMYFUNCTION("""COMPUTED_VALUE"""),1386500.0)</f>
        <v>1386500</v>
      </c>
    </row>
    <row r="2520">
      <c r="A2520" s="3">
        <f>IFERROR(__xludf.DUMMYFUNCTION("""COMPUTED_VALUE"""),32857.666666666664)</f>
        <v>32857.66667</v>
      </c>
      <c r="B2520" s="2">
        <f>IFERROR(__xludf.DUMMYFUNCTION("""COMPUTED_VALUE"""),22.69)</f>
        <v>22.69</v>
      </c>
      <c r="C2520" s="2">
        <f>IFERROR(__xludf.DUMMYFUNCTION("""COMPUTED_VALUE"""),22.74)</f>
        <v>22.74</v>
      </c>
      <c r="D2520" s="2">
        <f>IFERROR(__xludf.DUMMYFUNCTION("""COMPUTED_VALUE"""),22.45)</f>
        <v>22.45</v>
      </c>
      <c r="E2520" s="2">
        <f>IFERROR(__xludf.DUMMYFUNCTION("""COMPUTED_VALUE"""),22.69)</f>
        <v>22.69</v>
      </c>
      <c r="F2520" s="2">
        <f>IFERROR(__xludf.DUMMYFUNCTION("""COMPUTED_VALUE"""),3043400.0)</f>
        <v>3043400</v>
      </c>
    </row>
    <row r="2521">
      <c r="A2521" s="3">
        <f>IFERROR(__xludf.DUMMYFUNCTION("""COMPUTED_VALUE"""),32860.666666666664)</f>
        <v>32860.66667</v>
      </c>
      <c r="B2521" s="2">
        <f>IFERROR(__xludf.DUMMYFUNCTION("""COMPUTED_VALUE"""),22.36)</f>
        <v>22.36</v>
      </c>
      <c r="C2521" s="2">
        <f>IFERROR(__xludf.DUMMYFUNCTION("""COMPUTED_VALUE"""),22.74)</f>
        <v>22.74</v>
      </c>
      <c r="D2521" s="2">
        <f>IFERROR(__xludf.DUMMYFUNCTION("""COMPUTED_VALUE"""),22.3)</f>
        <v>22.3</v>
      </c>
      <c r="E2521" s="2">
        <f>IFERROR(__xludf.DUMMYFUNCTION("""COMPUTED_VALUE"""),22.36)</f>
        <v>22.36</v>
      </c>
      <c r="F2521" s="2">
        <f>IFERROR(__xludf.DUMMYFUNCTION("""COMPUTED_VALUE"""),1911900.0)</f>
        <v>1911900</v>
      </c>
    </row>
    <row r="2522">
      <c r="A2522" s="3">
        <f>IFERROR(__xludf.DUMMYFUNCTION("""COMPUTED_VALUE"""),32861.666666666664)</f>
        <v>32861.66667</v>
      </c>
      <c r="B2522" s="2">
        <f>IFERROR(__xludf.DUMMYFUNCTION("""COMPUTED_VALUE"""),22.63)</f>
        <v>22.63</v>
      </c>
      <c r="C2522" s="2">
        <f>IFERROR(__xludf.DUMMYFUNCTION("""COMPUTED_VALUE"""),22.74)</f>
        <v>22.74</v>
      </c>
      <c r="D2522" s="2">
        <f>IFERROR(__xludf.DUMMYFUNCTION("""COMPUTED_VALUE"""),22.3)</f>
        <v>22.3</v>
      </c>
      <c r="E2522" s="2">
        <f>IFERROR(__xludf.DUMMYFUNCTION("""COMPUTED_VALUE"""),22.63)</f>
        <v>22.63</v>
      </c>
      <c r="F2522" s="2">
        <f>IFERROR(__xludf.DUMMYFUNCTION("""COMPUTED_VALUE"""),2242200.0)</f>
        <v>2242200</v>
      </c>
    </row>
    <row r="2523">
      <c r="A2523" s="3">
        <f>IFERROR(__xludf.DUMMYFUNCTION("""COMPUTED_VALUE"""),32862.666666666664)</f>
        <v>32862.66667</v>
      </c>
      <c r="B2523" s="2">
        <f>IFERROR(__xludf.DUMMYFUNCTION("""COMPUTED_VALUE"""),22.6)</f>
        <v>22.6</v>
      </c>
      <c r="C2523" s="2">
        <f>IFERROR(__xludf.DUMMYFUNCTION("""COMPUTED_VALUE"""),22.72)</f>
        <v>22.72</v>
      </c>
      <c r="D2523" s="2">
        <f>IFERROR(__xludf.DUMMYFUNCTION("""COMPUTED_VALUE"""),22.42)</f>
        <v>22.42</v>
      </c>
      <c r="E2523" s="2">
        <f>IFERROR(__xludf.DUMMYFUNCTION("""COMPUTED_VALUE"""),22.6)</f>
        <v>22.6</v>
      </c>
      <c r="F2523" s="2">
        <f>IFERROR(__xludf.DUMMYFUNCTION("""COMPUTED_VALUE"""),1516300.0)</f>
        <v>1516300</v>
      </c>
    </row>
    <row r="2524">
      <c r="A2524" s="3">
        <f>IFERROR(__xludf.DUMMYFUNCTION("""COMPUTED_VALUE"""),32863.666666666664)</f>
        <v>32863.66667</v>
      </c>
      <c r="B2524" s="2">
        <f>IFERROR(__xludf.DUMMYFUNCTION("""COMPUTED_VALUE"""),22.72)</f>
        <v>22.72</v>
      </c>
      <c r="C2524" s="2">
        <f>IFERROR(__xludf.DUMMYFUNCTION("""COMPUTED_VALUE"""),22.77)</f>
        <v>22.77</v>
      </c>
      <c r="D2524" s="2">
        <f>IFERROR(__xludf.DUMMYFUNCTION("""COMPUTED_VALUE"""),22.54)</f>
        <v>22.54</v>
      </c>
      <c r="E2524" s="2">
        <f>IFERROR(__xludf.DUMMYFUNCTION("""COMPUTED_VALUE"""),22.72)</f>
        <v>22.72</v>
      </c>
      <c r="F2524" s="2">
        <f>IFERROR(__xludf.DUMMYFUNCTION("""COMPUTED_VALUE"""),1805400.0)</f>
        <v>1805400</v>
      </c>
    </row>
    <row r="2525">
      <c r="A2525" s="3">
        <f>IFERROR(__xludf.DUMMYFUNCTION("""COMPUTED_VALUE"""),32864.666666666664)</f>
        <v>32864.66667</v>
      </c>
      <c r="B2525" s="2">
        <f>IFERROR(__xludf.DUMMYFUNCTION("""COMPUTED_VALUE"""),22.77)</f>
        <v>22.77</v>
      </c>
      <c r="C2525" s="2">
        <f>IFERROR(__xludf.DUMMYFUNCTION("""COMPUTED_VALUE"""),22.86)</f>
        <v>22.86</v>
      </c>
      <c r="D2525" s="2">
        <f>IFERROR(__xludf.DUMMYFUNCTION("""COMPUTED_VALUE"""),22.72)</f>
        <v>22.72</v>
      </c>
      <c r="E2525" s="2">
        <f>IFERROR(__xludf.DUMMYFUNCTION("""COMPUTED_VALUE"""),22.77)</f>
        <v>22.77</v>
      </c>
      <c r="F2525" s="2">
        <f>IFERROR(__xludf.DUMMYFUNCTION("""COMPUTED_VALUE"""),1005100.0)</f>
        <v>1005100</v>
      </c>
    </row>
    <row r="2526">
      <c r="A2526" s="3">
        <f>IFERROR(__xludf.DUMMYFUNCTION("""COMPUTED_VALUE"""),32868.666666666664)</f>
        <v>32868.66667</v>
      </c>
      <c r="B2526" s="2">
        <f>IFERROR(__xludf.DUMMYFUNCTION("""COMPUTED_VALUE"""),22.57)</f>
        <v>22.57</v>
      </c>
      <c r="C2526" s="2">
        <f>IFERROR(__xludf.DUMMYFUNCTION("""COMPUTED_VALUE"""),22.8)</f>
        <v>22.8</v>
      </c>
      <c r="D2526" s="2">
        <f>IFERROR(__xludf.DUMMYFUNCTION("""COMPUTED_VALUE"""),22.51)</f>
        <v>22.51</v>
      </c>
      <c r="E2526" s="2">
        <f>IFERROR(__xludf.DUMMYFUNCTION("""COMPUTED_VALUE"""),22.57)</f>
        <v>22.57</v>
      </c>
      <c r="F2526" s="2">
        <f>IFERROR(__xludf.DUMMYFUNCTION("""COMPUTED_VALUE"""),682200.0)</f>
        <v>682200</v>
      </c>
    </row>
    <row r="2527">
      <c r="A2527" s="3">
        <f>IFERROR(__xludf.DUMMYFUNCTION("""COMPUTED_VALUE"""),32869.666666666664)</f>
        <v>32869.66667</v>
      </c>
      <c r="B2527" s="2">
        <f>IFERROR(__xludf.DUMMYFUNCTION("""COMPUTED_VALUE"""),22.63)</f>
        <v>22.63</v>
      </c>
      <c r="C2527" s="2">
        <f>IFERROR(__xludf.DUMMYFUNCTION("""COMPUTED_VALUE"""),22.77)</f>
        <v>22.77</v>
      </c>
      <c r="D2527" s="2">
        <f>IFERROR(__xludf.DUMMYFUNCTION("""COMPUTED_VALUE"""),22.57)</f>
        <v>22.57</v>
      </c>
      <c r="E2527" s="2">
        <f>IFERROR(__xludf.DUMMYFUNCTION("""COMPUTED_VALUE"""),22.63)</f>
        <v>22.63</v>
      </c>
      <c r="F2527" s="2">
        <f>IFERROR(__xludf.DUMMYFUNCTION("""COMPUTED_VALUE"""),1165700.0)</f>
        <v>1165700</v>
      </c>
    </row>
    <row r="2528">
      <c r="A2528" s="3">
        <f>IFERROR(__xludf.DUMMYFUNCTION("""COMPUTED_VALUE"""),32870.666666666664)</f>
        <v>32870.66667</v>
      </c>
      <c r="B2528" s="2">
        <f>IFERROR(__xludf.DUMMYFUNCTION("""COMPUTED_VALUE"""),22.48)</f>
        <v>22.48</v>
      </c>
      <c r="C2528" s="2">
        <f>IFERROR(__xludf.DUMMYFUNCTION("""COMPUTED_VALUE"""),22.72)</f>
        <v>22.72</v>
      </c>
      <c r="D2528" s="2">
        <f>IFERROR(__xludf.DUMMYFUNCTION("""COMPUTED_VALUE"""),22.45)</f>
        <v>22.45</v>
      </c>
      <c r="E2528" s="2">
        <f>IFERROR(__xludf.DUMMYFUNCTION("""COMPUTED_VALUE"""),22.48)</f>
        <v>22.48</v>
      </c>
      <c r="F2528" s="2">
        <f>IFERROR(__xludf.DUMMYFUNCTION("""COMPUTED_VALUE"""),1192300.0)</f>
        <v>1192300</v>
      </c>
    </row>
    <row r="2529">
      <c r="A2529" s="3">
        <f>IFERROR(__xludf.DUMMYFUNCTION("""COMPUTED_VALUE"""),32871.666666666664)</f>
        <v>32871.66667</v>
      </c>
      <c r="B2529" s="2">
        <f>IFERROR(__xludf.DUMMYFUNCTION("""COMPUTED_VALUE"""),22.48)</f>
        <v>22.48</v>
      </c>
      <c r="C2529" s="2">
        <f>IFERROR(__xludf.DUMMYFUNCTION("""COMPUTED_VALUE"""),22.6)</f>
        <v>22.6</v>
      </c>
      <c r="D2529" s="2">
        <f>IFERROR(__xludf.DUMMYFUNCTION("""COMPUTED_VALUE"""),22.45)</f>
        <v>22.45</v>
      </c>
      <c r="E2529" s="2">
        <f>IFERROR(__xludf.DUMMYFUNCTION("""COMPUTED_VALUE"""),22.48)</f>
        <v>22.48</v>
      </c>
      <c r="F2529" s="2">
        <f>IFERROR(__xludf.DUMMYFUNCTION("""COMPUTED_VALUE"""),1636500.0)</f>
        <v>1636500</v>
      </c>
    </row>
    <row r="2530">
      <c r="A2530" s="3">
        <f>IFERROR(__xludf.DUMMYFUNCTION("""COMPUTED_VALUE"""),32875.666666666664)</f>
        <v>32875.66667</v>
      </c>
      <c r="B2530" s="2">
        <f>IFERROR(__xludf.DUMMYFUNCTION("""COMPUTED_VALUE"""),23.4)</f>
        <v>23.4</v>
      </c>
      <c r="C2530" s="2">
        <f>IFERROR(__xludf.DUMMYFUNCTION("""COMPUTED_VALUE"""),23.43)</f>
        <v>23.43</v>
      </c>
      <c r="D2530" s="2">
        <f>IFERROR(__xludf.DUMMYFUNCTION("""COMPUTED_VALUE"""),22.57)</f>
        <v>22.57</v>
      </c>
      <c r="E2530" s="2">
        <f>IFERROR(__xludf.DUMMYFUNCTION("""COMPUTED_VALUE"""),23.4)</f>
        <v>23.4</v>
      </c>
      <c r="F2530" s="2">
        <f>IFERROR(__xludf.DUMMYFUNCTION("""COMPUTED_VALUE"""),1760400.0)</f>
        <v>1760400</v>
      </c>
    </row>
    <row r="2531">
      <c r="A2531" s="3">
        <f>IFERROR(__xludf.DUMMYFUNCTION("""COMPUTED_VALUE"""),32876.666666666664)</f>
        <v>32876.66667</v>
      </c>
      <c r="B2531" s="2">
        <f>IFERROR(__xludf.DUMMYFUNCTION("""COMPUTED_VALUE"""),23.61)</f>
        <v>23.61</v>
      </c>
      <c r="C2531" s="2">
        <f>IFERROR(__xludf.DUMMYFUNCTION("""COMPUTED_VALUE"""),23.76)</f>
        <v>23.76</v>
      </c>
      <c r="D2531" s="2">
        <f>IFERROR(__xludf.DUMMYFUNCTION("""COMPUTED_VALUE"""),23.49)</f>
        <v>23.49</v>
      </c>
      <c r="E2531" s="2">
        <f>IFERROR(__xludf.DUMMYFUNCTION("""COMPUTED_VALUE"""),23.61)</f>
        <v>23.61</v>
      </c>
      <c r="F2531" s="2">
        <f>IFERROR(__xludf.DUMMYFUNCTION("""COMPUTED_VALUE"""),2366000.0)</f>
        <v>2366000</v>
      </c>
    </row>
    <row r="2532">
      <c r="A2532" s="3">
        <f>IFERROR(__xludf.DUMMYFUNCTION("""COMPUTED_VALUE"""),32877.666666666664)</f>
        <v>32877.66667</v>
      </c>
      <c r="B2532" s="2">
        <f>IFERROR(__xludf.DUMMYFUNCTION("""COMPUTED_VALUE"""),23.88)</f>
        <v>23.88</v>
      </c>
      <c r="C2532" s="2">
        <f>IFERROR(__xludf.DUMMYFUNCTION("""COMPUTED_VALUE"""),23.97)</f>
        <v>23.97</v>
      </c>
      <c r="D2532" s="2">
        <f>IFERROR(__xludf.DUMMYFUNCTION("""COMPUTED_VALUE"""),23.61)</f>
        <v>23.61</v>
      </c>
      <c r="E2532" s="2">
        <f>IFERROR(__xludf.DUMMYFUNCTION("""COMPUTED_VALUE"""),23.88)</f>
        <v>23.88</v>
      </c>
      <c r="F2532" s="2">
        <f>IFERROR(__xludf.DUMMYFUNCTION("""COMPUTED_VALUE"""),2418700.0)</f>
        <v>2418700</v>
      </c>
    </row>
    <row r="2533">
      <c r="A2533" s="3">
        <f>IFERROR(__xludf.DUMMYFUNCTION("""COMPUTED_VALUE"""),32878.666666666664)</f>
        <v>32878.66667</v>
      </c>
      <c r="B2533" s="2">
        <f>IFERROR(__xludf.DUMMYFUNCTION("""COMPUTED_VALUE"""),23.82)</f>
        <v>23.82</v>
      </c>
      <c r="C2533" s="2">
        <f>IFERROR(__xludf.DUMMYFUNCTION("""COMPUTED_VALUE"""),24.27)</f>
        <v>24.27</v>
      </c>
      <c r="D2533" s="2">
        <f>IFERROR(__xludf.DUMMYFUNCTION("""COMPUTED_VALUE"""),23.76)</f>
        <v>23.76</v>
      </c>
      <c r="E2533" s="2">
        <f>IFERROR(__xludf.DUMMYFUNCTION("""COMPUTED_VALUE"""),23.82)</f>
        <v>23.82</v>
      </c>
      <c r="F2533" s="2">
        <f>IFERROR(__xludf.DUMMYFUNCTION("""COMPUTED_VALUE"""),1892500.0)</f>
        <v>1892500</v>
      </c>
    </row>
    <row r="2534">
      <c r="A2534" s="3">
        <f>IFERROR(__xludf.DUMMYFUNCTION("""COMPUTED_VALUE"""),32881.666666666664)</f>
        <v>32881.66667</v>
      </c>
      <c r="B2534" s="2">
        <f>IFERROR(__xludf.DUMMYFUNCTION("""COMPUTED_VALUE"""),23.97)</f>
        <v>23.97</v>
      </c>
      <c r="C2534" s="2">
        <f>IFERROR(__xludf.DUMMYFUNCTION("""COMPUTED_VALUE"""),24.09)</f>
        <v>24.09</v>
      </c>
      <c r="D2534" s="2">
        <f>IFERROR(__xludf.DUMMYFUNCTION("""COMPUTED_VALUE"""),23.7)</f>
        <v>23.7</v>
      </c>
      <c r="E2534" s="2">
        <f>IFERROR(__xludf.DUMMYFUNCTION("""COMPUTED_VALUE"""),23.97)</f>
        <v>23.97</v>
      </c>
      <c r="F2534" s="2">
        <f>IFERROR(__xludf.DUMMYFUNCTION("""COMPUTED_VALUE"""),1156300.0)</f>
        <v>1156300</v>
      </c>
    </row>
    <row r="2535">
      <c r="A2535" s="3">
        <f>IFERROR(__xludf.DUMMYFUNCTION("""COMPUTED_VALUE"""),32882.666666666664)</f>
        <v>32882.66667</v>
      </c>
      <c r="B2535" s="2">
        <f>IFERROR(__xludf.DUMMYFUNCTION("""COMPUTED_VALUE"""),23.73)</f>
        <v>23.73</v>
      </c>
      <c r="C2535" s="2">
        <f>IFERROR(__xludf.DUMMYFUNCTION("""COMPUTED_VALUE"""),24.18)</f>
        <v>24.18</v>
      </c>
      <c r="D2535" s="2">
        <f>IFERROR(__xludf.DUMMYFUNCTION("""COMPUTED_VALUE"""),23.73)</f>
        <v>23.73</v>
      </c>
      <c r="E2535" s="2">
        <f>IFERROR(__xludf.DUMMYFUNCTION("""COMPUTED_VALUE"""),23.73)</f>
        <v>23.73</v>
      </c>
      <c r="F2535" s="2">
        <f>IFERROR(__xludf.DUMMYFUNCTION("""COMPUTED_VALUE"""),1762000.0)</f>
        <v>1762000</v>
      </c>
    </row>
    <row r="2536">
      <c r="A2536" s="3">
        <f>IFERROR(__xludf.DUMMYFUNCTION("""COMPUTED_VALUE"""),32883.666666666664)</f>
        <v>32883.66667</v>
      </c>
      <c r="B2536" s="2">
        <f>IFERROR(__xludf.DUMMYFUNCTION("""COMPUTED_VALUE"""),23.64)</f>
        <v>23.64</v>
      </c>
      <c r="C2536" s="2">
        <f>IFERROR(__xludf.DUMMYFUNCTION("""COMPUTED_VALUE"""),23.88)</f>
        <v>23.88</v>
      </c>
      <c r="D2536" s="2">
        <f>IFERROR(__xludf.DUMMYFUNCTION("""COMPUTED_VALUE"""),23.55)</f>
        <v>23.55</v>
      </c>
      <c r="E2536" s="2">
        <f>IFERROR(__xludf.DUMMYFUNCTION("""COMPUTED_VALUE"""),23.64)</f>
        <v>23.64</v>
      </c>
      <c r="F2536" s="2">
        <f>IFERROR(__xludf.DUMMYFUNCTION("""COMPUTED_VALUE"""),1486400.0)</f>
        <v>1486400</v>
      </c>
    </row>
    <row r="2537">
      <c r="A2537" s="3">
        <f>IFERROR(__xludf.DUMMYFUNCTION("""COMPUTED_VALUE"""),32884.666666666664)</f>
        <v>32884.66667</v>
      </c>
      <c r="B2537" s="2">
        <f>IFERROR(__xludf.DUMMYFUNCTION("""COMPUTED_VALUE"""),23.85)</f>
        <v>23.85</v>
      </c>
      <c r="C2537" s="2">
        <f>IFERROR(__xludf.DUMMYFUNCTION("""COMPUTED_VALUE"""),23.97)</f>
        <v>23.97</v>
      </c>
      <c r="D2537" s="2">
        <f>IFERROR(__xludf.DUMMYFUNCTION("""COMPUTED_VALUE"""),23.73)</f>
        <v>23.73</v>
      </c>
      <c r="E2537" s="2">
        <f>IFERROR(__xludf.DUMMYFUNCTION("""COMPUTED_VALUE"""),23.85)</f>
        <v>23.85</v>
      </c>
      <c r="F2537" s="2">
        <f>IFERROR(__xludf.DUMMYFUNCTION("""COMPUTED_VALUE"""),1493900.0)</f>
        <v>1493900</v>
      </c>
    </row>
    <row r="2538">
      <c r="A2538" s="3">
        <f>IFERROR(__xludf.DUMMYFUNCTION("""COMPUTED_VALUE"""),32885.666666666664)</f>
        <v>32885.66667</v>
      </c>
      <c r="B2538" s="2">
        <f>IFERROR(__xludf.DUMMYFUNCTION("""COMPUTED_VALUE"""),23.37)</f>
        <v>23.37</v>
      </c>
      <c r="C2538" s="2">
        <f>IFERROR(__xludf.DUMMYFUNCTION("""COMPUTED_VALUE"""),23.7)</f>
        <v>23.7</v>
      </c>
      <c r="D2538" s="2">
        <f>IFERROR(__xludf.DUMMYFUNCTION("""COMPUTED_VALUE"""),23.31)</f>
        <v>23.31</v>
      </c>
      <c r="E2538" s="2">
        <f>IFERROR(__xludf.DUMMYFUNCTION("""COMPUTED_VALUE"""),23.37)</f>
        <v>23.37</v>
      </c>
      <c r="F2538" s="2">
        <f>IFERROR(__xludf.DUMMYFUNCTION("""COMPUTED_VALUE"""),1347700.0)</f>
        <v>1347700</v>
      </c>
    </row>
    <row r="2539">
      <c r="A2539" s="3">
        <f>IFERROR(__xludf.DUMMYFUNCTION("""COMPUTED_VALUE"""),32888.666666666664)</f>
        <v>32888.66667</v>
      </c>
      <c r="B2539" s="2">
        <f>IFERROR(__xludf.DUMMYFUNCTION("""COMPUTED_VALUE"""),23.43)</f>
        <v>23.43</v>
      </c>
      <c r="C2539" s="2">
        <f>IFERROR(__xludf.DUMMYFUNCTION("""COMPUTED_VALUE"""),23.49)</f>
        <v>23.49</v>
      </c>
      <c r="D2539" s="2">
        <f>IFERROR(__xludf.DUMMYFUNCTION("""COMPUTED_VALUE"""),23.22)</f>
        <v>23.22</v>
      </c>
      <c r="E2539" s="2">
        <f>IFERROR(__xludf.DUMMYFUNCTION("""COMPUTED_VALUE"""),23.43)</f>
        <v>23.43</v>
      </c>
      <c r="F2539" s="2">
        <f>IFERROR(__xludf.DUMMYFUNCTION("""COMPUTED_VALUE"""),1008900.0)</f>
        <v>1008900</v>
      </c>
    </row>
    <row r="2540">
      <c r="A2540" s="3">
        <f>IFERROR(__xludf.DUMMYFUNCTION("""COMPUTED_VALUE"""),32889.666666666664)</f>
        <v>32889.66667</v>
      </c>
      <c r="B2540" s="2">
        <f>IFERROR(__xludf.DUMMYFUNCTION("""COMPUTED_VALUE"""),23.91)</f>
        <v>23.91</v>
      </c>
      <c r="C2540" s="2">
        <f>IFERROR(__xludf.DUMMYFUNCTION("""COMPUTED_VALUE"""),23.97)</f>
        <v>23.97</v>
      </c>
      <c r="D2540" s="2">
        <f>IFERROR(__xludf.DUMMYFUNCTION("""COMPUTED_VALUE"""),23.28)</f>
        <v>23.28</v>
      </c>
      <c r="E2540" s="2">
        <f>IFERROR(__xludf.DUMMYFUNCTION("""COMPUTED_VALUE"""),23.91)</f>
        <v>23.91</v>
      </c>
      <c r="F2540" s="2">
        <f>IFERROR(__xludf.DUMMYFUNCTION("""COMPUTED_VALUE"""),2055100.0)</f>
        <v>2055100</v>
      </c>
    </row>
    <row r="2541">
      <c r="A2541" s="3">
        <f>IFERROR(__xludf.DUMMYFUNCTION("""COMPUTED_VALUE"""),32890.666666666664)</f>
        <v>32890.66667</v>
      </c>
      <c r="B2541" s="2">
        <f>IFERROR(__xludf.DUMMYFUNCTION("""COMPUTED_VALUE"""),23.61)</f>
        <v>23.61</v>
      </c>
      <c r="C2541" s="2">
        <f>IFERROR(__xludf.DUMMYFUNCTION("""COMPUTED_VALUE"""),24.09)</f>
        <v>24.09</v>
      </c>
      <c r="D2541" s="2">
        <f>IFERROR(__xludf.DUMMYFUNCTION("""COMPUTED_VALUE"""),23.49)</f>
        <v>23.49</v>
      </c>
      <c r="E2541" s="2">
        <f>IFERROR(__xludf.DUMMYFUNCTION("""COMPUTED_VALUE"""),23.61)</f>
        <v>23.61</v>
      </c>
      <c r="F2541" s="2">
        <f>IFERROR(__xludf.DUMMYFUNCTION("""COMPUTED_VALUE"""),2231500.0)</f>
        <v>2231500</v>
      </c>
    </row>
    <row r="2542">
      <c r="A2542" s="3">
        <f>IFERROR(__xludf.DUMMYFUNCTION("""COMPUTED_VALUE"""),32891.666666666664)</f>
        <v>32891.66667</v>
      </c>
      <c r="B2542" s="2">
        <f>IFERROR(__xludf.DUMMYFUNCTION("""COMPUTED_VALUE"""),23.76)</f>
        <v>23.76</v>
      </c>
      <c r="C2542" s="2">
        <f>IFERROR(__xludf.DUMMYFUNCTION("""COMPUTED_VALUE"""),23.79)</f>
        <v>23.79</v>
      </c>
      <c r="D2542" s="2">
        <f>IFERROR(__xludf.DUMMYFUNCTION("""COMPUTED_VALUE"""),23.31)</f>
        <v>23.31</v>
      </c>
      <c r="E2542" s="2">
        <f>IFERROR(__xludf.DUMMYFUNCTION("""COMPUTED_VALUE"""),23.76)</f>
        <v>23.76</v>
      </c>
      <c r="F2542" s="2">
        <f>IFERROR(__xludf.DUMMYFUNCTION("""COMPUTED_VALUE"""),1731600.0)</f>
        <v>1731600</v>
      </c>
    </row>
    <row r="2543">
      <c r="A2543" s="3">
        <f>IFERROR(__xludf.DUMMYFUNCTION("""COMPUTED_VALUE"""),32892.666666666664)</f>
        <v>32892.66667</v>
      </c>
      <c r="B2543" s="2">
        <f>IFERROR(__xludf.DUMMYFUNCTION("""COMPUTED_VALUE"""),23.55)</f>
        <v>23.55</v>
      </c>
      <c r="C2543" s="2">
        <f>IFERROR(__xludf.DUMMYFUNCTION("""COMPUTED_VALUE"""),23.85)</f>
        <v>23.85</v>
      </c>
      <c r="D2543" s="2">
        <f>IFERROR(__xludf.DUMMYFUNCTION("""COMPUTED_VALUE"""),23.52)</f>
        <v>23.52</v>
      </c>
      <c r="E2543" s="2">
        <f>IFERROR(__xludf.DUMMYFUNCTION("""COMPUTED_VALUE"""),23.55)</f>
        <v>23.55</v>
      </c>
      <c r="F2543" s="2">
        <f>IFERROR(__xludf.DUMMYFUNCTION("""COMPUTED_VALUE"""),1648700.0)</f>
        <v>1648700</v>
      </c>
    </row>
    <row r="2544">
      <c r="A2544" s="3">
        <f>IFERROR(__xludf.DUMMYFUNCTION("""COMPUTED_VALUE"""),32895.666666666664)</f>
        <v>32895.66667</v>
      </c>
      <c r="B2544" s="2">
        <f>IFERROR(__xludf.DUMMYFUNCTION("""COMPUTED_VALUE"""),23.07)</f>
        <v>23.07</v>
      </c>
      <c r="C2544" s="2">
        <f>IFERROR(__xludf.DUMMYFUNCTION("""COMPUTED_VALUE"""),23.67)</f>
        <v>23.67</v>
      </c>
      <c r="D2544" s="2">
        <f>IFERROR(__xludf.DUMMYFUNCTION("""COMPUTED_VALUE"""),23.04)</f>
        <v>23.04</v>
      </c>
      <c r="E2544" s="2">
        <f>IFERROR(__xludf.DUMMYFUNCTION("""COMPUTED_VALUE"""),23.07)</f>
        <v>23.07</v>
      </c>
      <c r="F2544" s="2">
        <f>IFERROR(__xludf.DUMMYFUNCTION("""COMPUTED_VALUE"""),1720700.0)</f>
        <v>1720700</v>
      </c>
    </row>
    <row r="2545">
      <c r="A2545" s="3">
        <f>IFERROR(__xludf.DUMMYFUNCTION("""COMPUTED_VALUE"""),32896.666666666664)</f>
        <v>32896.66667</v>
      </c>
      <c r="B2545" s="2">
        <f>IFERROR(__xludf.DUMMYFUNCTION("""COMPUTED_VALUE"""),23.1)</f>
        <v>23.1</v>
      </c>
      <c r="C2545" s="2">
        <f>IFERROR(__xludf.DUMMYFUNCTION("""COMPUTED_VALUE"""),23.46)</f>
        <v>23.46</v>
      </c>
      <c r="D2545" s="2">
        <f>IFERROR(__xludf.DUMMYFUNCTION("""COMPUTED_VALUE"""),23.07)</f>
        <v>23.07</v>
      </c>
      <c r="E2545" s="2">
        <f>IFERROR(__xludf.DUMMYFUNCTION("""COMPUTED_VALUE"""),23.1)</f>
        <v>23.1</v>
      </c>
      <c r="F2545" s="2">
        <f>IFERROR(__xludf.DUMMYFUNCTION("""COMPUTED_VALUE"""),1480700.0)</f>
        <v>1480700</v>
      </c>
    </row>
    <row r="2546">
      <c r="A2546" s="3">
        <f>IFERROR(__xludf.DUMMYFUNCTION("""COMPUTED_VALUE"""),32897.666666666664)</f>
        <v>32897.66667</v>
      </c>
      <c r="B2546" s="2">
        <f>IFERROR(__xludf.DUMMYFUNCTION("""COMPUTED_VALUE"""),23.28)</f>
        <v>23.28</v>
      </c>
      <c r="C2546" s="2">
        <f>IFERROR(__xludf.DUMMYFUNCTION("""COMPUTED_VALUE"""),23.37)</f>
        <v>23.37</v>
      </c>
      <c r="D2546" s="2">
        <f>IFERROR(__xludf.DUMMYFUNCTION("""COMPUTED_VALUE"""),22.8)</f>
        <v>22.8</v>
      </c>
      <c r="E2546" s="2">
        <f>IFERROR(__xludf.DUMMYFUNCTION("""COMPUTED_VALUE"""),23.28)</f>
        <v>23.28</v>
      </c>
      <c r="F2546" s="2">
        <f>IFERROR(__xludf.DUMMYFUNCTION("""COMPUTED_VALUE"""),2455100.0)</f>
        <v>2455100</v>
      </c>
    </row>
    <row r="2547">
      <c r="A2547" s="3">
        <f>IFERROR(__xludf.DUMMYFUNCTION("""COMPUTED_VALUE"""),32898.666666666664)</f>
        <v>32898.66667</v>
      </c>
      <c r="B2547" s="2">
        <f>IFERROR(__xludf.DUMMYFUNCTION("""COMPUTED_VALUE"""),22.89)</f>
        <v>22.89</v>
      </c>
      <c r="C2547" s="2">
        <f>IFERROR(__xludf.DUMMYFUNCTION("""COMPUTED_VALUE"""),23.37)</f>
        <v>23.37</v>
      </c>
      <c r="D2547" s="2">
        <f>IFERROR(__xludf.DUMMYFUNCTION("""COMPUTED_VALUE"""),22.69)</f>
        <v>22.69</v>
      </c>
      <c r="E2547" s="2">
        <f>IFERROR(__xludf.DUMMYFUNCTION("""COMPUTED_VALUE"""),22.89)</f>
        <v>22.89</v>
      </c>
      <c r="F2547" s="2">
        <f>IFERROR(__xludf.DUMMYFUNCTION("""COMPUTED_VALUE"""),1698100.0)</f>
        <v>1698100</v>
      </c>
    </row>
    <row r="2548">
      <c r="A2548" s="3">
        <f>IFERROR(__xludf.DUMMYFUNCTION("""COMPUTED_VALUE"""),32899.666666666664)</f>
        <v>32899.66667</v>
      </c>
      <c r="B2548" s="2">
        <f>IFERROR(__xludf.DUMMYFUNCTION("""COMPUTED_VALUE"""),23.13)</f>
        <v>23.13</v>
      </c>
      <c r="C2548" s="2">
        <f>IFERROR(__xludf.DUMMYFUNCTION("""COMPUTED_VALUE"""),23.22)</f>
        <v>23.22</v>
      </c>
      <c r="D2548" s="2">
        <f>IFERROR(__xludf.DUMMYFUNCTION("""COMPUTED_VALUE"""),22.72)</f>
        <v>22.72</v>
      </c>
      <c r="E2548" s="2">
        <f>IFERROR(__xludf.DUMMYFUNCTION("""COMPUTED_VALUE"""),23.13)</f>
        <v>23.13</v>
      </c>
      <c r="F2548" s="2">
        <f>IFERROR(__xludf.DUMMYFUNCTION("""COMPUTED_VALUE"""),1836400.0)</f>
        <v>1836400</v>
      </c>
    </row>
    <row r="2549">
      <c r="A2549" s="3">
        <f>IFERROR(__xludf.DUMMYFUNCTION("""COMPUTED_VALUE"""),32902.666666666664)</f>
        <v>32902.66667</v>
      </c>
      <c r="B2549" s="2">
        <f>IFERROR(__xludf.DUMMYFUNCTION("""COMPUTED_VALUE"""),23.22)</f>
        <v>23.22</v>
      </c>
      <c r="C2549" s="2">
        <f>IFERROR(__xludf.DUMMYFUNCTION("""COMPUTED_VALUE"""),23.34)</f>
        <v>23.34</v>
      </c>
      <c r="D2549" s="2">
        <f>IFERROR(__xludf.DUMMYFUNCTION("""COMPUTED_VALUE"""),22.8)</f>
        <v>22.8</v>
      </c>
      <c r="E2549" s="2">
        <f>IFERROR(__xludf.DUMMYFUNCTION("""COMPUTED_VALUE"""),23.22)</f>
        <v>23.22</v>
      </c>
      <c r="F2549" s="2">
        <f>IFERROR(__xludf.DUMMYFUNCTION("""COMPUTED_VALUE"""),1288400.0)</f>
        <v>1288400</v>
      </c>
    </row>
    <row r="2550">
      <c r="A2550" s="3">
        <f>IFERROR(__xludf.DUMMYFUNCTION("""COMPUTED_VALUE"""),32903.666666666664)</f>
        <v>32903.66667</v>
      </c>
      <c r="B2550" s="2">
        <f>IFERROR(__xludf.DUMMYFUNCTION("""COMPUTED_VALUE"""),23.22)</f>
        <v>23.22</v>
      </c>
      <c r="C2550" s="2">
        <f>IFERROR(__xludf.DUMMYFUNCTION("""COMPUTED_VALUE"""),23.31)</f>
        <v>23.31</v>
      </c>
      <c r="D2550" s="2">
        <f>IFERROR(__xludf.DUMMYFUNCTION("""COMPUTED_VALUE"""),22.86)</f>
        <v>22.86</v>
      </c>
      <c r="E2550" s="2">
        <f>IFERROR(__xludf.DUMMYFUNCTION("""COMPUTED_VALUE"""),23.22)</f>
        <v>23.22</v>
      </c>
      <c r="F2550" s="2">
        <f>IFERROR(__xludf.DUMMYFUNCTION("""COMPUTED_VALUE"""),2161700.0)</f>
        <v>2161700</v>
      </c>
    </row>
    <row r="2551">
      <c r="A2551" s="3">
        <f>IFERROR(__xludf.DUMMYFUNCTION("""COMPUTED_VALUE"""),32904.666666666664)</f>
        <v>32904.66667</v>
      </c>
      <c r="B2551" s="2">
        <f>IFERROR(__xludf.DUMMYFUNCTION("""COMPUTED_VALUE"""),23.55)</f>
        <v>23.55</v>
      </c>
      <c r="C2551" s="2">
        <f>IFERROR(__xludf.DUMMYFUNCTION("""COMPUTED_VALUE"""),23.55)</f>
        <v>23.55</v>
      </c>
      <c r="D2551" s="2">
        <f>IFERROR(__xludf.DUMMYFUNCTION("""COMPUTED_VALUE"""),23.31)</f>
        <v>23.31</v>
      </c>
      <c r="E2551" s="2">
        <f>IFERROR(__xludf.DUMMYFUNCTION("""COMPUTED_VALUE"""),23.55)</f>
        <v>23.55</v>
      </c>
      <c r="F2551" s="2">
        <f>IFERROR(__xludf.DUMMYFUNCTION("""COMPUTED_VALUE"""),2113000.0)</f>
        <v>2113000</v>
      </c>
    </row>
    <row r="2552">
      <c r="A2552" s="3">
        <f>IFERROR(__xludf.DUMMYFUNCTION("""COMPUTED_VALUE"""),32905.666666666664)</f>
        <v>32905.66667</v>
      </c>
      <c r="B2552" s="2">
        <f>IFERROR(__xludf.DUMMYFUNCTION("""COMPUTED_VALUE"""),23.34)</f>
        <v>23.34</v>
      </c>
      <c r="C2552" s="2">
        <f>IFERROR(__xludf.DUMMYFUNCTION("""COMPUTED_VALUE"""),23.82)</f>
        <v>23.82</v>
      </c>
      <c r="D2552" s="2">
        <f>IFERROR(__xludf.DUMMYFUNCTION("""COMPUTED_VALUE"""),23.34)</f>
        <v>23.34</v>
      </c>
      <c r="E2552" s="2">
        <f>IFERROR(__xludf.DUMMYFUNCTION("""COMPUTED_VALUE"""),23.34)</f>
        <v>23.34</v>
      </c>
      <c r="F2552" s="2">
        <f>IFERROR(__xludf.DUMMYFUNCTION("""COMPUTED_VALUE"""),1725900.0)</f>
        <v>1725900</v>
      </c>
    </row>
    <row r="2553">
      <c r="A2553" s="3">
        <f>IFERROR(__xludf.DUMMYFUNCTION("""COMPUTED_VALUE"""),32906.666666666664)</f>
        <v>32906.66667</v>
      </c>
      <c r="B2553" s="2">
        <f>IFERROR(__xludf.DUMMYFUNCTION("""COMPUTED_VALUE"""),23.49)</f>
        <v>23.49</v>
      </c>
      <c r="C2553" s="2">
        <f>IFERROR(__xludf.DUMMYFUNCTION("""COMPUTED_VALUE"""),23.58)</f>
        <v>23.58</v>
      </c>
      <c r="D2553" s="2">
        <f>IFERROR(__xludf.DUMMYFUNCTION("""COMPUTED_VALUE"""),23.37)</f>
        <v>23.37</v>
      </c>
      <c r="E2553" s="2">
        <f>IFERROR(__xludf.DUMMYFUNCTION("""COMPUTED_VALUE"""),23.49)</f>
        <v>23.49</v>
      </c>
      <c r="F2553" s="2">
        <f>IFERROR(__xludf.DUMMYFUNCTION("""COMPUTED_VALUE"""),1516100.0)</f>
        <v>1516100</v>
      </c>
    </row>
    <row r="2554">
      <c r="A2554" s="3">
        <f>IFERROR(__xludf.DUMMYFUNCTION("""COMPUTED_VALUE"""),32909.666666666664)</f>
        <v>32909.66667</v>
      </c>
      <c r="B2554" s="2">
        <f>IFERROR(__xludf.DUMMYFUNCTION("""COMPUTED_VALUE"""),23.79)</f>
        <v>23.79</v>
      </c>
      <c r="C2554" s="2">
        <f>IFERROR(__xludf.DUMMYFUNCTION("""COMPUTED_VALUE"""),23.85)</f>
        <v>23.85</v>
      </c>
      <c r="D2554" s="2">
        <f>IFERROR(__xludf.DUMMYFUNCTION("""COMPUTED_VALUE"""),23.28)</f>
        <v>23.28</v>
      </c>
      <c r="E2554" s="2">
        <f>IFERROR(__xludf.DUMMYFUNCTION("""COMPUTED_VALUE"""),23.79)</f>
        <v>23.79</v>
      </c>
      <c r="F2554" s="2">
        <f>IFERROR(__xludf.DUMMYFUNCTION("""COMPUTED_VALUE"""),1324800.0)</f>
        <v>1324800</v>
      </c>
    </row>
    <row r="2555">
      <c r="A2555" s="3">
        <f>IFERROR(__xludf.DUMMYFUNCTION("""COMPUTED_VALUE"""),32910.666666666664)</f>
        <v>32910.66667</v>
      </c>
      <c r="B2555" s="2">
        <f>IFERROR(__xludf.DUMMYFUNCTION("""COMPUTED_VALUE"""),24.12)</f>
        <v>24.12</v>
      </c>
      <c r="C2555" s="2">
        <f>IFERROR(__xludf.DUMMYFUNCTION("""COMPUTED_VALUE"""),24.21)</f>
        <v>24.21</v>
      </c>
      <c r="D2555" s="2">
        <f>IFERROR(__xludf.DUMMYFUNCTION("""COMPUTED_VALUE"""),23.76)</f>
        <v>23.76</v>
      </c>
      <c r="E2555" s="2">
        <f>IFERROR(__xludf.DUMMYFUNCTION("""COMPUTED_VALUE"""),24.12)</f>
        <v>24.12</v>
      </c>
      <c r="F2555" s="2">
        <f>IFERROR(__xludf.DUMMYFUNCTION("""COMPUTED_VALUE"""),2702000.0)</f>
        <v>2702000</v>
      </c>
    </row>
    <row r="2556">
      <c r="A2556" s="3">
        <f>IFERROR(__xludf.DUMMYFUNCTION("""COMPUTED_VALUE"""),32911.666666666664)</f>
        <v>32911.66667</v>
      </c>
      <c r="B2556" s="2">
        <f>IFERROR(__xludf.DUMMYFUNCTION("""COMPUTED_VALUE"""),24.63)</f>
        <v>24.63</v>
      </c>
      <c r="C2556" s="2">
        <f>IFERROR(__xludf.DUMMYFUNCTION("""COMPUTED_VALUE"""),24.77)</f>
        <v>24.77</v>
      </c>
      <c r="D2556" s="2">
        <f>IFERROR(__xludf.DUMMYFUNCTION("""COMPUTED_VALUE"""),24.03)</f>
        <v>24.03</v>
      </c>
      <c r="E2556" s="2">
        <f>IFERROR(__xludf.DUMMYFUNCTION("""COMPUTED_VALUE"""),24.63)</f>
        <v>24.63</v>
      </c>
      <c r="F2556" s="2">
        <f>IFERROR(__xludf.DUMMYFUNCTION("""COMPUTED_VALUE"""),3014400.0)</f>
        <v>3014400</v>
      </c>
    </row>
    <row r="2557">
      <c r="A2557" s="3">
        <f>IFERROR(__xludf.DUMMYFUNCTION("""COMPUTED_VALUE"""),32912.666666666664)</f>
        <v>32912.66667</v>
      </c>
      <c r="B2557" s="2">
        <f>IFERROR(__xludf.DUMMYFUNCTION("""COMPUTED_VALUE"""),24.54)</f>
        <v>24.54</v>
      </c>
      <c r="C2557" s="2">
        <f>IFERROR(__xludf.DUMMYFUNCTION("""COMPUTED_VALUE"""),24.8)</f>
        <v>24.8</v>
      </c>
      <c r="D2557" s="2">
        <f>IFERROR(__xludf.DUMMYFUNCTION("""COMPUTED_VALUE"""),24.33)</f>
        <v>24.33</v>
      </c>
      <c r="E2557" s="2">
        <f>IFERROR(__xludf.DUMMYFUNCTION("""COMPUTED_VALUE"""),24.54)</f>
        <v>24.54</v>
      </c>
      <c r="F2557" s="2">
        <f>IFERROR(__xludf.DUMMYFUNCTION("""COMPUTED_VALUE"""),1983000.0)</f>
        <v>1983000</v>
      </c>
    </row>
    <row r="2558">
      <c r="A2558" s="3">
        <f>IFERROR(__xludf.DUMMYFUNCTION("""COMPUTED_VALUE"""),32913.666666666664)</f>
        <v>32913.66667</v>
      </c>
      <c r="B2558" s="2">
        <f>IFERROR(__xludf.DUMMYFUNCTION("""COMPUTED_VALUE"""),24.48)</f>
        <v>24.48</v>
      </c>
      <c r="C2558" s="2">
        <f>IFERROR(__xludf.DUMMYFUNCTION("""COMPUTED_VALUE"""),24.66)</f>
        <v>24.66</v>
      </c>
      <c r="D2558" s="2">
        <f>IFERROR(__xludf.DUMMYFUNCTION("""COMPUTED_VALUE"""),24.36)</f>
        <v>24.36</v>
      </c>
      <c r="E2558" s="2">
        <f>IFERROR(__xludf.DUMMYFUNCTION("""COMPUTED_VALUE"""),24.48)</f>
        <v>24.48</v>
      </c>
      <c r="F2558" s="2">
        <f>IFERROR(__xludf.DUMMYFUNCTION("""COMPUTED_VALUE"""),1265400.0)</f>
        <v>1265400</v>
      </c>
    </row>
    <row r="2559">
      <c r="A2559" s="3">
        <f>IFERROR(__xludf.DUMMYFUNCTION("""COMPUTED_VALUE"""),32916.666666666664)</f>
        <v>32916.66667</v>
      </c>
      <c r="B2559" s="2">
        <f>IFERROR(__xludf.DUMMYFUNCTION("""COMPUTED_VALUE"""),24.15)</f>
        <v>24.15</v>
      </c>
      <c r="C2559" s="2">
        <f>IFERROR(__xludf.DUMMYFUNCTION("""COMPUTED_VALUE"""),24.45)</f>
        <v>24.45</v>
      </c>
      <c r="D2559" s="2">
        <f>IFERROR(__xludf.DUMMYFUNCTION("""COMPUTED_VALUE"""),24.03)</f>
        <v>24.03</v>
      </c>
      <c r="E2559" s="2">
        <f>IFERROR(__xludf.DUMMYFUNCTION("""COMPUTED_VALUE"""),24.15)</f>
        <v>24.15</v>
      </c>
      <c r="F2559" s="2">
        <f>IFERROR(__xludf.DUMMYFUNCTION("""COMPUTED_VALUE"""),1191600.0)</f>
        <v>1191600</v>
      </c>
    </row>
    <row r="2560">
      <c r="A2560" s="3">
        <f>IFERROR(__xludf.DUMMYFUNCTION("""COMPUTED_VALUE"""),32917.666666666664)</f>
        <v>32917.66667</v>
      </c>
      <c r="B2560" s="2">
        <f>IFERROR(__xludf.DUMMYFUNCTION("""COMPUTED_VALUE"""),24.66)</f>
        <v>24.66</v>
      </c>
      <c r="C2560" s="2">
        <f>IFERROR(__xludf.DUMMYFUNCTION("""COMPUTED_VALUE"""),24.66)</f>
        <v>24.66</v>
      </c>
      <c r="D2560" s="2">
        <f>IFERROR(__xludf.DUMMYFUNCTION("""COMPUTED_VALUE"""),24.18)</f>
        <v>24.18</v>
      </c>
      <c r="E2560" s="2">
        <f>IFERROR(__xludf.DUMMYFUNCTION("""COMPUTED_VALUE"""),24.66)</f>
        <v>24.66</v>
      </c>
      <c r="F2560" s="2">
        <f>IFERROR(__xludf.DUMMYFUNCTION("""COMPUTED_VALUE"""),1792100.0)</f>
        <v>1792100</v>
      </c>
    </row>
    <row r="2561">
      <c r="A2561" s="3">
        <f>IFERROR(__xludf.DUMMYFUNCTION("""COMPUTED_VALUE"""),32918.666666666664)</f>
        <v>32918.66667</v>
      </c>
      <c r="B2561" s="2">
        <f>IFERROR(__xludf.DUMMYFUNCTION("""COMPUTED_VALUE"""),24.77)</f>
        <v>24.77</v>
      </c>
      <c r="C2561" s="2">
        <f>IFERROR(__xludf.DUMMYFUNCTION("""COMPUTED_VALUE"""),24.89)</f>
        <v>24.89</v>
      </c>
      <c r="D2561" s="2">
        <f>IFERROR(__xludf.DUMMYFUNCTION("""COMPUTED_VALUE"""),24.66)</f>
        <v>24.66</v>
      </c>
      <c r="E2561" s="2">
        <f>IFERROR(__xludf.DUMMYFUNCTION("""COMPUTED_VALUE"""),24.77)</f>
        <v>24.77</v>
      </c>
      <c r="F2561" s="2">
        <f>IFERROR(__xludf.DUMMYFUNCTION("""COMPUTED_VALUE"""),1501700.0)</f>
        <v>1501700</v>
      </c>
    </row>
    <row r="2562">
      <c r="A2562" s="3">
        <f>IFERROR(__xludf.DUMMYFUNCTION("""COMPUTED_VALUE"""),32919.666666666664)</f>
        <v>32919.66667</v>
      </c>
      <c r="B2562" s="2">
        <f>IFERROR(__xludf.DUMMYFUNCTION("""COMPUTED_VALUE"""),24.77)</f>
        <v>24.77</v>
      </c>
      <c r="C2562" s="2">
        <f>IFERROR(__xludf.DUMMYFUNCTION("""COMPUTED_VALUE"""),24.98)</f>
        <v>24.98</v>
      </c>
      <c r="D2562" s="2">
        <f>IFERROR(__xludf.DUMMYFUNCTION("""COMPUTED_VALUE"""),24.77)</f>
        <v>24.77</v>
      </c>
      <c r="E2562" s="2">
        <f>IFERROR(__xludf.DUMMYFUNCTION("""COMPUTED_VALUE"""),24.77)</f>
        <v>24.77</v>
      </c>
      <c r="F2562" s="2">
        <f>IFERROR(__xludf.DUMMYFUNCTION("""COMPUTED_VALUE"""),1426000.0)</f>
        <v>1426000</v>
      </c>
    </row>
    <row r="2563">
      <c r="A2563" s="3">
        <f>IFERROR(__xludf.DUMMYFUNCTION("""COMPUTED_VALUE"""),32920.666666666664)</f>
        <v>32920.66667</v>
      </c>
      <c r="B2563" s="2">
        <f>IFERROR(__xludf.DUMMYFUNCTION("""COMPUTED_VALUE"""),24.71)</f>
        <v>24.71</v>
      </c>
      <c r="C2563" s="2">
        <f>IFERROR(__xludf.DUMMYFUNCTION("""COMPUTED_VALUE"""),24.95)</f>
        <v>24.95</v>
      </c>
      <c r="D2563" s="2">
        <f>IFERROR(__xludf.DUMMYFUNCTION("""COMPUTED_VALUE"""),24.69)</f>
        <v>24.69</v>
      </c>
      <c r="E2563" s="2">
        <f>IFERROR(__xludf.DUMMYFUNCTION("""COMPUTED_VALUE"""),24.71)</f>
        <v>24.71</v>
      </c>
      <c r="F2563" s="2">
        <f>IFERROR(__xludf.DUMMYFUNCTION("""COMPUTED_VALUE"""),2201400.0)</f>
        <v>2201400</v>
      </c>
    </row>
    <row r="2564">
      <c r="A2564" s="3">
        <f>IFERROR(__xludf.DUMMYFUNCTION("""COMPUTED_VALUE"""),32924.666666666664)</f>
        <v>32924.66667</v>
      </c>
      <c r="B2564" s="2">
        <f>IFERROR(__xludf.DUMMYFUNCTION("""COMPUTED_VALUE"""),24.57)</f>
        <v>24.57</v>
      </c>
      <c r="C2564" s="2">
        <f>IFERROR(__xludf.DUMMYFUNCTION("""COMPUTED_VALUE"""),24.63)</f>
        <v>24.63</v>
      </c>
      <c r="D2564" s="2">
        <f>IFERROR(__xludf.DUMMYFUNCTION("""COMPUTED_VALUE"""),24.42)</f>
        <v>24.42</v>
      </c>
      <c r="E2564" s="2">
        <f>IFERROR(__xludf.DUMMYFUNCTION("""COMPUTED_VALUE"""),24.57)</f>
        <v>24.57</v>
      </c>
      <c r="F2564" s="2">
        <f>IFERROR(__xludf.DUMMYFUNCTION("""COMPUTED_VALUE"""),1399900.0)</f>
        <v>1399900</v>
      </c>
    </row>
    <row r="2565">
      <c r="A2565" s="3">
        <f>IFERROR(__xludf.DUMMYFUNCTION("""COMPUTED_VALUE"""),32925.666666666664)</f>
        <v>32925.66667</v>
      </c>
      <c r="B2565" s="2">
        <f>IFERROR(__xludf.DUMMYFUNCTION("""COMPUTED_VALUE"""),25.04)</f>
        <v>25.04</v>
      </c>
      <c r="C2565" s="2">
        <f>IFERROR(__xludf.DUMMYFUNCTION("""COMPUTED_VALUE"""),25.1)</f>
        <v>25.1</v>
      </c>
      <c r="D2565" s="2">
        <f>IFERROR(__xludf.DUMMYFUNCTION("""COMPUTED_VALUE"""),24.36)</f>
        <v>24.36</v>
      </c>
      <c r="E2565" s="2">
        <f>IFERROR(__xludf.DUMMYFUNCTION("""COMPUTED_VALUE"""),25.04)</f>
        <v>25.04</v>
      </c>
      <c r="F2565" s="2">
        <f>IFERROR(__xludf.DUMMYFUNCTION("""COMPUTED_VALUE"""),2024100.0)</f>
        <v>2024100</v>
      </c>
    </row>
    <row r="2566">
      <c r="A2566" s="3">
        <f>IFERROR(__xludf.DUMMYFUNCTION("""COMPUTED_VALUE"""),32926.666666666664)</f>
        <v>32926.66667</v>
      </c>
      <c r="B2566" s="2">
        <f>IFERROR(__xludf.DUMMYFUNCTION("""COMPUTED_VALUE"""),24.66)</f>
        <v>24.66</v>
      </c>
      <c r="C2566" s="2">
        <f>IFERROR(__xludf.DUMMYFUNCTION("""COMPUTED_VALUE"""),25.19)</f>
        <v>25.19</v>
      </c>
      <c r="D2566" s="2">
        <f>IFERROR(__xludf.DUMMYFUNCTION("""COMPUTED_VALUE"""),24.66)</f>
        <v>24.66</v>
      </c>
      <c r="E2566" s="2">
        <f>IFERROR(__xludf.DUMMYFUNCTION("""COMPUTED_VALUE"""),24.66)</f>
        <v>24.66</v>
      </c>
      <c r="F2566" s="2">
        <f>IFERROR(__xludf.DUMMYFUNCTION("""COMPUTED_VALUE"""),2296400.0)</f>
        <v>2296400</v>
      </c>
    </row>
    <row r="2567">
      <c r="A2567" s="3">
        <f>IFERROR(__xludf.DUMMYFUNCTION("""COMPUTED_VALUE"""),32927.666666666664)</f>
        <v>32927.66667</v>
      </c>
      <c r="B2567" s="2">
        <f>IFERROR(__xludf.DUMMYFUNCTION("""COMPUTED_VALUE"""),24.51)</f>
        <v>24.51</v>
      </c>
      <c r="C2567" s="2">
        <f>IFERROR(__xludf.DUMMYFUNCTION("""COMPUTED_VALUE"""),24.8)</f>
        <v>24.8</v>
      </c>
      <c r="D2567" s="2">
        <f>IFERROR(__xludf.DUMMYFUNCTION("""COMPUTED_VALUE"""),24.36)</f>
        <v>24.36</v>
      </c>
      <c r="E2567" s="2">
        <f>IFERROR(__xludf.DUMMYFUNCTION("""COMPUTED_VALUE"""),24.51)</f>
        <v>24.51</v>
      </c>
      <c r="F2567" s="2">
        <f>IFERROR(__xludf.DUMMYFUNCTION("""COMPUTED_VALUE"""),1562900.0)</f>
        <v>1562900</v>
      </c>
    </row>
    <row r="2568">
      <c r="A2568" s="3">
        <f>IFERROR(__xludf.DUMMYFUNCTION("""COMPUTED_VALUE"""),32930.666666666664)</f>
        <v>32930.66667</v>
      </c>
      <c r="B2568" s="2">
        <f>IFERROR(__xludf.DUMMYFUNCTION("""COMPUTED_VALUE"""),24.83)</f>
        <v>24.83</v>
      </c>
      <c r="C2568" s="2">
        <f>IFERROR(__xludf.DUMMYFUNCTION("""COMPUTED_VALUE"""),24.86)</f>
        <v>24.86</v>
      </c>
      <c r="D2568" s="2">
        <f>IFERROR(__xludf.DUMMYFUNCTION("""COMPUTED_VALUE"""),24.48)</f>
        <v>24.48</v>
      </c>
      <c r="E2568" s="2">
        <f>IFERROR(__xludf.DUMMYFUNCTION("""COMPUTED_VALUE"""),24.83)</f>
        <v>24.83</v>
      </c>
      <c r="F2568" s="2">
        <f>IFERROR(__xludf.DUMMYFUNCTION("""COMPUTED_VALUE"""),1371500.0)</f>
        <v>1371500</v>
      </c>
    </row>
    <row r="2569">
      <c r="A2569" s="3">
        <f>IFERROR(__xludf.DUMMYFUNCTION("""COMPUTED_VALUE"""),32931.666666666664)</f>
        <v>32931.66667</v>
      </c>
      <c r="B2569" s="2">
        <f>IFERROR(__xludf.DUMMYFUNCTION("""COMPUTED_VALUE"""),24.77)</f>
        <v>24.77</v>
      </c>
      <c r="C2569" s="2">
        <f>IFERROR(__xludf.DUMMYFUNCTION("""COMPUTED_VALUE"""),25.19)</f>
        <v>25.19</v>
      </c>
      <c r="D2569" s="2">
        <f>IFERROR(__xludf.DUMMYFUNCTION("""COMPUTED_VALUE"""),24.74)</f>
        <v>24.74</v>
      </c>
      <c r="E2569" s="2">
        <f>IFERROR(__xludf.DUMMYFUNCTION("""COMPUTED_VALUE"""),24.77)</f>
        <v>24.77</v>
      </c>
      <c r="F2569" s="2">
        <f>IFERROR(__xludf.DUMMYFUNCTION("""COMPUTED_VALUE"""),1722700.0)</f>
        <v>1722700</v>
      </c>
    </row>
    <row r="2570">
      <c r="A2570" s="3">
        <f>IFERROR(__xludf.DUMMYFUNCTION("""COMPUTED_VALUE"""),32932.666666666664)</f>
        <v>32932.66667</v>
      </c>
      <c r="B2570" s="2">
        <f>IFERROR(__xludf.DUMMYFUNCTION("""COMPUTED_VALUE"""),24.8)</f>
        <v>24.8</v>
      </c>
      <c r="C2570" s="2">
        <f>IFERROR(__xludf.DUMMYFUNCTION("""COMPUTED_VALUE"""),24.98)</f>
        <v>24.98</v>
      </c>
      <c r="D2570" s="2">
        <f>IFERROR(__xludf.DUMMYFUNCTION("""COMPUTED_VALUE"""),24.63)</f>
        <v>24.63</v>
      </c>
      <c r="E2570" s="2">
        <f>IFERROR(__xludf.DUMMYFUNCTION("""COMPUTED_VALUE"""),24.8)</f>
        <v>24.8</v>
      </c>
      <c r="F2570" s="2">
        <f>IFERROR(__xludf.DUMMYFUNCTION("""COMPUTED_VALUE"""),1440300.0)</f>
        <v>1440300</v>
      </c>
    </row>
    <row r="2571">
      <c r="A2571" s="3">
        <f>IFERROR(__xludf.DUMMYFUNCTION("""COMPUTED_VALUE"""),32933.666666666664)</f>
        <v>32933.66667</v>
      </c>
      <c r="B2571" s="2">
        <f>IFERROR(__xludf.DUMMYFUNCTION("""COMPUTED_VALUE"""),24.83)</f>
        <v>24.83</v>
      </c>
      <c r="C2571" s="2">
        <f>IFERROR(__xludf.DUMMYFUNCTION("""COMPUTED_VALUE"""),24.92)</f>
        <v>24.92</v>
      </c>
      <c r="D2571" s="2">
        <f>IFERROR(__xludf.DUMMYFUNCTION("""COMPUTED_VALUE"""),24.69)</f>
        <v>24.69</v>
      </c>
      <c r="E2571" s="2">
        <f>IFERROR(__xludf.DUMMYFUNCTION("""COMPUTED_VALUE"""),24.83)</f>
        <v>24.83</v>
      </c>
      <c r="F2571" s="2">
        <f>IFERROR(__xludf.DUMMYFUNCTION("""COMPUTED_VALUE"""),1122700.0)</f>
        <v>1122700</v>
      </c>
    </row>
    <row r="2572">
      <c r="A2572" s="3">
        <f>IFERROR(__xludf.DUMMYFUNCTION("""COMPUTED_VALUE"""),32934.666666666664)</f>
        <v>32934.66667</v>
      </c>
      <c r="B2572" s="2">
        <f>IFERROR(__xludf.DUMMYFUNCTION("""COMPUTED_VALUE"""),25.04)</f>
        <v>25.04</v>
      </c>
      <c r="C2572" s="2">
        <f>IFERROR(__xludf.DUMMYFUNCTION("""COMPUTED_VALUE"""),25.16)</f>
        <v>25.16</v>
      </c>
      <c r="D2572" s="2">
        <f>IFERROR(__xludf.DUMMYFUNCTION("""COMPUTED_VALUE"""),24.83)</f>
        <v>24.83</v>
      </c>
      <c r="E2572" s="2">
        <f>IFERROR(__xludf.DUMMYFUNCTION("""COMPUTED_VALUE"""),25.04)</f>
        <v>25.04</v>
      </c>
      <c r="F2572" s="2">
        <f>IFERROR(__xludf.DUMMYFUNCTION("""COMPUTED_VALUE"""),1422500.0)</f>
        <v>1422500</v>
      </c>
    </row>
    <row r="2573">
      <c r="A2573" s="3">
        <f>IFERROR(__xludf.DUMMYFUNCTION("""COMPUTED_VALUE"""),32937.666666666664)</f>
        <v>32937.66667</v>
      </c>
      <c r="B2573" s="2">
        <f>IFERROR(__xludf.DUMMYFUNCTION("""COMPUTED_VALUE"""),25.07)</f>
        <v>25.07</v>
      </c>
      <c r="C2573" s="2">
        <f>IFERROR(__xludf.DUMMYFUNCTION("""COMPUTED_VALUE"""),25.28)</f>
        <v>25.28</v>
      </c>
      <c r="D2573" s="2">
        <f>IFERROR(__xludf.DUMMYFUNCTION("""COMPUTED_VALUE"""),24.98)</f>
        <v>24.98</v>
      </c>
      <c r="E2573" s="2">
        <f>IFERROR(__xludf.DUMMYFUNCTION("""COMPUTED_VALUE"""),25.07)</f>
        <v>25.07</v>
      </c>
      <c r="F2573" s="2">
        <f>IFERROR(__xludf.DUMMYFUNCTION("""COMPUTED_VALUE"""),1377300.0)</f>
        <v>1377300</v>
      </c>
    </row>
    <row r="2574">
      <c r="A2574" s="3">
        <f>IFERROR(__xludf.DUMMYFUNCTION("""COMPUTED_VALUE"""),32938.666666666664)</f>
        <v>32938.66667</v>
      </c>
      <c r="B2574" s="2">
        <f>IFERROR(__xludf.DUMMYFUNCTION("""COMPUTED_VALUE"""),25.25)</f>
        <v>25.25</v>
      </c>
      <c r="C2574" s="2">
        <f>IFERROR(__xludf.DUMMYFUNCTION("""COMPUTED_VALUE"""),25.25)</f>
        <v>25.25</v>
      </c>
      <c r="D2574" s="2">
        <f>IFERROR(__xludf.DUMMYFUNCTION("""COMPUTED_VALUE"""),24.89)</f>
        <v>24.89</v>
      </c>
      <c r="E2574" s="2">
        <f>IFERROR(__xludf.DUMMYFUNCTION("""COMPUTED_VALUE"""),25.25)</f>
        <v>25.25</v>
      </c>
      <c r="F2574" s="2">
        <f>IFERROR(__xludf.DUMMYFUNCTION("""COMPUTED_VALUE"""),1275200.0)</f>
        <v>1275200</v>
      </c>
    </row>
    <row r="2575">
      <c r="A2575" s="3">
        <f>IFERROR(__xludf.DUMMYFUNCTION("""COMPUTED_VALUE"""),32939.666666666664)</f>
        <v>32939.66667</v>
      </c>
      <c r="B2575" s="2">
        <f>IFERROR(__xludf.DUMMYFUNCTION("""COMPUTED_VALUE"""),25.19)</f>
        <v>25.19</v>
      </c>
      <c r="C2575" s="2">
        <f>IFERROR(__xludf.DUMMYFUNCTION("""COMPUTED_VALUE"""),25.37)</f>
        <v>25.37</v>
      </c>
      <c r="D2575" s="2">
        <f>IFERROR(__xludf.DUMMYFUNCTION("""COMPUTED_VALUE"""),25.13)</f>
        <v>25.13</v>
      </c>
      <c r="E2575" s="2">
        <f>IFERROR(__xludf.DUMMYFUNCTION("""COMPUTED_VALUE"""),25.19)</f>
        <v>25.19</v>
      </c>
      <c r="F2575" s="2">
        <f>IFERROR(__xludf.DUMMYFUNCTION("""COMPUTED_VALUE"""),1539600.0)</f>
        <v>1539600</v>
      </c>
    </row>
    <row r="2576">
      <c r="A2576" s="3">
        <f>IFERROR(__xludf.DUMMYFUNCTION("""COMPUTED_VALUE"""),32940.666666666664)</f>
        <v>32940.66667</v>
      </c>
      <c r="B2576" s="2">
        <f>IFERROR(__xludf.DUMMYFUNCTION("""COMPUTED_VALUE"""),25.55)</f>
        <v>25.55</v>
      </c>
      <c r="C2576" s="2">
        <f>IFERROR(__xludf.DUMMYFUNCTION("""COMPUTED_VALUE"""),25.64)</f>
        <v>25.64</v>
      </c>
      <c r="D2576" s="2">
        <f>IFERROR(__xludf.DUMMYFUNCTION("""COMPUTED_VALUE"""),25.31)</f>
        <v>25.31</v>
      </c>
      <c r="E2576" s="2">
        <f>IFERROR(__xludf.DUMMYFUNCTION("""COMPUTED_VALUE"""),25.55)</f>
        <v>25.55</v>
      </c>
      <c r="F2576" s="2">
        <f>IFERROR(__xludf.DUMMYFUNCTION("""COMPUTED_VALUE"""),1736900.0)</f>
        <v>1736900</v>
      </c>
    </row>
    <row r="2577">
      <c r="A2577" s="3">
        <f>IFERROR(__xludf.DUMMYFUNCTION("""COMPUTED_VALUE"""),32941.666666666664)</f>
        <v>32941.66667</v>
      </c>
      <c r="B2577" s="2">
        <f>IFERROR(__xludf.DUMMYFUNCTION("""COMPUTED_VALUE"""),25.43)</f>
        <v>25.43</v>
      </c>
      <c r="C2577" s="2">
        <f>IFERROR(__xludf.DUMMYFUNCTION("""COMPUTED_VALUE"""),25.64)</f>
        <v>25.64</v>
      </c>
      <c r="D2577" s="2">
        <f>IFERROR(__xludf.DUMMYFUNCTION("""COMPUTED_VALUE"""),25.37)</f>
        <v>25.37</v>
      </c>
      <c r="E2577" s="2">
        <f>IFERROR(__xludf.DUMMYFUNCTION("""COMPUTED_VALUE"""),25.43)</f>
        <v>25.43</v>
      </c>
      <c r="F2577" s="2">
        <f>IFERROR(__xludf.DUMMYFUNCTION("""COMPUTED_VALUE"""),1750800.0)</f>
        <v>1750800</v>
      </c>
    </row>
    <row r="2578">
      <c r="A2578" s="3">
        <f>IFERROR(__xludf.DUMMYFUNCTION("""COMPUTED_VALUE"""),32944.666666666664)</f>
        <v>32944.66667</v>
      </c>
      <c r="B2578" s="2">
        <f>IFERROR(__xludf.DUMMYFUNCTION("""COMPUTED_VALUE"""),25.73)</f>
        <v>25.73</v>
      </c>
      <c r="C2578" s="2">
        <f>IFERROR(__xludf.DUMMYFUNCTION("""COMPUTED_VALUE"""),25.73)</f>
        <v>25.73</v>
      </c>
      <c r="D2578" s="2">
        <f>IFERROR(__xludf.DUMMYFUNCTION("""COMPUTED_VALUE"""),25.37)</f>
        <v>25.37</v>
      </c>
      <c r="E2578" s="2">
        <f>IFERROR(__xludf.DUMMYFUNCTION("""COMPUTED_VALUE"""),25.73)</f>
        <v>25.73</v>
      </c>
      <c r="F2578" s="2">
        <f>IFERROR(__xludf.DUMMYFUNCTION("""COMPUTED_VALUE"""),1512800.0)</f>
        <v>1512800</v>
      </c>
    </row>
    <row r="2579">
      <c r="A2579" s="3">
        <f>IFERROR(__xludf.DUMMYFUNCTION("""COMPUTED_VALUE"""),32945.666666666664)</f>
        <v>32945.66667</v>
      </c>
      <c r="B2579" s="2">
        <f>IFERROR(__xludf.DUMMYFUNCTION("""COMPUTED_VALUE"""),25.37)</f>
        <v>25.37</v>
      </c>
      <c r="C2579" s="2">
        <f>IFERROR(__xludf.DUMMYFUNCTION("""COMPUTED_VALUE"""),25.85)</f>
        <v>25.85</v>
      </c>
      <c r="D2579" s="2">
        <f>IFERROR(__xludf.DUMMYFUNCTION("""COMPUTED_VALUE"""),25.37)</f>
        <v>25.37</v>
      </c>
      <c r="E2579" s="2">
        <f>IFERROR(__xludf.DUMMYFUNCTION("""COMPUTED_VALUE"""),25.37)</f>
        <v>25.37</v>
      </c>
      <c r="F2579" s="2">
        <f>IFERROR(__xludf.DUMMYFUNCTION("""COMPUTED_VALUE"""),2075200.0)</f>
        <v>2075200</v>
      </c>
    </row>
    <row r="2580">
      <c r="A2580" s="3">
        <f>IFERROR(__xludf.DUMMYFUNCTION("""COMPUTED_VALUE"""),32946.666666666664)</f>
        <v>32946.66667</v>
      </c>
      <c r="B2580" s="2">
        <f>IFERROR(__xludf.DUMMYFUNCTION("""COMPUTED_VALUE"""),25.37)</f>
        <v>25.37</v>
      </c>
      <c r="C2580" s="2">
        <f>IFERROR(__xludf.DUMMYFUNCTION("""COMPUTED_VALUE"""),25.55)</f>
        <v>25.55</v>
      </c>
      <c r="D2580" s="2">
        <f>IFERROR(__xludf.DUMMYFUNCTION("""COMPUTED_VALUE"""),25.22)</f>
        <v>25.22</v>
      </c>
      <c r="E2580" s="2">
        <f>IFERROR(__xludf.DUMMYFUNCTION("""COMPUTED_VALUE"""),25.37)</f>
        <v>25.37</v>
      </c>
      <c r="F2580" s="2">
        <f>IFERROR(__xludf.DUMMYFUNCTION("""COMPUTED_VALUE"""),1247700.0)</f>
        <v>1247700</v>
      </c>
    </row>
    <row r="2581">
      <c r="A2581" s="3">
        <f>IFERROR(__xludf.DUMMYFUNCTION("""COMPUTED_VALUE"""),32947.666666666664)</f>
        <v>32947.66667</v>
      </c>
      <c r="B2581" s="2">
        <f>IFERROR(__xludf.DUMMYFUNCTION("""COMPUTED_VALUE"""),25.55)</f>
        <v>25.55</v>
      </c>
      <c r="C2581" s="2">
        <f>IFERROR(__xludf.DUMMYFUNCTION("""COMPUTED_VALUE"""),25.64)</f>
        <v>25.64</v>
      </c>
      <c r="D2581" s="2">
        <f>IFERROR(__xludf.DUMMYFUNCTION("""COMPUTED_VALUE"""),25.43)</f>
        <v>25.43</v>
      </c>
      <c r="E2581" s="2">
        <f>IFERROR(__xludf.DUMMYFUNCTION("""COMPUTED_VALUE"""),25.55)</f>
        <v>25.55</v>
      </c>
      <c r="F2581" s="2">
        <f>IFERROR(__xludf.DUMMYFUNCTION("""COMPUTED_VALUE"""),1332000.0)</f>
        <v>1332000</v>
      </c>
    </row>
    <row r="2582">
      <c r="A2582" s="3">
        <f>IFERROR(__xludf.DUMMYFUNCTION("""COMPUTED_VALUE"""),32948.666666666664)</f>
        <v>32948.66667</v>
      </c>
      <c r="B2582" s="2">
        <f>IFERROR(__xludf.DUMMYFUNCTION("""COMPUTED_VALUE"""),25.94)</f>
        <v>25.94</v>
      </c>
      <c r="C2582" s="2">
        <f>IFERROR(__xludf.DUMMYFUNCTION("""COMPUTED_VALUE"""),25.97)</f>
        <v>25.97</v>
      </c>
      <c r="D2582" s="2">
        <f>IFERROR(__xludf.DUMMYFUNCTION("""COMPUTED_VALUE"""),25.64)</f>
        <v>25.64</v>
      </c>
      <c r="E2582" s="2">
        <f>IFERROR(__xludf.DUMMYFUNCTION("""COMPUTED_VALUE"""),25.94)</f>
        <v>25.94</v>
      </c>
      <c r="F2582" s="2">
        <f>IFERROR(__xludf.DUMMYFUNCTION("""COMPUTED_VALUE"""),2574100.0)</f>
        <v>2574100</v>
      </c>
    </row>
    <row r="2583">
      <c r="A2583" s="3">
        <f>IFERROR(__xludf.DUMMYFUNCTION("""COMPUTED_VALUE"""),32951.666666666664)</f>
        <v>32951.66667</v>
      </c>
      <c r="B2583" s="2">
        <f>IFERROR(__xludf.DUMMYFUNCTION("""COMPUTED_VALUE"""),26.03)</f>
        <v>26.03</v>
      </c>
      <c r="C2583" s="2">
        <f>IFERROR(__xludf.DUMMYFUNCTION("""COMPUTED_VALUE"""),26.06)</f>
        <v>26.06</v>
      </c>
      <c r="D2583" s="2">
        <f>IFERROR(__xludf.DUMMYFUNCTION("""COMPUTED_VALUE"""),25.64)</f>
        <v>25.64</v>
      </c>
      <c r="E2583" s="2">
        <f>IFERROR(__xludf.DUMMYFUNCTION("""COMPUTED_VALUE"""),26.03)</f>
        <v>26.03</v>
      </c>
      <c r="F2583" s="2">
        <f>IFERROR(__xludf.DUMMYFUNCTION("""COMPUTED_VALUE"""),1607200.0)</f>
        <v>1607200</v>
      </c>
    </row>
    <row r="2584">
      <c r="A2584" s="3">
        <f>IFERROR(__xludf.DUMMYFUNCTION("""COMPUTED_VALUE"""),32952.666666666664)</f>
        <v>32952.66667</v>
      </c>
      <c r="B2584" s="2">
        <f>IFERROR(__xludf.DUMMYFUNCTION("""COMPUTED_VALUE"""),25.79)</f>
        <v>25.79</v>
      </c>
      <c r="C2584" s="2">
        <f>IFERROR(__xludf.DUMMYFUNCTION("""COMPUTED_VALUE"""),26.12)</f>
        <v>26.12</v>
      </c>
      <c r="D2584" s="2">
        <f>IFERROR(__xludf.DUMMYFUNCTION("""COMPUTED_VALUE"""),25.76)</f>
        <v>25.76</v>
      </c>
      <c r="E2584" s="2">
        <f>IFERROR(__xludf.DUMMYFUNCTION("""COMPUTED_VALUE"""),25.79)</f>
        <v>25.79</v>
      </c>
      <c r="F2584" s="2">
        <f>IFERROR(__xludf.DUMMYFUNCTION("""COMPUTED_VALUE"""),1851600.0)</f>
        <v>1851600</v>
      </c>
    </row>
    <row r="2585">
      <c r="A2585" s="3">
        <f>IFERROR(__xludf.DUMMYFUNCTION("""COMPUTED_VALUE"""),32953.666666666664)</f>
        <v>32953.66667</v>
      </c>
      <c r="B2585" s="2">
        <f>IFERROR(__xludf.DUMMYFUNCTION("""COMPUTED_VALUE"""),25.61)</f>
        <v>25.61</v>
      </c>
      <c r="C2585" s="2">
        <f>IFERROR(__xludf.DUMMYFUNCTION("""COMPUTED_VALUE"""),25.91)</f>
        <v>25.91</v>
      </c>
      <c r="D2585" s="2">
        <f>IFERROR(__xludf.DUMMYFUNCTION("""COMPUTED_VALUE"""),25.58)</f>
        <v>25.58</v>
      </c>
      <c r="E2585" s="2">
        <f>IFERROR(__xludf.DUMMYFUNCTION("""COMPUTED_VALUE"""),25.61)</f>
        <v>25.61</v>
      </c>
      <c r="F2585" s="2">
        <f>IFERROR(__xludf.DUMMYFUNCTION("""COMPUTED_VALUE"""),847300.0)</f>
        <v>847300</v>
      </c>
    </row>
    <row r="2586">
      <c r="A2586" s="3">
        <f>IFERROR(__xludf.DUMMYFUNCTION("""COMPUTED_VALUE"""),32954.666666666664)</f>
        <v>32954.66667</v>
      </c>
      <c r="B2586" s="2">
        <f>IFERROR(__xludf.DUMMYFUNCTION("""COMPUTED_VALUE"""),25.43)</f>
        <v>25.43</v>
      </c>
      <c r="C2586" s="2">
        <f>IFERROR(__xludf.DUMMYFUNCTION("""COMPUTED_VALUE"""),25.67)</f>
        <v>25.67</v>
      </c>
      <c r="D2586" s="2">
        <f>IFERROR(__xludf.DUMMYFUNCTION("""COMPUTED_VALUE"""),25.19)</f>
        <v>25.19</v>
      </c>
      <c r="E2586" s="2">
        <f>IFERROR(__xludf.DUMMYFUNCTION("""COMPUTED_VALUE"""),25.43)</f>
        <v>25.43</v>
      </c>
      <c r="F2586" s="2">
        <f>IFERROR(__xludf.DUMMYFUNCTION("""COMPUTED_VALUE"""),1200300.0)</f>
        <v>1200300</v>
      </c>
    </row>
    <row r="2587">
      <c r="A2587" s="3">
        <f>IFERROR(__xludf.DUMMYFUNCTION("""COMPUTED_VALUE"""),32955.666666666664)</f>
        <v>32955.66667</v>
      </c>
      <c r="B2587" s="2">
        <f>IFERROR(__xludf.DUMMYFUNCTION("""COMPUTED_VALUE"""),25.07)</f>
        <v>25.07</v>
      </c>
      <c r="C2587" s="2">
        <f>IFERROR(__xludf.DUMMYFUNCTION("""COMPUTED_VALUE"""),25.34)</f>
        <v>25.34</v>
      </c>
      <c r="D2587" s="2">
        <f>IFERROR(__xludf.DUMMYFUNCTION("""COMPUTED_VALUE"""),25.04)</f>
        <v>25.04</v>
      </c>
      <c r="E2587" s="2">
        <f>IFERROR(__xludf.DUMMYFUNCTION("""COMPUTED_VALUE"""),25.07)</f>
        <v>25.07</v>
      </c>
      <c r="F2587" s="2">
        <f>IFERROR(__xludf.DUMMYFUNCTION("""COMPUTED_VALUE"""),1149400.0)</f>
        <v>1149400</v>
      </c>
    </row>
    <row r="2588">
      <c r="A2588" s="3">
        <f>IFERROR(__xludf.DUMMYFUNCTION("""COMPUTED_VALUE"""),32958.666666666664)</f>
        <v>32958.66667</v>
      </c>
      <c r="B2588" s="2">
        <f>IFERROR(__xludf.DUMMYFUNCTION("""COMPUTED_VALUE"""),24.86)</f>
        <v>24.86</v>
      </c>
      <c r="C2588" s="2">
        <f>IFERROR(__xludf.DUMMYFUNCTION("""COMPUTED_VALUE"""),25.25)</f>
        <v>25.25</v>
      </c>
      <c r="D2588" s="2">
        <f>IFERROR(__xludf.DUMMYFUNCTION("""COMPUTED_VALUE"""),24.86)</f>
        <v>24.86</v>
      </c>
      <c r="E2588" s="2">
        <f>IFERROR(__xludf.DUMMYFUNCTION("""COMPUTED_VALUE"""),24.86)</f>
        <v>24.86</v>
      </c>
      <c r="F2588" s="2">
        <f>IFERROR(__xludf.DUMMYFUNCTION("""COMPUTED_VALUE"""),837500.0)</f>
        <v>837500</v>
      </c>
    </row>
    <row r="2589">
      <c r="A2589" s="3">
        <f>IFERROR(__xludf.DUMMYFUNCTION("""COMPUTED_VALUE"""),32959.666666666664)</f>
        <v>32959.66667</v>
      </c>
      <c r="B2589" s="2">
        <f>IFERROR(__xludf.DUMMYFUNCTION("""COMPUTED_VALUE"""),24.95)</f>
        <v>24.95</v>
      </c>
      <c r="C2589" s="2">
        <f>IFERROR(__xludf.DUMMYFUNCTION("""COMPUTED_VALUE"""),25.01)</f>
        <v>25.01</v>
      </c>
      <c r="D2589" s="2">
        <f>IFERROR(__xludf.DUMMYFUNCTION("""COMPUTED_VALUE"""),24.69)</f>
        <v>24.69</v>
      </c>
      <c r="E2589" s="2">
        <f>IFERROR(__xludf.DUMMYFUNCTION("""COMPUTED_VALUE"""),24.95)</f>
        <v>24.95</v>
      </c>
      <c r="F2589" s="2">
        <f>IFERROR(__xludf.DUMMYFUNCTION("""COMPUTED_VALUE"""),1323200.0)</f>
        <v>1323200</v>
      </c>
    </row>
    <row r="2590">
      <c r="A2590" s="3">
        <f>IFERROR(__xludf.DUMMYFUNCTION("""COMPUTED_VALUE"""),32960.666666666664)</f>
        <v>32960.66667</v>
      </c>
      <c r="B2590" s="2">
        <f>IFERROR(__xludf.DUMMYFUNCTION("""COMPUTED_VALUE"""),25.28)</f>
        <v>25.28</v>
      </c>
      <c r="C2590" s="2">
        <f>IFERROR(__xludf.DUMMYFUNCTION("""COMPUTED_VALUE"""),25.28)</f>
        <v>25.28</v>
      </c>
      <c r="D2590" s="2">
        <f>IFERROR(__xludf.DUMMYFUNCTION("""COMPUTED_VALUE"""),24.77)</f>
        <v>24.77</v>
      </c>
      <c r="E2590" s="2">
        <f>IFERROR(__xludf.DUMMYFUNCTION("""COMPUTED_VALUE"""),25.28)</f>
        <v>25.28</v>
      </c>
      <c r="F2590" s="2">
        <f>IFERROR(__xludf.DUMMYFUNCTION("""COMPUTED_VALUE"""),1456100.0)</f>
        <v>1456100</v>
      </c>
    </row>
    <row r="2591">
      <c r="A2591" s="3">
        <f>IFERROR(__xludf.DUMMYFUNCTION("""COMPUTED_VALUE"""),32961.666666666664)</f>
        <v>32961.66667</v>
      </c>
      <c r="B2591" s="2">
        <f>IFERROR(__xludf.DUMMYFUNCTION("""COMPUTED_VALUE"""),25.31)</f>
        <v>25.31</v>
      </c>
      <c r="C2591" s="2">
        <f>IFERROR(__xludf.DUMMYFUNCTION("""COMPUTED_VALUE"""),25.52)</f>
        <v>25.52</v>
      </c>
      <c r="D2591" s="2">
        <f>IFERROR(__xludf.DUMMYFUNCTION("""COMPUTED_VALUE"""),25.25)</f>
        <v>25.25</v>
      </c>
      <c r="E2591" s="2">
        <f>IFERROR(__xludf.DUMMYFUNCTION("""COMPUTED_VALUE"""),25.31)</f>
        <v>25.31</v>
      </c>
      <c r="F2591" s="2">
        <f>IFERROR(__xludf.DUMMYFUNCTION("""COMPUTED_VALUE"""),1414200.0)</f>
        <v>1414200</v>
      </c>
    </row>
    <row r="2592">
      <c r="A2592" s="3">
        <f>IFERROR(__xludf.DUMMYFUNCTION("""COMPUTED_VALUE"""),32962.666666666664)</f>
        <v>32962.66667</v>
      </c>
      <c r="B2592" s="2">
        <f>IFERROR(__xludf.DUMMYFUNCTION("""COMPUTED_VALUE"""),25.34)</f>
        <v>25.34</v>
      </c>
      <c r="C2592" s="2">
        <f>IFERROR(__xludf.DUMMYFUNCTION("""COMPUTED_VALUE"""),25.49)</f>
        <v>25.49</v>
      </c>
      <c r="D2592" s="2">
        <f>IFERROR(__xludf.DUMMYFUNCTION("""COMPUTED_VALUE"""),25.22)</f>
        <v>25.22</v>
      </c>
      <c r="E2592" s="2">
        <f>IFERROR(__xludf.DUMMYFUNCTION("""COMPUTED_VALUE"""),25.34)</f>
        <v>25.34</v>
      </c>
      <c r="F2592" s="2">
        <f>IFERROR(__xludf.DUMMYFUNCTION("""COMPUTED_VALUE"""),1426000.0)</f>
        <v>1426000</v>
      </c>
    </row>
    <row r="2593">
      <c r="A2593" s="3">
        <f>IFERROR(__xludf.DUMMYFUNCTION("""COMPUTED_VALUE"""),32965.666666666664)</f>
        <v>32965.66667</v>
      </c>
      <c r="B2593" s="2">
        <f>IFERROR(__xludf.DUMMYFUNCTION("""COMPUTED_VALUE"""),25.28)</f>
        <v>25.28</v>
      </c>
      <c r="C2593" s="2">
        <f>IFERROR(__xludf.DUMMYFUNCTION("""COMPUTED_VALUE"""),25.28)</f>
        <v>25.28</v>
      </c>
      <c r="D2593" s="2">
        <f>IFERROR(__xludf.DUMMYFUNCTION("""COMPUTED_VALUE"""),25.07)</f>
        <v>25.07</v>
      </c>
      <c r="E2593" s="2">
        <f>IFERROR(__xludf.DUMMYFUNCTION("""COMPUTED_VALUE"""),25.28)</f>
        <v>25.28</v>
      </c>
      <c r="F2593" s="2">
        <f>IFERROR(__xludf.DUMMYFUNCTION("""COMPUTED_VALUE"""),1298300.0)</f>
        <v>1298300</v>
      </c>
    </row>
    <row r="2594">
      <c r="A2594" s="3">
        <f>IFERROR(__xludf.DUMMYFUNCTION("""COMPUTED_VALUE"""),32966.666666666664)</f>
        <v>32966.66667</v>
      </c>
      <c r="B2594" s="2">
        <f>IFERROR(__xludf.DUMMYFUNCTION("""COMPUTED_VALUE"""),25.46)</f>
        <v>25.46</v>
      </c>
      <c r="C2594" s="2">
        <f>IFERROR(__xludf.DUMMYFUNCTION("""COMPUTED_VALUE"""),25.49)</f>
        <v>25.49</v>
      </c>
      <c r="D2594" s="2">
        <f>IFERROR(__xludf.DUMMYFUNCTION("""COMPUTED_VALUE"""),25.31)</f>
        <v>25.31</v>
      </c>
      <c r="E2594" s="2">
        <f>IFERROR(__xludf.DUMMYFUNCTION("""COMPUTED_VALUE"""),25.46)</f>
        <v>25.46</v>
      </c>
      <c r="F2594" s="2">
        <f>IFERROR(__xludf.DUMMYFUNCTION("""COMPUTED_VALUE"""),1050400.0)</f>
        <v>1050400</v>
      </c>
    </row>
    <row r="2595">
      <c r="A2595" s="3">
        <f>IFERROR(__xludf.DUMMYFUNCTION("""COMPUTED_VALUE"""),32967.666666666664)</f>
        <v>32967.66667</v>
      </c>
      <c r="B2595" s="2">
        <f>IFERROR(__xludf.DUMMYFUNCTION("""COMPUTED_VALUE"""),25.43)</f>
        <v>25.43</v>
      </c>
      <c r="C2595" s="2">
        <f>IFERROR(__xludf.DUMMYFUNCTION("""COMPUTED_VALUE"""),25.73)</f>
        <v>25.73</v>
      </c>
      <c r="D2595" s="2">
        <f>IFERROR(__xludf.DUMMYFUNCTION("""COMPUTED_VALUE"""),25.28)</f>
        <v>25.28</v>
      </c>
      <c r="E2595" s="2">
        <f>IFERROR(__xludf.DUMMYFUNCTION("""COMPUTED_VALUE"""),25.43)</f>
        <v>25.43</v>
      </c>
      <c r="F2595" s="2">
        <f>IFERROR(__xludf.DUMMYFUNCTION("""COMPUTED_VALUE"""),1716200.0)</f>
        <v>1716200</v>
      </c>
    </row>
    <row r="2596">
      <c r="A2596" s="3">
        <f>IFERROR(__xludf.DUMMYFUNCTION("""COMPUTED_VALUE"""),32968.666666666664)</f>
        <v>32968.66667</v>
      </c>
      <c r="B2596" s="2">
        <f>IFERROR(__xludf.DUMMYFUNCTION("""COMPUTED_VALUE"""),25.34)</f>
        <v>25.34</v>
      </c>
      <c r="C2596" s="2">
        <f>IFERROR(__xludf.DUMMYFUNCTION("""COMPUTED_VALUE"""),25.52)</f>
        <v>25.52</v>
      </c>
      <c r="D2596" s="2">
        <f>IFERROR(__xludf.DUMMYFUNCTION("""COMPUTED_VALUE"""),25.28)</f>
        <v>25.28</v>
      </c>
      <c r="E2596" s="2">
        <f>IFERROR(__xludf.DUMMYFUNCTION("""COMPUTED_VALUE"""),25.34)</f>
        <v>25.34</v>
      </c>
      <c r="F2596" s="2">
        <f>IFERROR(__xludf.DUMMYFUNCTION("""COMPUTED_VALUE"""),868400.0)</f>
        <v>868400</v>
      </c>
    </row>
    <row r="2597">
      <c r="A2597" s="3">
        <f>IFERROR(__xludf.DUMMYFUNCTION("""COMPUTED_VALUE"""),32969.666666666664)</f>
        <v>32969.66667</v>
      </c>
      <c r="B2597" s="2">
        <f>IFERROR(__xludf.DUMMYFUNCTION("""COMPUTED_VALUE"""),25.28)</f>
        <v>25.28</v>
      </c>
      <c r="C2597" s="2">
        <f>IFERROR(__xludf.DUMMYFUNCTION("""COMPUTED_VALUE"""),25.4)</f>
        <v>25.4</v>
      </c>
      <c r="D2597" s="2">
        <f>IFERROR(__xludf.DUMMYFUNCTION("""COMPUTED_VALUE"""),25.13)</f>
        <v>25.13</v>
      </c>
      <c r="E2597" s="2">
        <f>IFERROR(__xludf.DUMMYFUNCTION("""COMPUTED_VALUE"""),25.28)</f>
        <v>25.28</v>
      </c>
      <c r="F2597" s="2">
        <f>IFERROR(__xludf.DUMMYFUNCTION("""COMPUTED_VALUE"""),752300.0)</f>
        <v>752300</v>
      </c>
    </row>
    <row r="2598">
      <c r="A2598" s="3">
        <f>IFERROR(__xludf.DUMMYFUNCTION("""COMPUTED_VALUE"""),32972.666666666664)</f>
        <v>32972.66667</v>
      </c>
      <c r="B2598" s="2">
        <f>IFERROR(__xludf.DUMMYFUNCTION("""COMPUTED_VALUE"""),25.19)</f>
        <v>25.19</v>
      </c>
      <c r="C2598" s="2">
        <f>IFERROR(__xludf.DUMMYFUNCTION("""COMPUTED_VALUE"""),25.28)</f>
        <v>25.28</v>
      </c>
      <c r="D2598" s="2">
        <f>IFERROR(__xludf.DUMMYFUNCTION("""COMPUTED_VALUE"""),25.13)</f>
        <v>25.13</v>
      </c>
      <c r="E2598" s="2">
        <f>IFERROR(__xludf.DUMMYFUNCTION("""COMPUTED_VALUE"""),25.19)</f>
        <v>25.19</v>
      </c>
      <c r="F2598" s="2">
        <f>IFERROR(__xludf.DUMMYFUNCTION("""COMPUTED_VALUE"""),782800.0)</f>
        <v>782800</v>
      </c>
    </row>
    <row r="2599">
      <c r="A2599" s="3">
        <f>IFERROR(__xludf.DUMMYFUNCTION("""COMPUTED_VALUE"""),32973.666666666664)</f>
        <v>32973.66667</v>
      </c>
      <c r="B2599" s="2">
        <f>IFERROR(__xludf.DUMMYFUNCTION("""COMPUTED_VALUE"""),25.28)</f>
        <v>25.28</v>
      </c>
      <c r="C2599" s="2">
        <f>IFERROR(__xludf.DUMMYFUNCTION("""COMPUTED_VALUE"""),25.4)</f>
        <v>25.4</v>
      </c>
      <c r="D2599" s="2">
        <f>IFERROR(__xludf.DUMMYFUNCTION("""COMPUTED_VALUE"""),25.1)</f>
        <v>25.1</v>
      </c>
      <c r="E2599" s="2">
        <f>IFERROR(__xludf.DUMMYFUNCTION("""COMPUTED_VALUE"""),25.28)</f>
        <v>25.28</v>
      </c>
      <c r="F2599" s="2">
        <f>IFERROR(__xludf.DUMMYFUNCTION("""COMPUTED_VALUE"""),934800.0)</f>
        <v>934800</v>
      </c>
    </row>
    <row r="2600">
      <c r="A2600" s="3">
        <f>IFERROR(__xludf.DUMMYFUNCTION("""COMPUTED_VALUE"""),32974.666666666664)</f>
        <v>32974.66667</v>
      </c>
      <c r="B2600" s="2">
        <f>IFERROR(__xludf.DUMMYFUNCTION("""COMPUTED_VALUE"""),25.4)</f>
        <v>25.4</v>
      </c>
      <c r="C2600" s="2">
        <f>IFERROR(__xludf.DUMMYFUNCTION("""COMPUTED_VALUE"""),25.43)</f>
        <v>25.43</v>
      </c>
      <c r="D2600" s="2">
        <f>IFERROR(__xludf.DUMMYFUNCTION("""COMPUTED_VALUE"""),25.28)</f>
        <v>25.28</v>
      </c>
      <c r="E2600" s="2">
        <f>IFERROR(__xludf.DUMMYFUNCTION("""COMPUTED_VALUE"""),25.4)</f>
        <v>25.4</v>
      </c>
      <c r="F2600" s="2">
        <f>IFERROR(__xludf.DUMMYFUNCTION("""COMPUTED_VALUE"""),645200.0)</f>
        <v>645200</v>
      </c>
    </row>
    <row r="2601">
      <c r="A2601" s="3">
        <f>IFERROR(__xludf.DUMMYFUNCTION("""COMPUTED_VALUE"""),32975.666666666664)</f>
        <v>32975.66667</v>
      </c>
      <c r="B2601" s="2">
        <f>IFERROR(__xludf.DUMMYFUNCTION("""COMPUTED_VALUE"""),25.58)</f>
        <v>25.58</v>
      </c>
      <c r="C2601" s="2">
        <f>IFERROR(__xludf.DUMMYFUNCTION("""COMPUTED_VALUE"""),25.79)</f>
        <v>25.79</v>
      </c>
      <c r="D2601" s="2">
        <f>IFERROR(__xludf.DUMMYFUNCTION("""COMPUTED_VALUE"""),25.55)</f>
        <v>25.55</v>
      </c>
      <c r="E2601" s="2">
        <f>IFERROR(__xludf.DUMMYFUNCTION("""COMPUTED_VALUE"""),25.58)</f>
        <v>25.58</v>
      </c>
      <c r="F2601" s="2">
        <f>IFERROR(__xludf.DUMMYFUNCTION("""COMPUTED_VALUE"""),921600.0)</f>
        <v>921600</v>
      </c>
    </row>
    <row r="2602">
      <c r="A2602" s="3">
        <f>IFERROR(__xludf.DUMMYFUNCTION("""COMPUTED_VALUE"""),32979.666666666664)</f>
        <v>32979.66667</v>
      </c>
      <c r="B2602" s="2">
        <f>IFERROR(__xludf.DUMMYFUNCTION("""COMPUTED_VALUE"""),26.48)</f>
        <v>26.48</v>
      </c>
      <c r="C2602" s="2">
        <f>IFERROR(__xludf.DUMMYFUNCTION("""COMPUTED_VALUE"""),26.57)</f>
        <v>26.57</v>
      </c>
      <c r="D2602" s="2">
        <f>IFERROR(__xludf.DUMMYFUNCTION("""COMPUTED_VALUE"""),26.3)</f>
        <v>26.3</v>
      </c>
      <c r="E2602" s="2">
        <f>IFERROR(__xludf.DUMMYFUNCTION("""COMPUTED_VALUE"""),26.48)</f>
        <v>26.48</v>
      </c>
      <c r="F2602" s="2">
        <f>IFERROR(__xludf.DUMMYFUNCTION("""COMPUTED_VALUE"""),4120900.0)</f>
        <v>4120900</v>
      </c>
    </row>
    <row r="2603">
      <c r="A2603" s="3">
        <f>IFERROR(__xludf.DUMMYFUNCTION("""COMPUTED_VALUE"""),32980.666666666664)</f>
        <v>32980.66667</v>
      </c>
      <c r="B2603" s="2">
        <f>IFERROR(__xludf.DUMMYFUNCTION("""COMPUTED_VALUE"""),26.54)</f>
        <v>26.54</v>
      </c>
      <c r="C2603" s="2">
        <f>IFERROR(__xludf.DUMMYFUNCTION("""COMPUTED_VALUE"""),26.57)</f>
        <v>26.57</v>
      </c>
      <c r="D2603" s="2">
        <f>IFERROR(__xludf.DUMMYFUNCTION("""COMPUTED_VALUE"""),26.24)</f>
        <v>26.24</v>
      </c>
      <c r="E2603" s="2">
        <f>IFERROR(__xludf.DUMMYFUNCTION("""COMPUTED_VALUE"""),26.54)</f>
        <v>26.54</v>
      </c>
      <c r="F2603" s="2">
        <f>IFERROR(__xludf.DUMMYFUNCTION("""COMPUTED_VALUE"""),1916400.0)</f>
        <v>1916400</v>
      </c>
    </row>
    <row r="2604">
      <c r="A2604" s="3">
        <f>IFERROR(__xludf.DUMMYFUNCTION("""COMPUTED_VALUE"""),32981.666666666664)</f>
        <v>32981.66667</v>
      </c>
      <c r="B2604" s="2">
        <f>IFERROR(__xludf.DUMMYFUNCTION("""COMPUTED_VALUE"""),26.24)</f>
        <v>26.24</v>
      </c>
      <c r="C2604" s="2">
        <f>IFERROR(__xludf.DUMMYFUNCTION("""COMPUTED_VALUE"""),26.48)</f>
        <v>26.48</v>
      </c>
      <c r="D2604" s="2">
        <f>IFERROR(__xludf.DUMMYFUNCTION("""COMPUTED_VALUE"""),26.15)</f>
        <v>26.15</v>
      </c>
      <c r="E2604" s="2">
        <f>IFERROR(__xludf.DUMMYFUNCTION("""COMPUTED_VALUE"""),26.24)</f>
        <v>26.24</v>
      </c>
      <c r="F2604" s="2">
        <f>IFERROR(__xludf.DUMMYFUNCTION("""COMPUTED_VALUE"""),1531000.0)</f>
        <v>1531000</v>
      </c>
    </row>
    <row r="2605">
      <c r="A2605" s="3">
        <f>IFERROR(__xludf.DUMMYFUNCTION("""COMPUTED_VALUE"""),32982.666666666664)</f>
        <v>32982.66667</v>
      </c>
      <c r="B2605" s="2">
        <f>IFERROR(__xludf.DUMMYFUNCTION("""COMPUTED_VALUE"""),26.06)</f>
        <v>26.06</v>
      </c>
      <c r="C2605" s="2">
        <f>IFERROR(__xludf.DUMMYFUNCTION("""COMPUTED_VALUE"""),26.33)</f>
        <v>26.33</v>
      </c>
      <c r="D2605" s="2">
        <f>IFERROR(__xludf.DUMMYFUNCTION("""COMPUTED_VALUE"""),26.06)</f>
        <v>26.06</v>
      </c>
      <c r="E2605" s="2">
        <f>IFERROR(__xludf.DUMMYFUNCTION("""COMPUTED_VALUE"""),26.06)</f>
        <v>26.06</v>
      </c>
      <c r="F2605" s="2">
        <f>IFERROR(__xludf.DUMMYFUNCTION("""COMPUTED_VALUE"""),1527500.0)</f>
        <v>1527500</v>
      </c>
    </row>
    <row r="2606">
      <c r="A2606" s="3">
        <f>IFERROR(__xludf.DUMMYFUNCTION("""COMPUTED_VALUE"""),32983.666666666664)</f>
        <v>32983.66667</v>
      </c>
      <c r="B2606" s="2">
        <f>IFERROR(__xludf.DUMMYFUNCTION("""COMPUTED_VALUE"""),26.12)</f>
        <v>26.12</v>
      </c>
      <c r="C2606" s="2">
        <f>IFERROR(__xludf.DUMMYFUNCTION("""COMPUTED_VALUE"""),26.15)</f>
        <v>26.15</v>
      </c>
      <c r="D2606" s="2">
        <f>IFERROR(__xludf.DUMMYFUNCTION("""COMPUTED_VALUE"""),25.85)</f>
        <v>25.85</v>
      </c>
      <c r="E2606" s="2">
        <f>IFERROR(__xludf.DUMMYFUNCTION("""COMPUTED_VALUE"""),26.12)</f>
        <v>26.12</v>
      </c>
      <c r="F2606" s="2">
        <f>IFERROR(__xludf.DUMMYFUNCTION("""COMPUTED_VALUE"""),1656500.0)</f>
        <v>1656500</v>
      </c>
    </row>
    <row r="2607">
      <c r="A2607" s="3">
        <f>IFERROR(__xludf.DUMMYFUNCTION("""COMPUTED_VALUE"""),32986.666666666664)</f>
        <v>32986.66667</v>
      </c>
      <c r="B2607" s="2">
        <f>IFERROR(__xludf.DUMMYFUNCTION("""COMPUTED_VALUE"""),26.12)</f>
        <v>26.12</v>
      </c>
      <c r="C2607" s="2">
        <f>IFERROR(__xludf.DUMMYFUNCTION("""COMPUTED_VALUE"""),26.15)</f>
        <v>26.15</v>
      </c>
      <c r="D2607" s="2">
        <f>IFERROR(__xludf.DUMMYFUNCTION("""COMPUTED_VALUE"""),25.94)</f>
        <v>25.94</v>
      </c>
      <c r="E2607" s="2">
        <f>IFERROR(__xludf.DUMMYFUNCTION("""COMPUTED_VALUE"""),26.12)</f>
        <v>26.12</v>
      </c>
      <c r="F2607" s="2">
        <f>IFERROR(__xludf.DUMMYFUNCTION("""COMPUTED_VALUE"""),1350200.0)</f>
        <v>1350200</v>
      </c>
    </row>
    <row r="2608">
      <c r="A2608" s="3">
        <f>IFERROR(__xludf.DUMMYFUNCTION("""COMPUTED_VALUE"""),32987.666666666664)</f>
        <v>32987.66667</v>
      </c>
      <c r="B2608" s="2">
        <f>IFERROR(__xludf.DUMMYFUNCTION("""COMPUTED_VALUE"""),26.0)</f>
        <v>26</v>
      </c>
      <c r="C2608" s="2">
        <f>IFERROR(__xludf.DUMMYFUNCTION("""COMPUTED_VALUE"""),26.36)</f>
        <v>26.36</v>
      </c>
      <c r="D2608" s="2">
        <f>IFERROR(__xludf.DUMMYFUNCTION("""COMPUTED_VALUE"""),26.0)</f>
        <v>26</v>
      </c>
      <c r="E2608" s="2">
        <f>IFERROR(__xludf.DUMMYFUNCTION("""COMPUTED_VALUE"""),26.0)</f>
        <v>26</v>
      </c>
      <c r="F2608" s="2">
        <f>IFERROR(__xludf.DUMMYFUNCTION("""COMPUTED_VALUE"""),1306600.0)</f>
        <v>1306600</v>
      </c>
    </row>
    <row r="2609">
      <c r="A2609" s="3">
        <f>IFERROR(__xludf.DUMMYFUNCTION("""COMPUTED_VALUE"""),32988.666666666664)</f>
        <v>32988.66667</v>
      </c>
      <c r="B2609" s="2">
        <f>IFERROR(__xludf.DUMMYFUNCTION("""COMPUTED_VALUE"""),26.12)</f>
        <v>26.12</v>
      </c>
      <c r="C2609" s="2">
        <f>IFERROR(__xludf.DUMMYFUNCTION("""COMPUTED_VALUE"""),26.3)</f>
        <v>26.3</v>
      </c>
      <c r="D2609" s="2">
        <f>IFERROR(__xludf.DUMMYFUNCTION("""COMPUTED_VALUE"""),26.06)</f>
        <v>26.06</v>
      </c>
      <c r="E2609" s="2">
        <f>IFERROR(__xludf.DUMMYFUNCTION("""COMPUTED_VALUE"""),26.12)</f>
        <v>26.12</v>
      </c>
      <c r="F2609" s="2">
        <f>IFERROR(__xludf.DUMMYFUNCTION("""COMPUTED_VALUE"""),1173400.0)</f>
        <v>1173400</v>
      </c>
    </row>
    <row r="2610">
      <c r="A2610" s="3">
        <f>IFERROR(__xludf.DUMMYFUNCTION("""COMPUTED_VALUE"""),32989.666666666664)</f>
        <v>32989.66667</v>
      </c>
      <c r="B2610" s="2">
        <f>IFERROR(__xludf.DUMMYFUNCTION("""COMPUTED_VALUE"""),25.97)</f>
        <v>25.97</v>
      </c>
      <c r="C2610" s="2">
        <f>IFERROR(__xludf.DUMMYFUNCTION("""COMPUTED_VALUE"""),26.27)</f>
        <v>26.27</v>
      </c>
      <c r="D2610" s="2">
        <f>IFERROR(__xludf.DUMMYFUNCTION("""COMPUTED_VALUE"""),25.91)</f>
        <v>25.91</v>
      </c>
      <c r="E2610" s="2">
        <f>IFERROR(__xludf.DUMMYFUNCTION("""COMPUTED_VALUE"""),25.97)</f>
        <v>25.97</v>
      </c>
      <c r="F2610" s="2">
        <f>IFERROR(__xludf.DUMMYFUNCTION("""COMPUTED_VALUE"""),1382300.0)</f>
        <v>1382300</v>
      </c>
    </row>
    <row r="2611">
      <c r="A2611" s="3">
        <f>IFERROR(__xludf.DUMMYFUNCTION("""COMPUTED_VALUE"""),32990.666666666664)</f>
        <v>32990.66667</v>
      </c>
      <c r="B2611" s="2">
        <f>IFERROR(__xludf.DUMMYFUNCTION("""COMPUTED_VALUE"""),25.64)</f>
        <v>25.64</v>
      </c>
      <c r="C2611" s="2">
        <f>IFERROR(__xludf.DUMMYFUNCTION("""COMPUTED_VALUE"""),26.03)</f>
        <v>26.03</v>
      </c>
      <c r="D2611" s="2">
        <f>IFERROR(__xludf.DUMMYFUNCTION("""COMPUTED_VALUE"""),25.64)</f>
        <v>25.64</v>
      </c>
      <c r="E2611" s="2">
        <f>IFERROR(__xludf.DUMMYFUNCTION("""COMPUTED_VALUE"""),25.64)</f>
        <v>25.64</v>
      </c>
      <c r="F2611" s="2">
        <f>IFERROR(__xludf.DUMMYFUNCTION("""COMPUTED_VALUE"""),981600.0)</f>
        <v>981600</v>
      </c>
    </row>
    <row r="2612">
      <c r="A2612" s="3">
        <f>IFERROR(__xludf.DUMMYFUNCTION("""COMPUTED_VALUE"""),32993.666666666664)</f>
        <v>32993.66667</v>
      </c>
      <c r="B2612" s="2">
        <f>IFERROR(__xludf.DUMMYFUNCTION("""COMPUTED_VALUE"""),26.03)</f>
        <v>26.03</v>
      </c>
      <c r="C2612" s="2">
        <f>IFERROR(__xludf.DUMMYFUNCTION("""COMPUTED_VALUE"""),26.09)</f>
        <v>26.09</v>
      </c>
      <c r="D2612" s="2">
        <f>IFERROR(__xludf.DUMMYFUNCTION("""COMPUTED_VALUE"""),25.55)</f>
        <v>25.55</v>
      </c>
      <c r="E2612" s="2">
        <f>IFERROR(__xludf.DUMMYFUNCTION("""COMPUTED_VALUE"""),26.03)</f>
        <v>26.03</v>
      </c>
      <c r="F2612" s="2">
        <f>IFERROR(__xludf.DUMMYFUNCTION("""COMPUTED_VALUE"""),1562900.0)</f>
        <v>1562900</v>
      </c>
    </row>
    <row r="2613">
      <c r="A2613" s="3">
        <f>IFERROR(__xludf.DUMMYFUNCTION("""COMPUTED_VALUE"""),32994.666666666664)</f>
        <v>32994.66667</v>
      </c>
      <c r="B2613" s="2">
        <f>IFERROR(__xludf.DUMMYFUNCTION("""COMPUTED_VALUE"""),25.79)</f>
        <v>25.79</v>
      </c>
      <c r="C2613" s="2">
        <f>IFERROR(__xludf.DUMMYFUNCTION("""COMPUTED_VALUE"""),26.18)</f>
        <v>26.18</v>
      </c>
      <c r="D2613" s="2">
        <f>IFERROR(__xludf.DUMMYFUNCTION("""COMPUTED_VALUE"""),25.76)</f>
        <v>25.76</v>
      </c>
      <c r="E2613" s="2">
        <f>IFERROR(__xludf.DUMMYFUNCTION("""COMPUTED_VALUE"""),25.79)</f>
        <v>25.79</v>
      </c>
      <c r="F2613" s="2">
        <f>IFERROR(__xludf.DUMMYFUNCTION("""COMPUTED_VALUE"""),1166200.0)</f>
        <v>1166200</v>
      </c>
    </row>
    <row r="2614">
      <c r="A2614" s="3">
        <f>IFERROR(__xludf.DUMMYFUNCTION("""COMPUTED_VALUE"""),32995.666666666664)</f>
        <v>32995.66667</v>
      </c>
      <c r="B2614" s="2">
        <f>IFERROR(__xludf.DUMMYFUNCTION("""COMPUTED_VALUE"""),26.06)</f>
        <v>26.06</v>
      </c>
      <c r="C2614" s="2">
        <f>IFERROR(__xludf.DUMMYFUNCTION("""COMPUTED_VALUE"""),26.06)</f>
        <v>26.06</v>
      </c>
      <c r="D2614" s="2">
        <f>IFERROR(__xludf.DUMMYFUNCTION("""COMPUTED_VALUE"""),25.79)</f>
        <v>25.79</v>
      </c>
      <c r="E2614" s="2">
        <f>IFERROR(__xludf.DUMMYFUNCTION("""COMPUTED_VALUE"""),26.06)</f>
        <v>26.06</v>
      </c>
      <c r="F2614" s="2">
        <f>IFERROR(__xludf.DUMMYFUNCTION("""COMPUTED_VALUE"""),1216600.0)</f>
        <v>1216600</v>
      </c>
    </row>
    <row r="2615">
      <c r="A2615" s="3">
        <f>IFERROR(__xludf.DUMMYFUNCTION("""COMPUTED_VALUE"""),32996.666666666664)</f>
        <v>32996.66667</v>
      </c>
      <c r="B2615" s="2">
        <f>IFERROR(__xludf.DUMMYFUNCTION("""COMPUTED_VALUE"""),26.09)</f>
        <v>26.09</v>
      </c>
      <c r="C2615" s="2">
        <f>IFERROR(__xludf.DUMMYFUNCTION("""COMPUTED_VALUE"""),26.3)</f>
        <v>26.3</v>
      </c>
      <c r="D2615" s="2">
        <f>IFERROR(__xludf.DUMMYFUNCTION("""COMPUTED_VALUE"""),26.06)</f>
        <v>26.06</v>
      </c>
      <c r="E2615" s="2">
        <f>IFERROR(__xludf.DUMMYFUNCTION("""COMPUTED_VALUE"""),26.09)</f>
        <v>26.09</v>
      </c>
      <c r="F2615" s="2">
        <f>IFERROR(__xludf.DUMMYFUNCTION("""COMPUTED_VALUE"""),1668700.0)</f>
        <v>1668700</v>
      </c>
    </row>
    <row r="2616">
      <c r="A2616" s="3">
        <f>IFERROR(__xludf.DUMMYFUNCTION("""COMPUTED_VALUE"""),32997.666666666664)</f>
        <v>32997.66667</v>
      </c>
      <c r="B2616" s="2">
        <f>IFERROR(__xludf.DUMMYFUNCTION("""COMPUTED_VALUE"""),26.39)</f>
        <v>26.39</v>
      </c>
      <c r="C2616" s="2">
        <f>IFERROR(__xludf.DUMMYFUNCTION("""COMPUTED_VALUE"""),26.42)</f>
        <v>26.42</v>
      </c>
      <c r="D2616" s="2">
        <f>IFERROR(__xludf.DUMMYFUNCTION("""COMPUTED_VALUE"""),25.85)</f>
        <v>25.85</v>
      </c>
      <c r="E2616" s="2">
        <f>IFERROR(__xludf.DUMMYFUNCTION("""COMPUTED_VALUE"""),26.39)</f>
        <v>26.39</v>
      </c>
      <c r="F2616" s="2">
        <f>IFERROR(__xludf.DUMMYFUNCTION("""COMPUTED_VALUE"""),1512300.0)</f>
        <v>1512300</v>
      </c>
    </row>
    <row r="2617">
      <c r="A2617" s="3">
        <f>IFERROR(__xludf.DUMMYFUNCTION("""COMPUTED_VALUE"""),33000.666666666664)</f>
        <v>33000.66667</v>
      </c>
      <c r="B2617" s="2">
        <f>IFERROR(__xludf.DUMMYFUNCTION("""COMPUTED_VALUE"""),26.39)</f>
        <v>26.39</v>
      </c>
      <c r="C2617" s="2">
        <f>IFERROR(__xludf.DUMMYFUNCTION("""COMPUTED_VALUE"""),26.6)</f>
        <v>26.6</v>
      </c>
      <c r="D2617" s="2">
        <f>IFERROR(__xludf.DUMMYFUNCTION("""COMPUTED_VALUE"""),26.33)</f>
        <v>26.33</v>
      </c>
      <c r="E2617" s="2">
        <f>IFERROR(__xludf.DUMMYFUNCTION("""COMPUTED_VALUE"""),26.39)</f>
        <v>26.39</v>
      </c>
      <c r="F2617" s="2">
        <f>IFERROR(__xludf.DUMMYFUNCTION("""COMPUTED_VALUE"""),1305200.0)</f>
        <v>1305200</v>
      </c>
    </row>
    <row r="2618">
      <c r="A2618" s="3">
        <f>IFERROR(__xludf.DUMMYFUNCTION("""COMPUTED_VALUE"""),33001.666666666664)</f>
        <v>33001.66667</v>
      </c>
      <c r="B2618" s="2">
        <f>IFERROR(__xludf.DUMMYFUNCTION("""COMPUTED_VALUE"""),26.45)</f>
        <v>26.45</v>
      </c>
      <c r="C2618" s="2">
        <f>IFERROR(__xludf.DUMMYFUNCTION("""COMPUTED_VALUE"""),26.51)</f>
        <v>26.51</v>
      </c>
      <c r="D2618" s="2">
        <f>IFERROR(__xludf.DUMMYFUNCTION("""COMPUTED_VALUE"""),26.36)</f>
        <v>26.36</v>
      </c>
      <c r="E2618" s="2">
        <f>IFERROR(__xludf.DUMMYFUNCTION("""COMPUTED_VALUE"""),26.45)</f>
        <v>26.45</v>
      </c>
      <c r="F2618" s="2">
        <f>IFERROR(__xludf.DUMMYFUNCTION("""COMPUTED_VALUE"""),1240500.0)</f>
        <v>1240500</v>
      </c>
    </row>
    <row r="2619">
      <c r="A2619" s="3">
        <f>IFERROR(__xludf.DUMMYFUNCTION("""COMPUTED_VALUE"""),33002.666666666664)</f>
        <v>33002.66667</v>
      </c>
      <c r="B2619" s="2">
        <f>IFERROR(__xludf.DUMMYFUNCTION("""COMPUTED_VALUE"""),26.57)</f>
        <v>26.57</v>
      </c>
      <c r="C2619" s="2">
        <f>IFERROR(__xludf.DUMMYFUNCTION("""COMPUTED_VALUE"""),26.57)</f>
        <v>26.57</v>
      </c>
      <c r="D2619" s="2">
        <f>IFERROR(__xludf.DUMMYFUNCTION("""COMPUTED_VALUE"""),26.36)</f>
        <v>26.36</v>
      </c>
      <c r="E2619" s="2">
        <f>IFERROR(__xludf.DUMMYFUNCTION("""COMPUTED_VALUE"""),26.57)</f>
        <v>26.57</v>
      </c>
      <c r="F2619" s="2">
        <f>IFERROR(__xludf.DUMMYFUNCTION("""COMPUTED_VALUE"""),1215500.0)</f>
        <v>1215500</v>
      </c>
    </row>
    <row r="2620">
      <c r="A2620" s="3">
        <f>IFERROR(__xludf.DUMMYFUNCTION("""COMPUTED_VALUE"""),33003.666666666664)</f>
        <v>33003.66667</v>
      </c>
      <c r="B2620" s="2">
        <f>IFERROR(__xludf.DUMMYFUNCTION("""COMPUTED_VALUE"""),26.83)</f>
        <v>26.83</v>
      </c>
      <c r="C2620" s="2">
        <f>IFERROR(__xludf.DUMMYFUNCTION("""COMPUTED_VALUE"""),26.95)</f>
        <v>26.95</v>
      </c>
      <c r="D2620" s="2">
        <f>IFERROR(__xludf.DUMMYFUNCTION("""COMPUTED_VALUE"""),26.57)</f>
        <v>26.57</v>
      </c>
      <c r="E2620" s="2">
        <f>IFERROR(__xludf.DUMMYFUNCTION("""COMPUTED_VALUE"""),26.83)</f>
        <v>26.83</v>
      </c>
      <c r="F2620" s="2">
        <f>IFERROR(__xludf.DUMMYFUNCTION("""COMPUTED_VALUE"""),1813800.0)</f>
        <v>1813800</v>
      </c>
    </row>
    <row r="2621">
      <c r="A2621" s="3">
        <f>IFERROR(__xludf.DUMMYFUNCTION("""COMPUTED_VALUE"""),33004.666666666664)</f>
        <v>33004.66667</v>
      </c>
      <c r="B2621" s="2">
        <f>IFERROR(__xludf.DUMMYFUNCTION("""COMPUTED_VALUE"""),27.22)</f>
        <v>27.22</v>
      </c>
      <c r="C2621" s="2">
        <f>IFERROR(__xludf.DUMMYFUNCTION("""COMPUTED_VALUE"""),27.34)</f>
        <v>27.34</v>
      </c>
      <c r="D2621" s="2">
        <f>IFERROR(__xludf.DUMMYFUNCTION("""COMPUTED_VALUE"""),26.98)</f>
        <v>26.98</v>
      </c>
      <c r="E2621" s="2">
        <f>IFERROR(__xludf.DUMMYFUNCTION("""COMPUTED_VALUE"""),27.22)</f>
        <v>27.22</v>
      </c>
      <c r="F2621" s="2">
        <f>IFERROR(__xludf.DUMMYFUNCTION("""COMPUTED_VALUE"""),2547300.0)</f>
        <v>2547300</v>
      </c>
    </row>
    <row r="2622">
      <c r="A2622" s="3">
        <f>IFERROR(__xludf.DUMMYFUNCTION("""COMPUTED_VALUE"""),33007.666666666664)</f>
        <v>33007.66667</v>
      </c>
      <c r="B2622" s="2">
        <f>IFERROR(__xludf.DUMMYFUNCTION("""COMPUTED_VALUE"""),27.28)</f>
        <v>27.28</v>
      </c>
      <c r="C2622" s="2">
        <f>IFERROR(__xludf.DUMMYFUNCTION("""COMPUTED_VALUE"""),27.58)</f>
        <v>27.58</v>
      </c>
      <c r="D2622" s="2">
        <f>IFERROR(__xludf.DUMMYFUNCTION("""COMPUTED_VALUE"""),27.22)</f>
        <v>27.22</v>
      </c>
      <c r="E2622" s="2">
        <f>IFERROR(__xludf.DUMMYFUNCTION("""COMPUTED_VALUE"""),27.28)</f>
        <v>27.28</v>
      </c>
      <c r="F2622" s="2">
        <f>IFERROR(__xludf.DUMMYFUNCTION("""COMPUTED_VALUE"""),2310600.0)</f>
        <v>2310600</v>
      </c>
    </row>
    <row r="2623">
      <c r="A2623" s="3">
        <f>IFERROR(__xludf.DUMMYFUNCTION("""COMPUTED_VALUE"""),33008.666666666664)</f>
        <v>33008.66667</v>
      </c>
      <c r="B2623" s="2">
        <f>IFERROR(__xludf.DUMMYFUNCTION("""COMPUTED_VALUE"""),27.61)</f>
        <v>27.61</v>
      </c>
      <c r="C2623" s="2">
        <f>IFERROR(__xludf.DUMMYFUNCTION("""COMPUTED_VALUE"""),27.61)</f>
        <v>27.61</v>
      </c>
      <c r="D2623" s="2">
        <f>IFERROR(__xludf.DUMMYFUNCTION("""COMPUTED_VALUE"""),27.16)</f>
        <v>27.16</v>
      </c>
      <c r="E2623" s="2">
        <f>IFERROR(__xludf.DUMMYFUNCTION("""COMPUTED_VALUE"""),27.61)</f>
        <v>27.61</v>
      </c>
      <c r="F2623" s="2">
        <f>IFERROR(__xludf.DUMMYFUNCTION("""COMPUTED_VALUE"""),1486000.0)</f>
        <v>1486000</v>
      </c>
    </row>
    <row r="2624">
      <c r="A2624" s="3">
        <f>IFERROR(__xludf.DUMMYFUNCTION("""COMPUTED_VALUE"""),33009.666666666664)</f>
        <v>33009.66667</v>
      </c>
      <c r="B2624" s="2">
        <f>IFERROR(__xludf.DUMMYFUNCTION("""COMPUTED_VALUE"""),27.55)</f>
        <v>27.55</v>
      </c>
      <c r="C2624" s="2">
        <f>IFERROR(__xludf.DUMMYFUNCTION("""COMPUTED_VALUE"""),27.64)</f>
        <v>27.64</v>
      </c>
      <c r="D2624" s="2">
        <f>IFERROR(__xludf.DUMMYFUNCTION("""COMPUTED_VALUE"""),27.37)</f>
        <v>27.37</v>
      </c>
      <c r="E2624" s="2">
        <f>IFERROR(__xludf.DUMMYFUNCTION("""COMPUTED_VALUE"""),27.55)</f>
        <v>27.55</v>
      </c>
      <c r="F2624" s="2">
        <f>IFERROR(__xludf.DUMMYFUNCTION("""COMPUTED_VALUE"""),1761500.0)</f>
        <v>1761500</v>
      </c>
    </row>
    <row r="2625">
      <c r="A2625" s="3">
        <f>IFERROR(__xludf.DUMMYFUNCTION("""COMPUTED_VALUE"""),33010.666666666664)</f>
        <v>33010.66667</v>
      </c>
      <c r="B2625" s="2">
        <f>IFERROR(__xludf.DUMMYFUNCTION("""COMPUTED_VALUE"""),27.73)</f>
        <v>27.73</v>
      </c>
      <c r="C2625" s="2">
        <f>IFERROR(__xludf.DUMMYFUNCTION("""COMPUTED_VALUE"""),27.76)</f>
        <v>27.76</v>
      </c>
      <c r="D2625" s="2">
        <f>IFERROR(__xludf.DUMMYFUNCTION("""COMPUTED_VALUE"""),27.49)</f>
        <v>27.49</v>
      </c>
      <c r="E2625" s="2">
        <f>IFERROR(__xludf.DUMMYFUNCTION("""COMPUTED_VALUE"""),27.73)</f>
        <v>27.73</v>
      </c>
      <c r="F2625" s="2">
        <f>IFERROR(__xludf.DUMMYFUNCTION("""COMPUTED_VALUE"""),1522600.0)</f>
        <v>1522600</v>
      </c>
    </row>
    <row r="2626">
      <c r="A2626" s="3">
        <f>IFERROR(__xludf.DUMMYFUNCTION("""COMPUTED_VALUE"""),33011.666666666664)</f>
        <v>33011.66667</v>
      </c>
      <c r="B2626" s="2">
        <f>IFERROR(__xludf.DUMMYFUNCTION("""COMPUTED_VALUE"""),27.55)</f>
        <v>27.55</v>
      </c>
      <c r="C2626" s="2">
        <f>IFERROR(__xludf.DUMMYFUNCTION("""COMPUTED_VALUE"""),27.76)</f>
        <v>27.76</v>
      </c>
      <c r="D2626" s="2">
        <f>IFERROR(__xludf.DUMMYFUNCTION("""COMPUTED_VALUE"""),27.52)</f>
        <v>27.52</v>
      </c>
      <c r="E2626" s="2">
        <f>IFERROR(__xludf.DUMMYFUNCTION("""COMPUTED_VALUE"""),27.55)</f>
        <v>27.55</v>
      </c>
      <c r="F2626" s="2">
        <f>IFERROR(__xludf.DUMMYFUNCTION("""COMPUTED_VALUE"""),1770200.0)</f>
        <v>1770200</v>
      </c>
    </row>
    <row r="2627">
      <c r="A2627" s="3">
        <f>IFERROR(__xludf.DUMMYFUNCTION("""COMPUTED_VALUE"""),33014.666666666664)</f>
        <v>33014.66667</v>
      </c>
      <c r="B2627" s="2">
        <f>IFERROR(__xludf.DUMMYFUNCTION("""COMPUTED_VALUE"""),27.94)</f>
        <v>27.94</v>
      </c>
      <c r="C2627" s="2">
        <f>IFERROR(__xludf.DUMMYFUNCTION("""COMPUTED_VALUE"""),28.03)</f>
        <v>28.03</v>
      </c>
      <c r="D2627" s="2">
        <f>IFERROR(__xludf.DUMMYFUNCTION("""COMPUTED_VALUE"""),27.49)</f>
        <v>27.49</v>
      </c>
      <c r="E2627" s="2">
        <f>IFERROR(__xludf.DUMMYFUNCTION("""COMPUTED_VALUE"""),27.94)</f>
        <v>27.94</v>
      </c>
      <c r="F2627" s="2">
        <f>IFERROR(__xludf.DUMMYFUNCTION("""COMPUTED_VALUE"""),1735600.0)</f>
        <v>1735600</v>
      </c>
    </row>
    <row r="2628">
      <c r="A2628" s="3">
        <f>IFERROR(__xludf.DUMMYFUNCTION("""COMPUTED_VALUE"""),33015.666666666664)</f>
        <v>33015.66667</v>
      </c>
      <c r="B2628" s="2">
        <f>IFERROR(__xludf.DUMMYFUNCTION("""COMPUTED_VALUE"""),28.12)</f>
        <v>28.12</v>
      </c>
      <c r="C2628" s="2">
        <f>IFERROR(__xludf.DUMMYFUNCTION("""COMPUTED_VALUE"""),28.12)</f>
        <v>28.12</v>
      </c>
      <c r="D2628" s="2">
        <f>IFERROR(__xludf.DUMMYFUNCTION("""COMPUTED_VALUE"""),27.85)</f>
        <v>27.85</v>
      </c>
      <c r="E2628" s="2">
        <f>IFERROR(__xludf.DUMMYFUNCTION("""COMPUTED_VALUE"""),28.12)</f>
        <v>28.12</v>
      </c>
      <c r="F2628" s="2">
        <f>IFERROR(__xludf.DUMMYFUNCTION("""COMPUTED_VALUE"""),1933600.0)</f>
        <v>1933600</v>
      </c>
    </row>
    <row r="2629">
      <c r="A2629" s="3">
        <f>IFERROR(__xludf.DUMMYFUNCTION("""COMPUTED_VALUE"""),33016.666666666664)</f>
        <v>33016.66667</v>
      </c>
      <c r="B2629" s="2">
        <f>IFERROR(__xludf.DUMMYFUNCTION("""COMPUTED_VALUE"""),28.36)</f>
        <v>28.36</v>
      </c>
      <c r="C2629" s="2">
        <f>IFERROR(__xludf.DUMMYFUNCTION("""COMPUTED_VALUE"""),28.36)</f>
        <v>28.36</v>
      </c>
      <c r="D2629" s="2">
        <f>IFERROR(__xludf.DUMMYFUNCTION("""COMPUTED_VALUE"""),28.0)</f>
        <v>28</v>
      </c>
      <c r="E2629" s="2">
        <f>IFERROR(__xludf.DUMMYFUNCTION("""COMPUTED_VALUE"""),28.36)</f>
        <v>28.36</v>
      </c>
      <c r="F2629" s="2">
        <f>IFERROR(__xludf.DUMMYFUNCTION("""COMPUTED_VALUE"""),1703100.0)</f>
        <v>1703100</v>
      </c>
    </row>
    <row r="2630">
      <c r="A2630" s="3">
        <f>IFERROR(__xludf.DUMMYFUNCTION("""COMPUTED_VALUE"""),33017.666666666664)</f>
        <v>33017.66667</v>
      </c>
      <c r="B2630" s="2">
        <f>IFERROR(__xludf.DUMMYFUNCTION("""COMPUTED_VALUE"""),28.36)</f>
        <v>28.36</v>
      </c>
      <c r="C2630" s="2">
        <f>IFERROR(__xludf.DUMMYFUNCTION("""COMPUTED_VALUE"""),28.39)</f>
        <v>28.39</v>
      </c>
      <c r="D2630" s="2">
        <f>IFERROR(__xludf.DUMMYFUNCTION("""COMPUTED_VALUE"""),28.15)</f>
        <v>28.15</v>
      </c>
      <c r="E2630" s="2">
        <f>IFERROR(__xludf.DUMMYFUNCTION("""COMPUTED_VALUE"""),28.36)</f>
        <v>28.36</v>
      </c>
      <c r="F2630" s="2">
        <f>IFERROR(__xludf.DUMMYFUNCTION("""COMPUTED_VALUE"""),1445300.0)</f>
        <v>1445300</v>
      </c>
    </row>
    <row r="2631">
      <c r="A2631" s="3">
        <f>IFERROR(__xludf.DUMMYFUNCTION("""COMPUTED_VALUE"""),33018.666666666664)</f>
        <v>33018.66667</v>
      </c>
      <c r="B2631" s="2">
        <f>IFERROR(__xludf.DUMMYFUNCTION("""COMPUTED_VALUE"""),27.76)</f>
        <v>27.76</v>
      </c>
      <c r="C2631" s="2">
        <f>IFERROR(__xludf.DUMMYFUNCTION("""COMPUTED_VALUE"""),28.18)</f>
        <v>28.18</v>
      </c>
      <c r="D2631" s="2">
        <f>IFERROR(__xludf.DUMMYFUNCTION("""COMPUTED_VALUE"""),27.73)</f>
        <v>27.73</v>
      </c>
      <c r="E2631" s="2">
        <f>IFERROR(__xludf.DUMMYFUNCTION("""COMPUTED_VALUE"""),27.76)</f>
        <v>27.76</v>
      </c>
      <c r="F2631" s="2">
        <f>IFERROR(__xludf.DUMMYFUNCTION("""COMPUTED_VALUE"""),1148700.0)</f>
        <v>1148700</v>
      </c>
    </row>
    <row r="2632">
      <c r="A2632" s="3">
        <f>IFERROR(__xludf.DUMMYFUNCTION("""COMPUTED_VALUE"""),33022.666666666664)</f>
        <v>33022.66667</v>
      </c>
      <c r="B2632" s="2">
        <f>IFERROR(__xludf.DUMMYFUNCTION("""COMPUTED_VALUE"""),28.6)</f>
        <v>28.6</v>
      </c>
      <c r="C2632" s="2">
        <f>IFERROR(__xludf.DUMMYFUNCTION("""COMPUTED_VALUE"""),28.63)</f>
        <v>28.63</v>
      </c>
      <c r="D2632" s="2">
        <f>IFERROR(__xludf.DUMMYFUNCTION("""COMPUTED_VALUE"""),27.88)</f>
        <v>27.88</v>
      </c>
      <c r="E2632" s="2">
        <f>IFERROR(__xludf.DUMMYFUNCTION("""COMPUTED_VALUE"""),28.6)</f>
        <v>28.6</v>
      </c>
      <c r="F2632" s="2">
        <f>IFERROR(__xludf.DUMMYFUNCTION("""COMPUTED_VALUE"""),1960100.0)</f>
        <v>1960100</v>
      </c>
    </row>
    <row r="2633">
      <c r="A2633" s="3">
        <f>IFERROR(__xludf.DUMMYFUNCTION("""COMPUTED_VALUE"""),33023.666666666664)</f>
        <v>33023.66667</v>
      </c>
      <c r="B2633" s="2">
        <f>IFERROR(__xludf.DUMMYFUNCTION("""COMPUTED_VALUE"""),28.86)</f>
        <v>28.86</v>
      </c>
      <c r="C2633" s="2">
        <f>IFERROR(__xludf.DUMMYFUNCTION("""COMPUTED_VALUE"""),29.16)</f>
        <v>29.16</v>
      </c>
      <c r="D2633" s="2">
        <f>IFERROR(__xludf.DUMMYFUNCTION("""COMPUTED_VALUE"""),28.57)</f>
        <v>28.57</v>
      </c>
      <c r="E2633" s="2">
        <f>IFERROR(__xludf.DUMMYFUNCTION("""COMPUTED_VALUE"""),28.86)</f>
        <v>28.86</v>
      </c>
      <c r="F2633" s="2">
        <f>IFERROR(__xludf.DUMMYFUNCTION("""COMPUTED_VALUE"""),2857000.0)</f>
        <v>2857000</v>
      </c>
    </row>
    <row r="2634">
      <c r="A2634" s="3">
        <f>IFERROR(__xludf.DUMMYFUNCTION("""COMPUTED_VALUE"""),33024.666666666664)</f>
        <v>33024.66667</v>
      </c>
      <c r="B2634" s="2">
        <f>IFERROR(__xludf.DUMMYFUNCTION("""COMPUTED_VALUE"""),28.65)</f>
        <v>28.65</v>
      </c>
      <c r="C2634" s="2">
        <f>IFERROR(__xludf.DUMMYFUNCTION("""COMPUTED_VALUE"""),28.86)</f>
        <v>28.86</v>
      </c>
      <c r="D2634" s="2">
        <f>IFERROR(__xludf.DUMMYFUNCTION("""COMPUTED_VALUE"""),28.54)</f>
        <v>28.54</v>
      </c>
      <c r="E2634" s="2">
        <f>IFERROR(__xludf.DUMMYFUNCTION("""COMPUTED_VALUE"""),28.65)</f>
        <v>28.65</v>
      </c>
      <c r="F2634" s="2">
        <f>IFERROR(__xludf.DUMMYFUNCTION("""COMPUTED_VALUE"""),1990900.0)</f>
        <v>1990900</v>
      </c>
    </row>
    <row r="2635">
      <c r="A2635" s="3">
        <f>IFERROR(__xludf.DUMMYFUNCTION("""COMPUTED_VALUE"""),33025.666666666664)</f>
        <v>33025.66667</v>
      </c>
      <c r="B2635" s="2">
        <f>IFERROR(__xludf.DUMMYFUNCTION("""COMPUTED_VALUE"""),28.54)</f>
        <v>28.54</v>
      </c>
      <c r="C2635" s="2">
        <f>IFERROR(__xludf.DUMMYFUNCTION("""COMPUTED_VALUE"""),28.83)</f>
        <v>28.83</v>
      </c>
      <c r="D2635" s="2">
        <f>IFERROR(__xludf.DUMMYFUNCTION("""COMPUTED_VALUE"""),28.42)</f>
        <v>28.42</v>
      </c>
      <c r="E2635" s="2">
        <f>IFERROR(__xludf.DUMMYFUNCTION("""COMPUTED_VALUE"""),28.54)</f>
        <v>28.54</v>
      </c>
      <c r="F2635" s="2">
        <f>IFERROR(__xludf.DUMMYFUNCTION("""COMPUTED_VALUE"""),1542000.0)</f>
        <v>1542000</v>
      </c>
    </row>
    <row r="2636">
      <c r="A2636" s="3">
        <f>IFERROR(__xludf.DUMMYFUNCTION("""COMPUTED_VALUE"""),33028.666666666664)</f>
        <v>33028.66667</v>
      </c>
      <c r="B2636" s="2">
        <f>IFERROR(__xludf.DUMMYFUNCTION("""COMPUTED_VALUE"""),28.74)</f>
        <v>28.74</v>
      </c>
      <c r="C2636" s="2">
        <f>IFERROR(__xludf.DUMMYFUNCTION("""COMPUTED_VALUE"""),28.86)</f>
        <v>28.86</v>
      </c>
      <c r="D2636" s="2">
        <f>IFERROR(__xludf.DUMMYFUNCTION("""COMPUTED_VALUE"""),28.48)</f>
        <v>28.48</v>
      </c>
      <c r="E2636" s="2">
        <f>IFERROR(__xludf.DUMMYFUNCTION("""COMPUTED_VALUE"""),28.74)</f>
        <v>28.74</v>
      </c>
      <c r="F2636" s="2">
        <f>IFERROR(__xludf.DUMMYFUNCTION("""COMPUTED_VALUE"""),1298300.0)</f>
        <v>1298300</v>
      </c>
    </row>
    <row r="2637">
      <c r="A2637" s="3">
        <f>IFERROR(__xludf.DUMMYFUNCTION("""COMPUTED_VALUE"""),33029.666666666664)</f>
        <v>33029.66667</v>
      </c>
      <c r="B2637" s="2">
        <f>IFERROR(__xludf.DUMMYFUNCTION("""COMPUTED_VALUE"""),28.83)</f>
        <v>28.83</v>
      </c>
      <c r="C2637" s="2">
        <f>IFERROR(__xludf.DUMMYFUNCTION("""COMPUTED_VALUE"""),29.1)</f>
        <v>29.1</v>
      </c>
      <c r="D2637" s="2">
        <f>IFERROR(__xludf.DUMMYFUNCTION("""COMPUTED_VALUE"""),28.68)</f>
        <v>28.68</v>
      </c>
      <c r="E2637" s="2">
        <f>IFERROR(__xludf.DUMMYFUNCTION("""COMPUTED_VALUE"""),28.83)</f>
        <v>28.83</v>
      </c>
      <c r="F2637" s="2">
        <f>IFERROR(__xludf.DUMMYFUNCTION("""COMPUTED_VALUE"""),2351900.0)</f>
        <v>2351900</v>
      </c>
    </row>
    <row r="2638">
      <c r="A2638" s="3">
        <f>IFERROR(__xludf.DUMMYFUNCTION("""COMPUTED_VALUE"""),33030.666666666664)</f>
        <v>33030.66667</v>
      </c>
      <c r="B2638" s="2">
        <f>IFERROR(__xludf.DUMMYFUNCTION("""COMPUTED_VALUE"""),28.8)</f>
        <v>28.8</v>
      </c>
      <c r="C2638" s="2">
        <f>IFERROR(__xludf.DUMMYFUNCTION("""COMPUTED_VALUE"""),29.19)</f>
        <v>29.19</v>
      </c>
      <c r="D2638" s="2">
        <f>IFERROR(__xludf.DUMMYFUNCTION("""COMPUTED_VALUE"""),28.74)</f>
        <v>28.74</v>
      </c>
      <c r="E2638" s="2">
        <f>IFERROR(__xludf.DUMMYFUNCTION("""COMPUTED_VALUE"""),28.8)</f>
        <v>28.8</v>
      </c>
      <c r="F2638" s="2">
        <f>IFERROR(__xludf.DUMMYFUNCTION("""COMPUTED_VALUE"""),1543500.0)</f>
        <v>1543500</v>
      </c>
    </row>
    <row r="2639">
      <c r="A2639" s="3">
        <f>IFERROR(__xludf.DUMMYFUNCTION("""COMPUTED_VALUE"""),33031.666666666664)</f>
        <v>33031.66667</v>
      </c>
      <c r="B2639" s="2">
        <f>IFERROR(__xludf.DUMMYFUNCTION("""COMPUTED_VALUE"""),28.8)</f>
        <v>28.8</v>
      </c>
      <c r="C2639" s="2">
        <f>IFERROR(__xludf.DUMMYFUNCTION("""COMPUTED_VALUE"""),29.01)</f>
        <v>29.01</v>
      </c>
      <c r="D2639" s="2">
        <f>IFERROR(__xludf.DUMMYFUNCTION("""COMPUTED_VALUE"""),28.6)</f>
        <v>28.6</v>
      </c>
      <c r="E2639" s="2">
        <f>IFERROR(__xludf.DUMMYFUNCTION("""COMPUTED_VALUE"""),28.8)</f>
        <v>28.8</v>
      </c>
      <c r="F2639" s="2">
        <f>IFERROR(__xludf.DUMMYFUNCTION("""COMPUTED_VALUE"""),1487400.0)</f>
        <v>1487400</v>
      </c>
    </row>
    <row r="2640">
      <c r="A2640" s="3">
        <f>IFERROR(__xludf.DUMMYFUNCTION("""COMPUTED_VALUE"""),33032.666666666664)</f>
        <v>33032.66667</v>
      </c>
      <c r="B2640" s="2">
        <f>IFERROR(__xludf.DUMMYFUNCTION("""COMPUTED_VALUE"""),28.36)</f>
        <v>28.36</v>
      </c>
      <c r="C2640" s="2">
        <f>IFERROR(__xludf.DUMMYFUNCTION("""COMPUTED_VALUE"""),28.86)</f>
        <v>28.86</v>
      </c>
      <c r="D2640" s="2">
        <f>IFERROR(__xludf.DUMMYFUNCTION("""COMPUTED_VALUE"""),28.33)</f>
        <v>28.33</v>
      </c>
      <c r="E2640" s="2">
        <f>IFERROR(__xludf.DUMMYFUNCTION("""COMPUTED_VALUE"""),28.36)</f>
        <v>28.36</v>
      </c>
      <c r="F2640" s="2">
        <f>IFERROR(__xludf.DUMMYFUNCTION("""COMPUTED_VALUE"""),1431300.0)</f>
        <v>1431300</v>
      </c>
    </row>
    <row r="2641">
      <c r="A2641" s="3">
        <f>IFERROR(__xludf.DUMMYFUNCTION("""COMPUTED_VALUE"""),33035.666666666664)</f>
        <v>33035.66667</v>
      </c>
      <c r="B2641" s="2">
        <f>IFERROR(__xludf.DUMMYFUNCTION("""COMPUTED_VALUE"""),28.63)</f>
        <v>28.63</v>
      </c>
      <c r="C2641" s="2">
        <f>IFERROR(__xludf.DUMMYFUNCTION("""COMPUTED_VALUE"""),28.71)</f>
        <v>28.71</v>
      </c>
      <c r="D2641" s="2">
        <f>IFERROR(__xludf.DUMMYFUNCTION("""COMPUTED_VALUE"""),28.33)</f>
        <v>28.33</v>
      </c>
      <c r="E2641" s="2">
        <f>IFERROR(__xludf.DUMMYFUNCTION("""COMPUTED_VALUE"""),28.63)</f>
        <v>28.63</v>
      </c>
      <c r="F2641" s="2">
        <f>IFERROR(__xludf.DUMMYFUNCTION("""COMPUTED_VALUE"""),1081700.0)</f>
        <v>1081700</v>
      </c>
    </row>
    <row r="2642">
      <c r="A2642" s="3">
        <f>IFERROR(__xludf.DUMMYFUNCTION("""COMPUTED_VALUE"""),33036.666666666664)</f>
        <v>33036.66667</v>
      </c>
      <c r="B2642" s="2">
        <f>IFERROR(__xludf.DUMMYFUNCTION("""COMPUTED_VALUE"""),28.71)</f>
        <v>28.71</v>
      </c>
      <c r="C2642" s="2">
        <f>IFERROR(__xludf.DUMMYFUNCTION("""COMPUTED_VALUE"""),28.86)</f>
        <v>28.86</v>
      </c>
      <c r="D2642" s="2">
        <f>IFERROR(__xludf.DUMMYFUNCTION("""COMPUTED_VALUE"""),28.48)</f>
        <v>28.48</v>
      </c>
      <c r="E2642" s="2">
        <f>IFERROR(__xludf.DUMMYFUNCTION("""COMPUTED_VALUE"""),28.71)</f>
        <v>28.71</v>
      </c>
      <c r="F2642" s="2">
        <f>IFERROR(__xludf.DUMMYFUNCTION("""COMPUTED_VALUE"""),1376200.0)</f>
        <v>1376200</v>
      </c>
    </row>
    <row r="2643">
      <c r="A2643" s="3">
        <f>IFERROR(__xludf.DUMMYFUNCTION("""COMPUTED_VALUE"""),33037.666666666664)</f>
        <v>33037.66667</v>
      </c>
      <c r="B2643" s="2">
        <f>IFERROR(__xludf.DUMMYFUNCTION("""COMPUTED_VALUE"""),28.98)</f>
        <v>28.98</v>
      </c>
      <c r="C2643" s="2">
        <f>IFERROR(__xludf.DUMMYFUNCTION("""COMPUTED_VALUE"""),29.16)</f>
        <v>29.16</v>
      </c>
      <c r="D2643" s="2">
        <f>IFERROR(__xludf.DUMMYFUNCTION("""COMPUTED_VALUE"""),28.71)</f>
        <v>28.71</v>
      </c>
      <c r="E2643" s="2">
        <f>IFERROR(__xludf.DUMMYFUNCTION("""COMPUTED_VALUE"""),28.98)</f>
        <v>28.98</v>
      </c>
      <c r="F2643" s="2">
        <f>IFERROR(__xludf.DUMMYFUNCTION("""COMPUTED_VALUE"""),2241000.0)</f>
        <v>2241000</v>
      </c>
    </row>
    <row r="2644">
      <c r="A2644" s="3">
        <f>IFERROR(__xludf.DUMMYFUNCTION("""COMPUTED_VALUE"""),33038.666666666664)</f>
        <v>33038.66667</v>
      </c>
      <c r="B2644" s="2">
        <f>IFERROR(__xludf.DUMMYFUNCTION("""COMPUTED_VALUE"""),28.86)</f>
        <v>28.86</v>
      </c>
      <c r="C2644" s="2">
        <f>IFERROR(__xludf.DUMMYFUNCTION("""COMPUTED_VALUE"""),29.1)</f>
        <v>29.1</v>
      </c>
      <c r="D2644" s="2">
        <f>IFERROR(__xludf.DUMMYFUNCTION("""COMPUTED_VALUE"""),28.68)</f>
        <v>28.68</v>
      </c>
      <c r="E2644" s="2">
        <f>IFERROR(__xludf.DUMMYFUNCTION("""COMPUTED_VALUE"""),28.86)</f>
        <v>28.86</v>
      </c>
      <c r="F2644" s="2">
        <f>IFERROR(__xludf.DUMMYFUNCTION("""COMPUTED_VALUE"""),1698300.0)</f>
        <v>1698300</v>
      </c>
    </row>
    <row r="2645">
      <c r="A2645" s="3">
        <f>IFERROR(__xludf.DUMMYFUNCTION("""COMPUTED_VALUE"""),33039.666666666664)</f>
        <v>33039.66667</v>
      </c>
      <c r="B2645" s="2">
        <f>IFERROR(__xludf.DUMMYFUNCTION("""COMPUTED_VALUE"""),28.74)</f>
        <v>28.74</v>
      </c>
      <c r="C2645" s="2">
        <f>IFERROR(__xludf.DUMMYFUNCTION("""COMPUTED_VALUE"""),28.95)</f>
        <v>28.95</v>
      </c>
      <c r="D2645" s="2">
        <f>IFERROR(__xludf.DUMMYFUNCTION("""COMPUTED_VALUE"""),28.68)</f>
        <v>28.68</v>
      </c>
      <c r="E2645" s="2">
        <f>IFERROR(__xludf.DUMMYFUNCTION("""COMPUTED_VALUE"""),28.74)</f>
        <v>28.74</v>
      </c>
      <c r="F2645" s="2">
        <f>IFERROR(__xludf.DUMMYFUNCTION("""COMPUTED_VALUE"""),2111900.0)</f>
        <v>2111900</v>
      </c>
    </row>
    <row r="2646">
      <c r="A2646" s="3">
        <f>IFERROR(__xludf.DUMMYFUNCTION("""COMPUTED_VALUE"""),33042.666666666664)</f>
        <v>33042.66667</v>
      </c>
      <c r="B2646" s="2">
        <f>IFERROR(__xludf.DUMMYFUNCTION("""COMPUTED_VALUE"""),28.36)</f>
        <v>28.36</v>
      </c>
      <c r="C2646" s="2">
        <f>IFERROR(__xludf.DUMMYFUNCTION("""COMPUTED_VALUE"""),28.83)</f>
        <v>28.83</v>
      </c>
      <c r="D2646" s="2">
        <f>IFERROR(__xludf.DUMMYFUNCTION("""COMPUTED_VALUE"""),28.33)</f>
        <v>28.33</v>
      </c>
      <c r="E2646" s="2">
        <f>IFERROR(__xludf.DUMMYFUNCTION("""COMPUTED_VALUE"""),28.36)</f>
        <v>28.36</v>
      </c>
      <c r="F2646" s="2">
        <f>IFERROR(__xludf.DUMMYFUNCTION("""COMPUTED_VALUE"""),1492000.0)</f>
        <v>1492000</v>
      </c>
    </row>
    <row r="2647">
      <c r="A2647" s="3">
        <f>IFERROR(__xludf.DUMMYFUNCTION("""COMPUTED_VALUE"""),33043.666666666664)</f>
        <v>33043.66667</v>
      </c>
      <c r="B2647" s="2">
        <f>IFERROR(__xludf.DUMMYFUNCTION("""COMPUTED_VALUE"""),28.36)</f>
        <v>28.36</v>
      </c>
      <c r="C2647" s="2">
        <f>IFERROR(__xludf.DUMMYFUNCTION("""COMPUTED_VALUE"""),28.45)</f>
        <v>28.45</v>
      </c>
      <c r="D2647" s="2">
        <f>IFERROR(__xludf.DUMMYFUNCTION("""COMPUTED_VALUE"""),28.15)</f>
        <v>28.15</v>
      </c>
      <c r="E2647" s="2">
        <f>IFERROR(__xludf.DUMMYFUNCTION("""COMPUTED_VALUE"""),28.36)</f>
        <v>28.36</v>
      </c>
      <c r="F2647" s="2">
        <f>IFERROR(__xludf.DUMMYFUNCTION("""COMPUTED_VALUE"""),1445600.0)</f>
        <v>1445600</v>
      </c>
    </row>
    <row r="2648">
      <c r="A2648" s="3">
        <f>IFERROR(__xludf.DUMMYFUNCTION("""COMPUTED_VALUE"""),33044.666666666664)</f>
        <v>33044.66667</v>
      </c>
      <c r="B2648" s="2">
        <f>IFERROR(__xludf.DUMMYFUNCTION("""COMPUTED_VALUE"""),28.18)</f>
        <v>28.18</v>
      </c>
      <c r="C2648" s="2">
        <f>IFERROR(__xludf.DUMMYFUNCTION("""COMPUTED_VALUE"""),28.45)</f>
        <v>28.45</v>
      </c>
      <c r="D2648" s="2">
        <f>IFERROR(__xludf.DUMMYFUNCTION("""COMPUTED_VALUE"""),28.0)</f>
        <v>28</v>
      </c>
      <c r="E2648" s="2">
        <f>IFERROR(__xludf.DUMMYFUNCTION("""COMPUTED_VALUE"""),28.18)</f>
        <v>28.18</v>
      </c>
      <c r="F2648" s="2">
        <f>IFERROR(__xludf.DUMMYFUNCTION("""COMPUTED_VALUE"""),1011200.0)</f>
        <v>1011200</v>
      </c>
    </row>
    <row r="2649">
      <c r="A2649" s="3">
        <f>IFERROR(__xludf.DUMMYFUNCTION("""COMPUTED_VALUE"""),33045.666666666664)</f>
        <v>33045.66667</v>
      </c>
      <c r="B2649" s="2">
        <f>IFERROR(__xludf.DUMMYFUNCTION("""COMPUTED_VALUE"""),28.45)</f>
        <v>28.45</v>
      </c>
      <c r="C2649" s="2">
        <f>IFERROR(__xludf.DUMMYFUNCTION("""COMPUTED_VALUE"""),28.45)</f>
        <v>28.45</v>
      </c>
      <c r="D2649" s="2">
        <f>IFERROR(__xludf.DUMMYFUNCTION("""COMPUTED_VALUE"""),28.06)</f>
        <v>28.06</v>
      </c>
      <c r="E2649" s="2">
        <f>IFERROR(__xludf.DUMMYFUNCTION("""COMPUTED_VALUE"""),28.45)</f>
        <v>28.45</v>
      </c>
      <c r="F2649" s="2">
        <f>IFERROR(__xludf.DUMMYFUNCTION("""COMPUTED_VALUE"""),1001200.0)</f>
        <v>1001200</v>
      </c>
    </row>
    <row r="2650">
      <c r="A2650" s="3">
        <f>IFERROR(__xludf.DUMMYFUNCTION("""COMPUTED_VALUE"""),33046.666666666664)</f>
        <v>33046.66667</v>
      </c>
      <c r="B2650" s="2">
        <f>IFERROR(__xludf.DUMMYFUNCTION("""COMPUTED_VALUE"""),27.76)</f>
        <v>27.76</v>
      </c>
      <c r="C2650" s="2">
        <f>IFERROR(__xludf.DUMMYFUNCTION("""COMPUTED_VALUE"""),28.54)</f>
        <v>28.54</v>
      </c>
      <c r="D2650" s="2">
        <f>IFERROR(__xludf.DUMMYFUNCTION("""COMPUTED_VALUE"""),27.76)</f>
        <v>27.76</v>
      </c>
      <c r="E2650" s="2">
        <f>IFERROR(__xludf.DUMMYFUNCTION("""COMPUTED_VALUE"""),27.76)</f>
        <v>27.76</v>
      </c>
      <c r="F2650" s="2">
        <f>IFERROR(__xludf.DUMMYFUNCTION("""COMPUTED_VALUE"""),1200100.0)</f>
        <v>1200100</v>
      </c>
    </row>
    <row r="2651">
      <c r="A2651" s="3">
        <f>IFERROR(__xludf.DUMMYFUNCTION("""COMPUTED_VALUE"""),33049.666666666664)</f>
        <v>33049.66667</v>
      </c>
      <c r="B2651" s="2">
        <f>IFERROR(__xludf.DUMMYFUNCTION("""COMPUTED_VALUE"""),27.85)</f>
        <v>27.85</v>
      </c>
      <c r="C2651" s="2">
        <f>IFERROR(__xludf.DUMMYFUNCTION("""COMPUTED_VALUE"""),28.0)</f>
        <v>28</v>
      </c>
      <c r="D2651" s="2">
        <f>IFERROR(__xludf.DUMMYFUNCTION("""COMPUTED_VALUE"""),27.82)</f>
        <v>27.82</v>
      </c>
      <c r="E2651" s="2">
        <f>IFERROR(__xludf.DUMMYFUNCTION("""COMPUTED_VALUE"""),27.85)</f>
        <v>27.85</v>
      </c>
      <c r="F2651" s="2">
        <f>IFERROR(__xludf.DUMMYFUNCTION("""COMPUTED_VALUE"""),1126200.0)</f>
        <v>1126200</v>
      </c>
    </row>
    <row r="2652">
      <c r="A2652" s="3">
        <f>IFERROR(__xludf.DUMMYFUNCTION("""COMPUTED_VALUE"""),33050.666666666664)</f>
        <v>33050.66667</v>
      </c>
      <c r="B2652" s="2">
        <f>IFERROR(__xludf.DUMMYFUNCTION("""COMPUTED_VALUE"""),27.88)</f>
        <v>27.88</v>
      </c>
      <c r="C2652" s="2">
        <f>IFERROR(__xludf.DUMMYFUNCTION("""COMPUTED_VALUE"""),28.18)</f>
        <v>28.18</v>
      </c>
      <c r="D2652" s="2">
        <f>IFERROR(__xludf.DUMMYFUNCTION("""COMPUTED_VALUE"""),27.82)</f>
        <v>27.82</v>
      </c>
      <c r="E2652" s="2">
        <f>IFERROR(__xludf.DUMMYFUNCTION("""COMPUTED_VALUE"""),27.88)</f>
        <v>27.88</v>
      </c>
      <c r="F2652" s="2">
        <f>IFERROR(__xludf.DUMMYFUNCTION("""COMPUTED_VALUE"""),1254400.0)</f>
        <v>1254400</v>
      </c>
    </row>
    <row r="2653">
      <c r="A2653" s="3">
        <f>IFERROR(__xludf.DUMMYFUNCTION("""COMPUTED_VALUE"""),33051.666666666664)</f>
        <v>33051.66667</v>
      </c>
      <c r="B2653" s="2">
        <f>IFERROR(__xludf.DUMMYFUNCTION("""COMPUTED_VALUE"""),28.18)</f>
        <v>28.18</v>
      </c>
      <c r="C2653" s="2">
        <f>IFERROR(__xludf.DUMMYFUNCTION("""COMPUTED_VALUE"""),28.21)</f>
        <v>28.21</v>
      </c>
      <c r="D2653" s="2">
        <f>IFERROR(__xludf.DUMMYFUNCTION("""COMPUTED_VALUE"""),27.88)</f>
        <v>27.88</v>
      </c>
      <c r="E2653" s="2">
        <f>IFERROR(__xludf.DUMMYFUNCTION("""COMPUTED_VALUE"""),28.18)</f>
        <v>28.18</v>
      </c>
      <c r="F2653" s="2">
        <f>IFERROR(__xludf.DUMMYFUNCTION("""COMPUTED_VALUE"""),1151700.0)</f>
        <v>1151700</v>
      </c>
    </row>
    <row r="2654">
      <c r="A2654" s="3">
        <f>IFERROR(__xludf.DUMMYFUNCTION("""COMPUTED_VALUE"""),33052.666666666664)</f>
        <v>33052.66667</v>
      </c>
      <c r="B2654" s="2">
        <f>IFERROR(__xludf.DUMMYFUNCTION("""COMPUTED_VALUE"""),28.09)</f>
        <v>28.09</v>
      </c>
      <c r="C2654" s="2">
        <f>IFERROR(__xludf.DUMMYFUNCTION("""COMPUTED_VALUE"""),28.27)</f>
        <v>28.27</v>
      </c>
      <c r="D2654" s="2">
        <f>IFERROR(__xludf.DUMMYFUNCTION("""COMPUTED_VALUE"""),28.06)</f>
        <v>28.06</v>
      </c>
      <c r="E2654" s="2">
        <f>IFERROR(__xludf.DUMMYFUNCTION("""COMPUTED_VALUE"""),28.09)</f>
        <v>28.09</v>
      </c>
      <c r="F2654" s="2">
        <f>IFERROR(__xludf.DUMMYFUNCTION("""COMPUTED_VALUE"""),803800.0)</f>
        <v>803800</v>
      </c>
    </row>
    <row r="2655">
      <c r="A2655" s="3">
        <f>IFERROR(__xludf.DUMMYFUNCTION("""COMPUTED_VALUE"""),33053.666666666664)</f>
        <v>33053.66667</v>
      </c>
      <c r="B2655" s="2">
        <f>IFERROR(__xludf.DUMMYFUNCTION("""COMPUTED_VALUE"""),28.06)</f>
        <v>28.06</v>
      </c>
      <c r="C2655" s="2">
        <f>IFERROR(__xludf.DUMMYFUNCTION("""COMPUTED_VALUE"""),28.21)</f>
        <v>28.21</v>
      </c>
      <c r="D2655" s="2">
        <f>IFERROR(__xludf.DUMMYFUNCTION("""COMPUTED_VALUE"""),28.03)</f>
        <v>28.03</v>
      </c>
      <c r="E2655" s="2">
        <f>IFERROR(__xludf.DUMMYFUNCTION("""COMPUTED_VALUE"""),28.06)</f>
        <v>28.06</v>
      </c>
      <c r="F2655" s="2">
        <f>IFERROR(__xludf.DUMMYFUNCTION("""COMPUTED_VALUE"""),848700.0)</f>
        <v>848700</v>
      </c>
    </row>
    <row r="2656">
      <c r="A2656" s="3">
        <f>IFERROR(__xludf.DUMMYFUNCTION("""COMPUTED_VALUE"""),33056.666666666664)</f>
        <v>33056.66667</v>
      </c>
      <c r="B2656" s="2">
        <f>IFERROR(__xludf.DUMMYFUNCTION("""COMPUTED_VALUE"""),28.3)</f>
        <v>28.3</v>
      </c>
      <c r="C2656" s="2">
        <f>IFERROR(__xludf.DUMMYFUNCTION("""COMPUTED_VALUE"""),28.36)</f>
        <v>28.36</v>
      </c>
      <c r="D2656" s="2">
        <f>IFERROR(__xludf.DUMMYFUNCTION("""COMPUTED_VALUE"""),28.03)</f>
        <v>28.03</v>
      </c>
      <c r="E2656" s="2">
        <f>IFERROR(__xludf.DUMMYFUNCTION("""COMPUTED_VALUE"""),28.3)</f>
        <v>28.3</v>
      </c>
      <c r="F2656" s="2">
        <f>IFERROR(__xludf.DUMMYFUNCTION("""COMPUTED_VALUE"""),916000.0)</f>
        <v>916000</v>
      </c>
    </row>
    <row r="2657">
      <c r="A2657" s="3">
        <f>IFERROR(__xludf.DUMMYFUNCTION("""COMPUTED_VALUE"""),33057.666666666664)</f>
        <v>33057.66667</v>
      </c>
      <c r="B2657" s="2">
        <f>IFERROR(__xludf.DUMMYFUNCTION("""COMPUTED_VALUE"""),28.09)</f>
        <v>28.09</v>
      </c>
      <c r="C2657" s="2">
        <f>IFERROR(__xludf.DUMMYFUNCTION("""COMPUTED_VALUE"""),28.36)</f>
        <v>28.36</v>
      </c>
      <c r="D2657" s="2">
        <f>IFERROR(__xludf.DUMMYFUNCTION("""COMPUTED_VALUE"""),28.09)</f>
        <v>28.09</v>
      </c>
      <c r="E2657" s="2">
        <f>IFERROR(__xludf.DUMMYFUNCTION("""COMPUTED_VALUE"""),28.09)</f>
        <v>28.09</v>
      </c>
      <c r="F2657" s="2">
        <f>IFERROR(__xludf.DUMMYFUNCTION("""COMPUTED_VALUE"""),584100.0)</f>
        <v>584100</v>
      </c>
    </row>
    <row r="2658">
      <c r="A2658" s="3">
        <f>IFERROR(__xludf.DUMMYFUNCTION("""COMPUTED_VALUE"""),33059.666666666664)</f>
        <v>33059.66667</v>
      </c>
      <c r="B2658" s="2">
        <f>IFERROR(__xludf.DUMMYFUNCTION("""COMPUTED_VALUE"""),28.03)</f>
        <v>28.03</v>
      </c>
      <c r="C2658" s="2">
        <f>IFERROR(__xludf.DUMMYFUNCTION("""COMPUTED_VALUE"""),28.09)</f>
        <v>28.09</v>
      </c>
      <c r="D2658" s="2">
        <f>IFERROR(__xludf.DUMMYFUNCTION("""COMPUTED_VALUE"""),27.91)</f>
        <v>27.91</v>
      </c>
      <c r="E2658" s="2">
        <f>IFERROR(__xludf.DUMMYFUNCTION("""COMPUTED_VALUE"""),28.03)</f>
        <v>28.03</v>
      </c>
      <c r="F2658" s="2">
        <f>IFERROR(__xludf.DUMMYFUNCTION("""COMPUTED_VALUE"""),849800.0)</f>
        <v>849800</v>
      </c>
    </row>
    <row r="2659">
      <c r="A2659" s="3">
        <f>IFERROR(__xludf.DUMMYFUNCTION("""COMPUTED_VALUE"""),33060.666666666664)</f>
        <v>33060.66667</v>
      </c>
      <c r="B2659" s="2">
        <f>IFERROR(__xludf.DUMMYFUNCTION("""COMPUTED_VALUE"""),28.18)</f>
        <v>28.18</v>
      </c>
      <c r="C2659" s="2">
        <f>IFERROR(__xludf.DUMMYFUNCTION("""COMPUTED_VALUE"""),28.3)</f>
        <v>28.3</v>
      </c>
      <c r="D2659" s="2">
        <f>IFERROR(__xludf.DUMMYFUNCTION("""COMPUTED_VALUE"""),27.94)</f>
        <v>27.94</v>
      </c>
      <c r="E2659" s="2">
        <f>IFERROR(__xludf.DUMMYFUNCTION("""COMPUTED_VALUE"""),28.18)</f>
        <v>28.18</v>
      </c>
      <c r="F2659" s="2">
        <f>IFERROR(__xludf.DUMMYFUNCTION("""COMPUTED_VALUE"""),708600.0)</f>
        <v>708600</v>
      </c>
    </row>
    <row r="2660">
      <c r="A2660" s="3">
        <f>IFERROR(__xludf.DUMMYFUNCTION("""COMPUTED_VALUE"""),33063.666666666664)</f>
        <v>33063.66667</v>
      </c>
      <c r="B2660" s="2">
        <f>IFERROR(__xludf.DUMMYFUNCTION("""COMPUTED_VALUE"""),28.42)</f>
        <v>28.42</v>
      </c>
      <c r="C2660" s="2">
        <f>IFERROR(__xludf.DUMMYFUNCTION("""COMPUTED_VALUE"""),28.48)</f>
        <v>28.48</v>
      </c>
      <c r="D2660" s="2">
        <f>IFERROR(__xludf.DUMMYFUNCTION("""COMPUTED_VALUE"""),28.15)</f>
        <v>28.15</v>
      </c>
      <c r="E2660" s="2">
        <f>IFERROR(__xludf.DUMMYFUNCTION("""COMPUTED_VALUE"""),28.42)</f>
        <v>28.42</v>
      </c>
      <c r="F2660" s="2">
        <f>IFERROR(__xludf.DUMMYFUNCTION("""COMPUTED_VALUE"""),916800.0)</f>
        <v>916800</v>
      </c>
    </row>
    <row r="2661">
      <c r="A2661" s="3">
        <f>IFERROR(__xludf.DUMMYFUNCTION("""COMPUTED_VALUE"""),33064.666666666664)</f>
        <v>33064.66667</v>
      </c>
      <c r="B2661" s="2">
        <f>IFERROR(__xludf.DUMMYFUNCTION("""COMPUTED_VALUE"""),28.12)</f>
        <v>28.12</v>
      </c>
      <c r="C2661" s="2">
        <f>IFERROR(__xludf.DUMMYFUNCTION("""COMPUTED_VALUE"""),28.6)</f>
        <v>28.6</v>
      </c>
      <c r="D2661" s="2">
        <f>IFERROR(__xludf.DUMMYFUNCTION("""COMPUTED_VALUE"""),28.12)</f>
        <v>28.12</v>
      </c>
      <c r="E2661" s="2">
        <f>IFERROR(__xludf.DUMMYFUNCTION("""COMPUTED_VALUE"""),28.12)</f>
        <v>28.12</v>
      </c>
      <c r="F2661" s="2">
        <f>IFERROR(__xludf.DUMMYFUNCTION("""COMPUTED_VALUE"""),1244000.0)</f>
        <v>1244000</v>
      </c>
    </row>
    <row r="2662">
      <c r="A2662" s="3">
        <f>IFERROR(__xludf.DUMMYFUNCTION("""COMPUTED_VALUE"""),33065.666666666664)</f>
        <v>33065.66667</v>
      </c>
      <c r="B2662" s="2">
        <f>IFERROR(__xludf.DUMMYFUNCTION("""COMPUTED_VALUE"""),28.45)</f>
        <v>28.45</v>
      </c>
      <c r="C2662" s="2">
        <f>IFERROR(__xludf.DUMMYFUNCTION("""COMPUTED_VALUE"""),28.48)</f>
        <v>28.48</v>
      </c>
      <c r="D2662" s="2">
        <f>IFERROR(__xludf.DUMMYFUNCTION("""COMPUTED_VALUE"""),28.15)</f>
        <v>28.15</v>
      </c>
      <c r="E2662" s="2">
        <f>IFERROR(__xludf.DUMMYFUNCTION("""COMPUTED_VALUE"""),28.45)</f>
        <v>28.45</v>
      </c>
      <c r="F2662" s="2">
        <f>IFERROR(__xludf.DUMMYFUNCTION("""COMPUTED_VALUE"""),1025000.0)</f>
        <v>1025000</v>
      </c>
    </row>
    <row r="2663">
      <c r="A2663" s="3">
        <f>IFERROR(__xludf.DUMMYFUNCTION("""COMPUTED_VALUE"""),33066.666666666664)</f>
        <v>33066.66667</v>
      </c>
      <c r="B2663" s="2">
        <f>IFERROR(__xludf.DUMMYFUNCTION("""COMPUTED_VALUE"""),28.65)</f>
        <v>28.65</v>
      </c>
      <c r="C2663" s="2">
        <f>IFERROR(__xludf.DUMMYFUNCTION("""COMPUTED_VALUE"""),28.74)</f>
        <v>28.74</v>
      </c>
      <c r="D2663" s="2">
        <f>IFERROR(__xludf.DUMMYFUNCTION("""COMPUTED_VALUE"""),28.36)</f>
        <v>28.36</v>
      </c>
      <c r="E2663" s="2">
        <f>IFERROR(__xludf.DUMMYFUNCTION("""COMPUTED_VALUE"""),28.65)</f>
        <v>28.65</v>
      </c>
      <c r="F2663" s="2">
        <f>IFERROR(__xludf.DUMMYFUNCTION("""COMPUTED_VALUE"""),1736400.0)</f>
        <v>1736400</v>
      </c>
    </row>
    <row r="2664">
      <c r="A2664" s="3">
        <f>IFERROR(__xludf.DUMMYFUNCTION("""COMPUTED_VALUE"""),33067.666666666664)</f>
        <v>33067.66667</v>
      </c>
      <c r="B2664" s="2">
        <f>IFERROR(__xludf.DUMMYFUNCTION("""COMPUTED_VALUE"""),28.89)</f>
        <v>28.89</v>
      </c>
      <c r="C2664" s="2">
        <f>IFERROR(__xludf.DUMMYFUNCTION("""COMPUTED_VALUE"""),29.16)</f>
        <v>29.16</v>
      </c>
      <c r="D2664" s="2">
        <f>IFERROR(__xludf.DUMMYFUNCTION("""COMPUTED_VALUE"""),28.71)</f>
        <v>28.71</v>
      </c>
      <c r="E2664" s="2">
        <f>IFERROR(__xludf.DUMMYFUNCTION("""COMPUTED_VALUE"""),28.89)</f>
        <v>28.89</v>
      </c>
      <c r="F2664" s="2">
        <f>IFERROR(__xludf.DUMMYFUNCTION("""COMPUTED_VALUE"""),2155400.0)</f>
        <v>2155400</v>
      </c>
    </row>
    <row r="2665">
      <c r="A2665" s="3">
        <f>IFERROR(__xludf.DUMMYFUNCTION("""COMPUTED_VALUE"""),33070.666666666664)</f>
        <v>33070.66667</v>
      </c>
      <c r="B2665" s="2">
        <f>IFERROR(__xludf.DUMMYFUNCTION("""COMPUTED_VALUE"""),29.22)</f>
        <v>29.22</v>
      </c>
      <c r="C2665" s="2">
        <f>IFERROR(__xludf.DUMMYFUNCTION("""COMPUTED_VALUE"""),29.4)</f>
        <v>29.4</v>
      </c>
      <c r="D2665" s="2">
        <f>IFERROR(__xludf.DUMMYFUNCTION("""COMPUTED_VALUE"""),28.95)</f>
        <v>28.95</v>
      </c>
      <c r="E2665" s="2">
        <f>IFERROR(__xludf.DUMMYFUNCTION("""COMPUTED_VALUE"""),29.22)</f>
        <v>29.22</v>
      </c>
      <c r="F2665" s="2">
        <f>IFERROR(__xludf.DUMMYFUNCTION("""COMPUTED_VALUE"""),2231200.0)</f>
        <v>2231200</v>
      </c>
    </row>
    <row r="2666">
      <c r="A2666" s="3">
        <f>IFERROR(__xludf.DUMMYFUNCTION("""COMPUTED_VALUE"""),33071.666666666664)</f>
        <v>33071.66667</v>
      </c>
      <c r="B2666" s="2">
        <f>IFERROR(__xludf.DUMMYFUNCTION("""COMPUTED_VALUE"""),28.83)</f>
        <v>28.83</v>
      </c>
      <c r="C2666" s="2">
        <f>IFERROR(__xludf.DUMMYFUNCTION("""COMPUTED_VALUE"""),29.25)</f>
        <v>29.25</v>
      </c>
      <c r="D2666" s="2">
        <f>IFERROR(__xludf.DUMMYFUNCTION("""COMPUTED_VALUE"""),28.63)</f>
        <v>28.63</v>
      </c>
      <c r="E2666" s="2">
        <f>IFERROR(__xludf.DUMMYFUNCTION("""COMPUTED_VALUE"""),28.83)</f>
        <v>28.83</v>
      </c>
      <c r="F2666" s="2">
        <f>IFERROR(__xludf.DUMMYFUNCTION("""COMPUTED_VALUE"""),1685700.0)</f>
        <v>1685700</v>
      </c>
    </row>
    <row r="2667">
      <c r="A2667" s="3">
        <f>IFERROR(__xludf.DUMMYFUNCTION("""COMPUTED_VALUE"""),33072.666666666664)</f>
        <v>33072.66667</v>
      </c>
      <c r="B2667" s="2">
        <f>IFERROR(__xludf.DUMMYFUNCTION("""COMPUTED_VALUE"""),28.63)</f>
        <v>28.63</v>
      </c>
      <c r="C2667" s="2">
        <f>IFERROR(__xludf.DUMMYFUNCTION("""COMPUTED_VALUE"""),29.04)</f>
        <v>29.04</v>
      </c>
      <c r="D2667" s="2">
        <f>IFERROR(__xludf.DUMMYFUNCTION("""COMPUTED_VALUE"""),28.63)</f>
        <v>28.63</v>
      </c>
      <c r="E2667" s="2">
        <f>IFERROR(__xludf.DUMMYFUNCTION("""COMPUTED_VALUE"""),28.63)</f>
        <v>28.63</v>
      </c>
      <c r="F2667" s="2">
        <f>IFERROR(__xludf.DUMMYFUNCTION("""COMPUTED_VALUE"""),1684100.0)</f>
        <v>1684100</v>
      </c>
    </row>
    <row r="2668">
      <c r="A2668" s="3">
        <f>IFERROR(__xludf.DUMMYFUNCTION("""COMPUTED_VALUE"""),33073.666666666664)</f>
        <v>33073.66667</v>
      </c>
      <c r="B2668" s="2">
        <f>IFERROR(__xludf.DUMMYFUNCTION("""COMPUTED_VALUE"""),28.65)</f>
        <v>28.65</v>
      </c>
      <c r="C2668" s="2">
        <f>IFERROR(__xludf.DUMMYFUNCTION("""COMPUTED_VALUE"""),28.68)</f>
        <v>28.68</v>
      </c>
      <c r="D2668" s="2">
        <f>IFERROR(__xludf.DUMMYFUNCTION("""COMPUTED_VALUE"""),28.36)</f>
        <v>28.36</v>
      </c>
      <c r="E2668" s="2">
        <f>IFERROR(__xludf.DUMMYFUNCTION("""COMPUTED_VALUE"""),28.65)</f>
        <v>28.65</v>
      </c>
      <c r="F2668" s="2">
        <f>IFERROR(__xludf.DUMMYFUNCTION("""COMPUTED_VALUE"""),1435800.0)</f>
        <v>1435800</v>
      </c>
    </row>
    <row r="2669">
      <c r="A2669" s="3">
        <f>IFERROR(__xludf.DUMMYFUNCTION("""COMPUTED_VALUE"""),33074.666666666664)</f>
        <v>33074.66667</v>
      </c>
      <c r="B2669" s="2">
        <f>IFERROR(__xludf.DUMMYFUNCTION("""COMPUTED_VALUE"""),28.09)</f>
        <v>28.09</v>
      </c>
      <c r="C2669" s="2">
        <f>IFERROR(__xludf.DUMMYFUNCTION("""COMPUTED_VALUE"""),28.71)</f>
        <v>28.71</v>
      </c>
      <c r="D2669" s="2">
        <f>IFERROR(__xludf.DUMMYFUNCTION("""COMPUTED_VALUE"""),28.06)</f>
        <v>28.06</v>
      </c>
      <c r="E2669" s="2">
        <f>IFERROR(__xludf.DUMMYFUNCTION("""COMPUTED_VALUE"""),28.09)</f>
        <v>28.09</v>
      </c>
      <c r="F2669" s="2">
        <f>IFERROR(__xludf.DUMMYFUNCTION("""COMPUTED_VALUE"""),1758600.0)</f>
        <v>1758600</v>
      </c>
    </row>
    <row r="2670">
      <c r="A2670" s="3">
        <f>IFERROR(__xludf.DUMMYFUNCTION("""COMPUTED_VALUE"""),33077.666666666664)</f>
        <v>33077.66667</v>
      </c>
      <c r="B2670" s="2">
        <f>IFERROR(__xludf.DUMMYFUNCTION("""COMPUTED_VALUE"""),27.67)</f>
        <v>27.67</v>
      </c>
      <c r="C2670" s="2">
        <f>IFERROR(__xludf.DUMMYFUNCTION("""COMPUTED_VALUE"""),28.12)</f>
        <v>28.12</v>
      </c>
      <c r="D2670" s="2">
        <f>IFERROR(__xludf.DUMMYFUNCTION("""COMPUTED_VALUE"""),27.25)</f>
        <v>27.25</v>
      </c>
      <c r="E2670" s="2">
        <f>IFERROR(__xludf.DUMMYFUNCTION("""COMPUTED_VALUE"""),27.67)</f>
        <v>27.67</v>
      </c>
      <c r="F2670" s="2">
        <f>IFERROR(__xludf.DUMMYFUNCTION("""COMPUTED_VALUE"""),2143300.0)</f>
        <v>2143300</v>
      </c>
    </row>
    <row r="2671">
      <c r="A2671" s="3">
        <f>IFERROR(__xludf.DUMMYFUNCTION("""COMPUTED_VALUE"""),33078.666666666664)</f>
        <v>33078.66667</v>
      </c>
      <c r="B2671" s="2">
        <f>IFERROR(__xludf.DUMMYFUNCTION("""COMPUTED_VALUE"""),27.4)</f>
        <v>27.4</v>
      </c>
      <c r="C2671" s="2">
        <f>IFERROR(__xludf.DUMMYFUNCTION("""COMPUTED_VALUE"""),27.7)</f>
        <v>27.7</v>
      </c>
      <c r="D2671" s="2">
        <f>IFERROR(__xludf.DUMMYFUNCTION("""COMPUTED_VALUE"""),27.13)</f>
        <v>27.13</v>
      </c>
      <c r="E2671" s="2">
        <f>IFERROR(__xludf.DUMMYFUNCTION("""COMPUTED_VALUE"""),27.4)</f>
        <v>27.4</v>
      </c>
      <c r="F2671" s="2">
        <f>IFERROR(__xludf.DUMMYFUNCTION("""COMPUTED_VALUE"""),1539500.0)</f>
        <v>1539500</v>
      </c>
    </row>
    <row r="2672">
      <c r="A2672" s="3">
        <f>IFERROR(__xludf.DUMMYFUNCTION("""COMPUTED_VALUE"""),33079.666666666664)</f>
        <v>33079.66667</v>
      </c>
      <c r="B2672" s="2">
        <f>IFERROR(__xludf.DUMMYFUNCTION("""COMPUTED_VALUE"""),27.4)</f>
        <v>27.4</v>
      </c>
      <c r="C2672" s="2">
        <f>IFERROR(__xludf.DUMMYFUNCTION("""COMPUTED_VALUE"""),27.58)</f>
        <v>27.58</v>
      </c>
      <c r="D2672" s="2">
        <f>IFERROR(__xludf.DUMMYFUNCTION("""COMPUTED_VALUE"""),27.28)</f>
        <v>27.28</v>
      </c>
      <c r="E2672" s="2">
        <f>IFERROR(__xludf.DUMMYFUNCTION("""COMPUTED_VALUE"""),27.4)</f>
        <v>27.4</v>
      </c>
      <c r="F2672" s="2">
        <f>IFERROR(__xludf.DUMMYFUNCTION("""COMPUTED_VALUE"""),1363800.0)</f>
        <v>1363800</v>
      </c>
    </row>
    <row r="2673">
      <c r="A2673" s="3">
        <f>IFERROR(__xludf.DUMMYFUNCTION("""COMPUTED_VALUE"""),33080.666666666664)</f>
        <v>33080.66667</v>
      </c>
      <c r="B2673" s="2">
        <f>IFERROR(__xludf.DUMMYFUNCTION("""COMPUTED_VALUE"""),27.01)</f>
        <v>27.01</v>
      </c>
      <c r="C2673" s="2">
        <f>IFERROR(__xludf.DUMMYFUNCTION("""COMPUTED_VALUE"""),27.37)</f>
        <v>27.37</v>
      </c>
      <c r="D2673" s="2">
        <f>IFERROR(__xludf.DUMMYFUNCTION("""COMPUTED_VALUE"""),26.8)</f>
        <v>26.8</v>
      </c>
      <c r="E2673" s="2">
        <f>IFERROR(__xludf.DUMMYFUNCTION("""COMPUTED_VALUE"""),27.01)</f>
        <v>27.01</v>
      </c>
      <c r="F2673" s="2">
        <f>IFERROR(__xludf.DUMMYFUNCTION("""COMPUTED_VALUE"""),1371000.0)</f>
        <v>1371000</v>
      </c>
    </row>
    <row r="2674">
      <c r="A2674" s="3">
        <f>IFERROR(__xludf.DUMMYFUNCTION("""COMPUTED_VALUE"""),33081.666666666664)</f>
        <v>33081.66667</v>
      </c>
      <c r="B2674" s="2">
        <f>IFERROR(__xludf.DUMMYFUNCTION("""COMPUTED_VALUE"""),26.6)</f>
        <v>26.6</v>
      </c>
      <c r="C2674" s="2">
        <f>IFERROR(__xludf.DUMMYFUNCTION("""COMPUTED_VALUE"""),26.92)</f>
        <v>26.92</v>
      </c>
      <c r="D2674" s="2">
        <f>IFERROR(__xludf.DUMMYFUNCTION("""COMPUTED_VALUE"""),26.42)</f>
        <v>26.42</v>
      </c>
      <c r="E2674" s="2">
        <f>IFERROR(__xludf.DUMMYFUNCTION("""COMPUTED_VALUE"""),26.6)</f>
        <v>26.6</v>
      </c>
      <c r="F2674" s="2">
        <f>IFERROR(__xludf.DUMMYFUNCTION("""COMPUTED_VALUE"""),1846300.0)</f>
        <v>1846300</v>
      </c>
    </row>
    <row r="2675">
      <c r="A2675" s="3">
        <f>IFERROR(__xludf.DUMMYFUNCTION("""COMPUTED_VALUE"""),33084.666666666664)</f>
        <v>33084.66667</v>
      </c>
      <c r="B2675" s="2">
        <f>IFERROR(__xludf.DUMMYFUNCTION("""COMPUTED_VALUE"""),26.77)</f>
        <v>26.77</v>
      </c>
      <c r="C2675" s="2">
        <f>IFERROR(__xludf.DUMMYFUNCTION("""COMPUTED_VALUE"""),26.83)</f>
        <v>26.83</v>
      </c>
      <c r="D2675" s="2">
        <f>IFERROR(__xludf.DUMMYFUNCTION("""COMPUTED_VALUE"""),26.39)</f>
        <v>26.39</v>
      </c>
      <c r="E2675" s="2">
        <f>IFERROR(__xludf.DUMMYFUNCTION("""COMPUTED_VALUE"""),26.77)</f>
        <v>26.77</v>
      </c>
      <c r="F2675" s="2">
        <f>IFERROR(__xludf.DUMMYFUNCTION("""COMPUTED_VALUE"""),1477600.0)</f>
        <v>1477600</v>
      </c>
    </row>
    <row r="2676">
      <c r="A2676" s="3">
        <f>IFERROR(__xludf.DUMMYFUNCTION("""COMPUTED_VALUE"""),33085.666666666664)</f>
        <v>33085.66667</v>
      </c>
      <c r="B2676" s="2">
        <f>IFERROR(__xludf.DUMMYFUNCTION("""COMPUTED_VALUE"""),26.63)</f>
        <v>26.63</v>
      </c>
      <c r="C2676" s="2">
        <f>IFERROR(__xludf.DUMMYFUNCTION("""COMPUTED_VALUE"""),26.95)</f>
        <v>26.95</v>
      </c>
      <c r="D2676" s="2">
        <f>IFERROR(__xludf.DUMMYFUNCTION("""COMPUTED_VALUE"""),26.42)</f>
        <v>26.42</v>
      </c>
      <c r="E2676" s="2">
        <f>IFERROR(__xludf.DUMMYFUNCTION("""COMPUTED_VALUE"""),26.63)</f>
        <v>26.63</v>
      </c>
      <c r="F2676" s="2">
        <f>IFERROR(__xludf.DUMMYFUNCTION("""COMPUTED_VALUE"""),1369300.0)</f>
        <v>1369300</v>
      </c>
    </row>
    <row r="2677">
      <c r="A2677" s="3">
        <f>IFERROR(__xludf.DUMMYFUNCTION("""COMPUTED_VALUE"""),33086.666666666664)</f>
        <v>33086.66667</v>
      </c>
      <c r="B2677" s="2">
        <f>IFERROR(__xludf.DUMMYFUNCTION("""COMPUTED_VALUE"""),26.66)</f>
        <v>26.66</v>
      </c>
      <c r="C2677" s="2">
        <f>IFERROR(__xludf.DUMMYFUNCTION("""COMPUTED_VALUE"""),26.83)</f>
        <v>26.83</v>
      </c>
      <c r="D2677" s="2">
        <f>IFERROR(__xludf.DUMMYFUNCTION("""COMPUTED_VALUE"""),26.42)</f>
        <v>26.42</v>
      </c>
      <c r="E2677" s="2">
        <f>IFERROR(__xludf.DUMMYFUNCTION("""COMPUTED_VALUE"""),26.66)</f>
        <v>26.66</v>
      </c>
      <c r="F2677" s="2">
        <f>IFERROR(__xludf.DUMMYFUNCTION("""COMPUTED_VALUE"""),1710800.0)</f>
        <v>1710800</v>
      </c>
    </row>
    <row r="2678">
      <c r="A2678" s="3">
        <f>IFERROR(__xludf.DUMMYFUNCTION("""COMPUTED_VALUE"""),33087.666666666664)</f>
        <v>33087.66667</v>
      </c>
      <c r="B2678" s="2">
        <f>IFERROR(__xludf.DUMMYFUNCTION("""COMPUTED_VALUE"""),26.21)</f>
        <v>26.21</v>
      </c>
      <c r="C2678" s="2">
        <f>IFERROR(__xludf.DUMMYFUNCTION("""COMPUTED_VALUE"""),26.45)</f>
        <v>26.45</v>
      </c>
      <c r="D2678" s="2">
        <f>IFERROR(__xludf.DUMMYFUNCTION("""COMPUTED_VALUE"""),26.03)</f>
        <v>26.03</v>
      </c>
      <c r="E2678" s="2">
        <f>IFERROR(__xludf.DUMMYFUNCTION("""COMPUTED_VALUE"""),26.21)</f>
        <v>26.21</v>
      </c>
      <c r="F2678" s="2">
        <f>IFERROR(__xludf.DUMMYFUNCTION("""COMPUTED_VALUE"""),1868700.0)</f>
        <v>1868700</v>
      </c>
    </row>
    <row r="2679">
      <c r="A2679" s="3">
        <f>IFERROR(__xludf.DUMMYFUNCTION("""COMPUTED_VALUE"""),33088.666666666664)</f>
        <v>33088.66667</v>
      </c>
      <c r="B2679" s="2">
        <f>IFERROR(__xludf.DUMMYFUNCTION("""COMPUTED_VALUE"""),25.82)</f>
        <v>25.82</v>
      </c>
      <c r="C2679" s="2">
        <f>IFERROR(__xludf.DUMMYFUNCTION("""COMPUTED_VALUE"""),26.15)</f>
        <v>26.15</v>
      </c>
      <c r="D2679" s="2">
        <f>IFERROR(__xludf.DUMMYFUNCTION("""COMPUTED_VALUE"""),24.77)</f>
        <v>24.77</v>
      </c>
      <c r="E2679" s="2">
        <f>IFERROR(__xludf.DUMMYFUNCTION("""COMPUTED_VALUE"""),25.82)</f>
        <v>25.82</v>
      </c>
      <c r="F2679" s="2">
        <f>IFERROR(__xludf.DUMMYFUNCTION("""COMPUTED_VALUE"""),3549200.0)</f>
        <v>3549200</v>
      </c>
    </row>
    <row r="2680">
      <c r="A2680" s="3">
        <f>IFERROR(__xludf.DUMMYFUNCTION("""COMPUTED_VALUE"""),33091.666666666664)</f>
        <v>33091.66667</v>
      </c>
      <c r="B2680" s="2">
        <f>IFERROR(__xludf.DUMMYFUNCTION("""COMPUTED_VALUE"""),24.8)</f>
        <v>24.8</v>
      </c>
      <c r="C2680" s="2">
        <f>IFERROR(__xludf.DUMMYFUNCTION("""COMPUTED_VALUE"""),24.92)</f>
        <v>24.92</v>
      </c>
      <c r="D2680" s="2">
        <f>IFERROR(__xludf.DUMMYFUNCTION("""COMPUTED_VALUE"""),24.48)</f>
        <v>24.48</v>
      </c>
      <c r="E2680" s="2">
        <f>IFERROR(__xludf.DUMMYFUNCTION("""COMPUTED_VALUE"""),24.8)</f>
        <v>24.8</v>
      </c>
      <c r="F2680" s="2">
        <f>IFERROR(__xludf.DUMMYFUNCTION("""COMPUTED_VALUE"""),2285000.0)</f>
        <v>2285000</v>
      </c>
    </row>
    <row r="2681">
      <c r="A2681" s="3">
        <f>IFERROR(__xludf.DUMMYFUNCTION("""COMPUTED_VALUE"""),33092.666666666664)</f>
        <v>33092.66667</v>
      </c>
      <c r="B2681" s="2">
        <f>IFERROR(__xludf.DUMMYFUNCTION("""COMPUTED_VALUE"""),24.6)</f>
        <v>24.6</v>
      </c>
      <c r="C2681" s="2">
        <f>IFERROR(__xludf.DUMMYFUNCTION("""COMPUTED_VALUE"""),25.07)</f>
        <v>25.07</v>
      </c>
      <c r="D2681" s="2">
        <f>IFERROR(__xludf.DUMMYFUNCTION("""COMPUTED_VALUE"""),24.48)</f>
        <v>24.48</v>
      </c>
      <c r="E2681" s="2">
        <f>IFERROR(__xludf.DUMMYFUNCTION("""COMPUTED_VALUE"""),24.6)</f>
        <v>24.6</v>
      </c>
      <c r="F2681" s="2">
        <f>IFERROR(__xludf.DUMMYFUNCTION("""COMPUTED_VALUE"""),2237100.0)</f>
        <v>2237100</v>
      </c>
    </row>
    <row r="2682">
      <c r="A2682" s="3">
        <f>IFERROR(__xludf.DUMMYFUNCTION("""COMPUTED_VALUE"""),33093.666666666664)</f>
        <v>33093.66667</v>
      </c>
      <c r="B2682" s="2">
        <f>IFERROR(__xludf.DUMMYFUNCTION("""COMPUTED_VALUE"""),24.63)</f>
        <v>24.63</v>
      </c>
      <c r="C2682" s="2">
        <f>IFERROR(__xludf.DUMMYFUNCTION("""COMPUTED_VALUE"""),24.8)</f>
        <v>24.8</v>
      </c>
      <c r="D2682" s="2">
        <f>IFERROR(__xludf.DUMMYFUNCTION("""COMPUTED_VALUE"""),24.57)</f>
        <v>24.57</v>
      </c>
      <c r="E2682" s="2">
        <f>IFERROR(__xludf.DUMMYFUNCTION("""COMPUTED_VALUE"""),24.63)</f>
        <v>24.63</v>
      </c>
      <c r="F2682" s="2">
        <f>IFERROR(__xludf.DUMMYFUNCTION("""COMPUTED_VALUE"""),1884800.0)</f>
        <v>1884800</v>
      </c>
    </row>
    <row r="2683">
      <c r="A2683" s="3">
        <f>IFERROR(__xludf.DUMMYFUNCTION("""COMPUTED_VALUE"""),33094.666666666664)</f>
        <v>33094.66667</v>
      </c>
      <c r="B2683" s="2">
        <f>IFERROR(__xludf.DUMMYFUNCTION("""COMPUTED_VALUE"""),24.66)</f>
        <v>24.66</v>
      </c>
      <c r="C2683" s="2">
        <f>IFERROR(__xludf.DUMMYFUNCTION("""COMPUTED_VALUE"""),24.8)</f>
        <v>24.8</v>
      </c>
      <c r="D2683" s="2">
        <f>IFERROR(__xludf.DUMMYFUNCTION("""COMPUTED_VALUE"""),24.6)</f>
        <v>24.6</v>
      </c>
      <c r="E2683" s="2">
        <f>IFERROR(__xludf.DUMMYFUNCTION("""COMPUTED_VALUE"""),24.66)</f>
        <v>24.66</v>
      </c>
      <c r="F2683" s="2">
        <f>IFERROR(__xludf.DUMMYFUNCTION("""COMPUTED_VALUE"""),1256700.0)</f>
        <v>1256700</v>
      </c>
    </row>
    <row r="2684">
      <c r="A2684" s="3">
        <f>IFERROR(__xludf.DUMMYFUNCTION("""COMPUTED_VALUE"""),33095.666666666664)</f>
        <v>33095.66667</v>
      </c>
      <c r="B2684" s="2">
        <f>IFERROR(__xludf.DUMMYFUNCTION("""COMPUTED_VALUE"""),24.36)</f>
        <v>24.36</v>
      </c>
      <c r="C2684" s="2">
        <f>IFERROR(__xludf.DUMMYFUNCTION("""COMPUTED_VALUE"""),24.74)</f>
        <v>24.74</v>
      </c>
      <c r="D2684" s="2">
        <f>IFERROR(__xludf.DUMMYFUNCTION("""COMPUTED_VALUE"""),24.24)</f>
        <v>24.24</v>
      </c>
      <c r="E2684" s="2">
        <f>IFERROR(__xludf.DUMMYFUNCTION("""COMPUTED_VALUE"""),24.36)</f>
        <v>24.36</v>
      </c>
      <c r="F2684" s="2">
        <f>IFERROR(__xludf.DUMMYFUNCTION("""COMPUTED_VALUE"""),1448500.0)</f>
        <v>1448500</v>
      </c>
    </row>
    <row r="2685">
      <c r="A2685" s="3">
        <f>IFERROR(__xludf.DUMMYFUNCTION("""COMPUTED_VALUE"""),33098.666666666664)</f>
        <v>33098.66667</v>
      </c>
      <c r="B2685" s="2">
        <f>IFERROR(__xludf.DUMMYFUNCTION("""COMPUTED_VALUE"""),24.77)</f>
        <v>24.77</v>
      </c>
      <c r="C2685" s="2">
        <f>IFERROR(__xludf.DUMMYFUNCTION("""COMPUTED_VALUE"""),24.83)</f>
        <v>24.83</v>
      </c>
      <c r="D2685" s="2">
        <f>IFERROR(__xludf.DUMMYFUNCTION("""COMPUTED_VALUE"""),24.12)</f>
        <v>24.12</v>
      </c>
      <c r="E2685" s="2">
        <f>IFERROR(__xludf.DUMMYFUNCTION("""COMPUTED_VALUE"""),24.77)</f>
        <v>24.77</v>
      </c>
      <c r="F2685" s="2">
        <f>IFERROR(__xludf.DUMMYFUNCTION("""COMPUTED_VALUE"""),1582800.0)</f>
        <v>1582800</v>
      </c>
    </row>
    <row r="2686">
      <c r="A2686" s="3">
        <f>IFERROR(__xludf.DUMMYFUNCTION("""COMPUTED_VALUE"""),33099.666666666664)</f>
        <v>33099.66667</v>
      </c>
      <c r="B2686" s="2">
        <f>IFERROR(__xludf.DUMMYFUNCTION("""COMPUTED_VALUE"""),24.92)</f>
        <v>24.92</v>
      </c>
      <c r="C2686" s="2">
        <f>IFERROR(__xludf.DUMMYFUNCTION("""COMPUTED_VALUE"""),25.1)</f>
        <v>25.1</v>
      </c>
      <c r="D2686" s="2">
        <f>IFERROR(__xludf.DUMMYFUNCTION("""COMPUTED_VALUE"""),24.63)</f>
        <v>24.63</v>
      </c>
      <c r="E2686" s="2">
        <f>IFERROR(__xludf.DUMMYFUNCTION("""COMPUTED_VALUE"""),24.92)</f>
        <v>24.92</v>
      </c>
      <c r="F2686" s="2">
        <f>IFERROR(__xludf.DUMMYFUNCTION("""COMPUTED_VALUE"""),1655900.0)</f>
        <v>1655900</v>
      </c>
    </row>
    <row r="2687">
      <c r="A2687" s="3">
        <f>IFERROR(__xludf.DUMMYFUNCTION("""COMPUTED_VALUE"""),33100.666666666664)</f>
        <v>33100.66667</v>
      </c>
      <c r="B2687" s="2">
        <f>IFERROR(__xludf.DUMMYFUNCTION("""COMPUTED_VALUE"""),25.07)</f>
        <v>25.07</v>
      </c>
      <c r="C2687" s="2">
        <f>IFERROR(__xludf.DUMMYFUNCTION("""COMPUTED_VALUE"""),25.13)</f>
        <v>25.13</v>
      </c>
      <c r="D2687" s="2">
        <f>IFERROR(__xludf.DUMMYFUNCTION("""COMPUTED_VALUE"""),24.66)</f>
        <v>24.66</v>
      </c>
      <c r="E2687" s="2">
        <f>IFERROR(__xludf.DUMMYFUNCTION("""COMPUTED_VALUE"""),25.07)</f>
        <v>25.07</v>
      </c>
      <c r="F2687" s="2">
        <f>IFERROR(__xludf.DUMMYFUNCTION("""COMPUTED_VALUE"""),1514900.0)</f>
        <v>1514900</v>
      </c>
    </row>
    <row r="2688">
      <c r="A2688" s="3">
        <f>IFERROR(__xludf.DUMMYFUNCTION("""COMPUTED_VALUE"""),33101.666666666664)</f>
        <v>33101.66667</v>
      </c>
      <c r="B2688" s="2">
        <f>IFERROR(__xludf.DUMMYFUNCTION("""COMPUTED_VALUE"""),24.77)</f>
        <v>24.77</v>
      </c>
      <c r="C2688" s="2">
        <f>IFERROR(__xludf.DUMMYFUNCTION("""COMPUTED_VALUE"""),25.25)</f>
        <v>25.25</v>
      </c>
      <c r="D2688" s="2">
        <f>IFERROR(__xludf.DUMMYFUNCTION("""COMPUTED_VALUE"""),24.77)</f>
        <v>24.77</v>
      </c>
      <c r="E2688" s="2">
        <f>IFERROR(__xludf.DUMMYFUNCTION("""COMPUTED_VALUE"""),24.77)</f>
        <v>24.77</v>
      </c>
      <c r="F2688" s="2">
        <f>IFERROR(__xludf.DUMMYFUNCTION("""COMPUTED_VALUE"""),2031400.0)</f>
        <v>2031400</v>
      </c>
    </row>
    <row r="2689">
      <c r="A2689" s="3">
        <f>IFERROR(__xludf.DUMMYFUNCTION("""COMPUTED_VALUE"""),33102.666666666664)</f>
        <v>33102.66667</v>
      </c>
      <c r="B2689" s="2">
        <f>IFERROR(__xludf.DUMMYFUNCTION("""COMPUTED_VALUE"""),24.21)</f>
        <v>24.21</v>
      </c>
      <c r="C2689" s="2">
        <f>IFERROR(__xludf.DUMMYFUNCTION("""COMPUTED_VALUE"""),24.69)</f>
        <v>24.69</v>
      </c>
      <c r="D2689" s="2">
        <f>IFERROR(__xludf.DUMMYFUNCTION("""COMPUTED_VALUE"""),24.06)</f>
        <v>24.06</v>
      </c>
      <c r="E2689" s="2">
        <f>IFERROR(__xludf.DUMMYFUNCTION("""COMPUTED_VALUE"""),24.21)</f>
        <v>24.21</v>
      </c>
      <c r="F2689" s="2">
        <f>IFERROR(__xludf.DUMMYFUNCTION("""COMPUTED_VALUE"""),2640600.0)</f>
        <v>2640600</v>
      </c>
    </row>
    <row r="2690">
      <c r="A2690" s="3">
        <f>IFERROR(__xludf.DUMMYFUNCTION("""COMPUTED_VALUE"""),33105.666666666664)</f>
        <v>33105.66667</v>
      </c>
      <c r="B2690" s="2">
        <f>IFERROR(__xludf.DUMMYFUNCTION("""COMPUTED_VALUE"""),24.42)</f>
        <v>24.42</v>
      </c>
      <c r="C2690" s="2">
        <f>IFERROR(__xludf.DUMMYFUNCTION("""COMPUTED_VALUE"""),24.54)</f>
        <v>24.54</v>
      </c>
      <c r="D2690" s="2">
        <f>IFERROR(__xludf.DUMMYFUNCTION("""COMPUTED_VALUE"""),24.33)</f>
        <v>24.33</v>
      </c>
      <c r="E2690" s="2">
        <f>IFERROR(__xludf.DUMMYFUNCTION("""COMPUTED_VALUE"""),24.42)</f>
        <v>24.42</v>
      </c>
      <c r="F2690" s="2">
        <f>IFERROR(__xludf.DUMMYFUNCTION("""COMPUTED_VALUE"""),1238800.0)</f>
        <v>1238800</v>
      </c>
    </row>
    <row r="2691">
      <c r="A2691" s="3">
        <f>IFERROR(__xludf.DUMMYFUNCTION("""COMPUTED_VALUE"""),33106.666666666664)</f>
        <v>33106.66667</v>
      </c>
      <c r="B2691" s="2">
        <f>IFERROR(__xludf.DUMMYFUNCTION("""COMPUTED_VALUE"""),24.0)</f>
        <v>24</v>
      </c>
      <c r="C2691" s="2">
        <f>IFERROR(__xludf.DUMMYFUNCTION("""COMPUTED_VALUE"""),24.3)</f>
        <v>24.3</v>
      </c>
      <c r="D2691" s="2">
        <f>IFERROR(__xludf.DUMMYFUNCTION("""COMPUTED_VALUE"""),23.82)</f>
        <v>23.82</v>
      </c>
      <c r="E2691" s="2">
        <f>IFERROR(__xludf.DUMMYFUNCTION("""COMPUTED_VALUE"""),24.0)</f>
        <v>24</v>
      </c>
      <c r="F2691" s="2">
        <f>IFERROR(__xludf.DUMMYFUNCTION("""COMPUTED_VALUE"""),2389900.0)</f>
        <v>2389900</v>
      </c>
    </row>
    <row r="2692">
      <c r="A2692" s="3">
        <f>IFERROR(__xludf.DUMMYFUNCTION("""COMPUTED_VALUE"""),33107.666666666664)</f>
        <v>33107.66667</v>
      </c>
      <c r="B2692" s="2">
        <f>IFERROR(__xludf.DUMMYFUNCTION("""COMPUTED_VALUE"""),23.64)</f>
        <v>23.64</v>
      </c>
      <c r="C2692" s="2">
        <f>IFERROR(__xludf.DUMMYFUNCTION("""COMPUTED_VALUE"""),24.12)</f>
        <v>24.12</v>
      </c>
      <c r="D2692" s="2">
        <f>IFERROR(__xludf.DUMMYFUNCTION("""COMPUTED_VALUE"""),23.61)</f>
        <v>23.61</v>
      </c>
      <c r="E2692" s="2">
        <f>IFERROR(__xludf.DUMMYFUNCTION("""COMPUTED_VALUE"""),23.64)</f>
        <v>23.64</v>
      </c>
      <c r="F2692" s="2">
        <f>IFERROR(__xludf.DUMMYFUNCTION("""COMPUTED_VALUE"""),1973000.0)</f>
        <v>1973000</v>
      </c>
    </row>
    <row r="2693">
      <c r="A2693" s="3">
        <f>IFERROR(__xludf.DUMMYFUNCTION("""COMPUTED_VALUE"""),33108.666666666664)</f>
        <v>33108.66667</v>
      </c>
      <c r="B2693" s="2">
        <f>IFERROR(__xludf.DUMMYFUNCTION("""COMPUTED_VALUE"""),23.13)</f>
        <v>23.13</v>
      </c>
      <c r="C2693" s="2">
        <f>IFERROR(__xludf.DUMMYFUNCTION("""COMPUTED_VALUE"""),23.49)</f>
        <v>23.49</v>
      </c>
      <c r="D2693" s="2">
        <f>IFERROR(__xludf.DUMMYFUNCTION("""COMPUTED_VALUE"""),23.04)</f>
        <v>23.04</v>
      </c>
      <c r="E2693" s="2">
        <f>IFERROR(__xludf.DUMMYFUNCTION("""COMPUTED_VALUE"""),23.13)</f>
        <v>23.13</v>
      </c>
      <c r="F2693" s="2">
        <f>IFERROR(__xludf.DUMMYFUNCTION("""COMPUTED_VALUE"""),2427400.0)</f>
        <v>2427400</v>
      </c>
    </row>
    <row r="2694">
      <c r="A2694" s="3">
        <f>IFERROR(__xludf.DUMMYFUNCTION("""COMPUTED_VALUE"""),33109.666666666664)</f>
        <v>33109.66667</v>
      </c>
      <c r="B2694" s="2">
        <f>IFERROR(__xludf.DUMMYFUNCTION("""COMPUTED_VALUE"""),23.97)</f>
        <v>23.97</v>
      </c>
      <c r="C2694" s="2">
        <f>IFERROR(__xludf.DUMMYFUNCTION("""COMPUTED_VALUE"""),24.12)</f>
        <v>24.12</v>
      </c>
      <c r="D2694" s="2">
        <f>IFERROR(__xludf.DUMMYFUNCTION("""COMPUTED_VALUE"""),23.37)</f>
        <v>23.37</v>
      </c>
      <c r="E2694" s="2">
        <f>IFERROR(__xludf.DUMMYFUNCTION("""COMPUTED_VALUE"""),23.97)</f>
        <v>23.97</v>
      </c>
      <c r="F2694" s="2">
        <f>IFERROR(__xludf.DUMMYFUNCTION("""COMPUTED_VALUE"""),2039600.0)</f>
        <v>2039600</v>
      </c>
    </row>
    <row r="2695">
      <c r="A2695" s="3">
        <f>IFERROR(__xludf.DUMMYFUNCTION("""COMPUTED_VALUE"""),33112.666666666664)</f>
        <v>33112.66667</v>
      </c>
      <c r="B2695" s="2">
        <f>IFERROR(__xludf.DUMMYFUNCTION("""COMPUTED_VALUE"""),24.92)</f>
        <v>24.92</v>
      </c>
      <c r="C2695" s="2">
        <f>IFERROR(__xludf.DUMMYFUNCTION("""COMPUTED_VALUE"""),24.92)</f>
        <v>24.92</v>
      </c>
      <c r="D2695" s="2">
        <f>IFERROR(__xludf.DUMMYFUNCTION("""COMPUTED_VALUE"""),24.54)</f>
        <v>24.54</v>
      </c>
      <c r="E2695" s="2">
        <f>IFERROR(__xludf.DUMMYFUNCTION("""COMPUTED_VALUE"""),24.92)</f>
        <v>24.92</v>
      </c>
      <c r="F2695" s="2">
        <f>IFERROR(__xludf.DUMMYFUNCTION("""COMPUTED_VALUE"""),1575100.0)</f>
        <v>1575100</v>
      </c>
    </row>
    <row r="2696">
      <c r="A2696" s="3">
        <f>IFERROR(__xludf.DUMMYFUNCTION("""COMPUTED_VALUE"""),33113.666666666664)</f>
        <v>33113.66667</v>
      </c>
      <c r="B2696" s="2">
        <f>IFERROR(__xludf.DUMMYFUNCTION("""COMPUTED_VALUE"""),24.74)</f>
        <v>24.74</v>
      </c>
      <c r="C2696" s="2">
        <f>IFERROR(__xludf.DUMMYFUNCTION("""COMPUTED_VALUE"""),24.86)</f>
        <v>24.86</v>
      </c>
      <c r="D2696" s="2">
        <f>IFERROR(__xludf.DUMMYFUNCTION("""COMPUTED_VALUE"""),24.69)</f>
        <v>24.69</v>
      </c>
      <c r="E2696" s="2">
        <f>IFERROR(__xludf.DUMMYFUNCTION("""COMPUTED_VALUE"""),24.74)</f>
        <v>24.74</v>
      </c>
      <c r="F2696" s="2">
        <f>IFERROR(__xludf.DUMMYFUNCTION("""COMPUTED_VALUE"""),968100.0)</f>
        <v>968100</v>
      </c>
    </row>
    <row r="2697">
      <c r="A2697" s="3">
        <f>IFERROR(__xludf.DUMMYFUNCTION("""COMPUTED_VALUE"""),33114.666666666664)</f>
        <v>33114.66667</v>
      </c>
      <c r="B2697" s="2">
        <f>IFERROR(__xludf.DUMMYFUNCTION("""COMPUTED_VALUE"""),24.8)</f>
        <v>24.8</v>
      </c>
      <c r="C2697" s="2">
        <f>IFERROR(__xludf.DUMMYFUNCTION("""COMPUTED_VALUE"""),24.92)</f>
        <v>24.92</v>
      </c>
      <c r="D2697" s="2">
        <f>IFERROR(__xludf.DUMMYFUNCTION("""COMPUTED_VALUE"""),24.54)</f>
        <v>24.54</v>
      </c>
      <c r="E2697" s="2">
        <f>IFERROR(__xludf.DUMMYFUNCTION("""COMPUTED_VALUE"""),24.8)</f>
        <v>24.8</v>
      </c>
      <c r="F2697" s="2">
        <f>IFERROR(__xludf.DUMMYFUNCTION("""COMPUTED_VALUE"""),1144700.0)</f>
        <v>1144700</v>
      </c>
    </row>
    <row r="2698">
      <c r="A2698" s="3">
        <f>IFERROR(__xludf.DUMMYFUNCTION("""COMPUTED_VALUE"""),33115.666666666664)</f>
        <v>33115.66667</v>
      </c>
      <c r="B2698" s="2">
        <f>IFERROR(__xludf.DUMMYFUNCTION("""COMPUTED_VALUE"""),24.3)</f>
        <v>24.3</v>
      </c>
      <c r="C2698" s="2">
        <f>IFERROR(__xludf.DUMMYFUNCTION("""COMPUTED_VALUE"""),24.86)</f>
        <v>24.86</v>
      </c>
      <c r="D2698" s="2">
        <f>IFERROR(__xludf.DUMMYFUNCTION("""COMPUTED_VALUE"""),24.21)</f>
        <v>24.21</v>
      </c>
      <c r="E2698" s="2">
        <f>IFERROR(__xludf.DUMMYFUNCTION("""COMPUTED_VALUE"""),24.3)</f>
        <v>24.3</v>
      </c>
      <c r="F2698" s="2">
        <f>IFERROR(__xludf.DUMMYFUNCTION("""COMPUTED_VALUE"""),1080100.0)</f>
        <v>1080100</v>
      </c>
    </row>
    <row r="2699">
      <c r="A2699" s="3">
        <f>IFERROR(__xludf.DUMMYFUNCTION("""COMPUTED_VALUE"""),33116.666666666664)</f>
        <v>33116.66667</v>
      </c>
      <c r="B2699" s="2">
        <f>IFERROR(__xludf.DUMMYFUNCTION("""COMPUTED_VALUE"""),24.33)</f>
        <v>24.33</v>
      </c>
      <c r="C2699" s="2">
        <f>IFERROR(__xludf.DUMMYFUNCTION("""COMPUTED_VALUE"""),24.33)</f>
        <v>24.33</v>
      </c>
      <c r="D2699" s="2">
        <f>IFERROR(__xludf.DUMMYFUNCTION("""COMPUTED_VALUE"""),23.97)</f>
        <v>23.97</v>
      </c>
      <c r="E2699" s="2">
        <f>IFERROR(__xludf.DUMMYFUNCTION("""COMPUTED_VALUE"""),24.33)</f>
        <v>24.33</v>
      </c>
      <c r="F2699" s="2">
        <f>IFERROR(__xludf.DUMMYFUNCTION("""COMPUTED_VALUE"""),885400.0)</f>
        <v>885400</v>
      </c>
    </row>
    <row r="2700">
      <c r="A2700" s="3">
        <f>IFERROR(__xludf.DUMMYFUNCTION("""COMPUTED_VALUE"""),33120.666666666664)</f>
        <v>33120.66667</v>
      </c>
      <c r="B2700" s="2">
        <f>IFERROR(__xludf.DUMMYFUNCTION("""COMPUTED_VALUE"""),24.48)</f>
        <v>24.48</v>
      </c>
      <c r="C2700" s="2">
        <f>IFERROR(__xludf.DUMMYFUNCTION("""COMPUTED_VALUE"""),24.51)</f>
        <v>24.51</v>
      </c>
      <c r="D2700" s="2">
        <f>IFERROR(__xludf.DUMMYFUNCTION("""COMPUTED_VALUE"""),24.06)</f>
        <v>24.06</v>
      </c>
      <c r="E2700" s="2">
        <f>IFERROR(__xludf.DUMMYFUNCTION("""COMPUTED_VALUE"""),24.48)</f>
        <v>24.48</v>
      </c>
      <c r="F2700" s="2">
        <f>IFERROR(__xludf.DUMMYFUNCTION("""COMPUTED_VALUE"""),1200500.0)</f>
        <v>1200500</v>
      </c>
    </row>
    <row r="2701">
      <c r="A2701" s="3">
        <f>IFERROR(__xludf.DUMMYFUNCTION("""COMPUTED_VALUE"""),33121.666666666664)</f>
        <v>33121.66667</v>
      </c>
      <c r="B2701" s="2">
        <f>IFERROR(__xludf.DUMMYFUNCTION("""COMPUTED_VALUE"""),24.45)</f>
        <v>24.45</v>
      </c>
      <c r="C2701" s="2">
        <f>IFERROR(__xludf.DUMMYFUNCTION("""COMPUTED_VALUE"""),24.8)</f>
        <v>24.8</v>
      </c>
      <c r="D2701" s="2">
        <f>IFERROR(__xludf.DUMMYFUNCTION("""COMPUTED_VALUE"""),24.42)</f>
        <v>24.42</v>
      </c>
      <c r="E2701" s="2">
        <f>IFERROR(__xludf.DUMMYFUNCTION("""COMPUTED_VALUE"""),24.45)</f>
        <v>24.45</v>
      </c>
      <c r="F2701" s="2">
        <f>IFERROR(__xludf.DUMMYFUNCTION("""COMPUTED_VALUE"""),1452600.0)</f>
        <v>1452600</v>
      </c>
    </row>
    <row r="2702">
      <c r="A2702" s="3">
        <f>IFERROR(__xludf.DUMMYFUNCTION("""COMPUTED_VALUE"""),33122.666666666664)</f>
        <v>33122.66667</v>
      </c>
      <c r="B2702" s="2">
        <f>IFERROR(__xludf.DUMMYFUNCTION("""COMPUTED_VALUE"""),24.45)</f>
        <v>24.45</v>
      </c>
      <c r="C2702" s="2">
        <f>IFERROR(__xludf.DUMMYFUNCTION("""COMPUTED_VALUE"""),24.71)</f>
        <v>24.71</v>
      </c>
      <c r="D2702" s="2">
        <f>IFERROR(__xludf.DUMMYFUNCTION("""COMPUTED_VALUE"""),24.24)</f>
        <v>24.24</v>
      </c>
      <c r="E2702" s="2">
        <f>IFERROR(__xludf.DUMMYFUNCTION("""COMPUTED_VALUE"""),24.45)</f>
        <v>24.45</v>
      </c>
      <c r="F2702" s="2">
        <f>IFERROR(__xludf.DUMMYFUNCTION("""COMPUTED_VALUE"""),1347000.0)</f>
        <v>1347000</v>
      </c>
    </row>
    <row r="2703">
      <c r="A2703" s="3">
        <f>IFERROR(__xludf.DUMMYFUNCTION("""COMPUTED_VALUE"""),33123.666666666664)</f>
        <v>33123.66667</v>
      </c>
      <c r="B2703" s="2">
        <f>IFERROR(__xludf.DUMMYFUNCTION("""COMPUTED_VALUE"""),25.19)</f>
        <v>25.19</v>
      </c>
      <c r="C2703" s="2">
        <f>IFERROR(__xludf.DUMMYFUNCTION("""COMPUTED_VALUE"""),25.19)</f>
        <v>25.19</v>
      </c>
      <c r="D2703" s="2">
        <f>IFERROR(__xludf.DUMMYFUNCTION("""COMPUTED_VALUE"""),24.33)</f>
        <v>24.33</v>
      </c>
      <c r="E2703" s="2">
        <f>IFERROR(__xludf.DUMMYFUNCTION("""COMPUTED_VALUE"""),25.19)</f>
        <v>25.19</v>
      </c>
      <c r="F2703" s="2">
        <f>IFERROR(__xludf.DUMMYFUNCTION("""COMPUTED_VALUE"""),1634700.0)</f>
        <v>1634700</v>
      </c>
    </row>
    <row r="2704">
      <c r="A2704" s="3">
        <f>IFERROR(__xludf.DUMMYFUNCTION("""COMPUTED_VALUE"""),33126.666666666664)</f>
        <v>33126.66667</v>
      </c>
      <c r="B2704" s="2">
        <f>IFERROR(__xludf.DUMMYFUNCTION("""COMPUTED_VALUE"""),25.28)</f>
        <v>25.28</v>
      </c>
      <c r="C2704" s="2">
        <f>IFERROR(__xludf.DUMMYFUNCTION("""COMPUTED_VALUE"""),25.7)</f>
        <v>25.7</v>
      </c>
      <c r="D2704" s="2">
        <f>IFERROR(__xludf.DUMMYFUNCTION("""COMPUTED_VALUE"""),25.19)</f>
        <v>25.19</v>
      </c>
      <c r="E2704" s="2">
        <f>IFERROR(__xludf.DUMMYFUNCTION("""COMPUTED_VALUE"""),25.28)</f>
        <v>25.28</v>
      </c>
      <c r="F2704" s="2">
        <f>IFERROR(__xludf.DUMMYFUNCTION("""COMPUTED_VALUE"""),1609400.0)</f>
        <v>1609400</v>
      </c>
    </row>
    <row r="2705">
      <c r="A2705" s="3">
        <f>IFERROR(__xludf.DUMMYFUNCTION("""COMPUTED_VALUE"""),33127.666666666664)</f>
        <v>33127.66667</v>
      </c>
      <c r="B2705" s="2">
        <f>IFERROR(__xludf.DUMMYFUNCTION("""COMPUTED_VALUE"""),25.67)</f>
        <v>25.67</v>
      </c>
      <c r="C2705" s="2">
        <f>IFERROR(__xludf.DUMMYFUNCTION("""COMPUTED_VALUE"""),25.73)</f>
        <v>25.73</v>
      </c>
      <c r="D2705" s="2">
        <f>IFERROR(__xludf.DUMMYFUNCTION("""COMPUTED_VALUE"""),25.28)</f>
        <v>25.28</v>
      </c>
      <c r="E2705" s="2">
        <f>IFERROR(__xludf.DUMMYFUNCTION("""COMPUTED_VALUE"""),25.67)</f>
        <v>25.67</v>
      </c>
      <c r="F2705" s="2">
        <f>IFERROR(__xludf.DUMMYFUNCTION("""COMPUTED_VALUE"""),1438200.0)</f>
        <v>1438200</v>
      </c>
    </row>
    <row r="2706">
      <c r="A2706" s="3">
        <f>IFERROR(__xludf.DUMMYFUNCTION("""COMPUTED_VALUE"""),33128.666666666664)</f>
        <v>33128.66667</v>
      </c>
      <c r="B2706" s="2">
        <f>IFERROR(__xludf.DUMMYFUNCTION("""COMPUTED_VALUE"""),25.76)</f>
        <v>25.76</v>
      </c>
      <c r="C2706" s="2">
        <f>IFERROR(__xludf.DUMMYFUNCTION("""COMPUTED_VALUE"""),25.88)</f>
        <v>25.88</v>
      </c>
      <c r="D2706" s="2">
        <f>IFERROR(__xludf.DUMMYFUNCTION("""COMPUTED_VALUE"""),25.58)</f>
        <v>25.58</v>
      </c>
      <c r="E2706" s="2">
        <f>IFERROR(__xludf.DUMMYFUNCTION("""COMPUTED_VALUE"""),25.76)</f>
        <v>25.76</v>
      </c>
      <c r="F2706" s="2">
        <f>IFERROR(__xludf.DUMMYFUNCTION("""COMPUTED_VALUE"""),1192900.0)</f>
        <v>1192900</v>
      </c>
    </row>
    <row r="2707">
      <c r="A2707" s="3">
        <f>IFERROR(__xludf.DUMMYFUNCTION("""COMPUTED_VALUE"""),33129.666666666664)</f>
        <v>33129.66667</v>
      </c>
      <c r="B2707" s="2">
        <f>IFERROR(__xludf.DUMMYFUNCTION("""COMPUTED_VALUE"""),25.07)</f>
        <v>25.07</v>
      </c>
      <c r="C2707" s="2">
        <f>IFERROR(__xludf.DUMMYFUNCTION("""COMPUTED_VALUE"""),25.73)</f>
        <v>25.73</v>
      </c>
      <c r="D2707" s="2">
        <f>IFERROR(__xludf.DUMMYFUNCTION("""COMPUTED_VALUE"""),25.01)</f>
        <v>25.01</v>
      </c>
      <c r="E2707" s="2">
        <f>IFERROR(__xludf.DUMMYFUNCTION("""COMPUTED_VALUE"""),25.07)</f>
        <v>25.07</v>
      </c>
      <c r="F2707" s="2">
        <f>IFERROR(__xludf.DUMMYFUNCTION("""COMPUTED_VALUE"""),1077000.0)</f>
        <v>1077000</v>
      </c>
    </row>
    <row r="2708">
      <c r="A2708" s="3">
        <f>IFERROR(__xludf.DUMMYFUNCTION("""COMPUTED_VALUE"""),33130.666666666664)</f>
        <v>33130.66667</v>
      </c>
      <c r="B2708" s="2">
        <f>IFERROR(__xludf.DUMMYFUNCTION("""COMPUTED_VALUE"""),24.92)</f>
        <v>24.92</v>
      </c>
      <c r="C2708" s="2">
        <f>IFERROR(__xludf.DUMMYFUNCTION("""COMPUTED_VALUE"""),25.07)</f>
        <v>25.07</v>
      </c>
      <c r="D2708" s="2">
        <f>IFERROR(__xludf.DUMMYFUNCTION("""COMPUTED_VALUE"""),24.74)</f>
        <v>24.74</v>
      </c>
      <c r="E2708" s="2">
        <f>IFERROR(__xludf.DUMMYFUNCTION("""COMPUTED_VALUE"""),24.92)</f>
        <v>24.92</v>
      </c>
      <c r="F2708" s="2">
        <f>IFERROR(__xludf.DUMMYFUNCTION("""COMPUTED_VALUE"""),1347600.0)</f>
        <v>1347600</v>
      </c>
    </row>
    <row r="2709">
      <c r="A2709" s="3">
        <f>IFERROR(__xludf.DUMMYFUNCTION("""COMPUTED_VALUE"""),33133.666666666664)</f>
        <v>33133.66667</v>
      </c>
      <c r="B2709" s="2">
        <f>IFERROR(__xludf.DUMMYFUNCTION("""COMPUTED_VALUE"""),25.1)</f>
        <v>25.1</v>
      </c>
      <c r="C2709" s="2">
        <f>IFERROR(__xludf.DUMMYFUNCTION("""COMPUTED_VALUE"""),25.25)</f>
        <v>25.25</v>
      </c>
      <c r="D2709" s="2">
        <f>IFERROR(__xludf.DUMMYFUNCTION("""COMPUTED_VALUE"""),24.86)</f>
        <v>24.86</v>
      </c>
      <c r="E2709" s="2">
        <f>IFERROR(__xludf.DUMMYFUNCTION("""COMPUTED_VALUE"""),25.1)</f>
        <v>25.1</v>
      </c>
      <c r="F2709" s="2">
        <f>IFERROR(__xludf.DUMMYFUNCTION("""COMPUTED_VALUE"""),894900.0)</f>
        <v>894900</v>
      </c>
    </row>
    <row r="2710">
      <c r="A2710" s="3">
        <f>IFERROR(__xludf.DUMMYFUNCTION("""COMPUTED_VALUE"""),33134.666666666664)</f>
        <v>33134.66667</v>
      </c>
      <c r="B2710" s="2">
        <f>IFERROR(__xludf.DUMMYFUNCTION("""COMPUTED_VALUE"""),25.61)</f>
        <v>25.61</v>
      </c>
      <c r="C2710" s="2">
        <f>IFERROR(__xludf.DUMMYFUNCTION("""COMPUTED_VALUE"""),25.7)</f>
        <v>25.7</v>
      </c>
      <c r="D2710" s="2">
        <f>IFERROR(__xludf.DUMMYFUNCTION("""COMPUTED_VALUE"""),25.1)</f>
        <v>25.1</v>
      </c>
      <c r="E2710" s="2">
        <f>IFERROR(__xludf.DUMMYFUNCTION("""COMPUTED_VALUE"""),25.61)</f>
        <v>25.61</v>
      </c>
      <c r="F2710" s="2">
        <f>IFERROR(__xludf.DUMMYFUNCTION("""COMPUTED_VALUE"""),1699200.0)</f>
        <v>1699200</v>
      </c>
    </row>
    <row r="2711">
      <c r="A2711" s="3">
        <f>IFERROR(__xludf.DUMMYFUNCTION("""COMPUTED_VALUE"""),33135.666666666664)</f>
        <v>33135.66667</v>
      </c>
      <c r="B2711" s="2">
        <f>IFERROR(__xludf.DUMMYFUNCTION("""COMPUTED_VALUE"""),25.88)</f>
        <v>25.88</v>
      </c>
      <c r="C2711" s="2">
        <f>IFERROR(__xludf.DUMMYFUNCTION("""COMPUTED_VALUE"""),26.09)</f>
        <v>26.09</v>
      </c>
      <c r="D2711" s="2">
        <f>IFERROR(__xludf.DUMMYFUNCTION("""COMPUTED_VALUE"""),25.67)</f>
        <v>25.67</v>
      </c>
      <c r="E2711" s="2">
        <f>IFERROR(__xludf.DUMMYFUNCTION("""COMPUTED_VALUE"""),25.88)</f>
        <v>25.88</v>
      </c>
      <c r="F2711" s="2">
        <f>IFERROR(__xludf.DUMMYFUNCTION("""COMPUTED_VALUE"""),2189100.0)</f>
        <v>2189100</v>
      </c>
    </row>
    <row r="2712">
      <c r="A2712" s="3">
        <f>IFERROR(__xludf.DUMMYFUNCTION("""COMPUTED_VALUE"""),33136.666666666664)</f>
        <v>33136.66667</v>
      </c>
      <c r="B2712" s="2">
        <f>IFERROR(__xludf.DUMMYFUNCTION("""COMPUTED_VALUE"""),25.76)</f>
        <v>25.76</v>
      </c>
      <c r="C2712" s="2">
        <f>IFERROR(__xludf.DUMMYFUNCTION("""COMPUTED_VALUE"""),26.03)</f>
        <v>26.03</v>
      </c>
      <c r="D2712" s="2">
        <f>IFERROR(__xludf.DUMMYFUNCTION("""COMPUTED_VALUE"""),25.46)</f>
        <v>25.46</v>
      </c>
      <c r="E2712" s="2">
        <f>IFERROR(__xludf.DUMMYFUNCTION("""COMPUTED_VALUE"""),25.76)</f>
        <v>25.76</v>
      </c>
      <c r="F2712" s="2">
        <f>IFERROR(__xludf.DUMMYFUNCTION("""COMPUTED_VALUE"""),1213600.0)</f>
        <v>1213600</v>
      </c>
    </row>
    <row r="2713">
      <c r="A2713" s="3">
        <f>IFERROR(__xludf.DUMMYFUNCTION("""COMPUTED_VALUE"""),33137.666666666664)</f>
        <v>33137.66667</v>
      </c>
      <c r="B2713" s="2">
        <f>IFERROR(__xludf.DUMMYFUNCTION("""COMPUTED_VALUE"""),25.49)</f>
        <v>25.49</v>
      </c>
      <c r="C2713" s="2">
        <f>IFERROR(__xludf.DUMMYFUNCTION("""COMPUTED_VALUE"""),25.76)</f>
        <v>25.76</v>
      </c>
      <c r="D2713" s="2">
        <f>IFERROR(__xludf.DUMMYFUNCTION("""COMPUTED_VALUE"""),25.19)</f>
        <v>25.19</v>
      </c>
      <c r="E2713" s="2">
        <f>IFERROR(__xludf.DUMMYFUNCTION("""COMPUTED_VALUE"""),25.49)</f>
        <v>25.49</v>
      </c>
      <c r="F2713" s="2">
        <f>IFERROR(__xludf.DUMMYFUNCTION("""COMPUTED_VALUE"""),2211500.0)</f>
        <v>2211500</v>
      </c>
    </row>
    <row r="2714">
      <c r="A2714" s="3">
        <f>IFERROR(__xludf.DUMMYFUNCTION("""COMPUTED_VALUE"""),33140.666666666664)</f>
        <v>33140.66667</v>
      </c>
      <c r="B2714" s="2">
        <f>IFERROR(__xludf.DUMMYFUNCTION("""COMPUTED_VALUE"""),25.07)</f>
        <v>25.07</v>
      </c>
      <c r="C2714" s="2">
        <f>IFERROR(__xludf.DUMMYFUNCTION("""COMPUTED_VALUE"""),25.37)</f>
        <v>25.37</v>
      </c>
      <c r="D2714" s="2">
        <f>IFERROR(__xludf.DUMMYFUNCTION("""COMPUTED_VALUE"""),24.95)</f>
        <v>24.95</v>
      </c>
      <c r="E2714" s="2">
        <f>IFERROR(__xludf.DUMMYFUNCTION("""COMPUTED_VALUE"""),25.07)</f>
        <v>25.07</v>
      </c>
      <c r="F2714" s="2">
        <f>IFERROR(__xludf.DUMMYFUNCTION("""COMPUTED_VALUE"""),1993700.0)</f>
        <v>1993700</v>
      </c>
    </row>
    <row r="2715">
      <c r="A2715" s="3">
        <f>IFERROR(__xludf.DUMMYFUNCTION("""COMPUTED_VALUE"""),33141.666666666664)</f>
        <v>33141.66667</v>
      </c>
      <c r="B2715" s="2">
        <f>IFERROR(__xludf.DUMMYFUNCTION("""COMPUTED_VALUE"""),25.4)</f>
        <v>25.4</v>
      </c>
      <c r="C2715" s="2">
        <f>IFERROR(__xludf.DUMMYFUNCTION("""COMPUTED_VALUE"""),25.43)</f>
        <v>25.43</v>
      </c>
      <c r="D2715" s="2">
        <f>IFERROR(__xludf.DUMMYFUNCTION("""COMPUTED_VALUE"""),25.04)</f>
        <v>25.04</v>
      </c>
      <c r="E2715" s="2">
        <f>IFERROR(__xludf.DUMMYFUNCTION("""COMPUTED_VALUE"""),25.4)</f>
        <v>25.4</v>
      </c>
      <c r="F2715" s="2">
        <f>IFERROR(__xludf.DUMMYFUNCTION("""COMPUTED_VALUE"""),1545300.0)</f>
        <v>1545300</v>
      </c>
    </row>
    <row r="2716">
      <c r="A2716" s="3">
        <f>IFERROR(__xludf.DUMMYFUNCTION("""COMPUTED_VALUE"""),33142.666666666664)</f>
        <v>33142.66667</v>
      </c>
      <c r="B2716" s="2">
        <f>IFERROR(__xludf.DUMMYFUNCTION("""COMPUTED_VALUE"""),25.16)</f>
        <v>25.16</v>
      </c>
      <c r="C2716" s="2">
        <f>IFERROR(__xludf.DUMMYFUNCTION("""COMPUTED_VALUE"""),25.49)</f>
        <v>25.49</v>
      </c>
      <c r="D2716" s="2">
        <f>IFERROR(__xludf.DUMMYFUNCTION("""COMPUTED_VALUE"""),24.89)</f>
        <v>24.89</v>
      </c>
      <c r="E2716" s="2">
        <f>IFERROR(__xludf.DUMMYFUNCTION("""COMPUTED_VALUE"""),25.16)</f>
        <v>25.16</v>
      </c>
      <c r="F2716" s="2">
        <f>IFERROR(__xludf.DUMMYFUNCTION("""COMPUTED_VALUE"""),1744400.0)</f>
        <v>1744400</v>
      </c>
    </row>
    <row r="2717">
      <c r="A2717" s="3">
        <f>IFERROR(__xludf.DUMMYFUNCTION("""COMPUTED_VALUE"""),33143.666666666664)</f>
        <v>33143.66667</v>
      </c>
      <c r="B2717" s="2">
        <f>IFERROR(__xludf.DUMMYFUNCTION("""COMPUTED_VALUE"""),24.92)</f>
        <v>24.92</v>
      </c>
      <c r="C2717" s="2">
        <f>IFERROR(__xludf.DUMMYFUNCTION("""COMPUTED_VALUE"""),25.46)</f>
        <v>25.46</v>
      </c>
      <c r="D2717" s="2">
        <f>IFERROR(__xludf.DUMMYFUNCTION("""COMPUTED_VALUE"""),24.57)</f>
        <v>24.57</v>
      </c>
      <c r="E2717" s="2">
        <f>IFERROR(__xludf.DUMMYFUNCTION("""COMPUTED_VALUE"""),24.92)</f>
        <v>24.92</v>
      </c>
      <c r="F2717" s="2">
        <f>IFERROR(__xludf.DUMMYFUNCTION("""COMPUTED_VALUE"""),1689100.0)</f>
        <v>1689100</v>
      </c>
    </row>
    <row r="2718">
      <c r="A2718" s="3">
        <f>IFERROR(__xludf.DUMMYFUNCTION("""COMPUTED_VALUE"""),33144.666666666664)</f>
        <v>33144.66667</v>
      </c>
      <c r="B2718" s="2">
        <f>IFERROR(__xludf.DUMMYFUNCTION("""COMPUTED_VALUE"""),25.4)</f>
        <v>25.4</v>
      </c>
      <c r="C2718" s="2">
        <f>IFERROR(__xludf.DUMMYFUNCTION("""COMPUTED_VALUE"""),25.58)</f>
        <v>25.58</v>
      </c>
      <c r="D2718" s="2">
        <f>IFERROR(__xludf.DUMMYFUNCTION("""COMPUTED_VALUE"""),24.57)</f>
        <v>24.57</v>
      </c>
      <c r="E2718" s="2">
        <f>IFERROR(__xludf.DUMMYFUNCTION("""COMPUTED_VALUE"""),25.4)</f>
        <v>25.4</v>
      </c>
      <c r="F2718" s="2">
        <f>IFERROR(__xludf.DUMMYFUNCTION("""COMPUTED_VALUE"""),1975100.0)</f>
        <v>1975100</v>
      </c>
    </row>
    <row r="2719">
      <c r="A2719" s="3">
        <f>IFERROR(__xludf.DUMMYFUNCTION("""COMPUTED_VALUE"""),33147.666666666664)</f>
        <v>33147.66667</v>
      </c>
      <c r="B2719" s="2">
        <f>IFERROR(__xludf.DUMMYFUNCTION("""COMPUTED_VALUE"""),26.03)</f>
        <v>26.03</v>
      </c>
      <c r="C2719" s="2">
        <f>IFERROR(__xludf.DUMMYFUNCTION("""COMPUTED_VALUE"""),26.15)</f>
        <v>26.15</v>
      </c>
      <c r="D2719" s="2">
        <f>IFERROR(__xludf.DUMMYFUNCTION("""COMPUTED_VALUE"""),25.58)</f>
        <v>25.58</v>
      </c>
      <c r="E2719" s="2">
        <f>IFERROR(__xludf.DUMMYFUNCTION("""COMPUTED_VALUE"""),26.03)</f>
        <v>26.03</v>
      </c>
      <c r="F2719" s="2">
        <f>IFERROR(__xludf.DUMMYFUNCTION("""COMPUTED_VALUE"""),1851300.0)</f>
        <v>1851300</v>
      </c>
    </row>
    <row r="2720">
      <c r="A2720" s="3">
        <f>IFERROR(__xludf.DUMMYFUNCTION("""COMPUTED_VALUE"""),33148.666666666664)</f>
        <v>33148.66667</v>
      </c>
      <c r="B2720" s="2">
        <f>IFERROR(__xludf.DUMMYFUNCTION("""COMPUTED_VALUE"""),25.85)</f>
        <v>25.85</v>
      </c>
      <c r="C2720" s="2">
        <f>IFERROR(__xludf.DUMMYFUNCTION("""COMPUTED_VALUE"""),26.36)</f>
        <v>26.36</v>
      </c>
      <c r="D2720" s="2">
        <f>IFERROR(__xludf.DUMMYFUNCTION("""COMPUTED_VALUE"""),25.85)</f>
        <v>25.85</v>
      </c>
      <c r="E2720" s="2">
        <f>IFERROR(__xludf.DUMMYFUNCTION("""COMPUTED_VALUE"""),25.85)</f>
        <v>25.85</v>
      </c>
      <c r="F2720" s="2">
        <f>IFERROR(__xludf.DUMMYFUNCTION("""COMPUTED_VALUE"""),1893100.0)</f>
        <v>1893100</v>
      </c>
    </row>
    <row r="2721">
      <c r="A2721" s="3">
        <f>IFERROR(__xludf.DUMMYFUNCTION("""COMPUTED_VALUE"""),33149.666666666664)</f>
        <v>33149.66667</v>
      </c>
      <c r="B2721" s="2">
        <f>IFERROR(__xludf.DUMMYFUNCTION("""COMPUTED_VALUE"""),25.64)</f>
        <v>25.64</v>
      </c>
      <c r="C2721" s="2">
        <f>IFERROR(__xludf.DUMMYFUNCTION("""COMPUTED_VALUE"""),26.03)</f>
        <v>26.03</v>
      </c>
      <c r="D2721" s="2">
        <f>IFERROR(__xludf.DUMMYFUNCTION("""COMPUTED_VALUE"""),25.58)</f>
        <v>25.58</v>
      </c>
      <c r="E2721" s="2">
        <f>IFERROR(__xludf.DUMMYFUNCTION("""COMPUTED_VALUE"""),25.64)</f>
        <v>25.64</v>
      </c>
      <c r="F2721" s="2">
        <f>IFERROR(__xludf.DUMMYFUNCTION("""COMPUTED_VALUE"""),1101700.0)</f>
        <v>1101700</v>
      </c>
    </row>
    <row r="2722">
      <c r="A2722" s="3">
        <f>IFERROR(__xludf.DUMMYFUNCTION("""COMPUTED_VALUE"""),33150.666666666664)</f>
        <v>33150.66667</v>
      </c>
      <c r="B2722" s="2">
        <f>IFERROR(__xludf.DUMMYFUNCTION("""COMPUTED_VALUE"""),25.76)</f>
        <v>25.76</v>
      </c>
      <c r="C2722" s="2">
        <f>IFERROR(__xludf.DUMMYFUNCTION("""COMPUTED_VALUE"""),25.85)</f>
        <v>25.85</v>
      </c>
      <c r="D2722" s="2">
        <f>IFERROR(__xludf.DUMMYFUNCTION("""COMPUTED_VALUE"""),25.4)</f>
        <v>25.4</v>
      </c>
      <c r="E2722" s="2">
        <f>IFERROR(__xludf.DUMMYFUNCTION("""COMPUTED_VALUE"""),25.76)</f>
        <v>25.76</v>
      </c>
      <c r="F2722" s="2">
        <f>IFERROR(__xludf.DUMMYFUNCTION("""COMPUTED_VALUE"""),1162000.0)</f>
        <v>1162000</v>
      </c>
    </row>
    <row r="2723">
      <c r="A2723" s="3">
        <f>IFERROR(__xludf.DUMMYFUNCTION("""COMPUTED_VALUE"""),33151.666666666664)</f>
        <v>33151.66667</v>
      </c>
      <c r="B2723" s="2">
        <f>IFERROR(__xludf.DUMMYFUNCTION("""COMPUTED_VALUE"""),25.85)</f>
        <v>25.85</v>
      </c>
      <c r="C2723" s="2">
        <f>IFERROR(__xludf.DUMMYFUNCTION("""COMPUTED_VALUE"""),26.03)</f>
        <v>26.03</v>
      </c>
      <c r="D2723" s="2">
        <f>IFERROR(__xludf.DUMMYFUNCTION("""COMPUTED_VALUE"""),25.31)</f>
        <v>25.31</v>
      </c>
      <c r="E2723" s="2">
        <f>IFERROR(__xludf.DUMMYFUNCTION("""COMPUTED_VALUE"""),25.85)</f>
        <v>25.85</v>
      </c>
      <c r="F2723" s="2">
        <f>IFERROR(__xludf.DUMMYFUNCTION("""COMPUTED_VALUE"""),1572000.0)</f>
        <v>1572000</v>
      </c>
    </row>
    <row r="2724">
      <c r="A2724" s="3">
        <f>IFERROR(__xludf.DUMMYFUNCTION("""COMPUTED_VALUE"""),33154.666666666664)</f>
        <v>33154.66667</v>
      </c>
      <c r="B2724" s="2">
        <f>IFERROR(__xludf.DUMMYFUNCTION("""COMPUTED_VALUE"""),26.15)</f>
        <v>26.15</v>
      </c>
      <c r="C2724" s="2">
        <f>IFERROR(__xludf.DUMMYFUNCTION("""COMPUTED_VALUE"""),26.15)</f>
        <v>26.15</v>
      </c>
      <c r="D2724" s="2">
        <f>IFERROR(__xludf.DUMMYFUNCTION("""COMPUTED_VALUE"""),25.94)</f>
        <v>25.94</v>
      </c>
      <c r="E2724" s="2">
        <f>IFERROR(__xludf.DUMMYFUNCTION("""COMPUTED_VALUE"""),26.15)</f>
        <v>26.15</v>
      </c>
      <c r="F2724" s="2">
        <f>IFERROR(__xludf.DUMMYFUNCTION("""COMPUTED_VALUE"""),901300.0)</f>
        <v>901300</v>
      </c>
    </row>
    <row r="2725">
      <c r="A2725" s="3">
        <f>IFERROR(__xludf.DUMMYFUNCTION("""COMPUTED_VALUE"""),33155.666666666664)</f>
        <v>33155.66667</v>
      </c>
      <c r="B2725" s="2">
        <f>IFERROR(__xludf.DUMMYFUNCTION("""COMPUTED_VALUE"""),25.16)</f>
        <v>25.16</v>
      </c>
      <c r="C2725" s="2">
        <f>IFERROR(__xludf.DUMMYFUNCTION("""COMPUTED_VALUE"""),25.94)</f>
        <v>25.94</v>
      </c>
      <c r="D2725" s="2">
        <f>IFERROR(__xludf.DUMMYFUNCTION("""COMPUTED_VALUE"""),25.16)</f>
        <v>25.16</v>
      </c>
      <c r="E2725" s="2">
        <f>IFERROR(__xludf.DUMMYFUNCTION("""COMPUTED_VALUE"""),25.16)</f>
        <v>25.16</v>
      </c>
      <c r="F2725" s="2">
        <f>IFERROR(__xludf.DUMMYFUNCTION("""COMPUTED_VALUE"""),1418600.0)</f>
        <v>1418600</v>
      </c>
    </row>
    <row r="2726">
      <c r="A2726" s="3">
        <f>IFERROR(__xludf.DUMMYFUNCTION("""COMPUTED_VALUE"""),33156.666666666664)</f>
        <v>33156.66667</v>
      </c>
      <c r="B2726" s="2">
        <f>IFERROR(__xludf.DUMMYFUNCTION("""COMPUTED_VALUE"""),24.71)</f>
        <v>24.71</v>
      </c>
      <c r="C2726" s="2">
        <f>IFERROR(__xludf.DUMMYFUNCTION("""COMPUTED_VALUE"""),25.46)</f>
        <v>25.46</v>
      </c>
      <c r="D2726" s="2">
        <f>IFERROR(__xludf.DUMMYFUNCTION("""COMPUTED_VALUE"""),24.57)</f>
        <v>24.57</v>
      </c>
      <c r="E2726" s="2">
        <f>IFERROR(__xludf.DUMMYFUNCTION("""COMPUTED_VALUE"""),24.71)</f>
        <v>24.71</v>
      </c>
      <c r="F2726" s="2">
        <f>IFERROR(__xludf.DUMMYFUNCTION("""COMPUTED_VALUE"""),2258600.0)</f>
        <v>2258600</v>
      </c>
    </row>
    <row r="2727">
      <c r="A2727" s="3">
        <f>IFERROR(__xludf.DUMMYFUNCTION("""COMPUTED_VALUE"""),33157.666666666664)</f>
        <v>33157.66667</v>
      </c>
      <c r="B2727" s="2">
        <f>IFERROR(__xludf.DUMMYFUNCTION("""COMPUTED_VALUE"""),24.12)</f>
        <v>24.12</v>
      </c>
      <c r="C2727" s="2">
        <f>IFERROR(__xludf.DUMMYFUNCTION("""COMPUTED_VALUE"""),24.8)</f>
        <v>24.8</v>
      </c>
      <c r="D2727" s="2">
        <f>IFERROR(__xludf.DUMMYFUNCTION("""COMPUTED_VALUE"""),23.82)</f>
        <v>23.82</v>
      </c>
      <c r="E2727" s="2">
        <f>IFERROR(__xludf.DUMMYFUNCTION("""COMPUTED_VALUE"""),24.12)</f>
        <v>24.12</v>
      </c>
      <c r="F2727" s="2">
        <f>IFERROR(__xludf.DUMMYFUNCTION("""COMPUTED_VALUE"""),3113800.0)</f>
        <v>3113800</v>
      </c>
    </row>
    <row r="2728">
      <c r="A2728" s="3">
        <f>IFERROR(__xludf.DUMMYFUNCTION("""COMPUTED_VALUE"""),33158.666666666664)</f>
        <v>33158.66667</v>
      </c>
      <c r="B2728" s="2">
        <f>IFERROR(__xludf.DUMMYFUNCTION("""COMPUTED_VALUE"""),23.94)</f>
        <v>23.94</v>
      </c>
      <c r="C2728" s="2">
        <f>IFERROR(__xludf.DUMMYFUNCTION("""COMPUTED_VALUE"""),24.36)</f>
        <v>24.36</v>
      </c>
      <c r="D2728" s="2">
        <f>IFERROR(__xludf.DUMMYFUNCTION("""COMPUTED_VALUE"""),23.76)</f>
        <v>23.76</v>
      </c>
      <c r="E2728" s="2">
        <f>IFERROR(__xludf.DUMMYFUNCTION("""COMPUTED_VALUE"""),23.94)</f>
        <v>23.94</v>
      </c>
      <c r="F2728" s="2">
        <f>IFERROR(__xludf.DUMMYFUNCTION("""COMPUTED_VALUE"""),2308100.0)</f>
        <v>2308100</v>
      </c>
    </row>
    <row r="2729">
      <c r="A2729" s="3">
        <f>IFERROR(__xludf.DUMMYFUNCTION("""COMPUTED_VALUE"""),33161.666666666664)</f>
        <v>33161.66667</v>
      </c>
      <c r="B2729" s="2">
        <f>IFERROR(__xludf.DUMMYFUNCTION("""COMPUTED_VALUE"""),23.7)</f>
        <v>23.7</v>
      </c>
      <c r="C2729" s="2">
        <f>IFERROR(__xludf.DUMMYFUNCTION("""COMPUTED_VALUE"""),24.09)</f>
        <v>24.09</v>
      </c>
      <c r="D2729" s="2">
        <f>IFERROR(__xludf.DUMMYFUNCTION("""COMPUTED_VALUE"""),22.98)</f>
        <v>22.98</v>
      </c>
      <c r="E2729" s="2">
        <f>IFERROR(__xludf.DUMMYFUNCTION("""COMPUTED_VALUE"""),23.7)</f>
        <v>23.7</v>
      </c>
      <c r="F2729" s="2">
        <f>IFERROR(__xludf.DUMMYFUNCTION("""COMPUTED_VALUE"""),3121400.0)</f>
        <v>3121400</v>
      </c>
    </row>
    <row r="2730">
      <c r="A2730" s="3">
        <f>IFERROR(__xludf.DUMMYFUNCTION("""COMPUTED_VALUE"""),33162.666666666664)</f>
        <v>33162.66667</v>
      </c>
      <c r="B2730" s="2">
        <f>IFERROR(__xludf.DUMMYFUNCTION("""COMPUTED_VALUE"""),23.73)</f>
        <v>23.73</v>
      </c>
      <c r="C2730" s="2">
        <f>IFERROR(__xludf.DUMMYFUNCTION("""COMPUTED_VALUE"""),23.97)</f>
        <v>23.97</v>
      </c>
      <c r="D2730" s="2">
        <f>IFERROR(__xludf.DUMMYFUNCTION("""COMPUTED_VALUE"""),23.46)</f>
        <v>23.46</v>
      </c>
      <c r="E2730" s="2">
        <f>IFERROR(__xludf.DUMMYFUNCTION("""COMPUTED_VALUE"""),23.73)</f>
        <v>23.73</v>
      </c>
      <c r="F2730" s="2">
        <f>IFERROR(__xludf.DUMMYFUNCTION("""COMPUTED_VALUE"""),1690200.0)</f>
        <v>1690200</v>
      </c>
    </row>
    <row r="2731">
      <c r="A2731" s="3">
        <f>IFERROR(__xludf.DUMMYFUNCTION("""COMPUTED_VALUE"""),33163.666666666664)</f>
        <v>33163.66667</v>
      </c>
      <c r="B2731" s="2">
        <f>IFERROR(__xludf.DUMMYFUNCTION("""COMPUTED_VALUE"""),24.06)</f>
        <v>24.06</v>
      </c>
      <c r="C2731" s="2">
        <f>IFERROR(__xludf.DUMMYFUNCTION("""COMPUTED_VALUE"""),24.27)</f>
        <v>24.27</v>
      </c>
      <c r="D2731" s="2">
        <f>IFERROR(__xludf.DUMMYFUNCTION("""COMPUTED_VALUE"""),23.73)</f>
        <v>23.73</v>
      </c>
      <c r="E2731" s="2">
        <f>IFERROR(__xludf.DUMMYFUNCTION("""COMPUTED_VALUE"""),24.06)</f>
        <v>24.06</v>
      </c>
      <c r="F2731" s="2">
        <f>IFERROR(__xludf.DUMMYFUNCTION("""COMPUTED_VALUE"""),1330300.0)</f>
        <v>1330300</v>
      </c>
    </row>
    <row r="2732">
      <c r="A2732" s="3">
        <f>IFERROR(__xludf.DUMMYFUNCTION("""COMPUTED_VALUE"""),33164.666666666664)</f>
        <v>33164.66667</v>
      </c>
      <c r="B2732" s="2">
        <f>IFERROR(__xludf.DUMMYFUNCTION("""COMPUTED_VALUE"""),25.16)</f>
        <v>25.16</v>
      </c>
      <c r="C2732" s="2">
        <f>IFERROR(__xludf.DUMMYFUNCTION("""COMPUTED_VALUE"""),25.16)</f>
        <v>25.16</v>
      </c>
      <c r="D2732" s="2">
        <f>IFERROR(__xludf.DUMMYFUNCTION("""COMPUTED_VALUE"""),24.3)</f>
        <v>24.3</v>
      </c>
      <c r="E2732" s="2">
        <f>IFERROR(__xludf.DUMMYFUNCTION("""COMPUTED_VALUE"""),25.16)</f>
        <v>25.16</v>
      </c>
      <c r="F2732" s="2">
        <f>IFERROR(__xludf.DUMMYFUNCTION("""COMPUTED_VALUE"""),1866500.0)</f>
        <v>1866500</v>
      </c>
    </row>
    <row r="2733">
      <c r="A2733" s="3">
        <f>IFERROR(__xludf.DUMMYFUNCTION("""COMPUTED_VALUE"""),33165.666666666664)</f>
        <v>33165.66667</v>
      </c>
      <c r="B2733" s="2">
        <f>IFERROR(__xludf.DUMMYFUNCTION("""COMPUTED_VALUE"""),25.7)</f>
        <v>25.7</v>
      </c>
      <c r="C2733" s="2">
        <f>IFERROR(__xludf.DUMMYFUNCTION("""COMPUTED_VALUE"""),26.03)</f>
        <v>26.03</v>
      </c>
      <c r="D2733" s="2">
        <f>IFERROR(__xludf.DUMMYFUNCTION("""COMPUTED_VALUE"""),24.98)</f>
        <v>24.98</v>
      </c>
      <c r="E2733" s="2">
        <f>IFERROR(__xludf.DUMMYFUNCTION("""COMPUTED_VALUE"""),25.7)</f>
        <v>25.7</v>
      </c>
      <c r="F2733" s="2">
        <f>IFERROR(__xludf.DUMMYFUNCTION("""COMPUTED_VALUE"""),2658600.0)</f>
        <v>2658600</v>
      </c>
    </row>
    <row r="2734">
      <c r="A2734" s="3">
        <f>IFERROR(__xludf.DUMMYFUNCTION("""COMPUTED_VALUE"""),33168.666666666664)</f>
        <v>33168.66667</v>
      </c>
      <c r="B2734" s="2">
        <f>IFERROR(__xludf.DUMMYFUNCTION("""COMPUTED_VALUE"""),25.73)</f>
        <v>25.73</v>
      </c>
      <c r="C2734" s="2">
        <f>IFERROR(__xludf.DUMMYFUNCTION("""COMPUTED_VALUE"""),25.97)</f>
        <v>25.97</v>
      </c>
      <c r="D2734" s="2">
        <f>IFERROR(__xludf.DUMMYFUNCTION("""COMPUTED_VALUE"""),25.43)</f>
        <v>25.43</v>
      </c>
      <c r="E2734" s="2">
        <f>IFERROR(__xludf.DUMMYFUNCTION("""COMPUTED_VALUE"""),25.73)</f>
        <v>25.73</v>
      </c>
      <c r="F2734" s="2">
        <f>IFERROR(__xludf.DUMMYFUNCTION("""COMPUTED_VALUE"""),1918300.0)</f>
        <v>1918300</v>
      </c>
    </row>
    <row r="2735">
      <c r="A2735" s="3">
        <f>IFERROR(__xludf.DUMMYFUNCTION("""COMPUTED_VALUE"""),33169.666666666664)</f>
        <v>33169.66667</v>
      </c>
      <c r="B2735" s="2">
        <f>IFERROR(__xludf.DUMMYFUNCTION("""COMPUTED_VALUE"""),25.49)</f>
        <v>25.49</v>
      </c>
      <c r="C2735" s="2">
        <f>IFERROR(__xludf.DUMMYFUNCTION("""COMPUTED_VALUE"""),25.85)</f>
        <v>25.85</v>
      </c>
      <c r="D2735" s="2">
        <f>IFERROR(__xludf.DUMMYFUNCTION("""COMPUTED_VALUE"""),25.46)</f>
        <v>25.46</v>
      </c>
      <c r="E2735" s="2">
        <f>IFERROR(__xludf.DUMMYFUNCTION("""COMPUTED_VALUE"""),25.49)</f>
        <v>25.49</v>
      </c>
      <c r="F2735" s="2">
        <f>IFERROR(__xludf.DUMMYFUNCTION("""COMPUTED_VALUE"""),1270700.0)</f>
        <v>1270700</v>
      </c>
    </row>
    <row r="2736">
      <c r="A2736" s="3">
        <f>IFERROR(__xludf.DUMMYFUNCTION("""COMPUTED_VALUE"""),33170.666666666664)</f>
        <v>33170.66667</v>
      </c>
      <c r="B2736" s="2">
        <f>IFERROR(__xludf.DUMMYFUNCTION("""COMPUTED_VALUE"""),25.94)</f>
        <v>25.94</v>
      </c>
      <c r="C2736" s="2">
        <f>IFERROR(__xludf.DUMMYFUNCTION("""COMPUTED_VALUE"""),26.03)</f>
        <v>26.03</v>
      </c>
      <c r="D2736" s="2">
        <f>IFERROR(__xludf.DUMMYFUNCTION("""COMPUTED_VALUE"""),25.49)</f>
        <v>25.49</v>
      </c>
      <c r="E2736" s="2">
        <f>IFERROR(__xludf.DUMMYFUNCTION("""COMPUTED_VALUE"""),25.94)</f>
        <v>25.94</v>
      </c>
      <c r="F2736" s="2">
        <f>IFERROR(__xludf.DUMMYFUNCTION("""COMPUTED_VALUE"""),1619400.0)</f>
        <v>1619400</v>
      </c>
    </row>
    <row r="2737">
      <c r="A2737" s="3">
        <f>IFERROR(__xludf.DUMMYFUNCTION("""COMPUTED_VALUE"""),33171.666666666664)</f>
        <v>33171.66667</v>
      </c>
      <c r="B2737" s="2">
        <f>IFERROR(__xludf.DUMMYFUNCTION("""COMPUTED_VALUE"""),25.82)</f>
        <v>25.82</v>
      </c>
      <c r="C2737" s="2">
        <f>IFERROR(__xludf.DUMMYFUNCTION("""COMPUTED_VALUE"""),26.09)</f>
        <v>26.09</v>
      </c>
      <c r="D2737" s="2">
        <f>IFERROR(__xludf.DUMMYFUNCTION("""COMPUTED_VALUE"""),25.46)</f>
        <v>25.46</v>
      </c>
      <c r="E2737" s="2">
        <f>IFERROR(__xludf.DUMMYFUNCTION("""COMPUTED_VALUE"""),25.82)</f>
        <v>25.82</v>
      </c>
      <c r="F2737" s="2">
        <f>IFERROR(__xludf.DUMMYFUNCTION("""COMPUTED_VALUE"""),1592000.0)</f>
        <v>1592000</v>
      </c>
    </row>
    <row r="2738">
      <c r="A2738" s="3">
        <f>IFERROR(__xludf.DUMMYFUNCTION("""COMPUTED_VALUE"""),33172.666666666664)</f>
        <v>33172.66667</v>
      </c>
      <c r="B2738" s="2">
        <f>IFERROR(__xludf.DUMMYFUNCTION("""COMPUTED_VALUE"""),25.46)</f>
        <v>25.46</v>
      </c>
      <c r="C2738" s="2">
        <f>IFERROR(__xludf.DUMMYFUNCTION("""COMPUTED_VALUE"""),25.67)</f>
        <v>25.67</v>
      </c>
      <c r="D2738" s="2">
        <f>IFERROR(__xludf.DUMMYFUNCTION("""COMPUTED_VALUE"""),25.43)</f>
        <v>25.43</v>
      </c>
      <c r="E2738" s="2">
        <f>IFERROR(__xludf.DUMMYFUNCTION("""COMPUTED_VALUE"""),25.46)</f>
        <v>25.46</v>
      </c>
      <c r="F2738" s="2">
        <f>IFERROR(__xludf.DUMMYFUNCTION("""COMPUTED_VALUE"""),1246100.0)</f>
        <v>1246100</v>
      </c>
    </row>
    <row r="2739">
      <c r="A2739" s="3">
        <f>IFERROR(__xludf.DUMMYFUNCTION("""COMPUTED_VALUE"""),33175.666666666664)</f>
        <v>33175.66667</v>
      </c>
      <c r="B2739" s="2">
        <f>IFERROR(__xludf.DUMMYFUNCTION("""COMPUTED_VALUE"""),25.31)</f>
        <v>25.31</v>
      </c>
      <c r="C2739" s="2">
        <f>IFERROR(__xludf.DUMMYFUNCTION("""COMPUTED_VALUE"""),25.76)</f>
        <v>25.76</v>
      </c>
      <c r="D2739" s="2">
        <f>IFERROR(__xludf.DUMMYFUNCTION("""COMPUTED_VALUE"""),25.1)</f>
        <v>25.1</v>
      </c>
      <c r="E2739" s="2">
        <f>IFERROR(__xludf.DUMMYFUNCTION("""COMPUTED_VALUE"""),25.31)</f>
        <v>25.31</v>
      </c>
      <c r="F2739" s="2">
        <f>IFERROR(__xludf.DUMMYFUNCTION("""COMPUTED_VALUE"""),1313600.0)</f>
        <v>1313600</v>
      </c>
    </row>
    <row r="2740">
      <c r="A2740" s="3">
        <f>IFERROR(__xludf.DUMMYFUNCTION("""COMPUTED_VALUE"""),33176.666666666664)</f>
        <v>33176.66667</v>
      </c>
      <c r="B2740" s="2">
        <f>IFERROR(__xludf.DUMMYFUNCTION("""COMPUTED_VALUE"""),25.4)</f>
        <v>25.4</v>
      </c>
      <c r="C2740" s="2">
        <f>IFERROR(__xludf.DUMMYFUNCTION("""COMPUTED_VALUE"""),25.52)</f>
        <v>25.52</v>
      </c>
      <c r="D2740" s="2">
        <f>IFERROR(__xludf.DUMMYFUNCTION("""COMPUTED_VALUE"""),25.04)</f>
        <v>25.04</v>
      </c>
      <c r="E2740" s="2">
        <f>IFERROR(__xludf.DUMMYFUNCTION("""COMPUTED_VALUE"""),25.4)</f>
        <v>25.4</v>
      </c>
      <c r="F2740" s="2">
        <f>IFERROR(__xludf.DUMMYFUNCTION("""COMPUTED_VALUE"""),1639000.0)</f>
        <v>1639000</v>
      </c>
    </row>
    <row r="2741">
      <c r="A2741" s="3">
        <f>IFERROR(__xludf.DUMMYFUNCTION("""COMPUTED_VALUE"""),33177.666666666664)</f>
        <v>33177.66667</v>
      </c>
      <c r="B2741" s="2">
        <f>IFERROR(__xludf.DUMMYFUNCTION("""COMPUTED_VALUE"""),25.19)</f>
        <v>25.19</v>
      </c>
      <c r="C2741" s="2">
        <f>IFERROR(__xludf.DUMMYFUNCTION("""COMPUTED_VALUE"""),25.46)</f>
        <v>25.46</v>
      </c>
      <c r="D2741" s="2">
        <f>IFERROR(__xludf.DUMMYFUNCTION("""COMPUTED_VALUE"""),25.01)</f>
        <v>25.01</v>
      </c>
      <c r="E2741" s="2">
        <f>IFERROR(__xludf.DUMMYFUNCTION("""COMPUTED_VALUE"""),25.19)</f>
        <v>25.19</v>
      </c>
      <c r="F2741" s="2">
        <f>IFERROR(__xludf.DUMMYFUNCTION("""COMPUTED_VALUE"""),1452500.0)</f>
        <v>1452500</v>
      </c>
    </row>
    <row r="2742">
      <c r="A2742" s="3">
        <f>IFERROR(__xludf.DUMMYFUNCTION("""COMPUTED_VALUE"""),33178.666666666664)</f>
        <v>33178.66667</v>
      </c>
      <c r="B2742" s="2">
        <f>IFERROR(__xludf.DUMMYFUNCTION("""COMPUTED_VALUE"""),25.61)</f>
        <v>25.61</v>
      </c>
      <c r="C2742" s="2">
        <f>IFERROR(__xludf.DUMMYFUNCTION("""COMPUTED_VALUE"""),25.64)</f>
        <v>25.64</v>
      </c>
      <c r="D2742" s="2">
        <f>IFERROR(__xludf.DUMMYFUNCTION("""COMPUTED_VALUE"""),25.04)</f>
        <v>25.04</v>
      </c>
      <c r="E2742" s="2">
        <f>IFERROR(__xludf.DUMMYFUNCTION("""COMPUTED_VALUE"""),25.61)</f>
        <v>25.61</v>
      </c>
      <c r="F2742" s="2">
        <f>IFERROR(__xludf.DUMMYFUNCTION("""COMPUTED_VALUE"""),1233900.0)</f>
        <v>1233900</v>
      </c>
    </row>
    <row r="2743">
      <c r="A2743" s="3">
        <f>IFERROR(__xludf.DUMMYFUNCTION("""COMPUTED_VALUE"""),33179.666666666664)</f>
        <v>33179.66667</v>
      </c>
      <c r="B2743" s="2">
        <f>IFERROR(__xludf.DUMMYFUNCTION("""COMPUTED_VALUE"""),25.88)</f>
        <v>25.88</v>
      </c>
      <c r="C2743" s="2">
        <f>IFERROR(__xludf.DUMMYFUNCTION("""COMPUTED_VALUE"""),25.94)</f>
        <v>25.94</v>
      </c>
      <c r="D2743" s="2">
        <f>IFERROR(__xludf.DUMMYFUNCTION("""COMPUTED_VALUE"""),25.61)</f>
        <v>25.61</v>
      </c>
      <c r="E2743" s="2">
        <f>IFERROR(__xludf.DUMMYFUNCTION("""COMPUTED_VALUE"""),25.88)</f>
        <v>25.88</v>
      </c>
      <c r="F2743" s="2">
        <f>IFERROR(__xludf.DUMMYFUNCTION("""COMPUTED_VALUE"""),1790300.0)</f>
        <v>1790300</v>
      </c>
    </row>
    <row r="2744">
      <c r="A2744" s="3">
        <f>IFERROR(__xludf.DUMMYFUNCTION("""COMPUTED_VALUE"""),33182.666666666664)</f>
        <v>33182.66667</v>
      </c>
      <c r="B2744" s="2">
        <f>IFERROR(__xludf.DUMMYFUNCTION("""COMPUTED_VALUE"""),25.76)</f>
        <v>25.76</v>
      </c>
      <c r="C2744" s="2">
        <f>IFERROR(__xludf.DUMMYFUNCTION("""COMPUTED_VALUE"""),25.82)</f>
        <v>25.82</v>
      </c>
      <c r="D2744" s="2">
        <f>IFERROR(__xludf.DUMMYFUNCTION("""COMPUTED_VALUE"""),25.43)</f>
        <v>25.43</v>
      </c>
      <c r="E2744" s="2">
        <f>IFERROR(__xludf.DUMMYFUNCTION("""COMPUTED_VALUE"""),25.76)</f>
        <v>25.76</v>
      </c>
      <c r="F2744" s="2">
        <f>IFERROR(__xludf.DUMMYFUNCTION("""COMPUTED_VALUE"""),1208700.0)</f>
        <v>1208700</v>
      </c>
    </row>
    <row r="2745">
      <c r="A2745" s="3">
        <f>IFERROR(__xludf.DUMMYFUNCTION("""COMPUTED_VALUE"""),33183.666666666664)</f>
        <v>33183.66667</v>
      </c>
      <c r="B2745" s="2">
        <f>IFERROR(__xludf.DUMMYFUNCTION("""COMPUTED_VALUE"""),25.76)</f>
        <v>25.76</v>
      </c>
      <c r="C2745" s="2">
        <f>IFERROR(__xludf.DUMMYFUNCTION("""COMPUTED_VALUE"""),26.03)</f>
        <v>26.03</v>
      </c>
      <c r="D2745" s="2">
        <f>IFERROR(__xludf.DUMMYFUNCTION("""COMPUTED_VALUE"""),25.7)</f>
        <v>25.7</v>
      </c>
      <c r="E2745" s="2">
        <f>IFERROR(__xludf.DUMMYFUNCTION("""COMPUTED_VALUE"""),25.76)</f>
        <v>25.76</v>
      </c>
      <c r="F2745" s="2">
        <f>IFERROR(__xludf.DUMMYFUNCTION("""COMPUTED_VALUE"""),1593500.0)</f>
        <v>1593500</v>
      </c>
    </row>
    <row r="2746">
      <c r="A2746" s="3">
        <f>IFERROR(__xludf.DUMMYFUNCTION("""COMPUTED_VALUE"""),33184.666666666664)</f>
        <v>33184.66667</v>
      </c>
      <c r="B2746" s="2">
        <f>IFERROR(__xludf.DUMMYFUNCTION("""COMPUTED_VALUE"""),25.43)</f>
        <v>25.43</v>
      </c>
      <c r="C2746" s="2">
        <f>IFERROR(__xludf.DUMMYFUNCTION("""COMPUTED_VALUE"""),25.85)</f>
        <v>25.85</v>
      </c>
      <c r="D2746" s="2">
        <f>IFERROR(__xludf.DUMMYFUNCTION("""COMPUTED_VALUE"""),25.37)</f>
        <v>25.37</v>
      </c>
      <c r="E2746" s="2">
        <f>IFERROR(__xludf.DUMMYFUNCTION("""COMPUTED_VALUE"""),25.43)</f>
        <v>25.43</v>
      </c>
      <c r="F2746" s="2">
        <f>IFERROR(__xludf.DUMMYFUNCTION("""COMPUTED_VALUE"""),1400800.0)</f>
        <v>1400800</v>
      </c>
    </row>
    <row r="2747">
      <c r="A2747" s="3">
        <f>IFERROR(__xludf.DUMMYFUNCTION("""COMPUTED_VALUE"""),33185.666666666664)</f>
        <v>33185.66667</v>
      </c>
      <c r="B2747" s="2">
        <f>IFERROR(__xludf.DUMMYFUNCTION("""COMPUTED_VALUE"""),25.67)</f>
        <v>25.67</v>
      </c>
      <c r="C2747" s="2">
        <f>IFERROR(__xludf.DUMMYFUNCTION("""COMPUTED_VALUE"""),25.7)</f>
        <v>25.7</v>
      </c>
      <c r="D2747" s="2">
        <f>IFERROR(__xludf.DUMMYFUNCTION("""COMPUTED_VALUE"""),25.37)</f>
        <v>25.37</v>
      </c>
      <c r="E2747" s="2">
        <f>IFERROR(__xludf.DUMMYFUNCTION("""COMPUTED_VALUE"""),25.67)</f>
        <v>25.67</v>
      </c>
      <c r="F2747" s="2">
        <f>IFERROR(__xludf.DUMMYFUNCTION("""COMPUTED_VALUE"""),1619200.0)</f>
        <v>1619200</v>
      </c>
    </row>
    <row r="2748">
      <c r="A2748" s="3">
        <f>IFERROR(__xludf.DUMMYFUNCTION("""COMPUTED_VALUE"""),33186.666666666664)</f>
        <v>33186.66667</v>
      </c>
      <c r="B2748" s="2">
        <f>IFERROR(__xludf.DUMMYFUNCTION("""COMPUTED_VALUE"""),26.33)</f>
        <v>26.33</v>
      </c>
      <c r="C2748" s="2">
        <f>IFERROR(__xludf.DUMMYFUNCTION("""COMPUTED_VALUE"""),26.33)</f>
        <v>26.33</v>
      </c>
      <c r="D2748" s="2">
        <f>IFERROR(__xludf.DUMMYFUNCTION("""COMPUTED_VALUE"""),25.76)</f>
        <v>25.76</v>
      </c>
      <c r="E2748" s="2">
        <f>IFERROR(__xludf.DUMMYFUNCTION("""COMPUTED_VALUE"""),26.33)</f>
        <v>26.33</v>
      </c>
      <c r="F2748" s="2">
        <f>IFERROR(__xludf.DUMMYFUNCTION("""COMPUTED_VALUE"""),2274200.0)</f>
        <v>2274200</v>
      </c>
    </row>
    <row r="2749">
      <c r="A2749" s="3">
        <f>IFERROR(__xludf.DUMMYFUNCTION("""COMPUTED_VALUE"""),33189.666666666664)</f>
        <v>33189.66667</v>
      </c>
      <c r="B2749" s="2">
        <f>IFERROR(__xludf.DUMMYFUNCTION("""COMPUTED_VALUE"""),26.98)</f>
        <v>26.98</v>
      </c>
      <c r="C2749" s="2">
        <f>IFERROR(__xludf.DUMMYFUNCTION("""COMPUTED_VALUE"""),27.04)</f>
        <v>27.04</v>
      </c>
      <c r="D2749" s="2">
        <f>IFERROR(__xludf.DUMMYFUNCTION("""COMPUTED_VALUE"""),26.45)</f>
        <v>26.45</v>
      </c>
      <c r="E2749" s="2">
        <f>IFERROR(__xludf.DUMMYFUNCTION("""COMPUTED_VALUE"""),26.98)</f>
        <v>26.98</v>
      </c>
      <c r="F2749" s="2">
        <f>IFERROR(__xludf.DUMMYFUNCTION("""COMPUTED_VALUE"""),3543300.0)</f>
        <v>3543300</v>
      </c>
    </row>
    <row r="2750">
      <c r="A2750" s="3">
        <f>IFERROR(__xludf.DUMMYFUNCTION("""COMPUTED_VALUE"""),33190.666666666664)</f>
        <v>33190.66667</v>
      </c>
      <c r="B2750" s="2">
        <f>IFERROR(__xludf.DUMMYFUNCTION("""COMPUTED_VALUE"""),26.74)</f>
        <v>26.74</v>
      </c>
      <c r="C2750" s="2">
        <f>IFERROR(__xludf.DUMMYFUNCTION("""COMPUTED_VALUE"""),27.1)</f>
        <v>27.1</v>
      </c>
      <c r="D2750" s="2">
        <f>IFERROR(__xludf.DUMMYFUNCTION("""COMPUTED_VALUE"""),26.74)</f>
        <v>26.74</v>
      </c>
      <c r="E2750" s="2">
        <f>IFERROR(__xludf.DUMMYFUNCTION("""COMPUTED_VALUE"""),26.74)</f>
        <v>26.74</v>
      </c>
      <c r="F2750" s="2">
        <f>IFERROR(__xludf.DUMMYFUNCTION("""COMPUTED_VALUE"""),2131500.0)</f>
        <v>2131500</v>
      </c>
    </row>
    <row r="2751">
      <c r="A2751" s="3">
        <f>IFERROR(__xludf.DUMMYFUNCTION("""COMPUTED_VALUE"""),33191.666666666664)</f>
        <v>33191.66667</v>
      </c>
      <c r="B2751" s="2">
        <f>IFERROR(__xludf.DUMMYFUNCTION("""COMPUTED_VALUE"""),27.1)</f>
        <v>27.1</v>
      </c>
      <c r="C2751" s="2">
        <f>IFERROR(__xludf.DUMMYFUNCTION("""COMPUTED_VALUE"""),27.22)</f>
        <v>27.22</v>
      </c>
      <c r="D2751" s="2">
        <f>IFERROR(__xludf.DUMMYFUNCTION("""COMPUTED_VALUE"""),26.86)</f>
        <v>26.86</v>
      </c>
      <c r="E2751" s="2">
        <f>IFERROR(__xludf.DUMMYFUNCTION("""COMPUTED_VALUE"""),27.1)</f>
        <v>27.1</v>
      </c>
      <c r="F2751" s="2">
        <f>IFERROR(__xludf.DUMMYFUNCTION("""COMPUTED_VALUE"""),1968900.0)</f>
        <v>1968900</v>
      </c>
    </row>
    <row r="2752">
      <c r="A2752" s="3">
        <f>IFERROR(__xludf.DUMMYFUNCTION("""COMPUTED_VALUE"""),33192.666666666664)</f>
        <v>33192.66667</v>
      </c>
      <c r="B2752" s="2">
        <f>IFERROR(__xludf.DUMMYFUNCTION("""COMPUTED_VALUE"""),26.89)</f>
        <v>26.89</v>
      </c>
      <c r="C2752" s="2">
        <f>IFERROR(__xludf.DUMMYFUNCTION("""COMPUTED_VALUE"""),27.13)</f>
        <v>27.13</v>
      </c>
      <c r="D2752" s="2">
        <f>IFERROR(__xludf.DUMMYFUNCTION("""COMPUTED_VALUE"""),26.86)</f>
        <v>26.86</v>
      </c>
      <c r="E2752" s="2">
        <f>IFERROR(__xludf.DUMMYFUNCTION("""COMPUTED_VALUE"""),26.89)</f>
        <v>26.89</v>
      </c>
      <c r="F2752" s="2">
        <f>IFERROR(__xludf.DUMMYFUNCTION("""COMPUTED_VALUE"""),1539700.0)</f>
        <v>1539700</v>
      </c>
    </row>
    <row r="2753">
      <c r="A2753" s="3">
        <f>IFERROR(__xludf.DUMMYFUNCTION("""COMPUTED_VALUE"""),33193.666666666664)</f>
        <v>33193.66667</v>
      </c>
      <c r="B2753" s="2">
        <f>IFERROR(__xludf.DUMMYFUNCTION("""COMPUTED_VALUE"""),27.13)</f>
        <v>27.13</v>
      </c>
      <c r="C2753" s="2">
        <f>IFERROR(__xludf.DUMMYFUNCTION("""COMPUTED_VALUE"""),27.25)</f>
        <v>27.25</v>
      </c>
      <c r="D2753" s="2">
        <f>IFERROR(__xludf.DUMMYFUNCTION("""COMPUTED_VALUE"""),26.74)</f>
        <v>26.74</v>
      </c>
      <c r="E2753" s="2">
        <f>IFERROR(__xludf.DUMMYFUNCTION("""COMPUTED_VALUE"""),27.13)</f>
        <v>27.13</v>
      </c>
      <c r="F2753" s="2">
        <f>IFERROR(__xludf.DUMMYFUNCTION("""COMPUTED_VALUE"""),2269700.0)</f>
        <v>2269700</v>
      </c>
    </row>
    <row r="2754">
      <c r="A2754" s="3">
        <f>IFERROR(__xludf.DUMMYFUNCTION("""COMPUTED_VALUE"""),33196.666666666664)</f>
        <v>33196.66667</v>
      </c>
      <c r="B2754" s="2">
        <f>IFERROR(__xludf.DUMMYFUNCTION("""COMPUTED_VALUE"""),27.4)</f>
        <v>27.4</v>
      </c>
      <c r="C2754" s="2">
        <f>IFERROR(__xludf.DUMMYFUNCTION("""COMPUTED_VALUE"""),27.43)</f>
        <v>27.43</v>
      </c>
      <c r="D2754" s="2">
        <f>IFERROR(__xludf.DUMMYFUNCTION("""COMPUTED_VALUE"""),27.22)</f>
        <v>27.22</v>
      </c>
      <c r="E2754" s="2">
        <f>IFERROR(__xludf.DUMMYFUNCTION("""COMPUTED_VALUE"""),27.4)</f>
        <v>27.4</v>
      </c>
      <c r="F2754" s="2">
        <f>IFERROR(__xludf.DUMMYFUNCTION("""COMPUTED_VALUE"""),1860800.0)</f>
        <v>1860800</v>
      </c>
    </row>
    <row r="2755">
      <c r="A2755" s="3">
        <f>IFERROR(__xludf.DUMMYFUNCTION("""COMPUTED_VALUE"""),33197.666666666664)</f>
        <v>33197.66667</v>
      </c>
      <c r="B2755" s="2">
        <f>IFERROR(__xludf.DUMMYFUNCTION("""COMPUTED_VALUE"""),27.07)</f>
        <v>27.07</v>
      </c>
      <c r="C2755" s="2">
        <f>IFERROR(__xludf.DUMMYFUNCTION("""COMPUTED_VALUE"""),27.49)</f>
        <v>27.49</v>
      </c>
      <c r="D2755" s="2">
        <f>IFERROR(__xludf.DUMMYFUNCTION("""COMPUTED_VALUE"""),27.04)</f>
        <v>27.04</v>
      </c>
      <c r="E2755" s="2">
        <f>IFERROR(__xludf.DUMMYFUNCTION("""COMPUTED_VALUE"""),27.07)</f>
        <v>27.07</v>
      </c>
      <c r="F2755" s="2">
        <f>IFERROR(__xludf.DUMMYFUNCTION("""COMPUTED_VALUE"""),2000300.0)</f>
        <v>2000300</v>
      </c>
    </row>
    <row r="2756">
      <c r="A2756" s="3">
        <f>IFERROR(__xludf.DUMMYFUNCTION("""COMPUTED_VALUE"""),33198.666666666664)</f>
        <v>33198.66667</v>
      </c>
      <c r="B2756" s="2">
        <f>IFERROR(__xludf.DUMMYFUNCTION("""COMPUTED_VALUE"""),27.25)</f>
        <v>27.25</v>
      </c>
      <c r="C2756" s="2">
        <f>IFERROR(__xludf.DUMMYFUNCTION("""COMPUTED_VALUE"""),27.25)</f>
        <v>27.25</v>
      </c>
      <c r="D2756" s="2">
        <f>IFERROR(__xludf.DUMMYFUNCTION("""COMPUTED_VALUE"""),26.83)</f>
        <v>26.83</v>
      </c>
      <c r="E2756" s="2">
        <f>IFERROR(__xludf.DUMMYFUNCTION("""COMPUTED_VALUE"""),27.25)</f>
        <v>27.25</v>
      </c>
      <c r="F2756" s="2">
        <f>IFERROR(__xludf.DUMMYFUNCTION("""COMPUTED_VALUE"""),1312900.0)</f>
        <v>1312900</v>
      </c>
    </row>
    <row r="2757">
      <c r="A2757" s="3">
        <f>IFERROR(__xludf.DUMMYFUNCTION("""COMPUTED_VALUE"""),33200.666666666664)</f>
        <v>33200.66667</v>
      </c>
      <c r="B2757" s="2">
        <f>IFERROR(__xludf.DUMMYFUNCTION("""COMPUTED_VALUE"""),26.89)</f>
        <v>26.89</v>
      </c>
      <c r="C2757" s="2">
        <f>IFERROR(__xludf.DUMMYFUNCTION("""COMPUTED_VALUE"""),27.28)</f>
        <v>27.28</v>
      </c>
      <c r="D2757" s="2">
        <f>IFERROR(__xludf.DUMMYFUNCTION("""COMPUTED_VALUE"""),26.89)</f>
        <v>26.89</v>
      </c>
      <c r="E2757" s="2">
        <f>IFERROR(__xludf.DUMMYFUNCTION("""COMPUTED_VALUE"""),26.89)</f>
        <v>26.89</v>
      </c>
      <c r="F2757" s="2">
        <f>IFERROR(__xludf.DUMMYFUNCTION("""COMPUTED_VALUE"""),465500.0)</f>
        <v>465500</v>
      </c>
    </row>
    <row r="2758">
      <c r="A2758" s="3">
        <f>IFERROR(__xludf.DUMMYFUNCTION("""COMPUTED_VALUE"""),33203.666666666664)</f>
        <v>33203.66667</v>
      </c>
      <c r="B2758" s="2">
        <f>IFERROR(__xludf.DUMMYFUNCTION("""COMPUTED_VALUE"""),27.19)</f>
        <v>27.19</v>
      </c>
      <c r="C2758" s="2">
        <f>IFERROR(__xludf.DUMMYFUNCTION("""COMPUTED_VALUE"""),27.28)</f>
        <v>27.28</v>
      </c>
      <c r="D2758" s="2">
        <f>IFERROR(__xludf.DUMMYFUNCTION("""COMPUTED_VALUE"""),26.66)</f>
        <v>26.66</v>
      </c>
      <c r="E2758" s="2">
        <f>IFERROR(__xludf.DUMMYFUNCTION("""COMPUTED_VALUE"""),27.19)</f>
        <v>27.19</v>
      </c>
      <c r="F2758" s="2">
        <f>IFERROR(__xludf.DUMMYFUNCTION("""COMPUTED_VALUE"""),1165400.0)</f>
        <v>1165400</v>
      </c>
    </row>
    <row r="2759">
      <c r="A2759" s="3">
        <f>IFERROR(__xludf.DUMMYFUNCTION("""COMPUTED_VALUE"""),33204.666666666664)</f>
        <v>33204.66667</v>
      </c>
      <c r="B2759" s="2">
        <f>IFERROR(__xludf.DUMMYFUNCTION("""COMPUTED_VALUE"""),27.1)</f>
        <v>27.1</v>
      </c>
      <c r="C2759" s="2">
        <f>IFERROR(__xludf.DUMMYFUNCTION("""COMPUTED_VALUE"""),27.25)</f>
        <v>27.25</v>
      </c>
      <c r="D2759" s="2">
        <f>IFERROR(__xludf.DUMMYFUNCTION("""COMPUTED_VALUE"""),26.89)</f>
        <v>26.89</v>
      </c>
      <c r="E2759" s="2">
        <f>IFERROR(__xludf.DUMMYFUNCTION("""COMPUTED_VALUE"""),27.1)</f>
        <v>27.1</v>
      </c>
      <c r="F2759" s="2">
        <f>IFERROR(__xludf.DUMMYFUNCTION("""COMPUTED_VALUE"""),1531500.0)</f>
        <v>1531500</v>
      </c>
    </row>
    <row r="2760">
      <c r="A2760" s="3">
        <f>IFERROR(__xludf.DUMMYFUNCTION("""COMPUTED_VALUE"""),33205.666666666664)</f>
        <v>33205.66667</v>
      </c>
      <c r="B2760" s="2">
        <f>IFERROR(__xludf.DUMMYFUNCTION("""COMPUTED_VALUE"""),26.83)</f>
        <v>26.83</v>
      </c>
      <c r="C2760" s="2">
        <f>IFERROR(__xludf.DUMMYFUNCTION("""COMPUTED_VALUE"""),27.19)</f>
        <v>27.19</v>
      </c>
      <c r="D2760" s="2">
        <f>IFERROR(__xludf.DUMMYFUNCTION("""COMPUTED_VALUE"""),26.83)</f>
        <v>26.83</v>
      </c>
      <c r="E2760" s="2">
        <f>IFERROR(__xludf.DUMMYFUNCTION("""COMPUTED_VALUE"""),26.83)</f>
        <v>26.83</v>
      </c>
      <c r="F2760" s="2">
        <f>IFERROR(__xludf.DUMMYFUNCTION("""COMPUTED_VALUE"""),1319200.0)</f>
        <v>1319200</v>
      </c>
    </row>
    <row r="2761">
      <c r="A2761" s="3">
        <f>IFERROR(__xludf.DUMMYFUNCTION("""COMPUTED_VALUE"""),33206.666666666664)</f>
        <v>33206.66667</v>
      </c>
      <c r="B2761" s="2">
        <f>IFERROR(__xludf.DUMMYFUNCTION("""COMPUTED_VALUE"""),26.74)</f>
        <v>26.74</v>
      </c>
      <c r="C2761" s="2">
        <f>IFERROR(__xludf.DUMMYFUNCTION("""COMPUTED_VALUE"""),26.95)</f>
        <v>26.95</v>
      </c>
      <c r="D2761" s="2">
        <f>IFERROR(__xludf.DUMMYFUNCTION("""COMPUTED_VALUE"""),26.66)</f>
        <v>26.66</v>
      </c>
      <c r="E2761" s="2">
        <f>IFERROR(__xludf.DUMMYFUNCTION("""COMPUTED_VALUE"""),26.74)</f>
        <v>26.74</v>
      </c>
      <c r="F2761" s="2">
        <f>IFERROR(__xludf.DUMMYFUNCTION("""COMPUTED_VALUE"""),1195700.0)</f>
        <v>1195700</v>
      </c>
    </row>
    <row r="2762">
      <c r="A2762" s="3">
        <f>IFERROR(__xludf.DUMMYFUNCTION("""COMPUTED_VALUE"""),33207.666666666664)</f>
        <v>33207.66667</v>
      </c>
      <c r="B2762" s="2">
        <f>IFERROR(__xludf.DUMMYFUNCTION("""COMPUTED_VALUE"""),27.13)</f>
        <v>27.13</v>
      </c>
      <c r="C2762" s="2">
        <f>IFERROR(__xludf.DUMMYFUNCTION("""COMPUTED_VALUE"""),27.34)</f>
        <v>27.34</v>
      </c>
      <c r="D2762" s="2">
        <f>IFERROR(__xludf.DUMMYFUNCTION("""COMPUTED_VALUE"""),26.57)</f>
        <v>26.57</v>
      </c>
      <c r="E2762" s="2">
        <f>IFERROR(__xludf.DUMMYFUNCTION("""COMPUTED_VALUE"""),27.13)</f>
        <v>27.13</v>
      </c>
      <c r="F2762" s="2">
        <f>IFERROR(__xludf.DUMMYFUNCTION("""COMPUTED_VALUE"""),1804400.0)</f>
        <v>1804400</v>
      </c>
    </row>
    <row r="2763">
      <c r="A2763" s="3">
        <f>IFERROR(__xludf.DUMMYFUNCTION("""COMPUTED_VALUE"""),33210.666666666664)</f>
        <v>33210.66667</v>
      </c>
      <c r="B2763" s="2">
        <f>IFERROR(__xludf.DUMMYFUNCTION("""COMPUTED_VALUE"""),27.07)</f>
        <v>27.07</v>
      </c>
      <c r="C2763" s="2">
        <f>IFERROR(__xludf.DUMMYFUNCTION("""COMPUTED_VALUE"""),27.34)</f>
        <v>27.34</v>
      </c>
      <c r="D2763" s="2">
        <f>IFERROR(__xludf.DUMMYFUNCTION("""COMPUTED_VALUE"""),27.01)</f>
        <v>27.01</v>
      </c>
      <c r="E2763" s="2">
        <f>IFERROR(__xludf.DUMMYFUNCTION("""COMPUTED_VALUE"""),27.07)</f>
        <v>27.07</v>
      </c>
      <c r="F2763" s="2">
        <f>IFERROR(__xludf.DUMMYFUNCTION("""COMPUTED_VALUE"""),1570200.0)</f>
        <v>1570200</v>
      </c>
    </row>
    <row r="2764">
      <c r="A2764" s="3">
        <f>IFERROR(__xludf.DUMMYFUNCTION("""COMPUTED_VALUE"""),33211.666666666664)</f>
        <v>33211.66667</v>
      </c>
      <c r="B2764" s="2">
        <f>IFERROR(__xludf.DUMMYFUNCTION("""COMPUTED_VALUE"""),27.4)</f>
        <v>27.4</v>
      </c>
      <c r="C2764" s="2">
        <f>IFERROR(__xludf.DUMMYFUNCTION("""COMPUTED_VALUE"""),27.46)</f>
        <v>27.46</v>
      </c>
      <c r="D2764" s="2">
        <f>IFERROR(__xludf.DUMMYFUNCTION("""COMPUTED_VALUE"""),26.98)</f>
        <v>26.98</v>
      </c>
      <c r="E2764" s="2">
        <f>IFERROR(__xludf.DUMMYFUNCTION("""COMPUTED_VALUE"""),27.4)</f>
        <v>27.4</v>
      </c>
      <c r="F2764" s="2">
        <f>IFERROR(__xludf.DUMMYFUNCTION("""COMPUTED_VALUE"""),1459100.0)</f>
        <v>1459100</v>
      </c>
    </row>
    <row r="2765">
      <c r="A2765" s="3">
        <f>IFERROR(__xludf.DUMMYFUNCTION("""COMPUTED_VALUE"""),33212.666666666664)</f>
        <v>33212.66667</v>
      </c>
      <c r="B2765" s="2">
        <f>IFERROR(__xludf.DUMMYFUNCTION("""COMPUTED_VALUE"""),27.37)</f>
        <v>27.37</v>
      </c>
      <c r="C2765" s="2">
        <f>IFERROR(__xludf.DUMMYFUNCTION("""COMPUTED_VALUE"""),27.43)</f>
        <v>27.43</v>
      </c>
      <c r="D2765" s="2">
        <f>IFERROR(__xludf.DUMMYFUNCTION("""COMPUTED_VALUE"""),27.16)</f>
        <v>27.16</v>
      </c>
      <c r="E2765" s="2">
        <f>IFERROR(__xludf.DUMMYFUNCTION("""COMPUTED_VALUE"""),27.37)</f>
        <v>27.37</v>
      </c>
      <c r="F2765" s="2">
        <f>IFERROR(__xludf.DUMMYFUNCTION("""COMPUTED_VALUE"""),1484500.0)</f>
        <v>1484500</v>
      </c>
    </row>
    <row r="2766">
      <c r="A2766" s="3">
        <f>IFERROR(__xludf.DUMMYFUNCTION("""COMPUTED_VALUE"""),33213.666666666664)</f>
        <v>33213.66667</v>
      </c>
      <c r="B2766" s="2">
        <f>IFERROR(__xludf.DUMMYFUNCTION("""COMPUTED_VALUE"""),26.63)</f>
        <v>26.63</v>
      </c>
      <c r="C2766" s="2">
        <f>IFERROR(__xludf.DUMMYFUNCTION("""COMPUTED_VALUE"""),27.7)</f>
        <v>27.7</v>
      </c>
      <c r="D2766" s="2">
        <f>IFERROR(__xludf.DUMMYFUNCTION("""COMPUTED_VALUE"""),26.57)</f>
        <v>26.57</v>
      </c>
      <c r="E2766" s="2">
        <f>IFERROR(__xludf.DUMMYFUNCTION("""COMPUTED_VALUE"""),26.63)</f>
        <v>26.63</v>
      </c>
      <c r="F2766" s="2">
        <f>IFERROR(__xludf.DUMMYFUNCTION("""COMPUTED_VALUE"""),3389800.0)</f>
        <v>3389800</v>
      </c>
    </row>
    <row r="2767">
      <c r="A2767" s="3">
        <f>IFERROR(__xludf.DUMMYFUNCTION("""COMPUTED_VALUE"""),33214.666666666664)</f>
        <v>33214.66667</v>
      </c>
      <c r="B2767" s="2">
        <f>IFERROR(__xludf.DUMMYFUNCTION("""COMPUTED_VALUE"""),26.86)</f>
        <v>26.86</v>
      </c>
      <c r="C2767" s="2">
        <f>IFERROR(__xludf.DUMMYFUNCTION("""COMPUTED_VALUE"""),26.95)</f>
        <v>26.95</v>
      </c>
      <c r="D2767" s="2">
        <f>IFERROR(__xludf.DUMMYFUNCTION("""COMPUTED_VALUE"""),26.45)</f>
        <v>26.45</v>
      </c>
      <c r="E2767" s="2">
        <f>IFERROR(__xludf.DUMMYFUNCTION("""COMPUTED_VALUE"""),26.86)</f>
        <v>26.86</v>
      </c>
      <c r="F2767" s="2">
        <f>IFERROR(__xludf.DUMMYFUNCTION("""COMPUTED_VALUE"""),1909400.0)</f>
        <v>1909400</v>
      </c>
    </row>
    <row r="2768">
      <c r="A2768" s="3">
        <f>IFERROR(__xludf.DUMMYFUNCTION("""COMPUTED_VALUE"""),33217.666666666664)</f>
        <v>33217.66667</v>
      </c>
      <c r="B2768" s="2">
        <f>IFERROR(__xludf.DUMMYFUNCTION("""COMPUTED_VALUE"""),27.07)</f>
        <v>27.07</v>
      </c>
      <c r="C2768" s="2">
        <f>IFERROR(__xludf.DUMMYFUNCTION("""COMPUTED_VALUE"""),27.16)</f>
        <v>27.16</v>
      </c>
      <c r="D2768" s="2">
        <f>IFERROR(__xludf.DUMMYFUNCTION("""COMPUTED_VALUE"""),26.77)</f>
        <v>26.77</v>
      </c>
      <c r="E2768" s="2">
        <f>IFERROR(__xludf.DUMMYFUNCTION("""COMPUTED_VALUE"""),27.07)</f>
        <v>27.07</v>
      </c>
      <c r="F2768" s="2">
        <f>IFERROR(__xludf.DUMMYFUNCTION("""COMPUTED_VALUE"""),1173800.0)</f>
        <v>1173800</v>
      </c>
    </row>
    <row r="2769">
      <c r="A2769" s="3">
        <f>IFERROR(__xludf.DUMMYFUNCTION("""COMPUTED_VALUE"""),33218.666666666664)</f>
        <v>33218.66667</v>
      </c>
      <c r="B2769" s="2">
        <f>IFERROR(__xludf.DUMMYFUNCTION("""COMPUTED_VALUE"""),26.95)</f>
        <v>26.95</v>
      </c>
      <c r="C2769" s="2">
        <f>IFERROR(__xludf.DUMMYFUNCTION("""COMPUTED_VALUE"""),27.01)</f>
        <v>27.01</v>
      </c>
      <c r="D2769" s="2">
        <f>IFERROR(__xludf.DUMMYFUNCTION("""COMPUTED_VALUE"""),26.83)</f>
        <v>26.83</v>
      </c>
      <c r="E2769" s="2">
        <f>IFERROR(__xludf.DUMMYFUNCTION("""COMPUTED_VALUE"""),26.95)</f>
        <v>26.95</v>
      </c>
      <c r="F2769" s="2">
        <f>IFERROR(__xludf.DUMMYFUNCTION("""COMPUTED_VALUE"""),997900.0)</f>
        <v>997900</v>
      </c>
    </row>
    <row r="2770">
      <c r="A2770" s="3">
        <f>IFERROR(__xludf.DUMMYFUNCTION("""COMPUTED_VALUE"""),33219.666666666664)</f>
        <v>33219.66667</v>
      </c>
      <c r="B2770" s="2">
        <f>IFERROR(__xludf.DUMMYFUNCTION("""COMPUTED_VALUE"""),27.31)</f>
        <v>27.31</v>
      </c>
      <c r="C2770" s="2">
        <f>IFERROR(__xludf.DUMMYFUNCTION("""COMPUTED_VALUE"""),27.34)</f>
        <v>27.34</v>
      </c>
      <c r="D2770" s="2">
        <f>IFERROR(__xludf.DUMMYFUNCTION("""COMPUTED_VALUE"""),26.89)</f>
        <v>26.89</v>
      </c>
      <c r="E2770" s="2">
        <f>IFERROR(__xludf.DUMMYFUNCTION("""COMPUTED_VALUE"""),27.31)</f>
        <v>27.31</v>
      </c>
      <c r="F2770" s="2">
        <f>IFERROR(__xludf.DUMMYFUNCTION("""COMPUTED_VALUE"""),1471900.0)</f>
        <v>1471900</v>
      </c>
    </row>
    <row r="2771">
      <c r="A2771" s="3">
        <f>IFERROR(__xludf.DUMMYFUNCTION("""COMPUTED_VALUE"""),33220.666666666664)</f>
        <v>33220.66667</v>
      </c>
      <c r="B2771" s="2">
        <f>IFERROR(__xludf.DUMMYFUNCTION("""COMPUTED_VALUE"""),26.95)</f>
        <v>26.95</v>
      </c>
      <c r="C2771" s="2">
        <f>IFERROR(__xludf.DUMMYFUNCTION("""COMPUTED_VALUE"""),27.37)</f>
        <v>27.37</v>
      </c>
      <c r="D2771" s="2">
        <f>IFERROR(__xludf.DUMMYFUNCTION("""COMPUTED_VALUE"""),26.95)</f>
        <v>26.95</v>
      </c>
      <c r="E2771" s="2">
        <f>IFERROR(__xludf.DUMMYFUNCTION("""COMPUTED_VALUE"""),26.95)</f>
        <v>26.95</v>
      </c>
      <c r="F2771" s="2">
        <f>IFERROR(__xludf.DUMMYFUNCTION("""COMPUTED_VALUE"""),1093100.0)</f>
        <v>1093100</v>
      </c>
    </row>
    <row r="2772">
      <c r="A2772" s="3">
        <f>IFERROR(__xludf.DUMMYFUNCTION("""COMPUTED_VALUE"""),33221.666666666664)</f>
        <v>33221.66667</v>
      </c>
      <c r="B2772" s="2">
        <f>IFERROR(__xludf.DUMMYFUNCTION("""COMPUTED_VALUE"""),26.57)</f>
        <v>26.57</v>
      </c>
      <c r="C2772" s="2">
        <f>IFERROR(__xludf.DUMMYFUNCTION("""COMPUTED_VALUE"""),26.86)</f>
        <v>26.86</v>
      </c>
      <c r="D2772" s="2">
        <f>IFERROR(__xludf.DUMMYFUNCTION("""COMPUTED_VALUE"""),26.51)</f>
        <v>26.51</v>
      </c>
      <c r="E2772" s="2">
        <f>IFERROR(__xludf.DUMMYFUNCTION("""COMPUTED_VALUE"""),26.57)</f>
        <v>26.57</v>
      </c>
      <c r="F2772" s="2">
        <f>IFERROR(__xludf.DUMMYFUNCTION("""COMPUTED_VALUE"""),1435200.0)</f>
        <v>1435200</v>
      </c>
    </row>
    <row r="2773">
      <c r="A2773" s="3">
        <f>IFERROR(__xludf.DUMMYFUNCTION("""COMPUTED_VALUE"""),33224.666666666664)</f>
        <v>33224.66667</v>
      </c>
      <c r="B2773" s="2">
        <f>IFERROR(__xludf.DUMMYFUNCTION("""COMPUTED_VALUE"""),26.63)</f>
        <v>26.63</v>
      </c>
      <c r="C2773" s="2">
        <f>IFERROR(__xludf.DUMMYFUNCTION("""COMPUTED_VALUE"""),26.68)</f>
        <v>26.68</v>
      </c>
      <c r="D2773" s="2">
        <f>IFERROR(__xludf.DUMMYFUNCTION("""COMPUTED_VALUE"""),26.42)</f>
        <v>26.42</v>
      </c>
      <c r="E2773" s="2">
        <f>IFERROR(__xludf.DUMMYFUNCTION("""COMPUTED_VALUE"""),26.63)</f>
        <v>26.63</v>
      </c>
      <c r="F2773" s="2">
        <f>IFERROR(__xludf.DUMMYFUNCTION("""COMPUTED_VALUE"""),942600.0)</f>
        <v>942600</v>
      </c>
    </row>
    <row r="2774">
      <c r="A2774" s="3">
        <f>IFERROR(__xludf.DUMMYFUNCTION("""COMPUTED_VALUE"""),33225.666666666664)</f>
        <v>33225.66667</v>
      </c>
      <c r="B2774" s="2">
        <f>IFERROR(__xludf.DUMMYFUNCTION("""COMPUTED_VALUE"""),27.1)</f>
        <v>27.1</v>
      </c>
      <c r="C2774" s="2">
        <f>IFERROR(__xludf.DUMMYFUNCTION("""COMPUTED_VALUE"""),27.1)</f>
        <v>27.1</v>
      </c>
      <c r="D2774" s="2">
        <f>IFERROR(__xludf.DUMMYFUNCTION("""COMPUTED_VALUE"""),26.63)</f>
        <v>26.63</v>
      </c>
      <c r="E2774" s="2">
        <f>IFERROR(__xludf.DUMMYFUNCTION("""COMPUTED_VALUE"""),27.1)</f>
        <v>27.1</v>
      </c>
      <c r="F2774" s="2">
        <f>IFERROR(__xludf.DUMMYFUNCTION("""COMPUTED_VALUE"""),1617300.0)</f>
        <v>1617300</v>
      </c>
    </row>
    <row r="2775">
      <c r="A2775" s="3">
        <f>IFERROR(__xludf.DUMMYFUNCTION("""COMPUTED_VALUE"""),33226.666666666664)</f>
        <v>33226.66667</v>
      </c>
      <c r="B2775" s="2">
        <f>IFERROR(__xludf.DUMMYFUNCTION("""COMPUTED_VALUE"""),26.92)</f>
        <v>26.92</v>
      </c>
      <c r="C2775" s="2">
        <f>IFERROR(__xludf.DUMMYFUNCTION("""COMPUTED_VALUE"""),27.22)</f>
        <v>27.22</v>
      </c>
      <c r="D2775" s="2">
        <f>IFERROR(__xludf.DUMMYFUNCTION("""COMPUTED_VALUE"""),26.77)</f>
        <v>26.77</v>
      </c>
      <c r="E2775" s="2">
        <f>IFERROR(__xludf.DUMMYFUNCTION("""COMPUTED_VALUE"""),26.92)</f>
        <v>26.92</v>
      </c>
      <c r="F2775" s="2">
        <f>IFERROR(__xludf.DUMMYFUNCTION("""COMPUTED_VALUE"""),2463900.0)</f>
        <v>2463900</v>
      </c>
    </row>
    <row r="2776">
      <c r="A2776" s="3">
        <f>IFERROR(__xludf.DUMMYFUNCTION("""COMPUTED_VALUE"""),33227.666666666664)</f>
        <v>33227.66667</v>
      </c>
      <c r="B2776" s="2">
        <f>IFERROR(__xludf.DUMMYFUNCTION("""COMPUTED_VALUE"""),27.16)</f>
        <v>27.16</v>
      </c>
      <c r="C2776" s="2">
        <f>IFERROR(__xludf.DUMMYFUNCTION("""COMPUTED_VALUE"""),27.37)</f>
        <v>27.37</v>
      </c>
      <c r="D2776" s="2">
        <f>IFERROR(__xludf.DUMMYFUNCTION("""COMPUTED_VALUE"""),26.8)</f>
        <v>26.8</v>
      </c>
      <c r="E2776" s="2">
        <f>IFERROR(__xludf.DUMMYFUNCTION("""COMPUTED_VALUE"""),27.16)</f>
        <v>27.16</v>
      </c>
      <c r="F2776" s="2">
        <f>IFERROR(__xludf.DUMMYFUNCTION("""COMPUTED_VALUE"""),1896000.0)</f>
        <v>1896000</v>
      </c>
    </row>
    <row r="2777">
      <c r="A2777" s="3">
        <f>IFERROR(__xludf.DUMMYFUNCTION("""COMPUTED_VALUE"""),33228.666666666664)</f>
        <v>33228.66667</v>
      </c>
      <c r="B2777" s="2">
        <f>IFERROR(__xludf.DUMMYFUNCTION("""COMPUTED_VALUE"""),27.19)</f>
        <v>27.19</v>
      </c>
      <c r="C2777" s="2">
        <f>IFERROR(__xludf.DUMMYFUNCTION("""COMPUTED_VALUE"""),27.31)</f>
        <v>27.31</v>
      </c>
      <c r="D2777" s="2">
        <f>IFERROR(__xludf.DUMMYFUNCTION("""COMPUTED_VALUE"""),27.07)</f>
        <v>27.07</v>
      </c>
      <c r="E2777" s="2">
        <f>IFERROR(__xludf.DUMMYFUNCTION("""COMPUTED_VALUE"""),27.19)</f>
        <v>27.19</v>
      </c>
      <c r="F2777" s="2">
        <f>IFERROR(__xludf.DUMMYFUNCTION("""COMPUTED_VALUE"""),2084600.0)</f>
        <v>2084600</v>
      </c>
    </row>
    <row r="2778">
      <c r="A2778" s="3">
        <f>IFERROR(__xludf.DUMMYFUNCTION("""COMPUTED_VALUE"""),33231.666666666664)</f>
        <v>33231.66667</v>
      </c>
      <c r="B2778" s="2">
        <f>IFERROR(__xludf.DUMMYFUNCTION("""COMPUTED_VALUE"""),27.19)</f>
        <v>27.19</v>
      </c>
      <c r="C2778" s="2">
        <f>IFERROR(__xludf.DUMMYFUNCTION("""COMPUTED_VALUE"""),27.28)</f>
        <v>27.28</v>
      </c>
      <c r="D2778" s="2">
        <f>IFERROR(__xludf.DUMMYFUNCTION("""COMPUTED_VALUE"""),27.16)</f>
        <v>27.16</v>
      </c>
      <c r="E2778" s="2">
        <f>IFERROR(__xludf.DUMMYFUNCTION("""COMPUTED_VALUE"""),27.19)</f>
        <v>27.19</v>
      </c>
      <c r="F2778" s="2">
        <f>IFERROR(__xludf.DUMMYFUNCTION("""COMPUTED_VALUE"""),341300.0)</f>
        <v>341300</v>
      </c>
    </row>
    <row r="2779">
      <c r="A2779" s="3">
        <f>IFERROR(__xludf.DUMMYFUNCTION("""COMPUTED_VALUE"""),33233.666666666664)</f>
        <v>33233.66667</v>
      </c>
      <c r="B2779" s="2">
        <f>IFERROR(__xludf.DUMMYFUNCTION("""COMPUTED_VALUE"""),27.1)</f>
        <v>27.1</v>
      </c>
      <c r="C2779" s="2">
        <f>IFERROR(__xludf.DUMMYFUNCTION("""COMPUTED_VALUE"""),27.28)</f>
        <v>27.28</v>
      </c>
      <c r="D2779" s="2">
        <f>IFERROR(__xludf.DUMMYFUNCTION("""COMPUTED_VALUE"""),27.1)</f>
        <v>27.1</v>
      </c>
      <c r="E2779" s="2">
        <f>IFERROR(__xludf.DUMMYFUNCTION("""COMPUTED_VALUE"""),27.1)</f>
        <v>27.1</v>
      </c>
      <c r="F2779" s="2">
        <f>IFERROR(__xludf.DUMMYFUNCTION("""COMPUTED_VALUE"""),396800.0)</f>
        <v>396800</v>
      </c>
    </row>
    <row r="2780">
      <c r="A2780" s="3">
        <f>IFERROR(__xludf.DUMMYFUNCTION("""COMPUTED_VALUE"""),33234.666666666664)</f>
        <v>33234.66667</v>
      </c>
      <c r="B2780" s="2">
        <f>IFERROR(__xludf.DUMMYFUNCTION("""COMPUTED_VALUE"""),27.13)</f>
        <v>27.13</v>
      </c>
      <c r="C2780" s="2">
        <f>IFERROR(__xludf.DUMMYFUNCTION("""COMPUTED_VALUE"""),27.19)</f>
        <v>27.19</v>
      </c>
      <c r="D2780" s="2">
        <f>IFERROR(__xludf.DUMMYFUNCTION("""COMPUTED_VALUE"""),26.98)</f>
        <v>26.98</v>
      </c>
      <c r="E2780" s="2">
        <f>IFERROR(__xludf.DUMMYFUNCTION("""COMPUTED_VALUE"""),27.13)</f>
        <v>27.13</v>
      </c>
      <c r="F2780" s="2">
        <f>IFERROR(__xludf.DUMMYFUNCTION("""COMPUTED_VALUE"""),714100.0)</f>
        <v>714100</v>
      </c>
    </row>
    <row r="2781">
      <c r="A2781" s="3">
        <f>IFERROR(__xludf.DUMMYFUNCTION("""COMPUTED_VALUE"""),33235.666666666664)</f>
        <v>33235.66667</v>
      </c>
      <c r="B2781" s="2">
        <f>IFERROR(__xludf.DUMMYFUNCTION("""COMPUTED_VALUE"""),27.07)</f>
        <v>27.07</v>
      </c>
      <c r="C2781" s="2">
        <f>IFERROR(__xludf.DUMMYFUNCTION("""COMPUTED_VALUE"""),27.19)</f>
        <v>27.19</v>
      </c>
      <c r="D2781" s="2">
        <f>IFERROR(__xludf.DUMMYFUNCTION("""COMPUTED_VALUE"""),27.04)</f>
        <v>27.04</v>
      </c>
      <c r="E2781" s="2">
        <f>IFERROR(__xludf.DUMMYFUNCTION("""COMPUTED_VALUE"""),27.07)</f>
        <v>27.07</v>
      </c>
      <c r="F2781" s="2">
        <f>IFERROR(__xludf.DUMMYFUNCTION("""COMPUTED_VALUE"""),728200.0)</f>
        <v>728200</v>
      </c>
    </row>
    <row r="2782">
      <c r="A2782" s="3">
        <f>IFERROR(__xludf.DUMMYFUNCTION("""COMPUTED_VALUE"""),33238.666666666664)</f>
        <v>33238.66667</v>
      </c>
      <c r="B2782" s="2">
        <f>IFERROR(__xludf.DUMMYFUNCTION("""COMPUTED_VALUE"""),26.98)</f>
        <v>26.98</v>
      </c>
      <c r="C2782" s="2">
        <f>IFERROR(__xludf.DUMMYFUNCTION("""COMPUTED_VALUE"""),27.1)</f>
        <v>27.1</v>
      </c>
      <c r="D2782" s="2">
        <f>IFERROR(__xludf.DUMMYFUNCTION("""COMPUTED_VALUE"""),26.95)</f>
        <v>26.95</v>
      </c>
      <c r="E2782" s="2">
        <f>IFERROR(__xludf.DUMMYFUNCTION("""COMPUTED_VALUE"""),26.98)</f>
        <v>26.98</v>
      </c>
      <c r="F2782" s="2">
        <f>IFERROR(__xludf.DUMMYFUNCTION("""COMPUTED_VALUE"""),461300.0)</f>
        <v>461300</v>
      </c>
    </row>
    <row r="2783">
      <c r="A2783" s="3">
        <f>IFERROR(__xludf.DUMMYFUNCTION("""COMPUTED_VALUE"""),33240.666666666664)</f>
        <v>33240.66667</v>
      </c>
      <c r="B2783" s="2">
        <f>IFERROR(__xludf.DUMMYFUNCTION("""COMPUTED_VALUE"""),26.77)</f>
        <v>26.77</v>
      </c>
      <c r="C2783" s="2">
        <f>IFERROR(__xludf.DUMMYFUNCTION("""COMPUTED_VALUE"""),27.16)</f>
        <v>27.16</v>
      </c>
      <c r="D2783" s="2">
        <f>IFERROR(__xludf.DUMMYFUNCTION("""COMPUTED_VALUE"""),26.77)</f>
        <v>26.77</v>
      </c>
      <c r="E2783" s="2">
        <f>IFERROR(__xludf.DUMMYFUNCTION("""COMPUTED_VALUE"""),26.77)</f>
        <v>26.77</v>
      </c>
      <c r="F2783" s="2">
        <f>IFERROR(__xludf.DUMMYFUNCTION("""COMPUTED_VALUE"""),1037700.0)</f>
        <v>1037700</v>
      </c>
    </row>
    <row r="2784">
      <c r="A2784" s="3">
        <f>IFERROR(__xludf.DUMMYFUNCTION("""COMPUTED_VALUE"""),33241.666666666664)</f>
        <v>33241.66667</v>
      </c>
      <c r="B2784" s="2">
        <f>IFERROR(__xludf.DUMMYFUNCTION("""COMPUTED_VALUE"""),26.86)</f>
        <v>26.86</v>
      </c>
      <c r="C2784" s="2">
        <f>IFERROR(__xludf.DUMMYFUNCTION("""COMPUTED_VALUE"""),27.19)</f>
        <v>27.19</v>
      </c>
      <c r="D2784" s="2">
        <f>IFERROR(__xludf.DUMMYFUNCTION("""COMPUTED_VALUE"""),26.8)</f>
        <v>26.8</v>
      </c>
      <c r="E2784" s="2">
        <f>IFERROR(__xludf.DUMMYFUNCTION("""COMPUTED_VALUE"""),26.86)</f>
        <v>26.86</v>
      </c>
      <c r="F2784" s="2">
        <f>IFERROR(__xludf.DUMMYFUNCTION("""COMPUTED_VALUE"""),1307400.0)</f>
        <v>1307400</v>
      </c>
    </row>
    <row r="2785">
      <c r="A2785" s="3">
        <f>IFERROR(__xludf.DUMMYFUNCTION("""COMPUTED_VALUE"""),33242.666666666664)</f>
        <v>33242.66667</v>
      </c>
      <c r="B2785" s="2">
        <f>IFERROR(__xludf.DUMMYFUNCTION("""COMPUTED_VALUE"""),26.77)</f>
        <v>26.77</v>
      </c>
      <c r="C2785" s="2">
        <f>IFERROR(__xludf.DUMMYFUNCTION("""COMPUTED_VALUE"""),26.98)</f>
        <v>26.98</v>
      </c>
      <c r="D2785" s="2">
        <f>IFERROR(__xludf.DUMMYFUNCTION("""COMPUTED_VALUE"""),26.71)</f>
        <v>26.71</v>
      </c>
      <c r="E2785" s="2">
        <f>IFERROR(__xludf.DUMMYFUNCTION("""COMPUTED_VALUE"""),26.77)</f>
        <v>26.77</v>
      </c>
      <c r="F2785" s="2">
        <f>IFERROR(__xludf.DUMMYFUNCTION("""COMPUTED_VALUE"""),1085100.0)</f>
        <v>1085100</v>
      </c>
    </row>
    <row r="2786">
      <c r="A2786" s="3">
        <f>IFERROR(__xludf.DUMMYFUNCTION("""COMPUTED_VALUE"""),33245.666666666664)</f>
        <v>33245.66667</v>
      </c>
      <c r="B2786" s="2">
        <f>IFERROR(__xludf.DUMMYFUNCTION("""COMPUTED_VALUE"""),26.33)</f>
        <v>26.33</v>
      </c>
      <c r="C2786" s="2">
        <f>IFERROR(__xludf.DUMMYFUNCTION("""COMPUTED_VALUE"""),26.71)</f>
        <v>26.71</v>
      </c>
      <c r="D2786" s="2">
        <f>IFERROR(__xludf.DUMMYFUNCTION("""COMPUTED_VALUE"""),26.27)</f>
        <v>26.27</v>
      </c>
      <c r="E2786" s="2">
        <f>IFERROR(__xludf.DUMMYFUNCTION("""COMPUTED_VALUE"""),26.33)</f>
        <v>26.33</v>
      </c>
      <c r="F2786" s="2">
        <f>IFERROR(__xludf.DUMMYFUNCTION("""COMPUTED_VALUE"""),1189400.0)</f>
        <v>1189400</v>
      </c>
    </row>
    <row r="2787">
      <c r="A2787" s="3">
        <f>IFERROR(__xludf.DUMMYFUNCTION("""COMPUTED_VALUE"""),33246.666666666664)</f>
        <v>33246.66667</v>
      </c>
      <c r="B2787" s="2">
        <f>IFERROR(__xludf.DUMMYFUNCTION("""COMPUTED_VALUE"""),26.03)</f>
        <v>26.03</v>
      </c>
      <c r="C2787" s="2">
        <f>IFERROR(__xludf.DUMMYFUNCTION("""COMPUTED_VALUE"""),26.36)</f>
        <v>26.36</v>
      </c>
      <c r="D2787" s="2">
        <f>IFERROR(__xludf.DUMMYFUNCTION("""COMPUTED_VALUE"""),25.97)</f>
        <v>25.97</v>
      </c>
      <c r="E2787" s="2">
        <f>IFERROR(__xludf.DUMMYFUNCTION("""COMPUTED_VALUE"""),26.03)</f>
        <v>26.03</v>
      </c>
      <c r="F2787" s="2">
        <f>IFERROR(__xludf.DUMMYFUNCTION("""COMPUTED_VALUE"""),1715500.0)</f>
        <v>1715500</v>
      </c>
    </row>
    <row r="2788">
      <c r="A2788" s="3">
        <f>IFERROR(__xludf.DUMMYFUNCTION("""COMPUTED_VALUE"""),33247.666666666664)</f>
        <v>33247.66667</v>
      </c>
      <c r="B2788" s="2">
        <f>IFERROR(__xludf.DUMMYFUNCTION("""COMPUTED_VALUE"""),25.52)</f>
        <v>25.52</v>
      </c>
      <c r="C2788" s="2">
        <f>IFERROR(__xludf.DUMMYFUNCTION("""COMPUTED_VALUE"""),26.45)</f>
        <v>26.45</v>
      </c>
      <c r="D2788" s="2">
        <f>IFERROR(__xludf.DUMMYFUNCTION("""COMPUTED_VALUE"""),25.49)</f>
        <v>25.49</v>
      </c>
      <c r="E2788" s="2">
        <f>IFERROR(__xludf.DUMMYFUNCTION("""COMPUTED_VALUE"""),25.52)</f>
        <v>25.52</v>
      </c>
      <c r="F2788" s="2">
        <f>IFERROR(__xludf.DUMMYFUNCTION("""COMPUTED_VALUE"""),2078000.0)</f>
        <v>2078000</v>
      </c>
    </row>
    <row r="2789">
      <c r="A2789" s="3">
        <f>IFERROR(__xludf.DUMMYFUNCTION("""COMPUTED_VALUE"""),33248.666666666664)</f>
        <v>33248.66667</v>
      </c>
      <c r="B2789" s="2">
        <f>IFERROR(__xludf.DUMMYFUNCTION("""COMPUTED_VALUE"""),25.88)</f>
        <v>25.88</v>
      </c>
      <c r="C2789" s="2">
        <f>IFERROR(__xludf.DUMMYFUNCTION("""COMPUTED_VALUE"""),25.88)</f>
        <v>25.88</v>
      </c>
      <c r="D2789" s="2">
        <f>IFERROR(__xludf.DUMMYFUNCTION("""COMPUTED_VALUE"""),25.61)</f>
        <v>25.61</v>
      </c>
      <c r="E2789" s="2">
        <f>IFERROR(__xludf.DUMMYFUNCTION("""COMPUTED_VALUE"""),25.88)</f>
        <v>25.88</v>
      </c>
      <c r="F2789" s="2">
        <f>IFERROR(__xludf.DUMMYFUNCTION("""COMPUTED_VALUE"""),962000.0)</f>
        <v>962000</v>
      </c>
    </row>
    <row r="2790">
      <c r="A2790" s="3">
        <f>IFERROR(__xludf.DUMMYFUNCTION("""COMPUTED_VALUE"""),33249.666666666664)</f>
        <v>33249.66667</v>
      </c>
      <c r="B2790" s="2">
        <f>IFERROR(__xludf.DUMMYFUNCTION("""COMPUTED_VALUE"""),25.82)</f>
        <v>25.82</v>
      </c>
      <c r="C2790" s="2">
        <f>IFERROR(__xludf.DUMMYFUNCTION("""COMPUTED_VALUE"""),25.85)</f>
        <v>25.85</v>
      </c>
      <c r="D2790" s="2">
        <f>IFERROR(__xludf.DUMMYFUNCTION("""COMPUTED_VALUE"""),25.73)</f>
        <v>25.73</v>
      </c>
      <c r="E2790" s="2">
        <f>IFERROR(__xludf.DUMMYFUNCTION("""COMPUTED_VALUE"""),25.82)</f>
        <v>25.82</v>
      </c>
      <c r="F2790" s="2">
        <f>IFERROR(__xludf.DUMMYFUNCTION("""COMPUTED_VALUE"""),608700.0)</f>
        <v>608700</v>
      </c>
    </row>
    <row r="2791">
      <c r="A2791" s="3">
        <f>IFERROR(__xludf.DUMMYFUNCTION("""COMPUTED_VALUE"""),33252.666666666664)</f>
        <v>33252.66667</v>
      </c>
      <c r="B2791" s="2">
        <f>IFERROR(__xludf.DUMMYFUNCTION("""COMPUTED_VALUE"""),25.49)</f>
        <v>25.49</v>
      </c>
      <c r="C2791" s="2">
        <f>IFERROR(__xludf.DUMMYFUNCTION("""COMPUTED_VALUE"""),25.58)</f>
        <v>25.58</v>
      </c>
      <c r="D2791" s="2">
        <f>IFERROR(__xludf.DUMMYFUNCTION("""COMPUTED_VALUE"""),25.19)</f>
        <v>25.19</v>
      </c>
      <c r="E2791" s="2">
        <f>IFERROR(__xludf.DUMMYFUNCTION("""COMPUTED_VALUE"""),25.49)</f>
        <v>25.49</v>
      </c>
      <c r="F2791" s="2">
        <f>IFERROR(__xludf.DUMMYFUNCTION("""COMPUTED_VALUE"""),1746500.0)</f>
        <v>1746500</v>
      </c>
    </row>
    <row r="2792">
      <c r="A2792" s="3">
        <f>IFERROR(__xludf.DUMMYFUNCTION("""COMPUTED_VALUE"""),33253.666666666664)</f>
        <v>33253.66667</v>
      </c>
      <c r="B2792" s="2">
        <f>IFERROR(__xludf.DUMMYFUNCTION("""COMPUTED_VALUE"""),25.67)</f>
        <v>25.67</v>
      </c>
      <c r="C2792" s="2">
        <f>IFERROR(__xludf.DUMMYFUNCTION("""COMPUTED_VALUE"""),25.73)</f>
        <v>25.73</v>
      </c>
      <c r="D2792" s="2">
        <f>IFERROR(__xludf.DUMMYFUNCTION("""COMPUTED_VALUE"""),25.49)</f>
        <v>25.49</v>
      </c>
      <c r="E2792" s="2">
        <f>IFERROR(__xludf.DUMMYFUNCTION("""COMPUTED_VALUE"""),25.67)</f>
        <v>25.67</v>
      </c>
      <c r="F2792" s="2">
        <f>IFERROR(__xludf.DUMMYFUNCTION("""COMPUTED_VALUE"""),1168100.0)</f>
        <v>1168100</v>
      </c>
    </row>
    <row r="2793">
      <c r="A2793" s="3">
        <f>IFERROR(__xludf.DUMMYFUNCTION("""COMPUTED_VALUE"""),33254.666666666664)</f>
        <v>33254.66667</v>
      </c>
      <c r="B2793" s="2">
        <f>IFERROR(__xludf.DUMMYFUNCTION("""COMPUTED_VALUE"""),26.06)</f>
        <v>26.06</v>
      </c>
      <c r="C2793" s="2">
        <f>IFERROR(__xludf.DUMMYFUNCTION("""COMPUTED_VALUE"""),26.09)</f>
        <v>26.09</v>
      </c>
      <c r="D2793" s="2">
        <f>IFERROR(__xludf.DUMMYFUNCTION("""COMPUTED_VALUE"""),25.46)</f>
        <v>25.46</v>
      </c>
      <c r="E2793" s="2">
        <f>IFERROR(__xludf.DUMMYFUNCTION("""COMPUTED_VALUE"""),26.06)</f>
        <v>26.06</v>
      </c>
      <c r="F2793" s="2">
        <f>IFERROR(__xludf.DUMMYFUNCTION("""COMPUTED_VALUE"""),1582000.0)</f>
        <v>1582000</v>
      </c>
    </row>
    <row r="2794">
      <c r="A2794" s="3">
        <f>IFERROR(__xludf.DUMMYFUNCTION("""COMPUTED_VALUE"""),33255.666666666664)</f>
        <v>33255.66667</v>
      </c>
      <c r="B2794" s="2">
        <f>IFERROR(__xludf.DUMMYFUNCTION("""COMPUTED_VALUE"""),27.64)</f>
        <v>27.64</v>
      </c>
      <c r="C2794" s="2">
        <f>IFERROR(__xludf.DUMMYFUNCTION("""COMPUTED_VALUE"""),27.73)</f>
        <v>27.73</v>
      </c>
      <c r="D2794" s="2">
        <f>IFERROR(__xludf.DUMMYFUNCTION("""COMPUTED_VALUE"""),27.28)</f>
        <v>27.28</v>
      </c>
      <c r="E2794" s="2">
        <f>IFERROR(__xludf.DUMMYFUNCTION("""COMPUTED_VALUE"""),27.64)</f>
        <v>27.64</v>
      </c>
      <c r="F2794" s="2">
        <f>IFERROR(__xludf.DUMMYFUNCTION("""COMPUTED_VALUE"""),4330400.0)</f>
        <v>4330400</v>
      </c>
    </row>
    <row r="2795">
      <c r="A2795" s="3">
        <f>IFERROR(__xludf.DUMMYFUNCTION("""COMPUTED_VALUE"""),33256.666666666664)</f>
        <v>33256.66667</v>
      </c>
      <c r="B2795" s="2">
        <f>IFERROR(__xludf.DUMMYFUNCTION("""COMPUTED_VALUE"""),28.09)</f>
        <v>28.09</v>
      </c>
      <c r="C2795" s="2">
        <f>IFERROR(__xludf.DUMMYFUNCTION("""COMPUTED_VALUE"""),28.24)</f>
        <v>28.24</v>
      </c>
      <c r="D2795" s="2">
        <f>IFERROR(__xludf.DUMMYFUNCTION("""COMPUTED_VALUE"""),27.43)</f>
        <v>27.43</v>
      </c>
      <c r="E2795" s="2">
        <f>IFERROR(__xludf.DUMMYFUNCTION("""COMPUTED_VALUE"""),28.09)</f>
        <v>28.09</v>
      </c>
      <c r="F2795" s="2">
        <f>IFERROR(__xludf.DUMMYFUNCTION("""COMPUTED_VALUE"""),4592500.0)</f>
        <v>4592500</v>
      </c>
    </row>
    <row r="2796">
      <c r="A2796" s="3">
        <f>IFERROR(__xludf.DUMMYFUNCTION("""COMPUTED_VALUE"""),33259.666666666664)</f>
        <v>33259.66667</v>
      </c>
      <c r="B2796" s="2">
        <f>IFERROR(__xludf.DUMMYFUNCTION("""COMPUTED_VALUE"""),28.57)</f>
        <v>28.57</v>
      </c>
      <c r="C2796" s="2">
        <f>IFERROR(__xludf.DUMMYFUNCTION("""COMPUTED_VALUE"""),28.68)</f>
        <v>28.68</v>
      </c>
      <c r="D2796" s="2">
        <f>IFERROR(__xludf.DUMMYFUNCTION("""COMPUTED_VALUE"""),27.85)</f>
        <v>27.85</v>
      </c>
      <c r="E2796" s="2">
        <f>IFERROR(__xludf.DUMMYFUNCTION("""COMPUTED_VALUE"""),28.57)</f>
        <v>28.57</v>
      </c>
      <c r="F2796" s="2">
        <f>IFERROR(__xludf.DUMMYFUNCTION("""COMPUTED_VALUE"""),2201500.0)</f>
        <v>2201500</v>
      </c>
    </row>
    <row r="2797">
      <c r="A2797" s="3">
        <f>IFERROR(__xludf.DUMMYFUNCTION("""COMPUTED_VALUE"""),33260.666666666664)</f>
        <v>33260.66667</v>
      </c>
      <c r="B2797" s="2">
        <f>IFERROR(__xludf.DUMMYFUNCTION("""COMPUTED_VALUE"""),28.18)</f>
        <v>28.18</v>
      </c>
      <c r="C2797" s="2">
        <f>IFERROR(__xludf.DUMMYFUNCTION("""COMPUTED_VALUE"""),28.57)</f>
        <v>28.57</v>
      </c>
      <c r="D2797" s="2">
        <f>IFERROR(__xludf.DUMMYFUNCTION("""COMPUTED_VALUE"""),28.12)</f>
        <v>28.12</v>
      </c>
      <c r="E2797" s="2">
        <f>IFERROR(__xludf.DUMMYFUNCTION("""COMPUTED_VALUE"""),28.18)</f>
        <v>28.18</v>
      </c>
      <c r="F2797" s="2">
        <f>IFERROR(__xludf.DUMMYFUNCTION("""COMPUTED_VALUE"""),1963700.0)</f>
        <v>1963700</v>
      </c>
    </row>
    <row r="2798">
      <c r="A2798" s="3">
        <f>IFERROR(__xludf.DUMMYFUNCTION("""COMPUTED_VALUE"""),33261.666666666664)</f>
        <v>33261.66667</v>
      </c>
      <c r="B2798" s="2">
        <f>IFERROR(__xludf.DUMMYFUNCTION("""COMPUTED_VALUE"""),28.48)</f>
        <v>28.48</v>
      </c>
      <c r="C2798" s="2">
        <f>IFERROR(__xludf.DUMMYFUNCTION("""COMPUTED_VALUE"""),28.68)</f>
        <v>28.68</v>
      </c>
      <c r="D2798" s="2">
        <f>IFERROR(__xludf.DUMMYFUNCTION("""COMPUTED_VALUE"""),28.15)</f>
        <v>28.15</v>
      </c>
      <c r="E2798" s="2">
        <f>IFERROR(__xludf.DUMMYFUNCTION("""COMPUTED_VALUE"""),28.48)</f>
        <v>28.48</v>
      </c>
      <c r="F2798" s="2">
        <f>IFERROR(__xludf.DUMMYFUNCTION("""COMPUTED_VALUE"""),2211000.0)</f>
        <v>2211000</v>
      </c>
    </row>
    <row r="2799">
      <c r="A2799" s="3">
        <f>IFERROR(__xludf.DUMMYFUNCTION("""COMPUTED_VALUE"""),33262.666666666664)</f>
        <v>33262.66667</v>
      </c>
      <c r="B2799" s="2">
        <f>IFERROR(__xludf.DUMMYFUNCTION("""COMPUTED_VALUE"""),28.89)</f>
        <v>28.89</v>
      </c>
      <c r="C2799" s="2">
        <f>IFERROR(__xludf.DUMMYFUNCTION("""COMPUTED_VALUE"""),29.04)</f>
        <v>29.04</v>
      </c>
      <c r="D2799" s="2">
        <f>IFERROR(__xludf.DUMMYFUNCTION("""COMPUTED_VALUE"""),28.63)</f>
        <v>28.63</v>
      </c>
      <c r="E2799" s="2">
        <f>IFERROR(__xludf.DUMMYFUNCTION("""COMPUTED_VALUE"""),28.89)</f>
        <v>28.89</v>
      </c>
      <c r="F2799" s="2">
        <f>IFERROR(__xludf.DUMMYFUNCTION("""COMPUTED_VALUE"""),2841200.0)</f>
        <v>2841200</v>
      </c>
    </row>
    <row r="2800">
      <c r="A2800" s="3">
        <f>IFERROR(__xludf.DUMMYFUNCTION("""COMPUTED_VALUE"""),33263.666666666664)</f>
        <v>33263.66667</v>
      </c>
      <c r="B2800" s="2">
        <f>IFERROR(__xludf.DUMMYFUNCTION("""COMPUTED_VALUE"""),29.28)</f>
        <v>29.28</v>
      </c>
      <c r="C2800" s="2">
        <f>IFERROR(__xludf.DUMMYFUNCTION("""COMPUTED_VALUE"""),29.28)</f>
        <v>29.28</v>
      </c>
      <c r="D2800" s="2">
        <f>IFERROR(__xludf.DUMMYFUNCTION("""COMPUTED_VALUE"""),28.77)</f>
        <v>28.77</v>
      </c>
      <c r="E2800" s="2">
        <f>IFERROR(__xludf.DUMMYFUNCTION("""COMPUTED_VALUE"""),29.28)</f>
        <v>29.28</v>
      </c>
      <c r="F2800" s="2">
        <f>IFERROR(__xludf.DUMMYFUNCTION("""COMPUTED_VALUE"""),2441100.0)</f>
        <v>2441100</v>
      </c>
    </row>
    <row r="2801">
      <c r="A2801" s="3">
        <f>IFERROR(__xludf.DUMMYFUNCTION("""COMPUTED_VALUE"""),33266.666666666664)</f>
        <v>33266.66667</v>
      </c>
      <c r="B2801" s="2">
        <f>IFERROR(__xludf.DUMMYFUNCTION("""COMPUTED_VALUE"""),29.67)</f>
        <v>29.67</v>
      </c>
      <c r="C2801" s="2">
        <f>IFERROR(__xludf.DUMMYFUNCTION("""COMPUTED_VALUE"""),29.85)</f>
        <v>29.85</v>
      </c>
      <c r="D2801" s="2">
        <f>IFERROR(__xludf.DUMMYFUNCTION("""COMPUTED_VALUE"""),29.22)</f>
        <v>29.22</v>
      </c>
      <c r="E2801" s="2">
        <f>IFERROR(__xludf.DUMMYFUNCTION("""COMPUTED_VALUE"""),29.67)</f>
        <v>29.67</v>
      </c>
      <c r="F2801" s="2">
        <f>IFERROR(__xludf.DUMMYFUNCTION("""COMPUTED_VALUE"""),2478400.0)</f>
        <v>2478400</v>
      </c>
    </row>
    <row r="2802">
      <c r="A2802" s="3">
        <f>IFERROR(__xludf.DUMMYFUNCTION("""COMPUTED_VALUE"""),33267.666666666664)</f>
        <v>33267.66667</v>
      </c>
      <c r="B2802" s="2">
        <f>IFERROR(__xludf.DUMMYFUNCTION("""COMPUTED_VALUE"""),29.73)</f>
        <v>29.73</v>
      </c>
      <c r="C2802" s="2">
        <f>IFERROR(__xludf.DUMMYFUNCTION("""COMPUTED_VALUE"""),29.94)</f>
        <v>29.94</v>
      </c>
      <c r="D2802" s="2">
        <f>IFERROR(__xludf.DUMMYFUNCTION("""COMPUTED_VALUE"""),29.37)</f>
        <v>29.37</v>
      </c>
      <c r="E2802" s="2">
        <f>IFERROR(__xludf.DUMMYFUNCTION("""COMPUTED_VALUE"""),29.73)</f>
        <v>29.73</v>
      </c>
      <c r="F2802" s="2">
        <f>IFERROR(__xludf.DUMMYFUNCTION("""COMPUTED_VALUE"""),1949200.0)</f>
        <v>1949200</v>
      </c>
    </row>
    <row r="2803">
      <c r="A2803" s="3">
        <f>IFERROR(__xludf.DUMMYFUNCTION("""COMPUTED_VALUE"""),33268.666666666664)</f>
        <v>33268.66667</v>
      </c>
      <c r="B2803" s="2">
        <f>IFERROR(__xludf.DUMMYFUNCTION("""COMPUTED_VALUE"""),30.33)</f>
        <v>30.33</v>
      </c>
      <c r="C2803" s="2">
        <f>IFERROR(__xludf.DUMMYFUNCTION("""COMPUTED_VALUE"""),30.33)</f>
        <v>30.33</v>
      </c>
      <c r="D2803" s="2">
        <f>IFERROR(__xludf.DUMMYFUNCTION("""COMPUTED_VALUE"""),29.76)</f>
        <v>29.76</v>
      </c>
      <c r="E2803" s="2">
        <f>IFERROR(__xludf.DUMMYFUNCTION("""COMPUTED_VALUE"""),30.33)</f>
        <v>30.33</v>
      </c>
      <c r="F2803" s="2">
        <f>IFERROR(__xludf.DUMMYFUNCTION("""COMPUTED_VALUE"""),2524300.0)</f>
        <v>2524300</v>
      </c>
    </row>
    <row r="2804">
      <c r="A2804" s="3">
        <f>IFERROR(__xludf.DUMMYFUNCTION("""COMPUTED_VALUE"""),33269.666666666664)</f>
        <v>33269.66667</v>
      </c>
      <c r="B2804" s="2">
        <f>IFERROR(__xludf.DUMMYFUNCTION("""COMPUTED_VALUE"""),30.27)</f>
        <v>30.27</v>
      </c>
      <c r="C2804" s="2">
        <f>IFERROR(__xludf.DUMMYFUNCTION("""COMPUTED_VALUE"""),30.36)</f>
        <v>30.36</v>
      </c>
      <c r="D2804" s="2">
        <f>IFERROR(__xludf.DUMMYFUNCTION("""COMPUTED_VALUE"""),30.15)</f>
        <v>30.15</v>
      </c>
      <c r="E2804" s="2">
        <f>IFERROR(__xludf.DUMMYFUNCTION("""COMPUTED_VALUE"""),30.27)</f>
        <v>30.27</v>
      </c>
      <c r="F2804" s="2">
        <f>IFERROR(__xludf.DUMMYFUNCTION("""COMPUTED_VALUE"""),1718300.0)</f>
        <v>1718300</v>
      </c>
    </row>
    <row r="2805">
      <c r="A2805" s="3">
        <f>IFERROR(__xludf.DUMMYFUNCTION("""COMPUTED_VALUE"""),33270.666666666664)</f>
        <v>33270.66667</v>
      </c>
      <c r="B2805" s="2">
        <f>IFERROR(__xludf.DUMMYFUNCTION("""COMPUTED_VALUE"""),30.3)</f>
        <v>30.3</v>
      </c>
      <c r="C2805" s="2">
        <f>IFERROR(__xludf.DUMMYFUNCTION("""COMPUTED_VALUE"""),30.48)</f>
        <v>30.48</v>
      </c>
      <c r="D2805" s="2">
        <f>IFERROR(__xludf.DUMMYFUNCTION("""COMPUTED_VALUE"""),30.0)</f>
        <v>30</v>
      </c>
      <c r="E2805" s="2">
        <f>IFERROR(__xludf.DUMMYFUNCTION("""COMPUTED_VALUE"""),30.3)</f>
        <v>30.3</v>
      </c>
      <c r="F2805" s="2">
        <f>IFERROR(__xludf.DUMMYFUNCTION("""COMPUTED_VALUE"""),1919100.0)</f>
        <v>1919100</v>
      </c>
    </row>
    <row r="2806">
      <c r="A2806" s="3">
        <f>IFERROR(__xludf.DUMMYFUNCTION("""COMPUTED_VALUE"""),33273.666666666664)</f>
        <v>33273.66667</v>
      </c>
      <c r="B2806" s="2">
        <f>IFERROR(__xludf.DUMMYFUNCTION("""COMPUTED_VALUE"""),30.42)</f>
        <v>30.42</v>
      </c>
      <c r="C2806" s="2">
        <f>IFERROR(__xludf.DUMMYFUNCTION("""COMPUTED_VALUE"""),30.48)</f>
        <v>30.48</v>
      </c>
      <c r="D2806" s="2">
        <f>IFERROR(__xludf.DUMMYFUNCTION("""COMPUTED_VALUE"""),30.0)</f>
        <v>30</v>
      </c>
      <c r="E2806" s="2">
        <f>IFERROR(__xludf.DUMMYFUNCTION("""COMPUTED_VALUE"""),30.42)</f>
        <v>30.42</v>
      </c>
      <c r="F2806" s="2">
        <f>IFERROR(__xludf.DUMMYFUNCTION("""COMPUTED_VALUE"""),1553100.0)</f>
        <v>1553100</v>
      </c>
    </row>
    <row r="2807">
      <c r="A2807" s="3">
        <f>IFERROR(__xludf.DUMMYFUNCTION("""COMPUTED_VALUE"""),33274.666666666664)</f>
        <v>33274.66667</v>
      </c>
      <c r="B2807" s="2">
        <f>IFERROR(__xludf.DUMMYFUNCTION("""COMPUTED_VALUE"""),30.68)</f>
        <v>30.68</v>
      </c>
      <c r="C2807" s="2">
        <f>IFERROR(__xludf.DUMMYFUNCTION("""COMPUTED_VALUE"""),30.68)</f>
        <v>30.68</v>
      </c>
      <c r="D2807" s="2">
        <f>IFERROR(__xludf.DUMMYFUNCTION("""COMPUTED_VALUE"""),30.33)</f>
        <v>30.33</v>
      </c>
      <c r="E2807" s="2">
        <f>IFERROR(__xludf.DUMMYFUNCTION("""COMPUTED_VALUE"""),30.68)</f>
        <v>30.68</v>
      </c>
      <c r="F2807" s="2">
        <f>IFERROR(__xludf.DUMMYFUNCTION("""COMPUTED_VALUE"""),2177100.0)</f>
        <v>2177100</v>
      </c>
    </row>
    <row r="2808">
      <c r="A2808" s="3">
        <f>IFERROR(__xludf.DUMMYFUNCTION("""COMPUTED_VALUE"""),33275.666666666664)</f>
        <v>33275.66667</v>
      </c>
      <c r="B2808" s="2">
        <f>IFERROR(__xludf.DUMMYFUNCTION("""COMPUTED_VALUE"""),31.01)</f>
        <v>31.01</v>
      </c>
      <c r="C2808" s="2">
        <f>IFERROR(__xludf.DUMMYFUNCTION("""COMPUTED_VALUE"""),31.04)</f>
        <v>31.04</v>
      </c>
      <c r="D2808" s="2">
        <f>IFERROR(__xludf.DUMMYFUNCTION("""COMPUTED_VALUE"""),30.57)</f>
        <v>30.57</v>
      </c>
      <c r="E2808" s="2">
        <f>IFERROR(__xludf.DUMMYFUNCTION("""COMPUTED_VALUE"""),31.01)</f>
        <v>31.01</v>
      </c>
      <c r="F2808" s="2">
        <f>IFERROR(__xludf.DUMMYFUNCTION("""COMPUTED_VALUE"""),2419600.0)</f>
        <v>2419600</v>
      </c>
    </row>
    <row r="2809">
      <c r="A2809" s="3">
        <f>IFERROR(__xludf.DUMMYFUNCTION("""COMPUTED_VALUE"""),33276.666666666664)</f>
        <v>33276.66667</v>
      </c>
      <c r="B2809" s="2">
        <f>IFERROR(__xludf.DUMMYFUNCTION("""COMPUTED_VALUE"""),30.68)</f>
        <v>30.68</v>
      </c>
      <c r="C2809" s="2">
        <f>IFERROR(__xludf.DUMMYFUNCTION("""COMPUTED_VALUE"""),31.28)</f>
        <v>31.28</v>
      </c>
      <c r="D2809" s="2">
        <f>IFERROR(__xludf.DUMMYFUNCTION("""COMPUTED_VALUE"""),30.65)</f>
        <v>30.65</v>
      </c>
      <c r="E2809" s="2">
        <f>IFERROR(__xludf.DUMMYFUNCTION("""COMPUTED_VALUE"""),30.68)</f>
        <v>30.68</v>
      </c>
      <c r="F2809" s="2">
        <f>IFERROR(__xludf.DUMMYFUNCTION("""COMPUTED_VALUE"""),2532000.0)</f>
        <v>2532000</v>
      </c>
    </row>
    <row r="2810">
      <c r="A2810" s="3">
        <f>IFERROR(__xludf.DUMMYFUNCTION("""COMPUTED_VALUE"""),33277.666666666664)</f>
        <v>33277.66667</v>
      </c>
      <c r="B2810" s="2">
        <f>IFERROR(__xludf.DUMMYFUNCTION("""COMPUTED_VALUE"""),30.92)</f>
        <v>30.92</v>
      </c>
      <c r="C2810" s="2">
        <f>IFERROR(__xludf.DUMMYFUNCTION("""COMPUTED_VALUE"""),31.01)</f>
        <v>31.01</v>
      </c>
      <c r="D2810" s="2">
        <f>IFERROR(__xludf.DUMMYFUNCTION("""COMPUTED_VALUE"""),30.62)</f>
        <v>30.62</v>
      </c>
      <c r="E2810" s="2">
        <f>IFERROR(__xludf.DUMMYFUNCTION("""COMPUTED_VALUE"""),30.92)</f>
        <v>30.92</v>
      </c>
      <c r="F2810" s="2">
        <f>IFERROR(__xludf.DUMMYFUNCTION("""COMPUTED_VALUE"""),1751700.0)</f>
        <v>1751700</v>
      </c>
    </row>
    <row r="2811">
      <c r="A2811" s="3">
        <f>IFERROR(__xludf.DUMMYFUNCTION("""COMPUTED_VALUE"""),33280.666666666664)</f>
        <v>33280.66667</v>
      </c>
      <c r="B2811" s="2">
        <f>IFERROR(__xludf.DUMMYFUNCTION("""COMPUTED_VALUE"""),31.61)</f>
        <v>31.61</v>
      </c>
      <c r="C2811" s="2">
        <f>IFERROR(__xludf.DUMMYFUNCTION("""COMPUTED_VALUE"""),31.64)</f>
        <v>31.64</v>
      </c>
      <c r="D2811" s="2">
        <f>IFERROR(__xludf.DUMMYFUNCTION("""COMPUTED_VALUE"""),30.95)</f>
        <v>30.95</v>
      </c>
      <c r="E2811" s="2">
        <f>IFERROR(__xludf.DUMMYFUNCTION("""COMPUTED_VALUE"""),31.61)</f>
        <v>31.61</v>
      </c>
      <c r="F2811" s="2">
        <f>IFERROR(__xludf.DUMMYFUNCTION("""COMPUTED_VALUE"""),1865300.0)</f>
        <v>1865300</v>
      </c>
    </row>
    <row r="2812">
      <c r="A2812" s="3">
        <f>IFERROR(__xludf.DUMMYFUNCTION("""COMPUTED_VALUE"""),33281.666666666664)</f>
        <v>33281.66667</v>
      </c>
      <c r="B2812" s="2">
        <f>IFERROR(__xludf.DUMMYFUNCTION("""COMPUTED_VALUE"""),31.7)</f>
        <v>31.7</v>
      </c>
      <c r="C2812" s="2">
        <f>IFERROR(__xludf.DUMMYFUNCTION("""COMPUTED_VALUE"""),31.97)</f>
        <v>31.97</v>
      </c>
      <c r="D2812" s="2">
        <f>IFERROR(__xludf.DUMMYFUNCTION("""COMPUTED_VALUE"""),31.4)</f>
        <v>31.4</v>
      </c>
      <c r="E2812" s="2">
        <f>IFERROR(__xludf.DUMMYFUNCTION("""COMPUTED_VALUE"""),31.7)</f>
        <v>31.7</v>
      </c>
      <c r="F2812" s="2">
        <f>IFERROR(__xludf.DUMMYFUNCTION("""COMPUTED_VALUE"""),2372400.0)</f>
        <v>2372400</v>
      </c>
    </row>
    <row r="2813">
      <c r="A2813" s="3">
        <f>IFERROR(__xludf.DUMMYFUNCTION("""COMPUTED_VALUE"""),33282.666666666664)</f>
        <v>33282.66667</v>
      </c>
      <c r="B2813" s="2">
        <f>IFERROR(__xludf.DUMMYFUNCTION("""COMPUTED_VALUE"""),32.15)</f>
        <v>32.15</v>
      </c>
      <c r="C2813" s="2">
        <f>IFERROR(__xludf.DUMMYFUNCTION("""COMPUTED_VALUE"""),32.24)</f>
        <v>32.24</v>
      </c>
      <c r="D2813" s="2">
        <f>IFERROR(__xludf.DUMMYFUNCTION("""COMPUTED_VALUE"""),31.58)</f>
        <v>31.58</v>
      </c>
      <c r="E2813" s="2">
        <f>IFERROR(__xludf.DUMMYFUNCTION("""COMPUTED_VALUE"""),32.15)</f>
        <v>32.15</v>
      </c>
      <c r="F2813" s="2">
        <f>IFERROR(__xludf.DUMMYFUNCTION("""COMPUTED_VALUE"""),1922700.0)</f>
        <v>1922700</v>
      </c>
    </row>
    <row r="2814">
      <c r="A2814" s="3">
        <f>IFERROR(__xludf.DUMMYFUNCTION("""COMPUTED_VALUE"""),33283.666666666664)</f>
        <v>33283.66667</v>
      </c>
      <c r="B2814" s="2">
        <f>IFERROR(__xludf.DUMMYFUNCTION("""COMPUTED_VALUE"""),32.27)</f>
        <v>32.27</v>
      </c>
      <c r="C2814" s="2">
        <f>IFERROR(__xludf.DUMMYFUNCTION("""COMPUTED_VALUE"""),32.54)</f>
        <v>32.54</v>
      </c>
      <c r="D2814" s="2">
        <f>IFERROR(__xludf.DUMMYFUNCTION("""COMPUTED_VALUE"""),31.97)</f>
        <v>31.97</v>
      </c>
      <c r="E2814" s="2">
        <f>IFERROR(__xludf.DUMMYFUNCTION("""COMPUTED_VALUE"""),32.27)</f>
        <v>32.27</v>
      </c>
      <c r="F2814" s="2">
        <f>IFERROR(__xludf.DUMMYFUNCTION("""COMPUTED_VALUE"""),2485200.0)</f>
        <v>2485200</v>
      </c>
    </row>
    <row r="2815">
      <c r="A2815" s="3">
        <f>IFERROR(__xludf.DUMMYFUNCTION("""COMPUTED_VALUE"""),33284.666666666664)</f>
        <v>33284.66667</v>
      </c>
      <c r="B2815" s="2">
        <f>IFERROR(__xludf.DUMMYFUNCTION("""COMPUTED_VALUE"""),32.8)</f>
        <v>32.8</v>
      </c>
      <c r="C2815" s="2">
        <f>IFERROR(__xludf.DUMMYFUNCTION("""COMPUTED_VALUE"""),32.89)</f>
        <v>32.89</v>
      </c>
      <c r="D2815" s="2">
        <f>IFERROR(__xludf.DUMMYFUNCTION("""COMPUTED_VALUE"""),32.33)</f>
        <v>32.33</v>
      </c>
      <c r="E2815" s="2">
        <f>IFERROR(__xludf.DUMMYFUNCTION("""COMPUTED_VALUE"""),32.8)</f>
        <v>32.8</v>
      </c>
      <c r="F2815" s="2">
        <f>IFERROR(__xludf.DUMMYFUNCTION("""COMPUTED_VALUE"""),2738900.0)</f>
        <v>2738900</v>
      </c>
    </row>
    <row r="2816">
      <c r="A2816" s="3">
        <f>IFERROR(__xludf.DUMMYFUNCTION("""COMPUTED_VALUE"""),33288.666666666664)</f>
        <v>33288.66667</v>
      </c>
      <c r="B2816" s="2">
        <f>IFERROR(__xludf.DUMMYFUNCTION("""COMPUTED_VALUE"""),33.31)</f>
        <v>33.31</v>
      </c>
      <c r="C2816" s="2">
        <f>IFERROR(__xludf.DUMMYFUNCTION("""COMPUTED_VALUE"""),33.37)</f>
        <v>33.37</v>
      </c>
      <c r="D2816" s="2">
        <f>IFERROR(__xludf.DUMMYFUNCTION("""COMPUTED_VALUE"""),32.71)</f>
        <v>32.71</v>
      </c>
      <c r="E2816" s="2">
        <f>IFERROR(__xludf.DUMMYFUNCTION("""COMPUTED_VALUE"""),33.31)</f>
        <v>33.31</v>
      </c>
      <c r="F2816" s="2">
        <f>IFERROR(__xludf.DUMMYFUNCTION("""COMPUTED_VALUE"""),2278100.0)</f>
        <v>2278100</v>
      </c>
    </row>
    <row r="2817">
      <c r="A2817" s="3">
        <f>IFERROR(__xludf.DUMMYFUNCTION("""COMPUTED_VALUE"""),33289.666666666664)</f>
        <v>33289.66667</v>
      </c>
      <c r="B2817" s="2">
        <f>IFERROR(__xludf.DUMMYFUNCTION("""COMPUTED_VALUE"""),32.92)</f>
        <v>32.92</v>
      </c>
      <c r="C2817" s="2">
        <f>IFERROR(__xludf.DUMMYFUNCTION("""COMPUTED_VALUE"""),33.13)</f>
        <v>33.13</v>
      </c>
      <c r="D2817" s="2">
        <f>IFERROR(__xludf.DUMMYFUNCTION("""COMPUTED_VALUE"""),32.92)</f>
        <v>32.92</v>
      </c>
      <c r="E2817" s="2">
        <f>IFERROR(__xludf.DUMMYFUNCTION("""COMPUTED_VALUE"""),32.92)</f>
        <v>32.92</v>
      </c>
      <c r="F2817" s="2">
        <f>IFERROR(__xludf.DUMMYFUNCTION("""COMPUTED_VALUE"""),1854200.0)</f>
        <v>1854200</v>
      </c>
    </row>
    <row r="2818">
      <c r="A2818" s="3">
        <f>IFERROR(__xludf.DUMMYFUNCTION("""COMPUTED_VALUE"""),33290.666666666664)</f>
        <v>33290.66667</v>
      </c>
      <c r="B2818" s="2">
        <f>IFERROR(__xludf.DUMMYFUNCTION("""COMPUTED_VALUE"""),32.36)</f>
        <v>32.36</v>
      </c>
      <c r="C2818" s="2">
        <f>IFERROR(__xludf.DUMMYFUNCTION("""COMPUTED_VALUE"""),33.01)</f>
        <v>33.01</v>
      </c>
      <c r="D2818" s="2">
        <f>IFERROR(__xludf.DUMMYFUNCTION("""COMPUTED_VALUE"""),32.36)</f>
        <v>32.36</v>
      </c>
      <c r="E2818" s="2">
        <f>IFERROR(__xludf.DUMMYFUNCTION("""COMPUTED_VALUE"""),32.36)</f>
        <v>32.36</v>
      </c>
      <c r="F2818" s="2">
        <f>IFERROR(__xludf.DUMMYFUNCTION("""COMPUTED_VALUE"""),1565500.0)</f>
        <v>1565500</v>
      </c>
    </row>
    <row r="2819">
      <c r="A2819" s="3">
        <f>IFERROR(__xludf.DUMMYFUNCTION("""COMPUTED_VALUE"""),33291.666666666664)</f>
        <v>33291.66667</v>
      </c>
      <c r="B2819" s="2">
        <f>IFERROR(__xludf.DUMMYFUNCTION("""COMPUTED_VALUE"""),31.82)</f>
        <v>31.82</v>
      </c>
      <c r="C2819" s="2">
        <f>IFERROR(__xludf.DUMMYFUNCTION("""COMPUTED_VALUE"""),32.71)</f>
        <v>32.71</v>
      </c>
      <c r="D2819" s="2">
        <f>IFERROR(__xludf.DUMMYFUNCTION("""COMPUTED_VALUE"""),31.67)</f>
        <v>31.67</v>
      </c>
      <c r="E2819" s="2">
        <f>IFERROR(__xludf.DUMMYFUNCTION("""COMPUTED_VALUE"""),31.82)</f>
        <v>31.82</v>
      </c>
      <c r="F2819" s="2">
        <f>IFERROR(__xludf.DUMMYFUNCTION("""COMPUTED_VALUE"""),2384100.0)</f>
        <v>2384100</v>
      </c>
    </row>
    <row r="2820">
      <c r="A2820" s="3">
        <f>IFERROR(__xludf.DUMMYFUNCTION("""COMPUTED_VALUE"""),33294.666666666664)</f>
        <v>33294.66667</v>
      </c>
      <c r="B2820" s="2">
        <f>IFERROR(__xludf.DUMMYFUNCTION("""COMPUTED_VALUE"""),31.91)</f>
        <v>31.91</v>
      </c>
      <c r="C2820" s="2">
        <f>IFERROR(__xludf.DUMMYFUNCTION("""COMPUTED_VALUE"""),32.27)</f>
        <v>32.27</v>
      </c>
      <c r="D2820" s="2">
        <f>IFERROR(__xludf.DUMMYFUNCTION("""COMPUTED_VALUE"""),31.55)</f>
        <v>31.55</v>
      </c>
      <c r="E2820" s="2">
        <f>IFERROR(__xludf.DUMMYFUNCTION("""COMPUTED_VALUE"""),31.91)</f>
        <v>31.91</v>
      </c>
      <c r="F2820" s="2">
        <f>IFERROR(__xludf.DUMMYFUNCTION("""COMPUTED_VALUE"""),1894700.0)</f>
        <v>1894700</v>
      </c>
    </row>
    <row r="2821">
      <c r="A2821" s="3">
        <f>IFERROR(__xludf.DUMMYFUNCTION("""COMPUTED_VALUE"""),33295.666666666664)</f>
        <v>33295.66667</v>
      </c>
      <c r="B2821" s="2">
        <f>IFERROR(__xludf.DUMMYFUNCTION("""COMPUTED_VALUE"""),30.98)</f>
        <v>30.98</v>
      </c>
      <c r="C2821" s="2">
        <f>IFERROR(__xludf.DUMMYFUNCTION("""COMPUTED_VALUE"""),31.76)</f>
        <v>31.76</v>
      </c>
      <c r="D2821" s="2">
        <f>IFERROR(__xludf.DUMMYFUNCTION("""COMPUTED_VALUE"""),30.98)</f>
        <v>30.98</v>
      </c>
      <c r="E2821" s="2">
        <f>IFERROR(__xludf.DUMMYFUNCTION("""COMPUTED_VALUE"""),30.98)</f>
        <v>30.98</v>
      </c>
      <c r="F2821" s="2">
        <f>IFERROR(__xludf.DUMMYFUNCTION("""COMPUTED_VALUE"""),2227100.0)</f>
        <v>2227100</v>
      </c>
    </row>
    <row r="2822">
      <c r="A2822" s="3">
        <f>IFERROR(__xludf.DUMMYFUNCTION("""COMPUTED_VALUE"""),33296.666666666664)</f>
        <v>33296.66667</v>
      </c>
      <c r="B2822" s="2">
        <f>IFERROR(__xludf.DUMMYFUNCTION("""COMPUTED_VALUE"""),31.25)</f>
        <v>31.25</v>
      </c>
      <c r="C2822" s="2">
        <f>IFERROR(__xludf.DUMMYFUNCTION("""COMPUTED_VALUE"""),31.25)</f>
        <v>31.25</v>
      </c>
      <c r="D2822" s="2">
        <f>IFERROR(__xludf.DUMMYFUNCTION("""COMPUTED_VALUE"""),30.6)</f>
        <v>30.6</v>
      </c>
      <c r="E2822" s="2">
        <f>IFERROR(__xludf.DUMMYFUNCTION("""COMPUTED_VALUE"""),31.25)</f>
        <v>31.25</v>
      </c>
      <c r="F2822" s="2">
        <f>IFERROR(__xludf.DUMMYFUNCTION("""COMPUTED_VALUE"""),2041200.0)</f>
        <v>2041200</v>
      </c>
    </row>
    <row r="2823">
      <c r="A2823" s="3">
        <f>IFERROR(__xludf.DUMMYFUNCTION("""COMPUTED_VALUE"""),33297.666666666664)</f>
        <v>33297.66667</v>
      </c>
      <c r="B2823" s="2">
        <f>IFERROR(__xludf.DUMMYFUNCTION("""COMPUTED_VALUE"""),30.74)</f>
        <v>30.74</v>
      </c>
      <c r="C2823" s="2">
        <f>IFERROR(__xludf.DUMMYFUNCTION("""COMPUTED_VALUE"""),31.4)</f>
        <v>31.4</v>
      </c>
      <c r="D2823" s="2">
        <f>IFERROR(__xludf.DUMMYFUNCTION("""COMPUTED_VALUE"""),30.45)</f>
        <v>30.45</v>
      </c>
      <c r="E2823" s="2">
        <f>IFERROR(__xludf.DUMMYFUNCTION("""COMPUTED_VALUE"""),30.74)</f>
        <v>30.74</v>
      </c>
      <c r="F2823" s="2">
        <f>IFERROR(__xludf.DUMMYFUNCTION("""COMPUTED_VALUE"""),2158500.0)</f>
        <v>2158500</v>
      </c>
    </row>
    <row r="2824">
      <c r="A2824" s="3">
        <f>IFERROR(__xludf.DUMMYFUNCTION("""COMPUTED_VALUE"""),33298.666666666664)</f>
        <v>33298.66667</v>
      </c>
      <c r="B2824" s="2">
        <f>IFERROR(__xludf.DUMMYFUNCTION("""COMPUTED_VALUE"""),31.28)</f>
        <v>31.28</v>
      </c>
      <c r="C2824" s="2">
        <f>IFERROR(__xludf.DUMMYFUNCTION("""COMPUTED_VALUE"""),31.4)</f>
        <v>31.4</v>
      </c>
      <c r="D2824" s="2">
        <f>IFERROR(__xludf.DUMMYFUNCTION("""COMPUTED_VALUE"""),30.6)</f>
        <v>30.6</v>
      </c>
      <c r="E2824" s="2">
        <f>IFERROR(__xludf.DUMMYFUNCTION("""COMPUTED_VALUE"""),31.28)</f>
        <v>31.28</v>
      </c>
      <c r="F2824" s="2">
        <f>IFERROR(__xludf.DUMMYFUNCTION("""COMPUTED_VALUE"""),1858200.0)</f>
        <v>1858200</v>
      </c>
    </row>
    <row r="2825">
      <c r="A2825" s="3">
        <f>IFERROR(__xludf.DUMMYFUNCTION("""COMPUTED_VALUE"""),33301.666666666664)</f>
        <v>33301.66667</v>
      </c>
      <c r="B2825" s="2">
        <f>IFERROR(__xludf.DUMMYFUNCTION("""COMPUTED_VALUE"""),31.19)</f>
        <v>31.19</v>
      </c>
      <c r="C2825" s="2">
        <f>IFERROR(__xludf.DUMMYFUNCTION("""COMPUTED_VALUE"""),31.64)</f>
        <v>31.64</v>
      </c>
      <c r="D2825" s="2">
        <f>IFERROR(__xludf.DUMMYFUNCTION("""COMPUTED_VALUE"""),31.01)</f>
        <v>31.01</v>
      </c>
      <c r="E2825" s="2">
        <f>IFERROR(__xludf.DUMMYFUNCTION("""COMPUTED_VALUE"""),31.19)</f>
        <v>31.19</v>
      </c>
      <c r="F2825" s="2">
        <f>IFERROR(__xludf.DUMMYFUNCTION("""COMPUTED_VALUE"""),1189600.0)</f>
        <v>1189600</v>
      </c>
    </row>
    <row r="2826">
      <c r="A2826" s="3">
        <f>IFERROR(__xludf.DUMMYFUNCTION("""COMPUTED_VALUE"""),33302.666666666664)</f>
        <v>33302.66667</v>
      </c>
      <c r="B2826" s="2">
        <f>IFERROR(__xludf.DUMMYFUNCTION("""COMPUTED_VALUE"""),31.88)</f>
        <v>31.88</v>
      </c>
      <c r="C2826" s="2">
        <f>IFERROR(__xludf.DUMMYFUNCTION("""COMPUTED_VALUE"""),32.24)</f>
        <v>32.24</v>
      </c>
      <c r="D2826" s="2">
        <f>IFERROR(__xludf.DUMMYFUNCTION("""COMPUTED_VALUE"""),31.01)</f>
        <v>31.01</v>
      </c>
      <c r="E2826" s="2">
        <f>IFERROR(__xludf.DUMMYFUNCTION("""COMPUTED_VALUE"""),31.88)</f>
        <v>31.88</v>
      </c>
      <c r="F2826" s="2">
        <f>IFERROR(__xludf.DUMMYFUNCTION("""COMPUTED_VALUE"""),2483900.0)</f>
        <v>2483900</v>
      </c>
    </row>
    <row r="2827">
      <c r="A2827" s="3">
        <f>IFERROR(__xludf.DUMMYFUNCTION("""COMPUTED_VALUE"""),33303.666666666664)</f>
        <v>33303.66667</v>
      </c>
      <c r="B2827" s="2">
        <f>IFERROR(__xludf.DUMMYFUNCTION("""COMPUTED_VALUE"""),31.73)</f>
        <v>31.73</v>
      </c>
      <c r="C2827" s="2">
        <f>IFERROR(__xludf.DUMMYFUNCTION("""COMPUTED_VALUE"""),32.21)</f>
        <v>32.21</v>
      </c>
      <c r="D2827" s="2">
        <f>IFERROR(__xludf.DUMMYFUNCTION("""COMPUTED_VALUE"""),31.67)</f>
        <v>31.67</v>
      </c>
      <c r="E2827" s="2">
        <f>IFERROR(__xludf.DUMMYFUNCTION("""COMPUTED_VALUE"""),31.73)</f>
        <v>31.73</v>
      </c>
      <c r="F2827" s="2">
        <f>IFERROR(__xludf.DUMMYFUNCTION("""COMPUTED_VALUE"""),2035500.0)</f>
        <v>2035500</v>
      </c>
    </row>
    <row r="2828">
      <c r="A2828" s="3">
        <f>IFERROR(__xludf.DUMMYFUNCTION("""COMPUTED_VALUE"""),33304.666666666664)</f>
        <v>33304.66667</v>
      </c>
      <c r="B2828" s="2">
        <f>IFERROR(__xludf.DUMMYFUNCTION("""COMPUTED_VALUE"""),31.64)</f>
        <v>31.64</v>
      </c>
      <c r="C2828" s="2">
        <f>IFERROR(__xludf.DUMMYFUNCTION("""COMPUTED_VALUE"""),31.94)</f>
        <v>31.94</v>
      </c>
      <c r="D2828" s="2">
        <f>IFERROR(__xludf.DUMMYFUNCTION("""COMPUTED_VALUE"""),31.43)</f>
        <v>31.43</v>
      </c>
      <c r="E2828" s="2">
        <f>IFERROR(__xludf.DUMMYFUNCTION("""COMPUTED_VALUE"""),31.64)</f>
        <v>31.64</v>
      </c>
      <c r="F2828" s="2">
        <f>IFERROR(__xludf.DUMMYFUNCTION("""COMPUTED_VALUE"""),1192600.0)</f>
        <v>1192600</v>
      </c>
    </row>
    <row r="2829">
      <c r="A2829" s="3">
        <f>IFERROR(__xludf.DUMMYFUNCTION("""COMPUTED_VALUE"""),33305.666666666664)</f>
        <v>33305.66667</v>
      </c>
      <c r="B2829" s="2">
        <f>IFERROR(__xludf.DUMMYFUNCTION("""COMPUTED_VALUE"""),31.34)</f>
        <v>31.34</v>
      </c>
      <c r="C2829" s="2">
        <f>IFERROR(__xludf.DUMMYFUNCTION("""COMPUTED_VALUE"""),31.91)</f>
        <v>31.91</v>
      </c>
      <c r="D2829" s="2">
        <f>IFERROR(__xludf.DUMMYFUNCTION("""COMPUTED_VALUE"""),31.28)</f>
        <v>31.28</v>
      </c>
      <c r="E2829" s="2">
        <f>IFERROR(__xludf.DUMMYFUNCTION("""COMPUTED_VALUE"""),31.34)</f>
        <v>31.34</v>
      </c>
      <c r="F2829" s="2">
        <f>IFERROR(__xludf.DUMMYFUNCTION("""COMPUTED_VALUE"""),1484000.0)</f>
        <v>1484000</v>
      </c>
    </row>
    <row r="2830">
      <c r="A2830" s="3">
        <f>IFERROR(__xludf.DUMMYFUNCTION("""COMPUTED_VALUE"""),33308.666666666664)</f>
        <v>33308.66667</v>
      </c>
      <c r="B2830" s="2">
        <f>IFERROR(__xludf.DUMMYFUNCTION("""COMPUTED_VALUE"""),30.83)</f>
        <v>30.83</v>
      </c>
      <c r="C2830" s="2">
        <f>IFERROR(__xludf.DUMMYFUNCTION("""COMPUTED_VALUE"""),31.16)</f>
        <v>31.16</v>
      </c>
      <c r="D2830" s="2">
        <f>IFERROR(__xludf.DUMMYFUNCTION("""COMPUTED_VALUE"""),30.74)</f>
        <v>30.74</v>
      </c>
      <c r="E2830" s="2">
        <f>IFERROR(__xludf.DUMMYFUNCTION("""COMPUTED_VALUE"""),30.83)</f>
        <v>30.83</v>
      </c>
      <c r="F2830" s="2">
        <f>IFERROR(__xludf.DUMMYFUNCTION("""COMPUTED_VALUE"""),1804500.0)</f>
        <v>1804500</v>
      </c>
    </row>
    <row r="2831">
      <c r="A2831" s="3">
        <f>IFERROR(__xludf.DUMMYFUNCTION("""COMPUTED_VALUE"""),33309.666666666664)</f>
        <v>33309.66667</v>
      </c>
      <c r="B2831" s="2">
        <f>IFERROR(__xludf.DUMMYFUNCTION("""COMPUTED_VALUE"""),30.33)</f>
        <v>30.33</v>
      </c>
      <c r="C2831" s="2">
        <f>IFERROR(__xludf.DUMMYFUNCTION("""COMPUTED_VALUE"""),30.86)</f>
        <v>30.86</v>
      </c>
      <c r="D2831" s="2">
        <f>IFERROR(__xludf.DUMMYFUNCTION("""COMPUTED_VALUE"""),30.21)</f>
        <v>30.21</v>
      </c>
      <c r="E2831" s="2">
        <f>IFERROR(__xludf.DUMMYFUNCTION("""COMPUTED_VALUE"""),30.33)</f>
        <v>30.33</v>
      </c>
      <c r="F2831" s="2">
        <f>IFERROR(__xludf.DUMMYFUNCTION("""COMPUTED_VALUE"""),2157800.0)</f>
        <v>2157800</v>
      </c>
    </row>
    <row r="2832">
      <c r="A2832" s="3">
        <f>IFERROR(__xludf.DUMMYFUNCTION("""COMPUTED_VALUE"""),33310.666666666664)</f>
        <v>33310.66667</v>
      </c>
      <c r="B2832" s="2">
        <f>IFERROR(__xludf.DUMMYFUNCTION("""COMPUTED_VALUE"""),30.83)</f>
        <v>30.83</v>
      </c>
      <c r="C2832" s="2">
        <f>IFERROR(__xludf.DUMMYFUNCTION("""COMPUTED_VALUE"""),30.95)</f>
        <v>30.95</v>
      </c>
      <c r="D2832" s="2">
        <f>IFERROR(__xludf.DUMMYFUNCTION("""COMPUTED_VALUE"""),30.27)</f>
        <v>30.27</v>
      </c>
      <c r="E2832" s="2">
        <f>IFERROR(__xludf.DUMMYFUNCTION("""COMPUTED_VALUE"""),30.83)</f>
        <v>30.83</v>
      </c>
      <c r="F2832" s="2">
        <f>IFERROR(__xludf.DUMMYFUNCTION("""COMPUTED_VALUE"""),1504400.0)</f>
        <v>1504400</v>
      </c>
    </row>
    <row r="2833">
      <c r="A2833" s="3">
        <f>IFERROR(__xludf.DUMMYFUNCTION("""COMPUTED_VALUE"""),33311.666666666664)</f>
        <v>33311.66667</v>
      </c>
      <c r="B2833" s="2">
        <f>IFERROR(__xludf.DUMMYFUNCTION("""COMPUTED_VALUE"""),30.6)</f>
        <v>30.6</v>
      </c>
      <c r="C2833" s="2">
        <f>IFERROR(__xludf.DUMMYFUNCTION("""COMPUTED_VALUE"""),31.22)</f>
        <v>31.22</v>
      </c>
      <c r="D2833" s="2">
        <f>IFERROR(__xludf.DUMMYFUNCTION("""COMPUTED_VALUE"""),30.21)</f>
        <v>30.21</v>
      </c>
      <c r="E2833" s="2">
        <f>IFERROR(__xludf.DUMMYFUNCTION("""COMPUTED_VALUE"""),30.6)</f>
        <v>30.6</v>
      </c>
      <c r="F2833" s="2">
        <f>IFERROR(__xludf.DUMMYFUNCTION("""COMPUTED_VALUE"""),1944900.0)</f>
        <v>1944900</v>
      </c>
    </row>
    <row r="2834">
      <c r="A2834" s="3">
        <f>IFERROR(__xludf.DUMMYFUNCTION("""COMPUTED_VALUE"""),33312.666666666664)</f>
        <v>33312.66667</v>
      </c>
      <c r="B2834" s="2">
        <f>IFERROR(__xludf.DUMMYFUNCTION("""COMPUTED_VALUE"""),30.24)</f>
        <v>30.24</v>
      </c>
      <c r="C2834" s="2">
        <f>IFERROR(__xludf.DUMMYFUNCTION("""COMPUTED_VALUE"""),30.51)</f>
        <v>30.51</v>
      </c>
      <c r="D2834" s="2">
        <f>IFERROR(__xludf.DUMMYFUNCTION("""COMPUTED_VALUE"""),30.15)</f>
        <v>30.15</v>
      </c>
      <c r="E2834" s="2">
        <f>IFERROR(__xludf.DUMMYFUNCTION("""COMPUTED_VALUE"""),30.24)</f>
        <v>30.24</v>
      </c>
      <c r="F2834" s="2">
        <f>IFERROR(__xludf.DUMMYFUNCTION("""COMPUTED_VALUE"""),2691500.0)</f>
        <v>2691500</v>
      </c>
    </row>
    <row r="2835">
      <c r="A2835" s="3">
        <f>IFERROR(__xludf.DUMMYFUNCTION("""COMPUTED_VALUE"""),33315.666666666664)</f>
        <v>33315.66667</v>
      </c>
      <c r="B2835" s="2">
        <f>IFERROR(__xludf.DUMMYFUNCTION("""COMPUTED_VALUE"""),30.54)</f>
        <v>30.54</v>
      </c>
      <c r="C2835" s="2">
        <f>IFERROR(__xludf.DUMMYFUNCTION("""COMPUTED_VALUE"""),30.6)</f>
        <v>30.6</v>
      </c>
      <c r="D2835" s="2">
        <f>IFERROR(__xludf.DUMMYFUNCTION("""COMPUTED_VALUE"""),30.15)</f>
        <v>30.15</v>
      </c>
      <c r="E2835" s="2">
        <f>IFERROR(__xludf.DUMMYFUNCTION("""COMPUTED_VALUE"""),30.54)</f>
        <v>30.54</v>
      </c>
      <c r="F2835" s="2">
        <f>IFERROR(__xludf.DUMMYFUNCTION("""COMPUTED_VALUE"""),1491300.0)</f>
        <v>1491300</v>
      </c>
    </row>
    <row r="2836">
      <c r="A2836" s="3">
        <f>IFERROR(__xludf.DUMMYFUNCTION("""COMPUTED_VALUE"""),33316.666666666664)</f>
        <v>33316.66667</v>
      </c>
      <c r="B2836" s="2">
        <f>IFERROR(__xludf.DUMMYFUNCTION("""COMPUTED_VALUE"""),27.49)</f>
        <v>27.49</v>
      </c>
      <c r="C2836" s="2">
        <f>IFERROR(__xludf.DUMMYFUNCTION("""COMPUTED_VALUE"""),28.42)</f>
        <v>28.42</v>
      </c>
      <c r="D2836" s="2">
        <f>IFERROR(__xludf.DUMMYFUNCTION("""COMPUTED_VALUE"""),27.46)</f>
        <v>27.46</v>
      </c>
      <c r="E2836" s="2">
        <f>IFERROR(__xludf.DUMMYFUNCTION("""COMPUTED_VALUE"""),27.49)</f>
        <v>27.49</v>
      </c>
      <c r="F2836" s="2">
        <f>IFERROR(__xludf.DUMMYFUNCTION("""COMPUTED_VALUE"""),6334600.0)</f>
        <v>6334600</v>
      </c>
    </row>
    <row r="2837">
      <c r="A2837" s="3">
        <f>IFERROR(__xludf.DUMMYFUNCTION("""COMPUTED_VALUE"""),33317.666666666664)</f>
        <v>33317.66667</v>
      </c>
      <c r="B2837" s="2">
        <f>IFERROR(__xludf.DUMMYFUNCTION("""COMPUTED_VALUE"""),27.25)</f>
        <v>27.25</v>
      </c>
      <c r="C2837" s="2">
        <f>IFERROR(__xludf.DUMMYFUNCTION("""COMPUTED_VALUE"""),27.55)</f>
        <v>27.55</v>
      </c>
      <c r="D2837" s="2">
        <f>IFERROR(__xludf.DUMMYFUNCTION("""COMPUTED_VALUE"""),27.1)</f>
        <v>27.1</v>
      </c>
      <c r="E2837" s="2">
        <f>IFERROR(__xludf.DUMMYFUNCTION("""COMPUTED_VALUE"""),27.25)</f>
        <v>27.25</v>
      </c>
      <c r="F2837" s="2">
        <f>IFERROR(__xludf.DUMMYFUNCTION("""COMPUTED_VALUE"""),4007100.0)</f>
        <v>4007100</v>
      </c>
    </row>
    <row r="2838">
      <c r="A2838" s="3">
        <f>IFERROR(__xludf.DUMMYFUNCTION("""COMPUTED_VALUE"""),33318.666666666664)</f>
        <v>33318.66667</v>
      </c>
      <c r="B2838" s="2">
        <f>IFERROR(__xludf.DUMMYFUNCTION("""COMPUTED_VALUE"""),26.71)</f>
        <v>26.71</v>
      </c>
      <c r="C2838" s="2">
        <f>IFERROR(__xludf.DUMMYFUNCTION("""COMPUTED_VALUE"""),27.46)</f>
        <v>27.46</v>
      </c>
      <c r="D2838" s="2">
        <f>IFERROR(__xludf.DUMMYFUNCTION("""COMPUTED_VALUE"""),26.51)</f>
        <v>26.51</v>
      </c>
      <c r="E2838" s="2">
        <f>IFERROR(__xludf.DUMMYFUNCTION("""COMPUTED_VALUE"""),26.71)</f>
        <v>26.71</v>
      </c>
      <c r="F2838" s="2">
        <f>IFERROR(__xludf.DUMMYFUNCTION("""COMPUTED_VALUE"""),3232800.0)</f>
        <v>3232800</v>
      </c>
    </row>
    <row r="2839">
      <c r="A2839" s="3">
        <f>IFERROR(__xludf.DUMMYFUNCTION("""COMPUTED_VALUE"""),33319.666666666664)</f>
        <v>33319.66667</v>
      </c>
      <c r="B2839" s="2">
        <f>IFERROR(__xludf.DUMMYFUNCTION("""COMPUTED_VALUE"""),26.66)</f>
        <v>26.66</v>
      </c>
      <c r="C2839" s="2">
        <f>IFERROR(__xludf.DUMMYFUNCTION("""COMPUTED_VALUE"""),26.89)</f>
        <v>26.89</v>
      </c>
      <c r="D2839" s="2">
        <f>IFERROR(__xludf.DUMMYFUNCTION("""COMPUTED_VALUE"""),26.57)</f>
        <v>26.57</v>
      </c>
      <c r="E2839" s="2">
        <f>IFERROR(__xludf.DUMMYFUNCTION("""COMPUTED_VALUE"""),26.66)</f>
        <v>26.66</v>
      </c>
      <c r="F2839" s="2">
        <f>IFERROR(__xludf.DUMMYFUNCTION("""COMPUTED_VALUE"""),2858300.0)</f>
        <v>2858300</v>
      </c>
    </row>
    <row r="2840">
      <c r="A2840" s="3">
        <f>IFERROR(__xludf.DUMMYFUNCTION("""COMPUTED_VALUE"""),33322.666666666664)</f>
        <v>33322.66667</v>
      </c>
      <c r="B2840" s="2">
        <f>IFERROR(__xludf.DUMMYFUNCTION("""COMPUTED_VALUE"""),27.1)</f>
        <v>27.1</v>
      </c>
      <c r="C2840" s="2">
        <f>IFERROR(__xludf.DUMMYFUNCTION("""COMPUTED_VALUE"""),27.13)</f>
        <v>27.13</v>
      </c>
      <c r="D2840" s="2">
        <f>IFERROR(__xludf.DUMMYFUNCTION("""COMPUTED_VALUE"""),26.68)</f>
        <v>26.68</v>
      </c>
      <c r="E2840" s="2">
        <f>IFERROR(__xludf.DUMMYFUNCTION("""COMPUTED_VALUE"""),27.1)</f>
        <v>27.1</v>
      </c>
      <c r="F2840" s="2">
        <f>IFERROR(__xludf.DUMMYFUNCTION("""COMPUTED_VALUE"""),1596900.0)</f>
        <v>1596900</v>
      </c>
    </row>
    <row r="2841">
      <c r="A2841" s="3">
        <f>IFERROR(__xludf.DUMMYFUNCTION("""COMPUTED_VALUE"""),33323.666666666664)</f>
        <v>33323.66667</v>
      </c>
      <c r="B2841" s="2">
        <f>IFERROR(__xludf.DUMMYFUNCTION("""COMPUTED_VALUE"""),27.19)</f>
        <v>27.19</v>
      </c>
      <c r="C2841" s="2">
        <f>IFERROR(__xludf.DUMMYFUNCTION("""COMPUTED_VALUE"""),27.37)</f>
        <v>27.37</v>
      </c>
      <c r="D2841" s="2">
        <f>IFERROR(__xludf.DUMMYFUNCTION("""COMPUTED_VALUE"""),27.07)</f>
        <v>27.07</v>
      </c>
      <c r="E2841" s="2">
        <f>IFERROR(__xludf.DUMMYFUNCTION("""COMPUTED_VALUE"""),27.19)</f>
        <v>27.19</v>
      </c>
      <c r="F2841" s="2">
        <f>IFERROR(__xludf.DUMMYFUNCTION("""COMPUTED_VALUE"""),1376800.0)</f>
        <v>1376800</v>
      </c>
    </row>
    <row r="2842">
      <c r="A2842" s="3">
        <f>IFERROR(__xludf.DUMMYFUNCTION("""COMPUTED_VALUE"""),33324.666666666664)</f>
        <v>33324.66667</v>
      </c>
      <c r="B2842" s="2">
        <f>IFERROR(__xludf.DUMMYFUNCTION("""COMPUTED_VALUE"""),26.95)</f>
        <v>26.95</v>
      </c>
      <c r="C2842" s="2">
        <f>IFERROR(__xludf.DUMMYFUNCTION("""COMPUTED_VALUE"""),27.37)</f>
        <v>27.37</v>
      </c>
      <c r="D2842" s="2">
        <f>IFERROR(__xludf.DUMMYFUNCTION("""COMPUTED_VALUE"""),26.86)</f>
        <v>26.86</v>
      </c>
      <c r="E2842" s="2">
        <f>IFERROR(__xludf.DUMMYFUNCTION("""COMPUTED_VALUE"""),26.95)</f>
        <v>26.95</v>
      </c>
      <c r="F2842" s="2">
        <f>IFERROR(__xludf.DUMMYFUNCTION("""COMPUTED_VALUE"""),1704700.0)</f>
        <v>1704700</v>
      </c>
    </row>
    <row r="2843">
      <c r="A2843" s="3">
        <f>IFERROR(__xludf.DUMMYFUNCTION("""COMPUTED_VALUE"""),33325.666666666664)</f>
        <v>33325.66667</v>
      </c>
      <c r="B2843" s="2">
        <f>IFERROR(__xludf.DUMMYFUNCTION("""COMPUTED_VALUE"""),27.19)</f>
        <v>27.19</v>
      </c>
      <c r="C2843" s="2">
        <f>IFERROR(__xludf.DUMMYFUNCTION("""COMPUTED_VALUE"""),27.31)</f>
        <v>27.31</v>
      </c>
      <c r="D2843" s="2">
        <f>IFERROR(__xludf.DUMMYFUNCTION("""COMPUTED_VALUE"""),26.95)</f>
        <v>26.95</v>
      </c>
      <c r="E2843" s="2">
        <f>IFERROR(__xludf.DUMMYFUNCTION("""COMPUTED_VALUE"""),27.19)</f>
        <v>27.19</v>
      </c>
      <c r="F2843" s="2">
        <f>IFERROR(__xludf.DUMMYFUNCTION("""COMPUTED_VALUE"""),1618800.0)</f>
        <v>1618800</v>
      </c>
    </row>
    <row r="2844">
      <c r="A2844" s="3">
        <f>IFERROR(__xludf.DUMMYFUNCTION("""COMPUTED_VALUE"""),33329.666666666664)</f>
        <v>33329.66667</v>
      </c>
      <c r="B2844" s="2">
        <f>IFERROR(__xludf.DUMMYFUNCTION("""COMPUTED_VALUE"""),26.8)</f>
        <v>26.8</v>
      </c>
      <c r="C2844" s="2">
        <f>IFERROR(__xludf.DUMMYFUNCTION("""COMPUTED_VALUE"""),27.28)</f>
        <v>27.28</v>
      </c>
      <c r="D2844" s="2">
        <f>IFERROR(__xludf.DUMMYFUNCTION("""COMPUTED_VALUE"""),26.71)</f>
        <v>26.71</v>
      </c>
      <c r="E2844" s="2">
        <f>IFERROR(__xludf.DUMMYFUNCTION("""COMPUTED_VALUE"""),26.8)</f>
        <v>26.8</v>
      </c>
      <c r="F2844" s="2">
        <f>IFERROR(__xludf.DUMMYFUNCTION("""COMPUTED_VALUE"""),1423000.0)</f>
        <v>1423000</v>
      </c>
    </row>
    <row r="2845">
      <c r="A2845" s="3">
        <f>IFERROR(__xludf.DUMMYFUNCTION("""COMPUTED_VALUE"""),33330.666666666664)</f>
        <v>33330.66667</v>
      </c>
      <c r="B2845" s="2">
        <f>IFERROR(__xludf.DUMMYFUNCTION("""COMPUTED_VALUE"""),27.04)</f>
        <v>27.04</v>
      </c>
      <c r="C2845" s="2">
        <f>IFERROR(__xludf.DUMMYFUNCTION("""COMPUTED_VALUE"""),27.1)</f>
        <v>27.1</v>
      </c>
      <c r="D2845" s="2">
        <f>IFERROR(__xludf.DUMMYFUNCTION("""COMPUTED_VALUE"""),26.54)</f>
        <v>26.54</v>
      </c>
      <c r="E2845" s="2">
        <f>IFERROR(__xludf.DUMMYFUNCTION("""COMPUTED_VALUE"""),27.04)</f>
        <v>27.04</v>
      </c>
      <c r="F2845" s="2">
        <f>IFERROR(__xludf.DUMMYFUNCTION("""COMPUTED_VALUE"""),2268100.0)</f>
        <v>2268100</v>
      </c>
    </row>
    <row r="2846">
      <c r="A2846" s="3">
        <f>IFERROR(__xludf.DUMMYFUNCTION("""COMPUTED_VALUE"""),33331.666666666664)</f>
        <v>33331.66667</v>
      </c>
      <c r="B2846" s="2">
        <f>IFERROR(__xludf.DUMMYFUNCTION("""COMPUTED_VALUE"""),27.01)</f>
        <v>27.01</v>
      </c>
      <c r="C2846" s="2">
        <f>IFERROR(__xludf.DUMMYFUNCTION("""COMPUTED_VALUE"""),27.28)</f>
        <v>27.28</v>
      </c>
      <c r="D2846" s="2">
        <f>IFERROR(__xludf.DUMMYFUNCTION("""COMPUTED_VALUE"""),26.98)</f>
        <v>26.98</v>
      </c>
      <c r="E2846" s="2">
        <f>IFERROR(__xludf.DUMMYFUNCTION("""COMPUTED_VALUE"""),27.01)</f>
        <v>27.01</v>
      </c>
      <c r="F2846" s="2">
        <f>IFERROR(__xludf.DUMMYFUNCTION("""COMPUTED_VALUE"""),1840900.0)</f>
        <v>1840900</v>
      </c>
    </row>
    <row r="2847">
      <c r="A2847" s="3">
        <f>IFERROR(__xludf.DUMMYFUNCTION("""COMPUTED_VALUE"""),33332.666666666664)</f>
        <v>33332.66667</v>
      </c>
      <c r="B2847" s="2">
        <f>IFERROR(__xludf.DUMMYFUNCTION("""COMPUTED_VALUE"""),27.1)</f>
        <v>27.1</v>
      </c>
      <c r="C2847" s="2">
        <f>IFERROR(__xludf.DUMMYFUNCTION("""COMPUTED_VALUE"""),27.4)</f>
        <v>27.4</v>
      </c>
      <c r="D2847" s="2">
        <f>IFERROR(__xludf.DUMMYFUNCTION("""COMPUTED_VALUE"""),26.77)</f>
        <v>26.77</v>
      </c>
      <c r="E2847" s="2">
        <f>IFERROR(__xludf.DUMMYFUNCTION("""COMPUTED_VALUE"""),27.1)</f>
        <v>27.1</v>
      </c>
      <c r="F2847" s="2">
        <f>IFERROR(__xludf.DUMMYFUNCTION("""COMPUTED_VALUE"""),1938300.0)</f>
        <v>1938300</v>
      </c>
    </row>
    <row r="2848">
      <c r="A2848" s="3">
        <f>IFERROR(__xludf.DUMMYFUNCTION("""COMPUTED_VALUE"""),33333.666666666664)</f>
        <v>33333.66667</v>
      </c>
      <c r="B2848" s="2">
        <f>IFERROR(__xludf.DUMMYFUNCTION("""COMPUTED_VALUE"""),26.89)</f>
        <v>26.89</v>
      </c>
      <c r="C2848" s="2">
        <f>IFERROR(__xludf.DUMMYFUNCTION("""COMPUTED_VALUE"""),27.34)</f>
        <v>27.34</v>
      </c>
      <c r="D2848" s="2">
        <f>IFERROR(__xludf.DUMMYFUNCTION("""COMPUTED_VALUE"""),26.86)</f>
        <v>26.86</v>
      </c>
      <c r="E2848" s="2">
        <f>IFERROR(__xludf.DUMMYFUNCTION("""COMPUTED_VALUE"""),26.89)</f>
        <v>26.89</v>
      </c>
      <c r="F2848" s="2">
        <f>IFERROR(__xludf.DUMMYFUNCTION("""COMPUTED_VALUE"""),1520100.0)</f>
        <v>1520100</v>
      </c>
    </row>
    <row r="2849">
      <c r="A2849" s="3">
        <f>IFERROR(__xludf.DUMMYFUNCTION("""COMPUTED_VALUE"""),33336.666666666664)</f>
        <v>33336.66667</v>
      </c>
      <c r="B2849" s="2">
        <f>IFERROR(__xludf.DUMMYFUNCTION("""COMPUTED_VALUE"""),26.98)</f>
        <v>26.98</v>
      </c>
      <c r="C2849" s="2">
        <f>IFERROR(__xludf.DUMMYFUNCTION("""COMPUTED_VALUE"""),27.1)</f>
        <v>27.1</v>
      </c>
      <c r="D2849" s="2">
        <f>IFERROR(__xludf.DUMMYFUNCTION("""COMPUTED_VALUE"""),26.74)</f>
        <v>26.74</v>
      </c>
      <c r="E2849" s="2">
        <f>IFERROR(__xludf.DUMMYFUNCTION("""COMPUTED_VALUE"""),26.98)</f>
        <v>26.98</v>
      </c>
      <c r="F2849" s="2">
        <f>IFERROR(__xludf.DUMMYFUNCTION("""COMPUTED_VALUE"""),965100.0)</f>
        <v>965100</v>
      </c>
    </row>
    <row r="2850">
      <c r="A2850" s="3">
        <f>IFERROR(__xludf.DUMMYFUNCTION("""COMPUTED_VALUE"""),33337.666666666664)</f>
        <v>33337.66667</v>
      </c>
      <c r="B2850" s="2">
        <f>IFERROR(__xludf.DUMMYFUNCTION("""COMPUTED_VALUE"""),26.57)</f>
        <v>26.57</v>
      </c>
      <c r="C2850" s="2">
        <f>IFERROR(__xludf.DUMMYFUNCTION("""COMPUTED_VALUE"""),27.07)</f>
        <v>27.07</v>
      </c>
      <c r="D2850" s="2">
        <f>IFERROR(__xludf.DUMMYFUNCTION("""COMPUTED_VALUE"""),26.51)</f>
        <v>26.51</v>
      </c>
      <c r="E2850" s="2">
        <f>IFERROR(__xludf.DUMMYFUNCTION("""COMPUTED_VALUE"""),26.57)</f>
        <v>26.57</v>
      </c>
      <c r="F2850" s="2">
        <f>IFERROR(__xludf.DUMMYFUNCTION("""COMPUTED_VALUE"""),1348900.0)</f>
        <v>1348900</v>
      </c>
    </row>
    <row r="2851">
      <c r="A2851" s="3">
        <f>IFERROR(__xludf.DUMMYFUNCTION("""COMPUTED_VALUE"""),33338.666666666664)</f>
        <v>33338.66667</v>
      </c>
      <c r="B2851" s="2">
        <f>IFERROR(__xludf.DUMMYFUNCTION("""COMPUTED_VALUE"""),26.57)</f>
        <v>26.57</v>
      </c>
      <c r="C2851" s="2">
        <f>IFERROR(__xludf.DUMMYFUNCTION("""COMPUTED_VALUE"""),26.66)</f>
        <v>26.66</v>
      </c>
      <c r="D2851" s="2">
        <f>IFERROR(__xludf.DUMMYFUNCTION("""COMPUTED_VALUE"""),26.33)</f>
        <v>26.33</v>
      </c>
      <c r="E2851" s="2">
        <f>IFERROR(__xludf.DUMMYFUNCTION("""COMPUTED_VALUE"""),26.57)</f>
        <v>26.57</v>
      </c>
      <c r="F2851" s="2">
        <f>IFERROR(__xludf.DUMMYFUNCTION("""COMPUTED_VALUE"""),1933300.0)</f>
        <v>1933300</v>
      </c>
    </row>
    <row r="2852">
      <c r="A2852" s="3">
        <f>IFERROR(__xludf.DUMMYFUNCTION("""COMPUTED_VALUE"""),33339.666666666664)</f>
        <v>33339.66667</v>
      </c>
      <c r="B2852" s="2">
        <f>IFERROR(__xludf.DUMMYFUNCTION("""COMPUTED_VALUE"""),26.42)</f>
        <v>26.42</v>
      </c>
      <c r="C2852" s="2">
        <f>IFERROR(__xludf.DUMMYFUNCTION("""COMPUTED_VALUE"""),26.71)</f>
        <v>26.71</v>
      </c>
      <c r="D2852" s="2">
        <f>IFERROR(__xludf.DUMMYFUNCTION("""COMPUTED_VALUE"""),26.3)</f>
        <v>26.3</v>
      </c>
      <c r="E2852" s="2">
        <f>IFERROR(__xludf.DUMMYFUNCTION("""COMPUTED_VALUE"""),26.42)</f>
        <v>26.42</v>
      </c>
      <c r="F2852" s="2">
        <f>IFERROR(__xludf.DUMMYFUNCTION("""COMPUTED_VALUE"""),2214700.0)</f>
        <v>2214700</v>
      </c>
    </row>
    <row r="2853">
      <c r="A2853" s="3">
        <f>IFERROR(__xludf.DUMMYFUNCTION("""COMPUTED_VALUE"""),33340.666666666664)</f>
        <v>33340.66667</v>
      </c>
      <c r="B2853" s="2">
        <f>IFERROR(__xludf.DUMMYFUNCTION("""COMPUTED_VALUE"""),25.91)</f>
        <v>25.91</v>
      </c>
      <c r="C2853" s="2">
        <f>IFERROR(__xludf.DUMMYFUNCTION("""COMPUTED_VALUE"""),26.51)</f>
        <v>26.51</v>
      </c>
      <c r="D2853" s="2">
        <f>IFERROR(__xludf.DUMMYFUNCTION("""COMPUTED_VALUE"""),25.82)</f>
        <v>25.82</v>
      </c>
      <c r="E2853" s="2">
        <f>IFERROR(__xludf.DUMMYFUNCTION("""COMPUTED_VALUE"""),25.91)</f>
        <v>25.91</v>
      </c>
      <c r="F2853" s="2">
        <f>IFERROR(__xludf.DUMMYFUNCTION("""COMPUTED_VALUE"""),3555500.0)</f>
        <v>3555500</v>
      </c>
    </row>
    <row r="2854">
      <c r="A2854" s="3">
        <f>IFERROR(__xludf.DUMMYFUNCTION("""COMPUTED_VALUE"""),33343.666666666664)</f>
        <v>33343.66667</v>
      </c>
      <c r="B2854" s="2">
        <f>IFERROR(__xludf.DUMMYFUNCTION("""COMPUTED_VALUE"""),25.52)</f>
        <v>25.52</v>
      </c>
      <c r="C2854" s="2">
        <f>IFERROR(__xludf.DUMMYFUNCTION("""COMPUTED_VALUE"""),25.88)</f>
        <v>25.88</v>
      </c>
      <c r="D2854" s="2">
        <f>IFERROR(__xludf.DUMMYFUNCTION("""COMPUTED_VALUE"""),25.22)</f>
        <v>25.22</v>
      </c>
      <c r="E2854" s="2">
        <f>IFERROR(__xludf.DUMMYFUNCTION("""COMPUTED_VALUE"""),25.52)</f>
        <v>25.52</v>
      </c>
      <c r="F2854" s="2">
        <f>IFERROR(__xludf.DUMMYFUNCTION("""COMPUTED_VALUE"""),3026800.0)</f>
        <v>3026800</v>
      </c>
    </row>
    <row r="2855">
      <c r="A2855" s="3">
        <f>IFERROR(__xludf.DUMMYFUNCTION("""COMPUTED_VALUE"""),33344.666666666664)</f>
        <v>33344.66667</v>
      </c>
      <c r="B2855" s="2">
        <f>IFERROR(__xludf.DUMMYFUNCTION("""COMPUTED_VALUE"""),26.09)</f>
        <v>26.09</v>
      </c>
      <c r="C2855" s="2">
        <f>IFERROR(__xludf.DUMMYFUNCTION("""COMPUTED_VALUE"""),26.09)</f>
        <v>26.09</v>
      </c>
      <c r="D2855" s="2">
        <f>IFERROR(__xludf.DUMMYFUNCTION("""COMPUTED_VALUE"""),25.49)</f>
        <v>25.49</v>
      </c>
      <c r="E2855" s="2">
        <f>IFERROR(__xludf.DUMMYFUNCTION("""COMPUTED_VALUE"""),26.09)</f>
        <v>26.09</v>
      </c>
      <c r="F2855" s="2">
        <f>IFERROR(__xludf.DUMMYFUNCTION("""COMPUTED_VALUE"""),2076700.0)</f>
        <v>2076700</v>
      </c>
    </row>
    <row r="2856">
      <c r="A2856" s="3">
        <f>IFERROR(__xludf.DUMMYFUNCTION("""COMPUTED_VALUE"""),33345.666666666664)</f>
        <v>33345.66667</v>
      </c>
      <c r="B2856" s="2">
        <f>IFERROR(__xludf.DUMMYFUNCTION("""COMPUTED_VALUE"""),26.24)</f>
        <v>26.24</v>
      </c>
      <c r="C2856" s="2">
        <f>IFERROR(__xludf.DUMMYFUNCTION("""COMPUTED_VALUE"""),26.45)</f>
        <v>26.45</v>
      </c>
      <c r="D2856" s="2">
        <f>IFERROR(__xludf.DUMMYFUNCTION("""COMPUTED_VALUE"""),26.09)</f>
        <v>26.09</v>
      </c>
      <c r="E2856" s="2">
        <f>IFERROR(__xludf.DUMMYFUNCTION("""COMPUTED_VALUE"""),26.24)</f>
        <v>26.24</v>
      </c>
      <c r="F2856" s="2">
        <f>IFERROR(__xludf.DUMMYFUNCTION("""COMPUTED_VALUE"""),2089000.0)</f>
        <v>2089000</v>
      </c>
    </row>
    <row r="2857">
      <c r="A2857" s="3">
        <f>IFERROR(__xludf.DUMMYFUNCTION("""COMPUTED_VALUE"""),33346.666666666664)</f>
        <v>33346.66667</v>
      </c>
      <c r="B2857" s="2">
        <f>IFERROR(__xludf.DUMMYFUNCTION("""COMPUTED_VALUE"""),26.21)</f>
        <v>26.21</v>
      </c>
      <c r="C2857" s="2">
        <f>IFERROR(__xludf.DUMMYFUNCTION("""COMPUTED_VALUE"""),26.45)</f>
        <v>26.45</v>
      </c>
      <c r="D2857" s="2">
        <f>IFERROR(__xludf.DUMMYFUNCTION("""COMPUTED_VALUE"""),26.12)</f>
        <v>26.12</v>
      </c>
      <c r="E2857" s="2">
        <f>IFERROR(__xludf.DUMMYFUNCTION("""COMPUTED_VALUE"""),26.21)</f>
        <v>26.21</v>
      </c>
      <c r="F2857" s="2">
        <f>IFERROR(__xludf.DUMMYFUNCTION("""COMPUTED_VALUE"""),1463800.0)</f>
        <v>1463800</v>
      </c>
    </row>
    <row r="2858">
      <c r="A2858" s="3">
        <f>IFERROR(__xludf.DUMMYFUNCTION("""COMPUTED_VALUE"""),33347.666666666664)</f>
        <v>33347.66667</v>
      </c>
      <c r="B2858" s="2">
        <f>IFERROR(__xludf.DUMMYFUNCTION("""COMPUTED_VALUE"""),26.15)</f>
        <v>26.15</v>
      </c>
      <c r="C2858" s="2">
        <f>IFERROR(__xludf.DUMMYFUNCTION("""COMPUTED_VALUE"""),26.33)</f>
        <v>26.33</v>
      </c>
      <c r="D2858" s="2">
        <f>IFERROR(__xludf.DUMMYFUNCTION("""COMPUTED_VALUE"""),26.03)</f>
        <v>26.03</v>
      </c>
      <c r="E2858" s="2">
        <f>IFERROR(__xludf.DUMMYFUNCTION("""COMPUTED_VALUE"""),26.15)</f>
        <v>26.15</v>
      </c>
      <c r="F2858" s="2">
        <f>IFERROR(__xludf.DUMMYFUNCTION("""COMPUTED_VALUE"""),2109300.0)</f>
        <v>2109300</v>
      </c>
    </row>
    <row r="2859">
      <c r="A2859" s="3">
        <f>IFERROR(__xludf.DUMMYFUNCTION("""COMPUTED_VALUE"""),33350.666666666664)</f>
        <v>33350.66667</v>
      </c>
      <c r="B2859" s="2">
        <f>IFERROR(__xludf.DUMMYFUNCTION("""COMPUTED_VALUE"""),25.91)</f>
        <v>25.91</v>
      </c>
      <c r="C2859" s="2">
        <f>IFERROR(__xludf.DUMMYFUNCTION("""COMPUTED_VALUE"""),26.12)</f>
        <v>26.12</v>
      </c>
      <c r="D2859" s="2">
        <f>IFERROR(__xludf.DUMMYFUNCTION("""COMPUTED_VALUE"""),25.82)</f>
        <v>25.82</v>
      </c>
      <c r="E2859" s="2">
        <f>IFERROR(__xludf.DUMMYFUNCTION("""COMPUTED_VALUE"""),25.91)</f>
        <v>25.91</v>
      </c>
      <c r="F2859" s="2">
        <f>IFERROR(__xludf.DUMMYFUNCTION("""COMPUTED_VALUE"""),1570400.0)</f>
        <v>1570400</v>
      </c>
    </row>
    <row r="2860">
      <c r="A2860" s="3">
        <f>IFERROR(__xludf.DUMMYFUNCTION("""COMPUTED_VALUE"""),33351.666666666664)</f>
        <v>33351.66667</v>
      </c>
      <c r="B2860" s="2">
        <f>IFERROR(__xludf.DUMMYFUNCTION("""COMPUTED_VALUE"""),25.88)</f>
        <v>25.88</v>
      </c>
      <c r="C2860" s="2">
        <f>IFERROR(__xludf.DUMMYFUNCTION("""COMPUTED_VALUE"""),26.06)</f>
        <v>26.06</v>
      </c>
      <c r="D2860" s="2">
        <f>IFERROR(__xludf.DUMMYFUNCTION("""COMPUTED_VALUE"""),25.76)</f>
        <v>25.76</v>
      </c>
      <c r="E2860" s="2">
        <f>IFERROR(__xludf.DUMMYFUNCTION("""COMPUTED_VALUE"""),25.88)</f>
        <v>25.88</v>
      </c>
      <c r="F2860" s="2">
        <f>IFERROR(__xludf.DUMMYFUNCTION("""COMPUTED_VALUE"""),932100.0)</f>
        <v>932100</v>
      </c>
    </row>
    <row r="2861">
      <c r="A2861" s="3">
        <f>IFERROR(__xludf.DUMMYFUNCTION("""COMPUTED_VALUE"""),33352.666666666664)</f>
        <v>33352.66667</v>
      </c>
      <c r="B2861" s="2">
        <f>IFERROR(__xludf.DUMMYFUNCTION("""COMPUTED_VALUE"""),25.85)</f>
        <v>25.85</v>
      </c>
      <c r="C2861" s="2">
        <f>IFERROR(__xludf.DUMMYFUNCTION("""COMPUTED_VALUE"""),26.0)</f>
        <v>26</v>
      </c>
      <c r="D2861" s="2">
        <f>IFERROR(__xludf.DUMMYFUNCTION("""COMPUTED_VALUE"""),25.79)</f>
        <v>25.79</v>
      </c>
      <c r="E2861" s="2">
        <f>IFERROR(__xludf.DUMMYFUNCTION("""COMPUTED_VALUE"""),25.85)</f>
        <v>25.85</v>
      </c>
      <c r="F2861" s="2">
        <f>IFERROR(__xludf.DUMMYFUNCTION("""COMPUTED_VALUE"""),1442100.0)</f>
        <v>1442100</v>
      </c>
    </row>
    <row r="2862">
      <c r="A2862" s="3">
        <f>IFERROR(__xludf.DUMMYFUNCTION("""COMPUTED_VALUE"""),33353.666666666664)</f>
        <v>33353.66667</v>
      </c>
      <c r="B2862" s="2">
        <f>IFERROR(__xludf.DUMMYFUNCTION("""COMPUTED_VALUE"""),25.79)</f>
        <v>25.79</v>
      </c>
      <c r="C2862" s="2">
        <f>IFERROR(__xludf.DUMMYFUNCTION("""COMPUTED_VALUE"""),26.06)</f>
        <v>26.06</v>
      </c>
      <c r="D2862" s="2">
        <f>IFERROR(__xludf.DUMMYFUNCTION("""COMPUTED_VALUE"""),25.7)</f>
        <v>25.7</v>
      </c>
      <c r="E2862" s="2">
        <f>IFERROR(__xludf.DUMMYFUNCTION("""COMPUTED_VALUE"""),25.79)</f>
        <v>25.79</v>
      </c>
      <c r="F2862" s="2">
        <f>IFERROR(__xludf.DUMMYFUNCTION("""COMPUTED_VALUE"""),1121400.0)</f>
        <v>1121400</v>
      </c>
    </row>
    <row r="2863">
      <c r="A2863" s="3">
        <f>IFERROR(__xludf.DUMMYFUNCTION("""COMPUTED_VALUE"""),33354.666666666664)</f>
        <v>33354.66667</v>
      </c>
      <c r="B2863" s="2">
        <f>IFERROR(__xludf.DUMMYFUNCTION("""COMPUTED_VALUE"""),25.64)</f>
        <v>25.64</v>
      </c>
      <c r="C2863" s="2">
        <f>IFERROR(__xludf.DUMMYFUNCTION("""COMPUTED_VALUE"""),25.85)</f>
        <v>25.85</v>
      </c>
      <c r="D2863" s="2">
        <f>IFERROR(__xludf.DUMMYFUNCTION("""COMPUTED_VALUE"""),25.61)</f>
        <v>25.61</v>
      </c>
      <c r="E2863" s="2">
        <f>IFERROR(__xludf.DUMMYFUNCTION("""COMPUTED_VALUE"""),25.64)</f>
        <v>25.64</v>
      </c>
      <c r="F2863" s="2">
        <f>IFERROR(__xludf.DUMMYFUNCTION("""COMPUTED_VALUE"""),1023500.0)</f>
        <v>1023500</v>
      </c>
    </row>
    <row r="2864">
      <c r="A2864" s="3">
        <f>IFERROR(__xludf.DUMMYFUNCTION("""COMPUTED_VALUE"""),33357.666666666664)</f>
        <v>33357.66667</v>
      </c>
      <c r="B2864" s="2">
        <f>IFERROR(__xludf.DUMMYFUNCTION("""COMPUTED_VALUE"""),25.04)</f>
        <v>25.04</v>
      </c>
      <c r="C2864" s="2">
        <f>IFERROR(__xludf.DUMMYFUNCTION("""COMPUTED_VALUE"""),25.76)</f>
        <v>25.76</v>
      </c>
      <c r="D2864" s="2">
        <f>IFERROR(__xludf.DUMMYFUNCTION("""COMPUTED_VALUE"""),24.98)</f>
        <v>24.98</v>
      </c>
      <c r="E2864" s="2">
        <f>IFERROR(__xludf.DUMMYFUNCTION("""COMPUTED_VALUE"""),25.04)</f>
        <v>25.04</v>
      </c>
      <c r="F2864" s="2">
        <f>IFERROR(__xludf.DUMMYFUNCTION("""COMPUTED_VALUE"""),1854500.0)</f>
        <v>1854500</v>
      </c>
    </row>
    <row r="2865">
      <c r="A2865" s="3">
        <f>IFERROR(__xludf.DUMMYFUNCTION("""COMPUTED_VALUE"""),33358.666666666664)</f>
        <v>33358.66667</v>
      </c>
      <c r="B2865" s="2">
        <f>IFERROR(__xludf.DUMMYFUNCTION("""COMPUTED_VALUE"""),24.6)</f>
        <v>24.6</v>
      </c>
      <c r="C2865" s="2">
        <f>IFERROR(__xludf.DUMMYFUNCTION("""COMPUTED_VALUE"""),25.19)</f>
        <v>25.19</v>
      </c>
      <c r="D2865" s="2">
        <f>IFERROR(__xludf.DUMMYFUNCTION("""COMPUTED_VALUE"""),24.39)</f>
        <v>24.39</v>
      </c>
      <c r="E2865" s="2">
        <f>IFERROR(__xludf.DUMMYFUNCTION("""COMPUTED_VALUE"""),24.6)</f>
        <v>24.6</v>
      </c>
      <c r="F2865" s="2">
        <f>IFERROR(__xludf.DUMMYFUNCTION("""COMPUTED_VALUE"""),3288200.0)</f>
        <v>3288200</v>
      </c>
    </row>
    <row r="2866">
      <c r="A2866" s="3">
        <f>IFERROR(__xludf.DUMMYFUNCTION("""COMPUTED_VALUE"""),33359.666666666664)</f>
        <v>33359.66667</v>
      </c>
      <c r="B2866" s="2">
        <f>IFERROR(__xludf.DUMMYFUNCTION("""COMPUTED_VALUE"""),24.83)</f>
        <v>24.83</v>
      </c>
      <c r="C2866" s="2">
        <f>IFERROR(__xludf.DUMMYFUNCTION("""COMPUTED_VALUE"""),24.95)</f>
        <v>24.95</v>
      </c>
      <c r="D2866" s="2">
        <f>IFERROR(__xludf.DUMMYFUNCTION("""COMPUTED_VALUE"""),24.39)</f>
        <v>24.39</v>
      </c>
      <c r="E2866" s="2">
        <f>IFERROR(__xludf.DUMMYFUNCTION("""COMPUTED_VALUE"""),24.83)</f>
        <v>24.83</v>
      </c>
      <c r="F2866" s="2">
        <f>IFERROR(__xludf.DUMMYFUNCTION("""COMPUTED_VALUE"""),1944200.0)</f>
        <v>1944200</v>
      </c>
    </row>
    <row r="2867">
      <c r="A2867" s="3">
        <f>IFERROR(__xludf.DUMMYFUNCTION("""COMPUTED_VALUE"""),33360.666666666664)</f>
        <v>33360.66667</v>
      </c>
      <c r="B2867" s="2">
        <f>IFERROR(__xludf.DUMMYFUNCTION("""COMPUTED_VALUE"""),25.28)</f>
        <v>25.28</v>
      </c>
      <c r="C2867" s="2">
        <f>IFERROR(__xludf.DUMMYFUNCTION("""COMPUTED_VALUE"""),25.31)</f>
        <v>25.31</v>
      </c>
      <c r="D2867" s="2">
        <f>IFERROR(__xludf.DUMMYFUNCTION("""COMPUTED_VALUE"""),24.77)</f>
        <v>24.77</v>
      </c>
      <c r="E2867" s="2">
        <f>IFERROR(__xludf.DUMMYFUNCTION("""COMPUTED_VALUE"""),25.28)</f>
        <v>25.28</v>
      </c>
      <c r="F2867" s="2">
        <f>IFERROR(__xludf.DUMMYFUNCTION("""COMPUTED_VALUE"""),1522400.0)</f>
        <v>1522400</v>
      </c>
    </row>
    <row r="2868">
      <c r="A2868" s="3">
        <f>IFERROR(__xludf.DUMMYFUNCTION("""COMPUTED_VALUE"""),33361.666666666664)</f>
        <v>33361.66667</v>
      </c>
      <c r="B2868" s="2">
        <f>IFERROR(__xludf.DUMMYFUNCTION("""COMPUTED_VALUE"""),24.74)</f>
        <v>24.74</v>
      </c>
      <c r="C2868" s="2">
        <f>IFERROR(__xludf.DUMMYFUNCTION("""COMPUTED_VALUE"""),25.43)</f>
        <v>25.43</v>
      </c>
      <c r="D2868" s="2">
        <f>IFERROR(__xludf.DUMMYFUNCTION("""COMPUTED_VALUE"""),24.36)</f>
        <v>24.36</v>
      </c>
      <c r="E2868" s="2">
        <f>IFERROR(__xludf.DUMMYFUNCTION("""COMPUTED_VALUE"""),24.74)</f>
        <v>24.74</v>
      </c>
      <c r="F2868" s="2">
        <f>IFERROR(__xludf.DUMMYFUNCTION("""COMPUTED_VALUE"""),3223200.0)</f>
        <v>3223200</v>
      </c>
    </row>
    <row r="2869">
      <c r="A2869" s="3">
        <f>IFERROR(__xludf.DUMMYFUNCTION("""COMPUTED_VALUE"""),33364.666666666664)</f>
        <v>33364.66667</v>
      </c>
      <c r="B2869" s="2">
        <f>IFERROR(__xludf.DUMMYFUNCTION("""COMPUTED_VALUE"""),24.69)</f>
        <v>24.69</v>
      </c>
      <c r="C2869" s="2">
        <f>IFERROR(__xludf.DUMMYFUNCTION("""COMPUTED_VALUE"""),24.74)</f>
        <v>24.74</v>
      </c>
      <c r="D2869" s="2">
        <f>IFERROR(__xludf.DUMMYFUNCTION("""COMPUTED_VALUE"""),24.45)</f>
        <v>24.45</v>
      </c>
      <c r="E2869" s="2">
        <f>IFERROR(__xludf.DUMMYFUNCTION("""COMPUTED_VALUE"""),24.69)</f>
        <v>24.69</v>
      </c>
      <c r="F2869" s="2">
        <f>IFERROR(__xludf.DUMMYFUNCTION("""COMPUTED_VALUE"""),1088700.0)</f>
        <v>1088700</v>
      </c>
    </row>
    <row r="2870">
      <c r="A2870" s="3">
        <f>IFERROR(__xludf.DUMMYFUNCTION("""COMPUTED_VALUE"""),33365.666666666664)</f>
        <v>33365.66667</v>
      </c>
      <c r="B2870" s="2">
        <f>IFERROR(__xludf.DUMMYFUNCTION("""COMPUTED_VALUE"""),24.33)</f>
        <v>24.33</v>
      </c>
      <c r="C2870" s="2">
        <f>IFERROR(__xludf.DUMMYFUNCTION("""COMPUTED_VALUE"""),24.71)</f>
        <v>24.71</v>
      </c>
      <c r="D2870" s="2">
        <f>IFERROR(__xludf.DUMMYFUNCTION("""COMPUTED_VALUE"""),24.33)</f>
        <v>24.33</v>
      </c>
      <c r="E2870" s="2">
        <f>IFERROR(__xludf.DUMMYFUNCTION("""COMPUTED_VALUE"""),24.33)</f>
        <v>24.33</v>
      </c>
      <c r="F2870" s="2">
        <f>IFERROR(__xludf.DUMMYFUNCTION("""COMPUTED_VALUE"""),1286100.0)</f>
        <v>1286100</v>
      </c>
    </row>
    <row r="2871">
      <c r="A2871" s="3">
        <f>IFERROR(__xludf.DUMMYFUNCTION("""COMPUTED_VALUE"""),33366.666666666664)</f>
        <v>33366.66667</v>
      </c>
      <c r="B2871" s="2">
        <f>IFERROR(__xludf.DUMMYFUNCTION("""COMPUTED_VALUE"""),24.77)</f>
        <v>24.77</v>
      </c>
      <c r="C2871" s="2">
        <f>IFERROR(__xludf.DUMMYFUNCTION("""COMPUTED_VALUE"""),24.83)</f>
        <v>24.83</v>
      </c>
      <c r="D2871" s="2">
        <f>IFERROR(__xludf.DUMMYFUNCTION("""COMPUTED_VALUE"""),24.3)</f>
        <v>24.3</v>
      </c>
      <c r="E2871" s="2">
        <f>IFERROR(__xludf.DUMMYFUNCTION("""COMPUTED_VALUE"""),24.77)</f>
        <v>24.77</v>
      </c>
      <c r="F2871" s="2">
        <f>IFERROR(__xludf.DUMMYFUNCTION("""COMPUTED_VALUE"""),1384000.0)</f>
        <v>1384000</v>
      </c>
    </row>
    <row r="2872">
      <c r="A2872" s="3">
        <f>IFERROR(__xludf.DUMMYFUNCTION("""COMPUTED_VALUE"""),33367.666666666664)</f>
        <v>33367.66667</v>
      </c>
      <c r="B2872" s="2">
        <f>IFERROR(__xludf.DUMMYFUNCTION("""COMPUTED_VALUE"""),25.28)</f>
        <v>25.28</v>
      </c>
      <c r="C2872" s="2">
        <f>IFERROR(__xludf.DUMMYFUNCTION("""COMPUTED_VALUE"""),25.28)</f>
        <v>25.28</v>
      </c>
      <c r="D2872" s="2">
        <f>IFERROR(__xludf.DUMMYFUNCTION("""COMPUTED_VALUE"""),24.86)</f>
        <v>24.86</v>
      </c>
      <c r="E2872" s="2">
        <f>IFERROR(__xludf.DUMMYFUNCTION("""COMPUTED_VALUE"""),25.28)</f>
        <v>25.28</v>
      </c>
      <c r="F2872" s="2">
        <f>IFERROR(__xludf.DUMMYFUNCTION("""COMPUTED_VALUE"""),1543500.0)</f>
        <v>1543500</v>
      </c>
    </row>
    <row r="2873">
      <c r="A2873" s="3">
        <f>IFERROR(__xludf.DUMMYFUNCTION("""COMPUTED_VALUE"""),33368.666666666664)</f>
        <v>33368.66667</v>
      </c>
      <c r="B2873" s="2">
        <f>IFERROR(__xludf.DUMMYFUNCTION("""COMPUTED_VALUE"""),24.69)</f>
        <v>24.69</v>
      </c>
      <c r="C2873" s="2">
        <f>IFERROR(__xludf.DUMMYFUNCTION("""COMPUTED_VALUE"""),25.31)</f>
        <v>25.31</v>
      </c>
      <c r="D2873" s="2">
        <f>IFERROR(__xludf.DUMMYFUNCTION("""COMPUTED_VALUE"""),24.6)</f>
        <v>24.6</v>
      </c>
      <c r="E2873" s="2">
        <f>IFERROR(__xludf.DUMMYFUNCTION("""COMPUTED_VALUE"""),24.69)</f>
        <v>24.69</v>
      </c>
      <c r="F2873" s="2">
        <f>IFERROR(__xludf.DUMMYFUNCTION("""COMPUTED_VALUE"""),1364400.0)</f>
        <v>1364400</v>
      </c>
    </row>
    <row r="2874">
      <c r="A2874" s="3">
        <f>IFERROR(__xludf.DUMMYFUNCTION("""COMPUTED_VALUE"""),33371.666666666664)</f>
        <v>33371.66667</v>
      </c>
      <c r="B2874" s="2">
        <f>IFERROR(__xludf.DUMMYFUNCTION("""COMPUTED_VALUE"""),25.28)</f>
        <v>25.28</v>
      </c>
      <c r="C2874" s="2">
        <f>IFERROR(__xludf.DUMMYFUNCTION("""COMPUTED_VALUE"""),25.31)</f>
        <v>25.31</v>
      </c>
      <c r="D2874" s="2">
        <f>IFERROR(__xludf.DUMMYFUNCTION("""COMPUTED_VALUE"""),24.66)</f>
        <v>24.66</v>
      </c>
      <c r="E2874" s="2">
        <f>IFERROR(__xludf.DUMMYFUNCTION("""COMPUTED_VALUE"""),25.28)</f>
        <v>25.28</v>
      </c>
      <c r="F2874" s="2">
        <f>IFERROR(__xludf.DUMMYFUNCTION("""COMPUTED_VALUE"""),1284600.0)</f>
        <v>1284600</v>
      </c>
    </row>
    <row r="2875">
      <c r="A2875" s="3">
        <f>IFERROR(__xludf.DUMMYFUNCTION("""COMPUTED_VALUE"""),33372.666666666664)</f>
        <v>33372.66667</v>
      </c>
      <c r="B2875" s="2">
        <f>IFERROR(__xludf.DUMMYFUNCTION("""COMPUTED_VALUE"""),25.31)</f>
        <v>25.31</v>
      </c>
      <c r="C2875" s="2">
        <f>IFERROR(__xludf.DUMMYFUNCTION("""COMPUTED_VALUE"""),25.37)</f>
        <v>25.37</v>
      </c>
      <c r="D2875" s="2">
        <f>IFERROR(__xludf.DUMMYFUNCTION("""COMPUTED_VALUE"""),24.98)</f>
        <v>24.98</v>
      </c>
      <c r="E2875" s="2">
        <f>IFERROR(__xludf.DUMMYFUNCTION("""COMPUTED_VALUE"""),25.31)</f>
        <v>25.31</v>
      </c>
      <c r="F2875" s="2">
        <f>IFERROR(__xludf.DUMMYFUNCTION("""COMPUTED_VALUE"""),1966600.0)</f>
        <v>1966600</v>
      </c>
    </row>
    <row r="2876">
      <c r="A2876" s="3">
        <f>IFERROR(__xludf.DUMMYFUNCTION("""COMPUTED_VALUE"""),33373.666666666664)</f>
        <v>33373.66667</v>
      </c>
      <c r="B2876" s="2">
        <f>IFERROR(__xludf.DUMMYFUNCTION("""COMPUTED_VALUE"""),24.54)</f>
        <v>24.54</v>
      </c>
      <c r="C2876" s="2">
        <f>IFERROR(__xludf.DUMMYFUNCTION("""COMPUTED_VALUE"""),25.1)</f>
        <v>25.1</v>
      </c>
      <c r="D2876" s="2">
        <f>IFERROR(__xludf.DUMMYFUNCTION("""COMPUTED_VALUE"""),24.18)</f>
        <v>24.18</v>
      </c>
      <c r="E2876" s="2">
        <f>IFERROR(__xludf.DUMMYFUNCTION("""COMPUTED_VALUE"""),24.54)</f>
        <v>24.54</v>
      </c>
      <c r="F2876" s="2">
        <f>IFERROR(__xludf.DUMMYFUNCTION("""COMPUTED_VALUE"""),2676500.0)</f>
        <v>2676500</v>
      </c>
    </row>
    <row r="2877">
      <c r="A2877" s="3">
        <f>IFERROR(__xludf.DUMMYFUNCTION("""COMPUTED_VALUE"""),33374.666666666664)</f>
        <v>33374.66667</v>
      </c>
      <c r="B2877" s="2">
        <f>IFERROR(__xludf.DUMMYFUNCTION("""COMPUTED_VALUE"""),24.86)</f>
        <v>24.86</v>
      </c>
      <c r="C2877" s="2">
        <f>IFERROR(__xludf.DUMMYFUNCTION("""COMPUTED_VALUE"""),24.89)</f>
        <v>24.89</v>
      </c>
      <c r="D2877" s="2">
        <f>IFERROR(__xludf.DUMMYFUNCTION("""COMPUTED_VALUE"""),24.6)</f>
        <v>24.6</v>
      </c>
      <c r="E2877" s="2">
        <f>IFERROR(__xludf.DUMMYFUNCTION("""COMPUTED_VALUE"""),24.86)</f>
        <v>24.86</v>
      </c>
      <c r="F2877" s="2">
        <f>IFERROR(__xludf.DUMMYFUNCTION("""COMPUTED_VALUE"""),1363600.0)</f>
        <v>1363600</v>
      </c>
    </row>
    <row r="2878">
      <c r="A2878" s="3">
        <f>IFERROR(__xludf.DUMMYFUNCTION("""COMPUTED_VALUE"""),33375.666666666664)</f>
        <v>33375.66667</v>
      </c>
      <c r="B2878" s="2">
        <f>IFERROR(__xludf.DUMMYFUNCTION("""COMPUTED_VALUE"""),24.77)</f>
        <v>24.77</v>
      </c>
      <c r="C2878" s="2">
        <f>IFERROR(__xludf.DUMMYFUNCTION("""COMPUTED_VALUE"""),24.98)</f>
        <v>24.98</v>
      </c>
      <c r="D2878" s="2">
        <f>IFERROR(__xludf.DUMMYFUNCTION("""COMPUTED_VALUE"""),24.71)</f>
        <v>24.71</v>
      </c>
      <c r="E2878" s="2">
        <f>IFERROR(__xludf.DUMMYFUNCTION("""COMPUTED_VALUE"""),24.77)</f>
        <v>24.77</v>
      </c>
      <c r="F2878" s="2">
        <f>IFERROR(__xludf.DUMMYFUNCTION("""COMPUTED_VALUE"""),2113100.0)</f>
        <v>2113100</v>
      </c>
    </row>
    <row r="2879">
      <c r="A2879" s="3">
        <f>IFERROR(__xludf.DUMMYFUNCTION("""COMPUTED_VALUE"""),33378.666666666664)</f>
        <v>33378.66667</v>
      </c>
      <c r="B2879" s="2">
        <f>IFERROR(__xludf.DUMMYFUNCTION("""COMPUTED_VALUE"""),24.66)</f>
        <v>24.66</v>
      </c>
      <c r="C2879" s="2">
        <f>IFERROR(__xludf.DUMMYFUNCTION("""COMPUTED_VALUE"""),24.89)</f>
        <v>24.89</v>
      </c>
      <c r="D2879" s="2">
        <f>IFERROR(__xludf.DUMMYFUNCTION("""COMPUTED_VALUE"""),24.63)</f>
        <v>24.63</v>
      </c>
      <c r="E2879" s="2">
        <f>IFERROR(__xludf.DUMMYFUNCTION("""COMPUTED_VALUE"""),24.66)</f>
        <v>24.66</v>
      </c>
      <c r="F2879" s="2">
        <f>IFERROR(__xludf.DUMMYFUNCTION("""COMPUTED_VALUE"""),790700.0)</f>
        <v>790700</v>
      </c>
    </row>
    <row r="2880">
      <c r="A2880" s="3">
        <f>IFERROR(__xludf.DUMMYFUNCTION("""COMPUTED_VALUE"""),33379.666666666664)</f>
        <v>33379.66667</v>
      </c>
      <c r="B2880" s="2">
        <f>IFERROR(__xludf.DUMMYFUNCTION("""COMPUTED_VALUE"""),24.24)</f>
        <v>24.24</v>
      </c>
      <c r="C2880" s="2">
        <f>IFERROR(__xludf.DUMMYFUNCTION("""COMPUTED_VALUE"""),24.89)</f>
        <v>24.89</v>
      </c>
      <c r="D2880" s="2">
        <f>IFERROR(__xludf.DUMMYFUNCTION("""COMPUTED_VALUE"""),24.0)</f>
        <v>24</v>
      </c>
      <c r="E2880" s="2">
        <f>IFERROR(__xludf.DUMMYFUNCTION("""COMPUTED_VALUE"""),24.24)</f>
        <v>24.24</v>
      </c>
      <c r="F2880" s="2">
        <f>IFERROR(__xludf.DUMMYFUNCTION("""COMPUTED_VALUE"""),1693200.0)</f>
        <v>1693200</v>
      </c>
    </row>
    <row r="2881">
      <c r="A2881" s="3">
        <f>IFERROR(__xludf.DUMMYFUNCTION("""COMPUTED_VALUE"""),33380.666666666664)</f>
        <v>33380.66667</v>
      </c>
      <c r="B2881" s="2">
        <f>IFERROR(__xludf.DUMMYFUNCTION("""COMPUTED_VALUE"""),24.98)</f>
        <v>24.98</v>
      </c>
      <c r="C2881" s="2">
        <f>IFERROR(__xludf.DUMMYFUNCTION("""COMPUTED_VALUE"""),24.98)</f>
        <v>24.98</v>
      </c>
      <c r="D2881" s="2">
        <f>IFERROR(__xludf.DUMMYFUNCTION("""COMPUTED_VALUE"""),24.36)</f>
        <v>24.36</v>
      </c>
      <c r="E2881" s="2">
        <f>IFERROR(__xludf.DUMMYFUNCTION("""COMPUTED_VALUE"""),24.98)</f>
        <v>24.98</v>
      </c>
      <c r="F2881" s="2">
        <f>IFERROR(__xludf.DUMMYFUNCTION("""COMPUTED_VALUE"""),2242100.0)</f>
        <v>2242100</v>
      </c>
    </row>
    <row r="2882">
      <c r="A2882" s="3">
        <f>IFERROR(__xludf.DUMMYFUNCTION("""COMPUTED_VALUE"""),33381.666666666664)</f>
        <v>33381.66667</v>
      </c>
      <c r="B2882" s="2">
        <f>IFERROR(__xludf.DUMMYFUNCTION("""COMPUTED_VALUE"""),24.98)</f>
        <v>24.98</v>
      </c>
      <c r="C2882" s="2">
        <f>IFERROR(__xludf.DUMMYFUNCTION("""COMPUTED_VALUE"""),24.98)</f>
        <v>24.98</v>
      </c>
      <c r="D2882" s="2">
        <f>IFERROR(__xludf.DUMMYFUNCTION("""COMPUTED_VALUE"""),24.77)</f>
        <v>24.77</v>
      </c>
      <c r="E2882" s="2">
        <f>IFERROR(__xludf.DUMMYFUNCTION("""COMPUTED_VALUE"""),24.98)</f>
        <v>24.98</v>
      </c>
      <c r="F2882" s="2">
        <f>IFERROR(__xludf.DUMMYFUNCTION("""COMPUTED_VALUE"""),1381300.0)</f>
        <v>1381300</v>
      </c>
    </row>
    <row r="2883">
      <c r="A2883" s="3">
        <f>IFERROR(__xludf.DUMMYFUNCTION("""COMPUTED_VALUE"""),33382.666666666664)</f>
        <v>33382.66667</v>
      </c>
      <c r="B2883" s="2">
        <f>IFERROR(__xludf.DUMMYFUNCTION("""COMPUTED_VALUE"""),25.07)</f>
        <v>25.07</v>
      </c>
      <c r="C2883" s="2">
        <f>IFERROR(__xludf.DUMMYFUNCTION("""COMPUTED_VALUE"""),25.1)</f>
        <v>25.1</v>
      </c>
      <c r="D2883" s="2">
        <f>IFERROR(__xludf.DUMMYFUNCTION("""COMPUTED_VALUE"""),24.95)</f>
        <v>24.95</v>
      </c>
      <c r="E2883" s="2">
        <f>IFERROR(__xludf.DUMMYFUNCTION("""COMPUTED_VALUE"""),25.07)</f>
        <v>25.07</v>
      </c>
      <c r="F2883" s="2">
        <f>IFERROR(__xludf.DUMMYFUNCTION("""COMPUTED_VALUE"""),955100.0)</f>
        <v>955100</v>
      </c>
    </row>
    <row r="2884">
      <c r="A2884" s="3">
        <f>IFERROR(__xludf.DUMMYFUNCTION("""COMPUTED_VALUE"""),33386.666666666664)</f>
        <v>33386.66667</v>
      </c>
      <c r="B2884" s="2">
        <f>IFERROR(__xludf.DUMMYFUNCTION("""COMPUTED_VALUE"""),25.1)</f>
        <v>25.1</v>
      </c>
      <c r="C2884" s="2">
        <f>IFERROR(__xludf.DUMMYFUNCTION("""COMPUTED_VALUE"""),25.16)</f>
        <v>25.16</v>
      </c>
      <c r="D2884" s="2">
        <f>IFERROR(__xludf.DUMMYFUNCTION("""COMPUTED_VALUE"""),24.74)</f>
        <v>24.74</v>
      </c>
      <c r="E2884" s="2">
        <f>IFERROR(__xludf.DUMMYFUNCTION("""COMPUTED_VALUE"""),25.1)</f>
        <v>25.1</v>
      </c>
      <c r="F2884" s="2">
        <f>IFERROR(__xludf.DUMMYFUNCTION("""COMPUTED_VALUE"""),1441700.0)</f>
        <v>1441700</v>
      </c>
    </row>
    <row r="2885">
      <c r="A2885" s="3">
        <f>IFERROR(__xludf.DUMMYFUNCTION("""COMPUTED_VALUE"""),33387.666666666664)</f>
        <v>33387.66667</v>
      </c>
      <c r="B2885" s="2">
        <f>IFERROR(__xludf.DUMMYFUNCTION("""COMPUTED_VALUE"""),24.86)</f>
        <v>24.86</v>
      </c>
      <c r="C2885" s="2">
        <f>IFERROR(__xludf.DUMMYFUNCTION("""COMPUTED_VALUE"""),24.98)</f>
        <v>24.98</v>
      </c>
      <c r="D2885" s="2">
        <f>IFERROR(__xludf.DUMMYFUNCTION("""COMPUTED_VALUE"""),24.77)</f>
        <v>24.77</v>
      </c>
      <c r="E2885" s="2">
        <f>IFERROR(__xludf.DUMMYFUNCTION("""COMPUTED_VALUE"""),24.86)</f>
        <v>24.86</v>
      </c>
      <c r="F2885" s="2">
        <f>IFERROR(__xludf.DUMMYFUNCTION("""COMPUTED_VALUE"""),1652200.0)</f>
        <v>1652200</v>
      </c>
    </row>
    <row r="2886">
      <c r="A2886" s="3">
        <f>IFERROR(__xludf.DUMMYFUNCTION("""COMPUTED_VALUE"""),33388.666666666664)</f>
        <v>33388.66667</v>
      </c>
      <c r="B2886" s="2">
        <f>IFERROR(__xludf.DUMMYFUNCTION("""COMPUTED_VALUE"""),24.92)</f>
        <v>24.92</v>
      </c>
      <c r="C2886" s="2">
        <f>IFERROR(__xludf.DUMMYFUNCTION("""COMPUTED_VALUE"""),25.1)</f>
        <v>25.1</v>
      </c>
      <c r="D2886" s="2">
        <f>IFERROR(__xludf.DUMMYFUNCTION("""COMPUTED_VALUE"""),24.74)</f>
        <v>24.74</v>
      </c>
      <c r="E2886" s="2">
        <f>IFERROR(__xludf.DUMMYFUNCTION("""COMPUTED_VALUE"""),24.92)</f>
        <v>24.92</v>
      </c>
      <c r="F2886" s="2">
        <f>IFERROR(__xludf.DUMMYFUNCTION("""COMPUTED_VALUE"""),1429100.0)</f>
        <v>1429100</v>
      </c>
    </row>
    <row r="2887">
      <c r="A2887" s="3">
        <f>IFERROR(__xludf.DUMMYFUNCTION("""COMPUTED_VALUE"""),33389.666666666664)</f>
        <v>33389.66667</v>
      </c>
      <c r="B2887" s="2">
        <f>IFERROR(__xludf.DUMMYFUNCTION("""COMPUTED_VALUE"""),25.34)</f>
        <v>25.34</v>
      </c>
      <c r="C2887" s="2">
        <f>IFERROR(__xludf.DUMMYFUNCTION("""COMPUTED_VALUE"""),25.43)</f>
        <v>25.43</v>
      </c>
      <c r="D2887" s="2">
        <f>IFERROR(__xludf.DUMMYFUNCTION("""COMPUTED_VALUE"""),24.77)</f>
        <v>24.77</v>
      </c>
      <c r="E2887" s="2">
        <f>IFERROR(__xludf.DUMMYFUNCTION("""COMPUTED_VALUE"""),25.34)</f>
        <v>25.34</v>
      </c>
      <c r="F2887" s="2">
        <f>IFERROR(__xludf.DUMMYFUNCTION("""COMPUTED_VALUE"""),1765000.0)</f>
        <v>1765000</v>
      </c>
    </row>
    <row r="2888">
      <c r="A2888" s="3">
        <f>IFERROR(__xludf.DUMMYFUNCTION("""COMPUTED_VALUE"""),33392.666666666664)</f>
        <v>33392.66667</v>
      </c>
      <c r="B2888" s="2">
        <f>IFERROR(__xludf.DUMMYFUNCTION("""COMPUTED_VALUE"""),25.4)</f>
        <v>25.4</v>
      </c>
      <c r="C2888" s="2">
        <f>IFERROR(__xludf.DUMMYFUNCTION("""COMPUTED_VALUE"""),25.64)</f>
        <v>25.64</v>
      </c>
      <c r="D2888" s="2">
        <f>IFERROR(__xludf.DUMMYFUNCTION("""COMPUTED_VALUE"""),25.25)</f>
        <v>25.25</v>
      </c>
      <c r="E2888" s="2">
        <f>IFERROR(__xludf.DUMMYFUNCTION("""COMPUTED_VALUE"""),25.4)</f>
        <v>25.4</v>
      </c>
      <c r="F2888" s="2">
        <f>IFERROR(__xludf.DUMMYFUNCTION("""COMPUTED_VALUE"""),1321800.0)</f>
        <v>1321800</v>
      </c>
    </row>
    <row r="2889">
      <c r="A2889" s="3">
        <f>IFERROR(__xludf.DUMMYFUNCTION("""COMPUTED_VALUE"""),33393.666666666664)</f>
        <v>33393.66667</v>
      </c>
      <c r="B2889" s="2">
        <f>IFERROR(__xludf.DUMMYFUNCTION("""COMPUTED_VALUE"""),25.07)</f>
        <v>25.07</v>
      </c>
      <c r="C2889" s="2">
        <f>IFERROR(__xludf.DUMMYFUNCTION("""COMPUTED_VALUE"""),25.31)</f>
        <v>25.31</v>
      </c>
      <c r="D2889" s="2">
        <f>IFERROR(__xludf.DUMMYFUNCTION("""COMPUTED_VALUE"""),24.98)</f>
        <v>24.98</v>
      </c>
      <c r="E2889" s="2">
        <f>IFERROR(__xludf.DUMMYFUNCTION("""COMPUTED_VALUE"""),25.07)</f>
        <v>25.07</v>
      </c>
      <c r="F2889" s="2">
        <f>IFERROR(__xludf.DUMMYFUNCTION("""COMPUTED_VALUE"""),1220600.0)</f>
        <v>1220600</v>
      </c>
    </row>
    <row r="2890">
      <c r="A2890" s="3">
        <f>IFERROR(__xludf.DUMMYFUNCTION("""COMPUTED_VALUE"""),33394.666666666664)</f>
        <v>33394.66667</v>
      </c>
      <c r="B2890" s="2">
        <f>IFERROR(__xludf.DUMMYFUNCTION("""COMPUTED_VALUE"""),24.66)</f>
        <v>24.66</v>
      </c>
      <c r="C2890" s="2">
        <f>IFERROR(__xludf.DUMMYFUNCTION("""COMPUTED_VALUE"""),25.19)</f>
        <v>25.19</v>
      </c>
      <c r="D2890" s="2">
        <f>IFERROR(__xludf.DUMMYFUNCTION("""COMPUTED_VALUE"""),24.63)</f>
        <v>24.63</v>
      </c>
      <c r="E2890" s="2">
        <f>IFERROR(__xludf.DUMMYFUNCTION("""COMPUTED_VALUE"""),24.66)</f>
        <v>24.66</v>
      </c>
      <c r="F2890" s="2">
        <f>IFERROR(__xludf.DUMMYFUNCTION("""COMPUTED_VALUE"""),1487200.0)</f>
        <v>1487200</v>
      </c>
    </row>
    <row r="2891">
      <c r="A2891" s="3">
        <f>IFERROR(__xludf.DUMMYFUNCTION("""COMPUTED_VALUE"""),33395.666666666664)</f>
        <v>33395.66667</v>
      </c>
      <c r="B2891" s="2">
        <f>IFERROR(__xludf.DUMMYFUNCTION("""COMPUTED_VALUE"""),24.6)</f>
        <v>24.6</v>
      </c>
      <c r="C2891" s="2">
        <f>IFERROR(__xludf.DUMMYFUNCTION("""COMPUTED_VALUE"""),24.74)</f>
        <v>24.74</v>
      </c>
      <c r="D2891" s="2">
        <f>IFERROR(__xludf.DUMMYFUNCTION("""COMPUTED_VALUE"""),24.45)</f>
        <v>24.45</v>
      </c>
      <c r="E2891" s="2">
        <f>IFERROR(__xludf.DUMMYFUNCTION("""COMPUTED_VALUE"""),24.6)</f>
        <v>24.6</v>
      </c>
      <c r="F2891" s="2">
        <f>IFERROR(__xludf.DUMMYFUNCTION("""COMPUTED_VALUE"""),1354200.0)</f>
        <v>1354200</v>
      </c>
    </row>
    <row r="2892">
      <c r="A2892" s="3">
        <f>IFERROR(__xludf.DUMMYFUNCTION("""COMPUTED_VALUE"""),33396.666666666664)</f>
        <v>33396.66667</v>
      </c>
      <c r="B2892" s="2">
        <f>IFERROR(__xludf.DUMMYFUNCTION("""COMPUTED_VALUE"""),24.36)</f>
        <v>24.36</v>
      </c>
      <c r="C2892" s="2">
        <f>IFERROR(__xludf.DUMMYFUNCTION("""COMPUTED_VALUE"""),24.6)</f>
        <v>24.6</v>
      </c>
      <c r="D2892" s="2">
        <f>IFERROR(__xludf.DUMMYFUNCTION("""COMPUTED_VALUE"""),24.21)</f>
        <v>24.21</v>
      </c>
      <c r="E2892" s="2">
        <f>IFERROR(__xludf.DUMMYFUNCTION("""COMPUTED_VALUE"""),24.36)</f>
        <v>24.36</v>
      </c>
      <c r="F2892" s="2">
        <f>IFERROR(__xludf.DUMMYFUNCTION("""COMPUTED_VALUE"""),1760400.0)</f>
        <v>1760400</v>
      </c>
    </row>
    <row r="2893">
      <c r="A2893" s="3">
        <f>IFERROR(__xludf.DUMMYFUNCTION("""COMPUTED_VALUE"""),33399.666666666664)</f>
        <v>33399.66667</v>
      </c>
      <c r="B2893" s="2">
        <f>IFERROR(__xludf.DUMMYFUNCTION("""COMPUTED_VALUE"""),24.45)</f>
        <v>24.45</v>
      </c>
      <c r="C2893" s="2">
        <f>IFERROR(__xludf.DUMMYFUNCTION("""COMPUTED_VALUE"""),24.69)</f>
        <v>24.69</v>
      </c>
      <c r="D2893" s="2">
        <f>IFERROR(__xludf.DUMMYFUNCTION("""COMPUTED_VALUE"""),24.39)</f>
        <v>24.39</v>
      </c>
      <c r="E2893" s="2">
        <f>IFERROR(__xludf.DUMMYFUNCTION("""COMPUTED_VALUE"""),24.45)</f>
        <v>24.45</v>
      </c>
      <c r="F2893" s="2">
        <f>IFERROR(__xludf.DUMMYFUNCTION("""COMPUTED_VALUE"""),985300.0)</f>
        <v>985300</v>
      </c>
    </row>
    <row r="2894">
      <c r="A2894" s="3">
        <f>IFERROR(__xludf.DUMMYFUNCTION("""COMPUTED_VALUE"""),33400.666666666664)</f>
        <v>33400.66667</v>
      </c>
      <c r="B2894" s="2">
        <f>IFERROR(__xludf.DUMMYFUNCTION("""COMPUTED_VALUE"""),24.42)</f>
        <v>24.42</v>
      </c>
      <c r="C2894" s="2">
        <f>IFERROR(__xludf.DUMMYFUNCTION("""COMPUTED_VALUE"""),24.71)</f>
        <v>24.71</v>
      </c>
      <c r="D2894" s="2">
        <f>IFERROR(__xludf.DUMMYFUNCTION("""COMPUTED_VALUE"""),24.39)</f>
        <v>24.39</v>
      </c>
      <c r="E2894" s="2">
        <f>IFERROR(__xludf.DUMMYFUNCTION("""COMPUTED_VALUE"""),24.42)</f>
        <v>24.42</v>
      </c>
      <c r="F2894" s="2">
        <f>IFERROR(__xludf.DUMMYFUNCTION("""COMPUTED_VALUE"""),1137000.0)</f>
        <v>1137000</v>
      </c>
    </row>
    <row r="2895">
      <c r="A2895" s="3">
        <f>IFERROR(__xludf.DUMMYFUNCTION("""COMPUTED_VALUE"""),33401.666666666664)</f>
        <v>33401.66667</v>
      </c>
      <c r="B2895" s="2">
        <f>IFERROR(__xludf.DUMMYFUNCTION("""COMPUTED_VALUE"""),24.24)</f>
        <v>24.24</v>
      </c>
      <c r="C2895" s="2">
        <f>IFERROR(__xludf.DUMMYFUNCTION("""COMPUTED_VALUE"""),24.36)</f>
        <v>24.36</v>
      </c>
      <c r="D2895" s="2">
        <f>IFERROR(__xludf.DUMMYFUNCTION("""COMPUTED_VALUE"""),24.03)</f>
        <v>24.03</v>
      </c>
      <c r="E2895" s="2">
        <f>IFERROR(__xludf.DUMMYFUNCTION("""COMPUTED_VALUE"""),24.24)</f>
        <v>24.24</v>
      </c>
      <c r="F2895" s="2">
        <f>IFERROR(__xludf.DUMMYFUNCTION("""COMPUTED_VALUE"""),1879600.0)</f>
        <v>1879600</v>
      </c>
    </row>
    <row r="2896">
      <c r="A2896" s="3">
        <f>IFERROR(__xludf.DUMMYFUNCTION("""COMPUTED_VALUE"""),33402.666666666664)</f>
        <v>33402.66667</v>
      </c>
      <c r="B2896" s="2">
        <f>IFERROR(__xludf.DUMMYFUNCTION("""COMPUTED_VALUE"""),24.03)</f>
        <v>24.03</v>
      </c>
      <c r="C2896" s="2">
        <f>IFERROR(__xludf.DUMMYFUNCTION("""COMPUTED_VALUE"""),24.21)</f>
        <v>24.21</v>
      </c>
      <c r="D2896" s="2">
        <f>IFERROR(__xludf.DUMMYFUNCTION("""COMPUTED_VALUE"""),23.91)</f>
        <v>23.91</v>
      </c>
      <c r="E2896" s="2">
        <f>IFERROR(__xludf.DUMMYFUNCTION("""COMPUTED_VALUE"""),24.03)</f>
        <v>24.03</v>
      </c>
      <c r="F2896" s="2">
        <f>IFERROR(__xludf.DUMMYFUNCTION("""COMPUTED_VALUE"""),1896100.0)</f>
        <v>1896100</v>
      </c>
    </row>
    <row r="2897">
      <c r="A2897" s="3">
        <f>IFERROR(__xludf.DUMMYFUNCTION("""COMPUTED_VALUE"""),33403.666666666664)</f>
        <v>33403.66667</v>
      </c>
      <c r="B2897" s="2">
        <f>IFERROR(__xludf.DUMMYFUNCTION("""COMPUTED_VALUE"""),23.97)</f>
        <v>23.97</v>
      </c>
      <c r="C2897" s="2">
        <f>IFERROR(__xludf.DUMMYFUNCTION("""COMPUTED_VALUE"""),24.27)</f>
        <v>24.27</v>
      </c>
      <c r="D2897" s="2">
        <f>IFERROR(__xludf.DUMMYFUNCTION("""COMPUTED_VALUE"""),23.85)</f>
        <v>23.85</v>
      </c>
      <c r="E2897" s="2">
        <f>IFERROR(__xludf.DUMMYFUNCTION("""COMPUTED_VALUE"""),23.97)</f>
        <v>23.97</v>
      </c>
      <c r="F2897" s="2">
        <f>IFERROR(__xludf.DUMMYFUNCTION("""COMPUTED_VALUE"""),2362000.0)</f>
        <v>2362000</v>
      </c>
    </row>
    <row r="2898">
      <c r="A2898" s="3">
        <f>IFERROR(__xludf.DUMMYFUNCTION("""COMPUTED_VALUE"""),33406.666666666664)</f>
        <v>33406.66667</v>
      </c>
      <c r="B2898" s="2">
        <f>IFERROR(__xludf.DUMMYFUNCTION("""COMPUTED_VALUE"""),23.76)</f>
        <v>23.76</v>
      </c>
      <c r="C2898" s="2">
        <f>IFERROR(__xludf.DUMMYFUNCTION("""COMPUTED_VALUE"""),23.88)</f>
        <v>23.88</v>
      </c>
      <c r="D2898" s="2">
        <f>IFERROR(__xludf.DUMMYFUNCTION("""COMPUTED_VALUE"""),23.76)</f>
        <v>23.76</v>
      </c>
      <c r="E2898" s="2">
        <f>IFERROR(__xludf.DUMMYFUNCTION("""COMPUTED_VALUE"""),23.76)</f>
        <v>23.76</v>
      </c>
      <c r="F2898" s="2">
        <f>IFERROR(__xludf.DUMMYFUNCTION("""COMPUTED_VALUE"""),1627500.0)</f>
        <v>1627500</v>
      </c>
    </row>
    <row r="2899">
      <c r="A2899" s="3">
        <f>IFERROR(__xludf.DUMMYFUNCTION("""COMPUTED_VALUE"""),33407.666666666664)</f>
        <v>33407.66667</v>
      </c>
      <c r="B2899" s="2">
        <f>IFERROR(__xludf.DUMMYFUNCTION("""COMPUTED_VALUE"""),24.09)</f>
        <v>24.09</v>
      </c>
      <c r="C2899" s="2">
        <f>IFERROR(__xludf.DUMMYFUNCTION("""COMPUTED_VALUE"""),24.12)</f>
        <v>24.12</v>
      </c>
      <c r="D2899" s="2">
        <f>IFERROR(__xludf.DUMMYFUNCTION("""COMPUTED_VALUE"""),23.82)</f>
        <v>23.82</v>
      </c>
      <c r="E2899" s="2">
        <f>IFERROR(__xludf.DUMMYFUNCTION("""COMPUTED_VALUE"""),24.09)</f>
        <v>24.09</v>
      </c>
      <c r="F2899" s="2">
        <f>IFERROR(__xludf.DUMMYFUNCTION("""COMPUTED_VALUE"""),1736400.0)</f>
        <v>1736400</v>
      </c>
    </row>
    <row r="2900">
      <c r="A2900" s="3">
        <f>IFERROR(__xludf.DUMMYFUNCTION("""COMPUTED_VALUE"""),33408.666666666664)</f>
        <v>33408.66667</v>
      </c>
      <c r="B2900" s="2">
        <f>IFERROR(__xludf.DUMMYFUNCTION("""COMPUTED_VALUE"""),24.12)</f>
        <v>24.12</v>
      </c>
      <c r="C2900" s="2">
        <f>IFERROR(__xludf.DUMMYFUNCTION("""COMPUTED_VALUE"""),24.18)</f>
        <v>24.18</v>
      </c>
      <c r="D2900" s="2">
        <f>IFERROR(__xludf.DUMMYFUNCTION("""COMPUTED_VALUE"""),23.88)</f>
        <v>23.88</v>
      </c>
      <c r="E2900" s="2">
        <f>IFERROR(__xludf.DUMMYFUNCTION("""COMPUTED_VALUE"""),24.12)</f>
        <v>24.12</v>
      </c>
      <c r="F2900" s="2">
        <f>IFERROR(__xludf.DUMMYFUNCTION("""COMPUTED_VALUE"""),2082800.0)</f>
        <v>2082800</v>
      </c>
    </row>
    <row r="2901">
      <c r="A2901" s="3">
        <f>IFERROR(__xludf.DUMMYFUNCTION("""COMPUTED_VALUE"""),33409.666666666664)</f>
        <v>33409.66667</v>
      </c>
      <c r="B2901" s="2">
        <f>IFERROR(__xludf.DUMMYFUNCTION("""COMPUTED_VALUE"""),23.67)</f>
        <v>23.67</v>
      </c>
      <c r="C2901" s="2">
        <f>IFERROR(__xludf.DUMMYFUNCTION("""COMPUTED_VALUE"""),23.7)</f>
        <v>23.7</v>
      </c>
      <c r="D2901" s="2">
        <f>IFERROR(__xludf.DUMMYFUNCTION("""COMPUTED_VALUE"""),23.19)</f>
        <v>23.19</v>
      </c>
      <c r="E2901" s="2">
        <f>IFERROR(__xludf.DUMMYFUNCTION("""COMPUTED_VALUE"""),23.67)</f>
        <v>23.67</v>
      </c>
      <c r="F2901" s="2">
        <f>IFERROR(__xludf.DUMMYFUNCTION("""COMPUTED_VALUE"""),4086000.0)</f>
        <v>4086000</v>
      </c>
    </row>
    <row r="2902">
      <c r="A2902" s="3">
        <f>IFERROR(__xludf.DUMMYFUNCTION("""COMPUTED_VALUE"""),33410.666666666664)</f>
        <v>33410.66667</v>
      </c>
      <c r="B2902" s="2">
        <f>IFERROR(__xludf.DUMMYFUNCTION("""COMPUTED_VALUE"""),23.79)</f>
        <v>23.79</v>
      </c>
      <c r="C2902" s="2">
        <f>IFERROR(__xludf.DUMMYFUNCTION("""COMPUTED_VALUE"""),23.88)</f>
        <v>23.88</v>
      </c>
      <c r="D2902" s="2">
        <f>IFERROR(__xludf.DUMMYFUNCTION("""COMPUTED_VALUE"""),23.67)</f>
        <v>23.67</v>
      </c>
      <c r="E2902" s="2">
        <f>IFERROR(__xludf.DUMMYFUNCTION("""COMPUTED_VALUE"""),23.79)</f>
        <v>23.79</v>
      </c>
      <c r="F2902" s="2">
        <f>IFERROR(__xludf.DUMMYFUNCTION("""COMPUTED_VALUE"""),3142400.0)</f>
        <v>3142400</v>
      </c>
    </row>
    <row r="2903">
      <c r="A2903" s="3">
        <f>IFERROR(__xludf.DUMMYFUNCTION("""COMPUTED_VALUE"""),33413.666666666664)</f>
        <v>33413.66667</v>
      </c>
      <c r="B2903" s="2">
        <f>IFERROR(__xludf.DUMMYFUNCTION("""COMPUTED_VALUE"""),23.49)</f>
        <v>23.49</v>
      </c>
      <c r="C2903" s="2">
        <f>IFERROR(__xludf.DUMMYFUNCTION("""COMPUTED_VALUE"""),23.79)</f>
        <v>23.79</v>
      </c>
      <c r="D2903" s="2">
        <f>IFERROR(__xludf.DUMMYFUNCTION("""COMPUTED_VALUE"""),23.46)</f>
        <v>23.46</v>
      </c>
      <c r="E2903" s="2">
        <f>IFERROR(__xludf.DUMMYFUNCTION("""COMPUTED_VALUE"""),23.49)</f>
        <v>23.49</v>
      </c>
      <c r="F2903" s="2">
        <f>IFERROR(__xludf.DUMMYFUNCTION("""COMPUTED_VALUE"""),2345600.0)</f>
        <v>2345600</v>
      </c>
    </row>
    <row r="2904">
      <c r="A2904" s="3">
        <f>IFERROR(__xludf.DUMMYFUNCTION("""COMPUTED_VALUE"""),33414.666666666664)</f>
        <v>33414.66667</v>
      </c>
      <c r="B2904" s="2">
        <f>IFERROR(__xludf.DUMMYFUNCTION("""COMPUTED_VALUE"""),23.73)</f>
        <v>23.73</v>
      </c>
      <c r="C2904" s="2">
        <f>IFERROR(__xludf.DUMMYFUNCTION("""COMPUTED_VALUE"""),23.79)</f>
        <v>23.79</v>
      </c>
      <c r="D2904" s="2">
        <f>IFERROR(__xludf.DUMMYFUNCTION("""COMPUTED_VALUE"""),23.46)</f>
        <v>23.46</v>
      </c>
      <c r="E2904" s="2">
        <f>IFERROR(__xludf.DUMMYFUNCTION("""COMPUTED_VALUE"""),23.73)</f>
        <v>23.73</v>
      </c>
      <c r="F2904" s="2">
        <f>IFERROR(__xludf.DUMMYFUNCTION("""COMPUTED_VALUE"""),1715300.0)</f>
        <v>1715300</v>
      </c>
    </row>
    <row r="2905">
      <c r="A2905" s="3">
        <f>IFERROR(__xludf.DUMMYFUNCTION("""COMPUTED_VALUE"""),33415.666666666664)</f>
        <v>33415.66667</v>
      </c>
      <c r="B2905" s="2">
        <f>IFERROR(__xludf.DUMMYFUNCTION("""COMPUTED_VALUE"""),23.55)</f>
        <v>23.55</v>
      </c>
      <c r="C2905" s="2">
        <f>IFERROR(__xludf.DUMMYFUNCTION("""COMPUTED_VALUE"""),23.73)</f>
        <v>23.73</v>
      </c>
      <c r="D2905" s="2">
        <f>IFERROR(__xludf.DUMMYFUNCTION("""COMPUTED_VALUE"""),23.43)</f>
        <v>23.43</v>
      </c>
      <c r="E2905" s="2">
        <f>IFERROR(__xludf.DUMMYFUNCTION("""COMPUTED_VALUE"""),23.55)</f>
        <v>23.55</v>
      </c>
      <c r="F2905" s="2">
        <f>IFERROR(__xludf.DUMMYFUNCTION("""COMPUTED_VALUE"""),1701100.0)</f>
        <v>1701100</v>
      </c>
    </row>
    <row r="2906">
      <c r="A2906" s="3">
        <f>IFERROR(__xludf.DUMMYFUNCTION("""COMPUTED_VALUE"""),33416.666666666664)</f>
        <v>33416.66667</v>
      </c>
      <c r="B2906" s="2">
        <f>IFERROR(__xludf.DUMMYFUNCTION("""COMPUTED_VALUE"""),23.31)</f>
        <v>23.31</v>
      </c>
      <c r="C2906" s="2">
        <f>IFERROR(__xludf.DUMMYFUNCTION("""COMPUTED_VALUE"""),23.58)</f>
        <v>23.58</v>
      </c>
      <c r="D2906" s="2">
        <f>IFERROR(__xludf.DUMMYFUNCTION("""COMPUTED_VALUE"""),23.25)</f>
        <v>23.25</v>
      </c>
      <c r="E2906" s="2">
        <f>IFERROR(__xludf.DUMMYFUNCTION("""COMPUTED_VALUE"""),23.31)</f>
        <v>23.31</v>
      </c>
      <c r="F2906" s="2">
        <f>IFERROR(__xludf.DUMMYFUNCTION("""COMPUTED_VALUE"""),1723100.0)</f>
        <v>1723100</v>
      </c>
    </row>
    <row r="2907">
      <c r="A2907" s="3">
        <f>IFERROR(__xludf.DUMMYFUNCTION("""COMPUTED_VALUE"""),33417.666666666664)</f>
        <v>33417.66667</v>
      </c>
      <c r="B2907" s="2">
        <f>IFERROR(__xludf.DUMMYFUNCTION("""COMPUTED_VALUE"""),23.19)</f>
        <v>23.19</v>
      </c>
      <c r="C2907" s="2">
        <f>IFERROR(__xludf.DUMMYFUNCTION("""COMPUTED_VALUE"""),23.34)</f>
        <v>23.34</v>
      </c>
      <c r="D2907" s="2">
        <f>IFERROR(__xludf.DUMMYFUNCTION("""COMPUTED_VALUE"""),23.07)</f>
        <v>23.07</v>
      </c>
      <c r="E2907" s="2">
        <f>IFERROR(__xludf.DUMMYFUNCTION("""COMPUTED_VALUE"""),23.19)</f>
        <v>23.19</v>
      </c>
      <c r="F2907" s="2">
        <f>IFERROR(__xludf.DUMMYFUNCTION("""COMPUTED_VALUE"""),1771600.0)</f>
        <v>1771600</v>
      </c>
    </row>
    <row r="2908">
      <c r="A2908" s="3">
        <f>IFERROR(__xludf.DUMMYFUNCTION("""COMPUTED_VALUE"""),33420.666666666664)</f>
        <v>33420.66667</v>
      </c>
      <c r="B2908" s="2">
        <f>IFERROR(__xludf.DUMMYFUNCTION("""COMPUTED_VALUE"""),23.49)</f>
        <v>23.49</v>
      </c>
      <c r="C2908" s="2">
        <f>IFERROR(__xludf.DUMMYFUNCTION("""COMPUTED_VALUE"""),23.55)</f>
        <v>23.55</v>
      </c>
      <c r="D2908" s="2">
        <f>IFERROR(__xludf.DUMMYFUNCTION("""COMPUTED_VALUE"""),23.25)</f>
        <v>23.25</v>
      </c>
      <c r="E2908" s="2">
        <f>IFERROR(__xludf.DUMMYFUNCTION("""COMPUTED_VALUE"""),23.49)</f>
        <v>23.49</v>
      </c>
      <c r="F2908" s="2">
        <f>IFERROR(__xludf.DUMMYFUNCTION("""COMPUTED_VALUE"""),1344600.0)</f>
        <v>1344600</v>
      </c>
    </row>
    <row r="2909">
      <c r="A2909" s="3">
        <f>IFERROR(__xludf.DUMMYFUNCTION("""COMPUTED_VALUE"""),33421.666666666664)</f>
        <v>33421.66667</v>
      </c>
      <c r="B2909" s="2">
        <f>IFERROR(__xludf.DUMMYFUNCTION("""COMPUTED_VALUE"""),23.67)</f>
        <v>23.67</v>
      </c>
      <c r="C2909" s="2">
        <f>IFERROR(__xludf.DUMMYFUNCTION("""COMPUTED_VALUE"""),23.73)</f>
        <v>23.73</v>
      </c>
      <c r="D2909" s="2">
        <f>IFERROR(__xludf.DUMMYFUNCTION("""COMPUTED_VALUE"""),23.43)</f>
        <v>23.43</v>
      </c>
      <c r="E2909" s="2">
        <f>IFERROR(__xludf.DUMMYFUNCTION("""COMPUTED_VALUE"""),23.67)</f>
        <v>23.67</v>
      </c>
      <c r="F2909" s="2">
        <f>IFERROR(__xludf.DUMMYFUNCTION("""COMPUTED_VALUE"""),1209600.0)</f>
        <v>1209600</v>
      </c>
    </row>
    <row r="2910">
      <c r="A2910" s="3">
        <f>IFERROR(__xludf.DUMMYFUNCTION("""COMPUTED_VALUE"""),33422.666666666664)</f>
        <v>33422.66667</v>
      </c>
      <c r="B2910" s="2">
        <f>IFERROR(__xludf.DUMMYFUNCTION("""COMPUTED_VALUE"""),23.43)</f>
        <v>23.43</v>
      </c>
      <c r="C2910" s="2">
        <f>IFERROR(__xludf.DUMMYFUNCTION("""COMPUTED_VALUE"""),23.61)</f>
        <v>23.61</v>
      </c>
      <c r="D2910" s="2">
        <f>IFERROR(__xludf.DUMMYFUNCTION("""COMPUTED_VALUE"""),23.43)</f>
        <v>23.43</v>
      </c>
      <c r="E2910" s="2">
        <f>IFERROR(__xludf.DUMMYFUNCTION("""COMPUTED_VALUE"""),23.43)</f>
        <v>23.43</v>
      </c>
      <c r="F2910" s="2">
        <f>IFERROR(__xludf.DUMMYFUNCTION("""COMPUTED_VALUE"""),967100.0)</f>
        <v>967100</v>
      </c>
    </row>
    <row r="2911">
      <c r="A2911" s="3">
        <f>IFERROR(__xludf.DUMMYFUNCTION("""COMPUTED_VALUE"""),33424.666666666664)</f>
        <v>33424.66667</v>
      </c>
      <c r="B2911" s="2">
        <f>IFERROR(__xludf.DUMMYFUNCTION("""COMPUTED_VALUE"""),23.55)</f>
        <v>23.55</v>
      </c>
      <c r="C2911" s="2">
        <f>IFERROR(__xludf.DUMMYFUNCTION("""COMPUTED_VALUE"""),23.7)</f>
        <v>23.7</v>
      </c>
      <c r="D2911" s="2">
        <f>IFERROR(__xludf.DUMMYFUNCTION("""COMPUTED_VALUE"""),23.37)</f>
        <v>23.37</v>
      </c>
      <c r="E2911" s="2">
        <f>IFERROR(__xludf.DUMMYFUNCTION("""COMPUTED_VALUE"""),23.55)</f>
        <v>23.55</v>
      </c>
      <c r="F2911" s="2">
        <f>IFERROR(__xludf.DUMMYFUNCTION("""COMPUTED_VALUE"""),785000.0)</f>
        <v>785000</v>
      </c>
    </row>
    <row r="2912">
      <c r="A2912" s="3">
        <f>IFERROR(__xludf.DUMMYFUNCTION("""COMPUTED_VALUE"""),33427.666666666664)</f>
        <v>33427.66667</v>
      </c>
      <c r="B2912" s="2">
        <f>IFERROR(__xludf.DUMMYFUNCTION("""COMPUTED_VALUE"""),24.0)</f>
        <v>24</v>
      </c>
      <c r="C2912" s="2">
        <f>IFERROR(__xludf.DUMMYFUNCTION("""COMPUTED_VALUE"""),24.0)</f>
        <v>24</v>
      </c>
      <c r="D2912" s="2">
        <f>IFERROR(__xludf.DUMMYFUNCTION("""COMPUTED_VALUE"""),23.34)</f>
        <v>23.34</v>
      </c>
      <c r="E2912" s="2">
        <f>IFERROR(__xludf.DUMMYFUNCTION("""COMPUTED_VALUE"""),24.0)</f>
        <v>24</v>
      </c>
      <c r="F2912" s="2">
        <f>IFERROR(__xludf.DUMMYFUNCTION("""COMPUTED_VALUE"""),1390500.0)</f>
        <v>1390500</v>
      </c>
    </row>
    <row r="2913">
      <c r="A2913" s="3">
        <f>IFERROR(__xludf.DUMMYFUNCTION("""COMPUTED_VALUE"""),33428.666666666664)</f>
        <v>33428.66667</v>
      </c>
      <c r="B2913" s="2">
        <f>IFERROR(__xludf.DUMMYFUNCTION("""COMPUTED_VALUE"""),23.76)</f>
        <v>23.76</v>
      </c>
      <c r="C2913" s="2">
        <f>IFERROR(__xludf.DUMMYFUNCTION("""COMPUTED_VALUE"""),24.09)</f>
        <v>24.09</v>
      </c>
      <c r="D2913" s="2">
        <f>IFERROR(__xludf.DUMMYFUNCTION("""COMPUTED_VALUE"""),23.7)</f>
        <v>23.7</v>
      </c>
      <c r="E2913" s="2">
        <f>IFERROR(__xludf.DUMMYFUNCTION("""COMPUTED_VALUE"""),23.76)</f>
        <v>23.76</v>
      </c>
      <c r="F2913" s="2">
        <f>IFERROR(__xludf.DUMMYFUNCTION("""COMPUTED_VALUE"""),1261700.0)</f>
        <v>1261700</v>
      </c>
    </row>
    <row r="2914">
      <c r="A2914" s="3">
        <f>IFERROR(__xludf.DUMMYFUNCTION("""COMPUTED_VALUE"""),33429.666666666664)</f>
        <v>33429.66667</v>
      </c>
      <c r="B2914" s="2">
        <f>IFERROR(__xludf.DUMMYFUNCTION("""COMPUTED_VALUE"""),23.58)</f>
        <v>23.58</v>
      </c>
      <c r="C2914" s="2">
        <f>IFERROR(__xludf.DUMMYFUNCTION("""COMPUTED_VALUE"""),23.97)</f>
        <v>23.97</v>
      </c>
      <c r="D2914" s="2">
        <f>IFERROR(__xludf.DUMMYFUNCTION("""COMPUTED_VALUE"""),23.52)</f>
        <v>23.52</v>
      </c>
      <c r="E2914" s="2">
        <f>IFERROR(__xludf.DUMMYFUNCTION("""COMPUTED_VALUE"""),23.58)</f>
        <v>23.58</v>
      </c>
      <c r="F2914" s="2">
        <f>IFERROR(__xludf.DUMMYFUNCTION("""COMPUTED_VALUE"""),1302500.0)</f>
        <v>1302500</v>
      </c>
    </row>
    <row r="2915">
      <c r="A2915" s="3">
        <f>IFERROR(__xludf.DUMMYFUNCTION("""COMPUTED_VALUE"""),33430.666666666664)</f>
        <v>33430.66667</v>
      </c>
      <c r="B2915" s="2">
        <f>IFERROR(__xludf.DUMMYFUNCTION("""COMPUTED_VALUE"""),23.46)</f>
        <v>23.46</v>
      </c>
      <c r="C2915" s="2">
        <f>IFERROR(__xludf.DUMMYFUNCTION("""COMPUTED_VALUE"""),23.64)</f>
        <v>23.64</v>
      </c>
      <c r="D2915" s="2">
        <f>IFERROR(__xludf.DUMMYFUNCTION("""COMPUTED_VALUE"""),23.4)</f>
        <v>23.4</v>
      </c>
      <c r="E2915" s="2">
        <f>IFERROR(__xludf.DUMMYFUNCTION("""COMPUTED_VALUE"""),23.46)</f>
        <v>23.46</v>
      </c>
      <c r="F2915" s="2">
        <f>IFERROR(__xludf.DUMMYFUNCTION("""COMPUTED_VALUE"""),1187300.0)</f>
        <v>1187300</v>
      </c>
    </row>
    <row r="2916">
      <c r="A2916" s="3">
        <f>IFERROR(__xludf.DUMMYFUNCTION("""COMPUTED_VALUE"""),33431.666666666664)</f>
        <v>33431.66667</v>
      </c>
      <c r="B2916" s="2">
        <f>IFERROR(__xludf.DUMMYFUNCTION("""COMPUTED_VALUE"""),23.73)</f>
        <v>23.73</v>
      </c>
      <c r="C2916" s="2">
        <f>IFERROR(__xludf.DUMMYFUNCTION("""COMPUTED_VALUE"""),23.82)</f>
        <v>23.82</v>
      </c>
      <c r="D2916" s="2">
        <f>IFERROR(__xludf.DUMMYFUNCTION("""COMPUTED_VALUE"""),23.46)</f>
        <v>23.46</v>
      </c>
      <c r="E2916" s="2">
        <f>IFERROR(__xludf.DUMMYFUNCTION("""COMPUTED_VALUE"""),23.73)</f>
        <v>23.73</v>
      </c>
      <c r="F2916" s="2">
        <f>IFERROR(__xludf.DUMMYFUNCTION("""COMPUTED_VALUE"""),1405400.0)</f>
        <v>1405400</v>
      </c>
    </row>
    <row r="2917">
      <c r="A2917" s="3">
        <f>IFERROR(__xludf.DUMMYFUNCTION("""COMPUTED_VALUE"""),33434.666666666664)</f>
        <v>33434.66667</v>
      </c>
      <c r="B2917" s="2">
        <f>IFERROR(__xludf.DUMMYFUNCTION("""COMPUTED_VALUE"""),23.7)</f>
        <v>23.7</v>
      </c>
      <c r="C2917" s="2">
        <f>IFERROR(__xludf.DUMMYFUNCTION("""COMPUTED_VALUE"""),23.85)</f>
        <v>23.85</v>
      </c>
      <c r="D2917" s="2">
        <f>IFERROR(__xludf.DUMMYFUNCTION("""COMPUTED_VALUE"""),23.7)</f>
        <v>23.7</v>
      </c>
      <c r="E2917" s="2">
        <f>IFERROR(__xludf.DUMMYFUNCTION("""COMPUTED_VALUE"""),23.7)</f>
        <v>23.7</v>
      </c>
      <c r="F2917" s="2">
        <f>IFERROR(__xludf.DUMMYFUNCTION("""COMPUTED_VALUE"""),852800.0)</f>
        <v>852800</v>
      </c>
    </row>
    <row r="2918">
      <c r="A2918" s="3">
        <f>IFERROR(__xludf.DUMMYFUNCTION("""COMPUTED_VALUE"""),33435.666666666664)</f>
        <v>33435.66667</v>
      </c>
      <c r="B2918" s="2">
        <f>IFERROR(__xludf.DUMMYFUNCTION("""COMPUTED_VALUE"""),23.07)</f>
        <v>23.07</v>
      </c>
      <c r="C2918" s="2">
        <f>IFERROR(__xludf.DUMMYFUNCTION("""COMPUTED_VALUE"""),23.76)</f>
        <v>23.76</v>
      </c>
      <c r="D2918" s="2">
        <f>IFERROR(__xludf.DUMMYFUNCTION("""COMPUTED_VALUE"""),22.92)</f>
        <v>22.92</v>
      </c>
      <c r="E2918" s="2">
        <f>IFERROR(__xludf.DUMMYFUNCTION("""COMPUTED_VALUE"""),23.07)</f>
        <v>23.07</v>
      </c>
      <c r="F2918" s="2">
        <f>IFERROR(__xludf.DUMMYFUNCTION("""COMPUTED_VALUE"""),2200800.0)</f>
        <v>2200800</v>
      </c>
    </row>
    <row r="2919">
      <c r="A2919" s="3">
        <f>IFERROR(__xludf.DUMMYFUNCTION("""COMPUTED_VALUE"""),33436.666666666664)</f>
        <v>33436.66667</v>
      </c>
      <c r="B2919" s="2">
        <f>IFERROR(__xludf.DUMMYFUNCTION("""COMPUTED_VALUE"""),22.98)</f>
        <v>22.98</v>
      </c>
      <c r="C2919" s="2">
        <f>IFERROR(__xludf.DUMMYFUNCTION("""COMPUTED_VALUE"""),23.13)</f>
        <v>23.13</v>
      </c>
      <c r="D2919" s="2">
        <f>IFERROR(__xludf.DUMMYFUNCTION("""COMPUTED_VALUE"""),22.95)</f>
        <v>22.95</v>
      </c>
      <c r="E2919" s="2">
        <f>IFERROR(__xludf.DUMMYFUNCTION("""COMPUTED_VALUE"""),22.98)</f>
        <v>22.98</v>
      </c>
      <c r="F2919" s="2">
        <f>IFERROR(__xludf.DUMMYFUNCTION("""COMPUTED_VALUE"""),1547200.0)</f>
        <v>1547200</v>
      </c>
    </row>
    <row r="2920">
      <c r="A2920" s="3">
        <f>IFERROR(__xludf.DUMMYFUNCTION("""COMPUTED_VALUE"""),33437.666666666664)</f>
        <v>33437.66667</v>
      </c>
      <c r="B2920" s="2">
        <f>IFERROR(__xludf.DUMMYFUNCTION("""COMPUTED_VALUE"""),23.46)</f>
        <v>23.46</v>
      </c>
      <c r="C2920" s="2">
        <f>IFERROR(__xludf.DUMMYFUNCTION("""COMPUTED_VALUE"""),23.49)</f>
        <v>23.49</v>
      </c>
      <c r="D2920" s="2">
        <f>IFERROR(__xludf.DUMMYFUNCTION("""COMPUTED_VALUE"""),22.83)</f>
        <v>22.83</v>
      </c>
      <c r="E2920" s="2">
        <f>IFERROR(__xludf.DUMMYFUNCTION("""COMPUTED_VALUE"""),23.46)</f>
        <v>23.46</v>
      </c>
      <c r="F2920" s="2">
        <f>IFERROR(__xludf.DUMMYFUNCTION("""COMPUTED_VALUE"""),2359200.0)</f>
        <v>2359200</v>
      </c>
    </row>
    <row r="2921">
      <c r="A2921" s="3">
        <f>IFERROR(__xludf.DUMMYFUNCTION("""COMPUTED_VALUE"""),33438.666666666664)</f>
        <v>33438.66667</v>
      </c>
      <c r="B2921" s="2">
        <f>IFERROR(__xludf.DUMMYFUNCTION("""COMPUTED_VALUE"""),24.0)</f>
        <v>24</v>
      </c>
      <c r="C2921" s="2">
        <f>IFERROR(__xludf.DUMMYFUNCTION("""COMPUTED_VALUE"""),24.09)</f>
        <v>24.09</v>
      </c>
      <c r="D2921" s="2">
        <f>IFERROR(__xludf.DUMMYFUNCTION("""COMPUTED_VALUE"""),23.52)</f>
        <v>23.52</v>
      </c>
      <c r="E2921" s="2">
        <f>IFERROR(__xludf.DUMMYFUNCTION("""COMPUTED_VALUE"""),24.0)</f>
        <v>24</v>
      </c>
      <c r="F2921" s="2">
        <f>IFERROR(__xludf.DUMMYFUNCTION("""COMPUTED_VALUE"""),2572600.0)</f>
        <v>2572600</v>
      </c>
    </row>
    <row r="2922">
      <c r="A2922" s="3">
        <f>IFERROR(__xludf.DUMMYFUNCTION("""COMPUTED_VALUE"""),33441.666666666664)</f>
        <v>33441.66667</v>
      </c>
      <c r="B2922" s="2">
        <f>IFERROR(__xludf.DUMMYFUNCTION("""COMPUTED_VALUE"""),24.36)</f>
        <v>24.36</v>
      </c>
      <c r="C2922" s="2">
        <f>IFERROR(__xludf.DUMMYFUNCTION("""COMPUTED_VALUE"""),24.39)</f>
        <v>24.39</v>
      </c>
      <c r="D2922" s="2">
        <f>IFERROR(__xludf.DUMMYFUNCTION("""COMPUTED_VALUE"""),24.09)</f>
        <v>24.09</v>
      </c>
      <c r="E2922" s="2">
        <f>IFERROR(__xludf.DUMMYFUNCTION("""COMPUTED_VALUE"""),24.36)</f>
        <v>24.36</v>
      </c>
      <c r="F2922" s="2">
        <f>IFERROR(__xludf.DUMMYFUNCTION("""COMPUTED_VALUE"""),1855800.0)</f>
        <v>1855800</v>
      </c>
    </row>
    <row r="2923">
      <c r="A2923" s="3">
        <f>IFERROR(__xludf.DUMMYFUNCTION("""COMPUTED_VALUE"""),33442.666666666664)</f>
        <v>33442.66667</v>
      </c>
      <c r="B2923" s="2">
        <f>IFERROR(__xludf.DUMMYFUNCTION("""COMPUTED_VALUE"""),24.03)</f>
        <v>24.03</v>
      </c>
      <c r="C2923" s="2">
        <f>IFERROR(__xludf.DUMMYFUNCTION("""COMPUTED_VALUE"""),24.6)</f>
        <v>24.6</v>
      </c>
      <c r="D2923" s="2">
        <f>IFERROR(__xludf.DUMMYFUNCTION("""COMPUTED_VALUE"""),24.03)</f>
        <v>24.03</v>
      </c>
      <c r="E2923" s="2">
        <f>IFERROR(__xludf.DUMMYFUNCTION("""COMPUTED_VALUE"""),24.03)</f>
        <v>24.03</v>
      </c>
      <c r="F2923" s="2">
        <f>IFERROR(__xludf.DUMMYFUNCTION("""COMPUTED_VALUE"""),1313200.0)</f>
        <v>1313200</v>
      </c>
    </row>
    <row r="2924">
      <c r="A2924" s="3">
        <f>IFERROR(__xludf.DUMMYFUNCTION("""COMPUTED_VALUE"""),33443.666666666664)</f>
        <v>33443.66667</v>
      </c>
      <c r="B2924" s="2">
        <f>IFERROR(__xludf.DUMMYFUNCTION("""COMPUTED_VALUE"""),24.06)</f>
        <v>24.06</v>
      </c>
      <c r="C2924" s="2">
        <f>IFERROR(__xludf.DUMMYFUNCTION("""COMPUTED_VALUE"""),24.21)</f>
        <v>24.21</v>
      </c>
      <c r="D2924" s="2">
        <f>IFERROR(__xludf.DUMMYFUNCTION("""COMPUTED_VALUE"""),23.88)</f>
        <v>23.88</v>
      </c>
      <c r="E2924" s="2">
        <f>IFERROR(__xludf.DUMMYFUNCTION("""COMPUTED_VALUE"""),24.06)</f>
        <v>24.06</v>
      </c>
      <c r="F2924" s="2">
        <f>IFERROR(__xludf.DUMMYFUNCTION("""COMPUTED_VALUE"""),1081600.0)</f>
        <v>1081600</v>
      </c>
    </row>
    <row r="2925">
      <c r="A2925" s="3">
        <f>IFERROR(__xludf.DUMMYFUNCTION("""COMPUTED_VALUE"""),33444.666666666664)</f>
        <v>33444.66667</v>
      </c>
      <c r="B2925" s="2">
        <f>IFERROR(__xludf.DUMMYFUNCTION("""COMPUTED_VALUE"""),24.0)</f>
        <v>24</v>
      </c>
      <c r="C2925" s="2">
        <f>IFERROR(__xludf.DUMMYFUNCTION("""COMPUTED_VALUE"""),24.27)</f>
        <v>24.27</v>
      </c>
      <c r="D2925" s="2">
        <f>IFERROR(__xludf.DUMMYFUNCTION("""COMPUTED_VALUE"""),24.0)</f>
        <v>24</v>
      </c>
      <c r="E2925" s="2">
        <f>IFERROR(__xludf.DUMMYFUNCTION("""COMPUTED_VALUE"""),24.0)</f>
        <v>24</v>
      </c>
      <c r="F2925" s="2">
        <f>IFERROR(__xludf.DUMMYFUNCTION("""COMPUTED_VALUE"""),844500.0)</f>
        <v>844500</v>
      </c>
    </row>
    <row r="2926">
      <c r="A2926" s="3">
        <f>IFERROR(__xludf.DUMMYFUNCTION("""COMPUTED_VALUE"""),33445.666666666664)</f>
        <v>33445.66667</v>
      </c>
      <c r="B2926" s="2">
        <f>IFERROR(__xludf.DUMMYFUNCTION("""COMPUTED_VALUE"""),24.0)</f>
        <v>24</v>
      </c>
      <c r="C2926" s="2">
        <f>IFERROR(__xludf.DUMMYFUNCTION("""COMPUTED_VALUE"""),24.12)</f>
        <v>24.12</v>
      </c>
      <c r="D2926" s="2">
        <f>IFERROR(__xludf.DUMMYFUNCTION("""COMPUTED_VALUE"""),23.91)</f>
        <v>23.91</v>
      </c>
      <c r="E2926" s="2">
        <f>IFERROR(__xludf.DUMMYFUNCTION("""COMPUTED_VALUE"""),24.0)</f>
        <v>24</v>
      </c>
      <c r="F2926" s="2">
        <f>IFERROR(__xludf.DUMMYFUNCTION("""COMPUTED_VALUE"""),640200.0)</f>
        <v>640200</v>
      </c>
    </row>
    <row r="2927">
      <c r="A2927" s="3">
        <f>IFERROR(__xludf.DUMMYFUNCTION("""COMPUTED_VALUE"""),33448.666666666664)</f>
        <v>33448.66667</v>
      </c>
      <c r="B2927" s="2">
        <f>IFERROR(__xludf.DUMMYFUNCTION("""COMPUTED_VALUE"""),24.21)</f>
        <v>24.21</v>
      </c>
      <c r="C2927" s="2">
        <f>IFERROR(__xludf.DUMMYFUNCTION("""COMPUTED_VALUE"""),24.21)</f>
        <v>24.21</v>
      </c>
      <c r="D2927" s="2">
        <f>IFERROR(__xludf.DUMMYFUNCTION("""COMPUTED_VALUE"""),23.97)</f>
        <v>23.97</v>
      </c>
      <c r="E2927" s="2">
        <f>IFERROR(__xludf.DUMMYFUNCTION("""COMPUTED_VALUE"""),24.21)</f>
        <v>24.21</v>
      </c>
      <c r="F2927" s="2">
        <f>IFERROR(__xludf.DUMMYFUNCTION("""COMPUTED_VALUE"""),831100.0)</f>
        <v>831100</v>
      </c>
    </row>
    <row r="2928">
      <c r="A2928" s="3">
        <f>IFERROR(__xludf.DUMMYFUNCTION("""COMPUTED_VALUE"""),33449.666666666664)</f>
        <v>33449.66667</v>
      </c>
      <c r="B2928" s="2">
        <f>IFERROR(__xludf.DUMMYFUNCTION("""COMPUTED_VALUE"""),24.27)</f>
        <v>24.27</v>
      </c>
      <c r="C2928" s="2">
        <f>IFERROR(__xludf.DUMMYFUNCTION("""COMPUTED_VALUE"""),24.36)</f>
        <v>24.36</v>
      </c>
      <c r="D2928" s="2">
        <f>IFERROR(__xludf.DUMMYFUNCTION("""COMPUTED_VALUE"""),23.97)</f>
        <v>23.97</v>
      </c>
      <c r="E2928" s="2">
        <f>IFERROR(__xludf.DUMMYFUNCTION("""COMPUTED_VALUE"""),24.27)</f>
        <v>24.27</v>
      </c>
      <c r="F2928" s="2">
        <f>IFERROR(__xludf.DUMMYFUNCTION("""COMPUTED_VALUE"""),1080100.0)</f>
        <v>1080100</v>
      </c>
    </row>
    <row r="2929">
      <c r="A2929" s="3">
        <f>IFERROR(__xludf.DUMMYFUNCTION("""COMPUTED_VALUE"""),33450.666666666664)</f>
        <v>33450.66667</v>
      </c>
      <c r="B2929" s="2">
        <f>IFERROR(__xludf.DUMMYFUNCTION("""COMPUTED_VALUE"""),24.18)</f>
        <v>24.18</v>
      </c>
      <c r="C2929" s="2">
        <f>IFERROR(__xludf.DUMMYFUNCTION("""COMPUTED_VALUE"""),24.39)</f>
        <v>24.39</v>
      </c>
      <c r="D2929" s="2">
        <f>IFERROR(__xludf.DUMMYFUNCTION("""COMPUTED_VALUE"""),24.15)</f>
        <v>24.15</v>
      </c>
      <c r="E2929" s="2">
        <f>IFERROR(__xludf.DUMMYFUNCTION("""COMPUTED_VALUE"""),24.18)</f>
        <v>24.18</v>
      </c>
      <c r="F2929" s="2">
        <f>IFERROR(__xludf.DUMMYFUNCTION("""COMPUTED_VALUE"""),872100.0)</f>
        <v>872100</v>
      </c>
    </row>
    <row r="2930">
      <c r="A2930" s="3">
        <f>IFERROR(__xludf.DUMMYFUNCTION("""COMPUTED_VALUE"""),33451.666666666664)</f>
        <v>33451.66667</v>
      </c>
      <c r="B2930" s="2">
        <f>IFERROR(__xludf.DUMMYFUNCTION("""COMPUTED_VALUE"""),24.18)</f>
        <v>24.18</v>
      </c>
      <c r="C2930" s="2">
        <f>IFERROR(__xludf.DUMMYFUNCTION("""COMPUTED_VALUE"""),24.3)</f>
        <v>24.3</v>
      </c>
      <c r="D2930" s="2">
        <f>IFERROR(__xludf.DUMMYFUNCTION("""COMPUTED_VALUE"""),24.06)</f>
        <v>24.06</v>
      </c>
      <c r="E2930" s="2">
        <f>IFERROR(__xludf.DUMMYFUNCTION("""COMPUTED_VALUE"""),24.18)</f>
        <v>24.18</v>
      </c>
      <c r="F2930" s="2">
        <f>IFERROR(__xludf.DUMMYFUNCTION("""COMPUTED_VALUE"""),903000.0)</f>
        <v>903000</v>
      </c>
    </row>
    <row r="2931">
      <c r="A2931" s="3">
        <f>IFERROR(__xludf.DUMMYFUNCTION("""COMPUTED_VALUE"""),33452.666666666664)</f>
        <v>33452.66667</v>
      </c>
      <c r="B2931" s="2">
        <f>IFERROR(__xludf.DUMMYFUNCTION("""COMPUTED_VALUE"""),23.94)</f>
        <v>23.94</v>
      </c>
      <c r="C2931" s="2">
        <f>IFERROR(__xludf.DUMMYFUNCTION("""COMPUTED_VALUE"""),24.27)</f>
        <v>24.27</v>
      </c>
      <c r="D2931" s="2">
        <f>IFERROR(__xludf.DUMMYFUNCTION("""COMPUTED_VALUE"""),23.94)</f>
        <v>23.94</v>
      </c>
      <c r="E2931" s="2">
        <f>IFERROR(__xludf.DUMMYFUNCTION("""COMPUTED_VALUE"""),23.94)</f>
        <v>23.94</v>
      </c>
      <c r="F2931" s="2">
        <f>IFERROR(__xludf.DUMMYFUNCTION("""COMPUTED_VALUE"""),889600.0)</f>
        <v>889600</v>
      </c>
    </row>
    <row r="2932">
      <c r="A2932" s="3">
        <f>IFERROR(__xludf.DUMMYFUNCTION("""COMPUTED_VALUE"""),33455.666666666664)</f>
        <v>33455.66667</v>
      </c>
      <c r="B2932" s="2">
        <f>IFERROR(__xludf.DUMMYFUNCTION("""COMPUTED_VALUE"""),24.12)</f>
        <v>24.12</v>
      </c>
      <c r="C2932" s="2">
        <f>IFERROR(__xludf.DUMMYFUNCTION("""COMPUTED_VALUE"""),24.18)</f>
        <v>24.18</v>
      </c>
      <c r="D2932" s="2">
        <f>IFERROR(__xludf.DUMMYFUNCTION("""COMPUTED_VALUE"""),23.97)</f>
        <v>23.97</v>
      </c>
      <c r="E2932" s="2">
        <f>IFERROR(__xludf.DUMMYFUNCTION("""COMPUTED_VALUE"""),24.12)</f>
        <v>24.12</v>
      </c>
      <c r="F2932" s="2">
        <f>IFERROR(__xludf.DUMMYFUNCTION("""COMPUTED_VALUE"""),1246200.0)</f>
        <v>1246200</v>
      </c>
    </row>
    <row r="2933">
      <c r="A2933" s="3">
        <f>IFERROR(__xludf.DUMMYFUNCTION("""COMPUTED_VALUE"""),33456.666666666664)</f>
        <v>33456.66667</v>
      </c>
      <c r="B2933" s="2">
        <f>IFERROR(__xludf.DUMMYFUNCTION("""COMPUTED_VALUE"""),23.97)</f>
        <v>23.97</v>
      </c>
      <c r="C2933" s="2">
        <f>IFERROR(__xludf.DUMMYFUNCTION("""COMPUTED_VALUE"""),24.06)</f>
        <v>24.06</v>
      </c>
      <c r="D2933" s="2">
        <f>IFERROR(__xludf.DUMMYFUNCTION("""COMPUTED_VALUE"""),23.79)</f>
        <v>23.79</v>
      </c>
      <c r="E2933" s="2">
        <f>IFERROR(__xludf.DUMMYFUNCTION("""COMPUTED_VALUE"""),23.97)</f>
        <v>23.97</v>
      </c>
      <c r="F2933" s="2">
        <f>IFERROR(__xludf.DUMMYFUNCTION("""COMPUTED_VALUE"""),1400900.0)</f>
        <v>1400900</v>
      </c>
    </row>
    <row r="2934">
      <c r="A2934" s="3">
        <f>IFERROR(__xludf.DUMMYFUNCTION("""COMPUTED_VALUE"""),33457.666666666664)</f>
        <v>33457.66667</v>
      </c>
      <c r="B2934" s="2">
        <f>IFERROR(__xludf.DUMMYFUNCTION("""COMPUTED_VALUE"""),23.64)</f>
        <v>23.64</v>
      </c>
      <c r="C2934" s="2">
        <f>IFERROR(__xludf.DUMMYFUNCTION("""COMPUTED_VALUE"""),24.0)</f>
        <v>24</v>
      </c>
      <c r="D2934" s="2">
        <f>IFERROR(__xludf.DUMMYFUNCTION("""COMPUTED_VALUE"""),23.64)</f>
        <v>23.64</v>
      </c>
      <c r="E2934" s="2">
        <f>IFERROR(__xludf.DUMMYFUNCTION("""COMPUTED_VALUE"""),23.64)</f>
        <v>23.64</v>
      </c>
      <c r="F2934" s="2">
        <f>IFERROR(__xludf.DUMMYFUNCTION("""COMPUTED_VALUE"""),1160300.0)</f>
        <v>1160300</v>
      </c>
    </row>
    <row r="2935">
      <c r="A2935" s="3">
        <f>IFERROR(__xludf.DUMMYFUNCTION("""COMPUTED_VALUE"""),33458.666666666664)</f>
        <v>33458.66667</v>
      </c>
      <c r="B2935" s="2">
        <f>IFERROR(__xludf.DUMMYFUNCTION("""COMPUTED_VALUE"""),23.7)</f>
        <v>23.7</v>
      </c>
      <c r="C2935" s="2">
        <f>IFERROR(__xludf.DUMMYFUNCTION("""COMPUTED_VALUE"""),23.82)</f>
        <v>23.82</v>
      </c>
      <c r="D2935" s="2">
        <f>IFERROR(__xludf.DUMMYFUNCTION("""COMPUTED_VALUE"""),23.64)</f>
        <v>23.64</v>
      </c>
      <c r="E2935" s="2">
        <f>IFERROR(__xludf.DUMMYFUNCTION("""COMPUTED_VALUE"""),23.7)</f>
        <v>23.7</v>
      </c>
      <c r="F2935" s="2">
        <f>IFERROR(__xludf.DUMMYFUNCTION("""COMPUTED_VALUE"""),1059200.0)</f>
        <v>1059200</v>
      </c>
    </row>
    <row r="2936">
      <c r="A2936" s="3">
        <f>IFERROR(__xludf.DUMMYFUNCTION("""COMPUTED_VALUE"""),33459.666666666664)</f>
        <v>33459.66667</v>
      </c>
      <c r="B2936" s="2">
        <f>IFERROR(__xludf.DUMMYFUNCTION("""COMPUTED_VALUE"""),23.61)</f>
        <v>23.61</v>
      </c>
      <c r="C2936" s="2">
        <f>IFERROR(__xludf.DUMMYFUNCTION("""COMPUTED_VALUE"""),23.79)</f>
        <v>23.79</v>
      </c>
      <c r="D2936" s="2">
        <f>IFERROR(__xludf.DUMMYFUNCTION("""COMPUTED_VALUE"""),23.58)</f>
        <v>23.58</v>
      </c>
      <c r="E2936" s="2">
        <f>IFERROR(__xludf.DUMMYFUNCTION("""COMPUTED_VALUE"""),23.61)</f>
        <v>23.61</v>
      </c>
      <c r="F2936" s="2">
        <f>IFERROR(__xludf.DUMMYFUNCTION("""COMPUTED_VALUE"""),840500.0)</f>
        <v>840500</v>
      </c>
    </row>
    <row r="2937">
      <c r="A2937" s="3">
        <f>IFERROR(__xludf.DUMMYFUNCTION("""COMPUTED_VALUE"""),33462.666666666664)</f>
        <v>33462.66667</v>
      </c>
      <c r="B2937" s="2">
        <f>IFERROR(__xludf.DUMMYFUNCTION("""COMPUTED_VALUE"""),23.55)</f>
        <v>23.55</v>
      </c>
      <c r="C2937" s="2">
        <f>IFERROR(__xludf.DUMMYFUNCTION("""COMPUTED_VALUE"""),23.76)</f>
        <v>23.76</v>
      </c>
      <c r="D2937" s="2">
        <f>IFERROR(__xludf.DUMMYFUNCTION("""COMPUTED_VALUE"""),23.55)</f>
        <v>23.55</v>
      </c>
      <c r="E2937" s="2">
        <f>IFERROR(__xludf.DUMMYFUNCTION("""COMPUTED_VALUE"""),23.55)</f>
        <v>23.55</v>
      </c>
      <c r="F2937" s="2">
        <f>IFERROR(__xludf.DUMMYFUNCTION("""COMPUTED_VALUE"""),783500.0)</f>
        <v>783500</v>
      </c>
    </row>
    <row r="2938">
      <c r="A2938" s="3">
        <f>IFERROR(__xludf.DUMMYFUNCTION("""COMPUTED_VALUE"""),33463.666666666664)</f>
        <v>33463.66667</v>
      </c>
      <c r="B2938" s="2">
        <f>IFERROR(__xludf.DUMMYFUNCTION("""COMPUTED_VALUE"""),23.64)</f>
        <v>23.64</v>
      </c>
      <c r="C2938" s="2">
        <f>IFERROR(__xludf.DUMMYFUNCTION("""COMPUTED_VALUE"""),23.85)</f>
        <v>23.85</v>
      </c>
      <c r="D2938" s="2">
        <f>IFERROR(__xludf.DUMMYFUNCTION("""COMPUTED_VALUE"""),23.49)</f>
        <v>23.49</v>
      </c>
      <c r="E2938" s="2">
        <f>IFERROR(__xludf.DUMMYFUNCTION("""COMPUTED_VALUE"""),23.64)</f>
        <v>23.64</v>
      </c>
      <c r="F2938" s="2">
        <f>IFERROR(__xludf.DUMMYFUNCTION("""COMPUTED_VALUE"""),1272700.0)</f>
        <v>1272700</v>
      </c>
    </row>
    <row r="2939">
      <c r="A2939" s="3">
        <f>IFERROR(__xludf.DUMMYFUNCTION("""COMPUTED_VALUE"""),33464.666666666664)</f>
        <v>33464.66667</v>
      </c>
      <c r="B2939" s="2">
        <f>IFERROR(__xludf.DUMMYFUNCTION("""COMPUTED_VALUE"""),23.52)</f>
        <v>23.52</v>
      </c>
      <c r="C2939" s="2">
        <f>IFERROR(__xludf.DUMMYFUNCTION("""COMPUTED_VALUE"""),23.73)</f>
        <v>23.73</v>
      </c>
      <c r="D2939" s="2">
        <f>IFERROR(__xludf.DUMMYFUNCTION("""COMPUTED_VALUE"""),23.49)</f>
        <v>23.49</v>
      </c>
      <c r="E2939" s="2">
        <f>IFERROR(__xludf.DUMMYFUNCTION("""COMPUTED_VALUE"""),23.52)</f>
        <v>23.52</v>
      </c>
      <c r="F2939" s="2">
        <f>IFERROR(__xludf.DUMMYFUNCTION("""COMPUTED_VALUE"""),1121500.0)</f>
        <v>1121500</v>
      </c>
    </row>
    <row r="2940">
      <c r="A2940" s="3">
        <f>IFERROR(__xludf.DUMMYFUNCTION("""COMPUTED_VALUE"""),33465.666666666664)</f>
        <v>33465.66667</v>
      </c>
      <c r="B2940" s="2">
        <f>IFERROR(__xludf.DUMMYFUNCTION("""COMPUTED_VALUE"""),23.49)</f>
        <v>23.49</v>
      </c>
      <c r="C2940" s="2">
        <f>IFERROR(__xludf.DUMMYFUNCTION("""COMPUTED_VALUE"""),23.64)</f>
        <v>23.64</v>
      </c>
      <c r="D2940" s="2">
        <f>IFERROR(__xludf.DUMMYFUNCTION("""COMPUTED_VALUE"""),23.43)</f>
        <v>23.43</v>
      </c>
      <c r="E2940" s="2">
        <f>IFERROR(__xludf.DUMMYFUNCTION("""COMPUTED_VALUE"""),23.49)</f>
        <v>23.49</v>
      </c>
      <c r="F2940" s="2">
        <f>IFERROR(__xludf.DUMMYFUNCTION("""COMPUTED_VALUE"""),803300.0)</f>
        <v>803300</v>
      </c>
    </row>
    <row r="2941">
      <c r="A2941" s="3">
        <f>IFERROR(__xludf.DUMMYFUNCTION("""COMPUTED_VALUE"""),33466.666666666664)</f>
        <v>33466.66667</v>
      </c>
      <c r="B2941" s="2">
        <f>IFERROR(__xludf.DUMMYFUNCTION("""COMPUTED_VALUE"""),23.04)</f>
        <v>23.04</v>
      </c>
      <c r="C2941" s="2">
        <f>IFERROR(__xludf.DUMMYFUNCTION("""COMPUTED_VALUE"""),23.55)</f>
        <v>23.55</v>
      </c>
      <c r="D2941" s="2">
        <f>IFERROR(__xludf.DUMMYFUNCTION("""COMPUTED_VALUE"""),23.04)</f>
        <v>23.04</v>
      </c>
      <c r="E2941" s="2">
        <f>IFERROR(__xludf.DUMMYFUNCTION("""COMPUTED_VALUE"""),23.04)</f>
        <v>23.04</v>
      </c>
      <c r="F2941" s="2">
        <f>IFERROR(__xludf.DUMMYFUNCTION("""COMPUTED_VALUE"""),1680900.0)</f>
        <v>1680900</v>
      </c>
    </row>
    <row r="2942">
      <c r="A2942" s="3">
        <f>IFERROR(__xludf.DUMMYFUNCTION("""COMPUTED_VALUE"""),33469.666666666664)</f>
        <v>33469.66667</v>
      </c>
      <c r="B2942" s="2">
        <f>IFERROR(__xludf.DUMMYFUNCTION("""COMPUTED_VALUE"""),22.69)</f>
        <v>22.69</v>
      </c>
      <c r="C2942" s="2">
        <f>IFERROR(__xludf.DUMMYFUNCTION("""COMPUTED_VALUE"""),22.83)</f>
        <v>22.83</v>
      </c>
      <c r="D2942" s="2">
        <f>IFERROR(__xludf.DUMMYFUNCTION("""COMPUTED_VALUE"""),21.97)</f>
        <v>21.97</v>
      </c>
      <c r="E2942" s="2">
        <f>IFERROR(__xludf.DUMMYFUNCTION("""COMPUTED_VALUE"""),22.69)</f>
        <v>22.69</v>
      </c>
      <c r="F2942" s="2">
        <f>IFERROR(__xludf.DUMMYFUNCTION("""COMPUTED_VALUE"""),2914900.0)</f>
        <v>2914900</v>
      </c>
    </row>
    <row r="2943">
      <c r="A2943" s="3">
        <f>IFERROR(__xludf.DUMMYFUNCTION("""COMPUTED_VALUE"""),33470.666666666664)</f>
        <v>33470.66667</v>
      </c>
      <c r="B2943" s="2">
        <f>IFERROR(__xludf.DUMMYFUNCTION("""COMPUTED_VALUE"""),22.86)</f>
        <v>22.86</v>
      </c>
      <c r="C2943" s="2">
        <f>IFERROR(__xludf.DUMMYFUNCTION("""COMPUTED_VALUE"""),22.98)</f>
        <v>22.98</v>
      </c>
      <c r="D2943" s="2">
        <f>IFERROR(__xludf.DUMMYFUNCTION("""COMPUTED_VALUE"""),22.72)</f>
        <v>22.72</v>
      </c>
      <c r="E2943" s="2">
        <f>IFERROR(__xludf.DUMMYFUNCTION("""COMPUTED_VALUE"""),22.86)</f>
        <v>22.86</v>
      </c>
      <c r="F2943" s="2">
        <f>IFERROR(__xludf.DUMMYFUNCTION("""COMPUTED_VALUE"""),1630700.0)</f>
        <v>1630700</v>
      </c>
    </row>
    <row r="2944">
      <c r="A2944" s="3">
        <f>IFERROR(__xludf.DUMMYFUNCTION("""COMPUTED_VALUE"""),33471.666666666664)</f>
        <v>33471.66667</v>
      </c>
      <c r="B2944" s="2">
        <f>IFERROR(__xludf.DUMMYFUNCTION("""COMPUTED_VALUE"""),22.83)</f>
        <v>22.83</v>
      </c>
      <c r="C2944" s="2">
        <f>IFERROR(__xludf.DUMMYFUNCTION("""COMPUTED_VALUE"""),23.01)</f>
        <v>23.01</v>
      </c>
      <c r="D2944" s="2">
        <f>IFERROR(__xludf.DUMMYFUNCTION("""COMPUTED_VALUE"""),22.45)</f>
        <v>22.45</v>
      </c>
      <c r="E2944" s="2">
        <f>IFERROR(__xludf.DUMMYFUNCTION("""COMPUTED_VALUE"""),22.83)</f>
        <v>22.83</v>
      </c>
      <c r="F2944" s="2">
        <f>IFERROR(__xludf.DUMMYFUNCTION("""COMPUTED_VALUE"""),2828100.0)</f>
        <v>2828100</v>
      </c>
    </row>
    <row r="2945">
      <c r="A2945" s="3">
        <f>IFERROR(__xludf.DUMMYFUNCTION("""COMPUTED_VALUE"""),33472.666666666664)</f>
        <v>33472.66667</v>
      </c>
      <c r="B2945" s="2">
        <f>IFERROR(__xludf.DUMMYFUNCTION("""COMPUTED_VALUE"""),22.54)</f>
        <v>22.54</v>
      </c>
      <c r="C2945" s="2">
        <f>IFERROR(__xludf.DUMMYFUNCTION("""COMPUTED_VALUE"""),23.01)</f>
        <v>23.01</v>
      </c>
      <c r="D2945" s="2">
        <f>IFERROR(__xludf.DUMMYFUNCTION("""COMPUTED_VALUE"""),22.48)</f>
        <v>22.48</v>
      </c>
      <c r="E2945" s="2">
        <f>IFERROR(__xludf.DUMMYFUNCTION("""COMPUTED_VALUE"""),22.54)</f>
        <v>22.54</v>
      </c>
      <c r="F2945" s="2">
        <f>IFERROR(__xludf.DUMMYFUNCTION("""COMPUTED_VALUE"""),2165500.0)</f>
        <v>2165500</v>
      </c>
    </row>
    <row r="2946">
      <c r="A2946" s="3">
        <f>IFERROR(__xludf.DUMMYFUNCTION("""COMPUTED_VALUE"""),33473.666666666664)</f>
        <v>33473.66667</v>
      </c>
      <c r="B2946" s="2">
        <f>IFERROR(__xludf.DUMMYFUNCTION("""COMPUTED_VALUE"""),22.66)</f>
        <v>22.66</v>
      </c>
      <c r="C2946" s="2">
        <f>IFERROR(__xludf.DUMMYFUNCTION("""COMPUTED_VALUE"""),22.95)</f>
        <v>22.95</v>
      </c>
      <c r="D2946" s="2">
        <f>IFERROR(__xludf.DUMMYFUNCTION("""COMPUTED_VALUE"""),22.54)</f>
        <v>22.54</v>
      </c>
      <c r="E2946" s="2">
        <f>IFERROR(__xludf.DUMMYFUNCTION("""COMPUTED_VALUE"""),22.66)</f>
        <v>22.66</v>
      </c>
      <c r="F2946" s="2">
        <f>IFERROR(__xludf.DUMMYFUNCTION("""COMPUTED_VALUE"""),1700600.0)</f>
        <v>1700600</v>
      </c>
    </row>
    <row r="2947">
      <c r="A2947" s="3">
        <f>IFERROR(__xludf.DUMMYFUNCTION("""COMPUTED_VALUE"""),33476.666666666664)</f>
        <v>33476.66667</v>
      </c>
      <c r="B2947" s="2">
        <f>IFERROR(__xludf.DUMMYFUNCTION("""COMPUTED_VALUE"""),22.72)</f>
        <v>22.72</v>
      </c>
      <c r="C2947" s="2">
        <f>IFERROR(__xludf.DUMMYFUNCTION("""COMPUTED_VALUE"""),22.83)</f>
        <v>22.83</v>
      </c>
      <c r="D2947" s="2">
        <f>IFERROR(__xludf.DUMMYFUNCTION("""COMPUTED_VALUE"""),22.63)</f>
        <v>22.63</v>
      </c>
      <c r="E2947" s="2">
        <f>IFERROR(__xludf.DUMMYFUNCTION("""COMPUTED_VALUE"""),22.72)</f>
        <v>22.72</v>
      </c>
      <c r="F2947" s="2">
        <f>IFERROR(__xludf.DUMMYFUNCTION("""COMPUTED_VALUE"""),895300.0)</f>
        <v>895300</v>
      </c>
    </row>
    <row r="2948">
      <c r="A2948" s="3">
        <f>IFERROR(__xludf.DUMMYFUNCTION("""COMPUTED_VALUE"""),33477.666666666664)</f>
        <v>33477.66667</v>
      </c>
      <c r="B2948" s="2">
        <f>IFERROR(__xludf.DUMMYFUNCTION("""COMPUTED_VALUE"""),22.74)</f>
        <v>22.74</v>
      </c>
      <c r="C2948" s="2">
        <f>IFERROR(__xludf.DUMMYFUNCTION("""COMPUTED_VALUE"""),22.83)</f>
        <v>22.83</v>
      </c>
      <c r="D2948" s="2">
        <f>IFERROR(__xludf.DUMMYFUNCTION("""COMPUTED_VALUE"""),22.6)</f>
        <v>22.6</v>
      </c>
      <c r="E2948" s="2">
        <f>IFERROR(__xludf.DUMMYFUNCTION("""COMPUTED_VALUE"""),22.74)</f>
        <v>22.74</v>
      </c>
      <c r="F2948" s="2">
        <f>IFERROR(__xludf.DUMMYFUNCTION("""COMPUTED_VALUE"""),1258600.0)</f>
        <v>1258600</v>
      </c>
    </row>
    <row r="2949">
      <c r="A2949" s="3">
        <f>IFERROR(__xludf.DUMMYFUNCTION("""COMPUTED_VALUE"""),33478.666666666664)</f>
        <v>33478.66667</v>
      </c>
      <c r="B2949" s="2">
        <f>IFERROR(__xludf.DUMMYFUNCTION("""COMPUTED_VALUE"""),22.57)</f>
        <v>22.57</v>
      </c>
      <c r="C2949" s="2">
        <f>IFERROR(__xludf.DUMMYFUNCTION("""COMPUTED_VALUE"""),22.74)</f>
        <v>22.74</v>
      </c>
      <c r="D2949" s="2">
        <f>IFERROR(__xludf.DUMMYFUNCTION("""COMPUTED_VALUE"""),22.51)</f>
        <v>22.51</v>
      </c>
      <c r="E2949" s="2">
        <f>IFERROR(__xludf.DUMMYFUNCTION("""COMPUTED_VALUE"""),22.57)</f>
        <v>22.57</v>
      </c>
      <c r="F2949" s="2">
        <f>IFERROR(__xludf.DUMMYFUNCTION("""COMPUTED_VALUE"""),1616700.0)</f>
        <v>1616700</v>
      </c>
    </row>
    <row r="2950">
      <c r="A2950" s="3">
        <f>IFERROR(__xludf.DUMMYFUNCTION("""COMPUTED_VALUE"""),33479.666666666664)</f>
        <v>33479.66667</v>
      </c>
      <c r="B2950" s="2">
        <f>IFERROR(__xludf.DUMMYFUNCTION("""COMPUTED_VALUE"""),22.8)</f>
        <v>22.8</v>
      </c>
      <c r="C2950" s="2">
        <f>IFERROR(__xludf.DUMMYFUNCTION("""COMPUTED_VALUE"""),22.89)</f>
        <v>22.89</v>
      </c>
      <c r="D2950" s="2">
        <f>IFERROR(__xludf.DUMMYFUNCTION("""COMPUTED_VALUE"""),22.45)</f>
        <v>22.45</v>
      </c>
      <c r="E2950" s="2">
        <f>IFERROR(__xludf.DUMMYFUNCTION("""COMPUTED_VALUE"""),22.8)</f>
        <v>22.8</v>
      </c>
      <c r="F2950" s="2">
        <f>IFERROR(__xludf.DUMMYFUNCTION("""COMPUTED_VALUE"""),2244300.0)</f>
        <v>2244300</v>
      </c>
    </row>
    <row r="2951">
      <c r="A2951" s="3">
        <f>IFERROR(__xludf.DUMMYFUNCTION("""COMPUTED_VALUE"""),33480.666666666664)</f>
        <v>33480.66667</v>
      </c>
      <c r="B2951" s="2">
        <f>IFERROR(__xludf.DUMMYFUNCTION("""COMPUTED_VALUE"""),23.13)</f>
        <v>23.13</v>
      </c>
      <c r="C2951" s="2">
        <f>IFERROR(__xludf.DUMMYFUNCTION("""COMPUTED_VALUE"""),23.19)</f>
        <v>23.19</v>
      </c>
      <c r="D2951" s="2">
        <f>IFERROR(__xludf.DUMMYFUNCTION("""COMPUTED_VALUE"""),22.86)</f>
        <v>22.86</v>
      </c>
      <c r="E2951" s="2">
        <f>IFERROR(__xludf.DUMMYFUNCTION("""COMPUTED_VALUE"""),23.13)</f>
        <v>23.13</v>
      </c>
      <c r="F2951" s="2">
        <f>IFERROR(__xludf.DUMMYFUNCTION("""COMPUTED_VALUE"""),1342100.0)</f>
        <v>1342100</v>
      </c>
    </row>
    <row r="2952">
      <c r="A2952" s="3">
        <f>IFERROR(__xludf.DUMMYFUNCTION("""COMPUTED_VALUE"""),33484.666666666664)</f>
        <v>33484.66667</v>
      </c>
      <c r="B2952" s="2">
        <f>IFERROR(__xludf.DUMMYFUNCTION("""COMPUTED_VALUE"""),23.4)</f>
        <v>23.4</v>
      </c>
      <c r="C2952" s="2">
        <f>IFERROR(__xludf.DUMMYFUNCTION("""COMPUTED_VALUE"""),23.61)</f>
        <v>23.61</v>
      </c>
      <c r="D2952" s="2">
        <f>IFERROR(__xludf.DUMMYFUNCTION("""COMPUTED_VALUE"""),23.31)</f>
        <v>23.31</v>
      </c>
      <c r="E2952" s="2">
        <f>IFERROR(__xludf.DUMMYFUNCTION("""COMPUTED_VALUE"""),23.4)</f>
        <v>23.4</v>
      </c>
      <c r="F2952" s="2">
        <f>IFERROR(__xludf.DUMMYFUNCTION("""COMPUTED_VALUE"""),1658400.0)</f>
        <v>1658400</v>
      </c>
    </row>
    <row r="2953">
      <c r="A2953" s="3">
        <f>IFERROR(__xludf.DUMMYFUNCTION("""COMPUTED_VALUE"""),33485.666666666664)</f>
        <v>33485.66667</v>
      </c>
      <c r="B2953" s="2">
        <f>IFERROR(__xludf.DUMMYFUNCTION("""COMPUTED_VALUE"""),23.55)</f>
        <v>23.55</v>
      </c>
      <c r="C2953" s="2">
        <f>IFERROR(__xludf.DUMMYFUNCTION("""COMPUTED_VALUE"""),23.7)</f>
        <v>23.7</v>
      </c>
      <c r="D2953" s="2">
        <f>IFERROR(__xludf.DUMMYFUNCTION("""COMPUTED_VALUE"""),23.31)</f>
        <v>23.31</v>
      </c>
      <c r="E2953" s="2">
        <f>IFERROR(__xludf.DUMMYFUNCTION("""COMPUTED_VALUE"""),23.55)</f>
        <v>23.55</v>
      </c>
      <c r="F2953" s="2">
        <f>IFERROR(__xludf.DUMMYFUNCTION("""COMPUTED_VALUE"""),1601400.0)</f>
        <v>1601400</v>
      </c>
    </row>
    <row r="2954">
      <c r="A2954" s="3">
        <f>IFERROR(__xludf.DUMMYFUNCTION("""COMPUTED_VALUE"""),33486.666666666664)</f>
        <v>33486.66667</v>
      </c>
      <c r="B2954" s="2">
        <f>IFERROR(__xludf.DUMMYFUNCTION("""COMPUTED_VALUE"""),23.46)</f>
        <v>23.46</v>
      </c>
      <c r="C2954" s="2">
        <f>IFERROR(__xludf.DUMMYFUNCTION("""COMPUTED_VALUE"""),23.67)</f>
        <v>23.67</v>
      </c>
      <c r="D2954" s="2">
        <f>IFERROR(__xludf.DUMMYFUNCTION("""COMPUTED_VALUE"""),23.31)</f>
        <v>23.31</v>
      </c>
      <c r="E2954" s="2">
        <f>IFERROR(__xludf.DUMMYFUNCTION("""COMPUTED_VALUE"""),23.46)</f>
        <v>23.46</v>
      </c>
      <c r="F2954" s="2">
        <f>IFERROR(__xludf.DUMMYFUNCTION("""COMPUTED_VALUE"""),994500.0)</f>
        <v>994500</v>
      </c>
    </row>
    <row r="2955">
      <c r="A2955" s="3">
        <f>IFERROR(__xludf.DUMMYFUNCTION("""COMPUTED_VALUE"""),33487.666666666664)</f>
        <v>33487.66667</v>
      </c>
      <c r="B2955" s="2">
        <f>IFERROR(__xludf.DUMMYFUNCTION("""COMPUTED_VALUE"""),23.73)</f>
        <v>23.73</v>
      </c>
      <c r="C2955" s="2">
        <f>IFERROR(__xludf.DUMMYFUNCTION("""COMPUTED_VALUE"""),23.79)</f>
        <v>23.79</v>
      </c>
      <c r="D2955" s="2">
        <f>IFERROR(__xludf.DUMMYFUNCTION("""COMPUTED_VALUE"""),23.34)</f>
        <v>23.34</v>
      </c>
      <c r="E2955" s="2">
        <f>IFERROR(__xludf.DUMMYFUNCTION("""COMPUTED_VALUE"""),23.73)</f>
        <v>23.73</v>
      </c>
      <c r="F2955" s="2">
        <f>IFERROR(__xludf.DUMMYFUNCTION("""COMPUTED_VALUE"""),1306100.0)</f>
        <v>1306100</v>
      </c>
    </row>
    <row r="2956">
      <c r="A2956" s="3">
        <f>IFERROR(__xludf.DUMMYFUNCTION("""COMPUTED_VALUE"""),33490.666666666664)</f>
        <v>33490.66667</v>
      </c>
      <c r="B2956" s="2">
        <f>IFERROR(__xludf.DUMMYFUNCTION("""COMPUTED_VALUE"""),24.12)</f>
        <v>24.12</v>
      </c>
      <c r="C2956" s="2">
        <f>IFERROR(__xludf.DUMMYFUNCTION("""COMPUTED_VALUE"""),24.15)</f>
        <v>24.15</v>
      </c>
      <c r="D2956" s="2">
        <f>IFERROR(__xludf.DUMMYFUNCTION("""COMPUTED_VALUE"""),23.76)</f>
        <v>23.76</v>
      </c>
      <c r="E2956" s="2">
        <f>IFERROR(__xludf.DUMMYFUNCTION("""COMPUTED_VALUE"""),24.12)</f>
        <v>24.12</v>
      </c>
      <c r="F2956" s="2">
        <f>IFERROR(__xludf.DUMMYFUNCTION("""COMPUTED_VALUE"""),1182900.0)</f>
        <v>1182900</v>
      </c>
    </row>
    <row r="2957">
      <c r="A2957" s="3">
        <f>IFERROR(__xludf.DUMMYFUNCTION("""COMPUTED_VALUE"""),33491.666666666664)</f>
        <v>33491.66667</v>
      </c>
      <c r="B2957" s="2">
        <f>IFERROR(__xludf.DUMMYFUNCTION("""COMPUTED_VALUE"""),23.79)</f>
        <v>23.79</v>
      </c>
      <c r="C2957" s="2">
        <f>IFERROR(__xludf.DUMMYFUNCTION("""COMPUTED_VALUE"""),24.18)</f>
        <v>24.18</v>
      </c>
      <c r="D2957" s="2">
        <f>IFERROR(__xludf.DUMMYFUNCTION("""COMPUTED_VALUE"""),23.7)</f>
        <v>23.7</v>
      </c>
      <c r="E2957" s="2">
        <f>IFERROR(__xludf.DUMMYFUNCTION("""COMPUTED_VALUE"""),23.79)</f>
        <v>23.79</v>
      </c>
      <c r="F2957" s="2">
        <f>IFERROR(__xludf.DUMMYFUNCTION("""COMPUTED_VALUE"""),1697600.0)</f>
        <v>1697600</v>
      </c>
    </row>
    <row r="2958">
      <c r="A2958" s="3">
        <f>IFERROR(__xludf.DUMMYFUNCTION("""COMPUTED_VALUE"""),33492.666666666664)</f>
        <v>33492.66667</v>
      </c>
      <c r="B2958" s="2">
        <f>IFERROR(__xludf.DUMMYFUNCTION("""COMPUTED_VALUE"""),24.21)</f>
        <v>24.21</v>
      </c>
      <c r="C2958" s="2">
        <f>IFERROR(__xludf.DUMMYFUNCTION("""COMPUTED_VALUE"""),24.21)</f>
        <v>24.21</v>
      </c>
      <c r="D2958" s="2">
        <f>IFERROR(__xludf.DUMMYFUNCTION("""COMPUTED_VALUE"""),23.79)</f>
        <v>23.79</v>
      </c>
      <c r="E2958" s="2">
        <f>IFERROR(__xludf.DUMMYFUNCTION("""COMPUTED_VALUE"""),24.21)</f>
        <v>24.21</v>
      </c>
      <c r="F2958" s="2">
        <f>IFERROR(__xludf.DUMMYFUNCTION("""COMPUTED_VALUE"""),1587900.0)</f>
        <v>1587900</v>
      </c>
    </row>
    <row r="2959">
      <c r="A2959" s="3">
        <f>IFERROR(__xludf.DUMMYFUNCTION("""COMPUTED_VALUE"""),33493.666666666664)</f>
        <v>33493.66667</v>
      </c>
      <c r="B2959" s="2">
        <f>IFERROR(__xludf.DUMMYFUNCTION("""COMPUTED_VALUE"""),24.83)</f>
        <v>24.83</v>
      </c>
      <c r="C2959" s="2">
        <f>IFERROR(__xludf.DUMMYFUNCTION("""COMPUTED_VALUE"""),24.83)</f>
        <v>24.83</v>
      </c>
      <c r="D2959" s="2">
        <f>IFERROR(__xludf.DUMMYFUNCTION("""COMPUTED_VALUE"""),24.42)</f>
        <v>24.42</v>
      </c>
      <c r="E2959" s="2">
        <f>IFERROR(__xludf.DUMMYFUNCTION("""COMPUTED_VALUE"""),24.83)</f>
        <v>24.83</v>
      </c>
      <c r="F2959" s="2">
        <f>IFERROR(__xludf.DUMMYFUNCTION("""COMPUTED_VALUE"""),2239100.0)</f>
        <v>2239100</v>
      </c>
    </row>
    <row r="2960">
      <c r="A2960" s="3">
        <f>IFERROR(__xludf.DUMMYFUNCTION("""COMPUTED_VALUE"""),33494.666666666664)</f>
        <v>33494.66667</v>
      </c>
      <c r="B2960" s="2">
        <f>IFERROR(__xludf.DUMMYFUNCTION("""COMPUTED_VALUE"""),24.57)</f>
        <v>24.57</v>
      </c>
      <c r="C2960" s="2">
        <f>IFERROR(__xludf.DUMMYFUNCTION("""COMPUTED_VALUE"""),24.77)</f>
        <v>24.77</v>
      </c>
      <c r="D2960" s="2">
        <f>IFERROR(__xludf.DUMMYFUNCTION("""COMPUTED_VALUE"""),24.24)</f>
        <v>24.24</v>
      </c>
      <c r="E2960" s="2">
        <f>IFERROR(__xludf.DUMMYFUNCTION("""COMPUTED_VALUE"""),24.57)</f>
        <v>24.57</v>
      </c>
      <c r="F2960" s="2">
        <f>IFERROR(__xludf.DUMMYFUNCTION("""COMPUTED_VALUE"""),1890500.0)</f>
        <v>1890500</v>
      </c>
    </row>
    <row r="2961">
      <c r="A2961" s="3">
        <f>IFERROR(__xludf.DUMMYFUNCTION("""COMPUTED_VALUE"""),33497.666666666664)</f>
        <v>33497.66667</v>
      </c>
      <c r="B2961" s="2">
        <f>IFERROR(__xludf.DUMMYFUNCTION("""COMPUTED_VALUE"""),24.74)</f>
        <v>24.74</v>
      </c>
      <c r="C2961" s="2">
        <f>IFERROR(__xludf.DUMMYFUNCTION("""COMPUTED_VALUE"""),24.92)</f>
        <v>24.92</v>
      </c>
      <c r="D2961" s="2">
        <f>IFERROR(__xludf.DUMMYFUNCTION("""COMPUTED_VALUE"""),24.57)</f>
        <v>24.57</v>
      </c>
      <c r="E2961" s="2">
        <f>IFERROR(__xludf.DUMMYFUNCTION("""COMPUTED_VALUE"""),24.74)</f>
        <v>24.74</v>
      </c>
      <c r="F2961" s="2">
        <f>IFERROR(__xludf.DUMMYFUNCTION("""COMPUTED_VALUE"""),1841100.0)</f>
        <v>1841100</v>
      </c>
    </row>
    <row r="2962">
      <c r="A2962" s="3">
        <f>IFERROR(__xludf.DUMMYFUNCTION("""COMPUTED_VALUE"""),33498.666666666664)</f>
        <v>33498.66667</v>
      </c>
      <c r="B2962" s="2">
        <f>IFERROR(__xludf.DUMMYFUNCTION("""COMPUTED_VALUE"""),25.04)</f>
        <v>25.04</v>
      </c>
      <c r="C2962" s="2">
        <f>IFERROR(__xludf.DUMMYFUNCTION("""COMPUTED_VALUE"""),25.04)</f>
        <v>25.04</v>
      </c>
      <c r="D2962" s="2">
        <f>IFERROR(__xludf.DUMMYFUNCTION("""COMPUTED_VALUE"""),24.66)</f>
        <v>24.66</v>
      </c>
      <c r="E2962" s="2">
        <f>IFERROR(__xludf.DUMMYFUNCTION("""COMPUTED_VALUE"""),25.04)</f>
        <v>25.04</v>
      </c>
      <c r="F2962" s="2">
        <f>IFERROR(__xludf.DUMMYFUNCTION("""COMPUTED_VALUE"""),1394300.0)</f>
        <v>1394300</v>
      </c>
    </row>
    <row r="2963">
      <c r="A2963" s="3">
        <f>IFERROR(__xludf.DUMMYFUNCTION("""COMPUTED_VALUE"""),33499.666666666664)</f>
        <v>33499.66667</v>
      </c>
      <c r="B2963" s="2">
        <f>IFERROR(__xludf.DUMMYFUNCTION("""COMPUTED_VALUE"""),25.16)</f>
        <v>25.16</v>
      </c>
      <c r="C2963" s="2">
        <f>IFERROR(__xludf.DUMMYFUNCTION("""COMPUTED_VALUE"""),25.19)</f>
        <v>25.19</v>
      </c>
      <c r="D2963" s="2">
        <f>IFERROR(__xludf.DUMMYFUNCTION("""COMPUTED_VALUE"""),24.95)</f>
        <v>24.95</v>
      </c>
      <c r="E2963" s="2">
        <f>IFERROR(__xludf.DUMMYFUNCTION("""COMPUTED_VALUE"""),25.16)</f>
        <v>25.16</v>
      </c>
      <c r="F2963" s="2">
        <f>IFERROR(__xludf.DUMMYFUNCTION("""COMPUTED_VALUE"""),1414600.0)</f>
        <v>1414600</v>
      </c>
    </row>
    <row r="2964">
      <c r="A2964" s="3">
        <f>IFERROR(__xludf.DUMMYFUNCTION("""COMPUTED_VALUE"""),33500.666666666664)</f>
        <v>33500.66667</v>
      </c>
      <c r="B2964" s="2">
        <f>IFERROR(__xludf.DUMMYFUNCTION("""COMPUTED_VALUE"""),25.04)</f>
        <v>25.04</v>
      </c>
      <c r="C2964" s="2">
        <f>IFERROR(__xludf.DUMMYFUNCTION("""COMPUTED_VALUE"""),25.4)</f>
        <v>25.4</v>
      </c>
      <c r="D2964" s="2">
        <f>IFERROR(__xludf.DUMMYFUNCTION("""COMPUTED_VALUE"""),25.01)</f>
        <v>25.01</v>
      </c>
      <c r="E2964" s="2">
        <f>IFERROR(__xludf.DUMMYFUNCTION("""COMPUTED_VALUE"""),25.04)</f>
        <v>25.04</v>
      </c>
      <c r="F2964" s="2">
        <f>IFERROR(__xludf.DUMMYFUNCTION("""COMPUTED_VALUE"""),1743800.0)</f>
        <v>1743800</v>
      </c>
    </row>
    <row r="2965">
      <c r="A2965" s="3">
        <f>IFERROR(__xludf.DUMMYFUNCTION("""COMPUTED_VALUE"""),33501.666666666664)</f>
        <v>33501.66667</v>
      </c>
      <c r="B2965" s="2">
        <f>IFERROR(__xludf.DUMMYFUNCTION("""COMPUTED_VALUE"""),24.89)</f>
        <v>24.89</v>
      </c>
      <c r="C2965" s="2">
        <f>IFERROR(__xludf.DUMMYFUNCTION("""COMPUTED_VALUE"""),25.1)</f>
        <v>25.1</v>
      </c>
      <c r="D2965" s="2">
        <f>IFERROR(__xludf.DUMMYFUNCTION("""COMPUTED_VALUE"""),24.83)</f>
        <v>24.83</v>
      </c>
      <c r="E2965" s="2">
        <f>IFERROR(__xludf.DUMMYFUNCTION("""COMPUTED_VALUE"""),24.89)</f>
        <v>24.89</v>
      </c>
      <c r="F2965" s="2">
        <f>IFERROR(__xludf.DUMMYFUNCTION("""COMPUTED_VALUE"""),1884800.0)</f>
        <v>1884800</v>
      </c>
    </row>
    <row r="2966">
      <c r="A2966" s="3">
        <f>IFERROR(__xludf.DUMMYFUNCTION("""COMPUTED_VALUE"""),33504.666666666664)</f>
        <v>33504.66667</v>
      </c>
      <c r="B2966" s="2">
        <f>IFERROR(__xludf.DUMMYFUNCTION("""COMPUTED_VALUE"""),24.98)</f>
        <v>24.98</v>
      </c>
      <c r="C2966" s="2">
        <f>IFERROR(__xludf.DUMMYFUNCTION("""COMPUTED_VALUE"""),24.98)</f>
        <v>24.98</v>
      </c>
      <c r="D2966" s="2">
        <f>IFERROR(__xludf.DUMMYFUNCTION("""COMPUTED_VALUE"""),24.86)</f>
        <v>24.86</v>
      </c>
      <c r="E2966" s="2">
        <f>IFERROR(__xludf.DUMMYFUNCTION("""COMPUTED_VALUE"""),24.98)</f>
        <v>24.98</v>
      </c>
      <c r="F2966" s="2">
        <f>IFERROR(__xludf.DUMMYFUNCTION("""COMPUTED_VALUE"""),782600.0)</f>
        <v>782600</v>
      </c>
    </row>
    <row r="2967">
      <c r="A2967" s="3">
        <f>IFERROR(__xludf.DUMMYFUNCTION("""COMPUTED_VALUE"""),33505.666666666664)</f>
        <v>33505.66667</v>
      </c>
      <c r="B2967" s="2">
        <f>IFERROR(__xludf.DUMMYFUNCTION("""COMPUTED_VALUE"""),25.28)</f>
        <v>25.28</v>
      </c>
      <c r="C2967" s="2">
        <f>IFERROR(__xludf.DUMMYFUNCTION("""COMPUTED_VALUE"""),25.28)</f>
        <v>25.28</v>
      </c>
      <c r="D2967" s="2">
        <f>IFERROR(__xludf.DUMMYFUNCTION("""COMPUTED_VALUE"""),24.86)</f>
        <v>24.86</v>
      </c>
      <c r="E2967" s="2">
        <f>IFERROR(__xludf.DUMMYFUNCTION("""COMPUTED_VALUE"""),25.28)</f>
        <v>25.28</v>
      </c>
      <c r="F2967" s="2">
        <f>IFERROR(__xludf.DUMMYFUNCTION("""COMPUTED_VALUE"""),1499200.0)</f>
        <v>1499200</v>
      </c>
    </row>
    <row r="2968">
      <c r="A2968" s="3">
        <f>IFERROR(__xludf.DUMMYFUNCTION("""COMPUTED_VALUE"""),33506.666666666664)</f>
        <v>33506.66667</v>
      </c>
      <c r="B2968" s="2">
        <f>IFERROR(__xludf.DUMMYFUNCTION("""COMPUTED_VALUE"""),25.07)</f>
        <v>25.07</v>
      </c>
      <c r="C2968" s="2">
        <f>IFERROR(__xludf.DUMMYFUNCTION("""COMPUTED_VALUE"""),25.25)</f>
        <v>25.25</v>
      </c>
      <c r="D2968" s="2">
        <f>IFERROR(__xludf.DUMMYFUNCTION("""COMPUTED_VALUE"""),25.01)</f>
        <v>25.01</v>
      </c>
      <c r="E2968" s="2">
        <f>IFERROR(__xludf.DUMMYFUNCTION("""COMPUTED_VALUE"""),25.07)</f>
        <v>25.07</v>
      </c>
      <c r="F2968" s="2">
        <f>IFERROR(__xludf.DUMMYFUNCTION("""COMPUTED_VALUE"""),802300.0)</f>
        <v>802300</v>
      </c>
    </row>
    <row r="2969">
      <c r="A2969" s="3">
        <f>IFERROR(__xludf.DUMMYFUNCTION("""COMPUTED_VALUE"""),33507.666666666664)</f>
        <v>33507.66667</v>
      </c>
      <c r="B2969" s="2">
        <f>IFERROR(__xludf.DUMMYFUNCTION("""COMPUTED_VALUE"""),25.04)</f>
        <v>25.04</v>
      </c>
      <c r="C2969" s="2">
        <f>IFERROR(__xludf.DUMMYFUNCTION("""COMPUTED_VALUE"""),25.25)</f>
        <v>25.25</v>
      </c>
      <c r="D2969" s="2">
        <f>IFERROR(__xludf.DUMMYFUNCTION("""COMPUTED_VALUE"""),24.89)</f>
        <v>24.89</v>
      </c>
      <c r="E2969" s="2">
        <f>IFERROR(__xludf.DUMMYFUNCTION("""COMPUTED_VALUE"""),25.04)</f>
        <v>25.04</v>
      </c>
      <c r="F2969" s="2">
        <f>IFERROR(__xludf.DUMMYFUNCTION("""COMPUTED_VALUE"""),946700.0)</f>
        <v>946700</v>
      </c>
    </row>
    <row r="2970">
      <c r="A2970" s="3">
        <f>IFERROR(__xludf.DUMMYFUNCTION("""COMPUTED_VALUE"""),33508.666666666664)</f>
        <v>33508.66667</v>
      </c>
      <c r="B2970" s="2">
        <f>IFERROR(__xludf.DUMMYFUNCTION("""COMPUTED_VALUE"""),24.42)</f>
        <v>24.42</v>
      </c>
      <c r="C2970" s="2">
        <f>IFERROR(__xludf.DUMMYFUNCTION("""COMPUTED_VALUE"""),25.16)</f>
        <v>25.16</v>
      </c>
      <c r="D2970" s="2">
        <f>IFERROR(__xludf.DUMMYFUNCTION("""COMPUTED_VALUE"""),24.36)</f>
        <v>24.36</v>
      </c>
      <c r="E2970" s="2">
        <f>IFERROR(__xludf.DUMMYFUNCTION("""COMPUTED_VALUE"""),24.42)</f>
        <v>24.42</v>
      </c>
      <c r="F2970" s="2">
        <f>IFERROR(__xludf.DUMMYFUNCTION("""COMPUTED_VALUE"""),1591100.0)</f>
        <v>1591100</v>
      </c>
    </row>
    <row r="2971">
      <c r="A2971" s="3">
        <f>IFERROR(__xludf.DUMMYFUNCTION("""COMPUTED_VALUE"""),33511.666666666664)</f>
        <v>33511.66667</v>
      </c>
      <c r="B2971" s="2">
        <f>IFERROR(__xludf.DUMMYFUNCTION("""COMPUTED_VALUE"""),24.74)</f>
        <v>24.74</v>
      </c>
      <c r="C2971" s="2">
        <f>IFERROR(__xludf.DUMMYFUNCTION("""COMPUTED_VALUE"""),24.89)</f>
        <v>24.89</v>
      </c>
      <c r="D2971" s="2">
        <f>IFERROR(__xludf.DUMMYFUNCTION("""COMPUTED_VALUE"""),24.18)</f>
        <v>24.18</v>
      </c>
      <c r="E2971" s="2">
        <f>IFERROR(__xludf.DUMMYFUNCTION("""COMPUTED_VALUE"""),24.74)</f>
        <v>24.74</v>
      </c>
      <c r="F2971" s="2">
        <f>IFERROR(__xludf.DUMMYFUNCTION("""COMPUTED_VALUE"""),1234100.0)</f>
        <v>1234100</v>
      </c>
    </row>
    <row r="2972">
      <c r="A2972" s="3">
        <f>IFERROR(__xludf.DUMMYFUNCTION("""COMPUTED_VALUE"""),33512.666666666664)</f>
        <v>33512.66667</v>
      </c>
      <c r="B2972" s="2">
        <f>IFERROR(__xludf.DUMMYFUNCTION("""COMPUTED_VALUE"""),24.51)</f>
        <v>24.51</v>
      </c>
      <c r="C2972" s="2">
        <f>IFERROR(__xludf.DUMMYFUNCTION("""COMPUTED_VALUE"""),24.77)</f>
        <v>24.77</v>
      </c>
      <c r="D2972" s="2">
        <f>IFERROR(__xludf.DUMMYFUNCTION("""COMPUTED_VALUE"""),24.48)</f>
        <v>24.48</v>
      </c>
      <c r="E2972" s="2">
        <f>IFERROR(__xludf.DUMMYFUNCTION("""COMPUTED_VALUE"""),24.51)</f>
        <v>24.51</v>
      </c>
      <c r="F2972" s="2">
        <f>IFERROR(__xludf.DUMMYFUNCTION("""COMPUTED_VALUE"""),702300.0)</f>
        <v>702300</v>
      </c>
    </row>
    <row r="2973">
      <c r="A2973" s="3">
        <f>IFERROR(__xludf.DUMMYFUNCTION("""COMPUTED_VALUE"""),33513.666666666664)</f>
        <v>33513.66667</v>
      </c>
      <c r="B2973" s="2">
        <f>IFERROR(__xludf.DUMMYFUNCTION("""COMPUTED_VALUE"""),24.15)</f>
        <v>24.15</v>
      </c>
      <c r="C2973" s="2">
        <f>IFERROR(__xludf.DUMMYFUNCTION("""COMPUTED_VALUE"""),24.48)</f>
        <v>24.48</v>
      </c>
      <c r="D2973" s="2">
        <f>IFERROR(__xludf.DUMMYFUNCTION("""COMPUTED_VALUE"""),24.06)</f>
        <v>24.06</v>
      </c>
      <c r="E2973" s="2">
        <f>IFERROR(__xludf.DUMMYFUNCTION("""COMPUTED_VALUE"""),24.15)</f>
        <v>24.15</v>
      </c>
      <c r="F2973" s="2">
        <f>IFERROR(__xludf.DUMMYFUNCTION("""COMPUTED_VALUE"""),1044700.0)</f>
        <v>1044700</v>
      </c>
    </row>
    <row r="2974">
      <c r="A2974" s="3">
        <f>IFERROR(__xludf.DUMMYFUNCTION("""COMPUTED_VALUE"""),33514.666666666664)</f>
        <v>33514.66667</v>
      </c>
      <c r="B2974" s="2">
        <f>IFERROR(__xludf.DUMMYFUNCTION("""COMPUTED_VALUE"""),23.64)</f>
        <v>23.64</v>
      </c>
      <c r="C2974" s="2">
        <f>IFERROR(__xludf.DUMMYFUNCTION("""COMPUTED_VALUE"""),24.12)</f>
        <v>24.12</v>
      </c>
      <c r="D2974" s="2">
        <f>IFERROR(__xludf.DUMMYFUNCTION("""COMPUTED_VALUE"""),23.64)</f>
        <v>23.64</v>
      </c>
      <c r="E2974" s="2">
        <f>IFERROR(__xludf.DUMMYFUNCTION("""COMPUTED_VALUE"""),23.64)</f>
        <v>23.64</v>
      </c>
      <c r="F2974" s="2">
        <f>IFERROR(__xludf.DUMMYFUNCTION("""COMPUTED_VALUE"""),1295000.0)</f>
        <v>1295000</v>
      </c>
    </row>
    <row r="2975">
      <c r="A2975" s="3">
        <f>IFERROR(__xludf.DUMMYFUNCTION("""COMPUTED_VALUE"""),33515.666666666664)</f>
        <v>33515.66667</v>
      </c>
      <c r="B2975" s="2">
        <f>IFERROR(__xludf.DUMMYFUNCTION("""COMPUTED_VALUE"""),23.46)</f>
        <v>23.46</v>
      </c>
      <c r="C2975" s="2">
        <f>IFERROR(__xludf.DUMMYFUNCTION("""COMPUTED_VALUE"""),23.79)</f>
        <v>23.79</v>
      </c>
      <c r="D2975" s="2">
        <f>IFERROR(__xludf.DUMMYFUNCTION("""COMPUTED_VALUE"""),23.43)</f>
        <v>23.43</v>
      </c>
      <c r="E2975" s="2">
        <f>IFERROR(__xludf.DUMMYFUNCTION("""COMPUTED_VALUE"""),23.46)</f>
        <v>23.46</v>
      </c>
      <c r="F2975" s="2">
        <f>IFERROR(__xludf.DUMMYFUNCTION("""COMPUTED_VALUE"""),1320200.0)</f>
        <v>1320200</v>
      </c>
    </row>
    <row r="2976">
      <c r="A2976" s="3">
        <f>IFERROR(__xludf.DUMMYFUNCTION("""COMPUTED_VALUE"""),33518.666666666664)</f>
        <v>33518.66667</v>
      </c>
      <c r="B2976" s="2">
        <f>IFERROR(__xludf.DUMMYFUNCTION("""COMPUTED_VALUE"""),23.61)</f>
        <v>23.61</v>
      </c>
      <c r="C2976" s="2">
        <f>IFERROR(__xludf.DUMMYFUNCTION("""COMPUTED_VALUE"""),23.73)</f>
        <v>23.73</v>
      </c>
      <c r="D2976" s="2">
        <f>IFERROR(__xludf.DUMMYFUNCTION("""COMPUTED_VALUE"""),23.46)</f>
        <v>23.46</v>
      </c>
      <c r="E2976" s="2">
        <f>IFERROR(__xludf.DUMMYFUNCTION("""COMPUTED_VALUE"""),23.61)</f>
        <v>23.61</v>
      </c>
      <c r="F2976" s="2">
        <f>IFERROR(__xludf.DUMMYFUNCTION("""COMPUTED_VALUE"""),1277600.0)</f>
        <v>1277600</v>
      </c>
    </row>
    <row r="2977">
      <c r="A2977" s="3">
        <f>IFERROR(__xludf.DUMMYFUNCTION("""COMPUTED_VALUE"""),33519.666666666664)</f>
        <v>33519.66667</v>
      </c>
      <c r="B2977" s="2">
        <f>IFERROR(__xludf.DUMMYFUNCTION("""COMPUTED_VALUE"""),23.4)</f>
        <v>23.4</v>
      </c>
      <c r="C2977" s="2">
        <f>IFERROR(__xludf.DUMMYFUNCTION("""COMPUTED_VALUE"""),23.73)</f>
        <v>23.73</v>
      </c>
      <c r="D2977" s="2">
        <f>IFERROR(__xludf.DUMMYFUNCTION("""COMPUTED_VALUE"""),23.31)</f>
        <v>23.31</v>
      </c>
      <c r="E2977" s="2">
        <f>IFERROR(__xludf.DUMMYFUNCTION("""COMPUTED_VALUE"""),23.4)</f>
        <v>23.4</v>
      </c>
      <c r="F2977" s="2">
        <f>IFERROR(__xludf.DUMMYFUNCTION("""COMPUTED_VALUE"""),1438800.0)</f>
        <v>1438800</v>
      </c>
    </row>
    <row r="2978">
      <c r="A2978" s="3">
        <f>IFERROR(__xludf.DUMMYFUNCTION("""COMPUTED_VALUE"""),33520.666666666664)</f>
        <v>33520.66667</v>
      </c>
      <c r="B2978" s="2">
        <f>IFERROR(__xludf.DUMMYFUNCTION("""COMPUTED_VALUE"""),23.22)</f>
        <v>23.22</v>
      </c>
      <c r="C2978" s="2">
        <f>IFERROR(__xludf.DUMMYFUNCTION("""COMPUTED_VALUE"""),23.46)</f>
        <v>23.46</v>
      </c>
      <c r="D2978" s="2">
        <f>IFERROR(__xludf.DUMMYFUNCTION("""COMPUTED_VALUE"""),23.1)</f>
        <v>23.1</v>
      </c>
      <c r="E2978" s="2">
        <f>IFERROR(__xludf.DUMMYFUNCTION("""COMPUTED_VALUE"""),23.22)</f>
        <v>23.22</v>
      </c>
      <c r="F2978" s="2">
        <f>IFERROR(__xludf.DUMMYFUNCTION("""COMPUTED_VALUE"""),1909500.0)</f>
        <v>1909500</v>
      </c>
    </row>
    <row r="2979">
      <c r="A2979" s="3">
        <f>IFERROR(__xludf.DUMMYFUNCTION("""COMPUTED_VALUE"""),33521.666666666664)</f>
        <v>33521.66667</v>
      </c>
      <c r="B2979" s="2">
        <f>IFERROR(__xludf.DUMMYFUNCTION("""COMPUTED_VALUE"""),23.82)</f>
        <v>23.82</v>
      </c>
      <c r="C2979" s="2">
        <f>IFERROR(__xludf.DUMMYFUNCTION("""COMPUTED_VALUE"""),23.85)</f>
        <v>23.85</v>
      </c>
      <c r="D2979" s="2">
        <f>IFERROR(__xludf.DUMMYFUNCTION("""COMPUTED_VALUE"""),23.16)</f>
        <v>23.16</v>
      </c>
      <c r="E2979" s="2">
        <f>IFERROR(__xludf.DUMMYFUNCTION("""COMPUTED_VALUE"""),23.82)</f>
        <v>23.82</v>
      </c>
      <c r="F2979" s="2">
        <f>IFERROR(__xludf.DUMMYFUNCTION("""COMPUTED_VALUE"""),1417200.0)</f>
        <v>1417200</v>
      </c>
    </row>
    <row r="2980">
      <c r="A2980" s="3">
        <f>IFERROR(__xludf.DUMMYFUNCTION("""COMPUTED_VALUE"""),33522.666666666664)</f>
        <v>33522.66667</v>
      </c>
      <c r="B2980" s="2">
        <f>IFERROR(__xludf.DUMMYFUNCTION("""COMPUTED_VALUE"""),23.85)</f>
        <v>23.85</v>
      </c>
      <c r="C2980" s="2">
        <f>IFERROR(__xludf.DUMMYFUNCTION("""COMPUTED_VALUE"""),24.0)</f>
        <v>24</v>
      </c>
      <c r="D2980" s="2">
        <f>IFERROR(__xludf.DUMMYFUNCTION("""COMPUTED_VALUE"""),23.76)</f>
        <v>23.76</v>
      </c>
      <c r="E2980" s="2">
        <f>IFERROR(__xludf.DUMMYFUNCTION("""COMPUTED_VALUE"""),23.85)</f>
        <v>23.85</v>
      </c>
      <c r="F2980" s="2">
        <f>IFERROR(__xludf.DUMMYFUNCTION("""COMPUTED_VALUE"""),893600.0)</f>
        <v>893600</v>
      </c>
    </row>
    <row r="2981">
      <c r="A2981" s="3">
        <f>IFERROR(__xludf.DUMMYFUNCTION("""COMPUTED_VALUE"""),33525.666666666664)</f>
        <v>33525.66667</v>
      </c>
      <c r="B2981" s="2">
        <f>IFERROR(__xludf.DUMMYFUNCTION("""COMPUTED_VALUE"""),24.18)</f>
        <v>24.18</v>
      </c>
      <c r="C2981" s="2">
        <f>IFERROR(__xludf.DUMMYFUNCTION("""COMPUTED_VALUE"""),24.27)</f>
        <v>24.27</v>
      </c>
      <c r="D2981" s="2">
        <f>IFERROR(__xludf.DUMMYFUNCTION("""COMPUTED_VALUE"""),23.67)</f>
        <v>23.67</v>
      </c>
      <c r="E2981" s="2">
        <f>IFERROR(__xludf.DUMMYFUNCTION("""COMPUTED_VALUE"""),24.18)</f>
        <v>24.18</v>
      </c>
      <c r="F2981" s="2">
        <f>IFERROR(__xludf.DUMMYFUNCTION("""COMPUTED_VALUE"""),791000.0)</f>
        <v>791000</v>
      </c>
    </row>
    <row r="2982">
      <c r="A2982" s="3">
        <f>IFERROR(__xludf.DUMMYFUNCTION("""COMPUTED_VALUE"""),33526.666666666664)</f>
        <v>33526.66667</v>
      </c>
      <c r="B2982" s="2">
        <f>IFERROR(__xludf.DUMMYFUNCTION("""COMPUTED_VALUE"""),24.89)</f>
        <v>24.89</v>
      </c>
      <c r="C2982" s="2">
        <f>IFERROR(__xludf.DUMMYFUNCTION("""COMPUTED_VALUE"""),25.01)</f>
        <v>25.01</v>
      </c>
      <c r="D2982" s="2">
        <f>IFERROR(__xludf.DUMMYFUNCTION("""COMPUTED_VALUE"""),23.82)</f>
        <v>23.82</v>
      </c>
      <c r="E2982" s="2">
        <f>IFERROR(__xludf.DUMMYFUNCTION("""COMPUTED_VALUE"""),24.89)</f>
        <v>24.89</v>
      </c>
      <c r="F2982" s="2">
        <f>IFERROR(__xludf.DUMMYFUNCTION("""COMPUTED_VALUE"""),3033600.0)</f>
        <v>3033600</v>
      </c>
    </row>
    <row r="2983">
      <c r="A2983" s="3">
        <f>IFERROR(__xludf.DUMMYFUNCTION("""COMPUTED_VALUE"""),33527.666666666664)</f>
        <v>33527.66667</v>
      </c>
      <c r="B2983" s="2">
        <f>IFERROR(__xludf.DUMMYFUNCTION("""COMPUTED_VALUE"""),24.27)</f>
        <v>24.27</v>
      </c>
      <c r="C2983" s="2">
        <f>IFERROR(__xludf.DUMMYFUNCTION("""COMPUTED_VALUE"""),24.77)</f>
        <v>24.77</v>
      </c>
      <c r="D2983" s="2">
        <f>IFERROR(__xludf.DUMMYFUNCTION("""COMPUTED_VALUE"""),24.21)</f>
        <v>24.21</v>
      </c>
      <c r="E2983" s="2">
        <f>IFERROR(__xludf.DUMMYFUNCTION("""COMPUTED_VALUE"""),24.27)</f>
        <v>24.27</v>
      </c>
      <c r="F2983" s="2">
        <f>IFERROR(__xludf.DUMMYFUNCTION("""COMPUTED_VALUE"""),2025900.0)</f>
        <v>2025900</v>
      </c>
    </row>
    <row r="2984">
      <c r="A2984" s="3">
        <f>IFERROR(__xludf.DUMMYFUNCTION("""COMPUTED_VALUE"""),33528.666666666664)</f>
        <v>33528.66667</v>
      </c>
      <c r="B2984" s="2">
        <f>IFERROR(__xludf.DUMMYFUNCTION("""COMPUTED_VALUE"""),23.85)</f>
        <v>23.85</v>
      </c>
      <c r="C2984" s="2">
        <f>IFERROR(__xludf.DUMMYFUNCTION("""COMPUTED_VALUE"""),24.18)</f>
        <v>24.18</v>
      </c>
      <c r="D2984" s="2">
        <f>IFERROR(__xludf.DUMMYFUNCTION("""COMPUTED_VALUE"""),23.73)</f>
        <v>23.73</v>
      </c>
      <c r="E2984" s="2">
        <f>IFERROR(__xludf.DUMMYFUNCTION("""COMPUTED_VALUE"""),23.85)</f>
        <v>23.85</v>
      </c>
      <c r="F2984" s="2">
        <f>IFERROR(__xludf.DUMMYFUNCTION("""COMPUTED_VALUE"""),1631900.0)</f>
        <v>1631900</v>
      </c>
    </row>
    <row r="2985">
      <c r="A2985" s="3">
        <f>IFERROR(__xludf.DUMMYFUNCTION("""COMPUTED_VALUE"""),33529.666666666664)</f>
        <v>33529.66667</v>
      </c>
      <c r="B2985" s="2">
        <f>IFERROR(__xludf.DUMMYFUNCTION("""COMPUTED_VALUE"""),23.97)</f>
        <v>23.97</v>
      </c>
      <c r="C2985" s="2">
        <f>IFERROR(__xludf.DUMMYFUNCTION("""COMPUTED_VALUE"""),23.97)</f>
        <v>23.97</v>
      </c>
      <c r="D2985" s="2">
        <f>IFERROR(__xludf.DUMMYFUNCTION("""COMPUTED_VALUE"""),23.79)</f>
        <v>23.79</v>
      </c>
      <c r="E2985" s="2">
        <f>IFERROR(__xludf.DUMMYFUNCTION("""COMPUTED_VALUE"""),23.97)</f>
        <v>23.97</v>
      </c>
      <c r="F2985" s="2">
        <f>IFERROR(__xludf.DUMMYFUNCTION("""COMPUTED_VALUE"""),1315700.0)</f>
        <v>1315700</v>
      </c>
    </row>
    <row r="2986">
      <c r="A2986" s="3">
        <f>IFERROR(__xludf.DUMMYFUNCTION("""COMPUTED_VALUE"""),33532.666666666664)</f>
        <v>33532.66667</v>
      </c>
      <c r="B2986" s="2">
        <f>IFERROR(__xludf.DUMMYFUNCTION("""COMPUTED_VALUE"""),23.94)</f>
        <v>23.94</v>
      </c>
      <c r="C2986" s="2">
        <f>IFERROR(__xludf.DUMMYFUNCTION("""COMPUTED_VALUE"""),24.12)</f>
        <v>24.12</v>
      </c>
      <c r="D2986" s="2">
        <f>IFERROR(__xludf.DUMMYFUNCTION("""COMPUTED_VALUE"""),23.85)</f>
        <v>23.85</v>
      </c>
      <c r="E2986" s="2">
        <f>IFERROR(__xludf.DUMMYFUNCTION("""COMPUTED_VALUE"""),23.94)</f>
        <v>23.94</v>
      </c>
      <c r="F2986" s="2">
        <f>IFERROR(__xludf.DUMMYFUNCTION("""COMPUTED_VALUE"""),941300.0)</f>
        <v>941300</v>
      </c>
    </row>
    <row r="2987">
      <c r="A2987" s="3">
        <f>IFERROR(__xludf.DUMMYFUNCTION("""COMPUTED_VALUE"""),33533.666666666664)</f>
        <v>33533.66667</v>
      </c>
      <c r="B2987" s="2">
        <f>IFERROR(__xludf.DUMMYFUNCTION("""COMPUTED_VALUE"""),23.52)</f>
        <v>23.52</v>
      </c>
      <c r="C2987" s="2">
        <f>IFERROR(__xludf.DUMMYFUNCTION("""COMPUTED_VALUE"""),24.0)</f>
        <v>24</v>
      </c>
      <c r="D2987" s="2">
        <f>IFERROR(__xludf.DUMMYFUNCTION("""COMPUTED_VALUE"""),23.52)</f>
        <v>23.52</v>
      </c>
      <c r="E2987" s="2">
        <f>IFERROR(__xludf.DUMMYFUNCTION("""COMPUTED_VALUE"""),23.52)</f>
        <v>23.52</v>
      </c>
      <c r="F2987" s="2">
        <f>IFERROR(__xludf.DUMMYFUNCTION("""COMPUTED_VALUE"""),1155400.0)</f>
        <v>1155400</v>
      </c>
    </row>
    <row r="2988">
      <c r="A2988" s="3">
        <f>IFERROR(__xludf.DUMMYFUNCTION("""COMPUTED_VALUE"""),33534.666666666664)</f>
        <v>33534.66667</v>
      </c>
      <c r="B2988" s="2">
        <f>IFERROR(__xludf.DUMMYFUNCTION("""COMPUTED_VALUE"""),23.52)</f>
        <v>23.52</v>
      </c>
      <c r="C2988" s="2">
        <f>IFERROR(__xludf.DUMMYFUNCTION("""COMPUTED_VALUE"""),23.58)</f>
        <v>23.58</v>
      </c>
      <c r="D2988" s="2">
        <f>IFERROR(__xludf.DUMMYFUNCTION("""COMPUTED_VALUE"""),23.22)</f>
        <v>23.22</v>
      </c>
      <c r="E2988" s="2">
        <f>IFERROR(__xludf.DUMMYFUNCTION("""COMPUTED_VALUE"""),23.52)</f>
        <v>23.52</v>
      </c>
      <c r="F2988" s="2">
        <f>IFERROR(__xludf.DUMMYFUNCTION("""COMPUTED_VALUE"""),1581000.0)</f>
        <v>1581000</v>
      </c>
    </row>
    <row r="2989">
      <c r="A2989" s="3">
        <f>IFERROR(__xludf.DUMMYFUNCTION("""COMPUTED_VALUE"""),33535.666666666664)</f>
        <v>33535.66667</v>
      </c>
      <c r="B2989" s="2">
        <f>IFERROR(__xludf.DUMMYFUNCTION("""COMPUTED_VALUE"""),23.46)</f>
        <v>23.46</v>
      </c>
      <c r="C2989" s="2">
        <f>IFERROR(__xludf.DUMMYFUNCTION("""COMPUTED_VALUE"""),23.67)</f>
        <v>23.67</v>
      </c>
      <c r="D2989" s="2">
        <f>IFERROR(__xludf.DUMMYFUNCTION("""COMPUTED_VALUE"""),23.31)</f>
        <v>23.31</v>
      </c>
      <c r="E2989" s="2">
        <f>IFERROR(__xludf.DUMMYFUNCTION("""COMPUTED_VALUE"""),23.46)</f>
        <v>23.46</v>
      </c>
      <c r="F2989" s="2">
        <f>IFERROR(__xludf.DUMMYFUNCTION("""COMPUTED_VALUE"""),971600.0)</f>
        <v>971600</v>
      </c>
    </row>
    <row r="2990">
      <c r="A2990" s="3">
        <f>IFERROR(__xludf.DUMMYFUNCTION("""COMPUTED_VALUE"""),33536.666666666664)</f>
        <v>33536.66667</v>
      </c>
      <c r="B2990" s="2">
        <f>IFERROR(__xludf.DUMMYFUNCTION("""COMPUTED_VALUE"""),23.4)</f>
        <v>23.4</v>
      </c>
      <c r="C2990" s="2">
        <f>IFERROR(__xludf.DUMMYFUNCTION("""COMPUTED_VALUE"""),23.55)</f>
        <v>23.55</v>
      </c>
      <c r="D2990" s="2">
        <f>IFERROR(__xludf.DUMMYFUNCTION("""COMPUTED_VALUE"""),23.28)</f>
        <v>23.28</v>
      </c>
      <c r="E2990" s="2">
        <f>IFERROR(__xludf.DUMMYFUNCTION("""COMPUTED_VALUE"""),23.4)</f>
        <v>23.4</v>
      </c>
      <c r="F2990" s="2">
        <f>IFERROR(__xludf.DUMMYFUNCTION("""COMPUTED_VALUE"""),995100.0)</f>
        <v>995100</v>
      </c>
    </row>
    <row r="2991">
      <c r="A2991" s="3">
        <f>IFERROR(__xludf.DUMMYFUNCTION("""COMPUTED_VALUE"""),33539.666666666664)</f>
        <v>33539.66667</v>
      </c>
      <c r="B2991" s="2">
        <f>IFERROR(__xludf.DUMMYFUNCTION("""COMPUTED_VALUE"""),23.46)</f>
        <v>23.46</v>
      </c>
      <c r="C2991" s="2">
        <f>IFERROR(__xludf.DUMMYFUNCTION("""COMPUTED_VALUE"""),23.55)</f>
        <v>23.55</v>
      </c>
      <c r="D2991" s="2">
        <f>IFERROR(__xludf.DUMMYFUNCTION("""COMPUTED_VALUE"""),23.4)</f>
        <v>23.4</v>
      </c>
      <c r="E2991" s="2">
        <f>IFERROR(__xludf.DUMMYFUNCTION("""COMPUTED_VALUE"""),23.46)</f>
        <v>23.46</v>
      </c>
      <c r="F2991" s="2">
        <f>IFERROR(__xludf.DUMMYFUNCTION("""COMPUTED_VALUE"""),897200.0)</f>
        <v>897200</v>
      </c>
    </row>
    <row r="2992">
      <c r="A2992" s="3">
        <f>IFERROR(__xludf.DUMMYFUNCTION("""COMPUTED_VALUE"""),33540.666666666664)</f>
        <v>33540.66667</v>
      </c>
      <c r="B2992" s="2">
        <f>IFERROR(__xludf.DUMMYFUNCTION("""COMPUTED_VALUE"""),23.61)</f>
        <v>23.61</v>
      </c>
      <c r="C2992" s="2">
        <f>IFERROR(__xludf.DUMMYFUNCTION("""COMPUTED_VALUE"""),23.73)</f>
        <v>23.73</v>
      </c>
      <c r="D2992" s="2">
        <f>IFERROR(__xludf.DUMMYFUNCTION("""COMPUTED_VALUE"""),23.28)</f>
        <v>23.28</v>
      </c>
      <c r="E2992" s="2">
        <f>IFERROR(__xludf.DUMMYFUNCTION("""COMPUTED_VALUE"""),23.61)</f>
        <v>23.61</v>
      </c>
      <c r="F2992" s="2">
        <f>IFERROR(__xludf.DUMMYFUNCTION("""COMPUTED_VALUE"""),1180400.0)</f>
        <v>1180400</v>
      </c>
    </row>
    <row r="2993">
      <c r="A2993" s="3">
        <f>IFERROR(__xludf.DUMMYFUNCTION("""COMPUTED_VALUE"""),33541.666666666664)</f>
        <v>33541.66667</v>
      </c>
      <c r="B2993" s="2">
        <f>IFERROR(__xludf.DUMMYFUNCTION("""COMPUTED_VALUE"""),23.94)</f>
        <v>23.94</v>
      </c>
      <c r="C2993" s="2">
        <f>IFERROR(__xludf.DUMMYFUNCTION("""COMPUTED_VALUE"""),23.94)</f>
        <v>23.94</v>
      </c>
      <c r="D2993" s="2">
        <f>IFERROR(__xludf.DUMMYFUNCTION("""COMPUTED_VALUE"""),23.61)</f>
        <v>23.61</v>
      </c>
      <c r="E2993" s="2">
        <f>IFERROR(__xludf.DUMMYFUNCTION("""COMPUTED_VALUE"""),23.94)</f>
        <v>23.94</v>
      </c>
      <c r="F2993" s="2">
        <f>IFERROR(__xludf.DUMMYFUNCTION("""COMPUTED_VALUE"""),1527100.0)</f>
        <v>1527100</v>
      </c>
    </row>
    <row r="2994">
      <c r="A2994" s="3">
        <f>IFERROR(__xludf.DUMMYFUNCTION("""COMPUTED_VALUE"""),33542.666666666664)</f>
        <v>33542.66667</v>
      </c>
      <c r="B2994" s="2">
        <f>IFERROR(__xludf.DUMMYFUNCTION("""COMPUTED_VALUE"""),23.46)</f>
        <v>23.46</v>
      </c>
      <c r="C2994" s="2">
        <f>IFERROR(__xludf.DUMMYFUNCTION("""COMPUTED_VALUE"""),23.97)</f>
        <v>23.97</v>
      </c>
      <c r="D2994" s="2">
        <f>IFERROR(__xludf.DUMMYFUNCTION("""COMPUTED_VALUE"""),23.46)</f>
        <v>23.46</v>
      </c>
      <c r="E2994" s="2">
        <f>IFERROR(__xludf.DUMMYFUNCTION("""COMPUTED_VALUE"""),23.46)</f>
        <v>23.46</v>
      </c>
      <c r="F2994" s="2">
        <f>IFERROR(__xludf.DUMMYFUNCTION("""COMPUTED_VALUE"""),1132500.0)</f>
        <v>1132500</v>
      </c>
    </row>
    <row r="2995">
      <c r="A2995" s="3">
        <f>IFERROR(__xludf.DUMMYFUNCTION("""COMPUTED_VALUE"""),33543.666666666664)</f>
        <v>33543.66667</v>
      </c>
      <c r="B2995" s="2">
        <f>IFERROR(__xludf.DUMMYFUNCTION("""COMPUTED_VALUE"""),23.49)</f>
        <v>23.49</v>
      </c>
      <c r="C2995" s="2">
        <f>IFERROR(__xludf.DUMMYFUNCTION("""COMPUTED_VALUE"""),23.73)</f>
        <v>23.73</v>
      </c>
      <c r="D2995" s="2">
        <f>IFERROR(__xludf.DUMMYFUNCTION("""COMPUTED_VALUE"""),23.34)</f>
        <v>23.34</v>
      </c>
      <c r="E2995" s="2">
        <f>IFERROR(__xludf.DUMMYFUNCTION("""COMPUTED_VALUE"""),23.49)</f>
        <v>23.49</v>
      </c>
      <c r="F2995" s="2">
        <f>IFERROR(__xludf.DUMMYFUNCTION("""COMPUTED_VALUE"""),2185700.0)</f>
        <v>2185700</v>
      </c>
    </row>
    <row r="2996">
      <c r="A2996" s="3">
        <f>IFERROR(__xludf.DUMMYFUNCTION("""COMPUTED_VALUE"""),33546.666666666664)</f>
        <v>33546.66667</v>
      </c>
      <c r="B2996" s="2">
        <f>IFERROR(__xludf.DUMMYFUNCTION("""COMPUTED_VALUE"""),23.16)</f>
        <v>23.16</v>
      </c>
      <c r="C2996" s="2">
        <f>IFERROR(__xludf.DUMMYFUNCTION("""COMPUTED_VALUE"""),23.34)</f>
        <v>23.34</v>
      </c>
      <c r="D2996" s="2">
        <f>IFERROR(__xludf.DUMMYFUNCTION("""COMPUTED_VALUE"""),23.07)</f>
        <v>23.07</v>
      </c>
      <c r="E2996" s="2">
        <f>IFERROR(__xludf.DUMMYFUNCTION("""COMPUTED_VALUE"""),23.16)</f>
        <v>23.16</v>
      </c>
      <c r="F2996" s="2">
        <f>IFERROR(__xludf.DUMMYFUNCTION("""COMPUTED_VALUE"""),1140900.0)</f>
        <v>1140900</v>
      </c>
    </row>
    <row r="2997">
      <c r="A2997" s="3">
        <f>IFERROR(__xludf.DUMMYFUNCTION("""COMPUTED_VALUE"""),33547.666666666664)</f>
        <v>33547.66667</v>
      </c>
      <c r="B2997" s="2">
        <f>IFERROR(__xludf.DUMMYFUNCTION("""COMPUTED_VALUE"""),23.07)</f>
        <v>23.07</v>
      </c>
      <c r="C2997" s="2">
        <f>IFERROR(__xludf.DUMMYFUNCTION("""COMPUTED_VALUE"""),23.34)</f>
        <v>23.34</v>
      </c>
      <c r="D2997" s="2">
        <f>IFERROR(__xludf.DUMMYFUNCTION("""COMPUTED_VALUE"""),23.07)</f>
        <v>23.07</v>
      </c>
      <c r="E2997" s="2">
        <f>IFERROR(__xludf.DUMMYFUNCTION("""COMPUTED_VALUE"""),23.07)</f>
        <v>23.07</v>
      </c>
      <c r="F2997" s="2">
        <f>IFERROR(__xludf.DUMMYFUNCTION("""COMPUTED_VALUE"""),1171600.0)</f>
        <v>1171600</v>
      </c>
    </row>
    <row r="2998">
      <c r="A2998" s="3">
        <f>IFERROR(__xludf.DUMMYFUNCTION("""COMPUTED_VALUE"""),33548.666666666664)</f>
        <v>33548.66667</v>
      </c>
      <c r="B2998" s="2">
        <f>IFERROR(__xludf.DUMMYFUNCTION("""COMPUTED_VALUE"""),23.07)</f>
        <v>23.07</v>
      </c>
      <c r="C2998" s="2">
        <f>IFERROR(__xludf.DUMMYFUNCTION("""COMPUTED_VALUE"""),23.22)</f>
        <v>23.22</v>
      </c>
      <c r="D2998" s="2">
        <f>IFERROR(__xludf.DUMMYFUNCTION("""COMPUTED_VALUE"""),23.01)</f>
        <v>23.01</v>
      </c>
      <c r="E2998" s="2">
        <f>IFERROR(__xludf.DUMMYFUNCTION("""COMPUTED_VALUE"""),23.07)</f>
        <v>23.07</v>
      </c>
      <c r="F2998" s="2">
        <f>IFERROR(__xludf.DUMMYFUNCTION("""COMPUTED_VALUE"""),1007800.0)</f>
        <v>1007800</v>
      </c>
    </row>
    <row r="2999">
      <c r="A2999" s="3">
        <f>IFERROR(__xludf.DUMMYFUNCTION("""COMPUTED_VALUE"""),33549.666666666664)</f>
        <v>33549.66667</v>
      </c>
      <c r="B2999" s="2">
        <f>IFERROR(__xludf.DUMMYFUNCTION("""COMPUTED_VALUE"""),23.85)</f>
        <v>23.85</v>
      </c>
      <c r="C2999" s="2">
        <f>IFERROR(__xludf.DUMMYFUNCTION("""COMPUTED_VALUE"""),23.88)</f>
        <v>23.88</v>
      </c>
      <c r="D2999" s="2">
        <f>IFERROR(__xludf.DUMMYFUNCTION("""COMPUTED_VALUE"""),23.46)</f>
        <v>23.46</v>
      </c>
      <c r="E2999" s="2">
        <f>IFERROR(__xludf.DUMMYFUNCTION("""COMPUTED_VALUE"""),23.85)</f>
        <v>23.85</v>
      </c>
      <c r="F2999" s="2">
        <f>IFERROR(__xludf.DUMMYFUNCTION("""COMPUTED_VALUE"""),1899200.0)</f>
        <v>1899200</v>
      </c>
    </row>
    <row r="3000">
      <c r="A3000" s="3">
        <f>IFERROR(__xludf.DUMMYFUNCTION("""COMPUTED_VALUE"""),33550.666666666664)</f>
        <v>33550.66667</v>
      </c>
      <c r="B3000" s="2">
        <f>IFERROR(__xludf.DUMMYFUNCTION("""COMPUTED_VALUE"""),23.94)</f>
        <v>23.94</v>
      </c>
      <c r="C3000" s="2">
        <f>IFERROR(__xludf.DUMMYFUNCTION("""COMPUTED_VALUE"""),24.21)</f>
        <v>24.21</v>
      </c>
      <c r="D3000" s="2">
        <f>IFERROR(__xludf.DUMMYFUNCTION("""COMPUTED_VALUE"""),23.88)</f>
        <v>23.88</v>
      </c>
      <c r="E3000" s="2">
        <f>IFERROR(__xludf.DUMMYFUNCTION("""COMPUTED_VALUE"""),23.94)</f>
        <v>23.94</v>
      </c>
      <c r="F3000" s="2">
        <f>IFERROR(__xludf.DUMMYFUNCTION("""COMPUTED_VALUE"""),1385000.0)</f>
        <v>1385000</v>
      </c>
    </row>
    <row r="3001">
      <c r="A3001" s="3">
        <f>IFERROR(__xludf.DUMMYFUNCTION("""COMPUTED_VALUE"""),33553.666666666664)</f>
        <v>33553.66667</v>
      </c>
      <c r="B3001" s="2">
        <f>IFERROR(__xludf.DUMMYFUNCTION("""COMPUTED_VALUE"""),23.91)</f>
        <v>23.91</v>
      </c>
      <c r="C3001" s="2">
        <f>IFERROR(__xludf.DUMMYFUNCTION("""COMPUTED_VALUE"""),24.06)</f>
        <v>24.06</v>
      </c>
      <c r="D3001" s="2">
        <f>IFERROR(__xludf.DUMMYFUNCTION("""COMPUTED_VALUE"""),23.85)</f>
        <v>23.85</v>
      </c>
      <c r="E3001" s="2">
        <f>IFERROR(__xludf.DUMMYFUNCTION("""COMPUTED_VALUE"""),23.91)</f>
        <v>23.91</v>
      </c>
      <c r="F3001" s="2">
        <f>IFERROR(__xludf.DUMMYFUNCTION("""COMPUTED_VALUE"""),664300.0)</f>
        <v>664300</v>
      </c>
    </row>
    <row r="3002">
      <c r="A3002" s="3">
        <f>IFERROR(__xludf.DUMMYFUNCTION("""COMPUTED_VALUE"""),33554.666666666664)</f>
        <v>33554.66667</v>
      </c>
      <c r="B3002" s="2">
        <f>IFERROR(__xludf.DUMMYFUNCTION("""COMPUTED_VALUE"""),23.73)</f>
        <v>23.73</v>
      </c>
      <c r="C3002" s="2">
        <f>IFERROR(__xludf.DUMMYFUNCTION("""COMPUTED_VALUE"""),24.03)</f>
        <v>24.03</v>
      </c>
      <c r="D3002" s="2">
        <f>IFERROR(__xludf.DUMMYFUNCTION("""COMPUTED_VALUE"""),23.67)</f>
        <v>23.67</v>
      </c>
      <c r="E3002" s="2">
        <f>IFERROR(__xludf.DUMMYFUNCTION("""COMPUTED_VALUE"""),23.73)</f>
        <v>23.73</v>
      </c>
      <c r="F3002" s="2">
        <f>IFERROR(__xludf.DUMMYFUNCTION("""COMPUTED_VALUE"""),1150000.0)</f>
        <v>1150000</v>
      </c>
    </row>
    <row r="3003">
      <c r="A3003" s="3">
        <f>IFERROR(__xludf.DUMMYFUNCTION("""COMPUTED_VALUE"""),33555.666666666664)</f>
        <v>33555.66667</v>
      </c>
      <c r="B3003" s="2">
        <f>IFERROR(__xludf.DUMMYFUNCTION("""COMPUTED_VALUE"""),23.61)</f>
        <v>23.61</v>
      </c>
      <c r="C3003" s="2">
        <f>IFERROR(__xludf.DUMMYFUNCTION("""COMPUTED_VALUE"""),23.67)</f>
        <v>23.67</v>
      </c>
      <c r="D3003" s="2">
        <f>IFERROR(__xludf.DUMMYFUNCTION("""COMPUTED_VALUE"""),23.49)</f>
        <v>23.49</v>
      </c>
      <c r="E3003" s="2">
        <f>IFERROR(__xludf.DUMMYFUNCTION("""COMPUTED_VALUE"""),23.61)</f>
        <v>23.61</v>
      </c>
      <c r="F3003" s="2">
        <f>IFERROR(__xludf.DUMMYFUNCTION("""COMPUTED_VALUE"""),922600.0)</f>
        <v>922600</v>
      </c>
    </row>
    <row r="3004">
      <c r="A3004" s="3">
        <f>IFERROR(__xludf.DUMMYFUNCTION("""COMPUTED_VALUE"""),33556.666666666664)</f>
        <v>33556.66667</v>
      </c>
      <c r="B3004" s="2">
        <f>IFERROR(__xludf.DUMMYFUNCTION("""COMPUTED_VALUE"""),23.88)</f>
        <v>23.88</v>
      </c>
      <c r="C3004" s="2">
        <f>IFERROR(__xludf.DUMMYFUNCTION("""COMPUTED_VALUE"""),23.91)</f>
        <v>23.91</v>
      </c>
      <c r="D3004" s="2">
        <f>IFERROR(__xludf.DUMMYFUNCTION("""COMPUTED_VALUE"""),23.49)</f>
        <v>23.49</v>
      </c>
      <c r="E3004" s="2">
        <f>IFERROR(__xludf.DUMMYFUNCTION("""COMPUTED_VALUE"""),23.88)</f>
        <v>23.88</v>
      </c>
      <c r="F3004" s="2">
        <f>IFERROR(__xludf.DUMMYFUNCTION("""COMPUTED_VALUE"""),1102500.0)</f>
        <v>1102500</v>
      </c>
    </row>
    <row r="3005">
      <c r="A3005" s="3">
        <f>IFERROR(__xludf.DUMMYFUNCTION("""COMPUTED_VALUE"""),33557.666666666664)</f>
        <v>33557.66667</v>
      </c>
      <c r="B3005" s="2">
        <f>IFERROR(__xludf.DUMMYFUNCTION("""COMPUTED_VALUE"""),22.98)</f>
        <v>22.98</v>
      </c>
      <c r="C3005" s="2">
        <f>IFERROR(__xludf.DUMMYFUNCTION("""COMPUTED_VALUE"""),23.91)</f>
        <v>23.91</v>
      </c>
      <c r="D3005" s="2">
        <f>IFERROR(__xludf.DUMMYFUNCTION("""COMPUTED_VALUE"""),22.92)</f>
        <v>22.92</v>
      </c>
      <c r="E3005" s="2">
        <f>IFERROR(__xludf.DUMMYFUNCTION("""COMPUTED_VALUE"""),22.98)</f>
        <v>22.98</v>
      </c>
      <c r="F3005" s="2">
        <f>IFERROR(__xludf.DUMMYFUNCTION("""COMPUTED_VALUE"""),1957300.0)</f>
        <v>1957300</v>
      </c>
    </row>
    <row r="3006">
      <c r="A3006" s="3">
        <f>IFERROR(__xludf.DUMMYFUNCTION("""COMPUTED_VALUE"""),33560.666666666664)</f>
        <v>33560.66667</v>
      </c>
      <c r="B3006" s="2">
        <f>IFERROR(__xludf.DUMMYFUNCTION("""COMPUTED_VALUE"""),23.22)</f>
        <v>23.22</v>
      </c>
      <c r="C3006" s="2">
        <f>IFERROR(__xludf.DUMMYFUNCTION("""COMPUTED_VALUE"""),23.34)</f>
        <v>23.34</v>
      </c>
      <c r="D3006" s="2">
        <f>IFERROR(__xludf.DUMMYFUNCTION("""COMPUTED_VALUE"""),22.98)</f>
        <v>22.98</v>
      </c>
      <c r="E3006" s="2">
        <f>IFERROR(__xludf.DUMMYFUNCTION("""COMPUTED_VALUE"""),23.22)</f>
        <v>23.22</v>
      </c>
      <c r="F3006" s="2">
        <f>IFERROR(__xludf.DUMMYFUNCTION("""COMPUTED_VALUE"""),1711500.0)</f>
        <v>1711500</v>
      </c>
    </row>
    <row r="3007">
      <c r="A3007" s="3">
        <f>IFERROR(__xludf.DUMMYFUNCTION("""COMPUTED_VALUE"""),33561.666666666664)</f>
        <v>33561.66667</v>
      </c>
      <c r="B3007" s="2">
        <f>IFERROR(__xludf.DUMMYFUNCTION("""COMPUTED_VALUE"""),23.04)</f>
        <v>23.04</v>
      </c>
      <c r="C3007" s="2">
        <f>IFERROR(__xludf.DUMMYFUNCTION("""COMPUTED_VALUE"""),23.1)</f>
        <v>23.1</v>
      </c>
      <c r="D3007" s="2">
        <f>IFERROR(__xludf.DUMMYFUNCTION("""COMPUTED_VALUE"""),22.69)</f>
        <v>22.69</v>
      </c>
      <c r="E3007" s="2">
        <f>IFERROR(__xludf.DUMMYFUNCTION("""COMPUTED_VALUE"""),23.04)</f>
        <v>23.04</v>
      </c>
      <c r="F3007" s="2">
        <f>IFERROR(__xludf.DUMMYFUNCTION("""COMPUTED_VALUE"""),2124300.0)</f>
        <v>2124300</v>
      </c>
    </row>
    <row r="3008">
      <c r="A3008" s="3">
        <f>IFERROR(__xludf.DUMMYFUNCTION("""COMPUTED_VALUE"""),33562.666666666664)</f>
        <v>33562.66667</v>
      </c>
      <c r="B3008" s="2">
        <f>IFERROR(__xludf.DUMMYFUNCTION("""COMPUTED_VALUE"""),22.8)</f>
        <v>22.8</v>
      </c>
      <c r="C3008" s="2">
        <f>IFERROR(__xludf.DUMMYFUNCTION("""COMPUTED_VALUE"""),23.25)</f>
        <v>23.25</v>
      </c>
      <c r="D3008" s="2">
        <f>IFERROR(__xludf.DUMMYFUNCTION("""COMPUTED_VALUE"""),22.77)</f>
        <v>22.77</v>
      </c>
      <c r="E3008" s="2">
        <f>IFERROR(__xludf.DUMMYFUNCTION("""COMPUTED_VALUE"""),22.8)</f>
        <v>22.8</v>
      </c>
      <c r="F3008" s="2">
        <f>IFERROR(__xludf.DUMMYFUNCTION("""COMPUTED_VALUE"""),1348200.0)</f>
        <v>1348200</v>
      </c>
    </row>
    <row r="3009">
      <c r="A3009" s="3">
        <f>IFERROR(__xludf.DUMMYFUNCTION("""COMPUTED_VALUE"""),33563.666666666664)</f>
        <v>33563.66667</v>
      </c>
      <c r="B3009" s="2">
        <f>IFERROR(__xludf.DUMMYFUNCTION("""COMPUTED_VALUE"""),22.77)</f>
        <v>22.77</v>
      </c>
      <c r="C3009" s="2">
        <f>IFERROR(__xludf.DUMMYFUNCTION("""COMPUTED_VALUE"""),23.1)</f>
        <v>23.1</v>
      </c>
      <c r="D3009" s="2">
        <f>IFERROR(__xludf.DUMMYFUNCTION("""COMPUTED_VALUE"""),22.72)</f>
        <v>22.72</v>
      </c>
      <c r="E3009" s="2">
        <f>IFERROR(__xludf.DUMMYFUNCTION("""COMPUTED_VALUE"""),22.77)</f>
        <v>22.77</v>
      </c>
      <c r="F3009" s="2">
        <f>IFERROR(__xludf.DUMMYFUNCTION("""COMPUTED_VALUE"""),1527000.0)</f>
        <v>1527000</v>
      </c>
    </row>
    <row r="3010">
      <c r="A3010" s="3">
        <f>IFERROR(__xludf.DUMMYFUNCTION("""COMPUTED_VALUE"""),33564.666666666664)</f>
        <v>33564.66667</v>
      </c>
      <c r="B3010" s="2">
        <f>IFERROR(__xludf.DUMMYFUNCTION("""COMPUTED_VALUE"""),22.63)</f>
        <v>22.63</v>
      </c>
      <c r="C3010" s="2">
        <f>IFERROR(__xludf.DUMMYFUNCTION("""COMPUTED_VALUE"""),22.92)</f>
        <v>22.92</v>
      </c>
      <c r="D3010" s="2">
        <f>IFERROR(__xludf.DUMMYFUNCTION("""COMPUTED_VALUE"""),22.6)</f>
        <v>22.6</v>
      </c>
      <c r="E3010" s="2">
        <f>IFERROR(__xludf.DUMMYFUNCTION("""COMPUTED_VALUE"""),22.63)</f>
        <v>22.63</v>
      </c>
      <c r="F3010" s="2">
        <f>IFERROR(__xludf.DUMMYFUNCTION("""COMPUTED_VALUE"""),1367800.0)</f>
        <v>1367800</v>
      </c>
    </row>
    <row r="3011">
      <c r="A3011" s="3">
        <f>IFERROR(__xludf.DUMMYFUNCTION("""COMPUTED_VALUE"""),33567.666666666664)</f>
        <v>33567.66667</v>
      </c>
      <c r="B3011" s="2">
        <f>IFERROR(__xludf.DUMMYFUNCTION("""COMPUTED_VALUE"""),22.72)</f>
        <v>22.72</v>
      </c>
      <c r="C3011" s="2">
        <f>IFERROR(__xludf.DUMMYFUNCTION("""COMPUTED_VALUE"""),22.83)</f>
        <v>22.83</v>
      </c>
      <c r="D3011" s="2">
        <f>IFERROR(__xludf.DUMMYFUNCTION("""COMPUTED_VALUE"""),22.6)</f>
        <v>22.6</v>
      </c>
      <c r="E3011" s="2">
        <f>IFERROR(__xludf.DUMMYFUNCTION("""COMPUTED_VALUE"""),22.72)</f>
        <v>22.72</v>
      </c>
      <c r="F3011" s="2">
        <f>IFERROR(__xludf.DUMMYFUNCTION("""COMPUTED_VALUE"""),1063500.0)</f>
        <v>1063500</v>
      </c>
    </row>
    <row r="3012">
      <c r="A3012" s="3">
        <f>IFERROR(__xludf.DUMMYFUNCTION("""COMPUTED_VALUE"""),33568.666666666664)</f>
        <v>33568.66667</v>
      </c>
      <c r="B3012" s="2">
        <f>IFERROR(__xludf.DUMMYFUNCTION("""COMPUTED_VALUE"""),23.37)</f>
        <v>23.37</v>
      </c>
      <c r="C3012" s="2">
        <f>IFERROR(__xludf.DUMMYFUNCTION("""COMPUTED_VALUE"""),23.43)</f>
        <v>23.43</v>
      </c>
      <c r="D3012" s="2">
        <f>IFERROR(__xludf.DUMMYFUNCTION("""COMPUTED_VALUE"""),22.6)</f>
        <v>22.6</v>
      </c>
      <c r="E3012" s="2">
        <f>IFERROR(__xludf.DUMMYFUNCTION("""COMPUTED_VALUE"""),23.37)</f>
        <v>23.37</v>
      </c>
      <c r="F3012" s="2">
        <f>IFERROR(__xludf.DUMMYFUNCTION("""COMPUTED_VALUE"""),1947800.0)</f>
        <v>1947800</v>
      </c>
    </row>
    <row r="3013">
      <c r="A3013" s="3">
        <f>IFERROR(__xludf.DUMMYFUNCTION("""COMPUTED_VALUE"""),33569.666666666664)</f>
        <v>33569.66667</v>
      </c>
      <c r="B3013" s="2">
        <f>IFERROR(__xludf.DUMMYFUNCTION("""COMPUTED_VALUE"""),22.51)</f>
        <v>22.51</v>
      </c>
      <c r="C3013" s="2">
        <f>IFERROR(__xludf.DUMMYFUNCTION("""COMPUTED_VALUE"""),23.19)</f>
        <v>23.19</v>
      </c>
      <c r="D3013" s="2">
        <f>IFERROR(__xludf.DUMMYFUNCTION("""COMPUTED_VALUE"""),22.48)</f>
        <v>22.48</v>
      </c>
      <c r="E3013" s="2">
        <f>IFERROR(__xludf.DUMMYFUNCTION("""COMPUTED_VALUE"""),22.51)</f>
        <v>22.51</v>
      </c>
      <c r="F3013" s="2">
        <f>IFERROR(__xludf.DUMMYFUNCTION("""COMPUTED_VALUE"""),1803900.0)</f>
        <v>1803900</v>
      </c>
    </row>
    <row r="3014">
      <c r="A3014" s="3">
        <f>IFERROR(__xludf.DUMMYFUNCTION("""COMPUTED_VALUE"""),33571.666666666664)</f>
        <v>33571.66667</v>
      </c>
      <c r="B3014" s="2">
        <f>IFERROR(__xludf.DUMMYFUNCTION("""COMPUTED_VALUE"""),22.09)</f>
        <v>22.09</v>
      </c>
      <c r="C3014" s="2">
        <f>IFERROR(__xludf.DUMMYFUNCTION("""COMPUTED_VALUE"""),22.42)</f>
        <v>22.42</v>
      </c>
      <c r="D3014" s="2">
        <f>IFERROR(__xludf.DUMMYFUNCTION("""COMPUTED_VALUE"""),22.06)</f>
        <v>22.06</v>
      </c>
      <c r="E3014" s="2">
        <f>IFERROR(__xludf.DUMMYFUNCTION("""COMPUTED_VALUE"""),22.09)</f>
        <v>22.09</v>
      </c>
      <c r="F3014" s="2">
        <f>IFERROR(__xludf.DUMMYFUNCTION("""COMPUTED_VALUE"""),1642400.0)</f>
        <v>1642400</v>
      </c>
    </row>
    <row r="3015">
      <c r="A3015" s="3">
        <f>IFERROR(__xludf.DUMMYFUNCTION("""COMPUTED_VALUE"""),33574.666666666664)</f>
        <v>33574.66667</v>
      </c>
      <c r="B3015" s="2">
        <f>IFERROR(__xludf.DUMMYFUNCTION("""COMPUTED_VALUE"""),22.03)</f>
        <v>22.03</v>
      </c>
      <c r="C3015" s="2">
        <f>IFERROR(__xludf.DUMMYFUNCTION("""COMPUTED_VALUE"""),22.06)</f>
        <v>22.06</v>
      </c>
      <c r="D3015" s="2">
        <f>IFERROR(__xludf.DUMMYFUNCTION("""COMPUTED_VALUE"""),21.64)</f>
        <v>21.64</v>
      </c>
      <c r="E3015" s="2">
        <f>IFERROR(__xludf.DUMMYFUNCTION("""COMPUTED_VALUE"""),22.03)</f>
        <v>22.03</v>
      </c>
      <c r="F3015" s="2">
        <f>IFERROR(__xludf.DUMMYFUNCTION("""COMPUTED_VALUE"""),2347800.0)</f>
        <v>2347800</v>
      </c>
    </row>
    <row r="3016">
      <c r="A3016" s="3">
        <f>IFERROR(__xludf.DUMMYFUNCTION("""COMPUTED_VALUE"""),33575.666666666664)</f>
        <v>33575.66667</v>
      </c>
      <c r="B3016" s="2">
        <f>IFERROR(__xludf.DUMMYFUNCTION("""COMPUTED_VALUE"""),21.79)</f>
        <v>21.79</v>
      </c>
      <c r="C3016" s="2">
        <f>IFERROR(__xludf.DUMMYFUNCTION("""COMPUTED_VALUE"""),22.0)</f>
        <v>22</v>
      </c>
      <c r="D3016" s="2">
        <f>IFERROR(__xludf.DUMMYFUNCTION("""COMPUTED_VALUE"""),21.73)</f>
        <v>21.73</v>
      </c>
      <c r="E3016" s="2">
        <f>IFERROR(__xludf.DUMMYFUNCTION("""COMPUTED_VALUE"""),21.79)</f>
        <v>21.79</v>
      </c>
      <c r="F3016" s="2">
        <f>IFERROR(__xludf.DUMMYFUNCTION("""COMPUTED_VALUE"""),1563600.0)</f>
        <v>1563600</v>
      </c>
    </row>
    <row r="3017">
      <c r="A3017" s="3">
        <f>IFERROR(__xludf.DUMMYFUNCTION("""COMPUTED_VALUE"""),33576.666666666664)</f>
        <v>33576.66667</v>
      </c>
      <c r="B3017" s="2">
        <f>IFERROR(__xludf.DUMMYFUNCTION("""COMPUTED_VALUE"""),21.49)</f>
        <v>21.49</v>
      </c>
      <c r="C3017" s="2">
        <f>IFERROR(__xludf.DUMMYFUNCTION("""COMPUTED_VALUE"""),21.85)</f>
        <v>21.85</v>
      </c>
      <c r="D3017" s="2">
        <f>IFERROR(__xludf.DUMMYFUNCTION("""COMPUTED_VALUE"""),21.49)</f>
        <v>21.49</v>
      </c>
      <c r="E3017" s="2">
        <f>IFERROR(__xludf.DUMMYFUNCTION("""COMPUTED_VALUE"""),21.49)</f>
        <v>21.49</v>
      </c>
      <c r="F3017" s="2">
        <f>IFERROR(__xludf.DUMMYFUNCTION("""COMPUTED_VALUE"""),2340000.0)</f>
        <v>2340000</v>
      </c>
    </row>
    <row r="3018">
      <c r="A3018" s="3">
        <f>IFERROR(__xludf.DUMMYFUNCTION("""COMPUTED_VALUE"""),33577.666666666664)</f>
        <v>33577.66667</v>
      </c>
      <c r="B3018" s="2">
        <f>IFERROR(__xludf.DUMMYFUNCTION("""COMPUTED_VALUE"""),21.55)</f>
        <v>21.55</v>
      </c>
      <c r="C3018" s="2">
        <f>IFERROR(__xludf.DUMMYFUNCTION("""COMPUTED_VALUE"""),21.76)</f>
        <v>21.76</v>
      </c>
      <c r="D3018" s="2">
        <f>IFERROR(__xludf.DUMMYFUNCTION("""COMPUTED_VALUE"""),21.52)</f>
        <v>21.52</v>
      </c>
      <c r="E3018" s="2">
        <f>IFERROR(__xludf.DUMMYFUNCTION("""COMPUTED_VALUE"""),21.55)</f>
        <v>21.55</v>
      </c>
      <c r="F3018" s="2">
        <f>IFERROR(__xludf.DUMMYFUNCTION("""COMPUTED_VALUE"""),1892800.0)</f>
        <v>1892800</v>
      </c>
    </row>
    <row r="3019">
      <c r="A3019" s="3">
        <f>IFERROR(__xludf.DUMMYFUNCTION("""COMPUTED_VALUE"""),33578.666666666664)</f>
        <v>33578.66667</v>
      </c>
      <c r="B3019" s="2">
        <f>IFERROR(__xludf.DUMMYFUNCTION("""COMPUTED_VALUE"""),21.25)</f>
        <v>21.25</v>
      </c>
      <c r="C3019" s="2">
        <f>IFERROR(__xludf.DUMMYFUNCTION("""COMPUTED_VALUE"""),21.55)</f>
        <v>21.55</v>
      </c>
      <c r="D3019" s="2">
        <f>IFERROR(__xludf.DUMMYFUNCTION("""COMPUTED_VALUE"""),21.25)</f>
        <v>21.25</v>
      </c>
      <c r="E3019" s="2">
        <f>IFERROR(__xludf.DUMMYFUNCTION("""COMPUTED_VALUE"""),21.25)</f>
        <v>21.25</v>
      </c>
      <c r="F3019" s="2">
        <f>IFERROR(__xludf.DUMMYFUNCTION("""COMPUTED_VALUE"""),2696600.0)</f>
        <v>2696600</v>
      </c>
    </row>
    <row r="3020">
      <c r="A3020" s="3">
        <f>IFERROR(__xludf.DUMMYFUNCTION("""COMPUTED_VALUE"""),33581.666666666664)</f>
        <v>33581.66667</v>
      </c>
      <c r="B3020" s="2">
        <f>IFERROR(__xludf.DUMMYFUNCTION("""COMPUTED_VALUE"""),20.33)</f>
        <v>20.33</v>
      </c>
      <c r="C3020" s="2">
        <f>IFERROR(__xludf.DUMMYFUNCTION("""COMPUTED_VALUE"""),21.43)</f>
        <v>21.43</v>
      </c>
      <c r="D3020" s="2">
        <f>IFERROR(__xludf.DUMMYFUNCTION("""COMPUTED_VALUE"""),20.21)</f>
        <v>20.21</v>
      </c>
      <c r="E3020" s="2">
        <f>IFERROR(__xludf.DUMMYFUNCTION("""COMPUTED_VALUE"""),20.33)</f>
        <v>20.33</v>
      </c>
      <c r="F3020" s="2">
        <f>IFERROR(__xludf.DUMMYFUNCTION("""COMPUTED_VALUE"""),3814900.0)</f>
        <v>3814900</v>
      </c>
    </row>
    <row r="3021">
      <c r="A3021" s="3">
        <f>IFERROR(__xludf.DUMMYFUNCTION("""COMPUTED_VALUE"""),33582.666666666664)</f>
        <v>33582.66667</v>
      </c>
      <c r="B3021" s="2">
        <f>IFERROR(__xludf.DUMMYFUNCTION("""COMPUTED_VALUE"""),20.6)</f>
        <v>20.6</v>
      </c>
      <c r="C3021" s="2">
        <f>IFERROR(__xludf.DUMMYFUNCTION("""COMPUTED_VALUE"""),20.66)</f>
        <v>20.66</v>
      </c>
      <c r="D3021" s="2">
        <f>IFERROR(__xludf.DUMMYFUNCTION("""COMPUTED_VALUE"""),19.94)</f>
        <v>19.94</v>
      </c>
      <c r="E3021" s="2">
        <f>IFERROR(__xludf.DUMMYFUNCTION("""COMPUTED_VALUE"""),20.6)</f>
        <v>20.6</v>
      </c>
      <c r="F3021" s="2">
        <f>IFERROR(__xludf.DUMMYFUNCTION("""COMPUTED_VALUE"""),5007000.0)</f>
        <v>5007000</v>
      </c>
    </row>
    <row r="3022">
      <c r="A3022" s="3">
        <f>IFERROR(__xludf.DUMMYFUNCTION("""COMPUTED_VALUE"""),33583.666666666664)</f>
        <v>33583.66667</v>
      </c>
      <c r="B3022" s="2">
        <f>IFERROR(__xludf.DUMMYFUNCTION("""COMPUTED_VALUE"""),20.95)</f>
        <v>20.95</v>
      </c>
      <c r="C3022" s="2">
        <f>IFERROR(__xludf.DUMMYFUNCTION("""COMPUTED_VALUE"""),20.98)</f>
        <v>20.98</v>
      </c>
      <c r="D3022" s="2">
        <f>IFERROR(__xludf.DUMMYFUNCTION("""COMPUTED_VALUE"""),20.45)</f>
        <v>20.45</v>
      </c>
      <c r="E3022" s="2">
        <f>IFERROR(__xludf.DUMMYFUNCTION("""COMPUTED_VALUE"""),20.95)</f>
        <v>20.95</v>
      </c>
      <c r="F3022" s="2">
        <f>IFERROR(__xludf.DUMMYFUNCTION("""COMPUTED_VALUE"""),2590200.0)</f>
        <v>2590200</v>
      </c>
    </row>
    <row r="3023">
      <c r="A3023" s="3">
        <f>IFERROR(__xludf.DUMMYFUNCTION("""COMPUTED_VALUE"""),33584.666666666664)</f>
        <v>33584.66667</v>
      </c>
      <c r="B3023" s="2">
        <f>IFERROR(__xludf.DUMMYFUNCTION("""COMPUTED_VALUE"""),21.16)</f>
        <v>21.16</v>
      </c>
      <c r="C3023" s="2">
        <f>IFERROR(__xludf.DUMMYFUNCTION("""COMPUTED_VALUE"""),21.31)</f>
        <v>21.31</v>
      </c>
      <c r="D3023" s="2">
        <f>IFERROR(__xludf.DUMMYFUNCTION("""COMPUTED_VALUE"""),21.01)</f>
        <v>21.01</v>
      </c>
      <c r="E3023" s="2">
        <f>IFERROR(__xludf.DUMMYFUNCTION("""COMPUTED_VALUE"""),21.16)</f>
        <v>21.16</v>
      </c>
      <c r="F3023" s="2">
        <f>IFERROR(__xludf.DUMMYFUNCTION("""COMPUTED_VALUE"""),2093100.0)</f>
        <v>2093100</v>
      </c>
    </row>
    <row r="3024">
      <c r="A3024" s="3">
        <f>IFERROR(__xludf.DUMMYFUNCTION("""COMPUTED_VALUE"""),33585.666666666664)</f>
        <v>33585.66667</v>
      </c>
      <c r="B3024" s="2">
        <f>IFERROR(__xludf.DUMMYFUNCTION("""COMPUTED_VALUE"""),21.01)</f>
        <v>21.01</v>
      </c>
      <c r="C3024" s="2">
        <f>IFERROR(__xludf.DUMMYFUNCTION("""COMPUTED_VALUE"""),21.22)</f>
        <v>21.22</v>
      </c>
      <c r="D3024" s="2">
        <f>IFERROR(__xludf.DUMMYFUNCTION("""COMPUTED_VALUE"""),20.83)</f>
        <v>20.83</v>
      </c>
      <c r="E3024" s="2">
        <f>IFERROR(__xludf.DUMMYFUNCTION("""COMPUTED_VALUE"""),21.01)</f>
        <v>21.01</v>
      </c>
      <c r="F3024" s="2">
        <f>IFERROR(__xludf.DUMMYFUNCTION("""COMPUTED_VALUE"""),1779300.0)</f>
        <v>1779300</v>
      </c>
    </row>
    <row r="3025">
      <c r="A3025" s="3">
        <f>IFERROR(__xludf.DUMMYFUNCTION("""COMPUTED_VALUE"""),33588.666666666664)</f>
        <v>33588.66667</v>
      </c>
      <c r="B3025" s="2">
        <f>IFERROR(__xludf.DUMMYFUNCTION("""COMPUTED_VALUE"""),20.75)</f>
        <v>20.75</v>
      </c>
      <c r="C3025" s="2">
        <f>IFERROR(__xludf.DUMMYFUNCTION("""COMPUTED_VALUE"""),21.01)</f>
        <v>21.01</v>
      </c>
      <c r="D3025" s="2">
        <f>IFERROR(__xludf.DUMMYFUNCTION("""COMPUTED_VALUE"""),20.72)</f>
        <v>20.72</v>
      </c>
      <c r="E3025" s="2">
        <f>IFERROR(__xludf.DUMMYFUNCTION("""COMPUTED_VALUE"""),20.75)</f>
        <v>20.75</v>
      </c>
      <c r="F3025" s="2">
        <f>IFERROR(__xludf.DUMMYFUNCTION("""COMPUTED_VALUE"""),1292100.0)</f>
        <v>1292100</v>
      </c>
    </row>
    <row r="3026">
      <c r="A3026" s="3">
        <f>IFERROR(__xludf.DUMMYFUNCTION("""COMPUTED_VALUE"""),33589.666666666664)</f>
        <v>33589.66667</v>
      </c>
      <c r="B3026" s="2">
        <f>IFERROR(__xludf.DUMMYFUNCTION("""COMPUTED_VALUE"""),20.42)</f>
        <v>20.42</v>
      </c>
      <c r="C3026" s="2">
        <f>IFERROR(__xludf.DUMMYFUNCTION("""COMPUTED_VALUE"""),20.77)</f>
        <v>20.77</v>
      </c>
      <c r="D3026" s="2">
        <f>IFERROR(__xludf.DUMMYFUNCTION("""COMPUTED_VALUE"""),20.36)</f>
        <v>20.36</v>
      </c>
      <c r="E3026" s="2">
        <f>IFERROR(__xludf.DUMMYFUNCTION("""COMPUTED_VALUE"""),20.42)</f>
        <v>20.42</v>
      </c>
      <c r="F3026" s="2">
        <f>IFERROR(__xludf.DUMMYFUNCTION("""COMPUTED_VALUE"""),1482000.0)</f>
        <v>1482000</v>
      </c>
    </row>
    <row r="3027">
      <c r="A3027" s="3">
        <f>IFERROR(__xludf.DUMMYFUNCTION("""COMPUTED_VALUE"""),33590.666666666664)</f>
        <v>33590.66667</v>
      </c>
      <c r="B3027" s="2">
        <f>IFERROR(__xludf.DUMMYFUNCTION("""COMPUTED_VALUE"""),20.6)</f>
        <v>20.6</v>
      </c>
      <c r="C3027" s="2">
        <f>IFERROR(__xludf.DUMMYFUNCTION("""COMPUTED_VALUE"""),20.75)</f>
        <v>20.75</v>
      </c>
      <c r="D3027" s="2">
        <f>IFERROR(__xludf.DUMMYFUNCTION("""COMPUTED_VALUE"""),20.27)</f>
        <v>20.27</v>
      </c>
      <c r="E3027" s="2">
        <f>IFERROR(__xludf.DUMMYFUNCTION("""COMPUTED_VALUE"""),20.6)</f>
        <v>20.6</v>
      </c>
      <c r="F3027" s="2">
        <f>IFERROR(__xludf.DUMMYFUNCTION("""COMPUTED_VALUE"""),1906000.0)</f>
        <v>1906000</v>
      </c>
    </row>
    <row r="3028">
      <c r="A3028" s="3">
        <f>IFERROR(__xludf.DUMMYFUNCTION("""COMPUTED_VALUE"""),33591.666666666664)</f>
        <v>33591.66667</v>
      </c>
      <c r="B3028" s="2">
        <f>IFERROR(__xludf.DUMMYFUNCTION("""COMPUTED_VALUE"""),20.27)</f>
        <v>20.27</v>
      </c>
      <c r="C3028" s="2">
        <f>IFERROR(__xludf.DUMMYFUNCTION("""COMPUTED_VALUE"""),20.51)</f>
        <v>20.51</v>
      </c>
      <c r="D3028" s="2">
        <f>IFERROR(__xludf.DUMMYFUNCTION("""COMPUTED_VALUE"""),20.18)</f>
        <v>20.18</v>
      </c>
      <c r="E3028" s="2">
        <f>IFERROR(__xludf.DUMMYFUNCTION("""COMPUTED_VALUE"""),20.27)</f>
        <v>20.27</v>
      </c>
      <c r="F3028" s="2">
        <f>IFERROR(__xludf.DUMMYFUNCTION("""COMPUTED_VALUE"""),1902400.0)</f>
        <v>1902400</v>
      </c>
    </row>
    <row r="3029">
      <c r="A3029" s="3">
        <f>IFERROR(__xludf.DUMMYFUNCTION("""COMPUTED_VALUE"""),33592.666666666664)</f>
        <v>33592.66667</v>
      </c>
      <c r="B3029" s="2">
        <f>IFERROR(__xludf.DUMMYFUNCTION("""COMPUTED_VALUE"""),20.48)</f>
        <v>20.48</v>
      </c>
      <c r="C3029" s="2">
        <f>IFERROR(__xludf.DUMMYFUNCTION("""COMPUTED_VALUE"""),20.6)</f>
        <v>20.6</v>
      </c>
      <c r="D3029" s="2">
        <f>IFERROR(__xludf.DUMMYFUNCTION("""COMPUTED_VALUE"""),20.3)</f>
        <v>20.3</v>
      </c>
      <c r="E3029" s="2">
        <f>IFERROR(__xludf.DUMMYFUNCTION("""COMPUTED_VALUE"""),20.48)</f>
        <v>20.48</v>
      </c>
      <c r="F3029" s="2">
        <f>IFERROR(__xludf.DUMMYFUNCTION("""COMPUTED_VALUE"""),3223300.0)</f>
        <v>3223300</v>
      </c>
    </row>
    <row r="3030">
      <c r="A3030" s="3">
        <f>IFERROR(__xludf.DUMMYFUNCTION("""COMPUTED_VALUE"""),33595.666666666664)</f>
        <v>33595.66667</v>
      </c>
      <c r="B3030" s="2">
        <f>IFERROR(__xludf.DUMMYFUNCTION("""COMPUTED_VALUE"""),21.07)</f>
        <v>21.07</v>
      </c>
      <c r="C3030" s="2">
        <f>IFERROR(__xludf.DUMMYFUNCTION("""COMPUTED_VALUE"""),21.13)</f>
        <v>21.13</v>
      </c>
      <c r="D3030" s="2">
        <f>IFERROR(__xludf.DUMMYFUNCTION("""COMPUTED_VALUE"""),20.42)</f>
        <v>20.42</v>
      </c>
      <c r="E3030" s="2">
        <f>IFERROR(__xludf.DUMMYFUNCTION("""COMPUTED_VALUE"""),21.07)</f>
        <v>21.07</v>
      </c>
      <c r="F3030" s="2">
        <f>IFERROR(__xludf.DUMMYFUNCTION("""COMPUTED_VALUE"""),2326300.0)</f>
        <v>2326300</v>
      </c>
    </row>
    <row r="3031">
      <c r="A3031" s="3">
        <f>IFERROR(__xludf.DUMMYFUNCTION("""COMPUTED_VALUE"""),33596.666666666664)</f>
        <v>33596.66667</v>
      </c>
      <c r="B3031" s="2">
        <f>IFERROR(__xludf.DUMMYFUNCTION("""COMPUTED_VALUE"""),21.04)</f>
        <v>21.04</v>
      </c>
      <c r="C3031" s="2">
        <f>IFERROR(__xludf.DUMMYFUNCTION("""COMPUTED_VALUE"""),21.49)</f>
        <v>21.49</v>
      </c>
      <c r="D3031" s="2">
        <f>IFERROR(__xludf.DUMMYFUNCTION("""COMPUTED_VALUE"""),20.98)</f>
        <v>20.98</v>
      </c>
      <c r="E3031" s="2">
        <f>IFERROR(__xludf.DUMMYFUNCTION("""COMPUTED_VALUE"""),21.04)</f>
        <v>21.04</v>
      </c>
      <c r="F3031" s="2">
        <f>IFERROR(__xludf.DUMMYFUNCTION("""COMPUTED_VALUE"""),1718800.0)</f>
        <v>1718800</v>
      </c>
    </row>
    <row r="3032">
      <c r="A3032" s="3">
        <f>IFERROR(__xludf.DUMMYFUNCTION("""COMPUTED_VALUE"""),33598.666666666664)</f>
        <v>33598.66667</v>
      </c>
      <c r="B3032" s="2">
        <f>IFERROR(__xludf.DUMMYFUNCTION("""COMPUTED_VALUE"""),21.07)</f>
        <v>21.07</v>
      </c>
      <c r="C3032" s="2">
        <f>IFERROR(__xludf.DUMMYFUNCTION("""COMPUTED_VALUE"""),21.22)</f>
        <v>21.22</v>
      </c>
      <c r="D3032" s="2">
        <f>IFERROR(__xludf.DUMMYFUNCTION("""COMPUTED_VALUE"""),20.89)</f>
        <v>20.89</v>
      </c>
      <c r="E3032" s="2">
        <f>IFERROR(__xludf.DUMMYFUNCTION("""COMPUTED_VALUE"""),21.07)</f>
        <v>21.07</v>
      </c>
      <c r="F3032" s="2">
        <f>IFERROR(__xludf.DUMMYFUNCTION("""COMPUTED_VALUE"""),1228800.0)</f>
        <v>1228800</v>
      </c>
    </row>
    <row r="3033">
      <c r="A3033" s="3">
        <f>IFERROR(__xludf.DUMMYFUNCTION("""COMPUTED_VALUE"""),33599.666666666664)</f>
        <v>33599.66667</v>
      </c>
      <c r="B3033" s="2">
        <f>IFERROR(__xludf.DUMMYFUNCTION("""COMPUTED_VALUE"""),21.34)</f>
        <v>21.34</v>
      </c>
      <c r="C3033" s="2">
        <f>IFERROR(__xludf.DUMMYFUNCTION("""COMPUTED_VALUE"""),21.4)</f>
        <v>21.4</v>
      </c>
      <c r="D3033" s="2">
        <f>IFERROR(__xludf.DUMMYFUNCTION("""COMPUTED_VALUE"""),21.1)</f>
        <v>21.1</v>
      </c>
      <c r="E3033" s="2">
        <f>IFERROR(__xludf.DUMMYFUNCTION("""COMPUTED_VALUE"""),21.34)</f>
        <v>21.34</v>
      </c>
      <c r="F3033" s="2">
        <f>IFERROR(__xludf.DUMMYFUNCTION("""COMPUTED_VALUE"""),1541000.0)</f>
        <v>1541000</v>
      </c>
    </row>
    <row r="3034">
      <c r="A3034" s="3">
        <f>IFERROR(__xludf.DUMMYFUNCTION("""COMPUTED_VALUE"""),33602.666666666664)</f>
        <v>33602.66667</v>
      </c>
      <c r="B3034" s="2">
        <f>IFERROR(__xludf.DUMMYFUNCTION("""COMPUTED_VALUE"""),21.58)</f>
        <v>21.58</v>
      </c>
      <c r="C3034" s="2">
        <f>IFERROR(__xludf.DUMMYFUNCTION("""COMPUTED_VALUE"""),21.67)</f>
        <v>21.67</v>
      </c>
      <c r="D3034" s="2">
        <f>IFERROR(__xludf.DUMMYFUNCTION("""COMPUTED_VALUE"""),21.28)</f>
        <v>21.28</v>
      </c>
      <c r="E3034" s="2">
        <f>IFERROR(__xludf.DUMMYFUNCTION("""COMPUTED_VALUE"""),21.58)</f>
        <v>21.58</v>
      </c>
      <c r="F3034" s="2">
        <f>IFERROR(__xludf.DUMMYFUNCTION("""COMPUTED_VALUE"""),1946200.0)</f>
        <v>1946200</v>
      </c>
    </row>
    <row r="3035">
      <c r="A3035" s="3">
        <f>IFERROR(__xludf.DUMMYFUNCTION("""COMPUTED_VALUE"""),33603.666666666664)</f>
        <v>33603.66667</v>
      </c>
      <c r="B3035" s="2">
        <f>IFERROR(__xludf.DUMMYFUNCTION("""COMPUTED_VALUE"""),21.25)</f>
        <v>21.25</v>
      </c>
      <c r="C3035" s="2">
        <f>IFERROR(__xludf.DUMMYFUNCTION("""COMPUTED_VALUE"""),21.76)</f>
        <v>21.76</v>
      </c>
      <c r="D3035" s="2">
        <f>IFERROR(__xludf.DUMMYFUNCTION("""COMPUTED_VALUE"""),21.22)</f>
        <v>21.22</v>
      </c>
      <c r="E3035" s="2">
        <f>IFERROR(__xludf.DUMMYFUNCTION("""COMPUTED_VALUE"""),21.25)</f>
        <v>21.25</v>
      </c>
      <c r="F3035" s="2">
        <f>IFERROR(__xludf.DUMMYFUNCTION("""COMPUTED_VALUE"""),1906500.0)</f>
        <v>1906500</v>
      </c>
    </row>
    <row r="3036">
      <c r="A3036" s="3">
        <f>IFERROR(__xludf.DUMMYFUNCTION("""COMPUTED_VALUE"""),33605.666666666664)</f>
        <v>33605.66667</v>
      </c>
      <c r="B3036" s="2">
        <f>IFERROR(__xludf.DUMMYFUNCTION("""COMPUTED_VALUE"""),21.55)</f>
        <v>21.55</v>
      </c>
      <c r="C3036" s="2">
        <f>IFERROR(__xludf.DUMMYFUNCTION("""COMPUTED_VALUE"""),21.64)</f>
        <v>21.64</v>
      </c>
      <c r="D3036" s="2">
        <f>IFERROR(__xludf.DUMMYFUNCTION("""COMPUTED_VALUE"""),21.22)</f>
        <v>21.22</v>
      </c>
      <c r="E3036" s="2">
        <f>IFERROR(__xludf.DUMMYFUNCTION("""COMPUTED_VALUE"""),21.55)</f>
        <v>21.55</v>
      </c>
      <c r="F3036" s="2">
        <f>IFERROR(__xludf.DUMMYFUNCTION("""COMPUTED_VALUE"""),1780900.0)</f>
        <v>1780900</v>
      </c>
    </row>
    <row r="3037">
      <c r="A3037" s="3">
        <f>IFERROR(__xludf.DUMMYFUNCTION("""COMPUTED_VALUE"""),33606.666666666664)</f>
        <v>33606.66667</v>
      </c>
      <c r="B3037" s="2">
        <f>IFERROR(__xludf.DUMMYFUNCTION("""COMPUTED_VALUE"""),21.58)</f>
        <v>21.58</v>
      </c>
      <c r="C3037" s="2">
        <f>IFERROR(__xludf.DUMMYFUNCTION("""COMPUTED_VALUE"""),21.76)</f>
        <v>21.76</v>
      </c>
      <c r="D3037" s="2">
        <f>IFERROR(__xludf.DUMMYFUNCTION("""COMPUTED_VALUE"""),21.49)</f>
        <v>21.49</v>
      </c>
      <c r="E3037" s="2">
        <f>IFERROR(__xludf.DUMMYFUNCTION("""COMPUTED_VALUE"""),21.58)</f>
        <v>21.58</v>
      </c>
      <c r="F3037" s="2">
        <f>IFERROR(__xludf.DUMMYFUNCTION("""COMPUTED_VALUE"""),1450600.0)</f>
        <v>1450600</v>
      </c>
    </row>
    <row r="3038">
      <c r="A3038" s="3">
        <f>IFERROR(__xludf.DUMMYFUNCTION("""COMPUTED_VALUE"""),33609.666666666664)</f>
        <v>33609.66667</v>
      </c>
      <c r="B3038" s="2">
        <f>IFERROR(__xludf.DUMMYFUNCTION("""COMPUTED_VALUE"""),22.03)</f>
        <v>22.03</v>
      </c>
      <c r="C3038" s="2">
        <f>IFERROR(__xludf.DUMMYFUNCTION("""COMPUTED_VALUE"""),22.24)</f>
        <v>22.24</v>
      </c>
      <c r="D3038" s="2">
        <f>IFERROR(__xludf.DUMMYFUNCTION("""COMPUTED_VALUE"""),21.7)</f>
        <v>21.7</v>
      </c>
      <c r="E3038" s="2">
        <f>IFERROR(__xludf.DUMMYFUNCTION("""COMPUTED_VALUE"""),22.03)</f>
        <v>22.03</v>
      </c>
      <c r="F3038" s="2">
        <f>IFERROR(__xludf.DUMMYFUNCTION("""COMPUTED_VALUE"""),2198500.0)</f>
        <v>2198500</v>
      </c>
    </row>
    <row r="3039">
      <c r="A3039" s="3">
        <f>IFERROR(__xludf.DUMMYFUNCTION("""COMPUTED_VALUE"""),33610.666666666664)</f>
        <v>33610.66667</v>
      </c>
      <c r="B3039" s="2">
        <f>IFERROR(__xludf.DUMMYFUNCTION("""COMPUTED_VALUE"""),22.6)</f>
        <v>22.6</v>
      </c>
      <c r="C3039" s="2">
        <f>IFERROR(__xludf.DUMMYFUNCTION("""COMPUTED_VALUE"""),22.63)</f>
        <v>22.63</v>
      </c>
      <c r="D3039" s="2">
        <f>IFERROR(__xludf.DUMMYFUNCTION("""COMPUTED_VALUE"""),21.94)</f>
        <v>21.94</v>
      </c>
      <c r="E3039" s="2">
        <f>IFERROR(__xludf.DUMMYFUNCTION("""COMPUTED_VALUE"""),22.6)</f>
        <v>22.6</v>
      </c>
      <c r="F3039" s="2">
        <f>IFERROR(__xludf.DUMMYFUNCTION("""COMPUTED_VALUE"""),1973000.0)</f>
        <v>1973000</v>
      </c>
    </row>
    <row r="3040">
      <c r="A3040" s="3">
        <f>IFERROR(__xludf.DUMMYFUNCTION("""COMPUTED_VALUE"""),33611.666666666664)</f>
        <v>33611.66667</v>
      </c>
      <c r="B3040" s="2">
        <f>IFERROR(__xludf.DUMMYFUNCTION("""COMPUTED_VALUE"""),22.06)</f>
        <v>22.06</v>
      </c>
      <c r="C3040" s="2">
        <f>IFERROR(__xludf.DUMMYFUNCTION("""COMPUTED_VALUE"""),22.69)</f>
        <v>22.69</v>
      </c>
      <c r="D3040" s="2">
        <f>IFERROR(__xludf.DUMMYFUNCTION("""COMPUTED_VALUE"""),22.03)</f>
        <v>22.03</v>
      </c>
      <c r="E3040" s="2">
        <f>IFERROR(__xludf.DUMMYFUNCTION("""COMPUTED_VALUE"""),22.06)</f>
        <v>22.06</v>
      </c>
      <c r="F3040" s="2">
        <f>IFERROR(__xludf.DUMMYFUNCTION("""COMPUTED_VALUE"""),2515900.0)</f>
        <v>2515900</v>
      </c>
    </row>
    <row r="3041">
      <c r="A3041" s="3">
        <f>IFERROR(__xludf.DUMMYFUNCTION("""COMPUTED_VALUE"""),33612.666666666664)</f>
        <v>33612.66667</v>
      </c>
      <c r="B3041" s="2">
        <f>IFERROR(__xludf.DUMMYFUNCTION("""COMPUTED_VALUE"""),21.79)</f>
        <v>21.79</v>
      </c>
      <c r="C3041" s="2">
        <f>IFERROR(__xludf.DUMMYFUNCTION("""COMPUTED_VALUE"""),22.51)</f>
        <v>22.51</v>
      </c>
      <c r="D3041" s="2">
        <f>IFERROR(__xludf.DUMMYFUNCTION("""COMPUTED_VALUE"""),21.79)</f>
        <v>21.79</v>
      </c>
      <c r="E3041" s="2">
        <f>IFERROR(__xludf.DUMMYFUNCTION("""COMPUTED_VALUE"""),21.79)</f>
        <v>21.79</v>
      </c>
      <c r="F3041" s="2">
        <f>IFERROR(__xludf.DUMMYFUNCTION("""COMPUTED_VALUE"""),2040100.0)</f>
        <v>2040100</v>
      </c>
    </row>
    <row r="3042">
      <c r="A3042" s="3">
        <f>IFERROR(__xludf.DUMMYFUNCTION("""COMPUTED_VALUE"""),33613.666666666664)</f>
        <v>33613.66667</v>
      </c>
      <c r="B3042" s="2">
        <f>IFERROR(__xludf.DUMMYFUNCTION("""COMPUTED_VALUE"""),21.7)</f>
        <v>21.7</v>
      </c>
      <c r="C3042" s="2">
        <f>IFERROR(__xludf.DUMMYFUNCTION("""COMPUTED_VALUE"""),22.09)</f>
        <v>22.09</v>
      </c>
      <c r="D3042" s="2">
        <f>IFERROR(__xludf.DUMMYFUNCTION("""COMPUTED_VALUE"""),21.64)</f>
        <v>21.64</v>
      </c>
      <c r="E3042" s="2">
        <f>IFERROR(__xludf.DUMMYFUNCTION("""COMPUTED_VALUE"""),21.7)</f>
        <v>21.7</v>
      </c>
      <c r="F3042" s="2">
        <f>IFERROR(__xludf.DUMMYFUNCTION("""COMPUTED_VALUE"""),1611500.0)</f>
        <v>1611500</v>
      </c>
    </row>
    <row r="3043">
      <c r="A3043" s="3">
        <f>IFERROR(__xludf.DUMMYFUNCTION("""COMPUTED_VALUE"""),33616.666666666664)</f>
        <v>33616.66667</v>
      </c>
      <c r="B3043" s="2">
        <f>IFERROR(__xludf.DUMMYFUNCTION("""COMPUTED_VALUE"""),21.55)</f>
        <v>21.55</v>
      </c>
      <c r="C3043" s="2">
        <f>IFERROR(__xludf.DUMMYFUNCTION("""COMPUTED_VALUE"""),21.7)</f>
        <v>21.7</v>
      </c>
      <c r="D3043" s="2">
        <f>IFERROR(__xludf.DUMMYFUNCTION("""COMPUTED_VALUE"""),21.43)</f>
        <v>21.43</v>
      </c>
      <c r="E3043" s="2">
        <f>IFERROR(__xludf.DUMMYFUNCTION("""COMPUTED_VALUE"""),21.55)</f>
        <v>21.55</v>
      </c>
      <c r="F3043" s="2">
        <f>IFERROR(__xludf.DUMMYFUNCTION("""COMPUTED_VALUE"""),1333300.0)</f>
        <v>1333300</v>
      </c>
    </row>
    <row r="3044">
      <c r="A3044" s="3">
        <f>IFERROR(__xludf.DUMMYFUNCTION("""COMPUTED_VALUE"""),33617.666666666664)</f>
        <v>33617.66667</v>
      </c>
      <c r="B3044" s="2">
        <f>IFERROR(__xludf.DUMMYFUNCTION("""COMPUTED_VALUE"""),22.06)</f>
        <v>22.06</v>
      </c>
      <c r="C3044" s="2">
        <f>IFERROR(__xludf.DUMMYFUNCTION("""COMPUTED_VALUE"""),22.09)</f>
        <v>22.09</v>
      </c>
      <c r="D3044" s="2">
        <f>IFERROR(__xludf.DUMMYFUNCTION("""COMPUTED_VALUE"""),21.55)</f>
        <v>21.55</v>
      </c>
      <c r="E3044" s="2">
        <f>IFERROR(__xludf.DUMMYFUNCTION("""COMPUTED_VALUE"""),22.06)</f>
        <v>22.06</v>
      </c>
      <c r="F3044" s="2">
        <f>IFERROR(__xludf.DUMMYFUNCTION("""COMPUTED_VALUE"""),1337900.0)</f>
        <v>1337900</v>
      </c>
    </row>
    <row r="3045">
      <c r="A3045" s="3">
        <f>IFERROR(__xludf.DUMMYFUNCTION("""COMPUTED_VALUE"""),33618.666666666664)</f>
        <v>33618.66667</v>
      </c>
      <c r="B3045" s="2">
        <f>IFERROR(__xludf.DUMMYFUNCTION("""COMPUTED_VALUE"""),22.77)</f>
        <v>22.77</v>
      </c>
      <c r="C3045" s="2">
        <f>IFERROR(__xludf.DUMMYFUNCTION("""COMPUTED_VALUE"""),22.86)</f>
        <v>22.86</v>
      </c>
      <c r="D3045" s="2">
        <f>IFERROR(__xludf.DUMMYFUNCTION("""COMPUTED_VALUE"""),22.33)</f>
        <v>22.33</v>
      </c>
      <c r="E3045" s="2">
        <f>IFERROR(__xludf.DUMMYFUNCTION("""COMPUTED_VALUE"""),22.77)</f>
        <v>22.77</v>
      </c>
      <c r="F3045" s="2">
        <f>IFERROR(__xludf.DUMMYFUNCTION("""COMPUTED_VALUE"""),3103900.0)</f>
        <v>3103900</v>
      </c>
    </row>
    <row r="3046">
      <c r="A3046" s="3">
        <f>IFERROR(__xludf.DUMMYFUNCTION("""COMPUTED_VALUE"""),33619.666666666664)</f>
        <v>33619.66667</v>
      </c>
      <c r="B3046" s="2">
        <f>IFERROR(__xludf.DUMMYFUNCTION("""COMPUTED_VALUE"""),22.8)</f>
        <v>22.8</v>
      </c>
      <c r="C3046" s="2">
        <f>IFERROR(__xludf.DUMMYFUNCTION("""COMPUTED_VALUE"""),23.19)</f>
        <v>23.19</v>
      </c>
      <c r="D3046" s="2">
        <f>IFERROR(__xludf.DUMMYFUNCTION("""COMPUTED_VALUE"""),22.69)</f>
        <v>22.69</v>
      </c>
      <c r="E3046" s="2">
        <f>IFERROR(__xludf.DUMMYFUNCTION("""COMPUTED_VALUE"""),22.8)</f>
        <v>22.8</v>
      </c>
      <c r="F3046" s="2">
        <f>IFERROR(__xludf.DUMMYFUNCTION("""COMPUTED_VALUE"""),2253200.0)</f>
        <v>2253200</v>
      </c>
    </row>
    <row r="3047">
      <c r="A3047" s="3">
        <f>IFERROR(__xludf.DUMMYFUNCTION("""COMPUTED_VALUE"""),33620.666666666664)</f>
        <v>33620.66667</v>
      </c>
      <c r="B3047" s="2">
        <f>IFERROR(__xludf.DUMMYFUNCTION("""COMPUTED_VALUE"""),23.01)</f>
        <v>23.01</v>
      </c>
      <c r="C3047" s="2">
        <f>IFERROR(__xludf.DUMMYFUNCTION("""COMPUTED_VALUE"""),23.43)</f>
        <v>23.43</v>
      </c>
      <c r="D3047" s="2">
        <f>IFERROR(__xludf.DUMMYFUNCTION("""COMPUTED_VALUE"""),22.12)</f>
        <v>22.12</v>
      </c>
      <c r="E3047" s="2">
        <f>IFERROR(__xludf.DUMMYFUNCTION("""COMPUTED_VALUE"""),23.01)</f>
        <v>23.01</v>
      </c>
      <c r="F3047" s="2">
        <f>IFERROR(__xludf.DUMMYFUNCTION("""COMPUTED_VALUE"""),3582000.0)</f>
        <v>3582000</v>
      </c>
    </row>
    <row r="3048">
      <c r="A3048" s="3">
        <f>IFERROR(__xludf.DUMMYFUNCTION("""COMPUTED_VALUE"""),33623.666666666664)</f>
        <v>33623.66667</v>
      </c>
      <c r="B3048" s="2">
        <f>IFERROR(__xludf.DUMMYFUNCTION("""COMPUTED_VALUE"""),22.74)</f>
        <v>22.74</v>
      </c>
      <c r="C3048" s="2">
        <f>IFERROR(__xludf.DUMMYFUNCTION("""COMPUTED_VALUE"""),23.01)</f>
        <v>23.01</v>
      </c>
      <c r="D3048" s="2">
        <f>IFERROR(__xludf.DUMMYFUNCTION("""COMPUTED_VALUE"""),22.74)</f>
        <v>22.74</v>
      </c>
      <c r="E3048" s="2">
        <f>IFERROR(__xludf.DUMMYFUNCTION("""COMPUTED_VALUE"""),22.74)</f>
        <v>22.74</v>
      </c>
      <c r="F3048" s="2">
        <f>IFERROR(__xludf.DUMMYFUNCTION("""COMPUTED_VALUE"""),1209900.0)</f>
        <v>1209900</v>
      </c>
    </row>
    <row r="3049">
      <c r="A3049" s="3">
        <f>IFERROR(__xludf.DUMMYFUNCTION("""COMPUTED_VALUE"""),33624.666666666664)</f>
        <v>33624.66667</v>
      </c>
      <c r="B3049" s="2">
        <f>IFERROR(__xludf.DUMMYFUNCTION("""COMPUTED_VALUE"""),22.18)</f>
        <v>22.18</v>
      </c>
      <c r="C3049" s="2">
        <f>IFERROR(__xludf.DUMMYFUNCTION("""COMPUTED_VALUE"""),22.8)</f>
        <v>22.8</v>
      </c>
      <c r="D3049" s="2">
        <f>IFERROR(__xludf.DUMMYFUNCTION("""COMPUTED_VALUE"""),22.18)</f>
        <v>22.18</v>
      </c>
      <c r="E3049" s="2">
        <f>IFERROR(__xludf.DUMMYFUNCTION("""COMPUTED_VALUE"""),22.18)</f>
        <v>22.18</v>
      </c>
      <c r="F3049" s="2">
        <f>IFERROR(__xludf.DUMMYFUNCTION("""COMPUTED_VALUE"""),1426400.0)</f>
        <v>1426400</v>
      </c>
    </row>
    <row r="3050">
      <c r="A3050" s="3">
        <f>IFERROR(__xludf.DUMMYFUNCTION("""COMPUTED_VALUE"""),33625.666666666664)</f>
        <v>33625.66667</v>
      </c>
      <c r="B3050" s="2">
        <f>IFERROR(__xludf.DUMMYFUNCTION("""COMPUTED_VALUE"""),22.83)</f>
        <v>22.83</v>
      </c>
      <c r="C3050" s="2">
        <f>IFERROR(__xludf.DUMMYFUNCTION("""COMPUTED_VALUE"""),22.83)</f>
        <v>22.83</v>
      </c>
      <c r="D3050" s="2">
        <f>IFERROR(__xludf.DUMMYFUNCTION("""COMPUTED_VALUE"""),22.18)</f>
        <v>22.18</v>
      </c>
      <c r="E3050" s="2">
        <f>IFERROR(__xludf.DUMMYFUNCTION("""COMPUTED_VALUE"""),22.83)</f>
        <v>22.83</v>
      </c>
      <c r="F3050" s="2">
        <f>IFERROR(__xludf.DUMMYFUNCTION("""COMPUTED_VALUE"""),1273400.0)</f>
        <v>1273400</v>
      </c>
    </row>
    <row r="3051">
      <c r="A3051" s="3">
        <f>IFERROR(__xludf.DUMMYFUNCTION("""COMPUTED_VALUE"""),33626.666666666664)</f>
        <v>33626.66667</v>
      </c>
      <c r="B3051" s="2">
        <f>IFERROR(__xludf.DUMMYFUNCTION("""COMPUTED_VALUE"""),22.33)</f>
        <v>22.33</v>
      </c>
      <c r="C3051" s="2">
        <f>IFERROR(__xludf.DUMMYFUNCTION("""COMPUTED_VALUE"""),22.89)</f>
        <v>22.89</v>
      </c>
      <c r="D3051" s="2">
        <f>IFERROR(__xludf.DUMMYFUNCTION("""COMPUTED_VALUE"""),22.27)</f>
        <v>22.27</v>
      </c>
      <c r="E3051" s="2">
        <f>IFERROR(__xludf.DUMMYFUNCTION("""COMPUTED_VALUE"""),22.33)</f>
        <v>22.33</v>
      </c>
      <c r="F3051" s="2">
        <f>IFERROR(__xludf.DUMMYFUNCTION("""COMPUTED_VALUE"""),1339200.0)</f>
        <v>1339200</v>
      </c>
    </row>
    <row r="3052">
      <c r="A3052" s="3">
        <f>IFERROR(__xludf.DUMMYFUNCTION("""COMPUTED_VALUE"""),33627.666666666664)</f>
        <v>33627.66667</v>
      </c>
      <c r="B3052" s="2">
        <f>IFERROR(__xludf.DUMMYFUNCTION("""COMPUTED_VALUE"""),22.24)</f>
        <v>22.24</v>
      </c>
      <c r="C3052" s="2">
        <f>IFERROR(__xludf.DUMMYFUNCTION("""COMPUTED_VALUE"""),22.51)</f>
        <v>22.51</v>
      </c>
      <c r="D3052" s="2">
        <f>IFERROR(__xludf.DUMMYFUNCTION("""COMPUTED_VALUE"""),22.24)</f>
        <v>22.24</v>
      </c>
      <c r="E3052" s="2">
        <f>IFERROR(__xludf.DUMMYFUNCTION("""COMPUTED_VALUE"""),22.24)</f>
        <v>22.24</v>
      </c>
      <c r="F3052" s="2">
        <f>IFERROR(__xludf.DUMMYFUNCTION("""COMPUTED_VALUE"""),1055300.0)</f>
        <v>1055300</v>
      </c>
    </row>
    <row r="3053">
      <c r="A3053" s="3">
        <f>IFERROR(__xludf.DUMMYFUNCTION("""COMPUTED_VALUE"""),33630.666666666664)</f>
        <v>33630.66667</v>
      </c>
      <c r="B3053" s="2">
        <f>IFERROR(__xludf.DUMMYFUNCTION("""COMPUTED_VALUE"""),22.39)</f>
        <v>22.39</v>
      </c>
      <c r="C3053" s="2">
        <f>IFERROR(__xludf.DUMMYFUNCTION("""COMPUTED_VALUE"""),22.45)</f>
        <v>22.45</v>
      </c>
      <c r="D3053" s="2">
        <f>IFERROR(__xludf.DUMMYFUNCTION("""COMPUTED_VALUE"""),22.3)</f>
        <v>22.3</v>
      </c>
      <c r="E3053" s="2">
        <f>IFERROR(__xludf.DUMMYFUNCTION("""COMPUTED_VALUE"""),22.39)</f>
        <v>22.39</v>
      </c>
      <c r="F3053" s="2">
        <f>IFERROR(__xludf.DUMMYFUNCTION("""COMPUTED_VALUE"""),718000.0)</f>
        <v>718000</v>
      </c>
    </row>
    <row r="3054">
      <c r="A3054" s="3">
        <f>IFERROR(__xludf.DUMMYFUNCTION("""COMPUTED_VALUE"""),33631.666666666664)</f>
        <v>33631.66667</v>
      </c>
      <c r="B3054" s="2">
        <f>IFERROR(__xludf.DUMMYFUNCTION("""COMPUTED_VALUE"""),22.27)</f>
        <v>22.27</v>
      </c>
      <c r="C3054" s="2">
        <f>IFERROR(__xludf.DUMMYFUNCTION("""COMPUTED_VALUE"""),22.45)</f>
        <v>22.45</v>
      </c>
      <c r="D3054" s="2">
        <f>IFERROR(__xludf.DUMMYFUNCTION("""COMPUTED_VALUE"""),22.18)</f>
        <v>22.18</v>
      </c>
      <c r="E3054" s="2">
        <f>IFERROR(__xludf.DUMMYFUNCTION("""COMPUTED_VALUE"""),22.27)</f>
        <v>22.27</v>
      </c>
      <c r="F3054" s="2">
        <f>IFERROR(__xludf.DUMMYFUNCTION("""COMPUTED_VALUE"""),978500.0)</f>
        <v>978500</v>
      </c>
    </row>
    <row r="3055">
      <c r="A3055" s="3">
        <f>IFERROR(__xludf.DUMMYFUNCTION("""COMPUTED_VALUE"""),33632.666666666664)</f>
        <v>33632.66667</v>
      </c>
      <c r="B3055" s="2">
        <f>IFERROR(__xludf.DUMMYFUNCTION("""COMPUTED_VALUE"""),21.94)</f>
        <v>21.94</v>
      </c>
      <c r="C3055" s="2">
        <f>IFERROR(__xludf.DUMMYFUNCTION("""COMPUTED_VALUE"""),22.48)</f>
        <v>22.48</v>
      </c>
      <c r="D3055" s="2">
        <f>IFERROR(__xludf.DUMMYFUNCTION("""COMPUTED_VALUE"""),21.88)</f>
        <v>21.88</v>
      </c>
      <c r="E3055" s="2">
        <f>IFERROR(__xludf.DUMMYFUNCTION("""COMPUTED_VALUE"""),21.94)</f>
        <v>21.94</v>
      </c>
      <c r="F3055" s="2">
        <f>IFERROR(__xludf.DUMMYFUNCTION("""COMPUTED_VALUE"""),1438600.0)</f>
        <v>1438600</v>
      </c>
    </row>
    <row r="3056">
      <c r="A3056" s="3">
        <f>IFERROR(__xludf.DUMMYFUNCTION("""COMPUTED_VALUE"""),33633.666666666664)</f>
        <v>33633.66667</v>
      </c>
      <c r="B3056" s="2">
        <f>IFERROR(__xludf.DUMMYFUNCTION("""COMPUTED_VALUE"""),21.91)</f>
        <v>21.91</v>
      </c>
      <c r="C3056" s="2">
        <f>IFERROR(__xludf.DUMMYFUNCTION("""COMPUTED_VALUE"""),22.09)</f>
        <v>22.09</v>
      </c>
      <c r="D3056" s="2">
        <f>IFERROR(__xludf.DUMMYFUNCTION("""COMPUTED_VALUE"""),21.82)</f>
        <v>21.82</v>
      </c>
      <c r="E3056" s="2">
        <f>IFERROR(__xludf.DUMMYFUNCTION("""COMPUTED_VALUE"""),21.91)</f>
        <v>21.91</v>
      </c>
      <c r="F3056" s="2">
        <f>IFERROR(__xludf.DUMMYFUNCTION("""COMPUTED_VALUE"""),1047600.0)</f>
        <v>1047600</v>
      </c>
    </row>
    <row r="3057">
      <c r="A3057" s="3">
        <f>IFERROR(__xludf.DUMMYFUNCTION("""COMPUTED_VALUE"""),33634.666666666664)</f>
        <v>33634.66667</v>
      </c>
      <c r="B3057" s="2">
        <f>IFERROR(__xludf.DUMMYFUNCTION("""COMPUTED_VALUE"""),21.49)</f>
        <v>21.49</v>
      </c>
      <c r="C3057" s="2">
        <f>IFERROR(__xludf.DUMMYFUNCTION("""COMPUTED_VALUE"""),21.97)</f>
        <v>21.97</v>
      </c>
      <c r="D3057" s="2">
        <f>IFERROR(__xludf.DUMMYFUNCTION("""COMPUTED_VALUE"""),21.49)</f>
        <v>21.49</v>
      </c>
      <c r="E3057" s="2">
        <f>IFERROR(__xludf.DUMMYFUNCTION("""COMPUTED_VALUE"""),21.49)</f>
        <v>21.49</v>
      </c>
      <c r="F3057" s="2">
        <f>IFERROR(__xludf.DUMMYFUNCTION("""COMPUTED_VALUE"""),1487700.0)</f>
        <v>1487700</v>
      </c>
    </row>
    <row r="3058">
      <c r="A3058" s="3">
        <f>IFERROR(__xludf.DUMMYFUNCTION("""COMPUTED_VALUE"""),33637.666666666664)</f>
        <v>33637.66667</v>
      </c>
      <c r="B3058" s="2">
        <f>IFERROR(__xludf.DUMMYFUNCTION("""COMPUTED_VALUE"""),21.82)</f>
        <v>21.82</v>
      </c>
      <c r="C3058" s="2">
        <f>IFERROR(__xludf.DUMMYFUNCTION("""COMPUTED_VALUE"""),21.82)</f>
        <v>21.82</v>
      </c>
      <c r="D3058" s="2">
        <f>IFERROR(__xludf.DUMMYFUNCTION("""COMPUTED_VALUE"""),21.31)</f>
        <v>21.31</v>
      </c>
      <c r="E3058" s="2">
        <f>IFERROR(__xludf.DUMMYFUNCTION("""COMPUTED_VALUE"""),21.82)</f>
        <v>21.82</v>
      </c>
      <c r="F3058" s="2">
        <f>IFERROR(__xludf.DUMMYFUNCTION("""COMPUTED_VALUE"""),1519300.0)</f>
        <v>1519300</v>
      </c>
    </row>
    <row r="3059">
      <c r="A3059" s="3">
        <f>IFERROR(__xludf.DUMMYFUNCTION("""COMPUTED_VALUE"""),33638.666666666664)</f>
        <v>33638.66667</v>
      </c>
      <c r="B3059" s="2">
        <f>IFERROR(__xludf.DUMMYFUNCTION("""COMPUTED_VALUE"""),22.03)</f>
        <v>22.03</v>
      </c>
      <c r="C3059" s="2">
        <f>IFERROR(__xludf.DUMMYFUNCTION("""COMPUTED_VALUE"""),22.03)</f>
        <v>22.03</v>
      </c>
      <c r="D3059" s="2">
        <f>IFERROR(__xludf.DUMMYFUNCTION("""COMPUTED_VALUE"""),21.49)</f>
        <v>21.49</v>
      </c>
      <c r="E3059" s="2">
        <f>IFERROR(__xludf.DUMMYFUNCTION("""COMPUTED_VALUE"""),22.03)</f>
        <v>22.03</v>
      </c>
      <c r="F3059" s="2">
        <f>IFERROR(__xludf.DUMMYFUNCTION("""COMPUTED_VALUE"""),1502700.0)</f>
        <v>1502700</v>
      </c>
    </row>
    <row r="3060">
      <c r="A3060" s="3">
        <f>IFERROR(__xludf.DUMMYFUNCTION("""COMPUTED_VALUE"""),33639.666666666664)</f>
        <v>33639.66667</v>
      </c>
      <c r="B3060" s="2">
        <f>IFERROR(__xludf.DUMMYFUNCTION("""COMPUTED_VALUE"""),21.79)</f>
        <v>21.79</v>
      </c>
      <c r="C3060" s="2">
        <f>IFERROR(__xludf.DUMMYFUNCTION("""COMPUTED_VALUE"""),22.0)</f>
        <v>22</v>
      </c>
      <c r="D3060" s="2">
        <f>IFERROR(__xludf.DUMMYFUNCTION("""COMPUTED_VALUE"""),21.73)</f>
        <v>21.73</v>
      </c>
      <c r="E3060" s="2">
        <f>IFERROR(__xludf.DUMMYFUNCTION("""COMPUTED_VALUE"""),21.79)</f>
        <v>21.79</v>
      </c>
      <c r="F3060" s="2">
        <f>IFERROR(__xludf.DUMMYFUNCTION("""COMPUTED_VALUE"""),1632500.0)</f>
        <v>1632500</v>
      </c>
    </row>
    <row r="3061">
      <c r="A3061" s="3">
        <f>IFERROR(__xludf.DUMMYFUNCTION("""COMPUTED_VALUE"""),33640.666666666664)</f>
        <v>33640.66667</v>
      </c>
      <c r="B3061" s="2">
        <f>IFERROR(__xludf.DUMMYFUNCTION("""COMPUTED_VALUE"""),21.46)</f>
        <v>21.46</v>
      </c>
      <c r="C3061" s="2">
        <f>IFERROR(__xludf.DUMMYFUNCTION("""COMPUTED_VALUE"""),21.7)</f>
        <v>21.7</v>
      </c>
      <c r="D3061" s="2">
        <f>IFERROR(__xludf.DUMMYFUNCTION("""COMPUTED_VALUE"""),21.4)</f>
        <v>21.4</v>
      </c>
      <c r="E3061" s="2">
        <f>IFERROR(__xludf.DUMMYFUNCTION("""COMPUTED_VALUE"""),21.46)</f>
        <v>21.46</v>
      </c>
      <c r="F3061" s="2">
        <f>IFERROR(__xludf.DUMMYFUNCTION("""COMPUTED_VALUE"""),1401700.0)</f>
        <v>1401700</v>
      </c>
    </row>
    <row r="3062">
      <c r="A3062" s="3">
        <f>IFERROR(__xludf.DUMMYFUNCTION("""COMPUTED_VALUE"""),33641.666666666664)</f>
        <v>33641.66667</v>
      </c>
      <c r="B3062" s="2">
        <f>IFERROR(__xludf.DUMMYFUNCTION("""COMPUTED_VALUE"""),21.31)</f>
        <v>21.31</v>
      </c>
      <c r="C3062" s="2">
        <f>IFERROR(__xludf.DUMMYFUNCTION("""COMPUTED_VALUE"""),21.58)</f>
        <v>21.58</v>
      </c>
      <c r="D3062" s="2">
        <f>IFERROR(__xludf.DUMMYFUNCTION("""COMPUTED_VALUE"""),21.16)</f>
        <v>21.16</v>
      </c>
      <c r="E3062" s="2">
        <f>IFERROR(__xludf.DUMMYFUNCTION("""COMPUTED_VALUE"""),21.31)</f>
        <v>21.31</v>
      </c>
      <c r="F3062" s="2">
        <f>IFERROR(__xludf.DUMMYFUNCTION("""COMPUTED_VALUE"""),1724200.0)</f>
        <v>1724200</v>
      </c>
    </row>
    <row r="3063">
      <c r="A3063" s="3">
        <f>IFERROR(__xludf.DUMMYFUNCTION("""COMPUTED_VALUE"""),33644.666666666664)</f>
        <v>33644.66667</v>
      </c>
      <c r="B3063" s="2">
        <f>IFERROR(__xludf.DUMMYFUNCTION("""COMPUTED_VALUE"""),21.43)</f>
        <v>21.43</v>
      </c>
      <c r="C3063" s="2">
        <f>IFERROR(__xludf.DUMMYFUNCTION("""COMPUTED_VALUE"""),21.46)</f>
        <v>21.46</v>
      </c>
      <c r="D3063" s="2">
        <f>IFERROR(__xludf.DUMMYFUNCTION("""COMPUTED_VALUE"""),21.28)</f>
        <v>21.28</v>
      </c>
      <c r="E3063" s="2">
        <f>IFERROR(__xludf.DUMMYFUNCTION("""COMPUTED_VALUE"""),21.43)</f>
        <v>21.43</v>
      </c>
      <c r="F3063" s="2">
        <f>IFERROR(__xludf.DUMMYFUNCTION("""COMPUTED_VALUE"""),945800.0)</f>
        <v>945800</v>
      </c>
    </row>
    <row r="3064">
      <c r="A3064" s="3">
        <f>IFERROR(__xludf.DUMMYFUNCTION("""COMPUTED_VALUE"""),33645.666666666664)</f>
        <v>33645.66667</v>
      </c>
      <c r="B3064" s="2">
        <f>IFERROR(__xludf.DUMMYFUNCTION("""COMPUTED_VALUE"""),21.55)</f>
        <v>21.55</v>
      </c>
      <c r="C3064" s="2">
        <f>IFERROR(__xludf.DUMMYFUNCTION("""COMPUTED_VALUE"""),21.7)</f>
        <v>21.7</v>
      </c>
      <c r="D3064" s="2">
        <f>IFERROR(__xludf.DUMMYFUNCTION("""COMPUTED_VALUE"""),21.43)</f>
        <v>21.43</v>
      </c>
      <c r="E3064" s="2">
        <f>IFERROR(__xludf.DUMMYFUNCTION("""COMPUTED_VALUE"""),21.55)</f>
        <v>21.55</v>
      </c>
      <c r="F3064" s="2">
        <f>IFERROR(__xludf.DUMMYFUNCTION("""COMPUTED_VALUE"""),1130700.0)</f>
        <v>1130700</v>
      </c>
    </row>
    <row r="3065">
      <c r="A3065" s="3">
        <f>IFERROR(__xludf.DUMMYFUNCTION("""COMPUTED_VALUE"""),33646.666666666664)</f>
        <v>33646.66667</v>
      </c>
      <c r="B3065" s="2">
        <f>IFERROR(__xludf.DUMMYFUNCTION("""COMPUTED_VALUE"""),22.0)</f>
        <v>22</v>
      </c>
      <c r="C3065" s="2">
        <f>IFERROR(__xludf.DUMMYFUNCTION("""COMPUTED_VALUE"""),22.06)</f>
        <v>22.06</v>
      </c>
      <c r="D3065" s="2">
        <f>IFERROR(__xludf.DUMMYFUNCTION("""COMPUTED_VALUE"""),21.46)</f>
        <v>21.46</v>
      </c>
      <c r="E3065" s="2">
        <f>IFERROR(__xludf.DUMMYFUNCTION("""COMPUTED_VALUE"""),22.0)</f>
        <v>22</v>
      </c>
      <c r="F3065" s="2">
        <f>IFERROR(__xludf.DUMMYFUNCTION("""COMPUTED_VALUE"""),1581500.0)</f>
        <v>1581500</v>
      </c>
    </row>
    <row r="3066">
      <c r="A3066" s="3">
        <f>IFERROR(__xludf.DUMMYFUNCTION("""COMPUTED_VALUE"""),33647.666666666664)</f>
        <v>33647.66667</v>
      </c>
      <c r="B3066" s="2">
        <f>IFERROR(__xludf.DUMMYFUNCTION("""COMPUTED_VALUE"""),21.67)</f>
        <v>21.67</v>
      </c>
      <c r="C3066" s="2">
        <f>IFERROR(__xludf.DUMMYFUNCTION("""COMPUTED_VALUE"""),22.27)</f>
        <v>22.27</v>
      </c>
      <c r="D3066" s="2">
        <f>IFERROR(__xludf.DUMMYFUNCTION("""COMPUTED_VALUE"""),21.52)</f>
        <v>21.52</v>
      </c>
      <c r="E3066" s="2">
        <f>IFERROR(__xludf.DUMMYFUNCTION("""COMPUTED_VALUE"""),21.67)</f>
        <v>21.67</v>
      </c>
      <c r="F3066" s="2">
        <f>IFERROR(__xludf.DUMMYFUNCTION("""COMPUTED_VALUE"""),1954000.0)</f>
        <v>1954000</v>
      </c>
    </row>
    <row r="3067">
      <c r="A3067" s="3">
        <f>IFERROR(__xludf.DUMMYFUNCTION("""COMPUTED_VALUE"""),33648.666666666664)</f>
        <v>33648.66667</v>
      </c>
      <c r="B3067" s="2">
        <f>IFERROR(__xludf.DUMMYFUNCTION("""COMPUTED_VALUE"""),21.43)</f>
        <v>21.43</v>
      </c>
      <c r="C3067" s="2">
        <f>IFERROR(__xludf.DUMMYFUNCTION("""COMPUTED_VALUE"""),21.76)</f>
        <v>21.76</v>
      </c>
      <c r="D3067" s="2">
        <f>IFERROR(__xludf.DUMMYFUNCTION("""COMPUTED_VALUE"""),21.37)</f>
        <v>21.37</v>
      </c>
      <c r="E3067" s="2">
        <f>IFERROR(__xludf.DUMMYFUNCTION("""COMPUTED_VALUE"""),21.43)</f>
        <v>21.43</v>
      </c>
      <c r="F3067" s="2">
        <f>IFERROR(__xludf.DUMMYFUNCTION("""COMPUTED_VALUE"""),1295100.0)</f>
        <v>1295100</v>
      </c>
    </row>
    <row r="3068">
      <c r="A3068" s="3">
        <f>IFERROR(__xludf.DUMMYFUNCTION("""COMPUTED_VALUE"""),33652.666666666664)</f>
        <v>33652.66667</v>
      </c>
      <c r="B3068" s="2">
        <f>IFERROR(__xludf.DUMMYFUNCTION("""COMPUTED_VALUE"""),21.4)</f>
        <v>21.4</v>
      </c>
      <c r="C3068" s="2">
        <f>IFERROR(__xludf.DUMMYFUNCTION("""COMPUTED_VALUE"""),21.76)</f>
        <v>21.76</v>
      </c>
      <c r="D3068" s="2">
        <f>IFERROR(__xludf.DUMMYFUNCTION("""COMPUTED_VALUE"""),21.28)</f>
        <v>21.28</v>
      </c>
      <c r="E3068" s="2">
        <f>IFERROR(__xludf.DUMMYFUNCTION("""COMPUTED_VALUE"""),21.4)</f>
        <v>21.4</v>
      </c>
      <c r="F3068" s="2">
        <f>IFERROR(__xludf.DUMMYFUNCTION("""COMPUTED_VALUE"""),1314500.0)</f>
        <v>1314500</v>
      </c>
    </row>
    <row r="3069">
      <c r="A3069" s="3">
        <f>IFERROR(__xludf.DUMMYFUNCTION("""COMPUTED_VALUE"""),33653.666666666664)</f>
        <v>33653.66667</v>
      </c>
      <c r="B3069" s="2">
        <f>IFERROR(__xludf.DUMMYFUNCTION("""COMPUTED_VALUE"""),21.4)</f>
        <v>21.4</v>
      </c>
      <c r="C3069" s="2">
        <f>IFERROR(__xludf.DUMMYFUNCTION("""COMPUTED_VALUE"""),21.67)</f>
        <v>21.67</v>
      </c>
      <c r="D3069" s="2">
        <f>IFERROR(__xludf.DUMMYFUNCTION("""COMPUTED_VALUE"""),21.34)</f>
        <v>21.34</v>
      </c>
      <c r="E3069" s="2">
        <f>IFERROR(__xludf.DUMMYFUNCTION("""COMPUTED_VALUE"""),21.4)</f>
        <v>21.4</v>
      </c>
      <c r="F3069" s="2">
        <f>IFERROR(__xludf.DUMMYFUNCTION("""COMPUTED_VALUE"""),1148400.0)</f>
        <v>1148400</v>
      </c>
    </row>
    <row r="3070">
      <c r="A3070" s="3">
        <f>IFERROR(__xludf.DUMMYFUNCTION("""COMPUTED_VALUE"""),33654.666666666664)</f>
        <v>33654.66667</v>
      </c>
      <c r="B3070" s="2">
        <f>IFERROR(__xludf.DUMMYFUNCTION("""COMPUTED_VALUE"""),21.43)</f>
        <v>21.43</v>
      </c>
      <c r="C3070" s="2">
        <f>IFERROR(__xludf.DUMMYFUNCTION("""COMPUTED_VALUE"""),21.64)</f>
        <v>21.64</v>
      </c>
      <c r="D3070" s="2">
        <f>IFERROR(__xludf.DUMMYFUNCTION("""COMPUTED_VALUE"""),21.28)</f>
        <v>21.28</v>
      </c>
      <c r="E3070" s="2">
        <f>IFERROR(__xludf.DUMMYFUNCTION("""COMPUTED_VALUE"""),21.43)</f>
        <v>21.43</v>
      </c>
      <c r="F3070" s="2">
        <f>IFERROR(__xludf.DUMMYFUNCTION("""COMPUTED_VALUE"""),1363200.0)</f>
        <v>1363200</v>
      </c>
    </row>
    <row r="3071">
      <c r="A3071" s="3">
        <f>IFERROR(__xludf.DUMMYFUNCTION("""COMPUTED_VALUE"""),33655.666666666664)</f>
        <v>33655.66667</v>
      </c>
      <c r="B3071" s="2">
        <f>IFERROR(__xludf.DUMMYFUNCTION("""COMPUTED_VALUE"""),21.46)</f>
        <v>21.46</v>
      </c>
      <c r="C3071" s="2">
        <f>IFERROR(__xludf.DUMMYFUNCTION("""COMPUTED_VALUE"""),21.58)</f>
        <v>21.58</v>
      </c>
      <c r="D3071" s="2">
        <f>IFERROR(__xludf.DUMMYFUNCTION("""COMPUTED_VALUE"""),21.31)</f>
        <v>21.31</v>
      </c>
      <c r="E3071" s="2">
        <f>IFERROR(__xludf.DUMMYFUNCTION("""COMPUTED_VALUE"""),21.46)</f>
        <v>21.46</v>
      </c>
      <c r="F3071" s="2">
        <f>IFERROR(__xludf.DUMMYFUNCTION("""COMPUTED_VALUE"""),1446100.0)</f>
        <v>1446100</v>
      </c>
    </row>
    <row r="3072">
      <c r="A3072" s="3">
        <f>IFERROR(__xludf.DUMMYFUNCTION("""COMPUTED_VALUE"""),33658.666666666664)</f>
        <v>33658.66667</v>
      </c>
      <c r="B3072" s="2">
        <f>IFERROR(__xludf.DUMMYFUNCTION("""COMPUTED_VALUE"""),21.34)</f>
        <v>21.34</v>
      </c>
      <c r="C3072" s="2">
        <f>IFERROR(__xludf.DUMMYFUNCTION("""COMPUTED_VALUE"""),21.55)</f>
        <v>21.55</v>
      </c>
      <c r="D3072" s="2">
        <f>IFERROR(__xludf.DUMMYFUNCTION("""COMPUTED_VALUE"""),21.19)</f>
        <v>21.19</v>
      </c>
      <c r="E3072" s="2">
        <f>IFERROR(__xludf.DUMMYFUNCTION("""COMPUTED_VALUE"""),21.34)</f>
        <v>21.34</v>
      </c>
      <c r="F3072" s="2">
        <f>IFERROR(__xludf.DUMMYFUNCTION("""COMPUTED_VALUE"""),1056500.0)</f>
        <v>1056500</v>
      </c>
    </row>
    <row r="3073">
      <c r="A3073" s="3">
        <f>IFERROR(__xludf.DUMMYFUNCTION("""COMPUTED_VALUE"""),33659.666666666664)</f>
        <v>33659.66667</v>
      </c>
      <c r="B3073" s="2">
        <f>IFERROR(__xludf.DUMMYFUNCTION("""COMPUTED_VALUE"""),21.07)</f>
        <v>21.07</v>
      </c>
      <c r="C3073" s="2">
        <f>IFERROR(__xludf.DUMMYFUNCTION("""COMPUTED_VALUE"""),21.31)</f>
        <v>21.31</v>
      </c>
      <c r="D3073" s="2">
        <f>IFERROR(__xludf.DUMMYFUNCTION("""COMPUTED_VALUE"""),21.04)</f>
        <v>21.04</v>
      </c>
      <c r="E3073" s="2">
        <f>IFERROR(__xludf.DUMMYFUNCTION("""COMPUTED_VALUE"""),21.07)</f>
        <v>21.07</v>
      </c>
      <c r="F3073" s="2">
        <f>IFERROR(__xludf.DUMMYFUNCTION("""COMPUTED_VALUE"""),1579800.0)</f>
        <v>1579800</v>
      </c>
    </row>
    <row r="3074">
      <c r="A3074" s="3">
        <f>IFERROR(__xludf.DUMMYFUNCTION("""COMPUTED_VALUE"""),33660.666666666664)</f>
        <v>33660.66667</v>
      </c>
      <c r="B3074" s="2">
        <f>IFERROR(__xludf.DUMMYFUNCTION("""COMPUTED_VALUE"""),21.07)</f>
        <v>21.07</v>
      </c>
      <c r="C3074" s="2">
        <f>IFERROR(__xludf.DUMMYFUNCTION("""COMPUTED_VALUE"""),21.16)</f>
        <v>21.16</v>
      </c>
      <c r="D3074" s="2">
        <f>IFERROR(__xludf.DUMMYFUNCTION("""COMPUTED_VALUE"""),20.92)</f>
        <v>20.92</v>
      </c>
      <c r="E3074" s="2">
        <f>IFERROR(__xludf.DUMMYFUNCTION("""COMPUTED_VALUE"""),21.07)</f>
        <v>21.07</v>
      </c>
      <c r="F3074" s="2">
        <f>IFERROR(__xludf.DUMMYFUNCTION("""COMPUTED_VALUE"""),1555300.0)</f>
        <v>1555300</v>
      </c>
    </row>
    <row r="3075">
      <c r="A3075" s="3">
        <f>IFERROR(__xludf.DUMMYFUNCTION("""COMPUTED_VALUE"""),33661.666666666664)</f>
        <v>33661.66667</v>
      </c>
      <c r="B3075" s="2">
        <f>IFERROR(__xludf.DUMMYFUNCTION("""COMPUTED_VALUE"""),20.95)</f>
        <v>20.95</v>
      </c>
      <c r="C3075" s="2">
        <f>IFERROR(__xludf.DUMMYFUNCTION("""COMPUTED_VALUE"""),21.1)</f>
        <v>21.1</v>
      </c>
      <c r="D3075" s="2">
        <f>IFERROR(__xludf.DUMMYFUNCTION("""COMPUTED_VALUE"""),20.89)</f>
        <v>20.89</v>
      </c>
      <c r="E3075" s="2">
        <f>IFERROR(__xludf.DUMMYFUNCTION("""COMPUTED_VALUE"""),20.95)</f>
        <v>20.95</v>
      </c>
      <c r="F3075" s="2">
        <f>IFERROR(__xludf.DUMMYFUNCTION("""COMPUTED_VALUE"""),1481600.0)</f>
        <v>1481600</v>
      </c>
    </row>
    <row r="3076">
      <c r="A3076" s="3">
        <f>IFERROR(__xludf.DUMMYFUNCTION("""COMPUTED_VALUE"""),33662.666666666664)</f>
        <v>33662.66667</v>
      </c>
      <c r="B3076" s="2">
        <f>IFERROR(__xludf.DUMMYFUNCTION("""COMPUTED_VALUE"""),20.75)</f>
        <v>20.75</v>
      </c>
      <c r="C3076" s="2">
        <f>IFERROR(__xludf.DUMMYFUNCTION("""COMPUTED_VALUE"""),21.16)</f>
        <v>21.16</v>
      </c>
      <c r="D3076" s="2">
        <f>IFERROR(__xludf.DUMMYFUNCTION("""COMPUTED_VALUE"""),20.69)</f>
        <v>20.69</v>
      </c>
      <c r="E3076" s="2">
        <f>IFERROR(__xludf.DUMMYFUNCTION("""COMPUTED_VALUE"""),20.75)</f>
        <v>20.75</v>
      </c>
      <c r="F3076" s="2">
        <f>IFERROR(__xludf.DUMMYFUNCTION("""COMPUTED_VALUE"""),1747200.0)</f>
        <v>1747200</v>
      </c>
    </row>
    <row r="3077">
      <c r="A3077" s="3">
        <f>IFERROR(__xludf.DUMMYFUNCTION("""COMPUTED_VALUE"""),33665.666666666664)</f>
        <v>33665.66667</v>
      </c>
      <c r="B3077" s="2">
        <f>IFERROR(__xludf.DUMMYFUNCTION("""COMPUTED_VALUE"""),20.89)</f>
        <v>20.89</v>
      </c>
      <c r="C3077" s="2">
        <f>IFERROR(__xludf.DUMMYFUNCTION("""COMPUTED_VALUE"""),20.95)</f>
        <v>20.95</v>
      </c>
      <c r="D3077" s="2">
        <f>IFERROR(__xludf.DUMMYFUNCTION("""COMPUTED_VALUE"""),20.6)</f>
        <v>20.6</v>
      </c>
      <c r="E3077" s="2">
        <f>IFERROR(__xludf.DUMMYFUNCTION("""COMPUTED_VALUE"""),20.89)</f>
        <v>20.89</v>
      </c>
      <c r="F3077" s="2">
        <f>IFERROR(__xludf.DUMMYFUNCTION("""COMPUTED_VALUE"""),1441700.0)</f>
        <v>1441700</v>
      </c>
    </row>
    <row r="3078">
      <c r="A3078" s="3">
        <f>IFERROR(__xludf.DUMMYFUNCTION("""COMPUTED_VALUE"""),33666.666666666664)</f>
        <v>33666.66667</v>
      </c>
      <c r="B3078" s="2">
        <f>IFERROR(__xludf.DUMMYFUNCTION("""COMPUTED_VALUE"""),21.07)</f>
        <v>21.07</v>
      </c>
      <c r="C3078" s="2">
        <f>IFERROR(__xludf.DUMMYFUNCTION("""COMPUTED_VALUE"""),21.16)</f>
        <v>21.16</v>
      </c>
      <c r="D3078" s="2">
        <f>IFERROR(__xludf.DUMMYFUNCTION("""COMPUTED_VALUE"""),20.8)</f>
        <v>20.8</v>
      </c>
      <c r="E3078" s="2">
        <f>IFERROR(__xludf.DUMMYFUNCTION("""COMPUTED_VALUE"""),21.07)</f>
        <v>21.07</v>
      </c>
      <c r="F3078" s="2">
        <f>IFERROR(__xludf.DUMMYFUNCTION("""COMPUTED_VALUE"""),1577300.0)</f>
        <v>1577300</v>
      </c>
    </row>
    <row r="3079">
      <c r="A3079" s="3">
        <f>IFERROR(__xludf.DUMMYFUNCTION("""COMPUTED_VALUE"""),33667.666666666664)</f>
        <v>33667.66667</v>
      </c>
      <c r="B3079" s="2">
        <f>IFERROR(__xludf.DUMMYFUNCTION("""COMPUTED_VALUE"""),20.86)</f>
        <v>20.86</v>
      </c>
      <c r="C3079" s="2">
        <f>IFERROR(__xludf.DUMMYFUNCTION("""COMPUTED_VALUE"""),21.4)</f>
        <v>21.4</v>
      </c>
      <c r="D3079" s="2">
        <f>IFERROR(__xludf.DUMMYFUNCTION("""COMPUTED_VALUE"""),20.86)</f>
        <v>20.86</v>
      </c>
      <c r="E3079" s="2">
        <f>IFERROR(__xludf.DUMMYFUNCTION("""COMPUTED_VALUE"""),20.86)</f>
        <v>20.86</v>
      </c>
      <c r="F3079" s="2">
        <f>IFERROR(__xludf.DUMMYFUNCTION("""COMPUTED_VALUE"""),1802500.0)</f>
        <v>1802500</v>
      </c>
    </row>
    <row r="3080">
      <c r="A3080" s="3">
        <f>IFERROR(__xludf.DUMMYFUNCTION("""COMPUTED_VALUE"""),33668.666666666664)</f>
        <v>33668.66667</v>
      </c>
      <c r="B3080" s="2">
        <f>IFERROR(__xludf.DUMMYFUNCTION("""COMPUTED_VALUE"""),20.69)</f>
        <v>20.69</v>
      </c>
      <c r="C3080" s="2">
        <f>IFERROR(__xludf.DUMMYFUNCTION("""COMPUTED_VALUE"""),21.04)</f>
        <v>21.04</v>
      </c>
      <c r="D3080" s="2">
        <f>IFERROR(__xludf.DUMMYFUNCTION("""COMPUTED_VALUE"""),20.66)</f>
        <v>20.66</v>
      </c>
      <c r="E3080" s="2">
        <f>IFERROR(__xludf.DUMMYFUNCTION("""COMPUTED_VALUE"""),20.69)</f>
        <v>20.69</v>
      </c>
      <c r="F3080" s="2">
        <f>IFERROR(__xludf.DUMMYFUNCTION("""COMPUTED_VALUE"""),1657500.0)</f>
        <v>1657500</v>
      </c>
    </row>
    <row r="3081">
      <c r="A3081" s="3">
        <f>IFERROR(__xludf.DUMMYFUNCTION("""COMPUTED_VALUE"""),33669.666666666664)</f>
        <v>33669.66667</v>
      </c>
      <c r="B3081" s="2">
        <f>IFERROR(__xludf.DUMMYFUNCTION("""COMPUTED_VALUE"""),20.63)</f>
        <v>20.63</v>
      </c>
      <c r="C3081" s="2">
        <f>IFERROR(__xludf.DUMMYFUNCTION("""COMPUTED_VALUE"""),21.28)</f>
        <v>21.28</v>
      </c>
      <c r="D3081" s="2">
        <f>IFERROR(__xludf.DUMMYFUNCTION("""COMPUTED_VALUE"""),20.54)</f>
        <v>20.54</v>
      </c>
      <c r="E3081" s="2">
        <f>IFERROR(__xludf.DUMMYFUNCTION("""COMPUTED_VALUE"""),20.63)</f>
        <v>20.63</v>
      </c>
      <c r="F3081" s="2">
        <f>IFERROR(__xludf.DUMMYFUNCTION("""COMPUTED_VALUE"""),1814100.0)</f>
        <v>1814100</v>
      </c>
    </row>
    <row r="3082">
      <c r="A3082" s="3">
        <f>IFERROR(__xludf.DUMMYFUNCTION("""COMPUTED_VALUE"""),33672.666666666664)</f>
        <v>33672.66667</v>
      </c>
      <c r="B3082" s="2">
        <f>IFERROR(__xludf.DUMMYFUNCTION("""COMPUTED_VALUE"""),20.86)</f>
        <v>20.86</v>
      </c>
      <c r="C3082" s="2">
        <f>IFERROR(__xludf.DUMMYFUNCTION("""COMPUTED_VALUE"""),20.86)</f>
        <v>20.86</v>
      </c>
      <c r="D3082" s="2">
        <f>IFERROR(__xludf.DUMMYFUNCTION("""COMPUTED_VALUE"""),20.33)</f>
        <v>20.33</v>
      </c>
      <c r="E3082" s="2">
        <f>IFERROR(__xludf.DUMMYFUNCTION("""COMPUTED_VALUE"""),20.86)</f>
        <v>20.86</v>
      </c>
      <c r="F3082" s="2">
        <f>IFERROR(__xludf.DUMMYFUNCTION("""COMPUTED_VALUE"""),1578800.0)</f>
        <v>1578800</v>
      </c>
    </row>
    <row r="3083">
      <c r="A3083" s="3">
        <f>IFERROR(__xludf.DUMMYFUNCTION("""COMPUTED_VALUE"""),33673.666666666664)</f>
        <v>33673.66667</v>
      </c>
      <c r="B3083" s="2">
        <f>IFERROR(__xludf.DUMMYFUNCTION("""COMPUTED_VALUE"""),20.98)</f>
        <v>20.98</v>
      </c>
      <c r="C3083" s="2">
        <f>IFERROR(__xludf.DUMMYFUNCTION("""COMPUTED_VALUE"""),21.1)</f>
        <v>21.1</v>
      </c>
      <c r="D3083" s="2">
        <f>IFERROR(__xludf.DUMMYFUNCTION("""COMPUTED_VALUE"""),20.89)</f>
        <v>20.89</v>
      </c>
      <c r="E3083" s="2">
        <f>IFERROR(__xludf.DUMMYFUNCTION("""COMPUTED_VALUE"""),20.98)</f>
        <v>20.98</v>
      </c>
      <c r="F3083" s="2">
        <f>IFERROR(__xludf.DUMMYFUNCTION("""COMPUTED_VALUE"""),1263800.0)</f>
        <v>1263800</v>
      </c>
    </row>
    <row r="3084">
      <c r="A3084" s="3">
        <f>IFERROR(__xludf.DUMMYFUNCTION("""COMPUTED_VALUE"""),33674.666666666664)</f>
        <v>33674.66667</v>
      </c>
      <c r="B3084" s="2">
        <f>IFERROR(__xludf.DUMMYFUNCTION("""COMPUTED_VALUE"""),20.95)</f>
        <v>20.95</v>
      </c>
      <c r="C3084" s="2">
        <f>IFERROR(__xludf.DUMMYFUNCTION("""COMPUTED_VALUE"""),21.1)</f>
        <v>21.1</v>
      </c>
      <c r="D3084" s="2">
        <f>IFERROR(__xludf.DUMMYFUNCTION("""COMPUTED_VALUE"""),20.8)</f>
        <v>20.8</v>
      </c>
      <c r="E3084" s="2">
        <f>IFERROR(__xludf.DUMMYFUNCTION("""COMPUTED_VALUE"""),20.95)</f>
        <v>20.95</v>
      </c>
      <c r="F3084" s="2">
        <f>IFERROR(__xludf.DUMMYFUNCTION("""COMPUTED_VALUE"""),1217600.0)</f>
        <v>1217600</v>
      </c>
    </row>
    <row r="3085">
      <c r="A3085" s="3">
        <f>IFERROR(__xludf.DUMMYFUNCTION("""COMPUTED_VALUE"""),33675.666666666664)</f>
        <v>33675.66667</v>
      </c>
      <c r="B3085" s="2">
        <f>IFERROR(__xludf.DUMMYFUNCTION("""COMPUTED_VALUE"""),21.28)</f>
        <v>21.28</v>
      </c>
      <c r="C3085" s="2">
        <f>IFERROR(__xludf.DUMMYFUNCTION("""COMPUTED_VALUE"""),21.28)</f>
        <v>21.28</v>
      </c>
      <c r="D3085" s="2">
        <f>IFERROR(__xludf.DUMMYFUNCTION("""COMPUTED_VALUE"""),20.92)</f>
        <v>20.92</v>
      </c>
      <c r="E3085" s="2">
        <f>IFERROR(__xludf.DUMMYFUNCTION("""COMPUTED_VALUE"""),21.28)</f>
        <v>21.28</v>
      </c>
      <c r="F3085" s="2">
        <f>IFERROR(__xludf.DUMMYFUNCTION("""COMPUTED_VALUE"""),1349700.0)</f>
        <v>1349700</v>
      </c>
    </row>
    <row r="3086">
      <c r="A3086" s="3">
        <f>IFERROR(__xludf.DUMMYFUNCTION("""COMPUTED_VALUE"""),33676.666666666664)</f>
        <v>33676.66667</v>
      </c>
      <c r="B3086" s="2">
        <f>IFERROR(__xludf.DUMMYFUNCTION("""COMPUTED_VALUE"""),21.4)</f>
        <v>21.4</v>
      </c>
      <c r="C3086" s="2">
        <f>IFERROR(__xludf.DUMMYFUNCTION("""COMPUTED_VALUE"""),21.55)</f>
        <v>21.55</v>
      </c>
      <c r="D3086" s="2">
        <f>IFERROR(__xludf.DUMMYFUNCTION("""COMPUTED_VALUE"""),21.28)</f>
        <v>21.28</v>
      </c>
      <c r="E3086" s="2">
        <f>IFERROR(__xludf.DUMMYFUNCTION("""COMPUTED_VALUE"""),21.4)</f>
        <v>21.4</v>
      </c>
      <c r="F3086" s="2">
        <f>IFERROR(__xludf.DUMMYFUNCTION("""COMPUTED_VALUE"""),1343400.0)</f>
        <v>1343400</v>
      </c>
    </row>
    <row r="3087">
      <c r="A3087" s="3">
        <f>IFERROR(__xludf.DUMMYFUNCTION("""COMPUTED_VALUE"""),33679.666666666664)</f>
        <v>33679.66667</v>
      </c>
      <c r="B3087" s="2">
        <f>IFERROR(__xludf.DUMMYFUNCTION("""COMPUTED_VALUE"""),21.19)</f>
        <v>21.19</v>
      </c>
      <c r="C3087" s="2">
        <f>IFERROR(__xludf.DUMMYFUNCTION("""COMPUTED_VALUE"""),21.4)</f>
        <v>21.4</v>
      </c>
      <c r="D3087" s="2">
        <f>IFERROR(__xludf.DUMMYFUNCTION("""COMPUTED_VALUE"""),21.07)</f>
        <v>21.07</v>
      </c>
      <c r="E3087" s="2">
        <f>IFERROR(__xludf.DUMMYFUNCTION("""COMPUTED_VALUE"""),21.19)</f>
        <v>21.19</v>
      </c>
      <c r="F3087" s="2">
        <f>IFERROR(__xludf.DUMMYFUNCTION("""COMPUTED_VALUE"""),975800.0)</f>
        <v>975800</v>
      </c>
    </row>
    <row r="3088">
      <c r="A3088" s="3">
        <f>IFERROR(__xludf.DUMMYFUNCTION("""COMPUTED_VALUE"""),33680.666666666664)</f>
        <v>33680.66667</v>
      </c>
      <c r="B3088" s="2">
        <f>IFERROR(__xludf.DUMMYFUNCTION("""COMPUTED_VALUE"""),20.92)</f>
        <v>20.92</v>
      </c>
      <c r="C3088" s="2">
        <f>IFERROR(__xludf.DUMMYFUNCTION("""COMPUTED_VALUE"""),21.22)</f>
        <v>21.22</v>
      </c>
      <c r="D3088" s="2">
        <f>IFERROR(__xludf.DUMMYFUNCTION("""COMPUTED_VALUE"""),20.86)</f>
        <v>20.86</v>
      </c>
      <c r="E3088" s="2">
        <f>IFERROR(__xludf.DUMMYFUNCTION("""COMPUTED_VALUE"""),20.92)</f>
        <v>20.92</v>
      </c>
      <c r="F3088" s="2">
        <f>IFERROR(__xludf.DUMMYFUNCTION("""COMPUTED_VALUE"""),1471700.0)</f>
        <v>1471700</v>
      </c>
    </row>
    <row r="3089">
      <c r="A3089" s="3">
        <f>IFERROR(__xludf.DUMMYFUNCTION("""COMPUTED_VALUE"""),33681.666666666664)</f>
        <v>33681.66667</v>
      </c>
      <c r="B3089" s="2">
        <f>IFERROR(__xludf.DUMMYFUNCTION("""COMPUTED_VALUE"""),20.89)</f>
        <v>20.89</v>
      </c>
      <c r="C3089" s="2">
        <f>IFERROR(__xludf.DUMMYFUNCTION("""COMPUTED_VALUE"""),21.13)</f>
        <v>21.13</v>
      </c>
      <c r="D3089" s="2">
        <f>IFERROR(__xludf.DUMMYFUNCTION("""COMPUTED_VALUE"""),20.83)</f>
        <v>20.83</v>
      </c>
      <c r="E3089" s="2">
        <f>IFERROR(__xludf.DUMMYFUNCTION("""COMPUTED_VALUE"""),20.89)</f>
        <v>20.89</v>
      </c>
      <c r="F3089" s="2">
        <f>IFERROR(__xludf.DUMMYFUNCTION("""COMPUTED_VALUE"""),1073100.0)</f>
        <v>1073100</v>
      </c>
    </row>
    <row r="3090">
      <c r="A3090" s="3">
        <f>IFERROR(__xludf.DUMMYFUNCTION("""COMPUTED_VALUE"""),33682.666666666664)</f>
        <v>33682.66667</v>
      </c>
      <c r="B3090" s="2">
        <f>IFERROR(__xludf.DUMMYFUNCTION("""COMPUTED_VALUE"""),20.51)</f>
        <v>20.51</v>
      </c>
      <c r="C3090" s="2">
        <f>IFERROR(__xludf.DUMMYFUNCTION("""COMPUTED_VALUE"""),20.8)</f>
        <v>20.8</v>
      </c>
      <c r="D3090" s="2">
        <f>IFERROR(__xludf.DUMMYFUNCTION("""COMPUTED_VALUE"""),20.45)</f>
        <v>20.45</v>
      </c>
      <c r="E3090" s="2">
        <f>IFERROR(__xludf.DUMMYFUNCTION("""COMPUTED_VALUE"""),20.51)</f>
        <v>20.51</v>
      </c>
      <c r="F3090" s="2">
        <f>IFERROR(__xludf.DUMMYFUNCTION("""COMPUTED_VALUE"""),1923000.0)</f>
        <v>1923000</v>
      </c>
    </row>
    <row r="3091">
      <c r="A3091" s="3">
        <f>IFERROR(__xludf.DUMMYFUNCTION("""COMPUTED_VALUE"""),33683.666666666664)</f>
        <v>33683.66667</v>
      </c>
      <c r="B3091" s="2">
        <f>IFERROR(__xludf.DUMMYFUNCTION("""COMPUTED_VALUE"""),20.57)</f>
        <v>20.57</v>
      </c>
      <c r="C3091" s="2">
        <f>IFERROR(__xludf.DUMMYFUNCTION("""COMPUTED_VALUE"""),20.69)</f>
        <v>20.69</v>
      </c>
      <c r="D3091" s="2">
        <f>IFERROR(__xludf.DUMMYFUNCTION("""COMPUTED_VALUE"""),20.48)</f>
        <v>20.48</v>
      </c>
      <c r="E3091" s="2">
        <f>IFERROR(__xludf.DUMMYFUNCTION("""COMPUTED_VALUE"""),20.57)</f>
        <v>20.57</v>
      </c>
      <c r="F3091" s="2">
        <f>IFERROR(__xludf.DUMMYFUNCTION("""COMPUTED_VALUE"""),1924600.0)</f>
        <v>1924600</v>
      </c>
    </row>
    <row r="3092">
      <c r="A3092" s="3">
        <f>IFERROR(__xludf.DUMMYFUNCTION("""COMPUTED_VALUE"""),33686.666666666664)</f>
        <v>33686.66667</v>
      </c>
      <c r="B3092" s="2">
        <f>IFERROR(__xludf.DUMMYFUNCTION("""COMPUTED_VALUE"""),20.45)</f>
        <v>20.45</v>
      </c>
      <c r="C3092" s="2">
        <f>IFERROR(__xludf.DUMMYFUNCTION("""COMPUTED_VALUE"""),20.72)</f>
        <v>20.72</v>
      </c>
      <c r="D3092" s="2">
        <f>IFERROR(__xludf.DUMMYFUNCTION("""COMPUTED_VALUE"""),20.45)</f>
        <v>20.45</v>
      </c>
      <c r="E3092" s="2">
        <f>IFERROR(__xludf.DUMMYFUNCTION("""COMPUTED_VALUE"""),20.45)</f>
        <v>20.45</v>
      </c>
      <c r="F3092" s="2">
        <f>IFERROR(__xludf.DUMMYFUNCTION("""COMPUTED_VALUE"""),1249000.0)</f>
        <v>1249000</v>
      </c>
    </row>
    <row r="3093">
      <c r="A3093" s="3">
        <f>IFERROR(__xludf.DUMMYFUNCTION("""COMPUTED_VALUE"""),33687.666666666664)</f>
        <v>33687.66667</v>
      </c>
      <c r="B3093" s="2">
        <f>IFERROR(__xludf.DUMMYFUNCTION("""COMPUTED_VALUE"""),20.36)</f>
        <v>20.36</v>
      </c>
      <c r="C3093" s="2">
        <f>IFERROR(__xludf.DUMMYFUNCTION("""COMPUTED_VALUE"""),20.54)</f>
        <v>20.54</v>
      </c>
      <c r="D3093" s="2">
        <f>IFERROR(__xludf.DUMMYFUNCTION("""COMPUTED_VALUE"""),20.3)</f>
        <v>20.3</v>
      </c>
      <c r="E3093" s="2">
        <f>IFERROR(__xludf.DUMMYFUNCTION("""COMPUTED_VALUE"""),20.36)</f>
        <v>20.36</v>
      </c>
      <c r="F3093" s="2">
        <f>IFERROR(__xludf.DUMMYFUNCTION("""COMPUTED_VALUE"""),1833500.0)</f>
        <v>1833500</v>
      </c>
    </row>
    <row r="3094">
      <c r="A3094" s="3">
        <f>IFERROR(__xludf.DUMMYFUNCTION("""COMPUTED_VALUE"""),33688.666666666664)</f>
        <v>33688.66667</v>
      </c>
      <c r="B3094" s="2">
        <f>IFERROR(__xludf.DUMMYFUNCTION("""COMPUTED_VALUE"""),20.33)</f>
        <v>20.33</v>
      </c>
      <c r="C3094" s="2">
        <f>IFERROR(__xludf.DUMMYFUNCTION("""COMPUTED_VALUE"""),20.54)</f>
        <v>20.54</v>
      </c>
      <c r="D3094" s="2">
        <f>IFERROR(__xludf.DUMMYFUNCTION("""COMPUTED_VALUE"""),20.24)</f>
        <v>20.24</v>
      </c>
      <c r="E3094" s="2">
        <f>IFERROR(__xludf.DUMMYFUNCTION("""COMPUTED_VALUE"""),20.33)</f>
        <v>20.33</v>
      </c>
      <c r="F3094" s="2">
        <f>IFERROR(__xludf.DUMMYFUNCTION("""COMPUTED_VALUE"""),1315300.0)</f>
        <v>1315300</v>
      </c>
    </row>
    <row r="3095">
      <c r="A3095" s="3">
        <f>IFERROR(__xludf.DUMMYFUNCTION("""COMPUTED_VALUE"""),33689.666666666664)</f>
        <v>33689.66667</v>
      </c>
      <c r="B3095" s="2">
        <f>IFERROR(__xludf.DUMMYFUNCTION("""COMPUTED_VALUE"""),20.09)</f>
        <v>20.09</v>
      </c>
      <c r="C3095" s="2">
        <f>IFERROR(__xludf.DUMMYFUNCTION("""COMPUTED_VALUE"""),20.39)</f>
        <v>20.39</v>
      </c>
      <c r="D3095" s="2">
        <f>IFERROR(__xludf.DUMMYFUNCTION("""COMPUTED_VALUE"""),20.09)</f>
        <v>20.09</v>
      </c>
      <c r="E3095" s="2">
        <f>IFERROR(__xludf.DUMMYFUNCTION("""COMPUTED_VALUE"""),20.09)</f>
        <v>20.09</v>
      </c>
      <c r="F3095" s="2">
        <f>IFERROR(__xludf.DUMMYFUNCTION("""COMPUTED_VALUE"""),1590100.0)</f>
        <v>1590100</v>
      </c>
    </row>
    <row r="3096">
      <c r="A3096" s="3">
        <f>IFERROR(__xludf.DUMMYFUNCTION("""COMPUTED_VALUE"""),33690.666666666664)</f>
        <v>33690.66667</v>
      </c>
      <c r="B3096" s="2">
        <f>IFERROR(__xludf.DUMMYFUNCTION("""COMPUTED_VALUE"""),19.88)</f>
        <v>19.88</v>
      </c>
      <c r="C3096" s="2">
        <f>IFERROR(__xludf.DUMMYFUNCTION("""COMPUTED_VALUE"""),20.15)</f>
        <v>20.15</v>
      </c>
      <c r="D3096" s="2">
        <f>IFERROR(__xludf.DUMMYFUNCTION("""COMPUTED_VALUE"""),19.85)</f>
        <v>19.85</v>
      </c>
      <c r="E3096" s="2">
        <f>IFERROR(__xludf.DUMMYFUNCTION("""COMPUTED_VALUE"""),19.88)</f>
        <v>19.88</v>
      </c>
      <c r="F3096" s="2">
        <f>IFERROR(__xludf.DUMMYFUNCTION("""COMPUTED_VALUE"""),2143100.0)</f>
        <v>2143100</v>
      </c>
    </row>
    <row r="3097">
      <c r="A3097" s="3">
        <f>IFERROR(__xludf.DUMMYFUNCTION("""COMPUTED_VALUE"""),33693.666666666664)</f>
        <v>33693.66667</v>
      </c>
      <c r="B3097" s="2">
        <f>IFERROR(__xludf.DUMMYFUNCTION("""COMPUTED_VALUE"""),19.91)</f>
        <v>19.91</v>
      </c>
      <c r="C3097" s="2">
        <f>IFERROR(__xludf.DUMMYFUNCTION("""COMPUTED_VALUE"""),20.03)</f>
        <v>20.03</v>
      </c>
      <c r="D3097" s="2">
        <f>IFERROR(__xludf.DUMMYFUNCTION("""COMPUTED_VALUE"""),19.85)</f>
        <v>19.85</v>
      </c>
      <c r="E3097" s="2">
        <f>IFERROR(__xludf.DUMMYFUNCTION("""COMPUTED_VALUE"""),19.91)</f>
        <v>19.91</v>
      </c>
      <c r="F3097" s="2">
        <f>IFERROR(__xludf.DUMMYFUNCTION("""COMPUTED_VALUE"""),1350500.0)</f>
        <v>1350500</v>
      </c>
    </row>
    <row r="3098">
      <c r="A3098" s="3">
        <f>IFERROR(__xludf.DUMMYFUNCTION("""COMPUTED_VALUE"""),33694.666666666664)</f>
        <v>33694.66667</v>
      </c>
      <c r="B3098" s="2">
        <f>IFERROR(__xludf.DUMMYFUNCTION("""COMPUTED_VALUE"""),19.94)</f>
        <v>19.94</v>
      </c>
      <c r="C3098" s="2">
        <f>IFERROR(__xludf.DUMMYFUNCTION("""COMPUTED_VALUE"""),20.27)</f>
        <v>20.27</v>
      </c>
      <c r="D3098" s="2">
        <f>IFERROR(__xludf.DUMMYFUNCTION("""COMPUTED_VALUE"""),19.91)</f>
        <v>19.91</v>
      </c>
      <c r="E3098" s="2">
        <f>IFERROR(__xludf.DUMMYFUNCTION("""COMPUTED_VALUE"""),19.94)</f>
        <v>19.94</v>
      </c>
      <c r="F3098" s="2">
        <f>IFERROR(__xludf.DUMMYFUNCTION("""COMPUTED_VALUE"""),1618300.0)</f>
        <v>1618300</v>
      </c>
    </row>
    <row r="3099">
      <c r="A3099" s="3">
        <f>IFERROR(__xludf.DUMMYFUNCTION("""COMPUTED_VALUE"""),33695.666666666664)</f>
        <v>33695.66667</v>
      </c>
      <c r="B3099" s="2">
        <f>IFERROR(__xludf.DUMMYFUNCTION("""COMPUTED_VALUE"""),19.79)</f>
        <v>19.79</v>
      </c>
      <c r="C3099" s="2">
        <f>IFERROR(__xludf.DUMMYFUNCTION("""COMPUTED_VALUE"""),19.94)</f>
        <v>19.94</v>
      </c>
      <c r="D3099" s="2">
        <f>IFERROR(__xludf.DUMMYFUNCTION("""COMPUTED_VALUE"""),19.76)</f>
        <v>19.76</v>
      </c>
      <c r="E3099" s="2">
        <f>IFERROR(__xludf.DUMMYFUNCTION("""COMPUTED_VALUE"""),19.79)</f>
        <v>19.79</v>
      </c>
      <c r="F3099" s="2">
        <f>IFERROR(__xludf.DUMMYFUNCTION("""COMPUTED_VALUE"""),1968600.0)</f>
        <v>1968600</v>
      </c>
    </row>
    <row r="3100">
      <c r="A3100" s="3">
        <f>IFERROR(__xludf.DUMMYFUNCTION("""COMPUTED_VALUE"""),33696.666666666664)</f>
        <v>33696.66667</v>
      </c>
      <c r="B3100" s="2">
        <f>IFERROR(__xludf.DUMMYFUNCTION("""COMPUTED_VALUE"""),19.64)</f>
        <v>19.64</v>
      </c>
      <c r="C3100" s="2">
        <f>IFERROR(__xludf.DUMMYFUNCTION("""COMPUTED_VALUE"""),19.94)</f>
        <v>19.94</v>
      </c>
      <c r="D3100" s="2">
        <f>IFERROR(__xludf.DUMMYFUNCTION("""COMPUTED_VALUE"""),19.55)</f>
        <v>19.55</v>
      </c>
      <c r="E3100" s="2">
        <f>IFERROR(__xludf.DUMMYFUNCTION("""COMPUTED_VALUE"""),19.64)</f>
        <v>19.64</v>
      </c>
      <c r="F3100" s="2">
        <f>IFERROR(__xludf.DUMMYFUNCTION("""COMPUTED_VALUE"""),2072800.0)</f>
        <v>2072800</v>
      </c>
    </row>
    <row r="3101">
      <c r="A3101" s="3">
        <f>IFERROR(__xludf.DUMMYFUNCTION("""COMPUTED_VALUE"""),33697.666666666664)</f>
        <v>33697.66667</v>
      </c>
      <c r="B3101" s="2">
        <f>IFERROR(__xludf.DUMMYFUNCTION("""COMPUTED_VALUE"""),19.52)</f>
        <v>19.52</v>
      </c>
      <c r="C3101" s="2">
        <f>IFERROR(__xludf.DUMMYFUNCTION("""COMPUTED_VALUE"""),19.67)</f>
        <v>19.67</v>
      </c>
      <c r="D3101" s="2">
        <f>IFERROR(__xludf.DUMMYFUNCTION("""COMPUTED_VALUE"""),19.52)</f>
        <v>19.52</v>
      </c>
      <c r="E3101" s="2">
        <f>IFERROR(__xludf.DUMMYFUNCTION("""COMPUTED_VALUE"""),19.52)</f>
        <v>19.52</v>
      </c>
      <c r="F3101" s="2">
        <f>IFERROR(__xludf.DUMMYFUNCTION("""COMPUTED_VALUE"""),1727500.0)</f>
        <v>1727500</v>
      </c>
    </row>
    <row r="3102">
      <c r="A3102" s="3">
        <f>IFERROR(__xludf.DUMMYFUNCTION("""COMPUTED_VALUE"""),33700.666666666664)</f>
        <v>33700.66667</v>
      </c>
      <c r="B3102" s="2">
        <f>IFERROR(__xludf.DUMMYFUNCTION("""COMPUTED_VALUE"""),19.85)</f>
        <v>19.85</v>
      </c>
      <c r="C3102" s="2">
        <f>IFERROR(__xludf.DUMMYFUNCTION("""COMPUTED_VALUE"""),19.85)</f>
        <v>19.85</v>
      </c>
      <c r="D3102" s="2">
        <f>IFERROR(__xludf.DUMMYFUNCTION("""COMPUTED_VALUE"""),19.49)</f>
        <v>19.49</v>
      </c>
      <c r="E3102" s="2">
        <f>IFERROR(__xludf.DUMMYFUNCTION("""COMPUTED_VALUE"""),19.85)</f>
        <v>19.85</v>
      </c>
      <c r="F3102" s="2">
        <f>IFERROR(__xludf.DUMMYFUNCTION("""COMPUTED_VALUE"""),1421300.0)</f>
        <v>1421300</v>
      </c>
    </row>
    <row r="3103">
      <c r="A3103" s="3">
        <f>IFERROR(__xludf.DUMMYFUNCTION("""COMPUTED_VALUE"""),33701.666666666664)</f>
        <v>33701.66667</v>
      </c>
      <c r="B3103" s="2">
        <f>IFERROR(__xludf.DUMMYFUNCTION("""COMPUTED_VALUE"""),19.67)</f>
        <v>19.67</v>
      </c>
      <c r="C3103" s="2">
        <f>IFERROR(__xludf.DUMMYFUNCTION("""COMPUTED_VALUE"""),20.27)</f>
        <v>20.27</v>
      </c>
      <c r="D3103" s="2">
        <f>IFERROR(__xludf.DUMMYFUNCTION("""COMPUTED_VALUE"""),19.64)</f>
        <v>19.64</v>
      </c>
      <c r="E3103" s="2">
        <f>IFERROR(__xludf.DUMMYFUNCTION("""COMPUTED_VALUE"""),19.67)</f>
        <v>19.67</v>
      </c>
      <c r="F3103" s="2">
        <f>IFERROR(__xludf.DUMMYFUNCTION("""COMPUTED_VALUE"""),1926400.0)</f>
        <v>1926400</v>
      </c>
    </row>
    <row r="3104">
      <c r="A3104" s="3">
        <f>IFERROR(__xludf.DUMMYFUNCTION("""COMPUTED_VALUE"""),33702.666666666664)</f>
        <v>33702.66667</v>
      </c>
      <c r="B3104" s="2">
        <f>IFERROR(__xludf.DUMMYFUNCTION("""COMPUTED_VALUE"""),20.27)</f>
        <v>20.27</v>
      </c>
      <c r="C3104" s="2">
        <f>IFERROR(__xludf.DUMMYFUNCTION("""COMPUTED_VALUE"""),20.3)</f>
        <v>20.3</v>
      </c>
      <c r="D3104" s="2">
        <f>IFERROR(__xludf.DUMMYFUNCTION("""COMPUTED_VALUE"""),19.73)</f>
        <v>19.73</v>
      </c>
      <c r="E3104" s="2">
        <f>IFERROR(__xludf.DUMMYFUNCTION("""COMPUTED_VALUE"""),20.27)</f>
        <v>20.27</v>
      </c>
      <c r="F3104" s="2">
        <f>IFERROR(__xludf.DUMMYFUNCTION("""COMPUTED_VALUE"""),3020100.0)</f>
        <v>3020100</v>
      </c>
    </row>
    <row r="3105">
      <c r="A3105" s="3">
        <f>IFERROR(__xludf.DUMMYFUNCTION("""COMPUTED_VALUE"""),33703.666666666664)</f>
        <v>33703.66667</v>
      </c>
      <c r="B3105" s="2">
        <f>IFERROR(__xludf.DUMMYFUNCTION("""COMPUTED_VALUE"""),20.33)</f>
        <v>20.33</v>
      </c>
      <c r="C3105" s="2">
        <f>IFERROR(__xludf.DUMMYFUNCTION("""COMPUTED_VALUE"""),20.51)</f>
        <v>20.51</v>
      </c>
      <c r="D3105" s="2">
        <f>IFERROR(__xludf.DUMMYFUNCTION("""COMPUTED_VALUE"""),20.21)</f>
        <v>20.21</v>
      </c>
      <c r="E3105" s="2">
        <f>IFERROR(__xludf.DUMMYFUNCTION("""COMPUTED_VALUE"""),20.33)</f>
        <v>20.33</v>
      </c>
      <c r="F3105" s="2">
        <f>IFERROR(__xludf.DUMMYFUNCTION("""COMPUTED_VALUE"""),2275600.0)</f>
        <v>2275600</v>
      </c>
    </row>
    <row r="3106">
      <c r="A3106" s="3">
        <f>IFERROR(__xludf.DUMMYFUNCTION("""COMPUTED_VALUE"""),33704.666666666664)</f>
        <v>33704.66667</v>
      </c>
      <c r="B3106" s="2">
        <f>IFERROR(__xludf.DUMMYFUNCTION("""COMPUTED_VALUE"""),20.54)</f>
        <v>20.54</v>
      </c>
      <c r="C3106" s="2">
        <f>IFERROR(__xludf.DUMMYFUNCTION("""COMPUTED_VALUE"""),20.57)</f>
        <v>20.57</v>
      </c>
      <c r="D3106" s="2">
        <f>IFERROR(__xludf.DUMMYFUNCTION("""COMPUTED_VALUE"""),20.18)</f>
        <v>20.18</v>
      </c>
      <c r="E3106" s="2">
        <f>IFERROR(__xludf.DUMMYFUNCTION("""COMPUTED_VALUE"""),20.54)</f>
        <v>20.54</v>
      </c>
      <c r="F3106" s="2">
        <f>IFERROR(__xludf.DUMMYFUNCTION("""COMPUTED_VALUE"""),2052900.0)</f>
        <v>2052900</v>
      </c>
    </row>
    <row r="3107">
      <c r="A3107" s="3">
        <f>IFERROR(__xludf.DUMMYFUNCTION("""COMPUTED_VALUE"""),33707.666666666664)</f>
        <v>33707.66667</v>
      </c>
      <c r="B3107" s="2">
        <f>IFERROR(__xludf.DUMMYFUNCTION("""COMPUTED_VALUE"""),20.89)</f>
        <v>20.89</v>
      </c>
      <c r="C3107" s="2">
        <f>IFERROR(__xludf.DUMMYFUNCTION("""COMPUTED_VALUE"""),20.89)</f>
        <v>20.89</v>
      </c>
      <c r="D3107" s="2">
        <f>IFERROR(__xludf.DUMMYFUNCTION("""COMPUTED_VALUE"""),20.51)</f>
        <v>20.51</v>
      </c>
      <c r="E3107" s="2">
        <f>IFERROR(__xludf.DUMMYFUNCTION("""COMPUTED_VALUE"""),20.89)</f>
        <v>20.89</v>
      </c>
      <c r="F3107" s="2">
        <f>IFERROR(__xludf.DUMMYFUNCTION("""COMPUTED_VALUE"""),1712300.0)</f>
        <v>1712300</v>
      </c>
    </row>
    <row r="3108">
      <c r="A3108" s="3">
        <f>IFERROR(__xludf.DUMMYFUNCTION("""COMPUTED_VALUE"""),33708.666666666664)</f>
        <v>33708.66667</v>
      </c>
      <c r="B3108" s="2">
        <f>IFERROR(__xludf.DUMMYFUNCTION("""COMPUTED_VALUE"""),21.07)</f>
        <v>21.07</v>
      </c>
      <c r="C3108" s="2">
        <f>IFERROR(__xludf.DUMMYFUNCTION("""COMPUTED_VALUE"""),21.43)</f>
        <v>21.43</v>
      </c>
      <c r="D3108" s="2">
        <f>IFERROR(__xludf.DUMMYFUNCTION("""COMPUTED_VALUE"""),21.04)</f>
        <v>21.04</v>
      </c>
      <c r="E3108" s="2">
        <f>IFERROR(__xludf.DUMMYFUNCTION("""COMPUTED_VALUE"""),21.07)</f>
        <v>21.07</v>
      </c>
      <c r="F3108" s="2">
        <f>IFERROR(__xludf.DUMMYFUNCTION("""COMPUTED_VALUE"""),3316600.0)</f>
        <v>3316600</v>
      </c>
    </row>
    <row r="3109">
      <c r="A3109" s="3">
        <f>IFERROR(__xludf.DUMMYFUNCTION("""COMPUTED_VALUE"""),33709.666666666664)</f>
        <v>33709.66667</v>
      </c>
      <c r="B3109" s="2">
        <f>IFERROR(__xludf.DUMMYFUNCTION("""COMPUTED_VALUE"""),21.13)</f>
        <v>21.13</v>
      </c>
      <c r="C3109" s="2">
        <f>IFERROR(__xludf.DUMMYFUNCTION("""COMPUTED_VALUE"""),21.22)</f>
        <v>21.22</v>
      </c>
      <c r="D3109" s="2">
        <f>IFERROR(__xludf.DUMMYFUNCTION("""COMPUTED_VALUE"""),20.92)</f>
        <v>20.92</v>
      </c>
      <c r="E3109" s="2">
        <f>IFERROR(__xludf.DUMMYFUNCTION("""COMPUTED_VALUE"""),21.13)</f>
        <v>21.13</v>
      </c>
      <c r="F3109" s="2">
        <f>IFERROR(__xludf.DUMMYFUNCTION("""COMPUTED_VALUE"""),2215600.0)</f>
        <v>2215600</v>
      </c>
    </row>
    <row r="3110">
      <c r="A3110" s="3">
        <f>IFERROR(__xludf.DUMMYFUNCTION("""COMPUTED_VALUE"""),33710.666666666664)</f>
        <v>33710.66667</v>
      </c>
      <c r="B3110" s="2">
        <f>IFERROR(__xludf.DUMMYFUNCTION("""COMPUTED_VALUE"""),21.16)</f>
        <v>21.16</v>
      </c>
      <c r="C3110" s="2">
        <f>IFERROR(__xludf.DUMMYFUNCTION("""COMPUTED_VALUE"""),21.16)</f>
        <v>21.16</v>
      </c>
      <c r="D3110" s="2">
        <f>IFERROR(__xludf.DUMMYFUNCTION("""COMPUTED_VALUE"""),20.89)</f>
        <v>20.89</v>
      </c>
      <c r="E3110" s="2">
        <f>IFERROR(__xludf.DUMMYFUNCTION("""COMPUTED_VALUE"""),21.16)</f>
        <v>21.16</v>
      </c>
      <c r="F3110" s="2">
        <f>IFERROR(__xludf.DUMMYFUNCTION("""COMPUTED_VALUE"""),2063100.0)</f>
        <v>2063100</v>
      </c>
    </row>
    <row r="3111">
      <c r="A3111" s="3">
        <f>IFERROR(__xludf.DUMMYFUNCTION("""COMPUTED_VALUE"""),33714.666666666664)</f>
        <v>33714.66667</v>
      </c>
      <c r="B3111" s="2">
        <f>IFERROR(__xludf.DUMMYFUNCTION("""COMPUTED_VALUE"""),21.37)</f>
        <v>21.37</v>
      </c>
      <c r="C3111" s="2">
        <f>IFERROR(__xludf.DUMMYFUNCTION("""COMPUTED_VALUE"""),21.43)</f>
        <v>21.43</v>
      </c>
      <c r="D3111" s="2">
        <f>IFERROR(__xludf.DUMMYFUNCTION("""COMPUTED_VALUE"""),21.07)</f>
        <v>21.07</v>
      </c>
      <c r="E3111" s="2">
        <f>IFERROR(__xludf.DUMMYFUNCTION("""COMPUTED_VALUE"""),21.37)</f>
        <v>21.37</v>
      </c>
      <c r="F3111" s="2">
        <f>IFERROR(__xludf.DUMMYFUNCTION("""COMPUTED_VALUE"""),1792800.0)</f>
        <v>1792800</v>
      </c>
    </row>
    <row r="3112">
      <c r="A3112" s="3">
        <f>IFERROR(__xludf.DUMMYFUNCTION("""COMPUTED_VALUE"""),33715.666666666664)</f>
        <v>33715.66667</v>
      </c>
      <c r="B3112" s="2">
        <f>IFERROR(__xludf.DUMMYFUNCTION("""COMPUTED_VALUE"""),21.49)</f>
        <v>21.49</v>
      </c>
      <c r="C3112" s="2">
        <f>IFERROR(__xludf.DUMMYFUNCTION("""COMPUTED_VALUE"""),21.55)</f>
        <v>21.55</v>
      </c>
      <c r="D3112" s="2">
        <f>IFERROR(__xludf.DUMMYFUNCTION("""COMPUTED_VALUE"""),21.37)</f>
        <v>21.37</v>
      </c>
      <c r="E3112" s="2">
        <f>IFERROR(__xludf.DUMMYFUNCTION("""COMPUTED_VALUE"""),21.49)</f>
        <v>21.49</v>
      </c>
      <c r="F3112" s="2">
        <f>IFERROR(__xludf.DUMMYFUNCTION("""COMPUTED_VALUE"""),2117200.0)</f>
        <v>2117200</v>
      </c>
    </row>
    <row r="3113">
      <c r="A3113" s="3">
        <f>IFERROR(__xludf.DUMMYFUNCTION("""COMPUTED_VALUE"""),33716.666666666664)</f>
        <v>33716.66667</v>
      </c>
      <c r="B3113" s="2">
        <f>IFERROR(__xludf.DUMMYFUNCTION("""COMPUTED_VALUE"""),21.52)</f>
        <v>21.52</v>
      </c>
      <c r="C3113" s="2">
        <f>IFERROR(__xludf.DUMMYFUNCTION("""COMPUTED_VALUE"""),21.52)</f>
        <v>21.52</v>
      </c>
      <c r="D3113" s="2">
        <f>IFERROR(__xludf.DUMMYFUNCTION("""COMPUTED_VALUE"""),21.4)</f>
        <v>21.4</v>
      </c>
      <c r="E3113" s="2">
        <f>IFERROR(__xludf.DUMMYFUNCTION("""COMPUTED_VALUE"""),21.52)</f>
        <v>21.52</v>
      </c>
      <c r="F3113" s="2">
        <f>IFERROR(__xludf.DUMMYFUNCTION("""COMPUTED_VALUE"""),1324900.0)</f>
        <v>1324900</v>
      </c>
    </row>
    <row r="3114">
      <c r="A3114" s="3">
        <f>IFERROR(__xludf.DUMMYFUNCTION("""COMPUTED_VALUE"""),33717.666666666664)</f>
        <v>33717.66667</v>
      </c>
      <c r="B3114" s="2">
        <f>IFERROR(__xludf.DUMMYFUNCTION("""COMPUTED_VALUE"""),21.31)</f>
        <v>21.31</v>
      </c>
      <c r="C3114" s="2">
        <f>IFERROR(__xludf.DUMMYFUNCTION("""COMPUTED_VALUE"""),21.64)</f>
        <v>21.64</v>
      </c>
      <c r="D3114" s="2">
        <f>IFERROR(__xludf.DUMMYFUNCTION("""COMPUTED_VALUE"""),21.25)</f>
        <v>21.25</v>
      </c>
      <c r="E3114" s="2">
        <f>IFERROR(__xludf.DUMMYFUNCTION("""COMPUTED_VALUE"""),21.31)</f>
        <v>21.31</v>
      </c>
      <c r="F3114" s="2">
        <f>IFERROR(__xludf.DUMMYFUNCTION("""COMPUTED_VALUE"""),1475400.0)</f>
        <v>1475400</v>
      </c>
    </row>
    <row r="3115">
      <c r="A3115" s="3">
        <f>IFERROR(__xludf.DUMMYFUNCTION("""COMPUTED_VALUE"""),33718.666666666664)</f>
        <v>33718.66667</v>
      </c>
      <c r="B3115" s="2">
        <f>IFERROR(__xludf.DUMMYFUNCTION("""COMPUTED_VALUE"""),21.04)</f>
        <v>21.04</v>
      </c>
      <c r="C3115" s="2">
        <f>IFERROR(__xludf.DUMMYFUNCTION("""COMPUTED_VALUE"""),21.31)</f>
        <v>21.31</v>
      </c>
      <c r="D3115" s="2">
        <f>IFERROR(__xludf.DUMMYFUNCTION("""COMPUTED_VALUE"""),21.04)</f>
        <v>21.04</v>
      </c>
      <c r="E3115" s="2">
        <f>IFERROR(__xludf.DUMMYFUNCTION("""COMPUTED_VALUE"""),21.04)</f>
        <v>21.04</v>
      </c>
      <c r="F3115" s="2">
        <f>IFERROR(__xludf.DUMMYFUNCTION("""COMPUTED_VALUE"""),993100.0)</f>
        <v>993100</v>
      </c>
    </row>
    <row r="3116">
      <c r="A3116" s="3">
        <f>IFERROR(__xludf.DUMMYFUNCTION("""COMPUTED_VALUE"""),33721.666666666664)</f>
        <v>33721.66667</v>
      </c>
      <c r="B3116" s="2">
        <f>IFERROR(__xludf.DUMMYFUNCTION("""COMPUTED_VALUE"""),21.04)</f>
        <v>21.04</v>
      </c>
      <c r="C3116" s="2">
        <f>IFERROR(__xludf.DUMMYFUNCTION("""COMPUTED_VALUE"""),21.19)</f>
        <v>21.19</v>
      </c>
      <c r="D3116" s="2">
        <f>IFERROR(__xludf.DUMMYFUNCTION("""COMPUTED_VALUE"""),20.95)</f>
        <v>20.95</v>
      </c>
      <c r="E3116" s="2">
        <f>IFERROR(__xludf.DUMMYFUNCTION("""COMPUTED_VALUE"""),21.04)</f>
        <v>21.04</v>
      </c>
      <c r="F3116" s="2">
        <f>IFERROR(__xludf.DUMMYFUNCTION("""COMPUTED_VALUE"""),1000900.0)</f>
        <v>1000900</v>
      </c>
    </row>
    <row r="3117">
      <c r="A3117" s="3">
        <f>IFERROR(__xludf.DUMMYFUNCTION("""COMPUTED_VALUE"""),33722.666666666664)</f>
        <v>33722.66667</v>
      </c>
      <c r="B3117" s="2">
        <f>IFERROR(__xludf.DUMMYFUNCTION("""COMPUTED_VALUE"""),21.13)</f>
        <v>21.13</v>
      </c>
      <c r="C3117" s="2">
        <f>IFERROR(__xludf.DUMMYFUNCTION("""COMPUTED_VALUE"""),21.13)</f>
        <v>21.13</v>
      </c>
      <c r="D3117" s="2">
        <f>IFERROR(__xludf.DUMMYFUNCTION("""COMPUTED_VALUE"""),20.86)</f>
        <v>20.86</v>
      </c>
      <c r="E3117" s="2">
        <f>IFERROR(__xludf.DUMMYFUNCTION("""COMPUTED_VALUE"""),21.13)</f>
        <v>21.13</v>
      </c>
      <c r="F3117" s="2">
        <f>IFERROR(__xludf.DUMMYFUNCTION("""COMPUTED_VALUE"""),1108900.0)</f>
        <v>1108900</v>
      </c>
    </row>
    <row r="3118">
      <c r="A3118" s="3">
        <f>IFERROR(__xludf.DUMMYFUNCTION("""COMPUTED_VALUE"""),33723.666666666664)</f>
        <v>33723.66667</v>
      </c>
      <c r="B3118" s="2">
        <f>IFERROR(__xludf.DUMMYFUNCTION("""COMPUTED_VALUE"""),21.04)</f>
        <v>21.04</v>
      </c>
      <c r="C3118" s="2">
        <f>IFERROR(__xludf.DUMMYFUNCTION("""COMPUTED_VALUE"""),21.22)</f>
        <v>21.22</v>
      </c>
      <c r="D3118" s="2">
        <f>IFERROR(__xludf.DUMMYFUNCTION("""COMPUTED_VALUE"""),20.95)</f>
        <v>20.95</v>
      </c>
      <c r="E3118" s="2">
        <f>IFERROR(__xludf.DUMMYFUNCTION("""COMPUTED_VALUE"""),21.04)</f>
        <v>21.04</v>
      </c>
      <c r="F3118" s="2">
        <f>IFERROR(__xludf.DUMMYFUNCTION("""COMPUTED_VALUE"""),1268600.0)</f>
        <v>1268600</v>
      </c>
    </row>
    <row r="3119">
      <c r="A3119" s="3">
        <f>IFERROR(__xludf.DUMMYFUNCTION("""COMPUTED_VALUE"""),33724.666666666664)</f>
        <v>33724.66667</v>
      </c>
      <c r="B3119" s="2">
        <f>IFERROR(__xludf.DUMMYFUNCTION("""COMPUTED_VALUE"""),21.67)</f>
        <v>21.67</v>
      </c>
      <c r="C3119" s="2">
        <f>IFERROR(__xludf.DUMMYFUNCTION("""COMPUTED_VALUE"""),21.67)</f>
        <v>21.67</v>
      </c>
      <c r="D3119" s="2">
        <f>IFERROR(__xludf.DUMMYFUNCTION("""COMPUTED_VALUE"""),21.07)</f>
        <v>21.07</v>
      </c>
      <c r="E3119" s="2">
        <f>IFERROR(__xludf.DUMMYFUNCTION("""COMPUTED_VALUE"""),21.67)</f>
        <v>21.67</v>
      </c>
      <c r="F3119" s="2">
        <f>IFERROR(__xludf.DUMMYFUNCTION("""COMPUTED_VALUE"""),1681900.0)</f>
        <v>1681900</v>
      </c>
    </row>
    <row r="3120">
      <c r="A3120" s="3">
        <f>IFERROR(__xludf.DUMMYFUNCTION("""COMPUTED_VALUE"""),33725.666666666664)</f>
        <v>33725.66667</v>
      </c>
      <c r="B3120" s="2">
        <f>IFERROR(__xludf.DUMMYFUNCTION("""COMPUTED_VALUE"""),21.64)</f>
        <v>21.64</v>
      </c>
      <c r="C3120" s="2">
        <f>IFERROR(__xludf.DUMMYFUNCTION("""COMPUTED_VALUE"""),22.0)</f>
        <v>22</v>
      </c>
      <c r="D3120" s="2">
        <f>IFERROR(__xludf.DUMMYFUNCTION("""COMPUTED_VALUE"""),21.58)</f>
        <v>21.58</v>
      </c>
      <c r="E3120" s="2">
        <f>IFERROR(__xludf.DUMMYFUNCTION("""COMPUTED_VALUE"""),21.64)</f>
        <v>21.64</v>
      </c>
      <c r="F3120" s="2">
        <f>IFERROR(__xludf.DUMMYFUNCTION("""COMPUTED_VALUE"""),2074400.0)</f>
        <v>2074400</v>
      </c>
    </row>
    <row r="3121">
      <c r="A3121" s="3">
        <f>IFERROR(__xludf.DUMMYFUNCTION("""COMPUTED_VALUE"""),33728.666666666664)</f>
        <v>33728.66667</v>
      </c>
      <c r="B3121" s="2">
        <f>IFERROR(__xludf.DUMMYFUNCTION("""COMPUTED_VALUE"""),22.09)</f>
        <v>22.09</v>
      </c>
      <c r="C3121" s="2">
        <f>IFERROR(__xludf.DUMMYFUNCTION("""COMPUTED_VALUE"""),22.21)</f>
        <v>22.21</v>
      </c>
      <c r="D3121" s="2">
        <f>IFERROR(__xludf.DUMMYFUNCTION("""COMPUTED_VALUE"""),22.0)</f>
        <v>22</v>
      </c>
      <c r="E3121" s="2">
        <f>IFERROR(__xludf.DUMMYFUNCTION("""COMPUTED_VALUE"""),22.09)</f>
        <v>22.09</v>
      </c>
      <c r="F3121" s="2">
        <f>IFERROR(__xludf.DUMMYFUNCTION("""COMPUTED_VALUE"""),2341200.0)</f>
        <v>2341200</v>
      </c>
    </row>
    <row r="3122">
      <c r="A3122" s="3">
        <f>IFERROR(__xludf.DUMMYFUNCTION("""COMPUTED_VALUE"""),33729.666666666664)</f>
        <v>33729.66667</v>
      </c>
      <c r="B3122" s="2">
        <f>IFERROR(__xludf.DUMMYFUNCTION("""COMPUTED_VALUE"""),22.42)</f>
        <v>22.42</v>
      </c>
      <c r="C3122" s="2">
        <f>IFERROR(__xludf.DUMMYFUNCTION("""COMPUTED_VALUE"""),22.45)</f>
        <v>22.45</v>
      </c>
      <c r="D3122" s="2">
        <f>IFERROR(__xludf.DUMMYFUNCTION("""COMPUTED_VALUE"""),22.06)</f>
        <v>22.06</v>
      </c>
      <c r="E3122" s="2">
        <f>IFERROR(__xludf.DUMMYFUNCTION("""COMPUTED_VALUE"""),22.42)</f>
        <v>22.42</v>
      </c>
      <c r="F3122" s="2">
        <f>IFERROR(__xludf.DUMMYFUNCTION("""COMPUTED_VALUE"""),2044900.0)</f>
        <v>2044900</v>
      </c>
    </row>
    <row r="3123">
      <c r="A3123" s="3">
        <f>IFERROR(__xludf.DUMMYFUNCTION("""COMPUTED_VALUE"""),33730.666666666664)</f>
        <v>33730.66667</v>
      </c>
      <c r="B3123" s="2">
        <f>IFERROR(__xludf.DUMMYFUNCTION("""COMPUTED_VALUE"""),22.3)</f>
        <v>22.3</v>
      </c>
      <c r="C3123" s="2">
        <f>IFERROR(__xludf.DUMMYFUNCTION("""COMPUTED_VALUE"""),22.48)</f>
        <v>22.48</v>
      </c>
      <c r="D3123" s="2">
        <f>IFERROR(__xludf.DUMMYFUNCTION("""COMPUTED_VALUE"""),22.24)</f>
        <v>22.24</v>
      </c>
      <c r="E3123" s="2">
        <f>IFERROR(__xludf.DUMMYFUNCTION("""COMPUTED_VALUE"""),22.3)</f>
        <v>22.3</v>
      </c>
      <c r="F3123" s="2">
        <f>IFERROR(__xludf.DUMMYFUNCTION("""COMPUTED_VALUE"""),2029100.0)</f>
        <v>2029100</v>
      </c>
    </row>
    <row r="3124">
      <c r="A3124" s="3">
        <f>IFERROR(__xludf.DUMMYFUNCTION("""COMPUTED_VALUE"""),33731.666666666664)</f>
        <v>33731.66667</v>
      </c>
      <c r="B3124" s="2">
        <f>IFERROR(__xludf.DUMMYFUNCTION("""COMPUTED_VALUE"""),22.39)</f>
        <v>22.39</v>
      </c>
      <c r="C3124" s="2">
        <f>IFERROR(__xludf.DUMMYFUNCTION("""COMPUTED_VALUE"""),22.48)</f>
        <v>22.48</v>
      </c>
      <c r="D3124" s="2">
        <f>IFERROR(__xludf.DUMMYFUNCTION("""COMPUTED_VALUE"""),22.15)</f>
        <v>22.15</v>
      </c>
      <c r="E3124" s="2">
        <f>IFERROR(__xludf.DUMMYFUNCTION("""COMPUTED_VALUE"""),22.39)</f>
        <v>22.39</v>
      </c>
      <c r="F3124" s="2">
        <f>IFERROR(__xludf.DUMMYFUNCTION("""COMPUTED_VALUE"""),1895700.0)</f>
        <v>1895700</v>
      </c>
    </row>
    <row r="3125">
      <c r="A3125" s="3">
        <f>IFERROR(__xludf.DUMMYFUNCTION("""COMPUTED_VALUE"""),33732.666666666664)</f>
        <v>33732.66667</v>
      </c>
      <c r="B3125" s="2">
        <f>IFERROR(__xludf.DUMMYFUNCTION("""COMPUTED_VALUE"""),22.24)</f>
        <v>22.24</v>
      </c>
      <c r="C3125" s="2">
        <f>IFERROR(__xludf.DUMMYFUNCTION("""COMPUTED_VALUE"""),22.51)</f>
        <v>22.51</v>
      </c>
      <c r="D3125" s="2">
        <f>IFERROR(__xludf.DUMMYFUNCTION("""COMPUTED_VALUE"""),22.24)</f>
        <v>22.24</v>
      </c>
      <c r="E3125" s="2">
        <f>IFERROR(__xludf.DUMMYFUNCTION("""COMPUTED_VALUE"""),22.24)</f>
        <v>22.24</v>
      </c>
      <c r="F3125" s="2">
        <f>IFERROR(__xludf.DUMMYFUNCTION("""COMPUTED_VALUE"""),1424700.0)</f>
        <v>1424700</v>
      </c>
    </row>
    <row r="3126">
      <c r="A3126" s="3">
        <f>IFERROR(__xludf.DUMMYFUNCTION("""COMPUTED_VALUE"""),33735.666666666664)</f>
        <v>33735.66667</v>
      </c>
      <c r="B3126" s="2">
        <f>IFERROR(__xludf.DUMMYFUNCTION("""COMPUTED_VALUE"""),22.42)</f>
        <v>22.42</v>
      </c>
      <c r="C3126" s="2">
        <f>IFERROR(__xludf.DUMMYFUNCTION("""COMPUTED_VALUE"""),22.54)</f>
        <v>22.54</v>
      </c>
      <c r="D3126" s="2">
        <f>IFERROR(__xludf.DUMMYFUNCTION("""COMPUTED_VALUE"""),22.3)</f>
        <v>22.3</v>
      </c>
      <c r="E3126" s="2">
        <f>IFERROR(__xludf.DUMMYFUNCTION("""COMPUTED_VALUE"""),22.42)</f>
        <v>22.42</v>
      </c>
      <c r="F3126" s="2">
        <f>IFERROR(__xludf.DUMMYFUNCTION("""COMPUTED_VALUE"""),1647700.0)</f>
        <v>1647700</v>
      </c>
    </row>
    <row r="3127">
      <c r="A3127" s="3">
        <f>IFERROR(__xludf.DUMMYFUNCTION("""COMPUTED_VALUE"""),33736.666666666664)</f>
        <v>33736.66667</v>
      </c>
      <c r="B3127" s="2">
        <f>IFERROR(__xludf.DUMMYFUNCTION("""COMPUTED_VALUE"""),22.33)</f>
        <v>22.33</v>
      </c>
      <c r="C3127" s="2">
        <f>IFERROR(__xludf.DUMMYFUNCTION("""COMPUTED_VALUE"""),22.42)</f>
        <v>22.42</v>
      </c>
      <c r="D3127" s="2">
        <f>IFERROR(__xludf.DUMMYFUNCTION("""COMPUTED_VALUE"""),22.21)</f>
        <v>22.21</v>
      </c>
      <c r="E3127" s="2">
        <f>IFERROR(__xludf.DUMMYFUNCTION("""COMPUTED_VALUE"""),22.33)</f>
        <v>22.33</v>
      </c>
      <c r="F3127" s="2">
        <f>IFERROR(__xludf.DUMMYFUNCTION("""COMPUTED_VALUE"""),1283000.0)</f>
        <v>1283000</v>
      </c>
    </row>
    <row r="3128">
      <c r="A3128" s="3">
        <f>IFERROR(__xludf.DUMMYFUNCTION("""COMPUTED_VALUE"""),33737.666666666664)</f>
        <v>33737.66667</v>
      </c>
      <c r="B3128" s="2">
        <f>IFERROR(__xludf.DUMMYFUNCTION("""COMPUTED_VALUE"""),22.06)</f>
        <v>22.06</v>
      </c>
      <c r="C3128" s="2">
        <f>IFERROR(__xludf.DUMMYFUNCTION("""COMPUTED_VALUE"""),22.36)</f>
        <v>22.36</v>
      </c>
      <c r="D3128" s="2">
        <f>IFERROR(__xludf.DUMMYFUNCTION("""COMPUTED_VALUE"""),22.06)</f>
        <v>22.06</v>
      </c>
      <c r="E3128" s="2">
        <f>IFERROR(__xludf.DUMMYFUNCTION("""COMPUTED_VALUE"""),22.06)</f>
        <v>22.06</v>
      </c>
      <c r="F3128" s="2">
        <f>IFERROR(__xludf.DUMMYFUNCTION("""COMPUTED_VALUE"""),1388200.0)</f>
        <v>1388200</v>
      </c>
    </row>
    <row r="3129">
      <c r="A3129" s="3">
        <f>IFERROR(__xludf.DUMMYFUNCTION("""COMPUTED_VALUE"""),33738.666666666664)</f>
        <v>33738.66667</v>
      </c>
      <c r="B3129" s="2">
        <f>IFERROR(__xludf.DUMMYFUNCTION("""COMPUTED_VALUE"""),21.91)</f>
        <v>21.91</v>
      </c>
      <c r="C3129" s="2">
        <f>IFERROR(__xludf.DUMMYFUNCTION("""COMPUTED_VALUE"""),22.03)</f>
        <v>22.03</v>
      </c>
      <c r="D3129" s="2">
        <f>IFERROR(__xludf.DUMMYFUNCTION("""COMPUTED_VALUE"""),21.73)</f>
        <v>21.73</v>
      </c>
      <c r="E3129" s="2">
        <f>IFERROR(__xludf.DUMMYFUNCTION("""COMPUTED_VALUE"""),21.91)</f>
        <v>21.91</v>
      </c>
      <c r="F3129" s="2">
        <f>IFERROR(__xludf.DUMMYFUNCTION("""COMPUTED_VALUE"""),1469500.0)</f>
        <v>1469500</v>
      </c>
    </row>
    <row r="3130">
      <c r="A3130" s="3">
        <f>IFERROR(__xludf.DUMMYFUNCTION("""COMPUTED_VALUE"""),33739.666666666664)</f>
        <v>33739.66667</v>
      </c>
      <c r="B3130" s="2">
        <f>IFERROR(__xludf.DUMMYFUNCTION("""COMPUTED_VALUE"""),21.88)</f>
        <v>21.88</v>
      </c>
      <c r="C3130" s="2">
        <f>IFERROR(__xludf.DUMMYFUNCTION("""COMPUTED_VALUE"""),22.0)</f>
        <v>22</v>
      </c>
      <c r="D3130" s="2">
        <f>IFERROR(__xludf.DUMMYFUNCTION("""COMPUTED_VALUE"""),21.76)</f>
        <v>21.76</v>
      </c>
      <c r="E3130" s="2">
        <f>IFERROR(__xludf.DUMMYFUNCTION("""COMPUTED_VALUE"""),21.88)</f>
        <v>21.88</v>
      </c>
      <c r="F3130" s="2">
        <f>IFERROR(__xludf.DUMMYFUNCTION("""COMPUTED_VALUE"""),1602100.0)</f>
        <v>1602100</v>
      </c>
    </row>
    <row r="3131">
      <c r="A3131" s="3">
        <f>IFERROR(__xludf.DUMMYFUNCTION("""COMPUTED_VALUE"""),33742.666666666664)</f>
        <v>33742.66667</v>
      </c>
      <c r="B3131" s="2">
        <f>IFERROR(__xludf.DUMMYFUNCTION("""COMPUTED_VALUE"""),21.67)</f>
        <v>21.67</v>
      </c>
      <c r="C3131" s="2">
        <f>IFERROR(__xludf.DUMMYFUNCTION("""COMPUTED_VALUE"""),21.94)</f>
        <v>21.94</v>
      </c>
      <c r="D3131" s="2">
        <f>IFERROR(__xludf.DUMMYFUNCTION("""COMPUTED_VALUE"""),21.61)</f>
        <v>21.61</v>
      </c>
      <c r="E3131" s="2">
        <f>IFERROR(__xludf.DUMMYFUNCTION("""COMPUTED_VALUE"""),21.67)</f>
        <v>21.67</v>
      </c>
      <c r="F3131" s="2">
        <f>IFERROR(__xludf.DUMMYFUNCTION("""COMPUTED_VALUE"""),1169900.0)</f>
        <v>1169900</v>
      </c>
    </row>
    <row r="3132">
      <c r="A3132" s="3">
        <f>IFERROR(__xludf.DUMMYFUNCTION("""COMPUTED_VALUE"""),33743.666666666664)</f>
        <v>33743.66667</v>
      </c>
      <c r="B3132" s="2">
        <f>IFERROR(__xludf.DUMMYFUNCTION("""COMPUTED_VALUE"""),22.09)</f>
        <v>22.09</v>
      </c>
      <c r="C3132" s="2">
        <f>IFERROR(__xludf.DUMMYFUNCTION("""COMPUTED_VALUE"""),22.09)</f>
        <v>22.09</v>
      </c>
      <c r="D3132" s="2">
        <f>IFERROR(__xludf.DUMMYFUNCTION("""COMPUTED_VALUE"""),21.64)</f>
        <v>21.64</v>
      </c>
      <c r="E3132" s="2">
        <f>IFERROR(__xludf.DUMMYFUNCTION("""COMPUTED_VALUE"""),22.09)</f>
        <v>22.09</v>
      </c>
      <c r="F3132" s="2">
        <f>IFERROR(__xludf.DUMMYFUNCTION("""COMPUTED_VALUE"""),1229000.0)</f>
        <v>1229000</v>
      </c>
    </row>
    <row r="3133">
      <c r="A3133" s="3">
        <f>IFERROR(__xludf.DUMMYFUNCTION("""COMPUTED_VALUE"""),33744.666666666664)</f>
        <v>33744.66667</v>
      </c>
      <c r="B3133" s="2">
        <f>IFERROR(__xludf.DUMMYFUNCTION("""COMPUTED_VALUE"""),21.88)</f>
        <v>21.88</v>
      </c>
      <c r="C3133" s="2">
        <f>IFERROR(__xludf.DUMMYFUNCTION("""COMPUTED_VALUE"""),22.15)</f>
        <v>22.15</v>
      </c>
      <c r="D3133" s="2">
        <f>IFERROR(__xludf.DUMMYFUNCTION("""COMPUTED_VALUE"""),21.85)</f>
        <v>21.85</v>
      </c>
      <c r="E3133" s="2">
        <f>IFERROR(__xludf.DUMMYFUNCTION("""COMPUTED_VALUE"""),21.88)</f>
        <v>21.88</v>
      </c>
      <c r="F3133" s="2">
        <f>IFERROR(__xludf.DUMMYFUNCTION("""COMPUTED_VALUE"""),1156500.0)</f>
        <v>1156500</v>
      </c>
    </row>
    <row r="3134">
      <c r="A3134" s="3">
        <f>IFERROR(__xludf.DUMMYFUNCTION("""COMPUTED_VALUE"""),33745.666666666664)</f>
        <v>33745.66667</v>
      </c>
      <c r="B3134" s="2">
        <f>IFERROR(__xludf.DUMMYFUNCTION("""COMPUTED_VALUE"""),21.85)</f>
        <v>21.85</v>
      </c>
      <c r="C3134" s="2">
        <f>IFERROR(__xludf.DUMMYFUNCTION("""COMPUTED_VALUE"""),21.88)</f>
        <v>21.88</v>
      </c>
      <c r="D3134" s="2">
        <f>IFERROR(__xludf.DUMMYFUNCTION("""COMPUTED_VALUE"""),21.64)</f>
        <v>21.64</v>
      </c>
      <c r="E3134" s="2">
        <f>IFERROR(__xludf.DUMMYFUNCTION("""COMPUTED_VALUE"""),21.85)</f>
        <v>21.85</v>
      </c>
      <c r="F3134" s="2">
        <f>IFERROR(__xludf.DUMMYFUNCTION("""COMPUTED_VALUE"""),933900.0)</f>
        <v>933900</v>
      </c>
    </row>
    <row r="3135">
      <c r="A3135" s="3">
        <f>IFERROR(__xludf.DUMMYFUNCTION("""COMPUTED_VALUE"""),33746.666666666664)</f>
        <v>33746.66667</v>
      </c>
      <c r="B3135" s="2">
        <f>IFERROR(__xludf.DUMMYFUNCTION("""COMPUTED_VALUE"""),21.91)</f>
        <v>21.91</v>
      </c>
      <c r="C3135" s="2">
        <f>IFERROR(__xludf.DUMMYFUNCTION("""COMPUTED_VALUE"""),22.03)</f>
        <v>22.03</v>
      </c>
      <c r="D3135" s="2">
        <f>IFERROR(__xludf.DUMMYFUNCTION("""COMPUTED_VALUE"""),21.79)</f>
        <v>21.79</v>
      </c>
      <c r="E3135" s="2">
        <f>IFERROR(__xludf.DUMMYFUNCTION("""COMPUTED_VALUE"""),21.91)</f>
        <v>21.91</v>
      </c>
      <c r="F3135" s="2">
        <f>IFERROR(__xludf.DUMMYFUNCTION("""COMPUTED_VALUE"""),839400.0)</f>
        <v>839400</v>
      </c>
    </row>
    <row r="3136">
      <c r="A3136" s="3">
        <f>IFERROR(__xludf.DUMMYFUNCTION("""COMPUTED_VALUE"""),33750.666666666664)</f>
        <v>33750.66667</v>
      </c>
      <c r="B3136" s="2">
        <f>IFERROR(__xludf.DUMMYFUNCTION("""COMPUTED_VALUE"""),21.61)</f>
        <v>21.61</v>
      </c>
      <c r="C3136" s="2">
        <f>IFERROR(__xludf.DUMMYFUNCTION("""COMPUTED_VALUE"""),21.85)</f>
        <v>21.85</v>
      </c>
      <c r="D3136" s="2">
        <f>IFERROR(__xludf.DUMMYFUNCTION("""COMPUTED_VALUE"""),21.58)</f>
        <v>21.58</v>
      </c>
      <c r="E3136" s="2">
        <f>IFERROR(__xludf.DUMMYFUNCTION("""COMPUTED_VALUE"""),21.61)</f>
        <v>21.61</v>
      </c>
      <c r="F3136" s="2">
        <f>IFERROR(__xludf.DUMMYFUNCTION("""COMPUTED_VALUE"""),969100.0)</f>
        <v>969100</v>
      </c>
    </row>
    <row r="3137">
      <c r="A3137" s="3">
        <f>IFERROR(__xludf.DUMMYFUNCTION("""COMPUTED_VALUE"""),33751.666666666664)</f>
        <v>33751.66667</v>
      </c>
      <c r="B3137" s="2">
        <f>IFERROR(__xludf.DUMMYFUNCTION("""COMPUTED_VALUE"""),21.7)</f>
        <v>21.7</v>
      </c>
      <c r="C3137" s="2">
        <f>IFERROR(__xludf.DUMMYFUNCTION("""COMPUTED_VALUE"""),21.73)</f>
        <v>21.73</v>
      </c>
      <c r="D3137" s="2">
        <f>IFERROR(__xludf.DUMMYFUNCTION("""COMPUTED_VALUE"""),21.52)</f>
        <v>21.52</v>
      </c>
      <c r="E3137" s="2">
        <f>IFERROR(__xludf.DUMMYFUNCTION("""COMPUTED_VALUE"""),21.7)</f>
        <v>21.7</v>
      </c>
      <c r="F3137" s="2">
        <f>IFERROR(__xludf.DUMMYFUNCTION("""COMPUTED_VALUE"""),907500.0)</f>
        <v>907500</v>
      </c>
    </row>
    <row r="3138">
      <c r="A3138" s="3">
        <f>IFERROR(__xludf.DUMMYFUNCTION("""COMPUTED_VALUE"""),33752.666666666664)</f>
        <v>33752.66667</v>
      </c>
      <c r="B3138" s="2">
        <f>IFERROR(__xludf.DUMMYFUNCTION("""COMPUTED_VALUE"""),21.76)</f>
        <v>21.76</v>
      </c>
      <c r="C3138" s="2">
        <f>IFERROR(__xludf.DUMMYFUNCTION("""COMPUTED_VALUE"""),21.85)</f>
        <v>21.85</v>
      </c>
      <c r="D3138" s="2">
        <f>IFERROR(__xludf.DUMMYFUNCTION("""COMPUTED_VALUE"""),21.58)</f>
        <v>21.58</v>
      </c>
      <c r="E3138" s="2">
        <f>IFERROR(__xludf.DUMMYFUNCTION("""COMPUTED_VALUE"""),21.76)</f>
        <v>21.76</v>
      </c>
      <c r="F3138" s="2">
        <f>IFERROR(__xludf.DUMMYFUNCTION("""COMPUTED_VALUE"""),813000.0)</f>
        <v>813000</v>
      </c>
    </row>
    <row r="3139">
      <c r="A3139" s="3">
        <f>IFERROR(__xludf.DUMMYFUNCTION("""COMPUTED_VALUE"""),33753.666666666664)</f>
        <v>33753.66667</v>
      </c>
      <c r="B3139" s="2">
        <f>IFERROR(__xludf.DUMMYFUNCTION("""COMPUTED_VALUE"""),21.67)</f>
        <v>21.67</v>
      </c>
      <c r="C3139" s="2">
        <f>IFERROR(__xludf.DUMMYFUNCTION("""COMPUTED_VALUE"""),21.97)</f>
        <v>21.97</v>
      </c>
      <c r="D3139" s="2">
        <f>IFERROR(__xludf.DUMMYFUNCTION("""COMPUTED_VALUE"""),21.67)</f>
        <v>21.67</v>
      </c>
      <c r="E3139" s="2">
        <f>IFERROR(__xludf.DUMMYFUNCTION("""COMPUTED_VALUE"""),21.67)</f>
        <v>21.67</v>
      </c>
      <c r="F3139" s="2">
        <f>IFERROR(__xludf.DUMMYFUNCTION("""COMPUTED_VALUE"""),1034700.0)</f>
        <v>1034700</v>
      </c>
    </row>
    <row r="3140">
      <c r="A3140" s="3">
        <f>IFERROR(__xludf.DUMMYFUNCTION("""COMPUTED_VALUE"""),33756.666666666664)</f>
        <v>33756.66667</v>
      </c>
      <c r="B3140" s="2">
        <f>IFERROR(__xludf.DUMMYFUNCTION("""COMPUTED_VALUE"""),21.64)</f>
        <v>21.64</v>
      </c>
      <c r="C3140" s="2">
        <f>IFERROR(__xludf.DUMMYFUNCTION("""COMPUTED_VALUE"""),21.79)</f>
        <v>21.79</v>
      </c>
      <c r="D3140" s="2">
        <f>IFERROR(__xludf.DUMMYFUNCTION("""COMPUTED_VALUE"""),21.52)</f>
        <v>21.52</v>
      </c>
      <c r="E3140" s="2">
        <f>IFERROR(__xludf.DUMMYFUNCTION("""COMPUTED_VALUE"""),21.64)</f>
        <v>21.64</v>
      </c>
      <c r="F3140" s="2">
        <f>IFERROR(__xludf.DUMMYFUNCTION("""COMPUTED_VALUE"""),1171800.0)</f>
        <v>1171800</v>
      </c>
    </row>
    <row r="3141">
      <c r="A3141" s="3">
        <f>IFERROR(__xludf.DUMMYFUNCTION("""COMPUTED_VALUE"""),33757.666666666664)</f>
        <v>33757.66667</v>
      </c>
      <c r="B3141" s="2">
        <f>IFERROR(__xludf.DUMMYFUNCTION("""COMPUTED_VALUE"""),21.64)</f>
        <v>21.64</v>
      </c>
      <c r="C3141" s="2">
        <f>IFERROR(__xludf.DUMMYFUNCTION("""COMPUTED_VALUE"""),21.73)</f>
        <v>21.73</v>
      </c>
      <c r="D3141" s="2">
        <f>IFERROR(__xludf.DUMMYFUNCTION("""COMPUTED_VALUE"""),21.58)</f>
        <v>21.58</v>
      </c>
      <c r="E3141" s="2">
        <f>IFERROR(__xludf.DUMMYFUNCTION("""COMPUTED_VALUE"""),21.64)</f>
        <v>21.64</v>
      </c>
      <c r="F3141" s="2">
        <f>IFERROR(__xludf.DUMMYFUNCTION("""COMPUTED_VALUE"""),1026600.0)</f>
        <v>1026600</v>
      </c>
    </row>
    <row r="3142">
      <c r="A3142" s="3">
        <f>IFERROR(__xludf.DUMMYFUNCTION("""COMPUTED_VALUE"""),33758.666666666664)</f>
        <v>33758.66667</v>
      </c>
      <c r="B3142" s="2">
        <f>IFERROR(__xludf.DUMMYFUNCTION("""COMPUTED_VALUE"""),21.43)</f>
        <v>21.43</v>
      </c>
      <c r="C3142" s="2">
        <f>IFERROR(__xludf.DUMMYFUNCTION("""COMPUTED_VALUE"""),21.67)</f>
        <v>21.67</v>
      </c>
      <c r="D3142" s="2">
        <f>IFERROR(__xludf.DUMMYFUNCTION("""COMPUTED_VALUE"""),21.43)</f>
        <v>21.43</v>
      </c>
      <c r="E3142" s="2">
        <f>IFERROR(__xludf.DUMMYFUNCTION("""COMPUTED_VALUE"""),21.43)</f>
        <v>21.43</v>
      </c>
      <c r="F3142" s="2">
        <f>IFERROR(__xludf.DUMMYFUNCTION("""COMPUTED_VALUE"""),1129100.0)</f>
        <v>1129100</v>
      </c>
    </row>
    <row r="3143">
      <c r="A3143" s="3">
        <f>IFERROR(__xludf.DUMMYFUNCTION("""COMPUTED_VALUE"""),33759.666666666664)</f>
        <v>33759.66667</v>
      </c>
      <c r="B3143" s="2">
        <f>IFERROR(__xludf.DUMMYFUNCTION("""COMPUTED_VALUE"""),21.25)</f>
        <v>21.25</v>
      </c>
      <c r="C3143" s="2">
        <f>IFERROR(__xludf.DUMMYFUNCTION("""COMPUTED_VALUE"""),21.43)</f>
        <v>21.43</v>
      </c>
      <c r="D3143" s="2">
        <f>IFERROR(__xludf.DUMMYFUNCTION("""COMPUTED_VALUE"""),21.22)</f>
        <v>21.22</v>
      </c>
      <c r="E3143" s="2">
        <f>IFERROR(__xludf.DUMMYFUNCTION("""COMPUTED_VALUE"""),21.25)</f>
        <v>21.25</v>
      </c>
      <c r="F3143" s="2">
        <f>IFERROR(__xludf.DUMMYFUNCTION("""COMPUTED_VALUE"""),1046000.0)</f>
        <v>1046000</v>
      </c>
    </row>
    <row r="3144">
      <c r="A3144" s="3">
        <f>IFERROR(__xludf.DUMMYFUNCTION("""COMPUTED_VALUE"""),33760.666666666664)</f>
        <v>33760.66667</v>
      </c>
      <c r="B3144" s="2">
        <f>IFERROR(__xludf.DUMMYFUNCTION("""COMPUTED_VALUE"""),21.58)</f>
        <v>21.58</v>
      </c>
      <c r="C3144" s="2">
        <f>IFERROR(__xludf.DUMMYFUNCTION("""COMPUTED_VALUE"""),21.67)</f>
        <v>21.67</v>
      </c>
      <c r="D3144" s="2">
        <f>IFERROR(__xludf.DUMMYFUNCTION("""COMPUTED_VALUE"""),21.07)</f>
        <v>21.07</v>
      </c>
      <c r="E3144" s="2">
        <f>IFERROR(__xludf.DUMMYFUNCTION("""COMPUTED_VALUE"""),21.58)</f>
        <v>21.58</v>
      </c>
      <c r="F3144" s="2">
        <f>IFERROR(__xludf.DUMMYFUNCTION("""COMPUTED_VALUE"""),1543200.0)</f>
        <v>1543200</v>
      </c>
    </row>
    <row r="3145">
      <c r="A3145" s="3">
        <f>IFERROR(__xludf.DUMMYFUNCTION("""COMPUTED_VALUE"""),33763.666666666664)</f>
        <v>33763.66667</v>
      </c>
      <c r="B3145" s="2">
        <f>IFERROR(__xludf.DUMMYFUNCTION("""COMPUTED_VALUE"""),21.73)</f>
        <v>21.73</v>
      </c>
      <c r="C3145" s="2">
        <f>IFERROR(__xludf.DUMMYFUNCTION("""COMPUTED_VALUE"""),21.79)</f>
        <v>21.79</v>
      </c>
      <c r="D3145" s="2">
        <f>IFERROR(__xludf.DUMMYFUNCTION("""COMPUTED_VALUE"""),21.58)</f>
        <v>21.58</v>
      </c>
      <c r="E3145" s="2">
        <f>IFERROR(__xludf.DUMMYFUNCTION("""COMPUTED_VALUE"""),21.73)</f>
        <v>21.73</v>
      </c>
      <c r="F3145" s="2">
        <f>IFERROR(__xludf.DUMMYFUNCTION("""COMPUTED_VALUE"""),970600.0)</f>
        <v>970600</v>
      </c>
    </row>
    <row r="3146">
      <c r="A3146" s="3">
        <f>IFERROR(__xludf.DUMMYFUNCTION("""COMPUTED_VALUE"""),33764.666666666664)</f>
        <v>33764.66667</v>
      </c>
      <c r="B3146" s="2">
        <f>IFERROR(__xludf.DUMMYFUNCTION("""COMPUTED_VALUE"""),21.64)</f>
        <v>21.64</v>
      </c>
      <c r="C3146" s="2">
        <f>IFERROR(__xludf.DUMMYFUNCTION("""COMPUTED_VALUE"""),21.73)</f>
        <v>21.73</v>
      </c>
      <c r="D3146" s="2">
        <f>IFERROR(__xludf.DUMMYFUNCTION("""COMPUTED_VALUE"""),21.58)</f>
        <v>21.58</v>
      </c>
      <c r="E3146" s="2">
        <f>IFERROR(__xludf.DUMMYFUNCTION("""COMPUTED_VALUE"""),21.64)</f>
        <v>21.64</v>
      </c>
      <c r="F3146" s="2">
        <f>IFERROR(__xludf.DUMMYFUNCTION("""COMPUTED_VALUE"""),880100.0)</f>
        <v>880100</v>
      </c>
    </row>
    <row r="3147">
      <c r="A3147" s="3">
        <f>IFERROR(__xludf.DUMMYFUNCTION("""COMPUTED_VALUE"""),33765.666666666664)</f>
        <v>33765.66667</v>
      </c>
      <c r="B3147" s="2">
        <f>IFERROR(__xludf.DUMMYFUNCTION("""COMPUTED_VALUE"""),21.52)</f>
        <v>21.52</v>
      </c>
      <c r="C3147" s="2">
        <f>IFERROR(__xludf.DUMMYFUNCTION("""COMPUTED_VALUE"""),21.76)</f>
        <v>21.76</v>
      </c>
      <c r="D3147" s="2">
        <f>IFERROR(__xludf.DUMMYFUNCTION("""COMPUTED_VALUE"""),21.52)</f>
        <v>21.52</v>
      </c>
      <c r="E3147" s="2">
        <f>IFERROR(__xludf.DUMMYFUNCTION("""COMPUTED_VALUE"""),21.52)</f>
        <v>21.52</v>
      </c>
      <c r="F3147" s="2">
        <f>IFERROR(__xludf.DUMMYFUNCTION("""COMPUTED_VALUE"""),1783400.0)</f>
        <v>1783400</v>
      </c>
    </row>
    <row r="3148">
      <c r="A3148" s="3">
        <f>IFERROR(__xludf.DUMMYFUNCTION("""COMPUTED_VALUE"""),33766.666666666664)</f>
        <v>33766.66667</v>
      </c>
      <c r="B3148" s="2">
        <f>IFERROR(__xludf.DUMMYFUNCTION("""COMPUTED_VALUE"""),21.97)</f>
        <v>21.97</v>
      </c>
      <c r="C3148" s="2">
        <f>IFERROR(__xludf.DUMMYFUNCTION("""COMPUTED_VALUE"""),22.0)</f>
        <v>22</v>
      </c>
      <c r="D3148" s="2">
        <f>IFERROR(__xludf.DUMMYFUNCTION("""COMPUTED_VALUE"""),21.58)</f>
        <v>21.58</v>
      </c>
      <c r="E3148" s="2">
        <f>IFERROR(__xludf.DUMMYFUNCTION("""COMPUTED_VALUE"""),21.97)</f>
        <v>21.97</v>
      </c>
      <c r="F3148" s="2">
        <f>IFERROR(__xludf.DUMMYFUNCTION("""COMPUTED_VALUE"""),1965400.0)</f>
        <v>1965400</v>
      </c>
    </row>
    <row r="3149">
      <c r="A3149" s="3">
        <f>IFERROR(__xludf.DUMMYFUNCTION("""COMPUTED_VALUE"""),33767.666666666664)</f>
        <v>33767.66667</v>
      </c>
      <c r="B3149" s="2">
        <f>IFERROR(__xludf.DUMMYFUNCTION("""COMPUTED_VALUE"""),22.21)</f>
        <v>22.21</v>
      </c>
      <c r="C3149" s="2">
        <f>IFERROR(__xludf.DUMMYFUNCTION("""COMPUTED_VALUE"""),22.42)</f>
        <v>22.42</v>
      </c>
      <c r="D3149" s="2">
        <f>IFERROR(__xludf.DUMMYFUNCTION("""COMPUTED_VALUE"""),22.03)</f>
        <v>22.03</v>
      </c>
      <c r="E3149" s="2">
        <f>IFERROR(__xludf.DUMMYFUNCTION("""COMPUTED_VALUE"""),22.21)</f>
        <v>22.21</v>
      </c>
      <c r="F3149" s="2">
        <f>IFERROR(__xludf.DUMMYFUNCTION("""COMPUTED_VALUE"""),2797600.0)</f>
        <v>2797600</v>
      </c>
    </row>
    <row r="3150">
      <c r="A3150" s="3">
        <f>IFERROR(__xludf.DUMMYFUNCTION("""COMPUTED_VALUE"""),33770.666666666664)</f>
        <v>33770.66667</v>
      </c>
      <c r="B3150" s="2">
        <f>IFERROR(__xludf.DUMMYFUNCTION("""COMPUTED_VALUE"""),22.48)</f>
        <v>22.48</v>
      </c>
      <c r="C3150" s="2">
        <f>IFERROR(__xludf.DUMMYFUNCTION("""COMPUTED_VALUE"""),22.48)</f>
        <v>22.48</v>
      </c>
      <c r="D3150" s="2">
        <f>IFERROR(__xludf.DUMMYFUNCTION("""COMPUTED_VALUE"""),22.09)</f>
        <v>22.09</v>
      </c>
      <c r="E3150" s="2">
        <f>IFERROR(__xludf.DUMMYFUNCTION("""COMPUTED_VALUE"""),22.48)</f>
        <v>22.48</v>
      </c>
      <c r="F3150" s="2">
        <f>IFERROR(__xludf.DUMMYFUNCTION("""COMPUTED_VALUE"""),1872700.0)</f>
        <v>1872700</v>
      </c>
    </row>
    <row r="3151">
      <c r="A3151" s="3">
        <f>IFERROR(__xludf.DUMMYFUNCTION("""COMPUTED_VALUE"""),33771.666666666664)</f>
        <v>33771.66667</v>
      </c>
      <c r="B3151" s="2">
        <f>IFERROR(__xludf.DUMMYFUNCTION("""COMPUTED_VALUE"""),22.24)</f>
        <v>22.24</v>
      </c>
      <c r="C3151" s="2">
        <f>IFERROR(__xludf.DUMMYFUNCTION("""COMPUTED_VALUE"""),22.45)</f>
        <v>22.45</v>
      </c>
      <c r="D3151" s="2">
        <f>IFERROR(__xludf.DUMMYFUNCTION("""COMPUTED_VALUE"""),22.18)</f>
        <v>22.18</v>
      </c>
      <c r="E3151" s="2">
        <f>IFERROR(__xludf.DUMMYFUNCTION("""COMPUTED_VALUE"""),22.24)</f>
        <v>22.24</v>
      </c>
      <c r="F3151" s="2">
        <f>IFERROR(__xludf.DUMMYFUNCTION("""COMPUTED_VALUE"""),1705800.0)</f>
        <v>1705800</v>
      </c>
    </row>
    <row r="3152">
      <c r="A3152" s="3">
        <f>IFERROR(__xludf.DUMMYFUNCTION("""COMPUTED_VALUE"""),33772.666666666664)</f>
        <v>33772.66667</v>
      </c>
      <c r="B3152" s="2">
        <f>IFERROR(__xludf.DUMMYFUNCTION("""COMPUTED_VALUE"""),22.12)</f>
        <v>22.12</v>
      </c>
      <c r="C3152" s="2">
        <f>IFERROR(__xludf.DUMMYFUNCTION("""COMPUTED_VALUE"""),22.42)</f>
        <v>22.42</v>
      </c>
      <c r="D3152" s="2">
        <f>IFERROR(__xludf.DUMMYFUNCTION("""COMPUTED_VALUE"""),22.0)</f>
        <v>22</v>
      </c>
      <c r="E3152" s="2">
        <f>IFERROR(__xludf.DUMMYFUNCTION("""COMPUTED_VALUE"""),22.12)</f>
        <v>22.12</v>
      </c>
      <c r="F3152" s="2">
        <f>IFERROR(__xludf.DUMMYFUNCTION("""COMPUTED_VALUE"""),1843200.0)</f>
        <v>1843200</v>
      </c>
    </row>
    <row r="3153">
      <c r="A3153" s="3">
        <f>IFERROR(__xludf.DUMMYFUNCTION("""COMPUTED_VALUE"""),33773.666666666664)</f>
        <v>33773.66667</v>
      </c>
      <c r="B3153" s="2">
        <f>IFERROR(__xludf.DUMMYFUNCTION("""COMPUTED_VALUE"""),22.57)</f>
        <v>22.57</v>
      </c>
      <c r="C3153" s="2">
        <f>IFERROR(__xludf.DUMMYFUNCTION("""COMPUTED_VALUE"""),22.89)</f>
        <v>22.89</v>
      </c>
      <c r="D3153" s="2">
        <f>IFERROR(__xludf.DUMMYFUNCTION("""COMPUTED_VALUE"""),22.24)</f>
        <v>22.24</v>
      </c>
      <c r="E3153" s="2">
        <f>IFERROR(__xludf.DUMMYFUNCTION("""COMPUTED_VALUE"""),22.57)</f>
        <v>22.57</v>
      </c>
      <c r="F3153" s="2">
        <f>IFERROR(__xludf.DUMMYFUNCTION("""COMPUTED_VALUE"""),3191700.0)</f>
        <v>3191700</v>
      </c>
    </row>
    <row r="3154">
      <c r="A3154" s="3">
        <f>IFERROR(__xludf.DUMMYFUNCTION("""COMPUTED_VALUE"""),33774.666666666664)</f>
        <v>33774.66667</v>
      </c>
      <c r="B3154" s="2">
        <f>IFERROR(__xludf.DUMMYFUNCTION("""COMPUTED_VALUE"""),22.69)</f>
        <v>22.69</v>
      </c>
      <c r="C3154" s="2">
        <f>IFERROR(__xludf.DUMMYFUNCTION("""COMPUTED_VALUE"""),22.8)</f>
        <v>22.8</v>
      </c>
      <c r="D3154" s="2">
        <f>IFERROR(__xludf.DUMMYFUNCTION("""COMPUTED_VALUE"""),22.63)</f>
        <v>22.63</v>
      </c>
      <c r="E3154" s="2">
        <f>IFERROR(__xludf.DUMMYFUNCTION("""COMPUTED_VALUE"""),22.69)</f>
        <v>22.69</v>
      </c>
      <c r="F3154" s="2">
        <f>IFERROR(__xludf.DUMMYFUNCTION("""COMPUTED_VALUE"""),2350500.0)</f>
        <v>2350500</v>
      </c>
    </row>
    <row r="3155">
      <c r="A3155" s="3">
        <f>IFERROR(__xludf.DUMMYFUNCTION("""COMPUTED_VALUE"""),33777.666666666664)</f>
        <v>33777.66667</v>
      </c>
      <c r="B3155" s="2">
        <f>IFERROR(__xludf.DUMMYFUNCTION("""COMPUTED_VALUE"""),22.74)</f>
        <v>22.74</v>
      </c>
      <c r="C3155" s="2">
        <f>IFERROR(__xludf.DUMMYFUNCTION("""COMPUTED_VALUE"""),22.77)</f>
        <v>22.77</v>
      </c>
      <c r="D3155" s="2">
        <f>IFERROR(__xludf.DUMMYFUNCTION("""COMPUTED_VALUE"""),22.6)</f>
        <v>22.6</v>
      </c>
      <c r="E3155" s="2">
        <f>IFERROR(__xludf.DUMMYFUNCTION("""COMPUTED_VALUE"""),22.74)</f>
        <v>22.74</v>
      </c>
      <c r="F3155" s="2">
        <f>IFERROR(__xludf.DUMMYFUNCTION("""COMPUTED_VALUE"""),1859200.0)</f>
        <v>1859200</v>
      </c>
    </row>
    <row r="3156">
      <c r="A3156" s="3">
        <f>IFERROR(__xludf.DUMMYFUNCTION("""COMPUTED_VALUE"""),33778.666666666664)</f>
        <v>33778.66667</v>
      </c>
      <c r="B3156" s="2">
        <f>IFERROR(__xludf.DUMMYFUNCTION("""COMPUTED_VALUE"""),22.89)</f>
        <v>22.89</v>
      </c>
      <c r="C3156" s="2">
        <f>IFERROR(__xludf.DUMMYFUNCTION("""COMPUTED_VALUE"""),23.01)</f>
        <v>23.01</v>
      </c>
      <c r="D3156" s="2">
        <f>IFERROR(__xludf.DUMMYFUNCTION("""COMPUTED_VALUE"""),22.74)</f>
        <v>22.74</v>
      </c>
      <c r="E3156" s="2">
        <f>IFERROR(__xludf.DUMMYFUNCTION("""COMPUTED_VALUE"""),22.89)</f>
        <v>22.89</v>
      </c>
      <c r="F3156" s="2">
        <f>IFERROR(__xludf.DUMMYFUNCTION("""COMPUTED_VALUE"""),2083600.0)</f>
        <v>2083600</v>
      </c>
    </row>
    <row r="3157">
      <c r="A3157" s="3">
        <f>IFERROR(__xludf.DUMMYFUNCTION("""COMPUTED_VALUE"""),33779.666666666664)</f>
        <v>33779.66667</v>
      </c>
      <c r="B3157" s="2">
        <f>IFERROR(__xludf.DUMMYFUNCTION("""COMPUTED_VALUE"""),23.31)</f>
        <v>23.31</v>
      </c>
      <c r="C3157" s="2">
        <f>IFERROR(__xludf.DUMMYFUNCTION("""COMPUTED_VALUE"""),23.37)</f>
        <v>23.37</v>
      </c>
      <c r="D3157" s="2">
        <f>IFERROR(__xludf.DUMMYFUNCTION("""COMPUTED_VALUE"""),22.98)</f>
        <v>22.98</v>
      </c>
      <c r="E3157" s="2">
        <f>IFERROR(__xludf.DUMMYFUNCTION("""COMPUTED_VALUE"""),23.31)</f>
        <v>23.31</v>
      </c>
      <c r="F3157" s="2">
        <f>IFERROR(__xludf.DUMMYFUNCTION("""COMPUTED_VALUE"""),2121100.0)</f>
        <v>2121100</v>
      </c>
    </row>
    <row r="3158">
      <c r="A3158" s="3">
        <f>IFERROR(__xludf.DUMMYFUNCTION("""COMPUTED_VALUE"""),33780.666666666664)</f>
        <v>33780.66667</v>
      </c>
      <c r="B3158" s="2">
        <f>IFERROR(__xludf.DUMMYFUNCTION("""COMPUTED_VALUE"""),23.19)</f>
        <v>23.19</v>
      </c>
      <c r="C3158" s="2">
        <f>IFERROR(__xludf.DUMMYFUNCTION("""COMPUTED_VALUE"""),23.46)</f>
        <v>23.46</v>
      </c>
      <c r="D3158" s="2">
        <f>IFERROR(__xludf.DUMMYFUNCTION("""COMPUTED_VALUE"""),23.07)</f>
        <v>23.07</v>
      </c>
      <c r="E3158" s="2">
        <f>IFERROR(__xludf.DUMMYFUNCTION("""COMPUTED_VALUE"""),23.19)</f>
        <v>23.19</v>
      </c>
      <c r="F3158" s="2">
        <f>IFERROR(__xludf.DUMMYFUNCTION("""COMPUTED_VALUE"""),1836000.0)</f>
        <v>1836000</v>
      </c>
    </row>
    <row r="3159">
      <c r="A3159" s="3">
        <f>IFERROR(__xludf.DUMMYFUNCTION("""COMPUTED_VALUE"""),33781.666666666664)</f>
        <v>33781.66667</v>
      </c>
      <c r="B3159" s="2">
        <f>IFERROR(__xludf.DUMMYFUNCTION("""COMPUTED_VALUE"""),23.22)</f>
        <v>23.22</v>
      </c>
      <c r="C3159" s="2">
        <f>IFERROR(__xludf.DUMMYFUNCTION("""COMPUTED_VALUE"""),23.25)</f>
        <v>23.25</v>
      </c>
      <c r="D3159" s="2">
        <f>IFERROR(__xludf.DUMMYFUNCTION("""COMPUTED_VALUE"""),23.04)</f>
        <v>23.04</v>
      </c>
      <c r="E3159" s="2">
        <f>IFERROR(__xludf.DUMMYFUNCTION("""COMPUTED_VALUE"""),23.22)</f>
        <v>23.22</v>
      </c>
      <c r="F3159" s="2">
        <f>IFERROR(__xludf.DUMMYFUNCTION("""COMPUTED_VALUE"""),1046400.0)</f>
        <v>1046400</v>
      </c>
    </row>
    <row r="3160">
      <c r="A3160" s="3">
        <f>IFERROR(__xludf.DUMMYFUNCTION("""COMPUTED_VALUE"""),33784.666666666664)</f>
        <v>33784.66667</v>
      </c>
      <c r="B3160" s="2">
        <f>IFERROR(__xludf.DUMMYFUNCTION("""COMPUTED_VALUE"""),23.55)</f>
        <v>23.55</v>
      </c>
      <c r="C3160" s="2">
        <f>IFERROR(__xludf.DUMMYFUNCTION("""COMPUTED_VALUE"""),23.55)</f>
        <v>23.55</v>
      </c>
      <c r="D3160" s="2">
        <f>IFERROR(__xludf.DUMMYFUNCTION("""COMPUTED_VALUE"""),23.34)</f>
        <v>23.34</v>
      </c>
      <c r="E3160" s="2">
        <f>IFERROR(__xludf.DUMMYFUNCTION("""COMPUTED_VALUE"""),23.55)</f>
        <v>23.55</v>
      </c>
      <c r="F3160" s="2">
        <f>IFERROR(__xludf.DUMMYFUNCTION("""COMPUTED_VALUE"""),1294900.0)</f>
        <v>1294900</v>
      </c>
    </row>
    <row r="3161">
      <c r="A3161" s="3">
        <f>IFERROR(__xludf.DUMMYFUNCTION("""COMPUTED_VALUE"""),33785.666666666664)</f>
        <v>33785.66667</v>
      </c>
      <c r="B3161" s="2">
        <f>IFERROR(__xludf.DUMMYFUNCTION("""COMPUTED_VALUE"""),23.37)</f>
        <v>23.37</v>
      </c>
      <c r="C3161" s="2">
        <f>IFERROR(__xludf.DUMMYFUNCTION("""COMPUTED_VALUE"""),23.55)</f>
        <v>23.55</v>
      </c>
      <c r="D3161" s="2">
        <f>IFERROR(__xludf.DUMMYFUNCTION("""COMPUTED_VALUE"""),23.34)</f>
        <v>23.34</v>
      </c>
      <c r="E3161" s="2">
        <f>IFERROR(__xludf.DUMMYFUNCTION("""COMPUTED_VALUE"""),23.37)</f>
        <v>23.37</v>
      </c>
      <c r="F3161" s="2">
        <f>IFERROR(__xludf.DUMMYFUNCTION("""COMPUTED_VALUE"""),1069000.0)</f>
        <v>1069000</v>
      </c>
    </row>
    <row r="3162">
      <c r="A3162" s="3">
        <f>IFERROR(__xludf.DUMMYFUNCTION("""COMPUTED_VALUE"""),33786.666666666664)</f>
        <v>33786.66667</v>
      </c>
      <c r="B3162" s="2">
        <f>IFERROR(__xludf.DUMMYFUNCTION("""COMPUTED_VALUE"""),23.46)</f>
        <v>23.46</v>
      </c>
      <c r="C3162" s="2">
        <f>IFERROR(__xludf.DUMMYFUNCTION("""COMPUTED_VALUE"""),23.52)</f>
        <v>23.52</v>
      </c>
      <c r="D3162" s="2">
        <f>IFERROR(__xludf.DUMMYFUNCTION("""COMPUTED_VALUE"""),23.34)</f>
        <v>23.34</v>
      </c>
      <c r="E3162" s="2">
        <f>IFERROR(__xludf.DUMMYFUNCTION("""COMPUTED_VALUE"""),23.46)</f>
        <v>23.46</v>
      </c>
      <c r="F3162" s="2">
        <f>IFERROR(__xludf.DUMMYFUNCTION("""COMPUTED_VALUE"""),1526900.0)</f>
        <v>1526900</v>
      </c>
    </row>
    <row r="3163">
      <c r="A3163" s="3">
        <f>IFERROR(__xludf.DUMMYFUNCTION("""COMPUTED_VALUE"""),33787.666666666664)</f>
        <v>33787.66667</v>
      </c>
      <c r="B3163" s="2">
        <f>IFERROR(__xludf.DUMMYFUNCTION("""COMPUTED_VALUE"""),23.13)</f>
        <v>23.13</v>
      </c>
      <c r="C3163" s="2">
        <f>IFERROR(__xludf.DUMMYFUNCTION("""COMPUTED_VALUE"""),23.46)</f>
        <v>23.46</v>
      </c>
      <c r="D3163" s="2">
        <f>IFERROR(__xludf.DUMMYFUNCTION("""COMPUTED_VALUE"""),23.13)</f>
        <v>23.13</v>
      </c>
      <c r="E3163" s="2">
        <f>IFERROR(__xludf.DUMMYFUNCTION("""COMPUTED_VALUE"""),23.13)</f>
        <v>23.13</v>
      </c>
      <c r="F3163" s="2">
        <f>IFERROR(__xludf.DUMMYFUNCTION("""COMPUTED_VALUE"""),1271300.0)</f>
        <v>1271300</v>
      </c>
    </row>
    <row r="3164">
      <c r="A3164" s="3">
        <f>IFERROR(__xludf.DUMMYFUNCTION("""COMPUTED_VALUE"""),33791.666666666664)</f>
        <v>33791.66667</v>
      </c>
      <c r="B3164" s="2">
        <f>IFERROR(__xludf.DUMMYFUNCTION("""COMPUTED_VALUE"""),23.43)</f>
        <v>23.43</v>
      </c>
      <c r="C3164" s="2">
        <f>IFERROR(__xludf.DUMMYFUNCTION("""COMPUTED_VALUE"""),23.46)</f>
        <v>23.46</v>
      </c>
      <c r="D3164" s="2">
        <f>IFERROR(__xludf.DUMMYFUNCTION("""COMPUTED_VALUE"""),23.16)</f>
        <v>23.16</v>
      </c>
      <c r="E3164" s="2">
        <f>IFERROR(__xludf.DUMMYFUNCTION("""COMPUTED_VALUE"""),23.43)</f>
        <v>23.43</v>
      </c>
      <c r="F3164" s="2">
        <f>IFERROR(__xludf.DUMMYFUNCTION("""COMPUTED_VALUE"""),1148700.0)</f>
        <v>1148700</v>
      </c>
    </row>
    <row r="3165">
      <c r="A3165" s="3">
        <f>IFERROR(__xludf.DUMMYFUNCTION("""COMPUTED_VALUE"""),33792.666666666664)</f>
        <v>33792.66667</v>
      </c>
      <c r="B3165" s="2">
        <f>IFERROR(__xludf.DUMMYFUNCTION("""COMPUTED_VALUE"""),23.1)</f>
        <v>23.1</v>
      </c>
      <c r="C3165" s="2">
        <f>IFERROR(__xludf.DUMMYFUNCTION("""COMPUTED_VALUE"""),23.58)</f>
        <v>23.58</v>
      </c>
      <c r="D3165" s="2">
        <f>IFERROR(__xludf.DUMMYFUNCTION("""COMPUTED_VALUE"""),23.07)</f>
        <v>23.07</v>
      </c>
      <c r="E3165" s="2">
        <f>IFERROR(__xludf.DUMMYFUNCTION("""COMPUTED_VALUE"""),23.1)</f>
        <v>23.1</v>
      </c>
      <c r="F3165" s="2">
        <f>IFERROR(__xludf.DUMMYFUNCTION("""COMPUTED_VALUE"""),1353600.0)</f>
        <v>1353600</v>
      </c>
    </row>
    <row r="3166">
      <c r="A3166" s="3">
        <f>IFERROR(__xludf.DUMMYFUNCTION("""COMPUTED_VALUE"""),33793.666666666664)</f>
        <v>33793.66667</v>
      </c>
      <c r="B3166" s="2">
        <f>IFERROR(__xludf.DUMMYFUNCTION("""COMPUTED_VALUE"""),23.37)</f>
        <v>23.37</v>
      </c>
      <c r="C3166" s="2">
        <f>IFERROR(__xludf.DUMMYFUNCTION("""COMPUTED_VALUE"""),23.37)</f>
        <v>23.37</v>
      </c>
      <c r="D3166" s="2">
        <f>IFERROR(__xludf.DUMMYFUNCTION("""COMPUTED_VALUE"""),23.1)</f>
        <v>23.1</v>
      </c>
      <c r="E3166" s="2">
        <f>IFERROR(__xludf.DUMMYFUNCTION("""COMPUTED_VALUE"""),23.37)</f>
        <v>23.37</v>
      </c>
      <c r="F3166" s="2">
        <f>IFERROR(__xludf.DUMMYFUNCTION("""COMPUTED_VALUE"""),1253300.0)</f>
        <v>1253300</v>
      </c>
    </row>
    <row r="3167">
      <c r="A3167" s="3">
        <f>IFERROR(__xludf.DUMMYFUNCTION("""COMPUTED_VALUE"""),33794.666666666664)</f>
        <v>33794.66667</v>
      </c>
      <c r="B3167" s="2">
        <f>IFERROR(__xludf.DUMMYFUNCTION("""COMPUTED_VALUE"""),23.28)</f>
        <v>23.28</v>
      </c>
      <c r="C3167" s="2">
        <f>IFERROR(__xludf.DUMMYFUNCTION("""COMPUTED_VALUE"""),23.49)</f>
        <v>23.49</v>
      </c>
      <c r="D3167" s="2">
        <f>IFERROR(__xludf.DUMMYFUNCTION("""COMPUTED_VALUE"""),23.28)</f>
        <v>23.28</v>
      </c>
      <c r="E3167" s="2">
        <f>IFERROR(__xludf.DUMMYFUNCTION("""COMPUTED_VALUE"""),23.28)</f>
        <v>23.28</v>
      </c>
      <c r="F3167" s="2">
        <f>IFERROR(__xludf.DUMMYFUNCTION("""COMPUTED_VALUE"""),1140400.0)</f>
        <v>1140400</v>
      </c>
    </row>
    <row r="3168">
      <c r="A3168" s="3">
        <f>IFERROR(__xludf.DUMMYFUNCTION("""COMPUTED_VALUE"""),33795.666666666664)</f>
        <v>33795.66667</v>
      </c>
      <c r="B3168" s="2">
        <f>IFERROR(__xludf.DUMMYFUNCTION("""COMPUTED_VALUE"""),23.31)</f>
        <v>23.31</v>
      </c>
      <c r="C3168" s="2">
        <f>IFERROR(__xludf.DUMMYFUNCTION("""COMPUTED_VALUE"""),23.37)</f>
        <v>23.37</v>
      </c>
      <c r="D3168" s="2">
        <f>IFERROR(__xludf.DUMMYFUNCTION("""COMPUTED_VALUE"""),23.04)</f>
        <v>23.04</v>
      </c>
      <c r="E3168" s="2">
        <f>IFERROR(__xludf.DUMMYFUNCTION("""COMPUTED_VALUE"""),23.31)</f>
        <v>23.31</v>
      </c>
      <c r="F3168" s="2">
        <f>IFERROR(__xludf.DUMMYFUNCTION("""COMPUTED_VALUE"""),916100.0)</f>
        <v>916100</v>
      </c>
    </row>
    <row r="3169">
      <c r="A3169" s="3">
        <f>IFERROR(__xludf.DUMMYFUNCTION("""COMPUTED_VALUE"""),33798.666666666664)</f>
        <v>33798.66667</v>
      </c>
      <c r="B3169" s="2">
        <f>IFERROR(__xludf.DUMMYFUNCTION("""COMPUTED_VALUE"""),23.37)</f>
        <v>23.37</v>
      </c>
      <c r="C3169" s="2">
        <f>IFERROR(__xludf.DUMMYFUNCTION("""COMPUTED_VALUE"""),23.61)</f>
        <v>23.61</v>
      </c>
      <c r="D3169" s="2">
        <f>IFERROR(__xludf.DUMMYFUNCTION("""COMPUTED_VALUE"""),23.31)</f>
        <v>23.31</v>
      </c>
      <c r="E3169" s="2">
        <f>IFERROR(__xludf.DUMMYFUNCTION("""COMPUTED_VALUE"""),23.37)</f>
        <v>23.37</v>
      </c>
      <c r="F3169" s="2">
        <f>IFERROR(__xludf.DUMMYFUNCTION("""COMPUTED_VALUE"""),1193200.0)</f>
        <v>1193200</v>
      </c>
    </row>
    <row r="3170">
      <c r="A3170" s="3">
        <f>IFERROR(__xludf.DUMMYFUNCTION("""COMPUTED_VALUE"""),33799.666666666664)</f>
        <v>33799.66667</v>
      </c>
      <c r="B3170" s="2">
        <f>IFERROR(__xludf.DUMMYFUNCTION("""COMPUTED_VALUE"""),23.37)</f>
        <v>23.37</v>
      </c>
      <c r="C3170" s="2">
        <f>IFERROR(__xludf.DUMMYFUNCTION("""COMPUTED_VALUE"""),23.49)</f>
        <v>23.49</v>
      </c>
      <c r="D3170" s="2">
        <f>IFERROR(__xludf.DUMMYFUNCTION("""COMPUTED_VALUE"""),23.28)</f>
        <v>23.28</v>
      </c>
      <c r="E3170" s="2">
        <f>IFERROR(__xludf.DUMMYFUNCTION("""COMPUTED_VALUE"""),23.37)</f>
        <v>23.37</v>
      </c>
      <c r="F3170" s="2">
        <f>IFERROR(__xludf.DUMMYFUNCTION("""COMPUTED_VALUE"""),921000.0)</f>
        <v>921000</v>
      </c>
    </row>
    <row r="3171">
      <c r="A3171" s="3">
        <f>IFERROR(__xludf.DUMMYFUNCTION("""COMPUTED_VALUE"""),33800.666666666664)</f>
        <v>33800.66667</v>
      </c>
      <c r="B3171" s="2">
        <f>IFERROR(__xludf.DUMMYFUNCTION("""COMPUTED_VALUE"""),23.7)</f>
        <v>23.7</v>
      </c>
      <c r="C3171" s="2">
        <f>IFERROR(__xludf.DUMMYFUNCTION("""COMPUTED_VALUE"""),23.73)</f>
        <v>23.73</v>
      </c>
      <c r="D3171" s="2">
        <f>IFERROR(__xludf.DUMMYFUNCTION("""COMPUTED_VALUE"""),23.4)</f>
        <v>23.4</v>
      </c>
      <c r="E3171" s="2">
        <f>IFERROR(__xludf.DUMMYFUNCTION("""COMPUTED_VALUE"""),23.7)</f>
        <v>23.7</v>
      </c>
      <c r="F3171" s="2">
        <f>IFERROR(__xludf.DUMMYFUNCTION("""COMPUTED_VALUE"""),2083000.0)</f>
        <v>2083000</v>
      </c>
    </row>
    <row r="3172">
      <c r="A3172" s="3">
        <f>IFERROR(__xludf.DUMMYFUNCTION("""COMPUTED_VALUE"""),33801.666666666664)</f>
        <v>33801.66667</v>
      </c>
      <c r="B3172" s="2">
        <f>IFERROR(__xludf.DUMMYFUNCTION("""COMPUTED_VALUE"""),23.94)</f>
        <v>23.94</v>
      </c>
      <c r="C3172" s="2">
        <f>IFERROR(__xludf.DUMMYFUNCTION("""COMPUTED_VALUE"""),23.97)</f>
        <v>23.97</v>
      </c>
      <c r="D3172" s="2">
        <f>IFERROR(__xludf.DUMMYFUNCTION("""COMPUTED_VALUE"""),23.64)</f>
        <v>23.64</v>
      </c>
      <c r="E3172" s="2">
        <f>IFERROR(__xludf.DUMMYFUNCTION("""COMPUTED_VALUE"""),23.94)</f>
        <v>23.94</v>
      </c>
      <c r="F3172" s="2">
        <f>IFERROR(__xludf.DUMMYFUNCTION("""COMPUTED_VALUE"""),2560900.0)</f>
        <v>2560900</v>
      </c>
    </row>
    <row r="3173">
      <c r="A3173" s="3">
        <f>IFERROR(__xludf.DUMMYFUNCTION("""COMPUTED_VALUE"""),33802.666666666664)</f>
        <v>33802.66667</v>
      </c>
      <c r="B3173" s="2">
        <f>IFERROR(__xludf.DUMMYFUNCTION("""COMPUTED_VALUE"""),22.69)</f>
        <v>22.69</v>
      </c>
      <c r="C3173" s="2">
        <f>IFERROR(__xludf.DUMMYFUNCTION("""COMPUTED_VALUE"""),23.25)</f>
        <v>23.25</v>
      </c>
      <c r="D3173" s="2">
        <f>IFERROR(__xludf.DUMMYFUNCTION("""COMPUTED_VALUE"""),22.6)</f>
        <v>22.6</v>
      </c>
      <c r="E3173" s="2">
        <f>IFERROR(__xludf.DUMMYFUNCTION("""COMPUTED_VALUE"""),22.69)</f>
        <v>22.69</v>
      </c>
      <c r="F3173" s="2">
        <f>IFERROR(__xludf.DUMMYFUNCTION("""COMPUTED_VALUE"""),5937500.0)</f>
        <v>5937500</v>
      </c>
    </row>
    <row r="3174">
      <c r="A3174" s="3">
        <f>IFERROR(__xludf.DUMMYFUNCTION("""COMPUTED_VALUE"""),33805.666666666664)</f>
        <v>33805.66667</v>
      </c>
      <c r="B3174" s="2">
        <f>IFERROR(__xludf.DUMMYFUNCTION("""COMPUTED_VALUE"""),22.18)</f>
        <v>22.18</v>
      </c>
      <c r="C3174" s="2">
        <f>IFERROR(__xludf.DUMMYFUNCTION("""COMPUTED_VALUE"""),22.3)</f>
        <v>22.3</v>
      </c>
      <c r="D3174" s="2">
        <f>IFERROR(__xludf.DUMMYFUNCTION("""COMPUTED_VALUE"""),22.15)</f>
        <v>22.15</v>
      </c>
      <c r="E3174" s="2">
        <f>IFERROR(__xludf.DUMMYFUNCTION("""COMPUTED_VALUE"""),22.18)</f>
        <v>22.18</v>
      </c>
      <c r="F3174" s="2">
        <f>IFERROR(__xludf.DUMMYFUNCTION("""COMPUTED_VALUE"""),2906300.0)</f>
        <v>2906300</v>
      </c>
    </row>
    <row r="3175">
      <c r="A3175" s="3">
        <f>IFERROR(__xludf.DUMMYFUNCTION("""COMPUTED_VALUE"""),33806.666666666664)</f>
        <v>33806.66667</v>
      </c>
      <c r="B3175" s="2">
        <f>IFERROR(__xludf.DUMMYFUNCTION("""COMPUTED_VALUE"""),22.39)</f>
        <v>22.39</v>
      </c>
      <c r="C3175" s="2">
        <f>IFERROR(__xludf.DUMMYFUNCTION("""COMPUTED_VALUE"""),22.51)</f>
        <v>22.51</v>
      </c>
      <c r="D3175" s="2">
        <f>IFERROR(__xludf.DUMMYFUNCTION("""COMPUTED_VALUE"""),22.18)</f>
        <v>22.18</v>
      </c>
      <c r="E3175" s="2">
        <f>IFERROR(__xludf.DUMMYFUNCTION("""COMPUTED_VALUE"""),22.39)</f>
        <v>22.39</v>
      </c>
      <c r="F3175" s="2">
        <f>IFERROR(__xludf.DUMMYFUNCTION("""COMPUTED_VALUE"""),1990100.0)</f>
        <v>1990100</v>
      </c>
    </row>
    <row r="3176">
      <c r="A3176" s="3">
        <f>IFERROR(__xludf.DUMMYFUNCTION("""COMPUTED_VALUE"""),33807.666666666664)</f>
        <v>33807.66667</v>
      </c>
      <c r="B3176" s="2">
        <f>IFERROR(__xludf.DUMMYFUNCTION("""COMPUTED_VALUE"""),22.09)</f>
        <v>22.09</v>
      </c>
      <c r="C3176" s="2">
        <f>IFERROR(__xludf.DUMMYFUNCTION("""COMPUTED_VALUE"""),22.45)</f>
        <v>22.45</v>
      </c>
      <c r="D3176" s="2">
        <f>IFERROR(__xludf.DUMMYFUNCTION("""COMPUTED_VALUE"""),22.09)</f>
        <v>22.09</v>
      </c>
      <c r="E3176" s="2">
        <f>IFERROR(__xludf.DUMMYFUNCTION("""COMPUTED_VALUE"""),22.09)</f>
        <v>22.09</v>
      </c>
      <c r="F3176" s="2">
        <f>IFERROR(__xludf.DUMMYFUNCTION("""COMPUTED_VALUE"""),1536100.0)</f>
        <v>1536100</v>
      </c>
    </row>
    <row r="3177">
      <c r="A3177" s="3">
        <f>IFERROR(__xludf.DUMMYFUNCTION("""COMPUTED_VALUE"""),33808.666666666664)</f>
        <v>33808.66667</v>
      </c>
      <c r="B3177" s="2">
        <f>IFERROR(__xludf.DUMMYFUNCTION("""COMPUTED_VALUE"""),22.15)</f>
        <v>22.15</v>
      </c>
      <c r="C3177" s="2">
        <f>IFERROR(__xludf.DUMMYFUNCTION("""COMPUTED_VALUE"""),22.27)</f>
        <v>22.27</v>
      </c>
      <c r="D3177" s="2">
        <f>IFERROR(__xludf.DUMMYFUNCTION("""COMPUTED_VALUE"""),22.12)</f>
        <v>22.12</v>
      </c>
      <c r="E3177" s="2">
        <f>IFERROR(__xludf.DUMMYFUNCTION("""COMPUTED_VALUE"""),22.15)</f>
        <v>22.15</v>
      </c>
      <c r="F3177" s="2">
        <f>IFERROR(__xludf.DUMMYFUNCTION("""COMPUTED_VALUE"""),1069600.0)</f>
        <v>1069600</v>
      </c>
    </row>
    <row r="3178">
      <c r="A3178" s="3">
        <f>IFERROR(__xludf.DUMMYFUNCTION("""COMPUTED_VALUE"""),33809.666666666664)</f>
        <v>33809.66667</v>
      </c>
      <c r="B3178" s="2">
        <f>IFERROR(__xludf.DUMMYFUNCTION("""COMPUTED_VALUE"""),22.15)</f>
        <v>22.15</v>
      </c>
      <c r="C3178" s="2">
        <f>IFERROR(__xludf.DUMMYFUNCTION("""COMPUTED_VALUE"""),22.36)</f>
        <v>22.36</v>
      </c>
      <c r="D3178" s="2">
        <f>IFERROR(__xludf.DUMMYFUNCTION("""COMPUTED_VALUE"""),22.06)</f>
        <v>22.06</v>
      </c>
      <c r="E3178" s="2">
        <f>IFERROR(__xludf.DUMMYFUNCTION("""COMPUTED_VALUE"""),22.15)</f>
        <v>22.15</v>
      </c>
      <c r="F3178" s="2">
        <f>IFERROR(__xludf.DUMMYFUNCTION("""COMPUTED_VALUE"""),1537300.0)</f>
        <v>1537300</v>
      </c>
    </row>
    <row r="3179">
      <c r="A3179" s="3">
        <f>IFERROR(__xludf.DUMMYFUNCTION("""COMPUTED_VALUE"""),33812.666666666664)</f>
        <v>33812.66667</v>
      </c>
      <c r="B3179" s="2">
        <f>IFERROR(__xludf.DUMMYFUNCTION("""COMPUTED_VALUE"""),22.06)</f>
        <v>22.06</v>
      </c>
      <c r="C3179" s="2">
        <f>IFERROR(__xludf.DUMMYFUNCTION("""COMPUTED_VALUE"""),22.27)</f>
        <v>22.27</v>
      </c>
      <c r="D3179" s="2">
        <f>IFERROR(__xludf.DUMMYFUNCTION("""COMPUTED_VALUE"""),22.06)</f>
        <v>22.06</v>
      </c>
      <c r="E3179" s="2">
        <f>IFERROR(__xludf.DUMMYFUNCTION("""COMPUTED_VALUE"""),22.06)</f>
        <v>22.06</v>
      </c>
      <c r="F3179" s="2">
        <f>IFERROR(__xludf.DUMMYFUNCTION("""COMPUTED_VALUE"""),873300.0)</f>
        <v>873300</v>
      </c>
    </row>
    <row r="3180">
      <c r="A3180" s="3">
        <f>IFERROR(__xludf.DUMMYFUNCTION("""COMPUTED_VALUE"""),33813.666666666664)</f>
        <v>33813.66667</v>
      </c>
      <c r="B3180" s="2">
        <f>IFERROR(__xludf.DUMMYFUNCTION("""COMPUTED_VALUE"""),22.39)</f>
        <v>22.39</v>
      </c>
      <c r="C3180" s="2">
        <f>IFERROR(__xludf.DUMMYFUNCTION("""COMPUTED_VALUE"""),22.45)</f>
        <v>22.45</v>
      </c>
      <c r="D3180" s="2">
        <f>IFERROR(__xludf.DUMMYFUNCTION("""COMPUTED_VALUE"""),22.06)</f>
        <v>22.06</v>
      </c>
      <c r="E3180" s="2">
        <f>IFERROR(__xludf.DUMMYFUNCTION("""COMPUTED_VALUE"""),22.39)</f>
        <v>22.39</v>
      </c>
      <c r="F3180" s="2">
        <f>IFERROR(__xludf.DUMMYFUNCTION("""COMPUTED_VALUE"""),1155100.0)</f>
        <v>1155100</v>
      </c>
    </row>
    <row r="3181">
      <c r="A3181" s="3">
        <f>IFERROR(__xludf.DUMMYFUNCTION("""COMPUTED_VALUE"""),33814.666666666664)</f>
        <v>33814.66667</v>
      </c>
      <c r="B3181" s="2">
        <f>IFERROR(__xludf.DUMMYFUNCTION("""COMPUTED_VALUE"""),22.54)</f>
        <v>22.54</v>
      </c>
      <c r="C3181" s="2">
        <f>IFERROR(__xludf.DUMMYFUNCTION("""COMPUTED_VALUE"""),22.66)</f>
        <v>22.66</v>
      </c>
      <c r="D3181" s="2">
        <f>IFERROR(__xludf.DUMMYFUNCTION("""COMPUTED_VALUE"""),22.51)</f>
        <v>22.51</v>
      </c>
      <c r="E3181" s="2">
        <f>IFERROR(__xludf.DUMMYFUNCTION("""COMPUTED_VALUE"""),22.54)</f>
        <v>22.54</v>
      </c>
      <c r="F3181" s="2">
        <f>IFERROR(__xludf.DUMMYFUNCTION("""COMPUTED_VALUE"""),1587200.0)</f>
        <v>1587200</v>
      </c>
    </row>
    <row r="3182">
      <c r="A3182" s="3">
        <f>IFERROR(__xludf.DUMMYFUNCTION("""COMPUTED_VALUE"""),33815.666666666664)</f>
        <v>33815.66667</v>
      </c>
      <c r="B3182" s="2">
        <f>IFERROR(__xludf.DUMMYFUNCTION("""COMPUTED_VALUE"""),22.77)</f>
        <v>22.77</v>
      </c>
      <c r="C3182" s="2">
        <f>IFERROR(__xludf.DUMMYFUNCTION("""COMPUTED_VALUE"""),22.8)</f>
        <v>22.8</v>
      </c>
      <c r="D3182" s="2">
        <f>IFERROR(__xludf.DUMMYFUNCTION("""COMPUTED_VALUE"""),22.54)</f>
        <v>22.54</v>
      </c>
      <c r="E3182" s="2">
        <f>IFERROR(__xludf.DUMMYFUNCTION("""COMPUTED_VALUE"""),22.77)</f>
        <v>22.77</v>
      </c>
      <c r="F3182" s="2">
        <f>IFERROR(__xludf.DUMMYFUNCTION("""COMPUTED_VALUE"""),1115300.0)</f>
        <v>1115300</v>
      </c>
    </row>
    <row r="3183">
      <c r="A3183" s="3">
        <f>IFERROR(__xludf.DUMMYFUNCTION("""COMPUTED_VALUE"""),33816.666666666664)</f>
        <v>33816.66667</v>
      </c>
      <c r="B3183" s="2">
        <f>IFERROR(__xludf.DUMMYFUNCTION("""COMPUTED_VALUE"""),22.63)</f>
        <v>22.63</v>
      </c>
      <c r="C3183" s="2">
        <f>IFERROR(__xludf.DUMMYFUNCTION("""COMPUTED_VALUE"""),22.72)</f>
        <v>22.72</v>
      </c>
      <c r="D3183" s="2">
        <f>IFERROR(__xludf.DUMMYFUNCTION("""COMPUTED_VALUE"""),22.57)</f>
        <v>22.57</v>
      </c>
      <c r="E3183" s="2">
        <f>IFERROR(__xludf.DUMMYFUNCTION("""COMPUTED_VALUE"""),22.63)</f>
        <v>22.63</v>
      </c>
      <c r="F3183" s="2">
        <f>IFERROR(__xludf.DUMMYFUNCTION("""COMPUTED_VALUE"""),821400.0)</f>
        <v>821400</v>
      </c>
    </row>
    <row r="3184">
      <c r="A3184" s="3">
        <f>IFERROR(__xludf.DUMMYFUNCTION("""COMPUTED_VALUE"""),33819.666666666664)</f>
        <v>33819.66667</v>
      </c>
      <c r="B3184" s="2">
        <f>IFERROR(__xludf.DUMMYFUNCTION("""COMPUTED_VALUE"""),22.66)</f>
        <v>22.66</v>
      </c>
      <c r="C3184" s="2">
        <f>IFERROR(__xludf.DUMMYFUNCTION("""COMPUTED_VALUE"""),22.74)</f>
        <v>22.74</v>
      </c>
      <c r="D3184" s="2">
        <f>IFERROR(__xludf.DUMMYFUNCTION("""COMPUTED_VALUE"""),22.54)</f>
        <v>22.54</v>
      </c>
      <c r="E3184" s="2">
        <f>IFERROR(__xludf.DUMMYFUNCTION("""COMPUTED_VALUE"""),22.66)</f>
        <v>22.66</v>
      </c>
      <c r="F3184" s="2">
        <f>IFERROR(__xludf.DUMMYFUNCTION("""COMPUTED_VALUE"""),663900.0)</f>
        <v>663900</v>
      </c>
    </row>
    <row r="3185">
      <c r="A3185" s="3">
        <f>IFERROR(__xludf.DUMMYFUNCTION("""COMPUTED_VALUE"""),33820.666666666664)</f>
        <v>33820.66667</v>
      </c>
      <c r="B3185" s="2">
        <f>IFERROR(__xludf.DUMMYFUNCTION("""COMPUTED_VALUE"""),22.51)</f>
        <v>22.51</v>
      </c>
      <c r="C3185" s="2">
        <f>IFERROR(__xludf.DUMMYFUNCTION("""COMPUTED_VALUE"""),22.66)</f>
        <v>22.66</v>
      </c>
      <c r="D3185" s="2">
        <f>IFERROR(__xludf.DUMMYFUNCTION("""COMPUTED_VALUE"""),22.51)</f>
        <v>22.51</v>
      </c>
      <c r="E3185" s="2">
        <f>IFERROR(__xludf.DUMMYFUNCTION("""COMPUTED_VALUE"""),22.51)</f>
        <v>22.51</v>
      </c>
      <c r="F3185" s="2">
        <f>IFERROR(__xludf.DUMMYFUNCTION("""COMPUTED_VALUE"""),634800.0)</f>
        <v>634800</v>
      </c>
    </row>
    <row r="3186">
      <c r="A3186" s="3">
        <f>IFERROR(__xludf.DUMMYFUNCTION("""COMPUTED_VALUE"""),33821.666666666664)</f>
        <v>33821.66667</v>
      </c>
      <c r="B3186" s="2">
        <f>IFERROR(__xludf.DUMMYFUNCTION("""COMPUTED_VALUE"""),21.88)</f>
        <v>21.88</v>
      </c>
      <c r="C3186" s="2">
        <f>IFERROR(__xludf.DUMMYFUNCTION("""COMPUTED_VALUE"""),22.21)</f>
        <v>22.21</v>
      </c>
      <c r="D3186" s="2">
        <f>IFERROR(__xludf.DUMMYFUNCTION("""COMPUTED_VALUE"""),21.82)</f>
        <v>21.82</v>
      </c>
      <c r="E3186" s="2">
        <f>IFERROR(__xludf.DUMMYFUNCTION("""COMPUTED_VALUE"""),21.88)</f>
        <v>21.88</v>
      </c>
      <c r="F3186" s="2">
        <f>IFERROR(__xludf.DUMMYFUNCTION("""COMPUTED_VALUE"""),2642200.0)</f>
        <v>2642200</v>
      </c>
    </row>
    <row r="3187">
      <c r="A3187" s="3">
        <f>IFERROR(__xludf.DUMMYFUNCTION("""COMPUTED_VALUE"""),33822.666666666664)</f>
        <v>33822.66667</v>
      </c>
      <c r="B3187" s="2">
        <f>IFERROR(__xludf.DUMMYFUNCTION("""COMPUTED_VALUE"""),21.07)</f>
        <v>21.07</v>
      </c>
      <c r="C3187" s="2">
        <f>IFERROR(__xludf.DUMMYFUNCTION("""COMPUTED_VALUE"""),21.52)</f>
        <v>21.52</v>
      </c>
      <c r="D3187" s="2">
        <f>IFERROR(__xludf.DUMMYFUNCTION("""COMPUTED_VALUE"""),21.04)</f>
        <v>21.04</v>
      </c>
      <c r="E3187" s="2">
        <f>IFERROR(__xludf.DUMMYFUNCTION("""COMPUTED_VALUE"""),21.07)</f>
        <v>21.07</v>
      </c>
      <c r="F3187" s="2">
        <f>IFERROR(__xludf.DUMMYFUNCTION("""COMPUTED_VALUE"""),3431700.0)</f>
        <v>3431700</v>
      </c>
    </row>
    <row r="3188">
      <c r="A3188" s="3">
        <f>IFERROR(__xludf.DUMMYFUNCTION("""COMPUTED_VALUE"""),33823.666666666664)</f>
        <v>33823.66667</v>
      </c>
      <c r="B3188" s="2">
        <f>IFERROR(__xludf.DUMMYFUNCTION("""COMPUTED_VALUE"""),20.8)</f>
        <v>20.8</v>
      </c>
      <c r="C3188" s="2">
        <f>IFERROR(__xludf.DUMMYFUNCTION("""COMPUTED_VALUE"""),21.16)</f>
        <v>21.16</v>
      </c>
      <c r="D3188" s="2">
        <f>IFERROR(__xludf.DUMMYFUNCTION("""COMPUTED_VALUE"""),20.69)</f>
        <v>20.69</v>
      </c>
      <c r="E3188" s="2">
        <f>IFERROR(__xludf.DUMMYFUNCTION("""COMPUTED_VALUE"""),20.8)</f>
        <v>20.8</v>
      </c>
      <c r="F3188" s="2">
        <f>IFERROR(__xludf.DUMMYFUNCTION("""COMPUTED_VALUE"""),2802800.0)</f>
        <v>2802800</v>
      </c>
    </row>
    <row r="3189">
      <c r="A3189" s="3">
        <f>IFERROR(__xludf.DUMMYFUNCTION("""COMPUTED_VALUE"""),33826.666666666664)</f>
        <v>33826.66667</v>
      </c>
      <c r="B3189" s="2">
        <f>IFERROR(__xludf.DUMMYFUNCTION("""COMPUTED_VALUE"""),21.13)</f>
        <v>21.13</v>
      </c>
      <c r="C3189" s="2">
        <f>IFERROR(__xludf.DUMMYFUNCTION("""COMPUTED_VALUE"""),21.19)</f>
        <v>21.19</v>
      </c>
      <c r="D3189" s="2">
        <f>IFERROR(__xludf.DUMMYFUNCTION("""COMPUTED_VALUE"""),20.83)</f>
        <v>20.83</v>
      </c>
      <c r="E3189" s="2">
        <f>IFERROR(__xludf.DUMMYFUNCTION("""COMPUTED_VALUE"""),21.13)</f>
        <v>21.13</v>
      </c>
      <c r="F3189" s="2">
        <f>IFERROR(__xludf.DUMMYFUNCTION("""COMPUTED_VALUE"""),1603500.0)</f>
        <v>1603500</v>
      </c>
    </row>
    <row r="3190">
      <c r="A3190" s="3">
        <f>IFERROR(__xludf.DUMMYFUNCTION("""COMPUTED_VALUE"""),33827.666666666664)</f>
        <v>33827.66667</v>
      </c>
      <c r="B3190" s="2">
        <f>IFERROR(__xludf.DUMMYFUNCTION("""COMPUTED_VALUE"""),21.01)</f>
        <v>21.01</v>
      </c>
      <c r="C3190" s="2">
        <f>IFERROR(__xludf.DUMMYFUNCTION("""COMPUTED_VALUE"""),21.16)</f>
        <v>21.16</v>
      </c>
      <c r="D3190" s="2">
        <f>IFERROR(__xludf.DUMMYFUNCTION("""COMPUTED_VALUE"""),20.95)</f>
        <v>20.95</v>
      </c>
      <c r="E3190" s="2">
        <f>IFERROR(__xludf.DUMMYFUNCTION("""COMPUTED_VALUE"""),21.01)</f>
        <v>21.01</v>
      </c>
      <c r="F3190" s="2">
        <f>IFERROR(__xludf.DUMMYFUNCTION("""COMPUTED_VALUE"""),1475100.0)</f>
        <v>1475100</v>
      </c>
    </row>
    <row r="3191">
      <c r="A3191" s="3">
        <f>IFERROR(__xludf.DUMMYFUNCTION("""COMPUTED_VALUE"""),33828.666666666664)</f>
        <v>33828.66667</v>
      </c>
      <c r="B3191" s="2">
        <f>IFERROR(__xludf.DUMMYFUNCTION("""COMPUTED_VALUE"""),21.1)</f>
        <v>21.1</v>
      </c>
      <c r="C3191" s="2">
        <f>IFERROR(__xludf.DUMMYFUNCTION("""COMPUTED_VALUE"""),21.25)</f>
        <v>21.25</v>
      </c>
      <c r="D3191" s="2">
        <f>IFERROR(__xludf.DUMMYFUNCTION("""COMPUTED_VALUE"""),21.01)</f>
        <v>21.01</v>
      </c>
      <c r="E3191" s="2">
        <f>IFERROR(__xludf.DUMMYFUNCTION("""COMPUTED_VALUE"""),21.1)</f>
        <v>21.1</v>
      </c>
      <c r="F3191" s="2">
        <f>IFERROR(__xludf.DUMMYFUNCTION("""COMPUTED_VALUE"""),1442500.0)</f>
        <v>1442500</v>
      </c>
    </row>
    <row r="3192">
      <c r="A3192" s="3">
        <f>IFERROR(__xludf.DUMMYFUNCTION("""COMPUTED_VALUE"""),33829.666666666664)</f>
        <v>33829.66667</v>
      </c>
      <c r="B3192" s="2">
        <f>IFERROR(__xludf.DUMMYFUNCTION("""COMPUTED_VALUE"""),21.04)</f>
        <v>21.04</v>
      </c>
      <c r="C3192" s="2">
        <f>IFERROR(__xludf.DUMMYFUNCTION("""COMPUTED_VALUE"""),21.28)</f>
        <v>21.28</v>
      </c>
      <c r="D3192" s="2">
        <f>IFERROR(__xludf.DUMMYFUNCTION("""COMPUTED_VALUE"""),20.98)</f>
        <v>20.98</v>
      </c>
      <c r="E3192" s="2">
        <f>IFERROR(__xludf.DUMMYFUNCTION("""COMPUTED_VALUE"""),21.04)</f>
        <v>21.04</v>
      </c>
      <c r="F3192" s="2">
        <f>IFERROR(__xludf.DUMMYFUNCTION("""COMPUTED_VALUE"""),1343900.0)</f>
        <v>1343900</v>
      </c>
    </row>
    <row r="3193">
      <c r="A3193" s="3">
        <f>IFERROR(__xludf.DUMMYFUNCTION("""COMPUTED_VALUE"""),33830.666666666664)</f>
        <v>33830.66667</v>
      </c>
      <c r="B3193" s="2">
        <f>IFERROR(__xludf.DUMMYFUNCTION("""COMPUTED_VALUE"""),21.1)</f>
        <v>21.1</v>
      </c>
      <c r="C3193" s="2">
        <f>IFERROR(__xludf.DUMMYFUNCTION("""COMPUTED_VALUE"""),21.19)</f>
        <v>21.19</v>
      </c>
      <c r="D3193" s="2">
        <f>IFERROR(__xludf.DUMMYFUNCTION("""COMPUTED_VALUE"""),21.07)</f>
        <v>21.07</v>
      </c>
      <c r="E3193" s="2">
        <f>IFERROR(__xludf.DUMMYFUNCTION("""COMPUTED_VALUE"""),21.1)</f>
        <v>21.1</v>
      </c>
      <c r="F3193" s="2">
        <f>IFERROR(__xludf.DUMMYFUNCTION("""COMPUTED_VALUE"""),998600.0)</f>
        <v>998600</v>
      </c>
    </row>
    <row r="3194">
      <c r="A3194" s="3">
        <f>IFERROR(__xludf.DUMMYFUNCTION("""COMPUTED_VALUE"""),33833.666666666664)</f>
        <v>33833.66667</v>
      </c>
      <c r="B3194" s="2">
        <f>IFERROR(__xludf.DUMMYFUNCTION("""COMPUTED_VALUE"""),21.16)</f>
        <v>21.16</v>
      </c>
      <c r="C3194" s="2">
        <f>IFERROR(__xludf.DUMMYFUNCTION("""COMPUTED_VALUE"""),21.28)</f>
        <v>21.28</v>
      </c>
      <c r="D3194" s="2">
        <f>IFERROR(__xludf.DUMMYFUNCTION("""COMPUTED_VALUE"""),21.13)</f>
        <v>21.13</v>
      </c>
      <c r="E3194" s="2">
        <f>IFERROR(__xludf.DUMMYFUNCTION("""COMPUTED_VALUE"""),21.16)</f>
        <v>21.16</v>
      </c>
      <c r="F3194" s="2">
        <f>IFERROR(__xludf.DUMMYFUNCTION("""COMPUTED_VALUE"""),729900.0)</f>
        <v>729900</v>
      </c>
    </row>
    <row r="3195">
      <c r="A3195" s="3">
        <f>IFERROR(__xludf.DUMMYFUNCTION("""COMPUTED_VALUE"""),33834.666666666664)</f>
        <v>33834.66667</v>
      </c>
      <c r="B3195" s="2">
        <f>IFERROR(__xludf.DUMMYFUNCTION("""COMPUTED_VALUE"""),21.01)</f>
        <v>21.01</v>
      </c>
      <c r="C3195" s="2">
        <f>IFERROR(__xludf.DUMMYFUNCTION("""COMPUTED_VALUE"""),21.16)</f>
        <v>21.16</v>
      </c>
      <c r="D3195" s="2">
        <f>IFERROR(__xludf.DUMMYFUNCTION("""COMPUTED_VALUE"""),20.98)</f>
        <v>20.98</v>
      </c>
      <c r="E3195" s="2">
        <f>IFERROR(__xludf.DUMMYFUNCTION("""COMPUTED_VALUE"""),21.01)</f>
        <v>21.01</v>
      </c>
      <c r="F3195" s="2">
        <f>IFERROR(__xludf.DUMMYFUNCTION("""COMPUTED_VALUE"""),828200.0)</f>
        <v>828200</v>
      </c>
    </row>
    <row r="3196">
      <c r="A3196" s="3">
        <f>IFERROR(__xludf.DUMMYFUNCTION("""COMPUTED_VALUE"""),33835.666666666664)</f>
        <v>33835.66667</v>
      </c>
      <c r="B3196" s="2">
        <f>IFERROR(__xludf.DUMMYFUNCTION("""COMPUTED_VALUE"""),20.69)</f>
        <v>20.69</v>
      </c>
      <c r="C3196" s="2">
        <f>IFERROR(__xludf.DUMMYFUNCTION("""COMPUTED_VALUE"""),21.13)</f>
        <v>21.13</v>
      </c>
      <c r="D3196" s="2">
        <f>IFERROR(__xludf.DUMMYFUNCTION("""COMPUTED_VALUE"""),20.66)</f>
        <v>20.66</v>
      </c>
      <c r="E3196" s="2">
        <f>IFERROR(__xludf.DUMMYFUNCTION("""COMPUTED_VALUE"""),20.69)</f>
        <v>20.69</v>
      </c>
      <c r="F3196" s="2">
        <f>IFERROR(__xludf.DUMMYFUNCTION("""COMPUTED_VALUE"""),1341600.0)</f>
        <v>1341600</v>
      </c>
    </row>
    <row r="3197">
      <c r="A3197" s="3">
        <f>IFERROR(__xludf.DUMMYFUNCTION("""COMPUTED_VALUE"""),33836.666666666664)</f>
        <v>33836.66667</v>
      </c>
      <c r="B3197" s="2">
        <f>IFERROR(__xludf.DUMMYFUNCTION("""COMPUTED_VALUE"""),20.51)</f>
        <v>20.51</v>
      </c>
      <c r="C3197" s="2">
        <f>IFERROR(__xludf.DUMMYFUNCTION("""COMPUTED_VALUE"""),20.75)</f>
        <v>20.75</v>
      </c>
      <c r="D3197" s="2">
        <f>IFERROR(__xludf.DUMMYFUNCTION("""COMPUTED_VALUE"""),20.42)</f>
        <v>20.42</v>
      </c>
      <c r="E3197" s="2">
        <f>IFERROR(__xludf.DUMMYFUNCTION("""COMPUTED_VALUE"""),20.51)</f>
        <v>20.51</v>
      </c>
      <c r="F3197" s="2">
        <f>IFERROR(__xludf.DUMMYFUNCTION("""COMPUTED_VALUE"""),1446300.0)</f>
        <v>1446300</v>
      </c>
    </row>
    <row r="3198">
      <c r="A3198" s="3">
        <f>IFERROR(__xludf.DUMMYFUNCTION("""COMPUTED_VALUE"""),33837.666666666664)</f>
        <v>33837.66667</v>
      </c>
      <c r="B3198" s="2">
        <f>IFERROR(__xludf.DUMMYFUNCTION("""COMPUTED_VALUE"""),20.54)</f>
        <v>20.54</v>
      </c>
      <c r="C3198" s="2">
        <f>IFERROR(__xludf.DUMMYFUNCTION("""COMPUTED_VALUE"""),20.66)</f>
        <v>20.66</v>
      </c>
      <c r="D3198" s="2">
        <f>IFERROR(__xludf.DUMMYFUNCTION("""COMPUTED_VALUE"""),20.48)</f>
        <v>20.48</v>
      </c>
      <c r="E3198" s="2">
        <f>IFERROR(__xludf.DUMMYFUNCTION("""COMPUTED_VALUE"""),20.54)</f>
        <v>20.54</v>
      </c>
      <c r="F3198" s="2">
        <f>IFERROR(__xludf.DUMMYFUNCTION("""COMPUTED_VALUE"""),1845300.0)</f>
        <v>1845300</v>
      </c>
    </row>
    <row r="3199">
      <c r="A3199" s="3">
        <f>IFERROR(__xludf.DUMMYFUNCTION("""COMPUTED_VALUE"""),33840.666666666664)</f>
        <v>33840.66667</v>
      </c>
      <c r="B3199" s="2">
        <f>IFERROR(__xludf.DUMMYFUNCTION("""COMPUTED_VALUE"""),20.33)</f>
        <v>20.33</v>
      </c>
      <c r="C3199" s="2">
        <f>IFERROR(__xludf.DUMMYFUNCTION("""COMPUTED_VALUE"""),20.6)</f>
        <v>20.6</v>
      </c>
      <c r="D3199" s="2">
        <f>IFERROR(__xludf.DUMMYFUNCTION("""COMPUTED_VALUE"""),20.3)</f>
        <v>20.3</v>
      </c>
      <c r="E3199" s="2">
        <f>IFERROR(__xludf.DUMMYFUNCTION("""COMPUTED_VALUE"""),20.33)</f>
        <v>20.33</v>
      </c>
      <c r="F3199" s="2">
        <f>IFERROR(__xludf.DUMMYFUNCTION("""COMPUTED_VALUE"""),1425400.0)</f>
        <v>1425400</v>
      </c>
    </row>
    <row r="3200">
      <c r="A3200" s="3">
        <f>IFERROR(__xludf.DUMMYFUNCTION("""COMPUTED_VALUE"""),33841.666666666664)</f>
        <v>33841.66667</v>
      </c>
      <c r="B3200" s="2">
        <f>IFERROR(__xludf.DUMMYFUNCTION("""COMPUTED_VALUE"""),20.8)</f>
        <v>20.8</v>
      </c>
      <c r="C3200" s="2">
        <f>IFERROR(__xludf.DUMMYFUNCTION("""COMPUTED_VALUE"""),20.8)</f>
        <v>20.8</v>
      </c>
      <c r="D3200" s="2">
        <f>IFERROR(__xludf.DUMMYFUNCTION("""COMPUTED_VALUE"""),20.36)</f>
        <v>20.36</v>
      </c>
      <c r="E3200" s="2">
        <f>IFERROR(__xludf.DUMMYFUNCTION("""COMPUTED_VALUE"""),20.8)</f>
        <v>20.8</v>
      </c>
      <c r="F3200" s="2">
        <f>IFERROR(__xludf.DUMMYFUNCTION("""COMPUTED_VALUE"""),1902400.0)</f>
        <v>1902400</v>
      </c>
    </row>
    <row r="3201">
      <c r="A3201" s="3">
        <f>IFERROR(__xludf.DUMMYFUNCTION("""COMPUTED_VALUE"""),33842.666666666664)</f>
        <v>33842.66667</v>
      </c>
      <c r="B3201" s="2">
        <f>IFERROR(__xludf.DUMMYFUNCTION("""COMPUTED_VALUE"""),20.63)</f>
        <v>20.63</v>
      </c>
      <c r="C3201" s="2">
        <f>IFERROR(__xludf.DUMMYFUNCTION("""COMPUTED_VALUE"""),21.25)</f>
        <v>21.25</v>
      </c>
      <c r="D3201" s="2">
        <f>IFERROR(__xludf.DUMMYFUNCTION("""COMPUTED_VALUE"""),20.6)</f>
        <v>20.6</v>
      </c>
      <c r="E3201" s="2">
        <f>IFERROR(__xludf.DUMMYFUNCTION("""COMPUTED_VALUE"""),20.63)</f>
        <v>20.63</v>
      </c>
      <c r="F3201" s="2">
        <f>IFERROR(__xludf.DUMMYFUNCTION("""COMPUTED_VALUE"""),809300.0)</f>
        <v>809300</v>
      </c>
    </row>
    <row r="3202">
      <c r="A3202" s="3">
        <f>IFERROR(__xludf.DUMMYFUNCTION("""COMPUTED_VALUE"""),33843.666666666664)</f>
        <v>33843.66667</v>
      </c>
      <c r="B3202" s="2">
        <f>IFERROR(__xludf.DUMMYFUNCTION("""COMPUTED_VALUE"""),20.86)</f>
        <v>20.86</v>
      </c>
      <c r="C3202" s="2">
        <f>IFERROR(__xludf.DUMMYFUNCTION("""COMPUTED_VALUE"""),20.86)</f>
        <v>20.86</v>
      </c>
      <c r="D3202" s="2">
        <f>IFERROR(__xludf.DUMMYFUNCTION("""COMPUTED_VALUE"""),20.63)</f>
        <v>20.63</v>
      </c>
      <c r="E3202" s="2">
        <f>IFERROR(__xludf.DUMMYFUNCTION("""COMPUTED_VALUE"""),20.86)</f>
        <v>20.86</v>
      </c>
      <c r="F3202" s="2">
        <f>IFERROR(__xludf.DUMMYFUNCTION("""COMPUTED_VALUE"""),1176300.0)</f>
        <v>1176300</v>
      </c>
    </row>
    <row r="3203">
      <c r="A3203" s="3">
        <f>IFERROR(__xludf.DUMMYFUNCTION("""COMPUTED_VALUE"""),33844.666666666664)</f>
        <v>33844.66667</v>
      </c>
      <c r="B3203" s="2">
        <f>IFERROR(__xludf.DUMMYFUNCTION("""COMPUTED_VALUE"""),20.83)</f>
        <v>20.83</v>
      </c>
      <c r="C3203" s="2">
        <f>IFERROR(__xludf.DUMMYFUNCTION("""COMPUTED_VALUE"""),20.86)</f>
        <v>20.86</v>
      </c>
      <c r="D3203" s="2">
        <f>IFERROR(__xludf.DUMMYFUNCTION("""COMPUTED_VALUE"""),20.69)</f>
        <v>20.69</v>
      </c>
      <c r="E3203" s="2">
        <f>IFERROR(__xludf.DUMMYFUNCTION("""COMPUTED_VALUE"""),20.83)</f>
        <v>20.83</v>
      </c>
      <c r="F3203" s="2">
        <f>IFERROR(__xludf.DUMMYFUNCTION("""COMPUTED_VALUE"""),787700.0)</f>
        <v>787700</v>
      </c>
    </row>
    <row r="3204">
      <c r="A3204" s="3">
        <f>IFERROR(__xludf.DUMMYFUNCTION("""COMPUTED_VALUE"""),33847.666666666664)</f>
        <v>33847.66667</v>
      </c>
      <c r="B3204" s="2">
        <f>IFERROR(__xludf.DUMMYFUNCTION("""COMPUTED_VALUE"""),20.69)</f>
        <v>20.69</v>
      </c>
      <c r="C3204" s="2">
        <f>IFERROR(__xludf.DUMMYFUNCTION("""COMPUTED_VALUE"""),20.89)</f>
        <v>20.89</v>
      </c>
      <c r="D3204" s="2">
        <f>IFERROR(__xludf.DUMMYFUNCTION("""COMPUTED_VALUE"""),20.66)</f>
        <v>20.66</v>
      </c>
      <c r="E3204" s="2">
        <f>IFERROR(__xludf.DUMMYFUNCTION("""COMPUTED_VALUE"""),20.69)</f>
        <v>20.69</v>
      </c>
      <c r="F3204" s="2">
        <f>IFERROR(__xludf.DUMMYFUNCTION("""COMPUTED_VALUE"""),989000.0)</f>
        <v>989000</v>
      </c>
    </row>
    <row r="3205">
      <c r="A3205" s="3">
        <f>IFERROR(__xludf.DUMMYFUNCTION("""COMPUTED_VALUE"""),33848.666666666664)</f>
        <v>33848.66667</v>
      </c>
      <c r="B3205" s="2">
        <f>IFERROR(__xludf.DUMMYFUNCTION("""COMPUTED_VALUE"""),20.92)</f>
        <v>20.92</v>
      </c>
      <c r="C3205" s="2">
        <f>IFERROR(__xludf.DUMMYFUNCTION("""COMPUTED_VALUE"""),20.92)</f>
        <v>20.92</v>
      </c>
      <c r="D3205" s="2">
        <f>IFERROR(__xludf.DUMMYFUNCTION("""COMPUTED_VALUE"""),20.66)</f>
        <v>20.66</v>
      </c>
      <c r="E3205" s="2">
        <f>IFERROR(__xludf.DUMMYFUNCTION("""COMPUTED_VALUE"""),20.92)</f>
        <v>20.92</v>
      </c>
      <c r="F3205" s="2">
        <f>IFERROR(__xludf.DUMMYFUNCTION("""COMPUTED_VALUE"""),964400.0)</f>
        <v>964400</v>
      </c>
    </row>
    <row r="3206">
      <c r="A3206" s="3">
        <f>IFERROR(__xludf.DUMMYFUNCTION("""COMPUTED_VALUE"""),33849.666666666664)</f>
        <v>33849.66667</v>
      </c>
      <c r="B3206" s="2">
        <f>IFERROR(__xludf.DUMMYFUNCTION("""COMPUTED_VALUE"""),20.89)</f>
        <v>20.89</v>
      </c>
      <c r="C3206" s="2">
        <f>IFERROR(__xludf.DUMMYFUNCTION("""COMPUTED_VALUE"""),20.92)</f>
        <v>20.92</v>
      </c>
      <c r="D3206" s="2">
        <f>IFERROR(__xludf.DUMMYFUNCTION("""COMPUTED_VALUE"""),20.72)</f>
        <v>20.72</v>
      </c>
      <c r="E3206" s="2">
        <f>IFERROR(__xludf.DUMMYFUNCTION("""COMPUTED_VALUE"""),20.89)</f>
        <v>20.89</v>
      </c>
      <c r="F3206" s="2">
        <f>IFERROR(__xludf.DUMMYFUNCTION("""COMPUTED_VALUE"""),798200.0)</f>
        <v>798200</v>
      </c>
    </row>
    <row r="3207">
      <c r="A3207" s="3">
        <f>IFERROR(__xludf.DUMMYFUNCTION("""COMPUTED_VALUE"""),33850.666666666664)</f>
        <v>33850.66667</v>
      </c>
      <c r="B3207" s="2">
        <f>IFERROR(__xludf.DUMMYFUNCTION("""COMPUTED_VALUE"""),20.69)</f>
        <v>20.69</v>
      </c>
      <c r="C3207" s="2">
        <f>IFERROR(__xludf.DUMMYFUNCTION("""COMPUTED_VALUE"""),20.95)</f>
        <v>20.95</v>
      </c>
      <c r="D3207" s="2">
        <f>IFERROR(__xludf.DUMMYFUNCTION("""COMPUTED_VALUE"""),20.69)</f>
        <v>20.69</v>
      </c>
      <c r="E3207" s="2">
        <f>IFERROR(__xludf.DUMMYFUNCTION("""COMPUTED_VALUE"""),20.69)</f>
        <v>20.69</v>
      </c>
      <c r="F3207" s="2">
        <f>IFERROR(__xludf.DUMMYFUNCTION("""COMPUTED_VALUE"""),1178400.0)</f>
        <v>1178400</v>
      </c>
    </row>
    <row r="3208">
      <c r="A3208" s="3">
        <f>IFERROR(__xludf.DUMMYFUNCTION("""COMPUTED_VALUE"""),33851.666666666664)</f>
        <v>33851.66667</v>
      </c>
      <c r="B3208" s="2">
        <f>IFERROR(__xludf.DUMMYFUNCTION("""COMPUTED_VALUE"""),20.54)</f>
        <v>20.54</v>
      </c>
      <c r="C3208" s="2">
        <f>IFERROR(__xludf.DUMMYFUNCTION("""COMPUTED_VALUE"""),20.69)</f>
        <v>20.69</v>
      </c>
      <c r="D3208" s="2">
        <f>IFERROR(__xludf.DUMMYFUNCTION("""COMPUTED_VALUE"""),20.51)</f>
        <v>20.51</v>
      </c>
      <c r="E3208" s="2">
        <f>IFERROR(__xludf.DUMMYFUNCTION("""COMPUTED_VALUE"""),20.54)</f>
        <v>20.54</v>
      </c>
      <c r="F3208" s="2">
        <f>IFERROR(__xludf.DUMMYFUNCTION("""COMPUTED_VALUE"""),787700.0)</f>
        <v>787700</v>
      </c>
    </row>
    <row r="3209">
      <c r="A3209" s="3">
        <f>IFERROR(__xludf.DUMMYFUNCTION("""COMPUTED_VALUE"""),33855.666666666664)</f>
        <v>33855.66667</v>
      </c>
      <c r="B3209" s="2">
        <f>IFERROR(__xludf.DUMMYFUNCTION("""COMPUTED_VALUE"""),20.57)</f>
        <v>20.57</v>
      </c>
      <c r="C3209" s="2">
        <f>IFERROR(__xludf.DUMMYFUNCTION("""COMPUTED_VALUE"""),20.63)</f>
        <v>20.63</v>
      </c>
      <c r="D3209" s="2">
        <f>IFERROR(__xludf.DUMMYFUNCTION("""COMPUTED_VALUE"""),20.51)</f>
        <v>20.51</v>
      </c>
      <c r="E3209" s="2">
        <f>IFERROR(__xludf.DUMMYFUNCTION("""COMPUTED_VALUE"""),20.57)</f>
        <v>20.57</v>
      </c>
      <c r="F3209" s="2">
        <f>IFERROR(__xludf.DUMMYFUNCTION("""COMPUTED_VALUE"""),762200.0)</f>
        <v>762200</v>
      </c>
    </row>
    <row r="3210">
      <c r="A3210" s="3">
        <f>IFERROR(__xludf.DUMMYFUNCTION("""COMPUTED_VALUE"""),33856.666666666664)</f>
        <v>33856.66667</v>
      </c>
      <c r="B3210" s="2">
        <f>IFERROR(__xludf.DUMMYFUNCTION("""COMPUTED_VALUE"""),20.75)</f>
        <v>20.75</v>
      </c>
      <c r="C3210" s="2">
        <f>IFERROR(__xludf.DUMMYFUNCTION("""COMPUTED_VALUE"""),20.75)</f>
        <v>20.75</v>
      </c>
      <c r="D3210" s="2">
        <f>IFERROR(__xludf.DUMMYFUNCTION("""COMPUTED_VALUE"""),20.6)</f>
        <v>20.6</v>
      </c>
      <c r="E3210" s="2">
        <f>IFERROR(__xludf.DUMMYFUNCTION("""COMPUTED_VALUE"""),20.75)</f>
        <v>20.75</v>
      </c>
      <c r="F3210" s="2">
        <f>IFERROR(__xludf.DUMMYFUNCTION("""COMPUTED_VALUE"""),856100.0)</f>
        <v>856100</v>
      </c>
    </row>
    <row r="3211">
      <c r="A3211" s="3">
        <f>IFERROR(__xludf.DUMMYFUNCTION("""COMPUTED_VALUE"""),33857.666666666664)</f>
        <v>33857.66667</v>
      </c>
      <c r="B3211" s="2">
        <f>IFERROR(__xludf.DUMMYFUNCTION("""COMPUTED_VALUE"""),20.89)</f>
        <v>20.89</v>
      </c>
      <c r="C3211" s="2">
        <f>IFERROR(__xludf.DUMMYFUNCTION("""COMPUTED_VALUE"""),20.89)</f>
        <v>20.89</v>
      </c>
      <c r="D3211" s="2">
        <f>IFERROR(__xludf.DUMMYFUNCTION("""COMPUTED_VALUE"""),20.69)</f>
        <v>20.69</v>
      </c>
      <c r="E3211" s="2">
        <f>IFERROR(__xludf.DUMMYFUNCTION("""COMPUTED_VALUE"""),20.89)</f>
        <v>20.89</v>
      </c>
      <c r="F3211" s="2">
        <f>IFERROR(__xludf.DUMMYFUNCTION("""COMPUTED_VALUE"""),1096700.0)</f>
        <v>1096700</v>
      </c>
    </row>
    <row r="3212">
      <c r="A3212" s="3">
        <f>IFERROR(__xludf.DUMMYFUNCTION("""COMPUTED_VALUE"""),33858.666666666664)</f>
        <v>33858.66667</v>
      </c>
      <c r="B3212" s="2">
        <f>IFERROR(__xludf.DUMMYFUNCTION("""COMPUTED_VALUE"""),21.01)</f>
        <v>21.01</v>
      </c>
      <c r="C3212" s="2">
        <f>IFERROR(__xludf.DUMMYFUNCTION("""COMPUTED_VALUE"""),21.07)</f>
        <v>21.07</v>
      </c>
      <c r="D3212" s="2">
        <f>IFERROR(__xludf.DUMMYFUNCTION("""COMPUTED_VALUE"""),20.8)</f>
        <v>20.8</v>
      </c>
      <c r="E3212" s="2">
        <f>IFERROR(__xludf.DUMMYFUNCTION("""COMPUTED_VALUE"""),21.01)</f>
        <v>21.01</v>
      </c>
      <c r="F3212" s="2">
        <f>IFERROR(__xludf.DUMMYFUNCTION("""COMPUTED_VALUE"""),1027600.0)</f>
        <v>1027600</v>
      </c>
    </row>
    <row r="3213">
      <c r="A3213" s="3">
        <f>IFERROR(__xludf.DUMMYFUNCTION("""COMPUTED_VALUE"""),33861.666666666664)</f>
        <v>33861.66667</v>
      </c>
      <c r="B3213" s="2">
        <f>IFERROR(__xludf.DUMMYFUNCTION("""COMPUTED_VALUE"""),21.1)</f>
        <v>21.1</v>
      </c>
      <c r="C3213" s="2">
        <f>IFERROR(__xludf.DUMMYFUNCTION("""COMPUTED_VALUE"""),21.19)</f>
        <v>21.19</v>
      </c>
      <c r="D3213" s="2">
        <f>IFERROR(__xludf.DUMMYFUNCTION("""COMPUTED_VALUE"""),21.04)</f>
        <v>21.04</v>
      </c>
      <c r="E3213" s="2">
        <f>IFERROR(__xludf.DUMMYFUNCTION("""COMPUTED_VALUE"""),21.1)</f>
        <v>21.1</v>
      </c>
      <c r="F3213" s="2">
        <f>IFERROR(__xludf.DUMMYFUNCTION("""COMPUTED_VALUE"""),1334800.0)</f>
        <v>1334800</v>
      </c>
    </row>
    <row r="3214">
      <c r="A3214" s="3">
        <f>IFERROR(__xludf.DUMMYFUNCTION("""COMPUTED_VALUE"""),33862.666666666664)</f>
        <v>33862.66667</v>
      </c>
      <c r="B3214" s="2">
        <f>IFERROR(__xludf.DUMMYFUNCTION("""COMPUTED_VALUE"""),20.42)</f>
        <v>20.42</v>
      </c>
      <c r="C3214" s="2">
        <f>IFERROR(__xludf.DUMMYFUNCTION("""COMPUTED_VALUE"""),20.77)</f>
        <v>20.77</v>
      </c>
      <c r="D3214" s="2">
        <f>IFERROR(__xludf.DUMMYFUNCTION("""COMPUTED_VALUE"""),20.39)</f>
        <v>20.39</v>
      </c>
      <c r="E3214" s="2">
        <f>IFERROR(__xludf.DUMMYFUNCTION("""COMPUTED_VALUE"""),20.42)</f>
        <v>20.42</v>
      </c>
      <c r="F3214" s="2">
        <f>IFERROR(__xludf.DUMMYFUNCTION("""COMPUTED_VALUE"""),1828700.0)</f>
        <v>1828700</v>
      </c>
    </row>
    <row r="3215">
      <c r="A3215" s="3">
        <f>IFERROR(__xludf.DUMMYFUNCTION("""COMPUTED_VALUE"""),33863.666666666664)</f>
        <v>33863.66667</v>
      </c>
      <c r="B3215" s="2">
        <f>IFERROR(__xludf.DUMMYFUNCTION("""COMPUTED_VALUE"""),19.85)</f>
        <v>19.85</v>
      </c>
      <c r="C3215" s="2">
        <f>IFERROR(__xludf.DUMMYFUNCTION("""COMPUTED_VALUE"""),20.18)</f>
        <v>20.18</v>
      </c>
      <c r="D3215" s="2">
        <f>IFERROR(__xludf.DUMMYFUNCTION("""COMPUTED_VALUE"""),19.7)</f>
        <v>19.7</v>
      </c>
      <c r="E3215" s="2">
        <f>IFERROR(__xludf.DUMMYFUNCTION("""COMPUTED_VALUE"""),19.85)</f>
        <v>19.85</v>
      </c>
      <c r="F3215" s="2">
        <f>IFERROR(__xludf.DUMMYFUNCTION("""COMPUTED_VALUE"""),4816900.0)</f>
        <v>4816900</v>
      </c>
    </row>
    <row r="3216">
      <c r="A3216" s="3">
        <f>IFERROR(__xludf.DUMMYFUNCTION("""COMPUTED_VALUE"""),33864.666666666664)</f>
        <v>33864.66667</v>
      </c>
      <c r="B3216" s="2">
        <f>IFERROR(__xludf.DUMMYFUNCTION("""COMPUTED_VALUE"""),20.0)</f>
        <v>20</v>
      </c>
      <c r="C3216" s="2">
        <f>IFERROR(__xludf.DUMMYFUNCTION("""COMPUTED_VALUE"""),20.0)</f>
        <v>20</v>
      </c>
      <c r="D3216" s="2">
        <f>IFERROR(__xludf.DUMMYFUNCTION("""COMPUTED_VALUE"""),19.76)</f>
        <v>19.76</v>
      </c>
      <c r="E3216" s="2">
        <f>IFERROR(__xludf.DUMMYFUNCTION("""COMPUTED_VALUE"""),20.0)</f>
        <v>20</v>
      </c>
      <c r="F3216" s="2">
        <f>IFERROR(__xludf.DUMMYFUNCTION("""COMPUTED_VALUE"""),2389600.0)</f>
        <v>2389600</v>
      </c>
    </row>
    <row r="3217">
      <c r="A3217" s="3">
        <f>IFERROR(__xludf.DUMMYFUNCTION("""COMPUTED_VALUE"""),33865.666666666664)</f>
        <v>33865.66667</v>
      </c>
      <c r="B3217" s="2">
        <f>IFERROR(__xludf.DUMMYFUNCTION("""COMPUTED_VALUE"""),19.94)</f>
        <v>19.94</v>
      </c>
      <c r="C3217" s="2">
        <f>IFERROR(__xludf.DUMMYFUNCTION("""COMPUTED_VALUE"""),20.06)</f>
        <v>20.06</v>
      </c>
      <c r="D3217" s="2">
        <f>IFERROR(__xludf.DUMMYFUNCTION("""COMPUTED_VALUE"""),19.88)</f>
        <v>19.88</v>
      </c>
      <c r="E3217" s="2">
        <f>IFERROR(__xludf.DUMMYFUNCTION("""COMPUTED_VALUE"""),19.94)</f>
        <v>19.94</v>
      </c>
      <c r="F3217" s="2">
        <f>IFERROR(__xludf.DUMMYFUNCTION("""COMPUTED_VALUE"""),2316600.0)</f>
        <v>2316600</v>
      </c>
    </row>
    <row r="3218">
      <c r="A3218" s="3">
        <f>IFERROR(__xludf.DUMMYFUNCTION("""COMPUTED_VALUE"""),33868.666666666664)</f>
        <v>33868.66667</v>
      </c>
      <c r="B3218" s="2">
        <f>IFERROR(__xludf.DUMMYFUNCTION("""COMPUTED_VALUE"""),20.15)</f>
        <v>20.15</v>
      </c>
      <c r="C3218" s="2">
        <f>IFERROR(__xludf.DUMMYFUNCTION("""COMPUTED_VALUE"""),20.18)</f>
        <v>20.18</v>
      </c>
      <c r="D3218" s="2">
        <f>IFERROR(__xludf.DUMMYFUNCTION("""COMPUTED_VALUE"""),20.03)</f>
        <v>20.03</v>
      </c>
      <c r="E3218" s="2">
        <f>IFERROR(__xludf.DUMMYFUNCTION("""COMPUTED_VALUE"""),20.15)</f>
        <v>20.15</v>
      </c>
      <c r="F3218" s="2">
        <f>IFERROR(__xludf.DUMMYFUNCTION("""COMPUTED_VALUE"""),1256300.0)</f>
        <v>1256300</v>
      </c>
    </row>
    <row r="3219">
      <c r="A3219" s="3">
        <f>IFERROR(__xludf.DUMMYFUNCTION("""COMPUTED_VALUE"""),33869.666666666664)</f>
        <v>33869.66667</v>
      </c>
      <c r="B3219" s="2">
        <f>IFERROR(__xludf.DUMMYFUNCTION("""COMPUTED_VALUE"""),19.88)</f>
        <v>19.88</v>
      </c>
      <c r="C3219" s="2">
        <f>IFERROR(__xludf.DUMMYFUNCTION("""COMPUTED_VALUE"""),20.21)</f>
        <v>20.21</v>
      </c>
      <c r="D3219" s="2">
        <f>IFERROR(__xludf.DUMMYFUNCTION("""COMPUTED_VALUE"""),19.85)</f>
        <v>19.85</v>
      </c>
      <c r="E3219" s="2">
        <f>IFERROR(__xludf.DUMMYFUNCTION("""COMPUTED_VALUE"""),19.88)</f>
        <v>19.88</v>
      </c>
      <c r="F3219" s="2">
        <f>IFERROR(__xludf.DUMMYFUNCTION("""COMPUTED_VALUE"""),1508200.0)</f>
        <v>1508200</v>
      </c>
    </row>
    <row r="3220">
      <c r="A3220" s="3">
        <f>IFERROR(__xludf.DUMMYFUNCTION("""COMPUTED_VALUE"""),33870.666666666664)</f>
        <v>33870.66667</v>
      </c>
      <c r="B3220" s="2">
        <f>IFERROR(__xludf.DUMMYFUNCTION("""COMPUTED_VALUE"""),19.97)</f>
        <v>19.97</v>
      </c>
      <c r="C3220" s="2">
        <f>IFERROR(__xludf.DUMMYFUNCTION("""COMPUTED_VALUE"""),20.0)</f>
        <v>20</v>
      </c>
      <c r="D3220" s="2">
        <f>IFERROR(__xludf.DUMMYFUNCTION("""COMPUTED_VALUE"""),19.88)</f>
        <v>19.88</v>
      </c>
      <c r="E3220" s="2">
        <f>IFERROR(__xludf.DUMMYFUNCTION("""COMPUTED_VALUE"""),19.97)</f>
        <v>19.97</v>
      </c>
      <c r="F3220" s="2">
        <f>IFERROR(__xludf.DUMMYFUNCTION("""COMPUTED_VALUE"""),1112500.0)</f>
        <v>1112500</v>
      </c>
    </row>
    <row r="3221">
      <c r="A3221" s="3">
        <f>IFERROR(__xludf.DUMMYFUNCTION("""COMPUTED_VALUE"""),33871.666666666664)</f>
        <v>33871.66667</v>
      </c>
      <c r="B3221" s="2">
        <f>IFERROR(__xludf.DUMMYFUNCTION("""COMPUTED_VALUE"""),19.7)</f>
        <v>19.7</v>
      </c>
      <c r="C3221" s="2">
        <f>IFERROR(__xludf.DUMMYFUNCTION("""COMPUTED_VALUE"""),20.0)</f>
        <v>20</v>
      </c>
      <c r="D3221" s="2">
        <f>IFERROR(__xludf.DUMMYFUNCTION("""COMPUTED_VALUE"""),19.64)</f>
        <v>19.64</v>
      </c>
      <c r="E3221" s="2">
        <f>IFERROR(__xludf.DUMMYFUNCTION("""COMPUTED_VALUE"""),19.7)</f>
        <v>19.7</v>
      </c>
      <c r="F3221" s="2">
        <f>IFERROR(__xludf.DUMMYFUNCTION("""COMPUTED_VALUE"""),1597200.0)</f>
        <v>1597200</v>
      </c>
    </row>
    <row r="3222">
      <c r="A3222" s="3">
        <f>IFERROR(__xludf.DUMMYFUNCTION("""COMPUTED_VALUE"""),33872.666666666664)</f>
        <v>33872.66667</v>
      </c>
      <c r="B3222" s="2">
        <f>IFERROR(__xludf.DUMMYFUNCTION("""COMPUTED_VALUE"""),19.64)</f>
        <v>19.64</v>
      </c>
      <c r="C3222" s="2">
        <f>IFERROR(__xludf.DUMMYFUNCTION("""COMPUTED_VALUE"""),19.85)</f>
        <v>19.85</v>
      </c>
      <c r="D3222" s="2">
        <f>IFERROR(__xludf.DUMMYFUNCTION("""COMPUTED_VALUE"""),19.58)</f>
        <v>19.58</v>
      </c>
      <c r="E3222" s="2">
        <f>IFERROR(__xludf.DUMMYFUNCTION("""COMPUTED_VALUE"""),19.64)</f>
        <v>19.64</v>
      </c>
      <c r="F3222" s="2">
        <f>IFERROR(__xludf.DUMMYFUNCTION("""COMPUTED_VALUE"""),1644100.0)</f>
        <v>1644100</v>
      </c>
    </row>
    <row r="3223">
      <c r="A3223" s="3">
        <f>IFERROR(__xludf.DUMMYFUNCTION("""COMPUTED_VALUE"""),33875.666666666664)</f>
        <v>33875.66667</v>
      </c>
      <c r="B3223" s="2">
        <f>IFERROR(__xludf.DUMMYFUNCTION("""COMPUTED_VALUE"""),19.76)</f>
        <v>19.76</v>
      </c>
      <c r="C3223" s="2">
        <f>IFERROR(__xludf.DUMMYFUNCTION("""COMPUTED_VALUE"""),19.79)</f>
        <v>19.79</v>
      </c>
      <c r="D3223" s="2">
        <f>IFERROR(__xludf.DUMMYFUNCTION("""COMPUTED_VALUE"""),19.58)</f>
        <v>19.58</v>
      </c>
      <c r="E3223" s="2">
        <f>IFERROR(__xludf.DUMMYFUNCTION("""COMPUTED_VALUE"""),19.76)</f>
        <v>19.76</v>
      </c>
      <c r="F3223" s="2">
        <f>IFERROR(__xludf.DUMMYFUNCTION("""COMPUTED_VALUE"""),1147300.0)</f>
        <v>1147300</v>
      </c>
    </row>
    <row r="3224">
      <c r="A3224" s="3">
        <f>IFERROR(__xludf.DUMMYFUNCTION("""COMPUTED_VALUE"""),33876.666666666664)</f>
        <v>33876.66667</v>
      </c>
      <c r="B3224" s="2">
        <f>IFERROR(__xludf.DUMMYFUNCTION("""COMPUTED_VALUE"""),19.34)</f>
        <v>19.34</v>
      </c>
      <c r="C3224" s="2">
        <f>IFERROR(__xludf.DUMMYFUNCTION("""COMPUTED_VALUE"""),19.76)</f>
        <v>19.76</v>
      </c>
      <c r="D3224" s="2">
        <f>IFERROR(__xludf.DUMMYFUNCTION("""COMPUTED_VALUE"""),19.34)</f>
        <v>19.34</v>
      </c>
      <c r="E3224" s="2">
        <f>IFERROR(__xludf.DUMMYFUNCTION("""COMPUTED_VALUE"""),19.34)</f>
        <v>19.34</v>
      </c>
      <c r="F3224" s="2">
        <f>IFERROR(__xludf.DUMMYFUNCTION("""COMPUTED_VALUE"""),2140700.0)</f>
        <v>2140700</v>
      </c>
    </row>
    <row r="3225">
      <c r="A3225" s="3">
        <f>IFERROR(__xludf.DUMMYFUNCTION("""COMPUTED_VALUE"""),33877.666666666664)</f>
        <v>33877.66667</v>
      </c>
      <c r="B3225" s="2">
        <f>IFERROR(__xludf.DUMMYFUNCTION("""COMPUTED_VALUE"""),19.28)</f>
        <v>19.28</v>
      </c>
      <c r="C3225" s="2">
        <f>IFERROR(__xludf.DUMMYFUNCTION("""COMPUTED_VALUE"""),19.43)</f>
        <v>19.43</v>
      </c>
      <c r="D3225" s="2">
        <f>IFERROR(__xludf.DUMMYFUNCTION("""COMPUTED_VALUE"""),19.1)</f>
        <v>19.1</v>
      </c>
      <c r="E3225" s="2">
        <f>IFERROR(__xludf.DUMMYFUNCTION("""COMPUTED_VALUE"""),19.28)</f>
        <v>19.28</v>
      </c>
      <c r="F3225" s="2">
        <f>IFERROR(__xludf.DUMMYFUNCTION("""COMPUTED_VALUE"""),3006800.0)</f>
        <v>3006800</v>
      </c>
    </row>
    <row r="3226">
      <c r="A3226" s="3">
        <f>IFERROR(__xludf.DUMMYFUNCTION("""COMPUTED_VALUE"""),33878.666666666664)</f>
        <v>33878.66667</v>
      </c>
      <c r="B3226" s="2">
        <f>IFERROR(__xludf.DUMMYFUNCTION("""COMPUTED_VALUE"""),19.13)</f>
        <v>19.13</v>
      </c>
      <c r="C3226" s="2">
        <f>IFERROR(__xludf.DUMMYFUNCTION("""COMPUTED_VALUE"""),19.37)</f>
        <v>19.37</v>
      </c>
      <c r="D3226" s="2">
        <f>IFERROR(__xludf.DUMMYFUNCTION("""COMPUTED_VALUE"""),19.1)</f>
        <v>19.1</v>
      </c>
      <c r="E3226" s="2">
        <f>IFERROR(__xludf.DUMMYFUNCTION("""COMPUTED_VALUE"""),19.13)</f>
        <v>19.13</v>
      </c>
      <c r="F3226" s="2">
        <f>IFERROR(__xludf.DUMMYFUNCTION("""COMPUTED_VALUE"""),2137200.0)</f>
        <v>2137200</v>
      </c>
    </row>
    <row r="3227">
      <c r="A3227" s="3">
        <f>IFERROR(__xludf.DUMMYFUNCTION("""COMPUTED_VALUE"""),33879.666666666664)</f>
        <v>33879.66667</v>
      </c>
      <c r="B3227" s="2">
        <f>IFERROR(__xludf.DUMMYFUNCTION("""COMPUTED_VALUE"""),18.75)</f>
        <v>18.75</v>
      </c>
      <c r="C3227" s="2">
        <f>IFERROR(__xludf.DUMMYFUNCTION("""COMPUTED_VALUE"""),19.22)</f>
        <v>19.22</v>
      </c>
      <c r="D3227" s="2">
        <f>IFERROR(__xludf.DUMMYFUNCTION("""COMPUTED_VALUE"""),18.69)</f>
        <v>18.69</v>
      </c>
      <c r="E3227" s="2">
        <f>IFERROR(__xludf.DUMMYFUNCTION("""COMPUTED_VALUE"""),18.75)</f>
        <v>18.75</v>
      </c>
      <c r="F3227" s="2">
        <f>IFERROR(__xludf.DUMMYFUNCTION("""COMPUTED_VALUE"""),3288300.0)</f>
        <v>3288300</v>
      </c>
    </row>
    <row r="3228">
      <c r="A3228" s="3">
        <f>IFERROR(__xludf.DUMMYFUNCTION("""COMPUTED_VALUE"""),33882.666666666664)</f>
        <v>33882.66667</v>
      </c>
      <c r="B3228" s="2">
        <f>IFERROR(__xludf.DUMMYFUNCTION("""COMPUTED_VALUE"""),18.83)</f>
        <v>18.83</v>
      </c>
      <c r="C3228" s="2">
        <f>IFERROR(__xludf.DUMMYFUNCTION("""COMPUTED_VALUE"""),18.83)</f>
        <v>18.83</v>
      </c>
      <c r="D3228" s="2">
        <f>IFERROR(__xludf.DUMMYFUNCTION("""COMPUTED_VALUE"""),18.03)</f>
        <v>18.03</v>
      </c>
      <c r="E3228" s="2">
        <f>IFERROR(__xludf.DUMMYFUNCTION("""COMPUTED_VALUE"""),18.83)</f>
        <v>18.83</v>
      </c>
      <c r="F3228" s="2">
        <f>IFERROR(__xludf.DUMMYFUNCTION("""COMPUTED_VALUE"""),3851600.0)</f>
        <v>3851600</v>
      </c>
    </row>
    <row r="3229">
      <c r="A3229" s="3">
        <f>IFERROR(__xludf.DUMMYFUNCTION("""COMPUTED_VALUE"""),33883.666666666664)</f>
        <v>33883.66667</v>
      </c>
      <c r="B3229" s="2">
        <f>IFERROR(__xludf.DUMMYFUNCTION("""COMPUTED_VALUE"""),19.04)</f>
        <v>19.04</v>
      </c>
      <c r="C3229" s="2">
        <f>IFERROR(__xludf.DUMMYFUNCTION("""COMPUTED_VALUE"""),19.19)</f>
        <v>19.19</v>
      </c>
      <c r="D3229" s="2">
        <f>IFERROR(__xludf.DUMMYFUNCTION("""COMPUTED_VALUE"""),18.77)</f>
        <v>18.77</v>
      </c>
      <c r="E3229" s="2">
        <f>IFERROR(__xludf.DUMMYFUNCTION("""COMPUTED_VALUE"""),19.04)</f>
        <v>19.04</v>
      </c>
      <c r="F3229" s="2">
        <f>IFERROR(__xludf.DUMMYFUNCTION("""COMPUTED_VALUE"""),1806600.0)</f>
        <v>1806600</v>
      </c>
    </row>
    <row r="3230">
      <c r="A3230" s="3">
        <f>IFERROR(__xludf.DUMMYFUNCTION("""COMPUTED_VALUE"""),33884.666666666664)</f>
        <v>33884.66667</v>
      </c>
      <c r="B3230" s="2">
        <f>IFERROR(__xludf.DUMMYFUNCTION("""COMPUTED_VALUE"""),18.72)</f>
        <v>18.72</v>
      </c>
      <c r="C3230" s="2">
        <f>IFERROR(__xludf.DUMMYFUNCTION("""COMPUTED_VALUE"""),19.1)</f>
        <v>19.1</v>
      </c>
      <c r="D3230" s="2">
        <f>IFERROR(__xludf.DUMMYFUNCTION("""COMPUTED_VALUE"""),18.63)</f>
        <v>18.63</v>
      </c>
      <c r="E3230" s="2">
        <f>IFERROR(__xludf.DUMMYFUNCTION("""COMPUTED_VALUE"""),18.72)</f>
        <v>18.72</v>
      </c>
      <c r="F3230" s="2">
        <f>IFERROR(__xludf.DUMMYFUNCTION("""COMPUTED_VALUE"""),1254200.0)</f>
        <v>1254200</v>
      </c>
    </row>
    <row r="3231">
      <c r="A3231" s="3">
        <f>IFERROR(__xludf.DUMMYFUNCTION("""COMPUTED_VALUE"""),33885.666666666664)</f>
        <v>33885.66667</v>
      </c>
      <c r="B3231" s="2">
        <f>IFERROR(__xludf.DUMMYFUNCTION("""COMPUTED_VALUE"""),18.95)</f>
        <v>18.95</v>
      </c>
      <c r="C3231" s="2">
        <f>IFERROR(__xludf.DUMMYFUNCTION("""COMPUTED_VALUE"""),18.98)</f>
        <v>18.98</v>
      </c>
      <c r="D3231" s="2">
        <f>IFERROR(__xludf.DUMMYFUNCTION("""COMPUTED_VALUE"""),18.75)</f>
        <v>18.75</v>
      </c>
      <c r="E3231" s="2">
        <f>IFERROR(__xludf.DUMMYFUNCTION("""COMPUTED_VALUE"""),18.95)</f>
        <v>18.95</v>
      </c>
      <c r="F3231" s="2">
        <f>IFERROR(__xludf.DUMMYFUNCTION("""COMPUTED_VALUE"""),1207900.0)</f>
        <v>1207900</v>
      </c>
    </row>
    <row r="3232">
      <c r="A3232" s="3">
        <f>IFERROR(__xludf.DUMMYFUNCTION("""COMPUTED_VALUE"""),33886.666666666664)</f>
        <v>33886.66667</v>
      </c>
      <c r="B3232" s="2">
        <f>IFERROR(__xludf.DUMMYFUNCTION("""COMPUTED_VALUE"""),18.75)</f>
        <v>18.75</v>
      </c>
      <c r="C3232" s="2">
        <f>IFERROR(__xludf.DUMMYFUNCTION("""COMPUTED_VALUE"""),19.07)</f>
        <v>19.07</v>
      </c>
      <c r="D3232" s="2">
        <f>IFERROR(__xludf.DUMMYFUNCTION("""COMPUTED_VALUE"""),18.69)</f>
        <v>18.69</v>
      </c>
      <c r="E3232" s="2">
        <f>IFERROR(__xludf.DUMMYFUNCTION("""COMPUTED_VALUE"""),18.75)</f>
        <v>18.75</v>
      </c>
      <c r="F3232" s="2">
        <f>IFERROR(__xludf.DUMMYFUNCTION("""COMPUTED_VALUE"""),1354400.0)</f>
        <v>1354400</v>
      </c>
    </row>
    <row r="3233">
      <c r="A3233" s="3">
        <f>IFERROR(__xludf.DUMMYFUNCTION("""COMPUTED_VALUE"""),33889.666666666664)</f>
        <v>33889.66667</v>
      </c>
      <c r="B3233" s="2">
        <f>IFERROR(__xludf.DUMMYFUNCTION("""COMPUTED_VALUE"""),18.75)</f>
        <v>18.75</v>
      </c>
      <c r="C3233" s="2">
        <f>IFERROR(__xludf.DUMMYFUNCTION("""COMPUTED_VALUE"""),18.86)</f>
        <v>18.86</v>
      </c>
      <c r="D3233" s="2">
        <f>IFERROR(__xludf.DUMMYFUNCTION("""COMPUTED_VALUE"""),18.72)</f>
        <v>18.72</v>
      </c>
      <c r="E3233" s="2">
        <f>IFERROR(__xludf.DUMMYFUNCTION("""COMPUTED_VALUE"""),18.75)</f>
        <v>18.75</v>
      </c>
      <c r="F3233" s="2">
        <f>IFERROR(__xludf.DUMMYFUNCTION("""COMPUTED_VALUE"""),879900.0)</f>
        <v>879900</v>
      </c>
    </row>
    <row r="3234">
      <c r="A3234" s="3">
        <f>IFERROR(__xludf.DUMMYFUNCTION("""COMPUTED_VALUE"""),33890.666666666664)</f>
        <v>33890.66667</v>
      </c>
      <c r="B3234" s="2">
        <f>IFERROR(__xludf.DUMMYFUNCTION("""COMPUTED_VALUE"""),18.8)</f>
        <v>18.8</v>
      </c>
      <c r="C3234" s="2">
        <f>IFERROR(__xludf.DUMMYFUNCTION("""COMPUTED_VALUE"""),19.1)</f>
        <v>19.1</v>
      </c>
      <c r="D3234" s="2">
        <f>IFERROR(__xludf.DUMMYFUNCTION("""COMPUTED_VALUE"""),18.72)</f>
        <v>18.72</v>
      </c>
      <c r="E3234" s="2">
        <f>IFERROR(__xludf.DUMMYFUNCTION("""COMPUTED_VALUE"""),18.8)</f>
        <v>18.8</v>
      </c>
      <c r="F3234" s="2">
        <f>IFERROR(__xludf.DUMMYFUNCTION("""COMPUTED_VALUE"""),1481000.0)</f>
        <v>1481000</v>
      </c>
    </row>
    <row r="3235">
      <c r="A3235" s="3">
        <f>IFERROR(__xludf.DUMMYFUNCTION("""COMPUTED_VALUE"""),33891.666666666664)</f>
        <v>33891.66667</v>
      </c>
      <c r="B3235" s="2">
        <f>IFERROR(__xludf.DUMMYFUNCTION("""COMPUTED_VALUE"""),18.63)</f>
        <v>18.63</v>
      </c>
      <c r="C3235" s="2">
        <f>IFERROR(__xludf.DUMMYFUNCTION("""COMPUTED_VALUE"""),18.83)</f>
        <v>18.83</v>
      </c>
      <c r="D3235" s="2">
        <f>IFERROR(__xludf.DUMMYFUNCTION("""COMPUTED_VALUE"""),18.33)</f>
        <v>18.33</v>
      </c>
      <c r="E3235" s="2">
        <f>IFERROR(__xludf.DUMMYFUNCTION("""COMPUTED_VALUE"""),18.63)</f>
        <v>18.63</v>
      </c>
      <c r="F3235" s="2">
        <f>IFERROR(__xludf.DUMMYFUNCTION("""COMPUTED_VALUE"""),1949700.0)</f>
        <v>1949700</v>
      </c>
    </row>
    <row r="3236">
      <c r="A3236" s="3">
        <f>IFERROR(__xludf.DUMMYFUNCTION("""COMPUTED_VALUE"""),33892.666666666664)</f>
        <v>33892.66667</v>
      </c>
      <c r="B3236" s="2">
        <f>IFERROR(__xludf.DUMMYFUNCTION("""COMPUTED_VALUE"""),17.4)</f>
        <v>17.4</v>
      </c>
      <c r="C3236" s="2">
        <f>IFERROR(__xludf.DUMMYFUNCTION("""COMPUTED_VALUE"""),17.7)</f>
        <v>17.7</v>
      </c>
      <c r="D3236" s="2">
        <f>IFERROR(__xludf.DUMMYFUNCTION("""COMPUTED_VALUE"""),17.22)</f>
        <v>17.22</v>
      </c>
      <c r="E3236" s="2">
        <f>IFERROR(__xludf.DUMMYFUNCTION("""COMPUTED_VALUE"""),17.4)</f>
        <v>17.4</v>
      </c>
      <c r="F3236" s="2">
        <f>IFERROR(__xludf.DUMMYFUNCTION("""COMPUTED_VALUE"""),8329000.0)</f>
        <v>8329000</v>
      </c>
    </row>
    <row r="3237">
      <c r="A3237" s="3">
        <f>IFERROR(__xludf.DUMMYFUNCTION("""COMPUTED_VALUE"""),33893.666666666664)</f>
        <v>33893.66667</v>
      </c>
      <c r="B3237" s="2">
        <f>IFERROR(__xludf.DUMMYFUNCTION("""COMPUTED_VALUE"""),16.89)</f>
        <v>16.89</v>
      </c>
      <c r="C3237" s="2">
        <f>IFERROR(__xludf.DUMMYFUNCTION("""COMPUTED_VALUE"""),17.4)</f>
        <v>17.4</v>
      </c>
      <c r="D3237" s="2">
        <f>IFERROR(__xludf.DUMMYFUNCTION("""COMPUTED_VALUE"""),16.45)</f>
        <v>16.45</v>
      </c>
      <c r="E3237" s="2">
        <f>IFERROR(__xludf.DUMMYFUNCTION("""COMPUTED_VALUE"""),16.89)</f>
        <v>16.89</v>
      </c>
      <c r="F3237" s="2">
        <f>IFERROR(__xludf.DUMMYFUNCTION("""COMPUTED_VALUE"""),7653500.0)</f>
        <v>7653500</v>
      </c>
    </row>
    <row r="3238">
      <c r="A3238" s="3">
        <f>IFERROR(__xludf.DUMMYFUNCTION("""COMPUTED_VALUE"""),33896.666666666664)</f>
        <v>33896.66667</v>
      </c>
      <c r="B3238" s="2">
        <f>IFERROR(__xludf.DUMMYFUNCTION("""COMPUTED_VALUE"""),16.36)</f>
        <v>16.36</v>
      </c>
      <c r="C3238" s="2">
        <f>IFERROR(__xludf.DUMMYFUNCTION("""COMPUTED_VALUE"""),16.78)</f>
        <v>16.78</v>
      </c>
      <c r="D3238" s="2">
        <f>IFERROR(__xludf.DUMMYFUNCTION("""COMPUTED_VALUE"""),16.36)</f>
        <v>16.36</v>
      </c>
      <c r="E3238" s="2">
        <f>IFERROR(__xludf.DUMMYFUNCTION("""COMPUTED_VALUE"""),16.36)</f>
        <v>16.36</v>
      </c>
      <c r="F3238" s="2">
        <f>IFERROR(__xludf.DUMMYFUNCTION("""COMPUTED_VALUE"""),3901600.0)</f>
        <v>3901600</v>
      </c>
    </row>
    <row r="3239">
      <c r="A3239" s="3">
        <f>IFERROR(__xludf.DUMMYFUNCTION("""COMPUTED_VALUE"""),33897.666666666664)</f>
        <v>33897.66667</v>
      </c>
      <c r="B3239" s="2">
        <f>IFERROR(__xludf.DUMMYFUNCTION("""COMPUTED_VALUE"""),16.33)</f>
        <v>16.33</v>
      </c>
      <c r="C3239" s="2">
        <f>IFERROR(__xludf.DUMMYFUNCTION("""COMPUTED_VALUE"""),16.63)</f>
        <v>16.63</v>
      </c>
      <c r="D3239" s="2">
        <f>IFERROR(__xludf.DUMMYFUNCTION("""COMPUTED_VALUE"""),16.18)</f>
        <v>16.18</v>
      </c>
      <c r="E3239" s="2">
        <f>IFERROR(__xludf.DUMMYFUNCTION("""COMPUTED_VALUE"""),16.33)</f>
        <v>16.33</v>
      </c>
      <c r="F3239" s="2">
        <f>IFERROR(__xludf.DUMMYFUNCTION("""COMPUTED_VALUE"""),3354900.0)</f>
        <v>3354900</v>
      </c>
    </row>
    <row r="3240">
      <c r="A3240" s="3">
        <f>IFERROR(__xludf.DUMMYFUNCTION("""COMPUTED_VALUE"""),33898.666666666664)</f>
        <v>33898.66667</v>
      </c>
      <c r="B3240" s="2">
        <f>IFERROR(__xludf.DUMMYFUNCTION("""COMPUTED_VALUE"""),16.36)</f>
        <v>16.36</v>
      </c>
      <c r="C3240" s="2">
        <f>IFERROR(__xludf.DUMMYFUNCTION("""COMPUTED_VALUE"""),16.51)</f>
        <v>16.51</v>
      </c>
      <c r="D3240" s="2">
        <f>IFERROR(__xludf.DUMMYFUNCTION("""COMPUTED_VALUE"""),16.3)</f>
        <v>16.3</v>
      </c>
      <c r="E3240" s="2">
        <f>IFERROR(__xludf.DUMMYFUNCTION("""COMPUTED_VALUE"""),16.36)</f>
        <v>16.36</v>
      </c>
      <c r="F3240" s="2">
        <f>IFERROR(__xludf.DUMMYFUNCTION("""COMPUTED_VALUE"""),2766900.0)</f>
        <v>2766900</v>
      </c>
    </row>
    <row r="3241">
      <c r="A3241" s="3">
        <f>IFERROR(__xludf.DUMMYFUNCTION("""COMPUTED_VALUE"""),33899.666666666664)</f>
        <v>33899.66667</v>
      </c>
      <c r="B3241" s="2">
        <f>IFERROR(__xludf.DUMMYFUNCTION("""COMPUTED_VALUE"""),16.36)</f>
        <v>16.36</v>
      </c>
      <c r="C3241" s="2">
        <f>IFERROR(__xludf.DUMMYFUNCTION("""COMPUTED_VALUE"""),16.48)</f>
        <v>16.48</v>
      </c>
      <c r="D3241" s="2">
        <f>IFERROR(__xludf.DUMMYFUNCTION("""COMPUTED_VALUE"""),16.24)</f>
        <v>16.24</v>
      </c>
      <c r="E3241" s="2">
        <f>IFERROR(__xludf.DUMMYFUNCTION("""COMPUTED_VALUE"""),16.36)</f>
        <v>16.36</v>
      </c>
      <c r="F3241" s="2">
        <f>IFERROR(__xludf.DUMMYFUNCTION("""COMPUTED_VALUE"""),2433100.0)</f>
        <v>2433100</v>
      </c>
    </row>
    <row r="3242">
      <c r="A3242" s="3">
        <f>IFERROR(__xludf.DUMMYFUNCTION("""COMPUTED_VALUE"""),33900.666666666664)</f>
        <v>33900.66667</v>
      </c>
      <c r="B3242" s="2">
        <f>IFERROR(__xludf.DUMMYFUNCTION("""COMPUTED_VALUE"""),16.51)</f>
        <v>16.51</v>
      </c>
      <c r="C3242" s="2">
        <f>IFERROR(__xludf.DUMMYFUNCTION("""COMPUTED_VALUE"""),16.57)</f>
        <v>16.57</v>
      </c>
      <c r="D3242" s="2">
        <f>IFERROR(__xludf.DUMMYFUNCTION("""COMPUTED_VALUE"""),16.33)</f>
        <v>16.33</v>
      </c>
      <c r="E3242" s="2">
        <f>IFERROR(__xludf.DUMMYFUNCTION("""COMPUTED_VALUE"""),16.51)</f>
        <v>16.51</v>
      </c>
      <c r="F3242" s="2">
        <f>IFERROR(__xludf.DUMMYFUNCTION("""COMPUTED_VALUE"""),2237100.0)</f>
        <v>2237100</v>
      </c>
    </row>
    <row r="3243">
      <c r="A3243" s="3">
        <f>IFERROR(__xludf.DUMMYFUNCTION("""COMPUTED_VALUE"""),33903.666666666664)</f>
        <v>33903.66667</v>
      </c>
      <c r="B3243" s="2">
        <f>IFERROR(__xludf.DUMMYFUNCTION("""COMPUTED_VALUE"""),16.12)</f>
        <v>16.12</v>
      </c>
      <c r="C3243" s="2">
        <f>IFERROR(__xludf.DUMMYFUNCTION("""COMPUTED_VALUE"""),16.42)</f>
        <v>16.42</v>
      </c>
      <c r="D3243" s="2">
        <f>IFERROR(__xludf.DUMMYFUNCTION("""COMPUTED_VALUE"""),16.12)</f>
        <v>16.12</v>
      </c>
      <c r="E3243" s="2">
        <f>IFERROR(__xludf.DUMMYFUNCTION("""COMPUTED_VALUE"""),16.12)</f>
        <v>16.12</v>
      </c>
      <c r="F3243" s="2">
        <f>IFERROR(__xludf.DUMMYFUNCTION("""COMPUTED_VALUE"""),2525700.0)</f>
        <v>2525700</v>
      </c>
    </row>
    <row r="3244">
      <c r="A3244" s="3">
        <f>IFERROR(__xludf.DUMMYFUNCTION("""COMPUTED_VALUE"""),33904.666666666664)</f>
        <v>33904.66667</v>
      </c>
      <c r="B3244" s="2">
        <f>IFERROR(__xludf.DUMMYFUNCTION("""COMPUTED_VALUE"""),15.7)</f>
        <v>15.7</v>
      </c>
      <c r="C3244" s="2">
        <f>IFERROR(__xludf.DUMMYFUNCTION("""COMPUTED_VALUE"""),16.06)</f>
        <v>16.06</v>
      </c>
      <c r="D3244" s="2">
        <f>IFERROR(__xludf.DUMMYFUNCTION("""COMPUTED_VALUE"""),15.55)</f>
        <v>15.55</v>
      </c>
      <c r="E3244" s="2">
        <f>IFERROR(__xludf.DUMMYFUNCTION("""COMPUTED_VALUE"""),15.7)</f>
        <v>15.7</v>
      </c>
      <c r="F3244" s="2">
        <f>IFERROR(__xludf.DUMMYFUNCTION("""COMPUTED_VALUE"""),4536700.0)</f>
        <v>4536700</v>
      </c>
    </row>
    <row r="3245">
      <c r="A3245" s="3">
        <f>IFERROR(__xludf.DUMMYFUNCTION("""COMPUTED_VALUE"""),33905.666666666664)</f>
        <v>33905.66667</v>
      </c>
      <c r="B3245" s="2">
        <f>IFERROR(__xludf.DUMMYFUNCTION("""COMPUTED_VALUE"""),16.03)</f>
        <v>16.03</v>
      </c>
      <c r="C3245" s="2">
        <f>IFERROR(__xludf.DUMMYFUNCTION("""COMPUTED_VALUE"""),16.03)</f>
        <v>16.03</v>
      </c>
      <c r="D3245" s="2">
        <f>IFERROR(__xludf.DUMMYFUNCTION("""COMPUTED_VALUE"""),15.67)</f>
        <v>15.67</v>
      </c>
      <c r="E3245" s="2">
        <f>IFERROR(__xludf.DUMMYFUNCTION("""COMPUTED_VALUE"""),16.03)</f>
        <v>16.03</v>
      </c>
      <c r="F3245" s="2">
        <f>IFERROR(__xludf.DUMMYFUNCTION("""COMPUTED_VALUE"""),2846500.0)</f>
        <v>2846500</v>
      </c>
    </row>
    <row r="3246">
      <c r="A3246" s="3">
        <f>IFERROR(__xludf.DUMMYFUNCTION("""COMPUTED_VALUE"""),33906.666666666664)</f>
        <v>33906.66667</v>
      </c>
      <c r="B3246" s="2">
        <f>IFERROR(__xludf.DUMMYFUNCTION("""COMPUTED_VALUE"""),15.76)</f>
        <v>15.76</v>
      </c>
      <c r="C3246" s="2">
        <f>IFERROR(__xludf.DUMMYFUNCTION("""COMPUTED_VALUE"""),16.15)</f>
        <v>16.15</v>
      </c>
      <c r="D3246" s="2">
        <f>IFERROR(__xludf.DUMMYFUNCTION("""COMPUTED_VALUE"""),15.67)</f>
        <v>15.67</v>
      </c>
      <c r="E3246" s="2">
        <f>IFERROR(__xludf.DUMMYFUNCTION("""COMPUTED_VALUE"""),15.76)</f>
        <v>15.76</v>
      </c>
      <c r="F3246" s="2">
        <f>IFERROR(__xludf.DUMMYFUNCTION("""COMPUTED_VALUE"""),2570800.0)</f>
        <v>2570800</v>
      </c>
    </row>
    <row r="3247">
      <c r="A3247" s="3">
        <f>IFERROR(__xludf.DUMMYFUNCTION("""COMPUTED_VALUE"""),33907.666666666664)</f>
        <v>33907.66667</v>
      </c>
      <c r="B3247" s="2">
        <f>IFERROR(__xludf.DUMMYFUNCTION("""COMPUTED_VALUE"""),15.97)</f>
        <v>15.97</v>
      </c>
      <c r="C3247" s="2">
        <f>IFERROR(__xludf.DUMMYFUNCTION("""COMPUTED_VALUE"""),16.09)</f>
        <v>16.09</v>
      </c>
      <c r="D3247" s="2">
        <f>IFERROR(__xludf.DUMMYFUNCTION("""COMPUTED_VALUE"""),15.76)</f>
        <v>15.76</v>
      </c>
      <c r="E3247" s="2">
        <f>IFERROR(__xludf.DUMMYFUNCTION("""COMPUTED_VALUE"""),15.97)</f>
        <v>15.97</v>
      </c>
      <c r="F3247" s="2">
        <f>IFERROR(__xludf.DUMMYFUNCTION("""COMPUTED_VALUE"""),2294500.0)</f>
        <v>2294500</v>
      </c>
    </row>
    <row r="3248">
      <c r="A3248" s="3">
        <f>IFERROR(__xludf.DUMMYFUNCTION("""COMPUTED_VALUE"""),33910.666666666664)</f>
        <v>33910.66667</v>
      </c>
      <c r="B3248" s="2">
        <f>IFERROR(__xludf.DUMMYFUNCTION("""COMPUTED_VALUE"""),16.45)</f>
        <v>16.45</v>
      </c>
      <c r="C3248" s="2">
        <f>IFERROR(__xludf.DUMMYFUNCTION("""COMPUTED_VALUE"""),16.48)</f>
        <v>16.48</v>
      </c>
      <c r="D3248" s="2">
        <f>IFERROR(__xludf.DUMMYFUNCTION("""COMPUTED_VALUE"""),16.0)</f>
        <v>16</v>
      </c>
      <c r="E3248" s="2">
        <f>IFERROR(__xludf.DUMMYFUNCTION("""COMPUTED_VALUE"""),16.45)</f>
        <v>16.45</v>
      </c>
      <c r="F3248" s="2">
        <f>IFERROR(__xludf.DUMMYFUNCTION("""COMPUTED_VALUE"""),2322100.0)</f>
        <v>2322100</v>
      </c>
    </row>
    <row r="3249">
      <c r="A3249" s="3">
        <f>IFERROR(__xludf.DUMMYFUNCTION("""COMPUTED_VALUE"""),33911.666666666664)</f>
        <v>33911.66667</v>
      </c>
      <c r="B3249" s="2">
        <f>IFERROR(__xludf.DUMMYFUNCTION("""COMPUTED_VALUE"""),16.51)</f>
        <v>16.51</v>
      </c>
      <c r="C3249" s="2">
        <f>IFERROR(__xludf.DUMMYFUNCTION("""COMPUTED_VALUE"""),16.69)</f>
        <v>16.69</v>
      </c>
      <c r="D3249" s="2">
        <f>IFERROR(__xludf.DUMMYFUNCTION("""COMPUTED_VALUE"""),16.36)</f>
        <v>16.36</v>
      </c>
      <c r="E3249" s="2">
        <f>IFERROR(__xludf.DUMMYFUNCTION("""COMPUTED_VALUE"""),16.51)</f>
        <v>16.51</v>
      </c>
      <c r="F3249" s="2">
        <f>IFERROR(__xludf.DUMMYFUNCTION("""COMPUTED_VALUE"""),2375200.0)</f>
        <v>2375200</v>
      </c>
    </row>
    <row r="3250">
      <c r="A3250" s="3">
        <f>IFERROR(__xludf.DUMMYFUNCTION("""COMPUTED_VALUE"""),33912.666666666664)</f>
        <v>33912.66667</v>
      </c>
      <c r="B3250" s="2">
        <f>IFERROR(__xludf.DUMMYFUNCTION("""COMPUTED_VALUE"""),16.3)</f>
        <v>16.3</v>
      </c>
      <c r="C3250" s="2">
        <f>IFERROR(__xludf.DUMMYFUNCTION("""COMPUTED_VALUE"""),16.63)</f>
        <v>16.63</v>
      </c>
      <c r="D3250" s="2">
        <f>IFERROR(__xludf.DUMMYFUNCTION("""COMPUTED_VALUE"""),16.27)</f>
        <v>16.27</v>
      </c>
      <c r="E3250" s="2">
        <f>IFERROR(__xludf.DUMMYFUNCTION("""COMPUTED_VALUE"""),16.3)</f>
        <v>16.3</v>
      </c>
      <c r="F3250" s="2">
        <f>IFERROR(__xludf.DUMMYFUNCTION("""COMPUTED_VALUE"""),2079800.0)</f>
        <v>2079800</v>
      </c>
    </row>
    <row r="3251">
      <c r="A3251" s="3">
        <f>IFERROR(__xludf.DUMMYFUNCTION("""COMPUTED_VALUE"""),33913.666666666664)</f>
        <v>33913.66667</v>
      </c>
      <c r="B3251" s="2">
        <f>IFERROR(__xludf.DUMMYFUNCTION("""COMPUTED_VALUE"""),15.73)</f>
        <v>15.73</v>
      </c>
      <c r="C3251" s="2">
        <f>IFERROR(__xludf.DUMMYFUNCTION("""COMPUTED_VALUE"""),16.06)</f>
        <v>16.06</v>
      </c>
      <c r="D3251" s="2">
        <f>IFERROR(__xludf.DUMMYFUNCTION("""COMPUTED_VALUE"""),15.67)</f>
        <v>15.67</v>
      </c>
      <c r="E3251" s="2">
        <f>IFERROR(__xludf.DUMMYFUNCTION("""COMPUTED_VALUE"""),15.73)</f>
        <v>15.73</v>
      </c>
      <c r="F3251" s="2">
        <f>IFERROR(__xludf.DUMMYFUNCTION("""COMPUTED_VALUE"""),2136200.0)</f>
        <v>2136200</v>
      </c>
    </row>
    <row r="3252">
      <c r="A3252" s="3">
        <f>IFERROR(__xludf.DUMMYFUNCTION("""COMPUTED_VALUE"""),33914.666666666664)</f>
        <v>33914.66667</v>
      </c>
      <c r="B3252" s="2">
        <f>IFERROR(__xludf.DUMMYFUNCTION("""COMPUTED_VALUE"""),15.82)</f>
        <v>15.82</v>
      </c>
      <c r="C3252" s="2">
        <f>IFERROR(__xludf.DUMMYFUNCTION("""COMPUTED_VALUE"""),15.88)</f>
        <v>15.88</v>
      </c>
      <c r="D3252" s="2">
        <f>IFERROR(__xludf.DUMMYFUNCTION("""COMPUTED_VALUE"""),15.52)</f>
        <v>15.52</v>
      </c>
      <c r="E3252" s="2">
        <f>IFERROR(__xludf.DUMMYFUNCTION("""COMPUTED_VALUE"""),15.82)</f>
        <v>15.82</v>
      </c>
      <c r="F3252" s="2">
        <f>IFERROR(__xludf.DUMMYFUNCTION("""COMPUTED_VALUE"""),2642300.0)</f>
        <v>2642300</v>
      </c>
    </row>
    <row r="3253">
      <c r="A3253" s="3">
        <f>IFERROR(__xludf.DUMMYFUNCTION("""COMPUTED_VALUE"""),33917.666666666664)</f>
        <v>33917.66667</v>
      </c>
      <c r="B3253" s="2">
        <f>IFERROR(__xludf.DUMMYFUNCTION("""COMPUTED_VALUE"""),16.12)</f>
        <v>16.12</v>
      </c>
      <c r="C3253" s="2">
        <f>IFERROR(__xludf.DUMMYFUNCTION("""COMPUTED_VALUE"""),16.15)</f>
        <v>16.15</v>
      </c>
      <c r="D3253" s="2">
        <f>IFERROR(__xludf.DUMMYFUNCTION("""COMPUTED_VALUE"""),15.82)</f>
        <v>15.82</v>
      </c>
      <c r="E3253" s="2">
        <f>IFERROR(__xludf.DUMMYFUNCTION("""COMPUTED_VALUE"""),16.12)</f>
        <v>16.12</v>
      </c>
      <c r="F3253" s="2">
        <f>IFERROR(__xludf.DUMMYFUNCTION("""COMPUTED_VALUE"""),2216400.0)</f>
        <v>2216400</v>
      </c>
    </row>
    <row r="3254">
      <c r="A3254" s="3">
        <f>IFERROR(__xludf.DUMMYFUNCTION("""COMPUTED_VALUE"""),33918.666666666664)</f>
        <v>33918.66667</v>
      </c>
      <c r="B3254" s="2">
        <f>IFERROR(__xludf.DUMMYFUNCTION("""COMPUTED_VALUE"""),15.73)</f>
        <v>15.73</v>
      </c>
      <c r="C3254" s="2">
        <f>IFERROR(__xludf.DUMMYFUNCTION("""COMPUTED_VALUE"""),16.24)</f>
        <v>16.24</v>
      </c>
      <c r="D3254" s="2">
        <f>IFERROR(__xludf.DUMMYFUNCTION("""COMPUTED_VALUE"""),15.73)</f>
        <v>15.73</v>
      </c>
      <c r="E3254" s="2">
        <f>IFERROR(__xludf.DUMMYFUNCTION("""COMPUTED_VALUE"""),15.73)</f>
        <v>15.73</v>
      </c>
      <c r="F3254" s="2">
        <f>IFERROR(__xludf.DUMMYFUNCTION("""COMPUTED_VALUE"""),2187100.0)</f>
        <v>2187100</v>
      </c>
    </row>
    <row r="3255">
      <c r="A3255" s="3">
        <f>IFERROR(__xludf.DUMMYFUNCTION("""COMPUTED_VALUE"""),33919.666666666664)</f>
        <v>33919.66667</v>
      </c>
      <c r="B3255" s="2">
        <f>IFERROR(__xludf.DUMMYFUNCTION("""COMPUTED_VALUE"""),15.52)</f>
        <v>15.52</v>
      </c>
      <c r="C3255" s="2">
        <f>IFERROR(__xludf.DUMMYFUNCTION("""COMPUTED_VALUE"""),15.7)</f>
        <v>15.7</v>
      </c>
      <c r="D3255" s="2">
        <f>IFERROR(__xludf.DUMMYFUNCTION("""COMPUTED_VALUE"""),15.4)</f>
        <v>15.4</v>
      </c>
      <c r="E3255" s="2">
        <f>IFERROR(__xludf.DUMMYFUNCTION("""COMPUTED_VALUE"""),15.52)</f>
        <v>15.52</v>
      </c>
      <c r="F3255" s="2">
        <f>IFERROR(__xludf.DUMMYFUNCTION("""COMPUTED_VALUE"""),3145100.0)</f>
        <v>3145100</v>
      </c>
    </row>
    <row r="3256">
      <c r="A3256" s="3">
        <f>IFERROR(__xludf.DUMMYFUNCTION("""COMPUTED_VALUE"""),33920.666666666664)</f>
        <v>33920.66667</v>
      </c>
      <c r="B3256" s="2">
        <f>IFERROR(__xludf.DUMMYFUNCTION("""COMPUTED_VALUE"""),15.31)</f>
        <v>15.31</v>
      </c>
      <c r="C3256" s="2">
        <f>IFERROR(__xludf.DUMMYFUNCTION("""COMPUTED_VALUE"""),15.61)</f>
        <v>15.61</v>
      </c>
      <c r="D3256" s="2">
        <f>IFERROR(__xludf.DUMMYFUNCTION("""COMPUTED_VALUE"""),15.31)</f>
        <v>15.31</v>
      </c>
      <c r="E3256" s="2">
        <f>IFERROR(__xludf.DUMMYFUNCTION("""COMPUTED_VALUE"""),15.31)</f>
        <v>15.31</v>
      </c>
      <c r="F3256" s="2">
        <f>IFERROR(__xludf.DUMMYFUNCTION("""COMPUTED_VALUE"""),3133000.0)</f>
        <v>3133000</v>
      </c>
    </row>
    <row r="3257">
      <c r="A3257" s="3">
        <f>IFERROR(__xludf.DUMMYFUNCTION("""COMPUTED_VALUE"""),33921.666666666664)</f>
        <v>33921.66667</v>
      </c>
      <c r="B3257" s="2">
        <f>IFERROR(__xludf.DUMMYFUNCTION("""COMPUTED_VALUE"""),15.49)</f>
        <v>15.49</v>
      </c>
      <c r="C3257" s="2">
        <f>IFERROR(__xludf.DUMMYFUNCTION("""COMPUTED_VALUE"""),15.55)</f>
        <v>15.55</v>
      </c>
      <c r="D3257" s="2">
        <f>IFERROR(__xludf.DUMMYFUNCTION("""COMPUTED_VALUE"""),15.28)</f>
        <v>15.28</v>
      </c>
      <c r="E3257" s="2">
        <f>IFERROR(__xludf.DUMMYFUNCTION("""COMPUTED_VALUE"""),15.49)</f>
        <v>15.49</v>
      </c>
      <c r="F3257" s="2">
        <f>IFERROR(__xludf.DUMMYFUNCTION("""COMPUTED_VALUE"""),1851300.0)</f>
        <v>1851300</v>
      </c>
    </row>
    <row r="3258">
      <c r="A3258" s="3">
        <f>IFERROR(__xludf.DUMMYFUNCTION("""COMPUTED_VALUE"""),33924.666666666664)</f>
        <v>33924.66667</v>
      </c>
      <c r="B3258" s="2">
        <f>IFERROR(__xludf.DUMMYFUNCTION("""COMPUTED_VALUE"""),15.49)</f>
        <v>15.49</v>
      </c>
      <c r="C3258" s="2">
        <f>IFERROR(__xludf.DUMMYFUNCTION("""COMPUTED_VALUE"""),15.64)</f>
        <v>15.64</v>
      </c>
      <c r="D3258" s="2">
        <f>IFERROR(__xludf.DUMMYFUNCTION("""COMPUTED_VALUE"""),15.43)</f>
        <v>15.43</v>
      </c>
      <c r="E3258" s="2">
        <f>IFERROR(__xludf.DUMMYFUNCTION("""COMPUTED_VALUE"""),15.49)</f>
        <v>15.49</v>
      </c>
      <c r="F3258" s="2">
        <f>IFERROR(__xludf.DUMMYFUNCTION("""COMPUTED_VALUE"""),1765100.0)</f>
        <v>1765100</v>
      </c>
    </row>
    <row r="3259">
      <c r="A3259" s="3">
        <f>IFERROR(__xludf.DUMMYFUNCTION("""COMPUTED_VALUE"""),33925.666666666664)</f>
        <v>33925.66667</v>
      </c>
      <c r="B3259" s="2">
        <f>IFERROR(__xludf.DUMMYFUNCTION("""COMPUTED_VALUE"""),15.34)</f>
        <v>15.34</v>
      </c>
      <c r="C3259" s="2">
        <f>IFERROR(__xludf.DUMMYFUNCTION("""COMPUTED_VALUE"""),15.52)</f>
        <v>15.52</v>
      </c>
      <c r="D3259" s="2">
        <f>IFERROR(__xludf.DUMMYFUNCTION("""COMPUTED_VALUE"""),15.28)</f>
        <v>15.28</v>
      </c>
      <c r="E3259" s="2">
        <f>IFERROR(__xludf.DUMMYFUNCTION("""COMPUTED_VALUE"""),15.34)</f>
        <v>15.34</v>
      </c>
      <c r="F3259" s="2">
        <f>IFERROR(__xludf.DUMMYFUNCTION("""COMPUTED_VALUE"""),2020700.0)</f>
        <v>2020700</v>
      </c>
    </row>
    <row r="3260">
      <c r="A3260" s="3">
        <f>IFERROR(__xludf.DUMMYFUNCTION("""COMPUTED_VALUE"""),33926.666666666664)</f>
        <v>33926.66667</v>
      </c>
      <c r="B3260" s="2">
        <f>IFERROR(__xludf.DUMMYFUNCTION("""COMPUTED_VALUE"""),15.07)</f>
        <v>15.07</v>
      </c>
      <c r="C3260" s="2">
        <f>IFERROR(__xludf.DUMMYFUNCTION("""COMPUTED_VALUE"""),15.37)</f>
        <v>15.37</v>
      </c>
      <c r="D3260" s="2">
        <f>IFERROR(__xludf.DUMMYFUNCTION("""COMPUTED_VALUE"""),14.98)</f>
        <v>14.98</v>
      </c>
      <c r="E3260" s="2">
        <f>IFERROR(__xludf.DUMMYFUNCTION("""COMPUTED_VALUE"""),15.07)</f>
        <v>15.07</v>
      </c>
      <c r="F3260" s="2">
        <f>IFERROR(__xludf.DUMMYFUNCTION("""COMPUTED_VALUE"""),2707100.0)</f>
        <v>2707100</v>
      </c>
    </row>
    <row r="3261">
      <c r="A3261" s="3">
        <f>IFERROR(__xludf.DUMMYFUNCTION("""COMPUTED_VALUE"""),33927.666666666664)</f>
        <v>33927.66667</v>
      </c>
      <c r="B3261" s="2">
        <f>IFERROR(__xludf.DUMMYFUNCTION("""COMPUTED_VALUE"""),14.63)</f>
        <v>14.63</v>
      </c>
      <c r="C3261" s="2">
        <f>IFERROR(__xludf.DUMMYFUNCTION("""COMPUTED_VALUE"""),15.25)</f>
        <v>15.25</v>
      </c>
      <c r="D3261" s="2">
        <f>IFERROR(__xludf.DUMMYFUNCTION("""COMPUTED_VALUE"""),14.57)</f>
        <v>14.57</v>
      </c>
      <c r="E3261" s="2">
        <f>IFERROR(__xludf.DUMMYFUNCTION("""COMPUTED_VALUE"""),14.63)</f>
        <v>14.63</v>
      </c>
      <c r="F3261" s="2">
        <f>IFERROR(__xludf.DUMMYFUNCTION("""COMPUTED_VALUE"""),3307600.0)</f>
        <v>3307600</v>
      </c>
    </row>
    <row r="3262">
      <c r="A3262" s="3">
        <f>IFERROR(__xludf.DUMMYFUNCTION("""COMPUTED_VALUE"""),33928.666666666664)</f>
        <v>33928.66667</v>
      </c>
      <c r="B3262" s="2">
        <f>IFERROR(__xludf.DUMMYFUNCTION("""COMPUTED_VALUE"""),14.86)</f>
        <v>14.86</v>
      </c>
      <c r="C3262" s="2">
        <f>IFERROR(__xludf.DUMMYFUNCTION("""COMPUTED_VALUE"""),14.95)</f>
        <v>14.95</v>
      </c>
      <c r="D3262" s="2">
        <f>IFERROR(__xludf.DUMMYFUNCTION("""COMPUTED_VALUE"""),14.54)</f>
        <v>14.54</v>
      </c>
      <c r="E3262" s="2">
        <f>IFERROR(__xludf.DUMMYFUNCTION("""COMPUTED_VALUE"""),14.86)</f>
        <v>14.86</v>
      </c>
      <c r="F3262" s="2">
        <f>IFERROR(__xludf.DUMMYFUNCTION("""COMPUTED_VALUE"""),3715200.0)</f>
        <v>3715200</v>
      </c>
    </row>
    <row r="3263">
      <c r="A3263" s="3">
        <f>IFERROR(__xludf.DUMMYFUNCTION("""COMPUTED_VALUE"""),33931.666666666664)</f>
        <v>33931.66667</v>
      </c>
      <c r="B3263" s="2">
        <f>IFERROR(__xludf.DUMMYFUNCTION("""COMPUTED_VALUE"""),15.1)</f>
        <v>15.1</v>
      </c>
      <c r="C3263" s="2">
        <f>IFERROR(__xludf.DUMMYFUNCTION("""COMPUTED_VALUE"""),15.25)</f>
        <v>15.25</v>
      </c>
      <c r="D3263" s="2">
        <f>IFERROR(__xludf.DUMMYFUNCTION("""COMPUTED_VALUE"""),14.86)</f>
        <v>14.86</v>
      </c>
      <c r="E3263" s="2">
        <f>IFERROR(__xludf.DUMMYFUNCTION("""COMPUTED_VALUE"""),15.1)</f>
        <v>15.1</v>
      </c>
      <c r="F3263" s="2">
        <f>IFERROR(__xludf.DUMMYFUNCTION("""COMPUTED_VALUE"""),2220200.0)</f>
        <v>2220200</v>
      </c>
    </row>
    <row r="3264">
      <c r="A3264" s="3">
        <f>IFERROR(__xludf.DUMMYFUNCTION("""COMPUTED_VALUE"""),33932.666666666664)</f>
        <v>33932.66667</v>
      </c>
      <c r="B3264" s="2">
        <f>IFERROR(__xludf.DUMMYFUNCTION("""COMPUTED_VALUE"""),15.49)</f>
        <v>15.49</v>
      </c>
      <c r="C3264" s="2">
        <f>IFERROR(__xludf.DUMMYFUNCTION("""COMPUTED_VALUE"""),15.64)</f>
        <v>15.64</v>
      </c>
      <c r="D3264" s="2">
        <f>IFERROR(__xludf.DUMMYFUNCTION("""COMPUTED_VALUE"""),15.16)</f>
        <v>15.16</v>
      </c>
      <c r="E3264" s="2">
        <f>IFERROR(__xludf.DUMMYFUNCTION("""COMPUTED_VALUE"""),15.49)</f>
        <v>15.49</v>
      </c>
      <c r="F3264" s="2">
        <f>IFERROR(__xludf.DUMMYFUNCTION("""COMPUTED_VALUE"""),2847100.0)</f>
        <v>2847100</v>
      </c>
    </row>
    <row r="3265">
      <c r="A3265" s="3">
        <f>IFERROR(__xludf.DUMMYFUNCTION("""COMPUTED_VALUE"""),33933.666666666664)</f>
        <v>33933.66667</v>
      </c>
      <c r="B3265" s="2">
        <f>IFERROR(__xludf.DUMMYFUNCTION("""COMPUTED_VALUE"""),15.61)</f>
        <v>15.61</v>
      </c>
      <c r="C3265" s="2">
        <f>IFERROR(__xludf.DUMMYFUNCTION("""COMPUTED_VALUE"""),15.76)</f>
        <v>15.76</v>
      </c>
      <c r="D3265" s="2">
        <f>IFERROR(__xludf.DUMMYFUNCTION("""COMPUTED_VALUE"""),15.55)</f>
        <v>15.55</v>
      </c>
      <c r="E3265" s="2">
        <f>IFERROR(__xludf.DUMMYFUNCTION("""COMPUTED_VALUE"""),15.61)</f>
        <v>15.61</v>
      </c>
      <c r="F3265" s="2">
        <f>IFERROR(__xludf.DUMMYFUNCTION("""COMPUTED_VALUE"""),1788700.0)</f>
        <v>1788700</v>
      </c>
    </row>
    <row r="3266">
      <c r="A3266" s="3">
        <f>IFERROR(__xludf.DUMMYFUNCTION("""COMPUTED_VALUE"""),33935.666666666664)</f>
        <v>33935.66667</v>
      </c>
      <c r="B3266" s="2">
        <f>IFERROR(__xludf.DUMMYFUNCTION("""COMPUTED_VALUE"""),15.76)</f>
        <v>15.76</v>
      </c>
      <c r="C3266" s="2">
        <f>IFERROR(__xludf.DUMMYFUNCTION("""COMPUTED_VALUE"""),15.82)</f>
        <v>15.82</v>
      </c>
      <c r="D3266" s="2">
        <f>IFERROR(__xludf.DUMMYFUNCTION("""COMPUTED_VALUE"""),15.58)</f>
        <v>15.58</v>
      </c>
      <c r="E3266" s="2">
        <f>IFERROR(__xludf.DUMMYFUNCTION("""COMPUTED_VALUE"""),15.76)</f>
        <v>15.76</v>
      </c>
      <c r="F3266" s="2">
        <f>IFERROR(__xludf.DUMMYFUNCTION("""COMPUTED_VALUE"""),1229500.0)</f>
        <v>1229500</v>
      </c>
    </row>
    <row r="3267">
      <c r="A3267" s="3">
        <f>IFERROR(__xludf.DUMMYFUNCTION("""COMPUTED_VALUE"""),33938.666666666664)</f>
        <v>33938.66667</v>
      </c>
      <c r="B3267" s="2">
        <f>IFERROR(__xludf.DUMMYFUNCTION("""COMPUTED_VALUE"""),16.3)</f>
        <v>16.3</v>
      </c>
      <c r="C3267" s="2">
        <f>IFERROR(__xludf.DUMMYFUNCTION("""COMPUTED_VALUE"""),16.39)</f>
        <v>16.39</v>
      </c>
      <c r="D3267" s="2">
        <f>IFERROR(__xludf.DUMMYFUNCTION("""COMPUTED_VALUE"""),16.12)</f>
        <v>16.12</v>
      </c>
      <c r="E3267" s="2">
        <f>IFERROR(__xludf.DUMMYFUNCTION("""COMPUTED_VALUE"""),16.3)</f>
        <v>16.3</v>
      </c>
      <c r="F3267" s="2">
        <f>IFERROR(__xludf.DUMMYFUNCTION("""COMPUTED_VALUE"""),3236400.0)</f>
        <v>3236400</v>
      </c>
    </row>
    <row r="3268">
      <c r="A3268" s="3">
        <f>IFERROR(__xludf.DUMMYFUNCTION("""COMPUTED_VALUE"""),33939.666666666664)</f>
        <v>33939.66667</v>
      </c>
      <c r="B3268" s="2">
        <f>IFERROR(__xludf.DUMMYFUNCTION("""COMPUTED_VALUE"""),16.18)</f>
        <v>16.18</v>
      </c>
      <c r="C3268" s="2">
        <f>IFERROR(__xludf.DUMMYFUNCTION("""COMPUTED_VALUE"""),16.45)</f>
        <v>16.45</v>
      </c>
      <c r="D3268" s="2">
        <f>IFERROR(__xludf.DUMMYFUNCTION("""COMPUTED_VALUE"""),16.12)</f>
        <v>16.12</v>
      </c>
      <c r="E3268" s="2">
        <f>IFERROR(__xludf.DUMMYFUNCTION("""COMPUTED_VALUE"""),16.18)</f>
        <v>16.18</v>
      </c>
      <c r="F3268" s="2">
        <f>IFERROR(__xludf.DUMMYFUNCTION("""COMPUTED_VALUE"""),2089800.0)</f>
        <v>2089800</v>
      </c>
    </row>
    <row r="3269">
      <c r="A3269" s="3">
        <f>IFERROR(__xludf.DUMMYFUNCTION("""COMPUTED_VALUE"""),33940.666666666664)</f>
        <v>33940.66667</v>
      </c>
      <c r="B3269" s="2">
        <f>IFERROR(__xludf.DUMMYFUNCTION("""COMPUTED_VALUE"""),16.21)</f>
        <v>16.21</v>
      </c>
      <c r="C3269" s="2">
        <f>IFERROR(__xludf.DUMMYFUNCTION("""COMPUTED_VALUE"""),16.3)</f>
        <v>16.3</v>
      </c>
      <c r="D3269" s="2">
        <f>IFERROR(__xludf.DUMMYFUNCTION("""COMPUTED_VALUE"""),16.15)</f>
        <v>16.15</v>
      </c>
      <c r="E3269" s="2">
        <f>IFERROR(__xludf.DUMMYFUNCTION("""COMPUTED_VALUE"""),16.21)</f>
        <v>16.21</v>
      </c>
      <c r="F3269" s="2">
        <f>IFERROR(__xludf.DUMMYFUNCTION("""COMPUTED_VALUE"""),1332900.0)</f>
        <v>1332900</v>
      </c>
    </row>
    <row r="3270">
      <c r="A3270" s="3">
        <f>IFERROR(__xludf.DUMMYFUNCTION("""COMPUTED_VALUE"""),33941.666666666664)</f>
        <v>33941.66667</v>
      </c>
      <c r="B3270" s="2">
        <f>IFERROR(__xludf.DUMMYFUNCTION("""COMPUTED_VALUE"""),16.06)</f>
        <v>16.06</v>
      </c>
      <c r="C3270" s="2">
        <f>IFERROR(__xludf.DUMMYFUNCTION("""COMPUTED_VALUE"""),16.24)</f>
        <v>16.24</v>
      </c>
      <c r="D3270" s="2">
        <f>IFERROR(__xludf.DUMMYFUNCTION("""COMPUTED_VALUE"""),15.94)</f>
        <v>15.94</v>
      </c>
      <c r="E3270" s="2">
        <f>IFERROR(__xludf.DUMMYFUNCTION("""COMPUTED_VALUE"""),16.06)</f>
        <v>16.06</v>
      </c>
      <c r="F3270" s="2">
        <f>IFERROR(__xludf.DUMMYFUNCTION("""COMPUTED_VALUE"""),1446400.0)</f>
        <v>1446400</v>
      </c>
    </row>
    <row r="3271">
      <c r="A3271" s="3">
        <f>IFERROR(__xludf.DUMMYFUNCTION("""COMPUTED_VALUE"""),33942.666666666664)</f>
        <v>33942.66667</v>
      </c>
      <c r="B3271" s="2">
        <f>IFERROR(__xludf.DUMMYFUNCTION("""COMPUTED_VALUE"""),16.0)</f>
        <v>16</v>
      </c>
      <c r="C3271" s="2">
        <f>IFERROR(__xludf.DUMMYFUNCTION("""COMPUTED_VALUE"""),16.15)</f>
        <v>16.15</v>
      </c>
      <c r="D3271" s="2">
        <f>IFERROR(__xludf.DUMMYFUNCTION("""COMPUTED_VALUE"""),15.91)</f>
        <v>15.91</v>
      </c>
      <c r="E3271" s="2">
        <f>IFERROR(__xludf.DUMMYFUNCTION("""COMPUTED_VALUE"""),16.0)</f>
        <v>16</v>
      </c>
      <c r="F3271" s="2">
        <f>IFERROR(__xludf.DUMMYFUNCTION("""COMPUTED_VALUE"""),1446400.0)</f>
        <v>1446400</v>
      </c>
    </row>
    <row r="3272">
      <c r="A3272" s="3">
        <f>IFERROR(__xludf.DUMMYFUNCTION("""COMPUTED_VALUE"""),33945.666666666664)</f>
        <v>33945.66667</v>
      </c>
      <c r="B3272" s="2">
        <f>IFERROR(__xludf.DUMMYFUNCTION("""COMPUTED_VALUE"""),15.73)</f>
        <v>15.73</v>
      </c>
      <c r="C3272" s="2">
        <f>IFERROR(__xludf.DUMMYFUNCTION("""COMPUTED_VALUE"""),16.09)</f>
        <v>16.09</v>
      </c>
      <c r="D3272" s="2">
        <f>IFERROR(__xludf.DUMMYFUNCTION("""COMPUTED_VALUE"""),15.7)</f>
        <v>15.7</v>
      </c>
      <c r="E3272" s="2">
        <f>IFERROR(__xludf.DUMMYFUNCTION("""COMPUTED_VALUE"""),15.73)</f>
        <v>15.73</v>
      </c>
      <c r="F3272" s="2">
        <f>IFERROR(__xludf.DUMMYFUNCTION("""COMPUTED_VALUE"""),1668400.0)</f>
        <v>1668400</v>
      </c>
    </row>
    <row r="3273">
      <c r="A3273" s="3">
        <f>IFERROR(__xludf.DUMMYFUNCTION("""COMPUTED_VALUE"""),33946.666666666664)</f>
        <v>33946.66667</v>
      </c>
      <c r="B3273" s="2">
        <f>IFERROR(__xludf.DUMMYFUNCTION("""COMPUTED_VALUE"""),15.61)</f>
        <v>15.61</v>
      </c>
      <c r="C3273" s="2">
        <f>IFERROR(__xludf.DUMMYFUNCTION("""COMPUTED_VALUE"""),15.7)</f>
        <v>15.7</v>
      </c>
      <c r="D3273" s="2">
        <f>IFERROR(__xludf.DUMMYFUNCTION("""COMPUTED_VALUE"""),15.37)</f>
        <v>15.37</v>
      </c>
      <c r="E3273" s="2">
        <f>IFERROR(__xludf.DUMMYFUNCTION("""COMPUTED_VALUE"""),15.61)</f>
        <v>15.61</v>
      </c>
      <c r="F3273" s="2">
        <f>IFERROR(__xludf.DUMMYFUNCTION("""COMPUTED_VALUE"""),2213400.0)</f>
        <v>2213400</v>
      </c>
    </row>
    <row r="3274">
      <c r="A3274" s="3">
        <f>IFERROR(__xludf.DUMMYFUNCTION("""COMPUTED_VALUE"""),33947.666666666664)</f>
        <v>33947.66667</v>
      </c>
      <c r="B3274" s="2">
        <f>IFERROR(__xludf.DUMMYFUNCTION("""COMPUTED_VALUE"""),14.95)</f>
        <v>14.95</v>
      </c>
      <c r="C3274" s="2">
        <f>IFERROR(__xludf.DUMMYFUNCTION("""COMPUTED_VALUE"""),15.34)</f>
        <v>15.34</v>
      </c>
      <c r="D3274" s="2">
        <f>IFERROR(__xludf.DUMMYFUNCTION("""COMPUTED_VALUE"""),14.69)</f>
        <v>14.69</v>
      </c>
      <c r="E3274" s="2">
        <f>IFERROR(__xludf.DUMMYFUNCTION("""COMPUTED_VALUE"""),14.95)</f>
        <v>14.95</v>
      </c>
      <c r="F3274" s="2">
        <f>IFERROR(__xludf.DUMMYFUNCTION("""COMPUTED_VALUE"""),3604100.0)</f>
        <v>3604100</v>
      </c>
    </row>
    <row r="3275">
      <c r="A3275" s="3">
        <f>IFERROR(__xludf.DUMMYFUNCTION("""COMPUTED_VALUE"""),33948.666666666664)</f>
        <v>33948.66667</v>
      </c>
      <c r="B3275" s="2">
        <f>IFERROR(__xludf.DUMMYFUNCTION("""COMPUTED_VALUE"""),14.75)</f>
        <v>14.75</v>
      </c>
      <c r="C3275" s="2">
        <f>IFERROR(__xludf.DUMMYFUNCTION("""COMPUTED_VALUE"""),14.89)</f>
        <v>14.89</v>
      </c>
      <c r="D3275" s="2">
        <f>IFERROR(__xludf.DUMMYFUNCTION("""COMPUTED_VALUE"""),14.66)</f>
        <v>14.66</v>
      </c>
      <c r="E3275" s="2">
        <f>IFERROR(__xludf.DUMMYFUNCTION("""COMPUTED_VALUE"""),14.75)</f>
        <v>14.75</v>
      </c>
      <c r="F3275" s="2">
        <f>IFERROR(__xludf.DUMMYFUNCTION("""COMPUTED_VALUE"""),3189000.0)</f>
        <v>3189000</v>
      </c>
    </row>
    <row r="3276">
      <c r="A3276" s="3">
        <f>IFERROR(__xludf.DUMMYFUNCTION("""COMPUTED_VALUE"""),33949.666666666664)</f>
        <v>33949.66667</v>
      </c>
      <c r="B3276" s="2">
        <f>IFERROR(__xludf.DUMMYFUNCTION("""COMPUTED_VALUE"""),14.89)</f>
        <v>14.89</v>
      </c>
      <c r="C3276" s="2">
        <f>IFERROR(__xludf.DUMMYFUNCTION("""COMPUTED_VALUE"""),15.01)</f>
        <v>15.01</v>
      </c>
      <c r="D3276" s="2">
        <f>IFERROR(__xludf.DUMMYFUNCTION("""COMPUTED_VALUE"""),14.72)</f>
        <v>14.72</v>
      </c>
      <c r="E3276" s="2">
        <f>IFERROR(__xludf.DUMMYFUNCTION("""COMPUTED_VALUE"""),14.89)</f>
        <v>14.89</v>
      </c>
      <c r="F3276" s="2">
        <f>IFERROR(__xludf.DUMMYFUNCTION("""COMPUTED_VALUE"""),1946800.0)</f>
        <v>1946800</v>
      </c>
    </row>
    <row r="3277">
      <c r="A3277" s="3">
        <f>IFERROR(__xludf.DUMMYFUNCTION("""COMPUTED_VALUE"""),33952.666666666664)</f>
        <v>33952.66667</v>
      </c>
      <c r="B3277" s="2">
        <f>IFERROR(__xludf.DUMMYFUNCTION("""COMPUTED_VALUE"""),15.01)</f>
        <v>15.01</v>
      </c>
      <c r="C3277" s="2">
        <f>IFERROR(__xludf.DUMMYFUNCTION("""COMPUTED_VALUE"""),15.13)</f>
        <v>15.13</v>
      </c>
      <c r="D3277" s="2">
        <f>IFERROR(__xludf.DUMMYFUNCTION("""COMPUTED_VALUE"""),14.89)</f>
        <v>14.89</v>
      </c>
      <c r="E3277" s="2">
        <f>IFERROR(__xludf.DUMMYFUNCTION("""COMPUTED_VALUE"""),15.01)</f>
        <v>15.01</v>
      </c>
      <c r="F3277" s="2">
        <f>IFERROR(__xludf.DUMMYFUNCTION("""COMPUTED_VALUE"""),2541800.0)</f>
        <v>2541800</v>
      </c>
    </row>
    <row r="3278">
      <c r="A3278" s="3">
        <f>IFERROR(__xludf.DUMMYFUNCTION("""COMPUTED_VALUE"""),33953.666666666664)</f>
        <v>33953.66667</v>
      </c>
      <c r="B3278" s="2">
        <f>IFERROR(__xludf.DUMMYFUNCTION("""COMPUTED_VALUE"""),13.4)</f>
        <v>13.4</v>
      </c>
      <c r="C3278" s="2">
        <f>IFERROR(__xludf.DUMMYFUNCTION("""COMPUTED_VALUE"""),14.3)</f>
        <v>14.3</v>
      </c>
      <c r="D3278" s="2">
        <f>IFERROR(__xludf.DUMMYFUNCTION("""COMPUTED_VALUE"""),13.37)</f>
        <v>13.37</v>
      </c>
      <c r="E3278" s="2">
        <f>IFERROR(__xludf.DUMMYFUNCTION("""COMPUTED_VALUE"""),13.4)</f>
        <v>13.4</v>
      </c>
      <c r="F3278" s="2">
        <f>IFERROR(__xludf.DUMMYFUNCTION("""COMPUTED_VALUE"""),1.21935E7)</f>
        <v>12193500</v>
      </c>
    </row>
    <row r="3279">
      <c r="A3279" s="3">
        <f>IFERROR(__xludf.DUMMYFUNCTION("""COMPUTED_VALUE"""),33954.666666666664)</f>
        <v>33954.66667</v>
      </c>
      <c r="B3279" s="2">
        <f>IFERROR(__xludf.DUMMYFUNCTION("""COMPUTED_VALUE"""),12.39)</f>
        <v>12.39</v>
      </c>
      <c r="C3279" s="2">
        <f>IFERROR(__xludf.DUMMYFUNCTION("""COMPUTED_VALUE"""),13.13)</f>
        <v>13.13</v>
      </c>
      <c r="D3279" s="2">
        <f>IFERROR(__xludf.DUMMYFUNCTION("""COMPUTED_VALUE"""),12.12)</f>
        <v>12.12</v>
      </c>
      <c r="E3279" s="2">
        <f>IFERROR(__xludf.DUMMYFUNCTION("""COMPUTED_VALUE"""),12.39)</f>
        <v>12.39</v>
      </c>
      <c r="F3279" s="2">
        <f>IFERROR(__xludf.DUMMYFUNCTION("""COMPUTED_VALUE"""),1.34214E7)</f>
        <v>13421400</v>
      </c>
    </row>
    <row r="3280">
      <c r="A3280" s="3">
        <f>IFERROR(__xludf.DUMMYFUNCTION("""COMPUTED_VALUE"""),33955.666666666664)</f>
        <v>33955.66667</v>
      </c>
      <c r="B3280" s="2">
        <f>IFERROR(__xludf.DUMMYFUNCTION("""COMPUTED_VALUE"""),12.66)</f>
        <v>12.66</v>
      </c>
      <c r="C3280" s="2">
        <f>IFERROR(__xludf.DUMMYFUNCTION("""COMPUTED_VALUE"""),12.75)</f>
        <v>12.75</v>
      </c>
      <c r="D3280" s="2">
        <f>IFERROR(__xludf.DUMMYFUNCTION("""COMPUTED_VALUE"""),12.24)</f>
        <v>12.24</v>
      </c>
      <c r="E3280" s="2">
        <f>IFERROR(__xludf.DUMMYFUNCTION("""COMPUTED_VALUE"""),12.66)</f>
        <v>12.66</v>
      </c>
      <c r="F3280" s="2">
        <f>IFERROR(__xludf.DUMMYFUNCTION("""COMPUTED_VALUE"""),8025400.0)</f>
        <v>8025400</v>
      </c>
    </row>
    <row r="3281">
      <c r="A3281" s="3">
        <f>IFERROR(__xludf.DUMMYFUNCTION("""COMPUTED_VALUE"""),33956.666666666664)</f>
        <v>33956.66667</v>
      </c>
      <c r="B3281" s="2">
        <f>IFERROR(__xludf.DUMMYFUNCTION("""COMPUTED_VALUE"""),12.27)</f>
        <v>12.27</v>
      </c>
      <c r="C3281" s="2">
        <f>IFERROR(__xludf.DUMMYFUNCTION("""COMPUTED_VALUE"""),12.72)</f>
        <v>12.72</v>
      </c>
      <c r="D3281" s="2">
        <f>IFERROR(__xludf.DUMMYFUNCTION("""COMPUTED_VALUE"""),12.0)</f>
        <v>12</v>
      </c>
      <c r="E3281" s="2">
        <f>IFERROR(__xludf.DUMMYFUNCTION("""COMPUTED_VALUE"""),12.27)</f>
        <v>12.27</v>
      </c>
      <c r="F3281" s="2">
        <f>IFERROR(__xludf.DUMMYFUNCTION("""COMPUTED_VALUE"""),7658000.0)</f>
        <v>7658000</v>
      </c>
    </row>
    <row r="3282">
      <c r="A3282" s="3">
        <f>IFERROR(__xludf.DUMMYFUNCTION("""COMPUTED_VALUE"""),33959.666666666664)</f>
        <v>33959.66667</v>
      </c>
      <c r="B3282" s="2">
        <f>IFERROR(__xludf.DUMMYFUNCTION("""COMPUTED_VALUE"""),11.67)</f>
        <v>11.67</v>
      </c>
      <c r="C3282" s="2">
        <f>IFERROR(__xludf.DUMMYFUNCTION("""COMPUTED_VALUE"""),12.33)</f>
        <v>12.33</v>
      </c>
      <c r="D3282" s="2">
        <f>IFERROR(__xludf.DUMMYFUNCTION("""COMPUTED_VALUE"""),11.64)</f>
        <v>11.64</v>
      </c>
      <c r="E3282" s="2">
        <f>IFERROR(__xludf.DUMMYFUNCTION("""COMPUTED_VALUE"""),11.67)</f>
        <v>11.67</v>
      </c>
      <c r="F3282" s="2">
        <f>IFERROR(__xludf.DUMMYFUNCTION("""COMPUTED_VALUE"""),7384600.0)</f>
        <v>7384600</v>
      </c>
    </row>
    <row r="3283">
      <c r="A3283" s="3">
        <f>IFERROR(__xludf.DUMMYFUNCTION("""COMPUTED_VALUE"""),33960.666666666664)</f>
        <v>33960.66667</v>
      </c>
      <c r="B3283" s="2">
        <f>IFERROR(__xludf.DUMMYFUNCTION("""COMPUTED_VALUE"""),12.36)</f>
        <v>12.36</v>
      </c>
      <c r="C3283" s="2">
        <f>IFERROR(__xludf.DUMMYFUNCTION("""COMPUTED_VALUE"""),12.42)</f>
        <v>12.42</v>
      </c>
      <c r="D3283" s="2">
        <f>IFERROR(__xludf.DUMMYFUNCTION("""COMPUTED_VALUE"""),11.76)</f>
        <v>11.76</v>
      </c>
      <c r="E3283" s="2">
        <f>IFERROR(__xludf.DUMMYFUNCTION("""COMPUTED_VALUE"""),12.36)</f>
        <v>12.36</v>
      </c>
      <c r="F3283" s="2">
        <f>IFERROR(__xludf.DUMMYFUNCTION("""COMPUTED_VALUE"""),6110600.0)</f>
        <v>6110600</v>
      </c>
    </row>
    <row r="3284">
      <c r="A3284" s="3">
        <f>IFERROR(__xludf.DUMMYFUNCTION("""COMPUTED_VALUE"""),33961.666666666664)</f>
        <v>33961.66667</v>
      </c>
      <c r="B3284" s="2">
        <f>IFERROR(__xludf.DUMMYFUNCTION("""COMPUTED_VALUE"""),12.24)</f>
        <v>12.24</v>
      </c>
      <c r="C3284" s="2">
        <f>IFERROR(__xludf.DUMMYFUNCTION("""COMPUTED_VALUE"""),12.57)</f>
        <v>12.57</v>
      </c>
      <c r="D3284" s="2">
        <f>IFERROR(__xludf.DUMMYFUNCTION("""COMPUTED_VALUE"""),12.18)</f>
        <v>12.18</v>
      </c>
      <c r="E3284" s="2">
        <f>IFERROR(__xludf.DUMMYFUNCTION("""COMPUTED_VALUE"""),12.24)</f>
        <v>12.24</v>
      </c>
      <c r="F3284" s="2">
        <f>IFERROR(__xludf.DUMMYFUNCTION("""COMPUTED_VALUE"""),4186200.0)</f>
        <v>4186200</v>
      </c>
    </row>
    <row r="3285">
      <c r="A3285" s="3">
        <f>IFERROR(__xludf.DUMMYFUNCTION("""COMPUTED_VALUE"""),33962.666666666664)</f>
        <v>33962.66667</v>
      </c>
      <c r="B3285" s="2">
        <f>IFERROR(__xludf.DUMMYFUNCTION("""COMPUTED_VALUE"""),12.6)</f>
        <v>12.6</v>
      </c>
      <c r="C3285" s="2">
        <f>IFERROR(__xludf.DUMMYFUNCTION("""COMPUTED_VALUE"""),12.66)</f>
        <v>12.66</v>
      </c>
      <c r="D3285" s="2">
        <f>IFERROR(__xludf.DUMMYFUNCTION("""COMPUTED_VALUE"""),12.24)</f>
        <v>12.24</v>
      </c>
      <c r="E3285" s="2">
        <f>IFERROR(__xludf.DUMMYFUNCTION("""COMPUTED_VALUE"""),12.6)</f>
        <v>12.6</v>
      </c>
      <c r="F3285" s="2">
        <f>IFERROR(__xludf.DUMMYFUNCTION("""COMPUTED_VALUE"""),1787300.0)</f>
        <v>1787300</v>
      </c>
    </row>
    <row r="3286">
      <c r="A3286" s="3">
        <f>IFERROR(__xludf.DUMMYFUNCTION("""COMPUTED_VALUE"""),33966.666666666664)</f>
        <v>33966.66667</v>
      </c>
      <c r="B3286" s="2">
        <f>IFERROR(__xludf.DUMMYFUNCTION("""COMPUTED_VALUE"""),12.36)</f>
        <v>12.36</v>
      </c>
      <c r="C3286" s="2">
        <f>IFERROR(__xludf.DUMMYFUNCTION("""COMPUTED_VALUE"""),12.66)</f>
        <v>12.66</v>
      </c>
      <c r="D3286" s="2">
        <f>IFERROR(__xludf.DUMMYFUNCTION("""COMPUTED_VALUE"""),12.21)</f>
        <v>12.21</v>
      </c>
      <c r="E3286" s="2">
        <f>IFERROR(__xludf.DUMMYFUNCTION("""COMPUTED_VALUE"""),12.36)</f>
        <v>12.36</v>
      </c>
      <c r="F3286" s="2">
        <f>IFERROR(__xludf.DUMMYFUNCTION("""COMPUTED_VALUE"""),2770600.0)</f>
        <v>2770600</v>
      </c>
    </row>
    <row r="3287">
      <c r="A3287" s="3">
        <f>IFERROR(__xludf.DUMMYFUNCTION("""COMPUTED_VALUE"""),33967.666666666664)</f>
        <v>33967.66667</v>
      </c>
      <c r="B3287" s="2">
        <f>IFERROR(__xludf.DUMMYFUNCTION("""COMPUTED_VALUE"""),11.88)</f>
        <v>11.88</v>
      </c>
      <c r="C3287" s="2">
        <f>IFERROR(__xludf.DUMMYFUNCTION("""COMPUTED_VALUE"""),12.21)</f>
        <v>12.21</v>
      </c>
      <c r="D3287" s="2">
        <f>IFERROR(__xludf.DUMMYFUNCTION("""COMPUTED_VALUE"""),11.76)</f>
        <v>11.76</v>
      </c>
      <c r="E3287" s="2">
        <f>IFERROR(__xludf.DUMMYFUNCTION("""COMPUTED_VALUE"""),11.88)</f>
        <v>11.88</v>
      </c>
      <c r="F3287" s="2">
        <f>IFERROR(__xludf.DUMMYFUNCTION("""COMPUTED_VALUE"""),5003100.0)</f>
        <v>5003100</v>
      </c>
    </row>
    <row r="3288">
      <c r="A3288" s="3">
        <f>IFERROR(__xludf.DUMMYFUNCTION("""COMPUTED_VALUE"""),33968.666666666664)</f>
        <v>33968.66667</v>
      </c>
      <c r="B3288" s="2">
        <f>IFERROR(__xludf.DUMMYFUNCTION("""COMPUTED_VALUE"""),11.97)</f>
        <v>11.97</v>
      </c>
      <c r="C3288" s="2">
        <f>IFERROR(__xludf.DUMMYFUNCTION("""COMPUTED_VALUE"""),12.15)</f>
        <v>12.15</v>
      </c>
      <c r="D3288" s="2">
        <f>IFERROR(__xludf.DUMMYFUNCTION("""COMPUTED_VALUE"""),11.88)</f>
        <v>11.88</v>
      </c>
      <c r="E3288" s="2">
        <f>IFERROR(__xludf.DUMMYFUNCTION("""COMPUTED_VALUE"""),11.97)</f>
        <v>11.97</v>
      </c>
      <c r="F3288" s="2">
        <f>IFERROR(__xludf.DUMMYFUNCTION("""COMPUTED_VALUE"""),3982100.0)</f>
        <v>3982100</v>
      </c>
    </row>
    <row r="3289">
      <c r="A3289" s="3">
        <f>IFERROR(__xludf.DUMMYFUNCTION("""COMPUTED_VALUE"""),33969.666666666664)</f>
        <v>33969.66667</v>
      </c>
      <c r="B3289" s="2">
        <f>IFERROR(__xludf.DUMMYFUNCTION("""COMPUTED_VALUE"""),12.03)</f>
        <v>12.03</v>
      </c>
      <c r="C3289" s="2">
        <f>IFERROR(__xludf.DUMMYFUNCTION("""COMPUTED_VALUE"""),12.24)</f>
        <v>12.24</v>
      </c>
      <c r="D3289" s="2">
        <f>IFERROR(__xludf.DUMMYFUNCTION("""COMPUTED_VALUE"""),11.94)</f>
        <v>11.94</v>
      </c>
      <c r="E3289" s="2">
        <f>IFERROR(__xludf.DUMMYFUNCTION("""COMPUTED_VALUE"""),12.03)</f>
        <v>12.03</v>
      </c>
      <c r="F3289" s="2">
        <f>IFERROR(__xludf.DUMMYFUNCTION("""COMPUTED_VALUE"""),4182400.0)</f>
        <v>4182400</v>
      </c>
    </row>
    <row r="3290">
      <c r="A3290" s="3">
        <f>IFERROR(__xludf.DUMMYFUNCTION("""COMPUTED_VALUE"""),33973.666666666664)</f>
        <v>33973.66667</v>
      </c>
      <c r="B3290" s="2">
        <f>IFERROR(__xludf.DUMMYFUNCTION("""COMPUTED_VALUE"""),11.97)</f>
        <v>11.97</v>
      </c>
      <c r="C3290" s="2">
        <f>IFERROR(__xludf.DUMMYFUNCTION("""COMPUTED_VALUE"""),12.39)</f>
        <v>12.39</v>
      </c>
      <c r="D3290" s="2">
        <f>IFERROR(__xludf.DUMMYFUNCTION("""COMPUTED_VALUE"""),11.94)</f>
        <v>11.94</v>
      </c>
      <c r="E3290" s="2">
        <f>IFERROR(__xludf.DUMMYFUNCTION("""COMPUTED_VALUE"""),11.97)</f>
        <v>11.97</v>
      </c>
      <c r="F3290" s="2">
        <f>IFERROR(__xludf.DUMMYFUNCTION("""COMPUTED_VALUE"""),3555400.0)</f>
        <v>3555400</v>
      </c>
    </row>
    <row r="3291">
      <c r="A3291" s="3">
        <f>IFERROR(__xludf.DUMMYFUNCTION("""COMPUTED_VALUE"""),33974.666666666664)</f>
        <v>33974.66667</v>
      </c>
      <c r="B3291" s="2">
        <f>IFERROR(__xludf.DUMMYFUNCTION("""COMPUTED_VALUE"""),11.67)</f>
        <v>11.67</v>
      </c>
      <c r="C3291" s="2">
        <f>IFERROR(__xludf.DUMMYFUNCTION("""COMPUTED_VALUE"""),11.94)</f>
        <v>11.94</v>
      </c>
      <c r="D3291" s="2">
        <f>IFERROR(__xludf.DUMMYFUNCTION("""COMPUTED_VALUE"""),11.58)</f>
        <v>11.58</v>
      </c>
      <c r="E3291" s="2">
        <f>IFERROR(__xludf.DUMMYFUNCTION("""COMPUTED_VALUE"""),11.67)</f>
        <v>11.67</v>
      </c>
      <c r="F3291" s="2">
        <f>IFERROR(__xludf.DUMMYFUNCTION("""COMPUTED_VALUE"""),3483800.0)</f>
        <v>3483800</v>
      </c>
    </row>
    <row r="3292">
      <c r="A3292" s="3">
        <f>IFERROR(__xludf.DUMMYFUNCTION("""COMPUTED_VALUE"""),33975.666666666664)</f>
        <v>33975.66667</v>
      </c>
      <c r="B3292" s="2">
        <f>IFERROR(__xludf.DUMMYFUNCTION("""COMPUTED_VALUE"""),11.46)</f>
        <v>11.46</v>
      </c>
      <c r="C3292" s="2">
        <f>IFERROR(__xludf.DUMMYFUNCTION("""COMPUTED_VALUE"""),11.73)</f>
        <v>11.73</v>
      </c>
      <c r="D3292" s="2">
        <f>IFERROR(__xludf.DUMMYFUNCTION("""COMPUTED_VALUE"""),11.25)</f>
        <v>11.25</v>
      </c>
      <c r="E3292" s="2">
        <f>IFERROR(__xludf.DUMMYFUNCTION("""COMPUTED_VALUE"""),11.46)</f>
        <v>11.46</v>
      </c>
      <c r="F3292" s="2">
        <f>IFERROR(__xludf.DUMMYFUNCTION("""COMPUTED_VALUE"""),4838700.0)</f>
        <v>4838700</v>
      </c>
    </row>
    <row r="3293">
      <c r="A3293" s="3">
        <f>IFERROR(__xludf.DUMMYFUNCTION("""COMPUTED_VALUE"""),33976.666666666664)</f>
        <v>33976.66667</v>
      </c>
      <c r="B3293" s="2">
        <f>IFERROR(__xludf.DUMMYFUNCTION("""COMPUTED_VALUE"""),11.22)</f>
        <v>11.22</v>
      </c>
      <c r="C3293" s="2">
        <f>IFERROR(__xludf.DUMMYFUNCTION("""COMPUTED_VALUE"""),11.61)</f>
        <v>11.61</v>
      </c>
      <c r="D3293" s="2">
        <f>IFERROR(__xludf.DUMMYFUNCTION("""COMPUTED_VALUE"""),11.13)</f>
        <v>11.13</v>
      </c>
      <c r="E3293" s="2">
        <f>IFERROR(__xludf.DUMMYFUNCTION("""COMPUTED_VALUE"""),11.22)</f>
        <v>11.22</v>
      </c>
      <c r="F3293" s="2">
        <f>IFERROR(__xludf.DUMMYFUNCTION("""COMPUTED_VALUE"""),3683700.0)</f>
        <v>3683700</v>
      </c>
    </row>
    <row r="3294">
      <c r="A3294" s="3">
        <f>IFERROR(__xludf.DUMMYFUNCTION("""COMPUTED_VALUE"""),33977.666666666664)</f>
        <v>33977.66667</v>
      </c>
      <c r="B3294" s="2">
        <f>IFERROR(__xludf.DUMMYFUNCTION("""COMPUTED_VALUE"""),11.1)</f>
        <v>11.1</v>
      </c>
      <c r="C3294" s="2">
        <f>IFERROR(__xludf.DUMMYFUNCTION("""COMPUTED_VALUE"""),11.19)</f>
        <v>11.19</v>
      </c>
      <c r="D3294" s="2">
        <f>IFERROR(__xludf.DUMMYFUNCTION("""COMPUTED_VALUE"""),10.95)</f>
        <v>10.95</v>
      </c>
      <c r="E3294" s="2">
        <f>IFERROR(__xludf.DUMMYFUNCTION("""COMPUTED_VALUE"""),11.1)</f>
        <v>11.1</v>
      </c>
      <c r="F3294" s="2">
        <f>IFERROR(__xludf.DUMMYFUNCTION("""COMPUTED_VALUE"""),3947700.0)</f>
        <v>3947700</v>
      </c>
    </row>
    <row r="3295">
      <c r="A3295" s="3">
        <f>IFERROR(__xludf.DUMMYFUNCTION("""COMPUTED_VALUE"""),33980.666666666664)</f>
        <v>33980.66667</v>
      </c>
      <c r="B3295" s="2">
        <f>IFERROR(__xludf.DUMMYFUNCTION("""COMPUTED_VALUE"""),11.4)</f>
        <v>11.4</v>
      </c>
      <c r="C3295" s="2">
        <f>IFERROR(__xludf.DUMMYFUNCTION("""COMPUTED_VALUE"""),11.55)</f>
        <v>11.55</v>
      </c>
      <c r="D3295" s="2">
        <f>IFERROR(__xludf.DUMMYFUNCTION("""COMPUTED_VALUE"""),11.16)</f>
        <v>11.16</v>
      </c>
      <c r="E3295" s="2">
        <f>IFERROR(__xludf.DUMMYFUNCTION("""COMPUTED_VALUE"""),11.4)</f>
        <v>11.4</v>
      </c>
      <c r="F3295" s="2">
        <f>IFERROR(__xludf.DUMMYFUNCTION("""COMPUTED_VALUE"""),3874700.0)</f>
        <v>3874700</v>
      </c>
    </row>
    <row r="3296">
      <c r="A3296" s="3">
        <f>IFERROR(__xludf.DUMMYFUNCTION("""COMPUTED_VALUE"""),33981.666666666664)</f>
        <v>33981.66667</v>
      </c>
      <c r="B3296" s="2">
        <f>IFERROR(__xludf.DUMMYFUNCTION("""COMPUTED_VALUE"""),11.64)</f>
        <v>11.64</v>
      </c>
      <c r="C3296" s="2">
        <f>IFERROR(__xludf.DUMMYFUNCTION("""COMPUTED_VALUE"""),11.91)</f>
        <v>11.91</v>
      </c>
      <c r="D3296" s="2">
        <f>IFERROR(__xludf.DUMMYFUNCTION("""COMPUTED_VALUE"""),11.4)</f>
        <v>11.4</v>
      </c>
      <c r="E3296" s="2">
        <f>IFERROR(__xludf.DUMMYFUNCTION("""COMPUTED_VALUE"""),11.64)</f>
        <v>11.64</v>
      </c>
      <c r="F3296" s="2">
        <f>IFERROR(__xludf.DUMMYFUNCTION("""COMPUTED_VALUE"""),4866100.0)</f>
        <v>4866100</v>
      </c>
    </row>
    <row r="3297">
      <c r="A3297" s="3">
        <f>IFERROR(__xludf.DUMMYFUNCTION("""COMPUTED_VALUE"""),33982.666666666664)</f>
        <v>33982.66667</v>
      </c>
      <c r="B3297" s="2">
        <f>IFERROR(__xludf.DUMMYFUNCTION("""COMPUTED_VALUE"""),11.4)</f>
        <v>11.4</v>
      </c>
      <c r="C3297" s="2">
        <f>IFERROR(__xludf.DUMMYFUNCTION("""COMPUTED_VALUE"""),11.7)</f>
        <v>11.7</v>
      </c>
      <c r="D3297" s="2">
        <f>IFERROR(__xludf.DUMMYFUNCTION("""COMPUTED_VALUE"""),11.34)</f>
        <v>11.34</v>
      </c>
      <c r="E3297" s="2">
        <f>IFERROR(__xludf.DUMMYFUNCTION("""COMPUTED_VALUE"""),11.4)</f>
        <v>11.4</v>
      </c>
      <c r="F3297" s="2">
        <f>IFERROR(__xludf.DUMMYFUNCTION("""COMPUTED_VALUE"""),3208300.0)</f>
        <v>3208300</v>
      </c>
    </row>
    <row r="3298">
      <c r="A3298" s="3">
        <f>IFERROR(__xludf.DUMMYFUNCTION("""COMPUTED_VALUE"""),33983.666666666664)</f>
        <v>33983.66667</v>
      </c>
      <c r="B3298" s="2">
        <f>IFERROR(__xludf.DUMMYFUNCTION("""COMPUTED_VALUE"""),11.64)</f>
        <v>11.64</v>
      </c>
      <c r="C3298" s="2">
        <f>IFERROR(__xludf.DUMMYFUNCTION("""COMPUTED_VALUE"""),11.82)</f>
        <v>11.82</v>
      </c>
      <c r="D3298" s="2">
        <f>IFERROR(__xludf.DUMMYFUNCTION("""COMPUTED_VALUE"""),11.4)</f>
        <v>11.4</v>
      </c>
      <c r="E3298" s="2">
        <f>IFERROR(__xludf.DUMMYFUNCTION("""COMPUTED_VALUE"""),11.64)</f>
        <v>11.64</v>
      </c>
      <c r="F3298" s="2">
        <f>IFERROR(__xludf.DUMMYFUNCTION("""COMPUTED_VALUE"""),4286800.0)</f>
        <v>4286800</v>
      </c>
    </row>
    <row r="3299">
      <c r="A3299" s="3">
        <f>IFERROR(__xludf.DUMMYFUNCTION("""COMPUTED_VALUE"""),33984.666666666664)</f>
        <v>33984.66667</v>
      </c>
      <c r="B3299" s="2">
        <f>IFERROR(__xludf.DUMMYFUNCTION("""COMPUTED_VALUE"""),11.52)</f>
        <v>11.52</v>
      </c>
      <c r="C3299" s="2">
        <f>IFERROR(__xludf.DUMMYFUNCTION("""COMPUTED_VALUE"""),11.7)</f>
        <v>11.7</v>
      </c>
      <c r="D3299" s="2">
        <f>IFERROR(__xludf.DUMMYFUNCTION("""COMPUTED_VALUE"""),11.4)</f>
        <v>11.4</v>
      </c>
      <c r="E3299" s="2">
        <f>IFERROR(__xludf.DUMMYFUNCTION("""COMPUTED_VALUE"""),11.52)</f>
        <v>11.52</v>
      </c>
      <c r="F3299" s="2">
        <f>IFERROR(__xludf.DUMMYFUNCTION("""COMPUTED_VALUE"""),3373200.0)</f>
        <v>3373200</v>
      </c>
    </row>
    <row r="3300">
      <c r="A3300" s="3">
        <f>IFERROR(__xludf.DUMMYFUNCTION("""COMPUTED_VALUE"""),33987.666666666664)</f>
        <v>33987.66667</v>
      </c>
      <c r="B3300" s="2">
        <f>IFERROR(__xludf.DUMMYFUNCTION("""COMPUTED_VALUE"""),11.82)</f>
        <v>11.82</v>
      </c>
      <c r="C3300" s="2">
        <f>IFERROR(__xludf.DUMMYFUNCTION("""COMPUTED_VALUE"""),11.97)</f>
        <v>11.97</v>
      </c>
      <c r="D3300" s="2">
        <f>IFERROR(__xludf.DUMMYFUNCTION("""COMPUTED_VALUE"""),11.61)</f>
        <v>11.61</v>
      </c>
      <c r="E3300" s="2">
        <f>IFERROR(__xludf.DUMMYFUNCTION("""COMPUTED_VALUE"""),11.82)</f>
        <v>11.82</v>
      </c>
      <c r="F3300" s="2">
        <f>IFERROR(__xludf.DUMMYFUNCTION("""COMPUTED_VALUE"""),2975300.0)</f>
        <v>2975300</v>
      </c>
    </row>
    <row r="3301">
      <c r="A3301" s="3">
        <f>IFERROR(__xludf.DUMMYFUNCTION("""COMPUTED_VALUE"""),33988.666666666664)</f>
        <v>33988.66667</v>
      </c>
      <c r="B3301" s="2">
        <f>IFERROR(__xludf.DUMMYFUNCTION("""COMPUTED_VALUE"""),11.55)</f>
        <v>11.55</v>
      </c>
      <c r="C3301" s="2">
        <f>IFERROR(__xludf.DUMMYFUNCTION("""COMPUTED_VALUE"""),12.15)</f>
        <v>12.15</v>
      </c>
      <c r="D3301" s="2">
        <f>IFERROR(__xludf.DUMMYFUNCTION("""COMPUTED_VALUE"""),11.28)</f>
        <v>11.28</v>
      </c>
      <c r="E3301" s="2">
        <f>IFERROR(__xludf.DUMMYFUNCTION("""COMPUTED_VALUE"""),11.55)</f>
        <v>11.55</v>
      </c>
      <c r="F3301" s="2">
        <f>IFERROR(__xludf.DUMMYFUNCTION("""COMPUTED_VALUE"""),5039200.0)</f>
        <v>5039200</v>
      </c>
    </row>
    <row r="3302">
      <c r="A3302" s="3">
        <f>IFERROR(__xludf.DUMMYFUNCTION("""COMPUTED_VALUE"""),33989.666666666664)</f>
        <v>33989.66667</v>
      </c>
      <c r="B3302" s="2">
        <f>IFERROR(__xludf.DUMMYFUNCTION("""COMPUTED_VALUE"""),11.19)</f>
        <v>11.19</v>
      </c>
      <c r="C3302" s="2">
        <f>IFERROR(__xludf.DUMMYFUNCTION("""COMPUTED_VALUE"""),11.52)</f>
        <v>11.52</v>
      </c>
      <c r="D3302" s="2">
        <f>IFERROR(__xludf.DUMMYFUNCTION("""COMPUTED_VALUE"""),11.13)</f>
        <v>11.13</v>
      </c>
      <c r="E3302" s="2">
        <f>IFERROR(__xludf.DUMMYFUNCTION("""COMPUTED_VALUE"""),11.19)</f>
        <v>11.19</v>
      </c>
      <c r="F3302" s="2">
        <f>IFERROR(__xludf.DUMMYFUNCTION("""COMPUTED_VALUE"""),3358300.0)</f>
        <v>3358300</v>
      </c>
    </row>
    <row r="3303">
      <c r="A3303" s="3">
        <f>IFERROR(__xludf.DUMMYFUNCTION("""COMPUTED_VALUE"""),33990.666666666664)</f>
        <v>33990.66667</v>
      </c>
      <c r="B3303" s="2">
        <f>IFERROR(__xludf.DUMMYFUNCTION("""COMPUTED_VALUE"""),11.07)</f>
        <v>11.07</v>
      </c>
      <c r="C3303" s="2">
        <f>IFERROR(__xludf.DUMMYFUNCTION("""COMPUTED_VALUE"""),11.22)</f>
        <v>11.22</v>
      </c>
      <c r="D3303" s="2">
        <f>IFERROR(__xludf.DUMMYFUNCTION("""COMPUTED_VALUE"""),10.95)</f>
        <v>10.95</v>
      </c>
      <c r="E3303" s="2">
        <f>IFERROR(__xludf.DUMMYFUNCTION("""COMPUTED_VALUE"""),11.07)</f>
        <v>11.07</v>
      </c>
      <c r="F3303" s="2">
        <f>IFERROR(__xludf.DUMMYFUNCTION("""COMPUTED_VALUE"""),3638900.0)</f>
        <v>3638900</v>
      </c>
    </row>
    <row r="3304">
      <c r="A3304" s="3">
        <f>IFERROR(__xludf.DUMMYFUNCTION("""COMPUTED_VALUE"""),33991.666666666664)</f>
        <v>33991.66667</v>
      </c>
      <c r="B3304" s="2">
        <f>IFERROR(__xludf.DUMMYFUNCTION("""COMPUTED_VALUE"""),11.61)</f>
        <v>11.61</v>
      </c>
      <c r="C3304" s="2">
        <f>IFERROR(__xludf.DUMMYFUNCTION("""COMPUTED_VALUE"""),11.64)</f>
        <v>11.64</v>
      </c>
      <c r="D3304" s="2">
        <f>IFERROR(__xludf.DUMMYFUNCTION("""COMPUTED_VALUE"""),11.1)</f>
        <v>11.1</v>
      </c>
      <c r="E3304" s="2">
        <f>IFERROR(__xludf.DUMMYFUNCTION("""COMPUTED_VALUE"""),11.61)</f>
        <v>11.61</v>
      </c>
      <c r="F3304" s="2">
        <f>IFERROR(__xludf.DUMMYFUNCTION("""COMPUTED_VALUE"""),3420500.0)</f>
        <v>3420500</v>
      </c>
    </row>
    <row r="3305">
      <c r="A3305" s="3">
        <f>IFERROR(__xludf.DUMMYFUNCTION("""COMPUTED_VALUE"""),33994.666666666664)</f>
        <v>33994.66667</v>
      </c>
      <c r="B3305" s="2">
        <f>IFERROR(__xludf.DUMMYFUNCTION("""COMPUTED_VALUE"""),11.67)</f>
        <v>11.67</v>
      </c>
      <c r="C3305" s="2">
        <f>IFERROR(__xludf.DUMMYFUNCTION("""COMPUTED_VALUE"""),11.76)</f>
        <v>11.76</v>
      </c>
      <c r="D3305" s="2">
        <f>IFERROR(__xludf.DUMMYFUNCTION("""COMPUTED_VALUE"""),11.34)</f>
        <v>11.34</v>
      </c>
      <c r="E3305" s="2">
        <f>IFERROR(__xludf.DUMMYFUNCTION("""COMPUTED_VALUE"""),11.67)</f>
        <v>11.67</v>
      </c>
      <c r="F3305" s="2">
        <f>IFERROR(__xludf.DUMMYFUNCTION("""COMPUTED_VALUE"""),3054500.0)</f>
        <v>3054500</v>
      </c>
    </row>
    <row r="3306">
      <c r="A3306" s="3">
        <f>IFERROR(__xludf.DUMMYFUNCTION("""COMPUTED_VALUE"""),33995.666666666664)</f>
        <v>33995.66667</v>
      </c>
      <c r="B3306" s="2">
        <f>IFERROR(__xludf.DUMMYFUNCTION("""COMPUTED_VALUE"""),11.7)</f>
        <v>11.7</v>
      </c>
      <c r="C3306" s="2">
        <f>IFERROR(__xludf.DUMMYFUNCTION("""COMPUTED_VALUE"""),12.72)</f>
        <v>12.72</v>
      </c>
      <c r="D3306" s="2">
        <f>IFERROR(__xludf.DUMMYFUNCTION("""COMPUTED_VALUE"""),11.64)</f>
        <v>11.64</v>
      </c>
      <c r="E3306" s="2">
        <f>IFERROR(__xludf.DUMMYFUNCTION("""COMPUTED_VALUE"""),11.7)</f>
        <v>11.7</v>
      </c>
      <c r="F3306" s="2">
        <f>IFERROR(__xludf.DUMMYFUNCTION("""COMPUTED_VALUE"""),7804400.0)</f>
        <v>7804400</v>
      </c>
    </row>
    <row r="3307">
      <c r="A3307" s="3">
        <f>IFERROR(__xludf.DUMMYFUNCTION("""COMPUTED_VALUE"""),33996.666666666664)</f>
        <v>33996.66667</v>
      </c>
      <c r="B3307" s="2">
        <f>IFERROR(__xludf.DUMMYFUNCTION("""COMPUTED_VALUE"""),11.85)</f>
        <v>11.85</v>
      </c>
      <c r="C3307" s="2">
        <f>IFERROR(__xludf.DUMMYFUNCTION("""COMPUTED_VALUE"""),11.94)</f>
        <v>11.94</v>
      </c>
      <c r="D3307" s="2">
        <f>IFERROR(__xludf.DUMMYFUNCTION("""COMPUTED_VALUE"""),11.52)</f>
        <v>11.52</v>
      </c>
      <c r="E3307" s="2">
        <f>IFERROR(__xludf.DUMMYFUNCTION("""COMPUTED_VALUE"""),11.85)</f>
        <v>11.85</v>
      </c>
      <c r="F3307" s="2">
        <f>IFERROR(__xludf.DUMMYFUNCTION("""COMPUTED_VALUE"""),3307700.0)</f>
        <v>3307700</v>
      </c>
    </row>
    <row r="3308">
      <c r="A3308" s="3">
        <f>IFERROR(__xludf.DUMMYFUNCTION("""COMPUTED_VALUE"""),33997.666666666664)</f>
        <v>33997.66667</v>
      </c>
      <c r="B3308" s="2">
        <f>IFERROR(__xludf.DUMMYFUNCTION("""COMPUTED_VALUE"""),12.0)</f>
        <v>12</v>
      </c>
      <c r="C3308" s="2">
        <f>IFERROR(__xludf.DUMMYFUNCTION("""COMPUTED_VALUE"""),12.15)</f>
        <v>12.15</v>
      </c>
      <c r="D3308" s="2">
        <f>IFERROR(__xludf.DUMMYFUNCTION("""COMPUTED_VALUE"""),11.88)</f>
        <v>11.88</v>
      </c>
      <c r="E3308" s="2">
        <f>IFERROR(__xludf.DUMMYFUNCTION("""COMPUTED_VALUE"""),12.0)</f>
        <v>12</v>
      </c>
      <c r="F3308" s="2">
        <f>IFERROR(__xludf.DUMMYFUNCTION("""COMPUTED_VALUE"""),3095700.0)</f>
        <v>3095700</v>
      </c>
    </row>
    <row r="3309">
      <c r="A3309" s="3">
        <f>IFERROR(__xludf.DUMMYFUNCTION("""COMPUTED_VALUE"""),33998.666666666664)</f>
        <v>33998.66667</v>
      </c>
      <c r="B3309" s="2">
        <f>IFERROR(__xludf.DUMMYFUNCTION("""COMPUTED_VALUE"""),12.3)</f>
        <v>12.3</v>
      </c>
      <c r="C3309" s="2">
        <f>IFERROR(__xludf.DUMMYFUNCTION("""COMPUTED_VALUE"""),12.33)</f>
        <v>12.33</v>
      </c>
      <c r="D3309" s="2">
        <f>IFERROR(__xludf.DUMMYFUNCTION("""COMPUTED_VALUE"""),12.15)</f>
        <v>12.15</v>
      </c>
      <c r="E3309" s="2">
        <f>IFERROR(__xludf.DUMMYFUNCTION("""COMPUTED_VALUE"""),12.3)</f>
        <v>12.3</v>
      </c>
      <c r="F3309" s="2">
        <f>IFERROR(__xludf.DUMMYFUNCTION("""COMPUTED_VALUE"""),2981500.0)</f>
        <v>2981500</v>
      </c>
    </row>
    <row r="3310">
      <c r="A3310" s="3">
        <f>IFERROR(__xludf.DUMMYFUNCTION("""COMPUTED_VALUE"""),34001.666666666664)</f>
        <v>34001.66667</v>
      </c>
      <c r="B3310" s="2">
        <f>IFERROR(__xludf.DUMMYFUNCTION("""COMPUTED_VALUE"""),12.57)</f>
        <v>12.57</v>
      </c>
      <c r="C3310" s="2">
        <f>IFERROR(__xludf.DUMMYFUNCTION("""COMPUTED_VALUE"""),12.57)</f>
        <v>12.57</v>
      </c>
      <c r="D3310" s="2">
        <f>IFERROR(__xludf.DUMMYFUNCTION("""COMPUTED_VALUE"""),12.42)</f>
        <v>12.42</v>
      </c>
      <c r="E3310" s="2">
        <f>IFERROR(__xludf.DUMMYFUNCTION("""COMPUTED_VALUE"""),12.57)</f>
        <v>12.57</v>
      </c>
      <c r="F3310" s="2">
        <f>IFERROR(__xludf.DUMMYFUNCTION("""COMPUTED_VALUE"""),3039500.0)</f>
        <v>3039500</v>
      </c>
    </row>
    <row r="3311">
      <c r="A3311" s="3">
        <f>IFERROR(__xludf.DUMMYFUNCTION("""COMPUTED_VALUE"""),34002.666666666664)</f>
        <v>34002.66667</v>
      </c>
      <c r="B3311" s="2">
        <f>IFERROR(__xludf.DUMMYFUNCTION("""COMPUTED_VALUE"""),12.45)</f>
        <v>12.45</v>
      </c>
      <c r="C3311" s="2">
        <f>IFERROR(__xludf.DUMMYFUNCTION("""COMPUTED_VALUE"""),12.66)</f>
        <v>12.66</v>
      </c>
      <c r="D3311" s="2">
        <f>IFERROR(__xludf.DUMMYFUNCTION("""COMPUTED_VALUE"""),12.42)</f>
        <v>12.42</v>
      </c>
      <c r="E3311" s="2">
        <f>IFERROR(__xludf.DUMMYFUNCTION("""COMPUTED_VALUE"""),12.45)</f>
        <v>12.45</v>
      </c>
      <c r="F3311" s="2">
        <f>IFERROR(__xludf.DUMMYFUNCTION("""COMPUTED_VALUE"""),2635400.0)</f>
        <v>2635400</v>
      </c>
    </row>
    <row r="3312">
      <c r="A3312" s="3">
        <f>IFERROR(__xludf.DUMMYFUNCTION("""COMPUTED_VALUE"""),34003.666666666664)</f>
        <v>34003.66667</v>
      </c>
      <c r="B3312" s="2">
        <f>IFERROR(__xludf.DUMMYFUNCTION("""COMPUTED_VALUE"""),12.21)</f>
        <v>12.21</v>
      </c>
      <c r="C3312" s="2">
        <f>IFERROR(__xludf.DUMMYFUNCTION("""COMPUTED_VALUE"""),12.6)</f>
        <v>12.6</v>
      </c>
      <c r="D3312" s="2">
        <f>IFERROR(__xludf.DUMMYFUNCTION("""COMPUTED_VALUE"""),12.15)</f>
        <v>12.15</v>
      </c>
      <c r="E3312" s="2">
        <f>IFERROR(__xludf.DUMMYFUNCTION("""COMPUTED_VALUE"""),12.21)</f>
        <v>12.21</v>
      </c>
      <c r="F3312" s="2">
        <f>IFERROR(__xludf.DUMMYFUNCTION("""COMPUTED_VALUE"""),3197600.0)</f>
        <v>3197600</v>
      </c>
    </row>
    <row r="3313">
      <c r="A3313" s="3">
        <f>IFERROR(__xludf.DUMMYFUNCTION("""COMPUTED_VALUE"""),34004.666666666664)</f>
        <v>34004.66667</v>
      </c>
      <c r="B3313" s="2">
        <f>IFERROR(__xludf.DUMMYFUNCTION("""COMPUTED_VALUE"""),12.27)</f>
        <v>12.27</v>
      </c>
      <c r="C3313" s="2">
        <f>IFERROR(__xludf.DUMMYFUNCTION("""COMPUTED_VALUE"""),12.39)</f>
        <v>12.39</v>
      </c>
      <c r="D3313" s="2">
        <f>IFERROR(__xludf.DUMMYFUNCTION("""COMPUTED_VALUE"""),12.12)</f>
        <v>12.12</v>
      </c>
      <c r="E3313" s="2">
        <f>IFERROR(__xludf.DUMMYFUNCTION("""COMPUTED_VALUE"""),12.27)</f>
        <v>12.27</v>
      </c>
      <c r="F3313" s="2">
        <f>IFERROR(__xludf.DUMMYFUNCTION("""COMPUTED_VALUE"""),2372100.0)</f>
        <v>2372100</v>
      </c>
    </row>
    <row r="3314">
      <c r="A3314" s="3">
        <f>IFERROR(__xludf.DUMMYFUNCTION("""COMPUTED_VALUE"""),34005.666666666664)</f>
        <v>34005.66667</v>
      </c>
      <c r="B3314" s="2">
        <f>IFERROR(__xludf.DUMMYFUNCTION("""COMPUTED_VALUE"""),12.42)</f>
        <v>12.42</v>
      </c>
      <c r="C3314" s="2">
        <f>IFERROR(__xludf.DUMMYFUNCTION("""COMPUTED_VALUE"""),12.57)</f>
        <v>12.57</v>
      </c>
      <c r="D3314" s="2">
        <f>IFERROR(__xludf.DUMMYFUNCTION("""COMPUTED_VALUE"""),12.33)</f>
        <v>12.33</v>
      </c>
      <c r="E3314" s="2">
        <f>IFERROR(__xludf.DUMMYFUNCTION("""COMPUTED_VALUE"""),12.42)</f>
        <v>12.42</v>
      </c>
      <c r="F3314" s="2">
        <f>IFERROR(__xludf.DUMMYFUNCTION("""COMPUTED_VALUE"""),3146500.0)</f>
        <v>3146500</v>
      </c>
    </row>
    <row r="3315">
      <c r="A3315" s="3">
        <f>IFERROR(__xludf.DUMMYFUNCTION("""COMPUTED_VALUE"""),34008.666666666664)</f>
        <v>34008.66667</v>
      </c>
      <c r="B3315" s="2">
        <f>IFERROR(__xludf.DUMMYFUNCTION("""COMPUTED_VALUE"""),12.63)</f>
        <v>12.63</v>
      </c>
      <c r="C3315" s="2">
        <f>IFERROR(__xludf.DUMMYFUNCTION("""COMPUTED_VALUE"""),12.69)</f>
        <v>12.69</v>
      </c>
      <c r="D3315" s="2">
        <f>IFERROR(__xludf.DUMMYFUNCTION("""COMPUTED_VALUE"""),12.45)</f>
        <v>12.45</v>
      </c>
      <c r="E3315" s="2">
        <f>IFERROR(__xludf.DUMMYFUNCTION("""COMPUTED_VALUE"""),12.63)</f>
        <v>12.63</v>
      </c>
      <c r="F3315" s="2">
        <f>IFERROR(__xludf.DUMMYFUNCTION("""COMPUTED_VALUE"""),2582500.0)</f>
        <v>2582500</v>
      </c>
    </row>
    <row r="3316">
      <c r="A3316" s="3">
        <f>IFERROR(__xludf.DUMMYFUNCTION("""COMPUTED_VALUE"""),34009.666666666664)</f>
        <v>34009.66667</v>
      </c>
      <c r="B3316" s="2">
        <f>IFERROR(__xludf.DUMMYFUNCTION("""COMPUTED_VALUE"""),12.75)</f>
        <v>12.75</v>
      </c>
      <c r="C3316" s="2">
        <f>IFERROR(__xludf.DUMMYFUNCTION("""COMPUTED_VALUE"""),13.01)</f>
        <v>13.01</v>
      </c>
      <c r="D3316" s="2">
        <f>IFERROR(__xludf.DUMMYFUNCTION("""COMPUTED_VALUE"""),12.63)</f>
        <v>12.63</v>
      </c>
      <c r="E3316" s="2">
        <f>IFERROR(__xludf.DUMMYFUNCTION("""COMPUTED_VALUE"""),12.75)</f>
        <v>12.75</v>
      </c>
      <c r="F3316" s="2">
        <f>IFERROR(__xludf.DUMMYFUNCTION("""COMPUTED_VALUE"""),3580700.0)</f>
        <v>3580700</v>
      </c>
    </row>
    <row r="3317">
      <c r="A3317" s="3">
        <f>IFERROR(__xludf.DUMMYFUNCTION("""COMPUTED_VALUE"""),34010.666666666664)</f>
        <v>34010.66667</v>
      </c>
      <c r="B3317" s="2">
        <f>IFERROR(__xludf.DUMMYFUNCTION("""COMPUTED_VALUE"""),12.48)</f>
        <v>12.48</v>
      </c>
      <c r="C3317" s="2">
        <f>IFERROR(__xludf.DUMMYFUNCTION("""COMPUTED_VALUE"""),12.86)</f>
        <v>12.86</v>
      </c>
      <c r="D3317" s="2">
        <f>IFERROR(__xludf.DUMMYFUNCTION("""COMPUTED_VALUE"""),12.33)</f>
        <v>12.33</v>
      </c>
      <c r="E3317" s="2">
        <f>IFERROR(__xludf.DUMMYFUNCTION("""COMPUTED_VALUE"""),12.48)</f>
        <v>12.48</v>
      </c>
      <c r="F3317" s="2">
        <f>IFERROR(__xludf.DUMMYFUNCTION("""COMPUTED_VALUE"""),3602400.0)</f>
        <v>3602400</v>
      </c>
    </row>
    <row r="3318">
      <c r="A3318" s="3">
        <f>IFERROR(__xludf.DUMMYFUNCTION("""COMPUTED_VALUE"""),34011.666666666664)</f>
        <v>34011.66667</v>
      </c>
      <c r="B3318" s="2">
        <f>IFERROR(__xludf.DUMMYFUNCTION("""COMPUTED_VALUE"""),12.21)</f>
        <v>12.21</v>
      </c>
      <c r="C3318" s="2">
        <f>IFERROR(__xludf.DUMMYFUNCTION("""COMPUTED_VALUE"""),12.39)</f>
        <v>12.39</v>
      </c>
      <c r="D3318" s="2">
        <f>IFERROR(__xludf.DUMMYFUNCTION("""COMPUTED_VALUE"""),12.06)</f>
        <v>12.06</v>
      </c>
      <c r="E3318" s="2">
        <f>IFERROR(__xludf.DUMMYFUNCTION("""COMPUTED_VALUE"""),12.21)</f>
        <v>12.21</v>
      </c>
      <c r="F3318" s="2">
        <f>IFERROR(__xludf.DUMMYFUNCTION("""COMPUTED_VALUE"""),3093600.0)</f>
        <v>3093600</v>
      </c>
    </row>
    <row r="3319">
      <c r="A3319" s="3">
        <f>IFERROR(__xludf.DUMMYFUNCTION("""COMPUTED_VALUE"""),34012.666666666664)</f>
        <v>34012.66667</v>
      </c>
      <c r="B3319" s="2">
        <f>IFERROR(__xludf.DUMMYFUNCTION("""COMPUTED_VALUE"""),12.12)</f>
        <v>12.12</v>
      </c>
      <c r="C3319" s="2">
        <f>IFERROR(__xludf.DUMMYFUNCTION("""COMPUTED_VALUE"""),12.33)</f>
        <v>12.33</v>
      </c>
      <c r="D3319" s="2">
        <f>IFERROR(__xludf.DUMMYFUNCTION("""COMPUTED_VALUE"""),12.06)</f>
        <v>12.06</v>
      </c>
      <c r="E3319" s="2">
        <f>IFERROR(__xludf.DUMMYFUNCTION("""COMPUTED_VALUE"""),12.12)</f>
        <v>12.12</v>
      </c>
      <c r="F3319" s="2">
        <f>IFERROR(__xludf.DUMMYFUNCTION("""COMPUTED_VALUE"""),1608300.0)</f>
        <v>1608300</v>
      </c>
    </row>
    <row r="3320">
      <c r="A3320" s="3">
        <f>IFERROR(__xludf.DUMMYFUNCTION("""COMPUTED_VALUE"""),34016.666666666664)</f>
        <v>34016.66667</v>
      </c>
      <c r="B3320" s="2">
        <f>IFERROR(__xludf.DUMMYFUNCTION("""COMPUTED_VALUE"""),11.94)</f>
        <v>11.94</v>
      </c>
      <c r="C3320" s="2">
        <f>IFERROR(__xludf.DUMMYFUNCTION("""COMPUTED_VALUE"""),12.15)</f>
        <v>12.15</v>
      </c>
      <c r="D3320" s="2">
        <f>IFERROR(__xludf.DUMMYFUNCTION("""COMPUTED_VALUE"""),11.64)</f>
        <v>11.64</v>
      </c>
      <c r="E3320" s="2">
        <f>IFERROR(__xludf.DUMMYFUNCTION("""COMPUTED_VALUE"""),11.94)</f>
        <v>11.94</v>
      </c>
      <c r="F3320" s="2">
        <f>IFERROR(__xludf.DUMMYFUNCTION("""COMPUTED_VALUE"""),2984400.0)</f>
        <v>2984400</v>
      </c>
    </row>
    <row r="3321">
      <c r="A3321" s="3">
        <f>IFERROR(__xludf.DUMMYFUNCTION("""COMPUTED_VALUE"""),34017.666666666664)</f>
        <v>34017.66667</v>
      </c>
      <c r="B3321" s="2">
        <f>IFERROR(__xludf.DUMMYFUNCTION("""COMPUTED_VALUE"""),12.06)</f>
        <v>12.06</v>
      </c>
      <c r="C3321" s="2">
        <f>IFERROR(__xludf.DUMMYFUNCTION("""COMPUTED_VALUE"""),12.12)</f>
        <v>12.12</v>
      </c>
      <c r="D3321" s="2">
        <f>IFERROR(__xludf.DUMMYFUNCTION("""COMPUTED_VALUE"""),11.88)</f>
        <v>11.88</v>
      </c>
      <c r="E3321" s="2">
        <f>IFERROR(__xludf.DUMMYFUNCTION("""COMPUTED_VALUE"""),12.06)</f>
        <v>12.06</v>
      </c>
      <c r="F3321" s="2">
        <f>IFERROR(__xludf.DUMMYFUNCTION("""COMPUTED_VALUE"""),2008000.0)</f>
        <v>2008000</v>
      </c>
    </row>
    <row r="3322">
      <c r="A3322" s="3">
        <f>IFERROR(__xludf.DUMMYFUNCTION("""COMPUTED_VALUE"""),34018.666666666664)</f>
        <v>34018.66667</v>
      </c>
      <c r="B3322" s="2">
        <f>IFERROR(__xludf.DUMMYFUNCTION("""COMPUTED_VALUE"""),12.06)</f>
        <v>12.06</v>
      </c>
      <c r="C3322" s="2">
        <f>IFERROR(__xludf.DUMMYFUNCTION("""COMPUTED_VALUE"""),12.24)</f>
        <v>12.24</v>
      </c>
      <c r="D3322" s="2">
        <f>IFERROR(__xludf.DUMMYFUNCTION("""COMPUTED_VALUE"""),11.88)</f>
        <v>11.88</v>
      </c>
      <c r="E3322" s="2">
        <f>IFERROR(__xludf.DUMMYFUNCTION("""COMPUTED_VALUE"""),12.06)</f>
        <v>12.06</v>
      </c>
      <c r="F3322" s="2">
        <f>IFERROR(__xludf.DUMMYFUNCTION("""COMPUTED_VALUE"""),2083100.0)</f>
        <v>2083100</v>
      </c>
    </row>
    <row r="3323">
      <c r="A3323" s="3">
        <f>IFERROR(__xludf.DUMMYFUNCTION("""COMPUTED_VALUE"""),34019.666666666664)</f>
        <v>34019.66667</v>
      </c>
      <c r="B3323" s="2">
        <f>IFERROR(__xludf.DUMMYFUNCTION("""COMPUTED_VALUE"""),12.06)</f>
        <v>12.06</v>
      </c>
      <c r="C3323" s="2">
        <f>IFERROR(__xludf.DUMMYFUNCTION("""COMPUTED_VALUE"""),12.12)</f>
        <v>12.12</v>
      </c>
      <c r="D3323" s="2">
        <f>IFERROR(__xludf.DUMMYFUNCTION("""COMPUTED_VALUE"""),11.94)</f>
        <v>11.94</v>
      </c>
      <c r="E3323" s="2">
        <f>IFERROR(__xludf.DUMMYFUNCTION("""COMPUTED_VALUE"""),12.06)</f>
        <v>12.06</v>
      </c>
      <c r="F3323" s="2">
        <f>IFERROR(__xludf.DUMMYFUNCTION("""COMPUTED_VALUE"""),1914400.0)</f>
        <v>1914400</v>
      </c>
    </row>
    <row r="3324">
      <c r="A3324" s="3">
        <f>IFERROR(__xludf.DUMMYFUNCTION("""COMPUTED_VALUE"""),34022.666666666664)</f>
        <v>34022.66667</v>
      </c>
      <c r="B3324" s="2">
        <f>IFERROR(__xludf.DUMMYFUNCTION("""COMPUTED_VALUE"""),12.24)</f>
        <v>12.24</v>
      </c>
      <c r="C3324" s="2">
        <f>IFERROR(__xludf.DUMMYFUNCTION("""COMPUTED_VALUE"""),12.27)</f>
        <v>12.27</v>
      </c>
      <c r="D3324" s="2">
        <f>IFERROR(__xludf.DUMMYFUNCTION("""COMPUTED_VALUE"""),12.06)</f>
        <v>12.06</v>
      </c>
      <c r="E3324" s="2">
        <f>IFERROR(__xludf.DUMMYFUNCTION("""COMPUTED_VALUE"""),12.24)</f>
        <v>12.24</v>
      </c>
      <c r="F3324" s="2">
        <f>IFERROR(__xludf.DUMMYFUNCTION("""COMPUTED_VALUE"""),1886200.0)</f>
        <v>1886200</v>
      </c>
    </row>
    <row r="3325">
      <c r="A3325" s="3">
        <f>IFERROR(__xludf.DUMMYFUNCTION("""COMPUTED_VALUE"""),34023.666666666664)</f>
        <v>34023.66667</v>
      </c>
      <c r="B3325" s="2">
        <f>IFERROR(__xludf.DUMMYFUNCTION("""COMPUTED_VALUE"""),12.21)</f>
        <v>12.21</v>
      </c>
      <c r="C3325" s="2">
        <f>IFERROR(__xludf.DUMMYFUNCTION("""COMPUTED_VALUE"""),12.36)</f>
        <v>12.36</v>
      </c>
      <c r="D3325" s="2">
        <f>IFERROR(__xludf.DUMMYFUNCTION("""COMPUTED_VALUE"""),12.12)</f>
        <v>12.12</v>
      </c>
      <c r="E3325" s="2">
        <f>IFERROR(__xludf.DUMMYFUNCTION("""COMPUTED_VALUE"""),12.21)</f>
        <v>12.21</v>
      </c>
      <c r="F3325" s="2">
        <f>IFERROR(__xludf.DUMMYFUNCTION("""COMPUTED_VALUE"""),1688900.0)</f>
        <v>1688900</v>
      </c>
    </row>
    <row r="3326">
      <c r="A3326" s="3">
        <f>IFERROR(__xludf.DUMMYFUNCTION("""COMPUTED_VALUE"""),34024.666666666664)</f>
        <v>34024.66667</v>
      </c>
      <c r="B3326" s="2">
        <f>IFERROR(__xludf.DUMMYFUNCTION("""COMPUTED_VALUE"""),12.39)</f>
        <v>12.39</v>
      </c>
      <c r="C3326" s="2">
        <f>IFERROR(__xludf.DUMMYFUNCTION("""COMPUTED_VALUE"""),12.42)</f>
        <v>12.42</v>
      </c>
      <c r="D3326" s="2">
        <f>IFERROR(__xludf.DUMMYFUNCTION("""COMPUTED_VALUE"""),12.18)</f>
        <v>12.18</v>
      </c>
      <c r="E3326" s="2">
        <f>IFERROR(__xludf.DUMMYFUNCTION("""COMPUTED_VALUE"""),12.39)</f>
        <v>12.39</v>
      </c>
      <c r="F3326" s="2">
        <f>IFERROR(__xludf.DUMMYFUNCTION("""COMPUTED_VALUE"""),1861500.0)</f>
        <v>1861500</v>
      </c>
    </row>
    <row r="3327">
      <c r="A3327" s="3">
        <f>IFERROR(__xludf.DUMMYFUNCTION("""COMPUTED_VALUE"""),34025.666666666664)</f>
        <v>34025.66667</v>
      </c>
      <c r="B3327" s="2">
        <f>IFERROR(__xludf.DUMMYFUNCTION("""COMPUTED_VALUE"""),12.84)</f>
        <v>12.84</v>
      </c>
      <c r="C3327" s="2">
        <f>IFERROR(__xludf.DUMMYFUNCTION("""COMPUTED_VALUE"""),12.86)</f>
        <v>12.86</v>
      </c>
      <c r="D3327" s="2">
        <f>IFERROR(__xludf.DUMMYFUNCTION("""COMPUTED_VALUE"""),12.33)</f>
        <v>12.33</v>
      </c>
      <c r="E3327" s="2">
        <f>IFERROR(__xludf.DUMMYFUNCTION("""COMPUTED_VALUE"""),12.84)</f>
        <v>12.84</v>
      </c>
      <c r="F3327" s="2">
        <f>IFERROR(__xludf.DUMMYFUNCTION("""COMPUTED_VALUE"""),2642100.0)</f>
        <v>2642100</v>
      </c>
    </row>
    <row r="3328">
      <c r="A3328" s="3">
        <f>IFERROR(__xludf.DUMMYFUNCTION("""COMPUTED_VALUE"""),34026.666666666664)</f>
        <v>34026.66667</v>
      </c>
      <c r="B3328" s="2">
        <f>IFERROR(__xludf.DUMMYFUNCTION("""COMPUTED_VALUE"""),12.98)</f>
        <v>12.98</v>
      </c>
      <c r="C3328" s="2">
        <f>IFERROR(__xludf.DUMMYFUNCTION("""COMPUTED_VALUE"""),13.1)</f>
        <v>13.1</v>
      </c>
      <c r="D3328" s="2">
        <f>IFERROR(__xludf.DUMMYFUNCTION("""COMPUTED_VALUE"""),12.75)</f>
        <v>12.75</v>
      </c>
      <c r="E3328" s="2">
        <f>IFERROR(__xludf.DUMMYFUNCTION("""COMPUTED_VALUE"""),12.98)</f>
        <v>12.98</v>
      </c>
      <c r="F3328" s="2">
        <f>IFERROR(__xludf.DUMMYFUNCTION("""COMPUTED_VALUE"""),3030800.0)</f>
        <v>3030800</v>
      </c>
    </row>
    <row r="3329">
      <c r="A3329" s="3">
        <f>IFERROR(__xludf.DUMMYFUNCTION("""COMPUTED_VALUE"""),34029.666666666664)</f>
        <v>34029.66667</v>
      </c>
      <c r="B3329" s="2">
        <f>IFERROR(__xludf.DUMMYFUNCTION("""COMPUTED_VALUE"""),13.07)</f>
        <v>13.07</v>
      </c>
      <c r="C3329" s="2">
        <f>IFERROR(__xludf.DUMMYFUNCTION("""COMPUTED_VALUE"""),13.22)</f>
        <v>13.22</v>
      </c>
      <c r="D3329" s="2">
        <f>IFERROR(__xludf.DUMMYFUNCTION("""COMPUTED_VALUE"""),13.01)</f>
        <v>13.01</v>
      </c>
      <c r="E3329" s="2">
        <f>IFERROR(__xludf.DUMMYFUNCTION("""COMPUTED_VALUE"""),13.07)</f>
        <v>13.07</v>
      </c>
      <c r="F3329" s="2">
        <f>IFERROR(__xludf.DUMMYFUNCTION("""COMPUTED_VALUE"""),2624200.0)</f>
        <v>2624200</v>
      </c>
    </row>
    <row r="3330">
      <c r="A3330" s="3">
        <f>IFERROR(__xludf.DUMMYFUNCTION("""COMPUTED_VALUE"""),34030.666666666664)</f>
        <v>34030.66667</v>
      </c>
      <c r="B3330" s="2">
        <f>IFERROR(__xludf.DUMMYFUNCTION("""COMPUTED_VALUE"""),12.95)</f>
        <v>12.95</v>
      </c>
      <c r="C3330" s="2">
        <f>IFERROR(__xludf.DUMMYFUNCTION("""COMPUTED_VALUE"""),13.04)</f>
        <v>13.04</v>
      </c>
      <c r="D3330" s="2">
        <f>IFERROR(__xludf.DUMMYFUNCTION("""COMPUTED_VALUE"""),12.84)</f>
        <v>12.84</v>
      </c>
      <c r="E3330" s="2">
        <f>IFERROR(__xludf.DUMMYFUNCTION("""COMPUTED_VALUE"""),12.95)</f>
        <v>12.95</v>
      </c>
      <c r="F3330" s="2">
        <f>IFERROR(__xludf.DUMMYFUNCTION("""COMPUTED_VALUE"""),1785200.0)</f>
        <v>1785200</v>
      </c>
    </row>
    <row r="3331">
      <c r="A3331" s="3">
        <f>IFERROR(__xludf.DUMMYFUNCTION("""COMPUTED_VALUE"""),34031.666666666664)</f>
        <v>34031.66667</v>
      </c>
      <c r="B3331" s="2">
        <f>IFERROR(__xludf.DUMMYFUNCTION("""COMPUTED_VALUE"""),13.19)</f>
        <v>13.19</v>
      </c>
      <c r="C3331" s="2">
        <f>IFERROR(__xludf.DUMMYFUNCTION("""COMPUTED_VALUE"""),13.25)</f>
        <v>13.25</v>
      </c>
      <c r="D3331" s="2">
        <f>IFERROR(__xludf.DUMMYFUNCTION("""COMPUTED_VALUE"""),12.81)</f>
        <v>12.81</v>
      </c>
      <c r="E3331" s="2">
        <f>IFERROR(__xludf.DUMMYFUNCTION("""COMPUTED_VALUE"""),13.19)</f>
        <v>13.19</v>
      </c>
      <c r="F3331" s="2">
        <f>IFERROR(__xludf.DUMMYFUNCTION("""COMPUTED_VALUE"""),2717900.0)</f>
        <v>2717900</v>
      </c>
    </row>
    <row r="3332">
      <c r="A3332" s="3">
        <f>IFERROR(__xludf.DUMMYFUNCTION("""COMPUTED_VALUE"""),34032.666666666664)</f>
        <v>34032.66667</v>
      </c>
      <c r="B3332" s="2">
        <f>IFERROR(__xludf.DUMMYFUNCTION("""COMPUTED_VALUE"""),13.1)</f>
        <v>13.1</v>
      </c>
      <c r="C3332" s="2">
        <f>IFERROR(__xludf.DUMMYFUNCTION("""COMPUTED_VALUE"""),13.19)</f>
        <v>13.19</v>
      </c>
      <c r="D3332" s="2">
        <f>IFERROR(__xludf.DUMMYFUNCTION("""COMPUTED_VALUE"""),13.01)</f>
        <v>13.01</v>
      </c>
      <c r="E3332" s="2">
        <f>IFERROR(__xludf.DUMMYFUNCTION("""COMPUTED_VALUE"""),13.1)</f>
        <v>13.1</v>
      </c>
      <c r="F3332" s="2">
        <f>IFERROR(__xludf.DUMMYFUNCTION("""COMPUTED_VALUE"""),1720200.0)</f>
        <v>1720200</v>
      </c>
    </row>
    <row r="3333">
      <c r="A3333" s="3">
        <f>IFERROR(__xludf.DUMMYFUNCTION("""COMPUTED_VALUE"""),34033.666666666664)</f>
        <v>34033.66667</v>
      </c>
      <c r="B3333" s="2">
        <f>IFERROR(__xludf.DUMMYFUNCTION("""COMPUTED_VALUE"""),13.19)</f>
        <v>13.19</v>
      </c>
      <c r="C3333" s="2">
        <f>IFERROR(__xludf.DUMMYFUNCTION("""COMPUTED_VALUE"""),13.34)</f>
        <v>13.34</v>
      </c>
      <c r="D3333" s="2">
        <f>IFERROR(__xludf.DUMMYFUNCTION("""COMPUTED_VALUE"""),13.07)</f>
        <v>13.07</v>
      </c>
      <c r="E3333" s="2">
        <f>IFERROR(__xludf.DUMMYFUNCTION("""COMPUTED_VALUE"""),13.19)</f>
        <v>13.19</v>
      </c>
      <c r="F3333" s="2">
        <f>IFERROR(__xludf.DUMMYFUNCTION("""COMPUTED_VALUE"""),2665300.0)</f>
        <v>2665300</v>
      </c>
    </row>
    <row r="3334">
      <c r="A3334" s="3">
        <f>IFERROR(__xludf.DUMMYFUNCTION("""COMPUTED_VALUE"""),34036.666666666664)</f>
        <v>34036.66667</v>
      </c>
      <c r="B3334" s="2">
        <f>IFERROR(__xludf.DUMMYFUNCTION("""COMPUTED_VALUE"""),13.4)</f>
        <v>13.4</v>
      </c>
      <c r="C3334" s="2">
        <f>IFERROR(__xludf.DUMMYFUNCTION("""COMPUTED_VALUE"""),13.43)</f>
        <v>13.43</v>
      </c>
      <c r="D3334" s="2">
        <f>IFERROR(__xludf.DUMMYFUNCTION("""COMPUTED_VALUE"""),13.19)</f>
        <v>13.19</v>
      </c>
      <c r="E3334" s="2">
        <f>IFERROR(__xludf.DUMMYFUNCTION("""COMPUTED_VALUE"""),13.4)</f>
        <v>13.4</v>
      </c>
      <c r="F3334" s="2">
        <f>IFERROR(__xludf.DUMMYFUNCTION("""COMPUTED_VALUE"""),3356400.0)</f>
        <v>3356400</v>
      </c>
    </row>
    <row r="3335">
      <c r="A3335" s="3">
        <f>IFERROR(__xludf.DUMMYFUNCTION("""COMPUTED_VALUE"""),34037.666666666664)</f>
        <v>34037.66667</v>
      </c>
      <c r="B3335" s="2">
        <f>IFERROR(__xludf.DUMMYFUNCTION("""COMPUTED_VALUE"""),13.52)</f>
        <v>13.52</v>
      </c>
      <c r="C3335" s="2">
        <f>IFERROR(__xludf.DUMMYFUNCTION("""COMPUTED_VALUE"""),13.55)</f>
        <v>13.55</v>
      </c>
      <c r="D3335" s="2">
        <f>IFERROR(__xludf.DUMMYFUNCTION("""COMPUTED_VALUE"""),13.37)</f>
        <v>13.37</v>
      </c>
      <c r="E3335" s="2">
        <f>IFERROR(__xludf.DUMMYFUNCTION("""COMPUTED_VALUE"""),13.52)</f>
        <v>13.52</v>
      </c>
      <c r="F3335" s="2">
        <f>IFERROR(__xludf.DUMMYFUNCTION("""COMPUTED_VALUE"""),2431500.0)</f>
        <v>2431500</v>
      </c>
    </row>
    <row r="3336">
      <c r="A3336" s="3">
        <f>IFERROR(__xludf.DUMMYFUNCTION("""COMPUTED_VALUE"""),34038.666666666664)</f>
        <v>34038.66667</v>
      </c>
      <c r="B3336" s="2">
        <f>IFERROR(__xludf.DUMMYFUNCTION("""COMPUTED_VALUE"""),13.34)</f>
        <v>13.34</v>
      </c>
      <c r="C3336" s="2">
        <f>IFERROR(__xludf.DUMMYFUNCTION("""COMPUTED_VALUE"""),13.64)</f>
        <v>13.64</v>
      </c>
      <c r="D3336" s="2">
        <f>IFERROR(__xludf.DUMMYFUNCTION("""COMPUTED_VALUE"""),13.13)</f>
        <v>13.13</v>
      </c>
      <c r="E3336" s="2">
        <f>IFERROR(__xludf.DUMMYFUNCTION("""COMPUTED_VALUE"""),13.34)</f>
        <v>13.34</v>
      </c>
      <c r="F3336" s="2">
        <f>IFERROR(__xludf.DUMMYFUNCTION("""COMPUTED_VALUE"""),3626500.0)</f>
        <v>3626500</v>
      </c>
    </row>
    <row r="3337">
      <c r="A3337" s="3">
        <f>IFERROR(__xludf.DUMMYFUNCTION("""COMPUTED_VALUE"""),34039.666666666664)</f>
        <v>34039.66667</v>
      </c>
      <c r="B3337" s="2">
        <f>IFERROR(__xludf.DUMMYFUNCTION("""COMPUTED_VALUE"""),13.1)</f>
        <v>13.1</v>
      </c>
      <c r="C3337" s="2">
        <f>IFERROR(__xludf.DUMMYFUNCTION("""COMPUTED_VALUE"""),13.34)</f>
        <v>13.34</v>
      </c>
      <c r="D3337" s="2">
        <f>IFERROR(__xludf.DUMMYFUNCTION("""COMPUTED_VALUE"""),13.07)</f>
        <v>13.07</v>
      </c>
      <c r="E3337" s="2">
        <f>IFERROR(__xludf.DUMMYFUNCTION("""COMPUTED_VALUE"""),13.1)</f>
        <v>13.1</v>
      </c>
      <c r="F3337" s="2">
        <f>IFERROR(__xludf.DUMMYFUNCTION("""COMPUTED_VALUE"""),2260600.0)</f>
        <v>2260600</v>
      </c>
    </row>
    <row r="3338">
      <c r="A3338" s="3">
        <f>IFERROR(__xludf.DUMMYFUNCTION("""COMPUTED_VALUE"""),34040.666666666664)</f>
        <v>34040.66667</v>
      </c>
      <c r="B3338" s="2">
        <f>IFERROR(__xludf.DUMMYFUNCTION("""COMPUTED_VALUE"""),13.28)</f>
        <v>13.28</v>
      </c>
      <c r="C3338" s="2">
        <f>IFERROR(__xludf.DUMMYFUNCTION("""COMPUTED_VALUE"""),13.31)</f>
        <v>13.31</v>
      </c>
      <c r="D3338" s="2">
        <f>IFERROR(__xludf.DUMMYFUNCTION("""COMPUTED_VALUE"""),12.81)</f>
        <v>12.81</v>
      </c>
      <c r="E3338" s="2">
        <f>IFERROR(__xludf.DUMMYFUNCTION("""COMPUTED_VALUE"""),13.28)</f>
        <v>13.28</v>
      </c>
      <c r="F3338" s="2">
        <f>IFERROR(__xludf.DUMMYFUNCTION("""COMPUTED_VALUE"""),2427700.0)</f>
        <v>2427700</v>
      </c>
    </row>
    <row r="3339">
      <c r="A3339" s="3">
        <f>IFERROR(__xludf.DUMMYFUNCTION("""COMPUTED_VALUE"""),34043.666666666664)</f>
        <v>34043.66667</v>
      </c>
      <c r="B3339" s="2">
        <f>IFERROR(__xludf.DUMMYFUNCTION("""COMPUTED_VALUE"""),13.13)</f>
        <v>13.13</v>
      </c>
      <c r="C3339" s="2">
        <f>IFERROR(__xludf.DUMMYFUNCTION("""COMPUTED_VALUE"""),13.43)</f>
        <v>13.43</v>
      </c>
      <c r="D3339" s="2">
        <f>IFERROR(__xludf.DUMMYFUNCTION("""COMPUTED_VALUE"""),13.13)</f>
        <v>13.13</v>
      </c>
      <c r="E3339" s="2">
        <f>IFERROR(__xludf.DUMMYFUNCTION("""COMPUTED_VALUE"""),13.13)</f>
        <v>13.13</v>
      </c>
      <c r="F3339" s="2">
        <f>IFERROR(__xludf.DUMMYFUNCTION("""COMPUTED_VALUE"""),1207500.0)</f>
        <v>1207500</v>
      </c>
    </row>
    <row r="3340">
      <c r="A3340" s="3">
        <f>IFERROR(__xludf.DUMMYFUNCTION("""COMPUTED_VALUE"""),34044.666666666664)</f>
        <v>34044.66667</v>
      </c>
      <c r="B3340" s="2">
        <f>IFERROR(__xludf.DUMMYFUNCTION("""COMPUTED_VALUE"""),13.16)</f>
        <v>13.16</v>
      </c>
      <c r="C3340" s="2">
        <f>IFERROR(__xludf.DUMMYFUNCTION("""COMPUTED_VALUE"""),13.22)</f>
        <v>13.22</v>
      </c>
      <c r="D3340" s="2">
        <f>IFERROR(__xludf.DUMMYFUNCTION("""COMPUTED_VALUE"""),13.1)</f>
        <v>13.1</v>
      </c>
      <c r="E3340" s="2">
        <f>IFERROR(__xludf.DUMMYFUNCTION("""COMPUTED_VALUE"""),13.16)</f>
        <v>13.16</v>
      </c>
      <c r="F3340" s="2">
        <f>IFERROR(__xludf.DUMMYFUNCTION("""COMPUTED_VALUE"""),1144200.0)</f>
        <v>1144200</v>
      </c>
    </row>
    <row r="3341">
      <c r="A3341" s="3">
        <f>IFERROR(__xludf.DUMMYFUNCTION("""COMPUTED_VALUE"""),34045.666666666664)</f>
        <v>34045.66667</v>
      </c>
      <c r="B3341" s="2">
        <f>IFERROR(__xludf.DUMMYFUNCTION("""COMPUTED_VALUE"""),13.01)</f>
        <v>13.01</v>
      </c>
      <c r="C3341" s="2">
        <f>IFERROR(__xludf.DUMMYFUNCTION("""COMPUTED_VALUE"""),13.28)</f>
        <v>13.28</v>
      </c>
      <c r="D3341" s="2">
        <f>IFERROR(__xludf.DUMMYFUNCTION("""COMPUTED_VALUE"""),12.92)</f>
        <v>12.92</v>
      </c>
      <c r="E3341" s="2">
        <f>IFERROR(__xludf.DUMMYFUNCTION("""COMPUTED_VALUE"""),13.01)</f>
        <v>13.01</v>
      </c>
      <c r="F3341" s="2">
        <f>IFERROR(__xludf.DUMMYFUNCTION("""COMPUTED_VALUE"""),1371800.0)</f>
        <v>1371800</v>
      </c>
    </row>
    <row r="3342">
      <c r="A3342" s="3">
        <f>IFERROR(__xludf.DUMMYFUNCTION("""COMPUTED_VALUE"""),34046.666666666664)</f>
        <v>34046.66667</v>
      </c>
      <c r="B3342" s="2">
        <f>IFERROR(__xludf.DUMMYFUNCTION("""COMPUTED_VALUE"""),13.04)</f>
        <v>13.04</v>
      </c>
      <c r="C3342" s="2">
        <f>IFERROR(__xludf.DUMMYFUNCTION("""COMPUTED_VALUE"""),13.07)</f>
        <v>13.07</v>
      </c>
      <c r="D3342" s="2">
        <f>IFERROR(__xludf.DUMMYFUNCTION("""COMPUTED_VALUE"""),12.95)</f>
        <v>12.95</v>
      </c>
      <c r="E3342" s="2">
        <f>IFERROR(__xludf.DUMMYFUNCTION("""COMPUTED_VALUE"""),13.04)</f>
        <v>13.04</v>
      </c>
      <c r="F3342" s="2">
        <f>IFERROR(__xludf.DUMMYFUNCTION("""COMPUTED_VALUE"""),1395900.0)</f>
        <v>1395900</v>
      </c>
    </row>
    <row r="3343">
      <c r="A3343" s="3">
        <f>IFERROR(__xludf.DUMMYFUNCTION("""COMPUTED_VALUE"""),34047.666666666664)</f>
        <v>34047.66667</v>
      </c>
      <c r="B3343" s="2">
        <f>IFERROR(__xludf.DUMMYFUNCTION("""COMPUTED_VALUE"""),12.84)</f>
        <v>12.84</v>
      </c>
      <c r="C3343" s="2">
        <f>IFERROR(__xludf.DUMMYFUNCTION("""COMPUTED_VALUE"""),13.01)</f>
        <v>13.01</v>
      </c>
      <c r="D3343" s="2">
        <f>IFERROR(__xludf.DUMMYFUNCTION("""COMPUTED_VALUE"""),12.81)</f>
        <v>12.81</v>
      </c>
      <c r="E3343" s="2">
        <f>IFERROR(__xludf.DUMMYFUNCTION("""COMPUTED_VALUE"""),12.84)</f>
        <v>12.84</v>
      </c>
      <c r="F3343" s="2">
        <f>IFERROR(__xludf.DUMMYFUNCTION("""COMPUTED_VALUE"""),2232300.0)</f>
        <v>2232300</v>
      </c>
    </row>
    <row r="3344">
      <c r="A3344" s="3">
        <f>IFERROR(__xludf.DUMMYFUNCTION("""COMPUTED_VALUE"""),34050.666666666664)</f>
        <v>34050.66667</v>
      </c>
      <c r="B3344" s="2">
        <f>IFERROR(__xludf.DUMMYFUNCTION("""COMPUTED_VALUE"""),12.81)</f>
        <v>12.81</v>
      </c>
      <c r="C3344" s="2">
        <f>IFERROR(__xludf.DUMMYFUNCTION("""COMPUTED_VALUE"""),12.84)</f>
        <v>12.84</v>
      </c>
      <c r="D3344" s="2">
        <f>IFERROR(__xludf.DUMMYFUNCTION("""COMPUTED_VALUE"""),12.6)</f>
        <v>12.6</v>
      </c>
      <c r="E3344" s="2">
        <f>IFERROR(__xludf.DUMMYFUNCTION("""COMPUTED_VALUE"""),12.81)</f>
        <v>12.81</v>
      </c>
      <c r="F3344" s="2">
        <f>IFERROR(__xludf.DUMMYFUNCTION("""COMPUTED_VALUE"""),1682800.0)</f>
        <v>1682800</v>
      </c>
    </row>
    <row r="3345">
      <c r="A3345" s="3">
        <f>IFERROR(__xludf.DUMMYFUNCTION("""COMPUTED_VALUE"""),34051.666666666664)</f>
        <v>34051.66667</v>
      </c>
      <c r="B3345" s="2">
        <f>IFERROR(__xludf.DUMMYFUNCTION("""COMPUTED_VALUE"""),12.95)</f>
        <v>12.95</v>
      </c>
      <c r="C3345" s="2">
        <f>IFERROR(__xludf.DUMMYFUNCTION("""COMPUTED_VALUE"""),12.95)</f>
        <v>12.95</v>
      </c>
      <c r="D3345" s="2">
        <f>IFERROR(__xludf.DUMMYFUNCTION("""COMPUTED_VALUE"""),12.63)</f>
        <v>12.63</v>
      </c>
      <c r="E3345" s="2">
        <f>IFERROR(__xludf.DUMMYFUNCTION("""COMPUTED_VALUE"""),12.95)</f>
        <v>12.95</v>
      </c>
      <c r="F3345" s="2">
        <f>IFERROR(__xludf.DUMMYFUNCTION("""COMPUTED_VALUE"""),1657300.0)</f>
        <v>1657300</v>
      </c>
    </row>
    <row r="3346">
      <c r="A3346" s="3">
        <f>IFERROR(__xludf.DUMMYFUNCTION("""COMPUTED_VALUE"""),34052.666666666664)</f>
        <v>34052.66667</v>
      </c>
      <c r="B3346" s="2">
        <f>IFERROR(__xludf.DUMMYFUNCTION("""COMPUTED_VALUE"""),12.21)</f>
        <v>12.21</v>
      </c>
      <c r="C3346" s="2">
        <f>IFERROR(__xludf.DUMMYFUNCTION("""COMPUTED_VALUE"""),12.84)</f>
        <v>12.84</v>
      </c>
      <c r="D3346" s="2">
        <f>IFERROR(__xludf.DUMMYFUNCTION("""COMPUTED_VALUE"""),12.15)</f>
        <v>12.15</v>
      </c>
      <c r="E3346" s="2">
        <f>IFERROR(__xludf.DUMMYFUNCTION("""COMPUTED_VALUE"""),12.21)</f>
        <v>12.21</v>
      </c>
      <c r="F3346" s="2">
        <f>IFERROR(__xludf.DUMMYFUNCTION("""COMPUTED_VALUE"""),3575600.0)</f>
        <v>3575600</v>
      </c>
    </row>
    <row r="3347">
      <c r="A3347" s="3">
        <f>IFERROR(__xludf.DUMMYFUNCTION("""COMPUTED_VALUE"""),34053.666666666664)</f>
        <v>34053.66667</v>
      </c>
      <c r="B3347" s="2">
        <f>IFERROR(__xludf.DUMMYFUNCTION("""COMPUTED_VALUE"""),12.06)</f>
        <v>12.06</v>
      </c>
      <c r="C3347" s="2">
        <f>IFERROR(__xludf.DUMMYFUNCTION("""COMPUTED_VALUE"""),12.15)</f>
        <v>12.15</v>
      </c>
      <c r="D3347" s="2">
        <f>IFERROR(__xludf.DUMMYFUNCTION("""COMPUTED_VALUE"""),11.97)</f>
        <v>11.97</v>
      </c>
      <c r="E3347" s="2">
        <f>IFERROR(__xludf.DUMMYFUNCTION("""COMPUTED_VALUE"""),12.06)</f>
        <v>12.06</v>
      </c>
      <c r="F3347" s="2">
        <f>IFERROR(__xludf.DUMMYFUNCTION("""COMPUTED_VALUE"""),2805100.0)</f>
        <v>2805100</v>
      </c>
    </row>
    <row r="3348">
      <c r="A3348" s="3">
        <f>IFERROR(__xludf.DUMMYFUNCTION("""COMPUTED_VALUE"""),34054.666666666664)</f>
        <v>34054.66667</v>
      </c>
      <c r="B3348" s="2">
        <f>IFERROR(__xludf.DUMMYFUNCTION("""COMPUTED_VALUE"""),12.27)</f>
        <v>12.27</v>
      </c>
      <c r="C3348" s="2">
        <f>IFERROR(__xludf.DUMMYFUNCTION("""COMPUTED_VALUE"""),12.33)</f>
        <v>12.33</v>
      </c>
      <c r="D3348" s="2">
        <f>IFERROR(__xludf.DUMMYFUNCTION("""COMPUTED_VALUE"""),12.09)</f>
        <v>12.09</v>
      </c>
      <c r="E3348" s="2">
        <f>IFERROR(__xludf.DUMMYFUNCTION("""COMPUTED_VALUE"""),12.27)</f>
        <v>12.27</v>
      </c>
      <c r="F3348" s="2">
        <f>IFERROR(__xludf.DUMMYFUNCTION("""COMPUTED_VALUE"""),2400900.0)</f>
        <v>2400900</v>
      </c>
    </row>
    <row r="3349">
      <c r="A3349" s="3">
        <f>IFERROR(__xludf.DUMMYFUNCTION("""COMPUTED_VALUE"""),34057.666666666664)</f>
        <v>34057.66667</v>
      </c>
      <c r="B3349" s="2">
        <f>IFERROR(__xludf.DUMMYFUNCTION("""COMPUTED_VALUE"""),12.36)</f>
        <v>12.36</v>
      </c>
      <c r="C3349" s="2">
        <f>IFERROR(__xludf.DUMMYFUNCTION("""COMPUTED_VALUE"""),12.6)</f>
        <v>12.6</v>
      </c>
      <c r="D3349" s="2">
        <f>IFERROR(__xludf.DUMMYFUNCTION("""COMPUTED_VALUE"""),12.33)</f>
        <v>12.33</v>
      </c>
      <c r="E3349" s="2">
        <f>IFERROR(__xludf.DUMMYFUNCTION("""COMPUTED_VALUE"""),12.36)</f>
        <v>12.36</v>
      </c>
      <c r="F3349" s="2">
        <f>IFERROR(__xludf.DUMMYFUNCTION("""COMPUTED_VALUE"""),2057800.0)</f>
        <v>2057800</v>
      </c>
    </row>
    <row r="3350">
      <c r="A3350" s="3">
        <f>IFERROR(__xludf.DUMMYFUNCTION("""COMPUTED_VALUE"""),34058.666666666664)</f>
        <v>34058.66667</v>
      </c>
      <c r="B3350" s="2">
        <f>IFERROR(__xludf.DUMMYFUNCTION("""COMPUTED_VALUE"""),11.94)</f>
        <v>11.94</v>
      </c>
      <c r="C3350" s="2">
        <f>IFERROR(__xludf.DUMMYFUNCTION("""COMPUTED_VALUE"""),12.42)</f>
        <v>12.42</v>
      </c>
      <c r="D3350" s="2">
        <f>IFERROR(__xludf.DUMMYFUNCTION("""COMPUTED_VALUE"""),11.91)</f>
        <v>11.91</v>
      </c>
      <c r="E3350" s="2">
        <f>IFERROR(__xludf.DUMMYFUNCTION("""COMPUTED_VALUE"""),11.94)</f>
        <v>11.94</v>
      </c>
      <c r="F3350" s="2">
        <f>IFERROR(__xludf.DUMMYFUNCTION("""COMPUTED_VALUE"""),2550500.0)</f>
        <v>2550500</v>
      </c>
    </row>
    <row r="3351">
      <c r="A3351" s="3">
        <f>IFERROR(__xludf.DUMMYFUNCTION("""COMPUTED_VALUE"""),34059.666666666664)</f>
        <v>34059.66667</v>
      </c>
      <c r="B3351" s="2">
        <f>IFERROR(__xludf.DUMMYFUNCTION("""COMPUTED_VALUE"""),12.15)</f>
        <v>12.15</v>
      </c>
      <c r="C3351" s="2">
        <f>IFERROR(__xludf.DUMMYFUNCTION("""COMPUTED_VALUE"""),12.3)</f>
        <v>12.3</v>
      </c>
      <c r="D3351" s="2">
        <f>IFERROR(__xludf.DUMMYFUNCTION("""COMPUTED_VALUE"""),11.97)</f>
        <v>11.97</v>
      </c>
      <c r="E3351" s="2">
        <f>IFERROR(__xludf.DUMMYFUNCTION("""COMPUTED_VALUE"""),12.15)</f>
        <v>12.15</v>
      </c>
      <c r="F3351" s="2">
        <f>IFERROR(__xludf.DUMMYFUNCTION("""COMPUTED_VALUE"""),2593300.0)</f>
        <v>2593300</v>
      </c>
    </row>
    <row r="3352">
      <c r="A3352" s="3">
        <f>IFERROR(__xludf.DUMMYFUNCTION("""COMPUTED_VALUE"""),34060.666666666664)</f>
        <v>34060.66667</v>
      </c>
      <c r="B3352" s="2">
        <f>IFERROR(__xludf.DUMMYFUNCTION("""COMPUTED_VALUE"""),12.39)</f>
        <v>12.39</v>
      </c>
      <c r="C3352" s="2">
        <f>IFERROR(__xludf.DUMMYFUNCTION("""COMPUTED_VALUE"""),12.45)</f>
        <v>12.45</v>
      </c>
      <c r="D3352" s="2">
        <f>IFERROR(__xludf.DUMMYFUNCTION("""COMPUTED_VALUE"""),12.27)</f>
        <v>12.27</v>
      </c>
      <c r="E3352" s="2">
        <f>IFERROR(__xludf.DUMMYFUNCTION("""COMPUTED_VALUE"""),12.39)</f>
        <v>12.39</v>
      </c>
      <c r="F3352" s="2">
        <f>IFERROR(__xludf.DUMMYFUNCTION("""COMPUTED_VALUE"""),1917600.0)</f>
        <v>1917600</v>
      </c>
    </row>
    <row r="3353">
      <c r="A3353" s="3">
        <f>IFERROR(__xludf.DUMMYFUNCTION("""COMPUTED_VALUE"""),34061.666666666664)</f>
        <v>34061.66667</v>
      </c>
      <c r="B3353" s="2">
        <f>IFERROR(__xludf.DUMMYFUNCTION("""COMPUTED_VALUE"""),12.57)</f>
        <v>12.57</v>
      </c>
      <c r="C3353" s="2">
        <f>IFERROR(__xludf.DUMMYFUNCTION("""COMPUTED_VALUE"""),12.69)</f>
        <v>12.69</v>
      </c>
      <c r="D3353" s="2">
        <f>IFERROR(__xludf.DUMMYFUNCTION("""COMPUTED_VALUE"""),12.36)</f>
        <v>12.36</v>
      </c>
      <c r="E3353" s="2">
        <f>IFERROR(__xludf.DUMMYFUNCTION("""COMPUTED_VALUE"""),12.57)</f>
        <v>12.57</v>
      </c>
      <c r="F3353" s="2">
        <f>IFERROR(__xludf.DUMMYFUNCTION("""COMPUTED_VALUE"""),2809300.0)</f>
        <v>2809300</v>
      </c>
    </row>
    <row r="3354">
      <c r="A3354" s="3">
        <f>IFERROR(__xludf.DUMMYFUNCTION("""COMPUTED_VALUE"""),34064.666666666664)</f>
        <v>34064.66667</v>
      </c>
      <c r="B3354" s="2">
        <f>IFERROR(__xludf.DUMMYFUNCTION("""COMPUTED_VALUE"""),12.57)</f>
        <v>12.57</v>
      </c>
      <c r="C3354" s="2">
        <f>IFERROR(__xludf.DUMMYFUNCTION("""COMPUTED_VALUE"""),12.66)</f>
        <v>12.66</v>
      </c>
      <c r="D3354" s="2">
        <f>IFERROR(__xludf.DUMMYFUNCTION("""COMPUTED_VALUE"""),12.33)</f>
        <v>12.33</v>
      </c>
      <c r="E3354" s="2">
        <f>IFERROR(__xludf.DUMMYFUNCTION("""COMPUTED_VALUE"""),12.57)</f>
        <v>12.57</v>
      </c>
      <c r="F3354" s="2">
        <f>IFERROR(__xludf.DUMMYFUNCTION("""COMPUTED_VALUE"""),1702100.0)</f>
        <v>1702100</v>
      </c>
    </row>
    <row r="3355">
      <c r="A3355" s="3">
        <f>IFERROR(__xludf.DUMMYFUNCTION("""COMPUTED_VALUE"""),34065.666666666664)</f>
        <v>34065.66667</v>
      </c>
      <c r="B3355" s="2">
        <f>IFERROR(__xludf.DUMMYFUNCTION("""COMPUTED_VALUE"""),12.42)</f>
        <v>12.42</v>
      </c>
      <c r="C3355" s="2">
        <f>IFERROR(__xludf.DUMMYFUNCTION("""COMPUTED_VALUE"""),12.57)</f>
        <v>12.57</v>
      </c>
      <c r="D3355" s="2">
        <f>IFERROR(__xludf.DUMMYFUNCTION("""COMPUTED_VALUE"""),12.36)</f>
        <v>12.36</v>
      </c>
      <c r="E3355" s="2">
        <f>IFERROR(__xludf.DUMMYFUNCTION("""COMPUTED_VALUE"""),12.42)</f>
        <v>12.42</v>
      </c>
      <c r="F3355" s="2">
        <f>IFERROR(__xludf.DUMMYFUNCTION("""COMPUTED_VALUE"""),1410500.0)</f>
        <v>1410500</v>
      </c>
    </row>
    <row r="3356">
      <c r="A3356" s="3">
        <f>IFERROR(__xludf.DUMMYFUNCTION("""COMPUTED_VALUE"""),34066.666666666664)</f>
        <v>34066.66667</v>
      </c>
      <c r="B3356" s="2">
        <f>IFERROR(__xludf.DUMMYFUNCTION("""COMPUTED_VALUE"""),12.48)</f>
        <v>12.48</v>
      </c>
      <c r="C3356" s="2">
        <f>IFERROR(__xludf.DUMMYFUNCTION("""COMPUTED_VALUE"""),12.48)</f>
        <v>12.48</v>
      </c>
      <c r="D3356" s="2">
        <f>IFERROR(__xludf.DUMMYFUNCTION("""COMPUTED_VALUE"""),12.15)</f>
        <v>12.15</v>
      </c>
      <c r="E3356" s="2">
        <f>IFERROR(__xludf.DUMMYFUNCTION("""COMPUTED_VALUE"""),12.48)</f>
        <v>12.48</v>
      </c>
      <c r="F3356" s="2">
        <f>IFERROR(__xludf.DUMMYFUNCTION("""COMPUTED_VALUE"""),1236700.0)</f>
        <v>1236700</v>
      </c>
    </row>
    <row r="3357">
      <c r="A3357" s="3">
        <f>IFERROR(__xludf.DUMMYFUNCTION("""COMPUTED_VALUE"""),34067.666666666664)</f>
        <v>34067.66667</v>
      </c>
      <c r="B3357" s="2">
        <f>IFERROR(__xludf.DUMMYFUNCTION("""COMPUTED_VALUE"""),12.0)</f>
        <v>12</v>
      </c>
      <c r="C3357" s="2">
        <f>IFERROR(__xludf.DUMMYFUNCTION("""COMPUTED_VALUE"""),12.51)</f>
        <v>12.51</v>
      </c>
      <c r="D3357" s="2">
        <f>IFERROR(__xludf.DUMMYFUNCTION("""COMPUTED_VALUE"""),12.0)</f>
        <v>12</v>
      </c>
      <c r="E3357" s="2">
        <f>IFERROR(__xludf.DUMMYFUNCTION("""COMPUTED_VALUE"""),12.0)</f>
        <v>12</v>
      </c>
      <c r="F3357" s="2">
        <f>IFERROR(__xludf.DUMMYFUNCTION("""COMPUTED_VALUE"""),1205600.0)</f>
        <v>1205600</v>
      </c>
    </row>
    <row r="3358">
      <c r="A3358" s="3">
        <f>IFERROR(__xludf.DUMMYFUNCTION("""COMPUTED_VALUE"""),34071.666666666664)</f>
        <v>34071.66667</v>
      </c>
      <c r="B3358" s="2">
        <f>IFERROR(__xludf.DUMMYFUNCTION("""COMPUTED_VALUE"""),12.18)</f>
        <v>12.18</v>
      </c>
      <c r="C3358" s="2">
        <f>IFERROR(__xludf.DUMMYFUNCTION("""COMPUTED_VALUE"""),12.39)</f>
        <v>12.39</v>
      </c>
      <c r="D3358" s="2">
        <f>IFERROR(__xludf.DUMMYFUNCTION("""COMPUTED_VALUE"""),12.09)</f>
        <v>12.09</v>
      </c>
      <c r="E3358" s="2">
        <f>IFERROR(__xludf.DUMMYFUNCTION("""COMPUTED_VALUE"""),12.18)</f>
        <v>12.18</v>
      </c>
      <c r="F3358" s="2">
        <f>IFERROR(__xludf.DUMMYFUNCTION("""COMPUTED_VALUE"""),1399300.0)</f>
        <v>1399300</v>
      </c>
    </row>
    <row r="3359">
      <c r="A3359" s="3">
        <f>IFERROR(__xludf.DUMMYFUNCTION("""COMPUTED_VALUE"""),34072.666666666664)</f>
        <v>34072.66667</v>
      </c>
      <c r="B3359" s="2">
        <f>IFERROR(__xludf.DUMMYFUNCTION("""COMPUTED_VALUE"""),11.79)</f>
        <v>11.79</v>
      </c>
      <c r="C3359" s="2">
        <f>IFERROR(__xludf.DUMMYFUNCTION("""COMPUTED_VALUE"""),12.21)</f>
        <v>12.21</v>
      </c>
      <c r="D3359" s="2">
        <f>IFERROR(__xludf.DUMMYFUNCTION("""COMPUTED_VALUE"""),11.76)</f>
        <v>11.76</v>
      </c>
      <c r="E3359" s="2">
        <f>IFERROR(__xludf.DUMMYFUNCTION("""COMPUTED_VALUE"""),11.79)</f>
        <v>11.79</v>
      </c>
      <c r="F3359" s="2">
        <f>IFERROR(__xludf.DUMMYFUNCTION("""COMPUTED_VALUE"""),2313900.0)</f>
        <v>2313900</v>
      </c>
    </row>
    <row r="3360">
      <c r="A3360" s="3">
        <f>IFERROR(__xludf.DUMMYFUNCTION("""COMPUTED_VALUE"""),34073.666666666664)</f>
        <v>34073.66667</v>
      </c>
      <c r="B3360" s="2">
        <f>IFERROR(__xludf.DUMMYFUNCTION("""COMPUTED_VALUE"""),11.7)</f>
        <v>11.7</v>
      </c>
      <c r="C3360" s="2">
        <f>IFERROR(__xludf.DUMMYFUNCTION("""COMPUTED_VALUE"""),11.85)</f>
        <v>11.85</v>
      </c>
      <c r="D3360" s="2">
        <f>IFERROR(__xludf.DUMMYFUNCTION("""COMPUTED_VALUE"""),11.58)</f>
        <v>11.58</v>
      </c>
      <c r="E3360" s="2">
        <f>IFERROR(__xludf.DUMMYFUNCTION("""COMPUTED_VALUE"""),11.7)</f>
        <v>11.7</v>
      </c>
      <c r="F3360" s="2">
        <f>IFERROR(__xludf.DUMMYFUNCTION("""COMPUTED_VALUE"""),2761900.0)</f>
        <v>2761900</v>
      </c>
    </row>
    <row r="3361">
      <c r="A3361" s="3">
        <f>IFERROR(__xludf.DUMMYFUNCTION("""COMPUTED_VALUE"""),34074.666666666664)</f>
        <v>34074.66667</v>
      </c>
      <c r="B3361" s="2">
        <f>IFERROR(__xludf.DUMMYFUNCTION("""COMPUTED_VALUE"""),11.64)</f>
        <v>11.64</v>
      </c>
      <c r="C3361" s="2">
        <f>IFERROR(__xludf.DUMMYFUNCTION("""COMPUTED_VALUE"""),11.76)</f>
        <v>11.76</v>
      </c>
      <c r="D3361" s="2">
        <f>IFERROR(__xludf.DUMMYFUNCTION("""COMPUTED_VALUE"""),11.58)</f>
        <v>11.58</v>
      </c>
      <c r="E3361" s="2">
        <f>IFERROR(__xludf.DUMMYFUNCTION("""COMPUTED_VALUE"""),11.64)</f>
        <v>11.64</v>
      </c>
      <c r="F3361" s="2">
        <f>IFERROR(__xludf.DUMMYFUNCTION("""COMPUTED_VALUE"""),1562900.0)</f>
        <v>1562900</v>
      </c>
    </row>
    <row r="3362">
      <c r="A3362" s="3">
        <f>IFERROR(__xludf.DUMMYFUNCTION("""COMPUTED_VALUE"""),34075.666666666664)</f>
        <v>34075.66667</v>
      </c>
      <c r="B3362" s="2">
        <f>IFERROR(__xludf.DUMMYFUNCTION("""COMPUTED_VALUE"""),11.7)</f>
        <v>11.7</v>
      </c>
      <c r="C3362" s="2">
        <f>IFERROR(__xludf.DUMMYFUNCTION("""COMPUTED_VALUE"""),11.73)</f>
        <v>11.73</v>
      </c>
      <c r="D3362" s="2">
        <f>IFERROR(__xludf.DUMMYFUNCTION("""COMPUTED_VALUE"""),11.58)</f>
        <v>11.58</v>
      </c>
      <c r="E3362" s="2">
        <f>IFERROR(__xludf.DUMMYFUNCTION("""COMPUTED_VALUE"""),11.7)</f>
        <v>11.7</v>
      </c>
      <c r="F3362" s="2">
        <f>IFERROR(__xludf.DUMMYFUNCTION("""COMPUTED_VALUE"""),2109900.0)</f>
        <v>2109900</v>
      </c>
    </row>
    <row r="3363">
      <c r="A3363" s="3">
        <f>IFERROR(__xludf.DUMMYFUNCTION("""COMPUTED_VALUE"""),34078.666666666664)</f>
        <v>34078.66667</v>
      </c>
      <c r="B3363" s="2">
        <f>IFERROR(__xludf.DUMMYFUNCTION("""COMPUTED_VALUE"""),11.76)</f>
        <v>11.76</v>
      </c>
      <c r="C3363" s="2">
        <f>IFERROR(__xludf.DUMMYFUNCTION("""COMPUTED_VALUE"""),12.09)</f>
        <v>12.09</v>
      </c>
      <c r="D3363" s="2">
        <f>IFERROR(__xludf.DUMMYFUNCTION("""COMPUTED_VALUE"""),11.67)</f>
        <v>11.67</v>
      </c>
      <c r="E3363" s="2">
        <f>IFERROR(__xludf.DUMMYFUNCTION("""COMPUTED_VALUE"""),11.76)</f>
        <v>11.76</v>
      </c>
      <c r="F3363" s="2">
        <f>IFERROR(__xludf.DUMMYFUNCTION("""COMPUTED_VALUE"""),1749500.0)</f>
        <v>1749500</v>
      </c>
    </row>
    <row r="3364">
      <c r="A3364" s="3">
        <f>IFERROR(__xludf.DUMMYFUNCTION("""COMPUTED_VALUE"""),34079.666666666664)</f>
        <v>34079.66667</v>
      </c>
      <c r="B3364" s="2">
        <f>IFERROR(__xludf.DUMMYFUNCTION("""COMPUTED_VALUE"""),12.09)</f>
        <v>12.09</v>
      </c>
      <c r="C3364" s="2">
        <f>IFERROR(__xludf.DUMMYFUNCTION("""COMPUTED_VALUE"""),12.09)</f>
        <v>12.09</v>
      </c>
      <c r="D3364" s="2">
        <f>IFERROR(__xludf.DUMMYFUNCTION("""COMPUTED_VALUE"""),11.64)</f>
        <v>11.64</v>
      </c>
      <c r="E3364" s="2">
        <f>IFERROR(__xludf.DUMMYFUNCTION("""COMPUTED_VALUE"""),12.09)</f>
        <v>12.09</v>
      </c>
      <c r="F3364" s="2">
        <f>IFERROR(__xludf.DUMMYFUNCTION("""COMPUTED_VALUE"""),2949800.0)</f>
        <v>2949800</v>
      </c>
    </row>
    <row r="3365">
      <c r="A3365" s="3">
        <f>IFERROR(__xludf.DUMMYFUNCTION("""COMPUTED_VALUE"""),34080.666666666664)</f>
        <v>34080.66667</v>
      </c>
      <c r="B3365" s="2">
        <f>IFERROR(__xludf.DUMMYFUNCTION("""COMPUTED_VALUE"""),11.73)</f>
        <v>11.73</v>
      </c>
      <c r="C3365" s="2">
        <f>IFERROR(__xludf.DUMMYFUNCTION("""COMPUTED_VALUE"""),12.0)</f>
        <v>12</v>
      </c>
      <c r="D3365" s="2">
        <f>IFERROR(__xludf.DUMMYFUNCTION("""COMPUTED_VALUE"""),11.73)</f>
        <v>11.73</v>
      </c>
      <c r="E3365" s="2">
        <f>IFERROR(__xludf.DUMMYFUNCTION("""COMPUTED_VALUE"""),11.73)</f>
        <v>11.73</v>
      </c>
      <c r="F3365" s="2">
        <f>IFERROR(__xludf.DUMMYFUNCTION("""COMPUTED_VALUE"""),2182800.0)</f>
        <v>2182800</v>
      </c>
    </row>
    <row r="3366">
      <c r="A3366" s="3">
        <f>IFERROR(__xludf.DUMMYFUNCTION("""COMPUTED_VALUE"""),34081.666666666664)</f>
        <v>34081.66667</v>
      </c>
      <c r="B3366" s="2">
        <f>IFERROR(__xludf.DUMMYFUNCTION("""COMPUTED_VALUE"""),11.58)</f>
        <v>11.58</v>
      </c>
      <c r="C3366" s="2">
        <f>IFERROR(__xludf.DUMMYFUNCTION("""COMPUTED_VALUE"""),11.7)</f>
        <v>11.7</v>
      </c>
      <c r="D3366" s="2">
        <f>IFERROR(__xludf.DUMMYFUNCTION("""COMPUTED_VALUE"""),11.49)</f>
        <v>11.49</v>
      </c>
      <c r="E3366" s="2">
        <f>IFERROR(__xludf.DUMMYFUNCTION("""COMPUTED_VALUE"""),11.58)</f>
        <v>11.58</v>
      </c>
      <c r="F3366" s="2">
        <f>IFERROR(__xludf.DUMMYFUNCTION("""COMPUTED_VALUE"""),2150600.0)</f>
        <v>2150600</v>
      </c>
    </row>
    <row r="3367">
      <c r="A3367" s="3">
        <f>IFERROR(__xludf.DUMMYFUNCTION("""COMPUTED_VALUE"""),34082.666666666664)</f>
        <v>34082.66667</v>
      </c>
      <c r="B3367" s="2">
        <f>IFERROR(__xludf.DUMMYFUNCTION("""COMPUTED_VALUE"""),11.4)</f>
        <v>11.4</v>
      </c>
      <c r="C3367" s="2">
        <f>IFERROR(__xludf.DUMMYFUNCTION("""COMPUTED_VALUE"""),11.55)</f>
        <v>11.55</v>
      </c>
      <c r="D3367" s="2">
        <f>IFERROR(__xludf.DUMMYFUNCTION("""COMPUTED_VALUE"""),11.31)</f>
        <v>11.31</v>
      </c>
      <c r="E3367" s="2">
        <f>IFERROR(__xludf.DUMMYFUNCTION("""COMPUTED_VALUE"""),11.4)</f>
        <v>11.4</v>
      </c>
      <c r="F3367" s="2">
        <f>IFERROR(__xludf.DUMMYFUNCTION("""COMPUTED_VALUE"""),2156600.0)</f>
        <v>2156600</v>
      </c>
    </row>
    <row r="3368">
      <c r="A3368" s="3">
        <f>IFERROR(__xludf.DUMMYFUNCTION("""COMPUTED_VALUE"""),34085.666666666664)</f>
        <v>34085.66667</v>
      </c>
      <c r="B3368" s="2">
        <f>IFERROR(__xludf.DUMMYFUNCTION("""COMPUTED_VALUE"""),11.55)</f>
        <v>11.55</v>
      </c>
      <c r="C3368" s="2">
        <f>IFERROR(__xludf.DUMMYFUNCTION("""COMPUTED_VALUE"""),11.76)</f>
        <v>11.76</v>
      </c>
      <c r="D3368" s="2">
        <f>IFERROR(__xludf.DUMMYFUNCTION("""COMPUTED_VALUE"""),11.43)</f>
        <v>11.43</v>
      </c>
      <c r="E3368" s="2">
        <f>IFERROR(__xludf.DUMMYFUNCTION("""COMPUTED_VALUE"""),11.55)</f>
        <v>11.55</v>
      </c>
      <c r="F3368" s="2">
        <f>IFERROR(__xludf.DUMMYFUNCTION("""COMPUTED_VALUE"""),2000200.0)</f>
        <v>2000200</v>
      </c>
    </row>
    <row r="3369">
      <c r="A3369" s="3">
        <f>IFERROR(__xludf.DUMMYFUNCTION("""COMPUTED_VALUE"""),34086.666666666664)</f>
        <v>34086.66667</v>
      </c>
      <c r="B3369" s="2">
        <f>IFERROR(__xludf.DUMMYFUNCTION("""COMPUTED_VALUE"""),11.55)</f>
        <v>11.55</v>
      </c>
      <c r="C3369" s="2">
        <f>IFERROR(__xludf.DUMMYFUNCTION("""COMPUTED_VALUE"""),11.64)</f>
        <v>11.64</v>
      </c>
      <c r="D3369" s="2">
        <f>IFERROR(__xludf.DUMMYFUNCTION("""COMPUTED_VALUE"""),11.43)</f>
        <v>11.43</v>
      </c>
      <c r="E3369" s="2">
        <f>IFERROR(__xludf.DUMMYFUNCTION("""COMPUTED_VALUE"""),11.55)</f>
        <v>11.55</v>
      </c>
      <c r="F3369" s="2">
        <f>IFERROR(__xludf.DUMMYFUNCTION("""COMPUTED_VALUE"""),1473000.0)</f>
        <v>1473000</v>
      </c>
    </row>
    <row r="3370">
      <c r="A3370" s="3">
        <f>IFERROR(__xludf.DUMMYFUNCTION("""COMPUTED_VALUE"""),34087.666666666664)</f>
        <v>34087.66667</v>
      </c>
      <c r="B3370" s="2">
        <f>IFERROR(__xludf.DUMMYFUNCTION("""COMPUTED_VALUE"""),11.91)</f>
        <v>11.91</v>
      </c>
      <c r="C3370" s="2">
        <f>IFERROR(__xludf.DUMMYFUNCTION("""COMPUTED_VALUE"""),12.12)</f>
        <v>12.12</v>
      </c>
      <c r="D3370" s="2">
        <f>IFERROR(__xludf.DUMMYFUNCTION("""COMPUTED_VALUE"""),11.61)</f>
        <v>11.61</v>
      </c>
      <c r="E3370" s="2">
        <f>IFERROR(__xludf.DUMMYFUNCTION("""COMPUTED_VALUE"""),11.91)</f>
        <v>11.91</v>
      </c>
      <c r="F3370" s="2">
        <f>IFERROR(__xludf.DUMMYFUNCTION("""COMPUTED_VALUE"""),3226600.0)</f>
        <v>3226600</v>
      </c>
    </row>
    <row r="3371">
      <c r="A3371" s="3">
        <f>IFERROR(__xludf.DUMMYFUNCTION("""COMPUTED_VALUE"""),34088.666666666664)</f>
        <v>34088.66667</v>
      </c>
      <c r="B3371" s="2">
        <f>IFERROR(__xludf.DUMMYFUNCTION("""COMPUTED_VALUE"""),11.67)</f>
        <v>11.67</v>
      </c>
      <c r="C3371" s="2">
        <f>IFERROR(__xludf.DUMMYFUNCTION("""COMPUTED_VALUE"""),11.97)</f>
        <v>11.97</v>
      </c>
      <c r="D3371" s="2">
        <f>IFERROR(__xludf.DUMMYFUNCTION("""COMPUTED_VALUE"""),11.55)</f>
        <v>11.55</v>
      </c>
      <c r="E3371" s="2">
        <f>IFERROR(__xludf.DUMMYFUNCTION("""COMPUTED_VALUE"""),11.67)</f>
        <v>11.67</v>
      </c>
      <c r="F3371" s="2">
        <f>IFERROR(__xludf.DUMMYFUNCTION("""COMPUTED_VALUE"""),1573100.0)</f>
        <v>1573100</v>
      </c>
    </row>
    <row r="3372">
      <c r="A3372" s="3">
        <f>IFERROR(__xludf.DUMMYFUNCTION("""COMPUTED_VALUE"""),34089.666666666664)</f>
        <v>34089.66667</v>
      </c>
      <c r="B3372" s="2">
        <f>IFERROR(__xludf.DUMMYFUNCTION("""COMPUTED_VALUE"""),11.61)</f>
        <v>11.61</v>
      </c>
      <c r="C3372" s="2">
        <f>IFERROR(__xludf.DUMMYFUNCTION("""COMPUTED_VALUE"""),11.79)</f>
        <v>11.79</v>
      </c>
      <c r="D3372" s="2">
        <f>IFERROR(__xludf.DUMMYFUNCTION("""COMPUTED_VALUE"""),11.61)</f>
        <v>11.61</v>
      </c>
      <c r="E3372" s="2">
        <f>IFERROR(__xludf.DUMMYFUNCTION("""COMPUTED_VALUE"""),11.61)</f>
        <v>11.61</v>
      </c>
      <c r="F3372" s="2">
        <f>IFERROR(__xludf.DUMMYFUNCTION("""COMPUTED_VALUE"""),1331600.0)</f>
        <v>1331600</v>
      </c>
    </row>
    <row r="3373">
      <c r="A3373" s="3">
        <f>IFERROR(__xludf.DUMMYFUNCTION("""COMPUTED_VALUE"""),34092.666666666664)</f>
        <v>34092.66667</v>
      </c>
      <c r="B3373" s="2">
        <f>IFERROR(__xludf.DUMMYFUNCTION("""COMPUTED_VALUE"""),11.76)</f>
        <v>11.76</v>
      </c>
      <c r="C3373" s="2">
        <f>IFERROR(__xludf.DUMMYFUNCTION("""COMPUTED_VALUE"""),11.79)</f>
        <v>11.79</v>
      </c>
      <c r="D3373" s="2">
        <f>IFERROR(__xludf.DUMMYFUNCTION("""COMPUTED_VALUE"""),11.58)</f>
        <v>11.58</v>
      </c>
      <c r="E3373" s="2">
        <f>IFERROR(__xludf.DUMMYFUNCTION("""COMPUTED_VALUE"""),11.76)</f>
        <v>11.76</v>
      </c>
      <c r="F3373" s="2">
        <f>IFERROR(__xludf.DUMMYFUNCTION("""COMPUTED_VALUE"""),1322100.0)</f>
        <v>1322100</v>
      </c>
    </row>
    <row r="3374">
      <c r="A3374" s="3">
        <f>IFERROR(__xludf.DUMMYFUNCTION("""COMPUTED_VALUE"""),34093.666666666664)</f>
        <v>34093.66667</v>
      </c>
      <c r="B3374" s="2">
        <f>IFERROR(__xludf.DUMMYFUNCTION("""COMPUTED_VALUE"""),11.76)</f>
        <v>11.76</v>
      </c>
      <c r="C3374" s="2">
        <f>IFERROR(__xludf.DUMMYFUNCTION("""COMPUTED_VALUE"""),11.91)</f>
        <v>11.91</v>
      </c>
      <c r="D3374" s="2">
        <f>IFERROR(__xludf.DUMMYFUNCTION("""COMPUTED_VALUE"""),11.76)</f>
        <v>11.76</v>
      </c>
      <c r="E3374" s="2">
        <f>IFERROR(__xludf.DUMMYFUNCTION("""COMPUTED_VALUE"""),11.76)</f>
        <v>11.76</v>
      </c>
      <c r="F3374" s="2">
        <f>IFERROR(__xludf.DUMMYFUNCTION("""COMPUTED_VALUE"""),1373200.0)</f>
        <v>1373200</v>
      </c>
    </row>
    <row r="3375">
      <c r="A3375" s="3">
        <f>IFERROR(__xludf.DUMMYFUNCTION("""COMPUTED_VALUE"""),34094.666666666664)</f>
        <v>34094.66667</v>
      </c>
      <c r="B3375" s="2">
        <f>IFERROR(__xludf.DUMMYFUNCTION("""COMPUTED_VALUE"""),11.79)</f>
        <v>11.79</v>
      </c>
      <c r="C3375" s="2">
        <f>IFERROR(__xludf.DUMMYFUNCTION("""COMPUTED_VALUE"""),11.82)</f>
        <v>11.82</v>
      </c>
      <c r="D3375" s="2">
        <f>IFERROR(__xludf.DUMMYFUNCTION("""COMPUTED_VALUE"""),11.67)</f>
        <v>11.67</v>
      </c>
      <c r="E3375" s="2">
        <f>IFERROR(__xludf.DUMMYFUNCTION("""COMPUTED_VALUE"""),11.79)</f>
        <v>11.79</v>
      </c>
      <c r="F3375" s="2">
        <f>IFERROR(__xludf.DUMMYFUNCTION("""COMPUTED_VALUE"""),1353000.0)</f>
        <v>1353000</v>
      </c>
    </row>
    <row r="3376">
      <c r="A3376" s="3">
        <f>IFERROR(__xludf.DUMMYFUNCTION("""COMPUTED_VALUE"""),34095.666666666664)</f>
        <v>34095.66667</v>
      </c>
      <c r="B3376" s="2">
        <f>IFERROR(__xludf.DUMMYFUNCTION("""COMPUTED_VALUE"""),11.52)</f>
        <v>11.52</v>
      </c>
      <c r="C3376" s="2">
        <f>IFERROR(__xludf.DUMMYFUNCTION("""COMPUTED_VALUE"""),11.61)</f>
        <v>11.61</v>
      </c>
      <c r="D3376" s="2">
        <f>IFERROR(__xludf.DUMMYFUNCTION("""COMPUTED_VALUE"""),11.46)</f>
        <v>11.46</v>
      </c>
      <c r="E3376" s="2">
        <f>IFERROR(__xludf.DUMMYFUNCTION("""COMPUTED_VALUE"""),11.52)</f>
        <v>11.52</v>
      </c>
      <c r="F3376" s="2">
        <f>IFERROR(__xludf.DUMMYFUNCTION("""COMPUTED_VALUE"""),1152000.0)</f>
        <v>1152000</v>
      </c>
    </row>
    <row r="3377">
      <c r="A3377" s="3">
        <f>IFERROR(__xludf.DUMMYFUNCTION("""COMPUTED_VALUE"""),34096.666666666664)</f>
        <v>34096.66667</v>
      </c>
      <c r="B3377" s="2">
        <f>IFERROR(__xludf.DUMMYFUNCTION("""COMPUTED_VALUE"""),11.61)</f>
        <v>11.61</v>
      </c>
      <c r="C3377" s="2">
        <f>IFERROR(__xludf.DUMMYFUNCTION("""COMPUTED_VALUE"""),11.61)</f>
        <v>11.61</v>
      </c>
      <c r="D3377" s="2">
        <f>IFERROR(__xludf.DUMMYFUNCTION("""COMPUTED_VALUE"""),11.4)</f>
        <v>11.4</v>
      </c>
      <c r="E3377" s="2">
        <f>IFERROR(__xludf.DUMMYFUNCTION("""COMPUTED_VALUE"""),11.61)</f>
        <v>11.61</v>
      </c>
      <c r="F3377" s="2">
        <f>IFERROR(__xludf.DUMMYFUNCTION("""COMPUTED_VALUE"""),1411900.0)</f>
        <v>1411900</v>
      </c>
    </row>
    <row r="3378">
      <c r="A3378" s="3">
        <f>IFERROR(__xludf.DUMMYFUNCTION("""COMPUTED_VALUE"""),34099.666666666664)</f>
        <v>34099.66667</v>
      </c>
      <c r="B3378" s="2">
        <f>IFERROR(__xludf.DUMMYFUNCTION("""COMPUTED_VALUE"""),11.67)</f>
        <v>11.67</v>
      </c>
      <c r="C3378" s="2">
        <f>IFERROR(__xludf.DUMMYFUNCTION("""COMPUTED_VALUE"""),11.73)</f>
        <v>11.73</v>
      </c>
      <c r="D3378" s="2">
        <f>IFERROR(__xludf.DUMMYFUNCTION("""COMPUTED_VALUE"""),11.55)</f>
        <v>11.55</v>
      </c>
      <c r="E3378" s="2">
        <f>IFERROR(__xludf.DUMMYFUNCTION("""COMPUTED_VALUE"""),11.67)</f>
        <v>11.67</v>
      </c>
      <c r="F3378" s="2">
        <f>IFERROR(__xludf.DUMMYFUNCTION("""COMPUTED_VALUE"""),1711100.0)</f>
        <v>1711100</v>
      </c>
    </row>
    <row r="3379">
      <c r="A3379" s="3">
        <f>IFERROR(__xludf.DUMMYFUNCTION("""COMPUTED_VALUE"""),34100.666666666664)</f>
        <v>34100.66667</v>
      </c>
      <c r="B3379" s="2">
        <f>IFERROR(__xludf.DUMMYFUNCTION("""COMPUTED_VALUE"""),11.67)</f>
        <v>11.67</v>
      </c>
      <c r="C3379" s="2">
        <f>IFERROR(__xludf.DUMMYFUNCTION("""COMPUTED_VALUE"""),11.67)</f>
        <v>11.67</v>
      </c>
      <c r="D3379" s="2">
        <f>IFERROR(__xludf.DUMMYFUNCTION("""COMPUTED_VALUE"""),11.55)</f>
        <v>11.55</v>
      </c>
      <c r="E3379" s="2">
        <f>IFERROR(__xludf.DUMMYFUNCTION("""COMPUTED_VALUE"""),11.67)</f>
        <v>11.67</v>
      </c>
      <c r="F3379" s="2">
        <f>IFERROR(__xludf.DUMMYFUNCTION("""COMPUTED_VALUE"""),1126100.0)</f>
        <v>1126100</v>
      </c>
    </row>
    <row r="3380">
      <c r="A3380" s="3">
        <f>IFERROR(__xludf.DUMMYFUNCTION("""COMPUTED_VALUE"""),34101.666666666664)</f>
        <v>34101.66667</v>
      </c>
      <c r="B3380" s="2">
        <f>IFERROR(__xludf.DUMMYFUNCTION("""COMPUTED_VALUE"""),11.46)</f>
        <v>11.46</v>
      </c>
      <c r="C3380" s="2">
        <f>IFERROR(__xludf.DUMMYFUNCTION("""COMPUTED_VALUE"""),11.61)</f>
        <v>11.61</v>
      </c>
      <c r="D3380" s="2">
        <f>IFERROR(__xludf.DUMMYFUNCTION("""COMPUTED_VALUE"""),11.43)</f>
        <v>11.43</v>
      </c>
      <c r="E3380" s="2">
        <f>IFERROR(__xludf.DUMMYFUNCTION("""COMPUTED_VALUE"""),11.46)</f>
        <v>11.46</v>
      </c>
      <c r="F3380" s="2">
        <f>IFERROR(__xludf.DUMMYFUNCTION("""COMPUTED_VALUE"""),1311000.0)</f>
        <v>1311000</v>
      </c>
    </row>
    <row r="3381">
      <c r="A3381" s="3">
        <f>IFERROR(__xludf.DUMMYFUNCTION("""COMPUTED_VALUE"""),34102.666666666664)</f>
        <v>34102.66667</v>
      </c>
      <c r="B3381" s="2">
        <f>IFERROR(__xludf.DUMMYFUNCTION("""COMPUTED_VALUE"""),11.34)</f>
        <v>11.34</v>
      </c>
      <c r="C3381" s="2">
        <f>IFERROR(__xludf.DUMMYFUNCTION("""COMPUTED_VALUE"""),11.4)</f>
        <v>11.4</v>
      </c>
      <c r="D3381" s="2">
        <f>IFERROR(__xludf.DUMMYFUNCTION("""COMPUTED_VALUE"""),11.25)</f>
        <v>11.25</v>
      </c>
      <c r="E3381" s="2">
        <f>IFERROR(__xludf.DUMMYFUNCTION("""COMPUTED_VALUE"""),11.34)</f>
        <v>11.34</v>
      </c>
      <c r="F3381" s="2">
        <f>IFERROR(__xludf.DUMMYFUNCTION("""COMPUTED_VALUE"""),1311200.0)</f>
        <v>1311200</v>
      </c>
    </row>
    <row r="3382">
      <c r="A3382" s="3">
        <f>IFERROR(__xludf.DUMMYFUNCTION("""COMPUTED_VALUE"""),34103.666666666664)</f>
        <v>34103.66667</v>
      </c>
      <c r="B3382" s="2">
        <f>IFERROR(__xludf.DUMMYFUNCTION("""COMPUTED_VALUE"""),11.43)</f>
        <v>11.43</v>
      </c>
      <c r="C3382" s="2">
        <f>IFERROR(__xludf.DUMMYFUNCTION("""COMPUTED_VALUE"""),11.49)</f>
        <v>11.49</v>
      </c>
      <c r="D3382" s="2">
        <f>IFERROR(__xludf.DUMMYFUNCTION("""COMPUTED_VALUE"""),11.31)</f>
        <v>11.31</v>
      </c>
      <c r="E3382" s="2">
        <f>IFERROR(__xludf.DUMMYFUNCTION("""COMPUTED_VALUE"""),11.43)</f>
        <v>11.43</v>
      </c>
      <c r="F3382" s="2">
        <f>IFERROR(__xludf.DUMMYFUNCTION("""COMPUTED_VALUE"""),1213400.0)</f>
        <v>1213400</v>
      </c>
    </row>
    <row r="3383">
      <c r="A3383" s="3">
        <f>IFERROR(__xludf.DUMMYFUNCTION("""COMPUTED_VALUE"""),34106.666666666664)</f>
        <v>34106.66667</v>
      </c>
      <c r="B3383" s="2">
        <f>IFERROR(__xludf.DUMMYFUNCTION("""COMPUTED_VALUE"""),11.37)</f>
        <v>11.37</v>
      </c>
      <c r="C3383" s="2">
        <f>IFERROR(__xludf.DUMMYFUNCTION("""COMPUTED_VALUE"""),11.52)</f>
        <v>11.52</v>
      </c>
      <c r="D3383" s="2">
        <f>IFERROR(__xludf.DUMMYFUNCTION("""COMPUTED_VALUE"""),11.34)</f>
        <v>11.34</v>
      </c>
      <c r="E3383" s="2">
        <f>IFERROR(__xludf.DUMMYFUNCTION("""COMPUTED_VALUE"""),11.37)</f>
        <v>11.37</v>
      </c>
      <c r="F3383" s="2">
        <f>IFERROR(__xludf.DUMMYFUNCTION("""COMPUTED_VALUE"""),844600.0)</f>
        <v>844600</v>
      </c>
    </row>
    <row r="3384">
      <c r="A3384" s="3">
        <f>IFERROR(__xludf.DUMMYFUNCTION("""COMPUTED_VALUE"""),34107.666666666664)</f>
        <v>34107.66667</v>
      </c>
      <c r="B3384" s="2">
        <f>IFERROR(__xludf.DUMMYFUNCTION("""COMPUTED_VALUE"""),11.7)</f>
        <v>11.7</v>
      </c>
      <c r="C3384" s="2">
        <f>IFERROR(__xludf.DUMMYFUNCTION("""COMPUTED_VALUE"""),11.7)</f>
        <v>11.7</v>
      </c>
      <c r="D3384" s="2">
        <f>IFERROR(__xludf.DUMMYFUNCTION("""COMPUTED_VALUE"""),11.4)</f>
        <v>11.4</v>
      </c>
      <c r="E3384" s="2">
        <f>IFERROR(__xludf.DUMMYFUNCTION("""COMPUTED_VALUE"""),11.7)</f>
        <v>11.7</v>
      </c>
      <c r="F3384" s="2">
        <f>IFERROR(__xludf.DUMMYFUNCTION("""COMPUTED_VALUE"""),2661900.0)</f>
        <v>2661900</v>
      </c>
    </row>
    <row r="3385">
      <c r="A3385" s="3">
        <f>IFERROR(__xludf.DUMMYFUNCTION("""COMPUTED_VALUE"""),34108.666666666664)</f>
        <v>34108.66667</v>
      </c>
      <c r="B3385" s="2">
        <f>IFERROR(__xludf.DUMMYFUNCTION("""COMPUTED_VALUE"""),11.85)</f>
        <v>11.85</v>
      </c>
      <c r="C3385" s="2">
        <f>IFERROR(__xludf.DUMMYFUNCTION("""COMPUTED_VALUE"""),11.97)</f>
        <v>11.97</v>
      </c>
      <c r="D3385" s="2">
        <f>IFERROR(__xludf.DUMMYFUNCTION("""COMPUTED_VALUE"""),11.55)</f>
        <v>11.55</v>
      </c>
      <c r="E3385" s="2">
        <f>IFERROR(__xludf.DUMMYFUNCTION("""COMPUTED_VALUE"""),11.85)</f>
        <v>11.85</v>
      </c>
      <c r="F3385" s="2">
        <f>IFERROR(__xludf.DUMMYFUNCTION("""COMPUTED_VALUE"""),3017000.0)</f>
        <v>3017000</v>
      </c>
    </row>
    <row r="3386">
      <c r="A3386" s="3">
        <f>IFERROR(__xludf.DUMMYFUNCTION("""COMPUTED_VALUE"""),34109.666666666664)</f>
        <v>34109.66667</v>
      </c>
      <c r="B3386" s="2">
        <f>IFERROR(__xludf.DUMMYFUNCTION("""COMPUTED_VALUE"""),11.76)</f>
        <v>11.76</v>
      </c>
      <c r="C3386" s="2">
        <f>IFERROR(__xludf.DUMMYFUNCTION("""COMPUTED_VALUE"""),11.82)</f>
        <v>11.82</v>
      </c>
      <c r="D3386" s="2">
        <f>IFERROR(__xludf.DUMMYFUNCTION("""COMPUTED_VALUE"""),11.64)</f>
        <v>11.64</v>
      </c>
      <c r="E3386" s="2">
        <f>IFERROR(__xludf.DUMMYFUNCTION("""COMPUTED_VALUE"""),11.76)</f>
        <v>11.76</v>
      </c>
      <c r="F3386" s="2">
        <f>IFERROR(__xludf.DUMMYFUNCTION("""COMPUTED_VALUE"""),1412800.0)</f>
        <v>1412800</v>
      </c>
    </row>
    <row r="3387">
      <c r="A3387" s="3">
        <f>IFERROR(__xludf.DUMMYFUNCTION("""COMPUTED_VALUE"""),34110.666666666664)</f>
        <v>34110.66667</v>
      </c>
      <c r="B3387" s="2">
        <f>IFERROR(__xludf.DUMMYFUNCTION("""COMPUTED_VALUE"""),11.55)</f>
        <v>11.55</v>
      </c>
      <c r="C3387" s="2">
        <f>IFERROR(__xludf.DUMMYFUNCTION("""COMPUTED_VALUE"""),11.76)</f>
        <v>11.76</v>
      </c>
      <c r="D3387" s="2">
        <f>IFERROR(__xludf.DUMMYFUNCTION("""COMPUTED_VALUE"""),11.52)</f>
        <v>11.52</v>
      </c>
      <c r="E3387" s="2">
        <f>IFERROR(__xludf.DUMMYFUNCTION("""COMPUTED_VALUE"""),11.55)</f>
        <v>11.55</v>
      </c>
      <c r="F3387" s="2">
        <f>IFERROR(__xludf.DUMMYFUNCTION("""COMPUTED_VALUE"""),1545300.0)</f>
        <v>1545300</v>
      </c>
    </row>
    <row r="3388">
      <c r="A3388" s="3">
        <f>IFERROR(__xludf.DUMMYFUNCTION("""COMPUTED_VALUE"""),34113.666666666664)</f>
        <v>34113.66667</v>
      </c>
      <c r="B3388" s="2">
        <f>IFERROR(__xludf.DUMMYFUNCTION("""COMPUTED_VALUE"""),11.88)</f>
        <v>11.88</v>
      </c>
      <c r="C3388" s="2">
        <f>IFERROR(__xludf.DUMMYFUNCTION("""COMPUTED_VALUE"""),11.91)</f>
        <v>11.91</v>
      </c>
      <c r="D3388" s="2">
        <f>IFERROR(__xludf.DUMMYFUNCTION("""COMPUTED_VALUE"""),11.58)</f>
        <v>11.58</v>
      </c>
      <c r="E3388" s="2">
        <f>IFERROR(__xludf.DUMMYFUNCTION("""COMPUTED_VALUE"""),11.88)</f>
        <v>11.88</v>
      </c>
      <c r="F3388" s="2">
        <f>IFERROR(__xludf.DUMMYFUNCTION("""COMPUTED_VALUE"""),1775000.0)</f>
        <v>1775000</v>
      </c>
    </row>
    <row r="3389">
      <c r="A3389" s="3">
        <f>IFERROR(__xludf.DUMMYFUNCTION("""COMPUTED_VALUE"""),34114.666666666664)</f>
        <v>34114.66667</v>
      </c>
      <c r="B3389" s="2">
        <f>IFERROR(__xludf.DUMMYFUNCTION("""COMPUTED_VALUE"""),12.03)</f>
        <v>12.03</v>
      </c>
      <c r="C3389" s="2">
        <f>IFERROR(__xludf.DUMMYFUNCTION("""COMPUTED_VALUE"""),12.15)</f>
        <v>12.15</v>
      </c>
      <c r="D3389" s="2">
        <f>IFERROR(__xludf.DUMMYFUNCTION("""COMPUTED_VALUE"""),11.91)</f>
        <v>11.91</v>
      </c>
      <c r="E3389" s="2">
        <f>IFERROR(__xludf.DUMMYFUNCTION("""COMPUTED_VALUE"""),12.03)</f>
        <v>12.03</v>
      </c>
      <c r="F3389" s="2">
        <f>IFERROR(__xludf.DUMMYFUNCTION("""COMPUTED_VALUE"""),2940800.0)</f>
        <v>2940800</v>
      </c>
    </row>
    <row r="3390">
      <c r="A3390" s="3">
        <f>IFERROR(__xludf.DUMMYFUNCTION("""COMPUTED_VALUE"""),34115.666666666664)</f>
        <v>34115.66667</v>
      </c>
      <c r="B3390" s="2">
        <f>IFERROR(__xludf.DUMMYFUNCTION("""COMPUTED_VALUE"""),12.6)</f>
        <v>12.6</v>
      </c>
      <c r="C3390" s="2">
        <f>IFERROR(__xludf.DUMMYFUNCTION("""COMPUTED_VALUE"""),12.6)</f>
        <v>12.6</v>
      </c>
      <c r="D3390" s="2">
        <f>IFERROR(__xludf.DUMMYFUNCTION("""COMPUTED_VALUE"""),12.06)</f>
        <v>12.06</v>
      </c>
      <c r="E3390" s="2">
        <f>IFERROR(__xludf.DUMMYFUNCTION("""COMPUTED_VALUE"""),12.6)</f>
        <v>12.6</v>
      </c>
      <c r="F3390" s="2">
        <f>IFERROR(__xludf.DUMMYFUNCTION("""COMPUTED_VALUE"""),4056400.0)</f>
        <v>4056400</v>
      </c>
    </row>
    <row r="3391">
      <c r="A3391" s="3">
        <f>IFERROR(__xludf.DUMMYFUNCTION("""COMPUTED_VALUE"""),34116.666666666664)</f>
        <v>34116.66667</v>
      </c>
      <c r="B3391" s="2">
        <f>IFERROR(__xludf.DUMMYFUNCTION("""COMPUTED_VALUE"""),12.72)</f>
        <v>12.72</v>
      </c>
      <c r="C3391" s="2">
        <f>IFERROR(__xludf.DUMMYFUNCTION("""COMPUTED_VALUE"""),12.89)</f>
        <v>12.89</v>
      </c>
      <c r="D3391" s="2">
        <f>IFERROR(__xludf.DUMMYFUNCTION("""COMPUTED_VALUE"""),12.63)</f>
        <v>12.63</v>
      </c>
      <c r="E3391" s="2">
        <f>IFERROR(__xludf.DUMMYFUNCTION("""COMPUTED_VALUE"""),12.72)</f>
        <v>12.72</v>
      </c>
      <c r="F3391" s="2">
        <f>IFERROR(__xludf.DUMMYFUNCTION("""COMPUTED_VALUE"""),4016200.0)</f>
        <v>4016200</v>
      </c>
    </row>
    <row r="3392">
      <c r="A3392" s="3">
        <f>IFERROR(__xludf.DUMMYFUNCTION("""COMPUTED_VALUE"""),34117.666666666664)</f>
        <v>34117.66667</v>
      </c>
      <c r="B3392" s="2">
        <f>IFERROR(__xludf.DUMMYFUNCTION("""COMPUTED_VALUE"""),12.6)</f>
        <v>12.6</v>
      </c>
      <c r="C3392" s="2">
        <f>IFERROR(__xludf.DUMMYFUNCTION("""COMPUTED_VALUE"""),12.69)</f>
        <v>12.69</v>
      </c>
      <c r="D3392" s="2">
        <f>IFERROR(__xludf.DUMMYFUNCTION("""COMPUTED_VALUE"""),12.42)</f>
        <v>12.42</v>
      </c>
      <c r="E3392" s="2">
        <f>IFERROR(__xludf.DUMMYFUNCTION("""COMPUTED_VALUE"""),12.6)</f>
        <v>12.6</v>
      </c>
      <c r="F3392" s="2">
        <f>IFERROR(__xludf.DUMMYFUNCTION("""COMPUTED_VALUE"""),2265800.0)</f>
        <v>2265800</v>
      </c>
    </row>
    <row r="3393">
      <c r="A3393" s="3">
        <f>IFERROR(__xludf.DUMMYFUNCTION("""COMPUTED_VALUE"""),34121.666666666664)</f>
        <v>34121.66667</v>
      </c>
      <c r="B3393" s="2">
        <f>IFERROR(__xludf.DUMMYFUNCTION("""COMPUTED_VALUE"""),12.42)</f>
        <v>12.42</v>
      </c>
      <c r="C3393" s="2">
        <f>IFERROR(__xludf.DUMMYFUNCTION("""COMPUTED_VALUE"""),12.75)</f>
        <v>12.75</v>
      </c>
      <c r="D3393" s="2">
        <f>IFERROR(__xludf.DUMMYFUNCTION("""COMPUTED_VALUE"""),12.39)</f>
        <v>12.39</v>
      </c>
      <c r="E3393" s="2">
        <f>IFERROR(__xludf.DUMMYFUNCTION("""COMPUTED_VALUE"""),12.42)</f>
        <v>12.42</v>
      </c>
      <c r="F3393" s="2">
        <f>IFERROR(__xludf.DUMMYFUNCTION("""COMPUTED_VALUE"""),1948700.0)</f>
        <v>1948700</v>
      </c>
    </row>
    <row r="3394">
      <c r="A3394" s="3">
        <f>IFERROR(__xludf.DUMMYFUNCTION("""COMPUTED_VALUE"""),34122.666666666664)</f>
        <v>34122.66667</v>
      </c>
      <c r="B3394" s="2">
        <f>IFERROR(__xludf.DUMMYFUNCTION("""COMPUTED_VALUE"""),12.86)</f>
        <v>12.86</v>
      </c>
      <c r="C3394" s="2">
        <f>IFERROR(__xludf.DUMMYFUNCTION("""COMPUTED_VALUE"""),12.89)</f>
        <v>12.89</v>
      </c>
      <c r="D3394" s="2">
        <f>IFERROR(__xludf.DUMMYFUNCTION("""COMPUTED_VALUE"""),12.36)</f>
        <v>12.36</v>
      </c>
      <c r="E3394" s="2">
        <f>IFERROR(__xludf.DUMMYFUNCTION("""COMPUTED_VALUE"""),12.86)</f>
        <v>12.86</v>
      </c>
      <c r="F3394" s="2">
        <f>IFERROR(__xludf.DUMMYFUNCTION("""COMPUTED_VALUE"""),2483000.0)</f>
        <v>2483000</v>
      </c>
    </row>
    <row r="3395">
      <c r="A3395" s="3">
        <f>IFERROR(__xludf.DUMMYFUNCTION("""COMPUTED_VALUE"""),34123.666666666664)</f>
        <v>34123.66667</v>
      </c>
      <c r="B3395" s="2">
        <f>IFERROR(__xludf.DUMMYFUNCTION("""COMPUTED_VALUE"""),12.86)</f>
        <v>12.86</v>
      </c>
      <c r="C3395" s="2">
        <f>IFERROR(__xludf.DUMMYFUNCTION("""COMPUTED_VALUE"""),12.98)</f>
        <v>12.98</v>
      </c>
      <c r="D3395" s="2">
        <f>IFERROR(__xludf.DUMMYFUNCTION("""COMPUTED_VALUE"""),12.78)</f>
        <v>12.78</v>
      </c>
      <c r="E3395" s="2">
        <f>IFERROR(__xludf.DUMMYFUNCTION("""COMPUTED_VALUE"""),12.86)</f>
        <v>12.86</v>
      </c>
      <c r="F3395" s="2">
        <f>IFERROR(__xludf.DUMMYFUNCTION("""COMPUTED_VALUE"""),2622800.0)</f>
        <v>2622800</v>
      </c>
    </row>
    <row r="3396">
      <c r="A3396" s="3">
        <f>IFERROR(__xludf.DUMMYFUNCTION("""COMPUTED_VALUE"""),34124.666666666664)</f>
        <v>34124.66667</v>
      </c>
      <c r="B3396" s="2">
        <f>IFERROR(__xludf.DUMMYFUNCTION("""COMPUTED_VALUE"""),12.89)</f>
        <v>12.89</v>
      </c>
      <c r="C3396" s="2">
        <f>IFERROR(__xludf.DUMMYFUNCTION("""COMPUTED_VALUE"""),12.98)</f>
        <v>12.98</v>
      </c>
      <c r="D3396" s="2">
        <f>IFERROR(__xludf.DUMMYFUNCTION("""COMPUTED_VALUE"""),12.81)</f>
        <v>12.81</v>
      </c>
      <c r="E3396" s="2">
        <f>IFERROR(__xludf.DUMMYFUNCTION("""COMPUTED_VALUE"""),12.89)</f>
        <v>12.89</v>
      </c>
      <c r="F3396" s="2">
        <f>IFERROR(__xludf.DUMMYFUNCTION("""COMPUTED_VALUE"""),1878700.0)</f>
        <v>1878700</v>
      </c>
    </row>
    <row r="3397">
      <c r="A3397" s="3">
        <f>IFERROR(__xludf.DUMMYFUNCTION("""COMPUTED_VALUE"""),34127.666666666664)</f>
        <v>34127.66667</v>
      </c>
      <c r="B3397" s="2">
        <f>IFERROR(__xludf.DUMMYFUNCTION("""COMPUTED_VALUE"""),12.48)</f>
        <v>12.48</v>
      </c>
      <c r="C3397" s="2">
        <f>IFERROR(__xludf.DUMMYFUNCTION("""COMPUTED_VALUE"""),12.89)</f>
        <v>12.89</v>
      </c>
      <c r="D3397" s="2">
        <f>IFERROR(__xludf.DUMMYFUNCTION("""COMPUTED_VALUE"""),12.48)</f>
        <v>12.48</v>
      </c>
      <c r="E3397" s="2">
        <f>IFERROR(__xludf.DUMMYFUNCTION("""COMPUTED_VALUE"""),12.48)</f>
        <v>12.48</v>
      </c>
      <c r="F3397" s="2">
        <f>IFERROR(__xludf.DUMMYFUNCTION("""COMPUTED_VALUE"""),1690800.0)</f>
        <v>1690800</v>
      </c>
    </row>
    <row r="3398">
      <c r="A3398" s="3">
        <f>IFERROR(__xludf.DUMMYFUNCTION("""COMPUTED_VALUE"""),34128.666666666664)</f>
        <v>34128.66667</v>
      </c>
      <c r="B3398" s="2">
        <f>IFERROR(__xludf.DUMMYFUNCTION("""COMPUTED_VALUE"""),12.48)</f>
        <v>12.48</v>
      </c>
      <c r="C3398" s="2">
        <f>IFERROR(__xludf.DUMMYFUNCTION("""COMPUTED_VALUE"""),12.54)</f>
        <v>12.54</v>
      </c>
      <c r="D3398" s="2">
        <f>IFERROR(__xludf.DUMMYFUNCTION("""COMPUTED_VALUE"""),12.33)</f>
        <v>12.33</v>
      </c>
      <c r="E3398" s="2">
        <f>IFERROR(__xludf.DUMMYFUNCTION("""COMPUTED_VALUE"""),12.48)</f>
        <v>12.48</v>
      </c>
      <c r="F3398" s="2">
        <f>IFERROR(__xludf.DUMMYFUNCTION("""COMPUTED_VALUE"""),1464900.0)</f>
        <v>1464900</v>
      </c>
    </row>
    <row r="3399">
      <c r="A3399" s="3">
        <f>IFERROR(__xludf.DUMMYFUNCTION("""COMPUTED_VALUE"""),34129.666666666664)</f>
        <v>34129.66667</v>
      </c>
      <c r="B3399" s="2">
        <f>IFERROR(__xludf.DUMMYFUNCTION("""COMPUTED_VALUE"""),12.63)</f>
        <v>12.63</v>
      </c>
      <c r="C3399" s="2">
        <f>IFERROR(__xludf.DUMMYFUNCTION("""COMPUTED_VALUE"""),12.75)</f>
        <v>12.75</v>
      </c>
      <c r="D3399" s="2">
        <f>IFERROR(__xludf.DUMMYFUNCTION("""COMPUTED_VALUE"""),12.57)</f>
        <v>12.57</v>
      </c>
      <c r="E3399" s="2">
        <f>IFERROR(__xludf.DUMMYFUNCTION("""COMPUTED_VALUE"""),12.63)</f>
        <v>12.63</v>
      </c>
      <c r="F3399" s="2">
        <f>IFERROR(__xludf.DUMMYFUNCTION("""COMPUTED_VALUE"""),1218200.0)</f>
        <v>1218200</v>
      </c>
    </row>
    <row r="3400">
      <c r="A3400" s="3">
        <f>IFERROR(__xludf.DUMMYFUNCTION("""COMPUTED_VALUE"""),34130.666666666664)</f>
        <v>34130.66667</v>
      </c>
      <c r="B3400" s="2">
        <f>IFERROR(__xludf.DUMMYFUNCTION("""COMPUTED_VALUE"""),12.54)</f>
        <v>12.54</v>
      </c>
      <c r="C3400" s="2">
        <f>IFERROR(__xludf.DUMMYFUNCTION("""COMPUTED_VALUE"""),12.6)</f>
        <v>12.6</v>
      </c>
      <c r="D3400" s="2">
        <f>IFERROR(__xludf.DUMMYFUNCTION("""COMPUTED_VALUE"""),12.3)</f>
        <v>12.3</v>
      </c>
      <c r="E3400" s="2">
        <f>IFERROR(__xludf.DUMMYFUNCTION("""COMPUTED_VALUE"""),12.54)</f>
        <v>12.54</v>
      </c>
      <c r="F3400" s="2">
        <f>IFERROR(__xludf.DUMMYFUNCTION("""COMPUTED_VALUE"""),1505200.0)</f>
        <v>1505200</v>
      </c>
    </row>
    <row r="3401">
      <c r="A3401" s="3">
        <f>IFERROR(__xludf.DUMMYFUNCTION("""COMPUTED_VALUE"""),34131.666666666664)</f>
        <v>34131.66667</v>
      </c>
      <c r="B3401" s="2">
        <f>IFERROR(__xludf.DUMMYFUNCTION("""COMPUTED_VALUE"""),12.54)</f>
        <v>12.54</v>
      </c>
      <c r="C3401" s="2">
        <f>IFERROR(__xludf.DUMMYFUNCTION("""COMPUTED_VALUE"""),12.66)</f>
        <v>12.66</v>
      </c>
      <c r="D3401" s="2">
        <f>IFERROR(__xludf.DUMMYFUNCTION("""COMPUTED_VALUE"""),12.51)</f>
        <v>12.51</v>
      </c>
      <c r="E3401" s="2">
        <f>IFERROR(__xludf.DUMMYFUNCTION("""COMPUTED_VALUE"""),12.54)</f>
        <v>12.54</v>
      </c>
      <c r="F3401" s="2">
        <f>IFERROR(__xludf.DUMMYFUNCTION("""COMPUTED_VALUE"""),1340300.0)</f>
        <v>1340300</v>
      </c>
    </row>
    <row r="3402">
      <c r="A3402" s="3">
        <f>IFERROR(__xludf.DUMMYFUNCTION("""COMPUTED_VALUE"""),34134.666666666664)</f>
        <v>34134.66667</v>
      </c>
      <c r="B3402" s="2">
        <f>IFERROR(__xludf.DUMMYFUNCTION("""COMPUTED_VALUE"""),12.42)</f>
        <v>12.42</v>
      </c>
      <c r="C3402" s="2">
        <f>IFERROR(__xludf.DUMMYFUNCTION("""COMPUTED_VALUE"""),12.54)</f>
        <v>12.54</v>
      </c>
      <c r="D3402" s="2">
        <f>IFERROR(__xludf.DUMMYFUNCTION("""COMPUTED_VALUE"""),12.39)</f>
        <v>12.39</v>
      </c>
      <c r="E3402" s="2">
        <f>IFERROR(__xludf.DUMMYFUNCTION("""COMPUTED_VALUE"""),12.42)</f>
        <v>12.42</v>
      </c>
      <c r="F3402" s="2">
        <f>IFERROR(__xludf.DUMMYFUNCTION("""COMPUTED_VALUE"""),1174700.0)</f>
        <v>1174700</v>
      </c>
    </row>
    <row r="3403">
      <c r="A3403" s="3">
        <f>IFERROR(__xludf.DUMMYFUNCTION("""COMPUTED_VALUE"""),34135.666666666664)</f>
        <v>34135.66667</v>
      </c>
      <c r="B3403" s="2">
        <f>IFERROR(__xludf.DUMMYFUNCTION("""COMPUTED_VALUE"""),11.91)</f>
        <v>11.91</v>
      </c>
      <c r="C3403" s="2">
        <f>IFERROR(__xludf.DUMMYFUNCTION("""COMPUTED_VALUE"""),12.39)</f>
        <v>12.39</v>
      </c>
      <c r="D3403" s="2">
        <f>IFERROR(__xludf.DUMMYFUNCTION("""COMPUTED_VALUE"""),11.88)</f>
        <v>11.88</v>
      </c>
      <c r="E3403" s="2">
        <f>IFERROR(__xludf.DUMMYFUNCTION("""COMPUTED_VALUE"""),11.91)</f>
        <v>11.91</v>
      </c>
      <c r="F3403" s="2">
        <f>IFERROR(__xludf.DUMMYFUNCTION("""COMPUTED_VALUE"""),3026800.0)</f>
        <v>3026800</v>
      </c>
    </row>
    <row r="3404">
      <c r="A3404" s="3">
        <f>IFERROR(__xludf.DUMMYFUNCTION("""COMPUTED_VALUE"""),34136.666666666664)</f>
        <v>34136.66667</v>
      </c>
      <c r="B3404" s="2">
        <f>IFERROR(__xludf.DUMMYFUNCTION("""COMPUTED_VALUE"""),12.03)</f>
        <v>12.03</v>
      </c>
      <c r="C3404" s="2">
        <f>IFERROR(__xludf.DUMMYFUNCTION("""COMPUTED_VALUE"""),12.03)</f>
        <v>12.03</v>
      </c>
      <c r="D3404" s="2">
        <f>IFERROR(__xludf.DUMMYFUNCTION("""COMPUTED_VALUE"""),11.67)</f>
        <v>11.67</v>
      </c>
      <c r="E3404" s="2">
        <f>IFERROR(__xludf.DUMMYFUNCTION("""COMPUTED_VALUE"""),12.03)</f>
        <v>12.03</v>
      </c>
      <c r="F3404" s="2">
        <f>IFERROR(__xludf.DUMMYFUNCTION("""COMPUTED_VALUE"""),2633200.0)</f>
        <v>2633200</v>
      </c>
    </row>
    <row r="3405">
      <c r="A3405" s="3">
        <f>IFERROR(__xludf.DUMMYFUNCTION("""COMPUTED_VALUE"""),34137.666666666664)</f>
        <v>34137.66667</v>
      </c>
      <c r="B3405" s="2">
        <f>IFERROR(__xludf.DUMMYFUNCTION("""COMPUTED_VALUE"""),11.85)</f>
        <v>11.85</v>
      </c>
      <c r="C3405" s="2">
        <f>IFERROR(__xludf.DUMMYFUNCTION("""COMPUTED_VALUE"""),12.0)</f>
        <v>12</v>
      </c>
      <c r="D3405" s="2">
        <f>IFERROR(__xludf.DUMMYFUNCTION("""COMPUTED_VALUE"""),11.79)</f>
        <v>11.79</v>
      </c>
      <c r="E3405" s="2">
        <f>IFERROR(__xludf.DUMMYFUNCTION("""COMPUTED_VALUE"""),11.85)</f>
        <v>11.85</v>
      </c>
      <c r="F3405" s="2">
        <f>IFERROR(__xludf.DUMMYFUNCTION("""COMPUTED_VALUE"""),1302900.0)</f>
        <v>1302900</v>
      </c>
    </row>
    <row r="3406">
      <c r="A3406" s="3">
        <f>IFERROR(__xludf.DUMMYFUNCTION("""COMPUTED_VALUE"""),34138.666666666664)</f>
        <v>34138.66667</v>
      </c>
      <c r="B3406" s="2">
        <f>IFERROR(__xludf.DUMMYFUNCTION("""COMPUTED_VALUE"""),11.79)</f>
        <v>11.79</v>
      </c>
      <c r="C3406" s="2">
        <f>IFERROR(__xludf.DUMMYFUNCTION("""COMPUTED_VALUE"""),11.85)</f>
        <v>11.85</v>
      </c>
      <c r="D3406" s="2">
        <f>IFERROR(__xludf.DUMMYFUNCTION("""COMPUTED_VALUE"""),11.67)</f>
        <v>11.67</v>
      </c>
      <c r="E3406" s="2">
        <f>IFERROR(__xludf.DUMMYFUNCTION("""COMPUTED_VALUE"""),11.79)</f>
        <v>11.79</v>
      </c>
      <c r="F3406" s="2">
        <f>IFERROR(__xludf.DUMMYFUNCTION("""COMPUTED_VALUE"""),2075300.0)</f>
        <v>2075300</v>
      </c>
    </row>
    <row r="3407">
      <c r="A3407" s="3">
        <f>IFERROR(__xludf.DUMMYFUNCTION("""COMPUTED_VALUE"""),34141.666666666664)</f>
        <v>34141.66667</v>
      </c>
      <c r="B3407" s="2">
        <f>IFERROR(__xludf.DUMMYFUNCTION("""COMPUTED_VALUE"""),11.76)</f>
        <v>11.76</v>
      </c>
      <c r="C3407" s="2">
        <f>IFERROR(__xludf.DUMMYFUNCTION("""COMPUTED_VALUE"""),11.97)</f>
        <v>11.97</v>
      </c>
      <c r="D3407" s="2">
        <f>IFERROR(__xludf.DUMMYFUNCTION("""COMPUTED_VALUE"""),11.7)</f>
        <v>11.7</v>
      </c>
      <c r="E3407" s="2">
        <f>IFERROR(__xludf.DUMMYFUNCTION("""COMPUTED_VALUE"""),11.76)</f>
        <v>11.76</v>
      </c>
      <c r="F3407" s="2">
        <f>IFERROR(__xludf.DUMMYFUNCTION("""COMPUTED_VALUE"""),1241200.0)</f>
        <v>1241200</v>
      </c>
    </row>
    <row r="3408">
      <c r="A3408" s="3">
        <f>IFERROR(__xludf.DUMMYFUNCTION("""COMPUTED_VALUE"""),34142.666666666664)</f>
        <v>34142.66667</v>
      </c>
      <c r="B3408" s="2">
        <f>IFERROR(__xludf.DUMMYFUNCTION("""COMPUTED_VALUE"""),11.76)</f>
        <v>11.76</v>
      </c>
      <c r="C3408" s="2">
        <f>IFERROR(__xludf.DUMMYFUNCTION("""COMPUTED_VALUE"""),11.85)</f>
        <v>11.85</v>
      </c>
      <c r="D3408" s="2">
        <f>IFERROR(__xludf.DUMMYFUNCTION("""COMPUTED_VALUE"""),11.73)</f>
        <v>11.73</v>
      </c>
      <c r="E3408" s="2">
        <f>IFERROR(__xludf.DUMMYFUNCTION("""COMPUTED_VALUE"""),11.76)</f>
        <v>11.76</v>
      </c>
      <c r="F3408" s="2">
        <f>IFERROR(__xludf.DUMMYFUNCTION("""COMPUTED_VALUE"""),1069800.0)</f>
        <v>1069800</v>
      </c>
    </row>
    <row r="3409">
      <c r="A3409" s="3">
        <f>IFERROR(__xludf.DUMMYFUNCTION("""COMPUTED_VALUE"""),34143.666666666664)</f>
        <v>34143.66667</v>
      </c>
      <c r="B3409" s="2">
        <f>IFERROR(__xludf.DUMMYFUNCTION("""COMPUTED_VALUE"""),11.61)</f>
        <v>11.61</v>
      </c>
      <c r="C3409" s="2">
        <f>IFERROR(__xludf.DUMMYFUNCTION("""COMPUTED_VALUE"""),11.79)</f>
        <v>11.79</v>
      </c>
      <c r="D3409" s="2">
        <f>IFERROR(__xludf.DUMMYFUNCTION("""COMPUTED_VALUE"""),11.58)</f>
        <v>11.58</v>
      </c>
      <c r="E3409" s="2">
        <f>IFERROR(__xludf.DUMMYFUNCTION("""COMPUTED_VALUE"""),11.61)</f>
        <v>11.61</v>
      </c>
      <c r="F3409" s="2">
        <f>IFERROR(__xludf.DUMMYFUNCTION("""COMPUTED_VALUE"""),1501500.0)</f>
        <v>1501500</v>
      </c>
    </row>
    <row r="3410">
      <c r="A3410" s="3">
        <f>IFERROR(__xludf.DUMMYFUNCTION("""COMPUTED_VALUE"""),34144.666666666664)</f>
        <v>34144.66667</v>
      </c>
      <c r="B3410" s="2">
        <f>IFERROR(__xludf.DUMMYFUNCTION("""COMPUTED_VALUE"""),11.64)</f>
        <v>11.64</v>
      </c>
      <c r="C3410" s="2">
        <f>IFERROR(__xludf.DUMMYFUNCTION("""COMPUTED_VALUE"""),11.73)</f>
        <v>11.73</v>
      </c>
      <c r="D3410" s="2">
        <f>IFERROR(__xludf.DUMMYFUNCTION("""COMPUTED_VALUE"""),11.61)</f>
        <v>11.61</v>
      </c>
      <c r="E3410" s="2">
        <f>IFERROR(__xludf.DUMMYFUNCTION("""COMPUTED_VALUE"""),11.64)</f>
        <v>11.64</v>
      </c>
      <c r="F3410" s="2">
        <f>IFERROR(__xludf.DUMMYFUNCTION("""COMPUTED_VALUE"""),1103600.0)</f>
        <v>1103600</v>
      </c>
    </row>
    <row r="3411">
      <c r="A3411" s="3">
        <f>IFERROR(__xludf.DUMMYFUNCTION("""COMPUTED_VALUE"""),34145.666666666664)</f>
        <v>34145.66667</v>
      </c>
      <c r="B3411" s="2">
        <f>IFERROR(__xludf.DUMMYFUNCTION("""COMPUTED_VALUE"""),11.88)</f>
        <v>11.88</v>
      </c>
      <c r="C3411" s="2">
        <f>IFERROR(__xludf.DUMMYFUNCTION("""COMPUTED_VALUE"""),11.88)</f>
        <v>11.88</v>
      </c>
      <c r="D3411" s="2">
        <f>IFERROR(__xludf.DUMMYFUNCTION("""COMPUTED_VALUE"""),11.67)</f>
        <v>11.67</v>
      </c>
      <c r="E3411" s="2">
        <f>IFERROR(__xludf.DUMMYFUNCTION("""COMPUTED_VALUE"""),11.88)</f>
        <v>11.88</v>
      </c>
      <c r="F3411" s="2">
        <f>IFERROR(__xludf.DUMMYFUNCTION("""COMPUTED_VALUE"""),1376300.0)</f>
        <v>1376300</v>
      </c>
    </row>
    <row r="3412">
      <c r="A3412" s="3">
        <f>IFERROR(__xludf.DUMMYFUNCTION("""COMPUTED_VALUE"""),34148.666666666664)</f>
        <v>34148.66667</v>
      </c>
      <c r="B3412" s="2">
        <f>IFERROR(__xludf.DUMMYFUNCTION("""COMPUTED_VALUE"""),12.03)</f>
        <v>12.03</v>
      </c>
      <c r="C3412" s="2">
        <f>IFERROR(__xludf.DUMMYFUNCTION("""COMPUTED_VALUE"""),12.12)</f>
        <v>12.12</v>
      </c>
      <c r="D3412" s="2">
        <f>IFERROR(__xludf.DUMMYFUNCTION("""COMPUTED_VALUE"""),11.88)</f>
        <v>11.88</v>
      </c>
      <c r="E3412" s="2">
        <f>IFERROR(__xludf.DUMMYFUNCTION("""COMPUTED_VALUE"""),12.03)</f>
        <v>12.03</v>
      </c>
      <c r="F3412" s="2">
        <f>IFERROR(__xludf.DUMMYFUNCTION("""COMPUTED_VALUE"""),1398500.0)</f>
        <v>1398500</v>
      </c>
    </row>
    <row r="3413">
      <c r="A3413" s="3">
        <f>IFERROR(__xludf.DUMMYFUNCTION("""COMPUTED_VALUE"""),34149.666666666664)</f>
        <v>34149.66667</v>
      </c>
      <c r="B3413" s="2">
        <f>IFERROR(__xludf.DUMMYFUNCTION("""COMPUTED_VALUE"""),11.79)</f>
        <v>11.79</v>
      </c>
      <c r="C3413" s="2">
        <f>IFERROR(__xludf.DUMMYFUNCTION("""COMPUTED_VALUE"""),12.06)</f>
        <v>12.06</v>
      </c>
      <c r="D3413" s="2">
        <f>IFERROR(__xludf.DUMMYFUNCTION("""COMPUTED_VALUE"""),11.64)</f>
        <v>11.64</v>
      </c>
      <c r="E3413" s="2">
        <f>IFERROR(__xludf.DUMMYFUNCTION("""COMPUTED_VALUE"""),11.79)</f>
        <v>11.79</v>
      </c>
      <c r="F3413" s="2">
        <f>IFERROR(__xludf.DUMMYFUNCTION("""COMPUTED_VALUE"""),1437800.0)</f>
        <v>1437800</v>
      </c>
    </row>
    <row r="3414">
      <c r="A3414" s="3">
        <f>IFERROR(__xludf.DUMMYFUNCTION("""COMPUTED_VALUE"""),34150.666666666664)</f>
        <v>34150.66667</v>
      </c>
      <c r="B3414" s="2">
        <f>IFERROR(__xludf.DUMMYFUNCTION("""COMPUTED_VALUE"""),11.79)</f>
        <v>11.79</v>
      </c>
      <c r="C3414" s="2">
        <f>IFERROR(__xludf.DUMMYFUNCTION("""COMPUTED_VALUE"""),11.91)</f>
        <v>11.91</v>
      </c>
      <c r="D3414" s="2">
        <f>IFERROR(__xludf.DUMMYFUNCTION("""COMPUTED_VALUE"""),11.73)</f>
        <v>11.73</v>
      </c>
      <c r="E3414" s="2">
        <f>IFERROR(__xludf.DUMMYFUNCTION("""COMPUTED_VALUE"""),11.79)</f>
        <v>11.79</v>
      </c>
      <c r="F3414" s="2">
        <f>IFERROR(__xludf.DUMMYFUNCTION("""COMPUTED_VALUE"""),986300.0)</f>
        <v>986300</v>
      </c>
    </row>
    <row r="3415">
      <c r="A3415" s="3">
        <f>IFERROR(__xludf.DUMMYFUNCTION("""COMPUTED_VALUE"""),34151.666666666664)</f>
        <v>34151.66667</v>
      </c>
      <c r="B3415" s="2">
        <f>IFERROR(__xludf.DUMMYFUNCTION("""COMPUTED_VALUE"""),11.76)</f>
        <v>11.76</v>
      </c>
      <c r="C3415" s="2">
        <f>IFERROR(__xludf.DUMMYFUNCTION("""COMPUTED_VALUE"""),11.88)</f>
        <v>11.88</v>
      </c>
      <c r="D3415" s="2">
        <f>IFERROR(__xludf.DUMMYFUNCTION("""COMPUTED_VALUE"""),11.73)</f>
        <v>11.73</v>
      </c>
      <c r="E3415" s="2">
        <f>IFERROR(__xludf.DUMMYFUNCTION("""COMPUTED_VALUE"""),11.76)</f>
        <v>11.76</v>
      </c>
      <c r="F3415" s="2">
        <f>IFERROR(__xludf.DUMMYFUNCTION("""COMPUTED_VALUE"""),895300.0)</f>
        <v>895300</v>
      </c>
    </row>
    <row r="3416">
      <c r="A3416" s="3">
        <f>IFERROR(__xludf.DUMMYFUNCTION("""COMPUTED_VALUE"""),34152.666666666664)</f>
        <v>34152.66667</v>
      </c>
      <c r="B3416" s="2">
        <f>IFERROR(__xludf.DUMMYFUNCTION("""COMPUTED_VALUE"""),11.52)</f>
        <v>11.52</v>
      </c>
      <c r="C3416" s="2">
        <f>IFERROR(__xludf.DUMMYFUNCTION("""COMPUTED_VALUE"""),11.61)</f>
        <v>11.61</v>
      </c>
      <c r="D3416" s="2">
        <f>IFERROR(__xludf.DUMMYFUNCTION("""COMPUTED_VALUE"""),11.4)</f>
        <v>11.4</v>
      </c>
      <c r="E3416" s="2">
        <f>IFERROR(__xludf.DUMMYFUNCTION("""COMPUTED_VALUE"""),11.52)</f>
        <v>11.52</v>
      </c>
      <c r="F3416" s="2">
        <f>IFERROR(__xludf.DUMMYFUNCTION("""COMPUTED_VALUE"""),2434400.0)</f>
        <v>2434400</v>
      </c>
    </row>
    <row r="3417">
      <c r="A3417" s="3">
        <f>IFERROR(__xludf.DUMMYFUNCTION("""COMPUTED_VALUE"""),34156.666666666664)</f>
        <v>34156.66667</v>
      </c>
      <c r="B3417" s="2">
        <f>IFERROR(__xludf.DUMMYFUNCTION("""COMPUTED_VALUE"""),11.19)</f>
        <v>11.19</v>
      </c>
      <c r="C3417" s="2">
        <f>IFERROR(__xludf.DUMMYFUNCTION("""COMPUTED_VALUE"""),11.49)</f>
        <v>11.49</v>
      </c>
      <c r="D3417" s="2">
        <f>IFERROR(__xludf.DUMMYFUNCTION("""COMPUTED_VALUE"""),11.19)</f>
        <v>11.19</v>
      </c>
      <c r="E3417" s="2">
        <f>IFERROR(__xludf.DUMMYFUNCTION("""COMPUTED_VALUE"""),11.19)</f>
        <v>11.19</v>
      </c>
      <c r="F3417" s="2">
        <f>IFERROR(__xludf.DUMMYFUNCTION("""COMPUTED_VALUE"""),1827500.0)</f>
        <v>1827500</v>
      </c>
    </row>
    <row r="3418">
      <c r="A3418" s="3">
        <f>IFERROR(__xludf.DUMMYFUNCTION("""COMPUTED_VALUE"""),34157.666666666664)</f>
        <v>34157.66667</v>
      </c>
      <c r="B3418" s="2">
        <f>IFERROR(__xludf.DUMMYFUNCTION("""COMPUTED_VALUE"""),11.13)</f>
        <v>11.13</v>
      </c>
      <c r="C3418" s="2">
        <f>IFERROR(__xludf.DUMMYFUNCTION("""COMPUTED_VALUE"""),11.22)</f>
        <v>11.22</v>
      </c>
      <c r="D3418" s="2">
        <f>IFERROR(__xludf.DUMMYFUNCTION("""COMPUTED_VALUE"""),11.07)</f>
        <v>11.07</v>
      </c>
      <c r="E3418" s="2">
        <f>IFERROR(__xludf.DUMMYFUNCTION("""COMPUTED_VALUE"""),11.13)</f>
        <v>11.13</v>
      </c>
      <c r="F3418" s="2">
        <f>IFERROR(__xludf.DUMMYFUNCTION("""COMPUTED_VALUE"""),1478600.0)</f>
        <v>1478600</v>
      </c>
    </row>
    <row r="3419">
      <c r="A3419" s="3">
        <f>IFERROR(__xludf.DUMMYFUNCTION("""COMPUTED_VALUE"""),34158.666666666664)</f>
        <v>34158.66667</v>
      </c>
      <c r="B3419" s="2">
        <f>IFERROR(__xludf.DUMMYFUNCTION("""COMPUTED_VALUE"""),11.13)</f>
        <v>11.13</v>
      </c>
      <c r="C3419" s="2">
        <f>IFERROR(__xludf.DUMMYFUNCTION("""COMPUTED_VALUE"""),11.37)</f>
        <v>11.37</v>
      </c>
      <c r="D3419" s="2">
        <f>IFERROR(__xludf.DUMMYFUNCTION("""COMPUTED_VALUE"""),11.07)</f>
        <v>11.07</v>
      </c>
      <c r="E3419" s="2">
        <f>IFERROR(__xludf.DUMMYFUNCTION("""COMPUTED_VALUE"""),11.13)</f>
        <v>11.13</v>
      </c>
      <c r="F3419" s="2">
        <f>IFERROR(__xludf.DUMMYFUNCTION("""COMPUTED_VALUE"""),1814400.0)</f>
        <v>1814400</v>
      </c>
    </row>
    <row r="3420">
      <c r="A3420" s="3">
        <f>IFERROR(__xludf.DUMMYFUNCTION("""COMPUTED_VALUE"""),34159.666666666664)</f>
        <v>34159.66667</v>
      </c>
      <c r="B3420" s="2">
        <f>IFERROR(__xludf.DUMMYFUNCTION("""COMPUTED_VALUE"""),11.13)</f>
        <v>11.13</v>
      </c>
      <c r="C3420" s="2">
        <f>IFERROR(__xludf.DUMMYFUNCTION("""COMPUTED_VALUE"""),11.22)</f>
        <v>11.22</v>
      </c>
      <c r="D3420" s="2">
        <f>IFERROR(__xludf.DUMMYFUNCTION("""COMPUTED_VALUE"""),11.07)</f>
        <v>11.07</v>
      </c>
      <c r="E3420" s="2">
        <f>IFERROR(__xludf.DUMMYFUNCTION("""COMPUTED_VALUE"""),11.13)</f>
        <v>11.13</v>
      </c>
      <c r="F3420" s="2">
        <f>IFERROR(__xludf.DUMMYFUNCTION("""COMPUTED_VALUE"""),1178500.0)</f>
        <v>1178500</v>
      </c>
    </row>
    <row r="3421">
      <c r="A3421" s="3">
        <f>IFERROR(__xludf.DUMMYFUNCTION("""COMPUTED_VALUE"""),34162.666666666664)</f>
        <v>34162.66667</v>
      </c>
      <c r="B3421" s="2">
        <f>IFERROR(__xludf.DUMMYFUNCTION("""COMPUTED_VALUE"""),11.49)</f>
        <v>11.49</v>
      </c>
      <c r="C3421" s="2">
        <f>IFERROR(__xludf.DUMMYFUNCTION("""COMPUTED_VALUE"""),11.52)</f>
        <v>11.52</v>
      </c>
      <c r="D3421" s="2">
        <f>IFERROR(__xludf.DUMMYFUNCTION("""COMPUTED_VALUE"""),11.16)</f>
        <v>11.16</v>
      </c>
      <c r="E3421" s="2">
        <f>IFERROR(__xludf.DUMMYFUNCTION("""COMPUTED_VALUE"""),11.49)</f>
        <v>11.49</v>
      </c>
      <c r="F3421" s="2">
        <f>IFERROR(__xludf.DUMMYFUNCTION("""COMPUTED_VALUE"""),1258600.0)</f>
        <v>1258600</v>
      </c>
    </row>
    <row r="3422">
      <c r="A3422" s="3">
        <f>IFERROR(__xludf.DUMMYFUNCTION("""COMPUTED_VALUE"""),34163.666666666664)</f>
        <v>34163.66667</v>
      </c>
      <c r="B3422" s="2">
        <f>IFERROR(__xludf.DUMMYFUNCTION("""COMPUTED_VALUE"""),11.37)</f>
        <v>11.37</v>
      </c>
      <c r="C3422" s="2">
        <f>IFERROR(__xludf.DUMMYFUNCTION("""COMPUTED_VALUE"""),11.58)</f>
        <v>11.58</v>
      </c>
      <c r="D3422" s="2">
        <f>IFERROR(__xludf.DUMMYFUNCTION("""COMPUTED_VALUE"""),11.28)</f>
        <v>11.28</v>
      </c>
      <c r="E3422" s="2">
        <f>IFERROR(__xludf.DUMMYFUNCTION("""COMPUTED_VALUE"""),11.37)</f>
        <v>11.37</v>
      </c>
      <c r="F3422" s="2">
        <f>IFERROR(__xludf.DUMMYFUNCTION("""COMPUTED_VALUE"""),1080400.0)</f>
        <v>1080400</v>
      </c>
    </row>
    <row r="3423">
      <c r="A3423" s="3">
        <f>IFERROR(__xludf.DUMMYFUNCTION("""COMPUTED_VALUE"""),34164.666666666664)</f>
        <v>34164.66667</v>
      </c>
      <c r="B3423" s="2">
        <f>IFERROR(__xludf.DUMMYFUNCTION("""COMPUTED_VALUE"""),11.31)</f>
        <v>11.31</v>
      </c>
      <c r="C3423" s="2">
        <f>IFERROR(__xludf.DUMMYFUNCTION("""COMPUTED_VALUE"""),11.43)</f>
        <v>11.43</v>
      </c>
      <c r="D3423" s="2">
        <f>IFERROR(__xludf.DUMMYFUNCTION("""COMPUTED_VALUE"""),11.25)</f>
        <v>11.25</v>
      </c>
      <c r="E3423" s="2">
        <f>IFERROR(__xludf.DUMMYFUNCTION("""COMPUTED_VALUE"""),11.31)</f>
        <v>11.31</v>
      </c>
      <c r="F3423" s="2">
        <f>IFERROR(__xludf.DUMMYFUNCTION("""COMPUTED_VALUE"""),927200.0)</f>
        <v>927200</v>
      </c>
    </row>
    <row r="3424">
      <c r="A3424" s="3">
        <f>IFERROR(__xludf.DUMMYFUNCTION("""COMPUTED_VALUE"""),34165.666666666664)</f>
        <v>34165.66667</v>
      </c>
      <c r="B3424" s="2">
        <f>IFERROR(__xludf.DUMMYFUNCTION("""COMPUTED_VALUE"""),11.34)</f>
        <v>11.34</v>
      </c>
      <c r="C3424" s="2">
        <f>IFERROR(__xludf.DUMMYFUNCTION("""COMPUTED_VALUE"""),11.43)</f>
        <v>11.43</v>
      </c>
      <c r="D3424" s="2">
        <f>IFERROR(__xludf.DUMMYFUNCTION("""COMPUTED_VALUE"""),11.25)</f>
        <v>11.25</v>
      </c>
      <c r="E3424" s="2">
        <f>IFERROR(__xludf.DUMMYFUNCTION("""COMPUTED_VALUE"""),11.34)</f>
        <v>11.34</v>
      </c>
      <c r="F3424" s="2">
        <f>IFERROR(__xludf.DUMMYFUNCTION("""COMPUTED_VALUE"""),1132600.0)</f>
        <v>1132600</v>
      </c>
    </row>
    <row r="3425">
      <c r="A3425" s="3">
        <f>IFERROR(__xludf.DUMMYFUNCTION("""COMPUTED_VALUE"""),34166.666666666664)</f>
        <v>34166.66667</v>
      </c>
      <c r="B3425" s="2">
        <f>IFERROR(__xludf.DUMMYFUNCTION("""COMPUTED_VALUE"""),10.89)</f>
        <v>10.89</v>
      </c>
      <c r="C3425" s="2">
        <f>IFERROR(__xludf.DUMMYFUNCTION("""COMPUTED_VALUE"""),11.34)</f>
        <v>11.34</v>
      </c>
      <c r="D3425" s="2">
        <f>IFERROR(__xludf.DUMMYFUNCTION("""COMPUTED_VALUE"""),10.86)</f>
        <v>10.86</v>
      </c>
      <c r="E3425" s="2">
        <f>IFERROR(__xludf.DUMMYFUNCTION("""COMPUTED_VALUE"""),10.89)</f>
        <v>10.89</v>
      </c>
      <c r="F3425" s="2">
        <f>IFERROR(__xludf.DUMMYFUNCTION("""COMPUTED_VALUE"""),2641400.0)</f>
        <v>2641400</v>
      </c>
    </row>
    <row r="3426">
      <c r="A3426" s="3">
        <f>IFERROR(__xludf.DUMMYFUNCTION("""COMPUTED_VALUE"""),34169.666666666664)</f>
        <v>34169.66667</v>
      </c>
      <c r="B3426" s="2">
        <f>IFERROR(__xludf.DUMMYFUNCTION("""COMPUTED_VALUE"""),10.42)</f>
        <v>10.42</v>
      </c>
      <c r="C3426" s="2">
        <f>IFERROR(__xludf.DUMMYFUNCTION("""COMPUTED_VALUE"""),10.98)</f>
        <v>10.98</v>
      </c>
      <c r="D3426" s="2">
        <f>IFERROR(__xludf.DUMMYFUNCTION("""COMPUTED_VALUE"""),10.36)</f>
        <v>10.36</v>
      </c>
      <c r="E3426" s="2">
        <f>IFERROR(__xludf.DUMMYFUNCTION("""COMPUTED_VALUE"""),10.42)</f>
        <v>10.42</v>
      </c>
      <c r="F3426" s="2">
        <f>IFERROR(__xludf.DUMMYFUNCTION("""COMPUTED_VALUE"""),4482500.0)</f>
        <v>4482500</v>
      </c>
    </row>
    <row r="3427">
      <c r="A3427" s="3">
        <f>IFERROR(__xludf.DUMMYFUNCTION("""COMPUTED_VALUE"""),34170.666666666664)</f>
        <v>34170.66667</v>
      </c>
      <c r="B3427" s="2">
        <f>IFERROR(__xludf.DUMMYFUNCTION("""COMPUTED_VALUE"""),10.24)</f>
        <v>10.24</v>
      </c>
      <c r="C3427" s="2">
        <f>IFERROR(__xludf.DUMMYFUNCTION("""COMPUTED_VALUE"""),10.45)</f>
        <v>10.45</v>
      </c>
      <c r="D3427" s="2">
        <f>IFERROR(__xludf.DUMMYFUNCTION("""COMPUTED_VALUE"""),9.94)</f>
        <v>9.94</v>
      </c>
      <c r="E3427" s="2">
        <f>IFERROR(__xludf.DUMMYFUNCTION("""COMPUTED_VALUE"""),10.24)</f>
        <v>10.24</v>
      </c>
      <c r="F3427" s="2">
        <f>IFERROR(__xludf.DUMMYFUNCTION("""COMPUTED_VALUE"""),4588300.0)</f>
        <v>4588300</v>
      </c>
    </row>
    <row r="3428">
      <c r="A3428" s="3">
        <f>IFERROR(__xludf.DUMMYFUNCTION("""COMPUTED_VALUE"""),34171.666666666664)</f>
        <v>34171.66667</v>
      </c>
      <c r="B3428" s="2">
        <f>IFERROR(__xludf.DUMMYFUNCTION("""COMPUTED_VALUE"""),10.42)</f>
        <v>10.42</v>
      </c>
      <c r="C3428" s="2">
        <f>IFERROR(__xludf.DUMMYFUNCTION("""COMPUTED_VALUE"""),10.48)</f>
        <v>10.48</v>
      </c>
      <c r="D3428" s="2">
        <f>IFERROR(__xludf.DUMMYFUNCTION("""COMPUTED_VALUE"""),10.27)</f>
        <v>10.27</v>
      </c>
      <c r="E3428" s="2">
        <f>IFERROR(__xludf.DUMMYFUNCTION("""COMPUTED_VALUE"""),10.42)</f>
        <v>10.42</v>
      </c>
      <c r="F3428" s="2">
        <f>IFERROR(__xludf.DUMMYFUNCTION("""COMPUTED_VALUE"""),1925700.0)</f>
        <v>1925700</v>
      </c>
    </row>
    <row r="3429">
      <c r="A3429" s="3">
        <f>IFERROR(__xludf.DUMMYFUNCTION("""COMPUTED_VALUE"""),34172.666666666664)</f>
        <v>34172.66667</v>
      </c>
      <c r="B3429" s="2">
        <f>IFERROR(__xludf.DUMMYFUNCTION("""COMPUTED_VALUE"""),10.36)</f>
        <v>10.36</v>
      </c>
      <c r="C3429" s="2">
        <f>IFERROR(__xludf.DUMMYFUNCTION("""COMPUTED_VALUE"""),10.69)</f>
        <v>10.69</v>
      </c>
      <c r="D3429" s="2">
        <f>IFERROR(__xludf.DUMMYFUNCTION("""COMPUTED_VALUE"""),10.27)</f>
        <v>10.27</v>
      </c>
      <c r="E3429" s="2">
        <f>IFERROR(__xludf.DUMMYFUNCTION("""COMPUTED_VALUE"""),10.36)</f>
        <v>10.36</v>
      </c>
      <c r="F3429" s="2">
        <f>IFERROR(__xludf.DUMMYFUNCTION("""COMPUTED_VALUE"""),2572800.0)</f>
        <v>2572800</v>
      </c>
    </row>
    <row r="3430">
      <c r="A3430" s="3">
        <f>IFERROR(__xludf.DUMMYFUNCTION("""COMPUTED_VALUE"""),34173.666666666664)</f>
        <v>34173.66667</v>
      </c>
      <c r="B3430" s="2">
        <f>IFERROR(__xludf.DUMMYFUNCTION("""COMPUTED_VALUE"""),10.09)</f>
        <v>10.09</v>
      </c>
      <c r="C3430" s="2">
        <f>IFERROR(__xludf.DUMMYFUNCTION("""COMPUTED_VALUE"""),10.42)</f>
        <v>10.42</v>
      </c>
      <c r="D3430" s="2">
        <f>IFERROR(__xludf.DUMMYFUNCTION("""COMPUTED_VALUE"""),10.03)</f>
        <v>10.03</v>
      </c>
      <c r="E3430" s="2">
        <f>IFERROR(__xludf.DUMMYFUNCTION("""COMPUTED_VALUE"""),10.09)</f>
        <v>10.09</v>
      </c>
      <c r="F3430" s="2">
        <f>IFERROR(__xludf.DUMMYFUNCTION("""COMPUTED_VALUE"""),2494200.0)</f>
        <v>2494200</v>
      </c>
    </row>
    <row r="3431">
      <c r="A3431" s="3">
        <f>IFERROR(__xludf.DUMMYFUNCTION("""COMPUTED_VALUE"""),34176.666666666664)</f>
        <v>34176.66667</v>
      </c>
      <c r="B3431" s="2">
        <f>IFERROR(__xludf.DUMMYFUNCTION("""COMPUTED_VALUE"""),10.12)</f>
        <v>10.12</v>
      </c>
      <c r="C3431" s="2">
        <f>IFERROR(__xludf.DUMMYFUNCTION("""COMPUTED_VALUE"""),10.27)</f>
        <v>10.27</v>
      </c>
      <c r="D3431" s="2">
        <f>IFERROR(__xludf.DUMMYFUNCTION("""COMPUTED_VALUE"""),9.82)</f>
        <v>9.82</v>
      </c>
      <c r="E3431" s="2">
        <f>IFERROR(__xludf.DUMMYFUNCTION("""COMPUTED_VALUE"""),10.12)</f>
        <v>10.12</v>
      </c>
      <c r="F3431" s="2">
        <f>IFERROR(__xludf.DUMMYFUNCTION("""COMPUTED_VALUE"""),3922800.0)</f>
        <v>3922800</v>
      </c>
    </row>
    <row r="3432">
      <c r="A3432" s="3">
        <f>IFERROR(__xludf.DUMMYFUNCTION("""COMPUTED_VALUE"""),34177.666666666664)</f>
        <v>34177.66667</v>
      </c>
      <c r="B3432" s="2">
        <f>IFERROR(__xludf.DUMMYFUNCTION("""COMPUTED_VALUE"""),10.89)</f>
        <v>10.89</v>
      </c>
      <c r="C3432" s="2">
        <f>IFERROR(__xludf.DUMMYFUNCTION("""COMPUTED_VALUE"""),10.95)</f>
        <v>10.95</v>
      </c>
      <c r="D3432" s="2">
        <f>IFERROR(__xludf.DUMMYFUNCTION("""COMPUTED_VALUE"""),10.63)</f>
        <v>10.63</v>
      </c>
      <c r="E3432" s="2">
        <f>IFERROR(__xludf.DUMMYFUNCTION("""COMPUTED_VALUE"""),10.89)</f>
        <v>10.89</v>
      </c>
      <c r="F3432" s="2">
        <f>IFERROR(__xludf.DUMMYFUNCTION("""COMPUTED_VALUE"""),6260300.0)</f>
        <v>6260300</v>
      </c>
    </row>
    <row r="3433">
      <c r="A3433" s="3">
        <f>IFERROR(__xludf.DUMMYFUNCTION("""COMPUTED_VALUE"""),34178.666666666664)</f>
        <v>34178.66667</v>
      </c>
      <c r="B3433" s="2">
        <f>IFERROR(__xludf.DUMMYFUNCTION("""COMPUTED_VALUE"""),10.51)</f>
        <v>10.51</v>
      </c>
      <c r="C3433" s="2">
        <f>IFERROR(__xludf.DUMMYFUNCTION("""COMPUTED_VALUE"""),11.07)</f>
        <v>11.07</v>
      </c>
      <c r="D3433" s="2">
        <f>IFERROR(__xludf.DUMMYFUNCTION("""COMPUTED_VALUE"""),10.48)</f>
        <v>10.48</v>
      </c>
      <c r="E3433" s="2">
        <f>IFERROR(__xludf.DUMMYFUNCTION("""COMPUTED_VALUE"""),10.51)</f>
        <v>10.51</v>
      </c>
      <c r="F3433" s="2">
        <f>IFERROR(__xludf.DUMMYFUNCTION("""COMPUTED_VALUE"""),4216700.0)</f>
        <v>4216700</v>
      </c>
    </row>
    <row r="3434">
      <c r="A3434" s="3">
        <f>IFERROR(__xludf.DUMMYFUNCTION("""COMPUTED_VALUE"""),34179.666666666664)</f>
        <v>34179.66667</v>
      </c>
      <c r="B3434" s="2">
        <f>IFERROR(__xludf.DUMMYFUNCTION("""COMPUTED_VALUE"""),10.48)</f>
        <v>10.48</v>
      </c>
      <c r="C3434" s="2">
        <f>IFERROR(__xludf.DUMMYFUNCTION("""COMPUTED_VALUE"""),10.63)</f>
        <v>10.63</v>
      </c>
      <c r="D3434" s="2">
        <f>IFERROR(__xludf.DUMMYFUNCTION("""COMPUTED_VALUE"""),10.36)</f>
        <v>10.36</v>
      </c>
      <c r="E3434" s="2">
        <f>IFERROR(__xludf.DUMMYFUNCTION("""COMPUTED_VALUE"""),10.48)</f>
        <v>10.48</v>
      </c>
      <c r="F3434" s="2">
        <f>IFERROR(__xludf.DUMMYFUNCTION("""COMPUTED_VALUE"""),2534900.0)</f>
        <v>2534900</v>
      </c>
    </row>
    <row r="3435">
      <c r="A3435" s="3">
        <f>IFERROR(__xludf.DUMMYFUNCTION("""COMPUTED_VALUE"""),34180.666666666664)</f>
        <v>34180.66667</v>
      </c>
      <c r="B3435" s="2">
        <f>IFERROR(__xludf.DUMMYFUNCTION("""COMPUTED_VALUE"""),10.63)</f>
        <v>10.63</v>
      </c>
      <c r="C3435" s="2">
        <f>IFERROR(__xludf.DUMMYFUNCTION("""COMPUTED_VALUE"""),10.63)</f>
        <v>10.63</v>
      </c>
      <c r="D3435" s="2">
        <f>IFERROR(__xludf.DUMMYFUNCTION("""COMPUTED_VALUE"""),10.42)</f>
        <v>10.42</v>
      </c>
      <c r="E3435" s="2">
        <f>IFERROR(__xludf.DUMMYFUNCTION("""COMPUTED_VALUE"""),10.63)</f>
        <v>10.63</v>
      </c>
      <c r="F3435" s="2">
        <f>IFERROR(__xludf.DUMMYFUNCTION("""COMPUTED_VALUE"""),1880100.0)</f>
        <v>1880100</v>
      </c>
    </row>
    <row r="3436">
      <c r="A3436" s="3">
        <f>IFERROR(__xludf.DUMMYFUNCTION("""COMPUTED_VALUE"""),34183.666666666664)</f>
        <v>34183.66667</v>
      </c>
      <c r="B3436" s="2">
        <f>IFERROR(__xludf.DUMMYFUNCTION("""COMPUTED_VALUE"""),10.48)</f>
        <v>10.48</v>
      </c>
      <c r="C3436" s="2">
        <f>IFERROR(__xludf.DUMMYFUNCTION("""COMPUTED_VALUE"""),10.69)</f>
        <v>10.69</v>
      </c>
      <c r="D3436" s="2">
        <f>IFERROR(__xludf.DUMMYFUNCTION("""COMPUTED_VALUE"""),10.48)</f>
        <v>10.48</v>
      </c>
      <c r="E3436" s="2">
        <f>IFERROR(__xludf.DUMMYFUNCTION("""COMPUTED_VALUE"""),10.48)</f>
        <v>10.48</v>
      </c>
      <c r="F3436" s="2">
        <f>IFERROR(__xludf.DUMMYFUNCTION("""COMPUTED_VALUE"""),1338100.0)</f>
        <v>1338100</v>
      </c>
    </row>
    <row r="3437">
      <c r="A3437" s="3">
        <f>IFERROR(__xludf.DUMMYFUNCTION("""COMPUTED_VALUE"""),34184.666666666664)</f>
        <v>34184.66667</v>
      </c>
      <c r="B3437" s="2">
        <f>IFERROR(__xludf.DUMMYFUNCTION("""COMPUTED_VALUE"""),10.36)</f>
        <v>10.36</v>
      </c>
      <c r="C3437" s="2">
        <f>IFERROR(__xludf.DUMMYFUNCTION("""COMPUTED_VALUE"""),10.54)</f>
        <v>10.54</v>
      </c>
      <c r="D3437" s="2">
        <f>IFERROR(__xludf.DUMMYFUNCTION("""COMPUTED_VALUE"""),10.3)</f>
        <v>10.3</v>
      </c>
      <c r="E3437" s="2">
        <f>IFERROR(__xludf.DUMMYFUNCTION("""COMPUTED_VALUE"""),10.36)</f>
        <v>10.36</v>
      </c>
      <c r="F3437" s="2">
        <f>IFERROR(__xludf.DUMMYFUNCTION("""COMPUTED_VALUE"""),1252700.0)</f>
        <v>1252700</v>
      </c>
    </row>
    <row r="3438">
      <c r="A3438" s="3">
        <f>IFERROR(__xludf.DUMMYFUNCTION("""COMPUTED_VALUE"""),34185.666666666664)</f>
        <v>34185.66667</v>
      </c>
      <c r="B3438" s="2">
        <f>IFERROR(__xludf.DUMMYFUNCTION("""COMPUTED_VALUE"""),10.6)</f>
        <v>10.6</v>
      </c>
      <c r="C3438" s="2">
        <f>IFERROR(__xludf.DUMMYFUNCTION("""COMPUTED_VALUE"""),10.6)</f>
        <v>10.6</v>
      </c>
      <c r="D3438" s="2">
        <f>IFERROR(__xludf.DUMMYFUNCTION("""COMPUTED_VALUE"""),10.33)</f>
        <v>10.33</v>
      </c>
      <c r="E3438" s="2">
        <f>IFERROR(__xludf.DUMMYFUNCTION("""COMPUTED_VALUE"""),10.6)</f>
        <v>10.6</v>
      </c>
      <c r="F3438" s="2">
        <f>IFERROR(__xludf.DUMMYFUNCTION("""COMPUTED_VALUE"""),1325300.0)</f>
        <v>1325300</v>
      </c>
    </row>
    <row r="3439">
      <c r="A3439" s="3">
        <f>IFERROR(__xludf.DUMMYFUNCTION("""COMPUTED_VALUE"""),34186.666666666664)</f>
        <v>34186.66667</v>
      </c>
      <c r="B3439" s="2">
        <f>IFERROR(__xludf.DUMMYFUNCTION("""COMPUTED_VALUE"""),10.45)</f>
        <v>10.45</v>
      </c>
      <c r="C3439" s="2">
        <f>IFERROR(__xludf.DUMMYFUNCTION("""COMPUTED_VALUE"""),10.69)</f>
        <v>10.69</v>
      </c>
      <c r="D3439" s="2">
        <f>IFERROR(__xludf.DUMMYFUNCTION("""COMPUTED_VALUE"""),10.39)</f>
        <v>10.39</v>
      </c>
      <c r="E3439" s="2">
        <f>IFERROR(__xludf.DUMMYFUNCTION("""COMPUTED_VALUE"""),10.45)</f>
        <v>10.45</v>
      </c>
      <c r="F3439" s="2">
        <f>IFERROR(__xludf.DUMMYFUNCTION("""COMPUTED_VALUE"""),1235000.0)</f>
        <v>1235000</v>
      </c>
    </row>
    <row r="3440">
      <c r="A3440" s="3">
        <f>IFERROR(__xludf.DUMMYFUNCTION("""COMPUTED_VALUE"""),34187.666666666664)</f>
        <v>34187.66667</v>
      </c>
      <c r="B3440" s="2">
        <f>IFERROR(__xludf.DUMMYFUNCTION("""COMPUTED_VALUE"""),10.36)</f>
        <v>10.36</v>
      </c>
      <c r="C3440" s="2">
        <f>IFERROR(__xludf.DUMMYFUNCTION("""COMPUTED_VALUE"""),10.45)</f>
        <v>10.45</v>
      </c>
      <c r="D3440" s="2">
        <f>IFERROR(__xludf.DUMMYFUNCTION("""COMPUTED_VALUE"""),10.3)</f>
        <v>10.3</v>
      </c>
      <c r="E3440" s="2">
        <f>IFERROR(__xludf.DUMMYFUNCTION("""COMPUTED_VALUE"""),10.36)</f>
        <v>10.36</v>
      </c>
      <c r="F3440" s="2">
        <f>IFERROR(__xludf.DUMMYFUNCTION("""COMPUTED_VALUE"""),1120600.0)</f>
        <v>1120600</v>
      </c>
    </row>
    <row r="3441">
      <c r="A3441" s="3">
        <f>IFERROR(__xludf.DUMMYFUNCTION("""COMPUTED_VALUE"""),34190.666666666664)</f>
        <v>34190.66667</v>
      </c>
      <c r="B3441" s="2">
        <f>IFERROR(__xludf.DUMMYFUNCTION("""COMPUTED_VALUE"""),10.3)</f>
        <v>10.3</v>
      </c>
      <c r="C3441" s="2">
        <f>IFERROR(__xludf.DUMMYFUNCTION("""COMPUTED_VALUE"""),10.45)</f>
        <v>10.45</v>
      </c>
      <c r="D3441" s="2">
        <f>IFERROR(__xludf.DUMMYFUNCTION("""COMPUTED_VALUE"""),10.24)</f>
        <v>10.24</v>
      </c>
      <c r="E3441" s="2">
        <f>IFERROR(__xludf.DUMMYFUNCTION("""COMPUTED_VALUE"""),10.3)</f>
        <v>10.3</v>
      </c>
      <c r="F3441" s="2">
        <f>IFERROR(__xludf.DUMMYFUNCTION("""COMPUTED_VALUE"""),1343700.0)</f>
        <v>1343700</v>
      </c>
    </row>
    <row r="3442">
      <c r="A3442" s="3">
        <f>IFERROR(__xludf.DUMMYFUNCTION("""COMPUTED_VALUE"""),34191.666666666664)</f>
        <v>34191.66667</v>
      </c>
      <c r="B3442" s="2">
        <f>IFERROR(__xludf.DUMMYFUNCTION("""COMPUTED_VALUE"""),10.33)</f>
        <v>10.33</v>
      </c>
      <c r="C3442" s="2">
        <f>IFERROR(__xludf.DUMMYFUNCTION("""COMPUTED_VALUE"""),10.36)</f>
        <v>10.36</v>
      </c>
      <c r="D3442" s="2">
        <f>IFERROR(__xludf.DUMMYFUNCTION("""COMPUTED_VALUE"""),10.24)</f>
        <v>10.24</v>
      </c>
      <c r="E3442" s="2">
        <f>IFERROR(__xludf.DUMMYFUNCTION("""COMPUTED_VALUE"""),10.33)</f>
        <v>10.33</v>
      </c>
      <c r="F3442" s="2">
        <f>IFERROR(__xludf.DUMMYFUNCTION("""COMPUTED_VALUE"""),1118700.0)</f>
        <v>1118700</v>
      </c>
    </row>
    <row r="3443">
      <c r="A3443" s="3">
        <f>IFERROR(__xludf.DUMMYFUNCTION("""COMPUTED_VALUE"""),34192.666666666664)</f>
        <v>34192.66667</v>
      </c>
      <c r="B3443" s="2">
        <f>IFERROR(__xludf.DUMMYFUNCTION("""COMPUTED_VALUE"""),10.09)</f>
        <v>10.09</v>
      </c>
      <c r="C3443" s="2">
        <f>IFERROR(__xludf.DUMMYFUNCTION("""COMPUTED_VALUE"""),10.39)</f>
        <v>10.39</v>
      </c>
      <c r="D3443" s="2">
        <f>IFERROR(__xludf.DUMMYFUNCTION("""COMPUTED_VALUE"""),10.03)</f>
        <v>10.03</v>
      </c>
      <c r="E3443" s="2">
        <f>IFERROR(__xludf.DUMMYFUNCTION("""COMPUTED_VALUE"""),10.09)</f>
        <v>10.09</v>
      </c>
      <c r="F3443" s="2">
        <f>IFERROR(__xludf.DUMMYFUNCTION("""COMPUTED_VALUE"""),1755300.0)</f>
        <v>1755300</v>
      </c>
    </row>
    <row r="3444">
      <c r="A3444" s="3">
        <f>IFERROR(__xludf.DUMMYFUNCTION("""COMPUTED_VALUE"""),34193.666666666664)</f>
        <v>34193.66667</v>
      </c>
      <c r="B3444" s="2">
        <f>IFERROR(__xludf.DUMMYFUNCTION("""COMPUTED_VALUE"""),9.97)</f>
        <v>9.97</v>
      </c>
      <c r="C3444" s="2">
        <f>IFERROR(__xludf.DUMMYFUNCTION("""COMPUTED_VALUE"""),10.15)</f>
        <v>10.15</v>
      </c>
      <c r="D3444" s="2">
        <f>IFERROR(__xludf.DUMMYFUNCTION("""COMPUTED_VALUE"""),9.85)</f>
        <v>9.85</v>
      </c>
      <c r="E3444" s="2">
        <f>IFERROR(__xludf.DUMMYFUNCTION("""COMPUTED_VALUE"""),9.97)</f>
        <v>9.97</v>
      </c>
      <c r="F3444" s="2">
        <f>IFERROR(__xludf.DUMMYFUNCTION("""COMPUTED_VALUE"""),2082900.0)</f>
        <v>2082900</v>
      </c>
    </row>
    <row r="3445">
      <c r="A3445" s="3">
        <f>IFERROR(__xludf.DUMMYFUNCTION("""COMPUTED_VALUE"""),34194.666666666664)</f>
        <v>34194.66667</v>
      </c>
      <c r="B3445" s="2">
        <f>IFERROR(__xludf.DUMMYFUNCTION("""COMPUTED_VALUE"""),9.94)</f>
        <v>9.94</v>
      </c>
      <c r="C3445" s="2">
        <f>IFERROR(__xludf.DUMMYFUNCTION("""COMPUTED_VALUE"""),10.03)</f>
        <v>10.03</v>
      </c>
      <c r="D3445" s="2">
        <f>IFERROR(__xludf.DUMMYFUNCTION("""COMPUTED_VALUE"""),9.91)</f>
        <v>9.91</v>
      </c>
      <c r="E3445" s="2">
        <f>IFERROR(__xludf.DUMMYFUNCTION("""COMPUTED_VALUE"""),9.94)</f>
        <v>9.94</v>
      </c>
      <c r="F3445" s="2">
        <f>IFERROR(__xludf.DUMMYFUNCTION("""COMPUTED_VALUE"""),1114100.0)</f>
        <v>1114100</v>
      </c>
    </row>
    <row r="3446">
      <c r="A3446" s="3">
        <f>IFERROR(__xludf.DUMMYFUNCTION("""COMPUTED_VALUE"""),34197.666666666664)</f>
        <v>34197.66667</v>
      </c>
      <c r="B3446" s="2">
        <f>IFERROR(__xludf.DUMMYFUNCTION("""COMPUTED_VALUE"""),9.79)</f>
        <v>9.79</v>
      </c>
      <c r="C3446" s="2">
        <f>IFERROR(__xludf.DUMMYFUNCTION("""COMPUTED_VALUE"""),9.97)</f>
        <v>9.97</v>
      </c>
      <c r="D3446" s="2">
        <f>IFERROR(__xludf.DUMMYFUNCTION("""COMPUTED_VALUE"""),9.7)</f>
        <v>9.7</v>
      </c>
      <c r="E3446" s="2">
        <f>IFERROR(__xludf.DUMMYFUNCTION("""COMPUTED_VALUE"""),9.79)</f>
        <v>9.79</v>
      </c>
      <c r="F3446" s="2">
        <f>IFERROR(__xludf.DUMMYFUNCTION("""COMPUTED_VALUE"""),1925400.0)</f>
        <v>1925400</v>
      </c>
    </row>
    <row r="3447">
      <c r="A3447" s="3">
        <f>IFERROR(__xludf.DUMMYFUNCTION("""COMPUTED_VALUE"""),34198.666666666664)</f>
        <v>34198.66667</v>
      </c>
      <c r="B3447" s="2">
        <f>IFERROR(__xludf.DUMMYFUNCTION("""COMPUTED_VALUE"""),10.27)</f>
        <v>10.27</v>
      </c>
      <c r="C3447" s="2">
        <f>IFERROR(__xludf.DUMMYFUNCTION("""COMPUTED_VALUE"""),10.27)</f>
        <v>10.27</v>
      </c>
      <c r="D3447" s="2">
        <f>IFERROR(__xludf.DUMMYFUNCTION("""COMPUTED_VALUE"""),9.79)</f>
        <v>9.79</v>
      </c>
      <c r="E3447" s="2">
        <f>IFERROR(__xludf.DUMMYFUNCTION("""COMPUTED_VALUE"""),10.27)</f>
        <v>10.27</v>
      </c>
      <c r="F3447" s="2">
        <f>IFERROR(__xludf.DUMMYFUNCTION("""COMPUTED_VALUE"""),2018800.0)</f>
        <v>2018800</v>
      </c>
    </row>
    <row r="3448">
      <c r="A3448" s="3">
        <f>IFERROR(__xludf.DUMMYFUNCTION("""COMPUTED_VALUE"""),34199.666666666664)</f>
        <v>34199.66667</v>
      </c>
      <c r="B3448" s="2">
        <f>IFERROR(__xludf.DUMMYFUNCTION("""COMPUTED_VALUE"""),10.21)</f>
        <v>10.21</v>
      </c>
      <c r="C3448" s="2">
        <f>IFERROR(__xludf.DUMMYFUNCTION("""COMPUTED_VALUE"""),10.39)</f>
        <v>10.39</v>
      </c>
      <c r="D3448" s="2">
        <f>IFERROR(__xludf.DUMMYFUNCTION("""COMPUTED_VALUE"""),10.12)</f>
        <v>10.12</v>
      </c>
      <c r="E3448" s="2">
        <f>IFERROR(__xludf.DUMMYFUNCTION("""COMPUTED_VALUE"""),10.21)</f>
        <v>10.21</v>
      </c>
      <c r="F3448" s="2">
        <f>IFERROR(__xludf.DUMMYFUNCTION("""COMPUTED_VALUE"""),1954500.0)</f>
        <v>1954500</v>
      </c>
    </row>
    <row r="3449">
      <c r="A3449" s="3">
        <f>IFERROR(__xludf.DUMMYFUNCTION("""COMPUTED_VALUE"""),34200.666666666664)</f>
        <v>34200.66667</v>
      </c>
      <c r="B3449" s="2">
        <f>IFERROR(__xludf.DUMMYFUNCTION("""COMPUTED_VALUE"""),10.27)</f>
        <v>10.27</v>
      </c>
      <c r="C3449" s="2">
        <f>IFERROR(__xludf.DUMMYFUNCTION("""COMPUTED_VALUE"""),10.33)</f>
        <v>10.33</v>
      </c>
      <c r="D3449" s="2">
        <f>IFERROR(__xludf.DUMMYFUNCTION("""COMPUTED_VALUE"""),10.21)</f>
        <v>10.21</v>
      </c>
      <c r="E3449" s="2">
        <f>IFERROR(__xludf.DUMMYFUNCTION("""COMPUTED_VALUE"""),10.27)</f>
        <v>10.27</v>
      </c>
      <c r="F3449" s="2">
        <f>IFERROR(__xludf.DUMMYFUNCTION("""COMPUTED_VALUE"""),1564300.0)</f>
        <v>1564300</v>
      </c>
    </row>
    <row r="3450">
      <c r="A3450" s="3">
        <f>IFERROR(__xludf.DUMMYFUNCTION("""COMPUTED_VALUE"""),34201.666666666664)</f>
        <v>34201.66667</v>
      </c>
      <c r="B3450" s="2">
        <f>IFERROR(__xludf.DUMMYFUNCTION("""COMPUTED_VALUE"""),10.3)</f>
        <v>10.3</v>
      </c>
      <c r="C3450" s="2">
        <f>IFERROR(__xludf.DUMMYFUNCTION("""COMPUTED_VALUE"""),10.33)</f>
        <v>10.33</v>
      </c>
      <c r="D3450" s="2">
        <f>IFERROR(__xludf.DUMMYFUNCTION("""COMPUTED_VALUE"""),10.18)</f>
        <v>10.18</v>
      </c>
      <c r="E3450" s="2">
        <f>IFERROR(__xludf.DUMMYFUNCTION("""COMPUTED_VALUE"""),10.3)</f>
        <v>10.3</v>
      </c>
      <c r="F3450" s="2">
        <f>IFERROR(__xludf.DUMMYFUNCTION("""COMPUTED_VALUE"""),1696300.0)</f>
        <v>1696300</v>
      </c>
    </row>
    <row r="3451">
      <c r="A3451" s="3">
        <f>IFERROR(__xludf.DUMMYFUNCTION("""COMPUTED_VALUE"""),34204.666666666664)</f>
        <v>34204.66667</v>
      </c>
      <c r="B3451" s="2">
        <f>IFERROR(__xludf.DUMMYFUNCTION("""COMPUTED_VALUE"""),10.6)</f>
        <v>10.6</v>
      </c>
      <c r="C3451" s="2">
        <f>IFERROR(__xludf.DUMMYFUNCTION("""COMPUTED_VALUE"""),10.69)</f>
        <v>10.69</v>
      </c>
      <c r="D3451" s="2">
        <f>IFERROR(__xludf.DUMMYFUNCTION("""COMPUTED_VALUE"""),10.27)</f>
        <v>10.27</v>
      </c>
      <c r="E3451" s="2">
        <f>IFERROR(__xludf.DUMMYFUNCTION("""COMPUTED_VALUE"""),10.6)</f>
        <v>10.6</v>
      </c>
      <c r="F3451" s="2">
        <f>IFERROR(__xludf.DUMMYFUNCTION("""COMPUTED_VALUE"""),2632500.0)</f>
        <v>2632500</v>
      </c>
    </row>
    <row r="3452">
      <c r="A3452" s="3">
        <f>IFERROR(__xludf.DUMMYFUNCTION("""COMPUTED_VALUE"""),34205.666666666664)</f>
        <v>34205.66667</v>
      </c>
      <c r="B3452" s="2">
        <f>IFERROR(__xludf.DUMMYFUNCTION("""COMPUTED_VALUE"""),10.48)</f>
        <v>10.48</v>
      </c>
      <c r="C3452" s="2">
        <f>IFERROR(__xludf.DUMMYFUNCTION("""COMPUTED_VALUE"""),10.66)</f>
        <v>10.66</v>
      </c>
      <c r="D3452" s="2">
        <f>IFERROR(__xludf.DUMMYFUNCTION("""COMPUTED_VALUE"""),10.42)</f>
        <v>10.42</v>
      </c>
      <c r="E3452" s="2">
        <f>IFERROR(__xludf.DUMMYFUNCTION("""COMPUTED_VALUE"""),10.48)</f>
        <v>10.48</v>
      </c>
      <c r="F3452" s="2">
        <f>IFERROR(__xludf.DUMMYFUNCTION("""COMPUTED_VALUE"""),1522800.0)</f>
        <v>1522800</v>
      </c>
    </row>
    <row r="3453">
      <c r="A3453" s="3">
        <f>IFERROR(__xludf.DUMMYFUNCTION("""COMPUTED_VALUE"""),34206.666666666664)</f>
        <v>34206.66667</v>
      </c>
      <c r="B3453" s="2">
        <f>IFERROR(__xludf.DUMMYFUNCTION("""COMPUTED_VALUE"""),10.51)</f>
        <v>10.51</v>
      </c>
      <c r="C3453" s="2">
        <f>IFERROR(__xludf.DUMMYFUNCTION("""COMPUTED_VALUE"""),10.54)</f>
        <v>10.54</v>
      </c>
      <c r="D3453" s="2">
        <f>IFERROR(__xludf.DUMMYFUNCTION("""COMPUTED_VALUE"""),10.39)</f>
        <v>10.39</v>
      </c>
      <c r="E3453" s="2">
        <f>IFERROR(__xludf.DUMMYFUNCTION("""COMPUTED_VALUE"""),10.51)</f>
        <v>10.51</v>
      </c>
      <c r="F3453" s="2">
        <f>IFERROR(__xludf.DUMMYFUNCTION("""COMPUTED_VALUE"""),1321200.0)</f>
        <v>1321200</v>
      </c>
    </row>
    <row r="3454">
      <c r="A3454" s="3">
        <f>IFERROR(__xludf.DUMMYFUNCTION("""COMPUTED_VALUE"""),34207.666666666664)</f>
        <v>34207.66667</v>
      </c>
      <c r="B3454" s="2">
        <f>IFERROR(__xludf.DUMMYFUNCTION("""COMPUTED_VALUE"""),10.51)</f>
        <v>10.51</v>
      </c>
      <c r="C3454" s="2">
        <f>IFERROR(__xludf.DUMMYFUNCTION("""COMPUTED_VALUE"""),10.69)</f>
        <v>10.69</v>
      </c>
      <c r="D3454" s="2">
        <f>IFERROR(__xludf.DUMMYFUNCTION("""COMPUTED_VALUE"""),10.42)</f>
        <v>10.42</v>
      </c>
      <c r="E3454" s="2">
        <f>IFERROR(__xludf.DUMMYFUNCTION("""COMPUTED_VALUE"""),10.51)</f>
        <v>10.51</v>
      </c>
      <c r="F3454" s="2">
        <f>IFERROR(__xludf.DUMMYFUNCTION("""COMPUTED_VALUE"""),1852400.0)</f>
        <v>1852400</v>
      </c>
    </row>
    <row r="3455">
      <c r="A3455" s="3">
        <f>IFERROR(__xludf.DUMMYFUNCTION("""COMPUTED_VALUE"""),34208.666666666664)</f>
        <v>34208.66667</v>
      </c>
      <c r="B3455" s="2">
        <f>IFERROR(__xludf.DUMMYFUNCTION("""COMPUTED_VALUE"""),10.54)</f>
        <v>10.54</v>
      </c>
      <c r="C3455" s="2">
        <f>IFERROR(__xludf.DUMMYFUNCTION("""COMPUTED_VALUE"""),10.54)</f>
        <v>10.54</v>
      </c>
      <c r="D3455" s="2">
        <f>IFERROR(__xludf.DUMMYFUNCTION("""COMPUTED_VALUE"""),10.42)</f>
        <v>10.42</v>
      </c>
      <c r="E3455" s="2">
        <f>IFERROR(__xludf.DUMMYFUNCTION("""COMPUTED_VALUE"""),10.54)</f>
        <v>10.54</v>
      </c>
      <c r="F3455" s="2">
        <f>IFERROR(__xludf.DUMMYFUNCTION("""COMPUTED_VALUE"""),974400.0)</f>
        <v>974400</v>
      </c>
    </row>
    <row r="3456">
      <c r="A3456" s="3">
        <f>IFERROR(__xludf.DUMMYFUNCTION("""COMPUTED_VALUE"""),34211.666666666664)</f>
        <v>34211.66667</v>
      </c>
      <c r="B3456" s="2">
        <f>IFERROR(__xludf.DUMMYFUNCTION("""COMPUTED_VALUE"""),10.66)</f>
        <v>10.66</v>
      </c>
      <c r="C3456" s="2">
        <f>IFERROR(__xludf.DUMMYFUNCTION("""COMPUTED_VALUE"""),10.69)</f>
        <v>10.69</v>
      </c>
      <c r="D3456" s="2">
        <f>IFERROR(__xludf.DUMMYFUNCTION("""COMPUTED_VALUE"""),10.54)</f>
        <v>10.54</v>
      </c>
      <c r="E3456" s="2">
        <f>IFERROR(__xludf.DUMMYFUNCTION("""COMPUTED_VALUE"""),10.66)</f>
        <v>10.66</v>
      </c>
      <c r="F3456" s="2">
        <f>IFERROR(__xludf.DUMMYFUNCTION("""COMPUTED_VALUE"""),1557600.0)</f>
        <v>1557600</v>
      </c>
    </row>
    <row r="3457">
      <c r="A3457" s="3">
        <f>IFERROR(__xludf.DUMMYFUNCTION("""COMPUTED_VALUE"""),34212.666666666664)</f>
        <v>34212.66667</v>
      </c>
      <c r="B3457" s="2">
        <f>IFERROR(__xludf.DUMMYFUNCTION("""COMPUTED_VALUE"""),10.92)</f>
        <v>10.92</v>
      </c>
      <c r="C3457" s="2">
        <f>IFERROR(__xludf.DUMMYFUNCTION("""COMPUTED_VALUE"""),10.95)</f>
        <v>10.95</v>
      </c>
      <c r="D3457" s="2">
        <f>IFERROR(__xludf.DUMMYFUNCTION("""COMPUTED_VALUE"""),10.69)</f>
        <v>10.69</v>
      </c>
      <c r="E3457" s="2">
        <f>IFERROR(__xludf.DUMMYFUNCTION("""COMPUTED_VALUE"""),10.92)</f>
        <v>10.92</v>
      </c>
      <c r="F3457" s="2">
        <f>IFERROR(__xludf.DUMMYFUNCTION("""COMPUTED_VALUE"""),2463600.0)</f>
        <v>2463600</v>
      </c>
    </row>
    <row r="3458">
      <c r="A3458" s="3">
        <f>IFERROR(__xludf.DUMMYFUNCTION("""COMPUTED_VALUE"""),34213.666666666664)</f>
        <v>34213.66667</v>
      </c>
      <c r="B3458" s="2">
        <f>IFERROR(__xludf.DUMMYFUNCTION("""COMPUTED_VALUE"""),10.95)</f>
        <v>10.95</v>
      </c>
      <c r="C3458" s="2">
        <f>IFERROR(__xludf.DUMMYFUNCTION("""COMPUTED_VALUE"""),11.07)</f>
        <v>11.07</v>
      </c>
      <c r="D3458" s="2">
        <f>IFERROR(__xludf.DUMMYFUNCTION("""COMPUTED_VALUE"""),10.89)</f>
        <v>10.89</v>
      </c>
      <c r="E3458" s="2">
        <f>IFERROR(__xludf.DUMMYFUNCTION("""COMPUTED_VALUE"""),10.95)</f>
        <v>10.95</v>
      </c>
      <c r="F3458" s="2">
        <f>IFERROR(__xludf.DUMMYFUNCTION("""COMPUTED_VALUE"""),1988900.0)</f>
        <v>1988900</v>
      </c>
    </row>
    <row r="3459">
      <c r="A3459" s="3">
        <f>IFERROR(__xludf.DUMMYFUNCTION("""COMPUTED_VALUE"""),34214.666666666664)</f>
        <v>34214.66667</v>
      </c>
      <c r="B3459" s="2">
        <f>IFERROR(__xludf.DUMMYFUNCTION("""COMPUTED_VALUE"""),10.98)</f>
        <v>10.98</v>
      </c>
      <c r="C3459" s="2">
        <f>IFERROR(__xludf.DUMMYFUNCTION("""COMPUTED_VALUE"""),11.07)</f>
        <v>11.07</v>
      </c>
      <c r="D3459" s="2">
        <f>IFERROR(__xludf.DUMMYFUNCTION("""COMPUTED_VALUE"""),10.92)</f>
        <v>10.92</v>
      </c>
      <c r="E3459" s="2">
        <f>IFERROR(__xludf.DUMMYFUNCTION("""COMPUTED_VALUE"""),10.98)</f>
        <v>10.98</v>
      </c>
      <c r="F3459" s="2">
        <f>IFERROR(__xludf.DUMMYFUNCTION("""COMPUTED_VALUE"""),1186100.0)</f>
        <v>1186100</v>
      </c>
    </row>
    <row r="3460">
      <c r="A3460" s="3">
        <f>IFERROR(__xludf.DUMMYFUNCTION("""COMPUTED_VALUE"""),34215.666666666664)</f>
        <v>34215.66667</v>
      </c>
      <c r="B3460" s="2">
        <f>IFERROR(__xludf.DUMMYFUNCTION("""COMPUTED_VALUE"""),10.92)</f>
        <v>10.92</v>
      </c>
      <c r="C3460" s="2">
        <f>IFERROR(__xludf.DUMMYFUNCTION("""COMPUTED_VALUE"""),11.07)</f>
        <v>11.07</v>
      </c>
      <c r="D3460" s="2">
        <f>IFERROR(__xludf.DUMMYFUNCTION("""COMPUTED_VALUE"""),10.89)</f>
        <v>10.89</v>
      </c>
      <c r="E3460" s="2">
        <f>IFERROR(__xludf.DUMMYFUNCTION("""COMPUTED_VALUE"""),10.92)</f>
        <v>10.92</v>
      </c>
      <c r="F3460" s="2">
        <f>IFERROR(__xludf.DUMMYFUNCTION("""COMPUTED_VALUE"""),1028000.0)</f>
        <v>1028000</v>
      </c>
    </row>
    <row r="3461">
      <c r="A3461" s="3">
        <f>IFERROR(__xludf.DUMMYFUNCTION("""COMPUTED_VALUE"""),34219.666666666664)</f>
        <v>34219.66667</v>
      </c>
      <c r="B3461" s="2">
        <f>IFERROR(__xludf.DUMMYFUNCTION("""COMPUTED_VALUE"""),10.86)</f>
        <v>10.86</v>
      </c>
      <c r="C3461" s="2">
        <f>IFERROR(__xludf.DUMMYFUNCTION("""COMPUTED_VALUE"""),11.04)</f>
        <v>11.04</v>
      </c>
      <c r="D3461" s="2">
        <f>IFERROR(__xludf.DUMMYFUNCTION("""COMPUTED_VALUE"""),10.81)</f>
        <v>10.81</v>
      </c>
      <c r="E3461" s="2">
        <f>IFERROR(__xludf.DUMMYFUNCTION("""COMPUTED_VALUE"""),10.86)</f>
        <v>10.86</v>
      </c>
      <c r="F3461" s="2">
        <f>IFERROR(__xludf.DUMMYFUNCTION("""COMPUTED_VALUE"""),1325400.0)</f>
        <v>1325400</v>
      </c>
    </row>
    <row r="3462">
      <c r="A3462" s="3">
        <f>IFERROR(__xludf.DUMMYFUNCTION("""COMPUTED_VALUE"""),34220.666666666664)</f>
        <v>34220.66667</v>
      </c>
      <c r="B3462" s="2">
        <f>IFERROR(__xludf.DUMMYFUNCTION("""COMPUTED_VALUE"""),10.6)</f>
        <v>10.6</v>
      </c>
      <c r="C3462" s="2">
        <f>IFERROR(__xludf.DUMMYFUNCTION("""COMPUTED_VALUE"""),10.84)</f>
        <v>10.84</v>
      </c>
      <c r="D3462" s="2">
        <f>IFERROR(__xludf.DUMMYFUNCTION("""COMPUTED_VALUE"""),10.45)</f>
        <v>10.45</v>
      </c>
      <c r="E3462" s="2">
        <f>IFERROR(__xludf.DUMMYFUNCTION("""COMPUTED_VALUE"""),10.6)</f>
        <v>10.6</v>
      </c>
      <c r="F3462" s="2">
        <f>IFERROR(__xludf.DUMMYFUNCTION("""COMPUTED_VALUE"""),2354000.0)</f>
        <v>2354000</v>
      </c>
    </row>
    <row r="3463">
      <c r="A3463" s="3">
        <f>IFERROR(__xludf.DUMMYFUNCTION("""COMPUTED_VALUE"""),34221.666666666664)</f>
        <v>34221.66667</v>
      </c>
      <c r="B3463" s="2">
        <f>IFERROR(__xludf.DUMMYFUNCTION("""COMPUTED_VALUE"""),10.6)</f>
        <v>10.6</v>
      </c>
      <c r="C3463" s="2">
        <f>IFERROR(__xludf.DUMMYFUNCTION("""COMPUTED_VALUE"""),10.66)</f>
        <v>10.66</v>
      </c>
      <c r="D3463" s="2">
        <f>IFERROR(__xludf.DUMMYFUNCTION("""COMPUTED_VALUE"""),10.54)</f>
        <v>10.54</v>
      </c>
      <c r="E3463" s="2">
        <f>IFERROR(__xludf.DUMMYFUNCTION("""COMPUTED_VALUE"""),10.6)</f>
        <v>10.6</v>
      </c>
      <c r="F3463" s="2">
        <f>IFERROR(__xludf.DUMMYFUNCTION("""COMPUTED_VALUE"""),1760800.0)</f>
        <v>1760800</v>
      </c>
    </row>
    <row r="3464">
      <c r="A3464" s="3">
        <f>IFERROR(__xludf.DUMMYFUNCTION("""COMPUTED_VALUE"""),34222.666666666664)</f>
        <v>34222.66667</v>
      </c>
      <c r="B3464" s="2">
        <f>IFERROR(__xludf.DUMMYFUNCTION("""COMPUTED_VALUE"""),10.45)</f>
        <v>10.45</v>
      </c>
      <c r="C3464" s="2">
        <f>IFERROR(__xludf.DUMMYFUNCTION("""COMPUTED_VALUE"""),10.66)</f>
        <v>10.66</v>
      </c>
      <c r="D3464" s="2">
        <f>IFERROR(__xludf.DUMMYFUNCTION("""COMPUTED_VALUE"""),10.39)</f>
        <v>10.39</v>
      </c>
      <c r="E3464" s="2">
        <f>IFERROR(__xludf.DUMMYFUNCTION("""COMPUTED_VALUE"""),10.45)</f>
        <v>10.45</v>
      </c>
      <c r="F3464" s="2">
        <f>IFERROR(__xludf.DUMMYFUNCTION("""COMPUTED_VALUE"""),2164700.0)</f>
        <v>2164700</v>
      </c>
    </row>
    <row r="3465">
      <c r="A3465" s="3">
        <f>IFERROR(__xludf.DUMMYFUNCTION("""COMPUTED_VALUE"""),34225.666666666664)</f>
        <v>34225.66667</v>
      </c>
      <c r="B3465" s="2">
        <f>IFERROR(__xludf.DUMMYFUNCTION("""COMPUTED_VALUE"""),10.48)</f>
        <v>10.48</v>
      </c>
      <c r="C3465" s="2">
        <f>IFERROR(__xludf.DUMMYFUNCTION("""COMPUTED_VALUE"""),10.6)</f>
        <v>10.6</v>
      </c>
      <c r="D3465" s="2">
        <f>IFERROR(__xludf.DUMMYFUNCTION("""COMPUTED_VALUE"""),10.39)</f>
        <v>10.39</v>
      </c>
      <c r="E3465" s="2">
        <f>IFERROR(__xludf.DUMMYFUNCTION("""COMPUTED_VALUE"""),10.48)</f>
        <v>10.48</v>
      </c>
      <c r="F3465" s="2">
        <f>IFERROR(__xludf.DUMMYFUNCTION("""COMPUTED_VALUE"""),1359100.0)</f>
        <v>1359100</v>
      </c>
    </row>
    <row r="3466">
      <c r="A3466" s="3">
        <f>IFERROR(__xludf.DUMMYFUNCTION("""COMPUTED_VALUE"""),34226.666666666664)</f>
        <v>34226.66667</v>
      </c>
      <c r="B3466" s="2">
        <f>IFERROR(__xludf.DUMMYFUNCTION("""COMPUTED_VALUE"""),10.39)</f>
        <v>10.39</v>
      </c>
      <c r="C3466" s="2">
        <f>IFERROR(__xludf.DUMMYFUNCTION("""COMPUTED_VALUE"""),10.48)</f>
        <v>10.48</v>
      </c>
      <c r="D3466" s="2">
        <f>IFERROR(__xludf.DUMMYFUNCTION("""COMPUTED_VALUE"""),10.36)</f>
        <v>10.36</v>
      </c>
      <c r="E3466" s="2">
        <f>IFERROR(__xludf.DUMMYFUNCTION("""COMPUTED_VALUE"""),10.39)</f>
        <v>10.39</v>
      </c>
      <c r="F3466" s="2">
        <f>IFERROR(__xludf.DUMMYFUNCTION("""COMPUTED_VALUE"""),1089600.0)</f>
        <v>1089600</v>
      </c>
    </row>
    <row r="3467">
      <c r="A3467" s="3">
        <f>IFERROR(__xludf.DUMMYFUNCTION("""COMPUTED_VALUE"""),34227.666666666664)</f>
        <v>34227.66667</v>
      </c>
      <c r="B3467" s="2">
        <f>IFERROR(__xludf.DUMMYFUNCTION("""COMPUTED_VALUE"""),10.42)</f>
        <v>10.42</v>
      </c>
      <c r="C3467" s="2">
        <f>IFERROR(__xludf.DUMMYFUNCTION("""COMPUTED_VALUE"""),10.48)</f>
        <v>10.48</v>
      </c>
      <c r="D3467" s="2">
        <f>IFERROR(__xludf.DUMMYFUNCTION("""COMPUTED_VALUE"""),10.33)</f>
        <v>10.33</v>
      </c>
      <c r="E3467" s="2">
        <f>IFERROR(__xludf.DUMMYFUNCTION("""COMPUTED_VALUE"""),10.42)</f>
        <v>10.42</v>
      </c>
      <c r="F3467" s="2">
        <f>IFERROR(__xludf.DUMMYFUNCTION("""COMPUTED_VALUE"""),1931300.0)</f>
        <v>1931300</v>
      </c>
    </row>
    <row r="3468">
      <c r="A3468" s="3">
        <f>IFERROR(__xludf.DUMMYFUNCTION("""COMPUTED_VALUE"""),34228.666666666664)</f>
        <v>34228.66667</v>
      </c>
      <c r="B3468" s="2">
        <f>IFERROR(__xludf.DUMMYFUNCTION("""COMPUTED_VALUE"""),10.39)</f>
        <v>10.39</v>
      </c>
      <c r="C3468" s="2">
        <f>IFERROR(__xludf.DUMMYFUNCTION("""COMPUTED_VALUE"""),10.51)</f>
        <v>10.51</v>
      </c>
      <c r="D3468" s="2">
        <f>IFERROR(__xludf.DUMMYFUNCTION("""COMPUTED_VALUE"""),10.36)</f>
        <v>10.36</v>
      </c>
      <c r="E3468" s="2">
        <f>IFERROR(__xludf.DUMMYFUNCTION("""COMPUTED_VALUE"""),10.39)</f>
        <v>10.39</v>
      </c>
      <c r="F3468" s="2">
        <f>IFERROR(__xludf.DUMMYFUNCTION("""COMPUTED_VALUE"""),788500.0)</f>
        <v>788500</v>
      </c>
    </row>
    <row r="3469">
      <c r="A3469" s="3">
        <f>IFERROR(__xludf.DUMMYFUNCTION("""COMPUTED_VALUE"""),34229.666666666664)</f>
        <v>34229.66667</v>
      </c>
      <c r="B3469" s="2">
        <f>IFERROR(__xludf.DUMMYFUNCTION("""COMPUTED_VALUE"""),10.36)</f>
        <v>10.36</v>
      </c>
      <c r="C3469" s="2">
        <f>IFERROR(__xludf.DUMMYFUNCTION("""COMPUTED_VALUE"""),10.36)</f>
        <v>10.36</v>
      </c>
      <c r="D3469" s="2">
        <f>IFERROR(__xludf.DUMMYFUNCTION("""COMPUTED_VALUE"""),10.21)</f>
        <v>10.21</v>
      </c>
      <c r="E3469" s="2">
        <f>IFERROR(__xludf.DUMMYFUNCTION("""COMPUTED_VALUE"""),10.36)</f>
        <v>10.36</v>
      </c>
      <c r="F3469" s="2">
        <f>IFERROR(__xludf.DUMMYFUNCTION("""COMPUTED_VALUE"""),3192300.0)</f>
        <v>3192300</v>
      </c>
    </row>
    <row r="3470">
      <c r="A3470" s="3">
        <f>IFERROR(__xludf.DUMMYFUNCTION("""COMPUTED_VALUE"""),34232.666666666664)</f>
        <v>34232.66667</v>
      </c>
      <c r="B3470" s="2">
        <f>IFERROR(__xludf.DUMMYFUNCTION("""COMPUTED_VALUE"""),10.09)</f>
        <v>10.09</v>
      </c>
      <c r="C3470" s="2">
        <f>IFERROR(__xludf.DUMMYFUNCTION("""COMPUTED_VALUE"""),10.36)</f>
        <v>10.36</v>
      </c>
      <c r="D3470" s="2">
        <f>IFERROR(__xludf.DUMMYFUNCTION("""COMPUTED_VALUE"""),10.09)</f>
        <v>10.09</v>
      </c>
      <c r="E3470" s="2">
        <f>IFERROR(__xludf.DUMMYFUNCTION("""COMPUTED_VALUE"""),10.09)</f>
        <v>10.09</v>
      </c>
      <c r="F3470" s="2">
        <f>IFERROR(__xludf.DUMMYFUNCTION("""COMPUTED_VALUE"""),1330000.0)</f>
        <v>1330000</v>
      </c>
    </row>
    <row r="3471">
      <c r="A3471" s="3">
        <f>IFERROR(__xludf.DUMMYFUNCTION("""COMPUTED_VALUE"""),34233.666666666664)</f>
        <v>34233.66667</v>
      </c>
      <c r="B3471" s="2">
        <f>IFERROR(__xludf.DUMMYFUNCTION("""COMPUTED_VALUE"""),10.06)</f>
        <v>10.06</v>
      </c>
      <c r="C3471" s="2">
        <f>IFERROR(__xludf.DUMMYFUNCTION("""COMPUTED_VALUE"""),10.18)</f>
        <v>10.18</v>
      </c>
      <c r="D3471" s="2">
        <f>IFERROR(__xludf.DUMMYFUNCTION("""COMPUTED_VALUE"""),10.0)</f>
        <v>10</v>
      </c>
      <c r="E3471" s="2">
        <f>IFERROR(__xludf.DUMMYFUNCTION("""COMPUTED_VALUE"""),10.06)</f>
        <v>10.06</v>
      </c>
      <c r="F3471" s="2">
        <f>IFERROR(__xludf.DUMMYFUNCTION("""COMPUTED_VALUE"""),1854800.0)</f>
        <v>1854800</v>
      </c>
    </row>
    <row r="3472">
      <c r="A3472" s="3">
        <f>IFERROR(__xludf.DUMMYFUNCTION("""COMPUTED_VALUE"""),34234.666666666664)</f>
        <v>34234.66667</v>
      </c>
      <c r="B3472" s="2">
        <f>IFERROR(__xludf.DUMMYFUNCTION("""COMPUTED_VALUE"""),10.0)</f>
        <v>10</v>
      </c>
      <c r="C3472" s="2">
        <f>IFERROR(__xludf.DUMMYFUNCTION("""COMPUTED_VALUE"""),10.15)</f>
        <v>10.15</v>
      </c>
      <c r="D3472" s="2">
        <f>IFERROR(__xludf.DUMMYFUNCTION("""COMPUTED_VALUE"""),9.94)</f>
        <v>9.94</v>
      </c>
      <c r="E3472" s="2">
        <f>IFERROR(__xludf.DUMMYFUNCTION("""COMPUTED_VALUE"""),10.0)</f>
        <v>10</v>
      </c>
      <c r="F3472" s="2">
        <f>IFERROR(__xludf.DUMMYFUNCTION("""COMPUTED_VALUE"""),1709100.0)</f>
        <v>1709100</v>
      </c>
    </row>
    <row r="3473">
      <c r="A3473" s="3">
        <f>IFERROR(__xludf.DUMMYFUNCTION("""COMPUTED_VALUE"""),34235.666666666664)</f>
        <v>34235.66667</v>
      </c>
      <c r="B3473" s="2">
        <f>IFERROR(__xludf.DUMMYFUNCTION("""COMPUTED_VALUE"""),10.0)</f>
        <v>10</v>
      </c>
      <c r="C3473" s="2">
        <f>IFERROR(__xludf.DUMMYFUNCTION("""COMPUTED_VALUE"""),10.12)</f>
        <v>10.12</v>
      </c>
      <c r="D3473" s="2">
        <f>IFERROR(__xludf.DUMMYFUNCTION("""COMPUTED_VALUE"""),9.97)</f>
        <v>9.97</v>
      </c>
      <c r="E3473" s="2">
        <f>IFERROR(__xludf.DUMMYFUNCTION("""COMPUTED_VALUE"""),10.0)</f>
        <v>10</v>
      </c>
      <c r="F3473" s="2">
        <f>IFERROR(__xludf.DUMMYFUNCTION("""COMPUTED_VALUE"""),1922500.0)</f>
        <v>1922500</v>
      </c>
    </row>
    <row r="3474">
      <c r="A3474" s="3">
        <f>IFERROR(__xludf.DUMMYFUNCTION("""COMPUTED_VALUE"""),34236.666666666664)</f>
        <v>34236.66667</v>
      </c>
      <c r="B3474" s="2">
        <f>IFERROR(__xludf.DUMMYFUNCTION("""COMPUTED_VALUE"""),9.97)</f>
        <v>9.97</v>
      </c>
      <c r="C3474" s="2">
        <f>IFERROR(__xludf.DUMMYFUNCTION("""COMPUTED_VALUE"""),10.03)</f>
        <v>10.03</v>
      </c>
      <c r="D3474" s="2">
        <f>IFERROR(__xludf.DUMMYFUNCTION("""COMPUTED_VALUE"""),9.91)</f>
        <v>9.91</v>
      </c>
      <c r="E3474" s="2">
        <f>IFERROR(__xludf.DUMMYFUNCTION("""COMPUTED_VALUE"""),9.97)</f>
        <v>9.97</v>
      </c>
      <c r="F3474" s="2">
        <f>IFERROR(__xludf.DUMMYFUNCTION("""COMPUTED_VALUE"""),1305200.0)</f>
        <v>1305200</v>
      </c>
    </row>
    <row r="3475">
      <c r="A3475" s="3">
        <f>IFERROR(__xludf.DUMMYFUNCTION("""COMPUTED_VALUE"""),34239.666666666664)</f>
        <v>34239.66667</v>
      </c>
      <c r="B3475" s="2">
        <f>IFERROR(__xludf.DUMMYFUNCTION("""COMPUTED_VALUE"""),9.97)</f>
        <v>9.97</v>
      </c>
      <c r="C3475" s="2">
        <f>IFERROR(__xludf.DUMMYFUNCTION("""COMPUTED_VALUE"""),10.0)</f>
        <v>10</v>
      </c>
      <c r="D3475" s="2">
        <f>IFERROR(__xludf.DUMMYFUNCTION("""COMPUTED_VALUE"""),9.91)</f>
        <v>9.91</v>
      </c>
      <c r="E3475" s="2">
        <f>IFERROR(__xludf.DUMMYFUNCTION("""COMPUTED_VALUE"""),9.97)</f>
        <v>9.97</v>
      </c>
      <c r="F3475" s="2">
        <f>IFERROR(__xludf.DUMMYFUNCTION("""COMPUTED_VALUE"""),1604200.0)</f>
        <v>1604200</v>
      </c>
    </row>
    <row r="3476">
      <c r="A3476" s="3">
        <f>IFERROR(__xludf.DUMMYFUNCTION("""COMPUTED_VALUE"""),34240.666666666664)</f>
        <v>34240.66667</v>
      </c>
      <c r="B3476" s="2">
        <f>IFERROR(__xludf.DUMMYFUNCTION("""COMPUTED_VALUE"""),9.97)</f>
        <v>9.97</v>
      </c>
      <c r="C3476" s="2">
        <f>IFERROR(__xludf.DUMMYFUNCTION("""COMPUTED_VALUE"""),10.18)</f>
        <v>10.18</v>
      </c>
      <c r="D3476" s="2">
        <f>IFERROR(__xludf.DUMMYFUNCTION("""COMPUTED_VALUE"""),9.94)</f>
        <v>9.94</v>
      </c>
      <c r="E3476" s="2">
        <f>IFERROR(__xludf.DUMMYFUNCTION("""COMPUTED_VALUE"""),9.97)</f>
        <v>9.97</v>
      </c>
      <c r="F3476" s="2">
        <f>IFERROR(__xludf.DUMMYFUNCTION("""COMPUTED_VALUE"""),2373900.0)</f>
        <v>2373900</v>
      </c>
    </row>
    <row r="3477">
      <c r="A3477" s="3">
        <f>IFERROR(__xludf.DUMMYFUNCTION("""COMPUTED_VALUE"""),34241.666666666664)</f>
        <v>34241.66667</v>
      </c>
      <c r="B3477" s="2">
        <f>IFERROR(__xludf.DUMMYFUNCTION("""COMPUTED_VALUE"""),9.94)</f>
        <v>9.94</v>
      </c>
      <c r="C3477" s="2">
        <f>IFERROR(__xludf.DUMMYFUNCTION("""COMPUTED_VALUE"""),10.06)</f>
        <v>10.06</v>
      </c>
      <c r="D3477" s="2">
        <f>IFERROR(__xludf.DUMMYFUNCTION("""COMPUTED_VALUE"""),9.85)</f>
        <v>9.85</v>
      </c>
      <c r="E3477" s="2">
        <f>IFERROR(__xludf.DUMMYFUNCTION("""COMPUTED_VALUE"""),9.94)</f>
        <v>9.94</v>
      </c>
      <c r="F3477" s="2">
        <f>IFERROR(__xludf.DUMMYFUNCTION("""COMPUTED_VALUE"""),2196200.0)</f>
        <v>2196200</v>
      </c>
    </row>
    <row r="3478">
      <c r="A3478" s="3">
        <f>IFERROR(__xludf.DUMMYFUNCTION("""COMPUTED_VALUE"""),34242.666666666664)</f>
        <v>34242.66667</v>
      </c>
      <c r="B3478" s="2">
        <f>IFERROR(__xludf.DUMMYFUNCTION("""COMPUTED_VALUE"""),10.03)</f>
        <v>10.03</v>
      </c>
      <c r="C3478" s="2">
        <f>IFERROR(__xludf.DUMMYFUNCTION("""COMPUTED_VALUE"""),10.06)</f>
        <v>10.06</v>
      </c>
      <c r="D3478" s="2">
        <f>IFERROR(__xludf.DUMMYFUNCTION("""COMPUTED_VALUE"""),9.88)</f>
        <v>9.88</v>
      </c>
      <c r="E3478" s="2">
        <f>IFERROR(__xludf.DUMMYFUNCTION("""COMPUTED_VALUE"""),10.03)</f>
        <v>10.03</v>
      </c>
      <c r="F3478" s="2">
        <f>IFERROR(__xludf.DUMMYFUNCTION("""COMPUTED_VALUE"""),1464400.0)</f>
        <v>1464400</v>
      </c>
    </row>
    <row r="3479">
      <c r="A3479" s="3">
        <f>IFERROR(__xludf.DUMMYFUNCTION("""COMPUTED_VALUE"""),34243.666666666664)</f>
        <v>34243.66667</v>
      </c>
      <c r="B3479" s="2">
        <f>IFERROR(__xludf.DUMMYFUNCTION("""COMPUTED_VALUE"""),10.48)</f>
        <v>10.48</v>
      </c>
      <c r="C3479" s="2">
        <f>IFERROR(__xludf.DUMMYFUNCTION("""COMPUTED_VALUE"""),10.48)</f>
        <v>10.48</v>
      </c>
      <c r="D3479" s="2">
        <f>IFERROR(__xludf.DUMMYFUNCTION("""COMPUTED_VALUE"""),10.06)</f>
        <v>10.06</v>
      </c>
      <c r="E3479" s="2">
        <f>IFERROR(__xludf.DUMMYFUNCTION("""COMPUTED_VALUE"""),10.48)</f>
        <v>10.48</v>
      </c>
      <c r="F3479" s="2">
        <f>IFERROR(__xludf.DUMMYFUNCTION("""COMPUTED_VALUE"""),3337100.0)</f>
        <v>3337100</v>
      </c>
    </row>
    <row r="3480">
      <c r="A3480" s="3">
        <f>IFERROR(__xludf.DUMMYFUNCTION("""COMPUTED_VALUE"""),34246.666666666664)</f>
        <v>34246.66667</v>
      </c>
      <c r="B3480" s="2">
        <f>IFERROR(__xludf.DUMMYFUNCTION("""COMPUTED_VALUE"""),10.57)</f>
        <v>10.57</v>
      </c>
      <c r="C3480" s="2">
        <f>IFERROR(__xludf.DUMMYFUNCTION("""COMPUTED_VALUE"""),10.69)</f>
        <v>10.69</v>
      </c>
      <c r="D3480" s="2">
        <f>IFERROR(__xludf.DUMMYFUNCTION("""COMPUTED_VALUE"""),10.45)</f>
        <v>10.45</v>
      </c>
      <c r="E3480" s="2">
        <f>IFERROR(__xludf.DUMMYFUNCTION("""COMPUTED_VALUE"""),10.57)</f>
        <v>10.57</v>
      </c>
      <c r="F3480" s="2">
        <f>IFERROR(__xludf.DUMMYFUNCTION("""COMPUTED_VALUE"""),2414500.0)</f>
        <v>2414500</v>
      </c>
    </row>
    <row r="3481">
      <c r="A3481" s="3">
        <f>IFERROR(__xludf.DUMMYFUNCTION("""COMPUTED_VALUE"""),34247.666666666664)</f>
        <v>34247.66667</v>
      </c>
      <c r="B3481" s="2">
        <f>IFERROR(__xludf.DUMMYFUNCTION("""COMPUTED_VALUE"""),10.45)</f>
        <v>10.45</v>
      </c>
      <c r="C3481" s="2">
        <f>IFERROR(__xludf.DUMMYFUNCTION("""COMPUTED_VALUE"""),10.63)</f>
        <v>10.63</v>
      </c>
      <c r="D3481" s="2">
        <f>IFERROR(__xludf.DUMMYFUNCTION("""COMPUTED_VALUE"""),10.33)</f>
        <v>10.33</v>
      </c>
      <c r="E3481" s="2">
        <f>IFERROR(__xludf.DUMMYFUNCTION("""COMPUTED_VALUE"""),10.45)</f>
        <v>10.45</v>
      </c>
      <c r="F3481" s="2">
        <f>IFERROR(__xludf.DUMMYFUNCTION("""COMPUTED_VALUE"""),1564200.0)</f>
        <v>1564200</v>
      </c>
    </row>
    <row r="3482">
      <c r="A3482" s="3">
        <f>IFERROR(__xludf.DUMMYFUNCTION("""COMPUTED_VALUE"""),34248.666666666664)</f>
        <v>34248.66667</v>
      </c>
      <c r="B3482" s="2">
        <f>IFERROR(__xludf.DUMMYFUNCTION("""COMPUTED_VALUE"""),10.51)</f>
        <v>10.51</v>
      </c>
      <c r="C3482" s="2">
        <f>IFERROR(__xludf.DUMMYFUNCTION("""COMPUTED_VALUE"""),10.6)</f>
        <v>10.6</v>
      </c>
      <c r="D3482" s="2">
        <f>IFERROR(__xludf.DUMMYFUNCTION("""COMPUTED_VALUE"""),10.33)</f>
        <v>10.33</v>
      </c>
      <c r="E3482" s="2">
        <f>IFERROR(__xludf.DUMMYFUNCTION("""COMPUTED_VALUE"""),10.51)</f>
        <v>10.51</v>
      </c>
      <c r="F3482" s="2">
        <f>IFERROR(__xludf.DUMMYFUNCTION("""COMPUTED_VALUE"""),1642500.0)</f>
        <v>1642500</v>
      </c>
    </row>
    <row r="3483">
      <c r="A3483" s="3">
        <f>IFERROR(__xludf.DUMMYFUNCTION("""COMPUTED_VALUE"""),34249.666666666664)</f>
        <v>34249.66667</v>
      </c>
      <c r="B3483" s="2">
        <f>IFERROR(__xludf.DUMMYFUNCTION("""COMPUTED_VALUE"""),10.51)</f>
        <v>10.51</v>
      </c>
      <c r="C3483" s="2">
        <f>IFERROR(__xludf.DUMMYFUNCTION("""COMPUTED_VALUE"""),10.54)</f>
        <v>10.54</v>
      </c>
      <c r="D3483" s="2">
        <f>IFERROR(__xludf.DUMMYFUNCTION("""COMPUTED_VALUE"""),10.42)</f>
        <v>10.42</v>
      </c>
      <c r="E3483" s="2">
        <f>IFERROR(__xludf.DUMMYFUNCTION("""COMPUTED_VALUE"""),10.51)</f>
        <v>10.51</v>
      </c>
      <c r="F3483" s="2">
        <f>IFERROR(__xludf.DUMMYFUNCTION("""COMPUTED_VALUE"""),1045900.0)</f>
        <v>1045900</v>
      </c>
    </row>
    <row r="3484">
      <c r="A3484" s="3">
        <f>IFERROR(__xludf.DUMMYFUNCTION("""COMPUTED_VALUE"""),34250.666666666664)</f>
        <v>34250.66667</v>
      </c>
      <c r="B3484" s="2">
        <f>IFERROR(__xludf.DUMMYFUNCTION("""COMPUTED_VALUE"""),10.57)</f>
        <v>10.57</v>
      </c>
      <c r="C3484" s="2">
        <f>IFERROR(__xludf.DUMMYFUNCTION("""COMPUTED_VALUE"""),10.6)</f>
        <v>10.6</v>
      </c>
      <c r="D3484" s="2">
        <f>IFERROR(__xludf.DUMMYFUNCTION("""COMPUTED_VALUE"""),10.36)</f>
        <v>10.36</v>
      </c>
      <c r="E3484" s="2">
        <f>IFERROR(__xludf.DUMMYFUNCTION("""COMPUTED_VALUE"""),10.57)</f>
        <v>10.57</v>
      </c>
      <c r="F3484" s="2">
        <f>IFERROR(__xludf.DUMMYFUNCTION("""COMPUTED_VALUE"""),1607100.0)</f>
        <v>1607100</v>
      </c>
    </row>
    <row r="3485">
      <c r="A3485" s="3">
        <f>IFERROR(__xludf.DUMMYFUNCTION("""COMPUTED_VALUE"""),34253.666666666664)</f>
        <v>34253.66667</v>
      </c>
      <c r="B3485" s="2">
        <f>IFERROR(__xludf.DUMMYFUNCTION("""COMPUTED_VALUE"""),10.54)</f>
        <v>10.54</v>
      </c>
      <c r="C3485" s="2">
        <f>IFERROR(__xludf.DUMMYFUNCTION("""COMPUTED_VALUE"""),10.6)</f>
        <v>10.6</v>
      </c>
      <c r="D3485" s="2">
        <f>IFERROR(__xludf.DUMMYFUNCTION("""COMPUTED_VALUE"""),10.48)</f>
        <v>10.48</v>
      </c>
      <c r="E3485" s="2">
        <f>IFERROR(__xludf.DUMMYFUNCTION("""COMPUTED_VALUE"""),10.54)</f>
        <v>10.54</v>
      </c>
      <c r="F3485" s="2">
        <f>IFERROR(__xludf.DUMMYFUNCTION("""COMPUTED_VALUE"""),534900.0)</f>
        <v>534900</v>
      </c>
    </row>
    <row r="3486">
      <c r="A3486" s="3">
        <f>IFERROR(__xludf.DUMMYFUNCTION("""COMPUTED_VALUE"""),34254.666666666664)</f>
        <v>34254.66667</v>
      </c>
      <c r="B3486" s="2">
        <f>IFERROR(__xludf.DUMMYFUNCTION("""COMPUTED_VALUE"""),10.45)</f>
        <v>10.45</v>
      </c>
      <c r="C3486" s="2">
        <f>IFERROR(__xludf.DUMMYFUNCTION("""COMPUTED_VALUE"""),10.6)</f>
        <v>10.6</v>
      </c>
      <c r="D3486" s="2">
        <f>IFERROR(__xludf.DUMMYFUNCTION("""COMPUTED_VALUE"""),10.45)</f>
        <v>10.45</v>
      </c>
      <c r="E3486" s="2">
        <f>IFERROR(__xludf.DUMMYFUNCTION("""COMPUTED_VALUE"""),10.45)</f>
        <v>10.45</v>
      </c>
      <c r="F3486" s="2">
        <f>IFERROR(__xludf.DUMMYFUNCTION("""COMPUTED_VALUE"""),1337900.0)</f>
        <v>1337900</v>
      </c>
    </row>
    <row r="3487">
      <c r="A3487" s="3">
        <f>IFERROR(__xludf.DUMMYFUNCTION("""COMPUTED_VALUE"""),34255.666666666664)</f>
        <v>34255.66667</v>
      </c>
      <c r="B3487" s="2">
        <f>IFERROR(__xludf.DUMMYFUNCTION("""COMPUTED_VALUE"""),10.3)</f>
        <v>10.3</v>
      </c>
      <c r="C3487" s="2">
        <f>IFERROR(__xludf.DUMMYFUNCTION("""COMPUTED_VALUE"""),10.48)</f>
        <v>10.48</v>
      </c>
      <c r="D3487" s="2">
        <f>IFERROR(__xludf.DUMMYFUNCTION("""COMPUTED_VALUE"""),10.3)</f>
        <v>10.3</v>
      </c>
      <c r="E3487" s="2">
        <f>IFERROR(__xludf.DUMMYFUNCTION("""COMPUTED_VALUE"""),10.3)</f>
        <v>10.3</v>
      </c>
      <c r="F3487" s="2">
        <f>IFERROR(__xludf.DUMMYFUNCTION("""COMPUTED_VALUE"""),1104600.0)</f>
        <v>1104600</v>
      </c>
    </row>
    <row r="3488">
      <c r="A3488" s="3">
        <f>IFERROR(__xludf.DUMMYFUNCTION("""COMPUTED_VALUE"""),34256.666666666664)</f>
        <v>34256.66667</v>
      </c>
      <c r="B3488" s="2">
        <f>IFERROR(__xludf.DUMMYFUNCTION("""COMPUTED_VALUE"""),10.18)</f>
        <v>10.18</v>
      </c>
      <c r="C3488" s="2">
        <f>IFERROR(__xludf.DUMMYFUNCTION("""COMPUTED_VALUE"""),10.33)</f>
        <v>10.33</v>
      </c>
      <c r="D3488" s="2">
        <f>IFERROR(__xludf.DUMMYFUNCTION("""COMPUTED_VALUE"""),10.15)</f>
        <v>10.15</v>
      </c>
      <c r="E3488" s="2">
        <f>IFERROR(__xludf.DUMMYFUNCTION("""COMPUTED_VALUE"""),10.18)</f>
        <v>10.18</v>
      </c>
      <c r="F3488" s="2">
        <f>IFERROR(__xludf.DUMMYFUNCTION("""COMPUTED_VALUE"""),1678500.0)</f>
        <v>1678500</v>
      </c>
    </row>
    <row r="3489">
      <c r="A3489" s="3">
        <f>IFERROR(__xludf.DUMMYFUNCTION("""COMPUTED_VALUE"""),34257.666666666664)</f>
        <v>34257.66667</v>
      </c>
      <c r="B3489" s="2">
        <f>IFERROR(__xludf.DUMMYFUNCTION("""COMPUTED_VALUE"""),10.63)</f>
        <v>10.63</v>
      </c>
      <c r="C3489" s="2">
        <f>IFERROR(__xludf.DUMMYFUNCTION("""COMPUTED_VALUE"""),10.72)</f>
        <v>10.72</v>
      </c>
      <c r="D3489" s="2">
        <f>IFERROR(__xludf.DUMMYFUNCTION("""COMPUTED_VALUE"""),10.24)</f>
        <v>10.24</v>
      </c>
      <c r="E3489" s="2">
        <f>IFERROR(__xludf.DUMMYFUNCTION("""COMPUTED_VALUE"""),10.63)</f>
        <v>10.63</v>
      </c>
      <c r="F3489" s="2">
        <f>IFERROR(__xludf.DUMMYFUNCTION("""COMPUTED_VALUE"""),3221400.0)</f>
        <v>3221400</v>
      </c>
    </row>
    <row r="3490">
      <c r="A3490" s="3">
        <f>IFERROR(__xludf.DUMMYFUNCTION("""COMPUTED_VALUE"""),34260.666666666664)</f>
        <v>34260.66667</v>
      </c>
      <c r="B3490" s="2">
        <f>IFERROR(__xludf.DUMMYFUNCTION("""COMPUTED_VALUE"""),10.51)</f>
        <v>10.51</v>
      </c>
      <c r="C3490" s="2">
        <f>IFERROR(__xludf.DUMMYFUNCTION("""COMPUTED_VALUE"""),10.78)</f>
        <v>10.78</v>
      </c>
      <c r="D3490" s="2">
        <f>IFERROR(__xludf.DUMMYFUNCTION("""COMPUTED_VALUE"""),10.48)</f>
        <v>10.48</v>
      </c>
      <c r="E3490" s="2">
        <f>IFERROR(__xludf.DUMMYFUNCTION("""COMPUTED_VALUE"""),10.51)</f>
        <v>10.51</v>
      </c>
      <c r="F3490" s="2">
        <f>IFERROR(__xludf.DUMMYFUNCTION("""COMPUTED_VALUE"""),2068200.0)</f>
        <v>2068200</v>
      </c>
    </row>
    <row r="3491">
      <c r="A3491" s="3">
        <f>IFERROR(__xludf.DUMMYFUNCTION("""COMPUTED_VALUE"""),34261.666666666664)</f>
        <v>34261.66667</v>
      </c>
      <c r="B3491" s="2">
        <f>IFERROR(__xludf.DUMMYFUNCTION("""COMPUTED_VALUE"""),10.36)</f>
        <v>10.36</v>
      </c>
      <c r="C3491" s="2">
        <f>IFERROR(__xludf.DUMMYFUNCTION("""COMPUTED_VALUE"""),10.66)</f>
        <v>10.66</v>
      </c>
      <c r="D3491" s="2">
        <f>IFERROR(__xludf.DUMMYFUNCTION("""COMPUTED_VALUE"""),10.24)</f>
        <v>10.24</v>
      </c>
      <c r="E3491" s="2">
        <f>IFERROR(__xludf.DUMMYFUNCTION("""COMPUTED_VALUE"""),10.36)</f>
        <v>10.36</v>
      </c>
      <c r="F3491" s="2">
        <f>IFERROR(__xludf.DUMMYFUNCTION("""COMPUTED_VALUE"""),1951900.0)</f>
        <v>1951900</v>
      </c>
    </row>
    <row r="3492">
      <c r="A3492" s="3">
        <f>IFERROR(__xludf.DUMMYFUNCTION("""COMPUTED_VALUE"""),34262.666666666664)</f>
        <v>34262.66667</v>
      </c>
      <c r="B3492" s="2">
        <f>IFERROR(__xludf.DUMMYFUNCTION("""COMPUTED_VALUE"""),10.42)</f>
        <v>10.42</v>
      </c>
      <c r="C3492" s="2">
        <f>IFERROR(__xludf.DUMMYFUNCTION("""COMPUTED_VALUE"""),10.42)</f>
        <v>10.42</v>
      </c>
      <c r="D3492" s="2">
        <f>IFERROR(__xludf.DUMMYFUNCTION("""COMPUTED_VALUE"""),10.24)</f>
        <v>10.24</v>
      </c>
      <c r="E3492" s="2">
        <f>IFERROR(__xludf.DUMMYFUNCTION("""COMPUTED_VALUE"""),10.42)</f>
        <v>10.42</v>
      </c>
      <c r="F3492" s="2">
        <f>IFERROR(__xludf.DUMMYFUNCTION("""COMPUTED_VALUE"""),1303300.0)</f>
        <v>1303300</v>
      </c>
    </row>
    <row r="3493">
      <c r="A3493" s="3">
        <f>IFERROR(__xludf.DUMMYFUNCTION("""COMPUTED_VALUE"""),34263.666666666664)</f>
        <v>34263.66667</v>
      </c>
      <c r="B3493" s="2">
        <f>IFERROR(__xludf.DUMMYFUNCTION("""COMPUTED_VALUE"""),10.75)</f>
        <v>10.75</v>
      </c>
      <c r="C3493" s="2">
        <f>IFERROR(__xludf.DUMMYFUNCTION("""COMPUTED_VALUE"""),10.81)</f>
        <v>10.81</v>
      </c>
      <c r="D3493" s="2">
        <f>IFERROR(__xludf.DUMMYFUNCTION("""COMPUTED_VALUE"""),10.39)</f>
        <v>10.39</v>
      </c>
      <c r="E3493" s="2">
        <f>IFERROR(__xludf.DUMMYFUNCTION("""COMPUTED_VALUE"""),10.75)</f>
        <v>10.75</v>
      </c>
      <c r="F3493" s="2">
        <f>IFERROR(__xludf.DUMMYFUNCTION("""COMPUTED_VALUE"""),2478100.0)</f>
        <v>2478100</v>
      </c>
    </row>
    <row r="3494">
      <c r="A3494" s="3">
        <f>IFERROR(__xludf.DUMMYFUNCTION("""COMPUTED_VALUE"""),34264.666666666664)</f>
        <v>34264.66667</v>
      </c>
      <c r="B3494" s="2">
        <f>IFERROR(__xludf.DUMMYFUNCTION("""COMPUTED_VALUE"""),10.63)</f>
        <v>10.63</v>
      </c>
      <c r="C3494" s="2">
        <f>IFERROR(__xludf.DUMMYFUNCTION("""COMPUTED_VALUE"""),10.92)</f>
        <v>10.92</v>
      </c>
      <c r="D3494" s="2">
        <f>IFERROR(__xludf.DUMMYFUNCTION("""COMPUTED_VALUE"""),10.6)</f>
        <v>10.6</v>
      </c>
      <c r="E3494" s="2">
        <f>IFERROR(__xludf.DUMMYFUNCTION("""COMPUTED_VALUE"""),10.63)</f>
        <v>10.63</v>
      </c>
      <c r="F3494" s="2">
        <f>IFERROR(__xludf.DUMMYFUNCTION("""COMPUTED_VALUE"""),2716700.0)</f>
        <v>2716700</v>
      </c>
    </row>
    <row r="3495">
      <c r="A3495" s="3">
        <f>IFERROR(__xludf.DUMMYFUNCTION("""COMPUTED_VALUE"""),34267.666666666664)</f>
        <v>34267.66667</v>
      </c>
      <c r="B3495" s="2">
        <f>IFERROR(__xludf.DUMMYFUNCTION("""COMPUTED_VALUE"""),10.72)</f>
        <v>10.72</v>
      </c>
      <c r="C3495" s="2">
        <f>IFERROR(__xludf.DUMMYFUNCTION("""COMPUTED_VALUE"""),10.75)</f>
        <v>10.75</v>
      </c>
      <c r="D3495" s="2">
        <f>IFERROR(__xludf.DUMMYFUNCTION("""COMPUTED_VALUE"""),10.45)</f>
        <v>10.45</v>
      </c>
      <c r="E3495" s="2">
        <f>IFERROR(__xludf.DUMMYFUNCTION("""COMPUTED_VALUE"""),10.72)</f>
        <v>10.72</v>
      </c>
      <c r="F3495" s="2">
        <f>IFERROR(__xludf.DUMMYFUNCTION("""COMPUTED_VALUE"""),2217200.0)</f>
        <v>2217200</v>
      </c>
    </row>
    <row r="3496">
      <c r="A3496" s="3">
        <f>IFERROR(__xludf.DUMMYFUNCTION("""COMPUTED_VALUE"""),34268.666666666664)</f>
        <v>34268.66667</v>
      </c>
      <c r="B3496" s="2">
        <f>IFERROR(__xludf.DUMMYFUNCTION("""COMPUTED_VALUE"""),11.04)</f>
        <v>11.04</v>
      </c>
      <c r="C3496" s="2">
        <f>IFERROR(__xludf.DUMMYFUNCTION("""COMPUTED_VALUE"""),11.04)</f>
        <v>11.04</v>
      </c>
      <c r="D3496" s="2">
        <f>IFERROR(__xludf.DUMMYFUNCTION("""COMPUTED_VALUE"""),10.6)</f>
        <v>10.6</v>
      </c>
      <c r="E3496" s="2">
        <f>IFERROR(__xludf.DUMMYFUNCTION("""COMPUTED_VALUE"""),11.04)</f>
        <v>11.04</v>
      </c>
      <c r="F3496" s="2">
        <f>IFERROR(__xludf.DUMMYFUNCTION("""COMPUTED_VALUE"""),4351900.0)</f>
        <v>4351900</v>
      </c>
    </row>
    <row r="3497">
      <c r="A3497" s="3">
        <f>IFERROR(__xludf.DUMMYFUNCTION("""COMPUTED_VALUE"""),34269.666666666664)</f>
        <v>34269.66667</v>
      </c>
      <c r="B3497" s="2">
        <f>IFERROR(__xludf.DUMMYFUNCTION("""COMPUTED_VALUE"""),10.98)</f>
        <v>10.98</v>
      </c>
      <c r="C3497" s="2">
        <f>IFERROR(__xludf.DUMMYFUNCTION("""COMPUTED_VALUE"""),11.13)</f>
        <v>11.13</v>
      </c>
      <c r="D3497" s="2">
        <f>IFERROR(__xludf.DUMMYFUNCTION("""COMPUTED_VALUE"""),10.92)</f>
        <v>10.92</v>
      </c>
      <c r="E3497" s="2">
        <f>IFERROR(__xludf.DUMMYFUNCTION("""COMPUTED_VALUE"""),10.98)</f>
        <v>10.98</v>
      </c>
      <c r="F3497" s="2">
        <f>IFERROR(__xludf.DUMMYFUNCTION("""COMPUTED_VALUE"""),4385300.0)</f>
        <v>4385300</v>
      </c>
    </row>
    <row r="3498">
      <c r="A3498" s="3">
        <f>IFERROR(__xludf.DUMMYFUNCTION("""COMPUTED_VALUE"""),34270.666666666664)</f>
        <v>34270.66667</v>
      </c>
      <c r="B3498" s="2">
        <f>IFERROR(__xludf.DUMMYFUNCTION("""COMPUTED_VALUE"""),10.92)</f>
        <v>10.92</v>
      </c>
      <c r="C3498" s="2">
        <f>IFERROR(__xludf.DUMMYFUNCTION("""COMPUTED_VALUE"""),11.07)</f>
        <v>11.07</v>
      </c>
      <c r="D3498" s="2">
        <f>IFERROR(__xludf.DUMMYFUNCTION("""COMPUTED_VALUE"""),10.89)</f>
        <v>10.89</v>
      </c>
      <c r="E3498" s="2">
        <f>IFERROR(__xludf.DUMMYFUNCTION("""COMPUTED_VALUE"""),10.92)</f>
        <v>10.92</v>
      </c>
      <c r="F3498" s="2">
        <f>IFERROR(__xludf.DUMMYFUNCTION("""COMPUTED_VALUE"""),2662500.0)</f>
        <v>2662500</v>
      </c>
    </row>
    <row r="3499">
      <c r="A3499" s="3">
        <f>IFERROR(__xludf.DUMMYFUNCTION("""COMPUTED_VALUE"""),34271.666666666664)</f>
        <v>34271.66667</v>
      </c>
      <c r="B3499" s="2">
        <f>IFERROR(__xludf.DUMMYFUNCTION("""COMPUTED_VALUE"""),10.98)</f>
        <v>10.98</v>
      </c>
      <c r="C3499" s="2">
        <f>IFERROR(__xludf.DUMMYFUNCTION("""COMPUTED_VALUE"""),11.13)</f>
        <v>11.13</v>
      </c>
      <c r="D3499" s="2">
        <f>IFERROR(__xludf.DUMMYFUNCTION("""COMPUTED_VALUE"""),10.95)</f>
        <v>10.95</v>
      </c>
      <c r="E3499" s="2">
        <f>IFERROR(__xludf.DUMMYFUNCTION("""COMPUTED_VALUE"""),10.98)</f>
        <v>10.98</v>
      </c>
      <c r="F3499" s="2">
        <f>IFERROR(__xludf.DUMMYFUNCTION("""COMPUTED_VALUE"""),1911600.0)</f>
        <v>1911600</v>
      </c>
    </row>
    <row r="3500">
      <c r="A3500" s="3">
        <f>IFERROR(__xludf.DUMMYFUNCTION("""COMPUTED_VALUE"""),34274.666666666664)</f>
        <v>34274.66667</v>
      </c>
      <c r="B3500" s="2">
        <f>IFERROR(__xludf.DUMMYFUNCTION("""COMPUTED_VALUE"""),11.4)</f>
        <v>11.4</v>
      </c>
      <c r="C3500" s="2">
        <f>IFERROR(__xludf.DUMMYFUNCTION("""COMPUTED_VALUE"""),11.46)</f>
        <v>11.46</v>
      </c>
      <c r="D3500" s="2">
        <f>IFERROR(__xludf.DUMMYFUNCTION("""COMPUTED_VALUE"""),10.92)</f>
        <v>10.92</v>
      </c>
      <c r="E3500" s="2">
        <f>IFERROR(__xludf.DUMMYFUNCTION("""COMPUTED_VALUE"""),11.4)</f>
        <v>11.4</v>
      </c>
      <c r="F3500" s="2">
        <f>IFERROR(__xludf.DUMMYFUNCTION("""COMPUTED_VALUE"""),3963100.0)</f>
        <v>3963100</v>
      </c>
    </row>
    <row r="3501">
      <c r="A3501" s="3">
        <f>IFERROR(__xludf.DUMMYFUNCTION("""COMPUTED_VALUE"""),34275.666666666664)</f>
        <v>34275.66667</v>
      </c>
      <c r="B3501" s="2">
        <f>IFERROR(__xludf.DUMMYFUNCTION("""COMPUTED_VALUE"""),12.15)</f>
        <v>12.15</v>
      </c>
      <c r="C3501" s="2">
        <f>IFERROR(__xludf.DUMMYFUNCTION("""COMPUTED_VALUE"""),12.21)</f>
        <v>12.21</v>
      </c>
      <c r="D3501" s="2">
        <f>IFERROR(__xludf.DUMMYFUNCTION("""COMPUTED_VALUE"""),11.58)</f>
        <v>11.58</v>
      </c>
      <c r="E3501" s="2">
        <f>IFERROR(__xludf.DUMMYFUNCTION("""COMPUTED_VALUE"""),12.15)</f>
        <v>12.15</v>
      </c>
      <c r="F3501" s="2">
        <f>IFERROR(__xludf.DUMMYFUNCTION("""COMPUTED_VALUE"""),1.02081E7)</f>
        <v>10208100</v>
      </c>
    </row>
    <row r="3502">
      <c r="A3502" s="3">
        <f>IFERROR(__xludf.DUMMYFUNCTION("""COMPUTED_VALUE"""),34276.666666666664)</f>
        <v>34276.66667</v>
      </c>
      <c r="B3502" s="2">
        <f>IFERROR(__xludf.DUMMYFUNCTION("""COMPUTED_VALUE"""),12.12)</f>
        <v>12.12</v>
      </c>
      <c r="C3502" s="2">
        <f>IFERROR(__xludf.DUMMYFUNCTION("""COMPUTED_VALUE"""),12.21)</f>
        <v>12.21</v>
      </c>
      <c r="D3502" s="2">
        <f>IFERROR(__xludf.DUMMYFUNCTION("""COMPUTED_VALUE"""),11.97)</f>
        <v>11.97</v>
      </c>
      <c r="E3502" s="2">
        <f>IFERROR(__xludf.DUMMYFUNCTION("""COMPUTED_VALUE"""),12.12)</f>
        <v>12.12</v>
      </c>
      <c r="F3502" s="2">
        <f>IFERROR(__xludf.DUMMYFUNCTION("""COMPUTED_VALUE"""),5224400.0)</f>
        <v>5224400</v>
      </c>
    </row>
    <row r="3503">
      <c r="A3503" s="3">
        <f>IFERROR(__xludf.DUMMYFUNCTION("""COMPUTED_VALUE"""),34277.666666666664)</f>
        <v>34277.66667</v>
      </c>
      <c r="B3503" s="2">
        <f>IFERROR(__xludf.DUMMYFUNCTION("""COMPUTED_VALUE"""),11.88)</f>
        <v>11.88</v>
      </c>
      <c r="C3503" s="2">
        <f>IFERROR(__xludf.DUMMYFUNCTION("""COMPUTED_VALUE"""),12.06)</f>
        <v>12.06</v>
      </c>
      <c r="D3503" s="2">
        <f>IFERROR(__xludf.DUMMYFUNCTION("""COMPUTED_VALUE"""),11.79)</f>
        <v>11.79</v>
      </c>
      <c r="E3503" s="2">
        <f>IFERROR(__xludf.DUMMYFUNCTION("""COMPUTED_VALUE"""),11.88)</f>
        <v>11.88</v>
      </c>
      <c r="F3503" s="2">
        <f>IFERROR(__xludf.DUMMYFUNCTION("""COMPUTED_VALUE"""),3023300.0)</f>
        <v>3023300</v>
      </c>
    </row>
    <row r="3504">
      <c r="A3504" s="3">
        <f>IFERROR(__xludf.DUMMYFUNCTION("""COMPUTED_VALUE"""),34278.666666666664)</f>
        <v>34278.66667</v>
      </c>
      <c r="B3504" s="2">
        <f>IFERROR(__xludf.DUMMYFUNCTION("""COMPUTED_VALUE"""),11.91)</f>
        <v>11.91</v>
      </c>
      <c r="C3504" s="2">
        <f>IFERROR(__xludf.DUMMYFUNCTION("""COMPUTED_VALUE"""),11.97)</f>
        <v>11.97</v>
      </c>
      <c r="D3504" s="2">
        <f>IFERROR(__xludf.DUMMYFUNCTION("""COMPUTED_VALUE"""),11.79)</f>
        <v>11.79</v>
      </c>
      <c r="E3504" s="2">
        <f>IFERROR(__xludf.DUMMYFUNCTION("""COMPUTED_VALUE"""),11.91)</f>
        <v>11.91</v>
      </c>
      <c r="F3504" s="2">
        <f>IFERROR(__xludf.DUMMYFUNCTION("""COMPUTED_VALUE"""),3291600.0)</f>
        <v>3291600</v>
      </c>
    </row>
    <row r="3505">
      <c r="A3505" s="3">
        <f>IFERROR(__xludf.DUMMYFUNCTION("""COMPUTED_VALUE"""),34281.666666666664)</f>
        <v>34281.66667</v>
      </c>
      <c r="B3505" s="2">
        <f>IFERROR(__xludf.DUMMYFUNCTION("""COMPUTED_VALUE"""),12.0)</f>
        <v>12</v>
      </c>
      <c r="C3505" s="2">
        <f>IFERROR(__xludf.DUMMYFUNCTION("""COMPUTED_VALUE"""),12.12)</f>
        <v>12.12</v>
      </c>
      <c r="D3505" s="2">
        <f>IFERROR(__xludf.DUMMYFUNCTION("""COMPUTED_VALUE"""),11.94)</f>
        <v>11.94</v>
      </c>
      <c r="E3505" s="2">
        <f>IFERROR(__xludf.DUMMYFUNCTION("""COMPUTED_VALUE"""),12.0)</f>
        <v>12</v>
      </c>
      <c r="F3505" s="2">
        <f>IFERROR(__xludf.DUMMYFUNCTION("""COMPUTED_VALUE"""),1880900.0)</f>
        <v>1880900</v>
      </c>
    </row>
    <row r="3506">
      <c r="A3506" s="3">
        <f>IFERROR(__xludf.DUMMYFUNCTION("""COMPUTED_VALUE"""),34282.666666666664)</f>
        <v>34282.66667</v>
      </c>
      <c r="B3506" s="2">
        <f>IFERROR(__xludf.DUMMYFUNCTION("""COMPUTED_VALUE"""),11.73)</f>
        <v>11.73</v>
      </c>
      <c r="C3506" s="2">
        <f>IFERROR(__xludf.DUMMYFUNCTION("""COMPUTED_VALUE"""),12.09)</f>
        <v>12.09</v>
      </c>
      <c r="D3506" s="2">
        <f>IFERROR(__xludf.DUMMYFUNCTION("""COMPUTED_VALUE"""),11.7)</f>
        <v>11.7</v>
      </c>
      <c r="E3506" s="2">
        <f>IFERROR(__xludf.DUMMYFUNCTION("""COMPUTED_VALUE"""),11.73)</f>
        <v>11.73</v>
      </c>
      <c r="F3506" s="2">
        <f>IFERROR(__xludf.DUMMYFUNCTION("""COMPUTED_VALUE"""),2517800.0)</f>
        <v>2517800</v>
      </c>
    </row>
    <row r="3507">
      <c r="A3507" s="3">
        <f>IFERROR(__xludf.DUMMYFUNCTION("""COMPUTED_VALUE"""),34283.666666666664)</f>
        <v>34283.66667</v>
      </c>
      <c r="B3507" s="2">
        <f>IFERROR(__xludf.DUMMYFUNCTION("""COMPUTED_VALUE"""),11.91)</f>
        <v>11.91</v>
      </c>
      <c r="C3507" s="2">
        <f>IFERROR(__xludf.DUMMYFUNCTION("""COMPUTED_VALUE"""),11.97)</f>
        <v>11.97</v>
      </c>
      <c r="D3507" s="2">
        <f>IFERROR(__xludf.DUMMYFUNCTION("""COMPUTED_VALUE"""),11.7)</f>
        <v>11.7</v>
      </c>
      <c r="E3507" s="2">
        <f>IFERROR(__xludf.DUMMYFUNCTION("""COMPUTED_VALUE"""),11.91)</f>
        <v>11.91</v>
      </c>
      <c r="F3507" s="2">
        <f>IFERROR(__xludf.DUMMYFUNCTION("""COMPUTED_VALUE"""),2056700.0)</f>
        <v>2056700</v>
      </c>
    </row>
    <row r="3508">
      <c r="A3508" s="3">
        <f>IFERROR(__xludf.DUMMYFUNCTION("""COMPUTED_VALUE"""),34284.666666666664)</f>
        <v>34284.66667</v>
      </c>
      <c r="B3508" s="2">
        <f>IFERROR(__xludf.DUMMYFUNCTION("""COMPUTED_VALUE"""),12.42)</f>
        <v>12.42</v>
      </c>
      <c r="C3508" s="2">
        <f>IFERROR(__xludf.DUMMYFUNCTION("""COMPUTED_VALUE"""),12.51)</f>
        <v>12.51</v>
      </c>
      <c r="D3508" s="2">
        <f>IFERROR(__xludf.DUMMYFUNCTION("""COMPUTED_VALUE"""),11.97)</f>
        <v>11.97</v>
      </c>
      <c r="E3508" s="2">
        <f>IFERROR(__xludf.DUMMYFUNCTION("""COMPUTED_VALUE"""),12.42)</f>
        <v>12.42</v>
      </c>
      <c r="F3508" s="2">
        <f>IFERROR(__xludf.DUMMYFUNCTION("""COMPUTED_VALUE"""),3683400.0)</f>
        <v>3683400</v>
      </c>
    </row>
    <row r="3509">
      <c r="A3509" s="3">
        <f>IFERROR(__xludf.DUMMYFUNCTION("""COMPUTED_VALUE"""),34285.666666666664)</f>
        <v>34285.66667</v>
      </c>
      <c r="B3509" s="2">
        <f>IFERROR(__xludf.DUMMYFUNCTION("""COMPUTED_VALUE"""),12.33)</f>
        <v>12.33</v>
      </c>
      <c r="C3509" s="2">
        <f>IFERROR(__xludf.DUMMYFUNCTION("""COMPUTED_VALUE"""),12.54)</f>
        <v>12.54</v>
      </c>
      <c r="D3509" s="2">
        <f>IFERROR(__xludf.DUMMYFUNCTION("""COMPUTED_VALUE"""),12.3)</f>
        <v>12.3</v>
      </c>
      <c r="E3509" s="2">
        <f>IFERROR(__xludf.DUMMYFUNCTION("""COMPUTED_VALUE"""),12.33)</f>
        <v>12.33</v>
      </c>
      <c r="F3509" s="2">
        <f>IFERROR(__xludf.DUMMYFUNCTION("""COMPUTED_VALUE"""),3197200.0)</f>
        <v>3197200</v>
      </c>
    </row>
    <row r="3510">
      <c r="A3510" s="3">
        <f>IFERROR(__xludf.DUMMYFUNCTION("""COMPUTED_VALUE"""),34288.666666666664)</f>
        <v>34288.66667</v>
      </c>
      <c r="B3510" s="2">
        <f>IFERROR(__xludf.DUMMYFUNCTION("""COMPUTED_VALUE"""),12.18)</f>
        <v>12.18</v>
      </c>
      <c r="C3510" s="2">
        <f>IFERROR(__xludf.DUMMYFUNCTION("""COMPUTED_VALUE"""),12.33)</f>
        <v>12.33</v>
      </c>
      <c r="D3510" s="2">
        <f>IFERROR(__xludf.DUMMYFUNCTION("""COMPUTED_VALUE"""),12.15)</f>
        <v>12.15</v>
      </c>
      <c r="E3510" s="2">
        <f>IFERROR(__xludf.DUMMYFUNCTION("""COMPUTED_VALUE"""),12.18)</f>
        <v>12.18</v>
      </c>
      <c r="F3510" s="2">
        <f>IFERROR(__xludf.DUMMYFUNCTION("""COMPUTED_VALUE"""),1453400.0)</f>
        <v>1453400</v>
      </c>
    </row>
    <row r="3511">
      <c r="A3511" s="3">
        <f>IFERROR(__xludf.DUMMYFUNCTION("""COMPUTED_VALUE"""),34289.666666666664)</f>
        <v>34289.66667</v>
      </c>
      <c r="B3511" s="2">
        <f>IFERROR(__xludf.DUMMYFUNCTION("""COMPUTED_VALUE"""),12.6)</f>
        <v>12.6</v>
      </c>
      <c r="C3511" s="2">
        <f>IFERROR(__xludf.DUMMYFUNCTION("""COMPUTED_VALUE"""),12.66)</f>
        <v>12.66</v>
      </c>
      <c r="D3511" s="2">
        <f>IFERROR(__xludf.DUMMYFUNCTION("""COMPUTED_VALUE"""),12.12)</f>
        <v>12.12</v>
      </c>
      <c r="E3511" s="2">
        <f>IFERROR(__xludf.DUMMYFUNCTION("""COMPUTED_VALUE"""),12.6)</f>
        <v>12.6</v>
      </c>
      <c r="F3511" s="2">
        <f>IFERROR(__xludf.DUMMYFUNCTION("""COMPUTED_VALUE"""),3389200.0)</f>
        <v>3389200</v>
      </c>
    </row>
    <row r="3512">
      <c r="A3512" s="3">
        <f>IFERROR(__xludf.DUMMYFUNCTION("""COMPUTED_VALUE"""),34290.666666666664)</f>
        <v>34290.66667</v>
      </c>
      <c r="B3512" s="2">
        <f>IFERROR(__xludf.DUMMYFUNCTION("""COMPUTED_VALUE"""),12.39)</f>
        <v>12.39</v>
      </c>
      <c r="C3512" s="2">
        <f>IFERROR(__xludf.DUMMYFUNCTION("""COMPUTED_VALUE"""),12.95)</f>
        <v>12.95</v>
      </c>
      <c r="D3512" s="2">
        <f>IFERROR(__xludf.DUMMYFUNCTION("""COMPUTED_VALUE"""),12.39)</f>
        <v>12.39</v>
      </c>
      <c r="E3512" s="2">
        <f>IFERROR(__xludf.DUMMYFUNCTION("""COMPUTED_VALUE"""),12.39)</f>
        <v>12.39</v>
      </c>
      <c r="F3512" s="2">
        <f>IFERROR(__xludf.DUMMYFUNCTION("""COMPUTED_VALUE"""),4380700.0)</f>
        <v>4380700</v>
      </c>
    </row>
    <row r="3513">
      <c r="A3513" s="3">
        <f>IFERROR(__xludf.DUMMYFUNCTION("""COMPUTED_VALUE"""),34291.666666666664)</f>
        <v>34291.66667</v>
      </c>
      <c r="B3513" s="2">
        <f>IFERROR(__xludf.DUMMYFUNCTION("""COMPUTED_VALUE"""),12.6)</f>
        <v>12.6</v>
      </c>
      <c r="C3513" s="2">
        <f>IFERROR(__xludf.DUMMYFUNCTION("""COMPUTED_VALUE"""),12.69)</f>
        <v>12.69</v>
      </c>
      <c r="D3513" s="2">
        <f>IFERROR(__xludf.DUMMYFUNCTION("""COMPUTED_VALUE"""),12.45)</f>
        <v>12.45</v>
      </c>
      <c r="E3513" s="2">
        <f>IFERROR(__xludf.DUMMYFUNCTION("""COMPUTED_VALUE"""),12.6)</f>
        <v>12.6</v>
      </c>
      <c r="F3513" s="2">
        <f>IFERROR(__xludf.DUMMYFUNCTION("""COMPUTED_VALUE"""),2435100.0)</f>
        <v>2435100</v>
      </c>
    </row>
    <row r="3514">
      <c r="A3514" s="3">
        <f>IFERROR(__xludf.DUMMYFUNCTION("""COMPUTED_VALUE"""),34292.666666666664)</f>
        <v>34292.66667</v>
      </c>
      <c r="B3514" s="2">
        <f>IFERROR(__xludf.DUMMYFUNCTION("""COMPUTED_VALUE"""),12.39)</f>
        <v>12.39</v>
      </c>
      <c r="C3514" s="2">
        <f>IFERROR(__xludf.DUMMYFUNCTION("""COMPUTED_VALUE"""),12.57)</f>
        <v>12.57</v>
      </c>
      <c r="D3514" s="2">
        <f>IFERROR(__xludf.DUMMYFUNCTION("""COMPUTED_VALUE"""),12.3)</f>
        <v>12.3</v>
      </c>
      <c r="E3514" s="2">
        <f>IFERROR(__xludf.DUMMYFUNCTION("""COMPUTED_VALUE"""),12.39)</f>
        <v>12.39</v>
      </c>
      <c r="F3514" s="2">
        <f>IFERROR(__xludf.DUMMYFUNCTION("""COMPUTED_VALUE"""),2331700.0)</f>
        <v>2331700</v>
      </c>
    </row>
    <row r="3515">
      <c r="A3515" s="3">
        <f>IFERROR(__xludf.DUMMYFUNCTION("""COMPUTED_VALUE"""),34295.666666666664)</f>
        <v>34295.66667</v>
      </c>
      <c r="B3515" s="2">
        <f>IFERROR(__xludf.DUMMYFUNCTION("""COMPUTED_VALUE"""),12.42)</f>
        <v>12.42</v>
      </c>
      <c r="C3515" s="2">
        <f>IFERROR(__xludf.DUMMYFUNCTION("""COMPUTED_VALUE"""),12.54)</f>
        <v>12.54</v>
      </c>
      <c r="D3515" s="2">
        <f>IFERROR(__xludf.DUMMYFUNCTION("""COMPUTED_VALUE"""),12.33)</f>
        <v>12.33</v>
      </c>
      <c r="E3515" s="2">
        <f>IFERROR(__xludf.DUMMYFUNCTION("""COMPUTED_VALUE"""),12.42)</f>
        <v>12.42</v>
      </c>
      <c r="F3515" s="2">
        <f>IFERROR(__xludf.DUMMYFUNCTION("""COMPUTED_VALUE"""),2595300.0)</f>
        <v>2595300</v>
      </c>
    </row>
    <row r="3516">
      <c r="A3516" s="3">
        <f>IFERROR(__xludf.DUMMYFUNCTION("""COMPUTED_VALUE"""),34296.666666666664)</f>
        <v>34296.66667</v>
      </c>
      <c r="B3516" s="2">
        <f>IFERROR(__xludf.DUMMYFUNCTION("""COMPUTED_VALUE"""),12.69)</f>
        <v>12.69</v>
      </c>
      <c r="C3516" s="2">
        <f>IFERROR(__xludf.DUMMYFUNCTION("""COMPUTED_VALUE"""),12.72)</f>
        <v>12.72</v>
      </c>
      <c r="D3516" s="2">
        <f>IFERROR(__xludf.DUMMYFUNCTION("""COMPUTED_VALUE"""),12.39)</f>
        <v>12.39</v>
      </c>
      <c r="E3516" s="2">
        <f>IFERROR(__xludf.DUMMYFUNCTION("""COMPUTED_VALUE"""),12.69)</f>
        <v>12.69</v>
      </c>
      <c r="F3516" s="2">
        <f>IFERROR(__xludf.DUMMYFUNCTION("""COMPUTED_VALUE"""),2067200.0)</f>
        <v>2067200</v>
      </c>
    </row>
    <row r="3517">
      <c r="A3517" s="3">
        <f>IFERROR(__xludf.DUMMYFUNCTION("""COMPUTED_VALUE"""),34297.666666666664)</f>
        <v>34297.66667</v>
      </c>
      <c r="B3517" s="2">
        <f>IFERROR(__xludf.DUMMYFUNCTION("""COMPUTED_VALUE"""),13.16)</f>
        <v>13.16</v>
      </c>
      <c r="C3517" s="2">
        <f>IFERROR(__xludf.DUMMYFUNCTION("""COMPUTED_VALUE"""),13.19)</f>
        <v>13.19</v>
      </c>
      <c r="D3517" s="2">
        <f>IFERROR(__xludf.DUMMYFUNCTION("""COMPUTED_VALUE"""),12.84)</f>
        <v>12.84</v>
      </c>
      <c r="E3517" s="2">
        <f>IFERROR(__xludf.DUMMYFUNCTION("""COMPUTED_VALUE"""),13.16)</f>
        <v>13.16</v>
      </c>
      <c r="F3517" s="2">
        <f>IFERROR(__xludf.DUMMYFUNCTION("""COMPUTED_VALUE"""),4184000.0)</f>
        <v>4184000</v>
      </c>
    </row>
    <row r="3518">
      <c r="A3518" s="3">
        <f>IFERROR(__xludf.DUMMYFUNCTION("""COMPUTED_VALUE"""),34299.666666666664)</f>
        <v>34299.66667</v>
      </c>
      <c r="B3518" s="2">
        <f>IFERROR(__xludf.DUMMYFUNCTION("""COMPUTED_VALUE"""),13.31)</f>
        <v>13.31</v>
      </c>
      <c r="C3518" s="2">
        <f>IFERROR(__xludf.DUMMYFUNCTION("""COMPUTED_VALUE"""),13.37)</f>
        <v>13.37</v>
      </c>
      <c r="D3518" s="2">
        <f>IFERROR(__xludf.DUMMYFUNCTION("""COMPUTED_VALUE"""),13.16)</f>
        <v>13.16</v>
      </c>
      <c r="E3518" s="2">
        <f>IFERROR(__xludf.DUMMYFUNCTION("""COMPUTED_VALUE"""),13.31)</f>
        <v>13.31</v>
      </c>
      <c r="F3518" s="2">
        <f>IFERROR(__xludf.DUMMYFUNCTION("""COMPUTED_VALUE"""),1211000.0)</f>
        <v>1211000</v>
      </c>
    </row>
    <row r="3519">
      <c r="A3519" s="3">
        <f>IFERROR(__xludf.DUMMYFUNCTION("""COMPUTED_VALUE"""),34302.666666666664)</f>
        <v>34302.66667</v>
      </c>
      <c r="B3519" s="2">
        <f>IFERROR(__xludf.DUMMYFUNCTION("""COMPUTED_VALUE"""),12.98)</f>
        <v>12.98</v>
      </c>
      <c r="C3519" s="2">
        <f>IFERROR(__xludf.DUMMYFUNCTION("""COMPUTED_VALUE"""),13.4)</f>
        <v>13.4</v>
      </c>
      <c r="D3519" s="2">
        <f>IFERROR(__xludf.DUMMYFUNCTION("""COMPUTED_VALUE"""),12.98)</f>
        <v>12.98</v>
      </c>
      <c r="E3519" s="2">
        <f>IFERROR(__xludf.DUMMYFUNCTION("""COMPUTED_VALUE"""),12.98)</f>
        <v>12.98</v>
      </c>
      <c r="F3519" s="2">
        <f>IFERROR(__xludf.DUMMYFUNCTION("""COMPUTED_VALUE"""),2487900.0)</f>
        <v>2487900</v>
      </c>
    </row>
    <row r="3520">
      <c r="A3520" s="3">
        <f>IFERROR(__xludf.DUMMYFUNCTION("""COMPUTED_VALUE"""),34303.666666666664)</f>
        <v>34303.66667</v>
      </c>
      <c r="B3520" s="2">
        <f>IFERROR(__xludf.DUMMYFUNCTION("""COMPUTED_VALUE"""),12.86)</f>
        <v>12.86</v>
      </c>
      <c r="C3520" s="2">
        <f>IFERROR(__xludf.DUMMYFUNCTION("""COMPUTED_VALUE"""),13.16)</f>
        <v>13.16</v>
      </c>
      <c r="D3520" s="2">
        <f>IFERROR(__xludf.DUMMYFUNCTION("""COMPUTED_VALUE"""),12.84)</f>
        <v>12.84</v>
      </c>
      <c r="E3520" s="2">
        <f>IFERROR(__xludf.DUMMYFUNCTION("""COMPUTED_VALUE"""),12.86)</f>
        <v>12.86</v>
      </c>
      <c r="F3520" s="2">
        <f>IFERROR(__xludf.DUMMYFUNCTION("""COMPUTED_VALUE"""),1976800.0)</f>
        <v>1976800</v>
      </c>
    </row>
    <row r="3521">
      <c r="A3521" s="3">
        <f>IFERROR(__xludf.DUMMYFUNCTION("""COMPUTED_VALUE"""),34304.666666666664)</f>
        <v>34304.66667</v>
      </c>
      <c r="B3521" s="2">
        <f>IFERROR(__xludf.DUMMYFUNCTION("""COMPUTED_VALUE"""),12.69)</f>
        <v>12.69</v>
      </c>
      <c r="C3521" s="2">
        <f>IFERROR(__xludf.DUMMYFUNCTION("""COMPUTED_VALUE"""),13.07)</f>
        <v>13.07</v>
      </c>
      <c r="D3521" s="2">
        <f>IFERROR(__xludf.DUMMYFUNCTION("""COMPUTED_VALUE"""),12.69)</f>
        <v>12.69</v>
      </c>
      <c r="E3521" s="2">
        <f>IFERROR(__xludf.DUMMYFUNCTION("""COMPUTED_VALUE"""),12.69)</f>
        <v>12.69</v>
      </c>
      <c r="F3521" s="2">
        <f>IFERROR(__xludf.DUMMYFUNCTION("""COMPUTED_VALUE"""),2385300.0)</f>
        <v>2385300</v>
      </c>
    </row>
    <row r="3522">
      <c r="A3522" s="3">
        <f>IFERROR(__xludf.DUMMYFUNCTION("""COMPUTED_VALUE"""),34305.666666666664)</f>
        <v>34305.66667</v>
      </c>
      <c r="B3522" s="2">
        <f>IFERROR(__xludf.DUMMYFUNCTION("""COMPUTED_VALUE"""),12.84)</f>
        <v>12.84</v>
      </c>
      <c r="C3522" s="2">
        <f>IFERROR(__xludf.DUMMYFUNCTION("""COMPUTED_VALUE"""),12.92)</f>
        <v>12.92</v>
      </c>
      <c r="D3522" s="2">
        <f>IFERROR(__xludf.DUMMYFUNCTION("""COMPUTED_VALUE"""),12.72)</f>
        <v>12.72</v>
      </c>
      <c r="E3522" s="2">
        <f>IFERROR(__xludf.DUMMYFUNCTION("""COMPUTED_VALUE"""),12.84)</f>
        <v>12.84</v>
      </c>
      <c r="F3522" s="2">
        <f>IFERROR(__xludf.DUMMYFUNCTION("""COMPUTED_VALUE"""),1795400.0)</f>
        <v>1795400</v>
      </c>
    </row>
    <row r="3523">
      <c r="A3523" s="3">
        <f>IFERROR(__xludf.DUMMYFUNCTION("""COMPUTED_VALUE"""),34306.666666666664)</f>
        <v>34306.66667</v>
      </c>
      <c r="B3523" s="2">
        <f>IFERROR(__xludf.DUMMYFUNCTION("""COMPUTED_VALUE"""),12.78)</f>
        <v>12.78</v>
      </c>
      <c r="C3523" s="2">
        <f>IFERROR(__xludf.DUMMYFUNCTION("""COMPUTED_VALUE"""),12.89)</f>
        <v>12.89</v>
      </c>
      <c r="D3523" s="2">
        <f>IFERROR(__xludf.DUMMYFUNCTION("""COMPUTED_VALUE"""),12.69)</f>
        <v>12.69</v>
      </c>
      <c r="E3523" s="2">
        <f>IFERROR(__xludf.DUMMYFUNCTION("""COMPUTED_VALUE"""),12.78)</f>
        <v>12.78</v>
      </c>
      <c r="F3523" s="2">
        <f>IFERROR(__xludf.DUMMYFUNCTION("""COMPUTED_VALUE"""),1759700.0)</f>
        <v>1759700</v>
      </c>
    </row>
    <row r="3524">
      <c r="A3524" s="3">
        <f>IFERROR(__xludf.DUMMYFUNCTION("""COMPUTED_VALUE"""),34309.666666666664)</f>
        <v>34309.66667</v>
      </c>
      <c r="B3524" s="2">
        <f>IFERROR(__xludf.DUMMYFUNCTION("""COMPUTED_VALUE"""),12.84)</f>
        <v>12.84</v>
      </c>
      <c r="C3524" s="2">
        <f>IFERROR(__xludf.DUMMYFUNCTION("""COMPUTED_VALUE"""),12.98)</f>
        <v>12.98</v>
      </c>
      <c r="D3524" s="2">
        <f>IFERROR(__xludf.DUMMYFUNCTION("""COMPUTED_VALUE"""),12.6)</f>
        <v>12.6</v>
      </c>
      <c r="E3524" s="2">
        <f>IFERROR(__xludf.DUMMYFUNCTION("""COMPUTED_VALUE"""),12.84)</f>
        <v>12.84</v>
      </c>
      <c r="F3524" s="2">
        <f>IFERROR(__xludf.DUMMYFUNCTION("""COMPUTED_VALUE"""),1756700.0)</f>
        <v>1756700</v>
      </c>
    </row>
    <row r="3525">
      <c r="A3525" s="3">
        <f>IFERROR(__xludf.DUMMYFUNCTION("""COMPUTED_VALUE"""),34310.666666666664)</f>
        <v>34310.66667</v>
      </c>
      <c r="B3525" s="2">
        <f>IFERROR(__xludf.DUMMYFUNCTION("""COMPUTED_VALUE"""),12.84)</f>
        <v>12.84</v>
      </c>
      <c r="C3525" s="2">
        <f>IFERROR(__xludf.DUMMYFUNCTION("""COMPUTED_VALUE"""),12.95)</f>
        <v>12.95</v>
      </c>
      <c r="D3525" s="2">
        <f>IFERROR(__xludf.DUMMYFUNCTION("""COMPUTED_VALUE"""),12.72)</f>
        <v>12.72</v>
      </c>
      <c r="E3525" s="2">
        <f>IFERROR(__xludf.DUMMYFUNCTION("""COMPUTED_VALUE"""),12.84)</f>
        <v>12.84</v>
      </c>
      <c r="F3525" s="2">
        <f>IFERROR(__xludf.DUMMYFUNCTION("""COMPUTED_VALUE"""),1550900.0)</f>
        <v>1550900</v>
      </c>
    </row>
    <row r="3526">
      <c r="A3526" s="3">
        <f>IFERROR(__xludf.DUMMYFUNCTION("""COMPUTED_VALUE"""),34311.666666666664)</f>
        <v>34311.66667</v>
      </c>
      <c r="B3526" s="2">
        <f>IFERROR(__xludf.DUMMYFUNCTION("""COMPUTED_VALUE"""),12.86)</f>
        <v>12.86</v>
      </c>
      <c r="C3526" s="2">
        <f>IFERROR(__xludf.DUMMYFUNCTION("""COMPUTED_VALUE"""),12.92)</f>
        <v>12.92</v>
      </c>
      <c r="D3526" s="2">
        <f>IFERROR(__xludf.DUMMYFUNCTION("""COMPUTED_VALUE"""),12.75)</f>
        <v>12.75</v>
      </c>
      <c r="E3526" s="2">
        <f>IFERROR(__xludf.DUMMYFUNCTION("""COMPUTED_VALUE"""),12.86)</f>
        <v>12.86</v>
      </c>
      <c r="F3526" s="2">
        <f>IFERROR(__xludf.DUMMYFUNCTION("""COMPUTED_VALUE"""),1001000.0)</f>
        <v>1001000</v>
      </c>
    </row>
    <row r="3527">
      <c r="A3527" s="3">
        <f>IFERROR(__xludf.DUMMYFUNCTION("""COMPUTED_VALUE"""),34312.666666666664)</f>
        <v>34312.66667</v>
      </c>
      <c r="B3527" s="2">
        <f>IFERROR(__xludf.DUMMYFUNCTION("""COMPUTED_VALUE"""),12.81)</f>
        <v>12.81</v>
      </c>
      <c r="C3527" s="2">
        <f>IFERROR(__xludf.DUMMYFUNCTION("""COMPUTED_VALUE"""),12.92)</f>
        <v>12.92</v>
      </c>
      <c r="D3527" s="2">
        <f>IFERROR(__xludf.DUMMYFUNCTION("""COMPUTED_VALUE"""),12.72)</f>
        <v>12.72</v>
      </c>
      <c r="E3527" s="2">
        <f>IFERROR(__xludf.DUMMYFUNCTION("""COMPUTED_VALUE"""),12.81)</f>
        <v>12.81</v>
      </c>
      <c r="F3527" s="2">
        <f>IFERROR(__xludf.DUMMYFUNCTION("""COMPUTED_VALUE"""),1416000.0)</f>
        <v>1416000</v>
      </c>
    </row>
    <row r="3528">
      <c r="A3528" s="3">
        <f>IFERROR(__xludf.DUMMYFUNCTION("""COMPUTED_VALUE"""),34313.666666666664)</f>
        <v>34313.66667</v>
      </c>
      <c r="B3528" s="2">
        <f>IFERROR(__xludf.DUMMYFUNCTION("""COMPUTED_VALUE"""),13.19)</f>
        <v>13.19</v>
      </c>
      <c r="C3528" s="2">
        <f>IFERROR(__xludf.DUMMYFUNCTION("""COMPUTED_VALUE"""),13.25)</f>
        <v>13.25</v>
      </c>
      <c r="D3528" s="2">
        <f>IFERROR(__xludf.DUMMYFUNCTION("""COMPUTED_VALUE"""),12.86)</f>
        <v>12.86</v>
      </c>
      <c r="E3528" s="2">
        <f>IFERROR(__xludf.DUMMYFUNCTION("""COMPUTED_VALUE"""),13.19)</f>
        <v>13.19</v>
      </c>
      <c r="F3528" s="2">
        <f>IFERROR(__xludf.DUMMYFUNCTION("""COMPUTED_VALUE"""),3857400.0)</f>
        <v>3857400</v>
      </c>
    </row>
    <row r="3529">
      <c r="A3529" s="3">
        <f>IFERROR(__xludf.DUMMYFUNCTION("""COMPUTED_VALUE"""),34316.666666666664)</f>
        <v>34316.66667</v>
      </c>
      <c r="B3529" s="2">
        <f>IFERROR(__xludf.DUMMYFUNCTION("""COMPUTED_VALUE"""),13.7)</f>
        <v>13.7</v>
      </c>
      <c r="C3529" s="2">
        <f>IFERROR(__xludf.DUMMYFUNCTION("""COMPUTED_VALUE"""),13.79)</f>
        <v>13.79</v>
      </c>
      <c r="D3529" s="2">
        <f>IFERROR(__xludf.DUMMYFUNCTION("""COMPUTED_VALUE"""),13.22)</f>
        <v>13.22</v>
      </c>
      <c r="E3529" s="2">
        <f>IFERROR(__xludf.DUMMYFUNCTION("""COMPUTED_VALUE"""),13.7)</f>
        <v>13.7</v>
      </c>
      <c r="F3529" s="2">
        <f>IFERROR(__xludf.DUMMYFUNCTION("""COMPUTED_VALUE"""),4881100.0)</f>
        <v>4881100</v>
      </c>
    </row>
    <row r="3530">
      <c r="A3530" s="3">
        <f>IFERROR(__xludf.DUMMYFUNCTION("""COMPUTED_VALUE"""),34317.666666666664)</f>
        <v>34317.66667</v>
      </c>
      <c r="B3530" s="2">
        <f>IFERROR(__xludf.DUMMYFUNCTION("""COMPUTED_VALUE"""),13.4)</f>
        <v>13.4</v>
      </c>
      <c r="C3530" s="2">
        <f>IFERROR(__xludf.DUMMYFUNCTION("""COMPUTED_VALUE"""),13.7)</f>
        <v>13.7</v>
      </c>
      <c r="D3530" s="2">
        <f>IFERROR(__xludf.DUMMYFUNCTION("""COMPUTED_VALUE"""),13.37)</f>
        <v>13.37</v>
      </c>
      <c r="E3530" s="2">
        <f>IFERROR(__xludf.DUMMYFUNCTION("""COMPUTED_VALUE"""),13.4)</f>
        <v>13.4</v>
      </c>
      <c r="F3530" s="2">
        <f>IFERROR(__xludf.DUMMYFUNCTION("""COMPUTED_VALUE"""),2435500.0)</f>
        <v>2435500</v>
      </c>
    </row>
    <row r="3531">
      <c r="A3531" s="3">
        <f>IFERROR(__xludf.DUMMYFUNCTION("""COMPUTED_VALUE"""),34318.666666666664)</f>
        <v>34318.66667</v>
      </c>
      <c r="B3531" s="2">
        <f>IFERROR(__xludf.DUMMYFUNCTION("""COMPUTED_VALUE"""),13.58)</f>
        <v>13.58</v>
      </c>
      <c r="C3531" s="2">
        <f>IFERROR(__xludf.DUMMYFUNCTION("""COMPUTED_VALUE"""),13.76)</f>
        <v>13.76</v>
      </c>
      <c r="D3531" s="2">
        <f>IFERROR(__xludf.DUMMYFUNCTION("""COMPUTED_VALUE"""),13.28)</f>
        <v>13.28</v>
      </c>
      <c r="E3531" s="2">
        <f>IFERROR(__xludf.DUMMYFUNCTION("""COMPUTED_VALUE"""),13.58)</f>
        <v>13.58</v>
      </c>
      <c r="F3531" s="2">
        <f>IFERROR(__xludf.DUMMYFUNCTION("""COMPUTED_VALUE"""),2286300.0)</f>
        <v>2286300</v>
      </c>
    </row>
    <row r="3532">
      <c r="A3532" s="3">
        <f>IFERROR(__xludf.DUMMYFUNCTION("""COMPUTED_VALUE"""),34319.666666666664)</f>
        <v>34319.66667</v>
      </c>
      <c r="B3532" s="2">
        <f>IFERROR(__xludf.DUMMYFUNCTION("""COMPUTED_VALUE"""),13.73)</f>
        <v>13.73</v>
      </c>
      <c r="C3532" s="2">
        <f>IFERROR(__xludf.DUMMYFUNCTION("""COMPUTED_VALUE"""),13.76)</f>
        <v>13.76</v>
      </c>
      <c r="D3532" s="2">
        <f>IFERROR(__xludf.DUMMYFUNCTION("""COMPUTED_VALUE"""),13.64)</f>
        <v>13.64</v>
      </c>
      <c r="E3532" s="2">
        <f>IFERROR(__xludf.DUMMYFUNCTION("""COMPUTED_VALUE"""),13.73)</f>
        <v>13.73</v>
      </c>
      <c r="F3532" s="2">
        <f>IFERROR(__xludf.DUMMYFUNCTION("""COMPUTED_VALUE"""),2952800.0)</f>
        <v>2952800</v>
      </c>
    </row>
    <row r="3533">
      <c r="A3533" s="3">
        <f>IFERROR(__xludf.DUMMYFUNCTION("""COMPUTED_VALUE"""),34320.666666666664)</f>
        <v>34320.66667</v>
      </c>
      <c r="B3533" s="2">
        <f>IFERROR(__xludf.DUMMYFUNCTION("""COMPUTED_VALUE"""),14.27)</f>
        <v>14.27</v>
      </c>
      <c r="C3533" s="2">
        <f>IFERROR(__xludf.DUMMYFUNCTION("""COMPUTED_VALUE"""),14.3)</f>
        <v>14.3</v>
      </c>
      <c r="D3533" s="2">
        <f>IFERROR(__xludf.DUMMYFUNCTION("""COMPUTED_VALUE"""),13.79)</f>
        <v>13.79</v>
      </c>
      <c r="E3533" s="2">
        <f>IFERROR(__xludf.DUMMYFUNCTION("""COMPUTED_VALUE"""),14.27)</f>
        <v>14.27</v>
      </c>
      <c r="F3533" s="2">
        <f>IFERROR(__xludf.DUMMYFUNCTION("""COMPUTED_VALUE"""),5765800.0)</f>
        <v>5765800</v>
      </c>
    </row>
    <row r="3534">
      <c r="A3534" s="3">
        <f>IFERROR(__xludf.DUMMYFUNCTION("""COMPUTED_VALUE"""),34323.666666666664)</f>
        <v>34323.66667</v>
      </c>
      <c r="B3534" s="2">
        <f>IFERROR(__xludf.DUMMYFUNCTION("""COMPUTED_VALUE"""),13.94)</f>
        <v>13.94</v>
      </c>
      <c r="C3534" s="2">
        <f>IFERROR(__xludf.DUMMYFUNCTION("""COMPUTED_VALUE"""),14.18)</f>
        <v>14.18</v>
      </c>
      <c r="D3534" s="2">
        <f>IFERROR(__xludf.DUMMYFUNCTION("""COMPUTED_VALUE"""),13.91)</f>
        <v>13.91</v>
      </c>
      <c r="E3534" s="2">
        <f>IFERROR(__xludf.DUMMYFUNCTION("""COMPUTED_VALUE"""),13.94)</f>
        <v>13.94</v>
      </c>
      <c r="F3534" s="2">
        <f>IFERROR(__xludf.DUMMYFUNCTION("""COMPUTED_VALUE"""),2835500.0)</f>
        <v>2835500</v>
      </c>
    </row>
    <row r="3535">
      <c r="A3535" s="3">
        <f>IFERROR(__xludf.DUMMYFUNCTION("""COMPUTED_VALUE"""),34324.666666666664)</f>
        <v>34324.66667</v>
      </c>
      <c r="B3535" s="2">
        <f>IFERROR(__xludf.DUMMYFUNCTION("""COMPUTED_VALUE"""),14.0)</f>
        <v>14</v>
      </c>
      <c r="C3535" s="2">
        <f>IFERROR(__xludf.DUMMYFUNCTION("""COMPUTED_VALUE"""),14.12)</f>
        <v>14.12</v>
      </c>
      <c r="D3535" s="2">
        <f>IFERROR(__xludf.DUMMYFUNCTION("""COMPUTED_VALUE"""),13.88)</f>
        <v>13.88</v>
      </c>
      <c r="E3535" s="2">
        <f>IFERROR(__xludf.DUMMYFUNCTION("""COMPUTED_VALUE"""),14.0)</f>
        <v>14</v>
      </c>
      <c r="F3535" s="2">
        <f>IFERROR(__xludf.DUMMYFUNCTION("""COMPUTED_VALUE"""),2272300.0)</f>
        <v>2272300</v>
      </c>
    </row>
    <row r="3536">
      <c r="A3536" s="3">
        <f>IFERROR(__xludf.DUMMYFUNCTION("""COMPUTED_VALUE"""),34325.666666666664)</f>
        <v>34325.66667</v>
      </c>
      <c r="B3536" s="2">
        <f>IFERROR(__xludf.DUMMYFUNCTION("""COMPUTED_VALUE"""),14.15)</f>
        <v>14.15</v>
      </c>
      <c r="C3536" s="2">
        <f>IFERROR(__xludf.DUMMYFUNCTION("""COMPUTED_VALUE"""),14.15)</f>
        <v>14.15</v>
      </c>
      <c r="D3536" s="2">
        <f>IFERROR(__xludf.DUMMYFUNCTION("""COMPUTED_VALUE"""),13.95)</f>
        <v>13.95</v>
      </c>
      <c r="E3536" s="2">
        <f>IFERROR(__xludf.DUMMYFUNCTION("""COMPUTED_VALUE"""),14.15)</f>
        <v>14.15</v>
      </c>
      <c r="F3536" s="2">
        <f>IFERROR(__xludf.DUMMYFUNCTION("""COMPUTED_VALUE"""),1530300.0)</f>
        <v>1530300</v>
      </c>
    </row>
    <row r="3537">
      <c r="A3537" s="3">
        <f>IFERROR(__xludf.DUMMYFUNCTION("""COMPUTED_VALUE"""),34326.666666666664)</f>
        <v>34326.66667</v>
      </c>
      <c r="B3537" s="2">
        <f>IFERROR(__xludf.DUMMYFUNCTION("""COMPUTED_VALUE"""),14.0)</f>
        <v>14</v>
      </c>
      <c r="C3537" s="2">
        <f>IFERROR(__xludf.DUMMYFUNCTION("""COMPUTED_VALUE"""),14.18)</f>
        <v>14.18</v>
      </c>
      <c r="D3537" s="2">
        <f>IFERROR(__xludf.DUMMYFUNCTION("""COMPUTED_VALUE"""),13.97)</f>
        <v>13.97</v>
      </c>
      <c r="E3537" s="2">
        <f>IFERROR(__xludf.DUMMYFUNCTION("""COMPUTED_VALUE"""),14.0)</f>
        <v>14</v>
      </c>
      <c r="F3537" s="2">
        <f>IFERROR(__xludf.DUMMYFUNCTION("""COMPUTED_VALUE"""),1323300.0)</f>
        <v>1323300</v>
      </c>
    </row>
    <row r="3538">
      <c r="A3538" s="3">
        <f>IFERROR(__xludf.DUMMYFUNCTION("""COMPUTED_VALUE"""),34330.666666666664)</f>
        <v>34330.66667</v>
      </c>
      <c r="B3538" s="2">
        <f>IFERROR(__xludf.DUMMYFUNCTION("""COMPUTED_VALUE"""),14.12)</f>
        <v>14.12</v>
      </c>
      <c r="C3538" s="2">
        <f>IFERROR(__xludf.DUMMYFUNCTION("""COMPUTED_VALUE"""),14.15)</f>
        <v>14.15</v>
      </c>
      <c r="D3538" s="2">
        <f>IFERROR(__xludf.DUMMYFUNCTION("""COMPUTED_VALUE"""),13.85)</f>
        <v>13.85</v>
      </c>
      <c r="E3538" s="2">
        <f>IFERROR(__xludf.DUMMYFUNCTION("""COMPUTED_VALUE"""),14.12)</f>
        <v>14.12</v>
      </c>
      <c r="F3538" s="2">
        <f>IFERROR(__xludf.DUMMYFUNCTION("""COMPUTED_VALUE"""),1411700.0)</f>
        <v>1411700</v>
      </c>
    </row>
    <row r="3539">
      <c r="A3539" s="3">
        <f>IFERROR(__xludf.DUMMYFUNCTION("""COMPUTED_VALUE"""),34331.666666666664)</f>
        <v>34331.66667</v>
      </c>
      <c r="B3539" s="2">
        <f>IFERROR(__xludf.DUMMYFUNCTION("""COMPUTED_VALUE"""),13.94)</f>
        <v>13.94</v>
      </c>
      <c r="C3539" s="2">
        <f>IFERROR(__xludf.DUMMYFUNCTION("""COMPUTED_VALUE"""),14.18)</f>
        <v>14.18</v>
      </c>
      <c r="D3539" s="2">
        <f>IFERROR(__xludf.DUMMYFUNCTION("""COMPUTED_VALUE"""),13.91)</f>
        <v>13.91</v>
      </c>
      <c r="E3539" s="2">
        <f>IFERROR(__xludf.DUMMYFUNCTION("""COMPUTED_VALUE"""),13.94)</f>
        <v>13.94</v>
      </c>
      <c r="F3539" s="2">
        <f>IFERROR(__xludf.DUMMYFUNCTION("""COMPUTED_VALUE"""),1277400.0)</f>
        <v>1277400</v>
      </c>
    </row>
    <row r="3540">
      <c r="A3540" s="3">
        <f>IFERROR(__xludf.DUMMYFUNCTION("""COMPUTED_VALUE"""),34332.666666666664)</f>
        <v>34332.66667</v>
      </c>
      <c r="B3540" s="2">
        <f>IFERROR(__xludf.DUMMYFUNCTION("""COMPUTED_VALUE"""),13.88)</f>
        <v>13.88</v>
      </c>
      <c r="C3540" s="2">
        <f>IFERROR(__xludf.DUMMYFUNCTION("""COMPUTED_VALUE"""),14.03)</f>
        <v>14.03</v>
      </c>
      <c r="D3540" s="2">
        <f>IFERROR(__xludf.DUMMYFUNCTION("""COMPUTED_VALUE"""),13.88)</f>
        <v>13.88</v>
      </c>
      <c r="E3540" s="2">
        <f>IFERROR(__xludf.DUMMYFUNCTION("""COMPUTED_VALUE"""),13.88)</f>
        <v>13.88</v>
      </c>
      <c r="F3540" s="2">
        <f>IFERROR(__xludf.DUMMYFUNCTION("""COMPUTED_VALUE"""),1080900.0)</f>
        <v>1080900</v>
      </c>
    </row>
    <row r="3541">
      <c r="A3541" s="3">
        <f>IFERROR(__xludf.DUMMYFUNCTION("""COMPUTED_VALUE"""),34333.666666666664)</f>
        <v>34333.66667</v>
      </c>
      <c r="B3541" s="2">
        <f>IFERROR(__xludf.DUMMYFUNCTION("""COMPUTED_VALUE"""),13.61)</f>
        <v>13.61</v>
      </c>
      <c r="C3541" s="2">
        <f>IFERROR(__xludf.DUMMYFUNCTION("""COMPUTED_VALUE"""),13.94)</f>
        <v>13.94</v>
      </c>
      <c r="D3541" s="2">
        <f>IFERROR(__xludf.DUMMYFUNCTION("""COMPUTED_VALUE"""),13.58)</f>
        <v>13.58</v>
      </c>
      <c r="E3541" s="2">
        <f>IFERROR(__xludf.DUMMYFUNCTION("""COMPUTED_VALUE"""),13.61)</f>
        <v>13.61</v>
      </c>
      <c r="F3541" s="2">
        <f>IFERROR(__xludf.DUMMYFUNCTION("""COMPUTED_VALUE"""),1662800.0)</f>
        <v>1662800</v>
      </c>
    </row>
    <row r="3542">
      <c r="A3542" s="3">
        <f>IFERROR(__xludf.DUMMYFUNCTION("""COMPUTED_VALUE"""),34334.666666666664)</f>
        <v>34334.66667</v>
      </c>
      <c r="B3542" s="2">
        <f>IFERROR(__xludf.DUMMYFUNCTION("""COMPUTED_VALUE"""),13.49)</f>
        <v>13.49</v>
      </c>
      <c r="C3542" s="2">
        <f>IFERROR(__xludf.DUMMYFUNCTION("""COMPUTED_VALUE"""),13.7)</f>
        <v>13.7</v>
      </c>
      <c r="D3542" s="2">
        <f>IFERROR(__xludf.DUMMYFUNCTION("""COMPUTED_VALUE"""),13.46)</f>
        <v>13.46</v>
      </c>
      <c r="E3542" s="2">
        <f>IFERROR(__xludf.DUMMYFUNCTION("""COMPUTED_VALUE"""),13.49)</f>
        <v>13.49</v>
      </c>
      <c r="F3542" s="2">
        <f>IFERROR(__xludf.DUMMYFUNCTION("""COMPUTED_VALUE"""),1918900.0)</f>
        <v>1918900</v>
      </c>
    </row>
    <row r="3543">
      <c r="A3543" s="3">
        <f>IFERROR(__xludf.DUMMYFUNCTION("""COMPUTED_VALUE"""),34337.666666666664)</f>
        <v>34337.66667</v>
      </c>
      <c r="B3543" s="2">
        <f>IFERROR(__xludf.DUMMYFUNCTION("""COMPUTED_VALUE"""),13.76)</f>
        <v>13.76</v>
      </c>
      <c r="C3543" s="2">
        <f>IFERROR(__xludf.DUMMYFUNCTION("""COMPUTED_VALUE"""),13.79)</f>
        <v>13.79</v>
      </c>
      <c r="D3543" s="2">
        <f>IFERROR(__xludf.DUMMYFUNCTION("""COMPUTED_VALUE"""),13.58)</f>
        <v>13.58</v>
      </c>
      <c r="E3543" s="2">
        <f>IFERROR(__xludf.DUMMYFUNCTION("""COMPUTED_VALUE"""),13.76)</f>
        <v>13.76</v>
      </c>
      <c r="F3543" s="2">
        <f>IFERROR(__xludf.DUMMYFUNCTION("""COMPUTED_VALUE"""),1430800.0)</f>
        <v>1430800</v>
      </c>
    </row>
    <row r="3544">
      <c r="A3544" s="3">
        <f>IFERROR(__xludf.DUMMYFUNCTION("""COMPUTED_VALUE"""),34338.666666666664)</f>
        <v>34338.66667</v>
      </c>
      <c r="B3544" s="2">
        <f>IFERROR(__xludf.DUMMYFUNCTION("""COMPUTED_VALUE"""),14.09)</f>
        <v>14.09</v>
      </c>
      <c r="C3544" s="2">
        <f>IFERROR(__xludf.DUMMYFUNCTION("""COMPUTED_VALUE"""),14.12)</f>
        <v>14.12</v>
      </c>
      <c r="D3544" s="2">
        <f>IFERROR(__xludf.DUMMYFUNCTION("""COMPUTED_VALUE"""),13.85)</f>
        <v>13.85</v>
      </c>
      <c r="E3544" s="2">
        <f>IFERROR(__xludf.DUMMYFUNCTION("""COMPUTED_VALUE"""),14.09)</f>
        <v>14.09</v>
      </c>
      <c r="F3544" s="2">
        <f>IFERROR(__xludf.DUMMYFUNCTION("""COMPUTED_VALUE"""),1846800.0)</f>
        <v>1846800</v>
      </c>
    </row>
    <row r="3545">
      <c r="A3545" s="3">
        <f>IFERROR(__xludf.DUMMYFUNCTION("""COMPUTED_VALUE"""),34339.666666666664)</f>
        <v>34339.66667</v>
      </c>
      <c r="B3545" s="2">
        <f>IFERROR(__xludf.DUMMYFUNCTION("""COMPUTED_VALUE"""),14.21)</f>
        <v>14.21</v>
      </c>
      <c r="C3545" s="2">
        <f>IFERROR(__xludf.DUMMYFUNCTION("""COMPUTED_VALUE"""),14.3)</f>
        <v>14.3</v>
      </c>
      <c r="D3545" s="2">
        <f>IFERROR(__xludf.DUMMYFUNCTION("""COMPUTED_VALUE"""),13.97)</f>
        <v>13.97</v>
      </c>
      <c r="E3545" s="2">
        <f>IFERROR(__xludf.DUMMYFUNCTION("""COMPUTED_VALUE"""),14.21)</f>
        <v>14.21</v>
      </c>
      <c r="F3545" s="2">
        <f>IFERROR(__xludf.DUMMYFUNCTION("""COMPUTED_VALUE"""),2570000.0)</f>
        <v>2570000</v>
      </c>
    </row>
    <row r="3546">
      <c r="A3546" s="3">
        <f>IFERROR(__xludf.DUMMYFUNCTION("""COMPUTED_VALUE"""),34340.666666666664)</f>
        <v>34340.66667</v>
      </c>
      <c r="B3546" s="2">
        <f>IFERROR(__xludf.DUMMYFUNCTION("""COMPUTED_VALUE"""),13.97)</f>
        <v>13.97</v>
      </c>
      <c r="C3546" s="2">
        <f>IFERROR(__xludf.DUMMYFUNCTION("""COMPUTED_VALUE"""),14.33)</f>
        <v>14.33</v>
      </c>
      <c r="D3546" s="2">
        <f>IFERROR(__xludf.DUMMYFUNCTION("""COMPUTED_VALUE"""),13.97)</f>
        <v>13.97</v>
      </c>
      <c r="E3546" s="2">
        <f>IFERROR(__xludf.DUMMYFUNCTION("""COMPUTED_VALUE"""),13.97)</f>
        <v>13.97</v>
      </c>
      <c r="F3546" s="2">
        <f>IFERROR(__xludf.DUMMYFUNCTION("""COMPUTED_VALUE"""),2379800.0)</f>
        <v>2379800</v>
      </c>
    </row>
    <row r="3547">
      <c r="A3547" s="3">
        <f>IFERROR(__xludf.DUMMYFUNCTION("""COMPUTED_VALUE"""),34341.666666666664)</f>
        <v>34341.66667</v>
      </c>
      <c r="B3547" s="2">
        <f>IFERROR(__xludf.DUMMYFUNCTION("""COMPUTED_VALUE"""),14.06)</f>
        <v>14.06</v>
      </c>
      <c r="C3547" s="2">
        <f>IFERROR(__xludf.DUMMYFUNCTION("""COMPUTED_VALUE"""),14.18)</f>
        <v>14.18</v>
      </c>
      <c r="D3547" s="2">
        <f>IFERROR(__xludf.DUMMYFUNCTION("""COMPUTED_VALUE"""),13.85)</f>
        <v>13.85</v>
      </c>
      <c r="E3547" s="2">
        <f>IFERROR(__xludf.DUMMYFUNCTION("""COMPUTED_VALUE"""),14.06)</f>
        <v>14.06</v>
      </c>
      <c r="F3547" s="2">
        <f>IFERROR(__xludf.DUMMYFUNCTION("""COMPUTED_VALUE"""),1458600.0)</f>
        <v>1458600</v>
      </c>
    </row>
    <row r="3548">
      <c r="A3548" s="3">
        <f>IFERROR(__xludf.DUMMYFUNCTION("""COMPUTED_VALUE"""),34344.666666666664)</f>
        <v>34344.66667</v>
      </c>
      <c r="B3548" s="2">
        <f>IFERROR(__xludf.DUMMYFUNCTION("""COMPUTED_VALUE"""),14.15)</f>
        <v>14.15</v>
      </c>
      <c r="C3548" s="2">
        <f>IFERROR(__xludf.DUMMYFUNCTION("""COMPUTED_VALUE"""),14.21)</f>
        <v>14.21</v>
      </c>
      <c r="D3548" s="2">
        <f>IFERROR(__xludf.DUMMYFUNCTION("""COMPUTED_VALUE"""),13.97)</f>
        <v>13.97</v>
      </c>
      <c r="E3548" s="2">
        <f>IFERROR(__xludf.DUMMYFUNCTION("""COMPUTED_VALUE"""),14.15)</f>
        <v>14.15</v>
      </c>
      <c r="F3548" s="2">
        <f>IFERROR(__xludf.DUMMYFUNCTION("""COMPUTED_VALUE"""),1735000.0)</f>
        <v>1735000</v>
      </c>
    </row>
    <row r="3549">
      <c r="A3549" s="3">
        <f>IFERROR(__xludf.DUMMYFUNCTION("""COMPUTED_VALUE"""),34345.666666666664)</f>
        <v>34345.66667</v>
      </c>
      <c r="B3549" s="2">
        <f>IFERROR(__xludf.DUMMYFUNCTION("""COMPUTED_VALUE"""),14.0)</f>
        <v>14</v>
      </c>
      <c r="C3549" s="2">
        <f>IFERROR(__xludf.DUMMYFUNCTION("""COMPUTED_VALUE"""),14.18)</f>
        <v>14.18</v>
      </c>
      <c r="D3549" s="2">
        <f>IFERROR(__xludf.DUMMYFUNCTION("""COMPUTED_VALUE"""),13.97)</f>
        <v>13.97</v>
      </c>
      <c r="E3549" s="2">
        <f>IFERROR(__xludf.DUMMYFUNCTION("""COMPUTED_VALUE"""),14.0)</f>
        <v>14</v>
      </c>
      <c r="F3549" s="2">
        <f>IFERROR(__xludf.DUMMYFUNCTION("""COMPUTED_VALUE"""),1690600.0)</f>
        <v>1690600</v>
      </c>
    </row>
    <row r="3550">
      <c r="A3550" s="3">
        <f>IFERROR(__xludf.DUMMYFUNCTION("""COMPUTED_VALUE"""),34346.666666666664)</f>
        <v>34346.66667</v>
      </c>
      <c r="B3550" s="2">
        <f>IFERROR(__xludf.DUMMYFUNCTION("""COMPUTED_VALUE"""),13.88)</f>
        <v>13.88</v>
      </c>
      <c r="C3550" s="2">
        <f>IFERROR(__xludf.DUMMYFUNCTION("""COMPUTED_VALUE"""),14.06)</f>
        <v>14.06</v>
      </c>
      <c r="D3550" s="2">
        <f>IFERROR(__xludf.DUMMYFUNCTION("""COMPUTED_VALUE"""),13.88)</f>
        <v>13.88</v>
      </c>
      <c r="E3550" s="2">
        <f>IFERROR(__xludf.DUMMYFUNCTION("""COMPUTED_VALUE"""),13.88)</f>
        <v>13.88</v>
      </c>
      <c r="F3550" s="2">
        <f>IFERROR(__xludf.DUMMYFUNCTION("""COMPUTED_VALUE"""),1503100.0)</f>
        <v>1503100</v>
      </c>
    </row>
    <row r="3551">
      <c r="A3551" s="3">
        <f>IFERROR(__xludf.DUMMYFUNCTION("""COMPUTED_VALUE"""),34347.666666666664)</f>
        <v>34347.66667</v>
      </c>
      <c r="B3551" s="2">
        <f>IFERROR(__xludf.DUMMYFUNCTION("""COMPUTED_VALUE"""),14.03)</f>
        <v>14.03</v>
      </c>
      <c r="C3551" s="2">
        <f>IFERROR(__xludf.DUMMYFUNCTION("""COMPUTED_VALUE"""),14.09)</f>
        <v>14.09</v>
      </c>
      <c r="D3551" s="2">
        <f>IFERROR(__xludf.DUMMYFUNCTION("""COMPUTED_VALUE"""),13.91)</f>
        <v>13.91</v>
      </c>
      <c r="E3551" s="2">
        <f>IFERROR(__xludf.DUMMYFUNCTION("""COMPUTED_VALUE"""),14.03)</f>
        <v>14.03</v>
      </c>
      <c r="F3551" s="2">
        <f>IFERROR(__xludf.DUMMYFUNCTION("""COMPUTED_VALUE"""),1804200.0)</f>
        <v>1804200</v>
      </c>
    </row>
    <row r="3552">
      <c r="A3552" s="3">
        <f>IFERROR(__xludf.DUMMYFUNCTION("""COMPUTED_VALUE"""),34348.666666666664)</f>
        <v>34348.66667</v>
      </c>
      <c r="B3552" s="2">
        <f>IFERROR(__xludf.DUMMYFUNCTION("""COMPUTED_VALUE"""),14.0)</f>
        <v>14</v>
      </c>
      <c r="C3552" s="2">
        <f>IFERROR(__xludf.DUMMYFUNCTION("""COMPUTED_VALUE"""),14.21)</f>
        <v>14.21</v>
      </c>
      <c r="D3552" s="2">
        <f>IFERROR(__xludf.DUMMYFUNCTION("""COMPUTED_VALUE"""),13.94)</f>
        <v>13.94</v>
      </c>
      <c r="E3552" s="2">
        <f>IFERROR(__xludf.DUMMYFUNCTION("""COMPUTED_VALUE"""),14.0)</f>
        <v>14</v>
      </c>
      <c r="F3552" s="2">
        <f>IFERROR(__xludf.DUMMYFUNCTION("""COMPUTED_VALUE"""),1586000.0)</f>
        <v>1586000</v>
      </c>
    </row>
    <row r="3553">
      <c r="A3553" s="3">
        <f>IFERROR(__xludf.DUMMYFUNCTION("""COMPUTED_VALUE"""),34351.666666666664)</f>
        <v>34351.66667</v>
      </c>
      <c r="B3553" s="2">
        <f>IFERROR(__xludf.DUMMYFUNCTION("""COMPUTED_VALUE"""),13.73)</f>
        <v>13.73</v>
      </c>
      <c r="C3553" s="2">
        <f>IFERROR(__xludf.DUMMYFUNCTION("""COMPUTED_VALUE"""),13.97)</f>
        <v>13.97</v>
      </c>
      <c r="D3553" s="2">
        <f>IFERROR(__xludf.DUMMYFUNCTION("""COMPUTED_VALUE"""),13.64)</f>
        <v>13.64</v>
      </c>
      <c r="E3553" s="2">
        <f>IFERROR(__xludf.DUMMYFUNCTION("""COMPUTED_VALUE"""),13.73)</f>
        <v>13.73</v>
      </c>
      <c r="F3553" s="2">
        <f>IFERROR(__xludf.DUMMYFUNCTION("""COMPUTED_VALUE"""),1528100.0)</f>
        <v>1528100</v>
      </c>
    </row>
    <row r="3554">
      <c r="A3554" s="3">
        <f>IFERROR(__xludf.DUMMYFUNCTION("""COMPUTED_VALUE"""),34352.666666666664)</f>
        <v>34352.66667</v>
      </c>
      <c r="B3554" s="2">
        <f>IFERROR(__xludf.DUMMYFUNCTION("""COMPUTED_VALUE"""),13.64)</f>
        <v>13.64</v>
      </c>
      <c r="C3554" s="2">
        <f>IFERROR(__xludf.DUMMYFUNCTION("""COMPUTED_VALUE"""),13.7)</f>
        <v>13.7</v>
      </c>
      <c r="D3554" s="2">
        <f>IFERROR(__xludf.DUMMYFUNCTION("""COMPUTED_VALUE"""),13.46)</f>
        <v>13.46</v>
      </c>
      <c r="E3554" s="2">
        <f>IFERROR(__xludf.DUMMYFUNCTION("""COMPUTED_VALUE"""),13.64)</f>
        <v>13.64</v>
      </c>
      <c r="F3554" s="2">
        <f>IFERROR(__xludf.DUMMYFUNCTION("""COMPUTED_VALUE"""),2255900.0)</f>
        <v>2255900</v>
      </c>
    </row>
    <row r="3555">
      <c r="A3555" s="3">
        <f>IFERROR(__xludf.DUMMYFUNCTION("""COMPUTED_VALUE"""),34353.666666666664)</f>
        <v>34353.66667</v>
      </c>
      <c r="B3555" s="2">
        <f>IFERROR(__xludf.DUMMYFUNCTION("""COMPUTED_VALUE"""),13.37)</f>
        <v>13.37</v>
      </c>
      <c r="C3555" s="2">
        <f>IFERROR(__xludf.DUMMYFUNCTION("""COMPUTED_VALUE"""),13.61)</f>
        <v>13.61</v>
      </c>
      <c r="D3555" s="2">
        <f>IFERROR(__xludf.DUMMYFUNCTION("""COMPUTED_VALUE"""),13.31)</f>
        <v>13.31</v>
      </c>
      <c r="E3555" s="2">
        <f>IFERROR(__xludf.DUMMYFUNCTION("""COMPUTED_VALUE"""),13.37)</f>
        <v>13.37</v>
      </c>
      <c r="F3555" s="2">
        <f>IFERROR(__xludf.DUMMYFUNCTION("""COMPUTED_VALUE"""),1959500.0)</f>
        <v>1959500</v>
      </c>
    </row>
    <row r="3556">
      <c r="A3556" s="3">
        <f>IFERROR(__xludf.DUMMYFUNCTION("""COMPUTED_VALUE"""),34354.666666666664)</f>
        <v>34354.66667</v>
      </c>
      <c r="B3556" s="2">
        <f>IFERROR(__xludf.DUMMYFUNCTION("""COMPUTED_VALUE"""),13.19)</f>
        <v>13.19</v>
      </c>
      <c r="C3556" s="2">
        <f>IFERROR(__xludf.DUMMYFUNCTION("""COMPUTED_VALUE"""),13.34)</f>
        <v>13.34</v>
      </c>
      <c r="D3556" s="2">
        <f>IFERROR(__xludf.DUMMYFUNCTION("""COMPUTED_VALUE"""),13.16)</f>
        <v>13.16</v>
      </c>
      <c r="E3556" s="2">
        <f>IFERROR(__xludf.DUMMYFUNCTION("""COMPUTED_VALUE"""),13.19)</f>
        <v>13.19</v>
      </c>
      <c r="F3556" s="2">
        <f>IFERROR(__xludf.DUMMYFUNCTION("""COMPUTED_VALUE"""),2278500.0)</f>
        <v>2278500</v>
      </c>
    </row>
    <row r="3557">
      <c r="A3557" s="3">
        <f>IFERROR(__xludf.DUMMYFUNCTION("""COMPUTED_VALUE"""),34355.666666666664)</f>
        <v>34355.66667</v>
      </c>
      <c r="B3557" s="2">
        <f>IFERROR(__xludf.DUMMYFUNCTION("""COMPUTED_VALUE"""),13.19)</f>
        <v>13.19</v>
      </c>
      <c r="C3557" s="2">
        <f>IFERROR(__xludf.DUMMYFUNCTION("""COMPUTED_VALUE"""),13.28)</f>
        <v>13.28</v>
      </c>
      <c r="D3557" s="2">
        <f>IFERROR(__xludf.DUMMYFUNCTION("""COMPUTED_VALUE"""),13.07)</f>
        <v>13.07</v>
      </c>
      <c r="E3557" s="2">
        <f>IFERROR(__xludf.DUMMYFUNCTION("""COMPUTED_VALUE"""),13.19)</f>
        <v>13.19</v>
      </c>
      <c r="F3557" s="2">
        <f>IFERROR(__xludf.DUMMYFUNCTION("""COMPUTED_VALUE"""),3176600.0)</f>
        <v>3176600</v>
      </c>
    </row>
    <row r="3558">
      <c r="A3558" s="3">
        <f>IFERROR(__xludf.DUMMYFUNCTION("""COMPUTED_VALUE"""),34358.666666666664)</f>
        <v>34358.66667</v>
      </c>
      <c r="B3558" s="2">
        <f>IFERROR(__xludf.DUMMYFUNCTION("""COMPUTED_VALUE"""),14.0)</f>
        <v>14</v>
      </c>
      <c r="C3558" s="2">
        <f>IFERROR(__xludf.DUMMYFUNCTION("""COMPUTED_VALUE"""),14.03)</f>
        <v>14.03</v>
      </c>
      <c r="D3558" s="2">
        <f>IFERROR(__xludf.DUMMYFUNCTION("""COMPUTED_VALUE"""),13.31)</f>
        <v>13.31</v>
      </c>
      <c r="E3558" s="2">
        <f>IFERROR(__xludf.DUMMYFUNCTION("""COMPUTED_VALUE"""),14.0)</f>
        <v>14</v>
      </c>
      <c r="F3558" s="2">
        <f>IFERROR(__xludf.DUMMYFUNCTION("""COMPUTED_VALUE"""),4219300.0)</f>
        <v>4219300</v>
      </c>
    </row>
    <row r="3559">
      <c r="A3559" s="3">
        <f>IFERROR(__xludf.DUMMYFUNCTION("""COMPUTED_VALUE"""),34359.666666666664)</f>
        <v>34359.66667</v>
      </c>
      <c r="B3559" s="2">
        <f>IFERROR(__xludf.DUMMYFUNCTION("""COMPUTED_VALUE"""),13.91)</f>
        <v>13.91</v>
      </c>
      <c r="C3559" s="2">
        <f>IFERROR(__xludf.DUMMYFUNCTION("""COMPUTED_VALUE"""),14.18)</f>
        <v>14.18</v>
      </c>
      <c r="D3559" s="2">
        <f>IFERROR(__xludf.DUMMYFUNCTION("""COMPUTED_VALUE"""),13.22)</f>
        <v>13.22</v>
      </c>
      <c r="E3559" s="2">
        <f>IFERROR(__xludf.DUMMYFUNCTION("""COMPUTED_VALUE"""),13.91)</f>
        <v>13.91</v>
      </c>
      <c r="F3559" s="2">
        <f>IFERROR(__xludf.DUMMYFUNCTION("""COMPUTED_VALUE"""),1.01549E7)</f>
        <v>10154900</v>
      </c>
    </row>
    <row r="3560">
      <c r="A3560" s="3">
        <f>IFERROR(__xludf.DUMMYFUNCTION("""COMPUTED_VALUE"""),34360.666666666664)</f>
        <v>34360.66667</v>
      </c>
      <c r="B3560" s="2">
        <f>IFERROR(__xludf.DUMMYFUNCTION("""COMPUTED_VALUE"""),13.46)</f>
        <v>13.46</v>
      </c>
      <c r="C3560" s="2">
        <f>IFERROR(__xludf.DUMMYFUNCTION("""COMPUTED_VALUE"""),14.03)</f>
        <v>14.03</v>
      </c>
      <c r="D3560" s="2">
        <f>IFERROR(__xludf.DUMMYFUNCTION("""COMPUTED_VALUE"""),13.37)</f>
        <v>13.37</v>
      </c>
      <c r="E3560" s="2">
        <f>IFERROR(__xludf.DUMMYFUNCTION("""COMPUTED_VALUE"""),13.46)</f>
        <v>13.46</v>
      </c>
      <c r="F3560" s="2">
        <f>IFERROR(__xludf.DUMMYFUNCTION("""COMPUTED_VALUE"""),4089600.0)</f>
        <v>4089600</v>
      </c>
    </row>
    <row r="3561">
      <c r="A3561" s="3">
        <f>IFERROR(__xludf.DUMMYFUNCTION("""COMPUTED_VALUE"""),34361.666666666664)</f>
        <v>34361.66667</v>
      </c>
      <c r="B3561" s="2">
        <f>IFERROR(__xludf.DUMMYFUNCTION("""COMPUTED_VALUE"""),13.64)</f>
        <v>13.64</v>
      </c>
      <c r="C3561" s="2">
        <f>IFERROR(__xludf.DUMMYFUNCTION("""COMPUTED_VALUE"""),13.73)</f>
        <v>13.73</v>
      </c>
      <c r="D3561" s="2">
        <f>IFERROR(__xludf.DUMMYFUNCTION("""COMPUTED_VALUE"""),13.49)</f>
        <v>13.49</v>
      </c>
      <c r="E3561" s="2">
        <f>IFERROR(__xludf.DUMMYFUNCTION("""COMPUTED_VALUE"""),13.64)</f>
        <v>13.64</v>
      </c>
      <c r="F3561" s="2">
        <f>IFERROR(__xludf.DUMMYFUNCTION("""COMPUTED_VALUE"""),2215200.0)</f>
        <v>2215200</v>
      </c>
    </row>
    <row r="3562">
      <c r="A3562" s="3">
        <f>IFERROR(__xludf.DUMMYFUNCTION("""COMPUTED_VALUE"""),34362.666666666664)</f>
        <v>34362.66667</v>
      </c>
      <c r="B3562" s="2">
        <f>IFERROR(__xludf.DUMMYFUNCTION("""COMPUTED_VALUE"""),13.79)</f>
        <v>13.79</v>
      </c>
      <c r="C3562" s="2">
        <f>IFERROR(__xludf.DUMMYFUNCTION("""COMPUTED_VALUE"""),13.88)</f>
        <v>13.88</v>
      </c>
      <c r="D3562" s="2">
        <f>IFERROR(__xludf.DUMMYFUNCTION("""COMPUTED_VALUE"""),13.73)</f>
        <v>13.73</v>
      </c>
      <c r="E3562" s="2">
        <f>IFERROR(__xludf.DUMMYFUNCTION("""COMPUTED_VALUE"""),13.79)</f>
        <v>13.79</v>
      </c>
      <c r="F3562" s="2">
        <f>IFERROR(__xludf.DUMMYFUNCTION("""COMPUTED_VALUE"""),1543900.0)</f>
        <v>1543900</v>
      </c>
    </row>
    <row r="3563">
      <c r="A3563" s="3">
        <f>IFERROR(__xludf.DUMMYFUNCTION("""COMPUTED_VALUE"""),34365.666666666664)</f>
        <v>34365.66667</v>
      </c>
      <c r="B3563" s="2">
        <f>IFERROR(__xludf.DUMMYFUNCTION("""COMPUTED_VALUE"""),13.49)</f>
        <v>13.49</v>
      </c>
      <c r="C3563" s="2">
        <f>IFERROR(__xludf.DUMMYFUNCTION("""COMPUTED_VALUE"""),13.82)</f>
        <v>13.82</v>
      </c>
      <c r="D3563" s="2">
        <f>IFERROR(__xludf.DUMMYFUNCTION("""COMPUTED_VALUE"""),13.49)</f>
        <v>13.49</v>
      </c>
      <c r="E3563" s="2">
        <f>IFERROR(__xludf.DUMMYFUNCTION("""COMPUTED_VALUE"""),13.49)</f>
        <v>13.49</v>
      </c>
      <c r="F3563" s="2">
        <f>IFERROR(__xludf.DUMMYFUNCTION("""COMPUTED_VALUE"""),2092400.0)</f>
        <v>2092400</v>
      </c>
    </row>
    <row r="3564">
      <c r="A3564" s="3">
        <f>IFERROR(__xludf.DUMMYFUNCTION("""COMPUTED_VALUE"""),34366.666666666664)</f>
        <v>34366.66667</v>
      </c>
      <c r="B3564" s="2">
        <f>IFERROR(__xludf.DUMMYFUNCTION("""COMPUTED_VALUE"""),13.49)</f>
        <v>13.49</v>
      </c>
      <c r="C3564" s="2">
        <f>IFERROR(__xludf.DUMMYFUNCTION("""COMPUTED_VALUE"""),13.7)</f>
        <v>13.7</v>
      </c>
      <c r="D3564" s="2">
        <f>IFERROR(__xludf.DUMMYFUNCTION("""COMPUTED_VALUE"""),13.49)</f>
        <v>13.49</v>
      </c>
      <c r="E3564" s="2">
        <f>IFERROR(__xludf.DUMMYFUNCTION("""COMPUTED_VALUE"""),13.49)</f>
        <v>13.49</v>
      </c>
      <c r="F3564" s="2">
        <f>IFERROR(__xludf.DUMMYFUNCTION("""COMPUTED_VALUE"""),1858400.0)</f>
        <v>1858400</v>
      </c>
    </row>
    <row r="3565">
      <c r="A3565" s="3">
        <f>IFERROR(__xludf.DUMMYFUNCTION("""COMPUTED_VALUE"""),34367.666666666664)</f>
        <v>34367.66667</v>
      </c>
      <c r="B3565" s="2">
        <f>IFERROR(__xludf.DUMMYFUNCTION("""COMPUTED_VALUE"""),13.46)</f>
        <v>13.46</v>
      </c>
      <c r="C3565" s="2">
        <f>IFERROR(__xludf.DUMMYFUNCTION("""COMPUTED_VALUE"""),13.49)</f>
        <v>13.49</v>
      </c>
      <c r="D3565" s="2">
        <f>IFERROR(__xludf.DUMMYFUNCTION("""COMPUTED_VALUE"""),13.25)</f>
        <v>13.25</v>
      </c>
      <c r="E3565" s="2">
        <f>IFERROR(__xludf.DUMMYFUNCTION("""COMPUTED_VALUE"""),13.46)</f>
        <v>13.46</v>
      </c>
      <c r="F3565" s="2">
        <f>IFERROR(__xludf.DUMMYFUNCTION("""COMPUTED_VALUE"""),2153200.0)</f>
        <v>2153200</v>
      </c>
    </row>
    <row r="3566">
      <c r="A3566" s="3">
        <f>IFERROR(__xludf.DUMMYFUNCTION("""COMPUTED_VALUE"""),34368.666666666664)</f>
        <v>34368.66667</v>
      </c>
      <c r="B3566" s="2">
        <f>IFERROR(__xludf.DUMMYFUNCTION("""COMPUTED_VALUE"""),13.31)</f>
        <v>13.31</v>
      </c>
      <c r="C3566" s="2">
        <f>IFERROR(__xludf.DUMMYFUNCTION("""COMPUTED_VALUE"""),13.58)</f>
        <v>13.58</v>
      </c>
      <c r="D3566" s="2">
        <f>IFERROR(__xludf.DUMMYFUNCTION("""COMPUTED_VALUE"""),13.31)</f>
        <v>13.31</v>
      </c>
      <c r="E3566" s="2">
        <f>IFERROR(__xludf.DUMMYFUNCTION("""COMPUTED_VALUE"""),13.31)</f>
        <v>13.31</v>
      </c>
      <c r="F3566" s="2">
        <f>IFERROR(__xludf.DUMMYFUNCTION("""COMPUTED_VALUE"""),1763800.0)</f>
        <v>1763800</v>
      </c>
    </row>
    <row r="3567">
      <c r="A3567" s="3">
        <f>IFERROR(__xludf.DUMMYFUNCTION("""COMPUTED_VALUE"""),34369.666666666664)</f>
        <v>34369.66667</v>
      </c>
      <c r="B3567" s="2">
        <f>IFERROR(__xludf.DUMMYFUNCTION("""COMPUTED_VALUE"""),12.42)</f>
        <v>12.42</v>
      </c>
      <c r="C3567" s="2">
        <f>IFERROR(__xludf.DUMMYFUNCTION("""COMPUTED_VALUE"""),13.28)</f>
        <v>13.28</v>
      </c>
      <c r="D3567" s="2">
        <f>IFERROR(__xludf.DUMMYFUNCTION("""COMPUTED_VALUE"""),12.42)</f>
        <v>12.42</v>
      </c>
      <c r="E3567" s="2">
        <f>IFERROR(__xludf.DUMMYFUNCTION("""COMPUTED_VALUE"""),12.42)</f>
        <v>12.42</v>
      </c>
      <c r="F3567" s="2">
        <f>IFERROR(__xludf.DUMMYFUNCTION("""COMPUTED_VALUE"""),3559900.0)</f>
        <v>3559900</v>
      </c>
    </row>
    <row r="3568">
      <c r="A3568" s="3">
        <f>IFERROR(__xludf.DUMMYFUNCTION("""COMPUTED_VALUE"""),34372.666666666664)</f>
        <v>34372.66667</v>
      </c>
      <c r="B3568" s="2">
        <f>IFERROR(__xludf.DUMMYFUNCTION("""COMPUTED_VALUE"""),12.95)</f>
        <v>12.95</v>
      </c>
      <c r="C3568" s="2">
        <f>IFERROR(__xludf.DUMMYFUNCTION("""COMPUTED_VALUE"""),13.04)</f>
        <v>13.04</v>
      </c>
      <c r="D3568" s="2">
        <f>IFERROR(__xludf.DUMMYFUNCTION("""COMPUTED_VALUE"""),12.48)</f>
        <v>12.48</v>
      </c>
      <c r="E3568" s="2">
        <f>IFERROR(__xludf.DUMMYFUNCTION("""COMPUTED_VALUE"""),12.95)</f>
        <v>12.95</v>
      </c>
      <c r="F3568" s="2">
        <f>IFERROR(__xludf.DUMMYFUNCTION("""COMPUTED_VALUE"""),4118800.0)</f>
        <v>4118800</v>
      </c>
    </row>
    <row r="3569">
      <c r="A3569" s="3">
        <f>IFERROR(__xludf.DUMMYFUNCTION("""COMPUTED_VALUE"""),34373.666666666664)</f>
        <v>34373.66667</v>
      </c>
      <c r="B3569" s="2">
        <f>IFERROR(__xludf.DUMMYFUNCTION("""COMPUTED_VALUE"""),12.81)</f>
        <v>12.81</v>
      </c>
      <c r="C3569" s="2">
        <f>IFERROR(__xludf.DUMMYFUNCTION("""COMPUTED_VALUE"""),13.07)</f>
        <v>13.07</v>
      </c>
      <c r="D3569" s="2">
        <f>IFERROR(__xludf.DUMMYFUNCTION("""COMPUTED_VALUE"""),12.75)</f>
        <v>12.75</v>
      </c>
      <c r="E3569" s="2">
        <f>IFERROR(__xludf.DUMMYFUNCTION("""COMPUTED_VALUE"""),12.81)</f>
        <v>12.81</v>
      </c>
      <c r="F3569" s="2">
        <f>IFERROR(__xludf.DUMMYFUNCTION("""COMPUTED_VALUE"""),2008800.0)</f>
        <v>2008800</v>
      </c>
    </row>
    <row r="3570">
      <c r="A3570" s="3">
        <f>IFERROR(__xludf.DUMMYFUNCTION("""COMPUTED_VALUE"""),34374.666666666664)</f>
        <v>34374.66667</v>
      </c>
      <c r="B3570" s="2">
        <f>IFERROR(__xludf.DUMMYFUNCTION("""COMPUTED_VALUE"""),12.69)</f>
        <v>12.69</v>
      </c>
      <c r="C3570" s="2">
        <f>IFERROR(__xludf.DUMMYFUNCTION("""COMPUTED_VALUE"""),12.95)</f>
        <v>12.95</v>
      </c>
      <c r="D3570" s="2">
        <f>IFERROR(__xludf.DUMMYFUNCTION("""COMPUTED_VALUE"""),12.69)</f>
        <v>12.69</v>
      </c>
      <c r="E3570" s="2">
        <f>IFERROR(__xludf.DUMMYFUNCTION("""COMPUTED_VALUE"""),12.69)</f>
        <v>12.69</v>
      </c>
      <c r="F3570" s="2">
        <f>IFERROR(__xludf.DUMMYFUNCTION("""COMPUTED_VALUE"""),1979100.0)</f>
        <v>1979100</v>
      </c>
    </row>
    <row r="3571">
      <c r="A3571" s="3">
        <f>IFERROR(__xludf.DUMMYFUNCTION("""COMPUTED_VALUE"""),34375.666666666664)</f>
        <v>34375.66667</v>
      </c>
      <c r="B3571" s="2">
        <f>IFERROR(__xludf.DUMMYFUNCTION("""COMPUTED_VALUE"""),12.63)</f>
        <v>12.63</v>
      </c>
      <c r="C3571" s="2">
        <f>IFERROR(__xludf.DUMMYFUNCTION("""COMPUTED_VALUE"""),12.81)</f>
        <v>12.81</v>
      </c>
      <c r="D3571" s="2">
        <f>IFERROR(__xludf.DUMMYFUNCTION("""COMPUTED_VALUE"""),12.6)</f>
        <v>12.6</v>
      </c>
      <c r="E3571" s="2">
        <f>IFERROR(__xludf.DUMMYFUNCTION("""COMPUTED_VALUE"""),12.63)</f>
        <v>12.63</v>
      </c>
      <c r="F3571" s="2">
        <f>IFERROR(__xludf.DUMMYFUNCTION("""COMPUTED_VALUE"""),1565600.0)</f>
        <v>1565600</v>
      </c>
    </row>
    <row r="3572">
      <c r="A3572" s="3">
        <f>IFERROR(__xludf.DUMMYFUNCTION("""COMPUTED_VALUE"""),34376.666666666664)</f>
        <v>34376.66667</v>
      </c>
      <c r="B3572" s="2">
        <f>IFERROR(__xludf.DUMMYFUNCTION("""COMPUTED_VALUE"""),12.72)</f>
        <v>12.72</v>
      </c>
      <c r="C3572" s="2">
        <f>IFERROR(__xludf.DUMMYFUNCTION("""COMPUTED_VALUE"""),12.75)</f>
        <v>12.75</v>
      </c>
      <c r="D3572" s="2">
        <f>IFERROR(__xludf.DUMMYFUNCTION("""COMPUTED_VALUE"""),12.42)</f>
        <v>12.42</v>
      </c>
      <c r="E3572" s="2">
        <f>IFERROR(__xludf.DUMMYFUNCTION("""COMPUTED_VALUE"""),12.72)</f>
        <v>12.72</v>
      </c>
      <c r="F3572" s="2">
        <f>IFERROR(__xludf.DUMMYFUNCTION("""COMPUTED_VALUE"""),1985500.0)</f>
        <v>1985500</v>
      </c>
    </row>
    <row r="3573">
      <c r="A3573" s="3">
        <f>IFERROR(__xludf.DUMMYFUNCTION("""COMPUTED_VALUE"""),34379.666666666664)</f>
        <v>34379.66667</v>
      </c>
      <c r="B3573" s="2">
        <f>IFERROR(__xludf.DUMMYFUNCTION("""COMPUTED_VALUE"""),12.89)</f>
        <v>12.89</v>
      </c>
      <c r="C3573" s="2">
        <f>IFERROR(__xludf.DUMMYFUNCTION("""COMPUTED_VALUE"""),13.04)</f>
        <v>13.04</v>
      </c>
      <c r="D3573" s="2">
        <f>IFERROR(__xludf.DUMMYFUNCTION("""COMPUTED_VALUE"""),12.75)</f>
        <v>12.75</v>
      </c>
      <c r="E3573" s="2">
        <f>IFERROR(__xludf.DUMMYFUNCTION("""COMPUTED_VALUE"""),12.89)</f>
        <v>12.89</v>
      </c>
      <c r="F3573" s="2">
        <f>IFERROR(__xludf.DUMMYFUNCTION("""COMPUTED_VALUE"""),1873700.0)</f>
        <v>1873700</v>
      </c>
    </row>
    <row r="3574">
      <c r="A3574" s="3">
        <f>IFERROR(__xludf.DUMMYFUNCTION("""COMPUTED_VALUE"""),34380.666666666664)</f>
        <v>34380.66667</v>
      </c>
      <c r="B3574" s="2">
        <f>IFERROR(__xludf.DUMMYFUNCTION("""COMPUTED_VALUE"""),13.01)</f>
        <v>13.01</v>
      </c>
      <c r="C3574" s="2">
        <f>IFERROR(__xludf.DUMMYFUNCTION("""COMPUTED_VALUE"""),13.04)</f>
        <v>13.04</v>
      </c>
      <c r="D3574" s="2">
        <f>IFERROR(__xludf.DUMMYFUNCTION("""COMPUTED_VALUE"""),12.89)</f>
        <v>12.89</v>
      </c>
      <c r="E3574" s="2">
        <f>IFERROR(__xludf.DUMMYFUNCTION("""COMPUTED_VALUE"""),13.01)</f>
        <v>13.01</v>
      </c>
      <c r="F3574" s="2">
        <f>IFERROR(__xludf.DUMMYFUNCTION("""COMPUTED_VALUE"""),1727400.0)</f>
        <v>1727400</v>
      </c>
    </row>
    <row r="3575">
      <c r="A3575" s="3">
        <f>IFERROR(__xludf.DUMMYFUNCTION("""COMPUTED_VALUE"""),34381.666666666664)</f>
        <v>34381.66667</v>
      </c>
      <c r="B3575" s="2">
        <f>IFERROR(__xludf.DUMMYFUNCTION("""COMPUTED_VALUE"""),13.04)</f>
        <v>13.04</v>
      </c>
      <c r="C3575" s="2">
        <f>IFERROR(__xludf.DUMMYFUNCTION("""COMPUTED_VALUE"""),13.19)</f>
        <v>13.19</v>
      </c>
      <c r="D3575" s="2">
        <f>IFERROR(__xludf.DUMMYFUNCTION("""COMPUTED_VALUE"""),13.01)</f>
        <v>13.01</v>
      </c>
      <c r="E3575" s="2">
        <f>IFERROR(__xludf.DUMMYFUNCTION("""COMPUTED_VALUE"""),13.04)</f>
        <v>13.04</v>
      </c>
      <c r="F3575" s="2">
        <f>IFERROR(__xludf.DUMMYFUNCTION("""COMPUTED_VALUE"""),1495700.0)</f>
        <v>1495700</v>
      </c>
    </row>
    <row r="3576">
      <c r="A3576" s="3">
        <f>IFERROR(__xludf.DUMMYFUNCTION("""COMPUTED_VALUE"""),34382.666666666664)</f>
        <v>34382.66667</v>
      </c>
      <c r="B3576" s="2">
        <f>IFERROR(__xludf.DUMMYFUNCTION("""COMPUTED_VALUE"""),12.6)</f>
        <v>12.6</v>
      </c>
      <c r="C3576" s="2">
        <f>IFERROR(__xludf.DUMMYFUNCTION("""COMPUTED_VALUE"""),13.13)</f>
        <v>13.13</v>
      </c>
      <c r="D3576" s="2">
        <f>IFERROR(__xludf.DUMMYFUNCTION("""COMPUTED_VALUE"""),12.54)</f>
        <v>12.54</v>
      </c>
      <c r="E3576" s="2">
        <f>IFERROR(__xludf.DUMMYFUNCTION("""COMPUTED_VALUE"""),12.6)</f>
        <v>12.6</v>
      </c>
      <c r="F3576" s="2">
        <f>IFERROR(__xludf.DUMMYFUNCTION("""COMPUTED_VALUE"""),2290200.0)</f>
        <v>2290200</v>
      </c>
    </row>
    <row r="3577">
      <c r="A3577" s="3">
        <f>IFERROR(__xludf.DUMMYFUNCTION("""COMPUTED_VALUE"""),34383.666666666664)</f>
        <v>34383.66667</v>
      </c>
      <c r="B3577" s="2">
        <f>IFERROR(__xludf.DUMMYFUNCTION("""COMPUTED_VALUE"""),12.57)</f>
        <v>12.57</v>
      </c>
      <c r="C3577" s="2">
        <f>IFERROR(__xludf.DUMMYFUNCTION("""COMPUTED_VALUE"""),12.63)</f>
        <v>12.63</v>
      </c>
      <c r="D3577" s="2">
        <f>IFERROR(__xludf.DUMMYFUNCTION("""COMPUTED_VALUE"""),12.45)</f>
        <v>12.45</v>
      </c>
      <c r="E3577" s="2">
        <f>IFERROR(__xludf.DUMMYFUNCTION("""COMPUTED_VALUE"""),12.57)</f>
        <v>12.57</v>
      </c>
      <c r="F3577" s="2">
        <f>IFERROR(__xludf.DUMMYFUNCTION("""COMPUTED_VALUE"""),2678700.0)</f>
        <v>2678700</v>
      </c>
    </row>
    <row r="3578">
      <c r="A3578" s="3">
        <f>IFERROR(__xludf.DUMMYFUNCTION("""COMPUTED_VALUE"""),34387.666666666664)</f>
        <v>34387.66667</v>
      </c>
      <c r="B3578" s="2">
        <f>IFERROR(__xludf.DUMMYFUNCTION("""COMPUTED_VALUE"""),12.81)</f>
        <v>12.81</v>
      </c>
      <c r="C3578" s="2">
        <f>IFERROR(__xludf.DUMMYFUNCTION("""COMPUTED_VALUE"""),12.86)</f>
        <v>12.86</v>
      </c>
      <c r="D3578" s="2">
        <f>IFERROR(__xludf.DUMMYFUNCTION("""COMPUTED_VALUE"""),12.57)</f>
        <v>12.57</v>
      </c>
      <c r="E3578" s="2">
        <f>IFERROR(__xludf.DUMMYFUNCTION("""COMPUTED_VALUE"""),12.81)</f>
        <v>12.81</v>
      </c>
      <c r="F3578" s="2">
        <f>IFERROR(__xludf.DUMMYFUNCTION("""COMPUTED_VALUE"""),1276900.0)</f>
        <v>1276900</v>
      </c>
    </row>
    <row r="3579">
      <c r="A3579" s="3">
        <f>IFERROR(__xludf.DUMMYFUNCTION("""COMPUTED_VALUE"""),34388.666666666664)</f>
        <v>34388.66667</v>
      </c>
      <c r="B3579" s="2">
        <f>IFERROR(__xludf.DUMMYFUNCTION("""COMPUTED_VALUE"""),12.78)</f>
        <v>12.78</v>
      </c>
      <c r="C3579" s="2">
        <f>IFERROR(__xludf.DUMMYFUNCTION("""COMPUTED_VALUE"""),12.95)</f>
        <v>12.95</v>
      </c>
      <c r="D3579" s="2">
        <f>IFERROR(__xludf.DUMMYFUNCTION("""COMPUTED_VALUE"""),12.72)</f>
        <v>12.72</v>
      </c>
      <c r="E3579" s="2">
        <f>IFERROR(__xludf.DUMMYFUNCTION("""COMPUTED_VALUE"""),12.78)</f>
        <v>12.78</v>
      </c>
      <c r="F3579" s="2">
        <f>IFERROR(__xludf.DUMMYFUNCTION("""COMPUTED_VALUE"""),1195200.0)</f>
        <v>1195200</v>
      </c>
    </row>
    <row r="3580">
      <c r="A3580" s="3">
        <f>IFERROR(__xludf.DUMMYFUNCTION("""COMPUTED_VALUE"""),34389.666666666664)</f>
        <v>34389.66667</v>
      </c>
      <c r="B3580" s="2">
        <f>IFERROR(__xludf.DUMMYFUNCTION("""COMPUTED_VALUE"""),12.63)</f>
        <v>12.63</v>
      </c>
      <c r="C3580" s="2">
        <f>IFERROR(__xludf.DUMMYFUNCTION("""COMPUTED_VALUE"""),12.75)</f>
        <v>12.75</v>
      </c>
      <c r="D3580" s="2">
        <f>IFERROR(__xludf.DUMMYFUNCTION("""COMPUTED_VALUE"""),12.57)</f>
        <v>12.57</v>
      </c>
      <c r="E3580" s="2">
        <f>IFERROR(__xludf.DUMMYFUNCTION("""COMPUTED_VALUE"""),12.63)</f>
        <v>12.63</v>
      </c>
      <c r="F3580" s="2">
        <f>IFERROR(__xludf.DUMMYFUNCTION("""COMPUTED_VALUE"""),1652900.0)</f>
        <v>1652900</v>
      </c>
    </row>
    <row r="3581">
      <c r="A3581" s="3">
        <f>IFERROR(__xludf.DUMMYFUNCTION("""COMPUTED_VALUE"""),34390.666666666664)</f>
        <v>34390.66667</v>
      </c>
      <c r="B3581" s="2">
        <f>IFERROR(__xludf.DUMMYFUNCTION("""COMPUTED_VALUE"""),12.63)</f>
        <v>12.63</v>
      </c>
      <c r="C3581" s="2">
        <f>IFERROR(__xludf.DUMMYFUNCTION("""COMPUTED_VALUE"""),12.75)</f>
        <v>12.75</v>
      </c>
      <c r="D3581" s="2">
        <f>IFERROR(__xludf.DUMMYFUNCTION("""COMPUTED_VALUE"""),12.57)</f>
        <v>12.57</v>
      </c>
      <c r="E3581" s="2">
        <f>IFERROR(__xludf.DUMMYFUNCTION("""COMPUTED_VALUE"""),12.63)</f>
        <v>12.63</v>
      </c>
      <c r="F3581" s="2">
        <f>IFERROR(__xludf.DUMMYFUNCTION("""COMPUTED_VALUE"""),1061700.0)</f>
        <v>1061700</v>
      </c>
    </row>
    <row r="3582">
      <c r="A3582" s="3">
        <f>IFERROR(__xludf.DUMMYFUNCTION("""COMPUTED_VALUE"""),34393.666666666664)</f>
        <v>34393.66667</v>
      </c>
      <c r="B3582" s="2">
        <f>IFERROR(__xludf.DUMMYFUNCTION("""COMPUTED_VALUE"""),12.63)</f>
        <v>12.63</v>
      </c>
      <c r="C3582" s="2">
        <f>IFERROR(__xludf.DUMMYFUNCTION("""COMPUTED_VALUE"""),12.72)</f>
        <v>12.72</v>
      </c>
      <c r="D3582" s="2">
        <f>IFERROR(__xludf.DUMMYFUNCTION("""COMPUTED_VALUE"""),12.57)</f>
        <v>12.57</v>
      </c>
      <c r="E3582" s="2">
        <f>IFERROR(__xludf.DUMMYFUNCTION("""COMPUTED_VALUE"""),12.63)</f>
        <v>12.63</v>
      </c>
      <c r="F3582" s="2">
        <f>IFERROR(__xludf.DUMMYFUNCTION("""COMPUTED_VALUE"""),960700.0)</f>
        <v>960700</v>
      </c>
    </row>
    <row r="3583">
      <c r="A3583" s="3">
        <f>IFERROR(__xludf.DUMMYFUNCTION("""COMPUTED_VALUE"""),34394.666666666664)</f>
        <v>34394.66667</v>
      </c>
      <c r="B3583" s="2">
        <f>IFERROR(__xludf.DUMMYFUNCTION("""COMPUTED_VALUE"""),12.81)</f>
        <v>12.81</v>
      </c>
      <c r="C3583" s="2">
        <f>IFERROR(__xludf.DUMMYFUNCTION("""COMPUTED_VALUE"""),12.86)</f>
        <v>12.86</v>
      </c>
      <c r="D3583" s="2">
        <f>IFERROR(__xludf.DUMMYFUNCTION("""COMPUTED_VALUE"""),12.54)</f>
        <v>12.54</v>
      </c>
      <c r="E3583" s="2">
        <f>IFERROR(__xludf.DUMMYFUNCTION("""COMPUTED_VALUE"""),12.81)</f>
        <v>12.81</v>
      </c>
      <c r="F3583" s="2">
        <f>IFERROR(__xludf.DUMMYFUNCTION("""COMPUTED_VALUE"""),2034900.0)</f>
        <v>2034900</v>
      </c>
    </row>
    <row r="3584">
      <c r="A3584" s="3">
        <f>IFERROR(__xludf.DUMMYFUNCTION("""COMPUTED_VALUE"""),34395.666666666664)</f>
        <v>34395.66667</v>
      </c>
      <c r="B3584" s="2">
        <f>IFERROR(__xludf.DUMMYFUNCTION("""COMPUTED_VALUE"""),12.66)</f>
        <v>12.66</v>
      </c>
      <c r="C3584" s="2">
        <f>IFERROR(__xludf.DUMMYFUNCTION("""COMPUTED_VALUE"""),12.78)</f>
        <v>12.78</v>
      </c>
      <c r="D3584" s="2">
        <f>IFERROR(__xludf.DUMMYFUNCTION("""COMPUTED_VALUE"""),12.45)</f>
        <v>12.45</v>
      </c>
      <c r="E3584" s="2">
        <f>IFERROR(__xludf.DUMMYFUNCTION("""COMPUTED_VALUE"""),12.66)</f>
        <v>12.66</v>
      </c>
      <c r="F3584" s="2">
        <f>IFERROR(__xludf.DUMMYFUNCTION("""COMPUTED_VALUE"""),2722100.0)</f>
        <v>2722100</v>
      </c>
    </row>
    <row r="3585">
      <c r="A3585" s="3">
        <f>IFERROR(__xludf.DUMMYFUNCTION("""COMPUTED_VALUE"""),34396.666666666664)</f>
        <v>34396.66667</v>
      </c>
      <c r="B3585" s="2">
        <f>IFERROR(__xludf.DUMMYFUNCTION("""COMPUTED_VALUE"""),12.57)</f>
        <v>12.57</v>
      </c>
      <c r="C3585" s="2">
        <f>IFERROR(__xludf.DUMMYFUNCTION("""COMPUTED_VALUE"""),12.75)</f>
        <v>12.75</v>
      </c>
      <c r="D3585" s="2">
        <f>IFERROR(__xludf.DUMMYFUNCTION("""COMPUTED_VALUE"""),12.57)</f>
        <v>12.57</v>
      </c>
      <c r="E3585" s="2">
        <f>IFERROR(__xludf.DUMMYFUNCTION("""COMPUTED_VALUE"""),12.57)</f>
        <v>12.57</v>
      </c>
      <c r="F3585" s="2">
        <f>IFERROR(__xludf.DUMMYFUNCTION("""COMPUTED_VALUE"""),1616500.0)</f>
        <v>1616500</v>
      </c>
    </row>
    <row r="3586">
      <c r="A3586" s="3">
        <f>IFERROR(__xludf.DUMMYFUNCTION("""COMPUTED_VALUE"""),34397.666666666664)</f>
        <v>34397.66667</v>
      </c>
      <c r="B3586" s="2">
        <f>IFERROR(__xludf.DUMMYFUNCTION("""COMPUTED_VALUE"""),12.57)</f>
        <v>12.57</v>
      </c>
      <c r="C3586" s="2">
        <f>IFERROR(__xludf.DUMMYFUNCTION("""COMPUTED_VALUE"""),12.72)</f>
        <v>12.72</v>
      </c>
      <c r="D3586" s="2">
        <f>IFERROR(__xludf.DUMMYFUNCTION("""COMPUTED_VALUE"""),12.51)</f>
        <v>12.51</v>
      </c>
      <c r="E3586" s="2">
        <f>IFERROR(__xludf.DUMMYFUNCTION("""COMPUTED_VALUE"""),12.57)</f>
        <v>12.57</v>
      </c>
      <c r="F3586" s="2">
        <f>IFERROR(__xludf.DUMMYFUNCTION("""COMPUTED_VALUE"""),1721700.0)</f>
        <v>1721700</v>
      </c>
    </row>
    <row r="3587">
      <c r="A3587" s="3">
        <f>IFERROR(__xludf.DUMMYFUNCTION("""COMPUTED_VALUE"""),34400.666666666664)</f>
        <v>34400.66667</v>
      </c>
      <c r="B3587" s="2">
        <f>IFERROR(__xludf.DUMMYFUNCTION("""COMPUTED_VALUE"""),12.48)</f>
        <v>12.48</v>
      </c>
      <c r="C3587" s="2">
        <f>IFERROR(__xludf.DUMMYFUNCTION("""COMPUTED_VALUE"""),12.66)</f>
        <v>12.66</v>
      </c>
      <c r="D3587" s="2">
        <f>IFERROR(__xludf.DUMMYFUNCTION("""COMPUTED_VALUE"""),12.45)</f>
        <v>12.45</v>
      </c>
      <c r="E3587" s="2">
        <f>IFERROR(__xludf.DUMMYFUNCTION("""COMPUTED_VALUE"""),12.48)</f>
        <v>12.48</v>
      </c>
      <c r="F3587" s="2">
        <f>IFERROR(__xludf.DUMMYFUNCTION("""COMPUTED_VALUE"""),1783700.0)</f>
        <v>1783700</v>
      </c>
    </row>
    <row r="3588">
      <c r="A3588" s="3">
        <f>IFERROR(__xludf.DUMMYFUNCTION("""COMPUTED_VALUE"""),34401.666666666664)</f>
        <v>34401.66667</v>
      </c>
      <c r="B3588" s="2">
        <f>IFERROR(__xludf.DUMMYFUNCTION("""COMPUTED_VALUE"""),13.07)</f>
        <v>13.07</v>
      </c>
      <c r="C3588" s="2">
        <f>IFERROR(__xludf.DUMMYFUNCTION("""COMPUTED_VALUE"""),13.1)</f>
        <v>13.1</v>
      </c>
      <c r="D3588" s="2">
        <f>IFERROR(__xludf.DUMMYFUNCTION("""COMPUTED_VALUE"""),12.27)</f>
        <v>12.27</v>
      </c>
      <c r="E3588" s="2">
        <f>IFERROR(__xludf.DUMMYFUNCTION("""COMPUTED_VALUE"""),13.07)</f>
        <v>13.07</v>
      </c>
      <c r="F3588" s="2">
        <f>IFERROR(__xludf.DUMMYFUNCTION("""COMPUTED_VALUE"""),4644500.0)</f>
        <v>4644500</v>
      </c>
    </row>
    <row r="3589">
      <c r="A3589" s="3">
        <f>IFERROR(__xludf.DUMMYFUNCTION("""COMPUTED_VALUE"""),34402.666666666664)</f>
        <v>34402.66667</v>
      </c>
      <c r="B3589" s="2">
        <f>IFERROR(__xludf.DUMMYFUNCTION("""COMPUTED_VALUE"""),13.22)</f>
        <v>13.22</v>
      </c>
      <c r="C3589" s="2">
        <f>IFERROR(__xludf.DUMMYFUNCTION("""COMPUTED_VALUE"""),13.31)</f>
        <v>13.31</v>
      </c>
      <c r="D3589" s="2">
        <f>IFERROR(__xludf.DUMMYFUNCTION("""COMPUTED_VALUE"""),13.07)</f>
        <v>13.07</v>
      </c>
      <c r="E3589" s="2">
        <f>IFERROR(__xludf.DUMMYFUNCTION("""COMPUTED_VALUE"""),13.22)</f>
        <v>13.22</v>
      </c>
      <c r="F3589" s="2">
        <f>IFERROR(__xludf.DUMMYFUNCTION("""COMPUTED_VALUE"""),3740100.0)</f>
        <v>3740100</v>
      </c>
    </row>
    <row r="3590">
      <c r="A3590" s="3">
        <f>IFERROR(__xludf.DUMMYFUNCTION("""COMPUTED_VALUE"""),34403.666666666664)</f>
        <v>34403.66667</v>
      </c>
      <c r="B3590" s="2">
        <f>IFERROR(__xludf.DUMMYFUNCTION("""COMPUTED_VALUE"""),13.37)</f>
        <v>13.37</v>
      </c>
      <c r="C3590" s="2">
        <f>IFERROR(__xludf.DUMMYFUNCTION("""COMPUTED_VALUE"""),13.43)</f>
        <v>13.43</v>
      </c>
      <c r="D3590" s="2">
        <f>IFERROR(__xludf.DUMMYFUNCTION("""COMPUTED_VALUE"""),13.16)</f>
        <v>13.16</v>
      </c>
      <c r="E3590" s="2">
        <f>IFERROR(__xludf.DUMMYFUNCTION("""COMPUTED_VALUE"""),13.37)</f>
        <v>13.37</v>
      </c>
      <c r="F3590" s="2">
        <f>IFERROR(__xludf.DUMMYFUNCTION("""COMPUTED_VALUE"""),3027500.0)</f>
        <v>3027500</v>
      </c>
    </row>
    <row r="3591">
      <c r="A3591" s="3">
        <f>IFERROR(__xludf.DUMMYFUNCTION("""COMPUTED_VALUE"""),34404.666666666664)</f>
        <v>34404.66667</v>
      </c>
      <c r="B3591" s="2">
        <f>IFERROR(__xludf.DUMMYFUNCTION("""COMPUTED_VALUE"""),13.34)</f>
        <v>13.34</v>
      </c>
      <c r="C3591" s="2">
        <f>IFERROR(__xludf.DUMMYFUNCTION("""COMPUTED_VALUE"""),13.43)</f>
        <v>13.43</v>
      </c>
      <c r="D3591" s="2">
        <f>IFERROR(__xludf.DUMMYFUNCTION("""COMPUTED_VALUE"""),13.19)</f>
        <v>13.19</v>
      </c>
      <c r="E3591" s="2">
        <f>IFERROR(__xludf.DUMMYFUNCTION("""COMPUTED_VALUE"""),13.34)</f>
        <v>13.34</v>
      </c>
      <c r="F3591" s="2">
        <f>IFERROR(__xludf.DUMMYFUNCTION("""COMPUTED_VALUE"""),1688300.0)</f>
        <v>1688300</v>
      </c>
    </row>
    <row r="3592">
      <c r="A3592" s="3">
        <f>IFERROR(__xludf.DUMMYFUNCTION("""COMPUTED_VALUE"""),34407.666666666664)</f>
        <v>34407.66667</v>
      </c>
      <c r="B3592" s="2">
        <f>IFERROR(__xludf.DUMMYFUNCTION("""COMPUTED_VALUE"""),13.73)</f>
        <v>13.73</v>
      </c>
      <c r="C3592" s="2">
        <f>IFERROR(__xludf.DUMMYFUNCTION("""COMPUTED_VALUE"""),13.82)</f>
        <v>13.82</v>
      </c>
      <c r="D3592" s="2">
        <f>IFERROR(__xludf.DUMMYFUNCTION("""COMPUTED_VALUE"""),13.34)</f>
        <v>13.34</v>
      </c>
      <c r="E3592" s="2">
        <f>IFERROR(__xludf.DUMMYFUNCTION("""COMPUTED_VALUE"""),13.73)</f>
        <v>13.73</v>
      </c>
      <c r="F3592" s="2">
        <f>IFERROR(__xludf.DUMMYFUNCTION("""COMPUTED_VALUE"""),2916000.0)</f>
        <v>2916000</v>
      </c>
    </row>
    <row r="3593">
      <c r="A3593" s="3">
        <f>IFERROR(__xludf.DUMMYFUNCTION("""COMPUTED_VALUE"""),34408.666666666664)</f>
        <v>34408.66667</v>
      </c>
      <c r="B3593" s="2">
        <f>IFERROR(__xludf.DUMMYFUNCTION("""COMPUTED_VALUE"""),13.7)</f>
        <v>13.7</v>
      </c>
      <c r="C3593" s="2">
        <f>IFERROR(__xludf.DUMMYFUNCTION("""COMPUTED_VALUE"""),13.94)</f>
        <v>13.94</v>
      </c>
      <c r="D3593" s="2">
        <f>IFERROR(__xludf.DUMMYFUNCTION("""COMPUTED_VALUE"""),13.7)</f>
        <v>13.7</v>
      </c>
      <c r="E3593" s="2">
        <f>IFERROR(__xludf.DUMMYFUNCTION("""COMPUTED_VALUE"""),13.7)</f>
        <v>13.7</v>
      </c>
      <c r="F3593" s="2">
        <f>IFERROR(__xludf.DUMMYFUNCTION("""COMPUTED_VALUE"""),2452500.0)</f>
        <v>2452500</v>
      </c>
    </row>
    <row r="3594">
      <c r="A3594" s="3">
        <f>IFERROR(__xludf.DUMMYFUNCTION("""COMPUTED_VALUE"""),34409.666666666664)</f>
        <v>34409.66667</v>
      </c>
      <c r="B3594" s="2">
        <f>IFERROR(__xludf.DUMMYFUNCTION("""COMPUTED_VALUE"""),13.91)</f>
        <v>13.91</v>
      </c>
      <c r="C3594" s="2">
        <f>IFERROR(__xludf.DUMMYFUNCTION("""COMPUTED_VALUE"""),13.91)</f>
        <v>13.91</v>
      </c>
      <c r="D3594" s="2">
        <f>IFERROR(__xludf.DUMMYFUNCTION("""COMPUTED_VALUE"""),13.64)</f>
        <v>13.64</v>
      </c>
      <c r="E3594" s="2">
        <f>IFERROR(__xludf.DUMMYFUNCTION("""COMPUTED_VALUE"""),13.91)</f>
        <v>13.91</v>
      </c>
      <c r="F3594" s="2">
        <f>IFERROR(__xludf.DUMMYFUNCTION("""COMPUTED_VALUE"""),1883400.0)</f>
        <v>1883400</v>
      </c>
    </row>
    <row r="3595">
      <c r="A3595" s="3">
        <f>IFERROR(__xludf.DUMMYFUNCTION("""COMPUTED_VALUE"""),34410.666666666664)</f>
        <v>34410.66667</v>
      </c>
      <c r="B3595" s="2">
        <f>IFERROR(__xludf.DUMMYFUNCTION("""COMPUTED_VALUE"""),13.82)</f>
        <v>13.82</v>
      </c>
      <c r="C3595" s="2">
        <f>IFERROR(__xludf.DUMMYFUNCTION("""COMPUTED_VALUE"""),13.91)</f>
        <v>13.91</v>
      </c>
      <c r="D3595" s="2">
        <f>IFERROR(__xludf.DUMMYFUNCTION("""COMPUTED_VALUE"""),13.73)</f>
        <v>13.73</v>
      </c>
      <c r="E3595" s="2">
        <f>IFERROR(__xludf.DUMMYFUNCTION("""COMPUTED_VALUE"""),13.82)</f>
        <v>13.82</v>
      </c>
      <c r="F3595" s="2">
        <f>IFERROR(__xludf.DUMMYFUNCTION("""COMPUTED_VALUE"""),1894100.0)</f>
        <v>1894100</v>
      </c>
    </row>
    <row r="3596">
      <c r="A3596" s="3">
        <f>IFERROR(__xludf.DUMMYFUNCTION("""COMPUTED_VALUE"""),34411.666666666664)</f>
        <v>34411.66667</v>
      </c>
      <c r="B3596" s="2">
        <f>IFERROR(__xludf.DUMMYFUNCTION("""COMPUTED_VALUE"""),13.64)</f>
        <v>13.64</v>
      </c>
      <c r="C3596" s="2">
        <f>IFERROR(__xludf.DUMMYFUNCTION("""COMPUTED_VALUE"""),13.91)</f>
        <v>13.91</v>
      </c>
      <c r="D3596" s="2">
        <f>IFERROR(__xludf.DUMMYFUNCTION("""COMPUTED_VALUE"""),13.55)</f>
        <v>13.55</v>
      </c>
      <c r="E3596" s="2">
        <f>IFERROR(__xludf.DUMMYFUNCTION("""COMPUTED_VALUE"""),13.64)</f>
        <v>13.64</v>
      </c>
      <c r="F3596" s="2">
        <f>IFERROR(__xludf.DUMMYFUNCTION("""COMPUTED_VALUE"""),3256200.0)</f>
        <v>3256200</v>
      </c>
    </row>
    <row r="3597">
      <c r="A3597" s="3">
        <f>IFERROR(__xludf.DUMMYFUNCTION("""COMPUTED_VALUE"""),34414.666666666664)</f>
        <v>34414.66667</v>
      </c>
      <c r="B3597" s="2">
        <f>IFERROR(__xludf.DUMMYFUNCTION("""COMPUTED_VALUE"""),14.0)</f>
        <v>14</v>
      </c>
      <c r="C3597" s="2">
        <f>IFERROR(__xludf.DUMMYFUNCTION("""COMPUTED_VALUE"""),14.06)</f>
        <v>14.06</v>
      </c>
      <c r="D3597" s="2">
        <f>IFERROR(__xludf.DUMMYFUNCTION("""COMPUTED_VALUE"""),13.55)</f>
        <v>13.55</v>
      </c>
      <c r="E3597" s="2">
        <f>IFERROR(__xludf.DUMMYFUNCTION("""COMPUTED_VALUE"""),14.0)</f>
        <v>14</v>
      </c>
      <c r="F3597" s="2">
        <f>IFERROR(__xludf.DUMMYFUNCTION("""COMPUTED_VALUE"""),2701000.0)</f>
        <v>2701000</v>
      </c>
    </row>
    <row r="3598">
      <c r="A3598" s="3">
        <f>IFERROR(__xludf.DUMMYFUNCTION("""COMPUTED_VALUE"""),34415.666666666664)</f>
        <v>34415.66667</v>
      </c>
      <c r="B3598" s="2">
        <f>IFERROR(__xludf.DUMMYFUNCTION("""COMPUTED_VALUE"""),13.91)</f>
        <v>13.91</v>
      </c>
      <c r="C3598" s="2">
        <f>IFERROR(__xludf.DUMMYFUNCTION("""COMPUTED_VALUE"""),14.0)</f>
        <v>14</v>
      </c>
      <c r="D3598" s="2">
        <f>IFERROR(__xludf.DUMMYFUNCTION("""COMPUTED_VALUE"""),13.79)</f>
        <v>13.79</v>
      </c>
      <c r="E3598" s="2">
        <f>IFERROR(__xludf.DUMMYFUNCTION("""COMPUTED_VALUE"""),13.91)</f>
        <v>13.91</v>
      </c>
      <c r="F3598" s="2">
        <f>IFERROR(__xludf.DUMMYFUNCTION("""COMPUTED_VALUE"""),1849300.0)</f>
        <v>1849300</v>
      </c>
    </row>
    <row r="3599">
      <c r="A3599" s="3">
        <f>IFERROR(__xludf.DUMMYFUNCTION("""COMPUTED_VALUE"""),34416.666666666664)</f>
        <v>34416.66667</v>
      </c>
      <c r="B3599" s="2">
        <f>IFERROR(__xludf.DUMMYFUNCTION("""COMPUTED_VALUE"""),13.67)</f>
        <v>13.67</v>
      </c>
      <c r="C3599" s="2">
        <f>IFERROR(__xludf.DUMMYFUNCTION("""COMPUTED_VALUE"""),13.7)</f>
        <v>13.7</v>
      </c>
      <c r="D3599" s="2">
        <f>IFERROR(__xludf.DUMMYFUNCTION("""COMPUTED_VALUE"""),13.52)</f>
        <v>13.52</v>
      </c>
      <c r="E3599" s="2">
        <f>IFERROR(__xludf.DUMMYFUNCTION("""COMPUTED_VALUE"""),13.67)</f>
        <v>13.67</v>
      </c>
      <c r="F3599" s="2">
        <f>IFERROR(__xludf.DUMMYFUNCTION("""COMPUTED_VALUE"""),2662900.0)</f>
        <v>2662900</v>
      </c>
    </row>
    <row r="3600">
      <c r="A3600" s="3">
        <f>IFERROR(__xludf.DUMMYFUNCTION("""COMPUTED_VALUE"""),34417.666666666664)</f>
        <v>34417.66667</v>
      </c>
      <c r="B3600" s="2">
        <f>IFERROR(__xludf.DUMMYFUNCTION("""COMPUTED_VALUE"""),13.46)</f>
        <v>13.46</v>
      </c>
      <c r="C3600" s="2">
        <f>IFERROR(__xludf.DUMMYFUNCTION("""COMPUTED_VALUE"""),13.64)</f>
        <v>13.64</v>
      </c>
      <c r="D3600" s="2">
        <f>IFERROR(__xludf.DUMMYFUNCTION("""COMPUTED_VALUE"""),13.37)</f>
        <v>13.37</v>
      </c>
      <c r="E3600" s="2">
        <f>IFERROR(__xludf.DUMMYFUNCTION("""COMPUTED_VALUE"""),13.46)</f>
        <v>13.46</v>
      </c>
      <c r="F3600" s="2">
        <f>IFERROR(__xludf.DUMMYFUNCTION("""COMPUTED_VALUE"""),2040900.0)</f>
        <v>2040900</v>
      </c>
    </row>
    <row r="3601">
      <c r="A3601" s="3">
        <f>IFERROR(__xludf.DUMMYFUNCTION("""COMPUTED_VALUE"""),34418.666666666664)</f>
        <v>34418.66667</v>
      </c>
      <c r="B3601" s="2">
        <f>IFERROR(__xludf.DUMMYFUNCTION("""COMPUTED_VALUE"""),12.89)</f>
        <v>12.89</v>
      </c>
      <c r="C3601" s="2">
        <f>IFERROR(__xludf.DUMMYFUNCTION("""COMPUTED_VALUE"""),13.49)</f>
        <v>13.49</v>
      </c>
      <c r="D3601" s="2">
        <f>IFERROR(__xludf.DUMMYFUNCTION("""COMPUTED_VALUE"""),12.81)</f>
        <v>12.81</v>
      </c>
      <c r="E3601" s="2">
        <f>IFERROR(__xludf.DUMMYFUNCTION("""COMPUTED_VALUE"""),12.89)</f>
        <v>12.89</v>
      </c>
      <c r="F3601" s="2">
        <f>IFERROR(__xludf.DUMMYFUNCTION("""COMPUTED_VALUE"""),2983500.0)</f>
        <v>2983500</v>
      </c>
    </row>
    <row r="3602">
      <c r="A3602" s="3">
        <f>IFERROR(__xludf.DUMMYFUNCTION("""COMPUTED_VALUE"""),34421.666666666664)</f>
        <v>34421.66667</v>
      </c>
      <c r="B3602" s="2">
        <f>IFERROR(__xludf.DUMMYFUNCTION("""COMPUTED_VALUE"""),12.81)</f>
        <v>12.81</v>
      </c>
      <c r="C3602" s="2">
        <f>IFERROR(__xludf.DUMMYFUNCTION("""COMPUTED_VALUE"""),13.04)</f>
        <v>13.04</v>
      </c>
      <c r="D3602" s="2">
        <f>IFERROR(__xludf.DUMMYFUNCTION("""COMPUTED_VALUE"""),12.54)</f>
        <v>12.54</v>
      </c>
      <c r="E3602" s="2">
        <f>IFERROR(__xludf.DUMMYFUNCTION("""COMPUTED_VALUE"""),12.81)</f>
        <v>12.81</v>
      </c>
      <c r="F3602" s="2">
        <f>IFERROR(__xludf.DUMMYFUNCTION("""COMPUTED_VALUE"""),3356500.0)</f>
        <v>3356500</v>
      </c>
    </row>
    <row r="3603">
      <c r="A3603" s="3">
        <f>IFERROR(__xludf.DUMMYFUNCTION("""COMPUTED_VALUE"""),34422.666666666664)</f>
        <v>34422.66667</v>
      </c>
      <c r="B3603" s="2">
        <f>IFERROR(__xludf.DUMMYFUNCTION("""COMPUTED_VALUE"""),12.57)</f>
        <v>12.57</v>
      </c>
      <c r="C3603" s="2">
        <f>IFERROR(__xludf.DUMMYFUNCTION("""COMPUTED_VALUE"""),12.98)</f>
        <v>12.98</v>
      </c>
      <c r="D3603" s="2">
        <f>IFERROR(__xludf.DUMMYFUNCTION("""COMPUTED_VALUE"""),12.54)</f>
        <v>12.54</v>
      </c>
      <c r="E3603" s="2">
        <f>IFERROR(__xludf.DUMMYFUNCTION("""COMPUTED_VALUE"""),12.57)</f>
        <v>12.57</v>
      </c>
      <c r="F3603" s="2">
        <f>IFERROR(__xludf.DUMMYFUNCTION("""COMPUTED_VALUE"""),3164700.0)</f>
        <v>3164700</v>
      </c>
    </row>
    <row r="3604">
      <c r="A3604" s="3">
        <f>IFERROR(__xludf.DUMMYFUNCTION("""COMPUTED_VALUE"""),34423.666666666664)</f>
        <v>34423.66667</v>
      </c>
      <c r="B3604" s="2">
        <f>IFERROR(__xludf.DUMMYFUNCTION("""COMPUTED_VALUE"""),12.78)</f>
        <v>12.78</v>
      </c>
      <c r="C3604" s="2">
        <f>IFERROR(__xludf.DUMMYFUNCTION("""COMPUTED_VALUE"""),13.13)</f>
        <v>13.13</v>
      </c>
      <c r="D3604" s="2">
        <f>IFERROR(__xludf.DUMMYFUNCTION("""COMPUTED_VALUE"""),12.54)</f>
        <v>12.54</v>
      </c>
      <c r="E3604" s="2">
        <f>IFERROR(__xludf.DUMMYFUNCTION("""COMPUTED_VALUE"""),12.78)</f>
        <v>12.78</v>
      </c>
      <c r="F3604" s="2">
        <f>IFERROR(__xludf.DUMMYFUNCTION("""COMPUTED_VALUE"""),4132500.0)</f>
        <v>4132500</v>
      </c>
    </row>
    <row r="3605">
      <c r="A3605" s="3">
        <f>IFERROR(__xludf.DUMMYFUNCTION("""COMPUTED_VALUE"""),34424.666666666664)</f>
        <v>34424.66667</v>
      </c>
      <c r="B3605" s="2">
        <f>IFERROR(__xludf.DUMMYFUNCTION("""COMPUTED_VALUE"""),13.04)</f>
        <v>13.04</v>
      </c>
      <c r="C3605" s="2">
        <f>IFERROR(__xludf.DUMMYFUNCTION("""COMPUTED_VALUE"""),13.04)</f>
        <v>13.04</v>
      </c>
      <c r="D3605" s="2">
        <f>IFERROR(__xludf.DUMMYFUNCTION("""COMPUTED_VALUE"""),12.42)</f>
        <v>12.42</v>
      </c>
      <c r="E3605" s="2">
        <f>IFERROR(__xludf.DUMMYFUNCTION("""COMPUTED_VALUE"""),13.04)</f>
        <v>13.04</v>
      </c>
      <c r="F3605" s="2">
        <f>IFERROR(__xludf.DUMMYFUNCTION("""COMPUTED_VALUE"""),3460400.0)</f>
        <v>3460400</v>
      </c>
    </row>
    <row r="3606">
      <c r="A3606" s="3">
        <f>IFERROR(__xludf.DUMMYFUNCTION("""COMPUTED_VALUE"""),34428.666666666664)</f>
        <v>34428.66667</v>
      </c>
      <c r="B3606" s="2">
        <f>IFERROR(__xludf.DUMMYFUNCTION("""COMPUTED_VALUE"""),12.66)</f>
        <v>12.66</v>
      </c>
      <c r="C3606" s="2">
        <f>IFERROR(__xludf.DUMMYFUNCTION("""COMPUTED_VALUE"""),12.78)</f>
        <v>12.78</v>
      </c>
      <c r="D3606" s="2">
        <f>IFERROR(__xludf.DUMMYFUNCTION("""COMPUTED_VALUE"""),12.48)</f>
        <v>12.48</v>
      </c>
      <c r="E3606" s="2">
        <f>IFERROR(__xludf.DUMMYFUNCTION("""COMPUTED_VALUE"""),12.66)</f>
        <v>12.66</v>
      </c>
      <c r="F3606" s="2">
        <f>IFERROR(__xludf.DUMMYFUNCTION("""COMPUTED_VALUE"""),2765000.0)</f>
        <v>2765000</v>
      </c>
    </row>
    <row r="3607">
      <c r="A3607" s="3">
        <f>IFERROR(__xludf.DUMMYFUNCTION("""COMPUTED_VALUE"""),34429.666666666664)</f>
        <v>34429.66667</v>
      </c>
      <c r="B3607" s="2">
        <f>IFERROR(__xludf.DUMMYFUNCTION("""COMPUTED_VALUE"""),12.75)</f>
        <v>12.75</v>
      </c>
      <c r="C3607" s="2">
        <f>IFERROR(__xludf.DUMMYFUNCTION("""COMPUTED_VALUE"""),12.92)</f>
        <v>12.92</v>
      </c>
      <c r="D3607" s="2">
        <f>IFERROR(__xludf.DUMMYFUNCTION("""COMPUTED_VALUE"""),12.66)</f>
        <v>12.66</v>
      </c>
      <c r="E3607" s="2">
        <f>IFERROR(__xludf.DUMMYFUNCTION("""COMPUTED_VALUE"""),12.75)</f>
        <v>12.75</v>
      </c>
      <c r="F3607" s="2">
        <f>IFERROR(__xludf.DUMMYFUNCTION("""COMPUTED_VALUE"""),2339100.0)</f>
        <v>2339100</v>
      </c>
    </row>
    <row r="3608">
      <c r="A3608" s="3">
        <f>IFERROR(__xludf.DUMMYFUNCTION("""COMPUTED_VALUE"""),34430.666666666664)</f>
        <v>34430.66667</v>
      </c>
      <c r="B3608" s="2">
        <f>IFERROR(__xludf.DUMMYFUNCTION("""COMPUTED_VALUE"""),12.69)</f>
        <v>12.69</v>
      </c>
      <c r="C3608" s="2">
        <f>IFERROR(__xludf.DUMMYFUNCTION("""COMPUTED_VALUE"""),12.79)</f>
        <v>12.79</v>
      </c>
      <c r="D3608" s="2">
        <f>IFERROR(__xludf.DUMMYFUNCTION("""COMPUTED_VALUE"""),12.6)</f>
        <v>12.6</v>
      </c>
      <c r="E3608" s="2">
        <f>IFERROR(__xludf.DUMMYFUNCTION("""COMPUTED_VALUE"""),12.69)</f>
        <v>12.69</v>
      </c>
      <c r="F3608" s="2">
        <f>IFERROR(__xludf.DUMMYFUNCTION("""COMPUTED_VALUE"""),1930000.0)</f>
        <v>1930000</v>
      </c>
    </row>
    <row r="3609">
      <c r="A3609" s="3">
        <f>IFERROR(__xludf.DUMMYFUNCTION("""COMPUTED_VALUE"""),34431.666666666664)</f>
        <v>34431.66667</v>
      </c>
      <c r="B3609" s="2">
        <f>IFERROR(__xludf.DUMMYFUNCTION("""COMPUTED_VALUE"""),12.69)</f>
        <v>12.69</v>
      </c>
      <c r="C3609" s="2">
        <f>IFERROR(__xludf.DUMMYFUNCTION("""COMPUTED_VALUE"""),12.72)</f>
        <v>12.72</v>
      </c>
      <c r="D3609" s="2">
        <f>IFERROR(__xludf.DUMMYFUNCTION("""COMPUTED_VALUE"""),12.48)</f>
        <v>12.48</v>
      </c>
      <c r="E3609" s="2">
        <f>IFERROR(__xludf.DUMMYFUNCTION("""COMPUTED_VALUE"""),12.69)</f>
        <v>12.69</v>
      </c>
      <c r="F3609" s="2">
        <f>IFERROR(__xludf.DUMMYFUNCTION("""COMPUTED_VALUE"""),1774900.0)</f>
        <v>1774900</v>
      </c>
    </row>
    <row r="3610">
      <c r="A3610" s="3">
        <f>IFERROR(__xludf.DUMMYFUNCTION("""COMPUTED_VALUE"""),34432.666666666664)</f>
        <v>34432.66667</v>
      </c>
      <c r="B3610" s="2">
        <f>IFERROR(__xludf.DUMMYFUNCTION("""COMPUTED_VALUE"""),12.54)</f>
        <v>12.54</v>
      </c>
      <c r="C3610" s="2">
        <f>IFERROR(__xludf.DUMMYFUNCTION("""COMPUTED_VALUE"""),12.69)</f>
        <v>12.69</v>
      </c>
      <c r="D3610" s="2">
        <f>IFERROR(__xludf.DUMMYFUNCTION("""COMPUTED_VALUE"""),12.51)</f>
        <v>12.51</v>
      </c>
      <c r="E3610" s="2">
        <f>IFERROR(__xludf.DUMMYFUNCTION("""COMPUTED_VALUE"""),12.54)</f>
        <v>12.54</v>
      </c>
      <c r="F3610" s="2">
        <f>IFERROR(__xludf.DUMMYFUNCTION("""COMPUTED_VALUE"""),1309100.0)</f>
        <v>1309100</v>
      </c>
    </row>
    <row r="3611">
      <c r="A3611" s="3">
        <f>IFERROR(__xludf.DUMMYFUNCTION("""COMPUTED_VALUE"""),34435.666666666664)</f>
        <v>34435.66667</v>
      </c>
      <c r="B3611" s="2">
        <f>IFERROR(__xludf.DUMMYFUNCTION("""COMPUTED_VALUE"""),12.66)</f>
        <v>12.66</v>
      </c>
      <c r="C3611" s="2">
        <f>IFERROR(__xludf.DUMMYFUNCTION("""COMPUTED_VALUE"""),12.75)</f>
        <v>12.75</v>
      </c>
      <c r="D3611" s="2">
        <f>IFERROR(__xludf.DUMMYFUNCTION("""COMPUTED_VALUE"""),12.48)</f>
        <v>12.48</v>
      </c>
      <c r="E3611" s="2">
        <f>IFERROR(__xludf.DUMMYFUNCTION("""COMPUTED_VALUE"""),12.66)</f>
        <v>12.66</v>
      </c>
      <c r="F3611" s="2">
        <f>IFERROR(__xludf.DUMMYFUNCTION("""COMPUTED_VALUE"""),1302300.0)</f>
        <v>1302300</v>
      </c>
    </row>
    <row r="3612">
      <c r="A3612" s="3">
        <f>IFERROR(__xludf.DUMMYFUNCTION("""COMPUTED_VALUE"""),34436.666666666664)</f>
        <v>34436.66667</v>
      </c>
      <c r="B3612" s="2">
        <f>IFERROR(__xludf.DUMMYFUNCTION("""COMPUTED_VALUE"""),12.63)</f>
        <v>12.63</v>
      </c>
      <c r="C3612" s="2">
        <f>IFERROR(__xludf.DUMMYFUNCTION("""COMPUTED_VALUE"""),12.86)</f>
        <v>12.86</v>
      </c>
      <c r="D3612" s="2">
        <f>IFERROR(__xludf.DUMMYFUNCTION("""COMPUTED_VALUE"""),12.54)</f>
        <v>12.54</v>
      </c>
      <c r="E3612" s="2">
        <f>IFERROR(__xludf.DUMMYFUNCTION("""COMPUTED_VALUE"""),12.63)</f>
        <v>12.63</v>
      </c>
      <c r="F3612" s="2">
        <f>IFERROR(__xludf.DUMMYFUNCTION("""COMPUTED_VALUE"""),1888200.0)</f>
        <v>1888200</v>
      </c>
    </row>
    <row r="3613">
      <c r="A3613" s="3">
        <f>IFERROR(__xludf.DUMMYFUNCTION("""COMPUTED_VALUE"""),34437.666666666664)</f>
        <v>34437.66667</v>
      </c>
      <c r="B3613" s="2">
        <f>IFERROR(__xludf.DUMMYFUNCTION("""COMPUTED_VALUE"""),12.51)</f>
        <v>12.51</v>
      </c>
      <c r="C3613" s="2">
        <f>IFERROR(__xludf.DUMMYFUNCTION("""COMPUTED_VALUE"""),12.75)</f>
        <v>12.75</v>
      </c>
      <c r="D3613" s="2">
        <f>IFERROR(__xludf.DUMMYFUNCTION("""COMPUTED_VALUE"""),12.39)</f>
        <v>12.39</v>
      </c>
      <c r="E3613" s="2">
        <f>IFERROR(__xludf.DUMMYFUNCTION("""COMPUTED_VALUE"""),12.51)</f>
        <v>12.51</v>
      </c>
      <c r="F3613" s="2">
        <f>IFERROR(__xludf.DUMMYFUNCTION("""COMPUTED_VALUE"""),3496100.0)</f>
        <v>3496100</v>
      </c>
    </row>
    <row r="3614">
      <c r="A3614" s="3">
        <f>IFERROR(__xludf.DUMMYFUNCTION("""COMPUTED_VALUE"""),34438.666666666664)</f>
        <v>34438.66667</v>
      </c>
      <c r="B3614" s="2">
        <f>IFERROR(__xludf.DUMMYFUNCTION("""COMPUTED_VALUE"""),12.86)</f>
        <v>12.86</v>
      </c>
      <c r="C3614" s="2">
        <f>IFERROR(__xludf.DUMMYFUNCTION("""COMPUTED_VALUE"""),12.86)</f>
        <v>12.86</v>
      </c>
      <c r="D3614" s="2">
        <f>IFERROR(__xludf.DUMMYFUNCTION("""COMPUTED_VALUE"""),12.54)</f>
        <v>12.54</v>
      </c>
      <c r="E3614" s="2">
        <f>IFERROR(__xludf.DUMMYFUNCTION("""COMPUTED_VALUE"""),12.86)</f>
        <v>12.86</v>
      </c>
      <c r="F3614" s="2">
        <f>IFERROR(__xludf.DUMMYFUNCTION("""COMPUTED_VALUE"""),2628000.0)</f>
        <v>2628000</v>
      </c>
    </row>
    <row r="3615">
      <c r="A3615" s="3">
        <f>IFERROR(__xludf.DUMMYFUNCTION("""COMPUTED_VALUE"""),34439.666666666664)</f>
        <v>34439.66667</v>
      </c>
      <c r="B3615" s="2">
        <f>IFERROR(__xludf.DUMMYFUNCTION("""COMPUTED_VALUE"""),12.66)</f>
        <v>12.66</v>
      </c>
      <c r="C3615" s="2">
        <f>IFERROR(__xludf.DUMMYFUNCTION("""COMPUTED_VALUE"""),13.01)</f>
        <v>13.01</v>
      </c>
      <c r="D3615" s="2">
        <f>IFERROR(__xludf.DUMMYFUNCTION("""COMPUTED_VALUE"""),12.57)</f>
        <v>12.57</v>
      </c>
      <c r="E3615" s="2">
        <f>IFERROR(__xludf.DUMMYFUNCTION("""COMPUTED_VALUE"""),12.66)</f>
        <v>12.66</v>
      </c>
      <c r="F3615" s="2">
        <f>IFERROR(__xludf.DUMMYFUNCTION("""COMPUTED_VALUE"""),2639000.0)</f>
        <v>2639000</v>
      </c>
    </row>
    <row r="3616">
      <c r="A3616" s="3">
        <f>IFERROR(__xludf.DUMMYFUNCTION("""COMPUTED_VALUE"""),34442.666666666664)</f>
        <v>34442.66667</v>
      </c>
      <c r="B3616" s="2">
        <f>IFERROR(__xludf.DUMMYFUNCTION("""COMPUTED_VALUE"""),12.75)</f>
        <v>12.75</v>
      </c>
      <c r="C3616" s="2">
        <f>IFERROR(__xludf.DUMMYFUNCTION("""COMPUTED_VALUE"""),12.92)</f>
        <v>12.92</v>
      </c>
      <c r="D3616" s="2">
        <f>IFERROR(__xludf.DUMMYFUNCTION("""COMPUTED_VALUE"""),12.6)</f>
        <v>12.6</v>
      </c>
      <c r="E3616" s="2">
        <f>IFERROR(__xludf.DUMMYFUNCTION("""COMPUTED_VALUE"""),12.75)</f>
        <v>12.75</v>
      </c>
      <c r="F3616" s="2">
        <f>IFERROR(__xludf.DUMMYFUNCTION("""COMPUTED_VALUE"""),3120000.0)</f>
        <v>3120000</v>
      </c>
    </row>
    <row r="3617">
      <c r="A3617" s="3">
        <f>IFERROR(__xludf.DUMMYFUNCTION("""COMPUTED_VALUE"""),34443.666666666664)</f>
        <v>34443.66667</v>
      </c>
      <c r="B3617" s="2">
        <f>IFERROR(__xludf.DUMMYFUNCTION("""COMPUTED_VALUE"""),12.75)</f>
        <v>12.75</v>
      </c>
      <c r="C3617" s="2">
        <f>IFERROR(__xludf.DUMMYFUNCTION("""COMPUTED_VALUE"""),12.84)</f>
        <v>12.84</v>
      </c>
      <c r="D3617" s="2">
        <f>IFERROR(__xludf.DUMMYFUNCTION("""COMPUTED_VALUE"""),12.27)</f>
        <v>12.27</v>
      </c>
      <c r="E3617" s="2">
        <f>IFERROR(__xludf.DUMMYFUNCTION("""COMPUTED_VALUE"""),12.75)</f>
        <v>12.75</v>
      </c>
      <c r="F3617" s="2">
        <f>IFERROR(__xludf.DUMMYFUNCTION("""COMPUTED_VALUE"""),2097500.0)</f>
        <v>2097500</v>
      </c>
    </row>
    <row r="3618">
      <c r="A3618" s="3">
        <f>IFERROR(__xludf.DUMMYFUNCTION("""COMPUTED_VALUE"""),34444.666666666664)</f>
        <v>34444.66667</v>
      </c>
      <c r="B3618" s="2">
        <f>IFERROR(__xludf.DUMMYFUNCTION("""COMPUTED_VALUE"""),12.48)</f>
        <v>12.48</v>
      </c>
      <c r="C3618" s="2">
        <f>IFERROR(__xludf.DUMMYFUNCTION("""COMPUTED_VALUE"""),12.78)</f>
        <v>12.78</v>
      </c>
      <c r="D3618" s="2">
        <f>IFERROR(__xludf.DUMMYFUNCTION("""COMPUTED_VALUE"""),12.36)</f>
        <v>12.36</v>
      </c>
      <c r="E3618" s="2">
        <f>IFERROR(__xludf.DUMMYFUNCTION("""COMPUTED_VALUE"""),12.48)</f>
        <v>12.48</v>
      </c>
      <c r="F3618" s="2">
        <f>IFERROR(__xludf.DUMMYFUNCTION("""COMPUTED_VALUE"""),2207700.0)</f>
        <v>2207700</v>
      </c>
    </row>
    <row r="3619">
      <c r="A3619" s="3">
        <f>IFERROR(__xludf.DUMMYFUNCTION("""COMPUTED_VALUE"""),34445.666666666664)</f>
        <v>34445.66667</v>
      </c>
      <c r="B3619" s="2">
        <f>IFERROR(__xludf.DUMMYFUNCTION("""COMPUTED_VALUE"""),13.94)</f>
        <v>13.94</v>
      </c>
      <c r="C3619" s="2">
        <f>IFERROR(__xludf.DUMMYFUNCTION("""COMPUTED_VALUE"""),14.0)</f>
        <v>14</v>
      </c>
      <c r="D3619" s="2">
        <f>IFERROR(__xludf.DUMMYFUNCTION("""COMPUTED_VALUE"""),12.89)</f>
        <v>12.89</v>
      </c>
      <c r="E3619" s="2">
        <f>IFERROR(__xludf.DUMMYFUNCTION("""COMPUTED_VALUE"""),13.94)</f>
        <v>13.94</v>
      </c>
      <c r="F3619" s="2">
        <f>IFERROR(__xludf.DUMMYFUNCTION("""COMPUTED_VALUE"""),8758100.0)</f>
        <v>8758100</v>
      </c>
    </row>
    <row r="3620">
      <c r="A3620" s="3">
        <f>IFERROR(__xludf.DUMMYFUNCTION("""COMPUTED_VALUE"""),34446.666666666664)</f>
        <v>34446.66667</v>
      </c>
      <c r="B3620" s="2">
        <f>IFERROR(__xludf.DUMMYFUNCTION("""COMPUTED_VALUE"""),14.03)</f>
        <v>14.03</v>
      </c>
      <c r="C3620" s="2">
        <f>IFERROR(__xludf.DUMMYFUNCTION("""COMPUTED_VALUE"""),14.21)</f>
        <v>14.21</v>
      </c>
      <c r="D3620" s="2">
        <f>IFERROR(__xludf.DUMMYFUNCTION("""COMPUTED_VALUE"""),13.85)</f>
        <v>13.85</v>
      </c>
      <c r="E3620" s="2">
        <f>IFERROR(__xludf.DUMMYFUNCTION("""COMPUTED_VALUE"""),14.03)</f>
        <v>14.03</v>
      </c>
      <c r="F3620" s="2">
        <f>IFERROR(__xludf.DUMMYFUNCTION("""COMPUTED_VALUE"""),5660500.0)</f>
        <v>5660500</v>
      </c>
    </row>
    <row r="3621">
      <c r="A3621" s="3">
        <f>IFERROR(__xludf.DUMMYFUNCTION("""COMPUTED_VALUE"""),34449.666666666664)</f>
        <v>34449.66667</v>
      </c>
      <c r="B3621" s="2">
        <f>IFERROR(__xludf.DUMMYFUNCTION("""COMPUTED_VALUE"""),14.15)</f>
        <v>14.15</v>
      </c>
      <c r="C3621" s="2">
        <f>IFERROR(__xludf.DUMMYFUNCTION("""COMPUTED_VALUE"""),14.15)</f>
        <v>14.15</v>
      </c>
      <c r="D3621" s="2">
        <f>IFERROR(__xludf.DUMMYFUNCTION("""COMPUTED_VALUE"""),13.91)</f>
        <v>13.91</v>
      </c>
      <c r="E3621" s="2">
        <f>IFERROR(__xludf.DUMMYFUNCTION("""COMPUTED_VALUE"""),14.15)</f>
        <v>14.15</v>
      </c>
      <c r="F3621" s="2">
        <f>IFERROR(__xludf.DUMMYFUNCTION("""COMPUTED_VALUE"""),3062300.0)</f>
        <v>3062300</v>
      </c>
    </row>
    <row r="3622">
      <c r="A3622" s="3">
        <f>IFERROR(__xludf.DUMMYFUNCTION("""COMPUTED_VALUE"""),34450.666666666664)</f>
        <v>34450.66667</v>
      </c>
      <c r="B3622" s="2">
        <f>IFERROR(__xludf.DUMMYFUNCTION("""COMPUTED_VALUE"""),13.97)</f>
        <v>13.97</v>
      </c>
      <c r="C3622" s="2">
        <f>IFERROR(__xludf.DUMMYFUNCTION("""COMPUTED_VALUE"""),14.15)</f>
        <v>14.15</v>
      </c>
      <c r="D3622" s="2">
        <f>IFERROR(__xludf.DUMMYFUNCTION("""COMPUTED_VALUE"""),13.97)</f>
        <v>13.97</v>
      </c>
      <c r="E3622" s="2">
        <f>IFERROR(__xludf.DUMMYFUNCTION("""COMPUTED_VALUE"""),13.97)</f>
        <v>13.97</v>
      </c>
      <c r="F3622" s="2">
        <f>IFERROR(__xludf.DUMMYFUNCTION("""COMPUTED_VALUE"""),2217200.0)</f>
        <v>2217200</v>
      </c>
    </row>
    <row r="3623">
      <c r="A3623" s="3">
        <f>IFERROR(__xludf.DUMMYFUNCTION("""COMPUTED_VALUE"""),34452.666666666664)</f>
        <v>34452.66667</v>
      </c>
      <c r="B3623" s="2">
        <f>IFERROR(__xludf.DUMMYFUNCTION("""COMPUTED_VALUE"""),13.64)</f>
        <v>13.64</v>
      </c>
      <c r="C3623" s="2">
        <f>IFERROR(__xludf.DUMMYFUNCTION("""COMPUTED_VALUE"""),13.91)</f>
        <v>13.91</v>
      </c>
      <c r="D3623" s="2">
        <f>IFERROR(__xludf.DUMMYFUNCTION("""COMPUTED_VALUE"""),13.55)</f>
        <v>13.55</v>
      </c>
      <c r="E3623" s="2">
        <f>IFERROR(__xludf.DUMMYFUNCTION("""COMPUTED_VALUE"""),13.64)</f>
        <v>13.64</v>
      </c>
      <c r="F3623" s="2">
        <f>IFERROR(__xludf.DUMMYFUNCTION("""COMPUTED_VALUE"""),2297500.0)</f>
        <v>2297500</v>
      </c>
    </row>
    <row r="3624">
      <c r="A3624" s="3">
        <f>IFERROR(__xludf.DUMMYFUNCTION("""COMPUTED_VALUE"""),34453.666666666664)</f>
        <v>34453.66667</v>
      </c>
      <c r="B3624" s="2">
        <f>IFERROR(__xludf.DUMMYFUNCTION("""COMPUTED_VALUE"""),13.73)</f>
        <v>13.73</v>
      </c>
      <c r="C3624" s="2">
        <f>IFERROR(__xludf.DUMMYFUNCTION("""COMPUTED_VALUE"""),13.82)</f>
        <v>13.82</v>
      </c>
      <c r="D3624" s="2">
        <f>IFERROR(__xludf.DUMMYFUNCTION("""COMPUTED_VALUE"""),13.58)</f>
        <v>13.58</v>
      </c>
      <c r="E3624" s="2">
        <f>IFERROR(__xludf.DUMMYFUNCTION("""COMPUTED_VALUE"""),13.73)</f>
        <v>13.73</v>
      </c>
      <c r="F3624" s="2">
        <f>IFERROR(__xludf.DUMMYFUNCTION("""COMPUTED_VALUE"""),1908600.0)</f>
        <v>1908600</v>
      </c>
    </row>
    <row r="3625">
      <c r="A3625" s="3">
        <f>IFERROR(__xludf.DUMMYFUNCTION("""COMPUTED_VALUE"""),34456.666666666664)</f>
        <v>34456.66667</v>
      </c>
      <c r="B3625" s="2">
        <f>IFERROR(__xludf.DUMMYFUNCTION("""COMPUTED_VALUE"""),13.85)</f>
        <v>13.85</v>
      </c>
      <c r="C3625" s="2">
        <f>IFERROR(__xludf.DUMMYFUNCTION("""COMPUTED_VALUE"""),13.94)</f>
        <v>13.94</v>
      </c>
      <c r="D3625" s="2">
        <f>IFERROR(__xludf.DUMMYFUNCTION("""COMPUTED_VALUE"""),13.58)</f>
        <v>13.58</v>
      </c>
      <c r="E3625" s="2">
        <f>IFERROR(__xludf.DUMMYFUNCTION("""COMPUTED_VALUE"""),13.85)</f>
        <v>13.85</v>
      </c>
      <c r="F3625" s="2">
        <f>IFERROR(__xludf.DUMMYFUNCTION("""COMPUTED_VALUE"""),1608500.0)</f>
        <v>1608500</v>
      </c>
    </row>
    <row r="3626">
      <c r="A3626" s="3">
        <f>IFERROR(__xludf.DUMMYFUNCTION("""COMPUTED_VALUE"""),34457.666666666664)</f>
        <v>34457.66667</v>
      </c>
      <c r="B3626" s="2">
        <f>IFERROR(__xludf.DUMMYFUNCTION("""COMPUTED_VALUE"""),13.94)</f>
        <v>13.94</v>
      </c>
      <c r="C3626" s="2">
        <f>IFERROR(__xludf.DUMMYFUNCTION("""COMPUTED_VALUE"""),14.0)</f>
        <v>14</v>
      </c>
      <c r="D3626" s="2">
        <f>IFERROR(__xludf.DUMMYFUNCTION("""COMPUTED_VALUE"""),13.82)</f>
        <v>13.82</v>
      </c>
      <c r="E3626" s="2">
        <f>IFERROR(__xludf.DUMMYFUNCTION("""COMPUTED_VALUE"""),13.94)</f>
        <v>13.94</v>
      </c>
      <c r="F3626" s="2">
        <f>IFERROR(__xludf.DUMMYFUNCTION("""COMPUTED_VALUE"""),1376600.0)</f>
        <v>1376600</v>
      </c>
    </row>
    <row r="3627">
      <c r="A3627" s="3">
        <f>IFERROR(__xludf.DUMMYFUNCTION("""COMPUTED_VALUE"""),34458.666666666664)</f>
        <v>34458.66667</v>
      </c>
      <c r="B3627" s="2">
        <f>IFERROR(__xludf.DUMMYFUNCTION("""COMPUTED_VALUE"""),13.79)</f>
        <v>13.79</v>
      </c>
      <c r="C3627" s="2">
        <f>IFERROR(__xludf.DUMMYFUNCTION("""COMPUTED_VALUE"""),13.91)</f>
        <v>13.91</v>
      </c>
      <c r="D3627" s="2">
        <f>IFERROR(__xludf.DUMMYFUNCTION("""COMPUTED_VALUE"""),13.73)</f>
        <v>13.73</v>
      </c>
      <c r="E3627" s="2">
        <f>IFERROR(__xludf.DUMMYFUNCTION("""COMPUTED_VALUE"""),13.79)</f>
        <v>13.79</v>
      </c>
      <c r="F3627" s="2">
        <f>IFERROR(__xludf.DUMMYFUNCTION("""COMPUTED_VALUE"""),1500300.0)</f>
        <v>1500300</v>
      </c>
    </row>
    <row r="3628">
      <c r="A3628" s="3">
        <f>IFERROR(__xludf.DUMMYFUNCTION("""COMPUTED_VALUE"""),34459.666666666664)</f>
        <v>34459.66667</v>
      </c>
      <c r="B3628" s="2">
        <f>IFERROR(__xludf.DUMMYFUNCTION("""COMPUTED_VALUE"""),13.64)</f>
        <v>13.64</v>
      </c>
      <c r="C3628" s="2">
        <f>IFERROR(__xludf.DUMMYFUNCTION("""COMPUTED_VALUE"""),13.73)</f>
        <v>13.73</v>
      </c>
      <c r="D3628" s="2">
        <f>IFERROR(__xludf.DUMMYFUNCTION("""COMPUTED_VALUE"""),13.58)</f>
        <v>13.58</v>
      </c>
      <c r="E3628" s="2">
        <f>IFERROR(__xludf.DUMMYFUNCTION("""COMPUTED_VALUE"""),13.64)</f>
        <v>13.64</v>
      </c>
      <c r="F3628" s="2">
        <f>IFERROR(__xludf.DUMMYFUNCTION("""COMPUTED_VALUE"""),1041100.0)</f>
        <v>1041100</v>
      </c>
    </row>
    <row r="3629">
      <c r="A3629" s="3">
        <f>IFERROR(__xludf.DUMMYFUNCTION("""COMPUTED_VALUE"""),34460.666666666664)</f>
        <v>34460.66667</v>
      </c>
      <c r="B3629" s="2">
        <f>IFERROR(__xludf.DUMMYFUNCTION("""COMPUTED_VALUE"""),13.49)</f>
        <v>13.49</v>
      </c>
      <c r="C3629" s="2">
        <f>IFERROR(__xludf.DUMMYFUNCTION("""COMPUTED_VALUE"""),13.64)</f>
        <v>13.64</v>
      </c>
      <c r="D3629" s="2">
        <f>IFERROR(__xludf.DUMMYFUNCTION("""COMPUTED_VALUE"""),13.43)</f>
        <v>13.43</v>
      </c>
      <c r="E3629" s="2">
        <f>IFERROR(__xludf.DUMMYFUNCTION("""COMPUTED_VALUE"""),13.49)</f>
        <v>13.49</v>
      </c>
      <c r="F3629" s="2">
        <f>IFERROR(__xludf.DUMMYFUNCTION("""COMPUTED_VALUE"""),1979300.0)</f>
        <v>1979300</v>
      </c>
    </row>
    <row r="3630">
      <c r="A3630" s="3">
        <f>IFERROR(__xludf.DUMMYFUNCTION("""COMPUTED_VALUE"""),34463.666666666664)</f>
        <v>34463.66667</v>
      </c>
      <c r="B3630" s="2">
        <f>IFERROR(__xludf.DUMMYFUNCTION("""COMPUTED_VALUE"""),13.61)</f>
        <v>13.61</v>
      </c>
      <c r="C3630" s="2">
        <f>IFERROR(__xludf.DUMMYFUNCTION("""COMPUTED_VALUE"""),13.82)</f>
        <v>13.82</v>
      </c>
      <c r="D3630" s="2">
        <f>IFERROR(__xludf.DUMMYFUNCTION("""COMPUTED_VALUE"""),13.49)</f>
        <v>13.49</v>
      </c>
      <c r="E3630" s="2">
        <f>IFERROR(__xludf.DUMMYFUNCTION("""COMPUTED_VALUE"""),13.61)</f>
        <v>13.61</v>
      </c>
      <c r="F3630" s="2">
        <f>IFERROR(__xludf.DUMMYFUNCTION("""COMPUTED_VALUE"""),1880000.0)</f>
        <v>1880000</v>
      </c>
    </row>
    <row r="3631">
      <c r="A3631" s="3">
        <f>IFERROR(__xludf.DUMMYFUNCTION("""COMPUTED_VALUE"""),34464.666666666664)</f>
        <v>34464.66667</v>
      </c>
      <c r="B3631" s="2">
        <f>IFERROR(__xludf.DUMMYFUNCTION("""COMPUTED_VALUE"""),13.85)</f>
        <v>13.85</v>
      </c>
      <c r="C3631" s="2">
        <f>IFERROR(__xludf.DUMMYFUNCTION("""COMPUTED_VALUE"""),13.91)</f>
        <v>13.91</v>
      </c>
      <c r="D3631" s="2">
        <f>IFERROR(__xludf.DUMMYFUNCTION("""COMPUTED_VALUE"""),13.7)</f>
        <v>13.7</v>
      </c>
      <c r="E3631" s="2">
        <f>IFERROR(__xludf.DUMMYFUNCTION("""COMPUTED_VALUE"""),13.85)</f>
        <v>13.85</v>
      </c>
      <c r="F3631" s="2">
        <f>IFERROR(__xludf.DUMMYFUNCTION("""COMPUTED_VALUE"""),1985600.0)</f>
        <v>1985600</v>
      </c>
    </row>
    <row r="3632">
      <c r="A3632" s="3">
        <f>IFERROR(__xludf.DUMMYFUNCTION("""COMPUTED_VALUE"""),34465.666666666664)</f>
        <v>34465.66667</v>
      </c>
      <c r="B3632" s="2">
        <f>IFERROR(__xludf.DUMMYFUNCTION("""COMPUTED_VALUE"""),13.67)</f>
        <v>13.67</v>
      </c>
      <c r="C3632" s="2">
        <f>IFERROR(__xludf.DUMMYFUNCTION("""COMPUTED_VALUE"""),13.91)</f>
        <v>13.91</v>
      </c>
      <c r="D3632" s="2">
        <f>IFERROR(__xludf.DUMMYFUNCTION("""COMPUTED_VALUE"""),13.61)</f>
        <v>13.61</v>
      </c>
      <c r="E3632" s="2">
        <f>IFERROR(__xludf.DUMMYFUNCTION("""COMPUTED_VALUE"""),13.67)</f>
        <v>13.67</v>
      </c>
      <c r="F3632" s="2">
        <f>IFERROR(__xludf.DUMMYFUNCTION("""COMPUTED_VALUE"""),1546700.0)</f>
        <v>1546700</v>
      </c>
    </row>
    <row r="3633">
      <c r="A3633" s="3">
        <f>IFERROR(__xludf.DUMMYFUNCTION("""COMPUTED_VALUE"""),34466.666666666664)</f>
        <v>34466.66667</v>
      </c>
      <c r="B3633" s="2">
        <f>IFERROR(__xludf.DUMMYFUNCTION("""COMPUTED_VALUE"""),13.67)</f>
        <v>13.67</v>
      </c>
      <c r="C3633" s="2">
        <f>IFERROR(__xludf.DUMMYFUNCTION("""COMPUTED_VALUE"""),13.79)</f>
        <v>13.79</v>
      </c>
      <c r="D3633" s="2">
        <f>IFERROR(__xludf.DUMMYFUNCTION("""COMPUTED_VALUE"""),13.61)</f>
        <v>13.61</v>
      </c>
      <c r="E3633" s="2">
        <f>IFERROR(__xludf.DUMMYFUNCTION("""COMPUTED_VALUE"""),13.67)</f>
        <v>13.67</v>
      </c>
      <c r="F3633" s="2">
        <f>IFERROR(__xludf.DUMMYFUNCTION("""COMPUTED_VALUE"""),922600.0)</f>
        <v>922600</v>
      </c>
    </row>
    <row r="3634">
      <c r="A3634" s="3">
        <f>IFERROR(__xludf.DUMMYFUNCTION("""COMPUTED_VALUE"""),34467.666666666664)</f>
        <v>34467.66667</v>
      </c>
      <c r="B3634" s="2">
        <f>IFERROR(__xludf.DUMMYFUNCTION("""COMPUTED_VALUE"""),13.73)</f>
        <v>13.73</v>
      </c>
      <c r="C3634" s="2">
        <f>IFERROR(__xludf.DUMMYFUNCTION("""COMPUTED_VALUE"""),13.82)</f>
        <v>13.82</v>
      </c>
      <c r="D3634" s="2">
        <f>IFERROR(__xludf.DUMMYFUNCTION("""COMPUTED_VALUE"""),13.67)</f>
        <v>13.67</v>
      </c>
      <c r="E3634" s="2">
        <f>IFERROR(__xludf.DUMMYFUNCTION("""COMPUTED_VALUE"""),13.73)</f>
        <v>13.73</v>
      </c>
      <c r="F3634" s="2">
        <f>IFERROR(__xludf.DUMMYFUNCTION("""COMPUTED_VALUE"""),1100500.0)</f>
        <v>1100500</v>
      </c>
    </row>
    <row r="3635">
      <c r="A3635" s="3">
        <f>IFERROR(__xludf.DUMMYFUNCTION("""COMPUTED_VALUE"""),34470.666666666664)</f>
        <v>34470.66667</v>
      </c>
      <c r="B3635" s="2">
        <f>IFERROR(__xludf.DUMMYFUNCTION("""COMPUTED_VALUE"""),13.97)</f>
        <v>13.97</v>
      </c>
      <c r="C3635" s="2">
        <f>IFERROR(__xludf.DUMMYFUNCTION("""COMPUTED_VALUE"""),14.0)</f>
        <v>14</v>
      </c>
      <c r="D3635" s="2">
        <f>IFERROR(__xludf.DUMMYFUNCTION("""COMPUTED_VALUE"""),13.7)</f>
        <v>13.7</v>
      </c>
      <c r="E3635" s="2">
        <f>IFERROR(__xludf.DUMMYFUNCTION("""COMPUTED_VALUE"""),13.97)</f>
        <v>13.97</v>
      </c>
      <c r="F3635" s="2">
        <f>IFERROR(__xludf.DUMMYFUNCTION("""COMPUTED_VALUE"""),1598100.0)</f>
        <v>1598100</v>
      </c>
    </row>
    <row r="3636">
      <c r="A3636" s="3">
        <f>IFERROR(__xludf.DUMMYFUNCTION("""COMPUTED_VALUE"""),34471.666666666664)</f>
        <v>34471.66667</v>
      </c>
      <c r="B3636" s="2">
        <f>IFERROR(__xludf.DUMMYFUNCTION("""COMPUTED_VALUE"""),14.63)</f>
        <v>14.63</v>
      </c>
      <c r="C3636" s="2">
        <f>IFERROR(__xludf.DUMMYFUNCTION("""COMPUTED_VALUE"""),14.69)</f>
        <v>14.69</v>
      </c>
      <c r="D3636" s="2">
        <f>IFERROR(__xludf.DUMMYFUNCTION("""COMPUTED_VALUE"""),14.0)</f>
        <v>14</v>
      </c>
      <c r="E3636" s="2">
        <f>IFERROR(__xludf.DUMMYFUNCTION("""COMPUTED_VALUE"""),14.63)</f>
        <v>14.63</v>
      </c>
      <c r="F3636" s="2">
        <f>IFERROR(__xludf.DUMMYFUNCTION("""COMPUTED_VALUE"""),5396900.0)</f>
        <v>5396900</v>
      </c>
    </row>
    <row r="3637">
      <c r="A3637" s="3">
        <f>IFERROR(__xludf.DUMMYFUNCTION("""COMPUTED_VALUE"""),34472.666666666664)</f>
        <v>34472.66667</v>
      </c>
      <c r="B3637" s="2">
        <f>IFERROR(__xludf.DUMMYFUNCTION("""COMPUTED_VALUE"""),14.51)</f>
        <v>14.51</v>
      </c>
      <c r="C3637" s="2">
        <f>IFERROR(__xludf.DUMMYFUNCTION("""COMPUTED_VALUE"""),14.78)</f>
        <v>14.78</v>
      </c>
      <c r="D3637" s="2">
        <f>IFERROR(__xludf.DUMMYFUNCTION("""COMPUTED_VALUE"""),14.45)</f>
        <v>14.45</v>
      </c>
      <c r="E3637" s="2">
        <f>IFERROR(__xludf.DUMMYFUNCTION("""COMPUTED_VALUE"""),14.51)</f>
        <v>14.51</v>
      </c>
      <c r="F3637" s="2">
        <f>IFERROR(__xludf.DUMMYFUNCTION("""COMPUTED_VALUE"""),4794600.0)</f>
        <v>4794600</v>
      </c>
    </row>
    <row r="3638">
      <c r="A3638" s="3">
        <f>IFERROR(__xludf.DUMMYFUNCTION("""COMPUTED_VALUE"""),34473.666666666664)</f>
        <v>34473.66667</v>
      </c>
      <c r="B3638" s="2">
        <f>IFERROR(__xludf.DUMMYFUNCTION("""COMPUTED_VALUE"""),14.66)</f>
        <v>14.66</v>
      </c>
      <c r="C3638" s="2">
        <f>IFERROR(__xludf.DUMMYFUNCTION("""COMPUTED_VALUE"""),14.83)</f>
        <v>14.83</v>
      </c>
      <c r="D3638" s="2">
        <f>IFERROR(__xludf.DUMMYFUNCTION("""COMPUTED_VALUE"""),14.45)</f>
        <v>14.45</v>
      </c>
      <c r="E3638" s="2">
        <f>IFERROR(__xludf.DUMMYFUNCTION("""COMPUTED_VALUE"""),14.66)</f>
        <v>14.66</v>
      </c>
      <c r="F3638" s="2">
        <f>IFERROR(__xludf.DUMMYFUNCTION("""COMPUTED_VALUE"""),3771900.0)</f>
        <v>3771900</v>
      </c>
    </row>
    <row r="3639">
      <c r="A3639" s="3">
        <f>IFERROR(__xludf.DUMMYFUNCTION("""COMPUTED_VALUE"""),34474.666666666664)</f>
        <v>34474.66667</v>
      </c>
      <c r="B3639" s="2">
        <f>IFERROR(__xludf.DUMMYFUNCTION("""COMPUTED_VALUE"""),14.83)</f>
        <v>14.83</v>
      </c>
      <c r="C3639" s="2">
        <f>IFERROR(__xludf.DUMMYFUNCTION("""COMPUTED_VALUE"""),14.89)</f>
        <v>14.89</v>
      </c>
      <c r="D3639" s="2">
        <f>IFERROR(__xludf.DUMMYFUNCTION("""COMPUTED_VALUE"""),14.57)</f>
        <v>14.57</v>
      </c>
      <c r="E3639" s="2">
        <f>IFERROR(__xludf.DUMMYFUNCTION("""COMPUTED_VALUE"""),14.83)</f>
        <v>14.83</v>
      </c>
      <c r="F3639" s="2">
        <f>IFERROR(__xludf.DUMMYFUNCTION("""COMPUTED_VALUE"""),3740100.0)</f>
        <v>3740100</v>
      </c>
    </row>
    <row r="3640">
      <c r="A3640" s="3">
        <f>IFERROR(__xludf.DUMMYFUNCTION("""COMPUTED_VALUE"""),34477.666666666664)</f>
        <v>34477.66667</v>
      </c>
      <c r="B3640" s="2">
        <f>IFERROR(__xludf.DUMMYFUNCTION("""COMPUTED_VALUE"""),14.75)</f>
        <v>14.75</v>
      </c>
      <c r="C3640" s="2">
        <f>IFERROR(__xludf.DUMMYFUNCTION("""COMPUTED_VALUE"""),14.92)</f>
        <v>14.92</v>
      </c>
      <c r="D3640" s="2">
        <f>IFERROR(__xludf.DUMMYFUNCTION("""COMPUTED_VALUE"""),14.66)</f>
        <v>14.66</v>
      </c>
      <c r="E3640" s="2">
        <f>IFERROR(__xludf.DUMMYFUNCTION("""COMPUTED_VALUE"""),14.75)</f>
        <v>14.75</v>
      </c>
      <c r="F3640" s="2">
        <f>IFERROR(__xludf.DUMMYFUNCTION("""COMPUTED_VALUE"""),2074100.0)</f>
        <v>2074100</v>
      </c>
    </row>
    <row r="3641">
      <c r="A3641" s="3">
        <f>IFERROR(__xludf.DUMMYFUNCTION("""COMPUTED_VALUE"""),34478.666666666664)</f>
        <v>34478.66667</v>
      </c>
      <c r="B3641" s="2">
        <f>IFERROR(__xludf.DUMMYFUNCTION("""COMPUTED_VALUE"""),15.07)</f>
        <v>15.07</v>
      </c>
      <c r="C3641" s="2">
        <f>IFERROR(__xludf.DUMMYFUNCTION("""COMPUTED_VALUE"""),15.13)</f>
        <v>15.13</v>
      </c>
      <c r="D3641" s="2">
        <f>IFERROR(__xludf.DUMMYFUNCTION("""COMPUTED_VALUE"""),14.78)</f>
        <v>14.78</v>
      </c>
      <c r="E3641" s="2">
        <f>IFERROR(__xludf.DUMMYFUNCTION("""COMPUTED_VALUE"""),15.07)</f>
        <v>15.07</v>
      </c>
      <c r="F3641" s="2">
        <f>IFERROR(__xludf.DUMMYFUNCTION("""COMPUTED_VALUE"""),2800800.0)</f>
        <v>2800800</v>
      </c>
    </row>
    <row r="3642">
      <c r="A3642" s="3">
        <f>IFERROR(__xludf.DUMMYFUNCTION("""COMPUTED_VALUE"""),34479.666666666664)</f>
        <v>34479.66667</v>
      </c>
      <c r="B3642" s="2">
        <f>IFERROR(__xludf.DUMMYFUNCTION("""COMPUTED_VALUE"""),15.19)</f>
        <v>15.19</v>
      </c>
      <c r="C3642" s="2">
        <f>IFERROR(__xludf.DUMMYFUNCTION("""COMPUTED_VALUE"""),15.31)</f>
        <v>15.31</v>
      </c>
      <c r="D3642" s="2">
        <f>IFERROR(__xludf.DUMMYFUNCTION("""COMPUTED_VALUE"""),14.92)</f>
        <v>14.92</v>
      </c>
      <c r="E3642" s="2">
        <f>IFERROR(__xludf.DUMMYFUNCTION("""COMPUTED_VALUE"""),15.19)</f>
        <v>15.19</v>
      </c>
      <c r="F3642" s="2">
        <f>IFERROR(__xludf.DUMMYFUNCTION("""COMPUTED_VALUE"""),3678400.0)</f>
        <v>3678400</v>
      </c>
    </row>
    <row r="3643">
      <c r="A3643" s="3">
        <f>IFERROR(__xludf.DUMMYFUNCTION("""COMPUTED_VALUE"""),34480.666666666664)</f>
        <v>34480.66667</v>
      </c>
      <c r="B3643" s="2">
        <f>IFERROR(__xludf.DUMMYFUNCTION("""COMPUTED_VALUE"""),15.28)</f>
        <v>15.28</v>
      </c>
      <c r="C3643" s="2">
        <f>IFERROR(__xludf.DUMMYFUNCTION("""COMPUTED_VALUE"""),15.31)</f>
        <v>15.31</v>
      </c>
      <c r="D3643" s="2">
        <f>IFERROR(__xludf.DUMMYFUNCTION("""COMPUTED_VALUE"""),14.92)</f>
        <v>14.92</v>
      </c>
      <c r="E3643" s="2">
        <f>IFERROR(__xludf.DUMMYFUNCTION("""COMPUTED_VALUE"""),15.28)</f>
        <v>15.28</v>
      </c>
      <c r="F3643" s="2">
        <f>IFERROR(__xludf.DUMMYFUNCTION("""COMPUTED_VALUE"""),2292000.0)</f>
        <v>2292000</v>
      </c>
    </row>
    <row r="3644">
      <c r="A3644" s="3">
        <f>IFERROR(__xludf.DUMMYFUNCTION("""COMPUTED_VALUE"""),34481.666666666664)</f>
        <v>34481.66667</v>
      </c>
      <c r="B3644" s="2">
        <f>IFERROR(__xludf.DUMMYFUNCTION("""COMPUTED_VALUE"""),15.19)</f>
        <v>15.19</v>
      </c>
      <c r="C3644" s="2">
        <f>IFERROR(__xludf.DUMMYFUNCTION("""COMPUTED_VALUE"""),15.31)</f>
        <v>15.31</v>
      </c>
      <c r="D3644" s="2">
        <f>IFERROR(__xludf.DUMMYFUNCTION("""COMPUTED_VALUE"""),15.19)</f>
        <v>15.19</v>
      </c>
      <c r="E3644" s="2">
        <f>IFERROR(__xludf.DUMMYFUNCTION("""COMPUTED_VALUE"""),15.19)</f>
        <v>15.19</v>
      </c>
      <c r="F3644" s="2">
        <f>IFERROR(__xludf.DUMMYFUNCTION("""COMPUTED_VALUE"""),1361600.0)</f>
        <v>1361600</v>
      </c>
    </row>
    <row r="3645">
      <c r="A3645" s="3">
        <f>IFERROR(__xludf.DUMMYFUNCTION("""COMPUTED_VALUE"""),34485.666666666664)</f>
        <v>34485.66667</v>
      </c>
      <c r="B3645" s="2">
        <f>IFERROR(__xludf.DUMMYFUNCTION("""COMPUTED_VALUE"""),15.04)</f>
        <v>15.04</v>
      </c>
      <c r="C3645" s="2">
        <f>IFERROR(__xludf.DUMMYFUNCTION("""COMPUTED_VALUE"""),15.22)</f>
        <v>15.22</v>
      </c>
      <c r="D3645" s="2">
        <f>IFERROR(__xludf.DUMMYFUNCTION("""COMPUTED_VALUE"""),14.98)</f>
        <v>14.98</v>
      </c>
      <c r="E3645" s="2">
        <f>IFERROR(__xludf.DUMMYFUNCTION("""COMPUTED_VALUE"""),15.04)</f>
        <v>15.04</v>
      </c>
      <c r="F3645" s="2">
        <f>IFERROR(__xludf.DUMMYFUNCTION("""COMPUTED_VALUE"""),1504100.0)</f>
        <v>1504100</v>
      </c>
    </row>
    <row r="3646">
      <c r="A3646" s="3">
        <f>IFERROR(__xludf.DUMMYFUNCTION("""COMPUTED_VALUE"""),34486.666666666664)</f>
        <v>34486.66667</v>
      </c>
      <c r="B3646" s="2">
        <f>IFERROR(__xludf.DUMMYFUNCTION("""COMPUTED_VALUE"""),15.16)</f>
        <v>15.16</v>
      </c>
      <c r="C3646" s="2">
        <f>IFERROR(__xludf.DUMMYFUNCTION("""COMPUTED_VALUE"""),15.19)</f>
        <v>15.19</v>
      </c>
      <c r="D3646" s="2">
        <f>IFERROR(__xludf.DUMMYFUNCTION("""COMPUTED_VALUE"""),14.92)</f>
        <v>14.92</v>
      </c>
      <c r="E3646" s="2">
        <f>IFERROR(__xludf.DUMMYFUNCTION("""COMPUTED_VALUE"""),15.16)</f>
        <v>15.16</v>
      </c>
      <c r="F3646" s="2">
        <f>IFERROR(__xludf.DUMMYFUNCTION("""COMPUTED_VALUE"""),1689600.0)</f>
        <v>1689600</v>
      </c>
    </row>
    <row r="3647">
      <c r="A3647" s="3">
        <f>IFERROR(__xludf.DUMMYFUNCTION("""COMPUTED_VALUE"""),34487.666666666664)</f>
        <v>34487.66667</v>
      </c>
      <c r="B3647" s="2">
        <f>IFERROR(__xludf.DUMMYFUNCTION("""COMPUTED_VALUE"""),14.81)</f>
        <v>14.81</v>
      </c>
      <c r="C3647" s="2">
        <f>IFERROR(__xludf.DUMMYFUNCTION("""COMPUTED_VALUE"""),15.16)</f>
        <v>15.16</v>
      </c>
      <c r="D3647" s="2">
        <f>IFERROR(__xludf.DUMMYFUNCTION("""COMPUTED_VALUE"""),14.78)</f>
        <v>14.78</v>
      </c>
      <c r="E3647" s="2">
        <f>IFERROR(__xludf.DUMMYFUNCTION("""COMPUTED_VALUE"""),14.81)</f>
        <v>14.81</v>
      </c>
      <c r="F3647" s="2">
        <f>IFERROR(__xludf.DUMMYFUNCTION("""COMPUTED_VALUE"""),2475900.0)</f>
        <v>2475900</v>
      </c>
    </row>
    <row r="3648">
      <c r="A3648" s="3">
        <f>IFERROR(__xludf.DUMMYFUNCTION("""COMPUTED_VALUE"""),34488.666666666664)</f>
        <v>34488.66667</v>
      </c>
      <c r="B3648" s="2">
        <f>IFERROR(__xludf.DUMMYFUNCTION("""COMPUTED_VALUE"""),14.57)</f>
        <v>14.57</v>
      </c>
      <c r="C3648" s="2">
        <f>IFERROR(__xludf.DUMMYFUNCTION("""COMPUTED_VALUE"""),14.78)</f>
        <v>14.78</v>
      </c>
      <c r="D3648" s="2">
        <f>IFERROR(__xludf.DUMMYFUNCTION("""COMPUTED_VALUE"""),14.51)</f>
        <v>14.51</v>
      </c>
      <c r="E3648" s="2">
        <f>IFERROR(__xludf.DUMMYFUNCTION("""COMPUTED_VALUE"""),14.57)</f>
        <v>14.57</v>
      </c>
      <c r="F3648" s="2">
        <f>IFERROR(__xludf.DUMMYFUNCTION("""COMPUTED_VALUE"""),2381400.0)</f>
        <v>2381400</v>
      </c>
    </row>
    <row r="3649">
      <c r="A3649" s="3">
        <f>IFERROR(__xludf.DUMMYFUNCTION("""COMPUTED_VALUE"""),34491.666666666664)</f>
        <v>34491.66667</v>
      </c>
      <c r="B3649" s="2">
        <f>IFERROR(__xludf.DUMMYFUNCTION("""COMPUTED_VALUE"""),14.95)</f>
        <v>14.95</v>
      </c>
      <c r="C3649" s="2">
        <f>IFERROR(__xludf.DUMMYFUNCTION("""COMPUTED_VALUE"""),15.16)</f>
        <v>15.16</v>
      </c>
      <c r="D3649" s="2">
        <f>IFERROR(__xludf.DUMMYFUNCTION("""COMPUTED_VALUE"""),14.6)</f>
        <v>14.6</v>
      </c>
      <c r="E3649" s="2">
        <f>IFERROR(__xludf.DUMMYFUNCTION("""COMPUTED_VALUE"""),14.95)</f>
        <v>14.95</v>
      </c>
      <c r="F3649" s="2">
        <f>IFERROR(__xludf.DUMMYFUNCTION("""COMPUTED_VALUE"""),2344200.0)</f>
        <v>2344200</v>
      </c>
    </row>
    <row r="3650">
      <c r="A3650" s="3">
        <f>IFERROR(__xludf.DUMMYFUNCTION("""COMPUTED_VALUE"""),34492.666666666664)</f>
        <v>34492.66667</v>
      </c>
      <c r="B3650" s="2">
        <f>IFERROR(__xludf.DUMMYFUNCTION("""COMPUTED_VALUE"""),14.95)</f>
        <v>14.95</v>
      </c>
      <c r="C3650" s="2">
        <f>IFERROR(__xludf.DUMMYFUNCTION("""COMPUTED_VALUE"""),15.1)</f>
        <v>15.1</v>
      </c>
      <c r="D3650" s="2">
        <f>IFERROR(__xludf.DUMMYFUNCTION("""COMPUTED_VALUE"""),14.95)</f>
        <v>14.95</v>
      </c>
      <c r="E3650" s="2">
        <f>IFERROR(__xludf.DUMMYFUNCTION("""COMPUTED_VALUE"""),14.95)</f>
        <v>14.95</v>
      </c>
      <c r="F3650" s="2">
        <f>IFERROR(__xludf.DUMMYFUNCTION("""COMPUTED_VALUE"""),1399100.0)</f>
        <v>1399100</v>
      </c>
    </row>
    <row r="3651">
      <c r="A3651" s="3">
        <f>IFERROR(__xludf.DUMMYFUNCTION("""COMPUTED_VALUE"""),34493.666666666664)</f>
        <v>34493.66667</v>
      </c>
      <c r="B3651" s="2">
        <f>IFERROR(__xludf.DUMMYFUNCTION("""COMPUTED_VALUE"""),14.72)</f>
        <v>14.72</v>
      </c>
      <c r="C3651" s="2">
        <f>IFERROR(__xludf.DUMMYFUNCTION("""COMPUTED_VALUE"""),15.04)</f>
        <v>15.04</v>
      </c>
      <c r="D3651" s="2">
        <f>IFERROR(__xludf.DUMMYFUNCTION("""COMPUTED_VALUE"""),14.69)</f>
        <v>14.69</v>
      </c>
      <c r="E3651" s="2">
        <f>IFERROR(__xludf.DUMMYFUNCTION("""COMPUTED_VALUE"""),14.72)</f>
        <v>14.72</v>
      </c>
      <c r="F3651" s="2">
        <f>IFERROR(__xludf.DUMMYFUNCTION("""COMPUTED_VALUE"""),1651500.0)</f>
        <v>1651500</v>
      </c>
    </row>
    <row r="3652">
      <c r="A3652" s="3">
        <f>IFERROR(__xludf.DUMMYFUNCTION("""COMPUTED_VALUE"""),34494.666666666664)</f>
        <v>34494.66667</v>
      </c>
      <c r="B3652" s="2">
        <f>IFERROR(__xludf.DUMMYFUNCTION("""COMPUTED_VALUE"""),14.81)</f>
        <v>14.81</v>
      </c>
      <c r="C3652" s="2">
        <f>IFERROR(__xludf.DUMMYFUNCTION("""COMPUTED_VALUE"""),14.83)</f>
        <v>14.83</v>
      </c>
      <c r="D3652" s="2">
        <f>IFERROR(__xludf.DUMMYFUNCTION("""COMPUTED_VALUE"""),14.69)</f>
        <v>14.69</v>
      </c>
      <c r="E3652" s="2">
        <f>IFERROR(__xludf.DUMMYFUNCTION("""COMPUTED_VALUE"""),14.81)</f>
        <v>14.81</v>
      </c>
      <c r="F3652" s="2">
        <f>IFERROR(__xludf.DUMMYFUNCTION("""COMPUTED_VALUE"""),1087700.0)</f>
        <v>1087700</v>
      </c>
    </row>
    <row r="3653">
      <c r="A3653" s="3">
        <f>IFERROR(__xludf.DUMMYFUNCTION("""COMPUTED_VALUE"""),34495.666666666664)</f>
        <v>34495.66667</v>
      </c>
      <c r="B3653" s="2">
        <f>IFERROR(__xludf.DUMMYFUNCTION("""COMPUTED_VALUE"""),14.95)</f>
        <v>14.95</v>
      </c>
      <c r="C3653" s="2">
        <f>IFERROR(__xludf.DUMMYFUNCTION("""COMPUTED_VALUE"""),15.01)</f>
        <v>15.01</v>
      </c>
      <c r="D3653" s="2">
        <f>IFERROR(__xludf.DUMMYFUNCTION("""COMPUTED_VALUE"""),14.86)</f>
        <v>14.86</v>
      </c>
      <c r="E3653" s="2">
        <f>IFERROR(__xludf.DUMMYFUNCTION("""COMPUTED_VALUE"""),14.95)</f>
        <v>14.95</v>
      </c>
      <c r="F3653" s="2">
        <f>IFERROR(__xludf.DUMMYFUNCTION("""COMPUTED_VALUE"""),1324900.0)</f>
        <v>1324900</v>
      </c>
    </row>
    <row r="3654">
      <c r="A3654" s="3">
        <f>IFERROR(__xludf.DUMMYFUNCTION("""COMPUTED_VALUE"""),34498.666666666664)</f>
        <v>34498.66667</v>
      </c>
      <c r="B3654" s="2">
        <f>IFERROR(__xludf.DUMMYFUNCTION("""COMPUTED_VALUE"""),15.22)</f>
        <v>15.22</v>
      </c>
      <c r="C3654" s="2">
        <f>IFERROR(__xludf.DUMMYFUNCTION("""COMPUTED_VALUE"""),15.31)</f>
        <v>15.31</v>
      </c>
      <c r="D3654" s="2">
        <f>IFERROR(__xludf.DUMMYFUNCTION("""COMPUTED_VALUE"""),14.86)</f>
        <v>14.86</v>
      </c>
      <c r="E3654" s="2">
        <f>IFERROR(__xludf.DUMMYFUNCTION("""COMPUTED_VALUE"""),15.22)</f>
        <v>15.22</v>
      </c>
      <c r="F3654" s="2">
        <f>IFERROR(__xludf.DUMMYFUNCTION("""COMPUTED_VALUE"""),2164500.0)</f>
        <v>2164500</v>
      </c>
    </row>
    <row r="3655">
      <c r="A3655" s="3">
        <f>IFERROR(__xludf.DUMMYFUNCTION("""COMPUTED_VALUE"""),34499.666666666664)</f>
        <v>34499.66667</v>
      </c>
      <c r="B3655" s="2">
        <f>IFERROR(__xludf.DUMMYFUNCTION("""COMPUTED_VALUE"""),15.52)</f>
        <v>15.52</v>
      </c>
      <c r="C3655" s="2">
        <f>IFERROR(__xludf.DUMMYFUNCTION("""COMPUTED_VALUE"""),15.52)</f>
        <v>15.52</v>
      </c>
      <c r="D3655" s="2">
        <f>IFERROR(__xludf.DUMMYFUNCTION("""COMPUTED_VALUE"""),15.25)</f>
        <v>15.25</v>
      </c>
      <c r="E3655" s="2">
        <f>IFERROR(__xludf.DUMMYFUNCTION("""COMPUTED_VALUE"""),15.52)</f>
        <v>15.52</v>
      </c>
      <c r="F3655" s="2">
        <f>IFERROR(__xludf.DUMMYFUNCTION("""COMPUTED_VALUE"""),2778600.0)</f>
        <v>2778600</v>
      </c>
    </row>
    <row r="3656">
      <c r="A3656" s="3">
        <f>IFERROR(__xludf.DUMMYFUNCTION("""COMPUTED_VALUE"""),34500.666666666664)</f>
        <v>34500.66667</v>
      </c>
      <c r="B3656" s="2">
        <f>IFERROR(__xludf.DUMMYFUNCTION("""COMPUTED_VALUE"""),15.22)</f>
        <v>15.22</v>
      </c>
      <c r="C3656" s="2">
        <f>IFERROR(__xludf.DUMMYFUNCTION("""COMPUTED_VALUE"""),15.46)</f>
        <v>15.46</v>
      </c>
      <c r="D3656" s="2">
        <f>IFERROR(__xludf.DUMMYFUNCTION("""COMPUTED_VALUE"""),15.16)</f>
        <v>15.16</v>
      </c>
      <c r="E3656" s="2">
        <f>IFERROR(__xludf.DUMMYFUNCTION("""COMPUTED_VALUE"""),15.22)</f>
        <v>15.22</v>
      </c>
      <c r="F3656" s="2">
        <f>IFERROR(__xludf.DUMMYFUNCTION("""COMPUTED_VALUE"""),1789300.0)</f>
        <v>1789300</v>
      </c>
    </row>
    <row r="3657">
      <c r="A3657" s="3">
        <f>IFERROR(__xludf.DUMMYFUNCTION("""COMPUTED_VALUE"""),34501.666666666664)</f>
        <v>34501.66667</v>
      </c>
      <c r="B3657" s="2">
        <f>IFERROR(__xludf.DUMMYFUNCTION("""COMPUTED_VALUE"""),15.01)</f>
        <v>15.01</v>
      </c>
      <c r="C3657" s="2">
        <f>IFERROR(__xludf.DUMMYFUNCTION("""COMPUTED_VALUE"""),15.16)</f>
        <v>15.16</v>
      </c>
      <c r="D3657" s="2">
        <f>IFERROR(__xludf.DUMMYFUNCTION("""COMPUTED_VALUE"""),15.01)</f>
        <v>15.01</v>
      </c>
      <c r="E3657" s="2">
        <f>IFERROR(__xludf.DUMMYFUNCTION("""COMPUTED_VALUE"""),15.01)</f>
        <v>15.01</v>
      </c>
      <c r="F3657" s="2">
        <f>IFERROR(__xludf.DUMMYFUNCTION("""COMPUTED_VALUE"""),1432600.0)</f>
        <v>1432600</v>
      </c>
    </row>
    <row r="3658">
      <c r="A3658" s="3">
        <f>IFERROR(__xludf.DUMMYFUNCTION("""COMPUTED_VALUE"""),34502.666666666664)</f>
        <v>34502.66667</v>
      </c>
      <c r="B3658" s="2">
        <f>IFERROR(__xludf.DUMMYFUNCTION("""COMPUTED_VALUE"""),14.89)</f>
        <v>14.89</v>
      </c>
      <c r="C3658" s="2">
        <f>IFERROR(__xludf.DUMMYFUNCTION("""COMPUTED_VALUE"""),15.07)</f>
        <v>15.07</v>
      </c>
      <c r="D3658" s="2">
        <f>IFERROR(__xludf.DUMMYFUNCTION("""COMPUTED_VALUE"""),14.86)</f>
        <v>14.86</v>
      </c>
      <c r="E3658" s="2">
        <f>IFERROR(__xludf.DUMMYFUNCTION("""COMPUTED_VALUE"""),14.89)</f>
        <v>14.89</v>
      </c>
      <c r="F3658" s="2">
        <f>IFERROR(__xludf.DUMMYFUNCTION("""COMPUTED_VALUE"""),3034100.0)</f>
        <v>3034100</v>
      </c>
    </row>
    <row r="3659">
      <c r="A3659" s="3">
        <f>IFERROR(__xludf.DUMMYFUNCTION("""COMPUTED_VALUE"""),34505.666666666664)</f>
        <v>34505.66667</v>
      </c>
      <c r="B3659" s="2">
        <f>IFERROR(__xludf.DUMMYFUNCTION("""COMPUTED_VALUE"""),14.72)</f>
        <v>14.72</v>
      </c>
      <c r="C3659" s="2">
        <f>IFERROR(__xludf.DUMMYFUNCTION("""COMPUTED_VALUE"""),14.86)</f>
        <v>14.86</v>
      </c>
      <c r="D3659" s="2">
        <f>IFERROR(__xludf.DUMMYFUNCTION("""COMPUTED_VALUE"""),14.72)</f>
        <v>14.72</v>
      </c>
      <c r="E3659" s="2">
        <f>IFERROR(__xludf.DUMMYFUNCTION("""COMPUTED_VALUE"""),14.72)</f>
        <v>14.72</v>
      </c>
      <c r="F3659" s="2">
        <f>IFERROR(__xludf.DUMMYFUNCTION("""COMPUTED_VALUE"""),1559200.0)</f>
        <v>1559200</v>
      </c>
    </row>
    <row r="3660">
      <c r="A3660" s="3">
        <f>IFERROR(__xludf.DUMMYFUNCTION("""COMPUTED_VALUE"""),34506.666666666664)</f>
        <v>34506.66667</v>
      </c>
      <c r="B3660" s="2">
        <f>IFERROR(__xludf.DUMMYFUNCTION("""COMPUTED_VALUE"""),14.57)</f>
        <v>14.57</v>
      </c>
      <c r="C3660" s="2">
        <f>IFERROR(__xludf.DUMMYFUNCTION("""COMPUTED_VALUE"""),14.83)</f>
        <v>14.83</v>
      </c>
      <c r="D3660" s="2">
        <f>IFERROR(__xludf.DUMMYFUNCTION("""COMPUTED_VALUE"""),14.42)</f>
        <v>14.42</v>
      </c>
      <c r="E3660" s="2">
        <f>IFERROR(__xludf.DUMMYFUNCTION("""COMPUTED_VALUE"""),14.57)</f>
        <v>14.57</v>
      </c>
      <c r="F3660" s="2">
        <f>IFERROR(__xludf.DUMMYFUNCTION("""COMPUTED_VALUE"""),2477300.0)</f>
        <v>2477300</v>
      </c>
    </row>
    <row r="3661">
      <c r="A3661" s="3">
        <f>IFERROR(__xludf.DUMMYFUNCTION("""COMPUTED_VALUE"""),34507.666666666664)</f>
        <v>34507.66667</v>
      </c>
      <c r="B3661" s="2">
        <f>IFERROR(__xludf.DUMMYFUNCTION("""COMPUTED_VALUE"""),14.81)</f>
        <v>14.81</v>
      </c>
      <c r="C3661" s="2">
        <f>IFERROR(__xludf.DUMMYFUNCTION("""COMPUTED_VALUE"""),14.83)</f>
        <v>14.83</v>
      </c>
      <c r="D3661" s="2">
        <f>IFERROR(__xludf.DUMMYFUNCTION("""COMPUTED_VALUE"""),14.6)</f>
        <v>14.6</v>
      </c>
      <c r="E3661" s="2">
        <f>IFERROR(__xludf.DUMMYFUNCTION("""COMPUTED_VALUE"""),14.81)</f>
        <v>14.81</v>
      </c>
      <c r="F3661" s="2">
        <f>IFERROR(__xludf.DUMMYFUNCTION("""COMPUTED_VALUE"""),1327000.0)</f>
        <v>1327000</v>
      </c>
    </row>
    <row r="3662">
      <c r="A3662" s="3">
        <f>IFERROR(__xludf.DUMMYFUNCTION("""COMPUTED_VALUE"""),34508.666666666664)</f>
        <v>34508.66667</v>
      </c>
      <c r="B3662" s="2">
        <f>IFERROR(__xludf.DUMMYFUNCTION("""COMPUTED_VALUE"""),14.54)</f>
        <v>14.54</v>
      </c>
      <c r="C3662" s="2">
        <f>IFERROR(__xludf.DUMMYFUNCTION("""COMPUTED_VALUE"""),14.86)</f>
        <v>14.86</v>
      </c>
      <c r="D3662" s="2">
        <f>IFERROR(__xludf.DUMMYFUNCTION("""COMPUTED_VALUE"""),14.54)</f>
        <v>14.54</v>
      </c>
      <c r="E3662" s="2">
        <f>IFERROR(__xludf.DUMMYFUNCTION("""COMPUTED_VALUE"""),14.54)</f>
        <v>14.54</v>
      </c>
      <c r="F3662" s="2">
        <f>IFERROR(__xludf.DUMMYFUNCTION("""COMPUTED_VALUE"""),1154300.0)</f>
        <v>1154300</v>
      </c>
    </row>
    <row r="3663">
      <c r="A3663" s="3">
        <f>IFERROR(__xludf.DUMMYFUNCTION("""COMPUTED_VALUE"""),34509.666666666664)</f>
        <v>34509.66667</v>
      </c>
      <c r="B3663" s="2">
        <f>IFERROR(__xludf.DUMMYFUNCTION("""COMPUTED_VALUE"""),14.3)</f>
        <v>14.3</v>
      </c>
      <c r="C3663" s="2">
        <f>IFERROR(__xludf.DUMMYFUNCTION("""COMPUTED_VALUE"""),14.57)</f>
        <v>14.57</v>
      </c>
      <c r="D3663" s="2">
        <f>IFERROR(__xludf.DUMMYFUNCTION("""COMPUTED_VALUE"""),14.21)</f>
        <v>14.21</v>
      </c>
      <c r="E3663" s="2">
        <f>IFERROR(__xludf.DUMMYFUNCTION("""COMPUTED_VALUE"""),14.3)</f>
        <v>14.3</v>
      </c>
      <c r="F3663" s="2">
        <f>IFERROR(__xludf.DUMMYFUNCTION("""COMPUTED_VALUE"""),2265300.0)</f>
        <v>2265300</v>
      </c>
    </row>
    <row r="3664">
      <c r="A3664" s="3">
        <f>IFERROR(__xludf.DUMMYFUNCTION("""COMPUTED_VALUE"""),34512.666666666664)</f>
        <v>34512.66667</v>
      </c>
      <c r="B3664" s="2">
        <f>IFERROR(__xludf.DUMMYFUNCTION("""COMPUTED_VALUE"""),14.69)</f>
        <v>14.69</v>
      </c>
      <c r="C3664" s="2">
        <f>IFERROR(__xludf.DUMMYFUNCTION("""COMPUTED_VALUE"""),14.72)</f>
        <v>14.72</v>
      </c>
      <c r="D3664" s="2">
        <f>IFERROR(__xludf.DUMMYFUNCTION("""COMPUTED_VALUE"""),13.88)</f>
        <v>13.88</v>
      </c>
      <c r="E3664" s="2">
        <f>IFERROR(__xludf.DUMMYFUNCTION("""COMPUTED_VALUE"""),14.69)</f>
        <v>14.69</v>
      </c>
      <c r="F3664" s="2">
        <f>IFERROR(__xludf.DUMMYFUNCTION("""COMPUTED_VALUE"""),3876000.0)</f>
        <v>3876000</v>
      </c>
    </row>
    <row r="3665">
      <c r="A3665" s="3">
        <f>IFERROR(__xludf.DUMMYFUNCTION("""COMPUTED_VALUE"""),34513.666666666664)</f>
        <v>34513.66667</v>
      </c>
      <c r="B3665" s="2">
        <f>IFERROR(__xludf.DUMMYFUNCTION("""COMPUTED_VALUE"""),14.6)</f>
        <v>14.6</v>
      </c>
      <c r="C3665" s="2">
        <f>IFERROR(__xludf.DUMMYFUNCTION("""COMPUTED_VALUE"""),14.78)</f>
        <v>14.78</v>
      </c>
      <c r="D3665" s="2">
        <f>IFERROR(__xludf.DUMMYFUNCTION("""COMPUTED_VALUE"""),14.33)</f>
        <v>14.33</v>
      </c>
      <c r="E3665" s="2">
        <f>IFERROR(__xludf.DUMMYFUNCTION("""COMPUTED_VALUE"""),14.6)</f>
        <v>14.6</v>
      </c>
      <c r="F3665" s="2">
        <f>IFERROR(__xludf.DUMMYFUNCTION("""COMPUTED_VALUE"""),1736400.0)</f>
        <v>1736400</v>
      </c>
    </row>
    <row r="3666">
      <c r="A3666" s="3">
        <f>IFERROR(__xludf.DUMMYFUNCTION("""COMPUTED_VALUE"""),34514.666666666664)</f>
        <v>34514.66667</v>
      </c>
      <c r="B3666" s="2">
        <f>IFERROR(__xludf.DUMMYFUNCTION("""COMPUTED_VALUE"""),14.42)</f>
        <v>14.42</v>
      </c>
      <c r="C3666" s="2">
        <f>IFERROR(__xludf.DUMMYFUNCTION("""COMPUTED_VALUE"""),14.69)</f>
        <v>14.69</v>
      </c>
      <c r="D3666" s="2">
        <f>IFERROR(__xludf.DUMMYFUNCTION("""COMPUTED_VALUE"""),14.36)</f>
        <v>14.36</v>
      </c>
      <c r="E3666" s="2">
        <f>IFERROR(__xludf.DUMMYFUNCTION("""COMPUTED_VALUE"""),14.42)</f>
        <v>14.42</v>
      </c>
      <c r="F3666" s="2">
        <f>IFERROR(__xludf.DUMMYFUNCTION("""COMPUTED_VALUE"""),2268600.0)</f>
        <v>2268600</v>
      </c>
    </row>
    <row r="3667">
      <c r="A3667" s="3">
        <f>IFERROR(__xludf.DUMMYFUNCTION("""COMPUTED_VALUE"""),34515.666666666664)</f>
        <v>34515.66667</v>
      </c>
      <c r="B3667" s="2">
        <f>IFERROR(__xludf.DUMMYFUNCTION("""COMPUTED_VALUE"""),14.03)</f>
        <v>14.03</v>
      </c>
      <c r="C3667" s="2">
        <f>IFERROR(__xludf.DUMMYFUNCTION("""COMPUTED_VALUE"""),14.45)</f>
        <v>14.45</v>
      </c>
      <c r="D3667" s="2">
        <f>IFERROR(__xludf.DUMMYFUNCTION("""COMPUTED_VALUE"""),14.0)</f>
        <v>14</v>
      </c>
      <c r="E3667" s="2">
        <f>IFERROR(__xludf.DUMMYFUNCTION("""COMPUTED_VALUE"""),14.03)</f>
        <v>14.03</v>
      </c>
      <c r="F3667" s="2">
        <f>IFERROR(__xludf.DUMMYFUNCTION("""COMPUTED_VALUE"""),2733500.0)</f>
        <v>2733500</v>
      </c>
    </row>
    <row r="3668">
      <c r="A3668" s="3">
        <f>IFERROR(__xludf.DUMMYFUNCTION("""COMPUTED_VALUE"""),34516.666666666664)</f>
        <v>34516.66667</v>
      </c>
      <c r="B3668" s="2">
        <f>IFERROR(__xludf.DUMMYFUNCTION("""COMPUTED_VALUE"""),13.61)</f>
        <v>13.61</v>
      </c>
      <c r="C3668" s="2">
        <f>IFERROR(__xludf.DUMMYFUNCTION("""COMPUTED_VALUE"""),14.12)</f>
        <v>14.12</v>
      </c>
      <c r="D3668" s="2">
        <f>IFERROR(__xludf.DUMMYFUNCTION("""COMPUTED_VALUE"""),13.55)</f>
        <v>13.55</v>
      </c>
      <c r="E3668" s="2">
        <f>IFERROR(__xludf.DUMMYFUNCTION("""COMPUTED_VALUE"""),13.61)</f>
        <v>13.61</v>
      </c>
      <c r="F3668" s="2">
        <f>IFERROR(__xludf.DUMMYFUNCTION("""COMPUTED_VALUE"""),3818100.0)</f>
        <v>3818100</v>
      </c>
    </row>
    <row r="3669">
      <c r="A3669" s="3">
        <f>IFERROR(__xludf.DUMMYFUNCTION("""COMPUTED_VALUE"""),34520.666666666664)</f>
        <v>34520.66667</v>
      </c>
      <c r="B3669" s="2">
        <f>IFERROR(__xludf.DUMMYFUNCTION("""COMPUTED_VALUE"""),13.43)</f>
        <v>13.43</v>
      </c>
      <c r="C3669" s="2">
        <f>IFERROR(__xludf.DUMMYFUNCTION("""COMPUTED_VALUE"""),13.82)</f>
        <v>13.82</v>
      </c>
      <c r="D3669" s="2">
        <f>IFERROR(__xludf.DUMMYFUNCTION("""COMPUTED_VALUE"""),13.43)</f>
        <v>13.43</v>
      </c>
      <c r="E3669" s="2">
        <f>IFERROR(__xludf.DUMMYFUNCTION("""COMPUTED_VALUE"""),13.43)</f>
        <v>13.43</v>
      </c>
      <c r="F3669" s="2">
        <f>IFERROR(__xludf.DUMMYFUNCTION("""COMPUTED_VALUE"""),2790000.0)</f>
        <v>2790000</v>
      </c>
    </row>
    <row r="3670">
      <c r="A3670" s="3">
        <f>IFERROR(__xludf.DUMMYFUNCTION("""COMPUTED_VALUE"""),34521.666666666664)</f>
        <v>34521.66667</v>
      </c>
      <c r="B3670" s="2">
        <f>IFERROR(__xludf.DUMMYFUNCTION("""COMPUTED_VALUE"""),13.61)</f>
        <v>13.61</v>
      </c>
      <c r="C3670" s="2">
        <f>IFERROR(__xludf.DUMMYFUNCTION("""COMPUTED_VALUE"""),13.61)</f>
        <v>13.61</v>
      </c>
      <c r="D3670" s="2">
        <f>IFERROR(__xludf.DUMMYFUNCTION("""COMPUTED_VALUE"""),13.46)</f>
        <v>13.46</v>
      </c>
      <c r="E3670" s="2">
        <f>IFERROR(__xludf.DUMMYFUNCTION("""COMPUTED_VALUE"""),13.61)</f>
        <v>13.61</v>
      </c>
      <c r="F3670" s="2">
        <f>IFERROR(__xludf.DUMMYFUNCTION("""COMPUTED_VALUE"""),1939100.0)</f>
        <v>1939100</v>
      </c>
    </row>
    <row r="3671">
      <c r="A3671" s="3">
        <f>IFERROR(__xludf.DUMMYFUNCTION("""COMPUTED_VALUE"""),34522.666666666664)</f>
        <v>34522.66667</v>
      </c>
      <c r="B3671" s="2">
        <f>IFERROR(__xludf.DUMMYFUNCTION("""COMPUTED_VALUE"""),13.55)</f>
        <v>13.55</v>
      </c>
      <c r="C3671" s="2">
        <f>IFERROR(__xludf.DUMMYFUNCTION("""COMPUTED_VALUE"""),13.7)</f>
        <v>13.7</v>
      </c>
      <c r="D3671" s="2">
        <f>IFERROR(__xludf.DUMMYFUNCTION("""COMPUTED_VALUE"""),13.52)</f>
        <v>13.52</v>
      </c>
      <c r="E3671" s="2">
        <f>IFERROR(__xludf.DUMMYFUNCTION("""COMPUTED_VALUE"""),13.55)</f>
        <v>13.55</v>
      </c>
      <c r="F3671" s="2">
        <f>IFERROR(__xludf.DUMMYFUNCTION("""COMPUTED_VALUE"""),1717900.0)</f>
        <v>1717900</v>
      </c>
    </row>
    <row r="3672">
      <c r="A3672" s="3">
        <f>IFERROR(__xludf.DUMMYFUNCTION("""COMPUTED_VALUE"""),34523.666666666664)</f>
        <v>34523.66667</v>
      </c>
      <c r="B3672" s="2">
        <f>IFERROR(__xludf.DUMMYFUNCTION("""COMPUTED_VALUE"""),13.52)</f>
        <v>13.52</v>
      </c>
      <c r="C3672" s="2">
        <f>IFERROR(__xludf.DUMMYFUNCTION("""COMPUTED_VALUE"""),13.82)</f>
        <v>13.82</v>
      </c>
      <c r="D3672" s="2">
        <f>IFERROR(__xludf.DUMMYFUNCTION("""COMPUTED_VALUE"""),13.49)</f>
        <v>13.49</v>
      </c>
      <c r="E3672" s="2">
        <f>IFERROR(__xludf.DUMMYFUNCTION("""COMPUTED_VALUE"""),13.52)</f>
        <v>13.52</v>
      </c>
      <c r="F3672" s="2">
        <f>IFERROR(__xludf.DUMMYFUNCTION("""COMPUTED_VALUE"""),2315400.0)</f>
        <v>2315400</v>
      </c>
    </row>
    <row r="3673">
      <c r="A3673" s="3">
        <f>IFERROR(__xludf.DUMMYFUNCTION("""COMPUTED_VALUE"""),34526.666666666664)</f>
        <v>34526.66667</v>
      </c>
      <c r="B3673" s="2">
        <f>IFERROR(__xludf.DUMMYFUNCTION("""COMPUTED_VALUE"""),13.28)</f>
        <v>13.28</v>
      </c>
      <c r="C3673" s="2">
        <f>IFERROR(__xludf.DUMMYFUNCTION("""COMPUTED_VALUE"""),13.64)</f>
        <v>13.64</v>
      </c>
      <c r="D3673" s="2">
        <f>IFERROR(__xludf.DUMMYFUNCTION("""COMPUTED_VALUE"""),13.22)</f>
        <v>13.22</v>
      </c>
      <c r="E3673" s="2">
        <f>IFERROR(__xludf.DUMMYFUNCTION("""COMPUTED_VALUE"""),13.28)</f>
        <v>13.28</v>
      </c>
      <c r="F3673" s="2">
        <f>IFERROR(__xludf.DUMMYFUNCTION("""COMPUTED_VALUE"""),2698900.0)</f>
        <v>2698900</v>
      </c>
    </row>
    <row r="3674">
      <c r="A3674" s="3">
        <f>IFERROR(__xludf.DUMMYFUNCTION("""COMPUTED_VALUE"""),34527.666666666664)</f>
        <v>34527.66667</v>
      </c>
      <c r="B3674" s="2">
        <f>IFERROR(__xludf.DUMMYFUNCTION("""COMPUTED_VALUE"""),13.34)</f>
        <v>13.34</v>
      </c>
      <c r="C3674" s="2">
        <f>IFERROR(__xludf.DUMMYFUNCTION("""COMPUTED_VALUE"""),13.4)</f>
        <v>13.4</v>
      </c>
      <c r="D3674" s="2">
        <f>IFERROR(__xludf.DUMMYFUNCTION("""COMPUTED_VALUE"""),13.1)</f>
        <v>13.1</v>
      </c>
      <c r="E3674" s="2">
        <f>IFERROR(__xludf.DUMMYFUNCTION("""COMPUTED_VALUE"""),13.34)</f>
        <v>13.34</v>
      </c>
      <c r="F3674" s="2">
        <f>IFERROR(__xludf.DUMMYFUNCTION("""COMPUTED_VALUE"""),2993700.0)</f>
        <v>2993700</v>
      </c>
    </row>
    <row r="3675">
      <c r="A3675" s="3">
        <f>IFERROR(__xludf.DUMMYFUNCTION("""COMPUTED_VALUE"""),34528.666666666664)</f>
        <v>34528.66667</v>
      </c>
      <c r="B3675" s="2">
        <f>IFERROR(__xludf.DUMMYFUNCTION("""COMPUTED_VALUE"""),13.55)</f>
        <v>13.55</v>
      </c>
      <c r="C3675" s="2">
        <f>IFERROR(__xludf.DUMMYFUNCTION("""COMPUTED_VALUE"""),13.55)</f>
        <v>13.55</v>
      </c>
      <c r="D3675" s="2">
        <f>IFERROR(__xludf.DUMMYFUNCTION("""COMPUTED_VALUE"""),13.34)</f>
        <v>13.34</v>
      </c>
      <c r="E3675" s="2">
        <f>IFERROR(__xludf.DUMMYFUNCTION("""COMPUTED_VALUE"""),13.55)</f>
        <v>13.55</v>
      </c>
      <c r="F3675" s="2">
        <f>IFERROR(__xludf.DUMMYFUNCTION("""COMPUTED_VALUE"""),2471200.0)</f>
        <v>2471200</v>
      </c>
    </row>
    <row r="3676">
      <c r="A3676" s="3">
        <f>IFERROR(__xludf.DUMMYFUNCTION("""COMPUTED_VALUE"""),34529.666666666664)</f>
        <v>34529.66667</v>
      </c>
      <c r="B3676" s="2">
        <f>IFERROR(__xludf.DUMMYFUNCTION("""COMPUTED_VALUE"""),13.91)</f>
        <v>13.91</v>
      </c>
      <c r="C3676" s="2">
        <f>IFERROR(__xludf.DUMMYFUNCTION("""COMPUTED_VALUE"""),13.97)</f>
        <v>13.97</v>
      </c>
      <c r="D3676" s="2">
        <f>IFERROR(__xludf.DUMMYFUNCTION("""COMPUTED_VALUE"""),13.67)</f>
        <v>13.67</v>
      </c>
      <c r="E3676" s="2">
        <f>IFERROR(__xludf.DUMMYFUNCTION("""COMPUTED_VALUE"""),13.91)</f>
        <v>13.91</v>
      </c>
      <c r="F3676" s="2">
        <f>IFERROR(__xludf.DUMMYFUNCTION("""COMPUTED_VALUE"""),3002700.0)</f>
        <v>3002700</v>
      </c>
    </row>
    <row r="3677">
      <c r="A3677" s="3">
        <f>IFERROR(__xludf.DUMMYFUNCTION("""COMPUTED_VALUE"""),34530.666666666664)</f>
        <v>34530.66667</v>
      </c>
      <c r="B3677" s="2">
        <f>IFERROR(__xludf.DUMMYFUNCTION("""COMPUTED_VALUE"""),13.58)</f>
        <v>13.58</v>
      </c>
      <c r="C3677" s="2">
        <f>IFERROR(__xludf.DUMMYFUNCTION("""COMPUTED_VALUE"""),13.82)</f>
        <v>13.82</v>
      </c>
      <c r="D3677" s="2">
        <f>IFERROR(__xludf.DUMMYFUNCTION("""COMPUTED_VALUE"""),13.55)</f>
        <v>13.55</v>
      </c>
      <c r="E3677" s="2">
        <f>IFERROR(__xludf.DUMMYFUNCTION("""COMPUTED_VALUE"""),13.58)</f>
        <v>13.58</v>
      </c>
      <c r="F3677" s="2">
        <f>IFERROR(__xludf.DUMMYFUNCTION("""COMPUTED_VALUE"""),2478300.0)</f>
        <v>2478300</v>
      </c>
    </row>
    <row r="3678">
      <c r="A3678" s="3">
        <f>IFERROR(__xludf.DUMMYFUNCTION("""COMPUTED_VALUE"""),34533.666666666664)</f>
        <v>34533.66667</v>
      </c>
      <c r="B3678" s="2">
        <f>IFERROR(__xludf.DUMMYFUNCTION("""COMPUTED_VALUE"""),13.58)</f>
        <v>13.58</v>
      </c>
      <c r="C3678" s="2">
        <f>IFERROR(__xludf.DUMMYFUNCTION("""COMPUTED_VALUE"""),13.76)</f>
        <v>13.76</v>
      </c>
      <c r="D3678" s="2">
        <f>IFERROR(__xludf.DUMMYFUNCTION("""COMPUTED_VALUE"""),13.52)</f>
        <v>13.52</v>
      </c>
      <c r="E3678" s="2">
        <f>IFERROR(__xludf.DUMMYFUNCTION("""COMPUTED_VALUE"""),13.58)</f>
        <v>13.58</v>
      </c>
      <c r="F3678" s="2">
        <f>IFERROR(__xludf.DUMMYFUNCTION("""COMPUTED_VALUE"""),1655600.0)</f>
        <v>1655600</v>
      </c>
    </row>
    <row r="3679">
      <c r="A3679" s="3">
        <f>IFERROR(__xludf.DUMMYFUNCTION("""COMPUTED_VALUE"""),34534.666666666664)</f>
        <v>34534.66667</v>
      </c>
      <c r="B3679" s="2">
        <f>IFERROR(__xludf.DUMMYFUNCTION("""COMPUTED_VALUE"""),13.28)</f>
        <v>13.28</v>
      </c>
      <c r="C3679" s="2">
        <f>IFERROR(__xludf.DUMMYFUNCTION("""COMPUTED_VALUE"""),13.58)</f>
        <v>13.58</v>
      </c>
      <c r="D3679" s="2">
        <f>IFERROR(__xludf.DUMMYFUNCTION("""COMPUTED_VALUE"""),13.28)</f>
        <v>13.28</v>
      </c>
      <c r="E3679" s="2">
        <f>IFERROR(__xludf.DUMMYFUNCTION("""COMPUTED_VALUE"""),13.28)</f>
        <v>13.28</v>
      </c>
      <c r="F3679" s="2">
        <f>IFERROR(__xludf.DUMMYFUNCTION("""COMPUTED_VALUE"""),1817200.0)</f>
        <v>1817200</v>
      </c>
    </row>
    <row r="3680">
      <c r="A3680" s="3">
        <f>IFERROR(__xludf.DUMMYFUNCTION("""COMPUTED_VALUE"""),34535.666666666664)</f>
        <v>34535.66667</v>
      </c>
      <c r="B3680" s="2">
        <f>IFERROR(__xludf.DUMMYFUNCTION("""COMPUTED_VALUE"""),13.34)</f>
        <v>13.34</v>
      </c>
      <c r="C3680" s="2">
        <f>IFERROR(__xludf.DUMMYFUNCTION("""COMPUTED_VALUE"""),13.43)</f>
        <v>13.43</v>
      </c>
      <c r="D3680" s="2">
        <f>IFERROR(__xludf.DUMMYFUNCTION("""COMPUTED_VALUE"""),13.01)</f>
        <v>13.01</v>
      </c>
      <c r="E3680" s="2">
        <f>IFERROR(__xludf.DUMMYFUNCTION("""COMPUTED_VALUE"""),13.34)</f>
        <v>13.34</v>
      </c>
      <c r="F3680" s="2">
        <f>IFERROR(__xludf.DUMMYFUNCTION("""COMPUTED_VALUE"""),3189300.0)</f>
        <v>3189300</v>
      </c>
    </row>
    <row r="3681">
      <c r="A3681" s="3">
        <f>IFERROR(__xludf.DUMMYFUNCTION("""COMPUTED_VALUE"""),34536.666666666664)</f>
        <v>34536.66667</v>
      </c>
      <c r="B3681" s="2">
        <f>IFERROR(__xludf.DUMMYFUNCTION("""COMPUTED_VALUE"""),14.39)</f>
        <v>14.39</v>
      </c>
      <c r="C3681" s="2">
        <f>IFERROR(__xludf.DUMMYFUNCTION("""COMPUTED_VALUE"""),14.95)</f>
        <v>14.95</v>
      </c>
      <c r="D3681" s="2">
        <f>IFERROR(__xludf.DUMMYFUNCTION("""COMPUTED_VALUE"""),13.85)</f>
        <v>13.85</v>
      </c>
      <c r="E3681" s="2">
        <f>IFERROR(__xludf.DUMMYFUNCTION("""COMPUTED_VALUE"""),14.39)</f>
        <v>14.39</v>
      </c>
      <c r="F3681" s="2">
        <f>IFERROR(__xludf.DUMMYFUNCTION("""COMPUTED_VALUE"""),8806500.0)</f>
        <v>8806500</v>
      </c>
    </row>
    <row r="3682">
      <c r="A3682" s="3">
        <f>IFERROR(__xludf.DUMMYFUNCTION("""COMPUTED_VALUE"""),34537.666666666664)</f>
        <v>34537.66667</v>
      </c>
      <c r="B3682" s="2">
        <f>IFERROR(__xludf.DUMMYFUNCTION("""COMPUTED_VALUE"""),14.66)</f>
        <v>14.66</v>
      </c>
      <c r="C3682" s="2">
        <f>IFERROR(__xludf.DUMMYFUNCTION("""COMPUTED_VALUE"""),14.92)</f>
        <v>14.92</v>
      </c>
      <c r="D3682" s="2">
        <f>IFERROR(__xludf.DUMMYFUNCTION("""COMPUTED_VALUE"""),14.6)</f>
        <v>14.6</v>
      </c>
      <c r="E3682" s="2">
        <f>IFERROR(__xludf.DUMMYFUNCTION("""COMPUTED_VALUE"""),14.66)</f>
        <v>14.66</v>
      </c>
      <c r="F3682" s="2">
        <f>IFERROR(__xludf.DUMMYFUNCTION("""COMPUTED_VALUE"""),3714200.0)</f>
        <v>3714200</v>
      </c>
    </row>
    <row r="3683">
      <c r="A3683" s="3">
        <f>IFERROR(__xludf.DUMMYFUNCTION("""COMPUTED_VALUE"""),34540.666666666664)</f>
        <v>34540.66667</v>
      </c>
      <c r="B3683" s="2">
        <f>IFERROR(__xludf.DUMMYFUNCTION("""COMPUTED_VALUE"""),14.86)</f>
        <v>14.86</v>
      </c>
      <c r="C3683" s="2">
        <f>IFERROR(__xludf.DUMMYFUNCTION("""COMPUTED_VALUE"""),14.89)</f>
        <v>14.89</v>
      </c>
      <c r="D3683" s="2">
        <f>IFERROR(__xludf.DUMMYFUNCTION("""COMPUTED_VALUE"""),14.64)</f>
        <v>14.64</v>
      </c>
      <c r="E3683" s="2">
        <f>IFERROR(__xludf.DUMMYFUNCTION("""COMPUTED_VALUE"""),14.86)</f>
        <v>14.86</v>
      </c>
      <c r="F3683" s="2">
        <f>IFERROR(__xludf.DUMMYFUNCTION("""COMPUTED_VALUE"""),2342200.0)</f>
        <v>2342200</v>
      </c>
    </row>
    <row r="3684">
      <c r="A3684" s="3">
        <f>IFERROR(__xludf.DUMMYFUNCTION("""COMPUTED_VALUE"""),34541.666666666664)</f>
        <v>34541.66667</v>
      </c>
      <c r="B3684" s="2">
        <f>IFERROR(__xludf.DUMMYFUNCTION("""COMPUTED_VALUE"""),14.89)</f>
        <v>14.89</v>
      </c>
      <c r="C3684" s="2">
        <f>IFERROR(__xludf.DUMMYFUNCTION("""COMPUTED_VALUE"""),15.07)</f>
        <v>15.07</v>
      </c>
      <c r="D3684" s="2">
        <f>IFERROR(__xludf.DUMMYFUNCTION("""COMPUTED_VALUE"""),14.83)</f>
        <v>14.83</v>
      </c>
      <c r="E3684" s="2">
        <f>IFERROR(__xludf.DUMMYFUNCTION("""COMPUTED_VALUE"""),14.89)</f>
        <v>14.89</v>
      </c>
      <c r="F3684" s="2">
        <f>IFERROR(__xludf.DUMMYFUNCTION("""COMPUTED_VALUE"""),2896900.0)</f>
        <v>2896900</v>
      </c>
    </row>
    <row r="3685">
      <c r="A3685" s="3">
        <f>IFERROR(__xludf.DUMMYFUNCTION("""COMPUTED_VALUE"""),34542.666666666664)</f>
        <v>34542.66667</v>
      </c>
      <c r="B3685" s="2">
        <f>IFERROR(__xludf.DUMMYFUNCTION("""COMPUTED_VALUE"""),14.92)</f>
        <v>14.92</v>
      </c>
      <c r="C3685" s="2">
        <f>IFERROR(__xludf.DUMMYFUNCTION("""COMPUTED_VALUE"""),14.92)</f>
        <v>14.92</v>
      </c>
      <c r="D3685" s="2">
        <f>IFERROR(__xludf.DUMMYFUNCTION("""COMPUTED_VALUE"""),14.78)</f>
        <v>14.78</v>
      </c>
      <c r="E3685" s="2">
        <f>IFERROR(__xludf.DUMMYFUNCTION("""COMPUTED_VALUE"""),14.92)</f>
        <v>14.92</v>
      </c>
      <c r="F3685" s="2">
        <f>IFERROR(__xludf.DUMMYFUNCTION("""COMPUTED_VALUE"""),1441300.0)</f>
        <v>1441300</v>
      </c>
    </row>
    <row r="3686">
      <c r="A3686" s="3">
        <f>IFERROR(__xludf.DUMMYFUNCTION("""COMPUTED_VALUE"""),34543.666666666664)</f>
        <v>34543.66667</v>
      </c>
      <c r="B3686" s="2">
        <f>IFERROR(__xludf.DUMMYFUNCTION("""COMPUTED_VALUE"""),14.86)</f>
        <v>14.86</v>
      </c>
      <c r="C3686" s="2">
        <f>IFERROR(__xludf.DUMMYFUNCTION("""COMPUTED_VALUE"""),15.04)</f>
        <v>15.04</v>
      </c>
      <c r="D3686" s="2">
        <f>IFERROR(__xludf.DUMMYFUNCTION("""COMPUTED_VALUE"""),14.86)</f>
        <v>14.86</v>
      </c>
      <c r="E3686" s="2">
        <f>IFERROR(__xludf.DUMMYFUNCTION("""COMPUTED_VALUE"""),14.86)</f>
        <v>14.86</v>
      </c>
      <c r="F3686" s="2">
        <f>IFERROR(__xludf.DUMMYFUNCTION("""COMPUTED_VALUE"""),1261800.0)</f>
        <v>1261800</v>
      </c>
    </row>
    <row r="3687">
      <c r="A3687" s="3">
        <f>IFERROR(__xludf.DUMMYFUNCTION("""COMPUTED_VALUE"""),34544.666666666664)</f>
        <v>34544.66667</v>
      </c>
      <c r="B3687" s="2">
        <f>IFERROR(__xludf.DUMMYFUNCTION("""COMPUTED_VALUE"""),14.78)</f>
        <v>14.78</v>
      </c>
      <c r="C3687" s="2">
        <f>IFERROR(__xludf.DUMMYFUNCTION("""COMPUTED_VALUE"""),14.98)</f>
        <v>14.98</v>
      </c>
      <c r="D3687" s="2">
        <f>IFERROR(__xludf.DUMMYFUNCTION("""COMPUTED_VALUE"""),14.75)</f>
        <v>14.75</v>
      </c>
      <c r="E3687" s="2">
        <f>IFERROR(__xludf.DUMMYFUNCTION("""COMPUTED_VALUE"""),14.78)</f>
        <v>14.78</v>
      </c>
      <c r="F3687" s="2">
        <f>IFERROR(__xludf.DUMMYFUNCTION("""COMPUTED_VALUE"""),1693900.0)</f>
        <v>1693900</v>
      </c>
    </row>
    <row r="3688">
      <c r="A3688" s="3">
        <f>IFERROR(__xludf.DUMMYFUNCTION("""COMPUTED_VALUE"""),34547.666666666664)</f>
        <v>34547.66667</v>
      </c>
      <c r="B3688" s="2">
        <f>IFERROR(__xludf.DUMMYFUNCTION("""COMPUTED_VALUE"""),15.01)</f>
        <v>15.01</v>
      </c>
      <c r="C3688" s="2">
        <f>IFERROR(__xludf.DUMMYFUNCTION("""COMPUTED_VALUE"""),15.07)</f>
        <v>15.07</v>
      </c>
      <c r="D3688" s="2">
        <f>IFERROR(__xludf.DUMMYFUNCTION("""COMPUTED_VALUE"""),14.69)</f>
        <v>14.69</v>
      </c>
      <c r="E3688" s="2">
        <f>IFERROR(__xludf.DUMMYFUNCTION("""COMPUTED_VALUE"""),15.01)</f>
        <v>15.01</v>
      </c>
      <c r="F3688" s="2">
        <f>IFERROR(__xludf.DUMMYFUNCTION("""COMPUTED_VALUE"""),1771400.0)</f>
        <v>1771400</v>
      </c>
    </row>
    <row r="3689">
      <c r="A3689" s="3">
        <f>IFERROR(__xludf.DUMMYFUNCTION("""COMPUTED_VALUE"""),34548.666666666664)</f>
        <v>34548.66667</v>
      </c>
      <c r="B3689" s="2">
        <f>IFERROR(__xludf.DUMMYFUNCTION("""COMPUTED_VALUE"""),14.86)</f>
        <v>14.86</v>
      </c>
      <c r="C3689" s="2">
        <f>IFERROR(__xludf.DUMMYFUNCTION("""COMPUTED_VALUE"""),15.13)</f>
        <v>15.13</v>
      </c>
      <c r="D3689" s="2">
        <f>IFERROR(__xludf.DUMMYFUNCTION("""COMPUTED_VALUE"""),14.86)</f>
        <v>14.86</v>
      </c>
      <c r="E3689" s="2">
        <f>IFERROR(__xludf.DUMMYFUNCTION("""COMPUTED_VALUE"""),14.86)</f>
        <v>14.86</v>
      </c>
      <c r="F3689" s="2">
        <f>IFERROR(__xludf.DUMMYFUNCTION("""COMPUTED_VALUE"""),2083800.0)</f>
        <v>2083800</v>
      </c>
    </row>
    <row r="3690">
      <c r="A3690" s="3">
        <f>IFERROR(__xludf.DUMMYFUNCTION("""COMPUTED_VALUE"""),34549.666666666664)</f>
        <v>34549.66667</v>
      </c>
      <c r="B3690" s="2">
        <f>IFERROR(__xludf.DUMMYFUNCTION("""COMPUTED_VALUE"""),15.04)</f>
        <v>15.04</v>
      </c>
      <c r="C3690" s="2">
        <f>IFERROR(__xludf.DUMMYFUNCTION("""COMPUTED_VALUE"""),15.07)</f>
        <v>15.07</v>
      </c>
      <c r="D3690" s="2">
        <f>IFERROR(__xludf.DUMMYFUNCTION("""COMPUTED_VALUE"""),14.86)</f>
        <v>14.86</v>
      </c>
      <c r="E3690" s="2">
        <f>IFERROR(__xludf.DUMMYFUNCTION("""COMPUTED_VALUE"""),15.04)</f>
        <v>15.04</v>
      </c>
      <c r="F3690" s="2">
        <f>IFERROR(__xludf.DUMMYFUNCTION("""COMPUTED_VALUE"""),1354200.0)</f>
        <v>1354200</v>
      </c>
    </row>
    <row r="3691">
      <c r="A3691" s="3">
        <f>IFERROR(__xludf.DUMMYFUNCTION("""COMPUTED_VALUE"""),34550.666666666664)</f>
        <v>34550.66667</v>
      </c>
      <c r="B3691" s="2">
        <f>IFERROR(__xludf.DUMMYFUNCTION("""COMPUTED_VALUE"""),15.07)</f>
        <v>15.07</v>
      </c>
      <c r="C3691" s="2">
        <f>IFERROR(__xludf.DUMMYFUNCTION("""COMPUTED_VALUE"""),15.16)</f>
        <v>15.16</v>
      </c>
      <c r="D3691" s="2">
        <f>IFERROR(__xludf.DUMMYFUNCTION("""COMPUTED_VALUE"""),14.98)</f>
        <v>14.98</v>
      </c>
      <c r="E3691" s="2">
        <f>IFERROR(__xludf.DUMMYFUNCTION("""COMPUTED_VALUE"""),15.07)</f>
        <v>15.07</v>
      </c>
      <c r="F3691" s="2">
        <f>IFERROR(__xludf.DUMMYFUNCTION("""COMPUTED_VALUE"""),2046400.0)</f>
        <v>2046400</v>
      </c>
    </row>
    <row r="3692">
      <c r="A3692" s="3">
        <f>IFERROR(__xludf.DUMMYFUNCTION("""COMPUTED_VALUE"""),34551.666666666664)</f>
        <v>34551.66667</v>
      </c>
      <c r="B3692" s="2">
        <f>IFERROR(__xludf.DUMMYFUNCTION("""COMPUTED_VALUE"""),14.89)</f>
        <v>14.89</v>
      </c>
      <c r="C3692" s="2">
        <f>IFERROR(__xludf.DUMMYFUNCTION("""COMPUTED_VALUE"""),15.07)</f>
        <v>15.07</v>
      </c>
      <c r="D3692" s="2">
        <f>IFERROR(__xludf.DUMMYFUNCTION("""COMPUTED_VALUE"""),14.78)</f>
        <v>14.78</v>
      </c>
      <c r="E3692" s="2">
        <f>IFERROR(__xludf.DUMMYFUNCTION("""COMPUTED_VALUE"""),14.89)</f>
        <v>14.89</v>
      </c>
      <c r="F3692" s="2">
        <f>IFERROR(__xludf.DUMMYFUNCTION("""COMPUTED_VALUE"""),1599900.0)</f>
        <v>1599900</v>
      </c>
    </row>
    <row r="3693">
      <c r="A3693" s="3">
        <f>IFERROR(__xludf.DUMMYFUNCTION("""COMPUTED_VALUE"""),34554.666666666664)</f>
        <v>34554.66667</v>
      </c>
      <c r="B3693" s="2">
        <f>IFERROR(__xludf.DUMMYFUNCTION("""COMPUTED_VALUE"""),15.1)</f>
        <v>15.1</v>
      </c>
      <c r="C3693" s="2">
        <f>IFERROR(__xludf.DUMMYFUNCTION("""COMPUTED_VALUE"""),15.13)</f>
        <v>15.13</v>
      </c>
      <c r="D3693" s="2">
        <f>IFERROR(__xludf.DUMMYFUNCTION("""COMPUTED_VALUE"""),14.95)</f>
        <v>14.95</v>
      </c>
      <c r="E3693" s="2">
        <f>IFERROR(__xludf.DUMMYFUNCTION("""COMPUTED_VALUE"""),15.1)</f>
        <v>15.1</v>
      </c>
      <c r="F3693" s="2">
        <f>IFERROR(__xludf.DUMMYFUNCTION("""COMPUTED_VALUE"""),1676600.0)</f>
        <v>1676600</v>
      </c>
    </row>
    <row r="3694">
      <c r="A3694" s="3">
        <f>IFERROR(__xludf.DUMMYFUNCTION("""COMPUTED_VALUE"""),34555.666666666664)</f>
        <v>34555.66667</v>
      </c>
      <c r="B3694" s="2">
        <f>IFERROR(__xludf.DUMMYFUNCTION("""COMPUTED_VALUE"""),15.4)</f>
        <v>15.4</v>
      </c>
      <c r="C3694" s="2">
        <f>IFERROR(__xludf.DUMMYFUNCTION("""COMPUTED_VALUE"""),15.4)</f>
        <v>15.4</v>
      </c>
      <c r="D3694" s="2">
        <f>IFERROR(__xludf.DUMMYFUNCTION("""COMPUTED_VALUE"""),15.1)</f>
        <v>15.1</v>
      </c>
      <c r="E3694" s="2">
        <f>IFERROR(__xludf.DUMMYFUNCTION("""COMPUTED_VALUE"""),15.4)</f>
        <v>15.4</v>
      </c>
      <c r="F3694" s="2">
        <f>IFERROR(__xludf.DUMMYFUNCTION("""COMPUTED_VALUE"""),3013000.0)</f>
        <v>3013000</v>
      </c>
    </row>
    <row r="3695">
      <c r="A3695" s="3">
        <f>IFERROR(__xludf.DUMMYFUNCTION("""COMPUTED_VALUE"""),34556.666666666664)</f>
        <v>34556.66667</v>
      </c>
      <c r="B3695" s="2">
        <f>IFERROR(__xludf.DUMMYFUNCTION("""COMPUTED_VALUE"""),15.31)</f>
        <v>15.31</v>
      </c>
      <c r="C3695" s="2">
        <f>IFERROR(__xludf.DUMMYFUNCTION("""COMPUTED_VALUE"""),15.52)</f>
        <v>15.52</v>
      </c>
      <c r="D3695" s="2">
        <f>IFERROR(__xludf.DUMMYFUNCTION("""COMPUTED_VALUE"""),15.31)</f>
        <v>15.31</v>
      </c>
      <c r="E3695" s="2">
        <f>IFERROR(__xludf.DUMMYFUNCTION("""COMPUTED_VALUE"""),15.31)</f>
        <v>15.31</v>
      </c>
      <c r="F3695" s="2">
        <f>IFERROR(__xludf.DUMMYFUNCTION("""COMPUTED_VALUE"""),2708600.0)</f>
        <v>2708600</v>
      </c>
    </row>
    <row r="3696">
      <c r="A3696" s="3">
        <f>IFERROR(__xludf.DUMMYFUNCTION("""COMPUTED_VALUE"""),34557.666666666664)</f>
        <v>34557.66667</v>
      </c>
      <c r="B3696" s="2">
        <f>IFERROR(__xludf.DUMMYFUNCTION("""COMPUTED_VALUE"""),15.43)</f>
        <v>15.43</v>
      </c>
      <c r="C3696" s="2">
        <f>IFERROR(__xludf.DUMMYFUNCTION("""COMPUTED_VALUE"""),15.43)</f>
        <v>15.43</v>
      </c>
      <c r="D3696" s="2">
        <f>IFERROR(__xludf.DUMMYFUNCTION("""COMPUTED_VALUE"""),15.22)</f>
        <v>15.22</v>
      </c>
      <c r="E3696" s="2">
        <f>IFERROR(__xludf.DUMMYFUNCTION("""COMPUTED_VALUE"""),15.43)</f>
        <v>15.43</v>
      </c>
      <c r="F3696" s="2">
        <f>IFERROR(__xludf.DUMMYFUNCTION("""COMPUTED_VALUE"""),2445700.0)</f>
        <v>2445700</v>
      </c>
    </row>
    <row r="3697">
      <c r="A3697" s="3">
        <f>IFERROR(__xludf.DUMMYFUNCTION("""COMPUTED_VALUE"""),34558.666666666664)</f>
        <v>34558.66667</v>
      </c>
      <c r="B3697" s="2">
        <f>IFERROR(__xludf.DUMMYFUNCTION("""COMPUTED_VALUE"""),15.22)</f>
        <v>15.22</v>
      </c>
      <c r="C3697" s="2">
        <f>IFERROR(__xludf.DUMMYFUNCTION("""COMPUTED_VALUE"""),15.55)</f>
        <v>15.55</v>
      </c>
      <c r="D3697" s="2">
        <f>IFERROR(__xludf.DUMMYFUNCTION("""COMPUTED_VALUE"""),15.22)</f>
        <v>15.22</v>
      </c>
      <c r="E3697" s="2">
        <f>IFERROR(__xludf.DUMMYFUNCTION("""COMPUTED_VALUE"""),15.22)</f>
        <v>15.22</v>
      </c>
      <c r="F3697" s="2">
        <f>IFERROR(__xludf.DUMMYFUNCTION("""COMPUTED_VALUE"""),2001600.0)</f>
        <v>2001600</v>
      </c>
    </row>
    <row r="3698">
      <c r="A3698" s="3">
        <f>IFERROR(__xludf.DUMMYFUNCTION("""COMPUTED_VALUE"""),34561.666666666664)</f>
        <v>34561.66667</v>
      </c>
      <c r="B3698" s="2">
        <f>IFERROR(__xludf.DUMMYFUNCTION("""COMPUTED_VALUE"""),15.37)</f>
        <v>15.37</v>
      </c>
      <c r="C3698" s="2">
        <f>IFERROR(__xludf.DUMMYFUNCTION("""COMPUTED_VALUE"""),15.4)</f>
        <v>15.4</v>
      </c>
      <c r="D3698" s="2">
        <f>IFERROR(__xludf.DUMMYFUNCTION("""COMPUTED_VALUE"""),15.22)</f>
        <v>15.22</v>
      </c>
      <c r="E3698" s="2">
        <f>IFERROR(__xludf.DUMMYFUNCTION("""COMPUTED_VALUE"""),15.37)</f>
        <v>15.37</v>
      </c>
      <c r="F3698" s="2">
        <f>IFERROR(__xludf.DUMMYFUNCTION("""COMPUTED_VALUE"""),1077800.0)</f>
        <v>1077800</v>
      </c>
    </row>
    <row r="3699">
      <c r="A3699" s="3">
        <f>IFERROR(__xludf.DUMMYFUNCTION("""COMPUTED_VALUE"""),34562.666666666664)</f>
        <v>34562.66667</v>
      </c>
      <c r="B3699" s="2">
        <f>IFERROR(__xludf.DUMMYFUNCTION("""COMPUTED_VALUE"""),15.43)</f>
        <v>15.43</v>
      </c>
      <c r="C3699" s="2">
        <f>IFERROR(__xludf.DUMMYFUNCTION("""COMPUTED_VALUE"""),15.46)</f>
        <v>15.46</v>
      </c>
      <c r="D3699" s="2">
        <f>IFERROR(__xludf.DUMMYFUNCTION("""COMPUTED_VALUE"""),15.22)</f>
        <v>15.22</v>
      </c>
      <c r="E3699" s="2">
        <f>IFERROR(__xludf.DUMMYFUNCTION("""COMPUTED_VALUE"""),15.43)</f>
        <v>15.43</v>
      </c>
      <c r="F3699" s="2">
        <f>IFERROR(__xludf.DUMMYFUNCTION("""COMPUTED_VALUE"""),2035100.0)</f>
        <v>2035100</v>
      </c>
    </row>
    <row r="3700">
      <c r="A3700" s="3">
        <f>IFERROR(__xludf.DUMMYFUNCTION("""COMPUTED_VALUE"""),34563.666666666664)</f>
        <v>34563.66667</v>
      </c>
      <c r="B3700" s="2">
        <f>IFERROR(__xludf.DUMMYFUNCTION("""COMPUTED_VALUE"""),15.49)</f>
        <v>15.49</v>
      </c>
      <c r="C3700" s="2">
        <f>IFERROR(__xludf.DUMMYFUNCTION("""COMPUTED_VALUE"""),15.67)</f>
        <v>15.67</v>
      </c>
      <c r="D3700" s="2">
        <f>IFERROR(__xludf.DUMMYFUNCTION("""COMPUTED_VALUE"""),15.37)</f>
        <v>15.37</v>
      </c>
      <c r="E3700" s="2">
        <f>IFERROR(__xludf.DUMMYFUNCTION("""COMPUTED_VALUE"""),15.49)</f>
        <v>15.49</v>
      </c>
      <c r="F3700" s="2">
        <f>IFERROR(__xludf.DUMMYFUNCTION("""COMPUTED_VALUE"""),2945200.0)</f>
        <v>2945200</v>
      </c>
    </row>
    <row r="3701">
      <c r="A3701" s="3">
        <f>IFERROR(__xludf.DUMMYFUNCTION("""COMPUTED_VALUE"""),34564.666666666664)</f>
        <v>34564.66667</v>
      </c>
      <c r="B3701" s="2">
        <f>IFERROR(__xludf.DUMMYFUNCTION("""COMPUTED_VALUE"""),15.82)</f>
        <v>15.82</v>
      </c>
      <c r="C3701" s="2">
        <f>IFERROR(__xludf.DUMMYFUNCTION("""COMPUTED_VALUE"""),15.97)</f>
        <v>15.97</v>
      </c>
      <c r="D3701" s="2">
        <f>IFERROR(__xludf.DUMMYFUNCTION("""COMPUTED_VALUE"""),15.61)</f>
        <v>15.61</v>
      </c>
      <c r="E3701" s="2">
        <f>IFERROR(__xludf.DUMMYFUNCTION("""COMPUTED_VALUE"""),15.82)</f>
        <v>15.82</v>
      </c>
      <c r="F3701" s="2">
        <f>IFERROR(__xludf.DUMMYFUNCTION("""COMPUTED_VALUE"""),4196800.0)</f>
        <v>4196800</v>
      </c>
    </row>
    <row r="3702">
      <c r="A3702" s="3">
        <f>IFERROR(__xludf.DUMMYFUNCTION("""COMPUTED_VALUE"""),34565.666666666664)</f>
        <v>34565.66667</v>
      </c>
      <c r="B3702" s="2">
        <f>IFERROR(__xludf.DUMMYFUNCTION("""COMPUTED_VALUE"""),16.27)</f>
        <v>16.27</v>
      </c>
      <c r="C3702" s="2">
        <f>IFERROR(__xludf.DUMMYFUNCTION("""COMPUTED_VALUE"""),16.39)</f>
        <v>16.39</v>
      </c>
      <c r="D3702" s="2">
        <f>IFERROR(__xludf.DUMMYFUNCTION("""COMPUTED_VALUE"""),15.76)</f>
        <v>15.76</v>
      </c>
      <c r="E3702" s="2">
        <f>IFERROR(__xludf.DUMMYFUNCTION("""COMPUTED_VALUE"""),16.27)</f>
        <v>16.27</v>
      </c>
      <c r="F3702" s="2">
        <f>IFERROR(__xludf.DUMMYFUNCTION("""COMPUTED_VALUE"""),4663400.0)</f>
        <v>4663400</v>
      </c>
    </row>
    <row r="3703">
      <c r="A3703" s="3">
        <f>IFERROR(__xludf.DUMMYFUNCTION("""COMPUTED_VALUE"""),34568.666666666664)</f>
        <v>34568.66667</v>
      </c>
      <c r="B3703" s="2">
        <f>IFERROR(__xludf.DUMMYFUNCTION("""COMPUTED_VALUE"""),16.18)</f>
        <v>16.18</v>
      </c>
      <c r="C3703" s="2">
        <f>IFERROR(__xludf.DUMMYFUNCTION("""COMPUTED_VALUE"""),16.33)</f>
        <v>16.33</v>
      </c>
      <c r="D3703" s="2">
        <f>IFERROR(__xludf.DUMMYFUNCTION("""COMPUTED_VALUE"""),16.06)</f>
        <v>16.06</v>
      </c>
      <c r="E3703" s="2">
        <f>IFERROR(__xludf.DUMMYFUNCTION("""COMPUTED_VALUE"""),16.18)</f>
        <v>16.18</v>
      </c>
      <c r="F3703" s="2">
        <f>IFERROR(__xludf.DUMMYFUNCTION("""COMPUTED_VALUE"""),2970600.0)</f>
        <v>2970600</v>
      </c>
    </row>
    <row r="3704">
      <c r="A3704" s="3">
        <f>IFERROR(__xludf.DUMMYFUNCTION("""COMPUTED_VALUE"""),34569.666666666664)</f>
        <v>34569.66667</v>
      </c>
      <c r="B3704" s="2">
        <f>IFERROR(__xludf.DUMMYFUNCTION("""COMPUTED_VALUE"""),16.15)</f>
        <v>16.15</v>
      </c>
      <c r="C3704" s="2">
        <f>IFERROR(__xludf.DUMMYFUNCTION("""COMPUTED_VALUE"""),16.3)</f>
        <v>16.3</v>
      </c>
      <c r="D3704" s="2">
        <f>IFERROR(__xludf.DUMMYFUNCTION("""COMPUTED_VALUE"""),16.15)</f>
        <v>16.15</v>
      </c>
      <c r="E3704" s="2">
        <f>IFERROR(__xludf.DUMMYFUNCTION("""COMPUTED_VALUE"""),16.15)</f>
        <v>16.15</v>
      </c>
      <c r="F3704" s="2">
        <f>IFERROR(__xludf.DUMMYFUNCTION("""COMPUTED_VALUE"""),2911300.0)</f>
        <v>2911300</v>
      </c>
    </row>
    <row r="3705">
      <c r="A3705" s="3">
        <f>IFERROR(__xludf.DUMMYFUNCTION("""COMPUTED_VALUE"""),34570.666666666664)</f>
        <v>34570.66667</v>
      </c>
      <c r="B3705" s="2">
        <f>IFERROR(__xludf.DUMMYFUNCTION("""COMPUTED_VALUE"""),16.09)</f>
        <v>16.09</v>
      </c>
      <c r="C3705" s="2">
        <f>IFERROR(__xludf.DUMMYFUNCTION("""COMPUTED_VALUE"""),16.09)</f>
        <v>16.09</v>
      </c>
      <c r="D3705" s="2">
        <f>IFERROR(__xludf.DUMMYFUNCTION("""COMPUTED_VALUE"""),15.91)</f>
        <v>15.91</v>
      </c>
      <c r="E3705" s="2">
        <f>IFERROR(__xludf.DUMMYFUNCTION("""COMPUTED_VALUE"""),16.09)</f>
        <v>16.09</v>
      </c>
      <c r="F3705" s="2">
        <f>IFERROR(__xludf.DUMMYFUNCTION("""COMPUTED_VALUE"""),2799200.0)</f>
        <v>2799200</v>
      </c>
    </row>
    <row r="3706">
      <c r="A3706" s="3">
        <f>IFERROR(__xludf.DUMMYFUNCTION("""COMPUTED_VALUE"""),34571.666666666664)</f>
        <v>34571.66667</v>
      </c>
      <c r="B3706" s="2">
        <f>IFERROR(__xludf.DUMMYFUNCTION("""COMPUTED_VALUE"""),16.57)</f>
        <v>16.57</v>
      </c>
      <c r="C3706" s="2">
        <f>IFERROR(__xludf.DUMMYFUNCTION("""COMPUTED_VALUE"""),16.66)</f>
        <v>16.66</v>
      </c>
      <c r="D3706" s="2">
        <f>IFERROR(__xludf.DUMMYFUNCTION("""COMPUTED_VALUE"""),15.97)</f>
        <v>15.97</v>
      </c>
      <c r="E3706" s="2">
        <f>IFERROR(__xludf.DUMMYFUNCTION("""COMPUTED_VALUE"""),16.57)</f>
        <v>16.57</v>
      </c>
      <c r="F3706" s="2">
        <f>IFERROR(__xludf.DUMMYFUNCTION("""COMPUTED_VALUE"""),5273900.0)</f>
        <v>5273900</v>
      </c>
    </row>
    <row r="3707">
      <c r="A3707" s="3">
        <f>IFERROR(__xludf.DUMMYFUNCTION("""COMPUTED_VALUE"""),34572.666666666664)</f>
        <v>34572.66667</v>
      </c>
      <c r="B3707" s="2">
        <f>IFERROR(__xludf.DUMMYFUNCTION("""COMPUTED_VALUE"""),16.72)</f>
        <v>16.72</v>
      </c>
      <c r="C3707" s="2">
        <f>IFERROR(__xludf.DUMMYFUNCTION("""COMPUTED_VALUE"""),16.75)</f>
        <v>16.75</v>
      </c>
      <c r="D3707" s="2">
        <f>IFERROR(__xludf.DUMMYFUNCTION("""COMPUTED_VALUE"""),16.51)</f>
        <v>16.51</v>
      </c>
      <c r="E3707" s="2">
        <f>IFERROR(__xludf.DUMMYFUNCTION("""COMPUTED_VALUE"""),16.72)</f>
        <v>16.72</v>
      </c>
      <c r="F3707" s="2">
        <f>IFERROR(__xludf.DUMMYFUNCTION("""COMPUTED_VALUE"""),4144100.0)</f>
        <v>4144100</v>
      </c>
    </row>
    <row r="3708">
      <c r="A3708" s="3">
        <f>IFERROR(__xludf.DUMMYFUNCTION("""COMPUTED_VALUE"""),34575.666666666664)</f>
        <v>34575.66667</v>
      </c>
      <c r="B3708" s="2">
        <f>IFERROR(__xludf.DUMMYFUNCTION("""COMPUTED_VALUE"""),16.57)</f>
        <v>16.57</v>
      </c>
      <c r="C3708" s="2">
        <f>IFERROR(__xludf.DUMMYFUNCTION("""COMPUTED_VALUE"""),16.72)</f>
        <v>16.72</v>
      </c>
      <c r="D3708" s="2">
        <f>IFERROR(__xludf.DUMMYFUNCTION("""COMPUTED_VALUE"""),16.54)</f>
        <v>16.54</v>
      </c>
      <c r="E3708" s="2">
        <f>IFERROR(__xludf.DUMMYFUNCTION("""COMPUTED_VALUE"""),16.57)</f>
        <v>16.57</v>
      </c>
      <c r="F3708" s="2">
        <f>IFERROR(__xludf.DUMMYFUNCTION("""COMPUTED_VALUE"""),2314400.0)</f>
        <v>2314400</v>
      </c>
    </row>
    <row r="3709">
      <c r="A3709" s="3">
        <f>IFERROR(__xludf.DUMMYFUNCTION("""COMPUTED_VALUE"""),34576.666666666664)</f>
        <v>34576.66667</v>
      </c>
      <c r="B3709" s="2">
        <f>IFERROR(__xludf.DUMMYFUNCTION("""COMPUTED_VALUE"""),16.57)</f>
        <v>16.57</v>
      </c>
      <c r="C3709" s="2">
        <f>IFERROR(__xludf.DUMMYFUNCTION("""COMPUTED_VALUE"""),16.66)</f>
        <v>16.66</v>
      </c>
      <c r="D3709" s="2">
        <f>IFERROR(__xludf.DUMMYFUNCTION("""COMPUTED_VALUE"""),16.45)</f>
        <v>16.45</v>
      </c>
      <c r="E3709" s="2">
        <f>IFERROR(__xludf.DUMMYFUNCTION("""COMPUTED_VALUE"""),16.57)</f>
        <v>16.57</v>
      </c>
      <c r="F3709" s="2">
        <f>IFERROR(__xludf.DUMMYFUNCTION("""COMPUTED_VALUE"""),1871500.0)</f>
        <v>1871500</v>
      </c>
    </row>
    <row r="3710">
      <c r="A3710" s="3">
        <f>IFERROR(__xludf.DUMMYFUNCTION("""COMPUTED_VALUE"""),34577.666666666664)</f>
        <v>34577.66667</v>
      </c>
      <c r="B3710" s="2">
        <f>IFERROR(__xludf.DUMMYFUNCTION("""COMPUTED_VALUE"""),16.36)</f>
        <v>16.36</v>
      </c>
      <c r="C3710" s="2">
        <f>IFERROR(__xludf.DUMMYFUNCTION("""COMPUTED_VALUE"""),16.6)</f>
        <v>16.6</v>
      </c>
      <c r="D3710" s="2">
        <f>IFERROR(__xludf.DUMMYFUNCTION("""COMPUTED_VALUE"""),16.36)</f>
        <v>16.36</v>
      </c>
      <c r="E3710" s="2">
        <f>IFERROR(__xludf.DUMMYFUNCTION("""COMPUTED_VALUE"""),16.36)</f>
        <v>16.36</v>
      </c>
      <c r="F3710" s="2">
        <f>IFERROR(__xludf.DUMMYFUNCTION("""COMPUTED_VALUE"""),2471700.0)</f>
        <v>2471700</v>
      </c>
    </row>
    <row r="3711">
      <c r="A3711" s="3">
        <f>IFERROR(__xludf.DUMMYFUNCTION("""COMPUTED_VALUE"""),34578.666666666664)</f>
        <v>34578.66667</v>
      </c>
      <c r="B3711" s="2">
        <f>IFERROR(__xludf.DUMMYFUNCTION("""COMPUTED_VALUE"""),16.21)</f>
        <v>16.21</v>
      </c>
      <c r="C3711" s="2">
        <f>IFERROR(__xludf.DUMMYFUNCTION("""COMPUTED_VALUE"""),16.3)</f>
        <v>16.3</v>
      </c>
      <c r="D3711" s="2">
        <f>IFERROR(__xludf.DUMMYFUNCTION("""COMPUTED_VALUE"""),15.97)</f>
        <v>15.97</v>
      </c>
      <c r="E3711" s="2">
        <f>IFERROR(__xludf.DUMMYFUNCTION("""COMPUTED_VALUE"""),16.21)</f>
        <v>16.21</v>
      </c>
      <c r="F3711" s="2">
        <f>IFERROR(__xludf.DUMMYFUNCTION("""COMPUTED_VALUE"""),2778500.0)</f>
        <v>2778500</v>
      </c>
    </row>
    <row r="3712">
      <c r="A3712" s="3">
        <f>IFERROR(__xludf.DUMMYFUNCTION("""COMPUTED_VALUE"""),34579.666666666664)</f>
        <v>34579.66667</v>
      </c>
      <c r="B3712" s="2">
        <f>IFERROR(__xludf.DUMMYFUNCTION("""COMPUTED_VALUE"""),16.06)</f>
        <v>16.06</v>
      </c>
      <c r="C3712" s="2">
        <f>IFERROR(__xludf.DUMMYFUNCTION("""COMPUTED_VALUE"""),16.24)</f>
        <v>16.24</v>
      </c>
      <c r="D3712" s="2">
        <f>IFERROR(__xludf.DUMMYFUNCTION("""COMPUTED_VALUE"""),15.94)</f>
        <v>15.94</v>
      </c>
      <c r="E3712" s="2">
        <f>IFERROR(__xludf.DUMMYFUNCTION("""COMPUTED_VALUE"""),16.06)</f>
        <v>16.06</v>
      </c>
      <c r="F3712" s="2">
        <f>IFERROR(__xludf.DUMMYFUNCTION("""COMPUTED_VALUE"""),1464700.0)</f>
        <v>1464700</v>
      </c>
    </row>
    <row r="3713">
      <c r="A3713" s="3">
        <f>IFERROR(__xludf.DUMMYFUNCTION("""COMPUTED_VALUE"""),34583.666666666664)</f>
        <v>34583.66667</v>
      </c>
      <c r="B3713" s="2">
        <f>IFERROR(__xludf.DUMMYFUNCTION("""COMPUTED_VALUE"""),16.12)</f>
        <v>16.12</v>
      </c>
      <c r="C3713" s="2">
        <f>IFERROR(__xludf.DUMMYFUNCTION("""COMPUTED_VALUE"""),16.15)</f>
        <v>16.15</v>
      </c>
      <c r="D3713" s="2">
        <f>IFERROR(__xludf.DUMMYFUNCTION("""COMPUTED_VALUE"""),15.91)</f>
        <v>15.91</v>
      </c>
      <c r="E3713" s="2">
        <f>IFERROR(__xludf.DUMMYFUNCTION("""COMPUTED_VALUE"""),16.12)</f>
        <v>16.12</v>
      </c>
      <c r="F3713" s="2">
        <f>IFERROR(__xludf.DUMMYFUNCTION("""COMPUTED_VALUE"""),1246300.0)</f>
        <v>1246300</v>
      </c>
    </row>
    <row r="3714">
      <c r="A3714" s="3">
        <f>IFERROR(__xludf.DUMMYFUNCTION("""COMPUTED_VALUE"""),34584.666666666664)</f>
        <v>34584.66667</v>
      </c>
      <c r="B3714" s="2">
        <f>IFERROR(__xludf.DUMMYFUNCTION("""COMPUTED_VALUE"""),16.12)</f>
        <v>16.12</v>
      </c>
      <c r="C3714" s="2">
        <f>IFERROR(__xludf.DUMMYFUNCTION("""COMPUTED_VALUE"""),16.3)</f>
        <v>16.3</v>
      </c>
      <c r="D3714" s="2">
        <f>IFERROR(__xludf.DUMMYFUNCTION("""COMPUTED_VALUE"""),16.09)</f>
        <v>16.09</v>
      </c>
      <c r="E3714" s="2">
        <f>IFERROR(__xludf.DUMMYFUNCTION("""COMPUTED_VALUE"""),16.12)</f>
        <v>16.12</v>
      </c>
      <c r="F3714" s="2">
        <f>IFERROR(__xludf.DUMMYFUNCTION("""COMPUTED_VALUE"""),2030500.0)</f>
        <v>2030500</v>
      </c>
    </row>
    <row r="3715">
      <c r="A3715" s="3">
        <f>IFERROR(__xludf.DUMMYFUNCTION("""COMPUTED_VALUE"""),34585.666666666664)</f>
        <v>34585.66667</v>
      </c>
      <c r="B3715" s="2">
        <f>IFERROR(__xludf.DUMMYFUNCTION("""COMPUTED_VALUE"""),16.21)</f>
        <v>16.21</v>
      </c>
      <c r="C3715" s="2">
        <f>IFERROR(__xludf.DUMMYFUNCTION("""COMPUTED_VALUE"""),16.27)</f>
        <v>16.27</v>
      </c>
      <c r="D3715" s="2">
        <f>IFERROR(__xludf.DUMMYFUNCTION("""COMPUTED_VALUE"""),16.06)</f>
        <v>16.06</v>
      </c>
      <c r="E3715" s="2">
        <f>IFERROR(__xludf.DUMMYFUNCTION("""COMPUTED_VALUE"""),16.21)</f>
        <v>16.21</v>
      </c>
      <c r="F3715" s="2">
        <f>IFERROR(__xludf.DUMMYFUNCTION("""COMPUTED_VALUE"""),1364300.0)</f>
        <v>1364300</v>
      </c>
    </row>
    <row r="3716">
      <c r="A3716" s="3">
        <f>IFERROR(__xludf.DUMMYFUNCTION("""COMPUTED_VALUE"""),34586.666666666664)</f>
        <v>34586.66667</v>
      </c>
      <c r="B3716" s="2">
        <f>IFERROR(__xludf.DUMMYFUNCTION("""COMPUTED_VALUE"""),16.06)</f>
        <v>16.06</v>
      </c>
      <c r="C3716" s="2">
        <f>IFERROR(__xludf.DUMMYFUNCTION("""COMPUTED_VALUE"""),16.24)</f>
        <v>16.24</v>
      </c>
      <c r="D3716" s="2">
        <f>IFERROR(__xludf.DUMMYFUNCTION("""COMPUTED_VALUE"""),15.94)</f>
        <v>15.94</v>
      </c>
      <c r="E3716" s="2">
        <f>IFERROR(__xludf.DUMMYFUNCTION("""COMPUTED_VALUE"""),16.06)</f>
        <v>16.06</v>
      </c>
      <c r="F3716" s="2">
        <f>IFERROR(__xludf.DUMMYFUNCTION("""COMPUTED_VALUE"""),2309200.0)</f>
        <v>2309200</v>
      </c>
    </row>
    <row r="3717">
      <c r="A3717" s="3">
        <f>IFERROR(__xludf.DUMMYFUNCTION("""COMPUTED_VALUE"""),34589.666666666664)</f>
        <v>34589.66667</v>
      </c>
      <c r="B3717" s="2">
        <f>IFERROR(__xludf.DUMMYFUNCTION("""COMPUTED_VALUE"""),16.21)</f>
        <v>16.21</v>
      </c>
      <c r="C3717" s="2">
        <f>IFERROR(__xludf.DUMMYFUNCTION("""COMPUTED_VALUE"""),16.27)</f>
        <v>16.27</v>
      </c>
      <c r="D3717" s="2">
        <f>IFERROR(__xludf.DUMMYFUNCTION("""COMPUTED_VALUE"""),16.12)</f>
        <v>16.12</v>
      </c>
      <c r="E3717" s="2">
        <f>IFERROR(__xludf.DUMMYFUNCTION("""COMPUTED_VALUE"""),16.21)</f>
        <v>16.21</v>
      </c>
      <c r="F3717" s="2">
        <f>IFERROR(__xludf.DUMMYFUNCTION("""COMPUTED_VALUE"""),1205900.0)</f>
        <v>1205900</v>
      </c>
    </row>
    <row r="3718">
      <c r="A3718" s="3">
        <f>IFERROR(__xludf.DUMMYFUNCTION("""COMPUTED_VALUE"""),34590.666666666664)</f>
        <v>34590.66667</v>
      </c>
      <c r="B3718" s="2">
        <f>IFERROR(__xludf.DUMMYFUNCTION("""COMPUTED_VALUE"""),16.54)</f>
        <v>16.54</v>
      </c>
      <c r="C3718" s="2">
        <f>IFERROR(__xludf.DUMMYFUNCTION("""COMPUTED_VALUE"""),16.63)</f>
        <v>16.63</v>
      </c>
      <c r="D3718" s="2">
        <f>IFERROR(__xludf.DUMMYFUNCTION("""COMPUTED_VALUE"""),16.39)</f>
        <v>16.39</v>
      </c>
      <c r="E3718" s="2">
        <f>IFERROR(__xludf.DUMMYFUNCTION("""COMPUTED_VALUE"""),16.54)</f>
        <v>16.54</v>
      </c>
      <c r="F3718" s="2">
        <f>IFERROR(__xludf.DUMMYFUNCTION("""COMPUTED_VALUE"""),2904200.0)</f>
        <v>2904200</v>
      </c>
    </row>
    <row r="3719">
      <c r="A3719" s="3">
        <f>IFERROR(__xludf.DUMMYFUNCTION("""COMPUTED_VALUE"""),34591.666666666664)</f>
        <v>34591.66667</v>
      </c>
      <c r="B3719" s="2">
        <f>IFERROR(__xludf.DUMMYFUNCTION("""COMPUTED_VALUE"""),16.66)</f>
        <v>16.66</v>
      </c>
      <c r="C3719" s="2">
        <f>IFERROR(__xludf.DUMMYFUNCTION("""COMPUTED_VALUE"""),16.75)</f>
        <v>16.75</v>
      </c>
      <c r="D3719" s="2">
        <f>IFERROR(__xludf.DUMMYFUNCTION("""COMPUTED_VALUE"""),16.48)</f>
        <v>16.48</v>
      </c>
      <c r="E3719" s="2">
        <f>IFERROR(__xludf.DUMMYFUNCTION("""COMPUTED_VALUE"""),16.66)</f>
        <v>16.66</v>
      </c>
      <c r="F3719" s="2">
        <f>IFERROR(__xludf.DUMMYFUNCTION("""COMPUTED_VALUE"""),2536500.0)</f>
        <v>2536500</v>
      </c>
    </row>
    <row r="3720">
      <c r="A3720" s="3">
        <f>IFERROR(__xludf.DUMMYFUNCTION("""COMPUTED_VALUE"""),34592.666666666664)</f>
        <v>34592.66667</v>
      </c>
      <c r="B3720" s="2">
        <f>IFERROR(__xludf.DUMMYFUNCTION("""COMPUTED_VALUE"""),16.66)</f>
        <v>16.66</v>
      </c>
      <c r="C3720" s="2">
        <f>IFERROR(__xludf.DUMMYFUNCTION("""COMPUTED_VALUE"""),16.78)</f>
        <v>16.78</v>
      </c>
      <c r="D3720" s="2">
        <f>IFERROR(__xludf.DUMMYFUNCTION("""COMPUTED_VALUE"""),16.6)</f>
        <v>16.6</v>
      </c>
      <c r="E3720" s="2">
        <f>IFERROR(__xludf.DUMMYFUNCTION("""COMPUTED_VALUE"""),16.66)</f>
        <v>16.66</v>
      </c>
      <c r="F3720" s="2">
        <f>IFERROR(__xludf.DUMMYFUNCTION("""COMPUTED_VALUE"""),2057100.0)</f>
        <v>2057100</v>
      </c>
    </row>
    <row r="3721">
      <c r="A3721" s="3">
        <f>IFERROR(__xludf.DUMMYFUNCTION("""COMPUTED_VALUE"""),34593.666666666664)</f>
        <v>34593.66667</v>
      </c>
      <c r="B3721" s="2">
        <f>IFERROR(__xludf.DUMMYFUNCTION("""COMPUTED_VALUE"""),16.95)</f>
        <v>16.95</v>
      </c>
      <c r="C3721" s="2">
        <f>IFERROR(__xludf.DUMMYFUNCTION("""COMPUTED_VALUE"""),17.04)</f>
        <v>17.04</v>
      </c>
      <c r="D3721" s="2">
        <f>IFERROR(__xludf.DUMMYFUNCTION("""COMPUTED_VALUE"""),16.6)</f>
        <v>16.6</v>
      </c>
      <c r="E3721" s="2">
        <f>IFERROR(__xludf.DUMMYFUNCTION("""COMPUTED_VALUE"""),16.95)</f>
        <v>16.95</v>
      </c>
      <c r="F3721" s="2">
        <f>IFERROR(__xludf.DUMMYFUNCTION("""COMPUTED_VALUE"""),5149600.0)</f>
        <v>5149600</v>
      </c>
    </row>
    <row r="3722">
      <c r="A3722" s="3">
        <f>IFERROR(__xludf.DUMMYFUNCTION("""COMPUTED_VALUE"""),34596.666666666664)</f>
        <v>34596.66667</v>
      </c>
      <c r="B3722" s="2">
        <f>IFERROR(__xludf.DUMMYFUNCTION("""COMPUTED_VALUE"""),16.8)</f>
        <v>16.8</v>
      </c>
      <c r="C3722" s="2">
        <f>IFERROR(__xludf.DUMMYFUNCTION("""COMPUTED_VALUE"""),17.01)</f>
        <v>17.01</v>
      </c>
      <c r="D3722" s="2">
        <f>IFERROR(__xludf.DUMMYFUNCTION("""COMPUTED_VALUE"""),16.78)</f>
        <v>16.78</v>
      </c>
      <c r="E3722" s="2">
        <f>IFERROR(__xludf.DUMMYFUNCTION("""COMPUTED_VALUE"""),16.8)</f>
        <v>16.8</v>
      </c>
      <c r="F3722" s="2">
        <f>IFERROR(__xludf.DUMMYFUNCTION("""COMPUTED_VALUE"""),1848500.0)</f>
        <v>1848500</v>
      </c>
    </row>
    <row r="3723">
      <c r="A3723" s="3">
        <f>IFERROR(__xludf.DUMMYFUNCTION("""COMPUTED_VALUE"""),34597.666666666664)</f>
        <v>34597.66667</v>
      </c>
      <c r="B3723" s="2">
        <f>IFERROR(__xludf.DUMMYFUNCTION("""COMPUTED_VALUE"""),16.78)</f>
        <v>16.78</v>
      </c>
      <c r="C3723" s="2">
        <f>IFERROR(__xludf.DUMMYFUNCTION("""COMPUTED_VALUE"""),16.83)</f>
        <v>16.83</v>
      </c>
      <c r="D3723" s="2">
        <f>IFERROR(__xludf.DUMMYFUNCTION("""COMPUTED_VALUE"""),16.63)</f>
        <v>16.63</v>
      </c>
      <c r="E3723" s="2">
        <f>IFERROR(__xludf.DUMMYFUNCTION("""COMPUTED_VALUE"""),16.78)</f>
        <v>16.78</v>
      </c>
      <c r="F3723" s="2">
        <f>IFERROR(__xludf.DUMMYFUNCTION("""COMPUTED_VALUE"""),2745200.0)</f>
        <v>2745200</v>
      </c>
    </row>
    <row r="3724">
      <c r="A3724" s="3">
        <f>IFERROR(__xludf.DUMMYFUNCTION("""COMPUTED_VALUE"""),34598.666666666664)</f>
        <v>34598.66667</v>
      </c>
      <c r="B3724" s="2">
        <f>IFERROR(__xludf.DUMMYFUNCTION("""COMPUTED_VALUE"""),16.6)</f>
        <v>16.6</v>
      </c>
      <c r="C3724" s="2">
        <f>IFERROR(__xludf.DUMMYFUNCTION("""COMPUTED_VALUE"""),17.04)</f>
        <v>17.04</v>
      </c>
      <c r="D3724" s="2">
        <f>IFERROR(__xludf.DUMMYFUNCTION("""COMPUTED_VALUE"""),16.57)</f>
        <v>16.57</v>
      </c>
      <c r="E3724" s="2">
        <f>IFERROR(__xludf.DUMMYFUNCTION("""COMPUTED_VALUE"""),16.6)</f>
        <v>16.6</v>
      </c>
      <c r="F3724" s="2">
        <f>IFERROR(__xludf.DUMMYFUNCTION("""COMPUTED_VALUE"""),3637100.0)</f>
        <v>3637100</v>
      </c>
    </row>
    <row r="3725">
      <c r="A3725" s="3">
        <f>IFERROR(__xludf.DUMMYFUNCTION("""COMPUTED_VALUE"""),34599.666666666664)</f>
        <v>34599.66667</v>
      </c>
      <c r="B3725" s="2">
        <f>IFERROR(__xludf.DUMMYFUNCTION("""COMPUTED_VALUE"""),16.63)</f>
        <v>16.63</v>
      </c>
      <c r="C3725" s="2">
        <f>IFERROR(__xludf.DUMMYFUNCTION("""COMPUTED_VALUE"""),16.78)</f>
        <v>16.78</v>
      </c>
      <c r="D3725" s="2">
        <f>IFERROR(__xludf.DUMMYFUNCTION("""COMPUTED_VALUE"""),16.57)</f>
        <v>16.57</v>
      </c>
      <c r="E3725" s="2">
        <f>IFERROR(__xludf.DUMMYFUNCTION("""COMPUTED_VALUE"""),16.63)</f>
        <v>16.63</v>
      </c>
      <c r="F3725" s="2">
        <f>IFERROR(__xludf.DUMMYFUNCTION("""COMPUTED_VALUE"""),2120500.0)</f>
        <v>2120500</v>
      </c>
    </row>
    <row r="3726">
      <c r="A3726" s="3">
        <f>IFERROR(__xludf.DUMMYFUNCTION("""COMPUTED_VALUE"""),34600.666666666664)</f>
        <v>34600.66667</v>
      </c>
      <c r="B3726" s="2">
        <f>IFERROR(__xludf.DUMMYFUNCTION("""COMPUTED_VALUE"""),16.51)</f>
        <v>16.51</v>
      </c>
      <c r="C3726" s="2">
        <f>IFERROR(__xludf.DUMMYFUNCTION("""COMPUTED_VALUE"""),16.6)</f>
        <v>16.6</v>
      </c>
      <c r="D3726" s="2">
        <f>IFERROR(__xludf.DUMMYFUNCTION("""COMPUTED_VALUE"""),16.45)</f>
        <v>16.45</v>
      </c>
      <c r="E3726" s="2">
        <f>IFERROR(__xludf.DUMMYFUNCTION("""COMPUTED_VALUE"""),16.51)</f>
        <v>16.51</v>
      </c>
      <c r="F3726" s="2">
        <f>IFERROR(__xludf.DUMMYFUNCTION("""COMPUTED_VALUE"""),1760800.0)</f>
        <v>1760800</v>
      </c>
    </row>
    <row r="3727">
      <c r="A3727" s="3">
        <f>IFERROR(__xludf.DUMMYFUNCTION("""COMPUTED_VALUE"""),34603.666666666664)</f>
        <v>34603.66667</v>
      </c>
      <c r="B3727" s="2">
        <f>IFERROR(__xludf.DUMMYFUNCTION("""COMPUTED_VALUE"""),16.48)</f>
        <v>16.48</v>
      </c>
      <c r="C3727" s="2">
        <f>IFERROR(__xludf.DUMMYFUNCTION("""COMPUTED_VALUE"""),16.51)</f>
        <v>16.51</v>
      </c>
      <c r="D3727" s="2">
        <f>IFERROR(__xludf.DUMMYFUNCTION("""COMPUTED_VALUE"""),16.18)</f>
        <v>16.18</v>
      </c>
      <c r="E3727" s="2">
        <f>IFERROR(__xludf.DUMMYFUNCTION("""COMPUTED_VALUE"""),16.48)</f>
        <v>16.48</v>
      </c>
      <c r="F3727" s="2">
        <f>IFERROR(__xludf.DUMMYFUNCTION("""COMPUTED_VALUE"""),1764800.0)</f>
        <v>1764800</v>
      </c>
    </row>
    <row r="3728">
      <c r="A3728" s="3">
        <f>IFERROR(__xludf.DUMMYFUNCTION("""COMPUTED_VALUE"""),34604.666666666664)</f>
        <v>34604.66667</v>
      </c>
      <c r="B3728" s="2">
        <f>IFERROR(__xludf.DUMMYFUNCTION("""COMPUTED_VALUE"""),16.48)</f>
        <v>16.48</v>
      </c>
      <c r="C3728" s="2">
        <f>IFERROR(__xludf.DUMMYFUNCTION("""COMPUTED_VALUE"""),16.57)</f>
        <v>16.57</v>
      </c>
      <c r="D3728" s="2">
        <f>IFERROR(__xludf.DUMMYFUNCTION("""COMPUTED_VALUE"""),16.39)</f>
        <v>16.39</v>
      </c>
      <c r="E3728" s="2">
        <f>IFERROR(__xludf.DUMMYFUNCTION("""COMPUTED_VALUE"""),16.48)</f>
        <v>16.48</v>
      </c>
      <c r="F3728" s="2">
        <f>IFERROR(__xludf.DUMMYFUNCTION("""COMPUTED_VALUE"""),1115700.0)</f>
        <v>1115700</v>
      </c>
    </row>
    <row r="3729">
      <c r="A3729" s="3">
        <f>IFERROR(__xludf.DUMMYFUNCTION("""COMPUTED_VALUE"""),34605.666666666664)</f>
        <v>34605.66667</v>
      </c>
      <c r="B3729" s="2">
        <f>IFERROR(__xludf.DUMMYFUNCTION("""COMPUTED_VALUE"""),16.36)</f>
        <v>16.36</v>
      </c>
      <c r="C3729" s="2">
        <f>IFERROR(__xludf.DUMMYFUNCTION("""COMPUTED_VALUE"""),16.69)</f>
        <v>16.69</v>
      </c>
      <c r="D3729" s="2">
        <f>IFERROR(__xludf.DUMMYFUNCTION("""COMPUTED_VALUE"""),16.36)</f>
        <v>16.36</v>
      </c>
      <c r="E3729" s="2">
        <f>IFERROR(__xludf.DUMMYFUNCTION("""COMPUTED_VALUE"""),16.36)</f>
        <v>16.36</v>
      </c>
      <c r="F3729" s="2">
        <f>IFERROR(__xludf.DUMMYFUNCTION("""COMPUTED_VALUE"""),1300000.0)</f>
        <v>1300000</v>
      </c>
    </row>
    <row r="3730">
      <c r="A3730" s="3">
        <f>IFERROR(__xludf.DUMMYFUNCTION("""COMPUTED_VALUE"""),34606.666666666664)</f>
        <v>34606.66667</v>
      </c>
      <c r="B3730" s="2">
        <f>IFERROR(__xludf.DUMMYFUNCTION("""COMPUTED_VALUE"""),16.6)</f>
        <v>16.6</v>
      </c>
      <c r="C3730" s="2">
        <f>IFERROR(__xludf.DUMMYFUNCTION("""COMPUTED_VALUE"""),16.69)</f>
        <v>16.69</v>
      </c>
      <c r="D3730" s="2">
        <f>IFERROR(__xludf.DUMMYFUNCTION("""COMPUTED_VALUE"""),16.18)</f>
        <v>16.18</v>
      </c>
      <c r="E3730" s="2">
        <f>IFERROR(__xludf.DUMMYFUNCTION("""COMPUTED_VALUE"""),16.6)</f>
        <v>16.6</v>
      </c>
      <c r="F3730" s="2">
        <f>IFERROR(__xludf.DUMMYFUNCTION("""COMPUTED_VALUE"""),2306200.0)</f>
        <v>2306200</v>
      </c>
    </row>
    <row r="3731">
      <c r="A3731" s="3">
        <f>IFERROR(__xludf.DUMMYFUNCTION("""COMPUTED_VALUE"""),34607.666666666664)</f>
        <v>34607.66667</v>
      </c>
      <c r="B3731" s="2">
        <f>IFERROR(__xludf.DUMMYFUNCTION("""COMPUTED_VALUE"""),16.63)</f>
        <v>16.63</v>
      </c>
      <c r="C3731" s="2">
        <f>IFERROR(__xludf.DUMMYFUNCTION("""COMPUTED_VALUE"""),16.75)</f>
        <v>16.75</v>
      </c>
      <c r="D3731" s="2">
        <f>IFERROR(__xludf.DUMMYFUNCTION("""COMPUTED_VALUE"""),16.45)</f>
        <v>16.45</v>
      </c>
      <c r="E3731" s="2">
        <f>IFERROR(__xludf.DUMMYFUNCTION("""COMPUTED_VALUE"""),16.63)</f>
        <v>16.63</v>
      </c>
      <c r="F3731" s="2">
        <f>IFERROR(__xludf.DUMMYFUNCTION("""COMPUTED_VALUE"""),2039800.0)</f>
        <v>2039800</v>
      </c>
    </row>
    <row r="3732">
      <c r="A3732" s="3">
        <f>IFERROR(__xludf.DUMMYFUNCTION("""COMPUTED_VALUE"""),34610.666666666664)</f>
        <v>34610.66667</v>
      </c>
      <c r="B3732" s="2">
        <f>IFERROR(__xludf.DUMMYFUNCTION("""COMPUTED_VALUE"""),16.45)</f>
        <v>16.45</v>
      </c>
      <c r="C3732" s="2">
        <f>IFERROR(__xludf.DUMMYFUNCTION("""COMPUTED_VALUE"""),16.6)</f>
        <v>16.6</v>
      </c>
      <c r="D3732" s="2">
        <f>IFERROR(__xludf.DUMMYFUNCTION("""COMPUTED_VALUE"""),16.39)</f>
        <v>16.39</v>
      </c>
      <c r="E3732" s="2">
        <f>IFERROR(__xludf.DUMMYFUNCTION("""COMPUTED_VALUE"""),16.45)</f>
        <v>16.45</v>
      </c>
      <c r="F3732" s="2">
        <f>IFERROR(__xludf.DUMMYFUNCTION("""COMPUTED_VALUE"""),1166500.0)</f>
        <v>1166500</v>
      </c>
    </row>
    <row r="3733">
      <c r="A3733" s="3">
        <f>IFERROR(__xludf.DUMMYFUNCTION("""COMPUTED_VALUE"""),34611.666666666664)</f>
        <v>34611.66667</v>
      </c>
      <c r="B3733" s="2">
        <f>IFERROR(__xludf.DUMMYFUNCTION("""COMPUTED_VALUE"""),16.33)</f>
        <v>16.33</v>
      </c>
      <c r="C3733" s="2">
        <f>IFERROR(__xludf.DUMMYFUNCTION("""COMPUTED_VALUE"""),16.6)</f>
        <v>16.6</v>
      </c>
      <c r="D3733" s="2">
        <f>IFERROR(__xludf.DUMMYFUNCTION("""COMPUTED_VALUE"""),16.3)</f>
        <v>16.3</v>
      </c>
      <c r="E3733" s="2">
        <f>IFERROR(__xludf.DUMMYFUNCTION("""COMPUTED_VALUE"""),16.33)</f>
        <v>16.33</v>
      </c>
      <c r="F3733" s="2">
        <f>IFERROR(__xludf.DUMMYFUNCTION("""COMPUTED_VALUE"""),1720500.0)</f>
        <v>1720500</v>
      </c>
    </row>
    <row r="3734">
      <c r="A3734" s="3">
        <f>IFERROR(__xludf.DUMMYFUNCTION("""COMPUTED_VALUE"""),34612.666666666664)</f>
        <v>34612.66667</v>
      </c>
      <c r="B3734" s="2">
        <f>IFERROR(__xludf.DUMMYFUNCTION("""COMPUTED_VALUE"""),16.51)</f>
        <v>16.51</v>
      </c>
      <c r="C3734" s="2">
        <f>IFERROR(__xludf.DUMMYFUNCTION("""COMPUTED_VALUE"""),16.51)</f>
        <v>16.51</v>
      </c>
      <c r="D3734" s="2">
        <f>IFERROR(__xludf.DUMMYFUNCTION("""COMPUTED_VALUE"""),16.09)</f>
        <v>16.09</v>
      </c>
      <c r="E3734" s="2">
        <f>IFERROR(__xludf.DUMMYFUNCTION("""COMPUTED_VALUE"""),16.51)</f>
        <v>16.51</v>
      </c>
      <c r="F3734" s="2">
        <f>IFERROR(__xludf.DUMMYFUNCTION("""COMPUTED_VALUE"""),2691500.0)</f>
        <v>2691500</v>
      </c>
    </row>
    <row r="3735">
      <c r="A3735" s="3">
        <f>IFERROR(__xludf.DUMMYFUNCTION("""COMPUTED_VALUE"""),34613.666666666664)</f>
        <v>34613.66667</v>
      </c>
      <c r="B3735" s="2">
        <f>IFERROR(__xludf.DUMMYFUNCTION("""COMPUTED_VALUE"""),16.42)</f>
        <v>16.42</v>
      </c>
      <c r="C3735" s="2">
        <f>IFERROR(__xludf.DUMMYFUNCTION("""COMPUTED_VALUE"""),16.6)</f>
        <v>16.6</v>
      </c>
      <c r="D3735" s="2">
        <f>IFERROR(__xludf.DUMMYFUNCTION("""COMPUTED_VALUE"""),16.39)</f>
        <v>16.39</v>
      </c>
      <c r="E3735" s="2">
        <f>IFERROR(__xludf.DUMMYFUNCTION("""COMPUTED_VALUE"""),16.42)</f>
        <v>16.42</v>
      </c>
      <c r="F3735" s="2">
        <f>IFERROR(__xludf.DUMMYFUNCTION("""COMPUTED_VALUE"""),1809200.0)</f>
        <v>1809200</v>
      </c>
    </row>
    <row r="3736">
      <c r="A3736" s="3">
        <f>IFERROR(__xludf.DUMMYFUNCTION("""COMPUTED_VALUE"""),34614.666666666664)</f>
        <v>34614.66667</v>
      </c>
      <c r="B3736" s="2">
        <f>IFERROR(__xludf.DUMMYFUNCTION("""COMPUTED_VALUE"""),16.98)</f>
        <v>16.98</v>
      </c>
      <c r="C3736" s="2">
        <f>IFERROR(__xludf.DUMMYFUNCTION("""COMPUTED_VALUE"""),17.13)</f>
        <v>17.13</v>
      </c>
      <c r="D3736" s="2">
        <f>IFERROR(__xludf.DUMMYFUNCTION("""COMPUTED_VALUE"""),16.42)</f>
        <v>16.42</v>
      </c>
      <c r="E3736" s="2">
        <f>IFERROR(__xludf.DUMMYFUNCTION("""COMPUTED_VALUE"""),16.98)</f>
        <v>16.98</v>
      </c>
      <c r="F3736" s="2">
        <f>IFERROR(__xludf.DUMMYFUNCTION("""COMPUTED_VALUE"""),4495600.0)</f>
        <v>4495600</v>
      </c>
    </row>
    <row r="3737">
      <c r="A3737" s="3">
        <f>IFERROR(__xludf.DUMMYFUNCTION("""COMPUTED_VALUE"""),34617.666666666664)</f>
        <v>34617.66667</v>
      </c>
      <c r="B3737" s="2">
        <f>IFERROR(__xludf.DUMMYFUNCTION("""COMPUTED_VALUE"""),17.07)</f>
        <v>17.07</v>
      </c>
      <c r="C3737" s="2">
        <f>IFERROR(__xludf.DUMMYFUNCTION("""COMPUTED_VALUE"""),17.16)</f>
        <v>17.16</v>
      </c>
      <c r="D3737" s="2">
        <f>IFERROR(__xludf.DUMMYFUNCTION("""COMPUTED_VALUE"""),16.89)</f>
        <v>16.89</v>
      </c>
      <c r="E3737" s="2">
        <f>IFERROR(__xludf.DUMMYFUNCTION("""COMPUTED_VALUE"""),17.07)</f>
        <v>17.07</v>
      </c>
      <c r="F3737" s="2">
        <f>IFERROR(__xludf.DUMMYFUNCTION("""COMPUTED_VALUE"""),1804900.0)</f>
        <v>1804900</v>
      </c>
    </row>
    <row r="3738">
      <c r="A3738" s="3">
        <f>IFERROR(__xludf.DUMMYFUNCTION("""COMPUTED_VALUE"""),34618.666666666664)</f>
        <v>34618.66667</v>
      </c>
      <c r="B3738" s="2">
        <f>IFERROR(__xludf.DUMMYFUNCTION("""COMPUTED_VALUE"""),17.1)</f>
        <v>17.1</v>
      </c>
      <c r="C3738" s="2">
        <f>IFERROR(__xludf.DUMMYFUNCTION("""COMPUTED_VALUE"""),17.28)</f>
        <v>17.28</v>
      </c>
      <c r="D3738" s="2">
        <f>IFERROR(__xludf.DUMMYFUNCTION("""COMPUTED_VALUE"""),17.07)</f>
        <v>17.07</v>
      </c>
      <c r="E3738" s="2">
        <f>IFERROR(__xludf.DUMMYFUNCTION("""COMPUTED_VALUE"""),17.1)</f>
        <v>17.1</v>
      </c>
      <c r="F3738" s="2">
        <f>IFERROR(__xludf.DUMMYFUNCTION("""COMPUTED_VALUE"""),2807600.0)</f>
        <v>2807600</v>
      </c>
    </row>
    <row r="3739">
      <c r="A3739" s="3">
        <f>IFERROR(__xludf.DUMMYFUNCTION("""COMPUTED_VALUE"""),34619.666666666664)</f>
        <v>34619.66667</v>
      </c>
      <c r="B3739" s="2">
        <f>IFERROR(__xludf.DUMMYFUNCTION("""COMPUTED_VALUE"""),17.46)</f>
        <v>17.46</v>
      </c>
      <c r="C3739" s="2">
        <f>IFERROR(__xludf.DUMMYFUNCTION("""COMPUTED_VALUE"""),17.55)</f>
        <v>17.55</v>
      </c>
      <c r="D3739" s="2">
        <f>IFERROR(__xludf.DUMMYFUNCTION("""COMPUTED_VALUE"""),16.95)</f>
        <v>16.95</v>
      </c>
      <c r="E3739" s="2">
        <f>IFERROR(__xludf.DUMMYFUNCTION("""COMPUTED_VALUE"""),17.46)</f>
        <v>17.46</v>
      </c>
      <c r="F3739" s="2">
        <f>IFERROR(__xludf.DUMMYFUNCTION("""COMPUTED_VALUE"""),3230100.0)</f>
        <v>3230100</v>
      </c>
    </row>
    <row r="3740">
      <c r="A3740" s="3">
        <f>IFERROR(__xludf.DUMMYFUNCTION("""COMPUTED_VALUE"""),34620.666666666664)</f>
        <v>34620.66667</v>
      </c>
      <c r="B3740" s="2">
        <f>IFERROR(__xludf.DUMMYFUNCTION("""COMPUTED_VALUE"""),17.25)</f>
        <v>17.25</v>
      </c>
      <c r="C3740" s="2">
        <f>IFERROR(__xludf.DUMMYFUNCTION("""COMPUTED_VALUE"""),17.7)</f>
        <v>17.7</v>
      </c>
      <c r="D3740" s="2">
        <f>IFERROR(__xludf.DUMMYFUNCTION("""COMPUTED_VALUE"""),17.25)</f>
        <v>17.25</v>
      </c>
      <c r="E3740" s="2">
        <f>IFERROR(__xludf.DUMMYFUNCTION("""COMPUTED_VALUE"""),17.25)</f>
        <v>17.25</v>
      </c>
      <c r="F3740" s="2">
        <f>IFERROR(__xludf.DUMMYFUNCTION("""COMPUTED_VALUE"""),2341600.0)</f>
        <v>2341600</v>
      </c>
    </row>
    <row r="3741">
      <c r="A3741" s="3">
        <f>IFERROR(__xludf.DUMMYFUNCTION("""COMPUTED_VALUE"""),34621.666666666664)</f>
        <v>34621.66667</v>
      </c>
      <c r="B3741" s="2">
        <f>IFERROR(__xludf.DUMMYFUNCTION("""COMPUTED_VALUE"""),17.46)</f>
        <v>17.46</v>
      </c>
      <c r="C3741" s="2">
        <f>IFERROR(__xludf.DUMMYFUNCTION("""COMPUTED_VALUE"""),17.46)</f>
        <v>17.46</v>
      </c>
      <c r="D3741" s="2">
        <f>IFERROR(__xludf.DUMMYFUNCTION("""COMPUTED_VALUE"""),17.16)</f>
        <v>17.16</v>
      </c>
      <c r="E3741" s="2">
        <f>IFERROR(__xludf.DUMMYFUNCTION("""COMPUTED_VALUE"""),17.46)</f>
        <v>17.46</v>
      </c>
      <c r="F3741" s="2">
        <f>IFERROR(__xludf.DUMMYFUNCTION("""COMPUTED_VALUE"""),2040800.0)</f>
        <v>2040800</v>
      </c>
    </row>
    <row r="3742">
      <c r="A3742" s="3">
        <f>IFERROR(__xludf.DUMMYFUNCTION("""COMPUTED_VALUE"""),34624.666666666664)</f>
        <v>34624.66667</v>
      </c>
      <c r="B3742" s="2">
        <f>IFERROR(__xludf.DUMMYFUNCTION("""COMPUTED_VALUE"""),17.49)</f>
        <v>17.49</v>
      </c>
      <c r="C3742" s="2">
        <f>IFERROR(__xludf.DUMMYFUNCTION("""COMPUTED_VALUE"""),17.61)</f>
        <v>17.61</v>
      </c>
      <c r="D3742" s="2">
        <f>IFERROR(__xludf.DUMMYFUNCTION("""COMPUTED_VALUE"""),17.37)</f>
        <v>17.37</v>
      </c>
      <c r="E3742" s="2">
        <f>IFERROR(__xludf.DUMMYFUNCTION("""COMPUTED_VALUE"""),17.49)</f>
        <v>17.49</v>
      </c>
      <c r="F3742" s="2">
        <f>IFERROR(__xludf.DUMMYFUNCTION("""COMPUTED_VALUE"""),1536400.0)</f>
        <v>1536400</v>
      </c>
    </row>
    <row r="3743">
      <c r="A3743" s="3">
        <f>IFERROR(__xludf.DUMMYFUNCTION("""COMPUTED_VALUE"""),34625.666666666664)</f>
        <v>34625.66667</v>
      </c>
      <c r="B3743" s="2">
        <f>IFERROR(__xludf.DUMMYFUNCTION("""COMPUTED_VALUE"""),17.76)</f>
        <v>17.76</v>
      </c>
      <c r="C3743" s="2">
        <f>IFERROR(__xludf.DUMMYFUNCTION("""COMPUTED_VALUE"""),17.79)</f>
        <v>17.79</v>
      </c>
      <c r="D3743" s="2">
        <f>IFERROR(__xludf.DUMMYFUNCTION("""COMPUTED_VALUE"""),17.52)</f>
        <v>17.52</v>
      </c>
      <c r="E3743" s="2">
        <f>IFERROR(__xludf.DUMMYFUNCTION("""COMPUTED_VALUE"""),17.76)</f>
        <v>17.76</v>
      </c>
      <c r="F3743" s="2">
        <f>IFERROR(__xludf.DUMMYFUNCTION("""COMPUTED_VALUE"""),2463400.0)</f>
        <v>2463400</v>
      </c>
    </row>
    <row r="3744">
      <c r="A3744" s="3">
        <f>IFERROR(__xludf.DUMMYFUNCTION("""COMPUTED_VALUE"""),34626.666666666664)</f>
        <v>34626.66667</v>
      </c>
      <c r="B3744" s="2">
        <f>IFERROR(__xludf.DUMMYFUNCTION("""COMPUTED_VALUE"""),18.0)</f>
        <v>18</v>
      </c>
      <c r="C3744" s="2">
        <f>IFERROR(__xludf.DUMMYFUNCTION("""COMPUTED_VALUE"""),18.09)</f>
        <v>18.09</v>
      </c>
      <c r="D3744" s="2">
        <f>IFERROR(__xludf.DUMMYFUNCTION("""COMPUTED_VALUE"""),17.61)</f>
        <v>17.61</v>
      </c>
      <c r="E3744" s="2">
        <f>IFERROR(__xludf.DUMMYFUNCTION("""COMPUTED_VALUE"""),18.0)</f>
        <v>18</v>
      </c>
      <c r="F3744" s="2">
        <f>IFERROR(__xludf.DUMMYFUNCTION("""COMPUTED_VALUE"""),3934200.0)</f>
        <v>3934200</v>
      </c>
    </row>
    <row r="3745">
      <c r="A3745" s="3">
        <f>IFERROR(__xludf.DUMMYFUNCTION("""COMPUTED_VALUE"""),34627.666666666664)</f>
        <v>34627.66667</v>
      </c>
      <c r="B3745" s="2">
        <f>IFERROR(__xludf.DUMMYFUNCTION("""COMPUTED_VALUE"""),17.91)</f>
        <v>17.91</v>
      </c>
      <c r="C3745" s="2">
        <f>IFERROR(__xludf.DUMMYFUNCTION("""COMPUTED_VALUE"""),18.18)</f>
        <v>18.18</v>
      </c>
      <c r="D3745" s="2">
        <f>IFERROR(__xludf.DUMMYFUNCTION("""COMPUTED_VALUE"""),17.64)</f>
        <v>17.64</v>
      </c>
      <c r="E3745" s="2">
        <f>IFERROR(__xludf.DUMMYFUNCTION("""COMPUTED_VALUE"""),17.91)</f>
        <v>17.91</v>
      </c>
      <c r="F3745" s="2">
        <f>IFERROR(__xludf.DUMMYFUNCTION("""COMPUTED_VALUE"""),5216900.0)</f>
        <v>5216900</v>
      </c>
    </row>
    <row r="3746">
      <c r="A3746" s="3">
        <f>IFERROR(__xludf.DUMMYFUNCTION("""COMPUTED_VALUE"""),34628.666666666664)</f>
        <v>34628.66667</v>
      </c>
      <c r="B3746" s="2">
        <f>IFERROR(__xludf.DUMMYFUNCTION("""COMPUTED_VALUE"""),17.82)</f>
        <v>17.82</v>
      </c>
      <c r="C3746" s="2">
        <f>IFERROR(__xludf.DUMMYFUNCTION("""COMPUTED_VALUE"""),18.0)</f>
        <v>18</v>
      </c>
      <c r="D3746" s="2">
        <f>IFERROR(__xludf.DUMMYFUNCTION("""COMPUTED_VALUE"""),17.7)</f>
        <v>17.7</v>
      </c>
      <c r="E3746" s="2">
        <f>IFERROR(__xludf.DUMMYFUNCTION("""COMPUTED_VALUE"""),17.82)</f>
        <v>17.82</v>
      </c>
      <c r="F3746" s="2">
        <f>IFERROR(__xludf.DUMMYFUNCTION("""COMPUTED_VALUE"""),3368400.0)</f>
        <v>3368400</v>
      </c>
    </row>
    <row r="3747">
      <c r="A3747" s="3">
        <f>IFERROR(__xludf.DUMMYFUNCTION("""COMPUTED_VALUE"""),34631.666666666664)</f>
        <v>34631.66667</v>
      </c>
      <c r="B3747" s="2">
        <f>IFERROR(__xludf.DUMMYFUNCTION("""COMPUTED_VALUE"""),17.43)</f>
        <v>17.43</v>
      </c>
      <c r="C3747" s="2">
        <f>IFERROR(__xludf.DUMMYFUNCTION("""COMPUTED_VALUE"""),17.82)</f>
        <v>17.82</v>
      </c>
      <c r="D3747" s="2">
        <f>IFERROR(__xludf.DUMMYFUNCTION("""COMPUTED_VALUE"""),17.4)</f>
        <v>17.4</v>
      </c>
      <c r="E3747" s="2">
        <f>IFERROR(__xludf.DUMMYFUNCTION("""COMPUTED_VALUE"""),17.43)</f>
        <v>17.43</v>
      </c>
      <c r="F3747" s="2">
        <f>IFERROR(__xludf.DUMMYFUNCTION("""COMPUTED_VALUE"""),2615200.0)</f>
        <v>2615200</v>
      </c>
    </row>
    <row r="3748">
      <c r="A3748" s="3">
        <f>IFERROR(__xludf.DUMMYFUNCTION("""COMPUTED_VALUE"""),34632.666666666664)</f>
        <v>34632.66667</v>
      </c>
      <c r="B3748" s="2">
        <f>IFERROR(__xludf.DUMMYFUNCTION("""COMPUTED_VALUE"""),17.64)</f>
        <v>17.64</v>
      </c>
      <c r="C3748" s="2">
        <f>IFERROR(__xludf.DUMMYFUNCTION("""COMPUTED_VALUE"""),17.76)</f>
        <v>17.76</v>
      </c>
      <c r="D3748" s="2">
        <f>IFERROR(__xludf.DUMMYFUNCTION("""COMPUTED_VALUE"""),17.34)</f>
        <v>17.34</v>
      </c>
      <c r="E3748" s="2">
        <f>IFERROR(__xludf.DUMMYFUNCTION("""COMPUTED_VALUE"""),17.64)</f>
        <v>17.64</v>
      </c>
      <c r="F3748" s="2">
        <f>IFERROR(__xludf.DUMMYFUNCTION("""COMPUTED_VALUE"""),2829600.0)</f>
        <v>2829600</v>
      </c>
    </row>
    <row r="3749">
      <c r="A3749" s="3">
        <f>IFERROR(__xludf.DUMMYFUNCTION("""COMPUTED_VALUE"""),34633.666666666664)</f>
        <v>34633.66667</v>
      </c>
      <c r="B3749" s="2">
        <f>IFERROR(__xludf.DUMMYFUNCTION("""COMPUTED_VALUE"""),17.76)</f>
        <v>17.76</v>
      </c>
      <c r="C3749" s="2">
        <f>IFERROR(__xludf.DUMMYFUNCTION("""COMPUTED_VALUE"""),17.79)</f>
        <v>17.79</v>
      </c>
      <c r="D3749" s="2">
        <f>IFERROR(__xludf.DUMMYFUNCTION("""COMPUTED_VALUE"""),17.58)</f>
        <v>17.58</v>
      </c>
      <c r="E3749" s="2">
        <f>IFERROR(__xludf.DUMMYFUNCTION("""COMPUTED_VALUE"""),17.76)</f>
        <v>17.76</v>
      </c>
      <c r="F3749" s="2">
        <f>IFERROR(__xludf.DUMMYFUNCTION("""COMPUTED_VALUE"""),2439800.0)</f>
        <v>2439800</v>
      </c>
    </row>
    <row r="3750">
      <c r="A3750" s="3">
        <f>IFERROR(__xludf.DUMMYFUNCTION("""COMPUTED_VALUE"""),34634.666666666664)</f>
        <v>34634.66667</v>
      </c>
      <c r="B3750" s="2">
        <f>IFERROR(__xludf.DUMMYFUNCTION("""COMPUTED_VALUE"""),17.7)</f>
        <v>17.7</v>
      </c>
      <c r="C3750" s="2">
        <f>IFERROR(__xludf.DUMMYFUNCTION("""COMPUTED_VALUE"""),17.82)</f>
        <v>17.82</v>
      </c>
      <c r="D3750" s="2">
        <f>IFERROR(__xludf.DUMMYFUNCTION("""COMPUTED_VALUE"""),17.61)</f>
        <v>17.61</v>
      </c>
      <c r="E3750" s="2">
        <f>IFERROR(__xludf.DUMMYFUNCTION("""COMPUTED_VALUE"""),17.7)</f>
        <v>17.7</v>
      </c>
      <c r="F3750" s="2">
        <f>IFERROR(__xludf.DUMMYFUNCTION("""COMPUTED_VALUE"""),1249600.0)</f>
        <v>1249600</v>
      </c>
    </row>
    <row r="3751">
      <c r="A3751" s="3">
        <f>IFERROR(__xludf.DUMMYFUNCTION("""COMPUTED_VALUE"""),34635.666666666664)</f>
        <v>34635.66667</v>
      </c>
      <c r="B3751" s="2">
        <f>IFERROR(__xludf.DUMMYFUNCTION("""COMPUTED_VALUE"""),18.18)</f>
        <v>18.18</v>
      </c>
      <c r="C3751" s="2">
        <f>IFERROR(__xludf.DUMMYFUNCTION("""COMPUTED_VALUE"""),18.24)</f>
        <v>18.24</v>
      </c>
      <c r="D3751" s="2">
        <f>IFERROR(__xludf.DUMMYFUNCTION("""COMPUTED_VALUE"""),17.7)</f>
        <v>17.7</v>
      </c>
      <c r="E3751" s="2">
        <f>IFERROR(__xludf.DUMMYFUNCTION("""COMPUTED_VALUE"""),18.18)</f>
        <v>18.18</v>
      </c>
      <c r="F3751" s="2">
        <f>IFERROR(__xludf.DUMMYFUNCTION("""COMPUTED_VALUE"""),2713300.0)</f>
        <v>2713300</v>
      </c>
    </row>
    <row r="3752">
      <c r="A3752" s="3">
        <f>IFERROR(__xludf.DUMMYFUNCTION("""COMPUTED_VALUE"""),34638.666666666664)</f>
        <v>34638.66667</v>
      </c>
      <c r="B3752" s="2">
        <f>IFERROR(__xludf.DUMMYFUNCTION("""COMPUTED_VALUE"""),17.95)</f>
        <v>17.95</v>
      </c>
      <c r="C3752" s="2">
        <f>IFERROR(__xludf.DUMMYFUNCTION("""COMPUTED_VALUE"""),18.06)</f>
        <v>18.06</v>
      </c>
      <c r="D3752" s="2">
        <f>IFERROR(__xludf.DUMMYFUNCTION("""COMPUTED_VALUE"""),17.79)</f>
        <v>17.79</v>
      </c>
      <c r="E3752" s="2">
        <f>IFERROR(__xludf.DUMMYFUNCTION("""COMPUTED_VALUE"""),17.79)</f>
        <v>17.79</v>
      </c>
      <c r="F3752" s="2">
        <f>IFERROR(__xludf.DUMMYFUNCTION("""COMPUTED_VALUE"""),1926400.0)</f>
        <v>1926400</v>
      </c>
    </row>
    <row r="3753">
      <c r="A3753" s="3">
        <f>IFERROR(__xludf.DUMMYFUNCTION("""COMPUTED_VALUE"""),34639.666666666664)</f>
        <v>34639.66667</v>
      </c>
      <c r="B3753" s="2">
        <f>IFERROR(__xludf.DUMMYFUNCTION("""COMPUTED_VALUE"""),17.65)</f>
        <v>17.65</v>
      </c>
      <c r="C3753" s="2">
        <f>IFERROR(__xludf.DUMMYFUNCTION("""COMPUTED_VALUE"""),17.97)</f>
        <v>17.97</v>
      </c>
      <c r="D3753" s="2">
        <f>IFERROR(__xludf.DUMMYFUNCTION("""COMPUTED_VALUE"""),17.55)</f>
        <v>17.55</v>
      </c>
      <c r="E3753" s="2">
        <f>IFERROR(__xludf.DUMMYFUNCTION("""COMPUTED_VALUE"""),17.64)</f>
        <v>17.64</v>
      </c>
      <c r="F3753" s="2">
        <f>IFERROR(__xludf.DUMMYFUNCTION("""COMPUTED_VALUE"""),2500000.0)</f>
        <v>2500000</v>
      </c>
    </row>
    <row r="3754">
      <c r="A3754" s="3">
        <f>IFERROR(__xludf.DUMMYFUNCTION("""COMPUTED_VALUE"""),34640.666666666664)</f>
        <v>34640.66667</v>
      </c>
      <c r="B3754" s="2">
        <f>IFERROR(__xludf.DUMMYFUNCTION("""COMPUTED_VALUE"""),17.73)</f>
        <v>17.73</v>
      </c>
      <c r="C3754" s="2">
        <f>IFERROR(__xludf.DUMMYFUNCTION("""COMPUTED_VALUE"""),17.97)</f>
        <v>17.97</v>
      </c>
      <c r="D3754" s="2">
        <f>IFERROR(__xludf.DUMMYFUNCTION("""COMPUTED_VALUE"""),17.61)</f>
        <v>17.61</v>
      </c>
      <c r="E3754" s="2">
        <f>IFERROR(__xludf.DUMMYFUNCTION("""COMPUTED_VALUE"""),17.73)</f>
        <v>17.73</v>
      </c>
      <c r="F3754" s="2">
        <f>IFERROR(__xludf.DUMMYFUNCTION("""COMPUTED_VALUE"""),2669600.0)</f>
        <v>2669600</v>
      </c>
    </row>
    <row r="3755">
      <c r="A3755" s="3">
        <f>IFERROR(__xludf.DUMMYFUNCTION("""COMPUTED_VALUE"""),34641.666666666664)</f>
        <v>34641.66667</v>
      </c>
      <c r="B3755" s="2">
        <f>IFERROR(__xludf.DUMMYFUNCTION("""COMPUTED_VALUE"""),17.68)</f>
        <v>17.68</v>
      </c>
      <c r="C3755" s="2">
        <f>IFERROR(__xludf.DUMMYFUNCTION("""COMPUTED_VALUE"""),17.82)</f>
        <v>17.82</v>
      </c>
      <c r="D3755" s="2">
        <f>IFERROR(__xludf.DUMMYFUNCTION("""COMPUTED_VALUE"""),17.46)</f>
        <v>17.46</v>
      </c>
      <c r="E3755" s="2">
        <f>IFERROR(__xludf.DUMMYFUNCTION("""COMPUTED_VALUE"""),17.55)</f>
        <v>17.55</v>
      </c>
      <c r="F3755" s="2">
        <f>IFERROR(__xludf.DUMMYFUNCTION("""COMPUTED_VALUE"""),1612600.0)</f>
        <v>1612600</v>
      </c>
    </row>
    <row r="3756">
      <c r="A3756" s="3">
        <f>IFERROR(__xludf.DUMMYFUNCTION("""COMPUTED_VALUE"""),34642.666666666664)</f>
        <v>34642.66667</v>
      </c>
      <c r="B3756" s="2">
        <f>IFERROR(__xludf.DUMMYFUNCTION("""COMPUTED_VALUE"""),17.41)</f>
        <v>17.41</v>
      </c>
      <c r="C3756" s="2">
        <f>IFERROR(__xludf.DUMMYFUNCTION("""COMPUTED_VALUE"""),17.55)</f>
        <v>17.55</v>
      </c>
      <c r="D3756" s="2">
        <f>IFERROR(__xludf.DUMMYFUNCTION("""COMPUTED_VALUE"""),16.98)</f>
        <v>16.98</v>
      </c>
      <c r="E3756" s="2">
        <f>IFERROR(__xludf.DUMMYFUNCTION("""COMPUTED_VALUE"""),17.01)</f>
        <v>17.01</v>
      </c>
      <c r="F3756" s="2">
        <f>IFERROR(__xludf.DUMMYFUNCTION("""COMPUTED_VALUE"""),3200200.0)</f>
        <v>3200200</v>
      </c>
    </row>
    <row r="3757">
      <c r="A3757" s="3">
        <f>IFERROR(__xludf.DUMMYFUNCTION("""COMPUTED_VALUE"""),34645.666666666664)</f>
        <v>34645.66667</v>
      </c>
      <c r="B3757" s="2">
        <f>IFERROR(__xludf.DUMMYFUNCTION("""COMPUTED_VALUE"""),16.94)</f>
        <v>16.94</v>
      </c>
      <c r="C3757" s="2">
        <f>IFERROR(__xludf.DUMMYFUNCTION("""COMPUTED_VALUE"""),17.25)</f>
        <v>17.25</v>
      </c>
      <c r="D3757" s="2">
        <f>IFERROR(__xludf.DUMMYFUNCTION("""COMPUTED_VALUE"""),16.89)</f>
        <v>16.89</v>
      </c>
      <c r="E3757" s="2">
        <f>IFERROR(__xludf.DUMMYFUNCTION("""COMPUTED_VALUE"""),17.16)</f>
        <v>17.16</v>
      </c>
      <c r="F3757" s="2">
        <f>IFERROR(__xludf.DUMMYFUNCTION("""COMPUTED_VALUE"""),2278900.0)</f>
        <v>2278900</v>
      </c>
    </row>
    <row r="3758">
      <c r="A3758" s="3">
        <f>IFERROR(__xludf.DUMMYFUNCTION("""COMPUTED_VALUE"""),34646.666666666664)</f>
        <v>34646.66667</v>
      </c>
      <c r="B3758" s="2">
        <f>IFERROR(__xludf.DUMMYFUNCTION("""COMPUTED_VALUE"""),17.43)</f>
        <v>17.43</v>
      </c>
      <c r="C3758" s="2">
        <f>IFERROR(__xludf.DUMMYFUNCTION("""COMPUTED_VALUE"""),17.55)</f>
        <v>17.55</v>
      </c>
      <c r="D3758" s="2">
        <f>IFERROR(__xludf.DUMMYFUNCTION("""COMPUTED_VALUE"""),17.04)</f>
        <v>17.04</v>
      </c>
      <c r="E3758" s="2">
        <f>IFERROR(__xludf.DUMMYFUNCTION("""COMPUTED_VALUE"""),17.43)</f>
        <v>17.43</v>
      </c>
      <c r="F3758" s="2">
        <f>IFERROR(__xludf.DUMMYFUNCTION("""COMPUTED_VALUE"""),1869000.0)</f>
        <v>1869000</v>
      </c>
    </row>
    <row r="3759">
      <c r="A3759" s="3">
        <f>IFERROR(__xludf.DUMMYFUNCTION("""COMPUTED_VALUE"""),34647.666666666664)</f>
        <v>34647.66667</v>
      </c>
      <c r="B3759" s="2">
        <f>IFERROR(__xludf.DUMMYFUNCTION("""COMPUTED_VALUE"""),17.51)</f>
        <v>17.51</v>
      </c>
      <c r="C3759" s="2">
        <f>IFERROR(__xludf.DUMMYFUNCTION("""COMPUTED_VALUE"""),17.76)</f>
        <v>17.76</v>
      </c>
      <c r="D3759" s="2">
        <f>IFERROR(__xludf.DUMMYFUNCTION("""COMPUTED_VALUE"""),17.49)</f>
        <v>17.49</v>
      </c>
      <c r="E3759" s="2">
        <f>IFERROR(__xludf.DUMMYFUNCTION("""COMPUTED_VALUE"""),17.67)</f>
        <v>17.67</v>
      </c>
      <c r="F3759" s="2">
        <f>IFERROR(__xludf.DUMMYFUNCTION("""COMPUTED_VALUE"""),2617100.0)</f>
        <v>2617100</v>
      </c>
    </row>
    <row r="3760">
      <c r="A3760" s="3">
        <f>IFERROR(__xludf.DUMMYFUNCTION("""COMPUTED_VALUE"""),34648.666666666664)</f>
        <v>34648.66667</v>
      </c>
      <c r="B3760" s="2">
        <f>IFERROR(__xludf.DUMMYFUNCTION("""COMPUTED_VALUE"""),17.44)</f>
        <v>17.44</v>
      </c>
      <c r="C3760" s="2">
        <f>IFERROR(__xludf.DUMMYFUNCTION("""COMPUTED_VALUE"""),17.58)</f>
        <v>17.58</v>
      </c>
      <c r="D3760" s="2">
        <f>IFERROR(__xludf.DUMMYFUNCTION("""COMPUTED_VALUE"""),17.1)</f>
        <v>17.1</v>
      </c>
      <c r="E3760" s="2">
        <f>IFERROR(__xludf.DUMMYFUNCTION("""COMPUTED_VALUE"""),17.22)</f>
        <v>17.22</v>
      </c>
      <c r="F3760" s="2">
        <f>IFERROR(__xludf.DUMMYFUNCTION("""COMPUTED_VALUE"""),2682500.0)</f>
        <v>2682500</v>
      </c>
    </row>
    <row r="3761">
      <c r="A3761" s="3">
        <f>IFERROR(__xludf.DUMMYFUNCTION("""COMPUTED_VALUE"""),34649.666666666664)</f>
        <v>34649.66667</v>
      </c>
      <c r="B3761" s="2">
        <f>IFERROR(__xludf.DUMMYFUNCTION("""COMPUTED_VALUE"""),17.28)</f>
        <v>17.28</v>
      </c>
      <c r="C3761" s="2">
        <f>IFERROR(__xludf.DUMMYFUNCTION("""COMPUTED_VALUE"""),17.43)</f>
        <v>17.43</v>
      </c>
      <c r="D3761" s="2">
        <f>IFERROR(__xludf.DUMMYFUNCTION("""COMPUTED_VALUE"""),17.13)</f>
        <v>17.13</v>
      </c>
      <c r="E3761" s="2">
        <f>IFERROR(__xludf.DUMMYFUNCTION("""COMPUTED_VALUE"""),17.28)</f>
        <v>17.28</v>
      </c>
      <c r="F3761" s="2">
        <f>IFERROR(__xludf.DUMMYFUNCTION("""COMPUTED_VALUE"""),1847900.0)</f>
        <v>1847900</v>
      </c>
    </row>
    <row r="3762">
      <c r="A3762" s="3">
        <f>IFERROR(__xludf.DUMMYFUNCTION("""COMPUTED_VALUE"""),34652.666666666664)</f>
        <v>34652.66667</v>
      </c>
      <c r="B3762" s="2">
        <f>IFERROR(__xludf.DUMMYFUNCTION("""COMPUTED_VALUE"""),17.27)</f>
        <v>17.27</v>
      </c>
      <c r="C3762" s="2">
        <f>IFERROR(__xludf.DUMMYFUNCTION("""COMPUTED_VALUE"""),17.43)</f>
        <v>17.43</v>
      </c>
      <c r="D3762" s="2">
        <f>IFERROR(__xludf.DUMMYFUNCTION("""COMPUTED_VALUE"""),17.25)</f>
        <v>17.25</v>
      </c>
      <c r="E3762" s="2">
        <f>IFERROR(__xludf.DUMMYFUNCTION("""COMPUTED_VALUE"""),17.4)</f>
        <v>17.4</v>
      </c>
      <c r="F3762" s="2">
        <f>IFERROR(__xludf.DUMMYFUNCTION("""COMPUTED_VALUE"""),1512400.0)</f>
        <v>1512400</v>
      </c>
    </row>
    <row r="3763">
      <c r="A3763" s="3">
        <f>IFERROR(__xludf.DUMMYFUNCTION("""COMPUTED_VALUE"""),34653.666666666664)</f>
        <v>34653.66667</v>
      </c>
      <c r="B3763" s="2">
        <f>IFERROR(__xludf.DUMMYFUNCTION("""COMPUTED_VALUE"""),17.31)</f>
        <v>17.31</v>
      </c>
      <c r="C3763" s="2">
        <f>IFERROR(__xludf.DUMMYFUNCTION("""COMPUTED_VALUE"""),17.64)</f>
        <v>17.64</v>
      </c>
      <c r="D3763" s="2">
        <f>IFERROR(__xludf.DUMMYFUNCTION("""COMPUTED_VALUE"""),17.31)</f>
        <v>17.31</v>
      </c>
      <c r="E3763" s="2">
        <f>IFERROR(__xludf.DUMMYFUNCTION("""COMPUTED_VALUE"""),17.46)</f>
        <v>17.46</v>
      </c>
      <c r="F3763" s="2">
        <f>IFERROR(__xludf.DUMMYFUNCTION("""COMPUTED_VALUE"""),1745200.0)</f>
        <v>1745200</v>
      </c>
    </row>
    <row r="3764">
      <c r="A3764" s="3">
        <f>IFERROR(__xludf.DUMMYFUNCTION("""COMPUTED_VALUE"""),34654.666666666664)</f>
        <v>34654.66667</v>
      </c>
      <c r="B3764" s="2">
        <f>IFERROR(__xludf.DUMMYFUNCTION("""COMPUTED_VALUE"""),17.34)</f>
        <v>17.34</v>
      </c>
      <c r="C3764" s="2">
        <f>IFERROR(__xludf.DUMMYFUNCTION("""COMPUTED_VALUE"""),17.64)</f>
        <v>17.64</v>
      </c>
      <c r="D3764" s="2">
        <f>IFERROR(__xludf.DUMMYFUNCTION("""COMPUTED_VALUE"""),17.34)</f>
        <v>17.34</v>
      </c>
      <c r="E3764" s="2">
        <f>IFERROR(__xludf.DUMMYFUNCTION("""COMPUTED_VALUE"""),17.4)</f>
        <v>17.4</v>
      </c>
      <c r="F3764" s="2">
        <f>IFERROR(__xludf.DUMMYFUNCTION("""COMPUTED_VALUE"""),1271500.0)</f>
        <v>1271500</v>
      </c>
    </row>
    <row r="3765">
      <c r="A3765" s="3">
        <f>IFERROR(__xludf.DUMMYFUNCTION("""COMPUTED_VALUE"""),34655.666666666664)</f>
        <v>34655.66667</v>
      </c>
      <c r="B3765" s="2">
        <f>IFERROR(__xludf.DUMMYFUNCTION("""COMPUTED_VALUE"""),17.38)</f>
        <v>17.38</v>
      </c>
      <c r="C3765" s="2">
        <f>IFERROR(__xludf.DUMMYFUNCTION("""COMPUTED_VALUE"""),17.61)</f>
        <v>17.61</v>
      </c>
      <c r="D3765" s="2">
        <f>IFERROR(__xludf.DUMMYFUNCTION("""COMPUTED_VALUE"""),17.37)</f>
        <v>17.37</v>
      </c>
      <c r="E3765" s="2">
        <f>IFERROR(__xludf.DUMMYFUNCTION("""COMPUTED_VALUE"""),17.46)</f>
        <v>17.46</v>
      </c>
      <c r="F3765" s="2">
        <f>IFERROR(__xludf.DUMMYFUNCTION("""COMPUTED_VALUE"""),1815500.0)</f>
        <v>1815500</v>
      </c>
    </row>
    <row r="3766">
      <c r="A3766" s="3">
        <f>IFERROR(__xludf.DUMMYFUNCTION("""COMPUTED_VALUE"""),34656.666666666664)</f>
        <v>34656.66667</v>
      </c>
      <c r="B3766" s="2">
        <f>IFERROR(__xludf.DUMMYFUNCTION("""COMPUTED_VALUE"""),17.49)</f>
        <v>17.49</v>
      </c>
      <c r="C3766" s="2">
        <f>IFERROR(__xludf.DUMMYFUNCTION("""COMPUTED_VALUE"""),17.52)</f>
        <v>17.52</v>
      </c>
      <c r="D3766" s="2">
        <f>IFERROR(__xludf.DUMMYFUNCTION("""COMPUTED_VALUE"""),17.37)</f>
        <v>17.37</v>
      </c>
      <c r="E3766" s="2">
        <f>IFERROR(__xludf.DUMMYFUNCTION("""COMPUTED_VALUE"""),17.49)</f>
        <v>17.49</v>
      </c>
      <c r="F3766" s="2">
        <f>IFERROR(__xludf.DUMMYFUNCTION("""COMPUTED_VALUE"""),3122600.0)</f>
        <v>3122600</v>
      </c>
    </row>
    <row r="3767">
      <c r="A3767" s="3">
        <f>IFERROR(__xludf.DUMMYFUNCTION("""COMPUTED_VALUE"""),34659.666666666664)</f>
        <v>34659.66667</v>
      </c>
      <c r="B3767" s="2">
        <f>IFERROR(__xludf.DUMMYFUNCTION("""COMPUTED_VALUE"""),17.38)</f>
        <v>17.38</v>
      </c>
      <c r="C3767" s="2">
        <f>IFERROR(__xludf.DUMMYFUNCTION("""COMPUTED_VALUE"""),17.7)</f>
        <v>17.7</v>
      </c>
      <c r="D3767" s="2">
        <f>IFERROR(__xludf.DUMMYFUNCTION("""COMPUTED_VALUE"""),17.34)</f>
        <v>17.34</v>
      </c>
      <c r="E3767" s="2">
        <f>IFERROR(__xludf.DUMMYFUNCTION("""COMPUTED_VALUE"""),17.34)</f>
        <v>17.34</v>
      </c>
      <c r="F3767" s="2">
        <f>IFERROR(__xludf.DUMMYFUNCTION("""COMPUTED_VALUE"""),1670000.0)</f>
        <v>1670000</v>
      </c>
    </row>
    <row r="3768">
      <c r="A3768" s="3">
        <f>IFERROR(__xludf.DUMMYFUNCTION("""COMPUTED_VALUE"""),34660.666666666664)</f>
        <v>34660.66667</v>
      </c>
      <c r="B3768" s="2">
        <f>IFERROR(__xludf.DUMMYFUNCTION("""COMPUTED_VALUE"""),17.27)</f>
        <v>17.27</v>
      </c>
      <c r="C3768" s="2">
        <f>IFERROR(__xludf.DUMMYFUNCTION("""COMPUTED_VALUE"""),17.4)</f>
        <v>17.4</v>
      </c>
      <c r="D3768" s="2">
        <f>IFERROR(__xludf.DUMMYFUNCTION("""COMPUTED_VALUE"""),16.57)</f>
        <v>16.57</v>
      </c>
      <c r="E3768" s="2">
        <f>IFERROR(__xludf.DUMMYFUNCTION("""COMPUTED_VALUE"""),16.63)</f>
        <v>16.63</v>
      </c>
      <c r="F3768" s="2">
        <f>IFERROR(__xludf.DUMMYFUNCTION("""COMPUTED_VALUE"""),2390600.0)</f>
        <v>2390600</v>
      </c>
    </row>
    <row r="3769">
      <c r="A3769" s="3">
        <f>IFERROR(__xludf.DUMMYFUNCTION("""COMPUTED_VALUE"""),34661.666666666664)</f>
        <v>34661.66667</v>
      </c>
      <c r="B3769" s="2">
        <f>IFERROR(__xludf.DUMMYFUNCTION("""COMPUTED_VALUE"""),16.44)</f>
        <v>16.44</v>
      </c>
      <c r="C3769" s="2">
        <f>IFERROR(__xludf.DUMMYFUNCTION("""COMPUTED_VALUE"""),16.72)</f>
        <v>16.72</v>
      </c>
      <c r="D3769" s="2">
        <f>IFERROR(__xludf.DUMMYFUNCTION("""COMPUTED_VALUE"""),16.24)</f>
        <v>16.24</v>
      </c>
      <c r="E3769" s="2">
        <f>IFERROR(__xludf.DUMMYFUNCTION("""COMPUTED_VALUE"""),16.69)</f>
        <v>16.69</v>
      </c>
      <c r="F3769" s="2">
        <f>IFERROR(__xludf.DUMMYFUNCTION("""COMPUTED_VALUE"""),4687800.0)</f>
        <v>4687800</v>
      </c>
    </row>
    <row r="3770">
      <c r="A3770" s="3">
        <f>IFERROR(__xludf.DUMMYFUNCTION("""COMPUTED_VALUE"""),34663.666666666664)</f>
        <v>34663.66667</v>
      </c>
      <c r="B3770" s="2">
        <f>IFERROR(__xludf.DUMMYFUNCTION("""COMPUTED_VALUE"""),16.89)</f>
        <v>16.89</v>
      </c>
      <c r="C3770" s="2">
        <f>IFERROR(__xludf.DUMMYFUNCTION("""COMPUTED_VALUE"""),16.92)</f>
        <v>16.92</v>
      </c>
      <c r="D3770" s="2">
        <f>IFERROR(__xludf.DUMMYFUNCTION("""COMPUTED_VALUE"""),16.72)</f>
        <v>16.72</v>
      </c>
      <c r="E3770" s="2">
        <f>IFERROR(__xludf.DUMMYFUNCTION("""COMPUTED_VALUE"""),16.89)</f>
        <v>16.89</v>
      </c>
      <c r="F3770" s="2">
        <f>IFERROR(__xludf.DUMMYFUNCTION("""COMPUTED_VALUE"""),1095700.0)</f>
        <v>1095700</v>
      </c>
    </row>
    <row r="3771">
      <c r="A3771" s="3">
        <f>IFERROR(__xludf.DUMMYFUNCTION("""COMPUTED_VALUE"""),34666.666666666664)</f>
        <v>34666.66667</v>
      </c>
      <c r="B3771" s="2">
        <f>IFERROR(__xludf.DUMMYFUNCTION("""COMPUTED_VALUE"""),16.82)</f>
        <v>16.82</v>
      </c>
      <c r="C3771" s="2">
        <f>IFERROR(__xludf.DUMMYFUNCTION("""COMPUTED_VALUE"""),17.1)</f>
        <v>17.1</v>
      </c>
      <c r="D3771" s="2">
        <f>IFERROR(__xludf.DUMMYFUNCTION("""COMPUTED_VALUE"""),16.78)</f>
        <v>16.78</v>
      </c>
      <c r="E3771" s="2">
        <f>IFERROR(__xludf.DUMMYFUNCTION("""COMPUTED_VALUE"""),16.87)</f>
        <v>16.87</v>
      </c>
      <c r="F3771" s="2">
        <f>IFERROR(__xludf.DUMMYFUNCTION("""COMPUTED_VALUE"""),1994700.0)</f>
        <v>1994700</v>
      </c>
    </row>
    <row r="3772">
      <c r="A3772" s="3">
        <f>IFERROR(__xludf.DUMMYFUNCTION("""COMPUTED_VALUE"""),34667.666666666664)</f>
        <v>34667.66667</v>
      </c>
      <c r="B3772" s="2">
        <f>IFERROR(__xludf.DUMMYFUNCTION("""COMPUTED_VALUE"""),16.78)</f>
        <v>16.78</v>
      </c>
      <c r="C3772" s="2">
        <f>IFERROR(__xludf.DUMMYFUNCTION("""COMPUTED_VALUE"""),16.95)</f>
        <v>16.95</v>
      </c>
      <c r="D3772" s="2">
        <f>IFERROR(__xludf.DUMMYFUNCTION("""COMPUTED_VALUE"""),16.78)</f>
        <v>16.78</v>
      </c>
      <c r="E3772" s="2">
        <f>IFERROR(__xludf.DUMMYFUNCTION("""COMPUTED_VALUE"""),16.87)</f>
        <v>16.87</v>
      </c>
      <c r="F3772" s="2">
        <f>IFERROR(__xludf.DUMMYFUNCTION("""COMPUTED_VALUE"""),1346500.0)</f>
        <v>1346500</v>
      </c>
    </row>
    <row r="3773">
      <c r="A3773" s="3">
        <f>IFERROR(__xludf.DUMMYFUNCTION("""COMPUTED_VALUE"""),34668.666666666664)</f>
        <v>34668.66667</v>
      </c>
      <c r="B3773" s="2">
        <f>IFERROR(__xludf.DUMMYFUNCTION("""COMPUTED_VALUE"""),16.88)</f>
        <v>16.88</v>
      </c>
      <c r="C3773" s="2">
        <f>IFERROR(__xludf.DUMMYFUNCTION("""COMPUTED_VALUE"""),17.01)</f>
        <v>17.01</v>
      </c>
      <c r="D3773" s="2">
        <f>IFERROR(__xludf.DUMMYFUNCTION("""COMPUTED_VALUE"""),16.87)</f>
        <v>16.87</v>
      </c>
      <c r="E3773" s="2">
        <f>IFERROR(__xludf.DUMMYFUNCTION("""COMPUTED_VALUE"""),16.89)</f>
        <v>16.89</v>
      </c>
      <c r="F3773" s="2">
        <f>IFERROR(__xludf.DUMMYFUNCTION("""COMPUTED_VALUE"""),1961600.0)</f>
        <v>1961600</v>
      </c>
    </row>
    <row r="3774">
      <c r="A3774" s="3">
        <f>IFERROR(__xludf.DUMMYFUNCTION("""COMPUTED_VALUE"""),34669.666666666664)</f>
        <v>34669.66667</v>
      </c>
      <c r="B3774" s="2">
        <f>IFERROR(__xludf.DUMMYFUNCTION("""COMPUTED_VALUE"""),16.76)</f>
        <v>16.76</v>
      </c>
      <c r="C3774" s="2">
        <f>IFERROR(__xludf.DUMMYFUNCTION("""COMPUTED_VALUE"""),16.89)</f>
        <v>16.89</v>
      </c>
      <c r="D3774" s="2">
        <f>IFERROR(__xludf.DUMMYFUNCTION("""COMPUTED_VALUE"""),16.54)</f>
        <v>16.54</v>
      </c>
      <c r="E3774" s="2">
        <f>IFERROR(__xludf.DUMMYFUNCTION("""COMPUTED_VALUE"""),16.6)</f>
        <v>16.6</v>
      </c>
      <c r="F3774" s="2">
        <f>IFERROR(__xludf.DUMMYFUNCTION("""COMPUTED_VALUE"""),1659500.0)</f>
        <v>1659500</v>
      </c>
    </row>
    <row r="3775">
      <c r="A3775" s="3">
        <f>IFERROR(__xludf.DUMMYFUNCTION("""COMPUTED_VALUE"""),34670.666666666664)</f>
        <v>34670.66667</v>
      </c>
      <c r="B3775" s="2">
        <f>IFERROR(__xludf.DUMMYFUNCTION("""COMPUTED_VALUE"""),16.45)</f>
        <v>16.45</v>
      </c>
      <c r="C3775" s="2">
        <f>IFERROR(__xludf.DUMMYFUNCTION("""COMPUTED_VALUE"""),17.04)</f>
        <v>17.04</v>
      </c>
      <c r="D3775" s="2">
        <f>IFERROR(__xludf.DUMMYFUNCTION("""COMPUTED_VALUE"""),16.45)</f>
        <v>16.45</v>
      </c>
      <c r="E3775" s="2">
        <f>IFERROR(__xludf.DUMMYFUNCTION("""COMPUTED_VALUE"""),17.04)</f>
        <v>17.04</v>
      </c>
      <c r="F3775" s="2">
        <f>IFERROR(__xludf.DUMMYFUNCTION("""COMPUTED_VALUE"""),1993300.0)</f>
        <v>1993300</v>
      </c>
    </row>
    <row r="3776">
      <c r="A3776" s="3">
        <f>IFERROR(__xludf.DUMMYFUNCTION("""COMPUTED_VALUE"""),34673.666666666664)</f>
        <v>34673.66667</v>
      </c>
      <c r="B3776" s="2">
        <f>IFERROR(__xludf.DUMMYFUNCTION("""COMPUTED_VALUE"""),17.04)</f>
        <v>17.04</v>
      </c>
      <c r="C3776" s="2">
        <f>IFERROR(__xludf.DUMMYFUNCTION("""COMPUTED_VALUE"""),17.28)</f>
        <v>17.28</v>
      </c>
      <c r="D3776" s="2">
        <f>IFERROR(__xludf.DUMMYFUNCTION("""COMPUTED_VALUE"""),17.04)</f>
        <v>17.04</v>
      </c>
      <c r="E3776" s="2">
        <f>IFERROR(__xludf.DUMMYFUNCTION("""COMPUTED_VALUE"""),17.04)</f>
        <v>17.04</v>
      </c>
      <c r="F3776" s="2">
        <f>IFERROR(__xludf.DUMMYFUNCTION("""COMPUTED_VALUE"""),2034600.0)</f>
        <v>2034600</v>
      </c>
    </row>
    <row r="3777">
      <c r="A3777" s="3">
        <f>IFERROR(__xludf.DUMMYFUNCTION("""COMPUTED_VALUE"""),34674.666666666664)</f>
        <v>34674.66667</v>
      </c>
      <c r="B3777" s="2">
        <f>IFERROR(__xludf.DUMMYFUNCTION("""COMPUTED_VALUE"""),17.1)</f>
        <v>17.1</v>
      </c>
      <c r="C3777" s="2">
        <f>IFERROR(__xludf.DUMMYFUNCTION("""COMPUTED_VALUE"""),17.19)</f>
        <v>17.19</v>
      </c>
      <c r="D3777" s="2">
        <f>IFERROR(__xludf.DUMMYFUNCTION("""COMPUTED_VALUE"""),17.01)</f>
        <v>17.01</v>
      </c>
      <c r="E3777" s="2">
        <f>IFERROR(__xludf.DUMMYFUNCTION("""COMPUTED_VALUE"""),17.1)</f>
        <v>17.1</v>
      </c>
      <c r="F3777" s="2">
        <f>IFERROR(__xludf.DUMMYFUNCTION("""COMPUTED_VALUE"""),1928800.0)</f>
        <v>1928800</v>
      </c>
    </row>
    <row r="3778">
      <c r="A3778" s="3">
        <f>IFERROR(__xludf.DUMMYFUNCTION("""COMPUTED_VALUE"""),34675.666666666664)</f>
        <v>34675.66667</v>
      </c>
      <c r="B3778" s="2">
        <f>IFERROR(__xludf.DUMMYFUNCTION("""COMPUTED_VALUE"""),17.01)</f>
        <v>17.01</v>
      </c>
      <c r="C3778" s="2">
        <f>IFERROR(__xludf.DUMMYFUNCTION("""COMPUTED_VALUE"""),17.04)</f>
        <v>17.04</v>
      </c>
      <c r="D3778" s="2">
        <f>IFERROR(__xludf.DUMMYFUNCTION("""COMPUTED_VALUE"""),16.87)</f>
        <v>16.87</v>
      </c>
      <c r="E3778" s="2">
        <f>IFERROR(__xludf.DUMMYFUNCTION("""COMPUTED_VALUE"""),17.01)</f>
        <v>17.01</v>
      </c>
      <c r="F3778" s="2">
        <f>IFERROR(__xludf.DUMMYFUNCTION("""COMPUTED_VALUE"""),1315600.0)</f>
        <v>1315600</v>
      </c>
    </row>
    <row r="3779">
      <c r="A3779" s="3">
        <f>IFERROR(__xludf.DUMMYFUNCTION("""COMPUTED_VALUE"""),34676.666666666664)</f>
        <v>34676.66667</v>
      </c>
      <c r="B3779" s="2">
        <f>IFERROR(__xludf.DUMMYFUNCTION("""COMPUTED_VALUE"""),16.88)</f>
        <v>16.88</v>
      </c>
      <c r="C3779" s="2">
        <f>IFERROR(__xludf.DUMMYFUNCTION("""COMPUTED_VALUE"""),17.07)</f>
        <v>17.07</v>
      </c>
      <c r="D3779" s="2">
        <f>IFERROR(__xludf.DUMMYFUNCTION("""COMPUTED_VALUE"""),16.66)</f>
        <v>16.66</v>
      </c>
      <c r="E3779" s="2">
        <f>IFERROR(__xludf.DUMMYFUNCTION("""COMPUTED_VALUE"""),16.75)</f>
        <v>16.75</v>
      </c>
      <c r="F3779" s="2">
        <f>IFERROR(__xludf.DUMMYFUNCTION("""COMPUTED_VALUE"""),1717900.0)</f>
        <v>1717900</v>
      </c>
    </row>
    <row r="3780">
      <c r="A3780" s="3">
        <f>IFERROR(__xludf.DUMMYFUNCTION("""COMPUTED_VALUE"""),34677.666666666664)</f>
        <v>34677.66667</v>
      </c>
      <c r="B3780" s="2">
        <f>IFERROR(__xludf.DUMMYFUNCTION("""COMPUTED_VALUE"""),17.04)</f>
        <v>17.04</v>
      </c>
      <c r="C3780" s="2">
        <f>IFERROR(__xludf.DUMMYFUNCTION("""COMPUTED_VALUE"""),17.07)</f>
        <v>17.07</v>
      </c>
      <c r="D3780" s="2">
        <f>IFERROR(__xludf.DUMMYFUNCTION("""COMPUTED_VALUE"""),16.6)</f>
        <v>16.6</v>
      </c>
      <c r="E3780" s="2">
        <f>IFERROR(__xludf.DUMMYFUNCTION("""COMPUTED_VALUE"""),17.04)</f>
        <v>17.04</v>
      </c>
      <c r="F3780" s="2">
        <f>IFERROR(__xludf.DUMMYFUNCTION("""COMPUTED_VALUE"""),2472500.0)</f>
        <v>2472500</v>
      </c>
    </row>
    <row r="3781">
      <c r="A3781" s="3">
        <f>IFERROR(__xludf.DUMMYFUNCTION("""COMPUTED_VALUE"""),34680.666666666664)</f>
        <v>34680.66667</v>
      </c>
      <c r="B3781" s="2">
        <f>IFERROR(__xludf.DUMMYFUNCTION("""COMPUTED_VALUE"""),16.88)</f>
        <v>16.88</v>
      </c>
      <c r="C3781" s="2">
        <f>IFERROR(__xludf.DUMMYFUNCTION("""COMPUTED_VALUE"""),17.04)</f>
        <v>17.04</v>
      </c>
      <c r="D3781" s="2">
        <f>IFERROR(__xludf.DUMMYFUNCTION("""COMPUTED_VALUE"""),16.63)</f>
        <v>16.63</v>
      </c>
      <c r="E3781" s="2">
        <f>IFERROR(__xludf.DUMMYFUNCTION("""COMPUTED_VALUE"""),16.89)</f>
        <v>16.89</v>
      </c>
      <c r="F3781" s="2">
        <f>IFERROR(__xludf.DUMMYFUNCTION("""COMPUTED_VALUE"""),2205100.0)</f>
        <v>2205100</v>
      </c>
    </row>
    <row r="3782">
      <c r="A3782" s="3">
        <f>IFERROR(__xludf.DUMMYFUNCTION("""COMPUTED_VALUE"""),34681.666666666664)</f>
        <v>34681.66667</v>
      </c>
      <c r="B3782" s="2">
        <f>IFERROR(__xludf.DUMMYFUNCTION("""COMPUTED_VALUE"""),16.79)</f>
        <v>16.79</v>
      </c>
      <c r="C3782" s="2">
        <f>IFERROR(__xludf.DUMMYFUNCTION("""COMPUTED_VALUE"""),16.95)</f>
        <v>16.95</v>
      </c>
      <c r="D3782" s="2">
        <f>IFERROR(__xludf.DUMMYFUNCTION("""COMPUTED_VALUE"""),16.63)</f>
        <v>16.63</v>
      </c>
      <c r="E3782" s="2">
        <f>IFERROR(__xludf.DUMMYFUNCTION("""COMPUTED_VALUE"""),16.66)</f>
        <v>16.66</v>
      </c>
      <c r="F3782" s="2">
        <f>IFERROR(__xludf.DUMMYFUNCTION("""COMPUTED_VALUE"""),1369100.0)</f>
        <v>1369100</v>
      </c>
    </row>
    <row r="3783">
      <c r="A3783" s="3">
        <f>IFERROR(__xludf.DUMMYFUNCTION("""COMPUTED_VALUE"""),34682.666666666664)</f>
        <v>34682.66667</v>
      </c>
      <c r="B3783" s="2">
        <f>IFERROR(__xludf.DUMMYFUNCTION("""COMPUTED_VALUE"""),16.78)</f>
        <v>16.78</v>
      </c>
      <c r="C3783" s="2">
        <f>IFERROR(__xludf.DUMMYFUNCTION("""COMPUTED_VALUE"""),16.87)</f>
        <v>16.87</v>
      </c>
      <c r="D3783" s="2">
        <f>IFERROR(__xludf.DUMMYFUNCTION("""COMPUTED_VALUE"""),16.57)</f>
        <v>16.57</v>
      </c>
      <c r="E3783" s="2">
        <f>IFERROR(__xludf.DUMMYFUNCTION("""COMPUTED_VALUE"""),16.78)</f>
        <v>16.78</v>
      </c>
      <c r="F3783" s="2">
        <f>IFERROR(__xludf.DUMMYFUNCTION("""COMPUTED_VALUE"""),2044200.0)</f>
        <v>2044200</v>
      </c>
    </row>
    <row r="3784">
      <c r="A3784" s="3">
        <f>IFERROR(__xludf.DUMMYFUNCTION("""COMPUTED_VALUE"""),34683.666666666664)</f>
        <v>34683.66667</v>
      </c>
      <c r="B3784" s="2">
        <f>IFERROR(__xludf.DUMMYFUNCTION("""COMPUTED_VALUE"""),16.83)</f>
        <v>16.83</v>
      </c>
      <c r="C3784" s="2">
        <f>IFERROR(__xludf.DUMMYFUNCTION("""COMPUTED_VALUE"""),16.95)</f>
        <v>16.95</v>
      </c>
      <c r="D3784" s="2">
        <f>IFERROR(__xludf.DUMMYFUNCTION("""COMPUTED_VALUE"""),16.75)</f>
        <v>16.75</v>
      </c>
      <c r="E3784" s="2">
        <f>IFERROR(__xludf.DUMMYFUNCTION("""COMPUTED_VALUE"""),16.83)</f>
        <v>16.83</v>
      </c>
      <c r="F3784" s="2">
        <f>IFERROR(__xludf.DUMMYFUNCTION("""COMPUTED_VALUE"""),1885300.0)</f>
        <v>1885300</v>
      </c>
    </row>
    <row r="3785">
      <c r="A3785" s="3">
        <f>IFERROR(__xludf.DUMMYFUNCTION("""COMPUTED_VALUE"""),34684.666666666664)</f>
        <v>34684.66667</v>
      </c>
      <c r="B3785" s="2">
        <f>IFERROR(__xludf.DUMMYFUNCTION("""COMPUTED_VALUE"""),16.82)</f>
        <v>16.82</v>
      </c>
      <c r="C3785" s="2">
        <f>IFERROR(__xludf.DUMMYFUNCTION("""COMPUTED_VALUE"""),16.92)</f>
        <v>16.92</v>
      </c>
      <c r="D3785" s="2">
        <f>IFERROR(__xludf.DUMMYFUNCTION("""COMPUTED_VALUE"""),16.69)</f>
        <v>16.69</v>
      </c>
      <c r="E3785" s="2">
        <f>IFERROR(__xludf.DUMMYFUNCTION("""COMPUTED_VALUE"""),16.75)</f>
        <v>16.75</v>
      </c>
      <c r="F3785" s="2">
        <f>IFERROR(__xludf.DUMMYFUNCTION("""COMPUTED_VALUE"""),2944000.0)</f>
        <v>2944000</v>
      </c>
    </row>
    <row r="3786">
      <c r="A3786" s="3">
        <f>IFERROR(__xludf.DUMMYFUNCTION("""COMPUTED_VALUE"""),34687.666666666664)</f>
        <v>34687.66667</v>
      </c>
      <c r="B3786" s="2">
        <f>IFERROR(__xludf.DUMMYFUNCTION("""COMPUTED_VALUE"""),17.1)</f>
        <v>17.1</v>
      </c>
      <c r="C3786" s="2">
        <f>IFERROR(__xludf.DUMMYFUNCTION("""COMPUTED_VALUE"""),17.1)</f>
        <v>17.1</v>
      </c>
      <c r="D3786" s="2">
        <f>IFERROR(__xludf.DUMMYFUNCTION("""COMPUTED_VALUE"""),16.83)</f>
        <v>16.83</v>
      </c>
      <c r="E3786" s="2">
        <f>IFERROR(__xludf.DUMMYFUNCTION("""COMPUTED_VALUE"""),17.1)</f>
        <v>17.1</v>
      </c>
      <c r="F3786" s="2">
        <f>IFERROR(__xludf.DUMMYFUNCTION("""COMPUTED_VALUE"""),2413400.0)</f>
        <v>2413400</v>
      </c>
    </row>
    <row r="3787">
      <c r="A3787" s="3">
        <f>IFERROR(__xludf.DUMMYFUNCTION("""COMPUTED_VALUE"""),34688.666666666664)</f>
        <v>34688.66667</v>
      </c>
      <c r="B3787" s="2">
        <f>IFERROR(__xludf.DUMMYFUNCTION("""COMPUTED_VALUE"""),16.94)</f>
        <v>16.94</v>
      </c>
      <c r="C3787" s="2">
        <f>IFERROR(__xludf.DUMMYFUNCTION("""COMPUTED_VALUE"""),17.1)</f>
        <v>17.1</v>
      </c>
      <c r="D3787" s="2">
        <f>IFERROR(__xludf.DUMMYFUNCTION("""COMPUTED_VALUE"""),16.89)</f>
        <v>16.89</v>
      </c>
      <c r="E3787" s="2">
        <f>IFERROR(__xludf.DUMMYFUNCTION("""COMPUTED_VALUE"""),16.89)</f>
        <v>16.89</v>
      </c>
      <c r="F3787" s="2">
        <f>IFERROR(__xludf.DUMMYFUNCTION("""COMPUTED_VALUE"""),1726800.0)</f>
        <v>1726800</v>
      </c>
    </row>
    <row r="3788">
      <c r="A3788" s="3">
        <f>IFERROR(__xludf.DUMMYFUNCTION("""COMPUTED_VALUE"""),34689.666666666664)</f>
        <v>34689.66667</v>
      </c>
      <c r="B3788" s="2">
        <f>IFERROR(__xludf.DUMMYFUNCTION("""COMPUTED_VALUE"""),17.58)</f>
        <v>17.58</v>
      </c>
      <c r="C3788" s="2">
        <f>IFERROR(__xludf.DUMMYFUNCTION("""COMPUTED_VALUE"""),17.58)</f>
        <v>17.58</v>
      </c>
      <c r="D3788" s="2">
        <f>IFERROR(__xludf.DUMMYFUNCTION("""COMPUTED_VALUE"""),16.95)</f>
        <v>16.95</v>
      </c>
      <c r="E3788" s="2">
        <f>IFERROR(__xludf.DUMMYFUNCTION("""COMPUTED_VALUE"""),17.58)</f>
        <v>17.58</v>
      </c>
      <c r="F3788" s="2">
        <f>IFERROR(__xludf.DUMMYFUNCTION("""COMPUTED_VALUE"""),3211900.0)</f>
        <v>3211900</v>
      </c>
    </row>
    <row r="3789">
      <c r="A3789" s="3">
        <f>IFERROR(__xludf.DUMMYFUNCTION("""COMPUTED_VALUE"""),34690.666666666664)</f>
        <v>34690.66667</v>
      </c>
      <c r="B3789" s="2">
        <f>IFERROR(__xludf.DUMMYFUNCTION("""COMPUTED_VALUE"""),17.55)</f>
        <v>17.55</v>
      </c>
      <c r="C3789" s="2">
        <f>IFERROR(__xludf.DUMMYFUNCTION("""COMPUTED_VALUE"""),17.82)</f>
        <v>17.82</v>
      </c>
      <c r="D3789" s="2">
        <f>IFERROR(__xludf.DUMMYFUNCTION("""COMPUTED_VALUE"""),17.55)</f>
        <v>17.55</v>
      </c>
      <c r="E3789" s="2">
        <f>IFERROR(__xludf.DUMMYFUNCTION("""COMPUTED_VALUE"""),17.55)</f>
        <v>17.55</v>
      </c>
      <c r="F3789" s="2">
        <f>IFERROR(__xludf.DUMMYFUNCTION("""COMPUTED_VALUE"""),2662100.0)</f>
        <v>2662100</v>
      </c>
    </row>
    <row r="3790">
      <c r="A3790" s="3">
        <f>IFERROR(__xludf.DUMMYFUNCTION("""COMPUTED_VALUE"""),34691.666666666664)</f>
        <v>34691.66667</v>
      </c>
      <c r="B3790" s="2">
        <f>IFERROR(__xludf.DUMMYFUNCTION("""COMPUTED_VALUE"""),17.55)</f>
        <v>17.55</v>
      </c>
      <c r="C3790" s="2">
        <f>IFERROR(__xludf.DUMMYFUNCTION("""COMPUTED_VALUE"""),17.73)</f>
        <v>17.73</v>
      </c>
      <c r="D3790" s="2">
        <f>IFERROR(__xludf.DUMMYFUNCTION("""COMPUTED_VALUE"""),17.49)</f>
        <v>17.49</v>
      </c>
      <c r="E3790" s="2">
        <f>IFERROR(__xludf.DUMMYFUNCTION("""COMPUTED_VALUE"""),17.55)</f>
        <v>17.55</v>
      </c>
      <c r="F3790" s="2">
        <f>IFERROR(__xludf.DUMMYFUNCTION("""COMPUTED_VALUE"""),938400.0)</f>
        <v>938400</v>
      </c>
    </row>
    <row r="3791">
      <c r="A3791" s="3">
        <f>IFERROR(__xludf.DUMMYFUNCTION("""COMPUTED_VALUE"""),34695.666666666664)</f>
        <v>34695.66667</v>
      </c>
      <c r="B3791" s="2">
        <f>IFERROR(__xludf.DUMMYFUNCTION("""COMPUTED_VALUE"""),17.61)</f>
        <v>17.61</v>
      </c>
      <c r="C3791" s="2">
        <f>IFERROR(__xludf.DUMMYFUNCTION("""COMPUTED_VALUE"""),17.79)</f>
        <v>17.79</v>
      </c>
      <c r="D3791" s="2">
        <f>IFERROR(__xludf.DUMMYFUNCTION("""COMPUTED_VALUE"""),17.61)</f>
        <v>17.61</v>
      </c>
      <c r="E3791" s="2">
        <f>IFERROR(__xludf.DUMMYFUNCTION("""COMPUTED_VALUE"""),17.73)</f>
        <v>17.73</v>
      </c>
      <c r="F3791" s="2">
        <f>IFERROR(__xludf.DUMMYFUNCTION("""COMPUTED_VALUE"""),1233300.0)</f>
        <v>1233300</v>
      </c>
    </row>
    <row r="3792">
      <c r="A3792" s="3">
        <f>IFERROR(__xludf.DUMMYFUNCTION("""COMPUTED_VALUE"""),34696.666666666664)</f>
        <v>34696.66667</v>
      </c>
      <c r="B3792" s="2">
        <f>IFERROR(__xludf.DUMMYFUNCTION("""COMPUTED_VALUE"""),17.65)</f>
        <v>17.65</v>
      </c>
      <c r="C3792" s="2">
        <f>IFERROR(__xludf.DUMMYFUNCTION("""COMPUTED_VALUE"""),17.76)</f>
        <v>17.76</v>
      </c>
      <c r="D3792" s="2">
        <f>IFERROR(__xludf.DUMMYFUNCTION("""COMPUTED_VALUE"""),17.31)</f>
        <v>17.31</v>
      </c>
      <c r="E3792" s="2">
        <f>IFERROR(__xludf.DUMMYFUNCTION("""COMPUTED_VALUE"""),17.4)</f>
        <v>17.4</v>
      </c>
      <c r="F3792" s="2">
        <f>IFERROR(__xludf.DUMMYFUNCTION("""COMPUTED_VALUE"""),1355300.0)</f>
        <v>1355300</v>
      </c>
    </row>
    <row r="3793">
      <c r="A3793" s="3">
        <f>IFERROR(__xludf.DUMMYFUNCTION("""COMPUTED_VALUE"""),34697.666666666664)</f>
        <v>34697.66667</v>
      </c>
      <c r="B3793" s="2">
        <f>IFERROR(__xludf.DUMMYFUNCTION("""COMPUTED_VALUE"""),17.76)</f>
        <v>17.76</v>
      </c>
      <c r="C3793" s="2">
        <f>IFERROR(__xludf.DUMMYFUNCTION("""COMPUTED_VALUE"""),17.76)</f>
        <v>17.76</v>
      </c>
      <c r="D3793" s="2">
        <f>IFERROR(__xludf.DUMMYFUNCTION("""COMPUTED_VALUE"""),17.43)</f>
        <v>17.43</v>
      </c>
      <c r="E3793" s="2">
        <f>IFERROR(__xludf.DUMMYFUNCTION("""COMPUTED_VALUE"""),17.76)</f>
        <v>17.76</v>
      </c>
      <c r="F3793" s="2">
        <f>IFERROR(__xludf.DUMMYFUNCTION("""COMPUTED_VALUE"""),1926200.0)</f>
        <v>1926200</v>
      </c>
    </row>
    <row r="3794">
      <c r="A3794" s="3">
        <f>IFERROR(__xludf.DUMMYFUNCTION("""COMPUTED_VALUE"""),34698.666666666664)</f>
        <v>34698.66667</v>
      </c>
      <c r="B3794" s="2">
        <f>IFERROR(__xludf.DUMMYFUNCTION("""COMPUTED_VALUE"""),17.62)</f>
        <v>17.62</v>
      </c>
      <c r="C3794" s="2">
        <f>IFERROR(__xludf.DUMMYFUNCTION("""COMPUTED_VALUE"""),17.79)</f>
        <v>17.79</v>
      </c>
      <c r="D3794" s="2">
        <f>IFERROR(__xludf.DUMMYFUNCTION("""COMPUTED_VALUE"""),17.46)</f>
        <v>17.46</v>
      </c>
      <c r="E3794" s="2">
        <f>IFERROR(__xludf.DUMMYFUNCTION("""COMPUTED_VALUE"""),17.55)</f>
        <v>17.55</v>
      </c>
      <c r="F3794" s="2">
        <f>IFERROR(__xludf.DUMMYFUNCTION("""COMPUTED_VALUE"""),1435900.0)</f>
        <v>1435900</v>
      </c>
    </row>
    <row r="3795">
      <c r="A3795" s="3">
        <f>IFERROR(__xludf.DUMMYFUNCTION("""COMPUTED_VALUE"""),34702.666666666664)</f>
        <v>34702.66667</v>
      </c>
      <c r="B3795" s="2">
        <f>IFERROR(__xludf.DUMMYFUNCTION("""COMPUTED_VALUE"""),17.61)</f>
        <v>17.61</v>
      </c>
      <c r="C3795" s="2">
        <f>IFERROR(__xludf.DUMMYFUNCTION("""COMPUTED_VALUE"""),17.64)</f>
        <v>17.64</v>
      </c>
      <c r="D3795" s="2">
        <f>IFERROR(__xludf.DUMMYFUNCTION("""COMPUTED_VALUE"""),17.52)</f>
        <v>17.52</v>
      </c>
      <c r="E3795" s="2">
        <f>IFERROR(__xludf.DUMMYFUNCTION("""COMPUTED_VALUE"""),17.61)</f>
        <v>17.61</v>
      </c>
      <c r="F3795" s="2">
        <f>IFERROR(__xludf.DUMMYFUNCTION("""COMPUTED_VALUE"""),1167900.0)</f>
        <v>1167900</v>
      </c>
    </row>
    <row r="3796">
      <c r="A3796" s="3">
        <f>IFERROR(__xludf.DUMMYFUNCTION("""COMPUTED_VALUE"""),34703.666666666664)</f>
        <v>34703.66667</v>
      </c>
      <c r="B3796" s="2">
        <f>IFERROR(__xludf.DUMMYFUNCTION("""COMPUTED_VALUE"""),17.54)</f>
        <v>17.54</v>
      </c>
      <c r="C3796" s="2">
        <f>IFERROR(__xludf.DUMMYFUNCTION("""COMPUTED_VALUE"""),17.82)</f>
        <v>17.82</v>
      </c>
      <c r="D3796" s="2">
        <f>IFERROR(__xludf.DUMMYFUNCTION("""COMPUTED_VALUE"""),17.49)</f>
        <v>17.49</v>
      </c>
      <c r="E3796" s="2">
        <f>IFERROR(__xludf.DUMMYFUNCTION("""COMPUTED_VALUE"""),17.76)</f>
        <v>17.76</v>
      </c>
      <c r="F3796" s="2">
        <f>IFERROR(__xludf.DUMMYFUNCTION("""COMPUTED_VALUE"""),1994700.0)</f>
        <v>1994700</v>
      </c>
    </row>
    <row r="3797">
      <c r="A3797" s="3">
        <f>IFERROR(__xludf.DUMMYFUNCTION("""COMPUTED_VALUE"""),34704.666666666664)</f>
        <v>34704.66667</v>
      </c>
      <c r="B3797" s="2">
        <f>IFERROR(__xludf.DUMMYFUNCTION("""COMPUTED_VALUE"""),17.65)</f>
        <v>17.65</v>
      </c>
      <c r="C3797" s="2">
        <f>IFERROR(__xludf.DUMMYFUNCTION("""COMPUTED_VALUE"""),17.97)</f>
        <v>17.97</v>
      </c>
      <c r="D3797" s="2">
        <f>IFERROR(__xludf.DUMMYFUNCTION("""COMPUTED_VALUE"""),17.61)</f>
        <v>17.61</v>
      </c>
      <c r="E3797" s="2">
        <f>IFERROR(__xludf.DUMMYFUNCTION("""COMPUTED_VALUE"""),17.67)</f>
        <v>17.67</v>
      </c>
      <c r="F3797" s="2">
        <f>IFERROR(__xludf.DUMMYFUNCTION("""COMPUTED_VALUE"""),2270900.0)</f>
        <v>2270900</v>
      </c>
    </row>
    <row r="3798">
      <c r="A3798" s="3">
        <f>IFERROR(__xludf.DUMMYFUNCTION("""COMPUTED_VALUE"""),34705.666666666664)</f>
        <v>34705.66667</v>
      </c>
      <c r="B3798" s="2">
        <f>IFERROR(__xludf.DUMMYFUNCTION("""COMPUTED_VALUE"""),17.94)</f>
        <v>17.94</v>
      </c>
      <c r="C3798" s="2">
        <f>IFERROR(__xludf.DUMMYFUNCTION("""COMPUTED_VALUE"""),18.09)</f>
        <v>18.09</v>
      </c>
      <c r="D3798" s="2">
        <f>IFERROR(__xludf.DUMMYFUNCTION("""COMPUTED_VALUE"""),17.7)</f>
        <v>17.7</v>
      </c>
      <c r="E3798" s="2">
        <f>IFERROR(__xludf.DUMMYFUNCTION("""COMPUTED_VALUE"""),17.94)</f>
        <v>17.94</v>
      </c>
      <c r="F3798" s="2">
        <f>IFERROR(__xludf.DUMMYFUNCTION("""COMPUTED_VALUE"""),3040500.0)</f>
        <v>3040500</v>
      </c>
    </row>
    <row r="3799">
      <c r="A3799" s="3">
        <f>IFERROR(__xludf.DUMMYFUNCTION("""COMPUTED_VALUE"""),34708.666666666664)</f>
        <v>34708.66667</v>
      </c>
      <c r="B3799" s="2">
        <f>IFERROR(__xludf.DUMMYFUNCTION("""COMPUTED_VALUE"""),18.03)</f>
        <v>18.03</v>
      </c>
      <c r="C3799" s="2">
        <f>IFERROR(__xludf.DUMMYFUNCTION("""COMPUTED_VALUE"""),18.12)</f>
        <v>18.12</v>
      </c>
      <c r="D3799" s="2">
        <f>IFERROR(__xludf.DUMMYFUNCTION("""COMPUTED_VALUE"""),17.88)</f>
        <v>17.88</v>
      </c>
      <c r="E3799" s="2">
        <f>IFERROR(__xludf.DUMMYFUNCTION("""COMPUTED_VALUE"""),18.03)</f>
        <v>18.03</v>
      </c>
      <c r="F3799" s="2">
        <f>IFERROR(__xludf.DUMMYFUNCTION("""COMPUTED_VALUE"""),1713000.0)</f>
        <v>1713000</v>
      </c>
    </row>
    <row r="3800">
      <c r="A3800" s="3">
        <f>IFERROR(__xludf.DUMMYFUNCTION("""COMPUTED_VALUE"""),34709.666666666664)</f>
        <v>34709.66667</v>
      </c>
      <c r="B3800" s="2">
        <f>IFERROR(__xludf.DUMMYFUNCTION("""COMPUTED_VALUE"""),18.3)</f>
        <v>18.3</v>
      </c>
      <c r="C3800" s="2">
        <f>IFERROR(__xludf.DUMMYFUNCTION("""COMPUTED_VALUE"""),18.45)</f>
        <v>18.45</v>
      </c>
      <c r="D3800" s="2">
        <f>IFERROR(__xludf.DUMMYFUNCTION("""COMPUTED_VALUE"""),18.06)</f>
        <v>18.06</v>
      </c>
      <c r="E3800" s="2">
        <f>IFERROR(__xludf.DUMMYFUNCTION("""COMPUTED_VALUE"""),18.3)</f>
        <v>18.3</v>
      </c>
      <c r="F3800" s="2">
        <f>IFERROR(__xludf.DUMMYFUNCTION("""COMPUTED_VALUE"""),3420800.0)</f>
        <v>3420800</v>
      </c>
    </row>
    <row r="3801">
      <c r="A3801" s="3">
        <f>IFERROR(__xludf.DUMMYFUNCTION("""COMPUTED_VALUE"""),34710.666666666664)</f>
        <v>34710.66667</v>
      </c>
      <c r="B3801" s="2">
        <f>IFERROR(__xludf.DUMMYFUNCTION("""COMPUTED_VALUE"""),18.27)</f>
        <v>18.27</v>
      </c>
      <c r="C3801" s="2">
        <f>IFERROR(__xludf.DUMMYFUNCTION("""COMPUTED_VALUE"""),18.42)</f>
        <v>18.42</v>
      </c>
      <c r="D3801" s="2">
        <f>IFERROR(__xludf.DUMMYFUNCTION("""COMPUTED_VALUE"""),17.97)</f>
        <v>17.97</v>
      </c>
      <c r="E3801" s="2">
        <f>IFERROR(__xludf.DUMMYFUNCTION("""COMPUTED_VALUE"""),18.15)</f>
        <v>18.15</v>
      </c>
      <c r="F3801" s="2">
        <f>IFERROR(__xludf.DUMMYFUNCTION("""COMPUTED_VALUE"""),2450000.0)</f>
        <v>2450000</v>
      </c>
    </row>
    <row r="3802">
      <c r="A3802" s="3">
        <f>IFERROR(__xludf.DUMMYFUNCTION("""COMPUTED_VALUE"""),34711.666666666664)</f>
        <v>34711.66667</v>
      </c>
      <c r="B3802" s="2">
        <f>IFERROR(__xludf.DUMMYFUNCTION("""COMPUTED_VALUE"""),18.15)</f>
        <v>18.15</v>
      </c>
      <c r="C3802" s="2">
        <f>IFERROR(__xludf.DUMMYFUNCTION("""COMPUTED_VALUE"""),18.24)</f>
        <v>18.24</v>
      </c>
      <c r="D3802" s="2">
        <f>IFERROR(__xludf.DUMMYFUNCTION("""COMPUTED_VALUE"""),18.03)</f>
        <v>18.03</v>
      </c>
      <c r="E3802" s="2">
        <f>IFERROR(__xludf.DUMMYFUNCTION("""COMPUTED_VALUE"""),18.15)</f>
        <v>18.15</v>
      </c>
      <c r="F3802" s="2">
        <f>IFERROR(__xludf.DUMMYFUNCTION("""COMPUTED_VALUE"""),2275900.0)</f>
        <v>2275900</v>
      </c>
    </row>
    <row r="3803">
      <c r="A3803" s="3">
        <f>IFERROR(__xludf.DUMMYFUNCTION("""COMPUTED_VALUE"""),34712.666666666664)</f>
        <v>34712.66667</v>
      </c>
      <c r="B3803" s="2">
        <f>IFERROR(__xludf.DUMMYFUNCTION("""COMPUTED_VALUE"""),18.21)</f>
        <v>18.21</v>
      </c>
      <c r="C3803" s="2">
        <f>IFERROR(__xludf.DUMMYFUNCTION("""COMPUTED_VALUE"""),18.36)</f>
        <v>18.36</v>
      </c>
      <c r="D3803" s="2">
        <f>IFERROR(__xludf.DUMMYFUNCTION("""COMPUTED_VALUE"""),18.09)</f>
        <v>18.09</v>
      </c>
      <c r="E3803" s="2">
        <f>IFERROR(__xludf.DUMMYFUNCTION("""COMPUTED_VALUE"""),18.24)</f>
        <v>18.24</v>
      </c>
      <c r="F3803" s="2">
        <f>IFERROR(__xludf.DUMMYFUNCTION("""COMPUTED_VALUE"""),2030300.0)</f>
        <v>2030300</v>
      </c>
    </row>
    <row r="3804">
      <c r="A3804" s="3">
        <f>IFERROR(__xludf.DUMMYFUNCTION("""COMPUTED_VALUE"""),34715.666666666664)</f>
        <v>34715.66667</v>
      </c>
      <c r="B3804" s="2">
        <f>IFERROR(__xludf.DUMMYFUNCTION("""COMPUTED_VALUE"""),18.51)</f>
        <v>18.51</v>
      </c>
      <c r="C3804" s="2">
        <f>IFERROR(__xludf.DUMMYFUNCTION("""COMPUTED_VALUE"""),18.63)</f>
        <v>18.63</v>
      </c>
      <c r="D3804" s="2">
        <f>IFERROR(__xludf.DUMMYFUNCTION("""COMPUTED_VALUE"""),18.24)</f>
        <v>18.24</v>
      </c>
      <c r="E3804" s="2">
        <f>IFERROR(__xludf.DUMMYFUNCTION("""COMPUTED_VALUE"""),18.51)</f>
        <v>18.51</v>
      </c>
      <c r="F3804" s="2">
        <f>IFERROR(__xludf.DUMMYFUNCTION("""COMPUTED_VALUE"""),2716000.0)</f>
        <v>2716000</v>
      </c>
    </row>
    <row r="3805">
      <c r="A3805" s="3">
        <f>IFERROR(__xludf.DUMMYFUNCTION("""COMPUTED_VALUE"""),34716.666666666664)</f>
        <v>34716.66667</v>
      </c>
      <c r="B3805" s="2">
        <f>IFERROR(__xludf.DUMMYFUNCTION("""COMPUTED_VALUE"""),18.51)</f>
        <v>18.51</v>
      </c>
      <c r="C3805" s="2">
        <f>IFERROR(__xludf.DUMMYFUNCTION("""COMPUTED_VALUE"""),18.63)</f>
        <v>18.63</v>
      </c>
      <c r="D3805" s="2">
        <f>IFERROR(__xludf.DUMMYFUNCTION("""COMPUTED_VALUE"""),18.42)</f>
        <v>18.42</v>
      </c>
      <c r="E3805" s="2">
        <f>IFERROR(__xludf.DUMMYFUNCTION("""COMPUTED_VALUE"""),18.51)</f>
        <v>18.51</v>
      </c>
      <c r="F3805" s="2">
        <f>IFERROR(__xludf.DUMMYFUNCTION("""COMPUTED_VALUE"""),1595300.0)</f>
        <v>1595300</v>
      </c>
    </row>
    <row r="3806">
      <c r="A3806" s="3">
        <f>IFERROR(__xludf.DUMMYFUNCTION("""COMPUTED_VALUE"""),34717.666666666664)</f>
        <v>34717.66667</v>
      </c>
      <c r="B3806" s="2">
        <f>IFERROR(__xludf.DUMMYFUNCTION("""COMPUTED_VALUE"""),18.43)</f>
        <v>18.43</v>
      </c>
      <c r="C3806" s="2">
        <f>IFERROR(__xludf.DUMMYFUNCTION("""COMPUTED_VALUE"""),18.6)</f>
        <v>18.6</v>
      </c>
      <c r="D3806" s="2">
        <f>IFERROR(__xludf.DUMMYFUNCTION("""COMPUTED_VALUE"""),18.3)</f>
        <v>18.3</v>
      </c>
      <c r="E3806" s="2">
        <f>IFERROR(__xludf.DUMMYFUNCTION("""COMPUTED_VALUE"""),18.45)</f>
        <v>18.45</v>
      </c>
      <c r="F3806" s="2">
        <f>IFERROR(__xludf.DUMMYFUNCTION("""COMPUTED_VALUE"""),1842600.0)</f>
        <v>1842600</v>
      </c>
    </row>
    <row r="3807">
      <c r="A3807" s="3">
        <f>IFERROR(__xludf.DUMMYFUNCTION("""COMPUTED_VALUE"""),34718.666666666664)</f>
        <v>34718.66667</v>
      </c>
      <c r="B3807" s="2">
        <f>IFERROR(__xludf.DUMMYFUNCTION("""COMPUTED_VALUE"""),18.3)</f>
        <v>18.3</v>
      </c>
      <c r="C3807" s="2">
        <f>IFERROR(__xludf.DUMMYFUNCTION("""COMPUTED_VALUE"""),18.54)</f>
        <v>18.54</v>
      </c>
      <c r="D3807" s="2">
        <f>IFERROR(__xludf.DUMMYFUNCTION("""COMPUTED_VALUE"""),18.24)</f>
        <v>18.24</v>
      </c>
      <c r="E3807" s="2">
        <f>IFERROR(__xludf.DUMMYFUNCTION("""COMPUTED_VALUE"""),18.27)</f>
        <v>18.27</v>
      </c>
      <c r="F3807" s="2">
        <f>IFERROR(__xludf.DUMMYFUNCTION("""COMPUTED_VALUE"""),1713900.0)</f>
        <v>1713900</v>
      </c>
    </row>
    <row r="3808">
      <c r="A3808" s="3">
        <f>IFERROR(__xludf.DUMMYFUNCTION("""COMPUTED_VALUE"""),34719.666666666664)</f>
        <v>34719.66667</v>
      </c>
      <c r="B3808" s="2">
        <f>IFERROR(__xludf.DUMMYFUNCTION("""COMPUTED_VALUE"""),18.13)</f>
        <v>18.13</v>
      </c>
      <c r="C3808" s="2">
        <f>IFERROR(__xludf.DUMMYFUNCTION("""COMPUTED_VALUE"""),18.27)</f>
        <v>18.27</v>
      </c>
      <c r="D3808" s="2">
        <f>IFERROR(__xludf.DUMMYFUNCTION("""COMPUTED_VALUE"""),17.91)</f>
        <v>17.91</v>
      </c>
      <c r="E3808" s="2">
        <f>IFERROR(__xludf.DUMMYFUNCTION("""COMPUTED_VALUE"""),18.0)</f>
        <v>18</v>
      </c>
      <c r="F3808" s="2">
        <f>IFERROR(__xludf.DUMMYFUNCTION("""COMPUTED_VALUE"""),3333400.0)</f>
        <v>3333400</v>
      </c>
    </row>
    <row r="3809">
      <c r="A3809" s="3">
        <f>IFERROR(__xludf.DUMMYFUNCTION("""COMPUTED_VALUE"""),34722.666666666664)</f>
        <v>34722.66667</v>
      </c>
      <c r="B3809" s="2">
        <f>IFERROR(__xludf.DUMMYFUNCTION("""COMPUTED_VALUE"""),17.68)</f>
        <v>17.68</v>
      </c>
      <c r="C3809" s="2">
        <f>IFERROR(__xludf.DUMMYFUNCTION("""COMPUTED_VALUE"""),17.79)</f>
        <v>17.79</v>
      </c>
      <c r="D3809" s="2">
        <f>IFERROR(__xludf.DUMMYFUNCTION("""COMPUTED_VALUE"""),17.28)</f>
        <v>17.28</v>
      </c>
      <c r="E3809" s="2">
        <f>IFERROR(__xludf.DUMMYFUNCTION("""COMPUTED_VALUE"""),17.73)</f>
        <v>17.73</v>
      </c>
      <c r="F3809" s="2">
        <f>IFERROR(__xludf.DUMMYFUNCTION("""COMPUTED_VALUE"""),4913700.0)</f>
        <v>4913700</v>
      </c>
    </row>
    <row r="3810">
      <c r="A3810" s="3">
        <f>IFERROR(__xludf.DUMMYFUNCTION("""COMPUTED_VALUE"""),34723.666666666664)</f>
        <v>34723.66667</v>
      </c>
      <c r="B3810" s="2">
        <f>IFERROR(__xludf.DUMMYFUNCTION("""COMPUTED_VALUE"""),17.59)</f>
        <v>17.59</v>
      </c>
      <c r="C3810" s="2">
        <f>IFERROR(__xludf.DUMMYFUNCTION("""COMPUTED_VALUE"""),17.88)</f>
        <v>17.88</v>
      </c>
      <c r="D3810" s="2">
        <f>IFERROR(__xludf.DUMMYFUNCTION("""COMPUTED_VALUE"""),17.55)</f>
        <v>17.55</v>
      </c>
      <c r="E3810" s="2">
        <f>IFERROR(__xludf.DUMMYFUNCTION("""COMPUTED_VALUE"""),17.67)</f>
        <v>17.67</v>
      </c>
      <c r="F3810" s="2">
        <f>IFERROR(__xludf.DUMMYFUNCTION("""COMPUTED_VALUE"""),3176600.0)</f>
        <v>3176600</v>
      </c>
    </row>
    <row r="3811">
      <c r="A3811" s="3">
        <f>IFERROR(__xludf.DUMMYFUNCTION("""COMPUTED_VALUE"""),34724.666666666664)</f>
        <v>34724.66667</v>
      </c>
      <c r="B3811" s="2">
        <f>IFERROR(__xludf.DUMMYFUNCTION("""COMPUTED_VALUE"""),17.28)</f>
        <v>17.28</v>
      </c>
      <c r="C3811" s="2">
        <f>IFERROR(__xludf.DUMMYFUNCTION("""COMPUTED_VALUE"""),17.46)</f>
        <v>17.46</v>
      </c>
      <c r="D3811" s="2">
        <f>IFERROR(__xludf.DUMMYFUNCTION("""COMPUTED_VALUE"""),17.19)</f>
        <v>17.19</v>
      </c>
      <c r="E3811" s="2">
        <f>IFERROR(__xludf.DUMMYFUNCTION("""COMPUTED_VALUE"""),17.28)</f>
        <v>17.28</v>
      </c>
      <c r="F3811" s="2">
        <f>IFERROR(__xludf.DUMMYFUNCTION("""COMPUTED_VALUE"""),3808000.0)</f>
        <v>3808000</v>
      </c>
    </row>
    <row r="3812">
      <c r="A3812" s="3">
        <f>IFERROR(__xludf.DUMMYFUNCTION("""COMPUTED_VALUE"""),34725.666666666664)</f>
        <v>34725.66667</v>
      </c>
      <c r="B3812" s="2">
        <f>IFERROR(__xludf.DUMMYFUNCTION("""COMPUTED_VALUE"""),17.28)</f>
        <v>17.28</v>
      </c>
      <c r="C3812" s="2">
        <f>IFERROR(__xludf.DUMMYFUNCTION("""COMPUTED_VALUE"""),17.52)</f>
        <v>17.52</v>
      </c>
      <c r="D3812" s="2">
        <f>IFERROR(__xludf.DUMMYFUNCTION("""COMPUTED_VALUE"""),17.25)</f>
        <v>17.25</v>
      </c>
      <c r="E3812" s="2">
        <f>IFERROR(__xludf.DUMMYFUNCTION("""COMPUTED_VALUE"""),17.28)</f>
        <v>17.28</v>
      </c>
      <c r="F3812" s="2">
        <f>IFERROR(__xludf.DUMMYFUNCTION("""COMPUTED_VALUE"""),2138900.0)</f>
        <v>2138900</v>
      </c>
    </row>
    <row r="3813">
      <c r="A3813" s="3">
        <f>IFERROR(__xludf.DUMMYFUNCTION("""COMPUTED_VALUE"""),34726.666666666664)</f>
        <v>34726.66667</v>
      </c>
      <c r="B3813" s="2">
        <f>IFERROR(__xludf.DUMMYFUNCTION("""COMPUTED_VALUE"""),17.27)</f>
        <v>17.27</v>
      </c>
      <c r="C3813" s="2">
        <f>IFERROR(__xludf.DUMMYFUNCTION("""COMPUTED_VALUE"""),17.46)</f>
        <v>17.46</v>
      </c>
      <c r="D3813" s="2">
        <f>IFERROR(__xludf.DUMMYFUNCTION("""COMPUTED_VALUE"""),16.87)</f>
        <v>16.87</v>
      </c>
      <c r="E3813" s="2">
        <f>IFERROR(__xludf.DUMMYFUNCTION("""COMPUTED_VALUE"""),17.31)</f>
        <v>17.31</v>
      </c>
      <c r="F3813" s="2">
        <f>IFERROR(__xludf.DUMMYFUNCTION("""COMPUTED_VALUE"""),2717100.0)</f>
        <v>2717100</v>
      </c>
    </row>
    <row r="3814">
      <c r="A3814" s="3">
        <f>IFERROR(__xludf.DUMMYFUNCTION("""COMPUTED_VALUE"""),34729.666666666664)</f>
        <v>34729.66667</v>
      </c>
      <c r="B3814" s="2">
        <f>IFERROR(__xludf.DUMMYFUNCTION("""COMPUTED_VALUE"""),17.27)</f>
        <v>17.27</v>
      </c>
      <c r="C3814" s="2">
        <f>IFERROR(__xludf.DUMMYFUNCTION("""COMPUTED_VALUE"""),17.43)</f>
        <v>17.43</v>
      </c>
      <c r="D3814" s="2">
        <f>IFERROR(__xludf.DUMMYFUNCTION("""COMPUTED_VALUE"""),17.07)</f>
        <v>17.07</v>
      </c>
      <c r="E3814" s="2">
        <f>IFERROR(__xludf.DUMMYFUNCTION("""COMPUTED_VALUE"""),17.13)</f>
        <v>17.13</v>
      </c>
      <c r="F3814" s="2">
        <f>IFERROR(__xludf.DUMMYFUNCTION("""COMPUTED_VALUE"""),1418500.0)</f>
        <v>1418500</v>
      </c>
    </row>
    <row r="3815">
      <c r="A3815" s="3">
        <f>IFERROR(__xludf.DUMMYFUNCTION("""COMPUTED_VALUE"""),34730.666666666664)</f>
        <v>34730.66667</v>
      </c>
      <c r="B3815" s="2">
        <f>IFERROR(__xludf.DUMMYFUNCTION("""COMPUTED_VALUE"""),17.09)</f>
        <v>17.09</v>
      </c>
      <c r="C3815" s="2">
        <f>IFERROR(__xludf.DUMMYFUNCTION("""COMPUTED_VALUE"""),17.4)</f>
        <v>17.4</v>
      </c>
      <c r="D3815" s="2">
        <f>IFERROR(__xludf.DUMMYFUNCTION("""COMPUTED_VALUE"""),16.78)</f>
        <v>16.78</v>
      </c>
      <c r="E3815" s="2">
        <f>IFERROR(__xludf.DUMMYFUNCTION("""COMPUTED_VALUE"""),17.25)</f>
        <v>17.25</v>
      </c>
      <c r="F3815" s="2">
        <f>IFERROR(__xludf.DUMMYFUNCTION("""COMPUTED_VALUE"""),2741900.0)</f>
        <v>2741900</v>
      </c>
    </row>
    <row r="3816">
      <c r="A3816" s="3">
        <f>IFERROR(__xludf.DUMMYFUNCTION("""COMPUTED_VALUE"""),34731.666666666664)</f>
        <v>34731.66667</v>
      </c>
      <c r="B3816" s="2">
        <f>IFERROR(__xludf.DUMMYFUNCTION("""COMPUTED_VALUE"""),17.58)</f>
        <v>17.58</v>
      </c>
      <c r="C3816" s="2">
        <f>IFERROR(__xludf.DUMMYFUNCTION("""COMPUTED_VALUE"""),17.64)</f>
        <v>17.64</v>
      </c>
      <c r="D3816" s="2">
        <f>IFERROR(__xludf.DUMMYFUNCTION("""COMPUTED_VALUE"""),17.25)</f>
        <v>17.25</v>
      </c>
      <c r="E3816" s="2">
        <f>IFERROR(__xludf.DUMMYFUNCTION("""COMPUTED_VALUE"""),17.58)</f>
        <v>17.58</v>
      </c>
      <c r="F3816" s="2">
        <f>IFERROR(__xludf.DUMMYFUNCTION("""COMPUTED_VALUE"""),3292000.0)</f>
        <v>3292000</v>
      </c>
    </row>
    <row r="3817">
      <c r="A3817" s="3">
        <f>IFERROR(__xludf.DUMMYFUNCTION("""COMPUTED_VALUE"""),34732.666666666664)</f>
        <v>34732.66667</v>
      </c>
      <c r="B3817" s="2">
        <f>IFERROR(__xludf.DUMMYFUNCTION("""COMPUTED_VALUE"""),17.76)</f>
        <v>17.76</v>
      </c>
      <c r="C3817" s="2">
        <f>IFERROR(__xludf.DUMMYFUNCTION("""COMPUTED_VALUE"""),17.76)</f>
        <v>17.76</v>
      </c>
      <c r="D3817" s="2">
        <f>IFERROR(__xludf.DUMMYFUNCTION("""COMPUTED_VALUE"""),17.55)</f>
        <v>17.55</v>
      </c>
      <c r="E3817" s="2">
        <f>IFERROR(__xludf.DUMMYFUNCTION("""COMPUTED_VALUE"""),17.76)</f>
        <v>17.76</v>
      </c>
      <c r="F3817" s="2">
        <f>IFERROR(__xludf.DUMMYFUNCTION("""COMPUTED_VALUE"""),1458600.0)</f>
        <v>1458600</v>
      </c>
    </row>
    <row r="3818">
      <c r="A3818" s="3">
        <f>IFERROR(__xludf.DUMMYFUNCTION("""COMPUTED_VALUE"""),34733.666666666664)</f>
        <v>34733.66667</v>
      </c>
      <c r="B3818" s="2">
        <f>IFERROR(__xludf.DUMMYFUNCTION("""COMPUTED_VALUE"""),17.82)</f>
        <v>17.82</v>
      </c>
      <c r="C3818" s="2">
        <f>IFERROR(__xludf.DUMMYFUNCTION("""COMPUTED_VALUE"""),17.97)</f>
        <v>17.97</v>
      </c>
      <c r="D3818" s="2">
        <f>IFERROR(__xludf.DUMMYFUNCTION("""COMPUTED_VALUE"""),17.79)</f>
        <v>17.79</v>
      </c>
      <c r="E3818" s="2">
        <f>IFERROR(__xludf.DUMMYFUNCTION("""COMPUTED_VALUE"""),17.82)</f>
        <v>17.82</v>
      </c>
      <c r="F3818" s="2">
        <f>IFERROR(__xludf.DUMMYFUNCTION("""COMPUTED_VALUE"""),2560800.0)</f>
        <v>2560800</v>
      </c>
    </row>
    <row r="3819">
      <c r="A3819" s="3">
        <f>IFERROR(__xludf.DUMMYFUNCTION("""COMPUTED_VALUE"""),34736.666666666664)</f>
        <v>34736.66667</v>
      </c>
      <c r="B3819" s="2">
        <f>IFERROR(__xludf.DUMMYFUNCTION("""COMPUTED_VALUE"""),17.76)</f>
        <v>17.76</v>
      </c>
      <c r="C3819" s="2">
        <f>IFERROR(__xludf.DUMMYFUNCTION("""COMPUTED_VALUE"""),17.88)</f>
        <v>17.88</v>
      </c>
      <c r="D3819" s="2">
        <f>IFERROR(__xludf.DUMMYFUNCTION("""COMPUTED_VALUE"""),17.7)</f>
        <v>17.7</v>
      </c>
      <c r="E3819" s="2">
        <f>IFERROR(__xludf.DUMMYFUNCTION("""COMPUTED_VALUE"""),17.76)</f>
        <v>17.76</v>
      </c>
      <c r="F3819" s="2">
        <f>IFERROR(__xludf.DUMMYFUNCTION("""COMPUTED_VALUE"""),1352100.0)</f>
        <v>1352100</v>
      </c>
    </row>
    <row r="3820">
      <c r="A3820" s="3">
        <f>IFERROR(__xludf.DUMMYFUNCTION("""COMPUTED_VALUE"""),34737.666666666664)</f>
        <v>34737.66667</v>
      </c>
      <c r="B3820" s="2">
        <f>IFERROR(__xludf.DUMMYFUNCTION("""COMPUTED_VALUE"""),17.64)</f>
        <v>17.64</v>
      </c>
      <c r="C3820" s="2">
        <f>IFERROR(__xludf.DUMMYFUNCTION("""COMPUTED_VALUE"""),17.76)</f>
        <v>17.76</v>
      </c>
      <c r="D3820" s="2">
        <f>IFERROR(__xludf.DUMMYFUNCTION("""COMPUTED_VALUE"""),17.64)</f>
        <v>17.64</v>
      </c>
      <c r="E3820" s="2">
        <f>IFERROR(__xludf.DUMMYFUNCTION("""COMPUTED_VALUE"""),17.73)</f>
        <v>17.73</v>
      </c>
      <c r="F3820" s="2">
        <f>IFERROR(__xludf.DUMMYFUNCTION("""COMPUTED_VALUE"""),1450600.0)</f>
        <v>1450600</v>
      </c>
    </row>
    <row r="3821">
      <c r="A3821" s="3">
        <f>IFERROR(__xludf.DUMMYFUNCTION("""COMPUTED_VALUE"""),34738.666666666664)</f>
        <v>34738.66667</v>
      </c>
      <c r="B3821" s="2">
        <f>IFERROR(__xludf.DUMMYFUNCTION("""COMPUTED_VALUE"""),17.73)</f>
        <v>17.73</v>
      </c>
      <c r="C3821" s="2">
        <f>IFERROR(__xludf.DUMMYFUNCTION("""COMPUTED_VALUE"""),17.88)</f>
        <v>17.88</v>
      </c>
      <c r="D3821" s="2">
        <f>IFERROR(__xludf.DUMMYFUNCTION("""COMPUTED_VALUE"""),17.7)</f>
        <v>17.7</v>
      </c>
      <c r="E3821" s="2">
        <f>IFERROR(__xludf.DUMMYFUNCTION("""COMPUTED_VALUE"""),17.73)</f>
        <v>17.73</v>
      </c>
      <c r="F3821" s="2">
        <f>IFERROR(__xludf.DUMMYFUNCTION("""COMPUTED_VALUE"""),1496400.0)</f>
        <v>1496400</v>
      </c>
    </row>
    <row r="3822">
      <c r="A3822" s="3">
        <f>IFERROR(__xludf.DUMMYFUNCTION("""COMPUTED_VALUE"""),34739.666666666664)</f>
        <v>34739.66667</v>
      </c>
      <c r="B3822" s="2">
        <f>IFERROR(__xludf.DUMMYFUNCTION("""COMPUTED_VALUE"""),17.91)</f>
        <v>17.91</v>
      </c>
      <c r="C3822" s="2">
        <f>IFERROR(__xludf.DUMMYFUNCTION("""COMPUTED_VALUE"""),17.97)</f>
        <v>17.97</v>
      </c>
      <c r="D3822" s="2">
        <f>IFERROR(__xludf.DUMMYFUNCTION("""COMPUTED_VALUE"""),17.73)</f>
        <v>17.73</v>
      </c>
      <c r="E3822" s="2">
        <f>IFERROR(__xludf.DUMMYFUNCTION("""COMPUTED_VALUE"""),17.91)</f>
        <v>17.91</v>
      </c>
      <c r="F3822" s="2">
        <f>IFERROR(__xludf.DUMMYFUNCTION("""COMPUTED_VALUE"""),1974000.0)</f>
        <v>1974000</v>
      </c>
    </row>
    <row r="3823">
      <c r="A3823" s="3">
        <f>IFERROR(__xludf.DUMMYFUNCTION("""COMPUTED_VALUE"""),34740.666666666664)</f>
        <v>34740.66667</v>
      </c>
      <c r="B3823" s="2">
        <f>IFERROR(__xludf.DUMMYFUNCTION("""COMPUTED_VALUE"""),17.91)</f>
        <v>17.91</v>
      </c>
      <c r="C3823" s="2">
        <f>IFERROR(__xludf.DUMMYFUNCTION("""COMPUTED_VALUE"""),18.09)</f>
        <v>18.09</v>
      </c>
      <c r="D3823" s="2">
        <f>IFERROR(__xludf.DUMMYFUNCTION("""COMPUTED_VALUE"""),17.91)</f>
        <v>17.91</v>
      </c>
      <c r="E3823" s="2">
        <f>IFERROR(__xludf.DUMMYFUNCTION("""COMPUTED_VALUE"""),17.91)</f>
        <v>17.91</v>
      </c>
      <c r="F3823" s="2">
        <f>IFERROR(__xludf.DUMMYFUNCTION("""COMPUTED_VALUE"""),1539000.0)</f>
        <v>1539000</v>
      </c>
    </row>
    <row r="3824">
      <c r="A3824" s="3">
        <f>IFERROR(__xludf.DUMMYFUNCTION("""COMPUTED_VALUE"""),34743.666666666664)</f>
        <v>34743.66667</v>
      </c>
      <c r="B3824" s="2">
        <f>IFERROR(__xludf.DUMMYFUNCTION("""COMPUTED_VALUE"""),17.85)</f>
        <v>17.85</v>
      </c>
      <c r="C3824" s="2">
        <f>IFERROR(__xludf.DUMMYFUNCTION("""COMPUTED_VALUE"""),18.0)</f>
        <v>18</v>
      </c>
      <c r="D3824" s="2">
        <f>IFERROR(__xludf.DUMMYFUNCTION("""COMPUTED_VALUE"""),17.85)</f>
        <v>17.85</v>
      </c>
      <c r="E3824" s="2">
        <f>IFERROR(__xludf.DUMMYFUNCTION("""COMPUTED_VALUE"""),17.88)</f>
        <v>17.88</v>
      </c>
      <c r="F3824" s="2">
        <f>IFERROR(__xludf.DUMMYFUNCTION("""COMPUTED_VALUE"""),1221800.0)</f>
        <v>1221800</v>
      </c>
    </row>
    <row r="3825">
      <c r="A3825" s="3">
        <f>IFERROR(__xludf.DUMMYFUNCTION("""COMPUTED_VALUE"""),34744.666666666664)</f>
        <v>34744.66667</v>
      </c>
      <c r="B3825" s="2">
        <f>IFERROR(__xludf.DUMMYFUNCTION("""COMPUTED_VALUE"""),17.82)</f>
        <v>17.82</v>
      </c>
      <c r="C3825" s="2">
        <f>IFERROR(__xludf.DUMMYFUNCTION("""COMPUTED_VALUE"""),18.06)</f>
        <v>18.06</v>
      </c>
      <c r="D3825" s="2">
        <f>IFERROR(__xludf.DUMMYFUNCTION("""COMPUTED_VALUE"""),17.82)</f>
        <v>17.82</v>
      </c>
      <c r="E3825" s="2">
        <f>IFERROR(__xludf.DUMMYFUNCTION("""COMPUTED_VALUE"""),18.06)</f>
        <v>18.06</v>
      </c>
      <c r="F3825" s="2">
        <f>IFERROR(__xludf.DUMMYFUNCTION("""COMPUTED_VALUE"""),1696400.0)</f>
        <v>1696400</v>
      </c>
    </row>
    <row r="3826">
      <c r="A3826" s="3">
        <f>IFERROR(__xludf.DUMMYFUNCTION("""COMPUTED_VALUE"""),34745.666666666664)</f>
        <v>34745.66667</v>
      </c>
      <c r="B3826" s="2">
        <f>IFERROR(__xludf.DUMMYFUNCTION("""COMPUTED_VALUE"""),17.95)</f>
        <v>17.95</v>
      </c>
      <c r="C3826" s="2">
        <f>IFERROR(__xludf.DUMMYFUNCTION("""COMPUTED_VALUE"""),18.12)</f>
        <v>18.12</v>
      </c>
      <c r="D3826" s="2">
        <f>IFERROR(__xludf.DUMMYFUNCTION("""COMPUTED_VALUE"""),17.94)</f>
        <v>17.94</v>
      </c>
      <c r="E3826" s="2">
        <f>IFERROR(__xludf.DUMMYFUNCTION("""COMPUTED_VALUE"""),18.03)</f>
        <v>18.03</v>
      </c>
      <c r="F3826" s="2">
        <f>IFERROR(__xludf.DUMMYFUNCTION("""COMPUTED_VALUE"""),1624700.0)</f>
        <v>1624700</v>
      </c>
    </row>
    <row r="3827">
      <c r="A3827" s="3">
        <f>IFERROR(__xludf.DUMMYFUNCTION("""COMPUTED_VALUE"""),34746.666666666664)</f>
        <v>34746.66667</v>
      </c>
      <c r="B3827" s="2">
        <f>IFERROR(__xludf.DUMMYFUNCTION("""COMPUTED_VALUE"""),18.03)</f>
        <v>18.03</v>
      </c>
      <c r="C3827" s="2">
        <f>IFERROR(__xludf.DUMMYFUNCTION("""COMPUTED_VALUE"""),18.21)</f>
        <v>18.21</v>
      </c>
      <c r="D3827" s="2">
        <f>IFERROR(__xludf.DUMMYFUNCTION("""COMPUTED_VALUE"""),18.03)</f>
        <v>18.03</v>
      </c>
      <c r="E3827" s="2">
        <f>IFERROR(__xludf.DUMMYFUNCTION("""COMPUTED_VALUE"""),18.03)</f>
        <v>18.03</v>
      </c>
      <c r="F3827" s="2">
        <f>IFERROR(__xludf.DUMMYFUNCTION("""COMPUTED_VALUE"""),1702400.0)</f>
        <v>1702400</v>
      </c>
    </row>
    <row r="3828">
      <c r="A3828" s="3">
        <f>IFERROR(__xludf.DUMMYFUNCTION("""COMPUTED_VALUE"""),34747.666666666664)</f>
        <v>34747.66667</v>
      </c>
      <c r="B3828" s="2">
        <f>IFERROR(__xludf.DUMMYFUNCTION("""COMPUTED_VALUE"""),17.98)</f>
        <v>17.98</v>
      </c>
      <c r="C3828" s="2">
        <f>IFERROR(__xludf.DUMMYFUNCTION("""COMPUTED_VALUE"""),18.09)</f>
        <v>18.09</v>
      </c>
      <c r="D3828" s="2">
        <f>IFERROR(__xludf.DUMMYFUNCTION("""COMPUTED_VALUE"""),17.85)</f>
        <v>17.85</v>
      </c>
      <c r="E3828" s="2">
        <f>IFERROR(__xludf.DUMMYFUNCTION("""COMPUTED_VALUE"""),17.91)</f>
        <v>17.91</v>
      </c>
      <c r="F3828" s="2">
        <f>IFERROR(__xludf.DUMMYFUNCTION("""COMPUTED_VALUE"""),2918000.0)</f>
        <v>2918000</v>
      </c>
    </row>
    <row r="3829">
      <c r="A3829" s="3">
        <f>IFERROR(__xludf.DUMMYFUNCTION("""COMPUTED_VALUE"""),34751.666666666664)</f>
        <v>34751.66667</v>
      </c>
      <c r="B3829" s="2">
        <f>IFERROR(__xludf.DUMMYFUNCTION("""COMPUTED_VALUE"""),17.8)</f>
        <v>17.8</v>
      </c>
      <c r="C3829" s="2">
        <f>IFERROR(__xludf.DUMMYFUNCTION("""COMPUTED_VALUE"""),17.94)</f>
        <v>17.94</v>
      </c>
      <c r="D3829" s="2">
        <f>IFERROR(__xludf.DUMMYFUNCTION("""COMPUTED_VALUE"""),17.7)</f>
        <v>17.7</v>
      </c>
      <c r="E3829" s="2">
        <f>IFERROR(__xludf.DUMMYFUNCTION("""COMPUTED_VALUE"""),17.73)</f>
        <v>17.73</v>
      </c>
      <c r="F3829" s="2">
        <f>IFERROR(__xludf.DUMMYFUNCTION("""COMPUTED_VALUE"""),1557000.0)</f>
        <v>1557000</v>
      </c>
    </row>
    <row r="3830">
      <c r="A3830" s="3">
        <f>IFERROR(__xludf.DUMMYFUNCTION("""COMPUTED_VALUE"""),34752.666666666664)</f>
        <v>34752.66667</v>
      </c>
      <c r="B3830" s="2">
        <f>IFERROR(__xludf.DUMMYFUNCTION("""COMPUTED_VALUE"""),17.88)</f>
        <v>17.88</v>
      </c>
      <c r="C3830" s="2">
        <f>IFERROR(__xludf.DUMMYFUNCTION("""COMPUTED_VALUE"""),17.88)</f>
        <v>17.88</v>
      </c>
      <c r="D3830" s="2">
        <f>IFERROR(__xludf.DUMMYFUNCTION("""COMPUTED_VALUE"""),17.7)</f>
        <v>17.7</v>
      </c>
      <c r="E3830" s="2">
        <f>IFERROR(__xludf.DUMMYFUNCTION("""COMPUTED_VALUE"""),17.88)</f>
        <v>17.88</v>
      </c>
      <c r="F3830" s="2">
        <f>IFERROR(__xludf.DUMMYFUNCTION("""COMPUTED_VALUE"""),1715500.0)</f>
        <v>1715500</v>
      </c>
    </row>
    <row r="3831">
      <c r="A3831" s="3">
        <f>IFERROR(__xludf.DUMMYFUNCTION("""COMPUTED_VALUE"""),34753.666666666664)</f>
        <v>34753.66667</v>
      </c>
      <c r="B3831" s="2">
        <f>IFERROR(__xludf.DUMMYFUNCTION("""COMPUTED_VALUE"""),17.74)</f>
        <v>17.74</v>
      </c>
      <c r="C3831" s="2">
        <f>IFERROR(__xludf.DUMMYFUNCTION("""COMPUTED_VALUE"""),18.09)</f>
        <v>18.09</v>
      </c>
      <c r="D3831" s="2">
        <f>IFERROR(__xludf.DUMMYFUNCTION("""COMPUTED_VALUE"""),17.7)</f>
        <v>17.7</v>
      </c>
      <c r="E3831" s="2">
        <f>IFERROR(__xludf.DUMMYFUNCTION("""COMPUTED_VALUE"""),17.73)</f>
        <v>17.73</v>
      </c>
      <c r="F3831" s="2">
        <f>IFERROR(__xludf.DUMMYFUNCTION("""COMPUTED_VALUE"""),2206600.0)</f>
        <v>2206600</v>
      </c>
    </row>
    <row r="3832">
      <c r="A3832" s="3">
        <f>IFERROR(__xludf.DUMMYFUNCTION("""COMPUTED_VALUE"""),34754.666666666664)</f>
        <v>34754.66667</v>
      </c>
      <c r="B3832" s="2">
        <f>IFERROR(__xludf.DUMMYFUNCTION("""COMPUTED_VALUE"""),17.88)</f>
        <v>17.88</v>
      </c>
      <c r="C3832" s="2">
        <f>IFERROR(__xludf.DUMMYFUNCTION("""COMPUTED_VALUE"""),18.0)</f>
        <v>18</v>
      </c>
      <c r="D3832" s="2">
        <f>IFERROR(__xludf.DUMMYFUNCTION("""COMPUTED_VALUE"""),17.73)</f>
        <v>17.73</v>
      </c>
      <c r="E3832" s="2">
        <f>IFERROR(__xludf.DUMMYFUNCTION("""COMPUTED_VALUE"""),17.88)</f>
        <v>17.88</v>
      </c>
      <c r="F3832" s="2">
        <f>IFERROR(__xludf.DUMMYFUNCTION("""COMPUTED_VALUE"""),1563600.0)</f>
        <v>1563600</v>
      </c>
    </row>
    <row r="3833">
      <c r="A3833" s="3">
        <f>IFERROR(__xludf.DUMMYFUNCTION("""COMPUTED_VALUE"""),34757.666666666664)</f>
        <v>34757.66667</v>
      </c>
      <c r="B3833" s="2">
        <f>IFERROR(__xludf.DUMMYFUNCTION("""COMPUTED_VALUE"""),17.71)</f>
        <v>17.71</v>
      </c>
      <c r="C3833" s="2">
        <f>IFERROR(__xludf.DUMMYFUNCTION("""COMPUTED_VALUE"""),18.0)</f>
        <v>18</v>
      </c>
      <c r="D3833" s="2">
        <f>IFERROR(__xludf.DUMMYFUNCTION("""COMPUTED_VALUE"""),17.61)</f>
        <v>17.61</v>
      </c>
      <c r="E3833" s="2">
        <f>IFERROR(__xludf.DUMMYFUNCTION("""COMPUTED_VALUE"""),17.67)</f>
        <v>17.67</v>
      </c>
      <c r="F3833" s="2">
        <f>IFERROR(__xludf.DUMMYFUNCTION("""COMPUTED_VALUE"""),2053200.0)</f>
        <v>2053200</v>
      </c>
    </row>
    <row r="3834">
      <c r="A3834" s="3">
        <f>IFERROR(__xludf.DUMMYFUNCTION("""COMPUTED_VALUE"""),34758.666666666664)</f>
        <v>34758.66667</v>
      </c>
      <c r="B3834" s="2">
        <f>IFERROR(__xludf.DUMMYFUNCTION("""COMPUTED_VALUE"""),17.97)</f>
        <v>17.97</v>
      </c>
      <c r="C3834" s="2">
        <f>IFERROR(__xludf.DUMMYFUNCTION("""COMPUTED_VALUE"""),17.97)</f>
        <v>17.97</v>
      </c>
      <c r="D3834" s="2">
        <f>IFERROR(__xludf.DUMMYFUNCTION("""COMPUTED_VALUE"""),17.67)</f>
        <v>17.67</v>
      </c>
      <c r="E3834" s="2">
        <f>IFERROR(__xludf.DUMMYFUNCTION("""COMPUTED_VALUE"""),17.97)</f>
        <v>17.97</v>
      </c>
      <c r="F3834" s="2">
        <f>IFERROR(__xludf.DUMMYFUNCTION("""COMPUTED_VALUE"""),1798600.0)</f>
        <v>1798600</v>
      </c>
    </row>
    <row r="3835">
      <c r="A3835" s="3">
        <f>IFERROR(__xludf.DUMMYFUNCTION("""COMPUTED_VALUE"""),34759.666666666664)</f>
        <v>34759.66667</v>
      </c>
      <c r="B3835" s="2">
        <f>IFERROR(__xludf.DUMMYFUNCTION("""COMPUTED_VALUE"""),18.0)</f>
        <v>18</v>
      </c>
      <c r="C3835" s="2">
        <f>IFERROR(__xludf.DUMMYFUNCTION("""COMPUTED_VALUE"""),18.24)</f>
        <v>18.24</v>
      </c>
      <c r="D3835" s="2">
        <f>IFERROR(__xludf.DUMMYFUNCTION("""COMPUTED_VALUE"""),17.94)</f>
        <v>17.94</v>
      </c>
      <c r="E3835" s="2">
        <f>IFERROR(__xludf.DUMMYFUNCTION("""COMPUTED_VALUE"""),18.0)</f>
        <v>18</v>
      </c>
      <c r="F3835" s="2">
        <f>IFERROR(__xludf.DUMMYFUNCTION("""COMPUTED_VALUE"""),2050500.0)</f>
        <v>2050500</v>
      </c>
    </row>
    <row r="3836">
      <c r="A3836" s="3">
        <f>IFERROR(__xludf.DUMMYFUNCTION("""COMPUTED_VALUE"""),34760.666666666664)</f>
        <v>34760.66667</v>
      </c>
      <c r="B3836" s="2">
        <f>IFERROR(__xludf.DUMMYFUNCTION("""COMPUTED_VALUE"""),18.45)</f>
        <v>18.45</v>
      </c>
      <c r="C3836" s="2">
        <f>IFERROR(__xludf.DUMMYFUNCTION("""COMPUTED_VALUE"""),18.48)</f>
        <v>18.48</v>
      </c>
      <c r="D3836" s="2">
        <f>IFERROR(__xludf.DUMMYFUNCTION("""COMPUTED_VALUE"""),18.0)</f>
        <v>18</v>
      </c>
      <c r="E3836" s="2">
        <f>IFERROR(__xludf.DUMMYFUNCTION("""COMPUTED_VALUE"""),18.45)</f>
        <v>18.45</v>
      </c>
      <c r="F3836" s="2">
        <f>IFERROR(__xludf.DUMMYFUNCTION("""COMPUTED_VALUE"""),2410800.0)</f>
        <v>2410800</v>
      </c>
    </row>
    <row r="3837">
      <c r="A3837" s="3">
        <f>IFERROR(__xludf.DUMMYFUNCTION("""COMPUTED_VALUE"""),34761.666666666664)</f>
        <v>34761.66667</v>
      </c>
      <c r="B3837" s="2">
        <f>IFERROR(__xludf.DUMMYFUNCTION("""COMPUTED_VALUE"""),19.01)</f>
        <v>19.01</v>
      </c>
      <c r="C3837" s="2">
        <f>IFERROR(__xludf.DUMMYFUNCTION("""COMPUTED_VALUE"""),19.07)</f>
        <v>19.07</v>
      </c>
      <c r="D3837" s="2">
        <f>IFERROR(__xludf.DUMMYFUNCTION("""COMPUTED_VALUE"""),18.39)</f>
        <v>18.39</v>
      </c>
      <c r="E3837" s="2">
        <f>IFERROR(__xludf.DUMMYFUNCTION("""COMPUTED_VALUE"""),19.01)</f>
        <v>19.01</v>
      </c>
      <c r="F3837" s="2">
        <f>IFERROR(__xludf.DUMMYFUNCTION("""COMPUTED_VALUE"""),5410700.0)</f>
        <v>5410700</v>
      </c>
    </row>
    <row r="3838">
      <c r="A3838" s="3">
        <f>IFERROR(__xludf.DUMMYFUNCTION("""COMPUTED_VALUE"""),34764.666666666664)</f>
        <v>34764.66667</v>
      </c>
      <c r="B3838" s="2">
        <f>IFERROR(__xludf.DUMMYFUNCTION("""COMPUTED_VALUE"""),19.16)</f>
        <v>19.16</v>
      </c>
      <c r="C3838" s="2">
        <f>IFERROR(__xludf.DUMMYFUNCTION("""COMPUTED_VALUE"""),19.4)</f>
        <v>19.4</v>
      </c>
      <c r="D3838" s="2">
        <f>IFERROR(__xludf.DUMMYFUNCTION("""COMPUTED_VALUE"""),18.98)</f>
        <v>18.98</v>
      </c>
      <c r="E3838" s="2">
        <f>IFERROR(__xludf.DUMMYFUNCTION("""COMPUTED_VALUE"""),19.16)</f>
        <v>19.16</v>
      </c>
      <c r="F3838" s="2">
        <f>IFERROR(__xludf.DUMMYFUNCTION("""COMPUTED_VALUE"""),5043300.0)</f>
        <v>5043300</v>
      </c>
    </row>
    <row r="3839">
      <c r="A3839" s="3">
        <f>IFERROR(__xludf.DUMMYFUNCTION("""COMPUTED_VALUE"""),34765.666666666664)</f>
        <v>34765.66667</v>
      </c>
      <c r="B3839" s="2">
        <f>IFERROR(__xludf.DUMMYFUNCTION("""COMPUTED_VALUE"""),19.07)</f>
        <v>19.07</v>
      </c>
      <c r="C3839" s="2">
        <f>IFERROR(__xludf.DUMMYFUNCTION("""COMPUTED_VALUE"""),19.31)</f>
        <v>19.31</v>
      </c>
      <c r="D3839" s="2">
        <f>IFERROR(__xludf.DUMMYFUNCTION("""COMPUTED_VALUE"""),18.95)</f>
        <v>18.95</v>
      </c>
      <c r="E3839" s="2">
        <f>IFERROR(__xludf.DUMMYFUNCTION("""COMPUTED_VALUE"""),19.07)</f>
        <v>19.07</v>
      </c>
      <c r="F3839" s="2">
        <f>IFERROR(__xludf.DUMMYFUNCTION("""COMPUTED_VALUE"""),3449600.0)</f>
        <v>3449600</v>
      </c>
    </row>
    <row r="3840">
      <c r="A3840" s="3">
        <f>IFERROR(__xludf.DUMMYFUNCTION("""COMPUTED_VALUE"""),34766.666666666664)</f>
        <v>34766.66667</v>
      </c>
      <c r="B3840" s="2">
        <f>IFERROR(__xludf.DUMMYFUNCTION("""COMPUTED_VALUE"""),18.93)</f>
        <v>18.93</v>
      </c>
      <c r="C3840" s="2">
        <f>IFERROR(__xludf.DUMMYFUNCTION("""COMPUTED_VALUE"""),19.1)</f>
        <v>19.1</v>
      </c>
      <c r="D3840" s="2">
        <f>IFERROR(__xludf.DUMMYFUNCTION("""COMPUTED_VALUE"""),18.75)</f>
        <v>18.75</v>
      </c>
      <c r="E3840" s="2">
        <f>IFERROR(__xludf.DUMMYFUNCTION("""COMPUTED_VALUE"""),19.04)</f>
        <v>19.04</v>
      </c>
      <c r="F3840" s="2">
        <f>IFERROR(__xludf.DUMMYFUNCTION("""COMPUTED_VALUE"""),3033300.0)</f>
        <v>3033300</v>
      </c>
    </row>
    <row r="3841">
      <c r="A3841" s="3">
        <f>IFERROR(__xludf.DUMMYFUNCTION("""COMPUTED_VALUE"""),34767.666666666664)</f>
        <v>34767.66667</v>
      </c>
      <c r="B3841" s="2">
        <f>IFERROR(__xludf.DUMMYFUNCTION("""COMPUTED_VALUE"""),19.25)</f>
        <v>19.25</v>
      </c>
      <c r="C3841" s="2">
        <f>IFERROR(__xludf.DUMMYFUNCTION("""COMPUTED_VALUE"""),19.43)</f>
        <v>19.43</v>
      </c>
      <c r="D3841" s="2">
        <f>IFERROR(__xludf.DUMMYFUNCTION("""COMPUTED_VALUE"""),19.19)</f>
        <v>19.19</v>
      </c>
      <c r="E3841" s="2">
        <f>IFERROR(__xludf.DUMMYFUNCTION("""COMPUTED_VALUE"""),19.25)</f>
        <v>19.25</v>
      </c>
      <c r="F3841" s="2">
        <f>IFERROR(__xludf.DUMMYFUNCTION("""COMPUTED_VALUE"""),3128200.0)</f>
        <v>3128200</v>
      </c>
    </row>
    <row r="3842">
      <c r="A3842" s="3">
        <f>IFERROR(__xludf.DUMMYFUNCTION("""COMPUTED_VALUE"""),34768.666666666664)</f>
        <v>34768.66667</v>
      </c>
      <c r="B3842" s="2">
        <f>IFERROR(__xludf.DUMMYFUNCTION("""COMPUTED_VALUE"""),19.2)</f>
        <v>19.2</v>
      </c>
      <c r="C3842" s="2">
        <f>IFERROR(__xludf.DUMMYFUNCTION("""COMPUTED_VALUE"""),19.49)</f>
        <v>19.49</v>
      </c>
      <c r="D3842" s="2">
        <f>IFERROR(__xludf.DUMMYFUNCTION("""COMPUTED_VALUE"""),19.19)</f>
        <v>19.19</v>
      </c>
      <c r="E3842" s="2">
        <f>IFERROR(__xludf.DUMMYFUNCTION("""COMPUTED_VALUE"""),19.37)</f>
        <v>19.37</v>
      </c>
      <c r="F3842" s="2">
        <f>IFERROR(__xludf.DUMMYFUNCTION("""COMPUTED_VALUE"""),2373100.0)</f>
        <v>2373100</v>
      </c>
    </row>
    <row r="3843">
      <c r="A3843" s="3">
        <f>IFERROR(__xludf.DUMMYFUNCTION("""COMPUTED_VALUE"""),34771.666666666664)</f>
        <v>34771.66667</v>
      </c>
      <c r="B3843" s="2">
        <f>IFERROR(__xludf.DUMMYFUNCTION("""COMPUTED_VALUE"""),19.61)</f>
        <v>19.61</v>
      </c>
      <c r="C3843" s="2">
        <f>IFERROR(__xludf.DUMMYFUNCTION("""COMPUTED_VALUE"""),19.82)</f>
        <v>19.82</v>
      </c>
      <c r="D3843" s="2">
        <f>IFERROR(__xludf.DUMMYFUNCTION("""COMPUTED_VALUE"""),19.46)</f>
        <v>19.46</v>
      </c>
      <c r="E3843" s="2">
        <f>IFERROR(__xludf.DUMMYFUNCTION("""COMPUTED_VALUE"""),19.61)</f>
        <v>19.61</v>
      </c>
      <c r="F3843" s="2">
        <f>IFERROR(__xludf.DUMMYFUNCTION("""COMPUTED_VALUE"""),3489700.0)</f>
        <v>3489700</v>
      </c>
    </row>
    <row r="3844">
      <c r="A3844" s="3">
        <f>IFERROR(__xludf.DUMMYFUNCTION("""COMPUTED_VALUE"""),34772.666666666664)</f>
        <v>34772.66667</v>
      </c>
      <c r="B3844" s="2">
        <f>IFERROR(__xludf.DUMMYFUNCTION("""COMPUTED_VALUE"""),19.52)</f>
        <v>19.52</v>
      </c>
      <c r="C3844" s="2">
        <f>IFERROR(__xludf.DUMMYFUNCTION("""COMPUTED_VALUE"""),19.76)</f>
        <v>19.76</v>
      </c>
      <c r="D3844" s="2">
        <f>IFERROR(__xludf.DUMMYFUNCTION("""COMPUTED_VALUE"""),19.46)</f>
        <v>19.46</v>
      </c>
      <c r="E3844" s="2">
        <f>IFERROR(__xludf.DUMMYFUNCTION("""COMPUTED_VALUE"""),19.46)</f>
        <v>19.46</v>
      </c>
      <c r="F3844" s="2">
        <f>IFERROR(__xludf.DUMMYFUNCTION("""COMPUTED_VALUE"""),2266900.0)</f>
        <v>2266900</v>
      </c>
    </row>
    <row r="3845">
      <c r="A3845" s="3">
        <f>IFERROR(__xludf.DUMMYFUNCTION("""COMPUTED_VALUE"""),34773.666666666664)</f>
        <v>34773.66667</v>
      </c>
      <c r="B3845" s="2">
        <f>IFERROR(__xludf.DUMMYFUNCTION("""COMPUTED_VALUE"""),19.52)</f>
        <v>19.52</v>
      </c>
      <c r="C3845" s="2">
        <f>IFERROR(__xludf.DUMMYFUNCTION("""COMPUTED_VALUE"""),19.64)</f>
        <v>19.64</v>
      </c>
      <c r="D3845" s="2">
        <f>IFERROR(__xludf.DUMMYFUNCTION("""COMPUTED_VALUE"""),19.4)</f>
        <v>19.4</v>
      </c>
      <c r="E3845" s="2">
        <f>IFERROR(__xludf.DUMMYFUNCTION("""COMPUTED_VALUE"""),19.52)</f>
        <v>19.52</v>
      </c>
      <c r="F3845" s="2">
        <f>IFERROR(__xludf.DUMMYFUNCTION("""COMPUTED_VALUE"""),1771200.0)</f>
        <v>1771200</v>
      </c>
    </row>
    <row r="3846">
      <c r="A3846" s="3">
        <f>IFERROR(__xludf.DUMMYFUNCTION("""COMPUTED_VALUE"""),34774.666666666664)</f>
        <v>34774.66667</v>
      </c>
      <c r="B3846" s="2">
        <f>IFERROR(__xludf.DUMMYFUNCTION("""COMPUTED_VALUE"""),19.94)</f>
        <v>19.94</v>
      </c>
      <c r="C3846" s="2">
        <f>IFERROR(__xludf.DUMMYFUNCTION("""COMPUTED_VALUE"""),19.97)</f>
        <v>19.97</v>
      </c>
      <c r="D3846" s="2">
        <f>IFERROR(__xludf.DUMMYFUNCTION("""COMPUTED_VALUE"""),19.49)</f>
        <v>19.49</v>
      </c>
      <c r="E3846" s="2">
        <f>IFERROR(__xludf.DUMMYFUNCTION("""COMPUTED_VALUE"""),19.94)</f>
        <v>19.94</v>
      </c>
      <c r="F3846" s="2">
        <f>IFERROR(__xludf.DUMMYFUNCTION("""COMPUTED_VALUE"""),2845700.0)</f>
        <v>2845700</v>
      </c>
    </row>
    <row r="3847">
      <c r="A3847" s="3">
        <f>IFERROR(__xludf.DUMMYFUNCTION("""COMPUTED_VALUE"""),34775.666666666664)</f>
        <v>34775.66667</v>
      </c>
      <c r="B3847" s="2">
        <f>IFERROR(__xludf.DUMMYFUNCTION("""COMPUTED_VALUE"""),19.82)</f>
        <v>19.82</v>
      </c>
      <c r="C3847" s="2">
        <f>IFERROR(__xludf.DUMMYFUNCTION("""COMPUTED_VALUE"""),19.97)</f>
        <v>19.97</v>
      </c>
      <c r="D3847" s="2">
        <f>IFERROR(__xludf.DUMMYFUNCTION("""COMPUTED_VALUE"""),19.73)</f>
        <v>19.73</v>
      </c>
      <c r="E3847" s="2">
        <f>IFERROR(__xludf.DUMMYFUNCTION("""COMPUTED_VALUE"""),19.73)</f>
        <v>19.73</v>
      </c>
      <c r="F3847" s="2">
        <f>IFERROR(__xludf.DUMMYFUNCTION("""COMPUTED_VALUE"""),2967400.0)</f>
        <v>2967400</v>
      </c>
    </row>
    <row r="3848">
      <c r="A3848" s="3">
        <f>IFERROR(__xludf.DUMMYFUNCTION("""COMPUTED_VALUE"""),34778.666666666664)</f>
        <v>34778.66667</v>
      </c>
      <c r="B3848" s="2">
        <f>IFERROR(__xludf.DUMMYFUNCTION("""COMPUTED_VALUE"""),19.94)</f>
        <v>19.94</v>
      </c>
      <c r="C3848" s="2">
        <f>IFERROR(__xludf.DUMMYFUNCTION("""COMPUTED_VALUE"""),20.06)</f>
        <v>20.06</v>
      </c>
      <c r="D3848" s="2">
        <f>IFERROR(__xludf.DUMMYFUNCTION("""COMPUTED_VALUE"""),19.7)</f>
        <v>19.7</v>
      </c>
      <c r="E3848" s="2">
        <f>IFERROR(__xludf.DUMMYFUNCTION("""COMPUTED_VALUE"""),19.94)</f>
        <v>19.94</v>
      </c>
      <c r="F3848" s="2">
        <f>IFERROR(__xludf.DUMMYFUNCTION("""COMPUTED_VALUE"""),1842200.0)</f>
        <v>1842200</v>
      </c>
    </row>
    <row r="3849">
      <c r="A3849" s="3">
        <f>IFERROR(__xludf.DUMMYFUNCTION("""COMPUTED_VALUE"""),34779.666666666664)</f>
        <v>34779.66667</v>
      </c>
      <c r="B3849" s="2">
        <f>IFERROR(__xludf.DUMMYFUNCTION("""COMPUTED_VALUE"""),19.82)</f>
        <v>19.82</v>
      </c>
      <c r="C3849" s="2">
        <f>IFERROR(__xludf.DUMMYFUNCTION("""COMPUTED_VALUE"""),20.06)</f>
        <v>20.06</v>
      </c>
      <c r="D3849" s="2">
        <f>IFERROR(__xludf.DUMMYFUNCTION("""COMPUTED_VALUE"""),19.61)</f>
        <v>19.61</v>
      </c>
      <c r="E3849" s="2">
        <f>IFERROR(__xludf.DUMMYFUNCTION("""COMPUTED_VALUE"""),19.64)</f>
        <v>19.64</v>
      </c>
      <c r="F3849" s="2">
        <f>IFERROR(__xludf.DUMMYFUNCTION("""COMPUTED_VALUE"""),1989000.0)</f>
        <v>1989000</v>
      </c>
    </row>
    <row r="3850">
      <c r="A3850" s="3">
        <f>IFERROR(__xludf.DUMMYFUNCTION("""COMPUTED_VALUE"""),34780.666666666664)</f>
        <v>34780.66667</v>
      </c>
      <c r="B3850" s="2">
        <f>IFERROR(__xludf.DUMMYFUNCTION("""COMPUTED_VALUE"""),19.49)</f>
        <v>19.49</v>
      </c>
      <c r="C3850" s="2">
        <f>IFERROR(__xludf.DUMMYFUNCTION("""COMPUTED_VALUE"""),19.73)</f>
        <v>19.73</v>
      </c>
      <c r="D3850" s="2">
        <f>IFERROR(__xludf.DUMMYFUNCTION("""COMPUTED_VALUE"""),19.4)</f>
        <v>19.4</v>
      </c>
      <c r="E3850" s="2">
        <f>IFERROR(__xludf.DUMMYFUNCTION("""COMPUTED_VALUE"""),19.49)</f>
        <v>19.49</v>
      </c>
      <c r="F3850" s="2">
        <f>IFERROR(__xludf.DUMMYFUNCTION("""COMPUTED_VALUE"""),2447200.0)</f>
        <v>2447200</v>
      </c>
    </row>
    <row r="3851">
      <c r="A3851" s="3">
        <f>IFERROR(__xludf.DUMMYFUNCTION("""COMPUTED_VALUE"""),34781.666666666664)</f>
        <v>34781.66667</v>
      </c>
      <c r="B3851" s="2">
        <f>IFERROR(__xludf.DUMMYFUNCTION("""COMPUTED_VALUE"""),19.91)</f>
        <v>19.91</v>
      </c>
      <c r="C3851" s="2">
        <f>IFERROR(__xludf.DUMMYFUNCTION("""COMPUTED_VALUE"""),19.91)</f>
        <v>19.91</v>
      </c>
      <c r="D3851" s="2">
        <f>IFERROR(__xludf.DUMMYFUNCTION("""COMPUTED_VALUE"""),19.46)</f>
        <v>19.46</v>
      </c>
      <c r="E3851" s="2">
        <f>IFERROR(__xludf.DUMMYFUNCTION("""COMPUTED_VALUE"""),19.91)</f>
        <v>19.91</v>
      </c>
      <c r="F3851" s="2">
        <f>IFERROR(__xludf.DUMMYFUNCTION("""COMPUTED_VALUE"""),2764100.0)</f>
        <v>2764100</v>
      </c>
    </row>
    <row r="3852">
      <c r="A3852" s="3">
        <f>IFERROR(__xludf.DUMMYFUNCTION("""COMPUTED_VALUE"""),34782.666666666664)</f>
        <v>34782.66667</v>
      </c>
      <c r="B3852" s="2">
        <f>IFERROR(__xludf.DUMMYFUNCTION("""COMPUTED_VALUE"""),19.97)</f>
        <v>19.97</v>
      </c>
      <c r="C3852" s="2">
        <f>IFERROR(__xludf.DUMMYFUNCTION("""COMPUTED_VALUE"""),20.15)</f>
        <v>20.15</v>
      </c>
      <c r="D3852" s="2">
        <f>IFERROR(__xludf.DUMMYFUNCTION("""COMPUTED_VALUE"""),19.94)</f>
        <v>19.94</v>
      </c>
      <c r="E3852" s="2">
        <f>IFERROR(__xludf.DUMMYFUNCTION("""COMPUTED_VALUE"""),19.97)</f>
        <v>19.97</v>
      </c>
      <c r="F3852" s="2">
        <f>IFERROR(__xludf.DUMMYFUNCTION("""COMPUTED_VALUE"""),2579500.0)</f>
        <v>2579500</v>
      </c>
    </row>
    <row r="3853">
      <c r="A3853" s="3">
        <f>IFERROR(__xludf.DUMMYFUNCTION("""COMPUTED_VALUE"""),34785.666666666664)</f>
        <v>34785.66667</v>
      </c>
      <c r="B3853" s="2">
        <f>IFERROR(__xludf.DUMMYFUNCTION("""COMPUTED_VALUE"""),20.3)</f>
        <v>20.3</v>
      </c>
      <c r="C3853" s="2">
        <f>IFERROR(__xludf.DUMMYFUNCTION("""COMPUTED_VALUE"""),20.33)</f>
        <v>20.33</v>
      </c>
      <c r="D3853" s="2">
        <f>IFERROR(__xludf.DUMMYFUNCTION("""COMPUTED_VALUE"""),20.03)</f>
        <v>20.03</v>
      </c>
      <c r="E3853" s="2">
        <f>IFERROR(__xludf.DUMMYFUNCTION("""COMPUTED_VALUE"""),20.3)</f>
        <v>20.3</v>
      </c>
      <c r="F3853" s="2">
        <f>IFERROR(__xludf.DUMMYFUNCTION("""COMPUTED_VALUE"""),2028500.0)</f>
        <v>2028500</v>
      </c>
    </row>
    <row r="3854">
      <c r="A3854" s="3">
        <f>IFERROR(__xludf.DUMMYFUNCTION("""COMPUTED_VALUE"""),34786.666666666664)</f>
        <v>34786.66667</v>
      </c>
      <c r="B3854" s="2">
        <f>IFERROR(__xludf.DUMMYFUNCTION("""COMPUTED_VALUE"""),20.14)</f>
        <v>20.14</v>
      </c>
      <c r="C3854" s="2">
        <f>IFERROR(__xludf.DUMMYFUNCTION("""COMPUTED_VALUE"""),20.27)</f>
        <v>20.27</v>
      </c>
      <c r="D3854" s="2">
        <f>IFERROR(__xludf.DUMMYFUNCTION("""COMPUTED_VALUE"""),20.12)</f>
        <v>20.12</v>
      </c>
      <c r="E3854" s="2">
        <f>IFERROR(__xludf.DUMMYFUNCTION("""COMPUTED_VALUE"""),20.18)</f>
        <v>20.18</v>
      </c>
      <c r="F3854" s="2">
        <f>IFERROR(__xludf.DUMMYFUNCTION("""COMPUTED_VALUE"""),1353000.0)</f>
        <v>1353000</v>
      </c>
    </row>
    <row r="3855">
      <c r="A3855" s="3">
        <f>IFERROR(__xludf.DUMMYFUNCTION("""COMPUTED_VALUE"""),34787.666666666664)</f>
        <v>34787.66667</v>
      </c>
      <c r="B3855" s="2">
        <f>IFERROR(__xludf.DUMMYFUNCTION("""COMPUTED_VALUE"""),19.99)</f>
        <v>19.99</v>
      </c>
      <c r="C3855" s="2">
        <f>IFERROR(__xludf.DUMMYFUNCTION("""COMPUTED_VALUE"""),20.24)</f>
        <v>20.24</v>
      </c>
      <c r="D3855" s="2">
        <f>IFERROR(__xludf.DUMMYFUNCTION("""COMPUTED_VALUE"""),19.7)</f>
        <v>19.7</v>
      </c>
      <c r="E3855" s="2">
        <f>IFERROR(__xludf.DUMMYFUNCTION("""COMPUTED_VALUE"""),19.82)</f>
        <v>19.82</v>
      </c>
      <c r="F3855" s="2">
        <f>IFERROR(__xludf.DUMMYFUNCTION("""COMPUTED_VALUE"""),2971100.0)</f>
        <v>2971100</v>
      </c>
    </row>
    <row r="3856">
      <c r="A3856" s="3">
        <f>IFERROR(__xludf.DUMMYFUNCTION("""COMPUTED_VALUE"""),34788.666666666664)</f>
        <v>34788.66667</v>
      </c>
      <c r="B3856" s="2">
        <f>IFERROR(__xludf.DUMMYFUNCTION("""COMPUTED_VALUE"""),19.73)</f>
        <v>19.73</v>
      </c>
      <c r="C3856" s="2">
        <f>IFERROR(__xludf.DUMMYFUNCTION("""COMPUTED_VALUE"""),19.91)</f>
        <v>19.91</v>
      </c>
      <c r="D3856" s="2">
        <f>IFERROR(__xludf.DUMMYFUNCTION("""COMPUTED_VALUE"""),19.52)</f>
        <v>19.52</v>
      </c>
      <c r="E3856" s="2">
        <f>IFERROR(__xludf.DUMMYFUNCTION("""COMPUTED_VALUE"""),19.67)</f>
        <v>19.67</v>
      </c>
      <c r="F3856" s="2">
        <f>IFERROR(__xludf.DUMMYFUNCTION("""COMPUTED_VALUE"""),2957100.0)</f>
        <v>2957100</v>
      </c>
    </row>
    <row r="3857">
      <c r="A3857" s="3">
        <f>IFERROR(__xludf.DUMMYFUNCTION("""COMPUTED_VALUE"""),34789.666666666664)</f>
        <v>34789.66667</v>
      </c>
      <c r="B3857" s="2">
        <f>IFERROR(__xludf.DUMMYFUNCTION("""COMPUTED_VALUE"""),19.49)</f>
        <v>19.49</v>
      </c>
      <c r="C3857" s="2">
        <f>IFERROR(__xludf.DUMMYFUNCTION("""COMPUTED_VALUE"""),19.94)</f>
        <v>19.94</v>
      </c>
      <c r="D3857" s="2">
        <f>IFERROR(__xludf.DUMMYFUNCTION("""COMPUTED_VALUE"""),19.43)</f>
        <v>19.43</v>
      </c>
      <c r="E3857" s="2">
        <f>IFERROR(__xludf.DUMMYFUNCTION("""COMPUTED_VALUE"""),19.61)</f>
        <v>19.61</v>
      </c>
      <c r="F3857" s="2">
        <f>IFERROR(__xludf.DUMMYFUNCTION("""COMPUTED_VALUE"""),2618000.0)</f>
        <v>2618000</v>
      </c>
    </row>
    <row r="3858">
      <c r="A3858" s="3">
        <f>IFERROR(__xludf.DUMMYFUNCTION("""COMPUTED_VALUE"""),34792.666666666664)</f>
        <v>34792.66667</v>
      </c>
      <c r="B3858" s="2">
        <f>IFERROR(__xludf.DUMMYFUNCTION("""COMPUTED_VALUE"""),19.79)</f>
        <v>19.79</v>
      </c>
      <c r="C3858" s="2">
        <f>IFERROR(__xludf.DUMMYFUNCTION("""COMPUTED_VALUE"""),19.94)</f>
        <v>19.94</v>
      </c>
      <c r="D3858" s="2">
        <f>IFERROR(__xludf.DUMMYFUNCTION("""COMPUTED_VALUE"""),19.64)</f>
        <v>19.64</v>
      </c>
      <c r="E3858" s="2">
        <f>IFERROR(__xludf.DUMMYFUNCTION("""COMPUTED_VALUE"""),19.79)</f>
        <v>19.79</v>
      </c>
      <c r="F3858" s="2">
        <f>IFERROR(__xludf.DUMMYFUNCTION("""COMPUTED_VALUE"""),1895100.0)</f>
        <v>1895100</v>
      </c>
    </row>
    <row r="3859">
      <c r="A3859" s="3">
        <f>IFERROR(__xludf.DUMMYFUNCTION("""COMPUTED_VALUE"""),34793.666666666664)</f>
        <v>34793.66667</v>
      </c>
      <c r="B3859" s="2">
        <f>IFERROR(__xludf.DUMMYFUNCTION("""COMPUTED_VALUE"""),19.73)</f>
        <v>19.73</v>
      </c>
      <c r="C3859" s="2">
        <f>IFERROR(__xludf.DUMMYFUNCTION("""COMPUTED_VALUE"""),19.97)</f>
        <v>19.97</v>
      </c>
      <c r="D3859" s="2">
        <f>IFERROR(__xludf.DUMMYFUNCTION("""COMPUTED_VALUE"""),19.7)</f>
        <v>19.7</v>
      </c>
      <c r="E3859" s="2">
        <f>IFERROR(__xludf.DUMMYFUNCTION("""COMPUTED_VALUE"""),19.82)</f>
        <v>19.82</v>
      </c>
      <c r="F3859" s="2">
        <f>IFERROR(__xludf.DUMMYFUNCTION("""COMPUTED_VALUE"""),1680000.0)</f>
        <v>1680000</v>
      </c>
    </row>
    <row r="3860">
      <c r="A3860" s="3">
        <f>IFERROR(__xludf.DUMMYFUNCTION("""COMPUTED_VALUE"""),34794.666666666664)</f>
        <v>34794.66667</v>
      </c>
      <c r="B3860" s="2">
        <f>IFERROR(__xludf.DUMMYFUNCTION("""COMPUTED_VALUE"""),20.06)</f>
        <v>20.06</v>
      </c>
      <c r="C3860" s="2">
        <f>IFERROR(__xludf.DUMMYFUNCTION("""COMPUTED_VALUE"""),20.09)</f>
        <v>20.09</v>
      </c>
      <c r="D3860" s="2">
        <f>IFERROR(__xludf.DUMMYFUNCTION("""COMPUTED_VALUE"""),19.79)</f>
        <v>19.79</v>
      </c>
      <c r="E3860" s="2">
        <f>IFERROR(__xludf.DUMMYFUNCTION("""COMPUTED_VALUE"""),20.06)</f>
        <v>20.06</v>
      </c>
      <c r="F3860" s="2">
        <f>IFERROR(__xludf.DUMMYFUNCTION("""COMPUTED_VALUE"""),2006800.0)</f>
        <v>2006800</v>
      </c>
    </row>
    <row r="3861">
      <c r="A3861" s="3">
        <f>IFERROR(__xludf.DUMMYFUNCTION("""COMPUTED_VALUE"""),34795.666666666664)</f>
        <v>34795.66667</v>
      </c>
      <c r="B3861" s="2">
        <f>IFERROR(__xludf.DUMMYFUNCTION("""COMPUTED_VALUE"""),20.15)</f>
        <v>20.15</v>
      </c>
      <c r="C3861" s="2">
        <f>IFERROR(__xludf.DUMMYFUNCTION("""COMPUTED_VALUE"""),20.21)</f>
        <v>20.21</v>
      </c>
      <c r="D3861" s="2">
        <f>IFERROR(__xludf.DUMMYFUNCTION("""COMPUTED_VALUE"""),19.97)</f>
        <v>19.97</v>
      </c>
      <c r="E3861" s="2">
        <f>IFERROR(__xludf.DUMMYFUNCTION("""COMPUTED_VALUE"""),20.03)</f>
        <v>20.03</v>
      </c>
      <c r="F3861" s="2">
        <f>IFERROR(__xludf.DUMMYFUNCTION("""COMPUTED_VALUE"""),0.0)</f>
        <v>0</v>
      </c>
    </row>
    <row r="3862">
      <c r="A3862" s="3">
        <f>IFERROR(__xludf.DUMMYFUNCTION("""COMPUTED_VALUE"""),34796.666666666664)</f>
        <v>34796.66667</v>
      </c>
      <c r="B3862" s="2">
        <f>IFERROR(__xludf.DUMMYFUNCTION("""COMPUTED_VALUE"""),20.0)</f>
        <v>20</v>
      </c>
      <c r="C3862" s="2">
        <f>IFERROR(__xludf.DUMMYFUNCTION("""COMPUTED_VALUE"""),20.33)</f>
        <v>20.33</v>
      </c>
      <c r="D3862" s="2">
        <f>IFERROR(__xludf.DUMMYFUNCTION("""COMPUTED_VALUE"""),19.94)</f>
        <v>19.94</v>
      </c>
      <c r="E3862" s="2">
        <f>IFERROR(__xludf.DUMMYFUNCTION("""COMPUTED_VALUE"""),20.06)</f>
        <v>20.06</v>
      </c>
      <c r="F3862" s="2">
        <f>IFERROR(__xludf.DUMMYFUNCTION("""COMPUTED_VALUE"""),0.0)</f>
        <v>0</v>
      </c>
    </row>
    <row r="3863">
      <c r="A3863" s="3">
        <f>IFERROR(__xludf.DUMMYFUNCTION("""COMPUTED_VALUE"""),34799.666666666664)</f>
        <v>34799.66667</v>
      </c>
      <c r="B3863" s="2">
        <f>IFERROR(__xludf.DUMMYFUNCTION("""COMPUTED_VALUE"""),20.06)</f>
        <v>20.06</v>
      </c>
      <c r="C3863" s="2">
        <f>IFERROR(__xludf.DUMMYFUNCTION("""COMPUTED_VALUE"""),20.54)</f>
        <v>20.54</v>
      </c>
      <c r="D3863" s="2">
        <f>IFERROR(__xludf.DUMMYFUNCTION("""COMPUTED_VALUE"""),20.06)</f>
        <v>20.06</v>
      </c>
      <c r="E3863" s="2">
        <f>IFERROR(__xludf.DUMMYFUNCTION("""COMPUTED_VALUE"""),20.54)</f>
        <v>20.54</v>
      </c>
      <c r="F3863" s="2">
        <f>IFERROR(__xludf.DUMMYFUNCTION("""COMPUTED_VALUE"""),0.0)</f>
        <v>0</v>
      </c>
    </row>
    <row r="3864">
      <c r="A3864" s="3">
        <f>IFERROR(__xludf.DUMMYFUNCTION("""COMPUTED_VALUE"""),34800.666666666664)</f>
        <v>34800.66667</v>
      </c>
      <c r="B3864" s="2">
        <f>IFERROR(__xludf.DUMMYFUNCTION("""COMPUTED_VALUE"""),20.51)</f>
        <v>20.51</v>
      </c>
      <c r="C3864" s="2">
        <f>IFERROR(__xludf.DUMMYFUNCTION("""COMPUTED_VALUE"""),20.77)</f>
        <v>20.77</v>
      </c>
      <c r="D3864" s="2">
        <f>IFERROR(__xludf.DUMMYFUNCTION("""COMPUTED_VALUE"""),20.45)</f>
        <v>20.45</v>
      </c>
      <c r="E3864" s="2">
        <f>IFERROR(__xludf.DUMMYFUNCTION("""COMPUTED_VALUE"""),20.72)</f>
        <v>20.72</v>
      </c>
      <c r="F3864" s="2">
        <f>IFERROR(__xludf.DUMMYFUNCTION("""COMPUTED_VALUE"""),0.0)</f>
        <v>0</v>
      </c>
    </row>
    <row r="3865">
      <c r="A3865" s="3">
        <f>IFERROR(__xludf.DUMMYFUNCTION("""COMPUTED_VALUE"""),34801.666666666664)</f>
        <v>34801.66667</v>
      </c>
      <c r="B3865" s="2">
        <f>IFERROR(__xludf.DUMMYFUNCTION("""COMPUTED_VALUE"""),20.66)</f>
        <v>20.66</v>
      </c>
      <c r="C3865" s="2">
        <f>IFERROR(__xludf.DUMMYFUNCTION("""COMPUTED_VALUE"""),20.92)</f>
        <v>20.92</v>
      </c>
      <c r="D3865" s="2">
        <f>IFERROR(__xludf.DUMMYFUNCTION("""COMPUTED_VALUE"""),20.57)</f>
        <v>20.57</v>
      </c>
      <c r="E3865" s="2">
        <f>IFERROR(__xludf.DUMMYFUNCTION("""COMPUTED_VALUE"""),20.8)</f>
        <v>20.8</v>
      </c>
      <c r="F3865" s="2">
        <f>IFERROR(__xludf.DUMMYFUNCTION("""COMPUTED_VALUE"""),0.0)</f>
        <v>0</v>
      </c>
    </row>
    <row r="3866">
      <c r="A3866" s="3">
        <f>IFERROR(__xludf.DUMMYFUNCTION("""COMPUTED_VALUE"""),34802.666666666664)</f>
        <v>34802.66667</v>
      </c>
      <c r="B3866" s="2">
        <f>IFERROR(__xludf.DUMMYFUNCTION("""COMPUTED_VALUE"""),20.74)</f>
        <v>20.74</v>
      </c>
      <c r="C3866" s="2">
        <f>IFERROR(__xludf.DUMMYFUNCTION("""COMPUTED_VALUE"""),20.86)</f>
        <v>20.86</v>
      </c>
      <c r="D3866" s="2">
        <f>IFERROR(__xludf.DUMMYFUNCTION("""COMPUTED_VALUE"""),20.57)</f>
        <v>20.57</v>
      </c>
      <c r="E3866" s="2">
        <f>IFERROR(__xludf.DUMMYFUNCTION("""COMPUTED_VALUE"""),20.63)</f>
        <v>20.63</v>
      </c>
      <c r="F3866" s="2">
        <f>IFERROR(__xludf.DUMMYFUNCTION("""COMPUTED_VALUE"""),0.0)</f>
        <v>0</v>
      </c>
    </row>
    <row r="3867">
      <c r="A3867" s="3">
        <f>IFERROR(__xludf.DUMMYFUNCTION("""COMPUTED_VALUE"""),34806.666666666664)</f>
        <v>34806.66667</v>
      </c>
      <c r="B3867" s="2">
        <f>IFERROR(__xludf.DUMMYFUNCTION("""COMPUTED_VALUE"""),20.77)</f>
        <v>20.77</v>
      </c>
      <c r="C3867" s="2">
        <f>IFERROR(__xludf.DUMMYFUNCTION("""COMPUTED_VALUE"""),21.13)</f>
        <v>21.13</v>
      </c>
      <c r="D3867" s="2">
        <f>IFERROR(__xludf.DUMMYFUNCTION("""COMPUTED_VALUE"""),20.74)</f>
        <v>20.74</v>
      </c>
      <c r="E3867" s="2">
        <f>IFERROR(__xludf.DUMMYFUNCTION("""COMPUTED_VALUE"""),20.98)</f>
        <v>20.98</v>
      </c>
      <c r="F3867" s="2">
        <f>IFERROR(__xludf.DUMMYFUNCTION("""COMPUTED_VALUE"""),0.0)</f>
        <v>0</v>
      </c>
    </row>
    <row r="3868">
      <c r="A3868" s="3">
        <f>IFERROR(__xludf.DUMMYFUNCTION("""COMPUTED_VALUE"""),34807.666666666664)</f>
        <v>34807.66667</v>
      </c>
      <c r="B3868" s="2">
        <f>IFERROR(__xludf.DUMMYFUNCTION("""COMPUTED_VALUE"""),21.04)</f>
        <v>21.04</v>
      </c>
      <c r="C3868" s="2">
        <f>IFERROR(__xludf.DUMMYFUNCTION("""COMPUTED_VALUE"""),21.13)</f>
        <v>21.13</v>
      </c>
      <c r="D3868" s="2">
        <f>IFERROR(__xludf.DUMMYFUNCTION("""COMPUTED_VALUE"""),20.8)</f>
        <v>20.8</v>
      </c>
      <c r="E3868" s="2">
        <f>IFERROR(__xludf.DUMMYFUNCTION("""COMPUTED_VALUE"""),21.07)</f>
        <v>21.07</v>
      </c>
      <c r="F3868" s="2">
        <f>IFERROR(__xludf.DUMMYFUNCTION("""COMPUTED_VALUE"""),0.0)</f>
        <v>0</v>
      </c>
    </row>
    <row r="3869">
      <c r="A3869" s="3">
        <f>IFERROR(__xludf.DUMMYFUNCTION("""COMPUTED_VALUE"""),34808.666666666664)</f>
        <v>34808.66667</v>
      </c>
      <c r="B3869" s="2">
        <f>IFERROR(__xludf.DUMMYFUNCTION("""COMPUTED_VALUE"""),20.98)</f>
        <v>20.98</v>
      </c>
      <c r="C3869" s="2">
        <f>IFERROR(__xludf.DUMMYFUNCTION("""COMPUTED_VALUE"""),21.07)</f>
        <v>21.07</v>
      </c>
      <c r="D3869" s="2">
        <f>IFERROR(__xludf.DUMMYFUNCTION("""COMPUTED_VALUE"""),20.54)</f>
        <v>20.54</v>
      </c>
      <c r="E3869" s="2">
        <f>IFERROR(__xludf.DUMMYFUNCTION("""COMPUTED_VALUE"""),20.8)</f>
        <v>20.8</v>
      </c>
      <c r="F3869" s="2">
        <f>IFERROR(__xludf.DUMMYFUNCTION("""COMPUTED_VALUE"""),0.0)</f>
        <v>0</v>
      </c>
    </row>
    <row r="3870">
      <c r="A3870" s="3">
        <f>IFERROR(__xludf.DUMMYFUNCTION("""COMPUTED_VALUE"""),34809.666666666664)</f>
        <v>34809.66667</v>
      </c>
      <c r="B3870" s="2">
        <f>IFERROR(__xludf.DUMMYFUNCTION("""COMPUTED_VALUE"""),21.61)</f>
        <v>21.61</v>
      </c>
      <c r="C3870" s="2">
        <f>IFERROR(__xludf.DUMMYFUNCTION("""COMPUTED_VALUE"""),21.64)</f>
        <v>21.64</v>
      </c>
      <c r="D3870" s="2">
        <f>IFERROR(__xludf.DUMMYFUNCTION("""COMPUTED_VALUE"""),21.16)</f>
        <v>21.16</v>
      </c>
      <c r="E3870" s="2">
        <f>IFERROR(__xludf.DUMMYFUNCTION("""COMPUTED_VALUE"""),21.25)</f>
        <v>21.25</v>
      </c>
      <c r="F3870" s="2">
        <f>IFERROR(__xludf.DUMMYFUNCTION("""COMPUTED_VALUE"""),0.0)</f>
        <v>0</v>
      </c>
    </row>
    <row r="3871">
      <c r="A3871" s="3">
        <f>IFERROR(__xludf.DUMMYFUNCTION("""COMPUTED_VALUE"""),34810.666666666664)</f>
        <v>34810.66667</v>
      </c>
      <c r="B3871" s="2">
        <f>IFERROR(__xludf.DUMMYFUNCTION("""COMPUTED_VALUE"""),21.34)</f>
        <v>21.34</v>
      </c>
      <c r="C3871" s="2">
        <f>IFERROR(__xludf.DUMMYFUNCTION("""COMPUTED_VALUE"""),21.97)</f>
        <v>21.97</v>
      </c>
      <c r="D3871" s="2">
        <f>IFERROR(__xludf.DUMMYFUNCTION("""COMPUTED_VALUE"""),21.28)</f>
        <v>21.28</v>
      </c>
      <c r="E3871" s="2">
        <f>IFERROR(__xludf.DUMMYFUNCTION("""COMPUTED_VALUE"""),21.88)</f>
        <v>21.88</v>
      </c>
      <c r="F3871" s="2">
        <f>IFERROR(__xludf.DUMMYFUNCTION("""COMPUTED_VALUE"""),0.0)</f>
        <v>0</v>
      </c>
    </row>
    <row r="3872">
      <c r="A3872" s="3">
        <f>IFERROR(__xludf.DUMMYFUNCTION("""COMPUTED_VALUE"""),34813.666666666664)</f>
        <v>34813.66667</v>
      </c>
      <c r="B3872" s="2">
        <f>IFERROR(__xludf.DUMMYFUNCTION("""COMPUTED_VALUE"""),21.85)</f>
        <v>21.85</v>
      </c>
      <c r="C3872" s="2">
        <f>IFERROR(__xludf.DUMMYFUNCTION("""COMPUTED_VALUE"""),22.42)</f>
        <v>22.42</v>
      </c>
      <c r="D3872" s="2">
        <f>IFERROR(__xludf.DUMMYFUNCTION("""COMPUTED_VALUE"""),21.73)</f>
        <v>21.73</v>
      </c>
      <c r="E3872" s="2">
        <f>IFERROR(__xludf.DUMMYFUNCTION("""COMPUTED_VALUE"""),22.33)</f>
        <v>22.33</v>
      </c>
      <c r="F3872" s="2">
        <f>IFERROR(__xludf.DUMMYFUNCTION("""COMPUTED_VALUE"""),0.0)</f>
        <v>0</v>
      </c>
    </row>
    <row r="3873">
      <c r="A3873" s="3">
        <f>IFERROR(__xludf.DUMMYFUNCTION("""COMPUTED_VALUE"""),34814.666666666664)</f>
        <v>34814.66667</v>
      </c>
      <c r="B3873" s="2">
        <f>IFERROR(__xludf.DUMMYFUNCTION("""COMPUTED_VALUE"""),22.24)</f>
        <v>22.24</v>
      </c>
      <c r="C3873" s="2">
        <f>IFERROR(__xludf.DUMMYFUNCTION("""COMPUTED_VALUE"""),22.42)</f>
        <v>22.42</v>
      </c>
      <c r="D3873" s="2">
        <f>IFERROR(__xludf.DUMMYFUNCTION("""COMPUTED_VALUE"""),22.18)</f>
        <v>22.18</v>
      </c>
      <c r="E3873" s="2">
        <f>IFERROR(__xludf.DUMMYFUNCTION("""COMPUTED_VALUE"""),22.36)</f>
        <v>22.36</v>
      </c>
      <c r="F3873" s="2">
        <f>IFERROR(__xludf.DUMMYFUNCTION("""COMPUTED_VALUE"""),0.0)</f>
        <v>0</v>
      </c>
    </row>
    <row r="3874">
      <c r="A3874" s="3">
        <f>IFERROR(__xludf.DUMMYFUNCTION("""COMPUTED_VALUE"""),34815.666666666664)</f>
        <v>34815.66667</v>
      </c>
      <c r="B3874" s="2">
        <f>IFERROR(__xludf.DUMMYFUNCTION("""COMPUTED_VALUE"""),22.24)</f>
        <v>22.24</v>
      </c>
      <c r="C3874" s="2">
        <f>IFERROR(__xludf.DUMMYFUNCTION("""COMPUTED_VALUE"""),22.83)</f>
        <v>22.83</v>
      </c>
      <c r="D3874" s="2">
        <f>IFERROR(__xludf.DUMMYFUNCTION("""COMPUTED_VALUE"""),22.18)</f>
        <v>22.18</v>
      </c>
      <c r="E3874" s="2">
        <f>IFERROR(__xludf.DUMMYFUNCTION("""COMPUTED_VALUE"""),22.74)</f>
        <v>22.74</v>
      </c>
      <c r="F3874" s="2">
        <f>IFERROR(__xludf.DUMMYFUNCTION("""COMPUTED_VALUE"""),0.0)</f>
        <v>0</v>
      </c>
    </row>
    <row r="3875">
      <c r="A3875" s="3">
        <f>IFERROR(__xludf.DUMMYFUNCTION("""COMPUTED_VALUE"""),34816.666666666664)</f>
        <v>34816.66667</v>
      </c>
      <c r="B3875" s="2">
        <f>IFERROR(__xludf.DUMMYFUNCTION("""COMPUTED_VALUE"""),22.66)</f>
        <v>22.66</v>
      </c>
      <c r="C3875" s="2">
        <f>IFERROR(__xludf.DUMMYFUNCTION("""COMPUTED_VALUE"""),23.13)</f>
        <v>23.13</v>
      </c>
      <c r="D3875" s="2">
        <f>IFERROR(__xludf.DUMMYFUNCTION("""COMPUTED_VALUE"""),22.6)</f>
        <v>22.6</v>
      </c>
      <c r="E3875" s="2">
        <f>IFERROR(__xludf.DUMMYFUNCTION("""COMPUTED_VALUE"""),23.13)</f>
        <v>23.13</v>
      </c>
      <c r="F3875" s="2">
        <f>IFERROR(__xludf.DUMMYFUNCTION("""COMPUTED_VALUE"""),0.0)</f>
        <v>0</v>
      </c>
    </row>
    <row r="3876">
      <c r="A3876" s="3">
        <f>IFERROR(__xludf.DUMMYFUNCTION("""COMPUTED_VALUE"""),34817.666666666664)</f>
        <v>34817.66667</v>
      </c>
      <c r="B3876" s="2">
        <f>IFERROR(__xludf.DUMMYFUNCTION("""COMPUTED_VALUE"""),22.92)</f>
        <v>22.92</v>
      </c>
      <c r="C3876" s="2">
        <f>IFERROR(__xludf.DUMMYFUNCTION("""COMPUTED_VALUE"""),22.98)</f>
        <v>22.98</v>
      </c>
      <c r="D3876" s="2">
        <f>IFERROR(__xludf.DUMMYFUNCTION("""COMPUTED_VALUE"""),22.45)</f>
        <v>22.45</v>
      </c>
      <c r="E3876" s="2">
        <f>IFERROR(__xludf.DUMMYFUNCTION("""COMPUTED_VALUE"""),22.6)</f>
        <v>22.6</v>
      </c>
      <c r="F3876" s="2">
        <f>IFERROR(__xludf.DUMMYFUNCTION("""COMPUTED_VALUE"""),0.0)</f>
        <v>0</v>
      </c>
    </row>
    <row r="3877">
      <c r="A3877" s="3">
        <f>IFERROR(__xludf.DUMMYFUNCTION("""COMPUTED_VALUE"""),34820.666666666664)</f>
        <v>34820.66667</v>
      </c>
      <c r="B3877" s="2">
        <f>IFERROR(__xludf.DUMMYFUNCTION("""COMPUTED_VALUE"""),22.42)</f>
        <v>22.42</v>
      </c>
      <c r="C3877" s="2">
        <f>IFERROR(__xludf.DUMMYFUNCTION("""COMPUTED_VALUE"""),22.51)</f>
        <v>22.51</v>
      </c>
      <c r="D3877" s="2">
        <f>IFERROR(__xludf.DUMMYFUNCTION("""COMPUTED_VALUE"""),21.94)</f>
        <v>21.94</v>
      </c>
      <c r="E3877" s="2">
        <f>IFERROR(__xludf.DUMMYFUNCTION("""COMPUTED_VALUE"""),22.0)</f>
        <v>22</v>
      </c>
      <c r="F3877" s="2">
        <f>IFERROR(__xludf.DUMMYFUNCTION("""COMPUTED_VALUE"""),0.0)</f>
        <v>0</v>
      </c>
    </row>
    <row r="3878">
      <c r="A3878" s="3">
        <f>IFERROR(__xludf.DUMMYFUNCTION("""COMPUTED_VALUE"""),34821.666666666664)</f>
        <v>34821.66667</v>
      </c>
      <c r="B3878" s="2">
        <f>IFERROR(__xludf.DUMMYFUNCTION("""COMPUTED_VALUE"""),21.88)</f>
        <v>21.88</v>
      </c>
      <c r="C3878" s="2">
        <f>IFERROR(__xludf.DUMMYFUNCTION("""COMPUTED_VALUE"""),22.3)</f>
        <v>22.3</v>
      </c>
      <c r="D3878" s="2">
        <f>IFERROR(__xludf.DUMMYFUNCTION("""COMPUTED_VALUE"""),21.88)</f>
        <v>21.88</v>
      </c>
      <c r="E3878" s="2">
        <f>IFERROR(__xludf.DUMMYFUNCTION("""COMPUTED_VALUE"""),22.18)</f>
        <v>22.18</v>
      </c>
      <c r="F3878" s="2">
        <f>IFERROR(__xludf.DUMMYFUNCTION("""COMPUTED_VALUE"""),0.0)</f>
        <v>0</v>
      </c>
    </row>
    <row r="3879">
      <c r="A3879" s="3">
        <f>IFERROR(__xludf.DUMMYFUNCTION("""COMPUTED_VALUE"""),34822.666666666664)</f>
        <v>34822.66667</v>
      </c>
      <c r="B3879" s="2">
        <f>IFERROR(__xludf.DUMMYFUNCTION("""COMPUTED_VALUE"""),22.21)</f>
        <v>22.21</v>
      </c>
      <c r="C3879" s="2">
        <f>IFERROR(__xludf.DUMMYFUNCTION("""COMPUTED_VALUE"""),22.6)</f>
        <v>22.6</v>
      </c>
      <c r="D3879" s="2">
        <f>IFERROR(__xludf.DUMMYFUNCTION("""COMPUTED_VALUE"""),22.21)</f>
        <v>22.21</v>
      </c>
      <c r="E3879" s="2">
        <f>IFERROR(__xludf.DUMMYFUNCTION("""COMPUTED_VALUE"""),22.51)</f>
        <v>22.51</v>
      </c>
      <c r="F3879" s="2">
        <f>IFERROR(__xludf.DUMMYFUNCTION("""COMPUTED_VALUE"""),0.0)</f>
        <v>0</v>
      </c>
    </row>
    <row r="3880">
      <c r="A3880" s="3">
        <f>IFERROR(__xludf.DUMMYFUNCTION("""COMPUTED_VALUE"""),34823.666666666664)</f>
        <v>34823.66667</v>
      </c>
      <c r="B3880" s="2">
        <f>IFERROR(__xludf.DUMMYFUNCTION("""COMPUTED_VALUE"""),22.63)</f>
        <v>22.63</v>
      </c>
      <c r="C3880" s="2">
        <f>IFERROR(__xludf.DUMMYFUNCTION("""COMPUTED_VALUE"""),22.95)</f>
        <v>22.95</v>
      </c>
      <c r="D3880" s="2">
        <f>IFERROR(__xludf.DUMMYFUNCTION("""COMPUTED_VALUE"""),22.27)</f>
        <v>22.27</v>
      </c>
      <c r="E3880" s="2">
        <f>IFERROR(__xludf.DUMMYFUNCTION("""COMPUTED_VALUE"""),22.39)</f>
        <v>22.39</v>
      </c>
      <c r="F3880" s="2">
        <f>IFERROR(__xludf.DUMMYFUNCTION("""COMPUTED_VALUE"""),0.0)</f>
        <v>0</v>
      </c>
    </row>
    <row r="3881">
      <c r="A3881" s="3">
        <f>IFERROR(__xludf.DUMMYFUNCTION("""COMPUTED_VALUE"""),34824.666666666664)</f>
        <v>34824.66667</v>
      </c>
      <c r="B3881" s="2">
        <f>IFERROR(__xludf.DUMMYFUNCTION("""COMPUTED_VALUE"""),22.51)</f>
        <v>22.51</v>
      </c>
      <c r="C3881" s="2">
        <f>IFERROR(__xludf.DUMMYFUNCTION("""COMPUTED_VALUE"""),22.6)</f>
        <v>22.6</v>
      </c>
      <c r="D3881" s="2">
        <f>IFERROR(__xludf.DUMMYFUNCTION("""COMPUTED_VALUE"""),22.18)</f>
        <v>22.18</v>
      </c>
      <c r="E3881" s="2">
        <f>IFERROR(__xludf.DUMMYFUNCTION("""COMPUTED_VALUE"""),22.24)</f>
        <v>22.24</v>
      </c>
      <c r="F3881" s="2">
        <f>IFERROR(__xludf.DUMMYFUNCTION("""COMPUTED_VALUE"""),0.0)</f>
        <v>0</v>
      </c>
    </row>
    <row r="3882">
      <c r="A3882" s="3">
        <f>IFERROR(__xludf.DUMMYFUNCTION("""COMPUTED_VALUE"""),34827.666666666664)</f>
        <v>34827.66667</v>
      </c>
      <c r="B3882" s="2">
        <f>IFERROR(__xludf.DUMMYFUNCTION("""COMPUTED_VALUE"""),22.15)</f>
        <v>22.15</v>
      </c>
      <c r="C3882" s="2">
        <f>IFERROR(__xludf.DUMMYFUNCTION("""COMPUTED_VALUE"""),22.74)</f>
        <v>22.74</v>
      </c>
      <c r="D3882" s="2">
        <f>IFERROR(__xludf.DUMMYFUNCTION("""COMPUTED_VALUE"""),22.12)</f>
        <v>22.12</v>
      </c>
      <c r="E3882" s="2">
        <f>IFERROR(__xludf.DUMMYFUNCTION("""COMPUTED_VALUE"""),22.39)</f>
        <v>22.39</v>
      </c>
      <c r="F3882" s="2">
        <f>IFERROR(__xludf.DUMMYFUNCTION("""COMPUTED_VALUE"""),0.0)</f>
        <v>0</v>
      </c>
    </row>
    <row r="3883">
      <c r="A3883" s="3">
        <f>IFERROR(__xludf.DUMMYFUNCTION("""COMPUTED_VALUE"""),34828.666666666664)</f>
        <v>34828.66667</v>
      </c>
      <c r="B3883" s="2">
        <f>IFERROR(__xludf.DUMMYFUNCTION("""COMPUTED_VALUE"""),22.48)</f>
        <v>22.48</v>
      </c>
      <c r="C3883" s="2">
        <f>IFERROR(__xludf.DUMMYFUNCTION("""COMPUTED_VALUE"""),22.66)</f>
        <v>22.66</v>
      </c>
      <c r="D3883" s="2">
        <f>IFERROR(__xludf.DUMMYFUNCTION("""COMPUTED_VALUE"""),22.3)</f>
        <v>22.3</v>
      </c>
      <c r="E3883" s="2">
        <f>IFERROR(__xludf.DUMMYFUNCTION("""COMPUTED_VALUE"""),22.36)</f>
        <v>22.36</v>
      </c>
      <c r="F3883" s="2">
        <f>IFERROR(__xludf.DUMMYFUNCTION("""COMPUTED_VALUE"""),0.0)</f>
        <v>0</v>
      </c>
    </row>
    <row r="3884">
      <c r="A3884" s="3">
        <f>IFERROR(__xludf.DUMMYFUNCTION("""COMPUTED_VALUE"""),34829.666666666664)</f>
        <v>34829.66667</v>
      </c>
      <c r="B3884" s="2">
        <f>IFERROR(__xludf.DUMMYFUNCTION("""COMPUTED_VALUE"""),22.42)</f>
        <v>22.42</v>
      </c>
      <c r="C3884" s="2">
        <f>IFERROR(__xludf.DUMMYFUNCTION("""COMPUTED_VALUE"""),22.69)</f>
        <v>22.69</v>
      </c>
      <c r="D3884" s="2">
        <f>IFERROR(__xludf.DUMMYFUNCTION("""COMPUTED_VALUE"""),22.42)</f>
        <v>22.42</v>
      </c>
      <c r="E3884" s="2">
        <f>IFERROR(__xludf.DUMMYFUNCTION("""COMPUTED_VALUE"""),22.42)</f>
        <v>22.42</v>
      </c>
      <c r="F3884" s="2">
        <f>IFERROR(__xludf.DUMMYFUNCTION("""COMPUTED_VALUE"""),0.0)</f>
        <v>0</v>
      </c>
    </row>
    <row r="3885">
      <c r="A3885" s="3">
        <f>IFERROR(__xludf.DUMMYFUNCTION("""COMPUTED_VALUE"""),34830.666666666664)</f>
        <v>34830.66667</v>
      </c>
      <c r="B3885" s="2">
        <f>IFERROR(__xludf.DUMMYFUNCTION("""COMPUTED_VALUE"""),22.33)</f>
        <v>22.33</v>
      </c>
      <c r="C3885" s="2">
        <f>IFERROR(__xludf.DUMMYFUNCTION("""COMPUTED_VALUE"""),22.71)</f>
        <v>22.71</v>
      </c>
      <c r="D3885" s="2">
        <f>IFERROR(__xludf.DUMMYFUNCTION("""COMPUTED_VALUE"""),22.27)</f>
        <v>22.27</v>
      </c>
      <c r="E3885" s="2">
        <f>IFERROR(__xludf.DUMMYFUNCTION("""COMPUTED_VALUE"""),22.51)</f>
        <v>22.51</v>
      </c>
      <c r="F3885" s="2">
        <f>IFERROR(__xludf.DUMMYFUNCTION("""COMPUTED_VALUE"""),0.0)</f>
        <v>0</v>
      </c>
    </row>
    <row r="3886">
      <c r="A3886" s="3">
        <f>IFERROR(__xludf.DUMMYFUNCTION("""COMPUTED_VALUE"""),34831.666666666664)</f>
        <v>34831.66667</v>
      </c>
      <c r="B3886" s="2">
        <f>IFERROR(__xludf.DUMMYFUNCTION("""COMPUTED_VALUE"""),22.39)</f>
        <v>22.39</v>
      </c>
      <c r="C3886" s="2">
        <f>IFERROR(__xludf.DUMMYFUNCTION("""COMPUTED_VALUE"""),22.83)</f>
        <v>22.83</v>
      </c>
      <c r="D3886" s="2">
        <f>IFERROR(__xludf.DUMMYFUNCTION("""COMPUTED_VALUE"""),22.39)</f>
        <v>22.39</v>
      </c>
      <c r="E3886" s="2">
        <f>IFERROR(__xludf.DUMMYFUNCTION("""COMPUTED_VALUE"""),22.54)</f>
        <v>22.54</v>
      </c>
      <c r="F3886" s="2">
        <f>IFERROR(__xludf.DUMMYFUNCTION("""COMPUTED_VALUE"""),0.0)</f>
        <v>0</v>
      </c>
    </row>
    <row r="3887">
      <c r="A3887" s="3">
        <f>IFERROR(__xludf.DUMMYFUNCTION("""COMPUTED_VALUE"""),34834.666666666664)</f>
        <v>34834.66667</v>
      </c>
      <c r="B3887" s="2">
        <f>IFERROR(__xludf.DUMMYFUNCTION("""COMPUTED_VALUE"""),22.57)</f>
        <v>22.57</v>
      </c>
      <c r="C3887" s="2">
        <f>IFERROR(__xludf.DUMMYFUNCTION("""COMPUTED_VALUE"""),22.77)</f>
        <v>22.77</v>
      </c>
      <c r="D3887" s="2">
        <f>IFERROR(__xludf.DUMMYFUNCTION("""COMPUTED_VALUE"""),22.48)</f>
        <v>22.48</v>
      </c>
      <c r="E3887" s="2">
        <f>IFERROR(__xludf.DUMMYFUNCTION("""COMPUTED_VALUE"""),22.69)</f>
        <v>22.69</v>
      </c>
      <c r="F3887" s="2">
        <f>IFERROR(__xludf.DUMMYFUNCTION("""COMPUTED_VALUE"""),0.0)</f>
        <v>0</v>
      </c>
    </row>
    <row r="3888">
      <c r="A3888" s="3">
        <f>IFERROR(__xludf.DUMMYFUNCTION("""COMPUTED_VALUE"""),34835.666666666664)</f>
        <v>34835.66667</v>
      </c>
      <c r="B3888" s="2">
        <f>IFERROR(__xludf.DUMMYFUNCTION("""COMPUTED_VALUE"""),22.51)</f>
        <v>22.51</v>
      </c>
      <c r="C3888" s="2">
        <f>IFERROR(__xludf.DUMMYFUNCTION("""COMPUTED_VALUE"""),22.89)</f>
        <v>22.89</v>
      </c>
      <c r="D3888" s="2">
        <f>IFERROR(__xludf.DUMMYFUNCTION("""COMPUTED_VALUE"""),22.51)</f>
        <v>22.51</v>
      </c>
      <c r="E3888" s="2">
        <f>IFERROR(__xludf.DUMMYFUNCTION("""COMPUTED_VALUE"""),22.6)</f>
        <v>22.6</v>
      </c>
      <c r="F3888" s="2">
        <f>IFERROR(__xludf.DUMMYFUNCTION("""COMPUTED_VALUE"""),0.0)</f>
        <v>0</v>
      </c>
    </row>
    <row r="3889">
      <c r="A3889" s="3">
        <f>IFERROR(__xludf.DUMMYFUNCTION("""COMPUTED_VALUE"""),34836.666666666664)</f>
        <v>34836.66667</v>
      </c>
      <c r="B3889" s="2">
        <f>IFERROR(__xludf.DUMMYFUNCTION("""COMPUTED_VALUE"""),22.69)</f>
        <v>22.69</v>
      </c>
      <c r="C3889" s="2">
        <f>IFERROR(__xludf.DUMMYFUNCTION("""COMPUTED_VALUE"""),22.83)</f>
        <v>22.83</v>
      </c>
      <c r="D3889" s="2">
        <f>IFERROR(__xludf.DUMMYFUNCTION("""COMPUTED_VALUE"""),22.63)</f>
        <v>22.63</v>
      </c>
      <c r="E3889" s="2">
        <f>IFERROR(__xludf.DUMMYFUNCTION("""COMPUTED_VALUE"""),22.66)</f>
        <v>22.66</v>
      </c>
      <c r="F3889" s="2">
        <f>IFERROR(__xludf.DUMMYFUNCTION("""COMPUTED_VALUE"""),0.0)</f>
        <v>0</v>
      </c>
    </row>
    <row r="3890">
      <c r="A3890" s="3">
        <f>IFERROR(__xludf.DUMMYFUNCTION("""COMPUTED_VALUE"""),34837.666666666664)</f>
        <v>34837.66667</v>
      </c>
      <c r="B3890" s="2">
        <f>IFERROR(__xludf.DUMMYFUNCTION("""COMPUTED_VALUE"""),22.6)</f>
        <v>22.6</v>
      </c>
      <c r="C3890" s="2">
        <f>IFERROR(__xludf.DUMMYFUNCTION("""COMPUTED_VALUE"""),22.95)</f>
        <v>22.95</v>
      </c>
      <c r="D3890" s="2">
        <f>IFERROR(__xludf.DUMMYFUNCTION("""COMPUTED_VALUE"""),22.24)</f>
        <v>22.24</v>
      </c>
      <c r="E3890" s="2">
        <f>IFERROR(__xludf.DUMMYFUNCTION("""COMPUTED_VALUE"""),22.24)</f>
        <v>22.24</v>
      </c>
      <c r="F3890" s="2">
        <f>IFERROR(__xludf.DUMMYFUNCTION("""COMPUTED_VALUE"""),0.0)</f>
        <v>0</v>
      </c>
    </row>
    <row r="3891">
      <c r="A3891" s="3">
        <f>IFERROR(__xludf.DUMMYFUNCTION("""COMPUTED_VALUE"""),34838.666666666664)</f>
        <v>34838.66667</v>
      </c>
      <c r="B3891" s="2">
        <f>IFERROR(__xludf.DUMMYFUNCTION("""COMPUTED_VALUE"""),22.03)</f>
        <v>22.03</v>
      </c>
      <c r="C3891" s="2">
        <f>IFERROR(__xludf.DUMMYFUNCTION("""COMPUTED_VALUE"""),22.39)</f>
        <v>22.39</v>
      </c>
      <c r="D3891" s="2">
        <f>IFERROR(__xludf.DUMMYFUNCTION("""COMPUTED_VALUE"""),22.03)</f>
        <v>22.03</v>
      </c>
      <c r="E3891" s="2">
        <f>IFERROR(__xludf.DUMMYFUNCTION("""COMPUTED_VALUE"""),22.3)</f>
        <v>22.3</v>
      </c>
      <c r="F3891" s="2">
        <f>IFERROR(__xludf.DUMMYFUNCTION("""COMPUTED_VALUE"""),0.0)</f>
        <v>0</v>
      </c>
    </row>
    <row r="3892">
      <c r="A3892" s="3">
        <f>IFERROR(__xludf.DUMMYFUNCTION("""COMPUTED_VALUE"""),34841.666666666664)</f>
        <v>34841.66667</v>
      </c>
      <c r="B3892" s="2">
        <f>IFERROR(__xludf.DUMMYFUNCTION("""COMPUTED_VALUE"""),22.33)</f>
        <v>22.33</v>
      </c>
      <c r="C3892" s="2">
        <f>IFERROR(__xludf.DUMMYFUNCTION("""COMPUTED_VALUE"""),22.77)</f>
        <v>22.77</v>
      </c>
      <c r="D3892" s="2">
        <f>IFERROR(__xludf.DUMMYFUNCTION("""COMPUTED_VALUE"""),22.33)</f>
        <v>22.33</v>
      </c>
      <c r="E3892" s="2">
        <f>IFERROR(__xludf.DUMMYFUNCTION("""COMPUTED_VALUE"""),22.74)</f>
        <v>22.74</v>
      </c>
      <c r="F3892" s="2">
        <f>IFERROR(__xludf.DUMMYFUNCTION("""COMPUTED_VALUE"""),0.0)</f>
        <v>0</v>
      </c>
    </row>
    <row r="3893">
      <c r="A3893" s="3">
        <f>IFERROR(__xludf.DUMMYFUNCTION("""COMPUTED_VALUE"""),34842.666666666664)</f>
        <v>34842.66667</v>
      </c>
      <c r="B3893" s="2">
        <f>IFERROR(__xludf.DUMMYFUNCTION("""COMPUTED_VALUE"""),22.8)</f>
        <v>22.8</v>
      </c>
      <c r="C3893" s="2">
        <f>IFERROR(__xludf.DUMMYFUNCTION("""COMPUTED_VALUE"""),23.31)</f>
        <v>23.31</v>
      </c>
      <c r="D3893" s="2">
        <f>IFERROR(__xludf.DUMMYFUNCTION("""COMPUTED_VALUE"""),22.8)</f>
        <v>22.8</v>
      </c>
      <c r="E3893" s="2">
        <f>IFERROR(__xludf.DUMMYFUNCTION("""COMPUTED_VALUE"""),23.22)</f>
        <v>23.22</v>
      </c>
      <c r="F3893" s="2">
        <f>IFERROR(__xludf.DUMMYFUNCTION("""COMPUTED_VALUE"""),0.0)</f>
        <v>0</v>
      </c>
    </row>
    <row r="3894">
      <c r="A3894" s="3">
        <f>IFERROR(__xludf.DUMMYFUNCTION("""COMPUTED_VALUE"""),34843.666666666664)</f>
        <v>34843.66667</v>
      </c>
      <c r="B3894" s="2">
        <f>IFERROR(__xludf.DUMMYFUNCTION("""COMPUTED_VALUE"""),23.28)</f>
        <v>23.28</v>
      </c>
      <c r="C3894" s="2">
        <f>IFERROR(__xludf.DUMMYFUNCTION("""COMPUTED_VALUE"""),23.37)</f>
        <v>23.37</v>
      </c>
      <c r="D3894" s="2">
        <f>IFERROR(__xludf.DUMMYFUNCTION("""COMPUTED_VALUE"""),22.57)</f>
        <v>22.57</v>
      </c>
      <c r="E3894" s="2">
        <f>IFERROR(__xludf.DUMMYFUNCTION("""COMPUTED_VALUE"""),22.95)</f>
        <v>22.95</v>
      </c>
      <c r="F3894" s="2">
        <f>IFERROR(__xludf.DUMMYFUNCTION("""COMPUTED_VALUE"""),0.0)</f>
        <v>0</v>
      </c>
    </row>
    <row r="3895">
      <c r="A3895" s="3">
        <f>IFERROR(__xludf.DUMMYFUNCTION("""COMPUTED_VALUE"""),34844.666666666664)</f>
        <v>34844.66667</v>
      </c>
      <c r="B3895" s="2">
        <f>IFERROR(__xludf.DUMMYFUNCTION("""COMPUTED_VALUE"""),22.98)</f>
        <v>22.98</v>
      </c>
      <c r="C3895" s="2">
        <f>IFERROR(__xludf.DUMMYFUNCTION("""COMPUTED_VALUE"""),23.37)</f>
        <v>23.37</v>
      </c>
      <c r="D3895" s="2">
        <f>IFERROR(__xludf.DUMMYFUNCTION("""COMPUTED_VALUE"""),22.89)</f>
        <v>22.89</v>
      </c>
      <c r="E3895" s="2">
        <f>IFERROR(__xludf.DUMMYFUNCTION("""COMPUTED_VALUE"""),23.1)</f>
        <v>23.1</v>
      </c>
      <c r="F3895" s="2">
        <f>IFERROR(__xludf.DUMMYFUNCTION("""COMPUTED_VALUE"""),0.0)</f>
        <v>0</v>
      </c>
    </row>
    <row r="3896">
      <c r="A3896" s="3">
        <f>IFERROR(__xludf.DUMMYFUNCTION("""COMPUTED_VALUE"""),34845.666666666664)</f>
        <v>34845.66667</v>
      </c>
      <c r="B3896" s="2">
        <f>IFERROR(__xludf.DUMMYFUNCTION("""COMPUTED_VALUE"""),23.07)</f>
        <v>23.07</v>
      </c>
      <c r="C3896" s="2">
        <f>IFERROR(__xludf.DUMMYFUNCTION("""COMPUTED_VALUE"""),23.28)</f>
        <v>23.28</v>
      </c>
      <c r="D3896" s="2">
        <f>IFERROR(__xludf.DUMMYFUNCTION("""COMPUTED_VALUE"""),22.57)</f>
        <v>22.57</v>
      </c>
      <c r="E3896" s="2">
        <f>IFERROR(__xludf.DUMMYFUNCTION("""COMPUTED_VALUE"""),22.69)</f>
        <v>22.69</v>
      </c>
      <c r="F3896" s="2">
        <f>IFERROR(__xludf.DUMMYFUNCTION("""COMPUTED_VALUE"""),0.0)</f>
        <v>0</v>
      </c>
    </row>
    <row r="3897">
      <c r="A3897" s="3">
        <f>IFERROR(__xludf.DUMMYFUNCTION("""COMPUTED_VALUE"""),34849.666666666664)</f>
        <v>34849.66667</v>
      </c>
      <c r="B3897" s="2">
        <f>IFERROR(__xludf.DUMMYFUNCTION("""COMPUTED_VALUE"""),22.83)</f>
        <v>22.83</v>
      </c>
      <c r="C3897" s="2">
        <f>IFERROR(__xludf.DUMMYFUNCTION("""COMPUTED_VALUE"""),22.86)</f>
        <v>22.86</v>
      </c>
      <c r="D3897" s="2">
        <f>IFERROR(__xludf.DUMMYFUNCTION("""COMPUTED_VALUE"""),21.85)</f>
        <v>21.85</v>
      </c>
      <c r="E3897" s="2">
        <f>IFERROR(__xludf.DUMMYFUNCTION("""COMPUTED_VALUE"""),22.12)</f>
        <v>22.12</v>
      </c>
      <c r="F3897" s="2">
        <f>IFERROR(__xludf.DUMMYFUNCTION("""COMPUTED_VALUE"""),0.0)</f>
        <v>0</v>
      </c>
    </row>
    <row r="3898">
      <c r="A3898" s="3">
        <f>IFERROR(__xludf.DUMMYFUNCTION("""COMPUTED_VALUE"""),34850.666666666664)</f>
        <v>34850.66667</v>
      </c>
      <c r="B3898" s="2">
        <f>IFERROR(__xludf.DUMMYFUNCTION("""COMPUTED_VALUE"""),22.06)</f>
        <v>22.06</v>
      </c>
      <c r="C3898" s="2">
        <f>IFERROR(__xludf.DUMMYFUNCTION("""COMPUTED_VALUE"""),22.36)</f>
        <v>22.36</v>
      </c>
      <c r="D3898" s="2">
        <f>IFERROR(__xludf.DUMMYFUNCTION("""COMPUTED_VALUE"""),21.94)</f>
        <v>21.94</v>
      </c>
      <c r="E3898" s="2">
        <f>IFERROR(__xludf.DUMMYFUNCTION("""COMPUTED_VALUE"""),22.21)</f>
        <v>22.21</v>
      </c>
      <c r="F3898" s="2">
        <f>IFERROR(__xludf.DUMMYFUNCTION("""COMPUTED_VALUE"""),0.0)</f>
        <v>0</v>
      </c>
    </row>
    <row r="3899">
      <c r="A3899" s="3">
        <f>IFERROR(__xludf.DUMMYFUNCTION("""COMPUTED_VALUE"""),34851.666666666664)</f>
        <v>34851.66667</v>
      </c>
      <c r="B3899" s="2">
        <f>IFERROR(__xludf.DUMMYFUNCTION("""COMPUTED_VALUE"""),22.33)</f>
        <v>22.33</v>
      </c>
      <c r="C3899" s="2">
        <f>IFERROR(__xludf.DUMMYFUNCTION("""COMPUTED_VALUE"""),22.69)</f>
        <v>22.69</v>
      </c>
      <c r="D3899" s="2">
        <f>IFERROR(__xludf.DUMMYFUNCTION("""COMPUTED_VALUE"""),22.3)</f>
        <v>22.3</v>
      </c>
      <c r="E3899" s="2">
        <f>IFERROR(__xludf.DUMMYFUNCTION("""COMPUTED_VALUE"""),22.51)</f>
        <v>22.51</v>
      </c>
      <c r="F3899" s="2">
        <f>IFERROR(__xludf.DUMMYFUNCTION("""COMPUTED_VALUE"""),0.0)</f>
        <v>0</v>
      </c>
    </row>
    <row r="3900">
      <c r="A3900" s="3">
        <f>IFERROR(__xludf.DUMMYFUNCTION("""COMPUTED_VALUE"""),34852.666666666664)</f>
        <v>34852.66667</v>
      </c>
      <c r="B3900" s="2">
        <f>IFERROR(__xludf.DUMMYFUNCTION("""COMPUTED_VALUE"""),22.36)</f>
        <v>22.36</v>
      </c>
      <c r="C3900" s="2">
        <f>IFERROR(__xludf.DUMMYFUNCTION("""COMPUTED_VALUE"""),22.77)</f>
        <v>22.77</v>
      </c>
      <c r="D3900" s="2">
        <f>IFERROR(__xludf.DUMMYFUNCTION("""COMPUTED_VALUE"""),22.3)</f>
        <v>22.3</v>
      </c>
      <c r="E3900" s="2">
        <f>IFERROR(__xludf.DUMMYFUNCTION("""COMPUTED_VALUE"""),22.42)</f>
        <v>22.42</v>
      </c>
      <c r="F3900" s="2">
        <f>IFERROR(__xludf.DUMMYFUNCTION("""COMPUTED_VALUE"""),0.0)</f>
        <v>0</v>
      </c>
    </row>
    <row r="3901">
      <c r="A3901" s="3">
        <f>IFERROR(__xludf.DUMMYFUNCTION("""COMPUTED_VALUE"""),34855.666666666664)</f>
        <v>34855.66667</v>
      </c>
      <c r="B3901" s="2">
        <f>IFERROR(__xludf.DUMMYFUNCTION("""COMPUTED_VALUE"""),21.91)</f>
        <v>21.91</v>
      </c>
      <c r="C3901" s="2">
        <f>IFERROR(__xludf.DUMMYFUNCTION("""COMPUTED_VALUE"""),22.33)</f>
        <v>22.33</v>
      </c>
      <c r="D3901" s="2">
        <f>IFERROR(__xludf.DUMMYFUNCTION("""COMPUTED_VALUE"""),21.79)</f>
        <v>21.79</v>
      </c>
      <c r="E3901" s="2">
        <f>IFERROR(__xludf.DUMMYFUNCTION("""COMPUTED_VALUE"""),21.79)</f>
        <v>21.79</v>
      </c>
      <c r="F3901" s="2">
        <f>IFERROR(__xludf.DUMMYFUNCTION("""COMPUTED_VALUE"""),0.0)</f>
        <v>0</v>
      </c>
    </row>
    <row r="3902">
      <c r="A3902" s="3">
        <f>IFERROR(__xludf.DUMMYFUNCTION("""COMPUTED_VALUE"""),34856.666666666664)</f>
        <v>34856.66667</v>
      </c>
      <c r="B3902" s="2">
        <f>IFERROR(__xludf.DUMMYFUNCTION("""COMPUTED_VALUE"""),22.06)</f>
        <v>22.06</v>
      </c>
      <c r="C3902" s="2">
        <f>IFERROR(__xludf.DUMMYFUNCTION("""COMPUTED_VALUE"""),22.15)</f>
        <v>22.15</v>
      </c>
      <c r="D3902" s="2">
        <f>IFERROR(__xludf.DUMMYFUNCTION("""COMPUTED_VALUE"""),21.82)</f>
        <v>21.82</v>
      </c>
      <c r="E3902" s="2">
        <f>IFERROR(__xludf.DUMMYFUNCTION("""COMPUTED_VALUE"""),21.82)</f>
        <v>21.82</v>
      </c>
      <c r="F3902" s="2">
        <f>IFERROR(__xludf.DUMMYFUNCTION("""COMPUTED_VALUE"""),0.0)</f>
        <v>0</v>
      </c>
    </row>
    <row r="3903">
      <c r="A3903" s="3">
        <f>IFERROR(__xludf.DUMMYFUNCTION("""COMPUTED_VALUE"""),34857.666666666664)</f>
        <v>34857.66667</v>
      </c>
      <c r="B3903" s="2">
        <f>IFERROR(__xludf.DUMMYFUNCTION("""COMPUTED_VALUE"""),21.67)</f>
        <v>21.67</v>
      </c>
      <c r="C3903" s="2">
        <f>IFERROR(__xludf.DUMMYFUNCTION("""COMPUTED_VALUE"""),21.82)</f>
        <v>21.82</v>
      </c>
      <c r="D3903" s="2">
        <f>IFERROR(__xludf.DUMMYFUNCTION("""COMPUTED_VALUE"""),21.25)</f>
        <v>21.25</v>
      </c>
      <c r="E3903" s="2">
        <f>IFERROR(__xludf.DUMMYFUNCTION("""COMPUTED_VALUE"""),21.46)</f>
        <v>21.46</v>
      </c>
      <c r="F3903" s="2">
        <f>IFERROR(__xludf.DUMMYFUNCTION("""COMPUTED_VALUE"""),0.0)</f>
        <v>0</v>
      </c>
    </row>
    <row r="3904">
      <c r="A3904" s="3">
        <f>IFERROR(__xludf.DUMMYFUNCTION("""COMPUTED_VALUE"""),34858.666666666664)</f>
        <v>34858.66667</v>
      </c>
      <c r="B3904" s="2">
        <f>IFERROR(__xludf.DUMMYFUNCTION("""COMPUTED_VALUE"""),21.52)</f>
        <v>21.52</v>
      </c>
      <c r="C3904" s="2">
        <f>IFERROR(__xludf.DUMMYFUNCTION("""COMPUTED_VALUE"""),21.67)</f>
        <v>21.67</v>
      </c>
      <c r="D3904" s="2">
        <f>IFERROR(__xludf.DUMMYFUNCTION("""COMPUTED_VALUE"""),21.1)</f>
        <v>21.1</v>
      </c>
      <c r="E3904" s="2">
        <f>IFERROR(__xludf.DUMMYFUNCTION("""COMPUTED_VALUE"""),21.34)</f>
        <v>21.34</v>
      </c>
      <c r="F3904" s="2">
        <f>IFERROR(__xludf.DUMMYFUNCTION("""COMPUTED_VALUE"""),0.0)</f>
        <v>0</v>
      </c>
    </row>
    <row r="3905">
      <c r="A3905" s="3">
        <f>IFERROR(__xludf.DUMMYFUNCTION("""COMPUTED_VALUE"""),34859.666666666664)</f>
        <v>34859.66667</v>
      </c>
      <c r="B3905" s="2">
        <f>IFERROR(__xludf.DUMMYFUNCTION("""COMPUTED_VALUE"""),21.4)</f>
        <v>21.4</v>
      </c>
      <c r="C3905" s="2">
        <f>IFERROR(__xludf.DUMMYFUNCTION("""COMPUTED_VALUE"""),21.55)</f>
        <v>21.55</v>
      </c>
      <c r="D3905" s="2">
        <f>IFERROR(__xludf.DUMMYFUNCTION("""COMPUTED_VALUE"""),21.16)</f>
        <v>21.16</v>
      </c>
      <c r="E3905" s="2">
        <f>IFERROR(__xludf.DUMMYFUNCTION("""COMPUTED_VALUE"""),21.28)</f>
        <v>21.28</v>
      </c>
      <c r="F3905" s="2">
        <f>IFERROR(__xludf.DUMMYFUNCTION("""COMPUTED_VALUE"""),0.0)</f>
        <v>0</v>
      </c>
    </row>
    <row r="3906">
      <c r="A3906" s="3">
        <f>IFERROR(__xludf.DUMMYFUNCTION("""COMPUTED_VALUE"""),34862.666666666664)</f>
        <v>34862.66667</v>
      </c>
      <c r="B3906" s="2">
        <f>IFERROR(__xludf.DUMMYFUNCTION("""COMPUTED_VALUE"""),21.61)</f>
        <v>21.61</v>
      </c>
      <c r="C3906" s="2">
        <f>IFERROR(__xludf.DUMMYFUNCTION("""COMPUTED_VALUE"""),21.67)</f>
        <v>21.67</v>
      </c>
      <c r="D3906" s="2">
        <f>IFERROR(__xludf.DUMMYFUNCTION("""COMPUTED_VALUE"""),21.43)</f>
        <v>21.43</v>
      </c>
      <c r="E3906" s="2">
        <f>IFERROR(__xludf.DUMMYFUNCTION("""COMPUTED_VALUE"""),21.55)</f>
        <v>21.55</v>
      </c>
      <c r="F3906" s="2">
        <f>IFERROR(__xludf.DUMMYFUNCTION("""COMPUTED_VALUE"""),0.0)</f>
        <v>0</v>
      </c>
    </row>
    <row r="3907">
      <c r="A3907" s="3">
        <f>IFERROR(__xludf.DUMMYFUNCTION("""COMPUTED_VALUE"""),34863.666666666664)</f>
        <v>34863.66667</v>
      </c>
      <c r="B3907" s="2">
        <f>IFERROR(__xludf.DUMMYFUNCTION("""COMPUTED_VALUE"""),21.82)</f>
        <v>21.82</v>
      </c>
      <c r="C3907" s="2">
        <f>IFERROR(__xludf.DUMMYFUNCTION("""COMPUTED_VALUE"""),22.03)</f>
        <v>22.03</v>
      </c>
      <c r="D3907" s="2">
        <f>IFERROR(__xludf.DUMMYFUNCTION("""COMPUTED_VALUE"""),21.7)</f>
        <v>21.7</v>
      </c>
      <c r="E3907" s="2">
        <f>IFERROR(__xludf.DUMMYFUNCTION("""COMPUTED_VALUE"""),21.91)</f>
        <v>21.91</v>
      </c>
      <c r="F3907" s="2">
        <f>IFERROR(__xludf.DUMMYFUNCTION("""COMPUTED_VALUE"""),0.0)</f>
        <v>0</v>
      </c>
    </row>
    <row r="3908">
      <c r="A3908" s="3">
        <f>IFERROR(__xludf.DUMMYFUNCTION("""COMPUTED_VALUE"""),34864.666666666664)</f>
        <v>34864.66667</v>
      </c>
      <c r="B3908" s="2">
        <f>IFERROR(__xludf.DUMMYFUNCTION("""COMPUTED_VALUE"""),21.94)</f>
        <v>21.94</v>
      </c>
      <c r="C3908" s="2">
        <f>IFERROR(__xludf.DUMMYFUNCTION("""COMPUTED_VALUE"""),22.3)</f>
        <v>22.3</v>
      </c>
      <c r="D3908" s="2">
        <f>IFERROR(__xludf.DUMMYFUNCTION("""COMPUTED_VALUE"""),21.94)</f>
        <v>21.94</v>
      </c>
      <c r="E3908" s="2">
        <f>IFERROR(__xludf.DUMMYFUNCTION("""COMPUTED_VALUE"""),22.21)</f>
        <v>22.21</v>
      </c>
      <c r="F3908" s="2">
        <f>IFERROR(__xludf.DUMMYFUNCTION("""COMPUTED_VALUE"""),0.0)</f>
        <v>0</v>
      </c>
    </row>
    <row r="3909">
      <c r="A3909" s="3">
        <f>IFERROR(__xludf.DUMMYFUNCTION("""COMPUTED_VALUE"""),34865.666666666664)</f>
        <v>34865.66667</v>
      </c>
      <c r="B3909" s="2">
        <f>IFERROR(__xludf.DUMMYFUNCTION("""COMPUTED_VALUE"""),22.36)</f>
        <v>22.36</v>
      </c>
      <c r="C3909" s="2">
        <f>IFERROR(__xludf.DUMMYFUNCTION("""COMPUTED_VALUE"""),22.45)</f>
        <v>22.45</v>
      </c>
      <c r="D3909" s="2">
        <f>IFERROR(__xludf.DUMMYFUNCTION("""COMPUTED_VALUE"""),22.21)</f>
        <v>22.21</v>
      </c>
      <c r="E3909" s="2">
        <f>IFERROR(__xludf.DUMMYFUNCTION("""COMPUTED_VALUE"""),22.21)</f>
        <v>22.21</v>
      </c>
      <c r="F3909" s="2">
        <f>IFERROR(__xludf.DUMMYFUNCTION("""COMPUTED_VALUE"""),0.0)</f>
        <v>0</v>
      </c>
    </row>
    <row r="3910">
      <c r="A3910" s="3">
        <f>IFERROR(__xludf.DUMMYFUNCTION("""COMPUTED_VALUE"""),34866.666666666664)</f>
        <v>34866.66667</v>
      </c>
      <c r="B3910" s="2">
        <f>IFERROR(__xludf.DUMMYFUNCTION("""COMPUTED_VALUE"""),22.24)</f>
        <v>22.24</v>
      </c>
      <c r="C3910" s="2">
        <f>IFERROR(__xludf.DUMMYFUNCTION("""COMPUTED_VALUE"""),22.36)</f>
        <v>22.36</v>
      </c>
      <c r="D3910" s="2">
        <f>IFERROR(__xludf.DUMMYFUNCTION("""COMPUTED_VALUE"""),22.12)</f>
        <v>22.12</v>
      </c>
      <c r="E3910" s="2">
        <f>IFERROR(__xludf.DUMMYFUNCTION("""COMPUTED_VALUE"""),22.12)</f>
        <v>22.12</v>
      </c>
      <c r="F3910" s="2">
        <f>IFERROR(__xludf.DUMMYFUNCTION("""COMPUTED_VALUE"""),0.0)</f>
        <v>0</v>
      </c>
    </row>
    <row r="3911">
      <c r="A3911" s="3">
        <f>IFERROR(__xludf.DUMMYFUNCTION("""COMPUTED_VALUE"""),34869.666666666664)</f>
        <v>34869.66667</v>
      </c>
      <c r="B3911" s="2">
        <f>IFERROR(__xludf.DUMMYFUNCTION("""COMPUTED_VALUE"""),22.3)</f>
        <v>22.3</v>
      </c>
      <c r="C3911" s="2">
        <f>IFERROR(__xludf.DUMMYFUNCTION("""COMPUTED_VALUE"""),22.6)</f>
        <v>22.6</v>
      </c>
      <c r="D3911" s="2">
        <f>IFERROR(__xludf.DUMMYFUNCTION("""COMPUTED_VALUE"""),22.27)</f>
        <v>22.27</v>
      </c>
      <c r="E3911" s="2">
        <f>IFERROR(__xludf.DUMMYFUNCTION("""COMPUTED_VALUE"""),22.39)</f>
        <v>22.39</v>
      </c>
      <c r="F3911" s="2">
        <f>IFERROR(__xludf.DUMMYFUNCTION("""COMPUTED_VALUE"""),0.0)</f>
        <v>0</v>
      </c>
    </row>
    <row r="3912">
      <c r="A3912" s="3">
        <f>IFERROR(__xludf.DUMMYFUNCTION("""COMPUTED_VALUE"""),34870.666666666664)</f>
        <v>34870.66667</v>
      </c>
      <c r="B3912" s="2">
        <f>IFERROR(__xludf.DUMMYFUNCTION("""COMPUTED_VALUE"""),22.42)</f>
        <v>22.42</v>
      </c>
      <c r="C3912" s="2">
        <f>IFERROR(__xludf.DUMMYFUNCTION("""COMPUTED_VALUE"""),23.4)</f>
        <v>23.4</v>
      </c>
      <c r="D3912" s="2">
        <f>IFERROR(__xludf.DUMMYFUNCTION("""COMPUTED_VALUE"""),22.42)</f>
        <v>22.42</v>
      </c>
      <c r="E3912" s="2">
        <f>IFERROR(__xludf.DUMMYFUNCTION("""COMPUTED_VALUE"""),23.34)</f>
        <v>23.34</v>
      </c>
      <c r="F3912" s="2">
        <f>IFERROR(__xludf.DUMMYFUNCTION("""COMPUTED_VALUE"""),0.0)</f>
        <v>0</v>
      </c>
    </row>
    <row r="3913">
      <c r="A3913" s="3">
        <f>IFERROR(__xludf.DUMMYFUNCTION("""COMPUTED_VALUE"""),34871.666666666664)</f>
        <v>34871.66667</v>
      </c>
      <c r="B3913" s="2">
        <f>IFERROR(__xludf.DUMMYFUNCTION("""COMPUTED_VALUE"""),23.4)</f>
        <v>23.4</v>
      </c>
      <c r="C3913" s="2">
        <f>IFERROR(__xludf.DUMMYFUNCTION("""COMPUTED_VALUE"""),23.55)</f>
        <v>23.55</v>
      </c>
      <c r="D3913" s="2">
        <f>IFERROR(__xludf.DUMMYFUNCTION("""COMPUTED_VALUE"""),23.19)</f>
        <v>23.19</v>
      </c>
      <c r="E3913" s="2">
        <f>IFERROR(__xludf.DUMMYFUNCTION("""COMPUTED_VALUE"""),23.19)</f>
        <v>23.19</v>
      </c>
      <c r="F3913" s="2">
        <f>IFERROR(__xludf.DUMMYFUNCTION("""COMPUTED_VALUE"""),0.0)</f>
        <v>0</v>
      </c>
    </row>
    <row r="3914">
      <c r="A3914" s="3">
        <f>IFERROR(__xludf.DUMMYFUNCTION("""COMPUTED_VALUE"""),34872.666666666664)</f>
        <v>34872.66667</v>
      </c>
      <c r="B3914" s="2">
        <f>IFERROR(__xludf.DUMMYFUNCTION("""COMPUTED_VALUE"""),23.25)</f>
        <v>23.25</v>
      </c>
      <c r="C3914" s="2">
        <f>IFERROR(__xludf.DUMMYFUNCTION("""COMPUTED_VALUE"""),23.7)</f>
        <v>23.7</v>
      </c>
      <c r="D3914" s="2">
        <f>IFERROR(__xludf.DUMMYFUNCTION("""COMPUTED_VALUE"""),23.25)</f>
        <v>23.25</v>
      </c>
      <c r="E3914" s="2">
        <f>IFERROR(__xludf.DUMMYFUNCTION("""COMPUTED_VALUE"""),23.28)</f>
        <v>23.28</v>
      </c>
      <c r="F3914" s="2">
        <f>IFERROR(__xludf.DUMMYFUNCTION("""COMPUTED_VALUE"""),0.0)</f>
        <v>0</v>
      </c>
    </row>
    <row r="3915">
      <c r="A3915" s="3">
        <f>IFERROR(__xludf.DUMMYFUNCTION("""COMPUTED_VALUE"""),34873.666666666664)</f>
        <v>34873.66667</v>
      </c>
      <c r="B3915" s="2">
        <f>IFERROR(__xludf.DUMMYFUNCTION("""COMPUTED_VALUE"""),23.28)</f>
        <v>23.28</v>
      </c>
      <c r="C3915" s="2">
        <f>IFERROR(__xludf.DUMMYFUNCTION("""COMPUTED_VALUE"""),23.73)</f>
        <v>23.73</v>
      </c>
      <c r="D3915" s="2">
        <f>IFERROR(__xludf.DUMMYFUNCTION("""COMPUTED_VALUE"""),23.22)</f>
        <v>23.22</v>
      </c>
      <c r="E3915" s="2">
        <f>IFERROR(__xludf.DUMMYFUNCTION("""COMPUTED_VALUE"""),23.55)</f>
        <v>23.55</v>
      </c>
      <c r="F3915" s="2">
        <f>IFERROR(__xludf.DUMMYFUNCTION("""COMPUTED_VALUE"""),0.0)</f>
        <v>0</v>
      </c>
    </row>
    <row r="3916">
      <c r="A3916" s="3">
        <f>IFERROR(__xludf.DUMMYFUNCTION("""COMPUTED_VALUE"""),34876.666666666664)</f>
        <v>34876.66667</v>
      </c>
      <c r="B3916" s="2">
        <f>IFERROR(__xludf.DUMMYFUNCTION("""COMPUTED_VALUE"""),23.52)</f>
        <v>23.52</v>
      </c>
      <c r="C3916" s="2">
        <f>IFERROR(__xludf.DUMMYFUNCTION("""COMPUTED_VALUE"""),23.7)</f>
        <v>23.7</v>
      </c>
      <c r="D3916" s="2">
        <f>IFERROR(__xludf.DUMMYFUNCTION("""COMPUTED_VALUE"""),23.4)</f>
        <v>23.4</v>
      </c>
      <c r="E3916" s="2">
        <f>IFERROR(__xludf.DUMMYFUNCTION("""COMPUTED_VALUE"""),23.46)</f>
        <v>23.46</v>
      </c>
      <c r="F3916" s="2">
        <f>IFERROR(__xludf.DUMMYFUNCTION("""COMPUTED_VALUE"""),0.0)</f>
        <v>0</v>
      </c>
    </row>
    <row r="3917">
      <c r="A3917" s="3">
        <f>IFERROR(__xludf.DUMMYFUNCTION("""COMPUTED_VALUE"""),34877.666666666664)</f>
        <v>34877.66667</v>
      </c>
      <c r="B3917" s="2">
        <f>IFERROR(__xludf.DUMMYFUNCTION("""COMPUTED_VALUE"""),23.43)</f>
        <v>23.43</v>
      </c>
      <c r="C3917" s="2">
        <f>IFERROR(__xludf.DUMMYFUNCTION("""COMPUTED_VALUE"""),23.55)</f>
        <v>23.55</v>
      </c>
      <c r="D3917" s="2">
        <f>IFERROR(__xludf.DUMMYFUNCTION("""COMPUTED_VALUE"""),22.57)</f>
        <v>22.57</v>
      </c>
      <c r="E3917" s="2">
        <f>IFERROR(__xludf.DUMMYFUNCTION("""COMPUTED_VALUE"""),22.77)</f>
        <v>22.77</v>
      </c>
      <c r="F3917" s="2">
        <f>IFERROR(__xludf.DUMMYFUNCTION("""COMPUTED_VALUE"""),0.0)</f>
        <v>0</v>
      </c>
    </row>
    <row r="3918">
      <c r="A3918" s="3">
        <f>IFERROR(__xludf.DUMMYFUNCTION("""COMPUTED_VALUE"""),34878.666666666664)</f>
        <v>34878.66667</v>
      </c>
      <c r="B3918" s="2">
        <f>IFERROR(__xludf.DUMMYFUNCTION("""COMPUTED_VALUE"""),22.69)</f>
        <v>22.69</v>
      </c>
      <c r="C3918" s="2">
        <f>IFERROR(__xludf.DUMMYFUNCTION("""COMPUTED_VALUE"""),23.07)</f>
        <v>23.07</v>
      </c>
      <c r="D3918" s="2">
        <f>IFERROR(__xludf.DUMMYFUNCTION("""COMPUTED_VALUE"""),22.54)</f>
        <v>22.54</v>
      </c>
      <c r="E3918" s="2">
        <f>IFERROR(__xludf.DUMMYFUNCTION("""COMPUTED_VALUE"""),22.95)</f>
        <v>22.95</v>
      </c>
      <c r="F3918" s="2">
        <f>IFERROR(__xludf.DUMMYFUNCTION("""COMPUTED_VALUE"""),0.0)</f>
        <v>0</v>
      </c>
    </row>
    <row r="3919">
      <c r="A3919" s="3">
        <f>IFERROR(__xludf.DUMMYFUNCTION("""COMPUTED_VALUE"""),34879.666666666664)</f>
        <v>34879.66667</v>
      </c>
      <c r="B3919" s="2">
        <f>IFERROR(__xludf.DUMMYFUNCTION("""COMPUTED_VALUE"""),23.01)</f>
        <v>23.01</v>
      </c>
      <c r="C3919" s="2">
        <f>IFERROR(__xludf.DUMMYFUNCTION("""COMPUTED_VALUE"""),23.43)</f>
        <v>23.43</v>
      </c>
      <c r="D3919" s="2">
        <f>IFERROR(__xludf.DUMMYFUNCTION("""COMPUTED_VALUE"""),23.01)</f>
        <v>23.01</v>
      </c>
      <c r="E3919" s="2">
        <f>IFERROR(__xludf.DUMMYFUNCTION("""COMPUTED_VALUE"""),23.16)</f>
        <v>23.16</v>
      </c>
      <c r="F3919" s="2">
        <f>IFERROR(__xludf.DUMMYFUNCTION("""COMPUTED_VALUE"""),0.0)</f>
        <v>0</v>
      </c>
    </row>
    <row r="3920">
      <c r="A3920" s="3">
        <f>IFERROR(__xludf.DUMMYFUNCTION("""COMPUTED_VALUE"""),34880.666666666664)</f>
        <v>34880.66667</v>
      </c>
      <c r="B3920" s="2">
        <f>IFERROR(__xludf.DUMMYFUNCTION("""COMPUTED_VALUE"""),23.34)</f>
        <v>23.34</v>
      </c>
      <c r="C3920" s="2">
        <f>IFERROR(__xludf.DUMMYFUNCTION("""COMPUTED_VALUE"""),23.43)</f>
        <v>23.43</v>
      </c>
      <c r="D3920" s="2">
        <f>IFERROR(__xludf.DUMMYFUNCTION("""COMPUTED_VALUE"""),22.77)</f>
        <v>22.77</v>
      </c>
      <c r="E3920" s="2">
        <f>IFERROR(__xludf.DUMMYFUNCTION("""COMPUTED_VALUE"""),22.92)</f>
        <v>22.92</v>
      </c>
      <c r="F3920" s="2">
        <f>IFERROR(__xludf.DUMMYFUNCTION("""COMPUTED_VALUE"""),0.0)</f>
        <v>0</v>
      </c>
    </row>
    <row r="3921">
      <c r="A3921" s="3">
        <f>IFERROR(__xludf.DUMMYFUNCTION("""COMPUTED_VALUE"""),34883.666666666664)</f>
        <v>34883.66667</v>
      </c>
      <c r="B3921" s="2">
        <f>IFERROR(__xludf.DUMMYFUNCTION("""COMPUTED_VALUE"""),23.34)</f>
        <v>23.34</v>
      </c>
      <c r="C3921" s="2">
        <f>IFERROR(__xludf.DUMMYFUNCTION("""COMPUTED_VALUE"""),23.43)</f>
        <v>23.43</v>
      </c>
      <c r="D3921" s="2">
        <f>IFERROR(__xludf.DUMMYFUNCTION("""COMPUTED_VALUE"""),22.77)</f>
        <v>22.77</v>
      </c>
      <c r="E3921" s="2">
        <f>IFERROR(__xludf.DUMMYFUNCTION("""COMPUTED_VALUE"""),22.92)</f>
        <v>22.92</v>
      </c>
      <c r="F3921" s="2">
        <f>IFERROR(__xludf.DUMMYFUNCTION("""COMPUTED_VALUE"""),0.0)</f>
        <v>0</v>
      </c>
    </row>
    <row r="3922">
      <c r="A3922" s="3">
        <f>IFERROR(__xludf.DUMMYFUNCTION("""COMPUTED_VALUE"""),34885.666666666664)</f>
        <v>34885.66667</v>
      </c>
      <c r="B3922" s="2">
        <f>IFERROR(__xludf.DUMMYFUNCTION("""COMPUTED_VALUE"""),23.37)</f>
        <v>23.37</v>
      </c>
      <c r="C3922" s="2">
        <f>IFERROR(__xludf.DUMMYFUNCTION("""COMPUTED_VALUE"""),23.55)</f>
        <v>23.55</v>
      </c>
      <c r="D3922" s="2">
        <f>IFERROR(__xludf.DUMMYFUNCTION("""COMPUTED_VALUE"""),23.1)</f>
        <v>23.1</v>
      </c>
      <c r="E3922" s="2">
        <f>IFERROR(__xludf.DUMMYFUNCTION("""COMPUTED_VALUE"""),23.1)</f>
        <v>23.1</v>
      </c>
      <c r="F3922" s="2">
        <f>IFERROR(__xludf.DUMMYFUNCTION("""COMPUTED_VALUE"""),0.0)</f>
        <v>0</v>
      </c>
    </row>
    <row r="3923">
      <c r="A3923" s="3">
        <f>IFERROR(__xludf.DUMMYFUNCTION("""COMPUTED_VALUE"""),34886.666666666664)</f>
        <v>34886.66667</v>
      </c>
      <c r="B3923" s="2">
        <f>IFERROR(__xludf.DUMMYFUNCTION("""COMPUTED_VALUE"""),23.37)</f>
        <v>23.37</v>
      </c>
      <c r="C3923" s="2">
        <f>IFERROR(__xludf.DUMMYFUNCTION("""COMPUTED_VALUE"""),23.61)</f>
        <v>23.61</v>
      </c>
      <c r="D3923" s="2">
        <f>IFERROR(__xludf.DUMMYFUNCTION("""COMPUTED_VALUE"""),23.1)</f>
        <v>23.1</v>
      </c>
      <c r="E3923" s="2">
        <f>IFERROR(__xludf.DUMMYFUNCTION("""COMPUTED_VALUE"""),23.61)</f>
        <v>23.61</v>
      </c>
      <c r="F3923" s="2">
        <f>IFERROR(__xludf.DUMMYFUNCTION("""COMPUTED_VALUE"""),0.0)</f>
        <v>0</v>
      </c>
    </row>
    <row r="3924">
      <c r="A3924" s="3">
        <f>IFERROR(__xludf.DUMMYFUNCTION("""COMPUTED_VALUE"""),34887.666666666664)</f>
        <v>34887.66667</v>
      </c>
      <c r="B3924" s="2">
        <f>IFERROR(__xludf.DUMMYFUNCTION("""COMPUTED_VALUE"""),23.55)</f>
        <v>23.55</v>
      </c>
      <c r="C3924" s="2">
        <f>IFERROR(__xludf.DUMMYFUNCTION("""COMPUTED_VALUE"""),24.03)</f>
        <v>24.03</v>
      </c>
      <c r="D3924" s="2">
        <f>IFERROR(__xludf.DUMMYFUNCTION("""COMPUTED_VALUE"""),23.55)</f>
        <v>23.55</v>
      </c>
      <c r="E3924" s="2">
        <f>IFERROR(__xludf.DUMMYFUNCTION("""COMPUTED_VALUE"""),23.76)</f>
        <v>23.76</v>
      </c>
      <c r="F3924" s="2">
        <f>IFERROR(__xludf.DUMMYFUNCTION("""COMPUTED_VALUE"""),0.0)</f>
        <v>0</v>
      </c>
    </row>
    <row r="3925">
      <c r="A3925" s="3">
        <f>IFERROR(__xludf.DUMMYFUNCTION("""COMPUTED_VALUE"""),34890.666666666664)</f>
        <v>34890.66667</v>
      </c>
      <c r="B3925" s="2">
        <f>IFERROR(__xludf.DUMMYFUNCTION("""COMPUTED_VALUE"""),23.88)</f>
        <v>23.88</v>
      </c>
      <c r="C3925" s="2">
        <f>IFERROR(__xludf.DUMMYFUNCTION("""COMPUTED_VALUE"""),24.21)</f>
        <v>24.21</v>
      </c>
      <c r="D3925" s="2">
        <f>IFERROR(__xludf.DUMMYFUNCTION("""COMPUTED_VALUE"""),23.88)</f>
        <v>23.88</v>
      </c>
      <c r="E3925" s="2">
        <f>IFERROR(__xludf.DUMMYFUNCTION("""COMPUTED_VALUE"""),24.03)</f>
        <v>24.03</v>
      </c>
      <c r="F3925" s="2">
        <f>IFERROR(__xludf.DUMMYFUNCTION("""COMPUTED_VALUE"""),0.0)</f>
        <v>0</v>
      </c>
    </row>
    <row r="3926">
      <c r="A3926" s="3">
        <f>IFERROR(__xludf.DUMMYFUNCTION("""COMPUTED_VALUE"""),34891.666666666664)</f>
        <v>34891.66667</v>
      </c>
      <c r="B3926" s="2">
        <f>IFERROR(__xludf.DUMMYFUNCTION("""COMPUTED_VALUE"""),23.88)</f>
        <v>23.88</v>
      </c>
      <c r="C3926" s="2">
        <f>IFERROR(__xludf.DUMMYFUNCTION("""COMPUTED_VALUE"""),24.12)</f>
        <v>24.12</v>
      </c>
      <c r="D3926" s="2">
        <f>IFERROR(__xludf.DUMMYFUNCTION("""COMPUTED_VALUE"""),23.76)</f>
        <v>23.76</v>
      </c>
      <c r="E3926" s="2">
        <f>IFERROR(__xludf.DUMMYFUNCTION("""COMPUTED_VALUE"""),23.82)</f>
        <v>23.82</v>
      </c>
      <c r="F3926" s="2">
        <f>IFERROR(__xludf.DUMMYFUNCTION("""COMPUTED_VALUE"""),0.0)</f>
        <v>0</v>
      </c>
    </row>
    <row r="3927">
      <c r="A3927" s="3">
        <f>IFERROR(__xludf.DUMMYFUNCTION("""COMPUTED_VALUE"""),34892.666666666664)</f>
        <v>34892.66667</v>
      </c>
      <c r="B3927" s="2">
        <f>IFERROR(__xludf.DUMMYFUNCTION("""COMPUTED_VALUE"""),23.97)</f>
        <v>23.97</v>
      </c>
      <c r="C3927" s="2">
        <f>IFERROR(__xludf.DUMMYFUNCTION("""COMPUTED_VALUE"""),24.36)</f>
        <v>24.36</v>
      </c>
      <c r="D3927" s="2">
        <f>IFERROR(__xludf.DUMMYFUNCTION("""COMPUTED_VALUE"""),23.79)</f>
        <v>23.79</v>
      </c>
      <c r="E3927" s="2">
        <f>IFERROR(__xludf.DUMMYFUNCTION("""COMPUTED_VALUE"""),24.27)</f>
        <v>24.27</v>
      </c>
      <c r="F3927" s="2">
        <f>IFERROR(__xludf.DUMMYFUNCTION("""COMPUTED_VALUE"""),0.0)</f>
        <v>0</v>
      </c>
    </row>
    <row r="3928">
      <c r="A3928" s="3">
        <f>IFERROR(__xludf.DUMMYFUNCTION("""COMPUTED_VALUE"""),34893.666666666664)</f>
        <v>34893.66667</v>
      </c>
      <c r="B3928" s="2">
        <f>IFERROR(__xludf.DUMMYFUNCTION("""COMPUTED_VALUE"""),24.3)</f>
        <v>24.3</v>
      </c>
      <c r="C3928" s="2">
        <f>IFERROR(__xludf.DUMMYFUNCTION("""COMPUTED_VALUE"""),24.89)</f>
        <v>24.89</v>
      </c>
      <c r="D3928" s="2">
        <f>IFERROR(__xludf.DUMMYFUNCTION("""COMPUTED_VALUE"""),23.94)</f>
        <v>23.94</v>
      </c>
      <c r="E3928" s="2">
        <f>IFERROR(__xludf.DUMMYFUNCTION("""COMPUTED_VALUE"""),24.77)</f>
        <v>24.77</v>
      </c>
      <c r="F3928" s="2">
        <f>IFERROR(__xludf.DUMMYFUNCTION("""COMPUTED_VALUE"""),0.0)</f>
        <v>0</v>
      </c>
    </row>
    <row r="3929">
      <c r="A3929" s="3">
        <f>IFERROR(__xludf.DUMMYFUNCTION("""COMPUTED_VALUE"""),34894.666666666664)</f>
        <v>34894.66667</v>
      </c>
      <c r="B3929" s="2">
        <f>IFERROR(__xludf.DUMMYFUNCTION("""COMPUTED_VALUE"""),24.51)</f>
        <v>24.51</v>
      </c>
      <c r="C3929" s="2">
        <f>IFERROR(__xludf.DUMMYFUNCTION("""COMPUTED_VALUE"""),24.89)</f>
        <v>24.89</v>
      </c>
      <c r="D3929" s="2">
        <f>IFERROR(__xludf.DUMMYFUNCTION("""COMPUTED_VALUE"""),24.39)</f>
        <v>24.39</v>
      </c>
      <c r="E3929" s="2">
        <f>IFERROR(__xludf.DUMMYFUNCTION("""COMPUTED_VALUE"""),24.8)</f>
        <v>24.8</v>
      </c>
      <c r="F3929" s="2">
        <f>IFERROR(__xludf.DUMMYFUNCTION("""COMPUTED_VALUE"""),0.0)</f>
        <v>0</v>
      </c>
    </row>
    <row r="3930">
      <c r="A3930" s="3">
        <f>IFERROR(__xludf.DUMMYFUNCTION("""COMPUTED_VALUE"""),34897.666666666664)</f>
        <v>34897.66667</v>
      </c>
      <c r="B3930" s="2">
        <f>IFERROR(__xludf.DUMMYFUNCTION("""COMPUTED_VALUE"""),24.86)</f>
        <v>24.86</v>
      </c>
      <c r="C3930" s="2">
        <f>IFERROR(__xludf.DUMMYFUNCTION("""COMPUTED_VALUE"""),25.67)</f>
        <v>25.67</v>
      </c>
      <c r="D3930" s="2">
        <f>IFERROR(__xludf.DUMMYFUNCTION("""COMPUTED_VALUE"""),24.83)</f>
        <v>24.83</v>
      </c>
      <c r="E3930" s="2">
        <f>IFERROR(__xludf.DUMMYFUNCTION("""COMPUTED_VALUE"""),25.61)</f>
        <v>25.61</v>
      </c>
      <c r="F3930" s="2">
        <f>IFERROR(__xludf.DUMMYFUNCTION("""COMPUTED_VALUE"""),0.0)</f>
        <v>0</v>
      </c>
    </row>
    <row r="3931">
      <c r="A3931" s="3">
        <f>IFERROR(__xludf.DUMMYFUNCTION("""COMPUTED_VALUE"""),34898.666666666664)</f>
        <v>34898.66667</v>
      </c>
      <c r="B3931" s="2">
        <f>IFERROR(__xludf.DUMMYFUNCTION("""COMPUTED_VALUE"""),25.55)</f>
        <v>25.55</v>
      </c>
      <c r="C3931" s="2">
        <f>IFERROR(__xludf.DUMMYFUNCTION("""COMPUTED_VALUE"""),25.94)</f>
        <v>25.94</v>
      </c>
      <c r="D3931" s="2">
        <f>IFERROR(__xludf.DUMMYFUNCTION("""COMPUTED_VALUE"""),24.57)</f>
        <v>24.57</v>
      </c>
      <c r="E3931" s="2">
        <f>IFERROR(__xludf.DUMMYFUNCTION("""COMPUTED_VALUE"""),25.55)</f>
        <v>25.55</v>
      </c>
      <c r="F3931" s="2">
        <f>IFERROR(__xludf.DUMMYFUNCTION("""COMPUTED_VALUE"""),0.0)</f>
        <v>0</v>
      </c>
    </row>
    <row r="3932">
      <c r="A3932" s="3">
        <f>IFERROR(__xludf.DUMMYFUNCTION("""COMPUTED_VALUE"""),34899.666666666664)</f>
        <v>34899.66667</v>
      </c>
      <c r="B3932" s="2">
        <f>IFERROR(__xludf.DUMMYFUNCTION("""COMPUTED_VALUE"""),25.13)</f>
        <v>25.13</v>
      </c>
      <c r="C3932" s="2">
        <f>IFERROR(__xludf.DUMMYFUNCTION("""COMPUTED_VALUE"""),25.19)</f>
        <v>25.19</v>
      </c>
      <c r="D3932" s="2">
        <f>IFERROR(__xludf.DUMMYFUNCTION("""COMPUTED_VALUE"""),24.0)</f>
        <v>24</v>
      </c>
      <c r="E3932" s="2">
        <f>IFERROR(__xludf.DUMMYFUNCTION("""COMPUTED_VALUE"""),24.18)</f>
        <v>24.18</v>
      </c>
      <c r="F3932" s="2">
        <f>IFERROR(__xludf.DUMMYFUNCTION("""COMPUTED_VALUE"""),0.0)</f>
        <v>0</v>
      </c>
    </row>
    <row r="3933">
      <c r="A3933" s="3">
        <f>IFERROR(__xludf.DUMMYFUNCTION("""COMPUTED_VALUE"""),34900.666666666664)</f>
        <v>34900.66667</v>
      </c>
      <c r="B3933" s="2">
        <f>IFERROR(__xludf.DUMMYFUNCTION("""COMPUTED_VALUE"""),24.36)</f>
        <v>24.36</v>
      </c>
      <c r="C3933" s="2">
        <f>IFERROR(__xludf.DUMMYFUNCTION("""COMPUTED_VALUE"""),24.92)</f>
        <v>24.92</v>
      </c>
      <c r="D3933" s="2">
        <f>IFERROR(__xludf.DUMMYFUNCTION("""COMPUTED_VALUE"""),23.97)</f>
        <v>23.97</v>
      </c>
      <c r="E3933" s="2">
        <f>IFERROR(__xludf.DUMMYFUNCTION("""COMPUTED_VALUE"""),24.86)</f>
        <v>24.86</v>
      </c>
      <c r="F3933" s="2">
        <f>IFERROR(__xludf.DUMMYFUNCTION("""COMPUTED_VALUE"""),0.0)</f>
        <v>0</v>
      </c>
    </row>
    <row r="3934">
      <c r="A3934" s="3">
        <f>IFERROR(__xludf.DUMMYFUNCTION("""COMPUTED_VALUE"""),34901.666666666664)</f>
        <v>34901.66667</v>
      </c>
      <c r="B3934" s="2">
        <f>IFERROR(__xludf.DUMMYFUNCTION("""COMPUTED_VALUE"""),24.83)</f>
        <v>24.83</v>
      </c>
      <c r="C3934" s="2">
        <f>IFERROR(__xludf.DUMMYFUNCTION("""COMPUTED_VALUE"""),25.04)</f>
        <v>25.04</v>
      </c>
      <c r="D3934" s="2">
        <f>IFERROR(__xludf.DUMMYFUNCTION("""COMPUTED_VALUE"""),24.63)</f>
        <v>24.63</v>
      </c>
      <c r="E3934" s="2">
        <f>IFERROR(__xludf.DUMMYFUNCTION("""COMPUTED_VALUE"""),24.74)</f>
        <v>24.74</v>
      </c>
      <c r="F3934" s="2">
        <f>IFERROR(__xludf.DUMMYFUNCTION("""COMPUTED_VALUE"""),0.0)</f>
        <v>0</v>
      </c>
    </row>
    <row r="3935">
      <c r="A3935" s="3">
        <f>IFERROR(__xludf.DUMMYFUNCTION("""COMPUTED_VALUE"""),34904.666666666664)</f>
        <v>34904.66667</v>
      </c>
      <c r="B3935" s="2">
        <f>IFERROR(__xludf.DUMMYFUNCTION("""COMPUTED_VALUE"""),24.86)</f>
        <v>24.86</v>
      </c>
      <c r="C3935" s="2">
        <f>IFERROR(__xludf.DUMMYFUNCTION("""COMPUTED_VALUE"""),25.76)</f>
        <v>25.76</v>
      </c>
      <c r="D3935" s="2">
        <f>IFERROR(__xludf.DUMMYFUNCTION("""COMPUTED_VALUE"""),24.71)</f>
        <v>24.71</v>
      </c>
      <c r="E3935" s="2">
        <f>IFERROR(__xludf.DUMMYFUNCTION("""COMPUTED_VALUE"""),25.67)</f>
        <v>25.67</v>
      </c>
      <c r="F3935" s="2">
        <f>IFERROR(__xludf.DUMMYFUNCTION("""COMPUTED_VALUE"""),0.0)</f>
        <v>0</v>
      </c>
    </row>
    <row r="3936">
      <c r="A3936" s="3">
        <f>IFERROR(__xludf.DUMMYFUNCTION("""COMPUTED_VALUE"""),34905.666666666664)</f>
        <v>34905.66667</v>
      </c>
      <c r="B3936" s="2">
        <f>IFERROR(__xludf.DUMMYFUNCTION("""COMPUTED_VALUE"""),25.67)</f>
        <v>25.67</v>
      </c>
      <c r="C3936" s="2">
        <f>IFERROR(__xludf.DUMMYFUNCTION("""COMPUTED_VALUE"""),26.33)</f>
        <v>26.33</v>
      </c>
      <c r="D3936" s="2">
        <f>IFERROR(__xludf.DUMMYFUNCTION("""COMPUTED_VALUE"""),25.67)</f>
        <v>25.67</v>
      </c>
      <c r="E3936" s="2">
        <f>IFERROR(__xludf.DUMMYFUNCTION("""COMPUTED_VALUE"""),25.88)</f>
        <v>25.88</v>
      </c>
      <c r="F3936" s="2">
        <f>IFERROR(__xludf.DUMMYFUNCTION("""COMPUTED_VALUE"""),0.0)</f>
        <v>0</v>
      </c>
    </row>
    <row r="3937">
      <c r="A3937" s="3">
        <f>IFERROR(__xludf.DUMMYFUNCTION("""COMPUTED_VALUE"""),34906.666666666664)</f>
        <v>34906.66667</v>
      </c>
      <c r="B3937" s="2">
        <f>IFERROR(__xludf.DUMMYFUNCTION("""COMPUTED_VALUE"""),26.06)</f>
        <v>26.06</v>
      </c>
      <c r="C3937" s="2">
        <f>IFERROR(__xludf.DUMMYFUNCTION("""COMPUTED_VALUE"""),26.18)</f>
        <v>26.18</v>
      </c>
      <c r="D3937" s="2">
        <f>IFERROR(__xludf.DUMMYFUNCTION("""COMPUTED_VALUE"""),25.85)</f>
        <v>25.85</v>
      </c>
      <c r="E3937" s="2">
        <f>IFERROR(__xludf.DUMMYFUNCTION("""COMPUTED_VALUE"""),26.03)</f>
        <v>26.03</v>
      </c>
      <c r="F3937" s="2">
        <f>IFERROR(__xludf.DUMMYFUNCTION("""COMPUTED_VALUE"""),0.0)</f>
        <v>0</v>
      </c>
    </row>
    <row r="3938">
      <c r="A3938" s="3">
        <f>IFERROR(__xludf.DUMMYFUNCTION("""COMPUTED_VALUE"""),34907.666666666664)</f>
        <v>34907.66667</v>
      </c>
      <c r="B3938" s="2">
        <f>IFERROR(__xludf.DUMMYFUNCTION("""COMPUTED_VALUE"""),26.15)</f>
        <v>26.15</v>
      </c>
      <c r="C3938" s="2">
        <f>IFERROR(__xludf.DUMMYFUNCTION("""COMPUTED_VALUE"""),26.48)</f>
        <v>26.48</v>
      </c>
      <c r="D3938" s="2">
        <f>IFERROR(__xludf.DUMMYFUNCTION("""COMPUTED_VALUE"""),26.15)</f>
        <v>26.15</v>
      </c>
      <c r="E3938" s="2">
        <f>IFERROR(__xludf.DUMMYFUNCTION("""COMPUTED_VALUE"""),26.45)</f>
        <v>26.45</v>
      </c>
      <c r="F3938" s="2">
        <f>IFERROR(__xludf.DUMMYFUNCTION("""COMPUTED_VALUE"""),0.0)</f>
        <v>0</v>
      </c>
    </row>
    <row r="3939">
      <c r="A3939" s="3">
        <f>IFERROR(__xludf.DUMMYFUNCTION("""COMPUTED_VALUE"""),34908.666666666664)</f>
        <v>34908.66667</v>
      </c>
      <c r="B3939" s="2">
        <f>IFERROR(__xludf.DUMMYFUNCTION("""COMPUTED_VALUE"""),26.48)</f>
        <v>26.48</v>
      </c>
      <c r="C3939" s="2">
        <f>IFERROR(__xludf.DUMMYFUNCTION("""COMPUTED_VALUE"""),26.57)</f>
        <v>26.57</v>
      </c>
      <c r="D3939" s="2">
        <f>IFERROR(__xludf.DUMMYFUNCTION("""COMPUTED_VALUE"""),26.24)</f>
        <v>26.24</v>
      </c>
      <c r="E3939" s="2">
        <f>IFERROR(__xludf.DUMMYFUNCTION("""COMPUTED_VALUE"""),26.42)</f>
        <v>26.42</v>
      </c>
      <c r="F3939" s="2">
        <f>IFERROR(__xludf.DUMMYFUNCTION("""COMPUTED_VALUE"""),0.0)</f>
        <v>0</v>
      </c>
    </row>
    <row r="3940">
      <c r="A3940" s="3">
        <f>IFERROR(__xludf.DUMMYFUNCTION("""COMPUTED_VALUE"""),34911.666666666664)</f>
        <v>34911.66667</v>
      </c>
      <c r="B3940" s="2">
        <f>IFERROR(__xludf.DUMMYFUNCTION("""COMPUTED_VALUE"""),26.42)</f>
        <v>26.42</v>
      </c>
      <c r="C3940" s="2">
        <f>IFERROR(__xludf.DUMMYFUNCTION("""COMPUTED_VALUE"""),26.57)</f>
        <v>26.57</v>
      </c>
      <c r="D3940" s="2">
        <f>IFERROR(__xludf.DUMMYFUNCTION("""COMPUTED_VALUE"""),25.91)</f>
        <v>25.91</v>
      </c>
      <c r="E3940" s="2">
        <f>IFERROR(__xludf.DUMMYFUNCTION("""COMPUTED_VALUE"""),26.0)</f>
        <v>26</v>
      </c>
      <c r="F3940" s="2">
        <f>IFERROR(__xludf.DUMMYFUNCTION("""COMPUTED_VALUE"""),0.0)</f>
        <v>0</v>
      </c>
    </row>
    <row r="3941">
      <c r="A3941" s="3">
        <f>IFERROR(__xludf.DUMMYFUNCTION("""COMPUTED_VALUE"""),34912.666666666664)</f>
        <v>34912.66667</v>
      </c>
      <c r="B3941" s="2">
        <f>IFERROR(__xludf.DUMMYFUNCTION("""COMPUTED_VALUE"""),26.18)</f>
        <v>26.18</v>
      </c>
      <c r="C3941" s="2">
        <f>IFERROR(__xludf.DUMMYFUNCTION("""COMPUTED_VALUE"""),26.18)</f>
        <v>26.18</v>
      </c>
      <c r="D3941" s="2">
        <f>IFERROR(__xludf.DUMMYFUNCTION("""COMPUTED_VALUE"""),26.18)</f>
        <v>26.18</v>
      </c>
      <c r="E3941" s="2">
        <f>IFERROR(__xludf.DUMMYFUNCTION("""COMPUTED_VALUE"""),26.18)</f>
        <v>26.18</v>
      </c>
      <c r="F3941" s="2">
        <f>IFERROR(__xludf.DUMMYFUNCTION("""COMPUTED_VALUE"""),0.0)</f>
        <v>0</v>
      </c>
    </row>
    <row r="3942">
      <c r="A3942" s="3">
        <f>IFERROR(__xludf.DUMMYFUNCTION("""COMPUTED_VALUE"""),34913.666666666664)</f>
        <v>34913.66667</v>
      </c>
      <c r="B3942" s="2">
        <f>IFERROR(__xludf.DUMMYFUNCTION("""COMPUTED_VALUE"""),25.67)</f>
        <v>25.67</v>
      </c>
      <c r="C3942" s="2">
        <f>IFERROR(__xludf.DUMMYFUNCTION("""COMPUTED_VALUE"""),26.68)</f>
        <v>26.68</v>
      </c>
      <c r="D3942" s="2">
        <f>IFERROR(__xludf.DUMMYFUNCTION("""COMPUTED_VALUE"""),25.55)</f>
        <v>25.55</v>
      </c>
      <c r="E3942" s="2">
        <f>IFERROR(__xludf.DUMMYFUNCTION("""COMPUTED_VALUE"""),25.67)</f>
        <v>25.67</v>
      </c>
      <c r="F3942" s="2">
        <f>IFERROR(__xludf.DUMMYFUNCTION("""COMPUTED_VALUE"""),0.0)</f>
        <v>0</v>
      </c>
    </row>
    <row r="3943">
      <c r="A3943" s="3">
        <f>IFERROR(__xludf.DUMMYFUNCTION("""COMPUTED_VALUE"""),34914.666666666664)</f>
        <v>34914.66667</v>
      </c>
      <c r="B3943" s="2">
        <f>IFERROR(__xludf.DUMMYFUNCTION("""COMPUTED_VALUE"""),26.15)</f>
        <v>26.15</v>
      </c>
      <c r="C3943" s="2">
        <f>IFERROR(__xludf.DUMMYFUNCTION("""COMPUTED_VALUE"""),26.15)</f>
        <v>26.15</v>
      </c>
      <c r="D3943" s="2">
        <f>IFERROR(__xludf.DUMMYFUNCTION("""COMPUTED_VALUE"""),25.55)</f>
        <v>25.55</v>
      </c>
      <c r="E3943" s="2">
        <f>IFERROR(__xludf.DUMMYFUNCTION("""COMPUTED_VALUE"""),26.03)</f>
        <v>26.03</v>
      </c>
      <c r="F3943" s="2">
        <f>IFERROR(__xludf.DUMMYFUNCTION("""COMPUTED_VALUE"""),3285600.0)</f>
        <v>3285600</v>
      </c>
    </row>
    <row r="3944">
      <c r="A3944" s="3">
        <f>IFERROR(__xludf.DUMMYFUNCTION("""COMPUTED_VALUE"""),34915.666666666664)</f>
        <v>34915.66667</v>
      </c>
      <c r="B3944" s="2">
        <f>IFERROR(__xludf.DUMMYFUNCTION("""COMPUTED_VALUE"""),26.06)</f>
        <v>26.06</v>
      </c>
      <c r="C3944" s="2">
        <f>IFERROR(__xludf.DUMMYFUNCTION("""COMPUTED_VALUE"""),26.21)</f>
        <v>26.21</v>
      </c>
      <c r="D3944" s="2">
        <f>IFERROR(__xludf.DUMMYFUNCTION("""COMPUTED_VALUE"""),25.91)</f>
        <v>25.91</v>
      </c>
      <c r="E3944" s="2">
        <f>IFERROR(__xludf.DUMMYFUNCTION("""COMPUTED_VALUE"""),25.94)</f>
        <v>25.94</v>
      </c>
      <c r="F3944" s="2">
        <f>IFERROR(__xludf.DUMMYFUNCTION("""COMPUTED_VALUE"""),1257700.0)</f>
        <v>1257700</v>
      </c>
    </row>
    <row r="3945">
      <c r="A3945" s="3">
        <f>IFERROR(__xludf.DUMMYFUNCTION("""COMPUTED_VALUE"""),34918.666666666664)</f>
        <v>34918.66667</v>
      </c>
      <c r="B3945" s="2">
        <f>IFERROR(__xludf.DUMMYFUNCTION("""COMPUTED_VALUE"""),26.06)</f>
        <v>26.06</v>
      </c>
      <c r="C3945" s="2">
        <f>IFERROR(__xludf.DUMMYFUNCTION("""COMPUTED_VALUE"""),26.12)</f>
        <v>26.12</v>
      </c>
      <c r="D3945" s="2">
        <f>IFERROR(__xludf.DUMMYFUNCTION("""COMPUTED_VALUE"""),25.94)</f>
        <v>25.94</v>
      </c>
      <c r="E3945" s="2">
        <f>IFERROR(__xludf.DUMMYFUNCTION("""COMPUTED_VALUE"""),26.0)</f>
        <v>26</v>
      </c>
      <c r="F3945" s="2">
        <f>IFERROR(__xludf.DUMMYFUNCTION("""COMPUTED_VALUE"""),1430800.0)</f>
        <v>1430800</v>
      </c>
    </row>
    <row r="3946">
      <c r="A3946" s="3">
        <f>IFERROR(__xludf.DUMMYFUNCTION("""COMPUTED_VALUE"""),34919.666666666664)</f>
        <v>34919.66667</v>
      </c>
      <c r="B3946" s="2">
        <f>IFERROR(__xludf.DUMMYFUNCTION("""COMPUTED_VALUE"""),26.06)</f>
        <v>26.06</v>
      </c>
      <c r="C3946" s="2">
        <f>IFERROR(__xludf.DUMMYFUNCTION("""COMPUTED_VALUE"""),26.27)</f>
        <v>26.27</v>
      </c>
      <c r="D3946" s="2">
        <f>IFERROR(__xludf.DUMMYFUNCTION("""COMPUTED_VALUE"""),25.94)</f>
        <v>25.94</v>
      </c>
      <c r="E3946" s="2">
        <f>IFERROR(__xludf.DUMMYFUNCTION("""COMPUTED_VALUE"""),26.18)</f>
        <v>26.18</v>
      </c>
      <c r="F3946" s="2">
        <f>IFERROR(__xludf.DUMMYFUNCTION("""COMPUTED_VALUE"""),1795300.0)</f>
        <v>1795300</v>
      </c>
    </row>
    <row r="3947">
      <c r="A3947" s="3">
        <f>IFERROR(__xludf.DUMMYFUNCTION("""COMPUTED_VALUE"""),34920.666666666664)</f>
        <v>34920.66667</v>
      </c>
      <c r="B3947" s="2">
        <f>IFERROR(__xludf.DUMMYFUNCTION("""COMPUTED_VALUE"""),26.27)</f>
        <v>26.27</v>
      </c>
      <c r="C3947" s="2">
        <f>IFERROR(__xludf.DUMMYFUNCTION("""COMPUTED_VALUE"""),26.36)</f>
        <v>26.36</v>
      </c>
      <c r="D3947" s="2">
        <f>IFERROR(__xludf.DUMMYFUNCTION("""COMPUTED_VALUE"""),26.18)</f>
        <v>26.18</v>
      </c>
      <c r="E3947" s="2">
        <f>IFERROR(__xludf.DUMMYFUNCTION("""COMPUTED_VALUE"""),26.24)</f>
        <v>26.24</v>
      </c>
      <c r="F3947" s="2">
        <f>IFERROR(__xludf.DUMMYFUNCTION("""COMPUTED_VALUE"""),1966800.0)</f>
        <v>1966800</v>
      </c>
    </row>
    <row r="3948">
      <c r="A3948" s="3">
        <f>IFERROR(__xludf.DUMMYFUNCTION("""COMPUTED_VALUE"""),34921.666666666664)</f>
        <v>34921.66667</v>
      </c>
      <c r="B3948" s="2">
        <f>IFERROR(__xludf.DUMMYFUNCTION("""COMPUTED_VALUE"""),26.24)</f>
        <v>26.24</v>
      </c>
      <c r="C3948" s="2">
        <f>IFERROR(__xludf.DUMMYFUNCTION("""COMPUTED_VALUE"""),26.36)</f>
        <v>26.36</v>
      </c>
      <c r="D3948" s="2">
        <f>IFERROR(__xludf.DUMMYFUNCTION("""COMPUTED_VALUE"""),26.0)</f>
        <v>26</v>
      </c>
      <c r="E3948" s="2">
        <f>IFERROR(__xludf.DUMMYFUNCTION("""COMPUTED_VALUE"""),26.06)</f>
        <v>26.06</v>
      </c>
      <c r="F3948" s="2">
        <f>IFERROR(__xludf.DUMMYFUNCTION("""COMPUTED_VALUE"""),1964200.0)</f>
        <v>1964200</v>
      </c>
    </row>
    <row r="3949">
      <c r="A3949" s="3">
        <f>IFERROR(__xludf.DUMMYFUNCTION("""COMPUTED_VALUE"""),34922.666666666664)</f>
        <v>34922.66667</v>
      </c>
      <c r="B3949" s="2">
        <f>IFERROR(__xludf.DUMMYFUNCTION("""COMPUTED_VALUE"""),26.15)</f>
        <v>26.15</v>
      </c>
      <c r="C3949" s="2">
        <f>IFERROR(__xludf.DUMMYFUNCTION("""COMPUTED_VALUE"""),26.18)</f>
        <v>26.18</v>
      </c>
      <c r="D3949" s="2">
        <f>IFERROR(__xludf.DUMMYFUNCTION("""COMPUTED_VALUE"""),25.88)</f>
        <v>25.88</v>
      </c>
      <c r="E3949" s="2">
        <f>IFERROR(__xludf.DUMMYFUNCTION("""COMPUTED_VALUE"""),26.09)</f>
        <v>26.09</v>
      </c>
      <c r="F3949" s="2">
        <f>IFERROR(__xludf.DUMMYFUNCTION("""COMPUTED_VALUE"""),2327700.0)</f>
        <v>2327700</v>
      </c>
    </row>
    <row r="3950">
      <c r="A3950" s="3">
        <f>IFERROR(__xludf.DUMMYFUNCTION("""COMPUTED_VALUE"""),34925.666666666664)</f>
        <v>34925.66667</v>
      </c>
      <c r="B3950" s="2">
        <f>IFERROR(__xludf.DUMMYFUNCTION("""COMPUTED_VALUE"""),26.09)</f>
        <v>26.09</v>
      </c>
      <c r="C3950" s="2">
        <f>IFERROR(__xludf.DUMMYFUNCTION("""COMPUTED_VALUE"""),26.48)</f>
        <v>26.48</v>
      </c>
      <c r="D3950" s="2">
        <f>IFERROR(__xludf.DUMMYFUNCTION("""COMPUTED_VALUE"""),26.09)</f>
        <v>26.09</v>
      </c>
      <c r="E3950" s="2">
        <f>IFERROR(__xludf.DUMMYFUNCTION("""COMPUTED_VALUE"""),26.45)</f>
        <v>26.45</v>
      </c>
      <c r="F3950" s="2">
        <f>IFERROR(__xludf.DUMMYFUNCTION("""COMPUTED_VALUE"""),1751600.0)</f>
        <v>1751600</v>
      </c>
    </row>
    <row r="3951">
      <c r="A3951" s="3">
        <f>IFERROR(__xludf.DUMMYFUNCTION("""COMPUTED_VALUE"""),34926.666666666664)</f>
        <v>34926.66667</v>
      </c>
      <c r="B3951" s="2">
        <f>IFERROR(__xludf.DUMMYFUNCTION("""COMPUTED_VALUE"""),26.51)</f>
        <v>26.51</v>
      </c>
      <c r="C3951" s="2">
        <f>IFERROR(__xludf.DUMMYFUNCTION("""COMPUTED_VALUE"""),26.77)</f>
        <v>26.77</v>
      </c>
      <c r="D3951" s="2">
        <f>IFERROR(__xludf.DUMMYFUNCTION("""COMPUTED_VALUE"""),26.33)</f>
        <v>26.33</v>
      </c>
      <c r="E3951" s="2">
        <f>IFERROR(__xludf.DUMMYFUNCTION("""COMPUTED_VALUE"""),26.74)</f>
        <v>26.74</v>
      </c>
      <c r="F3951" s="2">
        <f>IFERROR(__xludf.DUMMYFUNCTION("""COMPUTED_VALUE"""),2700500.0)</f>
        <v>2700500</v>
      </c>
    </row>
    <row r="3952">
      <c r="A3952" s="3">
        <f>IFERROR(__xludf.DUMMYFUNCTION("""COMPUTED_VALUE"""),34927.666666666664)</f>
        <v>34927.66667</v>
      </c>
      <c r="B3952" s="2">
        <f>IFERROR(__xludf.DUMMYFUNCTION("""COMPUTED_VALUE"""),26.77)</f>
        <v>26.77</v>
      </c>
      <c r="C3952" s="2">
        <f>IFERROR(__xludf.DUMMYFUNCTION("""COMPUTED_VALUE"""),27.73)</f>
        <v>27.73</v>
      </c>
      <c r="D3952" s="2">
        <f>IFERROR(__xludf.DUMMYFUNCTION("""COMPUTED_VALUE"""),26.45)</f>
        <v>26.45</v>
      </c>
      <c r="E3952" s="2">
        <f>IFERROR(__xludf.DUMMYFUNCTION("""COMPUTED_VALUE"""),26.83)</f>
        <v>26.83</v>
      </c>
      <c r="F3952" s="2">
        <f>IFERROR(__xludf.DUMMYFUNCTION("""COMPUTED_VALUE"""),2946800.0)</f>
        <v>2946800</v>
      </c>
    </row>
    <row r="3953">
      <c r="A3953" s="3">
        <f>IFERROR(__xludf.DUMMYFUNCTION("""COMPUTED_VALUE"""),34928.666666666664)</f>
        <v>34928.66667</v>
      </c>
      <c r="B3953" s="2">
        <f>IFERROR(__xludf.DUMMYFUNCTION("""COMPUTED_VALUE"""),26.83)</f>
        <v>26.83</v>
      </c>
      <c r="C3953" s="2">
        <f>IFERROR(__xludf.DUMMYFUNCTION("""COMPUTED_VALUE"""),27.37)</f>
        <v>27.37</v>
      </c>
      <c r="D3953" s="2">
        <f>IFERROR(__xludf.DUMMYFUNCTION("""COMPUTED_VALUE"""),26.8)</f>
        <v>26.8</v>
      </c>
      <c r="E3953" s="2">
        <f>IFERROR(__xludf.DUMMYFUNCTION("""COMPUTED_VALUE"""),27.13)</f>
        <v>27.13</v>
      </c>
      <c r="F3953" s="2">
        <f>IFERROR(__xludf.DUMMYFUNCTION("""COMPUTED_VALUE"""),3029700.0)</f>
        <v>3029700</v>
      </c>
    </row>
    <row r="3954">
      <c r="A3954" s="3">
        <f>IFERROR(__xludf.DUMMYFUNCTION("""COMPUTED_VALUE"""),34929.666666666664)</f>
        <v>34929.66667</v>
      </c>
      <c r="B3954" s="2">
        <f>IFERROR(__xludf.DUMMYFUNCTION("""COMPUTED_VALUE"""),27.19)</f>
        <v>27.19</v>
      </c>
      <c r="C3954" s="2">
        <f>IFERROR(__xludf.DUMMYFUNCTION("""COMPUTED_VALUE"""),27.34)</f>
        <v>27.34</v>
      </c>
      <c r="D3954" s="2">
        <f>IFERROR(__xludf.DUMMYFUNCTION("""COMPUTED_VALUE"""),26.54)</f>
        <v>26.54</v>
      </c>
      <c r="E3954" s="2">
        <f>IFERROR(__xludf.DUMMYFUNCTION("""COMPUTED_VALUE"""),26.6)</f>
        <v>26.6</v>
      </c>
      <c r="F3954" s="2">
        <f>IFERROR(__xludf.DUMMYFUNCTION("""COMPUTED_VALUE"""),3698300.0)</f>
        <v>3698300</v>
      </c>
    </row>
    <row r="3955">
      <c r="A3955" s="3">
        <f>IFERROR(__xludf.DUMMYFUNCTION("""COMPUTED_VALUE"""),34932.666666666664)</f>
        <v>34932.66667</v>
      </c>
      <c r="B3955" s="2">
        <f>IFERROR(__xludf.DUMMYFUNCTION("""COMPUTED_VALUE"""),26.6)</f>
        <v>26.6</v>
      </c>
      <c r="C3955" s="2">
        <f>IFERROR(__xludf.DUMMYFUNCTION("""COMPUTED_VALUE"""),26.6)</f>
        <v>26.6</v>
      </c>
      <c r="D3955" s="2">
        <f>IFERROR(__xludf.DUMMYFUNCTION("""COMPUTED_VALUE"""),25.43)</f>
        <v>25.43</v>
      </c>
      <c r="E3955" s="2">
        <f>IFERROR(__xludf.DUMMYFUNCTION("""COMPUTED_VALUE"""),25.49)</f>
        <v>25.49</v>
      </c>
      <c r="F3955" s="2">
        <f>IFERROR(__xludf.DUMMYFUNCTION("""COMPUTED_VALUE"""),4701100.0)</f>
        <v>4701100</v>
      </c>
    </row>
    <row r="3956">
      <c r="A3956" s="3">
        <f>IFERROR(__xludf.DUMMYFUNCTION("""COMPUTED_VALUE"""),34933.666666666664)</f>
        <v>34933.66667</v>
      </c>
      <c r="B3956" s="2">
        <f>IFERROR(__xludf.DUMMYFUNCTION("""COMPUTED_VALUE"""),25.55)</f>
        <v>25.55</v>
      </c>
      <c r="C3956" s="2">
        <f>IFERROR(__xludf.DUMMYFUNCTION("""COMPUTED_VALUE"""),25.85)</f>
        <v>25.85</v>
      </c>
      <c r="D3956" s="2">
        <f>IFERROR(__xludf.DUMMYFUNCTION("""COMPUTED_VALUE"""),25.22)</f>
        <v>25.22</v>
      </c>
      <c r="E3956" s="2">
        <f>IFERROR(__xludf.DUMMYFUNCTION("""COMPUTED_VALUE"""),25.7)</f>
        <v>25.7</v>
      </c>
      <c r="F3956" s="2">
        <f>IFERROR(__xludf.DUMMYFUNCTION("""COMPUTED_VALUE"""),5512800.0)</f>
        <v>5512800</v>
      </c>
    </row>
    <row r="3957">
      <c r="A3957" s="3">
        <f>IFERROR(__xludf.DUMMYFUNCTION("""COMPUTED_VALUE"""),34934.666666666664)</f>
        <v>34934.66667</v>
      </c>
      <c r="B3957" s="2">
        <f>IFERROR(__xludf.DUMMYFUNCTION("""COMPUTED_VALUE"""),25.82)</f>
        <v>25.82</v>
      </c>
      <c r="C3957" s="2">
        <f>IFERROR(__xludf.DUMMYFUNCTION("""COMPUTED_VALUE"""),25.91)</f>
        <v>25.91</v>
      </c>
      <c r="D3957" s="2">
        <f>IFERROR(__xludf.DUMMYFUNCTION("""COMPUTED_VALUE"""),25.43)</f>
        <v>25.43</v>
      </c>
      <c r="E3957" s="2">
        <f>IFERROR(__xludf.DUMMYFUNCTION("""COMPUTED_VALUE"""),25.46)</f>
        <v>25.46</v>
      </c>
      <c r="F3957" s="2">
        <f>IFERROR(__xludf.DUMMYFUNCTION("""COMPUTED_VALUE"""),3228800.0)</f>
        <v>3228800</v>
      </c>
    </row>
    <row r="3958">
      <c r="A3958" s="3">
        <f>IFERROR(__xludf.DUMMYFUNCTION("""COMPUTED_VALUE"""),34935.666666666664)</f>
        <v>34935.66667</v>
      </c>
      <c r="B3958" s="2">
        <f>IFERROR(__xludf.DUMMYFUNCTION("""COMPUTED_VALUE"""),25.04)</f>
        <v>25.04</v>
      </c>
      <c r="C3958" s="2">
        <f>IFERROR(__xludf.DUMMYFUNCTION("""COMPUTED_VALUE"""),25.04)</f>
        <v>25.04</v>
      </c>
      <c r="D3958" s="2">
        <f>IFERROR(__xludf.DUMMYFUNCTION("""COMPUTED_VALUE"""),25.04)</f>
        <v>25.04</v>
      </c>
      <c r="E3958" s="2">
        <f>IFERROR(__xludf.DUMMYFUNCTION("""COMPUTED_VALUE"""),25.04)</f>
        <v>25.04</v>
      </c>
      <c r="F3958" s="2">
        <f>IFERROR(__xludf.DUMMYFUNCTION("""COMPUTED_VALUE"""),0.0)</f>
        <v>0</v>
      </c>
    </row>
    <row r="3959">
      <c r="A3959" s="3">
        <f>IFERROR(__xludf.DUMMYFUNCTION("""COMPUTED_VALUE"""),34936.666666666664)</f>
        <v>34936.66667</v>
      </c>
      <c r="B3959" s="2">
        <f>IFERROR(__xludf.DUMMYFUNCTION("""COMPUTED_VALUE"""),24.77)</f>
        <v>24.77</v>
      </c>
      <c r="C3959" s="2">
        <f>IFERROR(__xludf.DUMMYFUNCTION("""COMPUTED_VALUE"""),24.98)</f>
        <v>24.98</v>
      </c>
      <c r="D3959" s="2">
        <f>IFERROR(__xludf.DUMMYFUNCTION("""COMPUTED_VALUE"""),24.77)</f>
        <v>24.77</v>
      </c>
      <c r="E3959" s="2">
        <f>IFERROR(__xludf.DUMMYFUNCTION("""COMPUTED_VALUE"""),24.8)</f>
        <v>24.8</v>
      </c>
      <c r="F3959" s="2">
        <f>IFERROR(__xludf.DUMMYFUNCTION("""COMPUTED_VALUE"""),2761300.0)</f>
        <v>2761300</v>
      </c>
    </row>
    <row r="3960">
      <c r="A3960" s="3">
        <f>IFERROR(__xludf.DUMMYFUNCTION("""COMPUTED_VALUE"""),34939.666666666664)</f>
        <v>34939.66667</v>
      </c>
      <c r="B3960" s="2">
        <f>IFERROR(__xludf.DUMMYFUNCTION("""COMPUTED_VALUE"""),24.77)</f>
        <v>24.77</v>
      </c>
      <c r="C3960" s="2">
        <f>IFERROR(__xludf.DUMMYFUNCTION("""COMPUTED_VALUE"""),24.8)</f>
        <v>24.8</v>
      </c>
      <c r="D3960" s="2">
        <f>IFERROR(__xludf.DUMMYFUNCTION("""COMPUTED_VALUE"""),24.21)</f>
        <v>24.21</v>
      </c>
      <c r="E3960" s="2">
        <f>IFERROR(__xludf.DUMMYFUNCTION("""COMPUTED_VALUE"""),24.27)</f>
        <v>24.27</v>
      </c>
      <c r="F3960" s="2">
        <f>IFERROR(__xludf.DUMMYFUNCTION("""COMPUTED_VALUE"""),4110800.0)</f>
        <v>4110800</v>
      </c>
    </row>
    <row r="3961">
      <c r="A3961" s="3">
        <f>IFERROR(__xludf.DUMMYFUNCTION("""COMPUTED_VALUE"""),34940.666666666664)</f>
        <v>34940.66667</v>
      </c>
      <c r="B3961" s="2">
        <f>IFERROR(__xludf.DUMMYFUNCTION("""COMPUTED_VALUE"""),24.39)</f>
        <v>24.39</v>
      </c>
      <c r="C3961" s="2">
        <f>IFERROR(__xludf.DUMMYFUNCTION("""COMPUTED_VALUE"""),24.51)</f>
        <v>24.51</v>
      </c>
      <c r="D3961" s="2">
        <f>IFERROR(__xludf.DUMMYFUNCTION("""COMPUTED_VALUE"""),23.55)</f>
        <v>23.55</v>
      </c>
      <c r="E3961" s="2">
        <f>IFERROR(__xludf.DUMMYFUNCTION("""COMPUTED_VALUE"""),24.48)</f>
        <v>24.48</v>
      </c>
      <c r="F3961" s="2">
        <f>IFERROR(__xludf.DUMMYFUNCTION("""COMPUTED_VALUE"""),6146700.0)</f>
        <v>6146700</v>
      </c>
    </row>
    <row r="3962">
      <c r="A3962" s="3">
        <f>IFERROR(__xludf.DUMMYFUNCTION("""COMPUTED_VALUE"""),34941.666666666664)</f>
        <v>34941.66667</v>
      </c>
      <c r="B3962" s="2">
        <f>IFERROR(__xludf.DUMMYFUNCTION("""COMPUTED_VALUE"""),24.63)</f>
        <v>24.63</v>
      </c>
      <c r="C3962" s="2">
        <f>IFERROR(__xludf.DUMMYFUNCTION("""COMPUTED_VALUE"""),24.71)</f>
        <v>24.71</v>
      </c>
      <c r="D3962" s="2">
        <f>IFERROR(__xludf.DUMMYFUNCTION("""COMPUTED_VALUE"""),24.15)</f>
        <v>24.15</v>
      </c>
      <c r="E3962" s="2">
        <f>IFERROR(__xludf.DUMMYFUNCTION("""COMPUTED_VALUE"""),24.27)</f>
        <v>24.27</v>
      </c>
      <c r="F3962" s="2">
        <f>IFERROR(__xludf.DUMMYFUNCTION("""COMPUTED_VALUE"""),3248300.0)</f>
        <v>3248300</v>
      </c>
    </row>
    <row r="3963">
      <c r="A3963" s="3">
        <f>IFERROR(__xludf.DUMMYFUNCTION("""COMPUTED_VALUE"""),34942.666666666664)</f>
        <v>34942.66667</v>
      </c>
      <c r="B3963" s="2">
        <f>IFERROR(__xludf.DUMMYFUNCTION("""COMPUTED_VALUE"""),24.48)</f>
        <v>24.48</v>
      </c>
      <c r="C3963" s="2">
        <f>IFERROR(__xludf.DUMMYFUNCTION("""COMPUTED_VALUE"""),25.22)</f>
        <v>25.22</v>
      </c>
      <c r="D3963" s="2">
        <f>IFERROR(__xludf.DUMMYFUNCTION("""COMPUTED_VALUE"""),24.36)</f>
        <v>24.36</v>
      </c>
      <c r="E3963" s="2">
        <f>IFERROR(__xludf.DUMMYFUNCTION("""COMPUTED_VALUE"""),24.69)</f>
        <v>24.69</v>
      </c>
      <c r="F3963" s="2">
        <f>IFERROR(__xludf.DUMMYFUNCTION("""COMPUTED_VALUE"""),2316400.0)</f>
        <v>2316400</v>
      </c>
    </row>
    <row r="3964">
      <c r="A3964" s="3">
        <f>IFERROR(__xludf.DUMMYFUNCTION("""COMPUTED_VALUE"""),34943.666666666664)</f>
        <v>34943.66667</v>
      </c>
      <c r="B3964" s="2">
        <f>IFERROR(__xludf.DUMMYFUNCTION("""COMPUTED_VALUE"""),24.54)</f>
        <v>24.54</v>
      </c>
      <c r="C3964" s="2">
        <f>IFERROR(__xludf.DUMMYFUNCTION("""COMPUTED_VALUE"""),24.95)</f>
        <v>24.95</v>
      </c>
      <c r="D3964" s="2">
        <f>IFERROR(__xludf.DUMMYFUNCTION("""COMPUTED_VALUE"""),24.45)</f>
        <v>24.45</v>
      </c>
      <c r="E3964" s="2">
        <f>IFERROR(__xludf.DUMMYFUNCTION("""COMPUTED_VALUE"""),24.54)</f>
        <v>24.54</v>
      </c>
      <c r="F3964" s="2">
        <f>IFERROR(__xludf.DUMMYFUNCTION("""COMPUTED_VALUE"""),1818900.0)</f>
        <v>1818900</v>
      </c>
    </row>
    <row r="3965">
      <c r="A3965" s="3">
        <f>IFERROR(__xludf.DUMMYFUNCTION("""COMPUTED_VALUE"""),34947.666666666664)</f>
        <v>34947.66667</v>
      </c>
      <c r="B3965" s="2">
        <f>IFERROR(__xludf.DUMMYFUNCTION("""COMPUTED_VALUE"""),24.6)</f>
        <v>24.6</v>
      </c>
      <c r="C3965" s="2">
        <f>IFERROR(__xludf.DUMMYFUNCTION("""COMPUTED_VALUE"""),24.6)</f>
        <v>24.6</v>
      </c>
      <c r="D3965" s="2">
        <f>IFERROR(__xludf.DUMMYFUNCTION("""COMPUTED_VALUE"""),23.91)</f>
        <v>23.91</v>
      </c>
      <c r="E3965" s="2">
        <f>IFERROR(__xludf.DUMMYFUNCTION("""COMPUTED_VALUE"""),24.15)</f>
        <v>24.15</v>
      </c>
      <c r="F3965" s="2">
        <f>IFERROR(__xludf.DUMMYFUNCTION("""COMPUTED_VALUE"""),6668400.0)</f>
        <v>6668400</v>
      </c>
    </row>
    <row r="3966">
      <c r="A3966" s="3">
        <f>IFERROR(__xludf.DUMMYFUNCTION("""COMPUTED_VALUE"""),34948.666666666664)</f>
        <v>34948.66667</v>
      </c>
      <c r="B3966" s="2">
        <f>IFERROR(__xludf.DUMMYFUNCTION("""COMPUTED_VALUE"""),24.36)</f>
        <v>24.36</v>
      </c>
      <c r="C3966" s="2">
        <f>IFERROR(__xludf.DUMMYFUNCTION("""COMPUTED_VALUE"""),24.51)</f>
        <v>24.51</v>
      </c>
      <c r="D3966" s="2">
        <f>IFERROR(__xludf.DUMMYFUNCTION("""COMPUTED_VALUE"""),24.03)</f>
        <v>24.03</v>
      </c>
      <c r="E3966" s="2">
        <f>IFERROR(__xludf.DUMMYFUNCTION("""COMPUTED_VALUE"""),24.06)</f>
        <v>24.06</v>
      </c>
      <c r="F3966" s="2">
        <f>IFERROR(__xludf.DUMMYFUNCTION("""COMPUTED_VALUE"""),4192500.0)</f>
        <v>4192500</v>
      </c>
    </row>
    <row r="3967">
      <c r="A3967" s="3">
        <f>IFERROR(__xludf.DUMMYFUNCTION("""COMPUTED_VALUE"""),34949.666666666664)</f>
        <v>34949.66667</v>
      </c>
      <c r="B3967" s="2">
        <f>IFERROR(__xludf.DUMMYFUNCTION("""COMPUTED_VALUE"""),24.0)</f>
        <v>24</v>
      </c>
      <c r="C3967" s="2">
        <f>IFERROR(__xludf.DUMMYFUNCTION("""COMPUTED_VALUE"""),24.18)</f>
        <v>24.18</v>
      </c>
      <c r="D3967" s="2">
        <f>IFERROR(__xludf.DUMMYFUNCTION("""COMPUTED_VALUE"""),23.64)</f>
        <v>23.64</v>
      </c>
      <c r="E3967" s="2">
        <f>IFERROR(__xludf.DUMMYFUNCTION("""COMPUTED_VALUE"""),23.73)</f>
        <v>23.73</v>
      </c>
      <c r="F3967" s="2">
        <f>IFERROR(__xludf.DUMMYFUNCTION("""COMPUTED_VALUE"""),4051300.0)</f>
        <v>4051300</v>
      </c>
    </row>
    <row r="3968">
      <c r="A3968" s="3">
        <f>IFERROR(__xludf.DUMMYFUNCTION("""COMPUTED_VALUE"""),34950.666666666664)</f>
        <v>34950.66667</v>
      </c>
      <c r="B3968" s="2">
        <f>IFERROR(__xludf.DUMMYFUNCTION("""COMPUTED_VALUE"""),23.88)</f>
        <v>23.88</v>
      </c>
      <c r="C3968" s="2">
        <f>IFERROR(__xludf.DUMMYFUNCTION("""COMPUTED_VALUE"""),23.88)</f>
        <v>23.88</v>
      </c>
      <c r="D3968" s="2">
        <f>IFERROR(__xludf.DUMMYFUNCTION("""COMPUTED_VALUE"""),23.43)</f>
        <v>23.43</v>
      </c>
      <c r="E3968" s="2">
        <f>IFERROR(__xludf.DUMMYFUNCTION("""COMPUTED_VALUE"""),23.61)</f>
        <v>23.61</v>
      </c>
      <c r="F3968" s="2">
        <f>IFERROR(__xludf.DUMMYFUNCTION("""COMPUTED_VALUE"""),5355100.0)</f>
        <v>5355100</v>
      </c>
    </row>
    <row r="3969">
      <c r="A3969" s="3">
        <f>IFERROR(__xludf.DUMMYFUNCTION("""COMPUTED_VALUE"""),34953.666666666664)</f>
        <v>34953.66667</v>
      </c>
      <c r="B3969" s="2">
        <f>IFERROR(__xludf.DUMMYFUNCTION("""COMPUTED_VALUE"""),23.46)</f>
        <v>23.46</v>
      </c>
      <c r="C3969" s="2">
        <f>IFERROR(__xludf.DUMMYFUNCTION("""COMPUTED_VALUE"""),23.49)</f>
        <v>23.49</v>
      </c>
      <c r="D3969" s="2">
        <f>IFERROR(__xludf.DUMMYFUNCTION("""COMPUTED_VALUE"""),22.89)</f>
        <v>22.89</v>
      </c>
      <c r="E3969" s="2">
        <f>IFERROR(__xludf.DUMMYFUNCTION("""COMPUTED_VALUE"""),23.01)</f>
        <v>23.01</v>
      </c>
      <c r="F3969" s="2">
        <f>IFERROR(__xludf.DUMMYFUNCTION("""COMPUTED_VALUE"""),6619500.0)</f>
        <v>6619500</v>
      </c>
    </row>
    <row r="3970">
      <c r="A3970" s="3">
        <f>IFERROR(__xludf.DUMMYFUNCTION("""COMPUTED_VALUE"""),34954.666666666664)</f>
        <v>34954.66667</v>
      </c>
      <c r="B3970" s="2">
        <f>IFERROR(__xludf.DUMMYFUNCTION("""COMPUTED_VALUE"""),22.95)</f>
        <v>22.95</v>
      </c>
      <c r="C3970" s="2">
        <f>IFERROR(__xludf.DUMMYFUNCTION("""COMPUTED_VALUE"""),23.52)</f>
        <v>23.52</v>
      </c>
      <c r="D3970" s="2">
        <f>IFERROR(__xludf.DUMMYFUNCTION("""COMPUTED_VALUE"""),22.48)</f>
        <v>22.48</v>
      </c>
      <c r="E3970" s="2">
        <f>IFERROR(__xludf.DUMMYFUNCTION("""COMPUTED_VALUE"""),23.28)</f>
        <v>23.28</v>
      </c>
      <c r="F3970" s="2">
        <f>IFERROR(__xludf.DUMMYFUNCTION("""COMPUTED_VALUE"""),7287800.0)</f>
        <v>7287800</v>
      </c>
    </row>
    <row r="3971">
      <c r="A3971" s="3">
        <f>IFERROR(__xludf.DUMMYFUNCTION("""COMPUTED_VALUE"""),34955.666666666664)</f>
        <v>34955.66667</v>
      </c>
      <c r="B3971" s="2">
        <f>IFERROR(__xludf.DUMMYFUNCTION("""COMPUTED_VALUE"""),23.28)</f>
        <v>23.28</v>
      </c>
      <c r="C3971" s="2">
        <f>IFERROR(__xludf.DUMMYFUNCTION("""COMPUTED_VALUE"""),23.58)</f>
        <v>23.58</v>
      </c>
      <c r="D3971" s="2">
        <f>IFERROR(__xludf.DUMMYFUNCTION("""COMPUTED_VALUE"""),22.06)</f>
        <v>22.06</v>
      </c>
      <c r="E3971" s="2">
        <f>IFERROR(__xludf.DUMMYFUNCTION("""COMPUTED_VALUE"""),22.6)</f>
        <v>22.6</v>
      </c>
      <c r="F3971" s="2">
        <f>IFERROR(__xludf.DUMMYFUNCTION("""COMPUTED_VALUE"""),1.39278E7)</f>
        <v>13927800</v>
      </c>
    </row>
    <row r="3972">
      <c r="A3972" s="3">
        <f>IFERROR(__xludf.DUMMYFUNCTION("""COMPUTED_VALUE"""),34956.666666666664)</f>
        <v>34956.66667</v>
      </c>
      <c r="B3972" s="2">
        <f>IFERROR(__xludf.DUMMYFUNCTION("""COMPUTED_VALUE"""),22.74)</f>
        <v>22.74</v>
      </c>
      <c r="C3972" s="2">
        <f>IFERROR(__xludf.DUMMYFUNCTION("""COMPUTED_VALUE"""),22.83)</f>
        <v>22.83</v>
      </c>
      <c r="D3972" s="2">
        <f>IFERROR(__xludf.DUMMYFUNCTION("""COMPUTED_VALUE"""),22.09)</f>
        <v>22.09</v>
      </c>
      <c r="E3972" s="2">
        <f>IFERROR(__xludf.DUMMYFUNCTION("""COMPUTED_VALUE"""),22.3)</f>
        <v>22.3</v>
      </c>
      <c r="F3972" s="2">
        <f>IFERROR(__xludf.DUMMYFUNCTION("""COMPUTED_VALUE"""),7858800.0)</f>
        <v>7858800</v>
      </c>
    </row>
    <row r="3973">
      <c r="A3973" s="3">
        <f>IFERROR(__xludf.DUMMYFUNCTION("""COMPUTED_VALUE"""),34957.666666666664)</f>
        <v>34957.66667</v>
      </c>
      <c r="B3973" s="2">
        <f>IFERROR(__xludf.DUMMYFUNCTION("""COMPUTED_VALUE"""),22.15)</f>
        <v>22.15</v>
      </c>
      <c r="C3973" s="2">
        <f>IFERROR(__xludf.DUMMYFUNCTION("""COMPUTED_VALUE"""),22.15)</f>
        <v>22.15</v>
      </c>
      <c r="D3973" s="2">
        <f>IFERROR(__xludf.DUMMYFUNCTION("""COMPUTED_VALUE"""),21.88)</f>
        <v>21.88</v>
      </c>
      <c r="E3973" s="2">
        <f>IFERROR(__xludf.DUMMYFUNCTION("""COMPUTED_VALUE"""),22.03)</f>
        <v>22.03</v>
      </c>
      <c r="F3973" s="2">
        <f>IFERROR(__xludf.DUMMYFUNCTION("""COMPUTED_VALUE"""),6781400.0)</f>
        <v>6781400</v>
      </c>
    </row>
    <row r="3974">
      <c r="A3974" s="3">
        <f>IFERROR(__xludf.DUMMYFUNCTION("""COMPUTED_VALUE"""),34960.666666666664)</f>
        <v>34960.66667</v>
      </c>
      <c r="B3974" s="2">
        <f>IFERROR(__xludf.DUMMYFUNCTION("""COMPUTED_VALUE"""),22.09)</f>
        <v>22.09</v>
      </c>
      <c r="C3974" s="2">
        <f>IFERROR(__xludf.DUMMYFUNCTION("""COMPUTED_VALUE"""),22.51)</f>
        <v>22.51</v>
      </c>
      <c r="D3974" s="2">
        <f>IFERROR(__xludf.DUMMYFUNCTION("""COMPUTED_VALUE"""),22.06)</f>
        <v>22.06</v>
      </c>
      <c r="E3974" s="2">
        <f>IFERROR(__xludf.DUMMYFUNCTION("""COMPUTED_VALUE"""),22.48)</f>
        <v>22.48</v>
      </c>
      <c r="F3974" s="2">
        <f>IFERROR(__xludf.DUMMYFUNCTION("""COMPUTED_VALUE"""),4453700.0)</f>
        <v>4453700</v>
      </c>
    </row>
    <row r="3975">
      <c r="A3975" s="3">
        <f>IFERROR(__xludf.DUMMYFUNCTION("""COMPUTED_VALUE"""),34961.666666666664)</f>
        <v>34961.66667</v>
      </c>
      <c r="B3975" s="2">
        <f>IFERROR(__xludf.DUMMYFUNCTION("""COMPUTED_VALUE"""),22.6)</f>
        <v>22.6</v>
      </c>
      <c r="C3975" s="2">
        <f>IFERROR(__xludf.DUMMYFUNCTION("""COMPUTED_VALUE"""),23.13)</f>
        <v>23.13</v>
      </c>
      <c r="D3975" s="2">
        <f>IFERROR(__xludf.DUMMYFUNCTION("""COMPUTED_VALUE"""),22.51)</f>
        <v>22.51</v>
      </c>
      <c r="E3975" s="2">
        <f>IFERROR(__xludf.DUMMYFUNCTION("""COMPUTED_VALUE"""),23.1)</f>
        <v>23.1</v>
      </c>
      <c r="F3975" s="2">
        <f>IFERROR(__xludf.DUMMYFUNCTION("""COMPUTED_VALUE"""),4219700.0)</f>
        <v>4219700</v>
      </c>
    </row>
    <row r="3976">
      <c r="A3976" s="3">
        <f>IFERROR(__xludf.DUMMYFUNCTION("""COMPUTED_VALUE"""),34962.666666666664)</f>
        <v>34962.66667</v>
      </c>
      <c r="B3976" s="2">
        <f>IFERROR(__xludf.DUMMYFUNCTION("""COMPUTED_VALUE"""),23.31)</f>
        <v>23.31</v>
      </c>
      <c r="C3976" s="2">
        <f>IFERROR(__xludf.DUMMYFUNCTION("""COMPUTED_VALUE"""),23.43)</f>
        <v>23.43</v>
      </c>
      <c r="D3976" s="2">
        <f>IFERROR(__xludf.DUMMYFUNCTION("""COMPUTED_VALUE"""),22.83)</f>
        <v>22.83</v>
      </c>
      <c r="E3976" s="2">
        <f>IFERROR(__xludf.DUMMYFUNCTION("""COMPUTED_VALUE"""),22.86)</f>
        <v>22.86</v>
      </c>
      <c r="F3976" s="2">
        <f>IFERROR(__xludf.DUMMYFUNCTION("""COMPUTED_VALUE"""),2956700.0)</f>
        <v>2956700</v>
      </c>
    </row>
    <row r="3977">
      <c r="A3977" s="3">
        <f>IFERROR(__xludf.DUMMYFUNCTION("""COMPUTED_VALUE"""),34963.666666666664)</f>
        <v>34963.66667</v>
      </c>
      <c r="B3977" s="2">
        <f>IFERROR(__xludf.DUMMYFUNCTION("""COMPUTED_VALUE"""),22.86)</f>
        <v>22.86</v>
      </c>
      <c r="C3977" s="2">
        <f>IFERROR(__xludf.DUMMYFUNCTION("""COMPUTED_VALUE"""),23.04)</f>
        <v>23.04</v>
      </c>
      <c r="D3977" s="2">
        <f>IFERROR(__xludf.DUMMYFUNCTION("""COMPUTED_VALUE"""),22.42)</f>
        <v>22.42</v>
      </c>
      <c r="E3977" s="2">
        <f>IFERROR(__xludf.DUMMYFUNCTION("""COMPUTED_VALUE"""),22.54)</f>
        <v>22.54</v>
      </c>
      <c r="F3977" s="2">
        <f>IFERROR(__xludf.DUMMYFUNCTION("""COMPUTED_VALUE"""),2867000.0)</f>
        <v>2867000</v>
      </c>
    </row>
    <row r="3978">
      <c r="A3978" s="3">
        <f>IFERROR(__xludf.DUMMYFUNCTION("""COMPUTED_VALUE"""),34964.666666666664)</f>
        <v>34964.66667</v>
      </c>
      <c r="B3978" s="2">
        <f>IFERROR(__xludf.DUMMYFUNCTION("""COMPUTED_VALUE"""),22.42)</f>
        <v>22.42</v>
      </c>
      <c r="C3978" s="2">
        <f>IFERROR(__xludf.DUMMYFUNCTION("""COMPUTED_VALUE"""),22.54)</f>
        <v>22.54</v>
      </c>
      <c r="D3978" s="2">
        <f>IFERROR(__xludf.DUMMYFUNCTION("""COMPUTED_VALUE"""),22.3)</f>
        <v>22.3</v>
      </c>
      <c r="E3978" s="2">
        <f>IFERROR(__xludf.DUMMYFUNCTION("""COMPUTED_VALUE"""),22.42)</f>
        <v>22.42</v>
      </c>
      <c r="F3978" s="2">
        <f>IFERROR(__xludf.DUMMYFUNCTION("""COMPUTED_VALUE"""),2344300.0)</f>
        <v>2344300</v>
      </c>
    </row>
    <row r="3979">
      <c r="A3979" s="3">
        <f>IFERROR(__xludf.DUMMYFUNCTION("""COMPUTED_VALUE"""),34967.666666666664)</f>
        <v>34967.66667</v>
      </c>
      <c r="B3979" s="2">
        <f>IFERROR(__xludf.DUMMYFUNCTION("""COMPUTED_VALUE"""),22.45)</f>
        <v>22.45</v>
      </c>
      <c r="C3979" s="2">
        <f>IFERROR(__xludf.DUMMYFUNCTION("""COMPUTED_VALUE"""),22.63)</f>
        <v>22.63</v>
      </c>
      <c r="D3979" s="2">
        <f>IFERROR(__xludf.DUMMYFUNCTION("""COMPUTED_VALUE"""),22.12)</f>
        <v>22.12</v>
      </c>
      <c r="E3979" s="2">
        <f>IFERROR(__xludf.DUMMYFUNCTION("""COMPUTED_VALUE"""),22.15)</f>
        <v>22.15</v>
      </c>
      <c r="F3979" s="2">
        <f>IFERROR(__xludf.DUMMYFUNCTION("""COMPUTED_VALUE"""),2971500.0)</f>
        <v>2971500</v>
      </c>
    </row>
    <row r="3980">
      <c r="A3980" s="3">
        <f>IFERROR(__xludf.DUMMYFUNCTION("""COMPUTED_VALUE"""),34968.666666666664)</f>
        <v>34968.66667</v>
      </c>
      <c r="B3980" s="2">
        <f>IFERROR(__xludf.DUMMYFUNCTION("""COMPUTED_VALUE"""),22.27)</f>
        <v>22.27</v>
      </c>
      <c r="C3980" s="2">
        <f>IFERROR(__xludf.DUMMYFUNCTION("""COMPUTED_VALUE"""),22.45)</f>
        <v>22.45</v>
      </c>
      <c r="D3980" s="2">
        <f>IFERROR(__xludf.DUMMYFUNCTION("""COMPUTED_VALUE"""),22.09)</f>
        <v>22.09</v>
      </c>
      <c r="E3980" s="2">
        <f>IFERROR(__xludf.DUMMYFUNCTION("""COMPUTED_VALUE"""),22.18)</f>
        <v>22.18</v>
      </c>
      <c r="F3980" s="2">
        <f>IFERROR(__xludf.DUMMYFUNCTION("""COMPUTED_VALUE"""),2774700.0)</f>
        <v>2774700</v>
      </c>
    </row>
    <row r="3981">
      <c r="A3981" s="3">
        <f>IFERROR(__xludf.DUMMYFUNCTION("""COMPUTED_VALUE"""),34969.666666666664)</f>
        <v>34969.66667</v>
      </c>
      <c r="B3981" s="2">
        <f>IFERROR(__xludf.DUMMYFUNCTION("""COMPUTED_VALUE"""),22.12)</f>
        <v>22.12</v>
      </c>
      <c r="C3981" s="2">
        <f>IFERROR(__xludf.DUMMYFUNCTION("""COMPUTED_VALUE"""),22.57)</f>
        <v>22.57</v>
      </c>
      <c r="D3981" s="2">
        <f>IFERROR(__xludf.DUMMYFUNCTION("""COMPUTED_VALUE"""),21.94)</f>
        <v>21.94</v>
      </c>
      <c r="E3981" s="2">
        <f>IFERROR(__xludf.DUMMYFUNCTION("""COMPUTED_VALUE"""),22.54)</f>
        <v>22.54</v>
      </c>
      <c r="F3981" s="2">
        <f>IFERROR(__xludf.DUMMYFUNCTION("""COMPUTED_VALUE"""),4690700.0)</f>
        <v>4690700</v>
      </c>
    </row>
    <row r="3982">
      <c r="A3982" s="3">
        <f>IFERROR(__xludf.DUMMYFUNCTION("""COMPUTED_VALUE"""),34970.666666666664)</f>
        <v>34970.66667</v>
      </c>
      <c r="B3982" s="2">
        <f>IFERROR(__xludf.DUMMYFUNCTION("""COMPUTED_VALUE"""),22.66)</f>
        <v>22.66</v>
      </c>
      <c r="C3982" s="2">
        <f>IFERROR(__xludf.DUMMYFUNCTION("""COMPUTED_VALUE"""),22.77)</f>
        <v>22.77</v>
      </c>
      <c r="D3982" s="2">
        <f>IFERROR(__xludf.DUMMYFUNCTION("""COMPUTED_VALUE"""),22.42)</f>
        <v>22.42</v>
      </c>
      <c r="E3982" s="2">
        <f>IFERROR(__xludf.DUMMYFUNCTION("""COMPUTED_VALUE"""),22.42)</f>
        <v>22.42</v>
      </c>
      <c r="F3982" s="2">
        <f>IFERROR(__xludf.DUMMYFUNCTION("""COMPUTED_VALUE"""),2855100.0)</f>
        <v>2855100</v>
      </c>
    </row>
    <row r="3983">
      <c r="A3983" s="3">
        <f>IFERROR(__xludf.DUMMYFUNCTION("""COMPUTED_VALUE"""),34971.666666666664)</f>
        <v>34971.66667</v>
      </c>
      <c r="B3983" s="2">
        <f>IFERROR(__xludf.DUMMYFUNCTION("""COMPUTED_VALUE"""),22.51)</f>
        <v>22.51</v>
      </c>
      <c r="C3983" s="2">
        <f>IFERROR(__xludf.DUMMYFUNCTION("""COMPUTED_VALUE"""),22.74)</f>
        <v>22.74</v>
      </c>
      <c r="D3983" s="2">
        <f>IFERROR(__xludf.DUMMYFUNCTION("""COMPUTED_VALUE"""),22.36)</f>
        <v>22.36</v>
      </c>
      <c r="E3983" s="2">
        <f>IFERROR(__xludf.DUMMYFUNCTION("""COMPUTED_VALUE"""),22.57)</f>
        <v>22.57</v>
      </c>
      <c r="F3983" s="2">
        <f>IFERROR(__xludf.DUMMYFUNCTION("""COMPUTED_VALUE"""),2597300.0)</f>
        <v>2597300</v>
      </c>
    </row>
    <row r="3984">
      <c r="A3984" s="3">
        <f>IFERROR(__xludf.DUMMYFUNCTION("""COMPUTED_VALUE"""),34974.666666666664)</f>
        <v>34974.66667</v>
      </c>
      <c r="B3984" s="2">
        <f>IFERROR(__xludf.DUMMYFUNCTION("""COMPUTED_VALUE"""),22.69)</f>
        <v>22.69</v>
      </c>
      <c r="C3984" s="2">
        <f>IFERROR(__xludf.DUMMYFUNCTION("""COMPUTED_VALUE"""),22.83)</f>
        <v>22.83</v>
      </c>
      <c r="D3984" s="2">
        <f>IFERROR(__xludf.DUMMYFUNCTION("""COMPUTED_VALUE"""),22.3)</f>
        <v>22.3</v>
      </c>
      <c r="E3984" s="2">
        <f>IFERROR(__xludf.DUMMYFUNCTION("""COMPUTED_VALUE"""),22.33)</f>
        <v>22.33</v>
      </c>
      <c r="F3984" s="2">
        <f>IFERROR(__xludf.DUMMYFUNCTION("""COMPUTED_VALUE"""),2403900.0)</f>
        <v>2403900</v>
      </c>
    </row>
    <row r="3985">
      <c r="A3985" s="3">
        <f>IFERROR(__xludf.DUMMYFUNCTION("""COMPUTED_VALUE"""),34975.666666666664)</f>
        <v>34975.66667</v>
      </c>
      <c r="B3985" s="2">
        <f>IFERROR(__xludf.DUMMYFUNCTION("""COMPUTED_VALUE"""),22.33)</f>
        <v>22.33</v>
      </c>
      <c r="C3985" s="2">
        <f>IFERROR(__xludf.DUMMYFUNCTION("""COMPUTED_VALUE"""),22.74)</f>
        <v>22.74</v>
      </c>
      <c r="D3985" s="2">
        <f>IFERROR(__xludf.DUMMYFUNCTION("""COMPUTED_VALUE"""),22.3)</f>
        <v>22.3</v>
      </c>
      <c r="E3985" s="2">
        <f>IFERROR(__xludf.DUMMYFUNCTION("""COMPUTED_VALUE"""),22.66)</f>
        <v>22.66</v>
      </c>
      <c r="F3985" s="2">
        <f>IFERROR(__xludf.DUMMYFUNCTION("""COMPUTED_VALUE"""),3290600.0)</f>
        <v>3290600</v>
      </c>
    </row>
    <row r="3986">
      <c r="A3986" s="3">
        <f>IFERROR(__xludf.DUMMYFUNCTION("""COMPUTED_VALUE"""),34976.666666666664)</f>
        <v>34976.66667</v>
      </c>
      <c r="B3986" s="2">
        <f>IFERROR(__xludf.DUMMYFUNCTION("""COMPUTED_VALUE"""),22.51)</f>
        <v>22.51</v>
      </c>
      <c r="C3986" s="2">
        <f>IFERROR(__xludf.DUMMYFUNCTION("""COMPUTED_VALUE"""),22.6)</f>
        <v>22.6</v>
      </c>
      <c r="D3986" s="2">
        <f>IFERROR(__xludf.DUMMYFUNCTION("""COMPUTED_VALUE"""),22.3)</f>
        <v>22.3</v>
      </c>
      <c r="E3986" s="2">
        <f>IFERROR(__xludf.DUMMYFUNCTION("""COMPUTED_VALUE"""),22.39)</f>
        <v>22.39</v>
      </c>
      <c r="F3986" s="2">
        <f>IFERROR(__xludf.DUMMYFUNCTION("""COMPUTED_VALUE"""),2007000.0)</f>
        <v>2007000</v>
      </c>
    </row>
    <row r="3987">
      <c r="A3987" s="3">
        <f>IFERROR(__xludf.DUMMYFUNCTION("""COMPUTED_VALUE"""),34977.666666666664)</f>
        <v>34977.66667</v>
      </c>
      <c r="B3987" s="2">
        <f>IFERROR(__xludf.DUMMYFUNCTION("""COMPUTED_VALUE"""),22.42)</f>
        <v>22.42</v>
      </c>
      <c r="C3987" s="2">
        <f>IFERROR(__xludf.DUMMYFUNCTION("""COMPUTED_VALUE"""),22.69)</f>
        <v>22.69</v>
      </c>
      <c r="D3987" s="2">
        <f>IFERROR(__xludf.DUMMYFUNCTION("""COMPUTED_VALUE"""),22.33)</f>
        <v>22.33</v>
      </c>
      <c r="E3987" s="2">
        <f>IFERROR(__xludf.DUMMYFUNCTION("""COMPUTED_VALUE"""),22.57)</f>
        <v>22.57</v>
      </c>
      <c r="F3987" s="2">
        <f>IFERROR(__xludf.DUMMYFUNCTION("""COMPUTED_VALUE"""),2469300.0)</f>
        <v>2469300</v>
      </c>
    </row>
    <row r="3988">
      <c r="A3988" s="3">
        <f>IFERROR(__xludf.DUMMYFUNCTION("""COMPUTED_VALUE"""),34978.666666666664)</f>
        <v>34978.66667</v>
      </c>
      <c r="B3988" s="2">
        <f>IFERROR(__xludf.DUMMYFUNCTION("""COMPUTED_VALUE"""),22.74)</f>
        <v>22.74</v>
      </c>
      <c r="C3988" s="2">
        <f>IFERROR(__xludf.DUMMYFUNCTION("""COMPUTED_VALUE"""),22.77)</f>
        <v>22.77</v>
      </c>
      <c r="D3988" s="2">
        <f>IFERROR(__xludf.DUMMYFUNCTION("""COMPUTED_VALUE"""),22.48)</f>
        <v>22.48</v>
      </c>
      <c r="E3988" s="2">
        <f>IFERROR(__xludf.DUMMYFUNCTION("""COMPUTED_VALUE"""),22.48)</f>
        <v>22.48</v>
      </c>
      <c r="F3988" s="2">
        <f>IFERROR(__xludf.DUMMYFUNCTION("""COMPUTED_VALUE"""),2598000.0)</f>
        <v>2598000</v>
      </c>
    </row>
    <row r="3989">
      <c r="A3989" s="3">
        <f>IFERROR(__xludf.DUMMYFUNCTION("""COMPUTED_VALUE"""),34981.666666666664)</f>
        <v>34981.66667</v>
      </c>
      <c r="B3989" s="2">
        <f>IFERROR(__xludf.DUMMYFUNCTION("""COMPUTED_VALUE"""),22.42)</f>
        <v>22.42</v>
      </c>
      <c r="C3989" s="2">
        <f>IFERROR(__xludf.DUMMYFUNCTION("""COMPUTED_VALUE"""),22.48)</f>
        <v>22.48</v>
      </c>
      <c r="D3989" s="2">
        <f>IFERROR(__xludf.DUMMYFUNCTION("""COMPUTED_VALUE"""),21.97)</f>
        <v>21.97</v>
      </c>
      <c r="E3989" s="2">
        <f>IFERROR(__xludf.DUMMYFUNCTION("""COMPUTED_VALUE"""),21.97)</f>
        <v>21.97</v>
      </c>
      <c r="F3989" s="2">
        <f>IFERROR(__xludf.DUMMYFUNCTION("""COMPUTED_VALUE"""),3021500.0)</f>
        <v>3021500</v>
      </c>
    </row>
    <row r="3990">
      <c r="A3990" s="3">
        <f>IFERROR(__xludf.DUMMYFUNCTION("""COMPUTED_VALUE"""),34982.666666666664)</f>
        <v>34982.66667</v>
      </c>
      <c r="B3990" s="2">
        <f>IFERROR(__xludf.DUMMYFUNCTION("""COMPUTED_VALUE"""),21.49)</f>
        <v>21.49</v>
      </c>
      <c r="C3990" s="2">
        <f>IFERROR(__xludf.DUMMYFUNCTION("""COMPUTED_VALUE"""),21.76)</f>
        <v>21.76</v>
      </c>
      <c r="D3990" s="2">
        <f>IFERROR(__xludf.DUMMYFUNCTION("""COMPUTED_VALUE"""),21.28)</f>
        <v>21.28</v>
      </c>
      <c r="E3990" s="2">
        <f>IFERROR(__xludf.DUMMYFUNCTION("""COMPUTED_VALUE"""),21.67)</f>
        <v>21.67</v>
      </c>
      <c r="F3990" s="2">
        <f>IFERROR(__xludf.DUMMYFUNCTION("""COMPUTED_VALUE"""),6467800.0)</f>
        <v>6467800</v>
      </c>
    </row>
    <row r="3991">
      <c r="A3991" s="3">
        <f>IFERROR(__xludf.DUMMYFUNCTION("""COMPUTED_VALUE"""),34983.666666666664)</f>
        <v>34983.66667</v>
      </c>
      <c r="B3991" s="2">
        <f>IFERROR(__xludf.DUMMYFUNCTION("""COMPUTED_VALUE"""),21.85)</f>
        <v>21.85</v>
      </c>
      <c r="C3991" s="2">
        <f>IFERROR(__xludf.DUMMYFUNCTION("""COMPUTED_VALUE"""),22.18)</f>
        <v>22.18</v>
      </c>
      <c r="D3991" s="2">
        <f>IFERROR(__xludf.DUMMYFUNCTION("""COMPUTED_VALUE"""),21.79)</f>
        <v>21.79</v>
      </c>
      <c r="E3991" s="2">
        <f>IFERROR(__xludf.DUMMYFUNCTION("""COMPUTED_VALUE"""),22.09)</f>
        <v>22.09</v>
      </c>
      <c r="F3991" s="2">
        <f>IFERROR(__xludf.DUMMYFUNCTION("""COMPUTED_VALUE"""),3359000.0)</f>
        <v>3359000</v>
      </c>
    </row>
    <row r="3992">
      <c r="A3992" s="3">
        <f>IFERROR(__xludf.DUMMYFUNCTION("""COMPUTED_VALUE"""),34984.666666666664)</f>
        <v>34984.66667</v>
      </c>
      <c r="B3992" s="2">
        <f>IFERROR(__xludf.DUMMYFUNCTION("""COMPUTED_VALUE"""),22.27)</f>
        <v>22.27</v>
      </c>
      <c r="C3992" s="2">
        <f>IFERROR(__xludf.DUMMYFUNCTION("""COMPUTED_VALUE"""),22.33)</f>
        <v>22.33</v>
      </c>
      <c r="D3992" s="2">
        <f>IFERROR(__xludf.DUMMYFUNCTION("""COMPUTED_VALUE"""),22.0)</f>
        <v>22</v>
      </c>
      <c r="E3992" s="2">
        <f>IFERROR(__xludf.DUMMYFUNCTION("""COMPUTED_VALUE"""),22.21)</f>
        <v>22.21</v>
      </c>
      <c r="F3992" s="2">
        <f>IFERROR(__xludf.DUMMYFUNCTION("""COMPUTED_VALUE"""),2358000.0)</f>
        <v>2358000</v>
      </c>
    </row>
    <row r="3993">
      <c r="A3993" s="3">
        <f>IFERROR(__xludf.DUMMYFUNCTION("""COMPUTED_VALUE"""),34985.666666666664)</f>
        <v>34985.66667</v>
      </c>
      <c r="B3993" s="2">
        <f>IFERROR(__xludf.DUMMYFUNCTION("""COMPUTED_VALUE"""),22.45)</f>
        <v>22.45</v>
      </c>
      <c r="C3993" s="2">
        <f>IFERROR(__xludf.DUMMYFUNCTION("""COMPUTED_VALUE"""),22.63)</f>
        <v>22.63</v>
      </c>
      <c r="D3993" s="2">
        <f>IFERROR(__xludf.DUMMYFUNCTION("""COMPUTED_VALUE"""),22.09)</f>
        <v>22.09</v>
      </c>
      <c r="E3993" s="2">
        <f>IFERROR(__xludf.DUMMYFUNCTION("""COMPUTED_VALUE"""),22.09)</f>
        <v>22.09</v>
      </c>
      <c r="F3993" s="2">
        <f>IFERROR(__xludf.DUMMYFUNCTION("""COMPUTED_VALUE"""),2352400.0)</f>
        <v>2352400</v>
      </c>
    </row>
    <row r="3994">
      <c r="A3994" s="3">
        <f>IFERROR(__xludf.DUMMYFUNCTION("""COMPUTED_VALUE"""),34988.666666666664)</f>
        <v>34988.66667</v>
      </c>
      <c r="B3994" s="2">
        <f>IFERROR(__xludf.DUMMYFUNCTION("""COMPUTED_VALUE"""),22.45)</f>
        <v>22.45</v>
      </c>
      <c r="C3994" s="2">
        <f>IFERROR(__xludf.DUMMYFUNCTION("""COMPUTED_VALUE"""),22.48)</f>
        <v>22.48</v>
      </c>
      <c r="D3994" s="2">
        <f>IFERROR(__xludf.DUMMYFUNCTION("""COMPUTED_VALUE"""),22.09)</f>
        <v>22.09</v>
      </c>
      <c r="E3994" s="2">
        <f>IFERROR(__xludf.DUMMYFUNCTION("""COMPUTED_VALUE"""),22.45)</f>
        <v>22.45</v>
      </c>
      <c r="F3994" s="2">
        <f>IFERROR(__xludf.DUMMYFUNCTION("""COMPUTED_VALUE"""),2648600.0)</f>
        <v>2648600</v>
      </c>
    </row>
    <row r="3995">
      <c r="A3995" s="3">
        <f>IFERROR(__xludf.DUMMYFUNCTION("""COMPUTED_VALUE"""),34989.666666666664)</f>
        <v>34989.66667</v>
      </c>
      <c r="B3995" s="2">
        <f>IFERROR(__xludf.DUMMYFUNCTION("""COMPUTED_VALUE"""),22.09)</f>
        <v>22.09</v>
      </c>
      <c r="C3995" s="2">
        <f>IFERROR(__xludf.DUMMYFUNCTION("""COMPUTED_VALUE"""),23.16)</f>
        <v>23.16</v>
      </c>
      <c r="D3995" s="2">
        <f>IFERROR(__xludf.DUMMYFUNCTION("""COMPUTED_VALUE"""),21.79)</f>
        <v>21.79</v>
      </c>
      <c r="E3995" s="2">
        <f>IFERROR(__xludf.DUMMYFUNCTION("""COMPUTED_VALUE"""),23.13)</f>
        <v>23.13</v>
      </c>
      <c r="F3995" s="2">
        <f>IFERROR(__xludf.DUMMYFUNCTION("""COMPUTED_VALUE"""),1.14532E7)</f>
        <v>11453200</v>
      </c>
    </row>
    <row r="3996">
      <c r="A3996" s="3">
        <f>IFERROR(__xludf.DUMMYFUNCTION("""COMPUTED_VALUE"""),34990.666666666664)</f>
        <v>34990.66667</v>
      </c>
      <c r="B3996" s="2">
        <f>IFERROR(__xludf.DUMMYFUNCTION("""COMPUTED_VALUE"""),23.37)</f>
        <v>23.37</v>
      </c>
      <c r="C3996" s="2">
        <f>IFERROR(__xludf.DUMMYFUNCTION("""COMPUTED_VALUE"""),23.46)</f>
        <v>23.46</v>
      </c>
      <c r="D3996" s="2">
        <f>IFERROR(__xludf.DUMMYFUNCTION("""COMPUTED_VALUE"""),22.86)</f>
        <v>22.86</v>
      </c>
      <c r="E3996" s="2">
        <f>IFERROR(__xludf.DUMMYFUNCTION("""COMPUTED_VALUE"""),23.01)</f>
        <v>23.01</v>
      </c>
      <c r="F3996" s="2">
        <f>IFERROR(__xludf.DUMMYFUNCTION("""COMPUTED_VALUE"""),7304500.0)</f>
        <v>7304500</v>
      </c>
    </row>
    <row r="3997">
      <c r="A3997" s="3">
        <f>IFERROR(__xludf.DUMMYFUNCTION("""COMPUTED_VALUE"""),34991.666666666664)</f>
        <v>34991.66667</v>
      </c>
      <c r="B3997" s="2">
        <f>IFERROR(__xludf.DUMMYFUNCTION("""COMPUTED_VALUE"""),23.13)</f>
        <v>23.13</v>
      </c>
      <c r="C3997" s="2">
        <f>IFERROR(__xludf.DUMMYFUNCTION("""COMPUTED_VALUE"""),23.49)</f>
        <v>23.49</v>
      </c>
      <c r="D3997" s="2">
        <f>IFERROR(__xludf.DUMMYFUNCTION("""COMPUTED_VALUE"""),22.92)</f>
        <v>22.92</v>
      </c>
      <c r="E3997" s="2">
        <f>IFERROR(__xludf.DUMMYFUNCTION("""COMPUTED_VALUE"""),23.46)</f>
        <v>23.46</v>
      </c>
      <c r="F3997" s="2">
        <f>IFERROR(__xludf.DUMMYFUNCTION("""COMPUTED_VALUE"""),4686700.0)</f>
        <v>4686700</v>
      </c>
    </row>
    <row r="3998">
      <c r="A3998" s="3">
        <f>IFERROR(__xludf.DUMMYFUNCTION("""COMPUTED_VALUE"""),34992.666666666664)</f>
        <v>34992.66667</v>
      </c>
      <c r="B3998" s="2">
        <f>IFERROR(__xludf.DUMMYFUNCTION("""COMPUTED_VALUE"""),23.46)</f>
        <v>23.46</v>
      </c>
      <c r="C3998" s="2">
        <f>IFERROR(__xludf.DUMMYFUNCTION("""COMPUTED_VALUE"""),23.52)</f>
        <v>23.52</v>
      </c>
      <c r="D3998" s="2">
        <f>IFERROR(__xludf.DUMMYFUNCTION("""COMPUTED_VALUE"""),22.74)</f>
        <v>22.74</v>
      </c>
      <c r="E3998" s="2">
        <f>IFERROR(__xludf.DUMMYFUNCTION("""COMPUTED_VALUE"""),22.77)</f>
        <v>22.77</v>
      </c>
      <c r="F3998" s="2">
        <f>IFERROR(__xludf.DUMMYFUNCTION("""COMPUTED_VALUE"""),4453600.0)</f>
        <v>4453600</v>
      </c>
    </row>
    <row r="3999">
      <c r="A3999" s="3">
        <f>IFERROR(__xludf.DUMMYFUNCTION("""COMPUTED_VALUE"""),34995.666666666664)</f>
        <v>34995.66667</v>
      </c>
      <c r="B3999" s="2">
        <f>IFERROR(__xludf.DUMMYFUNCTION("""COMPUTED_VALUE"""),22.83)</f>
        <v>22.83</v>
      </c>
      <c r="C3999" s="2">
        <f>IFERROR(__xludf.DUMMYFUNCTION("""COMPUTED_VALUE"""),23.64)</f>
        <v>23.64</v>
      </c>
      <c r="D3999" s="2">
        <f>IFERROR(__xludf.DUMMYFUNCTION("""COMPUTED_VALUE"""),22.83)</f>
        <v>22.83</v>
      </c>
      <c r="E3999" s="2">
        <f>IFERROR(__xludf.DUMMYFUNCTION("""COMPUTED_VALUE"""),23.64)</f>
        <v>23.64</v>
      </c>
      <c r="F3999" s="2">
        <f>IFERROR(__xludf.DUMMYFUNCTION("""COMPUTED_VALUE"""),4150400.0)</f>
        <v>4150400</v>
      </c>
    </row>
    <row r="4000">
      <c r="A4000" s="3">
        <f>IFERROR(__xludf.DUMMYFUNCTION("""COMPUTED_VALUE"""),34996.666666666664)</f>
        <v>34996.66667</v>
      </c>
      <c r="B4000" s="2">
        <f>IFERROR(__xludf.DUMMYFUNCTION("""COMPUTED_VALUE"""),23.61)</f>
        <v>23.61</v>
      </c>
      <c r="C4000" s="2">
        <f>IFERROR(__xludf.DUMMYFUNCTION("""COMPUTED_VALUE"""),23.7)</f>
        <v>23.7</v>
      </c>
      <c r="D4000" s="2">
        <f>IFERROR(__xludf.DUMMYFUNCTION("""COMPUTED_VALUE"""),23.22)</f>
        <v>23.22</v>
      </c>
      <c r="E4000" s="2">
        <f>IFERROR(__xludf.DUMMYFUNCTION("""COMPUTED_VALUE"""),23.4)</f>
        <v>23.4</v>
      </c>
      <c r="F4000" s="2">
        <f>IFERROR(__xludf.DUMMYFUNCTION("""COMPUTED_VALUE"""),3113400.0)</f>
        <v>3113400</v>
      </c>
    </row>
    <row r="4001">
      <c r="A4001" s="3">
        <f>IFERROR(__xludf.DUMMYFUNCTION("""COMPUTED_VALUE"""),34997.666666666664)</f>
        <v>34997.66667</v>
      </c>
      <c r="B4001" s="2">
        <f>IFERROR(__xludf.DUMMYFUNCTION("""COMPUTED_VALUE"""),23.52)</f>
        <v>23.52</v>
      </c>
      <c r="C4001" s="2">
        <f>IFERROR(__xludf.DUMMYFUNCTION("""COMPUTED_VALUE"""),23.52)</f>
        <v>23.52</v>
      </c>
      <c r="D4001" s="2">
        <f>IFERROR(__xludf.DUMMYFUNCTION("""COMPUTED_VALUE"""),22.95)</f>
        <v>22.95</v>
      </c>
      <c r="E4001" s="2">
        <f>IFERROR(__xludf.DUMMYFUNCTION("""COMPUTED_VALUE"""),22.95)</f>
        <v>22.95</v>
      </c>
      <c r="F4001" s="2">
        <f>IFERROR(__xludf.DUMMYFUNCTION("""COMPUTED_VALUE"""),2737900.0)</f>
        <v>2737900</v>
      </c>
    </row>
    <row r="4002">
      <c r="A4002" s="3">
        <f>IFERROR(__xludf.DUMMYFUNCTION("""COMPUTED_VALUE"""),34998.666666666664)</f>
        <v>34998.66667</v>
      </c>
      <c r="B4002" s="2">
        <f>IFERROR(__xludf.DUMMYFUNCTION("""COMPUTED_VALUE"""),22.98)</f>
        <v>22.98</v>
      </c>
      <c r="C4002" s="2">
        <f>IFERROR(__xludf.DUMMYFUNCTION("""COMPUTED_VALUE"""),23.07)</f>
        <v>23.07</v>
      </c>
      <c r="D4002" s="2">
        <f>IFERROR(__xludf.DUMMYFUNCTION("""COMPUTED_VALUE"""),22.6)</f>
        <v>22.6</v>
      </c>
      <c r="E4002" s="2">
        <f>IFERROR(__xludf.DUMMYFUNCTION("""COMPUTED_VALUE"""),22.89)</f>
        <v>22.89</v>
      </c>
      <c r="F4002" s="2">
        <f>IFERROR(__xludf.DUMMYFUNCTION("""COMPUTED_VALUE"""),3351800.0)</f>
        <v>3351800</v>
      </c>
    </row>
    <row r="4003">
      <c r="A4003" s="3">
        <f>IFERROR(__xludf.DUMMYFUNCTION("""COMPUTED_VALUE"""),34999.666666666664)</f>
        <v>34999.66667</v>
      </c>
      <c r="B4003" s="2">
        <f>IFERROR(__xludf.DUMMYFUNCTION("""COMPUTED_VALUE"""),22.89)</f>
        <v>22.89</v>
      </c>
      <c r="C4003" s="2">
        <f>IFERROR(__xludf.DUMMYFUNCTION("""COMPUTED_VALUE"""),23.07)</f>
        <v>23.07</v>
      </c>
      <c r="D4003" s="2">
        <f>IFERROR(__xludf.DUMMYFUNCTION("""COMPUTED_VALUE"""),22.86)</f>
        <v>22.86</v>
      </c>
      <c r="E4003" s="2">
        <f>IFERROR(__xludf.DUMMYFUNCTION("""COMPUTED_VALUE"""),23.04)</f>
        <v>23.04</v>
      </c>
      <c r="F4003" s="2">
        <f>IFERROR(__xludf.DUMMYFUNCTION("""COMPUTED_VALUE"""),2473600.0)</f>
        <v>2473600</v>
      </c>
    </row>
    <row r="4004">
      <c r="A4004" s="3">
        <f>IFERROR(__xludf.DUMMYFUNCTION("""COMPUTED_VALUE"""),35002.666666666664)</f>
        <v>35002.66667</v>
      </c>
      <c r="B4004" s="2">
        <f>IFERROR(__xludf.DUMMYFUNCTION("""COMPUTED_VALUE"""),23.28)</f>
        <v>23.28</v>
      </c>
      <c r="C4004" s="2">
        <f>IFERROR(__xludf.DUMMYFUNCTION("""COMPUTED_VALUE"""),23.58)</f>
        <v>23.58</v>
      </c>
      <c r="D4004" s="2">
        <f>IFERROR(__xludf.DUMMYFUNCTION("""COMPUTED_VALUE"""),23.19)</f>
        <v>23.19</v>
      </c>
      <c r="E4004" s="2">
        <f>IFERROR(__xludf.DUMMYFUNCTION("""COMPUTED_VALUE"""),23.46)</f>
        <v>23.46</v>
      </c>
      <c r="F4004" s="2">
        <f>IFERROR(__xludf.DUMMYFUNCTION("""COMPUTED_VALUE"""),3178900.0)</f>
        <v>3178900</v>
      </c>
    </row>
    <row r="4005">
      <c r="A4005" s="3">
        <f>IFERROR(__xludf.DUMMYFUNCTION("""COMPUTED_VALUE"""),35003.666666666664)</f>
        <v>35003.66667</v>
      </c>
      <c r="B4005" s="2">
        <f>IFERROR(__xludf.DUMMYFUNCTION("""COMPUTED_VALUE"""),23.49)</f>
        <v>23.49</v>
      </c>
      <c r="C4005" s="2">
        <f>IFERROR(__xludf.DUMMYFUNCTION("""COMPUTED_VALUE"""),23.67)</f>
        <v>23.67</v>
      </c>
      <c r="D4005" s="2">
        <f>IFERROR(__xludf.DUMMYFUNCTION("""COMPUTED_VALUE"""),23.13)</f>
        <v>23.13</v>
      </c>
      <c r="E4005" s="2">
        <f>IFERROR(__xludf.DUMMYFUNCTION("""COMPUTED_VALUE"""),23.22)</f>
        <v>23.22</v>
      </c>
      <c r="F4005" s="2">
        <f>IFERROR(__xludf.DUMMYFUNCTION("""COMPUTED_VALUE"""),2952800.0)</f>
        <v>2952800</v>
      </c>
    </row>
    <row r="4006">
      <c r="A4006" s="3">
        <f>IFERROR(__xludf.DUMMYFUNCTION("""COMPUTED_VALUE"""),35004.666666666664)</f>
        <v>35004.66667</v>
      </c>
      <c r="B4006" s="2">
        <f>IFERROR(__xludf.DUMMYFUNCTION("""COMPUTED_VALUE"""),23.13)</f>
        <v>23.13</v>
      </c>
      <c r="C4006" s="2">
        <f>IFERROR(__xludf.DUMMYFUNCTION("""COMPUTED_VALUE"""),23.13)</f>
        <v>23.13</v>
      </c>
      <c r="D4006" s="2">
        <f>IFERROR(__xludf.DUMMYFUNCTION("""COMPUTED_VALUE"""),23.13)</f>
        <v>23.13</v>
      </c>
      <c r="E4006" s="2">
        <f>IFERROR(__xludf.DUMMYFUNCTION("""COMPUTED_VALUE"""),23.13)</f>
        <v>23.13</v>
      </c>
      <c r="F4006" s="2">
        <f>IFERROR(__xludf.DUMMYFUNCTION("""COMPUTED_VALUE"""),0.0)</f>
        <v>0</v>
      </c>
    </row>
    <row r="4007">
      <c r="A4007" s="3">
        <f>IFERROR(__xludf.DUMMYFUNCTION("""COMPUTED_VALUE"""),35005.666666666664)</f>
        <v>35005.66667</v>
      </c>
      <c r="B4007" s="2">
        <f>IFERROR(__xludf.DUMMYFUNCTION("""COMPUTED_VALUE"""),23.73)</f>
        <v>23.73</v>
      </c>
      <c r="C4007" s="2">
        <f>IFERROR(__xludf.DUMMYFUNCTION("""COMPUTED_VALUE"""),23.73)</f>
        <v>23.73</v>
      </c>
      <c r="D4007" s="2">
        <f>IFERROR(__xludf.DUMMYFUNCTION("""COMPUTED_VALUE"""),23.73)</f>
        <v>23.73</v>
      </c>
      <c r="E4007" s="2">
        <f>IFERROR(__xludf.DUMMYFUNCTION("""COMPUTED_VALUE"""),23.73)</f>
        <v>23.73</v>
      </c>
      <c r="F4007" s="2">
        <f>IFERROR(__xludf.DUMMYFUNCTION("""COMPUTED_VALUE"""),0.0)</f>
        <v>0</v>
      </c>
    </row>
    <row r="4008">
      <c r="A4008" s="3">
        <f>IFERROR(__xludf.DUMMYFUNCTION("""COMPUTED_VALUE"""),35006.666666666664)</f>
        <v>35006.66667</v>
      </c>
      <c r="B4008" s="2">
        <f>IFERROR(__xludf.DUMMYFUNCTION("""COMPUTED_VALUE"""),23.94)</f>
        <v>23.94</v>
      </c>
      <c r="C4008" s="2">
        <f>IFERROR(__xludf.DUMMYFUNCTION("""COMPUTED_VALUE"""),23.94)</f>
        <v>23.94</v>
      </c>
      <c r="D4008" s="2">
        <f>IFERROR(__xludf.DUMMYFUNCTION("""COMPUTED_VALUE"""),23.94)</f>
        <v>23.94</v>
      </c>
      <c r="E4008" s="2">
        <f>IFERROR(__xludf.DUMMYFUNCTION("""COMPUTED_VALUE"""),23.94)</f>
        <v>23.94</v>
      </c>
      <c r="F4008" s="2">
        <f>IFERROR(__xludf.DUMMYFUNCTION("""COMPUTED_VALUE"""),0.0)</f>
        <v>0</v>
      </c>
    </row>
    <row r="4009">
      <c r="A4009" s="3">
        <f>IFERROR(__xludf.DUMMYFUNCTION("""COMPUTED_VALUE"""),35009.666666666664)</f>
        <v>35009.66667</v>
      </c>
      <c r="B4009" s="2">
        <f>IFERROR(__xludf.DUMMYFUNCTION("""COMPUTED_VALUE"""),24.0)</f>
        <v>24</v>
      </c>
      <c r="C4009" s="2">
        <f>IFERROR(__xludf.DUMMYFUNCTION("""COMPUTED_VALUE"""),24.0)</f>
        <v>24</v>
      </c>
      <c r="D4009" s="2">
        <f>IFERROR(__xludf.DUMMYFUNCTION("""COMPUTED_VALUE"""),24.0)</f>
        <v>24</v>
      </c>
      <c r="E4009" s="2">
        <f>IFERROR(__xludf.DUMMYFUNCTION("""COMPUTED_VALUE"""),24.0)</f>
        <v>24</v>
      </c>
      <c r="F4009" s="2">
        <f>IFERROR(__xludf.DUMMYFUNCTION("""COMPUTED_VALUE"""),0.0)</f>
        <v>0</v>
      </c>
    </row>
    <row r="4010">
      <c r="A4010" s="3">
        <f>IFERROR(__xludf.DUMMYFUNCTION("""COMPUTED_VALUE"""),35010.666666666664)</f>
        <v>35010.66667</v>
      </c>
      <c r="B4010" s="2">
        <f>IFERROR(__xludf.DUMMYFUNCTION("""COMPUTED_VALUE"""),23.55)</f>
        <v>23.55</v>
      </c>
      <c r="C4010" s="2">
        <f>IFERROR(__xludf.DUMMYFUNCTION("""COMPUTED_VALUE"""),23.55)</f>
        <v>23.55</v>
      </c>
      <c r="D4010" s="2">
        <f>IFERROR(__xludf.DUMMYFUNCTION("""COMPUTED_VALUE"""),23.55)</f>
        <v>23.55</v>
      </c>
      <c r="E4010" s="2">
        <f>IFERROR(__xludf.DUMMYFUNCTION("""COMPUTED_VALUE"""),23.55)</f>
        <v>23.55</v>
      </c>
      <c r="F4010" s="2">
        <f>IFERROR(__xludf.DUMMYFUNCTION("""COMPUTED_VALUE"""),0.0)</f>
        <v>0</v>
      </c>
    </row>
    <row r="4011">
      <c r="A4011" s="3">
        <f>IFERROR(__xludf.DUMMYFUNCTION("""COMPUTED_VALUE"""),35011.666666666664)</f>
        <v>35011.66667</v>
      </c>
      <c r="B4011" s="2">
        <f>IFERROR(__xludf.DUMMYFUNCTION("""COMPUTED_VALUE"""),23.34)</f>
        <v>23.34</v>
      </c>
      <c r="C4011" s="2">
        <f>IFERROR(__xludf.DUMMYFUNCTION("""COMPUTED_VALUE"""),23.34)</f>
        <v>23.34</v>
      </c>
      <c r="D4011" s="2">
        <f>IFERROR(__xludf.DUMMYFUNCTION("""COMPUTED_VALUE"""),23.34)</f>
        <v>23.34</v>
      </c>
      <c r="E4011" s="2">
        <f>IFERROR(__xludf.DUMMYFUNCTION("""COMPUTED_VALUE"""),23.34)</f>
        <v>23.34</v>
      </c>
      <c r="F4011" s="2">
        <f>IFERROR(__xludf.DUMMYFUNCTION("""COMPUTED_VALUE"""),0.0)</f>
        <v>0</v>
      </c>
    </row>
    <row r="4012">
      <c r="A4012" s="3">
        <f>IFERROR(__xludf.DUMMYFUNCTION("""COMPUTED_VALUE"""),35012.666666666664)</f>
        <v>35012.66667</v>
      </c>
      <c r="B4012" s="2">
        <f>IFERROR(__xludf.DUMMYFUNCTION("""COMPUTED_VALUE"""),23.46)</f>
        <v>23.46</v>
      </c>
      <c r="C4012" s="2">
        <f>IFERROR(__xludf.DUMMYFUNCTION("""COMPUTED_VALUE"""),23.46)</f>
        <v>23.46</v>
      </c>
      <c r="D4012" s="2">
        <f>IFERROR(__xludf.DUMMYFUNCTION("""COMPUTED_VALUE"""),23.46)</f>
        <v>23.46</v>
      </c>
      <c r="E4012" s="2">
        <f>IFERROR(__xludf.DUMMYFUNCTION("""COMPUTED_VALUE"""),23.46)</f>
        <v>23.46</v>
      </c>
      <c r="F4012" s="2">
        <f>IFERROR(__xludf.DUMMYFUNCTION("""COMPUTED_VALUE"""),0.0)</f>
        <v>0</v>
      </c>
    </row>
    <row r="4013">
      <c r="A4013" s="3">
        <f>IFERROR(__xludf.DUMMYFUNCTION("""COMPUTED_VALUE"""),35013.666666666664)</f>
        <v>35013.66667</v>
      </c>
      <c r="B4013" s="2">
        <f>IFERROR(__xludf.DUMMYFUNCTION("""COMPUTED_VALUE"""),23.28)</f>
        <v>23.28</v>
      </c>
      <c r="C4013" s="2">
        <f>IFERROR(__xludf.DUMMYFUNCTION("""COMPUTED_VALUE"""),23.28)</f>
        <v>23.28</v>
      </c>
      <c r="D4013" s="2">
        <f>IFERROR(__xludf.DUMMYFUNCTION("""COMPUTED_VALUE"""),23.28)</f>
        <v>23.28</v>
      </c>
      <c r="E4013" s="2">
        <f>IFERROR(__xludf.DUMMYFUNCTION("""COMPUTED_VALUE"""),23.28)</f>
        <v>23.28</v>
      </c>
      <c r="F4013" s="2">
        <f>IFERROR(__xludf.DUMMYFUNCTION("""COMPUTED_VALUE"""),0.0)</f>
        <v>0</v>
      </c>
    </row>
    <row r="4014">
      <c r="A4014" s="3">
        <f>IFERROR(__xludf.DUMMYFUNCTION("""COMPUTED_VALUE"""),35016.666666666664)</f>
        <v>35016.66667</v>
      </c>
      <c r="B4014" s="2">
        <f>IFERROR(__xludf.DUMMYFUNCTION("""COMPUTED_VALUE"""),23.25)</f>
        <v>23.25</v>
      </c>
      <c r="C4014" s="2">
        <f>IFERROR(__xludf.DUMMYFUNCTION("""COMPUTED_VALUE"""),23.25)</f>
        <v>23.25</v>
      </c>
      <c r="D4014" s="2">
        <f>IFERROR(__xludf.DUMMYFUNCTION("""COMPUTED_VALUE"""),23.25)</f>
        <v>23.25</v>
      </c>
      <c r="E4014" s="2">
        <f>IFERROR(__xludf.DUMMYFUNCTION("""COMPUTED_VALUE"""),23.25)</f>
        <v>23.25</v>
      </c>
      <c r="F4014" s="2">
        <f>IFERROR(__xludf.DUMMYFUNCTION("""COMPUTED_VALUE"""),0.0)</f>
        <v>0</v>
      </c>
    </row>
    <row r="4015">
      <c r="A4015" s="3">
        <f>IFERROR(__xludf.DUMMYFUNCTION("""COMPUTED_VALUE"""),35017.666666666664)</f>
        <v>35017.66667</v>
      </c>
      <c r="B4015" s="2">
        <f>IFERROR(__xludf.DUMMYFUNCTION("""COMPUTED_VALUE"""),22.78)</f>
        <v>22.78</v>
      </c>
      <c r="C4015" s="2">
        <f>IFERROR(__xludf.DUMMYFUNCTION("""COMPUTED_VALUE"""),22.78)</f>
        <v>22.78</v>
      </c>
      <c r="D4015" s="2">
        <f>IFERROR(__xludf.DUMMYFUNCTION("""COMPUTED_VALUE"""),22.78)</f>
        <v>22.78</v>
      </c>
      <c r="E4015" s="2">
        <f>IFERROR(__xludf.DUMMYFUNCTION("""COMPUTED_VALUE"""),22.78)</f>
        <v>22.78</v>
      </c>
      <c r="F4015" s="2">
        <f>IFERROR(__xludf.DUMMYFUNCTION("""COMPUTED_VALUE"""),0.0)</f>
        <v>0</v>
      </c>
    </row>
    <row r="4016">
      <c r="A4016" s="3">
        <f>IFERROR(__xludf.DUMMYFUNCTION("""COMPUTED_VALUE"""),35018.666666666664)</f>
        <v>35018.66667</v>
      </c>
      <c r="B4016" s="2">
        <f>IFERROR(__xludf.DUMMYFUNCTION("""COMPUTED_VALUE"""),22.84)</f>
        <v>22.84</v>
      </c>
      <c r="C4016" s="2">
        <f>IFERROR(__xludf.DUMMYFUNCTION("""COMPUTED_VALUE"""),22.84)</f>
        <v>22.84</v>
      </c>
      <c r="D4016" s="2">
        <f>IFERROR(__xludf.DUMMYFUNCTION("""COMPUTED_VALUE"""),22.84)</f>
        <v>22.84</v>
      </c>
      <c r="E4016" s="2">
        <f>IFERROR(__xludf.DUMMYFUNCTION("""COMPUTED_VALUE"""),22.84)</f>
        <v>22.84</v>
      </c>
      <c r="F4016" s="2">
        <f>IFERROR(__xludf.DUMMYFUNCTION("""COMPUTED_VALUE"""),0.0)</f>
        <v>0</v>
      </c>
    </row>
    <row r="4017">
      <c r="A4017" s="3">
        <f>IFERROR(__xludf.DUMMYFUNCTION("""COMPUTED_VALUE"""),35019.666666666664)</f>
        <v>35019.66667</v>
      </c>
      <c r="B4017" s="2">
        <f>IFERROR(__xludf.DUMMYFUNCTION("""COMPUTED_VALUE"""),22.84)</f>
        <v>22.84</v>
      </c>
      <c r="C4017" s="2">
        <f>IFERROR(__xludf.DUMMYFUNCTION("""COMPUTED_VALUE"""),22.84)</f>
        <v>22.84</v>
      </c>
      <c r="D4017" s="2">
        <f>IFERROR(__xludf.DUMMYFUNCTION("""COMPUTED_VALUE"""),22.84)</f>
        <v>22.84</v>
      </c>
      <c r="E4017" s="2">
        <f>IFERROR(__xludf.DUMMYFUNCTION("""COMPUTED_VALUE"""),22.84)</f>
        <v>22.84</v>
      </c>
      <c r="F4017" s="2">
        <f>IFERROR(__xludf.DUMMYFUNCTION("""COMPUTED_VALUE"""),0.0)</f>
        <v>0</v>
      </c>
    </row>
    <row r="4018">
      <c r="A4018" s="3">
        <f>IFERROR(__xludf.DUMMYFUNCTION("""COMPUTED_VALUE"""),35020.666666666664)</f>
        <v>35020.66667</v>
      </c>
      <c r="B4018" s="2">
        <f>IFERROR(__xludf.DUMMYFUNCTION("""COMPUTED_VALUE"""),22.72)</f>
        <v>22.72</v>
      </c>
      <c r="C4018" s="2">
        <f>IFERROR(__xludf.DUMMYFUNCTION("""COMPUTED_VALUE"""),22.72)</f>
        <v>22.72</v>
      </c>
      <c r="D4018" s="2">
        <f>IFERROR(__xludf.DUMMYFUNCTION("""COMPUTED_VALUE"""),22.72)</f>
        <v>22.72</v>
      </c>
      <c r="E4018" s="2">
        <f>IFERROR(__xludf.DUMMYFUNCTION("""COMPUTED_VALUE"""),22.72)</f>
        <v>22.72</v>
      </c>
      <c r="F4018" s="2">
        <f>IFERROR(__xludf.DUMMYFUNCTION("""COMPUTED_VALUE"""),0.0)</f>
        <v>0</v>
      </c>
    </row>
    <row r="4019">
      <c r="A4019" s="3">
        <f>IFERROR(__xludf.DUMMYFUNCTION("""COMPUTED_VALUE"""),35023.666666666664)</f>
        <v>35023.66667</v>
      </c>
      <c r="B4019" s="2">
        <f>IFERROR(__xludf.DUMMYFUNCTION("""COMPUTED_VALUE"""),22.21)</f>
        <v>22.21</v>
      </c>
      <c r="C4019" s="2">
        <f>IFERROR(__xludf.DUMMYFUNCTION("""COMPUTED_VALUE"""),22.21)</f>
        <v>22.21</v>
      </c>
      <c r="D4019" s="2">
        <f>IFERROR(__xludf.DUMMYFUNCTION("""COMPUTED_VALUE"""),22.21)</f>
        <v>22.21</v>
      </c>
      <c r="E4019" s="2">
        <f>IFERROR(__xludf.DUMMYFUNCTION("""COMPUTED_VALUE"""),22.21)</f>
        <v>22.21</v>
      </c>
      <c r="F4019" s="2">
        <f>IFERROR(__xludf.DUMMYFUNCTION("""COMPUTED_VALUE"""),0.0)</f>
        <v>0</v>
      </c>
    </row>
    <row r="4020">
      <c r="A4020" s="3">
        <f>IFERROR(__xludf.DUMMYFUNCTION("""COMPUTED_VALUE"""),35024.666666666664)</f>
        <v>35024.66667</v>
      </c>
      <c r="B4020" s="2">
        <f>IFERROR(__xludf.DUMMYFUNCTION("""COMPUTED_VALUE"""),22.57)</f>
        <v>22.57</v>
      </c>
      <c r="C4020" s="2">
        <f>IFERROR(__xludf.DUMMYFUNCTION("""COMPUTED_VALUE"""),22.57)</f>
        <v>22.57</v>
      </c>
      <c r="D4020" s="2">
        <f>IFERROR(__xludf.DUMMYFUNCTION("""COMPUTED_VALUE"""),22.57)</f>
        <v>22.57</v>
      </c>
      <c r="E4020" s="2">
        <f>IFERROR(__xludf.DUMMYFUNCTION("""COMPUTED_VALUE"""),22.57)</f>
        <v>22.57</v>
      </c>
      <c r="F4020" s="2">
        <f>IFERROR(__xludf.DUMMYFUNCTION("""COMPUTED_VALUE"""),0.0)</f>
        <v>0</v>
      </c>
    </row>
    <row r="4021">
      <c r="A4021" s="3">
        <f>IFERROR(__xludf.DUMMYFUNCTION("""COMPUTED_VALUE"""),35025.666666666664)</f>
        <v>35025.66667</v>
      </c>
      <c r="B4021" s="2">
        <f>IFERROR(__xludf.DUMMYFUNCTION("""COMPUTED_VALUE"""),22.78)</f>
        <v>22.78</v>
      </c>
      <c r="C4021" s="2">
        <f>IFERROR(__xludf.DUMMYFUNCTION("""COMPUTED_VALUE"""),22.78)</f>
        <v>22.78</v>
      </c>
      <c r="D4021" s="2">
        <f>IFERROR(__xludf.DUMMYFUNCTION("""COMPUTED_VALUE"""),22.78)</f>
        <v>22.78</v>
      </c>
      <c r="E4021" s="2">
        <f>IFERROR(__xludf.DUMMYFUNCTION("""COMPUTED_VALUE"""),22.78)</f>
        <v>22.78</v>
      </c>
      <c r="F4021" s="2">
        <f>IFERROR(__xludf.DUMMYFUNCTION("""COMPUTED_VALUE"""),0.0)</f>
        <v>0</v>
      </c>
    </row>
    <row r="4022">
      <c r="A4022" s="3">
        <f>IFERROR(__xludf.DUMMYFUNCTION("""COMPUTED_VALUE"""),35027.666666666664)</f>
        <v>35027.66667</v>
      </c>
      <c r="B4022" s="2">
        <f>IFERROR(__xludf.DUMMYFUNCTION("""COMPUTED_VALUE"""),22.9)</f>
        <v>22.9</v>
      </c>
      <c r="C4022" s="2">
        <f>IFERROR(__xludf.DUMMYFUNCTION("""COMPUTED_VALUE"""),22.9)</f>
        <v>22.9</v>
      </c>
      <c r="D4022" s="2">
        <f>IFERROR(__xludf.DUMMYFUNCTION("""COMPUTED_VALUE"""),22.9)</f>
        <v>22.9</v>
      </c>
      <c r="E4022" s="2">
        <f>IFERROR(__xludf.DUMMYFUNCTION("""COMPUTED_VALUE"""),22.9)</f>
        <v>22.9</v>
      </c>
      <c r="F4022" s="2">
        <f>IFERROR(__xludf.DUMMYFUNCTION("""COMPUTED_VALUE"""),0.0)</f>
        <v>0</v>
      </c>
    </row>
    <row r="4023">
      <c r="A4023" s="3">
        <f>IFERROR(__xludf.DUMMYFUNCTION("""COMPUTED_VALUE"""),35030.666666666664)</f>
        <v>35030.66667</v>
      </c>
      <c r="B4023" s="2">
        <f>IFERROR(__xludf.DUMMYFUNCTION("""COMPUTED_VALUE"""),22.9)</f>
        <v>22.9</v>
      </c>
      <c r="C4023" s="2">
        <f>IFERROR(__xludf.DUMMYFUNCTION("""COMPUTED_VALUE"""),22.9)</f>
        <v>22.9</v>
      </c>
      <c r="D4023" s="2">
        <f>IFERROR(__xludf.DUMMYFUNCTION("""COMPUTED_VALUE"""),22.9)</f>
        <v>22.9</v>
      </c>
      <c r="E4023" s="2">
        <f>IFERROR(__xludf.DUMMYFUNCTION("""COMPUTED_VALUE"""),22.9)</f>
        <v>22.9</v>
      </c>
      <c r="F4023" s="2">
        <f>IFERROR(__xludf.DUMMYFUNCTION("""COMPUTED_VALUE"""),0.0)</f>
        <v>0</v>
      </c>
    </row>
    <row r="4024">
      <c r="A4024" s="3">
        <f>IFERROR(__xludf.DUMMYFUNCTION("""COMPUTED_VALUE"""),35031.666666666664)</f>
        <v>35031.66667</v>
      </c>
      <c r="B4024" s="2">
        <f>IFERROR(__xludf.DUMMYFUNCTION("""COMPUTED_VALUE"""),23.13)</f>
        <v>23.13</v>
      </c>
      <c r="C4024" s="2">
        <f>IFERROR(__xludf.DUMMYFUNCTION("""COMPUTED_VALUE"""),23.13)</f>
        <v>23.13</v>
      </c>
      <c r="D4024" s="2">
        <f>IFERROR(__xludf.DUMMYFUNCTION("""COMPUTED_VALUE"""),23.13)</f>
        <v>23.13</v>
      </c>
      <c r="E4024" s="2">
        <f>IFERROR(__xludf.DUMMYFUNCTION("""COMPUTED_VALUE"""),23.13)</f>
        <v>23.13</v>
      </c>
      <c r="F4024" s="2">
        <f>IFERROR(__xludf.DUMMYFUNCTION("""COMPUTED_VALUE"""),0.0)</f>
        <v>0</v>
      </c>
    </row>
    <row r="4025">
      <c r="A4025" s="3">
        <f>IFERROR(__xludf.DUMMYFUNCTION("""COMPUTED_VALUE"""),35032.666666666664)</f>
        <v>35032.66667</v>
      </c>
      <c r="B4025" s="2">
        <f>IFERROR(__xludf.DUMMYFUNCTION("""COMPUTED_VALUE"""),23.19)</f>
        <v>23.19</v>
      </c>
      <c r="C4025" s="2">
        <f>IFERROR(__xludf.DUMMYFUNCTION("""COMPUTED_VALUE"""),23.19)</f>
        <v>23.19</v>
      </c>
      <c r="D4025" s="2">
        <f>IFERROR(__xludf.DUMMYFUNCTION("""COMPUTED_VALUE"""),23.19)</f>
        <v>23.19</v>
      </c>
      <c r="E4025" s="2">
        <f>IFERROR(__xludf.DUMMYFUNCTION("""COMPUTED_VALUE"""),23.19)</f>
        <v>23.19</v>
      </c>
      <c r="F4025" s="2">
        <f>IFERROR(__xludf.DUMMYFUNCTION("""COMPUTED_VALUE"""),0.0)</f>
        <v>0</v>
      </c>
    </row>
    <row r="4026">
      <c r="A4026" s="3">
        <f>IFERROR(__xludf.DUMMYFUNCTION("""COMPUTED_VALUE"""),35033.666666666664)</f>
        <v>35033.66667</v>
      </c>
      <c r="B4026" s="2">
        <f>IFERROR(__xludf.DUMMYFUNCTION("""COMPUTED_VALUE"""),23.07)</f>
        <v>23.07</v>
      </c>
      <c r="C4026" s="2">
        <f>IFERROR(__xludf.DUMMYFUNCTION("""COMPUTED_VALUE"""),23.07)</f>
        <v>23.07</v>
      </c>
      <c r="D4026" s="2">
        <f>IFERROR(__xludf.DUMMYFUNCTION("""COMPUTED_VALUE"""),23.07)</f>
        <v>23.07</v>
      </c>
      <c r="E4026" s="2">
        <f>IFERROR(__xludf.DUMMYFUNCTION("""COMPUTED_VALUE"""),23.07)</f>
        <v>23.07</v>
      </c>
      <c r="F4026" s="2">
        <f>IFERROR(__xludf.DUMMYFUNCTION("""COMPUTED_VALUE"""),0.0)</f>
        <v>0</v>
      </c>
    </row>
    <row r="4027">
      <c r="A4027" s="3">
        <f>IFERROR(__xludf.DUMMYFUNCTION("""COMPUTED_VALUE"""),35034.666666666664)</f>
        <v>35034.66667</v>
      </c>
      <c r="B4027" s="2">
        <f>IFERROR(__xludf.DUMMYFUNCTION("""COMPUTED_VALUE"""),22.66)</f>
        <v>22.66</v>
      </c>
      <c r="C4027" s="2">
        <f>IFERROR(__xludf.DUMMYFUNCTION("""COMPUTED_VALUE"""),22.66)</f>
        <v>22.66</v>
      </c>
      <c r="D4027" s="2">
        <f>IFERROR(__xludf.DUMMYFUNCTION("""COMPUTED_VALUE"""),22.66)</f>
        <v>22.66</v>
      </c>
      <c r="E4027" s="2">
        <f>IFERROR(__xludf.DUMMYFUNCTION("""COMPUTED_VALUE"""),22.66)</f>
        <v>22.66</v>
      </c>
      <c r="F4027" s="2">
        <f>IFERROR(__xludf.DUMMYFUNCTION("""COMPUTED_VALUE"""),0.0)</f>
        <v>0</v>
      </c>
    </row>
    <row r="4028">
      <c r="A4028" s="3">
        <f>IFERROR(__xludf.DUMMYFUNCTION("""COMPUTED_VALUE"""),35037.666666666664)</f>
        <v>35037.66667</v>
      </c>
      <c r="B4028" s="2">
        <f>IFERROR(__xludf.DUMMYFUNCTION("""COMPUTED_VALUE"""),23.04)</f>
        <v>23.04</v>
      </c>
      <c r="C4028" s="2">
        <f>IFERROR(__xludf.DUMMYFUNCTION("""COMPUTED_VALUE"""),23.04)</f>
        <v>23.04</v>
      </c>
      <c r="D4028" s="2">
        <f>IFERROR(__xludf.DUMMYFUNCTION("""COMPUTED_VALUE"""),23.04)</f>
        <v>23.04</v>
      </c>
      <c r="E4028" s="2">
        <f>IFERROR(__xludf.DUMMYFUNCTION("""COMPUTED_VALUE"""),23.04)</f>
        <v>23.04</v>
      </c>
      <c r="F4028" s="2">
        <f>IFERROR(__xludf.DUMMYFUNCTION("""COMPUTED_VALUE"""),0.0)</f>
        <v>0</v>
      </c>
    </row>
    <row r="4029">
      <c r="A4029" s="3">
        <f>IFERROR(__xludf.DUMMYFUNCTION("""COMPUTED_VALUE"""),35038.666666666664)</f>
        <v>35038.66667</v>
      </c>
      <c r="B4029" s="2">
        <f>IFERROR(__xludf.DUMMYFUNCTION("""COMPUTED_VALUE"""),22.86)</f>
        <v>22.86</v>
      </c>
      <c r="C4029" s="2">
        <f>IFERROR(__xludf.DUMMYFUNCTION("""COMPUTED_VALUE"""),22.86)</f>
        <v>22.86</v>
      </c>
      <c r="D4029" s="2">
        <f>IFERROR(__xludf.DUMMYFUNCTION("""COMPUTED_VALUE"""),22.86)</f>
        <v>22.86</v>
      </c>
      <c r="E4029" s="2">
        <f>IFERROR(__xludf.DUMMYFUNCTION("""COMPUTED_VALUE"""),22.86)</f>
        <v>22.86</v>
      </c>
      <c r="F4029" s="2">
        <f>IFERROR(__xludf.DUMMYFUNCTION("""COMPUTED_VALUE"""),0.0)</f>
        <v>0</v>
      </c>
    </row>
    <row r="4030">
      <c r="A4030" s="3">
        <f>IFERROR(__xludf.DUMMYFUNCTION("""COMPUTED_VALUE"""),35039.666666666664)</f>
        <v>35039.66667</v>
      </c>
      <c r="B4030" s="2">
        <f>IFERROR(__xludf.DUMMYFUNCTION("""COMPUTED_VALUE"""),22.84)</f>
        <v>22.84</v>
      </c>
      <c r="C4030" s="2">
        <f>IFERROR(__xludf.DUMMYFUNCTION("""COMPUTED_VALUE"""),22.84)</f>
        <v>22.84</v>
      </c>
      <c r="D4030" s="2">
        <f>IFERROR(__xludf.DUMMYFUNCTION("""COMPUTED_VALUE"""),22.84)</f>
        <v>22.84</v>
      </c>
      <c r="E4030" s="2">
        <f>IFERROR(__xludf.DUMMYFUNCTION("""COMPUTED_VALUE"""),22.84)</f>
        <v>22.84</v>
      </c>
      <c r="F4030" s="2">
        <f>IFERROR(__xludf.DUMMYFUNCTION("""COMPUTED_VALUE"""),0.0)</f>
        <v>0</v>
      </c>
    </row>
    <row r="4031">
      <c r="A4031" s="3">
        <f>IFERROR(__xludf.DUMMYFUNCTION("""COMPUTED_VALUE"""),35040.666666666664)</f>
        <v>35040.66667</v>
      </c>
      <c r="B4031" s="2">
        <f>IFERROR(__xludf.DUMMYFUNCTION("""COMPUTED_VALUE"""),22.63)</f>
        <v>22.63</v>
      </c>
      <c r="C4031" s="2">
        <f>IFERROR(__xludf.DUMMYFUNCTION("""COMPUTED_VALUE"""),22.63)</f>
        <v>22.63</v>
      </c>
      <c r="D4031" s="2">
        <f>IFERROR(__xludf.DUMMYFUNCTION("""COMPUTED_VALUE"""),22.63)</f>
        <v>22.63</v>
      </c>
      <c r="E4031" s="2">
        <f>IFERROR(__xludf.DUMMYFUNCTION("""COMPUTED_VALUE"""),22.63)</f>
        <v>22.63</v>
      </c>
      <c r="F4031" s="2">
        <f>IFERROR(__xludf.DUMMYFUNCTION("""COMPUTED_VALUE"""),0.0)</f>
        <v>0</v>
      </c>
    </row>
    <row r="4032">
      <c r="A4032" s="3">
        <f>IFERROR(__xludf.DUMMYFUNCTION("""COMPUTED_VALUE"""),35041.666666666664)</f>
        <v>35041.66667</v>
      </c>
      <c r="B4032" s="2">
        <f>IFERROR(__xludf.DUMMYFUNCTION("""COMPUTED_VALUE"""),22.9)</f>
        <v>22.9</v>
      </c>
      <c r="C4032" s="2">
        <f>IFERROR(__xludf.DUMMYFUNCTION("""COMPUTED_VALUE"""),22.9)</f>
        <v>22.9</v>
      </c>
      <c r="D4032" s="2">
        <f>IFERROR(__xludf.DUMMYFUNCTION("""COMPUTED_VALUE"""),22.9)</f>
        <v>22.9</v>
      </c>
      <c r="E4032" s="2">
        <f>IFERROR(__xludf.DUMMYFUNCTION("""COMPUTED_VALUE"""),22.9)</f>
        <v>22.9</v>
      </c>
      <c r="F4032" s="2">
        <f>IFERROR(__xludf.DUMMYFUNCTION("""COMPUTED_VALUE"""),0.0)</f>
        <v>0</v>
      </c>
    </row>
    <row r="4033">
      <c r="A4033" s="3">
        <f>IFERROR(__xludf.DUMMYFUNCTION("""COMPUTED_VALUE"""),35044.666666666664)</f>
        <v>35044.66667</v>
      </c>
      <c r="B4033" s="2">
        <f>IFERROR(__xludf.DUMMYFUNCTION("""COMPUTED_VALUE"""),22.98)</f>
        <v>22.98</v>
      </c>
      <c r="C4033" s="2">
        <f>IFERROR(__xludf.DUMMYFUNCTION("""COMPUTED_VALUE"""),22.98)</f>
        <v>22.98</v>
      </c>
      <c r="D4033" s="2">
        <f>IFERROR(__xludf.DUMMYFUNCTION("""COMPUTED_VALUE"""),22.98)</f>
        <v>22.98</v>
      </c>
      <c r="E4033" s="2">
        <f>IFERROR(__xludf.DUMMYFUNCTION("""COMPUTED_VALUE"""),22.98)</f>
        <v>22.98</v>
      </c>
      <c r="F4033" s="2">
        <f>IFERROR(__xludf.DUMMYFUNCTION("""COMPUTED_VALUE"""),0.0)</f>
        <v>0</v>
      </c>
    </row>
    <row r="4034">
      <c r="A4034" s="3">
        <f>IFERROR(__xludf.DUMMYFUNCTION("""COMPUTED_VALUE"""),35045.666666666664)</f>
        <v>35045.66667</v>
      </c>
      <c r="B4034" s="2">
        <f>IFERROR(__xludf.DUMMYFUNCTION("""COMPUTED_VALUE"""),22.78)</f>
        <v>22.78</v>
      </c>
      <c r="C4034" s="2">
        <f>IFERROR(__xludf.DUMMYFUNCTION("""COMPUTED_VALUE"""),22.78)</f>
        <v>22.78</v>
      </c>
      <c r="D4034" s="2">
        <f>IFERROR(__xludf.DUMMYFUNCTION("""COMPUTED_VALUE"""),22.78)</f>
        <v>22.78</v>
      </c>
      <c r="E4034" s="2">
        <f>IFERROR(__xludf.DUMMYFUNCTION("""COMPUTED_VALUE"""),22.78)</f>
        <v>22.78</v>
      </c>
      <c r="F4034" s="2">
        <f>IFERROR(__xludf.DUMMYFUNCTION("""COMPUTED_VALUE"""),0.0)</f>
        <v>0</v>
      </c>
    </row>
    <row r="4035">
      <c r="A4035" s="3">
        <f>IFERROR(__xludf.DUMMYFUNCTION("""COMPUTED_VALUE"""),35046.666666666664)</f>
        <v>35046.66667</v>
      </c>
      <c r="B4035" s="2">
        <f>IFERROR(__xludf.DUMMYFUNCTION("""COMPUTED_VALUE"""),22.57)</f>
        <v>22.57</v>
      </c>
      <c r="C4035" s="2">
        <f>IFERROR(__xludf.DUMMYFUNCTION("""COMPUTED_VALUE"""),22.57)</f>
        <v>22.57</v>
      </c>
      <c r="D4035" s="2">
        <f>IFERROR(__xludf.DUMMYFUNCTION("""COMPUTED_VALUE"""),22.57)</f>
        <v>22.57</v>
      </c>
      <c r="E4035" s="2">
        <f>IFERROR(__xludf.DUMMYFUNCTION("""COMPUTED_VALUE"""),22.57)</f>
        <v>22.57</v>
      </c>
      <c r="F4035" s="2">
        <f>IFERROR(__xludf.DUMMYFUNCTION("""COMPUTED_VALUE"""),0.0)</f>
        <v>0</v>
      </c>
    </row>
    <row r="4036">
      <c r="A4036" s="3">
        <f>IFERROR(__xludf.DUMMYFUNCTION("""COMPUTED_VALUE"""),35047.666666666664)</f>
        <v>35047.66667</v>
      </c>
      <c r="B4036" s="2">
        <f>IFERROR(__xludf.DUMMYFUNCTION("""COMPUTED_VALUE"""),22.63)</f>
        <v>22.63</v>
      </c>
      <c r="C4036" s="2">
        <f>IFERROR(__xludf.DUMMYFUNCTION("""COMPUTED_VALUE"""),22.71)</f>
        <v>22.71</v>
      </c>
      <c r="D4036" s="2">
        <f>IFERROR(__xludf.DUMMYFUNCTION("""COMPUTED_VALUE"""),22.06)</f>
        <v>22.06</v>
      </c>
      <c r="E4036" s="2">
        <f>IFERROR(__xludf.DUMMYFUNCTION("""COMPUTED_VALUE"""),22.39)</f>
        <v>22.39</v>
      </c>
      <c r="F4036" s="2">
        <f>IFERROR(__xludf.DUMMYFUNCTION("""COMPUTED_VALUE"""),3390500.0)</f>
        <v>3390500</v>
      </c>
    </row>
    <row r="4037">
      <c r="A4037" s="3">
        <f>IFERROR(__xludf.DUMMYFUNCTION("""COMPUTED_VALUE"""),35048.666666666664)</f>
        <v>35048.66667</v>
      </c>
      <c r="B4037" s="2">
        <f>IFERROR(__xludf.DUMMYFUNCTION("""COMPUTED_VALUE"""),21.97)</f>
        <v>21.97</v>
      </c>
      <c r="C4037" s="2">
        <f>IFERROR(__xludf.DUMMYFUNCTION("""COMPUTED_VALUE"""),21.97)</f>
        <v>21.97</v>
      </c>
      <c r="D4037" s="2">
        <f>IFERROR(__xludf.DUMMYFUNCTION("""COMPUTED_VALUE"""),21.46)</f>
        <v>21.46</v>
      </c>
      <c r="E4037" s="2">
        <f>IFERROR(__xludf.DUMMYFUNCTION("""COMPUTED_VALUE"""),21.55)</f>
        <v>21.55</v>
      </c>
      <c r="F4037" s="2">
        <f>IFERROR(__xludf.DUMMYFUNCTION("""COMPUTED_VALUE"""),6848400.0)</f>
        <v>6848400</v>
      </c>
    </row>
    <row r="4038">
      <c r="A4038" s="3">
        <f>IFERROR(__xludf.DUMMYFUNCTION("""COMPUTED_VALUE"""),35051.666666666664)</f>
        <v>35051.66667</v>
      </c>
      <c r="B4038" s="2">
        <f>IFERROR(__xludf.DUMMYFUNCTION("""COMPUTED_VALUE"""),21.49)</f>
        <v>21.49</v>
      </c>
      <c r="C4038" s="2">
        <f>IFERROR(__xludf.DUMMYFUNCTION("""COMPUTED_VALUE"""),21.52)</f>
        <v>21.52</v>
      </c>
      <c r="D4038" s="2">
        <f>IFERROR(__xludf.DUMMYFUNCTION("""COMPUTED_VALUE"""),20.95)</f>
        <v>20.95</v>
      </c>
      <c r="E4038" s="2">
        <f>IFERROR(__xludf.DUMMYFUNCTION("""COMPUTED_VALUE"""),21.25)</f>
        <v>21.25</v>
      </c>
      <c r="F4038" s="2">
        <f>IFERROR(__xludf.DUMMYFUNCTION("""COMPUTED_VALUE"""),6355200.0)</f>
        <v>6355200</v>
      </c>
    </row>
    <row r="4039">
      <c r="A4039" s="3">
        <f>IFERROR(__xludf.DUMMYFUNCTION("""COMPUTED_VALUE"""),35052.666666666664)</f>
        <v>35052.66667</v>
      </c>
      <c r="B4039" s="2">
        <f>IFERROR(__xludf.DUMMYFUNCTION("""COMPUTED_VALUE"""),21.28)</f>
        <v>21.28</v>
      </c>
      <c r="C4039" s="2">
        <f>IFERROR(__xludf.DUMMYFUNCTION("""COMPUTED_VALUE"""),21.94)</f>
        <v>21.94</v>
      </c>
      <c r="D4039" s="2">
        <f>IFERROR(__xludf.DUMMYFUNCTION("""COMPUTED_VALUE"""),21.28)</f>
        <v>21.28</v>
      </c>
      <c r="E4039" s="2">
        <f>IFERROR(__xludf.DUMMYFUNCTION("""COMPUTED_VALUE"""),21.94)</f>
        <v>21.94</v>
      </c>
      <c r="F4039" s="2">
        <f>IFERROR(__xludf.DUMMYFUNCTION("""COMPUTED_VALUE"""),3744400.0)</f>
        <v>3744400</v>
      </c>
    </row>
    <row r="4040">
      <c r="A4040" s="3">
        <f>IFERROR(__xludf.DUMMYFUNCTION("""COMPUTED_VALUE"""),35053.666666666664)</f>
        <v>35053.66667</v>
      </c>
      <c r="B4040" s="2">
        <f>IFERROR(__xludf.DUMMYFUNCTION("""COMPUTED_VALUE"""),21.97)</f>
        <v>21.97</v>
      </c>
      <c r="C4040" s="2">
        <f>IFERROR(__xludf.DUMMYFUNCTION("""COMPUTED_VALUE"""),21.97)</f>
        <v>21.97</v>
      </c>
      <c r="D4040" s="2">
        <f>IFERROR(__xludf.DUMMYFUNCTION("""COMPUTED_VALUE"""),21.28)</f>
        <v>21.28</v>
      </c>
      <c r="E4040" s="2">
        <f>IFERROR(__xludf.DUMMYFUNCTION("""COMPUTED_VALUE"""),21.34)</f>
        <v>21.34</v>
      </c>
      <c r="F4040" s="2">
        <f>IFERROR(__xludf.DUMMYFUNCTION("""COMPUTED_VALUE"""),3606000.0)</f>
        <v>3606000</v>
      </c>
    </row>
    <row r="4041">
      <c r="A4041" s="3">
        <f>IFERROR(__xludf.DUMMYFUNCTION("""COMPUTED_VALUE"""),35054.666666666664)</f>
        <v>35054.66667</v>
      </c>
      <c r="B4041" s="2">
        <f>IFERROR(__xludf.DUMMYFUNCTION("""COMPUTED_VALUE"""),21.46)</f>
        <v>21.46</v>
      </c>
      <c r="C4041" s="2">
        <f>IFERROR(__xludf.DUMMYFUNCTION("""COMPUTED_VALUE"""),21.76)</f>
        <v>21.76</v>
      </c>
      <c r="D4041" s="2">
        <f>IFERROR(__xludf.DUMMYFUNCTION("""COMPUTED_VALUE"""),21.43)</f>
        <v>21.43</v>
      </c>
      <c r="E4041" s="2">
        <f>IFERROR(__xludf.DUMMYFUNCTION("""COMPUTED_VALUE"""),21.7)</f>
        <v>21.7</v>
      </c>
      <c r="F4041" s="2">
        <f>IFERROR(__xludf.DUMMYFUNCTION("""COMPUTED_VALUE"""),2674000.0)</f>
        <v>2674000</v>
      </c>
    </row>
    <row r="4042">
      <c r="A4042" s="3">
        <f>IFERROR(__xludf.DUMMYFUNCTION("""COMPUTED_VALUE"""),35055.666666666664)</f>
        <v>35055.66667</v>
      </c>
      <c r="B4042" s="2">
        <f>IFERROR(__xludf.DUMMYFUNCTION("""COMPUTED_VALUE"""),21.7)</f>
        <v>21.7</v>
      </c>
      <c r="C4042" s="2">
        <f>IFERROR(__xludf.DUMMYFUNCTION("""COMPUTED_VALUE"""),22.12)</f>
        <v>22.12</v>
      </c>
      <c r="D4042" s="2">
        <f>IFERROR(__xludf.DUMMYFUNCTION("""COMPUTED_VALUE"""),21.52)</f>
        <v>21.52</v>
      </c>
      <c r="E4042" s="2">
        <f>IFERROR(__xludf.DUMMYFUNCTION("""COMPUTED_VALUE"""),21.79)</f>
        <v>21.79</v>
      </c>
      <c r="F4042" s="2">
        <f>IFERROR(__xludf.DUMMYFUNCTION("""COMPUTED_VALUE"""),1877400.0)</f>
        <v>1877400</v>
      </c>
    </row>
    <row r="4043">
      <c r="A4043" s="3">
        <f>IFERROR(__xludf.DUMMYFUNCTION("""COMPUTED_VALUE"""),35059.666666666664)</f>
        <v>35059.66667</v>
      </c>
      <c r="B4043" s="2">
        <f>IFERROR(__xludf.DUMMYFUNCTION("""COMPUTED_VALUE"""),21.97)</f>
        <v>21.97</v>
      </c>
      <c r="C4043" s="2">
        <f>IFERROR(__xludf.DUMMYFUNCTION("""COMPUTED_VALUE"""),22.0)</f>
        <v>22</v>
      </c>
      <c r="D4043" s="2">
        <f>IFERROR(__xludf.DUMMYFUNCTION("""COMPUTED_VALUE"""),21.88)</f>
        <v>21.88</v>
      </c>
      <c r="E4043" s="2">
        <f>IFERROR(__xludf.DUMMYFUNCTION("""COMPUTED_VALUE"""),21.91)</f>
        <v>21.91</v>
      </c>
      <c r="F4043" s="2">
        <f>IFERROR(__xludf.DUMMYFUNCTION("""COMPUTED_VALUE"""),945400.0)</f>
        <v>945400</v>
      </c>
    </row>
    <row r="4044">
      <c r="A4044" s="3">
        <f>IFERROR(__xludf.DUMMYFUNCTION("""COMPUTED_VALUE"""),35060.666666666664)</f>
        <v>35060.66667</v>
      </c>
      <c r="B4044" s="2">
        <f>IFERROR(__xludf.DUMMYFUNCTION("""COMPUTED_VALUE"""),21.91)</f>
        <v>21.91</v>
      </c>
      <c r="C4044" s="2">
        <f>IFERROR(__xludf.DUMMYFUNCTION("""COMPUTED_VALUE"""),21.97)</f>
        <v>21.97</v>
      </c>
      <c r="D4044" s="2">
        <f>IFERROR(__xludf.DUMMYFUNCTION("""COMPUTED_VALUE"""),21.67)</f>
        <v>21.67</v>
      </c>
      <c r="E4044" s="2">
        <f>IFERROR(__xludf.DUMMYFUNCTION("""COMPUTED_VALUE"""),21.97)</f>
        <v>21.97</v>
      </c>
      <c r="F4044" s="2">
        <f>IFERROR(__xludf.DUMMYFUNCTION("""COMPUTED_VALUE"""),1572000.0)</f>
        <v>1572000</v>
      </c>
    </row>
    <row r="4045">
      <c r="A4045" s="3">
        <f>IFERROR(__xludf.DUMMYFUNCTION("""COMPUTED_VALUE"""),35061.666666666664)</f>
        <v>35061.66667</v>
      </c>
      <c r="B4045" s="2">
        <f>IFERROR(__xludf.DUMMYFUNCTION("""COMPUTED_VALUE"""),21.76)</f>
        <v>21.76</v>
      </c>
      <c r="C4045" s="2">
        <f>IFERROR(__xludf.DUMMYFUNCTION("""COMPUTED_VALUE"""),21.82)</f>
        <v>21.82</v>
      </c>
      <c r="D4045" s="2">
        <f>IFERROR(__xludf.DUMMYFUNCTION("""COMPUTED_VALUE"""),21.49)</f>
        <v>21.49</v>
      </c>
      <c r="E4045" s="2">
        <f>IFERROR(__xludf.DUMMYFUNCTION("""COMPUTED_VALUE"""),21.52)</f>
        <v>21.52</v>
      </c>
      <c r="F4045" s="2">
        <f>IFERROR(__xludf.DUMMYFUNCTION("""COMPUTED_VALUE"""),1777400.0)</f>
        <v>1777400</v>
      </c>
    </row>
    <row r="4046">
      <c r="A4046" s="3">
        <f>IFERROR(__xludf.DUMMYFUNCTION("""COMPUTED_VALUE"""),35062.666666666664)</f>
        <v>35062.66667</v>
      </c>
      <c r="B4046" s="2">
        <f>IFERROR(__xludf.DUMMYFUNCTION("""COMPUTED_VALUE"""),21.58)</f>
        <v>21.58</v>
      </c>
      <c r="C4046" s="2">
        <f>IFERROR(__xludf.DUMMYFUNCTION("""COMPUTED_VALUE"""),21.91)</f>
        <v>21.91</v>
      </c>
      <c r="D4046" s="2">
        <f>IFERROR(__xludf.DUMMYFUNCTION("""COMPUTED_VALUE"""),21.37)</f>
        <v>21.37</v>
      </c>
      <c r="E4046" s="2">
        <f>IFERROR(__xludf.DUMMYFUNCTION("""COMPUTED_VALUE"""),21.82)</f>
        <v>21.82</v>
      </c>
      <c r="F4046" s="2">
        <f>IFERROR(__xludf.DUMMYFUNCTION("""COMPUTED_VALUE"""),3463500.0)</f>
        <v>3463500</v>
      </c>
    </row>
    <row r="4047">
      <c r="A4047" s="3">
        <f>IFERROR(__xludf.DUMMYFUNCTION("""COMPUTED_VALUE"""),35066.666666666664)</f>
        <v>35066.66667</v>
      </c>
      <c r="B4047" s="2">
        <f>IFERROR(__xludf.DUMMYFUNCTION("""COMPUTED_VALUE"""),21.82)</f>
        <v>21.82</v>
      </c>
      <c r="C4047" s="2">
        <f>IFERROR(__xludf.DUMMYFUNCTION("""COMPUTED_VALUE"""),22.0)</f>
        <v>22</v>
      </c>
      <c r="D4047" s="2">
        <f>IFERROR(__xludf.DUMMYFUNCTION("""COMPUTED_VALUE"""),21.64)</f>
        <v>21.64</v>
      </c>
      <c r="E4047" s="2">
        <f>IFERROR(__xludf.DUMMYFUNCTION("""COMPUTED_VALUE"""),21.7)</f>
        <v>21.7</v>
      </c>
      <c r="F4047" s="2">
        <f>IFERROR(__xludf.DUMMYFUNCTION("""COMPUTED_VALUE"""),2508400.0)</f>
        <v>2508400</v>
      </c>
    </row>
    <row r="4048">
      <c r="A4048" s="3">
        <f>IFERROR(__xludf.DUMMYFUNCTION("""COMPUTED_VALUE"""),35067.666666666664)</f>
        <v>35067.66667</v>
      </c>
      <c r="B4048" s="2">
        <f>IFERROR(__xludf.DUMMYFUNCTION("""COMPUTED_VALUE"""),21.73)</f>
        <v>21.73</v>
      </c>
      <c r="C4048" s="2">
        <f>IFERROR(__xludf.DUMMYFUNCTION("""COMPUTED_VALUE"""),21.79)</f>
        <v>21.79</v>
      </c>
      <c r="D4048" s="2">
        <f>IFERROR(__xludf.DUMMYFUNCTION("""COMPUTED_VALUE"""),21.25)</f>
        <v>21.25</v>
      </c>
      <c r="E4048" s="2">
        <f>IFERROR(__xludf.DUMMYFUNCTION("""COMPUTED_VALUE"""),21.31)</f>
        <v>21.31</v>
      </c>
      <c r="F4048" s="2">
        <f>IFERROR(__xludf.DUMMYFUNCTION("""COMPUTED_VALUE"""),3132000.0)</f>
        <v>3132000</v>
      </c>
    </row>
    <row r="4049">
      <c r="A4049" s="3">
        <f>IFERROR(__xludf.DUMMYFUNCTION("""COMPUTED_VALUE"""),35068.666666666664)</f>
        <v>35068.66667</v>
      </c>
      <c r="B4049" s="2">
        <f>IFERROR(__xludf.DUMMYFUNCTION("""COMPUTED_VALUE"""),21.28)</f>
        <v>21.28</v>
      </c>
      <c r="C4049" s="2">
        <f>IFERROR(__xludf.DUMMYFUNCTION("""COMPUTED_VALUE"""),21.28)</f>
        <v>21.28</v>
      </c>
      <c r="D4049" s="2">
        <f>IFERROR(__xludf.DUMMYFUNCTION("""COMPUTED_VALUE"""),20.45)</f>
        <v>20.45</v>
      </c>
      <c r="E4049" s="2">
        <f>IFERROR(__xludf.DUMMYFUNCTION("""COMPUTED_VALUE"""),20.74)</f>
        <v>20.74</v>
      </c>
      <c r="F4049" s="2">
        <f>IFERROR(__xludf.DUMMYFUNCTION("""COMPUTED_VALUE"""),8083200.0)</f>
        <v>8083200</v>
      </c>
    </row>
    <row r="4050">
      <c r="A4050" s="3">
        <f>IFERROR(__xludf.DUMMYFUNCTION("""COMPUTED_VALUE"""),35069.666666666664)</f>
        <v>35069.66667</v>
      </c>
      <c r="B4050" s="2">
        <f>IFERROR(__xludf.DUMMYFUNCTION("""COMPUTED_VALUE"""),20.54)</f>
        <v>20.54</v>
      </c>
      <c r="C4050" s="2">
        <f>IFERROR(__xludf.DUMMYFUNCTION("""COMPUTED_VALUE"""),21.22)</f>
        <v>21.22</v>
      </c>
      <c r="D4050" s="2">
        <f>IFERROR(__xludf.DUMMYFUNCTION("""COMPUTED_VALUE"""),20.54)</f>
        <v>20.54</v>
      </c>
      <c r="E4050" s="2">
        <f>IFERROR(__xludf.DUMMYFUNCTION("""COMPUTED_VALUE"""),21.16)</f>
        <v>21.16</v>
      </c>
      <c r="F4050" s="2">
        <f>IFERROR(__xludf.DUMMYFUNCTION("""COMPUTED_VALUE"""),3876400.0)</f>
        <v>3876400</v>
      </c>
    </row>
    <row r="4051">
      <c r="A4051" s="3">
        <f>IFERROR(__xludf.DUMMYFUNCTION("""COMPUTED_VALUE"""),35072.666666666664)</f>
        <v>35072.66667</v>
      </c>
      <c r="B4051" s="2">
        <f>IFERROR(__xludf.DUMMYFUNCTION("""COMPUTED_VALUE"""),21.16)</f>
        <v>21.16</v>
      </c>
      <c r="C4051" s="2">
        <f>IFERROR(__xludf.DUMMYFUNCTION("""COMPUTED_VALUE"""),21.31)</f>
        <v>21.31</v>
      </c>
      <c r="D4051" s="2">
        <f>IFERROR(__xludf.DUMMYFUNCTION("""COMPUTED_VALUE"""),21.16)</f>
        <v>21.16</v>
      </c>
      <c r="E4051" s="2">
        <f>IFERROR(__xludf.DUMMYFUNCTION("""COMPUTED_VALUE"""),21.28)</f>
        <v>21.28</v>
      </c>
      <c r="F4051" s="2">
        <f>IFERROR(__xludf.DUMMYFUNCTION("""COMPUTED_VALUE"""),882900.0)</f>
        <v>882900</v>
      </c>
    </row>
    <row r="4052">
      <c r="A4052" s="3">
        <f>IFERROR(__xludf.DUMMYFUNCTION("""COMPUTED_VALUE"""),35073.666666666664)</f>
        <v>35073.66667</v>
      </c>
      <c r="B4052" s="2">
        <f>IFERROR(__xludf.DUMMYFUNCTION("""COMPUTED_VALUE"""),21.28)</f>
        <v>21.28</v>
      </c>
      <c r="C4052" s="2">
        <f>IFERROR(__xludf.DUMMYFUNCTION("""COMPUTED_VALUE"""),21.28)</f>
        <v>21.28</v>
      </c>
      <c r="D4052" s="2">
        <f>IFERROR(__xludf.DUMMYFUNCTION("""COMPUTED_VALUE"""),20.57)</f>
        <v>20.57</v>
      </c>
      <c r="E4052" s="2">
        <f>IFERROR(__xludf.DUMMYFUNCTION("""COMPUTED_VALUE"""),20.72)</f>
        <v>20.72</v>
      </c>
      <c r="F4052" s="2">
        <f>IFERROR(__xludf.DUMMYFUNCTION("""COMPUTED_VALUE"""),3723500.0)</f>
        <v>3723500</v>
      </c>
    </row>
    <row r="4053">
      <c r="A4053" s="3">
        <f>IFERROR(__xludf.DUMMYFUNCTION("""COMPUTED_VALUE"""),35074.666666666664)</f>
        <v>35074.66667</v>
      </c>
      <c r="B4053" s="2">
        <f>IFERROR(__xludf.DUMMYFUNCTION("""COMPUTED_VALUE"""),20.69)</f>
        <v>20.69</v>
      </c>
      <c r="C4053" s="2">
        <f>IFERROR(__xludf.DUMMYFUNCTION("""COMPUTED_VALUE"""),21.28)</f>
        <v>21.28</v>
      </c>
      <c r="D4053" s="2">
        <f>IFERROR(__xludf.DUMMYFUNCTION("""COMPUTED_VALUE"""),20.69)</f>
        <v>20.69</v>
      </c>
      <c r="E4053" s="2">
        <f>IFERROR(__xludf.DUMMYFUNCTION("""COMPUTED_VALUE"""),20.83)</f>
        <v>20.83</v>
      </c>
      <c r="F4053" s="2">
        <f>IFERROR(__xludf.DUMMYFUNCTION("""COMPUTED_VALUE"""),5687900.0)</f>
        <v>5687900</v>
      </c>
    </row>
    <row r="4054">
      <c r="A4054" s="3">
        <f>IFERROR(__xludf.DUMMYFUNCTION("""COMPUTED_VALUE"""),35075.666666666664)</f>
        <v>35075.66667</v>
      </c>
      <c r="B4054" s="2">
        <f>IFERROR(__xludf.DUMMYFUNCTION("""COMPUTED_VALUE"""),21.04)</f>
        <v>21.04</v>
      </c>
      <c r="C4054" s="2">
        <f>IFERROR(__xludf.DUMMYFUNCTION("""COMPUTED_VALUE"""),21.13)</f>
        <v>21.13</v>
      </c>
      <c r="D4054" s="2">
        <f>IFERROR(__xludf.DUMMYFUNCTION("""COMPUTED_VALUE"""),20.42)</f>
        <v>20.42</v>
      </c>
      <c r="E4054" s="2">
        <f>IFERROR(__xludf.DUMMYFUNCTION("""COMPUTED_VALUE"""),20.83)</f>
        <v>20.83</v>
      </c>
      <c r="F4054" s="2">
        <f>IFERROR(__xludf.DUMMYFUNCTION("""COMPUTED_VALUE"""),4624600.0)</f>
        <v>4624600</v>
      </c>
    </row>
    <row r="4055">
      <c r="A4055" s="3">
        <f>IFERROR(__xludf.DUMMYFUNCTION("""COMPUTED_VALUE"""),35076.666666666664)</f>
        <v>35076.66667</v>
      </c>
      <c r="B4055" s="2">
        <f>IFERROR(__xludf.DUMMYFUNCTION("""COMPUTED_VALUE"""),20.83)</f>
        <v>20.83</v>
      </c>
      <c r="C4055" s="2">
        <f>IFERROR(__xludf.DUMMYFUNCTION("""COMPUTED_VALUE"""),20.83)</f>
        <v>20.83</v>
      </c>
      <c r="D4055" s="2">
        <f>IFERROR(__xludf.DUMMYFUNCTION("""COMPUTED_VALUE"""),20.57)</f>
        <v>20.57</v>
      </c>
      <c r="E4055" s="2">
        <f>IFERROR(__xludf.DUMMYFUNCTION("""COMPUTED_VALUE"""),20.63)</f>
        <v>20.63</v>
      </c>
      <c r="F4055" s="2">
        <f>IFERROR(__xludf.DUMMYFUNCTION("""COMPUTED_VALUE"""),2664500.0)</f>
        <v>2664500</v>
      </c>
    </row>
    <row r="4056">
      <c r="A4056" s="3">
        <f>IFERROR(__xludf.DUMMYFUNCTION("""COMPUTED_VALUE"""),35079.666666666664)</f>
        <v>35079.66667</v>
      </c>
      <c r="B4056" s="2">
        <f>IFERROR(__xludf.DUMMYFUNCTION("""COMPUTED_VALUE"""),20.63)</f>
        <v>20.63</v>
      </c>
      <c r="C4056" s="2">
        <f>IFERROR(__xludf.DUMMYFUNCTION("""COMPUTED_VALUE"""),20.66)</f>
        <v>20.66</v>
      </c>
      <c r="D4056" s="2">
        <f>IFERROR(__xludf.DUMMYFUNCTION("""COMPUTED_VALUE"""),19.85)</f>
        <v>19.85</v>
      </c>
      <c r="E4056" s="2">
        <f>IFERROR(__xludf.DUMMYFUNCTION("""COMPUTED_VALUE"""),19.85)</f>
        <v>19.85</v>
      </c>
      <c r="F4056" s="2">
        <f>IFERROR(__xludf.DUMMYFUNCTION("""COMPUTED_VALUE"""),3743600.0)</f>
        <v>3743600</v>
      </c>
    </row>
    <row r="4057">
      <c r="A4057" s="3">
        <f>IFERROR(__xludf.DUMMYFUNCTION("""COMPUTED_VALUE"""),35080.666666666664)</f>
        <v>35080.66667</v>
      </c>
      <c r="B4057" s="2">
        <f>IFERROR(__xludf.DUMMYFUNCTION("""COMPUTED_VALUE"""),20.09)</f>
        <v>20.09</v>
      </c>
      <c r="C4057" s="2">
        <f>IFERROR(__xludf.DUMMYFUNCTION("""COMPUTED_VALUE"""),20.95)</f>
        <v>20.95</v>
      </c>
      <c r="D4057" s="2">
        <f>IFERROR(__xludf.DUMMYFUNCTION("""COMPUTED_VALUE"""),19.94)</f>
        <v>19.94</v>
      </c>
      <c r="E4057" s="2">
        <f>IFERROR(__xludf.DUMMYFUNCTION("""COMPUTED_VALUE"""),20.77)</f>
        <v>20.77</v>
      </c>
      <c r="F4057" s="2">
        <f>IFERROR(__xludf.DUMMYFUNCTION("""COMPUTED_VALUE"""),4613000.0)</f>
        <v>4613000</v>
      </c>
    </row>
    <row r="4058">
      <c r="A4058" s="3">
        <f>IFERROR(__xludf.DUMMYFUNCTION("""COMPUTED_VALUE"""),35081.666666666664)</f>
        <v>35081.66667</v>
      </c>
      <c r="B4058" s="2">
        <f>IFERROR(__xludf.DUMMYFUNCTION("""COMPUTED_VALUE"""),20.72)</f>
        <v>20.72</v>
      </c>
      <c r="C4058" s="2">
        <f>IFERROR(__xludf.DUMMYFUNCTION("""COMPUTED_VALUE"""),21.31)</f>
        <v>21.31</v>
      </c>
      <c r="D4058" s="2">
        <f>IFERROR(__xludf.DUMMYFUNCTION("""COMPUTED_VALUE"""),20.48)</f>
        <v>20.48</v>
      </c>
      <c r="E4058" s="2">
        <f>IFERROR(__xludf.DUMMYFUNCTION("""COMPUTED_VALUE"""),20.92)</f>
        <v>20.92</v>
      </c>
      <c r="F4058" s="2">
        <f>IFERROR(__xludf.DUMMYFUNCTION("""COMPUTED_VALUE"""),4821100.0)</f>
        <v>4821100</v>
      </c>
    </row>
    <row r="4059">
      <c r="A4059" s="3">
        <f>IFERROR(__xludf.DUMMYFUNCTION("""COMPUTED_VALUE"""),35082.666666666664)</f>
        <v>35082.66667</v>
      </c>
      <c r="B4059" s="2">
        <f>IFERROR(__xludf.DUMMYFUNCTION("""COMPUTED_VALUE"""),21.49)</f>
        <v>21.49</v>
      </c>
      <c r="C4059" s="2">
        <f>IFERROR(__xludf.DUMMYFUNCTION("""COMPUTED_VALUE"""),22.98)</f>
        <v>22.98</v>
      </c>
      <c r="D4059" s="2">
        <f>IFERROR(__xludf.DUMMYFUNCTION("""COMPUTED_VALUE"""),21.4)</f>
        <v>21.4</v>
      </c>
      <c r="E4059" s="2">
        <f>IFERROR(__xludf.DUMMYFUNCTION("""COMPUTED_VALUE"""),22.98)</f>
        <v>22.98</v>
      </c>
      <c r="F4059" s="2">
        <f>IFERROR(__xludf.DUMMYFUNCTION("""COMPUTED_VALUE"""),9834400.0)</f>
        <v>9834400</v>
      </c>
    </row>
    <row r="4060">
      <c r="A4060" s="3">
        <f>IFERROR(__xludf.DUMMYFUNCTION("""COMPUTED_VALUE"""),35083.666666666664)</f>
        <v>35083.66667</v>
      </c>
      <c r="B4060" s="2">
        <f>IFERROR(__xludf.DUMMYFUNCTION("""COMPUTED_VALUE"""),23.07)</f>
        <v>23.07</v>
      </c>
      <c r="C4060" s="2">
        <f>IFERROR(__xludf.DUMMYFUNCTION("""COMPUTED_VALUE"""),24.86)</f>
        <v>24.86</v>
      </c>
      <c r="D4060" s="2">
        <f>IFERROR(__xludf.DUMMYFUNCTION("""COMPUTED_VALUE"""),23.04)</f>
        <v>23.04</v>
      </c>
      <c r="E4060" s="2">
        <f>IFERROR(__xludf.DUMMYFUNCTION("""COMPUTED_VALUE"""),24.36)</f>
        <v>24.36</v>
      </c>
      <c r="F4060" s="2">
        <f>IFERROR(__xludf.DUMMYFUNCTION("""COMPUTED_VALUE"""),1.3146E7)</f>
        <v>13146000</v>
      </c>
    </row>
    <row r="4061">
      <c r="A4061" s="3">
        <f>IFERROR(__xludf.DUMMYFUNCTION("""COMPUTED_VALUE"""),35086.666666666664)</f>
        <v>35086.66667</v>
      </c>
      <c r="B4061" s="2">
        <f>IFERROR(__xludf.DUMMYFUNCTION("""COMPUTED_VALUE"""),24.24)</f>
        <v>24.24</v>
      </c>
      <c r="C4061" s="2">
        <f>IFERROR(__xludf.DUMMYFUNCTION("""COMPUTED_VALUE"""),24.8)</f>
        <v>24.8</v>
      </c>
      <c r="D4061" s="2">
        <f>IFERROR(__xludf.DUMMYFUNCTION("""COMPUTED_VALUE"""),24.21)</f>
        <v>24.21</v>
      </c>
      <c r="E4061" s="2">
        <f>IFERROR(__xludf.DUMMYFUNCTION("""COMPUTED_VALUE"""),24.42)</f>
        <v>24.42</v>
      </c>
      <c r="F4061" s="2">
        <f>IFERROR(__xludf.DUMMYFUNCTION("""COMPUTED_VALUE"""),5293000.0)</f>
        <v>5293000</v>
      </c>
    </row>
    <row r="4062">
      <c r="A4062" s="3">
        <f>IFERROR(__xludf.DUMMYFUNCTION("""COMPUTED_VALUE"""),35087.666666666664)</f>
        <v>35087.66667</v>
      </c>
      <c r="B4062" s="2">
        <f>IFERROR(__xludf.DUMMYFUNCTION("""COMPUTED_VALUE"""),24.06)</f>
        <v>24.06</v>
      </c>
      <c r="C4062" s="2">
        <f>IFERROR(__xludf.DUMMYFUNCTION("""COMPUTED_VALUE"""),24.95)</f>
        <v>24.95</v>
      </c>
      <c r="D4062" s="2">
        <f>IFERROR(__xludf.DUMMYFUNCTION("""COMPUTED_VALUE"""),24.06)</f>
        <v>24.06</v>
      </c>
      <c r="E4062" s="2">
        <f>IFERROR(__xludf.DUMMYFUNCTION("""COMPUTED_VALUE"""),24.6)</f>
        <v>24.6</v>
      </c>
      <c r="F4062" s="2">
        <f>IFERROR(__xludf.DUMMYFUNCTION("""COMPUTED_VALUE"""),4959100.0)</f>
        <v>4959100</v>
      </c>
    </row>
    <row r="4063">
      <c r="A4063" s="3">
        <f>IFERROR(__xludf.DUMMYFUNCTION("""COMPUTED_VALUE"""),35088.666666666664)</f>
        <v>35088.66667</v>
      </c>
      <c r="B4063" s="2">
        <f>IFERROR(__xludf.DUMMYFUNCTION("""COMPUTED_VALUE"""),24.63)</f>
        <v>24.63</v>
      </c>
      <c r="C4063" s="2">
        <f>IFERROR(__xludf.DUMMYFUNCTION("""COMPUTED_VALUE"""),26.03)</f>
        <v>26.03</v>
      </c>
      <c r="D4063" s="2">
        <f>IFERROR(__xludf.DUMMYFUNCTION("""COMPUTED_VALUE"""),24.63)</f>
        <v>24.63</v>
      </c>
      <c r="E4063" s="2">
        <f>IFERROR(__xludf.DUMMYFUNCTION("""COMPUTED_VALUE"""),25.55)</f>
        <v>25.55</v>
      </c>
      <c r="F4063" s="2">
        <f>IFERROR(__xludf.DUMMYFUNCTION("""COMPUTED_VALUE"""),7989000.0)</f>
        <v>7989000</v>
      </c>
    </row>
    <row r="4064">
      <c r="A4064" s="3">
        <f>IFERROR(__xludf.DUMMYFUNCTION("""COMPUTED_VALUE"""),35089.666666666664)</f>
        <v>35089.66667</v>
      </c>
      <c r="B4064" s="2">
        <f>IFERROR(__xludf.DUMMYFUNCTION("""COMPUTED_VALUE"""),25.7)</f>
        <v>25.7</v>
      </c>
      <c r="C4064" s="2">
        <f>IFERROR(__xludf.DUMMYFUNCTION("""COMPUTED_VALUE"""),25.79)</f>
        <v>25.79</v>
      </c>
      <c r="D4064" s="2">
        <f>IFERROR(__xludf.DUMMYFUNCTION("""COMPUTED_VALUE"""),24.86)</f>
        <v>24.86</v>
      </c>
      <c r="E4064" s="2">
        <f>IFERROR(__xludf.DUMMYFUNCTION("""COMPUTED_VALUE"""),24.86)</f>
        <v>24.86</v>
      </c>
      <c r="F4064" s="2">
        <f>IFERROR(__xludf.DUMMYFUNCTION("""COMPUTED_VALUE"""),4721800.0)</f>
        <v>4721800</v>
      </c>
    </row>
    <row r="4065">
      <c r="A4065" s="3">
        <f>IFERROR(__xludf.DUMMYFUNCTION("""COMPUTED_VALUE"""),35090.666666666664)</f>
        <v>35090.66667</v>
      </c>
      <c r="B4065" s="2">
        <f>IFERROR(__xludf.DUMMYFUNCTION("""COMPUTED_VALUE"""),24.8)</f>
        <v>24.8</v>
      </c>
      <c r="C4065" s="2">
        <f>IFERROR(__xludf.DUMMYFUNCTION("""COMPUTED_VALUE"""),25.37)</f>
        <v>25.37</v>
      </c>
      <c r="D4065" s="2">
        <f>IFERROR(__xludf.DUMMYFUNCTION("""COMPUTED_VALUE"""),24.71)</f>
        <v>24.71</v>
      </c>
      <c r="E4065" s="2">
        <f>IFERROR(__xludf.DUMMYFUNCTION("""COMPUTED_VALUE"""),25.01)</f>
        <v>25.01</v>
      </c>
      <c r="F4065" s="2">
        <f>IFERROR(__xludf.DUMMYFUNCTION("""COMPUTED_VALUE"""),2647100.0)</f>
        <v>2647100</v>
      </c>
    </row>
    <row r="4066">
      <c r="A4066" s="3">
        <f>IFERROR(__xludf.DUMMYFUNCTION("""COMPUTED_VALUE"""),35093.666666666664)</f>
        <v>35093.66667</v>
      </c>
      <c r="B4066" s="2">
        <f>IFERROR(__xludf.DUMMYFUNCTION("""COMPUTED_VALUE"""),25.01)</f>
        <v>25.01</v>
      </c>
      <c r="C4066" s="2">
        <f>IFERROR(__xludf.DUMMYFUNCTION("""COMPUTED_VALUE"""),25.46)</f>
        <v>25.46</v>
      </c>
      <c r="D4066" s="2">
        <f>IFERROR(__xludf.DUMMYFUNCTION("""COMPUTED_VALUE"""),24.89)</f>
        <v>24.89</v>
      </c>
      <c r="E4066" s="2">
        <f>IFERROR(__xludf.DUMMYFUNCTION("""COMPUTED_VALUE"""),25.43)</f>
        <v>25.43</v>
      </c>
      <c r="F4066" s="2">
        <f>IFERROR(__xludf.DUMMYFUNCTION("""COMPUTED_VALUE"""),2370100.0)</f>
        <v>2370100</v>
      </c>
    </row>
    <row r="4067">
      <c r="A4067" s="3">
        <f>IFERROR(__xludf.DUMMYFUNCTION("""COMPUTED_VALUE"""),35094.666666666664)</f>
        <v>35094.66667</v>
      </c>
      <c r="B4067" s="2">
        <f>IFERROR(__xludf.DUMMYFUNCTION("""COMPUTED_VALUE"""),25.43)</f>
        <v>25.43</v>
      </c>
      <c r="C4067" s="2">
        <f>IFERROR(__xludf.DUMMYFUNCTION("""COMPUTED_VALUE"""),26.03)</f>
        <v>26.03</v>
      </c>
      <c r="D4067" s="2">
        <f>IFERROR(__xludf.DUMMYFUNCTION("""COMPUTED_VALUE"""),25.4)</f>
        <v>25.4</v>
      </c>
      <c r="E4067" s="2">
        <f>IFERROR(__xludf.DUMMYFUNCTION("""COMPUTED_VALUE"""),25.94)</f>
        <v>25.94</v>
      </c>
      <c r="F4067" s="2">
        <f>IFERROR(__xludf.DUMMYFUNCTION("""COMPUTED_VALUE"""),4593600.0)</f>
        <v>4593600</v>
      </c>
    </row>
    <row r="4068">
      <c r="A4068" s="3">
        <f>IFERROR(__xludf.DUMMYFUNCTION("""COMPUTED_VALUE"""),35095.666666666664)</f>
        <v>35095.66667</v>
      </c>
      <c r="B4068" s="2">
        <f>IFERROR(__xludf.DUMMYFUNCTION("""COMPUTED_VALUE"""),25.79)</f>
        <v>25.79</v>
      </c>
      <c r="C4068" s="2">
        <f>IFERROR(__xludf.DUMMYFUNCTION("""COMPUTED_VALUE"""),26.27)</f>
        <v>26.27</v>
      </c>
      <c r="D4068" s="2">
        <f>IFERROR(__xludf.DUMMYFUNCTION("""COMPUTED_VALUE"""),25.67)</f>
        <v>25.67</v>
      </c>
      <c r="E4068" s="2">
        <f>IFERROR(__xludf.DUMMYFUNCTION("""COMPUTED_VALUE"""),25.91)</f>
        <v>25.91</v>
      </c>
      <c r="F4068" s="2">
        <f>IFERROR(__xludf.DUMMYFUNCTION("""COMPUTED_VALUE"""),5014800.0)</f>
        <v>5014800</v>
      </c>
    </row>
    <row r="4069">
      <c r="A4069" s="3">
        <f>IFERROR(__xludf.DUMMYFUNCTION("""COMPUTED_VALUE"""),35096.666666666664)</f>
        <v>35096.66667</v>
      </c>
      <c r="B4069" s="2">
        <f>IFERROR(__xludf.DUMMYFUNCTION("""COMPUTED_VALUE"""),25.97)</f>
        <v>25.97</v>
      </c>
      <c r="C4069" s="2">
        <f>IFERROR(__xludf.DUMMYFUNCTION("""COMPUTED_VALUE"""),26.36)</f>
        <v>26.36</v>
      </c>
      <c r="D4069" s="2">
        <f>IFERROR(__xludf.DUMMYFUNCTION("""COMPUTED_VALUE"""),25.82)</f>
        <v>25.82</v>
      </c>
      <c r="E4069" s="2">
        <f>IFERROR(__xludf.DUMMYFUNCTION("""COMPUTED_VALUE"""),26.03)</f>
        <v>26.03</v>
      </c>
      <c r="F4069" s="2">
        <f>IFERROR(__xludf.DUMMYFUNCTION("""COMPUTED_VALUE"""),4077900.0)</f>
        <v>4077900</v>
      </c>
    </row>
    <row r="4070">
      <c r="A4070" s="3">
        <f>IFERROR(__xludf.DUMMYFUNCTION("""COMPUTED_VALUE"""),35097.666666666664)</f>
        <v>35097.66667</v>
      </c>
      <c r="B4070" s="2">
        <f>IFERROR(__xludf.DUMMYFUNCTION("""COMPUTED_VALUE"""),26.03)</f>
        <v>26.03</v>
      </c>
      <c r="C4070" s="2">
        <f>IFERROR(__xludf.DUMMYFUNCTION("""COMPUTED_VALUE"""),26.24)</f>
        <v>26.24</v>
      </c>
      <c r="D4070" s="2">
        <f>IFERROR(__xludf.DUMMYFUNCTION("""COMPUTED_VALUE"""),25.97)</f>
        <v>25.97</v>
      </c>
      <c r="E4070" s="2">
        <f>IFERROR(__xludf.DUMMYFUNCTION("""COMPUTED_VALUE"""),26.18)</f>
        <v>26.18</v>
      </c>
      <c r="F4070" s="2">
        <f>IFERROR(__xludf.DUMMYFUNCTION("""COMPUTED_VALUE"""),3110900.0)</f>
        <v>3110900</v>
      </c>
    </row>
    <row r="4071">
      <c r="A4071" s="3">
        <f>IFERROR(__xludf.DUMMYFUNCTION("""COMPUTED_VALUE"""),35100.666666666664)</f>
        <v>35100.66667</v>
      </c>
      <c r="B4071" s="2">
        <f>IFERROR(__xludf.DUMMYFUNCTION("""COMPUTED_VALUE"""),26.12)</f>
        <v>26.12</v>
      </c>
      <c r="C4071" s="2">
        <f>IFERROR(__xludf.DUMMYFUNCTION("""COMPUTED_VALUE"""),26.83)</f>
        <v>26.83</v>
      </c>
      <c r="D4071" s="2">
        <f>IFERROR(__xludf.DUMMYFUNCTION("""COMPUTED_VALUE"""),26.09)</f>
        <v>26.09</v>
      </c>
      <c r="E4071" s="2">
        <f>IFERROR(__xludf.DUMMYFUNCTION("""COMPUTED_VALUE"""),26.8)</f>
        <v>26.8</v>
      </c>
      <c r="F4071" s="2">
        <f>IFERROR(__xludf.DUMMYFUNCTION("""COMPUTED_VALUE"""),3284900.0)</f>
        <v>3284900</v>
      </c>
    </row>
    <row r="4072">
      <c r="A4072" s="3">
        <f>IFERROR(__xludf.DUMMYFUNCTION("""COMPUTED_VALUE"""),35101.666666666664)</f>
        <v>35101.66667</v>
      </c>
      <c r="B4072" s="2">
        <f>IFERROR(__xludf.DUMMYFUNCTION("""COMPUTED_VALUE"""),26.95)</f>
        <v>26.95</v>
      </c>
      <c r="C4072" s="2">
        <f>IFERROR(__xludf.DUMMYFUNCTION("""COMPUTED_VALUE"""),27.49)</f>
        <v>27.49</v>
      </c>
      <c r="D4072" s="2">
        <f>IFERROR(__xludf.DUMMYFUNCTION("""COMPUTED_VALUE"""),26.89)</f>
        <v>26.89</v>
      </c>
      <c r="E4072" s="2">
        <f>IFERROR(__xludf.DUMMYFUNCTION("""COMPUTED_VALUE"""),27.4)</f>
        <v>27.4</v>
      </c>
      <c r="F4072" s="2">
        <f>IFERROR(__xludf.DUMMYFUNCTION("""COMPUTED_VALUE"""),5040400.0)</f>
        <v>5040400</v>
      </c>
    </row>
    <row r="4073">
      <c r="A4073" s="3">
        <f>IFERROR(__xludf.DUMMYFUNCTION("""COMPUTED_VALUE"""),35102.666666666664)</f>
        <v>35102.66667</v>
      </c>
      <c r="B4073" s="2">
        <f>IFERROR(__xludf.DUMMYFUNCTION("""COMPUTED_VALUE"""),27.13)</f>
        <v>27.13</v>
      </c>
      <c r="C4073" s="2">
        <f>IFERROR(__xludf.DUMMYFUNCTION("""COMPUTED_VALUE"""),27.37)</f>
        <v>27.37</v>
      </c>
      <c r="D4073" s="2">
        <f>IFERROR(__xludf.DUMMYFUNCTION("""COMPUTED_VALUE"""),26.63)</f>
        <v>26.63</v>
      </c>
      <c r="E4073" s="2">
        <f>IFERROR(__xludf.DUMMYFUNCTION("""COMPUTED_VALUE"""),26.89)</f>
        <v>26.89</v>
      </c>
      <c r="F4073" s="2">
        <f>IFERROR(__xludf.DUMMYFUNCTION("""COMPUTED_VALUE"""),4023500.0)</f>
        <v>4023500</v>
      </c>
    </row>
    <row r="4074">
      <c r="A4074" s="3">
        <f>IFERROR(__xludf.DUMMYFUNCTION("""COMPUTED_VALUE"""),35103.666666666664)</f>
        <v>35103.66667</v>
      </c>
      <c r="B4074" s="2">
        <f>IFERROR(__xludf.DUMMYFUNCTION("""COMPUTED_VALUE"""),26.83)</f>
        <v>26.83</v>
      </c>
      <c r="C4074" s="2">
        <f>IFERROR(__xludf.DUMMYFUNCTION("""COMPUTED_VALUE"""),27.34)</f>
        <v>27.34</v>
      </c>
      <c r="D4074" s="2">
        <f>IFERROR(__xludf.DUMMYFUNCTION("""COMPUTED_VALUE"""),26.71)</f>
        <v>26.71</v>
      </c>
      <c r="E4074" s="2">
        <f>IFERROR(__xludf.DUMMYFUNCTION("""COMPUTED_VALUE"""),27.1)</f>
        <v>27.1</v>
      </c>
      <c r="F4074" s="2">
        <f>IFERROR(__xludf.DUMMYFUNCTION("""COMPUTED_VALUE"""),3194800.0)</f>
        <v>3194800</v>
      </c>
    </row>
    <row r="4075">
      <c r="A4075" s="3">
        <f>IFERROR(__xludf.DUMMYFUNCTION("""COMPUTED_VALUE"""),35104.666666666664)</f>
        <v>35104.66667</v>
      </c>
      <c r="B4075" s="2">
        <f>IFERROR(__xludf.DUMMYFUNCTION("""COMPUTED_VALUE"""),27.07)</f>
        <v>27.07</v>
      </c>
      <c r="C4075" s="2">
        <f>IFERROR(__xludf.DUMMYFUNCTION("""COMPUTED_VALUE"""),27.4)</f>
        <v>27.4</v>
      </c>
      <c r="D4075" s="2">
        <f>IFERROR(__xludf.DUMMYFUNCTION("""COMPUTED_VALUE"""),26.98)</f>
        <v>26.98</v>
      </c>
      <c r="E4075" s="2">
        <f>IFERROR(__xludf.DUMMYFUNCTION("""COMPUTED_VALUE"""),27.1)</f>
        <v>27.1</v>
      </c>
      <c r="F4075" s="2">
        <f>IFERROR(__xludf.DUMMYFUNCTION("""COMPUTED_VALUE"""),3371500.0)</f>
        <v>3371500</v>
      </c>
    </row>
    <row r="4076">
      <c r="A4076" s="3">
        <f>IFERROR(__xludf.DUMMYFUNCTION("""COMPUTED_VALUE"""),35107.666666666664)</f>
        <v>35107.66667</v>
      </c>
      <c r="B4076" s="2">
        <f>IFERROR(__xludf.DUMMYFUNCTION("""COMPUTED_VALUE"""),27.25)</f>
        <v>27.25</v>
      </c>
      <c r="C4076" s="2">
        <f>IFERROR(__xludf.DUMMYFUNCTION("""COMPUTED_VALUE"""),27.67)</f>
        <v>27.67</v>
      </c>
      <c r="D4076" s="2">
        <f>IFERROR(__xludf.DUMMYFUNCTION("""COMPUTED_VALUE"""),27.19)</f>
        <v>27.19</v>
      </c>
      <c r="E4076" s="2">
        <f>IFERROR(__xludf.DUMMYFUNCTION("""COMPUTED_VALUE"""),27.52)</f>
        <v>27.52</v>
      </c>
      <c r="F4076" s="2">
        <f>IFERROR(__xludf.DUMMYFUNCTION("""COMPUTED_VALUE"""),3666600.0)</f>
        <v>3666600</v>
      </c>
    </row>
    <row r="4077">
      <c r="A4077" s="3">
        <f>IFERROR(__xludf.DUMMYFUNCTION("""COMPUTED_VALUE"""),35108.666666666664)</f>
        <v>35108.66667</v>
      </c>
      <c r="B4077" s="2">
        <f>IFERROR(__xludf.DUMMYFUNCTION("""COMPUTED_VALUE"""),27.22)</f>
        <v>27.22</v>
      </c>
      <c r="C4077" s="2">
        <f>IFERROR(__xludf.DUMMYFUNCTION("""COMPUTED_VALUE"""),27.43)</f>
        <v>27.43</v>
      </c>
      <c r="D4077" s="2">
        <f>IFERROR(__xludf.DUMMYFUNCTION("""COMPUTED_VALUE"""),27.1)</f>
        <v>27.1</v>
      </c>
      <c r="E4077" s="2">
        <f>IFERROR(__xludf.DUMMYFUNCTION("""COMPUTED_VALUE"""),27.13)</f>
        <v>27.13</v>
      </c>
      <c r="F4077" s="2">
        <f>IFERROR(__xludf.DUMMYFUNCTION("""COMPUTED_VALUE"""),3467900.0)</f>
        <v>3467900</v>
      </c>
    </row>
    <row r="4078">
      <c r="A4078" s="3">
        <f>IFERROR(__xludf.DUMMYFUNCTION("""COMPUTED_VALUE"""),35109.666666666664)</f>
        <v>35109.66667</v>
      </c>
      <c r="B4078" s="2">
        <f>IFERROR(__xludf.DUMMYFUNCTION("""COMPUTED_VALUE"""),27.19)</f>
        <v>27.19</v>
      </c>
      <c r="C4078" s="2">
        <f>IFERROR(__xludf.DUMMYFUNCTION("""COMPUTED_VALUE"""),27.46)</f>
        <v>27.46</v>
      </c>
      <c r="D4078" s="2">
        <f>IFERROR(__xludf.DUMMYFUNCTION("""COMPUTED_VALUE"""),27.1)</f>
        <v>27.1</v>
      </c>
      <c r="E4078" s="2">
        <f>IFERROR(__xludf.DUMMYFUNCTION("""COMPUTED_VALUE"""),27.28)</f>
        <v>27.28</v>
      </c>
      <c r="F4078" s="2">
        <f>IFERROR(__xludf.DUMMYFUNCTION("""COMPUTED_VALUE"""),3237400.0)</f>
        <v>3237400</v>
      </c>
    </row>
    <row r="4079">
      <c r="A4079" s="3">
        <f>IFERROR(__xludf.DUMMYFUNCTION("""COMPUTED_VALUE"""),35110.666666666664)</f>
        <v>35110.66667</v>
      </c>
      <c r="B4079" s="2">
        <f>IFERROR(__xludf.DUMMYFUNCTION("""COMPUTED_VALUE"""),27.31)</f>
        <v>27.31</v>
      </c>
      <c r="C4079" s="2">
        <f>IFERROR(__xludf.DUMMYFUNCTION("""COMPUTED_VALUE"""),28.3)</f>
        <v>28.3</v>
      </c>
      <c r="D4079" s="2">
        <f>IFERROR(__xludf.DUMMYFUNCTION("""COMPUTED_VALUE"""),27.28)</f>
        <v>27.28</v>
      </c>
      <c r="E4079" s="2">
        <f>IFERROR(__xludf.DUMMYFUNCTION("""COMPUTED_VALUE"""),28.09)</f>
        <v>28.09</v>
      </c>
      <c r="F4079" s="2">
        <f>IFERROR(__xludf.DUMMYFUNCTION("""COMPUTED_VALUE"""),5835300.0)</f>
        <v>5835300</v>
      </c>
    </row>
    <row r="4080">
      <c r="A4080" s="3">
        <f>IFERROR(__xludf.DUMMYFUNCTION("""COMPUTED_VALUE"""),35111.666666666664)</f>
        <v>35111.66667</v>
      </c>
      <c r="B4080" s="2">
        <f>IFERROR(__xludf.DUMMYFUNCTION("""COMPUTED_VALUE"""),28.18)</f>
        <v>28.18</v>
      </c>
      <c r="C4080" s="2">
        <f>IFERROR(__xludf.DUMMYFUNCTION("""COMPUTED_VALUE"""),28.39)</f>
        <v>28.39</v>
      </c>
      <c r="D4080" s="2">
        <f>IFERROR(__xludf.DUMMYFUNCTION("""COMPUTED_VALUE"""),28.06)</f>
        <v>28.06</v>
      </c>
      <c r="E4080" s="2">
        <f>IFERROR(__xludf.DUMMYFUNCTION("""COMPUTED_VALUE"""),28.18)</f>
        <v>28.18</v>
      </c>
      <c r="F4080" s="2">
        <f>IFERROR(__xludf.DUMMYFUNCTION("""COMPUTED_VALUE"""),4985900.0)</f>
        <v>4985900</v>
      </c>
    </row>
    <row r="4081">
      <c r="A4081" s="3">
        <f>IFERROR(__xludf.DUMMYFUNCTION("""COMPUTED_VALUE"""),35115.666666666664)</f>
        <v>35115.66667</v>
      </c>
      <c r="B4081" s="2">
        <f>IFERROR(__xludf.DUMMYFUNCTION("""COMPUTED_VALUE"""),28.45)</f>
        <v>28.45</v>
      </c>
      <c r="C4081" s="2">
        <f>IFERROR(__xludf.DUMMYFUNCTION("""COMPUTED_VALUE"""),28.45)</f>
        <v>28.45</v>
      </c>
      <c r="D4081" s="2">
        <f>IFERROR(__xludf.DUMMYFUNCTION("""COMPUTED_VALUE"""),28.45)</f>
        <v>28.45</v>
      </c>
      <c r="E4081" s="2">
        <f>IFERROR(__xludf.DUMMYFUNCTION("""COMPUTED_VALUE"""),28.45)</f>
        <v>28.45</v>
      </c>
      <c r="F4081" s="2">
        <f>IFERROR(__xludf.DUMMYFUNCTION("""COMPUTED_VALUE"""),0.0)</f>
        <v>0</v>
      </c>
    </row>
    <row r="4082">
      <c r="A4082" s="3">
        <f>IFERROR(__xludf.DUMMYFUNCTION("""COMPUTED_VALUE"""),35116.666666666664)</f>
        <v>35116.66667</v>
      </c>
      <c r="B4082" s="2">
        <f>IFERROR(__xludf.DUMMYFUNCTION("""COMPUTED_VALUE"""),28.42)</f>
        <v>28.42</v>
      </c>
      <c r="C4082" s="2">
        <f>IFERROR(__xludf.DUMMYFUNCTION("""COMPUTED_VALUE"""),28.8)</f>
        <v>28.8</v>
      </c>
      <c r="D4082" s="2">
        <f>IFERROR(__xludf.DUMMYFUNCTION("""COMPUTED_VALUE"""),28.33)</f>
        <v>28.33</v>
      </c>
      <c r="E4082" s="2">
        <f>IFERROR(__xludf.DUMMYFUNCTION("""COMPUTED_VALUE"""),28.71)</f>
        <v>28.71</v>
      </c>
      <c r="F4082" s="2">
        <f>IFERROR(__xludf.DUMMYFUNCTION("""COMPUTED_VALUE"""),4097400.0)</f>
        <v>4097400</v>
      </c>
    </row>
    <row r="4083">
      <c r="A4083" s="3">
        <f>IFERROR(__xludf.DUMMYFUNCTION("""COMPUTED_VALUE"""),35117.666666666664)</f>
        <v>35117.66667</v>
      </c>
      <c r="B4083" s="2">
        <f>IFERROR(__xludf.DUMMYFUNCTION("""COMPUTED_VALUE"""),29.64)</f>
        <v>29.64</v>
      </c>
      <c r="C4083" s="2">
        <f>IFERROR(__xludf.DUMMYFUNCTION("""COMPUTED_VALUE"""),29.64)</f>
        <v>29.64</v>
      </c>
      <c r="D4083" s="2">
        <f>IFERROR(__xludf.DUMMYFUNCTION("""COMPUTED_VALUE"""),29.64)</f>
        <v>29.64</v>
      </c>
      <c r="E4083" s="2">
        <f>IFERROR(__xludf.DUMMYFUNCTION("""COMPUTED_VALUE"""),29.64)</f>
        <v>29.64</v>
      </c>
      <c r="F4083" s="2">
        <f>IFERROR(__xludf.DUMMYFUNCTION("""COMPUTED_VALUE"""),0.0)</f>
        <v>0</v>
      </c>
    </row>
    <row r="4084">
      <c r="A4084" s="3">
        <f>IFERROR(__xludf.DUMMYFUNCTION("""COMPUTED_VALUE"""),35118.666666666664)</f>
        <v>35118.66667</v>
      </c>
      <c r="B4084" s="2">
        <f>IFERROR(__xludf.DUMMYFUNCTION("""COMPUTED_VALUE"""),29.85)</f>
        <v>29.85</v>
      </c>
      <c r="C4084" s="2">
        <f>IFERROR(__xludf.DUMMYFUNCTION("""COMPUTED_VALUE"""),30.12)</f>
        <v>30.12</v>
      </c>
      <c r="D4084" s="2">
        <f>IFERROR(__xludf.DUMMYFUNCTION("""COMPUTED_VALUE"""),29.61)</f>
        <v>29.61</v>
      </c>
      <c r="E4084" s="2">
        <f>IFERROR(__xludf.DUMMYFUNCTION("""COMPUTED_VALUE"""),30.0)</f>
        <v>30</v>
      </c>
      <c r="F4084" s="2">
        <f>IFERROR(__xludf.DUMMYFUNCTION("""COMPUTED_VALUE"""),4125300.0)</f>
        <v>4125300</v>
      </c>
    </row>
    <row r="4085">
      <c r="A4085" s="3">
        <f>IFERROR(__xludf.DUMMYFUNCTION("""COMPUTED_VALUE"""),35121.666666666664)</f>
        <v>35121.66667</v>
      </c>
      <c r="B4085" s="2">
        <f>IFERROR(__xludf.DUMMYFUNCTION("""COMPUTED_VALUE"""),29.58)</f>
        <v>29.58</v>
      </c>
      <c r="C4085" s="2">
        <f>IFERROR(__xludf.DUMMYFUNCTION("""COMPUTED_VALUE"""),29.97)</f>
        <v>29.97</v>
      </c>
      <c r="D4085" s="2">
        <f>IFERROR(__xludf.DUMMYFUNCTION("""COMPUTED_VALUE"""),29.58)</f>
        <v>29.58</v>
      </c>
      <c r="E4085" s="2">
        <f>IFERROR(__xludf.DUMMYFUNCTION("""COMPUTED_VALUE"""),29.82)</f>
        <v>29.82</v>
      </c>
      <c r="F4085" s="2">
        <f>IFERROR(__xludf.DUMMYFUNCTION("""COMPUTED_VALUE"""),2882500.0)</f>
        <v>2882500</v>
      </c>
    </row>
    <row r="4086">
      <c r="A4086" s="3">
        <f>IFERROR(__xludf.DUMMYFUNCTION("""COMPUTED_VALUE"""),35122.666666666664)</f>
        <v>35122.66667</v>
      </c>
      <c r="B4086" s="2">
        <f>IFERROR(__xludf.DUMMYFUNCTION("""COMPUTED_VALUE"""),29.88)</f>
        <v>29.88</v>
      </c>
      <c r="C4086" s="2">
        <f>IFERROR(__xludf.DUMMYFUNCTION("""COMPUTED_VALUE"""),30.77)</f>
        <v>30.77</v>
      </c>
      <c r="D4086" s="2">
        <f>IFERROR(__xludf.DUMMYFUNCTION("""COMPUTED_VALUE"""),29.73)</f>
        <v>29.73</v>
      </c>
      <c r="E4086" s="2">
        <f>IFERROR(__xludf.DUMMYFUNCTION("""COMPUTED_VALUE"""),30.74)</f>
        <v>30.74</v>
      </c>
      <c r="F4086" s="2">
        <f>IFERROR(__xludf.DUMMYFUNCTION("""COMPUTED_VALUE"""),4612800.0)</f>
        <v>4612800</v>
      </c>
    </row>
    <row r="4087">
      <c r="A4087" s="3">
        <f>IFERROR(__xludf.DUMMYFUNCTION("""COMPUTED_VALUE"""),35123.666666666664)</f>
        <v>35123.66667</v>
      </c>
      <c r="B4087" s="2">
        <f>IFERROR(__xludf.DUMMYFUNCTION("""COMPUTED_VALUE"""),30.6)</f>
        <v>30.6</v>
      </c>
      <c r="C4087" s="2">
        <f>IFERROR(__xludf.DUMMYFUNCTION("""COMPUTED_VALUE"""),30.77)</f>
        <v>30.77</v>
      </c>
      <c r="D4087" s="2">
        <f>IFERROR(__xludf.DUMMYFUNCTION("""COMPUTED_VALUE"""),30.33)</f>
        <v>30.33</v>
      </c>
      <c r="E4087" s="2">
        <f>IFERROR(__xludf.DUMMYFUNCTION("""COMPUTED_VALUE"""),30.42)</f>
        <v>30.42</v>
      </c>
      <c r="F4087" s="2">
        <f>IFERROR(__xludf.DUMMYFUNCTION("""COMPUTED_VALUE"""),4389000.0)</f>
        <v>4389000</v>
      </c>
    </row>
    <row r="4088">
      <c r="A4088" s="3">
        <f>IFERROR(__xludf.DUMMYFUNCTION("""COMPUTED_VALUE"""),35124.666666666664)</f>
        <v>35124.66667</v>
      </c>
      <c r="B4088" s="2">
        <f>IFERROR(__xludf.DUMMYFUNCTION("""COMPUTED_VALUE"""),30.42)</f>
        <v>30.42</v>
      </c>
      <c r="C4088" s="2">
        <f>IFERROR(__xludf.DUMMYFUNCTION("""COMPUTED_VALUE"""),30.42)</f>
        <v>30.42</v>
      </c>
      <c r="D4088" s="2">
        <f>IFERROR(__xludf.DUMMYFUNCTION("""COMPUTED_VALUE"""),29.13)</f>
        <v>29.13</v>
      </c>
      <c r="E4088" s="2">
        <f>IFERROR(__xludf.DUMMYFUNCTION("""COMPUTED_VALUE"""),29.28)</f>
        <v>29.28</v>
      </c>
      <c r="F4088" s="2">
        <f>IFERROR(__xludf.DUMMYFUNCTION("""COMPUTED_VALUE"""),7294400.0)</f>
        <v>7294400</v>
      </c>
    </row>
    <row r="4089">
      <c r="A4089" s="3">
        <f>IFERROR(__xludf.DUMMYFUNCTION("""COMPUTED_VALUE"""),35125.666666666664)</f>
        <v>35125.66667</v>
      </c>
      <c r="B4089" s="2">
        <f>IFERROR(__xludf.DUMMYFUNCTION("""COMPUTED_VALUE"""),29.04)</f>
        <v>29.04</v>
      </c>
      <c r="C4089" s="2">
        <f>IFERROR(__xludf.DUMMYFUNCTION("""COMPUTED_VALUE"""),29.07)</f>
        <v>29.07</v>
      </c>
      <c r="D4089" s="2">
        <f>IFERROR(__xludf.DUMMYFUNCTION("""COMPUTED_VALUE"""),28.36)</f>
        <v>28.36</v>
      </c>
      <c r="E4089" s="2">
        <f>IFERROR(__xludf.DUMMYFUNCTION("""COMPUTED_VALUE"""),28.65)</f>
        <v>28.65</v>
      </c>
      <c r="F4089" s="2">
        <f>IFERROR(__xludf.DUMMYFUNCTION("""COMPUTED_VALUE"""),8045000.0)</f>
        <v>8045000</v>
      </c>
    </row>
    <row r="4090">
      <c r="A4090" s="3">
        <f>IFERROR(__xludf.DUMMYFUNCTION("""COMPUTED_VALUE"""),35128.666666666664)</f>
        <v>35128.66667</v>
      </c>
      <c r="B4090" s="2">
        <f>IFERROR(__xludf.DUMMYFUNCTION("""COMPUTED_VALUE"""),28.36)</f>
        <v>28.36</v>
      </c>
      <c r="C4090" s="2">
        <f>IFERROR(__xludf.DUMMYFUNCTION("""COMPUTED_VALUE"""),28.95)</f>
        <v>28.95</v>
      </c>
      <c r="D4090" s="2">
        <f>IFERROR(__xludf.DUMMYFUNCTION("""COMPUTED_VALUE"""),27.52)</f>
        <v>27.52</v>
      </c>
      <c r="E4090" s="2">
        <f>IFERROR(__xludf.DUMMYFUNCTION("""COMPUTED_VALUE"""),27.73)</f>
        <v>27.73</v>
      </c>
      <c r="F4090" s="2">
        <f>IFERROR(__xludf.DUMMYFUNCTION("""COMPUTED_VALUE"""),4322100.0)</f>
        <v>4322100</v>
      </c>
    </row>
    <row r="4091">
      <c r="A4091" s="3">
        <f>IFERROR(__xludf.DUMMYFUNCTION("""COMPUTED_VALUE"""),35129.666666666664)</f>
        <v>35129.66667</v>
      </c>
      <c r="B4091" s="2">
        <f>IFERROR(__xludf.DUMMYFUNCTION("""COMPUTED_VALUE"""),27.97)</f>
        <v>27.97</v>
      </c>
      <c r="C4091" s="2">
        <f>IFERROR(__xludf.DUMMYFUNCTION("""COMPUTED_VALUE"""),28.54)</f>
        <v>28.54</v>
      </c>
      <c r="D4091" s="2">
        <f>IFERROR(__xludf.DUMMYFUNCTION("""COMPUTED_VALUE"""),27.73)</f>
        <v>27.73</v>
      </c>
      <c r="E4091" s="2">
        <f>IFERROR(__xludf.DUMMYFUNCTION("""COMPUTED_VALUE"""),28.42)</f>
        <v>28.42</v>
      </c>
      <c r="F4091" s="2">
        <f>IFERROR(__xludf.DUMMYFUNCTION("""COMPUTED_VALUE"""),3544200.0)</f>
        <v>3544200</v>
      </c>
    </row>
    <row r="4092">
      <c r="A4092" s="3">
        <f>IFERROR(__xludf.DUMMYFUNCTION("""COMPUTED_VALUE"""),35130.666666666664)</f>
        <v>35130.66667</v>
      </c>
      <c r="B4092" s="2">
        <f>IFERROR(__xludf.DUMMYFUNCTION("""COMPUTED_VALUE"""),28.6)</f>
        <v>28.6</v>
      </c>
      <c r="C4092" s="2">
        <f>IFERROR(__xludf.DUMMYFUNCTION("""COMPUTED_VALUE"""),28.63)</f>
        <v>28.63</v>
      </c>
      <c r="D4092" s="2">
        <f>IFERROR(__xludf.DUMMYFUNCTION("""COMPUTED_VALUE"""),27.79)</f>
        <v>27.79</v>
      </c>
      <c r="E4092" s="2">
        <f>IFERROR(__xludf.DUMMYFUNCTION("""COMPUTED_VALUE"""),27.94)</f>
        <v>27.94</v>
      </c>
      <c r="F4092" s="2">
        <f>IFERROR(__xludf.DUMMYFUNCTION("""COMPUTED_VALUE"""),2734300.0)</f>
        <v>2734300</v>
      </c>
    </row>
    <row r="4093">
      <c r="A4093" s="3">
        <f>IFERROR(__xludf.DUMMYFUNCTION("""COMPUTED_VALUE"""),35131.666666666664)</f>
        <v>35131.66667</v>
      </c>
      <c r="B4093" s="2">
        <f>IFERROR(__xludf.DUMMYFUNCTION("""COMPUTED_VALUE"""),27.94)</f>
        <v>27.94</v>
      </c>
      <c r="C4093" s="2">
        <f>IFERROR(__xludf.DUMMYFUNCTION("""COMPUTED_VALUE"""),28.06)</f>
        <v>28.06</v>
      </c>
      <c r="D4093" s="2">
        <f>IFERROR(__xludf.DUMMYFUNCTION("""COMPUTED_VALUE"""),27.55)</f>
        <v>27.55</v>
      </c>
      <c r="E4093" s="2">
        <f>IFERROR(__xludf.DUMMYFUNCTION("""COMPUTED_VALUE"""),27.97)</f>
        <v>27.97</v>
      </c>
      <c r="F4093" s="2">
        <f>IFERROR(__xludf.DUMMYFUNCTION("""COMPUTED_VALUE"""),2472900.0)</f>
        <v>2472900</v>
      </c>
    </row>
    <row r="4094">
      <c r="A4094" s="3">
        <f>IFERROR(__xludf.DUMMYFUNCTION("""COMPUTED_VALUE"""),35132.666666666664)</f>
        <v>35132.66667</v>
      </c>
      <c r="B4094" s="2">
        <f>IFERROR(__xludf.DUMMYFUNCTION("""COMPUTED_VALUE"""),27.58)</f>
        <v>27.58</v>
      </c>
      <c r="C4094" s="2">
        <f>IFERROR(__xludf.DUMMYFUNCTION("""COMPUTED_VALUE"""),27.91)</f>
        <v>27.91</v>
      </c>
      <c r="D4094" s="2">
        <f>IFERROR(__xludf.DUMMYFUNCTION("""COMPUTED_VALUE"""),26.8)</f>
        <v>26.8</v>
      </c>
      <c r="E4094" s="2">
        <f>IFERROR(__xludf.DUMMYFUNCTION("""COMPUTED_VALUE"""),27.28)</f>
        <v>27.28</v>
      </c>
      <c r="F4094" s="2">
        <f>IFERROR(__xludf.DUMMYFUNCTION("""COMPUTED_VALUE"""),5381100.0)</f>
        <v>5381100</v>
      </c>
    </row>
    <row r="4095">
      <c r="A4095" s="3">
        <f>IFERROR(__xludf.DUMMYFUNCTION("""COMPUTED_VALUE"""),35135.666666666664)</f>
        <v>35135.66667</v>
      </c>
      <c r="B4095" s="2">
        <f>IFERROR(__xludf.DUMMYFUNCTION("""COMPUTED_VALUE"""),27.58)</f>
        <v>27.58</v>
      </c>
      <c r="C4095" s="2">
        <f>IFERROR(__xludf.DUMMYFUNCTION("""COMPUTED_VALUE"""),28.15)</f>
        <v>28.15</v>
      </c>
      <c r="D4095" s="2">
        <f>IFERROR(__xludf.DUMMYFUNCTION("""COMPUTED_VALUE"""),26.8)</f>
        <v>26.8</v>
      </c>
      <c r="E4095" s="2">
        <f>IFERROR(__xludf.DUMMYFUNCTION("""COMPUTED_VALUE"""),28.0)</f>
        <v>28</v>
      </c>
      <c r="F4095" s="2">
        <f>IFERROR(__xludf.DUMMYFUNCTION("""COMPUTED_VALUE"""),3936000.0)</f>
        <v>3936000</v>
      </c>
    </row>
    <row r="4096">
      <c r="A4096" s="3">
        <f>IFERROR(__xludf.DUMMYFUNCTION("""COMPUTED_VALUE"""),35136.666666666664)</f>
        <v>35136.66667</v>
      </c>
      <c r="B4096" s="2">
        <f>IFERROR(__xludf.DUMMYFUNCTION("""COMPUTED_VALUE"""),27.61)</f>
        <v>27.61</v>
      </c>
      <c r="C4096" s="2">
        <f>IFERROR(__xludf.DUMMYFUNCTION("""COMPUTED_VALUE"""),27.7)</f>
        <v>27.7</v>
      </c>
      <c r="D4096" s="2">
        <f>IFERROR(__xludf.DUMMYFUNCTION("""COMPUTED_VALUE"""),27.13)</f>
        <v>27.13</v>
      </c>
      <c r="E4096" s="2">
        <f>IFERROR(__xludf.DUMMYFUNCTION("""COMPUTED_VALUE"""),27.28)</f>
        <v>27.28</v>
      </c>
      <c r="F4096" s="2">
        <f>IFERROR(__xludf.DUMMYFUNCTION("""COMPUTED_VALUE"""),4201600.0)</f>
        <v>4201600</v>
      </c>
    </row>
    <row r="4097">
      <c r="A4097" s="3">
        <f>IFERROR(__xludf.DUMMYFUNCTION("""COMPUTED_VALUE"""),35137.666666666664)</f>
        <v>35137.66667</v>
      </c>
      <c r="B4097" s="2">
        <f>IFERROR(__xludf.DUMMYFUNCTION("""COMPUTED_VALUE"""),27.34)</f>
        <v>27.34</v>
      </c>
      <c r="C4097" s="2">
        <f>IFERROR(__xludf.DUMMYFUNCTION("""COMPUTED_VALUE"""),27.85)</f>
        <v>27.85</v>
      </c>
      <c r="D4097" s="2">
        <f>IFERROR(__xludf.DUMMYFUNCTION("""COMPUTED_VALUE"""),27.34)</f>
        <v>27.34</v>
      </c>
      <c r="E4097" s="2">
        <f>IFERROR(__xludf.DUMMYFUNCTION("""COMPUTED_VALUE"""),27.67)</f>
        <v>27.67</v>
      </c>
      <c r="F4097" s="2">
        <f>IFERROR(__xludf.DUMMYFUNCTION("""COMPUTED_VALUE"""),2810800.0)</f>
        <v>2810800</v>
      </c>
    </row>
    <row r="4098">
      <c r="A4098" s="3">
        <f>IFERROR(__xludf.DUMMYFUNCTION("""COMPUTED_VALUE"""),35138.666666666664)</f>
        <v>35138.66667</v>
      </c>
      <c r="B4098" s="2">
        <f>IFERROR(__xludf.DUMMYFUNCTION("""COMPUTED_VALUE"""),27.82)</f>
        <v>27.82</v>
      </c>
      <c r="C4098" s="2">
        <f>IFERROR(__xludf.DUMMYFUNCTION("""COMPUTED_VALUE"""),28.36)</f>
        <v>28.36</v>
      </c>
      <c r="D4098" s="2">
        <f>IFERROR(__xludf.DUMMYFUNCTION("""COMPUTED_VALUE"""),27.73)</f>
        <v>27.73</v>
      </c>
      <c r="E4098" s="2">
        <f>IFERROR(__xludf.DUMMYFUNCTION("""COMPUTED_VALUE"""),27.91)</f>
        <v>27.91</v>
      </c>
      <c r="F4098" s="2">
        <f>IFERROR(__xludf.DUMMYFUNCTION("""COMPUTED_VALUE"""),2872300.0)</f>
        <v>2872300</v>
      </c>
    </row>
    <row r="4099">
      <c r="A4099" s="3">
        <f>IFERROR(__xludf.DUMMYFUNCTION("""COMPUTED_VALUE"""),35139.666666666664)</f>
        <v>35139.66667</v>
      </c>
      <c r="B4099" s="2">
        <f>IFERROR(__xludf.DUMMYFUNCTION("""COMPUTED_VALUE"""),27.91)</f>
        <v>27.91</v>
      </c>
      <c r="C4099" s="2">
        <f>IFERROR(__xludf.DUMMYFUNCTION("""COMPUTED_VALUE"""),28.65)</f>
        <v>28.65</v>
      </c>
      <c r="D4099" s="2">
        <f>IFERROR(__xludf.DUMMYFUNCTION("""COMPUTED_VALUE"""),27.64)</f>
        <v>27.64</v>
      </c>
      <c r="E4099" s="2">
        <f>IFERROR(__xludf.DUMMYFUNCTION("""COMPUTED_VALUE"""),28.63)</f>
        <v>28.63</v>
      </c>
      <c r="F4099" s="2">
        <f>IFERROR(__xludf.DUMMYFUNCTION("""COMPUTED_VALUE"""),3521500.0)</f>
        <v>3521500</v>
      </c>
    </row>
    <row r="4100">
      <c r="A4100" s="3">
        <f>IFERROR(__xludf.DUMMYFUNCTION("""COMPUTED_VALUE"""),35142.666666666664)</f>
        <v>35142.66667</v>
      </c>
      <c r="B4100" s="2">
        <f>IFERROR(__xludf.DUMMYFUNCTION("""COMPUTED_VALUE"""),28.8)</f>
        <v>28.8</v>
      </c>
      <c r="C4100" s="2">
        <f>IFERROR(__xludf.DUMMYFUNCTION("""COMPUTED_VALUE"""),29.88)</f>
        <v>29.88</v>
      </c>
      <c r="D4100" s="2">
        <f>IFERROR(__xludf.DUMMYFUNCTION("""COMPUTED_VALUE"""),28.71)</f>
        <v>28.71</v>
      </c>
      <c r="E4100" s="2">
        <f>IFERROR(__xludf.DUMMYFUNCTION("""COMPUTED_VALUE"""),29.73)</f>
        <v>29.73</v>
      </c>
      <c r="F4100" s="2">
        <f>IFERROR(__xludf.DUMMYFUNCTION("""COMPUTED_VALUE"""),3755500.0)</f>
        <v>3755500</v>
      </c>
    </row>
    <row r="4101">
      <c r="A4101" s="3">
        <f>IFERROR(__xludf.DUMMYFUNCTION("""COMPUTED_VALUE"""),35143.666666666664)</f>
        <v>35143.66667</v>
      </c>
      <c r="B4101" s="2">
        <f>IFERROR(__xludf.DUMMYFUNCTION("""COMPUTED_VALUE"""),28.8)</f>
        <v>28.8</v>
      </c>
      <c r="C4101" s="2">
        <f>IFERROR(__xludf.DUMMYFUNCTION("""COMPUTED_VALUE"""),29.88)</f>
        <v>29.88</v>
      </c>
      <c r="D4101" s="2">
        <f>IFERROR(__xludf.DUMMYFUNCTION("""COMPUTED_VALUE"""),28.71)</f>
        <v>28.71</v>
      </c>
      <c r="E4101" s="2">
        <f>IFERROR(__xludf.DUMMYFUNCTION("""COMPUTED_VALUE"""),29.07)</f>
        <v>29.07</v>
      </c>
      <c r="F4101" s="2">
        <f>IFERROR(__xludf.DUMMYFUNCTION("""COMPUTED_VALUE"""),2796000.0)</f>
        <v>2796000</v>
      </c>
    </row>
    <row r="4102">
      <c r="A4102" s="3">
        <f>IFERROR(__xludf.DUMMYFUNCTION("""COMPUTED_VALUE"""),35144.666666666664)</f>
        <v>35144.66667</v>
      </c>
      <c r="B4102" s="2">
        <f>IFERROR(__xludf.DUMMYFUNCTION("""COMPUTED_VALUE"""),28.86)</f>
        <v>28.86</v>
      </c>
      <c r="C4102" s="2">
        <f>IFERROR(__xludf.DUMMYFUNCTION("""COMPUTED_VALUE"""),28.86)</f>
        <v>28.86</v>
      </c>
      <c r="D4102" s="2">
        <f>IFERROR(__xludf.DUMMYFUNCTION("""COMPUTED_VALUE"""),27.28)</f>
        <v>27.28</v>
      </c>
      <c r="E4102" s="2">
        <f>IFERROR(__xludf.DUMMYFUNCTION("""COMPUTED_VALUE"""),27.94)</f>
        <v>27.94</v>
      </c>
      <c r="F4102" s="2">
        <f>IFERROR(__xludf.DUMMYFUNCTION("""COMPUTED_VALUE"""),7563400.0)</f>
        <v>7563400</v>
      </c>
    </row>
    <row r="4103">
      <c r="A4103" s="3">
        <f>IFERROR(__xludf.DUMMYFUNCTION("""COMPUTED_VALUE"""),35145.666666666664)</f>
        <v>35145.66667</v>
      </c>
      <c r="B4103" s="2">
        <f>IFERROR(__xludf.DUMMYFUNCTION("""COMPUTED_VALUE"""),28.06)</f>
        <v>28.06</v>
      </c>
      <c r="C4103" s="2">
        <f>IFERROR(__xludf.DUMMYFUNCTION("""COMPUTED_VALUE"""),28.15)</f>
        <v>28.15</v>
      </c>
      <c r="D4103" s="2">
        <f>IFERROR(__xludf.DUMMYFUNCTION("""COMPUTED_VALUE"""),27.25)</f>
        <v>27.25</v>
      </c>
      <c r="E4103" s="2">
        <f>IFERROR(__xludf.DUMMYFUNCTION("""COMPUTED_VALUE"""),27.43)</f>
        <v>27.43</v>
      </c>
      <c r="F4103" s="2">
        <f>IFERROR(__xludf.DUMMYFUNCTION("""COMPUTED_VALUE"""),3778400.0)</f>
        <v>3778400</v>
      </c>
    </row>
    <row r="4104">
      <c r="A4104" s="3">
        <f>IFERROR(__xludf.DUMMYFUNCTION("""COMPUTED_VALUE"""),35146.666666666664)</f>
        <v>35146.66667</v>
      </c>
      <c r="B4104" s="2">
        <f>IFERROR(__xludf.DUMMYFUNCTION("""COMPUTED_VALUE"""),27.46)</f>
        <v>27.46</v>
      </c>
      <c r="C4104" s="2">
        <f>IFERROR(__xludf.DUMMYFUNCTION("""COMPUTED_VALUE"""),27.64)</f>
        <v>27.64</v>
      </c>
      <c r="D4104" s="2">
        <f>IFERROR(__xludf.DUMMYFUNCTION("""COMPUTED_VALUE"""),27.22)</f>
        <v>27.22</v>
      </c>
      <c r="E4104" s="2">
        <f>IFERROR(__xludf.DUMMYFUNCTION("""COMPUTED_VALUE"""),27.34)</f>
        <v>27.34</v>
      </c>
      <c r="F4104" s="2">
        <f>IFERROR(__xludf.DUMMYFUNCTION("""COMPUTED_VALUE"""),2235100.0)</f>
        <v>2235100</v>
      </c>
    </row>
    <row r="4105">
      <c r="A4105" s="3">
        <f>IFERROR(__xludf.DUMMYFUNCTION("""COMPUTED_VALUE"""),35149.666666666664)</f>
        <v>35149.66667</v>
      </c>
      <c r="B4105" s="2">
        <f>IFERROR(__xludf.DUMMYFUNCTION("""COMPUTED_VALUE"""),27.43)</f>
        <v>27.43</v>
      </c>
      <c r="C4105" s="2">
        <f>IFERROR(__xludf.DUMMYFUNCTION("""COMPUTED_VALUE"""),27.49)</f>
        <v>27.49</v>
      </c>
      <c r="D4105" s="2">
        <f>IFERROR(__xludf.DUMMYFUNCTION("""COMPUTED_VALUE"""),25.88)</f>
        <v>25.88</v>
      </c>
      <c r="E4105" s="2">
        <f>IFERROR(__xludf.DUMMYFUNCTION("""COMPUTED_VALUE"""),25.94)</f>
        <v>25.94</v>
      </c>
      <c r="F4105" s="2">
        <f>IFERROR(__xludf.DUMMYFUNCTION("""COMPUTED_VALUE"""),4722700.0)</f>
        <v>4722700</v>
      </c>
    </row>
    <row r="4106">
      <c r="A4106" s="3">
        <f>IFERROR(__xludf.DUMMYFUNCTION("""COMPUTED_VALUE"""),35150.666666666664)</f>
        <v>35150.66667</v>
      </c>
      <c r="B4106" s="2">
        <f>IFERROR(__xludf.DUMMYFUNCTION("""COMPUTED_VALUE"""),25.88)</f>
        <v>25.88</v>
      </c>
      <c r="C4106" s="2">
        <f>IFERROR(__xludf.DUMMYFUNCTION("""COMPUTED_VALUE"""),26.74)</f>
        <v>26.74</v>
      </c>
      <c r="D4106" s="2">
        <f>IFERROR(__xludf.DUMMYFUNCTION("""COMPUTED_VALUE"""),25.7)</f>
        <v>25.7</v>
      </c>
      <c r="E4106" s="2">
        <f>IFERROR(__xludf.DUMMYFUNCTION("""COMPUTED_VALUE"""),26.45)</f>
        <v>26.45</v>
      </c>
      <c r="F4106" s="2">
        <f>IFERROR(__xludf.DUMMYFUNCTION("""COMPUTED_VALUE"""),4557900.0)</f>
        <v>4557900</v>
      </c>
    </row>
    <row r="4107">
      <c r="A4107" s="3">
        <f>IFERROR(__xludf.DUMMYFUNCTION("""COMPUTED_VALUE"""),35151.666666666664)</f>
        <v>35151.66667</v>
      </c>
      <c r="B4107" s="2">
        <f>IFERROR(__xludf.DUMMYFUNCTION("""COMPUTED_VALUE"""),26.54)</f>
        <v>26.54</v>
      </c>
      <c r="C4107" s="2">
        <f>IFERROR(__xludf.DUMMYFUNCTION("""COMPUTED_VALUE"""),27.16)</f>
        <v>27.16</v>
      </c>
      <c r="D4107" s="2">
        <f>IFERROR(__xludf.DUMMYFUNCTION("""COMPUTED_VALUE"""),26.33)</f>
        <v>26.33</v>
      </c>
      <c r="E4107" s="2">
        <f>IFERROR(__xludf.DUMMYFUNCTION("""COMPUTED_VALUE"""),26.63)</f>
        <v>26.63</v>
      </c>
      <c r="F4107" s="2">
        <f>IFERROR(__xludf.DUMMYFUNCTION("""COMPUTED_VALUE"""),3613700.0)</f>
        <v>3613700</v>
      </c>
    </row>
    <row r="4108">
      <c r="A4108" s="3">
        <f>IFERROR(__xludf.DUMMYFUNCTION("""COMPUTED_VALUE"""),35152.666666666664)</f>
        <v>35152.66667</v>
      </c>
      <c r="B4108" s="2">
        <f>IFERROR(__xludf.DUMMYFUNCTION("""COMPUTED_VALUE"""),26.71)</f>
        <v>26.71</v>
      </c>
      <c r="C4108" s="2">
        <f>IFERROR(__xludf.DUMMYFUNCTION("""COMPUTED_VALUE"""),26.83)</f>
        <v>26.83</v>
      </c>
      <c r="D4108" s="2">
        <f>IFERROR(__xludf.DUMMYFUNCTION("""COMPUTED_VALUE"""),26.15)</f>
        <v>26.15</v>
      </c>
      <c r="E4108" s="2">
        <f>IFERROR(__xludf.DUMMYFUNCTION("""COMPUTED_VALUE"""),26.21)</f>
        <v>26.21</v>
      </c>
      <c r="F4108" s="2">
        <f>IFERROR(__xludf.DUMMYFUNCTION("""COMPUTED_VALUE"""),3046600.0)</f>
        <v>3046600</v>
      </c>
    </row>
    <row r="4109">
      <c r="A4109" s="3">
        <f>IFERROR(__xludf.DUMMYFUNCTION("""COMPUTED_VALUE"""),35153.666666666664)</f>
        <v>35153.66667</v>
      </c>
      <c r="B4109" s="2">
        <f>IFERROR(__xludf.DUMMYFUNCTION("""COMPUTED_VALUE"""),26.36)</f>
        <v>26.36</v>
      </c>
      <c r="C4109" s="2">
        <f>IFERROR(__xludf.DUMMYFUNCTION("""COMPUTED_VALUE"""),27.16)</f>
        <v>27.16</v>
      </c>
      <c r="D4109" s="2">
        <f>IFERROR(__xludf.DUMMYFUNCTION("""COMPUTED_VALUE"""),26.36)</f>
        <v>26.36</v>
      </c>
      <c r="E4109" s="2">
        <f>IFERROR(__xludf.DUMMYFUNCTION("""COMPUTED_VALUE"""),26.54)</f>
        <v>26.54</v>
      </c>
      <c r="F4109" s="2">
        <f>IFERROR(__xludf.DUMMYFUNCTION("""COMPUTED_VALUE"""),2931100.0)</f>
        <v>2931100</v>
      </c>
    </row>
    <row r="4110">
      <c r="A4110" s="3">
        <f>IFERROR(__xludf.DUMMYFUNCTION("""COMPUTED_VALUE"""),35156.666666666664)</f>
        <v>35156.66667</v>
      </c>
      <c r="B4110" s="2">
        <f>IFERROR(__xludf.DUMMYFUNCTION("""COMPUTED_VALUE"""),26.77)</f>
        <v>26.77</v>
      </c>
      <c r="C4110" s="2">
        <f>IFERROR(__xludf.DUMMYFUNCTION("""COMPUTED_VALUE"""),27.88)</f>
        <v>27.88</v>
      </c>
      <c r="D4110" s="2">
        <f>IFERROR(__xludf.DUMMYFUNCTION("""COMPUTED_VALUE"""),26.3)</f>
        <v>26.3</v>
      </c>
      <c r="E4110" s="2">
        <f>IFERROR(__xludf.DUMMYFUNCTION("""COMPUTED_VALUE"""),26.3)</f>
        <v>26.3</v>
      </c>
      <c r="F4110" s="2">
        <f>IFERROR(__xludf.DUMMYFUNCTION("""COMPUTED_VALUE"""),2273900.0)</f>
        <v>2273900</v>
      </c>
    </row>
    <row r="4111">
      <c r="A4111" s="3">
        <f>IFERROR(__xludf.DUMMYFUNCTION("""COMPUTED_VALUE"""),35157.666666666664)</f>
        <v>35157.66667</v>
      </c>
      <c r="B4111" s="2">
        <f>IFERROR(__xludf.DUMMYFUNCTION("""COMPUTED_VALUE"""),26.51)</f>
        <v>26.51</v>
      </c>
      <c r="C4111" s="2">
        <f>IFERROR(__xludf.DUMMYFUNCTION("""COMPUTED_VALUE"""),28.21)</f>
        <v>28.21</v>
      </c>
      <c r="D4111" s="2">
        <f>IFERROR(__xludf.DUMMYFUNCTION("""COMPUTED_VALUE"""),26.39)</f>
        <v>26.39</v>
      </c>
      <c r="E4111" s="2">
        <f>IFERROR(__xludf.DUMMYFUNCTION("""COMPUTED_VALUE"""),27.82)</f>
        <v>27.82</v>
      </c>
      <c r="F4111" s="2">
        <f>IFERROR(__xludf.DUMMYFUNCTION("""COMPUTED_VALUE"""),4924900.0)</f>
        <v>4924900</v>
      </c>
    </row>
    <row r="4112">
      <c r="A4112" s="3">
        <f>IFERROR(__xludf.DUMMYFUNCTION("""COMPUTED_VALUE"""),35158.666666666664)</f>
        <v>35158.66667</v>
      </c>
      <c r="B4112" s="2">
        <f>IFERROR(__xludf.DUMMYFUNCTION("""COMPUTED_VALUE"""),28.06)</f>
        <v>28.06</v>
      </c>
      <c r="C4112" s="2">
        <f>IFERROR(__xludf.DUMMYFUNCTION("""COMPUTED_VALUE"""),28.77)</f>
        <v>28.77</v>
      </c>
      <c r="D4112" s="2">
        <f>IFERROR(__xludf.DUMMYFUNCTION("""COMPUTED_VALUE"""),27.73)</f>
        <v>27.73</v>
      </c>
      <c r="E4112" s="2">
        <f>IFERROR(__xludf.DUMMYFUNCTION("""COMPUTED_VALUE"""),28.6)</f>
        <v>28.6</v>
      </c>
      <c r="F4112" s="2">
        <f>IFERROR(__xludf.DUMMYFUNCTION("""COMPUTED_VALUE"""),4149900.0)</f>
        <v>4149900</v>
      </c>
    </row>
    <row r="4113">
      <c r="A4113" s="3">
        <f>IFERROR(__xludf.DUMMYFUNCTION("""COMPUTED_VALUE"""),35159.666666666664)</f>
        <v>35159.66667</v>
      </c>
      <c r="B4113" s="2">
        <f>IFERROR(__xludf.DUMMYFUNCTION("""COMPUTED_VALUE"""),28.63)</f>
        <v>28.63</v>
      </c>
      <c r="C4113" s="2">
        <f>IFERROR(__xludf.DUMMYFUNCTION("""COMPUTED_VALUE"""),28.63)</f>
        <v>28.63</v>
      </c>
      <c r="D4113" s="2">
        <f>IFERROR(__xludf.DUMMYFUNCTION("""COMPUTED_VALUE"""),28.0)</f>
        <v>28</v>
      </c>
      <c r="E4113" s="2">
        <f>IFERROR(__xludf.DUMMYFUNCTION("""COMPUTED_VALUE"""),28.18)</f>
        <v>28.18</v>
      </c>
      <c r="F4113" s="2">
        <f>IFERROR(__xludf.DUMMYFUNCTION("""COMPUTED_VALUE"""),2501000.0)</f>
        <v>2501000</v>
      </c>
    </row>
    <row r="4114">
      <c r="A4114" s="3">
        <f>IFERROR(__xludf.DUMMYFUNCTION("""COMPUTED_VALUE"""),35163.666666666664)</f>
        <v>35163.66667</v>
      </c>
      <c r="B4114" s="2">
        <f>IFERROR(__xludf.DUMMYFUNCTION("""COMPUTED_VALUE"""),27.61)</f>
        <v>27.61</v>
      </c>
      <c r="C4114" s="2">
        <f>IFERROR(__xludf.DUMMYFUNCTION("""COMPUTED_VALUE"""),28.51)</f>
        <v>28.51</v>
      </c>
      <c r="D4114" s="2">
        <f>IFERROR(__xludf.DUMMYFUNCTION("""COMPUTED_VALUE"""),27.34)</f>
        <v>27.34</v>
      </c>
      <c r="E4114" s="2">
        <f>IFERROR(__xludf.DUMMYFUNCTION("""COMPUTED_VALUE"""),28.51)</f>
        <v>28.51</v>
      </c>
      <c r="F4114" s="2">
        <f>IFERROR(__xludf.DUMMYFUNCTION("""COMPUTED_VALUE"""),3997700.0)</f>
        <v>3997700</v>
      </c>
    </row>
    <row r="4115">
      <c r="A4115" s="3">
        <f>IFERROR(__xludf.DUMMYFUNCTION("""COMPUTED_VALUE"""),35164.666666666664)</f>
        <v>35164.66667</v>
      </c>
      <c r="B4115" s="2">
        <f>IFERROR(__xludf.DUMMYFUNCTION("""COMPUTED_VALUE"""),28.6)</f>
        <v>28.6</v>
      </c>
      <c r="C4115" s="2">
        <f>IFERROR(__xludf.DUMMYFUNCTION("""COMPUTED_VALUE"""),28.68)</f>
        <v>28.68</v>
      </c>
      <c r="D4115" s="2">
        <f>IFERROR(__xludf.DUMMYFUNCTION("""COMPUTED_VALUE"""),28.06)</f>
        <v>28.06</v>
      </c>
      <c r="E4115" s="2">
        <f>IFERROR(__xludf.DUMMYFUNCTION("""COMPUTED_VALUE"""),28.15)</f>
        <v>28.15</v>
      </c>
      <c r="F4115" s="2">
        <f>IFERROR(__xludf.DUMMYFUNCTION("""COMPUTED_VALUE"""),1964600.0)</f>
        <v>1964600</v>
      </c>
    </row>
    <row r="4116">
      <c r="A4116" s="3">
        <f>IFERROR(__xludf.DUMMYFUNCTION("""COMPUTED_VALUE"""),35165.666666666664)</f>
        <v>35165.66667</v>
      </c>
      <c r="B4116" s="2">
        <f>IFERROR(__xludf.DUMMYFUNCTION("""COMPUTED_VALUE"""),28.12)</f>
        <v>28.12</v>
      </c>
      <c r="C4116" s="2">
        <f>IFERROR(__xludf.DUMMYFUNCTION("""COMPUTED_VALUE"""),28.86)</f>
        <v>28.86</v>
      </c>
      <c r="D4116" s="2">
        <f>IFERROR(__xludf.DUMMYFUNCTION("""COMPUTED_VALUE"""),27.49)</f>
        <v>27.49</v>
      </c>
      <c r="E4116" s="2">
        <f>IFERROR(__xludf.DUMMYFUNCTION("""COMPUTED_VALUE"""),27.7)</f>
        <v>27.7</v>
      </c>
      <c r="F4116" s="2">
        <f>IFERROR(__xludf.DUMMYFUNCTION("""COMPUTED_VALUE"""),3188100.0)</f>
        <v>3188100</v>
      </c>
    </row>
    <row r="4117">
      <c r="A4117" s="3">
        <f>IFERROR(__xludf.DUMMYFUNCTION("""COMPUTED_VALUE"""),35166.666666666664)</f>
        <v>35166.66667</v>
      </c>
      <c r="B4117" s="2">
        <f>IFERROR(__xludf.DUMMYFUNCTION("""COMPUTED_VALUE"""),27.79)</f>
        <v>27.79</v>
      </c>
      <c r="C4117" s="2">
        <f>IFERROR(__xludf.DUMMYFUNCTION("""COMPUTED_VALUE"""),28.27)</f>
        <v>28.27</v>
      </c>
      <c r="D4117" s="2">
        <f>IFERROR(__xludf.DUMMYFUNCTION("""COMPUTED_VALUE"""),27.79)</f>
        <v>27.79</v>
      </c>
      <c r="E4117" s="2">
        <f>IFERROR(__xludf.DUMMYFUNCTION("""COMPUTED_VALUE"""),28.06)</f>
        <v>28.06</v>
      </c>
      <c r="F4117" s="2">
        <f>IFERROR(__xludf.DUMMYFUNCTION("""COMPUTED_VALUE"""),3769800.0)</f>
        <v>3769800</v>
      </c>
    </row>
    <row r="4118">
      <c r="A4118" s="3">
        <f>IFERROR(__xludf.DUMMYFUNCTION("""COMPUTED_VALUE"""),35167.666666666664)</f>
        <v>35167.66667</v>
      </c>
      <c r="B4118" s="2">
        <f>IFERROR(__xludf.DUMMYFUNCTION("""COMPUTED_VALUE"""),27.52)</f>
        <v>27.52</v>
      </c>
      <c r="C4118" s="2">
        <f>IFERROR(__xludf.DUMMYFUNCTION("""COMPUTED_VALUE"""),27.61)</f>
        <v>27.61</v>
      </c>
      <c r="D4118" s="2">
        <f>IFERROR(__xludf.DUMMYFUNCTION("""COMPUTED_VALUE"""),26.3)</f>
        <v>26.3</v>
      </c>
      <c r="E4118" s="2">
        <f>IFERROR(__xludf.DUMMYFUNCTION("""COMPUTED_VALUE"""),26.63)</f>
        <v>26.63</v>
      </c>
      <c r="F4118" s="2">
        <f>IFERROR(__xludf.DUMMYFUNCTION("""COMPUTED_VALUE"""),7761200.0)</f>
        <v>7761200</v>
      </c>
    </row>
    <row r="4119">
      <c r="A4119" s="3">
        <f>IFERROR(__xludf.DUMMYFUNCTION("""COMPUTED_VALUE"""),35170.666666666664)</f>
        <v>35170.66667</v>
      </c>
      <c r="B4119" s="2">
        <f>IFERROR(__xludf.DUMMYFUNCTION("""COMPUTED_VALUE"""),26.89)</f>
        <v>26.89</v>
      </c>
      <c r="C4119" s="2">
        <f>IFERROR(__xludf.DUMMYFUNCTION("""COMPUTED_VALUE"""),27.34)</f>
        <v>27.34</v>
      </c>
      <c r="D4119" s="2">
        <f>IFERROR(__xludf.DUMMYFUNCTION("""COMPUTED_VALUE"""),26.6)</f>
        <v>26.6</v>
      </c>
      <c r="E4119" s="2">
        <f>IFERROR(__xludf.DUMMYFUNCTION("""COMPUTED_VALUE"""),27.25)</f>
        <v>27.25</v>
      </c>
      <c r="F4119" s="2">
        <f>IFERROR(__xludf.DUMMYFUNCTION("""COMPUTED_VALUE"""),2294400.0)</f>
        <v>2294400</v>
      </c>
    </row>
    <row r="4120">
      <c r="A4120" s="3">
        <f>IFERROR(__xludf.DUMMYFUNCTION("""COMPUTED_VALUE"""),35171.666666666664)</f>
        <v>35171.66667</v>
      </c>
      <c r="B4120" s="2">
        <f>IFERROR(__xludf.DUMMYFUNCTION("""COMPUTED_VALUE"""),27.49)</f>
        <v>27.49</v>
      </c>
      <c r="C4120" s="2">
        <f>IFERROR(__xludf.DUMMYFUNCTION("""COMPUTED_VALUE"""),27.79)</f>
        <v>27.79</v>
      </c>
      <c r="D4120" s="2">
        <f>IFERROR(__xludf.DUMMYFUNCTION("""COMPUTED_VALUE"""),27.37)</f>
        <v>27.37</v>
      </c>
      <c r="E4120" s="2">
        <f>IFERROR(__xludf.DUMMYFUNCTION("""COMPUTED_VALUE"""),27.58)</f>
        <v>27.58</v>
      </c>
      <c r="F4120" s="2">
        <f>IFERROR(__xludf.DUMMYFUNCTION("""COMPUTED_VALUE"""),2438500.0)</f>
        <v>2438500</v>
      </c>
    </row>
    <row r="4121">
      <c r="A4121" s="3">
        <f>IFERROR(__xludf.DUMMYFUNCTION("""COMPUTED_VALUE"""),35172.666666666664)</f>
        <v>35172.66667</v>
      </c>
      <c r="B4121" s="2">
        <f>IFERROR(__xludf.DUMMYFUNCTION("""COMPUTED_VALUE"""),27.88)</f>
        <v>27.88</v>
      </c>
      <c r="C4121" s="2">
        <f>IFERROR(__xludf.DUMMYFUNCTION("""COMPUTED_VALUE"""),28.68)</f>
        <v>28.68</v>
      </c>
      <c r="D4121" s="2">
        <f>IFERROR(__xludf.DUMMYFUNCTION("""COMPUTED_VALUE"""),24.69)</f>
        <v>24.69</v>
      </c>
      <c r="E4121" s="2">
        <f>IFERROR(__xludf.DUMMYFUNCTION("""COMPUTED_VALUE"""),25.13)</f>
        <v>25.13</v>
      </c>
      <c r="F4121" s="2">
        <f>IFERROR(__xludf.DUMMYFUNCTION("""COMPUTED_VALUE"""),1.62981E7)</f>
        <v>16298100</v>
      </c>
    </row>
    <row r="4122">
      <c r="A4122" s="3">
        <f>IFERROR(__xludf.DUMMYFUNCTION("""COMPUTED_VALUE"""),35173.666666666664)</f>
        <v>35173.66667</v>
      </c>
      <c r="B4122" s="2">
        <f>IFERROR(__xludf.DUMMYFUNCTION("""COMPUTED_VALUE"""),25.22)</f>
        <v>25.22</v>
      </c>
      <c r="C4122" s="2">
        <f>IFERROR(__xludf.DUMMYFUNCTION("""COMPUTED_VALUE"""),25.61)</f>
        <v>25.61</v>
      </c>
      <c r="D4122" s="2">
        <f>IFERROR(__xludf.DUMMYFUNCTION("""COMPUTED_VALUE"""),24.74)</f>
        <v>24.74</v>
      </c>
      <c r="E4122" s="2">
        <f>IFERROR(__xludf.DUMMYFUNCTION("""COMPUTED_VALUE"""),25.19)</f>
        <v>25.19</v>
      </c>
      <c r="F4122" s="2">
        <f>IFERROR(__xludf.DUMMYFUNCTION("""COMPUTED_VALUE"""),1.0378E7)</f>
        <v>10378000</v>
      </c>
    </row>
    <row r="4123">
      <c r="A4123" s="3">
        <f>IFERROR(__xludf.DUMMYFUNCTION("""COMPUTED_VALUE"""),35174.666666666664)</f>
        <v>35174.66667</v>
      </c>
      <c r="B4123" s="2">
        <f>IFERROR(__xludf.DUMMYFUNCTION("""COMPUTED_VALUE"""),25.25)</f>
        <v>25.25</v>
      </c>
      <c r="C4123" s="2">
        <f>IFERROR(__xludf.DUMMYFUNCTION("""COMPUTED_VALUE"""),25.58)</f>
        <v>25.58</v>
      </c>
      <c r="D4123" s="2">
        <f>IFERROR(__xludf.DUMMYFUNCTION("""COMPUTED_VALUE"""),24.98)</f>
        <v>24.98</v>
      </c>
      <c r="E4123" s="2">
        <f>IFERROR(__xludf.DUMMYFUNCTION("""COMPUTED_VALUE"""),25.16)</f>
        <v>25.16</v>
      </c>
      <c r="F4123" s="2">
        <f>IFERROR(__xludf.DUMMYFUNCTION("""COMPUTED_VALUE"""),4895800.0)</f>
        <v>4895800</v>
      </c>
    </row>
    <row r="4124">
      <c r="A4124" s="3">
        <f>IFERROR(__xludf.DUMMYFUNCTION("""COMPUTED_VALUE"""),35177.666666666664)</f>
        <v>35177.66667</v>
      </c>
      <c r="B4124" s="2">
        <f>IFERROR(__xludf.DUMMYFUNCTION("""COMPUTED_VALUE"""),25.52)</f>
        <v>25.52</v>
      </c>
      <c r="C4124" s="2">
        <f>IFERROR(__xludf.DUMMYFUNCTION("""COMPUTED_VALUE"""),25.7)</f>
        <v>25.7</v>
      </c>
      <c r="D4124" s="2">
        <f>IFERROR(__xludf.DUMMYFUNCTION("""COMPUTED_VALUE"""),25.22)</f>
        <v>25.22</v>
      </c>
      <c r="E4124" s="2">
        <f>IFERROR(__xludf.DUMMYFUNCTION("""COMPUTED_VALUE"""),25.61)</f>
        <v>25.61</v>
      </c>
      <c r="F4124" s="2">
        <f>IFERROR(__xludf.DUMMYFUNCTION("""COMPUTED_VALUE"""),3313800.0)</f>
        <v>3313800</v>
      </c>
    </row>
    <row r="4125">
      <c r="A4125" s="3">
        <f>IFERROR(__xludf.DUMMYFUNCTION("""COMPUTED_VALUE"""),35178.666666666664)</f>
        <v>35178.66667</v>
      </c>
      <c r="B4125" s="2">
        <f>IFERROR(__xludf.DUMMYFUNCTION("""COMPUTED_VALUE"""),25.67)</f>
        <v>25.67</v>
      </c>
      <c r="C4125" s="2">
        <f>IFERROR(__xludf.DUMMYFUNCTION("""COMPUTED_VALUE"""),25.73)</f>
        <v>25.73</v>
      </c>
      <c r="D4125" s="2">
        <f>IFERROR(__xludf.DUMMYFUNCTION("""COMPUTED_VALUE"""),25.49)</f>
        <v>25.49</v>
      </c>
      <c r="E4125" s="2">
        <f>IFERROR(__xludf.DUMMYFUNCTION("""COMPUTED_VALUE"""),25.55)</f>
        <v>25.55</v>
      </c>
      <c r="F4125" s="2">
        <f>IFERROR(__xludf.DUMMYFUNCTION("""COMPUTED_VALUE"""),2458700.0)</f>
        <v>2458700</v>
      </c>
    </row>
    <row r="4126">
      <c r="A4126" s="3">
        <f>IFERROR(__xludf.DUMMYFUNCTION("""COMPUTED_VALUE"""),35179.666666666664)</f>
        <v>35179.66667</v>
      </c>
      <c r="B4126" s="2">
        <f>IFERROR(__xludf.DUMMYFUNCTION("""COMPUTED_VALUE"""),25.7)</f>
        <v>25.7</v>
      </c>
      <c r="C4126" s="2">
        <f>IFERROR(__xludf.DUMMYFUNCTION("""COMPUTED_VALUE"""),25.7)</f>
        <v>25.7</v>
      </c>
      <c r="D4126" s="2">
        <f>IFERROR(__xludf.DUMMYFUNCTION("""COMPUTED_VALUE"""),25.22)</f>
        <v>25.22</v>
      </c>
      <c r="E4126" s="2">
        <f>IFERROR(__xludf.DUMMYFUNCTION("""COMPUTED_VALUE"""),25.49)</f>
        <v>25.49</v>
      </c>
      <c r="F4126" s="2">
        <f>IFERROR(__xludf.DUMMYFUNCTION("""COMPUTED_VALUE"""),3027300.0)</f>
        <v>3027300</v>
      </c>
    </row>
    <row r="4127">
      <c r="A4127" s="3">
        <f>IFERROR(__xludf.DUMMYFUNCTION("""COMPUTED_VALUE"""),35180.666666666664)</f>
        <v>35180.66667</v>
      </c>
      <c r="B4127" s="2">
        <f>IFERROR(__xludf.DUMMYFUNCTION("""COMPUTED_VALUE"""),25.55)</f>
        <v>25.55</v>
      </c>
      <c r="C4127" s="2">
        <f>IFERROR(__xludf.DUMMYFUNCTION("""COMPUTED_VALUE"""),25.91)</f>
        <v>25.91</v>
      </c>
      <c r="D4127" s="2">
        <f>IFERROR(__xludf.DUMMYFUNCTION("""COMPUTED_VALUE"""),25.46)</f>
        <v>25.46</v>
      </c>
      <c r="E4127" s="2">
        <f>IFERROR(__xludf.DUMMYFUNCTION("""COMPUTED_VALUE"""),25.85)</f>
        <v>25.85</v>
      </c>
      <c r="F4127" s="2">
        <f>IFERROR(__xludf.DUMMYFUNCTION("""COMPUTED_VALUE"""),4485500.0)</f>
        <v>4485500</v>
      </c>
    </row>
    <row r="4128">
      <c r="A4128" s="3">
        <f>IFERROR(__xludf.DUMMYFUNCTION("""COMPUTED_VALUE"""),35181.666666666664)</f>
        <v>35181.66667</v>
      </c>
      <c r="B4128" s="2">
        <f>IFERROR(__xludf.DUMMYFUNCTION("""COMPUTED_VALUE"""),25.91)</f>
        <v>25.91</v>
      </c>
      <c r="C4128" s="2">
        <f>IFERROR(__xludf.DUMMYFUNCTION("""COMPUTED_VALUE"""),26.0)</f>
        <v>26</v>
      </c>
      <c r="D4128" s="2">
        <f>IFERROR(__xludf.DUMMYFUNCTION("""COMPUTED_VALUE"""),25.7)</f>
        <v>25.7</v>
      </c>
      <c r="E4128" s="2">
        <f>IFERROR(__xludf.DUMMYFUNCTION("""COMPUTED_VALUE"""),25.73)</f>
        <v>25.73</v>
      </c>
      <c r="F4128" s="2">
        <f>IFERROR(__xludf.DUMMYFUNCTION("""COMPUTED_VALUE"""),2281800.0)</f>
        <v>2281800</v>
      </c>
    </row>
    <row r="4129">
      <c r="A4129" s="3">
        <f>IFERROR(__xludf.DUMMYFUNCTION("""COMPUTED_VALUE"""),35184.666666666664)</f>
        <v>35184.66667</v>
      </c>
      <c r="B4129" s="2">
        <f>IFERROR(__xludf.DUMMYFUNCTION("""COMPUTED_VALUE"""),25.73)</f>
        <v>25.73</v>
      </c>
      <c r="C4129" s="2">
        <f>IFERROR(__xludf.DUMMYFUNCTION("""COMPUTED_VALUE"""),25.97)</f>
        <v>25.97</v>
      </c>
      <c r="D4129" s="2">
        <f>IFERROR(__xludf.DUMMYFUNCTION("""COMPUTED_VALUE"""),25.64)</f>
        <v>25.64</v>
      </c>
      <c r="E4129" s="2">
        <f>IFERROR(__xludf.DUMMYFUNCTION("""COMPUTED_VALUE"""),25.94)</f>
        <v>25.94</v>
      </c>
      <c r="F4129" s="2">
        <f>IFERROR(__xludf.DUMMYFUNCTION("""COMPUTED_VALUE"""),2687400.0)</f>
        <v>2687400</v>
      </c>
    </row>
    <row r="4130">
      <c r="A4130" s="3">
        <f>IFERROR(__xludf.DUMMYFUNCTION("""COMPUTED_VALUE"""),35185.666666666664)</f>
        <v>35185.66667</v>
      </c>
      <c r="B4130" s="2">
        <f>IFERROR(__xludf.DUMMYFUNCTION("""COMPUTED_VALUE"""),26.27)</f>
        <v>26.27</v>
      </c>
      <c r="C4130" s="2">
        <f>IFERROR(__xludf.DUMMYFUNCTION("""COMPUTED_VALUE"""),26.33)</f>
        <v>26.33</v>
      </c>
      <c r="D4130" s="2">
        <f>IFERROR(__xludf.DUMMYFUNCTION("""COMPUTED_VALUE"""),25.67)</f>
        <v>25.67</v>
      </c>
      <c r="E4130" s="2">
        <f>IFERROR(__xludf.DUMMYFUNCTION("""COMPUTED_VALUE"""),25.73)</f>
        <v>25.73</v>
      </c>
      <c r="F4130" s="2">
        <f>IFERROR(__xludf.DUMMYFUNCTION("""COMPUTED_VALUE"""),2664000.0)</f>
        <v>2664000</v>
      </c>
    </row>
    <row r="4131">
      <c r="A4131" s="3">
        <f>IFERROR(__xludf.DUMMYFUNCTION("""COMPUTED_VALUE"""),35186.666666666664)</f>
        <v>35186.66667</v>
      </c>
      <c r="B4131" s="2">
        <f>IFERROR(__xludf.DUMMYFUNCTION("""COMPUTED_VALUE"""),25.73)</f>
        <v>25.73</v>
      </c>
      <c r="C4131" s="2">
        <f>IFERROR(__xludf.DUMMYFUNCTION("""COMPUTED_VALUE"""),25.91)</f>
        <v>25.91</v>
      </c>
      <c r="D4131" s="2">
        <f>IFERROR(__xludf.DUMMYFUNCTION("""COMPUTED_VALUE"""),25.7)</f>
        <v>25.7</v>
      </c>
      <c r="E4131" s="2">
        <f>IFERROR(__xludf.DUMMYFUNCTION("""COMPUTED_VALUE"""),25.76)</f>
        <v>25.76</v>
      </c>
      <c r="F4131" s="2">
        <f>IFERROR(__xludf.DUMMYFUNCTION("""COMPUTED_VALUE"""),2097600.0)</f>
        <v>2097600</v>
      </c>
    </row>
    <row r="4132">
      <c r="A4132" s="3">
        <f>IFERROR(__xludf.DUMMYFUNCTION("""COMPUTED_VALUE"""),35187.666666666664)</f>
        <v>35187.66667</v>
      </c>
      <c r="B4132" s="2">
        <f>IFERROR(__xludf.DUMMYFUNCTION("""COMPUTED_VALUE"""),25.79)</f>
        <v>25.79</v>
      </c>
      <c r="C4132" s="2">
        <f>IFERROR(__xludf.DUMMYFUNCTION("""COMPUTED_VALUE"""),26.12)</f>
        <v>26.12</v>
      </c>
      <c r="D4132" s="2">
        <f>IFERROR(__xludf.DUMMYFUNCTION("""COMPUTED_VALUE"""),25.64)</f>
        <v>25.64</v>
      </c>
      <c r="E4132" s="2">
        <f>IFERROR(__xludf.DUMMYFUNCTION("""COMPUTED_VALUE"""),25.76)</f>
        <v>25.76</v>
      </c>
      <c r="F4132" s="2">
        <f>IFERROR(__xludf.DUMMYFUNCTION("""COMPUTED_VALUE"""),3523500.0)</f>
        <v>3523500</v>
      </c>
    </row>
    <row r="4133">
      <c r="A4133" s="3">
        <f>IFERROR(__xludf.DUMMYFUNCTION("""COMPUTED_VALUE"""),35188.666666666664)</f>
        <v>35188.66667</v>
      </c>
      <c r="B4133" s="2">
        <f>IFERROR(__xludf.DUMMYFUNCTION("""COMPUTED_VALUE"""),25.85)</f>
        <v>25.85</v>
      </c>
      <c r="C4133" s="2">
        <f>IFERROR(__xludf.DUMMYFUNCTION("""COMPUTED_VALUE"""),26.03)</f>
        <v>26.03</v>
      </c>
      <c r="D4133" s="2">
        <f>IFERROR(__xludf.DUMMYFUNCTION("""COMPUTED_VALUE"""),25.73)</f>
        <v>25.73</v>
      </c>
      <c r="E4133" s="2">
        <f>IFERROR(__xludf.DUMMYFUNCTION("""COMPUTED_VALUE"""),25.82)</f>
        <v>25.82</v>
      </c>
      <c r="F4133" s="2">
        <f>IFERROR(__xludf.DUMMYFUNCTION("""COMPUTED_VALUE"""),2003700.0)</f>
        <v>2003700</v>
      </c>
    </row>
    <row r="4134">
      <c r="A4134" s="3">
        <f>IFERROR(__xludf.DUMMYFUNCTION("""COMPUTED_VALUE"""),35191.666666666664)</f>
        <v>35191.66667</v>
      </c>
      <c r="B4134" s="2">
        <f>IFERROR(__xludf.DUMMYFUNCTION("""COMPUTED_VALUE"""),25.91)</f>
        <v>25.91</v>
      </c>
      <c r="C4134" s="2">
        <f>IFERROR(__xludf.DUMMYFUNCTION("""COMPUTED_VALUE"""),25.91)</f>
        <v>25.91</v>
      </c>
      <c r="D4134" s="2">
        <f>IFERROR(__xludf.DUMMYFUNCTION("""COMPUTED_VALUE"""),25.4)</f>
        <v>25.4</v>
      </c>
      <c r="E4134" s="2">
        <f>IFERROR(__xludf.DUMMYFUNCTION("""COMPUTED_VALUE"""),25.55)</f>
        <v>25.55</v>
      </c>
      <c r="F4134" s="2">
        <f>IFERROR(__xludf.DUMMYFUNCTION("""COMPUTED_VALUE"""),2911100.0)</f>
        <v>2911100</v>
      </c>
    </row>
    <row r="4135">
      <c r="A4135" s="3">
        <f>IFERROR(__xludf.DUMMYFUNCTION("""COMPUTED_VALUE"""),35192.666666666664)</f>
        <v>35192.66667</v>
      </c>
      <c r="B4135" s="2">
        <f>IFERROR(__xludf.DUMMYFUNCTION("""COMPUTED_VALUE"""),25.55)</f>
        <v>25.55</v>
      </c>
      <c r="C4135" s="2">
        <f>IFERROR(__xludf.DUMMYFUNCTION("""COMPUTED_VALUE"""),25.61)</f>
        <v>25.61</v>
      </c>
      <c r="D4135" s="2">
        <f>IFERROR(__xludf.DUMMYFUNCTION("""COMPUTED_VALUE"""),25.13)</f>
        <v>25.13</v>
      </c>
      <c r="E4135" s="2">
        <f>IFERROR(__xludf.DUMMYFUNCTION("""COMPUTED_VALUE"""),25.28)</f>
        <v>25.28</v>
      </c>
      <c r="F4135" s="2">
        <f>IFERROR(__xludf.DUMMYFUNCTION("""COMPUTED_VALUE"""),2379700.0)</f>
        <v>2379700</v>
      </c>
    </row>
    <row r="4136">
      <c r="A4136" s="3">
        <f>IFERROR(__xludf.DUMMYFUNCTION("""COMPUTED_VALUE"""),35193.666666666664)</f>
        <v>35193.66667</v>
      </c>
      <c r="B4136" s="2">
        <f>IFERROR(__xludf.DUMMYFUNCTION("""COMPUTED_VALUE"""),25.07)</f>
        <v>25.07</v>
      </c>
      <c r="C4136" s="2">
        <f>IFERROR(__xludf.DUMMYFUNCTION("""COMPUTED_VALUE"""),25.31)</f>
        <v>25.31</v>
      </c>
      <c r="D4136" s="2">
        <f>IFERROR(__xludf.DUMMYFUNCTION("""COMPUTED_VALUE"""),24.74)</f>
        <v>24.74</v>
      </c>
      <c r="E4136" s="2">
        <f>IFERROR(__xludf.DUMMYFUNCTION("""COMPUTED_VALUE"""),25.25)</f>
        <v>25.25</v>
      </c>
      <c r="F4136" s="2">
        <f>IFERROR(__xludf.DUMMYFUNCTION("""COMPUTED_VALUE"""),3598900.0)</f>
        <v>3598900</v>
      </c>
    </row>
    <row r="4137">
      <c r="A4137" s="3">
        <f>IFERROR(__xludf.DUMMYFUNCTION("""COMPUTED_VALUE"""),35194.666666666664)</f>
        <v>35194.66667</v>
      </c>
      <c r="B4137" s="2">
        <f>IFERROR(__xludf.DUMMYFUNCTION("""COMPUTED_VALUE"""),25.25)</f>
        <v>25.25</v>
      </c>
      <c r="C4137" s="2">
        <f>IFERROR(__xludf.DUMMYFUNCTION("""COMPUTED_VALUE"""),25.67)</f>
        <v>25.67</v>
      </c>
      <c r="D4137" s="2">
        <f>IFERROR(__xludf.DUMMYFUNCTION("""COMPUTED_VALUE"""),25.25)</f>
        <v>25.25</v>
      </c>
      <c r="E4137" s="2">
        <f>IFERROR(__xludf.DUMMYFUNCTION("""COMPUTED_VALUE"""),25.55)</f>
        <v>25.55</v>
      </c>
      <c r="F4137" s="2">
        <f>IFERROR(__xludf.DUMMYFUNCTION("""COMPUTED_VALUE"""),2382100.0)</f>
        <v>2382100</v>
      </c>
    </row>
    <row r="4138">
      <c r="A4138" s="3">
        <f>IFERROR(__xludf.DUMMYFUNCTION("""COMPUTED_VALUE"""),35195.666666666664)</f>
        <v>35195.66667</v>
      </c>
      <c r="B4138" s="2">
        <f>IFERROR(__xludf.DUMMYFUNCTION("""COMPUTED_VALUE"""),25.64)</f>
        <v>25.64</v>
      </c>
      <c r="C4138" s="2">
        <f>IFERROR(__xludf.DUMMYFUNCTION("""COMPUTED_VALUE"""),25.88)</f>
        <v>25.88</v>
      </c>
      <c r="D4138" s="2">
        <f>IFERROR(__xludf.DUMMYFUNCTION("""COMPUTED_VALUE"""),25.34)</f>
        <v>25.34</v>
      </c>
      <c r="E4138" s="2">
        <f>IFERROR(__xludf.DUMMYFUNCTION("""COMPUTED_VALUE"""),25.4)</f>
        <v>25.4</v>
      </c>
      <c r="F4138" s="2">
        <f>IFERROR(__xludf.DUMMYFUNCTION("""COMPUTED_VALUE"""),2088900.0)</f>
        <v>2088900</v>
      </c>
    </row>
    <row r="4139">
      <c r="A4139" s="3">
        <f>IFERROR(__xludf.DUMMYFUNCTION("""COMPUTED_VALUE"""),35198.666666666664)</f>
        <v>35198.66667</v>
      </c>
      <c r="B4139" s="2">
        <f>IFERROR(__xludf.DUMMYFUNCTION("""COMPUTED_VALUE"""),25.4)</f>
        <v>25.4</v>
      </c>
      <c r="C4139" s="2">
        <f>IFERROR(__xludf.DUMMYFUNCTION("""COMPUTED_VALUE"""),25.91)</f>
        <v>25.91</v>
      </c>
      <c r="D4139" s="2">
        <f>IFERROR(__xludf.DUMMYFUNCTION("""COMPUTED_VALUE"""),25.28)</f>
        <v>25.28</v>
      </c>
      <c r="E4139" s="2">
        <f>IFERROR(__xludf.DUMMYFUNCTION("""COMPUTED_VALUE"""),25.67)</f>
        <v>25.67</v>
      </c>
      <c r="F4139" s="2">
        <f>IFERROR(__xludf.DUMMYFUNCTION("""COMPUTED_VALUE"""),2292500.0)</f>
        <v>2292500</v>
      </c>
    </row>
    <row r="4140">
      <c r="A4140" s="3">
        <f>IFERROR(__xludf.DUMMYFUNCTION("""COMPUTED_VALUE"""),35199.666666666664)</f>
        <v>35199.66667</v>
      </c>
      <c r="B4140" s="2">
        <f>IFERROR(__xludf.DUMMYFUNCTION("""COMPUTED_VALUE"""),25.85)</f>
        <v>25.85</v>
      </c>
      <c r="C4140" s="2">
        <f>IFERROR(__xludf.DUMMYFUNCTION("""COMPUTED_VALUE"""),26.0)</f>
        <v>26</v>
      </c>
      <c r="D4140" s="2">
        <f>IFERROR(__xludf.DUMMYFUNCTION("""COMPUTED_VALUE"""),25.67)</f>
        <v>25.67</v>
      </c>
      <c r="E4140" s="2">
        <f>IFERROR(__xludf.DUMMYFUNCTION("""COMPUTED_VALUE"""),25.91)</f>
        <v>25.91</v>
      </c>
      <c r="F4140" s="2">
        <f>IFERROR(__xludf.DUMMYFUNCTION("""COMPUTED_VALUE"""),3113500.0)</f>
        <v>3113500</v>
      </c>
    </row>
    <row r="4141">
      <c r="A4141" s="3">
        <f>IFERROR(__xludf.DUMMYFUNCTION("""COMPUTED_VALUE"""),35200.666666666664)</f>
        <v>35200.66667</v>
      </c>
      <c r="B4141" s="2">
        <f>IFERROR(__xludf.DUMMYFUNCTION("""COMPUTED_VALUE"""),26.03)</f>
        <v>26.03</v>
      </c>
      <c r="C4141" s="2">
        <f>IFERROR(__xludf.DUMMYFUNCTION("""COMPUTED_VALUE"""),26.24)</f>
        <v>26.24</v>
      </c>
      <c r="D4141" s="2">
        <f>IFERROR(__xludf.DUMMYFUNCTION("""COMPUTED_VALUE"""),25.91)</f>
        <v>25.91</v>
      </c>
      <c r="E4141" s="2">
        <f>IFERROR(__xludf.DUMMYFUNCTION("""COMPUTED_VALUE"""),26.03)</f>
        <v>26.03</v>
      </c>
      <c r="F4141" s="2">
        <f>IFERROR(__xludf.DUMMYFUNCTION("""COMPUTED_VALUE"""),2739500.0)</f>
        <v>2739500</v>
      </c>
    </row>
    <row r="4142">
      <c r="A4142" s="3">
        <f>IFERROR(__xludf.DUMMYFUNCTION("""COMPUTED_VALUE"""),35201.666666666664)</f>
        <v>35201.66667</v>
      </c>
      <c r="B4142" s="2">
        <f>IFERROR(__xludf.DUMMYFUNCTION("""COMPUTED_VALUE"""),25.79)</f>
        <v>25.79</v>
      </c>
      <c r="C4142" s="2">
        <f>IFERROR(__xludf.DUMMYFUNCTION("""COMPUTED_VALUE"""),26.09)</f>
        <v>26.09</v>
      </c>
      <c r="D4142" s="2">
        <f>IFERROR(__xludf.DUMMYFUNCTION("""COMPUTED_VALUE"""),25.7)</f>
        <v>25.7</v>
      </c>
      <c r="E4142" s="2">
        <f>IFERROR(__xludf.DUMMYFUNCTION("""COMPUTED_VALUE"""),25.94)</f>
        <v>25.94</v>
      </c>
      <c r="F4142" s="2">
        <f>IFERROR(__xludf.DUMMYFUNCTION("""COMPUTED_VALUE"""),2716800.0)</f>
        <v>2716800</v>
      </c>
    </row>
    <row r="4143">
      <c r="A4143" s="3">
        <f>IFERROR(__xludf.DUMMYFUNCTION("""COMPUTED_VALUE"""),35202.666666666664)</f>
        <v>35202.66667</v>
      </c>
      <c r="B4143" s="2">
        <f>IFERROR(__xludf.DUMMYFUNCTION("""COMPUTED_VALUE"""),26.03)</f>
        <v>26.03</v>
      </c>
      <c r="C4143" s="2">
        <f>IFERROR(__xludf.DUMMYFUNCTION("""COMPUTED_VALUE"""),26.66)</f>
        <v>26.66</v>
      </c>
      <c r="D4143" s="2">
        <f>IFERROR(__xludf.DUMMYFUNCTION("""COMPUTED_VALUE"""),26.03)</f>
        <v>26.03</v>
      </c>
      <c r="E4143" s="2">
        <f>IFERROR(__xludf.DUMMYFUNCTION("""COMPUTED_VALUE"""),26.51)</f>
        <v>26.51</v>
      </c>
      <c r="F4143" s="2">
        <f>IFERROR(__xludf.DUMMYFUNCTION("""COMPUTED_VALUE"""),3851300.0)</f>
        <v>3851300</v>
      </c>
    </row>
    <row r="4144">
      <c r="A4144" s="3">
        <f>IFERROR(__xludf.DUMMYFUNCTION("""COMPUTED_VALUE"""),35205.666666666664)</f>
        <v>35205.66667</v>
      </c>
      <c r="B4144" s="2">
        <f>IFERROR(__xludf.DUMMYFUNCTION("""COMPUTED_VALUE"""),26.74)</f>
        <v>26.74</v>
      </c>
      <c r="C4144" s="2">
        <f>IFERROR(__xludf.DUMMYFUNCTION("""COMPUTED_VALUE"""),26.86)</f>
        <v>26.86</v>
      </c>
      <c r="D4144" s="2">
        <f>IFERROR(__xludf.DUMMYFUNCTION("""COMPUTED_VALUE"""),26.51)</f>
        <v>26.51</v>
      </c>
      <c r="E4144" s="2">
        <f>IFERROR(__xludf.DUMMYFUNCTION("""COMPUTED_VALUE"""),26.71)</f>
        <v>26.71</v>
      </c>
      <c r="F4144" s="2">
        <f>IFERROR(__xludf.DUMMYFUNCTION("""COMPUTED_VALUE"""),2408900.0)</f>
        <v>2408900</v>
      </c>
    </row>
    <row r="4145">
      <c r="A4145" s="3">
        <f>IFERROR(__xludf.DUMMYFUNCTION("""COMPUTED_VALUE"""),35206.666666666664)</f>
        <v>35206.66667</v>
      </c>
      <c r="B4145" s="2">
        <f>IFERROR(__xludf.DUMMYFUNCTION("""COMPUTED_VALUE"""),26.71)</f>
        <v>26.71</v>
      </c>
      <c r="C4145" s="2">
        <f>IFERROR(__xludf.DUMMYFUNCTION("""COMPUTED_VALUE"""),26.77)</f>
        <v>26.77</v>
      </c>
      <c r="D4145" s="2">
        <f>IFERROR(__xludf.DUMMYFUNCTION("""COMPUTED_VALUE"""),26.45)</f>
        <v>26.45</v>
      </c>
      <c r="E4145" s="2">
        <f>IFERROR(__xludf.DUMMYFUNCTION("""COMPUTED_VALUE"""),26.51)</f>
        <v>26.51</v>
      </c>
      <c r="F4145" s="2">
        <f>IFERROR(__xludf.DUMMYFUNCTION("""COMPUTED_VALUE"""),2151900.0)</f>
        <v>2151900</v>
      </c>
    </row>
    <row r="4146">
      <c r="A4146" s="3">
        <f>IFERROR(__xludf.DUMMYFUNCTION("""COMPUTED_VALUE"""),35207.666666666664)</f>
        <v>35207.66667</v>
      </c>
      <c r="B4146" s="2">
        <f>IFERROR(__xludf.DUMMYFUNCTION("""COMPUTED_VALUE"""),26.45)</f>
        <v>26.45</v>
      </c>
      <c r="C4146" s="2">
        <f>IFERROR(__xludf.DUMMYFUNCTION("""COMPUTED_VALUE"""),26.51)</f>
        <v>26.51</v>
      </c>
      <c r="D4146" s="2">
        <f>IFERROR(__xludf.DUMMYFUNCTION("""COMPUTED_VALUE"""),26.21)</f>
        <v>26.21</v>
      </c>
      <c r="E4146" s="2">
        <f>IFERROR(__xludf.DUMMYFUNCTION("""COMPUTED_VALUE"""),26.36)</f>
        <v>26.36</v>
      </c>
      <c r="F4146" s="2">
        <f>IFERROR(__xludf.DUMMYFUNCTION("""COMPUTED_VALUE"""),2239300.0)</f>
        <v>2239300</v>
      </c>
    </row>
    <row r="4147">
      <c r="A4147" s="3">
        <f>IFERROR(__xludf.DUMMYFUNCTION("""COMPUTED_VALUE"""),35208.666666666664)</f>
        <v>35208.66667</v>
      </c>
      <c r="B4147" s="2">
        <f>IFERROR(__xludf.DUMMYFUNCTION("""COMPUTED_VALUE"""),26.24)</f>
        <v>26.24</v>
      </c>
      <c r="C4147" s="2">
        <f>IFERROR(__xludf.DUMMYFUNCTION("""COMPUTED_VALUE"""),26.39)</f>
        <v>26.39</v>
      </c>
      <c r="D4147" s="2">
        <f>IFERROR(__xludf.DUMMYFUNCTION("""COMPUTED_VALUE"""),26.03)</f>
        <v>26.03</v>
      </c>
      <c r="E4147" s="2">
        <f>IFERROR(__xludf.DUMMYFUNCTION("""COMPUTED_VALUE"""),26.09)</f>
        <v>26.09</v>
      </c>
      <c r="F4147" s="2">
        <f>IFERROR(__xludf.DUMMYFUNCTION("""COMPUTED_VALUE"""),2603900.0)</f>
        <v>2603900</v>
      </c>
    </row>
    <row r="4148">
      <c r="A4148" s="3">
        <f>IFERROR(__xludf.DUMMYFUNCTION("""COMPUTED_VALUE"""),35209.666666666664)</f>
        <v>35209.66667</v>
      </c>
      <c r="B4148" s="2">
        <f>IFERROR(__xludf.DUMMYFUNCTION("""COMPUTED_VALUE"""),26.15)</f>
        <v>26.15</v>
      </c>
      <c r="C4148" s="2">
        <f>IFERROR(__xludf.DUMMYFUNCTION("""COMPUTED_VALUE"""),26.39)</f>
        <v>26.39</v>
      </c>
      <c r="D4148" s="2">
        <f>IFERROR(__xludf.DUMMYFUNCTION("""COMPUTED_VALUE"""),25.79)</f>
        <v>25.79</v>
      </c>
      <c r="E4148" s="2">
        <f>IFERROR(__xludf.DUMMYFUNCTION("""COMPUTED_VALUE"""),25.97)</f>
        <v>25.97</v>
      </c>
      <c r="F4148" s="2">
        <f>IFERROR(__xludf.DUMMYFUNCTION("""COMPUTED_VALUE"""),1409200.0)</f>
        <v>1409200</v>
      </c>
    </row>
    <row r="4149">
      <c r="A4149" s="3">
        <f>IFERROR(__xludf.DUMMYFUNCTION("""COMPUTED_VALUE"""),35213.666666666664)</f>
        <v>35213.66667</v>
      </c>
      <c r="B4149" s="2">
        <f>IFERROR(__xludf.DUMMYFUNCTION("""COMPUTED_VALUE"""),26.09)</f>
        <v>26.09</v>
      </c>
      <c r="C4149" s="2">
        <f>IFERROR(__xludf.DUMMYFUNCTION("""COMPUTED_VALUE"""),26.12)</f>
        <v>26.12</v>
      </c>
      <c r="D4149" s="2">
        <f>IFERROR(__xludf.DUMMYFUNCTION("""COMPUTED_VALUE"""),25.76)</f>
        <v>25.76</v>
      </c>
      <c r="E4149" s="2">
        <f>IFERROR(__xludf.DUMMYFUNCTION("""COMPUTED_VALUE"""),25.85)</f>
        <v>25.85</v>
      </c>
      <c r="F4149" s="2">
        <f>IFERROR(__xludf.DUMMYFUNCTION("""COMPUTED_VALUE"""),1727500.0)</f>
        <v>1727500</v>
      </c>
    </row>
    <row r="4150">
      <c r="A4150" s="3">
        <f>IFERROR(__xludf.DUMMYFUNCTION("""COMPUTED_VALUE"""),35214.666666666664)</f>
        <v>35214.66667</v>
      </c>
      <c r="B4150" s="2">
        <f>IFERROR(__xludf.DUMMYFUNCTION("""COMPUTED_VALUE"""),25.73)</f>
        <v>25.73</v>
      </c>
      <c r="C4150" s="2">
        <f>IFERROR(__xludf.DUMMYFUNCTION("""COMPUTED_VALUE"""),25.88)</f>
        <v>25.88</v>
      </c>
      <c r="D4150" s="2">
        <f>IFERROR(__xludf.DUMMYFUNCTION("""COMPUTED_VALUE"""),25.22)</f>
        <v>25.22</v>
      </c>
      <c r="E4150" s="2">
        <f>IFERROR(__xludf.DUMMYFUNCTION("""COMPUTED_VALUE"""),25.52)</f>
        <v>25.52</v>
      </c>
      <c r="F4150" s="2">
        <f>IFERROR(__xludf.DUMMYFUNCTION("""COMPUTED_VALUE"""),3261000.0)</f>
        <v>3261000</v>
      </c>
    </row>
    <row r="4151">
      <c r="A4151" s="3">
        <f>IFERROR(__xludf.DUMMYFUNCTION("""COMPUTED_VALUE"""),35215.666666666664)</f>
        <v>35215.66667</v>
      </c>
      <c r="B4151" s="2">
        <f>IFERROR(__xludf.DUMMYFUNCTION("""COMPUTED_VALUE"""),25.52)</f>
        <v>25.52</v>
      </c>
      <c r="C4151" s="2">
        <f>IFERROR(__xludf.DUMMYFUNCTION("""COMPUTED_VALUE"""),25.7)</f>
        <v>25.7</v>
      </c>
      <c r="D4151" s="2">
        <f>IFERROR(__xludf.DUMMYFUNCTION("""COMPUTED_VALUE"""),25.34)</f>
        <v>25.34</v>
      </c>
      <c r="E4151" s="2">
        <f>IFERROR(__xludf.DUMMYFUNCTION("""COMPUTED_VALUE"""),25.58)</f>
        <v>25.58</v>
      </c>
      <c r="F4151" s="2">
        <f>IFERROR(__xludf.DUMMYFUNCTION("""COMPUTED_VALUE"""),2620300.0)</f>
        <v>2620300</v>
      </c>
    </row>
    <row r="4152">
      <c r="A4152" s="3">
        <f>IFERROR(__xludf.DUMMYFUNCTION("""COMPUTED_VALUE"""),35216.666666666664)</f>
        <v>35216.66667</v>
      </c>
      <c r="B4152" s="2">
        <f>IFERROR(__xludf.DUMMYFUNCTION("""COMPUTED_VALUE"""),25.7)</f>
        <v>25.7</v>
      </c>
      <c r="C4152" s="2">
        <f>IFERROR(__xludf.DUMMYFUNCTION("""COMPUTED_VALUE"""),25.85)</f>
        <v>25.85</v>
      </c>
      <c r="D4152" s="2">
        <f>IFERROR(__xludf.DUMMYFUNCTION("""COMPUTED_VALUE"""),25.46)</f>
        <v>25.46</v>
      </c>
      <c r="E4152" s="2">
        <f>IFERROR(__xludf.DUMMYFUNCTION("""COMPUTED_VALUE"""),25.46)</f>
        <v>25.46</v>
      </c>
      <c r="F4152" s="2">
        <f>IFERROR(__xludf.DUMMYFUNCTION("""COMPUTED_VALUE"""),2247100.0)</f>
        <v>2247100</v>
      </c>
    </row>
    <row r="4153">
      <c r="A4153" s="3">
        <f>IFERROR(__xludf.DUMMYFUNCTION("""COMPUTED_VALUE"""),35219.666666666664)</f>
        <v>35219.66667</v>
      </c>
      <c r="B4153" s="2">
        <f>IFERROR(__xludf.DUMMYFUNCTION("""COMPUTED_VALUE"""),25.4)</f>
        <v>25.4</v>
      </c>
      <c r="C4153" s="2">
        <f>IFERROR(__xludf.DUMMYFUNCTION("""COMPUTED_VALUE"""),25.43)</f>
        <v>25.43</v>
      </c>
      <c r="D4153" s="2">
        <f>IFERROR(__xludf.DUMMYFUNCTION("""COMPUTED_VALUE"""),25.07)</f>
        <v>25.07</v>
      </c>
      <c r="E4153" s="2">
        <f>IFERROR(__xludf.DUMMYFUNCTION("""COMPUTED_VALUE"""),25.16)</f>
        <v>25.16</v>
      </c>
      <c r="F4153" s="2">
        <f>IFERROR(__xludf.DUMMYFUNCTION("""COMPUTED_VALUE"""),1739500.0)</f>
        <v>1739500</v>
      </c>
    </row>
    <row r="4154">
      <c r="A4154" s="3">
        <f>IFERROR(__xludf.DUMMYFUNCTION("""COMPUTED_VALUE"""),35220.666666666664)</f>
        <v>35220.66667</v>
      </c>
      <c r="B4154" s="2">
        <f>IFERROR(__xludf.DUMMYFUNCTION("""COMPUTED_VALUE"""),25.16)</f>
        <v>25.16</v>
      </c>
      <c r="C4154" s="2">
        <f>IFERROR(__xludf.DUMMYFUNCTION("""COMPUTED_VALUE"""),25.46)</f>
        <v>25.46</v>
      </c>
      <c r="D4154" s="2">
        <f>IFERROR(__xludf.DUMMYFUNCTION("""COMPUTED_VALUE"""),25.16)</f>
        <v>25.16</v>
      </c>
      <c r="E4154" s="2">
        <f>IFERROR(__xludf.DUMMYFUNCTION("""COMPUTED_VALUE"""),25.28)</f>
        <v>25.28</v>
      </c>
      <c r="F4154" s="2">
        <f>IFERROR(__xludf.DUMMYFUNCTION("""COMPUTED_VALUE"""),1988000.0)</f>
        <v>1988000</v>
      </c>
    </row>
    <row r="4155">
      <c r="A4155" s="3">
        <f>IFERROR(__xludf.DUMMYFUNCTION("""COMPUTED_VALUE"""),35221.666666666664)</f>
        <v>35221.66667</v>
      </c>
      <c r="B4155" s="2">
        <f>IFERROR(__xludf.DUMMYFUNCTION("""COMPUTED_VALUE"""),25.31)</f>
        <v>25.31</v>
      </c>
      <c r="C4155" s="2">
        <f>IFERROR(__xludf.DUMMYFUNCTION("""COMPUTED_VALUE"""),25.4)</f>
        <v>25.4</v>
      </c>
      <c r="D4155" s="2">
        <f>IFERROR(__xludf.DUMMYFUNCTION("""COMPUTED_VALUE"""),25.01)</f>
        <v>25.01</v>
      </c>
      <c r="E4155" s="2">
        <f>IFERROR(__xludf.DUMMYFUNCTION("""COMPUTED_VALUE"""),25.04)</f>
        <v>25.04</v>
      </c>
      <c r="F4155" s="2">
        <f>IFERROR(__xludf.DUMMYFUNCTION("""COMPUTED_VALUE"""),1786900.0)</f>
        <v>1786900</v>
      </c>
    </row>
    <row r="4156">
      <c r="A4156" s="3">
        <f>IFERROR(__xludf.DUMMYFUNCTION("""COMPUTED_VALUE"""),35222.666666666664)</f>
        <v>35222.66667</v>
      </c>
      <c r="B4156" s="2">
        <f>IFERROR(__xludf.DUMMYFUNCTION("""COMPUTED_VALUE"""),25.04)</f>
        <v>25.04</v>
      </c>
      <c r="C4156" s="2">
        <f>IFERROR(__xludf.DUMMYFUNCTION("""COMPUTED_VALUE"""),25.04)</f>
        <v>25.04</v>
      </c>
      <c r="D4156" s="2">
        <f>IFERROR(__xludf.DUMMYFUNCTION("""COMPUTED_VALUE"""),24.12)</f>
        <v>24.12</v>
      </c>
      <c r="E4156" s="2">
        <f>IFERROR(__xludf.DUMMYFUNCTION("""COMPUTED_VALUE"""),24.18)</f>
        <v>24.18</v>
      </c>
      <c r="F4156" s="2">
        <f>IFERROR(__xludf.DUMMYFUNCTION("""COMPUTED_VALUE"""),5977400.0)</f>
        <v>5977400</v>
      </c>
    </row>
    <row r="4157">
      <c r="A4157" s="3">
        <f>IFERROR(__xludf.DUMMYFUNCTION("""COMPUTED_VALUE"""),35223.666666666664)</f>
        <v>35223.66667</v>
      </c>
      <c r="B4157" s="2">
        <f>IFERROR(__xludf.DUMMYFUNCTION("""COMPUTED_VALUE"""),23.04)</f>
        <v>23.04</v>
      </c>
      <c r="C4157" s="2">
        <f>IFERROR(__xludf.DUMMYFUNCTION("""COMPUTED_VALUE"""),24.36)</f>
        <v>24.36</v>
      </c>
      <c r="D4157" s="2">
        <f>IFERROR(__xludf.DUMMYFUNCTION("""COMPUTED_VALUE"""),23.01)</f>
        <v>23.01</v>
      </c>
      <c r="E4157" s="2">
        <f>IFERROR(__xludf.DUMMYFUNCTION("""COMPUTED_VALUE"""),24.3)</f>
        <v>24.3</v>
      </c>
      <c r="F4157" s="2">
        <f>IFERROR(__xludf.DUMMYFUNCTION("""COMPUTED_VALUE"""),7378700.0)</f>
        <v>7378700</v>
      </c>
    </row>
    <row r="4158">
      <c r="A4158" s="3">
        <f>IFERROR(__xludf.DUMMYFUNCTION("""COMPUTED_VALUE"""),35226.666666666664)</f>
        <v>35226.66667</v>
      </c>
      <c r="B4158" s="2">
        <f>IFERROR(__xludf.DUMMYFUNCTION("""COMPUTED_VALUE"""),24.36)</f>
        <v>24.36</v>
      </c>
      <c r="C4158" s="2">
        <f>IFERROR(__xludf.DUMMYFUNCTION("""COMPUTED_VALUE"""),24.66)</f>
        <v>24.66</v>
      </c>
      <c r="D4158" s="2">
        <f>IFERROR(__xludf.DUMMYFUNCTION("""COMPUTED_VALUE"""),24.21)</f>
        <v>24.21</v>
      </c>
      <c r="E4158" s="2">
        <f>IFERROR(__xludf.DUMMYFUNCTION("""COMPUTED_VALUE"""),24.54)</f>
        <v>24.54</v>
      </c>
      <c r="F4158" s="2">
        <f>IFERROR(__xludf.DUMMYFUNCTION("""COMPUTED_VALUE"""),3009800.0)</f>
        <v>3009800</v>
      </c>
    </row>
    <row r="4159">
      <c r="A4159" s="3">
        <f>IFERROR(__xludf.DUMMYFUNCTION("""COMPUTED_VALUE"""),35227.666666666664)</f>
        <v>35227.66667</v>
      </c>
      <c r="B4159" s="2">
        <f>IFERROR(__xludf.DUMMYFUNCTION("""COMPUTED_VALUE"""),24.66)</f>
        <v>24.66</v>
      </c>
      <c r="C4159" s="2">
        <f>IFERROR(__xludf.DUMMYFUNCTION("""COMPUTED_VALUE"""),24.92)</f>
        <v>24.92</v>
      </c>
      <c r="D4159" s="2">
        <f>IFERROR(__xludf.DUMMYFUNCTION("""COMPUTED_VALUE"""),24.45)</f>
        <v>24.45</v>
      </c>
      <c r="E4159" s="2">
        <f>IFERROR(__xludf.DUMMYFUNCTION("""COMPUTED_VALUE"""),24.63)</f>
        <v>24.63</v>
      </c>
      <c r="F4159" s="2">
        <f>IFERROR(__xludf.DUMMYFUNCTION("""COMPUTED_VALUE"""),2698700.0)</f>
        <v>2698700</v>
      </c>
    </row>
    <row r="4160">
      <c r="A4160" s="3">
        <f>IFERROR(__xludf.DUMMYFUNCTION("""COMPUTED_VALUE"""),35228.666666666664)</f>
        <v>35228.66667</v>
      </c>
      <c r="B4160" s="2">
        <f>IFERROR(__xludf.DUMMYFUNCTION("""COMPUTED_VALUE"""),24.74)</f>
        <v>24.74</v>
      </c>
      <c r="C4160" s="2">
        <f>IFERROR(__xludf.DUMMYFUNCTION("""COMPUTED_VALUE"""),24.8)</f>
        <v>24.8</v>
      </c>
      <c r="D4160" s="2">
        <f>IFERROR(__xludf.DUMMYFUNCTION("""COMPUTED_VALUE"""),24.54)</f>
        <v>24.54</v>
      </c>
      <c r="E4160" s="2">
        <f>IFERROR(__xludf.DUMMYFUNCTION("""COMPUTED_VALUE"""),24.6)</f>
        <v>24.6</v>
      </c>
      <c r="F4160" s="2">
        <f>IFERROR(__xludf.DUMMYFUNCTION("""COMPUTED_VALUE"""),2136100.0)</f>
        <v>2136100</v>
      </c>
    </row>
    <row r="4161">
      <c r="A4161" s="3">
        <f>IFERROR(__xludf.DUMMYFUNCTION("""COMPUTED_VALUE"""),35229.666666666664)</f>
        <v>35229.66667</v>
      </c>
      <c r="B4161" s="2">
        <f>IFERROR(__xludf.DUMMYFUNCTION("""COMPUTED_VALUE"""),24.6)</f>
        <v>24.6</v>
      </c>
      <c r="C4161" s="2">
        <f>IFERROR(__xludf.DUMMYFUNCTION("""COMPUTED_VALUE"""),24.86)</f>
        <v>24.86</v>
      </c>
      <c r="D4161" s="2">
        <f>IFERROR(__xludf.DUMMYFUNCTION("""COMPUTED_VALUE"""),24.3)</f>
        <v>24.3</v>
      </c>
      <c r="E4161" s="2">
        <f>IFERROR(__xludf.DUMMYFUNCTION("""COMPUTED_VALUE"""),24.66)</f>
        <v>24.66</v>
      </c>
      <c r="F4161" s="2">
        <f>IFERROR(__xludf.DUMMYFUNCTION("""COMPUTED_VALUE"""),2132000.0)</f>
        <v>2132000</v>
      </c>
    </row>
    <row r="4162">
      <c r="A4162" s="3">
        <f>IFERROR(__xludf.DUMMYFUNCTION("""COMPUTED_VALUE"""),35230.666666666664)</f>
        <v>35230.66667</v>
      </c>
      <c r="B4162" s="2">
        <f>IFERROR(__xludf.DUMMYFUNCTION("""COMPUTED_VALUE"""),24.69)</f>
        <v>24.69</v>
      </c>
      <c r="C4162" s="2">
        <f>IFERROR(__xludf.DUMMYFUNCTION("""COMPUTED_VALUE"""),24.89)</f>
        <v>24.89</v>
      </c>
      <c r="D4162" s="2">
        <f>IFERROR(__xludf.DUMMYFUNCTION("""COMPUTED_VALUE"""),24.27)</f>
        <v>24.27</v>
      </c>
      <c r="E4162" s="2">
        <f>IFERROR(__xludf.DUMMYFUNCTION("""COMPUTED_VALUE"""),24.3)</f>
        <v>24.3</v>
      </c>
      <c r="F4162" s="2">
        <f>IFERROR(__xludf.DUMMYFUNCTION("""COMPUTED_VALUE"""),2711800.0)</f>
        <v>2711800</v>
      </c>
    </row>
    <row r="4163">
      <c r="A4163" s="3">
        <f>IFERROR(__xludf.DUMMYFUNCTION("""COMPUTED_VALUE"""),35233.666666666664)</f>
        <v>35233.66667</v>
      </c>
      <c r="B4163" s="2">
        <f>IFERROR(__xludf.DUMMYFUNCTION("""COMPUTED_VALUE"""),24.33)</f>
        <v>24.33</v>
      </c>
      <c r="C4163" s="2">
        <f>IFERROR(__xludf.DUMMYFUNCTION("""COMPUTED_VALUE"""),24.54)</f>
        <v>24.54</v>
      </c>
      <c r="D4163" s="2">
        <f>IFERROR(__xludf.DUMMYFUNCTION("""COMPUTED_VALUE"""),24.09)</f>
        <v>24.09</v>
      </c>
      <c r="E4163" s="2">
        <f>IFERROR(__xludf.DUMMYFUNCTION("""COMPUTED_VALUE"""),24.51)</f>
        <v>24.51</v>
      </c>
      <c r="F4163" s="2">
        <f>IFERROR(__xludf.DUMMYFUNCTION("""COMPUTED_VALUE"""),1907300.0)</f>
        <v>1907300</v>
      </c>
    </row>
    <row r="4164">
      <c r="A4164" s="3">
        <f>IFERROR(__xludf.DUMMYFUNCTION("""COMPUTED_VALUE"""),35234.666666666664)</f>
        <v>35234.66667</v>
      </c>
      <c r="B4164" s="2">
        <f>IFERROR(__xludf.DUMMYFUNCTION("""COMPUTED_VALUE"""),24.36)</f>
        <v>24.36</v>
      </c>
      <c r="C4164" s="2">
        <f>IFERROR(__xludf.DUMMYFUNCTION("""COMPUTED_VALUE"""),24.48)</f>
        <v>24.48</v>
      </c>
      <c r="D4164" s="2">
        <f>IFERROR(__xludf.DUMMYFUNCTION("""COMPUTED_VALUE"""),24.18)</f>
        <v>24.18</v>
      </c>
      <c r="E4164" s="2">
        <f>IFERROR(__xludf.DUMMYFUNCTION("""COMPUTED_VALUE"""),24.18)</f>
        <v>24.18</v>
      </c>
      <c r="F4164" s="2">
        <f>IFERROR(__xludf.DUMMYFUNCTION("""COMPUTED_VALUE"""),1914400.0)</f>
        <v>1914400</v>
      </c>
    </row>
    <row r="4165">
      <c r="A4165" s="3">
        <f>IFERROR(__xludf.DUMMYFUNCTION("""COMPUTED_VALUE"""),35235.666666666664)</f>
        <v>35235.66667</v>
      </c>
      <c r="B4165" s="2">
        <f>IFERROR(__xludf.DUMMYFUNCTION("""COMPUTED_VALUE"""),24.3)</f>
        <v>24.3</v>
      </c>
      <c r="C4165" s="2">
        <f>IFERROR(__xludf.DUMMYFUNCTION("""COMPUTED_VALUE"""),24.51)</f>
        <v>24.51</v>
      </c>
      <c r="D4165" s="2">
        <f>IFERROR(__xludf.DUMMYFUNCTION("""COMPUTED_VALUE"""),24.24)</f>
        <v>24.24</v>
      </c>
      <c r="E4165" s="2">
        <f>IFERROR(__xludf.DUMMYFUNCTION("""COMPUTED_VALUE"""),24.39)</f>
        <v>24.39</v>
      </c>
      <c r="F4165" s="2">
        <f>IFERROR(__xludf.DUMMYFUNCTION("""COMPUTED_VALUE"""),1429500.0)</f>
        <v>1429500</v>
      </c>
    </row>
    <row r="4166">
      <c r="A4166" s="3">
        <f>IFERROR(__xludf.DUMMYFUNCTION("""COMPUTED_VALUE"""),35236.666666666664)</f>
        <v>35236.66667</v>
      </c>
      <c r="B4166" s="2">
        <f>IFERROR(__xludf.DUMMYFUNCTION("""COMPUTED_VALUE"""),24.42)</f>
        <v>24.42</v>
      </c>
      <c r="C4166" s="2">
        <f>IFERROR(__xludf.DUMMYFUNCTION("""COMPUTED_VALUE"""),24.42)</f>
        <v>24.42</v>
      </c>
      <c r="D4166" s="2">
        <f>IFERROR(__xludf.DUMMYFUNCTION("""COMPUTED_VALUE"""),23.73)</f>
        <v>23.73</v>
      </c>
      <c r="E4166" s="2">
        <f>IFERROR(__xludf.DUMMYFUNCTION("""COMPUTED_VALUE"""),24.06)</f>
        <v>24.06</v>
      </c>
      <c r="F4166" s="2">
        <f>IFERROR(__xludf.DUMMYFUNCTION("""COMPUTED_VALUE"""),4139600.0)</f>
        <v>4139600</v>
      </c>
    </row>
    <row r="4167">
      <c r="A4167" s="3">
        <f>IFERROR(__xludf.DUMMYFUNCTION("""COMPUTED_VALUE"""),35237.666666666664)</f>
        <v>35237.66667</v>
      </c>
      <c r="B4167" s="2">
        <f>IFERROR(__xludf.DUMMYFUNCTION("""COMPUTED_VALUE"""),24.06)</f>
        <v>24.06</v>
      </c>
      <c r="C4167" s="2">
        <f>IFERROR(__xludf.DUMMYFUNCTION("""COMPUTED_VALUE"""),24.3)</f>
        <v>24.3</v>
      </c>
      <c r="D4167" s="2">
        <f>IFERROR(__xludf.DUMMYFUNCTION("""COMPUTED_VALUE"""),23.46)</f>
        <v>23.46</v>
      </c>
      <c r="E4167" s="2">
        <f>IFERROR(__xludf.DUMMYFUNCTION("""COMPUTED_VALUE"""),23.55)</f>
        <v>23.55</v>
      </c>
      <c r="F4167" s="2">
        <f>IFERROR(__xludf.DUMMYFUNCTION("""COMPUTED_VALUE"""),4222100.0)</f>
        <v>4222100</v>
      </c>
    </row>
    <row r="4168">
      <c r="A4168" s="3">
        <f>IFERROR(__xludf.DUMMYFUNCTION("""COMPUTED_VALUE"""),35240.666666666664)</f>
        <v>35240.66667</v>
      </c>
      <c r="B4168" s="2">
        <f>IFERROR(__xludf.DUMMYFUNCTION("""COMPUTED_VALUE"""),23.79)</f>
        <v>23.79</v>
      </c>
      <c r="C4168" s="2">
        <f>IFERROR(__xludf.DUMMYFUNCTION("""COMPUTED_VALUE"""),23.91)</f>
        <v>23.91</v>
      </c>
      <c r="D4168" s="2">
        <f>IFERROR(__xludf.DUMMYFUNCTION("""COMPUTED_VALUE"""),23.52)</f>
        <v>23.52</v>
      </c>
      <c r="E4168" s="2">
        <f>IFERROR(__xludf.DUMMYFUNCTION("""COMPUTED_VALUE"""),23.79)</f>
        <v>23.79</v>
      </c>
      <c r="F4168" s="2">
        <f>IFERROR(__xludf.DUMMYFUNCTION("""COMPUTED_VALUE"""),2470800.0)</f>
        <v>2470800</v>
      </c>
    </row>
    <row r="4169">
      <c r="A4169" s="3">
        <f>IFERROR(__xludf.DUMMYFUNCTION("""COMPUTED_VALUE"""),35241.666666666664)</f>
        <v>35241.66667</v>
      </c>
      <c r="B4169" s="2">
        <f>IFERROR(__xludf.DUMMYFUNCTION("""COMPUTED_VALUE"""),23.73)</f>
        <v>23.73</v>
      </c>
      <c r="C4169" s="2">
        <f>IFERROR(__xludf.DUMMYFUNCTION("""COMPUTED_VALUE"""),23.82)</f>
        <v>23.82</v>
      </c>
      <c r="D4169" s="2">
        <f>IFERROR(__xludf.DUMMYFUNCTION("""COMPUTED_VALUE"""),23.61)</f>
        <v>23.61</v>
      </c>
      <c r="E4169" s="2">
        <f>IFERROR(__xludf.DUMMYFUNCTION("""COMPUTED_VALUE"""),23.82)</f>
        <v>23.82</v>
      </c>
      <c r="F4169" s="2">
        <f>IFERROR(__xludf.DUMMYFUNCTION("""COMPUTED_VALUE"""),2221300.0)</f>
        <v>2221300</v>
      </c>
    </row>
    <row r="4170">
      <c r="A4170" s="3">
        <f>IFERROR(__xludf.DUMMYFUNCTION("""COMPUTED_VALUE"""),35242.666666666664)</f>
        <v>35242.66667</v>
      </c>
      <c r="B4170" s="2">
        <f>IFERROR(__xludf.DUMMYFUNCTION("""COMPUTED_VALUE"""),23.82)</f>
        <v>23.82</v>
      </c>
      <c r="C4170" s="2">
        <f>IFERROR(__xludf.DUMMYFUNCTION("""COMPUTED_VALUE"""),23.91)</f>
        <v>23.91</v>
      </c>
      <c r="D4170" s="2">
        <f>IFERROR(__xludf.DUMMYFUNCTION("""COMPUTED_VALUE"""),23.52)</f>
        <v>23.52</v>
      </c>
      <c r="E4170" s="2">
        <f>IFERROR(__xludf.DUMMYFUNCTION("""COMPUTED_VALUE"""),23.55)</f>
        <v>23.55</v>
      </c>
      <c r="F4170" s="2">
        <f>IFERROR(__xludf.DUMMYFUNCTION("""COMPUTED_VALUE"""),2543700.0)</f>
        <v>2543700</v>
      </c>
    </row>
    <row r="4171">
      <c r="A4171" s="3">
        <f>IFERROR(__xludf.DUMMYFUNCTION("""COMPUTED_VALUE"""),35243.666666666664)</f>
        <v>35243.66667</v>
      </c>
      <c r="B4171" s="2">
        <f>IFERROR(__xludf.DUMMYFUNCTION("""COMPUTED_VALUE"""),23.49)</f>
        <v>23.49</v>
      </c>
      <c r="C4171" s="2">
        <f>IFERROR(__xludf.DUMMYFUNCTION("""COMPUTED_VALUE"""),23.79)</f>
        <v>23.79</v>
      </c>
      <c r="D4171" s="2">
        <f>IFERROR(__xludf.DUMMYFUNCTION("""COMPUTED_VALUE"""),23.31)</f>
        <v>23.31</v>
      </c>
      <c r="E4171" s="2">
        <f>IFERROR(__xludf.DUMMYFUNCTION("""COMPUTED_VALUE"""),23.64)</f>
        <v>23.64</v>
      </c>
      <c r="F4171" s="2">
        <f>IFERROR(__xludf.DUMMYFUNCTION("""COMPUTED_VALUE"""),3323200.0)</f>
        <v>3323200</v>
      </c>
    </row>
    <row r="4172">
      <c r="A4172" s="3">
        <f>IFERROR(__xludf.DUMMYFUNCTION("""COMPUTED_VALUE"""),35244.666666666664)</f>
        <v>35244.66667</v>
      </c>
      <c r="B4172" s="2">
        <f>IFERROR(__xludf.DUMMYFUNCTION("""COMPUTED_VALUE"""),23.67)</f>
        <v>23.67</v>
      </c>
      <c r="C4172" s="2">
        <f>IFERROR(__xludf.DUMMYFUNCTION("""COMPUTED_VALUE"""),23.85)</f>
        <v>23.85</v>
      </c>
      <c r="D4172" s="2">
        <f>IFERROR(__xludf.DUMMYFUNCTION("""COMPUTED_VALUE"""),23.61)</f>
        <v>23.61</v>
      </c>
      <c r="E4172" s="2">
        <f>IFERROR(__xludf.DUMMYFUNCTION("""COMPUTED_VALUE"""),23.64)</f>
        <v>23.64</v>
      </c>
      <c r="F4172" s="2">
        <f>IFERROR(__xludf.DUMMYFUNCTION("""COMPUTED_VALUE"""),2314600.0)</f>
        <v>2314600</v>
      </c>
    </row>
    <row r="4173">
      <c r="A4173" s="3">
        <f>IFERROR(__xludf.DUMMYFUNCTION("""COMPUTED_VALUE"""),35247.666666666664)</f>
        <v>35247.66667</v>
      </c>
      <c r="B4173" s="2">
        <f>IFERROR(__xludf.DUMMYFUNCTION("""COMPUTED_VALUE"""),23.7)</f>
        <v>23.7</v>
      </c>
      <c r="C4173" s="2">
        <f>IFERROR(__xludf.DUMMYFUNCTION("""COMPUTED_VALUE"""),24.42)</f>
        <v>24.42</v>
      </c>
      <c r="D4173" s="2">
        <f>IFERROR(__xludf.DUMMYFUNCTION("""COMPUTED_VALUE"""),23.67)</f>
        <v>23.67</v>
      </c>
      <c r="E4173" s="2">
        <f>IFERROR(__xludf.DUMMYFUNCTION("""COMPUTED_VALUE"""),24.27)</f>
        <v>24.27</v>
      </c>
      <c r="F4173" s="2">
        <f>IFERROR(__xludf.DUMMYFUNCTION("""COMPUTED_VALUE"""),2427500.0)</f>
        <v>2427500</v>
      </c>
    </row>
    <row r="4174">
      <c r="A4174" s="3">
        <f>IFERROR(__xludf.DUMMYFUNCTION("""COMPUTED_VALUE"""),35248.666666666664)</f>
        <v>35248.66667</v>
      </c>
      <c r="B4174" s="2">
        <f>IFERROR(__xludf.DUMMYFUNCTION("""COMPUTED_VALUE"""),24.12)</f>
        <v>24.12</v>
      </c>
      <c r="C4174" s="2">
        <f>IFERROR(__xludf.DUMMYFUNCTION("""COMPUTED_VALUE"""),24.18)</f>
        <v>24.18</v>
      </c>
      <c r="D4174" s="2">
        <f>IFERROR(__xludf.DUMMYFUNCTION("""COMPUTED_VALUE"""),23.85)</f>
        <v>23.85</v>
      </c>
      <c r="E4174" s="2">
        <f>IFERROR(__xludf.DUMMYFUNCTION("""COMPUTED_VALUE"""),23.88)</f>
        <v>23.88</v>
      </c>
      <c r="F4174" s="2">
        <f>IFERROR(__xludf.DUMMYFUNCTION("""COMPUTED_VALUE"""),2023700.0)</f>
        <v>2023700</v>
      </c>
    </row>
    <row r="4175">
      <c r="A4175" s="3">
        <f>IFERROR(__xludf.DUMMYFUNCTION("""COMPUTED_VALUE"""),35249.666666666664)</f>
        <v>35249.66667</v>
      </c>
      <c r="B4175" s="2">
        <f>IFERROR(__xludf.DUMMYFUNCTION("""COMPUTED_VALUE"""),23.82)</f>
        <v>23.82</v>
      </c>
      <c r="C4175" s="2">
        <f>IFERROR(__xludf.DUMMYFUNCTION("""COMPUTED_VALUE"""),23.91)</f>
        <v>23.91</v>
      </c>
      <c r="D4175" s="2">
        <f>IFERROR(__xludf.DUMMYFUNCTION("""COMPUTED_VALUE"""),23.43)</f>
        <v>23.43</v>
      </c>
      <c r="E4175" s="2">
        <f>IFERROR(__xludf.DUMMYFUNCTION("""COMPUTED_VALUE"""),23.52)</f>
        <v>23.52</v>
      </c>
      <c r="F4175" s="2">
        <f>IFERROR(__xludf.DUMMYFUNCTION("""COMPUTED_VALUE"""),2428000.0)</f>
        <v>2428000</v>
      </c>
    </row>
    <row r="4176">
      <c r="A4176" s="3">
        <f>IFERROR(__xludf.DUMMYFUNCTION("""COMPUTED_VALUE"""),35251.666666666664)</f>
        <v>35251.66667</v>
      </c>
      <c r="B4176" s="2">
        <f>IFERROR(__xludf.DUMMYFUNCTION("""COMPUTED_VALUE"""),23.37)</f>
        <v>23.37</v>
      </c>
      <c r="C4176" s="2">
        <f>IFERROR(__xludf.DUMMYFUNCTION("""COMPUTED_VALUE"""),23.7)</f>
        <v>23.7</v>
      </c>
      <c r="D4176" s="2">
        <f>IFERROR(__xludf.DUMMYFUNCTION("""COMPUTED_VALUE"""),23.34)</f>
        <v>23.34</v>
      </c>
      <c r="E4176" s="2">
        <f>IFERROR(__xludf.DUMMYFUNCTION("""COMPUTED_VALUE"""),23.37)</f>
        <v>23.37</v>
      </c>
      <c r="F4176" s="2">
        <f>IFERROR(__xludf.DUMMYFUNCTION("""COMPUTED_VALUE"""),1667400.0)</f>
        <v>1667400</v>
      </c>
    </row>
    <row r="4177">
      <c r="A4177" s="3">
        <f>IFERROR(__xludf.DUMMYFUNCTION("""COMPUTED_VALUE"""),35254.666666666664)</f>
        <v>35254.66667</v>
      </c>
      <c r="B4177" s="2">
        <f>IFERROR(__xludf.DUMMYFUNCTION("""COMPUTED_VALUE"""),23.43)</f>
        <v>23.43</v>
      </c>
      <c r="C4177" s="2">
        <f>IFERROR(__xludf.DUMMYFUNCTION("""COMPUTED_VALUE"""),23.7)</f>
        <v>23.7</v>
      </c>
      <c r="D4177" s="2">
        <f>IFERROR(__xludf.DUMMYFUNCTION("""COMPUTED_VALUE"""),23.43)</f>
        <v>23.43</v>
      </c>
      <c r="E4177" s="2">
        <f>IFERROR(__xludf.DUMMYFUNCTION("""COMPUTED_VALUE"""),23.49)</f>
        <v>23.49</v>
      </c>
      <c r="F4177" s="2">
        <f>IFERROR(__xludf.DUMMYFUNCTION("""COMPUTED_VALUE"""),1843900.0)</f>
        <v>1843900</v>
      </c>
    </row>
    <row r="4178">
      <c r="A4178" s="3">
        <f>IFERROR(__xludf.DUMMYFUNCTION("""COMPUTED_VALUE"""),35255.666666666664)</f>
        <v>35255.66667</v>
      </c>
      <c r="B4178" s="2">
        <f>IFERROR(__xludf.DUMMYFUNCTION("""COMPUTED_VALUE"""),23.58)</f>
        <v>23.58</v>
      </c>
      <c r="C4178" s="2">
        <f>IFERROR(__xludf.DUMMYFUNCTION("""COMPUTED_VALUE"""),23.94)</f>
        <v>23.94</v>
      </c>
      <c r="D4178" s="2">
        <f>IFERROR(__xludf.DUMMYFUNCTION("""COMPUTED_VALUE"""),23.58)</f>
        <v>23.58</v>
      </c>
      <c r="E4178" s="2">
        <f>IFERROR(__xludf.DUMMYFUNCTION("""COMPUTED_VALUE"""),23.64)</f>
        <v>23.64</v>
      </c>
      <c r="F4178" s="2">
        <f>IFERROR(__xludf.DUMMYFUNCTION("""COMPUTED_VALUE"""),2101500.0)</f>
        <v>2101500</v>
      </c>
    </row>
    <row r="4179">
      <c r="A4179" s="3">
        <f>IFERROR(__xludf.DUMMYFUNCTION("""COMPUTED_VALUE"""),35256.666666666664)</f>
        <v>35256.66667</v>
      </c>
      <c r="B4179" s="2">
        <f>IFERROR(__xludf.DUMMYFUNCTION("""COMPUTED_VALUE"""),23.58)</f>
        <v>23.58</v>
      </c>
      <c r="C4179" s="2">
        <f>IFERROR(__xludf.DUMMYFUNCTION("""COMPUTED_VALUE"""),23.76)</f>
        <v>23.76</v>
      </c>
      <c r="D4179" s="2">
        <f>IFERROR(__xludf.DUMMYFUNCTION("""COMPUTED_VALUE"""),23.34)</f>
        <v>23.34</v>
      </c>
      <c r="E4179" s="2">
        <f>IFERROR(__xludf.DUMMYFUNCTION("""COMPUTED_VALUE"""),23.67)</f>
        <v>23.67</v>
      </c>
      <c r="F4179" s="2">
        <f>IFERROR(__xludf.DUMMYFUNCTION("""COMPUTED_VALUE"""),2852300.0)</f>
        <v>2852300</v>
      </c>
    </row>
    <row r="4180">
      <c r="A4180" s="3">
        <f>IFERROR(__xludf.DUMMYFUNCTION("""COMPUTED_VALUE"""),35257.666666666664)</f>
        <v>35257.66667</v>
      </c>
      <c r="B4180" s="2">
        <f>IFERROR(__xludf.DUMMYFUNCTION("""COMPUTED_VALUE"""),23.31)</f>
        <v>23.31</v>
      </c>
      <c r="C4180" s="2">
        <f>IFERROR(__xludf.DUMMYFUNCTION("""COMPUTED_VALUE"""),23.31)</f>
        <v>23.31</v>
      </c>
      <c r="D4180" s="2">
        <f>IFERROR(__xludf.DUMMYFUNCTION("""COMPUTED_VALUE"""),22.48)</f>
        <v>22.48</v>
      </c>
      <c r="E4180" s="2">
        <f>IFERROR(__xludf.DUMMYFUNCTION("""COMPUTED_VALUE"""),22.92)</f>
        <v>22.92</v>
      </c>
      <c r="F4180" s="2">
        <f>IFERROR(__xludf.DUMMYFUNCTION("""COMPUTED_VALUE"""),5832200.0)</f>
        <v>5832200</v>
      </c>
    </row>
    <row r="4181">
      <c r="A4181" s="3">
        <f>IFERROR(__xludf.DUMMYFUNCTION("""COMPUTED_VALUE"""),35258.666666666664)</f>
        <v>35258.66667</v>
      </c>
      <c r="B4181" s="2">
        <f>IFERROR(__xludf.DUMMYFUNCTION("""COMPUTED_VALUE"""),22.83)</f>
        <v>22.83</v>
      </c>
      <c r="C4181" s="2">
        <f>IFERROR(__xludf.DUMMYFUNCTION("""COMPUTED_VALUE"""),22.92)</f>
        <v>22.92</v>
      </c>
      <c r="D4181" s="2">
        <f>IFERROR(__xludf.DUMMYFUNCTION("""COMPUTED_VALUE"""),22.6)</f>
        <v>22.6</v>
      </c>
      <c r="E4181" s="2">
        <f>IFERROR(__xludf.DUMMYFUNCTION("""COMPUTED_VALUE"""),22.76)</f>
        <v>22.76</v>
      </c>
      <c r="F4181" s="2">
        <f>IFERROR(__xludf.DUMMYFUNCTION("""COMPUTED_VALUE"""),3224300.0)</f>
        <v>3224300</v>
      </c>
    </row>
    <row r="4182">
      <c r="A4182" s="3">
        <f>IFERROR(__xludf.DUMMYFUNCTION("""COMPUTED_VALUE"""),35261.666666666664)</f>
        <v>35261.66667</v>
      </c>
      <c r="B4182" s="2">
        <f>IFERROR(__xludf.DUMMYFUNCTION("""COMPUTED_VALUE"""),22.57)</f>
        <v>22.57</v>
      </c>
      <c r="C4182" s="2">
        <f>IFERROR(__xludf.DUMMYFUNCTION("""COMPUTED_VALUE"""),22.66)</f>
        <v>22.66</v>
      </c>
      <c r="D4182" s="2">
        <f>IFERROR(__xludf.DUMMYFUNCTION("""COMPUTED_VALUE"""),21.43)</f>
        <v>21.43</v>
      </c>
      <c r="E4182" s="2">
        <f>IFERROR(__xludf.DUMMYFUNCTION("""COMPUTED_VALUE"""),21.7)</f>
        <v>21.7</v>
      </c>
      <c r="F4182" s="2">
        <f>IFERROR(__xludf.DUMMYFUNCTION("""COMPUTED_VALUE"""),4079500.0)</f>
        <v>4079500</v>
      </c>
    </row>
    <row r="4183">
      <c r="A4183" s="3">
        <f>IFERROR(__xludf.DUMMYFUNCTION("""COMPUTED_VALUE"""),35262.666666666664)</f>
        <v>35262.66667</v>
      </c>
      <c r="B4183" s="2">
        <f>IFERROR(__xludf.DUMMYFUNCTION("""COMPUTED_VALUE"""),22.03)</f>
        <v>22.03</v>
      </c>
      <c r="C4183" s="2">
        <f>IFERROR(__xludf.DUMMYFUNCTION("""COMPUTED_VALUE"""),22.86)</f>
        <v>22.86</v>
      </c>
      <c r="D4183" s="2">
        <f>IFERROR(__xludf.DUMMYFUNCTION("""COMPUTED_VALUE"""),21.43)</f>
        <v>21.43</v>
      </c>
      <c r="E4183" s="2">
        <f>IFERROR(__xludf.DUMMYFUNCTION("""COMPUTED_VALUE"""),22.74)</f>
        <v>22.74</v>
      </c>
      <c r="F4183" s="2">
        <f>IFERROR(__xludf.DUMMYFUNCTION("""COMPUTED_VALUE"""),6205000.0)</f>
        <v>6205000</v>
      </c>
    </row>
    <row r="4184">
      <c r="A4184" s="3">
        <f>IFERROR(__xludf.DUMMYFUNCTION("""COMPUTED_VALUE"""),35263.666666666664)</f>
        <v>35263.66667</v>
      </c>
      <c r="B4184" s="2">
        <f>IFERROR(__xludf.DUMMYFUNCTION("""COMPUTED_VALUE"""),23.37)</f>
        <v>23.37</v>
      </c>
      <c r="C4184" s="2">
        <f>IFERROR(__xludf.DUMMYFUNCTION("""COMPUTED_VALUE"""),23.37)</f>
        <v>23.37</v>
      </c>
      <c r="D4184" s="2">
        <f>IFERROR(__xludf.DUMMYFUNCTION("""COMPUTED_VALUE"""),20.3)</f>
        <v>20.3</v>
      </c>
      <c r="E4184" s="2">
        <f>IFERROR(__xludf.DUMMYFUNCTION("""COMPUTED_VALUE"""),22.48)</f>
        <v>22.48</v>
      </c>
      <c r="F4184" s="2">
        <f>IFERROR(__xludf.DUMMYFUNCTION("""COMPUTED_VALUE"""),3788000.0)</f>
        <v>3788000</v>
      </c>
    </row>
    <row r="4185">
      <c r="A4185" s="3">
        <f>IFERROR(__xludf.DUMMYFUNCTION("""COMPUTED_VALUE"""),35264.666666666664)</f>
        <v>35264.66667</v>
      </c>
      <c r="B4185" s="2">
        <f>IFERROR(__xludf.DUMMYFUNCTION("""COMPUTED_VALUE"""),22.51)</f>
        <v>22.51</v>
      </c>
      <c r="C4185" s="2">
        <f>IFERROR(__xludf.DUMMYFUNCTION("""COMPUTED_VALUE"""),22.83)</f>
        <v>22.83</v>
      </c>
      <c r="D4185" s="2">
        <f>IFERROR(__xludf.DUMMYFUNCTION("""COMPUTED_VALUE"""),22.24)</f>
        <v>22.24</v>
      </c>
      <c r="E4185" s="2">
        <f>IFERROR(__xludf.DUMMYFUNCTION("""COMPUTED_VALUE"""),22.51)</f>
        <v>22.51</v>
      </c>
      <c r="F4185" s="2">
        <f>IFERROR(__xludf.DUMMYFUNCTION("""COMPUTED_VALUE"""),2669900.0)</f>
        <v>2669900</v>
      </c>
    </row>
    <row r="4186">
      <c r="A4186" s="3">
        <f>IFERROR(__xludf.DUMMYFUNCTION("""COMPUTED_VALUE"""),35265.666666666664)</f>
        <v>35265.66667</v>
      </c>
      <c r="B4186" s="2">
        <f>IFERROR(__xludf.DUMMYFUNCTION("""COMPUTED_VALUE"""),22.57)</f>
        <v>22.57</v>
      </c>
      <c r="C4186" s="2">
        <f>IFERROR(__xludf.DUMMYFUNCTION("""COMPUTED_VALUE"""),22.74)</f>
        <v>22.74</v>
      </c>
      <c r="D4186" s="2">
        <f>IFERROR(__xludf.DUMMYFUNCTION("""COMPUTED_VALUE"""),22.33)</f>
        <v>22.33</v>
      </c>
      <c r="E4186" s="2">
        <f>IFERROR(__xludf.DUMMYFUNCTION("""COMPUTED_VALUE"""),22.33)</f>
        <v>22.33</v>
      </c>
      <c r="F4186" s="2">
        <f>IFERROR(__xludf.DUMMYFUNCTION("""COMPUTED_VALUE"""),2114100.0)</f>
        <v>2114100</v>
      </c>
    </row>
    <row r="4187">
      <c r="A4187" s="3">
        <f>IFERROR(__xludf.DUMMYFUNCTION("""COMPUTED_VALUE"""),35268.666666666664)</f>
        <v>35268.66667</v>
      </c>
      <c r="B4187" s="2">
        <f>IFERROR(__xludf.DUMMYFUNCTION("""COMPUTED_VALUE"""),22.3)</f>
        <v>22.3</v>
      </c>
      <c r="C4187" s="2">
        <f>IFERROR(__xludf.DUMMYFUNCTION("""COMPUTED_VALUE"""),22.3)</f>
        <v>22.3</v>
      </c>
      <c r="D4187" s="2">
        <f>IFERROR(__xludf.DUMMYFUNCTION("""COMPUTED_VALUE"""),21.94)</f>
        <v>21.94</v>
      </c>
      <c r="E4187" s="2">
        <f>IFERROR(__xludf.DUMMYFUNCTION("""COMPUTED_VALUE"""),22.03)</f>
        <v>22.03</v>
      </c>
      <c r="F4187" s="2">
        <f>IFERROR(__xludf.DUMMYFUNCTION("""COMPUTED_VALUE"""),1779800.0)</f>
        <v>1779800</v>
      </c>
    </row>
    <row r="4188">
      <c r="A4188" s="3">
        <f>IFERROR(__xludf.DUMMYFUNCTION("""COMPUTED_VALUE"""),35269.666666666664)</f>
        <v>35269.66667</v>
      </c>
      <c r="B4188" s="2">
        <f>IFERROR(__xludf.DUMMYFUNCTION("""COMPUTED_VALUE"""),22.09)</f>
        <v>22.09</v>
      </c>
      <c r="C4188" s="2">
        <f>IFERROR(__xludf.DUMMYFUNCTION("""COMPUTED_VALUE"""),22.27)</f>
        <v>22.27</v>
      </c>
      <c r="D4188" s="2">
        <f>IFERROR(__xludf.DUMMYFUNCTION("""COMPUTED_VALUE"""),21.49)</f>
        <v>21.49</v>
      </c>
      <c r="E4188" s="2">
        <f>IFERROR(__xludf.DUMMYFUNCTION("""COMPUTED_VALUE"""),21.55)</f>
        <v>21.55</v>
      </c>
      <c r="F4188" s="2">
        <f>IFERROR(__xludf.DUMMYFUNCTION("""COMPUTED_VALUE"""),3114500.0)</f>
        <v>3114500</v>
      </c>
    </row>
    <row r="4189">
      <c r="A4189" s="3">
        <f>IFERROR(__xludf.DUMMYFUNCTION("""COMPUTED_VALUE"""),35270.666666666664)</f>
        <v>35270.66667</v>
      </c>
      <c r="B4189" s="2">
        <f>IFERROR(__xludf.DUMMYFUNCTION("""COMPUTED_VALUE"""),21.4)</f>
        <v>21.4</v>
      </c>
      <c r="C4189" s="2">
        <f>IFERROR(__xludf.DUMMYFUNCTION("""COMPUTED_VALUE"""),22.12)</f>
        <v>22.12</v>
      </c>
      <c r="D4189" s="2">
        <f>IFERROR(__xludf.DUMMYFUNCTION("""COMPUTED_VALUE"""),21.28)</f>
        <v>21.28</v>
      </c>
      <c r="E4189" s="2">
        <f>IFERROR(__xludf.DUMMYFUNCTION("""COMPUTED_VALUE"""),21.91)</f>
        <v>21.91</v>
      </c>
      <c r="F4189" s="2">
        <f>IFERROR(__xludf.DUMMYFUNCTION("""COMPUTED_VALUE"""),3683600.0)</f>
        <v>3683600</v>
      </c>
    </row>
    <row r="4190">
      <c r="A4190" s="3">
        <f>IFERROR(__xludf.DUMMYFUNCTION("""COMPUTED_VALUE"""),35271.666666666664)</f>
        <v>35271.66667</v>
      </c>
      <c r="B4190" s="2">
        <f>IFERROR(__xludf.DUMMYFUNCTION("""COMPUTED_VALUE"""),23.04)</f>
        <v>23.04</v>
      </c>
      <c r="C4190" s="2">
        <f>IFERROR(__xludf.DUMMYFUNCTION("""COMPUTED_VALUE"""),24.77)</f>
        <v>24.77</v>
      </c>
      <c r="D4190" s="2">
        <f>IFERROR(__xludf.DUMMYFUNCTION("""COMPUTED_VALUE"""),22.8)</f>
        <v>22.8</v>
      </c>
      <c r="E4190" s="2">
        <f>IFERROR(__xludf.DUMMYFUNCTION("""COMPUTED_VALUE"""),24.71)</f>
        <v>24.71</v>
      </c>
      <c r="F4190" s="2">
        <f>IFERROR(__xludf.DUMMYFUNCTION("""COMPUTED_VALUE"""),9009300.0)</f>
        <v>9009300</v>
      </c>
    </row>
    <row r="4191">
      <c r="A4191" s="3">
        <f>IFERROR(__xludf.DUMMYFUNCTION("""COMPUTED_VALUE"""),35272.666666666664)</f>
        <v>35272.66667</v>
      </c>
      <c r="B4191" s="2">
        <f>IFERROR(__xludf.DUMMYFUNCTION("""COMPUTED_VALUE"""),24.63)</f>
        <v>24.63</v>
      </c>
      <c r="C4191" s="2">
        <f>IFERROR(__xludf.DUMMYFUNCTION("""COMPUTED_VALUE"""),24.86)</f>
        <v>24.86</v>
      </c>
      <c r="D4191" s="2">
        <f>IFERROR(__xludf.DUMMYFUNCTION("""COMPUTED_VALUE"""),24.27)</f>
        <v>24.27</v>
      </c>
      <c r="E4191" s="2">
        <f>IFERROR(__xludf.DUMMYFUNCTION("""COMPUTED_VALUE"""),24.8)</f>
        <v>24.8</v>
      </c>
      <c r="F4191" s="2">
        <f>IFERROR(__xludf.DUMMYFUNCTION("""COMPUTED_VALUE"""),3990800.0)</f>
        <v>3990800</v>
      </c>
    </row>
    <row r="4192">
      <c r="A4192" s="3">
        <f>IFERROR(__xludf.DUMMYFUNCTION("""COMPUTED_VALUE"""),35275.666666666664)</f>
        <v>35275.66667</v>
      </c>
      <c r="B4192" s="2">
        <f>IFERROR(__xludf.DUMMYFUNCTION("""COMPUTED_VALUE"""),24.71)</f>
        <v>24.71</v>
      </c>
      <c r="C4192" s="2">
        <f>IFERROR(__xludf.DUMMYFUNCTION("""COMPUTED_VALUE"""),25.19)</f>
        <v>25.19</v>
      </c>
      <c r="D4192" s="2">
        <f>IFERROR(__xludf.DUMMYFUNCTION("""COMPUTED_VALUE"""),24.69)</f>
        <v>24.69</v>
      </c>
      <c r="E4192" s="2">
        <f>IFERROR(__xludf.DUMMYFUNCTION("""COMPUTED_VALUE"""),25.01)</f>
        <v>25.01</v>
      </c>
      <c r="F4192" s="2">
        <f>IFERROR(__xludf.DUMMYFUNCTION("""COMPUTED_VALUE"""),3337200.0)</f>
        <v>3337200</v>
      </c>
    </row>
    <row r="4193">
      <c r="A4193" s="3">
        <f>IFERROR(__xludf.DUMMYFUNCTION("""COMPUTED_VALUE"""),35276.666666666664)</f>
        <v>35276.66667</v>
      </c>
      <c r="B4193" s="2">
        <f>IFERROR(__xludf.DUMMYFUNCTION("""COMPUTED_VALUE"""),25.13)</f>
        <v>25.13</v>
      </c>
      <c r="C4193" s="2">
        <f>IFERROR(__xludf.DUMMYFUNCTION("""COMPUTED_VALUE"""),25.79)</f>
        <v>25.79</v>
      </c>
      <c r="D4193" s="2">
        <f>IFERROR(__xludf.DUMMYFUNCTION("""COMPUTED_VALUE"""),24.77)</f>
        <v>24.77</v>
      </c>
      <c r="E4193" s="2">
        <f>IFERROR(__xludf.DUMMYFUNCTION("""COMPUTED_VALUE"""),25.64)</f>
        <v>25.64</v>
      </c>
      <c r="F4193" s="2">
        <f>IFERROR(__xludf.DUMMYFUNCTION("""COMPUTED_VALUE"""),3992800.0)</f>
        <v>3992800</v>
      </c>
    </row>
    <row r="4194">
      <c r="A4194" s="3">
        <f>IFERROR(__xludf.DUMMYFUNCTION("""COMPUTED_VALUE"""),35277.666666666664)</f>
        <v>35277.66667</v>
      </c>
      <c r="B4194" s="2">
        <f>IFERROR(__xludf.DUMMYFUNCTION("""COMPUTED_VALUE"""),25.58)</f>
        <v>25.58</v>
      </c>
      <c r="C4194" s="2">
        <f>IFERROR(__xludf.DUMMYFUNCTION("""COMPUTED_VALUE"""),26.0)</f>
        <v>26</v>
      </c>
      <c r="D4194" s="2">
        <f>IFERROR(__xludf.DUMMYFUNCTION("""COMPUTED_VALUE"""),25.55)</f>
        <v>25.55</v>
      </c>
      <c r="E4194" s="2">
        <f>IFERROR(__xludf.DUMMYFUNCTION("""COMPUTED_VALUE"""),25.58)</f>
        <v>25.58</v>
      </c>
      <c r="F4194" s="2">
        <f>IFERROR(__xludf.DUMMYFUNCTION("""COMPUTED_VALUE"""),3502400.0)</f>
        <v>3502400</v>
      </c>
    </row>
    <row r="4195">
      <c r="A4195" s="3">
        <f>IFERROR(__xludf.DUMMYFUNCTION("""COMPUTED_VALUE"""),35278.666666666664)</f>
        <v>35278.66667</v>
      </c>
      <c r="B4195" s="2">
        <f>IFERROR(__xludf.DUMMYFUNCTION("""COMPUTED_VALUE"""),25.79)</f>
        <v>25.79</v>
      </c>
      <c r="C4195" s="2">
        <f>IFERROR(__xludf.DUMMYFUNCTION("""COMPUTED_VALUE"""),26.03)</f>
        <v>26.03</v>
      </c>
      <c r="D4195" s="2">
        <f>IFERROR(__xludf.DUMMYFUNCTION("""COMPUTED_VALUE"""),25.61)</f>
        <v>25.61</v>
      </c>
      <c r="E4195" s="2">
        <f>IFERROR(__xludf.DUMMYFUNCTION("""COMPUTED_VALUE"""),25.61)</f>
        <v>25.61</v>
      </c>
      <c r="F4195" s="2">
        <f>IFERROR(__xludf.DUMMYFUNCTION("""COMPUTED_VALUE"""),3120600.0)</f>
        <v>3120600</v>
      </c>
    </row>
    <row r="4196">
      <c r="A4196" s="3">
        <f>IFERROR(__xludf.DUMMYFUNCTION("""COMPUTED_VALUE"""),35279.666666666664)</f>
        <v>35279.66667</v>
      </c>
      <c r="B4196" s="2">
        <f>IFERROR(__xludf.DUMMYFUNCTION("""COMPUTED_VALUE"""),25.88)</f>
        <v>25.88</v>
      </c>
      <c r="C4196" s="2">
        <f>IFERROR(__xludf.DUMMYFUNCTION("""COMPUTED_VALUE"""),26.12)</f>
        <v>26.12</v>
      </c>
      <c r="D4196" s="2">
        <f>IFERROR(__xludf.DUMMYFUNCTION("""COMPUTED_VALUE"""),25.73)</f>
        <v>25.73</v>
      </c>
      <c r="E4196" s="2">
        <f>IFERROR(__xludf.DUMMYFUNCTION("""COMPUTED_VALUE"""),26.0)</f>
        <v>26</v>
      </c>
      <c r="F4196" s="2">
        <f>IFERROR(__xludf.DUMMYFUNCTION("""COMPUTED_VALUE"""),953900.0)</f>
        <v>953900</v>
      </c>
    </row>
    <row r="4197">
      <c r="A4197" s="3">
        <f>IFERROR(__xludf.DUMMYFUNCTION("""COMPUTED_VALUE"""),35282.666666666664)</f>
        <v>35282.66667</v>
      </c>
      <c r="B4197" s="2">
        <f>IFERROR(__xludf.DUMMYFUNCTION("""COMPUTED_VALUE"""),25.79)</f>
        <v>25.79</v>
      </c>
      <c r="C4197" s="2">
        <f>IFERROR(__xludf.DUMMYFUNCTION("""COMPUTED_VALUE"""),26.12)</f>
        <v>26.12</v>
      </c>
      <c r="D4197" s="2">
        <f>IFERROR(__xludf.DUMMYFUNCTION("""COMPUTED_VALUE"""),25.79)</f>
        <v>25.79</v>
      </c>
      <c r="E4197" s="2">
        <f>IFERROR(__xludf.DUMMYFUNCTION("""COMPUTED_VALUE"""),26.12)</f>
        <v>26.12</v>
      </c>
      <c r="F4197" s="2">
        <f>IFERROR(__xludf.DUMMYFUNCTION("""COMPUTED_VALUE"""),2147300.0)</f>
        <v>2147300</v>
      </c>
    </row>
    <row r="4198">
      <c r="A4198" s="3">
        <f>IFERROR(__xludf.DUMMYFUNCTION("""COMPUTED_VALUE"""),35283.666666666664)</f>
        <v>35283.66667</v>
      </c>
      <c r="B4198" s="2">
        <f>IFERROR(__xludf.DUMMYFUNCTION("""COMPUTED_VALUE"""),26.09)</f>
        <v>26.09</v>
      </c>
      <c r="C4198" s="2">
        <f>IFERROR(__xludf.DUMMYFUNCTION("""COMPUTED_VALUE"""),26.3)</f>
        <v>26.3</v>
      </c>
      <c r="D4198" s="2">
        <f>IFERROR(__xludf.DUMMYFUNCTION("""COMPUTED_VALUE"""),25.85)</f>
        <v>25.85</v>
      </c>
      <c r="E4198" s="2">
        <f>IFERROR(__xludf.DUMMYFUNCTION("""COMPUTED_VALUE"""),26.18)</f>
        <v>26.18</v>
      </c>
      <c r="F4198" s="2">
        <f>IFERROR(__xludf.DUMMYFUNCTION("""COMPUTED_VALUE"""),3594900.0)</f>
        <v>3594900</v>
      </c>
    </row>
    <row r="4199">
      <c r="A4199" s="3">
        <f>IFERROR(__xludf.DUMMYFUNCTION("""COMPUTED_VALUE"""),35284.666666666664)</f>
        <v>35284.66667</v>
      </c>
      <c r="B4199" s="2">
        <f>IFERROR(__xludf.DUMMYFUNCTION("""COMPUTED_VALUE"""),26.27)</f>
        <v>26.27</v>
      </c>
      <c r="C4199" s="2">
        <f>IFERROR(__xludf.DUMMYFUNCTION("""COMPUTED_VALUE"""),26.95)</f>
        <v>26.95</v>
      </c>
      <c r="D4199" s="2">
        <f>IFERROR(__xludf.DUMMYFUNCTION("""COMPUTED_VALUE"""),26.21)</f>
        <v>26.21</v>
      </c>
      <c r="E4199" s="2">
        <f>IFERROR(__xludf.DUMMYFUNCTION("""COMPUTED_VALUE"""),26.89)</f>
        <v>26.89</v>
      </c>
      <c r="F4199" s="2">
        <f>IFERROR(__xludf.DUMMYFUNCTION("""COMPUTED_VALUE"""),3067100.0)</f>
        <v>3067100</v>
      </c>
    </row>
    <row r="4200">
      <c r="A4200" s="3">
        <f>IFERROR(__xludf.DUMMYFUNCTION("""COMPUTED_VALUE"""),35285.666666666664)</f>
        <v>35285.66667</v>
      </c>
      <c r="B4200" s="2">
        <f>IFERROR(__xludf.DUMMYFUNCTION("""COMPUTED_VALUE"""),27.1)</f>
        <v>27.1</v>
      </c>
      <c r="C4200" s="2">
        <f>IFERROR(__xludf.DUMMYFUNCTION("""COMPUTED_VALUE"""),27.19)</f>
        <v>27.19</v>
      </c>
      <c r="D4200" s="2">
        <f>IFERROR(__xludf.DUMMYFUNCTION("""COMPUTED_VALUE"""),26.63)</f>
        <v>26.63</v>
      </c>
      <c r="E4200" s="2">
        <f>IFERROR(__xludf.DUMMYFUNCTION("""COMPUTED_VALUE"""),27.1)</f>
        <v>27.1</v>
      </c>
      <c r="F4200" s="2">
        <f>IFERROR(__xludf.DUMMYFUNCTION("""COMPUTED_VALUE"""),2938600.0)</f>
        <v>2938600</v>
      </c>
    </row>
    <row r="4201">
      <c r="A4201" s="3">
        <f>IFERROR(__xludf.DUMMYFUNCTION("""COMPUTED_VALUE"""),35286.666666666664)</f>
        <v>35286.66667</v>
      </c>
      <c r="B4201" s="2">
        <f>IFERROR(__xludf.DUMMYFUNCTION("""COMPUTED_VALUE"""),26.83)</f>
        <v>26.83</v>
      </c>
      <c r="C4201" s="2">
        <f>IFERROR(__xludf.DUMMYFUNCTION("""COMPUTED_VALUE"""),27.16)</f>
        <v>27.16</v>
      </c>
      <c r="D4201" s="2">
        <f>IFERROR(__xludf.DUMMYFUNCTION("""COMPUTED_VALUE"""),26.77)</f>
        <v>26.77</v>
      </c>
      <c r="E4201" s="2">
        <f>IFERROR(__xludf.DUMMYFUNCTION("""COMPUTED_VALUE"""),26.83)</f>
        <v>26.83</v>
      </c>
      <c r="F4201" s="2">
        <f>IFERROR(__xludf.DUMMYFUNCTION("""COMPUTED_VALUE"""),1746900.0)</f>
        <v>1746900</v>
      </c>
    </row>
    <row r="4202">
      <c r="A4202" s="3">
        <f>IFERROR(__xludf.DUMMYFUNCTION("""COMPUTED_VALUE"""),35289.666666666664)</f>
        <v>35289.66667</v>
      </c>
      <c r="B4202" s="2">
        <f>IFERROR(__xludf.DUMMYFUNCTION("""COMPUTED_VALUE"""),26.77)</f>
        <v>26.77</v>
      </c>
      <c r="C4202" s="2">
        <f>IFERROR(__xludf.DUMMYFUNCTION("""COMPUTED_VALUE"""),27.04)</f>
        <v>27.04</v>
      </c>
      <c r="D4202" s="2">
        <f>IFERROR(__xludf.DUMMYFUNCTION("""COMPUTED_VALUE"""),26.66)</f>
        <v>26.66</v>
      </c>
      <c r="E4202" s="2">
        <f>IFERROR(__xludf.DUMMYFUNCTION("""COMPUTED_VALUE"""),26.77)</f>
        <v>26.77</v>
      </c>
      <c r="F4202" s="2">
        <f>IFERROR(__xludf.DUMMYFUNCTION("""COMPUTED_VALUE"""),1931900.0)</f>
        <v>1931900</v>
      </c>
    </row>
    <row r="4203">
      <c r="A4203" s="3">
        <f>IFERROR(__xludf.DUMMYFUNCTION("""COMPUTED_VALUE"""),35290.666666666664)</f>
        <v>35290.66667</v>
      </c>
      <c r="B4203" s="2">
        <f>IFERROR(__xludf.DUMMYFUNCTION("""COMPUTED_VALUE"""),26.12)</f>
        <v>26.12</v>
      </c>
      <c r="C4203" s="2">
        <f>IFERROR(__xludf.DUMMYFUNCTION("""COMPUTED_VALUE"""),26.86)</f>
        <v>26.86</v>
      </c>
      <c r="D4203" s="2">
        <f>IFERROR(__xludf.DUMMYFUNCTION("""COMPUTED_VALUE"""),26.06)</f>
        <v>26.06</v>
      </c>
      <c r="E4203" s="2">
        <f>IFERROR(__xludf.DUMMYFUNCTION("""COMPUTED_VALUE"""),26.12)</f>
        <v>26.12</v>
      </c>
      <c r="F4203" s="2">
        <f>IFERROR(__xludf.DUMMYFUNCTION("""COMPUTED_VALUE"""),2983800.0)</f>
        <v>2983800</v>
      </c>
    </row>
    <row r="4204">
      <c r="A4204" s="3">
        <f>IFERROR(__xludf.DUMMYFUNCTION("""COMPUTED_VALUE"""),35291.666666666664)</f>
        <v>35291.66667</v>
      </c>
      <c r="B4204" s="2">
        <f>IFERROR(__xludf.DUMMYFUNCTION("""COMPUTED_VALUE"""),26.57)</f>
        <v>26.57</v>
      </c>
      <c r="C4204" s="2">
        <f>IFERROR(__xludf.DUMMYFUNCTION("""COMPUTED_VALUE"""),26.63)</f>
        <v>26.63</v>
      </c>
      <c r="D4204" s="2">
        <f>IFERROR(__xludf.DUMMYFUNCTION("""COMPUTED_VALUE"""),26.12)</f>
        <v>26.12</v>
      </c>
      <c r="E4204" s="2">
        <f>IFERROR(__xludf.DUMMYFUNCTION("""COMPUTED_VALUE"""),26.57)</f>
        <v>26.57</v>
      </c>
      <c r="F4204" s="2">
        <f>IFERROR(__xludf.DUMMYFUNCTION("""COMPUTED_VALUE"""),2581500.0)</f>
        <v>2581500</v>
      </c>
    </row>
    <row r="4205">
      <c r="A4205" s="3">
        <f>IFERROR(__xludf.DUMMYFUNCTION("""COMPUTED_VALUE"""),35292.666666666664)</f>
        <v>35292.66667</v>
      </c>
      <c r="B4205" s="2">
        <f>IFERROR(__xludf.DUMMYFUNCTION("""COMPUTED_VALUE"""),26.66)</f>
        <v>26.66</v>
      </c>
      <c r="C4205" s="2">
        <f>IFERROR(__xludf.DUMMYFUNCTION("""COMPUTED_VALUE"""),26.66)</f>
        <v>26.66</v>
      </c>
      <c r="D4205" s="2">
        <f>IFERROR(__xludf.DUMMYFUNCTION("""COMPUTED_VALUE"""),26.45)</f>
        <v>26.45</v>
      </c>
      <c r="E4205" s="2">
        <f>IFERROR(__xludf.DUMMYFUNCTION("""COMPUTED_VALUE"""),26.48)</f>
        <v>26.48</v>
      </c>
      <c r="F4205" s="2">
        <f>IFERROR(__xludf.DUMMYFUNCTION("""COMPUTED_VALUE"""),1156700.0)</f>
        <v>1156700</v>
      </c>
    </row>
    <row r="4206">
      <c r="A4206" s="3">
        <f>IFERROR(__xludf.DUMMYFUNCTION("""COMPUTED_VALUE"""),35293.666666666664)</f>
        <v>35293.66667</v>
      </c>
      <c r="B4206" s="2">
        <f>IFERROR(__xludf.DUMMYFUNCTION("""COMPUTED_VALUE"""),26.51)</f>
        <v>26.51</v>
      </c>
      <c r="C4206" s="2">
        <f>IFERROR(__xludf.DUMMYFUNCTION("""COMPUTED_VALUE"""),26.57)</f>
        <v>26.57</v>
      </c>
      <c r="D4206" s="2">
        <f>IFERROR(__xludf.DUMMYFUNCTION("""COMPUTED_VALUE"""),26.24)</f>
        <v>26.24</v>
      </c>
      <c r="E4206" s="2">
        <f>IFERROR(__xludf.DUMMYFUNCTION("""COMPUTED_VALUE"""),26.27)</f>
        <v>26.27</v>
      </c>
      <c r="F4206" s="2">
        <f>IFERROR(__xludf.DUMMYFUNCTION("""COMPUTED_VALUE"""),1521700.0)</f>
        <v>1521700</v>
      </c>
    </row>
    <row r="4207">
      <c r="A4207" s="3">
        <f>IFERROR(__xludf.DUMMYFUNCTION("""COMPUTED_VALUE"""),35296.666666666664)</f>
        <v>35296.66667</v>
      </c>
      <c r="B4207" s="2">
        <f>IFERROR(__xludf.DUMMYFUNCTION("""COMPUTED_VALUE"""),26.24)</f>
        <v>26.24</v>
      </c>
      <c r="C4207" s="2">
        <f>IFERROR(__xludf.DUMMYFUNCTION("""COMPUTED_VALUE"""),26.36)</f>
        <v>26.36</v>
      </c>
      <c r="D4207" s="2">
        <f>IFERROR(__xludf.DUMMYFUNCTION("""COMPUTED_VALUE"""),26.15)</f>
        <v>26.15</v>
      </c>
      <c r="E4207" s="2">
        <f>IFERROR(__xludf.DUMMYFUNCTION("""COMPUTED_VALUE"""),26.27)</f>
        <v>26.27</v>
      </c>
      <c r="F4207" s="2">
        <f>IFERROR(__xludf.DUMMYFUNCTION("""COMPUTED_VALUE"""),1762800.0)</f>
        <v>1762800</v>
      </c>
    </row>
    <row r="4208">
      <c r="A4208" s="3">
        <f>IFERROR(__xludf.DUMMYFUNCTION("""COMPUTED_VALUE"""),35297.666666666664)</f>
        <v>35297.66667</v>
      </c>
      <c r="B4208" s="2">
        <f>IFERROR(__xludf.DUMMYFUNCTION("""COMPUTED_VALUE"""),26.3)</f>
        <v>26.3</v>
      </c>
      <c r="C4208" s="2">
        <f>IFERROR(__xludf.DUMMYFUNCTION("""COMPUTED_VALUE"""),26.45)</f>
        <v>26.45</v>
      </c>
      <c r="D4208" s="2">
        <f>IFERROR(__xludf.DUMMYFUNCTION("""COMPUTED_VALUE"""),26.27)</f>
        <v>26.27</v>
      </c>
      <c r="E4208" s="2">
        <f>IFERROR(__xludf.DUMMYFUNCTION("""COMPUTED_VALUE"""),26.39)</f>
        <v>26.39</v>
      </c>
      <c r="F4208" s="2">
        <f>IFERROR(__xludf.DUMMYFUNCTION("""COMPUTED_VALUE"""),1132700.0)</f>
        <v>1132700</v>
      </c>
    </row>
    <row r="4209">
      <c r="A4209" s="3">
        <f>IFERROR(__xludf.DUMMYFUNCTION("""COMPUTED_VALUE"""),35298.666666666664)</f>
        <v>35298.66667</v>
      </c>
      <c r="B4209" s="2">
        <f>IFERROR(__xludf.DUMMYFUNCTION("""COMPUTED_VALUE"""),26.39)</f>
        <v>26.39</v>
      </c>
      <c r="C4209" s="2">
        <f>IFERROR(__xludf.DUMMYFUNCTION("""COMPUTED_VALUE"""),26.92)</f>
        <v>26.92</v>
      </c>
      <c r="D4209" s="2">
        <f>IFERROR(__xludf.DUMMYFUNCTION("""COMPUTED_VALUE"""),26.3)</f>
        <v>26.3</v>
      </c>
      <c r="E4209" s="2">
        <f>IFERROR(__xludf.DUMMYFUNCTION("""COMPUTED_VALUE"""),26.83)</f>
        <v>26.83</v>
      </c>
      <c r="F4209" s="2">
        <f>IFERROR(__xludf.DUMMYFUNCTION("""COMPUTED_VALUE"""),1764600.0)</f>
        <v>1764600</v>
      </c>
    </row>
    <row r="4210">
      <c r="A4210" s="3">
        <f>IFERROR(__xludf.DUMMYFUNCTION("""COMPUTED_VALUE"""),35299.666666666664)</f>
        <v>35299.66667</v>
      </c>
      <c r="B4210" s="2">
        <f>IFERROR(__xludf.DUMMYFUNCTION("""COMPUTED_VALUE"""),26.92)</f>
        <v>26.92</v>
      </c>
      <c r="C4210" s="2">
        <f>IFERROR(__xludf.DUMMYFUNCTION("""COMPUTED_VALUE"""),27.19)</f>
        <v>27.19</v>
      </c>
      <c r="D4210" s="2">
        <f>IFERROR(__xludf.DUMMYFUNCTION("""COMPUTED_VALUE"""),26.83)</f>
        <v>26.83</v>
      </c>
      <c r="E4210" s="2">
        <f>IFERROR(__xludf.DUMMYFUNCTION("""COMPUTED_VALUE"""),26.89)</f>
        <v>26.89</v>
      </c>
      <c r="F4210" s="2">
        <f>IFERROR(__xludf.DUMMYFUNCTION("""COMPUTED_VALUE"""),2067300.0)</f>
        <v>2067300</v>
      </c>
    </row>
    <row r="4211">
      <c r="A4211" s="3">
        <f>IFERROR(__xludf.DUMMYFUNCTION("""COMPUTED_VALUE"""),35300.666666666664)</f>
        <v>35300.66667</v>
      </c>
      <c r="B4211" s="2">
        <f>IFERROR(__xludf.DUMMYFUNCTION("""COMPUTED_VALUE"""),26.77)</f>
        <v>26.77</v>
      </c>
      <c r="C4211" s="2">
        <f>IFERROR(__xludf.DUMMYFUNCTION("""COMPUTED_VALUE"""),27.13)</f>
        <v>27.13</v>
      </c>
      <c r="D4211" s="2">
        <f>IFERROR(__xludf.DUMMYFUNCTION("""COMPUTED_VALUE"""),26.74)</f>
        <v>26.74</v>
      </c>
      <c r="E4211" s="2">
        <f>IFERROR(__xludf.DUMMYFUNCTION("""COMPUTED_VALUE"""),26.98)</f>
        <v>26.98</v>
      </c>
      <c r="F4211" s="2">
        <f>IFERROR(__xludf.DUMMYFUNCTION("""COMPUTED_VALUE"""),1543400.0)</f>
        <v>1543400</v>
      </c>
    </row>
    <row r="4212">
      <c r="A4212" s="3">
        <f>IFERROR(__xludf.DUMMYFUNCTION("""COMPUTED_VALUE"""),35303.666666666664)</f>
        <v>35303.66667</v>
      </c>
      <c r="B4212" s="2">
        <f>IFERROR(__xludf.DUMMYFUNCTION("""COMPUTED_VALUE"""),26.98)</f>
        <v>26.98</v>
      </c>
      <c r="C4212" s="2">
        <f>IFERROR(__xludf.DUMMYFUNCTION("""COMPUTED_VALUE"""),27.01)</f>
        <v>27.01</v>
      </c>
      <c r="D4212" s="2">
        <f>IFERROR(__xludf.DUMMYFUNCTION("""COMPUTED_VALUE"""),26.8)</f>
        <v>26.8</v>
      </c>
      <c r="E4212" s="2">
        <f>IFERROR(__xludf.DUMMYFUNCTION("""COMPUTED_VALUE"""),26.86)</f>
        <v>26.86</v>
      </c>
      <c r="F4212" s="2">
        <f>IFERROR(__xludf.DUMMYFUNCTION("""COMPUTED_VALUE"""),913700.0)</f>
        <v>913700</v>
      </c>
    </row>
    <row r="4213">
      <c r="A4213" s="3">
        <f>IFERROR(__xludf.DUMMYFUNCTION("""COMPUTED_VALUE"""),35304.666666666664)</f>
        <v>35304.66667</v>
      </c>
      <c r="B4213" s="2">
        <f>IFERROR(__xludf.DUMMYFUNCTION("""COMPUTED_VALUE"""),26.89)</f>
        <v>26.89</v>
      </c>
      <c r="C4213" s="2">
        <f>IFERROR(__xludf.DUMMYFUNCTION("""COMPUTED_VALUE"""),26.92)</f>
        <v>26.92</v>
      </c>
      <c r="D4213" s="2">
        <f>IFERROR(__xludf.DUMMYFUNCTION("""COMPUTED_VALUE"""),26.57)</f>
        <v>26.57</v>
      </c>
      <c r="E4213" s="2">
        <f>IFERROR(__xludf.DUMMYFUNCTION("""COMPUTED_VALUE"""),26.68)</f>
        <v>26.68</v>
      </c>
      <c r="F4213" s="2">
        <f>IFERROR(__xludf.DUMMYFUNCTION("""COMPUTED_VALUE"""),1204800.0)</f>
        <v>1204800</v>
      </c>
    </row>
    <row r="4214">
      <c r="A4214" s="3">
        <f>IFERROR(__xludf.DUMMYFUNCTION("""COMPUTED_VALUE"""),35305.666666666664)</f>
        <v>35305.66667</v>
      </c>
      <c r="B4214" s="2">
        <f>IFERROR(__xludf.DUMMYFUNCTION("""COMPUTED_VALUE"""),27.22)</f>
        <v>27.22</v>
      </c>
      <c r="C4214" s="2">
        <f>IFERROR(__xludf.DUMMYFUNCTION("""COMPUTED_VALUE"""),27.67)</f>
        <v>27.67</v>
      </c>
      <c r="D4214" s="2">
        <f>IFERROR(__xludf.DUMMYFUNCTION("""COMPUTED_VALUE"""),27.19)</f>
        <v>27.19</v>
      </c>
      <c r="E4214" s="2">
        <f>IFERROR(__xludf.DUMMYFUNCTION("""COMPUTED_VALUE"""),27.43)</f>
        <v>27.43</v>
      </c>
      <c r="F4214" s="2">
        <f>IFERROR(__xludf.DUMMYFUNCTION("""COMPUTED_VALUE"""),3703900.0)</f>
        <v>3703900</v>
      </c>
    </row>
    <row r="4215">
      <c r="A4215" s="3">
        <f>IFERROR(__xludf.DUMMYFUNCTION("""COMPUTED_VALUE"""),35306.666666666664)</f>
        <v>35306.66667</v>
      </c>
      <c r="B4215" s="2">
        <f>IFERROR(__xludf.DUMMYFUNCTION("""COMPUTED_VALUE"""),27.52)</f>
        <v>27.52</v>
      </c>
      <c r="C4215" s="2">
        <f>IFERROR(__xludf.DUMMYFUNCTION("""COMPUTED_VALUE"""),27.58)</f>
        <v>27.58</v>
      </c>
      <c r="D4215" s="2">
        <f>IFERROR(__xludf.DUMMYFUNCTION("""COMPUTED_VALUE"""),27.37)</f>
        <v>27.37</v>
      </c>
      <c r="E4215" s="2">
        <f>IFERROR(__xludf.DUMMYFUNCTION("""COMPUTED_VALUE"""),27.52)</f>
        <v>27.52</v>
      </c>
      <c r="F4215" s="2">
        <f>IFERROR(__xludf.DUMMYFUNCTION("""COMPUTED_VALUE"""),2293000.0)</f>
        <v>2293000</v>
      </c>
    </row>
    <row r="4216">
      <c r="A4216" s="3">
        <f>IFERROR(__xludf.DUMMYFUNCTION("""COMPUTED_VALUE"""),35307.666666666664)</f>
        <v>35307.66667</v>
      </c>
      <c r="B4216" s="2">
        <f>IFERROR(__xludf.DUMMYFUNCTION("""COMPUTED_VALUE"""),27.37)</f>
        <v>27.37</v>
      </c>
      <c r="C4216" s="2">
        <f>IFERROR(__xludf.DUMMYFUNCTION("""COMPUTED_VALUE"""),27.46)</f>
        <v>27.46</v>
      </c>
      <c r="D4216" s="2">
        <f>IFERROR(__xludf.DUMMYFUNCTION("""COMPUTED_VALUE"""),27.13)</f>
        <v>27.13</v>
      </c>
      <c r="E4216" s="2">
        <f>IFERROR(__xludf.DUMMYFUNCTION("""COMPUTED_VALUE"""),27.31)</f>
        <v>27.31</v>
      </c>
      <c r="F4216" s="2">
        <f>IFERROR(__xludf.DUMMYFUNCTION("""COMPUTED_VALUE"""),1536200.0)</f>
        <v>1536200</v>
      </c>
    </row>
    <row r="4217">
      <c r="A4217" s="3">
        <f>IFERROR(__xludf.DUMMYFUNCTION("""COMPUTED_VALUE"""),35311.666666666664)</f>
        <v>35311.66667</v>
      </c>
      <c r="B4217" s="2">
        <f>IFERROR(__xludf.DUMMYFUNCTION("""COMPUTED_VALUE"""),27.04)</f>
        <v>27.04</v>
      </c>
      <c r="C4217" s="2">
        <f>IFERROR(__xludf.DUMMYFUNCTION("""COMPUTED_VALUE"""),27.55)</f>
        <v>27.55</v>
      </c>
      <c r="D4217" s="2">
        <f>IFERROR(__xludf.DUMMYFUNCTION("""COMPUTED_VALUE"""),26.88)</f>
        <v>26.88</v>
      </c>
      <c r="E4217" s="2">
        <f>IFERROR(__xludf.DUMMYFUNCTION("""COMPUTED_VALUE"""),27.52)</f>
        <v>27.52</v>
      </c>
      <c r="F4217" s="2">
        <f>IFERROR(__xludf.DUMMYFUNCTION("""COMPUTED_VALUE"""),2207600.0)</f>
        <v>2207600</v>
      </c>
    </row>
    <row r="4218">
      <c r="A4218" s="3">
        <f>IFERROR(__xludf.DUMMYFUNCTION("""COMPUTED_VALUE"""),35312.666666666664)</f>
        <v>35312.66667</v>
      </c>
      <c r="B4218" s="2">
        <f>IFERROR(__xludf.DUMMYFUNCTION("""COMPUTED_VALUE"""),27.46)</f>
        <v>27.46</v>
      </c>
      <c r="C4218" s="2">
        <f>IFERROR(__xludf.DUMMYFUNCTION("""COMPUTED_VALUE"""),27.61)</f>
        <v>27.61</v>
      </c>
      <c r="D4218" s="2">
        <f>IFERROR(__xludf.DUMMYFUNCTION("""COMPUTED_VALUE"""),27.34)</f>
        <v>27.34</v>
      </c>
      <c r="E4218" s="2">
        <f>IFERROR(__xludf.DUMMYFUNCTION("""COMPUTED_VALUE"""),27.37)</f>
        <v>27.37</v>
      </c>
      <c r="F4218" s="2">
        <f>IFERROR(__xludf.DUMMYFUNCTION("""COMPUTED_VALUE"""),1370200.0)</f>
        <v>1370200</v>
      </c>
    </row>
    <row r="4219">
      <c r="A4219" s="3">
        <f>IFERROR(__xludf.DUMMYFUNCTION("""COMPUTED_VALUE"""),35313.666666666664)</f>
        <v>35313.66667</v>
      </c>
      <c r="B4219" s="2">
        <f>IFERROR(__xludf.DUMMYFUNCTION("""COMPUTED_VALUE"""),27.22)</f>
        <v>27.22</v>
      </c>
      <c r="C4219" s="2">
        <f>IFERROR(__xludf.DUMMYFUNCTION("""COMPUTED_VALUE"""),27.34)</f>
        <v>27.34</v>
      </c>
      <c r="D4219" s="2">
        <f>IFERROR(__xludf.DUMMYFUNCTION("""COMPUTED_VALUE"""),26.98)</f>
        <v>26.98</v>
      </c>
      <c r="E4219" s="2">
        <f>IFERROR(__xludf.DUMMYFUNCTION("""COMPUTED_VALUE"""),27.01)</f>
        <v>27.01</v>
      </c>
      <c r="F4219" s="2">
        <f>IFERROR(__xludf.DUMMYFUNCTION("""COMPUTED_VALUE"""),1798100.0)</f>
        <v>1798100</v>
      </c>
    </row>
    <row r="4220">
      <c r="A4220" s="3">
        <f>IFERROR(__xludf.DUMMYFUNCTION("""COMPUTED_VALUE"""),35314.666666666664)</f>
        <v>35314.66667</v>
      </c>
      <c r="B4220" s="2">
        <f>IFERROR(__xludf.DUMMYFUNCTION("""COMPUTED_VALUE"""),27.1)</f>
        <v>27.1</v>
      </c>
      <c r="C4220" s="2">
        <f>IFERROR(__xludf.DUMMYFUNCTION("""COMPUTED_VALUE"""),27.67)</f>
        <v>27.67</v>
      </c>
      <c r="D4220" s="2">
        <f>IFERROR(__xludf.DUMMYFUNCTION("""COMPUTED_VALUE"""),27.1)</f>
        <v>27.1</v>
      </c>
      <c r="E4220" s="2">
        <f>IFERROR(__xludf.DUMMYFUNCTION("""COMPUTED_VALUE"""),27.52)</f>
        <v>27.52</v>
      </c>
      <c r="F4220" s="2">
        <f>IFERROR(__xludf.DUMMYFUNCTION("""COMPUTED_VALUE"""),2409000.0)</f>
        <v>2409000</v>
      </c>
    </row>
    <row r="4221">
      <c r="A4221" s="3">
        <f>IFERROR(__xludf.DUMMYFUNCTION("""COMPUTED_VALUE"""),35317.666666666664)</f>
        <v>35317.66667</v>
      </c>
      <c r="B4221" s="2">
        <f>IFERROR(__xludf.DUMMYFUNCTION("""COMPUTED_VALUE"""),27.58)</f>
        <v>27.58</v>
      </c>
      <c r="C4221" s="2">
        <f>IFERROR(__xludf.DUMMYFUNCTION("""COMPUTED_VALUE"""),28.12)</f>
        <v>28.12</v>
      </c>
      <c r="D4221" s="2">
        <f>IFERROR(__xludf.DUMMYFUNCTION("""COMPUTED_VALUE"""),27.58)</f>
        <v>27.58</v>
      </c>
      <c r="E4221" s="2">
        <f>IFERROR(__xludf.DUMMYFUNCTION("""COMPUTED_VALUE"""),28.09)</f>
        <v>28.09</v>
      </c>
      <c r="F4221" s="2">
        <f>IFERROR(__xludf.DUMMYFUNCTION("""COMPUTED_VALUE"""),2566400.0)</f>
        <v>2566400</v>
      </c>
    </row>
    <row r="4222">
      <c r="A4222" s="3">
        <f>IFERROR(__xludf.DUMMYFUNCTION("""COMPUTED_VALUE"""),35318.666666666664)</f>
        <v>35318.66667</v>
      </c>
      <c r="B4222" s="2">
        <f>IFERROR(__xludf.DUMMYFUNCTION("""COMPUTED_VALUE"""),28.09)</f>
        <v>28.09</v>
      </c>
      <c r="C4222" s="2">
        <f>IFERROR(__xludf.DUMMYFUNCTION("""COMPUTED_VALUE"""),28.51)</f>
        <v>28.51</v>
      </c>
      <c r="D4222" s="2">
        <f>IFERROR(__xludf.DUMMYFUNCTION("""COMPUTED_VALUE"""),27.82)</f>
        <v>27.82</v>
      </c>
      <c r="E4222" s="2">
        <f>IFERROR(__xludf.DUMMYFUNCTION("""COMPUTED_VALUE"""),28.21)</f>
        <v>28.21</v>
      </c>
      <c r="F4222" s="2">
        <f>IFERROR(__xludf.DUMMYFUNCTION("""COMPUTED_VALUE"""),4011600.0)</f>
        <v>4011600</v>
      </c>
    </row>
    <row r="4223">
      <c r="A4223" s="3">
        <f>IFERROR(__xludf.DUMMYFUNCTION("""COMPUTED_VALUE"""),35319.666666666664)</f>
        <v>35319.66667</v>
      </c>
      <c r="B4223" s="2">
        <f>IFERROR(__xludf.DUMMYFUNCTION("""COMPUTED_VALUE"""),27.88)</f>
        <v>27.88</v>
      </c>
      <c r="C4223" s="2">
        <f>IFERROR(__xludf.DUMMYFUNCTION("""COMPUTED_VALUE"""),28.24)</f>
        <v>28.24</v>
      </c>
      <c r="D4223" s="2">
        <f>IFERROR(__xludf.DUMMYFUNCTION("""COMPUTED_VALUE"""),27.88)</f>
        <v>27.88</v>
      </c>
      <c r="E4223" s="2">
        <f>IFERROR(__xludf.DUMMYFUNCTION("""COMPUTED_VALUE"""),28.18)</f>
        <v>28.18</v>
      </c>
      <c r="F4223" s="2">
        <f>IFERROR(__xludf.DUMMYFUNCTION("""COMPUTED_VALUE"""),2166200.0)</f>
        <v>2166200</v>
      </c>
    </row>
    <row r="4224">
      <c r="A4224" s="3">
        <f>IFERROR(__xludf.DUMMYFUNCTION("""COMPUTED_VALUE"""),35320.666666666664)</f>
        <v>35320.66667</v>
      </c>
      <c r="B4224" s="2">
        <f>IFERROR(__xludf.DUMMYFUNCTION("""COMPUTED_VALUE"""),28.18)</f>
        <v>28.18</v>
      </c>
      <c r="C4224" s="2">
        <f>IFERROR(__xludf.DUMMYFUNCTION("""COMPUTED_VALUE"""),28.24)</f>
        <v>28.24</v>
      </c>
      <c r="D4224" s="2">
        <f>IFERROR(__xludf.DUMMYFUNCTION("""COMPUTED_VALUE"""),27.97)</f>
        <v>27.97</v>
      </c>
      <c r="E4224" s="2">
        <f>IFERROR(__xludf.DUMMYFUNCTION("""COMPUTED_VALUE"""),28.0)</f>
        <v>28</v>
      </c>
      <c r="F4224" s="2">
        <f>IFERROR(__xludf.DUMMYFUNCTION("""COMPUTED_VALUE"""),2167700.0)</f>
        <v>2167700</v>
      </c>
    </row>
    <row r="4225">
      <c r="A4225" s="3">
        <f>IFERROR(__xludf.DUMMYFUNCTION("""COMPUTED_VALUE"""),35321.666666666664)</f>
        <v>35321.66667</v>
      </c>
      <c r="B4225" s="2">
        <f>IFERROR(__xludf.DUMMYFUNCTION("""COMPUTED_VALUE"""),28.33)</f>
        <v>28.33</v>
      </c>
      <c r="C4225" s="2">
        <f>IFERROR(__xludf.DUMMYFUNCTION("""COMPUTED_VALUE"""),29.34)</f>
        <v>29.34</v>
      </c>
      <c r="D4225" s="2">
        <f>IFERROR(__xludf.DUMMYFUNCTION("""COMPUTED_VALUE"""),28.21)</f>
        <v>28.21</v>
      </c>
      <c r="E4225" s="2">
        <f>IFERROR(__xludf.DUMMYFUNCTION("""COMPUTED_VALUE"""),29.16)</f>
        <v>29.16</v>
      </c>
      <c r="F4225" s="2">
        <f>IFERROR(__xludf.DUMMYFUNCTION("""COMPUTED_VALUE"""),5509100.0)</f>
        <v>5509100</v>
      </c>
    </row>
    <row r="4226">
      <c r="A4226" s="3">
        <f>IFERROR(__xludf.DUMMYFUNCTION("""COMPUTED_VALUE"""),35324.666666666664)</f>
        <v>35324.66667</v>
      </c>
      <c r="B4226" s="2">
        <f>IFERROR(__xludf.DUMMYFUNCTION("""COMPUTED_VALUE"""),29.16)</f>
        <v>29.16</v>
      </c>
      <c r="C4226" s="2">
        <f>IFERROR(__xludf.DUMMYFUNCTION("""COMPUTED_VALUE"""),29.46)</f>
        <v>29.46</v>
      </c>
      <c r="D4226" s="2">
        <f>IFERROR(__xludf.DUMMYFUNCTION("""COMPUTED_VALUE"""),29.07)</f>
        <v>29.07</v>
      </c>
      <c r="E4226" s="2">
        <f>IFERROR(__xludf.DUMMYFUNCTION("""COMPUTED_VALUE"""),29.31)</f>
        <v>29.31</v>
      </c>
      <c r="F4226" s="2">
        <f>IFERROR(__xludf.DUMMYFUNCTION("""COMPUTED_VALUE"""),2659600.0)</f>
        <v>2659600</v>
      </c>
    </row>
    <row r="4227">
      <c r="A4227" s="3">
        <f>IFERROR(__xludf.DUMMYFUNCTION("""COMPUTED_VALUE"""),35325.666666666664)</f>
        <v>35325.66667</v>
      </c>
      <c r="B4227" s="2">
        <f>IFERROR(__xludf.DUMMYFUNCTION("""COMPUTED_VALUE"""),29.37)</f>
        <v>29.37</v>
      </c>
      <c r="C4227" s="2">
        <f>IFERROR(__xludf.DUMMYFUNCTION("""COMPUTED_VALUE"""),29.52)</f>
        <v>29.52</v>
      </c>
      <c r="D4227" s="2">
        <f>IFERROR(__xludf.DUMMYFUNCTION("""COMPUTED_VALUE"""),29.01)</f>
        <v>29.01</v>
      </c>
      <c r="E4227" s="2">
        <f>IFERROR(__xludf.DUMMYFUNCTION("""COMPUTED_VALUE"""),29.52)</f>
        <v>29.52</v>
      </c>
      <c r="F4227" s="2">
        <f>IFERROR(__xludf.DUMMYFUNCTION("""COMPUTED_VALUE"""),3296900.0)</f>
        <v>3296900</v>
      </c>
    </row>
    <row r="4228">
      <c r="A4228" s="3">
        <f>IFERROR(__xludf.DUMMYFUNCTION("""COMPUTED_VALUE"""),35326.666666666664)</f>
        <v>35326.66667</v>
      </c>
      <c r="B4228" s="2">
        <f>IFERROR(__xludf.DUMMYFUNCTION("""COMPUTED_VALUE"""),29.7)</f>
        <v>29.7</v>
      </c>
      <c r="C4228" s="2">
        <f>IFERROR(__xludf.DUMMYFUNCTION("""COMPUTED_VALUE"""),29.91)</f>
        <v>29.91</v>
      </c>
      <c r="D4228" s="2">
        <f>IFERROR(__xludf.DUMMYFUNCTION("""COMPUTED_VALUE"""),29.37)</f>
        <v>29.37</v>
      </c>
      <c r="E4228" s="2">
        <f>IFERROR(__xludf.DUMMYFUNCTION("""COMPUTED_VALUE"""),29.73)</f>
        <v>29.73</v>
      </c>
      <c r="F4228" s="2">
        <f>IFERROR(__xludf.DUMMYFUNCTION("""COMPUTED_VALUE"""),3522000.0)</f>
        <v>3522000</v>
      </c>
    </row>
    <row r="4229">
      <c r="A4229" s="3">
        <f>IFERROR(__xludf.DUMMYFUNCTION("""COMPUTED_VALUE"""),35327.666666666664)</f>
        <v>35327.66667</v>
      </c>
      <c r="B4229" s="2">
        <f>IFERROR(__xludf.DUMMYFUNCTION("""COMPUTED_VALUE"""),29.67)</f>
        <v>29.67</v>
      </c>
      <c r="C4229" s="2">
        <f>IFERROR(__xludf.DUMMYFUNCTION("""COMPUTED_VALUE"""),29.88)</f>
        <v>29.88</v>
      </c>
      <c r="D4229" s="2">
        <f>IFERROR(__xludf.DUMMYFUNCTION("""COMPUTED_VALUE"""),29.37)</f>
        <v>29.37</v>
      </c>
      <c r="E4229" s="2">
        <f>IFERROR(__xludf.DUMMYFUNCTION("""COMPUTED_VALUE"""),29.37)</f>
        <v>29.37</v>
      </c>
      <c r="F4229" s="2">
        <f>IFERROR(__xludf.DUMMYFUNCTION("""COMPUTED_VALUE"""),2051700.0)</f>
        <v>2051700</v>
      </c>
    </row>
    <row r="4230">
      <c r="A4230" s="3">
        <f>IFERROR(__xludf.DUMMYFUNCTION("""COMPUTED_VALUE"""),35328.666666666664)</f>
        <v>35328.66667</v>
      </c>
      <c r="B4230" s="2">
        <f>IFERROR(__xludf.DUMMYFUNCTION("""COMPUTED_VALUE"""),29.52)</f>
        <v>29.52</v>
      </c>
      <c r="C4230" s="2">
        <f>IFERROR(__xludf.DUMMYFUNCTION("""COMPUTED_VALUE"""),29.82)</f>
        <v>29.82</v>
      </c>
      <c r="D4230" s="2">
        <f>IFERROR(__xludf.DUMMYFUNCTION("""COMPUTED_VALUE"""),29.34)</f>
        <v>29.34</v>
      </c>
      <c r="E4230" s="2">
        <f>IFERROR(__xludf.DUMMYFUNCTION("""COMPUTED_VALUE"""),29.34)</f>
        <v>29.34</v>
      </c>
      <c r="F4230" s="2">
        <f>IFERROR(__xludf.DUMMYFUNCTION("""COMPUTED_VALUE"""),3060400.0)</f>
        <v>3060400</v>
      </c>
    </row>
    <row r="4231">
      <c r="A4231" s="3">
        <f>IFERROR(__xludf.DUMMYFUNCTION("""COMPUTED_VALUE"""),35331.666666666664)</f>
        <v>35331.66667</v>
      </c>
      <c r="B4231" s="2">
        <f>IFERROR(__xludf.DUMMYFUNCTION("""COMPUTED_VALUE"""),29.19)</f>
        <v>29.19</v>
      </c>
      <c r="C4231" s="2">
        <f>IFERROR(__xludf.DUMMYFUNCTION("""COMPUTED_VALUE"""),29.79)</f>
        <v>29.79</v>
      </c>
      <c r="D4231" s="2">
        <f>IFERROR(__xludf.DUMMYFUNCTION("""COMPUTED_VALUE"""),28.98)</f>
        <v>28.98</v>
      </c>
      <c r="E4231" s="2">
        <f>IFERROR(__xludf.DUMMYFUNCTION("""COMPUTED_VALUE"""),29.67)</f>
        <v>29.67</v>
      </c>
      <c r="F4231" s="2">
        <f>IFERROR(__xludf.DUMMYFUNCTION("""COMPUTED_VALUE"""),1691400.0)</f>
        <v>1691400</v>
      </c>
    </row>
    <row r="4232">
      <c r="A4232" s="3">
        <f>IFERROR(__xludf.DUMMYFUNCTION("""COMPUTED_VALUE"""),35332.666666666664)</f>
        <v>35332.66667</v>
      </c>
      <c r="B4232" s="2">
        <f>IFERROR(__xludf.DUMMYFUNCTION("""COMPUTED_VALUE"""),29.67)</f>
        <v>29.67</v>
      </c>
      <c r="C4232" s="2">
        <f>IFERROR(__xludf.DUMMYFUNCTION("""COMPUTED_VALUE"""),30.3)</f>
        <v>30.3</v>
      </c>
      <c r="D4232" s="2">
        <f>IFERROR(__xludf.DUMMYFUNCTION("""COMPUTED_VALUE"""),29.61)</f>
        <v>29.61</v>
      </c>
      <c r="E4232" s="2">
        <f>IFERROR(__xludf.DUMMYFUNCTION("""COMPUTED_VALUE"""),29.85)</f>
        <v>29.85</v>
      </c>
      <c r="F4232" s="2">
        <f>IFERROR(__xludf.DUMMYFUNCTION("""COMPUTED_VALUE"""),3743000.0)</f>
        <v>3743000</v>
      </c>
    </row>
    <row r="4233">
      <c r="A4233" s="3">
        <f>IFERROR(__xludf.DUMMYFUNCTION("""COMPUTED_VALUE"""),35333.666666666664)</f>
        <v>35333.66667</v>
      </c>
      <c r="B4233" s="2">
        <f>IFERROR(__xludf.DUMMYFUNCTION("""COMPUTED_VALUE"""),29.73)</f>
        <v>29.73</v>
      </c>
      <c r="C4233" s="2">
        <f>IFERROR(__xludf.DUMMYFUNCTION("""COMPUTED_VALUE"""),30.3)</f>
        <v>30.3</v>
      </c>
      <c r="D4233" s="2">
        <f>IFERROR(__xludf.DUMMYFUNCTION("""COMPUTED_VALUE"""),29.73)</f>
        <v>29.73</v>
      </c>
      <c r="E4233" s="2">
        <f>IFERROR(__xludf.DUMMYFUNCTION("""COMPUTED_VALUE"""),30.21)</f>
        <v>30.21</v>
      </c>
      <c r="F4233" s="2">
        <f>IFERROR(__xludf.DUMMYFUNCTION("""COMPUTED_VALUE"""),2693300.0)</f>
        <v>2693300</v>
      </c>
    </row>
    <row r="4234">
      <c r="A4234" s="3">
        <f>IFERROR(__xludf.DUMMYFUNCTION("""COMPUTED_VALUE"""),35334.666666666664)</f>
        <v>35334.66667</v>
      </c>
      <c r="B4234" s="2">
        <f>IFERROR(__xludf.DUMMYFUNCTION("""COMPUTED_VALUE"""),30.15)</f>
        <v>30.15</v>
      </c>
      <c r="C4234" s="2">
        <f>IFERROR(__xludf.DUMMYFUNCTION("""COMPUTED_VALUE"""),30.54)</f>
        <v>30.54</v>
      </c>
      <c r="D4234" s="2">
        <f>IFERROR(__xludf.DUMMYFUNCTION("""COMPUTED_VALUE"""),29.64)</f>
        <v>29.64</v>
      </c>
      <c r="E4234" s="2">
        <f>IFERROR(__xludf.DUMMYFUNCTION("""COMPUTED_VALUE"""),29.7)</f>
        <v>29.7</v>
      </c>
      <c r="F4234" s="2">
        <f>IFERROR(__xludf.DUMMYFUNCTION("""COMPUTED_VALUE"""),4166000.0)</f>
        <v>4166000</v>
      </c>
    </row>
    <row r="4235">
      <c r="A4235" s="3">
        <f>IFERROR(__xludf.DUMMYFUNCTION("""COMPUTED_VALUE"""),35335.666666666664)</f>
        <v>35335.66667</v>
      </c>
      <c r="B4235" s="2">
        <f>IFERROR(__xludf.DUMMYFUNCTION("""COMPUTED_VALUE"""),29.79)</f>
        <v>29.79</v>
      </c>
      <c r="C4235" s="2">
        <f>IFERROR(__xludf.DUMMYFUNCTION("""COMPUTED_VALUE"""),30.0)</f>
        <v>30</v>
      </c>
      <c r="D4235" s="2">
        <f>IFERROR(__xludf.DUMMYFUNCTION("""COMPUTED_VALUE"""),29.61)</f>
        <v>29.61</v>
      </c>
      <c r="E4235" s="2">
        <f>IFERROR(__xludf.DUMMYFUNCTION("""COMPUTED_VALUE"""),29.79)</f>
        <v>29.79</v>
      </c>
      <c r="F4235" s="2">
        <f>IFERROR(__xludf.DUMMYFUNCTION("""COMPUTED_VALUE"""),1310800.0)</f>
        <v>1310800</v>
      </c>
    </row>
    <row r="4236">
      <c r="A4236" s="3">
        <f>IFERROR(__xludf.DUMMYFUNCTION("""COMPUTED_VALUE"""),35338.666666666664)</f>
        <v>35338.66667</v>
      </c>
      <c r="B4236" s="2">
        <f>IFERROR(__xludf.DUMMYFUNCTION("""COMPUTED_VALUE"""),29.82)</f>
        <v>29.82</v>
      </c>
      <c r="C4236" s="2">
        <f>IFERROR(__xludf.DUMMYFUNCTION("""COMPUTED_VALUE"""),30.36)</f>
        <v>30.36</v>
      </c>
      <c r="D4236" s="2">
        <f>IFERROR(__xludf.DUMMYFUNCTION("""COMPUTED_VALUE"""),29.64)</f>
        <v>29.64</v>
      </c>
      <c r="E4236" s="2">
        <f>IFERROR(__xludf.DUMMYFUNCTION("""COMPUTED_VALUE"""),29.76)</f>
        <v>29.76</v>
      </c>
      <c r="F4236" s="2">
        <f>IFERROR(__xludf.DUMMYFUNCTION("""COMPUTED_VALUE"""),1861400.0)</f>
        <v>1861400</v>
      </c>
    </row>
    <row r="4237">
      <c r="A4237" s="3">
        <f>IFERROR(__xludf.DUMMYFUNCTION("""COMPUTED_VALUE"""),35339.666666666664)</f>
        <v>35339.66667</v>
      </c>
      <c r="B4237" s="2">
        <f>IFERROR(__xludf.DUMMYFUNCTION("""COMPUTED_VALUE"""),29.61)</f>
        <v>29.61</v>
      </c>
      <c r="C4237" s="2">
        <f>IFERROR(__xludf.DUMMYFUNCTION("""COMPUTED_VALUE"""),29.91)</f>
        <v>29.91</v>
      </c>
      <c r="D4237" s="2">
        <f>IFERROR(__xludf.DUMMYFUNCTION("""COMPUTED_VALUE"""),29.4)</f>
        <v>29.4</v>
      </c>
      <c r="E4237" s="2">
        <f>IFERROR(__xludf.DUMMYFUNCTION("""COMPUTED_VALUE"""),29.55)</f>
        <v>29.55</v>
      </c>
      <c r="F4237" s="2">
        <f>IFERROR(__xludf.DUMMYFUNCTION("""COMPUTED_VALUE"""),5413000.0)</f>
        <v>5413000</v>
      </c>
    </row>
    <row r="4238">
      <c r="A4238" s="3">
        <f>IFERROR(__xludf.DUMMYFUNCTION("""COMPUTED_VALUE"""),35340.666666666664)</f>
        <v>35340.66667</v>
      </c>
      <c r="B4238" s="2">
        <f>IFERROR(__xludf.DUMMYFUNCTION("""COMPUTED_VALUE"""),29.67)</f>
        <v>29.67</v>
      </c>
      <c r="C4238" s="2">
        <f>IFERROR(__xludf.DUMMYFUNCTION("""COMPUTED_VALUE"""),30.06)</f>
        <v>30.06</v>
      </c>
      <c r="D4238" s="2">
        <f>IFERROR(__xludf.DUMMYFUNCTION("""COMPUTED_VALUE"""),29.61)</f>
        <v>29.61</v>
      </c>
      <c r="E4238" s="2">
        <f>IFERROR(__xludf.DUMMYFUNCTION("""COMPUTED_VALUE"""),30.06)</f>
        <v>30.06</v>
      </c>
      <c r="F4238" s="2">
        <f>IFERROR(__xludf.DUMMYFUNCTION("""COMPUTED_VALUE"""),2013100.0)</f>
        <v>2013100</v>
      </c>
    </row>
    <row r="4239">
      <c r="A4239" s="3">
        <f>IFERROR(__xludf.DUMMYFUNCTION("""COMPUTED_VALUE"""),35341.666666666664)</f>
        <v>35341.66667</v>
      </c>
      <c r="B4239" s="2">
        <f>IFERROR(__xludf.DUMMYFUNCTION("""COMPUTED_VALUE"""),30.03)</f>
        <v>30.03</v>
      </c>
      <c r="C4239" s="2">
        <f>IFERROR(__xludf.DUMMYFUNCTION("""COMPUTED_VALUE"""),30.15)</f>
        <v>30.15</v>
      </c>
      <c r="D4239" s="2">
        <f>IFERROR(__xludf.DUMMYFUNCTION("""COMPUTED_VALUE"""),29.76)</f>
        <v>29.76</v>
      </c>
      <c r="E4239" s="2">
        <f>IFERROR(__xludf.DUMMYFUNCTION("""COMPUTED_VALUE"""),29.85)</f>
        <v>29.85</v>
      </c>
      <c r="F4239" s="2">
        <f>IFERROR(__xludf.DUMMYFUNCTION("""COMPUTED_VALUE"""),1755100.0)</f>
        <v>1755100</v>
      </c>
    </row>
    <row r="4240">
      <c r="A4240" s="3">
        <f>IFERROR(__xludf.DUMMYFUNCTION("""COMPUTED_VALUE"""),35342.666666666664)</f>
        <v>35342.66667</v>
      </c>
      <c r="B4240" s="2">
        <f>IFERROR(__xludf.DUMMYFUNCTION("""COMPUTED_VALUE"""),30.06)</f>
        <v>30.06</v>
      </c>
      <c r="C4240" s="2">
        <f>IFERROR(__xludf.DUMMYFUNCTION("""COMPUTED_VALUE"""),30.36)</f>
        <v>30.36</v>
      </c>
      <c r="D4240" s="2">
        <f>IFERROR(__xludf.DUMMYFUNCTION("""COMPUTED_VALUE"""),30.0)</f>
        <v>30</v>
      </c>
      <c r="E4240" s="2">
        <f>IFERROR(__xludf.DUMMYFUNCTION("""COMPUTED_VALUE"""),30.24)</f>
        <v>30.24</v>
      </c>
      <c r="F4240" s="2">
        <f>IFERROR(__xludf.DUMMYFUNCTION("""COMPUTED_VALUE"""),2302300.0)</f>
        <v>2302300</v>
      </c>
    </row>
    <row r="4241">
      <c r="A4241" s="3">
        <f>IFERROR(__xludf.DUMMYFUNCTION("""COMPUTED_VALUE"""),35345.666666666664)</f>
        <v>35345.66667</v>
      </c>
      <c r="B4241" s="2">
        <f>IFERROR(__xludf.DUMMYFUNCTION("""COMPUTED_VALUE"""),30.3)</f>
        <v>30.3</v>
      </c>
      <c r="C4241" s="2">
        <f>IFERROR(__xludf.DUMMYFUNCTION("""COMPUTED_VALUE"""),30.57)</f>
        <v>30.57</v>
      </c>
      <c r="D4241" s="2">
        <f>IFERROR(__xludf.DUMMYFUNCTION("""COMPUTED_VALUE"""),30.3)</f>
        <v>30.3</v>
      </c>
      <c r="E4241" s="2">
        <f>IFERROR(__xludf.DUMMYFUNCTION("""COMPUTED_VALUE"""),30.57)</f>
        <v>30.57</v>
      </c>
      <c r="F4241" s="2">
        <f>IFERROR(__xludf.DUMMYFUNCTION("""COMPUTED_VALUE"""),1835300.0)</f>
        <v>1835300</v>
      </c>
    </row>
    <row r="4242">
      <c r="A4242" s="3">
        <f>IFERROR(__xludf.DUMMYFUNCTION("""COMPUTED_VALUE"""),35346.666666666664)</f>
        <v>35346.66667</v>
      </c>
      <c r="B4242" s="2">
        <f>IFERROR(__xludf.DUMMYFUNCTION("""COMPUTED_VALUE"""),30.57)</f>
        <v>30.57</v>
      </c>
      <c r="C4242" s="2">
        <f>IFERROR(__xludf.DUMMYFUNCTION("""COMPUTED_VALUE"""),30.98)</f>
        <v>30.98</v>
      </c>
      <c r="D4242" s="2">
        <f>IFERROR(__xludf.DUMMYFUNCTION("""COMPUTED_VALUE"""),30.48)</f>
        <v>30.48</v>
      </c>
      <c r="E4242" s="2">
        <f>IFERROR(__xludf.DUMMYFUNCTION("""COMPUTED_VALUE"""),30.65)</f>
        <v>30.65</v>
      </c>
      <c r="F4242" s="2">
        <f>IFERROR(__xludf.DUMMYFUNCTION("""COMPUTED_VALUE"""),3146400.0)</f>
        <v>3146400</v>
      </c>
    </row>
    <row r="4243">
      <c r="A4243" s="3">
        <f>IFERROR(__xludf.DUMMYFUNCTION("""COMPUTED_VALUE"""),35347.666666666664)</f>
        <v>35347.66667</v>
      </c>
      <c r="B4243" s="2">
        <f>IFERROR(__xludf.DUMMYFUNCTION("""COMPUTED_VALUE"""),30.8)</f>
        <v>30.8</v>
      </c>
      <c r="C4243" s="2">
        <f>IFERROR(__xludf.DUMMYFUNCTION("""COMPUTED_VALUE"""),30.89)</f>
        <v>30.89</v>
      </c>
      <c r="D4243" s="2">
        <f>IFERROR(__xludf.DUMMYFUNCTION("""COMPUTED_VALUE"""),30.12)</f>
        <v>30.12</v>
      </c>
      <c r="E4243" s="2">
        <f>IFERROR(__xludf.DUMMYFUNCTION("""COMPUTED_VALUE"""),30.18)</f>
        <v>30.18</v>
      </c>
      <c r="F4243" s="2">
        <f>IFERROR(__xludf.DUMMYFUNCTION("""COMPUTED_VALUE"""),2401300.0)</f>
        <v>2401300</v>
      </c>
    </row>
    <row r="4244">
      <c r="A4244" s="3">
        <f>IFERROR(__xludf.DUMMYFUNCTION("""COMPUTED_VALUE"""),35348.666666666664)</f>
        <v>35348.66667</v>
      </c>
      <c r="B4244" s="2">
        <f>IFERROR(__xludf.DUMMYFUNCTION("""COMPUTED_VALUE"""),29.97)</f>
        <v>29.97</v>
      </c>
      <c r="C4244" s="2">
        <f>IFERROR(__xludf.DUMMYFUNCTION("""COMPUTED_VALUE"""),30.57)</f>
        <v>30.57</v>
      </c>
      <c r="D4244" s="2">
        <f>IFERROR(__xludf.DUMMYFUNCTION("""COMPUTED_VALUE"""),29.97)</f>
        <v>29.97</v>
      </c>
      <c r="E4244" s="2">
        <f>IFERROR(__xludf.DUMMYFUNCTION("""COMPUTED_VALUE"""),30.51)</f>
        <v>30.51</v>
      </c>
      <c r="F4244" s="2">
        <f>IFERROR(__xludf.DUMMYFUNCTION("""COMPUTED_VALUE"""),2248500.0)</f>
        <v>2248500</v>
      </c>
    </row>
    <row r="4245">
      <c r="A4245" s="3">
        <f>IFERROR(__xludf.DUMMYFUNCTION("""COMPUTED_VALUE"""),35349.666666666664)</f>
        <v>35349.66667</v>
      </c>
      <c r="B4245" s="2">
        <f>IFERROR(__xludf.DUMMYFUNCTION("""COMPUTED_VALUE"""),30.68)</f>
        <v>30.68</v>
      </c>
      <c r="C4245" s="2">
        <f>IFERROR(__xludf.DUMMYFUNCTION("""COMPUTED_VALUE"""),31.52)</f>
        <v>31.52</v>
      </c>
      <c r="D4245" s="2">
        <f>IFERROR(__xludf.DUMMYFUNCTION("""COMPUTED_VALUE"""),30.62)</f>
        <v>30.62</v>
      </c>
      <c r="E4245" s="2">
        <f>IFERROR(__xludf.DUMMYFUNCTION("""COMPUTED_VALUE"""),31.01)</f>
        <v>31.01</v>
      </c>
      <c r="F4245" s="2">
        <f>IFERROR(__xludf.DUMMYFUNCTION("""COMPUTED_VALUE"""),2848500.0)</f>
        <v>2848500</v>
      </c>
    </row>
    <row r="4246">
      <c r="A4246" s="3">
        <f>IFERROR(__xludf.DUMMYFUNCTION("""COMPUTED_VALUE"""),35352.666666666664)</f>
        <v>35352.66667</v>
      </c>
      <c r="B4246" s="2">
        <f>IFERROR(__xludf.DUMMYFUNCTION("""COMPUTED_VALUE"""),31.01)</f>
        <v>31.01</v>
      </c>
      <c r="C4246" s="2">
        <f>IFERROR(__xludf.DUMMYFUNCTION("""COMPUTED_VALUE"""),31.01)</f>
        <v>31.01</v>
      </c>
      <c r="D4246" s="2">
        <f>IFERROR(__xludf.DUMMYFUNCTION("""COMPUTED_VALUE"""),30.83)</f>
        <v>30.83</v>
      </c>
      <c r="E4246" s="2">
        <f>IFERROR(__xludf.DUMMYFUNCTION("""COMPUTED_VALUE"""),31.01)</f>
        <v>31.01</v>
      </c>
      <c r="F4246" s="2">
        <f>IFERROR(__xludf.DUMMYFUNCTION("""COMPUTED_VALUE"""),1399900.0)</f>
        <v>1399900</v>
      </c>
    </row>
    <row r="4247">
      <c r="A4247" s="3">
        <f>IFERROR(__xludf.DUMMYFUNCTION("""COMPUTED_VALUE"""),35353.666666666664)</f>
        <v>35353.66667</v>
      </c>
      <c r="B4247" s="2">
        <f>IFERROR(__xludf.DUMMYFUNCTION("""COMPUTED_VALUE"""),31.22)</f>
        <v>31.22</v>
      </c>
      <c r="C4247" s="2">
        <f>IFERROR(__xludf.DUMMYFUNCTION("""COMPUTED_VALUE"""),31.34)</f>
        <v>31.34</v>
      </c>
      <c r="D4247" s="2">
        <f>IFERROR(__xludf.DUMMYFUNCTION("""COMPUTED_VALUE"""),30.71)</f>
        <v>30.71</v>
      </c>
      <c r="E4247" s="2">
        <f>IFERROR(__xludf.DUMMYFUNCTION("""COMPUTED_VALUE"""),30.92)</f>
        <v>30.92</v>
      </c>
      <c r="F4247" s="2">
        <f>IFERROR(__xludf.DUMMYFUNCTION("""COMPUTED_VALUE"""),2862900.0)</f>
        <v>2862900</v>
      </c>
    </row>
    <row r="4248">
      <c r="A4248" s="3">
        <f>IFERROR(__xludf.DUMMYFUNCTION("""COMPUTED_VALUE"""),35354.666666666664)</f>
        <v>35354.66667</v>
      </c>
      <c r="B4248" s="2">
        <f>IFERROR(__xludf.DUMMYFUNCTION("""COMPUTED_VALUE"""),30.92)</f>
        <v>30.92</v>
      </c>
      <c r="C4248" s="2">
        <f>IFERROR(__xludf.DUMMYFUNCTION("""COMPUTED_VALUE"""),30.92)</f>
        <v>30.92</v>
      </c>
      <c r="D4248" s="2">
        <f>IFERROR(__xludf.DUMMYFUNCTION("""COMPUTED_VALUE"""),30.42)</f>
        <v>30.42</v>
      </c>
      <c r="E4248" s="2">
        <f>IFERROR(__xludf.DUMMYFUNCTION("""COMPUTED_VALUE"""),30.71)</f>
        <v>30.71</v>
      </c>
      <c r="F4248" s="2">
        <f>IFERROR(__xludf.DUMMYFUNCTION("""COMPUTED_VALUE"""),1875200.0)</f>
        <v>1875200</v>
      </c>
    </row>
    <row r="4249">
      <c r="A4249" s="3">
        <f>IFERROR(__xludf.DUMMYFUNCTION("""COMPUTED_VALUE"""),35355.666666666664)</f>
        <v>35355.66667</v>
      </c>
      <c r="B4249" s="2">
        <f>IFERROR(__xludf.DUMMYFUNCTION("""COMPUTED_VALUE"""),30.74)</f>
        <v>30.74</v>
      </c>
      <c r="C4249" s="2">
        <f>IFERROR(__xludf.DUMMYFUNCTION("""COMPUTED_VALUE"""),30.83)</f>
        <v>30.83</v>
      </c>
      <c r="D4249" s="2">
        <f>IFERROR(__xludf.DUMMYFUNCTION("""COMPUTED_VALUE"""),29.91)</f>
        <v>29.91</v>
      </c>
      <c r="E4249" s="2">
        <f>IFERROR(__xludf.DUMMYFUNCTION("""COMPUTED_VALUE"""),29.97)</f>
        <v>29.97</v>
      </c>
      <c r="F4249" s="2">
        <f>IFERROR(__xludf.DUMMYFUNCTION("""COMPUTED_VALUE"""),2134900.0)</f>
        <v>2134900</v>
      </c>
    </row>
    <row r="4250">
      <c r="A4250" s="3">
        <f>IFERROR(__xludf.DUMMYFUNCTION("""COMPUTED_VALUE"""),35356.666666666664)</f>
        <v>35356.66667</v>
      </c>
      <c r="B4250" s="2">
        <f>IFERROR(__xludf.DUMMYFUNCTION("""COMPUTED_VALUE"""),29.97)</f>
        <v>29.97</v>
      </c>
      <c r="C4250" s="2">
        <f>IFERROR(__xludf.DUMMYFUNCTION("""COMPUTED_VALUE"""),30.92)</f>
        <v>30.92</v>
      </c>
      <c r="D4250" s="2">
        <f>IFERROR(__xludf.DUMMYFUNCTION("""COMPUTED_VALUE"""),28.65)</f>
        <v>28.65</v>
      </c>
      <c r="E4250" s="2">
        <f>IFERROR(__xludf.DUMMYFUNCTION("""COMPUTED_VALUE"""),30.89)</f>
        <v>30.89</v>
      </c>
      <c r="F4250" s="2">
        <f>IFERROR(__xludf.DUMMYFUNCTION("""COMPUTED_VALUE"""),3467400.0)</f>
        <v>3467400</v>
      </c>
    </row>
    <row r="4251">
      <c r="A4251" s="3">
        <f>IFERROR(__xludf.DUMMYFUNCTION("""COMPUTED_VALUE"""),35359.666666666664)</f>
        <v>35359.66667</v>
      </c>
      <c r="B4251" s="2">
        <f>IFERROR(__xludf.DUMMYFUNCTION("""COMPUTED_VALUE"""),30.57)</f>
        <v>30.57</v>
      </c>
      <c r="C4251" s="2">
        <f>IFERROR(__xludf.DUMMYFUNCTION("""COMPUTED_VALUE"""),32.33)</f>
        <v>32.33</v>
      </c>
      <c r="D4251" s="2">
        <f>IFERROR(__xludf.DUMMYFUNCTION("""COMPUTED_VALUE"""),30.27)</f>
        <v>30.27</v>
      </c>
      <c r="E4251" s="2">
        <f>IFERROR(__xludf.DUMMYFUNCTION("""COMPUTED_VALUE"""),31.07)</f>
        <v>31.07</v>
      </c>
      <c r="F4251" s="2">
        <f>IFERROR(__xludf.DUMMYFUNCTION("""COMPUTED_VALUE"""),8334300.0)</f>
        <v>8334300</v>
      </c>
    </row>
    <row r="4252">
      <c r="A4252" s="3">
        <f>IFERROR(__xludf.DUMMYFUNCTION("""COMPUTED_VALUE"""),35360.666666666664)</f>
        <v>35360.66667</v>
      </c>
      <c r="B4252" s="2">
        <f>IFERROR(__xludf.DUMMYFUNCTION("""COMPUTED_VALUE"""),30.95)</f>
        <v>30.95</v>
      </c>
      <c r="C4252" s="2">
        <f>IFERROR(__xludf.DUMMYFUNCTION("""COMPUTED_VALUE"""),31.22)</f>
        <v>31.22</v>
      </c>
      <c r="D4252" s="2">
        <f>IFERROR(__xludf.DUMMYFUNCTION("""COMPUTED_VALUE"""),30.15)</f>
        <v>30.15</v>
      </c>
      <c r="E4252" s="2">
        <f>IFERROR(__xludf.DUMMYFUNCTION("""COMPUTED_VALUE"""),30.3)</f>
        <v>30.3</v>
      </c>
      <c r="F4252" s="2">
        <f>IFERROR(__xludf.DUMMYFUNCTION("""COMPUTED_VALUE"""),2999000.0)</f>
        <v>2999000</v>
      </c>
    </row>
    <row r="4253">
      <c r="A4253" s="3">
        <f>IFERROR(__xludf.DUMMYFUNCTION("""COMPUTED_VALUE"""),35361.666666666664)</f>
        <v>35361.66667</v>
      </c>
      <c r="B4253" s="2">
        <f>IFERROR(__xludf.DUMMYFUNCTION("""COMPUTED_VALUE"""),30.21)</f>
        <v>30.21</v>
      </c>
      <c r="C4253" s="2">
        <f>IFERROR(__xludf.DUMMYFUNCTION("""COMPUTED_VALUE"""),31.01)</f>
        <v>31.01</v>
      </c>
      <c r="D4253" s="2">
        <f>IFERROR(__xludf.DUMMYFUNCTION("""COMPUTED_VALUE"""),30.12)</f>
        <v>30.12</v>
      </c>
      <c r="E4253" s="2">
        <f>IFERROR(__xludf.DUMMYFUNCTION("""COMPUTED_VALUE"""),30.86)</f>
        <v>30.86</v>
      </c>
      <c r="F4253" s="2">
        <f>IFERROR(__xludf.DUMMYFUNCTION("""COMPUTED_VALUE"""),3008300.0)</f>
        <v>3008300</v>
      </c>
    </row>
    <row r="4254">
      <c r="A4254" s="3">
        <f>IFERROR(__xludf.DUMMYFUNCTION("""COMPUTED_VALUE"""),35362.666666666664)</f>
        <v>35362.66667</v>
      </c>
      <c r="B4254" s="2">
        <f>IFERROR(__xludf.DUMMYFUNCTION("""COMPUTED_VALUE"""),30.92)</f>
        <v>30.92</v>
      </c>
      <c r="C4254" s="2">
        <f>IFERROR(__xludf.DUMMYFUNCTION("""COMPUTED_VALUE"""),30.98)</f>
        <v>30.98</v>
      </c>
      <c r="D4254" s="2">
        <f>IFERROR(__xludf.DUMMYFUNCTION("""COMPUTED_VALUE"""),30.42)</f>
        <v>30.42</v>
      </c>
      <c r="E4254" s="2">
        <f>IFERROR(__xludf.DUMMYFUNCTION("""COMPUTED_VALUE"""),30.42)</f>
        <v>30.42</v>
      </c>
      <c r="F4254" s="2">
        <f>IFERROR(__xludf.DUMMYFUNCTION("""COMPUTED_VALUE"""),1793500.0)</f>
        <v>1793500</v>
      </c>
    </row>
    <row r="4255">
      <c r="A4255" s="3">
        <f>IFERROR(__xludf.DUMMYFUNCTION("""COMPUTED_VALUE"""),35363.666666666664)</f>
        <v>35363.66667</v>
      </c>
      <c r="B4255" s="2">
        <f>IFERROR(__xludf.DUMMYFUNCTION("""COMPUTED_VALUE"""),30.18)</f>
        <v>30.18</v>
      </c>
      <c r="C4255" s="2">
        <f>IFERROR(__xludf.DUMMYFUNCTION("""COMPUTED_VALUE"""),30.57)</f>
        <v>30.57</v>
      </c>
      <c r="D4255" s="2">
        <f>IFERROR(__xludf.DUMMYFUNCTION("""COMPUTED_VALUE"""),30.18)</f>
        <v>30.18</v>
      </c>
      <c r="E4255" s="2">
        <f>IFERROR(__xludf.DUMMYFUNCTION("""COMPUTED_VALUE"""),30.21)</f>
        <v>30.21</v>
      </c>
      <c r="F4255" s="2">
        <f>IFERROR(__xludf.DUMMYFUNCTION("""COMPUTED_VALUE"""),1625400.0)</f>
        <v>1625400</v>
      </c>
    </row>
    <row r="4256">
      <c r="A4256" s="3">
        <f>IFERROR(__xludf.DUMMYFUNCTION("""COMPUTED_VALUE"""),35366.666666666664)</f>
        <v>35366.66667</v>
      </c>
      <c r="B4256" s="2">
        <f>IFERROR(__xludf.DUMMYFUNCTION("""COMPUTED_VALUE"""),30.24)</f>
        <v>30.24</v>
      </c>
      <c r="C4256" s="2">
        <f>IFERROR(__xludf.DUMMYFUNCTION("""COMPUTED_VALUE"""),30.6)</f>
        <v>30.6</v>
      </c>
      <c r="D4256" s="2">
        <f>IFERROR(__xludf.DUMMYFUNCTION("""COMPUTED_VALUE"""),30.21)</f>
        <v>30.21</v>
      </c>
      <c r="E4256" s="2">
        <f>IFERROR(__xludf.DUMMYFUNCTION("""COMPUTED_VALUE"""),30.42)</f>
        <v>30.42</v>
      </c>
      <c r="F4256" s="2">
        <f>IFERROR(__xludf.DUMMYFUNCTION("""COMPUTED_VALUE"""),1848700.0)</f>
        <v>1848700</v>
      </c>
    </row>
    <row r="4257">
      <c r="A4257" s="3">
        <f>IFERROR(__xludf.DUMMYFUNCTION("""COMPUTED_VALUE"""),35367.666666666664)</f>
        <v>35367.66667</v>
      </c>
      <c r="B4257" s="2">
        <f>IFERROR(__xludf.DUMMYFUNCTION("""COMPUTED_VALUE"""),30.45)</f>
        <v>30.45</v>
      </c>
      <c r="C4257" s="2">
        <f>IFERROR(__xludf.DUMMYFUNCTION("""COMPUTED_VALUE"""),30.51)</f>
        <v>30.51</v>
      </c>
      <c r="D4257" s="2">
        <f>IFERROR(__xludf.DUMMYFUNCTION("""COMPUTED_VALUE"""),29.88)</f>
        <v>29.88</v>
      </c>
      <c r="E4257" s="2">
        <f>IFERROR(__xludf.DUMMYFUNCTION("""COMPUTED_VALUE"""),30.0)</f>
        <v>30</v>
      </c>
      <c r="F4257" s="2">
        <f>IFERROR(__xludf.DUMMYFUNCTION("""COMPUTED_VALUE"""),2533500.0)</f>
        <v>2533500</v>
      </c>
    </row>
    <row r="4258">
      <c r="A4258" s="3">
        <f>IFERROR(__xludf.DUMMYFUNCTION("""COMPUTED_VALUE"""),35368.666666666664)</f>
        <v>35368.66667</v>
      </c>
      <c r="B4258" s="2">
        <f>IFERROR(__xludf.DUMMYFUNCTION("""COMPUTED_VALUE"""),30.03)</f>
        <v>30.03</v>
      </c>
      <c r="C4258" s="2">
        <f>IFERROR(__xludf.DUMMYFUNCTION("""COMPUTED_VALUE"""),30.45)</f>
        <v>30.45</v>
      </c>
      <c r="D4258" s="2">
        <f>IFERROR(__xludf.DUMMYFUNCTION("""COMPUTED_VALUE"""),30.03)</f>
        <v>30.03</v>
      </c>
      <c r="E4258" s="2">
        <f>IFERROR(__xludf.DUMMYFUNCTION("""COMPUTED_VALUE"""),30.18)</f>
        <v>30.18</v>
      </c>
      <c r="F4258" s="2">
        <f>IFERROR(__xludf.DUMMYFUNCTION("""COMPUTED_VALUE"""),2078900.0)</f>
        <v>2078900</v>
      </c>
    </row>
    <row r="4259">
      <c r="A4259" s="3">
        <f>IFERROR(__xludf.DUMMYFUNCTION("""COMPUTED_VALUE"""),35369.666666666664)</f>
        <v>35369.66667</v>
      </c>
      <c r="B4259" s="2">
        <f>IFERROR(__xludf.DUMMYFUNCTION("""COMPUTED_VALUE"""),30.21)</f>
        <v>30.21</v>
      </c>
      <c r="C4259" s="2">
        <f>IFERROR(__xludf.DUMMYFUNCTION("""COMPUTED_VALUE"""),30.92)</f>
        <v>30.92</v>
      </c>
      <c r="D4259" s="2">
        <f>IFERROR(__xludf.DUMMYFUNCTION("""COMPUTED_VALUE"""),30.06)</f>
        <v>30.06</v>
      </c>
      <c r="E4259" s="2">
        <f>IFERROR(__xludf.DUMMYFUNCTION("""COMPUTED_VALUE"""),30.5)</f>
        <v>30.5</v>
      </c>
      <c r="F4259" s="2">
        <f>IFERROR(__xludf.DUMMYFUNCTION("""COMPUTED_VALUE"""),2147300.0)</f>
        <v>2147300</v>
      </c>
    </row>
    <row r="4260">
      <c r="A4260" s="3">
        <f>IFERROR(__xludf.DUMMYFUNCTION("""COMPUTED_VALUE"""),35370.666666666664)</f>
        <v>35370.66667</v>
      </c>
      <c r="B4260" s="2">
        <f>IFERROR(__xludf.DUMMYFUNCTION("""COMPUTED_VALUE"""),30.77)</f>
        <v>30.77</v>
      </c>
      <c r="C4260" s="2">
        <f>IFERROR(__xludf.DUMMYFUNCTION("""COMPUTED_VALUE"""),30.95)</f>
        <v>30.95</v>
      </c>
      <c r="D4260" s="2">
        <f>IFERROR(__xludf.DUMMYFUNCTION("""COMPUTED_VALUE"""),30.36)</f>
        <v>30.36</v>
      </c>
      <c r="E4260" s="2">
        <f>IFERROR(__xludf.DUMMYFUNCTION("""COMPUTED_VALUE"""),30.45)</f>
        <v>30.45</v>
      </c>
      <c r="F4260" s="2">
        <f>IFERROR(__xludf.DUMMYFUNCTION("""COMPUTED_VALUE"""),2067300.0)</f>
        <v>2067300</v>
      </c>
    </row>
    <row r="4261">
      <c r="A4261" s="3">
        <f>IFERROR(__xludf.DUMMYFUNCTION("""COMPUTED_VALUE"""),35373.666666666664)</f>
        <v>35373.66667</v>
      </c>
      <c r="B4261" s="2">
        <f>IFERROR(__xludf.DUMMYFUNCTION("""COMPUTED_VALUE"""),30.42)</f>
        <v>30.42</v>
      </c>
      <c r="C4261" s="2">
        <f>IFERROR(__xludf.DUMMYFUNCTION("""COMPUTED_VALUE"""),30.89)</f>
        <v>30.89</v>
      </c>
      <c r="D4261" s="2">
        <f>IFERROR(__xludf.DUMMYFUNCTION("""COMPUTED_VALUE"""),30.42)</f>
        <v>30.42</v>
      </c>
      <c r="E4261" s="2">
        <f>IFERROR(__xludf.DUMMYFUNCTION("""COMPUTED_VALUE"""),30.77)</f>
        <v>30.77</v>
      </c>
      <c r="F4261" s="2">
        <f>IFERROR(__xludf.DUMMYFUNCTION("""COMPUTED_VALUE"""),1526900.0)</f>
        <v>1526900</v>
      </c>
    </row>
    <row r="4262">
      <c r="A4262" s="3">
        <f>IFERROR(__xludf.DUMMYFUNCTION("""COMPUTED_VALUE"""),35374.666666666664)</f>
        <v>35374.66667</v>
      </c>
      <c r="B4262" s="2">
        <f>IFERROR(__xludf.DUMMYFUNCTION("""COMPUTED_VALUE"""),30.98)</f>
        <v>30.98</v>
      </c>
      <c r="C4262" s="2">
        <f>IFERROR(__xludf.DUMMYFUNCTION("""COMPUTED_VALUE"""),31.4)</f>
        <v>31.4</v>
      </c>
      <c r="D4262" s="2">
        <f>IFERROR(__xludf.DUMMYFUNCTION("""COMPUTED_VALUE"""),30.86)</f>
        <v>30.86</v>
      </c>
      <c r="E4262" s="2">
        <f>IFERROR(__xludf.DUMMYFUNCTION("""COMPUTED_VALUE"""),31.13)</f>
        <v>31.13</v>
      </c>
      <c r="F4262" s="2">
        <f>IFERROR(__xludf.DUMMYFUNCTION("""COMPUTED_VALUE"""),2912200.0)</f>
        <v>2912200</v>
      </c>
    </row>
    <row r="4263">
      <c r="A4263" s="3">
        <f>IFERROR(__xludf.DUMMYFUNCTION("""COMPUTED_VALUE"""),35375.666666666664)</f>
        <v>35375.66667</v>
      </c>
      <c r="B4263" s="2">
        <f>IFERROR(__xludf.DUMMYFUNCTION("""COMPUTED_VALUE"""),31.19)</f>
        <v>31.19</v>
      </c>
      <c r="C4263" s="2">
        <f>IFERROR(__xludf.DUMMYFUNCTION("""COMPUTED_VALUE"""),31.97)</f>
        <v>31.97</v>
      </c>
      <c r="D4263" s="2">
        <f>IFERROR(__xludf.DUMMYFUNCTION("""COMPUTED_VALUE"""),31.1)</f>
        <v>31.1</v>
      </c>
      <c r="E4263" s="2">
        <f>IFERROR(__xludf.DUMMYFUNCTION("""COMPUTED_VALUE"""),31.88)</f>
        <v>31.88</v>
      </c>
      <c r="F4263" s="2">
        <f>IFERROR(__xludf.DUMMYFUNCTION("""COMPUTED_VALUE"""),2885300.0)</f>
        <v>2885300</v>
      </c>
    </row>
    <row r="4264">
      <c r="A4264" s="3">
        <f>IFERROR(__xludf.DUMMYFUNCTION("""COMPUTED_VALUE"""),35376.666666666664)</f>
        <v>35376.66667</v>
      </c>
      <c r="B4264" s="2">
        <f>IFERROR(__xludf.DUMMYFUNCTION("""COMPUTED_VALUE"""),31.79)</f>
        <v>31.79</v>
      </c>
      <c r="C4264" s="2">
        <f>IFERROR(__xludf.DUMMYFUNCTION("""COMPUTED_VALUE"""),32.27)</f>
        <v>32.27</v>
      </c>
      <c r="D4264" s="2">
        <f>IFERROR(__xludf.DUMMYFUNCTION("""COMPUTED_VALUE"""),31.7)</f>
        <v>31.7</v>
      </c>
      <c r="E4264" s="2">
        <f>IFERROR(__xludf.DUMMYFUNCTION("""COMPUTED_VALUE"""),31.94)</f>
        <v>31.94</v>
      </c>
      <c r="F4264" s="2">
        <f>IFERROR(__xludf.DUMMYFUNCTION("""COMPUTED_VALUE"""),3481500.0)</f>
        <v>3481500</v>
      </c>
    </row>
    <row r="4265">
      <c r="A4265" s="3">
        <f>IFERROR(__xludf.DUMMYFUNCTION("""COMPUTED_VALUE"""),35377.666666666664)</f>
        <v>35377.66667</v>
      </c>
      <c r="B4265" s="2">
        <f>IFERROR(__xludf.DUMMYFUNCTION("""COMPUTED_VALUE"""),31.85)</f>
        <v>31.85</v>
      </c>
      <c r="C4265" s="2">
        <f>IFERROR(__xludf.DUMMYFUNCTION("""COMPUTED_VALUE"""),32.12)</f>
        <v>32.12</v>
      </c>
      <c r="D4265" s="2">
        <f>IFERROR(__xludf.DUMMYFUNCTION("""COMPUTED_VALUE"""),31.73)</f>
        <v>31.73</v>
      </c>
      <c r="E4265" s="2">
        <f>IFERROR(__xludf.DUMMYFUNCTION("""COMPUTED_VALUE"""),32.09)</f>
        <v>32.09</v>
      </c>
      <c r="F4265" s="2">
        <f>IFERROR(__xludf.DUMMYFUNCTION("""COMPUTED_VALUE"""),1569700.0)</f>
        <v>1569700</v>
      </c>
    </row>
    <row r="4266">
      <c r="A4266" s="3">
        <f>IFERROR(__xludf.DUMMYFUNCTION("""COMPUTED_VALUE"""),35380.666666666664)</f>
        <v>35380.66667</v>
      </c>
      <c r="B4266" s="2">
        <f>IFERROR(__xludf.DUMMYFUNCTION("""COMPUTED_VALUE"""),32.09)</f>
        <v>32.09</v>
      </c>
      <c r="C4266" s="2">
        <f>IFERROR(__xludf.DUMMYFUNCTION("""COMPUTED_VALUE"""),32.21)</f>
        <v>32.21</v>
      </c>
      <c r="D4266" s="2">
        <f>IFERROR(__xludf.DUMMYFUNCTION("""COMPUTED_VALUE"""),32.0)</f>
        <v>32</v>
      </c>
      <c r="E4266" s="2">
        <f>IFERROR(__xludf.DUMMYFUNCTION("""COMPUTED_VALUE"""),32.12)</f>
        <v>32.12</v>
      </c>
      <c r="F4266" s="2">
        <f>IFERROR(__xludf.DUMMYFUNCTION("""COMPUTED_VALUE"""),1431600.0)</f>
        <v>1431600</v>
      </c>
    </row>
    <row r="4267">
      <c r="A4267" s="3">
        <f>IFERROR(__xludf.DUMMYFUNCTION("""COMPUTED_VALUE"""),35381.666666666664)</f>
        <v>35381.66667</v>
      </c>
      <c r="B4267" s="2">
        <f>IFERROR(__xludf.DUMMYFUNCTION("""COMPUTED_VALUE"""),32.24)</f>
        <v>32.24</v>
      </c>
      <c r="C4267" s="2">
        <f>IFERROR(__xludf.DUMMYFUNCTION("""COMPUTED_VALUE"""),32.42)</f>
        <v>32.42</v>
      </c>
      <c r="D4267" s="2">
        <f>IFERROR(__xludf.DUMMYFUNCTION("""COMPUTED_VALUE"""),31.76)</f>
        <v>31.76</v>
      </c>
      <c r="E4267" s="2">
        <f>IFERROR(__xludf.DUMMYFUNCTION("""COMPUTED_VALUE"""),31.82)</f>
        <v>31.82</v>
      </c>
      <c r="F4267" s="2">
        <f>IFERROR(__xludf.DUMMYFUNCTION("""COMPUTED_VALUE"""),2724100.0)</f>
        <v>2724100</v>
      </c>
    </row>
    <row r="4268">
      <c r="A4268" s="3">
        <f>IFERROR(__xludf.DUMMYFUNCTION("""COMPUTED_VALUE"""),35382.666666666664)</f>
        <v>35382.66667</v>
      </c>
      <c r="B4268" s="2">
        <f>IFERROR(__xludf.DUMMYFUNCTION("""COMPUTED_VALUE"""),31.88)</f>
        <v>31.88</v>
      </c>
      <c r="C4268" s="2">
        <f>IFERROR(__xludf.DUMMYFUNCTION("""COMPUTED_VALUE"""),32.45)</f>
        <v>32.45</v>
      </c>
      <c r="D4268" s="2">
        <f>IFERROR(__xludf.DUMMYFUNCTION("""COMPUTED_VALUE"""),31.82)</f>
        <v>31.82</v>
      </c>
      <c r="E4268" s="2">
        <f>IFERROR(__xludf.DUMMYFUNCTION("""COMPUTED_VALUE"""),32.18)</f>
        <v>32.18</v>
      </c>
      <c r="F4268" s="2">
        <f>IFERROR(__xludf.DUMMYFUNCTION("""COMPUTED_VALUE"""),2389800.0)</f>
        <v>2389800</v>
      </c>
    </row>
    <row r="4269">
      <c r="A4269" s="3">
        <f>IFERROR(__xludf.DUMMYFUNCTION("""COMPUTED_VALUE"""),35383.666666666664)</f>
        <v>35383.66667</v>
      </c>
      <c r="B4269" s="2">
        <f>IFERROR(__xludf.DUMMYFUNCTION("""COMPUTED_VALUE"""),32.15)</f>
        <v>32.15</v>
      </c>
      <c r="C4269" s="2">
        <f>IFERROR(__xludf.DUMMYFUNCTION("""COMPUTED_VALUE"""),32.86)</f>
        <v>32.86</v>
      </c>
      <c r="D4269" s="2">
        <f>IFERROR(__xludf.DUMMYFUNCTION("""COMPUTED_VALUE"""),32.15)</f>
        <v>32.15</v>
      </c>
      <c r="E4269" s="2">
        <f>IFERROR(__xludf.DUMMYFUNCTION("""COMPUTED_VALUE"""),32.68)</f>
        <v>32.68</v>
      </c>
      <c r="F4269" s="2">
        <f>IFERROR(__xludf.DUMMYFUNCTION("""COMPUTED_VALUE"""),2774300.0)</f>
        <v>2774300</v>
      </c>
    </row>
    <row r="4270">
      <c r="A4270" s="3">
        <f>IFERROR(__xludf.DUMMYFUNCTION("""COMPUTED_VALUE"""),35384.666666666664)</f>
        <v>35384.66667</v>
      </c>
      <c r="B4270" s="2">
        <f>IFERROR(__xludf.DUMMYFUNCTION("""COMPUTED_VALUE"""),32.86)</f>
        <v>32.86</v>
      </c>
      <c r="C4270" s="2">
        <f>IFERROR(__xludf.DUMMYFUNCTION("""COMPUTED_VALUE"""),34.74)</f>
        <v>34.74</v>
      </c>
      <c r="D4270" s="2">
        <f>IFERROR(__xludf.DUMMYFUNCTION("""COMPUTED_VALUE"""),32.8)</f>
        <v>32.8</v>
      </c>
      <c r="E4270" s="2">
        <f>IFERROR(__xludf.DUMMYFUNCTION("""COMPUTED_VALUE"""),34.65)</f>
        <v>34.65</v>
      </c>
      <c r="F4270" s="2">
        <f>IFERROR(__xludf.DUMMYFUNCTION("""COMPUTED_VALUE"""),7798300.0)</f>
        <v>7798300</v>
      </c>
    </row>
    <row r="4271">
      <c r="A4271" s="3">
        <f>IFERROR(__xludf.DUMMYFUNCTION("""COMPUTED_VALUE"""),35387.666666666664)</f>
        <v>35387.66667</v>
      </c>
      <c r="B4271" s="2">
        <f>IFERROR(__xludf.DUMMYFUNCTION("""COMPUTED_VALUE"""),34.56)</f>
        <v>34.56</v>
      </c>
      <c r="C4271" s="2">
        <f>IFERROR(__xludf.DUMMYFUNCTION("""COMPUTED_VALUE"""),35.82)</f>
        <v>35.82</v>
      </c>
      <c r="D4271" s="2">
        <f>IFERROR(__xludf.DUMMYFUNCTION("""COMPUTED_VALUE"""),34.15)</f>
        <v>34.15</v>
      </c>
      <c r="E4271" s="2">
        <f>IFERROR(__xludf.DUMMYFUNCTION("""COMPUTED_VALUE"""),35.07)</f>
        <v>35.07</v>
      </c>
      <c r="F4271" s="2">
        <f>IFERROR(__xludf.DUMMYFUNCTION("""COMPUTED_VALUE"""),5776100.0)</f>
        <v>5776100</v>
      </c>
    </row>
    <row r="4272">
      <c r="A4272" s="3">
        <f>IFERROR(__xludf.DUMMYFUNCTION("""COMPUTED_VALUE"""),35388.666666666664)</f>
        <v>35388.66667</v>
      </c>
      <c r="B4272" s="2">
        <f>IFERROR(__xludf.DUMMYFUNCTION("""COMPUTED_VALUE"""),35.07)</f>
        <v>35.07</v>
      </c>
      <c r="C4272" s="2">
        <f>IFERROR(__xludf.DUMMYFUNCTION("""COMPUTED_VALUE"""),36.83)</f>
        <v>36.83</v>
      </c>
      <c r="D4272" s="2">
        <f>IFERROR(__xludf.DUMMYFUNCTION("""COMPUTED_VALUE"""),34.98)</f>
        <v>34.98</v>
      </c>
      <c r="E4272" s="2">
        <f>IFERROR(__xludf.DUMMYFUNCTION("""COMPUTED_VALUE"""),36.77)</f>
        <v>36.77</v>
      </c>
      <c r="F4272" s="2">
        <f>IFERROR(__xludf.DUMMYFUNCTION("""COMPUTED_VALUE"""),6028000.0)</f>
        <v>6028000</v>
      </c>
    </row>
    <row r="4273">
      <c r="A4273" s="3">
        <f>IFERROR(__xludf.DUMMYFUNCTION("""COMPUTED_VALUE"""),35389.666666666664)</f>
        <v>35389.66667</v>
      </c>
      <c r="B4273" s="2">
        <f>IFERROR(__xludf.DUMMYFUNCTION("""COMPUTED_VALUE"""),36.62)</f>
        <v>36.62</v>
      </c>
      <c r="C4273" s="2">
        <f>IFERROR(__xludf.DUMMYFUNCTION("""COMPUTED_VALUE"""),37.97)</f>
        <v>37.97</v>
      </c>
      <c r="D4273" s="2">
        <f>IFERROR(__xludf.DUMMYFUNCTION("""COMPUTED_VALUE"""),36.39)</f>
        <v>36.39</v>
      </c>
      <c r="E4273" s="2">
        <f>IFERROR(__xludf.DUMMYFUNCTION("""COMPUTED_VALUE"""),36.48)</f>
        <v>36.48</v>
      </c>
      <c r="F4273" s="2">
        <f>IFERROR(__xludf.DUMMYFUNCTION("""COMPUTED_VALUE"""),8233900.0)</f>
        <v>8233900</v>
      </c>
    </row>
    <row r="4274">
      <c r="A4274" s="3">
        <f>IFERROR(__xludf.DUMMYFUNCTION("""COMPUTED_VALUE"""),35390.666666666664)</f>
        <v>35390.66667</v>
      </c>
      <c r="B4274" s="2">
        <f>IFERROR(__xludf.DUMMYFUNCTION("""COMPUTED_VALUE"""),36.56)</f>
        <v>36.56</v>
      </c>
      <c r="C4274" s="2">
        <f>IFERROR(__xludf.DUMMYFUNCTION("""COMPUTED_VALUE"""),36.98)</f>
        <v>36.98</v>
      </c>
      <c r="D4274" s="2">
        <f>IFERROR(__xludf.DUMMYFUNCTION("""COMPUTED_VALUE"""),36.42)</f>
        <v>36.42</v>
      </c>
      <c r="E4274" s="2">
        <f>IFERROR(__xludf.DUMMYFUNCTION("""COMPUTED_VALUE"""),36.77)</f>
        <v>36.77</v>
      </c>
      <c r="F4274" s="2">
        <f>IFERROR(__xludf.DUMMYFUNCTION("""COMPUTED_VALUE"""),4650200.0)</f>
        <v>4650200</v>
      </c>
    </row>
    <row r="4275">
      <c r="A4275" s="3">
        <f>IFERROR(__xludf.DUMMYFUNCTION("""COMPUTED_VALUE"""),35391.666666666664)</f>
        <v>35391.66667</v>
      </c>
      <c r="B4275" s="2">
        <f>IFERROR(__xludf.DUMMYFUNCTION("""COMPUTED_VALUE"""),36.8)</f>
        <v>36.8</v>
      </c>
      <c r="C4275" s="2">
        <f>IFERROR(__xludf.DUMMYFUNCTION("""COMPUTED_VALUE"""),37.94)</f>
        <v>37.94</v>
      </c>
      <c r="D4275" s="2">
        <f>IFERROR(__xludf.DUMMYFUNCTION("""COMPUTED_VALUE"""),36.8)</f>
        <v>36.8</v>
      </c>
      <c r="E4275" s="2">
        <f>IFERROR(__xludf.DUMMYFUNCTION("""COMPUTED_VALUE"""),37.85)</f>
        <v>37.85</v>
      </c>
      <c r="F4275" s="2">
        <f>IFERROR(__xludf.DUMMYFUNCTION("""COMPUTED_VALUE"""),4081000.0)</f>
        <v>4081000</v>
      </c>
    </row>
    <row r="4276">
      <c r="A4276" s="3">
        <f>IFERROR(__xludf.DUMMYFUNCTION("""COMPUTED_VALUE"""),35394.666666666664)</f>
        <v>35394.66667</v>
      </c>
      <c r="B4276" s="2">
        <f>IFERROR(__xludf.DUMMYFUNCTION("""COMPUTED_VALUE"""),37.64)</f>
        <v>37.64</v>
      </c>
      <c r="C4276" s="2">
        <f>IFERROR(__xludf.DUMMYFUNCTION("""COMPUTED_VALUE"""),37.76)</f>
        <v>37.76</v>
      </c>
      <c r="D4276" s="2">
        <f>IFERROR(__xludf.DUMMYFUNCTION("""COMPUTED_VALUE"""),37.28)</f>
        <v>37.28</v>
      </c>
      <c r="E4276" s="2">
        <f>IFERROR(__xludf.DUMMYFUNCTION("""COMPUTED_VALUE"""),37.64)</f>
        <v>37.64</v>
      </c>
      <c r="F4276" s="2">
        <f>IFERROR(__xludf.DUMMYFUNCTION("""COMPUTED_VALUE"""),2833100.0)</f>
        <v>2833100</v>
      </c>
    </row>
    <row r="4277">
      <c r="A4277" s="3">
        <f>IFERROR(__xludf.DUMMYFUNCTION("""COMPUTED_VALUE"""),35395.666666666664)</f>
        <v>35395.66667</v>
      </c>
      <c r="B4277" s="2">
        <f>IFERROR(__xludf.DUMMYFUNCTION("""COMPUTED_VALUE"""),37.61)</f>
        <v>37.61</v>
      </c>
      <c r="C4277" s="2">
        <f>IFERROR(__xludf.DUMMYFUNCTION("""COMPUTED_VALUE"""),38.39)</f>
        <v>38.39</v>
      </c>
      <c r="D4277" s="2">
        <f>IFERROR(__xludf.DUMMYFUNCTION("""COMPUTED_VALUE"""),37.49)</f>
        <v>37.49</v>
      </c>
      <c r="E4277" s="2">
        <f>IFERROR(__xludf.DUMMYFUNCTION("""COMPUTED_VALUE"""),37.7)</f>
        <v>37.7</v>
      </c>
      <c r="F4277" s="2">
        <f>IFERROR(__xludf.DUMMYFUNCTION("""COMPUTED_VALUE"""),5510700.0)</f>
        <v>5510700</v>
      </c>
    </row>
    <row r="4278">
      <c r="A4278" s="3">
        <f>IFERROR(__xludf.DUMMYFUNCTION("""COMPUTED_VALUE"""),35396.666666666664)</f>
        <v>35396.66667</v>
      </c>
      <c r="B4278" s="2">
        <f>IFERROR(__xludf.DUMMYFUNCTION("""COMPUTED_VALUE"""),37.79)</f>
        <v>37.79</v>
      </c>
      <c r="C4278" s="2">
        <f>IFERROR(__xludf.DUMMYFUNCTION("""COMPUTED_VALUE"""),38.27)</f>
        <v>38.27</v>
      </c>
      <c r="D4278" s="2">
        <f>IFERROR(__xludf.DUMMYFUNCTION("""COMPUTED_VALUE"""),37.67)</f>
        <v>37.67</v>
      </c>
      <c r="E4278" s="2">
        <f>IFERROR(__xludf.DUMMYFUNCTION("""COMPUTED_VALUE"""),37.76)</f>
        <v>37.76</v>
      </c>
      <c r="F4278" s="2">
        <f>IFERROR(__xludf.DUMMYFUNCTION("""COMPUTED_VALUE"""),2799700.0)</f>
        <v>2799700</v>
      </c>
    </row>
    <row r="4279">
      <c r="A4279" s="3">
        <f>IFERROR(__xludf.DUMMYFUNCTION("""COMPUTED_VALUE"""),35398.666666666664)</f>
        <v>35398.66667</v>
      </c>
      <c r="B4279" s="2">
        <f>IFERROR(__xludf.DUMMYFUNCTION("""COMPUTED_VALUE"""),37.76)</f>
        <v>37.76</v>
      </c>
      <c r="C4279" s="2">
        <f>IFERROR(__xludf.DUMMYFUNCTION("""COMPUTED_VALUE"""),38.12)</f>
        <v>38.12</v>
      </c>
      <c r="D4279" s="2">
        <f>IFERROR(__xludf.DUMMYFUNCTION("""COMPUTED_VALUE"""),37.76)</f>
        <v>37.76</v>
      </c>
      <c r="E4279" s="2">
        <f>IFERROR(__xludf.DUMMYFUNCTION("""COMPUTED_VALUE"""),38.06)</f>
        <v>38.06</v>
      </c>
      <c r="F4279" s="2">
        <f>IFERROR(__xludf.DUMMYFUNCTION("""COMPUTED_VALUE"""),931300.0)</f>
        <v>931300</v>
      </c>
    </row>
    <row r="4280">
      <c r="A4280" s="3">
        <f>IFERROR(__xludf.DUMMYFUNCTION("""COMPUTED_VALUE"""),35401.666666666664)</f>
        <v>35401.66667</v>
      </c>
      <c r="B4280" s="2">
        <f>IFERROR(__xludf.DUMMYFUNCTION("""COMPUTED_VALUE"""),38.12)</f>
        <v>38.12</v>
      </c>
      <c r="C4280" s="2">
        <f>IFERROR(__xludf.DUMMYFUNCTION("""COMPUTED_VALUE"""),39.04)</f>
        <v>39.04</v>
      </c>
      <c r="D4280" s="2">
        <f>IFERROR(__xludf.DUMMYFUNCTION("""COMPUTED_VALUE"""),38.12)</f>
        <v>38.12</v>
      </c>
      <c r="E4280" s="2">
        <f>IFERROR(__xludf.DUMMYFUNCTION("""COMPUTED_VALUE"""),38.92)</f>
        <v>38.92</v>
      </c>
      <c r="F4280" s="2">
        <f>IFERROR(__xludf.DUMMYFUNCTION("""COMPUTED_VALUE"""),3315800.0)</f>
        <v>3315800</v>
      </c>
    </row>
    <row r="4281">
      <c r="A4281" s="3">
        <f>IFERROR(__xludf.DUMMYFUNCTION("""COMPUTED_VALUE"""),35402.666666666664)</f>
        <v>35402.66667</v>
      </c>
      <c r="B4281" s="2">
        <f>IFERROR(__xludf.DUMMYFUNCTION("""COMPUTED_VALUE"""),39.07)</f>
        <v>39.07</v>
      </c>
      <c r="C4281" s="2">
        <f>IFERROR(__xludf.DUMMYFUNCTION("""COMPUTED_VALUE"""),39.64)</f>
        <v>39.64</v>
      </c>
      <c r="D4281" s="2">
        <f>IFERROR(__xludf.DUMMYFUNCTION("""COMPUTED_VALUE"""),38.83)</f>
        <v>38.83</v>
      </c>
      <c r="E4281" s="2">
        <f>IFERROR(__xludf.DUMMYFUNCTION("""COMPUTED_VALUE"""),38.83)</f>
        <v>38.83</v>
      </c>
      <c r="F4281" s="2">
        <f>IFERROR(__xludf.DUMMYFUNCTION("""COMPUTED_VALUE"""),4677800.0)</f>
        <v>4677800</v>
      </c>
    </row>
    <row r="4282">
      <c r="A4282" s="3">
        <f>IFERROR(__xludf.DUMMYFUNCTION("""COMPUTED_VALUE"""),35403.666666666664)</f>
        <v>35403.66667</v>
      </c>
      <c r="B4282" s="2">
        <f>IFERROR(__xludf.DUMMYFUNCTION("""COMPUTED_VALUE"""),38.89)</f>
        <v>38.89</v>
      </c>
      <c r="C4282" s="2">
        <f>IFERROR(__xludf.DUMMYFUNCTION("""COMPUTED_VALUE"""),39.16)</f>
        <v>39.16</v>
      </c>
      <c r="D4282" s="2">
        <f>IFERROR(__xludf.DUMMYFUNCTION("""COMPUTED_VALUE"""),38.0)</f>
        <v>38</v>
      </c>
      <c r="E4282" s="2">
        <f>IFERROR(__xludf.DUMMYFUNCTION("""COMPUTED_VALUE"""),38.68)</f>
        <v>38.68</v>
      </c>
      <c r="F4282" s="2">
        <f>IFERROR(__xludf.DUMMYFUNCTION("""COMPUTED_VALUE"""),4437500.0)</f>
        <v>4437500</v>
      </c>
    </row>
    <row r="4283">
      <c r="A4283" s="3">
        <f>IFERROR(__xludf.DUMMYFUNCTION("""COMPUTED_VALUE"""),35404.666666666664)</f>
        <v>35404.66667</v>
      </c>
      <c r="B4283" s="2">
        <f>IFERROR(__xludf.DUMMYFUNCTION("""COMPUTED_VALUE"""),38.53)</f>
        <v>38.53</v>
      </c>
      <c r="C4283" s="2">
        <f>IFERROR(__xludf.DUMMYFUNCTION("""COMPUTED_VALUE"""),38.83)</f>
        <v>38.83</v>
      </c>
      <c r="D4283" s="2">
        <f>IFERROR(__xludf.DUMMYFUNCTION("""COMPUTED_VALUE"""),37.82)</f>
        <v>37.82</v>
      </c>
      <c r="E4283" s="2">
        <f>IFERROR(__xludf.DUMMYFUNCTION("""COMPUTED_VALUE"""),37.85)</f>
        <v>37.85</v>
      </c>
      <c r="F4283" s="2">
        <f>IFERROR(__xludf.DUMMYFUNCTION("""COMPUTED_VALUE"""),3018100.0)</f>
        <v>3018100</v>
      </c>
    </row>
    <row r="4284">
      <c r="A4284" s="3">
        <f>IFERROR(__xludf.DUMMYFUNCTION("""COMPUTED_VALUE"""),35405.666666666664)</f>
        <v>35405.66667</v>
      </c>
      <c r="B4284" s="2">
        <f>IFERROR(__xludf.DUMMYFUNCTION("""COMPUTED_VALUE"""),36.77)</f>
        <v>36.77</v>
      </c>
      <c r="C4284" s="2">
        <f>IFERROR(__xludf.DUMMYFUNCTION("""COMPUTED_VALUE"""),37.73)</f>
        <v>37.73</v>
      </c>
      <c r="D4284" s="2">
        <f>IFERROR(__xludf.DUMMYFUNCTION("""COMPUTED_VALUE"""),36.65)</f>
        <v>36.65</v>
      </c>
      <c r="E4284" s="2">
        <f>IFERROR(__xludf.DUMMYFUNCTION("""COMPUTED_VALUE"""),37.19)</f>
        <v>37.19</v>
      </c>
      <c r="F4284" s="2">
        <f>IFERROR(__xludf.DUMMYFUNCTION("""COMPUTED_VALUE"""),6051200.0)</f>
        <v>6051200</v>
      </c>
    </row>
    <row r="4285">
      <c r="A4285" s="3">
        <f>IFERROR(__xludf.DUMMYFUNCTION("""COMPUTED_VALUE"""),35408.666666666664)</f>
        <v>35408.66667</v>
      </c>
      <c r="B4285" s="2">
        <f>IFERROR(__xludf.DUMMYFUNCTION("""COMPUTED_VALUE"""),37.4)</f>
        <v>37.4</v>
      </c>
      <c r="C4285" s="2">
        <f>IFERROR(__xludf.DUMMYFUNCTION("""COMPUTED_VALUE"""),38.24)</f>
        <v>38.24</v>
      </c>
      <c r="D4285" s="2">
        <f>IFERROR(__xludf.DUMMYFUNCTION("""COMPUTED_VALUE"""),37.31)</f>
        <v>37.31</v>
      </c>
      <c r="E4285" s="2">
        <f>IFERROR(__xludf.DUMMYFUNCTION("""COMPUTED_VALUE"""),38.21)</f>
        <v>38.21</v>
      </c>
      <c r="F4285" s="2">
        <f>IFERROR(__xludf.DUMMYFUNCTION("""COMPUTED_VALUE"""),2765900.0)</f>
        <v>2765900</v>
      </c>
    </row>
    <row r="4286">
      <c r="A4286" s="3">
        <f>IFERROR(__xludf.DUMMYFUNCTION("""COMPUTED_VALUE"""),35409.666666666664)</f>
        <v>35409.66667</v>
      </c>
      <c r="B4286" s="2">
        <f>IFERROR(__xludf.DUMMYFUNCTION("""COMPUTED_VALUE"""),38.56)</f>
        <v>38.56</v>
      </c>
      <c r="C4286" s="2">
        <f>IFERROR(__xludf.DUMMYFUNCTION("""COMPUTED_VALUE"""),38.62)</f>
        <v>38.62</v>
      </c>
      <c r="D4286" s="2">
        <f>IFERROR(__xludf.DUMMYFUNCTION("""COMPUTED_VALUE"""),37.67)</f>
        <v>37.67</v>
      </c>
      <c r="E4286" s="2">
        <f>IFERROR(__xludf.DUMMYFUNCTION("""COMPUTED_VALUE"""),37.73)</f>
        <v>37.73</v>
      </c>
      <c r="F4286" s="2">
        <f>IFERROR(__xludf.DUMMYFUNCTION("""COMPUTED_VALUE"""),3093000.0)</f>
        <v>3093000</v>
      </c>
    </row>
    <row r="4287">
      <c r="A4287" s="3">
        <f>IFERROR(__xludf.DUMMYFUNCTION("""COMPUTED_VALUE"""),35410.666666666664)</f>
        <v>35410.66667</v>
      </c>
      <c r="B4287" s="2">
        <f>IFERROR(__xludf.DUMMYFUNCTION("""COMPUTED_VALUE"""),37.07)</f>
        <v>37.07</v>
      </c>
      <c r="C4287" s="2">
        <f>IFERROR(__xludf.DUMMYFUNCTION("""COMPUTED_VALUE"""),37.88)</f>
        <v>37.88</v>
      </c>
      <c r="D4287" s="2">
        <f>IFERROR(__xludf.DUMMYFUNCTION("""COMPUTED_VALUE"""),36.71)</f>
        <v>36.71</v>
      </c>
      <c r="E4287" s="2">
        <f>IFERROR(__xludf.DUMMYFUNCTION("""COMPUTED_VALUE"""),37.31)</f>
        <v>37.31</v>
      </c>
      <c r="F4287" s="2">
        <f>IFERROR(__xludf.DUMMYFUNCTION("""COMPUTED_VALUE"""),5861000.0)</f>
        <v>5861000</v>
      </c>
    </row>
    <row r="4288">
      <c r="A4288" s="3">
        <f>IFERROR(__xludf.DUMMYFUNCTION("""COMPUTED_VALUE"""),35411.666666666664)</f>
        <v>35411.66667</v>
      </c>
      <c r="B4288" s="2">
        <f>IFERROR(__xludf.DUMMYFUNCTION("""COMPUTED_VALUE"""),37.76)</f>
        <v>37.76</v>
      </c>
      <c r="C4288" s="2">
        <f>IFERROR(__xludf.DUMMYFUNCTION("""COMPUTED_VALUE"""),37.85)</f>
        <v>37.85</v>
      </c>
      <c r="D4288" s="2">
        <f>IFERROR(__xludf.DUMMYFUNCTION("""COMPUTED_VALUE"""),36.18)</f>
        <v>36.18</v>
      </c>
      <c r="E4288" s="2">
        <f>IFERROR(__xludf.DUMMYFUNCTION("""COMPUTED_VALUE"""),36.21)</f>
        <v>36.21</v>
      </c>
      <c r="F4288" s="2">
        <f>IFERROR(__xludf.DUMMYFUNCTION("""COMPUTED_VALUE"""),3604500.0)</f>
        <v>3604500</v>
      </c>
    </row>
    <row r="4289">
      <c r="A4289" s="3">
        <f>IFERROR(__xludf.DUMMYFUNCTION("""COMPUTED_VALUE"""),35412.666666666664)</f>
        <v>35412.66667</v>
      </c>
      <c r="B4289" s="2">
        <f>IFERROR(__xludf.DUMMYFUNCTION("""COMPUTED_VALUE"""),36.36)</f>
        <v>36.36</v>
      </c>
      <c r="C4289" s="2">
        <f>IFERROR(__xludf.DUMMYFUNCTION("""COMPUTED_VALUE"""),36.98)</f>
        <v>36.98</v>
      </c>
      <c r="D4289" s="2">
        <f>IFERROR(__xludf.DUMMYFUNCTION("""COMPUTED_VALUE"""),36.27)</f>
        <v>36.27</v>
      </c>
      <c r="E4289" s="2">
        <f>IFERROR(__xludf.DUMMYFUNCTION("""COMPUTED_VALUE"""),36.51)</f>
        <v>36.51</v>
      </c>
      <c r="F4289" s="2">
        <f>IFERROR(__xludf.DUMMYFUNCTION("""COMPUTED_VALUE"""),3888600.0)</f>
        <v>3888600</v>
      </c>
    </row>
    <row r="4290">
      <c r="A4290" s="3">
        <f>IFERROR(__xludf.DUMMYFUNCTION("""COMPUTED_VALUE"""),35415.666666666664)</f>
        <v>35415.66667</v>
      </c>
      <c r="B4290" s="2">
        <f>IFERROR(__xludf.DUMMYFUNCTION("""COMPUTED_VALUE"""),36.54)</f>
        <v>36.54</v>
      </c>
      <c r="C4290" s="2">
        <f>IFERROR(__xludf.DUMMYFUNCTION("""COMPUTED_VALUE"""),36.83)</f>
        <v>36.83</v>
      </c>
      <c r="D4290" s="2">
        <f>IFERROR(__xludf.DUMMYFUNCTION("""COMPUTED_VALUE"""),35.16)</f>
        <v>35.16</v>
      </c>
      <c r="E4290" s="2">
        <f>IFERROR(__xludf.DUMMYFUNCTION("""COMPUTED_VALUE"""),35.55)</f>
        <v>35.55</v>
      </c>
      <c r="F4290" s="2">
        <f>IFERROR(__xludf.DUMMYFUNCTION("""COMPUTED_VALUE"""),3591800.0)</f>
        <v>3591800</v>
      </c>
    </row>
    <row r="4291">
      <c r="A4291" s="3">
        <f>IFERROR(__xludf.DUMMYFUNCTION("""COMPUTED_VALUE"""),35416.666666666664)</f>
        <v>35416.66667</v>
      </c>
      <c r="B4291" s="2">
        <f>IFERROR(__xludf.DUMMYFUNCTION("""COMPUTED_VALUE"""),35.43)</f>
        <v>35.43</v>
      </c>
      <c r="C4291" s="2">
        <f>IFERROR(__xludf.DUMMYFUNCTION("""COMPUTED_VALUE"""),36.68)</f>
        <v>36.68</v>
      </c>
      <c r="D4291" s="2">
        <f>IFERROR(__xludf.DUMMYFUNCTION("""COMPUTED_VALUE"""),35.19)</f>
        <v>35.19</v>
      </c>
      <c r="E4291" s="2">
        <f>IFERROR(__xludf.DUMMYFUNCTION("""COMPUTED_VALUE"""),36.27)</f>
        <v>36.27</v>
      </c>
      <c r="F4291" s="2">
        <f>IFERROR(__xludf.DUMMYFUNCTION("""COMPUTED_VALUE"""),4020600.0)</f>
        <v>4020600</v>
      </c>
    </row>
    <row r="4292">
      <c r="A4292" s="3">
        <f>IFERROR(__xludf.DUMMYFUNCTION("""COMPUTED_VALUE"""),35417.666666666664)</f>
        <v>35417.66667</v>
      </c>
      <c r="B4292" s="2">
        <f>IFERROR(__xludf.DUMMYFUNCTION("""COMPUTED_VALUE"""),36.42)</f>
        <v>36.42</v>
      </c>
      <c r="C4292" s="2">
        <f>IFERROR(__xludf.DUMMYFUNCTION("""COMPUTED_VALUE"""),37.97)</f>
        <v>37.97</v>
      </c>
      <c r="D4292" s="2">
        <f>IFERROR(__xludf.DUMMYFUNCTION("""COMPUTED_VALUE"""),36.39)</f>
        <v>36.39</v>
      </c>
      <c r="E4292" s="2">
        <f>IFERROR(__xludf.DUMMYFUNCTION("""COMPUTED_VALUE"""),37.88)</f>
        <v>37.88</v>
      </c>
      <c r="F4292" s="2">
        <f>IFERROR(__xludf.DUMMYFUNCTION("""COMPUTED_VALUE"""),3610200.0)</f>
        <v>3610200</v>
      </c>
    </row>
    <row r="4293">
      <c r="A4293" s="3">
        <f>IFERROR(__xludf.DUMMYFUNCTION("""COMPUTED_VALUE"""),35418.666666666664)</f>
        <v>35418.66667</v>
      </c>
      <c r="B4293" s="2">
        <f>IFERROR(__xludf.DUMMYFUNCTION("""COMPUTED_VALUE"""),38.15)</f>
        <v>38.15</v>
      </c>
      <c r="C4293" s="2">
        <f>IFERROR(__xludf.DUMMYFUNCTION("""COMPUTED_VALUE"""),38.15)</f>
        <v>38.15</v>
      </c>
      <c r="D4293" s="2">
        <f>IFERROR(__xludf.DUMMYFUNCTION("""COMPUTED_VALUE"""),37.55)</f>
        <v>37.55</v>
      </c>
      <c r="E4293" s="2">
        <f>IFERROR(__xludf.DUMMYFUNCTION("""COMPUTED_VALUE"""),37.73)</f>
        <v>37.73</v>
      </c>
      <c r="F4293" s="2">
        <f>IFERROR(__xludf.DUMMYFUNCTION("""COMPUTED_VALUE"""),3402000.0)</f>
        <v>3402000</v>
      </c>
    </row>
    <row r="4294">
      <c r="A4294" s="3">
        <f>IFERROR(__xludf.DUMMYFUNCTION("""COMPUTED_VALUE"""),35419.666666666664)</f>
        <v>35419.66667</v>
      </c>
      <c r="B4294" s="2">
        <f>IFERROR(__xludf.DUMMYFUNCTION("""COMPUTED_VALUE"""),37.76)</f>
        <v>37.76</v>
      </c>
      <c r="C4294" s="2">
        <f>IFERROR(__xludf.DUMMYFUNCTION("""COMPUTED_VALUE"""),37.82)</f>
        <v>37.82</v>
      </c>
      <c r="D4294" s="2">
        <f>IFERROR(__xludf.DUMMYFUNCTION("""COMPUTED_VALUE"""),36.8)</f>
        <v>36.8</v>
      </c>
      <c r="E4294" s="2">
        <f>IFERROR(__xludf.DUMMYFUNCTION("""COMPUTED_VALUE"""),36.89)</f>
        <v>36.89</v>
      </c>
      <c r="F4294" s="2">
        <f>IFERROR(__xludf.DUMMYFUNCTION("""COMPUTED_VALUE"""),4177200.0)</f>
        <v>4177200</v>
      </c>
    </row>
    <row r="4295">
      <c r="A4295" s="3">
        <f>IFERROR(__xludf.DUMMYFUNCTION("""COMPUTED_VALUE"""),35422.666666666664)</f>
        <v>35422.66667</v>
      </c>
      <c r="B4295" s="2">
        <f>IFERROR(__xludf.DUMMYFUNCTION("""COMPUTED_VALUE"""),36.8)</f>
        <v>36.8</v>
      </c>
      <c r="C4295" s="2">
        <f>IFERROR(__xludf.DUMMYFUNCTION("""COMPUTED_VALUE"""),36.8)</f>
        <v>36.8</v>
      </c>
      <c r="D4295" s="2">
        <f>IFERROR(__xludf.DUMMYFUNCTION("""COMPUTED_VALUE"""),36.8)</f>
        <v>36.8</v>
      </c>
      <c r="E4295" s="2">
        <f>IFERROR(__xludf.DUMMYFUNCTION("""COMPUTED_VALUE"""),36.8)</f>
        <v>36.8</v>
      </c>
      <c r="F4295" s="2">
        <f>IFERROR(__xludf.DUMMYFUNCTION("""COMPUTED_VALUE"""),0.0)</f>
        <v>0</v>
      </c>
    </row>
    <row r="4296">
      <c r="A4296" s="3">
        <f>IFERROR(__xludf.DUMMYFUNCTION("""COMPUTED_VALUE"""),35423.666666666664)</f>
        <v>35423.66667</v>
      </c>
      <c r="B4296" s="2">
        <f>IFERROR(__xludf.DUMMYFUNCTION("""COMPUTED_VALUE"""),36.8)</f>
        <v>36.8</v>
      </c>
      <c r="C4296" s="2">
        <f>IFERROR(__xludf.DUMMYFUNCTION("""COMPUTED_VALUE"""),37.25)</f>
        <v>37.25</v>
      </c>
      <c r="D4296" s="2">
        <f>IFERROR(__xludf.DUMMYFUNCTION("""COMPUTED_VALUE"""),36.8)</f>
        <v>36.8</v>
      </c>
      <c r="E4296" s="2">
        <f>IFERROR(__xludf.DUMMYFUNCTION("""COMPUTED_VALUE"""),37.19)</f>
        <v>37.19</v>
      </c>
      <c r="F4296" s="2">
        <f>IFERROR(__xludf.DUMMYFUNCTION("""COMPUTED_VALUE"""),665100.0)</f>
        <v>665100</v>
      </c>
    </row>
    <row r="4297">
      <c r="A4297" s="3">
        <f>IFERROR(__xludf.DUMMYFUNCTION("""COMPUTED_VALUE"""),35425.666666666664)</f>
        <v>35425.66667</v>
      </c>
      <c r="B4297" s="2">
        <f>IFERROR(__xludf.DUMMYFUNCTION("""COMPUTED_VALUE"""),37.58)</f>
        <v>37.58</v>
      </c>
      <c r="C4297" s="2">
        <f>IFERROR(__xludf.DUMMYFUNCTION("""COMPUTED_VALUE"""),37.85)</f>
        <v>37.85</v>
      </c>
      <c r="D4297" s="2">
        <f>IFERROR(__xludf.DUMMYFUNCTION("""COMPUTED_VALUE"""),37.04)</f>
        <v>37.04</v>
      </c>
      <c r="E4297" s="2">
        <f>IFERROR(__xludf.DUMMYFUNCTION("""COMPUTED_VALUE"""),37.19)</f>
        <v>37.19</v>
      </c>
      <c r="F4297" s="2">
        <f>IFERROR(__xludf.DUMMYFUNCTION("""COMPUTED_VALUE"""),1129800.0)</f>
        <v>1129800</v>
      </c>
    </row>
    <row r="4298">
      <c r="A4298" s="3">
        <f>IFERROR(__xludf.DUMMYFUNCTION("""COMPUTED_VALUE"""),35426.666666666664)</f>
        <v>35426.66667</v>
      </c>
      <c r="B4298" s="2">
        <f>IFERROR(__xludf.DUMMYFUNCTION("""COMPUTED_VALUE"""),37.16)</f>
        <v>37.16</v>
      </c>
      <c r="C4298" s="2">
        <f>IFERROR(__xludf.DUMMYFUNCTION("""COMPUTED_VALUE"""),37.16)</f>
        <v>37.16</v>
      </c>
      <c r="D4298" s="2">
        <f>IFERROR(__xludf.DUMMYFUNCTION("""COMPUTED_VALUE"""),36.65)</f>
        <v>36.65</v>
      </c>
      <c r="E4298" s="2">
        <f>IFERROR(__xludf.DUMMYFUNCTION("""COMPUTED_VALUE"""),37.04)</f>
        <v>37.04</v>
      </c>
      <c r="F4298" s="2">
        <f>IFERROR(__xludf.DUMMYFUNCTION("""COMPUTED_VALUE"""),1262300.0)</f>
        <v>1262300</v>
      </c>
    </row>
    <row r="4299">
      <c r="A4299" s="3">
        <f>IFERROR(__xludf.DUMMYFUNCTION("""COMPUTED_VALUE"""),35429.666666666664)</f>
        <v>35429.66667</v>
      </c>
      <c r="B4299" s="2">
        <f>IFERROR(__xludf.DUMMYFUNCTION("""COMPUTED_VALUE"""),37.07)</f>
        <v>37.07</v>
      </c>
      <c r="C4299" s="2">
        <f>IFERROR(__xludf.DUMMYFUNCTION("""COMPUTED_VALUE"""),37.13)</f>
        <v>37.13</v>
      </c>
      <c r="D4299" s="2">
        <f>IFERROR(__xludf.DUMMYFUNCTION("""COMPUTED_VALUE"""),36.68)</f>
        <v>36.68</v>
      </c>
      <c r="E4299" s="2">
        <f>IFERROR(__xludf.DUMMYFUNCTION("""COMPUTED_VALUE"""),36.68)</f>
        <v>36.68</v>
      </c>
      <c r="F4299" s="2">
        <f>IFERROR(__xludf.DUMMYFUNCTION("""COMPUTED_VALUE"""),1041500.0)</f>
        <v>1041500</v>
      </c>
    </row>
    <row r="4300">
      <c r="A4300" s="3">
        <f>IFERROR(__xludf.DUMMYFUNCTION("""COMPUTED_VALUE"""),35430.666666666664)</f>
        <v>35430.66667</v>
      </c>
      <c r="B4300" s="2">
        <f>IFERROR(__xludf.DUMMYFUNCTION("""COMPUTED_VALUE"""),36.71)</f>
        <v>36.71</v>
      </c>
      <c r="C4300" s="2">
        <f>IFERROR(__xludf.DUMMYFUNCTION("""COMPUTED_VALUE"""),37.1)</f>
        <v>37.1</v>
      </c>
      <c r="D4300" s="2">
        <f>IFERROR(__xludf.DUMMYFUNCTION("""COMPUTED_VALUE"""),36.03)</f>
        <v>36.03</v>
      </c>
      <c r="E4300" s="2">
        <f>IFERROR(__xludf.DUMMYFUNCTION("""COMPUTED_VALUE"""),36.18)</f>
        <v>36.18</v>
      </c>
      <c r="F4300" s="2">
        <f>IFERROR(__xludf.DUMMYFUNCTION("""COMPUTED_VALUE"""),1756000.0)</f>
        <v>1756000</v>
      </c>
    </row>
    <row r="4301">
      <c r="A4301" s="3">
        <f>IFERROR(__xludf.DUMMYFUNCTION("""COMPUTED_VALUE"""),35432.666666666664)</f>
        <v>35432.66667</v>
      </c>
      <c r="B4301" s="2">
        <f>IFERROR(__xludf.DUMMYFUNCTION("""COMPUTED_VALUE"""),36.71)</f>
        <v>36.71</v>
      </c>
      <c r="C4301" s="2">
        <f>IFERROR(__xludf.DUMMYFUNCTION("""COMPUTED_VALUE"""),36.86)</f>
        <v>36.86</v>
      </c>
      <c r="D4301" s="2">
        <f>IFERROR(__xludf.DUMMYFUNCTION("""COMPUTED_VALUE"""),35.88)</f>
        <v>35.88</v>
      </c>
      <c r="E4301" s="2">
        <f>IFERROR(__xludf.DUMMYFUNCTION("""COMPUTED_VALUE"""),36.59)</f>
        <v>36.59</v>
      </c>
      <c r="F4301" s="2">
        <f>IFERROR(__xludf.DUMMYFUNCTION("""COMPUTED_VALUE"""),4194600.0)</f>
        <v>4194600</v>
      </c>
    </row>
    <row r="4302">
      <c r="A4302" s="3">
        <f>IFERROR(__xludf.DUMMYFUNCTION("""COMPUTED_VALUE"""),35433.666666666664)</f>
        <v>35433.66667</v>
      </c>
      <c r="B4302" s="2">
        <f>IFERROR(__xludf.DUMMYFUNCTION("""COMPUTED_VALUE"""),37.01)</f>
        <v>37.01</v>
      </c>
      <c r="C4302" s="2">
        <f>IFERROR(__xludf.DUMMYFUNCTION("""COMPUTED_VALUE"""),38.0)</f>
        <v>38</v>
      </c>
      <c r="D4302" s="2">
        <f>IFERROR(__xludf.DUMMYFUNCTION("""COMPUTED_VALUE"""),36.98)</f>
        <v>36.98</v>
      </c>
      <c r="E4302" s="2">
        <f>IFERROR(__xludf.DUMMYFUNCTION("""COMPUTED_VALUE"""),38.0)</f>
        <v>38</v>
      </c>
      <c r="F4302" s="2">
        <f>IFERROR(__xludf.DUMMYFUNCTION("""COMPUTED_VALUE"""),3225000.0)</f>
        <v>3225000</v>
      </c>
    </row>
    <row r="4303">
      <c r="A4303" s="3">
        <f>IFERROR(__xludf.DUMMYFUNCTION("""COMPUTED_VALUE"""),35436.666666666664)</f>
        <v>35436.66667</v>
      </c>
      <c r="B4303" s="2">
        <f>IFERROR(__xludf.DUMMYFUNCTION("""COMPUTED_VALUE"""),38.06)</f>
        <v>38.06</v>
      </c>
      <c r="C4303" s="2">
        <f>IFERROR(__xludf.DUMMYFUNCTION("""COMPUTED_VALUE"""),39.01)</f>
        <v>39.01</v>
      </c>
      <c r="D4303" s="2">
        <f>IFERROR(__xludf.DUMMYFUNCTION("""COMPUTED_VALUE"""),37.85)</f>
        <v>37.85</v>
      </c>
      <c r="E4303" s="2">
        <f>IFERROR(__xludf.DUMMYFUNCTION("""COMPUTED_VALUE"""),38.51)</f>
        <v>38.51</v>
      </c>
      <c r="F4303" s="2">
        <f>IFERROR(__xludf.DUMMYFUNCTION("""COMPUTED_VALUE"""),4811100.0)</f>
        <v>4811100</v>
      </c>
    </row>
    <row r="4304">
      <c r="A4304" s="3">
        <f>IFERROR(__xludf.DUMMYFUNCTION("""COMPUTED_VALUE"""),35437.666666666664)</f>
        <v>35437.66667</v>
      </c>
      <c r="B4304" s="2">
        <f>IFERROR(__xludf.DUMMYFUNCTION("""COMPUTED_VALUE"""),38.42)</f>
        <v>38.42</v>
      </c>
      <c r="C4304" s="2">
        <f>IFERROR(__xludf.DUMMYFUNCTION("""COMPUTED_VALUE"""),39.1)</f>
        <v>39.1</v>
      </c>
      <c r="D4304" s="2">
        <f>IFERROR(__xludf.DUMMYFUNCTION("""COMPUTED_VALUE"""),38.06)</f>
        <v>38.06</v>
      </c>
      <c r="E4304" s="2">
        <f>IFERROR(__xludf.DUMMYFUNCTION("""COMPUTED_VALUE"""),39.01)</f>
        <v>39.01</v>
      </c>
      <c r="F4304" s="2">
        <f>IFERROR(__xludf.DUMMYFUNCTION("""COMPUTED_VALUE"""),2634200.0)</f>
        <v>2634200</v>
      </c>
    </row>
    <row r="4305">
      <c r="A4305" s="3">
        <f>IFERROR(__xludf.DUMMYFUNCTION("""COMPUTED_VALUE"""),35438.666666666664)</f>
        <v>35438.66667</v>
      </c>
      <c r="B4305" s="2">
        <f>IFERROR(__xludf.DUMMYFUNCTION("""COMPUTED_VALUE"""),39.19)</f>
        <v>39.19</v>
      </c>
      <c r="C4305" s="2">
        <f>IFERROR(__xludf.DUMMYFUNCTION("""COMPUTED_VALUE"""),39.22)</f>
        <v>39.22</v>
      </c>
      <c r="D4305" s="2">
        <f>IFERROR(__xludf.DUMMYFUNCTION("""COMPUTED_VALUE"""),38.0)</f>
        <v>38</v>
      </c>
      <c r="E4305" s="2">
        <f>IFERROR(__xludf.DUMMYFUNCTION("""COMPUTED_VALUE"""),38.18)</f>
        <v>38.18</v>
      </c>
      <c r="F4305" s="2">
        <f>IFERROR(__xludf.DUMMYFUNCTION("""COMPUTED_VALUE"""),2922900.0)</f>
        <v>2922900</v>
      </c>
    </row>
    <row r="4306">
      <c r="A4306" s="3">
        <f>IFERROR(__xludf.DUMMYFUNCTION("""COMPUTED_VALUE"""),35439.666666666664)</f>
        <v>35439.66667</v>
      </c>
      <c r="B4306" s="2">
        <f>IFERROR(__xludf.DUMMYFUNCTION("""COMPUTED_VALUE"""),38.15)</f>
        <v>38.15</v>
      </c>
      <c r="C4306" s="2">
        <f>IFERROR(__xludf.DUMMYFUNCTION("""COMPUTED_VALUE"""),38.68)</f>
        <v>38.68</v>
      </c>
      <c r="D4306" s="2">
        <f>IFERROR(__xludf.DUMMYFUNCTION("""COMPUTED_VALUE"""),37.82)</f>
        <v>37.82</v>
      </c>
      <c r="E4306" s="2">
        <f>IFERROR(__xludf.DUMMYFUNCTION("""COMPUTED_VALUE"""),38.65)</f>
        <v>38.65</v>
      </c>
      <c r="F4306" s="2">
        <f>IFERROR(__xludf.DUMMYFUNCTION("""COMPUTED_VALUE"""),3152100.0)</f>
        <v>3152100</v>
      </c>
    </row>
    <row r="4307">
      <c r="A4307" s="3">
        <f>IFERROR(__xludf.DUMMYFUNCTION("""COMPUTED_VALUE"""),35440.666666666664)</f>
        <v>35440.66667</v>
      </c>
      <c r="B4307" s="2">
        <f>IFERROR(__xludf.DUMMYFUNCTION("""COMPUTED_VALUE"""),38.33)</f>
        <v>38.33</v>
      </c>
      <c r="C4307" s="2">
        <f>IFERROR(__xludf.DUMMYFUNCTION("""COMPUTED_VALUE"""),39.16)</f>
        <v>39.16</v>
      </c>
      <c r="D4307" s="2">
        <f>IFERROR(__xludf.DUMMYFUNCTION("""COMPUTED_VALUE"""),38.24)</f>
        <v>38.24</v>
      </c>
      <c r="E4307" s="2">
        <f>IFERROR(__xludf.DUMMYFUNCTION("""COMPUTED_VALUE"""),38.92)</f>
        <v>38.92</v>
      </c>
      <c r="F4307" s="2">
        <f>IFERROR(__xludf.DUMMYFUNCTION("""COMPUTED_VALUE"""),4375000.0)</f>
        <v>4375000</v>
      </c>
    </row>
    <row r="4308">
      <c r="A4308" s="3">
        <f>IFERROR(__xludf.DUMMYFUNCTION("""COMPUTED_VALUE"""),35443.666666666664)</f>
        <v>35443.66667</v>
      </c>
      <c r="B4308" s="2">
        <f>IFERROR(__xludf.DUMMYFUNCTION("""COMPUTED_VALUE"""),38.92)</f>
        <v>38.92</v>
      </c>
      <c r="C4308" s="2">
        <f>IFERROR(__xludf.DUMMYFUNCTION("""COMPUTED_VALUE"""),39.7)</f>
        <v>39.7</v>
      </c>
      <c r="D4308" s="2">
        <f>IFERROR(__xludf.DUMMYFUNCTION("""COMPUTED_VALUE"""),38.86)</f>
        <v>38.86</v>
      </c>
      <c r="E4308" s="2">
        <f>IFERROR(__xludf.DUMMYFUNCTION("""COMPUTED_VALUE"""),39.1)</f>
        <v>39.1</v>
      </c>
      <c r="F4308" s="2">
        <f>IFERROR(__xludf.DUMMYFUNCTION("""COMPUTED_VALUE"""),3923100.0)</f>
        <v>3923100</v>
      </c>
    </row>
    <row r="4309">
      <c r="A4309" s="3">
        <f>IFERROR(__xludf.DUMMYFUNCTION("""COMPUTED_VALUE"""),35444.666666666664)</f>
        <v>35444.66667</v>
      </c>
      <c r="B4309" s="2">
        <f>IFERROR(__xludf.DUMMYFUNCTION("""COMPUTED_VALUE"""),39.4)</f>
        <v>39.4</v>
      </c>
      <c r="C4309" s="2">
        <f>IFERROR(__xludf.DUMMYFUNCTION("""COMPUTED_VALUE"""),40.03)</f>
        <v>40.03</v>
      </c>
      <c r="D4309" s="2">
        <f>IFERROR(__xludf.DUMMYFUNCTION("""COMPUTED_VALUE"""),39.28)</f>
        <v>39.28</v>
      </c>
      <c r="E4309" s="2">
        <f>IFERROR(__xludf.DUMMYFUNCTION("""COMPUTED_VALUE"""),39.85)</f>
        <v>39.85</v>
      </c>
      <c r="F4309" s="2">
        <f>IFERROR(__xludf.DUMMYFUNCTION("""COMPUTED_VALUE"""),2941100.0)</f>
        <v>2941100</v>
      </c>
    </row>
    <row r="4310">
      <c r="A4310" s="3">
        <f>IFERROR(__xludf.DUMMYFUNCTION("""COMPUTED_VALUE"""),35445.666666666664)</f>
        <v>35445.66667</v>
      </c>
      <c r="B4310" s="2">
        <f>IFERROR(__xludf.DUMMYFUNCTION("""COMPUTED_VALUE"""),39.73)</f>
        <v>39.73</v>
      </c>
      <c r="C4310" s="2">
        <f>IFERROR(__xludf.DUMMYFUNCTION("""COMPUTED_VALUE"""),40.21)</f>
        <v>40.21</v>
      </c>
      <c r="D4310" s="2">
        <f>IFERROR(__xludf.DUMMYFUNCTION("""COMPUTED_VALUE"""),39.01)</f>
        <v>39.01</v>
      </c>
      <c r="E4310" s="2">
        <f>IFERROR(__xludf.DUMMYFUNCTION("""COMPUTED_VALUE"""),39.25)</f>
        <v>39.25</v>
      </c>
      <c r="F4310" s="2">
        <f>IFERROR(__xludf.DUMMYFUNCTION("""COMPUTED_VALUE"""),4425900.0)</f>
        <v>4425900</v>
      </c>
    </row>
    <row r="4311">
      <c r="A4311" s="3">
        <f>IFERROR(__xludf.DUMMYFUNCTION("""COMPUTED_VALUE"""),35446.666666666664)</f>
        <v>35446.66667</v>
      </c>
      <c r="B4311" s="2">
        <f>IFERROR(__xludf.DUMMYFUNCTION("""COMPUTED_VALUE"""),39.34)</f>
        <v>39.34</v>
      </c>
      <c r="C4311" s="2">
        <f>IFERROR(__xludf.DUMMYFUNCTION("""COMPUTED_VALUE"""),39.82)</f>
        <v>39.82</v>
      </c>
      <c r="D4311" s="2">
        <f>IFERROR(__xludf.DUMMYFUNCTION("""COMPUTED_VALUE"""),38.98)</f>
        <v>38.98</v>
      </c>
      <c r="E4311" s="2">
        <f>IFERROR(__xludf.DUMMYFUNCTION("""COMPUTED_VALUE"""),39.52)</f>
        <v>39.52</v>
      </c>
      <c r="F4311" s="2">
        <f>IFERROR(__xludf.DUMMYFUNCTION("""COMPUTED_VALUE"""),3472000.0)</f>
        <v>3472000</v>
      </c>
    </row>
    <row r="4312">
      <c r="A4312" s="3">
        <f>IFERROR(__xludf.DUMMYFUNCTION("""COMPUTED_VALUE"""),35447.666666666664)</f>
        <v>35447.66667</v>
      </c>
      <c r="B4312" s="2">
        <f>IFERROR(__xludf.DUMMYFUNCTION("""COMPUTED_VALUE"""),39.43)</f>
        <v>39.43</v>
      </c>
      <c r="C4312" s="2">
        <f>IFERROR(__xludf.DUMMYFUNCTION("""COMPUTED_VALUE"""),39.58)</f>
        <v>39.58</v>
      </c>
      <c r="D4312" s="2">
        <f>IFERROR(__xludf.DUMMYFUNCTION("""COMPUTED_VALUE"""),39.13)</f>
        <v>39.13</v>
      </c>
      <c r="E4312" s="2">
        <f>IFERROR(__xludf.DUMMYFUNCTION("""COMPUTED_VALUE"""),39.49)</f>
        <v>39.49</v>
      </c>
      <c r="F4312" s="2">
        <f>IFERROR(__xludf.DUMMYFUNCTION("""COMPUTED_VALUE"""),2206000.0)</f>
        <v>2206000</v>
      </c>
    </row>
    <row r="4313">
      <c r="A4313" s="3">
        <f>IFERROR(__xludf.DUMMYFUNCTION("""COMPUTED_VALUE"""),35450.666666666664)</f>
        <v>35450.66667</v>
      </c>
      <c r="B4313" s="2">
        <f>IFERROR(__xludf.DUMMYFUNCTION("""COMPUTED_VALUE"""),39.46)</f>
        <v>39.46</v>
      </c>
      <c r="C4313" s="2">
        <f>IFERROR(__xludf.DUMMYFUNCTION("""COMPUTED_VALUE"""),40.03)</f>
        <v>40.03</v>
      </c>
      <c r="D4313" s="2">
        <f>IFERROR(__xludf.DUMMYFUNCTION("""COMPUTED_VALUE"""),39.28)</f>
        <v>39.28</v>
      </c>
      <c r="E4313" s="2">
        <f>IFERROR(__xludf.DUMMYFUNCTION("""COMPUTED_VALUE"""),39.88)</f>
        <v>39.88</v>
      </c>
      <c r="F4313" s="2">
        <f>IFERROR(__xludf.DUMMYFUNCTION("""COMPUTED_VALUE"""),2676500.0)</f>
        <v>2676500</v>
      </c>
    </row>
    <row r="4314">
      <c r="A4314" s="3">
        <f>IFERROR(__xludf.DUMMYFUNCTION("""COMPUTED_VALUE"""),35451.666666666664)</f>
        <v>35451.66667</v>
      </c>
      <c r="B4314" s="2">
        <f>IFERROR(__xludf.DUMMYFUNCTION("""COMPUTED_VALUE"""),39.73)</f>
        <v>39.73</v>
      </c>
      <c r="C4314" s="2">
        <f>IFERROR(__xludf.DUMMYFUNCTION("""COMPUTED_VALUE"""),40.62)</f>
        <v>40.62</v>
      </c>
      <c r="D4314" s="2">
        <f>IFERROR(__xludf.DUMMYFUNCTION("""COMPUTED_VALUE"""),39.73)</f>
        <v>39.73</v>
      </c>
      <c r="E4314" s="2">
        <f>IFERROR(__xludf.DUMMYFUNCTION("""COMPUTED_VALUE"""),40.12)</f>
        <v>40.12</v>
      </c>
      <c r="F4314" s="2">
        <f>IFERROR(__xludf.DUMMYFUNCTION("""COMPUTED_VALUE"""),3748300.0)</f>
        <v>3748300</v>
      </c>
    </row>
    <row r="4315">
      <c r="A4315" s="3">
        <f>IFERROR(__xludf.DUMMYFUNCTION("""COMPUTED_VALUE"""),35452.666666666664)</f>
        <v>35452.66667</v>
      </c>
      <c r="B4315" s="2">
        <f>IFERROR(__xludf.DUMMYFUNCTION("""COMPUTED_VALUE"""),37.73)</f>
        <v>37.73</v>
      </c>
      <c r="C4315" s="2">
        <f>IFERROR(__xludf.DUMMYFUNCTION("""COMPUTED_VALUE"""),38.21)</f>
        <v>38.21</v>
      </c>
      <c r="D4315" s="2">
        <f>IFERROR(__xludf.DUMMYFUNCTION("""COMPUTED_VALUE"""),37.01)</f>
        <v>37.01</v>
      </c>
      <c r="E4315" s="2">
        <f>IFERROR(__xludf.DUMMYFUNCTION("""COMPUTED_VALUE"""),37.73)</f>
        <v>37.73</v>
      </c>
      <c r="F4315" s="2">
        <f>IFERROR(__xludf.DUMMYFUNCTION("""COMPUTED_VALUE"""),1.22842E7)</f>
        <v>12284200</v>
      </c>
    </row>
    <row r="4316">
      <c r="A4316" s="3">
        <f>IFERROR(__xludf.DUMMYFUNCTION("""COMPUTED_VALUE"""),35453.666666666664)</f>
        <v>35453.66667</v>
      </c>
      <c r="B4316" s="2">
        <f>IFERROR(__xludf.DUMMYFUNCTION("""COMPUTED_VALUE"""),37.94)</f>
        <v>37.94</v>
      </c>
      <c r="C4316" s="2">
        <f>IFERROR(__xludf.DUMMYFUNCTION("""COMPUTED_VALUE"""),38.27)</f>
        <v>38.27</v>
      </c>
      <c r="D4316" s="2">
        <f>IFERROR(__xludf.DUMMYFUNCTION("""COMPUTED_VALUE"""),35.97)</f>
        <v>35.97</v>
      </c>
      <c r="E4316" s="2">
        <f>IFERROR(__xludf.DUMMYFUNCTION("""COMPUTED_VALUE"""),36.24)</f>
        <v>36.24</v>
      </c>
      <c r="F4316" s="2">
        <f>IFERROR(__xludf.DUMMYFUNCTION("""COMPUTED_VALUE"""),8450400.0)</f>
        <v>8450400</v>
      </c>
    </row>
    <row r="4317">
      <c r="A4317" s="3">
        <f>IFERROR(__xludf.DUMMYFUNCTION("""COMPUTED_VALUE"""),35454.666666666664)</f>
        <v>35454.66667</v>
      </c>
      <c r="B4317" s="2">
        <f>IFERROR(__xludf.DUMMYFUNCTION("""COMPUTED_VALUE"""),36.27)</f>
        <v>36.27</v>
      </c>
      <c r="C4317" s="2">
        <f>IFERROR(__xludf.DUMMYFUNCTION("""COMPUTED_VALUE"""),36.77)</f>
        <v>36.77</v>
      </c>
      <c r="D4317" s="2">
        <f>IFERROR(__xludf.DUMMYFUNCTION("""COMPUTED_VALUE"""),35.58)</f>
        <v>35.58</v>
      </c>
      <c r="E4317" s="2">
        <f>IFERROR(__xludf.DUMMYFUNCTION("""COMPUTED_VALUE"""),35.94)</f>
        <v>35.94</v>
      </c>
      <c r="F4317" s="2">
        <f>IFERROR(__xludf.DUMMYFUNCTION("""COMPUTED_VALUE"""),8198000.0)</f>
        <v>8198000</v>
      </c>
    </row>
    <row r="4318">
      <c r="A4318" s="3">
        <f>IFERROR(__xludf.DUMMYFUNCTION("""COMPUTED_VALUE"""),35457.666666666664)</f>
        <v>35457.66667</v>
      </c>
      <c r="B4318" s="2">
        <f>IFERROR(__xludf.DUMMYFUNCTION("""COMPUTED_VALUE"""),36.15)</f>
        <v>36.15</v>
      </c>
      <c r="C4318" s="2">
        <f>IFERROR(__xludf.DUMMYFUNCTION("""COMPUTED_VALUE"""),36.24)</f>
        <v>36.24</v>
      </c>
      <c r="D4318" s="2">
        <f>IFERROR(__xludf.DUMMYFUNCTION("""COMPUTED_VALUE"""),34.62)</f>
        <v>34.62</v>
      </c>
      <c r="E4318" s="2">
        <f>IFERROR(__xludf.DUMMYFUNCTION("""COMPUTED_VALUE"""),34.8)</f>
        <v>34.8</v>
      </c>
      <c r="F4318" s="2">
        <f>IFERROR(__xludf.DUMMYFUNCTION("""COMPUTED_VALUE"""),5926100.0)</f>
        <v>5926100</v>
      </c>
    </row>
    <row r="4319">
      <c r="A4319" s="3">
        <f>IFERROR(__xludf.DUMMYFUNCTION("""COMPUTED_VALUE"""),35458.666666666664)</f>
        <v>35458.66667</v>
      </c>
      <c r="B4319" s="2">
        <f>IFERROR(__xludf.DUMMYFUNCTION("""COMPUTED_VALUE"""),35.79)</f>
        <v>35.79</v>
      </c>
      <c r="C4319" s="2">
        <f>IFERROR(__xludf.DUMMYFUNCTION("""COMPUTED_VALUE"""),36.83)</f>
        <v>36.83</v>
      </c>
      <c r="D4319" s="2">
        <f>IFERROR(__xludf.DUMMYFUNCTION("""COMPUTED_VALUE"""),35.49)</f>
        <v>35.49</v>
      </c>
      <c r="E4319" s="2">
        <f>IFERROR(__xludf.DUMMYFUNCTION("""COMPUTED_VALUE"""),36.0)</f>
        <v>36</v>
      </c>
      <c r="F4319" s="2">
        <f>IFERROR(__xludf.DUMMYFUNCTION("""COMPUTED_VALUE"""),8033300.0)</f>
        <v>8033300</v>
      </c>
    </row>
    <row r="4320">
      <c r="A4320" s="3">
        <f>IFERROR(__xludf.DUMMYFUNCTION("""COMPUTED_VALUE"""),35459.666666666664)</f>
        <v>35459.66667</v>
      </c>
      <c r="B4320" s="2">
        <f>IFERROR(__xludf.DUMMYFUNCTION("""COMPUTED_VALUE"""),36.65)</f>
        <v>36.65</v>
      </c>
      <c r="C4320" s="2">
        <f>IFERROR(__xludf.DUMMYFUNCTION("""COMPUTED_VALUE"""),37.43)</f>
        <v>37.43</v>
      </c>
      <c r="D4320" s="2">
        <f>IFERROR(__xludf.DUMMYFUNCTION("""COMPUTED_VALUE"""),36.06)</f>
        <v>36.06</v>
      </c>
      <c r="E4320" s="2">
        <f>IFERROR(__xludf.DUMMYFUNCTION("""COMPUTED_VALUE"""),37.34)</f>
        <v>37.34</v>
      </c>
      <c r="F4320" s="2">
        <f>IFERROR(__xludf.DUMMYFUNCTION("""COMPUTED_VALUE"""),4654300.0)</f>
        <v>4654300</v>
      </c>
    </row>
    <row r="4321">
      <c r="A4321" s="3">
        <f>IFERROR(__xludf.DUMMYFUNCTION("""COMPUTED_VALUE"""),35460.666666666664)</f>
        <v>35460.66667</v>
      </c>
      <c r="B4321" s="2">
        <f>IFERROR(__xludf.DUMMYFUNCTION("""COMPUTED_VALUE"""),37.67)</f>
        <v>37.67</v>
      </c>
      <c r="C4321" s="2">
        <f>IFERROR(__xludf.DUMMYFUNCTION("""COMPUTED_VALUE"""),37.79)</f>
        <v>37.79</v>
      </c>
      <c r="D4321" s="2">
        <f>IFERROR(__xludf.DUMMYFUNCTION("""COMPUTED_VALUE"""),37.19)</f>
        <v>37.19</v>
      </c>
      <c r="E4321" s="2">
        <f>IFERROR(__xludf.DUMMYFUNCTION("""COMPUTED_VALUE"""),37.58)</f>
        <v>37.58</v>
      </c>
      <c r="F4321" s="2">
        <f>IFERROR(__xludf.DUMMYFUNCTION("""COMPUTED_VALUE"""),4548500.0)</f>
        <v>4548500</v>
      </c>
    </row>
    <row r="4322">
      <c r="A4322" s="3">
        <f>IFERROR(__xludf.DUMMYFUNCTION("""COMPUTED_VALUE"""),35461.666666666664)</f>
        <v>35461.66667</v>
      </c>
      <c r="B4322" s="2">
        <f>IFERROR(__xludf.DUMMYFUNCTION("""COMPUTED_VALUE"""),37.64)</f>
        <v>37.64</v>
      </c>
      <c r="C4322" s="2">
        <f>IFERROR(__xludf.DUMMYFUNCTION("""COMPUTED_VALUE"""),37.7)</f>
        <v>37.7</v>
      </c>
      <c r="D4322" s="2">
        <f>IFERROR(__xludf.DUMMYFUNCTION("""COMPUTED_VALUE"""),37.28)</f>
        <v>37.28</v>
      </c>
      <c r="E4322" s="2">
        <f>IFERROR(__xludf.DUMMYFUNCTION("""COMPUTED_VALUE"""),37.52)</f>
        <v>37.52</v>
      </c>
      <c r="F4322" s="2">
        <f>IFERROR(__xludf.DUMMYFUNCTION("""COMPUTED_VALUE"""),2890500.0)</f>
        <v>2890500</v>
      </c>
    </row>
    <row r="4323">
      <c r="A4323" s="3">
        <f>IFERROR(__xludf.DUMMYFUNCTION("""COMPUTED_VALUE"""),35464.666666666664)</f>
        <v>35464.66667</v>
      </c>
      <c r="B4323" s="2">
        <f>IFERROR(__xludf.DUMMYFUNCTION("""COMPUTED_VALUE"""),37.58)</f>
        <v>37.58</v>
      </c>
      <c r="C4323" s="2">
        <f>IFERROR(__xludf.DUMMYFUNCTION("""COMPUTED_VALUE"""),37.58)</f>
        <v>37.58</v>
      </c>
      <c r="D4323" s="2">
        <f>IFERROR(__xludf.DUMMYFUNCTION("""COMPUTED_VALUE"""),36.89)</f>
        <v>36.89</v>
      </c>
      <c r="E4323" s="2">
        <f>IFERROR(__xludf.DUMMYFUNCTION("""COMPUTED_VALUE"""),36.98)</f>
        <v>36.98</v>
      </c>
      <c r="F4323" s="2">
        <f>IFERROR(__xludf.DUMMYFUNCTION("""COMPUTED_VALUE"""),2647300.0)</f>
        <v>2647300</v>
      </c>
    </row>
    <row r="4324">
      <c r="A4324" s="3">
        <f>IFERROR(__xludf.DUMMYFUNCTION("""COMPUTED_VALUE"""),35465.666666666664)</f>
        <v>35465.66667</v>
      </c>
      <c r="B4324" s="2">
        <f>IFERROR(__xludf.DUMMYFUNCTION("""COMPUTED_VALUE"""),36.95)</f>
        <v>36.95</v>
      </c>
      <c r="C4324" s="2">
        <f>IFERROR(__xludf.DUMMYFUNCTION("""COMPUTED_VALUE"""),36.95)</f>
        <v>36.95</v>
      </c>
      <c r="D4324" s="2">
        <f>IFERROR(__xludf.DUMMYFUNCTION("""COMPUTED_VALUE"""),36.0)</f>
        <v>36</v>
      </c>
      <c r="E4324" s="2">
        <f>IFERROR(__xludf.DUMMYFUNCTION("""COMPUTED_VALUE"""),36.68)</f>
        <v>36.68</v>
      </c>
      <c r="F4324" s="2">
        <f>IFERROR(__xludf.DUMMYFUNCTION("""COMPUTED_VALUE"""),3383700.0)</f>
        <v>3383700</v>
      </c>
    </row>
    <row r="4325">
      <c r="A4325" s="3">
        <f>IFERROR(__xludf.DUMMYFUNCTION("""COMPUTED_VALUE"""),35466.666666666664)</f>
        <v>35466.66667</v>
      </c>
      <c r="B4325" s="2">
        <f>IFERROR(__xludf.DUMMYFUNCTION("""COMPUTED_VALUE"""),36.68)</f>
        <v>36.68</v>
      </c>
      <c r="C4325" s="2">
        <f>IFERROR(__xludf.DUMMYFUNCTION("""COMPUTED_VALUE"""),36.68)</f>
        <v>36.68</v>
      </c>
      <c r="D4325" s="2">
        <f>IFERROR(__xludf.DUMMYFUNCTION("""COMPUTED_VALUE"""),34.74)</f>
        <v>34.74</v>
      </c>
      <c r="E4325" s="2">
        <f>IFERROR(__xludf.DUMMYFUNCTION("""COMPUTED_VALUE"""),35.58)</f>
        <v>35.58</v>
      </c>
      <c r="F4325" s="2">
        <f>IFERROR(__xludf.DUMMYFUNCTION("""COMPUTED_VALUE"""),5512000.0)</f>
        <v>5512000</v>
      </c>
    </row>
    <row r="4326">
      <c r="A4326" s="3">
        <f>IFERROR(__xludf.DUMMYFUNCTION("""COMPUTED_VALUE"""),35467.666666666664)</f>
        <v>35467.66667</v>
      </c>
      <c r="B4326" s="2">
        <f>IFERROR(__xludf.DUMMYFUNCTION("""COMPUTED_VALUE"""),35.58)</f>
        <v>35.58</v>
      </c>
      <c r="C4326" s="2">
        <f>IFERROR(__xludf.DUMMYFUNCTION("""COMPUTED_VALUE"""),35.76)</f>
        <v>35.76</v>
      </c>
      <c r="D4326" s="2">
        <f>IFERROR(__xludf.DUMMYFUNCTION("""COMPUTED_VALUE"""),34.74)</f>
        <v>34.74</v>
      </c>
      <c r="E4326" s="2">
        <f>IFERROR(__xludf.DUMMYFUNCTION("""COMPUTED_VALUE"""),34.8)</f>
        <v>34.8</v>
      </c>
      <c r="F4326" s="2">
        <f>IFERROR(__xludf.DUMMYFUNCTION("""COMPUTED_VALUE"""),5189600.0)</f>
        <v>5189600</v>
      </c>
    </row>
    <row r="4327">
      <c r="A4327" s="3">
        <f>IFERROR(__xludf.DUMMYFUNCTION("""COMPUTED_VALUE"""),35468.666666666664)</f>
        <v>35468.66667</v>
      </c>
      <c r="B4327" s="2">
        <f>IFERROR(__xludf.DUMMYFUNCTION("""COMPUTED_VALUE"""),35.46)</f>
        <v>35.46</v>
      </c>
      <c r="C4327" s="2">
        <f>IFERROR(__xludf.DUMMYFUNCTION("""COMPUTED_VALUE"""),35.82)</f>
        <v>35.82</v>
      </c>
      <c r="D4327" s="2">
        <f>IFERROR(__xludf.DUMMYFUNCTION("""COMPUTED_VALUE"""),34.83)</f>
        <v>34.83</v>
      </c>
      <c r="E4327" s="2">
        <f>IFERROR(__xludf.DUMMYFUNCTION("""COMPUTED_VALUE"""),35.49)</f>
        <v>35.49</v>
      </c>
      <c r="F4327" s="2">
        <f>IFERROR(__xludf.DUMMYFUNCTION("""COMPUTED_VALUE"""),4942400.0)</f>
        <v>4942400</v>
      </c>
    </row>
    <row r="4328">
      <c r="A4328" s="3">
        <f>IFERROR(__xludf.DUMMYFUNCTION("""COMPUTED_VALUE"""),35471.666666666664)</f>
        <v>35471.66667</v>
      </c>
      <c r="B4328" s="2">
        <f>IFERROR(__xludf.DUMMYFUNCTION("""COMPUTED_VALUE"""),35.52)</f>
        <v>35.52</v>
      </c>
      <c r="C4328" s="2">
        <f>IFERROR(__xludf.DUMMYFUNCTION("""COMPUTED_VALUE"""),35.52)</f>
        <v>35.52</v>
      </c>
      <c r="D4328" s="2">
        <f>IFERROR(__xludf.DUMMYFUNCTION("""COMPUTED_VALUE"""),33.91)</f>
        <v>33.91</v>
      </c>
      <c r="E4328" s="2">
        <f>IFERROR(__xludf.DUMMYFUNCTION("""COMPUTED_VALUE"""),34.09)</f>
        <v>34.09</v>
      </c>
      <c r="F4328" s="2">
        <f>IFERROR(__xludf.DUMMYFUNCTION("""COMPUTED_VALUE"""),5385400.0)</f>
        <v>5385400</v>
      </c>
    </row>
    <row r="4329">
      <c r="A4329" s="3">
        <f>IFERROR(__xludf.DUMMYFUNCTION("""COMPUTED_VALUE"""),35472.666666666664)</f>
        <v>35472.66667</v>
      </c>
      <c r="B4329" s="2">
        <f>IFERROR(__xludf.DUMMYFUNCTION("""COMPUTED_VALUE"""),34.24)</f>
        <v>34.24</v>
      </c>
      <c r="C4329" s="2">
        <f>IFERROR(__xludf.DUMMYFUNCTION("""COMPUTED_VALUE"""),34.65)</f>
        <v>34.65</v>
      </c>
      <c r="D4329" s="2">
        <f>IFERROR(__xludf.DUMMYFUNCTION("""COMPUTED_VALUE"""),33.7)</f>
        <v>33.7</v>
      </c>
      <c r="E4329" s="2">
        <f>IFERROR(__xludf.DUMMYFUNCTION("""COMPUTED_VALUE"""),34.59)</f>
        <v>34.59</v>
      </c>
      <c r="F4329" s="2">
        <f>IFERROR(__xludf.DUMMYFUNCTION("""COMPUTED_VALUE"""),5376200.0)</f>
        <v>5376200</v>
      </c>
    </row>
    <row r="4330">
      <c r="A4330" s="3">
        <f>IFERROR(__xludf.DUMMYFUNCTION("""COMPUTED_VALUE"""),35473.666666666664)</f>
        <v>35473.66667</v>
      </c>
      <c r="B4330" s="2">
        <f>IFERROR(__xludf.DUMMYFUNCTION("""COMPUTED_VALUE"""),34.39)</f>
        <v>34.39</v>
      </c>
      <c r="C4330" s="2">
        <f>IFERROR(__xludf.DUMMYFUNCTION("""COMPUTED_VALUE"""),34.92)</f>
        <v>34.92</v>
      </c>
      <c r="D4330" s="2">
        <f>IFERROR(__xludf.DUMMYFUNCTION("""COMPUTED_VALUE"""),34.15)</f>
        <v>34.15</v>
      </c>
      <c r="E4330" s="2">
        <f>IFERROR(__xludf.DUMMYFUNCTION("""COMPUTED_VALUE"""),34.65)</f>
        <v>34.65</v>
      </c>
      <c r="F4330" s="2">
        <f>IFERROR(__xludf.DUMMYFUNCTION("""COMPUTED_VALUE"""),4626500.0)</f>
        <v>4626500</v>
      </c>
    </row>
    <row r="4331">
      <c r="A4331" s="3">
        <f>IFERROR(__xludf.DUMMYFUNCTION("""COMPUTED_VALUE"""),35474.666666666664)</f>
        <v>35474.66667</v>
      </c>
      <c r="B4331" s="2">
        <f>IFERROR(__xludf.DUMMYFUNCTION("""COMPUTED_VALUE"""),34.65)</f>
        <v>34.65</v>
      </c>
      <c r="C4331" s="2">
        <f>IFERROR(__xludf.DUMMYFUNCTION("""COMPUTED_VALUE"""),35.37)</f>
        <v>35.37</v>
      </c>
      <c r="D4331" s="2">
        <f>IFERROR(__xludf.DUMMYFUNCTION("""COMPUTED_VALUE"""),34.65)</f>
        <v>34.65</v>
      </c>
      <c r="E4331" s="2">
        <f>IFERROR(__xludf.DUMMYFUNCTION("""COMPUTED_VALUE"""),34.92)</f>
        <v>34.92</v>
      </c>
      <c r="F4331" s="2">
        <f>IFERROR(__xludf.DUMMYFUNCTION("""COMPUTED_VALUE"""),3957500.0)</f>
        <v>3957500</v>
      </c>
    </row>
    <row r="4332">
      <c r="A4332" s="3">
        <f>IFERROR(__xludf.DUMMYFUNCTION("""COMPUTED_VALUE"""),35475.666666666664)</f>
        <v>35475.66667</v>
      </c>
      <c r="B4332" s="2">
        <f>IFERROR(__xludf.DUMMYFUNCTION("""COMPUTED_VALUE"""),34.95)</f>
        <v>34.95</v>
      </c>
      <c r="C4332" s="2">
        <f>IFERROR(__xludf.DUMMYFUNCTION("""COMPUTED_VALUE"""),35.27)</f>
        <v>35.27</v>
      </c>
      <c r="D4332" s="2">
        <f>IFERROR(__xludf.DUMMYFUNCTION("""COMPUTED_VALUE"""),34.39)</f>
        <v>34.39</v>
      </c>
      <c r="E4332" s="2">
        <f>IFERROR(__xludf.DUMMYFUNCTION("""COMPUTED_VALUE"""),34.65)</f>
        <v>34.65</v>
      </c>
      <c r="F4332" s="2">
        <f>IFERROR(__xludf.DUMMYFUNCTION("""COMPUTED_VALUE"""),3423800.0)</f>
        <v>3423800</v>
      </c>
    </row>
    <row r="4333">
      <c r="A4333" s="3">
        <f>IFERROR(__xludf.DUMMYFUNCTION("""COMPUTED_VALUE"""),35479.666666666664)</f>
        <v>35479.66667</v>
      </c>
      <c r="B4333" s="2">
        <f>IFERROR(__xludf.DUMMYFUNCTION("""COMPUTED_VALUE"""),34.74)</f>
        <v>34.74</v>
      </c>
      <c r="C4333" s="2">
        <f>IFERROR(__xludf.DUMMYFUNCTION("""COMPUTED_VALUE"""),34.74)</f>
        <v>34.74</v>
      </c>
      <c r="D4333" s="2">
        <f>IFERROR(__xludf.DUMMYFUNCTION("""COMPUTED_VALUE"""),34.18)</f>
        <v>34.18</v>
      </c>
      <c r="E4333" s="2">
        <f>IFERROR(__xludf.DUMMYFUNCTION("""COMPUTED_VALUE"""),34.62)</f>
        <v>34.62</v>
      </c>
      <c r="F4333" s="2">
        <f>IFERROR(__xludf.DUMMYFUNCTION("""COMPUTED_VALUE"""),2619400.0)</f>
        <v>2619400</v>
      </c>
    </row>
    <row r="4334">
      <c r="A4334" s="3">
        <f>IFERROR(__xludf.DUMMYFUNCTION("""COMPUTED_VALUE"""),35480.666666666664)</f>
        <v>35480.66667</v>
      </c>
      <c r="B4334" s="2">
        <f>IFERROR(__xludf.DUMMYFUNCTION("""COMPUTED_VALUE"""),34.68)</f>
        <v>34.68</v>
      </c>
      <c r="C4334" s="2">
        <f>IFERROR(__xludf.DUMMYFUNCTION("""COMPUTED_VALUE"""),34.83)</f>
        <v>34.83</v>
      </c>
      <c r="D4334" s="2">
        <f>IFERROR(__xludf.DUMMYFUNCTION("""COMPUTED_VALUE"""),34.15)</f>
        <v>34.15</v>
      </c>
      <c r="E4334" s="2">
        <f>IFERROR(__xludf.DUMMYFUNCTION("""COMPUTED_VALUE"""),34.33)</f>
        <v>34.33</v>
      </c>
      <c r="F4334" s="2">
        <f>IFERROR(__xludf.DUMMYFUNCTION("""COMPUTED_VALUE"""),3353200.0)</f>
        <v>3353200</v>
      </c>
    </row>
    <row r="4335">
      <c r="A4335" s="3">
        <f>IFERROR(__xludf.DUMMYFUNCTION("""COMPUTED_VALUE"""),35481.666666666664)</f>
        <v>35481.66667</v>
      </c>
      <c r="B4335" s="2">
        <f>IFERROR(__xludf.DUMMYFUNCTION("""COMPUTED_VALUE"""),34.18)</f>
        <v>34.18</v>
      </c>
      <c r="C4335" s="2">
        <f>IFERROR(__xludf.DUMMYFUNCTION("""COMPUTED_VALUE"""),34.27)</f>
        <v>34.27</v>
      </c>
      <c r="D4335" s="2">
        <f>IFERROR(__xludf.DUMMYFUNCTION("""COMPUTED_VALUE"""),33.49)</f>
        <v>33.49</v>
      </c>
      <c r="E4335" s="2">
        <f>IFERROR(__xludf.DUMMYFUNCTION("""COMPUTED_VALUE"""),33.64)</f>
        <v>33.64</v>
      </c>
      <c r="F4335" s="2">
        <f>IFERROR(__xludf.DUMMYFUNCTION("""COMPUTED_VALUE"""),3553100.0)</f>
        <v>3553100</v>
      </c>
    </row>
    <row r="4336">
      <c r="A4336" s="3">
        <f>IFERROR(__xludf.DUMMYFUNCTION("""COMPUTED_VALUE"""),35482.666666666664)</f>
        <v>35482.66667</v>
      </c>
      <c r="B4336" s="2">
        <f>IFERROR(__xludf.DUMMYFUNCTION("""COMPUTED_VALUE"""),33.61)</f>
        <v>33.61</v>
      </c>
      <c r="C4336" s="2">
        <f>IFERROR(__xludf.DUMMYFUNCTION("""COMPUTED_VALUE"""),33.64)</f>
        <v>33.64</v>
      </c>
      <c r="D4336" s="2">
        <f>IFERROR(__xludf.DUMMYFUNCTION("""COMPUTED_VALUE"""),32.74)</f>
        <v>32.74</v>
      </c>
      <c r="E4336" s="2">
        <f>IFERROR(__xludf.DUMMYFUNCTION("""COMPUTED_VALUE"""),32.86)</f>
        <v>32.86</v>
      </c>
      <c r="F4336" s="2">
        <f>IFERROR(__xludf.DUMMYFUNCTION("""COMPUTED_VALUE"""),6302600.0)</f>
        <v>6302600</v>
      </c>
    </row>
    <row r="4337">
      <c r="A4337" s="3">
        <f>IFERROR(__xludf.DUMMYFUNCTION("""COMPUTED_VALUE"""),35485.666666666664)</f>
        <v>35485.66667</v>
      </c>
      <c r="B4337" s="2">
        <f>IFERROR(__xludf.DUMMYFUNCTION("""COMPUTED_VALUE"""),32.86)</f>
        <v>32.86</v>
      </c>
      <c r="C4337" s="2">
        <f>IFERROR(__xludf.DUMMYFUNCTION("""COMPUTED_VALUE"""),34.39)</f>
        <v>34.39</v>
      </c>
      <c r="D4337" s="2">
        <f>IFERROR(__xludf.DUMMYFUNCTION("""COMPUTED_VALUE"""),32.83)</f>
        <v>32.83</v>
      </c>
      <c r="E4337" s="2">
        <f>IFERROR(__xludf.DUMMYFUNCTION("""COMPUTED_VALUE"""),34.3)</f>
        <v>34.3</v>
      </c>
      <c r="F4337" s="2">
        <f>IFERROR(__xludf.DUMMYFUNCTION("""COMPUTED_VALUE"""),4178200.0)</f>
        <v>4178200</v>
      </c>
    </row>
    <row r="4338">
      <c r="A4338" s="3">
        <f>IFERROR(__xludf.DUMMYFUNCTION("""COMPUTED_VALUE"""),35486.666666666664)</f>
        <v>35486.66667</v>
      </c>
      <c r="B4338" s="2">
        <f>IFERROR(__xludf.DUMMYFUNCTION("""COMPUTED_VALUE"""),34.48)</f>
        <v>34.48</v>
      </c>
      <c r="C4338" s="2">
        <f>IFERROR(__xludf.DUMMYFUNCTION("""COMPUTED_VALUE"""),35.34)</f>
        <v>35.34</v>
      </c>
      <c r="D4338" s="2">
        <f>IFERROR(__xludf.DUMMYFUNCTION("""COMPUTED_VALUE"""),34.42)</f>
        <v>34.42</v>
      </c>
      <c r="E4338" s="2">
        <f>IFERROR(__xludf.DUMMYFUNCTION("""COMPUTED_VALUE"""),34.95)</f>
        <v>34.95</v>
      </c>
      <c r="F4338" s="2">
        <f>IFERROR(__xludf.DUMMYFUNCTION("""COMPUTED_VALUE"""),4195600.0)</f>
        <v>4195600</v>
      </c>
    </row>
    <row r="4339">
      <c r="A4339" s="3">
        <f>IFERROR(__xludf.DUMMYFUNCTION("""COMPUTED_VALUE"""),35487.666666666664)</f>
        <v>35487.66667</v>
      </c>
      <c r="B4339" s="2">
        <f>IFERROR(__xludf.DUMMYFUNCTION("""COMPUTED_VALUE"""),35.1)</f>
        <v>35.1</v>
      </c>
      <c r="C4339" s="2">
        <f>IFERROR(__xludf.DUMMYFUNCTION("""COMPUTED_VALUE"""),35.22)</f>
        <v>35.22</v>
      </c>
      <c r="D4339" s="2">
        <f>IFERROR(__xludf.DUMMYFUNCTION("""COMPUTED_VALUE"""),34.39)</f>
        <v>34.39</v>
      </c>
      <c r="E4339" s="2">
        <f>IFERROR(__xludf.DUMMYFUNCTION("""COMPUTED_VALUE"""),35.04)</f>
        <v>35.04</v>
      </c>
      <c r="F4339" s="2">
        <f>IFERROR(__xludf.DUMMYFUNCTION("""COMPUTED_VALUE"""),3668800.0)</f>
        <v>3668800</v>
      </c>
    </row>
    <row r="4340">
      <c r="A4340" s="3">
        <f>IFERROR(__xludf.DUMMYFUNCTION("""COMPUTED_VALUE"""),35488.666666666664)</f>
        <v>35488.66667</v>
      </c>
      <c r="B4340" s="2">
        <f>IFERROR(__xludf.DUMMYFUNCTION("""COMPUTED_VALUE"""),35.07)</f>
        <v>35.07</v>
      </c>
      <c r="C4340" s="2">
        <f>IFERROR(__xludf.DUMMYFUNCTION("""COMPUTED_VALUE"""),35.07)</f>
        <v>35.07</v>
      </c>
      <c r="D4340" s="2">
        <f>IFERROR(__xludf.DUMMYFUNCTION("""COMPUTED_VALUE"""),34.18)</f>
        <v>34.18</v>
      </c>
      <c r="E4340" s="2">
        <f>IFERROR(__xludf.DUMMYFUNCTION("""COMPUTED_VALUE"""),34.24)</f>
        <v>34.24</v>
      </c>
      <c r="F4340" s="2">
        <f>IFERROR(__xludf.DUMMYFUNCTION("""COMPUTED_VALUE"""),1752800.0)</f>
        <v>1752800</v>
      </c>
    </row>
    <row r="4341">
      <c r="A4341" s="3">
        <f>IFERROR(__xludf.DUMMYFUNCTION("""COMPUTED_VALUE"""),35489.666666666664)</f>
        <v>35489.66667</v>
      </c>
      <c r="B4341" s="2">
        <f>IFERROR(__xludf.DUMMYFUNCTION("""COMPUTED_VALUE"""),34.18)</f>
        <v>34.18</v>
      </c>
      <c r="C4341" s="2">
        <f>IFERROR(__xludf.DUMMYFUNCTION("""COMPUTED_VALUE"""),34.8)</f>
        <v>34.8</v>
      </c>
      <c r="D4341" s="2">
        <f>IFERROR(__xludf.DUMMYFUNCTION("""COMPUTED_VALUE"""),33.58)</f>
        <v>33.58</v>
      </c>
      <c r="E4341" s="2">
        <f>IFERROR(__xludf.DUMMYFUNCTION("""COMPUTED_VALUE"""),34.33)</f>
        <v>34.33</v>
      </c>
      <c r="F4341" s="2">
        <f>IFERROR(__xludf.DUMMYFUNCTION("""COMPUTED_VALUE"""),3062000.0)</f>
        <v>3062000</v>
      </c>
    </row>
    <row r="4342">
      <c r="A4342" s="3">
        <f>IFERROR(__xludf.DUMMYFUNCTION("""COMPUTED_VALUE"""),35492.666666666664)</f>
        <v>35492.66667</v>
      </c>
      <c r="B4342" s="2">
        <f>IFERROR(__xludf.DUMMYFUNCTION("""COMPUTED_VALUE"""),34.33)</f>
        <v>34.33</v>
      </c>
      <c r="C4342" s="2">
        <f>IFERROR(__xludf.DUMMYFUNCTION("""COMPUTED_VALUE"""),35.04)</f>
        <v>35.04</v>
      </c>
      <c r="D4342" s="2">
        <f>IFERROR(__xludf.DUMMYFUNCTION("""COMPUTED_VALUE"""),34.3)</f>
        <v>34.3</v>
      </c>
      <c r="E4342" s="2">
        <f>IFERROR(__xludf.DUMMYFUNCTION("""COMPUTED_VALUE"""),34.65)</f>
        <v>34.65</v>
      </c>
      <c r="F4342" s="2">
        <f>IFERROR(__xludf.DUMMYFUNCTION("""COMPUTED_VALUE"""),3297000.0)</f>
        <v>3297000</v>
      </c>
    </row>
    <row r="4343">
      <c r="A4343" s="3">
        <f>IFERROR(__xludf.DUMMYFUNCTION("""COMPUTED_VALUE"""),35493.666666666664)</f>
        <v>35493.66667</v>
      </c>
      <c r="B4343" s="2">
        <f>IFERROR(__xludf.DUMMYFUNCTION("""COMPUTED_VALUE"""),34.77)</f>
        <v>34.77</v>
      </c>
      <c r="C4343" s="2">
        <f>IFERROR(__xludf.DUMMYFUNCTION("""COMPUTED_VALUE"""),35.04)</f>
        <v>35.04</v>
      </c>
      <c r="D4343" s="2">
        <f>IFERROR(__xludf.DUMMYFUNCTION("""COMPUTED_VALUE"""),34.03)</f>
        <v>34.03</v>
      </c>
      <c r="E4343" s="2">
        <f>IFERROR(__xludf.DUMMYFUNCTION("""COMPUTED_VALUE"""),34.59)</f>
        <v>34.59</v>
      </c>
      <c r="F4343" s="2">
        <f>IFERROR(__xludf.DUMMYFUNCTION("""COMPUTED_VALUE"""),3060300.0)</f>
        <v>3060300</v>
      </c>
    </row>
    <row r="4344">
      <c r="A4344" s="3">
        <f>IFERROR(__xludf.DUMMYFUNCTION("""COMPUTED_VALUE"""),35494.666666666664)</f>
        <v>35494.66667</v>
      </c>
      <c r="B4344" s="2">
        <f>IFERROR(__xludf.DUMMYFUNCTION("""COMPUTED_VALUE"""),34.83)</f>
        <v>34.83</v>
      </c>
      <c r="C4344" s="2">
        <f>IFERROR(__xludf.DUMMYFUNCTION("""COMPUTED_VALUE"""),34.98)</f>
        <v>34.98</v>
      </c>
      <c r="D4344" s="2">
        <f>IFERROR(__xludf.DUMMYFUNCTION("""COMPUTED_VALUE"""),34.48)</f>
        <v>34.48</v>
      </c>
      <c r="E4344" s="2">
        <f>IFERROR(__xludf.DUMMYFUNCTION("""COMPUTED_VALUE"""),34.74)</f>
        <v>34.74</v>
      </c>
      <c r="F4344" s="2">
        <f>IFERROR(__xludf.DUMMYFUNCTION("""COMPUTED_VALUE"""),2000200.0)</f>
        <v>2000200</v>
      </c>
    </row>
    <row r="4345">
      <c r="A4345" s="3">
        <f>IFERROR(__xludf.DUMMYFUNCTION("""COMPUTED_VALUE"""),35495.666666666664)</f>
        <v>35495.66667</v>
      </c>
      <c r="B4345" s="2">
        <f>IFERROR(__xludf.DUMMYFUNCTION("""COMPUTED_VALUE"""),34.77)</f>
        <v>34.77</v>
      </c>
      <c r="C4345" s="2">
        <f>IFERROR(__xludf.DUMMYFUNCTION("""COMPUTED_VALUE"""),35.58)</f>
        <v>35.58</v>
      </c>
      <c r="D4345" s="2">
        <f>IFERROR(__xludf.DUMMYFUNCTION("""COMPUTED_VALUE"""),34.54)</f>
        <v>34.54</v>
      </c>
      <c r="E4345" s="2">
        <f>IFERROR(__xludf.DUMMYFUNCTION("""COMPUTED_VALUE"""),34.98)</f>
        <v>34.98</v>
      </c>
      <c r="F4345" s="2">
        <f>IFERROR(__xludf.DUMMYFUNCTION("""COMPUTED_VALUE"""),3692600.0)</f>
        <v>3692600</v>
      </c>
    </row>
    <row r="4346">
      <c r="A4346" s="3">
        <f>IFERROR(__xludf.DUMMYFUNCTION("""COMPUTED_VALUE"""),35496.666666666664)</f>
        <v>35496.66667</v>
      </c>
      <c r="B4346" s="2">
        <f>IFERROR(__xludf.DUMMYFUNCTION("""COMPUTED_VALUE"""),35.16)</f>
        <v>35.16</v>
      </c>
      <c r="C4346" s="2">
        <f>IFERROR(__xludf.DUMMYFUNCTION("""COMPUTED_VALUE"""),35.25)</f>
        <v>35.25</v>
      </c>
      <c r="D4346" s="2">
        <f>IFERROR(__xludf.DUMMYFUNCTION("""COMPUTED_VALUE"""),34.42)</f>
        <v>34.42</v>
      </c>
      <c r="E4346" s="2">
        <f>IFERROR(__xludf.DUMMYFUNCTION("""COMPUTED_VALUE"""),34.56)</f>
        <v>34.56</v>
      </c>
      <c r="F4346" s="2">
        <f>IFERROR(__xludf.DUMMYFUNCTION("""COMPUTED_VALUE"""),2599700.0)</f>
        <v>2599700</v>
      </c>
    </row>
    <row r="4347">
      <c r="A4347" s="3">
        <f>IFERROR(__xludf.DUMMYFUNCTION("""COMPUTED_VALUE"""),35499.666666666664)</f>
        <v>35499.66667</v>
      </c>
      <c r="B4347" s="2">
        <f>IFERROR(__xludf.DUMMYFUNCTION("""COMPUTED_VALUE"""),34.56)</f>
        <v>34.56</v>
      </c>
      <c r="C4347" s="2">
        <f>IFERROR(__xludf.DUMMYFUNCTION("""COMPUTED_VALUE"""),35.1)</f>
        <v>35.1</v>
      </c>
      <c r="D4347" s="2">
        <f>IFERROR(__xludf.DUMMYFUNCTION("""COMPUTED_VALUE"""),34.48)</f>
        <v>34.48</v>
      </c>
      <c r="E4347" s="2">
        <f>IFERROR(__xludf.DUMMYFUNCTION("""COMPUTED_VALUE"""),34.89)</f>
        <v>34.89</v>
      </c>
      <c r="F4347" s="2">
        <f>IFERROR(__xludf.DUMMYFUNCTION("""COMPUTED_VALUE"""),2042300.0)</f>
        <v>2042300</v>
      </c>
    </row>
    <row r="4348">
      <c r="A4348" s="3">
        <f>IFERROR(__xludf.DUMMYFUNCTION("""COMPUTED_VALUE"""),35500.666666666664)</f>
        <v>35500.66667</v>
      </c>
      <c r="B4348" s="2">
        <f>IFERROR(__xludf.DUMMYFUNCTION("""COMPUTED_VALUE"""),34.95)</f>
        <v>34.95</v>
      </c>
      <c r="C4348" s="2">
        <f>IFERROR(__xludf.DUMMYFUNCTION("""COMPUTED_VALUE"""),35.76)</f>
        <v>35.76</v>
      </c>
      <c r="D4348" s="2">
        <f>IFERROR(__xludf.DUMMYFUNCTION("""COMPUTED_VALUE"""),34.86)</f>
        <v>34.86</v>
      </c>
      <c r="E4348" s="2">
        <f>IFERROR(__xludf.DUMMYFUNCTION("""COMPUTED_VALUE"""),34.86)</f>
        <v>34.86</v>
      </c>
      <c r="F4348" s="2">
        <f>IFERROR(__xludf.DUMMYFUNCTION("""COMPUTED_VALUE"""),3352300.0)</f>
        <v>3352300</v>
      </c>
    </row>
    <row r="4349">
      <c r="A4349" s="3">
        <f>IFERROR(__xludf.DUMMYFUNCTION("""COMPUTED_VALUE"""),35501.666666666664)</f>
        <v>35501.66667</v>
      </c>
      <c r="B4349" s="2">
        <f>IFERROR(__xludf.DUMMYFUNCTION("""COMPUTED_VALUE"""),34.86)</f>
        <v>34.86</v>
      </c>
      <c r="C4349" s="2">
        <f>IFERROR(__xludf.DUMMYFUNCTION("""COMPUTED_VALUE"""),35.16)</f>
        <v>35.16</v>
      </c>
      <c r="D4349" s="2">
        <f>IFERROR(__xludf.DUMMYFUNCTION("""COMPUTED_VALUE"""),34.42)</f>
        <v>34.42</v>
      </c>
      <c r="E4349" s="2">
        <f>IFERROR(__xludf.DUMMYFUNCTION("""COMPUTED_VALUE"""),34.59)</f>
        <v>34.59</v>
      </c>
      <c r="F4349" s="2">
        <f>IFERROR(__xludf.DUMMYFUNCTION("""COMPUTED_VALUE"""),2822700.0)</f>
        <v>2822700</v>
      </c>
    </row>
    <row r="4350">
      <c r="A4350" s="3">
        <f>IFERROR(__xludf.DUMMYFUNCTION("""COMPUTED_VALUE"""),35502.666666666664)</f>
        <v>35502.66667</v>
      </c>
      <c r="B4350" s="2">
        <f>IFERROR(__xludf.DUMMYFUNCTION("""COMPUTED_VALUE"""),34.56)</f>
        <v>34.56</v>
      </c>
      <c r="C4350" s="2">
        <f>IFERROR(__xludf.DUMMYFUNCTION("""COMPUTED_VALUE"""),34.92)</f>
        <v>34.92</v>
      </c>
      <c r="D4350" s="2">
        <f>IFERROR(__xludf.DUMMYFUNCTION("""COMPUTED_VALUE"""),33.97)</f>
        <v>33.97</v>
      </c>
      <c r="E4350" s="2">
        <f>IFERROR(__xludf.DUMMYFUNCTION("""COMPUTED_VALUE"""),34.09)</f>
        <v>34.09</v>
      </c>
      <c r="F4350" s="2">
        <f>IFERROR(__xludf.DUMMYFUNCTION("""COMPUTED_VALUE"""),3006400.0)</f>
        <v>3006400</v>
      </c>
    </row>
    <row r="4351">
      <c r="A4351" s="3">
        <f>IFERROR(__xludf.DUMMYFUNCTION("""COMPUTED_VALUE"""),35503.666666666664)</f>
        <v>35503.66667</v>
      </c>
      <c r="B4351" s="2">
        <f>IFERROR(__xludf.DUMMYFUNCTION("""COMPUTED_VALUE"""),34.3)</f>
        <v>34.3</v>
      </c>
      <c r="C4351" s="2">
        <f>IFERROR(__xludf.DUMMYFUNCTION("""COMPUTED_VALUE"""),34.48)</f>
        <v>34.48</v>
      </c>
      <c r="D4351" s="2">
        <f>IFERROR(__xludf.DUMMYFUNCTION("""COMPUTED_VALUE"""),33.94)</f>
        <v>33.94</v>
      </c>
      <c r="E4351" s="2">
        <f>IFERROR(__xludf.DUMMYFUNCTION("""COMPUTED_VALUE"""),34.3)</f>
        <v>34.3</v>
      </c>
      <c r="F4351" s="2">
        <f>IFERROR(__xludf.DUMMYFUNCTION("""COMPUTED_VALUE"""),1991100.0)</f>
        <v>1991100</v>
      </c>
    </row>
    <row r="4352">
      <c r="A4352" s="3">
        <f>IFERROR(__xludf.DUMMYFUNCTION("""COMPUTED_VALUE"""),35506.666666666664)</f>
        <v>35506.66667</v>
      </c>
      <c r="B4352" s="2">
        <f>IFERROR(__xludf.DUMMYFUNCTION("""COMPUTED_VALUE"""),34.09)</f>
        <v>34.09</v>
      </c>
      <c r="C4352" s="2">
        <f>IFERROR(__xludf.DUMMYFUNCTION("""COMPUTED_VALUE"""),34.18)</f>
        <v>34.18</v>
      </c>
      <c r="D4352" s="2">
        <f>IFERROR(__xludf.DUMMYFUNCTION("""COMPUTED_VALUE"""),32.8)</f>
        <v>32.8</v>
      </c>
      <c r="E4352" s="2">
        <f>IFERROR(__xludf.DUMMYFUNCTION("""COMPUTED_VALUE"""),33.31)</f>
        <v>33.31</v>
      </c>
      <c r="F4352" s="2">
        <f>IFERROR(__xludf.DUMMYFUNCTION("""COMPUTED_VALUE"""),5086400.0)</f>
        <v>5086400</v>
      </c>
    </row>
    <row r="4353">
      <c r="A4353" s="3">
        <f>IFERROR(__xludf.DUMMYFUNCTION("""COMPUTED_VALUE"""),35507.666666666664)</f>
        <v>35507.66667</v>
      </c>
      <c r="B4353" s="2">
        <f>IFERROR(__xludf.DUMMYFUNCTION("""COMPUTED_VALUE"""),33.4)</f>
        <v>33.4</v>
      </c>
      <c r="C4353" s="2">
        <f>IFERROR(__xludf.DUMMYFUNCTION("""COMPUTED_VALUE"""),33.61)</f>
        <v>33.61</v>
      </c>
      <c r="D4353" s="2">
        <f>IFERROR(__xludf.DUMMYFUNCTION("""COMPUTED_VALUE"""),32.92)</f>
        <v>32.92</v>
      </c>
      <c r="E4353" s="2">
        <f>IFERROR(__xludf.DUMMYFUNCTION("""COMPUTED_VALUE"""),33.28)</f>
        <v>33.28</v>
      </c>
      <c r="F4353" s="2">
        <f>IFERROR(__xludf.DUMMYFUNCTION("""COMPUTED_VALUE"""),3581400.0)</f>
        <v>3581400</v>
      </c>
    </row>
    <row r="4354">
      <c r="A4354" s="3">
        <f>IFERROR(__xludf.DUMMYFUNCTION("""COMPUTED_VALUE"""),35508.666666666664)</f>
        <v>35508.66667</v>
      </c>
      <c r="B4354" s="2">
        <f>IFERROR(__xludf.DUMMYFUNCTION("""COMPUTED_VALUE"""),33.1)</f>
        <v>33.1</v>
      </c>
      <c r="C4354" s="2">
        <f>IFERROR(__xludf.DUMMYFUNCTION("""COMPUTED_VALUE"""),33.13)</f>
        <v>33.13</v>
      </c>
      <c r="D4354" s="2">
        <f>IFERROR(__xludf.DUMMYFUNCTION("""COMPUTED_VALUE"""),32.42)</f>
        <v>32.42</v>
      </c>
      <c r="E4354" s="2">
        <f>IFERROR(__xludf.DUMMYFUNCTION("""COMPUTED_VALUE"""),32.92)</f>
        <v>32.92</v>
      </c>
      <c r="F4354" s="2">
        <f>IFERROR(__xludf.DUMMYFUNCTION("""COMPUTED_VALUE"""),4106500.0)</f>
        <v>4106500</v>
      </c>
    </row>
    <row r="4355">
      <c r="A4355" s="3">
        <f>IFERROR(__xludf.DUMMYFUNCTION("""COMPUTED_VALUE"""),35509.666666666664)</f>
        <v>35509.66667</v>
      </c>
      <c r="B4355" s="2">
        <f>IFERROR(__xludf.DUMMYFUNCTION("""COMPUTED_VALUE"""),32.95)</f>
        <v>32.95</v>
      </c>
      <c r="C4355" s="2">
        <f>IFERROR(__xludf.DUMMYFUNCTION("""COMPUTED_VALUE"""),33.37)</f>
        <v>33.37</v>
      </c>
      <c r="D4355" s="2">
        <f>IFERROR(__xludf.DUMMYFUNCTION("""COMPUTED_VALUE"""),32.59)</f>
        <v>32.59</v>
      </c>
      <c r="E4355" s="2">
        <f>IFERROR(__xludf.DUMMYFUNCTION("""COMPUTED_VALUE"""),32.68)</f>
        <v>32.68</v>
      </c>
      <c r="F4355" s="2">
        <f>IFERROR(__xludf.DUMMYFUNCTION("""COMPUTED_VALUE"""),3671100.0)</f>
        <v>3671100</v>
      </c>
    </row>
    <row r="4356">
      <c r="A4356" s="3">
        <f>IFERROR(__xludf.DUMMYFUNCTION("""COMPUTED_VALUE"""),35510.666666666664)</f>
        <v>35510.66667</v>
      </c>
      <c r="B4356" s="2">
        <f>IFERROR(__xludf.DUMMYFUNCTION("""COMPUTED_VALUE"""),32.68)</f>
        <v>32.68</v>
      </c>
      <c r="C4356" s="2">
        <f>IFERROR(__xludf.DUMMYFUNCTION("""COMPUTED_VALUE"""),32.68)</f>
        <v>32.68</v>
      </c>
      <c r="D4356" s="2">
        <f>IFERROR(__xludf.DUMMYFUNCTION("""COMPUTED_VALUE"""),31.55)</f>
        <v>31.55</v>
      </c>
      <c r="E4356" s="2">
        <f>IFERROR(__xludf.DUMMYFUNCTION("""COMPUTED_VALUE"""),31.61)</f>
        <v>31.61</v>
      </c>
      <c r="F4356" s="2">
        <f>IFERROR(__xludf.DUMMYFUNCTION("""COMPUTED_VALUE"""),6516100.0)</f>
        <v>6516100</v>
      </c>
    </row>
    <row r="4357">
      <c r="A4357" s="3">
        <f>IFERROR(__xludf.DUMMYFUNCTION("""COMPUTED_VALUE"""),35513.666666666664)</f>
        <v>35513.66667</v>
      </c>
      <c r="B4357" s="2">
        <f>IFERROR(__xludf.DUMMYFUNCTION("""COMPUTED_VALUE"""),31.67)</f>
        <v>31.67</v>
      </c>
      <c r="C4357" s="2">
        <f>IFERROR(__xludf.DUMMYFUNCTION("""COMPUTED_VALUE"""),32.68)</f>
        <v>32.68</v>
      </c>
      <c r="D4357" s="2">
        <f>IFERROR(__xludf.DUMMYFUNCTION("""COMPUTED_VALUE"""),31.04)</f>
        <v>31.04</v>
      </c>
      <c r="E4357" s="2">
        <f>IFERROR(__xludf.DUMMYFUNCTION("""COMPUTED_VALUE"""),32.68)</f>
        <v>32.68</v>
      </c>
      <c r="F4357" s="2">
        <f>IFERROR(__xludf.DUMMYFUNCTION("""COMPUTED_VALUE"""),4400000.0)</f>
        <v>4400000</v>
      </c>
    </row>
    <row r="4358">
      <c r="A4358" s="3">
        <f>IFERROR(__xludf.DUMMYFUNCTION("""COMPUTED_VALUE"""),35514.666666666664)</f>
        <v>35514.66667</v>
      </c>
      <c r="B4358" s="2">
        <f>IFERROR(__xludf.DUMMYFUNCTION("""COMPUTED_VALUE"""),32.68)</f>
        <v>32.68</v>
      </c>
      <c r="C4358" s="2">
        <f>IFERROR(__xludf.DUMMYFUNCTION("""COMPUTED_VALUE"""),33.04)</f>
        <v>33.04</v>
      </c>
      <c r="D4358" s="2">
        <f>IFERROR(__xludf.DUMMYFUNCTION("""COMPUTED_VALUE"""),32.18)</f>
        <v>32.18</v>
      </c>
      <c r="E4358" s="2">
        <f>IFERROR(__xludf.DUMMYFUNCTION("""COMPUTED_VALUE"""),32.51)</f>
        <v>32.51</v>
      </c>
      <c r="F4358" s="2">
        <f>IFERROR(__xludf.DUMMYFUNCTION("""COMPUTED_VALUE"""),3454900.0)</f>
        <v>3454900</v>
      </c>
    </row>
    <row r="4359">
      <c r="A4359" s="3">
        <f>IFERROR(__xludf.DUMMYFUNCTION("""COMPUTED_VALUE"""),35515.666666666664)</f>
        <v>35515.66667</v>
      </c>
      <c r="B4359" s="2">
        <f>IFERROR(__xludf.DUMMYFUNCTION("""COMPUTED_VALUE"""),32.59)</f>
        <v>32.59</v>
      </c>
      <c r="C4359" s="2">
        <f>IFERROR(__xludf.DUMMYFUNCTION("""COMPUTED_VALUE"""),33.7)</f>
        <v>33.7</v>
      </c>
      <c r="D4359" s="2">
        <f>IFERROR(__xludf.DUMMYFUNCTION("""COMPUTED_VALUE"""),32.36)</f>
        <v>32.36</v>
      </c>
      <c r="E4359" s="2">
        <f>IFERROR(__xludf.DUMMYFUNCTION("""COMPUTED_VALUE"""),33.58)</f>
        <v>33.58</v>
      </c>
      <c r="F4359" s="2">
        <f>IFERROR(__xludf.DUMMYFUNCTION("""COMPUTED_VALUE"""),3447600.0)</f>
        <v>3447600</v>
      </c>
    </row>
    <row r="4360">
      <c r="A4360" s="3">
        <f>IFERROR(__xludf.DUMMYFUNCTION("""COMPUTED_VALUE"""),35516.666666666664)</f>
        <v>35516.66667</v>
      </c>
      <c r="B4360" s="2">
        <f>IFERROR(__xludf.DUMMYFUNCTION("""COMPUTED_VALUE"""),33.55)</f>
        <v>33.55</v>
      </c>
      <c r="C4360" s="2">
        <f>IFERROR(__xludf.DUMMYFUNCTION("""COMPUTED_VALUE"""),33.85)</f>
        <v>33.85</v>
      </c>
      <c r="D4360" s="2">
        <f>IFERROR(__xludf.DUMMYFUNCTION("""COMPUTED_VALUE"""),32.51)</f>
        <v>32.51</v>
      </c>
      <c r="E4360" s="2">
        <f>IFERROR(__xludf.DUMMYFUNCTION("""COMPUTED_VALUE"""),32.8)</f>
        <v>32.8</v>
      </c>
      <c r="F4360" s="2">
        <f>IFERROR(__xludf.DUMMYFUNCTION("""COMPUTED_VALUE"""),2900100.0)</f>
        <v>2900100</v>
      </c>
    </row>
    <row r="4361">
      <c r="A4361" s="3">
        <f>IFERROR(__xludf.DUMMYFUNCTION("""COMPUTED_VALUE"""),35520.666666666664)</f>
        <v>35520.66667</v>
      </c>
      <c r="B4361" s="2">
        <f>IFERROR(__xludf.DUMMYFUNCTION("""COMPUTED_VALUE"""),32.77)</f>
        <v>32.77</v>
      </c>
      <c r="C4361" s="2">
        <f>IFERROR(__xludf.DUMMYFUNCTION("""COMPUTED_VALUE"""),33.31)</f>
        <v>33.31</v>
      </c>
      <c r="D4361" s="2">
        <f>IFERROR(__xludf.DUMMYFUNCTION("""COMPUTED_VALUE"""),32.09)</f>
        <v>32.09</v>
      </c>
      <c r="E4361" s="2">
        <f>IFERROR(__xludf.DUMMYFUNCTION("""COMPUTED_VALUE"""),32.77)</f>
        <v>32.77</v>
      </c>
      <c r="F4361" s="2">
        <f>IFERROR(__xludf.DUMMYFUNCTION("""COMPUTED_VALUE"""),3877000.0)</f>
        <v>3877000</v>
      </c>
    </row>
    <row r="4362">
      <c r="A4362" s="3">
        <f>IFERROR(__xludf.DUMMYFUNCTION("""COMPUTED_VALUE"""),35521.666666666664)</f>
        <v>35521.66667</v>
      </c>
      <c r="B4362" s="2">
        <f>IFERROR(__xludf.DUMMYFUNCTION("""COMPUTED_VALUE"""),32.71)</f>
        <v>32.71</v>
      </c>
      <c r="C4362" s="2">
        <f>IFERROR(__xludf.DUMMYFUNCTION("""COMPUTED_VALUE"""),32.89)</f>
        <v>32.89</v>
      </c>
      <c r="D4362" s="2">
        <f>IFERROR(__xludf.DUMMYFUNCTION("""COMPUTED_VALUE"""),32.39)</f>
        <v>32.39</v>
      </c>
      <c r="E4362" s="2">
        <f>IFERROR(__xludf.DUMMYFUNCTION("""COMPUTED_VALUE"""),32.68)</f>
        <v>32.68</v>
      </c>
      <c r="F4362" s="2">
        <f>IFERROR(__xludf.DUMMYFUNCTION("""COMPUTED_VALUE"""),2927600.0)</f>
        <v>2927600</v>
      </c>
    </row>
    <row r="4363">
      <c r="A4363" s="3">
        <f>IFERROR(__xludf.DUMMYFUNCTION("""COMPUTED_VALUE"""),35522.666666666664)</f>
        <v>35522.66667</v>
      </c>
      <c r="B4363" s="2">
        <f>IFERROR(__xludf.DUMMYFUNCTION("""COMPUTED_VALUE"""),32.68)</f>
        <v>32.68</v>
      </c>
      <c r="C4363" s="2">
        <f>IFERROR(__xludf.DUMMYFUNCTION("""COMPUTED_VALUE"""),32.8)</f>
        <v>32.8</v>
      </c>
      <c r="D4363" s="2">
        <f>IFERROR(__xludf.DUMMYFUNCTION("""COMPUTED_VALUE"""),31.82)</f>
        <v>31.82</v>
      </c>
      <c r="E4363" s="2">
        <f>IFERROR(__xludf.DUMMYFUNCTION("""COMPUTED_VALUE"""),31.91)</f>
        <v>31.91</v>
      </c>
      <c r="F4363" s="2">
        <f>IFERROR(__xludf.DUMMYFUNCTION("""COMPUTED_VALUE"""),3478600.0)</f>
        <v>3478600</v>
      </c>
    </row>
    <row r="4364">
      <c r="A4364" s="3">
        <f>IFERROR(__xludf.DUMMYFUNCTION("""COMPUTED_VALUE"""),35523.666666666664)</f>
        <v>35523.66667</v>
      </c>
      <c r="B4364" s="2">
        <f>IFERROR(__xludf.DUMMYFUNCTION("""COMPUTED_VALUE"""),31.52)</f>
        <v>31.52</v>
      </c>
      <c r="C4364" s="2">
        <f>IFERROR(__xludf.DUMMYFUNCTION("""COMPUTED_VALUE"""),31.58)</f>
        <v>31.58</v>
      </c>
      <c r="D4364" s="2">
        <f>IFERROR(__xludf.DUMMYFUNCTION("""COMPUTED_VALUE"""),30.77)</f>
        <v>30.77</v>
      </c>
      <c r="E4364" s="2">
        <f>IFERROR(__xludf.DUMMYFUNCTION("""COMPUTED_VALUE"""),31.37)</f>
        <v>31.37</v>
      </c>
      <c r="F4364" s="2">
        <f>IFERROR(__xludf.DUMMYFUNCTION("""COMPUTED_VALUE"""),5336100.0)</f>
        <v>5336100</v>
      </c>
    </row>
    <row r="4365">
      <c r="A4365" s="3">
        <f>IFERROR(__xludf.DUMMYFUNCTION("""COMPUTED_VALUE"""),35524.666666666664)</f>
        <v>35524.66667</v>
      </c>
      <c r="B4365" s="2">
        <f>IFERROR(__xludf.DUMMYFUNCTION("""COMPUTED_VALUE"""),30.39)</f>
        <v>30.39</v>
      </c>
      <c r="C4365" s="2">
        <f>IFERROR(__xludf.DUMMYFUNCTION("""COMPUTED_VALUE"""),31.31)</f>
        <v>31.31</v>
      </c>
      <c r="D4365" s="2">
        <f>IFERROR(__xludf.DUMMYFUNCTION("""COMPUTED_VALUE"""),30.36)</f>
        <v>30.36</v>
      </c>
      <c r="E4365" s="2">
        <f>IFERROR(__xludf.DUMMYFUNCTION("""COMPUTED_VALUE"""),30.83)</f>
        <v>30.83</v>
      </c>
      <c r="F4365" s="2">
        <f>IFERROR(__xludf.DUMMYFUNCTION("""COMPUTED_VALUE"""),6194600.0)</f>
        <v>6194600</v>
      </c>
    </row>
    <row r="4366">
      <c r="A4366" s="3">
        <f>IFERROR(__xludf.DUMMYFUNCTION("""COMPUTED_VALUE"""),35527.666666666664)</f>
        <v>35527.66667</v>
      </c>
      <c r="B4366" s="2">
        <f>IFERROR(__xludf.DUMMYFUNCTION("""COMPUTED_VALUE"""),31.22)</f>
        <v>31.22</v>
      </c>
      <c r="C4366" s="2">
        <f>IFERROR(__xludf.DUMMYFUNCTION("""COMPUTED_VALUE"""),31.88)</f>
        <v>31.88</v>
      </c>
      <c r="D4366" s="2">
        <f>IFERROR(__xludf.DUMMYFUNCTION("""COMPUTED_VALUE"""),31.16)</f>
        <v>31.16</v>
      </c>
      <c r="E4366" s="2">
        <f>IFERROR(__xludf.DUMMYFUNCTION("""COMPUTED_VALUE"""),31.58)</f>
        <v>31.58</v>
      </c>
      <c r="F4366" s="2">
        <f>IFERROR(__xludf.DUMMYFUNCTION("""COMPUTED_VALUE"""),2661300.0)</f>
        <v>2661300</v>
      </c>
    </row>
    <row r="4367">
      <c r="A4367" s="3">
        <f>IFERROR(__xludf.DUMMYFUNCTION("""COMPUTED_VALUE"""),35528.666666666664)</f>
        <v>35528.66667</v>
      </c>
      <c r="B4367" s="2">
        <f>IFERROR(__xludf.DUMMYFUNCTION("""COMPUTED_VALUE"""),31.58)</f>
        <v>31.58</v>
      </c>
      <c r="C4367" s="2">
        <f>IFERROR(__xludf.DUMMYFUNCTION("""COMPUTED_VALUE"""),32.68)</f>
        <v>32.68</v>
      </c>
      <c r="D4367" s="2">
        <f>IFERROR(__xludf.DUMMYFUNCTION("""COMPUTED_VALUE"""),31.58)</f>
        <v>31.58</v>
      </c>
      <c r="E4367" s="2">
        <f>IFERROR(__xludf.DUMMYFUNCTION("""COMPUTED_VALUE"""),32.62)</f>
        <v>32.62</v>
      </c>
      <c r="F4367" s="2">
        <f>IFERROR(__xludf.DUMMYFUNCTION("""COMPUTED_VALUE"""),2706500.0)</f>
        <v>2706500</v>
      </c>
    </row>
    <row r="4368">
      <c r="A4368" s="3">
        <f>IFERROR(__xludf.DUMMYFUNCTION("""COMPUTED_VALUE"""),35529.666666666664)</f>
        <v>35529.66667</v>
      </c>
      <c r="B4368" s="2">
        <f>IFERROR(__xludf.DUMMYFUNCTION("""COMPUTED_VALUE"""),32.95)</f>
        <v>32.95</v>
      </c>
      <c r="C4368" s="2">
        <f>IFERROR(__xludf.DUMMYFUNCTION("""COMPUTED_VALUE"""),32.95)</f>
        <v>32.95</v>
      </c>
      <c r="D4368" s="2">
        <f>IFERROR(__xludf.DUMMYFUNCTION("""COMPUTED_VALUE"""),31.76)</f>
        <v>31.76</v>
      </c>
      <c r="E4368" s="2">
        <f>IFERROR(__xludf.DUMMYFUNCTION("""COMPUTED_VALUE"""),31.79)</f>
        <v>31.79</v>
      </c>
      <c r="F4368" s="2">
        <f>IFERROR(__xludf.DUMMYFUNCTION("""COMPUTED_VALUE"""),3424000.0)</f>
        <v>3424000</v>
      </c>
    </row>
    <row r="4369">
      <c r="A4369" s="3">
        <f>IFERROR(__xludf.DUMMYFUNCTION("""COMPUTED_VALUE"""),35530.666666666664)</f>
        <v>35530.66667</v>
      </c>
      <c r="B4369" s="2">
        <f>IFERROR(__xludf.DUMMYFUNCTION("""COMPUTED_VALUE"""),31.94)</f>
        <v>31.94</v>
      </c>
      <c r="C4369" s="2">
        <f>IFERROR(__xludf.DUMMYFUNCTION("""COMPUTED_VALUE"""),32.21)</f>
        <v>32.21</v>
      </c>
      <c r="D4369" s="2">
        <f>IFERROR(__xludf.DUMMYFUNCTION("""COMPUTED_VALUE"""),31.73)</f>
        <v>31.73</v>
      </c>
      <c r="E4369" s="2">
        <f>IFERROR(__xludf.DUMMYFUNCTION("""COMPUTED_VALUE"""),31.73)</f>
        <v>31.73</v>
      </c>
      <c r="F4369" s="2">
        <f>IFERROR(__xludf.DUMMYFUNCTION("""COMPUTED_VALUE"""),2475700.0)</f>
        <v>2475700</v>
      </c>
    </row>
    <row r="4370">
      <c r="A4370" s="3">
        <f>IFERROR(__xludf.DUMMYFUNCTION("""COMPUTED_VALUE"""),35531.666666666664)</f>
        <v>35531.66667</v>
      </c>
      <c r="B4370" s="2">
        <f>IFERROR(__xludf.DUMMYFUNCTION("""COMPUTED_VALUE"""),31.58)</f>
        <v>31.58</v>
      </c>
      <c r="C4370" s="2">
        <f>IFERROR(__xludf.DUMMYFUNCTION("""COMPUTED_VALUE"""),32.18)</f>
        <v>32.18</v>
      </c>
      <c r="D4370" s="2">
        <f>IFERROR(__xludf.DUMMYFUNCTION("""COMPUTED_VALUE"""),31.37)</f>
        <v>31.37</v>
      </c>
      <c r="E4370" s="2">
        <f>IFERROR(__xludf.DUMMYFUNCTION("""COMPUTED_VALUE"""),31.85)</f>
        <v>31.85</v>
      </c>
      <c r="F4370" s="2">
        <f>IFERROR(__xludf.DUMMYFUNCTION("""COMPUTED_VALUE"""),4135500.0)</f>
        <v>4135500</v>
      </c>
    </row>
    <row r="4371">
      <c r="A4371" s="3">
        <f>IFERROR(__xludf.DUMMYFUNCTION("""COMPUTED_VALUE"""),35534.666666666664)</f>
        <v>35534.66667</v>
      </c>
      <c r="B4371" s="2">
        <f>IFERROR(__xludf.DUMMYFUNCTION("""COMPUTED_VALUE"""),32.12)</f>
        <v>32.12</v>
      </c>
      <c r="C4371" s="2">
        <f>IFERROR(__xludf.DUMMYFUNCTION("""COMPUTED_VALUE"""),32.68)</f>
        <v>32.68</v>
      </c>
      <c r="D4371" s="2">
        <f>IFERROR(__xludf.DUMMYFUNCTION("""COMPUTED_VALUE"""),31.82)</f>
        <v>31.82</v>
      </c>
      <c r="E4371" s="2">
        <f>IFERROR(__xludf.DUMMYFUNCTION("""COMPUTED_VALUE"""),32.62)</f>
        <v>32.62</v>
      </c>
      <c r="F4371" s="2">
        <f>IFERROR(__xludf.DUMMYFUNCTION("""COMPUTED_VALUE"""),2606400.0)</f>
        <v>2606400</v>
      </c>
    </row>
    <row r="4372">
      <c r="A4372" s="3">
        <f>IFERROR(__xludf.DUMMYFUNCTION("""COMPUTED_VALUE"""),35535.666666666664)</f>
        <v>35535.66667</v>
      </c>
      <c r="B4372" s="2">
        <f>IFERROR(__xludf.DUMMYFUNCTION("""COMPUTED_VALUE"""),33.1)</f>
        <v>33.1</v>
      </c>
      <c r="C4372" s="2">
        <f>IFERROR(__xludf.DUMMYFUNCTION("""COMPUTED_VALUE"""),33.16)</f>
        <v>33.16</v>
      </c>
      <c r="D4372" s="2">
        <f>IFERROR(__xludf.DUMMYFUNCTION("""COMPUTED_VALUE"""),32.09)</f>
        <v>32.09</v>
      </c>
      <c r="E4372" s="2">
        <f>IFERROR(__xludf.DUMMYFUNCTION("""COMPUTED_VALUE"""),32.89)</f>
        <v>32.89</v>
      </c>
      <c r="F4372" s="2">
        <f>IFERROR(__xludf.DUMMYFUNCTION("""COMPUTED_VALUE"""),3901600.0)</f>
        <v>3901600</v>
      </c>
    </row>
    <row r="4373">
      <c r="A4373" s="3">
        <f>IFERROR(__xludf.DUMMYFUNCTION("""COMPUTED_VALUE"""),35536.666666666664)</f>
        <v>35536.66667</v>
      </c>
      <c r="B4373" s="2">
        <f>IFERROR(__xludf.DUMMYFUNCTION("""COMPUTED_VALUE"""),32.8)</f>
        <v>32.8</v>
      </c>
      <c r="C4373" s="2">
        <f>IFERROR(__xludf.DUMMYFUNCTION("""COMPUTED_VALUE"""),33.04)</f>
        <v>33.04</v>
      </c>
      <c r="D4373" s="2">
        <f>IFERROR(__xludf.DUMMYFUNCTION("""COMPUTED_VALUE"""),32.42)</f>
        <v>32.42</v>
      </c>
      <c r="E4373" s="2">
        <f>IFERROR(__xludf.DUMMYFUNCTION("""COMPUTED_VALUE"""),32.83)</f>
        <v>32.83</v>
      </c>
      <c r="F4373" s="2">
        <f>IFERROR(__xludf.DUMMYFUNCTION("""COMPUTED_VALUE"""),1844800.0)</f>
        <v>1844800</v>
      </c>
    </row>
    <row r="4374">
      <c r="A4374" s="3">
        <f>IFERROR(__xludf.DUMMYFUNCTION("""COMPUTED_VALUE"""),35537.666666666664)</f>
        <v>35537.66667</v>
      </c>
      <c r="B4374" s="2">
        <f>IFERROR(__xludf.DUMMYFUNCTION("""COMPUTED_VALUE"""),32.8)</f>
        <v>32.8</v>
      </c>
      <c r="C4374" s="2">
        <f>IFERROR(__xludf.DUMMYFUNCTION("""COMPUTED_VALUE"""),33.37)</f>
        <v>33.37</v>
      </c>
      <c r="D4374" s="2">
        <f>IFERROR(__xludf.DUMMYFUNCTION("""COMPUTED_VALUE"""),32.65)</f>
        <v>32.65</v>
      </c>
      <c r="E4374" s="2">
        <f>IFERROR(__xludf.DUMMYFUNCTION("""COMPUTED_VALUE"""),32.74)</f>
        <v>32.74</v>
      </c>
      <c r="F4374" s="2">
        <f>IFERROR(__xludf.DUMMYFUNCTION("""COMPUTED_VALUE"""),2637000.0)</f>
        <v>2637000</v>
      </c>
    </row>
    <row r="4375">
      <c r="A4375" s="3">
        <f>IFERROR(__xludf.DUMMYFUNCTION("""COMPUTED_VALUE"""),35538.666666666664)</f>
        <v>35538.66667</v>
      </c>
      <c r="B4375" s="2">
        <f>IFERROR(__xludf.DUMMYFUNCTION("""COMPUTED_VALUE"""),32.95)</f>
        <v>32.95</v>
      </c>
      <c r="C4375" s="2">
        <f>IFERROR(__xludf.DUMMYFUNCTION("""COMPUTED_VALUE"""),33.46)</f>
        <v>33.46</v>
      </c>
      <c r="D4375" s="2">
        <f>IFERROR(__xludf.DUMMYFUNCTION("""COMPUTED_VALUE"""),32.89)</f>
        <v>32.89</v>
      </c>
      <c r="E4375" s="2">
        <f>IFERROR(__xludf.DUMMYFUNCTION("""COMPUTED_VALUE"""),33.34)</f>
        <v>33.34</v>
      </c>
      <c r="F4375" s="2">
        <f>IFERROR(__xludf.DUMMYFUNCTION("""COMPUTED_VALUE"""),2326400.0)</f>
        <v>2326400</v>
      </c>
    </row>
    <row r="4376">
      <c r="A4376" s="3">
        <f>IFERROR(__xludf.DUMMYFUNCTION("""COMPUTED_VALUE"""),35541.666666666664)</f>
        <v>35541.66667</v>
      </c>
      <c r="B4376" s="2">
        <f>IFERROR(__xludf.DUMMYFUNCTION("""COMPUTED_VALUE"""),33.34)</f>
        <v>33.34</v>
      </c>
      <c r="C4376" s="2">
        <f>IFERROR(__xludf.DUMMYFUNCTION("""COMPUTED_VALUE"""),33.73)</f>
        <v>33.73</v>
      </c>
      <c r="D4376" s="2">
        <f>IFERROR(__xludf.DUMMYFUNCTION("""COMPUTED_VALUE"""),32.62)</f>
        <v>32.62</v>
      </c>
      <c r="E4376" s="2">
        <f>IFERROR(__xludf.DUMMYFUNCTION("""COMPUTED_VALUE"""),32.8)</f>
        <v>32.8</v>
      </c>
      <c r="F4376" s="2">
        <f>IFERROR(__xludf.DUMMYFUNCTION("""COMPUTED_VALUE"""),2337100.0)</f>
        <v>2337100</v>
      </c>
    </row>
    <row r="4377">
      <c r="A4377" s="3">
        <f>IFERROR(__xludf.DUMMYFUNCTION("""COMPUTED_VALUE"""),35542.666666666664)</f>
        <v>35542.66667</v>
      </c>
      <c r="B4377" s="2">
        <f>IFERROR(__xludf.DUMMYFUNCTION("""COMPUTED_VALUE"""),32.77)</f>
        <v>32.77</v>
      </c>
      <c r="C4377" s="2">
        <f>IFERROR(__xludf.DUMMYFUNCTION("""COMPUTED_VALUE"""),33.46)</f>
        <v>33.46</v>
      </c>
      <c r="D4377" s="2">
        <f>IFERROR(__xludf.DUMMYFUNCTION("""COMPUTED_VALUE"""),32.18)</f>
        <v>32.18</v>
      </c>
      <c r="E4377" s="2">
        <f>IFERROR(__xludf.DUMMYFUNCTION("""COMPUTED_VALUE"""),33.43)</f>
        <v>33.43</v>
      </c>
      <c r="F4377" s="2">
        <f>IFERROR(__xludf.DUMMYFUNCTION("""COMPUTED_VALUE"""),2954100.0)</f>
        <v>2954100</v>
      </c>
    </row>
    <row r="4378">
      <c r="A4378" s="3">
        <f>IFERROR(__xludf.DUMMYFUNCTION("""COMPUTED_VALUE"""),35543.666666666664)</f>
        <v>35543.66667</v>
      </c>
      <c r="B4378" s="2">
        <f>IFERROR(__xludf.DUMMYFUNCTION("""COMPUTED_VALUE"""),33.43)</f>
        <v>33.43</v>
      </c>
      <c r="C4378" s="2">
        <f>IFERROR(__xludf.DUMMYFUNCTION("""COMPUTED_VALUE"""),34.33)</f>
        <v>34.33</v>
      </c>
      <c r="D4378" s="2">
        <f>IFERROR(__xludf.DUMMYFUNCTION("""COMPUTED_VALUE"""),33.25)</f>
        <v>33.25</v>
      </c>
      <c r="E4378" s="2">
        <f>IFERROR(__xludf.DUMMYFUNCTION("""COMPUTED_VALUE"""),34.0)</f>
        <v>34</v>
      </c>
      <c r="F4378" s="2">
        <f>IFERROR(__xludf.DUMMYFUNCTION("""COMPUTED_VALUE"""),3863200.0)</f>
        <v>3863200</v>
      </c>
    </row>
    <row r="4379">
      <c r="A4379" s="3">
        <f>IFERROR(__xludf.DUMMYFUNCTION("""COMPUTED_VALUE"""),35544.666666666664)</f>
        <v>35544.66667</v>
      </c>
      <c r="B4379" s="2">
        <f>IFERROR(__xludf.DUMMYFUNCTION("""COMPUTED_VALUE"""),36.71)</f>
        <v>36.71</v>
      </c>
      <c r="C4379" s="2">
        <f>IFERROR(__xludf.DUMMYFUNCTION("""COMPUTED_VALUE"""),37.07)</f>
        <v>37.07</v>
      </c>
      <c r="D4379" s="2">
        <f>IFERROR(__xludf.DUMMYFUNCTION("""COMPUTED_VALUE"""),36.03)</f>
        <v>36.03</v>
      </c>
      <c r="E4379" s="2">
        <f>IFERROR(__xludf.DUMMYFUNCTION("""COMPUTED_VALUE"""),36.71)</f>
        <v>36.71</v>
      </c>
      <c r="F4379" s="2">
        <f>IFERROR(__xludf.DUMMYFUNCTION("""COMPUTED_VALUE"""),1.0616E7)</f>
        <v>10616000</v>
      </c>
    </row>
    <row r="4380">
      <c r="A4380" s="3">
        <f>IFERROR(__xludf.DUMMYFUNCTION("""COMPUTED_VALUE"""),35545.666666666664)</f>
        <v>35545.66667</v>
      </c>
      <c r="B4380" s="2">
        <f>IFERROR(__xludf.DUMMYFUNCTION("""COMPUTED_VALUE"""),36.36)</f>
        <v>36.36</v>
      </c>
      <c r="C4380" s="2">
        <f>IFERROR(__xludf.DUMMYFUNCTION("""COMPUTED_VALUE"""),36.51)</f>
        <v>36.51</v>
      </c>
      <c r="D4380" s="2">
        <f>IFERROR(__xludf.DUMMYFUNCTION("""COMPUTED_VALUE"""),35.97)</f>
        <v>35.97</v>
      </c>
      <c r="E4380" s="2">
        <f>IFERROR(__xludf.DUMMYFUNCTION("""COMPUTED_VALUE"""),36.0)</f>
        <v>36</v>
      </c>
      <c r="F4380" s="2">
        <f>IFERROR(__xludf.DUMMYFUNCTION("""COMPUTED_VALUE"""),2998700.0)</f>
        <v>2998700</v>
      </c>
    </row>
    <row r="4381">
      <c r="A4381" s="3">
        <f>IFERROR(__xludf.DUMMYFUNCTION("""COMPUTED_VALUE"""),35548.666666666664)</f>
        <v>35548.66667</v>
      </c>
      <c r="B4381" s="2">
        <f>IFERROR(__xludf.DUMMYFUNCTION("""COMPUTED_VALUE"""),35.73)</f>
        <v>35.73</v>
      </c>
      <c r="C4381" s="2">
        <f>IFERROR(__xludf.DUMMYFUNCTION("""COMPUTED_VALUE"""),36.24)</f>
        <v>36.24</v>
      </c>
      <c r="D4381" s="2">
        <f>IFERROR(__xludf.DUMMYFUNCTION("""COMPUTED_VALUE"""),35.61)</f>
        <v>35.61</v>
      </c>
      <c r="E4381" s="2">
        <f>IFERROR(__xludf.DUMMYFUNCTION("""COMPUTED_VALUE"""),35.91)</f>
        <v>35.91</v>
      </c>
      <c r="F4381" s="2">
        <f>IFERROR(__xludf.DUMMYFUNCTION("""COMPUTED_VALUE"""),2492600.0)</f>
        <v>2492600</v>
      </c>
    </row>
    <row r="4382">
      <c r="A4382" s="3">
        <f>IFERROR(__xludf.DUMMYFUNCTION("""COMPUTED_VALUE"""),35549.666666666664)</f>
        <v>35549.66667</v>
      </c>
      <c r="B4382" s="2">
        <f>IFERROR(__xludf.DUMMYFUNCTION("""COMPUTED_VALUE"""),36.39)</f>
        <v>36.39</v>
      </c>
      <c r="C4382" s="2">
        <f>IFERROR(__xludf.DUMMYFUNCTION("""COMPUTED_VALUE"""),37.97)</f>
        <v>37.97</v>
      </c>
      <c r="D4382" s="2">
        <f>IFERROR(__xludf.DUMMYFUNCTION("""COMPUTED_VALUE"""),36.3)</f>
        <v>36.3</v>
      </c>
      <c r="E4382" s="2">
        <f>IFERROR(__xludf.DUMMYFUNCTION("""COMPUTED_VALUE"""),37.82)</f>
        <v>37.82</v>
      </c>
      <c r="F4382" s="2">
        <f>IFERROR(__xludf.DUMMYFUNCTION("""COMPUTED_VALUE"""),4606900.0)</f>
        <v>4606900</v>
      </c>
    </row>
    <row r="4383">
      <c r="A4383" s="3">
        <f>IFERROR(__xludf.DUMMYFUNCTION("""COMPUTED_VALUE"""),35550.666666666664)</f>
        <v>35550.66667</v>
      </c>
      <c r="B4383" s="2">
        <f>IFERROR(__xludf.DUMMYFUNCTION("""COMPUTED_VALUE"""),37.7)</f>
        <v>37.7</v>
      </c>
      <c r="C4383" s="2">
        <f>IFERROR(__xludf.DUMMYFUNCTION("""COMPUTED_VALUE"""),38.48)</f>
        <v>38.48</v>
      </c>
      <c r="D4383" s="2">
        <f>IFERROR(__xludf.DUMMYFUNCTION("""COMPUTED_VALUE"""),37.55)</f>
        <v>37.55</v>
      </c>
      <c r="E4383" s="2">
        <f>IFERROR(__xludf.DUMMYFUNCTION("""COMPUTED_VALUE"""),38.39)</f>
        <v>38.39</v>
      </c>
      <c r="F4383" s="2">
        <f>IFERROR(__xludf.DUMMYFUNCTION("""COMPUTED_VALUE"""),4372000.0)</f>
        <v>4372000</v>
      </c>
    </row>
    <row r="4384">
      <c r="A4384" s="3">
        <f>IFERROR(__xludf.DUMMYFUNCTION("""COMPUTED_VALUE"""),35551.666666666664)</f>
        <v>35551.66667</v>
      </c>
      <c r="B4384" s="2">
        <f>IFERROR(__xludf.DUMMYFUNCTION("""COMPUTED_VALUE"""),38.33)</f>
        <v>38.33</v>
      </c>
      <c r="C4384" s="2">
        <f>IFERROR(__xludf.DUMMYFUNCTION("""COMPUTED_VALUE"""),38.59)</f>
        <v>38.59</v>
      </c>
      <c r="D4384" s="2">
        <f>IFERROR(__xludf.DUMMYFUNCTION("""COMPUTED_VALUE"""),38.06)</f>
        <v>38.06</v>
      </c>
      <c r="E4384" s="2">
        <f>IFERROR(__xludf.DUMMYFUNCTION("""COMPUTED_VALUE"""),38.53)</f>
        <v>38.53</v>
      </c>
      <c r="F4384" s="2">
        <f>IFERROR(__xludf.DUMMYFUNCTION("""COMPUTED_VALUE"""),2959600.0)</f>
        <v>2959600</v>
      </c>
    </row>
    <row r="4385">
      <c r="A4385" s="3">
        <f>IFERROR(__xludf.DUMMYFUNCTION("""COMPUTED_VALUE"""),35552.666666666664)</f>
        <v>35552.66667</v>
      </c>
      <c r="B4385" s="2">
        <f>IFERROR(__xludf.DUMMYFUNCTION("""COMPUTED_VALUE"""),38.45)</f>
        <v>38.45</v>
      </c>
      <c r="C4385" s="2">
        <f>IFERROR(__xludf.DUMMYFUNCTION("""COMPUTED_VALUE"""),38.89)</f>
        <v>38.89</v>
      </c>
      <c r="D4385" s="2">
        <f>IFERROR(__xludf.DUMMYFUNCTION("""COMPUTED_VALUE"""),38.18)</f>
        <v>38.18</v>
      </c>
      <c r="E4385" s="2">
        <f>IFERROR(__xludf.DUMMYFUNCTION("""COMPUTED_VALUE"""),38.74)</f>
        <v>38.74</v>
      </c>
      <c r="F4385" s="2">
        <f>IFERROR(__xludf.DUMMYFUNCTION("""COMPUTED_VALUE"""),2881800.0)</f>
        <v>2881800</v>
      </c>
    </row>
    <row r="4386">
      <c r="A4386" s="3">
        <f>IFERROR(__xludf.DUMMYFUNCTION("""COMPUTED_VALUE"""),35555.666666666664)</f>
        <v>35555.66667</v>
      </c>
      <c r="B4386" s="2">
        <f>IFERROR(__xludf.DUMMYFUNCTION("""COMPUTED_VALUE"""),38.89)</f>
        <v>38.89</v>
      </c>
      <c r="C4386" s="2">
        <f>IFERROR(__xludf.DUMMYFUNCTION("""COMPUTED_VALUE"""),39.7)</f>
        <v>39.7</v>
      </c>
      <c r="D4386" s="2">
        <f>IFERROR(__xludf.DUMMYFUNCTION("""COMPUTED_VALUE"""),38.83)</f>
        <v>38.83</v>
      </c>
      <c r="E4386" s="2">
        <f>IFERROR(__xludf.DUMMYFUNCTION("""COMPUTED_VALUE"""),39.7)</f>
        <v>39.7</v>
      </c>
      <c r="F4386" s="2">
        <f>IFERROR(__xludf.DUMMYFUNCTION("""COMPUTED_VALUE"""),2700200.0)</f>
        <v>2700200</v>
      </c>
    </row>
    <row r="4387">
      <c r="A4387" s="3">
        <f>IFERROR(__xludf.DUMMYFUNCTION("""COMPUTED_VALUE"""),35556.666666666664)</f>
        <v>35556.66667</v>
      </c>
      <c r="B4387" s="2">
        <f>IFERROR(__xludf.DUMMYFUNCTION("""COMPUTED_VALUE"""),39.61)</f>
        <v>39.61</v>
      </c>
      <c r="C4387" s="2">
        <f>IFERROR(__xludf.DUMMYFUNCTION("""COMPUTED_VALUE"""),39.97)</f>
        <v>39.97</v>
      </c>
      <c r="D4387" s="2">
        <f>IFERROR(__xludf.DUMMYFUNCTION("""COMPUTED_VALUE"""),39.31)</f>
        <v>39.31</v>
      </c>
      <c r="E4387" s="2">
        <f>IFERROR(__xludf.DUMMYFUNCTION("""COMPUTED_VALUE"""),39.52)</f>
        <v>39.52</v>
      </c>
      <c r="F4387" s="2">
        <f>IFERROR(__xludf.DUMMYFUNCTION("""COMPUTED_VALUE"""),2804800.0)</f>
        <v>2804800</v>
      </c>
    </row>
    <row r="4388">
      <c r="A4388" s="3">
        <f>IFERROR(__xludf.DUMMYFUNCTION("""COMPUTED_VALUE"""),35557.666666666664)</f>
        <v>35557.66667</v>
      </c>
      <c r="B4388" s="2">
        <f>IFERROR(__xludf.DUMMYFUNCTION("""COMPUTED_VALUE"""),39.25)</f>
        <v>39.25</v>
      </c>
      <c r="C4388" s="2">
        <f>IFERROR(__xludf.DUMMYFUNCTION("""COMPUTED_VALUE"""),39.85)</f>
        <v>39.85</v>
      </c>
      <c r="D4388" s="2">
        <f>IFERROR(__xludf.DUMMYFUNCTION("""COMPUTED_VALUE"""),38.71)</f>
        <v>38.71</v>
      </c>
      <c r="E4388" s="2">
        <f>IFERROR(__xludf.DUMMYFUNCTION("""COMPUTED_VALUE"""),38.71)</f>
        <v>38.71</v>
      </c>
      <c r="F4388" s="2">
        <f>IFERROR(__xludf.DUMMYFUNCTION("""COMPUTED_VALUE"""),2401900.0)</f>
        <v>2401900</v>
      </c>
    </row>
    <row r="4389">
      <c r="A4389" s="3">
        <f>IFERROR(__xludf.DUMMYFUNCTION("""COMPUTED_VALUE"""),35558.666666666664)</f>
        <v>35558.66667</v>
      </c>
      <c r="B4389" s="2">
        <f>IFERROR(__xludf.DUMMYFUNCTION("""COMPUTED_VALUE"""),39.16)</f>
        <v>39.16</v>
      </c>
      <c r="C4389" s="2">
        <f>IFERROR(__xludf.DUMMYFUNCTION("""COMPUTED_VALUE"""),40.42)</f>
        <v>40.42</v>
      </c>
      <c r="D4389" s="2">
        <f>IFERROR(__xludf.DUMMYFUNCTION("""COMPUTED_VALUE"""),39.07)</f>
        <v>39.07</v>
      </c>
      <c r="E4389" s="2">
        <f>IFERROR(__xludf.DUMMYFUNCTION("""COMPUTED_VALUE"""),39.97)</f>
        <v>39.97</v>
      </c>
      <c r="F4389" s="2">
        <f>IFERROR(__xludf.DUMMYFUNCTION("""COMPUTED_VALUE"""),4097500.0)</f>
        <v>4097500</v>
      </c>
    </row>
    <row r="4390">
      <c r="A4390" s="3">
        <f>IFERROR(__xludf.DUMMYFUNCTION("""COMPUTED_VALUE"""),35559.666666666664)</f>
        <v>35559.66667</v>
      </c>
      <c r="B4390" s="2">
        <f>IFERROR(__xludf.DUMMYFUNCTION("""COMPUTED_VALUE"""),40.3)</f>
        <v>40.3</v>
      </c>
      <c r="C4390" s="2">
        <f>IFERROR(__xludf.DUMMYFUNCTION("""COMPUTED_VALUE"""),40.42)</f>
        <v>40.42</v>
      </c>
      <c r="D4390" s="2">
        <f>IFERROR(__xludf.DUMMYFUNCTION("""COMPUTED_VALUE"""),39.79)</f>
        <v>39.79</v>
      </c>
      <c r="E4390" s="2">
        <f>IFERROR(__xludf.DUMMYFUNCTION("""COMPUTED_VALUE"""),40.0)</f>
        <v>40</v>
      </c>
      <c r="F4390" s="2">
        <f>IFERROR(__xludf.DUMMYFUNCTION("""COMPUTED_VALUE"""),2401700.0)</f>
        <v>2401700</v>
      </c>
    </row>
    <row r="4391">
      <c r="A4391" s="3">
        <f>IFERROR(__xludf.DUMMYFUNCTION("""COMPUTED_VALUE"""),35562.666666666664)</f>
        <v>35562.66667</v>
      </c>
      <c r="B4391" s="2">
        <f>IFERROR(__xludf.DUMMYFUNCTION("""COMPUTED_VALUE"""),40.18)</f>
        <v>40.18</v>
      </c>
      <c r="C4391" s="2">
        <f>IFERROR(__xludf.DUMMYFUNCTION("""COMPUTED_VALUE"""),41.1)</f>
        <v>41.1</v>
      </c>
      <c r="D4391" s="2">
        <f>IFERROR(__xludf.DUMMYFUNCTION("""COMPUTED_VALUE"""),40.15)</f>
        <v>40.15</v>
      </c>
      <c r="E4391" s="2">
        <f>IFERROR(__xludf.DUMMYFUNCTION("""COMPUTED_VALUE"""),41.04)</f>
        <v>41.04</v>
      </c>
      <c r="F4391" s="2">
        <f>IFERROR(__xludf.DUMMYFUNCTION("""COMPUTED_VALUE"""),3166600.0)</f>
        <v>3166600</v>
      </c>
    </row>
    <row r="4392">
      <c r="A4392" s="3">
        <f>IFERROR(__xludf.DUMMYFUNCTION("""COMPUTED_VALUE"""),35563.666666666664)</f>
        <v>35563.66667</v>
      </c>
      <c r="B4392" s="2">
        <f>IFERROR(__xludf.DUMMYFUNCTION("""COMPUTED_VALUE"""),41.79)</f>
        <v>41.79</v>
      </c>
      <c r="C4392" s="2">
        <f>IFERROR(__xludf.DUMMYFUNCTION("""COMPUTED_VALUE"""),42.3)</f>
        <v>42.3</v>
      </c>
      <c r="D4392" s="2">
        <f>IFERROR(__xludf.DUMMYFUNCTION("""COMPUTED_VALUE"""),41.4)</f>
        <v>41.4</v>
      </c>
      <c r="E4392" s="2">
        <f>IFERROR(__xludf.DUMMYFUNCTION("""COMPUTED_VALUE"""),41.46)</f>
        <v>41.46</v>
      </c>
      <c r="F4392" s="2">
        <f>IFERROR(__xludf.DUMMYFUNCTION("""COMPUTED_VALUE"""),4533200.0)</f>
        <v>4533200</v>
      </c>
    </row>
    <row r="4393">
      <c r="A4393" s="3">
        <f>IFERROR(__xludf.DUMMYFUNCTION("""COMPUTED_VALUE"""),35564.666666666664)</f>
        <v>35564.66667</v>
      </c>
      <c r="B4393" s="2">
        <f>IFERROR(__xludf.DUMMYFUNCTION("""COMPUTED_VALUE"""),41.61)</f>
        <v>41.61</v>
      </c>
      <c r="C4393" s="2">
        <f>IFERROR(__xludf.DUMMYFUNCTION("""COMPUTED_VALUE"""),41.79)</f>
        <v>41.79</v>
      </c>
      <c r="D4393" s="2">
        <f>IFERROR(__xludf.DUMMYFUNCTION("""COMPUTED_VALUE"""),41.04)</f>
        <v>41.04</v>
      </c>
      <c r="E4393" s="2">
        <f>IFERROR(__xludf.DUMMYFUNCTION("""COMPUTED_VALUE"""),41.61)</f>
        <v>41.61</v>
      </c>
      <c r="F4393" s="2">
        <f>IFERROR(__xludf.DUMMYFUNCTION("""COMPUTED_VALUE"""),2765100.0)</f>
        <v>2765100</v>
      </c>
    </row>
    <row r="4394">
      <c r="A4394" s="3">
        <f>IFERROR(__xludf.DUMMYFUNCTION("""COMPUTED_VALUE"""),35565.666666666664)</f>
        <v>35565.66667</v>
      </c>
      <c r="B4394" s="2">
        <f>IFERROR(__xludf.DUMMYFUNCTION("""COMPUTED_VALUE"""),41.58)</f>
        <v>41.58</v>
      </c>
      <c r="C4394" s="2">
        <f>IFERROR(__xludf.DUMMYFUNCTION("""COMPUTED_VALUE"""),41.94)</f>
        <v>41.94</v>
      </c>
      <c r="D4394" s="2">
        <f>IFERROR(__xludf.DUMMYFUNCTION("""COMPUTED_VALUE"""),41.34)</f>
        <v>41.34</v>
      </c>
      <c r="E4394" s="2">
        <f>IFERROR(__xludf.DUMMYFUNCTION("""COMPUTED_VALUE"""),41.64)</f>
        <v>41.64</v>
      </c>
      <c r="F4394" s="2">
        <f>IFERROR(__xludf.DUMMYFUNCTION("""COMPUTED_VALUE"""),1855500.0)</f>
        <v>1855500</v>
      </c>
    </row>
    <row r="4395">
      <c r="A4395" s="3">
        <f>IFERROR(__xludf.DUMMYFUNCTION("""COMPUTED_VALUE"""),35566.666666666664)</f>
        <v>35566.66667</v>
      </c>
      <c r="B4395" s="2">
        <f>IFERROR(__xludf.DUMMYFUNCTION("""COMPUTED_VALUE"""),41.31)</f>
        <v>41.31</v>
      </c>
      <c r="C4395" s="2">
        <f>IFERROR(__xludf.DUMMYFUNCTION("""COMPUTED_VALUE"""),41.49)</f>
        <v>41.49</v>
      </c>
      <c r="D4395" s="2">
        <f>IFERROR(__xludf.DUMMYFUNCTION("""COMPUTED_VALUE"""),40.5)</f>
        <v>40.5</v>
      </c>
      <c r="E4395" s="2">
        <f>IFERROR(__xludf.DUMMYFUNCTION("""COMPUTED_VALUE"""),40.56)</f>
        <v>40.56</v>
      </c>
      <c r="F4395" s="2">
        <f>IFERROR(__xludf.DUMMYFUNCTION("""COMPUTED_VALUE"""),3076400.0)</f>
        <v>3076400</v>
      </c>
    </row>
    <row r="4396">
      <c r="A4396" s="3">
        <f>IFERROR(__xludf.DUMMYFUNCTION("""COMPUTED_VALUE"""),35569.666666666664)</f>
        <v>35569.66667</v>
      </c>
      <c r="B4396" s="2">
        <f>IFERROR(__xludf.DUMMYFUNCTION("""COMPUTED_VALUE"""),40.56)</f>
        <v>40.56</v>
      </c>
      <c r="C4396" s="2">
        <f>IFERROR(__xludf.DUMMYFUNCTION("""COMPUTED_VALUE"""),40.68)</f>
        <v>40.68</v>
      </c>
      <c r="D4396" s="2">
        <f>IFERROR(__xludf.DUMMYFUNCTION("""COMPUTED_VALUE"""),39.85)</f>
        <v>39.85</v>
      </c>
      <c r="E4396" s="2">
        <f>IFERROR(__xludf.DUMMYFUNCTION("""COMPUTED_VALUE"""),40.3)</f>
        <v>40.3</v>
      </c>
      <c r="F4396" s="2">
        <f>IFERROR(__xludf.DUMMYFUNCTION("""COMPUTED_VALUE"""),2050000.0)</f>
        <v>2050000</v>
      </c>
    </row>
    <row r="4397">
      <c r="A4397" s="3">
        <f>IFERROR(__xludf.DUMMYFUNCTION("""COMPUTED_VALUE"""),35570.666666666664)</f>
        <v>35570.66667</v>
      </c>
      <c r="B4397" s="2">
        <f>IFERROR(__xludf.DUMMYFUNCTION("""COMPUTED_VALUE"""),40.24)</f>
        <v>40.24</v>
      </c>
      <c r="C4397" s="2">
        <f>IFERROR(__xludf.DUMMYFUNCTION("""COMPUTED_VALUE"""),41.91)</f>
        <v>41.91</v>
      </c>
      <c r="D4397" s="2">
        <f>IFERROR(__xludf.DUMMYFUNCTION("""COMPUTED_VALUE"""),40.21)</f>
        <v>40.21</v>
      </c>
      <c r="E4397" s="2">
        <f>IFERROR(__xludf.DUMMYFUNCTION("""COMPUTED_VALUE"""),41.43)</f>
        <v>41.43</v>
      </c>
      <c r="F4397" s="2">
        <f>IFERROR(__xludf.DUMMYFUNCTION("""COMPUTED_VALUE"""),2714200.0)</f>
        <v>2714200</v>
      </c>
    </row>
    <row r="4398">
      <c r="A4398" s="3">
        <f>IFERROR(__xludf.DUMMYFUNCTION("""COMPUTED_VALUE"""),35571.666666666664)</f>
        <v>35571.66667</v>
      </c>
      <c r="B4398" s="2">
        <f>IFERROR(__xludf.DUMMYFUNCTION("""COMPUTED_VALUE"""),41.73)</f>
        <v>41.73</v>
      </c>
      <c r="C4398" s="2">
        <f>IFERROR(__xludf.DUMMYFUNCTION("""COMPUTED_VALUE"""),42.36)</f>
        <v>42.36</v>
      </c>
      <c r="D4398" s="2">
        <f>IFERROR(__xludf.DUMMYFUNCTION("""COMPUTED_VALUE"""),41.64)</f>
        <v>41.64</v>
      </c>
      <c r="E4398" s="2">
        <f>IFERROR(__xludf.DUMMYFUNCTION("""COMPUTED_VALUE"""),41.82)</f>
        <v>41.82</v>
      </c>
      <c r="F4398" s="2">
        <f>IFERROR(__xludf.DUMMYFUNCTION("""COMPUTED_VALUE"""),2667800.0)</f>
        <v>2667800</v>
      </c>
    </row>
    <row r="4399">
      <c r="A4399" s="3">
        <f>IFERROR(__xludf.DUMMYFUNCTION("""COMPUTED_VALUE"""),35572.666666666664)</f>
        <v>35572.66667</v>
      </c>
      <c r="B4399" s="2">
        <f>IFERROR(__xludf.DUMMYFUNCTION("""COMPUTED_VALUE"""),41.82)</f>
        <v>41.82</v>
      </c>
      <c r="C4399" s="2">
        <f>IFERROR(__xludf.DUMMYFUNCTION("""COMPUTED_VALUE"""),42.03)</f>
        <v>42.03</v>
      </c>
      <c r="D4399" s="2">
        <f>IFERROR(__xludf.DUMMYFUNCTION("""COMPUTED_VALUE"""),41.19)</f>
        <v>41.19</v>
      </c>
      <c r="E4399" s="2">
        <f>IFERROR(__xludf.DUMMYFUNCTION("""COMPUTED_VALUE"""),41.19)</f>
        <v>41.19</v>
      </c>
      <c r="F4399" s="2">
        <f>IFERROR(__xludf.DUMMYFUNCTION("""COMPUTED_VALUE"""),1492100.0)</f>
        <v>1492100</v>
      </c>
    </row>
    <row r="4400">
      <c r="A4400" s="3">
        <f>IFERROR(__xludf.DUMMYFUNCTION("""COMPUTED_VALUE"""),35573.666666666664)</f>
        <v>35573.66667</v>
      </c>
      <c r="B4400" s="2">
        <f>IFERROR(__xludf.DUMMYFUNCTION("""COMPUTED_VALUE"""),41.4)</f>
        <v>41.4</v>
      </c>
      <c r="C4400" s="2">
        <f>IFERROR(__xludf.DUMMYFUNCTION("""COMPUTED_VALUE"""),41.76)</f>
        <v>41.76</v>
      </c>
      <c r="D4400" s="2">
        <f>IFERROR(__xludf.DUMMYFUNCTION("""COMPUTED_VALUE"""),41.34)</f>
        <v>41.34</v>
      </c>
      <c r="E4400" s="2">
        <f>IFERROR(__xludf.DUMMYFUNCTION("""COMPUTED_VALUE"""),41.4)</f>
        <v>41.4</v>
      </c>
      <c r="F4400" s="2">
        <f>IFERROR(__xludf.DUMMYFUNCTION("""COMPUTED_VALUE"""),1504100.0)</f>
        <v>1504100</v>
      </c>
    </row>
    <row r="4401">
      <c r="A4401" s="3">
        <f>IFERROR(__xludf.DUMMYFUNCTION("""COMPUTED_VALUE"""),35577.666666666664)</f>
        <v>35577.66667</v>
      </c>
      <c r="B4401" s="2">
        <f>IFERROR(__xludf.DUMMYFUNCTION("""COMPUTED_VALUE"""),41.55)</f>
        <v>41.55</v>
      </c>
      <c r="C4401" s="2">
        <f>IFERROR(__xludf.DUMMYFUNCTION("""COMPUTED_VALUE"""),42.71)</f>
        <v>42.71</v>
      </c>
      <c r="D4401" s="2">
        <f>IFERROR(__xludf.DUMMYFUNCTION("""COMPUTED_VALUE"""),41.55)</f>
        <v>41.55</v>
      </c>
      <c r="E4401" s="2">
        <f>IFERROR(__xludf.DUMMYFUNCTION("""COMPUTED_VALUE"""),42.71)</f>
        <v>42.71</v>
      </c>
      <c r="F4401" s="2">
        <f>IFERROR(__xludf.DUMMYFUNCTION("""COMPUTED_VALUE"""),2730800.0)</f>
        <v>2730800</v>
      </c>
    </row>
    <row r="4402">
      <c r="A4402" s="3">
        <f>IFERROR(__xludf.DUMMYFUNCTION("""COMPUTED_VALUE"""),35578.666666666664)</f>
        <v>35578.66667</v>
      </c>
      <c r="B4402" s="2">
        <f>IFERROR(__xludf.DUMMYFUNCTION("""COMPUTED_VALUE"""),43.22)</f>
        <v>43.22</v>
      </c>
      <c r="C4402" s="2">
        <f>IFERROR(__xludf.DUMMYFUNCTION("""COMPUTED_VALUE"""),43.88)</f>
        <v>43.88</v>
      </c>
      <c r="D4402" s="2">
        <f>IFERROR(__xludf.DUMMYFUNCTION("""COMPUTED_VALUE"""),42.27)</f>
        <v>42.27</v>
      </c>
      <c r="E4402" s="2">
        <f>IFERROR(__xludf.DUMMYFUNCTION("""COMPUTED_VALUE"""),42.92)</f>
        <v>42.92</v>
      </c>
      <c r="F4402" s="2">
        <f>IFERROR(__xludf.DUMMYFUNCTION("""COMPUTED_VALUE"""),5366400.0)</f>
        <v>5366400</v>
      </c>
    </row>
    <row r="4403">
      <c r="A4403" s="3">
        <f>IFERROR(__xludf.DUMMYFUNCTION("""COMPUTED_VALUE"""),35579.666666666664)</f>
        <v>35579.66667</v>
      </c>
      <c r="B4403" s="2">
        <f>IFERROR(__xludf.DUMMYFUNCTION("""COMPUTED_VALUE"""),42.98)</f>
        <v>42.98</v>
      </c>
      <c r="C4403" s="2">
        <f>IFERROR(__xludf.DUMMYFUNCTION("""COMPUTED_VALUE"""),42.98)</f>
        <v>42.98</v>
      </c>
      <c r="D4403" s="2">
        <f>IFERROR(__xludf.DUMMYFUNCTION("""COMPUTED_VALUE"""),41.79)</f>
        <v>41.79</v>
      </c>
      <c r="E4403" s="2">
        <f>IFERROR(__xludf.DUMMYFUNCTION("""COMPUTED_VALUE"""),41.97)</f>
        <v>41.97</v>
      </c>
      <c r="F4403" s="2">
        <f>IFERROR(__xludf.DUMMYFUNCTION("""COMPUTED_VALUE"""),4103300.0)</f>
        <v>4103300</v>
      </c>
    </row>
    <row r="4404">
      <c r="A4404" s="3">
        <f>IFERROR(__xludf.DUMMYFUNCTION("""COMPUTED_VALUE"""),35580.666666666664)</f>
        <v>35580.66667</v>
      </c>
      <c r="B4404" s="2">
        <f>IFERROR(__xludf.DUMMYFUNCTION("""COMPUTED_VALUE"""),40.36)</f>
        <v>40.36</v>
      </c>
      <c r="C4404" s="2">
        <f>IFERROR(__xludf.DUMMYFUNCTION("""COMPUTED_VALUE"""),42.15)</f>
        <v>42.15</v>
      </c>
      <c r="D4404" s="2">
        <f>IFERROR(__xludf.DUMMYFUNCTION("""COMPUTED_VALUE"""),40.36)</f>
        <v>40.36</v>
      </c>
      <c r="E4404" s="2">
        <f>IFERROR(__xludf.DUMMYFUNCTION("""COMPUTED_VALUE"""),41.67)</f>
        <v>41.67</v>
      </c>
      <c r="F4404" s="2">
        <f>IFERROR(__xludf.DUMMYFUNCTION("""COMPUTED_VALUE"""),5122100.0)</f>
        <v>5122100</v>
      </c>
    </row>
    <row r="4405">
      <c r="A4405" s="3">
        <f>IFERROR(__xludf.DUMMYFUNCTION("""COMPUTED_VALUE"""),35583.666666666664)</f>
        <v>35583.66667</v>
      </c>
      <c r="B4405" s="2">
        <f>IFERROR(__xludf.DUMMYFUNCTION("""COMPUTED_VALUE"""),41.91)</f>
        <v>41.91</v>
      </c>
      <c r="C4405" s="2">
        <f>IFERROR(__xludf.DUMMYFUNCTION("""COMPUTED_VALUE"""),41.97)</f>
        <v>41.97</v>
      </c>
      <c r="D4405" s="2">
        <f>IFERROR(__xludf.DUMMYFUNCTION("""COMPUTED_VALUE"""),41.37)</f>
        <v>41.37</v>
      </c>
      <c r="E4405" s="2">
        <f>IFERROR(__xludf.DUMMYFUNCTION("""COMPUTED_VALUE"""),41.61)</f>
        <v>41.61</v>
      </c>
      <c r="F4405" s="2">
        <f>IFERROR(__xludf.DUMMYFUNCTION("""COMPUTED_VALUE"""),2399900.0)</f>
        <v>2399900</v>
      </c>
    </row>
    <row r="4406">
      <c r="A4406" s="3">
        <f>IFERROR(__xludf.DUMMYFUNCTION("""COMPUTED_VALUE"""),35584.666666666664)</f>
        <v>35584.66667</v>
      </c>
      <c r="B4406" s="2">
        <f>IFERROR(__xludf.DUMMYFUNCTION("""COMPUTED_VALUE"""),41.25)</f>
        <v>41.25</v>
      </c>
      <c r="C4406" s="2">
        <f>IFERROR(__xludf.DUMMYFUNCTION("""COMPUTED_VALUE"""),41.37)</f>
        <v>41.37</v>
      </c>
      <c r="D4406" s="2">
        <f>IFERROR(__xludf.DUMMYFUNCTION("""COMPUTED_VALUE"""),40.24)</f>
        <v>40.24</v>
      </c>
      <c r="E4406" s="2">
        <f>IFERROR(__xludf.DUMMYFUNCTION("""COMPUTED_VALUE"""),40.3)</f>
        <v>40.3</v>
      </c>
      <c r="F4406" s="2">
        <f>IFERROR(__xludf.DUMMYFUNCTION("""COMPUTED_VALUE"""),4078000.0)</f>
        <v>4078000</v>
      </c>
    </row>
    <row r="4407">
      <c r="A4407" s="3">
        <f>IFERROR(__xludf.DUMMYFUNCTION("""COMPUTED_VALUE"""),35585.666666666664)</f>
        <v>35585.66667</v>
      </c>
      <c r="B4407" s="2">
        <f>IFERROR(__xludf.DUMMYFUNCTION("""COMPUTED_VALUE"""),40.59)</f>
        <v>40.59</v>
      </c>
      <c r="C4407" s="2">
        <f>IFERROR(__xludf.DUMMYFUNCTION("""COMPUTED_VALUE"""),40.89)</f>
        <v>40.89</v>
      </c>
      <c r="D4407" s="2">
        <f>IFERROR(__xludf.DUMMYFUNCTION("""COMPUTED_VALUE"""),39.04)</f>
        <v>39.04</v>
      </c>
      <c r="E4407" s="2">
        <f>IFERROR(__xludf.DUMMYFUNCTION("""COMPUTED_VALUE"""),39.58)</f>
        <v>39.58</v>
      </c>
      <c r="F4407" s="2">
        <f>IFERROR(__xludf.DUMMYFUNCTION("""COMPUTED_VALUE"""),3657500.0)</f>
        <v>3657500</v>
      </c>
    </row>
    <row r="4408">
      <c r="A4408" s="3">
        <f>IFERROR(__xludf.DUMMYFUNCTION("""COMPUTED_VALUE"""),35586.666666666664)</f>
        <v>35586.66667</v>
      </c>
      <c r="B4408" s="2">
        <f>IFERROR(__xludf.DUMMYFUNCTION("""COMPUTED_VALUE"""),40.12)</f>
        <v>40.12</v>
      </c>
      <c r="C4408" s="2">
        <f>IFERROR(__xludf.DUMMYFUNCTION("""COMPUTED_VALUE"""),40.53)</f>
        <v>40.53</v>
      </c>
      <c r="D4408" s="2">
        <f>IFERROR(__xludf.DUMMYFUNCTION("""COMPUTED_VALUE"""),39.22)</f>
        <v>39.22</v>
      </c>
      <c r="E4408" s="2">
        <f>IFERROR(__xludf.DUMMYFUNCTION("""COMPUTED_VALUE"""),39.58)</f>
        <v>39.58</v>
      </c>
      <c r="F4408" s="2">
        <f>IFERROR(__xludf.DUMMYFUNCTION("""COMPUTED_VALUE"""),2724000.0)</f>
        <v>2724000</v>
      </c>
    </row>
    <row r="4409">
      <c r="A4409" s="3">
        <f>IFERROR(__xludf.DUMMYFUNCTION("""COMPUTED_VALUE"""),35587.666666666664)</f>
        <v>35587.66667</v>
      </c>
      <c r="B4409" s="2">
        <f>IFERROR(__xludf.DUMMYFUNCTION("""COMPUTED_VALUE"""),39.88)</f>
        <v>39.88</v>
      </c>
      <c r="C4409" s="2">
        <f>IFERROR(__xludf.DUMMYFUNCTION("""COMPUTED_VALUE"""),41.07)</f>
        <v>41.07</v>
      </c>
      <c r="D4409" s="2">
        <f>IFERROR(__xludf.DUMMYFUNCTION("""COMPUTED_VALUE"""),39.46)</f>
        <v>39.46</v>
      </c>
      <c r="E4409" s="2">
        <f>IFERROR(__xludf.DUMMYFUNCTION("""COMPUTED_VALUE"""),40.83)</f>
        <v>40.83</v>
      </c>
      <c r="F4409" s="2">
        <f>IFERROR(__xludf.DUMMYFUNCTION("""COMPUTED_VALUE"""),3713800.0)</f>
        <v>3713800</v>
      </c>
    </row>
    <row r="4410">
      <c r="A4410" s="3">
        <f>IFERROR(__xludf.DUMMYFUNCTION("""COMPUTED_VALUE"""),35590.666666666664)</f>
        <v>35590.66667</v>
      </c>
      <c r="B4410" s="2">
        <f>IFERROR(__xludf.DUMMYFUNCTION("""COMPUTED_VALUE"""),41.07)</f>
        <v>41.07</v>
      </c>
      <c r="C4410" s="2">
        <f>IFERROR(__xludf.DUMMYFUNCTION("""COMPUTED_VALUE"""),41.85)</f>
        <v>41.85</v>
      </c>
      <c r="D4410" s="2">
        <f>IFERROR(__xludf.DUMMYFUNCTION("""COMPUTED_VALUE"""),40.95)</f>
        <v>40.95</v>
      </c>
      <c r="E4410" s="2">
        <f>IFERROR(__xludf.DUMMYFUNCTION("""COMPUTED_VALUE"""),41.49)</f>
        <v>41.49</v>
      </c>
      <c r="F4410" s="2">
        <f>IFERROR(__xludf.DUMMYFUNCTION("""COMPUTED_VALUE"""),2919800.0)</f>
        <v>2919800</v>
      </c>
    </row>
    <row r="4411">
      <c r="A4411" s="3">
        <f>IFERROR(__xludf.DUMMYFUNCTION("""COMPUTED_VALUE"""),35591.666666666664)</f>
        <v>35591.66667</v>
      </c>
      <c r="B4411" s="2">
        <f>IFERROR(__xludf.DUMMYFUNCTION("""COMPUTED_VALUE"""),41.61)</f>
        <v>41.61</v>
      </c>
      <c r="C4411" s="2">
        <f>IFERROR(__xludf.DUMMYFUNCTION("""COMPUTED_VALUE"""),41.97)</f>
        <v>41.97</v>
      </c>
      <c r="D4411" s="2">
        <f>IFERROR(__xludf.DUMMYFUNCTION("""COMPUTED_VALUE"""),40.83)</f>
        <v>40.83</v>
      </c>
      <c r="E4411" s="2">
        <f>IFERROR(__xludf.DUMMYFUNCTION("""COMPUTED_VALUE"""),41.43)</f>
        <v>41.43</v>
      </c>
      <c r="F4411" s="2">
        <f>IFERROR(__xludf.DUMMYFUNCTION("""COMPUTED_VALUE"""),3269600.0)</f>
        <v>3269600</v>
      </c>
    </row>
    <row r="4412">
      <c r="A4412" s="3">
        <f>IFERROR(__xludf.DUMMYFUNCTION("""COMPUTED_VALUE"""),35592.666666666664)</f>
        <v>35592.66667</v>
      </c>
      <c r="B4412" s="2">
        <f>IFERROR(__xludf.DUMMYFUNCTION("""COMPUTED_VALUE"""),41.37)</f>
        <v>41.37</v>
      </c>
      <c r="C4412" s="2">
        <f>IFERROR(__xludf.DUMMYFUNCTION("""COMPUTED_VALUE"""),41.73)</f>
        <v>41.73</v>
      </c>
      <c r="D4412" s="2">
        <f>IFERROR(__xludf.DUMMYFUNCTION("""COMPUTED_VALUE"""),41.13)</f>
        <v>41.13</v>
      </c>
      <c r="E4412" s="2">
        <f>IFERROR(__xludf.DUMMYFUNCTION("""COMPUTED_VALUE"""),41.67)</f>
        <v>41.67</v>
      </c>
      <c r="F4412" s="2">
        <f>IFERROR(__xludf.DUMMYFUNCTION("""COMPUTED_VALUE"""),2651500.0)</f>
        <v>2651500</v>
      </c>
    </row>
    <row r="4413">
      <c r="A4413" s="3">
        <f>IFERROR(__xludf.DUMMYFUNCTION("""COMPUTED_VALUE"""),35593.666666666664)</f>
        <v>35593.66667</v>
      </c>
      <c r="B4413" s="2">
        <f>IFERROR(__xludf.DUMMYFUNCTION("""COMPUTED_VALUE"""),41.19)</f>
        <v>41.19</v>
      </c>
      <c r="C4413" s="2">
        <f>IFERROR(__xludf.DUMMYFUNCTION("""COMPUTED_VALUE"""),42.21)</f>
        <v>42.21</v>
      </c>
      <c r="D4413" s="2">
        <f>IFERROR(__xludf.DUMMYFUNCTION("""COMPUTED_VALUE"""),40.83)</f>
        <v>40.83</v>
      </c>
      <c r="E4413" s="2">
        <f>IFERROR(__xludf.DUMMYFUNCTION("""COMPUTED_VALUE"""),42.15)</f>
        <v>42.15</v>
      </c>
      <c r="F4413" s="2">
        <f>IFERROR(__xludf.DUMMYFUNCTION("""COMPUTED_VALUE"""),3150400.0)</f>
        <v>3150400</v>
      </c>
    </row>
    <row r="4414">
      <c r="A4414" s="3">
        <f>IFERROR(__xludf.DUMMYFUNCTION("""COMPUTED_VALUE"""),35594.666666666664)</f>
        <v>35594.66667</v>
      </c>
      <c r="B4414" s="2">
        <f>IFERROR(__xludf.DUMMYFUNCTION("""COMPUTED_VALUE"""),42.15)</f>
        <v>42.15</v>
      </c>
      <c r="C4414" s="2">
        <f>IFERROR(__xludf.DUMMYFUNCTION("""COMPUTED_VALUE"""),42.86)</f>
        <v>42.86</v>
      </c>
      <c r="D4414" s="2">
        <f>IFERROR(__xludf.DUMMYFUNCTION("""COMPUTED_VALUE"""),42.09)</f>
        <v>42.09</v>
      </c>
      <c r="E4414" s="2">
        <f>IFERROR(__xludf.DUMMYFUNCTION("""COMPUTED_VALUE"""),42.5)</f>
        <v>42.5</v>
      </c>
      <c r="F4414" s="2">
        <f>IFERROR(__xludf.DUMMYFUNCTION("""COMPUTED_VALUE"""),3536500.0)</f>
        <v>3536500</v>
      </c>
    </row>
    <row r="4415">
      <c r="A4415" s="3">
        <f>IFERROR(__xludf.DUMMYFUNCTION("""COMPUTED_VALUE"""),35597.666666666664)</f>
        <v>35597.66667</v>
      </c>
      <c r="B4415" s="2">
        <f>IFERROR(__xludf.DUMMYFUNCTION("""COMPUTED_VALUE"""),42.39)</f>
        <v>42.39</v>
      </c>
      <c r="C4415" s="2">
        <f>IFERROR(__xludf.DUMMYFUNCTION("""COMPUTED_VALUE"""),42.92)</f>
        <v>42.92</v>
      </c>
      <c r="D4415" s="2">
        <f>IFERROR(__xludf.DUMMYFUNCTION("""COMPUTED_VALUE"""),42.33)</f>
        <v>42.33</v>
      </c>
      <c r="E4415" s="2">
        <f>IFERROR(__xludf.DUMMYFUNCTION("""COMPUTED_VALUE"""),42.68)</f>
        <v>42.68</v>
      </c>
      <c r="F4415" s="2">
        <f>IFERROR(__xludf.DUMMYFUNCTION("""COMPUTED_VALUE"""),2177300.0)</f>
        <v>2177300</v>
      </c>
    </row>
    <row r="4416">
      <c r="A4416" s="3">
        <f>IFERROR(__xludf.DUMMYFUNCTION("""COMPUTED_VALUE"""),35598.666666666664)</f>
        <v>35598.66667</v>
      </c>
      <c r="B4416" s="2">
        <f>IFERROR(__xludf.DUMMYFUNCTION("""COMPUTED_VALUE"""),42.86)</f>
        <v>42.86</v>
      </c>
      <c r="C4416" s="2">
        <f>IFERROR(__xludf.DUMMYFUNCTION("""COMPUTED_VALUE"""),43.34)</f>
        <v>43.34</v>
      </c>
      <c r="D4416" s="2">
        <f>IFERROR(__xludf.DUMMYFUNCTION("""COMPUTED_VALUE"""),42.5)</f>
        <v>42.5</v>
      </c>
      <c r="E4416" s="2">
        <f>IFERROR(__xludf.DUMMYFUNCTION("""COMPUTED_VALUE"""),43.04)</f>
        <v>43.04</v>
      </c>
      <c r="F4416" s="2">
        <f>IFERROR(__xludf.DUMMYFUNCTION("""COMPUTED_VALUE"""),3069400.0)</f>
        <v>3069400</v>
      </c>
    </row>
    <row r="4417">
      <c r="A4417" s="3">
        <f>IFERROR(__xludf.DUMMYFUNCTION("""COMPUTED_VALUE"""),35599.666666666664)</f>
        <v>35599.66667</v>
      </c>
      <c r="B4417" s="2">
        <f>IFERROR(__xludf.DUMMYFUNCTION("""COMPUTED_VALUE"""),42.68)</f>
        <v>42.68</v>
      </c>
      <c r="C4417" s="2">
        <f>IFERROR(__xludf.DUMMYFUNCTION("""COMPUTED_VALUE"""),42.68)</f>
        <v>42.68</v>
      </c>
      <c r="D4417" s="2">
        <f>IFERROR(__xludf.DUMMYFUNCTION("""COMPUTED_VALUE"""),42.15)</f>
        <v>42.15</v>
      </c>
      <c r="E4417" s="2">
        <f>IFERROR(__xludf.DUMMYFUNCTION("""COMPUTED_VALUE"""),42.5)</f>
        <v>42.5</v>
      </c>
      <c r="F4417" s="2">
        <f>IFERROR(__xludf.DUMMYFUNCTION("""COMPUTED_VALUE"""),2435700.0)</f>
        <v>2435700</v>
      </c>
    </row>
    <row r="4418">
      <c r="A4418" s="3">
        <f>IFERROR(__xludf.DUMMYFUNCTION("""COMPUTED_VALUE"""),35600.666666666664)</f>
        <v>35600.66667</v>
      </c>
      <c r="B4418" s="2">
        <f>IFERROR(__xludf.DUMMYFUNCTION("""COMPUTED_VALUE"""),42.56)</f>
        <v>42.56</v>
      </c>
      <c r="C4418" s="2">
        <f>IFERROR(__xludf.DUMMYFUNCTION("""COMPUTED_VALUE"""),43.34)</f>
        <v>43.34</v>
      </c>
      <c r="D4418" s="2">
        <f>IFERROR(__xludf.DUMMYFUNCTION("""COMPUTED_VALUE"""),42.56)</f>
        <v>42.56</v>
      </c>
      <c r="E4418" s="2">
        <f>IFERROR(__xludf.DUMMYFUNCTION("""COMPUTED_VALUE"""),42.86)</f>
        <v>42.86</v>
      </c>
      <c r="F4418" s="2">
        <f>IFERROR(__xludf.DUMMYFUNCTION("""COMPUTED_VALUE"""),2580800.0)</f>
        <v>2580800</v>
      </c>
    </row>
    <row r="4419">
      <c r="A4419" s="3">
        <f>IFERROR(__xludf.DUMMYFUNCTION("""COMPUTED_VALUE"""),35601.666666666664)</f>
        <v>35601.66667</v>
      </c>
      <c r="B4419" s="2">
        <f>IFERROR(__xludf.DUMMYFUNCTION("""COMPUTED_VALUE"""),42.92)</f>
        <v>42.92</v>
      </c>
      <c r="C4419" s="2">
        <f>IFERROR(__xludf.DUMMYFUNCTION("""COMPUTED_VALUE"""),43.88)</f>
        <v>43.88</v>
      </c>
      <c r="D4419" s="2">
        <f>IFERROR(__xludf.DUMMYFUNCTION("""COMPUTED_VALUE"""),42.86)</f>
        <v>42.86</v>
      </c>
      <c r="E4419" s="2">
        <f>IFERROR(__xludf.DUMMYFUNCTION("""COMPUTED_VALUE"""),42.92)</f>
        <v>42.92</v>
      </c>
      <c r="F4419" s="2">
        <f>IFERROR(__xludf.DUMMYFUNCTION("""COMPUTED_VALUE"""),6072900.0)</f>
        <v>6072900</v>
      </c>
    </row>
    <row r="4420">
      <c r="A4420" s="3">
        <f>IFERROR(__xludf.DUMMYFUNCTION("""COMPUTED_VALUE"""),35604.666666666664)</f>
        <v>35604.66667</v>
      </c>
      <c r="B4420" s="2">
        <f>IFERROR(__xludf.DUMMYFUNCTION("""COMPUTED_VALUE"""),42.92)</f>
        <v>42.92</v>
      </c>
      <c r="C4420" s="2">
        <f>IFERROR(__xludf.DUMMYFUNCTION("""COMPUTED_VALUE"""),43.64)</f>
        <v>43.64</v>
      </c>
      <c r="D4420" s="2">
        <f>IFERROR(__xludf.DUMMYFUNCTION("""COMPUTED_VALUE"""),41.85)</f>
        <v>41.85</v>
      </c>
      <c r="E4420" s="2">
        <f>IFERROR(__xludf.DUMMYFUNCTION("""COMPUTED_VALUE"""),42.03)</f>
        <v>42.03</v>
      </c>
      <c r="F4420" s="2">
        <f>IFERROR(__xludf.DUMMYFUNCTION("""COMPUTED_VALUE"""),4009900.0)</f>
        <v>4009900</v>
      </c>
    </row>
    <row r="4421">
      <c r="A4421" s="3">
        <f>IFERROR(__xludf.DUMMYFUNCTION("""COMPUTED_VALUE"""),35605.666666666664)</f>
        <v>35605.66667</v>
      </c>
      <c r="B4421" s="2">
        <f>IFERROR(__xludf.DUMMYFUNCTION("""COMPUTED_VALUE"""),43.07)</f>
        <v>43.07</v>
      </c>
      <c r="C4421" s="2">
        <f>IFERROR(__xludf.DUMMYFUNCTION("""COMPUTED_VALUE"""),44.03)</f>
        <v>44.03</v>
      </c>
      <c r="D4421" s="2">
        <f>IFERROR(__xludf.DUMMYFUNCTION("""COMPUTED_VALUE"""),42.86)</f>
        <v>42.86</v>
      </c>
      <c r="E4421" s="2">
        <f>IFERROR(__xludf.DUMMYFUNCTION("""COMPUTED_VALUE"""),43.85)</f>
        <v>43.85</v>
      </c>
      <c r="F4421" s="2">
        <f>IFERROR(__xludf.DUMMYFUNCTION("""COMPUTED_VALUE"""),4335100.0)</f>
        <v>4335100</v>
      </c>
    </row>
    <row r="4422">
      <c r="A4422" s="3">
        <f>IFERROR(__xludf.DUMMYFUNCTION("""COMPUTED_VALUE"""),35606.666666666664)</f>
        <v>35606.66667</v>
      </c>
      <c r="B4422" s="2">
        <f>IFERROR(__xludf.DUMMYFUNCTION("""COMPUTED_VALUE"""),43.88)</f>
        <v>43.88</v>
      </c>
      <c r="C4422" s="2">
        <f>IFERROR(__xludf.DUMMYFUNCTION("""COMPUTED_VALUE"""),44.74)</f>
        <v>44.74</v>
      </c>
      <c r="D4422" s="2">
        <f>IFERROR(__xludf.DUMMYFUNCTION("""COMPUTED_VALUE"""),43.64)</f>
        <v>43.64</v>
      </c>
      <c r="E4422" s="2">
        <f>IFERROR(__xludf.DUMMYFUNCTION("""COMPUTED_VALUE"""),43.85)</f>
        <v>43.85</v>
      </c>
      <c r="F4422" s="2">
        <f>IFERROR(__xludf.DUMMYFUNCTION("""COMPUTED_VALUE"""),3902000.0)</f>
        <v>3902000</v>
      </c>
    </row>
    <row r="4423">
      <c r="A4423" s="3">
        <f>IFERROR(__xludf.DUMMYFUNCTION("""COMPUTED_VALUE"""),35607.666666666664)</f>
        <v>35607.66667</v>
      </c>
      <c r="B4423" s="2">
        <f>IFERROR(__xludf.DUMMYFUNCTION("""COMPUTED_VALUE"""),43.85)</f>
        <v>43.85</v>
      </c>
      <c r="C4423" s="2">
        <f>IFERROR(__xludf.DUMMYFUNCTION("""COMPUTED_VALUE"""),44.39)</f>
        <v>44.39</v>
      </c>
      <c r="D4423" s="2">
        <f>IFERROR(__xludf.DUMMYFUNCTION("""COMPUTED_VALUE"""),43.1)</f>
        <v>43.1</v>
      </c>
      <c r="E4423" s="2">
        <f>IFERROR(__xludf.DUMMYFUNCTION("""COMPUTED_VALUE"""),43.16)</f>
        <v>43.16</v>
      </c>
      <c r="F4423" s="2">
        <f>IFERROR(__xludf.DUMMYFUNCTION("""COMPUTED_VALUE"""),3244900.0)</f>
        <v>3244900</v>
      </c>
    </row>
    <row r="4424">
      <c r="A4424" s="3">
        <f>IFERROR(__xludf.DUMMYFUNCTION("""COMPUTED_VALUE"""),35608.666666666664)</f>
        <v>35608.66667</v>
      </c>
      <c r="B4424" s="2">
        <f>IFERROR(__xludf.DUMMYFUNCTION("""COMPUTED_VALUE"""),43.58)</f>
        <v>43.58</v>
      </c>
      <c r="C4424" s="2">
        <f>IFERROR(__xludf.DUMMYFUNCTION("""COMPUTED_VALUE"""),43.94)</f>
        <v>43.94</v>
      </c>
      <c r="D4424" s="2">
        <f>IFERROR(__xludf.DUMMYFUNCTION("""COMPUTED_VALUE"""),43.55)</f>
        <v>43.55</v>
      </c>
      <c r="E4424" s="2">
        <f>IFERROR(__xludf.DUMMYFUNCTION("""COMPUTED_VALUE"""),43.58)</f>
        <v>43.58</v>
      </c>
      <c r="F4424" s="2">
        <f>IFERROR(__xludf.DUMMYFUNCTION("""COMPUTED_VALUE"""),1919300.0)</f>
        <v>1919300</v>
      </c>
    </row>
    <row r="4425">
      <c r="A4425" s="3">
        <f>IFERROR(__xludf.DUMMYFUNCTION("""COMPUTED_VALUE"""),35611.666666666664)</f>
        <v>35611.66667</v>
      </c>
      <c r="B4425" s="2">
        <f>IFERROR(__xludf.DUMMYFUNCTION("""COMPUTED_VALUE"""),44.06)</f>
        <v>44.06</v>
      </c>
      <c r="C4425" s="2">
        <f>IFERROR(__xludf.DUMMYFUNCTION("""COMPUTED_VALUE"""),44.18)</f>
        <v>44.18</v>
      </c>
      <c r="D4425" s="2">
        <f>IFERROR(__xludf.DUMMYFUNCTION("""COMPUTED_VALUE"""),43.04)</f>
        <v>43.04</v>
      </c>
      <c r="E4425" s="2">
        <f>IFERROR(__xludf.DUMMYFUNCTION("""COMPUTED_VALUE"""),43.07)</f>
        <v>43.07</v>
      </c>
      <c r="F4425" s="2">
        <f>IFERROR(__xludf.DUMMYFUNCTION("""COMPUTED_VALUE"""),2897500.0)</f>
        <v>2897500</v>
      </c>
    </row>
    <row r="4426">
      <c r="A4426" s="3">
        <f>IFERROR(__xludf.DUMMYFUNCTION("""COMPUTED_VALUE"""),35612.666666666664)</f>
        <v>35612.66667</v>
      </c>
      <c r="B4426" s="2">
        <f>IFERROR(__xludf.DUMMYFUNCTION("""COMPUTED_VALUE"""),43.1)</f>
        <v>43.1</v>
      </c>
      <c r="C4426" s="2">
        <f>IFERROR(__xludf.DUMMYFUNCTION("""COMPUTED_VALUE"""),44.03)</f>
        <v>44.03</v>
      </c>
      <c r="D4426" s="2">
        <f>IFERROR(__xludf.DUMMYFUNCTION("""COMPUTED_VALUE"""),43.1)</f>
        <v>43.1</v>
      </c>
      <c r="E4426" s="2">
        <f>IFERROR(__xludf.DUMMYFUNCTION("""COMPUTED_VALUE"""),43.85)</f>
        <v>43.85</v>
      </c>
      <c r="F4426" s="2">
        <f>IFERROR(__xludf.DUMMYFUNCTION("""COMPUTED_VALUE"""),2182900.0)</f>
        <v>2182900</v>
      </c>
    </row>
    <row r="4427">
      <c r="A4427" s="3">
        <f>IFERROR(__xludf.DUMMYFUNCTION("""COMPUTED_VALUE"""),35613.666666666664)</f>
        <v>35613.66667</v>
      </c>
      <c r="B4427" s="2">
        <f>IFERROR(__xludf.DUMMYFUNCTION("""COMPUTED_VALUE"""),43.76)</f>
        <v>43.76</v>
      </c>
      <c r="C4427" s="2">
        <f>IFERROR(__xludf.DUMMYFUNCTION("""COMPUTED_VALUE"""),44.68)</f>
        <v>44.68</v>
      </c>
      <c r="D4427" s="2">
        <f>IFERROR(__xludf.DUMMYFUNCTION("""COMPUTED_VALUE"""),43.76)</f>
        <v>43.76</v>
      </c>
      <c r="E4427" s="2">
        <f>IFERROR(__xludf.DUMMYFUNCTION("""COMPUTED_VALUE"""),44.68)</f>
        <v>44.68</v>
      </c>
      <c r="F4427" s="2">
        <f>IFERROR(__xludf.DUMMYFUNCTION("""COMPUTED_VALUE"""),2167800.0)</f>
        <v>2167800</v>
      </c>
    </row>
    <row r="4428">
      <c r="A4428" s="3">
        <f>IFERROR(__xludf.DUMMYFUNCTION("""COMPUTED_VALUE"""),35614.666666666664)</f>
        <v>35614.66667</v>
      </c>
      <c r="B4428" s="2">
        <f>IFERROR(__xludf.DUMMYFUNCTION("""COMPUTED_VALUE"""),45.31)</f>
        <v>45.31</v>
      </c>
      <c r="C4428" s="2">
        <f>IFERROR(__xludf.DUMMYFUNCTION("""COMPUTED_VALUE"""),45.37)</f>
        <v>45.37</v>
      </c>
      <c r="D4428" s="2">
        <f>IFERROR(__xludf.DUMMYFUNCTION("""COMPUTED_VALUE"""),45.04)</f>
        <v>45.04</v>
      </c>
      <c r="E4428" s="2">
        <f>IFERROR(__xludf.DUMMYFUNCTION("""COMPUTED_VALUE"""),45.28)</f>
        <v>45.28</v>
      </c>
      <c r="F4428" s="2">
        <f>IFERROR(__xludf.DUMMYFUNCTION("""COMPUTED_VALUE"""),2605100.0)</f>
        <v>2605100</v>
      </c>
    </row>
    <row r="4429">
      <c r="A4429" s="3">
        <f>IFERROR(__xludf.DUMMYFUNCTION("""COMPUTED_VALUE"""),35618.666666666664)</f>
        <v>35618.66667</v>
      </c>
      <c r="B4429" s="2">
        <f>IFERROR(__xludf.DUMMYFUNCTION("""COMPUTED_VALUE"""),45.37)</f>
        <v>45.37</v>
      </c>
      <c r="C4429" s="2">
        <f>IFERROR(__xludf.DUMMYFUNCTION("""COMPUTED_VALUE"""),45.58)</f>
        <v>45.58</v>
      </c>
      <c r="D4429" s="2">
        <f>IFERROR(__xludf.DUMMYFUNCTION("""COMPUTED_VALUE"""),44.92)</f>
        <v>44.92</v>
      </c>
      <c r="E4429" s="2">
        <f>IFERROR(__xludf.DUMMYFUNCTION("""COMPUTED_VALUE"""),45.13)</f>
        <v>45.13</v>
      </c>
      <c r="F4429" s="2">
        <f>IFERROR(__xludf.DUMMYFUNCTION("""COMPUTED_VALUE"""),2769700.0)</f>
        <v>2769700</v>
      </c>
    </row>
    <row r="4430">
      <c r="A4430" s="3">
        <f>IFERROR(__xludf.DUMMYFUNCTION("""COMPUTED_VALUE"""),35619.666666666664)</f>
        <v>35619.66667</v>
      </c>
      <c r="B4430" s="2">
        <f>IFERROR(__xludf.DUMMYFUNCTION("""COMPUTED_VALUE"""),45.13)</f>
        <v>45.13</v>
      </c>
      <c r="C4430" s="2">
        <f>IFERROR(__xludf.DUMMYFUNCTION("""COMPUTED_VALUE"""),45.73)</f>
        <v>45.73</v>
      </c>
      <c r="D4430" s="2">
        <f>IFERROR(__xludf.DUMMYFUNCTION("""COMPUTED_VALUE"""),45.13)</f>
        <v>45.13</v>
      </c>
      <c r="E4430" s="2">
        <f>IFERROR(__xludf.DUMMYFUNCTION("""COMPUTED_VALUE"""),45.58)</f>
        <v>45.58</v>
      </c>
      <c r="F4430" s="2">
        <f>IFERROR(__xludf.DUMMYFUNCTION("""COMPUTED_VALUE"""),2227700.0)</f>
        <v>2227700</v>
      </c>
    </row>
    <row r="4431">
      <c r="A4431" s="3">
        <f>IFERROR(__xludf.DUMMYFUNCTION("""COMPUTED_VALUE"""),35620.666666666664)</f>
        <v>35620.66667</v>
      </c>
      <c r="B4431" s="2">
        <f>IFERROR(__xludf.DUMMYFUNCTION("""COMPUTED_VALUE"""),45.85)</f>
        <v>45.85</v>
      </c>
      <c r="C4431" s="2">
        <f>IFERROR(__xludf.DUMMYFUNCTION("""COMPUTED_VALUE"""),46.18)</f>
        <v>46.18</v>
      </c>
      <c r="D4431" s="2">
        <f>IFERROR(__xludf.DUMMYFUNCTION("""COMPUTED_VALUE"""),45.52)</f>
        <v>45.52</v>
      </c>
      <c r="E4431" s="2">
        <f>IFERROR(__xludf.DUMMYFUNCTION("""COMPUTED_VALUE"""),45.94)</f>
        <v>45.94</v>
      </c>
      <c r="F4431" s="2">
        <f>IFERROR(__xludf.DUMMYFUNCTION("""COMPUTED_VALUE"""),3870900.0)</f>
        <v>3870900</v>
      </c>
    </row>
    <row r="4432">
      <c r="A4432" s="3">
        <f>IFERROR(__xludf.DUMMYFUNCTION("""COMPUTED_VALUE"""),35621.666666666664)</f>
        <v>35621.66667</v>
      </c>
      <c r="B4432" s="2">
        <f>IFERROR(__xludf.DUMMYFUNCTION("""COMPUTED_VALUE"""),45.22)</f>
        <v>45.22</v>
      </c>
      <c r="C4432" s="2">
        <f>IFERROR(__xludf.DUMMYFUNCTION("""COMPUTED_VALUE"""),45.94)</f>
        <v>45.94</v>
      </c>
      <c r="D4432" s="2">
        <f>IFERROR(__xludf.DUMMYFUNCTION("""COMPUTED_VALUE"""),44.92)</f>
        <v>44.92</v>
      </c>
      <c r="E4432" s="2">
        <f>IFERROR(__xludf.DUMMYFUNCTION("""COMPUTED_VALUE"""),45.76)</f>
        <v>45.76</v>
      </c>
      <c r="F4432" s="2">
        <f>IFERROR(__xludf.DUMMYFUNCTION("""COMPUTED_VALUE"""),2758800.0)</f>
        <v>2758800</v>
      </c>
    </row>
    <row r="4433">
      <c r="A4433" s="3">
        <f>IFERROR(__xludf.DUMMYFUNCTION("""COMPUTED_VALUE"""),35622.666666666664)</f>
        <v>35622.66667</v>
      </c>
      <c r="B4433" s="2">
        <f>IFERROR(__xludf.DUMMYFUNCTION("""COMPUTED_VALUE"""),45.76)</f>
        <v>45.76</v>
      </c>
      <c r="C4433" s="2">
        <f>IFERROR(__xludf.DUMMYFUNCTION("""COMPUTED_VALUE"""),46.5)</f>
        <v>46.5</v>
      </c>
      <c r="D4433" s="2">
        <f>IFERROR(__xludf.DUMMYFUNCTION("""COMPUTED_VALUE"""),45.67)</f>
        <v>45.67</v>
      </c>
      <c r="E4433" s="2">
        <f>IFERROR(__xludf.DUMMYFUNCTION("""COMPUTED_VALUE"""),45.7)</f>
        <v>45.7</v>
      </c>
      <c r="F4433" s="2">
        <f>IFERROR(__xludf.DUMMYFUNCTION("""COMPUTED_VALUE"""),2739300.0)</f>
        <v>2739300</v>
      </c>
    </row>
    <row r="4434">
      <c r="A4434" s="3">
        <f>IFERROR(__xludf.DUMMYFUNCTION("""COMPUTED_VALUE"""),35625.666666666664)</f>
        <v>35625.66667</v>
      </c>
      <c r="B4434" s="2">
        <f>IFERROR(__xludf.DUMMYFUNCTION("""COMPUTED_VALUE"""),45.67)</f>
        <v>45.67</v>
      </c>
      <c r="C4434" s="2">
        <f>IFERROR(__xludf.DUMMYFUNCTION("""COMPUTED_VALUE"""),46.06)</f>
        <v>46.06</v>
      </c>
      <c r="D4434" s="2">
        <f>IFERROR(__xludf.DUMMYFUNCTION("""COMPUTED_VALUE"""),44.89)</f>
        <v>44.89</v>
      </c>
      <c r="E4434" s="2">
        <f>IFERROR(__xludf.DUMMYFUNCTION("""COMPUTED_VALUE"""),45.49)</f>
        <v>45.49</v>
      </c>
      <c r="F4434" s="2">
        <f>IFERROR(__xludf.DUMMYFUNCTION("""COMPUTED_VALUE"""),2678000.0)</f>
        <v>2678000</v>
      </c>
    </row>
    <row r="4435">
      <c r="A4435" s="3">
        <f>IFERROR(__xludf.DUMMYFUNCTION("""COMPUTED_VALUE"""),35626.666666666664)</f>
        <v>35626.66667</v>
      </c>
      <c r="B4435" s="2">
        <f>IFERROR(__xludf.DUMMYFUNCTION("""COMPUTED_VALUE"""),45.73)</f>
        <v>45.73</v>
      </c>
      <c r="C4435" s="2">
        <f>IFERROR(__xludf.DUMMYFUNCTION("""COMPUTED_VALUE"""),45.73)</f>
        <v>45.73</v>
      </c>
      <c r="D4435" s="2">
        <f>IFERROR(__xludf.DUMMYFUNCTION("""COMPUTED_VALUE"""),45.73)</f>
        <v>45.73</v>
      </c>
      <c r="E4435" s="2">
        <f>IFERROR(__xludf.DUMMYFUNCTION("""COMPUTED_VALUE"""),45.73)</f>
        <v>45.73</v>
      </c>
      <c r="F4435" s="2">
        <f>IFERROR(__xludf.DUMMYFUNCTION("""COMPUTED_VALUE"""),0.0)</f>
        <v>0</v>
      </c>
    </row>
    <row r="4436">
      <c r="A4436" s="3">
        <f>IFERROR(__xludf.DUMMYFUNCTION("""COMPUTED_VALUE"""),35627.666666666664)</f>
        <v>35627.66667</v>
      </c>
      <c r="B4436" s="2">
        <f>IFERROR(__xludf.DUMMYFUNCTION("""COMPUTED_VALUE"""),45.73)</f>
        <v>45.73</v>
      </c>
      <c r="C4436" s="2">
        <f>IFERROR(__xludf.DUMMYFUNCTION("""COMPUTED_VALUE"""),46.8)</f>
        <v>46.8</v>
      </c>
      <c r="D4436" s="2">
        <f>IFERROR(__xludf.DUMMYFUNCTION("""COMPUTED_VALUE"""),45.55)</f>
        <v>45.55</v>
      </c>
      <c r="E4436" s="2">
        <f>IFERROR(__xludf.DUMMYFUNCTION("""COMPUTED_VALUE"""),46.68)</f>
        <v>46.68</v>
      </c>
      <c r="F4436" s="2">
        <f>IFERROR(__xludf.DUMMYFUNCTION("""COMPUTED_VALUE"""),4459900.0)</f>
        <v>4459900</v>
      </c>
    </row>
    <row r="4437">
      <c r="A4437" s="3">
        <f>IFERROR(__xludf.DUMMYFUNCTION("""COMPUTED_VALUE"""),35628.666666666664)</f>
        <v>35628.66667</v>
      </c>
      <c r="B4437" s="2">
        <f>IFERROR(__xludf.DUMMYFUNCTION("""COMPUTED_VALUE"""),46.71)</f>
        <v>46.71</v>
      </c>
      <c r="C4437" s="2">
        <f>IFERROR(__xludf.DUMMYFUNCTION("""COMPUTED_VALUE"""),48.41)</f>
        <v>48.41</v>
      </c>
      <c r="D4437" s="2">
        <f>IFERROR(__xludf.DUMMYFUNCTION("""COMPUTED_VALUE"""),46.44)</f>
        <v>46.44</v>
      </c>
      <c r="E4437" s="2">
        <f>IFERROR(__xludf.DUMMYFUNCTION("""COMPUTED_VALUE"""),47.67)</f>
        <v>47.67</v>
      </c>
      <c r="F4437" s="2">
        <f>IFERROR(__xludf.DUMMYFUNCTION("""COMPUTED_VALUE"""),6601800.0)</f>
        <v>6601800</v>
      </c>
    </row>
    <row r="4438">
      <c r="A4438" s="3">
        <f>IFERROR(__xludf.DUMMYFUNCTION("""COMPUTED_VALUE"""),35629.666666666664)</f>
        <v>35629.66667</v>
      </c>
      <c r="B4438" s="2">
        <f>IFERROR(__xludf.DUMMYFUNCTION("""COMPUTED_VALUE"""),47.76)</f>
        <v>47.76</v>
      </c>
      <c r="C4438" s="2">
        <f>IFERROR(__xludf.DUMMYFUNCTION("""COMPUTED_VALUE"""),50.27)</f>
        <v>50.27</v>
      </c>
      <c r="D4438" s="2">
        <f>IFERROR(__xludf.DUMMYFUNCTION("""COMPUTED_VALUE"""),47.76)</f>
        <v>47.76</v>
      </c>
      <c r="E4438" s="2">
        <f>IFERROR(__xludf.DUMMYFUNCTION("""COMPUTED_VALUE"""),49.76)</f>
        <v>49.76</v>
      </c>
      <c r="F4438" s="2">
        <f>IFERROR(__xludf.DUMMYFUNCTION("""COMPUTED_VALUE"""),9158600.0)</f>
        <v>9158600</v>
      </c>
    </row>
    <row r="4439">
      <c r="A4439" s="3">
        <f>IFERROR(__xludf.DUMMYFUNCTION("""COMPUTED_VALUE"""),35632.666666666664)</f>
        <v>35632.66667</v>
      </c>
      <c r="B4439" s="2">
        <f>IFERROR(__xludf.DUMMYFUNCTION("""COMPUTED_VALUE"""),50.27)</f>
        <v>50.27</v>
      </c>
      <c r="C4439" s="2">
        <f>IFERROR(__xludf.DUMMYFUNCTION("""COMPUTED_VALUE"""),50.77)</f>
        <v>50.77</v>
      </c>
      <c r="D4439" s="2">
        <f>IFERROR(__xludf.DUMMYFUNCTION("""COMPUTED_VALUE"""),48.8)</f>
        <v>48.8</v>
      </c>
      <c r="E4439" s="2">
        <f>IFERROR(__xludf.DUMMYFUNCTION("""COMPUTED_VALUE"""),49.52)</f>
        <v>49.52</v>
      </c>
      <c r="F4439" s="2">
        <f>IFERROR(__xludf.DUMMYFUNCTION("""COMPUTED_VALUE"""),5853900.0)</f>
        <v>5853900</v>
      </c>
    </row>
    <row r="4440">
      <c r="A4440" s="3">
        <f>IFERROR(__xludf.DUMMYFUNCTION("""COMPUTED_VALUE"""),35633.666666666664)</f>
        <v>35633.66667</v>
      </c>
      <c r="B4440" s="2">
        <f>IFERROR(__xludf.DUMMYFUNCTION("""COMPUTED_VALUE"""),47.79)</f>
        <v>47.79</v>
      </c>
      <c r="C4440" s="2">
        <f>IFERROR(__xludf.DUMMYFUNCTION("""COMPUTED_VALUE"""),49.37)</f>
        <v>49.37</v>
      </c>
      <c r="D4440" s="2">
        <f>IFERROR(__xludf.DUMMYFUNCTION("""COMPUTED_VALUE"""),47.49)</f>
        <v>47.49</v>
      </c>
      <c r="E4440" s="2">
        <f>IFERROR(__xludf.DUMMYFUNCTION("""COMPUTED_VALUE"""),49.28)</f>
        <v>49.28</v>
      </c>
      <c r="F4440" s="2">
        <f>IFERROR(__xludf.DUMMYFUNCTION("""COMPUTED_VALUE"""),6975300.0)</f>
        <v>6975300</v>
      </c>
    </row>
    <row r="4441">
      <c r="A4441" s="3">
        <f>IFERROR(__xludf.DUMMYFUNCTION("""COMPUTED_VALUE"""),35634.666666666664)</f>
        <v>35634.66667</v>
      </c>
      <c r="B4441" s="2">
        <f>IFERROR(__xludf.DUMMYFUNCTION("""COMPUTED_VALUE"""),49.85)</f>
        <v>49.85</v>
      </c>
      <c r="C4441" s="2">
        <f>IFERROR(__xludf.DUMMYFUNCTION("""COMPUTED_VALUE"""),51.1)</f>
        <v>51.1</v>
      </c>
      <c r="D4441" s="2">
        <f>IFERROR(__xludf.DUMMYFUNCTION("""COMPUTED_VALUE"""),49.73)</f>
        <v>49.73</v>
      </c>
      <c r="E4441" s="2">
        <f>IFERROR(__xludf.DUMMYFUNCTION("""COMPUTED_VALUE"""),50.24)</f>
        <v>50.24</v>
      </c>
      <c r="F4441" s="2">
        <f>IFERROR(__xludf.DUMMYFUNCTION("""COMPUTED_VALUE"""),4293700.0)</f>
        <v>4293700</v>
      </c>
    </row>
    <row r="4442">
      <c r="A4442" s="3">
        <f>IFERROR(__xludf.DUMMYFUNCTION("""COMPUTED_VALUE"""),35635.666666666664)</f>
        <v>35635.66667</v>
      </c>
      <c r="B4442" s="2">
        <f>IFERROR(__xludf.DUMMYFUNCTION("""COMPUTED_VALUE"""),50.44)</f>
        <v>50.44</v>
      </c>
      <c r="C4442" s="2">
        <f>IFERROR(__xludf.DUMMYFUNCTION("""COMPUTED_VALUE"""),51.79)</f>
        <v>51.79</v>
      </c>
      <c r="D4442" s="2">
        <f>IFERROR(__xludf.DUMMYFUNCTION("""COMPUTED_VALUE"""),49.94)</f>
        <v>49.94</v>
      </c>
      <c r="E4442" s="2">
        <f>IFERROR(__xludf.DUMMYFUNCTION("""COMPUTED_VALUE"""),51.49)</f>
        <v>51.49</v>
      </c>
      <c r="F4442" s="2">
        <f>IFERROR(__xludf.DUMMYFUNCTION("""COMPUTED_VALUE"""),4111500.0)</f>
        <v>4111500</v>
      </c>
    </row>
    <row r="4443">
      <c r="A4443" s="3">
        <f>IFERROR(__xludf.DUMMYFUNCTION("""COMPUTED_VALUE"""),35636.666666666664)</f>
        <v>35636.66667</v>
      </c>
      <c r="B4443" s="2">
        <f>IFERROR(__xludf.DUMMYFUNCTION("""COMPUTED_VALUE"""),51.55)</f>
        <v>51.55</v>
      </c>
      <c r="C4443" s="2">
        <f>IFERROR(__xludf.DUMMYFUNCTION("""COMPUTED_VALUE"""),51.79)</f>
        <v>51.79</v>
      </c>
      <c r="D4443" s="2">
        <f>IFERROR(__xludf.DUMMYFUNCTION("""COMPUTED_VALUE"""),50.47)</f>
        <v>50.47</v>
      </c>
      <c r="E4443" s="2">
        <f>IFERROR(__xludf.DUMMYFUNCTION("""COMPUTED_VALUE"""),51.07)</f>
        <v>51.07</v>
      </c>
      <c r="F4443" s="2">
        <f>IFERROR(__xludf.DUMMYFUNCTION("""COMPUTED_VALUE"""),3000900.0)</f>
        <v>3000900</v>
      </c>
    </row>
    <row r="4444">
      <c r="A4444" s="3">
        <f>IFERROR(__xludf.DUMMYFUNCTION("""COMPUTED_VALUE"""),35639.666666666664)</f>
        <v>35639.66667</v>
      </c>
      <c r="B4444" s="2">
        <f>IFERROR(__xludf.DUMMYFUNCTION("""COMPUTED_VALUE"""),50.86)</f>
        <v>50.86</v>
      </c>
      <c r="C4444" s="2">
        <f>IFERROR(__xludf.DUMMYFUNCTION("""COMPUTED_VALUE"""),51.04)</f>
        <v>51.04</v>
      </c>
      <c r="D4444" s="2">
        <f>IFERROR(__xludf.DUMMYFUNCTION("""COMPUTED_VALUE"""),50.06)</f>
        <v>50.06</v>
      </c>
      <c r="E4444" s="2">
        <f>IFERROR(__xludf.DUMMYFUNCTION("""COMPUTED_VALUE"""),50.15)</f>
        <v>50.15</v>
      </c>
      <c r="F4444" s="2">
        <f>IFERROR(__xludf.DUMMYFUNCTION("""COMPUTED_VALUE"""),2673800.0)</f>
        <v>2673800</v>
      </c>
    </row>
    <row r="4445">
      <c r="A4445" s="3">
        <f>IFERROR(__xludf.DUMMYFUNCTION("""COMPUTED_VALUE"""),35640.666666666664)</f>
        <v>35640.66667</v>
      </c>
      <c r="B4445" s="2">
        <f>IFERROR(__xludf.DUMMYFUNCTION("""COMPUTED_VALUE"""),49.91)</f>
        <v>49.91</v>
      </c>
      <c r="C4445" s="2">
        <f>IFERROR(__xludf.DUMMYFUNCTION("""COMPUTED_VALUE"""),49.97)</f>
        <v>49.97</v>
      </c>
      <c r="D4445" s="2">
        <f>IFERROR(__xludf.DUMMYFUNCTION("""COMPUTED_VALUE"""),49.1)</f>
        <v>49.1</v>
      </c>
      <c r="E4445" s="2">
        <f>IFERROR(__xludf.DUMMYFUNCTION("""COMPUTED_VALUE"""),49.13)</f>
        <v>49.13</v>
      </c>
      <c r="F4445" s="2">
        <f>IFERROR(__xludf.DUMMYFUNCTION("""COMPUTED_VALUE"""),3753900.0)</f>
        <v>3753900</v>
      </c>
    </row>
    <row r="4446">
      <c r="A4446" s="3">
        <f>IFERROR(__xludf.DUMMYFUNCTION("""COMPUTED_VALUE"""),35641.666666666664)</f>
        <v>35641.66667</v>
      </c>
      <c r="B4446" s="2">
        <f>IFERROR(__xludf.DUMMYFUNCTION("""COMPUTED_VALUE"""),49.13)</f>
        <v>49.13</v>
      </c>
      <c r="C4446" s="2">
        <f>IFERROR(__xludf.DUMMYFUNCTION("""COMPUTED_VALUE"""),50.62)</f>
        <v>50.62</v>
      </c>
      <c r="D4446" s="2">
        <f>IFERROR(__xludf.DUMMYFUNCTION("""COMPUTED_VALUE"""),49.13)</f>
        <v>49.13</v>
      </c>
      <c r="E4446" s="2">
        <f>IFERROR(__xludf.DUMMYFUNCTION("""COMPUTED_VALUE"""),50.62)</f>
        <v>50.62</v>
      </c>
      <c r="F4446" s="2">
        <f>IFERROR(__xludf.DUMMYFUNCTION("""COMPUTED_VALUE"""),3593000.0)</f>
        <v>3593000</v>
      </c>
    </row>
    <row r="4447">
      <c r="A4447" s="3">
        <f>IFERROR(__xludf.DUMMYFUNCTION("""COMPUTED_VALUE"""),35642.666666666664)</f>
        <v>35642.66667</v>
      </c>
      <c r="B4447" s="2">
        <f>IFERROR(__xludf.DUMMYFUNCTION("""COMPUTED_VALUE"""),50.5)</f>
        <v>50.5</v>
      </c>
      <c r="C4447" s="2">
        <f>IFERROR(__xludf.DUMMYFUNCTION("""COMPUTED_VALUE"""),51.01)</f>
        <v>51.01</v>
      </c>
      <c r="D4447" s="2">
        <f>IFERROR(__xludf.DUMMYFUNCTION("""COMPUTED_VALUE"""),50.15)</f>
        <v>50.15</v>
      </c>
      <c r="E4447" s="2">
        <f>IFERROR(__xludf.DUMMYFUNCTION("""COMPUTED_VALUE"""),50.5)</f>
        <v>50.5</v>
      </c>
      <c r="F4447" s="2">
        <f>IFERROR(__xludf.DUMMYFUNCTION("""COMPUTED_VALUE"""),2900900.0)</f>
        <v>2900900</v>
      </c>
    </row>
    <row r="4448">
      <c r="A4448" s="3">
        <f>IFERROR(__xludf.DUMMYFUNCTION("""COMPUTED_VALUE"""),35643.666666666664)</f>
        <v>35643.66667</v>
      </c>
      <c r="B4448" s="2">
        <f>IFERROR(__xludf.DUMMYFUNCTION("""COMPUTED_VALUE"""),50.38)</f>
        <v>50.38</v>
      </c>
      <c r="C4448" s="2">
        <f>IFERROR(__xludf.DUMMYFUNCTION("""COMPUTED_VALUE"""),50.59)</f>
        <v>50.59</v>
      </c>
      <c r="D4448" s="2">
        <f>IFERROR(__xludf.DUMMYFUNCTION("""COMPUTED_VALUE"""),49.34)</f>
        <v>49.34</v>
      </c>
      <c r="E4448" s="2">
        <f>IFERROR(__xludf.DUMMYFUNCTION("""COMPUTED_VALUE"""),50.12)</f>
        <v>50.12</v>
      </c>
      <c r="F4448" s="2">
        <f>IFERROR(__xludf.DUMMYFUNCTION("""COMPUTED_VALUE"""),3351800.0)</f>
        <v>3351800</v>
      </c>
    </row>
    <row r="4449">
      <c r="A4449" s="3">
        <f>IFERROR(__xludf.DUMMYFUNCTION("""COMPUTED_VALUE"""),35646.666666666664)</f>
        <v>35646.66667</v>
      </c>
      <c r="B4449" s="2">
        <f>IFERROR(__xludf.DUMMYFUNCTION("""COMPUTED_VALUE"""),49.94)</f>
        <v>49.94</v>
      </c>
      <c r="C4449" s="2">
        <f>IFERROR(__xludf.DUMMYFUNCTION("""COMPUTED_VALUE"""),50.86)</f>
        <v>50.86</v>
      </c>
      <c r="D4449" s="2">
        <f>IFERROR(__xludf.DUMMYFUNCTION("""COMPUTED_VALUE"""),49.94)</f>
        <v>49.94</v>
      </c>
      <c r="E4449" s="2">
        <f>IFERROR(__xludf.DUMMYFUNCTION("""COMPUTED_VALUE"""),50.83)</f>
        <v>50.83</v>
      </c>
      <c r="F4449" s="2">
        <f>IFERROR(__xludf.DUMMYFUNCTION("""COMPUTED_VALUE"""),2466600.0)</f>
        <v>2466600</v>
      </c>
    </row>
    <row r="4450">
      <c r="A4450" s="3">
        <f>IFERROR(__xludf.DUMMYFUNCTION("""COMPUTED_VALUE"""),35647.666666666664)</f>
        <v>35647.66667</v>
      </c>
      <c r="B4450" s="2">
        <f>IFERROR(__xludf.DUMMYFUNCTION("""COMPUTED_VALUE"""),50.86)</f>
        <v>50.86</v>
      </c>
      <c r="C4450" s="2">
        <f>IFERROR(__xludf.DUMMYFUNCTION("""COMPUTED_VALUE"""),51.55)</f>
        <v>51.55</v>
      </c>
      <c r="D4450" s="2">
        <f>IFERROR(__xludf.DUMMYFUNCTION("""COMPUTED_VALUE"""),50.86)</f>
        <v>50.86</v>
      </c>
      <c r="E4450" s="2">
        <f>IFERROR(__xludf.DUMMYFUNCTION("""COMPUTED_VALUE"""),50.89)</f>
        <v>50.89</v>
      </c>
      <c r="F4450" s="2">
        <f>IFERROR(__xludf.DUMMYFUNCTION("""COMPUTED_VALUE"""),2035200.0)</f>
        <v>2035200</v>
      </c>
    </row>
    <row r="4451">
      <c r="A4451" s="3">
        <f>IFERROR(__xludf.DUMMYFUNCTION("""COMPUTED_VALUE"""),35648.666666666664)</f>
        <v>35648.66667</v>
      </c>
      <c r="B4451" s="2">
        <f>IFERROR(__xludf.DUMMYFUNCTION("""COMPUTED_VALUE"""),50.83)</f>
        <v>50.83</v>
      </c>
      <c r="C4451" s="2">
        <f>IFERROR(__xludf.DUMMYFUNCTION("""COMPUTED_VALUE"""),52.24)</f>
        <v>52.24</v>
      </c>
      <c r="D4451" s="2">
        <f>IFERROR(__xludf.DUMMYFUNCTION("""COMPUTED_VALUE"""),50.56)</f>
        <v>50.56</v>
      </c>
      <c r="E4451" s="2">
        <f>IFERROR(__xludf.DUMMYFUNCTION("""COMPUTED_VALUE"""),51.49)</f>
        <v>51.49</v>
      </c>
      <c r="F4451" s="2">
        <f>IFERROR(__xludf.DUMMYFUNCTION("""COMPUTED_VALUE"""),3434100.0)</f>
        <v>3434100</v>
      </c>
    </row>
    <row r="4452">
      <c r="A4452" s="3">
        <f>IFERROR(__xludf.DUMMYFUNCTION("""COMPUTED_VALUE"""),35649.666666666664)</f>
        <v>35649.66667</v>
      </c>
      <c r="B4452" s="2">
        <f>IFERROR(__xludf.DUMMYFUNCTION("""COMPUTED_VALUE"""),51.82)</f>
        <v>51.82</v>
      </c>
      <c r="C4452" s="2">
        <f>IFERROR(__xludf.DUMMYFUNCTION("""COMPUTED_VALUE"""),52.18)</f>
        <v>52.18</v>
      </c>
      <c r="D4452" s="2">
        <f>IFERROR(__xludf.DUMMYFUNCTION("""COMPUTED_VALUE"""),51.04)</f>
        <v>51.04</v>
      </c>
      <c r="E4452" s="2">
        <f>IFERROR(__xludf.DUMMYFUNCTION("""COMPUTED_VALUE"""),51.28)</f>
        <v>51.28</v>
      </c>
      <c r="F4452" s="2">
        <f>IFERROR(__xludf.DUMMYFUNCTION("""COMPUTED_VALUE"""),2710300.0)</f>
        <v>2710300</v>
      </c>
    </row>
    <row r="4453">
      <c r="A4453" s="3">
        <f>IFERROR(__xludf.DUMMYFUNCTION("""COMPUTED_VALUE"""),35650.666666666664)</f>
        <v>35650.66667</v>
      </c>
      <c r="B4453" s="2">
        <f>IFERROR(__xludf.DUMMYFUNCTION("""COMPUTED_VALUE"""),50.77)</f>
        <v>50.77</v>
      </c>
      <c r="C4453" s="2">
        <f>IFERROR(__xludf.DUMMYFUNCTION("""COMPUTED_VALUE"""),51.16)</f>
        <v>51.16</v>
      </c>
      <c r="D4453" s="2">
        <f>IFERROR(__xludf.DUMMYFUNCTION("""COMPUTED_VALUE"""),49.7)</f>
        <v>49.7</v>
      </c>
      <c r="E4453" s="2">
        <f>IFERROR(__xludf.DUMMYFUNCTION("""COMPUTED_VALUE"""),50.36)</f>
        <v>50.36</v>
      </c>
      <c r="F4453" s="2">
        <f>IFERROR(__xludf.DUMMYFUNCTION("""COMPUTED_VALUE"""),3195500.0)</f>
        <v>3195500</v>
      </c>
    </row>
    <row r="4454">
      <c r="A4454" s="3">
        <f>IFERROR(__xludf.DUMMYFUNCTION("""COMPUTED_VALUE"""),35653.666666666664)</f>
        <v>35653.66667</v>
      </c>
      <c r="B4454" s="2">
        <f>IFERROR(__xludf.DUMMYFUNCTION("""COMPUTED_VALUE"""),50.03)</f>
        <v>50.03</v>
      </c>
      <c r="C4454" s="2">
        <f>IFERROR(__xludf.DUMMYFUNCTION("""COMPUTED_VALUE"""),50.21)</f>
        <v>50.21</v>
      </c>
      <c r="D4454" s="2">
        <f>IFERROR(__xludf.DUMMYFUNCTION("""COMPUTED_VALUE"""),49.19)</f>
        <v>49.19</v>
      </c>
      <c r="E4454" s="2">
        <f>IFERROR(__xludf.DUMMYFUNCTION("""COMPUTED_VALUE"""),49.25)</f>
        <v>49.25</v>
      </c>
      <c r="F4454" s="2">
        <f>IFERROR(__xludf.DUMMYFUNCTION("""COMPUTED_VALUE"""),2828900.0)</f>
        <v>2828900</v>
      </c>
    </row>
    <row r="4455">
      <c r="A4455" s="3">
        <f>IFERROR(__xludf.DUMMYFUNCTION("""COMPUTED_VALUE"""),35654.666666666664)</f>
        <v>35654.66667</v>
      </c>
      <c r="B4455" s="2">
        <f>IFERROR(__xludf.DUMMYFUNCTION("""COMPUTED_VALUE"""),49.37)</f>
        <v>49.37</v>
      </c>
      <c r="C4455" s="2">
        <f>IFERROR(__xludf.DUMMYFUNCTION("""COMPUTED_VALUE"""),50.44)</f>
        <v>50.44</v>
      </c>
      <c r="D4455" s="2">
        <f>IFERROR(__xludf.DUMMYFUNCTION("""COMPUTED_VALUE"""),49.34)</f>
        <v>49.34</v>
      </c>
      <c r="E4455" s="2">
        <f>IFERROR(__xludf.DUMMYFUNCTION("""COMPUTED_VALUE"""),49.49)</f>
        <v>49.49</v>
      </c>
      <c r="F4455" s="2">
        <f>IFERROR(__xludf.DUMMYFUNCTION("""COMPUTED_VALUE"""),3061700.0)</f>
        <v>3061700</v>
      </c>
    </row>
    <row r="4456">
      <c r="A4456" s="3">
        <f>IFERROR(__xludf.DUMMYFUNCTION("""COMPUTED_VALUE"""),35655.666666666664)</f>
        <v>35655.66667</v>
      </c>
      <c r="B4456" s="2">
        <f>IFERROR(__xludf.DUMMYFUNCTION("""COMPUTED_VALUE"""),50.53)</f>
        <v>50.53</v>
      </c>
      <c r="C4456" s="2">
        <f>IFERROR(__xludf.DUMMYFUNCTION("""COMPUTED_VALUE"""),50.62)</f>
        <v>50.62</v>
      </c>
      <c r="D4456" s="2">
        <f>IFERROR(__xludf.DUMMYFUNCTION("""COMPUTED_VALUE"""),49.1)</f>
        <v>49.1</v>
      </c>
      <c r="E4456" s="2">
        <f>IFERROR(__xludf.DUMMYFUNCTION("""COMPUTED_VALUE"""),49.76)</f>
        <v>49.76</v>
      </c>
      <c r="F4456" s="2">
        <f>IFERROR(__xludf.DUMMYFUNCTION("""COMPUTED_VALUE"""),4519500.0)</f>
        <v>4519500</v>
      </c>
    </row>
    <row r="4457">
      <c r="A4457" s="3">
        <f>IFERROR(__xludf.DUMMYFUNCTION("""COMPUTED_VALUE"""),35656.666666666664)</f>
        <v>35656.66667</v>
      </c>
      <c r="B4457" s="2">
        <f>IFERROR(__xludf.DUMMYFUNCTION("""COMPUTED_VALUE"""),49.94)</f>
        <v>49.94</v>
      </c>
      <c r="C4457" s="2">
        <f>IFERROR(__xludf.DUMMYFUNCTION("""COMPUTED_VALUE"""),50.21)</f>
        <v>50.21</v>
      </c>
      <c r="D4457" s="2">
        <f>IFERROR(__xludf.DUMMYFUNCTION("""COMPUTED_VALUE"""),49.01)</f>
        <v>49.01</v>
      </c>
      <c r="E4457" s="2">
        <f>IFERROR(__xludf.DUMMYFUNCTION("""COMPUTED_VALUE"""),49.52)</f>
        <v>49.52</v>
      </c>
      <c r="F4457" s="2">
        <f>IFERROR(__xludf.DUMMYFUNCTION("""COMPUTED_VALUE"""),2865000.0)</f>
        <v>2865000</v>
      </c>
    </row>
    <row r="4458">
      <c r="A4458" s="3">
        <f>IFERROR(__xludf.DUMMYFUNCTION("""COMPUTED_VALUE"""),35657.666666666664)</f>
        <v>35657.66667</v>
      </c>
      <c r="B4458" s="2">
        <f>IFERROR(__xludf.DUMMYFUNCTION("""COMPUTED_VALUE"""),49.34)</f>
        <v>49.34</v>
      </c>
      <c r="C4458" s="2">
        <f>IFERROR(__xludf.DUMMYFUNCTION("""COMPUTED_VALUE"""),49.91)</f>
        <v>49.91</v>
      </c>
      <c r="D4458" s="2">
        <f>IFERROR(__xludf.DUMMYFUNCTION("""COMPUTED_VALUE"""),47.73)</f>
        <v>47.73</v>
      </c>
      <c r="E4458" s="2">
        <f>IFERROR(__xludf.DUMMYFUNCTION("""COMPUTED_VALUE"""),47.73)</f>
        <v>47.73</v>
      </c>
      <c r="F4458" s="2">
        <f>IFERROR(__xludf.DUMMYFUNCTION("""COMPUTED_VALUE"""),4153500.0)</f>
        <v>4153500</v>
      </c>
    </row>
    <row r="4459">
      <c r="A4459" s="3">
        <f>IFERROR(__xludf.DUMMYFUNCTION("""COMPUTED_VALUE"""),35660.666666666664)</f>
        <v>35660.66667</v>
      </c>
      <c r="B4459" s="2">
        <f>IFERROR(__xludf.DUMMYFUNCTION("""COMPUTED_VALUE"""),48.24)</f>
        <v>48.24</v>
      </c>
      <c r="C4459" s="2">
        <f>IFERROR(__xludf.DUMMYFUNCTION("""COMPUTED_VALUE"""),49.67)</f>
        <v>49.67</v>
      </c>
      <c r="D4459" s="2">
        <f>IFERROR(__xludf.DUMMYFUNCTION("""COMPUTED_VALUE"""),47.61)</f>
        <v>47.61</v>
      </c>
      <c r="E4459" s="2">
        <f>IFERROR(__xludf.DUMMYFUNCTION("""COMPUTED_VALUE"""),49.67)</f>
        <v>49.67</v>
      </c>
      <c r="F4459" s="2">
        <f>IFERROR(__xludf.DUMMYFUNCTION("""COMPUTED_VALUE"""),3888400.0)</f>
        <v>3888400</v>
      </c>
    </row>
    <row r="4460">
      <c r="A4460" s="3">
        <f>IFERROR(__xludf.DUMMYFUNCTION("""COMPUTED_VALUE"""),35661.666666666664)</f>
        <v>35661.66667</v>
      </c>
      <c r="B4460" s="2">
        <f>IFERROR(__xludf.DUMMYFUNCTION("""COMPUTED_VALUE"""),50.03)</f>
        <v>50.03</v>
      </c>
      <c r="C4460" s="2">
        <f>IFERROR(__xludf.DUMMYFUNCTION("""COMPUTED_VALUE"""),51.58)</f>
        <v>51.58</v>
      </c>
      <c r="D4460" s="2">
        <f>IFERROR(__xludf.DUMMYFUNCTION("""COMPUTED_VALUE"""),49.79)</f>
        <v>49.79</v>
      </c>
      <c r="E4460" s="2">
        <f>IFERROR(__xludf.DUMMYFUNCTION("""COMPUTED_VALUE"""),51.55)</f>
        <v>51.55</v>
      </c>
      <c r="F4460" s="2">
        <f>IFERROR(__xludf.DUMMYFUNCTION("""COMPUTED_VALUE"""),3803700.0)</f>
        <v>3803700</v>
      </c>
    </row>
    <row r="4461">
      <c r="A4461" s="3">
        <f>IFERROR(__xludf.DUMMYFUNCTION("""COMPUTED_VALUE"""),35662.666666666664)</f>
        <v>35662.66667</v>
      </c>
      <c r="B4461" s="2">
        <f>IFERROR(__xludf.DUMMYFUNCTION("""COMPUTED_VALUE"""),51.4)</f>
        <v>51.4</v>
      </c>
      <c r="C4461" s="2">
        <f>IFERROR(__xludf.DUMMYFUNCTION("""COMPUTED_VALUE"""),51.76)</f>
        <v>51.76</v>
      </c>
      <c r="D4461" s="2">
        <f>IFERROR(__xludf.DUMMYFUNCTION("""COMPUTED_VALUE"""),50.71)</f>
        <v>50.71</v>
      </c>
      <c r="E4461" s="2">
        <f>IFERROR(__xludf.DUMMYFUNCTION("""COMPUTED_VALUE"""),51.58)</f>
        <v>51.58</v>
      </c>
      <c r="F4461" s="2">
        <f>IFERROR(__xludf.DUMMYFUNCTION("""COMPUTED_VALUE"""),3726900.0)</f>
        <v>3726900</v>
      </c>
    </row>
    <row r="4462">
      <c r="A4462" s="3">
        <f>IFERROR(__xludf.DUMMYFUNCTION("""COMPUTED_VALUE"""),35663.666666666664)</f>
        <v>35663.66667</v>
      </c>
      <c r="B4462" s="2">
        <f>IFERROR(__xludf.DUMMYFUNCTION("""COMPUTED_VALUE"""),51.34)</f>
        <v>51.34</v>
      </c>
      <c r="C4462" s="2">
        <f>IFERROR(__xludf.DUMMYFUNCTION("""COMPUTED_VALUE"""),51.55)</f>
        <v>51.55</v>
      </c>
      <c r="D4462" s="2">
        <f>IFERROR(__xludf.DUMMYFUNCTION("""COMPUTED_VALUE"""),50.27)</f>
        <v>50.27</v>
      </c>
      <c r="E4462" s="2">
        <f>IFERROR(__xludf.DUMMYFUNCTION("""COMPUTED_VALUE"""),50.41)</f>
        <v>50.41</v>
      </c>
      <c r="F4462" s="2">
        <f>IFERROR(__xludf.DUMMYFUNCTION("""COMPUTED_VALUE"""),2665900.0)</f>
        <v>2665900</v>
      </c>
    </row>
    <row r="4463">
      <c r="A4463" s="3">
        <f>IFERROR(__xludf.DUMMYFUNCTION("""COMPUTED_VALUE"""),35664.666666666664)</f>
        <v>35664.66667</v>
      </c>
      <c r="B4463" s="2">
        <f>IFERROR(__xludf.DUMMYFUNCTION("""COMPUTED_VALUE"""),48.95)</f>
        <v>48.95</v>
      </c>
      <c r="C4463" s="2">
        <f>IFERROR(__xludf.DUMMYFUNCTION("""COMPUTED_VALUE"""),50.8)</f>
        <v>50.8</v>
      </c>
      <c r="D4463" s="2">
        <f>IFERROR(__xludf.DUMMYFUNCTION("""COMPUTED_VALUE"""),48.95)</f>
        <v>48.95</v>
      </c>
      <c r="E4463" s="2">
        <f>IFERROR(__xludf.DUMMYFUNCTION("""COMPUTED_VALUE"""),50.8)</f>
        <v>50.8</v>
      </c>
      <c r="F4463" s="2">
        <f>IFERROR(__xludf.DUMMYFUNCTION("""COMPUTED_VALUE"""),3669200.0)</f>
        <v>3669200</v>
      </c>
    </row>
    <row r="4464">
      <c r="A4464" s="3">
        <f>IFERROR(__xludf.DUMMYFUNCTION("""COMPUTED_VALUE"""),35667.666666666664)</f>
        <v>35667.66667</v>
      </c>
      <c r="B4464" s="2">
        <f>IFERROR(__xludf.DUMMYFUNCTION("""COMPUTED_VALUE"""),50.8)</f>
        <v>50.8</v>
      </c>
      <c r="C4464" s="2">
        <f>IFERROR(__xludf.DUMMYFUNCTION("""COMPUTED_VALUE"""),51.1)</f>
        <v>51.1</v>
      </c>
      <c r="D4464" s="2">
        <f>IFERROR(__xludf.DUMMYFUNCTION("""COMPUTED_VALUE"""),49.91)</f>
        <v>49.91</v>
      </c>
      <c r="E4464" s="2">
        <f>IFERROR(__xludf.DUMMYFUNCTION("""COMPUTED_VALUE"""),50.09)</f>
        <v>50.09</v>
      </c>
      <c r="F4464" s="2">
        <f>IFERROR(__xludf.DUMMYFUNCTION("""COMPUTED_VALUE"""),2113500.0)</f>
        <v>2113500</v>
      </c>
    </row>
    <row r="4465">
      <c r="A4465" s="3">
        <f>IFERROR(__xludf.DUMMYFUNCTION("""COMPUTED_VALUE"""),35668.666666666664)</f>
        <v>35668.66667</v>
      </c>
      <c r="B4465" s="2">
        <f>IFERROR(__xludf.DUMMYFUNCTION("""COMPUTED_VALUE"""),49.37)</f>
        <v>49.37</v>
      </c>
      <c r="C4465" s="2">
        <f>IFERROR(__xludf.DUMMYFUNCTION("""COMPUTED_VALUE"""),49.82)</f>
        <v>49.82</v>
      </c>
      <c r="D4465" s="2">
        <f>IFERROR(__xludf.DUMMYFUNCTION("""COMPUTED_VALUE"""),49.22)</f>
        <v>49.22</v>
      </c>
      <c r="E4465" s="2">
        <f>IFERROR(__xludf.DUMMYFUNCTION("""COMPUTED_VALUE"""),49.34)</f>
        <v>49.34</v>
      </c>
      <c r="F4465" s="2">
        <f>IFERROR(__xludf.DUMMYFUNCTION("""COMPUTED_VALUE"""),2564600.0)</f>
        <v>2564600</v>
      </c>
    </row>
    <row r="4466">
      <c r="A4466" s="3">
        <f>IFERROR(__xludf.DUMMYFUNCTION("""COMPUTED_VALUE"""),35669.666666666664)</f>
        <v>35669.66667</v>
      </c>
      <c r="B4466" s="2">
        <f>IFERROR(__xludf.DUMMYFUNCTION("""COMPUTED_VALUE"""),49.28)</f>
        <v>49.28</v>
      </c>
      <c r="C4466" s="2">
        <f>IFERROR(__xludf.DUMMYFUNCTION("""COMPUTED_VALUE"""),50.06)</f>
        <v>50.06</v>
      </c>
      <c r="D4466" s="2">
        <f>IFERROR(__xludf.DUMMYFUNCTION("""COMPUTED_VALUE"""),48.95)</f>
        <v>48.95</v>
      </c>
      <c r="E4466" s="2">
        <f>IFERROR(__xludf.DUMMYFUNCTION("""COMPUTED_VALUE"""),49.61)</f>
        <v>49.61</v>
      </c>
      <c r="F4466" s="2">
        <f>IFERROR(__xludf.DUMMYFUNCTION("""COMPUTED_VALUE"""),2305500.0)</f>
        <v>2305500</v>
      </c>
    </row>
    <row r="4467">
      <c r="A4467" s="3">
        <f>IFERROR(__xludf.DUMMYFUNCTION("""COMPUTED_VALUE"""),35670.666666666664)</f>
        <v>35670.66667</v>
      </c>
      <c r="B4467" s="2">
        <f>IFERROR(__xludf.DUMMYFUNCTION("""COMPUTED_VALUE"""),49.07)</f>
        <v>49.07</v>
      </c>
      <c r="C4467" s="2">
        <f>IFERROR(__xludf.DUMMYFUNCTION("""COMPUTED_VALUE"""),49.61)</f>
        <v>49.61</v>
      </c>
      <c r="D4467" s="2">
        <f>IFERROR(__xludf.DUMMYFUNCTION("""COMPUTED_VALUE"""),48.27)</f>
        <v>48.27</v>
      </c>
      <c r="E4467" s="2">
        <f>IFERROR(__xludf.DUMMYFUNCTION("""COMPUTED_VALUE"""),48.3)</f>
        <v>48.3</v>
      </c>
      <c r="F4467" s="2">
        <f>IFERROR(__xludf.DUMMYFUNCTION("""COMPUTED_VALUE"""),2306600.0)</f>
        <v>2306600</v>
      </c>
    </row>
    <row r="4468">
      <c r="A4468" s="3">
        <f>IFERROR(__xludf.DUMMYFUNCTION("""COMPUTED_VALUE"""),35671.666666666664)</f>
        <v>35671.66667</v>
      </c>
      <c r="B4468" s="2">
        <f>IFERROR(__xludf.DUMMYFUNCTION("""COMPUTED_VALUE"""),48.03)</f>
        <v>48.03</v>
      </c>
      <c r="C4468" s="2">
        <f>IFERROR(__xludf.DUMMYFUNCTION("""COMPUTED_VALUE"""),49.1)</f>
        <v>49.1</v>
      </c>
      <c r="D4468" s="2">
        <f>IFERROR(__xludf.DUMMYFUNCTION("""COMPUTED_VALUE"""),48.0)</f>
        <v>48</v>
      </c>
      <c r="E4468" s="2">
        <f>IFERROR(__xludf.DUMMYFUNCTION("""COMPUTED_VALUE"""),48.18)</f>
        <v>48.18</v>
      </c>
      <c r="F4468" s="2">
        <f>IFERROR(__xludf.DUMMYFUNCTION("""COMPUTED_VALUE"""),3112100.0)</f>
        <v>3112100</v>
      </c>
    </row>
    <row r="4469">
      <c r="A4469" s="3">
        <f>IFERROR(__xludf.DUMMYFUNCTION("""COMPUTED_VALUE"""),35675.666666666664)</f>
        <v>35675.66667</v>
      </c>
      <c r="B4469" s="2">
        <f>IFERROR(__xludf.DUMMYFUNCTION("""COMPUTED_VALUE"""),48.41)</f>
        <v>48.41</v>
      </c>
      <c r="C4469" s="2">
        <f>IFERROR(__xludf.DUMMYFUNCTION("""COMPUTED_VALUE"""),49.82)</f>
        <v>49.82</v>
      </c>
      <c r="D4469" s="2">
        <f>IFERROR(__xludf.DUMMYFUNCTION("""COMPUTED_VALUE"""),48.36)</f>
        <v>48.36</v>
      </c>
      <c r="E4469" s="2">
        <f>IFERROR(__xludf.DUMMYFUNCTION("""COMPUTED_VALUE"""),49.73)</f>
        <v>49.73</v>
      </c>
      <c r="F4469" s="2">
        <f>IFERROR(__xludf.DUMMYFUNCTION("""COMPUTED_VALUE"""),3672300.0)</f>
        <v>3672300</v>
      </c>
    </row>
    <row r="4470">
      <c r="A4470" s="3">
        <f>IFERROR(__xludf.DUMMYFUNCTION("""COMPUTED_VALUE"""),35676.666666666664)</f>
        <v>35676.66667</v>
      </c>
      <c r="B4470" s="2">
        <f>IFERROR(__xludf.DUMMYFUNCTION("""COMPUTED_VALUE"""),49.58)</f>
        <v>49.58</v>
      </c>
      <c r="C4470" s="2">
        <f>IFERROR(__xludf.DUMMYFUNCTION("""COMPUTED_VALUE"""),50.21)</f>
        <v>50.21</v>
      </c>
      <c r="D4470" s="2">
        <f>IFERROR(__xludf.DUMMYFUNCTION("""COMPUTED_VALUE"""),49.46)</f>
        <v>49.46</v>
      </c>
      <c r="E4470" s="2">
        <f>IFERROR(__xludf.DUMMYFUNCTION("""COMPUTED_VALUE"""),49.46)</f>
        <v>49.46</v>
      </c>
      <c r="F4470" s="2">
        <f>IFERROR(__xludf.DUMMYFUNCTION("""COMPUTED_VALUE"""),2875700.0)</f>
        <v>2875700</v>
      </c>
    </row>
    <row r="4471">
      <c r="A4471" s="3">
        <f>IFERROR(__xludf.DUMMYFUNCTION("""COMPUTED_VALUE"""),35677.666666666664)</f>
        <v>35677.66667</v>
      </c>
      <c r="B4471" s="2">
        <f>IFERROR(__xludf.DUMMYFUNCTION("""COMPUTED_VALUE"""),49.46)</f>
        <v>49.46</v>
      </c>
      <c r="C4471" s="2">
        <f>IFERROR(__xludf.DUMMYFUNCTION("""COMPUTED_VALUE"""),49.94)</f>
        <v>49.94</v>
      </c>
      <c r="D4471" s="2">
        <f>IFERROR(__xludf.DUMMYFUNCTION("""COMPUTED_VALUE"""),49.19)</f>
        <v>49.19</v>
      </c>
      <c r="E4471" s="2">
        <f>IFERROR(__xludf.DUMMYFUNCTION("""COMPUTED_VALUE"""),49.61)</f>
        <v>49.61</v>
      </c>
      <c r="F4471" s="2">
        <f>IFERROR(__xludf.DUMMYFUNCTION("""COMPUTED_VALUE"""),2219600.0)</f>
        <v>2219600</v>
      </c>
    </row>
    <row r="4472">
      <c r="A4472" s="3">
        <f>IFERROR(__xludf.DUMMYFUNCTION("""COMPUTED_VALUE"""),35678.666666666664)</f>
        <v>35678.66667</v>
      </c>
      <c r="B4472" s="2">
        <f>IFERROR(__xludf.DUMMYFUNCTION("""COMPUTED_VALUE"""),50.12)</f>
        <v>50.12</v>
      </c>
      <c r="C4472" s="2">
        <f>IFERROR(__xludf.DUMMYFUNCTION("""COMPUTED_VALUE"""),50.27)</f>
        <v>50.27</v>
      </c>
      <c r="D4472" s="2">
        <f>IFERROR(__xludf.DUMMYFUNCTION("""COMPUTED_VALUE"""),49.46)</f>
        <v>49.46</v>
      </c>
      <c r="E4472" s="2">
        <f>IFERROR(__xludf.DUMMYFUNCTION("""COMPUTED_VALUE"""),49.49)</f>
        <v>49.49</v>
      </c>
      <c r="F4472" s="2">
        <f>IFERROR(__xludf.DUMMYFUNCTION("""COMPUTED_VALUE"""),2259500.0)</f>
        <v>2259500</v>
      </c>
    </row>
    <row r="4473">
      <c r="A4473" s="3">
        <f>IFERROR(__xludf.DUMMYFUNCTION("""COMPUTED_VALUE"""),35681.666666666664)</f>
        <v>35681.66667</v>
      </c>
      <c r="B4473" s="2">
        <f>IFERROR(__xludf.DUMMYFUNCTION("""COMPUTED_VALUE"""),49.64)</f>
        <v>49.64</v>
      </c>
      <c r="C4473" s="2">
        <f>IFERROR(__xludf.DUMMYFUNCTION("""COMPUTED_VALUE"""),49.82)</f>
        <v>49.82</v>
      </c>
      <c r="D4473" s="2">
        <f>IFERROR(__xludf.DUMMYFUNCTION("""COMPUTED_VALUE"""),49.19)</f>
        <v>49.19</v>
      </c>
      <c r="E4473" s="2">
        <f>IFERROR(__xludf.DUMMYFUNCTION("""COMPUTED_VALUE"""),49.19)</f>
        <v>49.19</v>
      </c>
      <c r="F4473" s="2">
        <f>IFERROR(__xludf.DUMMYFUNCTION("""COMPUTED_VALUE"""),2037400.0)</f>
        <v>2037400</v>
      </c>
    </row>
    <row r="4474">
      <c r="A4474" s="3">
        <f>IFERROR(__xludf.DUMMYFUNCTION("""COMPUTED_VALUE"""),35682.666666666664)</f>
        <v>35682.66667</v>
      </c>
      <c r="B4474" s="2">
        <f>IFERROR(__xludf.DUMMYFUNCTION("""COMPUTED_VALUE"""),49.22)</f>
        <v>49.22</v>
      </c>
      <c r="C4474" s="2">
        <f>IFERROR(__xludf.DUMMYFUNCTION("""COMPUTED_VALUE"""),49.67)</f>
        <v>49.67</v>
      </c>
      <c r="D4474" s="2">
        <f>IFERROR(__xludf.DUMMYFUNCTION("""COMPUTED_VALUE"""),47.79)</f>
        <v>47.79</v>
      </c>
      <c r="E4474" s="2">
        <f>IFERROR(__xludf.DUMMYFUNCTION("""COMPUTED_VALUE"""),47.85)</f>
        <v>47.85</v>
      </c>
      <c r="F4474" s="2">
        <f>IFERROR(__xludf.DUMMYFUNCTION("""COMPUTED_VALUE"""),4888000.0)</f>
        <v>4888000</v>
      </c>
    </row>
    <row r="4475">
      <c r="A4475" s="3">
        <f>IFERROR(__xludf.DUMMYFUNCTION("""COMPUTED_VALUE"""),35683.666666666664)</f>
        <v>35683.66667</v>
      </c>
      <c r="B4475" s="2">
        <f>IFERROR(__xludf.DUMMYFUNCTION("""COMPUTED_VALUE"""),47.76)</f>
        <v>47.76</v>
      </c>
      <c r="C4475" s="2">
        <f>IFERROR(__xludf.DUMMYFUNCTION("""COMPUTED_VALUE"""),47.76)</f>
        <v>47.76</v>
      </c>
      <c r="D4475" s="2">
        <f>IFERROR(__xludf.DUMMYFUNCTION("""COMPUTED_VALUE"""),45.91)</f>
        <v>45.91</v>
      </c>
      <c r="E4475" s="2">
        <f>IFERROR(__xludf.DUMMYFUNCTION("""COMPUTED_VALUE"""),46.42)</f>
        <v>46.42</v>
      </c>
      <c r="F4475" s="2">
        <f>IFERROR(__xludf.DUMMYFUNCTION("""COMPUTED_VALUE"""),6833200.0)</f>
        <v>6833200</v>
      </c>
    </row>
    <row r="4476">
      <c r="A4476" s="3">
        <f>IFERROR(__xludf.DUMMYFUNCTION("""COMPUTED_VALUE"""),35684.666666666664)</f>
        <v>35684.66667</v>
      </c>
      <c r="B4476" s="2">
        <f>IFERROR(__xludf.DUMMYFUNCTION("""COMPUTED_VALUE"""),46.33)</f>
        <v>46.33</v>
      </c>
      <c r="C4476" s="2">
        <f>IFERROR(__xludf.DUMMYFUNCTION("""COMPUTED_VALUE"""),46.98)</f>
        <v>46.98</v>
      </c>
      <c r="D4476" s="2">
        <f>IFERROR(__xludf.DUMMYFUNCTION("""COMPUTED_VALUE"""),46.09)</f>
        <v>46.09</v>
      </c>
      <c r="E4476" s="2">
        <f>IFERROR(__xludf.DUMMYFUNCTION("""COMPUTED_VALUE"""),46.77)</f>
        <v>46.77</v>
      </c>
      <c r="F4476" s="2">
        <f>IFERROR(__xludf.DUMMYFUNCTION("""COMPUTED_VALUE"""),4885300.0)</f>
        <v>4885300</v>
      </c>
    </row>
    <row r="4477">
      <c r="A4477" s="3">
        <f>IFERROR(__xludf.DUMMYFUNCTION("""COMPUTED_VALUE"""),35685.666666666664)</f>
        <v>35685.66667</v>
      </c>
      <c r="B4477" s="2">
        <f>IFERROR(__xludf.DUMMYFUNCTION("""COMPUTED_VALUE"""),46.77)</f>
        <v>46.77</v>
      </c>
      <c r="C4477" s="2">
        <f>IFERROR(__xludf.DUMMYFUNCTION("""COMPUTED_VALUE"""),46.8)</f>
        <v>46.8</v>
      </c>
      <c r="D4477" s="2">
        <f>IFERROR(__xludf.DUMMYFUNCTION("""COMPUTED_VALUE"""),46.3)</f>
        <v>46.3</v>
      </c>
      <c r="E4477" s="2">
        <f>IFERROR(__xludf.DUMMYFUNCTION("""COMPUTED_VALUE"""),46.8)</f>
        <v>46.8</v>
      </c>
      <c r="F4477" s="2">
        <f>IFERROR(__xludf.DUMMYFUNCTION("""COMPUTED_VALUE"""),2851400.0)</f>
        <v>2851400</v>
      </c>
    </row>
    <row r="4478">
      <c r="A4478" s="3">
        <f>IFERROR(__xludf.DUMMYFUNCTION("""COMPUTED_VALUE"""),35688.666666666664)</f>
        <v>35688.66667</v>
      </c>
      <c r="B4478" s="2">
        <f>IFERROR(__xludf.DUMMYFUNCTION("""COMPUTED_VALUE"""),46.86)</f>
        <v>46.86</v>
      </c>
      <c r="C4478" s="2">
        <f>IFERROR(__xludf.DUMMYFUNCTION("""COMPUTED_VALUE"""),47.37)</f>
        <v>47.37</v>
      </c>
      <c r="D4478" s="2">
        <f>IFERROR(__xludf.DUMMYFUNCTION("""COMPUTED_VALUE"""),45.91)</f>
        <v>45.91</v>
      </c>
      <c r="E4478" s="2">
        <f>IFERROR(__xludf.DUMMYFUNCTION("""COMPUTED_VALUE"""),45.91)</f>
        <v>45.91</v>
      </c>
      <c r="F4478" s="2">
        <f>IFERROR(__xludf.DUMMYFUNCTION("""COMPUTED_VALUE"""),2214300.0)</f>
        <v>2214300</v>
      </c>
    </row>
    <row r="4479">
      <c r="A4479" s="3">
        <f>IFERROR(__xludf.DUMMYFUNCTION("""COMPUTED_VALUE"""),35689.666666666664)</f>
        <v>35689.66667</v>
      </c>
      <c r="B4479" s="2">
        <f>IFERROR(__xludf.DUMMYFUNCTION("""COMPUTED_VALUE"""),46.44)</f>
        <v>46.44</v>
      </c>
      <c r="C4479" s="2">
        <f>IFERROR(__xludf.DUMMYFUNCTION("""COMPUTED_VALUE"""),48.0)</f>
        <v>48</v>
      </c>
      <c r="D4479" s="2">
        <f>IFERROR(__xludf.DUMMYFUNCTION("""COMPUTED_VALUE"""),46.09)</f>
        <v>46.09</v>
      </c>
      <c r="E4479" s="2">
        <f>IFERROR(__xludf.DUMMYFUNCTION("""COMPUTED_VALUE"""),47.61)</f>
        <v>47.61</v>
      </c>
      <c r="F4479" s="2">
        <f>IFERROR(__xludf.DUMMYFUNCTION("""COMPUTED_VALUE"""),4076200.0)</f>
        <v>4076200</v>
      </c>
    </row>
    <row r="4480">
      <c r="A4480" s="3">
        <f>IFERROR(__xludf.DUMMYFUNCTION("""COMPUTED_VALUE"""),35690.666666666664)</f>
        <v>35690.66667</v>
      </c>
      <c r="B4480" s="2">
        <f>IFERROR(__xludf.DUMMYFUNCTION("""COMPUTED_VALUE"""),47.88)</f>
        <v>47.88</v>
      </c>
      <c r="C4480" s="2">
        <f>IFERROR(__xludf.DUMMYFUNCTION("""COMPUTED_VALUE"""),48.36)</f>
        <v>48.36</v>
      </c>
      <c r="D4480" s="2">
        <f>IFERROR(__xludf.DUMMYFUNCTION("""COMPUTED_VALUE"""),47.31)</f>
        <v>47.31</v>
      </c>
      <c r="E4480" s="2">
        <f>IFERROR(__xludf.DUMMYFUNCTION("""COMPUTED_VALUE"""),47.58)</f>
        <v>47.58</v>
      </c>
      <c r="F4480" s="2">
        <f>IFERROR(__xludf.DUMMYFUNCTION("""COMPUTED_VALUE"""),2958300.0)</f>
        <v>2958300</v>
      </c>
    </row>
    <row r="4481">
      <c r="A4481" s="3">
        <f>IFERROR(__xludf.DUMMYFUNCTION("""COMPUTED_VALUE"""),35691.666666666664)</f>
        <v>35691.66667</v>
      </c>
      <c r="B4481" s="2">
        <f>IFERROR(__xludf.DUMMYFUNCTION("""COMPUTED_VALUE"""),47.82)</f>
        <v>47.82</v>
      </c>
      <c r="C4481" s="2">
        <f>IFERROR(__xludf.DUMMYFUNCTION("""COMPUTED_VALUE"""),47.88)</f>
        <v>47.88</v>
      </c>
      <c r="D4481" s="2">
        <f>IFERROR(__xludf.DUMMYFUNCTION("""COMPUTED_VALUE"""),47.16)</f>
        <v>47.16</v>
      </c>
      <c r="E4481" s="2">
        <f>IFERROR(__xludf.DUMMYFUNCTION("""COMPUTED_VALUE"""),47.22)</f>
        <v>47.22</v>
      </c>
      <c r="F4481" s="2">
        <f>IFERROR(__xludf.DUMMYFUNCTION("""COMPUTED_VALUE"""),3293100.0)</f>
        <v>3293100</v>
      </c>
    </row>
    <row r="4482">
      <c r="A4482" s="3">
        <f>IFERROR(__xludf.DUMMYFUNCTION("""COMPUTED_VALUE"""),35692.666666666664)</f>
        <v>35692.66667</v>
      </c>
      <c r="B4482" s="2">
        <f>IFERROR(__xludf.DUMMYFUNCTION("""COMPUTED_VALUE"""),47.25)</f>
        <v>47.25</v>
      </c>
      <c r="C4482" s="2">
        <f>IFERROR(__xludf.DUMMYFUNCTION("""COMPUTED_VALUE"""),47.58)</f>
        <v>47.58</v>
      </c>
      <c r="D4482" s="2">
        <f>IFERROR(__xludf.DUMMYFUNCTION("""COMPUTED_VALUE"""),47.22)</f>
        <v>47.22</v>
      </c>
      <c r="E4482" s="2">
        <f>IFERROR(__xludf.DUMMYFUNCTION("""COMPUTED_VALUE"""),47.4)</f>
        <v>47.4</v>
      </c>
      <c r="F4482" s="2">
        <f>IFERROR(__xludf.DUMMYFUNCTION("""COMPUTED_VALUE"""),3018900.0)</f>
        <v>3018900</v>
      </c>
    </row>
    <row r="4483">
      <c r="A4483" s="3">
        <f>IFERROR(__xludf.DUMMYFUNCTION("""COMPUTED_VALUE"""),35695.666666666664)</f>
        <v>35695.66667</v>
      </c>
      <c r="B4483" s="2">
        <f>IFERROR(__xludf.DUMMYFUNCTION("""COMPUTED_VALUE"""),49.19)</f>
        <v>49.19</v>
      </c>
      <c r="C4483" s="2">
        <f>IFERROR(__xludf.DUMMYFUNCTION("""COMPUTED_VALUE"""),50.18)</f>
        <v>50.18</v>
      </c>
      <c r="D4483" s="2">
        <f>IFERROR(__xludf.DUMMYFUNCTION("""COMPUTED_VALUE"""),49.16)</f>
        <v>49.16</v>
      </c>
      <c r="E4483" s="2">
        <f>IFERROR(__xludf.DUMMYFUNCTION("""COMPUTED_VALUE"""),49.58)</f>
        <v>49.58</v>
      </c>
      <c r="F4483" s="2">
        <f>IFERROR(__xludf.DUMMYFUNCTION("""COMPUTED_VALUE"""),4799600.0)</f>
        <v>4799600</v>
      </c>
    </row>
    <row r="4484">
      <c r="A4484" s="3">
        <f>IFERROR(__xludf.DUMMYFUNCTION("""COMPUTED_VALUE"""),35696.666666666664)</f>
        <v>35696.66667</v>
      </c>
      <c r="B4484" s="2">
        <f>IFERROR(__xludf.DUMMYFUNCTION("""COMPUTED_VALUE"""),49.7)</f>
        <v>49.7</v>
      </c>
      <c r="C4484" s="2">
        <f>IFERROR(__xludf.DUMMYFUNCTION("""COMPUTED_VALUE"""),50.15)</f>
        <v>50.15</v>
      </c>
      <c r="D4484" s="2">
        <f>IFERROR(__xludf.DUMMYFUNCTION("""COMPUTED_VALUE"""),49.07)</f>
        <v>49.07</v>
      </c>
      <c r="E4484" s="2">
        <f>IFERROR(__xludf.DUMMYFUNCTION("""COMPUTED_VALUE"""),49.22)</f>
        <v>49.22</v>
      </c>
      <c r="F4484" s="2">
        <f>IFERROR(__xludf.DUMMYFUNCTION("""COMPUTED_VALUE"""),3301800.0)</f>
        <v>3301800</v>
      </c>
    </row>
    <row r="4485">
      <c r="A4485" s="3">
        <f>IFERROR(__xludf.DUMMYFUNCTION("""COMPUTED_VALUE"""),35697.666666666664)</f>
        <v>35697.66667</v>
      </c>
      <c r="B4485" s="2">
        <f>IFERROR(__xludf.DUMMYFUNCTION("""COMPUTED_VALUE"""),49.61)</f>
        <v>49.61</v>
      </c>
      <c r="C4485" s="2">
        <f>IFERROR(__xludf.DUMMYFUNCTION("""COMPUTED_VALUE"""),49.88)</f>
        <v>49.88</v>
      </c>
      <c r="D4485" s="2">
        <f>IFERROR(__xludf.DUMMYFUNCTION("""COMPUTED_VALUE"""),48.44)</f>
        <v>48.44</v>
      </c>
      <c r="E4485" s="2">
        <f>IFERROR(__xludf.DUMMYFUNCTION("""COMPUTED_VALUE"""),48.44)</f>
        <v>48.44</v>
      </c>
      <c r="F4485" s="2">
        <f>IFERROR(__xludf.DUMMYFUNCTION("""COMPUTED_VALUE"""),2502400.0)</f>
        <v>2502400</v>
      </c>
    </row>
    <row r="4486">
      <c r="A4486" s="3">
        <f>IFERROR(__xludf.DUMMYFUNCTION("""COMPUTED_VALUE"""),35698.666666666664)</f>
        <v>35698.66667</v>
      </c>
      <c r="B4486" s="2">
        <f>IFERROR(__xludf.DUMMYFUNCTION("""COMPUTED_VALUE"""),48.56)</f>
        <v>48.56</v>
      </c>
      <c r="C4486" s="2">
        <f>IFERROR(__xludf.DUMMYFUNCTION("""COMPUTED_VALUE"""),49.19)</f>
        <v>49.19</v>
      </c>
      <c r="D4486" s="2">
        <f>IFERROR(__xludf.DUMMYFUNCTION("""COMPUTED_VALUE"""),48.33)</f>
        <v>48.33</v>
      </c>
      <c r="E4486" s="2">
        <f>IFERROR(__xludf.DUMMYFUNCTION("""COMPUTED_VALUE"""),48.44)</f>
        <v>48.44</v>
      </c>
      <c r="F4486" s="2">
        <f>IFERROR(__xludf.DUMMYFUNCTION("""COMPUTED_VALUE"""),2031200.0)</f>
        <v>2031200</v>
      </c>
    </row>
    <row r="4487">
      <c r="A4487" s="3">
        <f>IFERROR(__xludf.DUMMYFUNCTION("""COMPUTED_VALUE"""),35699.666666666664)</f>
        <v>35699.66667</v>
      </c>
      <c r="B4487" s="2">
        <f>IFERROR(__xludf.DUMMYFUNCTION("""COMPUTED_VALUE"""),49.1)</f>
        <v>49.1</v>
      </c>
      <c r="C4487" s="2">
        <f>IFERROR(__xludf.DUMMYFUNCTION("""COMPUTED_VALUE"""),49.28)</f>
        <v>49.28</v>
      </c>
      <c r="D4487" s="2">
        <f>IFERROR(__xludf.DUMMYFUNCTION("""COMPUTED_VALUE"""),48.68)</f>
        <v>48.68</v>
      </c>
      <c r="E4487" s="2">
        <f>IFERROR(__xludf.DUMMYFUNCTION("""COMPUTED_VALUE"""),49.13)</f>
        <v>49.13</v>
      </c>
      <c r="F4487" s="2">
        <f>IFERROR(__xludf.DUMMYFUNCTION("""COMPUTED_VALUE"""),1810800.0)</f>
        <v>1810800</v>
      </c>
    </row>
    <row r="4488">
      <c r="A4488" s="3">
        <f>IFERROR(__xludf.DUMMYFUNCTION("""COMPUTED_VALUE"""),35702.666666666664)</f>
        <v>35702.66667</v>
      </c>
      <c r="B4488" s="2">
        <f>IFERROR(__xludf.DUMMYFUNCTION("""COMPUTED_VALUE"""),48.89)</f>
        <v>48.89</v>
      </c>
      <c r="C4488" s="2">
        <f>IFERROR(__xludf.DUMMYFUNCTION("""COMPUTED_VALUE"""),50.21)</f>
        <v>50.21</v>
      </c>
      <c r="D4488" s="2">
        <f>IFERROR(__xludf.DUMMYFUNCTION("""COMPUTED_VALUE"""),48.71)</f>
        <v>48.71</v>
      </c>
      <c r="E4488" s="2">
        <f>IFERROR(__xludf.DUMMYFUNCTION("""COMPUTED_VALUE"""),50.15)</f>
        <v>50.15</v>
      </c>
      <c r="F4488" s="2">
        <f>IFERROR(__xludf.DUMMYFUNCTION("""COMPUTED_VALUE"""),2404600.0)</f>
        <v>2404600</v>
      </c>
    </row>
    <row r="4489">
      <c r="A4489" s="3">
        <f>IFERROR(__xludf.DUMMYFUNCTION("""COMPUTED_VALUE"""),35703.666666666664)</f>
        <v>35703.66667</v>
      </c>
      <c r="B4489" s="2">
        <f>IFERROR(__xludf.DUMMYFUNCTION("""COMPUTED_VALUE"""),50.03)</f>
        <v>50.03</v>
      </c>
      <c r="C4489" s="2">
        <f>IFERROR(__xludf.DUMMYFUNCTION("""COMPUTED_VALUE"""),51.31)</f>
        <v>51.31</v>
      </c>
      <c r="D4489" s="2">
        <f>IFERROR(__xludf.DUMMYFUNCTION("""COMPUTED_VALUE"""),49.49)</f>
        <v>49.49</v>
      </c>
      <c r="E4489" s="2">
        <f>IFERROR(__xludf.DUMMYFUNCTION("""COMPUTED_VALUE"""),50.62)</f>
        <v>50.62</v>
      </c>
      <c r="F4489" s="2">
        <f>IFERROR(__xludf.DUMMYFUNCTION("""COMPUTED_VALUE"""),5122000.0)</f>
        <v>5122000</v>
      </c>
    </row>
    <row r="4490">
      <c r="A4490" s="3">
        <f>IFERROR(__xludf.DUMMYFUNCTION("""COMPUTED_VALUE"""),35704.666666666664)</f>
        <v>35704.66667</v>
      </c>
      <c r="B4490" s="2">
        <f>IFERROR(__xludf.DUMMYFUNCTION("""COMPUTED_VALUE"""),50.68)</f>
        <v>50.68</v>
      </c>
      <c r="C4490" s="2">
        <f>IFERROR(__xludf.DUMMYFUNCTION("""COMPUTED_VALUE"""),50.83)</f>
        <v>50.83</v>
      </c>
      <c r="D4490" s="2">
        <f>IFERROR(__xludf.DUMMYFUNCTION("""COMPUTED_VALUE"""),49.28)</f>
        <v>49.28</v>
      </c>
      <c r="E4490" s="2">
        <f>IFERROR(__xludf.DUMMYFUNCTION("""COMPUTED_VALUE"""),49.58)</f>
        <v>49.58</v>
      </c>
      <c r="F4490" s="2">
        <f>IFERROR(__xludf.DUMMYFUNCTION("""COMPUTED_VALUE"""),3243600.0)</f>
        <v>3243600</v>
      </c>
    </row>
    <row r="4491">
      <c r="A4491" s="3">
        <f>IFERROR(__xludf.DUMMYFUNCTION("""COMPUTED_VALUE"""),35705.666666666664)</f>
        <v>35705.66667</v>
      </c>
      <c r="B4491" s="2">
        <f>IFERROR(__xludf.DUMMYFUNCTION("""COMPUTED_VALUE"""),49.58)</f>
        <v>49.58</v>
      </c>
      <c r="C4491" s="2">
        <f>IFERROR(__xludf.DUMMYFUNCTION("""COMPUTED_VALUE"""),49.94)</f>
        <v>49.94</v>
      </c>
      <c r="D4491" s="2">
        <f>IFERROR(__xludf.DUMMYFUNCTION("""COMPUTED_VALUE"""),49.19)</f>
        <v>49.19</v>
      </c>
      <c r="E4491" s="2">
        <f>IFERROR(__xludf.DUMMYFUNCTION("""COMPUTED_VALUE"""),49.94)</f>
        <v>49.94</v>
      </c>
      <c r="F4491" s="2">
        <f>IFERROR(__xludf.DUMMYFUNCTION("""COMPUTED_VALUE"""),1869100.0)</f>
        <v>1869100</v>
      </c>
    </row>
    <row r="4492">
      <c r="A4492" s="3">
        <f>IFERROR(__xludf.DUMMYFUNCTION("""COMPUTED_VALUE"""),35706.666666666664)</f>
        <v>35706.66667</v>
      </c>
      <c r="B4492" s="2">
        <f>IFERROR(__xludf.DUMMYFUNCTION("""COMPUTED_VALUE"""),51.04)</f>
        <v>51.04</v>
      </c>
      <c r="C4492" s="2">
        <f>IFERROR(__xludf.DUMMYFUNCTION("""COMPUTED_VALUE"""),51.19)</f>
        <v>51.19</v>
      </c>
      <c r="D4492" s="2">
        <f>IFERROR(__xludf.DUMMYFUNCTION("""COMPUTED_VALUE"""),49.46)</f>
        <v>49.46</v>
      </c>
      <c r="E4492" s="2">
        <f>IFERROR(__xludf.DUMMYFUNCTION("""COMPUTED_VALUE"""),49.82)</f>
        <v>49.82</v>
      </c>
      <c r="F4492" s="2">
        <f>IFERROR(__xludf.DUMMYFUNCTION("""COMPUTED_VALUE"""),3500400.0)</f>
        <v>3500400</v>
      </c>
    </row>
    <row r="4493">
      <c r="A4493" s="3">
        <f>IFERROR(__xludf.DUMMYFUNCTION("""COMPUTED_VALUE"""),35709.666666666664)</f>
        <v>35709.66667</v>
      </c>
      <c r="B4493" s="2">
        <f>IFERROR(__xludf.DUMMYFUNCTION("""COMPUTED_VALUE"""),50.18)</f>
        <v>50.18</v>
      </c>
      <c r="C4493" s="2">
        <f>IFERROR(__xludf.DUMMYFUNCTION("""COMPUTED_VALUE"""),50.27)</f>
        <v>50.27</v>
      </c>
      <c r="D4493" s="2">
        <f>IFERROR(__xludf.DUMMYFUNCTION("""COMPUTED_VALUE"""),49.85)</f>
        <v>49.85</v>
      </c>
      <c r="E4493" s="2">
        <f>IFERROR(__xludf.DUMMYFUNCTION("""COMPUTED_VALUE"""),50.06)</f>
        <v>50.06</v>
      </c>
      <c r="F4493" s="2">
        <f>IFERROR(__xludf.DUMMYFUNCTION("""COMPUTED_VALUE"""),2059500.0)</f>
        <v>2059500</v>
      </c>
    </row>
    <row r="4494">
      <c r="A4494" s="3">
        <f>IFERROR(__xludf.DUMMYFUNCTION("""COMPUTED_VALUE"""),35710.666666666664)</f>
        <v>35710.66667</v>
      </c>
      <c r="B4494" s="2">
        <f>IFERROR(__xludf.DUMMYFUNCTION("""COMPUTED_VALUE"""),50.86)</f>
        <v>50.86</v>
      </c>
      <c r="C4494" s="2">
        <f>IFERROR(__xludf.DUMMYFUNCTION("""COMPUTED_VALUE"""),51.16)</f>
        <v>51.16</v>
      </c>
      <c r="D4494" s="2">
        <f>IFERROR(__xludf.DUMMYFUNCTION("""COMPUTED_VALUE"""),50.59)</f>
        <v>50.59</v>
      </c>
      <c r="E4494" s="2">
        <f>IFERROR(__xludf.DUMMYFUNCTION("""COMPUTED_VALUE"""),51.01)</f>
        <v>51.01</v>
      </c>
      <c r="F4494" s="2">
        <f>IFERROR(__xludf.DUMMYFUNCTION("""COMPUTED_VALUE"""),3242500.0)</f>
        <v>3242500</v>
      </c>
    </row>
    <row r="4495">
      <c r="A4495" s="3">
        <f>IFERROR(__xludf.DUMMYFUNCTION("""COMPUTED_VALUE"""),35711.666666666664)</f>
        <v>35711.66667</v>
      </c>
      <c r="B4495" s="2">
        <f>IFERROR(__xludf.DUMMYFUNCTION("""COMPUTED_VALUE"""),51.01)</f>
        <v>51.01</v>
      </c>
      <c r="C4495" s="2">
        <f>IFERROR(__xludf.DUMMYFUNCTION("""COMPUTED_VALUE"""),51.01)</f>
        <v>51.01</v>
      </c>
      <c r="D4495" s="2">
        <f>IFERROR(__xludf.DUMMYFUNCTION("""COMPUTED_VALUE"""),49.91)</f>
        <v>49.91</v>
      </c>
      <c r="E4495" s="2">
        <f>IFERROR(__xludf.DUMMYFUNCTION("""COMPUTED_VALUE"""),50.33)</f>
        <v>50.33</v>
      </c>
      <c r="F4495" s="2">
        <f>IFERROR(__xludf.DUMMYFUNCTION("""COMPUTED_VALUE"""),3349900.0)</f>
        <v>3349900</v>
      </c>
    </row>
    <row r="4496">
      <c r="A4496" s="3">
        <f>IFERROR(__xludf.DUMMYFUNCTION("""COMPUTED_VALUE"""),35712.666666666664)</f>
        <v>35712.66667</v>
      </c>
      <c r="B4496" s="2">
        <f>IFERROR(__xludf.DUMMYFUNCTION("""COMPUTED_VALUE"""),49.82)</f>
        <v>49.82</v>
      </c>
      <c r="C4496" s="2">
        <f>IFERROR(__xludf.DUMMYFUNCTION("""COMPUTED_VALUE"""),50.53)</f>
        <v>50.53</v>
      </c>
      <c r="D4496" s="2">
        <f>IFERROR(__xludf.DUMMYFUNCTION("""COMPUTED_VALUE"""),49.76)</f>
        <v>49.76</v>
      </c>
      <c r="E4496" s="2">
        <f>IFERROR(__xludf.DUMMYFUNCTION("""COMPUTED_VALUE"""),49.97)</f>
        <v>49.97</v>
      </c>
      <c r="F4496" s="2">
        <f>IFERROR(__xludf.DUMMYFUNCTION("""COMPUTED_VALUE"""),1907400.0)</f>
        <v>1907400</v>
      </c>
    </row>
    <row r="4497">
      <c r="A4497" s="3">
        <f>IFERROR(__xludf.DUMMYFUNCTION("""COMPUTED_VALUE"""),35713.666666666664)</f>
        <v>35713.66667</v>
      </c>
      <c r="B4497" s="2">
        <f>IFERROR(__xludf.DUMMYFUNCTION("""COMPUTED_VALUE"""),49.85)</f>
        <v>49.85</v>
      </c>
      <c r="C4497" s="2">
        <f>IFERROR(__xludf.DUMMYFUNCTION("""COMPUTED_VALUE"""),50.33)</f>
        <v>50.33</v>
      </c>
      <c r="D4497" s="2">
        <f>IFERROR(__xludf.DUMMYFUNCTION("""COMPUTED_VALUE"""),49.73)</f>
        <v>49.73</v>
      </c>
      <c r="E4497" s="2">
        <f>IFERROR(__xludf.DUMMYFUNCTION("""COMPUTED_VALUE"""),50.12)</f>
        <v>50.12</v>
      </c>
      <c r="F4497" s="2">
        <f>IFERROR(__xludf.DUMMYFUNCTION("""COMPUTED_VALUE"""),1378200.0)</f>
        <v>1378200</v>
      </c>
    </row>
    <row r="4498">
      <c r="A4498" s="3">
        <f>IFERROR(__xludf.DUMMYFUNCTION("""COMPUTED_VALUE"""),35716.666666666664)</f>
        <v>35716.66667</v>
      </c>
      <c r="B4498" s="2">
        <f>IFERROR(__xludf.DUMMYFUNCTION("""COMPUTED_VALUE"""),50.38)</f>
        <v>50.38</v>
      </c>
      <c r="C4498" s="2">
        <f>IFERROR(__xludf.DUMMYFUNCTION("""COMPUTED_VALUE"""),50.38)</f>
        <v>50.38</v>
      </c>
      <c r="D4498" s="2">
        <f>IFERROR(__xludf.DUMMYFUNCTION("""COMPUTED_VALUE"""),49.7)</f>
        <v>49.7</v>
      </c>
      <c r="E4498" s="2">
        <f>IFERROR(__xludf.DUMMYFUNCTION("""COMPUTED_VALUE"""),49.94)</f>
        <v>49.94</v>
      </c>
      <c r="F4498" s="2">
        <f>IFERROR(__xludf.DUMMYFUNCTION("""COMPUTED_VALUE"""),799500.0)</f>
        <v>799500</v>
      </c>
    </row>
    <row r="4499">
      <c r="A4499" s="3">
        <f>IFERROR(__xludf.DUMMYFUNCTION("""COMPUTED_VALUE"""),35717.666666666664)</f>
        <v>35717.66667</v>
      </c>
      <c r="B4499" s="2">
        <f>IFERROR(__xludf.DUMMYFUNCTION("""COMPUTED_VALUE"""),49.7)</f>
        <v>49.7</v>
      </c>
      <c r="C4499" s="2">
        <f>IFERROR(__xludf.DUMMYFUNCTION("""COMPUTED_VALUE"""),49.73)</f>
        <v>49.73</v>
      </c>
      <c r="D4499" s="2">
        <f>IFERROR(__xludf.DUMMYFUNCTION("""COMPUTED_VALUE"""),48.74)</f>
        <v>48.74</v>
      </c>
      <c r="E4499" s="2">
        <f>IFERROR(__xludf.DUMMYFUNCTION("""COMPUTED_VALUE"""),49.37)</f>
        <v>49.37</v>
      </c>
      <c r="F4499" s="2">
        <f>IFERROR(__xludf.DUMMYFUNCTION("""COMPUTED_VALUE"""),2105600.0)</f>
        <v>2105600</v>
      </c>
    </row>
    <row r="4500">
      <c r="A4500" s="3">
        <f>IFERROR(__xludf.DUMMYFUNCTION("""COMPUTED_VALUE"""),35718.666666666664)</f>
        <v>35718.66667</v>
      </c>
      <c r="B4500" s="2">
        <f>IFERROR(__xludf.DUMMYFUNCTION("""COMPUTED_VALUE"""),48.77)</f>
        <v>48.77</v>
      </c>
      <c r="C4500" s="2">
        <f>IFERROR(__xludf.DUMMYFUNCTION("""COMPUTED_VALUE"""),49.13)</f>
        <v>49.13</v>
      </c>
      <c r="D4500" s="2">
        <f>IFERROR(__xludf.DUMMYFUNCTION("""COMPUTED_VALUE"""),48.41)</f>
        <v>48.41</v>
      </c>
      <c r="E4500" s="2">
        <f>IFERROR(__xludf.DUMMYFUNCTION("""COMPUTED_VALUE"""),48.59)</f>
        <v>48.59</v>
      </c>
      <c r="F4500" s="2">
        <f>IFERROR(__xludf.DUMMYFUNCTION("""COMPUTED_VALUE"""),2218400.0)</f>
        <v>2218400</v>
      </c>
    </row>
    <row r="4501">
      <c r="A4501" s="3">
        <f>IFERROR(__xludf.DUMMYFUNCTION("""COMPUTED_VALUE"""),35719.666666666664)</f>
        <v>35719.66667</v>
      </c>
      <c r="B4501" s="2">
        <f>IFERROR(__xludf.DUMMYFUNCTION("""COMPUTED_VALUE"""),48.89)</f>
        <v>48.89</v>
      </c>
      <c r="C4501" s="2">
        <f>IFERROR(__xludf.DUMMYFUNCTION("""COMPUTED_VALUE"""),49.04)</f>
        <v>49.04</v>
      </c>
      <c r="D4501" s="2">
        <f>IFERROR(__xludf.DUMMYFUNCTION("""COMPUTED_VALUE"""),47.37)</f>
        <v>47.37</v>
      </c>
      <c r="E4501" s="2">
        <f>IFERROR(__xludf.DUMMYFUNCTION("""COMPUTED_VALUE"""),47.61)</f>
        <v>47.61</v>
      </c>
      <c r="F4501" s="2">
        <f>IFERROR(__xludf.DUMMYFUNCTION("""COMPUTED_VALUE"""),2818600.0)</f>
        <v>2818600</v>
      </c>
    </row>
    <row r="4502">
      <c r="A4502" s="3">
        <f>IFERROR(__xludf.DUMMYFUNCTION("""COMPUTED_VALUE"""),35720.666666666664)</f>
        <v>35720.66667</v>
      </c>
      <c r="B4502" s="2">
        <f>IFERROR(__xludf.DUMMYFUNCTION("""COMPUTED_VALUE"""),46.86)</f>
        <v>46.86</v>
      </c>
      <c r="C4502" s="2">
        <f>IFERROR(__xludf.DUMMYFUNCTION("""COMPUTED_VALUE"""),47.22)</f>
        <v>47.22</v>
      </c>
      <c r="D4502" s="2">
        <f>IFERROR(__xludf.DUMMYFUNCTION("""COMPUTED_VALUE"""),45.49)</f>
        <v>45.49</v>
      </c>
      <c r="E4502" s="2">
        <f>IFERROR(__xludf.DUMMYFUNCTION("""COMPUTED_VALUE"""),45.58)</f>
        <v>45.58</v>
      </c>
      <c r="F4502" s="2">
        <f>IFERROR(__xludf.DUMMYFUNCTION("""COMPUTED_VALUE"""),6075800.0)</f>
        <v>6075800</v>
      </c>
    </row>
    <row r="4503">
      <c r="A4503" s="3">
        <f>IFERROR(__xludf.DUMMYFUNCTION("""COMPUTED_VALUE"""),35723.666666666664)</f>
        <v>35723.66667</v>
      </c>
      <c r="B4503" s="2">
        <f>IFERROR(__xludf.DUMMYFUNCTION("""COMPUTED_VALUE"""),45.76)</f>
        <v>45.76</v>
      </c>
      <c r="C4503" s="2">
        <f>IFERROR(__xludf.DUMMYFUNCTION("""COMPUTED_VALUE"""),46.68)</f>
        <v>46.68</v>
      </c>
      <c r="D4503" s="2">
        <f>IFERROR(__xludf.DUMMYFUNCTION("""COMPUTED_VALUE"""),45.13)</f>
        <v>45.13</v>
      </c>
      <c r="E4503" s="2">
        <f>IFERROR(__xludf.DUMMYFUNCTION("""COMPUTED_VALUE"""),46.56)</f>
        <v>46.56</v>
      </c>
      <c r="F4503" s="2">
        <f>IFERROR(__xludf.DUMMYFUNCTION("""COMPUTED_VALUE"""),4597900.0)</f>
        <v>4597900</v>
      </c>
    </row>
    <row r="4504">
      <c r="A4504" s="3">
        <f>IFERROR(__xludf.DUMMYFUNCTION("""COMPUTED_VALUE"""),35724.666666666664)</f>
        <v>35724.66667</v>
      </c>
      <c r="B4504" s="2">
        <f>IFERROR(__xludf.DUMMYFUNCTION("""COMPUTED_VALUE"""),48.53)</f>
        <v>48.53</v>
      </c>
      <c r="C4504" s="2">
        <f>IFERROR(__xludf.DUMMYFUNCTION("""COMPUTED_VALUE"""),50.27)</f>
        <v>50.27</v>
      </c>
      <c r="D4504" s="2">
        <f>IFERROR(__xludf.DUMMYFUNCTION("""COMPUTED_VALUE"""),48.24)</f>
        <v>48.24</v>
      </c>
      <c r="E4504" s="2">
        <f>IFERROR(__xludf.DUMMYFUNCTION("""COMPUTED_VALUE"""),50.27)</f>
        <v>50.27</v>
      </c>
      <c r="F4504" s="2">
        <f>IFERROR(__xludf.DUMMYFUNCTION("""COMPUTED_VALUE"""),7050500.0)</f>
        <v>7050500</v>
      </c>
    </row>
    <row r="4505">
      <c r="A4505" s="3">
        <f>IFERROR(__xludf.DUMMYFUNCTION("""COMPUTED_VALUE"""),35725.666666666664)</f>
        <v>35725.66667</v>
      </c>
      <c r="B4505" s="2">
        <f>IFERROR(__xludf.DUMMYFUNCTION("""COMPUTED_VALUE"""),50.27)</f>
        <v>50.27</v>
      </c>
      <c r="C4505" s="2">
        <f>IFERROR(__xludf.DUMMYFUNCTION("""COMPUTED_VALUE"""),50.56)</f>
        <v>50.56</v>
      </c>
      <c r="D4505" s="2">
        <f>IFERROR(__xludf.DUMMYFUNCTION("""COMPUTED_VALUE"""),49.79)</f>
        <v>49.79</v>
      </c>
      <c r="E4505" s="2">
        <f>IFERROR(__xludf.DUMMYFUNCTION("""COMPUTED_VALUE"""),50.24)</f>
        <v>50.24</v>
      </c>
      <c r="F4505" s="2">
        <f>IFERROR(__xludf.DUMMYFUNCTION("""COMPUTED_VALUE"""),3241000.0)</f>
        <v>3241000</v>
      </c>
    </row>
    <row r="4506">
      <c r="A4506" s="3">
        <f>IFERROR(__xludf.DUMMYFUNCTION("""COMPUTED_VALUE"""),35726.666666666664)</f>
        <v>35726.66667</v>
      </c>
      <c r="B4506" s="2">
        <f>IFERROR(__xludf.DUMMYFUNCTION("""COMPUTED_VALUE"""),48.71)</f>
        <v>48.71</v>
      </c>
      <c r="C4506" s="2">
        <f>IFERROR(__xludf.DUMMYFUNCTION("""COMPUTED_VALUE"""),49.55)</f>
        <v>49.55</v>
      </c>
      <c r="D4506" s="2">
        <f>IFERROR(__xludf.DUMMYFUNCTION("""COMPUTED_VALUE"""),47.79)</f>
        <v>47.79</v>
      </c>
      <c r="E4506" s="2">
        <f>IFERROR(__xludf.DUMMYFUNCTION("""COMPUTED_VALUE"""),47.79)</f>
        <v>47.79</v>
      </c>
      <c r="F4506" s="2">
        <f>IFERROR(__xludf.DUMMYFUNCTION("""COMPUTED_VALUE"""),5964300.0)</f>
        <v>5964300</v>
      </c>
    </row>
    <row r="4507">
      <c r="A4507" s="3">
        <f>IFERROR(__xludf.DUMMYFUNCTION("""COMPUTED_VALUE"""),35727.666666666664)</f>
        <v>35727.66667</v>
      </c>
      <c r="B4507" s="2">
        <f>IFERROR(__xludf.DUMMYFUNCTION("""COMPUTED_VALUE"""),48.83)</f>
        <v>48.83</v>
      </c>
      <c r="C4507" s="2">
        <f>IFERROR(__xludf.DUMMYFUNCTION("""COMPUTED_VALUE"""),49.07)</f>
        <v>49.07</v>
      </c>
      <c r="D4507" s="2">
        <f>IFERROR(__xludf.DUMMYFUNCTION("""COMPUTED_VALUE"""),46.3)</f>
        <v>46.3</v>
      </c>
      <c r="E4507" s="2">
        <f>IFERROR(__xludf.DUMMYFUNCTION("""COMPUTED_VALUE"""),46.74)</f>
        <v>46.74</v>
      </c>
      <c r="F4507" s="2">
        <f>IFERROR(__xludf.DUMMYFUNCTION("""COMPUTED_VALUE"""),6896500.0)</f>
        <v>6896500</v>
      </c>
    </row>
    <row r="4508">
      <c r="A4508" s="3">
        <f>IFERROR(__xludf.DUMMYFUNCTION("""COMPUTED_VALUE"""),35730.666666666664)</f>
        <v>35730.66667</v>
      </c>
      <c r="B4508" s="2">
        <f>IFERROR(__xludf.DUMMYFUNCTION("""COMPUTED_VALUE"""),46.44)</f>
        <v>46.44</v>
      </c>
      <c r="C4508" s="2">
        <f>IFERROR(__xludf.DUMMYFUNCTION("""COMPUTED_VALUE"""),47.04)</f>
        <v>47.04</v>
      </c>
      <c r="D4508" s="2">
        <f>IFERROR(__xludf.DUMMYFUNCTION("""COMPUTED_VALUE"""),42.98)</f>
        <v>42.98</v>
      </c>
      <c r="E4508" s="2">
        <f>IFERROR(__xludf.DUMMYFUNCTION("""COMPUTED_VALUE"""),43.01)</f>
        <v>43.01</v>
      </c>
      <c r="F4508" s="2">
        <f>IFERROR(__xludf.DUMMYFUNCTION("""COMPUTED_VALUE"""),3796700.0)</f>
        <v>3796700</v>
      </c>
    </row>
    <row r="4509">
      <c r="A4509" s="3">
        <f>IFERROR(__xludf.DUMMYFUNCTION("""COMPUTED_VALUE"""),35731.666666666664)</f>
        <v>35731.66667</v>
      </c>
      <c r="B4509" s="2">
        <f>IFERROR(__xludf.DUMMYFUNCTION("""COMPUTED_VALUE"""),42.5)</f>
        <v>42.5</v>
      </c>
      <c r="C4509" s="2">
        <f>IFERROR(__xludf.DUMMYFUNCTION("""COMPUTED_VALUE"""),47.73)</f>
        <v>47.73</v>
      </c>
      <c r="D4509" s="2">
        <f>IFERROR(__xludf.DUMMYFUNCTION("""COMPUTED_VALUE"""),42.39)</f>
        <v>42.39</v>
      </c>
      <c r="E4509" s="2">
        <f>IFERROR(__xludf.DUMMYFUNCTION("""COMPUTED_VALUE"""),47.46)</f>
        <v>47.46</v>
      </c>
      <c r="F4509" s="2">
        <f>IFERROR(__xludf.DUMMYFUNCTION("""COMPUTED_VALUE"""),7395400.0)</f>
        <v>7395400</v>
      </c>
    </row>
    <row r="4510">
      <c r="A4510" s="3">
        <f>IFERROR(__xludf.DUMMYFUNCTION("""COMPUTED_VALUE"""),35732.666666666664)</f>
        <v>35732.66667</v>
      </c>
      <c r="B4510" s="2">
        <f>IFERROR(__xludf.DUMMYFUNCTION("""COMPUTED_VALUE"""),47.76)</f>
        <v>47.76</v>
      </c>
      <c r="C4510" s="2">
        <f>IFERROR(__xludf.DUMMYFUNCTION("""COMPUTED_VALUE"""),48.83)</f>
        <v>48.83</v>
      </c>
      <c r="D4510" s="2">
        <f>IFERROR(__xludf.DUMMYFUNCTION("""COMPUTED_VALUE"""),46.77)</f>
        <v>46.77</v>
      </c>
      <c r="E4510" s="2">
        <f>IFERROR(__xludf.DUMMYFUNCTION("""COMPUTED_VALUE"""),46.92)</f>
        <v>46.92</v>
      </c>
      <c r="F4510" s="2">
        <f>IFERROR(__xludf.DUMMYFUNCTION("""COMPUTED_VALUE"""),6333400.0)</f>
        <v>6333400</v>
      </c>
    </row>
    <row r="4511">
      <c r="A4511" s="3">
        <f>IFERROR(__xludf.DUMMYFUNCTION("""COMPUTED_VALUE"""),35733.666666666664)</f>
        <v>35733.66667</v>
      </c>
      <c r="B4511" s="2">
        <f>IFERROR(__xludf.DUMMYFUNCTION("""COMPUTED_VALUE"""),46.42)</f>
        <v>46.42</v>
      </c>
      <c r="C4511" s="2">
        <f>IFERROR(__xludf.DUMMYFUNCTION("""COMPUTED_VALUE"""),47.46)</f>
        <v>47.46</v>
      </c>
      <c r="D4511" s="2">
        <f>IFERROR(__xludf.DUMMYFUNCTION("""COMPUTED_VALUE"""),45.64)</f>
        <v>45.64</v>
      </c>
      <c r="E4511" s="2">
        <f>IFERROR(__xludf.DUMMYFUNCTION("""COMPUTED_VALUE"""),45.76)</f>
        <v>45.76</v>
      </c>
      <c r="F4511" s="2">
        <f>IFERROR(__xludf.DUMMYFUNCTION("""COMPUTED_VALUE"""),5271700.0)</f>
        <v>5271700</v>
      </c>
    </row>
    <row r="4512">
      <c r="A4512" s="3">
        <f>IFERROR(__xludf.DUMMYFUNCTION("""COMPUTED_VALUE"""),35734.666666666664)</f>
        <v>35734.66667</v>
      </c>
      <c r="B4512" s="2">
        <f>IFERROR(__xludf.DUMMYFUNCTION("""COMPUTED_VALUE"""),46.98)</f>
        <v>46.98</v>
      </c>
      <c r="C4512" s="2">
        <f>IFERROR(__xludf.DUMMYFUNCTION("""COMPUTED_VALUE"""),47.37)</f>
        <v>47.37</v>
      </c>
      <c r="D4512" s="2">
        <f>IFERROR(__xludf.DUMMYFUNCTION("""COMPUTED_VALUE"""),46.12)</f>
        <v>46.12</v>
      </c>
      <c r="E4512" s="2">
        <f>IFERROR(__xludf.DUMMYFUNCTION("""COMPUTED_VALUE"""),46.83)</f>
        <v>46.83</v>
      </c>
      <c r="F4512" s="2">
        <f>IFERROR(__xludf.DUMMYFUNCTION("""COMPUTED_VALUE"""),2657800.0)</f>
        <v>2657800</v>
      </c>
    </row>
    <row r="4513">
      <c r="A4513" s="3">
        <f>IFERROR(__xludf.DUMMYFUNCTION("""COMPUTED_VALUE"""),35737.666666666664)</f>
        <v>35737.66667</v>
      </c>
      <c r="B4513" s="2">
        <f>IFERROR(__xludf.DUMMYFUNCTION("""COMPUTED_VALUE"""),47.34)</f>
        <v>47.34</v>
      </c>
      <c r="C4513" s="2">
        <f>IFERROR(__xludf.DUMMYFUNCTION("""COMPUTED_VALUE"""),48.8)</f>
        <v>48.8</v>
      </c>
      <c r="D4513" s="2">
        <f>IFERROR(__xludf.DUMMYFUNCTION("""COMPUTED_VALUE"""),47.34)</f>
        <v>47.34</v>
      </c>
      <c r="E4513" s="2">
        <f>IFERROR(__xludf.DUMMYFUNCTION("""COMPUTED_VALUE"""),48.53)</f>
        <v>48.53</v>
      </c>
      <c r="F4513" s="2">
        <f>IFERROR(__xludf.DUMMYFUNCTION("""COMPUTED_VALUE"""),3486600.0)</f>
        <v>3486600</v>
      </c>
    </row>
    <row r="4514">
      <c r="A4514" s="3">
        <f>IFERROR(__xludf.DUMMYFUNCTION("""COMPUTED_VALUE"""),35738.666666666664)</f>
        <v>35738.66667</v>
      </c>
      <c r="B4514" s="2">
        <f>IFERROR(__xludf.DUMMYFUNCTION("""COMPUTED_VALUE"""),48.56)</f>
        <v>48.56</v>
      </c>
      <c r="C4514" s="2">
        <f>IFERROR(__xludf.DUMMYFUNCTION("""COMPUTED_VALUE"""),49.07)</f>
        <v>49.07</v>
      </c>
      <c r="D4514" s="2">
        <f>IFERROR(__xludf.DUMMYFUNCTION("""COMPUTED_VALUE"""),48.21)</f>
        <v>48.21</v>
      </c>
      <c r="E4514" s="2">
        <f>IFERROR(__xludf.DUMMYFUNCTION("""COMPUTED_VALUE"""),48.71)</f>
        <v>48.71</v>
      </c>
      <c r="F4514" s="2">
        <f>IFERROR(__xludf.DUMMYFUNCTION("""COMPUTED_VALUE"""),2909600.0)</f>
        <v>2909600</v>
      </c>
    </row>
    <row r="4515">
      <c r="A4515" s="3">
        <f>IFERROR(__xludf.DUMMYFUNCTION("""COMPUTED_VALUE"""),35739.666666666664)</f>
        <v>35739.66667</v>
      </c>
      <c r="B4515" s="2">
        <f>IFERROR(__xludf.DUMMYFUNCTION("""COMPUTED_VALUE"""),48.95)</f>
        <v>48.95</v>
      </c>
      <c r="C4515" s="2">
        <f>IFERROR(__xludf.DUMMYFUNCTION("""COMPUTED_VALUE"""),49.64)</f>
        <v>49.64</v>
      </c>
      <c r="D4515" s="2">
        <f>IFERROR(__xludf.DUMMYFUNCTION("""COMPUTED_VALUE"""),48.5)</f>
        <v>48.5</v>
      </c>
      <c r="E4515" s="2">
        <f>IFERROR(__xludf.DUMMYFUNCTION("""COMPUTED_VALUE"""),49.04)</f>
        <v>49.04</v>
      </c>
      <c r="F4515" s="2">
        <f>IFERROR(__xludf.DUMMYFUNCTION("""COMPUTED_VALUE"""),2577800.0)</f>
        <v>2577800</v>
      </c>
    </row>
    <row r="4516">
      <c r="A4516" s="3">
        <f>IFERROR(__xludf.DUMMYFUNCTION("""COMPUTED_VALUE"""),35740.666666666664)</f>
        <v>35740.66667</v>
      </c>
      <c r="B4516" s="2">
        <f>IFERROR(__xludf.DUMMYFUNCTION("""COMPUTED_VALUE"""),49.01)</f>
        <v>49.01</v>
      </c>
      <c r="C4516" s="2">
        <f>IFERROR(__xludf.DUMMYFUNCTION("""COMPUTED_VALUE"""),49.28)</f>
        <v>49.28</v>
      </c>
      <c r="D4516" s="2">
        <f>IFERROR(__xludf.DUMMYFUNCTION("""COMPUTED_VALUE"""),48.3)</f>
        <v>48.3</v>
      </c>
      <c r="E4516" s="2">
        <f>IFERROR(__xludf.DUMMYFUNCTION("""COMPUTED_VALUE"""),48.36)</f>
        <v>48.36</v>
      </c>
      <c r="F4516" s="2">
        <f>IFERROR(__xludf.DUMMYFUNCTION("""COMPUTED_VALUE"""),2437400.0)</f>
        <v>2437400</v>
      </c>
    </row>
    <row r="4517">
      <c r="A4517" s="3">
        <f>IFERROR(__xludf.DUMMYFUNCTION("""COMPUTED_VALUE"""),35741.666666666664)</f>
        <v>35741.66667</v>
      </c>
      <c r="B4517" s="2">
        <f>IFERROR(__xludf.DUMMYFUNCTION("""COMPUTED_VALUE"""),47.28)</f>
        <v>47.28</v>
      </c>
      <c r="C4517" s="2">
        <f>IFERROR(__xludf.DUMMYFUNCTION("""COMPUTED_VALUE"""),47.97)</f>
        <v>47.97</v>
      </c>
      <c r="D4517" s="2">
        <f>IFERROR(__xludf.DUMMYFUNCTION("""COMPUTED_VALUE"""),46.92)</f>
        <v>46.92</v>
      </c>
      <c r="E4517" s="2">
        <f>IFERROR(__xludf.DUMMYFUNCTION("""COMPUTED_VALUE"""),47.49)</f>
        <v>47.49</v>
      </c>
      <c r="F4517" s="2">
        <f>IFERROR(__xludf.DUMMYFUNCTION("""COMPUTED_VALUE"""),3184700.0)</f>
        <v>3184700</v>
      </c>
    </row>
    <row r="4518">
      <c r="A4518" s="3">
        <f>IFERROR(__xludf.DUMMYFUNCTION("""COMPUTED_VALUE"""),35744.666666666664)</f>
        <v>35744.66667</v>
      </c>
      <c r="B4518" s="2">
        <f>IFERROR(__xludf.DUMMYFUNCTION("""COMPUTED_VALUE"""),48.12)</f>
        <v>48.12</v>
      </c>
      <c r="C4518" s="2">
        <f>IFERROR(__xludf.DUMMYFUNCTION("""COMPUTED_VALUE"""),48.12)</f>
        <v>48.12</v>
      </c>
      <c r="D4518" s="2">
        <f>IFERROR(__xludf.DUMMYFUNCTION("""COMPUTED_VALUE"""),46.62)</f>
        <v>46.62</v>
      </c>
      <c r="E4518" s="2">
        <f>IFERROR(__xludf.DUMMYFUNCTION("""COMPUTED_VALUE"""),46.65)</f>
        <v>46.65</v>
      </c>
      <c r="F4518" s="2">
        <f>IFERROR(__xludf.DUMMYFUNCTION("""COMPUTED_VALUE"""),3153600.0)</f>
        <v>3153600</v>
      </c>
    </row>
    <row r="4519">
      <c r="A4519" s="3">
        <f>IFERROR(__xludf.DUMMYFUNCTION("""COMPUTED_VALUE"""),35745.666666666664)</f>
        <v>35745.66667</v>
      </c>
      <c r="B4519" s="2">
        <f>IFERROR(__xludf.DUMMYFUNCTION("""COMPUTED_VALUE"""),46.86)</f>
        <v>46.86</v>
      </c>
      <c r="C4519" s="2">
        <f>IFERROR(__xludf.DUMMYFUNCTION("""COMPUTED_VALUE"""),47.76)</f>
        <v>47.76</v>
      </c>
      <c r="D4519" s="2">
        <f>IFERROR(__xludf.DUMMYFUNCTION("""COMPUTED_VALUE"""),46.77)</f>
        <v>46.77</v>
      </c>
      <c r="E4519" s="2">
        <f>IFERROR(__xludf.DUMMYFUNCTION("""COMPUTED_VALUE"""),47.25)</f>
        <v>47.25</v>
      </c>
      <c r="F4519" s="2">
        <f>IFERROR(__xludf.DUMMYFUNCTION("""COMPUTED_VALUE"""),2497100.0)</f>
        <v>2497100</v>
      </c>
    </row>
    <row r="4520">
      <c r="A4520" s="3">
        <f>IFERROR(__xludf.DUMMYFUNCTION("""COMPUTED_VALUE"""),35746.666666666664)</f>
        <v>35746.66667</v>
      </c>
      <c r="B4520" s="2">
        <f>IFERROR(__xludf.DUMMYFUNCTION("""COMPUTED_VALUE"""),46.98)</f>
        <v>46.98</v>
      </c>
      <c r="C4520" s="2">
        <f>IFERROR(__xludf.DUMMYFUNCTION("""COMPUTED_VALUE"""),47.52)</f>
        <v>47.52</v>
      </c>
      <c r="D4520" s="2">
        <f>IFERROR(__xludf.DUMMYFUNCTION("""COMPUTED_VALUE"""),46.15)</f>
        <v>46.15</v>
      </c>
      <c r="E4520" s="2">
        <f>IFERROR(__xludf.DUMMYFUNCTION("""COMPUTED_VALUE"""),46.18)</f>
        <v>46.18</v>
      </c>
      <c r="F4520" s="2">
        <f>IFERROR(__xludf.DUMMYFUNCTION("""COMPUTED_VALUE"""),3706000.0)</f>
        <v>3706000</v>
      </c>
    </row>
    <row r="4521">
      <c r="A4521" s="3">
        <f>IFERROR(__xludf.DUMMYFUNCTION("""COMPUTED_VALUE"""),35747.666666666664)</f>
        <v>35747.66667</v>
      </c>
      <c r="B4521" s="2">
        <f>IFERROR(__xludf.DUMMYFUNCTION("""COMPUTED_VALUE"""),46.56)</f>
        <v>46.56</v>
      </c>
      <c r="C4521" s="2">
        <f>IFERROR(__xludf.DUMMYFUNCTION("""COMPUTED_VALUE"""),47.46)</f>
        <v>47.46</v>
      </c>
      <c r="D4521" s="2">
        <f>IFERROR(__xludf.DUMMYFUNCTION("""COMPUTED_VALUE"""),45.49)</f>
        <v>45.49</v>
      </c>
      <c r="E4521" s="2">
        <f>IFERROR(__xludf.DUMMYFUNCTION("""COMPUTED_VALUE"""),47.25)</f>
        <v>47.25</v>
      </c>
      <c r="F4521" s="2">
        <f>IFERROR(__xludf.DUMMYFUNCTION("""COMPUTED_VALUE"""),4328400.0)</f>
        <v>4328400</v>
      </c>
    </row>
    <row r="4522">
      <c r="A4522" s="3">
        <f>IFERROR(__xludf.DUMMYFUNCTION("""COMPUTED_VALUE"""),35748.666666666664)</f>
        <v>35748.66667</v>
      </c>
      <c r="B4522" s="2">
        <f>IFERROR(__xludf.DUMMYFUNCTION("""COMPUTED_VALUE"""),47.73)</f>
        <v>47.73</v>
      </c>
      <c r="C4522" s="2">
        <f>IFERROR(__xludf.DUMMYFUNCTION("""COMPUTED_VALUE"""),48.74)</f>
        <v>48.74</v>
      </c>
      <c r="D4522" s="2">
        <f>IFERROR(__xludf.DUMMYFUNCTION("""COMPUTED_VALUE"""),47.34)</f>
        <v>47.34</v>
      </c>
      <c r="E4522" s="2">
        <f>IFERROR(__xludf.DUMMYFUNCTION("""COMPUTED_VALUE"""),48.56)</f>
        <v>48.56</v>
      </c>
      <c r="F4522" s="2">
        <f>IFERROR(__xludf.DUMMYFUNCTION("""COMPUTED_VALUE"""),4154100.0)</f>
        <v>4154100</v>
      </c>
    </row>
    <row r="4523">
      <c r="A4523" s="3">
        <f>IFERROR(__xludf.DUMMYFUNCTION("""COMPUTED_VALUE"""),35751.666666666664)</f>
        <v>35751.66667</v>
      </c>
      <c r="B4523" s="2">
        <f>IFERROR(__xludf.DUMMYFUNCTION("""COMPUTED_VALUE"""),49.19)</f>
        <v>49.19</v>
      </c>
      <c r="C4523" s="2">
        <f>IFERROR(__xludf.DUMMYFUNCTION("""COMPUTED_VALUE"""),50.09)</f>
        <v>50.09</v>
      </c>
      <c r="D4523" s="2">
        <f>IFERROR(__xludf.DUMMYFUNCTION("""COMPUTED_VALUE"""),49.13)</f>
        <v>49.13</v>
      </c>
      <c r="E4523" s="2">
        <f>IFERROR(__xludf.DUMMYFUNCTION("""COMPUTED_VALUE"""),49.52)</f>
        <v>49.52</v>
      </c>
      <c r="F4523" s="2">
        <f>IFERROR(__xludf.DUMMYFUNCTION("""COMPUTED_VALUE"""),3703800.0)</f>
        <v>3703800</v>
      </c>
    </row>
    <row r="4524">
      <c r="A4524" s="3">
        <f>IFERROR(__xludf.DUMMYFUNCTION("""COMPUTED_VALUE"""),35752.666666666664)</f>
        <v>35752.66667</v>
      </c>
      <c r="B4524" s="2">
        <f>IFERROR(__xludf.DUMMYFUNCTION("""COMPUTED_VALUE"""),49.52)</f>
        <v>49.52</v>
      </c>
      <c r="C4524" s="2">
        <f>IFERROR(__xludf.DUMMYFUNCTION("""COMPUTED_VALUE"""),49.85)</f>
        <v>49.85</v>
      </c>
      <c r="D4524" s="2">
        <f>IFERROR(__xludf.DUMMYFUNCTION("""COMPUTED_VALUE"""),48.74)</f>
        <v>48.74</v>
      </c>
      <c r="E4524" s="2">
        <f>IFERROR(__xludf.DUMMYFUNCTION("""COMPUTED_VALUE"""),48.74)</f>
        <v>48.74</v>
      </c>
      <c r="F4524" s="2">
        <f>IFERROR(__xludf.DUMMYFUNCTION("""COMPUTED_VALUE"""),2868700.0)</f>
        <v>2868700</v>
      </c>
    </row>
    <row r="4525">
      <c r="A4525" s="3">
        <f>IFERROR(__xludf.DUMMYFUNCTION("""COMPUTED_VALUE"""),35753.666666666664)</f>
        <v>35753.66667</v>
      </c>
      <c r="B4525" s="2">
        <f>IFERROR(__xludf.DUMMYFUNCTION("""COMPUTED_VALUE"""),48.71)</f>
        <v>48.71</v>
      </c>
      <c r="C4525" s="2">
        <f>IFERROR(__xludf.DUMMYFUNCTION("""COMPUTED_VALUE"""),49.64)</f>
        <v>49.64</v>
      </c>
      <c r="D4525" s="2">
        <f>IFERROR(__xludf.DUMMYFUNCTION("""COMPUTED_VALUE"""),48.59)</f>
        <v>48.59</v>
      </c>
      <c r="E4525" s="2">
        <f>IFERROR(__xludf.DUMMYFUNCTION("""COMPUTED_VALUE"""),49.22)</f>
        <v>49.22</v>
      </c>
      <c r="F4525" s="2">
        <f>IFERROR(__xludf.DUMMYFUNCTION("""COMPUTED_VALUE"""),2422600.0)</f>
        <v>2422600</v>
      </c>
    </row>
    <row r="4526">
      <c r="A4526" s="3">
        <f>IFERROR(__xludf.DUMMYFUNCTION("""COMPUTED_VALUE"""),35754.666666666664)</f>
        <v>35754.66667</v>
      </c>
      <c r="B4526" s="2">
        <f>IFERROR(__xludf.DUMMYFUNCTION("""COMPUTED_VALUE"""),49.7)</f>
        <v>49.7</v>
      </c>
      <c r="C4526" s="2">
        <f>IFERROR(__xludf.DUMMYFUNCTION("""COMPUTED_VALUE"""),50.15)</f>
        <v>50.15</v>
      </c>
      <c r="D4526" s="2">
        <f>IFERROR(__xludf.DUMMYFUNCTION("""COMPUTED_VALUE"""),49.31)</f>
        <v>49.31</v>
      </c>
      <c r="E4526" s="2">
        <f>IFERROR(__xludf.DUMMYFUNCTION("""COMPUTED_VALUE"""),50.03)</f>
        <v>50.03</v>
      </c>
      <c r="F4526" s="2">
        <f>IFERROR(__xludf.DUMMYFUNCTION("""COMPUTED_VALUE"""),2795900.0)</f>
        <v>2795900</v>
      </c>
    </row>
    <row r="4527">
      <c r="A4527" s="3">
        <f>IFERROR(__xludf.DUMMYFUNCTION("""COMPUTED_VALUE"""),35755.666666666664)</f>
        <v>35755.66667</v>
      </c>
      <c r="B4527" s="2">
        <f>IFERROR(__xludf.DUMMYFUNCTION("""COMPUTED_VALUE"""),50.27)</f>
        <v>50.27</v>
      </c>
      <c r="C4527" s="2">
        <f>IFERROR(__xludf.DUMMYFUNCTION("""COMPUTED_VALUE"""),50.8)</f>
        <v>50.8</v>
      </c>
      <c r="D4527" s="2">
        <f>IFERROR(__xludf.DUMMYFUNCTION("""COMPUTED_VALUE"""),50.15)</f>
        <v>50.15</v>
      </c>
      <c r="E4527" s="2">
        <f>IFERROR(__xludf.DUMMYFUNCTION("""COMPUTED_VALUE"""),50.41)</f>
        <v>50.41</v>
      </c>
      <c r="F4527" s="2">
        <f>IFERROR(__xludf.DUMMYFUNCTION("""COMPUTED_VALUE"""),4018800.0)</f>
        <v>4018800</v>
      </c>
    </row>
    <row r="4528">
      <c r="A4528" s="3">
        <f>IFERROR(__xludf.DUMMYFUNCTION("""COMPUTED_VALUE"""),35758.666666666664)</f>
        <v>35758.66667</v>
      </c>
      <c r="B4528" s="2">
        <f>IFERROR(__xludf.DUMMYFUNCTION("""COMPUTED_VALUE"""),50.12)</f>
        <v>50.12</v>
      </c>
      <c r="C4528" s="2">
        <f>IFERROR(__xludf.DUMMYFUNCTION("""COMPUTED_VALUE"""),50.5)</f>
        <v>50.5</v>
      </c>
      <c r="D4528" s="2">
        <f>IFERROR(__xludf.DUMMYFUNCTION("""COMPUTED_VALUE"""),49.19)</f>
        <v>49.19</v>
      </c>
      <c r="E4528" s="2">
        <f>IFERROR(__xludf.DUMMYFUNCTION("""COMPUTED_VALUE"""),49.22)</f>
        <v>49.22</v>
      </c>
      <c r="F4528" s="2">
        <f>IFERROR(__xludf.DUMMYFUNCTION("""COMPUTED_VALUE"""),2936400.0)</f>
        <v>2936400</v>
      </c>
    </row>
    <row r="4529">
      <c r="A4529" s="3">
        <f>IFERROR(__xludf.DUMMYFUNCTION("""COMPUTED_VALUE"""),35759.666666666664)</f>
        <v>35759.66667</v>
      </c>
      <c r="B4529" s="2">
        <f>IFERROR(__xludf.DUMMYFUNCTION("""COMPUTED_VALUE"""),49.73)</f>
        <v>49.73</v>
      </c>
      <c r="C4529" s="2">
        <f>IFERROR(__xludf.DUMMYFUNCTION("""COMPUTED_VALUE"""),51.31)</f>
        <v>51.31</v>
      </c>
      <c r="D4529" s="2">
        <f>IFERROR(__xludf.DUMMYFUNCTION("""COMPUTED_VALUE"""),49.61)</f>
        <v>49.61</v>
      </c>
      <c r="E4529" s="2">
        <f>IFERROR(__xludf.DUMMYFUNCTION("""COMPUTED_VALUE"""),51.31)</f>
        <v>51.31</v>
      </c>
      <c r="F4529" s="2">
        <f>IFERROR(__xludf.DUMMYFUNCTION("""COMPUTED_VALUE"""),4407700.0)</f>
        <v>4407700</v>
      </c>
    </row>
    <row r="4530">
      <c r="A4530" s="3">
        <f>IFERROR(__xludf.DUMMYFUNCTION("""COMPUTED_VALUE"""),35760.666666666664)</f>
        <v>35760.66667</v>
      </c>
      <c r="B4530" s="2">
        <f>IFERROR(__xludf.DUMMYFUNCTION("""COMPUTED_VALUE"""),51.31)</f>
        <v>51.31</v>
      </c>
      <c r="C4530" s="2">
        <f>IFERROR(__xludf.DUMMYFUNCTION("""COMPUTED_VALUE"""),52.47)</f>
        <v>52.47</v>
      </c>
      <c r="D4530" s="2">
        <f>IFERROR(__xludf.DUMMYFUNCTION("""COMPUTED_VALUE"""),51.31)</f>
        <v>51.31</v>
      </c>
      <c r="E4530" s="2">
        <f>IFERROR(__xludf.DUMMYFUNCTION("""COMPUTED_VALUE"""),52.44)</f>
        <v>52.44</v>
      </c>
      <c r="F4530" s="2">
        <f>IFERROR(__xludf.DUMMYFUNCTION("""COMPUTED_VALUE"""),4119900.0)</f>
        <v>4119900</v>
      </c>
    </row>
    <row r="4531">
      <c r="A4531" s="3">
        <f>IFERROR(__xludf.DUMMYFUNCTION("""COMPUTED_VALUE"""),35762.666666666664)</f>
        <v>35762.66667</v>
      </c>
      <c r="B4531" s="2">
        <f>IFERROR(__xludf.DUMMYFUNCTION("""COMPUTED_VALUE"""),52.12)</f>
        <v>52.12</v>
      </c>
      <c r="C4531" s="2">
        <f>IFERROR(__xludf.DUMMYFUNCTION("""COMPUTED_VALUE"""),52.5)</f>
        <v>52.5</v>
      </c>
      <c r="D4531" s="2">
        <f>IFERROR(__xludf.DUMMYFUNCTION("""COMPUTED_VALUE"""),52.12)</f>
        <v>52.12</v>
      </c>
      <c r="E4531" s="2">
        <f>IFERROR(__xludf.DUMMYFUNCTION("""COMPUTED_VALUE"""),52.33)</f>
        <v>52.33</v>
      </c>
      <c r="F4531" s="2">
        <f>IFERROR(__xludf.DUMMYFUNCTION("""COMPUTED_VALUE"""),1240500.0)</f>
        <v>1240500</v>
      </c>
    </row>
    <row r="4532">
      <c r="A4532" s="3">
        <f>IFERROR(__xludf.DUMMYFUNCTION("""COMPUTED_VALUE"""),35765.666666666664)</f>
        <v>35765.66667</v>
      </c>
      <c r="B4532" s="2">
        <f>IFERROR(__xludf.DUMMYFUNCTION("""COMPUTED_VALUE"""),52.53)</f>
        <v>52.53</v>
      </c>
      <c r="C4532" s="2">
        <f>IFERROR(__xludf.DUMMYFUNCTION("""COMPUTED_VALUE"""),54.12)</f>
        <v>54.12</v>
      </c>
      <c r="D4532" s="2">
        <f>IFERROR(__xludf.DUMMYFUNCTION("""COMPUTED_VALUE"""),52.47)</f>
        <v>52.47</v>
      </c>
      <c r="E4532" s="2">
        <f>IFERROR(__xludf.DUMMYFUNCTION("""COMPUTED_VALUE"""),53.76)</f>
        <v>53.76</v>
      </c>
      <c r="F4532" s="2">
        <f>IFERROR(__xludf.DUMMYFUNCTION("""COMPUTED_VALUE"""),4924900.0)</f>
        <v>4924900</v>
      </c>
    </row>
    <row r="4533">
      <c r="A4533" s="3">
        <f>IFERROR(__xludf.DUMMYFUNCTION("""COMPUTED_VALUE"""),35766.666666666664)</f>
        <v>35766.66667</v>
      </c>
      <c r="B4533" s="2">
        <f>IFERROR(__xludf.DUMMYFUNCTION("""COMPUTED_VALUE"""),53.55)</f>
        <v>53.55</v>
      </c>
      <c r="C4533" s="2">
        <f>IFERROR(__xludf.DUMMYFUNCTION("""COMPUTED_VALUE"""),53.58)</f>
        <v>53.58</v>
      </c>
      <c r="D4533" s="2">
        <f>IFERROR(__xludf.DUMMYFUNCTION("""COMPUTED_VALUE"""),52.8)</f>
        <v>52.8</v>
      </c>
      <c r="E4533" s="2">
        <f>IFERROR(__xludf.DUMMYFUNCTION("""COMPUTED_VALUE"""),52.95)</f>
        <v>52.95</v>
      </c>
      <c r="F4533" s="2">
        <f>IFERROR(__xludf.DUMMYFUNCTION("""COMPUTED_VALUE"""),3116000.0)</f>
        <v>3116000</v>
      </c>
    </row>
    <row r="4534">
      <c r="A4534" s="3">
        <f>IFERROR(__xludf.DUMMYFUNCTION("""COMPUTED_VALUE"""),35767.666666666664)</f>
        <v>35767.66667</v>
      </c>
      <c r="B4534" s="2">
        <f>IFERROR(__xludf.DUMMYFUNCTION("""COMPUTED_VALUE"""),52.77)</f>
        <v>52.77</v>
      </c>
      <c r="C4534" s="2">
        <f>IFERROR(__xludf.DUMMYFUNCTION("""COMPUTED_VALUE"""),53.31)</f>
        <v>53.31</v>
      </c>
      <c r="D4534" s="2">
        <f>IFERROR(__xludf.DUMMYFUNCTION("""COMPUTED_VALUE"""),52.09)</f>
        <v>52.09</v>
      </c>
      <c r="E4534" s="2">
        <f>IFERROR(__xludf.DUMMYFUNCTION("""COMPUTED_VALUE"""),52.68)</f>
        <v>52.68</v>
      </c>
      <c r="F4534" s="2">
        <f>IFERROR(__xludf.DUMMYFUNCTION("""COMPUTED_VALUE"""),4261300.0)</f>
        <v>4261300</v>
      </c>
    </row>
    <row r="4535">
      <c r="A4535" s="3">
        <f>IFERROR(__xludf.DUMMYFUNCTION("""COMPUTED_VALUE"""),35768.666666666664)</f>
        <v>35768.66667</v>
      </c>
      <c r="B4535" s="2">
        <f>IFERROR(__xludf.DUMMYFUNCTION("""COMPUTED_VALUE"""),52.83)</f>
        <v>52.83</v>
      </c>
      <c r="C4535" s="2">
        <f>IFERROR(__xludf.DUMMYFUNCTION("""COMPUTED_VALUE"""),53.16)</f>
        <v>53.16</v>
      </c>
      <c r="D4535" s="2">
        <f>IFERROR(__xludf.DUMMYFUNCTION("""COMPUTED_VALUE"""),52.06)</f>
        <v>52.06</v>
      </c>
      <c r="E4535" s="2">
        <f>IFERROR(__xludf.DUMMYFUNCTION("""COMPUTED_VALUE"""),52.24)</f>
        <v>52.24</v>
      </c>
      <c r="F4535" s="2">
        <f>IFERROR(__xludf.DUMMYFUNCTION("""COMPUTED_VALUE"""),2988900.0)</f>
        <v>2988900</v>
      </c>
    </row>
    <row r="4536">
      <c r="A4536" s="3">
        <f>IFERROR(__xludf.DUMMYFUNCTION("""COMPUTED_VALUE"""),35769.666666666664)</f>
        <v>35769.66667</v>
      </c>
      <c r="B4536" s="2">
        <f>IFERROR(__xludf.DUMMYFUNCTION("""COMPUTED_VALUE"""),52.3)</f>
        <v>52.3</v>
      </c>
      <c r="C4536" s="2">
        <f>IFERROR(__xludf.DUMMYFUNCTION("""COMPUTED_VALUE"""),53.91)</f>
        <v>53.91</v>
      </c>
      <c r="D4536" s="2">
        <f>IFERROR(__xludf.DUMMYFUNCTION("""COMPUTED_VALUE"""),52.06)</f>
        <v>52.06</v>
      </c>
      <c r="E4536" s="2">
        <f>IFERROR(__xludf.DUMMYFUNCTION("""COMPUTED_VALUE"""),53.7)</f>
        <v>53.7</v>
      </c>
      <c r="F4536" s="2">
        <f>IFERROR(__xludf.DUMMYFUNCTION("""COMPUTED_VALUE"""),2982000.0)</f>
        <v>2982000</v>
      </c>
    </row>
    <row r="4537">
      <c r="A4537" s="3">
        <f>IFERROR(__xludf.DUMMYFUNCTION("""COMPUTED_VALUE"""),35772.666666666664)</f>
        <v>35772.66667</v>
      </c>
      <c r="B4537" s="2">
        <f>IFERROR(__xludf.DUMMYFUNCTION("""COMPUTED_VALUE"""),53.91)</f>
        <v>53.91</v>
      </c>
      <c r="C4537" s="2">
        <f>IFERROR(__xludf.DUMMYFUNCTION("""COMPUTED_VALUE"""),54.21)</f>
        <v>54.21</v>
      </c>
      <c r="D4537" s="2">
        <f>IFERROR(__xludf.DUMMYFUNCTION("""COMPUTED_VALUE"""),53.4)</f>
        <v>53.4</v>
      </c>
      <c r="E4537" s="2">
        <f>IFERROR(__xludf.DUMMYFUNCTION("""COMPUTED_VALUE"""),53.91)</f>
        <v>53.91</v>
      </c>
      <c r="F4537" s="2">
        <f>IFERROR(__xludf.DUMMYFUNCTION("""COMPUTED_VALUE"""),2632200.0)</f>
        <v>2632200</v>
      </c>
    </row>
    <row r="4538">
      <c r="A4538" s="3">
        <f>IFERROR(__xludf.DUMMYFUNCTION("""COMPUTED_VALUE"""),35773.666666666664)</f>
        <v>35773.66667</v>
      </c>
      <c r="B4538" s="2">
        <f>IFERROR(__xludf.DUMMYFUNCTION("""COMPUTED_VALUE"""),53.25)</f>
        <v>53.25</v>
      </c>
      <c r="C4538" s="2">
        <f>IFERROR(__xludf.DUMMYFUNCTION("""COMPUTED_VALUE"""),53.61)</f>
        <v>53.61</v>
      </c>
      <c r="D4538" s="2">
        <f>IFERROR(__xludf.DUMMYFUNCTION("""COMPUTED_VALUE"""),52.53)</f>
        <v>52.53</v>
      </c>
      <c r="E4538" s="2">
        <f>IFERROR(__xludf.DUMMYFUNCTION("""COMPUTED_VALUE"""),52.71)</f>
        <v>52.71</v>
      </c>
      <c r="F4538" s="2">
        <f>IFERROR(__xludf.DUMMYFUNCTION("""COMPUTED_VALUE"""),3152100.0)</f>
        <v>3152100</v>
      </c>
    </row>
    <row r="4539">
      <c r="A4539" s="3">
        <f>IFERROR(__xludf.DUMMYFUNCTION("""COMPUTED_VALUE"""),35774.666666666664)</f>
        <v>35774.66667</v>
      </c>
      <c r="B4539" s="2">
        <f>IFERROR(__xludf.DUMMYFUNCTION("""COMPUTED_VALUE"""),52.27)</f>
        <v>52.27</v>
      </c>
      <c r="C4539" s="2">
        <f>IFERROR(__xludf.DUMMYFUNCTION("""COMPUTED_VALUE"""),52.35)</f>
        <v>52.35</v>
      </c>
      <c r="D4539" s="2">
        <f>IFERROR(__xludf.DUMMYFUNCTION("""COMPUTED_VALUE"""),50.38)</f>
        <v>50.38</v>
      </c>
      <c r="E4539" s="2">
        <f>IFERROR(__xludf.DUMMYFUNCTION("""COMPUTED_VALUE"""),50.86)</f>
        <v>50.86</v>
      </c>
      <c r="F4539" s="2">
        <f>IFERROR(__xludf.DUMMYFUNCTION("""COMPUTED_VALUE"""),4912900.0)</f>
        <v>4912900</v>
      </c>
    </row>
    <row r="4540">
      <c r="A4540" s="3">
        <f>IFERROR(__xludf.DUMMYFUNCTION("""COMPUTED_VALUE"""),35775.666666666664)</f>
        <v>35775.66667</v>
      </c>
      <c r="B4540" s="2">
        <f>IFERROR(__xludf.DUMMYFUNCTION("""COMPUTED_VALUE"""),49.19)</f>
        <v>49.19</v>
      </c>
      <c r="C4540" s="2">
        <f>IFERROR(__xludf.DUMMYFUNCTION("""COMPUTED_VALUE"""),49.64)</f>
        <v>49.64</v>
      </c>
      <c r="D4540" s="2">
        <f>IFERROR(__xludf.DUMMYFUNCTION("""COMPUTED_VALUE"""),48.47)</f>
        <v>48.47</v>
      </c>
      <c r="E4540" s="2">
        <f>IFERROR(__xludf.DUMMYFUNCTION("""COMPUTED_VALUE"""),48.5)</f>
        <v>48.5</v>
      </c>
      <c r="F4540" s="2">
        <f>IFERROR(__xludf.DUMMYFUNCTION("""COMPUTED_VALUE"""),6486200.0)</f>
        <v>6486200</v>
      </c>
    </row>
    <row r="4541">
      <c r="A4541" s="3">
        <f>IFERROR(__xludf.DUMMYFUNCTION("""COMPUTED_VALUE"""),35776.666666666664)</f>
        <v>35776.66667</v>
      </c>
      <c r="B4541" s="2">
        <f>IFERROR(__xludf.DUMMYFUNCTION("""COMPUTED_VALUE"""),49.19)</f>
        <v>49.19</v>
      </c>
      <c r="C4541" s="2">
        <f>IFERROR(__xludf.DUMMYFUNCTION("""COMPUTED_VALUE"""),49.4)</f>
        <v>49.4</v>
      </c>
      <c r="D4541" s="2">
        <f>IFERROR(__xludf.DUMMYFUNCTION("""COMPUTED_VALUE"""),46.03)</f>
        <v>46.03</v>
      </c>
      <c r="E4541" s="2">
        <f>IFERROR(__xludf.DUMMYFUNCTION("""COMPUTED_VALUE"""),47.73)</f>
        <v>47.73</v>
      </c>
      <c r="F4541" s="2">
        <f>IFERROR(__xludf.DUMMYFUNCTION("""COMPUTED_VALUE"""),6750200.0)</f>
        <v>6750200</v>
      </c>
    </row>
    <row r="4542">
      <c r="A4542" s="3">
        <f>IFERROR(__xludf.DUMMYFUNCTION("""COMPUTED_VALUE"""),35779.666666666664)</f>
        <v>35779.66667</v>
      </c>
      <c r="B4542" s="2">
        <f>IFERROR(__xludf.DUMMYFUNCTION("""COMPUTED_VALUE"""),48.47)</f>
        <v>48.47</v>
      </c>
      <c r="C4542" s="2">
        <f>IFERROR(__xludf.DUMMYFUNCTION("""COMPUTED_VALUE"""),48.59)</f>
        <v>48.59</v>
      </c>
      <c r="D4542" s="2">
        <f>IFERROR(__xludf.DUMMYFUNCTION("""COMPUTED_VALUE"""),46.33)</f>
        <v>46.33</v>
      </c>
      <c r="E4542" s="2">
        <f>IFERROR(__xludf.DUMMYFUNCTION("""COMPUTED_VALUE"""),48.15)</f>
        <v>48.15</v>
      </c>
      <c r="F4542" s="2">
        <f>IFERROR(__xludf.DUMMYFUNCTION("""COMPUTED_VALUE"""),5078700.0)</f>
        <v>5078700</v>
      </c>
    </row>
    <row r="4543">
      <c r="A4543" s="3">
        <f>IFERROR(__xludf.DUMMYFUNCTION("""COMPUTED_VALUE"""),35780.666666666664)</f>
        <v>35780.66667</v>
      </c>
      <c r="B4543" s="2">
        <f>IFERROR(__xludf.DUMMYFUNCTION("""COMPUTED_VALUE"""),48.3)</f>
        <v>48.3</v>
      </c>
      <c r="C4543" s="2">
        <f>IFERROR(__xludf.DUMMYFUNCTION("""COMPUTED_VALUE"""),50.24)</f>
        <v>50.24</v>
      </c>
      <c r="D4543" s="2">
        <f>IFERROR(__xludf.DUMMYFUNCTION("""COMPUTED_VALUE"""),48.3)</f>
        <v>48.3</v>
      </c>
      <c r="E4543" s="2">
        <f>IFERROR(__xludf.DUMMYFUNCTION("""COMPUTED_VALUE"""),49.46)</f>
        <v>49.46</v>
      </c>
      <c r="F4543" s="2">
        <f>IFERROR(__xludf.DUMMYFUNCTION("""COMPUTED_VALUE"""),3946500.0)</f>
        <v>3946500</v>
      </c>
    </row>
    <row r="4544">
      <c r="A4544" s="3">
        <f>IFERROR(__xludf.DUMMYFUNCTION("""COMPUTED_VALUE"""),35781.666666666664)</f>
        <v>35781.66667</v>
      </c>
      <c r="B4544" s="2">
        <f>IFERROR(__xludf.DUMMYFUNCTION("""COMPUTED_VALUE"""),50.15)</f>
        <v>50.15</v>
      </c>
      <c r="C4544" s="2">
        <f>IFERROR(__xludf.DUMMYFUNCTION("""COMPUTED_VALUE"""),50.38)</f>
        <v>50.38</v>
      </c>
      <c r="D4544" s="2">
        <f>IFERROR(__xludf.DUMMYFUNCTION("""COMPUTED_VALUE"""),48.71)</f>
        <v>48.71</v>
      </c>
      <c r="E4544" s="2">
        <f>IFERROR(__xludf.DUMMYFUNCTION("""COMPUTED_VALUE"""),48.71)</f>
        <v>48.71</v>
      </c>
      <c r="F4544" s="2">
        <f>IFERROR(__xludf.DUMMYFUNCTION("""COMPUTED_VALUE"""),3509500.0)</f>
        <v>3509500</v>
      </c>
    </row>
    <row r="4545">
      <c r="A4545" s="3">
        <f>IFERROR(__xludf.DUMMYFUNCTION("""COMPUTED_VALUE"""),35782.666666666664)</f>
        <v>35782.66667</v>
      </c>
      <c r="B4545" s="2">
        <f>IFERROR(__xludf.DUMMYFUNCTION("""COMPUTED_VALUE"""),48.8)</f>
        <v>48.8</v>
      </c>
      <c r="C4545" s="2">
        <f>IFERROR(__xludf.DUMMYFUNCTION("""COMPUTED_VALUE"""),49.16)</f>
        <v>49.16</v>
      </c>
      <c r="D4545" s="2">
        <f>IFERROR(__xludf.DUMMYFUNCTION("""COMPUTED_VALUE"""),47.28)</f>
        <v>47.28</v>
      </c>
      <c r="E4545" s="2">
        <f>IFERROR(__xludf.DUMMYFUNCTION("""COMPUTED_VALUE"""),47.7)</f>
        <v>47.7</v>
      </c>
      <c r="F4545" s="2">
        <f>IFERROR(__xludf.DUMMYFUNCTION("""COMPUTED_VALUE"""),4001900.0)</f>
        <v>4001900</v>
      </c>
    </row>
    <row r="4546">
      <c r="A4546" s="3">
        <f>IFERROR(__xludf.DUMMYFUNCTION("""COMPUTED_VALUE"""),35783.666666666664)</f>
        <v>35783.66667</v>
      </c>
      <c r="B4546" s="2">
        <f>IFERROR(__xludf.DUMMYFUNCTION("""COMPUTED_VALUE"""),47.4)</f>
        <v>47.4</v>
      </c>
      <c r="C4546" s="2">
        <f>IFERROR(__xludf.DUMMYFUNCTION("""COMPUTED_VALUE"""),49.16)</f>
        <v>49.16</v>
      </c>
      <c r="D4546" s="2">
        <f>IFERROR(__xludf.DUMMYFUNCTION("""COMPUTED_VALUE"""),46.39)</f>
        <v>46.39</v>
      </c>
      <c r="E4546" s="2">
        <f>IFERROR(__xludf.DUMMYFUNCTION("""COMPUTED_VALUE"""),48.71)</f>
        <v>48.71</v>
      </c>
      <c r="F4546" s="2">
        <f>IFERROR(__xludf.DUMMYFUNCTION("""COMPUTED_VALUE"""),6087700.0)</f>
        <v>6087700</v>
      </c>
    </row>
    <row r="4547">
      <c r="A4547" s="3">
        <f>IFERROR(__xludf.DUMMYFUNCTION("""COMPUTED_VALUE"""),35786.666666666664)</f>
        <v>35786.66667</v>
      </c>
      <c r="B4547" s="2">
        <f>IFERROR(__xludf.DUMMYFUNCTION("""COMPUTED_VALUE"""),50.03)</f>
        <v>50.03</v>
      </c>
      <c r="C4547" s="2">
        <f>IFERROR(__xludf.DUMMYFUNCTION("""COMPUTED_VALUE"""),50.03)</f>
        <v>50.03</v>
      </c>
      <c r="D4547" s="2">
        <f>IFERROR(__xludf.DUMMYFUNCTION("""COMPUTED_VALUE"""),48.21)</f>
        <v>48.21</v>
      </c>
      <c r="E4547" s="2">
        <f>IFERROR(__xludf.DUMMYFUNCTION("""COMPUTED_VALUE"""),48.98)</f>
        <v>48.98</v>
      </c>
      <c r="F4547" s="2">
        <f>IFERROR(__xludf.DUMMYFUNCTION("""COMPUTED_VALUE"""),3243300.0)</f>
        <v>3243300</v>
      </c>
    </row>
    <row r="4548">
      <c r="A4548" s="3">
        <f>IFERROR(__xludf.DUMMYFUNCTION("""COMPUTED_VALUE"""),35787.666666666664)</f>
        <v>35787.66667</v>
      </c>
      <c r="B4548" s="2">
        <f>IFERROR(__xludf.DUMMYFUNCTION("""COMPUTED_VALUE"""),48.92)</f>
        <v>48.92</v>
      </c>
      <c r="C4548" s="2">
        <f>IFERROR(__xludf.DUMMYFUNCTION("""COMPUTED_VALUE"""),49.7)</f>
        <v>49.7</v>
      </c>
      <c r="D4548" s="2">
        <f>IFERROR(__xludf.DUMMYFUNCTION("""COMPUTED_VALUE"""),47.1)</f>
        <v>47.1</v>
      </c>
      <c r="E4548" s="2">
        <f>IFERROR(__xludf.DUMMYFUNCTION("""COMPUTED_VALUE"""),47.1)</f>
        <v>47.1</v>
      </c>
      <c r="F4548" s="2">
        <f>IFERROR(__xludf.DUMMYFUNCTION("""COMPUTED_VALUE"""),2552300.0)</f>
        <v>2552300</v>
      </c>
    </row>
    <row r="4549">
      <c r="A4549" s="3">
        <f>IFERROR(__xludf.DUMMYFUNCTION("""COMPUTED_VALUE"""),35788.666666666664)</f>
        <v>35788.66667</v>
      </c>
      <c r="B4549" s="2">
        <f>IFERROR(__xludf.DUMMYFUNCTION("""COMPUTED_VALUE"""),47.82)</f>
        <v>47.82</v>
      </c>
      <c r="C4549" s="2">
        <f>IFERROR(__xludf.DUMMYFUNCTION("""COMPUTED_VALUE"""),48.15)</f>
        <v>48.15</v>
      </c>
      <c r="D4549" s="2">
        <f>IFERROR(__xludf.DUMMYFUNCTION("""COMPUTED_VALUE"""),47.28)</f>
        <v>47.28</v>
      </c>
      <c r="E4549" s="2">
        <f>IFERROR(__xludf.DUMMYFUNCTION("""COMPUTED_VALUE"""),47.34)</f>
        <v>47.34</v>
      </c>
      <c r="F4549" s="2">
        <f>IFERROR(__xludf.DUMMYFUNCTION("""COMPUTED_VALUE"""),1626200.0)</f>
        <v>1626200</v>
      </c>
    </row>
    <row r="4550">
      <c r="A4550" s="3">
        <f>IFERROR(__xludf.DUMMYFUNCTION("""COMPUTED_VALUE"""),35790.666666666664)</f>
        <v>35790.66667</v>
      </c>
      <c r="B4550" s="2">
        <f>IFERROR(__xludf.DUMMYFUNCTION("""COMPUTED_VALUE"""),47.46)</f>
        <v>47.46</v>
      </c>
      <c r="C4550" s="2">
        <f>IFERROR(__xludf.DUMMYFUNCTION("""COMPUTED_VALUE"""),48.56)</f>
        <v>48.56</v>
      </c>
      <c r="D4550" s="2">
        <f>IFERROR(__xludf.DUMMYFUNCTION("""COMPUTED_VALUE"""),47.4)</f>
        <v>47.4</v>
      </c>
      <c r="E4550" s="2">
        <f>IFERROR(__xludf.DUMMYFUNCTION("""COMPUTED_VALUE"""),48.56)</f>
        <v>48.56</v>
      </c>
      <c r="F4550" s="2">
        <f>IFERROR(__xludf.DUMMYFUNCTION("""COMPUTED_VALUE"""),834100.0)</f>
        <v>834100</v>
      </c>
    </row>
    <row r="4551">
      <c r="A4551" s="3">
        <f>IFERROR(__xludf.DUMMYFUNCTION("""COMPUTED_VALUE"""),35793.666666666664)</f>
        <v>35793.66667</v>
      </c>
      <c r="B4551" s="2">
        <f>IFERROR(__xludf.DUMMYFUNCTION("""COMPUTED_VALUE"""),49.13)</f>
        <v>49.13</v>
      </c>
      <c r="C4551" s="2">
        <f>IFERROR(__xludf.DUMMYFUNCTION("""COMPUTED_VALUE"""),49.52)</f>
        <v>49.52</v>
      </c>
      <c r="D4551" s="2">
        <f>IFERROR(__xludf.DUMMYFUNCTION("""COMPUTED_VALUE"""),49.07)</f>
        <v>49.07</v>
      </c>
      <c r="E4551" s="2">
        <f>IFERROR(__xludf.DUMMYFUNCTION("""COMPUTED_VALUE"""),49.07)</f>
        <v>49.07</v>
      </c>
      <c r="F4551" s="2">
        <f>IFERROR(__xludf.DUMMYFUNCTION("""COMPUTED_VALUE"""),1868200.0)</f>
        <v>1868200</v>
      </c>
    </row>
    <row r="4552">
      <c r="A4552" s="3">
        <f>IFERROR(__xludf.DUMMYFUNCTION("""COMPUTED_VALUE"""),35794.666666666664)</f>
        <v>35794.66667</v>
      </c>
      <c r="B4552" s="2">
        <f>IFERROR(__xludf.DUMMYFUNCTION("""COMPUTED_VALUE"""),49.52)</f>
        <v>49.52</v>
      </c>
      <c r="C4552" s="2">
        <f>IFERROR(__xludf.DUMMYFUNCTION("""COMPUTED_VALUE"""),50.38)</f>
        <v>50.38</v>
      </c>
      <c r="D4552" s="2">
        <f>IFERROR(__xludf.DUMMYFUNCTION("""COMPUTED_VALUE"""),49.16)</f>
        <v>49.16</v>
      </c>
      <c r="E4552" s="2">
        <f>IFERROR(__xludf.DUMMYFUNCTION("""COMPUTED_VALUE"""),49.28)</f>
        <v>49.28</v>
      </c>
      <c r="F4552" s="2">
        <f>IFERROR(__xludf.DUMMYFUNCTION("""COMPUTED_VALUE"""),2953900.0)</f>
        <v>2953900</v>
      </c>
    </row>
    <row r="4553">
      <c r="A4553" s="3">
        <f>IFERROR(__xludf.DUMMYFUNCTION("""COMPUTED_VALUE"""),35795.666666666664)</f>
        <v>35795.66667</v>
      </c>
      <c r="B4553" s="2">
        <f>IFERROR(__xludf.DUMMYFUNCTION("""COMPUTED_VALUE"""),49.67)</f>
        <v>49.67</v>
      </c>
      <c r="C4553" s="2">
        <f>IFERROR(__xludf.DUMMYFUNCTION("""COMPUTED_VALUE"""),50.24)</f>
        <v>50.24</v>
      </c>
      <c r="D4553" s="2">
        <f>IFERROR(__xludf.DUMMYFUNCTION("""COMPUTED_VALUE"""),49.28)</f>
        <v>49.28</v>
      </c>
      <c r="E4553" s="2">
        <f>IFERROR(__xludf.DUMMYFUNCTION("""COMPUTED_VALUE"""),49.94)</f>
        <v>49.94</v>
      </c>
      <c r="F4553" s="2">
        <f>IFERROR(__xludf.DUMMYFUNCTION("""COMPUTED_VALUE"""),2144600.0)</f>
        <v>2144600</v>
      </c>
    </row>
    <row r="4554">
      <c r="A4554" s="3">
        <f>IFERROR(__xludf.DUMMYFUNCTION("""COMPUTED_VALUE"""),35797.666666666664)</f>
        <v>35797.66667</v>
      </c>
      <c r="B4554" s="2">
        <f>IFERROR(__xludf.DUMMYFUNCTION("""COMPUTED_VALUE"""),49.91)</f>
        <v>49.91</v>
      </c>
      <c r="C4554" s="2">
        <f>IFERROR(__xludf.DUMMYFUNCTION("""COMPUTED_VALUE"""),50.5)</f>
        <v>50.5</v>
      </c>
      <c r="D4554" s="2">
        <f>IFERROR(__xludf.DUMMYFUNCTION("""COMPUTED_VALUE"""),49.7)</f>
        <v>49.7</v>
      </c>
      <c r="E4554" s="2">
        <f>IFERROR(__xludf.DUMMYFUNCTION("""COMPUTED_VALUE"""),50.5)</f>
        <v>50.5</v>
      </c>
      <c r="F4554" s="2">
        <f>IFERROR(__xludf.DUMMYFUNCTION("""COMPUTED_VALUE"""),2187900.0)</f>
        <v>2187900</v>
      </c>
    </row>
    <row r="4555">
      <c r="A4555" s="3">
        <f>IFERROR(__xludf.DUMMYFUNCTION("""COMPUTED_VALUE"""),35800.666666666664)</f>
        <v>35800.66667</v>
      </c>
      <c r="B4555" s="2">
        <f>IFERROR(__xludf.DUMMYFUNCTION("""COMPUTED_VALUE"""),50.41)</f>
        <v>50.41</v>
      </c>
      <c r="C4555" s="2">
        <f>IFERROR(__xludf.DUMMYFUNCTION("""COMPUTED_VALUE"""),51.01)</f>
        <v>51.01</v>
      </c>
      <c r="D4555" s="2">
        <f>IFERROR(__xludf.DUMMYFUNCTION("""COMPUTED_VALUE"""),50.15)</f>
        <v>50.15</v>
      </c>
      <c r="E4555" s="2">
        <f>IFERROR(__xludf.DUMMYFUNCTION("""COMPUTED_VALUE"""),50.83)</f>
        <v>50.83</v>
      </c>
      <c r="F4555" s="2">
        <f>IFERROR(__xludf.DUMMYFUNCTION("""COMPUTED_VALUE"""),4553400.0)</f>
        <v>4553400</v>
      </c>
    </row>
    <row r="4556">
      <c r="A4556" s="3">
        <f>IFERROR(__xludf.DUMMYFUNCTION("""COMPUTED_VALUE"""),35801.666666666664)</f>
        <v>35801.66667</v>
      </c>
      <c r="B4556" s="2">
        <f>IFERROR(__xludf.DUMMYFUNCTION("""COMPUTED_VALUE"""),50.33)</f>
        <v>50.33</v>
      </c>
      <c r="C4556" s="2">
        <f>IFERROR(__xludf.DUMMYFUNCTION("""COMPUTED_VALUE"""),51.19)</f>
        <v>51.19</v>
      </c>
      <c r="D4556" s="2">
        <f>IFERROR(__xludf.DUMMYFUNCTION("""COMPUTED_VALUE"""),50.33)</f>
        <v>50.33</v>
      </c>
      <c r="E4556" s="2">
        <f>IFERROR(__xludf.DUMMYFUNCTION("""COMPUTED_VALUE"""),50.36)</f>
        <v>50.36</v>
      </c>
      <c r="F4556" s="2">
        <f>IFERROR(__xludf.DUMMYFUNCTION("""COMPUTED_VALUE"""),3201400.0)</f>
        <v>3201400</v>
      </c>
    </row>
    <row r="4557">
      <c r="A4557" s="3">
        <f>IFERROR(__xludf.DUMMYFUNCTION("""COMPUTED_VALUE"""),35802.666666666664)</f>
        <v>35802.66667</v>
      </c>
      <c r="B4557" s="2">
        <f>IFERROR(__xludf.DUMMYFUNCTION("""COMPUTED_VALUE"""),50.15)</f>
        <v>50.15</v>
      </c>
      <c r="C4557" s="2">
        <f>IFERROR(__xludf.DUMMYFUNCTION("""COMPUTED_VALUE"""),50.15)</f>
        <v>50.15</v>
      </c>
      <c r="D4557" s="2">
        <f>IFERROR(__xludf.DUMMYFUNCTION("""COMPUTED_VALUE"""),49.01)</f>
        <v>49.01</v>
      </c>
      <c r="E4557" s="2">
        <f>IFERROR(__xludf.DUMMYFUNCTION("""COMPUTED_VALUE"""),49.79)</f>
        <v>49.79</v>
      </c>
      <c r="F4557" s="2">
        <f>IFERROR(__xludf.DUMMYFUNCTION("""COMPUTED_VALUE"""),3802400.0)</f>
        <v>3802400</v>
      </c>
    </row>
    <row r="4558">
      <c r="A4558" s="3">
        <f>IFERROR(__xludf.DUMMYFUNCTION("""COMPUTED_VALUE"""),35803.666666666664)</f>
        <v>35803.66667</v>
      </c>
      <c r="B4558" s="2">
        <f>IFERROR(__xludf.DUMMYFUNCTION("""COMPUTED_VALUE"""),49.43)</f>
        <v>49.43</v>
      </c>
      <c r="C4558" s="2">
        <f>IFERROR(__xludf.DUMMYFUNCTION("""COMPUTED_VALUE"""),50.38)</f>
        <v>50.38</v>
      </c>
      <c r="D4558" s="2">
        <f>IFERROR(__xludf.DUMMYFUNCTION("""COMPUTED_VALUE"""),49.16)</f>
        <v>49.16</v>
      </c>
      <c r="E4558" s="2">
        <f>IFERROR(__xludf.DUMMYFUNCTION("""COMPUTED_VALUE"""),49.82)</f>
        <v>49.82</v>
      </c>
      <c r="F4558" s="2">
        <f>IFERROR(__xludf.DUMMYFUNCTION("""COMPUTED_VALUE"""),3597800.0)</f>
        <v>3597800</v>
      </c>
    </row>
    <row r="4559">
      <c r="A4559" s="3">
        <f>IFERROR(__xludf.DUMMYFUNCTION("""COMPUTED_VALUE"""),35804.666666666664)</f>
        <v>35804.66667</v>
      </c>
      <c r="B4559" s="2">
        <f>IFERROR(__xludf.DUMMYFUNCTION("""COMPUTED_VALUE"""),49.82)</f>
        <v>49.82</v>
      </c>
      <c r="C4559" s="2">
        <f>IFERROR(__xludf.DUMMYFUNCTION("""COMPUTED_VALUE"""),50.09)</f>
        <v>50.09</v>
      </c>
      <c r="D4559" s="2">
        <f>IFERROR(__xludf.DUMMYFUNCTION("""COMPUTED_VALUE"""),47.46)</f>
        <v>47.46</v>
      </c>
      <c r="E4559" s="2">
        <f>IFERROR(__xludf.DUMMYFUNCTION("""COMPUTED_VALUE"""),47.79)</f>
        <v>47.79</v>
      </c>
      <c r="F4559" s="2">
        <f>IFERROR(__xludf.DUMMYFUNCTION("""COMPUTED_VALUE"""),6288500.0)</f>
        <v>6288500</v>
      </c>
    </row>
    <row r="4560">
      <c r="A4560" s="3">
        <f>IFERROR(__xludf.DUMMYFUNCTION("""COMPUTED_VALUE"""),35807.666666666664)</f>
        <v>35807.66667</v>
      </c>
      <c r="B4560" s="2">
        <f>IFERROR(__xludf.DUMMYFUNCTION("""COMPUTED_VALUE"""),46.92)</f>
        <v>46.92</v>
      </c>
      <c r="C4560" s="2">
        <f>IFERROR(__xludf.DUMMYFUNCTION("""COMPUTED_VALUE"""),48.3)</f>
        <v>48.3</v>
      </c>
      <c r="D4560" s="2">
        <f>IFERROR(__xludf.DUMMYFUNCTION("""COMPUTED_VALUE"""),46.74)</f>
        <v>46.74</v>
      </c>
      <c r="E4560" s="2">
        <f>IFERROR(__xludf.DUMMYFUNCTION("""COMPUTED_VALUE"""),47.76)</f>
        <v>47.76</v>
      </c>
      <c r="F4560" s="2">
        <f>IFERROR(__xludf.DUMMYFUNCTION("""COMPUTED_VALUE"""),5508800.0)</f>
        <v>5508800</v>
      </c>
    </row>
    <row r="4561">
      <c r="A4561" s="3">
        <f>IFERROR(__xludf.DUMMYFUNCTION("""COMPUTED_VALUE"""),35808.666666666664)</f>
        <v>35808.66667</v>
      </c>
      <c r="B4561" s="2">
        <f>IFERROR(__xludf.DUMMYFUNCTION("""COMPUTED_VALUE"""),48.03)</f>
        <v>48.03</v>
      </c>
      <c r="C4561" s="2">
        <f>IFERROR(__xludf.DUMMYFUNCTION("""COMPUTED_VALUE"""),48.92)</f>
        <v>48.92</v>
      </c>
      <c r="D4561" s="2">
        <f>IFERROR(__xludf.DUMMYFUNCTION("""COMPUTED_VALUE"""),47.91)</f>
        <v>47.91</v>
      </c>
      <c r="E4561" s="2">
        <f>IFERROR(__xludf.DUMMYFUNCTION("""COMPUTED_VALUE"""),48.77)</f>
        <v>48.77</v>
      </c>
      <c r="F4561" s="2">
        <f>IFERROR(__xludf.DUMMYFUNCTION("""COMPUTED_VALUE"""),2831800.0)</f>
        <v>2831800</v>
      </c>
    </row>
    <row r="4562">
      <c r="A4562" s="3">
        <f>IFERROR(__xludf.DUMMYFUNCTION("""COMPUTED_VALUE"""),35809.666666666664)</f>
        <v>35809.66667</v>
      </c>
      <c r="B4562" s="2">
        <f>IFERROR(__xludf.DUMMYFUNCTION("""COMPUTED_VALUE"""),49.43)</f>
        <v>49.43</v>
      </c>
      <c r="C4562" s="2">
        <f>IFERROR(__xludf.DUMMYFUNCTION("""COMPUTED_VALUE"""),49.67)</f>
        <v>49.67</v>
      </c>
      <c r="D4562" s="2">
        <f>IFERROR(__xludf.DUMMYFUNCTION("""COMPUTED_VALUE"""),48.36)</f>
        <v>48.36</v>
      </c>
      <c r="E4562" s="2">
        <f>IFERROR(__xludf.DUMMYFUNCTION("""COMPUTED_VALUE"""),49.1)</f>
        <v>49.1</v>
      </c>
      <c r="F4562" s="2">
        <f>IFERROR(__xludf.DUMMYFUNCTION("""COMPUTED_VALUE"""),3715600.0)</f>
        <v>3715600</v>
      </c>
    </row>
    <row r="4563">
      <c r="A4563" s="3">
        <f>IFERROR(__xludf.DUMMYFUNCTION("""COMPUTED_VALUE"""),35810.666666666664)</f>
        <v>35810.66667</v>
      </c>
      <c r="B4563" s="2">
        <f>IFERROR(__xludf.DUMMYFUNCTION("""COMPUTED_VALUE"""),49.28)</f>
        <v>49.28</v>
      </c>
      <c r="C4563" s="2">
        <f>IFERROR(__xludf.DUMMYFUNCTION("""COMPUTED_VALUE"""),50.12)</f>
        <v>50.12</v>
      </c>
      <c r="D4563" s="2">
        <f>IFERROR(__xludf.DUMMYFUNCTION("""COMPUTED_VALUE"""),49.07)</f>
        <v>49.07</v>
      </c>
      <c r="E4563" s="2">
        <f>IFERROR(__xludf.DUMMYFUNCTION("""COMPUTED_VALUE"""),49.43)</f>
        <v>49.43</v>
      </c>
      <c r="F4563" s="2">
        <f>IFERROR(__xludf.DUMMYFUNCTION("""COMPUTED_VALUE"""),5636800.0)</f>
        <v>5636800</v>
      </c>
    </row>
    <row r="4564">
      <c r="A4564" s="3">
        <f>IFERROR(__xludf.DUMMYFUNCTION("""COMPUTED_VALUE"""),35811.666666666664)</f>
        <v>35811.66667</v>
      </c>
      <c r="B4564" s="2">
        <f>IFERROR(__xludf.DUMMYFUNCTION("""COMPUTED_VALUE"""),50.09)</f>
        <v>50.09</v>
      </c>
      <c r="C4564" s="2">
        <f>IFERROR(__xludf.DUMMYFUNCTION("""COMPUTED_VALUE"""),50.24)</f>
        <v>50.24</v>
      </c>
      <c r="D4564" s="2">
        <f>IFERROR(__xludf.DUMMYFUNCTION("""COMPUTED_VALUE"""),49.91)</f>
        <v>49.91</v>
      </c>
      <c r="E4564" s="2">
        <f>IFERROR(__xludf.DUMMYFUNCTION("""COMPUTED_VALUE"""),50.18)</f>
        <v>50.18</v>
      </c>
      <c r="F4564" s="2">
        <f>IFERROR(__xludf.DUMMYFUNCTION("""COMPUTED_VALUE"""),3715700.0)</f>
        <v>3715700</v>
      </c>
    </row>
    <row r="4565">
      <c r="A4565" s="3">
        <f>IFERROR(__xludf.DUMMYFUNCTION("""COMPUTED_VALUE"""),35815.666666666664)</f>
        <v>35815.66667</v>
      </c>
      <c r="B4565" s="2">
        <f>IFERROR(__xludf.DUMMYFUNCTION("""COMPUTED_VALUE"""),50.24)</f>
        <v>50.24</v>
      </c>
      <c r="C4565" s="2">
        <f>IFERROR(__xludf.DUMMYFUNCTION("""COMPUTED_VALUE"""),51.64)</f>
        <v>51.64</v>
      </c>
      <c r="D4565" s="2">
        <f>IFERROR(__xludf.DUMMYFUNCTION("""COMPUTED_VALUE"""),50.0)</f>
        <v>50</v>
      </c>
      <c r="E4565" s="2">
        <f>IFERROR(__xludf.DUMMYFUNCTION("""COMPUTED_VALUE"""),51.43)</f>
        <v>51.43</v>
      </c>
      <c r="F4565" s="2">
        <f>IFERROR(__xludf.DUMMYFUNCTION("""COMPUTED_VALUE"""),4137000.0)</f>
        <v>4137000</v>
      </c>
    </row>
    <row r="4566">
      <c r="A4566" s="3">
        <f>IFERROR(__xludf.DUMMYFUNCTION("""COMPUTED_VALUE"""),35816.666666666664)</f>
        <v>35816.66667</v>
      </c>
      <c r="B4566" s="2">
        <f>IFERROR(__xludf.DUMMYFUNCTION("""COMPUTED_VALUE"""),47.76)</f>
        <v>47.76</v>
      </c>
      <c r="C4566" s="2">
        <f>IFERROR(__xludf.DUMMYFUNCTION("""COMPUTED_VALUE"""),48.68)</f>
        <v>48.68</v>
      </c>
      <c r="D4566" s="2">
        <f>IFERROR(__xludf.DUMMYFUNCTION("""COMPUTED_VALUE"""),47.64)</f>
        <v>47.64</v>
      </c>
      <c r="E4566" s="2">
        <f>IFERROR(__xludf.DUMMYFUNCTION("""COMPUTED_VALUE"""),47.79)</f>
        <v>47.79</v>
      </c>
      <c r="F4566" s="2">
        <f>IFERROR(__xludf.DUMMYFUNCTION("""COMPUTED_VALUE"""),1.11346E7)</f>
        <v>11134600</v>
      </c>
    </row>
    <row r="4567">
      <c r="A4567" s="3">
        <f>IFERROR(__xludf.DUMMYFUNCTION("""COMPUTED_VALUE"""),35817.666666666664)</f>
        <v>35817.66667</v>
      </c>
      <c r="B4567" s="2">
        <f>IFERROR(__xludf.DUMMYFUNCTION("""COMPUTED_VALUE"""),47.67)</f>
        <v>47.67</v>
      </c>
      <c r="C4567" s="2">
        <f>IFERROR(__xludf.DUMMYFUNCTION("""COMPUTED_VALUE"""),48.0)</f>
        <v>48</v>
      </c>
      <c r="D4567" s="2">
        <f>IFERROR(__xludf.DUMMYFUNCTION("""COMPUTED_VALUE"""),47.04)</f>
        <v>47.04</v>
      </c>
      <c r="E4567" s="2">
        <f>IFERROR(__xludf.DUMMYFUNCTION("""COMPUTED_VALUE"""),47.4)</f>
        <v>47.4</v>
      </c>
      <c r="F4567" s="2">
        <f>IFERROR(__xludf.DUMMYFUNCTION("""COMPUTED_VALUE"""),5508200.0)</f>
        <v>5508200</v>
      </c>
    </row>
    <row r="4568">
      <c r="A4568" s="3">
        <f>IFERROR(__xludf.DUMMYFUNCTION("""COMPUTED_VALUE"""),35818.666666666664)</f>
        <v>35818.66667</v>
      </c>
      <c r="B4568" s="2">
        <f>IFERROR(__xludf.DUMMYFUNCTION("""COMPUTED_VALUE"""),47.67)</f>
        <v>47.67</v>
      </c>
      <c r="C4568" s="2">
        <f>IFERROR(__xludf.DUMMYFUNCTION("""COMPUTED_VALUE"""),47.73)</f>
        <v>47.73</v>
      </c>
      <c r="D4568" s="2">
        <f>IFERROR(__xludf.DUMMYFUNCTION("""COMPUTED_VALUE"""),47.28)</f>
        <v>47.28</v>
      </c>
      <c r="E4568" s="2">
        <f>IFERROR(__xludf.DUMMYFUNCTION("""COMPUTED_VALUE"""),47.37)</f>
        <v>47.37</v>
      </c>
      <c r="F4568" s="2">
        <f>IFERROR(__xludf.DUMMYFUNCTION("""COMPUTED_VALUE"""),3424100.0)</f>
        <v>3424100</v>
      </c>
    </row>
    <row r="4569">
      <c r="A4569" s="3">
        <f>IFERROR(__xludf.DUMMYFUNCTION("""COMPUTED_VALUE"""),35821.666666666664)</f>
        <v>35821.66667</v>
      </c>
      <c r="B4569" s="2">
        <f>IFERROR(__xludf.DUMMYFUNCTION("""COMPUTED_VALUE"""),47.4)</f>
        <v>47.4</v>
      </c>
      <c r="C4569" s="2">
        <f>IFERROR(__xludf.DUMMYFUNCTION("""COMPUTED_VALUE"""),47.73)</f>
        <v>47.73</v>
      </c>
      <c r="D4569" s="2">
        <f>IFERROR(__xludf.DUMMYFUNCTION("""COMPUTED_VALUE"""),46.8)</f>
        <v>46.8</v>
      </c>
      <c r="E4569" s="2">
        <f>IFERROR(__xludf.DUMMYFUNCTION("""COMPUTED_VALUE"""),46.8)</f>
        <v>46.8</v>
      </c>
      <c r="F4569" s="2">
        <f>IFERROR(__xludf.DUMMYFUNCTION("""COMPUTED_VALUE"""),2357500.0)</f>
        <v>2357500</v>
      </c>
    </row>
    <row r="4570">
      <c r="A4570" s="3">
        <f>IFERROR(__xludf.DUMMYFUNCTION("""COMPUTED_VALUE"""),35822.666666666664)</f>
        <v>35822.66667</v>
      </c>
      <c r="B4570" s="2">
        <f>IFERROR(__xludf.DUMMYFUNCTION("""COMPUTED_VALUE"""),46.21)</f>
        <v>46.21</v>
      </c>
      <c r="C4570" s="2">
        <f>IFERROR(__xludf.DUMMYFUNCTION("""COMPUTED_VALUE"""),46.74)</f>
        <v>46.74</v>
      </c>
      <c r="D4570" s="2">
        <f>IFERROR(__xludf.DUMMYFUNCTION("""COMPUTED_VALUE"""),45.67)</f>
        <v>45.67</v>
      </c>
      <c r="E4570" s="2">
        <f>IFERROR(__xludf.DUMMYFUNCTION("""COMPUTED_VALUE"""),46.09)</f>
        <v>46.09</v>
      </c>
      <c r="F4570" s="2">
        <f>IFERROR(__xludf.DUMMYFUNCTION("""COMPUTED_VALUE"""),5945200.0)</f>
        <v>5945200</v>
      </c>
    </row>
    <row r="4571">
      <c r="A4571" s="3">
        <f>IFERROR(__xludf.DUMMYFUNCTION("""COMPUTED_VALUE"""),35823.666666666664)</f>
        <v>35823.66667</v>
      </c>
      <c r="B4571" s="2">
        <f>IFERROR(__xludf.DUMMYFUNCTION("""COMPUTED_VALUE"""),46.39)</f>
        <v>46.39</v>
      </c>
      <c r="C4571" s="2">
        <f>IFERROR(__xludf.DUMMYFUNCTION("""COMPUTED_VALUE"""),46.8)</f>
        <v>46.8</v>
      </c>
      <c r="D4571" s="2">
        <f>IFERROR(__xludf.DUMMYFUNCTION("""COMPUTED_VALUE"""),46.09)</f>
        <v>46.09</v>
      </c>
      <c r="E4571" s="2">
        <f>IFERROR(__xludf.DUMMYFUNCTION("""COMPUTED_VALUE"""),46.33)</f>
        <v>46.33</v>
      </c>
      <c r="F4571" s="2">
        <f>IFERROR(__xludf.DUMMYFUNCTION("""COMPUTED_VALUE"""),4302100.0)</f>
        <v>4302100</v>
      </c>
    </row>
    <row r="4572">
      <c r="A4572" s="3">
        <f>IFERROR(__xludf.DUMMYFUNCTION("""COMPUTED_VALUE"""),35824.666666666664)</f>
        <v>35824.66667</v>
      </c>
      <c r="B4572" s="2">
        <f>IFERROR(__xludf.DUMMYFUNCTION("""COMPUTED_VALUE"""),46.33)</f>
        <v>46.33</v>
      </c>
      <c r="C4572" s="2">
        <f>IFERROR(__xludf.DUMMYFUNCTION("""COMPUTED_VALUE"""),47.43)</f>
        <v>47.43</v>
      </c>
      <c r="D4572" s="2">
        <f>IFERROR(__xludf.DUMMYFUNCTION("""COMPUTED_VALUE"""),46.33)</f>
        <v>46.33</v>
      </c>
      <c r="E4572" s="2">
        <f>IFERROR(__xludf.DUMMYFUNCTION("""COMPUTED_VALUE"""),46.89)</f>
        <v>46.89</v>
      </c>
      <c r="F4572" s="2">
        <f>IFERROR(__xludf.DUMMYFUNCTION("""COMPUTED_VALUE"""),3549000.0)</f>
        <v>3549000</v>
      </c>
    </row>
    <row r="4573">
      <c r="A4573" s="3">
        <f>IFERROR(__xludf.DUMMYFUNCTION("""COMPUTED_VALUE"""),35825.666666666664)</f>
        <v>35825.66667</v>
      </c>
      <c r="B4573" s="2">
        <f>IFERROR(__xludf.DUMMYFUNCTION("""COMPUTED_VALUE"""),46.95)</f>
        <v>46.95</v>
      </c>
      <c r="C4573" s="2">
        <f>IFERROR(__xludf.DUMMYFUNCTION("""COMPUTED_VALUE"""),47.55)</f>
        <v>47.55</v>
      </c>
      <c r="D4573" s="2">
        <f>IFERROR(__xludf.DUMMYFUNCTION("""COMPUTED_VALUE"""),46.8)</f>
        <v>46.8</v>
      </c>
      <c r="E4573" s="2">
        <f>IFERROR(__xludf.DUMMYFUNCTION("""COMPUTED_VALUE"""),47.13)</f>
        <v>47.13</v>
      </c>
      <c r="F4573" s="2">
        <f>IFERROR(__xludf.DUMMYFUNCTION("""COMPUTED_VALUE"""),2431300.0)</f>
        <v>2431300</v>
      </c>
    </row>
    <row r="4574">
      <c r="A4574" s="3">
        <f>IFERROR(__xludf.DUMMYFUNCTION("""COMPUTED_VALUE"""),35828.666666666664)</f>
        <v>35828.66667</v>
      </c>
      <c r="B4574" s="2">
        <f>IFERROR(__xludf.DUMMYFUNCTION("""COMPUTED_VALUE"""),47.76)</f>
        <v>47.76</v>
      </c>
      <c r="C4574" s="2">
        <f>IFERROR(__xludf.DUMMYFUNCTION("""COMPUTED_VALUE"""),48.3)</f>
        <v>48.3</v>
      </c>
      <c r="D4574" s="2">
        <f>IFERROR(__xludf.DUMMYFUNCTION("""COMPUTED_VALUE"""),47.76)</f>
        <v>47.76</v>
      </c>
      <c r="E4574" s="2">
        <f>IFERROR(__xludf.DUMMYFUNCTION("""COMPUTED_VALUE"""),47.97)</f>
        <v>47.97</v>
      </c>
      <c r="F4574" s="2">
        <f>IFERROR(__xludf.DUMMYFUNCTION("""COMPUTED_VALUE"""),2767700.0)</f>
        <v>2767700</v>
      </c>
    </row>
    <row r="4575">
      <c r="A4575" s="3">
        <f>IFERROR(__xludf.DUMMYFUNCTION("""COMPUTED_VALUE"""),35829.666666666664)</f>
        <v>35829.66667</v>
      </c>
      <c r="B4575" s="2">
        <f>IFERROR(__xludf.DUMMYFUNCTION("""COMPUTED_VALUE"""),47.82)</f>
        <v>47.82</v>
      </c>
      <c r="C4575" s="2">
        <f>IFERROR(__xludf.DUMMYFUNCTION("""COMPUTED_VALUE"""),47.88)</f>
        <v>47.88</v>
      </c>
      <c r="D4575" s="2">
        <f>IFERROR(__xludf.DUMMYFUNCTION("""COMPUTED_VALUE"""),47.16)</f>
        <v>47.16</v>
      </c>
      <c r="E4575" s="2">
        <f>IFERROR(__xludf.DUMMYFUNCTION("""COMPUTED_VALUE"""),47.34)</f>
        <v>47.34</v>
      </c>
      <c r="F4575" s="2">
        <f>IFERROR(__xludf.DUMMYFUNCTION("""COMPUTED_VALUE"""),2954800.0)</f>
        <v>2954800</v>
      </c>
    </row>
    <row r="4576">
      <c r="A4576" s="3">
        <f>IFERROR(__xludf.DUMMYFUNCTION("""COMPUTED_VALUE"""),35830.666666666664)</f>
        <v>35830.66667</v>
      </c>
      <c r="B4576" s="2">
        <f>IFERROR(__xludf.DUMMYFUNCTION("""COMPUTED_VALUE"""),47.34)</f>
        <v>47.34</v>
      </c>
      <c r="C4576" s="2">
        <f>IFERROR(__xludf.DUMMYFUNCTION("""COMPUTED_VALUE"""),47.64)</f>
        <v>47.64</v>
      </c>
      <c r="D4576" s="2">
        <f>IFERROR(__xludf.DUMMYFUNCTION("""COMPUTED_VALUE"""),46.83)</f>
        <v>46.83</v>
      </c>
      <c r="E4576" s="2">
        <f>IFERROR(__xludf.DUMMYFUNCTION("""COMPUTED_VALUE"""),46.95)</f>
        <v>46.95</v>
      </c>
      <c r="F4576" s="2">
        <f>IFERROR(__xludf.DUMMYFUNCTION("""COMPUTED_VALUE"""),3607100.0)</f>
        <v>3607100</v>
      </c>
    </row>
    <row r="4577">
      <c r="A4577" s="3">
        <f>IFERROR(__xludf.DUMMYFUNCTION("""COMPUTED_VALUE"""),35831.666666666664)</f>
        <v>35831.66667</v>
      </c>
      <c r="B4577" s="2">
        <f>IFERROR(__xludf.DUMMYFUNCTION("""COMPUTED_VALUE"""),47.34)</f>
        <v>47.34</v>
      </c>
      <c r="C4577" s="2">
        <f>IFERROR(__xludf.DUMMYFUNCTION("""COMPUTED_VALUE"""),47.46)</f>
        <v>47.46</v>
      </c>
      <c r="D4577" s="2">
        <f>IFERROR(__xludf.DUMMYFUNCTION("""COMPUTED_VALUE"""),47.04)</f>
        <v>47.04</v>
      </c>
      <c r="E4577" s="2">
        <f>IFERROR(__xludf.DUMMYFUNCTION("""COMPUTED_VALUE"""),47.46)</f>
        <v>47.46</v>
      </c>
      <c r="F4577" s="2">
        <f>IFERROR(__xludf.DUMMYFUNCTION("""COMPUTED_VALUE"""),3165000.0)</f>
        <v>3165000</v>
      </c>
    </row>
    <row r="4578">
      <c r="A4578" s="3">
        <f>IFERROR(__xludf.DUMMYFUNCTION("""COMPUTED_VALUE"""),35832.666666666664)</f>
        <v>35832.66667</v>
      </c>
      <c r="B4578" s="2">
        <f>IFERROR(__xludf.DUMMYFUNCTION("""COMPUTED_VALUE"""),47.34)</f>
        <v>47.34</v>
      </c>
      <c r="C4578" s="2">
        <f>IFERROR(__xludf.DUMMYFUNCTION("""COMPUTED_VALUE"""),47.58)</f>
        <v>47.58</v>
      </c>
      <c r="D4578" s="2">
        <f>IFERROR(__xludf.DUMMYFUNCTION("""COMPUTED_VALUE"""),46.68)</f>
        <v>46.68</v>
      </c>
      <c r="E4578" s="2">
        <f>IFERROR(__xludf.DUMMYFUNCTION("""COMPUTED_VALUE"""),46.8)</f>
        <v>46.8</v>
      </c>
      <c r="F4578" s="2">
        <f>IFERROR(__xludf.DUMMYFUNCTION("""COMPUTED_VALUE"""),3071800.0)</f>
        <v>3071800</v>
      </c>
    </row>
    <row r="4579">
      <c r="A4579" s="3">
        <f>IFERROR(__xludf.DUMMYFUNCTION("""COMPUTED_VALUE"""),35835.666666666664)</f>
        <v>35835.66667</v>
      </c>
      <c r="B4579" s="2">
        <f>IFERROR(__xludf.DUMMYFUNCTION("""COMPUTED_VALUE"""),46.86)</f>
        <v>46.86</v>
      </c>
      <c r="C4579" s="2">
        <f>IFERROR(__xludf.DUMMYFUNCTION("""COMPUTED_VALUE"""),47.55)</f>
        <v>47.55</v>
      </c>
      <c r="D4579" s="2">
        <f>IFERROR(__xludf.DUMMYFUNCTION("""COMPUTED_VALUE"""),46.83)</f>
        <v>46.83</v>
      </c>
      <c r="E4579" s="2">
        <f>IFERROR(__xludf.DUMMYFUNCTION("""COMPUTED_VALUE"""),46.83)</f>
        <v>46.83</v>
      </c>
      <c r="F4579" s="2">
        <f>IFERROR(__xludf.DUMMYFUNCTION("""COMPUTED_VALUE"""),2904900.0)</f>
        <v>2904900</v>
      </c>
    </row>
    <row r="4580">
      <c r="A4580" s="3">
        <f>IFERROR(__xludf.DUMMYFUNCTION("""COMPUTED_VALUE"""),35836.666666666664)</f>
        <v>35836.66667</v>
      </c>
      <c r="B4580" s="2">
        <f>IFERROR(__xludf.DUMMYFUNCTION("""COMPUTED_VALUE"""),46.83)</f>
        <v>46.83</v>
      </c>
      <c r="C4580" s="2">
        <f>IFERROR(__xludf.DUMMYFUNCTION("""COMPUTED_VALUE"""),48.92)</f>
        <v>48.92</v>
      </c>
      <c r="D4580" s="2">
        <f>IFERROR(__xludf.DUMMYFUNCTION("""COMPUTED_VALUE"""),46.56)</f>
        <v>46.56</v>
      </c>
      <c r="E4580" s="2">
        <f>IFERROR(__xludf.DUMMYFUNCTION("""COMPUTED_VALUE"""),48.21)</f>
        <v>48.21</v>
      </c>
      <c r="F4580" s="2">
        <f>IFERROR(__xludf.DUMMYFUNCTION("""COMPUTED_VALUE"""),6594200.0)</f>
        <v>6594200</v>
      </c>
    </row>
    <row r="4581">
      <c r="A4581" s="3">
        <f>IFERROR(__xludf.DUMMYFUNCTION("""COMPUTED_VALUE"""),35837.666666666664)</f>
        <v>35837.66667</v>
      </c>
      <c r="B4581" s="2">
        <f>IFERROR(__xludf.DUMMYFUNCTION("""COMPUTED_VALUE"""),48.53)</f>
        <v>48.53</v>
      </c>
      <c r="C4581" s="2">
        <f>IFERROR(__xludf.DUMMYFUNCTION("""COMPUTED_VALUE"""),49.31)</f>
        <v>49.31</v>
      </c>
      <c r="D4581" s="2">
        <f>IFERROR(__xludf.DUMMYFUNCTION("""COMPUTED_VALUE"""),48.47)</f>
        <v>48.47</v>
      </c>
      <c r="E4581" s="2">
        <f>IFERROR(__xludf.DUMMYFUNCTION("""COMPUTED_VALUE"""),49.04)</f>
        <v>49.04</v>
      </c>
      <c r="F4581" s="2">
        <f>IFERROR(__xludf.DUMMYFUNCTION("""COMPUTED_VALUE"""),3584500.0)</f>
        <v>3584500</v>
      </c>
    </row>
    <row r="4582">
      <c r="A4582" s="3">
        <f>IFERROR(__xludf.DUMMYFUNCTION("""COMPUTED_VALUE"""),35838.666666666664)</f>
        <v>35838.66667</v>
      </c>
      <c r="B4582" s="2">
        <f>IFERROR(__xludf.DUMMYFUNCTION("""COMPUTED_VALUE"""),48.65)</f>
        <v>48.65</v>
      </c>
      <c r="C4582" s="2">
        <f>IFERROR(__xludf.DUMMYFUNCTION("""COMPUTED_VALUE"""),49.28)</f>
        <v>49.28</v>
      </c>
      <c r="D4582" s="2">
        <f>IFERROR(__xludf.DUMMYFUNCTION("""COMPUTED_VALUE"""),48.5)</f>
        <v>48.5</v>
      </c>
      <c r="E4582" s="2">
        <f>IFERROR(__xludf.DUMMYFUNCTION("""COMPUTED_VALUE"""),49.13)</f>
        <v>49.13</v>
      </c>
      <c r="F4582" s="2">
        <f>IFERROR(__xludf.DUMMYFUNCTION("""COMPUTED_VALUE"""),3167600.0)</f>
        <v>3167600</v>
      </c>
    </row>
    <row r="4583">
      <c r="A4583" s="3">
        <f>IFERROR(__xludf.DUMMYFUNCTION("""COMPUTED_VALUE"""),35839.666666666664)</f>
        <v>35839.66667</v>
      </c>
      <c r="B4583" s="2">
        <f>IFERROR(__xludf.DUMMYFUNCTION("""COMPUTED_VALUE"""),49.04)</f>
        <v>49.04</v>
      </c>
      <c r="C4583" s="2">
        <f>IFERROR(__xludf.DUMMYFUNCTION("""COMPUTED_VALUE"""),49.49)</f>
        <v>49.49</v>
      </c>
      <c r="D4583" s="2">
        <f>IFERROR(__xludf.DUMMYFUNCTION("""COMPUTED_VALUE"""),48.89)</f>
        <v>48.89</v>
      </c>
      <c r="E4583" s="2">
        <f>IFERROR(__xludf.DUMMYFUNCTION("""COMPUTED_VALUE"""),49.04)</f>
        <v>49.04</v>
      </c>
      <c r="F4583" s="2">
        <f>IFERROR(__xludf.DUMMYFUNCTION("""COMPUTED_VALUE"""),1924000.0)</f>
        <v>1924000</v>
      </c>
    </row>
    <row r="4584">
      <c r="A4584" s="3">
        <f>IFERROR(__xludf.DUMMYFUNCTION("""COMPUTED_VALUE"""),35843.666666666664)</f>
        <v>35843.66667</v>
      </c>
      <c r="B4584" s="2">
        <f>IFERROR(__xludf.DUMMYFUNCTION("""COMPUTED_VALUE"""),49.22)</f>
        <v>49.22</v>
      </c>
      <c r="C4584" s="2">
        <f>IFERROR(__xludf.DUMMYFUNCTION("""COMPUTED_VALUE"""),49.52)</f>
        <v>49.52</v>
      </c>
      <c r="D4584" s="2">
        <f>IFERROR(__xludf.DUMMYFUNCTION("""COMPUTED_VALUE"""),48.47)</f>
        <v>48.47</v>
      </c>
      <c r="E4584" s="2">
        <f>IFERROR(__xludf.DUMMYFUNCTION("""COMPUTED_VALUE"""),48.62)</f>
        <v>48.62</v>
      </c>
      <c r="F4584" s="2">
        <f>IFERROR(__xludf.DUMMYFUNCTION("""COMPUTED_VALUE"""),3255800.0)</f>
        <v>3255800</v>
      </c>
    </row>
    <row r="4585">
      <c r="A4585" s="3">
        <f>IFERROR(__xludf.DUMMYFUNCTION("""COMPUTED_VALUE"""),35844.666666666664)</f>
        <v>35844.66667</v>
      </c>
      <c r="B4585" s="2">
        <f>IFERROR(__xludf.DUMMYFUNCTION("""COMPUTED_VALUE"""),48.71)</f>
        <v>48.71</v>
      </c>
      <c r="C4585" s="2">
        <f>IFERROR(__xludf.DUMMYFUNCTION("""COMPUTED_VALUE"""),49.49)</f>
        <v>49.49</v>
      </c>
      <c r="D4585" s="2">
        <f>IFERROR(__xludf.DUMMYFUNCTION("""COMPUTED_VALUE"""),48.39)</f>
        <v>48.39</v>
      </c>
      <c r="E4585" s="2">
        <f>IFERROR(__xludf.DUMMYFUNCTION("""COMPUTED_VALUE"""),49.07)</f>
        <v>49.07</v>
      </c>
      <c r="F4585" s="2">
        <f>IFERROR(__xludf.DUMMYFUNCTION("""COMPUTED_VALUE"""),2765800.0)</f>
        <v>2765800</v>
      </c>
    </row>
    <row r="4586">
      <c r="A4586" s="3">
        <f>IFERROR(__xludf.DUMMYFUNCTION("""COMPUTED_VALUE"""),35845.666666666664)</f>
        <v>35845.66667</v>
      </c>
      <c r="B4586" s="2">
        <f>IFERROR(__xludf.DUMMYFUNCTION("""COMPUTED_VALUE"""),49.19)</f>
        <v>49.19</v>
      </c>
      <c r="C4586" s="2">
        <f>IFERROR(__xludf.DUMMYFUNCTION("""COMPUTED_VALUE"""),49.97)</f>
        <v>49.97</v>
      </c>
      <c r="D4586" s="2">
        <f>IFERROR(__xludf.DUMMYFUNCTION("""COMPUTED_VALUE"""),49.07)</f>
        <v>49.07</v>
      </c>
      <c r="E4586" s="2">
        <f>IFERROR(__xludf.DUMMYFUNCTION("""COMPUTED_VALUE"""),49.07)</f>
        <v>49.07</v>
      </c>
      <c r="F4586" s="2">
        <f>IFERROR(__xludf.DUMMYFUNCTION("""COMPUTED_VALUE"""),3519400.0)</f>
        <v>3519400</v>
      </c>
    </row>
    <row r="4587">
      <c r="A4587" s="3">
        <f>IFERROR(__xludf.DUMMYFUNCTION("""COMPUTED_VALUE"""),35846.666666666664)</f>
        <v>35846.66667</v>
      </c>
      <c r="B4587" s="2">
        <f>IFERROR(__xludf.DUMMYFUNCTION("""COMPUTED_VALUE"""),49.19)</f>
        <v>49.19</v>
      </c>
      <c r="C4587" s="2">
        <f>IFERROR(__xludf.DUMMYFUNCTION("""COMPUTED_VALUE"""),49.4)</f>
        <v>49.4</v>
      </c>
      <c r="D4587" s="2">
        <f>IFERROR(__xludf.DUMMYFUNCTION("""COMPUTED_VALUE"""),48.5)</f>
        <v>48.5</v>
      </c>
      <c r="E4587" s="2">
        <f>IFERROR(__xludf.DUMMYFUNCTION("""COMPUTED_VALUE"""),49.01)</f>
        <v>49.01</v>
      </c>
      <c r="F4587" s="2">
        <f>IFERROR(__xludf.DUMMYFUNCTION("""COMPUTED_VALUE"""),3357700.0)</f>
        <v>3357700</v>
      </c>
    </row>
    <row r="4588">
      <c r="A4588" s="3">
        <f>IFERROR(__xludf.DUMMYFUNCTION("""COMPUTED_VALUE"""),35849.666666666664)</f>
        <v>35849.66667</v>
      </c>
      <c r="B4588" s="2">
        <f>IFERROR(__xludf.DUMMYFUNCTION("""COMPUTED_VALUE"""),49.4)</f>
        <v>49.4</v>
      </c>
      <c r="C4588" s="2">
        <f>IFERROR(__xludf.DUMMYFUNCTION("""COMPUTED_VALUE"""),49.64)</f>
        <v>49.64</v>
      </c>
      <c r="D4588" s="2">
        <f>IFERROR(__xludf.DUMMYFUNCTION("""COMPUTED_VALUE"""),49.1)</f>
        <v>49.1</v>
      </c>
      <c r="E4588" s="2">
        <f>IFERROR(__xludf.DUMMYFUNCTION("""COMPUTED_VALUE"""),49.13)</f>
        <v>49.13</v>
      </c>
      <c r="F4588" s="2">
        <f>IFERROR(__xludf.DUMMYFUNCTION("""COMPUTED_VALUE"""),2215300.0)</f>
        <v>2215300</v>
      </c>
    </row>
    <row r="4589">
      <c r="A4589" s="3">
        <f>IFERROR(__xludf.DUMMYFUNCTION("""COMPUTED_VALUE"""),35850.666666666664)</f>
        <v>35850.66667</v>
      </c>
      <c r="B4589" s="2">
        <f>IFERROR(__xludf.DUMMYFUNCTION("""COMPUTED_VALUE"""),49.01)</f>
        <v>49.01</v>
      </c>
      <c r="C4589" s="2">
        <f>IFERROR(__xludf.DUMMYFUNCTION("""COMPUTED_VALUE"""),49.13)</f>
        <v>49.13</v>
      </c>
      <c r="D4589" s="2">
        <f>IFERROR(__xludf.DUMMYFUNCTION("""COMPUTED_VALUE"""),48.59)</f>
        <v>48.59</v>
      </c>
      <c r="E4589" s="2">
        <f>IFERROR(__xludf.DUMMYFUNCTION("""COMPUTED_VALUE"""),48.95)</f>
        <v>48.95</v>
      </c>
      <c r="F4589" s="2">
        <f>IFERROR(__xludf.DUMMYFUNCTION("""COMPUTED_VALUE"""),2212100.0)</f>
        <v>2212100</v>
      </c>
    </row>
    <row r="4590">
      <c r="A4590" s="3">
        <f>IFERROR(__xludf.DUMMYFUNCTION("""COMPUTED_VALUE"""),35851.666666666664)</f>
        <v>35851.66667</v>
      </c>
      <c r="B4590" s="2">
        <f>IFERROR(__xludf.DUMMYFUNCTION("""COMPUTED_VALUE"""),48.98)</f>
        <v>48.98</v>
      </c>
      <c r="C4590" s="2">
        <f>IFERROR(__xludf.DUMMYFUNCTION("""COMPUTED_VALUE"""),50.24)</f>
        <v>50.24</v>
      </c>
      <c r="D4590" s="2">
        <f>IFERROR(__xludf.DUMMYFUNCTION("""COMPUTED_VALUE"""),48.95)</f>
        <v>48.95</v>
      </c>
      <c r="E4590" s="2">
        <f>IFERROR(__xludf.DUMMYFUNCTION("""COMPUTED_VALUE"""),50.18)</f>
        <v>50.18</v>
      </c>
      <c r="F4590" s="2">
        <f>IFERROR(__xludf.DUMMYFUNCTION("""COMPUTED_VALUE"""),3082500.0)</f>
        <v>3082500</v>
      </c>
    </row>
    <row r="4591">
      <c r="A4591" s="3">
        <f>IFERROR(__xludf.DUMMYFUNCTION("""COMPUTED_VALUE"""),35852.666666666664)</f>
        <v>35852.66667</v>
      </c>
      <c r="B4591" s="2">
        <f>IFERROR(__xludf.DUMMYFUNCTION("""COMPUTED_VALUE"""),50.03)</f>
        <v>50.03</v>
      </c>
      <c r="C4591" s="2">
        <f>IFERROR(__xludf.DUMMYFUNCTION("""COMPUTED_VALUE"""),50.56)</f>
        <v>50.56</v>
      </c>
      <c r="D4591" s="2">
        <f>IFERROR(__xludf.DUMMYFUNCTION("""COMPUTED_VALUE"""),49.82)</f>
        <v>49.82</v>
      </c>
      <c r="E4591" s="2">
        <f>IFERROR(__xludf.DUMMYFUNCTION("""COMPUTED_VALUE"""),50.41)</f>
        <v>50.41</v>
      </c>
      <c r="F4591" s="2">
        <f>IFERROR(__xludf.DUMMYFUNCTION("""COMPUTED_VALUE"""),2813200.0)</f>
        <v>2813200</v>
      </c>
    </row>
    <row r="4592">
      <c r="A4592" s="3">
        <f>IFERROR(__xludf.DUMMYFUNCTION("""COMPUTED_VALUE"""),35853.666666666664)</f>
        <v>35853.66667</v>
      </c>
      <c r="B4592" s="2">
        <f>IFERROR(__xludf.DUMMYFUNCTION("""COMPUTED_VALUE"""),50.06)</f>
        <v>50.06</v>
      </c>
      <c r="C4592" s="2">
        <f>IFERROR(__xludf.DUMMYFUNCTION("""COMPUTED_VALUE"""),50.44)</f>
        <v>50.44</v>
      </c>
      <c r="D4592" s="2">
        <f>IFERROR(__xludf.DUMMYFUNCTION("""COMPUTED_VALUE"""),49.64)</f>
        <v>49.64</v>
      </c>
      <c r="E4592" s="2">
        <f>IFERROR(__xludf.DUMMYFUNCTION("""COMPUTED_VALUE"""),49.88)</f>
        <v>49.88</v>
      </c>
      <c r="F4592" s="2">
        <f>IFERROR(__xludf.DUMMYFUNCTION("""COMPUTED_VALUE"""),2383400.0)</f>
        <v>2383400</v>
      </c>
    </row>
    <row r="4593">
      <c r="A4593" s="3">
        <f>IFERROR(__xludf.DUMMYFUNCTION("""COMPUTED_VALUE"""),35856.666666666664)</f>
        <v>35856.66667</v>
      </c>
      <c r="B4593" s="2">
        <f>IFERROR(__xludf.DUMMYFUNCTION("""COMPUTED_VALUE"""),49.76)</f>
        <v>49.76</v>
      </c>
      <c r="C4593" s="2">
        <f>IFERROR(__xludf.DUMMYFUNCTION("""COMPUTED_VALUE"""),49.91)</f>
        <v>49.91</v>
      </c>
      <c r="D4593" s="2">
        <f>IFERROR(__xludf.DUMMYFUNCTION("""COMPUTED_VALUE"""),48.41)</f>
        <v>48.41</v>
      </c>
      <c r="E4593" s="2">
        <f>IFERROR(__xludf.DUMMYFUNCTION("""COMPUTED_VALUE"""),48.68)</f>
        <v>48.68</v>
      </c>
      <c r="F4593" s="2">
        <f>IFERROR(__xludf.DUMMYFUNCTION("""COMPUTED_VALUE"""),3034900.0)</f>
        <v>3034900</v>
      </c>
    </row>
    <row r="4594">
      <c r="A4594" s="3">
        <f>IFERROR(__xludf.DUMMYFUNCTION("""COMPUTED_VALUE"""),35857.666666666664)</f>
        <v>35857.66667</v>
      </c>
      <c r="B4594" s="2">
        <f>IFERROR(__xludf.DUMMYFUNCTION("""COMPUTED_VALUE"""),47.76)</f>
        <v>47.76</v>
      </c>
      <c r="C4594" s="2">
        <f>IFERROR(__xludf.DUMMYFUNCTION("""COMPUTED_VALUE"""),48.95)</f>
        <v>48.95</v>
      </c>
      <c r="D4594" s="2">
        <f>IFERROR(__xludf.DUMMYFUNCTION("""COMPUTED_VALUE"""),47.67)</f>
        <v>47.67</v>
      </c>
      <c r="E4594" s="2">
        <f>IFERROR(__xludf.DUMMYFUNCTION("""COMPUTED_VALUE"""),48.83)</f>
        <v>48.83</v>
      </c>
      <c r="F4594" s="2">
        <f>IFERROR(__xludf.DUMMYFUNCTION("""COMPUTED_VALUE"""),3487900.0)</f>
        <v>3487900</v>
      </c>
    </row>
    <row r="4595">
      <c r="A4595" s="3">
        <f>IFERROR(__xludf.DUMMYFUNCTION("""COMPUTED_VALUE"""),35858.666666666664)</f>
        <v>35858.66667</v>
      </c>
      <c r="B4595" s="2">
        <f>IFERROR(__xludf.DUMMYFUNCTION("""COMPUTED_VALUE"""),48.71)</f>
        <v>48.71</v>
      </c>
      <c r="C4595" s="2">
        <f>IFERROR(__xludf.DUMMYFUNCTION("""COMPUTED_VALUE"""),49.34)</f>
        <v>49.34</v>
      </c>
      <c r="D4595" s="2">
        <f>IFERROR(__xludf.DUMMYFUNCTION("""COMPUTED_VALUE"""),48.59)</f>
        <v>48.59</v>
      </c>
      <c r="E4595" s="2">
        <f>IFERROR(__xludf.DUMMYFUNCTION("""COMPUTED_VALUE"""),48.74)</f>
        <v>48.74</v>
      </c>
      <c r="F4595" s="2">
        <f>IFERROR(__xludf.DUMMYFUNCTION("""COMPUTED_VALUE"""),2637500.0)</f>
        <v>2637500</v>
      </c>
    </row>
    <row r="4596">
      <c r="A4596" s="3">
        <f>IFERROR(__xludf.DUMMYFUNCTION("""COMPUTED_VALUE"""),35859.666666666664)</f>
        <v>35859.66667</v>
      </c>
      <c r="B4596" s="2">
        <f>IFERROR(__xludf.DUMMYFUNCTION("""COMPUTED_VALUE"""),47.85)</f>
        <v>47.85</v>
      </c>
      <c r="C4596" s="2">
        <f>IFERROR(__xludf.DUMMYFUNCTION("""COMPUTED_VALUE"""),47.94)</f>
        <v>47.94</v>
      </c>
      <c r="D4596" s="2">
        <f>IFERROR(__xludf.DUMMYFUNCTION("""COMPUTED_VALUE"""),47.04)</f>
        <v>47.04</v>
      </c>
      <c r="E4596" s="2">
        <f>IFERROR(__xludf.DUMMYFUNCTION("""COMPUTED_VALUE"""),47.25)</f>
        <v>47.25</v>
      </c>
      <c r="F4596" s="2">
        <f>IFERROR(__xludf.DUMMYFUNCTION("""COMPUTED_VALUE"""),4534200.0)</f>
        <v>4534200</v>
      </c>
    </row>
    <row r="4597">
      <c r="A4597" s="3">
        <f>IFERROR(__xludf.DUMMYFUNCTION("""COMPUTED_VALUE"""),35860.666666666664)</f>
        <v>35860.66667</v>
      </c>
      <c r="B4597" s="2">
        <f>IFERROR(__xludf.DUMMYFUNCTION("""COMPUTED_VALUE"""),47.34)</f>
        <v>47.34</v>
      </c>
      <c r="C4597" s="2">
        <f>IFERROR(__xludf.DUMMYFUNCTION("""COMPUTED_VALUE"""),47.64)</f>
        <v>47.64</v>
      </c>
      <c r="D4597" s="2">
        <f>IFERROR(__xludf.DUMMYFUNCTION("""COMPUTED_VALUE"""),46.92)</f>
        <v>46.92</v>
      </c>
      <c r="E4597" s="2">
        <f>IFERROR(__xludf.DUMMYFUNCTION("""COMPUTED_VALUE"""),46.98)</f>
        <v>46.98</v>
      </c>
      <c r="F4597" s="2">
        <f>IFERROR(__xludf.DUMMYFUNCTION("""COMPUTED_VALUE"""),4331400.0)</f>
        <v>4331400</v>
      </c>
    </row>
    <row r="4598">
      <c r="A4598" s="3">
        <f>IFERROR(__xludf.DUMMYFUNCTION("""COMPUTED_VALUE"""),35863.666666666664)</f>
        <v>35863.66667</v>
      </c>
      <c r="B4598" s="2">
        <f>IFERROR(__xludf.DUMMYFUNCTION("""COMPUTED_VALUE"""),46.8)</f>
        <v>46.8</v>
      </c>
      <c r="C4598" s="2">
        <f>IFERROR(__xludf.DUMMYFUNCTION("""COMPUTED_VALUE"""),46.92)</f>
        <v>46.92</v>
      </c>
      <c r="D4598" s="2">
        <f>IFERROR(__xludf.DUMMYFUNCTION("""COMPUTED_VALUE"""),45.85)</f>
        <v>45.85</v>
      </c>
      <c r="E4598" s="2">
        <f>IFERROR(__xludf.DUMMYFUNCTION("""COMPUTED_VALUE"""),45.88)</f>
        <v>45.88</v>
      </c>
      <c r="F4598" s="2">
        <f>IFERROR(__xludf.DUMMYFUNCTION("""COMPUTED_VALUE"""),5554900.0)</f>
        <v>5554900</v>
      </c>
    </row>
    <row r="4599">
      <c r="A4599" s="3">
        <f>IFERROR(__xludf.DUMMYFUNCTION("""COMPUTED_VALUE"""),35864.666666666664)</f>
        <v>35864.66667</v>
      </c>
      <c r="B4599" s="2">
        <f>IFERROR(__xludf.DUMMYFUNCTION("""COMPUTED_VALUE"""),46.5)</f>
        <v>46.5</v>
      </c>
      <c r="C4599" s="2">
        <f>IFERROR(__xludf.DUMMYFUNCTION("""COMPUTED_VALUE"""),46.89)</f>
        <v>46.89</v>
      </c>
      <c r="D4599" s="2">
        <f>IFERROR(__xludf.DUMMYFUNCTION("""COMPUTED_VALUE"""),46.18)</f>
        <v>46.18</v>
      </c>
      <c r="E4599" s="2">
        <f>IFERROR(__xludf.DUMMYFUNCTION("""COMPUTED_VALUE"""),46.62)</f>
        <v>46.62</v>
      </c>
      <c r="F4599" s="2">
        <f>IFERROR(__xludf.DUMMYFUNCTION("""COMPUTED_VALUE"""),3491800.0)</f>
        <v>3491800</v>
      </c>
    </row>
    <row r="4600">
      <c r="A4600" s="3">
        <f>IFERROR(__xludf.DUMMYFUNCTION("""COMPUTED_VALUE"""),35865.666666666664)</f>
        <v>35865.66667</v>
      </c>
      <c r="B4600" s="2">
        <f>IFERROR(__xludf.DUMMYFUNCTION("""COMPUTED_VALUE"""),46.74)</f>
        <v>46.74</v>
      </c>
      <c r="C4600" s="2">
        <f>IFERROR(__xludf.DUMMYFUNCTION("""COMPUTED_VALUE"""),47.7)</f>
        <v>47.7</v>
      </c>
      <c r="D4600" s="2">
        <f>IFERROR(__xludf.DUMMYFUNCTION("""COMPUTED_VALUE"""),46.53)</f>
        <v>46.53</v>
      </c>
      <c r="E4600" s="2">
        <f>IFERROR(__xludf.DUMMYFUNCTION("""COMPUTED_VALUE"""),47.37)</f>
        <v>47.37</v>
      </c>
      <c r="F4600" s="2">
        <f>IFERROR(__xludf.DUMMYFUNCTION("""COMPUTED_VALUE"""),2864400.0)</f>
        <v>2864400</v>
      </c>
    </row>
    <row r="4601">
      <c r="A4601" s="3">
        <f>IFERROR(__xludf.DUMMYFUNCTION("""COMPUTED_VALUE"""),35866.666666666664)</f>
        <v>35866.66667</v>
      </c>
      <c r="B4601" s="2">
        <f>IFERROR(__xludf.DUMMYFUNCTION("""COMPUTED_VALUE"""),47.37)</f>
        <v>47.37</v>
      </c>
      <c r="C4601" s="2">
        <f>IFERROR(__xludf.DUMMYFUNCTION("""COMPUTED_VALUE"""),48.06)</f>
        <v>48.06</v>
      </c>
      <c r="D4601" s="2">
        <f>IFERROR(__xludf.DUMMYFUNCTION("""COMPUTED_VALUE"""),46.89)</f>
        <v>46.89</v>
      </c>
      <c r="E4601" s="2">
        <f>IFERROR(__xludf.DUMMYFUNCTION("""COMPUTED_VALUE"""),47.88)</f>
        <v>47.88</v>
      </c>
      <c r="F4601" s="2">
        <f>IFERROR(__xludf.DUMMYFUNCTION("""COMPUTED_VALUE"""),2441400.0)</f>
        <v>2441400</v>
      </c>
    </row>
    <row r="4602">
      <c r="A4602" s="3">
        <f>IFERROR(__xludf.DUMMYFUNCTION("""COMPUTED_VALUE"""),35867.666666666664)</f>
        <v>35867.66667</v>
      </c>
      <c r="B4602" s="2">
        <f>IFERROR(__xludf.DUMMYFUNCTION("""COMPUTED_VALUE"""),48.18)</f>
        <v>48.18</v>
      </c>
      <c r="C4602" s="2">
        <f>IFERROR(__xludf.DUMMYFUNCTION("""COMPUTED_VALUE"""),48.3)</f>
        <v>48.3</v>
      </c>
      <c r="D4602" s="2">
        <f>IFERROR(__xludf.DUMMYFUNCTION("""COMPUTED_VALUE"""),47.4)</f>
        <v>47.4</v>
      </c>
      <c r="E4602" s="2">
        <f>IFERROR(__xludf.DUMMYFUNCTION("""COMPUTED_VALUE"""),47.61)</f>
        <v>47.61</v>
      </c>
      <c r="F4602" s="2">
        <f>IFERROR(__xludf.DUMMYFUNCTION("""COMPUTED_VALUE"""),2554100.0)</f>
        <v>2554100</v>
      </c>
    </row>
    <row r="4603">
      <c r="A4603" s="3">
        <f>IFERROR(__xludf.DUMMYFUNCTION("""COMPUTED_VALUE"""),35870.666666666664)</f>
        <v>35870.66667</v>
      </c>
      <c r="B4603" s="2">
        <f>IFERROR(__xludf.DUMMYFUNCTION("""COMPUTED_VALUE"""),47.4)</f>
        <v>47.4</v>
      </c>
      <c r="C4603" s="2">
        <f>IFERROR(__xludf.DUMMYFUNCTION("""COMPUTED_VALUE"""),48.41)</f>
        <v>48.41</v>
      </c>
      <c r="D4603" s="2">
        <f>IFERROR(__xludf.DUMMYFUNCTION("""COMPUTED_VALUE"""),47.4)</f>
        <v>47.4</v>
      </c>
      <c r="E4603" s="2">
        <f>IFERROR(__xludf.DUMMYFUNCTION("""COMPUTED_VALUE"""),48.39)</f>
        <v>48.39</v>
      </c>
      <c r="F4603" s="2">
        <f>IFERROR(__xludf.DUMMYFUNCTION("""COMPUTED_VALUE"""),2920100.0)</f>
        <v>2920100</v>
      </c>
    </row>
    <row r="4604">
      <c r="A4604" s="3">
        <f>IFERROR(__xludf.DUMMYFUNCTION("""COMPUTED_VALUE"""),35871.666666666664)</f>
        <v>35871.66667</v>
      </c>
      <c r="B4604" s="2">
        <f>IFERROR(__xludf.DUMMYFUNCTION("""COMPUTED_VALUE"""),48.39)</f>
        <v>48.39</v>
      </c>
      <c r="C4604" s="2">
        <f>IFERROR(__xludf.DUMMYFUNCTION("""COMPUTED_VALUE"""),48.62)</f>
        <v>48.62</v>
      </c>
      <c r="D4604" s="2">
        <f>IFERROR(__xludf.DUMMYFUNCTION("""COMPUTED_VALUE"""),47.58)</f>
        <v>47.58</v>
      </c>
      <c r="E4604" s="2">
        <f>IFERROR(__xludf.DUMMYFUNCTION("""COMPUTED_VALUE"""),48.18)</f>
        <v>48.18</v>
      </c>
      <c r="F4604" s="2">
        <f>IFERROR(__xludf.DUMMYFUNCTION("""COMPUTED_VALUE"""),3095800.0)</f>
        <v>3095800</v>
      </c>
    </row>
    <row r="4605">
      <c r="A4605" s="3">
        <f>IFERROR(__xludf.DUMMYFUNCTION("""COMPUTED_VALUE"""),35872.666666666664)</f>
        <v>35872.66667</v>
      </c>
      <c r="B4605" s="2">
        <f>IFERROR(__xludf.DUMMYFUNCTION("""COMPUTED_VALUE"""),48.06)</f>
        <v>48.06</v>
      </c>
      <c r="C4605" s="2">
        <f>IFERROR(__xludf.DUMMYFUNCTION("""COMPUTED_VALUE"""),48.83)</f>
        <v>48.83</v>
      </c>
      <c r="D4605" s="2">
        <f>IFERROR(__xludf.DUMMYFUNCTION("""COMPUTED_VALUE"""),48.06)</f>
        <v>48.06</v>
      </c>
      <c r="E4605" s="2">
        <f>IFERROR(__xludf.DUMMYFUNCTION("""COMPUTED_VALUE"""),48.5)</f>
        <v>48.5</v>
      </c>
      <c r="F4605" s="2">
        <f>IFERROR(__xludf.DUMMYFUNCTION("""COMPUTED_VALUE"""),3171900.0)</f>
        <v>3171900</v>
      </c>
    </row>
    <row r="4606">
      <c r="A4606" s="3">
        <f>IFERROR(__xludf.DUMMYFUNCTION("""COMPUTED_VALUE"""),35873.666666666664)</f>
        <v>35873.66667</v>
      </c>
      <c r="B4606" s="2">
        <f>IFERROR(__xludf.DUMMYFUNCTION("""COMPUTED_VALUE"""),48.56)</f>
        <v>48.56</v>
      </c>
      <c r="C4606" s="2">
        <f>IFERROR(__xludf.DUMMYFUNCTION("""COMPUTED_VALUE"""),49.16)</f>
        <v>49.16</v>
      </c>
      <c r="D4606" s="2">
        <f>IFERROR(__xludf.DUMMYFUNCTION("""COMPUTED_VALUE"""),48.44)</f>
        <v>48.44</v>
      </c>
      <c r="E4606" s="2">
        <f>IFERROR(__xludf.DUMMYFUNCTION("""COMPUTED_VALUE"""),49.16)</f>
        <v>49.16</v>
      </c>
      <c r="F4606" s="2">
        <f>IFERROR(__xludf.DUMMYFUNCTION("""COMPUTED_VALUE"""),2149400.0)</f>
        <v>2149400</v>
      </c>
    </row>
    <row r="4607">
      <c r="A4607" s="3">
        <f>IFERROR(__xludf.DUMMYFUNCTION("""COMPUTED_VALUE"""),35874.666666666664)</f>
        <v>35874.66667</v>
      </c>
      <c r="B4607" s="2">
        <f>IFERROR(__xludf.DUMMYFUNCTION("""COMPUTED_VALUE"""),49.19)</f>
        <v>49.19</v>
      </c>
      <c r="C4607" s="2">
        <f>IFERROR(__xludf.DUMMYFUNCTION("""COMPUTED_VALUE"""),49.31)</f>
        <v>49.31</v>
      </c>
      <c r="D4607" s="2">
        <f>IFERROR(__xludf.DUMMYFUNCTION("""COMPUTED_VALUE"""),48.44)</f>
        <v>48.44</v>
      </c>
      <c r="E4607" s="2">
        <f>IFERROR(__xludf.DUMMYFUNCTION("""COMPUTED_VALUE"""),48.8)</f>
        <v>48.8</v>
      </c>
      <c r="F4607" s="2">
        <f>IFERROR(__xludf.DUMMYFUNCTION("""COMPUTED_VALUE"""),3440200.0)</f>
        <v>3440200</v>
      </c>
    </row>
    <row r="4608">
      <c r="A4608" s="3">
        <f>IFERROR(__xludf.DUMMYFUNCTION("""COMPUTED_VALUE"""),35877.666666666664)</f>
        <v>35877.66667</v>
      </c>
      <c r="B4608" s="2">
        <f>IFERROR(__xludf.DUMMYFUNCTION("""COMPUTED_VALUE"""),48.5)</f>
        <v>48.5</v>
      </c>
      <c r="C4608" s="2">
        <f>IFERROR(__xludf.DUMMYFUNCTION("""COMPUTED_VALUE"""),49.37)</f>
        <v>49.37</v>
      </c>
      <c r="D4608" s="2">
        <f>IFERROR(__xludf.DUMMYFUNCTION("""COMPUTED_VALUE"""),48.44)</f>
        <v>48.44</v>
      </c>
      <c r="E4608" s="2">
        <f>IFERROR(__xludf.DUMMYFUNCTION("""COMPUTED_VALUE"""),48.44)</f>
        <v>48.44</v>
      </c>
      <c r="F4608" s="2">
        <f>IFERROR(__xludf.DUMMYFUNCTION("""COMPUTED_VALUE"""),2451700.0)</f>
        <v>2451700</v>
      </c>
    </row>
    <row r="4609">
      <c r="A4609" s="3">
        <f>IFERROR(__xludf.DUMMYFUNCTION("""COMPUTED_VALUE"""),35878.666666666664)</f>
        <v>35878.66667</v>
      </c>
      <c r="B4609" s="2">
        <f>IFERROR(__xludf.DUMMYFUNCTION("""COMPUTED_VALUE"""),48.83)</f>
        <v>48.83</v>
      </c>
      <c r="C4609" s="2">
        <f>IFERROR(__xludf.DUMMYFUNCTION("""COMPUTED_VALUE"""),49.52)</f>
        <v>49.52</v>
      </c>
      <c r="D4609" s="2">
        <f>IFERROR(__xludf.DUMMYFUNCTION("""COMPUTED_VALUE"""),48.8)</f>
        <v>48.8</v>
      </c>
      <c r="E4609" s="2">
        <f>IFERROR(__xludf.DUMMYFUNCTION("""COMPUTED_VALUE"""),49.43)</f>
        <v>49.43</v>
      </c>
      <c r="F4609" s="2">
        <f>IFERROR(__xludf.DUMMYFUNCTION("""COMPUTED_VALUE"""),2031600.0)</f>
        <v>2031600</v>
      </c>
    </row>
    <row r="4610">
      <c r="A4610" s="3">
        <f>IFERROR(__xludf.DUMMYFUNCTION("""COMPUTED_VALUE"""),35879.666666666664)</f>
        <v>35879.66667</v>
      </c>
      <c r="B4610" s="2">
        <f>IFERROR(__xludf.DUMMYFUNCTION("""COMPUTED_VALUE"""),50.15)</f>
        <v>50.15</v>
      </c>
      <c r="C4610" s="2">
        <f>IFERROR(__xludf.DUMMYFUNCTION("""COMPUTED_VALUE"""),50.95)</f>
        <v>50.95</v>
      </c>
      <c r="D4610" s="2">
        <f>IFERROR(__xludf.DUMMYFUNCTION("""COMPUTED_VALUE"""),50.09)</f>
        <v>50.09</v>
      </c>
      <c r="E4610" s="2">
        <f>IFERROR(__xludf.DUMMYFUNCTION("""COMPUTED_VALUE"""),50.65)</f>
        <v>50.65</v>
      </c>
      <c r="F4610" s="2">
        <f>IFERROR(__xludf.DUMMYFUNCTION("""COMPUTED_VALUE"""),5591700.0)</f>
        <v>5591700</v>
      </c>
    </row>
    <row r="4611">
      <c r="A4611" s="3">
        <f>IFERROR(__xludf.DUMMYFUNCTION("""COMPUTED_VALUE"""),35880.666666666664)</f>
        <v>35880.66667</v>
      </c>
      <c r="B4611" s="2">
        <f>IFERROR(__xludf.DUMMYFUNCTION("""COMPUTED_VALUE"""),50.56)</f>
        <v>50.56</v>
      </c>
      <c r="C4611" s="2">
        <f>IFERROR(__xludf.DUMMYFUNCTION("""COMPUTED_VALUE"""),50.92)</f>
        <v>50.92</v>
      </c>
      <c r="D4611" s="2">
        <f>IFERROR(__xludf.DUMMYFUNCTION("""COMPUTED_VALUE"""),50.18)</f>
        <v>50.18</v>
      </c>
      <c r="E4611" s="2">
        <f>IFERROR(__xludf.DUMMYFUNCTION("""COMPUTED_VALUE"""),50.18)</f>
        <v>50.18</v>
      </c>
      <c r="F4611" s="2">
        <f>IFERROR(__xludf.DUMMYFUNCTION("""COMPUTED_VALUE"""),2451300.0)</f>
        <v>2451300</v>
      </c>
    </row>
    <row r="4612">
      <c r="A4612" s="3">
        <f>IFERROR(__xludf.DUMMYFUNCTION("""COMPUTED_VALUE"""),35881.666666666664)</f>
        <v>35881.66667</v>
      </c>
      <c r="B4612" s="2">
        <f>IFERROR(__xludf.DUMMYFUNCTION("""COMPUTED_VALUE"""),50.27)</f>
        <v>50.27</v>
      </c>
      <c r="C4612" s="2">
        <f>IFERROR(__xludf.DUMMYFUNCTION("""COMPUTED_VALUE"""),50.36)</f>
        <v>50.36</v>
      </c>
      <c r="D4612" s="2">
        <f>IFERROR(__xludf.DUMMYFUNCTION("""COMPUTED_VALUE"""),49.67)</f>
        <v>49.67</v>
      </c>
      <c r="E4612" s="2">
        <f>IFERROR(__xludf.DUMMYFUNCTION("""COMPUTED_VALUE"""),49.79)</f>
        <v>49.79</v>
      </c>
      <c r="F4612" s="2">
        <f>IFERROR(__xludf.DUMMYFUNCTION("""COMPUTED_VALUE"""),2404500.0)</f>
        <v>2404500</v>
      </c>
    </row>
    <row r="4613">
      <c r="A4613" s="3">
        <f>IFERROR(__xludf.DUMMYFUNCTION("""COMPUTED_VALUE"""),35884.666666666664)</f>
        <v>35884.66667</v>
      </c>
      <c r="B4613" s="2">
        <f>IFERROR(__xludf.DUMMYFUNCTION("""COMPUTED_VALUE"""),49.73)</f>
        <v>49.73</v>
      </c>
      <c r="C4613" s="2">
        <f>IFERROR(__xludf.DUMMYFUNCTION("""COMPUTED_VALUE"""),50.09)</f>
        <v>50.09</v>
      </c>
      <c r="D4613" s="2">
        <f>IFERROR(__xludf.DUMMYFUNCTION("""COMPUTED_VALUE"""),48.95)</f>
        <v>48.95</v>
      </c>
      <c r="E4613" s="2">
        <f>IFERROR(__xludf.DUMMYFUNCTION("""COMPUTED_VALUE"""),49.28)</f>
        <v>49.28</v>
      </c>
      <c r="F4613" s="2">
        <f>IFERROR(__xludf.DUMMYFUNCTION("""COMPUTED_VALUE"""),1634500.0)</f>
        <v>1634500</v>
      </c>
    </row>
    <row r="4614">
      <c r="A4614" s="3">
        <f>IFERROR(__xludf.DUMMYFUNCTION("""COMPUTED_VALUE"""),35885.666666666664)</f>
        <v>35885.66667</v>
      </c>
      <c r="B4614" s="2">
        <f>IFERROR(__xludf.DUMMYFUNCTION("""COMPUTED_VALUE"""),49.73)</f>
        <v>49.73</v>
      </c>
      <c r="C4614" s="2">
        <f>IFERROR(__xludf.DUMMYFUNCTION("""COMPUTED_VALUE"""),50.12)</f>
        <v>50.12</v>
      </c>
      <c r="D4614" s="2">
        <f>IFERROR(__xludf.DUMMYFUNCTION("""COMPUTED_VALUE"""),49.37)</f>
        <v>49.37</v>
      </c>
      <c r="E4614" s="2">
        <f>IFERROR(__xludf.DUMMYFUNCTION("""COMPUTED_VALUE"""),49.61)</f>
        <v>49.61</v>
      </c>
      <c r="F4614" s="2">
        <f>IFERROR(__xludf.DUMMYFUNCTION("""COMPUTED_VALUE"""),2145900.0)</f>
        <v>2145900</v>
      </c>
    </row>
    <row r="4615">
      <c r="A4615" s="3">
        <f>IFERROR(__xludf.DUMMYFUNCTION("""COMPUTED_VALUE"""),35886.666666666664)</f>
        <v>35886.66667</v>
      </c>
      <c r="B4615" s="2">
        <f>IFERROR(__xludf.DUMMYFUNCTION("""COMPUTED_VALUE"""),49.61)</f>
        <v>49.61</v>
      </c>
      <c r="C4615" s="2">
        <f>IFERROR(__xludf.DUMMYFUNCTION("""COMPUTED_VALUE"""),50.06)</f>
        <v>50.06</v>
      </c>
      <c r="D4615" s="2">
        <f>IFERROR(__xludf.DUMMYFUNCTION("""COMPUTED_VALUE"""),49.34)</f>
        <v>49.34</v>
      </c>
      <c r="E4615" s="2">
        <f>IFERROR(__xludf.DUMMYFUNCTION("""COMPUTED_VALUE"""),49.85)</f>
        <v>49.85</v>
      </c>
      <c r="F4615" s="2">
        <f>IFERROR(__xludf.DUMMYFUNCTION("""COMPUTED_VALUE"""),2297000.0)</f>
        <v>2297000</v>
      </c>
    </row>
    <row r="4616">
      <c r="A4616" s="3">
        <f>IFERROR(__xludf.DUMMYFUNCTION("""COMPUTED_VALUE"""),35887.666666666664)</f>
        <v>35887.66667</v>
      </c>
      <c r="B4616" s="2">
        <f>IFERROR(__xludf.DUMMYFUNCTION("""COMPUTED_VALUE"""),49.82)</f>
        <v>49.82</v>
      </c>
      <c r="C4616" s="2">
        <f>IFERROR(__xludf.DUMMYFUNCTION("""COMPUTED_VALUE"""),50.95)</f>
        <v>50.95</v>
      </c>
      <c r="D4616" s="2">
        <f>IFERROR(__xludf.DUMMYFUNCTION("""COMPUTED_VALUE"""),49.67)</f>
        <v>49.67</v>
      </c>
      <c r="E4616" s="2">
        <f>IFERROR(__xludf.DUMMYFUNCTION("""COMPUTED_VALUE"""),50.53)</f>
        <v>50.53</v>
      </c>
      <c r="F4616" s="2">
        <f>IFERROR(__xludf.DUMMYFUNCTION("""COMPUTED_VALUE"""),3060600.0)</f>
        <v>3060600</v>
      </c>
    </row>
    <row r="4617">
      <c r="A4617" s="3">
        <f>IFERROR(__xludf.DUMMYFUNCTION("""COMPUTED_VALUE"""),35888.666666666664)</f>
        <v>35888.66667</v>
      </c>
      <c r="B4617" s="2">
        <f>IFERROR(__xludf.DUMMYFUNCTION("""COMPUTED_VALUE"""),50.44)</f>
        <v>50.44</v>
      </c>
      <c r="C4617" s="2">
        <f>IFERROR(__xludf.DUMMYFUNCTION("""COMPUTED_VALUE"""),50.8)</f>
        <v>50.8</v>
      </c>
      <c r="D4617" s="2">
        <f>IFERROR(__xludf.DUMMYFUNCTION("""COMPUTED_VALUE"""),49.64)</f>
        <v>49.64</v>
      </c>
      <c r="E4617" s="2">
        <f>IFERROR(__xludf.DUMMYFUNCTION("""COMPUTED_VALUE"""),50.0)</f>
        <v>50</v>
      </c>
      <c r="F4617" s="2">
        <f>IFERROR(__xludf.DUMMYFUNCTION("""COMPUTED_VALUE"""),2724000.0)</f>
        <v>2724000</v>
      </c>
    </row>
    <row r="4618">
      <c r="A4618" s="3">
        <f>IFERROR(__xludf.DUMMYFUNCTION("""COMPUTED_VALUE"""),35891.666666666664)</f>
        <v>35891.66667</v>
      </c>
      <c r="B4618" s="2">
        <f>IFERROR(__xludf.DUMMYFUNCTION("""COMPUTED_VALUE"""),50.44)</f>
        <v>50.44</v>
      </c>
      <c r="C4618" s="2">
        <f>IFERROR(__xludf.DUMMYFUNCTION("""COMPUTED_VALUE"""),50.83)</f>
        <v>50.83</v>
      </c>
      <c r="D4618" s="2">
        <f>IFERROR(__xludf.DUMMYFUNCTION("""COMPUTED_VALUE"""),49.64)</f>
        <v>49.64</v>
      </c>
      <c r="E4618" s="2">
        <f>IFERROR(__xludf.DUMMYFUNCTION("""COMPUTED_VALUE"""),50.65)</f>
        <v>50.65</v>
      </c>
      <c r="F4618" s="2">
        <f>IFERROR(__xludf.DUMMYFUNCTION("""COMPUTED_VALUE"""),3216800.0)</f>
        <v>3216800</v>
      </c>
    </row>
    <row r="4619">
      <c r="A4619" s="3">
        <f>IFERROR(__xludf.DUMMYFUNCTION("""COMPUTED_VALUE"""),35892.666666666664)</f>
        <v>35892.66667</v>
      </c>
      <c r="B4619" s="2">
        <f>IFERROR(__xludf.DUMMYFUNCTION("""COMPUTED_VALUE"""),50.5)</f>
        <v>50.5</v>
      </c>
      <c r="C4619" s="2">
        <f>IFERROR(__xludf.DUMMYFUNCTION("""COMPUTED_VALUE"""),50.53)</f>
        <v>50.53</v>
      </c>
      <c r="D4619" s="2">
        <f>IFERROR(__xludf.DUMMYFUNCTION("""COMPUTED_VALUE"""),49.46)</f>
        <v>49.46</v>
      </c>
      <c r="E4619" s="2">
        <f>IFERROR(__xludf.DUMMYFUNCTION("""COMPUTED_VALUE"""),50.0)</f>
        <v>50</v>
      </c>
      <c r="F4619" s="2">
        <f>IFERROR(__xludf.DUMMYFUNCTION("""COMPUTED_VALUE"""),2363300.0)</f>
        <v>2363300</v>
      </c>
    </row>
    <row r="4620">
      <c r="A4620" s="3">
        <f>IFERROR(__xludf.DUMMYFUNCTION("""COMPUTED_VALUE"""),35893.666666666664)</f>
        <v>35893.66667</v>
      </c>
      <c r="B4620" s="2">
        <f>IFERROR(__xludf.DUMMYFUNCTION("""COMPUTED_VALUE"""),50.03)</f>
        <v>50.03</v>
      </c>
      <c r="C4620" s="2">
        <f>IFERROR(__xludf.DUMMYFUNCTION("""COMPUTED_VALUE"""),50.44)</f>
        <v>50.44</v>
      </c>
      <c r="D4620" s="2">
        <f>IFERROR(__xludf.DUMMYFUNCTION("""COMPUTED_VALUE"""),49.61)</f>
        <v>49.61</v>
      </c>
      <c r="E4620" s="2">
        <f>IFERROR(__xludf.DUMMYFUNCTION("""COMPUTED_VALUE"""),49.91)</f>
        <v>49.91</v>
      </c>
      <c r="F4620" s="2">
        <f>IFERROR(__xludf.DUMMYFUNCTION("""COMPUTED_VALUE"""),2216800.0)</f>
        <v>2216800</v>
      </c>
    </row>
    <row r="4621">
      <c r="A4621" s="3">
        <f>IFERROR(__xludf.DUMMYFUNCTION("""COMPUTED_VALUE"""),35894.666666666664)</f>
        <v>35894.66667</v>
      </c>
      <c r="B4621" s="2">
        <f>IFERROR(__xludf.DUMMYFUNCTION("""COMPUTED_VALUE"""),50.44)</f>
        <v>50.44</v>
      </c>
      <c r="C4621" s="2">
        <f>IFERROR(__xludf.DUMMYFUNCTION("""COMPUTED_VALUE"""),50.86)</f>
        <v>50.86</v>
      </c>
      <c r="D4621" s="2">
        <f>IFERROR(__xludf.DUMMYFUNCTION("""COMPUTED_VALUE"""),50.33)</f>
        <v>50.33</v>
      </c>
      <c r="E4621" s="2">
        <f>IFERROR(__xludf.DUMMYFUNCTION("""COMPUTED_VALUE"""),50.71)</f>
        <v>50.71</v>
      </c>
      <c r="F4621" s="2">
        <f>IFERROR(__xludf.DUMMYFUNCTION("""COMPUTED_VALUE"""),2694900.0)</f>
        <v>2694900</v>
      </c>
    </row>
    <row r="4622">
      <c r="A4622" s="3">
        <f>IFERROR(__xludf.DUMMYFUNCTION("""COMPUTED_VALUE"""),35898.666666666664)</f>
        <v>35898.66667</v>
      </c>
      <c r="B4622" s="2">
        <f>IFERROR(__xludf.DUMMYFUNCTION("""COMPUTED_VALUE"""),50.89)</f>
        <v>50.89</v>
      </c>
      <c r="C4622" s="2">
        <f>IFERROR(__xludf.DUMMYFUNCTION("""COMPUTED_VALUE"""),51.49)</f>
        <v>51.49</v>
      </c>
      <c r="D4622" s="2">
        <f>IFERROR(__xludf.DUMMYFUNCTION("""COMPUTED_VALUE"""),49.76)</f>
        <v>49.76</v>
      </c>
      <c r="E4622" s="2">
        <f>IFERROR(__xludf.DUMMYFUNCTION("""COMPUTED_VALUE"""),49.76)</f>
        <v>49.76</v>
      </c>
      <c r="F4622" s="2">
        <f>IFERROR(__xludf.DUMMYFUNCTION("""COMPUTED_VALUE"""),3567300.0)</f>
        <v>3567300</v>
      </c>
    </row>
    <row r="4623">
      <c r="A4623" s="3">
        <f>IFERROR(__xludf.DUMMYFUNCTION("""COMPUTED_VALUE"""),35899.666666666664)</f>
        <v>35899.66667</v>
      </c>
      <c r="B4623" s="2">
        <f>IFERROR(__xludf.DUMMYFUNCTION("""COMPUTED_VALUE"""),50.15)</f>
        <v>50.15</v>
      </c>
      <c r="C4623" s="2">
        <f>IFERROR(__xludf.DUMMYFUNCTION("""COMPUTED_VALUE"""),50.74)</f>
        <v>50.74</v>
      </c>
      <c r="D4623" s="2">
        <f>IFERROR(__xludf.DUMMYFUNCTION("""COMPUTED_VALUE"""),49.97)</f>
        <v>49.97</v>
      </c>
      <c r="E4623" s="2">
        <f>IFERROR(__xludf.DUMMYFUNCTION("""COMPUTED_VALUE"""),50.68)</f>
        <v>50.68</v>
      </c>
      <c r="F4623" s="2">
        <f>IFERROR(__xludf.DUMMYFUNCTION("""COMPUTED_VALUE"""),1955900.0)</f>
        <v>1955900</v>
      </c>
    </row>
    <row r="4624">
      <c r="A4624" s="3">
        <f>IFERROR(__xludf.DUMMYFUNCTION("""COMPUTED_VALUE"""),35900.666666666664)</f>
        <v>35900.66667</v>
      </c>
      <c r="B4624" s="2">
        <f>IFERROR(__xludf.DUMMYFUNCTION("""COMPUTED_VALUE"""),51.04)</f>
        <v>51.04</v>
      </c>
      <c r="C4624" s="2">
        <f>IFERROR(__xludf.DUMMYFUNCTION("""COMPUTED_VALUE"""),52.44)</f>
        <v>52.44</v>
      </c>
      <c r="D4624" s="2">
        <f>IFERROR(__xludf.DUMMYFUNCTION("""COMPUTED_VALUE"""),50.86)</f>
        <v>50.86</v>
      </c>
      <c r="E4624" s="2">
        <f>IFERROR(__xludf.DUMMYFUNCTION("""COMPUTED_VALUE"""),52.38)</f>
        <v>52.38</v>
      </c>
      <c r="F4624" s="2">
        <f>IFERROR(__xludf.DUMMYFUNCTION("""COMPUTED_VALUE"""),4011100.0)</f>
        <v>4011100</v>
      </c>
    </row>
    <row r="4625">
      <c r="A4625" s="3">
        <f>IFERROR(__xludf.DUMMYFUNCTION("""COMPUTED_VALUE"""),35901.666666666664)</f>
        <v>35901.66667</v>
      </c>
      <c r="B4625" s="2">
        <f>IFERROR(__xludf.DUMMYFUNCTION("""COMPUTED_VALUE"""),52.35)</f>
        <v>52.35</v>
      </c>
      <c r="C4625" s="2">
        <f>IFERROR(__xludf.DUMMYFUNCTION("""COMPUTED_VALUE"""),52.53)</f>
        <v>52.53</v>
      </c>
      <c r="D4625" s="2">
        <f>IFERROR(__xludf.DUMMYFUNCTION("""COMPUTED_VALUE"""),51.4)</f>
        <v>51.4</v>
      </c>
      <c r="E4625" s="2">
        <f>IFERROR(__xludf.DUMMYFUNCTION("""COMPUTED_VALUE"""),51.49)</f>
        <v>51.49</v>
      </c>
      <c r="F4625" s="2">
        <f>IFERROR(__xludf.DUMMYFUNCTION("""COMPUTED_VALUE"""),2972600.0)</f>
        <v>2972600</v>
      </c>
    </row>
    <row r="4626">
      <c r="A4626" s="3">
        <f>IFERROR(__xludf.DUMMYFUNCTION("""COMPUTED_VALUE"""),35902.666666666664)</f>
        <v>35902.66667</v>
      </c>
      <c r="B4626" s="2">
        <f>IFERROR(__xludf.DUMMYFUNCTION("""COMPUTED_VALUE"""),51.31)</f>
        <v>51.31</v>
      </c>
      <c r="C4626" s="2">
        <f>IFERROR(__xludf.DUMMYFUNCTION("""COMPUTED_VALUE"""),51.55)</f>
        <v>51.55</v>
      </c>
      <c r="D4626" s="2">
        <f>IFERROR(__xludf.DUMMYFUNCTION("""COMPUTED_VALUE"""),50.86)</f>
        <v>50.86</v>
      </c>
      <c r="E4626" s="2">
        <f>IFERROR(__xludf.DUMMYFUNCTION("""COMPUTED_VALUE"""),51.55)</f>
        <v>51.55</v>
      </c>
      <c r="F4626" s="2">
        <f>IFERROR(__xludf.DUMMYFUNCTION("""COMPUTED_VALUE"""),2855400.0)</f>
        <v>2855400</v>
      </c>
    </row>
    <row r="4627">
      <c r="A4627" s="3">
        <f>IFERROR(__xludf.DUMMYFUNCTION("""COMPUTED_VALUE"""),35905.666666666664)</f>
        <v>35905.66667</v>
      </c>
      <c r="B4627" s="2">
        <f>IFERROR(__xludf.DUMMYFUNCTION("""COMPUTED_VALUE"""),51.55)</f>
        <v>51.55</v>
      </c>
      <c r="C4627" s="2">
        <f>IFERROR(__xludf.DUMMYFUNCTION("""COMPUTED_VALUE"""),52.77)</f>
        <v>52.77</v>
      </c>
      <c r="D4627" s="2">
        <f>IFERROR(__xludf.DUMMYFUNCTION("""COMPUTED_VALUE"""),51.22)</f>
        <v>51.22</v>
      </c>
      <c r="E4627" s="2">
        <f>IFERROR(__xludf.DUMMYFUNCTION("""COMPUTED_VALUE"""),52.35)</f>
        <v>52.35</v>
      </c>
      <c r="F4627" s="2">
        <f>IFERROR(__xludf.DUMMYFUNCTION("""COMPUTED_VALUE"""),4128800.0)</f>
        <v>4128800</v>
      </c>
    </row>
    <row r="4628">
      <c r="A4628" s="3">
        <f>IFERROR(__xludf.DUMMYFUNCTION("""COMPUTED_VALUE"""),35906.666666666664)</f>
        <v>35906.66667</v>
      </c>
      <c r="B4628" s="2">
        <f>IFERROR(__xludf.DUMMYFUNCTION("""COMPUTED_VALUE"""),54.92)</f>
        <v>54.92</v>
      </c>
      <c r="C4628" s="2">
        <f>IFERROR(__xludf.DUMMYFUNCTION("""COMPUTED_VALUE"""),56.59)</f>
        <v>56.59</v>
      </c>
      <c r="D4628" s="2">
        <f>IFERROR(__xludf.DUMMYFUNCTION("""COMPUTED_VALUE"""),54.71)</f>
        <v>54.71</v>
      </c>
      <c r="E4628" s="2">
        <f>IFERROR(__xludf.DUMMYFUNCTION("""COMPUTED_VALUE"""),56.35)</f>
        <v>56.35</v>
      </c>
      <c r="F4628" s="2">
        <f>IFERROR(__xludf.DUMMYFUNCTION("""COMPUTED_VALUE"""),1.02482E7)</f>
        <v>10248200</v>
      </c>
    </row>
    <row r="4629">
      <c r="A4629" s="3">
        <f>IFERROR(__xludf.DUMMYFUNCTION("""COMPUTED_VALUE"""),35907.666666666664)</f>
        <v>35907.66667</v>
      </c>
      <c r="B4629" s="2">
        <f>IFERROR(__xludf.DUMMYFUNCTION("""COMPUTED_VALUE"""),56.35)</f>
        <v>56.35</v>
      </c>
      <c r="C4629" s="2">
        <f>IFERROR(__xludf.DUMMYFUNCTION("""COMPUTED_VALUE"""),57.31)</f>
        <v>57.31</v>
      </c>
      <c r="D4629" s="2">
        <f>IFERROR(__xludf.DUMMYFUNCTION("""COMPUTED_VALUE"""),54.77)</f>
        <v>54.77</v>
      </c>
      <c r="E4629" s="2">
        <f>IFERROR(__xludf.DUMMYFUNCTION("""COMPUTED_VALUE"""),54.77)</f>
        <v>54.77</v>
      </c>
      <c r="F4629" s="2">
        <f>IFERROR(__xludf.DUMMYFUNCTION("""COMPUTED_VALUE"""),5736700.0)</f>
        <v>5736700</v>
      </c>
    </row>
    <row r="4630">
      <c r="A4630" s="3">
        <f>IFERROR(__xludf.DUMMYFUNCTION("""COMPUTED_VALUE"""),35908.666666666664)</f>
        <v>35908.66667</v>
      </c>
      <c r="B4630" s="2">
        <f>IFERROR(__xludf.DUMMYFUNCTION("""COMPUTED_VALUE"""),54.68)</f>
        <v>54.68</v>
      </c>
      <c r="C4630" s="2">
        <f>IFERROR(__xludf.DUMMYFUNCTION("""COMPUTED_VALUE"""),56.18)</f>
        <v>56.18</v>
      </c>
      <c r="D4630" s="2">
        <f>IFERROR(__xludf.DUMMYFUNCTION("""COMPUTED_VALUE"""),54.56)</f>
        <v>54.56</v>
      </c>
      <c r="E4630" s="2">
        <f>IFERROR(__xludf.DUMMYFUNCTION("""COMPUTED_VALUE"""),56.12)</f>
        <v>56.12</v>
      </c>
      <c r="F4630" s="2">
        <f>IFERROR(__xludf.DUMMYFUNCTION("""COMPUTED_VALUE"""),3962900.0)</f>
        <v>3962900</v>
      </c>
    </row>
    <row r="4631">
      <c r="A4631" s="3">
        <f>IFERROR(__xludf.DUMMYFUNCTION("""COMPUTED_VALUE"""),35909.666666666664)</f>
        <v>35909.66667</v>
      </c>
      <c r="B4631" s="2">
        <f>IFERROR(__xludf.DUMMYFUNCTION("""COMPUTED_VALUE"""),55.76)</f>
        <v>55.76</v>
      </c>
      <c r="C4631" s="2">
        <f>IFERROR(__xludf.DUMMYFUNCTION("""COMPUTED_VALUE"""),56.29)</f>
        <v>56.29</v>
      </c>
      <c r="D4631" s="2">
        <f>IFERROR(__xludf.DUMMYFUNCTION("""COMPUTED_VALUE"""),55.52)</f>
        <v>55.52</v>
      </c>
      <c r="E4631" s="2">
        <f>IFERROR(__xludf.DUMMYFUNCTION("""COMPUTED_VALUE"""),56.03)</f>
        <v>56.03</v>
      </c>
      <c r="F4631" s="2">
        <f>IFERROR(__xludf.DUMMYFUNCTION("""COMPUTED_VALUE"""),3590600.0)</f>
        <v>3590600</v>
      </c>
    </row>
    <row r="4632">
      <c r="A4632" s="3">
        <f>IFERROR(__xludf.DUMMYFUNCTION("""COMPUTED_VALUE"""),35912.666666666664)</f>
        <v>35912.66667</v>
      </c>
      <c r="B4632" s="2">
        <f>IFERROR(__xludf.DUMMYFUNCTION("""COMPUTED_VALUE"""),54.86)</f>
        <v>54.86</v>
      </c>
      <c r="C4632" s="2">
        <f>IFERROR(__xludf.DUMMYFUNCTION("""COMPUTED_VALUE"""),55.7)</f>
        <v>55.7</v>
      </c>
      <c r="D4632" s="2">
        <f>IFERROR(__xludf.DUMMYFUNCTION("""COMPUTED_VALUE"""),54.62)</f>
        <v>54.62</v>
      </c>
      <c r="E4632" s="2">
        <f>IFERROR(__xludf.DUMMYFUNCTION("""COMPUTED_VALUE"""),54.92)</f>
        <v>54.92</v>
      </c>
      <c r="F4632" s="2">
        <f>IFERROR(__xludf.DUMMYFUNCTION("""COMPUTED_VALUE"""),3714100.0)</f>
        <v>3714100</v>
      </c>
    </row>
    <row r="4633">
      <c r="A4633" s="3">
        <f>IFERROR(__xludf.DUMMYFUNCTION("""COMPUTED_VALUE"""),35913.666666666664)</f>
        <v>35913.66667</v>
      </c>
      <c r="B4633" s="2">
        <f>IFERROR(__xludf.DUMMYFUNCTION("""COMPUTED_VALUE"""),55.46)</f>
        <v>55.46</v>
      </c>
      <c r="C4633" s="2">
        <f>IFERROR(__xludf.DUMMYFUNCTION("""COMPUTED_VALUE"""),56.53)</f>
        <v>56.53</v>
      </c>
      <c r="D4633" s="2">
        <f>IFERROR(__xludf.DUMMYFUNCTION("""COMPUTED_VALUE"""),55.07)</f>
        <v>55.07</v>
      </c>
      <c r="E4633" s="2">
        <f>IFERROR(__xludf.DUMMYFUNCTION("""COMPUTED_VALUE"""),55.31)</f>
        <v>55.31</v>
      </c>
      <c r="F4633" s="2">
        <f>IFERROR(__xludf.DUMMYFUNCTION("""COMPUTED_VALUE"""),4737600.0)</f>
        <v>4737600</v>
      </c>
    </row>
    <row r="4634">
      <c r="A4634" s="3">
        <f>IFERROR(__xludf.DUMMYFUNCTION("""COMPUTED_VALUE"""),35914.666666666664)</f>
        <v>35914.66667</v>
      </c>
      <c r="B4634" s="2">
        <f>IFERROR(__xludf.DUMMYFUNCTION("""COMPUTED_VALUE"""),55.25)</f>
        <v>55.25</v>
      </c>
      <c r="C4634" s="2">
        <f>IFERROR(__xludf.DUMMYFUNCTION("""COMPUTED_VALUE"""),55.82)</f>
        <v>55.82</v>
      </c>
      <c r="D4634" s="2">
        <f>IFERROR(__xludf.DUMMYFUNCTION("""COMPUTED_VALUE"""),54.74)</f>
        <v>54.74</v>
      </c>
      <c r="E4634" s="2">
        <f>IFERROR(__xludf.DUMMYFUNCTION("""COMPUTED_VALUE"""),55.1)</f>
        <v>55.1</v>
      </c>
      <c r="F4634" s="2">
        <f>IFERROR(__xludf.DUMMYFUNCTION("""COMPUTED_VALUE"""),2996200.0)</f>
        <v>2996200</v>
      </c>
    </row>
    <row r="4635">
      <c r="A4635" s="3">
        <f>IFERROR(__xludf.DUMMYFUNCTION("""COMPUTED_VALUE"""),35915.666666666664)</f>
        <v>35915.66667</v>
      </c>
      <c r="B4635" s="2">
        <f>IFERROR(__xludf.DUMMYFUNCTION("""COMPUTED_VALUE"""),55.43)</f>
        <v>55.43</v>
      </c>
      <c r="C4635" s="2">
        <f>IFERROR(__xludf.DUMMYFUNCTION("""COMPUTED_VALUE"""),56.09)</f>
        <v>56.09</v>
      </c>
      <c r="D4635" s="2">
        <f>IFERROR(__xludf.DUMMYFUNCTION("""COMPUTED_VALUE"""),55.16)</f>
        <v>55.16</v>
      </c>
      <c r="E4635" s="2">
        <f>IFERROR(__xludf.DUMMYFUNCTION("""COMPUTED_VALUE"""),55.34)</f>
        <v>55.34</v>
      </c>
      <c r="F4635" s="2">
        <f>IFERROR(__xludf.DUMMYFUNCTION("""COMPUTED_VALUE"""),3286000.0)</f>
        <v>3286000</v>
      </c>
    </row>
    <row r="4636">
      <c r="A4636" s="3">
        <f>IFERROR(__xludf.DUMMYFUNCTION("""COMPUTED_VALUE"""),35916.666666666664)</f>
        <v>35916.66667</v>
      </c>
      <c r="B4636" s="2">
        <f>IFERROR(__xludf.DUMMYFUNCTION("""COMPUTED_VALUE"""),55.37)</f>
        <v>55.37</v>
      </c>
      <c r="C4636" s="2">
        <f>IFERROR(__xludf.DUMMYFUNCTION("""COMPUTED_VALUE"""),56.06)</f>
        <v>56.06</v>
      </c>
      <c r="D4636" s="2">
        <f>IFERROR(__xludf.DUMMYFUNCTION("""COMPUTED_VALUE"""),55.16)</f>
        <v>55.16</v>
      </c>
      <c r="E4636" s="2">
        <f>IFERROR(__xludf.DUMMYFUNCTION("""COMPUTED_VALUE"""),55.82)</f>
        <v>55.82</v>
      </c>
      <c r="F4636" s="2">
        <f>IFERROR(__xludf.DUMMYFUNCTION("""COMPUTED_VALUE"""),2158100.0)</f>
        <v>2158100</v>
      </c>
    </row>
    <row r="4637">
      <c r="A4637" s="3">
        <f>IFERROR(__xludf.DUMMYFUNCTION("""COMPUTED_VALUE"""),35919.666666666664)</f>
        <v>35919.66667</v>
      </c>
      <c r="B4637" s="2">
        <f>IFERROR(__xludf.DUMMYFUNCTION("""COMPUTED_VALUE"""),55.94)</f>
        <v>55.94</v>
      </c>
      <c r="C4637" s="2">
        <f>IFERROR(__xludf.DUMMYFUNCTION("""COMPUTED_VALUE"""),56.77)</f>
        <v>56.77</v>
      </c>
      <c r="D4637" s="2">
        <f>IFERROR(__xludf.DUMMYFUNCTION("""COMPUTED_VALUE"""),55.7)</f>
        <v>55.7</v>
      </c>
      <c r="E4637" s="2">
        <f>IFERROR(__xludf.DUMMYFUNCTION("""COMPUTED_VALUE"""),55.7)</f>
        <v>55.7</v>
      </c>
      <c r="F4637" s="2">
        <f>IFERROR(__xludf.DUMMYFUNCTION("""COMPUTED_VALUE"""),2364200.0)</f>
        <v>2364200</v>
      </c>
    </row>
    <row r="4638">
      <c r="A4638" s="3">
        <f>IFERROR(__xludf.DUMMYFUNCTION("""COMPUTED_VALUE"""),35920.666666666664)</f>
        <v>35920.66667</v>
      </c>
      <c r="B4638" s="2">
        <f>IFERROR(__xludf.DUMMYFUNCTION("""COMPUTED_VALUE"""),55.73)</f>
        <v>55.73</v>
      </c>
      <c r="C4638" s="2">
        <f>IFERROR(__xludf.DUMMYFUNCTION("""COMPUTED_VALUE"""),56.47)</f>
        <v>56.47</v>
      </c>
      <c r="D4638" s="2">
        <f>IFERROR(__xludf.DUMMYFUNCTION("""COMPUTED_VALUE"""),55.73)</f>
        <v>55.73</v>
      </c>
      <c r="E4638" s="2">
        <f>IFERROR(__xludf.DUMMYFUNCTION("""COMPUTED_VALUE"""),56.27)</f>
        <v>56.27</v>
      </c>
      <c r="F4638" s="2">
        <f>IFERROR(__xludf.DUMMYFUNCTION("""COMPUTED_VALUE"""),2417600.0)</f>
        <v>2417600</v>
      </c>
    </row>
    <row r="4639">
      <c r="A4639" s="3">
        <f>IFERROR(__xludf.DUMMYFUNCTION("""COMPUTED_VALUE"""),35921.666666666664)</f>
        <v>35921.66667</v>
      </c>
      <c r="B4639" s="2">
        <f>IFERROR(__xludf.DUMMYFUNCTION("""COMPUTED_VALUE"""),56.35)</f>
        <v>56.35</v>
      </c>
      <c r="C4639" s="2">
        <f>IFERROR(__xludf.DUMMYFUNCTION("""COMPUTED_VALUE"""),56.8)</f>
        <v>56.8</v>
      </c>
      <c r="D4639" s="2">
        <f>IFERROR(__xludf.DUMMYFUNCTION("""COMPUTED_VALUE"""),56.12)</f>
        <v>56.12</v>
      </c>
      <c r="E4639" s="2">
        <f>IFERROR(__xludf.DUMMYFUNCTION("""COMPUTED_VALUE"""),56.15)</f>
        <v>56.15</v>
      </c>
      <c r="F4639" s="2">
        <f>IFERROR(__xludf.DUMMYFUNCTION("""COMPUTED_VALUE"""),2785900.0)</f>
        <v>2785900</v>
      </c>
    </row>
    <row r="4640">
      <c r="A4640" s="3">
        <f>IFERROR(__xludf.DUMMYFUNCTION("""COMPUTED_VALUE"""),35922.666666666664)</f>
        <v>35922.66667</v>
      </c>
      <c r="B4640" s="2">
        <f>IFERROR(__xludf.DUMMYFUNCTION("""COMPUTED_VALUE"""),56.12)</f>
        <v>56.12</v>
      </c>
      <c r="C4640" s="2">
        <f>IFERROR(__xludf.DUMMYFUNCTION("""COMPUTED_VALUE"""),56.24)</f>
        <v>56.24</v>
      </c>
      <c r="D4640" s="2">
        <f>IFERROR(__xludf.DUMMYFUNCTION("""COMPUTED_VALUE"""),55.46)</f>
        <v>55.46</v>
      </c>
      <c r="E4640" s="2">
        <f>IFERROR(__xludf.DUMMYFUNCTION("""COMPUTED_VALUE"""),55.94)</f>
        <v>55.94</v>
      </c>
      <c r="F4640" s="2">
        <f>IFERROR(__xludf.DUMMYFUNCTION("""COMPUTED_VALUE"""),2232100.0)</f>
        <v>2232100</v>
      </c>
    </row>
    <row r="4641">
      <c r="A4641" s="3">
        <f>IFERROR(__xludf.DUMMYFUNCTION("""COMPUTED_VALUE"""),35923.666666666664)</f>
        <v>35923.66667</v>
      </c>
      <c r="B4641" s="2">
        <f>IFERROR(__xludf.DUMMYFUNCTION("""COMPUTED_VALUE"""),55.85)</f>
        <v>55.85</v>
      </c>
      <c r="C4641" s="2">
        <f>IFERROR(__xludf.DUMMYFUNCTION("""COMPUTED_VALUE"""),57.31)</f>
        <v>57.31</v>
      </c>
      <c r="D4641" s="2">
        <f>IFERROR(__xludf.DUMMYFUNCTION("""COMPUTED_VALUE"""),55.82)</f>
        <v>55.82</v>
      </c>
      <c r="E4641" s="2">
        <f>IFERROR(__xludf.DUMMYFUNCTION("""COMPUTED_VALUE"""),57.31)</f>
        <v>57.31</v>
      </c>
      <c r="F4641" s="2">
        <f>IFERROR(__xludf.DUMMYFUNCTION("""COMPUTED_VALUE"""),3359100.0)</f>
        <v>3359100</v>
      </c>
    </row>
    <row r="4642">
      <c r="A4642" s="3">
        <f>IFERROR(__xludf.DUMMYFUNCTION("""COMPUTED_VALUE"""),35926.666666666664)</f>
        <v>35926.66667</v>
      </c>
      <c r="B4642" s="2">
        <f>IFERROR(__xludf.DUMMYFUNCTION("""COMPUTED_VALUE"""),57.4)</f>
        <v>57.4</v>
      </c>
      <c r="C4642" s="2">
        <f>IFERROR(__xludf.DUMMYFUNCTION("""COMPUTED_VALUE"""),58.62)</f>
        <v>58.62</v>
      </c>
      <c r="D4642" s="2">
        <f>IFERROR(__xludf.DUMMYFUNCTION("""COMPUTED_VALUE"""),56.5)</f>
        <v>56.5</v>
      </c>
      <c r="E4642" s="2">
        <f>IFERROR(__xludf.DUMMYFUNCTION("""COMPUTED_VALUE"""),56.98)</f>
        <v>56.98</v>
      </c>
      <c r="F4642" s="2">
        <f>IFERROR(__xludf.DUMMYFUNCTION("""COMPUTED_VALUE"""),4271000.0)</f>
        <v>4271000</v>
      </c>
    </row>
    <row r="4643">
      <c r="A4643" s="3">
        <f>IFERROR(__xludf.DUMMYFUNCTION("""COMPUTED_VALUE"""),35927.666666666664)</f>
        <v>35927.66667</v>
      </c>
      <c r="B4643" s="2">
        <f>IFERROR(__xludf.DUMMYFUNCTION("""COMPUTED_VALUE"""),56.47)</f>
        <v>56.47</v>
      </c>
      <c r="C4643" s="2">
        <f>IFERROR(__xludf.DUMMYFUNCTION("""COMPUTED_VALUE"""),57.31)</f>
        <v>57.31</v>
      </c>
      <c r="D4643" s="2">
        <f>IFERROR(__xludf.DUMMYFUNCTION("""COMPUTED_VALUE"""),56.03)</f>
        <v>56.03</v>
      </c>
      <c r="E4643" s="2">
        <f>IFERROR(__xludf.DUMMYFUNCTION("""COMPUTED_VALUE"""),57.13)</f>
        <v>57.13</v>
      </c>
      <c r="F4643" s="2">
        <f>IFERROR(__xludf.DUMMYFUNCTION("""COMPUTED_VALUE"""),3015900.0)</f>
        <v>3015900</v>
      </c>
    </row>
    <row r="4644">
      <c r="A4644" s="3">
        <f>IFERROR(__xludf.DUMMYFUNCTION("""COMPUTED_VALUE"""),35928.666666666664)</f>
        <v>35928.66667</v>
      </c>
      <c r="B4644" s="2">
        <f>IFERROR(__xludf.DUMMYFUNCTION("""COMPUTED_VALUE"""),57.43)</f>
        <v>57.43</v>
      </c>
      <c r="C4644" s="2">
        <f>IFERROR(__xludf.DUMMYFUNCTION("""COMPUTED_VALUE"""),58.38)</f>
        <v>58.38</v>
      </c>
      <c r="D4644" s="2">
        <f>IFERROR(__xludf.DUMMYFUNCTION("""COMPUTED_VALUE"""),57.37)</f>
        <v>57.37</v>
      </c>
      <c r="E4644" s="2">
        <f>IFERROR(__xludf.DUMMYFUNCTION("""COMPUTED_VALUE"""),57.82)</f>
        <v>57.82</v>
      </c>
      <c r="F4644" s="2">
        <f>IFERROR(__xludf.DUMMYFUNCTION("""COMPUTED_VALUE"""),3621300.0)</f>
        <v>3621300</v>
      </c>
    </row>
    <row r="4645">
      <c r="A4645" s="3">
        <f>IFERROR(__xludf.DUMMYFUNCTION("""COMPUTED_VALUE"""),35929.666666666664)</f>
        <v>35929.66667</v>
      </c>
      <c r="B4645" s="2">
        <f>IFERROR(__xludf.DUMMYFUNCTION("""COMPUTED_VALUE"""),58.92)</f>
        <v>58.92</v>
      </c>
      <c r="C4645" s="2">
        <f>IFERROR(__xludf.DUMMYFUNCTION("""COMPUTED_VALUE"""),61.67)</f>
        <v>61.67</v>
      </c>
      <c r="D4645" s="2">
        <f>IFERROR(__xludf.DUMMYFUNCTION("""COMPUTED_VALUE"""),58.68)</f>
        <v>58.68</v>
      </c>
      <c r="E4645" s="2">
        <f>IFERROR(__xludf.DUMMYFUNCTION("""COMPUTED_VALUE"""),60.09)</f>
        <v>60.09</v>
      </c>
      <c r="F4645" s="2">
        <f>IFERROR(__xludf.DUMMYFUNCTION("""COMPUTED_VALUE"""),8453700.0)</f>
        <v>8453700</v>
      </c>
    </row>
    <row r="4646">
      <c r="A4646" s="3">
        <f>IFERROR(__xludf.DUMMYFUNCTION("""COMPUTED_VALUE"""),35930.666666666664)</f>
        <v>35930.66667</v>
      </c>
      <c r="B4646" s="2">
        <f>IFERROR(__xludf.DUMMYFUNCTION("""COMPUTED_VALUE"""),60.0)</f>
        <v>60</v>
      </c>
      <c r="C4646" s="2">
        <f>IFERROR(__xludf.DUMMYFUNCTION("""COMPUTED_VALUE"""),61.01)</f>
        <v>61.01</v>
      </c>
      <c r="D4646" s="2">
        <f>IFERROR(__xludf.DUMMYFUNCTION("""COMPUTED_VALUE"""),59.31)</f>
        <v>59.31</v>
      </c>
      <c r="E4646" s="2">
        <f>IFERROR(__xludf.DUMMYFUNCTION("""COMPUTED_VALUE"""),59.64)</f>
        <v>59.64</v>
      </c>
      <c r="F4646" s="2">
        <f>IFERROR(__xludf.DUMMYFUNCTION("""COMPUTED_VALUE"""),4683600.0)</f>
        <v>4683600</v>
      </c>
    </row>
    <row r="4647">
      <c r="A4647" s="3">
        <f>IFERROR(__xludf.DUMMYFUNCTION("""COMPUTED_VALUE"""),35933.666666666664)</f>
        <v>35933.66667</v>
      </c>
      <c r="B4647" s="2">
        <f>IFERROR(__xludf.DUMMYFUNCTION("""COMPUTED_VALUE"""),59.58)</f>
        <v>59.58</v>
      </c>
      <c r="C4647" s="2">
        <f>IFERROR(__xludf.DUMMYFUNCTION("""COMPUTED_VALUE"""),60.03)</f>
        <v>60.03</v>
      </c>
      <c r="D4647" s="2">
        <f>IFERROR(__xludf.DUMMYFUNCTION("""COMPUTED_VALUE"""),58.95)</f>
        <v>58.95</v>
      </c>
      <c r="E4647" s="2">
        <f>IFERROR(__xludf.DUMMYFUNCTION("""COMPUTED_VALUE"""),59.52)</f>
        <v>59.52</v>
      </c>
      <c r="F4647" s="2">
        <f>IFERROR(__xludf.DUMMYFUNCTION("""COMPUTED_VALUE"""),2952900.0)</f>
        <v>2952900</v>
      </c>
    </row>
    <row r="4648">
      <c r="A4648" s="3">
        <f>IFERROR(__xludf.DUMMYFUNCTION("""COMPUTED_VALUE"""),35934.666666666664)</f>
        <v>35934.66667</v>
      </c>
      <c r="B4648" s="2">
        <f>IFERROR(__xludf.DUMMYFUNCTION("""COMPUTED_VALUE"""),60.0)</f>
        <v>60</v>
      </c>
      <c r="C4648" s="2">
        <f>IFERROR(__xludf.DUMMYFUNCTION("""COMPUTED_VALUE"""),60.65)</f>
        <v>60.65</v>
      </c>
      <c r="D4648" s="2">
        <f>IFERROR(__xludf.DUMMYFUNCTION("""COMPUTED_VALUE"""),59.58)</f>
        <v>59.58</v>
      </c>
      <c r="E4648" s="2">
        <f>IFERROR(__xludf.DUMMYFUNCTION("""COMPUTED_VALUE"""),59.64)</f>
        <v>59.64</v>
      </c>
      <c r="F4648" s="2">
        <f>IFERROR(__xludf.DUMMYFUNCTION("""COMPUTED_VALUE"""),3551400.0)</f>
        <v>3551400</v>
      </c>
    </row>
    <row r="4649">
      <c r="A4649" s="3">
        <f>IFERROR(__xludf.DUMMYFUNCTION("""COMPUTED_VALUE"""),35935.666666666664)</f>
        <v>35935.66667</v>
      </c>
      <c r="B4649" s="2">
        <f>IFERROR(__xludf.DUMMYFUNCTION("""COMPUTED_VALUE"""),59.82)</f>
        <v>59.82</v>
      </c>
      <c r="C4649" s="2">
        <f>IFERROR(__xludf.DUMMYFUNCTION("""COMPUTED_VALUE"""),60.09)</f>
        <v>60.09</v>
      </c>
      <c r="D4649" s="2">
        <f>IFERROR(__xludf.DUMMYFUNCTION("""COMPUTED_VALUE"""),58.53)</f>
        <v>58.53</v>
      </c>
      <c r="E4649" s="2">
        <f>IFERROR(__xludf.DUMMYFUNCTION("""COMPUTED_VALUE"""),59.01)</f>
        <v>59.01</v>
      </c>
      <c r="F4649" s="2">
        <f>IFERROR(__xludf.DUMMYFUNCTION("""COMPUTED_VALUE"""),2741600.0)</f>
        <v>2741600</v>
      </c>
    </row>
    <row r="4650">
      <c r="A4650" s="3">
        <f>IFERROR(__xludf.DUMMYFUNCTION("""COMPUTED_VALUE"""),35936.666666666664)</f>
        <v>35936.66667</v>
      </c>
      <c r="B4650" s="2">
        <f>IFERROR(__xludf.DUMMYFUNCTION("""COMPUTED_VALUE"""),58.98)</f>
        <v>58.98</v>
      </c>
      <c r="C4650" s="2">
        <f>IFERROR(__xludf.DUMMYFUNCTION("""COMPUTED_VALUE"""),59.31)</f>
        <v>59.31</v>
      </c>
      <c r="D4650" s="2">
        <f>IFERROR(__xludf.DUMMYFUNCTION("""COMPUTED_VALUE"""),58.27)</f>
        <v>58.27</v>
      </c>
      <c r="E4650" s="2">
        <f>IFERROR(__xludf.DUMMYFUNCTION("""COMPUTED_VALUE"""),59.04)</f>
        <v>59.04</v>
      </c>
      <c r="F4650" s="2">
        <f>IFERROR(__xludf.DUMMYFUNCTION("""COMPUTED_VALUE"""),2718800.0)</f>
        <v>2718800</v>
      </c>
    </row>
    <row r="4651">
      <c r="A4651" s="3">
        <f>IFERROR(__xludf.DUMMYFUNCTION("""COMPUTED_VALUE"""),35937.666666666664)</f>
        <v>35937.66667</v>
      </c>
      <c r="B4651" s="2">
        <f>IFERROR(__xludf.DUMMYFUNCTION("""COMPUTED_VALUE"""),59.04)</f>
        <v>59.04</v>
      </c>
      <c r="C4651" s="2">
        <f>IFERROR(__xludf.DUMMYFUNCTION("""COMPUTED_VALUE"""),59.04)</f>
        <v>59.04</v>
      </c>
      <c r="D4651" s="2">
        <f>IFERROR(__xludf.DUMMYFUNCTION("""COMPUTED_VALUE"""),57.85)</f>
        <v>57.85</v>
      </c>
      <c r="E4651" s="2">
        <f>IFERROR(__xludf.DUMMYFUNCTION("""COMPUTED_VALUE"""),58.24)</f>
        <v>58.24</v>
      </c>
      <c r="F4651" s="2">
        <f>IFERROR(__xludf.DUMMYFUNCTION("""COMPUTED_VALUE"""),1783200.0)</f>
        <v>1783200</v>
      </c>
    </row>
    <row r="4652">
      <c r="A4652" s="3">
        <f>IFERROR(__xludf.DUMMYFUNCTION("""COMPUTED_VALUE"""),35941.666666666664)</f>
        <v>35941.66667</v>
      </c>
      <c r="B4652" s="2">
        <f>IFERROR(__xludf.DUMMYFUNCTION("""COMPUTED_VALUE"""),58.44)</f>
        <v>58.44</v>
      </c>
      <c r="C4652" s="2">
        <f>IFERROR(__xludf.DUMMYFUNCTION("""COMPUTED_VALUE"""),58.74)</f>
        <v>58.74</v>
      </c>
      <c r="D4652" s="2">
        <f>IFERROR(__xludf.DUMMYFUNCTION("""COMPUTED_VALUE"""),57.7)</f>
        <v>57.7</v>
      </c>
      <c r="E4652" s="2">
        <f>IFERROR(__xludf.DUMMYFUNCTION("""COMPUTED_VALUE"""),57.7)</f>
        <v>57.7</v>
      </c>
      <c r="F4652" s="2">
        <f>IFERROR(__xludf.DUMMYFUNCTION("""COMPUTED_VALUE"""),3184200.0)</f>
        <v>3184200</v>
      </c>
    </row>
    <row r="4653">
      <c r="A4653" s="3">
        <f>IFERROR(__xludf.DUMMYFUNCTION("""COMPUTED_VALUE"""),35942.666666666664)</f>
        <v>35942.66667</v>
      </c>
      <c r="B4653" s="2">
        <f>IFERROR(__xludf.DUMMYFUNCTION("""COMPUTED_VALUE"""),56.98)</f>
        <v>56.98</v>
      </c>
      <c r="C4653" s="2">
        <f>IFERROR(__xludf.DUMMYFUNCTION("""COMPUTED_VALUE"""),58.03)</f>
        <v>58.03</v>
      </c>
      <c r="D4653" s="2">
        <f>IFERROR(__xludf.DUMMYFUNCTION("""COMPUTED_VALUE"""),56.62)</f>
        <v>56.62</v>
      </c>
      <c r="E4653" s="2">
        <f>IFERROR(__xludf.DUMMYFUNCTION("""COMPUTED_VALUE"""),57.28)</f>
        <v>57.28</v>
      </c>
      <c r="F4653" s="2">
        <f>IFERROR(__xludf.DUMMYFUNCTION("""COMPUTED_VALUE"""),4503600.0)</f>
        <v>4503600</v>
      </c>
    </row>
    <row r="4654">
      <c r="A4654" s="3">
        <f>IFERROR(__xludf.DUMMYFUNCTION("""COMPUTED_VALUE"""),35943.666666666664)</f>
        <v>35943.66667</v>
      </c>
      <c r="B4654" s="2">
        <f>IFERROR(__xludf.DUMMYFUNCTION("""COMPUTED_VALUE"""),57.43)</f>
        <v>57.43</v>
      </c>
      <c r="C4654" s="2">
        <f>IFERROR(__xludf.DUMMYFUNCTION("""COMPUTED_VALUE"""),58.09)</f>
        <v>58.09</v>
      </c>
      <c r="D4654" s="2">
        <f>IFERROR(__xludf.DUMMYFUNCTION("""COMPUTED_VALUE"""),57.25)</f>
        <v>57.25</v>
      </c>
      <c r="E4654" s="2">
        <f>IFERROR(__xludf.DUMMYFUNCTION("""COMPUTED_VALUE"""),57.34)</f>
        <v>57.34</v>
      </c>
      <c r="F4654" s="2">
        <f>IFERROR(__xludf.DUMMYFUNCTION("""COMPUTED_VALUE"""),2664300.0)</f>
        <v>2664300</v>
      </c>
    </row>
    <row r="4655">
      <c r="A4655" s="3">
        <f>IFERROR(__xludf.DUMMYFUNCTION("""COMPUTED_VALUE"""),35944.666666666664)</f>
        <v>35944.66667</v>
      </c>
      <c r="B4655" s="2">
        <f>IFERROR(__xludf.DUMMYFUNCTION("""COMPUTED_VALUE"""),57.58)</f>
        <v>57.58</v>
      </c>
      <c r="C4655" s="2">
        <f>IFERROR(__xludf.DUMMYFUNCTION("""COMPUTED_VALUE"""),57.76)</f>
        <v>57.76</v>
      </c>
      <c r="D4655" s="2">
        <f>IFERROR(__xludf.DUMMYFUNCTION("""COMPUTED_VALUE"""),56.06)</f>
        <v>56.06</v>
      </c>
      <c r="E4655" s="2">
        <f>IFERROR(__xludf.DUMMYFUNCTION("""COMPUTED_VALUE"""),56.06)</f>
        <v>56.06</v>
      </c>
      <c r="F4655" s="2">
        <f>IFERROR(__xludf.DUMMYFUNCTION("""COMPUTED_VALUE"""),2531700.0)</f>
        <v>2531700</v>
      </c>
    </row>
    <row r="4656">
      <c r="A4656" s="3">
        <f>IFERROR(__xludf.DUMMYFUNCTION("""COMPUTED_VALUE"""),35947.666666666664)</f>
        <v>35947.66667</v>
      </c>
      <c r="B4656" s="2">
        <f>IFERROR(__xludf.DUMMYFUNCTION("""COMPUTED_VALUE"""),56.06)</f>
        <v>56.06</v>
      </c>
      <c r="C4656" s="2">
        <f>IFERROR(__xludf.DUMMYFUNCTION("""COMPUTED_VALUE"""),56.5)</f>
        <v>56.5</v>
      </c>
      <c r="D4656" s="2">
        <f>IFERROR(__xludf.DUMMYFUNCTION("""COMPUTED_VALUE"""),54.74)</f>
        <v>54.74</v>
      </c>
      <c r="E4656" s="2">
        <f>IFERROR(__xludf.DUMMYFUNCTION("""COMPUTED_VALUE"""),56.0)</f>
        <v>56</v>
      </c>
      <c r="F4656" s="2">
        <f>IFERROR(__xludf.DUMMYFUNCTION("""COMPUTED_VALUE"""),3240200.0)</f>
        <v>3240200</v>
      </c>
    </row>
    <row r="4657">
      <c r="A4657" s="3">
        <f>IFERROR(__xludf.DUMMYFUNCTION("""COMPUTED_VALUE"""),35948.666666666664)</f>
        <v>35948.66667</v>
      </c>
      <c r="B4657" s="2">
        <f>IFERROR(__xludf.DUMMYFUNCTION("""COMPUTED_VALUE"""),55.97)</f>
        <v>55.97</v>
      </c>
      <c r="C4657" s="2">
        <f>IFERROR(__xludf.DUMMYFUNCTION("""COMPUTED_VALUE"""),56.21)</f>
        <v>56.21</v>
      </c>
      <c r="D4657" s="2">
        <f>IFERROR(__xludf.DUMMYFUNCTION("""COMPUTED_VALUE"""),54.83)</f>
        <v>54.83</v>
      </c>
      <c r="E4657" s="2">
        <f>IFERROR(__xludf.DUMMYFUNCTION("""COMPUTED_VALUE"""),55.19)</f>
        <v>55.19</v>
      </c>
      <c r="F4657" s="2">
        <f>IFERROR(__xludf.DUMMYFUNCTION("""COMPUTED_VALUE"""),3438400.0)</f>
        <v>3438400</v>
      </c>
    </row>
    <row r="4658">
      <c r="A4658" s="3">
        <f>IFERROR(__xludf.DUMMYFUNCTION("""COMPUTED_VALUE"""),35949.666666666664)</f>
        <v>35949.66667</v>
      </c>
      <c r="B4658" s="2">
        <f>IFERROR(__xludf.DUMMYFUNCTION("""COMPUTED_VALUE"""),55.4)</f>
        <v>55.4</v>
      </c>
      <c r="C4658" s="2">
        <f>IFERROR(__xludf.DUMMYFUNCTION("""COMPUTED_VALUE"""),55.7)</f>
        <v>55.7</v>
      </c>
      <c r="D4658" s="2">
        <f>IFERROR(__xludf.DUMMYFUNCTION("""COMPUTED_VALUE"""),54.38)</f>
        <v>54.38</v>
      </c>
      <c r="E4658" s="2">
        <f>IFERROR(__xludf.DUMMYFUNCTION("""COMPUTED_VALUE"""),54.38)</f>
        <v>54.38</v>
      </c>
      <c r="F4658" s="2">
        <f>IFERROR(__xludf.DUMMYFUNCTION("""COMPUTED_VALUE"""),2616200.0)</f>
        <v>2616200</v>
      </c>
    </row>
    <row r="4659">
      <c r="A4659" s="3">
        <f>IFERROR(__xludf.DUMMYFUNCTION("""COMPUTED_VALUE"""),35950.666666666664)</f>
        <v>35950.66667</v>
      </c>
      <c r="B4659" s="2">
        <f>IFERROR(__xludf.DUMMYFUNCTION("""COMPUTED_VALUE"""),54.56)</f>
        <v>54.56</v>
      </c>
      <c r="C4659" s="2">
        <f>IFERROR(__xludf.DUMMYFUNCTION("""COMPUTED_VALUE"""),55.43)</f>
        <v>55.43</v>
      </c>
      <c r="D4659" s="2">
        <f>IFERROR(__xludf.DUMMYFUNCTION("""COMPUTED_VALUE"""),54.56)</f>
        <v>54.56</v>
      </c>
      <c r="E4659" s="2">
        <f>IFERROR(__xludf.DUMMYFUNCTION("""COMPUTED_VALUE"""),55.4)</f>
        <v>55.4</v>
      </c>
      <c r="F4659" s="2">
        <f>IFERROR(__xludf.DUMMYFUNCTION("""COMPUTED_VALUE"""),2781200.0)</f>
        <v>2781200</v>
      </c>
    </row>
    <row r="4660">
      <c r="A4660" s="3">
        <f>IFERROR(__xludf.DUMMYFUNCTION("""COMPUTED_VALUE"""),35951.666666666664)</f>
        <v>35951.66667</v>
      </c>
      <c r="B4660" s="2">
        <f>IFERROR(__xludf.DUMMYFUNCTION("""COMPUTED_VALUE"""),55.76)</f>
        <v>55.76</v>
      </c>
      <c r="C4660" s="2">
        <f>IFERROR(__xludf.DUMMYFUNCTION("""COMPUTED_VALUE"""),56.8)</f>
        <v>56.8</v>
      </c>
      <c r="D4660" s="2">
        <f>IFERROR(__xludf.DUMMYFUNCTION("""COMPUTED_VALUE"""),55.67)</f>
        <v>55.67</v>
      </c>
      <c r="E4660" s="2">
        <f>IFERROR(__xludf.DUMMYFUNCTION("""COMPUTED_VALUE"""),56.65)</f>
        <v>56.65</v>
      </c>
      <c r="F4660" s="2">
        <f>IFERROR(__xludf.DUMMYFUNCTION("""COMPUTED_VALUE"""),3777100.0)</f>
        <v>3777100</v>
      </c>
    </row>
    <row r="4661">
      <c r="A4661" s="3">
        <f>IFERROR(__xludf.DUMMYFUNCTION("""COMPUTED_VALUE"""),35954.666666666664)</f>
        <v>35954.66667</v>
      </c>
      <c r="B4661" s="2">
        <f>IFERROR(__xludf.DUMMYFUNCTION("""COMPUTED_VALUE"""),56.71)</f>
        <v>56.71</v>
      </c>
      <c r="C4661" s="2">
        <f>IFERROR(__xludf.DUMMYFUNCTION("""COMPUTED_VALUE"""),57.28)</f>
        <v>57.28</v>
      </c>
      <c r="D4661" s="2">
        <f>IFERROR(__xludf.DUMMYFUNCTION("""COMPUTED_VALUE"""),56.53)</f>
        <v>56.53</v>
      </c>
      <c r="E4661" s="2">
        <f>IFERROR(__xludf.DUMMYFUNCTION("""COMPUTED_VALUE"""),56.74)</f>
        <v>56.74</v>
      </c>
      <c r="F4661" s="2">
        <f>IFERROR(__xludf.DUMMYFUNCTION("""COMPUTED_VALUE"""),1671900.0)</f>
        <v>1671900</v>
      </c>
    </row>
    <row r="4662">
      <c r="A4662" s="3">
        <f>IFERROR(__xludf.DUMMYFUNCTION("""COMPUTED_VALUE"""),35955.666666666664)</f>
        <v>35955.66667</v>
      </c>
      <c r="B4662" s="2">
        <f>IFERROR(__xludf.DUMMYFUNCTION("""COMPUTED_VALUE"""),56.83)</f>
        <v>56.83</v>
      </c>
      <c r="C4662" s="2">
        <f>IFERROR(__xludf.DUMMYFUNCTION("""COMPUTED_VALUE"""),57.1)</f>
        <v>57.1</v>
      </c>
      <c r="D4662" s="2">
        <f>IFERROR(__xludf.DUMMYFUNCTION("""COMPUTED_VALUE"""),56.27)</f>
        <v>56.27</v>
      </c>
      <c r="E4662" s="2">
        <f>IFERROR(__xludf.DUMMYFUNCTION("""COMPUTED_VALUE"""),56.95)</f>
        <v>56.95</v>
      </c>
      <c r="F4662" s="2">
        <f>IFERROR(__xludf.DUMMYFUNCTION("""COMPUTED_VALUE"""),1666300.0)</f>
        <v>1666300</v>
      </c>
    </row>
    <row r="4663">
      <c r="A4663" s="3">
        <f>IFERROR(__xludf.DUMMYFUNCTION("""COMPUTED_VALUE"""),35956.666666666664)</f>
        <v>35956.66667</v>
      </c>
      <c r="B4663" s="2">
        <f>IFERROR(__xludf.DUMMYFUNCTION("""COMPUTED_VALUE"""),56.71)</f>
        <v>56.71</v>
      </c>
      <c r="C4663" s="2">
        <f>IFERROR(__xludf.DUMMYFUNCTION("""COMPUTED_VALUE"""),57.1)</f>
        <v>57.1</v>
      </c>
      <c r="D4663" s="2">
        <f>IFERROR(__xludf.DUMMYFUNCTION("""COMPUTED_VALUE"""),55.88)</f>
        <v>55.88</v>
      </c>
      <c r="E4663" s="2">
        <f>IFERROR(__xludf.DUMMYFUNCTION("""COMPUTED_VALUE"""),56.03)</f>
        <v>56.03</v>
      </c>
      <c r="F4663" s="2">
        <f>IFERROR(__xludf.DUMMYFUNCTION("""COMPUTED_VALUE"""),2802800.0)</f>
        <v>2802800</v>
      </c>
    </row>
    <row r="4664">
      <c r="A4664" s="3">
        <f>IFERROR(__xludf.DUMMYFUNCTION("""COMPUTED_VALUE"""),35957.666666666664)</f>
        <v>35957.66667</v>
      </c>
      <c r="B4664" s="2">
        <f>IFERROR(__xludf.DUMMYFUNCTION("""COMPUTED_VALUE"""),56.12)</f>
        <v>56.12</v>
      </c>
      <c r="C4664" s="2">
        <f>IFERROR(__xludf.DUMMYFUNCTION("""COMPUTED_VALUE"""),56.38)</f>
        <v>56.38</v>
      </c>
      <c r="D4664" s="2">
        <f>IFERROR(__xludf.DUMMYFUNCTION("""COMPUTED_VALUE"""),55.28)</f>
        <v>55.28</v>
      </c>
      <c r="E4664" s="2">
        <f>IFERROR(__xludf.DUMMYFUNCTION("""COMPUTED_VALUE"""),55.31)</f>
        <v>55.31</v>
      </c>
      <c r="F4664" s="2">
        <f>IFERROR(__xludf.DUMMYFUNCTION("""COMPUTED_VALUE"""),2399000.0)</f>
        <v>2399000</v>
      </c>
    </row>
    <row r="4665">
      <c r="A4665" s="3">
        <f>IFERROR(__xludf.DUMMYFUNCTION("""COMPUTED_VALUE"""),35958.666666666664)</f>
        <v>35958.66667</v>
      </c>
      <c r="B4665" s="2">
        <f>IFERROR(__xludf.DUMMYFUNCTION("""COMPUTED_VALUE"""),55.34)</f>
        <v>55.34</v>
      </c>
      <c r="C4665" s="2">
        <f>IFERROR(__xludf.DUMMYFUNCTION("""COMPUTED_VALUE"""),55.79)</f>
        <v>55.79</v>
      </c>
      <c r="D4665" s="2">
        <f>IFERROR(__xludf.DUMMYFUNCTION("""COMPUTED_VALUE"""),54.44)</f>
        <v>54.44</v>
      </c>
      <c r="E4665" s="2">
        <f>IFERROR(__xludf.DUMMYFUNCTION("""COMPUTED_VALUE"""),55.52)</f>
        <v>55.52</v>
      </c>
      <c r="F4665" s="2">
        <f>IFERROR(__xludf.DUMMYFUNCTION("""COMPUTED_VALUE"""),3679600.0)</f>
        <v>3679600</v>
      </c>
    </row>
    <row r="4666">
      <c r="A4666" s="3">
        <f>IFERROR(__xludf.DUMMYFUNCTION("""COMPUTED_VALUE"""),35961.666666666664)</f>
        <v>35961.66667</v>
      </c>
      <c r="B4666" s="2">
        <f>IFERROR(__xludf.DUMMYFUNCTION("""COMPUTED_VALUE"""),54.74)</f>
        <v>54.74</v>
      </c>
      <c r="C4666" s="2">
        <f>IFERROR(__xludf.DUMMYFUNCTION("""COMPUTED_VALUE"""),55.1)</f>
        <v>55.1</v>
      </c>
      <c r="D4666" s="2">
        <f>IFERROR(__xludf.DUMMYFUNCTION("""COMPUTED_VALUE"""),53.55)</f>
        <v>53.55</v>
      </c>
      <c r="E4666" s="2">
        <f>IFERROR(__xludf.DUMMYFUNCTION("""COMPUTED_VALUE"""),53.61)</f>
        <v>53.61</v>
      </c>
      <c r="F4666" s="2">
        <f>IFERROR(__xludf.DUMMYFUNCTION("""COMPUTED_VALUE"""),3629800.0)</f>
        <v>3629800</v>
      </c>
    </row>
    <row r="4667">
      <c r="A4667" s="3">
        <f>IFERROR(__xludf.DUMMYFUNCTION("""COMPUTED_VALUE"""),35962.666666666664)</f>
        <v>35962.66667</v>
      </c>
      <c r="B4667" s="2">
        <f>IFERROR(__xludf.DUMMYFUNCTION("""COMPUTED_VALUE"""),53.43)</f>
        <v>53.43</v>
      </c>
      <c r="C4667" s="2">
        <f>IFERROR(__xludf.DUMMYFUNCTION("""COMPUTED_VALUE"""),53.43)</f>
        <v>53.43</v>
      </c>
      <c r="D4667" s="2">
        <f>IFERROR(__xludf.DUMMYFUNCTION("""COMPUTED_VALUE"""),51.22)</f>
        <v>51.22</v>
      </c>
      <c r="E4667" s="2">
        <f>IFERROR(__xludf.DUMMYFUNCTION("""COMPUTED_VALUE"""),52.53)</f>
        <v>52.53</v>
      </c>
      <c r="F4667" s="2">
        <f>IFERROR(__xludf.DUMMYFUNCTION("""COMPUTED_VALUE"""),7708500.0)</f>
        <v>7708500</v>
      </c>
    </row>
    <row r="4668">
      <c r="A4668" s="3">
        <f>IFERROR(__xludf.DUMMYFUNCTION("""COMPUTED_VALUE"""),35963.666666666664)</f>
        <v>35963.66667</v>
      </c>
      <c r="B4668" s="2">
        <f>IFERROR(__xludf.DUMMYFUNCTION("""COMPUTED_VALUE"""),53.01)</f>
        <v>53.01</v>
      </c>
      <c r="C4668" s="2">
        <f>IFERROR(__xludf.DUMMYFUNCTION("""COMPUTED_VALUE"""),53.55)</f>
        <v>53.55</v>
      </c>
      <c r="D4668" s="2">
        <f>IFERROR(__xludf.DUMMYFUNCTION("""COMPUTED_VALUE"""),52.56)</f>
        <v>52.56</v>
      </c>
      <c r="E4668" s="2">
        <f>IFERROR(__xludf.DUMMYFUNCTION("""COMPUTED_VALUE"""),52.86)</f>
        <v>52.86</v>
      </c>
      <c r="F4668" s="2">
        <f>IFERROR(__xludf.DUMMYFUNCTION("""COMPUTED_VALUE"""),4997800.0)</f>
        <v>4997800</v>
      </c>
    </row>
    <row r="4669">
      <c r="A4669" s="3">
        <f>IFERROR(__xludf.DUMMYFUNCTION("""COMPUTED_VALUE"""),35964.666666666664)</f>
        <v>35964.66667</v>
      </c>
      <c r="B4669" s="2">
        <f>IFERROR(__xludf.DUMMYFUNCTION("""COMPUTED_VALUE"""),52.06)</f>
        <v>52.06</v>
      </c>
      <c r="C4669" s="2">
        <f>IFERROR(__xludf.DUMMYFUNCTION("""COMPUTED_VALUE"""),52.12)</f>
        <v>52.12</v>
      </c>
      <c r="D4669" s="2">
        <f>IFERROR(__xludf.DUMMYFUNCTION("""COMPUTED_VALUE"""),51.4)</f>
        <v>51.4</v>
      </c>
      <c r="E4669" s="2">
        <f>IFERROR(__xludf.DUMMYFUNCTION("""COMPUTED_VALUE"""),51.97)</f>
        <v>51.97</v>
      </c>
      <c r="F4669" s="2">
        <f>IFERROR(__xludf.DUMMYFUNCTION("""COMPUTED_VALUE"""),3445000.0)</f>
        <v>3445000</v>
      </c>
    </row>
    <row r="4670">
      <c r="A4670" s="3">
        <f>IFERROR(__xludf.DUMMYFUNCTION("""COMPUTED_VALUE"""),35965.666666666664)</f>
        <v>35965.66667</v>
      </c>
      <c r="B4670" s="2">
        <f>IFERROR(__xludf.DUMMYFUNCTION("""COMPUTED_VALUE"""),51.94)</f>
        <v>51.94</v>
      </c>
      <c r="C4670" s="2">
        <f>IFERROR(__xludf.DUMMYFUNCTION("""COMPUTED_VALUE"""),52.18)</f>
        <v>52.18</v>
      </c>
      <c r="D4670" s="2">
        <f>IFERROR(__xludf.DUMMYFUNCTION("""COMPUTED_VALUE"""),50.62)</f>
        <v>50.62</v>
      </c>
      <c r="E4670" s="2">
        <f>IFERROR(__xludf.DUMMYFUNCTION("""COMPUTED_VALUE"""),50.62)</f>
        <v>50.62</v>
      </c>
      <c r="F4670" s="2">
        <f>IFERROR(__xludf.DUMMYFUNCTION("""COMPUTED_VALUE"""),4218400.0)</f>
        <v>4218400</v>
      </c>
    </row>
    <row r="4671">
      <c r="A4671" s="3">
        <f>IFERROR(__xludf.DUMMYFUNCTION("""COMPUTED_VALUE"""),35968.666666666664)</f>
        <v>35968.66667</v>
      </c>
      <c r="B4671" s="2">
        <f>IFERROR(__xludf.DUMMYFUNCTION("""COMPUTED_VALUE"""),50.74)</f>
        <v>50.74</v>
      </c>
      <c r="C4671" s="2">
        <f>IFERROR(__xludf.DUMMYFUNCTION("""COMPUTED_VALUE"""),52.3)</f>
        <v>52.3</v>
      </c>
      <c r="D4671" s="2">
        <f>IFERROR(__xludf.DUMMYFUNCTION("""COMPUTED_VALUE"""),50.74)</f>
        <v>50.74</v>
      </c>
      <c r="E4671" s="2">
        <f>IFERROR(__xludf.DUMMYFUNCTION("""COMPUTED_VALUE"""),51.64)</f>
        <v>51.64</v>
      </c>
      <c r="F4671" s="2">
        <f>IFERROR(__xludf.DUMMYFUNCTION("""COMPUTED_VALUE"""),3475700.0)</f>
        <v>3475700</v>
      </c>
    </row>
    <row r="4672">
      <c r="A4672" s="3">
        <f>IFERROR(__xludf.DUMMYFUNCTION("""COMPUTED_VALUE"""),35969.666666666664)</f>
        <v>35969.66667</v>
      </c>
      <c r="B4672" s="2">
        <f>IFERROR(__xludf.DUMMYFUNCTION("""COMPUTED_VALUE"""),52.53)</f>
        <v>52.53</v>
      </c>
      <c r="C4672" s="2">
        <f>IFERROR(__xludf.DUMMYFUNCTION("""COMPUTED_VALUE"""),53.64)</f>
        <v>53.64</v>
      </c>
      <c r="D4672" s="2">
        <f>IFERROR(__xludf.DUMMYFUNCTION("""COMPUTED_VALUE"""),52.5)</f>
        <v>52.5</v>
      </c>
      <c r="E4672" s="2">
        <f>IFERROR(__xludf.DUMMYFUNCTION("""COMPUTED_VALUE"""),53.34)</f>
        <v>53.34</v>
      </c>
      <c r="F4672" s="2">
        <f>IFERROR(__xludf.DUMMYFUNCTION("""COMPUTED_VALUE"""),3551200.0)</f>
        <v>3551200</v>
      </c>
    </row>
    <row r="4673">
      <c r="A4673" s="3">
        <f>IFERROR(__xludf.DUMMYFUNCTION("""COMPUTED_VALUE"""),35970.666666666664)</f>
        <v>35970.66667</v>
      </c>
      <c r="B4673" s="2">
        <f>IFERROR(__xludf.DUMMYFUNCTION("""COMPUTED_VALUE"""),53.43)</f>
        <v>53.43</v>
      </c>
      <c r="C4673" s="2">
        <f>IFERROR(__xludf.DUMMYFUNCTION("""COMPUTED_VALUE"""),53.52)</f>
        <v>53.52</v>
      </c>
      <c r="D4673" s="2">
        <f>IFERROR(__xludf.DUMMYFUNCTION("""COMPUTED_VALUE"""),52.56)</f>
        <v>52.56</v>
      </c>
      <c r="E4673" s="2">
        <f>IFERROR(__xludf.DUMMYFUNCTION("""COMPUTED_VALUE"""),53.49)</f>
        <v>53.49</v>
      </c>
      <c r="F4673" s="2">
        <f>IFERROR(__xludf.DUMMYFUNCTION("""COMPUTED_VALUE"""),2665500.0)</f>
        <v>2665500</v>
      </c>
    </row>
    <row r="4674">
      <c r="A4674" s="3">
        <f>IFERROR(__xludf.DUMMYFUNCTION("""COMPUTED_VALUE"""),35971.666666666664)</f>
        <v>35971.66667</v>
      </c>
      <c r="B4674" s="2">
        <f>IFERROR(__xludf.DUMMYFUNCTION("""COMPUTED_VALUE"""),53.73)</f>
        <v>53.73</v>
      </c>
      <c r="C4674" s="2">
        <f>IFERROR(__xludf.DUMMYFUNCTION("""COMPUTED_VALUE"""),54.77)</f>
        <v>54.77</v>
      </c>
      <c r="D4674" s="2">
        <f>IFERROR(__xludf.DUMMYFUNCTION("""COMPUTED_VALUE"""),53.49)</f>
        <v>53.49</v>
      </c>
      <c r="E4674" s="2">
        <f>IFERROR(__xludf.DUMMYFUNCTION("""COMPUTED_VALUE"""),53.7)</f>
        <v>53.7</v>
      </c>
      <c r="F4674" s="2">
        <f>IFERROR(__xludf.DUMMYFUNCTION("""COMPUTED_VALUE"""),2789200.0)</f>
        <v>2789200</v>
      </c>
    </row>
    <row r="4675">
      <c r="A4675" s="3">
        <f>IFERROR(__xludf.DUMMYFUNCTION("""COMPUTED_VALUE"""),35972.666666666664)</f>
        <v>35972.66667</v>
      </c>
      <c r="B4675" s="2">
        <f>IFERROR(__xludf.DUMMYFUNCTION("""COMPUTED_VALUE"""),53.67)</f>
        <v>53.67</v>
      </c>
      <c r="C4675" s="2">
        <f>IFERROR(__xludf.DUMMYFUNCTION("""COMPUTED_VALUE"""),54.18)</f>
        <v>54.18</v>
      </c>
      <c r="D4675" s="2">
        <f>IFERROR(__xludf.DUMMYFUNCTION("""COMPUTED_VALUE"""),53.64)</f>
        <v>53.64</v>
      </c>
      <c r="E4675" s="2">
        <f>IFERROR(__xludf.DUMMYFUNCTION("""COMPUTED_VALUE"""),53.88)</f>
        <v>53.88</v>
      </c>
      <c r="F4675" s="2">
        <f>IFERROR(__xludf.DUMMYFUNCTION("""COMPUTED_VALUE"""),1444700.0)</f>
        <v>1444700</v>
      </c>
    </row>
    <row r="4676">
      <c r="A4676" s="3">
        <f>IFERROR(__xludf.DUMMYFUNCTION("""COMPUTED_VALUE"""),35975.666666666664)</f>
        <v>35975.66667</v>
      </c>
      <c r="B4676" s="2">
        <f>IFERROR(__xludf.DUMMYFUNCTION("""COMPUTED_VALUE"""),54.5)</f>
        <v>54.5</v>
      </c>
      <c r="C4676" s="2">
        <f>IFERROR(__xludf.DUMMYFUNCTION("""COMPUTED_VALUE"""),54.83)</f>
        <v>54.83</v>
      </c>
      <c r="D4676" s="2">
        <f>IFERROR(__xludf.DUMMYFUNCTION("""COMPUTED_VALUE"""),54.24)</f>
        <v>54.24</v>
      </c>
      <c r="E4676" s="2">
        <f>IFERROR(__xludf.DUMMYFUNCTION("""COMPUTED_VALUE"""),54.5)</f>
        <v>54.5</v>
      </c>
      <c r="F4676" s="2">
        <f>IFERROR(__xludf.DUMMYFUNCTION("""COMPUTED_VALUE"""),1910800.0)</f>
        <v>1910800</v>
      </c>
    </row>
    <row r="4677">
      <c r="A4677" s="3">
        <f>IFERROR(__xludf.DUMMYFUNCTION("""COMPUTED_VALUE"""),35976.666666666664)</f>
        <v>35976.66667</v>
      </c>
      <c r="B4677" s="2">
        <f>IFERROR(__xludf.DUMMYFUNCTION("""COMPUTED_VALUE"""),54.5)</f>
        <v>54.5</v>
      </c>
      <c r="C4677" s="2">
        <f>IFERROR(__xludf.DUMMYFUNCTION("""COMPUTED_VALUE"""),55.55)</f>
        <v>55.55</v>
      </c>
      <c r="D4677" s="2">
        <f>IFERROR(__xludf.DUMMYFUNCTION("""COMPUTED_VALUE"""),54.21)</f>
        <v>54.21</v>
      </c>
      <c r="E4677" s="2">
        <f>IFERROR(__xludf.DUMMYFUNCTION("""COMPUTED_VALUE"""),54.83)</f>
        <v>54.83</v>
      </c>
      <c r="F4677" s="2">
        <f>IFERROR(__xludf.DUMMYFUNCTION("""COMPUTED_VALUE"""),3903000.0)</f>
        <v>3903000</v>
      </c>
    </row>
    <row r="4678">
      <c r="A4678" s="3">
        <f>IFERROR(__xludf.DUMMYFUNCTION("""COMPUTED_VALUE"""),35977.666666666664)</f>
        <v>35977.66667</v>
      </c>
      <c r="B4678" s="2">
        <f>IFERROR(__xludf.DUMMYFUNCTION("""COMPUTED_VALUE"""),55.4)</f>
        <v>55.4</v>
      </c>
      <c r="C4678" s="2">
        <f>IFERROR(__xludf.DUMMYFUNCTION("""COMPUTED_VALUE"""),55.82)</f>
        <v>55.82</v>
      </c>
      <c r="D4678" s="2">
        <f>IFERROR(__xludf.DUMMYFUNCTION("""COMPUTED_VALUE"""),55.16)</f>
        <v>55.16</v>
      </c>
      <c r="E4678" s="2">
        <f>IFERROR(__xludf.DUMMYFUNCTION("""COMPUTED_VALUE"""),55.79)</f>
        <v>55.79</v>
      </c>
      <c r="F4678" s="2">
        <f>IFERROR(__xludf.DUMMYFUNCTION("""COMPUTED_VALUE"""),2941400.0)</f>
        <v>2941400</v>
      </c>
    </row>
    <row r="4679">
      <c r="A4679" s="3">
        <f>IFERROR(__xludf.DUMMYFUNCTION("""COMPUTED_VALUE"""),35978.666666666664)</f>
        <v>35978.66667</v>
      </c>
      <c r="B4679" s="2">
        <f>IFERROR(__xludf.DUMMYFUNCTION("""COMPUTED_VALUE"""),55.67)</f>
        <v>55.67</v>
      </c>
      <c r="C4679" s="2">
        <f>IFERROR(__xludf.DUMMYFUNCTION("""COMPUTED_VALUE"""),55.7)</f>
        <v>55.7</v>
      </c>
      <c r="D4679" s="2">
        <f>IFERROR(__xludf.DUMMYFUNCTION("""COMPUTED_VALUE"""),54.68)</f>
        <v>54.68</v>
      </c>
      <c r="E4679" s="2">
        <f>IFERROR(__xludf.DUMMYFUNCTION("""COMPUTED_VALUE"""),55.01)</f>
        <v>55.01</v>
      </c>
      <c r="F4679" s="2">
        <f>IFERROR(__xludf.DUMMYFUNCTION("""COMPUTED_VALUE"""),2794700.0)</f>
        <v>2794700</v>
      </c>
    </row>
    <row r="4680">
      <c r="A4680" s="3">
        <f>IFERROR(__xludf.DUMMYFUNCTION("""COMPUTED_VALUE"""),35982.666666666664)</f>
        <v>35982.66667</v>
      </c>
      <c r="B4680" s="2">
        <f>IFERROR(__xludf.DUMMYFUNCTION("""COMPUTED_VALUE"""),54.92)</f>
        <v>54.92</v>
      </c>
      <c r="C4680" s="2">
        <f>IFERROR(__xludf.DUMMYFUNCTION("""COMPUTED_VALUE"""),54.95)</f>
        <v>54.95</v>
      </c>
      <c r="D4680" s="2">
        <f>IFERROR(__xludf.DUMMYFUNCTION("""COMPUTED_VALUE"""),54.12)</f>
        <v>54.12</v>
      </c>
      <c r="E4680" s="2">
        <f>IFERROR(__xludf.DUMMYFUNCTION("""COMPUTED_VALUE"""),54.32)</f>
        <v>54.32</v>
      </c>
      <c r="F4680" s="2">
        <f>IFERROR(__xludf.DUMMYFUNCTION("""COMPUTED_VALUE"""),2909300.0)</f>
        <v>2909300</v>
      </c>
    </row>
    <row r="4681">
      <c r="A4681" s="3">
        <f>IFERROR(__xludf.DUMMYFUNCTION("""COMPUTED_VALUE"""),35983.666666666664)</f>
        <v>35983.66667</v>
      </c>
      <c r="B4681" s="2">
        <f>IFERROR(__xludf.DUMMYFUNCTION("""COMPUTED_VALUE"""),54.27)</f>
        <v>54.27</v>
      </c>
      <c r="C4681" s="2">
        <f>IFERROR(__xludf.DUMMYFUNCTION("""COMPUTED_VALUE"""),54.68)</f>
        <v>54.68</v>
      </c>
      <c r="D4681" s="2">
        <f>IFERROR(__xludf.DUMMYFUNCTION("""COMPUTED_VALUE"""),53.85)</f>
        <v>53.85</v>
      </c>
      <c r="E4681" s="2">
        <f>IFERROR(__xludf.DUMMYFUNCTION("""COMPUTED_VALUE"""),54.32)</f>
        <v>54.32</v>
      </c>
      <c r="F4681" s="2">
        <f>IFERROR(__xludf.DUMMYFUNCTION("""COMPUTED_VALUE"""),1957800.0)</f>
        <v>1957800</v>
      </c>
    </row>
    <row r="4682">
      <c r="A4682" s="3">
        <f>IFERROR(__xludf.DUMMYFUNCTION("""COMPUTED_VALUE"""),35984.666666666664)</f>
        <v>35984.66667</v>
      </c>
      <c r="B4682" s="2">
        <f>IFERROR(__xludf.DUMMYFUNCTION("""COMPUTED_VALUE"""),54.32)</f>
        <v>54.32</v>
      </c>
      <c r="C4682" s="2">
        <f>IFERROR(__xludf.DUMMYFUNCTION("""COMPUTED_VALUE"""),55.19)</f>
        <v>55.19</v>
      </c>
      <c r="D4682" s="2">
        <f>IFERROR(__xludf.DUMMYFUNCTION("""COMPUTED_VALUE"""),54.27)</f>
        <v>54.27</v>
      </c>
      <c r="E4682" s="2">
        <f>IFERROR(__xludf.DUMMYFUNCTION("""COMPUTED_VALUE"""),54.92)</f>
        <v>54.92</v>
      </c>
      <c r="F4682" s="2">
        <f>IFERROR(__xludf.DUMMYFUNCTION("""COMPUTED_VALUE"""),2051700.0)</f>
        <v>2051700</v>
      </c>
    </row>
    <row r="4683">
      <c r="A4683" s="3">
        <f>IFERROR(__xludf.DUMMYFUNCTION("""COMPUTED_VALUE"""),35985.666666666664)</f>
        <v>35985.66667</v>
      </c>
      <c r="B4683" s="2">
        <f>IFERROR(__xludf.DUMMYFUNCTION("""COMPUTED_VALUE"""),54.8)</f>
        <v>54.8</v>
      </c>
      <c r="C4683" s="2">
        <f>IFERROR(__xludf.DUMMYFUNCTION("""COMPUTED_VALUE"""),56.59)</f>
        <v>56.59</v>
      </c>
      <c r="D4683" s="2">
        <f>IFERROR(__xludf.DUMMYFUNCTION("""COMPUTED_VALUE"""),54.74)</f>
        <v>54.74</v>
      </c>
      <c r="E4683" s="2">
        <f>IFERROR(__xludf.DUMMYFUNCTION("""COMPUTED_VALUE"""),55.91)</f>
        <v>55.91</v>
      </c>
      <c r="F4683" s="2">
        <f>IFERROR(__xludf.DUMMYFUNCTION("""COMPUTED_VALUE"""),2797000.0)</f>
        <v>2797000</v>
      </c>
    </row>
    <row r="4684">
      <c r="A4684" s="3">
        <f>IFERROR(__xludf.DUMMYFUNCTION("""COMPUTED_VALUE"""),35986.666666666664)</f>
        <v>35986.66667</v>
      </c>
      <c r="B4684" s="2">
        <f>IFERROR(__xludf.DUMMYFUNCTION("""COMPUTED_VALUE"""),56.47)</f>
        <v>56.47</v>
      </c>
      <c r="C4684" s="2">
        <f>IFERROR(__xludf.DUMMYFUNCTION("""COMPUTED_VALUE"""),56.95)</f>
        <v>56.95</v>
      </c>
      <c r="D4684" s="2">
        <f>IFERROR(__xludf.DUMMYFUNCTION("""COMPUTED_VALUE"""),56.06)</f>
        <v>56.06</v>
      </c>
      <c r="E4684" s="2">
        <f>IFERROR(__xludf.DUMMYFUNCTION("""COMPUTED_VALUE"""),56.59)</f>
        <v>56.59</v>
      </c>
      <c r="F4684" s="2">
        <f>IFERROR(__xludf.DUMMYFUNCTION("""COMPUTED_VALUE"""),2755200.0)</f>
        <v>2755200</v>
      </c>
    </row>
    <row r="4685">
      <c r="A4685" s="3">
        <f>IFERROR(__xludf.DUMMYFUNCTION("""COMPUTED_VALUE"""),35989.666666666664)</f>
        <v>35989.66667</v>
      </c>
      <c r="B4685" s="2">
        <f>IFERROR(__xludf.DUMMYFUNCTION("""COMPUTED_VALUE"""),56.59)</f>
        <v>56.59</v>
      </c>
      <c r="C4685" s="2">
        <f>IFERROR(__xludf.DUMMYFUNCTION("""COMPUTED_VALUE"""),57.31)</f>
        <v>57.31</v>
      </c>
      <c r="D4685" s="2">
        <f>IFERROR(__xludf.DUMMYFUNCTION("""COMPUTED_VALUE"""),56.47)</f>
        <v>56.47</v>
      </c>
      <c r="E4685" s="2">
        <f>IFERROR(__xludf.DUMMYFUNCTION("""COMPUTED_VALUE"""),57.04)</f>
        <v>57.04</v>
      </c>
      <c r="F4685" s="2">
        <f>IFERROR(__xludf.DUMMYFUNCTION("""COMPUTED_VALUE"""),1790600.0)</f>
        <v>1790600</v>
      </c>
    </row>
    <row r="4686">
      <c r="A4686" s="3">
        <f>IFERROR(__xludf.DUMMYFUNCTION("""COMPUTED_VALUE"""),35990.666666666664)</f>
        <v>35990.66667</v>
      </c>
      <c r="B4686" s="2">
        <f>IFERROR(__xludf.DUMMYFUNCTION("""COMPUTED_VALUE"""),57.19)</f>
        <v>57.19</v>
      </c>
      <c r="C4686" s="2">
        <f>IFERROR(__xludf.DUMMYFUNCTION("""COMPUTED_VALUE"""),57.61)</f>
        <v>57.61</v>
      </c>
      <c r="D4686" s="2">
        <f>IFERROR(__xludf.DUMMYFUNCTION("""COMPUTED_VALUE"""),56.86)</f>
        <v>56.86</v>
      </c>
      <c r="E4686" s="2">
        <f>IFERROR(__xludf.DUMMYFUNCTION("""COMPUTED_VALUE"""),57.04)</f>
        <v>57.04</v>
      </c>
      <c r="F4686" s="2">
        <f>IFERROR(__xludf.DUMMYFUNCTION("""COMPUTED_VALUE"""),1922800.0)</f>
        <v>1922800</v>
      </c>
    </row>
    <row r="4687">
      <c r="A4687" s="3">
        <f>IFERROR(__xludf.DUMMYFUNCTION("""COMPUTED_VALUE"""),35991.666666666664)</f>
        <v>35991.66667</v>
      </c>
      <c r="B4687" s="2">
        <f>IFERROR(__xludf.DUMMYFUNCTION("""COMPUTED_VALUE"""),56.95)</f>
        <v>56.95</v>
      </c>
      <c r="C4687" s="2">
        <f>IFERROR(__xludf.DUMMYFUNCTION("""COMPUTED_VALUE"""),57.31)</f>
        <v>57.31</v>
      </c>
      <c r="D4687" s="2">
        <f>IFERROR(__xludf.DUMMYFUNCTION("""COMPUTED_VALUE"""),55.88)</f>
        <v>55.88</v>
      </c>
      <c r="E4687" s="2">
        <f>IFERROR(__xludf.DUMMYFUNCTION("""COMPUTED_VALUE"""),55.88)</f>
        <v>55.88</v>
      </c>
      <c r="F4687" s="2">
        <f>IFERROR(__xludf.DUMMYFUNCTION("""COMPUTED_VALUE"""),2306500.0)</f>
        <v>2306500</v>
      </c>
    </row>
    <row r="4688">
      <c r="A4688" s="3">
        <f>IFERROR(__xludf.DUMMYFUNCTION("""COMPUTED_VALUE"""),35992.666666666664)</f>
        <v>35992.66667</v>
      </c>
      <c r="B4688" s="2">
        <f>IFERROR(__xludf.DUMMYFUNCTION("""COMPUTED_VALUE"""),55.94)</f>
        <v>55.94</v>
      </c>
      <c r="C4688" s="2">
        <f>IFERROR(__xludf.DUMMYFUNCTION("""COMPUTED_VALUE"""),56.8)</f>
        <v>56.8</v>
      </c>
      <c r="D4688" s="2">
        <f>IFERROR(__xludf.DUMMYFUNCTION("""COMPUTED_VALUE"""),55.4)</f>
        <v>55.4</v>
      </c>
      <c r="E4688" s="2">
        <f>IFERROR(__xludf.DUMMYFUNCTION("""COMPUTED_VALUE"""),56.53)</f>
        <v>56.53</v>
      </c>
      <c r="F4688" s="2">
        <f>IFERROR(__xludf.DUMMYFUNCTION("""COMPUTED_VALUE"""),1721900.0)</f>
        <v>1721900</v>
      </c>
    </row>
    <row r="4689">
      <c r="A4689" s="3">
        <f>IFERROR(__xludf.DUMMYFUNCTION("""COMPUTED_VALUE"""),35993.666666666664)</f>
        <v>35993.66667</v>
      </c>
      <c r="B4689" s="2">
        <f>IFERROR(__xludf.DUMMYFUNCTION("""COMPUTED_VALUE"""),56.62)</f>
        <v>56.62</v>
      </c>
      <c r="C4689" s="2">
        <f>IFERROR(__xludf.DUMMYFUNCTION("""COMPUTED_VALUE"""),57.49)</f>
        <v>57.49</v>
      </c>
      <c r="D4689" s="2">
        <f>IFERROR(__xludf.DUMMYFUNCTION("""COMPUTED_VALUE"""),56.59)</f>
        <v>56.59</v>
      </c>
      <c r="E4689" s="2">
        <f>IFERROR(__xludf.DUMMYFUNCTION("""COMPUTED_VALUE"""),57.4)</f>
        <v>57.4</v>
      </c>
      <c r="F4689" s="2">
        <f>IFERROR(__xludf.DUMMYFUNCTION("""COMPUTED_VALUE"""),2809200.0)</f>
        <v>2809200</v>
      </c>
    </row>
    <row r="4690">
      <c r="A4690" s="3">
        <f>IFERROR(__xludf.DUMMYFUNCTION("""COMPUTED_VALUE"""),35996.666666666664)</f>
        <v>35996.66667</v>
      </c>
      <c r="B4690" s="2">
        <f>IFERROR(__xludf.DUMMYFUNCTION("""COMPUTED_VALUE"""),57.79)</f>
        <v>57.79</v>
      </c>
      <c r="C4690" s="2">
        <f>IFERROR(__xludf.DUMMYFUNCTION("""COMPUTED_VALUE"""),58.59)</f>
        <v>58.59</v>
      </c>
      <c r="D4690" s="2">
        <f>IFERROR(__xludf.DUMMYFUNCTION("""COMPUTED_VALUE"""),57.46)</f>
        <v>57.46</v>
      </c>
      <c r="E4690" s="2">
        <f>IFERROR(__xludf.DUMMYFUNCTION("""COMPUTED_VALUE"""),58.15)</f>
        <v>58.15</v>
      </c>
      <c r="F4690" s="2">
        <f>IFERROR(__xludf.DUMMYFUNCTION("""COMPUTED_VALUE"""),3789500.0)</f>
        <v>3789500</v>
      </c>
    </row>
    <row r="4691">
      <c r="A4691" s="3">
        <f>IFERROR(__xludf.DUMMYFUNCTION("""COMPUTED_VALUE"""),35997.666666666664)</f>
        <v>35997.66667</v>
      </c>
      <c r="B4691" s="2">
        <f>IFERROR(__xludf.DUMMYFUNCTION("""COMPUTED_VALUE"""),62.09)</f>
        <v>62.09</v>
      </c>
      <c r="C4691" s="2">
        <f>IFERROR(__xludf.DUMMYFUNCTION("""COMPUTED_VALUE"""),62.38)</f>
        <v>62.38</v>
      </c>
      <c r="D4691" s="2">
        <f>IFERROR(__xludf.DUMMYFUNCTION("""COMPUTED_VALUE"""),61.07)</f>
        <v>61.07</v>
      </c>
      <c r="E4691" s="2">
        <f>IFERROR(__xludf.DUMMYFUNCTION("""COMPUTED_VALUE"""),61.16)</f>
        <v>61.16</v>
      </c>
      <c r="F4691" s="2">
        <f>IFERROR(__xludf.DUMMYFUNCTION("""COMPUTED_VALUE"""),1.04084E7)</f>
        <v>10408400</v>
      </c>
    </row>
    <row r="4692">
      <c r="A4692" s="3">
        <f>IFERROR(__xludf.DUMMYFUNCTION("""COMPUTED_VALUE"""),35998.666666666664)</f>
        <v>35998.66667</v>
      </c>
      <c r="B4692" s="2">
        <f>IFERROR(__xludf.DUMMYFUNCTION("""COMPUTED_VALUE"""),60.09)</f>
        <v>60.09</v>
      </c>
      <c r="C4692" s="2">
        <f>IFERROR(__xludf.DUMMYFUNCTION("""COMPUTED_VALUE"""),61.34)</f>
        <v>61.34</v>
      </c>
      <c r="D4692" s="2">
        <f>IFERROR(__xludf.DUMMYFUNCTION("""COMPUTED_VALUE"""),59.58)</f>
        <v>59.58</v>
      </c>
      <c r="E4692" s="2">
        <f>IFERROR(__xludf.DUMMYFUNCTION("""COMPUTED_VALUE"""),60.86)</f>
        <v>60.86</v>
      </c>
      <c r="F4692" s="2">
        <f>IFERROR(__xludf.DUMMYFUNCTION("""COMPUTED_VALUE"""),5479400.0)</f>
        <v>5479400</v>
      </c>
    </row>
    <row r="4693">
      <c r="A4693" s="3">
        <f>IFERROR(__xludf.DUMMYFUNCTION("""COMPUTED_VALUE"""),35999.666666666664)</f>
        <v>35999.66667</v>
      </c>
      <c r="B4693" s="2">
        <f>IFERROR(__xludf.DUMMYFUNCTION("""COMPUTED_VALUE"""),60.74)</f>
        <v>60.74</v>
      </c>
      <c r="C4693" s="2">
        <f>IFERROR(__xludf.DUMMYFUNCTION("""COMPUTED_VALUE"""),61.61)</f>
        <v>61.61</v>
      </c>
      <c r="D4693" s="2">
        <f>IFERROR(__xludf.DUMMYFUNCTION("""COMPUTED_VALUE"""),59.07)</f>
        <v>59.07</v>
      </c>
      <c r="E4693" s="2">
        <f>IFERROR(__xludf.DUMMYFUNCTION("""COMPUTED_VALUE"""),59.19)</f>
        <v>59.19</v>
      </c>
      <c r="F4693" s="2">
        <f>IFERROR(__xludf.DUMMYFUNCTION("""COMPUTED_VALUE"""),3508000.0)</f>
        <v>3508000</v>
      </c>
    </row>
    <row r="4694">
      <c r="A4694" s="3">
        <f>IFERROR(__xludf.DUMMYFUNCTION("""COMPUTED_VALUE"""),36000.666666666664)</f>
        <v>36000.66667</v>
      </c>
      <c r="B4694" s="2">
        <f>IFERROR(__xludf.DUMMYFUNCTION("""COMPUTED_VALUE"""),60.12)</f>
        <v>60.12</v>
      </c>
      <c r="C4694" s="2">
        <f>IFERROR(__xludf.DUMMYFUNCTION("""COMPUTED_VALUE"""),60.15)</f>
        <v>60.15</v>
      </c>
      <c r="D4694" s="2">
        <f>IFERROR(__xludf.DUMMYFUNCTION("""COMPUTED_VALUE"""),58.5)</f>
        <v>58.5</v>
      </c>
      <c r="E4694" s="2">
        <f>IFERROR(__xludf.DUMMYFUNCTION("""COMPUTED_VALUE"""),59.43)</f>
        <v>59.43</v>
      </c>
      <c r="F4694" s="2">
        <f>IFERROR(__xludf.DUMMYFUNCTION("""COMPUTED_VALUE"""),2552000.0)</f>
        <v>2552000</v>
      </c>
    </row>
    <row r="4695">
      <c r="A4695" s="3">
        <f>IFERROR(__xludf.DUMMYFUNCTION("""COMPUTED_VALUE"""),36003.666666666664)</f>
        <v>36003.66667</v>
      </c>
      <c r="B4695" s="2">
        <f>IFERROR(__xludf.DUMMYFUNCTION("""COMPUTED_VALUE"""),59.1)</f>
        <v>59.1</v>
      </c>
      <c r="C4695" s="2">
        <f>IFERROR(__xludf.DUMMYFUNCTION("""COMPUTED_VALUE"""),60.06)</f>
        <v>60.06</v>
      </c>
      <c r="D4695" s="2">
        <f>IFERROR(__xludf.DUMMYFUNCTION("""COMPUTED_VALUE"""),58.41)</f>
        <v>58.41</v>
      </c>
      <c r="E4695" s="2">
        <f>IFERROR(__xludf.DUMMYFUNCTION("""COMPUTED_VALUE"""),59.88)</f>
        <v>59.88</v>
      </c>
      <c r="F4695" s="2">
        <f>IFERROR(__xludf.DUMMYFUNCTION("""COMPUTED_VALUE"""),3224700.0)</f>
        <v>3224700</v>
      </c>
    </row>
    <row r="4696">
      <c r="A4696" s="3">
        <f>IFERROR(__xludf.DUMMYFUNCTION("""COMPUTED_VALUE"""),36004.666666666664)</f>
        <v>36004.66667</v>
      </c>
      <c r="B4696" s="2">
        <f>IFERROR(__xludf.DUMMYFUNCTION("""COMPUTED_VALUE"""),59.64)</f>
        <v>59.64</v>
      </c>
      <c r="C4696" s="2">
        <f>IFERROR(__xludf.DUMMYFUNCTION("""COMPUTED_VALUE"""),60.62)</f>
        <v>60.62</v>
      </c>
      <c r="D4696" s="2">
        <f>IFERROR(__xludf.DUMMYFUNCTION("""COMPUTED_VALUE"""),59.31)</f>
        <v>59.31</v>
      </c>
      <c r="E4696" s="2">
        <f>IFERROR(__xludf.DUMMYFUNCTION("""COMPUTED_VALUE"""),59.91)</f>
        <v>59.91</v>
      </c>
      <c r="F4696" s="2">
        <f>IFERROR(__xludf.DUMMYFUNCTION("""COMPUTED_VALUE"""),3817700.0)</f>
        <v>3817700</v>
      </c>
    </row>
    <row r="4697">
      <c r="A4697" s="3">
        <f>IFERROR(__xludf.DUMMYFUNCTION("""COMPUTED_VALUE"""),36005.666666666664)</f>
        <v>36005.66667</v>
      </c>
      <c r="B4697" s="2">
        <f>IFERROR(__xludf.DUMMYFUNCTION("""COMPUTED_VALUE"""),61.1)</f>
        <v>61.1</v>
      </c>
      <c r="C4697" s="2">
        <f>IFERROR(__xludf.DUMMYFUNCTION("""COMPUTED_VALUE"""),61.34)</f>
        <v>61.34</v>
      </c>
      <c r="D4697" s="2">
        <f>IFERROR(__xludf.DUMMYFUNCTION("""COMPUTED_VALUE"""),60.68)</f>
        <v>60.68</v>
      </c>
      <c r="E4697" s="2">
        <f>IFERROR(__xludf.DUMMYFUNCTION("""COMPUTED_VALUE"""),61.07)</f>
        <v>61.07</v>
      </c>
      <c r="F4697" s="2">
        <f>IFERROR(__xludf.DUMMYFUNCTION("""COMPUTED_VALUE"""),3485700.0)</f>
        <v>3485700</v>
      </c>
    </row>
    <row r="4698">
      <c r="A4698" s="3">
        <f>IFERROR(__xludf.DUMMYFUNCTION("""COMPUTED_VALUE"""),36006.666666666664)</f>
        <v>36006.66667</v>
      </c>
      <c r="B4698" s="2">
        <f>IFERROR(__xludf.DUMMYFUNCTION("""COMPUTED_VALUE"""),61.43)</f>
        <v>61.43</v>
      </c>
      <c r="C4698" s="2">
        <f>IFERROR(__xludf.DUMMYFUNCTION("""COMPUTED_VALUE"""),63.88)</f>
        <v>63.88</v>
      </c>
      <c r="D4698" s="2">
        <f>IFERROR(__xludf.DUMMYFUNCTION("""COMPUTED_VALUE"""),61.34)</f>
        <v>61.34</v>
      </c>
      <c r="E4698" s="2">
        <f>IFERROR(__xludf.DUMMYFUNCTION("""COMPUTED_VALUE"""),63.7)</f>
        <v>63.7</v>
      </c>
      <c r="F4698" s="2">
        <f>IFERROR(__xludf.DUMMYFUNCTION("""COMPUTED_VALUE"""),4803600.0)</f>
        <v>4803600</v>
      </c>
    </row>
    <row r="4699">
      <c r="A4699" s="3">
        <f>IFERROR(__xludf.DUMMYFUNCTION("""COMPUTED_VALUE"""),36007.666666666664)</f>
        <v>36007.66667</v>
      </c>
      <c r="B4699" s="2">
        <f>IFERROR(__xludf.DUMMYFUNCTION("""COMPUTED_VALUE"""),63.64)</f>
        <v>63.64</v>
      </c>
      <c r="C4699" s="2">
        <f>IFERROR(__xludf.DUMMYFUNCTION("""COMPUTED_VALUE"""),65.91)</f>
        <v>65.91</v>
      </c>
      <c r="D4699" s="2">
        <f>IFERROR(__xludf.DUMMYFUNCTION("""COMPUTED_VALUE"""),63.16)</f>
        <v>63.16</v>
      </c>
      <c r="E4699" s="2">
        <f>IFERROR(__xludf.DUMMYFUNCTION("""COMPUTED_VALUE"""),63.28)</f>
        <v>63.28</v>
      </c>
      <c r="F4699" s="2">
        <f>IFERROR(__xludf.DUMMYFUNCTION("""COMPUTED_VALUE"""),5586200.0)</f>
        <v>5586200</v>
      </c>
    </row>
    <row r="4700">
      <c r="A4700" s="3">
        <f>IFERROR(__xludf.DUMMYFUNCTION("""COMPUTED_VALUE"""),36010.666666666664)</f>
        <v>36010.66667</v>
      </c>
      <c r="B4700" s="2">
        <f>IFERROR(__xludf.DUMMYFUNCTION("""COMPUTED_VALUE"""),64.0)</f>
        <v>64</v>
      </c>
      <c r="C4700" s="2">
        <f>IFERROR(__xludf.DUMMYFUNCTION("""COMPUTED_VALUE"""),64.38)</f>
        <v>64.38</v>
      </c>
      <c r="D4700" s="2">
        <f>IFERROR(__xludf.DUMMYFUNCTION("""COMPUTED_VALUE"""),63.22)</f>
        <v>63.22</v>
      </c>
      <c r="E4700" s="2">
        <f>IFERROR(__xludf.DUMMYFUNCTION("""COMPUTED_VALUE"""),63.4)</f>
        <v>63.4</v>
      </c>
      <c r="F4700" s="2">
        <f>IFERROR(__xludf.DUMMYFUNCTION("""COMPUTED_VALUE"""),3605200.0)</f>
        <v>3605200</v>
      </c>
    </row>
    <row r="4701">
      <c r="A4701" s="3">
        <f>IFERROR(__xludf.DUMMYFUNCTION("""COMPUTED_VALUE"""),36011.666666666664)</f>
        <v>36011.66667</v>
      </c>
      <c r="B4701" s="2">
        <f>IFERROR(__xludf.DUMMYFUNCTION("""COMPUTED_VALUE"""),64.0)</f>
        <v>64</v>
      </c>
      <c r="C4701" s="2">
        <f>IFERROR(__xludf.DUMMYFUNCTION("""COMPUTED_VALUE"""),64.12)</f>
        <v>64.12</v>
      </c>
      <c r="D4701" s="2">
        <f>IFERROR(__xludf.DUMMYFUNCTION("""COMPUTED_VALUE"""),60.56)</f>
        <v>60.56</v>
      </c>
      <c r="E4701" s="2">
        <f>IFERROR(__xludf.DUMMYFUNCTION("""COMPUTED_VALUE"""),60.56)</f>
        <v>60.56</v>
      </c>
      <c r="F4701" s="2">
        <f>IFERROR(__xludf.DUMMYFUNCTION("""COMPUTED_VALUE"""),5548100.0)</f>
        <v>5548100</v>
      </c>
    </row>
    <row r="4702">
      <c r="A4702" s="3">
        <f>IFERROR(__xludf.DUMMYFUNCTION("""COMPUTED_VALUE"""),36012.666666666664)</f>
        <v>36012.66667</v>
      </c>
      <c r="B4702" s="2">
        <f>IFERROR(__xludf.DUMMYFUNCTION("""COMPUTED_VALUE"""),60.65)</f>
        <v>60.65</v>
      </c>
      <c r="C4702" s="2">
        <f>IFERROR(__xludf.DUMMYFUNCTION("""COMPUTED_VALUE"""),61.73)</f>
        <v>61.73</v>
      </c>
      <c r="D4702" s="2">
        <f>IFERROR(__xludf.DUMMYFUNCTION("""COMPUTED_VALUE"""),59.25)</f>
        <v>59.25</v>
      </c>
      <c r="E4702" s="2">
        <f>IFERROR(__xludf.DUMMYFUNCTION("""COMPUTED_VALUE"""),61.46)</f>
        <v>61.46</v>
      </c>
      <c r="F4702" s="2">
        <f>IFERROR(__xludf.DUMMYFUNCTION("""COMPUTED_VALUE"""),5697000.0)</f>
        <v>5697000</v>
      </c>
    </row>
    <row r="4703">
      <c r="A4703" s="3">
        <f>IFERROR(__xludf.DUMMYFUNCTION("""COMPUTED_VALUE"""),36013.666666666664)</f>
        <v>36013.66667</v>
      </c>
      <c r="B4703" s="2">
        <f>IFERROR(__xludf.DUMMYFUNCTION("""COMPUTED_VALUE"""),61.04)</f>
        <v>61.04</v>
      </c>
      <c r="C4703" s="2">
        <f>IFERROR(__xludf.DUMMYFUNCTION("""COMPUTED_VALUE"""),62.53)</f>
        <v>62.53</v>
      </c>
      <c r="D4703" s="2">
        <f>IFERROR(__xludf.DUMMYFUNCTION("""COMPUTED_VALUE"""),60.83)</f>
        <v>60.83</v>
      </c>
      <c r="E4703" s="2">
        <f>IFERROR(__xludf.DUMMYFUNCTION("""COMPUTED_VALUE"""),62.06)</f>
        <v>62.06</v>
      </c>
      <c r="F4703" s="2">
        <f>IFERROR(__xludf.DUMMYFUNCTION("""COMPUTED_VALUE"""),3480200.0)</f>
        <v>3480200</v>
      </c>
    </row>
    <row r="4704">
      <c r="A4704" s="3">
        <f>IFERROR(__xludf.DUMMYFUNCTION("""COMPUTED_VALUE"""),36014.666666666664)</f>
        <v>36014.66667</v>
      </c>
      <c r="B4704" s="2">
        <f>IFERROR(__xludf.DUMMYFUNCTION("""COMPUTED_VALUE"""),62.92)</f>
        <v>62.92</v>
      </c>
      <c r="C4704" s="2">
        <f>IFERROR(__xludf.DUMMYFUNCTION("""COMPUTED_VALUE"""),64.12)</f>
        <v>64.12</v>
      </c>
      <c r="D4704" s="2">
        <f>IFERROR(__xludf.DUMMYFUNCTION("""COMPUTED_VALUE"""),61.76)</f>
        <v>61.76</v>
      </c>
      <c r="E4704" s="2">
        <f>IFERROR(__xludf.DUMMYFUNCTION("""COMPUTED_VALUE"""),61.76)</f>
        <v>61.76</v>
      </c>
      <c r="F4704" s="2">
        <f>IFERROR(__xludf.DUMMYFUNCTION("""COMPUTED_VALUE"""),5205400.0)</f>
        <v>5205400</v>
      </c>
    </row>
    <row r="4705">
      <c r="A4705" s="3">
        <f>IFERROR(__xludf.DUMMYFUNCTION("""COMPUTED_VALUE"""),36017.666666666664)</f>
        <v>36017.66667</v>
      </c>
      <c r="B4705" s="2">
        <f>IFERROR(__xludf.DUMMYFUNCTION("""COMPUTED_VALUE"""),61.55)</f>
        <v>61.55</v>
      </c>
      <c r="C4705" s="2">
        <f>IFERROR(__xludf.DUMMYFUNCTION("""COMPUTED_VALUE"""),62.15)</f>
        <v>62.15</v>
      </c>
      <c r="D4705" s="2">
        <f>IFERROR(__xludf.DUMMYFUNCTION("""COMPUTED_VALUE"""),61.52)</f>
        <v>61.52</v>
      </c>
      <c r="E4705" s="2">
        <f>IFERROR(__xludf.DUMMYFUNCTION("""COMPUTED_VALUE"""),62.0)</f>
        <v>62</v>
      </c>
      <c r="F4705" s="2">
        <f>IFERROR(__xludf.DUMMYFUNCTION("""COMPUTED_VALUE"""),2773800.0)</f>
        <v>2773800</v>
      </c>
    </row>
    <row r="4706">
      <c r="A4706" s="3">
        <f>IFERROR(__xludf.DUMMYFUNCTION("""COMPUTED_VALUE"""),36018.666666666664)</f>
        <v>36018.66667</v>
      </c>
      <c r="B4706" s="2">
        <f>IFERROR(__xludf.DUMMYFUNCTION("""COMPUTED_VALUE"""),60.24)</f>
        <v>60.24</v>
      </c>
      <c r="C4706" s="2">
        <f>IFERROR(__xludf.DUMMYFUNCTION("""COMPUTED_VALUE"""),61.37)</f>
        <v>61.37</v>
      </c>
      <c r="D4706" s="2">
        <f>IFERROR(__xludf.DUMMYFUNCTION("""COMPUTED_VALUE"""),59.85)</f>
        <v>59.85</v>
      </c>
      <c r="E4706" s="2">
        <f>IFERROR(__xludf.DUMMYFUNCTION("""COMPUTED_VALUE"""),61.28)</f>
        <v>61.28</v>
      </c>
      <c r="F4706" s="2">
        <f>IFERROR(__xludf.DUMMYFUNCTION("""COMPUTED_VALUE"""),4481100.0)</f>
        <v>4481100</v>
      </c>
    </row>
    <row r="4707">
      <c r="A4707" s="3">
        <f>IFERROR(__xludf.DUMMYFUNCTION("""COMPUTED_VALUE"""),36019.666666666664)</f>
        <v>36019.66667</v>
      </c>
      <c r="B4707" s="2">
        <f>IFERROR(__xludf.DUMMYFUNCTION("""COMPUTED_VALUE"""),61.49)</f>
        <v>61.49</v>
      </c>
      <c r="C4707" s="2">
        <f>IFERROR(__xludf.DUMMYFUNCTION("""COMPUTED_VALUE"""),61.88)</f>
        <v>61.88</v>
      </c>
      <c r="D4707" s="2">
        <f>IFERROR(__xludf.DUMMYFUNCTION("""COMPUTED_VALUE"""),60.95)</f>
        <v>60.95</v>
      </c>
      <c r="E4707" s="2">
        <f>IFERROR(__xludf.DUMMYFUNCTION("""COMPUTED_VALUE"""),61.04)</f>
        <v>61.04</v>
      </c>
      <c r="F4707" s="2">
        <f>IFERROR(__xludf.DUMMYFUNCTION("""COMPUTED_VALUE"""),3329100.0)</f>
        <v>3329100</v>
      </c>
    </row>
    <row r="4708">
      <c r="A4708" s="3">
        <f>IFERROR(__xludf.DUMMYFUNCTION("""COMPUTED_VALUE"""),36020.666666666664)</f>
        <v>36020.66667</v>
      </c>
      <c r="B4708" s="2">
        <f>IFERROR(__xludf.DUMMYFUNCTION("""COMPUTED_VALUE"""),60.92)</f>
        <v>60.92</v>
      </c>
      <c r="C4708" s="2">
        <f>IFERROR(__xludf.DUMMYFUNCTION("""COMPUTED_VALUE"""),61.31)</f>
        <v>61.31</v>
      </c>
      <c r="D4708" s="2">
        <f>IFERROR(__xludf.DUMMYFUNCTION("""COMPUTED_VALUE"""),60.18)</f>
        <v>60.18</v>
      </c>
      <c r="E4708" s="2">
        <f>IFERROR(__xludf.DUMMYFUNCTION("""COMPUTED_VALUE"""),60.26)</f>
        <v>60.26</v>
      </c>
      <c r="F4708" s="2">
        <f>IFERROR(__xludf.DUMMYFUNCTION("""COMPUTED_VALUE"""),2761100.0)</f>
        <v>2761100</v>
      </c>
    </row>
    <row r="4709">
      <c r="A4709" s="3">
        <f>IFERROR(__xludf.DUMMYFUNCTION("""COMPUTED_VALUE"""),36021.666666666664)</f>
        <v>36021.66667</v>
      </c>
      <c r="B4709" s="2">
        <f>IFERROR(__xludf.DUMMYFUNCTION("""COMPUTED_VALUE"""),60.47)</f>
        <v>60.47</v>
      </c>
      <c r="C4709" s="2">
        <f>IFERROR(__xludf.DUMMYFUNCTION("""COMPUTED_VALUE"""),60.83)</f>
        <v>60.83</v>
      </c>
      <c r="D4709" s="2">
        <f>IFERROR(__xludf.DUMMYFUNCTION("""COMPUTED_VALUE"""),59.22)</f>
        <v>59.22</v>
      </c>
      <c r="E4709" s="2">
        <f>IFERROR(__xludf.DUMMYFUNCTION("""COMPUTED_VALUE"""),59.91)</f>
        <v>59.91</v>
      </c>
      <c r="F4709" s="2">
        <f>IFERROR(__xludf.DUMMYFUNCTION("""COMPUTED_VALUE"""),2769900.0)</f>
        <v>2769900</v>
      </c>
    </row>
    <row r="4710">
      <c r="A4710" s="3">
        <f>IFERROR(__xludf.DUMMYFUNCTION("""COMPUTED_VALUE"""),36024.666666666664)</f>
        <v>36024.66667</v>
      </c>
      <c r="B4710" s="2">
        <f>IFERROR(__xludf.DUMMYFUNCTION("""COMPUTED_VALUE"""),59.76)</f>
        <v>59.76</v>
      </c>
      <c r="C4710" s="2">
        <f>IFERROR(__xludf.DUMMYFUNCTION("""COMPUTED_VALUE"""),60.18)</f>
        <v>60.18</v>
      </c>
      <c r="D4710" s="2">
        <f>IFERROR(__xludf.DUMMYFUNCTION("""COMPUTED_VALUE"""),59.34)</f>
        <v>59.34</v>
      </c>
      <c r="E4710" s="2">
        <f>IFERROR(__xludf.DUMMYFUNCTION("""COMPUTED_VALUE"""),59.85)</f>
        <v>59.85</v>
      </c>
      <c r="F4710" s="2">
        <f>IFERROR(__xludf.DUMMYFUNCTION("""COMPUTED_VALUE"""),2866100.0)</f>
        <v>2866100</v>
      </c>
    </row>
    <row r="4711">
      <c r="A4711" s="3">
        <f>IFERROR(__xludf.DUMMYFUNCTION("""COMPUTED_VALUE"""),36025.666666666664)</f>
        <v>36025.66667</v>
      </c>
      <c r="B4711" s="2">
        <f>IFERROR(__xludf.DUMMYFUNCTION("""COMPUTED_VALUE"""),60.65)</f>
        <v>60.65</v>
      </c>
      <c r="C4711" s="2">
        <f>IFERROR(__xludf.DUMMYFUNCTION("""COMPUTED_VALUE"""),61.85)</f>
        <v>61.85</v>
      </c>
      <c r="D4711" s="2">
        <f>IFERROR(__xludf.DUMMYFUNCTION("""COMPUTED_VALUE"""),60.65)</f>
        <v>60.65</v>
      </c>
      <c r="E4711" s="2">
        <f>IFERROR(__xludf.DUMMYFUNCTION("""COMPUTED_VALUE"""),61.55)</f>
        <v>61.55</v>
      </c>
      <c r="F4711" s="2">
        <f>IFERROR(__xludf.DUMMYFUNCTION("""COMPUTED_VALUE"""),3214200.0)</f>
        <v>3214200</v>
      </c>
    </row>
    <row r="4712">
      <c r="A4712" s="3">
        <f>IFERROR(__xludf.DUMMYFUNCTION("""COMPUTED_VALUE"""),36026.666666666664)</f>
        <v>36026.66667</v>
      </c>
      <c r="B4712" s="2">
        <f>IFERROR(__xludf.DUMMYFUNCTION("""COMPUTED_VALUE"""),61.85)</f>
        <v>61.85</v>
      </c>
      <c r="C4712" s="2">
        <f>IFERROR(__xludf.DUMMYFUNCTION("""COMPUTED_VALUE"""),62.56)</f>
        <v>62.56</v>
      </c>
      <c r="D4712" s="2">
        <f>IFERROR(__xludf.DUMMYFUNCTION("""COMPUTED_VALUE"""),61.64)</f>
        <v>61.64</v>
      </c>
      <c r="E4712" s="2">
        <f>IFERROR(__xludf.DUMMYFUNCTION("""COMPUTED_VALUE"""),62.06)</f>
        <v>62.06</v>
      </c>
      <c r="F4712" s="2">
        <f>IFERROR(__xludf.DUMMYFUNCTION("""COMPUTED_VALUE"""),3233800.0)</f>
        <v>3233800</v>
      </c>
    </row>
    <row r="4713">
      <c r="A4713" s="3">
        <f>IFERROR(__xludf.DUMMYFUNCTION("""COMPUTED_VALUE"""),36027.666666666664)</f>
        <v>36027.66667</v>
      </c>
      <c r="B4713" s="2">
        <f>IFERROR(__xludf.DUMMYFUNCTION("""COMPUTED_VALUE"""),61.85)</f>
        <v>61.85</v>
      </c>
      <c r="C4713" s="2">
        <f>IFERROR(__xludf.DUMMYFUNCTION("""COMPUTED_VALUE"""),62.09)</f>
        <v>62.09</v>
      </c>
      <c r="D4713" s="2">
        <f>IFERROR(__xludf.DUMMYFUNCTION("""COMPUTED_VALUE"""),60.92)</f>
        <v>60.92</v>
      </c>
      <c r="E4713" s="2">
        <f>IFERROR(__xludf.DUMMYFUNCTION("""COMPUTED_VALUE"""),61.16)</f>
        <v>61.16</v>
      </c>
      <c r="F4713" s="2">
        <f>IFERROR(__xludf.DUMMYFUNCTION("""COMPUTED_VALUE"""),2651700.0)</f>
        <v>2651700</v>
      </c>
    </row>
    <row r="4714">
      <c r="A4714" s="3">
        <f>IFERROR(__xludf.DUMMYFUNCTION("""COMPUTED_VALUE"""),36028.666666666664)</f>
        <v>36028.66667</v>
      </c>
      <c r="B4714" s="2">
        <f>IFERROR(__xludf.DUMMYFUNCTION("""COMPUTED_VALUE"""),60.89)</f>
        <v>60.89</v>
      </c>
      <c r="C4714" s="2">
        <f>IFERROR(__xludf.DUMMYFUNCTION("""COMPUTED_VALUE"""),61.13)</f>
        <v>61.13</v>
      </c>
      <c r="D4714" s="2">
        <f>IFERROR(__xludf.DUMMYFUNCTION("""COMPUTED_VALUE"""),59.46)</f>
        <v>59.46</v>
      </c>
      <c r="E4714" s="2">
        <f>IFERROR(__xludf.DUMMYFUNCTION("""COMPUTED_VALUE"""),61.07)</f>
        <v>61.07</v>
      </c>
      <c r="F4714" s="2">
        <f>IFERROR(__xludf.DUMMYFUNCTION("""COMPUTED_VALUE"""),3819000.0)</f>
        <v>3819000</v>
      </c>
    </row>
    <row r="4715">
      <c r="A4715" s="3">
        <f>IFERROR(__xludf.DUMMYFUNCTION("""COMPUTED_VALUE"""),36031.666666666664)</f>
        <v>36031.66667</v>
      </c>
      <c r="B4715" s="2">
        <f>IFERROR(__xludf.DUMMYFUNCTION("""COMPUTED_VALUE"""),61.13)</f>
        <v>61.13</v>
      </c>
      <c r="C4715" s="2">
        <f>IFERROR(__xludf.DUMMYFUNCTION("""COMPUTED_VALUE"""),61.46)</f>
        <v>61.46</v>
      </c>
      <c r="D4715" s="2">
        <f>IFERROR(__xludf.DUMMYFUNCTION("""COMPUTED_VALUE"""),60.8)</f>
        <v>60.8</v>
      </c>
      <c r="E4715" s="2">
        <f>IFERROR(__xludf.DUMMYFUNCTION("""COMPUTED_VALUE"""),61.4)</f>
        <v>61.4</v>
      </c>
      <c r="F4715" s="2">
        <f>IFERROR(__xludf.DUMMYFUNCTION("""COMPUTED_VALUE"""),2598800.0)</f>
        <v>2598800</v>
      </c>
    </row>
    <row r="4716">
      <c r="A4716" s="3">
        <f>IFERROR(__xludf.DUMMYFUNCTION("""COMPUTED_VALUE"""),36032.666666666664)</f>
        <v>36032.66667</v>
      </c>
      <c r="B4716" s="2">
        <f>IFERROR(__xludf.DUMMYFUNCTION("""COMPUTED_VALUE"""),61.67)</f>
        <v>61.67</v>
      </c>
      <c r="C4716" s="2">
        <f>IFERROR(__xludf.DUMMYFUNCTION("""COMPUTED_VALUE"""),62.5)</f>
        <v>62.5</v>
      </c>
      <c r="D4716" s="2">
        <f>IFERROR(__xludf.DUMMYFUNCTION("""COMPUTED_VALUE"""),60.95)</f>
        <v>60.95</v>
      </c>
      <c r="E4716" s="2">
        <f>IFERROR(__xludf.DUMMYFUNCTION("""COMPUTED_VALUE"""),61.28)</f>
        <v>61.28</v>
      </c>
      <c r="F4716" s="2">
        <f>IFERROR(__xludf.DUMMYFUNCTION("""COMPUTED_VALUE"""),2150100.0)</f>
        <v>2150100</v>
      </c>
    </row>
    <row r="4717">
      <c r="A4717" s="3">
        <f>IFERROR(__xludf.DUMMYFUNCTION("""COMPUTED_VALUE"""),36033.666666666664)</f>
        <v>36033.66667</v>
      </c>
      <c r="B4717" s="2">
        <f>IFERROR(__xludf.DUMMYFUNCTION("""COMPUTED_VALUE"""),60.77)</f>
        <v>60.77</v>
      </c>
      <c r="C4717" s="2">
        <f>IFERROR(__xludf.DUMMYFUNCTION("""COMPUTED_VALUE"""),62.92)</f>
        <v>62.92</v>
      </c>
      <c r="D4717" s="2">
        <f>IFERROR(__xludf.DUMMYFUNCTION("""COMPUTED_VALUE"""),60.65)</f>
        <v>60.65</v>
      </c>
      <c r="E4717" s="2">
        <f>IFERROR(__xludf.DUMMYFUNCTION("""COMPUTED_VALUE"""),62.38)</f>
        <v>62.38</v>
      </c>
      <c r="F4717" s="2">
        <f>IFERROR(__xludf.DUMMYFUNCTION("""COMPUTED_VALUE"""),3891500.0)</f>
        <v>3891500</v>
      </c>
    </row>
    <row r="4718">
      <c r="A4718" s="3">
        <f>IFERROR(__xludf.DUMMYFUNCTION("""COMPUTED_VALUE"""),36034.666666666664)</f>
        <v>36034.66667</v>
      </c>
      <c r="B4718" s="2">
        <f>IFERROR(__xludf.DUMMYFUNCTION("""COMPUTED_VALUE"""),61.19)</f>
        <v>61.19</v>
      </c>
      <c r="C4718" s="2">
        <f>IFERROR(__xludf.DUMMYFUNCTION("""COMPUTED_VALUE"""),61.28)</f>
        <v>61.28</v>
      </c>
      <c r="D4718" s="2">
        <f>IFERROR(__xludf.DUMMYFUNCTION("""COMPUTED_VALUE"""),59.64)</f>
        <v>59.64</v>
      </c>
      <c r="E4718" s="2">
        <f>IFERROR(__xludf.DUMMYFUNCTION("""COMPUTED_VALUE"""),59.79)</f>
        <v>59.79</v>
      </c>
      <c r="F4718" s="2">
        <f>IFERROR(__xludf.DUMMYFUNCTION("""COMPUTED_VALUE"""),6266200.0)</f>
        <v>6266200</v>
      </c>
    </row>
    <row r="4719">
      <c r="A4719" s="3">
        <f>IFERROR(__xludf.DUMMYFUNCTION("""COMPUTED_VALUE"""),36035.666666666664)</f>
        <v>36035.66667</v>
      </c>
      <c r="B4719" s="2">
        <f>IFERROR(__xludf.DUMMYFUNCTION("""COMPUTED_VALUE"""),59.82)</f>
        <v>59.82</v>
      </c>
      <c r="C4719" s="2">
        <f>IFERROR(__xludf.DUMMYFUNCTION("""COMPUTED_VALUE"""),60.09)</f>
        <v>60.09</v>
      </c>
      <c r="D4719" s="2">
        <f>IFERROR(__xludf.DUMMYFUNCTION("""COMPUTED_VALUE"""),57.7)</f>
        <v>57.7</v>
      </c>
      <c r="E4719" s="2">
        <f>IFERROR(__xludf.DUMMYFUNCTION("""COMPUTED_VALUE"""),58.47)</f>
        <v>58.47</v>
      </c>
      <c r="F4719" s="2">
        <f>IFERROR(__xludf.DUMMYFUNCTION("""COMPUTED_VALUE"""),4702600.0)</f>
        <v>4702600</v>
      </c>
    </row>
    <row r="4720">
      <c r="A4720" s="3">
        <f>IFERROR(__xludf.DUMMYFUNCTION("""COMPUTED_VALUE"""),36038.666666666664)</f>
        <v>36038.66667</v>
      </c>
      <c r="B4720" s="2">
        <f>IFERROR(__xludf.DUMMYFUNCTION("""COMPUTED_VALUE"""),58.74)</f>
        <v>58.74</v>
      </c>
      <c r="C4720" s="2">
        <f>IFERROR(__xludf.DUMMYFUNCTION("""COMPUTED_VALUE"""),58.92)</f>
        <v>58.92</v>
      </c>
      <c r="D4720" s="2">
        <f>IFERROR(__xludf.DUMMYFUNCTION("""COMPUTED_VALUE"""),53.79)</f>
        <v>53.79</v>
      </c>
      <c r="E4720" s="2">
        <f>IFERROR(__xludf.DUMMYFUNCTION("""COMPUTED_VALUE"""),53.79)</f>
        <v>53.79</v>
      </c>
      <c r="F4720" s="2">
        <f>IFERROR(__xludf.DUMMYFUNCTION("""COMPUTED_VALUE"""),6691600.0)</f>
        <v>6691600</v>
      </c>
    </row>
    <row r="4721">
      <c r="A4721" s="3">
        <f>IFERROR(__xludf.DUMMYFUNCTION("""COMPUTED_VALUE"""),36039.666666666664)</f>
        <v>36039.66667</v>
      </c>
      <c r="B4721" s="2">
        <f>IFERROR(__xludf.DUMMYFUNCTION("""COMPUTED_VALUE"""),53.97)</f>
        <v>53.97</v>
      </c>
      <c r="C4721" s="2">
        <f>IFERROR(__xludf.DUMMYFUNCTION("""COMPUTED_VALUE"""),56.77)</f>
        <v>56.77</v>
      </c>
      <c r="D4721" s="2">
        <f>IFERROR(__xludf.DUMMYFUNCTION("""COMPUTED_VALUE"""),53.01)</f>
        <v>53.01</v>
      </c>
      <c r="E4721" s="2">
        <f>IFERROR(__xludf.DUMMYFUNCTION("""COMPUTED_VALUE"""),56.32)</f>
        <v>56.32</v>
      </c>
      <c r="F4721" s="2">
        <f>IFERROR(__xludf.DUMMYFUNCTION("""COMPUTED_VALUE"""),6926100.0)</f>
        <v>6926100</v>
      </c>
    </row>
    <row r="4722">
      <c r="A4722" s="3">
        <f>IFERROR(__xludf.DUMMYFUNCTION("""COMPUTED_VALUE"""),36040.666666666664)</f>
        <v>36040.66667</v>
      </c>
      <c r="B4722" s="2">
        <f>IFERROR(__xludf.DUMMYFUNCTION("""COMPUTED_VALUE"""),57.79)</f>
        <v>57.79</v>
      </c>
      <c r="C4722" s="2">
        <f>IFERROR(__xludf.DUMMYFUNCTION("""COMPUTED_VALUE"""),59.07)</f>
        <v>59.07</v>
      </c>
      <c r="D4722" s="2">
        <f>IFERROR(__xludf.DUMMYFUNCTION("""COMPUTED_VALUE"""),57.25)</f>
        <v>57.25</v>
      </c>
      <c r="E4722" s="2">
        <f>IFERROR(__xludf.DUMMYFUNCTION("""COMPUTED_VALUE"""),57.64)</f>
        <v>57.64</v>
      </c>
      <c r="F4722" s="2">
        <f>IFERROR(__xludf.DUMMYFUNCTION("""COMPUTED_VALUE"""),4698800.0)</f>
        <v>4698800</v>
      </c>
    </row>
    <row r="4723">
      <c r="A4723" s="3">
        <f>IFERROR(__xludf.DUMMYFUNCTION("""COMPUTED_VALUE"""),36041.666666666664)</f>
        <v>36041.66667</v>
      </c>
      <c r="B4723" s="2">
        <f>IFERROR(__xludf.DUMMYFUNCTION("""COMPUTED_VALUE"""),56.74)</f>
        <v>56.74</v>
      </c>
      <c r="C4723" s="2">
        <f>IFERROR(__xludf.DUMMYFUNCTION("""COMPUTED_VALUE"""),58.56)</f>
        <v>58.56</v>
      </c>
      <c r="D4723" s="2">
        <f>IFERROR(__xludf.DUMMYFUNCTION("""COMPUTED_VALUE"""),56.38)</f>
        <v>56.38</v>
      </c>
      <c r="E4723" s="2">
        <f>IFERROR(__xludf.DUMMYFUNCTION("""COMPUTED_VALUE"""),58.03)</f>
        <v>58.03</v>
      </c>
      <c r="F4723" s="2">
        <f>IFERROR(__xludf.DUMMYFUNCTION("""COMPUTED_VALUE"""),4138300.0)</f>
        <v>4138300</v>
      </c>
    </row>
    <row r="4724">
      <c r="A4724" s="3">
        <f>IFERROR(__xludf.DUMMYFUNCTION("""COMPUTED_VALUE"""),36042.666666666664)</f>
        <v>36042.66667</v>
      </c>
      <c r="B4724" s="2">
        <f>IFERROR(__xludf.DUMMYFUNCTION("""COMPUTED_VALUE"""),58.5)</f>
        <v>58.5</v>
      </c>
      <c r="C4724" s="2">
        <f>IFERROR(__xludf.DUMMYFUNCTION("""COMPUTED_VALUE"""),58.68)</f>
        <v>58.68</v>
      </c>
      <c r="D4724" s="2">
        <f>IFERROR(__xludf.DUMMYFUNCTION("""COMPUTED_VALUE"""),55.07)</f>
        <v>55.07</v>
      </c>
      <c r="E4724" s="2">
        <f>IFERROR(__xludf.DUMMYFUNCTION("""COMPUTED_VALUE"""),57.01)</f>
        <v>57.01</v>
      </c>
      <c r="F4724" s="2">
        <f>IFERROR(__xludf.DUMMYFUNCTION("""COMPUTED_VALUE"""),3583800.0)</f>
        <v>3583800</v>
      </c>
    </row>
    <row r="4725">
      <c r="A4725" s="3">
        <f>IFERROR(__xludf.DUMMYFUNCTION("""COMPUTED_VALUE"""),36046.666666666664)</f>
        <v>36046.66667</v>
      </c>
      <c r="B4725" s="2">
        <f>IFERROR(__xludf.DUMMYFUNCTION("""COMPUTED_VALUE"""),59.67)</f>
        <v>59.67</v>
      </c>
      <c r="C4725" s="2">
        <f>IFERROR(__xludf.DUMMYFUNCTION("""COMPUTED_VALUE"""),60.15)</f>
        <v>60.15</v>
      </c>
      <c r="D4725" s="2">
        <f>IFERROR(__xludf.DUMMYFUNCTION("""COMPUTED_VALUE"""),58.35)</f>
        <v>58.35</v>
      </c>
      <c r="E4725" s="2">
        <f>IFERROR(__xludf.DUMMYFUNCTION("""COMPUTED_VALUE"""),60.15)</f>
        <v>60.15</v>
      </c>
      <c r="F4725" s="2">
        <f>IFERROR(__xludf.DUMMYFUNCTION("""COMPUTED_VALUE"""),3741100.0)</f>
        <v>3741100</v>
      </c>
    </row>
    <row r="4726">
      <c r="A4726" s="3">
        <f>IFERROR(__xludf.DUMMYFUNCTION("""COMPUTED_VALUE"""),36047.666666666664)</f>
        <v>36047.66667</v>
      </c>
      <c r="B4726" s="2">
        <f>IFERROR(__xludf.DUMMYFUNCTION("""COMPUTED_VALUE"""),60.06)</f>
        <v>60.06</v>
      </c>
      <c r="C4726" s="2">
        <f>IFERROR(__xludf.DUMMYFUNCTION("""COMPUTED_VALUE"""),60.86)</f>
        <v>60.86</v>
      </c>
      <c r="D4726" s="2">
        <f>IFERROR(__xludf.DUMMYFUNCTION("""COMPUTED_VALUE"""),59.13)</f>
        <v>59.13</v>
      </c>
      <c r="E4726" s="2">
        <f>IFERROR(__xludf.DUMMYFUNCTION("""COMPUTED_VALUE"""),59.13)</f>
        <v>59.13</v>
      </c>
      <c r="F4726" s="2">
        <f>IFERROR(__xludf.DUMMYFUNCTION("""COMPUTED_VALUE"""),4294000.0)</f>
        <v>4294000</v>
      </c>
    </row>
    <row r="4727">
      <c r="A4727" s="3">
        <f>IFERROR(__xludf.DUMMYFUNCTION("""COMPUTED_VALUE"""),36048.666666666664)</f>
        <v>36048.66667</v>
      </c>
      <c r="B4727" s="2">
        <f>IFERROR(__xludf.DUMMYFUNCTION("""COMPUTED_VALUE"""),58.32)</f>
        <v>58.32</v>
      </c>
      <c r="C4727" s="2">
        <f>IFERROR(__xludf.DUMMYFUNCTION("""COMPUTED_VALUE"""),58.35)</f>
        <v>58.35</v>
      </c>
      <c r="D4727" s="2">
        <f>IFERROR(__xludf.DUMMYFUNCTION("""COMPUTED_VALUE"""),56.44)</f>
        <v>56.44</v>
      </c>
      <c r="E4727" s="2">
        <f>IFERROR(__xludf.DUMMYFUNCTION("""COMPUTED_VALUE"""),57.85)</f>
        <v>57.85</v>
      </c>
      <c r="F4727" s="2">
        <f>IFERROR(__xludf.DUMMYFUNCTION("""COMPUTED_VALUE"""),4689700.0)</f>
        <v>4689700</v>
      </c>
    </row>
    <row r="4728">
      <c r="A4728" s="3">
        <f>IFERROR(__xludf.DUMMYFUNCTION("""COMPUTED_VALUE"""),36049.666666666664)</f>
        <v>36049.66667</v>
      </c>
      <c r="B4728" s="2">
        <f>IFERROR(__xludf.DUMMYFUNCTION("""COMPUTED_VALUE"""),57.97)</f>
        <v>57.97</v>
      </c>
      <c r="C4728" s="2">
        <f>IFERROR(__xludf.DUMMYFUNCTION("""COMPUTED_VALUE"""),60.35)</f>
        <v>60.35</v>
      </c>
      <c r="D4728" s="2">
        <f>IFERROR(__xludf.DUMMYFUNCTION("""COMPUTED_VALUE"""),57.61)</f>
        <v>57.61</v>
      </c>
      <c r="E4728" s="2">
        <f>IFERROR(__xludf.DUMMYFUNCTION("""COMPUTED_VALUE"""),60.35)</f>
        <v>60.35</v>
      </c>
      <c r="F4728" s="2">
        <f>IFERROR(__xludf.DUMMYFUNCTION("""COMPUTED_VALUE"""),4359000.0)</f>
        <v>4359000</v>
      </c>
    </row>
    <row r="4729">
      <c r="A4729" s="3">
        <f>IFERROR(__xludf.DUMMYFUNCTION("""COMPUTED_VALUE"""),36052.666666666664)</f>
        <v>36052.66667</v>
      </c>
      <c r="B4729" s="2">
        <f>IFERROR(__xludf.DUMMYFUNCTION("""COMPUTED_VALUE"""),61.13)</f>
        <v>61.13</v>
      </c>
      <c r="C4729" s="2">
        <f>IFERROR(__xludf.DUMMYFUNCTION("""COMPUTED_VALUE"""),62.06)</f>
        <v>62.06</v>
      </c>
      <c r="D4729" s="2">
        <f>IFERROR(__xludf.DUMMYFUNCTION("""COMPUTED_VALUE"""),60.95)</f>
        <v>60.95</v>
      </c>
      <c r="E4729" s="2">
        <f>IFERROR(__xludf.DUMMYFUNCTION("""COMPUTED_VALUE"""),61.64)</f>
        <v>61.64</v>
      </c>
      <c r="F4729" s="2">
        <f>IFERROR(__xludf.DUMMYFUNCTION("""COMPUTED_VALUE"""),3456500.0)</f>
        <v>3456500</v>
      </c>
    </row>
    <row r="4730">
      <c r="A4730" s="3">
        <f>IFERROR(__xludf.DUMMYFUNCTION("""COMPUTED_VALUE"""),36053.666666666664)</f>
        <v>36053.66667</v>
      </c>
      <c r="B4730" s="2">
        <f>IFERROR(__xludf.DUMMYFUNCTION("""COMPUTED_VALUE"""),61.61)</f>
        <v>61.61</v>
      </c>
      <c r="C4730" s="2">
        <f>IFERROR(__xludf.DUMMYFUNCTION("""COMPUTED_VALUE"""),62.41)</f>
        <v>62.41</v>
      </c>
      <c r="D4730" s="2">
        <f>IFERROR(__xludf.DUMMYFUNCTION("""COMPUTED_VALUE"""),61.4)</f>
        <v>61.4</v>
      </c>
      <c r="E4730" s="2">
        <f>IFERROR(__xludf.DUMMYFUNCTION("""COMPUTED_VALUE"""),62.0)</f>
        <v>62</v>
      </c>
      <c r="F4730" s="2">
        <f>IFERROR(__xludf.DUMMYFUNCTION("""COMPUTED_VALUE"""),2845600.0)</f>
        <v>2845600</v>
      </c>
    </row>
    <row r="4731">
      <c r="A4731" s="3">
        <f>IFERROR(__xludf.DUMMYFUNCTION("""COMPUTED_VALUE"""),36054.666666666664)</f>
        <v>36054.66667</v>
      </c>
      <c r="B4731" s="2">
        <f>IFERROR(__xludf.DUMMYFUNCTION("""COMPUTED_VALUE"""),62.09)</f>
        <v>62.09</v>
      </c>
      <c r="C4731" s="2">
        <f>IFERROR(__xludf.DUMMYFUNCTION("""COMPUTED_VALUE"""),62.53)</f>
        <v>62.53</v>
      </c>
      <c r="D4731" s="2">
        <f>IFERROR(__xludf.DUMMYFUNCTION("""COMPUTED_VALUE"""),61.22)</f>
        <v>61.22</v>
      </c>
      <c r="E4731" s="2">
        <f>IFERROR(__xludf.DUMMYFUNCTION("""COMPUTED_VALUE"""),62.26)</f>
        <v>62.26</v>
      </c>
      <c r="F4731" s="2">
        <f>IFERROR(__xludf.DUMMYFUNCTION("""COMPUTED_VALUE"""),2938900.0)</f>
        <v>2938900</v>
      </c>
    </row>
    <row r="4732">
      <c r="A4732" s="3">
        <f>IFERROR(__xludf.DUMMYFUNCTION("""COMPUTED_VALUE"""),36055.666666666664)</f>
        <v>36055.66667</v>
      </c>
      <c r="B4732" s="2">
        <f>IFERROR(__xludf.DUMMYFUNCTION("""COMPUTED_VALUE"""),60.89)</f>
        <v>60.89</v>
      </c>
      <c r="C4732" s="2">
        <f>IFERROR(__xludf.DUMMYFUNCTION("""COMPUTED_VALUE"""),61.25)</f>
        <v>61.25</v>
      </c>
      <c r="D4732" s="2">
        <f>IFERROR(__xludf.DUMMYFUNCTION("""COMPUTED_VALUE"""),60.26)</f>
        <v>60.26</v>
      </c>
      <c r="E4732" s="2">
        <f>IFERROR(__xludf.DUMMYFUNCTION("""COMPUTED_VALUE"""),60.44)</f>
        <v>60.44</v>
      </c>
      <c r="F4732" s="2">
        <f>IFERROR(__xludf.DUMMYFUNCTION("""COMPUTED_VALUE"""),3889100.0)</f>
        <v>3889100</v>
      </c>
    </row>
    <row r="4733">
      <c r="A4733" s="3">
        <f>IFERROR(__xludf.DUMMYFUNCTION("""COMPUTED_VALUE"""),36056.666666666664)</f>
        <v>36056.66667</v>
      </c>
      <c r="B4733" s="2">
        <f>IFERROR(__xludf.DUMMYFUNCTION("""COMPUTED_VALUE"""),60.53)</f>
        <v>60.53</v>
      </c>
      <c r="C4733" s="2">
        <f>IFERROR(__xludf.DUMMYFUNCTION("""COMPUTED_VALUE"""),60.74)</f>
        <v>60.74</v>
      </c>
      <c r="D4733" s="2">
        <f>IFERROR(__xludf.DUMMYFUNCTION("""COMPUTED_VALUE"""),59.34)</f>
        <v>59.34</v>
      </c>
      <c r="E4733" s="2">
        <f>IFERROR(__xludf.DUMMYFUNCTION("""COMPUTED_VALUE"""),59.43)</f>
        <v>59.43</v>
      </c>
      <c r="F4733" s="2">
        <f>IFERROR(__xludf.DUMMYFUNCTION("""COMPUTED_VALUE"""),4192900.0)</f>
        <v>4192900</v>
      </c>
    </row>
    <row r="4734">
      <c r="A4734" s="3">
        <f>IFERROR(__xludf.DUMMYFUNCTION("""COMPUTED_VALUE"""),36059.666666666664)</f>
        <v>36059.66667</v>
      </c>
      <c r="B4734" s="2">
        <f>IFERROR(__xludf.DUMMYFUNCTION("""COMPUTED_VALUE"""),57.37)</f>
        <v>57.37</v>
      </c>
      <c r="C4734" s="2">
        <f>IFERROR(__xludf.DUMMYFUNCTION("""COMPUTED_VALUE"""),61.43)</f>
        <v>61.43</v>
      </c>
      <c r="D4734" s="2">
        <f>IFERROR(__xludf.DUMMYFUNCTION("""COMPUTED_VALUE"""),57.31)</f>
        <v>57.31</v>
      </c>
      <c r="E4734" s="2">
        <f>IFERROR(__xludf.DUMMYFUNCTION("""COMPUTED_VALUE"""),61.43)</f>
        <v>61.43</v>
      </c>
      <c r="F4734" s="2">
        <f>IFERROR(__xludf.DUMMYFUNCTION("""COMPUTED_VALUE"""),3800200.0)</f>
        <v>3800200</v>
      </c>
    </row>
    <row r="4735">
      <c r="A4735" s="3">
        <f>IFERROR(__xludf.DUMMYFUNCTION("""COMPUTED_VALUE"""),36060.666666666664)</f>
        <v>36060.66667</v>
      </c>
      <c r="B4735" s="2">
        <f>IFERROR(__xludf.DUMMYFUNCTION("""COMPUTED_VALUE"""),61.79)</f>
        <v>61.79</v>
      </c>
      <c r="C4735" s="2">
        <f>IFERROR(__xludf.DUMMYFUNCTION("""COMPUTED_VALUE"""),62.38)</f>
        <v>62.38</v>
      </c>
      <c r="D4735" s="2">
        <f>IFERROR(__xludf.DUMMYFUNCTION("""COMPUTED_VALUE"""),61.01)</f>
        <v>61.01</v>
      </c>
      <c r="E4735" s="2">
        <f>IFERROR(__xludf.DUMMYFUNCTION("""COMPUTED_VALUE"""),61.01)</f>
        <v>61.01</v>
      </c>
      <c r="F4735" s="2">
        <f>IFERROR(__xludf.DUMMYFUNCTION("""COMPUTED_VALUE"""),3810200.0)</f>
        <v>3810200</v>
      </c>
    </row>
    <row r="4736">
      <c r="A4736" s="3">
        <f>IFERROR(__xludf.DUMMYFUNCTION("""COMPUTED_VALUE"""),36061.666666666664)</f>
        <v>36061.66667</v>
      </c>
      <c r="B4736" s="2">
        <f>IFERROR(__xludf.DUMMYFUNCTION("""COMPUTED_VALUE"""),61.49)</f>
        <v>61.49</v>
      </c>
      <c r="C4736" s="2">
        <f>IFERROR(__xludf.DUMMYFUNCTION("""COMPUTED_VALUE"""),63.52)</f>
        <v>63.52</v>
      </c>
      <c r="D4736" s="2">
        <f>IFERROR(__xludf.DUMMYFUNCTION("""COMPUTED_VALUE"""),61.37)</f>
        <v>61.37</v>
      </c>
      <c r="E4736" s="2">
        <f>IFERROR(__xludf.DUMMYFUNCTION("""COMPUTED_VALUE"""),63.07)</f>
        <v>63.07</v>
      </c>
      <c r="F4736" s="2">
        <f>IFERROR(__xludf.DUMMYFUNCTION("""COMPUTED_VALUE"""),3616200.0)</f>
        <v>3616200</v>
      </c>
    </row>
    <row r="4737">
      <c r="A4737" s="3">
        <f>IFERROR(__xludf.DUMMYFUNCTION("""COMPUTED_VALUE"""),36062.666666666664)</f>
        <v>36062.66667</v>
      </c>
      <c r="B4737" s="2">
        <f>IFERROR(__xludf.DUMMYFUNCTION("""COMPUTED_VALUE"""),62.83)</f>
        <v>62.83</v>
      </c>
      <c r="C4737" s="2">
        <f>IFERROR(__xludf.DUMMYFUNCTION("""COMPUTED_VALUE"""),64.44)</f>
        <v>64.44</v>
      </c>
      <c r="D4737" s="2">
        <f>IFERROR(__xludf.DUMMYFUNCTION("""COMPUTED_VALUE"""),62.21)</f>
        <v>62.21</v>
      </c>
      <c r="E4737" s="2">
        <f>IFERROR(__xludf.DUMMYFUNCTION("""COMPUTED_VALUE"""),62.35)</f>
        <v>62.35</v>
      </c>
      <c r="F4737" s="2">
        <f>IFERROR(__xludf.DUMMYFUNCTION("""COMPUTED_VALUE"""),3673900.0)</f>
        <v>3673900</v>
      </c>
    </row>
    <row r="4738">
      <c r="A4738" s="3">
        <f>IFERROR(__xludf.DUMMYFUNCTION("""COMPUTED_VALUE"""),36063.666666666664)</f>
        <v>36063.66667</v>
      </c>
      <c r="B4738" s="2">
        <f>IFERROR(__xludf.DUMMYFUNCTION("""COMPUTED_VALUE"""),62.09)</f>
        <v>62.09</v>
      </c>
      <c r="C4738" s="2">
        <f>IFERROR(__xludf.DUMMYFUNCTION("""COMPUTED_VALUE"""),63.85)</f>
        <v>63.85</v>
      </c>
      <c r="D4738" s="2">
        <f>IFERROR(__xludf.DUMMYFUNCTION("""COMPUTED_VALUE"""),62.03)</f>
        <v>62.03</v>
      </c>
      <c r="E4738" s="2">
        <f>IFERROR(__xludf.DUMMYFUNCTION("""COMPUTED_VALUE"""),63.79)</f>
        <v>63.79</v>
      </c>
      <c r="F4738" s="2">
        <f>IFERROR(__xludf.DUMMYFUNCTION("""COMPUTED_VALUE"""),3132300.0)</f>
        <v>3132300</v>
      </c>
    </row>
    <row r="4739">
      <c r="A4739" s="3">
        <f>IFERROR(__xludf.DUMMYFUNCTION("""COMPUTED_VALUE"""),36066.666666666664)</f>
        <v>36066.66667</v>
      </c>
      <c r="B4739" s="2">
        <f>IFERROR(__xludf.DUMMYFUNCTION("""COMPUTED_VALUE"""),64.23)</f>
        <v>64.23</v>
      </c>
      <c r="C4739" s="2">
        <f>IFERROR(__xludf.DUMMYFUNCTION("""COMPUTED_VALUE"""),65.04)</f>
        <v>65.04</v>
      </c>
      <c r="D4739" s="2">
        <f>IFERROR(__xludf.DUMMYFUNCTION("""COMPUTED_VALUE"""),63.13)</f>
        <v>63.13</v>
      </c>
      <c r="E4739" s="2">
        <f>IFERROR(__xludf.DUMMYFUNCTION("""COMPUTED_VALUE"""),63.79)</f>
        <v>63.79</v>
      </c>
      <c r="F4739" s="2">
        <f>IFERROR(__xludf.DUMMYFUNCTION("""COMPUTED_VALUE"""),3430600.0)</f>
        <v>3430600</v>
      </c>
    </row>
    <row r="4740">
      <c r="A4740" s="3">
        <f>IFERROR(__xludf.DUMMYFUNCTION("""COMPUTED_VALUE"""),36067.666666666664)</f>
        <v>36067.66667</v>
      </c>
      <c r="B4740" s="2">
        <f>IFERROR(__xludf.DUMMYFUNCTION("""COMPUTED_VALUE"""),63.88)</f>
        <v>63.88</v>
      </c>
      <c r="C4740" s="2">
        <f>IFERROR(__xludf.DUMMYFUNCTION("""COMPUTED_VALUE"""),64.06)</f>
        <v>64.06</v>
      </c>
      <c r="D4740" s="2">
        <f>IFERROR(__xludf.DUMMYFUNCTION("""COMPUTED_VALUE"""),62.09)</f>
        <v>62.09</v>
      </c>
      <c r="E4740" s="2">
        <f>IFERROR(__xludf.DUMMYFUNCTION("""COMPUTED_VALUE"""),62.77)</f>
        <v>62.77</v>
      </c>
      <c r="F4740" s="2">
        <f>IFERROR(__xludf.DUMMYFUNCTION("""COMPUTED_VALUE"""),3197200.0)</f>
        <v>3197200</v>
      </c>
    </row>
    <row r="4741">
      <c r="A4741" s="3">
        <f>IFERROR(__xludf.DUMMYFUNCTION("""COMPUTED_VALUE"""),36068.666666666664)</f>
        <v>36068.66667</v>
      </c>
      <c r="B4741" s="2">
        <f>IFERROR(__xludf.DUMMYFUNCTION("""COMPUTED_VALUE"""),62.44)</f>
        <v>62.44</v>
      </c>
      <c r="C4741" s="2">
        <f>IFERROR(__xludf.DUMMYFUNCTION("""COMPUTED_VALUE"""),62.8)</f>
        <v>62.8</v>
      </c>
      <c r="D4741" s="2">
        <f>IFERROR(__xludf.DUMMYFUNCTION("""COMPUTED_VALUE"""),60.95)</f>
        <v>60.95</v>
      </c>
      <c r="E4741" s="2">
        <f>IFERROR(__xludf.DUMMYFUNCTION("""COMPUTED_VALUE"""),61.13)</f>
        <v>61.13</v>
      </c>
      <c r="F4741" s="2">
        <f>IFERROR(__xludf.DUMMYFUNCTION("""COMPUTED_VALUE"""),3686100.0)</f>
        <v>3686100</v>
      </c>
    </row>
    <row r="4742">
      <c r="A4742" s="3">
        <f>IFERROR(__xludf.DUMMYFUNCTION("""COMPUTED_VALUE"""),36069.666666666664)</f>
        <v>36069.66667</v>
      </c>
      <c r="B4742" s="2">
        <f>IFERROR(__xludf.DUMMYFUNCTION("""COMPUTED_VALUE"""),59.73)</f>
        <v>59.73</v>
      </c>
      <c r="C4742" s="2">
        <f>IFERROR(__xludf.DUMMYFUNCTION("""COMPUTED_VALUE"""),60.38)</f>
        <v>60.38</v>
      </c>
      <c r="D4742" s="2">
        <f>IFERROR(__xludf.DUMMYFUNCTION("""COMPUTED_VALUE"""),58.95)</f>
        <v>58.95</v>
      </c>
      <c r="E4742" s="2">
        <f>IFERROR(__xludf.DUMMYFUNCTION("""COMPUTED_VALUE"""),59.85)</f>
        <v>59.85</v>
      </c>
      <c r="F4742" s="2">
        <f>IFERROR(__xludf.DUMMYFUNCTION("""COMPUTED_VALUE"""),5619400.0)</f>
        <v>5619400</v>
      </c>
    </row>
    <row r="4743">
      <c r="A4743" s="3">
        <f>IFERROR(__xludf.DUMMYFUNCTION("""COMPUTED_VALUE"""),36070.666666666664)</f>
        <v>36070.66667</v>
      </c>
      <c r="B4743" s="2">
        <f>IFERROR(__xludf.DUMMYFUNCTION("""COMPUTED_VALUE"""),59.28)</f>
        <v>59.28</v>
      </c>
      <c r="C4743" s="2">
        <f>IFERROR(__xludf.DUMMYFUNCTION("""COMPUTED_VALUE"""),59.82)</f>
        <v>59.82</v>
      </c>
      <c r="D4743" s="2">
        <f>IFERROR(__xludf.DUMMYFUNCTION("""COMPUTED_VALUE"""),56.83)</f>
        <v>56.83</v>
      </c>
      <c r="E4743" s="2">
        <f>IFERROR(__xludf.DUMMYFUNCTION("""COMPUTED_VALUE"""),59.7)</f>
        <v>59.7</v>
      </c>
      <c r="F4743" s="2">
        <f>IFERROR(__xludf.DUMMYFUNCTION("""COMPUTED_VALUE"""),6423900.0)</f>
        <v>6423900</v>
      </c>
    </row>
    <row r="4744">
      <c r="A4744" s="3">
        <f>IFERROR(__xludf.DUMMYFUNCTION("""COMPUTED_VALUE"""),36073.666666666664)</f>
        <v>36073.66667</v>
      </c>
      <c r="B4744" s="2">
        <f>IFERROR(__xludf.DUMMYFUNCTION("""COMPUTED_VALUE"""),59.1)</f>
        <v>59.1</v>
      </c>
      <c r="C4744" s="2">
        <f>IFERROR(__xludf.DUMMYFUNCTION("""COMPUTED_VALUE"""),59.1)</f>
        <v>59.1</v>
      </c>
      <c r="D4744" s="2">
        <f>IFERROR(__xludf.DUMMYFUNCTION("""COMPUTED_VALUE"""),56.03)</f>
        <v>56.03</v>
      </c>
      <c r="E4744" s="2">
        <f>IFERROR(__xludf.DUMMYFUNCTION("""COMPUTED_VALUE"""),57.43)</f>
        <v>57.43</v>
      </c>
      <c r="F4744" s="2">
        <f>IFERROR(__xludf.DUMMYFUNCTION("""COMPUTED_VALUE"""),5924400.0)</f>
        <v>5924400</v>
      </c>
    </row>
    <row r="4745">
      <c r="A4745" s="3">
        <f>IFERROR(__xludf.DUMMYFUNCTION("""COMPUTED_VALUE"""),36074.666666666664)</f>
        <v>36074.66667</v>
      </c>
      <c r="B4745" s="2">
        <f>IFERROR(__xludf.DUMMYFUNCTION("""COMPUTED_VALUE"""),59.22)</f>
        <v>59.22</v>
      </c>
      <c r="C4745" s="2">
        <f>IFERROR(__xludf.DUMMYFUNCTION("""COMPUTED_VALUE"""),59.22)</f>
        <v>59.22</v>
      </c>
      <c r="D4745" s="2">
        <f>IFERROR(__xludf.DUMMYFUNCTION("""COMPUTED_VALUE"""),56.71)</f>
        <v>56.71</v>
      </c>
      <c r="E4745" s="2">
        <f>IFERROR(__xludf.DUMMYFUNCTION("""COMPUTED_VALUE"""),57.01)</f>
        <v>57.01</v>
      </c>
      <c r="F4745" s="2">
        <f>IFERROR(__xludf.DUMMYFUNCTION("""COMPUTED_VALUE"""),6402300.0)</f>
        <v>6402300</v>
      </c>
    </row>
    <row r="4746">
      <c r="A4746" s="3">
        <f>IFERROR(__xludf.DUMMYFUNCTION("""COMPUTED_VALUE"""),36075.666666666664)</f>
        <v>36075.66667</v>
      </c>
      <c r="B4746" s="2">
        <f>IFERROR(__xludf.DUMMYFUNCTION("""COMPUTED_VALUE"""),57.07)</f>
        <v>57.07</v>
      </c>
      <c r="C4746" s="2">
        <f>IFERROR(__xludf.DUMMYFUNCTION("""COMPUTED_VALUE"""),58.68)</f>
        <v>58.68</v>
      </c>
      <c r="D4746" s="2">
        <f>IFERROR(__xludf.DUMMYFUNCTION("""COMPUTED_VALUE"""),56.41)</f>
        <v>56.41</v>
      </c>
      <c r="E4746" s="2">
        <f>IFERROR(__xludf.DUMMYFUNCTION("""COMPUTED_VALUE"""),58.24)</f>
        <v>58.24</v>
      </c>
      <c r="F4746" s="2">
        <f>IFERROR(__xludf.DUMMYFUNCTION("""COMPUTED_VALUE"""),5952900.0)</f>
        <v>5952900</v>
      </c>
    </row>
    <row r="4747">
      <c r="A4747" s="3">
        <f>IFERROR(__xludf.DUMMYFUNCTION("""COMPUTED_VALUE"""),36076.666666666664)</f>
        <v>36076.66667</v>
      </c>
      <c r="B4747" s="2">
        <f>IFERROR(__xludf.DUMMYFUNCTION("""COMPUTED_VALUE"""),57.67)</f>
        <v>57.67</v>
      </c>
      <c r="C4747" s="2">
        <f>IFERROR(__xludf.DUMMYFUNCTION("""COMPUTED_VALUE"""),58.98)</f>
        <v>58.98</v>
      </c>
      <c r="D4747" s="2">
        <f>IFERROR(__xludf.DUMMYFUNCTION("""COMPUTED_VALUE"""),55.79)</f>
        <v>55.79</v>
      </c>
      <c r="E4747" s="2">
        <f>IFERROR(__xludf.DUMMYFUNCTION("""COMPUTED_VALUE"""),58.92)</f>
        <v>58.92</v>
      </c>
      <c r="F4747" s="2">
        <f>IFERROR(__xludf.DUMMYFUNCTION("""COMPUTED_VALUE"""),7845400.0)</f>
        <v>7845400</v>
      </c>
    </row>
    <row r="4748">
      <c r="A4748" s="3">
        <f>IFERROR(__xludf.DUMMYFUNCTION("""COMPUTED_VALUE"""),36077.666666666664)</f>
        <v>36077.66667</v>
      </c>
      <c r="B4748" s="2">
        <f>IFERROR(__xludf.DUMMYFUNCTION("""COMPUTED_VALUE"""),59.43)</f>
        <v>59.43</v>
      </c>
      <c r="C4748" s="2">
        <f>IFERROR(__xludf.DUMMYFUNCTION("""COMPUTED_VALUE"""),61.07)</f>
        <v>61.07</v>
      </c>
      <c r="D4748" s="2">
        <f>IFERROR(__xludf.DUMMYFUNCTION("""COMPUTED_VALUE"""),58.5)</f>
        <v>58.5</v>
      </c>
      <c r="E4748" s="2">
        <f>IFERROR(__xludf.DUMMYFUNCTION("""COMPUTED_VALUE"""),60.8)</f>
        <v>60.8</v>
      </c>
      <c r="F4748" s="2">
        <f>IFERROR(__xludf.DUMMYFUNCTION("""COMPUTED_VALUE"""),4771900.0)</f>
        <v>4771900</v>
      </c>
    </row>
    <row r="4749">
      <c r="A4749" s="3">
        <f>IFERROR(__xludf.DUMMYFUNCTION("""COMPUTED_VALUE"""),36080.666666666664)</f>
        <v>36080.66667</v>
      </c>
      <c r="B4749" s="2">
        <f>IFERROR(__xludf.DUMMYFUNCTION("""COMPUTED_VALUE"""),62.12)</f>
        <v>62.12</v>
      </c>
      <c r="C4749" s="2">
        <f>IFERROR(__xludf.DUMMYFUNCTION("""COMPUTED_VALUE"""),63.46)</f>
        <v>63.46</v>
      </c>
      <c r="D4749" s="2">
        <f>IFERROR(__xludf.DUMMYFUNCTION("""COMPUTED_VALUE"""),61.88)</f>
        <v>61.88</v>
      </c>
      <c r="E4749" s="2">
        <f>IFERROR(__xludf.DUMMYFUNCTION("""COMPUTED_VALUE"""),62.5)</f>
        <v>62.5</v>
      </c>
      <c r="F4749" s="2">
        <f>IFERROR(__xludf.DUMMYFUNCTION("""COMPUTED_VALUE"""),4769200.0)</f>
        <v>4769200</v>
      </c>
    </row>
    <row r="4750">
      <c r="A4750" s="3">
        <f>IFERROR(__xludf.DUMMYFUNCTION("""COMPUTED_VALUE"""),36081.666666666664)</f>
        <v>36081.66667</v>
      </c>
      <c r="B4750" s="2">
        <f>IFERROR(__xludf.DUMMYFUNCTION("""COMPUTED_VALUE"""),62.32)</f>
        <v>62.32</v>
      </c>
      <c r="C4750" s="2">
        <f>IFERROR(__xludf.DUMMYFUNCTION("""COMPUTED_VALUE"""),62.32)</f>
        <v>62.32</v>
      </c>
      <c r="D4750" s="2">
        <f>IFERROR(__xludf.DUMMYFUNCTION("""COMPUTED_VALUE"""),60.44)</f>
        <v>60.44</v>
      </c>
      <c r="E4750" s="2">
        <f>IFERROR(__xludf.DUMMYFUNCTION("""COMPUTED_VALUE"""),61.22)</f>
        <v>61.22</v>
      </c>
      <c r="F4750" s="2">
        <f>IFERROR(__xludf.DUMMYFUNCTION("""COMPUTED_VALUE"""),4203400.0)</f>
        <v>4203400</v>
      </c>
    </row>
    <row r="4751">
      <c r="A4751" s="3">
        <f>IFERROR(__xludf.DUMMYFUNCTION("""COMPUTED_VALUE"""),36082.666666666664)</f>
        <v>36082.66667</v>
      </c>
      <c r="B4751" s="2">
        <f>IFERROR(__xludf.DUMMYFUNCTION("""COMPUTED_VALUE"""),61.01)</f>
        <v>61.01</v>
      </c>
      <c r="C4751" s="2">
        <f>IFERROR(__xludf.DUMMYFUNCTION("""COMPUTED_VALUE"""),63.04)</f>
        <v>63.04</v>
      </c>
      <c r="D4751" s="2">
        <f>IFERROR(__xludf.DUMMYFUNCTION("""COMPUTED_VALUE"""),60.74)</f>
        <v>60.74</v>
      </c>
      <c r="E4751" s="2">
        <f>IFERROR(__xludf.DUMMYFUNCTION("""COMPUTED_VALUE"""),62.32)</f>
        <v>62.32</v>
      </c>
      <c r="F4751" s="2">
        <f>IFERROR(__xludf.DUMMYFUNCTION("""COMPUTED_VALUE"""),4330300.0)</f>
        <v>4330300</v>
      </c>
    </row>
    <row r="4752">
      <c r="A4752" s="3">
        <f>IFERROR(__xludf.DUMMYFUNCTION("""COMPUTED_VALUE"""),36083.666666666664)</f>
        <v>36083.66667</v>
      </c>
      <c r="B4752" s="2">
        <f>IFERROR(__xludf.DUMMYFUNCTION("""COMPUTED_VALUE"""),62.09)</f>
        <v>62.09</v>
      </c>
      <c r="C4752" s="2">
        <f>IFERROR(__xludf.DUMMYFUNCTION("""COMPUTED_VALUE"""),66.26)</f>
        <v>66.26</v>
      </c>
      <c r="D4752" s="2">
        <f>IFERROR(__xludf.DUMMYFUNCTION("""COMPUTED_VALUE"""),62.0)</f>
        <v>62</v>
      </c>
      <c r="E4752" s="2">
        <f>IFERROR(__xludf.DUMMYFUNCTION("""COMPUTED_VALUE"""),65.07)</f>
        <v>65.07</v>
      </c>
      <c r="F4752" s="2">
        <f>IFERROR(__xludf.DUMMYFUNCTION("""COMPUTED_VALUE"""),5295400.0)</f>
        <v>5295400</v>
      </c>
    </row>
    <row r="4753">
      <c r="A4753" s="3">
        <f>IFERROR(__xludf.DUMMYFUNCTION("""COMPUTED_VALUE"""),36084.666666666664)</f>
        <v>36084.66667</v>
      </c>
      <c r="B4753" s="2">
        <f>IFERROR(__xludf.DUMMYFUNCTION("""COMPUTED_VALUE"""),64.92)</f>
        <v>64.92</v>
      </c>
      <c r="C4753" s="2">
        <f>IFERROR(__xludf.DUMMYFUNCTION("""COMPUTED_VALUE"""),65.67)</f>
        <v>65.67</v>
      </c>
      <c r="D4753" s="2">
        <f>IFERROR(__xludf.DUMMYFUNCTION("""COMPUTED_VALUE"""),64.41)</f>
        <v>64.41</v>
      </c>
      <c r="E4753" s="2">
        <f>IFERROR(__xludf.DUMMYFUNCTION("""COMPUTED_VALUE"""),64.92)</f>
        <v>64.92</v>
      </c>
      <c r="F4753" s="2">
        <f>IFERROR(__xludf.DUMMYFUNCTION("""COMPUTED_VALUE"""),4166200.0)</f>
        <v>4166200</v>
      </c>
    </row>
    <row r="4754">
      <c r="A4754" s="3">
        <f>IFERROR(__xludf.DUMMYFUNCTION("""COMPUTED_VALUE"""),36087.666666666664)</f>
        <v>36087.66667</v>
      </c>
      <c r="B4754" s="2">
        <f>IFERROR(__xludf.DUMMYFUNCTION("""COMPUTED_VALUE"""),64.65)</f>
        <v>64.65</v>
      </c>
      <c r="C4754" s="2">
        <f>IFERROR(__xludf.DUMMYFUNCTION("""COMPUTED_VALUE"""),66.77)</f>
        <v>66.77</v>
      </c>
      <c r="D4754" s="2">
        <f>IFERROR(__xludf.DUMMYFUNCTION("""COMPUTED_VALUE"""),64.47)</f>
        <v>64.47</v>
      </c>
      <c r="E4754" s="2">
        <f>IFERROR(__xludf.DUMMYFUNCTION("""COMPUTED_VALUE"""),66.53)</f>
        <v>66.53</v>
      </c>
      <c r="F4754" s="2">
        <f>IFERROR(__xludf.DUMMYFUNCTION("""COMPUTED_VALUE"""),2737100.0)</f>
        <v>2737100</v>
      </c>
    </row>
    <row r="4755">
      <c r="A4755" s="3">
        <f>IFERROR(__xludf.DUMMYFUNCTION("""COMPUTED_VALUE"""),36088.666666666664)</f>
        <v>36088.66667</v>
      </c>
      <c r="B4755" s="2">
        <f>IFERROR(__xludf.DUMMYFUNCTION("""COMPUTED_VALUE"""),67.16)</f>
        <v>67.16</v>
      </c>
      <c r="C4755" s="2">
        <f>IFERROR(__xludf.DUMMYFUNCTION("""COMPUTED_VALUE"""),67.97)</f>
        <v>67.97</v>
      </c>
      <c r="D4755" s="2">
        <f>IFERROR(__xludf.DUMMYFUNCTION("""COMPUTED_VALUE"""),65.19)</f>
        <v>65.19</v>
      </c>
      <c r="E4755" s="2">
        <f>IFERROR(__xludf.DUMMYFUNCTION("""COMPUTED_VALUE"""),65.85)</f>
        <v>65.85</v>
      </c>
      <c r="F4755" s="2">
        <f>IFERROR(__xludf.DUMMYFUNCTION("""COMPUTED_VALUE"""),4893300.0)</f>
        <v>4893300</v>
      </c>
    </row>
    <row r="4756">
      <c r="A4756" s="3">
        <f>IFERROR(__xludf.DUMMYFUNCTION("""COMPUTED_VALUE"""),36089.666666666664)</f>
        <v>36089.66667</v>
      </c>
      <c r="B4756" s="2">
        <f>IFERROR(__xludf.DUMMYFUNCTION("""COMPUTED_VALUE"""),66.38)</f>
        <v>66.38</v>
      </c>
      <c r="C4756" s="2">
        <f>IFERROR(__xludf.DUMMYFUNCTION("""COMPUTED_VALUE"""),68.62)</f>
        <v>68.62</v>
      </c>
      <c r="D4756" s="2">
        <f>IFERROR(__xludf.DUMMYFUNCTION("""COMPUTED_VALUE"""),66.38)</f>
        <v>66.38</v>
      </c>
      <c r="E4756" s="2">
        <f>IFERROR(__xludf.DUMMYFUNCTION("""COMPUTED_VALUE"""),68.12)</f>
        <v>68.12</v>
      </c>
      <c r="F4756" s="2">
        <f>IFERROR(__xludf.DUMMYFUNCTION("""COMPUTED_VALUE"""),7236700.0)</f>
        <v>7236700</v>
      </c>
    </row>
    <row r="4757">
      <c r="A4757" s="3">
        <f>IFERROR(__xludf.DUMMYFUNCTION("""COMPUTED_VALUE"""),36090.666666666664)</f>
        <v>36090.66667</v>
      </c>
      <c r="B4757" s="2">
        <f>IFERROR(__xludf.DUMMYFUNCTION("""COMPUTED_VALUE"""),66.86)</f>
        <v>66.86</v>
      </c>
      <c r="C4757" s="2">
        <f>IFERROR(__xludf.DUMMYFUNCTION("""COMPUTED_VALUE"""),68.53)</f>
        <v>68.53</v>
      </c>
      <c r="D4757" s="2">
        <f>IFERROR(__xludf.DUMMYFUNCTION("""COMPUTED_VALUE"""),66.68)</f>
        <v>66.68</v>
      </c>
      <c r="E4757" s="2">
        <f>IFERROR(__xludf.DUMMYFUNCTION("""COMPUTED_VALUE"""),67.73)</f>
        <v>67.73</v>
      </c>
      <c r="F4757" s="2">
        <f>IFERROR(__xludf.DUMMYFUNCTION("""COMPUTED_VALUE"""),4245500.0)</f>
        <v>4245500</v>
      </c>
    </row>
    <row r="4758">
      <c r="A4758" s="3">
        <f>IFERROR(__xludf.DUMMYFUNCTION("""COMPUTED_VALUE"""),36091.666666666664)</f>
        <v>36091.66667</v>
      </c>
      <c r="B4758" s="2">
        <f>IFERROR(__xludf.DUMMYFUNCTION("""COMPUTED_VALUE"""),67.58)</f>
        <v>67.58</v>
      </c>
      <c r="C4758" s="2">
        <f>IFERROR(__xludf.DUMMYFUNCTION("""COMPUTED_VALUE"""),68.5)</f>
        <v>68.5</v>
      </c>
      <c r="D4758" s="2">
        <f>IFERROR(__xludf.DUMMYFUNCTION("""COMPUTED_VALUE"""),67.43)</f>
        <v>67.43</v>
      </c>
      <c r="E4758" s="2">
        <f>IFERROR(__xludf.DUMMYFUNCTION("""COMPUTED_VALUE"""),67.49)</f>
        <v>67.49</v>
      </c>
      <c r="F4758" s="2">
        <f>IFERROR(__xludf.DUMMYFUNCTION("""COMPUTED_VALUE"""),2733000.0)</f>
        <v>2733000</v>
      </c>
    </row>
    <row r="4759">
      <c r="A4759" s="3">
        <f>IFERROR(__xludf.DUMMYFUNCTION("""COMPUTED_VALUE"""),36094.666666666664)</f>
        <v>36094.66667</v>
      </c>
      <c r="B4759" s="2">
        <f>IFERROR(__xludf.DUMMYFUNCTION("""COMPUTED_VALUE"""),67.49)</f>
        <v>67.49</v>
      </c>
      <c r="C4759" s="2">
        <f>IFERROR(__xludf.DUMMYFUNCTION("""COMPUTED_VALUE"""),68.98)</f>
        <v>68.98</v>
      </c>
      <c r="D4759" s="2">
        <f>IFERROR(__xludf.DUMMYFUNCTION("""COMPUTED_VALUE"""),66.89)</f>
        <v>66.89</v>
      </c>
      <c r="E4759" s="2">
        <f>IFERROR(__xludf.DUMMYFUNCTION("""COMPUTED_VALUE"""),68.32)</f>
        <v>68.32</v>
      </c>
      <c r="F4759" s="2">
        <f>IFERROR(__xludf.DUMMYFUNCTION("""COMPUTED_VALUE"""),3233800.0)</f>
        <v>3233800</v>
      </c>
    </row>
    <row r="4760">
      <c r="A4760" s="3">
        <f>IFERROR(__xludf.DUMMYFUNCTION("""COMPUTED_VALUE"""),36095.666666666664)</f>
        <v>36095.66667</v>
      </c>
      <c r="B4760" s="2">
        <f>IFERROR(__xludf.DUMMYFUNCTION("""COMPUTED_VALUE"""),69.25)</f>
        <v>69.25</v>
      </c>
      <c r="C4760" s="2">
        <f>IFERROR(__xludf.DUMMYFUNCTION("""COMPUTED_VALUE"""),70.12)</f>
        <v>70.12</v>
      </c>
      <c r="D4760" s="2">
        <f>IFERROR(__xludf.DUMMYFUNCTION("""COMPUTED_VALUE"""),68.32)</f>
        <v>68.32</v>
      </c>
      <c r="E4760" s="2">
        <f>IFERROR(__xludf.DUMMYFUNCTION("""COMPUTED_VALUE"""),68.98)</f>
        <v>68.98</v>
      </c>
      <c r="F4760" s="2">
        <f>IFERROR(__xludf.DUMMYFUNCTION("""COMPUTED_VALUE"""),5066100.0)</f>
        <v>5066100</v>
      </c>
    </row>
    <row r="4761">
      <c r="A4761" s="3">
        <f>IFERROR(__xludf.DUMMYFUNCTION("""COMPUTED_VALUE"""),36096.666666666664)</f>
        <v>36096.66667</v>
      </c>
      <c r="B4761" s="2">
        <f>IFERROR(__xludf.DUMMYFUNCTION("""COMPUTED_VALUE"""),69.07)</f>
        <v>69.07</v>
      </c>
      <c r="C4761" s="2">
        <f>IFERROR(__xludf.DUMMYFUNCTION("""COMPUTED_VALUE"""),70.14)</f>
        <v>70.14</v>
      </c>
      <c r="D4761" s="2">
        <f>IFERROR(__xludf.DUMMYFUNCTION("""COMPUTED_VALUE"""),68.68)</f>
        <v>68.68</v>
      </c>
      <c r="E4761" s="2">
        <f>IFERROR(__xludf.DUMMYFUNCTION("""COMPUTED_VALUE"""),69.82)</f>
        <v>69.82</v>
      </c>
      <c r="F4761" s="2">
        <f>IFERROR(__xludf.DUMMYFUNCTION("""COMPUTED_VALUE"""),3220000.0)</f>
        <v>3220000</v>
      </c>
    </row>
    <row r="4762">
      <c r="A4762" s="3">
        <f>IFERROR(__xludf.DUMMYFUNCTION("""COMPUTED_VALUE"""),36097.666666666664)</f>
        <v>36097.66667</v>
      </c>
      <c r="B4762" s="2">
        <f>IFERROR(__xludf.DUMMYFUNCTION("""COMPUTED_VALUE"""),70.32)</f>
        <v>70.32</v>
      </c>
      <c r="C4762" s="2">
        <f>IFERROR(__xludf.DUMMYFUNCTION("""COMPUTED_VALUE"""),71.4)</f>
        <v>71.4</v>
      </c>
      <c r="D4762" s="2">
        <f>IFERROR(__xludf.DUMMYFUNCTION("""COMPUTED_VALUE"""),70.26)</f>
        <v>70.26</v>
      </c>
      <c r="E4762" s="2">
        <f>IFERROR(__xludf.DUMMYFUNCTION("""COMPUTED_VALUE"""),70.92)</f>
        <v>70.92</v>
      </c>
      <c r="F4762" s="2">
        <f>IFERROR(__xludf.DUMMYFUNCTION("""COMPUTED_VALUE"""),4430700.0)</f>
        <v>4430700</v>
      </c>
    </row>
    <row r="4763">
      <c r="A4763" s="3">
        <f>IFERROR(__xludf.DUMMYFUNCTION("""COMPUTED_VALUE"""),36098.666666666664)</f>
        <v>36098.66667</v>
      </c>
      <c r="B4763" s="2">
        <f>IFERROR(__xludf.DUMMYFUNCTION("""COMPUTED_VALUE"""),71.4)</f>
        <v>71.4</v>
      </c>
      <c r="C4763" s="2">
        <f>IFERROR(__xludf.DUMMYFUNCTION("""COMPUTED_VALUE"""),71.55)</f>
        <v>71.55</v>
      </c>
      <c r="D4763" s="2">
        <f>IFERROR(__xludf.DUMMYFUNCTION("""COMPUTED_VALUE"""),70.44)</f>
        <v>70.44</v>
      </c>
      <c r="E4763" s="2">
        <f>IFERROR(__xludf.DUMMYFUNCTION("""COMPUTED_VALUE"""),70.89)</f>
        <v>70.89</v>
      </c>
      <c r="F4763" s="2">
        <f>IFERROR(__xludf.DUMMYFUNCTION("""COMPUTED_VALUE"""),3421200.0)</f>
        <v>3421200</v>
      </c>
    </row>
    <row r="4764">
      <c r="A4764" s="3">
        <f>IFERROR(__xludf.DUMMYFUNCTION("""COMPUTED_VALUE"""),36101.666666666664)</f>
        <v>36101.66667</v>
      </c>
      <c r="B4764" s="2">
        <f>IFERROR(__xludf.DUMMYFUNCTION("""COMPUTED_VALUE"""),70.89)</f>
        <v>70.89</v>
      </c>
      <c r="C4764" s="2">
        <f>IFERROR(__xludf.DUMMYFUNCTION("""COMPUTED_VALUE"""),71.49)</f>
        <v>71.49</v>
      </c>
      <c r="D4764" s="2">
        <f>IFERROR(__xludf.DUMMYFUNCTION("""COMPUTED_VALUE"""),70.35)</f>
        <v>70.35</v>
      </c>
      <c r="E4764" s="2">
        <f>IFERROR(__xludf.DUMMYFUNCTION("""COMPUTED_VALUE"""),70.86)</f>
        <v>70.86</v>
      </c>
      <c r="F4764" s="2">
        <f>IFERROR(__xludf.DUMMYFUNCTION("""COMPUTED_VALUE"""),3066700.0)</f>
        <v>3066700</v>
      </c>
    </row>
    <row r="4765">
      <c r="A4765" s="3">
        <f>IFERROR(__xludf.DUMMYFUNCTION("""COMPUTED_VALUE"""),36102.666666666664)</f>
        <v>36102.66667</v>
      </c>
      <c r="B4765" s="2">
        <f>IFERROR(__xludf.DUMMYFUNCTION("""COMPUTED_VALUE"""),70.92)</f>
        <v>70.92</v>
      </c>
      <c r="C4765" s="2">
        <f>IFERROR(__xludf.DUMMYFUNCTION("""COMPUTED_VALUE"""),71.61)</f>
        <v>71.61</v>
      </c>
      <c r="D4765" s="2">
        <f>IFERROR(__xludf.DUMMYFUNCTION("""COMPUTED_VALUE"""),70.29)</f>
        <v>70.29</v>
      </c>
      <c r="E4765" s="2">
        <f>IFERROR(__xludf.DUMMYFUNCTION("""COMPUTED_VALUE"""),70.38)</f>
        <v>70.38</v>
      </c>
      <c r="F4765" s="2">
        <f>IFERROR(__xludf.DUMMYFUNCTION("""COMPUTED_VALUE"""),3157600.0)</f>
        <v>3157600</v>
      </c>
    </row>
    <row r="4766">
      <c r="A4766" s="3">
        <f>IFERROR(__xludf.DUMMYFUNCTION("""COMPUTED_VALUE"""),36103.666666666664)</f>
        <v>36103.66667</v>
      </c>
      <c r="B4766" s="2">
        <f>IFERROR(__xludf.DUMMYFUNCTION("""COMPUTED_VALUE"""),71.1)</f>
        <v>71.1</v>
      </c>
      <c r="C4766" s="2">
        <f>IFERROR(__xludf.DUMMYFUNCTION("""COMPUTED_VALUE"""),71.52)</f>
        <v>71.52</v>
      </c>
      <c r="D4766" s="2">
        <f>IFERROR(__xludf.DUMMYFUNCTION("""COMPUTED_VALUE"""),69.61)</f>
        <v>69.61</v>
      </c>
      <c r="E4766" s="2">
        <f>IFERROR(__xludf.DUMMYFUNCTION("""COMPUTED_VALUE"""),70.65)</f>
        <v>70.65</v>
      </c>
      <c r="F4766" s="2">
        <f>IFERROR(__xludf.DUMMYFUNCTION("""COMPUTED_VALUE"""),3693900.0)</f>
        <v>3693900</v>
      </c>
    </row>
    <row r="4767">
      <c r="A4767" s="3">
        <f>IFERROR(__xludf.DUMMYFUNCTION("""COMPUTED_VALUE"""),36104.666666666664)</f>
        <v>36104.66667</v>
      </c>
      <c r="B4767" s="2">
        <f>IFERROR(__xludf.DUMMYFUNCTION("""COMPUTED_VALUE"""),70.53)</f>
        <v>70.53</v>
      </c>
      <c r="C4767" s="2">
        <f>IFERROR(__xludf.DUMMYFUNCTION("""COMPUTED_VALUE"""),71.43)</f>
        <v>71.43</v>
      </c>
      <c r="D4767" s="2">
        <f>IFERROR(__xludf.DUMMYFUNCTION("""COMPUTED_VALUE"""),70.12)</f>
        <v>70.12</v>
      </c>
      <c r="E4767" s="2">
        <f>IFERROR(__xludf.DUMMYFUNCTION("""COMPUTED_VALUE"""),71.19)</f>
        <v>71.19</v>
      </c>
      <c r="F4767" s="2">
        <f>IFERROR(__xludf.DUMMYFUNCTION("""COMPUTED_VALUE"""),2965900.0)</f>
        <v>2965900</v>
      </c>
    </row>
    <row r="4768">
      <c r="A4768" s="3">
        <f>IFERROR(__xludf.DUMMYFUNCTION("""COMPUTED_VALUE"""),36105.666666666664)</f>
        <v>36105.66667</v>
      </c>
      <c r="B4768" s="2">
        <f>IFERROR(__xludf.DUMMYFUNCTION("""COMPUTED_VALUE"""),71.1)</f>
        <v>71.1</v>
      </c>
      <c r="C4768" s="2">
        <f>IFERROR(__xludf.DUMMYFUNCTION("""COMPUTED_VALUE"""),72.09)</f>
        <v>72.09</v>
      </c>
      <c r="D4768" s="2">
        <f>IFERROR(__xludf.DUMMYFUNCTION("""COMPUTED_VALUE"""),70.44)</f>
        <v>70.44</v>
      </c>
      <c r="E4768" s="2">
        <f>IFERROR(__xludf.DUMMYFUNCTION("""COMPUTED_VALUE"""),71.61)</f>
        <v>71.61</v>
      </c>
      <c r="F4768" s="2">
        <f>IFERROR(__xludf.DUMMYFUNCTION("""COMPUTED_VALUE"""),3143900.0)</f>
        <v>3143900</v>
      </c>
    </row>
    <row r="4769">
      <c r="A4769" s="3">
        <f>IFERROR(__xludf.DUMMYFUNCTION("""COMPUTED_VALUE"""),36108.666666666664)</f>
        <v>36108.66667</v>
      </c>
      <c r="B4769" s="2">
        <f>IFERROR(__xludf.DUMMYFUNCTION("""COMPUTED_VALUE"""),72.0)</f>
        <v>72</v>
      </c>
      <c r="C4769" s="2">
        <f>IFERROR(__xludf.DUMMYFUNCTION("""COMPUTED_VALUE"""),72.68)</f>
        <v>72.68</v>
      </c>
      <c r="D4769" s="2">
        <f>IFERROR(__xludf.DUMMYFUNCTION("""COMPUTED_VALUE"""),71.61)</f>
        <v>71.61</v>
      </c>
      <c r="E4769" s="2">
        <f>IFERROR(__xludf.DUMMYFUNCTION("""COMPUTED_VALUE"""),72.29)</f>
        <v>72.29</v>
      </c>
      <c r="F4769" s="2">
        <f>IFERROR(__xludf.DUMMYFUNCTION("""COMPUTED_VALUE"""),3437400.0)</f>
        <v>3437400</v>
      </c>
    </row>
    <row r="4770">
      <c r="A4770" s="3">
        <f>IFERROR(__xludf.DUMMYFUNCTION("""COMPUTED_VALUE"""),36109.666666666664)</f>
        <v>36109.66667</v>
      </c>
      <c r="B4770" s="2">
        <f>IFERROR(__xludf.DUMMYFUNCTION("""COMPUTED_VALUE"""),72.06)</f>
        <v>72.06</v>
      </c>
      <c r="C4770" s="2">
        <f>IFERROR(__xludf.DUMMYFUNCTION("""COMPUTED_VALUE"""),74.86)</f>
        <v>74.86</v>
      </c>
      <c r="D4770" s="2">
        <f>IFERROR(__xludf.DUMMYFUNCTION("""COMPUTED_VALUE"""),71.97)</f>
        <v>71.97</v>
      </c>
      <c r="E4770" s="2">
        <f>IFERROR(__xludf.DUMMYFUNCTION("""COMPUTED_VALUE"""),74.17)</f>
        <v>74.17</v>
      </c>
      <c r="F4770" s="2">
        <f>IFERROR(__xludf.DUMMYFUNCTION("""COMPUTED_VALUE"""),4004600.0)</f>
        <v>4004600</v>
      </c>
    </row>
    <row r="4771">
      <c r="A4771" s="3">
        <f>IFERROR(__xludf.DUMMYFUNCTION("""COMPUTED_VALUE"""),36110.666666666664)</f>
        <v>36110.66667</v>
      </c>
      <c r="B4771" s="2">
        <f>IFERROR(__xludf.DUMMYFUNCTION("""COMPUTED_VALUE"""),74.98)</f>
        <v>74.98</v>
      </c>
      <c r="C4771" s="2">
        <f>IFERROR(__xludf.DUMMYFUNCTION("""COMPUTED_VALUE"""),75.88)</f>
        <v>75.88</v>
      </c>
      <c r="D4771" s="2">
        <f>IFERROR(__xludf.DUMMYFUNCTION("""COMPUTED_VALUE"""),74.74)</f>
        <v>74.74</v>
      </c>
      <c r="E4771" s="2">
        <f>IFERROR(__xludf.DUMMYFUNCTION("""COMPUTED_VALUE"""),75.01)</f>
        <v>75.01</v>
      </c>
      <c r="F4771" s="2">
        <f>IFERROR(__xludf.DUMMYFUNCTION("""COMPUTED_VALUE"""),4483400.0)</f>
        <v>4483400</v>
      </c>
    </row>
    <row r="4772">
      <c r="A4772" s="3">
        <f>IFERROR(__xludf.DUMMYFUNCTION("""COMPUTED_VALUE"""),36111.666666666664)</f>
        <v>36111.66667</v>
      </c>
      <c r="B4772" s="2">
        <f>IFERROR(__xludf.DUMMYFUNCTION("""COMPUTED_VALUE"""),74.83)</f>
        <v>74.83</v>
      </c>
      <c r="C4772" s="2">
        <f>IFERROR(__xludf.DUMMYFUNCTION("""COMPUTED_VALUE"""),76.35)</f>
        <v>76.35</v>
      </c>
      <c r="D4772" s="2">
        <f>IFERROR(__xludf.DUMMYFUNCTION("""COMPUTED_VALUE"""),74.8)</f>
        <v>74.8</v>
      </c>
      <c r="E4772" s="2">
        <f>IFERROR(__xludf.DUMMYFUNCTION("""COMPUTED_VALUE"""),75.4)</f>
        <v>75.4</v>
      </c>
      <c r="F4772" s="2">
        <f>IFERROR(__xludf.DUMMYFUNCTION("""COMPUTED_VALUE"""),3874100.0)</f>
        <v>3874100</v>
      </c>
    </row>
    <row r="4773">
      <c r="A4773" s="3">
        <f>IFERROR(__xludf.DUMMYFUNCTION("""COMPUTED_VALUE"""),36112.666666666664)</f>
        <v>36112.66667</v>
      </c>
      <c r="B4773" s="2">
        <f>IFERROR(__xludf.DUMMYFUNCTION("""COMPUTED_VALUE"""),74.98)</f>
        <v>74.98</v>
      </c>
      <c r="C4773" s="2">
        <f>IFERROR(__xludf.DUMMYFUNCTION("""COMPUTED_VALUE"""),75.22)</f>
        <v>75.22</v>
      </c>
      <c r="D4773" s="2">
        <f>IFERROR(__xludf.DUMMYFUNCTION("""COMPUTED_VALUE"""),74.38)</f>
        <v>74.38</v>
      </c>
      <c r="E4773" s="2">
        <f>IFERROR(__xludf.DUMMYFUNCTION("""COMPUTED_VALUE"""),75.19)</f>
        <v>75.19</v>
      </c>
      <c r="F4773" s="2">
        <f>IFERROR(__xludf.DUMMYFUNCTION("""COMPUTED_VALUE"""),2674000.0)</f>
        <v>2674000</v>
      </c>
    </row>
    <row r="4774">
      <c r="A4774" s="3">
        <f>IFERROR(__xludf.DUMMYFUNCTION("""COMPUTED_VALUE"""),36115.666666666664)</f>
        <v>36115.66667</v>
      </c>
      <c r="B4774" s="2">
        <f>IFERROR(__xludf.DUMMYFUNCTION("""COMPUTED_VALUE"""),75.91)</f>
        <v>75.91</v>
      </c>
      <c r="C4774" s="2">
        <f>IFERROR(__xludf.DUMMYFUNCTION("""COMPUTED_VALUE"""),76.26)</f>
        <v>76.26</v>
      </c>
      <c r="D4774" s="2">
        <f>IFERROR(__xludf.DUMMYFUNCTION("""COMPUTED_VALUE"""),75.49)</f>
        <v>75.49</v>
      </c>
      <c r="E4774" s="2">
        <f>IFERROR(__xludf.DUMMYFUNCTION("""COMPUTED_VALUE"""),76.11)</f>
        <v>76.11</v>
      </c>
      <c r="F4774" s="2">
        <f>IFERROR(__xludf.DUMMYFUNCTION("""COMPUTED_VALUE"""),2938400.0)</f>
        <v>2938400</v>
      </c>
    </row>
    <row r="4775">
      <c r="A4775" s="3">
        <f>IFERROR(__xludf.DUMMYFUNCTION("""COMPUTED_VALUE"""),36116.666666666664)</f>
        <v>36116.66667</v>
      </c>
      <c r="B4775" s="2">
        <f>IFERROR(__xludf.DUMMYFUNCTION("""COMPUTED_VALUE"""),76.11)</f>
        <v>76.11</v>
      </c>
      <c r="C4775" s="2">
        <f>IFERROR(__xludf.DUMMYFUNCTION("""COMPUTED_VALUE"""),77.07)</f>
        <v>77.07</v>
      </c>
      <c r="D4775" s="2">
        <f>IFERROR(__xludf.DUMMYFUNCTION("""COMPUTED_VALUE"""),75.49)</f>
        <v>75.49</v>
      </c>
      <c r="E4775" s="2">
        <f>IFERROR(__xludf.DUMMYFUNCTION("""COMPUTED_VALUE"""),75.58)</f>
        <v>75.58</v>
      </c>
      <c r="F4775" s="2">
        <f>IFERROR(__xludf.DUMMYFUNCTION("""COMPUTED_VALUE"""),3636400.0)</f>
        <v>3636400</v>
      </c>
    </row>
    <row r="4776">
      <c r="A4776" s="3">
        <f>IFERROR(__xludf.DUMMYFUNCTION("""COMPUTED_VALUE"""),36117.666666666664)</f>
        <v>36117.66667</v>
      </c>
      <c r="B4776" s="2">
        <f>IFERROR(__xludf.DUMMYFUNCTION("""COMPUTED_VALUE"""),75.49)</f>
        <v>75.49</v>
      </c>
      <c r="C4776" s="2">
        <f>IFERROR(__xludf.DUMMYFUNCTION("""COMPUTED_VALUE"""),76.23)</f>
        <v>76.23</v>
      </c>
      <c r="D4776" s="2">
        <f>IFERROR(__xludf.DUMMYFUNCTION("""COMPUTED_VALUE"""),75.28)</f>
        <v>75.28</v>
      </c>
      <c r="E4776" s="2">
        <f>IFERROR(__xludf.DUMMYFUNCTION("""COMPUTED_VALUE"""),76.05)</f>
        <v>76.05</v>
      </c>
      <c r="F4776" s="2">
        <f>IFERROR(__xludf.DUMMYFUNCTION("""COMPUTED_VALUE"""),2562600.0)</f>
        <v>2562600</v>
      </c>
    </row>
    <row r="4777">
      <c r="A4777" s="3">
        <f>IFERROR(__xludf.DUMMYFUNCTION("""COMPUTED_VALUE"""),36118.666666666664)</f>
        <v>36118.66667</v>
      </c>
      <c r="B4777" s="2">
        <f>IFERROR(__xludf.DUMMYFUNCTION("""COMPUTED_VALUE"""),76.17)</f>
        <v>76.17</v>
      </c>
      <c r="C4777" s="2">
        <f>IFERROR(__xludf.DUMMYFUNCTION("""COMPUTED_VALUE"""),76.35)</f>
        <v>76.35</v>
      </c>
      <c r="D4777" s="2">
        <f>IFERROR(__xludf.DUMMYFUNCTION("""COMPUTED_VALUE"""),75.52)</f>
        <v>75.52</v>
      </c>
      <c r="E4777" s="2">
        <f>IFERROR(__xludf.DUMMYFUNCTION("""COMPUTED_VALUE"""),75.7)</f>
        <v>75.7</v>
      </c>
      <c r="F4777" s="2">
        <f>IFERROR(__xludf.DUMMYFUNCTION("""COMPUTED_VALUE"""),2903800.0)</f>
        <v>2903800</v>
      </c>
    </row>
    <row r="4778">
      <c r="A4778" s="3">
        <f>IFERROR(__xludf.DUMMYFUNCTION("""COMPUTED_VALUE"""),36119.666666666664)</f>
        <v>36119.66667</v>
      </c>
      <c r="B4778" s="2">
        <f>IFERROR(__xludf.DUMMYFUNCTION("""COMPUTED_VALUE"""),75.88)</f>
        <v>75.88</v>
      </c>
      <c r="C4778" s="2">
        <f>IFERROR(__xludf.DUMMYFUNCTION("""COMPUTED_VALUE"""),76.38)</f>
        <v>76.38</v>
      </c>
      <c r="D4778" s="2">
        <f>IFERROR(__xludf.DUMMYFUNCTION("""COMPUTED_VALUE"""),75.7)</f>
        <v>75.7</v>
      </c>
      <c r="E4778" s="2">
        <f>IFERROR(__xludf.DUMMYFUNCTION("""COMPUTED_VALUE"""),76.23)</f>
        <v>76.23</v>
      </c>
      <c r="F4778" s="2">
        <f>IFERROR(__xludf.DUMMYFUNCTION("""COMPUTED_VALUE"""),2871200.0)</f>
        <v>2871200</v>
      </c>
    </row>
    <row r="4779">
      <c r="A4779" s="3">
        <f>IFERROR(__xludf.DUMMYFUNCTION("""COMPUTED_VALUE"""),36122.666666666664)</f>
        <v>36122.66667</v>
      </c>
      <c r="B4779" s="2">
        <f>IFERROR(__xludf.DUMMYFUNCTION("""COMPUTED_VALUE"""),76.89)</f>
        <v>76.89</v>
      </c>
      <c r="C4779" s="2">
        <f>IFERROR(__xludf.DUMMYFUNCTION("""COMPUTED_VALUE"""),79.76)</f>
        <v>79.76</v>
      </c>
      <c r="D4779" s="2">
        <f>IFERROR(__xludf.DUMMYFUNCTION("""COMPUTED_VALUE"""),76.68)</f>
        <v>76.68</v>
      </c>
      <c r="E4779" s="2">
        <f>IFERROR(__xludf.DUMMYFUNCTION("""COMPUTED_VALUE"""),79.58)</f>
        <v>79.58</v>
      </c>
      <c r="F4779" s="2">
        <f>IFERROR(__xludf.DUMMYFUNCTION("""COMPUTED_VALUE"""),2779400.0)</f>
        <v>2779400</v>
      </c>
    </row>
    <row r="4780">
      <c r="A4780" s="3">
        <f>IFERROR(__xludf.DUMMYFUNCTION("""COMPUTED_VALUE"""),36123.666666666664)</f>
        <v>36123.66667</v>
      </c>
      <c r="B4780" s="2">
        <f>IFERROR(__xludf.DUMMYFUNCTION("""COMPUTED_VALUE"""),79.04)</f>
        <v>79.04</v>
      </c>
      <c r="C4780" s="2">
        <f>IFERROR(__xludf.DUMMYFUNCTION("""COMPUTED_VALUE"""),79.85)</f>
        <v>79.85</v>
      </c>
      <c r="D4780" s="2">
        <f>IFERROR(__xludf.DUMMYFUNCTION("""COMPUTED_VALUE"""),78.8)</f>
        <v>78.8</v>
      </c>
      <c r="E4780" s="2">
        <f>IFERROR(__xludf.DUMMYFUNCTION("""COMPUTED_VALUE"""),78.89)</f>
        <v>78.89</v>
      </c>
      <c r="F4780" s="2">
        <f>IFERROR(__xludf.DUMMYFUNCTION("""COMPUTED_VALUE"""),2388200.0)</f>
        <v>2388200</v>
      </c>
    </row>
    <row r="4781">
      <c r="A4781" s="3">
        <f>IFERROR(__xludf.DUMMYFUNCTION("""COMPUTED_VALUE"""),36124.666666666664)</f>
        <v>36124.66667</v>
      </c>
      <c r="B4781" s="2">
        <f>IFERROR(__xludf.DUMMYFUNCTION("""COMPUTED_VALUE"""),78.86)</f>
        <v>78.86</v>
      </c>
      <c r="C4781" s="2">
        <f>IFERROR(__xludf.DUMMYFUNCTION("""COMPUTED_VALUE"""),79.73)</f>
        <v>79.73</v>
      </c>
      <c r="D4781" s="2">
        <f>IFERROR(__xludf.DUMMYFUNCTION("""COMPUTED_VALUE"""),78.5)</f>
        <v>78.5</v>
      </c>
      <c r="E4781" s="2">
        <f>IFERROR(__xludf.DUMMYFUNCTION("""COMPUTED_VALUE"""),79.58)</f>
        <v>79.58</v>
      </c>
      <c r="F4781" s="2">
        <f>IFERROR(__xludf.DUMMYFUNCTION("""COMPUTED_VALUE"""),1552000.0)</f>
        <v>1552000</v>
      </c>
    </row>
    <row r="4782">
      <c r="A4782" s="3">
        <f>IFERROR(__xludf.DUMMYFUNCTION("""COMPUTED_VALUE"""),36126.666666666664)</f>
        <v>36126.66667</v>
      </c>
      <c r="B4782" s="2">
        <f>IFERROR(__xludf.DUMMYFUNCTION("""COMPUTED_VALUE"""),79.64)</f>
        <v>79.64</v>
      </c>
      <c r="C4782" s="2">
        <f>IFERROR(__xludf.DUMMYFUNCTION("""COMPUTED_VALUE"""),81.25)</f>
        <v>81.25</v>
      </c>
      <c r="D4782" s="2">
        <f>IFERROR(__xludf.DUMMYFUNCTION("""COMPUTED_VALUE"""),79.64)</f>
        <v>79.64</v>
      </c>
      <c r="E4782" s="2">
        <f>IFERROR(__xludf.DUMMYFUNCTION("""COMPUTED_VALUE"""),81.19)</f>
        <v>81.19</v>
      </c>
      <c r="F4782" s="2">
        <f>IFERROR(__xludf.DUMMYFUNCTION("""COMPUTED_VALUE"""),1053900.0)</f>
        <v>1053900</v>
      </c>
    </row>
    <row r="4783">
      <c r="A4783" s="3">
        <f>IFERROR(__xludf.DUMMYFUNCTION("""COMPUTED_VALUE"""),36129.666666666664)</f>
        <v>36129.66667</v>
      </c>
      <c r="B4783" s="2">
        <f>IFERROR(__xludf.DUMMYFUNCTION("""COMPUTED_VALUE"""),81.07)</f>
        <v>81.07</v>
      </c>
      <c r="C4783" s="2">
        <f>IFERROR(__xludf.DUMMYFUNCTION("""COMPUTED_VALUE"""),81.46)</f>
        <v>81.46</v>
      </c>
      <c r="D4783" s="2">
        <f>IFERROR(__xludf.DUMMYFUNCTION("""COMPUTED_VALUE"""),78.77)</f>
        <v>78.77</v>
      </c>
      <c r="E4783" s="2">
        <f>IFERROR(__xludf.DUMMYFUNCTION("""COMPUTED_VALUE"""),78.8)</f>
        <v>78.8</v>
      </c>
      <c r="F4783" s="2">
        <f>IFERROR(__xludf.DUMMYFUNCTION("""COMPUTED_VALUE"""),1695000.0)</f>
        <v>1695000</v>
      </c>
    </row>
    <row r="4784">
      <c r="A4784" s="3">
        <f>IFERROR(__xludf.DUMMYFUNCTION("""COMPUTED_VALUE"""),36130.666666666664)</f>
        <v>36130.66667</v>
      </c>
      <c r="B4784" s="2">
        <f>IFERROR(__xludf.DUMMYFUNCTION("""COMPUTED_VALUE"""),78.08)</f>
        <v>78.08</v>
      </c>
      <c r="C4784" s="2">
        <f>IFERROR(__xludf.DUMMYFUNCTION("""COMPUTED_VALUE"""),81.16)</f>
        <v>81.16</v>
      </c>
      <c r="D4784" s="2">
        <f>IFERROR(__xludf.DUMMYFUNCTION("""COMPUTED_VALUE"""),78.08)</f>
        <v>78.08</v>
      </c>
      <c r="E4784" s="2">
        <f>IFERROR(__xludf.DUMMYFUNCTION("""COMPUTED_VALUE"""),81.16)</f>
        <v>81.16</v>
      </c>
      <c r="F4784" s="2">
        <f>IFERROR(__xludf.DUMMYFUNCTION("""COMPUTED_VALUE"""),2978400.0)</f>
        <v>2978400</v>
      </c>
    </row>
    <row r="4785">
      <c r="A4785" s="3">
        <f>IFERROR(__xludf.DUMMYFUNCTION("""COMPUTED_VALUE"""),36131.666666666664)</f>
        <v>36131.66667</v>
      </c>
      <c r="B4785" s="2">
        <f>IFERROR(__xludf.DUMMYFUNCTION("""COMPUTED_VALUE"""),80.68)</f>
        <v>80.68</v>
      </c>
      <c r="C4785" s="2">
        <f>IFERROR(__xludf.DUMMYFUNCTION("""COMPUTED_VALUE"""),80.83)</f>
        <v>80.83</v>
      </c>
      <c r="D4785" s="2">
        <f>IFERROR(__xludf.DUMMYFUNCTION("""COMPUTED_VALUE"""),78.83)</f>
        <v>78.83</v>
      </c>
      <c r="E4785" s="2">
        <f>IFERROR(__xludf.DUMMYFUNCTION("""COMPUTED_VALUE"""),79.97)</f>
        <v>79.97</v>
      </c>
      <c r="F4785" s="2">
        <f>IFERROR(__xludf.DUMMYFUNCTION("""COMPUTED_VALUE"""),2666200.0)</f>
        <v>2666200</v>
      </c>
    </row>
    <row r="4786">
      <c r="A4786" s="3">
        <f>IFERROR(__xludf.DUMMYFUNCTION("""COMPUTED_VALUE"""),36132.666666666664)</f>
        <v>36132.66667</v>
      </c>
      <c r="B4786" s="2">
        <f>IFERROR(__xludf.DUMMYFUNCTION("""COMPUTED_VALUE"""),80.35)</f>
        <v>80.35</v>
      </c>
      <c r="C4786" s="2">
        <f>IFERROR(__xludf.DUMMYFUNCTION("""COMPUTED_VALUE"""),80.89)</f>
        <v>80.89</v>
      </c>
      <c r="D4786" s="2">
        <f>IFERROR(__xludf.DUMMYFUNCTION("""COMPUTED_VALUE"""),77.85)</f>
        <v>77.85</v>
      </c>
      <c r="E4786" s="2">
        <f>IFERROR(__xludf.DUMMYFUNCTION("""COMPUTED_VALUE"""),78.08)</f>
        <v>78.08</v>
      </c>
      <c r="F4786" s="2">
        <f>IFERROR(__xludf.DUMMYFUNCTION("""COMPUTED_VALUE"""),2427200.0)</f>
        <v>2427200</v>
      </c>
    </row>
    <row r="4787">
      <c r="A4787" s="3">
        <f>IFERROR(__xludf.DUMMYFUNCTION("""COMPUTED_VALUE"""),36133.666666666664)</f>
        <v>36133.66667</v>
      </c>
      <c r="B4787" s="2">
        <f>IFERROR(__xludf.DUMMYFUNCTION("""COMPUTED_VALUE"""),78.62)</f>
        <v>78.62</v>
      </c>
      <c r="C4787" s="2">
        <f>IFERROR(__xludf.DUMMYFUNCTION("""COMPUTED_VALUE"""),78.98)</f>
        <v>78.98</v>
      </c>
      <c r="D4787" s="2">
        <f>IFERROR(__xludf.DUMMYFUNCTION("""COMPUTED_VALUE"""),77.55)</f>
        <v>77.55</v>
      </c>
      <c r="E4787" s="2">
        <f>IFERROR(__xludf.DUMMYFUNCTION("""COMPUTED_VALUE"""),78.47)</f>
        <v>78.47</v>
      </c>
      <c r="F4787" s="2">
        <f>IFERROR(__xludf.DUMMYFUNCTION("""COMPUTED_VALUE"""),2133600.0)</f>
        <v>2133600</v>
      </c>
    </row>
    <row r="4788">
      <c r="A4788" s="3">
        <f>IFERROR(__xludf.DUMMYFUNCTION("""COMPUTED_VALUE"""),36136.666666666664)</f>
        <v>36136.66667</v>
      </c>
      <c r="B4788" s="2">
        <f>IFERROR(__xludf.DUMMYFUNCTION("""COMPUTED_VALUE"""),78.53)</f>
        <v>78.53</v>
      </c>
      <c r="C4788" s="2">
        <f>IFERROR(__xludf.DUMMYFUNCTION("""COMPUTED_VALUE"""),80.32)</f>
        <v>80.32</v>
      </c>
      <c r="D4788" s="2">
        <f>IFERROR(__xludf.DUMMYFUNCTION("""COMPUTED_VALUE"""),78.44)</f>
        <v>78.44</v>
      </c>
      <c r="E4788" s="2">
        <f>IFERROR(__xludf.DUMMYFUNCTION("""COMPUTED_VALUE"""),79.85)</f>
        <v>79.85</v>
      </c>
      <c r="F4788" s="2">
        <f>IFERROR(__xludf.DUMMYFUNCTION("""COMPUTED_VALUE"""),2163500.0)</f>
        <v>2163500</v>
      </c>
    </row>
    <row r="4789">
      <c r="A4789" s="3">
        <f>IFERROR(__xludf.DUMMYFUNCTION("""COMPUTED_VALUE"""),36137.666666666664)</f>
        <v>36137.66667</v>
      </c>
      <c r="B4789" s="2">
        <f>IFERROR(__xludf.DUMMYFUNCTION("""COMPUTED_VALUE"""),80.32)</f>
        <v>80.32</v>
      </c>
      <c r="C4789" s="2">
        <f>IFERROR(__xludf.DUMMYFUNCTION("""COMPUTED_VALUE"""),81.13)</f>
        <v>81.13</v>
      </c>
      <c r="D4789" s="2">
        <f>IFERROR(__xludf.DUMMYFUNCTION("""COMPUTED_VALUE"""),78.83)</f>
        <v>78.83</v>
      </c>
      <c r="E4789" s="2">
        <f>IFERROR(__xludf.DUMMYFUNCTION("""COMPUTED_VALUE"""),80.32)</f>
        <v>80.32</v>
      </c>
      <c r="F4789" s="2">
        <f>IFERROR(__xludf.DUMMYFUNCTION("""COMPUTED_VALUE"""),3347100.0)</f>
        <v>3347100</v>
      </c>
    </row>
    <row r="4790">
      <c r="A4790" s="3">
        <f>IFERROR(__xludf.DUMMYFUNCTION("""COMPUTED_VALUE"""),36138.666666666664)</f>
        <v>36138.66667</v>
      </c>
      <c r="B4790" s="2">
        <f>IFERROR(__xludf.DUMMYFUNCTION("""COMPUTED_VALUE"""),80.29)</f>
        <v>80.29</v>
      </c>
      <c r="C4790" s="2">
        <f>IFERROR(__xludf.DUMMYFUNCTION("""COMPUTED_VALUE"""),81.16)</f>
        <v>81.16</v>
      </c>
      <c r="D4790" s="2">
        <f>IFERROR(__xludf.DUMMYFUNCTION("""COMPUTED_VALUE"""),79.94)</f>
        <v>79.94</v>
      </c>
      <c r="E4790" s="2">
        <f>IFERROR(__xludf.DUMMYFUNCTION("""COMPUTED_VALUE"""),80.95)</f>
        <v>80.95</v>
      </c>
      <c r="F4790" s="2">
        <f>IFERROR(__xludf.DUMMYFUNCTION("""COMPUTED_VALUE"""),2043700.0)</f>
        <v>2043700</v>
      </c>
    </row>
    <row r="4791">
      <c r="A4791" s="3">
        <f>IFERROR(__xludf.DUMMYFUNCTION("""COMPUTED_VALUE"""),36139.666666666664)</f>
        <v>36139.66667</v>
      </c>
      <c r="B4791" s="2">
        <f>IFERROR(__xludf.DUMMYFUNCTION("""COMPUTED_VALUE"""),80.86)</f>
        <v>80.86</v>
      </c>
      <c r="C4791" s="2">
        <f>IFERROR(__xludf.DUMMYFUNCTION("""COMPUTED_VALUE"""),81.19)</f>
        <v>81.19</v>
      </c>
      <c r="D4791" s="2">
        <f>IFERROR(__xludf.DUMMYFUNCTION("""COMPUTED_VALUE"""),78.2)</f>
        <v>78.2</v>
      </c>
      <c r="E4791" s="2">
        <f>IFERROR(__xludf.DUMMYFUNCTION("""COMPUTED_VALUE"""),78.8)</f>
        <v>78.8</v>
      </c>
      <c r="F4791" s="2">
        <f>IFERROR(__xludf.DUMMYFUNCTION("""COMPUTED_VALUE"""),3238500.0)</f>
        <v>3238500</v>
      </c>
    </row>
    <row r="4792">
      <c r="A4792" s="3">
        <f>IFERROR(__xludf.DUMMYFUNCTION("""COMPUTED_VALUE"""),36140.666666666664)</f>
        <v>36140.66667</v>
      </c>
      <c r="B4792" s="2">
        <f>IFERROR(__xludf.DUMMYFUNCTION("""COMPUTED_VALUE"""),78.32)</f>
        <v>78.32</v>
      </c>
      <c r="C4792" s="2">
        <f>IFERROR(__xludf.DUMMYFUNCTION("""COMPUTED_VALUE"""),80.44)</f>
        <v>80.44</v>
      </c>
      <c r="D4792" s="2">
        <f>IFERROR(__xludf.DUMMYFUNCTION("""COMPUTED_VALUE"""),77.97)</f>
        <v>77.97</v>
      </c>
      <c r="E4792" s="2">
        <f>IFERROR(__xludf.DUMMYFUNCTION("""COMPUTED_VALUE"""),80.44)</f>
        <v>80.44</v>
      </c>
      <c r="F4792" s="2">
        <f>IFERROR(__xludf.DUMMYFUNCTION("""COMPUTED_VALUE"""),3160300.0)</f>
        <v>3160300</v>
      </c>
    </row>
    <row r="4793">
      <c r="A4793" s="3">
        <f>IFERROR(__xludf.DUMMYFUNCTION("""COMPUTED_VALUE"""),36143.666666666664)</f>
        <v>36143.66667</v>
      </c>
      <c r="B4793" s="2">
        <f>IFERROR(__xludf.DUMMYFUNCTION("""COMPUTED_VALUE"""),79.52)</f>
        <v>79.52</v>
      </c>
      <c r="C4793" s="2">
        <f>IFERROR(__xludf.DUMMYFUNCTION("""COMPUTED_VALUE"""),79.76)</f>
        <v>79.76</v>
      </c>
      <c r="D4793" s="2">
        <f>IFERROR(__xludf.DUMMYFUNCTION("""COMPUTED_VALUE"""),77.76)</f>
        <v>77.76</v>
      </c>
      <c r="E4793" s="2">
        <f>IFERROR(__xludf.DUMMYFUNCTION("""COMPUTED_VALUE"""),77.79)</f>
        <v>77.79</v>
      </c>
      <c r="F4793" s="2">
        <f>IFERROR(__xludf.DUMMYFUNCTION("""COMPUTED_VALUE"""),3323200.0)</f>
        <v>3323200</v>
      </c>
    </row>
    <row r="4794">
      <c r="A4794" s="3">
        <f>IFERROR(__xludf.DUMMYFUNCTION("""COMPUTED_VALUE"""),36144.666666666664)</f>
        <v>36144.66667</v>
      </c>
      <c r="B4794" s="2">
        <f>IFERROR(__xludf.DUMMYFUNCTION("""COMPUTED_VALUE"""),78.08)</f>
        <v>78.08</v>
      </c>
      <c r="C4794" s="2">
        <f>IFERROR(__xludf.DUMMYFUNCTION("""COMPUTED_VALUE"""),79.19)</f>
        <v>79.19</v>
      </c>
      <c r="D4794" s="2">
        <f>IFERROR(__xludf.DUMMYFUNCTION("""COMPUTED_VALUE"""),77.61)</f>
        <v>77.61</v>
      </c>
      <c r="E4794" s="2">
        <f>IFERROR(__xludf.DUMMYFUNCTION("""COMPUTED_VALUE"""),78.89)</f>
        <v>78.89</v>
      </c>
      <c r="F4794" s="2">
        <f>IFERROR(__xludf.DUMMYFUNCTION("""COMPUTED_VALUE"""),3529100.0)</f>
        <v>3529100</v>
      </c>
    </row>
    <row r="4795">
      <c r="A4795" s="3">
        <f>IFERROR(__xludf.DUMMYFUNCTION("""COMPUTED_VALUE"""),36145.666666666664)</f>
        <v>36145.66667</v>
      </c>
      <c r="B4795" s="2">
        <f>IFERROR(__xludf.DUMMYFUNCTION("""COMPUTED_VALUE"""),79.7)</f>
        <v>79.7</v>
      </c>
      <c r="C4795" s="2">
        <f>IFERROR(__xludf.DUMMYFUNCTION("""COMPUTED_VALUE"""),79.7)</f>
        <v>79.7</v>
      </c>
      <c r="D4795" s="2">
        <f>IFERROR(__xludf.DUMMYFUNCTION("""COMPUTED_VALUE"""),78.5)</f>
        <v>78.5</v>
      </c>
      <c r="E4795" s="2">
        <f>IFERROR(__xludf.DUMMYFUNCTION("""COMPUTED_VALUE"""),78.59)</f>
        <v>78.59</v>
      </c>
      <c r="F4795" s="2">
        <f>IFERROR(__xludf.DUMMYFUNCTION("""COMPUTED_VALUE"""),2352500.0)</f>
        <v>2352500</v>
      </c>
    </row>
    <row r="4796">
      <c r="A4796" s="3">
        <f>IFERROR(__xludf.DUMMYFUNCTION("""COMPUTED_VALUE"""),36146.666666666664)</f>
        <v>36146.66667</v>
      </c>
      <c r="B4796" s="2">
        <f>IFERROR(__xludf.DUMMYFUNCTION("""COMPUTED_VALUE"""),79.01)</f>
        <v>79.01</v>
      </c>
      <c r="C4796" s="2">
        <f>IFERROR(__xludf.DUMMYFUNCTION("""COMPUTED_VALUE"""),80.83)</f>
        <v>80.83</v>
      </c>
      <c r="D4796" s="2">
        <f>IFERROR(__xludf.DUMMYFUNCTION("""COMPUTED_VALUE"""),78.83)</f>
        <v>78.83</v>
      </c>
      <c r="E4796" s="2">
        <f>IFERROR(__xludf.DUMMYFUNCTION("""COMPUTED_VALUE"""),79.31)</f>
        <v>79.31</v>
      </c>
      <c r="F4796" s="2">
        <f>IFERROR(__xludf.DUMMYFUNCTION("""COMPUTED_VALUE"""),3937900.0)</f>
        <v>3937900</v>
      </c>
    </row>
    <row r="4797">
      <c r="A4797" s="3">
        <f>IFERROR(__xludf.DUMMYFUNCTION("""COMPUTED_VALUE"""),36147.666666666664)</f>
        <v>36147.66667</v>
      </c>
      <c r="B4797" s="2">
        <f>IFERROR(__xludf.DUMMYFUNCTION("""COMPUTED_VALUE"""),79.58)</f>
        <v>79.58</v>
      </c>
      <c r="C4797" s="2">
        <f>IFERROR(__xludf.DUMMYFUNCTION("""COMPUTED_VALUE"""),82.23)</f>
        <v>82.23</v>
      </c>
      <c r="D4797" s="2">
        <f>IFERROR(__xludf.DUMMYFUNCTION("""COMPUTED_VALUE"""),79.58)</f>
        <v>79.58</v>
      </c>
      <c r="E4797" s="2">
        <f>IFERROR(__xludf.DUMMYFUNCTION("""COMPUTED_VALUE"""),81.94)</f>
        <v>81.94</v>
      </c>
      <c r="F4797" s="2">
        <f>IFERROR(__xludf.DUMMYFUNCTION("""COMPUTED_VALUE"""),4391000.0)</f>
        <v>4391000</v>
      </c>
    </row>
    <row r="4798">
      <c r="A4798" s="3">
        <f>IFERROR(__xludf.DUMMYFUNCTION("""COMPUTED_VALUE"""),36150.666666666664)</f>
        <v>36150.66667</v>
      </c>
      <c r="B4798" s="2">
        <f>IFERROR(__xludf.DUMMYFUNCTION("""COMPUTED_VALUE"""),81.94)</f>
        <v>81.94</v>
      </c>
      <c r="C4798" s="2">
        <f>IFERROR(__xludf.DUMMYFUNCTION("""COMPUTED_VALUE"""),85.46)</f>
        <v>85.46</v>
      </c>
      <c r="D4798" s="2">
        <f>IFERROR(__xludf.DUMMYFUNCTION("""COMPUTED_VALUE"""),81.94)</f>
        <v>81.94</v>
      </c>
      <c r="E4798" s="2">
        <f>IFERROR(__xludf.DUMMYFUNCTION("""COMPUTED_VALUE"""),84.23)</f>
        <v>84.23</v>
      </c>
      <c r="F4798" s="2">
        <f>IFERROR(__xludf.DUMMYFUNCTION("""COMPUTED_VALUE"""),3259400.0)</f>
        <v>3259400</v>
      </c>
    </row>
    <row r="4799">
      <c r="A4799" s="3">
        <f>IFERROR(__xludf.DUMMYFUNCTION("""COMPUTED_VALUE"""),36151.666666666664)</f>
        <v>36151.66667</v>
      </c>
      <c r="B4799" s="2">
        <f>IFERROR(__xludf.DUMMYFUNCTION("""COMPUTED_VALUE"""),84.77)</f>
        <v>84.77</v>
      </c>
      <c r="C4799" s="2">
        <f>IFERROR(__xludf.DUMMYFUNCTION("""COMPUTED_VALUE"""),87.4)</f>
        <v>87.4</v>
      </c>
      <c r="D4799" s="2">
        <f>IFERROR(__xludf.DUMMYFUNCTION("""COMPUTED_VALUE"""),83.7)</f>
        <v>83.7</v>
      </c>
      <c r="E4799" s="2">
        <f>IFERROR(__xludf.DUMMYFUNCTION("""COMPUTED_VALUE"""),87.28)</f>
        <v>87.28</v>
      </c>
      <c r="F4799" s="2">
        <f>IFERROR(__xludf.DUMMYFUNCTION("""COMPUTED_VALUE"""),3741400.0)</f>
        <v>3741400</v>
      </c>
    </row>
    <row r="4800">
      <c r="A4800" s="3">
        <f>IFERROR(__xludf.DUMMYFUNCTION("""COMPUTED_VALUE"""),36152.666666666664)</f>
        <v>36152.66667</v>
      </c>
      <c r="B4800" s="2">
        <f>IFERROR(__xludf.DUMMYFUNCTION("""COMPUTED_VALUE"""),87.25)</f>
        <v>87.25</v>
      </c>
      <c r="C4800" s="2">
        <f>IFERROR(__xludf.DUMMYFUNCTION("""COMPUTED_VALUE"""),88.53)</f>
        <v>88.53</v>
      </c>
      <c r="D4800" s="2">
        <f>IFERROR(__xludf.DUMMYFUNCTION("""COMPUTED_VALUE"""),86.56)</f>
        <v>86.56</v>
      </c>
      <c r="E4800" s="2">
        <f>IFERROR(__xludf.DUMMYFUNCTION("""COMPUTED_VALUE"""),88.41)</f>
        <v>88.41</v>
      </c>
      <c r="F4800" s="2">
        <f>IFERROR(__xludf.DUMMYFUNCTION("""COMPUTED_VALUE"""),2981700.0)</f>
        <v>2981700</v>
      </c>
    </row>
    <row r="4801">
      <c r="A4801" s="3">
        <f>IFERROR(__xludf.DUMMYFUNCTION("""COMPUTED_VALUE"""),36153.666666666664)</f>
        <v>36153.66667</v>
      </c>
      <c r="B4801" s="2">
        <f>IFERROR(__xludf.DUMMYFUNCTION("""COMPUTED_VALUE"""),88.23)</f>
        <v>88.23</v>
      </c>
      <c r="C4801" s="2">
        <f>IFERROR(__xludf.DUMMYFUNCTION("""COMPUTED_VALUE"""),89.76)</f>
        <v>89.76</v>
      </c>
      <c r="D4801" s="2">
        <f>IFERROR(__xludf.DUMMYFUNCTION("""COMPUTED_VALUE"""),87.99)</f>
        <v>87.99</v>
      </c>
      <c r="E4801" s="2">
        <f>IFERROR(__xludf.DUMMYFUNCTION("""COMPUTED_VALUE"""),89.76)</f>
        <v>89.76</v>
      </c>
      <c r="F4801" s="2">
        <f>IFERROR(__xludf.DUMMYFUNCTION("""COMPUTED_VALUE"""),1019500.0)</f>
        <v>1019500</v>
      </c>
    </row>
    <row r="4802">
      <c r="A4802" s="3">
        <f>IFERROR(__xludf.DUMMYFUNCTION("""COMPUTED_VALUE"""),36157.666666666664)</f>
        <v>36157.66667</v>
      </c>
      <c r="B4802" s="2">
        <f>IFERROR(__xludf.DUMMYFUNCTION("""COMPUTED_VALUE"""),89.07)</f>
        <v>89.07</v>
      </c>
      <c r="C4802" s="2">
        <f>IFERROR(__xludf.DUMMYFUNCTION("""COMPUTED_VALUE"""),90.71)</f>
        <v>90.71</v>
      </c>
      <c r="D4802" s="2">
        <f>IFERROR(__xludf.DUMMYFUNCTION("""COMPUTED_VALUE"""),88.86)</f>
        <v>88.86</v>
      </c>
      <c r="E4802" s="2">
        <f>IFERROR(__xludf.DUMMYFUNCTION("""COMPUTED_VALUE"""),90.41)</f>
        <v>90.41</v>
      </c>
      <c r="F4802" s="2">
        <f>IFERROR(__xludf.DUMMYFUNCTION("""COMPUTED_VALUE"""),2142200.0)</f>
        <v>2142200</v>
      </c>
    </row>
    <row r="4803">
      <c r="A4803" s="3">
        <f>IFERROR(__xludf.DUMMYFUNCTION("""COMPUTED_VALUE"""),36158.666666666664)</f>
        <v>36158.66667</v>
      </c>
      <c r="B4803" s="2">
        <f>IFERROR(__xludf.DUMMYFUNCTION("""COMPUTED_VALUE"""),90.08)</f>
        <v>90.08</v>
      </c>
      <c r="C4803" s="2">
        <f>IFERROR(__xludf.DUMMYFUNCTION("""COMPUTED_VALUE"""),90.23)</f>
        <v>90.23</v>
      </c>
      <c r="D4803" s="2">
        <f>IFERROR(__xludf.DUMMYFUNCTION("""COMPUTED_VALUE"""),89.31)</f>
        <v>89.31</v>
      </c>
      <c r="E4803" s="2">
        <f>IFERROR(__xludf.DUMMYFUNCTION("""COMPUTED_VALUE"""),89.34)</f>
        <v>89.34</v>
      </c>
      <c r="F4803" s="2">
        <f>IFERROR(__xludf.DUMMYFUNCTION("""COMPUTED_VALUE"""),1620100.0)</f>
        <v>1620100</v>
      </c>
    </row>
    <row r="4804">
      <c r="A4804" s="3">
        <f>IFERROR(__xludf.DUMMYFUNCTION("""COMPUTED_VALUE"""),36159.666666666664)</f>
        <v>36159.66667</v>
      </c>
      <c r="B4804" s="2">
        <f>IFERROR(__xludf.DUMMYFUNCTION("""COMPUTED_VALUE"""),89.25)</f>
        <v>89.25</v>
      </c>
      <c r="C4804" s="2">
        <f>IFERROR(__xludf.DUMMYFUNCTION("""COMPUTED_VALUE"""),90.08)</f>
        <v>90.08</v>
      </c>
      <c r="D4804" s="2">
        <f>IFERROR(__xludf.DUMMYFUNCTION("""COMPUTED_VALUE"""),88.98)</f>
        <v>88.98</v>
      </c>
      <c r="E4804" s="2">
        <f>IFERROR(__xludf.DUMMYFUNCTION("""COMPUTED_VALUE"""),89.19)</f>
        <v>89.19</v>
      </c>
      <c r="F4804" s="2">
        <f>IFERROR(__xludf.DUMMYFUNCTION("""COMPUTED_VALUE"""),2147400.0)</f>
        <v>2147400</v>
      </c>
    </row>
    <row r="4805">
      <c r="A4805" s="3">
        <f>IFERROR(__xludf.DUMMYFUNCTION("""COMPUTED_VALUE"""),36160.666666666664)</f>
        <v>36160.66667</v>
      </c>
      <c r="B4805" s="2">
        <f>IFERROR(__xludf.DUMMYFUNCTION("""COMPUTED_VALUE"""),89.13)</f>
        <v>89.13</v>
      </c>
      <c r="C4805" s="2">
        <f>IFERROR(__xludf.DUMMYFUNCTION("""COMPUTED_VALUE"""),89.4)</f>
        <v>89.4</v>
      </c>
      <c r="D4805" s="2">
        <f>IFERROR(__xludf.DUMMYFUNCTION("""COMPUTED_VALUE"""),87.67)</f>
        <v>87.67</v>
      </c>
      <c r="E4805" s="2">
        <f>IFERROR(__xludf.DUMMYFUNCTION("""COMPUTED_VALUE"""),88.23)</f>
        <v>88.23</v>
      </c>
      <c r="F4805" s="2">
        <f>IFERROR(__xludf.DUMMYFUNCTION("""COMPUTED_VALUE"""),1603500.0)</f>
        <v>1603500</v>
      </c>
    </row>
    <row r="4806">
      <c r="A4806" s="3">
        <f>IFERROR(__xludf.DUMMYFUNCTION("""COMPUTED_VALUE"""),36164.666666666664)</f>
        <v>36164.66667</v>
      </c>
      <c r="B4806" s="2">
        <f>IFERROR(__xludf.DUMMYFUNCTION("""COMPUTED_VALUE"""),88.35)</f>
        <v>88.35</v>
      </c>
      <c r="C4806" s="2">
        <f>IFERROR(__xludf.DUMMYFUNCTION("""COMPUTED_VALUE"""),89.04)</f>
        <v>89.04</v>
      </c>
      <c r="D4806" s="2">
        <f>IFERROR(__xludf.DUMMYFUNCTION("""COMPUTED_VALUE"""),86.68)</f>
        <v>86.68</v>
      </c>
      <c r="E4806" s="2">
        <f>IFERROR(__xludf.DUMMYFUNCTION("""COMPUTED_VALUE"""),87.4)</f>
        <v>87.4</v>
      </c>
      <c r="F4806" s="2">
        <f>IFERROR(__xludf.DUMMYFUNCTION("""COMPUTED_VALUE"""),3611900.0)</f>
        <v>3611900</v>
      </c>
    </row>
    <row r="4807">
      <c r="A4807" s="3">
        <f>IFERROR(__xludf.DUMMYFUNCTION("""COMPUTED_VALUE"""),36165.666666666664)</f>
        <v>36165.66667</v>
      </c>
      <c r="B4807" s="2">
        <f>IFERROR(__xludf.DUMMYFUNCTION("""COMPUTED_VALUE"""),87.4)</f>
        <v>87.4</v>
      </c>
      <c r="C4807" s="2">
        <f>IFERROR(__xludf.DUMMYFUNCTION("""COMPUTED_VALUE"""),90.68)</f>
        <v>90.68</v>
      </c>
      <c r="D4807" s="2">
        <f>IFERROR(__xludf.DUMMYFUNCTION("""COMPUTED_VALUE"""),87.34)</f>
        <v>87.34</v>
      </c>
      <c r="E4807" s="2">
        <f>IFERROR(__xludf.DUMMYFUNCTION("""COMPUTED_VALUE"""),90.56)</f>
        <v>90.56</v>
      </c>
      <c r="F4807" s="2">
        <f>IFERROR(__xludf.DUMMYFUNCTION("""COMPUTED_VALUE"""),4346400.0)</f>
        <v>4346400</v>
      </c>
    </row>
    <row r="4808">
      <c r="A4808" s="3">
        <f>IFERROR(__xludf.DUMMYFUNCTION("""COMPUTED_VALUE"""),36166.666666666664)</f>
        <v>36166.66667</v>
      </c>
      <c r="B4808" s="2">
        <f>IFERROR(__xludf.DUMMYFUNCTION("""COMPUTED_VALUE"""),90.89)</f>
        <v>90.89</v>
      </c>
      <c r="C4808" s="2">
        <f>IFERROR(__xludf.DUMMYFUNCTION("""COMPUTED_VALUE"""),92.05)</f>
        <v>92.05</v>
      </c>
      <c r="D4808" s="2">
        <f>IFERROR(__xludf.DUMMYFUNCTION("""COMPUTED_VALUE"""),90.02)</f>
        <v>90.02</v>
      </c>
      <c r="E4808" s="2">
        <f>IFERROR(__xludf.DUMMYFUNCTION("""COMPUTED_VALUE"""),90.2)</f>
        <v>90.2</v>
      </c>
      <c r="F4808" s="2">
        <f>IFERROR(__xludf.DUMMYFUNCTION("""COMPUTED_VALUE"""),3948400.0)</f>
        <v>3948400</v>
      </c>
    </row>
    <row r="4809">
      <c r="A4809" s="3">
        <f>IFERROR(__xludf.DUMMYFUNCTION("""COMPUTED_VALUE"""),36167.666666666664)</f>
        <v>36167.66667</v>
      </c>
      <c r="B4809" s="2">
        <f>IFERROR(__xludf.DUMMYFUNCTION("""COMPUTED_VALUE"""),89.76)</f>
        <v>89.76</v>
      </c>
      <c r="C4809" s="2">
        <f>IFERROR(__xludf.DUMMYFUNCTION("""COMPUTED_VALUE"""),91.87)</f>
        <v>91.87</v>
      </c>
      <c r="D4809" s="2">
        <f>IFERROR(__xludf.DUMMYFUNCTION("""COMPUTED_VALUE"""),89.31)</f>
        <v>89.31</v>
      </c>
      <c r="E4809" s="2">
        <f>IFERROR(__xludf.DUMMYFUNCTION("""COMPUTED_VALUE"""),90.83)</f>
        <v>90.83</v>
      </c>
      <c r="F4809" s="2">
        <f>IFERROR(__xludf.DUMMYFUNCTION("""COMPUTED_VALUE"""),3670000.0)</f>
        <v>3670000</v>
      </c>
    </row>
    <row r="4810">
      <c r="A4810" s="3">
        <f>IFERROR(__xludf.DUMMYFUNCTION("""COMPUTED_VALUE"""),36168.666666666664)</f>
        <v>36168.66667</v>
      </c>
      <c r="B4810" s="2">
        <f>IFERROR(__xludf.DUMMYFUNCTION("""COMPUTED_VALUE"""),91.22)</f>
        <v>91.22</v>
      </c>
      <c r="C4810" s="2">
        <f>IFERROR(__xludf.DUMMYFUNCTION("""COMPUTED_VALUE"""),91.7)</f>
        <v>91.7</v>
      </c>
      <c r="D4810" s="2">
        <f>IFERROR(__xludf.DUMMYFUNCTION("""COMPUTED_VALUE"""),88.71)</f>
        <v>88.71</v>
      </c>
      <c r="E4810" s="2">
        <f>IFERROR(__xludf.DUMMYFUNCTION("""COMPUTED_VALUE"""),89.58)</f>
        <v>89.58</v>
      </c>
      <c r="F4810" s="2">
        <f>IFERROR(__xludf.DUMMYFUNCTION("""COMPUTED_VALUE"""),3975600.0)</f>
        <v>3975600</v>
      </c>
    </row>
    <row r="4811">
      <c r="A4811" s="3">
        <f>IFERROR(__xludf.DUMMYFUNCTION("""COMPUTED_VALUE"""),36171.666666666664)</f>
        <v>36171.66667</v>
      </c>
      <c r="B4811" s="2">
        <f>IFERROR(__xludf.DUMMYFUNCTION("""COMPUTED_VALUE"""),90.26)</f>
        <v>90.26</v>
      </c>
      <c r="C4811" s="2">
        <f>IFERROR(__xludf.DUMMYFUNCTION("""COMPUTED_VALUE"""),90.47)</f>
        <v>90.47</v>
      </c>
      <c r="D4811" s="2">
        <f>IFERROR(__xludf.DUMMYFUNCTION("""COMPUTED_VALUE"""),89.31)</f>
        <v>89.31</v>
      </c>
      <c r="E4811" s="2">
        <f>IFERROR(__xludf.DUMMYFUNCTION("""COMPUTED_VALUE"""),90.38)</f>
        <v>90.38</v>
      </c>
      <c r="F4811" s="2">
        <f>IFERROR(__xludf.DUMMYFUNCTION("""COMPUTED_VALUE"""),2909500.0)</f>
        <v>2909500</v>
      </c>
    </row>
    <row r="4812">
      <c r="A4812" s="3">
        <f>IFERROR(__xludf.DUMMYFUNCTION("""COMPUTED_VALUE"""),36172.666666666664)</f>
        <v>36172.66667</v>
      </c>
      <c r="B4812" s="2">
        <f>IFERROR(__xludf.DUMMYFUNCTION("""COMPUTED_VALUE"""),90.74)</f>
        <v>90.74</v>
      </c>
      <c r="C4812" s="2">
        <f>IFERROR(__xludf.DUMMYFUNCTION("""COMPUTED_VALUE"""),90.74)</f>
        <v>90.74</v>
      </c>
      <c r="D4812" s="2">
        <f>IFERROR(__xludf.DUMMYFUNCTION("""COMPUTED_VALUE"""),87.88)</f>
        <v>87.88</v>
      </c>
      <c r="E4812" s="2">
        <f>IFERROR(__xludf.DUMMYFUNCTION("""COMPUTED_VALUE"""),88.44)</f>
        <v>88.44</v>
      </c>
      <c r="F4812" s="2">
        <f>IFERROR(__xludf.DUMMYFUNCTION("""COMPUTED_VALUE"""),2934800.0)</f>
        <v>2934800</v>
      </c>
    </row>
    <row r="4813">
      <c r="A4813" s="3">
        <f>IFERROR(__xludf.DUMMYFUNCTION("""COMPUTED_VALUE"""),36173.666666666664)</f>
        <v>36173.66667</v>
      </c>
      <c r="B4813" s="2">
        <f>IFERROR(__xludf.DUMMYFUNCTION("""COMPUTED_VALUE"""),85.99)</f>
        <v>85.99</v>
      </c>
      <c r="C4813" s="2">
        <f>IFERROR(__xludf.DUMMYFUNCTION("""COMPUTED_VALUE"""),89.52)</f>
        <v>89.52</v>
      </c>
      <c r="D4813" s="2">
        <f>IFERROR(__xludf.DUMMYFUNCTION("""COMPUTED_VALUE"""),85.73)</f>
        <v>85.73</v>
      </c>
      <c r="E4813" s="2">
        <f>IFERROR(__xludf.DUMMYFUNCTION("""COMPUTED_VALUE"""),88.59)</f>
        <v>88.59</v>
      </c>
      <c r="F4813" s="2">
        <f>IFERROR(__xludf.DUMMYFUNCTION("""COMPUTED_VALUE"""),4456800.0)</f>
        <v>4456800</v>
      </c>
    </row>
    <row r="4814">
      <c r="A4814" s="3">
        <f>IFERROR(__xludf.DUMMYFUNCTION("""COMPUTED_VALUE"""),36174.666666666664)</f>
        <v>36174.66667</v>
      </c>
      <c r="B4814" s="2">
        <f>IFERROR(__xludf.DUMMYFUNCTION("""COMPUTED_VALUE"""),87.88)</f>
        <v>87.88</v>
      </c>
      <c r="C4814" s="2">
        <f>IFERROR(__xludf.DUMMYFUNCTION("""COMPUTED_VALUE"""),88.32)</f>
        <v>88.32</v>
      </c>
      <c r="D4814" s="2">
        <f>IFERROR(__xludf.DUMMYFUNCTION("""COMPUTED_VALUE"""),85.43)</f>
        <v>85.43</v>
      </c>
      <c r="E4814" s="2">
        <f>IFERROR(__xludf.DUMMYFUNCTION("""COMPUTED_VALUE"""),86.11)</f>
        <v>86.11</v>
      </c>
      <c r="F4814" s="2">
        <f>IFERROR(__xludf.DUMMYFUNCTION("""COMPUTED_VALUE"""),3792800.0)</f>
        <v>3792800</v>
      </c>
    </row>
    <row r="4815">
      <c r="A4815" s="3">
        <f>IFERROR(__xludf.DUMMYFUNCTION("""COMPUTED_VALUE"""),36175.666666666664)</f>
        <v>36175.66667</v>
      </c>
      <c r="B4815" s="2">
        <f>IFERROR(__xludf.DUMMYFUNCTION("""COMPUTED_VALUE"""),87.04)</f>
        <v>87.04</v>
      </c>
      <c r="C4815" s="2">
        <f>IFERROR(__xludf.DUMMYFUNCTION("""COMPUTED_VALUE"""),88.56)</f>
        <v>88.56</v>
      </c>
      <c r="D4815" s="2">
        <f>IFERROR(__xludf.DUMMYFUNCTION("""COMPUTED_VALUE"""),86.56)</f>
        <v>86.56</v>
      </c>
      <c r="E4815" s="2">
        <f>IFERROR(__xludf.DUMMYFUNCTION("""COMPUTED_VALUE"""),88.56)</f>
        <v>88.56</v>
      </c>
      <c r="F4815" s="2">
        <f>IFERROR(__xludf.DUMMYFUNCTION("""COMPUTED_VALUE"""),2853600.0)</f>
        <v>2853600</v>
      </c>
    </row>
    <row r="4816">
      <c r="A4816" s="3">
        <f>IFERROR(__xludf.DUMMYFUNCTION("""COMPUTED_VALUE"""),36179.666666666664)</f>
        <v>36179.66667</v>
      </c>
      <c r="B4816" s="2">
        <f>IFERROR(__xludf.DUMMYFUNCTION("""COMPUTED_VALUE"""),89.67)</f>
        <v>89.67</v>
      </c>
      <c r="C4816" s="2">
        <f>IFERROR(__xludf.DUMMYFUNCTION("""COMPUTED_VALUE"""),91.58)</f>
        <v>91.58</v>
      </c>
      <c r="D4816" s="2">
        <f>IFERROR(__xludf.DUMMYFUNCTION("""COMPUTED_VALUE"""),88.62)</f>
        <v>88.62</v>
      </c>
      <c r="E4816" s="2">
        <f>IFERROR(__xludf.DUMMYFUNCTION("""COMPUTED_VALUE"""),91.58)</f>
        <v>91.58</v>
      </c>
      <c r="F4816" s="2">
        <f>IFERROR(__xludf.DUMMYFUNCTION("""COMPUTED_VALUE"""),3560300.0)</f>
        <v>3560300</v>
      </c>
    </row>
    <row r="4817">
      <c r="A4817" s="3">
        <f>IFERROR(__xludf.DUMMYFUNCTION("""COMPUTED_VALUE"""),36180.666666666664)</f>
        <v>36180.66667</v>
      </c>
      <c r="B4817" s="2">
        <f>IFERROR(__xludf.DUMMYFUNCTION("""COMPUTED_VALUE"""),93.13)</f>
        <v>93.13</v>
      </c>
      <c r="C4817" s="2">
        <f>IFERROR(__xludf.DUMMYFUNCTION("""COMPUTED_VALUE"""),95.16)</f>
        <v>95.16</v>
      </c>
      <c r="D4817" s="2">
        <f>IFERROR(__xludf.DUMMYFUNCTION("""COMPUTED_VALUE"""),91.99)</f>
        <v>91.99</v>
      </c>
      <c r="E4817" s="2">
        <f>IFERROR(__xludf.DUMMYFUNCTION("""COMPUTED_VALUE"""),92.74)</f>
        <v>92.74</v>
      </c>
      <c r="F4817" s="2">
        <f>IFERROR(__xludf.DUMMYFUNCTION("""COMPUTED_VALUE"""),5259500.0)</f>
        <v>5259500</v>
      </c>
    </row>
    <row r="4818">
      <c r="A4818" s="3">
        <f>IFERROR(__xludf.DUMMYFUNCTION("""COMPUTED_VALUE"""),36181.666666666664)</f>
        <v>36181.66667</v>
      </c>
      <c r="B4818" s="2">
        <f>IFERROR(__xludf.DUMMYFUNCTION("""COMPUTED_VALUE"""),94.38)</f>
        <v>94.38</v>
      </c>
      <c r="C4818" s="2">
        <f>IFERROR(__xludf.DUMMYFUNCTION("""COMPUTED_VALUE"""),94.59)</f>
        <v>94.59</v>
      </c>
      <c r="D4818" s="2">
        <f>IFERROR(__xludf.DUMMYFUNCTION("""COMPUTED_VALUE"""),91.73)</f>
        <v>91.73</v>
      </c>
      <c r="E4818" s="2">
        <f>IFERROR(__xludf.DUMMYFUNCTION("""COMPUTED_VALUE"""),94.11)</f>
        <v>94.11</v>
      </c>
      <c r="F4818" s="2">
        <f>IFERROR(__xludf.DUMMYFUNCTION("""COMPUTED_VALUE"""),8157000.0)</f>
        <v>8157000</v>
      </c>
    </row>
    <row r="4819">
      <c r="A4819" s="3">
        <f>IFERROR(__xludf.DUMMYFUNCTION("""COMPUTED_VALUE"""),36182.666666666664)</f>
        <v>36182.66667</v>
      </c>
      <c r="B4819" s="2">
        <f>IFERROR(__xludf.DUMMYFUNCTION("""COMPUTED_VALUE"""),87.88)</f>
        <v>87.88</v>
      </c>
      <c r="C4819" s="2">
        <f>IFERROR(__xludf.DUMMYFUNCTION("""COMPUTED_VALUE"""),88.53)</f>
        <v>88.53</v>
      </c>
      <c r="D4819" s="2">
        <f>IFERROR(__xludf.DUMMYFUNCTION("""COMPUTED_VALUE"""),84.83)</f>
        <v>84.83</v>
      </c>
      <c r="E4819" s="2">
        <f>IFERROR(__xludf.DUMMYFUNCTION("""COMPUTED_VALUE"""),85.85)</f>
        <v>85.85</v>
      </c>
      <c r="F4819" s="2">
        <f>IFERROR(__xludf.DUMMYFUNCTION("""COMPUTED_VALUE"""),1.592E7)</f>
        <v>15920000</v>
      </c>
    </row>
    <row r="4820">
      <c r="A4820" s="3">
        <f>IFERROR(__xludf.DUMMYFUNCTION("""COMPUTED_VALUE"""),36185.666666666664)</f>
        <v>36185.66667</v>
      </c>
      <c r="B4820" s="2">
        <f>IFERROR(__xludf.DUMMYFUNCTION("""COMPUTED_VALUE"""),87.04)</f>
        <v>87.04</v>
      </c>
      <c r="C4820" s="2">
        <f>IFERROR(__xludf.DUMMYFUNCTION("""COMPUTED_VALUE"""),87.16)</f>
        <v>87.16</v>
      </c>
      <c r="D4820" s="2">
        <f>IFERROR(__xludf.DUMMYFUNCTION("""COMPUTED_VALUE"""),82.86)</f>
        <v>82.86</v>
      </c>
      <c r="E4820" s="2">
        <f>IFERROR(__xludf.DUMMYFUNCTION("""COMPUTED_VALUE"""),86.41)</f>
        <v>86.41</v>
      </c>
      <c r="F4820" s="2">
        <f>IFERROR(__xludf.DUMMYFUNCTION("""COMPUTED_VALUE"""),9600900.0)</f>
        <v>9600900</v>
      </c>
    </row>
    <row r="4821">
      <c r="A4821" s="3">
        <f>IFERROR(__xludf.DUMMYFUNCTION("""COMPUTED_VALUE"""),36186.666666666664)</f>
        <v>36186.66667</v>
      </c>
      <c r="B4821" s="2">
        <f>IFERROR(__xludf.DUMMYFUNCTION("""COMPUTED_VALUE"""),87.76)</f>
        <v>87.76</v>
      </c>
      <c r="C4821" s="2">
        <f>IFERROR(__xludf.DUMMYFUNCTION("""COMPUTED_VALUE"""),88.95)</f>
        <v>88.95</v>
      </c>
      <c r="D4821" s="2">
        <f>IFERROR(__xludf.DUMMYFUNCTION("""COMPUTED_VALUE"""),86.86)</f>
        <v>86.86</v>
      </c>
      <c r="E4821" s="2">
        <f>IFERROR(__xludf.DUMMYFUNCTION("""COMPUTED_VALUE"""),88.56)</f>
        <v>88.56</v>
      </c>
      <c r="F4821" s="2">
        <f>IFERROR(__xludf.DUMMYFUNCTION("""COMPUTED_VALUE"""),7256000.0)</f>
        <v>7256000</v>
      </c>
    </row>
    <row r="4822">
      <c r="A4822" s="3">
        <f>IFERROR(__xludf.DUMMYFUNCTION("""COMPUTED_VALUE"""),36187.666666666664)</f>
        <v>36187.66667</v>
      </c>
      <c r="B4822" s="2">
        <f>IFERROR(__xludf.DUMMYFUNCTION("""COMPUTED_VALUE"""),89.22)</f>
        <v>89.22</v>
      </c>
      <c r="C4822" s="2">
        <f>IFERROR(__xludf.DUMMYFUNCTION("""COMPUTED_VALUE"""),89.22)</f>
        <v>89.22</v>
      </c>
      <c r="D4822" s="2">
        <f>IFERROR(__xludf.DUMMYFUNCTION("""COMPUTED_VALUE"""),84.95)</f>
        <v>84.95</v>
      </c>
      <c r="E4822" s="2">
        <f>IFERROR(__xludf.DUMMYFUNCTION("""COMPUTED_VALUE"""),85.37)</f>
        <v>85.37</v>
      </c>
      <c r="F4822" s="2">
        <f>IFERROR(__xludf.DUMMYFUNCTION("""COMPUTED_VALUE"""),6713300.0)</f>
        <v>6713300</v>
      </c>
    </row>
    <row r="4823">
      <c r="A4823" s="3">
        <f>IFERROR(__xludf.DUMMYFUNCTION("""COMPUTED_VALUE"""),36188.666666666664)</f>
        <v>36188.66667</v>
      </c>
      <c r="B4823" s="2">
        <f>IFERROR(__xludf.DUMMYFUNCTION("""COMPUTED_VALUE"""),85.73)</f>
        <v>85.73</v>
      </c>
      <c r="C4823" s="2">
        <f>IFERROR(__xludf.DUMMYFUNCTION("""COMPUTED_VALUE"""),86.56)</f>
        <v>86.56</v>
      </c>
      <c r="D4823" s="2">
        <f>IFERROR(__xludf.DUMMYFUNCTION("""COMPUTED_VALUE"""),84.8)</f>
        <v>84.8</v>
      </c>
      <c r="E4823" s="2">
        <f>IFERROR(__xludf.DUMMYFUNCTION("""COMPUTED_VALUE"""),85.31)</f>
        <v>85.31</v>
      </c>
      <c r="F4823" s="2">
        <f>IFERROR(__xludf.DUMMYFUNCTION("""COMPUTED_VALUE"""),4663000.0)</f>
        <v>4663000</v>
      </c>
    </row>
    <row r="4824">
      <c r="A4824" s="3">
        <f>IFERROR(__xludf.DUMMYFUNCTION("""COMPUTED_VALUE"""),36189.666666666664)</f>
        <v>36189.66667</v>
      </c>
      <c r="B4824" s="2">
        <f>IFERROR(__xludf.DUMMYFUNCTION("""COMPUTED_VALUE"""),85.34)</f>
        <v>85.34</v>
      </c>
      <c r="C4824" s="2">
        <f>IFERROR(__xludf.DUMMYFUNCTION("""COMPUTED_VALUE"""),87.85)</f>
        <v>87.85</v>
      </c>
      <c r="D4824" s="2">
        <f>IFERROR(__xludf.DUMMYFUNCTION("""COMPUTED_VALUE"""),85.28)</f>
        <v>85.28</v>
      </c>
      <c r="E4824" s="2">
        <f>IFERROR(__xludf.DUMMYFUNCTION("""COMPUTED_VALUE"""),87.52)</f>
        <v>87.52</v>
      </c>
      <c r="F4824" s="2">
        <f>IFERROR(__xludf.DUMMYFUNCTION("""COMPUTED_VALUE"""),3919000.0)</f>
        <v>3919000</v>
      </c>
    </row>
    <row r="4825">
      <c r="A4825" s="3">
        <f>IFERROR(__xludf.DUMMYFUNCTION("""COMPUTED_VALUE"""),36192.666666666664)</f>
        <v>36192.66667</v>
      </c>
      <c r="B4825" s="2">
        <f>IFERROR(__xludf.DUMMYFUNCTION("""COMPUTED_VALUE"""),88.11)</f>
        <v>88.11</v>
      </c>
      <c r="C4825" s="2">
        <f>IFERROR(__xludf.DUMMYFUNCTION("""COMPUTED_VALUE"""),88.11)</f>
        <v>88.11</v>
      </c>
      <c r="D4825" s="2">
        <f>IFERROR(__xludf.DUMMYFUNCTION("""COMPUTED_VALUE"""),85.85)</f>
        <v>85.85</v>
      </c>
      <c r="E4825" s="2">
        <f>IFERROR(__xludf.DUMMYFUNCTION("""COMPUTED_VALUE"""),85.85)</f>
        <v>85.85</v>
      </c>
      <c r="F4825" s="2">
        <f>IFERROR(__xludf.DUMMYFUNCTION("""COMPUTED_VALUE"""),2937500.0)</f>
        <v>2937500</v>
      </c>
    </row>
    <row r="4826">
      <c r="A4826" s="3">
        <f>IFERROR(__xludf.DUMMYFUNCTION("""COMPUTED_VALUE"""),36193.666666666664)</f>
        <v>36193.66667</v>
      </c>
      <c r="B4826" s="2">
        <f>IFERROR(__xludf.DUMMYFUNCTION("""COMPUTED_VALUE"""),85.76)</f>
        <v>85.76</v>
      </c>
      <c r="C4826" s="2">
        <f>IFERROR(__xludf.DUMMYFUNCTION("""COMPUTED_VALUE"""),86.29)</f>
        <v>86.29</v>
      </c>
      <c r="D4826" s="2">
        <f>IFERROR(__xludf.DUMMYFUNCTION("""COMPUTED_VALUE"""),83.58)</f>
        <v>83.58</v>
      </c>
      <c r="E4826" s="2">
        <f>IFERROR(__xludf.DUMMYFUNCTION("""COMPUTED_VALUE"""),84.29)</f>
        <v>84.29</v>
      </c>
      <c r="F4826" s="2">
        <f>IFERROR(__xludf.DUMMYFUNCTION("""COMPUTED_VALUE"""),4917900.0)</f>
        <v>4917900</v>
      </c>
    </row>
    <row r="4827">
      <c r="A4827" s="3">
        <f>IFERROR(__xludf.DUMMYFUNCTION("""COMPUTED_VALUE"""),36194.666666666664)</f>
        <v>36194.66667</v>
      </c>
      <c r="B4827" s="2">
        <f>IFERROR(__xludf.DUMMYFUNCTION("""COMPUTED_VALUE"""),84.02)</f>
        <v>84.02</v>
      </c>
      <c r="C4827" s="2">
        <f>IFERROR(__xludf.DUMMYFUNCTION("""COMPUTED_VALUE"""),84.5)</f>
        <v>84.5</v>
      </c>
      <c r="D4827" s="2">
        <f>IFERROR(__xludf.DUMMYFUNCTION("""COMPUTED_VALUE"""),82.65)</f>
        <v>82.65</v>
      </c>
      <c r="E4827" s="2">
        <f>IFERROR(__xludf.DUMMYFUNCTION("""COMPUTED_VALUE"""),83.67)</f>
        <v>83.67</v>
      </c>
      <c r="F4827" s="2">
        <f>IFERROR(__xludf.DUMMYFUNCTION("""COMPUTED_VALUE"""),4645200.0)</f>
        <v>4645200</v>
      </c>
    </row>
    <row r="4828">
      <c r="A4828" s="3">
        <f>IFERROR(__xludf.DUMMYFUNCTION("""COMPUTED_VALUE"""),36195.666666666664)</f>
        <v>36195.66667</v>
      </c>
      <c r="B4828" s="2">
        <f>IFERROR(__xludf.DUMMYFUNCTION("""COMPUTED_VALUE"""),83.67)</f>
        <v>83.67</v>
      </c>
      <c r="C4828" s="2">
        <f>IFERROR(__xludf.DUMMYFUNCTION("""COMPUTED_VALUE"""),84.29)</f>
        <v>84.29</v>
      </c>
      <c r="D4828" s="2">
        <f>IFERROR(__xludf.DUMMYFUNCTION("""COMPUTED_VALUE"""),80.83)</f>
        <v>80.83</v>
      </c>
      <c r="E4828" s="2">
        <f>IFERROR(__xludf.DUMMYFUNCTION("""COMPUTED_VALUE"""),80.83)</f>
        <v>80.83</v>
      </c>
      <c r="F4828" s="2">
        <f>IFERROR(__xludf.DUMMYFUNCTION("""COMPUTED_VALUE"""),4744000.0)</f>
        <v>4744000</v>
      </c>
    </row>
    <row r="4829">
      <c r="A4829" s="3">
        <f>IFERROR(__xludf.DUMMYFUNCTION("""COMPUTED_VALUE"""),36196.666666666664)</f>
        <v>36196.66667</v>
      </c>
      <c r="B4829" s="2">
        <f>IFERROR(__xludf.DUMMYFUNCTION("""COMPUTED_VALUE"""),81.4)</f>
        <v>81.4</v>
      </c>
      <c r="C4829" s="2">
        <f>IFERROR(__xludf.DUMMYFUNCTION("""COMPUTED_VALUE"""),81.67)</f>
        <v>81.67</v>
      </c>
      <c r="D4829" s="2">
        <f>IFERROR(__xludf.DUMMYFUNCTION("""COMPUTED_VALUE"""),78.59)</f>
        <v>78.59</v>
      </c>
      <c r="E4829" s="2">
        <f>IFERROR(__xludf.DUMMYFUNCTION("""COMPUTED_VALUE"""),79.28)</f>
        <v>79.28</v>
      </c>
      <c r="F4829" s="2">
        <f>IFERROR(__xludf.DUMMYFUNCTION("""COMPUTED_VALUE"""),7270800.0)</f>
        <v>7270800</v>
      </c>
    </row>
    <row r="4830">
      <c r="A4830" s="3">
        <f>IFERROR(__xludf.DUMMYFUNCTION("""COMPUTED_VALUE"""),36199.666666666664)</f>
        <v>36199.66667</v>
      </c>
      <c r="B4830" s="2">
        <f>IFERROR(__xludf.DUMMYFUNCTION("""COMPUTED_VALUE"""),79.76)</f>
        <v>79.76</v>
      </c>
      <c r="C4830" s="2">
        <f>IFERROR(__xludf.DUMMYFUNCTION("""COMPUTED_VALUE"""),80.62)</f>
        <v>80.62</v>
      </c>
      <c r="D4830" s="2">
        <f>IFERROR(__xludf.DUMMYFUNCTION("""COMPUTED_VALUE"""),77.91)</f>
        <v>77.91</v>
      </c>
      <c r="E4830" s="2">
        <f>IFERROR(__xludf.DUMMYFUNCTION("""COMPUTED_VALUE"""),79.76)</f>
        <v>79.76</v>
      </c>
      <c r="F4830" s="2">
        <f>IFERROR(__xludf.DUMMYFUNCTION("""COMPUTED_VALUE"""),5076000.0)</f>
        <v>5076000</v>
      </c>
    </row>
    <row r="4831">
      <c r="A4831" s="3">
        <f>IFERROR(__xludf.DUMMYFUNCTION("""COMPUTED_VALUE"""),36200.666666666664)</f>
        <v>36200.66667</v>
      </c>
      <c r="B4831" s="2">
        <f>IFERROR(__xludf.DUMMYFUNCTION("""COMPUTED_VALUE"""),79.76)</f>
        <v>79.76</v>
      </c>
      <c r="C4831" s="2">
        <f>IFERROR(__xludf.DUMMYFUNCTION("""COMPUTED_VALUE"""),80.95)</f>
        <v>80.95</v>
      </c>
      <c r="D4831" s="2">
        <f>IFERROR(__xludf.DUMMYFUNCTION("""COMPUTED_VALUE"""),77.25)</f>
        <v>77.25</v>
      </c>
      <c r="E4831" s="2">
        <f>IFERROR(__xludf.DUMMYFUNCTION("""COMPUTED_VALUE"""),77.55)</f>
        <v>77.55</v>
      </c>
      <c r="F4831" s="2">
        <f>IFERROR(__xludf.DUMMYFUNCTION("""COMPUTED_VALUE"""),4720500.0)</f>
        <v>4720500</v>
      </c>
    </row>
    <row r="4832">
      <c r="A4832" s="3">
        <f>IFERROR(__xludf.DUMMYFUNCTION("""COMPUTED_VALUE"""),36201.666666666664)</f>
        <v>36201.66667</v>
      </c>
      <c r="B4832" s="2">
        <f>IFERROR(__xludf.DUMMYFUNCTION("""COMPUTED_VALUE"""),77.61)</f>
        <v>77.61</v>
      </c>
      <c r="C4832" s="2">
        <f>IFERROR(__xludf.DUMMYFUNCTION("""COMPUTED_VALUE"""),80.65)</f>
        <v>80.65</v>
      </c>
      <c r="D4832" s="2">
        <f>IFERROR(__xludf.DUMMYFUNCTION("""COMPUTED_VALUE"""),77.61)</f>
        <v>77.61</v>
      </c>
      <c r="E4832" s="2">
        <f>IFERROR(__xludf.DUMMYFUNCTION("""COMPUTED_VALUE"""),80.65)</f>
        <v>80.65</v>
      </c>
      <c r="F4832" s="2">
        <f>IFERROR(__xludf.DUMMYFUNCTION("""COMPUTED_VALUE"""),4660100.0)</f>
        <v>4660100</v>
      </c>
    </row>
    <row r="4833">
      <c r="A4833" s="3">
        <f>IFERROR(__xludf.DUMMYFUNCTION("""COMPUTED_VALUE"""),36202.666666666664)</f>
        <v>36202.66667</v>
      </c>
      <c r="B4833" s="2">
        <f>IFERROR(__xludf.DUMMYFUNCTION("""COMPUTED_VALUE"""),80.98)</f>
        <v>80.98</v>
      </c>
      <c r="C4833" s="2">
        <f>IFERROR(__xludf.DUMMYFUNCTION("""COMPUTED_VALUE"""),85.4)</f>
        <v>85.4</v>
      </c>
      <c r="D4833" s="2">
        <f>IFERROR(__xludf.DUMMYFUNCTION("""COMPUTED_VALUE"""),80.95)</f>
        <v>80.95</v>
      </c>
      <c r="E4833" s="2">
        <f>IFERROR(__xludf.DUMMYFUNCTION("""COMPUTED_VALUE"""),85.4)</f>
        <v>85.4</v>
      </c>
      <c r="F4833" s="2">
        <f>IFERROR(__xludf.DUMMYFUNCTION("""COMPUTED_VALUE"""),5150100.0)</f>
        <v>5150100</v>
      </c>
    </row>
    <row r="4834">
      <c r="A4834" s="3">
        <f>IFERROR(__xludf.DUMMYFUNCTION("""COMPUTED_VALUE"""),36203.666666666664)</f>
        <v>36203.66667</v>
      </c>
      <c r="B4834" s="2">
        <f>IFERROR(__xludf.DUMMYFUNCTION("""COMPUTED_VALUE"""),82.74)</f>
        <v>82.74</v>
      </c>
      <c r="C4834" s="2">
        <f>IFERROR(__xludf.DUMMYFUNCTION("""COMPUTED_VALUE"""),85.4)</f>
        <v>85.4</v>
      </c>
      <c r="D4834" s="2">
        <f>IFERROR(__xludf.DUMMYFUNCTION("""COMPUTED_VALUE"""),81.79)</f>
        <v>81.79</v>
      </c>
      <c r="E4834" s="2">
        <f>IFERROR(__xludf.DUMMYFUNCTION("""COMPUTED_VALUE"""),82.74)</f>
        <v>82.74</v>
      </c>
      <c r="F4834" s="2">
        <f>IFERROR(__xludf.DUMMYFUNCTION("""COMPUTED_VALUE"""),4979900.0)</f>
        <v>4979900</v>
      </c>
    </row>
    <row r="4835">
      <c r="A4835" s="3">
        <f>IFERROR(__xludf.DUMMYFUNCTION("""COMPUTED_VALUE"""),36207.666666666664)</f>
        <v>36207.66667</v>
      </c>
      <c r="B4835" s="2">
        <f>IFERROR(__xludf.DUMMYFUNCTION("""COMPUTED_VALUE"""),83.58)</f>
        <v>83.58</v>
      </c>
      <c r="C4835" s="2">
        <f>IFERROR(__xludf.DUMMYFUNCTION("""COMPUTED_VALUE"""),85.13)</f>
        <v>85.13</v>
      </c>
      <c r="D4835" s="2">
        <f>IFERROR(__xludf.DUMMYFUNCTION("""COMPUTED_VALUE"""),82.11)</f>
        <v>82.11</v>
      </c>
      <c r="E4835" s="2">
        <f>IFERROR(__xludf.DUMMYFUNCTION("""COMPUTED_VALUE"""),82.5)</f>
        <v>82.5</v>
      </c>
      <c r="F4835" s="2">
        <f>IFERROR(__xludf.DUMMYFUNCTION("""COMPUTED_VALUE"""),3885000.0)</f>
        <v>3885000</v>
      </c>
    </row>
    <row r="4836">
      <c r="A4836" s="3">
        <f>IFERROR(__xludf.DUMMYFUNCTION("""COMPUTED_VALUE"""),36208.666666666664)</f>
        <v>36208.66667</v>
      </c>
      <c r="B4836" s="2">
        <f>IFERROR(__xludf.DUMMYFUNCTION("""COMPUTED_VALUE"""),81.43)</f>
        <v>81.43</v>
      </c>
      <c r="C4836" s="2">
        <f>IFERROR(__xludf.DUMMYFUNCTION("""COMPUTED_VALUE"""),83.22)</f>
        <v>83.22</v>
      </c>
      <c r="D4836" s="2">
        <f>IFERROR(__xludf.DUMMYFUNCTION("""COMPUTED_VALUE"""),80.62)</f>
        <v>80.62</v>
      </c>
      <c r="E4836" s="2">
        <f>IFERROR(__xludf.DUMMYFUNCTION("""COMPUTED_VALUE"""),81.43)</f>
        <v>81.43</v>
      </c>
      <c r="F4836" s="2">
        <f>IFERROR(__xludf.DUMMYFUNCTION("""COMPUTED_VALUE"""),3825700.0)</f>
        <v>3825700</v>
      </c>
    </row>
    <row r="4837">
      <c r="A4837" s="3">
        <f>IFERROR(__xludf.DUMMYFUNCTION("""COMPUTED_VALUE"""),36209.666666666664)</f>
        <v>36209.66667</v>
      </c>
      <c r="B4837" s="2">
        <f>IFERROR(__xludf.DUMMYFUNCTION("""COMPUTED_VALUE"""),82.14)</f>
        <v>82.14</v>
      </c>
      <c r="C4837" s="2">
        <f>IFERROR(__xludf.DUMMYFUNCTION("""COMPUTED_VALUE"""),83.31)</f>
        <v>83.31</v>
      </c>
      <c r="D4837" s="2">
        <f>IFERROR(__xludf.DUMMYFUNCTION("""COMPUTED_VALUE"""),81.28)</f>
        <v>81.28</v>
      </c>
      <c r="E4837" s="2">
        <f>IFERROR(__xludf.DUMMYFUNCTION("""COMPUTED_VALUE"""),83.22)</f>
        <v>83.22</v>
      </c>
      <c r="F4837" s="2">
        <f>IFERROR(__xludf.DUMMYFUNCTION("""COMPUTED_VALUE"""),3476400.0)</f>
        <v>3476400</v>
      </c>
    </row>
    <row r="4838">
      <c r="A4838" s="3">
        <f>IFERROR(__xludf.DUMMYFUNCTION("""COMPUTED_VALUE"""),36210.666666666664)</f>
        <v>36210.66667</v>
      </c>
      <c r="B4838" s="2">
        <f>IFERROR(__xludf.DUMMYFUNCTION("""COMPUTED_VALUE"""),83.28)</f>
        <v>83.28</v>
      </c>
      <c r="C4838" s="2">
        <f>IFERROR(__xludf.DUMMYFUNCTION("""COMPUTED_VALUE"""),83.43)</f>
        <v>83.43</v>
      </c>
      <c r="D4838" s="2">
        <f>IFERROR(__xludf.DUMMYFUNCTION("""COMPUTED_VALUE"""),81.67)</f>
        <v>81.67</v>
      </c>
      <c r="E4838" s="2">
        <f>IFERROR(__xludf.DUMMYFUNCTION("""COMPUTED_VALUE"""),82.08)</f>
        <v>82.08</v>
      </c>
      <c r="F4838" s="2">
        <f>IFERROR(__xludf.DUMMYFUNCTION("""COMPUTED_VALUE"""),3234500.0)</f>
        <v>3234500</v>
      </c>
    </row>
    <row r="4839">
      <c r="A4839" s="3">
        <f>IFERROR(__xludf.DUMMYFUNCTION("""COMPUTED_VALUE"""),36213.666666666664)</f>
        <v>36213.66667</v>
      </c>
      <c r="B4839" s="2">
        <f>IFERROR(__xludf.DUMMYFUNCTION("""COMPUTED_VALUE"""),82.26)</f>
        <v>82.26</v>
      </c>
      <c r="C4839" s="2">
        <f>IFERROR(__xludf.DUMMYFUNCTION("""COMPUTED_VALUE"""),84.98)</f>
        <v>84.98</v>
      </c>
      <c r="D4839" s="2">
        <f>IFERROR(__xludf.DUMMYFUNCTION("""COMPUTED_VALUE"""),81.7)</f>
        <v>81.7</v>
      </c>
      <c r="E4839" s="2">
        <f>IFERROR(__xludf.DUMMYFUNCTION("""COMPUTED_VALUE"""),84.98)</f>
        <v>84.98</v>
      </c>
      <c r="F4839" s="2">
        <f>IFERROR(__xludf.DUMMYFUNCTION("""COMPUTED_VALUE"""),3841100.0)</f>
        <v>3841100</v>
      </c>
    </row>
    <row r="4840">
      <c r="A4840" s="3">
        <f>IFERROR(__xludf.DUMMYFUNCTION("""COMPUTED_VALUE"""),36214.666666666664)</f>
        <v>36214.66667</v>
      </c>
      <c r="B4840" s="2">
        <f>IFERROR(__xludf.DUMMYFUNCTION("""COMPUTED_VALUE"""),85.01)</f>
        <v>85.01</v>
      </c>
      <c r="C4840" s="2">
        <f>IFERROR(__xludf.DUMMYFUNCTION("""COMPUTED_VALUE"""),85.96)</f>
        <v>85.96</v>
      </c>
      <c r="D4840" s="2">
        <f>IFERROR(__xludf.DUMMYFUNCTION("""COMPUTED_VALUE"""),83.96)</f>
        <v>83.96</v>
      </c>
      <c r="E4840" s="2">
        <f>IFERROR(__xludf.DUMMYFUNCTION("""COMPUTED_VALUE"""),84.5)</f>
        <v>84.5</v>
      </c>
      <c r="F4840" s="2">
        <f>IFERROR(__xludf.DUMMYFUNCTION("""COMPUTED_VALUE"""),3707900.0)</f>
        <v>3707900</v>
      </c>
    </row>
    <row r="4841">
      <c r="A4841" s="3">
        <f>IFERROR(__xludf.DUMMYFUNCTION("""COMPUTED_VALUE"""),36215.666666666664)</f>
        <v>36215.66667</v>
      </c>
      <c r="B4841" s="2">
        <f>IFERROR(__xludf.DUMMYFUNCTION("""COMPUTED_VALUE"""),84.65)</f>
        <v>84.65</v>
      </c>
      <c r="C4841" s="2">
        <f>IFERROR(__xludf.DUMMYFUNCTION("""COMPUTED_VALUE"""),85.82)</f>
        <v>85.82</v>
      </c>
      <c r="D4841" s="2">
        <f>IFERROR(__xludf.DUMMYFUNCTION("""COMPUTED_VALUE"""),82.68)</f>
        <v>82.68</v>
      </c>
      <c r="E4841" s="2">
        <f>IFERROR(__xludf.DUMMYFUNCTION("""COMPUTED_VALUE"""),82.89)</f>
        <v>82.89</v>
      </c>
      <c r="F4841" s="2">
        <f>IFERROR(__xludf.DUMMYFUNCTION("""COMPUTED_VALUE"""),3645200.0)</f>
        <v>3645200</v>
      </c>
    </row>
    <row r="4842">
      <c r="A4842" s="3">
        <f>IFERROR(__xludf.DUMMYFUNCTION("""COMPUTED_VALUE"""),36216.666666666664)</f>
        <v>36216.66667</v>
      </c>
      <c r="B4842" s="2">
        <f>IFERROR(__xludf.DUMMYFUNCTION("""COMPUTED_VALUE"""),82.14)</f>
        <v>82.14</v>
      </c>
      <c r="C4842" s="2">
        <f>IFERROR(__xludf.DUMMYFUNCTION("""COMPUTED_VALUE"""),83.07)</f>
        <v>83.07</v>
      </c>
      <c r="D4842" s="2">
        <f>IFERROR(__xludf.DUMMYFUNCTION("""COMPUTED_VALUE"""),80.86)</f>
        <v>80.86</v>
      </c>
      <c r="E4842" s="2">
        <f>IFERROR(__xludf.DUMMYFUNCTION("""COMPUTED_VALUE"""),83.07)</f>
        <v>83.07</v>
      </c>
      <c r="F4842" s="2">
        <f>IFERROR(__xludf.DUMMYFUNCTION("""COMPUTED_VALUE"""),4367000.0)</f>
        <v>4367000</v>
      </c>
    </row>
    <row r="4843">
      <c r="A4843" s="3">
        <f>IFERROR(__xludf.DUMMYFUNCTION("""COMPUTED_VALUE"""),36217.666666666664)</f>
        <v>36217.66667</v>
      </c>
      <c r="B4843" s="2">
        <f>IFERROR(__xludf.DUMMYFUNCTION("""COMPUTED_VALUE"""),80.71)</f>
        <v>80.71</v>
      </c>
      <c r="C4843" s="2">
        <f>IFERROR(__xludf.DUMMYFUNCTION("""COMPUTED_VALUE"""),81.19)</f>
        <v>81.19</v>
      </c>
      <c r="D4843" s="2">
        <f>IFERROR(__xludf.DUMMYFUNCTION("""COMPUTED_VALUE"""),79.52)</f>
        <v>79.52</v>
      </c>
      <c r="E4843" s="2">
        <f>IFERROR(__xludf.DUMMYFUNCTION("""COMPUTED_VALUE"""),81.19)</f>
        <v>81.19</v>
      </c>
      <c r="F4843" s="2">
        <f>IFERROR(__xludf.DUMMYFUNCTION("""COMPUTED_VALUE"""),6127400.0)</f>
        <v>6127400</v>
      </c>
    </row>
    <row r="4844">
      <c r="A4844" s="3">
        <f>IFERROR(__xludf.DUMMYFUNCTION("""COMPUTED_VALUE"""),36220.666666666664)</f>
        <v>36220.66667</v>
      </c>
      <c r="B4844" s="2">
        <f>IFERROR(__xludf.DUMMYFUNCTION("""COMPUTED_VALUE"""),80.89)</f>
        <v>80.89</v>
      </c>
      <c r="C4844" s="2">
        <f>IFERROR(__xludf.DUMMYFUNCTION("""COMPUTED_VALUE"""),80.92)</f>
        <v>80.92</v>
      </c>
      <c r="D4844" s="2">
        <f>IFERROR(__xludf.DUMMYFUNCTION("""COMPUTED_VALUE"""),78.92)</f>
        <v>78.92</v>
      </c>
      <c r="E4844" s="2">
        <f>IFERROR(__xludf.DUMMYFUNCTION("""COMPUTED_VALUE"""),80.53)</f>
        <v>80.53</v>
      </c>
      <c r="F4844" s="2">
        <f>IFERROR(__xludf.DUMMYFUNCTION("""COMPUTED_VALUE"""),3746100.0)</f>
        <v>3746100</v>
      </c>
    </row>
    <row r="4845">
      <c r="A4845" s="3">
        <f>IFERROR(__xludf.DUMMYFUNCTION("""COMPUTED_VALUE"""),36221.666666666664)</f>
        <v>36221.66667</v>
      </c>
      <c r="B4845" s="2">
        <f>IFERROR(__xludf.DUMMYFUNCTION("""COMPUTED_VALUE"""),81.43)</f>
        <v>81.43</v>
      </c>
      <c r="C4845" s="2">
        <f>IFERROR(__xludf.DUMMYFUNCTION("""COMPUTED_VALUE"""),81.64)</f>
        <v>81.64</v>
      </c>
      <c r="D4845" s="2">
        <f>IFERROR(__xludf.DUMMYFUNCTION("""COMPUTED_VALUE"""),79.7)</f>
        <v>79.7</v>
      </c>
      <c r="E4845" s="2">
        <f>IFERROR(__xludf.DUMMYFUNCTION("""COMPUTED_VALUE"""),80.14)</f>
        <v>80.14</v>
      </c>
      <c r="F4845" s="2">
        <f>IFERROR(__xludf.DUMMYFUNCTION("""COMPUTED_VALUE"""),3729000.0)</f>
        <v>3729000</v>
      </c>
    </row>
    <row r="4846">
      <c r="A4846" s="3">
        <f>IFERROR(__xludf.DUMMYFUNCTION("""COMPUTED_VALUE"""),36222.666666666664)</f>
        <v>36222.66667</v>
      </c>
      <c r="B4846" s="2">
        <f>IFERROR(__xludf.DUMMYFUNCTION("""COMPUTED_VALUE"""),80.47)</f>
        <v>80.47</v>
      </c>
      <c r="C4846" s="2">
        <f>IFERROR(__xludf.DUMMYFUNCTION("""COMPUTED_VALUE"""),80.68)</f>
        <v>80.68</v>
      </c>
      <c r="D4846" s="2">
        <f>IFERROR(__xludf.DUMMYFUNCTION("""COMPUTED_VALUE"""),78.83)</f>
        <v>78.83</v>
      </c>
      <c r="E4846" s="2">
        <f>IFERROR(__xludf.DUMMYFUNCTION("""COMPUTED_VALUE"""),79.64)</f>
        <v>79.64</v>
      </c>
      <c r="F4846" s="2">
        <f>IFERROR(__xludf.DUMMYFUNCTION("""COMPUTED_VALUE"""),3351500.0)</f>
        <v>3351500</v>
      </c>
    </row>
    <row r="4847">
      <c r="A4847" s="3">
        <f>IFERROR(__xludf.DUMMYFUNCTION("""COMPUTED_VALUE"""),36223.666666666664)</f>
        <v>36223.66667</v>
      </c>
      <c r="B4847" s="2">
        <f>IFERROR(__xludf.DUMMYFUNCTION("""COMPUTED_VALUE"""),83.1)</f>
        <v>83.1</v>
      </c>
      <c r="C4847" s="2">
        <f>IFERROR(__xludf.DUMMYFUNCTION("""COMPUTED_VALUE"""),84.53)</f>
        <v>84.53</v>
      </c>
      <c r="D4847" s="2">
        <f>IFERROR(__xludf.DUMMYFUNCTION("""COMPUTED_VALUE"""),81.31)</f>
        <v>81.31</v>
      </c>
      <c r="E4847" s="2">
        <f>IFERROR(__xludf.DUMMYFUNCTION("""COMPUTED_VALUE"""),81.49)</f>
        <v>81.49</v>
      </c>
      <c r="F4847" s="2">
        <f>IFERROR(__xludf.DUMMYFUNCTION("""COMPUTED_VALUE"""),9055900.0)</f>
        <v>9055900</v>
      </c>
    </row>
    <row r="4848">
      <c r="A4848" s="3">
        <f>IFERROR(__xludf.DUMMYFUNCTION("""COMPUTED_VALUE"""),36224.666666666664)</f>
        <v>36224.66667</v>
      </c>
      <c r="B4848" s="2">
        <f>IFERROR(__xludf.DUMMYFUNCTION("""COMPUTED_VALUE"""),83.04)</f>
        <v>83.04</v>
      </c>
      <c r="C4848" s="2">
        <f>IFERROR(__xludf.DUMMYFUNCTION("""COMPUTED_VALUE"""),85.46)</f>
        <v>85.46</v>
      </c>
      <c r="D4848" s="2">
        <f>IFERROR(__xludf.DUMMYFUNCTION("""COMPUTED_VALUE"""),82.98)</f>
        <v>82.98</v>
      </c>
      <c r="E4848" s="2">
        <f>IFERROR(__xludf.DUMMYFUNCTION("""COMPUTED_VALUE"""),85.19)</f>
        <v>85.19</v>
      </c>
      <c r="F4848" s="2">
        <f>IFERROR(__xludf.DUMMYFUNCTION("""COMPUTED_VALUE"""),4327500.0)</f>
        <v>4327500</v>
      </c>
    </row>
    <row r="4849">
      <c r="A4849" s="3">
        <f>IFERROR(__xludf.DUMMYFUNCTION("""COMPUTED_VALUE"""),36227.666666666664)</f>
        <v>36227.66667</v>
      </c>
      <c r="B4849" s="2">
        <f>IFERROR(__xludf.DUMMYFUNCTION("""COMPUTED_VALUE"""),85.31)</f>
        <v>85.31</v>
      </c>
      <c r="C4849" s="2">
        <f>IFERROR(__xludf.DUMMYFUNCTION("""COMPUTED_VALUE"""),85.96)</f>
        <v>85.96</v>
      </c>
      <c r="D4849" s="2">
        <f>IFERROR(__xludf.DUMMYFUNCTION("""COMPUTED_VALUE"""),84.56)</f>
        <v>84.56</v>
      </c>
      <c r="E4849" s="2">
        <f>IFERROR(__xludf.DUMMYFUNCTION("""COMPUTED_VALUE"""),85.52)</f>
        <v>85.52</v>
      </c>
      <c r="F4849" s="2">
        <f>IFERROR(__xludf.DUMMYFUNCTION("""COMPUTED_VALUE"""),2925100.0)</f>
        <v>2925100</v>
      </c>
    </row>
    <row r="4850">
      <c r="A4850" s="3">
        <f>IFERROR(__xludf.DUMMYFUNCTION("""COMPUTED_VALUE"""),36228.666666666664)</f>
        <v>36228.66667</v>
      </c>
      <c r="B4850" s="2">
        <f>IFERROR(__xludf.DUMMYFUNCTION("""COMPUTED_VALUE"""),85.91)</f>
        <v>85.91</v>
      </c>
      <c r="C4850" s="2">
        <f>IFERROR(__xludf.DUMMYFUNCTION("""COMPUTED_VALUE"""),88.29)</f>
        <v>88.29</v>
      </c>
      <c r="D4850" s="2">
        <f>IFERROR(__xludf.DUMMYFUNCTION("""COMPUTED_VALUE"""),85.31)</f>
        <v>85.31</v>
      </c>
      <c r="E4850" s="2">
        <f>IFERROR(__xludf.DUMMYFUNCTION("""COMPUTED_VALUE"""),86.92)</f>
        <v>86.92</v>
      </c>
      <c r="F4850" s="2">
        <f>IFERROR(__xludf.DUMMYFUNCTION("""COMPUTED_VALUE"""),4199100.0)</f>
        <v>4199100</v>
      </c>
    </row>
    <row r="4851">
      <c r="A4851" s="3">
        <f>IFERROR(__xludf.DUMMYFUNCTION("""COMPUTED_VALUE"""),36229.666666666664)</f>
        <v>36229.66667</v>
      </c>
      <c r="B4851" s="2">
        <f>IFERROR(__xludf.DUMMYFUNCTION("""COMPUTED_VALUE"""),86.74)</f>
        <v>86.74</v>
      </c>
      <c r="C4851" s="2">
        <f>IFERROR(__xludf.DUMMYFUNCTION("""COMPUTED_VALUE"""),87.34)</f>
        <v>87.34</v>
      </c>
      <c r="D4851" s="2">
        <f>IFERROR(__xludf.DUMMYFUNCTION("""COMPUTED_VALUE"""),86.35)</f>
        <v>86.35</v>
      </c>
      <c r="E4851" s="2">
        <f>IFERROR(__xludf.DUMMYFUNCTION("""COMPUTED_VALUE"""),86.8)</f>
        <v>86.8</v>
      </c>
      <c r="F4851" s="2">
        <f>IFERROR(__xludf.DUMMYFUNCTION("""COMPUTED_VALUE"""),2994700.0)</f>
        <v>2994700</v>
      </c>
    </row>
    <row r="4852">
      <c r="A4852" s="3">
        <f>IFERROR(__xludf.DUMMYFUNCTION("""COMPUTED_VALUE"""),36230.666666666664)</f>
        <v>36230.66667</v>
      </c>
      <c r="B4852" s="2">
        <f>IFERROR(__xludf.DUMMYFUNCTION("""COMPUTED_VALUE"""),87.1)</f>
        <v>87.1</v>
      </c>
      <c r="C4852" s="2">
        <f>IFERROR(__xludf.DUMMYFUNCTION("""COMPUTED_VALUE"""),88.8)</f>
        <v>88.8</v>
      </c>
      <c r="D4852" s="2">
        <f>IFERROR(__xludf.DUMMYFUNCTION("""COMPUTED_VALUE"""),86.68)</f>
        <v>86.68</v>
      </c>
      <c r="E4852" s="2">
        <f>IFERROR(__xludf.DUMMYFUNCTION("""COMPUTED_VALUE"""),87.22)</f>
        <v>87.22</v>
      </c>
      <c r="F4852" s="2">
        <f>IFERROR(__xludf.DUMMYFUNCTION("""COMPUTED_VALUE"""),3624100.0)</f>
        <v>3624100</v>
      </c>
    </row>
    <row r="4853">
      <c r="A4853" s="3">
        <f>IFERROR(__xludf.DUMMYFUNCTION("""COMPUTED_VALUE"""),36231.666666666664)</f>
        <v>36231.66667</v>
      </c>
      <c r="B4853" s="2">
        <f>IFERROR(__xludf.DUMMYFUNCTION("""COMPUTED_VALUE"""),87.25)</f>
        <v>87.25</v>
      </c>
      <c r="C4853" s="2">
        <f>IFERROR(__xludf.DUMMYFUNCTION("""COMPUTED_VALUE"""),87.61)</f>
        <v>87.61</v>
      </c>
      <c r="D4853" s="2">
        <f>IFERROR(__xludf.DUMMYFUNCTION("""COMPUTED_VALUE"""),85.13)</f>
        <v>85.13</v>
      </c>
      <c r="E4853" s="2">
        <f>IFERROR(__xludf.DUMMYFUNCTION("""COMPUTED_VALUE"""),85.55)</f>
        <v>85.55</v>
      </c>
      <c r="F4853" s="2">
        <f>IFERROR(__xludf.DUMMYFUNCTION("""COMPUTED_VALUE"""),3970400.0)</f>
        <v>3970400</v>
      </c>
    </row>
    <row r="4854">
      <c r="A4854" s="3">
        <f>IFERROR(__xludf.DUMMYFUNCTION("""COMPUTED_VALUE"""),36234.666666666664)</f>
        <v>36234.66667</v>
      </c>
      <c r="B4854" s="2">
        <f>IFERROR(__xludf.DUMMYFUNCTION("""COMPUTED_VALUE"""),87.07)</f>
        <v>87.07</v>
      </c>
      <c r="C4854" s="2">
        <f>IFERROR(__xludf.DUMMYFUNCTION("""COMPUTED_VALUE"""),87.07)</f>
        <v>87.07</v>
      </c>
      <c r="D4854" s="2">
        <f>IFERROR(__xludf.DUMMYFUNCTION("""COMPUTED_VALUE"""),84.59)</f>
        <v>84.59</v>
      </c>
      <c r="E4854" s="2">
        <f>IFERROR(__xludf.DUMMYFUNCTION("""COMPUTED_VALUE"""),87.07)</f>
        <v>87.07</v>
      </c>
      <c r="F4854" s="2">
        <f>IFERROR(__xludf.DUMMYFUNCTION("""COMPUTED_VALUE"""),3373800.0)</f>
        <v>3373800</v>
      </c>
    </row>
    <row r="4855">
      <c r="A4855" s="3">
        <f>IFERROR(__xludf.DUMMYFUNCTION("""COMPUTED_VALUE"""),36235.666666666664)</f>
        <v>36235.66667</v>
      </c>
      <c r="B4855" s="2">
        <f>IFERROR(__xludf.DUMMYFUNCTION("""COMPUTED_VALUE"""),86.8)</f>
        <v>86.8</v>
      </c>
      <c r="C4855" s="2">
        <f>IFERROR(__xludf.DUMMYFUNCTION("""COMPUTED_VALUE"""),87.64)</f>
        <v>87.64</v>
      </c>
      <c r="D4855" s="2">
        <f>IFERROR(__xludf.DUMMYFUNCTION("""COMPUTED_VALUE"""),86.05)</f>
        <v>86.05</v>
      </c>
      <c r="E4855" s="2">
        <f>IFERROR(__xludf.DUMMYFUNCTION("""COMPUTED_VALUE"""),86.44)</f>
        <v>86.44</v>
      </c>
      <c r="F4855" s="2">
        <f>IFERROR(__xludf.DUMMYFUNCTION("""COMPUTED_VALUE"""),2527700.0)</f>
        <v>2527700</v>
      </c>
    </row>
    <row r="4856">
      <c r="A4856" s="3">
        <f>IFERROR(__xludf.DUMMYFUNCTION("""COMPUTED_VALUE"""),36236.666666666664)</f>
        <v>36236.66667</v>
      </c>
      <c r="B4856" s="2">
        <f>IFERROR(__xludf.DUMMYFUNCTION("""COMPUTED_VALUE"""),85.04)</f>
        <v>85.04</v>
      </c>
      <c r="C4856" s="2">
        <f>IFERROR(__xludf.DUMMYFUNCTION("""COMPUTED_VALUE"""),85.96)</f>
        <v>85.96</v>
      </c>
      <c r="D4856" s="2">
        <f>IFERROR(__xludf.DUMMYFUNCTION("""COMPUTED_VALUE"""),85.01)</f>
        <v>85.01</v>
      </c>
      <c r="E4856" s="2">
        <f>IFERROR(__xludf.DUMMYFUNCTION("""COMPUTED_VALUE"""),85.04)</f>
        <v>85.04</v>
      </c>
      <c r="F4856" s="2">
        <f>IFERROR(__xludf.DUMMYFUNCTION("""COMPUTED_VALUE"""),2967900.0)</f>
        <v>2967900</v>
      </c>
    </row>
    <row r="4857">
      <c r="A4857" s="3">
        <f>IFERROR(__xludf.DUMMYFUNCTION("""COMPUTED_VALUE"""),36237.666666666664)</f>
        <v>36237.66667</v>
      </c>
      <c r="B4857" s="2">
        <f>IFERROR(__xludf.DUMMYFUNCTION("""COMPUTED_VALUE"""),84.77)</f>
        <v>84.77</v>
      </c>
      <c r="C4857" s="2">
        <f>IFERROR(__xludf.DUMMYFUNCTION("""COMPUTED_VALUE"""),84.89)</f>
        <v>84.89</v>
      </c>
      <c r="D4857" s="2">
        <f>IFERROR(__xludf.DUMMYFUNCTION("""COMPUTED_VALUE"""),82.62)</f>
        <v>82.62</v>
      </c>
      <c r="E4857" s="2">
        <f>IFERROR(__xludf.DUMMYFUNCTION("""COMPUTED_VALUE"""),84.86)</f>
        <v>84.86</v>
      </c>
      <c r="F4857" s="2">
        <f>IFERROR(__xludf.DUMMYFUNCTION("""COMPUTED_VALUE"""),6141200.0)</f>
        <v>6141200</v>
      </c>
    </row>
    <row r="4858">
      <c r="A4858" s="3">
        <f>IFERROR(__xludf.DUMMYFUNCTION("""COMPUTED_VALUE"""),36238.666666666664)</f>
        <v>36238.66667</v>
      </c>
      <c r="B4858" s="2">
        <f>IFERROR(__xludf.DUMMYFUNCTION("""COMPUTED_VALUE"""),84.35)</f>
        <v>84.35</v>
      </c>
      <c r="C4858" s="2">
        <f>IFERROR(__xludf.DUMMYFUNCTION("""COMPUTED_VALUE"""),85.01)</f>
        <v>85.01</v>
      </c>
      <c r="D4858" s="2">
        <f>IFERROR(__xludf.DUMMYFUNCTION("""COMPUTED_VALUE"""),80.23)</f>
        <v>80.23</v>
      </c>
      <c r="E4858" s="2">
        <f>IFERROR(__xludf.DUMMYFUNCTION("""COMPUTED_VALUE"""),80.5)</f>
        <v>80.5</v>
      </c>
      <c r="F4858" s="2">
        <f>IFERROR(__xludf.DUMMYFUNCTION("""COMPUTED_VALUE"""),8041200.0)</f>
        <v>8041200</v>
      </c>
    </row>
    <row r="4859">
      <c r="A4859" s="3">
        <f>IFERROR(__xludf.DUMMYFUNCTION("""COMPUTED_VALUE"""),36241.666666666664)</f>
        <v>36241.66667</v>
      </c>
      <c r="B4859" s="2">
        <f>IFERROR(__xludf.DUMMYFUNCTION("""COMPUTED_VALUE"""),80.56)</f>
        <v>80.56</v>
      </c>
      <c r="C4859" s="2">
        <f>IFERROR(__xludf.DUMMYFUNCTION("""COMPUTED_VALUE"""),81.43)</f>
        <v>81.43</v>
      </c>
      <c r="D4859" s="2">
        <f>IFERROR(__xludf.DUMMYFUNCTION("""COMPUTED_VALUE"""),79.64)</f>
        <v>79.64</v>
      </c>
      <c r="E4859" s="2">
        <f>IFERROR(__xludf.DUMMYFUNCTION("""COMPUTED_VALUE"""),79.85)</f>
        <v>79.85</v>
      </c>
      <c r="F4859" s="2">
        <f>IFERROR(__xludf.DUMMYFUNCTION("""COMPUTED_VALUE"""),4749400.0)</f>
        <v>4749400</v>
      </c>
    </row>
    <row r="4860">
      <c r="A4860" s="3">
        <f>IFERROR(__xludf.DUMMYFUNCTION("""COMPUTED_VALUE"""),36242.666666666664)</f>
        <v>36242.66667</v>
      </c>
      <c r="B4860" s="2">
        <f>IFERROR(__xludf.DUMMYFUNCTION("""COMPUTED_VALUE"""),79.76)</f>
        <v>79.76</v>
      </c>
      <c r="C4860" s="2">
        <f>IFERROR(__xludf.DUMMYFUNCTION("""COMPUTED_VALUE"""),80.05)</f>
        <v>80.05</v>
      </c>
      <c r="D4860" s="2">
        <f>IFERROR(__xludf.DUMMYFUNCTION("""COMPUTED_VALUE"""),78.32)</f>
        <v>78.32</v>
      </c>
      <c r="E4860" s="2">
        <f>IFERROR(__xludf.DUMMYFUNCTION("""COMPUTED_VALUE"""),79.16)</f>
        <v>79.16</v>
      </c>
      <c r="F4860" s="2">
        <f>IFERROR(__xludf.DUMMYFUNCTION("""COMPUTED_VALUE"""),3927200.0)</f>
        <v>3927200</v>
      </c>
    </row>
    <row r="4861">
      <c r="A4861" s="3">
        <f>IFERROR(__xludf.DUMMYFUNCTION("""COMPUTED_VALUE"""),36243.666666666664)</f>
        <v>36243.66667</v>
      </c>
      <c r="B4861" s="2">
        <f>IFERROR(__xludf.DUMMYFUNCTION("""COMPUTED_VALUE"""),80.23)</f>
        <v>80.23</v>
      </c>
      <c r="C4861" s="2">
        <f>IFERROR(__xludf.DUMMYFUNCTION("""COMPUTED_VALUE"""),81.43)</f>
        <v>81.43</v>
      </c>
      <c r="D4861" s="2">
        <f>IFERROR(__xludf.DUMMYFUNCTION("""COMPUTED_VALUE"""),79.52)</f>
        <v>79.52</v>
      </c>
      <c r="E4861" s="2">
        <f>IFERROR(__xludf.DUMMYFUNCTION("""COMPUTED_VALUE"""),80.89)</f>
        <v>80.89</v>
      </c>
      <c r="F4861" s="2">
        <f>IFERROR(__xludf.DUMMYFUNCTION("""COMPUTED_VALUE"""),4936900.0)</f>
        <v>4936900</v>
      </c>
    </row>
    <row r="4862">
      <c r="A4862" s="3">
        <f>IFERROR(__xludf.DUMMYFUNCTION("""COMPUTED_VALUE"""),36244.666666666664)</f>
        <v>36244.66667</v>
      </c>
      <c r="B4862" s="2">
        <f>IFERROR(__xludf.DUMMYFUNCTION("""COMPUTED_VALUE"""),82.14)</f>
        <v>82.14</v>
      </c>
      <c r="C4862" s="2">
        <f>IFERROR(__xludf.DUMMYFUNCTION("""COMPUTED_VALUE"""),82.74)</f>
        <v>82.74</v>
      </c>
      <c r="D4862" s="2">
        <f>IFERROR(__xludf.DUMMYFUNCTION("""COMPUTED_VALUE"""),80.95)</f>
        <v>80.95</v>
      </c>
      <c r="E4862" s="2">
        <f>IFERROR(__xludf.DUMMYFUNCTION("""COMPUTED_VALUE"""),81.82)</f>
        <v>81.82</v>
      </c>
      <c r="F4862" s="2">
        <f>IFERROR(__xludf.DUMMYFUNCTION("""COMPUTED_VALUE"""),4208400.0)</f>
        <v>4208400</v>
      </c>
    </row>
    <row r="4863">
      <c r="A4863" s="3">
        <f>IFERROR(__xludf.DUMMYFUNCTION("""COMPUTED_VALUE"""),36245.666666666664)</f>
        <v>36245.66667</v>
      </c>
      <c r="B4863" s="2">
        <f>IFERROR(__xludf.DUMMYFUNCTION("""COMPUTED_VALUE"""),81.7)</f>
        <v>81.7</v>
      </c>
      <c r="C4863" s="2">
        <f>IFERROR(__xludf.DUMMYFUNCTION("""COMPUTED_VALUE"""),83.99)</f>
        <v>83.99</v>
      </c>
      <c r="D4863" s="2">
        <f>IFERROR(__xludf.DUMMYFUNCTION("""COMPUTED_VALUE"""),81.46)</f>
        <v>81.46</v>
      </c>
      <c r="E4863" s="2">
        <f>IFERROR(__xludf.DUMMYFUNCTION("""COMPUTED_VALUE"""),82.2)</f>
        <v>82.2</v>
      </c>
      <c r="F4863" s="2">
        <f>IFERROR(__xludf.DUMMYFUNCTION("""COMPUTED_VALUE"""),3451300.0)</f>
        <v>3451300</v>
      </c>
    </row>
    <row r="4864">
      <c r="A4864" s="3">
        <f>IFERROR(__xludf.DUMMYFUNCTION("""COMPUTED_VALUE"""),36248.666666666664)</f>
        <v>36248.66667</v>
      </c>
      <c r="B4864" s="2">
        <f>IFERROR(__xludf.DUMMYFUNCTION("""COMPUTED_VALUE"""),83.58)</f>
        <v>83.58</v>
      </c>
      <c r="C4864" s="2">
        <f>IFERROR(__xludf.DUMMYFUNCTION("""COMPUTED_VALUE"""),85.37)</f>
        <v>85.37</v>
      </c>
      <c r="D4864" s="2">
        <f>IFERROR(__xludf.DUMMYFUNCTION("""COMPUTED_VALUE"""),83.31)</f>
        <v>83.31</v>
      </c>
      <c r="E4864" s="2">
        <f>IFERROR(__xludf.DUMMYFUNCTION("""COMPUTED_VALUE"""),84.8)</f>
        <v>84.8</v>
      </c>
      <c r="F4864" s="2">
        <f>IFERROR(__xludf.DUMMYFUNCTION("""COMPUTED_VALUE"""),3352700.0)</f>
        <v>3352700</v>
      </c>
    </row>
    <row r="4865">
      <c r="A4865" s="3">
        <f>IFERROR(__xludf.DUMMYFUNCTION("""COMPUTED_VALUE"""),36249.666666666664)</f>
        <v>36249.66667</v>
      </c>
      <c r="B4865" s="2">
        <f>IFERROR(__xludf.DUMMYFUNCTION("""COMPUTED_VALUE"""),84.53)</f>
        <v>84.53</v>
      </c>
      <c r="C4865" s="2">
        <f>IFERROR(__xludf.DUMMYFUNCTION("""COMPUTED_VALUE"""),86.56)</f>
        <v>86.56</v>
      </c>
      <c r="D4865" s="2">
        <f>IFERROR(__xludf.DUMMYFUNCTION("""COMPUTED_VALUE"""),84.47)</f>
        <v>84.47</v>
      </c>
      <c r="E4865" s="2">
        <f>IFERROR(__xludf.DUMMYFUNCTION("""COMPUTED_VALUE"""),85.28)</f>
        <v>85.28</v>
      </c>
      <c r="F4865" s="2">
        <f>IFERROR(__xludf.DUMMYFUNCTION("""COMPUTED_VALUE"""),3059000.0)</f>
        <v>3059000</v>
      </c>
    </row>
    <row r="4866">
      <c r="A4866" s="3">
        <f>IFERROR(__xludf.DUMMYFUNCTION("""COMPUTED_VALUE"""),36250.666666666664)</f>
        <v>36250.66667</v>
      </c>
      <c r="B4866" s="2">
        <f>IFERROR(__xludf.DUMMYFUNCTION("""COMPUTED_VALUE"""),85.96)</f>
        <v>85.96</v>
      </c>
      <c r="C4866" s="2">
        <f>IFERROR(__xludf.DUMMYFUNCTION("""COMPUTED_VALUE"""),86.65)</f>
        <v>86.65</v>
      </c>
      <c r="D4866" s="2">
        <f>IFERROR(__xludf.DUMMYFUNCTION("""COMPUTED_VALUE"""),84.29)</f>
        <v>84.29</v>
      </c>
      <c r="E4866" s="2">
        <f>IFERROR(__xludf.DUMMYFUNCTION("""COMPUTED_VALUE"""),84.65)</f>
        <v>84.65</v>
      </c>
      <c r="F4866" s="2">
        <f>IFERROR(__xludf.DUMMYFUNCTION("""COMPUTED_VALUE"""),2369800.0)</f>
        <v>2369800</v>
      </c>
    </row>
    <row r="4867">
      <c r="A4867" s="3">
        <f>IFERROR(__xludf.DUMMYFUNCTION("""COMPUTED_VALUE"""),36251.666666666664)</f>
        <v>36251.66667</v>
      </c>
      <c r="B4867" s="2">
        <f>IFERROR(__xludf.DUMMYFUNCTION("""COMPUTED_VALUE"""),84.68)</f>
        <v>84.68</v>
      </c>
      <c r="C4867" s="2">
        <f>IFERROR(__xludf.DUMMYFUNCTION("""COMPUTED_VALUE"""),84.86)</f>
        <v>84.86</v>
      </c>
      <c r="D4867" s="2">
        <f>IFERROR(__xludf.DUMMYFUNCTION("""COMPUTED_VALUE"""),83.43)</f>
        <v>83.43</v>
      </c>
      <c r="E4867" s="2">
        <f>IFERROR(__xludf.DUMMYFUNCTION("""COMPUTED_VALUE"""),84.56)</f>
        <v>84.56</v>
      </c>
      <c r="F4867" s="2">
        <f>IFERROR(__xludf.DUMMYFUNCTION("""COMPUTED_VALUE"""),2064100.0)</f>
        <v>2064100</v>
      </c>
    </row>
    <row r="4868">
      <c r="A4868" s="3">
        <f>IFERROR(__xludf.DUMMYFUNCTION("""COMPUTED_VALUE"""),36255.666666666664)</f>
        <v>36255.66667</v>
      </c>
      <c r="B4868" s="2">
        <f>IFERROR(__xludf.DUMMYFUNCTION("""COMPUTED_VALUE"""),86.98)</f>
        <v>86.98</v>
      </c>
      <c r="C4868" s="2">
        <f>IFERROR(__xludf.DUMMYFUNCTION("""COMPUTED_VALUE"""),87.85)</f>
        <v>87.85</v>
      </c>
      <c r="D4868" s="2">
        <f>IFERROR(__xludf.DUMMYFUNCTION("""COMPUTED_VALUE"""),86.86)</f>
        <v>86.86</v>
      </c>
      <c r="E4868" s="2">
        <f>IFERROR(__xludf.DUMMYFUNCTION("""COMPUTED_VALUE"""),87.85)</f>
        <v>87.85</v>
      </c>
      <c r="F4868" s="2">
        <f>IFERROR(__xludf.DUMMYFUNCTION("""COMPUTED_VALUE"""),1393700.0)</f>
        <v>1393700</v>
      </c>
    </row>
    <row r="4869">
      <c r="A4869" s="3">
        <f>IFERROR(__xludf.DUMMYFUNCTION("""COMPUTED_VALUE"""),36256.666666666664)</f>
        <v>36256.66667</v>
      </c>
      <c r="B4869" s="2">
        <f>IFERROR(__xludf.DUMMYFUNCTION("""COMPUTED_VALUE"""),88.5)</f>
        <v>88.5</v>
      </c>
      <c r="C4869" s="2">
        <f>IFERROR(__xludf.DUMMYFUNCTION("""COMPUTED_VALUE"""),88.77)</f>
        <v>88.77</v>
      </c>
      <c r="D4869" s="2">
        <f>IFERROR(__xludf.DUMMYFUNCTION("""COMPUTED_VALUE"""),87.01)</f>
        <v>87.01</v>
      </c>
      <c r="E4869" s="2">
        <f>IFERROR(__xludf.DUMMYFUNCTION("""COMPUTED_VALUE"""),87.55)</f>
        <v>87.55</v>
      </c>
      <c r="F4869" s="2">
        <f>IFERROR(__xludf.DUMMYFUNCTION("""COMPUTED_VALUE"""),1040200.0)</f>
        <v>1040200</v>
      </c>
    </row>
    <row r="4870">
      <c r="A4870" s="3">
        <f>IFERROR(__xludf.DUMMYFUNCTION("""COMPUTED_VALUE"""),36257.666666666664)</f>
        <v>36257.66667</v>
      </c>
      <c r="B4870" s="2">
        <f>IFERROR(__xludf.DUMMYFUNCTION("""COMPUTED_VALUE"""),87.88)</f>
        <v>87.88</v>
      </c>
      <c r="C4870" s="2">
        <f>IFERROR(__xludf.DUMMYFUNCTION("""COMPUTED_VALUE"""),89.61)</f>
        <v>89.61</v>
      </c>
      <c r="D4870" s="2">
        <f>IFERROR(__xludf.DUMMYFUNCTION("""COMPUTED_VALUE"""),85.52)</f>
        <v>85.52</v>
      </c>
      <c r="E4870" s="2">
        <f>IFERROR(__xludf.DUMMYFUNCTION("""COMPUTED_VALUE"""),89.04)</f>
        <v>89.04</v>
      </c>
      <c r="F4870" s="2">
        <f>IFERROR(__xludf.DUMMYFUNCTION("""COMPUTED_VALUE"""),5027200.0)</f>
        <v>5027200</v>
      </c>
    </row>
    <row r="4871">
      <c r="A4871" s="3">
        <f>IFERROR(__xludf.DUMMYFUNCTION("""COMPUTED_VALUE"""),36258.666666666664)</f>
        <v>36258.66667</v>
      </c>
      <c r="B4871" s="2">
        <f>IFERROR(__xludf.DUMMYFUNCTION("""COMPUTED_VALUE"""),88.56)</f>
        <v>88.56</v>
      </c>
      <c r="C4871" s="2">
        <f>IFERROR(__xludf.DUMMYFUNCTION("""COMPUTED_VALUE"""),89.82)</f>
        <v>89.82</v>
      </c>
      <c r="D4871" s="2">
        <f>IFERROR(__xludf.DUMMYFUNCTION("""COMPUTED_VALUE"""),87.07)</f>
        <v>87.07</v>
      </c>
      <c r="E4871" s="2">
        <f>IFERROR(__xludf.DUMMYFUNCTION("""COMPUTED_VALUE"""),88.08)</f>
        <v>88.08</v>
      </c>
      <c r="F4871" s="2">
        <f>IFERROR(__xludf.DUMMYFUNCTION("""COMPUTED_VALUE"""),3564900.0)</f>
        <v>3564900</v>
      </c>
    </row>
    <row r="4872">
      <c r="A4872" s="3">
        <f>IFERROR(__xludf.DUMMYFUNCTION("""COMPUTED_VALUE"""),36259.666666666664)</f>
        <v>36259.66667</v>
      </c>
      <c r="B4872" s="2">
        <f>IFERROR(__xludf.DUMMYFUNCTION("""COMPUTED_VALUE"""),88.65)</f>
        <v>88.65</v>
      </c>
      <c r="C4872" s="2">
        <f>IFERROR(__xludf.DUMMYFUNCTION("""COMPUTED_VALUE"""),89.82)</f>
        <v>89.82</v>
      </c>
      <c r="D4872" s="2">
        <f>IFERROR(__xludf.DUMMYFUNCTION("""COMPUTED_VALUE"""),88.53)</f>
        <v>88.53</v>
      </c>
      <c r="E4872" s="2">
        <f>IFERROR(__xludf.DUMMYFUNCTION("""COMPUTED_VALUE"""),88.98)</f>
        <v>88.98</v>
      </c>
      <c r="F4872" s="2">
        <f>IFERROR(__xludf.DUMMYFUNCTION("""COMPUTED_VALUE"""),2489700.0)</f>
        <v>2489700</v>
      </c>
    </row>
    <row r="4873">
      <c r="A4873" s="3">
        <f>IFERROR(__xludf.DUMMYFUNCTION("""COMPUTED_VALUE"""),36262.666666666664)</f>
        <v>36262.66667</v>
      </c>
      <c r="B4873" s="2">
        <f>IFERROR(__xludf.DUMMYFUNCTION("""COMPUTED_VALUE"""),87.64)</f>
        <v>87.64</v>
      </c>
      <c r="C4873" s="2">
        <f>IFERROR(__xludf.DUMMYFUNCTION("""COMPUTED_VALUE"""),87.64)</f>
        <v>87.64</v>
      </c>
      <c r="D4873" s="2">
        <f>IFERROR(__xludf.DUMMYFUNCTION("""COMPUTED_VALUE"""),86.47)</f>
        <v>86.47</v>
      </c>
      <c r="E4873" s="2">
        <f>IFERROR(__xludf.DUMMYFUNCTION("""COMPUTED_VALUE"""),87.61)</f>
        <v>87.61</v>
      </c>
      <c r="F4873" s="2">
        <f>IFERROR(__xludf.DUMMYFUNCTION("""COMPUTED_VALUE"""),3592800.0)</f>
        <v>3592800</v>
      </c>
    </row>
    <row r="4874">
      <c r="A4874" s="3">
        <f>IFERROR(__xludf.DUMMYFUNCTION("""COMPUTED_VALUE"""),36263.666666666664)</f>
        <v>36263.66667</v>
      </c>
      <c r="B4874" s="2">
        <f>IFERROR(__xludf.DUMMYFUNCTION("""COMPUTED_VALUE"""),87.88)</f>
        <v>87.88</v>
      </c>
      <c r="C4874" s="2">
        <f>IFERROR(__xludf.DUMMYFUNCTION("""COMPUTED_VALUE"""),87.88)</f>
        <v>87.88</v>
      </c>
      <c r="D4874" s="2">
        <f>IFERROR(__xludf.DUMMYFUNCTION("""COMPUTED_VALUE"""),85.93)</f>
        <v>85.93</v>
      </c>
      <c r="E4874" s="2">
        <f>IFERROR(__xludf.DUMMYFUNCTION("""COMPUTED_VALUE"""),86.32)</f>
        <v>86.32</v>
      </c>
      <c r="F4874" s="2">
        <f>IFERROR(__xludf.DUMMYFUNCTION("""COMPUTED_VALUE"""),2629700.0)</f>
        <v>2629700</v>
      </c>
    </row>
    <row r="4875">
      <c r="A4875" s="3">
        <f>IFERROR(__xludf.DUMMYFUNCTION("""COMPUTED_VALUE"""),36264.666666666664)</f>
        <v>36264.66667</v>
      </c>
      <c r="B4875" s="2">
        <f>IFERROR(__xludf.DUMMYFUNCTION("""COMPUTED_VALUE"""),87.28)</f>
        <v>87.28</v>
      </c>
      <c r="C4875" s="2">
        <f>IFERROR(__xludf.DUMMYFUNCTION("""COMPUTED_VALUE"""),87.82)</f>
        <v>87.82</v>
      </c>
      <c r="D4875" s="2">
        <f>IFERROR(__xludf.DUMMYFUNCTION("""COMPUTED_VALUE"""),84.83)</f>
        <v>84.83</v>
      </c>
      <c r="E4875" s="2">
        <f>IFERROR(__xludf.DUMMYFUNCTION("""COMPUTED_VALUE"""),85.73)</f>
        <v>85.73</v>
      </c>
      <c r="F4875" s="2">
        <f>IFERROR(__xludf.DUMMYFUNCTION("""COMPUTED_VALUE"""),2933400.0)</f>
        <v>2933400</v>
      </c>
    </row>
    <row r="4876">
      <c r="A4876" s="3">
        <f>IFERROR(__xludf.DUMMYFUNCTION("""COMPUTED_VALUE"""),36265.666666666664)</f>
        <v>36265.66667</v>
      </c>
      <c r="B4876" s="2">
        <f>IFERROR(__xludf.DUMMYFUNCTION("""COMPUTED_VALUE"""),85.73)</f>
        <v>85.73</v>
      </c>
      <c r="C4876" s="2">
        <f>IFERROR(__xludf.DUMMYFUNCTION("""COMPUTED_VALUE"""),85.73)</f>
        <v>85.73</v>
      </c>
      <c r="D4876" s="2">
        <f>IFERROR(__xludf.DUMMYFUNCTION("""COMPUTED_VALUE"""),82.86)</f>
        <v>82.86</v>
      </c>
      <c r="E4876" s="2">
        <f>IFERROR(__xludf.DUMMYFUNCTION("""COMPUTED_VALUE"""),84.89)</f>
        <v>84.89</v>
      </c>
      <c r="F4876" s="2">
        <f>IFERROR(__xludf.DUMMYFUNCTION("""COMPUTED_VALUE"""),3256800.0)</f>
        <v>3256800</v>
      </c>
    </row>
    <row r="4877">
      <c r="A4877" s="3">
        <f>IFERROR(__xludf.DUMMYFUNCTION("""COMPUTED_VALUE"""),36266.666666666664)</f>
        <v>36266.66667</v>
      </c>
      <c r="B4877" s="2">
        <f>IFERROR(__xludf.DUMMYFUNCTION("""COMPUTED_VALUE"""),84.77)</f>
        <v>84.77</v>
      </c>
      <c r="C4877" s="2">
        <f>IFERROR(__xludf.DUMMYFUNCTION("""COMPUTED_VALUE"""),84.77)</f>
        <v>84.77</v>
      </c>
      <c r="D4877" s="2">
        <f>IFERROR(__xludf.DUMMYFUNCTION("""COMPUTED_VALUE"""),81.25)</f>
        <v>81.25</v>
      </c>
      <c r="E4877" s="2">
        <f>IFERROR(__xludf.DUMMYFUNCTION("""COMPUTED_VALUE"""),81.55)</f>
        <v>81.55</v>
      </c>
      <c r="F4877" s="2">
        <f>IFERROR(__xludf.DUMMYFUNCTION("""COMPUTED_VALUE"""),4945400.0)</f>
        <v>4945400</v>
      </c>
    </row>
    <row r="4878">
      <c r="A4878" s="3">
        <f>IFERROR(__xludf.DUMMYFUNCTION("""COMPUTED_VALUE"""),36269.666666666664)</f>
        <v>36269.66667</v>
      </c>
      <c r="B4878" s="2">
        <f>IFERROR(__xludf.DUMMYFUNCTION("""COMPUTED_VALUE"""),81.61)</f>
        <v>81.61</v>
      </c>
      <c r="C4878" s="2">
        <f>IFERROR(__xludf.DUMMYFUNCTION("""COMPUTED_VALUE"""),82.29)</f>
        <v>82.29</v>
      </c>
      <c r="D4878" s="2">
        <f>IFERROR(__xludf.DUMMYFUNCTION("""COMPUTED_VALUE"""),78.35)</f>
        <v>78.35</v>
      </c>
      <c r="E4878" s="2">
        <f>IFERROR(__xludf.DUMMYFUNCTION("""COMPUTED_VALUE"""),79.76)</f>
        <v>79.76</v>
      </c>
      <c r="F4878" s="2">
        <f>IFERROR(__xludf.DUMMYFUNCTION("""COMPUTED_VALUE"""),5553400.0)</f>
        <v>5553400</v>
      </c>
    </row>
    <row r="4879">
      <c r="A4879" s="3">
        <f>IFERROR(__xludf.DUMMYFUNCTION("""COMPUTED_VALUE"""),36270.666666666664)</f>
        <v>36270.66667</v>
      </c>
      <c r="B4879" s="2">
        <f>IFERROR(__xludf.DUMMYFUNCTION("""COMPUTED_VALUE"""),79.76)</f>
        <v>79.76</v>
      </c>
      <c r="C4879" s="2">
        <f>IFERROR(__xludf.DUMMYFUNCTION("""COMPUTED_VALUE"""),81.07)</f>
        <v>81.07</v>
      </c>
      <c r="D4879" s="2">
        <f>IFERROR(__xludf.DUMMYFUNCTION("""COMPUTED_VALUE"""),77.85)</f>
        <v>77.85</v>
      </c>
      <c r="E4879" s="2">
        <f>IFERROR(__xludf.DUMMYFUNCTION("""COMPUTED_VALUE"""),81.07)</f>
        <v>81.07</v>
      </c>
      <c r="F4879" s="2">
        <f>IFERROR(__xludf.DUMMYFUNCTION("""COMPUTED_VALUE"""),5875100.0)</f>
        <v>5875100</v>
      </c>
    </row>
    <row r="4880">
      <c r="A4880" s="3">
        <f>IFERROR(__xludf.DUMMYFUNCTION("""COMPUTED_VALUE"""),36271.666666666664)</f>
        <v>36271.66667</v>
      </c>
      <c r="B4880" s="2">
        <f>IFERROR(__xludf.DUMMYFUNCTION("""COMPUTED_VALUE"""),81.07)</f>
        <v>81.07</v>
      </c>
      <c r="C4880" s="2">
        <f>IFERROR(__xludf.DUMMYFUNCTION("""COMPUTED_VALUE"""),82.08)</f>
        <v>82.08</v>
      </c>
      <c r="D4880" s="2">
        <f>IFERROR(__xludf.DUMMYFUNCTION("""COMPUTED_VALUE"""),78.86)</f>
        <v>78.86</v>
      </c>
      <c r="E4880" s="2">
        <f>IFERROR(__xludf.DUMMYFUNCTION("""COMPUTED_VALUE"""),82.08)</f>
        <v>82.08</v>
      </c>
      <c r="F4880" s="2">
        <f>IFERROR(__xludf.DUMMYFUNCTION("""COMPUTED_VALUE"""),5754800.0)</f>
        <v>5754800</v>
      </c>
    </row>
    <row r="4881">
      <c r="A4881" s="3">
        <f>IFERROR(__xludf.DUMMYFUNCTION("""COMPUTED_VALUE"""),36272.666666666664)</f>
        <v>36272.66667</v>
      </c>
      <c r="B4881" s="2">
        <f>IFERROR(__xludf.DUMMYFUNCTION("""COMPUTED_VALUE"""),94.2)</f>
        <v>94.2</v>
      </c>
      <c r="C4881" s="2">
        <f>IFERROR(__xludf.DUMMYFUNCTION("""COMPUTED_VALUE"""),94.89)</f>
        <v>94.89</v>
      </c>
      <c r="D4881" s="2">
        <f>IFERROR(__xludf.DUMMYFUNCTION("""COMPUTED_VALUE"""),92.05)</f>
        <v>92.05</v>
      </c>
      <c r="E4881" s="2">
        <f>IFERROR(__xludf.DUMMYFUNCTION("""COMPUTED_VALUE"""),93.07)</f>
        <v>93.07</v>
      </c>
      <c r="F4881" s="2">
        <f>IFERROR(__xludf.DUMMYFUNCTION("""COMPUTED_VALUE"""),1.5343E7)</f>
        <v>15343000</v>
      </c>
    </row>
    <row r="4882">
      <c r="A4882" s="3">
        <f>IFERROR(__xludf.DUMMYFUNCTION("""COMPUTED_VALUE"""),36273.666666666664)</f>
        <v>36273.66667</v>
      </c>
      <c r="B4882" s="2">
        <f>IFERROR(__xludf.DUMMYFUNCTION("""COMPUTED_VALUE"""),92.35)</f>
        <v>92.35</v>
      </c>
      <c r="C4882" s="2">
        <f>IFERROR(__xludf.DUMMYFUNCTION("""COMPUTED_VALUE"""),98.65)</f>
        <v>98.65</v>
      </c>
      <c r="D4882" s="2">
        <f>IFERROR(__xludf.DUMMYFUNCTION("""COMPUTED_VALUE"""),92.17)</f>
        <v>92.17</v>
      </c>
      <c r="E4882" s="2">
        <f>IFERROR(__xludf.DUMMYFUNCTION("""COMPUTED_VALUE"""),95.52)</f>
        <v>95.52</v>
      </c>
      <c r="F4882" s="2">
        <f>IFERROR(__xludf.DUMMYFUNCTION("""COMPUTED_VALUE"""),8658200.0)</f>
        <v>8658200</v>
      </c>
    </row>
    <row r="4883">
      <c r="A4883" s="3">
        <f>IFERROR(__xludf.DUMMYFUNCTION("""COMPUTED_VALUE"""),36276.666666666664)</f>
        <v>36276.66667</v>
      </c>
      <c r="B4883" s="2">
        <f>IFERROR(__xludf.DUMMYFUNCTION("""COMPUTED_VALUE"""),97.78)</f>
        <v>97.78</v>
      </c>
      <c r="C4883" s="2">
        <f>IFERROR(__xludf.DUMMYFUNCTION("""COMPUTED_VALUE"""),100.65)</f>
        <v>100.65</v>
      </c>
      <c r="D4883" s="2">
        <f>IFERROR(__xludf.DUMMYFUNCTION("""COMPUTED_VALUE"""),96.71)</f>
        <v>96.71</v>
      </c>
      <c r="E4883" s="2">
        <f>IFERROR(__xludf.DUMMYFUNCTION("""COMPUTED_VALUE"""),100.32)</f>
        <v>100.32</v>
      </c>
      <c r="F4883" s="2">
        <f>IFERROR(__xludf.DUMMYFUNCTION("""COMPUTED_VALUE"""),7757600.0)</f>
        <v>7757600</v>
      </c>
    </row>
    <row r="4884">
      <c r="A4884" s="3">
        <f>IFERROR(__xludf.DUMMYFUNCTION("""COMPUTED_VALUE"""),36277.666666666664)</f>
        <v>36277.66667</v>
      </c>
      <c r="B4884" s="2">
        <f>IFERROR(__xludf.DUMMYFUNCTION("""COMPUTED_VALUE"""),101.25)</f>
        <v>101.25</v>
      </c>
      <c r="C4884" s="2">
        <f>IFERROR(__xludf.DUMMYFUNCTION("""COMPUTED_VALUE"""),102.68)</f>
        <v>102.68</v>
      </c>
      <c r="D4884" s="2">
        <f>IFERROR(__xludf.DUMMYFUNCTION("""COMPUTED_VALUE"""),99.58)</f>
        <v>99.58</v>
      </c>
      <c r="E4884" s="2">
        <f>IFERROR(__xludf.DUMMYFUNCTION("""COMPUTED_VALUE"""),100.77)</f>
        <v>100.77</v>
      </c>
      <c r="F4884" s="2">
        <f>IFERROR(__xludf.DUMMYFUNCTION("""COMPUTED_VALUE"""),8988700.0)</f>
        <v>8988700</v>
      </c>
    </row>
    <row r="4885">
      <c r="A4885" s="3">
        <f>IFERROR(__xludf.DUMMYFUNCTION("""COMPUTED_VALUE"""),36278.666666666664)</f>
        <v>36278.66667</v>
      </c>
      <c r="B4885" s="2">
        <f>IFERROR(__xludf.DUMMYFUNCTION("""COMPUTED_VALUE"""),99.93)</f>
        <v>99.93</v>
      </c>
      <c r="C4885" s="2">
        <f>IFERROR(__xludf.DUMMYFUNCTION("""COMPUTED_VALUE"""),100.47)</f>
        <v>100.47</v>
      </c>
      <c r="D4885" s="2">
        <f>IFERROR(__xludf.DUMMYFUNCTION("""COMPUTED_VALUE"""),97.49)</f>
        <v>97.49</v>
      </c>
      <c r="E4885" s="2">
        <f>IFERROR(__xludf.DUMMYFUNCTION("""COMPUTED_VALUE"""),97.87)</f>
        <v>97.87</v>
      </c>
      <c r="F4885" s="2">
        <f>IFERROR(__xludf.DUMMYFUNCTION("""COMPUTED_VALUE"""),4353100.0)</f>
        <v>4353100</v>
      </c>
    </row>
    <row r="4886">
      <c r="A4886" s="3">
        <f>IFERROR(__xludf.DUMMYFUNCTION("""COMPUTED_VALUE"""),36279.666666666664)</f>
        <v>36279.66667</v>
      </c>
      <c r="B4886" s="2">
        <f>IFERROR(__xludf.DUMMYFUNCTION("""COMPUTED_VALUE"""),97.9)</f>
        <v>97.9</v>
      </c>
      <c r="C4886" s="2">
        <f>IFERROR(__xludf.DUMMYFUNCTION("""COMPUTED_VALUE"""),99.81)</f>
        <v>99.81</v>
      </c>
      <c r="D4886" s="2">
        <f>IFERROR(__xludf.DUMMYFUNCTION("""COMPUTED_VALUE"""),97.16)</f>
        <v>97.16</v>
      </c>
      <c r="E4886" s="2">
        <f>IFERROR(__xludf.DUMMYFUNCTION("""COMPUTED_VALUE"""),97.81)</f>
        <v>97.81</v>
      </c>
      <c r="F4886" s="2">
        <f>IFERROR(__xludf.DUMMYFUNCTION("""COMPUTED_VALUE"""),4848100.0)</f>
        <v>4848100</v>
      </c>
    </row>
    <row r="4887">
      <c r="A4887" s="3">
        <f>IFERROR(__xludf.DUMMYFUNCTION("""COMPUTED_VALUE"""),36280.666666666664)</f>
        <v>36280.66667</v>
      </c>
      <c r="B4887" s="2">
        <f>IFERROR(__xludf.DUMMYFUNCTION("""COMPUTED_VALUE"""),99.58)</f>
        <v>99.58</v>
      </c>
      <c r="C4887" s="2">
        <f>IFERROR(__xludf.DUMMYFUNCTION("""COMPUTED_VALUE"""),100.77)</f>
        <v>100.77</v>
      </c>
      <c r="D4887" s="2">
        <f>IFERROR(__xludf.DUMMYFUNCTION("""COMPUTED_VALUE"""),97.16)</f>
        <v>97.16</v>
      </c>
      <c r="E4887" s="2">
        <f>IFERROR(__xludf.DUMMYFUNCTION("""COMPUTED_VALUE"""),99.9)</f>
        <v>99.9</v>
      </c>
      <c r="F4887" s="2">
        <f>IFERROR(__xludf.DUMMYFUNCTION("""COMPUTED_VALUE"""),3854900.0)</f>
        <v>3854900</v>
      </c>
    </row>
    <row r="4888">
      <c r="A4888" s="3">
        <f>IFERROR(__xludf.DUMMYFUNCTION("""COMPUTED_VALUE"""),36283.666666666664)</f>
        <v>36283.66667</v>
      </c>
      <c r="B4888" s="2">
        <f>IFERROR(__xludf.DUMMYFUNCTION("""COMPUTED_VALUE"""),99.34)</f>
        <v>99.34</v>
      </c>
      <c r="C4888" s="2">
        <f>IFERROR(__xludf.DUMMYFUNCTION("""COMPUTED_VALUE"""),101.37)</f>
        <v>101.37</v>
      </c>
      <c r="D4888" s="2">
        <f>IFERROR(__xludf.DUMMYFUNCTION("""COMPUTED_VALUE"""),98.53)</f>
        <v>98.53</v>
      </c>
      <c r="E4888" s="2">
        <f>IFERROR(__xludf.DUMMYFUNCTION("""COMPUTED_VALUE"""),101.37)</f>
        <v>101.37</v>
      </c>
      <c r="F4888" s="2">
        <f>IFERROR(__xludf.DUMMYFUNCTION("""COMPUTED_VALUE"""),3717200.0)</f>
        <v>3717200</v>
      </c>
    </row>
    <row r="4889">
      <c r="A4889" s="3">
        <f>IFERROR(__xludf.DUMMYFUNCTION("""COMPUTED_VALUE"""),36284.666666666664)</f>
        <v>36284.66667</v>
      </c>
      <c r="B4889" s="2">
        <f>IFERROR(__xludf.DUMMYFUNCTION("""COMPUTED_VALUE"""),101.37)</f>
        <v>101.37</v>
      </c>
      <c r="C4889" s="2">
        <f>IFERROR(__xludf.DUMMYFUNCTION("""COMPUTED_VALUE"""),103.01)</f>
        <v>103.01</v>
      </c>
      <c r="D4889" s="2">
        <f>IFERROR(__xludf.DUMMYFUNCTION("""COMPUTED_VALUE"""),100.95)</f>
        <v>100.95</v>
      </c>
      <c r="E4889" s="2">
        <f>IFERROR(__xludf.DUMMYFUNCTION("""COMPUTED_VALUE"""),101.22)</f>
        <v>101.22</v>
      </c>
      <c r="F4889" s="2">
        <f>IFERROR(__xludf.DUMMYFUNCTION("""COMPUTED_VALUE"""),4718300.0)</f>
        <v>4718300</v>
      </c>
    </row>
    <row r="4890">
      <c r="A4890" s="3">
        <f>IFERROR(__xludf.DUMMYFUNCTION("""COMPUTED_VALUE"""),36285.666666666664)</f>
        <v>36285.66667</v>
      </c>
      <c r="B4890" s="2">
        <f>IFERROR(__xludf.DUMMYFUNCTION("""COMPUTED_VALUE"""),101.31)</f>
        <v>101.31</v>
      </c>
      <c r="C4890" s="2">
        <f>IFERROR(__xludf.DUMMYFUNCTION("""COMPUTED_VALUE"""),101.49)</f>
        <v>101.49</v>
      </c>
      <c r="D4890" s="2">
        <f>IFERROR(__xludf.DUMMYFUNCTION("""COMPUTED_VALUE"""),99.01)</f>
        <v>99.01</v>
      </c>
      <c r="E4890" s="2">
        <f>IFERROR(__xludf.DUMMYFUNCTION("""COMPUTED_VALUE"""),101.4)</f>
        <v>101.4</v>
      </c>
      <c r="F4890" s="2">
        <f>IFERROR(__xludf.DUMMYFUNCTION("""COMPUTED_VALUE"""),3526900.0)</f>
        <v>3526900</v>
      </c>
    </row>
    <row r="4891">
      <c r="A4891" s="3">
        <f>IFERROR(__xludf.DUMMYFUNCTION("""COMPUTED_VALUE"""),36286.666666666664)</f>
        <v>36286.66667</v>
      </c>
      <c r="B4891" s="2">
        <f>IFERROR(__xludf.DUMMYFUNCTION("""COMPUTED_VALUE"""),101.31)</f>
        <v>101.31</v>
      </c>
      <c r="C4891" s="2">
        <f>IFERROR(__xludf.DUMMYFUNCTION("""COMPUTED_VALUE"""),102.2)</f>
        <v>102.2</v>
      </c>
      <c r="D4891" s="2">
        <f>IFERROR(__xludf.DUMMYFUNCTION("""COMPUTED_VALUE"""),99.34)</f>
        <v>99.34</v>
      </c>
      <c r="E4891" s="2">
        <f>IFERROR(__xludf.DUMMYFUNCTION("""COMPUTED_VALUE"""),100.02)</f>
        <v>100.02</v>
      </c>
      <c r="F4891" s="2">
        <f>IFERROR(__xludf.DUMMYFUNCTION("""COMPUTED_VALUE"""),3568300.0)</f>
        <v>3568300</v>
      </c>
    </row>
    <row r="4892">
      <c r="A4892" s="3">
        <f>IFERROR(__xludf.DUMMYFUNCTION("""COMPUTED_VALUE"""),36287.666666666664)</f>
        <v>36287.66667</v>
      </c>
      <c r="B4892" s="2">
        <f>IFERROR(__xludf.DUMMYFUNCTION("""COMPUTED_VALUE"""),100.89)</f>
        <v>100.89</v>
      </c>
      <c r="C4892" s="2">
        <f>IFERROR(__xludf.DUMMYFUNCTION("""COMPUTED_VALUE"""),103.75)</f>
        <v>103.75</v>
      </c>
      <c r="D4892" s="2">
        <f>IFERROR(__xludf.DUMMYFUNCTION("""COMPUTED_VALUE"""),100.89)</f>
        <v>100.89</v>
      </c>
      <c r="E4892" s="2">
        <f>IFERROR(__xludf.DUMMYFUNCTION("""COMPUTED_VALUE"""),103.75)</f>
        <v>103.75</v>
      </c>
      <c r="F4892" s="2">
        <f>IFERROR(__xludf.DUMMYFUNCTION("""COMPUTED_VALUE"""),4251600.0)</f>
        <v>4251600</v>
      </c>
    </row>
    <row r="4893">
      <c r="A4893" s="3">
        <f>IFERROR(__xludf.DUMMYFUNCTION("""COMPUTED_VALUE"""),36290.666666666664)</f>
        <v>36290.66667</v>
      </c>
      <c r="B4893" s="2">
        <f>IFERROR(__xludf.DUMMYFUNCTION("""COMPUTED_VALUE"""),103.75)</f>
        <v>103.75</v>
      </c>
      <c r="C4893" s="2">
        <f>IFERROR(__xludf.DUMMYFUNCTION("""COMPUTED_VALUE"""),105.96)</f>
        <v>105.96</v>
      </c>
      <c r="D4893" s="2">
        <f>IFERROR(__xludf.DUMMYFUNCTION("""COMPUTED_VALUE"""),103.67)</f>
        <v>103.67</v>
      </c>
      <c r="E4893" s="2">
        <f>IFERROR(__xludf.DUMMYFUNCTION("""COMPUTED_VALUE"""),104.38)</f>
        <v>104.38</v>
      </c>
      <c r="F4893" s="2">
        <f>IFERROR(__xludf.DUMMYFUNCTION("""COMPUTED_VALUE"""),4088100.0)</f>
        <v>4088100</v>
      </c>
    </row>
    <row r="4894">
      <c r="A4894" s="3">
        <f>IFERROR(__xludf.DUMMYFUNCTION("""COMPUTED_VALUE"""),36291.666666666664)</f>
        <v>36291.66667</v>
      </c>
      <c r="B4894" s="2">
        <f>IFERROR(__xludf.DUMMYFUNCTION("""COMPUTED_VALUE"""),105.31)</f>
        <v>105.31</v>
      </c>
      <c r="C4894" s="2">
        <f>IFERROR(__xludf.DUMMYFUNCTION("""COMPUTED_VALUE"""),105.96)</f>
        <v>105.96</v>
      </c>
      <c r="D4894" s="2">
        <f>IFERROR(__xludf.DUMMYFUNCTION("""COMPUTED_VALUE"""),103.87)</f>
        <v>103.87</v>
      </c>
      <c r="E4894" s="2">
        <f>IFERROR(__xludf.DUMMYFUNCTION("""COMPUTED_VALUE"""),105.61)</f>
        <v>105.61</v>
      </c>
      <c r="F4894" s="2">
        <f>IFERROR(__xludf.DUMMYFUNCTION("""COMPUTED_VALUE"""),3585400.0)</f>
        <v>3585400</v>
      </c>
    </row>
    <row r="4895">
      <c r="A4895" s="3">
        <f>IFERROR(__xludf.DUMMYFUNCTION("""COMPUTED_VALUE"""),36292.666666666664)</f>
        <v>36292.66667</v>
      </c>
      <c r="B4895" s="2">
        <f>IFERROR(__xludf.DUMMYFUNCTION("""COMPUTED_VALUE"""),105.61)</f>
        <v>105.61</v>
      </c>
      <c r="C4895" s="2">
        <f>IFERROR(__xludf.DUMMYFUNCTION("""COMPUTED_VALUE"""),109.1)</f>
        <v>109.1</v>
      </c>
      <c r="D4895" s="2">
        <f>IFERROR(__xludf.DUMMYFUNCTION("""COMPUTED_VALUE"""),103.16)</f>
        <v>103.16</v>
      </c>
      <c r="E4895" s="2">
        <f>IFERROR(__xludf.DUMMYFUNCTION("""COMPUTED_VALUE"""),107.52)</f>
        <v>107.52</v>
      </c>
      <c r="F4895" s="2">
        <f>IFERROR(__xludf.DUMMYFUNCTION("""COMPUTED_VALUE"""),5124700.0)</f>
        <v>5124700</v>
      </c>
    </row>
    <row r="4896">
      <c r="A4896" s="3">
        <f>IFERROR(__xludf.DUMMYFUNCTION("""COMPUTED_VALUE"""),36293.666666666664)</f>
        <v>36293.66667</v>
      </c>
      <c r="B4896" s="2">
        <f>IFERROR(__xludf.DUMMYFUNCTION("""COMPUTED_VALUE"""),112.47)</f>
        <v>112.47</v>
      </c>
      <c r="C4896" s="2">
        <f>IFERROR(__xludf.DUMMYFUNCTION("""COMPUTED_VALUE"""),117.25)</f>
        <v>117.25</v>
      </c>
      <c r="D4896" s="2">
        <f>IFERROR(__xludf.DUMMYFUNCTION("""COMPUTED_VALUE"""),112.26)</f>
        <v>112.26</v>
      </c>
      <c r="E4896" s="2">
        <f>IFERROR(__xludf.DUMMYFUNCTION("""COMPUTED_VALUE"""),117.25)</f>
        <v>117.25</v>
      </c>
      <c r="F4896" s="2">
        <f>IFERROR(__xludf.DUMMYFUNCTION("""COMPUTED_VALUE"""),1.04467E7)</f>
        <v>10446700</v>
      </c>
    </row>
    <row r="4897">
      <c r="A4897" s="3">
        <f>IFERROR(__xludf.DUMMYFUNCTION("""COMPUTED_VALUE"""),36294.666666666664)</f>
        <v>36294.66667</v>
      </c>
      <c r="B4897" s="2">
        <f>IFERROR(__xludf.DUMMYFUNCTION("""COMPUTED_VALUE"""),112.71)</f>
        <v>112.71</v>
      </c>
      <c r="C4897" s="2">
        <f>IFERROR(__xludf.DUMMYFUNCTION("""COMPUTED_VALUE"""),116.29)</f>
        <v>116.29</v>
      </c>
      <c r="D4897" s="2">
        <f>IFERROR(__xludf.DUMMYFUNCTION("""COMPUTED_VALUE"""),112.71)</f>
        <v>112.71</v>
      </c>
      <c r="E4897" s="2">
        <f>IFERROR(__xludf.DUMMYFUNCTION("""COMPUTED_VALUE"""),114.56)</f>
        <v>114.56</v>
      </c>
      <c r="F4897" s="2">
        <f>IFERROR(__xludf.DUMMYFUNCTION("""COMPUTED_VALUE"""),7613200.0)</f>
        <v>7613200</v>
      </c>
    </row>
    <row r="4898">
      <c r="A4898" s="3">
        <f>IFERROR(__xludf.DUMMYFUNCTION("""COMPUTED_VALUE"""),36297.666666666664)</f>
        <v>36297.66667</v>
      </c>
      <c r="B4898" s="2">
        <f>IFERROR(__xludf.DUMMYFUNCTION("""COMPUTED_VALUE"""),113.01)</f>
        <v>113.01</v>
      </c>
      <c r="C4898" s="2">
        <f>IFERROR(__xludf.DUMMYFUNCTION("""COMPUTED_VALUE"""),114.08)</f>
        <v>114.08</v>
      </c>
      <c r="D4898" s="2">
        <f>IFERROR(__xludf.DUMMYFUNCTION("""COMPUTED_VALUE"""),110.8)</f>
        <v>110.8</v>
      </c>
      <c r="E4898" s="2">
        <f>IFERROR(__xludf.DUMMYFUNCTION("""COMPUTED_VALUE"""),113.43)</f>
        <v>113.43</v>
      </c>
      <c r="F4898" s="2">
        <f>IFERROR(__xludf.DUMMYFUNCTION("""COMPUTED_VALUE"""),4938100.0)</f>
        <v>4938100</v>
      </c>
    </row>
    <row r="4899">
      <c r="A4899" s="3">
        <f>IFERROR(__xludf.DUMMYFUNCTION("""COMPUTED_VALUE"""),36298.666666666664)</f>
        <v>36298.66667</v>
      </c>
      <c r="B4899" s="2">
        <f>IFERROR(__xludf.DUMMYFUNCTION("""COMPUTED_VALUE"""),113.78)</f>
        <v>113.78</v>
      </c>
      <c r="C4899" s="2">
        <f>IFERROR(__xludf.DUMMYFUNCTION("""COMPUTED_VALUE"""),114.86)</f>
        <v>114.86</v>
      </c>
      <c r="D4899" s="2">
        <f>IFERROR(__xludf.DUMMYFUNCTION("""COMPUTED_VALUE"""),113.19)</f>
        <v>113.19</v>
      </c>
      <c r="E4899" s="2">
        <f>IFERROR(__xludf.DUMMYFUNCTION("""COMPUTED_VALUE"""),113.78)</f>
        <v>113.78</v>
      </c>
      <c r="F4899" s="2">
        <f>IFERROR(__xludf.DUMMYFUNCTION("""COMPUTED_VALUE"""),3644900.0)</f>
        <v>3644900</v>
      </c>
    </row>
    <row r="4900">
      <c r="A4900" s="3">
        <f>IFERROR(__xludf.DUMMYFUNCTION("""COMPUTED_VALUE"""),36299.666666666664)</f>
        <v>36299.66667</v>
      </c>
      <c r="B4900" s="2">
        <f>IFERROR(__xludf.DUMMYFUNCTION("""COMPUTED_VALUE"""),113.78)</f>
        <v>113.78</v>
      </c>
      <c r="C4900" s="2">
        <f>IFERROR(__xludf.DUMMYFUNCTION("""COMPUTED_VALUE"""),114.02)</f>
        <v>114.02</v>
      </c>
      <c r="D4900" s="2">
        <f>IFERROR(__xludf.DUMMYFUNCTION("""COMPUTED_VALUE"""),111.31)</f>
        <v>111.31</v>
      </c>
      <c r="E4900" s="2">
        <f>IFERROR(__xludf.DUMMYFUNCTION("""COMPUTED_VALUE"""),112.65)</f>
        <v>112.65</v>
      </c>
      <c r="F4900" s="2">
        <f>IFERROR(__xludf.DUMMYFUNCTION("""COMPUTED_VALUE"""),3346400.0)</f>
        <v>3346400</v>
      </c>
    </row>
    <row r="4901">
      <c r="A4901" s="3">
        <f>IFERROR(__xludf.DUMMYFUNCTION("""COMPUTED_VALUE"""),36300.666666666664)</f>
        <v>36300.66667</v>
      </c>
      <c r="B4901" s="2">
        <f>IFERROR(__xludf.DUMMYFUNCTION("""COMPUTED_VALUE"""),112.53)</f>
        <v>112.53</v>
      </c>
      <c r="C4901" s="2">
        <f>IFERROR(__xludf.DUMMYFUNCTION("""COMPUTED_VALUE"""),112.89)</f>
        <v>112.89</v>
      </c>
      <c r="D4901" s="2">
        <f>IFERROR(__xludf.DUMMYFUNCTION("""COMPUTED_VALUE"""),111.04)</f>
        <v>111.04</v>
      </c>
      <c r="E4901" s="2">
        <f>IFERROR(__xludf.DUMMYFUNCTION("""COMPUTED_VALUE"""),111.04)</f>
        <v>111.04</v>
      </c>
      <c r="F4901" s="2">
        <f>IFERROR(__xludf.DUMMYFUNCTION("""COMPUTED_VALUE"""),2753900.0)</f>
        <v>2753900</v>
      </c>
    </row>
    <row r="4902">
      <c r="A4902" s="3">
        <f>IFERROR(__xludf.DUMMYFUNCTION("""COMPUTED_VALUE"""),36301.666666666664)</f>
        <v>36301.66667</v>
      </c>
      <c r="B4902" s="2">
        <f>IFERROR(__xludf.DUMMYFUNCTION("""COMPUTED_VALUE"""),111.16)</f>
        <v>111.16</v>
      </c>
      <c r="C4902" s="2">
        <f>IFERROR(__xludf.DUMMYFUNCTION("""COMPUTED_VALUE"""),111.4)</f>
        <v>111.4</v>
      </c>
      <c r="D4902" s="2">
        <f>IFERROR(__xludf.DUMMYFUNCTION("""COMPUTED_VALUE"""),109.52)</f>
        <v>109.52</v>
      </c>
      <c r="E4902" s="2">
        <f>IFERROR(__xludf.DUMMYFUNCTION("""COMPUTED_VALUE"""),110.02)</f>
        <v>110.02</v>
      </c>
      <c r="F4902" s="2">
        <f>IFERROR(__xludf.DUMMYFUNCTION("""COMPUTED_VALUE"""),2943200.0)</f>
        <v>2943200</v>
      </c>
    </row>
    <row r="4903">
      <c r="A4903" s="3">
        <f>IFERROR(__xludf.DUMMYFUNCTION("""COMPUTED_VALUE"""),36304.666666666664)</f>
        <v>36304.66667</v>
      </c>
      <c r="B4903" s="2">
        <f>IFERROR(__xludf.DUMMYFUNCTION("""COMPUTED_VALUE"""),110.02)</f>
        <v>110.02</v>
      </c>
      <c r="C4903" s="2">
        <f>IFERROR(__xludf.DUMMYFUNCTION("""COMPUTED_VALUE"""),110.17)</f>
        <v>110.17</v>
      </c>
      <c r="D4903" s="2">
        <f>IFERROR(__xludf.DUMMYFUNCTION("""COMPUTED_VALUE"""),105.93)</f>
        <v>105.93</v>
      </c>
      <c r="E4903" s="2">
        <f>IFERROR(__xludf.DUMMYFUNCTION("""COMPUTED_VALUE"""),106.77)</f>
        <v>106.77</v>
      </c>
      <c r="F4903" s="2">
        <f>IFERROR(__xludf.DUMMYFUNCTION("""COMPUTED_VALUE"""),3674700.0)</f>
        <v>3674700</v>
      </c>
    </row>
    <row r="4904">
      <c r="A4904" s="3">
        <f>IFERROR(__xludf.DUMMYFUNCTION("""COMPUTED_VALUE"""),36305.666666666664)</f>
        <v>36305.66667</v>
      </c>
      <c r="B4904" s="2">
        <f>IFERROR(__xludf.DUMMYFUNCTION("""COMPUTED_VALUE"""),106.26)</f>
        <v>106.26</v>
      </c>
      <c r="C4904" s="2">
        <f>IFERROR(__xludf.DUMMYFUNCTION("""COMPUTED_VALUE"""),107.87)</f>
        <v>107.87</v>
      </c>
      <c r="D4904" s="2">
        <f>IFERROR(__xludf.DUMMYFUNCTION("""COMPUTED_VALUE"""),105.58)</f>
        <v>105.58</v>
      </c>
      <c r="E4904" s="2">
        <f>IFERROR(__xludf.DUMMYFUNCTION("""COMPUTED_VALUE"""),105.75)</f>
        <v>105.75</v>
      </c>
      <c r="F4904" s="2">
        <f>IFERROR(__xludf.DUMMYFUNCTION("""COMPUTED_VALUE"""),3788400.0)</f>
        <v>3788400</v>
      </c>
    </row>
    <row r="4905">
      <c r="A4905" s="3">
        <f>IFERROR(__xludf.DUMMYFUNCTION("""COMPUTED_VALUE"""),36306.666666666664)</f>
        <v>36306.66667</v>
      </c>
      <c r="B4905" s="2">
        <f>IFERROR(__xludf.DUMMYFUNCTION("""COMPUTED_VALUE"""),106.5)</f>
        <v>106.5</v>
      </c>
      <c r="C4905" s="2">
        <f>IFERROR(__xludf.DUMMYFUNCTION("""COMPUTED_VALUE"""),112.83)</f>
        <v>112.83</v>
      </c>
      <c r="D4905" s="2">
        <f>IFERROR(__xludf.DUMMYFUNCTION("""COMPUTED_VALUE"""),105.75)</f>
        <v>105.75</v>
      </c>
      <c r="E4905" s="2">
        <f>IFERROR(__xludf.DUMMYFUNCTION("""COMPUTED_VALUE"""),112.83)</f>
        <v>112.83</v>
      </c>
      <c r="F4905" s="2">
        <f>IFERROR(__xludf.DUMMYFUNCTION("""COMPUTED_VALUE"""),6696300.0)</f>
        <v>6696300</v>
      </c>
    </row>
    <row r="4906">
      <c r="A4906" s="3">
        <f>IFERROR(__xludf.DUMMYFUNCTION("""COMPUTED_VALUE"""),36307.666666666664)</f>
        <v>36307.66667</v>
      </c>
      <c r="B4906" s="2">
        <f>IFERROR(__xludf.DUMMYFUNCTION("""COMPUTED_VALUE"""),111.28)</f>
        <v>111.28</v>
      </c>
      <c r="C4906" s="2">
        <f>IFERROR(__xludf.DUMMYFUNCTION("""COMPUTED_VALUE"""),111.52)</f>
        <v>111.52</v>
      </c>
      <c r="D4906" s="2">
        <f>IFERROR(__xludf.DUMMYFUNCTION("""COMPUTED_VALUE"""),107.58)</f>
        <v>107.58</v>
      </c>
      <c r="E4906" s="2">
        <f>IFERROR(__xludf.DUMMYFUNCTION("""COMPUTED_VALUE"""),110.98)</f>
        <v>110.98</v>
      </c>
      <c r="F4906" s="2">
        <f>IFERROR(__xludf.DUMMYFUNCTION("""COMPUTED_VALUE"""),8526000.0)</f>
        <v>8526000</v>
      </c>
    </row>
    <row r="4907">
      <c r="A4907" s="3">
        <f>IFERROR(__xludf.DUMMYFUNCTION("""COMPUTED_VALUE"""),36308.666666666664)</f>
        <v>36308.66667</v>
      </c>
      <c r="B4907" s="2">
        <f>IFERROR(__xludf.DUMMYFUNCTION("""COMPUTED_VALUE"""),110.8)</f>
        <v>110.8</v>
      </c>
      <c r="C4907" s="2">
        <f>IFERROR(__xludf.DUMMYFUNCTION("""COMPUTED_VALUE"""),111.52)</f>
        <v>111.52</v>
      </c>
      <c r="D4907" s="2">
        <f>IFERROR(__xludf.DUMMYFUNCTION("""COMPUTED_VALUE"""),109.07)</f>
        <v>109.07</v>
      </c>
      <c r="E4907" s="2">
        <f>IFERROR(__xludf.DUMMYFUNCTION("""COMPUTED_VALUE"""),111.1)</f>
        <v>111.1</v>
      </c>
      <c r="F4907" s="2">
        <f>IFERROR(__xludf.DUMMYFUNCTION("""COMPUTED_VALUE"""),5234900.0)</f>
        <v>5234900</v>
      </c>
    </row>
    <row r="4908">
      <c r="A4908" s="3">
        <f>IFERROR(__xludf.DUMMYFUNCTION("""COMPUTED_VALUE"""),36312.666666666664)</f>
        <v>36312.66667</v>
      </c>
      <c r="B4908" s="2">
        <f>IFERROR(__xludf.DUMMYFUNCTION("""COMPUTED_VALUE"""),108.53)</f>
        <v>108.53</v>
      </c>
      <c r="C4908" s="2">
        <f>IFERROR(__xludf.DUMMYFUNCTION("""COMPUTED_VALUE"""),108.77)</f>
        <v>108.77</v>
      </c>
      <c r="D4908" s="2">
        <f>IFERROR(__xludf.DUMMYFUNCTION("""COMPUTED_VALUE"""),106.2)</f>
        <v>106.2</v>
      </c>
      <c r="E4908" s="2">
        <f>IFERROR(__xludf.DUMMYFUNCTION("""COMPUTED_VALUE"""),106.98)</f>
        <v>106.98</v>
      </c>
      <c r="F4908" s="2">
        <f>IFERROR(__xludf.DUMMYFUNCTION("""COMPUTED_VALUE"""),5946700.0)</f>
        <v>5946700</v>
      </c>
    </row>
    <row r="4909">
      <c r="A4909" s="3">
        <f>IFERROR(__xludf.DUMMYFUNCTION("""COMPUTED_VALUE"""),36313.666666666664)</f>
        <v>36313.66667</v>
      </c>
      <c r="B4909" s="2">
        <f>IFERROR(__xludf.DUMMYFUNCTION("""COMPUTED_VALUE"""),106.74)</f>
        <v>106.74</v>
      </c>
      <c r="C4909" s="2">
        <f>IFERROR(__xludf.DUMMYFUNCTION("""COMPUTED_VALUE"""),109.49)</f>
        <v>109.49</v>
      </c>
      <c r="D4909" s="2">
        <f>IFERROR(__xludf.DUMMYFUNCTION("""COMPUTED_VALUE"""),104.53)</f>
        <v>104.53</v>
      </c>
      <c r="E4909" s="2">
        <f>IFERROR(__xludf.DUMMYFUNCTION("""COMPUTED_VALUE"""),108.89)</f>
        <v>108.89</v>
      </c>
      <c r="F4909" s="2">
        <f>IFERROR(__xludf.DUMMYFUNCTION("""COMPUTED_VALUE"""),5841100.0)</f>
        <v>5841100</v>
      </c>
    </row>
    <row r="4910">
      <c r="A4910" s="3">
        <f>IFERROR(__xludf.DUMMYFUNCTION("""COMPUTED_VALUE"""),36314.666666666664)</f>
        <v>36314.66667</v>
      </c>
      <c r="B4910" s="2">
        <f>IFERROR(__xludf.DUMMYFUNCTION("""COMPUTED_VALUE"""),109.37)</f>
        <v>109.37</v>
      </c>
      <c r="C4910" s="2">
        <f>IFERROR(__xludf.DUMMYFUNCTION("""COMPUTED_VALUE"""),110.14)</f>
        <v>110.14</v>
      </c>
      <c r="D4910" s="2">
        <f>IFERROR(__xludf.DUMMYFUNCTION("""COMPUTED_VALUE"""),106.56)</f>
        <v>106.56</v>
      </c>
      <c r="E4910" s="2">
        <f>IFERROR(__xludf.DUMMYFUNCTION("""COMPUTED_VALUE"""),107.87)</f>
        <v>107.87</v>
      </c>
      <c r="F4910" s="2">
        <f>IFERROR(__xludf.DUMMYFUNCTION("""COMPUTED_VALUE"""),4265700.0)</f>
        <v>4265700</v>
      </c>
    </row>
    <row r="4911">
      <c r="A4911" s="3">
        <f>IFERROR(__xludf.DUMMYFUNCTION("""COMPUTED_VALUE"""),36315.666666666664)</f>
        <v>36315.66667</v>
      </c>
      <c r="B4911" s="2">
        <f>IFERROR(__xludf.DUMMYFUNCTION("""COMPUTED_VALUE"""),108.53)</f>
        <v>108.53</v>
      </c>
      <c r="C4911" s="2">
        <f>IFERROR(__xludf.DUMMYFUNCTION("""COMPUTED_VALUE"""),110.68)</f>
        <v>110.68</v>
      </c>
      <c r="D4911" s="2">
        <f>IFERROR(__xludf.DUMMYFUNCTION("""COMPUTED_VALUE"""),107.4)</f>
        <v>107.4</v>
      </c>
      <c r="E4911" s="2">
        <f>IFERROR(__xludf.DUMMYFUNCTION("""COMPUTED_VALUE"""),110.68)</f>
        <v>110.68</v>
      </c>
      <c r="F4911" s="2">
        <f>IFERROR(__xludf.DUMMYFUNCTION("""COMPUTED_VALUE"""),4503200.0)</f>
        <v>4503200</v>
      </c>
    </row>
    <row r="4912">
      <c r="A4912" s="3">
        <f>IFERROR(__xludf.DUMMYFUNCTION("""COMPUTED_VALUE"""),36318.666666666664)</f>
        <v>36318.66667</v>
      </c>
      <c r="B4912" s="2">
        <f>IFERROR(__xludf.DUMMYFUNCTION("""COMPUTED_VALUE"""),112.83)</f>
        <v>112.83</v>
      </c>
      <c r="C4912" s="2">
        <f>IFERROR(__xludf.DUMMYFUNCTION("""COMPUTED_VALUE"""),116.23)</f>
        <v>116.23</v>
      </c>
      <c r="D4912" s="2">
        <f>IFERROR(__xludf.DUMMYFUNCTION("""COMPUTED_VALUE"""),112.23)</f>
        <v>112.23</v>
      </c>
      <c r="E4912" s="2">
        <f>IFERROR(__xludf.DUMMYFUNCTION("""COMPUTED_VALUE"""),115.22)</f>
        <v>115.22</v>
      </c>
      <c r="F4912" s="2">
        <f>IFERROR(__xludf.DUMMYFUNCTION("""COMPUTED_VALUE"""),5249700.0)</f>
        <v>5249700</v>
      </c>
    </row>
    <row r="4913">
      <c r="A4913" s="3">
        <f>IFERROR(__xludf.DUMMYFUNCTION("""COMPUTED_VALUE"""),36319.666666666664)</f>
        <v>36319.66667</v>
      </c>
      <c r="B4913" s="2">
        <f>IFERROR(__xludf.DUMMYFUNCTION("""COMPUTED_VALUE"""),114.5)</f>
        <v>114.5</v>
      </c>
      <c r="C4913" s="2">
        <f>IFERROR(__xludf.DUMMYFUNCTION("""COMPUTED_VALUE"""),114.5)</f>
        <v>114.5</v>
      </c>
      <c r="D4913" s="2">
        <f>IFERROR(__xludf.DUMMYFUNCTION("""COMPUTED_VALUE"""),110.86)</f>
        <v>110.86</v>
      </c>
      <c r="E4913" s="2">
        <f>IFERROR(__xludf.DUMMYFUNCTION("""COMPUTED_VALUE"""),111.16)</f>
        <v>111.16</v>
      </c>
      <c r="F4913" s="2">
        <f>IFERROR(__xludf.DUMMYFUNCTION("""COMPUTED_VALUE"""),4816300.0)</f>
        <v>4816300</v>
      </c>
    </row>
    <row r="4914">
      <c r="A4914" s="3">
        <f>IFERROR(__xludf.DUMMYFUNCTION("""COMPUTED_VALUE"""),36320.666666666664)</f>
        <v>36320.66667</v>
      </c>
      <c r="B4914" s="2">
        <f>IFERROR(__xludf.DUMMYFUNCTION("""COMPUTED_VALUE"""),111.4)</f>
        <v>111.4</v>
      </c>
      <c r="C4914" s="2">
        <f>IFERROR(__xludf.DUMMYFUNCTION("""COMPUTED_VALUE"""),115.4)</f>
        <v>115.4</v>
      </c>
      <c r="D4914" s="2">
        <f>IFERROR(__xludf.DUMMYFUNCTION("""COMPUTED_VALUE"""),111.4)</f>
        <v>111.4</v>
      </c>
      <c r="E4914" s="2">
        <f>IFERROR(__xludf.DUMMYFUNCTION("""COMPUTED_VALUE"""),111.69)</f>
        <v>111.69</v>
      </c>
      <c r="F4914" s="2">
        <f>IFERROR(__xludf.DUMMYFUNCTION("""COMPUTED_VALUE"""),4650700.0)</f>
        <v>4650700</v>
      </c>
    </row>
    <row r="4915">
      <c r="A4915" s="3">
        <f>IFERROR(__xludf.DUMMYFUNCTION("""COMPUTED_VALUE"""),36321.666666666664)</f>
        <v>36321.66667</v>
      </c>
      <c r="B4915" s="2">
        <f>IFERROR(__xludf.DUMMYFUNCTION("""COMPUTED_VALUE"""),110.68)</f>
        <v>110.68</v>
      </c>
      <c r="C4915" s="2">
        <f>IFERROR(__xludf.DUMMYFUNCTION("""COMPUTED_VALUE"""),111.52)</f>
        <v>111.52</v>
      </c>
      <c r="D4915" s="2">
        <f>IFERROR(__xludf.DUMMYFUNCTION("""COMPUTED_VALUE"""),108.29)</f>
        <v>108.29</v>
      </c>
      <c r="E4915" s="2">
        <f>IFERROR(__xludf.DUMMYFUNCTION("""COMPUTED_VALUE"""),110.08)</f>
        <v>110.08</v>
      </c>
      <c r="F4915" s="2">
        <f>IFERROR(__xludf.DUMMYFUNCTION("""COMPUTED_VALUE"""),4070400.0)</f>
        <v>4070400</v>
      </c>
    </row>
    <row r="4916">
      <c r="A4916" s="3">
        <f>IFERROR(__xludf.DUMMYFUNCTION("""COMPUTED_VALUE"""),36322.666666666664)</f>
        <v>36322.66667</v>
      </c>
      <c r="B4916" s="2">
        <f>IFERROR(__xludf.DUMMYFUNCTION("""COMPUTED_VALUE"""),109.9)</f>
        <v>109.9</v>
      </c>
      <c r="C4916" s="2">
        <f>IFERROR(__xludf.DUMMYFUNCTION("""COMPUTED_VALUE"""),111.28)</f>
        <v>111.28</v>
      </c>
      <c r="D4916" s="2">
        <f>IFERROR(__xludf.DUMMYFUNCTION("""COMPUTED_VALUE"""),107.52)</f>
        <v>107.52</v>
      </c>
      <c r="E4916" s="2">
        <f>IFERROR(__xludf.DUMMYFUNCTION("""COMPUTED_VALUE"""),109.84)</f>
        <v>109.84</v>
      </c>
      <c r="F4916" s="2">
        <f>IFERROR(__xludf.DUMMYFUNCTION("""COMPUTED_VALUE"""),3590000.0)</f>
        <v>3590000</v>
      </c>
    </row>
    <row r="4917">
      <c r="A4917" s="3">
        <f>IFERROR(__xludf.DUMMYFUNCTION("""COMPUTED_VALUE"""),36325.666666666664)</f>
        <v>36325.66667</v>
      </c>
      <c r="B4917" s="2">
        <f>IFERROR(__xludf.DUMMYFUNCTION("""COMPUTED_VALUE"""),110.68)</f>
        <v>110.68</v>
      </c>
      <c r="C4917" s="2">
        <f>IFERROR(__xludf.DUMMYFUNCTION("""COMPUTED_VALUE"""),110.8)</f>
        <v>110.8</v>
      </c>
      <c r="D4917" s="2">
        <f>IFERROR(__xludf.DUMMYFUNCTION("""COMPUTED_VALUE"""),108.89)</f>
        <v>108.89</v>
      </c>
      <c r="E4917" s="2">
        <f>IFERROR(__xludf.DUMMYFUNCTION("""COMPUTED_VALUE"""),110.62)</f>
        <v>110.62</v>
      </c>
      <c r="F4917" s="2">
        <f>IFERROR(__xludf.DUMMYFUNCTION("""COMPUTED_VALUE"""),4141800.0)</f>
        <v>4141800</v>
      </c>
    </row>
    <row r="4918">
      <c r="A4918" s="3">
        <f>IFERROR(__xludf.DUMMYFUNCTION("""COMPUTED_VALUE"""),36326.666666666664)</f>
        <v>36326.66667</v>
      </c>
      <c r="B4918" s="2">
        <f>IFERROR(__xludf.DUMMYFUNCTION("""COMPUTED_VALUE"""),112.23)</f>
        <v>112.23</v>
      </c>
      <c r="C4918" s="2">
        <f>IFERROR(__xludf.DUMMYFUNCTION("""COMPUTED_VALUE"""),113.01)</f>
        <v>113.01</v>
      </c>
      <c r="D4918" s="2">
        <f>IFERROR(__xludf.DUMMYFUNCTION("""COMPUTED_VALUE"""),109.61)</f>
        <v>109.61</v>
      </c>
      <c r="E4918" s="2">
        <f>IFERROR(__xludf.DUMMYFUNCTION("""COMPUTED_VALUE"""),110.44)</f>
        <v>110.44</v>
      </c>
      <c r="F4918" s="2">
        <f>IFERROR(__xludf.DUMMYFUNCTION("""COMPUTED_VALUE"""),3945200.0)</f>
        <v>3945200</v>
      </c>
    </row>
    <row r="4919">
      <c r="A4919" s="3">
        <f>IFERROR(__xludf.DUMMYFUNCTION("""COMPUTED_VALUE"""),36327.666666666664)</f>
        <v>36327.66667</v>
      </c>
      <c r="B4919" s="2">
        <f>IFERROR(__xludf.DUMMYFUNCTION("""COMPUTED_VALUE"""),114.5)</f>
        <v>114.5</v>
      </c>
      <c r="C4919" s="2">
        <f>IFERROR(__xludf.DUMMYFUNCTION("""COMPUTED_VALUE"""),116.05)</f>
        <v>116.05</v>
      </c>
      <c r="D4919" s="2">
        <f>IFERROR(__xludf.DUMMYFUNCTION("""COMPUTED_VALUE"""),113.96)</f>
        <v>113.96</v>
      </c>
      <c r="E4919" s="2">
        <f>IFERROR(__xludf.DUMMYFUNCTION("""COMPUTED_VALUE"""),115.52)</f>
        <v>115.52</v>
      </c>
      <c r="F4919" s="2">
        <f>IFERROR(__xludf.DUMMYFUNCTION("""COMPUTED_VALUE"""),5503300.0)</f>
        <v>5503300</v>
      </c>
    </row>
    <row r="4920">
      <c r="A4920" s="3">
        <f>IFERROR(__xludf.DUMMYFUNCTION("""COMPUTED_VALUE"""),36328.666666666664)</f>
        <v>36328.66667</v>
      </c>
      <c r="B4920" s="2">
        <f>IFERROR(__xludf.DUMMYFUNCTION("""COMPUTED_VALUE"""),113.9)</f>
        <v>113.9</v>
      </c>
      <c r="C4920" s="2">
        <f>IFERROR(__xludf.DUMMYFUNCTION("""COMPUTED_VALUE"""),116.17)</f>
        <v>116.17</v>
      </c>
      <c r="D4920" s="2">
        <f>IFERROR(__xludf.DUMMYFUNCTION("""COMPUTED_VALUE"""),113.9)</f>
        <v>113.9</v>
      </c>
      <c r="E4920" s="2">
        <f>IFERROR(__xludf.DUMMYFUNCTION("""COMPUTED_VALUE"""),114.8)</f>
        <v>114.8</v>
      </c>
      <c r="F4920" s="2">
        <f>IFERROR(__xludf.DUMMYFUNCTION("""COMPUTED_VALUE"""),3882500.0)</f>
        <v>3882500</v>
      </c>
    </row>
    <row r="4921">
      <c r="A4921" s="3">
        <f>IFERROR(__xludf.DUMMYFUNCTION("""COMPUTED_VALUE"""),36329.666666666664)</f>
        <v>36329.66667</v>
      </c>
      <c r="B4921" s="2">
        <f>IFERROR(__xludf.DUMMYFUNCTION("""COMPUTED_VALUE"""),114.86)</f>
        <v>114.86</v>
      </c>
      <c r="C4921" s="2">
        <f>IFERROR(__xludf.DUMMYFUNCTION("""COMPUTED_VALUE"""),115.99)</f>
        <v>115.99</v>
      </c>
      <c r="D4921" s="2">
        <f>IFERROR(__xludf.DUMMYFUNCTION("""COMPUTED_VALUE"""),114.38)</f>
        <v>114.38</v>
      </c>
      <c r="E4921" s="2">
        <f>IFERROR(__xludf.DUMMYFUNCTION("""COMPUTED_VALUE"""),115.46)</f>
        <v>115.46</v>
      </c>
      <c r="F4921" s="2">
        <f>IFERROR(__xludf.DUMMYFUNCTION("""COMPUTED_VALUE"""),8404000.0)</f>
        <v>8404000</v>
      </c>
    </row>
    <row r="4922">
      <c r="A4922" s="3">
        <f>IFERROR(__xludf.DUMMYFUNCTION("""COMPUTED_VALUE"""),36332.666666666664)</f>
        <v>36332.66667</v>
      </c>
      <c r="B4922" s="2">
        <f>IFERROR(__xludf.DUMMYFUNCTION("""COMPUTED_VALUE"""),117.37)</f>
        <v>117.37</v>
      </c>
      <c r="C4922" s="2">
        <f>IFERROR(__xludf.DUMMYFUNCTION("""COMPUTED_VALUE"""),120.05)</f>
        <v>120.05</v>
      </c>
      <c r="D4922" s="2">
        <f>IFERROR(__xludf.DUMMYFUNCTION("""COMPUTED_VALUE"""),117.25)</f>
        <v>117.25</v>
      </c>
      <c r="E4922" s="2">
        <f>IFERROR(__xludf.DUMMYFUNCTION("""COMPUTED_VALUE"""),119.16)</f>
        <v>119.16</v>
      </c>
      <c r="F4922" s="2">
        <f>IFERROR(__xludf.DUMMYFUNCTION("""COMPUTED_VALUE"""),5052500.0)</f>
        <v>5052500</v>
      </c>
    </row>
    <row r="4923">
      <c r="A4923" s="3">
        <f>IFERROR(__xludf.DUMMYFUNCTION("""COMPUTED_VALUE"""),36333.666666666664)</f>
        <v>36333.66667</v>
      </c>
      <c r="B4923" s="2">
        <f>IFERROR(__xludf.DUMMYFUNCTION("""COMPUTED_VALUE"""),118.32)</f>
        <v>118.32</v>
      </c>
      <c r="C4923" s="2">
        <f>IFERROR(__xludf.DUMMYFUNCTION("""COMPUTED_VALUE"""),122.02)</f>
        <v>122.02</v>
      </c>
      <c r="D4923" s="2">
        <f>IFERROR(__xludf.DUMMYFUNCTION("""COMPUTED_VALUE"""),117.54)</f>
        <v>117.54</v>
      </c>
      <c r="E4923" s="2">
        <f>IFERROR(__xludf.DUMMYFUNCTION("""COMPUTED_VALUE"""),117.6)</f>
        <v>117.6</v>
      </c>
      <c r="F4923" s="2">
        <f>IFERROR(__xludf.DUMMYFUNCTION("""COMPUTED_VALUE"""),5449200.0)</f>
        <v>5449200</v>
      </c>
    </row>
    <row r="4924">
      <c r="A4924" s="3">
        <f>IFERROR(__xludf.DUMMYFUNCTION("""COMPUTED_VALUE"""),36334.666666666664)</f>
        <v>36334.66667</v>
      </c>
      <c r="B4924" s="2">
        <f>IFERROR(__xludf.DUMMYFUNCTION("""COMPUTED_VALUE"""),116.77)</f>
        <v>116.77</v>
      </c>
      <c r="C4924" s="2">
        <f>IFERROR(__xludf.DUMMYFUNCTION("""COMPUTED_VALUE"""),118.62)</f>
        <v>118.62</v>
      </c>
      <c r="D4924" s="2">
        <f>IFERROR(__xludf.DUMMYFUNCTION("""COMPUTED_VALUE"""),116.29)</f>
        <v>116.29</v>
      </c>
      <c r="E4924" s="2">
        <f>IFERROR(__xludf.DUMMYFUNCTION("""COMPUTED_VALUE"""),117.43)</f>
        <v>117.43</v>
      </c>
      <c r="F4924" s="2">
        <f>IFERROR(__xludf.DUMMYFUNCTION("""COMPUTED_VALUE"""),3592000.0)</f>
        <v>3592000</v>
      </c>
    </row>
    <row r="4925">
      <c r="A4925" s="3">
        <f>IFERROR(__xludf.DUMMYFUNCTION("""COMPUTED_VALUE"""),36335.666666666664)</f>
        <v>36335.66667</v>
      </c>
      <c r="B4925" s="2">
        <f>IFERROR(__xludf.DUMMYFUNCTION("""COMPUTED_VALUE"""),117.6)</f>
        <v>117.6</v>
      </c>
      <c r="C4925" s="2">
        <f>IFERROR(__xludf.DUMMYFUNCTION("""COMPUTED_VALUE"""),118.86)</f>
        <v>118.86</v>
      </c>
      <c r="D4925" s="2">
        <f>IFERROR(__xludf.DUMMYFUNCTION("""COMPUTED_VALUE"""),116.11)</f>
        <v>116.11</v>
      </c>
      <c r="E4925" s="2">
        <f>IFERROR(__xludf.DUMMYFUNCTION("""COMPUTED_VALUE"""),117.07)</f>
        <v>117.07</v>
      </c>
      <c r="F4925" s="2">
        <f>IFERROR(__xludf.DUMMYFUNCTION("""COMPUTED_VALUE"""),4423400.0)</f>
        <v>4423400</v>
      </c>
    </row>
    <row r="4926">
      <c r="A4926" s="3">
        <f>IFERROR(__xludf.DUMMYFUNCTION("""COMPUTED_VALUE"""),36336.666666666664)</f>
        <v>36336.66667</v>
      </c>
      <c r="B4926" s="2">
        <f>IFERROR(__xludf.DUMMYFUNCTION("""COMPUTED_VALUE"""),117.78)</f>
        <v>117.78</v>
      </c>
      <c r="C4926" s="2">
        <f>IFERROR(__xludf.DUMMYFUNCTION("""COMPUTED_VALUE"""),120.11)</f>
        <v>120.11</v>
      </c>
      <c r="D4926" s="2">
        <f>IFERROR(__xludf.DUMMYFUNCTION("""COMPUTED_VALUE"""),117.6)</f>
        <v>117.6</v>
      </c>
      <c r="E4926" s="2">
        <f>IFERROR(__xludf.DUMMYFUNCTION("""COMPUTED_VALUE"""),117.6)</f>
        <v>117.6</v>
      </c>
      <c r="F4926" s="2">
        <f>IFERROR(__xludf.DUMMYFUNCTION("""COMPUTED_VALUE"""),3529400.0)</f>
        <v>3529400</v>
      </c>
    </row>
    <row r="4927">
      <c r="A4927" s="3">
        <f>IFERROR(__xludf.DUMMYFUNCTION("""COMPUTED_VALUE"""),36339.666666666664)</f>
        <v>36339.66667</v>
      </c>
      <c r="B4927" s="2">
        <f>IFERROR(__xludf.DUMMYFUNCTION("""COMPUTED_VALUE"""),118.44)</f>
        <v>118.44</v>
      </c>
      <c r="C4927" s="2">
        <f>IFERROR(__xludf.DUMMYFUNCTION("""COMPUTED_VALUE"""),119.04)</f>
        <v>119.04</v>
      </c>
      <c r="D4927" s="2">
        <f>IFERROR(__xludf.DUMMYFUNCTION("""COMPUTED_VALUE"""),116.71)</f>
        <v>116.71</v>
      </c>
      <c r="E4927" s="2">
        <f>IFERROR(__xludf.DUMMYFUNCTION("""COMPUTED_VALUE"""),117.07)</f>
        <v>117.07</v>
      </c>
      <c r="F4927" s="2">
        <f>IFERROR(__xludf.DUMMYFUNCTION("""COMPUTED_VALUE"""),5514200.0)</f>
        <v>5514200</v>
      </c>
    </row>
    <row r="4928">
      <c r="A4928" s="3">
        <f>IFERROR(__xludf.DUMMYFUNCTION("""COMPUTED_VALUE"""),36340.666666666664)</f>
        <v>36340.66667</v>
      </c>
      <c r="B4928" s="2">
        <f>IFERROR(__xludf.DUMMYFUNCTION("""COMPUTED_VALUE"""),117.49)</f>
        <v>117.49</v>
      </c>
      <c r="C4928" s="2">
        <f>IFERROR(__xludf.DUMMYFUNCTION("""COMPUTED_VALUE"""),119.69)</f>
        <v>119.69</v>
      </c>
      <c r="D4928" s="2">
        <f>IFERROR(__xludf.DUMMYFUNCTION("""COMPUTED_VALUE"""),117.25)</f>
        <v>117.25</v>
      </c>
      <c r="E4928" s="2">
        <f>IFERROR(__xludf.DUMMYFUNCTION("""COMPUTED_VALUE"""),119.28)</f>
        <v>119.28</v>
      </c>
      <c r="F4928" s="2">
        <f>IFERROR(__xludf.DUMMYFUNCTION("""COMPUTED_VALUE"""),4567600.0)</f>
        <v>4567600</v>
      </c>
    </row>
    <row r="4929">
      <c r="A4929" s="3">
        <f>IFERROR(__xludf.DUMMYFUNCTION("""COMPUTED_VALUE"""),36341.666666666664)</f>
        <v>36341.66667</v>
      </c>
      <c r="B4929" s="2">
        <f>IFERROR(__xludf.DUMMYFUNCTION("""COMPUTED_VALUE"""),119.22)</f>
        <v>119.22</v>
      </c>
      <c r="C4929" s="2">
        <f>IFERROR(__xludf.DUMMYFUNCTION("""COMPUTED_VALUE"""),126.08)</f>
        <v>126.08</v>
      </c>
      <c r="D4929" s="2">
        <f>IFERROR(__xludf.DUMMYFUNCTION("""COMPUTED_VALUE"""),118.8)</f>
        <v>118.8</v>
      </c>
      <c r="E4929" s="2">
        <f>IFERROR(__xludf.DUMMYFUNCTION("""COMPUTED_VALUE"""),123.45)</f>
        <v>123.45</v>
      </c>
      <c r="F4929" s="2">
        <f>IFERROR(__xludf.DUMMYFUNCTION("""COMPUTED_VALUE"""),6310000.0)</f>
        <v>6310000</v>
      </c>
    </row>
    <row r="4930">
      <c r="A4930" s="3">
        <f>IFERROR(__xludf.DUMMYFUNCTION("""COMPUTED_VALUE"""),36342.666666666664)</f>
        <v>36342.66667</v>
      </c>
      <c r="B4930" s="2">
        <f>IFERROR(__xludf.DUMMYFUNCTION("""COMPUTED_VALUE"""),124.17)</f>
        <v>124.17</v>
      </c>
      <c r="C4930" s="2">
        <f>IFERROR(__xludf.DUMMYFUNCTION("""COMPUTED_VALUE"""),125.31)</f>
        <v>125.31</v>
      </c>
      <c r="D4930" s="2">
        <f>IFERROR(__xludf.DUMMYFUNCTION("""COMPUTED_VALUE"""),122.26)</f>
        <v>122.26</v>
      </c>
      <c r="E4930" s="2">
        <f>IFERROR(__xludf.DUMMYFUNCTION("""COMPUTED_VALUE"""),125.13)</f>
        <v>125.13</v>
      </c>
      <c r="F4930" s="2">
        <f>IFERROR(__xludf.DUMMYFUNCTION("""COMPUTED_VALUE"""),4906600.0)</f>
        <v>4906600</v>
      </c>
    </row>
    <row r="4931">
      <c r="A4931" s="3">
        <f>IFERROR(__xludf.DUMMYFUNCTION("""COMPUTED_VALUE"""),36343.666666666664)</f>
        <v>36343.66667</v>
      </c>
      <c r="B4931" s="2">
        <f>IFERROR(__xludf.DUMMYFUNCTION("""COMPUTED_VALUE"""),125.01)</f>
        <v>125.01</v>
      </c>
      <c r="C4931" s="2">
        <f>IFERROR(__xludf.DUMMYFUNCTION("""COMPUTED_VALUE"""),126.32)</f>
        <v>126.32</v>
      </c>
      <c r="D4931" s="2">
        <f>IFERROR(__xludf.DUMMYFUNCTION("""COMPUTED_VALUE"""),123.69)</f>
        <v>123.69</v>
      </c>
      <c r="E4931" s="2">
        <f>IFERROR(__xludf.DUMMYFUNCTION("""COMPUTED_VALUE"""),126.32)</f>
        <v>126.32</v>
      </c>
      <c r="F4931" s="2">
        <f>IFERROR(__xludf.DUMMYFUNCTION("""COMPUTED_VALUE"""),2701900.0)</f>
        <v>2701900</v>
      </c>
    </row>
    <row r="4932">
      <c r="A4932" s="3">
        <f>IFERROR(__xludf.DUMMYFUNCTION("""COMPUTED_VALUE"""),36347.666666666664)</f>
        <v>36347.66667</v>
      </c>
      <c r="B4932" s="2">
        <f>IFERROR(__xludf.DUMMYFUNCTION("""COMPUTED_VALUE"""),126.56)</f>
        <v>126.56</v>
      </c>
      <c r="C4932" s="2">
        <f>IFERROR(__xludf.DUMMYFUNCTION("""COMPUTED_VALUE"""),127.81)</f>
        <v>127.81</v>
      </c>
      <c r="D4932" s="2">
        <f>IFERROR(__xludf.DUMMYFUNCTION("""COMPUTED_VALUE"""),125.01)</f>
        <v>125.01</v>
      </c>
      <c r="E4932" s="2">
        <f>IFERROR(__xludf.DUMMYFUNCTION("""COMPUTED_VALUE"""),125.13)</f>
        <v>125.13</v>
      </c>
      <c r="F4932" s="2">
        <f>IFERROR(__xludf.DUMMYFUNCTION("""COMPUTED_VALUE"""),4713900.0)</f>
        <v>4713900</v>
      </c>
    </row>
    <row r="4933">
      <c r="A4933" s="3">
        <f>IFERROR(__xludf.DUMMYFUNCTION("""COMPUTED_VALUE"""),36348.666666666664)</f>
        <v>36348.66667</v>
      </c>
      <c r="B4933" s="2">
        <f>IFERROR(__xludf.DUMMYFUNCTION("""COMPUTED_VALUE"""),125.13)</f>
        <v>125.13</v>
      </c>
      <c r="C4933" s="2">
        <f>IFERROR(__xludf.DUMMYFUNCTION("""COMPUTED_VALUE"""),127.45)</f>
        <v>127.45</v>
      </c>
      <c r="D4933" s="2">
        <f>IFERROR(__xludf.DUMMYFUNCTION("""COMPUTED_VALUE"""),124.77)</f>
        <v>124.77</v>
      </c>
      <c r="E4933" s="2">
        <f>IFERROR(__xludf.DUMMYFUNCTION("""COMPUTED_VALUE"""),126.86)</f>
        <v>126.86</v>
      </c>
      <c r="F4933" s="2">
        <f>IFERROR(__xludf.DUMMYFUNCTION("""COMPUTED_VALUE"""),5431800.0)</f>
        <v>5431800</v>
      </c>
    </row>
    <row r="4934">
      <c r="A4934" s="3">
        <f>IFERROR(__xludf.DUMMYFUNCTION("""COMPUTED_VALUE"""),36349.666666666664)</f>
        <v>36349.66667</v>
      </c>
      <c r="B4934" s="2">
        <f>IFERROR(__xludf.DUMMYFUNCTION("""COMPUTED_VALUE"""),126.56)</f>
        <v>126.56</v>
      </c>
      <c r="C4934" s="2">
        <f>IFERROR(__xludf.DUMMYFUNCTION("""COMPUTED_VALUE"""),129.31)</f>
        <v>129.31</v>
      </c>
      <c r="D4934" s="2">
        <f>IFERROR(__xludf.DUMMYFUNCTION("""COMPUTED_VALUE"""),126.2)</f>
        <v>126.2</v>
      </c>
      <c r="E4934" s="2">
        <f>IFERROR(__xludf.DUMMYFUNCTION("""COMPUTED_VALUE"""),127.81)</f>
        <v>127.81</v>
      </c>
      <c r="F4934" s="2">
        <f>IFERROR(__xludf.DUMMYFUNCTION("""COMPUTED_VALUE"""),4862900.0)</f>
        <v>4862900</v>
      </c>
    </row>
    <row r="4935">
      <c r="A4935" s="3">
        <f>IFERROR(__xludf.DUMMYFUNCTION("""COMPUTED_VALUE"""),36350.666666666664)</f>
        <v>36350.66667</v>
      </c>
      <c r="B4935" s="2">
        <f>IFERROR(__xludf.DUMMYFUNCTION("""COMPUTED_VALUE"""),127.99)</f>
        <v>127.99</v>
      </c>
      <c r="C4935" s="2">
        <f>IFERROR(__xludf.DUMMYFUNCTION("""COMPUTED_VALUE"""),131.28)</f>
        <v>131.28</v>
      </c>
      <c r="D4935" s="2">
        <f>IFERROR(__xludf.DUMMYFUNCTION("""COMPUTED_VALUE"""),127.87)</f>
        <v>127.87</v>
      </c>
      <c r="E4935" s="2">
        <f>IFERROR(__xludf.DUMMYFUNCTION("""COMPUTED_VALUE"""),131.22)</f>
        <v>131.22</v>
      </c>
      <c r="F4935" s="2">
        <f>IFERROR(__xludf.DUMMYFUNCTION("""COMPUTED_VALUE"""),3928600.0)</f>
        <v>3928600</v>
      </c>
    </row>
    <row r="4936">
      <c r="A4936" s="3">
        <f>IFERROR(__xludf.DUMMYFUNCTION("""COMPUTED_VALUE"""),36353.666666666664)</f>
        <v>36353.66667</v>
      </c>
      <c r="B4936" s="2">
        <f>IFERROR(__xludf.DUMMYFUNCTION("""COMPUTED_VALUE"""),131.28)</f>
        <v>131.28</v>
      </c>
      <c r="C4936" s="2">
        <f>IFERROR(__xludf.DUMMYFUNCTION("""COMPUTED_VALUE"""),132.47)</f>
        <v>132.47</v>
      </c>
      <c r="D4936" s="2">
        <f>IFERROR(__xludf.DUMMYFUNCTION("""COMPUTED_VALUE"""),129.37)</f>
        <v>129.37</v>
      </c>
      <c r="E4936" s="2">
        <f>IFERROR(__xludf.DUMMYFUNCTION("""COMPUTED_VALUE"""),130.92)</f>
        <v>130.92</v>
      </c>
      <c r="F4936" s="2">
        <f>IFERROR(__xludf.DUMMYFUNCTION("""COMPUTED_VALUE"""),3886300.0)</f>
        <v>3886300</v>
      </c>
    </row>
    <row r="4937">
      <c r="A4937" s="3">
        <f>IFERROR(__xludf.DUMMYFUNCTION("""COMPUTED_VALUE"""),36354.666666666664)</f>
        <v>36354.66667</v>
      </c>
      <c r="B4937" s="2">
        <f>IFERROR(__xludf.DUMMYFUNCTION("""COMPUTED_VALUE"""),129.66)</f>
        <v>129.66</v>
      </c>
      <c r="C4937" s="2">
        <f>IFERROR(__xludf.DUMMYFUNCTION("""COMPUTED_VALUE"""),132.95)</f>
        <v>132.95</v>
      </c>
      <c r="D4937" s="2">
        <f>IFERROR(__xludf.DUMMYFUNCTION("""COMPUTED_VALUE"""),129.66)</f>
        <v>129.66</v>
      </c>
      <c r="E4937" s="2">
        <f>IFERROR(__xludf.DUMMYFUNCTION("""COMPUTED_VALUE"""),132.05)</f>
        <v>132.05</v>
      </c>
      <c r="F4937" s="2">
        <f>IFERROR(__xludf.DUMMYFUNCTION("""COMPUTED_VALUE"""),4474900.0)</f>
        <v>4474900</v>
      </c>
    </row>
    <row r="4938">
      <c r="A4938" s="3">
        <f>IFERROR(__xludf.DUMMYFUNCTION("""COMPUTED_VALUE"""),36355.666666666664)</f>
        <v>36355.66667</v>
      </c>
      <c r="B4938" s="2">
        <f>IFERROR(__xludf.DUMMYFUNCTION("""COMPUTED_VALUE"""),132.11)</f>
        <v>132.11</v>
      </c>
      <c r="C4938" s="2">
        <f>IFERROR(__xludf.DUMMYFUNCTION("""COMPUTED_VALUE"""),132.23)</f>
        <v>132.23</v>
      </c>
      <c r="D4938" s="2">
        <f>IFERROR(__xludf.DUMMYFUNCTION("""COMPUTED_VALUE"""),130.14)</f>
        <v>130.14</v>
      </c>
      <c r="E4938" s="2">
        <f>IFERROR(__xludf.DUMMYFUNCTION("""COMPUTED_VALUE"""),131.28)</f>
        <v>131.28</v>
      </c>
      <c r="F4938" s="2">
        <f>IFERROR(__xludf.DUMMYFUNCTION("""COMPUTED_VALUE"""),3718600.0)</f>
        <v>3718600</v>
      </c>
    </row>
    <row r="4939">
      <c r="A4939" s="3">
        <f>IFERROR(__xludf.DUMMYFUNCTION("""COMPUTED_VALUE"""),36356.666666666664)</f>
        <v>36356.66667</v>
      </c>
      <c r="B4939" s="2">
        <f>IFERROR(__xludf.DUMMYFUNCTION("""COMPUTED_VALUE"""),131.81)</f>
        <v>131.81</v>
      </c>
      <c r="C4939" s="2">
        <f>IFERROR(__xludf.DUMMYFUNCTION("""COMPUTED_VALUE"""),131.81)</f>
        <v>131.81</v>
      </c>
      <c r="D4939" s="2">
        <f>IFERROR(__xludf.DUMMYFUNCTION("""COMPUTED_VALUE"""),128.47)</f>
        <v>128.47</v>
      </c>
      <c r="E4939" s="2">
        <f>IFERROR(__xludf.DUMMYFUNCTION("""COMPUTED_VALUE"""),130.2)</f>
        <v>130.2</v>
      </c>
      <c r="F4939" s="2">
        <f>IFERROR(__xludf.DUMMYFUNCTION("""COMPUTED_VALUE"""),4094900.0)</f>
        <v>4094900</v>
      </c>
    </row>
    <row r="4940">
      <c r="A4940" s="3">
        <f>IFERROR(__xludf.DUMMYFUNCTION("""COMPUTED_VALUE"""),36357.666666666664)</f>
        <v>36357.66667</v>
      </c>
      <c r="B4940" s="2">
        <f>IFERROR(__xludf.DUMMYFUNCTION("""COMPUTED_VALUE"""),130.26)</f>
        <v>130.26</v>
      </c>
      <c r="C4940" s="2">
        <f>IFERROR(__xludf.DUMMYFUNCTION("""COMPUTED_VALUE"""),131.34)</f>
        <v>131.34</v>
      </c>
      <c r="D4940" s="2">
        <f>IFERROR(__xludf.DUMMYFUNCTION("""COMPUTED_VALUE"""),129.31)</f>
        <v>129.31</v>
      </c>
      <c r="E4940" s="2">
        <f>IFERROR(__xludf.DUMMYFUNCTION("""COMPUTED_VALUE"""),130.14)</f>
        <v>130.14</v>
      </c>
      <c r="F4940" s="2">
        <f>IFERROR(__xludf.DUMMYFUNCTION("""COMPUTED_VALUE"""),4413500.0)</f>
        <v>4413500</v>
      </c>
    </row>
    <row r="4941">
      <c r="A4941" s="3">
        <f>IFERROR(__xludf.DUMMYFUNCTION("""COMPUTED_VALUE"""),36360.666666666664)</f>
        <v>36360.66667</v>
      </c>
      <c r="B4941" s="2">
        <f>IFERROR(__xludf.DUMMYFUNCTION("""COMPUTED_VALUE"""),130.38)</f>
        <v>130.38</v>
      </c>
      <c r="C4941" s="2">
        <f>IFERROR(__xludf.DUMMYFUNCTION("""COMPUTED_VALUE"""),132.53)</f>
        <v>132.53</v>
      </c>
      <c r="D4941" s="2">
        <f>IFERROR(__xludf.DUMMYFUNCTION("""COMPUTED_VALUE"""),127.75)</f>
        <v>127.75</v>
      </c>
      <c r="E4941" s="2">
        <f>IFERROR(__xludf.DUMMYFUNCTION("""COMPUTED_VALUE"""),128.71)</f>
        <v>128.71</v>
      </c>
      <c r="F4941" s="2">
        <f>IFERROR(__xludf.DUMMYFUNCTION("""COMPUTED_VALUE"""),6031200.0)</f>
        <v>6031200</v>
      </c>
    </row>
    <row r="4942">
      <c r="A4942" s="3">
        <f>IFERROR(__xludf.DUMMYFUNCTION("""COMPUTED_VALUE"""),36361.666666666664)</f>
        <v>36361.66667</v>
      </c>
      <c r="B4942" s="2">
        <f>IFERROR(__xludf.DUMMYFUNCTION("""COMPUTED_VALUE"""),125.13)</f>
        <v>125.13</v>
      </c>
      <c r="C4942" s="2">
        <f>IFERROR(__xludf.DUMMYFUNCTION("""COMPUTED_VALUE"""),126.14)</f>
        <v>126.14</v>
      </c>
      <c r="D4942" s="2">
        <f>IFERROR(__xludf.DUMMYFUNCTION("""COMPUTED_VALUE"""),120.41)</f>
        <v>120.41</v>
      </c>
      <c r="E4942" s="2">
        <f>IFERROR(__xludf.DUMMYFUNCTION("""COMPUTED_VALUE"""),122.68)</f>
        <v>122.68</v>
      </c>
      <c r="F4942" s="2">
        <f>IFERROR(__xludf.DUMMYFUNCTION("""COMPUTED_VALUE"""),1.12076E7)</f>
        <v>11207600</v>
      </c>
    </row>
    <row r="4943">
      <c r="A4943" s="3">
        <f>IFERROR(__xludf.DUMMYFUNCTION("""COMPUTED_VALUE"""),36362.666666666664)</f>
        <v>36362.66667</v>
      </c>
      <c r="B4943" s="2">
        <f>IFERROR(__xludf.DUMMYFUNCTION("""COMPUTED_VALUE"""),121.78)</f>
        <v>121.78</v>
      </c>
      <c r="C4943" s="2">
        <f>IFERROR(__xludf.DUMMYFUNCTION("""COMPUTED_VALUE"""),123.93)</f>
        <v>123.93</v>
      </c>
      <c r="D4943" s="2">
        <f>IFERROR(__xludf.DUMMYFUNCTION("""COMPUTED_VALUE"""),121.19)</f>
        <v>121.19</v>
      </c>
      <c r="E4943" s="2">
        <f>IFERROR(__xludf.DUMMYFUNCTION("""COMPUTED_VALUE"""),123.34)</f>
        <v>123.34</v>
      </c>
      <c r="F4943" s="2">
        <f>IFERROR(__xludf.DUMMYFUNCTION("""COMPUTED_VALUE"""),7336600.0)</f>
        <v>7336600</v>
      </c>
    </row>
    <row r="4944">
      <c r="A4944" s="3">
        <f>IFERROR(__xludf.DUMMYFUNCTION("""COMPUTED_VALUE"""),36363.666666666664)</f>
        <v>36363.66667</v>
      </c>
      <c r="B4944" s="2">
        <f>IFERROR(__xludf.DUMMYFUNCTION("""COMPUTED_VALUE"""),121.9)</f>
        <v>121.9</v>
      </c>
      <c r="C4944" s="2">
        <f>IFERROR(__xludf.DUMMYFUNCTION("""COMPUTED_VALUE"""),122.74)</f>
        <v>122.74</v>
      </c>
      <c r="D4944" s="2">
        <f>IFERROR(__xludf.DUMMYFUNCTION("""COMPUTED_VALUE"""),117.96)</f>
        <v>117.96</v>
      </c>
      <c r="E4944" s="2">
        <f>IFERROR(__xludf.DUMMYFUNCTION("""COMPUTED_VALUE"""),118.44)</f>
        <v>118.44</v>
      </c>
      <c r="F4944" s="2">
        <f>IFERROR(__xludf.DUMMYFUNCTION("""COMPUTED_VALUE"""),7160200.0)</f>
        <v>7160200</v>
      </c>
    </row>
    <row r="4945">
      <c r="A4945" s="3">
        <f>IFERROR(__xludf.DUMMYFUNCTION("""COMPUTED_VALUE"""),36364.666666666664)</f>
        <v>36364.66667</v>
      </c>
      <c r="B4945" s="2">
        <f>IFERROR(__xludf.DUMMYFUNCTION("""COMPUTED_VALUE"""),118.44)</f>
        <v>118.44</v>
      </c>
      <c r="C4945" s="2">
        <f>IFERROR(__xludf.DUMMYFUNCTION("""COMPUTED_VALUE"""),119.75)</f>
        <v>119.75</v>
      </c>
      <c r="D4945" s="2">
        <f>IFERROR(__xludf.DUMMYFUNCTION("""COMPUTED_VALUE"""),117.25)</f>
        <v>117.25</v>
      </c>
      <c r="E4945" s="2">
        <f>IFERROR(__xludf.DUMMYFUNCTION("""COMPUTED_VALUE"""),119.16)</f>
        <v>119.16</v>
      </c>
      <c r="F4945" s="2">
        <f>IFERROR(__xludf.DUMMYFUNCTION("""COMPUTED_VALUE"""),5933800.0)</f>
        <v>5933800</v>
      </c>
    </row>
    <row r="4946">
      <c r="A4946" s="3">
        <f>IFERROR(__xludf.DUMMYFUNCTION("""COMPUTED_VALUE"""),36367.666666666664)</f>
        <v>36367.66667</v>
      </c>
      <c r="B4946" s="2">
        <f>IFERROR(__xludf.DUMMYFUNCTION("""COMPUTED_VALUE"""),118.08)</f>
        <v>118.08</v>
      </c>
      <c r="C4946" s="2">
        <f>IFERROR(__xludf.DUMMYFUNCTION("""COMPUTED_VALUE"""),119.51)</f>
        <v>119.51</v>
      </c>
      <c r="D4946" s="2">
        <f>IFERROR(__xludf.DUMMYFUNCTION("""COMPUTED_VALUE"""),117.31)</f>
        <v>117.31</v>
      </c>
      <c r="E4946" s="2">
        <f>IFERROR(__xludf.DUMMYFUNCTION("""COMPUTED_VALUE"""),117.9)</f>
        <v>117.9</v>
      </c>
      <c r="F4946" s="2">
        <f>IFERROR(__xludf.DUMMYFUNCTION("""COMPUTED_VALUE"""),4510100.0)</f>
        <v>4510100</v>
      </c>
    </row>
    <row r="4947">
      <c r="A4947" s="3">
        <f>IFERROR(__xludf.DUMMYFUNCTION("""COMPUTED_VALUE"""),36368.666666666664)</f>
        <v>36368.66667</v>
      </c>
      <c r="B4947" s="2">
        <f>IFERROR(__xludf.DUMMYFUNCTION("""COMPUTED_VALUE"""),119.4)</f>
        <v>119.4</v>
      </c>
      <c r="C4947" s="2">
        <f>IFERROR(__xludf.DUMMYFUNCTION("""COMPUTED_VALUE"""),120.65)</f>
        <v>120.65</v>
      </c>
      <c r="D4947" s="2">
        <f>IFERROR(__xludf.DUMMYFUNCTION("""COMPUTED_VALUE"""),118.02)</f>
        <v>118.02</v>
      </c>
      <c r="E4947" s="2">
        <f>IFERROR(__xludf.DUMMYFUNCTION("""COMPUTED_VALUE"""),120.59)</f>
        <v>120.59</v>
      </c>
      <c r="F4947" s="2">
        <f>IFERROR(__xludf.DUMMYFUNCTION("""COMPUTED_VALUE"""),5096200.0)</f>
        <v>5096200</v>
      </c>
    </row>
    <row r="4948">
      <c r="A4948" s="3">
        <f>IFERROR(__xludf.DUMMYFUNCTION("""COMPUTED_VALUE"""),36369.666666666664)</f>
        <v>36369.66667</v>
      </c>
      <c r="B4948" s="2">
        <f>IFERROR(__xludf.DUMMYFUNCTION("""COMPUTED_VALUE"""),120.71)</f>
        <v>120.71</v>
      </c>
      <c r="C4948" s="2">
        <f>IFERROR(__xludf.DUMMYFUNCTION("""COMPUTED_VALUE"""),122.92)</f>
        <v>122.92</v>
      </c>
      <c r="D4948" s="2">
        <f>IFERROR(__xludf.DUMMYFUNCTION("""COMPUTED_VALUE"""),120.17)</f>
        <v>120.17</v>
      </c>
      <c r="E4948" s="2">
        <f>IFERROR(__xludf.DUMMYFUNCTION("""COMPUTED_VALUE"""),122.8)</f>
        <v>122.8</v>
      </c>
      <c r="F4948" s="2">
        <f>IFERROR(__xludf.DUMMYFUNCTION("""COMPUTED_VALUE"""),4445200.0)</f>
        <v>4445200</v>
      </c>
    </row>
    <row r="4949">
      <c r="A4949" s="3">
        <f>IFERROR(__xludf.DUMMYFUNCTION("""COMPUTED_VALUE"""),36370.666666666664)</f>
        <v>36370.66667</v>
      </c>
      <c r="B4949" s="2">
        <f>IFERROR(__xludf.DUMMYFUNCTION("""COMPUTED_VALUE"""),120.59)</f>
        <v>120.59</v>
      </c>
      <c r="C4949" s="2">
        <f>IFERROR(__xludf.DUMMYFUNCTION("""COMPUTED_VALUE"""),120.83)</f>
        <v>120.83</v>
      </c>
      <c r="D4949" s="2">
        <f>IFERROR(__xludf.DUMMYFUNCTION("""COMPUTED_VALUE"""),119.04)</f>
        <v>119.04</v>
      </c>
      <c r="E4949" s="2">
        <f>IFERROR(__xludf.DUMMYFUNCTION("""COMPUTED_VALUE"""),119.69)</f>
        <v>119.69</v>
      </c>
      <c r="F4949" s="2">
        <f>IFERROR(__xludf.DUMMYFUNCTION("""COMPUTED_VALUE"""),4616100.0)</f>
        <v>4616100</v>
      </c>
    </row>
    <row r="4950">
      <c r="A4950" s="3">
        <f>IFERROR(__xludf.DUMMYFUNCTION("""COMPUTED_VALUE"""),36371.666666666664)</f>
        <v>36371.66667</v>
      </c>
      <c r="B4950" s="2">
        <f>IFERROR(__xludf.DUMMYFUNCTION("""COMPUTED_VALUE"""),120.29)</f>
        <v>120.29</v>
      </c>
      <c r="C4950" s="2">
        <f>IFERROR(__xludf.DUMMYFUNCTION("""COMPUTED_VALUE"""),121.01)</f>
        <v>121.01</v>
      </c>
      <c r="D4950" s="2">
        <f>IFERROR(__xludf.DUMMYFUNCTION("""COMPUTED_VALUE"""),118.8)</f>
        <v>118.8</v>
      </c>
      <c r="E4950" s="2">
        <f>IFERROR(__xludf.DUMMYFUNCTION("""COMPUTED_VALUE"""),120.05)</f>
        <v>120.05</v>
      </c>
      <c r="F4950" s="2">
        <f>IFERROR(__xludf.DUMMYFUNCTION("""COMPUTED_VALUE"""),3646100.0)</f>
        <v>3646100</v>
      </c>
    </row>
    <row r="4951">
      <c r="A4951" s="3">
        <f>IFERROR(__xludf.DUMMYFUNCTION("""COMPUTED_VALUE"""),36374.666666666664)</f>
        <v>36374.66667</v>
      </c>
      <c r="B4951" s="2">
        <f>IFERROR(__xludf.DUMMYFUNCTION("""COMPUTED_VALUE"""),118.44)</f>
        <v>118.44</v>
      </c>
      <c r="C4951" s="2">
        <f>IFERROR(__xludf.DUMMYFUNCTION("""COMPUTED_VALUE"""),120.35)</f>
        <v>120.35</v>
      </c>
      <c r="D4951" s="2">
        <f>IFERROR(__xludf.DUMMYFUNCTION("""COMPUTED_VALUE"""),116.41)</f>
        <v>116.41</v>
      </c>
      <c r="E4951" s="2">
        <f>IFERROR(__xludf.DUMMYFUNCTION("""COMPUTED_VALUE"""),116.77)</f>
        <v>116.77</v>
      </c>
      <c r="F4951" s="2">
        <f>IFERROR(__xludf.DUMMYFUNCTION("""COMPUTED_VALUE"""),3594000.0)</f>
        <v>3594000</v>
      </c>
    </row>
    <row r="4952">
      <c r="A4952" s="3">
        <f>IFERROR(__xludf.DUMMYFUNCTION("""COMPUTED_VALUE"""),36375.666666666664)</f>
        <v>36375.66667</v>
      </c>
      <c r="B4952" s="2">
        <f>IFERROR(__xludf.DUMMYFUNCTION("""COMPUTED_VALUE"""),117.25)</f>
        <v>117.25</v>
      </c>
      <c r="C4952" s="2">
        <f>IFERROR(__xludf.DUMMYFUNCTION("""COMPUTED_VALUE"""),117.6)</f>
        <v>117.6</v>
      </c>
      <c r="D4952" s="2">
        <f>IFERROR(__xludf.DUMMYFUNCTION("""COMPUTED_VALUE"""),112.89)</f>
        <v>112.89</v>
      </c>
      <c r="E4952" s="2">
        <f>IFERROR(__xludf.DUMMYFUNCTION("""COMPUTED_VALUE"""),113.66)</f>
        <v>113.66</v>
      </c>
      <c r="F4952" s="2">
        <f>IFERROR(__xludf.DUMMYFUNCTION("""COMPUTED_VALUE"""),5565800.0)</f>
        <v>5565800</v>
      </c>
    </row>
    <row r="4953">
      <c r="A4953" s="3">
        <f>IFERROR(__xludf.DUMMYFUNCTION("""COMPUTED_VALUE"""),36376.666666666664)</f>
        <v>36376.66667</v>
      </c>
      <c r="B4953" s="2">
        <f>IFERROR(__xludf.DUMMYFUNCTION("""COMPUTED_VALUE"""),114.62)</f>
        <v>114.62</v>
      </c>
      <c r="C4953" s="2">
        <f>IFERROR(__xludf.DUMMYFUNCTION("""COMPUTED_VALUE"""),116.41)</f>
        <v>116.41</v>
      </c>
      <c r="D4953" s="2">
        <f>IFERROR(__xludf.DUMMYFUNCTION("""COMPUTED_VALUE"""),112.77)</f>
        <v>112.77</v>
      </c>
      <c r="E4953" s="2">
        <f>IFERROR(__xludf.DUMMYFUNCTION("""COMPUTED_VALUE"""),113.31)</f>
        <v>113.31</v>
      </c>
      <c r="F4953" s="2">
        <f>IFERROR(__xludf.DUMMYFUNCTION("""COMPUTED_VALUE"""),4795600.0)</f>
        <v>4795600</v>
      </c>
    </row>
    <row r="4954">
      <c r="A4954" s="3">
        <f>IFERROR(__xludf.DUMMYFUNCTION("""COMPUTED_VALUE"""),36377.666666666664)</f>
        <v>36377.66667</v>
      </c>
      <c r="B4954" s="2">
        <f>IFERROR(__xludf.DUMMYFUNCTION("""COMPUTED_VALUE"""),114.62)</f>
        <v>114.62</v>
      </c>
      <c r="C4954" s="2">
        <f>IFERROR(__xludf.DUMMYFUNCTION("""COMPUTED_VALUE"""),118.38)</f>
        <v>118.38</v>
      </c>
      <c r="D4954" s="2">
        <f>IFERROR(__xludf.DUMMYFUNCTION("""COMPUTED_VALUE"""),112.35)</f>
        <v>112.35</v>
      </c>
      <c r="E4954" s="2">
        <f>IFERROR(__xludf.DUMMYFUNCTION("""COMPUTED_VALUE"""),117.49)</f>
        <v>117.49</v>
      </c>
      <c r="F4954" s="2">
        <f>IFERROR(__xludf.DUMMYFUNCTION("""COMPUTED_VALUE"""),5829500.0)</f>
        <v>5829500</v>
      </c>
    </row>
    <row r="4955">
      <c r="A4955" s="3">
        <f>IFERROR(__xludf.DUMMYFUNCTION("""COMPUTED_VALUE"""),36378.666666666664)</f>
        <v>36378.66667</v>
      </c>
      <c r="B4955" s="2">
        <f>IFERROR(__xludf.DUMMYFUNCTION("""COMPUTED_VALUE"""),116.53)</f>
        <v>116.53</v>
      </c>
      <c r="C4955" s="2">
        <f>IFERROR(__xludf.DUMMYFUNCTION("""COMPUTED_VALUE"""),121.19)</f>
        <v>121.19</v>
      </c>
      <c r="D4955" s="2">
        <f>IFERROR(__xludf.DUMMYFUNCTION("""COMPUTED_VALUE"""),115.57)</f>
        <v>115.57</v>
      </c>
      <c r="E4955" s="2">
        <f>IFERROR(__xludf.DUMMYFUNCTION("""COMPUTED_VALUE"""),118.08)</f>
        <v>118.08</v>
      </c>
      <c r="F4955" s="2">
        <f>IFERROR(__xludf.DUMMYFUNCTION("""COMPUTED_VALUE"""),5089200.0)</f>
        <v>5089200</v>
      </c>
    </row>
    <row r="4956">
      <c r="A4956" s="3">
        <f>IFERROR(__xludf.DUMMYFUNCTION("""COMPUTED_VALUE"""),36381.666666666664)</f>
        <v>36381.66667</v>
      </c>
      <c r="B4956" s="2">
        <f>IFERROR(__xludf.DUMMYFUNCTION("""COMPUTED_VALUE"""),118.08)</f>
        <v>118.08</v>
      </c>
      <c r="C4956" s="2">
        <f>IFERROR(__xludf.DUMMYFUNCTION("""COMPUTED_VALUE"""),118.8)</f>
        <v>118.8</v>
      </c>
      <c r="D4956" s="2">
        <f>IFERROR(__xludf.DUMMYFUNCTION("""COMPUTED_VALUE"""),115.75)</f>
        <v>115.75</v>
      </c>
      <c r="E4956" s="2">
        <f>IFERROR(__xludf.DUMMYFUNCTION("""COMPUTED_VALUE"""),116.59)</f>
        <v>116.59</v>
      </c>
      <c r="F4956" s="2">
        <f>IFERROR(__xludf.DUMMYFUNCTION("""COMPUTED_VALUE"""),3385100.0)</f>
        <v>3385100</v>
      </c>
    </row>
    <row r="4957">
      <c r="A4957" s="3">
        <f>IFERROR(__xludf.DUMMYFUNCTION("""COMPUTED_VALUE"""),36382.666666666664)</f>
        <v>36382.66667</v>
      </c>
      <c r="B4957" s="2">
        <f>IFERROR(__xludf.DUMMYFUNCTION("""COMPUTED_VALUE"""),116.05)</f>
        <v>116.05</v>
      </c>
      <c r="C4957" s="2">
        <f>IFERROR(__xludf.DUMMYFUNCTION("""COMPUTED_VALUE"""),117.01)</f>
        <v>117.01</v>
      </c>
      <c r="D4957" s="2">
        <f>IFERROR(__xludf.DUMMYFUNCTION("""COMPUTED_VALUE"""),113.6)</f>
        <v>113.6</v>
      </c>
      <c r="E4957" s="2">
        <f>IFERROR(__xludf.DUMMYFUNCTION("""COMPUTED_VALUE"""),113.96)</f>
        <v>113.96</v>
      </c>
      <c r="F4957" s="2">
        <f>IFERROR(__xludf.DUMMYFUNCTION("""COMPUTED_VALUE"""),4941600.0)</f>
        <v>4941600</v>
      </c>
    </row>
    <row r="4958">
      <c r="A4958" s="3">
        <f>IFERROR(__xludf.DUMMYFUNCTION("""COMPUTED_VALUE"""),36383.666666666664)</f>
        <v>36383.66667</v>
      </c>
      <c r="B4958" s="2">
        <f>IFERROR(__xludf.DUMMYFUNCTION("""COMPUTED_VALUE"""),114.74)</f>
        <v>114.74</v>
      </c>
      <c r="C4958" s="2">
        <f>IFERROR(__xludf.DUMMYFUNCTION("""COMPUTED_VALUE"""),118.2)</f>
        <v>118.2</v>
      </c>
      <c r="D4958" s="2">
        <f>IFERROR(__xludf.DUMMYFUNCTION("""COMPUTED_VALUE"""),114.44)</f>
        <v>114.44</v>
      </c>
      <c r="E4958" s="2">
        <f>IFERROR(__xludf.DUMMYFUNCTION("""COMPUTED_VALUE"""),117.78)</f>
        <v>117.78</v>
      </c>
      <c r="F4958" s="2">
        <f>IFERROR(__xludf.DUMMYFUNCTION("""COMPUTED_VALUE"""),4648900.0)</f>
        <v>4648900</v>
      </c>
    </row>
    <row r="4959">
      <c r="A4959" s="3">
        <f>IFERROR(__xludf.DUMMYFUNCTION("""COMPUTED_VALUE"""),36384.666666666664)</f>
        <v>36384.66667</v>
      </c>
      <c r="B4959" s="2">
        <f>IFERROR(__xludf.DUMMYFUNCTION("""COMPUTED_VALUE"""),118.2)</f>
        <v>118.2</v>
      </c>
      <c r="C4959" s="2">
        <f>IFERROR(__xludf.DUMMYFUNCTION("""COMPUTED_VALUE"""),118.2)</f>
        <v>118.2</v>
      </c>
      <c r="D4959" s="2">
        <f>IFERROR(__xludf.DUMMYFUNCTION("""COMPUTED_VALUE"""),115.57)</f>
        <v>115.57</v>
      </c>
      <c r="E4959" s="2">
        <f>IFERROR(__xludf.DUMMYFUNCTION("""COMPUTED_VALUE"""),115.69)</f>
        <v>115.69</v>
      </c>
      <c r="F4959" s="2">
        <f>IFERROR(__xludf.DUMMYFUNCTION("""COMPUTED_VALUE"""),4289100.0)</f>
        <v>4289100</v>
      </c>
    </row>
    <row r="4960">
      <c r="A4960" s="3">
        <f>IFERROR(__xludf.DUMMYFUNCTION("""COMPUTED_VALUE"""),36385.666666666664)</f>
        <v>36385.66667</v>
      </c>
      <c r="B4960" s="2">
        <f>IFERROR(__xludf.DUMMYFUNCTION("""COMPUTED_VALUE"""),117.25)</f>
        <v>117.25</v>
      </c>
      <c r="C4960" s="2">
        <f>IFERROR(__xludf.DUMMYFUNCTION("""COMPUTED_VALUE"""),118.92)</f>
        <v>118.92</v>
      </c>
      <c r="D4960" s="2">
        <f>IFERROR(__xludf.DUMMYFUNCTION("""COMPUTED_VALUE"""),117.25)</f>
        <v>117.25</v>
      </c>
      <c r="E4960" s="2">
        <f>IFERROR(__xludf.DUMMYFUNCTION("""COMPUTED_VALUE"""),117.96)</f>
        <v>117.96</v>
      </c>
      <c r="F4960" s="2">
        <f>IFERROR(__xludf.DUMMYFUNCTION("""COMPUTED_VALUE"""),3732700.0)</f>
        <v>3732700</v>
      </c>
    </row>
    <row r="4961">
      <c r="A4961" s="3">
        <f>IFERROR(__xludf.DUMMYFUNCTION("""COMPUTED_VALUE"""),36388.666666666664)</f>
        <v>36388.66667</v>
      </c>
      <c r="B4961" s="2">
        <f>IFERROR(__xludf.DUMMYFUNCTION("""COMPUTED_VALUE"""),119.4)</f>
        <v>119.4</v>
      </c>
      <c r="C4961" s="2">
        <f>IFERROR(__xludf.DUMMYFUNCTION("""COMPUTED_VALUE"""),122.14)</f>
        <v>122.14</v>
      </c>
      <c r="D4961" s="2">
        <f>IFERROR(__xludf.DUMMYFUNCTION("""COMPUTED_VALUE"""),118.92)</f>
        <v>118.92</v>
      </c>
      <c r="E4961" s="2">
        <f>IFERROR(__xludf.DUMMYFUNCTION("""COMPUTED_VALUE"""),121.72)</f>
        <v>121.72</v>
      </c>
      <c r="F4961" s="2">
        <f>IFERROR(__xludf.DUMMYFUNCTION("""COMPUTED_VALUE"""),3996200.0)</f>
        <v>3996200</v>
      </c>
    </row>
    <row r="4962">
      <c r="A4962" s="3">
        <f>IFERROR(__xludf.DUMMYFUNCTION("""COMPUTED_VALUE"""),36389.666666666664)</f>
        <v>36389.66667</v>
      </c>
      <c r="B4962" s="2">
        <f>IFERROR(__xludf.DUMMYFUNCTION("""COMPUTED_VALUE"""),122.74)</f>
        <v>122.74</v>
      </c>
      <c r="C4962" s="2">
        <f>IFERROR(__xludf.DUMMYFUNCTION("""COMPUTED_VALUE"""),122.74)</f>
        <v>122.74</v>
      </c>
      <c r="D4962" s="2">
        <f>IFERROR(__xludf.DUMMYFUNCTION("""COMPUTED_VALUE"""),120.89)</f>
        <v>120.89</v>
      </c>
      <c r="E4962" s="2">
        <f>IFERROR(__xludf.DUMMYFUNCTION("""COMPUTED_VALUE"""),122.74)</f>
        <v>122.74</v>
      </c>
      <c r="F4962" s="2">
        <f>IFERROR(__xludf.DUMMYFUNCTION("""COMPUTED_VALUE"""),4295500.0)</f>
        <v>4295500</v>
      </c>
    </row>
    <row r="4963">
      <c r="A4963" s="3">
        <f>IFERROR(__xludf.DUMMYFUNCTION("""COMPUTED_VALUE"""),36390.666666666664)</f>
        <v>36390.66667</v>
      </c>
      <c r="B4963" s="2">
        <f>IFERROR(__xludf.DUMMYFUNCTION("""COMPUTED_VALUE"""),122.62)</f>
        <v>122.62</v>
      </c>
      <c r="C4963" s="2">
        <f>IFERROR(__xludf.DUMMYFUNCTION("""COMPUTED_VALUE"""),123.81)</f>
        <v>123.81</v>
      </c>
      <c r="D4963" s="2">
        <f>IFERROR(__xludf.DUMMYFUNCTION("""COMPUTED_VALUE"""),117.96)</f>
        <v>117.96</v>
      </c>
      <c r="E4963" s="2">
        <f>IFERROR(__xludf.DUMMYFUNCTION("""COMPUTED_VALUE"""),118.32)</f>
        <v>118.32</v>
      </c>
      <c r="F4963" s="2">
        <f>IFERROR(__xludf.DUMMYFUNCTION("""COMPUTED_VALUE"""),5665500.0)</f>
        <v>5665500</v>
      </c>
    </row>
    <row r="4964">
      <c r="A4964" s="3">
        <f>IFERROR(__xludf.DUMMYFUNCTION("""COMPUTED_VALUE"""),36391.666666666664)</f>
        <v>36391.66667</v>
      </c>
      <c r="B4964" s="2">
        <f>IFERROR(__xludf.DUMMYFUNCTION("""COMPUTED_VALUE"""),118.32)</f>
        <v>118.32</v>
      </c>
      <c r="C4964" s="2">
        <f>IFERROR(__xludf.DUMMYFUNCTION("""COMPUTED_VALUE"""),119.22)</f>
        <v>119.22</v>
      </c>
      <c r="D4964" s="2">
        <f>IFERROR(__xludf.DUMMYFUNCTION("""COMPUTED_VALUE"""),115.93)</f>
        <v>115.93</v>
      </c>
      <c r="E4964" s="2">
        <f>IFERROR(__xludf.DUMMYFUNCTION("""COMPUTED_VALUE"""),117.25)</f>
        <v>117.25</v>
      </c>
      <c r="F4964" s="2">
        <f>IFERROR(__xludf.DUMMYFUNCTION("""COMPUTED_VALUE"""),6403200.0)</f>
        <v>6403200</v>
      </c>
    </row>
    <row r="4965">
      <c r="A4965" s="3">
        <f>IFERROR(__xludf.DUMMYFUNCTION("""COMPUTED_VALUE"""),36392.666666666664)</f>
        <v>36392.66667</v>
      </c>
      <c r="B4965" s="2">
        <f>IFERROR(__xludf.DUMMYFUNCTION("""COMPUTED_VALUE"""),118.8)</f>
        <v>118.8</v>
      </c>
      <c r="C4965" s="2">
        <f>IFERROR(__xludf.DUMMYFUNCTION("""COMPUTED_VALUE"""),118.8)</f>
        <v>118.8</v>
      </c>
      <c r="D4965" s="2">
        <f>IFERROR(__xludf.DUMMYFUNCTION("""COMPUTED_VALUE"""),115.63)</f>
        <v>115.63</v>
      </c>
      <c r="E4965" s="2">
        <f>IFERROR(__xludf.DUMMYFUNCTION("""COMPUTED_VALUE"""),116.35)</f>
        <v>116.35</v>
      </c>
      <c r="F4965" s="2">
        <f>IFERROR(__xludf.DUMMYFUNCTION("""COMPUTED_VALUE"""),4891400.0)</f>
        <v>4891400</v>
      </c>
    </row>
    <row r="4966">
      <c r="A4966" s="3">
        <f>IFERROR(__xludf.DUMMYFUNCTION("""COMPUTED_VALUE"""),36395.666666666664)</f>
        <v>36395.66667</v>
      </c>
      <c r="B4966" s="2">
        <f>IFERROR(__xludf.DUMMYFUNCTION("""COMPUTED_VALUE"""),117.25)</f>
        <v>117.25</v>
      </c>
      <c r="C4966" s="2">
        <f>IFERROR(__xludf.DUMMYFUNCTION("""COMPUTED_VALUE"""),119.28)</f>
        <v>119.28</v>
      </c>
      <c r="D4966" s="2">
        <f>IFERROR(__xludf.DUMMYFUNCTION("""COMPUTED_VALUE"""),116.83)</f>
        <v>116.83</v>
      </c>
      <c r="E4966" s="2">
        <f>IFERROR(__xludf.DUMMYFUNCTION("""COMPUTED_VALUE"""),118.86)</f>
        <v>118.86</v>
      </c>
      <c r="F4966" s="2">
        <f>IFERROR(__xludf.DUMMYFUNCTION("""COMPUTED_VALUE"""),4873500.0)</f>
        <v>4873500</v>
      </c>
    </row>
    <row r="4967">
      <c r="A4967" s="3">
        <f>IFERROR(__xludf.DUMMYFUNCTION("""COMPUTED_VALUE"""),36396.666666666664)</f>
        <v>36396.66667</v>
      </c>
      <c r="B4967" s="2">
        <f>IFERROR(__xludf.DUMMYFUNCTION("""COMPUTED_VALUE"""),117.84)</f>
        <v>117.84</v>
      </c>
      <c r="C4967" s="2">
        <f>IFERROR(__xludf.DUMMYFUNCTION("""COMPUTED_VALUE"""),117.9)</f>
        <v>117.9</v>
      </c>
      <c r="D4967" s="2">
        <f>IFERROR(__xludf.DUMMYFUNCTION("""COMPUTED_VALUE"""),115.63)</f>
        <v>115.63</v>
      </c>
      <c r="E4967" s="2">
        <f>IFERROR(__xludf.DUMMYFUNCTION("""COMPUTED_VALUE"""),116.35)</f>
        <v>116.35</v>
      </c>
      <c r="F4967" s="2">
        <f>IFERROR(__xludf.DUMMYFUNCTION("""COMPUTED_VALUE"""),6610000.0)</f>
        <v>6610000</v>
      </c>
    </row>
    <row r="4968">
      <c r="A4968" s="3">
        <f>IFERROR(__xludf.DUMMYFUNCTION("""COMPUTED_VALUE"""),36397.666666666664)</f>
        <v>36397.66667</v>
      </c>
      <c r="B4968" s="2">
        <f>IFERROR(__xludf.DUMMYFUNCTION("""COMPUTED_VALUE"""),116.53)</f>
        <v>116.53</v>
      </c>
      <c r="C4968" s="2">
        <f>IFERROR(__xludf.DUMMYFUNCTION("""COMPUTED_VALUE"""),118.5)</f>
        <v>118.5</v>
      </c>
      <c r="D4968" s="2">
        <f>IFERROR(__xludf.DUMMYFUNCTION("""COMPUTED_VALUE"""),115.46)</f>
        <v>115.46</v>
      </c>
      <c r="E4968" s="2">
        <f>IFERROR(__xludf.DUMMYFUNCTION("""COMPUTED_VALUE"""),116.77)</f>
        <v>116.77</v>
      </c>
      <c r="F4968" s="2">
        <f>IFERROR(__xludf.DUMMYFUNCTION("""COMPUTED_VALUE"""),5039800.0)</f>
        <v>5039800</v>
      </c>
    </row>
    <row r="4969">
      <c r="A4969" s="3">
        <f>IFERROR(__xludf.DUMMYFUNCTION("""COMPUTED_VALUE"""),36398.666666666664)</f>
        <v>36398.66667</v>
      </c>
      <c r="B4969" s="2">
        <f>IFERROR(__xludf.DUMMYFUNCTION("""COMPUTED_VALUE"""),117.13)</f>
        <v>117.13</v>
      </c>
      <c r="C4969" s="2">
        <f>IFERROR(__xludf.DUMMYFUNCTION("""COMPUTED_VALUE"""),120.17)</f>
        <v>120.17</v>
      </c>
      <c r="D4969" s="2">
        <f>IFERROR(__xludf.DUMMYFUNCTION("""COMPUTED_VALUE"""),116.59)</f>
        <v>116.59</v>
      </c>
      <c r="E4969" s="2">
        <f>IFERROR(__xludf.DUMMYFUNCTION("""COMPUTED_VALUE"""),117.54)</f>
        <v>117.54</v>
      </c>
      <c r="F4969" s="2">
        <f>IFERROR(__xludf.DUMMYFUNCTION("""COMPUTED_VALUE"""),5092600.0)</f>
        <v>5092600</v>
      </c>
    </row>
    <row r="4970">
      <c r="A4970" s="3">
        <f>IFERROR(__xludf.DUMMYFUNCTION("""COMPUTED_VALUE"""),36399.666666666664)</f>
        <v>36399.66667</v>
      </c>
      <c r="B4970" s="2">
        <f>IFERROR(__xludf.DUMMYFUNCTION("""COMPUTED_VALUE"""),119.4)</f>
        <v>119.4</v>
      </c>
      <c r="C4970" s="2">
        <f>IFERROR(__xludf.DUMMYFUNCTION("""COMPUTED_VALUE"""),119.57)</f>
        <v>119.57</v>
      </c>
      <c r="D4970" s="2">
        <f>IFERROR(__xludf.DUMMYFUNCTION("""COMPUTED_VALUE"""),117.25)</f>
        <v>117.25</v>
      </c>
      <c r="E4970" s="2">
        <f>IFERROR(__xludf.DUMMYFUNCTION("""COMPUTED_VALUE"""),118.44)</f>
        <v>118.44</v>
      </c>
      <c r="F4970" s="2">
        <f>IFERROR(__xludf.DUMMYFUNCTION("""COMPUTED_VALUE"""),3499600.0)</f>
        <v>3499600</v>
      </c>
    </row>
    <row r="4971">
      <c r="A4971" s="3">
        <f>IFERROR(__xludf.DUMMYFUNCTION("""COMPUTED_VALUE"""),36402.666666666664)</f>
        <v>36402.66667</v>
      </c>
      <c r="B4971" s="2">
        <f>IFERROR(__xludf.DUMMYFUNCTION("""COMPUTED_VALUE"""),118.68)</f>
        <v>118.68</v>
      </c>
      <c r="C4971" s="2">
        <f>IFERROR(__xludf.DUMMYFUNCTION("""COMPUTED_VALUE"""),119.99)</f>
        <v>119.99</v>
      </c>
      <c r="D4971" s="2">
        <f>IFERROR(__xludf.DUMMYFUNCTION("""COMPUTED_VALUE"""),117.19)</f>
        <v>117.19</v>
      </c>
      <c r="E4971" s="2">
        <f>IFERROR(__xludf.DUMMYFUNCTION("""COMPUTED_VALUE"""),117.84)</f>
        <v>117.84</v>
      </c>
      <c r="F4971" s="2">
        <f>IFERROR(__xludf.DUMMYFUNCTION("""COMPUTED_VALUE"""),4219200.0)</f>
        <v>4219200</v>
      </c>
    </row>
    <row r="4972">
      <c r="A4972" s="3">
        <f>IFERROR(__xludf.DUMMYFUNCTION("""COMPUTED_VALUE"""),36403.666666666664)</f>
        <v>36403.66667</v>
      </c>
      <c r="B4972" s="2">
        <f>IFERROR(__xludf.DUMMYFUNCTION("""COMPUTED_VALUE"""),118.8)</f>
        <v>118.8</v>
      </c>
      <c r="C4972" s="2">
        <f>IFERROR(__xludf.DUMMYFUNCTION("""COMPUTED_VALUE"""),120.05)</f>
        <v>120.05</v>
      </c>
      <c r="D4972" s="2">
        <f>IFERROR(__xludf.DUMMYFUNCTION("""COMPUTED_VALUE"""),117.37)</f>
        <v>117.37</v>
      </c>
      <c r="E4972" s="2">
        <f>IFERROR(__xludf.DUMMYFUNCTION("""COMPUTED_VALUE"""),118.98)</f>
        <v>118.98</v>
      </c>
      <c r="F4972" s="2">
        <f>IFERROR(__xludf.DUMMYFUNCTION("""COMPUTED_VALUE"""),5242000.0)</f>
        <v>5242000</v>
      </c>
    </row>
    <row r="4973">
      <c r="A4973" s="3">
        <f>IFERROR(__xludf.DUMMYFUNCTION("""COMPUTED_VALUE"""),36404.666666666664)</f>
        <v>36404.66667</v>
      </c>
      <c r="B4973" s="2">
        <f>IFERROR(__xludf.DUMMYFUNCTION("""COMPUTED_VALUE"""),119.99)</f>
        <v>119.99</v>
      </c>
      <c r="C4973" s="2">
        <f>IFERROR(__xludf.DUMMYFUNCTION("""COMPUTED_VALUE"""),122.74)</f>
        <v>122.74</v>
      </c>
      <c r="D4973" s="2">
        <f>IFERROR(__xludf.DUMMYFUNCTION("""COMPUTED_VALUE"""),119.93)</f>
        <v>119.93</v>
      </c>
      <c r="E4973" s="2">
        <f>IFERROR(__xludf.DUMMYFUNCTION("""COMPUTED_VALUE"""),121.54)</f>
        <v>121.54</v>
      </c>
      <c r="F4973" s="2">
        <f>IFERROR(__xludf.DUMMYFUNCTION("""COMPUTED_VALUE"""),5175000.0)</f>
        <v>5175000</v>
      </c>
    </row>
    <row r="4974">
      <c r="A4974" s="3">
        <f>IFERROR(__xludf.DUMMYFUNCTION("""COMPUTED_VALUE"""),36405.666666666664)</f>
        <v>36405.66667</v>
      </c>
      <c r="B4974" s="2">
        <f>IFERROR(__xludf.DUMMYFUNCTION("""COMPUTED_VALUE"""),120.83)</f>
        <v>120.83</v>
      </c>
      <c r="C4974" s="2">
        <f>IFERROR(__xludf.DUMMYFUNCTION("""COMPUTED_VALUE"""),121.07)</f>
        <v>121.07</v>
      </c>
      <c r="D4974" s="2">
        <f>IFERROR(__xludf.DUMMYFUNCTION("""COMPUTED_VALUE"""),118.68)</f>
        <v>118.68</v>
      </c>
      <c r="E4974" s="2">
        <f>IFERROR(__xludf.DUMMYFUNCTION("""COMPUTED_VALUE"""),120.17)</f>
        <v>120.17</v>
      </c>
      <c r="F4974" s="2">
        <f>IFERROR(__xludf.DUMMYFUNCTION("""COMPUTED_VALUE"""),4687300.0)</f>
        <v>4687300</v>
      </c>
    </row>
    <row r="4975">
      <c r="A4975" s="3">
        <f>IFERROR(__xludf.DUMMYFUNCTION("""COMPUTED_VALUE"""),36406.666666666664)</f>
        <v>36406.66667</v>
      </c>
      <c r="B4975" s="2">
        <f>IFERROR(__xludf.DUMMYFUNCTION("""COMPUTED_VALUE"""),122.62)</f>
        <v>122.62</v>
      </c>
      <c r="C4975" s="2">
        <f>IFERROR(__xludf.DUMMYFUNCTION("""COMPUTED_VALUE"""),123.87)</f>
        <v>123.87</v>
      </c>
      <c r="D4975" s="2">
        <f>IFERROR(__xludf.DUMMYFUNCTION("""COMPUTED_VALUE"""),122.26)</f>
        <v>122.26</v>
      </c>
      <c r="E4975" s="2">
        <f>IFERROR(__xludf.DUMMYFUNCTION("""COMPUTED_VALUE"""),123.16)</f>
        <v>123.16</v>
      </c>
      <c r="F4975" s="2">
        <f>IFERROR(__xludf.DUMMYFUNCTION("""COMPUTED_VALUE"""),4292300.0)</f>
        <v>4292300</v>
      </c>
    </row>
    <row r="4976">
      <c r="A4976" s="3">
        <f>IFERROR(__xludf.DUMMYFUNCTION("""COMPUTED_VALUE"""),36410.666666666664)</f>
        <v>36410.66667</v>
      </c>
      <c r="B4976" s="2">
        <f>IFERROR(__xludf.DUMMYFUNCTION("""COMPUTED_VALUE"""),123.1)</f>
        <v>123.1</v>
      </c>
      <c r="C4976" s="2">
        <f>IFERROR(__xludf.DUMMYFUNCTION("""COMPUTED_VALUE"""),126.74)</f>
        <v>126.74</v>
      </c>
      <c r="D4976" s="2">
        <f>IFERROR(__xludf.DUMMYFUNCTION("""COMPUTED_VALUE"""),122.62)</f>
        <v>122.62</v>
      </c>
      <c r="E4976" s="2">
        <f>IFERROR(__xludf.DUMMYFUNCTION("""COMPUTED_VALUE"""),125.96)</f>
        <v>125.96</v>
      </c>
      <c r="F4976" s="2">
        <f>IFERROR(__xludf.DUMMYFUNCTION("""COMPUTED_VALUE"""),6333500.0)</f>
        <v>6333500</v>
      </c>
    </row>
    <row r="4977">
      <c r="A4977" s="3">
        <f>IFERROR(__xludf.DUMMYFUNCTION("""COMPUTED_VALUE"""),36411.666666666664)</f>
        <v>36411.66667</v>
      </c>
      <c r="B4977" s="2">
        <f>IFERROR(__xludf.DUMMYFUNCTION("""COMPUTED_VALUE"""),125.6)</f>
        <v>125.6</v>
      </c>
      <c r="C4977" s="2">
        <f>IFERROR(__xludf.DUMMYFUNCTION("""COMPUTED_VALUE"""),127.93)</f>
        <v>127.93</v>
      </c>
      <c r="D4977" s="2">
        <f>IFERROR(__xludf.DUMMYFUNCTION("""COMPUTED_VALUE"""),124.89)</f>
        <v>124.89</v>
      </c>
      <c r="E4977" s="2">
        <f>IFERROR(__xludf.DUMMYFUNCTION("""COMPUTED_VALUE"""),124.89)</f>
        <v>124.89</v>
      </c>
      <c r="F4977" s="2">
        <f>IFERROR(__xludf.DUMMYFUNCTION("""COMPUTED_VALUE"""),6264800.0)</f>
        <v>6264800</v>
      </c>
    </row>
    <row r="4978">
      <c r="A4978" s="3">
        <f>IFERROR(__xludf.DUMMYFUNCTION("""COMPUTED_VALUE"""),36412.666666666664)</f>
        <v>36412.66667</v>
      </c>
      <c r="B4978" s="2">
        <f>IFERROR(__xludf.DUMMYFUNCTION("""COMPUTED_VALUE"""),126.56)</f>
        <v>126.56</v>
      </c>
      <c r="C4978" s="2">
        <f>IFERROR(__xludf.DUMMYFUNCTION("""COMPUTED_VALUE"""),130.38)</f>
        <v>130.38</v>
      </c>
      <c r="D4978" s="2">
        <f>IFERROR(__xludf.DUMMYFUNCTION("""COMPUTED_VALUE"""),125.78)</f>
        <v>125.78</v>
      </c>
      <c r="E4978" s="2">
        <f>IFERROR(__xludf.DUMMYFUNCTION("""COMPUTED_VALUE"""),128.71)</f>
        <v>128.71</v>
      </c>
      <c r="F4978" s="2">
        <f>IFERROR(__xludf.DUMMYFUNCTION("""COMPUTED_VALUE"""),6976400.0)</f>
        <v>6976400</v>
      </c>
    </row>
    <row r="4979">
      <c r="A4979" s="3">
        <f>IFERROR(__xludf.DUMMYFUNCTION("""COMPUTED_VALUE"""),36413.666666666664)</f>
        <v>36413.66667</v>
      </c>
      <c r="B4979" s="2">
        <f>IFERROR(__xludf.DUMMYFUNCTION("""COMPUTED_VALUE"""),131.34)</f>
        <v>131.34</v>
      </c>
      <c r="C4979" s="2">
        <f>IFERROR(__xludf.DUMMYFUNCTION("""COMPUTED_VALUE"""),131.34)</f>
        <v>131.34</v>
      </c>
      <c r="D4979" s="2">
        <f>IFERROR(__xludf.DUMMYFUNCTION("""COMPUTED_VALUE"""),128.35)</f>
        <v>128.35</v>
      </c>
      <c r="E4979" s="2">
        <f>IFERROR(__xludf.DUMMYFUNCTION("""COMPUTED_VALUE"""),128.83)</f>
        <v>128.83</v>
      </c>
      <c r="F4979" s="2">
        <f>IFERROR(__xludf.DUMMYFUNCTION("""COMPUTED_VALUE"""),3965600.0)</f>
        <v>3965600</v>
      </c>
    </row>
    <row r="4980">
      <c r="A4980" s="3">
        <f>IFERROR(__xludf.DUMMYFUNCTION("""COMPUTED_VALUE"""),36416.666666666664)</f>
        <v>36416.66667</v>
      </c>
      <c r="B4980" s="2">
        <f>IFERROR(__xludf.DUMMYFUNCTION("""COMPUTED_VALUE"""),128.59)</f>
        <v>128.59</v>
      </c>
      <c r="C4980" s="2">
        <f>IFERROR(__xludf.DUMMYFUNCTION("""COMPUTED_VALUE"""),129.42)</f>
        <v>129.42</v>
      </c>
      <c r="D4980" s="2">
        <f>IFERROR(__xludf.DUMMYFUNCTION("""COMPUTED_VALUE"""),126.44)</f>
        <v>126.44</v>
      </c>
      <c r="E4980" s="2">
        <f>IFERROR(__xludf.DUMMYFUNCTION("""COMPUTED_VALUE"""),126.44)</f>
        <v>126.44</v>
      </c>
      <c r="F4980" s="2">
        <f>IFERROR(__xludf.DUMMYFUNCTION("""COMPUTED_VALUE"""),3592400.0)</f>
        <v>3592400</v>
      </c>
    </row>
    <row r="4981">
      <c r="A4981" s="3">
        <f>IFERROR(__xludf.DUMMYFUNCTION("""COMPUTED_VALUE"""),36417.666666666664)</f>
        <v>36417.66667</v>
      </c>
      <c r="B4981" s="2">
        <f>IFERROR(__xludf.DUMMYFUNCTION("""COMPUTED_VALUE"""),126.08)</f>
        <v>126.08</v>
      </c>
      <c r="C4981" s="2">
        <f>IFERROR(__xludf.DUMMYFUNCTION("""COMPUTED_VALUE"""),127.51)</f>
        <v>127.51</v>
      </c>
      <c r="D4981" s="2">
        <f>IFERROR(__xludf.DUMMYFUNCTION("""COMPUTED_VALUE"""),126.02)</f>
        <v>126.02</v>
      </c>
      <c r="E4981" s="2">
        <f>IFERROR(__xludf.DUMMYFUNCTION("""COMPUTED_VALUE"""),127.45)</f>
        <v>127.45</v>
      </c>
      <c r="F4981" s="2">
        <f>IFERROR(__xludf.DUMMYFUNCTION("""COMPUTED_VALUE"""),3999600.0)</f>
        <v>3999600</v>
      </c>
    </row>
    <row r="4982">
      <c r="A4982" s="3">
        <f>IFERROR(__xludf.DUMMYFUNCTION("""COMPUTED_VALUE"""),36418.666666666664)</f>
        <v>36418.66667</v>
      </c>
      <c r="B4982" s="2">
        <f>IFERROR(__xludf.DUMMYFUNCTION("""COMPUTED_VALUE"""),127.99)</f>
        <v>127.99</v>
      </c>
      <c r="C4982" s="2">
        <f>IFERROR(__xludf.DUMMYFUNCTION("""COMPUTED_VALUE"""),128.89)</f>
        <v>128.89</v>
      </c>
      <c r="D4982" s="2">
        <f>IFERROR(__xludf.DUMMYFUNCTION("""COMPUTED_VALUE"""),126.08)</f>
        <v>126.08</v>
      </c>
      <c r="E4982" s="2">
        <f>IFERROR(__xludf.DUMMYFUNCTION("""COMPUTED_VALUE"""),126.08)</f>
        <v>126.08</v>
      </c>
      <c r="F4982" s="2">
        <f>IFERROR(__xludf.DUMMYFUNCTION("""COMPUTED_VALUE"""),4760700.0)</f>
        <v>4760700</v>
      </c>
    </row>
    <row r="4983">
      <c r="A4983" s="3">
        <f>IFERROR(__xludf.DUMMYFUNCTION("""COMPUTED_VALUE"""),36419.666666666664)</f>
        <v>36419.66667</v>
      </c>
      <c r="B4983" s="2">
        <f>IFERROR(__xludf.DUMMYFUNCTION("""COMPUTED_VALUE"""),126.08)</f>
        <v>126.08</v>
      </c>
      <c r="C4983" s="2">
        <f>IFERROR(__xludf.DUMMYFUNCTION("""COMPUTED_VALUE"""),126.44)</f>
        <v>126.44</v>
      </c>
      <c r="D4983" s="2">
        <f>IFERROR(__xludf.DUMMYFUNCTION("""COMPUTED_VALUE"""),123.75)</f>
        <v>123.75</v>
      </c>
      <c r="E4983" s="2">
        <f>IFERROR(__xludf.DUMMYFUNCTION("""COMPUTED_VALUE"""),124.17)</f>
        <v>124.17</v>
      </c>
      <c r="F4983" s="2">
        <f>IFERROR(__xludf.DUMMYFUNCTION("""COMPUTED_VALUE"""),5111200.0)</f>
        <v>5111200</v>
      </c>
    </row>
    <row r="4984">
      <c r="A4984" s="3">
        <f>IFERROR(__xludf.DUMMYFUNCTION("""COMPUTED_VALUE"""),36420.666666666664)</f>
        <v>36420.66667</v>
      </c>
      <c r="B4984" s="2">
        <f>IFERROR(__xludf.DUMMYFUNCTION("""COMPUTED_VALUE"""),125.48)</f>
        <v>125.48</v>
      </c>
      <c r="C4984" s="2">
        <f>IFERROR(__xludf.DUMMYFUNCTION("""COMPUTED_VALUE"""),125.54)</f>
        <v>125.54</v>
      </c>
      <c r="D4984" s="2">
        <f>IFERROR(__xludf.DUMMYFUNCTION("""COMPUTED_VALUE"""),118.2)</f>
        <v>118.2</v>
      </c>
      <c r="E4984" s="2">
        <f>IFERROR(__xludf.DUMMYFUNCTION("""COMPUTED_VALUE"""),119.75)</f>
        <v>119.75</v>
      </c>
      <c r="F4984" s="2">
        <f>IFERROR(__xludf.DUMMYFUNCTION("""COMPUTED_VALUE"""),1.216E7)</f>
        <v>12160000</v>
      </c>
    </row>
    <row r="4985">
      <c r="A4985" s="3">
        <f>IFERROR(__xludf.DUMMYFUNCTION("""COMPUTED_VALUE"""),36423.666666666664)</f>
        <v>36423.66667</v>
      </c>
      <c r="B4985" s="2">
        <f>IFERROR(__xludf.DUMMYFUNCTION("""COMPUTED_VALUE"""),120.83)</f>
        <v>120.83</v>
      </c>
      <c r="C4985" s="2">
        <f>IFERROR(__xludf.DUMMYFUNCTION("""COMPUTED_VALUE"""),125.01)</f>
        <v>125.01</v>
      </c>
      <c r="D4985" s="2">
        <f>IFERROR(__xludf.DUMMYFUNCTION("""COMPUTED_VALUE"""),120.41)</f>
        <v>120.41</v>
      </c>
      <c r="E4985" s="2">
        <f>IFERROR(__xludf.DUMMYFUNCTION("""COMPUTED_VALUE"""),125.01)</f>
        <v>125.01</v>
      </c>
      <c r="F4985" s="2">
        <f>IFERROR(__xludf.DUMMYFUNCTION("""COMPUTED_VALUE"""),6010000.0)</f>
        <v>6010000</v>
      </c>
    </row>
    <row r="4986">
      <c r="A4986" s="3">
        <f>IFERROR(__xludf.DUMMYFUNCTION("""COMPUTED_VALUE"""),36424.666666666664)</f>
        <v>36424.66667</v>
      </c>
      <c r="B4986" s="2">
        <f>IFERROR(__xludf.DUMMYFUNCTION("""COMPUTED_VALUE"""),122.98)</f>
        <v>122.98</v>
      </c>
      <c r="C4986" s="2">
        <f>IFERROR(__xludf.DUMMYFUNCTION("""COMPUTED_VALUE"""),123.81)</f>
        <v>123.81</v>
      </c>
      <c r="D4986" s="2">
        <f>IFERROR(__xludf.DUMMYFUNCTION("""COMPUTED_VALUE"""),120.59)</f>
        <v>120.59</v>
      </c>
      <c r="E4986" s="2">
        <f>IFERROR(__xludf.DUMMYFUNCTION("""COMPUTED_VALUE"""),121.54)</f>
        <v>121.54</v>
      </c>
      <c r="F4986" s="2">
        <f>IFERROR(__xludf.DUMMYFUNCTION("""COMPUTED_VALUE"""),5689600.0)</f>
        <v>5689600</v>
      </c>
    </row>
    <row r="4987">
      <c r="A4987" s="3">
        <f>IFERROR(__xludf.DUMMYFUNCTION("""COMPUTED_VALUE"""),36425.666666666664)</f>
        <v>36425.66667</v>
      </c>
      <c r="B4987" s="2">
        <f>IFERROR(__xludf.DUMMYFUNCTION("""COMPUTED_VALUE"""),121.48)</f>
        <v>121.48</v>
      </c>
      <c r="C4987" s="2">
        <f>IFERROR(__xludf.DUMMYFUNCTION("""COMPUTED_VALUE"""),121.48)</f>
        <v>121.48</v>
      </c>
      <c r="D4987" s="2">
        <f>IFERROR(__xludf.DUMMYFUNCTION("""COMPUTED_VALUE"""),118.8)</f>
        <v>118.8</v>
      </c>
      <c r="E4987" s="2">
        <f>IFERROR(__xludf.DUMMYFUNCTION("""COMPUTED_VALUE"""),119.57)</f>
        <v>119.57</v>
      </c>
      <c r="F4987" s="2">
        <f>IFERROR(__xludf.DUMMYFUNCTION("""COMPUTED_VALUE"""),6325700.0)</f>
        <v>6325700</v>
      </c>
    </row>
    <row r="4988">
      <c r="A4988" s="3">
        <f>IFERROR(__xludf.DUMMYFUNCTION("""COMPUTED_VALUE"""),36426.666666666664)</f>
        <v>36426.66667</v>
      </c>
      <c r="B4988" s="2">
        <f>IFERROR(__xludf.DUMMYFUNCTION("""COMPUTED_VALUE"""),121.78)</f>
        <v>121.78</v>
      </c>
      <c r="C4988" s="2">
        <f>IFERROR(__xludf.DUMMYFUNCTION("""COMPUTED_VALUE"""),122.08)</f>
        <v>122.08</v>
      </c>
      <c r="D4988" s="2">
        <f>IFERROR(__xludf.DUMMYFUNCTION("""COMPUTED_VALUE"""),115.99)</f>
        <v>115.99</v>
      </c>
      <c r="E4988" s="2">
        <f>IFERROR(__xludf.DUMMYFUNCTION("""COMPUTED_VALUE"""),116.35)</f>
        <v>116.35</v>
      </c>
      <c r="F4988" s="2">
        <f>IFERROR(__xludf.DUMMYFUNCTION("""COMPUTED_VALUE"""),5652700.0)</f>
        <v>5652700</v>
      </c>
    </row>
    <row r="4989">
      <c r="A4989" s="3">
        <f>IFERROR(__xludf.DUMMYFUNCTION("""COMPUTED_VALUE"""),36427.666666666664)</f>
        <v>36427.66667</v>
      </c>
      <c r="B4989" s="2">
        <f>IFERROR(__xludf.DUMMYFUNCTION("""COMPUTED_VALUE"""),115.1)</f>
        <v>115.1</v>
      </c>
      <c r="C4989" s="2">
        <f>IFERROR(__xludf.DUMMYFUNCTION("""COMPUTED_VALUE"""),119.4)</f>
        <v>119.4</v>
      </c>
      <c r="D4989" s="2">
        <f>IFERROR(__xludf.DUMMYFUNCTION("""COMPUTED_VALUE"""),115.1)</f>
        <v>115.1</v>
      </c>
      <c r="E4989" s="2">
        <f>IFERROR(__xludf.DUMMYFUNCTION("""COMPUTED_VALUE"""),119.4)</f>
        <v>119.4</v>
      </c>
      <c r="F4989" s="2">
        <f>IFERROR(__xludf.DUMMYFUNCTION("""COMPUTED_VALUE"""),6039600.0)</f>
        <v>6039600</v>
      </c>
    </row>
    <row r="4990">
      <c r="A4990" s="3">
        <f>IFERROR(__xludf.DUMMYFUNCTION("""COMPUTED_VALUE"""),36430.666666666664)</f>
        <v>36430.66667</v>
      </c>
      <c r="B4990" s="2">
        <f>IFERROR(__xludf.DUMMYFUNCTION("""COMPUTED_VALUE"""),120.95)</f>
        <v>120.95</v>
      </c>
      <c r="C4990" s="2">
        <f>IFERROR(__xludf.DUMMYFUNCTION("""COMPUTED_VALUE"""),121.13)</f>
        <v>121.13</v>
      </c>
      <c r="D4990" s="2">
        <f>IFERROR(__xludf.DUMMYFUNCTION("""COMPUTED_VALUE"""),115.99)</f>
        <v>115.99</v>
      </c>
      <c r="E4990" s="2">
        <f>IFERROR(__xludf.DUMMYFUNCTION("""COMPUTED_VALUE"""),117.49)</f>
        <v>117.49</v>
      </c>
      <c r="F4990" s="2">
        <f>IFERROR(__xludf.DUMMYFUNCTION("""COMPUTED_VALUE"""),5931000.0)</f>
        <v>5931000</v>
      </c>
    </row>
    <row r="4991">
      <c r="A4991" s="3">
        <f>IFERROR(__xludf.DUMMYFUNCTION("""COMPUTED_VALUE"""),36431.666666666664)</f>
        <v>36431.66667</v>
      </c>
      <c r="B4991" s="2">
        <f>IFERROR(__xludf.DUMMYFUNCTION("""COMPUTED_VALUE"""),117.49)</f>
        <v>117.49</v>
      </c>
      <c r="C4991" s="2">
        <f>IFERROR(__xludf.DUMMYFUNCTION("""COMPUTED_VALUE"""),119.16)</f>
        <v>119.16</v>
      </c>
      <c r="D4991" s="2">
        <f>IFERROR(__xludf.DUMMYFUNCTION("""COMPUTED_VALUE"""),116.23)</f>
        <v>116.23</v>
      </c>
      <c r="E4991" s="2">
        <f>IFERROR(__xludf.DUMMYFUNCTION("""COMPUTED_VALUE"""),118.26)</f>
        <v>118.26</v>
      </c>
      <c r="F4991" s="2">
        <f>IFERROR(__xludf.DUMMYFUNCTION("""COMPUTED_VALUE"""),6038200.0)</f>
        <v>6038200</v>
      </c>
    </row>
    <row r="4992">
      <c r="A4992" s="3">
        <f>IFERROR(__xludf.DUMMYFUNCTION("""COMPUTED_VALUE"""),36432.666666666664)</f>
        <v>36432.66667</v>
      </c>
      <c r="B4992" s="2">
        <f>IFERROR(__xludf.DUMMYFUNCTION("""COMPUTED_VALUE"""),116.47)</f>
        <v>116.47</v>
      </c>
      <c r="C4992" s="2">
        <f>IFERROR(__xludf.DUMMYFUNCTION("""COMPUTED_VALUE"""),117.25)</f>
        <v>117.25</v>
      </c>
      <c r="D4992" s="2">
        <f>IFERROR(__xludf.DUMMYFUNCTION("""COMPUTED_VALUE"""),114.68)</f>
        <v>114.68</v>
      </c>
      <c r="E4992" s="2">
        <f>IFERROR(__xludf.DUMMYFUNCTION("""COMPUTED_VALUE"""),114.74)</f>
        <v>114.74</v>
      </c>
      <c r="F4992" s="2">
        <f>IFERROR(__xludf.DUMMYFUNCTION("""COMPUTED_VALUE"""),6653000.0)</f>
        <v>6653000</v>
      </c>
    </row>
    <row r="4993">
      <c r="A4993" s="3">
        <f>IFERROR(__xludf.DUMMYFUNCTION("""COMPUTED_VALUE"""),36433.666666666664)</f>
        <v>36433.66667</v>
      </c>
      <c r="B4993" s="2">
        <f>IFERROR(__xludf.DUMMYFUNCTION("""COMPUTED_VALUE"""),115.57)</f>
        <v>115.57</v>
      </c>
      <c r="C4993" s="2">
        <f>IFERROR(__xludf.DUMMYFUNCTION("""COMPUTED_VALUE"""),116.77)</f>
        <v>116.77</v>
      </c>
      <c r="D4993" s="2">
        <f>IFERROR(__xludf.DUMMYFUNCTION("""COMPUTED_VALUE"""),114.26)</f>
        <v>114.26</v>
      </c>
      <c r="E4993" s="2">
        <f>IFERROR(__xludf.DUMMYFUNCTION("""COMPUTED_VALUE"""),115.93)</f>
        <v>115.93</v>
      </c>
      <c r="F4993" s="2">
        <f>IFERROR(__xludf.DUMMYFUNCTION("""COMPUTED_VALUE"""),5196900.0)</f>
        <v>5196900</v>
      </c>
    </row>
    <row r="4994">
      <c r="A4994" s="3">
        <f>IFERROR(__xludf.DUMMYFUNCTION("""COMPUTED_VALUE"""),36434.666666666664)</f>
        <v>36434.66667</v>
      </c>
      <c r="B4994" s="2">
        <f>IFERROR(__xludf.DUMMYFUNCTION("""COMPUTED_VALUE"""),115.57)</f>
        <v>115.57</v>
      </c>
      <c r="C4994" s="2">
        <f>IFERROR(__xludf.DUMMYFUNCTION("""COMPUTED_VALUE"""),115.63)</f>
        <v>115.63</v>
      </c>
      <c r="D4994" s="2">
        <f>IFERROR(__xludf.DUMMYFUNCTION("""COMPUTED_VALUE"""),110.32)</f>
        <v>110.32</v>
      </c>
      <c r="E4994" s="2">
        <f>IFERROR(__xludf.DUMMYFUNCTION("""COMPUTED_VALUE"""),112.53)</f>
        <v>112.53</v>
      </c>
      <c r="F4994" s="2">
        <f>IFERROR(__xludf.DUMMYFUNCTION("""COMPUTED_VALUE"""),8397700.0)</f>
        <v>8397700</v>
      </c>
    </row>
    <row r="4995">
      <c r="A4995" s="3">
        <f>IFERROR(__xludf.DUMMYFUNCTION("""COMPUTED_VALUE"""),36437.666666666664)</f>
        <v>36437.66667</v>
      </c>
      <c r="B4995" s="2">
        <f>IFERROR(__xludf.DUMMYFUNCTION("""COMPUTED_VALUE"""),112.71)</f>
        <v>112.71</v>
      </c>
      <c r="C4995" s="2">
        <f>IFERROR(__xludf.DUMMYFUNCTION("""COMPUTED_VALUE"""),114.62)</f>
        <v>114.62</v>
      </c>
      <c r="D4995" s="2">
        <f>IFERROR(__xludf.DUMMYFUNCTION("""COMPUTED_VALUE"""),111.58)</f>
        <v>111.58</v>
      </c>
      <c r="E4995" s="2">
        <f>IFERROR(__xludf.DUMMYFUNCTION("""COMPUTED_VALUE"""),114.62)</f>
        <v>114.62</v>
      </c>
      <c r="F4995" s="2">
        <f>IFERROR(__xludf.DUMMYFUNCTION("""COMPUTED_VALUE"""),5774500.0)</f>
        <v>5774500</v>
      </c>
    </row>
    <row r="4996">
      <c r="A4996" s="3">
        <f>IFERROR(__xludf.DUMMYFUNCTION("""COMPUTED_VALUE"""),36438.666666666664)</f>
        <v>36438.66667</v>
      </c>
      <c r="B4996" s="2">
        <f>IFERROR(__xludf.DUMMYFUNCTION("""COMPUTED_VALUE"""),116.53)</f>
        <v>116.53</v>
      </c>
      <c r="C4996" s="2">
        <f>IFERROR(__xludf.DUMMYFUNCTION("""COMPUTED_VALUE"""),117.72)</f>
        <v>117.72</v>
      </c>
      <c r="D4996" s="2">
        <f>IFERROR(__xludf.DUMMYFUNCTION("""COMPUTED_VALUE"""),113.72)</f>
        <v>113.72</v>
      </c>
      <c r="E4996" s="2">
        <f>IFERROR(__xludf.DUMMYFUNCTION("""COMPUTED_VALUE"""),116.59)</f>
        <v>116.59</v>
      </c>
      <c r="F4996" s="2">
        <f>IFERROR(__xludf.DUMMYFUNCTION("""COMPUTED_VALUE"""),5289500.0)</f>
        <v>5289500</v>
      </c>
    </row>
    <row r="4997">
      <c r="A4997" s="3">
        <f>IFERROR(__xludf.DUMMYFUNCTION("""COMPUTED_VALUE"""),36439.666666666664)</f>
        <v>36439.66667</v>
      </c>
      <c r="B4997" s="2">
        <f>IFERROR(__xludf.DUMMYFUNCTION("""COMPUTED_VALUE"""),116.77)</f>
        <v>116.77</v>
      </c>
      <c r="C4997" s="2">
        <f>IFERROR(__xludf.DUMMYFUNCTION("""COMPUTED_VALUE"""),117.25)</f>
        <v>117.25</v>
      </c>
      <c r="D4997" s="2">
        <f>IFERROR(__xludf.DUMMYFUNCTION("""COMPUTED_VALUE"""),113.72)</f>
        <v>113.72</v>
      </c>
      <c r="E4997" s="2">
        <f>IFERROR(__xludf.DUMMYFUNCTION("""COMPUTED_VALUE"""),113.78)</f>
        <v>113.78</v>
      </c>
      <c r="F4997" s="2">
        <f>IFERROR(__xludf.DUMMYFUNCTION("""COMPUTED_VALUE"""),6634600.0)</f>
        <v>6634600</v>
      </c>
    </row>
    <row r="4998">
      <c r="A4998" s="3">
        <f>IFERROR(__xludf.DUMMYFUNCTION("""COMPUTED_VALUE"""),36440.666666666664)</f>
        <v>36440.66667</v>
      </c>
      <c r="B4998" s="2">
        <f>IFERROR(__xludf.DUMMYFUNCTION("""COMPUTED_VALUE"""),113.78)</f>
        <v>113.78</v>
      </c>
      <c r="C4998" s="2">
        <f>IFERROR(__xludf.DUMMYFUNCTION("""COMPUTED_VALUE"""),113.78)</f>
        <v>113.78</v>
      </c>
      <c r="D4998" s="2">
        <f>IFERROR(__xludf.DUMMYFUNCTION("""COMPUTED_VALUE"""),109.9)</f>
        <v>109.9</v>
      </c>
      <c r="E4998" s="2">
        <f>IFERROR(__xludf.DUMMYFUNCTION("""COMPUTED_VALUE"""),111.04)</f>
        <v>111.04</v>
      </c>
      <c r="F4998" s="2">
        <f>IFERROR(__xludf.DUMMYFUNCTION("""COMPUTED_VALUE"""),1.08077E7)</f>
        <v>10807700</v>
      </c>
    </row>
    <row r="4999">
      <c r="A4999" s="3">
        <f>IFERROR(__xludf.DUMMYFUNCTION("""COMPUTED_VALUE"""),36441.666666666664)</f>
        <v>36441.66667</v>
      </c>
      <c r="B4999" s="2">
        <f>IFERROR(__xludf.DUMMYFUNCTION("""COMPUTED_VALUE"""),113.78)</f>
        <v>113.78</v>
      </c>
      <c r="C4999" s="2">
        <f>IFERROR(__xludf.DUMMYFUNCTION("""COMPUTED_VALUE"""),113.78)</f>
        <v>113.78</v>
      </c>
      <c r="D4999" s="2">
        <f>IFERROR(__xludf.DUMMYFUNCTION("""COMPUTED_VALUE"""),106.08)</f>
        <v>106.08</v>
      </c>
      <c r="E4999" s="2">
        <f>IFERROR(__xludf.DUMMYFUNCTION("""COMPUTED_VALUE"""),108.41)</f>
        <v>108.41</v>
      </c>
      <c r="F4999" s="2">
        <f>IFERROR(__xludf.DUMMYFUNCTION("""COMPUTED_VALUE"""),1.31914E7)</f>
        <v>13191400</v>
      </c>
    </row>
    <row r="5000">
      <c r="A5000" s="3">
        <f>IFERROR(__xludf.DUMMYFUNCTION("""COMPUTED_VALUE"""),36444.666666666664)</f>
        <v>36444.66667</v>
      </c>
      <c r="B5000" s="2">
        <f>IFERROR(__xludf.DUMMYFUNCTION("""COMPUTED_VALUE"""),108.41)</f>
        <v>108.41</v>
      </c>
      <c r="C5000" s="2">
        <f>IFERROR(__xludf.DUMMYFUNCTION("""COMPUTED_VALUE"""),111.46)</f>
        <v>111.46</v>
      </c>
      <c r="D5000" s="2">
        <f>IFERROR(__xludf.DUMMYFUNCTION("""COMPUTED_VALUE"""),108.05)</f>
        <v>108.05</v>
      </c>
      <c r="E5000" s="2">
        <f>IFERROR(__xludf.DUMMYFUNCTION("""COMPUTED_VALUE"""),109.19)</f>
        <v>109.19</v>
      </c>
      <c r="F5000" s="2">
        <f>IFERROR(__xludf.DUMMYFUNCTION("""COMPUTED_VALUE"""),6092800.0)</f>
        <v>6092800</v>
      </c>
    </row>
    <row r="5001">
      <c r="A5001" s="3">
        <f>IFERROR(__xludf.DUMMYFUNCTION("""COMPUTED_VALUE"""),36445.666666666664)</f>
        <v>36445.66667</v>
      </c>
      <c r="B5001" s="2">
        <f>IFERROR(__xludf.DUMMYFUNCTION("""COMPUTED_VALUE"""),108.89)</f>
        <v>108.89</v>
      </c>
      <c r="C5001" s="2">
        <f>IFERROR(__xludf.DUMMYFUNCTION("""COMPUTED_VALUE"""),109.31)</f>
        <v>109.31</v>
      </c>
      <c r="D5001" s="2">
        <f>IFERROR(__xludf.DUMMYFUNCTION("""COMPUTED_VALUE"""),105.84)</f>
        <v>105.84</v>
      </c>
      <c r="E5001" s="2">
        <f>IFERROR(__xludf.DUMMYFUNCTION("""COMPUTED_VALUE"""),105.9)</f>
        <v>105.9</v>
      </c>
      <c r="F5001" s="2">
        <f>IFERROR(__xludf.DUMMYFUNCTION("""COMPUTED_VALUE"""),6323300.0)</f>
        <v>6323300</v>
      </c>
    </row>
    <row r="5002">
      <c r="A5002" s="3">
        <f>IFERROR(__xludf.DUMMYFUNCTION("""COMPUTED_VALUE"""),36446.666666666664)</f>
        <v>36446.66667</v>
      </c>
      <c r="B5002" s="2">
        <f>IFERROR(__xludf.DUMMYFUNCTION("""COMPUTED_VALUE"""),105.84)</f>
        <v>105.84</v>
      </c>
      <c r="C5002" s="2">
        <f>IFERROR(__xludf.DUMMYFUNCTION("""COMPUTED_VALUE"""),105.84)</f>
        <v>105.84</v>
      </c>
      <c r="D5002" s="2">
        <f>IFERROR(__xludf.DUMMYFUNCTION("""COMPUTED_VALUE"""),100.35)</f>
        <v>100.35</v>
      </c>
      <c r="E5002" s="2">
        <f>IFERROR(__xludf.DUMMYFUNCTION("""COMPUTED_VALUE"""),100.35)</f>
        <v>100.35</v>
      </c>
      <c r="F5002" s="2">
        <f>IFERROR(__xludf.DUMMYFUNCTION("""COMPUTED_VALUE"""),1.17153E7)</f>
        <v>11715300</v>
      </c>
    </row>
    <row r="5003">
      <c r="A5003" s="3">
        <f>IFERROR(__xludf.DUMMYFUNCTION("""COMPUTED_VALUE"""),36447.666666666664)</f>
        <v>36447.66667</v>
      </c>
      <c r="B5003" s="2">
        <f>IFERROR(__xludf.DUMMYFUNCTION("""COMPUTED_VALUE"""),101.72)</f>
        <v>101.72</v>
      </c>
      <c r="C5003" s="2">
        <f>IFERROR(__xludf.DUMMYFUNCTION("""COMPUTED_VALUE"""),102.38)</f>
        <v>102.38</v>
      </c>
      <c r="D5003" s="2">
        <f>IFERROR(__xludf.DUMMYFUNCTION("""COMPUTED_VALUE"""),99.99)</f>
        <v>99.99</v>
      </c>
      <c r="E5003" s="2">
        <f>IFERROR(__xludf.DUMMYFUNCTION("""COMPUTED_VALUE"""),102.08)</f>
        <v>102.08</v>
      </c>
      <c r="F5003" s="2">
        <f>IFERROR(__xludf.DUMMYFUNCTION("""COMPUTED_VALUE"""),1.16702E7)</f>
        <v>11670200</v>
      </c>
    </row>
    <row r="5004">
      <c r="A5004" s="3">
        <f>IFERROR(__xludf.DUMMYFUNCTION("""COMPUTED_VALUE"""),36448.666666666664)</f>
        <v>36448.66667</v>
      </c>
      <c r="B5004" s="2">
        <f>IFERROR(__xludf.DUMMYFUNCTION("""COMPUTED_VALUE"""),101.67)</f>
        <v>101.67</v>
      </c>
      <c r="C5004" s="2">
        <f>IFERROR(__xludf.DUMMYFUNCTION("""COMPUTED_VALUE"""),103.99)</f>
        <v>103.99</v>
      </c>
      <c r="D5004" s="2">
        <f>IFERROR(__xludf.DUMMYFUNCTION("""COMPUTED_VALUE"""),99.28)</f>
        <v>99.28</v>
      </c>
      <c r="E5004" s="2">
        <f>IFERROR(__xludf.DUMMYFUNCTION("""COMPUTED_VALUE"""),102.68)</f>
        <v>102.68</v>
      </c>
      <c r="F5004" s="2">
        <f>IFERROR(__xludf.DUMMYFUNCTION("""COMPUTED_VALUE"""),1.16221E7)</f>
        <v>11622100</v>
      </c>
    </row>
    <row r="5005">
      <c r="A5005" s="3">
        <f>IFERROR(__xludf.DUMMYFUNCTION("""COMPUTED_VALUE"""),36451.666666666664)</f>
        <v>36451.66667</v>
      </c>
      <c r="B5005" s="2">
        <f>IFERROR(__xludf.DUMMYFUNCTION("""COMPUTED_VALUE"""),103.16)</f>
        <v>103.16</v>
      </c>
      <c r="C5005" s="2">
        <f>IFERROR(__xludf.DUMMYFUNCTION("""COMPUTED_VALUE"""),104.05)</f>
        <v>104.05</v>
      </c>
      <c r="D5005" s="2">
        <f>IFERROR(__xludf.DUMMYFUNCTION("""COMPUTED_VALUE"""),99.99)</f>
        <v>99.99</v>
      </c>
      <c r="E5005" s="2">
        <f>IFERROR(__xludf.DUMMYFUNCTION("""COMPUTED_VALUE"""),102.2)</f>
        <v>102.2</v>
      </c>
      <c r="F5005" s="2">
        <f>IFERROR(__xludf.DUMMYFUNCTION("""COMPUTED_VALUE"""),7558700.0)</f>
        <v>7558700</v>
      </c>
    </row>
    <row r="5006">
      <c r="A5006" s="3">
        <f>IFERROR(__xludf.DUMMYFUNCTION("""COMPUTED_VALUE"""),36452.666666666664)</f>
        <v>36452.66667</v>
      </c>
      <c r="B5006" s="2">
        <f>IFERROR(__xludf.DUMMYFUNCTION("""COMPUTED_VALUE"""),102.2)</f>
        <v>102.2</v>
      </c>
      <c r="C5006" s="2">
        <f>IFERROR(__xludf.DUMMYFUNCTION("""COMPUTED_VALUE"""),103.64)</f>
        <v>103.64</v>
      </c>
      <c r="D5006" s="2">
        <f>IFERROR(__xludf.DUMMYFUNCTION("""COMPUTED_VALUE"""),100.71)</f>
        <v>100.71</v>
      </c>
      <c r="E5006" s="2">
        <f>IFERROR(__xludf.DUMMYFUNCTION("""COMPUTED_VALUE"""),101.78)</f>
        <v>101.78</v>
      </c>
      <c r="F5006" s="2">
        <f>IFERROR(__xludf.DUMMYFUNCTION("""COMPUTED_VALUE"""),6850300.0)</f>
        <v>6850300</v>
      </c>
    </row>
    <row r="5007">
      <c r="A5007" s="3">
        <f>IFERROR(__xludf.DUMMYFUNCTION("""COMPUTED_VALUE"""),36453.666666666664)</f>
        <v>36453.66667</v>
      </c>
      <c r="B5007" s="2">
        <f>IFERROR(__xludf.DUMMYFUNCTION("""COMPUTED_VALUE"""),103.75)</f>
        <v>103.75</v>
      </c>
      <c r="C5007" s="2">
        <f>IFERROR(__xludf.DUMMYFUNCTION("""COMPUTED_VALUE"""),107.75)</f>
        <v>107.75</v>
      </c>
      <c r="D5007" s="2">
        <f>IFERROR(__xludf.DUMMYFUNCTION("""COMPUTED_VALUE"""),102.98)</f>
        <v>102.98</v>
      </c>
      <c r="E5007" s="2">
        <f>IFERROR(__xludf.DUMMYFUNCTION("""COMPUTED_VALUE"""),107.69)</f>
        <v>107.69</v>
      </c>
      <c r="F5007" s="2">
        <f>IFERROR(__xludf.DUMMYFUNCTION("""COMPUTED_VALUE"""),8552600.0)</f>
        <v>8552600</v>
      </c>
    </row>
    <row r="5008">
      <c r="A5008" s="3">
        <f>IFERROR(__xludf.DUMMYFUNCTION("""COMPUTED_VALUE"""),36454.666666666664)</f>
        <v>36454.66667</v>
      </c>
      <c r="B5008" s="2">
        <f>IFERROR(__xludf.DUMMYFUNCTION("""COMPUTED_VALUE"""),86.08)</f>
        <v>86.08</v>
      </c>
      <c r="C5008" s="2">
        <f>IFERROR(__xludf.DUMMYFUNCTION("""COMPUTED_VALUE"""),88.71)</f>
        <v>88.71</v>
      </c>
      <c r="D5008" s="2">
        <f>IFERROR(__xludf.DUMMYFUNCTION("""COMPUTED_VALUE"""),85.73)</f>
        <v>85.73</v>
      </c>
      <c r="E5008" s="2">
        <f>IFERROR(__xludf.DUMMYFUNCTION("""COMPUTED_VALUE"""),86.92)</f>
        <v>86.92</v>
      </c>
      <c r="F5008" s="2">
        <f>IFERROR(__xludf.DUMMYFUNCTION("""COMPUTED_VALUE"""),5.40891E7)</f>
        <v>54089100</v>
      </c>
    </row>
    <row r="5009">
      <c r="A5009" s="3">
        <f>IFERROR(__xludf.DUMMYFUNCTION("""COMPUTED_VALUE"""),36455.666666666664)</f>
        <v>36455.66667</v>
      </c>
      <c r="B5009" s="2">
        <f>IFERROR(__xludf.DUMMYFUNCTION("""COMPUTED_VALUE"""),90.26)</f>
        <v>90.26</v>
      </c>
      <c r="C5009" s="2">
        <f>IFERROR(__xludf.DUMMYFUNCTION("""COMPUTED_VALUE"""),90.26)</f>
        <v>90.26</v>
      </c>
      <c r="D5009" s="2">
        <f>IFERROR(__xludf.DUMMYFUNCTION("""COMPUTED_VALUE"""),88.41)</f>
        <v>88.41</v>
      </c>
      <c r="E5009" s="2">
        <f>IFERROR(__xludf.DUMMYFUNCTION("""COMPUTED_VALUE"""),89.73)</f>
        <v>89.73</v>
      </c>
      <c r="F5009" s="2">
        <f>IFERROR(__xludf.DUMMYFUNCTION("""COMPUTED_VALUE"""),1.88662E7)</f>
        <v>18866200</v>
      </c>
    </row>
    <row r="5010">
      <c r="A5010" s="3">
        <f>IFERROR(__xludf.DUMMYFUNCTION("""COMPUTED_VALUE"""),36458.666666666664)</f>
        <v>36458.66667</v>
      </c>
      <c r="B5010" s="2">
        <f>IFERROR(__xludf.DUMMYFUNCTION("""COMPUTED_VALUE"""),90.26)</f>
        <v>90.26</v>
      </c>
      <c r="C5010" s="2">
        <f>IFERROR(__xludf.DUMMYFUNCTION("""COMPUTED_VALUE"""),90.74)</f>
        <v>90.74</v>
      </c>
      <c r="D5010" s="2">
        <f>IFERROR(__xludf.DUMMYFUNCTION("""COMPUTED_VALUE"""),87.99)</f>
        <v>87.99</v>
      </c>
      <c r="E5010" s="2">
        <f>IFERROR(__xludf.DUMMYFUNCTION("""COMPUTED_VALUE"""),89.79)</f>
        <v>89.79</v>
      </c>
      <c r="F5010" s="2">
        <f>IFERROR(__xludf.DUMMYFUNCTION("""COMPUTED_VALUE"""),1.06898E7)</f>
        <v>10689800</v>
      </c>
    </row>
    <row r="5011">
      <c r="A5011" s="3">
        <f>IFERROR(__xludf.DUMMYFUNCTION("""COMPUTED_VALUE"""),36459.666666666664)</f>
        <v>36459.66667</v>
      </c>
      <c r="B5011" s="2">
        <f>IFERROR(__xludf.DUMMYFUNCTION("""COMPUTED_VALUE"""),90.62)</f>
        <v>90.62</v>
      </c>
      <c r="C5011" s="2">
        <f>IFERROR(__xludf.DUMMYFUNCTION("""COMPUTED_VALUE"""),91.7)</f>
        <v>91.7</v>
      </c>
      <c r="D5011" s="2">
        <f>IFERROR(__xludf.DUMMYFUNCTION("""COMPUTED_VALUE"""),90.38)</f>
        <v>90.38</v>
      </c>
      <c r="E5011" s="2">
        <f>IFERROR(__xludf.DUMMYFUNCTION("""COMPUTED_VALUE"""),91.22)</f>
        <v>91.22</v>
      </c>
      <c r="F5011" s="2">
        <f>IFERROR(__xludf.DUMMYFUNCTION("""COMPUTED_VALUE"""),8569900.0)</f>
        <v>8569900</v>
      </c>
    </row>
    <row r="5012">
      <c r="A5012" s="3">
        <f>IFERROR(__xludf.DUMMYFUNCTION("""COMPUTED_VALUE"""),36460.666666666664)</f>
        <v>36460.66667</v>
      </c>
      <c r="B5012" s="2">
        <f>IFERROR(__xludf.DUMMYFUNCTION("""COMPUTED_VALUE"""),91.22)</f>
        <v>91.22</v>
      </c>
      <c r="C5012" s="2">
        <f>IFERROR(__xludf.DUMMYFUNCTION("""COMPUTED_VALUE"""),91.22)</f>
        <v>91.22</v>
      </c>
      <c r="D5012" s="2">
        <f>IFERROR(__xludf.DUMMYFUNCTION("""COMPUTED_VALUE"""),88.65)</f>
        <v>88.65</v>
      </c>
      <c r="E5012" s="2">
        <f>IFERROR(__xludf.DUMMYFUNCTION("""COMPUTED_VALUE"""),89.61)</f>
        <v>89.61</v>
      </c>
      <c r="F5012" s="2">
        <f>IFERROR(__xludf.DUMMYFUNCTION("""COMPUTED_VALUE"""),7633000.0)</f>
        <v>7633000</v>
      </c>
    </row>
    <row r="5013">
      <c r="A5013" s="3">
        <f>IFERROR(__xludf.DUMMYFUNCTION("""COMPUTED_VALUE"""),36461.666666666664)</f>
        <v>36461.66667</v>
      </c>
      <c r="B5013" s="2">
        <f>IFERROR(__xludf.DUMMYFUNCTION("""COMPUTED_VALUE"""),90.26)</f>
        <v>90.26</v>
      </c>
      <c r="C5013" s="2">
        <f>IFERROR(__xludf.DUMMYFUNCTION("""COMPUTED_VALUE"""),91.04)</f>
        <v>91.04</v>
      </c>
      <c r="D5013" s="2">
        <f>IFERROR(__xludf.DUMMYFUNCTION("""COMPUTED_VALUE"""),90.02)</f>
        <v>90.02</v>
      </c>
      <c r="E5013" s="2">
        <f>IFERROR(__xludf.DUMMYFUNCTION("""COMPUTED_VALUE"""),90.68)</f>
        <v>90.68</v>
      </c>
      <c r="F5013" s="2">
        <f>IFERROR(__xludf.DUMMYFUNCTION("""COMPUTED_VALUE"""),7355400.0)</f>
        <v>7355400</v>
      </c>
    </row>
    <row r="5014">
      <c r="A5014" s="3">
        <f>IFERROR(__xludf.DUMMYFUNCTION("""COMPUTED_VALUE"""),36462.666666666664)</f>
        <v>36462.66667</v>
      </c>
      <c r="B5014" s="2">
        <f>IFERROR(__xludf.DUMMYFUNCTION("""COMPUTED_VALUE"""),92.65)</f>
        <v>92.65</v>
      </c>
      <c r="C5014" s="2">
        <f>IFERROR(__xludf.DUMMYFUNCTION("""COMPUTED_VALUE"""),94.56)</f>
        <v>94.56</v>
      </c>
      <c r="D5014" s="2">
        <f>IFERROR(__xludf.DUMMYFUNCTION("""COMPUTED_VALUE"""),91.93)</f>
        <v>91.93</v>
      </c>
      <c r="E5014" s="2">
        <f>IFERROR(__xludf.DUMMYFUNCTION("""COMPUTED_VALUE"""),93.96)</f>
        <v>93.96</v>
      </c>
      <c r="F5014" s="2">
        <f>IFERROR(__xludf.DUMMYFUNCTION("""COMPUTED_VALUE"""),8350900.0)</f>
        <v>8350900</v>
      </c>
    </row>
    <row r="5015">
      <c r="A5015" s="3">
        <f>IFERROR(__xludf.DUMMYFUNCTION("""COMPUTED_VALUE"""),36465.666666666664)</f>
        <v>36465.66667</v>
      </c>
      <c r="B5015" s="2">
        <f>IFERROR(__xludf.DUMMYFUNCTION("""COMPUTED_VALUE"""),94.08)</f>
        <v>94.08</v>
      </c>
      <c r="C5015" s="2">
        <f>IFERROR(__xludf.DUMMYFUNCTION("""COMPUTED_VALUE"""),94.38)</f>
        <v>94.38</v>
      </c>
      <c r="D5015" s="2">
        <f>IFERROR(__xludf.DUMMYFUNCTION("""COMPUTED_VALUE"""),92.05)</f>
        <v>92.05</v>
      </c>
      <c r="E5015" s="2">
        <f>IFERROR(__xludf.DUMMYFUNCTION("""COMPUTED_VALUE"""),92.41)</f>
        <v>92.41</v>
      </c>
      <c r="F5015" s="2">
        <f>IFERROR(__xludf.DUMMYFUNCTION("""COMPUTED_VALUE"""),7631200.0)</f>
        <v>7631200</v>
      </c>
    </row>
    <row r="5016">
      <c r="A5016" s="3">
        <f>IFERROR(__xludf.DUMMYFUNCTION("""COMPUTED_VALUE"""),36466.666666666664)</f>
        <v>36466.66667</v>
      </c>
      <c r="B5016" s="2">
        <f>IFERROR(__xludf.DUMMYFUNCTION("""COMPUTED_VALUE"""),92.41)</f>
        <v>92.41</v>
      </c>
      <c r="C5016" s="2">
        <f>IFERROR(__xludf.DUMMYFUNCTION("""COMPUTED_VALUE"""),92.41)</f>
        <v>92.41</v>
      </c>
      <c r="D5016" s="2">
        <f>IFERROR(__xludf.DUMMYFUNCTION("""COMPUTED_VALUE"""),89.49)</f>
        <v>89.49</v>
      </c>
      <c r="E5016" s="2">
        <f>IFERROR(__xludf.DUMMYFUNCTION("""COMPUTED_VALUE"""),90.56)</f>
        <v>90.56</v>
      </c>
      <c r="F5016" s="2">
        <f>IFERROR(__xludf.DUMMYFUNCTION("""COMPUTED_VALUE"""),8614300.0)</f>
        <v>8614300</v>
      </c>
    </row>
    <row r="5017">
      <c r="A5017" s="3">
        <f>IFERROR(__xludf.DUMMYFUNCTION("""COMPUTED_VALUE"""),36467.666666666664)</f>
        <v>36467.66667</v>
      </c>
      <c r="B5017" s="2">
        <f>IFERROR(__xludf.DUMMYFUNCTION("""COMPUTED_VALUE"""),92.41)</f>
        <v>92.41</v>
      </c>
      <c r="C5017" s="2">
        <f>IFERROR(__xludf.DUMMYFUNCTION("""COMPUTED_VALUE"""),92.41)</f>
        <v>92.41</v>
      </c>
      <c r="D5017" s="2">
        <f>IFERROR(__xludf.DUMMYFUNCTION("""COMPUTED_VALUE"""),89.31)</f>
        <v>89.31</v>
      </c>
      <c r="E5017" s="2">
        <f>IFERROR(__xludf.DUMMYFUNCTION("""COMPUTED_VALUE"""),90.2)</f>
        <v>90.2</v>
      </c>
      <c r="F5017" s="2">
        <f>IFERROR(__xludf.DUMMYFUNCTION("""COMPUTED_VALUE"""),8094700.0)</f>
        <v>8094700</v>
      </c>
    </row>
    <row r="5018">
      <c r="A5018" s="3">
        <f>IFERROR(__xludf.DUMMYFUNCTION("""COMPUTED_VALUE"""),36468.666666666664)</f>
        <v>36468.66667</v>
      </c>
      <c r="B5018" s="2">
        <f>IFERROR(__xludf.DUMMYFUNCTION("""COMPUTED_VALUE"""),90.2)</f>
        <v>90.2</v>
      </c>
      <c r="C5018" s="2">
        <f>IFERROR(__xludf.DUMMYFUNCTION("""COMPUTED_VALUE"""),90.2)</f>
        <v>90.2</v>
      </c>
      <c r="D5018" s="2">
        <f>IFERROR(__xludf.DUMMYFUNCTION("""COMPUTED_VALUE"""),86.2)</f>
        <v>86.2</v>
      </c>
      <c r="E5018" s="2">
        <f>IFERROR(__xludf.DUMMYFUNCTION("""COMPUTED_VALUE"""),87.46)</f>
        <v>87.46</v>
      </c>
      <c r="F5018" s="2">
        <f>IFERROR(__xludf.DUMMYFUNCTION("""COMPUTED_VALUE"""),1.21937E7)</f>
        <v>12193700</v>
      </c>
    </row>
    <row r="5019">
      <c r="A5019" s="3">
        <f>IFERROR(__xludf.DUMMYFUNCTION("""COMPUTED_VALUE"""),36469.666666666664)</f>
        <v>36469.66667</v>
      </c>
      <c r="B5019" s="2">
        <f>IFERROR(__xludf.DUMMYFUNCTION("""COMPUTED_VALUE"""),88.59)</f>
        <v>88.59</v>
      </c>
      <c r="C5019" s="2">
        <f>IFERROR(__xludf.DUMMYFUNCTION("""COMPUTED_VALUE"""),88.71)</f>
        <v>88.71</v>
      </c>
      <c r="D5019" s="2">
        <f>IFERROR(__xludf.DUMMYFUNCTION("""COMPUTED_VALUE"""),86.14)</f>
        <v>86.14</v>
      </c>
      <c r="E5019" s="2">
        <f>IFERROR(__xludf.DUMMYFUNCTION("""COMPUTED_VALUE"""),86.14)</f>
        <v>86.14</v>
      </c>
      <c r="F5019" s="2">
        <f>IFERROR(__xludf.DUMMYFUNCTION("""COMPUTED_VALUE"""),1.03273E7)</f>
        <v>10327300</v>
      </c>
    </row>
    <row r="5020">
      <c r="A5020" s="3">
        <f>IFERROR(__xludf.DUMMYFUNCTION("""COMPUTED_VALUE"""),36472.666666666664)</f>
        <v>36472.66667</v>
      </c>
      <c r="B5020" s="2">
        <f>IFERROR(__xludf.DUMMYFUNCTION("""COMPUTED_VALUE"""),86.44)</f>
        <v>86.44</v>
      </c>
      <c r="C5020" s="2">
        <f>IFERROR(__xludf.DUMMYFUNCTION("""COMPUTED_VALUE"""),89.73)</f>
        <v>89.73</v>
      </c>
      <c r="D5020" s="2">
        <f>IFERROR(__xludf.DUMMYFUNCTION("""COMPUTED_VALUE"""),86.44)</f>
        <v>86.44</v>
      </c>
      <c r="E5020" s="2">
        <f>IFERROR(__xludf.DUMMYFUNCTION("""COMPUTED_VALUE"""),89.73)</f>
        <v>89.73</v>
      </c>
      <c r="F5020" s="2">
        <f>IFERROR(__xludf.DUMMYFUNCTION("""COMPUTED_VALUE"""),5930700.0)</f>
        <v>5930700</v>
      </c>
    </row>
    <row r="5021">
      <c r="A5021" s="3">
        <f>IFERROR(__xludf.DUMMYFUNCTION("""COMPUTED_VALUE"""),36473.666666666664)</f>
        <v>36473.66667</v>
      </c>
      <c r="B5021" s="2">
        <f>IFERROR(__xludf.DUMMYFUNCTION("""COMPUTED_VALUE"""),90.8)</f>
        <v>90.8</v>
      </c>
      <c r="C5021" s="2">
        <f>IFERROR(__xludf.DUMMYFUNCTION("""COMPUTED_VALUE"""),91.22)</f>
        <v>91.22</v>
      </c>
      <c r="D5021" s="2">
        <f>IFERROR(__xludf.DUMMYFUNCTION("""COMPUTED_VALUE"""),87.99)</f>
        <v>87.99</v>
      </c>
      <c r="E5021" s="2">
        <f>IFERROR(__xludf.DUMMYFUNCTION("""COMPUTED_VALUE"""),89.43)</f>
        <v>89.43</v>
      </c>
      <c r="F5021" s="2">
        <f>IFERROR(__xludf.DUMMYFUNCTION("""COMPUTED_VALUE"""),7332700.0)</f>
        <v>7332700</v>
      </c>
    </row>
    <row r="5022">
      <c r="A5022" s="3">
        <f>IFERROR(__xludf.DUMMYFUNCTION("""COMPUTED_VALUE"""),36474.666666666664)</f>
        <v>36474.66667</v>
      </c>
      <c r="B5022" s="2">
        <f>IFERROR(__xludf.DUMMYFUNCTION("""COMPUTED_VALUE"""),90.38)</f>
        <v>90.38</v>
      </c>
      <c r="C5022" s="2">
        <f>IFERROR(__xludf.DUMMYFUNCTION("""COMPUTED_VALUE"""),92.65)</f>
        <v>92.65</v>
      </c>
      <c r="D5022" s="2">
        <f>IFERROR(__xludf.DUMMYFUNCTION("""COMPUTED_VALUE"""),89.9)</f>
        <v>89.9</v>
      </c>
      <c r="E5022" s="2">
        <f>IFERROR(__xludf.DUMMYFUNCTION("""COMPUTED_VALUE"""),92.65)</f>
        <v>92.65</v>
      </c>
      <c r="F5022" s="2">
        <f>IFERROR(__xludf.DUMMYFUNCTION("""COMPUTED_VALUE"""),6535900.0)</f>
        <v>6535900</v>
      </c>
    </row>
    <row r="5023">
      <c r="A5023" s="3">
        <f>IFERROR(__xludf.DUMMYFUNCTION("""COMPUTED_VALUE"""),36475.666666666664)</f>
        <v>36475.66667</v>
      </c>
      <c r="B5023" s="2">
        <f>IFERROR(__xludf.DUMMYFUNCTION("""COMPUTED_VALUE"""),93.13)</f>
        <v>93.13</v>
      </c>
      <c r="C5023" s="2">
        <f>IFERROR(__xludf.DUMMYFUNCTION("""COMPUTED_VALUE"""),93.13)</f>
        <v>93.13</v>
      </c>
      <c r="D5023" s="2">
        <f>IFERROR(__xludf.DUMMYFUNCTION("""COMPUTED_VALUE"""),90.62)</f>
        <v>90.62</v>
      </c>
      <c r="E5023" s="2">
        <f>IFERROR(__xludf.DUMMYFUNCTION("""COMPUTED_VALUE"""),90.86)</f>
        <v>90.86</v>
      </c>
      <c r="F5023" s="2">
        <f>IFERROR(__xludf.DUMMYFUNCTION("""COMPUTED_VALUE"""),5376100.0)</f>
        <v>5376100</v>
      </c>
    </row>
    <row r="5024">
      <c r="A5024" s="3">
        <f>IFERROR(__xludf.DUMMYFUNCTION("""COMPUTED_VALUE"""),36476.666666666664)</f>
        <v>36476.66667</v>
      </c>
      <c r="B5024" s="2">
        <f>IFERROR(__xludf.DUMMYFUNCTION("""COMPUTED_VALUE"""),91.7)</f>
        <v>91.7</v>
      </c>
      <c r="C5024" s="2">
        <f>IFERROR(__xludf.DUMMYFUNCTION("""COMPUTED_VALUE"""),91.82)</f>
        <v>91.82</v>
      </c>
      <c r="D5024" s="2">
        <f>IFERROR(__xludf.DUMMYFUNCTION("""COMPUTED_VALUE"""),88.83)</f>
        <v>88.83</v>
      </c>
      <c r="E5024" s="2">
        <f>IFERROR(__xludf.DUMMYFUNCTION("""COMPUTED_VALUE"""),91.58)</f>
        <v>91.58</v>
      </c>
      <c r="F5024" s="2">
        <f>IFERROR(__xludf.DUMMYFUNCTION("""COMPUTED_VALUE"""),7799800.0)</f>
        <v>7799800</v>
      </c>
    </row>
    <row r="5025">
      <c r="A5025" s="3">
        <f>IFERROR(__xludf.DUMMYFUNCTION("""COMPUTED_VALUE"""),36479.666666666664)</f>
        <v>36479.66667</v>
      </c>
      <c r="B5025" s="2">
        <f>IFERROR(__xludf.DUMMYFUNCTION("""COMPUTED_VALUE"""),91.7)</f>
        <v>91.7</v>
      </c>
      <c r="C5025" s="2">
        <f>IFERROR(__xludf.DUMMYFUNCTION("""COMPUTED_VALUE"""),92.05)</f>
        <v>92.05</v>
      </c>
      <c r="D5025" s="2">
        <f>IFERROR(__xludf.DUMMYFUNCTION("""COMPUTED_VALUE"""),89.67)</f>
        <v>89.67</v>
      </c>
      <c r="E5025" s="2">
        <f>IFERROR(__xludf.DUMMYFUNCTION("""COMPUTED_VALUE"""),89.73)</f>
        <v>89.73</v>
      </c>
      <c r="F5025" s="2">
        <f>IFERROR(__xludf.DUMMYFUNCTION("""COMPUTED_VALUE"""),4553300.0)</f>
        <v>4553300</v>
      </c>
    </row>
    <row r="5026">
      <c r="A5026" s="3">
        <f>IFERROR(__xludf.DUMMYFUNCTION("""COMPUTED_VALUE"""),36480.666666666664)</f>
        <v>36480.66667</v>
      </c>
      <c r="B5026" s="2">
        <f>IFERROR(__xludf.DUMMYFUNCTION("""COMPUTED_VALUE"""),90.38)</f>
        <v>90.38</v>
      </c>
      <c r="C5026" s="2">
        <f>IFERROR(__xludf.DUMMYFUNCTION("""COMPUTED_VALUE"""),90.68)</f>
        <v>90.68</v>
      </c>
      <c r="D5026" s="2">
        <f>IFERROR(__xludf.DUMMYFUNCTION("""COMPUTED_VALUE"""),88.95)</f>
        <v>88.95</v>
      </c>
      <c r="E5026" s="2">
        <f>IFERROR(__xludf.DUMMYFUNCTION("""COMPUTED_VALUE"""),90.26)</f>
        <v>90.26</v>
      </c>
      <c r="F5026" s="2">
        <f>IFERROR(__xludf.DUMMYFUNCTION("""COMPUTED_VALUE"""),6696300.0)</f>
        <v>6696300</v>
      </c>
    </row>
    <row r="5027">
      <c r="A5027" s="3">
        <f>IFERROR(__xludf.DUMMYFUNCTION("""COMPUTED_VALUE"""),36481.666666666664)</f>
        <v>36481.66667</v>
      </c>
      <c r="B5027" s="2">
        <f>IFERROR(__xludf.DUMMYFUNCTION("""COMPUTED_VALUE"""),90.62)</f>
        <v>90.62</v>
      </c>
      <c r="C5027" s="2">
        <f>IFERROR(__xludf.DUMMYFUNCTION("""COMPUTED_VALUE"""),90.62)</f>
        <v>90.62</v>
      </c>
      <c r="D5027" s="2">
        <f>IFERROR(__xludf.DUMMYFUNCTION("""COMPUTED_VALUE"""),88.47)</f>
        <v>88.47</v>
      </c>
      <c r="E5027" s="2">
        <f>IFERROR(__xludf.DUMMYFUNCTION("""COMPUTED_VALUE"""),88.83)</f>
        <v>88.83</v>
      </c>
      <c r="F5027" s="2">
        <f>IFERROR(__xludf.DUMMYFUNCTION("""COMPUTED_VALUE"""),6321400.0)</f>
        <v>6321400</v>
      </c>
    </row>
    <row r="5028">
      <c r="A5028" s="3">
        <f>IFERROR(__xludf.DUMMYFUNCTION("""COMPUTED_VALUE"""),36482.666666666664)</f>
        <v>36482.66667</v>
      </c>
      <c r="B5028" s="2">
        <f>IFERROR(__xludf.DUMMYFUNCTION("""COMPUTED_VALUE"""),89.79)</f>
        <v>89.79</v>
      </c>
      <c r="C5028" s="2">
        <f>IFERROR(__xludf.DUMMYFUNCTION("""COMPUTED_VALUE"""),93.84)</f>
        <v>93.84</v>
      </c>
      <c r="D5028" s="2">
        <f>IFERROR(__xludf.DUMMYFUNCTION("""COMPUTED_VALUE"""),89.43)</f>
        <v>89.43</v>
      </c>
      <c r="E5028" s="2">
        <f>IFERROR(__xludf.DUMMYFUNCTION("""COMPUTED_VALUE"""),93.37)</f>
        <v>93.37</v>
      </c>
      <c r="F5028" s="2">
        <f>IFERROR(__xludf.DUMMYFUNCTION("""COMPUTED_VALUE"""),1.45015E7)</f>
        <v>14501500</v>
      </c>
    </row>
    <row r="5029">
      <c r="A5029" s="3">
        <f>IFERROR(__xludf.DUMMYFUNCTION("""COMPUTED_VALUE"""),36483.666666666664)</f>
        <v>36483.66667</v>
      </c>
      <c r="B5029" s="2">
        <f>IFERROR(__xludf.DUMMYFUNCTION("""COMPUTED_VALUE"""),100.41)</f>
        <v>100.41</v>
      </c>
      <c r="C5029" s="2">
        <f>IFERROR(__xludf.DUMMYFUNCTION("""COMPUTED_VALUE"""),100.41)</f>
        <v>100.41</v>
      </c>
      <c r="D5029" s="2">
        <f>IFERROR(__xludf.DUMMYFUNCTION("""COMPUTED_VALUE"""),93.96)</f>
        <v>93.96</v>
      </c>
      <c r="E5029" s="2">
        <f>IFERROR(__xludf.DUMMYFUNCTION("""COMPUTED_VALUE"""),100.41)</f>
        <v>100.41</v>
      </c>
      <c r="F5029" s="2">
        <f>IFERROR(__xludf.DUMMYFUNCTION("""COMPUTED_VALUE"""),1.96782E7)</f>
        <v>19678200</v>
      </c>
    </row>
    <row r="5030">
      <c r="A5030" s="3">
        <f>IFERROR(__xludf.DUMMYFUNCTION("""COMPUTED_VALUE"""),36486.666666666664)</f>
        <v>36486.66667</v>
      </c>
      <c r="B5030" s="2">
        <f>IFERROR(__xludf.DUMMYFUNCTION("""COMPUTED_VALUE"""),100.29)</f>
        <v>100.29</v>
      </c>
      <c r="C5030" s="2">
        <f>IFERROR(__xludf.DUMMYFUNCTION("""COMPUTED_VALUE"""),103.58)</f>
        <v>103.58</v>
      </c>
      <c r="D5030" s="2">
        <f>IFERROR(__xludf.DUMMYFUNCTION("""COMPUTED_VALUE"""),99.87)</f>
        <v>99.87</v>
      </c>
      <c r="E5030" s="2">
        <f>IFERROR(__xludf.DUMMYFUNCTION("""COMPUTED_VALUE"""),103.04)</f>
        <v>103.04</v>
      </c>
      <c r="F5030" s="2">
        <f>IFERROR(__xludf.DUMMYFUNCTION("""COMPUTED_VALUE"""),1.10836E7)</f>
        <v>11083600</v>
      </c>
    </row>
    <row r="5031">
      <c r="A5031" s="3">
        <f>IFERROR(__xludf.DUMMYFUNCTION("""COMPUTED_VALUE"""),36487.666666666664)</f>
        <v>36487.66667</v>
      </c>
      <c r="B5031" s="2">
        <f>IFERROR(__xludf.DUMMYFUNCTION("""COMPUTED_VALUE"""),103.93)</f>
        <v>103.93</v>
      </c>
      <c r="C5031" s="2">
        <f>IFERROR(__xludf.DUMMYFUNCTION("""COMPUTED_VALUE"""),104.71)</f>
        <v>104.71</v>
      </c>
      <c r="D5031" s="2">
        <f>IFERROR(__xludf.DUMMYFUNCTION("""COMPUTED_VALUE"""),101.37)</f>
        <v>101.37</v>
      </c>
      <c r="E5031" s="2">
        <f>IFERROR(__xludf.DUMMYFUNCTION("""COMPUTED_VALUE"""),101.37)</f>
        <v>101.37</v>
      </c>
      <c r="F5031" s="2">
        <f>IFERROR(__xludf.DUMMYFUNCTION("""COMPUTED_VALUE"""),8806900.0)</f>
        <v>8806900</v>
      </c>
    </row>
    <row r="5032">
      <c r="A5032" s="3">
        <f>IFERROR(__xludf.DUMMYFUNCTION("""COMPUTED_VALUE"""),36488.666666666664)</f>
        <v>36488.66667</v>
      </c>
      <c r="B5032" s="2">
        <f>IFERROR(__xludf.DUMMYFUNCTION("""COMPUTED_VALUE"""),100.29)</f>
        <v>100.29</v>
      </c>
      <c r="C5032" s="2">
        <f>IFERROR(__xludf.DUMMYFUNCTION("""COMPUTED_VALUE"""),100.29)</f>
        <v>100.29</v>
      </c>
      <c r="D5032" s="2">
        <f>IFERROR(__xludf.DUMMYFUNCTION("""COMPUTED_VALUE"""),97.25)</f>
        <v>97.25</v>
      </c>
      <c r="E5032" s="2">
        <f>IFERROR(__xludf.DUMMYFUNCTION("""COMPUTED_VALUE"""),99.4)</f>
        <v>99.4</v>
      </c>
      <c r="F5032" s="2">
        <f>IFERROR(__xludf.DUMMYFUNCTION("""COMPUTED_VALUE"""),7015400.0)</f>
        <v>7015400</v>
      </c>
    </row>
    <row r="5033">
      <c r="A5033" s="3">
        <f>IFERROR(__xludf.DUMMYFUNCTION("""COMPUTED_VALUE"""),36490.666666666664)</f>
        <v>36490.66667</v>
      </c>
      <c r="B5033" s="2">
        <f>IFERROR(__xludf.DUMMYFUNCTION("""COMPUTED_VALUE"""),101.19)</f>
        <v>101.19</v>
      </c>
      <c r="C5033" s="2">
        <f>IFERROR(__xludf.DUMMYFUNCTION("""COMPUTED_VALUE"""),101.19)</f>
        <v>101.19</v>
      </c>
      <c r="D5033" s="2">
        <f>IFERROR(__xludf.DUMMYFUNCTION("""COMPUTED_VALUE"""),99.46)</f>
        <v>99.46</v>
      </c>
      <c r="E5033" s="2">
        <f>IFERROR(__xludf.DUMMYFUNCTION("""COMPUTED_VALUE"""),99.87)</f>
        <v>99.87</v>
      </c>
      <c r="F5033" s="2">
        <f>IFERROR(__xludf.DUMMYFUNCTION("""COMPUTED_VALUE"""),2251900.0)</f>
        <v>2251900</v>
      </c>
    </row>
    <row r="5034">
      <c r="A5034" s="3">
        <f>IFERROR(__xludf.DUMMYFUNCTION("""COMPUTED_VALUE"""),36493.666666666664)</f>
        <v>36493.66667</v>
      </c>
      <c r="B5034" s="2">
        <f>IFERROR(__xludf.DUMMYFUNCTION("""COMPUTED_VALUE"""),100.23)</f>
        <v>100.23</v>
      </c>
      <c r="C5034" s="2">
        <f>IFERROR(__xludf.DUMMYFUNCTION("""COMPUTED_VALUE"""),100.23)</f>
        <v>100.23</v>
      </c>
      <c r="D5034" s="2">
        <f>IFERROR(__xludf.DUMMYFUNCTION("""COMPUTED_VALUE"""),98.92)</f>
        <v>98.92</v>
      </c>
      <c r="E5034" s="2">
        <f>IFERROR(__xludf.DUMMYFUNCTION("""COMPUTED_VALUE"""),99.52)</f>
        <v>99.52</v>
      </c>
      <c r="F5034" s="2">
        <f>IFERROR(__xludf.DUMMYFUNCTION("""COMPUTED_VALUE"""),4586000.0)</f>
        <v>4586000</v>
      </c>
    </row>
    <row r="5035">
      <c r="A5035" s="3">
        <f>IFERROR(__xludf.DUMMYFUNCTION("""COMPUTED_VALUE"""),36494.666666666664)</f>
        <v>36494.66667</v>
      </c>
      <c r="B5035" s="2">
        <f>IFERROR(__xludf.DUMMYFUNCTION("""COMPUTED_VALUE"""),99.04)</f>
        <v>99.04</v>
      </c>
      <c r="C5035" s="2">
        <f>IFERROR(__xludf.DUMMYFUNCTION("""COMPUTED_VALUE"""),99.81)</f>
        <v>99.81</v>
      </c>
      <c r="D5035" s="2">
        <f>IFERROR(__xludf.DUMMYFUNCTION("""COMPUTED_VALUE"""),97.61)</f>
        <v>97.61</v>
      </c>
      <c r="E5035" s="2">
        <f>IFERROR(__xludf.DUMMYFUNCTION("""COMPUTED_VALUE"""),98.44)</f>
        <v>98.44</v>
      </c>
      <c r="F5035" s="2">
        <f>IFERROR(__xludf.DUMMYFUNCTION("""COMPUTED_VALUE"""),4724700.0)</f>
        <v>4724700</v>
      </c>
    </row>
    <row r="5036">
      <c r="A5036" s="3">
        <f>IFERROR(__xludf.DUMMYFUNCTION("""COMPUTED_VALUE"""),36495.666666666664)</f>
        <v>36495.66667</v>
      </c>
      <c r="B5036" s="2">
        <f>IFERROR(__xludf.DUMMYFUNCTION("""COMPUTED_VALUE"""),97.96)</f>
        <v>97.96</v>
      </c>
      <c r="C5036" s="2">
        <f>IFERROR(__xludf.DUMMYFUNCTION("""COMPUTED_VALUE"""),99.75)</f>
        <v>99.75</v>
      </c>
      <c r="D5036" s="2">
        <f>IFERROR(__xludf.DUMMYFUNCTION("""COMPUTED_VALUE"""),97.67)</f>
        <v>97.67</v>
      </c>
      <c r="E5036" s="2">
        <f>IFERROR(__xludf.DUMMYFUNCTION("""COMPUTED_VALUE"""),99.1)</f>
        <v>99.1</v>
      </c>
      <c r="F5036" s="2">
        <f>IFERROR(__xludf.DUMMYFUNCTION("""COMPUTED_VALUE"""),4349200.0)</f>
        <v>4349200</v>
      </c>
    </row>
    <row r="5037">
      <c r="A5037" s="3">
        <f>IFERROR(__xludf.DUMMYFUNCTION("""COMPUTED_VALUE"""),36496.666666666664)</f>
        <v>36496.66667</v>
      </c>
      <c r="B5037" s="2">
        <f>IFERROR(__xludf.DUMMYFUNCTION("""COMPUTED_VALUE"""),98.8)</f>
        <v>98.8</v>
      </c>
      <c r="C5037" s="2">
        <f>IFERROR(__xludf.DUMMYFUNCTION("""COMPUTED_VALUE"""),101.55)</f>
        <v>101.55</v>
      </c>
      <c r="D5037" s="2">
        <f>IFERROR(__xludf.DUMMYFUNCTION("""COMPUTED_VALUE"""),98.74)</f>
        <v>98.74</v>
      </c>
      <c r="E5037" s="2">
        <f>IFERROR(__xludf.DUMMYFUNCTION("""COMPUTED_VALUE"""),100.83)</f>
        <v>100.83</v>
      </c>
      <c r="F5037" s="2">
        <f>IFERROR(__xludf.DUMMYFUNCTION("""COMPUTED_VALUE"""),4894800.0)</f>
        <v>4894800</v>
      </c>
    </row>
    <row r="5038">
      <c r="A5038" s="3">
        <f>IFERROR(__xludf.DUMMYFUNCTION("""COMPUTED_VALUE"""),36497.666666666664)</f>
        <v>36497.66667</v>
      </c>
      <c r="B5038" s="2">
        <f>IFERROR(__xludf.DUMMYFUNCTION("""COMPUTED_VALUE"""),106.86)</f>
        <v>106.86</v>
      </c>
      <c r="C5038" s="2">
        <f>IFERROR(__xludf.DUMMYFUNCTION("""COMPUTED_VALUE"""),107.81)</f>
        <v>107.81</v>
      </c>
      <c r="D5038" s="2">
        <f>IFERROR(__xludf.DUMMYFUNCTION("""COMPUTED_VALUE"""),103.1)</f>
        <v>103.1</v>
      </c>
      <c r="E5038" s="2">
        <f>IFERROR(__xludf.DUMMYFUNCTION("""COMPUTED_VALUE"""),106.86)</f>
        <v>106.86</v>
      </c>
      <c r="F5038" s="2">
        <f>IFERROR(__xludf.DUMMYFUNCTION("""COMPUTED_VALUE"""),1.46803E7)</f>
        <v>14680300</v>
      </c>
    </row>
    <row r="5039">
      <c r="A5039" s="3">
        <f>IFERROR(__xludf.DUMMYFUNCTION("""COMPUTED_VALUE"""),36500.666666666664)</f>
        <v>36500.66667</v>
      </c>
      <c r="B5039" s="2">
        <f>IFERROR(__xludf.DUMMYFUNCTION("""COMPUTED_VALUE"""),107.93)</f>
        <v>107.93</v>
      </c>
      <c r="C5039" s="2">
        <f>IFERROR(__xludf.DUMMYFUNCTION("""COMPUTED_VALUE"""),111.28)</f>
        <v>111.28</v>
      </c>
      <c r="D5039" s="2">
        <f>IFERROR(__xludf.DUMMYFUNCTION("""COMPUTED_VALUE"""),107.52)</f>
        <v>107.52</v>
      </c>
      <c r="E5039" s="2">
        <f>IFERROR(__xludf.DUMMYFUNCTION("""COMPUTED_VALUE"""),110.8)</f>
        <v>110.8</v>
      </c>
      <c r="F5039" s="2">
        <f>IFERROR(__xludf.DUMMYFUNCTION("""COMPUTED_VALUE"""),7651600.0)</f>
        <v>7651600</v>
      </c>
    </row>
    <row r="5040">
      <c r="A5040" s="3">
        <f>IFERROR(__xludf.DUMMYFUNCTION("""COMPUTED_VALUE"""),36501.666666666664)</f>
        <v>36501.66667</v>
      </c>
      <c r="B5040" s="2">
        <f>IFERROR(__xludf.DUMMYFUNCTION("""COMPUTED_VALUE"""),111.75)</f>
        <v>111.75</v>
      </c>
      <c r="C5040" s="2">
        <f>IFERROR(__xludf.DUMMYFUNCTION("""COMPUTED_VALUE"""),113.66)</f>
        <v>113.66</v>
      </c>
      <c r="D5040" s="2">
        <f>IFERROR(__xludf.DUMMYFUNCTION("""COMPUTED_VALUE"""),110.32)</f>
        <v>110.32</v>
      </c>
      <c r="E5040" s="2">
        <f>IFERROR(__xludf.DUMMYFUNCTION("""COMPUTED_VALUE"""),110.8)</f>
        <v>110.8</v>
      </c>
      <c r="F5040" s="2">
        <f>IFERROR(__xludf.DUMMYFUNCTION("""COMPUTED_VALUE"""),8037500.0)</f>
        <v>8037500</v>
      </c>
    </row>
    <row r="5041">
      <c r="A5041" s="3">
        <f>IFERROR(__xludf.DUMMYFUNCTION("""COMPUTED_VALUE"""),36502.666666666664)</f>
        <v>36502.66667</v>
      </c>
      <c r="B5041" s="2">
        <f>IFERROR(__xludf.DUMMYFUNCTION("""COMPUTED_VALUE"""),111.04)</f>
        <v>111.04</v>
      </c>
      <c r="C5041" s="2">
        <f>IFERROR(__xludf.DUMMYFUNCTION("""COMPUTED_VALUE"""),115.57)</f>
        <v>115.57</v>
      </c>
      <c r="D5041" s="2">
        <f>IFERROR(__xludf.DUMMYFUNCTION("""COMPUTED_VALUE"""),110.32)</f>
        <v>110.32</v>
      </c>
      <c r="E5041" s="2">
        <f>IFERROR(__xludf.DUMMYFUNCTION("""COMPUTED_VALUE"""),112.83)</f>
        <v>112.83</v>
      </c>
      <c r="F5041" s="2">
        <f>IFERROR(__xludf.DUMMYFUNCTION("""COMPUTED_VALUE"""),6366600.0)</f>
        <v>6366600</v>
      </c>
    </row>
    <row r="5042">
      <c r="A5042" s="3">
        <f>IFERROR(__xludf.DUMMYFUNCTION("""COMPUTED_VALUE"""),36503.666666666664)</f>
        <v>36503.66667</v>
      </c>
      <c r="B5042" s="2">
        <f>IFERROR(__xludf.DUMMYFUNCTION("""COMPUTED_VALUE"""),115.1)</f>
        <v>115.1</v>
      </c>
      <c r="C5042" s="2">
        <f>IFERROR(__xludf.DUMMYFUNCTION("""COMPUTED_VALUE"""),116.65)</f>
        <v>116.65</v>
      </c>
      <c r="D5042" s="2">
        <f>IFERROR(__xludf.DUMMYFUNCTION("""COMPUTED_VALUE"""),107.34)</f>
        <v>107.34</v>
      </c>
      <c r="E5042" s="2">
        <f>IFERROR(__xludf.DUMMYFUNCTION("""COMPUTED_VALUE"""),109.13)</f>
        <v>109.13</v>
      </c>
      <c r="F5042" s="2">
        <f>IFERROR(__xludf.DUMMYFUNCTION("""COMPUTED_VALUE"""),1.31403E7)</f>
        <v>13140300</v>
      </c>
    </row>
    <row r="5043">
      <c r="A5043" s="3">
        <f>IFERROR(__xludf.DUMMYFUNCTION("""COMPUTED_VALUE"""),36504.666666666664)</f>
        <v>36504.66667</v>
      </c>
      <c r="B5043" s="2">
        <f>IFERROR(__xludf.DUMMYFUNCTION("""COMPUTED_VALUE"""),106.62)</f>
        <v>106.62</v>
      </c>
      <c r="C5043" s="2">
        <f>IFERROR(__xludf.DUMMYFUNCTION("""COMPUTED_VALUE"""),106.8)</f>
        <v>106.8</v>
      </c>
      <c r="D5043" s="2">
        <f>IFERROR(__xludf.DUMMYFUNCTION("""COMPUTED_VALUE"""),102.74)</f>
        <v>102.74</v>
      </c>
      <c r="E5043" s="2">
        <f>IFERROR(__xludf.DUMMYFUNCTION("""COMPUTED_VALUE"""),103.99)</f>
        <v>103.99</v>
      </c>
      <c r="F5043" s="2">
        <f>IFERROR(__xludf.DUMMYFUNCTION("""COMPUTED_VALUE"""),8709300.0)</f>
        <v>8709300</v>
      </c>
    </row>
    <row r="5044">
      <c r="A5044" s="3">
        <f>IFERROR(__xludf.DUMMYFUNCTION("""COMPUTED_VALUE"""),36507.666666666664)</f>
        <v>36507.66667</v>
      </c>
      <c r="B5044" s="2">
        <f>IFERROR(__xludf.DUMMYFUNCTION("""COMPUTED_VALUE"""),106.62)</f>
        <v>106.62</v>
      </c>
      <c r="C5044" s="2">
        <f>IFERROR(__xludf.DUMMYFUNCTION("""COMPUTED_VALUE"""),107.69)</f>
        <v>107.69</v>
      </c>
      <c r="D5044" s="2">
        <f>IFERROR(__xludf.DUMMYFUNCTION("""COMPUTED_VALUE"""),101.78)</f>
        <v>101.78</v>
      </c>
      <c r="E5044" s="2">
        <f>IFERROR(__xludf.DUMMYFUNCTION("""COMPUTED_VALUE"""),105.25)</f>
        <v>105.25</v>
      </c>
      <c r="F5044" s="2">
        <f>IFERROR(__xludf.DUMMYFUNCTION("""COMPUTED_VALUE"""),5303000.0)</f>
        <v>5303000</v>
      </c>
    </row>
    <row r="5045">
      <c r="A5045" s="3">
        <f>IFERROR(__xludf.DUMMYFUNCTION("""COMPUTED_VALUE"""),36508.666666666664)</f>
        <v>36508.66667</v>
      </c>
      <c r="B5045" s="2">
        <f>IFERROR(__xludf.DUMMYFUNCTION("""COMPUTED_VALUE"""),105.25)</f>
        <v>105.25</v>
      </c>
      <c r="C5045" s="2">
        <f>IFERROR(__xludf.DUMMYFUNCTION("""COMPUTED_VALUE"""),105.25)</f>
        <v>105.25</v>
      </c>
      <c r="D5045" s="2">
        <f>IFERROR(__xludf.DUMMYFUNCTION("""COMPUTED_VALUE"""),102.08)</f>
        <v>102.08</v>
      </c>
      <c r="E5045" s="2">
        <f>IFERROR(__xludf.DUMMYFUNCTION("""COMPUTED_VALUE"""),104.35)</f>
        <v>104.35</v>
      </c>
      <c r="F5045" s="2">
        <f>IFERROR(__xludf.DUMMYFUNCTION("""COMPUTED_VALUE"""),5942800.0)</f>
        <v>5942800</v>
      </c>
    </row>
    <row r="5046">
      <c r="A5046" s="3">
        <f>IFERROR(__xludf.DUMMYFUNCTION("""COMPUTED_VALUE"""),36509.666666666664)</f>
        <v>36509.66667</v>
      </c>
      <c r="B5046" s="2">
        <f>IFERROR(__xludf.DUMMYFUNCTION("""COMPUTED_VALUE"""),102.92)</f>
        <v>102.92</v>
      </c>
      <c r="C5046" s="2">
        <f>IFERROR(__xludf.DUMMYFUNCTION("""COMPUTED_VALUE"""),103.1)</f>
        <v>103.1</v>
      </c>
      <c r="D5046" s="2">
        <f>IFERROR(__xludf.DUMMYFUNCTION("""COMPUTED_VALUE"""),99.87)</f>
        <v>99.87</v>
      </c>
      <c r="E5046" s="2">
        <f>IFERROR(__xludf.DUMMYFUNCTION("""COMPUTED_VALUE"""),101.96)</f>
        <v>101.96</v>
      </c>
      <c r="F5046" s="2">
        <f>IFERROR(__xludf.DUMMYFUNCTION("""COMPUTED_VALUE"""),7179300.0)</f>
        <v>7179300</v>
      </c>
    </row>
    <row r="5047">
      <c r="A5047" s="3">
        <f>IFERROR(__xludf.DUMMYFUNCTION("""COMPUTED_VALUE"""),36510.666666666664)</f>
        <v>36510.66667</v>
      </c>
      <c r="B5047" s="2">
        <f>IFERROR(__xludf.DUMMYFUNCTION("""COMPUTED_VALUE"""),103.16)</f>
        <v>103.16</v>
      </c>
      <c r="C5047" s="2">
        <f>IFERROR(__xludf.DUMMYFUNCTION("""COMPUTED_VALUE"""),104.77)</f>
        <v>104.77</v>
      </c>
      <c r="D5047" s="2">
        <f>IFERROR(__xludf.DUMMYFUNCTION("""COMPUTED_VALUE"""),101.01)</f>
        <v>101.01</v>
      </c>
      <c r="E5047" s="2">
        <f>IFERROR(__xludf.DUMMYFUNCTION("""COMPUTED_VALUE"""),104.23)</f>
        <v>104.23</v>
      </c>
      <c r="F5047" s="2">
        <f>IFERROR(__xludf.DUMMYFUNCTION("""COMPUTED_VALUE"""),5597900.0)</f>
        <v>5597900</v>
      </c>
    </row>
    <row r="5048">
      <c r="A5048" s="3">
        <f>IFERROR(__xludf.DUMMYFUNCTION("""COMPUTED_VALUE"""),36511.666666666664)</f>
        <v>36511.66667</v>
      </c>
      <c r="B5048" s="2">
        <f>IFERROR(__xludf.DUMMYFUNCTION("""COMPUTED_VALUE"""),105.72)</f>
        <v>105.72</v>
      </c>
      <c r="C5048" s="2">
        <f>IFERROR(__xludf.DUMMYFUNCTION("""COMPUTED_VALUE"""),106.08)</f>
        <v>106.08</v>
      </c>
      <c r="D5048" s="2">
        <f>IFERROR(__xludf.DUMMYFUNCTION("""COMPUTED_VALUE"""),103.75)</f>
        <v>103.75</v>
      </c>
      <c r="E5048" s="2">
        <f>IFERROR(__xludf.DUMMYFUNCTION("""COMPUTED_VALUE"""),103.75)</f>
        <v>103.75</v>
      </c>
      <c r="F5048" s="2">
        <f>IFERROR(__xludf.DUMMYFUNCTION("""COMPUTED_VALUE"""),6377200.0)</f>
        <v>6377200</v>
      </c>
    </row>
    <row r="5049">
      <c r="A5049" s="3">
        <f>IFERROR(__xludf.DUMMYFUNCTION("""COMPUTED_VALUE"""),36514.666666666664)</f>
        <v>36514.66667</v>
      </c>
      <c r="B5049" s="2">
        <f>IFERROR(__xludf.DUMMYFUNCTION("""COMPUTED_VALUE"""),104.17)</f>
        <v>104.17</v>
      </c>
      <c r="C5049" s="2">
        <f>IFERROR(__xludf.DUMMYFUNCTION("""COMPUTED_VALUE"""),105.49)</f>
        <v>105.49</v>
      </c>
      <c r="D5049" s="2">
        <f>IFERROR(__xludf.DUMMYFUNCTION("""COMPUTED_VALUE"""),102.92)</f>
        <v>102.92</v>
      </c>
      <c r="E5049" s="2">
        <f>IFERROR(__xludf.DUMMYFUNCTION("""COMPUTED_VALUE"""),103.22)</f>
        <v>103.22</v>
      </c>
      <c r="F5049" s="2">
        <f>IFERROR(__xludf.DUMMYFUNCTION("""COMPUTED_VALUE"""),3691900.0)</f>
        <v>3691900</v>
      </c>
    </row>
    <row r="5050">
      <c r="A5050" s="3">
        <f>IFERROR(__xludf.DUMMYFUNCTION("""COMPUTED_VALUE"""),36515.666666666664)</f>
        <v>36515.66667</v>
      </c>
      <c r="B5050" s="2">
        <f>IFERROR(__xludf.DUMMYFUNCTION("""COMPUTED_VALUE"""),103.64)</f>
        <v>103.64</v>
      </c>
      <c r="C5050" s="2">
        <f>IFERROR(__xludf.DUMMYFUNCTION("""COMPUTED_VALUE"""),105.13)</f>
        <v>105.13</v>
      </c>
      <c r="D5050" s="2">
        <f>IFERROR(__xludf.DUMMYFUNCTION("""COMPUTED_VALUE"""),103.22)</f>
        <v>103.22</v>
      </c>
      <c r="E5050" s="2">
        <f>IFERROR(__xludf.DUMMYFUNCTION("""COMPUTED_VALUE"""),104.53)</f>
        <v>104.53</v>
      </c>
      <c r="F5050" s="2">
        <f>IFERROR(__xludf.DUMMYFUNCTION("""COMPUTED_VALUE"""),3683800.0)</f>
        <v>3683800</v>
      </c>
    </row>
    <row r="5051">
      <c r="A5051" s="3">
        <f>IFERROR(__xludf.DUMMYFUNCTION("""COMPUTED_VALUE"""),36516.666666666664)</f>
        <v>36516.66667</v>
      </c>
      <c r="B5051" s="2">
        <f>IFERROR(__xludf.DUMMYFUNCTION("""COMPUTED_VALUE"""),104.95)</f>
        <v>104.95</v>
      </c>
      <c r="C5051" s="2">
        <f>IFERROR(__xludf.DUMMYFUNCTION("""COMPUTED_VALUE"""),105.31)</f>
        <v>105.31</v>
      </c>
      <c r="D5051" s="2">
        <f>IFERROR(__xludf.DUMMYFUNCTION("""COMPUTED_VALUE"""),103.4)</f>
        <v>103.4</v>
      </c>
      <c r="E5051" s="2">
        <f>IFERROR(__xludf.DUMMYFUNCTION("""COMPUTED_VALUE"""),103.52)</f>
        <v>103.52</v>
      </c>
      <c r="F5051" s="2">
        <f>IFERROR(__xludf.DUMMYFUNCTION("""COMPUTED_VALUE"""),3048300.0)</f>
        <v>3048300</v>
      </c>
    </row>
    <row r="5052">
      <c r="A5052" s="3">
        <f>IFERROR(__xludf.DUMMYFUNCTION("""COMPUTED_VALUE"""),36517.666666666664)</f>
        <v>36517.66667</v>
      </c>
      <c r="B5052" s="2">
        <f>IFERROR(__xludf.DUMMYFUNCTION("""COMPUTED_VALUE"""),104.23)</f>
        <v>104.23</v>
      </c>
      <c r="C5052" s="2">
        <f>IFERROR(__xludf.DUMMYFUNCTION("""COMPUTED_VALUE"""),105.49)</f>
        <v>105.49</v>
      </c>
      <c r="D5052" s="2">
        <f>IFERROR(__xludf.DUMMYFUNCTION("""COMPUTED_VALUE"""),103.52)</f>
        <v>103.52</v>
      </c>
      <c r="E5052" s="2">
        <f>IFERROR(__xludf.DUMMYFUNCTION("""COMPUTED_VALUE"""),103.52)</f>
        <v>103.52</v>
      </c>
      <c r="F5052" s="2">
        <f>IFERROR(__xludf.DUMMYFUNCTION("""COMPUTED_VALUE"""),3552600.0)</f>
        <v>3552600</v>
      </c>
    </row>
    <row r="5053">
      <c r="A5053" s="3">
        <f>IFERROR(__xludf.DUMMYFUNCTION("""COMPUTED_VALUE"""),36521.666666666664)</f>
        <v>36521.66667</v>
      </c>
      <c r="B5053" s="2">
        <f>IFERROR(__xludf.DUMMYFUNCTION("""COMPUTED_VALUE"""),104.77)</f>
        <v>104.77</v>
      </c>
      <c r="C5053" s="2">
        <f>IFERROR(__xludf.DUMMYFUNCTION("""COMPUTED_VALUE"""),105.07)</f>
        <v>105.07</v>
      </c>
      <c r="D5053" s="2">
        <f>IFERROR(__xludf.DUMMYFUNCTION("""COMPUTED_VALUE"""),103.28)</f>
        <v>103.28</v>
      </c>
      <c r="E5053" s="2">
        <f>IFERROR(__xludf.DUMMYFUNCTION("""COMPUTED_VALUE"""),105.07)</f>
        <v>105.07</v>
      </c>
      <c r="F5053" s="2">
        <f>IFERROR(__xludf.DUMMYFUNCTION("""COMPUTED_VALUE"""),2867800.0)</f>
        <v>2867800</v>
      </c>
    </row>
    <row r="5054">
      <c r="A5054" s="3">
        <f>IFERROR(__xludf.DUMMYFUNCTION("""COMPUTED_VALUE"""),36522.666666666664)</f>
        <v>36522.66667</v>
      </c>
      <c r="B5054" s="2">
        <f>IFERROR(__xludf.DUMMYFUNCTION("""COMPUTED_VALUE"""),104.65)</f>
        <v>104.65</v>
      </c>
      <c r="C5054" s="2">
        <f>IFERROR(__xludf.DUMMYFUNCTION("""COMPUTED_VALUE"""),105.78)</f>
        <v>105.78</v>
      </c>
      <c r="D5054" s="2">
        <f>IFERROR(__xludf.DUMMYFUNCTION("""COMPUTED_VALUE"""),104.17)</f>
        <v>104.17</v>
      </c>
      <c r="E5054" s="2">
        <f>IFERROR(__xludf.DUMMYFUNCTION("""COMPUTED_VALUE"""),104.35)</f>
        <v>104.35</v>
      </c>
      <c r="F5054" s="2">
        <f>IFERROR(__xludf.DUMMYFUNCTION("""COMPUTED_VALUE"""),3157000.0)</f>
        <v>3157000</v>
      </c>
    </row>
    <row r="5055">
      <c r="A5055" s="3">
        <f>IFERROR(__xludf.DUMMYFUNCTION("""COMPUTED_VALUE"""),36523.666666666664)</f>
        <v>36523.66667</v>
      </c>
      <c r="B5055" s="2">
        <f>IFERROR(__xludf.DUMMYFUNCTION("""COMPUTED_VALUE"""),105.49)</f>
        <v>105.49</v>
      </c>
      <c r="C5055" s="2">
        <f>IFERROR(__xludf.DUMMYFUNCTION("""COMPUTED_VALUE"""),105.49)</f>
        <v>105.49</v>
      </c>
      <c r="D5055" s="2">
        <f>IFERROR(__xludf.DUMMYFUNCTION("""COMPUTED_VALUE"""),104.11)</f>
        <v>104.11</v>
      </c>
      <c r="E5055" s="2">
        <f>IFERROR(__xludf.DUMMYFUNCTION("""COMPUTED_VALUE"""),104.17)</f>
        <v>104.17</v>
      </c>
      <c r="F5055" s="2">
        <f>IFERROR(__xludf.DUMMYFUNCTION("""COMPUTED_VALUE"""),1666700.0)</f>
        <v>1666700</v>
      </c>
    </row>
    <row r="5056">
      <c r="A5056" s="3">
        <f>IFERROR(__xludf.DUMMYFUNCTION("""COMPUTED_VALUE"""),36524.666666666664)</f>
        <v>36524.66667</v>
      </c>
      <c r="B5056" s="2">
        <f>IFERROR(__xludf.DUMMYFUNCTION("""COMPUTED_VALUE"""),104.77)</f>
        <v>104.77</v>
      </c>
      <c r="C5056" s="2">
        <f>IFERROR(__xludf.DUMMYFUNCTION("""COMPUTED_VALUE"""),105.55)</f>
        <v>105.55</v>
      </c>
      <c r="D5056" s="2">
        <f>IFERROR(__xludf.DUMMYFUNCTION("""COMPUTED_VALUE"""),103.69)</f>
        <v>103.69</v>
      </c>
      <c r="E5056" s="2">
        <f>IFERROR(__xludf.DUMMYFUNCTION("""COMPUTED_VALUE"""),104.11)</f>
        <v>104.11</v>
      </c>
      <c r="F5056" s="2">
        <f>IFERROR(__xludf.DUMMYFUNCTION("""COMPUTED_VALUE"""),2511500.0)</f>
        <v>2511500</v>
      </c>
    </row>
    <row r="5057">
      <c r="A5057" s="3">
        <f>IFERROR(__xludf.DUMMYFUNCTION("""COMPUTED_VALUE"""),36525.666666666664)</f>
        <v>36525.66667</v>
      </c>
      <c r="B5057" s="2">
        <f>IFERROR(__xludf.DUMMYFUNCTION("""COMPUTED_VALUE"""),104.29)</f>
        <v>104.29</v>
      </c>
      <c r="C5057" s="2">
        <f>IFERROR(__xludf.DUMMYFUNCTION("""COMPUTED_VALUE"""),104.59)</f>
        <v>104.59</v>
      </c>
      <c r="D5057" s="2">
        <f>IFERROR(__xludf.DUMMYFUNCTION("""COMPUTED_VALUE"""),101.9)</f>
        <v>101.9</v>
      </c>
      <c r="E5057" s="2">
        <f>IFERROR(__xludf.DUMMYFUNCTION("""COMPUTED_VALUE"""),103.16)</f>
        <v>103.16</v>
      </c>
      <c r="F5057" s="2">
        <f>IFERROR(__xludf.DUMMYFUNCTION("""COMPUTED_VALUE"""),2022600.0)</f>
        <v>2022600</v>
      </c>
    </row>
    <row r="5058">
      <c r="A5058" s="3">
        <f>IFERROR(__xludf.DUMMYFUNCTION("""COMPUTED_VALUE"""),36528.666666666664)</f>
        <v>36528.66667</v>
      </c>
      <c r="B5058" s="2">
        <f>IFERROR(__xludf.DUMMYFUNCTION("""COMPUTED_VALUE"""),107.4)</f>
        <v>107.4</v>
      </c>
      <c r="C5058" s="2">
        <f>IFERROR(__xludf.DUMMYFUNCTION("""COMPUTED_VALUE"""),110.62)</f>
        <v>110.62</v>
      </c>
      <c r="D5058" s="2">
        <f>IFERROR(__xludf.DUMMYFUNCTION("""COMPUTED_VALUE"""),106.98)</f>
        <v>106.98</v>
      </c>
      <c r="E5058" s="2">
        <f>IFERROR(__xludf.DUMMYFUNCTION("""COMPUTED_VALUE"""),110.38)</f>
        <v>110.38</v>
      </c>
      <c r="F5058" s="2">
        <f>IFERROR(__xludf.DUMMYFUNCTION("""COMPUTED_VALUE"""),7933600.0)</f>
        <v>7933600</v>
      </c>
    </row>
    <row r="5059">
      <c r="A5059" s="3">
        <f>IFERROR(__xludf.DUMMYFUNCTION("""COMPUTED_VALUE"""),36529.666666666664)</f>
        <v>36529.66667</v>
      </c>
      <c r="B5059" s="2">
        <f>IFERROR(__xludf.DUMMYFUNCTION("""COMPUTED_VALUE"""),107.4)</f>
        <v>107.4</v>
      </c>
      <c r="C5059" s="2">
        <f>IFERROR(__xludf.DUMMYFUNCTION("""COMPUTED_VALUE"""),109.31)</f>
        <v>109.31</v>
      </c>
      <c r="D5059" s="2">
        <f>IFERROR(__xludf.DUMMYFUNCTION("""COMPUTED_VALUE"""),105.9)</f>
        <v>105.9</v>
      </c>
      <c r="E5059" s="2">
        <f>IFERROR(__xludf.DUMMYFUNCTION("""COMPUTED_VALUE"""),107.04)</f>
        <v>107.04</v>
      </c>
      <c r="F5059" s="2">
        <f>IFERROR(__xludf.DUMMYFUNCTION("""COMPUTED_VALUE"""),6481000.0)</f>
        <v>6481000</v>
      </c>
    </row>
    <row r="5060">
      <c r="A5060" s="3">
        <f>IFERROR(__xludf.DUMMYFUNCTION("""COMPUTED_VALUE"""),36530.666666666664)</f>
        <v>36530.66667</v>
      </c>
      <c r="B5060" s="2">
        <f>IFERROR(__xludf.DUMMYFUNCTION("""COMPUTED_VALUE"""),107.87)</f>
        <v>107.87</v>
      </c>
      <c r="C5060" s="2">
        <f>IFERROR(__xludf.DUMMYFUNCTION("""COMPUTED_VALUE"""),114.26)</f>
        <v>114.26</v>
      </c>
      <c r="D5060" s="2">
        <f>IFERROR(__xludf.DUMMYFUNCTION("""COMPUTED_VALUE"""),107.16)</f>
        <v>107.16</v>
      </c>
      <c r="E5060" s="2">
        <f>IFERROR(__xludf.DUMMYFUNCTION("""COMPUTED_VALUE"""),112.95)</f>
        <v>112.95</v>
      </c>
      <c r="F5060" s="2">
        <f>IFERROR(__xludf.DUMMYFUNCTION("""COMPUTED_VALUE"""),9967000.0)</f>
        <v>9967000</v>
      </c>
    </row>
    <row r="5061">
      <c r="A5061" s="3">
        <f>IFERROR(__xludf.DUMMYFUNCTION("""COMPUTED_VALUE"""),36531.666666666664)</f>
        <v>36531.66667</v>
      </c>
      <c r="B5061" s="2">
        <f>IFERROR(__xludf.DUMMYFUNCTION("""COMPUTED_VALUE"""),112.71)</f>
        <v>112.71</v>
      </c>
      <c r="C5061" s="2">
        <f>IFERROR(__xludf.DUMMYFUNCTION("""COMPUTED_VALUE"""),113.6)</f>
        <v>113.6</v>
      </c>
      <c r="D5061" s="2">
        <f>IFERROR(__xludf.DUMMYFUNCTION("""COMPUTED_VALUE"""),109.66)</f>
        <v>109.66</v>
      </c>
      <c r="E5061" s="2">
        <f>IFERROR(__xludf.DUMMYFUNCTION("""COMPUTED_VALUE"""),111.99)</f>
        <v>111.99</v>
      </c>
      <c r="F5061" s="2">
        <f>IFERROR(__xludf.DUMMYFUNCTION("""COMPUTED_VALUE"""),6539200.0)</f>
        <v>6539200</v>
      </c>
    </row>
    <row r="5062">
      <c r="A5062" s="3">
        <f>IFERROR(__xludf.DUMMYFUNCTION("""COMPUTED_VALUE"""),36532.666666666664)</f>
        <v>36532.66667</v>
      </c>
      <c r="B5062" s="2">
        <f>IFERROR(__xludf.DUMMYFUNCTION("""COMPUTED_VALUE"""),111.99)</f>
        <v>111.99</v>
      </c>
      <c r="C5062" s="2">
        <f>IFERROR(__xludf.DUMMYFUNCTION("""COMPUTED_VALUE"""),112.65)</f>
        <v>112.65</v>
      </c>
      <c r="D5062" s="2">
        <f>IFERROR(__xludf.DUMMYFUNCTION("""COMPUTED_VALUE"""),105.67)</f>
        <v>105.67</v>
      </c>
      <c r="E5062" s="2">
        <f>IFERROR(__xludf.DUMMYFUNCTION("""COMPUTED_VALUE"""),108.41)</f>
        <v>108.41</v>
      </c>
      <c r="F5062" s="2">
        <f>IFERROR(__xludf.DUMMYFUNCTION("""COMPUTED_VALUE"""),9876300.0)</f>
        <v>9876300</v>
      </c>
    </row>
    <row r="5063">
      <c r="A5063" s="3">
        <f>IFERROR(__xludf.DUMMYFUNCTION("""COMPUTED_VALUE"""),36535.666666666664)</f>
        <v>36535.66667</v>
      </c>
      <c r="B5063" s="2">
        <f>IFERROR(__xludf.DUMMYFUNCTION("""COMPUTED_VALUE"""),111.99)</f>
        <v>111.99</v>
      </c>
      <c r="C5063" s="2">
        <f>IFERROR(__xludf.DUMMYFUNCTION("""COMPUTED_VALUE"""),114.02)</f>
        <v>114.02</v>
      </c>
      <c r="D5063" s="2">
        <f>IFERROR(__xludf.DUMMYFUNCTION("""COMPUTED_VALUE"""),110.32)</f>
        <v>110.32</v>
      </c>
      <c r="E5063" s="2">
        <f>IFERROR(__xludf.DUMMYFUNCTION("""COMPUTED_VALUE"""),113.13)</f>
        <v>113.13</v>
      </c>
      <c r="F5063" s="2">
        <f>IFERROR(__xludf.DUMMYFUNCTION("""COMPUTED_VALUE"""),6790900.0)</f>
        <v>6790900</v>
      </c>
    </row>
    <row r="5064">
      <c r="A5064" s="3">
        <f>IFERROR(__xludf.DUMMYFUNCTION("""COMPUTED_VALUE"""),36536.666666666664)</f>
        <v>36536.66667</v>
      </c>
      <c r="B5064" s="2">
        <f>IFERROR(__xludf.DUMMYFUNCTION("""COMPUTED_VALUE"""),112.59)</f>
        <v>112.59</v>
      </c>
      <c r="C5064" s="2">
        <f>IFERROR(__xludf.DUMMYFUNCTION("""COMPUTED_VALUE"""),115.63)</f>
        <v>115.63</v>
      </c>
      <c r="D5064" s="2">
        <f>IFERROR(__xludf.DUMMYFUNCTION("""COMPUTED_VALUE"""),111.4)</f>
        <v>111.4</v>
      </c>
      <c r="E5064" s="2">
        <f>IFERROR(__xludf.DUMMYFUNCTION("""COMPUTED_VALUE"""),113.55)</f>
        <v>113.55</v>
      </c>
      <c r="F5064" s="2">
        <f>IFERROR(__xludf.DUMMYFUNCTION("""COMPUTED_VALUE"""),6062800.0)</f>
        <v>6062800</v>
      </c>
    </row>
    <row r="5065">
      <c r="A5065" s="3">
        <f>IFERROR(__xludf.DUMMYFUNCTION("""COMPUTED_VALUE"""),36537.666666666664)</f>
        <v>36537.66667</v>
      </c>
      <c r="B5065" s="2">
        <f>IFERROR(__xludf.DUMMYFUNCTION("""COMPUTED_VALUE"""),114.26)</f>
        <v>114.26</v>
      </c>
      <c r="C5065" s="2">
        <f>IFERROR(__xludf.DUMMYFUNCTION("""COMPUTED_VALUE"""),116.53)</f>
        <v>116.53</v>
      </c>
      <c r="D5065" s="2">
        <f>IFERROR(__xludf.DUMMYFUNCTION("""COMPUTED_VALUE"""),113.19)</f>
        <v>113.19</v>
      </c>
      <c r="E5065" s="2">
        <f>IFERROR(__xludf.DUMMYFUNCTION("""COMPUTED_VALUE"""),114.5)</f>
        <v>114.5</v>
      </c>
      <c r="F5065" s="2">
        <f>IFERROR(__xludf.DUMMYFUNCTION("""COMPUTED_VALUE"""),5368100.0)</f>
        <v>5368100</v>
      </c>
    </row>
    <row r="5066">
      <c r="A5066" s="3">
        <f>IFERROR(__xludf.DUMMYFUNCTION("""COMPUTED_VALUE"""),36538.666666666664)</f>
        <v>36538.66667</v>
      </c>
      <c r="B5066" s="2">
        <f>IFERROR(__xludf.DUMMYFUNCTION("""COMPUTED_VALUE"""),114.56)</f>
        <v>114.56</v>
      </c>
      <c r="C5066" s="2">
        <f>IFERROR(__xludf.DUMMYFUNCTION("""COMPUTED_VALUE"""),115.57)</f>
        <v>115.57</v>
      </c>
      <c r="D5066" s="2">
        <f>IFERROR(__xludf.DUMMYFUNCTION("""COMPUTED_VALUE"""),110.86)</f>
        <v>110.86</v>
      </c>
      <c r="E5066" s="2">
        <f>IFERROR(__xludf.DUMMYFUNCTION("""COMPUTED_VALUE"""),112.95)</f>
        <v>112.95</v>
      </c>
      <c r="F5066" s="2">
        <f>IFERROR(__xludf.DUMMYFUNCTION("""COMPUTED_VALUE"""),7133800.0)</f>
        <v>7133800</v>
      </c>
    </row>
    <row r="5067">
      <c r="A5067" s="3">
        <f>IFERROR(__xludf.DUMMYFUNCTION("""COMPUTED_VALUE"""),36539.666666666664)</f>
        <v>36539.66667</v>
      </c>
      <c r="B5067" s="2">
        <f>IFERROR(__xludf.DUMMYFUNCTION("""COMPUTED_VALUE"""),114.56)</f>
        <v>114.56</v>
      </c>
      <c r="C5067" s="2">
        <f>IFERROR(__xludf.DUMMYFUNCTION("""COMPUTED_VALUE"""),117.78)</f>
        <v>117.78</v>
      </c>
      <c r="D5067" s="2">
        <f>IFERROR(__xludf.DUMMYFUNCTION("""COMPUTED_VALUE"""),112.29)</f>
        <v>112.29</v>
      </c>
      <c r="E5067" s="2">
        <f>IFERROR(__xludf.DUMMYFUNCTION("""COMPUTED_VALUE"""),114.32)</f>
        <v>114.32</v>
      </c>
      <c r="F5067" s="2">
        <f>IFERROR(__xludf.DUMMYFUNCTION("""COMPUTED_VALUE"""),8659900.0)</f>
        <v>8659900</v>
      </c>
    </row>
    <row r="5068">
      <c r="A5068" s="3">
        <f>IFERROR(__xludf.DUMMYFUNCTION("""COMPUTED_VALUE"""),36543.666666666664)</f>
        <v>36543.66667</v>
      </c>
      <c r="B5068" s="2">
        <f>IFERROR(__xludf.DUMMYFUNCTION("""COMPUTED_VALUE"""),114.32)</f>
        <v>114.32</v>
      </c>
      <c r="C5068" s="2">
        <f>IFERROR(__xludf.DUMMYFUNCTION("""COMPUTED_VALUE"""),114.38)</f>
        <v>114.38</v>
      </c>
      <c r="D5068" s="2">
        <f>IFERROR(__xludf.DUMMYFUNCTION("""COMPUTED_VALUE"""),110.38)</f>
        <v>110.38</v>
      </c>
      <c r="E5068" s="2">
        <f>IFERROR(__xludf.DUMMYFUNCTION("""COMPUTED_VALUE"""),110.38)</f>
        <v>110.38</v>
      </c>
      <c r="F5068" s="2">
        <f>IFERROR(__xludf.DUMMYFUNCTION("""COMPUTED_VALUE"""),5581600.0)</f>
        <v>5581600</v>
      </c>
    </row>
    <row r="5069">
      <c r="A5069" s="3">
        <f>IFERROR(__xludf.DUMMYFUNCTION("""COMPUTED_VALUE"""),36544.666666666664)</f>
        <v>36544.66667</v>
      </c>
      <c r="B5069" s="2">
        <f>IFERROR(__xludf.DUMMYFUNCTION("""COMPUTED_VALUE"""),110.38)</f>
        <v>110.38</v>
      </c>
      <c r="C5069" s="2">
        <f>IFERROR(__xludf.DUMMYFUNCTION("""COMPUTED_VALUE"""),111.4)</f>
        <v>111.4</v>
      </c>
      <c r="D5069" s="2">
        <f>IFERROR(__xludf.DUMMYFUNCTION("""COMPUTED_VALUE"""),107.64)</f>
        <v>107.64</v>
      </c>
      <c r="E5069" s="2">
        <f>IFERROR(__xludf.DUMMYFUNCTION("""COMPUTED_VALUE"""),110.32)</f>
        <v>110.32</v>
      </c>
      <c r="F5069" s="2">
        <f>IFERROR(__xludf.DUMMYFUNCTION("""COMPUTED_VALUE"""),6580400.0)</f>
        <v>6580400</v>
      </c>
    </row>
    <row r="5070">
      <c r="A5070" s="3">
        <f>IFERROR(__xludf.DUMMYFUNCTION("""COMPUTED_VALUE"""),36545.666666666664)</f>
        <v>36545.66667</v>
      </c>
      <c r="B5070" s="2">
        <f>IFERROR(__xludf.DUMMYFUNCTION("""COMPUTED_VALUE"""),116.41)</f>
        <v>116.41</v>
      </c>
      <c r="C5070" s="2">
        <f>IFERROR(__xludf.DUMMYFUNCTION("""COMPUTED_VALUE"""),119.16)</f>
        <v>119.16</v>
      </c>
      <c r="D5070" s="2">
        <f>IFERROR(__xludf.DUMMYFUNCTION("""COMPUTED_VALUE"""),114.92)</f>
        <v>114.92</v>
      </c>
      <c r="E5070" s="2">
        <f>IFERROR(__xludf.DUMMYFUNCTION("""COMPUTED_VALUE"""),116.41)</f>
        <v>116.41</v>
      </c>
      <c r="F5070" s="2">
        <f>IFERROR(__xludf.DUMMYFUNCTION("""COMPUTED_VALUE"""),1.44427E7)</f>
        <v>14442700</v>
      </c>
    </row>
    <row r="5071">
      <c r="A5071" s="3">
        <f>IFERROR(__xludf.DUMMYFUNCTION("""COMPUTED_VALUE"""),36546.666666666664)</f>
        <v>36546.66667</v>
      </c>
      <c r="B5071" s="2">
        <f>IFERROR(__xludf.DUMMYFUNCTION("""COMPUTED_VALUE"""),115.81)</f>
        <v>115.81</v>
      </c>
      <c r="C5071" s="2">
        <f>IFERROR(__xludf.DUMMYFUNCTION("""COMPUTED_VALUE"""),117.49)</f>
        <v>117.49</v>
      </c>
      <c r="D5071" s="2">
        <f>IFERROR(__xludf.DUMMYFUNCTION("""COMPUTED_VALUE"""),114.56)</f>
        <v>114.56</v>
      </c>
      <c r="E5071" s="2">
        <f>IFERROR(__xludf.DUMMYFUNCTION("""COMPUTED_VALUE"""),115.81)</f>
        <v>115.81</v>
      </c>
      <c r="F5071" s="2">
        <f>IFERROR(__xludf.DUMMYFUNCTION("""COMPUTED_VALUE"""),6686800.0)</f>
        <v>6686800</v>
      </c>
    </row>
    <row r="5072">
      <c r="A5072" s="3">
        <f>IFERROR(__xludf.DUMMYFUNCTION("""COMPUTED_VALUE"""),36549.666666666664)</f>
        <v>36549.66667</v>
      </c>
      <c r="B5072" s="2">
        <f>IFERROR(__xludf.DUMMYFUNCTION("""COMPUTED_VALUE"""),116.89)</f>
        <v>116.89</v>
      </c>
      <c r="C5072" s="2">
        <f>IFERROR(__xludf.DUMMYFUNCTION("""COMPUTED_VALUE"""),116.95)</f>
        <v>116.95</v>
      </c>
      <c r="D5072" s="2">
        <f>IFERROR(__xludf.DUMMYFUNCTION("""COMPUTED_VALUE"""),111.34)</f>
        <v>111.34</v>
      </c>
      <c r="E5072" s="2">
        <f>IFERROR(__xludf.DUMMYFUNCTION("""COMPUTED_VALUE"""),112.77)</f>
        <v>112.77</v>
      </c>
      <c r="F5072" s="2">
        <f>IFERROR(__xludf.DUMMYFUNCTION("""COMPUTED_VALUE"""),5048800.0)</f>
        <v>5048800</v>
      </c>
    </row>
    <row r="5073">
      <c r="A5073" s="3">
        <f>IFERROR(__xludf.DUMMYFUNCTION("""COMPUTED_VALUE"""),36550.666666666664)</f>
        <v>36550.66667</v>
      </c>
      <c r="B5073" s="2">
        <f>IFERROR(__xludf.DUMMYFUNCTION("""COMPUTED_VALUE"""),111.52)</f>
        <v>111.52</v>
      </c>
      <c r="C5073" s="2">
        <f>IFERROR(__xludf.DUMMYFUNCTION("""COMPUTED_VALUE"""),114.14)</f>
        <v>114.14</v>
      </c>
      <c r="D5073" s="2">
        <f>IFERROR(__xludf.DUMMYFUNCTION("""COMPUTED_VALUE"""),110.8)</f>
        <v>110.8</v>
      </c>
      <c r="E5073" s="2">
        <f>IFERROR(__xludf.DUMMYFUNCTION("""COMPUTED_VALUE"""),114.14)</f>
        <v>114.14</v>
      </c>
      <c r="F5073" s="2">
        <f>IFERROR(__xludf.DUMMYFUNCTION("""COMPUTED_VALUE"""),5713300.0)</f>
        <v>5713300</v>
      </c>
    </row>
    <row r="5074">
      <c r="A5074" s="3">
        <f>IFERROR(__xludf.DUMMYFUNCTION("""COMPUTED_VALUE"""),36551.666666666664)</f>
        <v>36551.66667</v>
      </c>
      <c r="B5074" s="2">
        <f>IFERROR(__xludf.DUMMYFUNCTION("""COMPUTED_VALUE"""),113.72)</f>
        <v>113.72</v>
      </c>
      <c r="C5074" s="2">
        <f>IFERROR(__xludf.DUMMYFUNCTION("""COMPUTED_VALUE"""),114.5)</f>
        <v>114.5</v>
      </c>
      <c r="D5074" s="2">
        <f>IFERROR(__xludf.DUMMYFUNCTION("""COMPUTED_VALUE"""),111.4)</f>
        <v>111.4</v>
      </c>
      <c r="E5074" s="2">
        <f>IFERROR(__xludf.DUMMYFUNCTION("""COMPUTED_VALUE"""),111.63)</f>
        <v>111.63</v>
      </c>
      <c r="F5074" s="2">
        <f>IFERROR(__xludf.DUMMYFUNCTION("""COMPUTED_VALUE"""),3997600.0)</f>
        <v>3997600</v>
      </c>
    </row>
    <row r="5075">
      <c r="A5075" s="3">
        <f>IFERROR(__xludf.DUMMYFUNCTION("""COMPUTED_VALUE"""),36552.666666666664)</f>
        <v>36552.66667</v>
      </c>
      <c r="B5075" s="2">
        <f>IFERROR(__xludf.DUMMYFUNCTION("""COMPUTED_VALUE"""),112.71)</f>
        <v>112.71</v>
      </c>
      <c r="C5075" s="2">
        <f>IFERROR(__xludf.DUMMYFUNCTION("""COMPUTED_VALUE"""),113.13)</f>
        <v>113.13</v>
      </c>
      <c r="D5075" s="2">
        <f>IFERROR(__xludf.DUMMYFUNCTION("""COMPUTED_VALUE"""),106.68)</f>
        <v>106.68</v>
      </c>
      <c r="E5075" s="2">
        <f>IFERROR(__xludf.DUMMYFUNCTION("""COMPUTED_VALUE"""),108.47)</f>
        <v>108.47</v>
      </c>
      <c r="F5075" s="2">
        <f>IFERROR(__xludf.DUMMYFUNCTION("""COMPUTED_VALUE"""),7112600.0)</f>
        <v>7112600</v>
      </c>
    </row>
    <row r="5076">
      <c r="A5076" s="3">
        <f>IFERROR(__xludf.DUMMYFUNCTION("""COMPUTED_VALUE"""),36553.666666666664)</f>
        <v>36553.66667</v>
      </c>
      <c r="B5076" s="2">
        <f>IFERROR(__xludf.DUMMYFUNCTION("""COMPUTED_VALUE"""),107.69)</f>
        <v>107.69</v>
      </c>
      <c r="C5076" s="2">
        <f>IFERROR(__xludf.DUMMYFUNCTION("""COMPUTED_VALUE"""),109.07)</f>
        <v>109.07</v>
      </c>
      <c r="D5076" s="2">
        <f>IFERROR(__xludf.DUMMYFUNCTION("""COMPUTED_VALUE"""),105.13)</f>
        <v>105.13</v>
      </c>
      <c r="E5076" s="2">
        <f>IFERROR(__xludf.DUMMYFUNCTION("""COMPUTED_VALUE"""),106.56)</f>
        <v>106.56</v>
      </c>
      <c r="F5076" s="2">
        <f>IFERROR(__xludf.DUMMYFUNCTION("""COMPUTED_VALUE"""),5504300.0)</f>
        <v>5504300</v>
      </c>
    </row>
    <row r="5077">
      <c r="A5077" s="3">
        <f>IFERROR(__xludf.DUMMYFUNCTION("""COMPUTED_VALUE"""),36556.666666666664)</f>
        <v>36556.66667</v>
      </c>
      <c r="B5077" s="2">
        <f>IFERROR(__xludf.DUMMYFUNCTION("""COMPUTED_VALUE"""),106.38)</f>
        <v>106.38</v>
      </c>
      <c r="C5077" s="2">
        <f>IFERROR(__xludf.DUMMYFUNCTION("""COMPUTED_VALUE"""),107.75)</f>
        <v>107.75</v>
      </c>
      <c r="D5077" s="2">
        <f>IFERROR(__xludf.DUMMYFUNCTION("""COMPUTED_VALUE"""),104.71)</f>
        <v>104.71</v>
      </c>
      <c r="E5077" s="2">
        <f>IFERROR(__xludf.DUMMYFUNCTION("""COMPUTED_VALUE"""),107.16)</f>
        <v>107.16</v>
      </c>
      <c r="F5077" s="2">
        <f>IFERROR(__xludf.DUMMYFUNCTION("""COMPUTED_VALUE"""),4974500.0)</f>
        <v>4974500</v>
      </c>
    </row>
    <row r="5078">
      <c r="A5078" s="3">
        <f>IFERROR(__xludf.DUMMYFUNCTION("""COMPUTED_VALUE"""),36557.666666666664)</f>
        <v>36557.66667</v>
      </c>
      <c r="B5078" s="2">
        <f>IFERROR(__xludf.DUMMYFUNCTION("""COMPUTED_VALUE"""),107.34)</f>
        <v>107.34</v>
      </c>
      <c r="C5078" s="2">
        <f>IFERROR(__xludf.DUMMYFUNCTION("""COMPUTED_VALUE"""),108.35)</f>
        <v>108.35</v>
      </c>
      <c r="D5078" s="2">
        <f>IFERROR(__xludf.DUMMYFUNCTION("""COMPUTED_VALUE"""),104.23)</f>
        <v>104.23</v>
      </c>
      <c r="E5078" s="2">
        <f>IFERROR(__xludf.DUMMYFUNCTION("""COMPUTED_VALUE"""),104.71)</f>
        <v>104.71</v>
      </c>
      <c r="F5078" s="2">
        <f>IFERROR(__xludf.DUMMYFUNCTION("""COMPUTED_VALUE"""),5807800.0)</f>
        <v>5807800</v>
      </c>
    </row>
    <row r="5079">
      <c r="A5079" s="3">
        <f>IFERROR(__xludf.DUMMYFUNCTION("""COMPUTED_VALUE"""),36558.666666666664)</f>
        <v>36558.66667</v>
      </c>
      <c r="B5079" s="2">
        <f>IFERROR(__xludf.DUMMYFUNCTION("""COMPUTED_VALUE"""),106.98)</f>
        <v>106.98</v>
      </c>
      <c r="C5079" s="2">
        <f>IFERROR(__xludf.DUMMYFUNCTION("""COMPUTED_VALUE"""),110.62)</f>
        <v>110.62</v>
      </c>
      <c r="D5079" s="2">
        <f>IFERROR(__xludf.DUMMYFUNCTION("""COMPUTED_VALUE"""),105.43)</f>
        <v>105.43</v>
      </c>
      <c r="E5079" s="2">
        <f>IFERROR(__xludf.DUMMYFUNCTION("""COMPUTED_VALUE"""),108.47)</f>
        <v>108.47</v>
      </c>
      <c r="F5079" s="2">
        <f>IFERROR(__xludf.DUMMYFUNCTION("""COMPUTED_VALUE"""),6323700.0)</f>
        <v>6323700</v>
      </c>
    </row>
    <row r="5080">
      <c r="A5080" s="3">
        <f>IFERROR(__xludf.DUMMYFUNCTION("""COMPUTED_VALUE"""),36559.666666666664)</f>
        <v>36559.66667</v>
      </c>
      <c r="B5080" s="2">
        <f>IFERROR(__xludf.DUMMYFUNCTION("""COMPUTED_VALUE"""),109.84)</f>
        <v>109.84</v>
      </c>
      <c r="C5080" s="2">
        <f>IFERROR(__xludf.DUMMYFUNCTION("""COMPUTED_VALUE"""),112.23)</f>
        <v>112.23</v>
      </c>
      <c r="D5080" s="2">
        <f>IFERROR(__xludf.DUMMYFUNCTION("""COMPUTED_VALUE"""),108.95)</f>
        <v>108.95</v>
      </c>
      <c r="E5080" s="2">
        <f>IFERROR(__xludf.DUMMYFUNCTION("""COMPUTED_VALUE"""),111.99)</f>
        <v>111.99</v>
      </c>
      <c r="F5080" s="2">
        <f>IFERROR(__xludf.DUMMYFUNCTION("""COMPUTED_VALUE"""),5111400.0)</f>
        <v>5111400</v>
      </c>
    </row>
    <row r="5081">
      <c r="A5081" s="3">
        <f>IFERROR(__xludf.DUMMYFUNCTION("""COMPUTED_VALUE"""),36560.666666666664)</f>
        <v>36560.66667</v>
      </c>
      <c r="B5081" s="2">
        <f>IFERROR(__xludf.DUMMYFUNCTION("""COMPUTED_VALUE"""),112.89)</f>
        <v>112.89</v>
      </c>
      <c r="C5081" s="2">
        <f>IFERROR(__xludf.DUMMYFUNCTION("""COMPUTED_VALUE"""),113.13)</f>
        <v>113.13</v>
      </c>
      <c r="D5081" s="2">
        <f>IFERROR(__xludf.DUMMYFUNCTION("""COMPUTED_VALUE"""),109.72)</f>
        <v>109.72</v>
      </c>
      <c r="E5081" s="2">
        <f>IFERROR(__xludf.DUMMYFUNCTION("""COMPUTED_VALUE"""),110.44)</f>
        <v>110.44</v>
      </c>
      <c r="F5081" s="2">
        <f>IFERROR(__xludf.DUMMYFUNCTION("""COMPUTED_VALUE"""),4420700.0)</f>
        <v>4420700</v>
      </c>
    </row>
    <row r="5082">
      <c r="A5082" s="3">
        <f>IFERROR(__xludf.DUMMYFUNCTION("""COMPUTED_VALUE"""),36563.666666666664)</f>
        <v>36563.66667</v>
      </c>
      <c r="B5082" s="2">
        <f>IFERROR(__xludf.DUMMYFUNCTION("""COMPUTED_VALUE"""),110.8)</f>
        <v>110.8</v>
      </c>
      <c r="C5082" s="2">
        <f>IFERROR(__xludf.DUMMYFUNCTION("""COMPUTED_VALUE"""),111.63)</f>
        <v>111.63</v>
      </c>
      <c r="D5082" s="2">
        <f>IFERROR(__xludf.DUMMYFUNCTION("""COMPUTED_VALUE"""),108.11)</f>
        <v>108.11</v>
      </c>
      <c r="E5082" s="2">
        <f>IFERROR(__xludf.DUMMYFUNCTION("""COMPUTED_VALUE"""),109.01)</f>
        <v>109.01</v>
      </c>
      <c r="F5082" s="2">
        <f>IFERROR(__xludf.DUMMYFUNCTION("""COMPUTED_VALUE"""),4651300.0)</f>
        <v>4651300</v>
      </c>
    </row>
    <row r="5083">
      <c r="A5083" s="3">
        <f>IFERROR(__xludf.DUMMYFUNCTION("""COMPUTED_VALUE"""),36564.666666666664)</f>
        <v>36564.66667</v>
      </c>
      <c r="B5083" s="2">
        <f>IFERROR(__xludf.DUMMYFUNCTION("""COMPUTED_VALUE"""),111.69)</f>
        <v>111.69</v>
      </c>
      <c r="C5083" s="2">
        <f>IFERROR(__xludf.DUMMYFUNCTION("""COMPUTED_VALUE"""),113.66)</f>
        <v>113.66</v>
      </c>
      <c r="D5083" s="2">
        <f>IFERROR(__xludf.DUMMYFUNCTION("""COMPUTED_VALUE"""),110.98)</f>
        <v>110.98</v>
      </c>
      <c r="E5083" s="2">
        <f>IFERROR(__xludf.DUMMYFUNCTION("""COMPUTED_VALUE"""),113.66)</f>
        <v>113.66</v>
      </c>
      <c r="F5083" s="2">
        <f>IFERROR(__xludf.DUMMYFUNCTION("""COMPUTED_VALUE"""),4365100.0)</f>
        <v>4365100</v>
      </c>
    </row>
    <row r="5084">
      <c r="A5084" s="3">
        <f>IFERROR(__xludf.DUMMYFUNCTION("""COMPUTED_VALUE"""),36565.666666666664)</f>
        <v>36565.66667</v>
      </c>
      <c r="B5084" s="2">
        <f>IFERROR(__xludf.DUMMYFUNCTION("""COMPUTED_VALUE"""),113.66)</f>
        <v>113.66</v>
      </c>
      <c r="C5084" s="2">
        <f>IFERROR(__xludf.DUMMYFUNCTION("""COMPUTED_VALUE"""),114.38)</f>
        <v>114.38</v>
      </c>
      <c r="D5084" s="2">
        <f>IFERROR(__xludf.DUMMYFUNCTION("""COMPUTED_VALUE"""),111.87)</f>
        <v>111.87</v>
      </c>
      <c r="E5084" s="2">
        <f>IFERROR(__xludf.DUMMYFUNCTION("""COMPUTED_VALUE"""),111.87)</f>
        <v>111.87</v>
      </c>
      <c r="F5084" s="2">
        <f>IFERROR(__xludf.DUMMYFUNCTION("""COMPUTED_VALUE"""),4405500.0)</f>
        <v>4405500</v>
      </c>
    </row>
    <row r="5085">
      <c r="A5085" s="3">
        <f>IFERROR(__xludf.DUMMYFUNCTION("""COMPUTED_VALUE"""),36566.666666666664)</f>
        <v>36566.66667</v>
      </c>
      <c r="B5085" s="2">
        <f>IFERROR(__xludf.DUMMYFUNCTION("""COMPUTED_VALUE"""),112.41)</f>
        <v>112.41</v>
      </c>
      <c r="C5085" s="2">
        <f>IFERROR(__xludf.DUMMYFUNCTION("""COMPUTED_VALUE"""),113.78)</f>
        <v>113.78</v>
      </c>
      <c r="D5085" s="2">
        <f>IFERROR(__xludf.DUMMYFUNCTION("""COMPUTED_VALUE"""),111.75)</f>
        <v>111.75</v>
      </c>
      <c r="E5085" s="2">
        <f>IFERROR(__xludf.DUMMYFUNCTION("""COMPUTED_VALUE"""),113.78)</f>
        <v>113.78</v>
      </c>
      <c r="F5085" s="2">
        <f>IFERROR(__xludf.DUMMYFUNCTION("""COMPUTED_VALUE"""),3634900.0)</f>
        <v>3634900</v>
      </c>
    </row>
    <row r="5086">
      <c r="A5086" s="3">
        <f>IFERROR(__xludf.DUMMYFUNCTION("""COMPUTED_VALUE"""),36567.666666666664)</f>
        <v>36567.66667</v>
      </c>
      <c r="B5086" s="2">
        <f>IFERROR(__xludf.DUMMYFUNCTION("""COMPUTED_VALUE"""),113.72)</f>
        <v>113.72</v>
      </c>
      <c r="C5086" s="2">
        <f>IFERROR(__xludf.DUMMYFUNCTION("""COMPUTED_VALUE"""),114.08)</f>
        <v>114.08</v>
      </c>
      <c r="D5086" s="2">
        <f>IFERROR(__xludf.DUMMYFUNCTION("""COMPUTED_VALUE"""),109.43)</f>
        <v>109.43</v>
      </c>
      <c r="E5086" s="2">
        <f>IFERROR(__xludf.DUMMYFUNCTION("""COMPUTED_VALUE"""),110.14)</f>
        <v>110.14</v>
      </c>
      <c r="F5086" s="2">
        <f>IFERROR(__xludf.DUMMYFUNCTION("""COMPUTED_VALUE"""),4954500.0)</f>
        <v>4954500</v>
      </c>
    </row>
    <row r="5087">
      <c r="A5087" s="3">
        <f>IFERROR(__xludf.DUMMYFUNCTION("""COMPUTED_VALUE"""),36570.666666666664)</f>
        <v>36570.66667</v>
      </c>
      <c r="B5087" s="2">
        <f>IFERROR(__xludf.DUMMYFUNCTION("""COMPUTED_VALUE"""),110.8)</f>
        <v>110.8</v>
      </c>
      <c r="C5087" s="2">
        <f>IFERROR(__xludf.DUMMYFUNCTION("""COMPUTED_VALUE"""),111.04)</f>
        <v>111.04</v>
      </c>
      <c r="D5087" s="2">
        <f>IFERROR(__xludf.DUMMYFUNCTION("""COMPUTED_VALUE"""),109.37)</f>
        <v>109.37</v>
      </c>
      <c r="E5087" s="2">
        <f>IFERROR(__xludf.DUMMYFUNCTION("""COMPUTED_VALUE"""),110.8)</f>
        <v>110.8</v>
      </c>
      <c r="F5087" s="2">
        <f>IFERROR(__xludf.DUMMYFUNCTION("""COMPUTED_VALUE"""),3805400.0)</f>
        <v>3805400</v>
      </c>
    </row>
    <row r="5088">
      <c r="A5088" s="3">
        <f>IFERROR(__xludf.DUMMYFUNCTION("""COMPUTED_VALUE"""),36571.666666666664)</f>
        <v>36571.66667</v>
      </c>
      <c r="B5088" s="2">
        <f>IFERROR(__xludf.DUMMYFUNCTION("""COMPUTED_VALUE"""),110.68)</f>
        <v>110.68</v>
      </c>
      <c r="C5088" s="2">
        <f>IFERROR(__xludf.DUMMYFUNCTION("""COMPUTED_VALUE"""),112.17)</f>
        <v>112.17</v>
      </c>
      <c r="D5088" s="2">
        <f>IFERROR(__xludf.DUMMYFUNCTION("""COMPUTED_VALUE"""),108.77)</f>
        <v>108.77</v>
      </c>
      <c r="E5088" s="2">
        <f>IFERROR(__xludf.DUMMYFUNCTION("""COMPUTED_VALUE"""),111.63)</f>
        <v>111.63</v>
      </c>
      <c r="F5088" s="2">
        <f>IFERROR(__xludf.DUMMYFUNCTION("""COMPUTED_VALUE"""),4413500.0)</f>
        <v>4413500</v>
      </c>
    </row>
    <row r="5089">
      <c r="A5089" s="3">
        <f>IFERROR(__xludf.DUMMYFUNCTION("""COMPUTED_VALUE"""),36572.666666666664)</f>
        <v>36572.66667</v>
      </c>
      <c r="B5089" s="2">
        <f>IFERROR(__xludf.DUMMYFUNCTION("""COMPUTED_VALUE"""),111.28)</f>
        <v>111.28</v>
      </c>
      <c r="C5089" s="2">
        <f>IFERROR(__xludf.DUMMYFUNCTION("""COMPUTED_VALUE"""),112.05)</f>
        <v>112.05</v>
      </c>
      <c r="D5089" s="2">
        <f>IFERROR(__xludf.DUMMYFUNCTION("""COMPUTED_VALUE"""),110.08)</f>
        <v>110.08</v>
      </c>
      <c r="E5089" s="2">
        <f>IFERROR(__xludf.DUMMYFUNCTION("""COMPUTED_VALUE"""),110.44)</f>
        <v>110.44</v>
      </c>
      <c r="F5089" s="2">
        <f>IFERROR(__xludf.DUMMYFUNCTION("""COMPUTED_VALUE"""),3337300.0)</f>
        <v>3337300</v>
      </c>
    </row>
    <row r="5090">
      <c r="A5090" s="3">
        <f>IFERROR(__xludf.DUMMYFUNCTION("""COMPUTED_VALUE"""),36573.666666666664)</f>
        <v>36573.66667</v>
      </c>
      <c r="B5090" s="2">
        <f>IFERROR(__xludf.DUMMYFUNCTION("""COMPUTED_VALUE"""),111.28)</f>
        <v>111.28</v>
      </c>
      <c r="C5090" s="2">
        <f>IFERROR(__xludf.DUMMYFUNCTION("""COMPUTED_VALUE"""),113.55)</f>
        <v>113.55</v>
      </c>
      <c r="D5090" s="2">
        <f>IFERROR(__xludf.DUMMYFUNCTION("""COMPUTED_VALUE"""),110.68)</f>
        <v>110.68</v>
      </c>
      <c r="E5090" s="2">
        <f>IFERROR(__xludf.DUMMYFUNCTION("""COMPUTED_VALUE"""),111.75)</f>
        <v>111.75</v>
      </c>
      <c r="F5090" s="2">
        <f>IFERROR(__xludf.DUMMYFUNCTION("""COMPUTED_VALUE"""),4355900.0)</f>
        <v>4355900</v>
      </c>
    </row>
    <row r="5091">
      <c r="A5091" s="3">
        <f>IFERROR(__xludf.DUMMYFUNCTION("""COMPUTED_VALUE"""),36574.666666666664)</f>
        <v>36574.66667</v>
      </c>
      <c r="B5091" s="2">
        <f>IFERROR(__xludf.DUMMYFUNCTION("""COMPUTED_VALUE"""),110.08)</f>
        <v>110.08</v>
      </c>
      <c r="C5091" s="2">
        <f>IFERROR(__xludf.DUMMYFUNCTION("""COMPUTED_VALUE"""),110.74)</f>
        <v>110.74</v>
      </c>
      <c r="D5091" s="2">
        <f>IFERROR(__xludf.DUMMYFUNCTION("""COMPUTED_VALUE"""),107.28)</f>
        <v>107.28</v>
      </c>
      <c r="E5091" s="2">
        <f>IFERROR(__xludf.DUMMYFUNCTION("""COMPUTED_VALUE"""),107.58)</f>
        <v>107.58</v>
      </c>
      <c r="F5091" s="2">
        <f>IFERROR(__xludf.DUMMYFUNCTION("""COMPUTED_VALUE"""),6550300.0)</f>
        <v>6550300</v>
      </c>
    </row>
    <row r="5092">
      <c r="A5092" s="3">
        <f>IFERROR(__xludf.DUMMYFUNCTION("""COMPUTED_VALUE"""),36578.666666666664)</f>
        <v>36578.66667</v>
      </c>
      <c r="B5092" s="2">
        <f>IFERROR(__xludf.DUMMYFUNCTION("""COMPUTED_VALUE"""),106.98)</f>
        <v>106.98</v>
      </c>
      <c r="C5092" s="2">
        <f>IFERROR(__xludf.DUMMYFUNCTION("""COMPUTED_VALUE"""),108.35)</f>
        <v>108.35</v>
      </c>
      <c r="D5092" s="2">
        <f>IFERROR(__xludf.DUMMYFUNCTION("""COMPUTED_VALUE"""),104.35)</f>
        <v>104.35</v>
      </c>
      <c r="E5092" s="2">
        <f>IFERROR(__xludf.DUMMYFUNCTION("""COMPUTED_VALUE"""),106.08)</f>
        <v>106.08</v>
      </c>
      <c r="F5092" s="2">
        <f>IFERROR(__xludf.DUMMYFUNCTION("""COMPUTED_VALUE"""),6454200.0)</f>
        <v>6454200</v>
      </c>
    </row>
    <row r="5093">
      <c r="A5093" s="3">
        <f>IFERROR(__xludf.DUMMYFUNCTION("""COMPUTED_VALUE"""),36579.666666666664)</f>
        <v>36579.66667</v>
      </c>
      <c r="B5093" s="2">
        <f>IFERROR(__xludf.DUMMYFUNCTION("""COMPUTED_VALUE"""),105.55)</f>
        <v>105.55</v>
      </c>
      <c r="C5093" s="2">
        <f>IFERROR(__xludf.DUMMYFUNCTION("""COMPUTED_VALUE"""),105.55)</f>
        <v>105.55</v>
      </c>
      <c r="D5093" s="2">
        <f>IFERROR(__xludf.DUMMYFUNCTION("""COMPUTED_VALUE"""),103.64)</f>
        <v>103.64</v>
      </c>
      <c r="E5093" s="2">
        <f>IFERROR(__xludf.DUMMYFUNCTION("""COMPUTED_VALUE"""),103.87)</f>
        <v>103.87</v>
      </c>
      <c r="F5093" s="2">
        <f>IFERROR(__xludf.DUMMYFUNCTION("""COMPUTED_VALUE"""),6069000.0)</f>
        <v>6069000</v>
      </c>
    </row>
    <row r="5094">
      <c r="A5094" s="3">
        <f>IFERROR(__xludf.DUMMYFUNCTION("""COMPUTED_VALUE"""),36580.666666666664)</f>
        <v>36580.66667</v>
      </c>
      <c r="B5094" s="2">
        <f>IFERROR(__xludf.DUMMYFUNCTION("""COMPUTED_VALUE"""),103.93)</f>
        <v>103.93</v>
      </c>
      <c r="C5094" s="2">
        <f>IFERROR(__xludf.DUMMYFUNCTION("""COMPUTED_VALUE"""),106.02)</f>
        <v>106.02</v>
      </c>
      <c r="D5094" s="2">
        <f>IFERROR(__xludf.DUMMYFUNCTION("""COMPUTED_VALUE"""),103.34)</f>
        <v>103.34</v>
      </c>
      <c r="E5094" s="2">
        <f>IFERROR(__xludf.DUMMYFUNCTION("""COMPUTED_VALUE"""),105.9)</f>
        <v>105.9</v>
      </c>
      <c r="F5094" s="2">
        <f>IFERROR(__xludf.DUMMYFUNCTION("""COMPUTED_VALUE"""),7814800.0)</f>
        <v>7814800</v>
      </c>
    </row>
    <row r="5095">
      <c r="A5095" s="3">
        <f>IFERROR(__xludf.DUMMYFUNCTION("""COMPUTED_VALUE"""),36581.666666666664)</f>
        <v>36581.66667</v>
      </c>
      <c r="B5095" s="2">
        <f>IFERROR(__xludf.DUMMYFUNCTION("""COMPUTED_VALUE"""),104.95)</f>
        <v>104.95</v>
      </c>
      <c r="C5095" s="2">
        <f>IFERROR(__xludf.DUMMYFUNCTION("""COMPUTED_VALUE"""),104.95)</f>
        <v>104.95</v>
      </c>
      <c r="D5095" s="2">
        <f>IFERROR(__xludf.DUMMYFUNCTION("""COMPUTED_VALUE"""),100.29)</f>
        <v>100.29</v>
      </c>
      <c r="E5095" s="2">
        <f>IFERROR(__xludf.DUMMYFUNCTION("""COMPUTED_VALUE"""),100.89)</f>
        <v>100.89</v>
      </c>
      <c r="F5095" s="2">
        <f>IFERROR(__xludf.DUMMYFUNCTION("""COMPUTED_VALUE"""),8151300.0)</f>
        <v>8151300</v>
      </c>
    </row>
    <row r="5096">
      <c r="A5096" s="3">
        <f>IFERROR(__xludf.DUMMYFUNCTION("""COMPUTED_VALUE"""),36584.666666666664)</f>
        <v>36584.66667</v>
      </c>
      <c r="B5096" s="2">
        <f>IFERROR(__xludf.DUMMYFUNCTION("""COMPUTED_VALUE"""),99.93)</f>
        <v>99.93</v>
      </c>
      <c r="C5096" s="2">
        <f>IFERROR(__xludf.DUMMYFUNCTION("""COMPUTED_VALUE"""),101.61)</f>
        <v>101.61</v>
      </c>
      <c r="D5096" s="2">
        <f>IFERROR(__xludf.DUMMYFUNCTION("""COMPUTED_VALUE"""),99.28)</f>
        <v>99.28</v>
      </c>
      <c r="E5096" s="2">
        <f>IFERROR(__xludf.DUMMYFUNCTION("""COMPUTED_VALUE"""),99.75)</f>
        <v>99.75</v>
      </c>
      <c r="F5096" s="2">
        <f>IFERROR(__xludf.DUMMYFUNCTION("""COMPUTED_VALUE"""),6653600.0)</f>
        <v>6653600</v>
      </c>
    </row>
    <row r="5097">
      <c r="A5097" s="3">
        <f>IFERROR(__xludf.DUMMYFUNCTION("""COMPUTED_VALUE"""),36585.666666666664)</f>
        <v>36585.66667</v>
      </c>
      <c r="B5097" s="2">
        <f>IFERROR(__xludf.DUMMYFUNCTION("""COMPUTED_VALUE"""),100.83)</f>
        <v>100.83</v>
      </c>
      <c r="C5097" s="2">
        <f>IFERROR(__xludf.DUMMYFUNCTION("""COMPUTED_VALUE"""),100.83)</f>
        <v>100.83</v>
      </c>
      <c r="D5097" s="2">
        <f>IFERROR(__xludf.DUMMYFUNCTION("""COMPUTED_VALUE"""),96.41)</f>
        <v>96.41</v>
      </c>
      <c r="E5097" s="2">
        <f>IFERROR(__xludf.DUMMYFUNCTION("""COMPUTED_VALUE"""),97.67)</f>
        <v>97.67</v>
      </c>
      <c r="F5097" s="2">
        <f>IFERROR(__xludf.DUMMYFUNCTION("""COMPUTED_VALUE"""),1.03782E7)</f>
        <v>10378200</v>
      </c>
    </row>
    <row r="5098">
      <c r="A5098" s="3">
        <f>IFERROR(__xludf.DUMMYFUNCTION("""COMPUTED_VALUE"""),36586.666666666664)</f>
        <v>36586.66667</v>
      </c>
      <c r="B5098" s="2">
        <f>IFERROR(__xludf.DUMMYFUNCTION("""COMPUTED_VALUE"""),97.43)</f>
        <v>97.43</v>
      </c>
      <c r="C5098" s="2">
        <f>IFERROR(__xludf.DUMMYFUNCTION("""COMPUTED_VALUE"""),100.53)</f>
        <v>100.53</v>
      </c>
      <c r="D5098" s="2">
        <f>IFERROR(__xludf.DUMMYFUNCTION("""COMPUTED_VALUE"""),95.58)</f>
        <v>95.58</v>
      </c>
      <c r="E5098" s="2">
        <f>IFERROR(__xludf.DUMMYFUNCTION("""COMPUTED_VALUE"""),95.93)</f>
        <v>95.93</v>
      </c>
      <c r="F5098" s="2">
        <f>IFERROR(__xludf.DUMMYFUNCTION("""COMPUTED_VALUE"""),8647600.0)</f>
        <v>8647600</v>
      </c>
    </row>
    <row r="5099">
      <c r="A5099" s="3">
        <f>IFERROR(__xludf.DUMMYFUNCTION("""COMPUTED_VALUE"""),36587.666666666664)</f>
        <v>36587.66667</v>
      </c>
      <c r="B5099" s="2">
        <f>IFERROR(__xludf.DUMMYFUNCTION("""COMPUTED_VALUE"""),95.99)</f>
        <v>95.99</v>
      </c>
      <c r="C5099" s="2">
        <f>IFERROR(__xludf.DUMMYFUNCTION("""COMPUTED_VALUE"""),100.71)</f>
        <v>100.71</v>
      </c>
      <c r="D5099" s="2">
        <f>IFERROR(__xludf.DUMMYFUNCTION("""COMPUTED_VALUE"""),95.1)</f>
        <v>95.1</v>
      </c>
      <c r="E5099" s="2">
        <f>IFERROR(__xludf.DUMMYFUNCTION("""COMPUTED_VALUE"""),98.74)</f>
        <v>98.74</v>
      </c>
      <c r="F5099" s="2">
        <f>IFERROR(__xludf.DUMMYFUNCTION("""COMPUTED_VALUE"""),8591000.0)</f>
        <v>8591000</v>
      </c>
    </row>
    <row r="5100">
      <c r="A5100" s="3">
        <f>IFERROR(__xludf.DUMMYFUNCTION("""COMPUTED_VALUE"""),36588.666666666664)</f>
        <v>36588.66667</v>
      </c>
      <c r="B5100" s="2">
        <f>IFERROR(__xludf.DUMMYFUNCTION("""COMPUTED_VALUE"""),102.44)</f>
        <v>102.44</v>
      </c>
      <c r="C5100" s="2">
        <f>IFERROR(__xludf.DUMMYFUNCTION("""COMPUTED_VALUE"""),105.07)</f>
        <v>105.07</v>
      </c>
      <c r="D5100" s="2">
        <f>IFERROR(__xludf.DUMMYFUNCTION("""COMPUTED_VALUE"""),101.37)</f>
        <v>101.37</v>
      </c>
      <c r="E5100" s="2">
        <f>IFERROR(__xludf.DUMMYFUNCTION("""COMPUTED_VALUE"""),104.11)</f>
        <v>104.11</v>
      </c>
      <c r="F5100" s="2">
        <f>IFERROR(__xludf.DUMMYFUNCTION("""COMPUTED_VALUE"""),8239300.0)</f>
        <v>8239300</v>
      </c>
    </row>
    <row r="5101">
      <c r="A5101" s="3">
        <f>IFERROR(__xludf.DUMMYFUNCTION("""COMPUTED_VALUE"""),36591.666666666664)</f>
        <v>36591.66667</v>
      </c>
      <c r="B5101" s="2">
        <f>IFERROR(__xludf.DUMMYFUNCTION("""COMPUTED_VALUE"""),105.01)</f>
        <v>105.01</v>
      </c>
      <c r="C5101" s="2">
        <f>IFERROR(__xludf.DUMMYFUNCTION("""COMPUTED_VALUE"""),105.9)</f>
        <v>105.9</v>
      </c>
      <c r="D5101" s="2">
        <f>IFERROR(__xludf.DUMMYFUNCTION("""COMPUTED_VALUE"""),96.47)</f>
        <v>96.47</v>
      </c>
      <c r="E5101" s="2">
        <f>IFERROR(__xludf.DUMMYFUNCTION("""COMPUTED_VALUE"""),98.44)</f>
        <v>98.44</v>
      </c>
      <c r="F5101" s="2">
        <f>IFERROR(__xludf.DUMMYFUNCTION("""COMPUTED_VALUE"""),8415000.0)</f>
        <v>8415000</v>
      </c>
    </row>
    <row r="5102">
      <c r="A5102" s="3">
        <f>IFERROR(__xludf.DUMMYFUNCTION("""COMPUTED_VALUE"""),36592.666666666664)</f>
        <v>36592.66667</v>
      </c>
      <c r="B5102" s="2">
        <f>IFERROR(__xludf.DUMMYFUNCTION("""COMPUTED_VALUE"""),101.25)</f>
        <v>101.25</v>
      </c>
      <c r="C5102" s="2">
        <f>IFERROR(__xludf.DUMMYFUNCTION("""COMPUTED_VALUE"""),102.2)</f>
        <v>102.2</v>
      </c>
      <c r="D5102" s="2">
        <f>IFERROR(__xludf.DUMMYFUNCTION("""COMPUTED_VALUE"""),97.13)</f>
        <v>97.13</v>
      </c>
      <c r="E5102" s="2">
        <f>IFERROR(__xludf.DUMMYFUNCTION("""COMPUTED_VALUE"""),98.14)</f>
        <v>98.14</v>
      </c>
      <c r="F5102" s="2">
        <f>IFERROR(__xludf.DUMMYFUNCTION("""COMPUTED_VALUE"""),8310500.0)</f>
        <v>8310500</v>
      </c>
    </row>
    <row r="5103">
      <c r="A5103" s="3">
        <f>IFERROR(__xludf.DUMMYFUNCTION("""COMPUTED_VALUE"""),36593.666666666664)</f>
        <v>36593.66667</v>
      </c>
      <c r="B5103" s="2">
        <f>IFERROR(__xludf.DUMMYFUNCTION("""COMPUTED_VALUE"""),101.25)</f>
        <v>101.25</v>
      </c>
      <c r="C5103" s="2">
        <f>IFERROR(__xludf.DUMMYFUNCTION("""COMPUTED_VALUE"""),102.08)</f>
        <v>102.08</v>
      </c>
      <c r="D5103" s="2">
        <f>IFERROR(__xludf.DUMMYFUNCTION("""COMPUTED_VALUE"""),98.14)</f>
        <v>98.14</v>
      </c>
      <c r="E5103" s="2">
        <f>IFERROR(__xludf.DUMMYFUNCTION("""COMPUTED_VALUE"""),101.13)</f>
        <v>101.13</v>
      </c>
      <c r="F5103" s="2">
        <f>IFERROR(__xludf.DUMMYFUNCTION("""COMPUTED_VALUE"""),6813600.0)</f>
        <v>6813600</v>
      </c>
    </row>
    <row r="5104">
      <c r="A5104" s="3">
        <f>IFERROR(__xludf.DUMMYFUNCTION("""COMPUTED_VALUE"""),36594.666666666664)</f>
        <v>36594.66667</v>
      </c>
      <c r="B5104" s="2">
        <f>IFERROR(__xludf.DUMMYFUNCTION("""COMPUTED_VALUE"""),101.72)</f>
        <v>101.72</v>
      </c>
      <c r="C5104" s="2">
        <f>IFERROR(__xludf.DUMMYFUNCTION("""COMPUTED_VALUE"""),102.8)</f>
        <v>102.8</v>
      </c>
      <c r="D5104" s="2">
        <f>IFERROR(__xludf.DUMMYFUNCTION("""COMPUTED_VALUE"""),100.35)</f>
        <v>100.35</v>
      </c>
      <c r="E5104" s="2">
        <f>IFERROR(__xludf.DUMMYFUNCTION("""COMPUTED_VALUE"""),102.8)</f>
        <v>102.8</v>
      </c>
      <c r="F5104" s="2">
        <f>IFERROR(__xludf.DUMMYFUNCTION("""COMPUTED_VALUE"""),5234800.0)</f>
        <v>5234800</v>
      </c>
    </row>
    <row r="5105">
      <c r="A5105" s="3">
        <f>IFERROR(__xludf.DUMMYFUNCTION("""COMPUTED_VALUE"""),36595.666666666664)</f>
        <v>36595.66667</v>
      </c>
      <c r="B5105" s="2">
        <f>IFERROR(__xludf.DUMMYFUNCTION("""COMPUTED_VALUE"""),102.8)</f>
        <v>102.8</v>
      </c>
      <c r="C5105" s="2">
        <f>IFERROR(__xludf.DUMMYFUNCTION("""COMPUTED_VALUE"""),104.11)</f>
        <v>104.11</v>
      </c>
      <c r="D5105" s="2">
        <f>IFERROR(__xludf.DUMMYFUNCTION("""COMPUTED_VALUE"""),100.35)</f>
        <v>100.35</v>
      </c>
      <c r="E5105" s="2">
        <f>IFERROR(__xludf.DUMMYFUNCTION("""COMPUTED_VALUE"""),100.35)</f>
        <v>100.35</v>
      </c>
      <c r="F5105" s="2">
        <f>IFERROR(__xludf.DUMMYFUNCTION("""COMPUTED_VALUE"""),5684600.0)</f>
        <v>5684600</v>
      </c>
    </row>
    <row r="5106">
      <c r="A5106" s="3">
        <f>IFERROR(__xludf.DUMMYFUNCTION("""COMPUTED_VALUE"""),36598.666666666664)</f>
        <v>36598.66667</v>
      </c>
      <c r="B5106" s="2">
        <f>IFERROR(__xludf.DUMMYFUNCTION("""COMPUTED_VALUE"""),99.34)</f>
        <v>99.34</v>
      </c>
      <c r="C5106" s="2">
        <f>IFERROR(__xludf.DUMMYFUNCTION("""COMPUTED_VALUE"""),104.11)</f>
        <v>104.11</v>
      </c>
      <c r="D5106" s="2">
        <f>IFERROR(__xludf.DUMMYFUNCTION("""COMPUTED_VALUE"""),98.14)</f>
        <v>98.14</v>
      </c>
      <c r="E5106" s="2">
        <f>IFERROR(__xludf.DUMMYFUNCTION("""COMPUTED_VALUE"""),102.86)</f>
        <v>102.86</v>
      </c>
      <c r="F5106" s="2">
        <f>IFERROR(__xludf.DUMMYFUNCTION("""COMPUTED_VALUE"""),6411500.0)</f>
        <v>6411500</v>
      </c>
    </row>
    <row r="5107">
      <c r="A5107" s="3">
        <f>IFERROR(__xludf.DUMMYFUNCTION("""COMPUTED_VALUE"""),36599.666666666664)</f>
        <v>36599.66667</v>
      </c>
      <c r="B5107" s="2">
        <f>IFERROR(__xludf.DUMMYFUNCTION("""COMPUTED_VALUE"""),102.92)</f>
        <v>102.92</v>
      </c>
      <c r="C5107" s="2">
        <f>IFERROR(__xludf.DUMMYFUNCTION("""COMPUTED_VALUE"""),105.01)</f>
        <v>105.01</v>
      </c>
      <c r="D5107" s="2">
        <f>IFERROR(__xludf.DUMMYFUNCTION("""COMPUTED_VALUE"""),102.68)</f>
        <v>102.68</v>
      </c>
      <c r="E5107" s="2">
        <f>IFERROR(__xludf.DUMMYFUNCTION("""COMPUTED_VALUE"""),104.71)</f>
        <v>104.71</v>
      </c>
      <c r="F5107" s="2">
        <f>IFERROR(__xludf.DUMMYFUNCTION("""COMPUTED_VALUE"""),4788600.0)</f>
        <v>4788600</v>
      </c>
    </row>
    <row r="5108">
      <c r="A5108" s="3">
        <f>IFERROR(__xludf.DUMMYFUNCTION("""COMPUTED_VALUE"""),36600.666666666664)</f>
        <v>36600.66667</v>
      </c>
      <c r="B5108" s="2">
        <f>IFERROR(__xludf.DUMMYFUNCTION("""COMPUTED_VALUE"""),102.92)</f>
        <v>102.92</v>
      </c>
      <c r="C5108" s="2">
        <f>IFERROR(__xludf.DUMMYFUNCTION("""COMPUTED_VALUE"""),103.28)</f>
        <v>103.28</v>
      </c>
      <c r="D5108" s="2">
        <f>IFERROR(__xludf.DUMMYFUNCTION("""COMPUTED_VALUE"""),101.37)</f>
        <v>101.37</v>
      </c>
      <c r="E5108" s="2">
        <f>IFERROR(__xludf.DUMMYFUNCTION("""COMPUTED_VALUE"""),101.72)</f>
        <v>101.72</v>
      </c>
      <c r="F5108" s="2">
        <f>IFERROR(__xludf.DUMMYFUNCTION("""COMPUTED_VALUE"""),4713700.0)</f>
        <v>4713700</v>
      </c>
    </row>
    <row r="5109">
      <c r="A5109" s="3">
        <f>IFERROR(__xludf.DUMMYFUNCTION("""COMPUTED_VALUE"""),36601.666666666664)</f>
        <v>36601.66667</v>
      </c>
      <c r="B5109" s="2">
        <f>IFERROR(__xludf.DUMMYFUNCTION("""COMPUTED_VALUE"""),104.11)</f>
        <v>104.11</v>
      </c>
      <c r="C5109" s="2">
        <f>IFERROR(__xludf.DUMMYFUNCTION("""COMPUTED_VALUE"""),104.89)</f>
        <v>104.89</v>
      </c>
      <c r="D5109" s="2">
        <f>IFERROR(__xludf.DUMMYFUNCTION("""COMPUTED_VALUE"""),103.04)</f>
        <v>103.04</v>
      </c>
      <c r="E5109" s="2">
        <f>IFERROR(__xludf.DUMMYFUNCTION("""COMPUTED_VALUE"""),104.17)</f>
        <v>104.17</v>
      </c>
      <c r="F5109" s="2">
        <f>IFERROR(__xludf.DUMMYFUNCTION("""COMPUTED_VALUE"""),5377000.0)</f>
        <v>5377000</v>
      </c>
    </row>
    <row r="5110">
      <c r="A5110" s="3">
        <f>IFERROR(__xludf.DUMMYFUNCTION("""COMPUTED_VALUE"""),36602.666666666664)</f>
        <v>36602.66667</v>
      </c>
      <c r="B5110" s="2">
        <f>IFERROR(__xludf.DUMMYFUNCTION("""COMPUTED_VALUE"""),104.11)</f>
        <v>104.11</v>
      </c>
      <c r="C5110" s="2">
        <f>IFERROR(__xludf.DUMMYFUNCTION("""COMPUTED_VALUE"""),106.68)</f>
        <v>106.68</v>
      </c>
      <c r="D5110" s="2">
        <f>IFERROR(__xludf.DUMMYFUNCTION("""COMPUTED_VALUE"""),102.86)</f>
        <v>102.86</v>
      </c>
      <c r="E5110" s="2">
        <f>IFERROR(__xludf.DUMMYFUNCTION("""COMPUTED_VALUE"""),105.01)</f>
        <v>105.01</v>
      </c>
      <c r="F5110" s="2">
        <f>IFERROR(__xludf.DUMMYFUNCTION("""COMPUTED_VALUE"""),7497800.0)</f>
        <v>7497800</v>
      </c>
    </row>
    <row r="5111">
      <c r="A5111" s="3">
        <f>IFERROR(__xludf.DUMMYFUNCTION("""COMPUTED_VALUE"""),36605.666666666664)</f>
        <v>36605.66667</v>
      </c>
      <c r="B5111" s="2">
        <f>IFERROR(__xludf.DUMMYFUNCTION("""COMPUTED_VALUE"""),105.07)</f>
        <v>105.07</v>
      </c>
      <c r="C5111" s="2">
        <f>IFERROR(__xludf.DUMMYFUNCTION("""COMPUTED_VALUE"""),108.29)</f>
        <v>108.29</v>
      </c>
      <c r="D5111" s="2">
        <f>IFERROR(__xludf.DUMMYFUNCTION("""COMPUTED_VALUE"""),105.07)</f>
        <v>105.07</v>
      </c>
      <c r="E5111" s="2">
        <f>IFERROR(__xludf.DUMMYFUNCTION("""COMPUTED_VALUE"""),107.75)</f>
        <v>107.75</v>
      </c>
      <c r="F5111" s="2">
        <f>IFERROR(__xludf.DUMMYFUNCTION("""COMPUTED_VALUE"""),5089900.0)</f>
        <v>5089900</v>
      </c>
    </row>
    <row r="5112">
      <c r="A5112" s="3">
        <f>IFERROR(__xludf.DUMMYFUNCTION("""COMPUTED_VALUE"""),36606.666666666664)</f>
        <v>36606.66667</v>
      </c>
      <c r="B5112" s="2">
        <f>IFERROR(__xludf.DUMMYFUNCTION("""COMPUTED_VALUE"""),107.75)</f>
        <v>107.75</v>
      </c>
      <c r="C5112" s="2">
        <f>IFERROR(__xludf.DUMMYFUNCTION("""COMPUTED_VALUE"""),109.55)</f>
        <v>109.55</v>
      </c>
      <c r="D5112" s="2">
        <f>IFERROR(__xludf.DUMMYFUNCTION("""COMPUTED_VALUE"""),106.92)</f>
        <v>106.92</v>
      </c>
      <c r="E5112" s="2">
        <f>IFERROR(__xludf.DUMMYFUNCTION("""COMPUTED_VALUE"""),108.35)</f>
        <v>108.35</v>
      </c>
      <c r="F5112" s="2">
        <f>IFERROR(__xludf.DUMMYFUNCTION("""COMPUTED_VALUE"""),5757000.0)</f>
        <v>5757000</v>
      </c>
    </row>
    <row r="5113">
      <c r="A5113" s="3">
        <f>IFERROR(__xludf.DUMMYFUNCTION("""COMPUTED_VALUE"""),36607.666666666664)</f>
        <v>36607.66667</v>
      </c>
      <c r="B5113" s="2">
        <f>IFERROR(__xludf.DUMMYFUNCTION("""COMPUTED_VALUE"""),109.37)</f>
        <v>109.37</v>
      </c>
      <c r="C5113" s="2">
        <f>IFERROR(__xludf.DUMMYFUNCTION("""COMPUTED_VALUE"""),110.2)</f>
        <v>110.2</v>
      </c>
      <c r="D5113" s="2">
        <f>IFERROR(__xludf.DUMMYFUNCTION("""COMPUTED_VALUE"""),108.89)</f>
        <v>108.89</v>
      </c>
      <c r="E5113" s="2">
        <f>IFERROR(__xludf.DUMMYFUNCTION("""COMPUTED_VALUE"""),109.25)</f>
        <v>109.25</v>
      </c>
      <c r="F5113" s="2">
        <f>IFERROR(__xludf.DUMMYFUNCTION("""COMPUTED_VALUE"""),4935800.0)</f>
        <v>4935800</v>
      </c>
    </row>
    <row r="5114">
      <c r="A5114" s="3">
        <f>IFERROR(__xludf.DUMMYFUNCTION("""COMPUTED_VALUE"""),36608.666666666664)</f>
        <v>36608.66667</v>
      </c>
      <c r="B5114" s="2">
        <f>IFERROR(__xludf.DUMMYFUNCTION("""COMPUTED_VALUE"""),110.68)</f>
        <v>110.68</v>
      </c>
      <c r="C5114" s="2">
        <f>IFERROR(__xludf.DUMMYFUNCTION("""COMPUTED_VALUE"""),110.68)</f>
        <v>110.68</v>
      </c>
      <c r="D5114" s="2">
        <f>IFERROR(__xludf.DUMMYFUNCTION("""COMPUTED_VALUE"""),106.62)</f>
        <v>106.62</v>
      </c>
      <c r="E5114" s="2">
        <f>IFERROR(__xludf.DUMMYFUNCTION("""COMPUTED_VALUE"""),109.78)</f>
        <v>109.78</v>
      </c>
      <c r="F5114" s="2">
        <f>IFERROR(__xludf.DUMMYFUNCTION("""COMPUTED_VALUE"""),5213700.0)</f>
        <v>5213700</v>
      </c>
    </row>
    <row r="5115">
      <c r="A5115" s="3">
        <f>IFERROR(__xludf.DUMMYFUNCTION("""COMPUTED_VALUE"""),36609.666666666664)</f>
        <v>36609.66667</v>
      </c>
      <c r="B5115" s="2">
        <f>IFERROR(__xludf.DUMMYFUNCTION("""COMPUTED_VALUE"""),110.2)</f>
        <v>110.2</v>
      </c>
      <c r="C5115" s="2">
        <f>IFERROR(__xludf.DUMMYFUNCTION("""COMPUTED_VALUE"""),116.53)</f>
        <v>116.53</v>
      </c>
      <c r="D5115" s="2">
        <f>IFERROR(__xludf.DUMMYFUNCTION("""COMPUTED_VALUE"""),109.9)</f>
        <v>109.9</v>
      </c>
      <c r="E5115" s="2">
        <f>IFERROR(__xludf.DUMMYFUNCTION("""COMPUTED_VALUE"""),115.57)</f>
        <v>115.57</v>
      </c>
      <c r="F5115" s="2">
        <f>IFERROR(__xludf.DUMMYFUNCTION("""COMPUTED_VALUE"""),9095700.0)</f>
        <v>9095700</v>
      </c>
    </row>
    <row r="5116">
      <c r="A5116" s="3">
        <f>IFERROR(__xludf.DUMMYFUNCTION("""COMPUTED_VALUE"""),36612.666666666664)</f>
        <v>36612.66667</v>
      </c>
      <c r="B5116" s="2">
        <f>IFERROR(__xludf.DUMMYFUNCTION("""COMPUTED_VALUE"""),119.4)</f>
        <v>119.4</v>
      </c>
      <c r="C5116" s="2">
        <f>IFERROR(__xludf.DUMMYFUNCTION("""COMPUTED_VALUE"""),121.78)</f>
        <v>121.78</v>
      </c>
      <c r="D5116" s="2">
        <f>IFERROR(__xludf.DUMMYFUNCTION("""COMPUTED_VALUE"""),119.04)</f>
        <v>119.04</v>
      </c>
      <c r="E5116" s="2">
        <f>IFERROR(__xludf.DUMMYFUNCTION("""COMPUTED_VALUE"""),120.89)</f>
        <v>120.89</v>
      </c>
      <c r="F5116" s="2">
        <f>IFERROR(__xludf.DUMMYFUNCTION("""COMPUTED_VALUE"""),8752300.0)</f>
        <v>8752300</v>
      </c>
    </row>
    <row r="5117">
      <c r="A5117" s="3">
        <f>IFERROR(__xludf.DUMMYFUNCTION("""COMPUTED_VALUE"""),36613.666666666664)</f>
        <v>36613.66667</v>
      </c>
      <c r="B5117" s="2">
        <f>IFERROR(__xludf.DUMMYFUNCTION("""COMPUTED_VALUE"""),119.4)</f>
        <v>119.4</v>
      </c>
      <c r="C5117" s="2">
        <f>IFERROR(__xludf.DUMMYFUNCTION("""COMPUTED_VALUE"""),121.31)</f>
        <v>121.31</v>
      </c>
      <c r="D5117" s="2">
        <f>IFERROR(__xludf.DUMMYFUNCTION("""COMPUTED_VALUE"""),116.77)</f>
        <v>116.77</v>
      </c>
      <c r="E5117" s="2">
        <f>IFERROR(__xludf.DUMMYFUNCTION("""COMPUTED_VALUE"""),116.77)</f>
        <v>116.77</v>
      </c>
      <c r="F5117" s="2">
        <f>IFERROR(__xludf.DUMMYFUNCTION("""COMPUTED_VALUE"""),6204100.0)</f>
        <v>6204100</v>
      </c>
    </row>
    <row r="5118">
      <c r="A5118" s="3">
        <f>IFERROR(__xludf.DUMMYFUNCTION("""COMPUTED_VALUE"""),36614.666666666664)</f>
        <v>36614.66667</v>
      </c>
      <c r="B5118" s="2">
        <f>IFERROR(__xludf.DUMMYFUNCTION("""COMPUTED_VALUE"""),116.95)</f>
        <v>116.95</v>
      </c>
      <c r="C5118" s="2">
        <f>IFERROR(__xludf.DUMMYFUNCTION("""COMPUTED_VALUE"""),116.95)</f>
        <v>116.95</v>
      </c>
      <c r="D5118" s="2">
        <f>IFERROR(__xludf.DUMMYFUNCTION("""COMPUTED_VALUE"""),113.25)</f>
        <v>113.25</v>
      </c>
      <c r="E5118" s="2">
        <f>IFERROR(__xludf.DUMMYFUNCTION("""COMPUTED_VALUE"""),113.9)</f>
        <v>113.9</v>
      </c>
      <c r="F5118" s="2">
        <f>IFERROR(__xludf.DUMMYFUNCTION("""COMPUTED_VALUE"""),5988200.0)</f>
        <v>5988200</v>
      </c>
    </row>
    <row r="5119">
      <c r="A5119" s="3">
        <f>IFERROR(__xludf.DUMMYFUNCTION("""COMPUTED_VALUE"""),36615.666666666664)</f>
        <v>36615.66667</v>
      </c>
      <c r="B5119" s="2">
        <f>IFERROR(__xludf.DUMMYFUNCTION("""COMPUTED_VALUE"""),113.55)</f>
        <v>113.55</v>
      </c>
      <c r="C5119" s="2">
        <f>IFERROR(__xludf.DUMMYFUNCTION("""COMPUTED_VALUE"""),117.49)</f>
        <v>117.49</v>
      </c>
      <c r="D5119" s="2">
        <f>IFERROR(__xludf.DUMMYFUNCTION("""COMPUTED_VALUE"""),113.43)</f>
        <v>113.43</v>
      </c>
      <c r="E5119" s="2">
        <f>IFERROR(__xludf.DUMMYFUNCTION("""COMPUTED_VALUE"""),117.01)</f>
        <v>117.01</v>
      </c>
      <c r="F5119" s="2">
        <f>IFERROR(__xludf.DUMMYFUNCTION("""COMPUTED_VALUE"""),7799500.0)</f>
        <v>7799500</v>
      </c>
    </row>
    <row r="5120">
      <c r="A5120" s="3">
        <f>IFERROR(__xludf.DUMMYFUNCTION("""COMPUTED_VALUE"""),36616.666666666664)</f>
        <v>36616.66667</v>
      </c>
      <c r="B5120" s="2">
        <f>IFERROR(__xludf.DUMMYFUNCTION("""COMPUTED_VALUE"""),117.13)</f>
        <v>117.13</v>
      </c>
      <c r="C5120" s="2">
        <f>IFERROR(__xludf.DUMMYFUNCTION("""COMPUTED_VALUE"""),118.2)</f>
        <v>118.2</v>
      </c>
      <c r="D5120" s="2">
        <f>IFERROR(__xludf.DUMMYFUNCTION("""COMPUTED_VALUE"""),111.81)</f>
        <v>111.81</v>
      </c>
      <c r="E5120" s="2">
        <f>IFERROR(__xludf.DUMMYFUNCTION("""COMPUTED_VALUE"""),112.71)</f>
        <v>112.71</v>
      </c>
      <c r="F5120" s="2">
        <f>IFERROR(__xludf.DUMMYFUNCTION("""COMPUTED_VALUE"""),6567700.0)</f>
        <v>6567700</v>
      </c>
    </row>
    <row r="5121">
      <c r="A5121" s="3">
        <f>IFERROR(__xludf.DUMMYFUNCTION("""COMPUTED_VALUE"""),36619.666666666664)</f>
        <v>36619.66667</v>
      </c>
      <c r="B5121" s="2">
        <f>IFERROR(__xludf.DUMMYFUNCTION("""COMPUTED_VALUE"""),116.89)</f>
        <v>116.89</v>
      </c>
      <c r="C5121" s="2">
        <f>IFERROR(__xludf.DUMMYFUNCTION("""COMPUTED_VALUE"""),116.89)</f>
        <v>116.89</v>
      </c>
      <c r="D5121" s="2">
        <f>IFERROR(__xludf.DUMMYFUNCTION("""COMPUTED_VALUE"""),114.08)</f>
        <v>114.08</v>
      </c>
      <c r="E5121" s="2">
        <f>IFERROR(__xludf.DUMMYFUNCTION("""COMPUTED_VALUE"""),116.41)</f>
        <v>116.41</v>
      </c>
      <c r="F5121" s="2">
        <f>IFERROR(__xludf.DUMMYFUNCTION("""COMPUTED_VALUE"""),6421500.0)</f>
        <v>6421500</v>
      </c>
    </row>
    <row r="5122">
      <c r="A5122" s="3">
        <f>IFERROR(__xludf.DUMMYFUNCTION("""COMPUTED_VALUE"""),36620.666666666664)</f>
        <v>36620.66667</v>
      </c>
      <c r="B5122" s="2">
        <f>IFERROR(__xludf.DUMMYFUNCTION("""COMPUTED_VALUE"""),117.13)</f>
        <v>117.13</v>
      </c>
      <c r="C5122" s="2">
        <f>IFERROR(__xludf.DUMMYFUNCTION("""COMPUTED_VALUE"""),121.07)</f>
        <v>121.07</v>
      </c>
      <c r="D5122" s="2">
        <f>IFERROR(__xludf.DUMMYFUNCTION("""COMPUTED_VALUE"""),109.96)</f>
        <v>109.96</v>
      </c>
      <c r="E5122" s="2">
        <f>IFERROR(__xludf.DUMMYFUNCTION("""COMPUTED_VALUE"""),115.57)</f>
        <v>115.57</v>
      </c>
      <c r="F5122" s="2">
        <f>IFERROR(__xludf.DUMMYFUNCTION("""COMPUTED_VALUE"""),1.37082E7)</f>
        <v>13708200</v>
      </c>
    </row>
    <row r="5123">
      <c r="A5123" s="3">
        <f>IFERROR(__xludf.DUMMYFUNCTION("""COMPUTED_VALUE"""),36621.666666666664)</f>
        <v>36621.66667</v>
      </c>
      <c r="B5123" s="2">
        <f>IFERROR(__xludf.DUMMYFUNCTION("""COMPUTED_VALUE"""),115.1)</f>
        <v>115.1</v>
      </c>
      <c r="C5123" s="2">
        <f>IFERROR(__xludf.DUMMYFUNCTION("""COMPUTED_VALUE"""),120.23)</f>
        <v>120.23</v>
      </c>
      <c r="D5123" s="2">
        <f>IFERROR(__xludf.DUMMYFUNCTION("""COMPUTED_VALUE"""),114.38)</f>
        <v>114.38</v>
      </c>
      <c r="E5123" s="2">
        <f>IFERROR(__xludf.DUMMYFUNCTION("""COMPUTED_VALUE"""),117.9)</f>
        <v>117.9</v>
      </c>
      <c r="F5123" s="2">
        <f>IFERROR(__xludf.DUMMYFUNCTION("""COMPUTED_VALUE"""),7113700.0)</f>
        <v>7113700</v>
      </c>
    </row>
    <row r="5124">
      <c r="A5124" s="3">
        <f>IFERROR(__xludf.DUMMYFUNCTION("""COMPUTED_VALUE"""),36622.666666666664)</f>
        <v>36622.66667</v>
      </c>
      <c r="B5124" s="2">
        <f>IFERROR(__xludf.DUMMYFUNCTION("""COMPUTED_VALUE"""),117.96)</f>
        <v>117.96</v>
      </c>
      <c r="C5124" s="2">
        <f>IFERROR(__xludf.DUMMYFUNCTION("""COMPUTED_VALUE"""),122.26)</f>
        <v>122.26</v>
      </c>
      <c r="D5124" s="2">
        <f>IFERROR(__xludf.DUMMYFUNCTION("""COMPUTED_VALUE"""),117.13)</f>
        <v>117.13</v>
      </c>
      <c r="E5124" s="2">
        <f>IFERROR(__xludf.DUMMYFUNCTION("""COMPUTED_VALUE"""),117.6)</f>
        <v>117.6</v>
      </c>
      <c r="F5124" s="2">
        <f>IFERROR(__xludf.DUMMYFUNCTION("""COMPUTED_VALUE"""),7100900.0)</f>
        <v>7100900</v>
      </c>
    </row>
    <row r="5125">
      <c r="A5125" s="3">
        <f>IFERROR(__xludf.DUMMYFUNCTION("""COMPUTED_VALUE"""),36623.666666666664)</f>
        <v>36623.66667</v>
      </c>
      <c r="B5125" s="2">
        <f>IFERROR(__xludf.DUMMYFUNCTION("""COMPUTED_VALUE"""),117.96)</f>
        <v>117.96</v>
      </c>
      <c r="C5125" s="2">
        <f>IFERROR(__xludf.DUMMYFUNCTION("""COMPUTED_VALUE"""),120.05)</f>
        <v>120.05</v>
      </c>
      <c r="D5125" s="2">
        <f>IFERROR(__xludf.DUMMYFUNCTION("""COMPUTED_VALUE"""),116.05)</f>
        <v>116.05</v>
      </c>
      <c r="E5125" s="2">
        <f>IFERROR(__xludf.DUMMYFUNCTION("""COMPUTED_VALUE"""),117.54)</f>
        <v>117.54</v>
      </c>
      <c r="F5125" s="2">
        <f>IFERROR(__xludf.DUMMYFUNCTION("""COMPUTED_VALUE"""),4308700.0)</f>
        <v>4308700</v>
      </c>
    </row>
    <row r="5126">
      <c r="A5126" s="3">
        <f>IFERROR(__xludf.DUMMYFUNCTION("""COMPUTED_VALUE"""),36626.666666666664)</f>
        <v>36626.66667</v>
      </c>
      <c r="B5126" s="2">
        <f>IFERROR(__xludf.DUMMYFUNCTION("""COMPUTED_VALUE"""),117.96)</f>
        <v>117.96</v>
      </c>
      <c r="C5126" s="2">
        <f>IFERROR(__xludf.DUMMYFUNCTION("""COMPUTED_VALUE"""),119.69)</f>
        <v>119.69</v>
      </c>
      <c r="D5126" s="2">
        <f>IFERROR(__xludf.DUMMYFUNCTION("""COMPUTED_VALUE"""),116.11)</f>
        <v>116.11</v>
      </c>
      <c r="E5126" s="2">
        <f>IFERROR(__xludf.DUMMYFUNCTION("""COMPUTED_VALUE"""),116.71)</f>
        <v>116.71</v>
      </c>
      <c r="F5126" s="2">
        <f>IFERROR(__xludf.DUMMYFUNCTION("""COMPUTED_VALUE"""),4332600.0)</f>
        <v>4332600</v>
      </c>
    </row>
    <row r="5127">
      <c r="A5127" s="3">
        <f>IFERROR(__xludf.DUMMYFUNCTION("""COMPUTED_VALUE"""),36627.666666666664)</f>
        <v>36627.66667</v>
      </c>
      <c r="B5127" s="2">
        <f>IFERROR(__xludf.DUMMYFUNCTION("""COMPUTED_VALUE"""),116.17)</f>
        <v>116.17</v>
      </c>
      <c r="C5127" s="2">
        <f>IFERROR(__xludf.DUMMYFUNCTION("""COMPUTED_VALUE"""),116.17)</f>
        <v>116.17</v>
      </c>
      <c r="D5127" s="2">
        <f>IFERROR(__xludf.DUMMYFUNCTION("""COMPUTED_VALUE"""),112.53)</f>
        <v>112.53</v>
      </c>
      <c r="E5127" s="2">
        <f>IFERROR(__xludf.DUMMYFUNCTION("""COMPUTED_VALUE"""),113.66)</f>
        <v>113.66</v>
      </c>
      <c r="F5127" s="2">
        <f>IFERROR(__xludf.DUMMYFUNCTION("""COMPUTED_VALUE"""),6180900.0)</f>
        <v>6180900</v>
      </c>
    </row>
    <row r="5128">
      <c r="A5128" s="3">
        <f>IFERROR(__xludf.DUMMYFUNCTION("""COMPUTED_VALUE"""),36628.666666666664)</f>
        <v>36628.66667</v>
      </c>
      <c r="B5128" s="2">
        <f>IFERROR(__xludf.DUMMYFUNCTION("""COMPUTED_VALUE"""),116.17)</f>
        <v>116.17</v>
      </c>
      <c r="C5128" s="2">
        <f>IFERROR(__xludf.DUMMYFUNCTION("""COMPUTED_VALUE"""),116.17)</f>
        <v>116.17</v>
      </c>
      <c r="D5128" s="2">
        <f>IFERROR(__xludf.DUMMYFUNCTION("""COMPUTED_VALUE"""),106.86)</f>
        <v>106.86</v>
      </c>
      <c r="E5128" s="2">
        <f>IFERROR(__xludf.DUMMYFUNCTION("""COMPUTED_VALUE"""),107.4)</f>
        <v>107.4</v>
      </c>
      <c r="F5128" s="2">
        <f>IFERROR(__xludf.DUMMYFUNCTION("""COMPUTED_VALUE"""),7236700.0)</f>
        <v>7236700</v>
      </c>
    </row>
    <row r="5129">
      <c r="A5129" s="3">
        <f>IFERROR(__xludf.DUMMYFUNCTION("""COMPUTED_VALUE"""),36629.666666666664)</f>
        <v>36629.66667</v>
      </c>
      <c r="B5129" s="2">
        <f>IFERROR(__xludf.DUMMYFUNCTION("""COMPUTED_VALUE"""),107.46)</f>
        <v>107.46</v>
      </c>
      <c r="C5129" s="2">
        <f>IFERROR(__xludf.DUMMYFUNCTION("""COMPUTED_VALUE"""),108.83)</f>
        <v>108.83</v>
      </c>
      <c r="D5129" s="2">
        <f>IFERROR(__xludf.DUMMYFUNCTION("""COMPUTED_VALUE"""),105.07)</f>
        <v>105.07</v>
      </c>
      <c r="E5129" s="2">
        <f>IFERROR(__xludf.DUMMYFUNCTION("""COMPUTED_VALUE"""),105.55)</f>
        <v>105.55</v>
      </c>
      <c r="F5129" s="2">
        <f>IFERROR(__xludf.DUMMYFUNCTION("""COMPUTED_VALUE"""),6849900.0)</f>
        <v>6849900</v>
      </c>
    </row>
    <row r="5130">
      <c r="A5130" s="3">
        <f>IFERROR(__xludf.DUMMYFUNCTION("""COMPUTED_VALUE"""),36630.666666666664)</f>
        <v>36630.66667</v>
      </c>
      <c r="B5130" s="2">
        <f>IFERROR(__xludf.DUMMYFUNCTION("""COMPUTED_VALUE"""),104.89)</f>
        <v>104.89</v>
      </c>
      <c r="C5130" s="2">
        <f>IFERROR(__xludf.DUMMYFUNCTION("""COMPUTED_VALUE"""),107.58)</f>
        <v>107.58</v>
      </c>
      <c r="D5130" s="2">
        <f>IFERROR(__xludf.DUMMYFUNCTION("""COMPUTED_VALUE"""),98.26)</f>
        <v>98.26</v>
      </c>
      <c r="E5130" s="2">
        <f>IFERROR(__xludf.DUMMYFUNCTION("""COMPUTED_VALUE"""),99.34)</f>
        <v>99.34</v>
      </c>
      <c r="F5130" s="2">
        <f>IFERROR(__xludf.DUMMYFUNCTION("""COMPUTED_VALUE"""),9251400.0)</f>
        <v>9251400</v>
      </c>
    </row>
    <row r="5131">
      <c r="A5131" s="3">
        <f>IFERROR(__xludf.DUMMYFUNCTION("""COMPUTED_VALUE"""),36633.666666666664)</f>
        <v>36633.66667</v>
      </c>
      <c r="B5131" s="2">
        <f>IFERROR(__xludf.DUMMYFUNCTION("""COMPUTED_VALUE"""),99.22)</f>
        <v>99.22</v>
      </c>
      <c r="C5131" s="2">
        <f>IFERROR(__xludf.DUMMYFUNCTION("""COMPUTED_VALUE"""),107.22)</f>
        <v>107.22</v>
      </c>
      <c r="D5131" s="2">
        <f>IFERROR(__xludf.DUMMYFUNCTION("""COMPUTED_VALUE"""),98.86)</f>
        <v>98.86</v>
      </c>
      <c r="E5131" s="2">
        <f>IFERROR(__xludf.DUMMYFUNCTION("""COMPUTED_VALUE"""),107.22)</f>
        <v>107.22</v>
      </c>
      <c r="F5131" s="2">
        <f>IFERROR(__xludf.DUMMYFUNCTION("""COMPUTED_VALUE"""),7959400.0)</f>
        <v>7959400</v>
      </c>
    </row>
    <row r="5132">
      <c r="A5132" s="3">
        <f>IFERROR(__xludf.DUMMYFUNCTION("""COMPUTED_VALUE"""),36634.666666666664)</f>
        <v>36634.66667</v>
      </c>
      <c r="B5132" s="2">
        <f>IFERROR(__xludf.DUMMYFUNCTION("""COMPUTED_VALUE"""),109.96)</f>
        <v>109.96</v>
      </c>
      <c r="C5132" s="2">
        <f>IFERROR(__xludf.DUMMYFUNCTION("""COMPUTED_VALUE"""),109.96)</f>
        <v>109.96</v>
      </c>
      <c r="D5132" s="2">
        <f>IFERROR(__xludf.DUMMYFUNCTION("""COMPUTED_VALUE"""),105.13)</f>
        <v>105.13</v>
      </c>
      <c r="E5132" s="2">
        <f>IFERROR(__xludf.DUMMYFUNCTION("""COMPUTED_VALUE"""),109.96)</f>
        <v>109.96</v>
      </c>
      <c r="F5132" s="2">
        <f>IFERROR(__xludf.DUMMYFUNCTION("""COMPUTED_VALUE"""),6438700.0)</f>
        <v>6438700</v>
      </c>
    </row>
    <row r="5133">
      <c r="A5133" s="3">
        <f>IFERROR(__xludf.DUMMYFUNCTION("""COMPUTED_VALUE"""),36635.666666666664)</f>
        <v>36635.66667</v>
      </c>
      <c r="B5133" s="2">
        <f>IFERROR(__xludf.DUMMYFUNCTION("""COMPUTED_VALUE"""),104.83)</f>
        <v>104.83</v>
      </c>
      <c r="C5133" s="2">
        <f>IFERROR(__xludf.DUMMYFUNCTION("""COMPUTED_VALUE"""),104.83)</f>
        <v>104.83</v>
      </c>
      <c r="D5133" s="2">
        <f>IFERROR(__xludf.DUMMYFUNCTION("""COMPUTED_VALUE"""),98.38)</f>
        <v>98.38</v>
      </c>
      <c r="E5133" s="2">
        <f>IFERROR(__xludf.DUMMYFUNCTION("""COMPUTED_VALUE"""),99.81)</f>
        <v>99.81</v>
      </c>
      <c r="F5133" s="2">
        <f>IFERROR(__xludf.DUMMYFUNCTION("""COMPUTED_VALUE"""),1.18412E7)</f>
        <v>11841200</v>
      </c>
    </row>
    <row r="5134">
      <c r="A5134" s="3">
        <f>IFERROR(__xludf.DUMMYFUNCTION("""COMPUTED_VALUE"""),36636.666666666664)</f>
        <v>36636.66667</v>
      </c>
      <c r="B5134" s="2">
        <f>IFERROR(__xludf.DUMMYFUNCTION("""COMPUTED_VALUE"""),100.29)</f>
        <v>100.29</v>
      </c>
      <c r="C5134" s="2">
        <f>IFERROR(__xludf.DUMMYFUNCTION("""COMPUTED_VALUE"""),100.53)</f>
        <v>100.53</v>
      </c>
      <c r="D5134" s="2">
        <f>IFERROR(__xludf.DUMMYFUNCTION("""COMPUTED_VALUE"""),97.49)</f>
        <v>97.49</v>
      </c>
      <c r="E5134" s="2">
        <f>IFERROR(__xludf.DUMMYFUNCTION("""COMPUTED_VALUE"""),99.34)</f>
        <v>99.34</v>
      </c>
      <c r="F5134" s="2">
        <f>IFERROR(__xludf.DUMMYFUNCTION("""COMPUTED_VALUE"""),8703000.0)</f>
        <v>8703000</v>
      </c>
    </row>
    <row r="5135">
      <c r="A5135" s="3">
        <f>IFERROR(__xludf.DUMMYFUNCTION("""COMPUTED_VALUE"""),36640.666666666664)</f>
        <v>36640.66667</v>
      </c>
      <c r="B5135" s="2">
        <f>IFERROR(__xludf.DUMMYFUNCTION("""COMPUTED_VALUE"""),97.43)</f>
        <v>97.43</v>
      </c>
      <c r="C5135" s="2">
        <f>IFERROR(__xludf.DUMMYFUNCTION("""COMPUTED_VALUE"""),102.32)</f>
        <v>102.32</v>
      </c>
      <c r="D5135" s="2">
        <f>IFERROR(__xludf.DUMMYFUNCTION("""COMPUTED_VALUE"""),96.71)</f>
        <v>96.71</v>
      </c>
      <c r="E5135" s="2">
        <f>IFERROR(__xludf.DUMMYFUNCTION("""COMPUTED_VALUE"""),101.25)</f>
        <v>101.25</v>
      </c>
      <c r="F5135" s="2">
        <f>IFERROR(__xludf.DUMMYFUNCTION("""COMPUTED_VALUE"""),6931300.0)</f>
        <v>6931300</v>
      </c>
    </row>
    <row r="5136">
      <c r="A5136" s="3">
        <f>IFERROR(__xludf.DUMMYFUNCTION("""COMPUTED_VALUE"""),36641.666666666664)</f>
        <v>36641.66667</v>
      </c>
      <c r="B5136" s="2">
        <f>IFERROR(__xludf.DUMMYFUNCTION("""COMPUTED_VALUE"""),97.43)</f>
        <v>97.43</v>
      </c>
      <c r="C5136" s="2">
        <f>IFERROR(__xludf.DUMMYFUNCTION("""COMPUTED_VALUE"""),107.69)</f>
        <v>107.69</v>
      </c>
      <c r="D5136" s="2">
        <f>IFERROR(__xludf.DUMMYFUNCTION("""COMPUTED_VALUE"""),96.71)</f>
        <v>96.71</v>
      </c>
      <c r="E5136" s="2">
        <f>IFERROR(__xludf.DUMMYFUNCTION("""COMPUTED_VALUE"""),107.1)</f>
        <v>107.1</v>
      </c>
      <c r="F5136" s="2">
        <f>IFERROR(__xludf.DUMMYFUNCTION("""COMPUTED_VALUE"""),8146900.0)</f>
        <v>8146900</v>
      </c>
    </row>
    <row r="5137">
      <c r="A5137" s="3">
        <f>IFERROR(__xludf.DUMMYFUNCTION("""COMPUTED_VALUE"""),36642.666666666664)</f>
        <v>36642.66667</v>
      </c>
      <c r="B5137" s="2">
        <f>IFERROR(__xludf.DUMMYFUNCTION("""COMPUTED_VALUE"""),107.46)</f>
        <v>107.46</v>
      </c>
      <c r="C5137" s="2">
        <f>IFERROR(__xludf.DUMMYFUNCTION("""COMPUTED_VALUE"""),108.65)</f>
        <v>108.65</v>
      </c>
      <c r="D5137" s="2">
        <f>IFERROR(__xludf.DUMMYFUNCTION("""COMPUTED_VALUE"""),104.35)</f>
        <v>104.35</v>
      </c>
      <c r="E5137" s="2">
        <f>IFERROR(__xludf.DUMMYFUNCTION("""COMPUTED_VALUE"""),105.84)</f>
        <v>105.84</v>
      </c>
      <c r="F5137" s="2">
        <f>IFERROR(__xludf.DUMMYFUNCTION("""COMPUTED_VALUE"""),5076900.0)</f>
        <v>5076900</v>
      </c>
    </row>
    <row r="5138">
      <c r="A5138" s="3">
        <f>IFERROR(__xludf.DUMMYFUNCTION("""COMPUTED_VALUE"""),36643.666666666664)</f>
        <v>36643.66667</v>
      </c>
      <c r="B5138" s="2">
        <f>IFERROR(__xludf.DUMMYFUNCTION("""COMPUTED_VALUE"""),104.59)</f>
        <v>104.59</v>
      </c>
      <c r="C5138" s="2">
        <f>IFERROR(__xludf.DUMMYFUNCTION("""COMPUTED_VALUE"""),108.05)</f>
        <v>108.05</v>
      </c>
      <c r="D5138" s="2">
        <f>IFERROR(__xludf.DUMMYFUNCTION("""COMPUTED_VALUE"""),103.93)</f>
        <v>103.93</v>
      </c>
      <c r="E5138" s="2">
        <f>IFERROR(__xludf.DUMMYFUNCTION("""COMPUTED_VALUE"""),105.49)</f>
        <v>105.49</v>
      </c>
      <c r="F5138" s="2">
        <f>IFERROR(__xludf.DUMMYFUNCTION("""COMPUTED_VALUE"""),5587700.0)</f>
        <v>5587700</v>
      </c>
    </row>
    <row r="5139">
      <c r="A5139" s="3">
        <f>IFERROR(__xludf.DUMMYFUNCTION("""COMPUTED_VALUE"""),36644.666666666664)</f>
        <v>36644.66667</v>
      </c>
      <c r="B5139" s="2">
        <f>IFERROR(__xludf.DUMMYFUNCTION("""COMPUTED_VALUE"""),106.98)</f>
        <v>106.98</v>
      </c>
      <c r="C5139" s="2">
        <f>IFERROR(__xludf.DUMMYFUNCTION("""COMPUTED_VALUE"""),107.34)</f>
        <v>107.34</v>
      </c>
      <c r="D5139" s="2">
        <f>IFERROR(__xludf.DUMMYFUNCTION("""COMPUTED_VALUE"""),105.19)</f>
        <v>105.19</v>
      </c>
      <c r="E5139" s="2">
        <f>IFERROR(__xludf.DUMMYFUNCTION("""COMPUTED_VALUE"""),106.62)</f>
        <v>106.62</v>
      </c>
      <c r="F5139" s="2">
        <f>IFERROR(__xludf.DUMMYFUNCTION("""COMPUTED_VALUE"""),4137400.0)</f>
        <v>4137400</v>
      </c>
    </row>
    <row r="5140">
      <c r="A5140" s="3">
        <f>IFERROR(__xludf.DUMMYFUNCTION("""COMPUTED_VALUE"""),36647.666666666664)</f>
        <v>36647.66667</v>
      </c>
      <c r="B5140" s="2">
        <f>IFERROR(__xludf.DUMMYFUNCTION("""COMPUTED_VALUE"""),107.46)</f>
        <v>107.46</v>
      </c>
      <c r="C5140" s="2">
        <f>IFERROR(__xludf.DUMMYFUNCTION("""COMPUTED_VALUE"""),108.11)</f>
        <v>108.11</v>
      </c>
      <c r="D5140" s="2">
        <f>IFERROR(__xludf.DUMMYFUNCTION("""COMPUTED_VALUE"""),105.55)</f>
        <v>105.55</v>
      </c>
      <c r="E5140" s="2">
        <f>IFERROR(__xludf.DUMMYFUNCTION("""COMPUTED_VALUE"""),106.92)</f>
        <v>106.92</v>
      </c>
      <c r="F5140" s="2">
        <f>IFERROR(__xludf.DUMMYFUNCTION("""COMPUTED_VALUE"""),3437700.0)</f>
        <v>3437700</v>
      </c>
    </row>
    <row r="5141">
      <c r="A5141" s="3">
        <f>IFERROR(__xludf.DUMMYFUNCTION("""COMPUTED_VALUE"""),36648.666666666664)</f>
        <v>36648.66667</v>
      </c>
      <c r="B5141" s="2">
        <f>IFERROR(__xludf.DUMMYFUNCTION("""COMPUTED_VALUE"""),107.46)</f>
        <v>107.46</v>
      </c>
      <c r="C5141" s="2">
        <f>IFERROR(__xludf.DUMMYFUNCTION("""COMPUTED_VALUE"""),108.53)</f>
        <v>108.53</v>
      </c>
      <c r="D5141" s="2">
        <f>IFERROR(__xludf.DUMMYFUNCTION("""COMPUTED_VALUE"""),105.78)</f>
        <v>105.78</v>
      </c>
      <c r="E5141" s="2">
        <f>IFERROR(__xludf.DUMMYFUNCTION("""COMPUTED_VALUE"""),106.38)</f>
        <v>106.38</v>
      </c>
      <c r="F5141" s="2">
        <f>IFERROR(__xludf.DUMMYFUNCTION("""COMPUTED_VALUE"""),3536500.0)</f>
        <v>3536500</v>
      </c>
    </row>
    <row r="5142">
      <c r="A5142" s="3">
        <f>IFERROR(__xludf.DUMMYFUNCTION("""COMPUTED_VALUE"""),36649.666666666664)</f>
        <v>36649.66667</v>
      </c>
      <c r="B5142" s="2">
        <f>IFERROR(__xludf.DUMMYFUNCTION("""COMPUTED_VALUE"""),106.14)</f>
        <v>106.14</v>
      </c>
      <c r="C5142" s="2">
        <f>IFERROR(__xludf.DUMMYFUNCTION("""COMPUTED_VALUE"""),106.14)</f>
        <v>106.14</v>
      </c>
      <c r="D5142" s="2">
        <f>IFERROR(__xludf.DUMMYFUNCTION("""COMPUTED_VALUE"""),101.84)</f>
        <v>101.84</v>
      </c>
      <c r="E5142" s="2">
        <f>IFERROR(__xludf.DUMMYFUNCTION("""COMPUTED_VALUE"""),103.16)</f>
        <v>103.16</v>
      </c>
      <c r="F5142" s="2">
        <f>IFERROR(__xludf.DUMMYFUNCTION("""COMPUTED_VALUE"""),4566100.0)</f>
        <v>4566100</v>
      </c>
    </row>
    <row r="5143">
      <c r="A5143" s="3">
        <f>IFERROR(__xludf.DUMMYFUNCTION("""COMPUTED_VALUE"""),36650.666666666664)</f>
        <v>36650.66667</v>
      </c>
      <c r="B5143" s="2">
        <f>IFERROR(__xludf.DUMMYFUNCTION("""COMPUTED_VALUE"""),104.23)</f>
        <v>104.23</v>
      </c>
      <c r="C5143" s="2">
        <f>IFERROR(__xludf.DUMMYFUNCTION("""COMPUTED_VALUE"""),104.23)</f>
        <v>104.23</v>
      </c>
      <c r="D5143" s="2">
        <f>IFERROR(__xludf.DUMMYFUNCTION("""COMPUTED_VALUE"""),102.44)</f>
        <v>102.44</v>
      </c>
      <c r="E5143" s="2">
        <f>IFERROR(__xludf.DUMMYFUNCTION("""COMPUTED_VALUE"""),102.8)</f>
        <v>102.8</v>
      </c>
      <c r="F5143" s="2">
        <f>IFERROR(__xludf.DUMMYFUNCTION("""COMPUTED_VALUE"""),3137500.0)</f>
        <v>3137500</v>
      </c>
    </row>
    <row r="5144">
      <c r="A5144" s="3">
        <f>IFERROR(__xludf.DUMMYFUNCTION("""COMPUTED_VALUE"""),36651.666666666664)</f>
        <v>36651.66667</v>
      </c>
      <c r="B5144" s="2">
        <f>IFERROR(__xludf.DUMMYFUNCTION("""COMPUTED_VALUE"""),101.84)</f>
        <v>101.84</v>
      </c>
      <c r="C5144" s="2">
        <f>IFERROR(__xludf.DUMMYFUNCTION("""COMPUTED_VALUE"""),104.65)</f>
        <v>104.65</v>
      </c>
      <c r="D5144" s="2">
        <f>IFERROR(__xludf.DUMMYFUNCTION("""COMPUTED_VALUE"""),101.84)</f>
        <v>101.84</v>
      </c>
      <c r="E5144" s="2">
        <f>IFERROR(__xludf.DUMMYFUNCTION("""COMPUTED_VALUE"""),103.1)</f>
        <v>103.1</v>
      </c>
      <c r="F5144" s="2">
        <f>IFERROR(__xludf.DUMMYFUNCTION("""COMPUTED_VALUE"""),4099900.0)</f>
        <v>4099900</v>
      </c>
    </row>
    <row r="5145">
      <c r="A5145" s="3">
        <f>IFERROR(__xludf.DUMMYFUNCTION("""COMPUTED_VALUE"""),36654.666666666664)</f>
        <v>36654.66667</v>
      </c>
      <c r="B5145" s="2">
        <f>IFERROR(__xludf.DUMMYFUNCTION("""COMPUTED_VALUE"""),103.22)</f>
        <v>103.22</v>
      </c>
      <c r="C5145" s="2">
        <f>IFERROR(__xludf.DUMMYFUNCTION("""COMPUTED_VALUE"""),105.07)</f>
        <v>105.07</v>
      </c>
      <c r="D5145" s="2">
        <f>IFERROR(__xludf.DUMMYFUNCTION("""COMPUTED_VALUE"""),102.8)</f>
        <v>102.8</v>
      </c>
      <c r="E5145" s="2">
        <f>IFERROR(__xludf.DUMMYFUNCTION("""COMPUTED_VALUE"""),105.07)</f>
        <v>105.07</v>
      </c>
      <c r="F5145" s="2">
        <f>IFERROR(__xludf.DUMMYFUNCTION("""COMPUTED_VALUE"""),4184100.0)</f>
        <v>4184100</v>
      </c>
    </row>
    <row r="5146">
      <c r="A5146" s="3">
        <f>IFERROR(__xludf.DUMMYFUNCTION("""COMPUTED_VALUE"""),36655.666666666664)</f>
        <v>36655.66667</v>
      </c>
      <c r="B5146" s="2">
        <f>IFERROR(__xludf.DUMMYFUNCTION("""COMPUTED_VALUE"""),105.55)</f>
        <v>105.55</v>
      </c>
      <c r="C5146" s="2">
        <f>IFERROR(__xludf.DUMMYFUNCTION("""COMPUTED_VALUE"""),105.67)</f>
        <v>105.67</v>
      </c>
      <c r="D5146" s="2">
        <f>IFERROR(__xludf.DUMMYFUNCTION("""COMPUTED_VALUE"""),103.4)</f>
        <v>103.4</v>
      </c>
      <c r="E5146" s="2">
        <f>IFERROR(__xludf.DUMMYFUNCTION("""COMPUTED_VALUE"""),104.11)</f>
        <v>104.11</v>
      </c>
      <c r="F5146" s="2">
        <f>IFERROR(__xludf.DUMMYFUNCTION("""COMPUTED_VALUE"""),4311500.0)</f>
        <v>4311500</v>
      </c>
    </row>
    <row r="5147">
      <c r="A5147" s="3">
        <f>IFERROR(__xludf.DUMMYFUNCTION("""COMPUTED_VALUE"""),36656.666666666664)</f>
        <v>36656.66667</v>
      </c>
      <c r="B5147" s="2">
        <f>IFERROR(__xludf.DUMMYFUNCTION("""COMPUTED_VALUE"""),100.77)</f>
        <v>100.77</v>
      </c>
      <c r="C5147" s="2">
        <f>IFERROR(__xludf.DUMMYFUNCTION("""COMPUTED_VALUE"""),100.95)</f>
        <v>100.95</v>
      </c>
      <c r="D5147" s="2">
        <f>IFERROR(__xludf.DUMMYFUNCTION("""COMPUTED_VALUE"""),97.55)</f>
        <v>97.55</v>
      </c>
      <c r="E5147" s="2">
        <f>IFERROR(__xludf.DUMMYFUNCTION("""COMPUTED_VALUE"""),99.16)</f>
        <v>99.16</v>
      </c>
      <c r="F5147" s="2">
        <f>IFERROR(__xludf.DUMMYFUNCTION("""COMPUTED_VALUE"""),8482400.0)</f>
        <v>8482400</v>
      </c>
    </row>
    <row r="5148">
      <c r="A5148" s="3">
        <f>IFERROR(__xludf.DUMMYFUNCTION("""COMPUTED_VALUE"""),36657.666666666664)</f>
        <v>36657.66667</v>
      </c>
      <c r="B5148" s="2">
        <f>IFERROR(__xludf.DUMMYFUNCTION("""COMPUTED_VALUE"""),99.34)</f>
        <v>99.34</v>
      </c>
      <c r="C5148" s="2">
        <f>IFERROR(__xludf.DUMMYFUNCTION("""COMPUTED_VALUE"""),102.68)</f>
        <v>102.68</v>
      </c>
      <c r="D5148" s="2">
        <f>IFERROR(__xludf.DUMMYFUNCTION("""COMPUTED_VALUE"""),98.56)</f>
        <v>98.56</v>
      </c>
      <c r="E5148" s="2">
        <f>IFERROR(__xludf.DUMMYFUNCTION("""COMPUTED_VALUE"""),99.4)</f>
        <v>99.4</v>
      </c>
      <c r="F5148" s="2">
        <f>IFERROR(__xludf.DUMMYFUNCTION("""COMPUTED_VALUE"""),6982100.0)</f>
        <v>6982100</v>
      </c>
    </row>
    <row r="5149">
      <c r="A5149" s="3">
        <f>IFERROR(__xludf.DUMMYFUNCTION("""COMPUTED_VALUE"""),36658.666666666664)</f>
        <v>36658.66667</v>
      </c>
      <c r="B5149" s="2">
        <f>IFERROR(__xludf.DUMMYFUNCTION("""COMPUTED_VALUE"""),99.34)</f>
        <v>99.34</v>
      </c>
      <c r="C5149" s="2">
        <f>IFERROR(__xludf.DUMMYFUNCTION("""COMPUTED_VALUE"""),101.01)</f>
        <v>101.01</v>
      </c>
      <c r="D5149" s="2">
        <f>IFERROR(__xludf.DUMMYFUNCTION("""COMPUTED_VALUE"""),98.62)</f>
        <v>98.62</v>
      </c>
      <c r="E5149" s="2">
        <f>IFERROR(__xludf.DUMMYFUNCTION("""COMPUTED_VALUE"""),99.81)</f>
        <v>99.81</v>
      </c>
      <c r="F5149" s="2">
        <f>IFERROR(__xludf.DUMMYFUNCTION("""COMPUTED_VALUE"""),4684800.0)</f>
        <v>4684800</v>
      </c>
    </row>
    <row r="5150">
      <c r="A5150" s="3">
        <f>IFERROR(__xludf.DUMMYFUNCTION("""COMPUTED_VALUE"""),36661.666666666664)</f>
        <v>36661.66667</v>
      </c>
      <c r="B5150" s="2">
        <f>IFERROR(__xludf.DUMMYFUNCTION("""COMPUTED_VALUE"""),99.34)</f>
        <v>99.34</v>
      </c>
      <c r="C5150" s="2">
        <f>IFERROR(__xludf.DUMMYFUNCTION("""COMPUTED_VALUE"""),100.17)</f>
        <v>100.17</v>
      </c>
      <c r="D5150" s="2">
        <f>IFERROR(__xludf.DUMMYFUNCTION("""COMPUTED_VALUE"""),97.43)</f>
        <v>97.43</v>
      </c>
      <c r="E5150" s="2">
        <f>IFERROR(__xludf.DUMMYFUNCTION("""COMPUTED_VALUE"""),99.52)</f>
        <v>99.52</v>
      </c>
      <c r="F5150" s="2">
        <f>IFERROR(__xludf.DUMMYFUNCTION("""COMPUTED_VALUE"""),5071100.0)</f>
        <v>5071100</v>
      </c>
    </row>
    <row r="5151">
      <c r="A5151" s="3">
        <f>IFERROR(__xludf.DUMMYFUNCTION("""COMPUTED_VALUE"""),36662.666666666664)</f>
        <v>36662.66667</v>
      </c>
      <c r="B5151" s="2">
        <f>IFERROR(__xludf.DUMMYFUNCTION("""COMPUTED_VALUE"""),100.41)</f>
        <v>100.41</v>
      </c>
      <c r="C5151" s="2">
        <f>IFERROR(__xludf.DUMMYFUNCTION("""COMPUTED_VALUE"""),104.23)</f>
        <v>104.23</v>
      </c>
      <c r="D5151" s="2">
        <f>IFERROR(__xludf.DUMMYFUNCTION("""COMPUTED_VALUE"""),100.29)</f>
        <v>100.29</v>
      </c>
      <c r="E5151" s="2">
        <f>IFERROR(__xludf.DUMMYFUNCTION("""COMPUTED_VALUE"""),104.11)</f>
        <v>104.11</v>
      </c>
      <c r="F5151" s="2">
        <f>IFERROR(__xludf.DUMMYFUNCTION("""COMPUTED_VALUE"""),6220900.0)</f>
        <v>6220900</v>
      </c>
    </row>
    <row r="5152">
      <c r="A5152" s="3">
        <f>IFERROR(__xludf.DUMMYFUNCTION("""COMPUTED_VALUE"""),36663.666666666664)</f>
        <v>36663.66667</v>
      </c>
      <c r="B5152" s="2">
        <f>IFERROR(__xludf.DUMMYFUNCTION("""COMPUTED_VALUE"""),102.68)</f>
        <v>102.68</v>
      </c>
      <c r="C5152" s="2">
        <f>IFERROR(__xludf.DUMMYFUNCTION("""COMPUTED_VALUE"""),103.99)</f>
        <v>103.99</v>
      </c>
      <c r="D5152" s="2">
        <f>IFERROR(__xludf.DUMMYFUNCTION("""COMPUTED_VALUE"""),101.37)</f>
        <v>101.37</v>
      </c>
      <c r="E5152" s="2">
        <f>IFERROR(__xludf.DUMMYFUNCTION("""COMPUTED_VALUE"""),102.68)</f>
        <v>102.68</v>
      </c>
      <c r="F5152" s="2">
        <f>IFERROR(__xludf.DUMMYFUNCTION("""COMPUTED_VALUE"""),4905100.0)</f>
        <v>4905100</v>
      </c>
    </row>
    <row r="5153">
      <c r="A5153" s="3">
        <f>IFERROR(__xludf.DUMMYFUNCTION("""COMPUTED_VALUE"""),36664.666666666664)</f>
        <v>36664.66667</v>
      </c>
      <c r="B5153" s="2">
        <f>IFERROR(__xludf.DUMMYFUNCTION("""COMPUTED_VALUE"""),101.37)</f>
        <v>101.37</v>
      </c>
      <c r="C5153" s="2">
        <f>IFERROR(__xludf.DUMMYFUNCTION("""COMPUTED_VALUE"""),102.5)</f>
        <v>102.5</v>
      </c>
      <c r="D5153" s="2">
        <f>IFERROR(__xludf.DUMMYFUNCTION("""COMPUTED_VALUE"""),100.05)</f>
        <v>100.05</v>
      </c>
      <c r="E5153" s="2">
        <f>IFERROR(__xludf.DUMMYFUNCTION("""COMPUTED_VALUE"""),101.31)</f>
        <v>101.31</v>
      </c>
      <c r="F5153" s="2">
        <f>IFERROR(__xludf.DUMMYFUNCTION("""COMPUTED_VALUE"""),3962600.0)</f>
        <v>3962600</v>
      </c>
    </row>
    <row r="5154">
      <c r="A5154" s="3">
        <f>IFERROR(__xludf.DUMMYFUNCTION("""COMPUTED_VALUE"""),36665.666666666664)</f>
        <v>36665.66667</v>
      </c>
      <c r="B5154" s="2">
        <f>IFERROR(__xludf.DUMMYFUNCTION("""COMPUTED_VALUE"""),101.31)</f>
        <v>101.31</v>
      </c>
      <c r="C5154" s="2">
        <f>IFERROR(__xludf.DUMMYFUNCTION("""COMPUTED_VALUE"""),102.62)</f>
        <v>102.62</v>
      </c>
      <c r="D5154" s="2">
        <f>IFERROR(__xludf.DUMMYFUNCTION("""COMPUTED_VALUE"""),100.29)</f>
        <v>100.29</v>
      </c>
      <c r="E5154" s="2">
        <f>IFERROR(__xludf.DUMMYFUNCTION("""COMPUTED_VALUE"""),102.02)</f>
        <v>102.02</v>
      </c>
      <c r="F5154" s="2">
        <f>IFERROR(__xludf.DUMMYFUNCTION("""COMPUTED_VALUE"""),4857800.0)</f>
        <v>4857800</v>
      </c>
    </row>
    <row r="5155">
      <c r="A5155" s="3">
        <f>IFERROR(__xludf.DUMMYFUNCTION("""COMPUTED_VALUE"""),36668.666666666664)</f>
        <v>36668.66667</v>
      </c>
      <c r="B5155" s="2">
        <f>IFERROR(__xludf.DUMMYFUNCTION("""COMPUTED_VALUE"""),101.25)</f>
        <v>101.25</v>
      </c>
      <c r="C5155" s="2">
        <f>IFERROR(__xludf.DUMMYFUNCTION("""COMPUTED_VALUE"""),104.35)</f>
        <v>104.35</v>
      </c>
      <c r="D5155" s="2">
        <f>IFERROR(__xludf.DUMMYFUNCTION("""COMPUTED_VALUE"""),98.86)</f>
        <v>98.86</v>
      </c>
      <c r="E5155" s="2">
        <f>IFERROR(__xludf.DUMMYFUNCTION("""COMPUTED_VALUE"""),104.11)</f>
        <v>104.11</v>
      </c>
      <c r="F5155" s="2">
        <f>IFERROR(__xludf.DUMMYFUNCTION("""COMPUTED_VALUE"""),5650100.0)</f>
        <v>5650100</v>
      </c>
    </row>
    <row r="5156">
      <c r="A5156" s="3">
        <f>IFERROR(__xludf.DUMMYFUNCTION("""COMPUTED_VALUE"""),36669.666666666664)</f>
        <v>36669.66667</v>
      </c>
      <c r="B5156" s="2">
        <f>IFERROR(__xludf.DUMMYFUNCTION("""COMPUTED_VALUE"""),104.11)</f>
        <v>104.11</v>
      </c>
      <c r="C5156" s="2">
        <f>IFERROR(__xludf.DUMMYFUNCTION("""COMPUTED_VALUE"""),105.07)</f>
        <v>105.07</v>
      </c>
      <c r="D5156" s="2">
        <f>IFERROR(__xludf.DUMMYFUNCTION("""COMPUTED_VALUE"""),102.38)</f>
        <v>102.38</v>
      </c>
      <c r="E5156" s="2">
        <f>IFERROR(__xludf.DUMMYFUNCTION("""COMPUTED_VALUE"""),102.56)</f>
        <v>102.56</v>
      </c>
      <c r="F5156" s="2">
        <f>IFERROR(__xludf.DUMMYFUNCTION("""COMPUTED_VALUE"""),5042800.0)</f>
        <v>5042800</v>
      </c>
    </row>
    <row r="5157">
      <c r="A5157" s="3">
        <f>IFERROR(__xludf.DUMMYFUNCTION("""COMPUTED_VALUE"""),36670.666666666664)</f>
        <v>36670.66667</v>
      </c>
      <c r="B5157" s="2">
        <f>IFERROR(__xludf.DUMMYFUNCTION("""COMPUTED_VALUE"""),101.72)</f>
        <v>101.72</v>
      </c>
      <c r="C5157" s="2">
        <f>IFERROR(__xludf.DUMMYFUNCTION("""COMPUTED_VALUE"""),105.07)</f>
        <v>105.07</v>
      </c>
      <c r="D5157" s="2">
        <f>IFERROR(__xludf.DUMMYFUNCTION("""COMPUTED_VALUE"""),99.52)</f>
        <v>99.52</v>
      </c>
      <c r="E5157" s="2">
        <f>IFERROR(__xludf.DUMMYFUNCTION("""COMPUTED_VALUE"""),104.71)</f>
        <v>104.71</v>
      </c>
      <c r="F5157" s="2">
        <f>IFERROR(__xludf.DUMMYFUNCTION("""COMPUTED_VALUE"""),7021500.0)</f>
        <v>7021500</v>
      </c>
    </row>
    <row r="5158">
      <c r="A5158" s="3">
        <f>IFERROR(__xludf.DUMMYFUNCTION("""COMPUTED_VALUE"""),36671.666666666664)</f>
        <v>36671.66667</v>
      </c>
      <c r="B5158" s="2">
        <f>IFERROR(__xludf.DUMMYFUNCTION("""COMPUTED_VALUE"""),105.78)</f>
        <v>105.78</v>
      </c>
      <c r="C5158" s="2">
        <f>IFERROR(__xludf.DUMMYFUNCTION("""COMPUTED_VALUE"""),106.44)</f>
        <v>106.44</v>
      </c>
      <c r="D5158" s="2">
        <f>IFERROR(__xludf.DUMMYFUNCTION("""COMPUTED_VALUE"""),101.61)</f>
        <v>101.61</v>
      </c>
      <c r="E5158" s="2">
        <f>IFERROR(__xludf.DUMMYFUNCTION("""COMPUTED_VALUE"""),101.78)</f>
        <v>101.78</v>
      </c>
      <c r="F5158" s="2">
        <f>IFERROR(__xludf.DUMMYFUNCTION("""COMPUTED_VALUE"""),3658400.0)</f>
        <v>3658400</v>
      </c>
    </row>
    <row r="5159">
      <c r="A5159" s="3">
        <f>IFERROR(__xludf.DUMMYFUNCTION("""COMPUTED_VALUE"""),36672.666666666664)</f>
        <v>36672.66667</v>
      </c>
      <c r="B5159" s="2">
        <f>IFERROR(__xludf.DUMMYFUNCTION("""COMPUTED_VALUE"""),100.77)</f>
        <v>100.77</v>
      </c>
      <c r="C5159" s="2">
        <f>IFERROR(__xludf.DUMMYFUNCTION("""COMPUTED_VALUE"""),102.38)</f>
        <v>102.38</v>
      </c>
      <c r="D5159" s="2">
        <f>IFERROR(__xludf.DUMMYFUNCTION("""COMPUTED_VALUE"""),99.87)</f>
        <v>99.87</v>
      </c>
      <c r="E5159" s="2">
        <f>IFERROR(__xludf.DUMMYFUNCTION("""COMPUTED_VALUE"""),102.14)</f>
        <v>102.14</v>
      </c>
      <c r="F5159" s="2">
        <f>IFERROR(__xludf.DUMMYFUNCTION("""COMPUTED_VALUE"""),3675500.0)</f>
        <v>3675500</v>
      </c>
    </row>
    <row r="5160">
      <c r="A5160" s="3">
        <f>IFERROR(__xludf.DUMMYFUNCTION("""COMPUTED_VALUE"""),36676.666666666664)</f>
        <v>36676.66667</v>
      </c>
      <c r="B5160" s="2">
        <f>IFERROR(__xludf.DUMMYFUNCTION("""COMPUTED_VALUE"""),102.92)</f>
        <v>102.92</v>
      </c>
      <c r="C5160" s="2">
        <f>IFERROR(__xludf.DUMMYFUNCTION("""COMPUTED_VALUE"""),105.96)</f>
        <v>105.96</v>
      </c>
      <c r="D5160" s="2">
        <f>IFERROR(__xludf.DUMMYFUNCTION("""COMPUTED_VALUE"""),102.86)</f>
        <v>102.86</v>
      </c>
      <c r="E5160" s="2">
        <f>IFERROR(__xludf.DUMMYFUNCTION("""COMPUTED_VALUE"""),105.96)</f>
        <v>105.96</v>
      </c>
      <c r="F5160" s="2">
        <f>IFERROR(__xludf.DUMMYFUNCTION("""COMPUTED_VALUE"""),2953700.0)</f>
        <v>2953700</v>
      </c>
    </row>
    <row r="5161">
      <c r="A5161" s="3">
        <f>IFERROR(__xludf.DUMMYFUNCTION("""COMPUTED_VALUE"""),36677.666666666664)</f>
        <v>36677.66667</v>
      </c>
      <c r="B5161" s="2">
        <f>IFERROR(__xludf.DUMMYFUNCTION("""COMPUTED_VALUE"""),105.55)</f>
        <v>105.55</v>
      </c>
      <c r="C5161" s="2">
        <f>IFERROR(__xludf.DUMMYFUNCTION("""COMPUTED_VALUE"""),105.78)</f>
        <v>105.78</v>
      </c>
      <c r="D5161" s="2">
        <f>IFERROR(__xludf.DUMMYFUNCTION("""COMPUTED_VALUE"""),102.38)</f>
        <v>102.38</v>
      </c>
      <c r="E5161" s="2">
        <f>IFERROR(__xludf.DUMMYFUNCTION("""COMPUTED_VALUE"""),102.5)</f>
        <v>102.5</v>
      </c>
      <c r="F5161" s="2">
        <f>IFERROR(__xludf.DUMMYFUNCTION("""COMPUTED_VALUE"""),3097700.0)</f>
        <v>3097700</v>
      </c>
    </row>
    <row r="5162">
      <c r="A5162" s="3">
        <f>IFERROR(__xludf.DUMMYFUNCTION("""COMPUTED_VALUE"""),36678.666666666664)</f>
        <v>36678.66667</v>
      </c>
      <c r="B5162" s="2">
        <f>IFERROR(__xludf.DUMMYFUNCTION("""COMPUTED_VALUE"""),102.74)</f>
        <v>102.74</v>
      </c>
      <c r="C5162" s="2">
        <f>IFERROR(__xludf.DUMMYFUNCTION("""COMPUTED_VALUE"""),103.99)</f>
        <v>103.99</v>
      </c>
      <c r="D5162" s="2">
        <f>IFERROR(__xludf.DUMMYFUNCTION("""COMPUTED_VALUE"""),100.83)</f>
        <v>100.83</v>
      </c>
      <c r="E5162" s="2">
        <f>IFERROR(__xludf.DUMMYFUNCTION("""COMPUTED_VALUE"""),101.25)</f>
        <v>101.25</v>
      </c>
      <c r="F5162" s="2">
        <f>IFERROR(__xludf.DUMMYFUNCTION("""COMPUTED_VALUE"""),4950200.0)</f>
        <v>4950200</v>
      </c>
    </row>
    <row r="5163">
      <c r="A5163" s="3">
        <f>IFERROR(__xludf.DUMMYFUNCTION("""COMPUTED_VALUE"""),36679.666666666664)</f>
        <v>36679.66667</v>
      </c>
      <c r="B5163" s="2">
        <f>IFERROR(__xludf.DUMMYFUNCTION("""COMPUTED_VALUE"""),104.11)</f>
        <v>104.11</v>
      </c>
      <c r="C5163" s="2">
        <f>IFERROR(__xludf.DUMMYFUNCTION("""COMPUTED_VALUE"""),104.83)</f>
        <v>104.83</v>
      </c>
      <c r="D5163" s="2">
        <f>IFERROR(__xludf.DUMMYFUNCTION("""COMPUTED_VALUE"""),102.92)</f>
        <v>102.92</v>
      </c>
      <c r="E5163" s="2">
        <f>IFERROR(__xludf.DUMMYFUNCTION("""COMPUTED_VALUE"""),103.58)</f>
        <v>103.58</v>
      </c>
      <c r="F5163" s="2">
        <f>IFERROR(__xludf.DUMMYFUNCTION("""COMPUTED_VALUE"""),4375700.0)</f>
        <v>4375700</v>
      </c>
    </row>
    <row r="5164">
      <c r="A5164" s="3">
        <f>IFERROR(__xludf.DUMMYFUNCTION("""COMPUTED_VALUE"""),36682.666666666664)</f>
        <v>36682.66667</v>
      </c>
      <c r="B5164" s="2">
        <f>IFERROR(__xludf.DUMMYFUNCTION("""COMPUTED_VALUE"""),103.58)</f>
        <v>103.58</v>
      </c>
      <c r="C5164" s="2">
        <f>IFERROR(__xludf.DUMMYFUNCTION("""COMPUTED_VALUE"""),109.07)</f>
        <v>109.07</v>
      </c>
      <c r="D5164" s="2">
        <f>IFERROR(__xludf.DUMMYFUNCTION("""COMPUTED_VALUE"""),103.58)</f>
        <v>103.58</v>
      </c>
      <c r="E5164" s="2">
        <f>IFERROR(__xludf.DUMMYFUNCTION("""COMPUTED_VALUE"""),107.4)</f>
        <v>107.4</v>
      </c>
      <c r="F5164" s="2">
        <f>IFERROR(__xludf.DUMMYFUNCTION("""COMPUTED_VALUE"""),5900600.0)</f>
        <v>5900600</v>
      </c>
    </row>
    <row r="5165">
      <c r="A5165" s="3">
        <f>IFERROR(__xludf.DUMMYFUNCTION("""COMPUTED_VALUE"""),36683.666666666664)</f>
        <v>36683.66667</v>
      </c>
      <c r="B5165" s="2">
        <f>IFERROR(__xludf.DUMMYFUNCTION("""COMPUTED_VALUE"""),107.22)</f>
        <v>107.22</v>
      </c>
      <c r="C5165" s="2">
        <f>IFERROR(__xludf.DUMMYFUNCTION("""COMPUTED_VALUE"""),109.49)</f>
        <v>109.49</v>
      </c>
      <c r="D5165" s="2">
        <f>IFERROR(__xludf.DUMMYFUNCTION("""COMPUTED_VALUE"""),106.26)</f>
        <v>106.26</v>
      </c>
      <c r="E5165" s="2">
        <f>IFERROR(__xludf.DUMMYFUNCTION("""COMPUTED_VALUE"""),107.34)</f>
        <v>107.34</v>
      </c>
      <c r="F5165" s="2">
        <f>IFERROR(__xludf.DUMMYFUNCTION("""COMPUTED_VALUE"""),4706600.0)</f>
        <v>4706600</v>
      </c>
    </row>
    <row r="5166">
      <c r="A5166" s="3">
        <f>IFERROR(__xludf.DUMMYFUNCTION("""COMPUTED_VALUE"""),36684.666666666664)</f>
        <v>36684.66667</v>
      </c>
      <c r="B5166" s="2">
        <f>IFERROR(__xludf.DUMMYFUNCTION("""COMPUTED_VALUE"""),107.46)</f>
        <v>107.46</v>
      </c>
      <c r="C5166" s="2">
        <f>IFERROR(__xludf.DUMMYFUNCTION("""COMPUTED_VALUE"""),116.29)</f>
        <v>116.29</v>
      </c>
      <c r="D5166" s="2">
        <f>IFERROR(__xludf.DUMMYFUNCTION("""COMPUTED_VALUE"""),106.5)</f>
        <v>106.5</v>
      </c>
      <c r="E5166" s="2">
        <f>IFERROR(__xludf.DUMMYFUNCTION("""COMPUTED_VALUE"""),114.92)</f>
        <v>114.92</v>
      </c>
      <c r="F5166" s="2">
        <f>IFERROR(__xludf.DUMMYFUNCTION("""COMPUTED_VALUE"""),9323500.0)</f>
        <v>9323500</v>
      </c>
    </row>
    <row r="5167">
      <c r="A5167" s="3">
        <f>IFERROR(__xludf.DUMMYFUNCTION("""COMPUTED_VALUE"""),36685.666666666664)</f>
        <v>36685.66667</v>
      </c>
      <c r="B5167" s="2">
        <f>IFERROR(__xludf.DUMMYFUNCTION("""COMPUTED_VALUE"""),114.02)</f>
        <v>114.02</v>
      </c>
      <c r="C5167" s="2">
        <f>IFERROR(__xludf.DUMMYFUNCTION("""COMPUTED_VALUE"""),116.83)</f>
        <v>116.83</v>
      </c>
      <c r="D5167" s="2">
        <f>IFERROR(__xludf.DUMMYFUNCTION("""COMPUTED_VALUE"""),112.23)</f>
        <v>112.23</v>
      </c>
      <c r="E5167" s="2">
        <f>IFERROR(__xludf.DUMMYFUNCTION("""COMPUTED_VALUE"""),114.38)</f>
        <v>114.38</v>
      </c>
      <c r="F5167" s="2">
        <f>IFERROR(__xludf.DUMMYFUNCTION("""COMPUTED_VALUE"""),7774300.0)</f>
        <v>7774300</v>
      </c>
    </row>
    <row r="5168">
      <c r="A5168" s="3">
        <f>IFERROR(__xludf.DUMMYFUNCTION("""COMPUTED_VALUE"""),36686.666666666664)</f>
        <v>36686.66667</v>
      </c>
      <c r="B5168" s="2">
        <f>IFERROR(__xludf.DUMMYFUNCTION("""COMPUTED_VALUE"""),114.5)</f>
        <v>114.5</v>
      </c>
      <c r="C5168" s="2">
        <f>IFERROR(__xludf.DUMMYFUNCTION("""COMPUTED_VALUE"""),115.34)</f>
        <v>115.34</v>
      </c>
      <c r="D5168" s="2">
        <f>IFERROR(__xludf.DUMMYFUNCTION("""COMPUTED_VALUE"""),113.55)</f>
        <v>113.55</v>
      </c>
      <c r="E5168" s="2">
        <f>IFERROR(__xludf.DUMMYFUNCTION("""COMPUTED_VALUE"""),114.02)</f>
        <v>114.02</v>
      </c>
      <c r="F5168" s="2">
        <f>IFERROR(__xludf.DUMMYFUNCTION("""COMPUTED_VALUE"""),3646200.0)</f>
        <v>3646200</v>
      </c>
    </row>
    <row r="5169">
      <c r="A5169" s="3">
        <f>IFERROR(__xludf.DUMMYFUNCTION("""COMPUTED_VALUE"""),36689.666666666664)</f>
        <v>36689.66667</v>
      </c>
      <c r="B5169" s="2">
        <f>IFERROR(__xludf.DUMMYFUNCTION("""COMPUTED_VALUE"""),113.78)</f>
        <v>113.78</v>
      </c>
      <c r="C5169" s="2">
        <f>IFERROR(__xludf.DUMMYFUNCTION("""COMPUTED_VALUE"""),115.04)</f>
        <v>115.04</v>
      </c>
      <c r="D5169" s="2">
        <f>IFERROR(__xludf.DUMMYFUNCTION("""COMPUTED_VALUE"""),113.55)</f>
        <v>113.55</v>
      </c>
      <c r="E5169" s="2">
        <f>IFERROR(__xludf.DUMMYFUNCTION("""COMPUTED_VALUE"""),113.55)</f>
        <v>113.55</v>
      </c>
      <c r="F5169" s="2">
        <f>IFERROR(__xludf.DUMMYFUNCTION("""COMPUTED_VALUE"""),3056100.0)</f>
        <v>3056100</v>
      </c>
    </row>
    <row r="5170">
      <c r="A5170" s="3">
        <f>IFERROR(__xludf.DUMMYFUNCTION("""COMPUTED_VALUE"""),36690.666666666664)</f>
        <v>36690.66667</v>
      </c>
      <c r="B5170" s="2">
        <f>IFERROR(__xludf.DUMMYFUNCTION("""COMPUTED_VALUE"""),113.55)</f>
        <v>113.55</v>
      </c>
      <c r="C5170" s="2">
        <f>IFERROR(__xludf.DUMMYFUNCTION("""COMPUTED_VALUE"""),114.56)</f>
        <v>114.56</v>
      </c>
      <c r="D5170" s="2">
        <f>IFERROR(__xludf.DUMMYFUNCTION("""COMPUTED_VALUE"""),111.52)</f>
        <v>111.52</v>
      </c>
      <c r="E5170" s="2">
        <f>IFERROR(__xludf.DUMMYFUNCTION("""COMPUTED_VALUE"""),114.32)</f>
        <v>114.32</v>
      </c>
      <c r="F5170" s="2">
        <f>IFERROR(__xludf.DUMMYFUNCTION("""COMPUTED_VALUE"""),3485800.0)</f>
        <v>3485800</v>
      </c>
    </row>
    <row r="5171">
      <c r="A5171" s="3">
        <f>IFERROR(__xludf.DUMMYFUNCTION("""COMPUTED_VALUE"""),36691.666666666664)</f>
        <v>36691.66667</v>
      </c>
      <c r="B5171" s="2">
        <f>IFERROR(__xludf.DUMMYFUNCTION("""COMPUTED_VALUE"""),113.55)</f>
        <v>113.55</v>
      </c>
      <c r="C5171" s="2">
        <f>IFERROR(__xludf.DUMMYFUNCTION("""COMPUTED_VALUE"""),114.62)</f>
        <v>114.62</v>
      </c>
      <c r="D5171" s="2">
        <f>IFERROR(__xludf.DUMMYFUNCTION("""COMPUTED_VALUE"""),110.32)</f>
        <v>110.32</v>
      </c>
      <c r="E5171" s="2">
        <f>IFERROR(__xludf.DUMMYFUNCTION("""COMPUTED_VALUE"""),110.8)</f>
        <v>110.8</v>
      </c>
      <c r="F5171" s="2">
        <f>IFERROR(__xludf.DUMMYFUNCTION("""COMPUTED_VALUE"""),4622800.0)</f>
        <v>4622800</v>
      </c>
    </row>
    <row r="5172">
      <c r="A5172" s="3">
        <f>IFERROR(__xludf.DUMMYFUNCTION("""COMPUTED_VALUE"""),36692.666666666664)</f>
        <v>36692.66667</v>
      </c>
      <c r="B5172" s="2">
        <f>IFERROR(__xludf.DUMMYFUNCTION("""COMPUTED_VALUE"""),113.55)</f>
        <v>113.55</v>
      </c>
      <c r="C5172" s="2">
        <f>IFERROR(__xludf.DUMMYFUNCTION("""COMPUTED_VALUE"""),113.66)</f>
        <v>113.66</v>
      </c>
      <c r="D5172" s="2">
        <f>IFERROR(__xludf.DUMMYFUNCTION("""COMPUTED_VALUE"""),110.68)</f>
        <v>110.68</v>
      </c>
      <c r="E5172" s="2">
        <f>IFERROR(__xludf.DUMMYFUNCTION("""COMPUTED_VALUE"""),111.58)</f>
        <v>111.58</v>
      </c>
      <c r="F5172" s="2">
        <f>IFERROR(__xludf.DUMMYFUNCTION("""COMPUTED_VALUE"""),4636600.0)</f>
        <v>4636600</v>
      </c>
    </row>
    <row r="5173">
      <c r="A5173" s="3">
        <f>IFERROR(__xludf.DUMMYFUNCTION("""COMPUTED_VALUE"""),36693.666666666664)</f>
        <v>36693.66667</v>
      </c>
      <c r="B5173" s="2">
        <f>IFERROR(__xludf.DUMMYFUNCTION("""COMPUTED_VALUE"""),111.1)</f>
        <v>111.1</v>
      </c>
      <c r="C5173" s="2">
        <f>IFERROR(__xludf.DUMMYFUNCTION("""COMPUTED_VALUE"""),112.41)</f>
        <v>112.41</v>
      </c>
      <c r="D5173" s="2">
        <f>IFERROR(__xludf.DUMMYFUNCTION("""COMPUTED_VALUE"""),108.17)</f>
        <v>108.17</v>
      </c>
      <c r="E5173" s="2">
        <f>IFERROR(__xludf.DUMMYFUNCTION("""COMPUTED_VALUE"""),108.17)</f>
        <v>108.17</v>
      </c>
      <c r="F5173" s="2">
        <f>IFERROR(__xludf.DUMMYFUNCTION("""COMPUTED_VALUE"""),7189300.0)</f>
        <v>7189300</v>
      </c>
    </row>
    <row r="5174">
      <c r="A5174" s="3">
        <f>IFERROR(__xludf.DUMMYFUNCTION("""COMPUTED_VALUE"""),36696.666666666664)</f>
        <v>36696.66667</v>
      </c>
      <c r="B5174" s="2">
        <f>IFERROR(__xludf.DUMMYFUNCTION("""COMPUTED_VALUE"""),108.41)</f>
        <v>108.41</v>
      </c>
      <c r="C5174" s="2">
        <f>IFERROR(__xludf.DUMMYFUNCTION("""COMPUTED_VALUE"""),114.62)</f>
        <v>114.62</v>
      </c>
      <c r="D5174" s="2">
        <f>IFERROR(__xludf.DUMMYFUNCTION("""COMPUTED_VALUE"""),108.17)</f>
        <v>108.17</v>
      </c>
      <c r="E5174" s="2">
        <f>IFERROR(__xludf.DUMMYFUNCTION("""COMPUTED_VALUE"""),114.62)</f>
        <v>114.62</v>
      </c>
      <c r="F5174" s="2">
        <f>IFERROR(__xludf.DUMMYFUNCTION("""COMPUTED_VALUE"""),5106700.0)</f>
        <v>5106700</v>
      </c>
    </row>
    <row r="5175">
      <c r="A5175" s="3">
        <f>IFERROR(__xludf.DUMMYFUNCTION("""COMPUTED_VALUE"""),36697.666666666664)</f>
        <v>36697.66667</v>
      </c>
      <c r="B5175" s="2">
        <f>IFERROR(__xludf.DUMMYFUNCTION("""COMPUTED_VALUE"""),110.2)</f>
        <v>110.2</v>
      </c>
      <c r="C5175" s="2">
        <f>IFERROR(__xludf.DUMMYFUNCTION("""COMPUTED_VALUE"""),115.28)</f>
        <v>115.28</v>
      </c>
      <c r="D5175" s="2">
        <f>IFERROR(__xludf.DUMMYFUNCTION("""COMPUTED_VALUE"""),110.2)</f>
        <v>110.2</v>
      </c>
      <c r="E5175" s="2">
        <f>IFERROR(__xludf.DUMMYFUNCTION("""COMPUTED_VALUE"""),111.1)</f>
        <v>111.1</v>
      </c>
      <c r="F5175" s="2">
        <f>IFERROR(__xludf.DUMMYFUNCTION("""COMPUTED_VALUE"""),5993900.0)</f>
        <v>5993900</v>
      </c>
    </row>
    <row r="5176">
      <c r="A5176" s="3">
        <f>IFERROR(__xludf.DUMMYFUNCTION("""COMPUTED_VALUE"""),36698.666666666664)</f>
        <v>36698.66667</v>
      </c>
      <c r="B5176" s="2">
        <f>IFERROR(__xludf.DUMMYFUNCTION("""COMPUTED_VALUE"""),110.38)</f>
        <v>110.38</v>
      </c>
      <c r="C5176" s="2">
        <f>IFERROR(__xludf.DUMMYFUNCTION("""COMPUTED_VALUE"""),110.74)</f>
        <v>110.74</v>
      </c>
      <c r="D5176" s="2">
        <f>IFERROR(__xludf.DUMMYFUNCTION("""COMPUTED_VALUE"""),108.41)</f>
        <v>108.41</v>
      </c>
      <c r="E5176" s="2">
        <f>IFERROR(__xludf.DUMMYFUNCTION("""COMPUTED_VALUE"""),109.37)</f>
        <v>109.37</v>
      </c>
      <c r="F5176" s="2">
        <f>IFERROR(__xludf.DUMMYFUNCTION("""COMPUTED_VALUE"""),5557300.0)</f>
        <v>5557300</v>
      </c>
    </row>
    <row r="5177">
      <c r="A5177" s="3">
        <f>IFERROR(__xludf.DUMMYFUNCTION("""COMPUTED_VALUE"""),36699.666666666664)</f>
        <v>36699.66667</v>
      </c>
      <c r="B5177" s="2">
        <f>IFERROR(__xludf.DUMMYFUNCTION("""COMPUTED_VALUE"""),109.01)</f>
        <v>109.01</v>
      </c>
      <c r="C5177" s="2">
        <f>IFERROR(__xludf.DUMMYFUNCTION("""COMPUTED_VALUE"""),109.19)</f>
        <v>109.19</v>
      </c>
      <c r="D5177" s="2">
        <f>IFERROR(__xludf.DUMMYFUNCTION("""COMPUTED_VALUE"""),106.26)</f>
        <v>106.26</v>
      </c>
      <c r="E5177" s="2">
        <f>IFERROR(__xludf.DUMMYFUNCTION("""COMPUTED_VALUE"""),106.44)</f>
        <v>106.44</v>
      </c>
      <c r="F5177" s="2">
        <f>IFERROR(__xludf.DUMMYFUNCTION("""COMPUTED_VALUE"""),4161100.0)</f>
        <v>4161100</v>
      </c>
    </row>
    <row r="5178">
      <c r="A5178" s="3">
        <f>IFERROR(__xludf.DUMMYFUNCTION("""COMPUTED_VALUE"""),36700.666666666664)</f>
        <v>36700.66667</v>
      </c>
      <c r="B5178" s="2">
        <f>IFERROR(__xludf.DUMMYFUNCTION("""COMPUTED_VALUE"""),108.53)</f>
        <v>108.53</v>
      </c>
      <c r="C5178" s="2">
        <f>IFERROR(__xludf.DUMMYFUNCTION("""COMPUTED_VALUE"""),108.53)</f>
        <v>108.53</v>
      </c>
      <c r="D5178" s="2">
        <f>IFERROR(__xludf.DUMMYFUNCTION("""COMPUTED_VALUE"""),105.84)</f>
        <v>105.84</v>
      </c>
      <c r="E5178" s="2">
        <f>IFERROR(__xludf.DUMMYFUNCTION("""COMPUTED_VALUE"""),106.74)</f>
        <v>106.74</v>
      </c>
      <c r="F5178" s="2">
        <f>IFERROR(__xludf.DUMMYFUNCTION("""COMPUTED_VALUE"""),2858300.0)</f>
        <v>2858300</v>
      </c>
    </row>
    <row r="5179">
      <c r="A5179" s="3">
        <f>IFERROR(__xludf.DUMMYFUNCTION("""COMPUTED_VALUE"""),36703.666666666664)</f>
        <v>36703.66667</v>
      </c>
      <c r="B5179" s="2">
        <f>IFERROR(__xludf.DUMMYFUNCTION("""COMPUTED_VALUE"""),109.01)</f>
        <v>109.01</v>
      </c>
      <c r="C5179" s="2">
        <f>IFERROR(__xludf.DUMMYFUNCTION("""COMPUTED_VALUE"""),110.5)</f>
        <v>110.5</v>
      </c>
      <c r="D5179" s="2">
        <f>IFERROR(__xludf.DUMMYFUNCTION("""COMPUTED_VALUE"""),107.81)</f>
        <v>107.81</v>
      </c>
      <c r="E5179" s="2">
        <f>IFERROR(__xludf.DUMMYFUNCTION("""COMPUTED_VALUE"""),109.96)</f>
        <v>109.96</v>
      </c>
      <c r="F5179" s="2">
        <f>IFERROR(__xludf.DUMMYFUNCTION("""COMPUTED_VALUE"""),3004200.0)</f>
        <v>3004200</v>
      </c>
    </row>
    <row r="5180">
      <c r="A5180" s="3">
        <f>IFERROR(__xludf.DUMMYFUNCTION("""COMPUTED_VALUE"""),36704.666666666664)</f>
        <v>36704.66667</v>
      </c>
      <c r="B5180" s="2">
        <f>IFERROR(__xludf.DUMMYFUNCTION("""COMPUTED_VALUE"""),106.62)</f>
        <v>106.62</v>
      </c>
      <c r="C5180" s="2">
        <f>IFERROR(__xludf.DUMMYFUNCTION("""COMPUTED_VALUE"""),107.75)</f>
        <v>107.75</v>
      </c>
      <c r="D5180" s="2">
        <f>IFERROR(__xludf.DUMMYFUNCTION("""COMPUTED_VALUE"""),103.93)</f>
        <v>103.93</v>
      </c>
      <c r="E5180" s="2">
        <f>IFERROR(__xludf.DUMMYFUNCTION("""COMPUTED_VALUE"""),104.77)</f>
        <v>104.77</v>
      </c>
      <c r="F5180" s="2">
        <f>IFERROR(__xludf.DUMMYFUNCTION("""COMPUTED_VALUE"""),5476200.0)</f>
        <v>5476200</v>
      </c>
    </row>
    <row r="5181">
      <c r="A5181" s="3">
        <f>IFERROR(__xludf.DUMMYFUNCTION("""COMPUTED_VALUE"""),36705.666666666664)</f>
        <v>36705.66667</v>
      </c>
      <c r="B5181" s="2">
        <f>IFERROR(__xludf.DUMMYFUNCTION("""COMPUTED_VALUE"""),105.07)</f>
        <v>105.07</v>
      </c>
      <c r="C5181" s="2">
        <f>IFERROR(__xludf.DUMMYFUNCTION("""COMPUTED_VALUE"""),110.02)</f>
        <v>110.02</v>
      </c>
      <c r="D5181" s="2">
        <f>IFERROR(__xludf.DUMMYFUNCTION("""COMPUTED_VALUE"""),105.07)</f>
        <v>105.07</v>
      </c>
      <c r="E5181" s="2">
        <f>IFERROR(__xludf.DUMMYFUNCTION("""COMPUTED_VALUE"""),108.59)</f>
        <v>108.59</v>
      </c>
      <c r="F5181" s="2">
        <f>IFERROR(__xludf.DUMMYFUNCTION("""COMPUTED_VALUE"""),5319000.0)</f>
        <v>5319000</v>
      </c>
    </row>
    <row r="5182">
      <c r="A5182" s="3">
        <f>IFERROR(__xludf.DUMMYFUNCTION("""COMPUTED_VALUE"""),36706.666666666664)</f>
        <v>36706.66667</v>
      </c>
      <c r="B5182" s="2">
        <f>IFERROR(__xludf.DUMMYFUNCTION("""COMPUTED_VALUE"""),106.74)</f>
        <v>106.74</v>
      </c>
      <c r="C5182" s="2">
        <f>IFERROR(__xludf.DUMMYFUNCTION("""COMPUTED_VALUE"""),109.25)</f>
        <v>109.25</v>
      </c>
      <c r="D5182" s="2">
        <f>IFERROR(__xludf.DUMMYFUNCTION("""COMPUTED_VALUE"""),105.13)</f>
        <v>105.13</v>
      </c>
      <c r="E5182" s="2">
        <f>IFERROR(__xludf.DUMMYFUNCTION("""COMPUTED_VALUE"""),108.89)</f>
        <v>108.89</v>
      </c>
      <c r="F5182" s="2">
        <f>IFERROR(__xludf.DUMMYFUNCTION("""COMPUTED_VALUE"""),6427800.0)</f>
        <v>6427800</v>
      </c>
    </row>
    <row r="5183">
      <c r="A5183" s="3">
        <f>IFERROR(__xludf.DUMMYFUNCTION("""COMPUTED_VALUE"""),36707.666666666664)</f>
        <v>36707.66667</v>
      </c>
      <c r="B5183" s="2">
        <f>IFERROR(__xludf.DUMMYFUNCTION("""COMPUTED_VALUE"""),107.64)</f>
        <v>107.64</v>
      </c>
      <c r="C5183" s="2">
        <f>IFERROR(__xludf.DUMMYFUNCTION("""COMPUTED_VALUE"""),108.11)</f>
        <v>108.11</v>
      </c>
      <c r="D5183" s="2">
        <f>IFERROR(__xludf.DUMMYFUNCTION("""COMPUTED_VALUE"""),103.75)</f>
        <v>103.75</v>
      </c>
      <c r="E5183" s="2">
        <f>IFERROR(__xludf.DUMMYFUNCTION("""COMPUTED_VALUE"""),104.65)</f>
        <v>104.65</v>
      </c>
      <c r="F5183" s="2">
        <f>IFERROR(__xludf.DUMMYFUNCTION("""COMPUTED_VALUE"""),6746800.0)</f>
        <v>6746800</v>
      </c>
    </row>
    <row r="5184">
      <c r="A5184" s="3">
        <f>IFERROR(__xludf.DUMMYFUNCTION("""COMPUTED_VALUE"""),36710.666666666664)</f>
        <v>36710.66667</v>
      </c>
      <c r="B5184" s="2">
        <f>IFERROR(__xludf.DUMMYFUNCTION("""COMPUTED_VALUE"""),103.87)</f>
        <v>103.87</v>
      </c>
      <c r="C5184" s="2">
        <f>IFERROR(__xludf.DUMMYFUNCTION("""COMPUTED_VALUE"""),104.95)</f>
        <v>104.95</v>
      </c>
      <c r="D5184" s="2">
        <f>IFERROR(__xludf.DUMMYFUNCTION("""COMPUTED_VALUE"""),103.46)</f>
        <v>103.46</v>
      </c>
      <c r="E5184" s="2">
        <f>IFERROR(__xludf.DUMMYFUNCTION("""COMPUTED_VALUE"""),104.95)</f>
        <v>104.95</v>
      </c>
      <c r="F5184" s="2">
        <f>IFERROR(__xludf.DUMMYFUNCTION("""COMPUTED_VALUE"""),1843400.0)</f>
        <v>1843400</v>
      </c>
    </row>
    <row r="5185">
      <c r="A5185" s="3">
        <f>IFERROR(__xludf.DUMMYFUNCTION("""COMPUTED_VALUE"""),36712.666666666664)</f>
        <v>36712.66667</v>
      </c>
      <c r="B5185" s="2">
        <f>IFERROR(__xludf.DUMMYFUNCTION("""COMPUTED_VALUE"""),100.29)</f>
        <v>100.29</v>
      </c>
      <c r="C5185" s="2">
        <f>IFERROR(__xludf.DUMMYFUNCTION("""COMPUTED_VALUE"""),100.29)</f>
        <v>100.29</v>
      </c>
      <c r="D5185" s="2">
        <f>IFERROR(__xludf.DUMMYFUNCTION("""COMPUTED_VALUE"""),96.59)</f>
        <v>96.59</v>
      </c>
      <c r="E5185" s="2">
        <f>IFERROR(__xludf.DUMMYFUNCTION("""COMPUTED_VALUE"""),99.34)</f>
        <v>99.34</v>
      </c>
      <c r="F5185" s="2">
        <f>IFERROR(__xludf.DUMMYFUNCTION("""COMPUTED_VALUE"""),1.12345E7)</f>
        <v>11234500</v>
      </c>
    </row>
    <row r="5186">
      <c r="A5186" s="3">
        <f>IFERROR(__xludf.DUMMYFUNCTION("""COMPUTED_VALUE"""),36713.666666666664)</f>
        <v>36713.66667</v>
      </c>
      <c r="B5186" s="2">
        <f>IFERROR(__xludf.DUMMYFUNCTION("""COMPUTED_VALUE"""),100.29)</f>
        <v>100.29</v>
      </c>
      <c r="C5186" s="2">
        <f>IFERROR(__xludf.DUMMYFUNCTION("""COMPUTED_VALUE"""),100.29)</f>
        <v>100.29</v>
      </c>
      <c r="D5186" s="2">
        <f>IFERROR(__xludf.DUMMYFUNCTION("""COMPUTED_VALUE"""),95.52)</f>
        <v>95.52</v>
      </c>
      <c r="E5186" s="2">
        <f>IFERROR(__xludf.DUMMYFUNCTION("""COMPUTED_VALUE"""),97.19)</f>
        <v>97.19</v>
      </c>
      <c r="F5186" s="2">
        <f>IFERROR(__xludf.DUMMYFUNCTION("""COMPUTED_VALUE"""),1.01822E7)</f>
        <v>10182200</v>
      </c>
    </row>
    <row r="5187">
      <c r="A5187" s="3">
        <f>IFERROR(__xludf.DUMMYFUNCTION("""COMPUTED_VALUE"""),36714.666666666664)</f>
        <v>36714.66667</v>
      </c>
      <c r="B5187" s="2">
        <f>IFERROR(__xludf.DUMMYFUNCTION("""COMPUTED_VALUE"""),98.08)</f>
        <v>98.08</v>
      </c>
      <c r="C5187" s="2">
        <f>IFERROR(__xludf.DUMMYFUNCTION("""COMPUTED_VALUE"""),100.23)</f>
        <v>100.23</v>
      </c>
      <c r="D5187" s="2">
        <f>IFERROR(__xludf.DUMMYFUNCTION("""COMPUTED_VALUE"""),97.07)</f>
        <v>97.07</v>
      </c>
      <c r="E5187" s="2">
        <f>IFERROR(__xludf.DUMMYFUNCTION("""COMPUTED_VALUE"""),99.99)</f>
        <v>99.99</v>
      </c>
      <c r="F5187" s="2">
        <f>IFERROR(__xludf.DUMMYFUNCTION("""COMPUTED_VALUE"""),6824400.0)</f>
        <v>6824400</v>
      </c>
    </row>
    <row r="5188">
      <c r="A5188" s="3">
        <f>IFERROR(__xludf.DUMMYFUNCTION("""COMPUTED_VALUE"""),36717.666666666664)</f>
        <v>36717.66667</v>
      </c>
      <c r="B5188" s="2">
        <f>IFERROR(__xludf.DUMMYFUNCTION("""COMPUTED_VALUE"""),99.99)</f>
        <v>99.99</v>
      </c>
      <c r="C5188" s="2">
        <f>IFERROR(__xludf.DUMMYFUNCTION("""COMPUTED_VALUE"""),100.23)</f>
        <v>100.23</v>
      </c>
      <c r="D5188" s="2">
        <f>IFERROR(__xludf.DUMMYFUNCTION("""COMPUTED_VALUE"""),98.26)</f>
        <v>98.26</v>
      </c>
      <c r="E5188" s="2">
        <f>IFERROR(__xludf.DUMMYFUNCTION("""COMPUTED_VALUE"""),98.68)</f>
        <v>98.68</v>
      </c>
      <c r="F5188" s="2">
        <f>IFERROR(__xludf.DUMMYFUNCTION("""COMPUTED_VALUE"""),3230700.0)</f>
        <v>3230700</v>
      </c>
    </row>
    <row r="5189">
      <c r="A5189" s="3">
        <f>IFERROR(__xludf.DUMMYFUNCTION("""COMPUTED_VALUE"""),36718.666666666664)</f>
        <v>36718.66667</v>
      </c>
      <c r="B5189" s="2">
        <f>IFERROR(__xludf.DUMMYFUNCTION("""COMPUTED_VALUE"""),98.62)</f>
        <v>98.62</v>
      </c>
      <c r="C5189" s="2">
        <f>IFERROR(__xludf.DUMMYFUNCTION("""COMPUTED_VALUE"""),99.16)</f>
        <v>99.16</v>
      </c>
      <c r="D5189" s="2">
        <f>IFERROR(__xludf.DUMMYFUNCTION("""COMPUTED_VALUE"""),96.47)</f>
        <v>96.47</v>
      </c>
      <c r="E5189" s="2">
        <f>IFERROR(__xludf.DUMMYFUNCTION("""COMPUTED_VALUE"""),97.61)</f>
        <v>97.61</v>
      </c>
      <c r="F5189" s="2">
        <f>IFERROR(__xludf.DUMMYFUNCTION("""COMPUTED_VALUE"""),4510400.0)</f>
        <v>4510400</v>
      </c>
    </row>
    <row r="5190">
      <c r="A5190" s="3">
        <f>IFERROR(__xludf.DUMMYFUNCTION("""COMPUTED_VALUE"""),36719.666666666664)</f>
        <v>36719.66667</v>
      </c>
      <c r="B5190" s="2">
        <f>IFERROR(__xludf.DUMMYFUNCTION("""COMPUTED_VALUE"""),98.56)</f>
        <v>98.56</v>
      </c>
      <c r="C5190" s="2">
        <f>IFERROR(__xludf.DUMMYFUNCTION("""COMPUTED_VALUE"""),101.07)</f>
        <v>101.07</v>
      </c>
      <c r="D5190" s="2">
        <f>IFERROR(__xludf.DUMMYFUNCTION("""COMPUTED_VALUE"""),98.02)</f>
        <v>98.02</v>
      </c>
      <c r="E5190" s="2">
        <f>IFERROR(__xludf.DUMMYFUNCTION("""COMPUTED_VALUE"""),99.75)</f>
        <v>99.75</v>
      </c>
      <c r="F5190" s="2">
        <f>IFERROR(__xludf.DUMMYFUNCTION("""COMPUTED_VALUE"""),4395500.0)</f>
        <v>4395500</v>
      </c>
    </row>
    <row r="5191">
      <c r="A5191" s="3">
        <f>IFERROR(__xludf.DUMMYFUNCTION("""COMPUTED_VALUE"""),36720.666666666664)</f>
        <v>36720.66667</v>
      </c>
      <c r="B5191" s="2">
        <f>IFERROR(__xludf.DUMMYFUNCTION("""COMPUTED_VALUE"""),100.71)</f>
        <v>100.71</v>
      </c>
      <c r="C5191" s="2">
        <f>IFERROR(__xludf.DUMMYFUNCTION("""COMPUTED_VALUE"""),101.01)</f>
        <v>101.01</v>
      </c>
      <c r="D5191" s="2">
        <f>IFERROR(__xludf.DUMMYFUNCTION("""COMPUTED_VALUE"""),97.96)</f>
        <v>97.96</v>
      </c>
      <c r="E5191" s="2">
        <f>IFERROR(__xludf.DUMMYFUNCTION("""COMPUTED_VALUE"""),98.5)</f>
        <v>98.5</v>
      </c>
      <c r="F5191" s="2">
        <f>IFERROR(__xludf.DUMMYFUNCTION("""COMPUTED_VALUE"""),4038200.0)</f>
        <v>4038200</v>
      </c>
    </row>
    <row r="5192">
      <c r="A5192" s="3">
        <f>IFERROR(__xludf.DUMMYFUNCTION("""COMPUTED_VALUE"""),36721.666666666664)</f>
        <v>36721.66667</v>
      </c>
      <c r="B5192" s="2">
        <f>IFERROR(__xludf.DUMMYFUNCTION("""COMPUTED_VALUE"""),99.1)</f>
        <v>99.1</v>
      </c>
      <c r="C5192" s="2">
        <f>IFERROR(__xludf.DUMMYFUNCTION("""COMPUTED_VALUE"""),100.11)</f>
        <v>100.11</v>
      </c>
      <c r="D5192" s="2">
        <f>IFERROR(__xludf.DUMMYFUNCTION("""COMPUTED_VALUE"""),98.5)</f>
        <v>98.5</v>
      </c>
      <c r="E5192" s="2">
        <f>IFERROR(__xludf.DUMMYFUNCTION("""COMPUTED_VALUE"""),99.28)</f>
        <v>99.28</v>
      </c>
      <c r="F5192" s="2">
        <f>IFERROR(__xludf.DUMMYFUNCTION("""COMPUTED_VALUE"""),3002100.0)</f>
        <v>3002100</v>
      </c>
    </row>
    <row r="5193">
      <c r="A5193" s="3">
        <f>IFERROR(__xludf.DUMMYFUNCTION("""COMPUTED_VALUE"""),36724.666666666664)</f>
        <v>36724.66667</v>
      </c>
      <c r="B5193" s="2">
        <f>IFERROR(__xludf.DUMMYFUNCTION("""COMPUTED_VALUE"""),99.75)</f>
        <v>99.75</v>
      </c>
      <c r="C5193" s="2">
        <f>IFERROR(__xludf.DUMMYFUNCTION("""COMPUTED_VALUE"""),103.04)</f>
        <v>103.04</v>
      </c>
      <c r="D5193" s="2">
        <f>IFERROR(__xludf.DUMMYFUNCTION("""COMPUTED_VALUE"""),99.58)</f>
        <v>99.58</v>
      </c>
      <c r="E5193" s="2">
        <f>IFERROR(__xludf.DUMMYFUNCTION("""COMPUTED_VALUE"""),100.71)</f>
        <v>100.71</v>
      </c>
      <c r="F5193" s="2">
        <f>IFERROR(__xludf.DUMMYFUNCTION("""COMPUTED_VALUE"""),5219800.0)</f>
        <v>5219800</v>
      </c>
    </row>
    <row r="5194">
      <c r="A5194" s="3">
        <f>IFERROR(__xludf.DUMMYFUNCTION("""COMPUTED_VALUE"""),36725.666666666664)</f>
        <v>36725.66667</v>
      </c>
      <c r="B5194" s="2">
        <f>IFERROR(__xludf.DUMMYFUNCTION("""COMPUTED_VALUE"""),99.46)</f>
        <v>99.46</v>
      </c>
      <c r="C5194" s="2">
        <f>IFERROR(__xludf.DUMMYFUNCTION("""COMPUTED_VALUE"""),100.11)</f>
        <v>100.11</v>
      </c>
      <c r="D5194" s="2">
        <f>IFERROR(__xludf.DUMMYFUNCTION("""COMPUTED_VALUE"""),98.02)</f>
        <v>98.02</v>
      </c>
      <c r="E5194" s="2">
        <f>IFERROR(__xludf.DUMMYFUNCTION("""COMPUTED_VALUE"""),98.32)</f>
        <v>98.32</v>
      </c>
      <c r="F5194" s="2">
        <f>IFERROR(__xludf.DUMMYFUNCTION("""COMPUTED_VALUE"""),5035100.0)</f>
        <v>5035100</v>
      </c>
    </row>
    <row r="5195">
      <c r="A5195" s="3">
        <f>IFERROR(__xludf.DUMMYFUNCTION("""COMPUTED_VALUE"""),36726.666666666664)</f>
        <v>36726.66667</v>
      </c>
      <c r="B5195" s="2">
        <f>IFERROR(__xludf.DUMMYFUNCTION("""COMPUTED_VALUE"""),99.46)</f>
        <v>99.46</v>
      </c>
      <c r="C5195" s="2">
        <f>IFERROR(__xludf.DUMMYFUNCTION("""COMPUTED_VALUE"""),99.7)</f>
        <v>99.7</v>
      </c>
      <c r="D5195" s="2">
        <f>IFERROR(__xludf.DUMMYFUNCTION("""COMPUTED_VALUE"""),96.53)</f>
        <v>96.53</v>
      </c>
      <c r="E5195" s="2">
        <f>IFERROR(__xludf.DUMMYFUNCTION("""COMPUTED_VALUE"""),98.86)</f>
        <v>98.86</v>
      </c>
      <c r="F5195" s="2">
        <f>IFERROR(__xludf.DUMMYFUNCTION("""COMPUTED_VALUE"""),6085600.0)</f>
        <v>6085600</v>
      </c>
    </row>
    <row r="5196">
      <c r="A5196" s="3">
        <f>IFERROR(__xludf.DUMMYFUNCTION("""COMPUTED_VALUE"""),36727.666666666664)</f>
        <v>36727.66667</v>
      </c>
      <c r="B5196" s="2">
        <f>IFERROR(__xludf.DUMMYFUNCTION("""COMPUTED_VALUE"""),109.66)</f>
        <v>109.66</v>
      </c>
      <c r="C5196" s="2">
        <f>IFERROR(__xludf.DUMMYFUNCTION("""COMPUTED_VALUE"""),112.47)</f>
        <v>112.47</v>
      </c>
      <c r="D5196" s="2">
        <f>IFERROR(__xludf.DUMMYFUNCTION("""COMPUTED_VALUE"""),108.47)</f>
        <v>108.47</v>
      </c>
      <c r="E5196" s="2">
        <f>IFERROR(__xludf.DUMMYFUNCTION("""COMPUTED_VALUE"""),111.75)</f>
        <v>111.75</v>
      </c>
      <c r="F5196" s="2">
        <f>IFERROR(__xludf.DUMMYFUNCTION("""COMPUTED_VALUE"""),1.80269E7)</f>
        <v>18026900</v>
      </c>
    </row>
    <row r="5197">
      <c r="A5197" s="3">
        <f>IFERROR(__xludf.DUMMYFUNCTION("""COMPUTED_VALUE"""),36728.666666666664)</f>
        <v>36728.66667</v>
      </c>
      <c r="B5197" s="2">
        <f>IFERROR(__xludf.DUMMYFUNCTION("""COMPUTED_VALUE"""),111.75)</f>
        <v>111.75</v>
      </c>
      <c r="C5197" s="2">
        <f>IFERROR(__xludf.DUMMYFUNCTION("""COMPUTED_VALUE"""),111.75)</f>
        <v>111.75</v>
      </c>
      <c r="D5197" s="2">
        <f>IFERROR(__xludf.DUMMYFUNCTION("""COMPUTED_VALUE"""),108.65)</f>
        <v>108.65</v>
      </c>
      <c r="E5197" s="2">
        <f>IFERROR(__xludf.DUMMYFUNCTION("""COMPUTED_VALUE"""),109.31)</f>
        <v>109.31</v>
      </c>
      <c r="F5197" s="2">
        <f>IFERROR(__xludf.DUMMYFUNCTION("""COMPUTED_VALUE"""),7344600.0)</f>
        <v>7344600</v>
      </c>
    </row>
    <row r="5198">
      <c r="A5198" s="3">
        <f>IFERROR(__xludf.DUMMYFUNCTION("""COMPUTED_VALUE"""),36731.666666666664)</f>
        <v>36731.66667</v>
      </c>
      <c r="B5198" s="2">
        <f>IFERROR(__xludf.DUMMYFUNCTION("""COMPUTED_VALUE"""),109.01)</f>
        <v>109.01</v>
      </c>
      <c r="C5198" s="2">
        <f>IFERROR(__xludf.DUMMYFUNCTION("""COMPUTED_VALUE"""),110.44)</f>
        <v>110.44</v>
      </c>
      <c r="D5198" s="2">
        <f>IFERROR(__xludf.DUMMYFUNCTION("""COMPUTED_VALUE"""),106.62)</f>
        <v>106.62</v>
      </c>
      <c r="E5198" s="2">
        <f>IFERROR(__xludf.DUMMYFUNCTION("""COMPUTED_VALUE"""),107.28)</f>
        <v>107.28</v>
      </c>
      <c r="F5198" s="2">
        <f>IFERROR(__xludf.DUMMYFUNCTION("""COMPUTED_VALUE"""),5628800.0)</f>
        <v>5628800</v>
      </c>
    </row>
    <row r="5199">
      <c r="A5199" s="3">
        <f>IFERROR(__xludf.DUMMYFUNCTION("""COMPUTED_VALUE"""),36732.666666666664)</f>
        <v>36732.66667</v>
      </c>
      <c r="B5199" s="2">
        <f>IFERROR(__xludf.DUMMYFUNCTION("""COMPUTED_VALUE"""),109.01)</f>
        <v>109.01</v>
      </c>
      <c r="C5199" s="2">
        <f>IFERROR(__xludf.DUMMYFUNCTION("""COMPUTED_VALUE"""),110.44)</f>
        <v>110.44</v>
      </c>
      <c r="D5199" s="2">
        <f>IFERROR(__xludf.DUMMYFUNCTION("""COMPUTED_VALUE"""),105.37)</f>
        <v>105.37</v>
      </c>
      <c r="E5199" s="2">
        <f>IFERROR(__xludf.DUMMYFUNCTION("""COMPUTED_VALUE"""),106.74)</f>
        <v>106.74</v>
      </c>
      <c r="F5199" s="2">
        <f>IFERROR(__xludf.DUMMYFUNCTION("""COMPUTED_VALUE"""),4603700.0)</f>
        <v>4603700</v>
      </c>
    </row>
    <row r="5200">
      <c r="A5200" s="3">
        <f>IFERROR(__xludf.DUMMYFUNCTION("""COMPUTED_VALUE"""),36733.666666666664)</f>
        <v>36733.66667</v>
      </c>
      <c r="B5200" s="2">
        <f>IFERROR(__xludf.DUMMYFUNCTION("""COMPUTED_VALUE"""),106.02)</f>
        <v>106.02</v>
      </c>
      <c r="C5200" s="2">
        <f>IFERROR(__xludf.DUMMYFUNCTION("""COMPUTED_VALUE"""),107.34)</f>
        <v>107.34</v>
      </c>
      <c r="D5200" s="2">
        <f>IFERROR(__xludf.DUMMYFUNCTION("""COMPUTED_VALUE"""),104.05)</f>
        <v>104.05</v>
      </c>
      <c r="E5200" s="2">
        <f>IFERROR(__xludf.DUMMYFUNCTION("""COMPUTED_VALUE"""),104.95)</f>
        <v>104.95</v>
      </c>
      <c r="F5200" s="2">
        <f>IFERROR(__xludf.DUMMYFUNCTION("""COMPUTED_VALUE"""),5161500.0)</f>
        <v>5161500</v>
      </c>
    </row>
    <row r="5201">
      <c r="A5201" s="3">
        <f>IFERROR(__xludf.DUMMYFUNCTION("""COMPUTED_VALUE"""),36734.666666666664)</f>
        <v>36734.66667</v>
      </c>
      <c r="B5201" s="2">
        <f>IFERROR(__xludf.DUMMYFUNCTION("""COMPUTED_VALUE"""),106.02)</f>
        <v>106.02</v>
      </c>
      <c r="C5201" s="2">
        <f>IFERROR(__xludf.DUMMYFUNCTION("""COMPUTED_VALUE"""),106.5)</f>
        <v>106.5</v>
      </c>
      <c r="D5201" s="2">
        <f>IFERROR(__xludf.DUMMYFUNCTION("""COMPUTED_VALUE"""),104.41)</f>
        <v>104.41</v>
      </c>
      <c r="E5201" s="2">
        <f>IFERROR(__xludf.DUMMYFUNCTION("""COMPUTED_VALUE"""),105.19)</f>
        <v>105.19</v>
      </c>
      <c r="F5201" s="2">
        <f>IFERROR(__xludf.DUMMYFUNCTION("""COMPUTED_VALUE"""),3408800.0)</f>
        <v>3408800</v>
      </c>
    </row>
    <row r="5202">
      <c r="A5202" s="3">
        <f>IFERROR(__xludf.DUMMYFUNCTION("""COMPUTED_VALUE"""),36735.666666666664)</f>
        <v>36735.66667</v>
      </c>
      <c r="B5202" s="2">
        <f>IFERROR(__xludf.DUMMYFUNCTION("""COMPUTED_VALUE"""),106.14)</f>
        <v>106.14</v>
      </c>
      <c r="C5202" s="2">
        <f>IFERROR(__xludf.DUMMYFUNCTION("""COMPUTED_VALUE"""),107.46)</f>
        <v>107.46</v>
      </c>
      <c r="D5202" s="2">
        <f>IFERROR(__xludf.DUMMYFUNCTION("""COMPUTED_VALUE"""),103.99)</f>
        <v>103.99</v>
      </c>
      <c r="E5202" s="2">
        <f>IFERROR(__xludf.DUMMYFUNCTION("""COMPUTED_VALUE"""),106.8)</f>
        <v>106.8</v>
      </c>
      <c r="F5202" s="2">
        <f>IFERROR(__xludf.DUMMYFUNCTION("""COMPUTED_VALUE"""),4606800.0)</f>
        <v>4606800</v>
      </c>
    </row>
    <row r="5203">
      <c r="A5203" s="3">
        <f>IFERROR(__xludf.DUMMYFUNCTION("""COMPUTED_VALUE"""),36738.666666666664)</f>
        <v>36738.66667</v>
      </c>
      <c r="B5203" s="2">
        <f>IFERROR(__xludf.DUMMYFUNCTION("""COMPUTED_VALUE"""),105.55)</f>
        <v>105.55</v>
      </c>
      <c r="C5203" s="2">
        <f>IFERROR(__xludf.DUMMYFUNCTION("""COMPUTED_VALUE"""),108.59)</f>
        <v>108.59</v>
      </c>
      <c r="D5203" s="2">
        <f>IFERROR(__xludf.DUMMYFUNCTION("""COMPUTED_VALUE"""),105.13)</f>
        <v>105.13</v>
      </c>
      <c r="E5203" s="2">
        <f>IFERROR(__xludf.DUMMYFUNCTION("""COMPUTED_VALUE"""),107.4)</f>
        <v>107.4</v>
      </c>
      <c r="F5203" s="2">
        <f>IFERROR(__xludf.DUMMYFUNCTION("""COMPUTED_VALUE"""),4322300.0)</f>
        <v>4322300</v>
      </c>
    </row>
    <row r="5204">
      <c r="A5204" s="3">
        <f>IFERROR(__xludf.DUMMYFUNCTION("""COMPUTED_VALUE"""),36739.666666666664)</f>
        <v>36739.66667</v>
      </c>
      <c r="B5204" s="2">
        <f>IFERROR(__xludf.DUMMYFUNCTION("""COMPUTED_VALUE"""),106.98)</f>
        <v>106.98</v>
      </c>
      <c r="C5204" s="2">
        <f>IFERROR(__xludf.DUMMYFUNCTION("""COMPUTED_VALUE"""),107.4)</f>
        <v>107.4</v>
      </c>
      <c r="D5204" s="2">
        <f>IFERROR(__xludf.DUMMYFUNCTION("""COMPUTED_VALUE"""),105.31)</f>
        <v>105.31</v>
      </c>
      <c r="E5204" s="2">
        <f>IFERROR(__xludf.DUMMYFUNCTION("""COMPUTED_VALUE"""),105.61)</f>
        <v>105.61</v>
      </c>
      <c r="F5204" s="2">
        <f>IFERROR(__xludf.DUMMYFUNCTION("""COMPUTED_VALUE"""),2549500.0)</f>
        <v>2549500</v>
      </c>
    </row>
    <row r="5205">
      <c r="A5205" s="3">
        <f>IFERROR(__xludf.DUMMYFUNCTION("""COMPUTED_VALUE"""),36740.666666666664)</f>
        <v>36740.66667</v>
      </c>
      <c r="B5205" s="2">
        <f>IFERROR(__xludf.DUMMYFUNCTION("""COMPUTED_VALUE"""),106.02)</f>
        <v>106.02</v>
      </c>
      <c r="C5205" s="2">
        <f>IFERROR(__xludf.DUMMYFUNCTION("""COMPUTED_VALUE"""),109.72)</f>
        <v>109.72</v>
      </c>
      <c r="D5205" s="2">
        <f>IFERROR(__xludf.DUMMYFUNCTION("""COMPUTED_VALUE"""),105.78)</f>
        <v>105.78</v>
      </c>
      <c r="E5205" s="2">
        <f>IFERROR(__xludf.DUMMYFUNCTION("""COMPUTED_VALUE"""),109.55)</f>
        <v>109.55</v>
      </c>
      <c r="F5205" s="2">
        <f>IFERROR(__xludf.DUMMYFUNCTION("""COMPUTED_VALUE"""),4910600.0)</f>
        <v>4910600</v>
      </c>
    </row>
    <row r="5206">
      <c r="A5206" s="3">
        <f>IFERROR(__xludf.DUMMYFUNCTION("""COMPUTED_VALUE"""),36741.666666666664)</f>
        <v>36741.66667</v>
      </c>
      <c r="B5206" s="2">
        <f>IFERROR(__xludf.DUMMYFUNCTION("""COMPUTED_VALUE"""),107.93)</f>
        <v>107.93</v>
      </c>
      <c r="C5206" s="2">
        <f>IFERROR(__xludf.DUMMYFUNCTION("""COMPUTED_VALUE"""),111.28)</f>
        <v>111.28</v>
      </c>
      <c r="D5206" s="2">
        <f>IFERROR(__xludf.DUMMYFUNCTION("""COMPUTED_VALUE"""),107.28)</f>
        <v>107.28</v>
      </c>
      <c r="E5206" s="2">
        <f>IFERROR(__xludf.DUMMYFUNCTION("""COMPUTED_VALUE"""),110.86)</f>
        <v>110.86</v>
      </c>
      <c r="F5206" s="2">
        <f>IFERROR(__xludf.DUMMYFUNCTION("""COMPUTED_VALUE"""),4731800.0)</f>
        <v>4731800</v>
      </c>
    </row>
    <row r="5207">
      <c r="A5207" s="3">
        <f>IFERROR(__xludf.DUMMYFUNCTION("""COMPUTED_VALUE"""),36742.666666666664)</f>
        <v>36742.66667</v>
      </c>
      <c r="B5207" s="2">
        <f>IFERROR(__xludf.DUMMYFUNCTION("""COMPUTED_VALUE"""),110.8)</f>
        <v>110.8</v>
      </c>
      <c r="C5207" s="2">
        <f>IFERROR(__xludf.DUMMYFUNCTION("""COMPUTED_VALUE"""),111.28)</f>
        <v>111.28</v>
      </c>
      <c r="D5207" s="2">
        <f>IFERROR(__xludf.DUMMYFUNCTION("""COMPUTED_VALUE"""),109.19)</f>
        <v>109.19</v>
      </c>
      <c r="E5207" s="2">
        <f>IFERROR(__xludf.DUMMYFUNCTION("""COMPUTED_VALUE"""),110.68)</f>
        <v>110.68</v>
      </c>
      <c r="F5207" s="2">
        <f>IFERROR(__xludf.DUMMYFUNCTION("""COMPUTED_VALUE"""),3650900.0)</f>
        <v>3650900</v>
      </c>
    </row>
    <row r="5208">
      <c r="A5208" s="3">
        <f>IFERROR(__xludf.DUMMYFUNCTION("""COMPUTED_VALUE"""),36745.666666666664)</f>
        <v>36745.66667</v>
      </c>
      <c r="B5208" s="2">
        <f>IFERROR(__xludf.DUMMYFUNCTION("""COMPUTED_VALUE"""),111.4)</f>
        <v>111.4</v>
      </c>
      <c r="C5208" s="2">
        <f>IFERROR(__xludf.DUMMYFUNCTION("""COMPUTED_VALUE"""),113.66)</f>
        <v>113.66</v>
      </c>
      <c r="D5208" s="2">
        <f>IFERROR(__xludf.DUMMYFUNCTION("""COMPUTED_VALUE"""),110.68)</f>
        <v>110.68</v>
      </c>
      <c r="E5208" s="2">
        <f>IFERROR(__xludf.DUMMYFUNCTION("""COMPUTED_VALUE"""),111.1)</f>
        <v>111.1</v>
      </c>
      <c r="F5208" s="2">
        <f>IFERROR(__xludf.DUMMYFUNCTION("""COMPUTED_VALUE"""),4504500.0)</f>
        <v>4504500</v>
      </c>
    </row>
    <row r="5209">
      <c r="A5209" s="3">
        <f>IFERROR(__xludf.DUMMYFUNCTION("""COMPUTED_VALUE"""),36746.666666666664)</f>
        <v>36746.66667</v>
      </c>
      <c r="B5209" s="2">
        <f>IFERROR(__xludf.DUMMYFUNCTION("""COMPUTED_VALUE"""),110.5)</f>
        <v>110.5</v>
      </c>
      <c r="C5209" s="2">
        <f>IFERROR(__xludf.DUMMYFUNCTION("""COMPUTED_VALUE"""),114.2)</f>
        <v>114.2</v>
      </c>
      <c r="D5209" s="2">
        <f>IFERROR(__xludf.DUMMYFUNCTION("""COMPUTED_VALUE"""),110.38)</f>
        <v>110.38</v>
      </c>
      <c r="E5209" s="2">
        <f>IFERROR(__xludf.DUMMYFUNCTION("""COMPUTED_VALUE"""),113.6)</f>
        <v>113.6</v>
      </c>
      <c r="F5209" s="2">
        <f>IFERROR(__xludf.DUMMYFUNCTION("""COMPUTED_VALUE"""),4481900.0)</f>
        <v>4481900</v>
      </c>
    </row>
    <row r="5210">
      <c r="A5210" s="3">
        <f>IFERROR(__xludf.DUMMYFUNCTION("""COMPUTED_VALUE"""),36747.666666666664)</f>
        <v>36747.66667</v>
      </c>
      <c r="B5210" s="2">
        <f>IFERROR(__xludf.DUMMYFUNCTION("""COMPUTED_VALUE"""),113.66)</f>
        <v>113.66</v>
      </c>
      <c r="C5210" s="2">
        <f>IFERROR(__xludf.DUMMYFUNCTION("""COMPUTED_VALUE"""),115.4)</f>
        <v>115.4</v>
      </c>
      <c r="D5210" s="2">
        <f>IFERROR(__xludf.DUMMYFUNCTION("""COMPUTED_VALUE"""),113.55)</f>
        <v>113.55</v>
      </c>
      <c r="E5210" s="2">
        <f>IFERROR(__xludf.DUMMYFUNCTION("""COMPUTED_VALUE"""),113.78)</f>
        <v>113.78</v>
      </c>
      <c r="F5210" s="2">
        <f>IFERROR(__xludf.DUMMYFUNCTION("""COMPUTED_VALUE"""),5209200.0)</f>
        <v>5209200</v>
      </c>
    </row>
    <row r="5211">
      <c r="A5211" s="3">
        <f>IFERROR(__xludf.DUMMYFUNCTION("""COMPUTED_VALUE"""),36748.666666666664)</f>
        <v>36748.66667</v>
      </c>
      <c r="B5211" s="2">
        <f>IFERROR(__xludf.DUMMYFUNCTION("""COMPUTED_VALUE"""),113.43)</f>
        <v>113.43</v>
      </c>
      <c r="C5211" s="2">
        <f>IFERROR(__xludf.DUMMYFUNCTION("""COMPUTED_VALUE"""),114.86)</f>
        <v>114.86</v>
      </c>
      <c r="D5211" s="2">
        <f>IFERROR(__xludf.DUMMYFUNCTION("""COMPUTED_VALUE"""),112.71)</f>
        <v>112.71</v>
      </c>
      <c r="E5211" s="2">
        <f>IFERROR(__xludf.DUMMYFUNCTION("""COMPUTED_VALUE"""),114.38)</f>
        <v>114.38</v>
      </c>
      <c r="F5211" s="2">
        <f>IFERROR(__xludf.DUMMYFUNCTION("""COMPUTED_VALUE"""),4673500.0)</f>
        <v>4673500</v>
      </c>
    </row>
    <row r="5212">
      <c r="A5212" s="3">
        <f>IFERROR(__xludf.DUMMYFUNCTION("""COMPUTED_VALUE"""),36749.666666666664)</f>
        <v>36749.66667</v>
      </c>
      <c r="B5212" s="2">
        <f>IFERROR(__xludf.DUMMYFUNCTION("""COMPUTED_VALUE"""),114.38)</f>
        <v>114.38</v>
      </c>
      <c r="C5212" s="2">
        <f>IFERROR(__xludf.DUMMYFUNCTION("""COMPUTED_VALUE"""),116.35)</f>
        <v>116.35</v>
      </c>
      <c r="D5212" s="2">
        <f>IFERROR(__xludf.DUMMYFUNCTION("""COMPUTED_VALUE"""),113.84)</f>
        <v>113.84</v>
      </c>
      <c r="E5212" s="2">
        <f>IFERROR(__xludf.DUMMYFUNCTION("""COMPUTED_VALUE"""),115.34)</f>
        <v>115.34</v>
      </c>
      <c r="F5212" s="2">
        <f>IFERROR(__xludf.DUMMYFUNCTION("""COMPUTED_VALUE"""),5161300.0)</f>
        <v>5161300</v>
      </c>
    </row>
    <row r="5213">
      <c r="A5213" s="3">
        <f>IFERROR(__xludf.DUMMYFUNCTION("""COMPUTED_VALUE"""),36752.666666666664)</f>
        <v>36752.66667</v>
      </c>
      <c r="B5213" s="2">
        <f>IFERROR(__xludf.DUMMYFUNCTION("""COMPUTED_VALUE"""),114.62)</f>
        <v>114.62</v>
      </c>
      <c r="C5213" s="2">
        <f>IFERROR(__xludf.DUMMYFUNCTION("""COMPUTED_VALUE"""),118.14)</f>
        <v>118.14</v>
      </c>
      <c r="D5213" s="2">
        <f>IFERROR(__xludf.DUMMYFUNCTION("""COMPUTED_VALUE"""),113.96)</f>
        <v>113.96</v>
      </c>
      <c r="E5213" s="2">
        <f>IFERROR(__xludf.DUMMYFUNCTION("""COMPUTED_VALUE"""),117.6)</f>
        <v>117.6</v>
      </c>
      <c r="F5213" s="2">
        <f>IFERROR(__xludf.DUMMYFUNCTION("""COMPUTED_VALUE"""),3989300.0)</f>
        <v>3989300</v>
      </c>
    </row>
    <row r="5214">
      <c r="A5214" s="3">
        <f>IFERROR(__xludf.DUMMYFUNCTION("""COMPUTED_VALUE"""),36753.666666666664)</f>
        <v>36753.66667</v>
      </c>
      <c r="B5214" s="2">
        <f>IFERROR(__xludf.DUMMYFUNCTION("""COMPUTED_VALUE"""),116.59)</f>
        <v>116.59</v>
      </c>
      <c r="C5214" s="2">
        <f>IFERROR(__xludf.DUMMYFUNCTION("""COMPUTED_VALUE"""),117.13)</f>
        <v>117.13</v>
      </c>
      <c r="D5214" s="2">
        <f>IFERROR(__xludf.DUMMYFUNCTION("""COMPUTED_VALUE"""),115.34)</f>
        <v>115.34</v>
      </c>
      <c r="E5214" s="2">
        <f>IFERROR(__xludf.DUMMYFUNCTION("""COMPUTED_VALUE"""),116.53)</f>
        <v>116.53</v>
      </c>
      <c r="F5214" s="2">
        <f>IFERROR(__xludf.DUMMYFUNCTION("""COMPUTED_VALUE"""),1914600.0)</f>
        <v>1914600</v>
      </c>
    </row>
    <row r="5215">
      <c r="A5215" s="3">
        <f>IFERROR(__xludf.DUMMYFUNCTION("""COMPUTED_VALUE"""),36754.666666666664)</f>
        <v>36754.66667</v>
      </c>
      <c r="B5215" s="2">
        <f>IFERROR(__xludf.DUMMYFUNCTION("""COMPUTED_VALUE"""),116.05)</f>
        <v>116.05</v>
      </c>
      <c r="C5215" s="2">
        <f>IFERROR(__xludf.DUMMYFUNCTION("""COMPUTED_VALUE"""),117.43)</f>
        <v>117.43</v>
      </c>
      <c r="D5215" s="2">
        <f>IFERROR(__xludf.DUMMYFUNCTION("""COMPUTED_VALUE"""),114.2)</f>
        <v>114.2</v>
      </c>
      <c r="E5215" s="2">
        <f>IFERROR(__xludf.DUMMYFUNCTION("""COMPUTED_VALUE"""),114.68)</f>
        <v>114.68</v>
      </c>
      <c r="F5215" s="2">
        <f>IFERROR(__xludf.DUMMYFUNCTION("""COMPUTED_VALUE"""),5124700.0)</f>
        <v>5124700</v>
      </c>
    </row>
    <row r="5216">
      <c r="A5216" s="3">
        <f>IFERROR(__xludf.DUMMYFUNCTION("""COMPUTED_VALUE"""),36755.666666666664)</f>
        <v>36755.66667</v>
      </c>
      <c r="B5216" s="2">
        <f>IFERROR(__xludf.DUMMYFUNCTION("""COMPUTED_VALUE"""),114.68)</f>
        <v>114.68</v>
      </c>
      <c r="C5216" s="2">
        <f>IFERROR(__xludf.DUMMYFUNCTION("""COMPUTED_VALUE"""),117.31)</f>
        <v>117.31</v>
      </c>
      <c r="D5216" s="2">
        <f>IFERROR(__xludf.DUMMYFUNCTION("""COMPUTED_VALUE"""),114.14)</f>
        <v>114.14</v>
      </c>
      <c r="E5216" s="2">
        <f>IFERROR(__xludf.DUMMYFUNCTION("""COMPUTED_VALUE"""),116.89)</f>
        <v>116.89</v>
      </c>
      <c r="F5216" s="2">
        <f>IFERROR(__xludf.DUMMYFUNCTION("""COMPUTED_VALUE"""),3846100.0)</f>
        <v>3846100</v>
      </c>
    </row>
    <row r="5217">
      <c r="A5217" s="3">
        <f>IFERROR(__xludf.DUMMYFUNCTION("""COMPUTED_VALUE"""),36756.666666666664)</f>
        <v>36756.66667</v>
      </c>
      <c r="B5217" s="2">
        <f>IFERROR(__xludf.DUMMYFUNCTION("""COMPUTED_VALUE"""),116.89)</f>
        <v>116.89</v>
      </c>
      <c r="C5217" s="2">
        <f>IFERROR(__xludf.DUMMYFUNCTION("""COMPUTED_VALUE"""),117.84)</f>
        <v>117.84</v>
      </c>
      <c r="D5217" s="2">
        <f>IFERROR(__xludf.DUMMYFUNCTION("""COMPUTED_VALUE"""),114.74)</f>
        <v>114.74</v>
      </c>
      <c r="E5217" s="2">
        <f>IFERROR(__xludf.DUMMYFUNCTION("""COMPUTED_VALUE"""),114.8)</f>
        <v>114.8</v>
      </c>
      <c r="F5217" s="2">
        <f>IFERROR(__xludf.DUMMYFUNCTION("""COMPUTED_VALUE"""),3545400.0)</f>
        <v>3545400</v>
      </c>
    </row>
    <row r="5218">
      <c r="A5218" s="3">
        <f>IFERROR(__xludf.DUMMYFUNCTION("""COMPUTED_VALUE"""),36759.666666666664)</f>
        <v>36759.66667</v>
      </c>
      <c r="B5218" s="2">
        <f>IFERROR(__xludf.DUMMYFUNCTION("""COMPUTED_VALUE"""),114.68)</f>
        <v>114.68</v>
      </c>
      <c r="C5218" s="2">
        <f>IFERROR(__xludf.DUMMYFUNCTION("""COMPUTED_VALUE"""),116.71)</f>
        <v>116.71</v>
      </c>
      <c r="D5218" s="2">
        <f>IFERROR(__xludf.DUMMYFUNCTION("""COMPUTED_VALUE"""),114.68)</f>
        <v>114.68</v>
      </c>
      <c r="E5218" s="2">
        <f>IFERROR(__xludf.DUMMYFUNCTION("""COMPUTED_VALUE"""),115.99)</f>
        <v>115.99</v>
      </c>
      <c r="F5218" s="2">
        <f>IFERROR(__xludf.DUMMYFUNCTION("""COMPUTED_VALUE"""),2712100.0)</f>
        <v>2712100</v>
      </c>
    </row>
    <row r="5219">
      <c r="A5219" s="3">
        <f>IFERROR(__xludf.DUMMYFUNCTION("""COMPUTED_VALUE"""),36760.666666666664)</f>
        <v>36760.66667</v>
      </c>
      <c r="B5219" s="2">
        <f>IFERROR(__xludf.DUMMYFUNCTION("""COMPUTED_VALUE"""),115.75)</f>
        <v>115.75</v>
      </c>
      <c r="C5219" s="2">
        <f>IFERROR(__xludf.DUMMYFUNCTION("""COMPUTED_VALUE"""),116.71)</f>
        <v>116.71</v>
      </c>
      <c r="D5219" s="2">
        <f>IFERROR(__xludf.DUMMYFUNCTION("""COMPUTED_VALUE"""),115.63)</f>
        <v>115.63</v>
      </c>
      <c r="E5219" s="2">
        <f>IFERROR(__xludf.DUMMYFUNCTION("""COMPUTED_VALUE"""),115.87)</f>
        <v>115.87</v>
      </c>
      <c r="F5219" s="2">
        <f>IFERROR(__xludf.DUMMYFUNCTION("""COMPUTED_VALUE"""),2314000.0)</f>
        <v>2314000</v>
      </c>
    </row>
    <row r="5220">
      <c r="A5220" s="3">
        <f>IFERROR(__xludf.DUMMYFUNCTION("""COMPUTED_VALUE"""),36761.666666666664)</f>
        <v>36761.66667</v>
      </c>
      <c r="B5220" s="2">
        <f>IFERROR(__xludf.DUMMYFUNCTION("""COMPUTED_VALUE"""),114.92)</f>
        <v>114.92</v>
      </c>
      <c r="C5220" s="2">
        <f>IFERROR(__xludf.DUMMYFUNCTION("""COMPUTED_VALUE"""),118.2)</f>
        <v>118.2</v>
      </c>
      <c r="D5220" s="2">
        <f>IFERROR(__xludf.DUMMYFUNCTION("""COMPUTED_VALUE"""),114.68)</f>
        <v>114.68</v>
      </c>
      <c r="E5220" s="2">
        <f>IFERROR(__xludf.DUMMYFUNCTION("""COMPUTED_VALUE"""),117.31)</f>
        <v>117.31</v>
      </c>
      <c r="F5220" s="2">
        <f>IFERROR(__xludf.DUMMYFUNCTION("""COMPUTED_VALUE"""),3615700.0)</f>
        <v>3615700</v>
      </c>
    </row>
    <row r="5221">
      <c r="A5221" s="3">
        <f>IFERROR(__xludf.DUMMYFUNCTION("""COMPUTED_VALUE"""),36762.666666666664)</f>
        <v>36762.66667</v>
      </c>
      <c r="B5221" s="2">
        <f>IFERROR(__xludf.DUMMYFUNCTION("""COMPUTED_VALUE"""),117.49)</f>
        <v>117.49</v>
      </c>
      <c r="C5221" s="2">
        <f>IFERROR(__xludf.DUMMYFUNCTION("""COMPUTED_VALUE"""),119.81)</f>
        <v>119.81</v>
      </c>
      <c r="D5221" s="2">
        <f>IFERROR(__xludf.DUMMYFUNCTION("""COMPUTED_VALUE"""),117.19)</f>
        <v>117.19</v>
      </c>
      <c r="E5221" s="2">
        <f>IFERROR(__xludf.DUMMYFUNCTION("""COMPUTED_VALUE"""),119.22)</f>
        <v>119.22</v>
      </c>
      <c r="F5221" s="2">
        <f>IFERROR(__xludf.DUMMYFUNCTION("""COMPUTED_VALUE"""),4910300.0)</f>
        <v>4910300</v>
      </c>
    </row>
    <row r="5222">
      <c r="A5222" s="3">
        <f>IFERROR(__xludf.DUMMYFUNCTION("""COMPUTED_VALUE"""),36763.666666666664)</f>
        <v>36763.66667</v>
      </c>
      <c r="B5222" s="2">
        <f>IFERROR(__xludf.DUMMYFUNCTION("""COMPUTED_VALUE"""),118.74)</f>
        <v>118.74</v>
      </c>
      <c r="C5222" s="2">
        <f>IFERROR(__xludf.DUMMYFUNCTION("""COMPUTED_VALUE"""),124.05)</f>
        <v>124.05</v>
      </c>
      <c r="D5222" s="2">
        <f>IFERROR(__xludf.DUMMYFUNCTION("""COMPUTED_VALUE"""),118.68)</f>
        <v>118.68</v>
      </c>
      <c r="E5222" s="2">
        <f>IFERROR(__xludf.DUMMYFUNCTION("""COMPUTED_VALUE"""),123.34)</f>
        <v>123.34</v>
      </c>
      <c r="F5222" s="2">
        <f>IFERROR(__xludf.DUMMYFUNCTION("""COMPUTED_VALUE"""),6738000.0)</f>
        <v>6738000</v>
      </c>
    </row>
    <row r="5223">
      <c r="A5223" s="3">
        <f>IFERROR(__xludf.DUMMYFUNCTION("""COMPUTED_VALUE"""),36766.666666666664)</f>
        <v>36766.66667</v>
      </c>
      <c r="B5223" s="2">
        <f>IFERROR(__xludf.DUMMYFUNCTION("""COMPUTED_VALUE"""),124.05)</f>
        <v>124.05</v>
      </c>
      <c r="C5223" s="2">
        <f>IFERROR(__xludf.DUMMYFUNCTION("""COMPUTED_VALUE"""),127.22)</f>
        <v>127.22</v>
      </c>
      <c r="D5223" s="2">
        <f>IFERROR(__xludf.DUMMYFUNCTION("""COMPUTED_VALUE"""),123.99)</f>
        <v>123.99</v>
      </c>
      <c r="E5223" s="2">
        <f>IFERROR(__xludf.DUMMYFUNCTION("""COMPUTED_VALUE"""),124.71)</f>
        <v>124.71</v>
      </c>
      <c r="F5223" s="2">
        <f>IFERROR(__xludf.DUMMYFUNCTION("""COMPUTED_VALUE"""),6743200.0)</f>
        <v>6743200</v>
      </c>
    </row>
    <row r="5224">
      <c r="A5224" s="3">
        <f>IFERROR(__xludf.DUMMYFUNCTION("""COMPUTED_VALUE"""),36767.666666666664)</f>
        <v>36767.66667</v>
      </c>
      <c r="B5224" s="2">
        <f>IFERROR(__xludf.DUMMYFUNCTION("""COMPUTED_VALUE"""),125.6)</f>
        <v>125.6</v>
      </c>
      <c r="C5224" s="2">
        <f>IFERROR(__xludf.DUMMYFUNCTION("""COMPUTED_VALUE"""),128.23)</f>
        <v>128.23</v>
      </c>
      <c r="D5224" s="2">
        <f>IFERROR(__xludf.DUMMYFUNCTION("""COMPUTED_VALUE"""),125.13)</f>
        <v>125.13</v>
      </c>
      <c r="E5224" s="2">
        <f>IFERROR(__xludf.DUMMYFUNCTION("""COMPUTED_VALUE"""),126.92)</f>
        <v>126.92</v>
      </c>
      <c r="F5224" s="2">
        <f>IFERROR(__xludf.DUMMYFUNCTION("""COMPUTED_VALUE"""),4992100.0)</f>
        <v>4992100</v>
      </c>
    </row>
    <row r="5225">
      <c r="A5225" s="3">
        <f>IFERROR(__xludf.DUMMYFUNCTION("""COMPUTED_VALUE"""),36768.666666666664)</f>
        <v>36768.66667</v>
      </c>
      <c r="B5225" s="2">
        <f>IFERROR(__xludf.DUMMYFUNCTION("""COMPUTED_VALUE"""),124.89)</f>
        <v>124.89</v>
      </c>
      <c r="C5225" s="2">
        <f>IFERROR(__xludf.DUMMYFUNCTION("""COMPUTED_VALUE"""),125.6)</f>
        <v>125.6</v>
      </c>
      <c r="D5225" s="2">
        <f>IFERROR(__xludf.DUMMYFUNCTION("""COMPUTED_VALUE"""),123.75)</f>
        <v>123.75</v>
      </c>
      <c r="E5225" s="2">
        <f>IFERROR(__xludf.DUMMYFUNCTION("""COMPUTED_VALUE"""),124.47)</f>
        <v>124.47</v>
      </c>
      <c r="F5225" s="2">
        <f>IFERROR(__xludf.DUMMYFUNCTION("""COMPUTED_VALUE"""),4057600.0)</f>
        <v>4057600</v>
      </c>
    </row>
    <row r="5226">
      <c r="A5226" s="3">
        <f>IFERROR(__xludf.DUMMYFUNCTION("""COMPUTED_VALUE"""),36769.666666666664)</f>
        <v>36769.66667</v>
      </c>
      <c r="B5226" s="2">
        <f>IFERROR(__xludf.DUMMYFUNCTION("""COMPUTED_VALUE"""),125.96)</f>
        <v>125.96</v>
      </c>
      <c r="C5226" s="2">
        <f>IFERROR(__xludf.DUMMYFUNCTION("""COMPUTED_VALUE"""),128.17)</f>
        <v>128.17</v>
      </c>
      <c r="D5226" s="2">
        <f>IFERROR(__xludf.DUMMYFUNCTION("""COMPUTED_VALUE"""),125.78)</f>
        <v>125.78</v>
      </c>
      <c r="E5226" s="2">
        <f>IFERROR(__xludf.DUMMYFUNCTION("""COMPUTED_VALUE"""),126.08)</f>
        <v>126.08</v>
      </c>
      <c r="F5226" s="2">
        <f>IFERROR(__xludf.DUMMYFUNCTION("""COMPUTED_VALUE"""),4127500.0)</f>
        <v>4127500</v>
      </c>
    </row>
    <row r="5227">
      <c r="A5227" s="3">
        <f>IFERROR(__xludf.DUMMYFUNCTION("""COMPUTED_VALUE"""),36770.666666666664)</f>
        <v>36770.66667</v>
      </c>
      <c r="B5227" s="2">
        <f>IFERROR(__xludf.DUMMYFUNCTION("""COMPUTED_VALUE"""),127.1)</f>
        <v>127.1</v>
      </c>
      <c r="C5227" s="2">
        <f>IFERROR(__xludf.DUMMYFUNCTION("""COMPUTED_VALUE"""),128.89)</f>
        <v>128.89</v>
      </c>
      <c r="D5227" s="2">
        <f>IFERROR(__xludf.DUMMYFUNCTION("""COMPUTED_VALUE"""),126.68)</f>
        <v>126.68</v>
      </c>
      <c r="E5227" s="2">
        <f>IFERROR(__xludf.DUMMYFUNCTION("""COMPUTED_VALUE"""),127.63)</f>
        <v>127.63</v>
      </c>
      <c r="F5227" s="2">
        <f>IFERROR(__xludf.DUMMYFUNCTION("""COMPUTED_VALUE"""),4849900.0)</f>
        <v>4849900</v>
      </c>
    </row>
    <row r="5228">
      <c r="A5228" s="3">
        <f>IFERROR(__xludf.DUMMYFUNCTION("""COMPUTED_VALUE"""),36774.666666666664)</f>
        <v>36774.66667</v>
      </c>
      <c r="B5228" s="2">
        <f>IFERROR(__xludf.DUMMYFUNCTION("""COMPUTED_VALUE"""),126.86)</f>
        <v>126.86</v>
      </c>
      <c r="C5228" s="2">
        <f>IFERROR(__xludf.DUMMYFUNCTION("""COMPUTED_VALUE"""),127.34)</f>
        <v>127.34</v>
      </c>
      <c r="D5228" s="2">
        <f>IFERROR(__xludf.DUMMYFUNCTION("""COMPUTED_VALUE"""),124.95)</f>
        <v>124.95</v>
      </c>
      <c r="E5228" s="2">
        <f>IFERROR(__xludf.DUMMYFUNCTION("""COMPUTED_VALUE"""),125.66)</f>
        <v>125.66</v>
      </c>
      <c r="F5228" s="2">
        <f>IFERROR(__xludf.DUMMYFUNCTION("""COMPUTED_VALUE"""),3548900.0)</f>
        <v>3548900</v>
      </c>
    </row>
    <row r="5229">
      <c r="A5229" s="3">
        <f>IFERROR(__xludf.DUMMYFUNCTION("""COMPUTED_VALUE"""),36775.666666666664)</f>
        <v>36775.66667</v>
      </c>
      <c r="B5229" s="2">
        <f>IFERROR(__xludf.DUMMYFUNCTION("""COMPUTED_VALUE"""),125.01)</f>
        <v>125.01</v>
      </c>
      <c r="C5229" s="2">
        <f>IFERROR(__xludf.DUMMYFUNCTION("""COMPUTED_VALUE"""),128.83)</f>
        <v>128.83</v>
      </c>
      <c r="D5229" s="2">
        <f>IFERROR(__xludf.DUMMYFUNCTION("""COMPUTED_VALUE"""),124.53)</f>
        <v>124.53</v>
      </c>
      <c r="E5229" s="2">
        <f>IFERROR(__xludf.DUMMYFUNCTION("""COMPUTED_VALUE"""),125.54)</f>
        <v>125.54</v>
      </c>
      <c r="F5229" s="2">
        <f>IFERROR(__xludf.DUMMYFUNCTION("""COMPUTED_VALUE"""),5656000.0)</f>
        <v>5656000</v>
      </c>
    </row>
    <row r="5230">
      <c r="A5230" s="3">
        <f>IFERROR(__xludf.DUMMYFUNCTION("""COMPUTED_VALUE"""),36776.666666666664)</f>
        <v>36776.66667</v>
      </c>
      <c r="B5230" s="2">
        <f>IFERROR(__xludf.DUMMYFUNCTION("""COMPUTED_VALUE"""),127.63)</f>
        <v>127.63</v>
      </c>
      <c r="C5230" s="2">
        <f>IFERROR(__xludf.DUMMYFUNCTION("""COMPUTED_VALUE"""),127.63)</f>
        <v>127.63</v>
      </c>
      <c r="D5230" s="2">
        <f>IFERROR(__xludf.DUMMYFUNCTION("""COMPUTED_VALUE"""),127.63)</f>
        <v>127.63</v>
      </c>
      <c r="E5230" s="2">
        <f>IFERROR(__xludf.DUMMYFUNCTION("""COMPUTED_VALUE"""),127.63)</f>
        <v>127.63</v>
      </c>
      <c r="F5230" s="2">
        <f>IFERROR(__xludf.DUMMYFUNCTION("""COMPUTED_VALUE"""),300.0)</f>
        <v>300</v>
      </c>
    </row>
    <row r="5231">
      <c r="A5231" s="3">
        <f>IFERROR(__xludf.DUMMYFUNCTION("""COMPUTED_VALUE"""),36777.666666666664)</f>
        <v>36777.66667</v>
      </c>
      <c r="B5231" s="2">
        <f>IFERROR(__xludf.DUMMYFUNCTION("""COMPUTED_VALUE"""),126.56)</f>
        <v>126.56</v>
      </c>
      <c r="C5231" s="2">
        <f>IFERROR(__xludf.DUMMYFUNCTION("""COMPUTED_VALUE"""),126.98)</f>
        <v>126.98</v>
      </c>
      <c r="D5231" s="2">
        <f>IFERROR(__xludf.DUMMYFUNCTION("""COMPUTED_VALUE"""),123.57)</f>
        <v>123.57</v>
      </c>
      <c r="E5231" s="2">
        <f>IFERROR(__xludf.DUMMYFUNCTION("""COMPUTED_VALUE"""),123.69)</f>
        <v>123.69</v>
      </c>
      <c r="F5231" s="2">
        <f>IFERROR(__xludf.DUMMYFUNCTION("""COMPUTED_VALUE"""),4322400.0)</f>
        <v>4322400</v>
      </c>
    </row>
    <row r="5232">
      <c r="A5232" s="3">
        <f>IFERROR(__xludf.DUMMYFUNCTION("""COMPUTED_VALUE"""),36780.666666666664)</f>
        <v>36780.66667</v>
      </c>
      <c r="B5232" s="2">
        <f>IFERROR(__xludf.DUMMYFUNCTION("""COMPUTED_VALUE"""),122.14)</f>
        <v>122.14</v>
      </c>
      <c r="C5232" s="2">
        <f>IFERROR(__xludf.DUMMYFUNCTION("""COMPUTED_VALUE"""),122.2)</f>
        <v>122.2</v>
      </c>
      <c r="D5232" s="2">
        <f>IFERROR(__xludf.DUMMYFUNCTION("""COMPUTED_VALUE"""),118.38)</f>
        <v>118.38</v>
      </c>
      <c r="E5232" s="2">
        <f>IFERROR(__xludf.DUMMYFUNCTION("""COMPUTED_VALUE"""),119.16)</f>
        <v>119.16</v>
      </c>
      <c r="F5232" s="2">
        <f>IFERROR(__xludf.DUMMYFUNCTION("""COMPUTED_VALUE"""),6403800.0)</f>
        <v>6403800</v>
      </c>
    </row>
    <row r="5233">
      <c r="A5233" s="3">
        <f>IFERROR(__xludf.DUMMYFUNCTION("""COMPUTED_VALUE"""),36781.666666666664)</f>
        <v>36781.66667</v>
      </c>
      <c r="B5233" s="2">
        <f>IFERROR(__xludf.DUMMYFUNCTION("""COMPUTED_VALUE"""),119.22)</f>
        <v>119.22</v>
      </c>
      <c r="C5233" s="2">
        <f>IFERROR(__xludf.DUMMYFUNCTION("""COMPUTED_VALUE"""),121.19)</f>
        <v>121.19</v>
      </c>
      <c r="D5233" s="2">
        <f>IFERROR(__xludf.DUMMYFUNCTION("""COMPUTED_VALUE"""),118.5)</f>
        <v>118.5</v>
      </c>
      <c r="E5233" s="2">
        <f>IFERROR(__xludf.DUMMYFUNCTION("""COMPUTED_VALUE"""),119.4)</f>
        <v>119.4</v>
      </c>
      <c r="F5233" s="2">
        <f>IFERROR(__xludf.DUMMYFUNCTION("""COMPUTED_VALUE"""),4302900.0)</f>
        <v>4302900</v>
      </c>
    </row>
    <row r="5234">
      <c r="A5234" s="3">
        <f>IFERROR(__xludf.DUMMYFUNCTION("""COMPUTED_VALUE"""),36782.666666666664)</f>
        <v>36782.66667</v>
      </c>
      <c r="B5234" s="2">
        <f>IFERROR(__xludf.DUMMYFUNCTION("""COMPUTED_VALUE"""),117.6)</f>
        <v>117.6</v>
      </c>
      <c r="C5234" s="2">
        <f>IFERROR(__xludf.DUMMYFUNCTION("""COMPUTED_VALUE"""),123.04)</f>
        <v>123.04</v>
      </c>
      <c r="D5234" s="2">
        <f>IFERROR(__xludf.DUMMYFUNCTION("""COMPUTED_VALUE"""),117.49)</f>
        <v>117.49</v>
      </c>
      <c r="E5234" s="2">
        <f>IFERROR(__xludf.DUMMYFUNCTION("""COMPUTED_VALUE"""),121.6)</f>
        <v>121.6</v>
      </c>
      <c r="F5234" s="2">
        <f>IFERROR(__xludf.DUMMYFUNCTION("""COMPUTED_VALUE"""),4749000.0)</f>
        <v>4749000</v>
      </c>
    </row>
    <row r="5235">
      <c r="A5235" s="3">
        <f>IFERROR(__xludf.DUMMYFUNCTION("""COMPUTED_VALUE"""),36783.666666666664)</f>
        <v>36783.66667</v>
      </c>
      <c r="B5235" s="2">
        <f>IFERROR(__xludf.DUMMYFUNCTION("""COMPUTED_VALUE"""),122.26)</f>
        <v>122.26</v>
      </c>
      <c r="C5235" s="2">
        <f>IFERROR(__xludf.DUMMYFUNCTION("""COMPUTED_VALUE"""),123.4)</f>
        <v>123.4</v>
      </c>
      <c r="D5235" s="2">
        <f>IFERROR(__xludf.DUMMYFUNCTION("""COMPUTED_VALUE"""),120.65)</f>
        <v>120.65</v>
      </c>
      <c r="E5235" s="2">
        <f>IFERROR(__xludf.DUMMYFUNCTION("""COMPUTED_VALUE"""),121.19)</f>
        <v>121.19</v>
      </c>
      <c r="F5235" s="2">
        <f>IFERROR(__xludf.DUMMYFUNCTION("""COMPUTED_VALUE"""),3818300.0)</f>
        <v>3818300</v>
      </c>
    </row>
    <row r="5236">
      <c r="A5236" s="3">
        <f>IFERROR(__xludf.DUMMYFUNCTION("""COMPUTED_VALUE"""),36784.666666666664)</f>
        <v>36784.66667</v>
      </c>
      <c r="B5236" s="2">
        <f>IFERROR(__xludf.DUMMYFUNCTION("""COMPUTED_VALUE"""),121.13)</f>
        <v>121.13</v>
      </c>
      <c r="C5236" s="2">
        <f>IFERROR(__xludf.DUMMYFUNCTION("""COMPUTED_VALUE"""),121.19)</f>
        <v>121.19</v>
      </c>
      <c r="D5236" s="2">
        <f>IFERROR(__xludf.DUMMYFUNCTION("""COMPUTED_VALUE"""),119.22)</f>
        <v>119.22</v>
      </c>
      <c r="E5236" s="2">
        <f>IFERROR(__xludf.DUMMYFUNCTION("""COMPUTED_VALUE"""),119.22)</f>
        <v>119.22</v>
      </c>
      <c r="F5236" s="2">
        <f>IFERROR(__xludf.DUMMYFUNCTION("""COMPUTED_VALUE"""),5127700.0)</f>
        <v>5127700</v>
      </c>
    </row>
    <row r="5237">
      <c r="A5237" s="3">
        <f>IFERROR(__xludf.DUMMYFUNCTION("""COMPUTED_VALUE"""),36787.666666666664)</f>
        <v>36787.66667</v>
      </c>
      <c r="B5237" s="2">
        <f>IFERROR(__xludf.DUMMYFUNCTION("""COMPUTED_VALUE"""),119.63)</f>
        <v>119.63</v>
      </c>
      <c r="C5237" s="2">
        <f>IFERROR(__xludf.DUMMYFUNCTION("""COMPUTED_VALUE"""),120.35)</f>
        <v>120.35</v>
      </c>
      <c r="D5237" s="2">
        <f>IFERROR(__xludf.DUMMYFUNCTION("""COMPUTED_VALUE"""),117.54)</f>
        <v>117.54</v>
      </c>
      <c r="E5237" s="2">
        <f>IFERROR(__xludf.DUMMYFUNCTION("""COMPUTED_VALUE"""),117.72)</f>
        <v>117.72</v>
      </c>
      <c r="F5237" s="2">
        <f>IFERROR(__xludf.DUMMYFUNCTION("""COMPUTED_VALUE"""),3274500.0)</f>
        <v>3274500</v>
      </c>
    </row>
    <row r="5238">
      <c r="A5238" s="3">
        <f>IFERROR(__xludf.DUMMYFUNCTION("""COMPUTED_VALUE"""),36788.666666666664)</f>
        <v>36788.66667</v>
      </c>
      <c r="B5238" s="2">
        <f>IFERROR(__xludf.DUMMYFUNCTION("""COMPUTED_VALUE"""),117.25)</f>
        <v>117.25</v>
      </c>
      <c r="C5238" s="2">
        <f>IFERROR(__xludf.DUMMYFUNCTION("""COMPUTED_VALUE"""),120.59)</f>
        <v>120.59</v>
      </c>
      <c r="D5238" s="2">
        <f>IFERROR(__xludf.DUMMYFUNCTION("""COMPUTED_VALUE"""),117.07)</f>
        <v>117.07</v>
      </c>
      <c r="E5238" s="2">
        <f>IFERROR(__xludf.DUMMYFUNCTION("""COMPUTED_VALUE"""),119.51)</f>
        <v>119.51</v>
      </c>
      <c r="F5238" s="2">
        <f>IFERROR(__xludf.DUMMYFUNCTION("""COMPUTED_VALUE"""),2805100.0)</f>
        <v>2805100</v>
      </c>
    </row>
    <row r="5239">
      <c r="A5239" s="3">
        <f>IFERROR(__xludf.DUMMYFUNCTION("""COMPUTED_VALUE"""),36789.666666666664)</f>
        <v>36789.66667</v>
      </c>
      <c r="B5239" s="2">
        <f>IFERROR(__xludf.DUMMYFUNCTION("""COMPUTED_VALUE"""),119.1)</f>
        <v>119.1</v>
      </c>
      <c r="C5239" s="2">
        <f>IFERROR(__xludf.DUMMYFUNCTION("""COMPUTED_VALUE"""),120.89)</f>
        <v>120.89</v>
      </c>
      <c r="D5239" s="2">
        <f>IFERROR(__xludf.DUMMYFUNCTION("""COMPUTED_VALUE"""),117.96)</f>
        <v>117.96</v>
      </c>
      <c r="E5239" s="2">
        <f>IFERROR(__xludf.DUMMYFUNCTION("""COMPUTED_VALUE"""),118.8)</f>
        <v>118.8</v>
      </c>
      <c r="F5239" s="2">
        <f>IFERROR(__xludf.DUMMYFUNCTION("""COMPUTED_VALUE"""),4097600.0)</f>
        <v>4097600</v>
      </c>
    </row>
    <row r="5240">
      <c r="A5240" s="3">
        <f>IFERROR(__xludf.DUMMYFUNCTION("""COMPUTED_VALUE"""),36790.666666666664)</f>
        <v>36790.66667</v>
      </c>
      <c r="B5240" s="2">
        <f>IFERROR(__xludf.DUMMYFUNCTION("""COMPUTED_VALUE"""),118.62)</f>
        <v>118.62</v>
      </c>
      <c r="C5240" s="2">
        <f>IFERROR(__xludf.DUMMYFUNCTION("""COMPUTED_VALUE"""),121.01)</f>
        <v>121.01</v>
      </c>
      <c r="D5240" s="2">
        <f>IFERROR(__xludf.DUMMYFUNCTION("""COMPUTED_VALUE"""),118.5)</f>
        <v>118.5</v>
      </c>
      <c r="E5240" s="2">
        <f>IFERROR(__xludf.DUMMYFUNCTION("""COMPUTED_VALUE"""),120.41)</f>
        <v>120.41</v>
      </c>
      <c r="F5240" s="2">
        <f>IFERROR(__xludf.DUMMYFUNCTION("""COMPUTED_VALUE"""),3615300.0)</f>
        <v>3615300</v>
      </c>
    </row>
    <row r="5241">
      <c r="A5241" s="3">
        <f>IFERROR(__xludf.DUMMYFUNCTION("""COMPUTED_VALUE"""),36791.666666666664)</f>
        <v>36791.66667</v>
      </c>
      <c r="B5241" s="2">
        <f>IFERROR(__xludf.DUMMYFUNCTION("""COMPUTED_VALUE"""),117.25)</f>
        <v>117.25</v>
      </c>
      <c r="C5241" s="2">
        <f>IFERROR(__xludf.DUMMYFUNCTION("""COMPUTED_VALUE"""),118.74)</f>
        <v>118.74</v>
      </c>
      <c r="D5241" s="2">
        <f>IFERROR(__xludf.DUMMYFUNCTION("""COMPUTED_VALUE"""),115.87)</f>
        <v>115.87</v>
      </c>
      <c r="E5241" s="2">
        <f>IFERROR(__xludf.DUMMYFUNCTION("""COMPUTED_VALUE"""),118.44)</f>
        <v>118.44</v>
      </c>
      <c r="F5241" s="2">
        <f>IFERROR(__xludf.DUMMYFUNCTION("""COMPUTED_VALUE"""),5068500.0)</f>
        <v>5068500</v>
      </c>
    </row>
    <row r="5242">
      <c r="A5242" s="3">
        <f>IFERROR(__xludf.DUMMYFUNCTION("""COMPUTED_VALUE"""),36794.666666666664)</f>
        <v>36794.66667</v>
      </c>
      <c r="B5242" s="2">
        <f>IFERROR(__xludf.DUMMYFUNCTION("""COMPUTED_VALUE"""),118.92)</f>
        <v>118.92</v>
      </c>
      <c r="C5242" s="2">
        <f>IFERROR(__xludf.DUMMYFUNCTION("""COMPUTED_VALUE"""),120.89)</f>
        <v>120.89</v>
      </c>
      <c r="D5242" s="2">
        <f>IFERROR(__xludf.DUMMYFUNCTION("""COMPUTED_VALUE"""),115.57)</f>
        <v>115.57</v>
      </c>
      <c r="E5242" s="2">
        <f>IFERROR(__xludf.DUMMYFUNCTION("""COMPUTED_VALUE"""),116.23)</f>
        <v>116.23</v>
      </c>
      <c r="F5242" s="2">
        <f>IFERROR(__xludf.DUMMYFUNCTION("""COMPUTED_VALUE"""),3689600.0)</f>
        <v>3689600</v>
      </c>
    </row>
    <row r="5243">
      <c r="A5243" s="3">
        <f>IFERROR(__xludf.DUMMYFUNCTION("""COMPUTED_VALUE"""),36795.666666666664)</f>
        <v>36795.66667</v>
      </c>
      <c r="B5243" s="2">
        <f>IFERROR(__xludf.DUMMYFUNCTION("""COMPUTED_VALUE"""),114.62)</f>
        <v>114.62</v>
      </c>
      <c r="C5243" s="2">
        <f>IFERROR(__xludf.DUMMYFUNCTION("""COMPUTED_VALUE"""),116.41)</f>
        <v>116.41</v>
      </c>
      <c r="D5243" s="2">
        <f>IFERROR(__xludf.DUMMYFUNCTION("""COMPUTED_VALUE"""),113.07)</f>
        <v>113.07</v>
      </c>
      <c r="E5243" s="2">
        <f>IFERROR(__xludf.DUMMYFUNCTION("""COMPUTED_VALUE"""),113.96)</f>
        <v>113.96</v>
      </c>
      <c r="F5243" s="2">
        <f>IFERROR(__xludf.DUMMYFUNCTION("""COMPUTED_VALUE"""),5343200.0)</f>
        <v>5343200</v>
      </c>
    </row>
    <row r="5244">
      <c r="A5244" s="3">
        <f>IFERROR(__xludf.DUMMYFUNCTION("""COMPUTED_VALUE"""),36796.666666666664)</f>
        <v>36796.66667</v>
      </c>
      <c r="B5244" s="2">
        <f>IFERROR(__xludf.DUMMYFUNCTION("""COMPUTED_VALUE"""),114.68)</f>
        <v>114.68</v>
      </c>
      <c r="C5244" s="2">
        <f>IFERROR(__xludf.DUMMYFUNCTION("""COMPUTED_VALUE"""),114.92)</f>
        <v>114.92</v>
      </c>
      <c r="D5244" s="2">
        <f>IFERROR(__xludf.DUMMYFUNCTION("""COMPUTED_VALUE"""),110.32)</f>
        <v>110.32</v>
      </c>
      <c r="E5244" s="2">
        <f>IFERROR(__xludf.DUMMYFUNCTION("""COMPUTED_VALUE"""),112.71)</f>
        <v>112.71</v>
      </c>
      <c r="F5244" s="2">
        <f>IFERROR(__xludf.DUMMYFUNCTION("""COMPUTED_VALUE"""),5091300.0)</f>
        <v>5091300</v>
      </c>
    </row>
    <row r="5245">
      <c r="A5245" s="3">
        <f>IFERROR(__xludf.DUMMYFUNCTION("""COMPUTED_VALUE"""),36797.666666666664)</f>
        <v>36797.66667</v>
      </c>
      <c r="B5245" s="2">
        <f>IFERROR(__xludf.DUMMYFUNCTION("""COMPUTED_VALUE"""),112.11)</f>
        <v>112.11</v>
      </c>
      <c r="C5245" s="2">
        <f>IFERROR(__xludf.DUMMYFUNCTION("""COMPUTED_VALUE"""),113.13)</f>
        <v>113.13</v>
      </c>
      <c r="D5245" s="2">
        <f>IFERROR(__xludf.DUMMYFUNCTION("""COMPUTED_VALUE"""),110.5)</f>
        <v>110.5</v>
      </c>
      <c r="E5245" s="2">
        <f>IFERROR(__xludf.DUMMYFUNCTION("""COMPUTED_VALUE"""),112.65)</f>
        <v>112.65</v>
      </c>
      <c r="F5245" s="2">
        <f>IFERROR(__xludf.DUMMYFUNCTION("""COMPUTED_VALUE"""),4585400.0)</f>
        <v>4585400</v>
      </c>
    </row>
    <row r="5246">
      <c r="A5246" s="3">
        <f>IFERROR(__xludf.DUMMYFUNCTION("""COMPUTED_VALUE"""),36798.666666666664)</f>
        <v>36798.66667</v>
      </c>
      <c r="B5246" s="2">
        <f>IFERROR(__xludf.DUMMYFUNCTION("""COMPUTED_VALUE"""),110.32)</f>
        <v>110.32</v>
      </c>
      <c r="C5246" s="2">
        <f>IFERROR(__xludf.DUMMYFUNCTION("""COMPUTED_VALUE"""),111.69)</f>
        <v>111.69</v>
      </c>
      <c r="D5246" s="2">
        <f>IFERROR(__xludf.DUMMYFUNCTION("""COMPUTED_VALUE"""),105.31)</f>
        <v>105.31</v>
      </c>
      <c r="E5246" s="2">
        <f>IFERROR(__xludf.DUMMYFUNCTION("""COMPUTED_VALUE"""),107.46)</f>
        <v>107.46</v>
      </c>
      <c r="F5246" s="2">
        <f>IFERROR(__xludf.DUMMYFUNCTION("""COMPUTED_VALUE"""),7918800.0)</f>
        <v>7918800</v>
      </c>
    </row>
    <row r="5247">
      <c r="A5247" s="3">
        <f>IFERROR(__xludf.DUMMYFUNCTION("""COMPUTED_VALUE"""),36801.666666666664)</f>
        <v>36801.66667</v>
      </c>
      <c r="B5247" s="2">
        <f>IFERROR(__xludf.DUMMYFUNCTION("""COMPUTED_VALUE"""),107.58)</f>
        <v>107.58</v>
      </c>
      <c r="C5247" s="2">
        <f>IFERROR(__xludf.DUMMYFUNCTION("""COMPUTED_VALUE"""),114.26)</f>
        <v>114.26</v>
      </c>
      <c r="D5247" s="2">
        <f>IFERROR(__xludf.DUMMYFUNCTION("""COMPUTED_VALUE"""),107.58)</f>
        <v>107.58</v>
      </c>
      <c r="E5247" s="2">
        <f>IFERROR(__xludf.DUMMYFUNCTION("""COMPUTED_VALUE"""),112.53)</f>
        <v>112.53</v>
      </c>
      <c r="F5247" s="2">
        <f>IFERROR(__xludf.DUMMYFUNCTION("""COMPUTED_VALUE"""),7814600.0)</f>
        <v>7814600</v>
      </c>
    </row>
    <row r="5248">
      <c r="A5248" s="3">
        <f>IFERROR(__xludf.DUMMYFUNCTION("""COMPUTED_VALUE"""),36802.666666666664)</f>
        <v>36802.66667</v>
      </c>
      <c r="B5248" s="2">
        <f>IFERROR(__xludf.DUMMYFUNCTION("""COMPUTED_VALUE"""),113.55)</f>
        <v>113.55</v>
      </c>
      <c r="C5248" s="2">
        <f>IFERROR(__xludf.DUMMYFUNCTION("""COMPUTED_VALUE"""),114.02)</f>
        <v>114.02</v>
      </c>
      <c r="D5248" s="2">
        <f>IFERROR(__xludf.DUMMYFUNCTION("""COMPUTED_VALUE"""),105.07)</f>
        <v>105.07</v>
      </c>
      <c r="E5248" s="2">
        <f>IFERROR(__xludf.DUMMYFUNCTION("""COMPUTED_VALUE"""),105.61)</f>
        <v>105.61</v>
      </c>
      <c r="F5248" s="2">
        <f>IFERROR(__xludf.DUMMYFUNCTION("""COMPUTED_VALUE"""),1.0077E7)</f>
        <v>10077000</v>
      </c>
    </row>
    <row r="5249">
      <c r="A5249" s="3">
        <f>IFERROR(__xludf.DUMMYFUNCTION("""COMPUTED_VALUE"""),36803.666666666664)</f>
        <v>36803.66667</v>
      </c>
      <c r="B5249" s="2">
        <f>IFERROR(__xludf.DUMMYFUNCTION("""COMPUTED_VALUE"""),105.43)</f>
        <v>105.43</v>
      </c>
      <c r="C5249" s="2">
        <f>IFERROR(__xludf.DUMMYFUNCTION("""COMPUTED_VALUE"""),109.72)</f>
        <v>109.72</v>
      </c>
      <c r="D5249" s="2">
        <f>IFERROR(__xludf.DUMMYFUNCTION("""COMPUTED_VALUE"""),103.69)</f>
        <v>103.69</v>
      </c>
      <c r="E5249" s="2">
        <f>IFERROR(__xludf.DUMMYFUNCTION("""COMPUTED_VALUE"""),109.49)</f>
        <v>109.49</v>
      </c>
      <c r="F5249" s="2">
        <f>IFERROR(__xludf.DUMMYFUNCTION("""COMPUTED_VALUE"""),9952100.0)</f>
        <v>9952100</v>
      </c>
    </row>
    <row r="5250">
      <c r="A5250" s="3">
        <f>IFERROR(__xludf.DUMMYFUNCTION("""COMPUTED_VALUE"""),36804.666666666664)</f>
        <v>36804.66667</v>
      </c>
      <c r="B5250" s="2">
        <f>IFERROR(__xludf.DUMMYFUNCTION("""COMPUTED_VALUE"""),108.71)</f>
        <v>108.71</v>
      </c>
      <c r="C5250" s="2">
        <f>IFERROR(__xludf.DUMMYFUNCTION("""COMPUTED_VALUE"""),109.43)</f>
        <v>109.43</v>
      </c>
      <c r="D5250" s="2">
        <f>IFERROR(__xludf.DUMMYFUNCTION("""COMPUTED_VALUE"""),106.56)</f>
        <v>106.56</v>
      </c>
      <c r="E5250" s="2">
        <f>IFERROR(__xludf.DUMMYFUNCTION("""COMPUTED_VALUE"""),108.11)</f>
        <v>108.11</v>
      </c>
      <c r="F5250" s="2">
        <f>IFERROR(__xludf.DUMMYFUNCTION("""COMPUTED_VALUE"""),4884000.0)</f>
        <v>4884000</v>
      </c>
    </row>
    <row r="5251">
      <c r="A5251" s="3">
        <f>IFERROR(__xludf.DUMMYFUNCTION("""COMPUTED_VALUE"""),36805.666666666664)</f>
        <v>36805.66667</v>
      </c>
      <c r="B5251" s="2">
        <f>IFERROR(__xludf.DUMMYFUNCTION("""COMPUTED_VALUE"""),108.89)</f>
        <v>108.89</v>
      </c>
      <c r="C5251" s="2">
        <f>IFERROR(__xludf.DUMMYFUNCTION("""COMPUTED_VALUE"""),110.92)</f>
        <v>110.92</v>
      </c>
      <c r="D5251" s="2">
        <f>IFERROR(__xludf.DUMMYFUNCTION("""COMPUTED_VALUE"""),107.69)</f>
        <v>107.69</v>
      </c>
      <c r="E5251" s="2">
        <f>IFERROR(__xludf.DUMMYFUNCTION("""COMPUTED_VALUE"""),110.8)</f>
        <v>110.8</v>
      </c>
      <c r="F5251" s="2">
        <f>IFERROR(__xludf.DUMMYFUNCTION("""COMPUTED_VALUE"""),5176000.0)</f>
        <v>5176000</v>
      </c>
    </row>
    <row r="5252">
      <c r="A5252" s="3">
        <f>IFERROR(__xludf.DUMMYFUNCTION("""COMPUTED_VALUE"""),36808.666666666664)</f>
        <v>36808.66667</v>
      </c>
      <c r="B5252" s="2">
        <f>IFERROR(__xludf.DUMMYFUNCTION("""COMPUTED_VALUE"""),110.74)</f>
        <v>110.74</v>
      </c>
      <c r="C5252" s="2">
        <f>IFERROR(__xludf.DUMMYFUNCTION("""COMPUTED_VALUE"""),113.84)</f>
        <v>113.84</v>
      </c>
      <c r="D5252" s="2">
        <f>IFERROR(__xludf.DUMMYFUNCTION("""COMPUTED_VALUE"""),109.19)</f>
        <v>109.19</v>
      </c>
      <c r="E5252" s="2">
        <f>IFERROR(__xludf.DUMMYFUNCTION("""COMPUTED_VALUE"""),112.65)</f>
        <v>112.65</v>
      </c>
      <c r="F5252" s="2">
        <f>IFERROR(__xludf.DUMMYFUNCTION("""COMPUTED_VALUE"""),4333400.0)</f>
        <v>4333400</v>
      </c>
    </row>
    <row r="5253">
      <c r="A5253" s="3">
        <f>IFERROR(__xludf.DUMMYFUNCTION("""COMPUTED_VALUE"""),36809.666666666664)</f>
        <v>36809.66667</v>
      </c>
      <c r="B5253" s="2">
        <f>IFERROR(__xludf.DUMMYFUNCTION("""COMPUTED_VALUE"""),111.4)</f>
        <v>111.4</v>
      </c>
      <c r="C5253" s="2">
        <f>IFERROR(__xludf.DUMMYFUNCTION("""COMPUTED_VALUE"""),111.87)</f>
        <v>111.87</v>
      </c>
      <c r="D5253" s="2">
        <f>IFERROR(__xludf.DUMMYFUNCTION("""COMPUTED_VALUE"""),107.4)</f>
        <v>107.4</v>
      </c>
      <c r="E5253" s="2">
        <f>IFERROR(__xludf.DUMMYFUNCTION("""COMPUTED_VALUE"""),109.66)</f>
        <v>109.66</v>
      </c>
      <c r="F5253" s="2">
        <f>IFERROR(__xludf.DUMMYFUNCTION("""COMPUTED_VALUE"""),5104800.0)</f>
        <v>5104800</v>
      </c>
    </row>
    <row r="5254">
      <c r="A5254" s="3">
        <f>IFERROR(__xludf.DUMMYFUNCTION("""COMPUTED_VALUE"""),36810.666666666664)</f>
        <v>36810.66667</v>
      </c>
      <c r="B5254" s="2">
        <f>IFERROR(__xludf.DUMMYFUNCTION("""COMPUTED_VALUE"""),106.86)</f>
        <v>106.86</v>
      </c>
      <c r="C5254" s="2">
        <f>IFERROR(__xludf.DUMMYFUNCTION("""COMPUTED_VALUE"""),107.87)</f>
        <v>107.87</v>
      </c>
      <c r="D5254" s="2">
        <f>IFERROR(__xludf.DUMMYFUNCTION("""COMPUTED_VALUE"""),102.68)</f>
        <v>102.68</v>
      </c>
      <c r="E5254" s="2">
        <f>IFERROR(__xludf.DUMMYFUNCTION("""COMPUTED_VALUE"""),107.75)</f>
        <v>107.75</v>
      </c>
      <c r="F5254" s="2">
        <f>IFERROR(__xludf.DUMMYFUNCTION("""COMPUTED_VALUE"""),7764300.0)</f>
        <v>7764300</v>
      </c>
    </row>
    <row r="5255">
      <c r="A5255" s="3">
        <f>IFERROR(__xludf.DUMMYFUNCTION("""COMPUTED_VALUE"""),36811.666666666664)</f>
        <v>36811.66667</v>
      </c>
      <c r="B5255" s="2">
        <f>IFERROR(__xludf.DUMMYFUNCTION("""COMPUTED_VALUE"""),109.13)</f>
        <v>109.13</v>
      </c>
      <c r="C5255" s="2">
        <f>IFERROR(__xludf.DUMMYFUNCTION("""COMPUTED_VALUE"""),109.25)</f>
        <v>109.25</v>
      </c>
      <c r="D5255" s="2">
        <f>IFERROR(__xludf.DUMMYFUNCTION("""COMPUTED_VALUE"""),99.1)</f>
        <v>99.1</v>
      </c>
      <c r="E5255" s="2">
        <f>IFERROR(__xludf.DUMMYFUNCTION("""COMPUTED_VALUE"""),99.22)</f>
        <v>99.22</v>
      </c>
      <c r="F5255" s="2">
        <f>IFERROR(__xludf.DUMMYFUNCTION("""COMPUTED_VALUE"""),8364500.0)</f>
        <v>8364500</v>
      </c>
    </row>
    <row r="5256">
      <c r="A5256" s="3">
        <f>IFERROR(__xludf.DUMMYFUNCTION("""COMPUTED_VALUE"""),36812.666666666664)</f>
        <v>36812.66667</v>
      </c>
      <c r="B5256" s="2">
        <f>IFERROR(__xludf.DUMMYFUNCTION("""COMPUTED_VALUE"""),99.52)</f>
        <v>99.52</v>
      </c>
      <c r="C5256" s="2">
        <f>IFERROR(__xludf.DUMMYFUNCTION("""COMPUTED_VALUE"""),105.49)</f>
        <v>105.49</v>
      </c>
      <c r="D5256" s="2">
        <f>IFERROR(__xludf.DUMMYFUNCTION("""COMPUTED_VALUE"""),99.52)</f>
        <v>99.52</v>
      </c>
      <c r="E5256" s="2">
        <f>IFERROR(__xludf.DUMMYFUNCTION("""COMPUTED_VALUE"""),104.17)</f>
        <v>104.17</v>
      </c>
      <c r="F5256" s="2">
        <f>IFERROR(__xludf.DUMMYFUNCTION("""COMPUTED_VALUE"""),7597000.0)</f>
        <v>7597000</v>
      </c>
    </row>
    <row r="5257">
      <c r="A5257" s="3">
        <f>IFERROR(__xludf.DUMMYFUNCTION("""COMPUTED_VALUE"""),36815.666666666664)</f>
        <v>36815.66667</v>
      </c>
      <c r="B5257" s="2">
        <f>IFERROR(__xludf.DUMMYFUNCTION("""COMPUTED_VALUE"""),106.5)</f>
        <v>106.5</v>
      </c>
      <c r="C5257" s="2">
        <f>IFERROR(__xludf.DUMMYFUNCTION("""COMPUTED_VALUE"""),107.99)</f>
        <v>107.99</v>
      </c>
      <c r="D5257" s="2">
        <f>IFERROR(__xludf.DUMMYFUNCTION("""COMPUTED_VALUE"""),103.69)</f>
        <v>103.69</v>
      </c>
      <c r="E5257" s="2">
        <f>IFERROR(__xludf.DUMMYFUNCTION("""COMPUTED_VALUE"""),106.14)</f>
        <v>106.14</v>
      </c>
      <c r="F5257" s="2">
        <f>IFERROR(__xludf.DUMMYFUNCTION("""COMPUTED_VALUE"""),6624800.0)</f>
        <v>6624800</v>
      </c>
    </row>
    <row r="5258">
      <c r="A5258" s="3">
        <f>IFERROR(__xludf.DUMMYFUNCTION("""COMPUTED_VALUE"""),36816.666666666664)</f>
        <v>36816.66667</v>
      </c>
      <c r="B5258" s="2">
        <f>IFERROR(__xludf.DUMMYFUNCTION("""COMPUTED_VALUE"""),106.92)</f>
        <v>106.92</v>
      </c>
      <c r="C5258" s="2">
        <f>IFERROR(__xludf.DUMMYFUNCTION("""COMPUTED_VALUE"""),108.71)</f>
        <v>108.71</v>
      </c>
      <c r="D5258" s="2">
        <f>IFERROR(__xludf.DUMMYFUNCTION("""COMPUTED_VALUE"""),103.69)</f>
        <v>103.69</v>
      </c>
      <c r="E5258" s="2">
        <f>IFERROR(__xludf.DUMMYFUNCTION("""COMPUTED_VALUE"""),107.93)</f>
        <v>107.93</v>
      </c>
      <c r="F5258" s="2">
        <f>IFERROR(__xludf.DUMMYFUNCTION("""COMPUTED_VALUE"""),6944000.0)</f>
        <v>6944000</v>
      </c>
    </row>
    <row r="5259">
      <c r="A5259" s="3">
        <f>IFERROR(__xludf.DUMMYFUNCTION("""COMPUTED_VALUE"""),36817.666666666664)</f>
        <v>36817.66667</v>
      </c>
      <c r="B5259" s="2">
        <f>IFERROR(__xludf.DUMMYFUNCTION("""COMPUTED_VALUE"""),86.2)</f>
        <v>86.2</v>
      </c>
      <c r="C5259" s="2">
        <f>IFERROR(__xludf.DUMMYFUNCTION("""COMPUTED_VALUE"""),93.61)</f>
        <v>93.61</v>
      </c>
      <c r="D5259" s="2">
        <f>IFERROR(__xludf.DUMMYFUNCTION("""COMPUTED_VALUE"""),86.2)</f>
        <v>86.2</v>
      </c>
      <c r="E5259" s="2">
        <f>IFERROR(__xludf.DUMMYFUNCTION("""COMPUTED_VALUE"""),91.22)</f>
        <v>91.22</v>
      </c>
      <c r="F5259" s="2">
        <f>IFERROR(__xludf.DUMMYFUNCTION("""COMPUTED_VALUE"""),2.42242E7)</f>
        <v>24224200</v>
      </c>
    </row>
    <row r="5260">
      <c r="A5260" s="3">
        <f>IFERROR(__xludf.DUMMYFUNCTION("""COMPUTED_VALUE"""),36818.666666666664)</f>
        <v>36818.66667</v>
      </c>
      <c r="B5260" s="2">
        <f>IFERROR(__xludf.DUMMYFUNCTION("""COMPUTED_VALUE"""),93.61)</f>
        <v>93.61</v>
      </c>
      <c r="C5260" s="2">
        <f>IFERROR(__xludf.DUMMYFUNCTION("""COMPUTED_VALUE"""),94.02)</f>
        <v>94.02</v>
      </c>
      <c r="D5260" s="2">
        <f>IFERROR(__xludf.DUMMYFUNCTION("""COMPUTED_VALUE"""),88.53)</f>
        <v>88.53</v>
      </c>
      <c r="E5260" s="2">
        <f>IFERROR(__xludf.DUMMYFUNCTION("""COMPUTED_VALUE"""),92.11)</f>
        <v>92.11</v>
      </c>
      <c r="F5260" s="2">
        <f>IFERROR(__xludf.DUMMYFUNCTION("""COMPUTED_VALUE"""),1.35589E7)</f>
        <v>13558900</v>
      </c>
    </row>
    <row r="5261">
      <c r="A5261" s="3">
        <f>IFERROR(__xludf.DUMMYFUNCTION("""COMPUTED_VALUE"""),36819.666666666664)</f>
        <v>36819.66667</v>
      </c>
      <c r="B5261" s="2">
        <f>IFERROR(__xludf.DUMMYFUNCTION("""COMPUTED_VALUE"""),90.86)</f>
        <v>90.86</v>
      </c>
      <c r="C5261" s="2">
        <f>IFERROR(__xludf.DUMMYFUNCTION("""COMPUTED_VALUE"""),91.93)</f>
        <v>91.93</v>
      </c>
      <c r="D5261" s="2">
        <f>IFERROR(__xludf.DUMMYFUNCTION("""COMPUTED_VALUE"""),89.96)</f>
        <v>89.96</v>
      </c>
      <c r="E5261" s="2">
        <f>IFERROR(__xludf.DUMMYFUNCTION("""COMPUTED_VALUE"""),90.5)</f>
        <v>90.5</v>
      </c>
      <c r="F5261" s="2">
        <f>IFERROR(__xludf.DUMMYFUNCTION("""COMPUTED_VALUE"""),7437500.0)</f>
        <v>7437500</v>
      </c>
    </row>
    <row r="5262">
      <c r="A5262" s="3">
        <f>IFERROR(__xludf.DUMMYFUNCTION("""COMPUTED_VALUE"""),36822.666666666664)</f>
        <v>36822.66667</v>
      </c>
      <c r="B5262" s="2">
        <f>IFERROR(__xludf.DUMMYFUNCTION("""COMPUTED_VALUE"""),90.68)</f>
        <v>90.68</v>
      </c>
      <c r="C5262" s="2">
        <f>IFERROR(__xludf.DUMMYFUNCTION("""COMPUTED_VALUE"""),90.68)</f>
        <v>90.68</v>
      </c>
      <c r="D5262" s="2">
        <f>IFERROR(__xludf.DUMMYFUNCTION("""COMPUTED_VALUE"""),86.98)</f>
        <v>86.98</v>
      </c>
      <c r="E5262" s="2">
        <f>IFERROR(__xludf.DUMMYFUNCTION("""COMPUTED_VALUE"""),88.71)</f>
        <v>88.71</v>
      </c>
      <c r="F5262" s="2">
        <f>IFERROR(__xludf.DUMMYFUNCTION("""COMPUTED_VALUE"""),6960300.0)</f>
        <v>6960300</v>
      </c>
    </row>
    <row r="5263">
      <c r="A5263" s="3">
        <f>IFERROR(__xludf.DUMMYFUNCTION("""COMPUTED_VALUE"""),36823.666666666664)</f>
        <v>36823.66667</v>
      </c>
      <c r="B5263" s="2">
        <f>IFERROR(__xludf.DUMMYFUNCTION("""COMPUTED_VALUE"""),88.83)</f>
        <v>88.83</v>
      </c>
      <c r="C5263" s="2">
        <f>IFERROR(__xludf.DUMMYFUNCTION("""COMPUTED_VALUE"""),89.79)</f>
        <v>89.79</v>
      </c>
      <c r="D5263" s="2">
        <f>IFERROR(__xludf.DUMMYFUNCTION("""COMPUTED_VALUE"""),86.14)</f>
        <v>86.14</v>
      </c>
      <c r="E5263" s="2">
        <f>IFERROR(__xludf.DUMMYFUNCTION("""COMPUTED_VALUE"""),87.34)</f>
        <v>87.34</v>
      </c>
      <c r="F5263" s="2">
        <f>IFERROR(__xludf.DUMMYFUNCTION("""COMPUTED_VALUE"""),6998500.0)</f>
        <v>6998500</v>
      </c>
    </row>
    <row r="5264">
      <c r="A5264" s="3">
        <f>IFERROR(__xludf.DUMMYFUNCTION("""COMPUTED_VALUE"""),36824.666666666664)</f>
        <v>36824.66667</v>
      </c>
      <c r="B5264" s="2">
        <f>IFERROR(__xludf.DUMMYFUNCTION("""COMPUTED_VALUE"""),86.44)</f>
        <v>86.44</v>
      </c>
      <c r="C5264" s="2">
        <f>IFERROR(__xludf.DUMMYFUNCTION("""COMPUTED_VALUE"""),86.86)</f>
        <v>86.86</v>
      </c>
      <c r="D5264" s="2">
        <f>IFERROR(__xludf.DUMMYFUNCTION("""COMPUTED_VALUE"""),83.1)</f>
        <v>83.1</v>
      </c>
      <c r="E5264" s="2">
        <f>IFERROR(__xludf.DUMMYFUNCTION("""COMPUTED_VALUE"""),83.64)</f>
        <v>83.64</v>
      </c>
      <c r="F5264" s="2">
        <f>IFERROR(__xludf.DUMMYFUNCTION("""COMPUTED_VALUE"""),1.16083E7)</f>
        <v>11608300</v>
      </c>
    </row>
    <row r="5265">
      <c r="A5265" s="3">
        <f>IFERROR(__xludf.DUMMYFUNCTION("""COMPUTED_VALUE"""),36825.666666666664)</f>
        <v>36825.66667</v>
      </c>
      <c r="B5265" s="2">
        <f>IFERROR(__xludf.DUMMYFUNCTION("""COMPUTED_VALUE"""),84.05)</f>
        <v>84.05</v>
      </c>
      <c r="C5265" s="2">
        <f>IFERROR(__xludf.DUMMYFUNCTION("""COMPUTED_VALUE"""),88.71)</f>
        <v>88.71</v>
      </c>
      <c r="D5265" s="2">
        <f>IFERROR(__xludf.DUMMYFUNCTION("""COMPUTED_VALUE"""),83.7)</f>
        <v>83.7</v>
      </c>
      <c r="E5265" s="2">
        <f>IFERROR(__xludf.DUMMYFUNCTION("""COMPUTED_VALUE"""),88.59)</f>
        <v>88.59</v>
      </c>
      <c r="F5265" s="2">
        <f>IFERROR(__xludf.DUMMYFUNCTION("""COMPUTED_VALUE"""),8012300.0)</f>
        <v>8012300</v>
      </c>
    </row>
    <row r="5266">
      <c r="A5266" s="3">
        <f>IFERROR(__xludf.DUMMYFUNCTION("""COMPUTED_VALUE"""),36826.666666666664)</f>
        <v>36826.66667</v>
      </c>
      <c r="B5266" s="2">
        <f>IFERROR(__xludf.DUMMYFUNCTION("""COMPUTED_VALUE"""),88.83)</f>
        <v>88.83</v>
      </c>
      <c r="C5266" s="2">
        <f>IFERROR(__xludf.DUMMYFUNCTION("""COMPUTED_VALUE"""),89.49)</f>
        <v>89.49</v>
      </c>
      <c r="D5266" s="2">
        <f>IFERROR(__xludf.DUMMYFUNCTION("""COMPUTED_VALUE"""),86.92)</f>
        <v>86.92</v>
      </c>
      <c r="E5266" s="2">
        <f>IFERROR(__xludf.DUMMYFUNCTION("""COMPUTED_VALUE"""),89.49)</f>
        <v>89.49</v>
      </c>
      <c r="F5266" s="2">
        <f>IFERROR(__xludf.DUMMYFUNCTION("""COMPUTED_VALUE"""),5136700.0)</f>
        <v>5136700</v>
      </c>
    </row>
    <row r="5267">
      <c r="A5267" s="3">
        <f>IFERROR(__xludf.DUMMYFUNCTION("""COMPUTED_VALUE"""),36829.666666666664)</f>
        <v>36829.66667</v>
      </c>
      <c r="B5267" s="2">
        <f>IFERROR(__xludf.DUMMYFUNCTION("""COMPUTED_VALUE"""),89.31)</f>
        <v>89.31</v>
      </c>
      <c r="C5267" s="2">
        <f>IFERROR(__xludf.DUMMYFUNCTION("""COMPUTED_VALUE"""),89.55)</f>
        <v>89.55</v>
      </c>
      <c r="D5267" s="2">
        <f>IFERROR(__xludf.DUMMYFUNCTION("""COMPUTED_VALUE"""),86.26)</f>
        <v>86.26</v>
      </c>
      <c r="E5267" s="2">
        <f>IFERROR(__xludf.DUMMYFUNCTION("""COMPUTED_VALUE"""),89.13)</f>
        <v>89.13</v>
      </c>
      <c r="F5267" s="2">
        <f>IFERROR(__xludf.DUMMYFUNCTION("""COMPUTED_VALUE"""),5803600.0)</f>
        <v>5803600</v>
      </c>
    </row>
    <row r="5268">
      <c r="A5268" s="3">
        <f>IFERROR(__xludf.DUMMYFUNCTION("""COMPUTED_VALUE"""),36830.666666666664)</f>
        <v>36830.66667</v>
      </c>
      <c r="B5268" s="2">
        <f>IFERROR(__xludf.DUMMYFUNCTION("""COMPUTED_VALUE"""),89.55)</f>
        <v>89.55</v>
      </c>
      <c r="C5268" s="2">
        <f>IFERROR(__xludf.DUMMYFUNCTION("""COMPUTED_VALUE"""),94.68)</f>
        <v>94.68</v>
      </c>
      <c r="D5268" s="2">
        <f>IFERROR(__xludf.DUMMYFUNCTION("""COMPUTED_VALUE"""),89.55)</f>
        <v>89.55</v>
      </c>
      <c r="E5268" s="2">
        <f>IFERROR(__xludf.DUMMYFUNCTION("""COMPUTED_VALUE"""),94.08)</f>
        <v>94.08</v>
      </c>
      <c r="F5268" s="2">
        <f>IFERROR(__xludf.DUMMYFUNCTION("""COMPUTED_VALUE"""),9340600.0)</f>
        <v>9340600</v>
      </c>
    </row>
    <row r="5269">
      <c r="A5269" s="3">
        <f>IFERROR(__xludf.DUMMYFUNCTION("""COMPUTED_VALUE"""),36831.666666666664)</f>
        <v>36831.66667</v>
      </c>
      <c r="B5269" s="2">
        <f>IFERROR(__xludf.DUMMYFUNCTION("""COMPUTED_VALUE"""),94.02)</f>
        <v>94.02</v>
      </c>
      <c r="C5269" s="2">
        <f>IFERROR(__xludf.DUMMYFUNCTION("""COMPUTED_VALUE"""),95.4)</f>
        <v>95.4</v>
      </c>
      <c r="D5269" s="2">
        <f>IFERROR(__xludf.DUMMYFUNCTION("""COMPUTED_VALUE"""),92.89)</f>
        <v>92.89</v>
      </c>
      <c r="E5269" s="2">
        <f>IFERROR(__xludf.DUMMYFUNCTION("""COMPUTED_VALUE"""),94.14)</f>
        <v>94.14</v>
      </c>
      <c r="F5269" s="2">
        <f>IFERROR(__xludf.DUMMYFUNCTION("""COMPUTED_VALUE"""),6214600.0)</f>
        <v>6214600</v>
      </c>
    </row>
    <row r="5270">
      <c r="A5270" s="3">
        <f>IFERROR(__xludf.DUMMYFUNCTION("""COMPUTED_VALUE"""),36832.666666666664)</f>
        <v>36832.66667</v>
      </c>
      <c r="B5270" s="2">
        <f>IFERROR(__xludf.DUMMYFUNCTION("""COMPUTED_VALUE"""),94.56)</f>
        <v>94.56</v>
      </c>
      <c r="C5270" s="2">
        <f>IFERROR(__xludf.DUMMYFUNCTION("""COMPUTED_VALUE"""),97.73)</f>
        <v>97.73</v>
      </c>
      <c r="D5270" s="2">
        <f>IFERROR(__xludf.DUMMYFUNCTION("""COMPUTED_VALUE"""),94.14)</f>
        <v>94.14</v>
      </c>
      <c r="E5270" s="2">
        <f>IFERROR(__xludf.DUMMYFUNCTION("""COMPUTED_VALUE"""),97.37)</f>
        <v>97.37</v>
      </c>
      <c r="F5270" s="2">
        <f>IFERROR(__xludf.DUMMYFUNCTION("""COMPUTED_VALUE"""),6025900.0)</f>
        <v>6025900</v>
      </c>
    </row>
    <row r="5271">
      <c r="A5271" s="3">
        <f>IFERROR(__xludf.DUMMYFUNCTION("""COMPUTED_VALUE"""),36833.666666666664)</f>
        <v>36833.66667</v>
      </c>
      <c r="B5271" s="2">
        <f>IFERROR(__xludf.DUMMYFUNCTION("""COMPUTED_VALUE"""),97.9)</f>
        <v>97.9</v>
      </c>
      <c r="C5271" s="2">
        <f>IFERROR(__xludf.DUMMYFUNCTION("""COMPUTED_VALUE"""),97.9)</f>
        <v>97.9</v>
      </c>
      <c r="D5271" s="2">
        <f>IFERROR(__xludf.DUMMYFUNCTION("""COMPUTED_VALUE"""),94.92)</f>
        <v>94.92</v>
      </c>
      <c r="E5271" s="2">
        <f>IFERROR(__xludf.DUMMYFUNCTION("""COMPUTED_VALUE"""),95.64)</f>
        <v>95.64</v>
      </c>
      <c r="F5271" s="2">
        <f>IFERROR(__xludf.DUMMYFUNCTION("""COMPUTED_VALUE"""),4951600.0)</f>
        <v>4951600</v>
      </c>
    </row>
    <row r="5272">
      <c r="A5272" s="3">
        <f>IFERROR(__xludf.DUMMYFUNCTION("""COMPUTED_VALUE"""),36836.666666666664)</f>
        <v>36836.66667</v>
      </c>
      <c r="B5272" s="2">
        <f>IFERROR(__xludf.DUMMYFUNCTION("""COMPUTED_VALUE"""),95.4)</f>
        <v>95.4</v>
      </c>
      <c r="C5272" s="2">
        <f>IFERROR(__xludf.DUMMYFUNCTION("""COMPUTED_VALUE"""),97.78)</f>
        <v>97.78</v>
      </c>
      <c r="D5272" s="2">
        <f>IFERROR(__xludf.DUMMYFUNCTION("""COMPUTED_VALUE"""),94.98)</f>
        <v>94.98</v>
      </c>
      <c r="E5272" s="2">
        <f>IFERROR(__xludf.DUMMYFUNCTION("""COMPUTED_VALUE"""),95.81)</f>
        <v>95.81</v>
      </c>
      <c r="F5272" s="2">
        <f>IFERROR(__xludf.DUMMYFUNCTION("""COMPUTED_VALUE"""),3681200.0)</f>
        <v>3681200</v>
      </c>
    </row>
    <row r="5273">
      <c r="A5273" s="3">
        <f>IFERROR(__xludf.DUMMYFUNCTION("""COMPUTED_VALUE"""),36837.666666666664)</f>
        <v>36837.66667</v>
      </c>
      <c r="B5273" s="2">
        <f>IFERROR(__xludf.DUMMYFUNCTION("""COMPUTED_VALUE"""),96.59)</f>
        <v>96.59</v>
      </c>
      <c r="C5273" s="2">
        <f>IFERROR(__xludf.DUMMYFUNCTION("""COMPUTED_VALUE"""),98.86)</f>
        <v>98.86</v>
      </c>
      <c r="D5273" s="2">
        <f>IFERROR(__xludf.DUMMYFUNCTION("""COMPUTED_VALUE"""),96.17)</f>
        <v>96.17</v>
      </c>
      <c r="E5273" s="2">
        <f>IFERROR(__xludf.DUMMYFUNCTION("""COMPUTED_VALUE"""),97.73)</f>
        <v>97.73</v>
      </c>
      <c r="F5273" s="2">
        <f>IFERROR(__xludf.DUMMYFUNCTION("""COMPUTED_VALUE"""),4582700.0)</f>
        <v>4582700</v>
      </c>
    </row>
    <row r="5274">
      <c r="A5274" s="3">
        <f>IFERROR(__xludf.DUMMYFUNCTION("""COMPUTED_VALUE"""),36838.666666666664)</f>
        <v>36838.66667</v>
      </c>
      <c r="B5274" s="2">
        <f>IFERROR(__xludf.DUMMYFUNCTION("""COMPUTED_VALUE"""),98.98)</f>
        <v>98.98</v>
      </c>
      <c r="C5274" s="2">
        <f>IFERROR(__xludf.DUMMYFUNCTION("""COMPUTED_VALUE"""),99.1)</f>
        <v>99.1</v>
      </c>
      <c r="D5274" s="2">
        <f>IFERROR(__xludf.DUMMYFUNCTION("""COMPUTED_VALUE"""),94.8)</f>
        <v>94.8</v>
      </c>
      <c r="E5274" s="2">
        <f>IFERROR(__xludf.DUMMYFUNCTION("""COMPUTED_VALUE"""),95.52)</f>
        <v>95.52</v>
      </c>
      <c r="F5274" s="2">
        <f>IFERROR(__xludf.DUMMYFUNCTION("""COMPUTED_VALUE"""),5938900.0)</f>
        <v>5938900</v>
      </c>
    </row>
    <row r="5275">
      <c r="A5275" s="3">
        <f>IFERROR(__xludf.DUMMYFUNCTION("""COMPUTED_VALUE"""),36839.666666666664)</f>
        <v>36839.66667</v>
      </c>
      <c r="B5275" s="2">
        <f>IFERROR(__xludf.DUMMYFUNCTION("""COMPUTED_VALUE"""),92.41)</f>
        <v>92.41</v>
      </c>
      <c r="C5275" s="2">
        <f>IFERROR(__xludf.DUMMYFUNCTION("""COMPUTED_VALUE"""),95.52)</f>
        <v>95.52</v>
      </c>
      <c r="D5275" s="2">
        <f>IFERROR(__xludf.DUMMYFUNCTION("""COMPUTED_VALUE"""),91.46)</f>
        <v>91.46</v>
      </c>
      <c r="E5275" s="2">
        <f>IFERROR(__xludf.DUMMYFUNCTION("""COMPUTED_VALUE"""),94.98)</f>
        <v>94.98</v>
      </c>
      <c r="F5275" s="2">
        <f>IFERROR(__xludf.DUMMYFUNCTION("""COMPUTED_VALUE"""),8059100.0)</f>
        <v>8059100</v>
      </c>
    </row>
    <row r="5276">
      <c r="A5276" s="3">
        <f>IFERROR(__xludf.DUMMYFUNCTION("""COMPUTED_VALUE"""),36840.666666666664)</f>
        <v>36840.66667</v>
      </c>
      <c r="B5276" s="2">
        <f>IFERROR(__xludf.DUMMYFUNCTION("""COMPUTED_VALUE"""),93.61)</f>
        <v>93.61</v>
      </c>
      <c r="C5276" s="2">
        <f>IFERROR(__xludf.DUMMYFUNCTION("""COMPUTED_VALUE"""),93.96)</f>
        <v>93.96</v>
      </c>
      <c r="D5276" s="2">
        <f>IFERROR(__xludf.DUMMYFUNCTION("""COMPUTED_VALUE"""),88.83)</f>
        <v>88.83</v>
      </c>
      <c r="E5276" s="2">
        <f>IFERROR(__xludf.DUMMYFUNCTION("""COMPUTED_VALUE"""),88.83)</f>
        <v>88.83</v>
      </c>
      <c r="F5276" s="2">
        <f>IFERROR(__xludf.DUMMYFUNCTION("""COMPUTED_VALUE"""),5976000.0)</f>
        <v>5976000</v>
      </c>
    </row>
    <row r="5277">
      <c r="A5277" s="3">
        <f>IFERROR(__xludf.DUMMYFUNCTION("""COMPUTED_VALUE"""),36843.666666666664)</f>
        <v>36843.66667</v>
      </c>
      <c r="B5277" s="2">
        <f>IFERROR(__xludf.DUMMYFUNCTION("""COMPUTED_VALUE"""),87.7)</f>
        <v>87.7</v>
      </c>
      <c r="C5277" s="2">
        <f>IFERROR(__xludf.DUMMYFUNCTION("""COMPUTED_VALUE"""),94.98)</f>
        <v>94.98</v>
      </c>
      <c r="D5277" s="2">
        <f>IFERROR(__xludf.DUMMYFUNCTION("""COMPUTED_VALUE"""),87.52)</f>
        <v>87.52</v>
      </c>
      <c r="E5277" s="2">
        <f>IFERROR(__xludf.DUMMYFUNCTION("""COMPUTED_VALUE"""),93.07)</f>
        <v>93.07</v>
      </c>
      <c r="F5277" s="2">
        <f>IFERROR(__xludf.DUMMYFUNCTION("""COMPUTED_VALUE"""),7615500.0)</f>
        <v>7615500</v>
      </c>
    </row>
    <row r="5278">
      <c r="A5278" s="3">
        <f>IFERROR(__xludf.DUMMYFUNCTION("""COMPUTED_VALUE"""),36844.666666666664)</f>
        <v>36844.66667</v>
      </c>
      <c r="B5278" s="2">
        <f>IFERROR(__xludf.DUMMYFUNCTION("""COMPUTED_VALUE"""),94.8)</f>
        <v>94.8</v>
      </c>
      <c r="C5278" s="2">
        <f>IFERROR(__xludf.DUMMYFUNCTION("""COMPUTED_VALUE"""),95.4)</f>
        <v>95.4</v>
      </c>
      <c r="D5278" s="2">
        <f>IFERROR(__xludf.DUMMYFUNCTION("""COMPUTED_VALUE"""),94.14)</f>
        <v>94.14</v>
      </c>
      <c r="E5278" s="2">
        <f>IFERROR(__xludf.DUMMYFUNCTION("""COMPUTED_VALUE"""),95.04)</f>
        <v>95.04</v>
      </c>
      <c r="F5278" s="2">
        <f>IFERROR(__xludf.DUMMYFUNCTION("""COMPUTED_VALUE"""),4441800.0)</f>
        <v>4441800</v>
      </c>
    </row>
    <row r="5279">
      <c r="A5279" s="3">
        <f>IFERROR(__xludf.DUMMYFUNCTION("""COMPUTED_VALUE"""),36845.666666666664)</f>
        <v>36845.66667</v>
      </c>
      <c r="B5279" s="2">
        <f>IFERROR(__xludf.DUMMYFUNCTION("""COMPUTED_VALUE"""),95.04)</f>
        <v>95.04</v>
      </c>
      <c r="C5279" s="2">
        <f>IFERROR(__xludf.DUMMYFUNCTION("""COMPUTED_VALUE"""),95.52)</f>
        <v>95.52</v>
      </c>
      <c r="D5279" s="2">
        <f>IFERROR(__xludf.DUMMYFUNCTION("""COMPUTED_VALUE"""),93.25)</f>
        <v>93.25</v>
      </c>
      <c r="E5279" s="2">
        <f>IFERROR(__xludf.DUMMYFUNCTION("""COMPUTED_VALUE"""),94.92)</f>
        <v>94.92</v>
      </c>
      <c r="F5279" s="2">
        <f>IFERROR(__xludf.DUMMYFUNCTION("""COMPUTED_VALUE"""),3551800.0)</f>
        <v>3551800</v>
      </c>
    </row>
    <row r="5280">
      <c r="A5280" s="3">
        <f>IFERROR(__xludf.DUMMYFUNCTION("""COMPUTED_VALUE"""),36846.666666666664)</f>
        <v>36846.66667</v>
      </c>
      <c r="B5280" s="2">
        <f>IFERROR(__xludf.DUMMYFUNCTION("""COMPUTED_VALUE"""),94.8)</f>
        <v>94.8</v>
      </c>
      <c r="C5280" s="2">
        <f>IFERROR(__xludf.DUMMYFUNCTION("""COMPUTED_VALUE"""),95.22)</f>
        <v>95.22</v>
      </c>
      <c r="D5280" s="2">
        <f>IFERROR(__xludf.DUMMYFUNCTION("""COMPUTED_VALUE"""),93.84)</f>
        <v>93.84</v>
      </c>
      <c r="E5280" s="2">
        <f>IFERROR(__xludf.DUMMYFUNCTION("""COMPUTED_VALUE"""),93.84)</f>
        <v>93.84</v>
      </c>
      <c r="F5280" s="2">
        <f>IFERROR(__xludf.DUMMYFUNCTION("""COMPUTED_VALUE"""),3154700.0)</f>
        <v>3154700</v>
      </c>
    </row>
    <row r="5281">
      <c r="A5281" s="3">
        <f>IFERROR(__xludf.DUMMYFUNCTION("""COMPUTED_VALUE"""),36847.666666666664)</f>
        <v>36847.66667</v>
      </c>
      <c r="B5281" s="2">
        <f>IFERROR(__xludf.DUMMYFUNCTION("""COMPUTED_VALUE"""),93.9)</f>
        <v>93.9</v>
      </c>
      <c r="C5281" s="2">
        <f>IFERROR(__xludf.DUMMYFUNCTION("""COMPUTED_VALUE"""),97.9)</f>
        <v>97.9</v>
      </c>
      <c r="D5281" s="2">
        <f>IFERROR(__xludf.DUMMYFUNCTION("""COMPUTED_VALUE"""),93.84)</f>
        <v>93.84</v>
      </c>
      <c r="E5281" s="2">
        <f>IFERROR(__xludf.DUMMYFUNCTION("""COMPUTED_VALUE"""),97.37)</f>
        <v>97.37</v>
      </c>
      <c r="F5281" s="2">
        <f>IFERROR(__xludf.DUMMYFUNCTION("""COMPUTED_VALUE"""),6769000.0)</f>
        <v>6769000</v>
      </c>
    </row>
    <row r="5282">
      <c r="A5282" s="3">
        <f>IFERROR(__xludf.DUMMYFUNCTION("""COMPUTED_VALUE"""),36850.666666666664)</f>
        <v>36850.66667</v>
      </c>
      <c r="B5282" s="2">
        <f>IFERROR(__xludf.DUMMYFUNCTION("""COMPUTED_VALUE"""),96.95)</f>
        <v>96.95</v>
      </c>
      <c r="C5282" s="2">
        <f>IFERROR(__xludf.DUMMYFUNCTION("""COMPUTED_VALUE"""),98.62)</f>
        <v>98.62</v>
      </c>
      <c r="D5282" s="2">
        <f>IFERROR(__xludf.DUMMYFUNCTION("""COMPUTED_VALUE"""),96.35)</f>
        <v>96.35</v>
      </c>
      <c r="E5282" s="2">
        <f>IFERROR(__xludf.DUMMYFUNCTION("""COMPUTED_VALUE"""),98.62)</f>
        <v>98.62</v>
      </c>
      <c r="F5282" s="2">
        <f>IFERROR(__xludf.DUMMYFUNCTION("""COMPUTED_VALUE"""),6389700.0)</f>
        <v>6389700</v>
      </c>
    </row>
    <row r="5283">
      <c r="A5283" s="3">
        <f>IFERROR(__xludf.DUMMYFUNCTION("""COMPUTED_VALUE"""),36851.666666666664)</f>
        <v>36851.66667</v>
      </c>
      <c r="B5283" s="2">
        <f>IFERROR(__xludf.DUMMYFUNCTION("""COMPUTED_VALUE"""),98.62)</f>
        <v>98.62</v>
      </c>
      <c r="C5283" s="2">
        <f>IFERROR(__xludf.DUMMYFUNCTION("""COMPUTED_VALUE"""),99.64)</f>
        <v>99.64</v>
      </c>
      <c r="D5283" s="2">
        <f>IFERROR(__xludf.DUMMYFUNCTION("""COMPUTED_VALUE"""),94.08)</f>
        <v>94.08</v>
      </c>
      <c r="E5283" s="2">
        <f>IFERROR(__xludf.DUMMYFUNCTION("""COMPUTED_VALUE"""),94.08)</f>
        <v>94.08</v>
      </c>
      <c r="F5283" s="2">
        <f>IFERROR(__xludf.DUMMYFUNCTION("""COMPUTED_VALUE"""),6326600.0)</f>
        <v>6326600</v>
      </c>
    </row>
    <row r="5284">
      <c r="A5284" s="3">
        <f>IFERROR(__xludf.DUMMYFUNCTION("""COMPUTED_VALUE"""),36852.666666666664)</f>
        <v>36852.66667</v>
      </c>
      <c r="B5284" s="2">
        <f>IFERROR(__xludf.DUMMYFUNCTION("""COMPUTED_VALUE"""),94.08)</f>
        <v>94.08</v>
      </c>
      <c r="C5284" s="2">
        <f>IFERROR(__xludf.DUMMYFUNCTION("""COMPUTED_VALUE"""),96.29)</f>
        <v>96.29</v>
      </c>
      <c r="D5284" s="2">
        <f>IFERROR(__xludf.DUMMYFUNCTION("""COMPUTED_VALUE"""),93.96)</f>
        <v>93.96</v>
      </c>
      <c r="E5284" s="2">
        <f>IFERROR(__xludf.DUMMYFUNCTION("""COMPUTED_VALUE"""),94.08)</f>
        <v>94.08</v>
      </c>
      <c r="F5284" s="2">
        <f>IFERROR(__xludf.DUMMYFUNCTION("""COMPUTED_VALUE"""),4781900.0)</f>
        <v>4781900</v>
      </c>
    </row>
    <row r="5285">
      <c r="A5285" s="3">
        <f>IFERROR(__xludf.DUMMYFUNCTION("""COMPUTED_VALUE"""),36854.666666666664)</f>
        <v>36854.66667</v>
      </c>
      <c r="B5285" s="2">
        <f>IFERROR(__xludf.DUMMYFUNCTION("""COMPUTED_VALUE"""),95.76)</f>
        <v>95.76</v>
      </c>
      <c r="C5285" s="2">
        <f>IFERROR(__xludf.DUMMYFUNCTION("""COMPUTED_VALUE"""),97.19)</f>
        <v>97.19</v>
      </c>
      <c r="D5285" s="2">
        <f>IFERROR(__xludf.DUMMYFUNCTION("""COMPUTED_VALUE"""),95.22)</f>
        <v>95.22</v>
      </c>
      <c r="E5285" s="2">
        <f>IFERROR(__xludf.DUMMYFUNCTION("""COMPUTED_VALUE"""),95.46)</f>
        <v>95.46</v>
      </c>
      <c r="F5285" s="2">
        <f>IFERROR(__xludf.DUMMYFUNCTION("""COMPUTED_VALUE"""),2034500.0)</f>
        <v>2034500</v>
      </c>
    </row>
    <row r="5286">
      <c r="A5286" s="3">
        <f>IFERROR(__xludf.DUMMYFUNCTION("""COMPUTED_VALUE"""),36857.666666666664)</f>
        <v>36857.66667</v>
      </c>
      <c r="B5286" s="2">
        <f>IFERROR(__xludf.DUMMYFUNCTION("""COMPUTED_VALUE"""),95.93)</f>
        <v>95.93</v>
      </c>
      <c r="C5286" s="2">
        <f>IFERROR(__xludf.DUMMYFUNCTION("""COMPUTED_VALUE"""),97.43)</f>
        <v>97.43</v>
      </c>
      <c r="D5286" s="2">
        <f>IFERROR(__xludf.DUMMYFUNCTION("""COMPUTED_VALUE"""),94.02)</f>
        <v>94.02</v>
      </c>
      <c r="E5286" s="2">
        <f>IFERROR(__xludf.DUMMYFUNCTION("""COMPUTED_VALUE"""),94.02)</f>
        <v>94.02</v>
      </c>
      <c r="F5286" s="2">
        <f>IFERROR(__xludf.DUMMYFUNCTION("""COMPUTED_VALUE"""),3201400.0)</f>
        <v>3201400</v>
      </c>
    </row>
    <row r="5287">
      <c r="A5287" s="3">
        <f>IFERROR(__xludf.DUMMYFUNCTION("""COMPUTED_VALUE"""),36858.666666666664)</f>
        <v>36858.66667</v>
      </c>
      <c r="B5287" s="2">
        <f>IFERROR(__xludf.DUMMYFUNCTION("""COMPUTED_VALUE"""),94.32)</f>
        <v>94.32</v>
      </c>
      <c r="C5287" s="2">
        <f>IFERROR(__xludf.DUMMYFUNCTION("""COMPUTED_VALUE"""),96.23)</f>
        <v>96.23</v>
      </c>
      <c r="D5287" s="2">
        <f>IFERROR(__xludf.DUMMYFUNCTION("""COMPUTED_VALUE"""),93.19)</f>
        <v>93.19</v>
      </c>
      <c r="E5287" s="2">
        <f>IFERROR(__xludf.DUMMYFUNCTION("""COMPUTED_VALUE"""),93.49)</f>
        <v>93.49</v>
      </c>
      <c r="F5287" s="2">
        <f>IFERROR(__xludf.DUMMYFUNCTION("""COMPUTED_VALUE"""),4182300.0)</f>
        <v>4182300</v>
      </c>
    </row>
    <row r="5288">
      <c r="A5288" s="3">
        <f>IFERROR(__xludf.DUMMYFUNCTION("""COMPUTED_VALUE"""),36859.666666666664)</f>
        <v>36859.66667</v>
      </c>
      <c r="B5288" s="2">
        <f>IFERROR(__xludf.DUMMYFUNCTION("""COMPUTED_VALUE"""),93.37)</f>
        <v>93.37</v>
      </c>
      <c r="C5288" s="2">
        <f>IFERROR(__xludf.DUMMYFUNCTION("""COMPUTED_VALUE"""),95.46)</f>
        <v>95.46</v>
      </c>
      <c r="D5288" s="2">
        <f>IFERROR(__xludf.DUMMYFUNCTION("""COMPUTED_VALUE"""),92.35)</f>
        <v>92.35</v>
      </c>
      <c r="E5288" s="2">
        <f>IFERROR(__xludf.DUMMYFUNCTION("""COMPUTED_VALUE"""),95.34)</f>
        <v>95.34</v>
      </c>
      <c r="F5288" s="2">
        <f>IFERROR(__xludf.DUMMYFUNCTION("""COMPUTED_VALUE"""),4820300.0)</f>
        <v>4820300</v>
      </c>
    </row>
    <row r="5289">
      <c r="A5289" s="3">
        <f>IFERROR(__xludf.DUMMYFUNCTION("""COMPUTED_VALUE"""),36860.666666666664)</f>
        <v>36860.66667</v>
      </c>
      <c r="B5289" s="2">
        <f>IFERROR(__xludf.DUMMYFUNCTION("""COMPUTED_VALUE"""),93.61)</f>
        <v>93.61</v>
      </c>
      <c r="C5289" s="2">
        <f>IFERROR(__xludf.DUMMYFUNCTION("""COMPUTED_VALUE"""),93.61)</f>
        <v>93.61</v>
      </c>
      <c r="D5289" s="2">
        <f>IFERROR(__xludf.DUMMYFUNCTION("""COMPUTED_VALUE"""),88.11)</f>
        <v>88.11</v>
      </c>
      <c r="E5289" s="2">
        <f>IFERROR(__xludf.DUMMYFUNCTION("""COMPUTED_VALUE"""),89.31)</f>
        <v>89.31</v>
      </c>
      <c r="F5289" s="2">
        <f>IFERROR(__xludf.DUMMYFUNCTION("""COMPUTED_VALUE"""),9329800.0)</f>
        <v>9329800</v>
      </c>
    </row>
    <row r="5290">
      <c r="A5290" s="3">
        <f>IFERROR(__xludf.DUMMYFUNCTION("""COMPUTED_VALUE"""),36861.666666666664)</f>
        <v>36861.66667</v>
      </c>
      <c r="B5290" s="2">
        <f>IFERROR(__xludf.DUMMYFUNCTION("""COMPUTED_VALUE"""),90.2)</f>
        <v>90.2</v>
      </c>
      <c r="C5290" s="2">
        <f>IFERROR(__xludf.DUMMYFUNCTION("""COMPUTED_VALUE"""),94.86)</f>
        <v>94.86</v>
      </c>
      <c r="D5290" s="2">
        <f>IFERROR(__xludf.DUMMYFUNCTION("""COMPUTED_VALUE"""),90.14)</f>
        <v>90.14</v>
      </c>
      <c r="E5290" s="2">
        <f>IFERROR(__xludf.DUMMYFUNCTION("""COMPUTED_VALUE"""),91.34)</f>
        <v>91.34</v>
      </c>
      <c r="F5290" s="2">
        <f>IFERROR(__xludf.DUMMYFUNCTION("""COMPUTED_VALUE"""),6485400.0)</f>
        <v>6485400</v>
      </c>
    </row>
    <row r="5291">
      <c r="A5291" s="3">
        <f>IFERROR(__xludf.DUMMYFUNCTION("""COMPUTED_VALUE"""),36864.666666666664)</f>
        <v>36864.66667</v>
      </c>
      <c r="B5291" s="2">
        <f>IFERROR(__xludf.DUMMYFUNCTION("""COMPUTED_VALUE"""),91.7)</f>
        <v>91.7</v>
      </c>
      <c r="C5291" s="2">
        <f>IFERROR(__xludf.DUMMYFUNCTION("""COMPUTED_VALUE"""),94.74)</f>
        <v>94.74</v>
      </c>
      <c r="D5291" s="2">
        <f>IFERROR(__xludf.DUMMYFUNCTION("""COMPUTED_VALUE"""),91.46)</f>
        <v>91.46</v>
      </c>
      <c r="E5291" s="2">
        <f>IFERROR(__xludf.DUMMYFUNCTION("""COMPUTED_VALUE"""),93.96)</f>
        <v>93.96</v>
      </c>
      <c r="F5291" s="2">
        <f>IFERROR(__xludf.DUMMYFUNCTION("""COMPUTED_VALUE"""),4608900.0)</f>
        <v>4608900</v>
      </c>
    </row>
    <row r="5292">
      <c r="A5292" s="3">
        <f>IFERROR(__xludf.DUMMYFUNCTION("""COMPUTED_VALUE"""),36865.666666666664)</f>
        <v>36865.66667</v>
      </c>
      <c r="B5292" s="2">
        <f>IFERROR(__xludf.DUMMYFUNCTION("""COMPUTED_VALUE"""),95.93)</f>
        <v>95.93</v>
      </c>
      <c r="C5292" s="2">
        <f>IFERROR(__xludf.DUMMYFUNCTION("""COMPUTED_VALUE"""),100.05)</f>
        <v>100.05</v>
      </c>
      <c r="D5292" s="2">
        <f>IFERROR(__xludf.DUMMYFUNCTION("""COMPUTED_VALUE"""),95.22)</f>
        <v>95.22</v>
      </c>
      <c r="E5292" s="2">
        <f>IFERROR(__xludf.DUMMYFUNCTION("""COMPUTED_VALUE"""),98.74)</f>
        <v>98.74</v>
      </c>
      <c r="F5292" s="2">
        <f>IFERROR(__xludf.DUMMYFUNCTION("""COMPUTED_VALUE"""),6569600.0)</f>
        <v>6569600</v>
      </c>
    </row>
    <row r="5293">
      <c r="A5293" s="3">
        <f>IFERROR(__xludf.DUMMYFUNCTION("""COMPUTED_VALUE"""),36866.666666666664)</f>
        <v>36866.66667</v>
      </c>
      <c r="B5293" s="2">
        <f>IFERROR(__xludf.DUMMYFUNCTION("""COMPUTED_VALUE"""),97.19)</f>
        <v>97.19</v>
      </c>
      <c r="C5293" s="2">
        <f>IFERROR(__xludf.DUMMYFUNCTION("""COMPUTED_VALUE"""),97.19)</f>
        <v>97.19</v>
      </c>
      <c r="D5293" s="2">
        <f>IFERROR(__xludf.DUMMYFUNCTION("""COMPUTED_VALUE"""),90.62)</f>
        <v>90.62</v>
      </c>
      <c r="E5293" s="2">
        <f>IFERROR(__xludf.DUMMYFUNCTION("""COMPUTED_VALUE"""),92.41)</f>
        <v>92.41</v>
      </c>
      <c r="F5293" s="2">
        <f>IFERROR(__xludf.DUMMYFUNCTION("""COMPUTED_VALUE"""),8642200.0)</f>
        <v>8642200</v>
      </c>
    </row>
    <row r="5294">
      <c r="A5294" s="3">
        <f>IFERROR(__xludf.DUMMYFUNCTION("""COMPUTED_VALUE"""),36867.666666666664)</f>
        <v>36867.66667</v>
      </c>
      <c r="B5294" s="2">
        <f>IFERROR(__xludf.DUMMYFUNCTION("""COMPUTED_VALUE"""),90.8)</f>
        <v>90.8</v>
      </c>
      <c r="C5294" s="2">
        <f>IFERROR(__xludf.DUMMYFUNCTION("""COMPUTED_VALUE"""),91.64)</f>
        <v>91.64</v>
      </c>
      <c r="D5294" s="2">
        <f>IFERROR(__xludf.DUMMYFUNCTION("""COMPUTED_VALUE"""),88.95)</f>
        <v>88.95</v>
      </c>
      <c r="E5294" s="2">
        <f>IFERROR(__xludf.DUMMYFUNCTION("""COMPUTED_VALUE"""),91.1)</f>
        <v>91.1</v>
      </c>
      <c r="F5294" s="2">
        <f>IFERROR(__xludf.DUMMYFUNCTION("""COMPUTED_VALUE"""),6909400.0)</f>
        <v>6909400</v>
      </c>
    </row>
    <row r="5295">
      <c r="A5295" s="3">
        <f>IFERROR(__xludf.DUMMYFUNCTION("""COMPUTED_VALUE"""),36868.666666666664)</f>
        <v>36868.66667</v>
      </c>
      <c r="B5295" s="2">
        <f>IFERROR(__xludf.DUMMYFUNCTION("""COMPUTED_VALUE"""),93.61)</f>
        <v>93.61</v>
      </c>
      <c r="C5295" s="2">
        <f>IFERROR(__xludf.DUMMYFUNCTION("""COMPUTED_VALUE"""),94.56)</f>
        <v>94.56</v>
      </c>
      <c r="D5295" s="2">
        <f>IFERROR(__xludf.DUMMYFUNCTION("""COMPUTED_VALUE"""),91.46)</f>
        <v>91.46</v>
      </c>
      <c r="E5295" s="2">
        <f>IFERROR(__xludf.DUMMYFUNCTION("""COMPUTED_VALUE"""),92.65)</f>
        <v>92.65</v>
      </c>
      <c r="F5295" s="2">
        <f>IFERROR(__xludf.DUMMYFUNCTION("""COMPUTED_VALUE"""),5192800.0)</f>
        <v>5192800</v>
      </c>
    </row>
    <row r="5296">
      <c r="A5296" s="3">
        <f>IFERROR(__xludf.DUMMYFUNCTION("""COMPUTED_VALUE"""),36871.666666666664)</f>
        <v>36871.66667</v>
      </c>
      <c r="B5296" s="2">
        <f>IFERROR(__xludf.DUMMYFUNCTION("""COMPUTED_VALUE"""),90.44)</f>
        <v>90.44</v>
      </c>
      <c r="C5296" s="2">
        <f>IFERROR(__xludf.DUMMYFUNCTION("""COMPUTED_VALUE"""),90.44)</f>
        <v>90.44</v>
      </c>
      <c r="D5296" s="2">
        <f>IFERROR(__xludf.DUMMYFUNCTION("""COMPUTED_VALUE"""),90.44)</f>
        <v>90.44</v>
      </c>
      <c r="E5296" s="2">
        <f>IFERROR(__xludf.DUMMYFUNCTION("""COMPUTED_VALUE"""),90.44)</f>
        <v>90.44</v>
      </c>
      <c r="F5296" s="2">
        <f>IFERROR(__xludf.DUMMYFUNCTION("""COMPUTED_VALUE"""),5000.0)</f>
        <v>5000</v>
      </c>
    </row>
    <row r="5297">
      <c r="A5297" s="3">
        <f>IFERROR(__xludf.DUMMYFUNCTION("""COMPUTED_VALUE"""),36872.666666666664)</f>
        <v>36872.66667</v>
      </c>
      <c r="B5297" s="2">
        <f>IFERROR(__xludf.DUMMYFUNCTION("""COMPUTED_VALUE"""),90.98)</f>
        <v>90.98</v>
      </c>
      <c r="C5297" s="2">
        <f>IFERROR(__xludf.DUMMYFUNCTION("""COMPUTED_VALUE"""),91.82)</f>
        <v>91.82</v>
      </c>
      <c r="D5297" s="2">
        <f>IFERROR(__xludf.DUMMYFUNCTION("""COMPUTED_VALUE"""),88.35)</f>
        <v>88.35</v>
      </c>
      <c r="E5297" s="2">
        <f>IFERROR(__xludf.DUMMYFUNCTION("""COMPUTED_VALUE"""),89.67)</f>
        <v>89.67</v>
      </c>
      <c r="F5297" s="2">
        <f>IFERROR(__xludf.DUMMYFUNCTION("""COMPUTED_VALUE"""),6496200.0)</f>
        <v>6496200</v>
      </c>
    </row>
    <row r="5298">
      <c r="A5298" s="3">
        <f>IFERROR(__xludf.DUMMYFUNCTION("""COMPUTED_VALUE"""),36873.666666666664)</f>
        <v>36873.66667</v>
      </c>
      <c r="B5298" s="2">
        <f>IFERROR(__xludf.DUMMYFUNCTION("""COMPUTED_VALUE"""),90.62)</f>
        <v>90.62</v>
      </c>
      <c r="C5298" s="2">
        <f>IFERROR(__xludf.DUMMYFUNCTION("""COMPUTED_VALUE"""),92.29)</f>
        <v>92.29</v>
      </c>
      <c r="D5298" s="2">
        <f>IFERROR(__xludf.DUMMYFUNCTION("""COMPUTED_VALUE"""),86.62)</f>
        <v>86.62</v>
      </c>
      <c r="E5298" s="2">
        <f>IFERROR(__xludf.DUMMYFUNCTION("""COMPUTED_VALUE"""),87.16)</f>
        <v>87.16</v>
      </c>
      <c r="F5298" s="2">
        <f>IFERROR(__xludf.DUMMYFUNCTION("""COMPUTED_VALUE"""),5712500.0)</f>
        <v>5712500</v>
      </c>
    </row>
    <row r="5299">
      <c r="A5299" s="3">
        <f>IFERROR(__xludf.DUMMYFUNCTION("""COMPUTED_VALUE"""),36874.666666666664)</f>
        <v>36874.66667</v>
      </c>
      <c r="B5299" s="2">
        <f>IFERROR(__xludf.DUMMYFUNCTION("""COMPUTED_VALUE"""),87.88)</f>
        <v>87.88</v>
      </c>
      <c r="C5299" s="2">
        <f>IFERROR(__xludf.DUMMYFUNCTION("""COMPUTED_VALUE"""),89.49)</f>
        <v>89.49</v>
      </c>
      <c r="D5299" s="2">
        <f>IFERROR(__xludf.DUMMYFUNCTION("""COMPUTED_VALUE"""),87.7)</f>
        <v>87.7</v>
      </c>
      <c r="E5299" s="2">
        <f>IFERROR(__xludf.DUMMYFUNCTION("""COMPUTED_VALUE"""),88.29)</f>
        <v>88.29</v>
      </c>
      <c r="F5299" s="2">
        <f>IFERROR(__xludf.DUMMYFUNCTION("""COMPUTED_VALUE"""),4919200.0)</f>
        <v>4919200</v>
      </c>
    </row>
    <row r="5300">
      <c r="A5300" s="3">
        <f>IFERROR(__xludf.DUMMYFUNCTION("""COMPUTED_VALUE"""),36875.666666666664)</f>
        <v>36875.66667</v>
      </c>
      <c r="B5300" s="2">
        <f>IFERROR(__xludf.DUMMYFUNCTION("""COMPUTED_VALUE"""),85.96)</f>
        <v>85.96</v>
      </c>
      <c r="C5300" s="2">
        <f>IFERROR(__xludf.DUMMYFUNCTION("""COMPUTED_VALUE"""),86.62)</f>
        <v>86.62</v>
      </c>
      <c r="D5300" s="2">
        <f>IFERROR(__xludf.DUMMYFUNCTION("""COMPUTED_VALUE"""),83.4)</f>
        <v>83.4</v>
      </c>
      <c r="E5300" s="2">
        <f>IFERROR(__xludf.DUMMYFUNCTION("""COMPUTED_VALUE"""),83.88)</f>
        <v>83.88</v>
      </c>
      <c r="F5300" s="2">
        <f>IFERROR(__xludf.DUMMYFUNCTION("""COMPUTED_VALUE"""),1.20432E7)</f>
        <v>12043200</v>
      </c>
    </row>
    <row r="5301">
      <c r="A5301" s="3">
        <f>IFERROR(__xludf.DUMMYFUNCTION("""COMPUTED_VALUE"""),36878.666666666664)</f>
        <v>36878.66667</v>
      </c>
      <c r="B5301" s="2">
        <f>IFERROR(__xludf.DUMMYFUNCTION("""COMPUTED_VALUE"""),84.41)</f>
        <v>84.41</v>
      </c>
      <c r="C5301" s="2">
        <f>IFERROR(__xludf.DUMMYFUNCTION("""COMPUTED_VALUE"""),86.44)</f>
        <v>86.44</v>
      </c>
      <c r="D5301" s="2">
        <f>IFERROR(__xludf.DUMMYFUNCTION("""COMPUTED_VALUE"""),84.41)</f>
        <v>84.41</v>
      </c>
      <c r="E5301" s="2">
        <f>IFERROR(__xludf.DUMMYFUNCTION("""COMPUTED_VALUE"""),86.44)</f>
        <v>86.44</v>
      </c>
      <c r="F5301" s="2">
        <f>IFERROR(__xludf.DUMMYFUNCTION("""COMPUTED_VALUE"""),6000200.0)</f>
        <v>6000200</v>
      </c>
    </row>
    <row r="5302">
      <c r="A5302" s="3">
        <f>IFERROR(__xludf.DUMMYFUNCTION("""COMPUTED_VALUE"""),36879.666666666664)</f>
        <v>36879.66667</v>
      </c>
      <c r="B5302" s="2">
        <f>IFERROR(__xludf.DUMMYFUNCTION("""COMPUTED_VALUE"""),86.14)</f>
        <v>86.14</v>
      </c>
      <c r="C5302" s="2">
        <f>IFERROR(__xludf.DUMMYFUNCTION("""COMPUTED_VALUE"""),90.14)</f>
        <v>90.14</v>
      </c>
      <c r="D5302" s="2">
        <f>IFERROR(__xludf.DUMMYFUNCTION("""COMPUTED_VALUE"""),85.79)</f>
        <v>85.79</v>
      </c>
      <c r="E5302" s="2">
        <f>IFERROR(__xludf.DUMMYFUNCTION("""COMPUTED_VALUE"""),86.08)</f>
        <v>86.08</v>
      </c>
      <c r="F5302" s="2">
        <f>IFERROR(__xludf.DUMMYFUNCTION("""COMPUTED_VALUE"""),6343800.0)</f>
        <v>6343800</v>
      </c>
    </row>
    <row r="5303">
      <c r="A5303" s="3">
        <f>IFERROR(__xludf.DUMMYFUNCTION("""COMPUTED_VALUE"""),36880.666666666664)</f>
        <v>36880.66667</v>
      </c>
      <c r="B5303" s="2">
        <f>IFERROR(__xludf.DUMMYFUNCTION("""COMPUTED_VALUE"""),82.02)</f>
        <v>82.02</v>
      </c>
      <c r="C5303" s="2">
        <f>IFERROR(__xludf.DUMMYFUNCTION("""COMPUTED_VALUE"""),84.05)</f>
        <v>84.05</v>
      </c>
      <c r="D5303" s="2">
        <f>IFERROR(__xludf.DUMMYFUNCTION("""COMPUTED_VALUE"""),81.01)</f>
        <v>81.01</v>
      </c>
      <c r="E5303" s="2">
        <f>IFERROR(__xludf.DUMMYFUNCTION("""COMPUTED_VALUE"""),82.14)</f>
        <v>82.14</v>
      </c>
      <c r="F5303" s="2">
        <f>IFERROR(__xludf.DUMMYFUNCTION("""COMPUTED_VALUE"""),1.00109E7)</f>
        <v>10010900</v>
      </c>
    </row>
    <row r="5304">
      <c r="A5304" s="3">
        <f>IFERROR(__xludf.DUMMYFUNCTION("""COMPUTED_VALUE"""),36881.666666666664)</f>
        <v>36881.66667</v>
      </c>
      <c r="B5304" s="2">
        <f>IFERROR(__xludf.DUMMYFUNCTION("""COMPUTED_VALUE"""),81.67)</f>
        <v>81.67</v>
      </c>
      <c r="C5304" s="2">
        <f>IFERROR(__xludf.DUMMYFUNCTION("""COMPUTED_VALUE"""),83.99)</f>
        <v>83.99</v>
      </c>
      <c r="D5304" s="2">
        <f>IFERROR(__xludf.DUMMYFUNCTION("""COMPUTED_VALUE"""),76.53)</f>
        <v>76.53</v>
      </c>
      <c r="E5304" s="2">
        <f>IFERROR(__xludf.DUMMYFUNCTION("""COMPUTED_VALUE"""),77.91)</f>
        <v>77.91</v>
      </c>
      <c r="F5304" s="2">
        <f>IFERROR(__xludf.DUMMYFUNCTION("""COMPUTED_VALUE"""),9861600.0)</f>
        <v>9861600</v>
      </c>
    </row>
    <row r="5305">
      <c r="A5305" s="3">
        <f>IFERROR(__xludf.DUMMYFUNCTION("""COMPUTED_VALUE"""),36882.666666666664)</f>
        <v>36882.66667</v>
      </c>
      <c r="B5305" s="2">
        <f>IFERROR(__xludf.DUMMYFUNCTION("""COMPUTED_VALUE"""),82.02)</f>
        <v>82.02</v>
      </c>
      <c r="C5305" s="2">
        <f>IFERROR(__xludf.DUMMYFUNCTION("""COMPUTED_VALUE"""),85.37)</f>
        <v>85.37</v>
      </c>
      <c r="D5305" s="2">
        <f>IFERROR(__xludf.DUMMYFUNCTION("""COMPUTED_VALUE"""),81.43)</f>
        <v>81.43</v>
      </c>
      <c r="E5305" s="2">
        <f>IFERROR(__xludf.DUMMYFUNCTION("""COMPUTED_VALUE"""),85.01)</f>
        <v>85.01</v>
      </c>
      <c r="F5305" s="2">
        <f>IFERROR(__xludf.DUMMYFUNCTION("""COMPUTED_VALUE"""),7588600.0)</f>
        <v>7588600</v>
      </c>
    </row>
    <row r="5306">
      <c r="A5306" s="3">
        <f>IFERROR(__xludf.DUMMYFUNCTION("""COMPUTED_VALUE"""),36886.666666666664)</f>
        <v>36886.66667</v>
      </c>
      <c r="B5306" s="2">
        <f>IFERROR(__xludf.DUMMYFUNCTION("""COMPUTED_VALUE"""),85.01)</f>
        <v>85.01</v>
      </c>
      <c r="C5306" s="2">
        <f>IFERROR(__xludf.DUMMYFUNCTION("""COMPUTED_VALUE"""),85.55)</f>
        <v>85.55</v>
      </c>
      <c r="D5306" s="2">
        <f>IFERROR(__xludf.DUMMYFUNCTION("""COMPUTED_VALUE"""),80.47)</f>
        <v>80.47</v>
      </c>
      <c r="E5306" s="2">
        <f>IFERROR(__xludf.DUMMYFUNCTION("""COMPUTED_VALUE"""),81.01)</f>
        <v>81.01</v>
      </c>
      <c r="F5306" s="2">
        <f>IFERROR(__xludf.DUMMYFUNCTION("""COMPUTED_VALUE"""),5008100.0)</f>
        <v>5008100</v>
      </c>
    </row>
    <row r="5307">
      <c r="A5307" s="3">
        <f>IFERROR(__xludf.DUMMYFUNCTION("""COMPUTED_VALUE"""),36887.666666666664)</f>
        <v>36887.66667</v>
      </c>
      <c r="B5307" s="2">
        <f>IFERROR(__xludf.DUMMYFUNCTION("""COMPUTED_VALUE"""),80.95)</f>
        <v>80.95</v>
      </c>
      <c r="C5307" s="2">
        <f>IFERROR(__xludf.DUMMYFUNCTION("""COMPUTED_VALUE"""),84.17)</f>
        <v>84.17</v>
      </c>
      <c r="D5307" s="2">
        <f>IFERROR(__xludf.DUMMYFUNCTION("""COMPUTED_VALUE"""),79.82)</f>
        <v>79.82</v>
      </c>
      <c r="E5307" s="2">
        <f>IFERROR(__xludf.DUMMYFUNCTION("""COMPUTED_VALUE"""),80.89)</f>
        <v>80.89</v>
      </c>
      <c r="F5307" s="2">
        <f>IFERROR(__xludf.DUMMYFUNCTION("""COMPUTED_VALUE"""),6646800.0)</f>
        <v>6646800</v>
      </c>
    </row>
    <row r="5308">
      <c r="A5308" s="3">
        <f>IFERROR(__xludf.DUMMYFUNCTION("""COMPUTED_VALUE"""),36888.666666666664)</f>
        <v>36888.66667</v>
      </c>
      <c r="B5308" s="2">
        <f>IFERROR(__xludf.DUMMYFUNCTION("""COMPUTED_VALUE"""),79.76)</f>
        <v>79.76</v>
      </c>
      <c r="C5308" s="2">
        <f>IFERROR(__xludf.DUMMYFUNCTION("""COMPUTED_VALUE"""),84.23)</f>
        <v>84.23</v>
      </c>
      <c r="D5308" s="2">
        <f>IFERROR(__xludf.DUMMYFUNCTION("""COMPUTED_VALUE"""),78.44)</f>
        <v>78.44</v>
      </c>
      <c r="E5308" s="2">
        <f>IFERROR(__xludf.DUMMYFUNCTION("""COMPUTED_VALUE"""),81.43)</f>
        <v>81.43</v>
      </c>
      <c r="F5308" s="2">
        <f>IFERROR(__xludf.DUMMYFUNCTION("""COMPUTED_VALUE"""),8099600.0)</f>
        <v>8099600</v>
      </c>
    </row>
    <row r="5309">
      <c r="A5309" s="3">
        <f>IFERROR(__xludf.DUMMYFUNCTION("""COMPUTED_VALUE"""),36889.666666666664)</f>
        <v>36889.66667</v>
      </c>
      <c r="B5309" s="2">
        <f>IFERROR(__xludf.DUMMYFUNCTION("""COMPUTED_VALUE"""),83.04)</f>
        <v>83.04</v>
      </c>
      <c r="C5309" s="2">
        <f>IFERROR(__xludf.DUMMYFUNCTION("""COMPUTED_VALUE"""),83.04)</f>
        <v>83.04</v>
      </c>
      <c r="D5309" s="2">
        <f>IFERROR(__xludf.DUMMYFUNCTION("""COMPUTED_VALUE"""),80.47)</f>
        <v>80.47</v>
      </c>
      <c r="E5309" s="2">
        <f>IFERROR(__xludf.DUMMYFUNCTION("""COMPUTED_VALUE"""),81.19)</f>
        <v>81.19</v>
      </c>
      <c r="F5309" s="2">
        <f>IFERROR(__xludf.DUMMYFUNCTION("""COMPUTED_VALUE"""),5305000.0)</f>
        <v>5305000</v>
      </c>
    </row>
    <row r="5310">
      <c r="A5310" s="3">
        <f>IFERROR(__xludf.DUMMYFUNCTION("""COMPUTED_VALUE"""),36893.666666666664)</f>
        <v>36893.66667</v>
      </c>
      <c r="B5310" s="2">
        <f>IFERROR(__xludf.DUMMYFUNCTION("""COMPUTED_VALUE"""),80.71)</f>
        <v>80.71</v>
      </c>
      <c r="C5310" s="2">
        <f>IFERROR(__xludf.DUMMYFUNCTION("""COMPUTED_VALUE"""),83.58)</f>
        <v>83.58</v>
      </c>
      <c r="D5310" s="2">
        <f>IFERROR(__xludf.DUMMYFUNCTION("""COMPUTED_VALUE"""),80.35)</f>
        <v>80.35</v>
      </c>
      <c r="E5310" s="2">
        <f>IFERROR(__xludf.DUMMYFUNCTION("""COMPUTED_VALUE"""),81.01)</f>
        <v>81.01</v>
      </c>
      <c r="F5310" s="2">
        <f>IFERROR(__xludf.DUMMYFUNCTION("""COMPUTED_VALUE"""),6915500.0)</f>
        <v>6915500</v>
      </c>
    </row>
    <row r="5311">
      <c r="A5311" s="3">
        <f>IFERROR(__xludf.DUMMYFUNCTION("""COMPUTED_VALUE"""),36894.666666666664)</f>
        <v>36894.66667</v>
      </c>
      <c r="B5311" s="2">
        <f>IFERROR(__xludf.DUMMYFUNCTION("""COMPUTED_VALUE"""),79.99)</f>
        <v>79.99</v>
      </c>
      <c r="C5311" s="2">
        <f>IFERROR(__xludf.DUMMYFUNCTION("""COMPUTED_VALUE"""),90.74)</f>
        <v>90.74</v>
      </c>
      <c r="D5311" s="2">
        <f>IFERROR(__xludf.DUMMYFUNCTION("""COMPUTED_VALUE"""),79.99)</f>
        <v>79.99</v>
      </c>
      <c r="E5311" s="2">
        <f>IFERROR(__xludf.DUMMYFUNCTION("""COMPUTED_VALUE"""),90.44)</f>
        <v>90.44</v>
      </c>
      <c r="F5311" s="2">
        <f>IFERROR(__xludf.DUMMYFUNCTION("""COMPUTED_VALUE"""),1.08681E7)</f>
        <v>10868100</v>
      </c>
    </row>
    <row r="5312">
      <c r="A5312" s="3">
        <f>IFERROR(__xludf.DUMMYFUNCTION("""COMPUTED_VALUE"""),36895.666666666664)</f>
        <v>36895.66667</v>
      </c>
      <c r="B5312" s="2">
        <f>IFERROR(__xludf.DUMMYFUNCTION("""COMPUTED_VALUE"""),90.5)</f>
        <v>90.5</v>
      </c>
      <c r="C5312" s="2">
        <f>IFERROR(__xludf.DUMMYFUNCTION("""COMPUTED_VALUE"""),95.28)</f>
        <v>95.28</v>
      </c>
      <c r="D5312" s="2">
        <f>IFERROR(__xludf.DUMMYFUNCTION("""COMPUTED_VALUE"""),88.53)</f>
        <v>88.53</v>
      </c>
      <c r="E5312" s="2">
        <f>IFERROR(__xludf.DUMMYFUNCTION("""COMPUTED_VALUE"""),89.01)</f>
        <v>89.01</v>
      </c>
      <c r="F5312" s="2">
        <f>IFERROR(__xludf.DUMMYFUNCTION("""COMPUTED_VALUE"""),1.3126E7)</f>
        <v>13126000</v>
      </c>
    </row>
    <row r="5313">
      <c r="A5313" s="3">
        <f>IFERROR(__xludf.DUMMYFUNCTION("""COMPUTED_VALUE"""),36896.666666666664)</f>
        <v>36896.66667</v>
      </c>
      <c r="B5313" s="2">
        <f>IFERROR(__xludf.DUMMYFUNCTION("""COMPUTED_VALUE"""),89.73)</f>
        <v>89.73</v>
      </c>
      <c r="C5313" s="2">
        <f>IFERROR(__xludf.DUMMYFUNCTION("""COMPUTED_VALUE"""),90.44)</f>
        <v>90.44</v>
      </c>
      <c r="D5313" s="2">
        <f>IFERROR(__xludf.DUMMYFUNCTION("""COMPUTED_VALUE"""),86.92)</f>
        <v>86.92</v>
      </c>
      <c r="E5313" s="2">
        <f>IFERROR(__xludf.DUMMYFUNCTION("""COMPUTED_VALUE"""),89.79)</f>
        <v>89.79</v>
      </c>
      <c r="F5313" s="2">
        <f>IFERROR(__xludf.DUMMYFUNCTION("""COMPUTED_VALUE"""),6978100.0)</f>
        <v>6978100</v>
      </c>
    </row>
    <row r="5314">
      <c r="A5314" s="3">
        <f>IFERROR(__xludf.DUMMYFUNCTION("""COMPUTED_VALUE"""),36899.666666666664)</f>
        <v>36899.66667</v>
      </c>
      <c r="B5314" s="2">
        <f>IFERROR(__xludf.DUMMYFUNCTION("""COMPUTED_VALUE"""),89.31)</f>
        <v>89.31</v>
      </c>
      <c r="C5314" s="2">
        <f>IFERROR(__xludf.DUMMYFUNCTION("""COMPUTED_VALUE"""),89.73)</f>
        <v>89.73</v>
      </c>
      <c r="D5314" s="2">
        <f>IFERROR(__xludf.DUMMYFUNCTION("""COMPUTED_VALUE"""),87.46)</f>
        <v>87.46</v>
      </c>
      <c r="E5314" s="2">
        <f>IFERROR(__xludf.DUMMYFUNCTION("""COMPUTED_VALUE"""),89.37)</f>
        <v>89.37</v>
      </c>
      <c r="F5314" s="2">
        <f>IFERROR(__xludf.DUMMYFUNCTION("""COMPUTED_VALUE"""),5352900.0)</f>
        <v>5352900</v>
      </c>
    </row>
    <row r="5315">
      <c r="A5315" s="3">
        <f>IFERROR(__xludf.DUMMYFUNCTION("""COMPUTED_VALUE"""),36900.666666666664)</f>
        <v>36900.66667</v>
      </c>
      <c r="B5315" s="2">
        <f>IFERROR(__xludf.DUMMYFUNCTION("""COMPUTED_VALUE"""),90.2)</f>
        <v>90.2</v>
      </c>
      <c r="C5315" s="2">
        <f>IFERROR(__xludf.DUMMYFUNCTION("""COMPUTED_VALUE"""),91.46)</f>
        <v>91.46</v>
      </c>
      <c r="D5315" s="2">
        <f>IFERROR(__xludf.DUMMYFUNCTION("""COMPUTED_VALUE"""),87.34)</f>
        <v>87.34</v>
      </c>
      <c r="E5315" s="2">
        <f>IFERROR(__xludf.DUMMYFUNCTION("""COMPUTED_VALUE"""),88.41)</f>
        <v>88.41</v>
      </c>
      <c r="F5315" s="2">
        <f>IFERROR(__xludf.DUMMYFUNCTION("""COMPUTED_VALUE"""),5969000.0)</f>
        <v>5969000</v>
      </c>
    </row>
    <row r="5316">
      <c r="A5316" s="3">
        <f>IFERROR(__xludf.DUMMYFUNCTION("""COMPUTED_VALUE"""),36901.666666666664)</f>
        <v>36901.66667</v>
      </c>
      <c r="B5316" s="2">
        <f>IFERROR(__xludf.DUMMYFUNCTION("""COMPUTED_VALUE"""),88.35)</f>
        <v>88.35</v>
      </c>
      <c r="C5316" s="2">
        <f>IFERROR(__xludf.DUMMYFUNCTION("""COMPUTED_VALUE"""),90.68)</f>
        <v>90.68</v>
      </c>
      <c r="D5316" s="2">
        <f>IFERROR(__xludf.DUMMYFUNCTION("""COMPUTED_VALUE"""),87.58)</f>
        <v>87.58</v>
      </c>
      <c r="E5316" s="2">
        <f>IFERROR(__xludf.DUMMYFUNCTION("""COMPUTED_VALUE"""),89.25)</f>
        <v>89.25</v>
      </c>
      <c r="F5316" s="2">
        <f>IFERROR(__xludf.DUMMYFUNCTION("""COMPUTED_VALUE"""),6491300.0)</f>
        <v>6491300</v>
      </c>
    </row>
    <row r="5317">
      <c r="A5317" s="3">
        <f>IFERROR(__xludf.DUMMYFUNCTION("""COMPUTED_VALUE"""),36902.666666666664)</f>
        <v>36902.66667</v>
      </c>
      <c r="B5317" s="2">
        <f>IFERROR(__xludf.DUMMYFUNCTION("""COMPUTED_VALUE"""),88.77)</f>
        <v>88.77</v>
      </c>
      <c r="C5317" s="2">
        <f>IFERROR(__xludf.DUMMYFUNCTION("""COMPUTED_VALUE"""),90.02)</f>
        <v>90.02</v>
      </c>
      <c r="D5317" s="2">
        <f>IFERROR(__xludf.DUMMYFUNCTION("""COMPUTED_VALUE"""),87.16)</f>
        <v>87.16</v>
      </c>
      <c r="E5317" s="2">
        <f>IFERROR(__xludf.DUMMYFUNCTION("""COMPUTED_VALUE"""),89.49)</f>
        <v>89.49</v>
      </c>
      <c r="F5317" s="2">
        <f>IFERROR(__xludf.DUMMYFUNCTION("""COMPUTED_VALUE"""),7392100.0)</f>
        <v>7392100</v>
      </c>
    </row>
    <row r="5318">
      <c r="A5318" s="3">
        <f>IFERROR(__xludf.DUMMYFUNCTION("""COMPUTED_VALUE"""),36903.666666666664)</f>
        <v>36903.66667</v>
      </c>
      <c r="B5318" s="2">
        <f>IFERROR(__xludf.DUMMYFUNCTION("""COMPUTED_VALUE"""),89.49)</f>
        <v>89.49</v>
      </c>
      <c r="C5318" s="2">
        <f>IFERROR(__xludf.DUMMYFUNCTION("""COMPUTED_VALUE"""),92.11)</f>
        <v>92.11</v>
      </c>
      <c r="D5318" s="2">
        <f>IFERROR(__xludf.DUMMYFUNCTION("""COMPUTED_VALUE"""),88.23)</f>
        <v>88.23</v>
      </c>
      <c r="E5318" s="2">
        <f>IFERROR(__xludf.DUMMYFUNCTION("""COMPUTED_VALUE"""),89.61)</f>
        <v>89.61</v>
      </c>
      <c r="F5318" s="2">
        <f>IFERROR(__xludf.DUMMYFUNCTION("""COMPUTED_VALUE"""),5507300.0)</f>
        <v>5507300</v>
      </c>
    </row>
    <row r="5319">
      <c r="A5319" s="3">
        <f>IFERROR(__xludf.DUMMYFUNCTION("""COMPUTED_VALUE"""),36907.666666666664)</f>
        <v>36907.66667</v>
      </c>
      <c r="B5319" s="2">
        <f>IFERROR(__xludf.DUMMYFUNCTION("""COMPUTED_VALUE"""),89.55)</f>
        <v>89.55</v>
      </c>
      <c r="C5319" s="2">
        <f>IFERROR(__xludf.DUMMYFUNCTION("""COMPUTED_VALUE"""),89.73)</f>
        <v>89.73</v>
      </c>
      <c r="D5319" s="2">
        <f>IFERROR(__xludf.DUMMYFUNCTION("""COMPUTED_VALUE"""),87.7)</f>
        <v>87.7</v>
      </c>
      <c r="E5319" s="2">
        <f>IFERROR(__xludf.DUMMYFUNCTION("""COMPUTED_VALUE"""),88.59)</f>
        <v>88.59</v>
      </c>
      <c r="F5319" s="2">
        <f>IFERROR(__xludf.DUMMYFUNCTION("""COMPUTED_VALUE"""),4376900.0)</f>
        <v>4376900</v>
      </c>
    </row>
    <row r="5320">
      <c r="A5320" s="3">
        <f>IFERROR(__xludf.DUMMYFUNCTION("""COMPUTED_VALUE"""),36908.666666666664)</f>
        <v>36908.66667</v>
      </c>
      <c r="B5320" s="2">
        <f>IFERROR(__xludf.DUMMYFUNCTION("""COMPUTED_VALUE"""),91.1)</f>
        <v>91.1</v>
      </c>
      <c r="C5320" s="2">
        <f>IFERROR(__xludf.DUMMYFUNCTION("""COMPUTED_VALUE"""),93.37)</f>
        <v>93.37</v>
      </c>
      <c r="D5320" s="2">
        <f>IFERROR(__xludf.DUMMYFUNCTION("""COMPUTED_VALUE"""),90.08)</f>
        <v>90.08</v>
      </c>
      <c r="E5320" s="2">
        <f>IFERROR(__xludf.DUMMYFUNCTION("""COMPUTED_VALUE"""),92.35)</f>
        <v>92.35</v>
      </c>
      <c r="F5320" s="2">
        <f>IFERROR(__xludf.DUMMYFUNCTION("""COMPUTED_VALUE"""),7868000.0)</f>
        <v>7868000</v>
      </c>
    </row>
    <row r="5321">
      <c r="A5321" s="3">
        <f>IFERROR(__xludf.DUMMYFUNCTION("""COMPUTED_VALUE"""),36909.666666666664)</f>
        <v>36909.66667</v>
      </c>
      <c r="B5321" s="2">
        <f>IFERROR(__xludf.DUMMYFUNCTION("""COMPUTED_VALUE"""),100.29)</f>
        <v>100.29</v>
      </c>
      <c r="C5321" s="2">
        <f>IFERROR(__xludf.DUMMYFUNCTION("""COMPUTED_VALUE"""),105.07)</f>
        <v>105.07</v>
      </c>
      <c r="D5321" s="2">
        <f>IFERROR(__xludf.DUMMYFUNCTION("""COMPUTED_VALUE"""),99.46)</f>
        <v>99.46</v>
      </c>
      <c r="E5321" s="2">
        <f>IFERROR(__xludf.DUMMYFUNCTION("""COMPUTED_VALUE"""),103.46)</f>
        <v>103.46</v>
      </c>
      <c r="F5321" s="2">
        <f>IFERROR(__xludf.DUMMYFUNCTION("""COMPUTED_VALUE"""),2.0343E7)</f>
        <v>20343000</v>
      </c>
    </row>
    <row r="5322">
      <c r="A5322" s="3">
        <f>IFERROR(__xludf.DUMMYFUNCTION("""COMPUTED_VALUE"""),36910.666666666664)</f>
        <v>36910.66667</v>
      </c>
      <c r="B5322" s="2">
        <f>IFERROR(__xludf.DUMMYFUNCTION("""COMPUTED_VALUE"""),102.62)</f>
        <v>102.62</v>
      </c>
      <c r="C5322" s="2">
        <f>IFERROR(__xludf.DUMMYFUNCTION("""COMPUTED_VALUE"""),108.77)</f>
        <v>108.77</v>
      </c>
      <c r="D5322" s="2">
        <f>IFERROR(__xludf.DUMMYFUNCTION("""COMPUTED_VALUE"""),102.56)</f>
        <v>102.56</v>
      </c>
      <c r="E5322" s="2">
        <f>IFERROR(__xludf.DUMMYFUNCTION("""COMPUTED_VALUE"""),106.26)</f>
        <v>106.26</v>
      </c>
      <c r="F5322" s="2">
        <f>IFERROR(__xludf.DUMMYFUNCTION("""COMPUTED_VALUE"""),1.18335E7)</f>
        <v>11833500</v>
      </c>
    </row>
    <row r="5323">
      <c r="A5323" s="3">
        <f>IFERROR(__xludf.DUMMYFUNCTION("""COMPUTED_VALUE"""),36913.666666666664)</f>
        <v>36913.66667</v>
      </c>
      <c r="B5323" s="2">
        <f>IFERROR(__xludf.DUMMYFUNCTION("""COMPUTED_VALUE"""),103.69)</f>
        <v>103.69</v>
      </c>
      <c r="C5323" s="2">
        <f>IFERROR(__xludf.DUMMYFUNCTION("""COMPUTED_VALUE"""),104.23)</f>
        <v>104.23</v>
      </c>
      <c r="D5323" s="2">
        <f>IFERROR(__xludf.DUMMYFUNCTION("""COMPUTED_VALUE"""),103.46)</f>
        <v>103.46</v>
      </c>
      <c r="E5323" s="2">
        <f>IFERROR(__xludf.DUMMYFUNCTION("""COMPUTED_VALUE"""),103.69)</f>
        <v>103.69</v>
      </c>
      <c r="F5323" s="2">
        <f>IFERROR(__xludf.DUMMYFUNCTION("""COMPUTED_VALUE"""),7687500.0)</f>
        <v>7687500</v>
      </c>
    </row>
    <row r="5324">
      <c r="A5324" s="3">
        <f>IFERROR(__xludf.DUMMYFUNCTION("""COMPUTED_VALUE"""),36914.666666666664)</f>
        <v>36914.66667</v>
      </c>
      <c r="B5324" s="2">
        <f>IFERROR(__xludf.DUMMYFUNCTION("""COMPUTED_VALUE"""),104.65)</f>
        <v>104.65</v>
      </c>
      <c r="C5324" s="2">
        <f>IFERROR(__xludf.DUMMYFUNCTION("""COMPUTED_VALUE"""),105.01)</f>
        <v>105.01</v>
      </c>
      <c r="D5324" s="2">
        <f>IFERROR(__xludf.DUMMYFUNCTION("""COMPUTED_VALUE"""),102.8)</f>
        <v>102.8</v>
      </c>
      <c r="E5324" s="2">
        <f>IFERROR(__xludf.DUMMYFUNCTION("""COMPUTED_VALUE"""),104.17)</f>
        <v>104.17</v>
      </c>
      <c r="F5324" s="2">
        <f>IFERROR(__xludf.DUMMYFUNCTION("""COMPUTED_VALUE"""),8652900.0)</f>
        <v>8652900</v>
      </c>
    </row>
    <row r="5325">
      <c r="A5325" s="3">
        <f>IFERROR(__xludf.DUMMYFUNCTION("""COMPUTED_VALUE"""),36915.666666666664)</f>
        <v>36915.66667</v>
      </c>
      <c r="B5325" s="2">
        <f>IFERROR(__xludf.DUMMYFUNCTION("""COMPUTED_VALUE"""),104.17)</f>
        <v>104.17</v>
      </c>
      <c r="C5325" s="2">
        <f>IFERROR(__xludf.DUMMYFUNCTION("""COMPUTED_VALUE"""),106.44)</f>
        <v>106.44</v>
      </c>
      <c r="D5325" s="2">
        <f>IFERROR(__xludf.DUMMYFUNCTION("""COMPUTED_VALUE"""),104.11)</f>
        <v>104.11</v>
      </c>
      <c r="E5325" s="2">
        <f>IFERROR(__xludf.DUMMYFUNCTION("""COMPUTED_VALUE"""),105.49)</f>
        <v>105.49</v>
      </c>
      <c r="F5325" s="2">
        <f>IFERROR(__xludf.DUMMYFUNCTION("""COMPUTED_VALUE"""),5620800.0)</f>
        <v>5620800</v>
      </c>
    </row>
    <row r="5326">
      <c r="A5326" s="3">
        <f>IFERROR(__xludf.DUMMYFUNCTION("""COMPUTED_VALUE"""),36916.666666666664)</f>
        <v>36916.66667</v>
      </c>
      <c r="B5326" s="2">
        <f>IFERROR(__xludf.DUMMYFUNCTION("""COMPUTED_VALUE"""),105.19)</f>
        <v>105.19</v>
      </c>
      <c r="C5326" s="2">
        <f>IFERROR(__xludf.DUMMYFUNCTION("""COMPUTED_VALUE"""),106.14)</f>
        <v>106.14</v>
      </c>
      <c r="D5326" s="2">
        <f>IFERROR(__xludf.DUMMYFUNCTION("""COMPUTED_VALUE"""),104.59)</f>
        <v>104.59</v>
      </c>
      <c r="E5326" s="2">
        <f>IFERROR(__xludf.DUMMYFUNCTION("""COMPUTED_VALUE"""),105.78)</f>
        <v>105.78</v>
      </c>
      <c r="F5326" s="2">
        <f>IFERROR(__xludf.DUMMYFUNCTION("""COMPUTED_VALUE"""),4052400.0)</f>
        <v>4052400</v>
      </c>
    </row>
    <row r="5327">
      <c r="A5327" s="3">
        <f>IFERROR(__xludf.DUMMYFUNCTION("""COMPUTED_VALUE"""),36917.666666666664)</f>
        <v>36917.66667</v>
      </c>
      <c r="B5327" s="2">
        <f>IFERROR(__xludf.DUMMYFUNCTION("""COMPUTED_VALUE"""),104.71)</f>
        <v>104.71</v>
      </c>
      <c r="C5327" s="2">
        <f>IFERROR(__xludf.DUMMYFUNCTION("""COMPUTED_VALUE"""),110.08)</f>
        <v>110.08</v>
      </c>
      <c r="D5327" s="2">
        <f>IFERROR(__xludf.DUMMYFUNCTION("""COMPUTED_VALUE"""),104.29)</f>
        <v>104.29</v>
      </c>
      <c r="E5327" s="2">
        <f>IFERROR(__xludf.DUMMYFUNCTION("""COMPUTED_VALUE"""),109.07)</f>
        <v>109.07</v>
      </c>
      <c r="F5327" s="2">
        <f>IFERROR(__xludf.DUMMYFUNCTION("""COMPUTED_VALUE"""),7650500.0)</f>
        <v>7650500</v>
      </c>
    </row>
    <row r="5328">
      <c r="A5328" s="3">
        <f>IFERROR(__xludf.DUMMYFUNCTION("""COMPUTED_VALUE"""),36920.666666666664)</f>
        <v>36920.66667</v>
      </c>
      <c r="B5328" s="2">
        <f>IFERROR(__xludf.DUMMYFUNCTION("""COMPUTED_VALUE"""),107.46)</f>
        <v>107.46</v>
      </c>
      <c r="C5328" s="2">
        <f>IFERROR(__xludf.DUMMYFUNCTION("""COMPUTED_VALUE"""),110.78)</f>
        <v>110.78</v>
      </c>
      <c r="D5328" s="2">
        <f>IFERROR(__xludf.DUMMYFUNCTION("""COMPUTED_VALUE"""),107.43)</f>
        <v>107.43</v>
      </c>
      <c r="E5328" s="2">
        <f>IFERROR(__xludf.DUMMYFUNCTION("""COMPUTED_VALUE"""),110.07)</f>
        <v>110.07</v>
      </c>
      <c r="F5328" s="2">
        <f>IFERROR(__xludf.DUMMYFUNCTION("""COMPUTED_VALUE"""),4299700.0)</f>
        <v>4299700</v>
      </c>
    </row>
    <row r="5329">
      <c r="A5329" s="3">
        <f>IFERROR(__xludf.DUMMYFUNCTION("""COMPUTED_VALUE"""),36921.666666666664)</f>
        <v>36921.66667</v>
      </c>
      <c r="B5329" s="2">
        <f>IFERROR(__xludf.DUMMYFUNCTION("""COMPUTED_VALUE"""),109.84)</f>
        <v>109.84</v>
      </c>
      <c r="C5329" s="2">
        <f>IFERROR(__xludf.DUMMYFUNCTION("""COMPUTED_VALUE"""),111.52)</f>
        <v>111.52</v>
      </c>
      <c r="D5329" s="2">
        <f>IFERROR(__xludf.DUMMYFUNCTION("""COMPUTED_VALUE"""),108.32)</f>
        <v>108.32</v>
      </c>
      <c r="E5329" s="2">
        <f>IFERROR(__xludf.DUMMYFUNCTION("""COMPUTED_VALUE"""),111.38)</f>
        <v>111.38</v>
      </c>
      <c r="F5329" s="2">
        <f>IFERROR(__xludf.DUMMYFUNCTION("""COMPUTED_VALUE"""),7010200.0)</f>
        <v>7010200</v>
      </c>
    </row>
    <row r="5330">
      <c r="A5330" s="3">
        <f>IFERROR(__xludf.DUMMYFUNCTION("""COMPUTED_VALUE"""),36922.666666666664)</f>
        <v>36922.66667</v>
      </c>
      <c r="B5330" s="2">
        <f>IFERROR(__xludf.DUMMYFUNCTION("""COMPUTED_VALUE"""),110.56)</f>
        <v>110.56</v>
      </c>
      <c r="C5330" s="2">
        <f>IFERROR(__xludf.DUMMYFUNCTION("""COMPUTED_VALUE"""),111.7)</f>
        <v>111.7</v>
      </c>
      <c r="D5330" s="2">
        <f>IFERROR(__xludf.DUMMYFUNCTION("""COMPUTED_VALUE"""),106.98)</f>
        <v>106.98</v>
      </c>
      <c r="E5330" s="2">
        <f>IFERROR(__xludf.DUMMYFUNCTION("""COMPUTED_VALUE"""),106.98)</f>
        <v>106.98</v>
      </c>
      <c r="F5330" s="2">
        <f>IFERROR(__xludf.DUMMYFUNCTION("""COMPUTED_VALUE"""),5885400.0)</f>
        <v>5885400</v>
      </c>
    </row>
    <row r="5331">
      <c r="A5331" s="3">
        <f>IFERROR(__xludf.DUMMYFUNCTION("""COMPUTED_VALUE"""),36923.666666666664)</f>
        <v>36923.66667</v>
      </c>
      <c r="B5331" s="2">
        <f>IFERROR(__xludf.DUMMYFUNCTION("""COMPUTED_VALUE"""),107.36)</f>
        <v>107.36</v>
      </c>
      <c r="C5331" s="2">
        <f>IFERROR(__xludf.DUMMYFUNCTION("""COMPUTED_VALUE"""),109.18)</f>
        <v>109.18</v>
      </c>
      <c r="D5331" s="2">
        <f>IFERROR(__xludf.DUMMYFUNCTION("""COMPUTED_VALUE"""),106.21)</f>
        <v>106.21</v>
      </c>
      <c r="E5331" s="2">
        <f>IFERROR(__xludf.DUMMYFUNCTION("""COMPUTED_VALUE"""),108.94)</f>
        <v>108.94</v>
      </c>
      <c r="F5331" s="2">
        <f>IFERROR(__xludf.DUMMYFUNCTION("""COMPUTED_VALUE"""),4544600.0)</f>
        <v>4544600</v>
      </c>
    </row>
    <row r="5332">
      <c r="A5332" s="3">
        <f>IFERROR(__xludf.DUMMYFUNCTION("""COMPUTED_VALUE"""),36924.666666666664)</f>
        <v>36924.66667</v>
      </c>
      <c r="B5332" s="2">
        <f>IFERROR(__xludf.DUMMYFUNCTION("""COMPUTED_VALUE"""),107.69)</f>
        <v>107.69</v>
      </c>
      <c r="C5332" s="2">
        <f>IFERROR(__xludf.DUMMYFUNCTION("""COMPUTED_VALUE"""),108.88)</f>
        <v>108.88</v>
      </c>
      <c r="D5332" s="2">
        <f>IFERROR(__xludf.DUMMYFUNCTION("""COMPUTED_VALUE"""),104.69)</f>
        <v>104.69</v>
      </c>
      <c r="E5332" s="2">
        <f>IFERROR(__xludf.DUMMYFUNCTION("""COMPUTED_VALUE"""),105.33)</f>
        <v>105.33</v>
      </c>
      <c r="F5332" s="2">
        <f>IFERROR(__xludf.DUMMYFUNCTION("""COMPUTED_VALUE"""),4667400.0)</f>
        <v>4667400</v>
      </c>
    </row>
    <row r="5333">
      <c r="A5333" s="3">
        <f>IFERROR(__xludf.DUMMYFUNCTION("""COMPUTED_VALUE"""),36927.666666666664)</f>
        <v>36927.66667</v>
      </c>
      <c r="B5333" s="2">
        <f>IFERROR(__xludf.DUMMYFUNCTION("""COMPUTED_VALUE"""),104.49)</f>
        <v>104.49</v>
      </c>
      <c r="C5333" s="2">
        <f>IFERROR(__xludf.DUMMYFUNCTION("""COMPUTED_VALUE"""),107.55)</f>
        <v>107.55</v>
      </c>
      <c r="D5333" s="2">
        <f>IFERROR(__xludf.DUMMYFUNCTION("""COMPUTED_VALUE"""),104.4)</f>
        <v>104.4</v>
      </c>
      <c r="E5333" s="2">
        <f>IFERROR(__xludf.DUMMYFUNCTION("""COMPUTED_VALUE"""),107.19)</f>
        <v>107.19</v>
      </c>
      <c r="F5333" s="2">
        <f>IFERROR(__xludf.DUMMYFUNCTION("""COMPUTED_VALUE"""),4465700.0)</f>
        <v>4465700</v>
      </c>
    </row>
    <row r="5334">
      <c r="A5334" s="3">
        <f>IFERROR(__xludf.DUMMYFUNCTION("""COMPUTED_VALUE"""),36928.666666666664)</f>
        <v>36928.66667</v>
      </c>
      <c r="B5334" s="2">
        <f>IFERROR(__xludf.DUMMYFUNCTION("""COMPUTED_VALUE"""),107.2)</f>
        <v>107.2</v>
      </c>
      <c r="C5334" s="2">
        <f>IFERROR(__xludf.DUMMYFUNCTION("""COMPUTED_VALUE"""),110.5)</f>
        <v>110.5</v>
      </c>
      <c r="D5334" s="2">
        <f>IFERROR(__xludf.DUMMYFUNCTION("""COMPUTED_VALUE"""),106.21)</f>
        <v>106.21</v>
      </c>
      <c r="E5334" s="2">
        <f>IFERROR(__xludf.DUMMYFUNCTION("""COMPUTED_VALUE"""),109.07)</f>
        <v>109.07</v>
      </c>
      <c r="F5334" s="2">
        <f>IFERROR(__xludf.DUMMYFUNCTION("""COMPUTED_VALUE"""),6361300.0)</f>
        <v>6361300</v>
      </c>
    </row>
    <row r="5335">
      <c r="A5335" s="3">
        <f>IFERROR(__xludf.DUMMYFUNCTION("""COMPUTED_VALUE"""),36929.666666666664)</f>
        <v>36929.66667</v>
      </c>
      <c r="B5335" s="2">
        <f>IFERROR(__xludf.DUMMYFUNCTION("""COMPUTED_VALUE"""),108.32)</f>
        <v>108.32</v>
      </c>
      <c r="C5335" s="2">
        <f>IFERROR(__xludf.DUMMYFUNCTION("""COMPUTED_VALUE"""),112.28)</f>
        <v>112.28</v>
      </c>
      <c r="D5335" s="2">
        <f>IFERROR(__xludf.DUMMYFUNCTION("""COMPUTED_VALUE"""),107.62)</f>
        <v>107.62</v>
      </c>
      <c r="E5335" s="2">
        <f>IFERROR(__xludf.DUMMYFUNCTION("""COMPUTED_VALUE"""),111.67)</f>
        <v>111.67</v>
      </c>
      <c r="F5335" s="2">
        <f>IFERROR(__xludf.DUMMYFUNCTION("""COMPUTED_VALUE"""),7853000.0)</f>
        <v>7853000</v>
      </c>
    </row>
    <row r="5336">
      <c r="A5336" s="3">
        <f>IFERROR(__xludf.DUMMYFUNCTION("""COMPUTED_VALUE"""),36930.666666666664)</f>
        <v>36930.66667</v>
      </c>
      <c r="B5336" s="2">
        <f>IFERROR(__xludf.DUMMYFUNCTION("""COMPUTED_VALUE"""),111.67)</f>
        <v>111.67</v>
      </c>
      <c r="C5336" s="2">
        <f>IFERROR(__xludf.DUMMYFUNCTION("""COMPUTED_VALUE"""),112.9)</f>
        <v>112.9</v>
      </c>
      <c r="D5336" s="2">
        <f>IFERROR(__xludf.DUMMYFUNCTION("""COMPUTED_VALUE"""),108.92)</f>
        <v>108.92</v>
      </c>
      <c r="E5336" s="2">
        <f>IFERROR(__xludf.DUMMYFUNCTION("""COMPUTED_VALUE"""),108.92)</f>
        <v>108.92</v>
      </c>
      <c r="F5336" s="2">
        <f>IFERROR(__xludf.DUMMYFUNCTION("""COMPUTED_VALUE"""),6922000.0)</f>
        <v>6922000</v>
      </c>
    </row>
    <row r="5337">
      <c r="A5337" s="3">
        <f>IFERROR(__xludf.DUMMYFUNCTION("""COMPUTED_VALUE"""),36931.666666666664)</f>
        <v>36931.66667</v>
      </c>
      <c r="B5337" s="2">
        <f>IFERROR(__xludf.DUMMYFUNCTION("""COMPUTED_VALUE"""),108.92)</f>
        <v>108.92</v>
      </c>
      <c r="C5337" s="2">
        <f>IFERROR(__xludf.DUMMYFUNCTION("""COMPUTED_VALUE"""),109.78)</f>
        <v>109.78</v>
      </c>
      <c r="D5337" s="2">
        <f>IFERROR(__xludf.DUMMYFUNCTION("""COMPUTED_VALUE"""),106.02)</f>
        <v>106.02</v>
      </c>
      <c r="E5337" s="2">
        <f>IFERROR(__xludf.DUMMYFUNCTION("""COMPUTED_VALUE"""),107.28)</f>
        <v>107.28</v>
      </c>
      <c r="F5337" s="2">
        <f>IFERROR(__xludf.DUMMYFUNCTION("""COMPUTED_VALUE"""),5510300.0)</f>
        <v>5510300</v>
      </c>
    </row>
    <row r="5338">
      <c r="A5338" s="3">
        <f>IFERROR(__xludf.DUMMYFUNCTION("""COMPUTED_VALUE"""),36934.666666666664)</f>
        <v>36934.66667</v>
      </c>
      <c r="B5338" s="2">
        <f>IFERROR(__xludf.DUMMYFUNCTION("""COMPUTED_VALUE"""),105.59)</f>
        <v>105.59</v>
      </c>
      <c r="C5338" s="2">
        <f>IFERROR(__xludf.DUMMYFUNCTION("""COMPUTED_VALUE"""),110.53)</f>
        <v>110.53</v>
      </c>
      <c r="D5338" s="2">
        <f>IFERROR(__xludf.DUMMYFUNCTION("""COMPUTED_VALUE"""),105.4)</f>
        <v>105.4</v>
      </c>
      <c r="E5338" s="2">
        <f>IFERROR(__xludf.DUMMYFUNCTION("""COMPUTED_VALUE"""),109.75)</f>
        <v>109.75</v>
      </c>
      <c r="F5338" s="2">
        <f>IFERROR(__xludf.DUMMYFUNCTION("""COMPUTED_VALUE"""),5784000.0)</f>
        <v>5784000</v>
      </c>
    </row>
    <row r="5339">
      <c r="A5339" s="3">
        <f>IFERROR(__xludf.DUMMYFUNCTION("""COMPUTED_VALUE"""),36935.666666666664)</f>
        <v>36935.66667</v>
      </c>
      <c r="B5339" s="2">
        <f>IFERROR(__xludf.DUMMYFUNCTION("""COMPUTED_VALUE"""),109.03)</f>
        <v>109.03</v>
      </c>
      <c r="C5339" s="2">
        <f>IFERROR(__xludf.DUMMYFUNCTION("""COMPUTED_VALUE"""),112.63)</f>
        <v>112.63</v>
      </c>
      <c r="D5339" s="2">
        <f>IFERROR(__xludf.DUMMYFUNCTION("""COMPUTED_VALUE"""),108.0)</f>
        <v>108</v>
      </c>
      <c r="E5339" s="2">
        <f>IFERROR(__xludf.DUMMYFUNCTION("""COMPUTED_VALUE"""),108.65)</f>
        <v>108.65</v>
      </c>
      <c r="F5339" s="2">
        <f>IFERROR(__xludf.DUMMYFUNCTION("""COMPUTED_VALUE"""),6143600.0)</f>
        <v>6143600</v>
      </c>
    </row>
    <row r="5340">
      <c r="A5340" s="3">
        <f>IFERROR(__xludf.DUMMYFUNCTION("""COMPUTED_VALUE"""),36936.666666666664)</f>
        <v>36936.66667</v>
      </c>
      <c r="B5340" s="2">
        <f>IFERROR(__xludf.DUMMYFUNCTION("""COMPUTED_VALUE"""),108.65)</f>
        <v>108.65</v>
      </c>
      <c r="C5340" s="2">
        <f>IFERROR(__xludf.DUMMYFUNCTION("""COMPUTED_VALUE"""),110.94)</f>
        <v>110.94</v>
      </c>
      <c r="D5340" s="2">
        <f>IFERROR(__xludf.DUMMYFUNCTION("""COMPUTED_VALUE"""),107.48)</f>
        <v>107.48</v>
      </c>
      <c r="E5340" s="2">
        <f>IFERROR(__xludf.DUMMYFUNCTION("""COMPUTED_VALUE"""),109.94)</f>
        <v>109.94</v>
      </c>
      <c r="F5340" s="2">
        <f>IFERROR(__xludf.DUMMYFUNCTION("""COMPUTED_VALUE"""),6165900.0)</f>
        <v>6165900</v>
      </c>
    </row>
    <row r="5341">
      <c r="A5341" s="3">
        <f>IFERROR(__xludf.DUMMYFUNCTION("""COMPUTED_VALUE"""),36937.666666666664)</f>
        <v>36937.66667</v>
      </c>
      <c r="B5341" s="2">
        <f>IFERROR(__xludf.DUMMYFUNCTION("""COMPUTED_VALUE"""),111.56)</f>
        <v>111.56</v>
      </c>
      <c r="C5341" s="2">
        <f>IFERROR(__xludf.DUMMYFUNCTION("""COMPUTED_VALUE"""),113.28)</f>
        <v>113.28</v>
      </c>
      <c r="D5341" s="2">
        <f>IFERROR(__xludf.DUMMYFUNCTION("""COMPUTED_VALUE"""),111.19)</f>
        <v>111.19</v>
      </c>
      <c r="E5341" s="2">
        <f>IFERROR(__xludf.DUMMYFUNCTION("""COMPUTED_VALUE"""),111.54)</f>
        <v>111.54</v>
      </c>
      <c r="F5341" s="2">
        <f>IFERROR(__xludf.DUMMYFUNCTION("""COMPUTED_VALUE"""),6668800.0)</f>
        <v>6668800</v>
      </c>
    </row>
    <row r="5342">
      <c r="A5342" s="3">
        <f>IFERROR(__xludf.DUMMYFUNCTION("""COMPUTED_VALUE"""),36938.666666666664)</f>
        <v>36938.66667</v>
      </c>
      <c r="B5342" s="2">
        <f>IFERROR(__xludf.DUMMYFUNCTION("""COMPUTED_VALUE"""),109.41)</f>
        <v>109.41</v>
      </c>
      <c r="C5342" s="2">
        <f>IFERROR(__xludf.DUMMYFUNCTION("""COMPUTED_VALUE"""),110.56)</f>
        <v>110.56</v>
      </c>
      <c r="D5342" s="2">
        <f>IFERROR(__xludf.DUMMYFUNCTION("""COMPUTED_VALUE"""),108.83)</f>
        <v>108.83</v>
      </c>
      <c r="E5342" s="2">
        <f>IFERROR(__xludf.DUMMYFUNCTION("""COMPUTED_VALUE"""),109.84)</f>
        <v>109.84</v>
      </c>
      <c r="F5342" s="2">
        <f>IFERROR(__xludf.DUMMYFUNCTION("""COMPUTED_VALUE"""),6307900.0)</f>
        <v>6307900</v>
      </c>
    </row>
    <row r="5343">
      <c r="A5343" s="3">
        <f>IFERROR(__xludf.DUMMYFUNCTION("""COMPUTED_VALUE"""),36942.666666666664)</f>
        <v>36942.66667</v>
      </c>
      <c r="B5343" s="2">
        <f>IFERROR(__xludf.DUMMYFUNCTION("""COMPUTED_VALUE"""),109.41)</f>
        <v>109.41</v>
      </c>
      <c r="C5343" s="2">
        <f>IFERROR(__xludf.DUMMYFUNCTION("""COMPUTED_VALUE"""),110.42)</f>
        <v>110.42</v>
      </c>
      <c r="D5343" s="2">
        <f>IFERROR(__xludf.DUMMYFUNCTION("""COMPUTED_VALUE"""),105.81)</f>
        <v>105.81</v>
      </c>
      <c r="E5343" s="2">
        <f>IFERROR(__xludf.DUMMYFUNCTION("""COMPUTED_VALUE"""),106.5)</f>
        <v>106.5</v>
      </c>
      <c r="F5343" s="2">
        <f>IFERROR(__xludf.DUMMYFUNCTION("""COMPUTED_VALUE"""),5720800.0)</f>
        <v>5720800</v>
      </c>
    </row>
    <row r="5344">
      <c r="A5344" s="3">
        <f>IFERROR(__xludf.DUMMYFUNCTION("""COMPUTED_VALUE"""),36943.666666666664)</f>
        <v>36943.66667</v>
      </c>
      <c r="B5344" s="2">
        <f>IFERROR(__xludf.DUMMYFUNCTION("""COMPUTED_VALUE"""),104.64)</f>
        <v>104.64</v>
      </c>
      <c r="C5344" s="2">
        <f>IFERROR(__xludf.DUMMYFUNCTION("""COMPUTED_VALUE"""),106.5)</f>
        <v>106.5</v>
      </c>
      <c r="D5344" s="2">
        <f>IFERROR(__xludf.DUMMYFUNCTION("""COMPUTED_VALUE"""),102.49)</f>
        <v>102.49</v>
      </c>
      <c r="E5344" s="2">
        <f>IFERROR(__xludf.DUMMYFUNCTION("""COMPUTED_VALUE"""),102.68)</f>
        <v>102.68</v>
      </c>
      <c r="F5344" s="2">
        <f>IFERROR(__xludf.DUMMYFUNCTION("""COMPUTED_VALUE"""),7752700.0)</f>
        <v>7752700</v>
      </c>
    </row>
    <row r="5345">
      <c r="A5345" s="3">
        <f>IFERROR(__xludf.DUMMYFUNCTION("""COMPUTED_VALUE"""),36944.666666666664)</f>
        <v>36944.66667</v>
      </c>
      <c r="B5345" s="2">
        <f>IFERROR(__xludf.DUMMYFUNCTION("""COMPUTED_VALUE"""),101.72)</f>
        <v>101.72</v>
      </c>
      <c r="C5345" s="2">
        <f>IFERROR(__xludf.DUMMYFUNCTION("""COMPUTED_VALUE"""),105.93)</f>
        <v>105.93</v>
      </c>
      <c r="D5345" s="2">
        <f>IFERROR(__xludf.DUMMYFUNCTION("""COMPUTED_VALUE"""),98.74)</f>
        <v>98.74</v>
      </c>
      <c r="E5345" s="2">
        <f>IFERROR(__xludf.DUMMYFUNCTION("""COMPUTED_VALUE"""),104.0)</f>
        <v>104</v>
      </c>
      <c r="F5345" s="2">
        <f>IFERROR(__xludf.DUMMYFUNCTION("""COMPUTED_VALUE"""),9982400.0)</f>
        <v>9982400</v>
      </c>
    </row>
    <row r="5346">
      <c r="A5346" s="3">
        <f>IFERROR(__xludf.DUMMYFUNCTION("""COMPUTED_VALUE"""),36945.666666666664)</f>
        <v>36945.66667</v>
      </c>
      <c r="B5346" s="2">
        <f>IFERROR(__xludf.DUMMYFUNCTION("""COMPUTED_VALUE"""),102.68)</f>
        <v>102.68</v>
      </c>
      <c r="C5346" s="2">
        <f>IFERROR(__xludf.DUMMYFUNCTION("""COMPUTED_VALUE"""),102.68)</f>
        <v>102.68</v>
      </c>
      <c r="D5346" s="2">
        <f>IFERROR(__xludf.DUMMYFUNCTION("""COMPUTED_VALUE"""),95.9)</f>
        <v>95.9</v>
      </c>
      <c r="E5346" s="2">
        <f>IFERROR(__xludf.DUMMYFUNCTION("""COMPUTED_VALUE"""),99.34)</f>
        <v>99.34</v>
      </c>
      <c r="F5346" s="2">
        <f>IFERROR(__xludf.DUMMYFUNCTION("""COMPUTED_VALUE"""),1.35409E7)</f>
        <v>13540900</v>
      </c>
    </row>
    <row r="5347">
      <c r="A5347" s="3">
        <f>IFERROR(__xludf.DUMMYFUNCTION("""COMPUTED_VALUE"""),36948.666666666664)</f>
        <v>36948.66667</v>
      </c>
      <c r="B5347" s="2">
        <f>IFERROR(__xludf.DUMMYFUNCTION("""COMPUTED_VALUE"""),101.06)</f>
        <v>101.06</v>
      </c>
      <c r="C5347" s="2">
        <f>IFERROR(__xludf.DUMMYFUNCTION("""COMPUTED_VALUE"""),101.06)</f>
        <v>101.06</v>
      </c>
      <c r="D5347" s="2">
        <f>IFERROR(__xludf.DUMMYFUNCTION("""COMPUTED_VALUE"""),97.33)</f>
        <v>97.33</v>
      </c>
      <c r="E5347" s="2">
        <f>IFERROR(__xludf.DUMMYFUNCTION("""COMPUTED_VALUE"""),100.58)</f>
        <v>100.58</v>
      </c>
      <c r="F5347" s="2">
        <f>IFERROR(__xludf.DUMMYFUNCTION("""COMPUTED_VALUE"""),7252700.0)</f>
        <v>7252700</v>
      </c>
    </row>
    <row r="5348">
      <c r="A5348" s="3">
        <f>IFERROR(__xludf.DUMMYFUNCTION("""COMPUTED_VALUE"""),36949.666666666664)</f>
        <v>36949.66667</v>
      </c>
      <c r="B5348" s="2">
        <f>IFERROR(__xludf.DUMMYFUNCTION("""COMPUTED_VALUE"""),100.2)</f>
        <v>100.2</v>
      </c>
      <c r="C5348" s="2">
        <f>IFERROR(__xludf.DUMMYFUNCTION("""COMPUTED_VALUE"""),102.06)</f>
        <v>102.06</v>
      </c>
      <c r="D5348" s="2">
        <f>IFERROR(__xludf.DUMMYFUNCTION("""COMPUTED_VALUE"""),97.98)</f>
        <v>97.98</v>
      </c>
      <c r="E5348" s="2">
        <f>IFERROR(__xludf.DUMMYFUNCTION("""COMPUTED_VALUE"""),97.99)</f>
        <v>97.99</v>
      </c>
      <c r="F5348" s="2">
        <f>IFERROR(__xludf.DUMMYFUNCTION("""COMPUTED_VALUE"""),8460000.0)</f>
        <v>8460000</v>
      </c>
    </row>
    <row r="5349">
      <c r="A5349" s="3">
        <f>IFERROR(__xludf.DUMMYFUNCTION("""COMPUTED_VALUE"""),36950.666666666664)</f>
        <v>36950.66667</v>
      </c>
      <c r="B5349" s="2">
        <f>IFERROR(__xludf.DUMMYFUNCTION("""COMPUTED_VALUE"""),98.33)</f>
        <v>98.33</v>
      </c>
      <c r="C5349" s="2">
        <f>IFERROR(__xludf.DUMMYFUNCTION("""COMPUTED_VALUE"""),98.86)</f>
        <v>98.86</v>
      </c>
      <c r="D5349" s="2">
        <f>IFERROR(__xludf.DUMMYFUNCTION("""COMPUTED_VALUE"""),94.7)</f>
        <v>94.7</v>
      </c>
      <c r="E5349" s="2">
        <f>IFERROR(__xludf.DUMMYFUNCTION("""COMPUTED_VALUE"""),95.42)</f>
        <v>95.42</v>
      </c>
      <c r="F5349" s="2">
        <f>IFERROR(__xludf.DUMMYFUNCTION("""COMPUTED_VALUE"""),1.03201E7)</f>
        <v>10320100</v>
      </c>
    </row>
    <row r="5350">
      <c r="A5350" s="3">
        <f>IFERROR(__xludf.DUMMYFUNCTION("""COMPUTED_VALUE"""),36951.666666666664)</f>
        <v>36951.66667</v>
      </c>
      <c r="B5350" s="2">
        <f>IFERROR(__xludf.DUMMYFUNCTION("""COMPUTED_VALUE"""),94.85)</f>
        <v>94.85</v>
      </c>
      <c r="C5350" s="2">
        <f>IFERROR(__xludf.DUMMYFUNCTION("""COMPUTED_VALUE"""),101.63)</f>
        <v>101.63</v>
      </c>
      <c r="D5350" s="2">
        <f>IFERROR(__xludf.DUMMYFUNCTION("""COMPUTED_VALUE"""),93.27)</f>
        <v>93.27</v>
      </c>
      <c r="E5350" s="2">
        <f>IFERROR(__xludf.DUMMYFUNCTION("""COMPUTED_VALUE"""),101.3)</f>
        <v>101.3</v>
      </c>
      <c r="F5350" s="2">
        <f>IFERROR(__xludf.DUMMYFUNCTION("""COMPUTED_VALUE"""),1.29919E7)</f>
        <v>12991900</v>
      </c>
    </row>
    <row r="5351">
      <c r="A5351" s="3">
        <f>IFERROR(__xludf.DUMMYFUNCTION("""COMPUTED_VALUE"""),36952.666666666664)</f>
        <v>36952.66667</v>
      </c>
      <c r="B5351" s="2">
        <f>IFERROR(__xludf.DUMMYFUNCTION("""COMPUTED_VALUE"""),99.34)</f>
        <v>99.34</v>
      </c>
      <c r="C5351" s="2">
        <f>IFERROR(__xludf.DUMMYFUNCTION("""COMPUTED_VALUE"""),102.58)</f>
        <v>102.58</v>
      </c>
      <c r="D5351" s="2">
        <f>IFERROR(__xludf.DUMMYFUNCTION("""COMPUTED_VALUE"""),96.47)</f>
        <v>96.47</v>
      </c>
      <c r="E5351" s="2">
        <f>IFERROR(__xludf.DUMMYFUNCTION("""COMPUTED_VALUE"""),97.72)</f>
        <v>97.72</v>
      </c>
      <c r="F5351" s="2">
        <f>IFERROR(__xludf.DUMMYFUNCTION("""COMPUTED_VALUE"""),1.2858E7)</f>
        <v>12858000</v>
      </c>
    </row>
    <row r="5352">
      <c r="A5352" s="3">
        <f>IFERROR(__xludf.DUMMYFUNCTION("""COMPUTED_VALUE"""),36955.666666666664)</f>
        <v>36955.66667</v>
      </c>
      <c r="B5352" s="2">
        <f>IFERROR(__xludf.DUMMYFUNCTION("""COMPUTED_VALUE"""),98.2)</f>
        <v>98.2</v>
      </c>
      <c r="C5352" s="2">
        <f>IFERROR(__xludf.DUMMYFUNCTION("""COMPUTED_VALUE"""),100.87)</f>
        <v>100.87</v>
      </c>
      <c r="D5352" s="2">
        <f>IFERROR(__xludf.DUMMYFUNCTION("""COMPUTED_VALUE"""),98.1)</f>
        <v>98.1</v>
      </c>
      <c r="E5352" s="2">
        <f>IFERROR(__xludf.DUMMYFUNCTION("""COMPUTED_VALUE"""),100.21)</f>
        <v>100.21</v>
      </c>
      <c r="F5352" s="2">
        <f>IFERROR(__xludf.DUMMYFUNCTION("""COMPUTED_VALUE"""),5762600.0)</f>
        <v>5762600</v>
      </c>
    </row>
    <row r="5353">
      <c r="A5353" s="3">
        <f>IFERROR(__xludf.DUMMYFUNCTION("""COMPUTED_VALUE"""),36956.666666666664)</f>
        <v>36956.66667</v>
      </c>
      <c r="B5353" s="2">
        <f>IFERROR(__xludf.DUMMYFUNCTION("""COMPUTED_VALUE"""),101.49)</f>
        <v>101.49</v>
      </c>
      <c r="C5353" s="2">
        <f>IFERROR(__xludf.DUMMYFUNCTION("""COMPUTED_VALUE"""),103.49)</f>
        <v>103.49</v>
      </c>
      <c r="D5353" s="2">
        <f>IFERROR(__xludf.DUMMYFUNCTION("""COMPUTED_VALUE"""),100.53)</f>
        <v>100.53</v>
      </c>
      <c r="E5353" s="2">
        <f>IFERROR(__xludf.DUMMYFUNCTION("""COMPUTED_VALUE"""),101.25)</f>
        <v>101.25</v>
      </c>
      <c r="F5353" s="2">
        <f>IFERROR(__xludf.DUMMYFUNCTION("""COMPUTED_VALUE"""),7058200.0)</f>
        <v>7058200</v>
      </c>
    </row>
    <row r="5354">
      <c r="A5354" s="3">
        <f>IFERROR(__xludf.DUMMYFUNCTION("""COMPUTED_VALUE"""),36957.666666666664)</f>
        <v>36957.66667</v>
      </c>
      <c r="B5354" s="2">
        <f>IFERROR(__xludf.DUMMYFUNCTION("""COMPUTED_VALUE"""),102.63)</f>
        <v>102.63</v>
      </c>
      <c r="C5354" s="2">
        <f>IFERROR(__xludf.DUMMYFUNCTION("""COMPUTED_VALUE"""),103.4)</f>
        <v>103.4</v>
      </c>
      <c r="D5354" s="2">
        <f>IFERROR(__xludf.DUMMYFUNCTION("""COMPUTED_VALUE"""),100.96)</f>
        <v>100.96</v>
      </c>
      <c r="E5354" s="2">
        <f>IFERROR(__xludf.DUMMYFUNCTION("""COMPUTED_VALUE"""),102.73)</f>
        <v>102.73</v>
      </c>
      <c r="F5354" s="2">
        <f>IFERROR(__xludf.DUMMYFUNCTION("""COMPUTED_VALUE"""),6833400.0)</f>
        <v>6833400</v>
      </c>
    </row>
    <row r="5355">
      <c r="A5355" s="3">
        <f>IFERROR(__xludf.DUMMYFUNCTION("""COMPUTED_VALUE"""),36958.666666666664)</f>
        <v>36958.66667</v>
      </c>
      <c r="B5355" s="2">
        <f>IFERROR(__xludf.DUMMYFUNCTION("""COMPUTED_VALUE"""),102.36)</f>
        <v>102.36</v>
      </c>
      <c r="C5355" s="2">
        <f>IFERROR(__xludf.DUMMYFUNCTION("""COMPUTED_VALUE"""),102.49)</f>
        <v>102.49</v>
      </c>
      <c r="D5355" s="2">
        <f>IFERROR(__xludf.DUMMYFUNCTION("""COMPUTED_VALUE"""),100.65)</f>
        <v>100.65</v>
      </c>
      <c r="E5355" s="2">
        <f>IFERROR(__xludf.DUMMYFUNCTION("""COMPUTED_VALUE"""),101.7)</f>
        <v>101.7</v>
      </c>
      <c r="F5355" s="2">
        <f>IFERROR(__xludf.DUMMYFUNCTION("""COMPUTED_VALUE"""),5498500.0)</f>
        <v>5498500</v>
      </c>
    </row>
    <row r="5356">
      <c r="A5356" s="3">
        <f>IFERROR(__xludf.DUMMYFUNCTION("""COMPUTED_VALUE"""),36959.666666666664)</f>
        <v>36959.66667</v>
      </c>
      <c r="B5356" s="2">
        <f>IFERROR(__xludf.DUMMYFUNCTION("""COMPUTED_VALUE"""),100.29)</f>
        <v>100.29</v>
      </c>
      <c r="C5356" s="2">
        <f>IFERROR(__xludf.DUMMYFUNCTION("""COMPUTED_VALUE"""),100.3)</f>
        <v>100.3</v>
      </c>
      <c r="D5356" s="2">
        <f>IFERROR(__xludf.DUMMYFUNCTION("""COMPUTED_VALUE"""),93.61)</f>
        <v>93.61</v>
      </c>
      <c r="E5356" s="2">
        <f>IFERROR(__xludf.DUMMYFUNCTION("""COMPUTED_VALUE"""),94.84)</f>
        <v>94.84</v>
      </c>
      <c r="F5356" s="2">
        <f>IFERROR(__xludf.DUMMYFUNCTION("""COMPUTED_VALUE"""),1.38849E7)</f>
        <v>13884900</v>
      </c>
    </row>
    <row r="5357">
      <c r="A5357" s="3">
        <f>IFERROR(__xludf.DUMMYFUNCTION("""COMPUTED_VALUE"""),36962.666666666664)</f>
        <v>36962.66667</v>
      </c>
      <c r="B5357" s="2">
        <f>IFERROR(__xludf.DUMMYFUNCTION("""COMPUTED_VALUE"""),93.51)</f>
        <v>93.51</v>
      </c>
      <c r="C5357" s="2">
        <f>IFERROR(__xludf.DUMMYFUNCTION("""COMPUTED_VALUE"""),93.99)</f>
        <v>93.99</v>
      </c>
      <c r="D5357" s="2">
        <f>IFERROR(__xludf.DUMMYFUNCTION("""COMPUTED_VALUE"""),90.77)</f>
        <v>90.77</v>
      </c>
      <c r="E5357" s="2">
        <f>IFERROR(__xludf.DUMMYFUNCTION("""COMPUTED_VALUE"""),91.21)</f>
        <v>91.21</v>
      </c>
      <c r="F5357" s="2">
        <f>IFERROR(__xludf.DUMMYFUNCTION("""COMPUTED_VALUE"""),1.1985E7)</f>
        <v>11985000</v>
      </c>
    </row>
    <row r="5358">
      <c r="A5358" s="3">
        <f>IFERROR(__xludf.DUMMYFUNCTION("""COMPUTED_VALUE"""),36963.666666666664)</f>
        <v>36963.66667</v>
      </c>
      <c r="B5358" s="2">
        <f>IFERROR(__xludf.DUMMYFUNCTION("""COMPUTED_VALUE"""),90.84)</f>
        <v>90.84</v>
      </c>
      <c r="C5358" s="2">
        <f>IFERROR(__xludf.DUMMYFUNCTION("""COMPUTED_VALUE"""),93.99)</f>
        <v>93.99</v>
      </c>
      <c r="D5358" s="2">
        <f>IFERROR(__xludf.DUMMYFUNCTION("""COMPUTED_VALUE"""),90.02)</f>
        <v>90.02</v>
      </c>
      <c r="E5358" s="2">
        <f>IFERROR(__xludf.DUMMYFUNCTION("""COMPUTED_VALUE"""),93.98)</f>
        <v>93.98</v>
      </c>
      <c r="F5358" s="2">
        <f>IFERROR(__xludf.DUMMYFUNCTION("""COMPUTED_VALUE"""),1.04274E7)</f>
        <v>10427400</v>
      </c>
    </row>
    <row r="5359">
      <c r="A5359" s="3">
        <f>IFERROR(__xludf.DUMMYFUNCTION("""COMPUTED_VALUE"""),36964.666666666664)</f>
        <v>36964.66667</v>
      </c>
      <c r="B5359" s="2">
        <f>IFERROR(__xludf.DUMMYFUNCTION("""COMPUTED_VALUE"""),91.79)</f>
        <v>91.79</v>
      </c>
      <c r="C5359" s="2">
        <f>IFERROR(__xludf.DUMMYFUNCTION("""COMPUTED_VALUE"""),94.47)</f>
        <v>94.47</v>
      </c>
      <c r="D5359" s="2">
        <f>IFERROR(__xludf.DUMMYFUNCTION("""COMPUTED_VALUE"""),89.18)</f>
        <v>89.18</v>
      </c>
      <c r="E5359" s="2">
        <f>IFERROR(__xludf.DUMMYFUNCTION("""COMPUTED_VALUE"""),90.7)</f>
        <v>90.7</v>
      </c>
      <c r="F5359" s="2">
        <f>IFERROR(__xludf.DUMMYFUNCTION("""COMPUTED_VALUE"""),1.21282E7)</f>
        <v>12128200</v>
      </c>
    </row>
    <row r="5360">
      <c r="A5360" s="3">
        <f>IFERROR(__xludf.DUMMYFUNCTION("""COMPUTED_VALUE"""),36965.666666666664)</f>
        <v>36965.66667</v>
      </c>
      <c r="B5360" s="2">
        <f>IFERROR(__xludf.DUMMYFUNCTION("""COMPUTED_VALUE"""),91.7)</f>
        <v>91.7</v>
      </c>
      <c r="C5360" s="2">
        <f>IFERROR(__xludf.DUMMYFUNCTION("""COMPUTED_VALUE"""),93.42)</f>
        <v>93.42</v>
      </c>
      <c r="D5360" s="2">
        <f>IFERROR(__xludf.DUMMYFUNCTION("""COMPUTED_VALUE"""),90.9)</f>
        <v>90.9</v>
      </c>
      <c r="E5360" s="2">
        <f>IFERROR(__xludf.DUMMYFUNCTION("""COMPUTED_VALUE"""),91.28)</f>
        <v>91.28</v>
      </c>
      <c r="F5360" s="2">
        <f>IFERROR(__xludf.DUMMYFUNCTION("""COMPUTED_VALUE"""),6943400.0)</f>
        <v>6943400</v>
      </c>
    </row>
    <row r="5361">
      <c r="A5361" s="3">
        <f>IFERROR(__xludf.DUMMYFUNCTION("""COMPUTED_VALUE"""),36966.666666666664)</f>
        <v>36966.66667</v>
      </c>
      <c r="B5361" s="2">
        <f>IFERROR(__xludf.DUMMYFUNCTION("""COMPUTED_VALUE"""),89.69)</f>
        <v>89.69</v>
      </c>
      <c r="C5361" s="2">
        <f>IFERROR(__xludf.DUMMYFUNCTION("""COMPUTED_VALUE"""),89.69)</f>
        <v>89.69</v>
      </c>
      <c r="D5361" s="2">
        <f>IFERROR(__xludf.DUMMYFUNCTION("""COMPUTED_VALUE"""),84.34)</f>
        <v>84.34</v>
      </c>
      <c r="E5361" s="2">
        <f>IFERROR(__xludf.DUMMYFUNCTION("""COMPUTED_VALUE"""),86.06)</f>
        <v>86.06</v>
      </c>
      <c r="F5361" s="2">
        <f>IFERROR(__xludf.DUMMYFUNCTION("""COMPUTED_VALUE"""),1.67114E7)</f>
        <v>16711400</v>
      </c>
    </row>
    <row r="5362">
      <c r="A5362" s="3">
        <f>IFERROR(__xludf.DUMMYFUNCTION("""COMPUTED_VALUE"""),36969.666666666664)</f>
        <v>36969.66667</v>
      </c>
      <c r="B5362" s="2">
        <f>IFERROR(__xludf.DUMMYFUNCTION("""COMPUTED_VALUE"""),86.92)</f>
        <v>86.92</v>
      </c>
      <c r="C5362" s="2">
        <f>IFERROR(__xludf.DUMMYFUNCTION("""COMPUTED_VALUE"""),88.64)</f>
        <v>88.64</v>
      </c>
      <c r="D5362" s="2">
        <f>IFERROR(__xludf.DUMMYFUNCTION("""COMPUTED_VALUE"""),85.25)</f>
        <v>85.25</v>
      </c>
      <c r="E5362" s="2">
        <f>IFERROR(__xludf.DUMMYFUNCTION("""COMPUTED_VALUE"""),88.45)</f>
        <v>88.45</v>
      </c>
      <c r="F5362" s="2">
        <f>IFERROR(__xludf.DUMMYFUNCTION("""COMPUTED_VALUE"""),8414200.0)</f>
        <v>8414200</v>
      </c>
    </row>
    <row r="5363">
      <c r="A5363" s="3">
        <f>IFERROR(__xludf.DUMMYFUNCTION("""COMPUTED_VALUE"""),36970.666666666664)</f>
        <v>36970.66667</v>
      </c>
      <c r="B5363" s="2">
        <f>IFERROR(__xludf.DUMMYFUNCTION("""COMPUTED_VALUE"""),87.49)</f>
        <v>87.49</v>
      </c>
      <c r="C5363" s="2">
        <f>IFERROR(__xludf.DUMMYFUNCTION("""COMPUTED_VALUE"""),87.9)</f>
        <v>87.9</v>
      </c>
      <c r="D5363" s="2">
        <f>IFERROR(__xludf.DUMMYFUNCTION("""COMPUTED_VALUE"""),84.24)</f>
        <v>84.24</v>
      </c>
      <c r="E5363" s="2">
        <f>IFERROR(__xludf.DUMMYFUNCTION("""COMPUTED_VALUE"""),84.34)</f>
        <v>84.34</v>
      </c>
      <c r="F5363" s="2">
        <f>IFERROR(__xludf.DUMMYFUNCTION("""COMPUTED_VALUE"""),8354600.0)</f>
        <v>8354600</v>
      </c>
    </row>
    <row r="5364">
      <c r="A5364" s="3">
        <f>IFERROR(__xludf.DUMMYFUNCTION("""COMPUTED_VALUE"""),36971.666666666664)</f>
        <v>36971.66667</v>
      </c>
      <c r="B5364" s="2">
        <f>IFERROR(__xludf.DUMMYFUNCTION("""COMPUTED_VALUE"""),84.48)</f>
        <v>84.48</v>
      </c>
      <c r="C5364" s="2">
        <f>IFERROR(__xludf.DUMMYFUNCTION("""COMPUTED_VALUE"""),87.49)</f>
        <v>87.49</v>
      </c>
      <c r="D5364" s="2">
        <f>IFERROR(__xludf.DUMMYFUNCTION("""COMPUTED_VALUE"""),83.86)</f>
        <v>83.86</v>
      </c>
      <c r="E5364" s="2">
        <f>IFERROR(__xludf.DUMMYFUNCTION("""COMPUTED_VALUE"""),85.09)</f>
        <v>85.09</v>
      </c>
      <c r="F5364" s="2">
        <f>IFERROR(__xludf.DUMMYFUNCTION("""COMPUTED_VALUE"""),9045500.0)</f>
        <v>9045500</v>
      </c>
    </row>
    <row r="5365">
      <c r="A5365" s="3">
        <f>IFERROR(__xludf.DUMMYFUNCTION("""COMPUTED_VALUE"""),36972.666666666664)</f>
        <v>36972.66667</v>
      </c>
      <c r="B5365" s="2">
        <f>IFERROR(__xludf.DUMMYFUNCTION("""COMPUTED_VALUE"""),85.12)</f>
        <v>85.12</v>
      </c>
      <c r="C5365" s="2">
        <f>IFERROR(__xludf.DUMMYFUNCTION("""COMPUTED_VALUE"""),86.92)</f>
        <v>86.92</v>
      </c>
      <c r="D5365" s="2">
        <f>IFERROR(__xludf.DUMMYFUNCTION("""COMPUTED_VALUE"""),83.82)</f>
        <v>83.82</v>
      </c>
      <c r="E5365" s="2">
        <f>IFERROR(__xludf.DUMMYFUNCTION("""COMPUTED_VALUE"""),85.11)</f>
        <v>85.11</v>
      </c>
      <c r="F5365" s="2">
        <f>IFERROR(__xludf.DUMMYFUNCTION("""COMPUTED_VALUE"""),1.13523E7)</f>
        <v>11352300</v>
      </c>
    </row>
    <row r="5366">
      <c r="A5366" s="3">
        <f>IFERROR(__xludf.DUMMYFUNCTION("""COMPUTED_VALUE"""),36973.666666666664)</f>
        <v>36973.66667</v>
      </c>
      <c r="B5366" s="2">
        <f>IFERROR(__xludf.DUMMYFUNCTION("""COMPUTED_VALUE"""),87.64)</f>
        <v>87.64</v>
      </c>
      <c r="C5366" s="2">
        <f>IFERROR(__xludf.DUMMYFUNCTION("""COMPUTED_VALUE"""),90.69)</f>
        <v>90.69</v>
      </c>
      <c r="D5366" s="2">
        <f>IFERROR(__xludf.DUMMYFUNCTION("""COMPUTED_VALUE"""),86.25)</f>
        <v>86.25</v>
      </c>
      <c r="E5366" s="2">
        <f>IFERROR(__xludf.DUMMYFUNCTION("""COMPUTED_VALUE"""),89.31)</f>
        <v>89.31</v>
      </c>
      <c r="F5366" s="2">
        <f>IFERROR(__xludf.DUMMYFUNCTION("""COMPUTED_VALUE"""),1.02232E7)</f>
        <v>10223200</v>
      </c>
    </row>
    <row r="5367">
      <c r="A5367" s="3">
        <f>IFERROR(__xludf.DUMMYFUNCTION("""COMPUTED_VALUE"""),36976.666666666664)</f>
        <v>36976.66667</v>
      </c>
      <c r="B5367" s="2">
        <f>IFERROR(__xludf.DUMMYFUNCTION("""COMPUTED_VALUE"""),90.98)</f>
        <v>90.98</v>
      </c>
      <c r="C5367" s="2">
        <f>IFERROR(__xludf.DUMMYFUNCTION("""COMPUTED_VALUE"""),91.37)</f>
        <v>91.37</v>
      </c>
      <c r="D5367" s="2">
        <f>IFERROR(__xludf.DUMMYFUNCTION("""COMPUTED_VALUE"""),89.55)</f>
        <v>89.55</v>
      </c>
      <c r="E5367" s="2">
        <f>IFERROR(__xludf.DUMMYFUNCTION("""COMPUTED_VALUE"""),91.12)</f>
        <v>91.12</v>
      </c>
      <c r="F5367" s="2">
        <f>IFERROR(__xludf.DUMMYFUNCTION("""COMPUTED_VALUE"""),7142800.0)</f>
        <v>7142800</v>
      </c>
    </row>
    <row r="5368">
      <c r="A5368" s="3">
        <f>IFERROR(__xludf.DUMMYFUNCTION("""COMPUTED_VALUE"""),36977.666666666664)</f>
        <v>36977.66667</v>
      </c>
      <c r="B5368" s="2">
        <f>IFERROR(__xludf.DUMMYFUNCTION("""COMPUTED_VALUE"""),89.79)</f>
        <v>89.79</v>
      </c>
      <c r="C5368" s="2">
        <f>IFERROR(__xludf.DUMMYFUNCTION("""COMPUTED_VALUE"""),95.52)</f>
        <v>95.52</v>
      </c>
      <c r="D5368" s="2">
        <f>IFERROR(__xludf.DUMMYFUNCTION("""COMPUTED_VALUE"""),89.79)</f>
        <v>89.79</v>
      </c>
      <c r="E5368" s="2">
        <f>IFERROR(__xludf.DUMMYFUNCTION("""COMPUTED_VALUE"""),95.04)</f>
        <v>95.04</v>
      </c>
      <c r="F5368" s="2">
        <f>IFERROR(__xludf.DUMMYFUNCTION("""COMPUTED_VALUE"""),1.0461E7)</f>
        <v>10461000</v>
      </c>
    </row>
    <row r="5369">
      <c r="A5369" s="3">
        <f>IFERROR(__xludf.DUMMYFUNCTION("""COMPUTED_VALUE"""),36978.666666666664)</f>
        <v>36978.66667</v>
      </c>
      <c r="B5369" s="2">
        <f>IFERROR(__xludf.DUMMYFUNCTION("""COMPUTED_VALUE"""),93.51)</f>
        <v>93.51</v>
      </c>
      <c r="C5369" s="2">
        <f>IFERROR(__xludf.DUMMYFUNCTION("""COMPUTED_VALUE"""),94.04)</f>
        <v>94.04</v>
      </c>
      <c r="D5369" s="2">
        <f>IFERROR(__xludf.DUMMYFUNCTION("""COMPUTED_VALUE"""),90.02)</f>
        <v>90.02</v>
      </c>
      <c r="E5369" s="2">
        <f>IFERROR(__xludf.DUMMYFUNCTION("""COMPUTED_VALUE"""),90.18)</f>
        <v>90.18</v>
      </c>
      <c r="F5369" s="2">
        <f>IFERROR(__xludf.DUMMYFUNCTION("""COMPUTED_VALUE"""),9535500.0)</f>
        <v>9535500</v>
      </c>
    </row>
    <row r="5370">
      <c r="A5370" s="3">
        <f>IFERROR(__xludf.DUMMYFUNCTION("""COMPUTED_VALUE"""),36979.666666666664)</f>
        <v>36979.66667</v>
      </c>
      <c r="B5370" s="2">
        <f>IFERROR(__xludf.DUMMYFUNCTION("""COMPUTED_VALUE"""),90.22)</f>
        <v>90.22</v>
      </c>
      <c r="C5370" s="2">
        <f>IFERROR(__xludf.DUMMYFUNCTION("""COMPUTED_VALUE"""),92.71)</f>
        <v>92.71</v>
      </c>
      <c r="D5370" s="2">
        <f>IFERROR(__xludf.DUMMYFUNCTION("""COMPUTED_VALUE"""),90.04)</f>
        <v>90.04</v>
      </c>
      <c r="E5370" s="2">
        <f>IFERROR(__xludf.DUMMYFUNCTION("""COMPUTED_VALUE"""),90.78)</f>
        <v>90.78</v>
      </c>
      <c r="F5370" s="2">
        <f>IFERROR(__xludf.DUMMYFUNCTION("""COMPUTED_VALUE"""),8862200.0)</f>
        <v>8862200</v>
      </c>
    </row>
    <row r="5371">
      <c r="A5371" s="3">
        <f>IFERROR(__xludf.DUMMYFUNCTION("""COMPUTED_VALUE"""),36980.666666666664)</f>
        <v>36980.66667</v>
      </c>
      <c r="B5371" s="2">
        <f>IFERROR(__xludf.DUMMYFUNCTION("""COMPUTED_VALUE"""),92.17)</f>
        <v>92.17</v>
      </c>
      <c r="C5371" s="2">
        <f>IFERROR(__xludf.DUMMYFUNCTION("""COMPUTED_VALUE"""),93.19)</f>
        <v>93.19</v>
      </c>
      <c r="D5371" s="2">
        <f>IFERROR(__xludf.DUMMYFUNCTION("""COMPUTED_VALUE"""),90.88)</f>
        <v>90.88</v>
      </c>
      <c r="E5371" s="2">
        <f>IFERROR(__xludf.DUMMYFUNCTION("""COMPUTED_VALUE"""),91.87)</f>
        <v>91.87</v>
      </c>
      <c r="F5371" s="2">
        <f>IFERROR(__xludf.DUMMYFUNCTION("""COMPUTED_VALUE"""),8054300.0)</f>
        <v>8054300</v>
      </c>
    </row>
    <row r="5372">
      <c r="A5372" s="3">
        <f>IFERROR(__xludf.DUMMYFUNCTION("""COMPUTED_VALUE"""),36983.666666666664)</f>
        <v>36983.66667</v>
      </c>
      <c r="B5372" s="2">
        <f>IFERROR(__xludf.DUMMYFUNCTION("""COMPUTED_VALUE"""),93.08)</f>
        <v>93.08</v>
      </c>
      <c r="C5372" s="2">
        <f>IFERROR(__xludf.DUMMYFUNCTION("""COMPUTED_VALUE"""),93.7)</f>
        <v>93.7</v>
      </c>
      <c r="D5372" s="2">
        <f>IFERROR(__xludf.DUMMYFUNCTION("""COMPUTED_VALUE"""),89.4)</f>
        <v>89.4</v>
      </c>
      <c r="E5372" s="2">
        <f>IFERROR(__xludf.DUMMYFUNCTION("""COMPUTED_VALUE"""),90.42)</f>
        <v>90.42</v>
      </c>
      <c r="F5372" s="2">
        <f>IFERROR(__xludf.DUMMYFUNCTION("""COMPUTED_VALUE"""),7231400.0)</f>
        <v>7231400</v>
      </c>
    </row>
    <row r="5373">
      <c r="A5373" s="3">
        <f>IFERROR(__xludf.DUMMYFUNCTION("""COMPUTED_VALUE"""),36984.666666666664)</f>
        <v>36984.66667</v>
      </c>
      <c r="B5373" s="2">
        <f>IFERROR(__xludf.DUMMYFUNCTION("""COMPUTED_VALUE"""),90.36)</f>
        <v>90.36</v>
      </c>
      <c r="C5373" s="2">
        <f>IFERROR(__xludf.DUMMYFUNCTION("""COMPUTED_VALUE"""),90.41)</f>
        <v>90.41</v>
      </c>
      <c r="D5373" s="2">
        <f>IFERROR(__xludf.DUMMYFUNCTION("""COMPUTED_VALUE"""),86.2)</f>
        <v>86.2</v>
      </c>
      <c r="E5373" s="2">
        <f>IFERROR(__xludf.DUMMYFUNCTION("""COMPUTED_VALUE"""),86.35)</f>
        <v>86.35</v>
      </c>
      <c r="F5373" s="2">
        <f>IFERROR(__xludf.DUMMYFUNCTION("""COMPUTED_VALUE"""),1.10456E7)</f>
        <v>11045600</v>
      </c>
    </row>
    <row r="5374">
      <c r="A5374" s="3">
        <f>IFERROR(__xludf.DUMMYFUNCTION("""COMPUTED_VALUE"""),36985.666666666664)</f>
        <v>36985.66667</v>
      </c>
      <c r="B5374" s="2">
        <f>IFERROR(__xludf.DUMMYFUNCTION("""COMPUTED_VALUE"""),86.39)</f>
        <v>86.39</v>
      </c>
      <c r="C5374" s="2">
        <f>IFERROR(__xludf.DUMMYFUNCTION("""COMPUTED_VALUE"""),89.83)</f>
        <v>89.83</v>
      </c>
      <c r="D5374" s="2">
        <f>IFERROR(__xludf.DUMMYFUNCTION("""COMPUTED_VALUE"""),86.04)</f>
        <v>86.04</v>
      </c>
      <c r="E5374" s="2">
        <f>IFERROR(__xludf.DUMMYFUNCTION("""COMPUTED_VALUE"""),87.88)</f>
        <v>87.88</v>
      </c>
      <c r="F5374" s="2">
        <f>IFERROR(__xludf.DUMMYFUNCTION("""COMPUTED_VALUE"""),1.1556E7)</f>
        <v>11556000</v>
      </c>
    </row>
    <row r="5375">
      <c r="A5375" s="3">
        <f>IFERROR(__xludf.DUMMYFUNCTION("""COMPUTED_VALUE"""),36986.666666666664)</f>
        <v>36986.66667</v>
      </c>
      <c r="B5375" s="2">
        <f>IFERROR(__xludf.DUMMYFUNCTION("""COMPUTED_VALUE"""),91.5)</f>
        <v>91.5</v>
      </c>
      <c r="C5375" s="2">
        <f>IFERROR(__xludf.DUMMYFUNCTION("""COMPUTED_VALUE"""),94.56)</f>
        <v>94.56</v>
      </c>
      <c r="D5375" s="2">
        <f>IFERROR(__xludf.DUMMYFUNCTION("""COMPUTED_VALUE"""),91.31)</f>
        <v>91.31</v>
      </c>
      <c r="E5375" s="2">
        <f>IFERROR(__xludf.DUMMYFUNCTION("""COMPUTED_VALUE"""),93.81)</f>
        <v>93.81</v>
      </c>
      <c r="F5375" s="2">
        <f>IFERROR(__xludf.DUMMYFUNCTION("""COMPUTED_VALUE"""),1.08634E7)</f>
        <v>10863400</v>
      </c>
    </row>
    <row r="5376">
      <c r="A5376" s="3">
        <f>IFERROR(__xludf.DUMMYFUNCTION("""COMPUTED_VALUE"""),36987.666666666664)</f>
        <v>36987.66667</v>
      </c>
      <c r="B5376" s="2">
        <f>IFERROR(__xludf.DUMMYFUNCTION("""COMPUTED_VALUE"""),93.61)</f>
        <v>93.61</v>
      </c>
      <c r="C5376" s="2">
        <f>IFERROR(__xludf.DUMMYFUNCTION("""COMPUTED_VALUE"""),95.52)</f>
        <v>95.52</v>
      </c>
      <c r="D5376" s="2">
        <f>IFERROR(__xludf.DUMMYFUNCTION("""COMPUTED_VALUE"""),92.22)</f>
        <v>92.22</v>
      </c>
      <c r="E5376" s="2">
        <f>IFERROR(__xludf.DUMMYFUNCTION("""COMPUTED_VALUE"""),93.56)</f>
        <v>93.56</v>
      </c>
      <c r="F5376" s="2">
        <f>IFERROR(__xludf.DUMMYFUNCTION("""COMPUTED_VALUE"""),1.12335E7)</f>
        <v>11233500</v>
      </c>
    </row>
    <row r="5377">
      <c r="A5377" s="3">
        <f>IFERROR(__xludf.DUMMYFUNCTION("""COMPUTED_VALUE"""),36990.666666666664)</f>
        <v>36990.66667</v>
      </c>
      <c r="B5377" s="2">
        <f>IFERROR(__xludf.DUMMYFUNCTION("""COMPUTED_VALUE"""),94.08)</f>
        <v>94.08</v>
      </c>
      <c r="C5377" s="2">
        <f>IFERROR(__xludf.DUMMYFUNCTION("""COMPUTED_VALUE"""),94.18)</f>
        <v>94.18</v>
      </c>
      <c r="D5377" s="2">
        <f>IFERROR(__xludf.DUMMYFUNCTION("""COMPUTED_VALUE"""),89.61)</f>
        <v>89.61</v>
      </c>
      <c r="E5377" s="2">
        <f>IFERROR(__xludf.DUMMYFUNCTION("""COMPUTED_VALUE"""),91.7)</f>
        <v>91.7</v>
      </c>
      <c r="F5377" s="2">
        <f>IFERROR(__xludf.DUMMYFUNCTION("""COMPUTED_VALUE"""),8029000.0)</f>
        <v>8029000</v>
      </c>
    </row>
    <row r="5378">
      <c r="A5378" s="3">
        <f>IFERROR(__xludf.DUMMYFUNCTION("""COMPUTED_VALUE"""),36991.666666666664)</f>
        <v>36991.66667</v>
      </c>
      <c r="B5378" s="2">
        <f>IFERROR(__xludf.DUMMYFUNCTION("""COMPUTED_VALUE"""),92.65)</f>
        <v>92.65</v>
      </c>
      <c r="C5378" s="2">
        <f>IFERROR(__xludf.DUMMYFUNCTION("""COMPUTED_VALUE"""),95.42)</f>
        <v>95.42</v>
      </c>
      <c r="D5378" s="2">
        <f>IFERROR(__xludf.DUMMYFUNCTION("""COMPUTED_VALUE"""),92.27)</f>
        <v>92.27</v>
      </c>
      <c r="E5378" s="2">
        <f>IFERROR(__xludf.DUMMYFUNCTION("""COMPUTED_VALUE"""),94.24)</f>
        <v>94.24</v>
      </c>
      <c r="F5378" s="2">
        <f>IFERROR(__xludf.DUMMYFUNCTION("""COMPUTED_VALUE"""),8215400.0)</f>
        <v>8215400</v>
      </c>
    </row>
    <row r="5379">
      <c r="A5379" s="3">
        <f>IFERROR(__xludf.DUMMYFUNCTION("""COMPUTED_VALUE"""),36992.666666666664)</f>
        <v>36992.66667</v>
      </c>
      <c r="B5379" s="2">
        <f>IFERROR(__xludf.DUMMYFUNCTION("""COMPUTED_VALUE"""),96.95)</f>
        <v>96.95</v>
      </c>
      <c r="C5379" s="2">
        <f>IFERROR(__xludf.DUMMYFUNCTION("""COMPUTED_VALUE"""),97.33)</f>
        <v>97.33</v>
      </c>
      <c r="D5379" s="2">
        <f>IFERROR(__xludf.DUMMYFUNCTION("""COMPUTED_VALUE"""),91.6)</f>
        <v>91.6</v>
      </c>
      <c r="E5379" s="2">
        <f>IFERROR(__xludf.DUMMYFUNCTION("""COMPUTED_VALUE"""),93.06)</f>
        <v>93.06</v>
      </c>
      <c r="F5379" s="2">
        <f>IFERROR(__xludf.DUMMYFUNCTION("""COMPUTED_VALUE"""),9969200.0)</f>
        <v>9969200</v>
      </c>
    </row>
    <row r="5380">
      <c r="A5380" s="3">
        <f>IFERROR(__xludf.DUMMYFUNCTION("""COMPUTED_VALUE"""),36993.666666666664)</f>
        <v>36993.66667</v>
      </c>
      <c r="B5380" s="2">
        <f>IFERROR(__xludf.DUMMYFUNCTION("""COMPUTED_VALUE"""),92.08)</f>
        <v>92.08</v>
      </c>
      <c r="C5380" s="2">
        <f>IFERROR(__xludf.DUMMYFUNCTION("""COMPUTED_VALUE"""),93.13)</f>
        <v>93.13</v>
      </c>
      <c r="D5380" s="2">
        <f>IFERROR(__xludf.DUMMYFUNCTION("""COMPUTED_VALUE"""),90.88)</f>
        <v>90.88</v>
      </c>
      <c r="E5380" s="2">
        <f>IFERROR(__xludf.DUMMYFUNCTION("""COMPUTED_VALUE"""),91.89)</f>
        <v>91.89</v>
      </c>
      <c r="F5380" s="2">
        <f>IFERROR(__xludf.DUMMYFUNCTION("""COMPUTED_VALUE"""),8049200.0)</f>
        <v>8049200</v>
      </c>
    </row>
    <row r="5381">
      <c r="A5381" s="3">
        <f>IFERROR(__xludf.DUMMYFUNCTION("""COMPUTED_VALUE"""),36997.666666666664)</f>
        <v>36997.66667</v>
      </c>
      <c r="B5381" s="2">
        <f>IFERROR(__xludf.DUMMYFUNCTION("""COMPUTED_VALUE"""),91.84)</f>
        <v>91.84</v>
      </c>
      <c r="C5381" s="2">
        <f>IFERROR(__xludf.DUMMYFUNCTION("""COMPUTED_VALUE"""),95.41)</f>
        <v>95.41</v>
      </c>
      <c r="D5381" s="2">
        <f>IFERROR(__xludf.DUMMYFUNCTION("""COMPUTED_VALUE"""),91.22)</f>
        <v>91.22</v>
      </c>
      <c r="E5381" s="2">
        <f>IFERROR(__xludf.DUMMYFUNCTION("""COMPUTED_VALUE"""),92.41)</f>
        <v>92.41</v>
      </c>
      <c r="F5381" s="2">
        <f>IFERROR(__xludf.DUMMYFUNCTION("""COMPUTED_VALUE"""),7918600.0)</f>
        <v>7918600</v>
      </c>
    </row>
    <row r="5382">
      <c r="A5382" s="3">
        <f>IFERROR(__xludf.DUMMYFUNCTION("""COMPUTED_VALUE"""),36998.666666666664)</f>
        <v>36998.66667</v>
      </c>
      <c r="B5382" s="2">
        <f>IFERROR(__xludf.DUMMYFUNCTION("""COMPUTED_VALUE"""),93.37)</f>
        <v>93.37</v>
      </c>
      <c r="C5382" s="2">
        <f>IFERROR(__xludf.DUMMYFUNCTION("""COMPUTED_VALUE"""),95.4)</f>
        <v>95.4</v>
      </c>
      <c r="D5382" s="2">
        <f>IFERROR(__xludf.DUMMYFUNCTION("""COMPUTED_VALUE"""),93.22)</f>
        <v>93.22</v>
      </c>
      <c r="E5382" s="2">
        <f>IFERROR(__xludf.DUMMYFUNCTION("""COMPUTED_VALUE"""),95.23)</f>
        <v>95.23</v>
      </c>
      <c r="F5382" s="2">
        <f>IFERROR(__xludf.DUMMYFUNCTION("""COMPUTED_VALUE"""),8168800.0)</f>
        <v>8168800</v>
      </c>
    </row>
    <row r="5383">
      <c r="A5383" s="3">
        <f>IFERROR(__xludf.DUMMYFUNCTION("""COMPUTED_VALUE"""),36999.666666666664)</f>
        <v>36999.66667</v>
      </c>
      <c r="B5383" s="2">
        <f>IFERROR(__xludf.DUMMYFUNCTION("""COMPUTED_VALUE"""),97.86)</f>
        <v>97.86</v>
      </c>
      <c r="C5383" s="2">
        <f>IFERROR(__xludf.DUMMYFUNCTION("""COMPUTED_VALUE"""),105.07)</f>
        <v>105.07</v>
      </c>
      <c r="D5383" s="2">
        <f>IFERROR(__xludf.DUMMYFUNCTION("""COMPUTED_VALUE"""),97.72)</f>
        <v>97.72</v>
      </c>
      <c r="E5383" s="2">
        <f>IFERROR(__xludf.DUMMYFUNCTION("""COMPUTED_VALUE"""),101.72)</f>
        <v>101.72</v>
      </c>
      <c r="F5383" s="2">
        <f>IFERROR(__xludf.DUMMYFUNCTION("""COMPUTED_VALUE"""),1.56007E7)</f>
        <v>15600700</v>
      </c>
    </row>
    <row r="5384">
      <c r="A5384" s="3">
        <f>IFERROR(__xludf.DUMMYFUNCTION("""COMPUTED_VALUE"""),37000.666666666664)</f>
        <v>37000.66667</v>
      </c>
      <c r="B5384" s="2">
        <f>IFERROR(__xludf.DUMMYFUNCTION("""COMPUTED_VALUE"""),107.46)</f>
        <v>107.46</v>
      </c>
      <c r="C5384" s="2">
        <f>IFERROR(__xludf.DUMMYFUNCTION("""COMPUTED_VALUE"""),110.7)</f>
        <v>110.7</v>
      </c>
      <c r="D5384" s="2">
        <f>IFERROR(__xludf.DUMMYFUNCTION("""COMPUTED_VALUE"""),105.55)</f>
        <v>105.55</v>
      </c>
      <c r="E5384" s="2">
        <f>IFERROR(__xludf.DUMMYFUNCTION("""COMPUTED_VALUE"""),109.34)</f>
        <v>109.34</v>
      </c>
      <c r="F5384" s="2">
        <f>IFERROR(__xludf.DUMMYFUNCTION("""COMPUTED_VALUE"""),2.12917E7)</f>
        <v>21291700</v>
      </c>
    </row>
    <row r="5385">
      <c r="A5385" s="3">
        <f>IFERROR(__xludf.DUMMYFUNCTION("""COMPUTED_VALUE"""),37001.666666666664)</f>
        <v>37001.66667</v>
      </c>
      <c r="B5385" s="2">
        <f>IFERROR(__xludf.DUMMYFUNCTION("""COMPUTED_VALUE"""),109.22)</f>
        <v>109.22</v>
      </c>
      <c r="C5385" s="2">
        <f>IFERROR(__xludf.DUMMYFUNCTION("""COMPUTED_VALUE"""),111.09)</f>
        <v>111.09</v>
      </c>
      <c r="D5385" s="2">
        <f>IFERROR(__xludf.DUMMYFUNCTION("""COMPUTED_VALUE"""),108.67)</f>
        <v>108.67</v>
      </c>
      <c r="E5385" s="2">
        <f>IFERROR(__xludf.DUMMYFUNCTION("""COMPUTED_VALUE"""),109.68)</f>
        <v>109.68</v>
      </c>
      <c r="F5385" s="2">
        <f>IFERROR(__xludf.DUMMYFUNCTION("""COMPUTED_VALUE"""),1.06144E7)</f>
        <v>10614400</v>
      </c>
    </row>
    <row r="5386">
      <c r="A5386" s="3">
        <f>IFERROR(__xludf.DUMMYFUNCTION("""COMPUTED_VALUE"""),37004.666666666664)</f>
        <v>37004.66667</v>
      </c>
      <c r="B5386" s="2">
        <f>IFERROR(__xludf.DUMMYFUNCTION("""COMPUTED_VALUE"""),108.9)</f>
        <v>108.9</v>
      </c>
      <c r="C5386" s="2">
        <f>IFERROR(__xludf.DUMMYFUNCTION("""COMPUTED_VALUE"""),108.94)</f>
        <v>108.94</v>
      </c>
      <c r="D5386" s="2">
        <f>IFERROR(__xludf.DUMMYFUNCTION("""COMPUTED_VALUE"""),106.67)</f>
        <v>106.67</v>
      </c>
      <c r="E5386" s="2">
        <f>IFERROR(__xludf.DUMMYFUNCTION("""COMPUTED_VALUE"""),106.98)</f>
        <v>106.98</v>
      </c>
      <c r="F5386" s="2">
        <f>IFERROR(__xludf.DUMMYFUNCTION("""COMPUTED_VALUE"""),6732400.0)</f>
        <v>6732400</v>
      </c>
    </row>
    <row r="5387">
      <c r="A5387" s="3">
        <f>IFERROR(__xludf.DUMMYFUNCTION("""COMPUTED_VALUE"""),37005.666666666664)</f>
        <v>37005.66667</v>
      </c>
      <c r="B5387" s="2">
        <f>IFERROR(__xludf.DUMMYFUNCTION("""COMPUTED_VALUE"""),108.32)</f>
        <v>108.32</v>
      </c>
      <c r="C5387" s="2">
        <f>IFERROR(__xludf.DUMMYFUNCTION("""COMPUTED_VALUE"""),109.61)</f>
        <v>109.61</v>
      </c>
      <c r="D5387" s="2">
        <f>IFERROR(__xludf.DUMMYFUNCTION("""COMPUTED_VALUE"""),107.31)</f>
        <v>107.31</v>
      </c>
      <c r="E5387" s="2">
        <f>IFERROR(__xludf.DUMMYFUNCTION("""COMPUTED_VALUE"""),107.62)</f>
        <v>107.62</v>
      </c>
      <c r="F5387" s="2">
        <f>IFERROR(__xludf.DUMMYFUNCTION("""COMPUTED_VALUE"""),7197900.0)</f>
        <v>7197900</v>
      </c>
    </row>
    <row r="5388">
      <c r="A5388" s="3">
        <f>IFERROR(__xludf.DUMMYFUNCTION("""COMPUTED_VALUE"""),37006.666666666664)</f>
        <v>37006.66667</v>
      </c>
      <c r="B5388" s="2">
        <f>IFERROR(__xludf.DUMMYFUNCTION("""COMPUTED_VALUE"""),106.98)</f>
        <v>106.98</v>
      </c>
      <c r="C5388" s="2">
        <f>IFERROR(__xludf.DUMMYFUNCTION("""COMPUTED_VALUE"""),109.7)</f>
        <v>109.7</v>
      </c>
      <c r="D5388" s="2">
        <f>IFERROR(__xludf.DUMMYFUNCTION("""COMPUTED_VALUE"""),106.97)</f>
        <v>106.97</v>
      </c>
      <c r="E5388" s="2">
        <f>IFERROR(__xludf.DUMMYFUNCTION("""COMPUTED_VALUE"""),109.7)</f>
        <v>109.7</v>
      </c>
      <c r="F5388" s="2">
        <f>IFERROR(__xludf.DUMMYFUNCTION("""COMPUTED_VALUE"""),5922800.0)</f>
        <v>5922800</v>
      </c>
    </row>
    <row r="5389">
      <c r="A5389" s="3">
        <f>IFERROR(__xludf.DUMMYFUNCTION("""COMPUTED_VALUE"""),37007.666666666664)</f>
        <v>37007.66667</v>
      </c>
      <c r="B5389" s="2">
        <f>IFERROR(__xludf.DUMMYFUNCTION("""COMPUTED_VALUE"""),109.8)</f>
        <v>109.8</v>
      </c>
      <c r="C5389" s="2">
        <f>IFERROR(__xludf.DUMMYFUNCTION("""COMPUTED_VALUE"""),111.47)</f>
        <v>111.47</v>
      </c>
      <c r="D5389" s="2">
        <f>IFERROR(__xludf.DUMMYFUNCTION("""COMPUTED_VALUE"""),108.58)</f>
        <v>108.58</v>
      </c>
      <c r="E5389" s="2">
        <f>IFERROR(__xludf.DUMMYFUNCTION("""COMPUTED_VALUE"""),108.58)</f>
        <v>108.58</v>
      </c>
      <c r="F5389" s="2">
        <f>IFERROR(__xludf.DUMMYFUNCTION("""COMPUTED_VALUE"""),6373800.0)</f>
        <v>6373800</v>
      </c>
    </row>
    <row r="5390">
      <c r="A5390" s="3">
        <f>IFERROR(__xludf.DUMMYFUNCTION("""COMPUTED_VALUE"""),37008.666666666664)</f>
        <v>37008.66667</v>
      </c>
      <c r="B5390" s="2">
        <f>IFERROR(__xludf.DUMMYFUNCTION("""COMPUTED_VALUE"""),111.56)</f>
        <v>111.56</v>
      </c>
      <c r="C5390" s="2">
        <f>IFERROR(__xludf.DUMMYFUNCTION("""COMPUTED_VALUE"""),111.56)</f>
        <v>111.56</v>
      </c>
      <c r="D5390" s="2">
        <f>IFERROR(__xludf.DUMMYFUNCTION("""COMPUTED_VALUE"""),109.41)</f>
        <v>109.41</v>
      </c>
      <c r="E5390" s="2">
        <f>IFERROR(__xludf.DUMMYFUNCTION("""COMPUTED_VALUE"""),110.99)</f>
        <v>110.99</v>
      </c>
      <c r="F5390" s="2">
        <f>IFERROR(__xludf.DUMMYFUNCTION("""COMPUTED_VALUE"""),6169400.0)</f>
        <v>6169400</v>
      </c>
    </row>
    <row r="5391">
      <c r="A5391" s="3">
        <f>IFERROR(__xludf.DUMMYFUNCTION("""COMPUTED_VALUE"""),37011.666666666664)</f>
        <v>37011.66667</v>
      </c>
      <c r="B5391" s="2">
        <f>IFERROR(__xludf.DUMMYFUNCTION("""COMPUTED_VALUE"""),111.18)</f>
        <v>111.18</v>
      </c>
      <c r="C5391" s="2">
        <f>IFERROR(__xludf.DUMMYFUNCTION("""COMPUTED_VALUE"""),112.73)</f>
        <v>112.73</v>
      </c>
      <c r="D5391" s="2">
        <f>IFERROR(__xludf.DUMMYFUNCTION("""COMPUTED_VALUE"""),109.59)</f>
        <v>109.59</v>
      </c>
      <c r="E5391" s="2">
        <f>IFERROR(__xludf.DUMMYFUNCTION("""COMPUTED_VALUE"""),109.98)</f>
        <v>109.98</v>
      </c>
      <c r="F5391" s="2">
        <f>IFERROR(__xludf.DUMMYFUNCTION("""COMPUTED_VALUE"""),6044300.0)</f>
        <v>6044300</v>
      </c>
    </row>
    <row r="5392">
      <c r="A5392" s="3">
        <f>IFERROR(__xludf.DUMMYFUNCTION("""COMPUTED_VALUE"""),37012.666666666664)</f>
        <v>37012.66667</v>
      </c>
      <c r="B5392" s="2">
        <f>IFERROR(__xludf.DUMMYFUNCTION("""COMPUTED_VALUE"""),110.66)</f>
        <v>110.66</v>
      </c>
      <c r="C5392" s="2">
        <f>IFERROR(__xludf.DUMMYFUNCTION("""COMPUTED_VALUE"""),113.33)</f>
        <v>113.33</v>
      </c>
      <c r="D5392" s="2">
        <f>IFERROR(__xludf.DUMMYFUNCTION("""COMPUTED_VALUE"""),109.75)</f>
        <v>109.75</v>
      </c>
      <c r="E5392" s="2">
        <f>IFERROR(__xludf.DUMMYFUNCTION("""COMPUTED_VALUE"""),113.2)</f>
        <v>113.2</v>
      </c>
      <c r="F5392" s="2">
        <f>IFERROR(__xludf.DUMMYFUNCTION("""COMPUTED_VALUE"""),6653500.0)</f>
        <v>6653500</v>
      </c>
    </row>
    <row r="5393">
      <c r="A5393" s="3">
        <f>IFERROR(__xludf.DUMMYFUNCTION("""COMPUTED_VALUE"""),37013.666666666664)</f>
        <v>37013.66667</v>
      </c>
      <c r="B5393" s="2">
        <f>IFERROR(__xludf.DUMMYFUNCTION("""COMPUTED_VALUE"""),113.0)</f>
        <v>113</v>
      </c>
      <c r="C5393" s="2">
        <f>IFERROR(__xludf.DUMMYFUNCTION("""COMPUTED_VALUE"""),113.62)</f>
        <v>113.62</v>
      </c>
      <c r="D5393" s="2">
        <f>IFERROR(__xludf.DUMMYFUNCTION("""COMPUTED_VALUE"""),108.65)</f>
        <v>108.65</v>
      </c>
      <c r="E5393" s="2">
        <f>IFERROR(__xludf.DUMMYFUNCTION("""COMPUTED_VALUE"""),110.23)</f>
        <v>110.23</v>
      </c>
      <c r="F5393" s="2">
        <f>IFERROR(__xludf.DUMMYFUNCTION("""COMPUTED_VALUE"""),8439600.0)</f>
        <v>8439600</v>
      </c>
    </row>
    <row r="5394">
      <c r="A5394" s="3">
        <f>IFERROR(__xludf.DUMMYFUNCTION("""COMPUTED_VALUE"""),37014.666666666664)</f>
        <v>37014.66667</v>
      </c>
      <c r="B5394" s="2">
        <f>IFERROR(__xludf.DUMMYFUNCTION("""COMPUTED_VALUE"""),109.46)</f>
        <v>109.46</v>
      </c>
      <c r="C5394" s="2">
        <f>IFERROR(__xludf.DUMMYFUNCTION("""COMPUTED_VALUE"""),109.94)</f>
        <v>109.94</v>
      </c>
      <c r="D5394" s="2">
        <f>IFERROR(__xludf.DUMMYFUNCTION("""COMPUTED_VALUE"""),107.31)</f>
        <v>107.31</v>
      </c>
      <c r="E5394" s="2">
        <f>IFERROR(__xludf.DUMMYFUNCTION("""COMPUTED_VALUE"""),108.6)</f>
        <v>108.6</v>
      </c>
      <c r="F5394" s="2">
        <f>IFERROR(__xludf.DUMMYFUNCTION("""COMPUTED_VALUE"""),5733500.0)</f>
        <v>5733500</v>
      </c>
    </row>
    <row r="5395">
      <c r="A5395" s="3">
        <f>IFERROR(__xludf.DUMMYFUNCTION("""COMPUTED_VALUE"""),37015.666666666664)</f>
        <v>37015.66667</v>
      </c>
      <c r="B5395" s="2">
        <f>IFERROR(__xludf.DUMMYFUNCTION("""COMPUTED_VALUE"""),106.98)</f>
        <v>106.98</v>
      </c>
      <c r="C5395" s="2">
        <f>IFERROR(__xludf.DUMMYFUNCTION("""COMPUTED_VALUE"""),110.67)</f>
        <v>110.67</v>
      </c>
      <c r="D5395" s="2">
        <f>IFERROR(__xludf.DUMMYFUNCTION("""COMPUTED_VALUE"""),106.31)</f>
        <v>106.31</v>
      </c>
      <c r="E5395" s="2">
        <f>IFERROR(__xludf.DUMMYFUNCTION("""COMPUTED_VALUE"""),110.67)</f>
        <v>110.67</v>
      </c>
      <c r="F5395" s="2">
        <f>IFERROR(__xludf.DUMMYFUNCTION("""COMPUTED_VALUE"""),7765200.0)</f>
        <v>7765200</v>
      </c>
    </row>
    <row r="5396">
      <c r="A5396" s="3">
        <f>IFERROR(__xludf.DUMMYFUNCTION("""COMPUTED_VALUE"""),37018.666666666664)</f>
        <v>37018.66667</v>
      </c>
      <c r="B5396" s="2">
        <f>IFERROR(__xludf.DUMMYFUNCTION("""COMPUTED_VALUE"""),110.99)</f>
        <v>110.99</v>
      </c>
      <c r="C5396" s="2">
        <f>IFERROR(__xludf.DUMMYFUNCTION("""COMPUTED_VALUE"""),111.99)</f>
        <v>111.99</v>
      </c>
      <c r="D5396" s="2">
        <f>IFERROR(__xludf.DUMMYFUNCTION("""COMPUTED_VALUE"""),109.84)</f>
        <v>109.84</v>
      </c>
      <c r="E5396" s="2">
        <f>IFERROR(__xludf.DUMMYFUNCTION("""COMPUTED_VALUE"""),110.7)</f>
        <v>110.7</v>
      </c>
      <c r="F5396" s="2">
        <f>IFERROR(__xludf.DUMMYFUNCTION("""COMPUTED_VALUE"""),5227000.0)</f>
        <v>5227000</v>
      </c>
    </row>
    <row r="5397">
      <c r="A5397" s="3">
        <f>IFERROR(__xludf.DUMMYFUNCTION("""COMPUTED_VALUE"""),37019.666666666664)</f>
        <v>37019.66667</v>
      </c>
      <c r="B5397" s="2">
        <f>IFERROR(__xludf.DUMMYFUNCTION("""COMPUTED_VALUE"""),111.99)</f>
        <v>111.99</v>
      </c>
      <c r="C5397" s="2">
        <f>IFERROR(__xludf.DUMMYFUNCTION("""COMPUTED_VALUE"""),112.42)</f>
        <v>112.42</v>
      </c>
      <c r="D5397" s="2">
        <f>IFERROR(__xludf.DUMMYFUNCTION("""COMPUTED_VALUE"""),110.32)</f>
        <v>110.32</v>
      </c>
      <c r="E5397" s="2">
        <f>IFERROR(__xludf.DUMMYFUNCTION("""COMPUTED_VALUE"""),112.42)</f>
        <v>112.42</v>
      </c>
      <c r="F5397" s="2">
        <f>IFERROR(__xludf.DUMMYFUNCTION("""COMPUTED_VALUE"""),6878600.0)</f>
        <v>6878600</v>
      </c>
    </row>
    <row r="5398">
      <c r="A5398" s="3">
        <f>IFERROR(__xludf.DUMMYFUNCTION("""COMPUTED_VALUE"""),37020.666666666664)</f>
        <v>37020.66667</v>
      </c>
      <c r="B5398" s="2">
        <f>IFERROR(__xludf.DUMMYFUNCTION("""COMPUTED_VALUE"""),110.99)</f>
        <v>110.99</v>
      </c>
      <c r="C5398" s="2">
        <f>IFERROR(__xludf.DUMMYFUNCTION("""COMPUTED_VALUE"""),112.88)</f>
        <v>112.88</v>
      </c>
      <c r="D5398" s="2">
        <f>IFERROR(__xludf.DUMMYFUNCTION("""COMPUTED_VALUE"""),110.13)</f>
        <v>110.13</v>
      </c>
      <c r="E5398" s="2">
        <f>IFERROR(__xludf.DUMMYFUNCTION("""COMPUTED_VALUE"""),111.74)</f>
        <v>111.74</v>
      </c>
      <c r="F5398" s="2">
        <f>IFERROR(__xludf.DUMMYFUNCTION("""COMPUTED_VALUE"""),6350800.0)</f>
        <v>6350800</v>
      </c>
    </row>
    <row r="5399">
      <c r="A5399" s="3">
        <f>IFERROR(__xludf.DUMMYFUNCTION("""COMPUTED_VALUE"""),37021.666666666664)</f>
        <v>37021.66667</v>
      </c>
      <c r="B5399" s="2">
        <f>IFERROR(__xludf.DUMMYFUNCTION("""COMPUTED_VALUE"""),113.19)</f>
        <v>113.19</v>
      </c>
      <c r="C5399" s="2">
        <f>IFERROR(__xludf.DUMMYFUNCTION("""COMPUTED_VALUE"""),113.33)</f>
        <v>113.33</v>
      </c>
      <c r="D5399" s="2">
        <f>IFERROR(__xludf.DUMMYFUNCTION("""COMPUTED_VALUE"""),110.03)</f>
        <v>110.03</v>
      </c>
      <c r="E5399" s="2">
        <f>IFERROR(__xludf.DUMMYFUNCTION("""COMPUTED_VALUE"""),110.03)</f>
        <v>110.03</v>
      </c>
      <c r="F5399" s="2">
        <f>IFERROR(__xludf.DUMMYFUNCTION("""COMPUTED_VALUE"""),6587300.0)</f>
        <v>6587300</v>
      </c>
    </row>
    <row r="5400">
      <c r="A5400" s="3">
        <f>IFERROR(__xludf.DUMMYFUNCTION("""COMPUTED_VALUE"""),37022.666666666664)</f>
        <v>37022.66667</v>
      </c>
      <c r="B5400" s="2">
        <f>IFERROR(__xludf.DUMMYFUNCTION("""COMPUTED_VALUE"""),108.65)</f>
        <v>108.65</v>
      </c>
      <c r="C5400" s="2">
        <f>IFERROR(__xludf.DUMMYFUNCTION("""COMPUTED_VALUE"""),109.03)</f>
        <v>109.03</v>
      </c>
      <c r="D5400" s="2">
        <f>IFERROR(__xludf.DUMMYFUNCTION("""COMPUTED_VALUE"""),105.98)</f>
        <v>105.98</v>
      </c>
      <c r="E5400" s="2">
        <f>IFERROR(__xludf.DUMMYFUNCTION("""COMPUTED_VALUE"""),106.8)</f>
        <v>106.8</v>
      </c>
      <c r="F5400" s="2">
        <f>IFERROR(__xludf.DUMMYFUNCTION("""COMPUTED_VALUE"""),7117500.0)</f>
        <v>7117500</v>
      </c>
    </row>
    <row r="5401">
      <c r="A5401" s="3">
        <f>IFERROR(__xludf.DUMMYFUNCTION("""COMPUTED_VALUE"""),37025.666666666664)</f>
        <v>37025.66667</v>
      </c>
      <c r="B5401" s="2">
        <f>IFERROR(__xludf.DUMMYFUNCTION("""COMPUTED_VALUE"""),106.21)</f>
        <v>106.21</v>
      </c>
      <c r="C5401" s="2">
        <f>IFERROR(__xludf.DUMMYFUNCTION("""COMPUTED_VALUE"""),108.11)</f>
        <v>108.11</v>
      </c>
      <c r="D5401" s="2">
        <f>IFERROR(__xludf.DUMMYFUNCTION("""COMPUTED_VALUE"""),106.02)</f>
        <v>106.02</v>
      </c>
      <c r="E5401" s="2">
        <f>IFERROR(__xludf.DUMMYFUNCTION("""COMPUTED_VALUE"""),107.51)</f>
        <v>107.51</v>
      </c>
      <c r="F5401" s="2">
        <f>IFERROR(__xludf.DUMMYFUNCTION("""COMPUTED_VALUE"""),4553000.0)</f>
        <v>4553000</v>
      </c>
    </row>
    <row r="5402">
      <c r="A5402" s="3">
        <f>IFERROR(__xludf.DUMMYFUNCTION("""COMPUTED_VALUE"""),37026.666666666664)</f>
        <v>37026.66667</v>
      </c>
      <c r="B5402" s="2">
        <f>IFERROR(__xludf.DUMMYFUNCTION("""COMPUTED_VALUE"""),108.41)</f>
        <v>108.41</v>
      </c>
      <c r="C5402" s="2">
        <f>IFERROR(__xludf.DUMMYFUNCTION("""COMPUTED_VALUE"""),109.03)</f>
        <v>109.03</v>
      </c>
      <c r="D5402" s="2">
        <f>IFERROR(__xludf.DUMMYFUNCTION("""COMPUTED_VALUE"""),107.46)</f>
        <v>107.46</v>
      </c>
      <c r="E5402" s="2">
        <f>IFERROR(__xludf.DUMMYFUNCTION("""COMPUTED_VALUE"""),108.49)</f>
        <v>108.49</v>
      </c>
      <c r="F5402" s="2">
        <f>IFERROR(__xludf.DUMMYFUNCTION("""COMPUTED_VALUE"""),5156700.0)</f>
        <v>5156700</v>
      </c>
    </row>
    <row r="5403">
      <c r="A5403" s="3">
        <f>IFERROR(__xludf.DUMMYFUNCTION("""COMPUTED_VALUE"""),37027.666666666664)</f>
        <v>37027.66667</v>
      </c>
      <c r="B5403" s="2">
        <f>IFERROR(__xludf.DUMMYFUNCTION("""COMPUTED_VALUE"""),107.46)</f>
        <v>107.46</v>
      </c>
      <c r="C5403" s="2">
        <f>IFERROR(__xludf.DUMMYFUNCTION("""COMPUTED_VALUE"""),110.61)</f>
        <v>110.61</v>
      </c>
      <c r="D5403" s="2">
        <f>IFERROR(__xludf.DUMMYFUNCTION("""COMPUTED_VALUE"""),107.17)</f>
        <v>107.17</v>
      </c>
      <c r="E5403" s="2">
        <f>IFERROR(__xludf.DUMMYFUNCTION("""COMPUTED_VALUE"""),110.61)</f>
        <v>110.61</v>
      </c>
      <c r="F5403" s="2">
        <f>IFERROR(__xludf.DUMMYFUNCTION("""COMPUTED_VALUE"""),6607500.0)</f>
        <v>6607500</v>
      </c>
    </row>
    <row r="5404">
      <c r="A5404" s="3">
        <f>IFERROR(__xludf.DUMMYFUNCTION("""COMPUTED_VALUE"""),37028.666666666664)</f>
        <v>37028.66667</v>
      </c>
      <c r="B5404" s="2">
        <f>IFERROR(__xludf.DUMMYFUNCTION("""COMPUTED_VALUE"""),110.61)</f>
        <v>110.61</v>
      </c>
      <c r="C5404" s="2">
        <f>IFERROR(__xludf.DUMMYFUNCTION("""COMPUTED_VALUE"""),111.7)</f>
        <v>111.7</v>
      </c>
      <c r="D5404" s="2">
        <f>IFERROR(__xludf.DUMMYFUNCTION("""COMPUTED_VALUE"""),109.89)</f>
        <v>109.89</v>
      </c>
      <c r="E5404" s="2">
        <f>IFERROR(__xludf.DUMMYFUNCTION("""COMPUTED_VALUE"""),109.91)</f>
        <v>109.91</v>
      </c>
      <c r="F5404" s="2">
        <f>IFERROR(__xludf.DUMMYFUNCTION("""COMPUTED_VALUE"""),6048000.0)</f>
        <v>6048000</v>
      </c>
    </row>
    <row r="5405">
      <c r="A5405" s="3">
        <f>IFERROR(__xludf.DUMMYFUNCTION("""COMPUTED_VALUE"""),37029.666666666664)</f>
        <v>37029.66667</v>
      </c>
      <c r="B5405" s="2">
        <f>IFERROR(__xludf.DUMMYFUNCTION("""COMPUTED_VALUE"""),109.91)</f>
        <v>109.91</v>
      </c>
      <c r="C5405" s="2">
        <f>IFERROR(__xludf.DUMMYFUNCTION("""COMPUTED_VALUE"""),112.4)</f>
        <v>112.4</v>
      </c>
      <c r="D5405" s="2">
        <f>IFERROR(__xludf.DUMMYFUNCTION("""COMPUTED_VALUE"""),109.75)</f>
        <v>109.75</v>
      </c>
      <c r="E5405" s="2">
        <f>IFERROR(__xludf.DUMMYFUNCTION("""COMPUTED_VALUE"""),112.17)</f>
        <v>112.17</v>
      </c>
      <c r="F5405" s="2">
        <f>IFERROR(__xludf.DUMMYFUNCTION("""COMPUTED_VALUE"""),5755400.0)</f>
        <v>5755400</v>
      </c>
    </row>
    <row r="5406">
      <c r="A5406" s="3">
        <f>IFERROR(__xludf.DUMMYFUNCTION("""COMPUTED_VALUE"""),37032.666666666664)</f>
        <v>37032.66667</v>
      </c>
      <c r="B5406" s="2">
        <f>IFERROR(__xludf.DUMMYFUNCTION("""COMPUTED_VALUE"""),112.66)</f>
        <v>112.66</v>
      </c>
      <c r="C5406" s="2">
        <f>IFERROR(__xludf.DUMMYFUNCTION("""COMPUTED_VALUE"""),114.52)</f>
        <v>114.52</v>
      </c>
      <c r="D5406" s="2">
        <f>IFERROR(__xludf.DUMMYFUNCTION("""COMPUTED_VALUE"""),112.28)</f>
        <v>112.28</v>
      </c>
      <c r="E5406" s="2">
        <f>IFERROR(__xludf.DUMMYFUNCTION("""COMPUTED_VALUE"""),113.7)</f>
        <v>113.7</v>
      </c>
      <c r="F5406" s="2">
        <f>IFERROR(__xludf.DUMMYFUNCTION("""COMPUTED_VALUE"""),7146000.0)</f>
        <v>7146000</v>
      </c>
    </row>
    <row r="5407">
      <c r="A5407" s="3">
        <f>IFERROR(__xludf.DUMMYFUNCTION("""COMPUTED_VALUE"""),37033.666666666664)</f>
        <v>37033.66667</v>
      </c>
      <c r="B5407" s="2">
        <f>IFERROR(__xludf.DUMMYFUNCTION("""COMPUTED_VALUE"""),113.5)</f>
        <v>113.5</v>
      </c>
      <c r="C5407" s="2">
        <f>IFERROR(__xludf.DUMMYFUNCTION("""COMPUTED_VALUE"""),114.28)</f>
        <v>114.28</v>
      </c>
      <c r="D5407" s="2">
        <f>IFERROR(__xludf.DUMMYFUNCTION("""COMPUTED_VALUE"""),111.8)</f>
        <v>111.8</v>
      </c>
      <c r="E5407" s="2">
        <f>IFERROR(__xludf.DUMMYFUNCTION("""COMPUTED_VALUE"""),112.72)</f>
        <v>112.72</v>
      </c>
      <c r="F5407" s="2">
        <f>IFERROR(__xludf.DUMMYFUNCTION("""COMPUTED_VALUE"""),5075800.0)</f>
        <v>5075800</v>
      </c>
    </row>
    <row r="5408">
      <c r="A5408" s="3">
        <f>IFERROR(__xludf.DUMMYFUNCTION("""COMPUTED_VALUE"""),37034.666666666664)</f>
        <v>37034.66667</v>
      </c>
      <c r="B5408" s="2">
        <f>IFERROR(__xludf.DUMMYFUNCTION("""COMPUTED_VALUE"""),112.52)</f>
        <v>112.52</v>
      </c>
      <c r="C5408" s="2">
        <f>IFERROR(__xludf.DUMMYFUNCTION("""COMPUTED_VALUE"""),113.62)</f>
        <v>113.62</v>
      </c>
      <c r="D5408" s="2">
        <f>IFERROR(__xludf.DUMMYFUNCTION("""COMPUTED_VALUE"""),111.85)</f>
        <v>111.85</v>
      </c>
      <c r="E5408" s="2">
        <f>IFERROR(__xludf.DUMMYFUNCTION("""COMPUTED_VALUE"""),112.14)</f>
        <v>112.14</v>
      </c>
      <c r="F5408" s="2">
        <f>IFERROR(__xludf.DUMMYFUNCTION("""COMPUTED_VALUE"""),5620000.0)</f>
        <v>5620000</v>
      </c>
    </row>
    <row r="5409">
      <c r="A5409" s="3">
        <f>IFERROR(__xludf.DUMMYFUNCTION("""COMPUTED_VALUE"""),37035.666666666664)</f>
        <v>37035.66667</v>
      </c>
      <c r="B5409" s="2">
        <f>IFERROR(__xludf.DUMMYFUNCTION("""COMPUTED_VALUE"""),113.62)</f>
        <v>113.62</v>
      </c>
      <c r="C5409" s="2">
        <f>IFERROR(__xludf.DUMMYFUNCTION("""COMPUTED_VALUE"""),114.24)</f>
        <v>114.24</v>
      </c>
      <c r="D5409" s="2">
        <f>IFERROR(__xludf.DUMMYFUNCTION("""COMPUTED_VALUE"""),112.71)</f>
        <v>112.71</v>
      </c>
      <c r="E5409" s="2">
        <f>IFERROR(__xludf.DUMMYFUNCTION("""COMPUTED_VALUE"""),114.16)</f>
        <v>114.16</v>
      </c>
      <c r="F5409" s="2">
        <f>IFERROR(__xludf.DUMMYFUNCTION("""COMPUTED_VALUE"""),6480500.0)</f>
        <v>6480500</v>
      </c>
    </row>
    <row r="5410">
      <c r="A5410" s="3">
        <f>IFERROR(__xludf.DUMMYFUNCTION("""COMPUTED_VALUE"""),37036.666666666664)</f>
        <v>37036.66667</v>
      </c>
      <c r="B5410" s="2">
        <f>IFERROR(__xludf.DUMMYFUNCTION("""COMPUTED_VALUE"""),114.16)</f>
        <v>114.16</v>
      </c>
      <c r="C5410" s="2">
        <f>IFERROR(__xludf.DUMMYFUNCTION("""COMPUTED_VALUE"""),114.52)</f>
        <v>114.52</v>
      </c>
      <c r="D5410" s="2">
        <f>IFERROR(__xludf.DUMMYFUNCTION("""COMPUTED_VALUE"""),112.52)</f>
        <v>112.52</v>
      </c>
      <c r="E5410" s="2">
        <f>IFERROR(__xludf.DUMMYFUNCTION("""COMPUTED_VALUE"""),112.52)</f>
        <v>112.52</v>
      </c>
      <c r="F5410" s="2">
        <f>IFERROR(__xludf.DUMMYFUNCTION("""COMPUTED_VALUE"""),4749900.0)</f>
        <v>4749900</v>
      </c>
    </row>
    <row r="5411">
      <c r="A5411" s="3">
        <f>IFERROR(__xludf.DUMMYFUNCTION("""COMPUTED_VALUE"""),37040.666666666664)</f>
        <v>37040.66667</v>
      </c>
      <c r="B5411" s="2">
        <f>IFERROR(__xludf.DUMMYFUNCTION("""COMPUTED_VALUE"""),112.09)</f>
        <v>112.09</v>
      </c>
      <c r="C5411" s="2">
        <f>IFERROR(__xludf.DUMMYFUNCTION("""COMPUTED_VALUE"""),112.32)</f>
        <v>112.32</v>
      </c>
      <c r="D5411" s="2">
        <f>IFERROR(__xludf.DUMMYFUNCTION("""COMPUTED_VALUE"""),109.92)</f>
        <v>109.92</v>
      </c>
      <c r="E5411" s="2">
        <f>IFERROR(__xludf.DUMMYFUNCTION("""COMPUTED_VALUE"""),110.1)</f>
        <v>110.1</v>
      </c>
      <c r="F5411" s="2">
        <f>IFERROR(__xludf.DUMMYFUNCTION("""COMPUTED_VALUE"""),5093100.0)</f>
        <v>5093100</v>
      </c>
    </row>
    <row r="5412">
      <c r="A5412" s="3">
        <f>IFERROR(__xludf.DUMMYFUNCTION("""COMPUTED_VALUE"""),37041.666666666664)</f>
        <v>37041.66667</v>
      </c>
      <c r="B5412" s="2">
        <f>IFERROR(__xludf.DUMMYFUNCTION("""COMPUTED_VALUE"""),108.89)</f>
        <v>108.89</v>
      </c>
      <c r="C5412" s="2">
        <f>IFERROR(__xludf.DUMMYFUNCTION("""COMPUTED_VALUE"""),108.94)</f>
        <v>108.94</v>
      </c>
      <c r="D5412" s="2">
        <f>IFERROR(__xludf.DUMMYFUNCTION("""COMPUTED_VALUE"""),106.98)</f>
        <v>106.98</v>
      </c>
      <c r="E5412" s="2">
        <f>IFERROR(__xludf.DUMMYFUNCTION("""COMPUTED_VALUE"""),107.6)</f>
        <v>107.6</v>
      </c>
      <c r="F5412" s="2">
        <f>IFERROR(__xludf.DUMMYFUNCTION("""COMPUTED_VALUE"""),7790500.0)</f>
        <v>7790500</v>
      </c>
    </row>
    <row r="5413">
      <c r="A5413" s="3">
        <f>IFERROR(__xludf.DUMMYFUNCTION("""COMPUTED_VALUE"""),37042.666666666664)</f>
        <v>37042.66667</v>
      </c>
      <c r="B5413" s="2">
        <f>IFERROR(__xludf.DUMMYFUNCTION("""COMPUTED_VALUE"""),107.6)</f>
        <v>107.6</v>
      </c>
      <c r="C5413" s="2">
        <f>IFERROR(__xludf.DUMMYFUNCTION("""COMPUTED_VALUE"""),108.75)</f>
        <v>108.75</v>
      </c>
      <c r="D5413" s="2">
        <f>IFERROR(__xludf.DUMMYFUNCTION("""COMPUTED_VALUE"""),106.63)</f>
        <v>106.63</v>
      </c>
      <c r="E5413" s="2">
        <f>IFERROR(__xludf.DUMMYFUNCTION("""COMPUTED_VALUE"""),106.79)</f>
        <v>106.79</v>
      </c>
      <c r="F5413" s="2">
        <f>IFERROR(__xludf.DUMMYFUNCTION("""COMPUTED_VALUE"""),5426300.0)</f>
        <v>5426300</v>
      </c>
    </row>
    <row r="5414">
      <c r="A5414" s="3">
        <f>IFERROR(__xludf.DUMMYFUNCTION("""COMPUTED_VALUE"""),37043.666666666664)</f>
        <v>37043.66667</v>
      </c>
      <c r="B5414" s="2">
        <f>IFERROR(__xludf.DUMMYFUNCTION("""COMPUTED_VALUE"""),107.46)</f>
        <v>107.46</v>
      </c>
      <c r="C5414" s="2">
        <f>IFERROR(__xludf.DUMMYFUNCTION("""COMPUTED_VALUE"""),108.51)</f>
        <v>108.51</v>
      </c>
      <c r="D5414" s="2">
        <f>IFERROR(__xludf.DUMMYFUNCTION("""COMPUTED_VALUE"""),106.88)</f>
        <v>106.88</v>
      </c>
      <c r="E5414" s="2">
        <f>IFERROR(__xludf.DUMMYFUNCTION("""COMPUTED_VALUE"""),107.83)</f>
        <v>107.83</v>
      </c>
      <c r="F5414" s="2">
        <f>IFERROR(__xludf.DUMMYFUNCTION("""COMPUTED_VALUE"""),4590700.0)</f>
        <v>4590700</v>
      </c>
    </row>
    <row r="5415">
      <c r="A5415" s="3">
        <f>IFERROR(__xludf.DUMMYFUNCTION("""COMPUTED_VALUE"""),37046.666666666664)</f>
        <v>37046.66667</v>
      </c>
      <c r="B5415" s="2">
        <f>IFERROR(__xludf.DUMMYFUNCTION("""COMPUTED_VALUE"""),108.17)</f>
        <v>108.17</v>
      </c>
      <c r="C5415" s="2">
        <f>IFERROR(__xludf.DUMMYFUNCTION("""COMPUTED_VALUE"""),109.61)</f>
        <v>109.61</v>
      </c>
      <c r="D5415" s="2">
        <f>IFERROR(__xludf.DUMMYFUNCTION("""COMPUTED_VALUE"""),107.79)</f>
        <v>107.79</v>
      </c>
      <c r="E5415" s="2">
        <f>IFERROR(__xludf.DUMMYFUNCTION("""COMPUTED_VALUE"""),108.54)</f>
        <v>108.54</v>
      </c>
      <c r="F5415" s="2">
        <f>IFERROR(__xludf.DUMMYFUNCTION("""COMPUTED_VALUE"""),3340700.0)</f>
        <v>3340700</v>
      </c>
    </row>
    <row r="5416">
      <c r="A5416" s="3">
        <f>IFERROR(__xludf.DUMMYFUNCTION("""COMPUTED_VALUE"""),37047.666666666664)</f>
        <v>37047.66667</v>
      </c>
      <c r="B5416" s="2">
        <f>IFERROR(__xludf.DUMMYFUNCTION("""COMPUTED_VALUE"""),108.54)</f>
        <v>108.54</v>
      </c>
      <c r="C5416" s="2">
        <f>IFERROR(__xludf.DUMMYFUNCTION("""COMPUTED_VALUE"""),112.33)</f>
        <v>112.33</v>
      </c>
      <c r="D5416" s="2">
        <f>IFERROR(__xludf.DUMMYFUNCTION("""COMPUTED_VALUE"""),108.47)</f>
        <v>108.47</v>
      </c>
      <c r="E5416" s="2">
        <f>IFERROR(__xludf.DUMMYFUNCTION("""COMPUTED_VALUE"""),111.66)</f>
        <v>111.66</v>
      </c>
      <c r="F5416" s="2">
        <f>IFERROR(__xludf.DUMMYFUNCTION("""COMPUTED_VALUE"""),5593600.0)</f>
        <v>5593600</v>
      </c>
    </row>
    <row r="5417">
      <c r="A5417" s="3">
        <f>IFERROR(__xludf.DUMMYFUNCTION("""COMPUTED_VALUE"""),37048.666666666664)</f>
        <v>37048.66667</v>
      </c>
      <c r="B5417" s="2">
        <f>IFERROR(__xludf.DUMMYFUNCTION("""COMPUTED_VALUE"""),112.33)</f>
        <v>112.33</v>
      </c>
      <c r="C5417" s="2">
        <f>IFERROR(__xludf.DUMMYFUNCTION("""COMPUTED_VALUE"""),113.66)</f>
        <v>113.66</v>
      </c>
      <c r="D5417" s="2">
        <f>IFERROR(__xludf.DUMMYFUNCTION("""COMPUTED_VALUE"""),111.28)</f>
        <v>111.28</v>
      </c>
      <c r="E5417" s="2">
        <f>IFERROR(__xludf.DUMMYFUNCTION("""COMPUTED_VALUE"""),112.23)</f>
        <v>112.23</v>
      </c>
      <c r="F5417" s="2">
        <f>IFERROR(__xludf.DUMMYFUNCTION("""COMPUTED_VALUE"""),8052000.0)</f>
        <v>8052000</v>
      </c>
    </row>
    <row r="5418">
      <c r="A5418" s="3">
        <f>IFERROR(__xludf.DUMMYFUNCTION("""COMPUTED_VALUE"""),37049.666666666664)</f>
        <v>37049.66667</v>
      </c>
      <c r="B5418" s="2">
        <f>IFERROR(__xludf.DUMMYFUNCTION("""COMPUTED_VALUE"""),111.75)</f>
        <v>111.75</v>
      </c>
      <c r="C5418" s="2">
        <f>IFERROR(__xludf.DUMMYFUNCTION("""COMPUTED_VALUE"""),112.95)</f>
        <v>112.95</v>
      </c>
      <c r="D5418" s="2">
        <f>IFERROR(__xludf.DUMMYFUNCTION("""COMPUTED_VALUE"""),111.75)</f>
        <v>111.75</v>
      </c>
      <c r="E5418" s="2">
        <f>IFERROR(__xludf.DUMMYFUNCTION("""COMPUTED_VALUE"""),111.99)</f>
        <v>111.99</v>
      </c>
      <c r="F5418" s="2">
        <f>IFERROR(__xludf.DUMMYFUNCTION("""COMPUTED_VALUE"""),5134800.0)</f>
        <v>5134800</v>
      </c>
    </row>
    <row r="5419">
      <c r="A5419" s="3">
        <f>IFERROR(__xludf.DUMMYFUNCTION("""COMPUTED_VALUE"""),37050.666666666664)</f>
        <v>37050.66667</v>
      </c>
      <c r="B5419" s="2">
        <f>IFERROR(__xludf.DUMMYFUNCTION("""COMPUTED_VALUE"""),111.04)</f>
        <v>111.04</v>
      </c>
      <c r="C5419" s="2">
        <f>IFERROR(__xludf.DUMMYFUNCTION("""COMPUTED_VALUE"""),111.49)</f>
        <v>111.49</v>
      </c>
      <c r="D5419" s="2">
        <f>IFERROR(__xludf.DUMMYFUNCTION("""COMPUTED_VALUE"""),110.87)</f>
        <v>110.87</v>
      </c>
      <c r="E5419" s="2">
        <f>IFERROR(__xludf.DUMMYFUNCTION("""COMPUTED_VALUE"""),110.89)</f>
        <v>110.89</v>
      </c>
      <c r="F5419" s="2">
        <f>IFERROR(__xludf.DUMMYFUNCTION("""COMPUTED_VALUE"""),2544000.0)</f>
        <v>2544000</v>
      </c>
    </row>
    <row r="5420">
      <c r="A5420" s="3">
        <f>IFERROR(__xludf.DUMMYFUNCTION("""COMPUTED_VALUE"""),37053.666666666664)</f>
        <v>37053.66667</v>
      </c>
      <c r="B5420" s="2">
        <f>IFERROR(__xludf.DUMMYFUNCTION("""COMPUTED_VALUE"""),111.09)</f>
        <v>111.09</v>
      </c>
      <c r="C5420" s="2">
        <f>IFERROR(__xludf.DUMMYFUNCTION("""COMPUTED_VALUE"""),112.84)</f>
        <v>112.84</v>
      </c>
      <c r="D5420" s="2">
        <f>IFERROR(__xludf.DUMMYFUNCTION("""COMPUTED_VALUE"""),110.89)</f>
        <v>110.89</v>
      </c>
      <c r="E5420" s="2">
        <f>IFERROR(__xludf.DUMMYFUNCTION("""COMPUTED_VALUE"""),112.08)</f>
        <v>112.08</v>
      </c>
      <c r="F5420" s="2">
        <f>IFERROR(__xludf.DUMMYFUNCTION("""COMPUTED_VALUE"""),5825400.0)</f>
        <v>5825400</v>
      </c>
    </row>
    <row r="5421">
      <c r="A5421" s="3">
        <f>IFERROR(__xludf.DUMMYFUNCTION("""COMPUTED_VALUE"""),37054.666666666664)</f>
        <v>37054.66667</v>
      </c>
      <c r="B5421" s="2">
        <f>IFERROR(__xludf.DUMMYFUNCTION("""COMPUTED_VALUE"""),111.52)</f>
        <v>111.52</v>
      </c>
      <c r="C5421" s="2">
        <f>IFERROR(__xludf.DUMMYFUNCTION("""COMPUTED_VALUE"""),112.52)</f>
        <v>112.52</v>
      </c>
      <c r="D5421" s="2">
        <f>IFERROR(__xludf.DUMMYFUNCTION("""COMPUTED_VALUE"""),110.37)</f>
        <v>110.37</v>
      </c>
      <c r="E5421" s="2">
        <f>IFERROR(__xludf.DUMMYFUNCTION("""COMPUTED_VALUE"""),111.99)</f>
        <v>111.99</v>
      </c>
      <c r="F5421" s="2">
        <f>IFERROR(__xludf.DUMMYFUNCTION("""COMPUTED_VALUE"""),6521300.0)</f>
        <v>6521300</v>
      </c>
    </row>
    <row r="5422">
      <c r="A5422" s="3">
        <f>IFERROR(__xludf.DUMMYFUNCTION("""COMPUTED_VALUE"""),37055.666666666664)</f>
        <v>37055.66667</v>
      </c>
      <c r="B5422" s="2">
        <f>IFERROR(__xludf.DUMMYFUNCTION("""COMPUTED_VALUE"""),111.99)</f>
        <v>111.99</v>
      </c>
      <c r="C5422" s="2">
        <f>IFERROR(__xludf.DUMMYFUNCTION("""COMPUTED_VALUE"""),113.16)</f>
        <v>113.16</v>
      </c>
      <c r="D5422" s="2">
        <f>IFERROR(__xludf.DUMMYFUNCTION("""COMPUTED_VALUE"""),111.31)</f>
        <v>111.31</v>
      </c>
      <c r="E5422" s="2">
        <f>IFERROR(__xludf.DUMMYFUNCTION("""COMPUTED_VALUE"""),111.36)</f>
        <v>111.36</v>
      </c>
      <c r="F5422" s="2">
        <f>IFERROR(__xludf.DUMMYFUNCTION("""COMPUTED_VALUE"""),4874700.0)</f>
        <v>4874700</v>
      </c>
    </row>
    <row r="5423">
      <c r="A5423" s="3">
        <f>IFERROR(__xludf.DUMMYFUNCTION("""COMPUTED_VALUE"""),37056.666666666664)</f>
        <v>37056.66667</v>
      </c>
      <c r="B5423" s="2">
        <f>IFERROR(__xludf.DUMMYFUNCTION("""COMPUTED_VALUE"""),110.42)</f>
        <v>110.42</v>
      </c>
      <c r="C5423" s="2">
        <f>IFERROR(__xludf.DUMMYFUNCTION("""COMPUTED_VALUE"""),110.88)</f>
        <v>110.88</v>
      </c>
      <c r="D5423" s="2">
        <f>IFERROR(__xludf.DUMMYFUNCTION("""COMPUTED_VALUE"""),108.88)</f>
        <v>108.88</v>
      </c>
      <c r="E5423" s="2">
        <f>IFERROR(__xludf.DUMMYFUNCTION("""COMPUTED_VALUE"""),110.56)</f>
        <v>110.56</v>
      </c>
      <c r="F5423" s="2">
        <f>IFERROR(__xludf.DUMMYFUNCTION("""COMPUTED_VALUE"""),6587600.0)</f>
        <v>6587600</v>
      </c>
    </row>
    <row r="5424">
      <c r="A5424" s="3">
        <f>IFERROR(__xludf.DUMMYFUNCTION("""COMPUTED_VALUE"""),37057.666666666664)</f>
        <v>37057.66667</v>
      </c>
      <c r="B5424" s="2">
        <f>IFERROR(__xludf.DUMMYFUNCTION("""COMPUTED_VALUE"""),109.94)</f>
        <v>109.94</v>
      </c>
      <c r="C5424" s="2">
        <f>IFERROR(__xludf.DUMMYFUNCTION("""COMPUTED_VALUE"""),110.27)</f>
        <v>110.27</v>
      </c>
      <c r="D5424" s="2">
        <f>IFERROR(__xludf.DUMMYFUNCTION("""COMPUTED_VALUE"""),108.3)</f>
        <v>108.3</v>
      </c>
      <c r="E5424" s="2">
        <f>IFERROR(__xludf.DUMMYFUNCTION("""COMPUTED_VALUE"""),108.51)</f>
        <v>108.51</v>
      </c>
      <c r="F5424" s="2">
        <f>IFERROR(__xludf.DUMMYFUNCTION("""COMPUTED_VALUE"""),1.15074E7)</f>
        <v>11507400</v>
      </c>
    </row>
    <row r="5425">
      <c r="A5425" s="3">
        <f>IFERROR(__xludf.DUMMYFUNCTION("""COMPUTED_VALUE"""),37060.666666666664)</f>
        <v>37060.66667</v>
      </c>
      <c r="B5425" s="2">
        <f>IFERROR(__xludf.DUMMYFUNCTION("""COMPUTED_VALUE"""),108.87)</f>
        <v>108.87</v>
      </c>
      <c r="C5425" s="2">
        <f>IFERROR(__xludf.DUMMYFUNCTION("""COMPUTED_VALUE"""),110.26)</f>
        <v>110.26</v>
      </c>
      <c r="D5425" s="2">
        <f>IFERROR(__xludf.DUMMYFUNCTION("""COMPUTED_VALUE"""),108.23)</f>
        <v>108.23</v>
      </c>
      <c r="E5425" s="2">
        <f>IFERROR(__xludf.DUMMYFUNCTION("""COMPUTED_VALUE"""),109.15)</f>
        <v>109.15</v>
      </c>
      <c r="F5425" s="2">
        <f>IFERROR(__xludf.DUMMYFUNCTION("""COMPUTED_VALUE"""),4666400.0)</f>
        <v>4666400</v>
      </c>
    </row>
    <row r="5426">
      <c r="A5426" s="3">
        <f>IFERROR(__xludf.DUMMYFUNCTION("""COMPUTED_VALUE"""),37061.666666666664)</f>
        <v>37061.66667</v>
      </c>
      <c r="B5426" s="2">
        <f>IFERROR(__xludf.DUMMYFUNCTION("""COMPUTED_VALUE"""),111.75)</f>
        <v>111.75</v>
      </c>
      <c r="C5426" s="2">
        <f>IFERROR(__xludf.DUMMYFUNCTION("""COMPUTED_VALUE"""),111.99)</f>
        <v>111.99</v>
      </c>
      <c r="D5426" s="2">
        <f>IFERROR(__xludf.DUMMYFUNCTION("""COMPUTED_VALUE"""),109.42)</f>
        <v>109.42</v>
      </c>
      <c r="E5426" s="2">
        <f>IFERROR(__xludf.DUMMYFUNCTION("""COMPUTED_VALUE"""),109.69)</f>
        <v>109.69</v>
      </c>
      <c r="F5426" s="2">
        <f>IFERROR(__xludf.DUMMYFUNCTION("""COMPUTED_VALUE"""),5360900.0)</f>
        <v>5360900</v>
      </c>
    </row>
    <row r="5427">
      <c r="A5427" s="3">
        <f>IFERROR(__xludf.DUMMYFUNCTION("""COMPUTED_VALUE"""),37062.666666666664)</f>
        <v>37062.66667</v>
      </c>
      <c r="B5427" s="2">
        <f>IFERROR(__xludf.DUMMYFUNCTION("""COMPUTED_VALUE"""),108.27)</f>
        <v>108.27</v>
      </c>
      <c r="C5427" s="2">
        <f>IFERROR(__xludf.DUMMYFUNCTION("""COMPUTED_VALUE"""),109.82)</f>
        <v>109.82</v>
      </c>
      <c r="D5427" s="2">
        <f>IFERROR(__xludf.DUMMYFUNCTION("""COMPUTED_VALUE"""),106.75)</f>
        <v>106.75</v>
      </c>
      <c r="E5427" s="2">
        <f>IFERROR(__xludf.DUMMYFUNCTION("""COMPUTED_VALUE"""),108.02)</f>
        <v>108.02</v>
      </c>
      <c r="F5427" s="2">
        <f>IFERROR(__xludf.DUMMYFUNCTION("""COMPUTED_VALUE"""),8706600.0)</f>
        <v>8706600</v>
      </c>
    </row>
    <row r="5428">
      <c r="A5428" s="3">
        <f>IFERROR(__xludf.DUMMYFUNCTION("""COMPUTED_VALUE"""),37063.666666666664)</f>
        <v>37063.66667</v>
      </c>
      <c r="B5428" s="2">
        <f>IFERROR(__xludf.DUMMYFUNCTION("""COMPUTED_VALUE"""),107.12)</f>
        <v>107.12</v>
      </c>
      <c r="C5428" s="2">
        <f>IFERROR(__xludf.DUMMYFUNCTION("""COMPUTED_VALUE"""),109.56)</f>
        <v>109.56</v>
      </c>
      <c r="D5428" s="2">
        <f>IFERROR(__xludf.DUMMYFUNCTION("""COMPUTED_VALUE"""),106.38)</f>
        <v>106.38</v>
      </c>
      <c r="E5428" s="2">
        <f>IFERROR(__xludf.DUMMYFUNCTION("""COMPUTED_VALUE"""),107.07)</f>
        <v>107.07</v>
      </c>
      <c r="F5428" s="2">
        <f>IFERROR(__xludf.DUMMYFUNCTION("""COMPUTED_VALUE"""),7199700.0)</f>
        <v>7199700</v>
      </c>
    </row>
    <row r="5429">
      <c r="A5429" s="3">
        <f>IFERROR(__xludf.DUMMYFUNCTION("""COMPUTED_VALUE"""),37064.666666666664)</f>
        <v>37064.66667</v>
      </c>
      <c r="B5429" s="2">
        <f>IFERROR(__xludf.DUMMYFUNCTION("""COMPUTED_VALUE"""),107.55)</f>
        <v>107.55</v>
      </c>
      <c r="C5429" s="2">
        <f>IFERROR(__xludf.DUMMYFUNCTION("""COMPUTED_VALUE"""),109.3)</f>
        <v>109.3</v>
      </c>
      <c r="D5429" s="2">
        <f>IFERROR(__xludf.DUMMYFUNCTION("""COMPUTED_VALUE"""),107.46)</f>
        <v>107.46</v>
      </c>
      <c r="E5429" s="2">
        <f>IFERROR(__xludf.DUMMYFUNCTION("""COMPUTED_VALUE"""),107.81)</f>
        <v>107.81</v>
      </c>
      <c r="F5429" s="2">
        <f>IFERROR(__xludf.DUMMYFUNCTION("""COMPUTED_VALUE"""),4658500.0)</f>
        <v>4658500</v>
      </c>
    </row>
    <row r="5430">
      <c r="A5430" s="3">
        <f>IFERROR(__xludf.DUMMYFUNCTION("""COMPUTED_VALUE"""),37067.666666666664)</f>
        <v>37067.66667</v>
      </c>
      <c r="B5430" s="2">
        <f>IFERROR(__xludf.DUMMYFUNCTION("""COMPUTED_VALUE"""),108.65)</f>
        <v>108.65</v>
      </c>
      <c r="C5430" s="2">
        <f>IFERROR(__xludf.DUMMYFUNCTION("""COMPUTED_VALUE"""),109.75)</f>
        <v>109.75</v>
      </c>
      <c r="D5430" s="2">
        <f>IFERROR(__xludf.DUMMYFUNCTION("""COMPUTED_VALUE"""),106.77)</f>
        <v>106.77</v>
      </c>
      <c r="E5430" s="2">
        <f>IFERROR(__xludf.DUMMYFUNCTION("""COMPUTED_VALUE"""),107.34)</f>
        <v>107.34</v>
      </c>
      <c r="F5430" s="2">
        <f>IFERROR(__xludf.DUMMYFUNCTION("""COMPUTED_VALUE"""),5031500.0)</f>
        <v>5031500</v>
      </c>
    </row>
    <row r="5431">
      <c r="A5431" s="3">
        <f>IFERROR(__xludf.DUMMYFUNCTION("""COMPUTED_VALUE"""),37068.666666666664)</f>
        <v>37068.66667</v>
      </c>
      <c r="B5431" s="2">
        <f>IFERROR(__xludf.DUMMYFUNCTION("""COMPUTED_VALUE"""),106.26)</f>
        <v>106.26</v>
      </c>
      <c r="C5431" s="2">
        <f>IFERROR(__xludf.DUMMYFUNCTION("""COMPUTED_VALUE"""),108.94)</f>
        <v>108.94</v>
      </c>
      <c r="D5431" s="2">
        <f>IFERROR(__xludf.DUMMYFUNCTION("""COMPUTED_VALUE"""),106.12)</f>
        <v>106.12</v>
      </c>
      <c r="E5431" s="2">
        <f>IFERROR(__xludf.DUMMYFUNCTION("""COMPUTED_VALUE"""),107.97)</f>
        <v>107.97</v>
      </c>
      <c r="F5431" s="2">
        <f>IFERROR(__xludf.DUMMYFUNCTION("""COMPUTED_VALUE"""),5657400.0)</f>
        <v>5657400</v>
      </c>
    </row>
    <row r="5432">
      <c r="A5432" s="3">
        <f>IFERROR(__xludf.DUMMYFUNCTION("""COMPUTED_VALUE"""),37069.666666666664)</f>
        <v>37069.66667</v>
      </c>
      <c r="B5432" s="2">
        <f>IFERROR(__xludf.DUMMYFUNCTION("""COMPUTED_VALUE"""),108.03)</f>
        <v>108.03</v>
      </c>
      <c r="C5432" s="2">
        <f>IFERROR(__xludf.DUMMYFUNCTION("""COMPUTED_VALUE"""),109.06)</f>
        <v>109.06</v>
      </c>
      <c r="D5432" s="2">
        <f>IFERROR(__xludf.DUMMYFUNCTION("""COMPUTED_VALUE"""),107.41)</f>
        <v>107.41</v>
      </c>
      <c r="E5432" s="2">
        <f>IFERROR(__xludf.DUMMYFUNCTION("""COMPUTED_VALUE"""),108.43)</f>
        <v>108.43</v>
      </c>
      <c r="F5432" s="2">
        <f>IFERROR(__xludf.DUMMYFUNCTION("""COMPUTED_VALUE"""),3873500.0)</f>
        <v>3873500</v>
      </c>
    </row>
    <row r="5433">
      <c r="A5433" s="3">
        <f>IFERROR(__xludf.DUMMYFUNCTION("""COMPUTED_VALUE"""),37070.666666666664)</f>
        <v>37070.66667</v>
      </c>
      <c r="B5433" s="2">
        <f>IFERROR(__xludf.DUMMYFUNCTION("""COMPUTED_VALUE"""),108.7)</f>
        <v>108.7</v>
      </c>
      <c r="C5433" s="2">
        <f>IFERROR(__xludf.DUMMYFUNCTION("""COMPUTED_VALUE"""),111.71)</f>
        <v>111.71</v>
      </c>
      <c r="D5433" s="2">
        <f>IFERROR(__xludf.DUMMYFUNCTION("""COMPUTED_VALUE"""),108.65)</f>
        <v>108.65</v>
      </c>
      <c r="E5433" s="2">
        <f>IFERROR(__xludf.DUMMYFUNCTION("""COMPUTED_VALUE"""),109.94)</f>
        <v>109.94</v>
      </c>
      <c r="F5433" s="2">
        <f>IFERROR(__xludf.DUMMYFUNCTION("""COMPUTED_VALUE"""),7040200.0)</f>
        <v>7040200</v>
      </c>
    </row>
    <row r="5434">
      <c r="A5434" s="3">
        <f>IFERROR(__xludf.DUMMYFUNCTION("""COMPUTED_VALUE"""),37071.666666666664)</f>
        <v>37071.66667</v>
      </c>
      <c r="B5434" s="2">
        <f>IFERROR(__xludf.DUMMYFUNCTION("""COMPUTED_VALUE"""),110.42)</f>
        <v>110.42</v>
      </c>
      <c r="C5434" s="2">
        <f>IFERROR(__xludf.DUMMYFUNCTION("""COMPUTED_VALUE"""),111.42)</f>
        <v>111.42</v>
      </c>
      <c r="D5434" s="2">
        <f>IFERROR(__xludf.DUMMYFUNCTION("""COMPUTED_VALUE"""),107.93)</f>
        <v>107.93</v>
      </c>
      <c r="E5434" s="2">
        <f>IFERROR(__xludf.DUMMYFUNCTION("""COMPUTED_VALUE"""),107.93)</f>
        <v>107.93</v>
      </c>
      <c r="F5434" s="2">
        <f>IFERROR(__xludf.DUMMYFUNCTION("""COMPUTED_VALUE"""),8530200.0)</f>
        <v>8530200</v>
      </c>
    </row>
    <row r="5435">
      <c r="A5435" s="3">
        <f>IFERROR(__xludf.DUMMYFUNCTION("""COMPUTED_VALUE"""),37074.666666666664)</f>
        <v>37074.66667</v>
      </c>
      <c r="B5435" s="2">
        <f>IFERROR(__xludf.DUMMYFUNCTION("""COMPUTED_VALUE"""),108.41)</f>
        <v>108.41</v>
      </c>
      <c r="C5435" s="2">
        <f>IFERROR(__xludf.DUMMYFUNCTION("""COMPUTED_VALUE"""),110.23)</f>
        <v>110.23</v>
      </c>
      <c r="D5435" s="2">
        <f>IFERROR(__xludf.DUMMYFUNCTION("""COMPUTED_VALUE"""),107.93)</f>
        <v>107.93</v>
      </c>
      <c r="E5435" s="2">
        <f>IFERROR(__xludf.DUMMYFUNCTION("""COMPUTED_VALUE"""),109.22)</f>
        <v>109.22</v>
      </c>
      <c r="F5435" s="2">
        <f>IFERROR(__xludf.DUMMYFUNCTION("""COMPUTED_VALUE"""),4933800.0)</f>
        <v>4933800</v>
      </c>
    </row>
    <row r="5436">
      <c r="A5436" s="3">
        <f>IFERROR(__xludf.DUMMYFUNCTION("""COMPUTED_VALUE"""),37075.666666666664)</f>
        <v>37075.66667</v>
      </c>
      <c r="B5436" s="2">
        <f>IFERROR(__xludf.DUMMYFUNCTION("""COMPUTED_VALUE"""),108.98)</f>
        <v>108.98</v>
      </c>
      <c r="C5436" s="2">
        <f>IFERROR(__xludf.DUMMYFUNCTION("""COMPUTED_VALUE"""),109.07)</f>
        <v>109.07</v>
      </c>
      <c r="D5436" s="2">
        <f>IFERROR(__xludf.DUMMYFUNCTION("""COMPUTED_VALUE"""),107.7)</f>
        <v>107.7</v>
      </c>
      <c r="E5436" s="2">
        <f>IFERROR(__xludf.DUMMYFUNCTION("""COMPUTED_VALUE"""),107.91)</f>
        <v>107.91</v>
      </c>
      <c r="F5436" s="2">
        <f>IFERROR(__xludf.DUMMYFUNCTION("""COMPUTED_VALUE"""),3325800.0)</f>
        <v>3325800</v>
      </c>
    </row>
    <row r="5437">
      <c r="A5437" s="3">
        <f>IFERROR(__xludf.DUMMYFUNCTION("""COMPUTED_VALUE"""),37077.666666666664)</f>
        <v>37077.66667</v>
      </c>
      <c r="B5437" s="2">
        <f>IFERROR(__xludf.DUMMYFUNCTION("""COMPUTED_VALUE"""),107.55)</f>
        <v>107.55</v>
      </c>
      <c r="C5437" s="2">
        <f>IFERROR(__xludf.DUMMYFUNCTION("""COMPUTED_VALUE"""),108.18)</f>
        <v>108.18</v>
      </c>
      <c r="D5437" s="2">
        <f>IFERROR(__xludf.DUMMYFUNCTION("""COMPUTED_VALUE"""),106.78)</f>
        <v>106.78</v>
      </c>
      <c r="E5437" s="2">
        <f>IFERROR(__xludf.DUMMYFUNCTION("""COMPUTED_VALUE"""),107.07)</f>
        <v>107.07</v>
      </c>
      <c r="F5437" s="2">
        <f>IFERROR(__xludf.DUMMYFUNCTION("""COMPUTED_VALUE"""),3797400.0)</f>
        <v>3797400</v>
      </c>
    </row>
    <row r="5438">
      <c r="A5438" s="3">
        <f>IFERROR(__xludf.DUMMYFUNCTION("""COMPUTED_VALUE"""),37078.666666666664)</f>
        <v>37078.66667</v>
      </c>
      <c r="B5438" s="2">
        <f>IFERROR(__xludf.DUMMYFUNCTION("""COMPUTED_VALUE"""),105.93)</f>
        <v>105.93</v>
      </c>
      <c r="C5438" s="2">
        <f>IFERROR(__xludf.DUMMYFUNCTION("""COMPUTED_VALUE"""),105.93)</f>
        <v>105.93</v>
      </c>
      <c r="D5438" s="2">
        <f>IFERROR(__xludf.DUMMYFUNCTION("""COMPUTED_VALUE"""),101.07)</f>
        <v>101.07</v>
      </c>
      <c r="E5438" s="2">
        <f>IFERROR(__xludf.DUMMYFUNCTION("""COMPUTED_VALUE"""),101.72)</f>
        <v>101.72</v>
      </c>
      <c r="F5438" s="2">
        <f>IFERROR(__xludf.DUMMYFUNCTION("""COMPUTED_VALUE"""),9852600.0)</f>
        <v>9852600</v>
      </c>
    </row>
    <row r="5439">
      <c r="A5439" s="3">
        <f>IFERROR(__xludf.DUMMYFUNCTION("""COMPUTED_VALUE"""),37081.666666666664)</f>
        <v>37081.66667</v>
      </c>
      <c r="B5439" s="2">
        <f>IFERROR(__xludf.DUMMYFUNCTION("""COMPUTED_VALUE"""),101.72)</f>
        <v>101.72</v>
      </c>
      <c r="C5439" s="2">
        <f>IFERROR(__xludf.DUMMYFUNCTION("""COMPUTED_VALUE"""),102.15)</f>
        <v>102.15</v>
      </c>
      <c r="D5439" s="2">
        <f>IFERROR(__xludf.DUMMYFUNCTION("""COMPUTED_VALUE"""),99.0)</f>
        <v>99</v>
      </c>
      <c r="E5439" s="2">
        <f>IFERROR(__xludf.DUMMYFUNCTION("""COMPUTED_VALUE"""),100.48)</f>
        <v>100.48</v>
      </c>
      <c r="F5439" s="2">
        <f>IFERROR(__xludf.DUMMYFUNCTION("""COMPUTED_VALUE"""),9293900.0)</f>
        <v>9293900</v>
      </c>
    </row>
    <row r="5440">
      <c r="A5440" s="3">
        <f>IFERROR(__xludf.DUMMYFUNCTION("""COMPUTED_VALUE"""),37082.666666666664)</f>
        <v>37082.66667</v>
      </c>
      <c r="B5440" s="2">
        <f>IFERROR(__xludf.DUMMYFUNCTION("""COMPUTED_VALUE"""),100.03)</f>
        <v>100.03</v>
      </c>
      <c r="C5440" s="2">
        <f>IFERROR(__xludf.DUMMYFUNCTION("""COMPUTED_VALUE"""),100.67)</f>
        <v>100.67</v>
      </c>
      <c r="D5440" s="2">
        <f>IFERROR(__xludf.DUMMYFUNCTION("""COMPUTED_VALUE"""),97.04)</f>
        <v>97.04</v>
      </c>
      <c r="E5440" s="2">
        <f>IFERROR(__xludf.DUMMYFUNCTION("""COMPUTED_VALUE"""),97.38)</f>
        <v>97.38</v>
      </c>
      <c r="F5440" s="2">
        <f>IFERROR(__xludf.DUMMYFUNCTION("""COMPUTED_VALUE"""),1.02358E7)</f>
        <v>10235800</v>
      </c>
    </row>
    <row r="5441">
      <c r="A5441" s="3">
        <f>IFERROR(__xludf.DUMMYFUNCTION("""COMPUTED_VALUE"""),37083.666666666664)</f>
        <v>37083.66667</v>
      </c>
      <c r="B5441" s="2">
        <f>IFERROR(__xludf.DUMMYFUNCTION("""COMPUTED_VALUE"""),97.04)</f>
        <v>97.04</v>
      </c>
      <c r="C5441" s="2">
        <f>IFERROR(__xludf.DUMMYFUNCTION("""COMPUTED_VALUE"""),99.46)</f>
        <v>99.46</v>
      </c>
      <c r="D5441" s="2">
        <f>IFERROR(__xludf.DUMMYFUNCTION("""COMPUTED_VALUE"""),97.04)</f>
        <v>97.04</v>
      </c>
      <c r="E5441" s="2">
        <f>IFERROR(__xludf.DUMMYFUNCTION("""COMPUTED_VALUE"""),99.19)</f>
        <v>99.19</v>
      </c>
      <c r="F5441" s="2">
        <f>IFERROR(__xludf.DUMMYFUNCTION("""COMPUTED_VALUE"""),7824600.0)</f>
        <v>7824600</v>
      </c>
    </row>
    <row r="5442">
      <c r="A5442" s="3">
        <f>IFERROR(__xludf.DUMMYFUNCTION("""COMPUTED_VALUE"""),37084.666666666664)</f>
        <v>37084.66667</v>
      </c>
      <c r="B5442" s="2">
        <f>IFERROR(__xludf.DUMMYFUNCTION("""COMPUTED_VALUE"""),101.15)</f>
        <v>101.15</v>
      </c>
      <c r="C5442" s="2">
        <f>IFERROR(__xludf.DUMMYFUNCTION("""COMPUTED_VALUE"""),102.97)</f>
        <v>102.97</v>
      </c>
      <c r="D5442" s="2">
        <f>IFERROR(__xludf.DUMMYFUNCTION("""COMPUTED_VALUE"""),100.88)</f>
        <v>100.88</v>
      </c>
      <c r="E5442" s="2">
        <f>IFERROR(__xludf.DUMMYFUNCTION("""COMPUTED_VALUE"""),102.44)</f>
        <v>102.44</v>
      </c>
      <c r="F5442" s="2">
        <f>IFERROR(__xludf.DUMMYFUNCTION("""COMPUTED_VALUE"""),7683300.0)</f>
        <v>7683300</v>
      </c>
    </row>
    <row r="5443">
      <c r="A5443" s="3">
        <f>IFERROR(__xludf.DUMMYFUNCTION("""COMPUTED_VALUE"""),37085.666666666664)</f>
        <v>37085.66667</v>
      </c>
      <c r="B5443" s="2">
        <f>IFERROR(__xludf.DUMMYFUNCTION("""COMPUTED_VALUE"""),101.39)</f>
        <v>101.39</v>
      </c>
      <c r="C5443" s="2">
        <f>IFERROR(__xludf.DUMMYFUNCTION("""COMPUTED_VALUE"""),104.4)</f>
        <v>104.4</v>
      </c>
      <c r="D5443" s="2">
        <f>IFERROR(__xludf.DUMMYFUNCTION("""COMPUTED_VALUE"""),101.35)</f>
        <v>101.35</v>
      </c>
      <c r="E5443" s="2">
        <f>IFERROR(__xludf.DUMMYFUNCTION("""COMPUTED_VALUE"""),103.66)</f>
        <v>103.66</v>
      </c>
      <c r="F5443" s="2">
        <f>IFERROR(__xludf.DUMMYFUNCTION("""COMPUTED_VALUE"""),7018200.0)</f>
        <v>7018200</v>
      </c>
    </row>
    <row r="5444">
      <c r="A5444" s="3">
        <f>IFERROR(__xludf.DUMMYFUNCTION("""COMPUTED_VALUE"""),37088.666666666664)</f>
        <v>37088.66667</v>
      </c>
      <c r="B5444" s="2">
        <f>IFERROR(__xludf.DUMMYFUNCTION("""COMPUTED_VALUE"""),103.66)</f>
        <v>103.66</v>
      </c>
      <c r="C5444" s="2">
        <f>IFERROR(__xludf.DUMMYFUNCTION("""COMPUTED_VALUE"""),104.48)</f>
        <v>104.48</v>
      </c>
      <c r="D5444" s="2">
        <f>IFERROR(__xludf.DUMMYFUNCTION("""COMPUTED_VALUE"""),102.47)</f>
        <v>102.47</v>
      </c>
      <c r="E5444" s="2">
        <f>IFERROR(__xludf.DUMMYFUNCTION("""COMPUTED_VALUE"""),102.99)</f>
        <v>102.99</v>
      </c>
      <c r="F5444" s="2">
        <f>IFERROR(__xludf.DUMMYFUNCTION("""COMPUTED_VALUE"""),4647100.0)</f>
        <v>4647100</v>
      </c>
    </row>
    <row r="5445">
      <c r="A5445" s="3">
        <f>IFERROR(__xludf.DUMMYFUNCTION("""COMPUTED_VALUE"""),37089.666666666664)</f>
        <v>37089.66667</v>
      </c>
      <c r="B5445" s="2">
        <f>IFERROR(__xludf.DUMMYFUNCTION("""COMPUTED_VALUE"""),101.34)</f>
        <v>101.34</v>
      </c>
      <c r="C5445" s="2">
        <f>IFERROR(__xludf.DUMMYFUNCTION("""COMPUTED_VALUE"""),103.71)</f>
        <v>103.71</v>
      </c>
      <c r="D5445" s="2">
        <f>IFERROR(__xludf.DUMMYFUNCTION("""COMPUTED_VALUE"""),100.05)</f>
        <v>100.05</v>
      </c>
      <c r="E5445" s="2">
        <f>IFERROR(__xludf.DUMMYFUNCTION("""COMPUTED_VALUE"""),103.66)</f>
        <v>103.66</v>
      </c>
      <c r="F5445" s="2">
        <f>IFERROR(__xludf.DUMMYFUNCTION("""COMPUTED_VALUE"""),7191000.0)</f>
        <v>7191000</v>
      </c>
    </row>
    <row r="5446">
      <c r="A5446" s="3">
        <f>IFERROR(__xludf.DUMMYFUNCTION("""COMPUTED_VALUE"""),37090.666666666664)</f>
        <v>37090.66667</v>
      </c>
      <c r="B5446" s="2">
        <f>IFERROR(__xludf.DUMMYFUNCTION("""COMPUTED_VALUE"""),101.34)</f>
        <v>101.34</v>
      </c>
      <c r="C5446" s="2">
        <f>IFERROR(__xludf.DUMMYFUNCTION("""COMPUTED_VALUE"""),102.78)</f>
        <v>102.78</v>
      </c>
      <c r="D5446" s="2">
        <f>IFERROR(__xludf.DUMMYFUNCTION("""COMPUTED_VALUE"""),98.62)</f>
        <v>98.62</v>
      </c>
      <c r="E5446" s="2">
        <f>IFERROR(__xludf.DUMMYFUNCTION("""COMPUTED_VALUE"""),99.6)</f>
        <v>99.6</v>
      </c>
      <c r="F5446" s="2">
        <f>IFERROR(__xludf.DUMMYFUNCTION("""COMPUTED_VALUE"""),9472700.0)</f>
        <v>9472700</v>
      </c>
    </row>
    <row r="5447">
      <c r="A5447" s="3">
        <f>IFERROR(__xludf.DUMMYFUNCTION("""COMPUTED_VALUE"""),37091.666666666664)</f>
        <v>37091.66667</v>
      </c>
      <c r="B5447" s="2">
        <f>IFERROR(__xludf.DUMMYFUNCTION("""COMPUTED_VALUE"""),101.25)</f>
        <v>101.25</v>
      </c>
      <c r="C5447" s="2">
        <f>IFERROR(__xludf.DUMMYFUNCTION("""COMPUTED_VALUE"""),101.25)</f>
        <v>101.25</v>
      </c>
      <c r="D5447" s="2">
        <f>IFERROR(__xludf.DUMMYFUNCTION("""COMPUTED_VALUE"""),98.48)</f>
        <v>98.48</v>
      </c>
      <c r="E5447" s="2">
        <f>IFERROR(__xludf.DUMMYFUNCTION("""COMPUTED_VALUE"""),99.34)</f>
        <v>99.34</v>
      </c>
      <c r="F5447" s="2">
        <f>IFERROR(__xludf.DUMMYFUNCTION("""COMPUTED_VALUE"""),1.20015E7)</f>
        <v>12001500</v>
      </c>
    </row>
    <row r="5448">
      <c r="A5448" s="3">
        <f>IFERROR(__xludf.DUMMYFUNCTION("""COMPUTED_VALUE"""),37092.666666666664)</f>
        <v>37092.66667</v>
      </c>
      <c r="B5448" s="2">
        <f>IFERROR(__xludf.DUMMYFUNCTION("""COMPUTED_VALUE"""),99.34)</f>
        <v>99.34</v>
      </c>
      <c r="C5448" s="2">
        <f>IFERROR(__xludf.DUMMYFUNCTION("""COMPUTED_VALUE"""),100.96)</f>
        <v>100.96</v>
      </c>
      <c r="D5448" s="2">
        <f>IFERROR(__xludf.DUMMYFUNCTION("""COMPUTED_VALUE"""),98.41)</f>
        <v>98.41</v>
      </c>
      <c r="E5448" s="2">
        <f>IFERROR(__xludf.DUMMYFUNCTION("""COMPUTED_VALUE"""),100.96)</f>
        <v>100.96</v>
      </c>
      <c r="F5448" s="2">
        <f>IFERROR(__xludf.DUMMYFUNCTION("""COMPUTED_VALUE"""),7782100.0)</f>
        <v>7782100</v>
      </c>
    </row>
    <row r="5449">
      <c r="A5449" s="3">
        <f>IFERROR(__xludf.DUMMYFUNCTION("""COMPUTED_VALUE"""),37095.666666666664)</f>
        <v>37095.66667</v>
      </c>
      <c r="B5449" s="2">
        <f>IFERROR(__xludf.DUMMYFUNCTION("""COMPUTED_VALUE"""),100.96)</f>
        <v>100.96</v>
      </c>
      <c r="C5449" s="2">
        <f>IFERROR(__xludf.DUMMYFUNCTION("""COMPUTED_VALUE"""),102.15)</f>
        <v>102.15</v>
      </c>
      <c r="D5449" s="2">
        <f>IFERROR(__xludf.DUMMYFUNCTION("""COMPUTED_VALUE"""),100.72)</f>
        <v>100.72</v>
      </c>
      <c r="E5449" s="2">
        <f>IFERROR(__xludf.DUMMYFUNCTION("""COMPUTED_VALUE"""),101.1)</f>
        <v>101.1</v>
      </c>
      <c r="F5449" s="2">
        <f>IFERROR(__xludf.DUMMYFUNCTION("""COMPUTED_VALUE"""),5259300.0)</f>
        <v>5259300</v>
      </c>
    </row>
    <row r="5450">
      <c r="A5450" s="3">
        <f>IFERROR(__xludf.DUMMYFUNCTION("""COMPUTED_VALUE"""),37096.666666666664)</f>
        <v>37096.66667</v>
      </c>
      <c r="B5450" s="2">
        <f>IFERROR(__xludf.DUMMYFUNCTION("""COMPUTED_VALUE"""),100.15)</f>
        <v>100.15</v>
      </c>
      <c r="C5450" s="2">
        <f>IFERROR(__xludf.DUMMYFUNCTION("""COMPUTED_VALUE"""),101.25)</f>
        <v>101.25</v>
      </c>
      <c r="D5450" s="2">
        <f>IFERROR(__xludf.DUMMYFUNCTION("""COMPUTED_VALUE"""),99.14)</f>
        <v>99.14</v>
      </c>
      <c r="E5450" s="2">
        <f>IFERROR(__xludf.DUMMYFUNCTION("""COMPUTED_VALUE"""),99.82)</f>
        <v>99.82</v>
      </c>
      <c r="F5450" s="2">
        <f>IFERROR(__xludf.DUMMYFUNCTION("""COMPUTED_VALUE"""),5582500.0)</f>
        <v>5582500</v>
      </c>
    </row>
    <row r="5451">
      <c r="A5451" s="3">
        <f>IFERROR(__xludf.DUMMYFUNCTION("""COMPUTED_VALUE"""),37097.666666666664)</f>
        <v>37097.66667</v>
      </c>
      <c r="B5451" s="2">
        <f>IFERROR(__xludf.DUMMYFUNCTION("""COMPUTED_VALUE"""),99.81)</f>
        <v>99.81</v>
      </c>
      <c r="C5451" s="2">
        <f>IFERROR(__xludf.DUMMYFUNCTION("""COMPUTED_VALUE"""),100.67)</f>
        <v>100.67</v>
      </c>
      <c r="D5451" s="2">
        <f>IFERROR(__xludf.DUMMYFUNCTION("""COMPUTED_VALUE"""),98.12)</f>
        <v>98.12</v>
      </c>
      <c r="E5451" s="2">
        <f>IFERROR(__xludf.DUMMYFUNCTION("""COMPUTED_VALUE"""),100.19)</f>
        <v>100.19</v>
      </c>
      <c r="F5451" s="2">
        <f>IFERROR(__xludf.DUMMYFUNCTION("""COMPUTED_VALUE"""),5291500.0)</f>
        <v>5291500</v>
      </c>
    </row>
    <row r="5452">
      <c r="A5452" s="3">
        <f>IFERROR(__xludf.DUMMYFUNCTION("""COMPUTED_VALUE"""),37098.666666666664)</f>
        <v>37098.66667</v>
      </c>
      <c r="B5452" s="2">
        <f>IFERROR(__xludf.DUMMYFUNCTION("""COMPUTED_VALUE"""),100.05)</f>
        <v>100.05</v>
      </c>
      <c r="C5452" s="2">
        <f>IFERROR(__xludf.DUMMYFUNCTION("""COMPUTED_VALUE"""),101.25)</f>
        <v>101.25</v>
      </c>
      <c r="D5452" s="2">
        <f>IFERROR(__xludf.DUMMYFUNCTION("""COMPUTED_VALUE"""),98.32)</f>
        <v>98.32</v>
      </c>
      <c r="E5452" s="2">
        <f>IFERROR(__xludf.DUMMYFUNCTION("""COMPUTED_VALUE"""),101.25)</f>
        <v>101.25</v>
      </c>
      <c r="F5452" s="2">
        <f>IFERROR(__xludf.DUMMYFUNCTION("""COMPUTED_VALUE"""),7507700.0)</f>
        <v>7507700</v>
      </c>
    </row>
    <row r="5453">
      <c r="A5453" s="3">
        <f>IFERROR(__xludf.DUMMYFUNCTION("""COMPUTED_VALUE"""),37099.666666666664)</f>
        <v>37099.66667</v>
      </c>
      <c r="B5453" s="2">
        <f>IFERROR(__xludf.DUMMYFUNCTION("""COMPUTED_VALUE"""),100.05)</f>
        <v>100.05</v>
      </c>
      <c r="C5453" s="2">
        <f>IFERROR(__xludf.DUMMYFUNCTION("""COMPUTED_VALUE"""),101.2)</f>
        <v>101.2</v>
      </c>
      <c r="D5453" s="2">
        <f>IFERROR(__xludf.DUMMYFUNCTION("""COMPUTED_VALUE"""),99.44)</f>
        <v>99.44</v>
      </c>
      <c r="E5453" s="2">
        <f>IFERROR(__xludf.DUMMYFUNCTION("""COMPUTED_VALUE"""),100.01)</f>
        <v>100.01</v>
      </c>
      <c r="F5453" s="2">
        <f>IFERROR(__xludf.DUMMYFUNCTION("""COMPUTED_VALUE"""),3725000.0)</f>
        <v>3725000</v>
      </c>
    </row>
    <row r="5454">
      <c r="A5454" s="3">
        <f>IFERROR(__xludf.DUMMYFUNCTION("""COMPUTED_VALUE"""),37102.666666666664)</f>
        <v>37102.66667</v>
      </c>
      <c r="B5454" s="2">
        <f>IFERROR(__xludf.DUMMYFUNCTION("""COMPUTED_VALUE"""),100.2)</f>
        <v>100.2</v>
      </c>
      <c r="C5454" s="2">
        <f>IFERROR(__xludf.DUMMYFUNCTION("""COMPUTED_VALUE"""),101.49)</f>
        <v>101.49</v>
      </c>
      <c r="D5454" s="2">
        <f>IFERROR(__xludf.DUMMYFUNCTION("""COMPUTED_VALUE"""),100.06)</f>
        <v>100.06</v>
      </c>
      <c r="E5454" s="2">
        <f>IFERROR(__xludf.DUMMYFUNCTION("""COMPUTED_VALUE"""),101.1)</f>
        <v>101.1</v>
      </c>
      <c r="F5454" s="2">
        <f>IFERROR(__xludf.DUMMYFUNCTION("""COMPUTED_VALUE"""),3422400.0)</f>
        <v>3422400</v>
      </c>
    </row>
    <row r="5455">
      <c r="A5455" s="3">
        <f>IFERROR(__xludf.DUMMYFUNCTION("""COMPUTED_VALUE"""),37103.666666666664)</f>
        <v>37103.66667</v>
      </c>
      <c r="B5455" s="2">
        <f>IFERROR(__xludf.DUMMYFUNCTION("""COMPUTED_VALUE"""),101.15)</f>
        <v>101.15</v>
      </c>
      <c r="C5455" s="2">
        <f>IFERROR(__xludf.DUMMYFUNCTION("""COMPUTED_VALUE"""),102.2)</f>
        <v>102.2</v>
      </c>
      <c r="D5455" s="2">
        <f>IFERROR(__xludf.DUMMYFUNCTION("""COMPUTED_VALUE"""),100.44)</f>
        <v>100.44</v>
      </c>
      <c r="E5455" s="2">
        <f>IFERROR(__xludf.DUMMYFUNCTION("""COMPUTED_VALUE"""),100.49)</f>
        <v>100.49</v>
      </c>
      <c r="F5455" s="2">
        <f>IFERROR(__xludf.DUMMYFUNCTION("""COMPUTED_VALUE"""),4481000.0)</f>
        <v>4481000</v>
      </c>
    </row>
    <row r="5456">
      <c r="A5456" s="3">
        <f>IFERROR(__xludf.DUMMYFUNCTION("""COMPUTED_VALUE"""),37104.666666666664)</f>
        <v>37104.66667</v>
      </c>
      <c r="B5456" s="2">
        <f>IFERROR(__xludf.DUMMYFUNCTION("""COMPUTED_VALUE"""),100.63)</f>
        <v>100.63</v>
      </c>
      <c r="C5456" s="2">
        <f>IFERROR(__xludf.DUMMYFUNCTION("""COMPUTED_VALUE"""),103.64)</f>
        <v>103.64</v>
      </c>
      <c r="D5456" s="2">
        <f>IFERROR(__xludf.DUMMYFUNCTION("""COMPUTED_VALUE"""),100.59)</f>
        <v>100.59</v>
      </c>
      <c r="E5456" s="2">
        <f>IFERROR(__xludf.DUMMYFUNCTION("""COMPUTED_VALUE"""),102.26)</f>
        <v>102.26</v>
      </c>
      <c r="F5456" s="2">
        <f>IFERROR(__xludf.DUMMYFUNCTION("""COMPUTED_VALUE"""),5239400.0)</f>
        <v>5239400</v>
      </c>
    </row>
    <row r="5457">
      <c r="A5457" s="3">
        <f>IFERROR(__xludf.DUMMYFUNCTION("""COMPUTED_VALUE"""),37105.666666666664)</f>
        <v>37105.66667</v>
      </c>
      <c r="B5457" s="2">
        <f>IFERROR(__xludf.DUMMYFUNCTION("""COMPUTED_VALUE"""),103.64)</f>
        <v>103.64</v>
      </c>
      <c r="C5457" s="2">
        <f>IFERROR(__xludf.DUMMYFUNCTION("""COMPUTED_VALUE"""),104.56)</f>
        <v>104.56</v>
      </c>
      <c r="D5457" s="2">
        <f>IFERROR(__xludf.DUMMYFUNCTION("""COMPUTED_VALUE"""),103.08)</f>
        <v>103.08</v>
      </c>
      <c r="E5457" s="2">
        <f>IFERROR(__xludf.DUMMYFUNCTION("""COMPUTED_VALUE"""),103.92)</f>
        <v>103.92</v>
      </c>
      <c r="F5457" s="2">
        <f>IFERROR(__xludf.DUMMYFUNCTION("""COMPUTED_VALUE"""),4760900.0)</f>
        <v>4760900</v>
      </c>
    </row>
    <row r="5458">
      <c r="A5458" s="3">
        <f>IFERROR(__xludf.DUMMYFUNCTION("""COMPUTED_VALUE"""),37106.666666666664)</f>
        <v>37106.66667</v>
      </c>
      <c r="B5458" s="2">
        <f>IFERROR(__xludf.DUMMYFUNCTION("""COMPUTED_VALUE"""),102.97)</f>
        <v>102.97</v>
      </c>
      <c r="C5458" s="2">
        <f>IFERROR(__xludf.DUMMYFUNCTION("""COMPUTED_VALUE"""),105.15)</f>
        <v>105.15</v>
      </c>
      <c r="D5458" s="2">
        <f>IFERROR(__xludf.DUMMYFUNCTION("""COMPUTED_VALUE"""),102.3)</f>
        <v>102.3</v>
      </c>
      <c r="E5458" s="2">
        <f>IFERROR(__xludf.DUMMYFUNCTION("""COMPUTED_VALUE"""),103.33)</f>
        <v>103.33</v>
      </c>
      <c r="F5458" s="2">
        <f>IFERROR(__xludf.DUMMYFUNCTION("""COMPUTED_VALUE"""),3704100.0)</f>
        <v>3704100</v>
      </c>
    </row>
    <row r="5459">
      <c r="A5459" s="3">
        <f>IFERROR(__xludf.DUMMYFUNCTION("""COMPUTED_VALUE"""),37109.666666666664)</f>
        <v>37109.66667</v>
      </c>
      <c r="B5459" s="2">
        <f>IFERROR(__xludf.DUMMYFUNCTION("""COMPUTED_VALUE"""),102.44)</f>
        <v>102.44</v>
      </c>
      <c r="C5459" s="2">
        <f>IFERROR(__xludf.DUMMYFUNCTION("""COMPUTED_VALUE"""),102.56)</f>
        <v>102.56</v>
      </c>
      <c r="D5459" s="2">
        <f>IFERROR(__xludf.DUMMYFUNCTION("""COMPUTED_VALUE"""),101.05)</f>
        <v>101.05</v>
      </c>
      <c r="E5459" s="2">
        <f>IFERROR(__xludf.DUMMYFUNCTION("""COMPUTED_VALUE"""),101.73)</f>
        <v>101.73</v>
      </c>
      <c r="F5459" s="2">
        <f>IFERROR(__xludf.DUMMYFUNCTION("""COMPUTED_VALUE"""),3375000.0)</f>
        <v>3375000</v>
      </c>
    </row>
    <row r="5460">
      <c r="A5460" s="3">
        <f>IFERROR(__xludf.DUMMYFUNCTION("""COMPUTED_VALUE"""),37110.666666666664)</f>
        <v>37110.66667</v>
      </c>
      <c r="B5460" s="2">
        <f>IFERROR(__xludf.DUMMYFUNCTION("""COMPUTED_VALUE"""),101.06)</f>
        <v>101.06</v>
      </c>
      <c r="C5460" s="2">
        <f>IFERROR(__xludf.DUMMYFUNCTION("""COMPUTED_VALUE"""),102.56)</f>
        <v>102.56</v>
      </c>
      <c r="D5460" s="2">
        <f>IFERROR(__xludf.DUMMYFUNCTION("""COMPUTED_VALUE"""),100.54)</f>
        <v>100.54</v>
      </c>
      <c r="E5460" s="2">
        <f>IFERROR(__xludf.DUMMYFUNCTION("""COMPUTED_VALUE"""),101.49)</f>
        <v>101.49</v>
      </c>
      <c r="F5460" s="2">
        <f>IFERROR(__xludf.DUMMYFUNCTION("""COMPUTED_VALUE"""),3495200.0)</f>
        <v>3495200</v>
      </c>
    </row>
    <row r="5461">
      <c r="A5461" s="3">
        <f>IFERROR(__xludf.DUMMYFUNCTION("""COMPUTED_VALUE"""),37111.666666666664)</f>
        <v>37111.66667</v>
      </c>
      <c r="B5461" s="2">
        <f>IFERROR(__xludf.DUMMYFUNCTION("""COMPUTED_VALUE"""),100.29)</f>
        <v>100.29</v>
      </c>
      <c r="C5461" s="2">
        <f>IFERROR(__xludf.DUMMYFUNCTION("""COMPUTED_VALUE"""),101.34)</f>
        <v>101.34</v>
      </c>
      <c r="D5461" s="2">
        <f>IFERROR(__xludf.DUMMYFUNCTION("""COMPUTED_VALUE"""),99.45)</f>
        <v>99.45</v>
      </c>
      <c r="E5461" s="2">
        <f>IFERROR(__xludf.DUMMYFUNCTION("""COMPUTED_VALUE"""),99.52)</f>
        <v>99.52</v>
      </c>
      <c r="F5461" s="2">
        <f>IFERROR(__xludf.DUMMYFUNCTION("""COMPUTED_VALUE"""),5248400.0)</f>
        <v>5248400</v>
      </c>
    </row>
    <row r="5462">
      <c r="A5462" s="3">
        <f>IFERROR(__xludf.DUMMYFUNCTION("""COMPUTED_VALUE"""),37112.666666666664)</f>
        <v>37112.66667</v>
      </c>
      <c r="B5462" s="2">
        <f>IFERROR(__xludf.DUMMYFUNCTION("""COMPUTED_VALUE"""),99.05)</f>
        <v>99.05</v>
      </c>
      <c r="C5462" s="2">
        <f>IFERROR(__xludf.DUMMYFUNCTION("""COMPUTED_VALUE"""),99.85)</f>
        <v>99.85</v>
      </c>
      <c r="D5462" s="2">
        <f>IFERROR(__xludf.DUMMYFUNCTION("""COMPUTED_VALUE"""),98.1)</f>
        <v>98.1</v>
      </c>
      <c r="E5462" s="2">
        <f>IFERROR(__xludf.DUMMYFUNCTION("""COMPUTED_VALUE"""),99.41)</f>
        <v>99.41</v>
      </c>
      <c r="F5462" s="2">
        <f>IFERROR(__xludf.DUMMYFUNCTION("""COMPUTED_VALUE"""),5898200.0)</f>
        <v>5898200</v>
      </c>
    </row>
    <row r="5463">
      <c r="A5463" s="3">
        <f>IFERROR(__xludf.DUMMYFUNCTION("""COMPUTED_VALUE"""),37113.666666666664)</f>
        <v>37113.66667</v>
      </c>
      <c r="B5463" s="2">
        <f>IFERROR(__xludf.DUMMYFUNCTION("""COMPUTED_VALUE"""),99.19)</f>
        <v>99.19</v>
      </c>
      <c r="C5463" s="2">
        <f>IFERROR(__xludf.DUMMYFUNCTION("""COMPUTED_VALUE"""),100.24)</f>
        <v>100.24</v>
      </c>
      <c r="D5463" s="2">
        <f>IFERROR(__xludf.DUMMYFUNCTION("""COMPUTED_VALUE"""),98.2)</f>
        <v>98.2</v>
      </c>
      <c r="E5463" s="2">
        <f>IFERROR(__xludf.DUMMYFUNCTION("""COMPUTED_VALUE"""),100.24)</f>
        <v>100.24</v>
      </c>
      <c r="F5463" s="2">
        <f>IFERROR(__xludf.DUMMYFUNCTION("""COMPUTED_VALUE"""),4473700.0)</f>
        <v>4473700</v>
      </c>
    </row>
    <row r="5464">
      <c r="A5464" s="3">
        <f>IFERROR(__xludf.DUMMYFUNCTION("""COMPUTED_VALUE"""),37116.666666666664)</f>
        <v>37116.66667</v>
      </c>
      <c r="B5464" s="2">
        <f>IFERROR(__xludf.DUMMYFUNCTION("""COMPUTED_VALUE"""),100.29)</f>
        <v>100.29</v>
      </c>
      <c r="C5464" s="2">
        <f>IFERROR(__xludf.DUMMYFUNCTION("""COMPUTED_VALUE"""),101.86)</f>
        <v>101.86</v>
      </c>
      <c r="D5464" s="2">
        <f>IFERROR(__xludf.DUMMYFUNCTION("""COMPUTED_VALUE"""),99.96)</f>
        <v>99.96</v>
      </c>
      <c r="E5464" s="2">
        <f>IFERROR(__xludf.DUMMYFUNCTION("""COMPUTED_VALUE"""),101.11)</f>
        <v>101.11</v>
      </c>
      <c r="F5464" s="2">
        <f>IFERROR(__xludf.DUMMYFUNCTION("""COMPUTED_VALUE"""),5519600.0)</f>
        <v>5519600</v>
      </c>
    </row>
    <row r="5465">
      <c r="A5465" s="3">
        <f>IFERROR(__xludf.DUMMYFUNCTION("""COMPUTED_VALUE"""),37117.666666666664)</f>
        <v>37117.66667</v>
      </c>
      <c r="B5465" s="2">
        <f>IFERROR(__xludf.DUMMYFUNCTION("""COMPUTED_VALUE"""),101.72)</f>
        <v>101.72</v>
      </c>
      <c r="C5465" s="2">
        <f>IFERROR(__xludf.DUMMYFUNCTION("""COMPUTED_VALUE"""),102.06)</f>
        <v>102.06</v>
      </c>
      <c r="D5465" s="2">
        <f>IFERROR(__xludf.DUMMYFUNCTION("""COMPUTED_VALUE"""),100.67)</f>
        <v>100.67</v>
      </c>
      <c r="E5465" s="2">
        <f>IFERROR(__xludf.DUMMYFUNCTION("""COMPUTED_VALUE"""),101.44)</f>
        <v>101.44</v>
      </c>
      <c r="F5465" s="2">
        <f>IFERROR(__xludf.DUMMYFUNCTION("""COMPUTED_VALUE"""),4820500.0)</f>
        <v>4820500</v>
      </c>
    </row>
    <row r="5466">
      <c r="A5466" s="3">
        <f>IFERROR(__xludf.DUMMYFUNCTION("""COMPUTED_VALUE"""),37118.666666666664)</f>
        <v>37118.66667</v>
      </c>
      <c r="B5466" s="2">
        <f>IFERROR(__xludf.DUMMYFUNCTION("""COMPUTED_VALUE"""),101.58)</f>
        <v>101.58</v>
      </c>
      <c r="C5466" s="2">
        <f>IFERROR(__xludf.DUMMYFUNCTION("""COMPUTED_VALUE"""),101.81)</f>
        <v>101.81</v>
      </c>
      <c r="D5466" s="2">
        <f>IFERROR(__xludf.DUMMYFUNCTION("""COMPUTED_VALUE"""),100.3)</f>
        <v>100.3</v>
      </c>
      <c r="E5466" s="2">
        <f>IFERROR(__xludf.DUMMYFUNCTION("""COMPUTED_VALUE"""),100.3)</f>
        <v>100.3</v>
      </c>
      <c r="F5466" s="2">
        <f>IFERROR(__xludf.DUMMYFUNCTION("""COMPUTED_VALUE"""),4154100.0)</f>
        <v>4154100</v>
      </c>
    </row>
    <row r="5467">
      <c r="A5467" s="3">
        <f>IFERROR(__xludf.DUMMYFUNCTION("""COMPUTED_VALUE"""),37119.666666666664)</f>
        <v>37119.66667</v>
      </c>
      <c r="B5467" s="2">
        <f>IFERROR(__xludf.DUMMYFUNCTION("""COMPUTED_VALUE"""),99.53)</f>
        <v>99.53</v>
      </c>
      <c r="C5467" s="2">
        <f>IFERROR(__xludf.DUMMYFUNCTION("""COMPUTED_VALUE"""),101.27)</f>
        <v>101.27</v>
      </c>
      <c r="D5467" s="2">
        <f>IFERROR(__xludf.DUMMYFUNCTION("""COMPUTED_VALUE"""),99.01)</f>
        <v>99.01</v>
      </c>
      <c r="E5467" s="2">
        <f>IFERROR(__xludf.DUMMYFUNCTION("""COMPUTED_VALUE"""),101.01)</f>
        <v>101.01</v>
      </c>
      <c r="F5467" s="2">
        <f>IFERROR(__xludf.DUMMYFUNCTION("""COMPUTED_VALUE"""),5481800.0)</f>
        <v>5481800</v>
      </c>
    </row>
    <row r="5468">
      <c r="A5468" s="3">
        <f>IFERROR(__xludf.DUMMYFUNCTION("""COMPUTED_VALUE"""),37120.666666666664)</f>
        <v>37120.66667</v>
      </c>
      <c r="B5468" s="2">
        <f>IFERROR(__xludf.DUMMYFUNCTION("""COMPUTED_VALUE"""),100.39)</f>
        <v>100.39</v>
      </c>
      <c r="C5468" s="2">
        <f>IFERROR(__xludf.DUMMYFUNCTION("""COMPUTED_VALUE"""),100.52)</f>
        <v>100.52</v>
      </c>
      <c r="D5468" s="2">
        <f>IFERROR(__xludf.DUMMYFUNCTION("""COMPUTED_VALUE"""),99.24)</f>
        <v>99.24</v>
      </c>
      <c r="E5468" s="2">
        <f>IFERROR(__xludf.DUMMYFUNCTION("""COMPUTED_VALUE"""),99.9)</f>
        <v>99.9</v>
      </c>
      <c r="F5468" s="2">
        <f>IFERROR(__xludf.DUMMYFUNCTION("""COMPUTED_VALUE"""),6179700.0)</f>
        <v>6179700</v>
      </c>
    </row>
    <row r="5469">
      <c r="A5469" s="3">
        <f>IFERROR(__xludf.DUMMYFUNCTION("""COMPUTED_VALUE"""),37123.666666666664)</f>
        <v>37123.66667</v>
      </c>
      <c r="B5469" s="2">
        <f>IFERROR(__xludf.DUMMYFUNCTION("""COMPUTED_VALUE"""),99.99)</f>
        <v>99.99</v>
      </c>
      <c r="C5469" s="2">
        <f>IFERROR(__xludf.DUMMYFUNCTION("""COMPUTED_VALUE"""),100.29)</f>
        <v>100.29</v>
      </c>
      <c r="D5469" s="2">
        <f>IFERROR(__xludf.DUMMYFUNCTION("""COMPUTED_VALUE"""),98.28)</f>
        <v>98.28</v>
      </c>
      <c r="E5469" s="2">
        <f>IFERROR(__xludf.DUMMYFUNCTION("""COMPUTED_VALUE"""),99.43)</f>
        <v>99.43</v>
      </c>
      <c r="F5469" s="2">
        <f>IFERROR(__xludf.DUMMYFUNCTION("""COMPUTED_VALUE"""),4904300.0)</f>
        <v>4904300</v>
      </c>
    </row>
    <row r="5470">
      <c r="A5470" s="3">
        <f>IFERROR(__xludf.DUMMYFUNCTION("""COMPUTED_VALUE"""),37124.666666666664)</f>
        <v>37124.66667</v>
      </c>
      <c r="B5470" s="2">
        <f>IFERROR(__xludf.DUMMYFUNCTION("""COMPUTED_VALUE"""),99.19)</f>
        <v>99.19</v>
      </c>
      <c r="C5470" s="2">
        <f>IFERROR(__xludf.DUMMYFUNCTION("""COMPUTED_VALUE"""),100.26)</f>
        <v>100.26</v>
      </c>
      <c r="D5470" s="2">
        <f>IFERROR(__xludf.DUMMYFUNCTION("""COMPUTED_VALUE"""),97.0)</f>
        <v>97</v>
      </c>
      <c r="E5470" s="2">
        <f>IFERROR(__xludf.DUMMYFUNCTION("""COMPUTED_VALUE"""),97.32)</f>
        <v>97.32</v>
      </c>
      <c r="F5470" s="2">
        <f>IFERROR(__xludf.DUMMYFUNCTION("""COMPUTED_VALUE"""),5439900.0)</f>
        <v>5439900</v>
      </c>
    </row>
    <row r="5471">
      <c r="A5471" s="3">
        <f>IFERROR(__xludf.DUMMYFUNCTION("""COMPUTED_VALUE"""),37125.666666666664)</f>
        <v>37125.66667</v>
      </c>
      <c r="B5471" s="2">
        <f>IFERROR(__xludf.DUMMYFUNCTION("""COMPUTED_VALUE"""),97.9)</f>
        <v>97.9</v>
      </c>
      <c r="C5471" s="2">
        <f>IFERROR(__xludf.DUMMYFUNCTION("""COMPUTED_VALUE"""),99.38)</f>
        <v>99.38</v>
      </c>
      <c r="D5471" s="2">
        <f>IFERROR(__xludf.DUMMYFUNCTION("""COMPUTED_VALUE"""),97.2)</f>
        <v>97.2</v>
      </c>
      <c r="E5471" s="2">
        <f>IFERROR(__xludf.DUMMYFUNCTION("""COMPUTED_VALUE"""),99.3)</f>
        <v>99.3</v>
      </c>
      <c r="F5471" s="2">
        <f>IFERROR(__xludf.DUMMYFUNCTION("""COMPUTED_VALUE"""),6735200.0)</f>
        <v>6735200</v>
      </c>
    </row>
    <row r="5472">
      <c r="A5472" s="3">
        <f>IFERROR(__xludf.DUMMYFUNCTION("""COMPUTED_VALUE"""),37126.666666666664)</f>
        <v>37126.66667</v>
      </c>
      <c r="B5472" s="2">
        <f>IFERROR(__xludf.DUMMYFUNCTION("""COMPUTED_VALUE"""),99.34)</f>
        <v>99.34</v>
      </c>
      <c r="C5472" s="2">
        <f>IFERROR(__xludf.DUMMYFUNCTION("""COMPUTED_VALUE"""),100.01)</f>
        <v>100.01</v>
      </c>
      <c r="D5472" s="2">
        <f>IFERROR(__xludf.DUMMYFUNCTION("""COMPUTED_VALUE"""),98.38)</f>
        <v>98.38</v>
      </c>
      <c r="E5472" s="2">
        <f>IFERROR(__xludf.DUMMYFUNCTION("""COMPUTED_VALUE"""),98.38)</f>
        <v>98.38</v>
      </c>
      <c r="F5472" s="2">
        <f>IFERROR(__xludf.DUMMYFUNCTION("""COMPUTED_VALUE"""),4468600.0)</f>
        <v>4468600</v>
      </c>
    </row>
    <row r="5473">
      <c r="A5473" s="3">
        <f>IFERROR(__xludf.DUMMYFUNCTION("""COMPUTED_VALUE"""),37127.666666666664)</f>
        <v>37127.66667</v>
      </c>
      <c r="B5473" s="2">
        <f>IFERROR(__xludf.DUMMYFUNCTION("""COMPUTED_VALUE"""),99.29)</f>
        <v>99.29</v>
      </c>
      <c r="C5473" s="2">
        <f>IFERROR(__xludf.DUMMYFUNCTION("""COMPUTED_VALUE"""),102.97)</f>
        <v>102.97</v>
      </c>
      <c r="D5473" s="2">
        <f>IFERROR(__xludf.DUMMYFUNCTION("""COMPUTED_VALUE"""),98.77)</f>
        <v>98.77</v>
      </c>
      <c r="E5473" s="2">
        <f>IFERROR(__xludf.DUMMYFUNCTION("""COMPUTED_VALUE"""),102.19)</f>
        <v>102.19</v>
      </c>
      <c r="F5473" s="2">
        <f>IFERROR(__xludf.DUMMYFUNCTION("""COMPUTED_VALUE"""),6399300.0)</f>
        <v>6399300</v>
      </c>
    </row>
    <row r="5474">
      <c r="A5474" s="3">
        <f>IFERROR(__xludf.DUMMYFUNCTION("""COMPUTED_VALUE"""),37130.666666666664)</f>
        <v>37130.66667</v>
      </c>
      <c r="B5474" s="2">
        <f>IFERROR(__xludf.DUMMYFUNCTION("""COMPUTED_VALUE"""),102.19)</f>
        <v>102.19</v>
      </c>
      <c r="C5474" s="2">
        <f>IFERROR(__xludf.DUMMYFUNCTION("""COMPUTED_VALUE"""),103.35)</f>
        <v>103.35</v>
      </c>
      <c r="D5474" s="2">
        <f>IFERROR(__xludf.DUMMYFUNCTION("""COMPUTED_VALUE"""),101.96)</f>
        <v>101.96</v>
      </c>
      <c r="E5474" s="2">
        <f>IFERROR(__xludf.DUMMYFUNCTION("""COMPUTED_VALUE"""),102.07)</f>
        <v>102.07</v>
      </c>
      <c r="F5474" s="2">
        <f>IFERROR(__xludf.DUMMYFUNCTION("""COMPUTED_VALUE"""),3603900.0)</f>
        <v>3603900</v>
      </c>
    </row>
    <row r="5475">
      <c r="A5475" s="3">
        <f>IFERROR(__xludf.DUMMYFUNCTION("""COMPUTED_VALUE"""),37131.666666666664)</f>
        <v>37131.66667</v>
      </c>
      <c r="B5475" s="2">
        <f>IFERROR(__xludf.DUMMYFUNCTION("""COMPUTED_VALUE"""),102.11)</f>
        <v>102.11</v>
      </c>
      <c r="C5475" s="2">
        <f>IFERROR(__xludf.DUMMYFUNCTION("""COMPUTED_VALUE"""),102.36)</f>
        <v>102.36</v>
      </c>
      <c r="D5475" s="2">
        <f>IFERROR(__xludf.DUMMYFUNCTION("""COMPUTED_VALUE"""),100.17)</f>
        <v>100.17</v>
      </c>
      <c r="E5475" s="2">
        <f>IFERROR(__xludf.DUMMYFUNCTION("""COMPUTED_VALUE"""),100.24)</f>
        <v>100.24</v>
      </c>
      <c r="F5475" s="2">
        <f>IFERROR(__xludf.DUMMYFUNCTION("""COMPUTED_VALUE"""),4800300.0)</f>
        <v>4800300</v>
      </c>
    </row>
    <row r="5476">
      <c r="A5476" s="3">
        <f>IFERROR(__xludf.DUMMYFUNCTION("""COMPUTED_VALUE"""),37132.666666666664)</f>
        <v>37132.66667</v>
      </c>
      <c r="B5476" s="2">
        <f>IFERROR(__xludf.DUMMYFUNCTION("""COMPUTED_VALUE"""),101.01)</f>
        <v>101.01</v>
      </c>
      <c r="C5476" s="2">
        <f>IFERROR(__xludf.DUMMYFUNCTION("""COMPUTED_VALUE"""),101.15)</f>
        <v>101.15</v>
      </c>
      <c r="D5476" s="2">
        <f>IFERROR(__xludf.DUMMYFUNCTION("""COMPUTED_VALUE"""),99.17)</f>
        <v>99.17</v>
      </c>
      <c r="E5476" s="2">
        <f>IFERROR(__xludf.DUMMYFUNCTION("""COMPUTED_VALUE"""),99.46)</f>
        <v>99.46</v>
      </c>
      <c r="F5476" s="2">
        <f>IFERROR(__xludf.DUMMYFUNCTION("""COMPUTED_VALUE"""),3986500.0)</f>
        <v>3986500</v>
      </c>
    </row>
    <row r="5477">
      <c r="A5477" s="3">
        <f>IFERROR(__xludf.DUMMYFUNCTION("""COMPUTED_VALUE"""),37133.666666666664)</f>
        <v>37133.66667</v>
      </c>
      <c r="B5477" s="2">
        <f>IFERROR(__xludf.DUMMYFUNCTION("""COMPUTED_VALUE"""),98.14)</f>
        <v>98.14</v>
      </c>
      <c r="C5477" s="2">
        <f>IFERROR(__xludf.DUMMYFUNCTION("""COMPUTED_VALUE"""),98.5)</f>
        <v>98.5</v>
      </c>
      <c r="D5477" s="2">
        <f>IFERROR(__xludf.DUMMYFUNCTION("""COMPUTED_VALUE"""),94.43)</f>
        <v>94.43</v>
      </c>
      <c r="E5477" s="2">
        <f>IFERROR(__xludf.DUMMYFUNCTION("""COMPUTED_VALUE"""),95.86)</f>
        <v>95.86</v>
      </c>
      <c r="F5477" s="2">
        <f>IFERROR(__xludf.DUMMYFUNCTION("""COMPUTED_VALUE"""),1.23126E7)</f>
        <v>12312600</v>
      </c>
    </row>
    <row r="5478">
      <c r="A5478" s="3">
        <f>IFERROR(__xludf.DUMMYFUNCTION("""COMPUTED_VALUE"""),37134.666666666664)</f>
        <v>37134.66667</v>
      </c>
      <c r="B5478" s="2">
        <f>IFERROR(__xludf.DUMMYFUNCTION("""COMPUTED_VALUE"""),96.47)</f>
        <v>96.47</v>
      </c>
      <c r="C5478" s="2">
        <f>IFERROR(__xludf.DUMMYFUNCTION("""COMPUTED_VALUE"""),96.76)</f>
        <v>96.76</v>
      </c>
      <c r="D5478" s="2">
        <f>IFERROR(__xludf.DUMMYFUNCTION("""COMPUTED_VALUE"""),94.9)</f>
        <v>94.9</v>
      </c>
      <c r="E5478" s="2">
        <f>IFERROR(__xludf.DUMMYFUNCTION("""COMPUTED_VALUE"""),95.52)</f>
        <v>95.52</v>
      </c>
      <c r="F5478" s="2">
        <f>IFERROR(__xludf.DUMMYFUNCTION("""COMPUTED_VALUE"""),6550000.0)</f>
        <v>6550000</v>
      </c>
    </row>
    <row r="5479">
      <c r="A5479" s="3">
        <f>IFERROR(__xludf.DUMMYFUNCTION("""COMPUTED_VALUE"""),37138.666666666664)</f>
        <v>37138.66667</v>
      </c>
      <c r="B5479" s="2">
        <f>IFERROR(__xludf.DUMMYFUNCTION("""COMPUTED_VALUE"""),95.66)</f>
        <v>95.66</v>
      </c>
      <c r="C5479" s="2">
        <f>IFERROR(__xludf.DUMMYFUNCTION("""COMPUTED_VALUE"""),98.51)</f>
        <v>98.51</v>
      </c>
      <c r="D5479" s="2">
        <f>IFERROR(__xludf.DUMMYFUNCTION("""COMPUTED_VALUE"""),94.87)</f>
        <v>94.87</v>
      </c>
      <c r="E5479" s="2">
        <f>IFERROR(__xludf.DUMMYFUNCTION("""COMPUTED_VALUE"""),96.94)</f>
        <v>96.94</v>
      </c>
      <c r="F5479" s="2">
        <f>IFERROR(__xludf.DUMMYFUNCTION("""COMPUTED_VALUE"""),8317300.0)</f>
        <v>8317300</v>
      </c>
    </row>
    <row r="5480">
      <c r="A5480" s="3">
        <f>IFERROR(__xludf.DUMMYFUNCTION("""COMPUTED_VALUE"""),37139.666666666664)</f>
        <v>37139.66667</v>
      </c>
      <c r="B5480" s="2">
        <f>IFERROR(__xludf.DUMMYFUNCTION("""COMPUTED_VALUE"""),96.95)</f>
        <v>96.95</v>
      </c>
      <c r="C5480" s="2">
        <f>IFERROR(__xludf.DUMMYFUNCTION("""COMPUTED_VALUE"""),98.21)</f>
        <v>98.21</v>
      </c>
      <c r="D5480" s="2">
        <f>IFERROR(__xludf.DUMMYFUNCTION("""COMPUTED_VALUE"""),95.14)</f>
        <v>95.14</v>
      </c>
      <c r="E5480" s="2">
        <f>IFERROR(__xludf.DUMMYFUNCTION("""COMPUTED_VALUE"""),96.18)</f>
        <v>96.18</v>
      </c>
      <c r="F5480" s="2">
        <f>IFERROR(__xludf.DUMMYFUNCTION("""COMPUTED_VALUE"""),1.0683E7)</f>
        <v>10683000</v>
      </c>
    </row>
    <row r="5481">
      <c r="A5481" s="3">
        <f>IFERROR(__xludf.DUMMYFUNCTION("""COMPUTED_VALUE"""),37140.666666666664)</f>
        <v>37140.66667</v>
      </c>
      <c r="B5481" s="2">
        <f>IFERROR(__xludf.DUMMYFUNCTION("""COMPUTED_VALUE"""),96.17)</f>
        <v>96.17</v>
      </c>
      <c r="C5481" s="2">
        <f>IFERROR(__xludf.DUMMYFUNCTION("""COMPUTED_VALUE"""),96.17)</f>
        <v>96.17</v>
      </c>
      <c r="D5481" s="2">
        <f>IFERROR(__xludf.DUMMYFUNCTION("""COMPUTED_VALUE"""),93.27)</f>
        <v>93.27</v>
      </c>
      <c r="E5481" s="2">
        <f>IFERROR(__xludf.DUMMYFUNCTION("""COMPUTED_VALUE"""),93.61)</f>
        <v>93.61</v>
      </c>
      <c r="F5481" s="2">
        <f>IFERROR(__xludf.DUMMYFUNCTION("""COMPUTED_VALUE"""),7590300.0)</f>
        <v>7590300</v>
      </c>
    </row>
    <row r="5482">
      <c r="A5482" s="3">
        <f>IFERROR(__xludf.DUMMYFUNCTION("""COMPUTED_VALUE"""),37141.666666666664)</f>
        <v>37141.66667</v>
      </c>
      <c r="B5482" s="2">
        <f>IFERROR(__xludf.DUMMYFUNCTION("""COMPUTED_VALUE"""),93.51)</f>
        <v>93.51</v>
      </c>
      <c r="C5482" s="2">
        <f>IFERROR(__xludf.DUMMYFUNCTION("""COMPUTED_VALUE"""),93.74)</f>
        <v>93.74</v>
      </c>
      <c r="D5482" s="2">
        <f>IFERROR(__xludf.DUMMYFUNCTION("""COMPUTED_VALUE"""),91.71)</f>
        <v>91.71</v>
      </c>
      <c r="E5482" s="2">
        <f>IFERROR(__xludf.DUMMYFUNCTION("""COMPUTED_VALUE"""),92.26)</f>
        <v>92.26</v>
      </c>
      <c r="F5482" s="2">
        <f>IFERROR(__xludf.DUMMYFUNCTION("""COMPUTED_VALUE"""),8739000.0)</f>
        <v>8739000</v>
      </c>
    </row>
    <row r="5483">
      <c r="A5483" s="3">
        <f>IFERROR(__xludf.DUMMYFUNCTION("""COMPUTED_VALUE"""),37144.666666666664)</f>
        <v>37144.66667</v>
      </c>
      <c r="B5483" s="2">
        <f>IFERROR(__xludf.DUMMYFUNCTION("""COMPUTED_VALUE"""),91.7)</f>
        <v>91.7</v>
      </c>
      <c r="C5483" s="2">
        <f>IFERROR(__xludf.DUMMYFUNCTION("""COMPUTED_VALUE"""),93.03)</f>
        <v>93.03</v>
      </c>
      <c r="D5483" s="2">
        <f>IFERROR(__xludf.DUMMYFUNCTION("""COMPUTED_VALUE"""),91.3)</f>
        <v>91.3</v>
      </c>
      <c r="E5483" s="2">
        <f>IFERROR(__xludf.DUMMYFUNCTION("""COMPUTED_VALUE"""),92.14)</f>
        <v>92.14</v>
      </c>
      <c r="F5483" s="2">
        <f>IFERROR(__xludf.DUMMYFUNCTION("""COMPUTED_VALUE"""),8552100.0)</f>
        <v>8552100</v>
      </c>
    </row>
    <row r="5484">
      <c r="A5484" s="3">
        <f>IFERROR(__xludf.DUMMYFUNCTION("""COMPUTED_VALUE"""),37151.666666666664)</f>
        <v>37151.66667</v>
      </c>
      <c r="B5484" s="2">
        <f>IFERROR(__xludf.DUMMYFUNCTION("""COMPUTED_VALUE"""),89.69)</f>
        <v>89.69</v>
      </c>
      <c r="C5484" s="2">
        <f>IFERROR(__xludf.DUMMYFUNCTION("""COMPUTED_VALUE"""),91.56)</f>
        <v>91.56</v>
      </c>
      <c r="D5484" s="2">
        <f>IFERROR(__xludf.DUMMYFUNCTION("""COMPUTED_VALUE"""),88.4)</f>
        <v>88.4</v>
      </c>
      <c r="E5484" s="2">
        <f>IFERROR(__xludf.DUMMYFUNCTION("""COMPUTED_VALUE"""),89.16)</f>
        <v>89.16</v>
      </c>
      <c r="F5484" s="2">
        <f>IFERROR(__xludf.DUMMYFUNCTION("""COMPUTED_VALUE"""),1.49309E7)</f>
        <v>14930900</v>
      </c>
    </row>
    <row r="5485">
      <c r="A5485" s="3">
        <f>IFERROR(__xludf.DUMMYFUNCTION("""COMPUTED_VALUE"""),37152.666666666664)</f>
        <v>37152.66667</v>
      </c>
      <c r="B5485" s="2">
        <f>IFERROR(__xludf.DUMMYFUNCTION("""COMPUTED_VALUE"""),89.79)</f>
        <v>89.79</v>
      </c>
      <c r="C5485" s="2">
        <f>IFERROR(__xludf.DUMMYFUNCTION("""COMPUTED_VALUE"""),92.41)</f>
        <v>92.41</v>
      </c>
      <c r="D5485" s="2">
        <f>IFERROR(__xludf.DUMMYFUNCTION("""COMPUTED_VALUE"""),89.48)</f>
        <v>89.48</v>
      </c>
      <c r="E5485" s="2">
        <f>IFERROR(__xludf.DUMMYFUNCTION("""COMPUTED_VALUE"""),92.08)</f>
        <v>92.08</v>
      </c>
      <c r="F5485" s="2">
        <f>IFERROR(__xludf.DUMMYFUNCTION("""COMPUTED_VALUE"""),1.23045E7)</f>
        <v>12304500</v>
      </c>
    </row>
    <row r="5486">
      <c r="A5486" s="3">
        <f>IFERROR(__xludf.DUMMYFUNCTION("""COMPUTED_VALUE"""),37153.666666666664)</f>
        <v>37153.66667</v>
      </c>
      <c r="B5486" s="2">
        <f>IFERROR(__xludf.DUMMYFUNCTION("""COMPUTED_VALUE"""),92.08)</f>
        <v>92.08</v>
      </c>
      <c r="C5486" s="2">
        <f>IFERROR(__xludf.DUMMYFUNCTION("""COMPUTED_VALUE"""),92.51)</f>
        <v>92.51</v>
      </c>
      <c r="D5486" s="2">
        <f>IFERROR(__xludf.DUMMYFUNCTION("""COMPUTED_VALUE"""),88.3)</f>
        <v>88.3</v>
      </c>
      <c r="E5486" s="2">
        <f>IFERROR(__xludf.DUMMYFUNCTION("""COMPUTED_VALUE"""),91.7)</f>
        <v>91.7</v>
      </c>
      <c r="F5486" s="2">
        <f>IFERROR(__xludf.DUMMYFUNCTION("""COMPUTED_VALUE"""),1.48807E7)</f>
        <v>14880700</v>
      </c>
    </row>
    <row r="5487">
      <c r="A5487" s="3">
        <f>IFERROR(__xludf.DUMMYFUNCTION("""COMPUTED_VALUE"""),37154.666666666664)</f>
        <v>37154.66667</v>
      </c>
      <c r="B5487" s="2">
        <f>IFERROR(__xludf.DUMMYFUNCTION("""COMPUTED_VALUE"""),89.88)</f>
        <v>89.88</v>
      </c>
      <c r="C5487" s="2">
        <f>IFERROR(__xludf.DUMMYFUNCTION("""COMPUTED_VALUE"""),91.46)</f>
        <v>91.46</v>
      </c>
      <c r="D5487" s="2">
        <f>IFERROR(__xludf.DUMMYFUNCTION("""COMPUTED_VALUE"""),88.69)</f>
        <v>88.69</v>
      </c>
      <c r="E5487" s="2">
        <f>IFERROR(__xludf.DUMMYFUNCTION("""COMPUTED_VALUE"""),89.21)</f>
        <v>89.21</v>
      </c>
      <c r="F5487" s="2">
        <f>IFERROR(__xludf.DUMMYFUNCTION("""COMPUTED_VALUE"""),1.50643E7)</f>
        <v>15064300</v>
      </c>
    </row>
    <row r="5488">
      <c r="A5488" s="3">
        <f>IFERROR(__xludf.DUMMYFUNCTION("""COMPUTED_VALUE"""),37155.666666666664)</f>
        <v>37155.66667</v>
      </c>
      <c r="B5488" s="2">
        <f>IFERROR(__xludf.DUMMYFUNCTION("""COMPUTED_VALUE"""),86.54)</f>
        <v>86.54</v>
      </c>
      <c r="C5488" s="2">
        <f>IFERROR(__xludf.DUMMYFUNCTION("""COMPUTED_VALUE"""),89.31)</f>
        <v>89.31</v>
      </c>
      <c r="D5488" s="2">
        <f>IFERROR(__xludf.DUMMYFUNCTION("""COMPUTED_VALUE"""),85.49)</f>
        <v>85.49</v>
      </c>
      <c r="E5488" s="2">
        <f>IFERROR(__xludf.DUMMYFUNCTION("""COMPUTED_VALUE"""),86.94)</f>
        <v>86.94</v>
      </c>
      <c r="F5488" s="2">
        <f>IFERROR(__xludf.DUMMYFUNCTION("""COMPUTED_VALUE"""),1.81882E7)</f>
        <v>18188200</v>
      </c>
    </row>
    <row r="5489">
      <c r="A5489" s="3">
        <f>IFERROR(__xludf.DUMMYFUNCTION("""COMPUTED_VALUE"""),37158.666666666664)</f>
        <v>37158.66667</v>
      </c>
      <c r="B5489" s="2">
        <f>IFERROR(__xludf.DUMMYFUNCTION("""COMPUTED_VALUE"""),87.68)</f>
        <v>87.68</v>
      </c>
      <c r="C5489" s="2">
        <f>IFERROR(__xludf.DUMMYFUNCTION("""COMPUTED_VALUE"""),91.26)</f>
        <v>91.26</v>
      </c>
      <c r="D5489" s="2">
        <f>IFERROR(__xludf.DUMMYFUNCTION("""COMPUTED_VALUE"""),87.68)</f>
        <v>87.68</v>
      </c>
      <c r="E5489" s="2">
        <f>IFERROR(__xludf.DUMMYFUNCTION("""COMPUTED_VALUE"""),90.55)</f>
        <v>90.55</v>
      </c>
      <c r="F5489" s="2">
        <f>IFERROR(__xludf.DUMMYFUNCTION("""COMPUTED_VALUE"""),1.12018E7)</f>
        <v>11201800</v>
      </c>
    </row>
    <row r="5490">
      <c r="A5490" s="3">
        <f>IFERROR(__xludf.DUMMYFUNCTION("""COMPUTED_VALUE"""),37159.666666666664)</f>
        <v>37159.66667</v>
      </c>
      <c r="B5490" s="2">
        <f>IFERROR(__xludf.DUMMYFUNCTION("""COMPUTED_VALUE"""),89.88)</f>
        <v>89.88</v>
      </c>
      <c r="C5490" s="2">
        <f>IFERROR(__xludf.DUMMYFUNCTION("""COMPUTED_VALUE"""),92.31)</f>
        <v>92.31</v>
      </c>
      <c r="D5490" s="2">
        <f>IFERROR(__xludf.DUMMYFUNCTION("""COMPUTED_VALUE"""),89.22)</f>
        <v>89.22</v>
      </c>
      <c r="E5490" s="2">
        <f>IFERROR(__xludf.DUMMYFUNCTION("""COMPUTED_VALUE"""),90.22)</f>
        <v>90.22</v>
      </c>
      <c r="F5490" s="2">
        <f>IFERROR(__xludf.DUMMYFUNCTION("""COMPUTED_VALUE"""),1.2531E7)</f>
        <v>12531000</v>
      </c>
    </row>
    <row r="5491">
      <c r="A5491" s="3">
        <f>IFERROR(__xludf.DUMMYFUNCTION("""COMPUTED_VALUE"""),37160.666666666664)</f>
        <v>37160.66667</v>
      </c>
      <c r="B5491" s="2">
        <f>IFERROR(__xludf.DUMMYFUNCTION("""COMPUTED_VALUE"""),90.22)</f>
        <v>90.22</v>
      </c>
      <c r="C5491" s="2">
        <f>IFERROR(__xludf.DUMMYFUNCTION("""COMPUTED_VALUE"""),90.22)</f>
        <v>90.22</v>
      </c>
      <c r="D5491" s="2">
        <f>IFERROR(__xludf.DUMMYFUNCTION("""COMPUTED_VALUE"""),86.25)</f>
        <v>86.25</v>
      </c>
      <c r="E5491" s="2">
        <f>IFERROR(__xludf.DUMMYFUNCTION("""COMPUTED_VALUE"""),87.53)</f>
        <v>87.53</v>
      </c>
      <c r="F5491" s="2">
        <f>IFERROR(__xludf.DUMMYFUNCTION("""COMPUTED_VALUE"""),1.37328E7)</f>
        <v>13732800</v>
      </c>
    </row>
    <row r="5492">
      <c r="A5492" s="3">
        <f>IFERROR(__xludf.DUMMYFUNCTION("""COMPUTED_VALUE"""),37161.666666666664)</f>
        <v>37161.66667</v>
      </c>
      <c r="B5492" s="2">
        <f>IFERROR(__xludf.DUMMYFUNCTION("""COMPUTED_VALUE"""),87.21)</f>
        <v>87.21</v>
      </c>
      <c r="C5492" s="2">
        <f>IFERROR(__xludf.DUMMYFUNCTION("""COMPUTED_VALUE"""),87.4)</f>
        <v>87.4</v>
      </c>
      <c r="D5492" s="2">
        <f>IFERROR(__xludf.DUMMYFUNCTION("""COMPUTED_VALUE"""),83.57)</f>
        <v>83.57</v>
      </c>
      <c r="E5492" s="2">
        <f>IFERROR(__xludf.DUMMYFUNCTION("""COMPUTED_VALUE"""),85.96)</f>
        <v>85.96</v>
      </c>
      <c r="F5492" s="2">
        <f>IFERROR(__xludf.DUMMYFUNCTION("""COMPUTED_VALUE"""),1.31723E7)</f>
        <v>13172300</v>
      </c>
    </row>
    <row r="5493">
      <c r="A5493" s="3">
        <f>IFERROR(__xludf.DUMMYFUNCTION("""COMPUTED_VALUE"""),37162.666666666664)</f>
        <v>37162.66667</v>
      </c>
      <c r="B5493" s="2">
        <f>IFERROR(__xludf.DUMMYFUNCTION("""COMPUTED_VALUE"""),86.16)</f>
        <v>86.16</v>
      </c>
      <c r="C5493" s="2">
        <f>IFERROR(__xludf.DUMMYFUNCTION("""COMPUTED_VALUE"""),88.55)</f>
        <v>88.55</v>
      </c>
      <c r="D5493" s="2">
        <f>IFERROR(__xludf.DUMMYFUNCTION("""COMPUTED_VALUE"""),85.87)</f>
        <v>85.87</v>
      </c>
      <c r="E5493" s="2">
        <f>IFERROR(__xludf.DUMMYFUNCTION("""COMPUTED_VALUE"""),87.61)</f>
        <v>87.61</v>
      </c>
      <c r="F5493" s="2">
        <f>IFERROR(__xludf.DUMMYFUNCTION("""COMPUTED_VALUE"""),1.10772E7)</f>
        <v>11077200</v>
      </c>
    </row>
    <row r="5494">
      <c r="A5494" s="3">
        <f>IFERROR(__xludf.DUMMYFUNCTION("""COMPUTED_VALUE"""),37165.666666666664)</f>
        <v>37165.66667</v>
      </c>
      <c r="B5494" s="2">
        <f>IFERROR(__xludf.DUMMYFUNCTION("""COMPUTED_VALUE"""),87.61)</f>
        <v>87.61</v>
      </c>
      <c r="C5494" s="2">
        <f>IFERROR(__xludf.DUMMYFUNCTION("""COMPUTED_VALUE"""),89.29)</f>
        <v>89.29</v>
      </c>
      <c r="D5494" s="2">
        <f>IFERROR(__xludf.DUMMYFUNCTION("""COMPUTED_VALUE"""),87.24)</f>
        <v>87.24</v>
      </c>
      <c r="E5494" s="2">
        <f>IFERROR(__xludf.DUMMYFUNCTION("""COMPUTED_VALUE"""),88.55)</f>
        <v>88.55</v>
      </c>
      <c r="F5494" s="2">
        <f>IFERROR(__xludf.DUMMYFUNCTION("""COMPUTED_VALUE"""),8673600.0)</f>
        <v>8673600</v>
      </c>
    </row>
    <row r="5495">
      <c r="A5495" s="3">
        <f>IFERROR(__xludf.DUMMYFUNCTION("""COMPUTED_VALUE"""),37166.666666666664)</f>
        <v>37166.66667</v>
      </c>
      <c r="B5495" s="2">
        <f>IFERROR(__xludf.DUMMYFUNCTION("""COMPUTED_VALUE"""),88.16)</f>
        <v>88.16</v>
      </c>
      <c r="C5495" s="2">
        <f>IFERROR(__xludf.DUMMYFUNCTION("""COMPUTED_VALUE"""),89.69)</f>
        <v>89.69</v>
      </c>
      <c r="D5495" s="2">
        <f>IFERROR(__xludf.DUMMYFUNCTION("""COMPUTED_VALUE"""),87.97)</f>
        <v>87.97</v>
      </c>
      <c r="E5495" s="2">
        <f>IFERROR(__xludf.DUMMYFUNCTION("""COMPUTED_VALUE"""),89.57)</f>
        <v>89.57</v>
      </c>
      <c r="F5495" s="2">
        <f>IFERROR(__xludf.DUMMYFUNCTION("""COMPUTED_VALUE"""),7221200.0)</f>
        <v>7221200</v>
      </c>
    </row>
    <row r="5496">
      <c r="A5496" s="3">
        <f>IFERROR(__xludf.DUMMYFUNCTION("""COMPUTED_VALUE"""),37167.666666666664)</f>
        <v>37167.66667</v>
      </c>
      <c r="B5496" s="2">
        <f>IFERROR(__xludf.DUMMYFUNCTION("""COMPUTED_VALUE"""),88.73)</f>
        <v>88.73</v>
      </c>
      <c r="C5496" s="2">
        <f>IFERROR(__xludf.DUMMYFUNCTION("""COMPUTED_VALUE"""),93.24)</f>
        <v>93.24</v>
      </c>
      <c r="D5496" s="2">
        <f>IFERROR(__xludf.DUMMYFUNCTION("""COMPUTED_VALUE"""),88.26)</f>
        <v>88.26</v>
      </c>
      <c r="E5496" s="2">
        <f>IFERROR(__xludf.DUMMYFUNCTION("""COMPUTED_VALUE"""),92.6)</f>
        <v>92.6</v>
      </c>
      <c r="F5496" s="2">
        <f>IFERROR(__xludf.DUMMYFUNCTION("""COMPUTED_VALUE"""),1.11188E7)</f>
        <v>11118800</v>
      </c>
    </row>
    <row r="5497">
      <c r="A5497" s="3">
        <f>IFERROR(__xludf.DUMMYFUNCTION("""COMPUTED_VALUE"""),37168.666666666664)</f>
        <v>37168.66667</v>
      </c>
      <c r="B5497" s="2">
        <f>IFERROR(__xludf.DUMMYFUNCTION("""COMPUTED_VALUE"""),92.79)</f>
        <v>92.79</v>
      </c>
      <c r="C5497" s="2">
        <f>IFERROR(__xludf.DUMMYFUNCTION("""COMPUTED_VALUE"""),94.45)</f>
        <v>94.45</v>
      </c>
      <c r="D5497" s="2">
        <f>IFERROR(__xludf.DUMMYFUNCTION("""COMPUTED_VALUE"""),92.46)</f>
        <v>92.46</v>
      </c>
      <c r="E5497" s="2">
        <f>IFERROR(__xludf.DUMMYFUNCTION("""COMPUTED_VALUE"""),92.95)</f>
        <v>92.95</v>
      </c>
      <c r="F5497" s="2">
        <f>IFERROR(__xludf.DUMMYFUNCTION("""COMPUTED_VALUE"""),9785100.0)</f>
        <v>9785100</v>
      </c>
    </row>
    <row r="5498">
      <c r="A5498" s="3">
        <f>IFERROR(__xludf.DUMMYFUNCTION("""COMPUTED_VALUE"""),37169.666666666664)</f>
        <v>37169.66667</v>
      </c>
      <c r="B5498" s="2">
        <f>IFERROR(__xludf.DUMMYFUNCTION("""COMPUTED_VALUE"""),92.32)</f>
        <v>92.32</v>
      </c>
      <c r="C5498" s="2">
        <f>IFERROR(__xludf.DUMMYFUNCTION("""COMPUTED_VALUE"""),94.04)</f>
        <v>94.04</v>
      </c>
      <c r="D5498" s="2">
        <f>IFERROR(__xludf.DUMMYFUNCTION("""COMPUTED_VALUE"""),91.09)</f>
        <v>91.09</v>
      </c>
      <c r="E5498" s="2">
        <f>IFERROR(__xludf.DUMMYFUNCTION("""COMPUTED_VALUE"""),93.63)</f>
        <v>93.63</v>
      </c>
      <c r="F5498" s="2">
        <f>IFERROR(__xludf.DUMMYFUNCTION("""COMPUTED_VALUE"""),9677000.0)</f>
        <v>9677000</v>
      </c>
    </row>
    <row r="5499">
      <c r="A5499" s="3">
        <f>IFERROR(__xludf.DUMMYFUNCTION("""COMPUTED_VALUE"""),37172.666666666664)</f>
        <v>37172.66667</v>
      </c>
      <c r="B5499" s="2">
        <f>IFERROR(__xludf.DUMMYFUNCTION("""COMPUTED_VALUE"""),93.63)</f>
        <v>93.63</v>
      </c>
      <c r="C5499" s="2">
        <f>IFERROR(__xludf.DUMMYFUNCTION("""COMPUTED_VALUE"""),94.56)</f>
        <v>94.56</v>
      </c>
      <c r="D5499" s="2">
        <f>IFERROR(__xludf.DUMMYFUNCTION("""COMPUTED_VALUE"""),92.41)</f>
        <v>92.41</v>
      </c>
      <c r="E5499" s="2">
        <f>IFERROR(__xludf.DUMMYFUNCTION("""COMPUTED_VALUE"""),94.08)</f>
        <v>94.08</v>
      </c>
      <c r="F5499" s="2">
        <f>IFERROR(__xludf.DUMMYFUNCTION("""COMPUTED_VALUE"""),7093100.0)</f>
        <v>7093100</v>
      </c>
    </row>
    <row r="5500">
      <c r="A5500" s="3">
        <f>IFERROR(__xludf.DUMMYFUNCTION("""COMPUTED_VALUE"""),37173.666666666664)</f>
        <v>37173.66667</v>
      </c>
      <c r="B5500" s="2">
        <f>IFERROR(__xludf.DUMMYFUNCTION("""COMPUTED_VALUE"""),94.08)</f>
        <v>94.08</v>
      </c>
      <c r="C5500" s="2">
        <f>IFERROR(__xludf.DUMMYFUNCTION("""COMPUTED_VALUE"""),94.08)</f>
        <v>94.08</v>
      </c>
      <c r="D5500" s="2">
        <f>IFERROR(__xludf.DUMMYFUNCTION("""COMPUTED_VALUE"""),92.42)</f>
        <v>92.42</v>
      </c>
      <c r="E5500" s="2">
        <f>IFERROR(__xludf.DUMMYFUNCTION("""COMPUTED_VALUE"""),92.78)</f>
        <v>92.78</v>
      </c>
      <c r="F5500" s="2">
        <f>IFERROR(__xludf.DUMMYFUNCTION("""COMPUTED_VALUE"""),7525300.0)</f>
        <v>7525300</v>
      </c>
    </row>
    <row r="5501">
      <c r="A5501" s="3">
        <f>IFERROR(__xludf.DUMMYFUNCTION("""COMPUTED_VALUE"""),37174.666666666664)</f>
        <v>37174.66667</v>
      </c>
      <c r="B5501" s="2">
        <f>IFERROR(__xludf.DUMMYFUNCTION("""COMPUTED_VALUE"""),90.74)</f>
        <v>90.74</v>
      </c>
      <c r="C5501" s="2">
        <f>IFERROR(__xludf.DUMMYFUNCTION("""COMPUTED_VALUE"""),92.94)</f>
        <v>92.94</v>
      </c>
      <c r="D5501" s="2">
        <f>IFERROR(__xludf.DUMMYFUNCTION("""COMPUTED_VALUE"""),90.65)</f>
        <v>90.65</v>
      </c>
      <c r="E5501" s="2">
        <f>IFERROR(__xludf.DUMMYFUNCTION("""COMPUTED_VALUE"""),92.89)</f>
        <v>92.89</v>
      </c>
      <c r="F5501" s="2">
        <f>IFERROR(__xludf.DUMMYFUNCTION("""COMPUTED_VALUE"""),1.06369E7)</f>
        <v>10636900</v>
      </c>
    </row>
    <row r="5502">
      <c r="A5502" s="3">
        <f>IFERROR(__xludf.DUMMYFUNCTION("""COMPUTED_VALUE"""),37175.666666666664)</f>
        <v>37175.66667</v>
      </c>
      <c r="B5502" s="2">
        <f>IFERROR(__xludf.DUMMYFUNCTION("""COMPUTED_VALUE"""),93.32)</f>
        <v>93.32</v>
      </c>
      <c r="C5502" s="2">
        <f>IFERROR(__xludf.DUMMYFUNCTION("""COMPUTED_VALUE"""),94.94)</f>
        <v>94.94</v>
      </c>
      <c r="D5502" s="2">
        <f>IFERROR(__xludf.DUMMYFUNCTION("""COMPUTED_VALUE"""),92.32)</f>
        <v>92.32</v>
      </c>
      <c r="E5502" s="2">
        <f>IFERROR(__xludf.DUMMYFUNCTION("""COMPUTED_VALUE"""),94.94)</f>
        <v>94.94</v>
      </c>
      <c r="F5502" s="2">
        <f>IFERROR(__xludf.DUMMYFUNCTION("""COMPUTED_VALUE"""),1.15405E7)</f>
        <v>11540500</v>
      </c>
    </row>
    <row r="5503">
      <c r="A5503" s="3">
        <f>IFERROR(__xludf.DUMMYFUNCTION("""COMPUTED_VALUE"""),37176.666666666664)</f>
        <v>37176.66667</v>
      </c>
      <c r="B5503" s="2">
        <f>IFERROR(__xludf.DUMMYFUNCTION("""COMPUTED_VALUE"""),94.27)</f>
        <v>94.27</v>
      </c>
      <c r="C5503" s="2">
        <f>IFERROR(__xludf.DUMMYFUNCTION("""COMPUTED_VALUE"""),96.47)</f>
        <v>96.47</v>
      </c>
      <c r="D5503" s="2">
        <f>IFERROR(__xludf.DUMMYFUNCTION("""COMPUTED_VALUE"""),93.61)</f>
        <v>93.61</v>
      </c>
      <c r="E5503" s="2">
        <f>IFERROR(__xludf.DUMMYFUNCTION("""COMPUTED_VALUE"""),96.32)</f>
        <v>96.32</v>
      </c>
      <c r="F5503" s="2">
        <f>IFERROR(__xludf.DUMMYFUNCTION("""COMPUTED_VALUE"""),1.15012E7)</f>
        <v>11501200</v>
      </c>
    </row>
    <row r="5504">
      <c r="A5504" s="3">
        <f>IFERROR(__xludf.DUMMYFUNCTION("""COMPUTED_VALUE"""),37179.666666666664)</f>
        <v>37179.66667</v>
      </c>
      <c r="B5504" s="2">
        <f>IFERROR(__xludf.DUMMYFUNCTION("""COMPUTED_VALUE"""),95.37)</f>
        <v>95.37</v>
      </c>
      <c r="C5504" s="2">
        <f>IFERROR(__xludf.DUMMYFUNCTION("""COMPUTED_VALUE"""),98.15)</f>
        <v>98.15</v>
      </c>
      <c r="D5504" s="2">
        <f>IFERROR(__xludf.DUMMYFUNCTION("""COMPUTED_VALUE"""),95.37)</f>
        <v>95.37</v>
      </c>
      <c r="E5504" s="2">
        <f>IFERROR(__xludf.DUMMYFUNCTION("""COMPUTED_VALUE"""),97.43)</f>
        <v>97.43</v>
      </c>
      <c r="F5504" s="2">
        <f>IFERROR(__xludf.DUMMYFUNCTION("""COMPUTED_VALUE"""),1.02054E7)</f>
        <v>10205400</v>
      </c>
    </row>
    <row r="5505">
      <c r="A5505" s="3">
        <f>IFERROR(__xludf.DUMMYFUNCTION("""COMPUTED_VALUE"""),37180.666666666664)</f>
        <v>37180.66667</v>
      </c>
      <c r="B5505" s="2">
        <f>IFERROR(__xludf.DUMMYFUNCTION("""COMPUTED_VALUE"""),97.3)</f>
        <v>97.3</v>
      </c>
      <c r="C5505" s="2">
        <f>IFERROR(__xludf.DUMMYFUNCTION("""COMPUTED_VALUE"""),98.38)</f>
        <v>98.38</v>
      </c>
      <c r="D5505" s="2">
        <f>IFERROR(__xludf.DUMMYFUNCTION("""COMPUTED_VALUE"""),95.19)</f>
        <v>95.19</v>
      </c>
      <c r="E5505" s="2">
        <f>IFERROR(__xludf.DUMMYFUNCTION("""COMPUTED_VALUE"""),97.28)</f>
        <v>97.28</v>
      </c>
      <c r="F5505" s="2">
        <f>IFERROR(__xludf.DUMMYFUNCTION("""COMPUTED_VALUE"""),1.20512E7)</f>
        <v>12051200</v>
      </c>
    </row>
    <row r="5506">
      <c r="A5506" s="3">
        <f>IFERROR(__xludf.DUMMYFUNCTION("""COMPUTED_VALUE"""),37181.666666666664)</f>
        <v>37181.66667</v>
      </c>
      <c r="B5506" s="2">
        <f>IFERROR(__xludf.DUMMYFUNCTION("""COMPUTED_VALUE"""),101.53)</f>
        <v>101.53</v>
      </c>
      <c r="C5506" s="2">
        <f>IFERROR(__xludf.DUMMYFUNCTION("""COMPUTED_VALUE"""),101.92)</f>
        <v>101.92</v>
      </c>
      <c r="D5506" s="2">
        <f>IFERROR(__xludf.DUMMYFUNCTION("""COMPUTED_VALUE"""),98.29)</f>
        <v>98.29</v>
      </c>
      <c r="E5506" s="2">
        <f>IFERROR(__xludf.DUMMYFUNCTION("""COMPUTED_VALUE"""),98.29)</f>
        <v>98.29</v>
      </c>
      <c r="F5506" s="2">
        <f>IFERROR(__xludf.DUMMYFUNCTION("""COMPUTED_VALUE"""),1.89205E7)</f>
        <v>18920500</v>
      </c>
    </row>
    <row r="5507">
      <c r="A5507" s="3">
        <f>IFERROR(__xludf.DUMMYFUNCTION("""COMPUTED_VALUE"""),37182.666666666664)</f>
        <v>37182.66667</v>
      </c>
      <c r="B5507" s="2">
        <f>IFERROR(__xludf.DUMMYFUNCTION("""COMPUTED_VALUE"""),98.43)</f>
        <v>98.43</v>
      </c>
      <c r="C5507" s="2">
        <f>IFERROR(__xludf.DUMMYFUNCTION("""COMPUTED_VALUE"""),99.1)</f>
        <v>99.1</v>
      </c>
      <c r="D5507" s="2">
        <f>IFERROR(__xludf.DUMMYFUNCTION("""COMPUTED_VALUE"""),96.26)</f>
        <v>96.26</v>
      </c>
      <c r="E5507" s="2">
        <f>IFERROR(__xludf.DUMMYFUNCTION("""COMPUTED_VALUE"""),96.72)</f>
        <v>96.72</v>
      </c>
      <c r="F5507" s="2">
        <f>IFERROR(__xludf.DUMMYFUNCTION("""COMPUTED_VALUE"""),1.06969E7)</f>
        <v>10696900</v>
      </c>
    </row>
    <row r="5508">
      <c r="A5508" s="3">
        <f>IFERROR(__xludf.DUMMYFUNCTION("""COMPUTED_VALUE"""),37183.666666666664)</f>
        <v>37183.66667</v>
      </c>
      <c r="B5508" s="2">
        <f>IFERROR(__xludf.DUMMYFUNCTION("""COMPUTED_VALUE"""),97.09)</f>
        <v>97.09</v>
      </c>
      <c r="C5508" s="2">
        <f>IFERROR(__xludf.DUMMYFUNCTION("""COMPUTED_VALUE"""),98.13)</f>
        <v>98.13</v>
      </c>
      <c r="D5508" s="2">
        <f>IFERROR(__xludf.DUMMYFUNCTION("""COMPUTED_VALUE"""),95.58)</f>
        <v>95.58</v>
      </c>
      <c r="E5508" s="2">
        <f>IFERROR(__xludf.DUMMYFUNCTION("""COMPUTED_VALUE"""),98.05)</f>
        <v>98.05</v>
      </c>
      <c r="F5508" s="2">
        <f>IFERROR(__xludf.DUMMYFUNCTION("""COMPUTED_VALUE"""),1.17719E7)</f>
        <v>11771900</v>
      </c>
    </row>
    <row r="5509">
      <c r="A5509" s="3">
        <f>IFERROR(__xludf.DUMMYFUNCTION("""COMPUTED_VALUE"""),37186.666666666664)</f>
        <v>37186.66667</v>
      </c>
      <c r="B5509" s="2">
        <f>IFERROR(__xludf.DUMMYFUNCTION("""COMPUTED_VALUE"""),98.05)</f>
        <v>98.05</v>
      </c>
      <c r="C5509" s="2">
        <f>IFERROR(__xludf.DUMMYFUNCTION("""COMPUTED_VALUE"""),101.04)</f>
        <v>101.04</v>
      </c>
      <c r="D5509" s="2">
        <f>IFERROR(__xludf.DUMMYFUNCTION("""COMPUTED_VALUE"""),97.33)</f>
        <v>97.33</v>
      </c>
      <c r="E5509" s="2">
        <f>IFERROR(__xludf.DUMMYFUNCTION("""COMPUTED_VALUE"""),100.53)</f>
        <v>100.53</v>
      </c>
      <c r="F5509" s="2">
        <f>IFERROR(__xludf.DUMMYFUNCTION("""COMPUTED_VALUE"""),7624100.0)</f>
        <v>7624100</v>
      </c>
    </row>
    <row r="5510">
      <c r="A5510" s="3">
        <f>IFERROR(__xludf.DUMMYFUNCTION("""COMPUTED_VALUE"""),37187.666666666664)</f>
        <v>37187.66667</v>
      </c>
      <c r="B5510" s="2">
        <f>IFERROR(__xludf.DUMMYFUNCTION("""COMPUTED_VALUE"""),101.01)</f>
        <v>101.01</v>
      </c>
      <c r="C5510" s="2">
        <f>IFERROR(__xludf.DUMMYFUNCTION("""COMPUTED_VALUE"""),101.91)</f>
        <v>101.91</v>
      </c>
      <c r="D5510" s="2">
        <f>IFERROR(__xludf.DUMMYFUNCTION("""COMPUTED_VALUE"""),99.86)</f>
        <v>99.86</v>
      </c>
      <c r="E5510" s="2">
        <f>IFERROR(__xludf.DUMMYFUNCTION("""COMPUTED_VALUE"""),101.07)</f>
        <v>101.07</v>
      </c>
      <c r="F5510" s="2">
        <f>IFERROR(__xludf.DUMMYFUNCTION("""COMPUTED_VALUE"""),7429300.0)</f>
        <v>7429300</v>
      </c>
    </row>
    <row r="5511">
      <c r="A5511" s="3">
        <f>IFERROR(__xludf.DUMMYFUNCTION("""COMPUTED_VALUE"""),37188.666666666664)</f>
        <v>37188.66667</v>
      </c>
      <c r="B5511" s="2">
        <f>IFERROR(__xludf.DUMMYFUNCTION("""COMPUTED_VALUE"""),101.72)</f>
        <v>101.72</v>
      </c>
      <c r="C5511" s="2">
        <f>IFERROR(__xludf.DUMMYFUNCTION("""COMPUTED_VALUE"""),103.87)</f>
        <v>103.87</v>
      </c>
      <c r="D5511" s="2">
        <f>IFERROR(__xludf.DUMMYFUNCTION("""COMPUTED_VALUE"""),101.33)</f>
        <v>101.33</v>
      </c>
      <c r="E5511" s="2">
        <f>IFERROR(__xludf.DUMMYFUNCTION("""COMPUTED_VALUE"""),103.7)</f>
        <v>103.7</v>
      </c>
      <c r="F5511" s="2">
        <f>IFERROR(__xludf.DUMMYFUNCTION("""COMPUTED_VALUE"""),8299700.0)</f>
        <v>8299700</v>
      </c>
    </row>
    <row r="5512">
      <c r="A5512" s="3">
        <f>IFERROR(__xludf.DUMMYFUNCTION("""COMPUTED_VALUE"""),37189.666666666664)</f>
        <v>37189.66667</v>
      </c>
      <c r="B5512" s="2">
        <f>IFERROR(__xludf.DUMMYFUNCTION("""COMPUTED_VALUE"""),103.21)</f>
        <v>103.21</v>
      </c>
      <c r="C5512" s="2">
        <f>IFERROR(__xludf.DUMMYFUNCTION("""COMPUTED_VALUE"""),105.88)</f>
        <v>105.88</v>
      </c>
      <c r="D5512" s="2">
        <f>IFERROR(__xludf.DUMMYFUNCTION("""COMPUTED_VALUE"""),101.96)</f>
        <v>101.96</v>
      </c>
      <c r="E5512" s="2">
        <f>IFERROR(__xludf.DUMMYFUNCTION("""COMPUTED_VALUE"""),105.7)</f>
        <v>105.7</v>
      </c>
      <c r="F5512" s="2">
        <f>IFERROR(__xludf.DUMMYFUNCTION("""COMPUTED_VALUE"""),9683700.0)</f>
        <v>9683700</v>
      </c>
    </row>
    <row r="5513">
      <c r="A5513" s="3">
        <f>IFERROR(__xludf.DUMMYFUNCTION("""COMPUTED_VALUE"""),37190.666666666664)</f>
        <v>37190.66667</v>
      </c>
      <c r="B5513" s="2">
        <f>IFERROR(__xludf.DUMMYFUNCTION("""COMPUTED_VALUE"""),105.07)</f>
        <v>105.07</v>
      </c>
      <c r="C5513" s="2">
        <f>IFERROR(__xludf.DUMMYFUNCTION("""COMPUTED_VALUE"""),107.07)</f>
        <v>107.07</v>
      </c>
      <c r="D5513" s="2">
        <f>IFERROR(__xludf.DUMMYFUNCTION("""COMPUTED_VALUE"""),104.71)</f>
        <v>104.71</v>
      </c>
      <c r="E5513" s="2">
        <f>IFERROR(__xludf.DUMMYFUNCTION("""COMPUTED_VALUE"""),106.18)</f>
        <v>106.18</v>
      </c>
      <c r="F5513" s="2">
        <f>IFERROR(__xludf.DUMMYFUNCTION("""COMPUTED_VALUE"""),1.0145E7)</f>
        <v>10145000</v>
      </c>
    </row>
    <row r="5514">
      <c r="A5514" s="3">
        <f>IFERROR(__xludf.DUMMYFUNCTION("""COMPUTED_VALUE"""),37193.666666666664)</f>
        <v>37193.66667</v>
      </c>
      <c r="B5514" s="2">
        <f>IFERROR(__xludf.DUMMYFUNCTION("""COMPUTED_VALUE"""),105.55)</f>
        <v>105.55</v>
      </c>
      <c r="C5514" s="2">
        <f>IFERROR(__xludf.DUMMYFUNCTION("""COMPUTED_VALUE"""),105.74)</f>
        <v>105.74</v>
      </c>
      <c r="D5514" s="2">
        <f>IFERROR(__xludf.DUMMYFUNCTION("""COMPUTED_VALUE"""),103.75)</f>
        <v>103.75</v>
      </c>
      <c r="E5514" s="2">
        <f>IFERROR(__xludf.DUMMYFUNCTION("""COMPUTED_VALUE"""),104.48)</f>
        <v>104.48</v>
      </c>
      <c r="F5514" s="2">
        <f>IFERROR(__xludf.DUMMYFUNCTION("""COMPUTED_VALUE"""),7024600.0)</f>
        <v>7024600</v>
      </c>
    </row>
    <row r="5515">
      <c r="A5515" s="3">
        <f>IFERROR(__xludf.DUMMYFUNCTION("""COMPUTED_VALUE"""),37194.666666666664)</f>
        <v>37194.66667</v>
      </c>
      <c r="B5515" s="2">
        <f>IFERROR(__xludf.DUMMYFUNCTION("""COMPUTED_VALUE"""),102.97)</f>
        <v>102.97</v>
      </c>
      <c r="C5515" s="2">
        <f>IFERROR(__xludf.DUMMYFUNCTION("""COMPUTED_VALUE"""),104.83)</f>
        <v>104.83</v>
      </c>
      <c r="D5515" s="2">
        <f>IFERROR(__xludf.DUMMYFUNCTION("""COMPUTED_VALUE"""),102.93)</f>
        <v>102.93</v>
      </c>
      <c r="E5515" s="2">
        <f>IFERROR(__xludf.DUMMYFUNCTION("""COMPUTED_VALUE"""),103.89)</f>
        <v>103.89</v>
      </c>
      <c r="F5515" s="2">
        <f>IFERROR(__xludf.DUMMYFUNCTION("""COMPUTED_VALUE"""),8613100.0)</f>
        <v>8613100</v>
      </c>
    </row>
    <row r="5516">
      <c r="A5516" s="3">
        <f>IFERROR(__xludf.DUMMYFUNCTION("""COMPUTED_VALUE"""),37195.666666666664)</f>
        <v>37195.66667</v>
      </c>
      <c r="B5516" s="2">
        <f>IFERROR(__xludf.DUMMYFUNCTION("""COMPUTED_VALUE"""),104.69)</f>
        <v>104.69</v>
      </c>
      <c r="C5516" s="2">
        <f>IFERROR(__xludf.DUMMYFUNCTION("""COMPUTED_VALUE"""),106.14)</f>
        <v>106.14</v>
      </c>
      <c r="D5516" s="2">
        <f>IFERROR(__xludf.DUMMYFUNCTION("""COMPUTED_VALUE"""),103.22)</f>
        <v>103.22</v>
      </c>
      <c r="E5516" s="2">
        <f>IFERROR(__xludf.DUMMYFUNCTION("""COMPUTED_VALUE"""),103.22)</f>
        <v>103.22</v>
      </c>
      <c r="F5516" s="2">
        <f>IFERROR(__xludf.DUMMYFUNCTION("""COMPUTED_VALUE"""),7155900.0)</f>
        <v>7155900</v>
      </c>
    </row>
    <row r="5517">
      <c r="A5517" s="3">
        <f>IFERROR(__xludf.DUMMYFUNCTION("""COMPUTED_VALUE"""),37196.666666666664)</f>
        <v>37196.66667</v>
      </c>
      <c r="B5517" s="2">
        <f>IFERROR(__xludf.DUMMYFUNCTION("""COMPUTED_VALUE"""),102.44)</f>
        <v>102.44</v>
      </c>
      <c r="C5517" s="2">
        <f>IFERROR(__xludf.DUMMYFUNCTION("""COMPUTED_VALUE"""),105.23)</f>
        <v>105.23</v>
      </c>
      <c r="D5517" s="2">
        <f>IFERROR(__xludf.DUMMYFUNCTION("""COMPUTED_VALUE"""),102.11)</f>
        <v>102.11</v>
      </c>
      <c r="E5517" s="2">
        <f>IFERROR(__xludf.DUMMYFUNCTION("""COMPUTED_VALUE"""),104.96)</f>
        <v>104.96</v>
      </c>
      <c r="F5517" s="2">
        <f>IFERROR(__xludf.DUMMYFUNCTION("""COMPUTED_VALUE"""),8016100.0)</f>
        <v>8016100</v>
      </c>
    </row>
    <row r="5518">
      <c r="A5518" s="3">
        <f>IFERROR(__xludf.DUMMYFUNCTION("""COMPUTED_VALUE"""),37197.666666666664)</f>
        <v>37197.66667</v>
      </c>
      <c r="B5518" s="2">
        <f>IFERROR(__xludf.DUMMYFUNCTION("""COMPUTED_VALUE"""),104.26)</f>
        <v>104.26</v>
      </c>
      <c r="C5518" s="2">
        <f>IFERROR(__xludf.DUMMYFUNCTION("""COMPUTED_VALUE"""),105.35)</f>
        <v>105.35</v>
      </c>
      <c r="D5518" s="2">
        <f>IFERROR(__xludf.DUMMYFUNCTION("""COMPUTED_VALUE"""),103.89)</f>
        <v>103.89</v>
      </c>
      <c r="E5518" s="2">
        <f>IFERROR(__xludf.DUMMYFUNCTION("""COMPUTED_VALUE"""),104.49)</f>
        <v>104.49</v>
      </c>
      <c r="F5518" s="2">
        <f>IFERROR(__xludf.DUMMYFUNCTION("""COMPUTED_VALUE"""),6216900.0)</f>
        <v>6216900</v>
      </c>
    </row>
    <row r="5519">
      <c r="A5519" s="3">
        <f>IFERROR(__xludf.DUMMYFUNCTION("""COMPUTED_VALUE"""),37200.666666666664)</f>
        <v>37200.66667</v>
      </c>
      <c r="B5519" s="2">
        <f>IFERROR(__xludf.DUMMYFUNCTION("""COMPUTED_VALUE"""),105.02)</f>
        <v>105.02</v>
      </c>
      <c r="C5519" s="2">
        <f>IFERROR(__xludf.DUMMYFUNCTION("""COMPUTED_VALUE"""),105.63)</f>
        <v>105.63</v>
      </c>
      <c r="D5519" s="2">
        <f>IFERROR(__xludf.DUMMYFUNCTION("""COMPUTED_VALUE"""),104.19)</f>
        <v>104.19</v>
      </c>
      <c r="E5519" s="2">
        <f>IFERROR(__xludf.DUMMYFUNCTION("""COMPUTED_VALUE"""),105.03)</f>
        <v>105.03</v>
      </c>
      <c r="F5519" s="2">
        <f>IFERROR(__xludf.DUMMYFUNCTION("""COMPUTED_VALUE"""),5699000.0)</f>
        <v>5699000</v>
      </c>
    </row>
    <row r="5520">
      <c r="A5520" s="3">
        <f>IFERROR(__xludf.DUMMYFUNCTION("""COMPUTED_VALUE"""),37201.666666666664)</f>
        <v>37201.66667</v>
      </c>
      <c r="B5520" s="2">
        <f>IFERROR(__xludf.DUMMYFUNCTION("""COMPUTED_VALUE"""),104.69)</f>
        <v>104.69</v>
      </c>
      <c r="C5520" s="2">
        <f>IFERROR(__xludf.DUMMYFUNCTION("""COMPUTED_VALUE"""),109.65)</f>
        <v>109.65</v>
      </c>
      <c r="D5520" s="2">
        <f>IFERROR(__xludf.DUMMYFUNCTION("""COMPUTED_VALUE"""),104.11)</f>
        <v>104.11</v>
      </c>
      <c r="E5520" s="2">
        <f>IFERROR(__xludf.DUMMYFUNCTION("""COMPUTED_VALUE"""),109.07)</f>
        <v>109.07</v>
      </c>
      <c r="F5520" s="2">
        <f>IFERROR(__xludf.DUMMYFUNCTION("""COMPUTED_VALUE"""),8484000.0)</f>
        <v>8484000</v>
      </c>
    </row>
    <row r="5521">
      <c r="A5521" s="3">
        <f>IFERROR(__xludf.DUMMYFUNCTION("""COMPUTED_VALUE"""),37202.666666666664)</f>
        <v>37202.66667</v>
      </c>
      <c r="B5521" s="2">
        <f>IFERROR(__xludf.DUMMYFUNCTION("""COMPUTED_VALUE"""),107.98)</f>
        <v>107.98</v>
      </c>
      <c r="C5521" s="2">
        <f>IFERROR(__xludf.DUMMYFUNCTION("""COMPUTED_VALUE"""),110.03)</f>
        <v>110.03</v>
      </c>
      <c r="D5521" s="2">
        <f>IFERROR(__xludf.DUMMYFUNCTION("""COMPUTED_VALUE"""),107.96)</f>
        <v>107.96</v>
      </c>
      <c r="E5521" s="2">
        <f>IFERROR(__xludf.DUMMYFUNCTION("""COMPUTED_VALUE"""),108.75)</f>
        <v>108.75</v>
      </c>
      <c r="F5521" s="2">
        <f>IFERROR(__xludf.DUMMYFUNCTION("""COMPUTED_VALUE"""),1.00596E7)</f>
        <v>10059600</v>
      </c>
    </row>
    <row r="5522">
      <c r="A5522" s="3">
        <f>IFERROR(__xludf.DUMMYFUNCTION("""COMPUTED_VALUE"""),37203.666666666664)</f>
        <v>37203.66667</v>
      </c>
      <c r="B5522" s="2">
        <f>IFERROR(__xludf.DUMMYFUNCTION("""COMPUTED_VALUE"""),108.85)</f>
        <v>108.85</v>
      </c>
      <c r="C5522" s="2">
        <f>IFERROR(__xludf.DUMMYFUNCTION("""COMPUTED_VALUE"""),110.38)</f>
        <v>110.38</v>
      </c>
      <c r="D5522" s="2">
        <f>IFERROR(__xludf.DUMMYFUNCTION("""COMPUTED_VALUE"""),108.52)</f>
        <v>108.52</v>
      </c>
      <c r="E5522" s="2">
        <f>IFERROR(__xludf.DUMMYFUNCTION("""COMPUTED_VALUE"""),108.71)</f>
        <v>108.71</v>
      </c>
      <c r="F5522" s="2">
        <f>IFERROR(__xludf.DUMMYFUNCTION("""COMPUTED_VALUE"""),7917900.0)</f>
        <v>7917900</v>
      </c>
    </row>
    <row r="5523">
      <c r="A5523" s="3">
        <f>IFERROR(__xludf.DUMMYFUNCTION("""COMPUTED_VALUE"""),37204.666666666664)</f>
        <v>37204.66667</v>
      </c>
      <c r="B5523" s="2">
        <f>IFERROR(__xludf.DUMMYFUNCTION("""COMPUTED_VALUE"""),108.03)</f>
        <v>108.03</v>
      </c>
      <c r="C5523" s="2">
        <f>IFERROR(__xludf.DUMMYFUNCTION("""COMPUTED_VALUE"""),109.75)</f>
        <v>109.75</v>
      </c>
      <c r="D5523" s="2">
        <f>IFERROR(__xludf.DUMMYFUNCTION("""COMPUTED_VALUE"""),108.03)</f>
        <v>108.03</v>
      </c>
      <c r="E5523" s="2">
        <f>IFERROR(__xludf.DUMMYFUNCTION("""COMPUTED_VALUE"""),108.93)</f>
        <v>108.93</v>
      </c>
      <c r="F5523" s="2">
        <f>IFERROR(__xludf.DUMMYFUNCTION("""COMPUTED_VALUE"""),5010800.0)</f>
        <v>5010800</v>
      </c>
    </row>
    <row r="5524">
      <c r="A5524" s="3">
        <f>IFERROR(__xludf.DUMMYFUNCTION("""COMPUTED_VALUE"""),37207.666666666664)</f>
        <v>37207.66667</v>
      </c>
      <c r="B5524" s="2">
        <f>IFERROR(__xludf.DUMMYFUNCTION("""COMPUTED_VALUE"""),107.93)</f>
        <v>107.93</v>
      </c>
      <c r="C5524" s="2">
        <f>IFERROR(__xludf.DUMMYFUNCTION("""COMPUTED_VALUE"""),109.75)</f>
        <v>109.75</v>
      </c>
      <c r="D5524" s="2">
        <f>IFERROR(__xludf.DUMMYFUNCTION("""COMPUTED_VALUE"""),107.03)</f>
        <v>107.03</v>
      </c>
      <c r="E5524" s="2">
        <f>IFERROR(__xludf.DUMMYFUNCTION("""COMPUTED_VALUE"""),109.71)</f>
        <v>109.71</v>
      </c>
      <c r="F5524" s="2">
        <f>IFERROR(__xludf.DUMMYFUNCTION("""COMPUTED_VALUE"""),5592500.0)</f>
        <v>5592500</v>
      </c>
    </row>
    <row r="5525">
      <c r="A5525" s="3">
        <f>IFERROR(__xludf.DUMMYFUNCTION("""COMPUTED_VALUE"""),37208.666666666664)</f>
        <v>37208.66667</v>
      </c>
      <c r="B5525" s="2">
        <f>IFERROR(__xludf.DUMMYFUNCTION("""COMPUTED_VALUE"""),110.51)</f>
        <v>110.51</v>
      </c>
      <c r="C5525" s="2">
        <f>IFERROR(__xludf.DUMMYFUNCTION("""COMPUTED_VALUE"""),111.75)</f>
        <v>111.75</v>
      </c>
      <c r="D5525" s="2">
        <f>IFERROR(__xludf.DUMMYFUNCTION("""COMPUTED_VALUE"""),110.51)</f>
        <v>110.51</v>
      </c>
      <c r="E5525" s="2">
        <f>IFERROR(__xludf.DUMMYFUNCTION("""COMPUTED_VALUE"""),111.12)</f>
        <v>111.12</v>
      </c>
      <c r="F5525" s="2">
        <f>IFERROR(__xludf.DUMMYFUNCTION("""COMPUTED_VALUE"""),8930300.0)</f>
        <v>8930300</v>
      </c>
    </row>
    <row r="5526">
      <c r="A5526" s="3">
        <f>IFERROR(__xludf.DUMMYFUNCTION("""COMPUTED_VALUE"""),37209.666666666664)</f>
        <v>37209.66667</v>
      </c>
      <c r="B5526" s="2">
        <f>IFERROR(__xludf.DUMMYFUNCTION("""COMPUTED_VALUE"""),111.47)</f>
        <v>111.47</v>
      </c>
      <c r="C5526" s="2">
        <f>IFERROR(__xludf.DUMMYFUNCTION("""COMPUTED_VALUE"""),111.61)</f>
        <v>111.61</v>
      </c>
      <c r="D5526" s="2">
        <f>IFERROR(__xludf.DUMMYFUNCTION("""COMPUTED_VALUE"""),108.25)</f>
        <v>108.25</v>
      </c>
      <c r="E5526" s="2">
        <f>IFERROR(__xludf.DUMMYFUNCTION("""COMPUTED_VALUE"""),109.33)</f>
        <v>109.33</v>
      </c>
      <c r="F5526" s="2">
        <f>IFERROR(__xludf.DUMMYFUNCTION("""COMPUTED_VALUE"""),8081300.0)</f>
        <v>8081300</v>
      </c>
    </row>
    <row r="5527">
      <c r="A5527" s="3">
        <f>IFERROR(__xludf.DUMMYFUNCTION("""COMPUTED_VALUE"""),37210.666666666664)</f>
        <v>37210.66667</v>
      </c>
      <c r="B5527" s="2">
        <f>IFERROR(__xludf.DUMMYFUNCTION("""COMPUTED_VALUE"""),108.98)</f>
        <v>108.98</v>
      </c>
      <c r="C5527" s="2">
        <f>IFERROR(__xludf.DUMMYFUNCTION("""COMPUTED_VALUE"""),111.11)</f>
        <v>111.11</v>
      </c>
      <c r="D5527" s="2">
        <f>IFERROR(__xludf.DUMMYFUNCTION("""COMPUTED_VALUE"""),108.74)</f>
        <v>108.74</v>
      </c>
      <c r="E5527" s="2">
        <f>IFERROR(__xludf.DUMMYFUNCTION("""COMPUTED_VALUE"""),109.61)</f>
        <v>109.61</v>
      </c>
      <c r="F5527" s="2">
        <f>IFERROR(__xludf.DUMMYFUNCTION("""COMPUTED_VALUE"""),6963100.0)</f>
        <v>6963100</v>
      </c>
    </row>
    <row r="5528">
      <c r="A5528" s="3">
        <f>IFERROR(__xludf.DUMMYFUNCTION("""COMPUTED_VALUE"""),37211.666666666664)</f>
        <v>37211.66667</v>
      </c>
      <c r="B5528" s="2">
        <f>IFERROR(__xludf.DUMMYFUNCTION("""COMPUTED_VALUE"""),109.84)</f>
        <v>109.84</v>
      </c>
      <c r="C5528" s="2">
        <f>IFERROR(__xludf.DUMMYFUNCTION("""COMPUTED_VALUE"""),109.84)</f>
        <v>109.84</v>
      </c>
      <c r="D5528" s="2">
        <f>IFERROR(__xludf.DUMMYFUNCTION("""COMPUTED_VALUE"""),107.5)</f>
        <v>107.5</v>
      </c>
      <c r="E5528" s="2">
        <f>IFERROR(__xludf.DUMMYFUNCTION("""COMPUTED_VALUE"""),109.37)</f>
        <v>109.37</v>
      </c>
      <c r="F5528" s="2">
        <f>IFERROR(__xludf.DUMMYFUNCTION("""COMPUTED_VALUE"""),6658800.0)</f>
        <v>6658800</v>
      </c>
    </row>
    <row r="5529">
      <c r="A5529" s="3">
        <f>IFERROR(__xludf.DUMMYFUNCTION("""COMPUTED_VALUE"""),37214.666666666664)</f>
        <v>37214.66667</v>
      </c>
      <c r="B5529" s="2">
        <f>IFERROR(__xludf.DUMMYFUNCTION("""COMPUTED_VALUE"""),109.56)</f>
        <v>109.56</v>
      </c>
      <c r="C5529" s="2">
        <f>IFERROR(__xludf.DUMMYFUNCTION("""COMPUTED_VALUE"""),110.61)</f>
        <v>110.61</v>
      </c>
      <c r="D5529" s="2">
        <f>IFERROR(__xludf.DUMMYFUNCTION("""COMPUTED_VALUE"""),108.67)</f>
        <v>108.67</v>
      </c>
      <c r="E5529" s="2">
        <f>IFERROR(__xludf.DUMMYFUNCTION("""COMPUTED_VALUE"""),109.62)</f>
        <v>109.62</v>
      </c>
      <c r="F5529" s="2">
        <f>IFERROR(__xludf.DUMMYFUNCTION("""COMPUTED_VALUE"""),4926100.0)</f>
        <v>4926100</v>
      </c>
    </row>
    <row r="5530">
      <c r="A5530" s="3">
        <f>IFERROR(__xludf.DUMMYFUNCTION("""COMPUTED_VALUE"""),37215.666666666664)</f>
        <v>37215.66667</v>
      </c>
      <c r="B5530" s="2">
        <f>IFERROR(__xludf.DUMMYFUNCTION("""COMPUTED_VALUE"""),109.22)</f>
        <v>109.22</v>
      </c>
      <c r="C5530" s="2">
        <f>IFERROR(__xludf.DUMMYFUNCTION("""COMPUTED_VALUE"""),111.56)</f>
        <v>111.56</v>
      </c>
      <c r="D5530" s="2">
        <f>IFERROR(__xludf.DUMMYFUNCTION("""COMPUTED_VALUE"""),109.13)</f>
        <v>109.13</v>
      </c>
      <c r="E5530" s="2">
        <f>IFERROR(__xludf.DUMMYFUNCTION("""COMPUTED_VALUE"""),110.26)</f>
        <v>110.26</v>
      </c>
      <c r="F5530" s="2">
        <f>IFERROR(__xludf.DUMMYFUNCTION("""COMPUTED_VALUE"""),6452600.0)</f>
        <v>6452600</v>
      </c>
    </row>
    <row r="5531">
      <c r="A5531" s="3">
        <f>IFERROR(__xludf.DUMMYFUNCTION("""COMPUTED_VALUE"""),37216.666666666664)</f>
        <v>37216.66667</v>
      </c>
      <c r="B5531" s="2">
        <f>IFERROR(__xludf.DUMMYFUNCTION("""COMPUTED_VALUE"""),109.8)</f>
        <v>109.8</v>
      </c>
      <c r="C5531" s="2">
        <f>IFERROR(__xludf.DUMMYFUNCTION("""COMPUTED_VALUE"""),110.08)</f>
        <v>110.08</v>
      </c>
      <c r="D5531" s="2">
        <f>IFERROR(__xludf.DUMMYFUNCTION("""COMPUTED_VALUE"""),107.98)</f>
        <v>107.98</v>
      </c>
      <c r="E5531" s="2">
        <f>IFERROR(__xludf.DUMMYFUNCTION("""COMPUTED_VALUE"""),109.21)</f>
        <v>109.21</v>
      </c>
      <c r="F5531" s="2">
        <f>IFERROR(__xludf.DUMMYFUNCTION("""COMPUTED_VALUE"""),4184700.0)</f>
        <v>4184700</v>
      </c>
    </row>
    <row r="5532">
      <c r="A5532" s="3">
        <f>IFERROR(__xludf.DUMMYFUNCTION("""COMPUTED_VALUE"""),37218.666666666664)</f>
        <v>37218.66667</v>
      </c>
      <c r="B5532" s="2">
        <f>IFERROR(__xludf.DUMMYFUNCTION("""COMPUTED_VALUE"""),109.17)</f>
        <v>109.17</v>
      </c>
      <c r="C5532" s="2">
        <f>IFERROR(__xludf.DUMMYFUNCTION("""COMPUTED_VALUE"""),110.2)</f>
        <v>110.2</v>
      </c>
      <c r="D5532" s="2">
        <f>IFERROR(__xludf.DUMMYFUNCTION("""COMPUTED_VALUE"""),108.62)</f>
        <v>108.62</v>
      </c>
      <c r="E5532" s="2">
        <f>IFERROR(__xludf.DUMMYFUNCTION("""COMPUTED_VALUE"""),110.18)</f>
        <v>110.18</v>
      </c>
      <c r="F5532" s="2">
        <f>IFERROR(__xludf.DUMMYFUNCTION("""COMPUTED_VALUE"""),1714000.0)</f>
        <v>1714000</v>
      </c>
    </row>
    <row r="5533">
      <c r="A5533" s="3">
        <f>IFERROR(__xludf.DUMMYFUNCTION("""COMPUTED_VALUE"""),37221.666666666664)</f>
        <v>37221.66667</v>
      </c>
      <c r="B5533" s="2">
        <f>IFERROR(__xludf.DUMMYFUNCTION("""COMPUTED_VALUE"""),110.7)</f>
        <v>110.7</v>
      </c>
      <c r="C5533" s="2">
        <f>IFERROR(__xludf.DUMMYFUNCTION("""COMPUTED_VALUE"""),111.18)</f>
        <v>111.18</v>
      </c>
      <c r="D5533" s="2">
        <f>IFERROR(__xludf.DUMMYFUNCTION("""COMPUTED_VALUE"""),110.03)</f>
        <v>110.03</v>
      </c>
      <c r="E5533" s="2">
        <f>IFERROR(__xludf.DUMMYFUNCTION("""COMPUTED_VALUE"""),111.11)</f>
        <v>111.11</v>
      </c>
      <c r="F5533" s="2">
        <f>IFERROR(__xludf.DUMMYFUNCTION("""COMPUTED_VALUE"""),4852900.0)</f>
        <v>4852900</v>
      </c>
    </row>
    <row r="5534">
      <c r="A5534" s="3">
        <f>IFERROR(__xludf.DUMMYFUNCTION("""COMPUTED_VALUE"""),37222.666666666664)</f>
        <v>37222.66667</v>
      </c>
      <c r="B5534" s="2">
        <f>IFERROR(__xludf.DUMMYFUNCTION("""COMPUTED_VALUE"""),111.04)</f>
        <v>111.04</v>
      </c>
      <c r="C5534" s="2">
        <f>IFERROR(__xludf.DUMMYFUNCTION("""COMPUTED_VALUE"""),111.09)</f>
        <v>111.09</v>
      </c>
      <c r="D5534" s="2">
        <f>IFERROR(__xludf.DUMMYFUNCTION("""COMPUTED_VALUE"""),108.96)</f>
        <v>108.96</v>
      </c>
      <c r="E5534" s="2">
        <f>IFERROR(__xludf.DUMMYFUNCTION("""COMPUTED_VALUE"""),109.08)</f>
        <v>109.08</v>
      </c>
      <c r="F5534" s="2">
        <f>IFERROR(__xludf.DUMMYFUNCTION("""COMPUTED_VALUE"""),6877200.0)</f>
        <v>6877200</v>
      </c>
    </row>
    <row r="5535">
      <c r="A5535" s="3">
        <f>IFERROR(__xludf.DUMMYFUNCTION("""COMPUTED_VALUE"""),37223.666666666664)</f>
        <v>37223.66667</v>
      </c>
      <c r="B5535" s="2">
        <f>IFERROR(__xludf.DUMMYFUNCTION("""COMPUTED_VALUE"""),108.98)</f>
        <v>108.98</v>
      </c>
      <c r="C5535" s="2">
        <f>IFERROR(__xludf.DUMMYFUNCTION("""COMPUTED_VALUE"""),109.25)</f>
        <v>109.25</v>
      </c>
      <c r="D5535" s="2">
        <f>IFERROR(__xludf.DUMMYFUNCTION("""COMPUTED_VALUE"""),107.07)</f>
        <v>107.07</v>
      </c>
      <c r="E5535" s="2">
        <f>IFERROR(__xludf.DUMMYFUNCTION("""COMPUTED_VALUE"""),107.12)</f>
        <v>107.12</v>
      </c>
      <c r="F5535" s="2">
        <f>IFERROR(__xludf.DUMMYFUNCTION("""COMPUTED_VALUE"""),6161300.0)</f>
        <v>6161300</v>
      </c>
    </row>
    <row r="5536">
      <c r="A5536" s="3">
        <f>IFERROR(__xludf.DUMMYFUNCTION("""COMPUTED_VALUE"""),37224.666666666664)</f>
        <v>37224.66667</v>
      </c>
      <c r="B5536" s="2">
        <f>IFERROR(__xludf.DUMMYFUNCTION("""COMPUTED_VALUE"""),107.84)</f>
        <v>107.84</v>
      </c>
      <c r="C5536" s="2">
        <f>IFERROR(__xludf.DUMMYFUNCTION("""COMPUTED_VALUE"""),109.41)</f>
        <v>109.41</v>
      </c>
      <c r="D5536" s="2">
        <f>IFERROR(__xludf.DUMMYFUNCTION("""COMPUTED_VALUE"""),106.8)</f>
        <v>106.8</v>
      </c>
      <c r="E5536" s="2">
        <f>IFERROR(__xludf.DUMMYFUNCTION("""COMPUTED_VALUE"""),107.8)</f>
        <v>107.8</v>
      </c>
      <c r="F5536" s="2">
        <f>IFERROR(__xludf.DUMMYFUNCTION("""COMPUTED_VALUE"""),6112900.0)</f>
        <v>6112900</v>
      </c>
    </row>
    <row r="5537">
      <c r="A5537" s="3">
        <f>IFERROR(__xludf.DUMMYFUNCTION("""COMPUTED_VALUE"""),37225.666666666664)</f>
        <v>37225.66667</v>
      </c>
      <c r="B5537" s="2">
        <f>IFERROR(__xludf.DUMMYFUNCTION("""COMPUTED_VALUE"""),109.3)</f>
        <v>109.3</v>
      </c>
      <c r="C5537" s="2">
        <f>IFERROR(__xludf.DUMMYFUNCTION("""COMPUTED_VALUE"""),110.74)</f>
        <v>110.74</v>
      </c>
      <c r="D5537" s="2">
        <f>IFERROR(__xludf.DUMMYFUNCTION("""COMPUTED_VALUE"""),108.7)</f>
        <v>108.7</v>
      </c>
      <c r="E5537" s="2">
        <f>IFERROR(__xludf.DUMMYFUNCTION("""COMPUTED_VALUE"""),110.02)</f>
        <v>110.02</v>
      </c>
      <c r="F5537" s="2">
        <f>IFERROR(__xludf.DUMMYFUNCTION("""COMPUTED_VALUE"""),5584900.0)</f>
        <v>5584900</v>
      </c>
    </row>
    <row r="5538">
      <c r="A5538" s="3">
        <f>IFERROR(__xludf.DUMMYFUNCTION("""COMPUTED_VALUE"""),37228.666666666664)</f>
        <v>37228.66667</v>
      </c>
      <c r="B5538" s="2">
        <f>IFERROR(__xludf.DUMMYFUNCTION("""COMPUTED_VALUE"""),109.65)</f>
        <v>109.65</v>
      </c>
      <c r="C5538" s="2">
        <f>IFERROR(__xludf.DUMMYFUNCTION("""COMPUTED_VALUE"""),109.7)</f>
        <v>109.7</v>
      </c>
      <c r="D5538" s="2">
        <f>IFERROR(__xludf.DUMMYFUNCTION("""COMPUTED_VALUE"""),108.13)</f>
        <v>108.13</v>
      </c>
      <c r="E5538" s="2">
        <f>IFERROR(__xludf.DUMMYFUNCTION("""COMPUTED_VALUE"""),109.01)</f>
        <v>109.01</v>
      </c>
      <c r="F5538" s="2">
        <f>IFERROR(__xludf.DUMMYFUNCTION("""COMPUTED_VALUE"""),5785800.0)</f>
        <v>5785800</v>
      </c>
    </row>
    <row r="5539">
      <c r="A5539" s="3">
        <f>IFERROR(__xludf.DUMMYFUNCTION("""COMPUTED_VALUE"""),37229.666666666664)</f>
        <v>37229.66667</v>
      </c>
      <c r="B5539" s="2">
        <f>IFERROR(__xludf.DUMMYFUNCTION("""COMPUTED_VALUE"""),109.18)</f>
        <v>109.18</v>
      </c>
      <c r="C5539" s="2">
        <f>IFERROR(__xludf.DUMMYFUNCTION("""COMPUTED_VALUE"""),111.49)</f>
        <v>111.49</v>
      </c>
      <c r="D5539" s="2">
        <f>IFERROR(__xludf.DUMMYFUNCTION("""COMPUTED_VALUE"""),108.3)</f>
        <v>108.3</v>
      </c>
      <c r="E5539" s="2">
        <f>IFERROR(__xludf.DUMMYFUNCTION("""COMPUTED_VALUE"""),111.41)</f>
        <v>111.41</v>
      </c>
      <c r="F5539" s="2">
        <f>IFERROR(__xludf.DUMMYFUNCTION("""COMPUTED_VALUE"""),6585900.0)</f>
        <v>6585900</v>
      </c>
    </row>
    <row r="5540">
      <c r="A5540" s="3">
        <f>IFERROR(__xludf.DUMMYFUNCTION("""COMPUTED_VALUE"""),37230.666666666664)</f>
        <v>37230.66667</v>
      </c>
      <c r="B5540" s="2">
        <f>IFERROR(__xludf.DUMMYFUNCTION("""COMPUTED_VALUE"""),111.61)</f>
        <v>111.61</v>
      </c>
      <c r="C5540" s="2">
        <f>IFERROR(__xludf.DUMMYFUNCTION("""COMPUTED_VALUE"""),116.51)</f>
        <v>116.51</v>
      </c>
      <c r="D5540" s="2">
        <f>IFERROR(__xludf.DUMMYFUNCTION("""COMPUTED_VALUE"""),111.42)</f>
        <v>111.42</v>
      </c>
      <c r="E5540" s="2">
        <f>IFERROR(__xludf.DUMMYFUNCTION("""COMPUTED_VALUE"""),115.96)</f>
        <v>115.96</v>
      </c>
      <c r="F5540" s="2">
        <f>IFERROR(__xludf.DUMMYFUNCTION("""COMPUTED_VALUE"""),1.46464E7)</f>
        <v>14646400</v>
      </c>
    </row>
    <row r="5541">
      <c r="A5541" s="3">
        <f>IFERROR(__xludf.DUMMYFUNCTION("""COMPUTED_VALUE"""),37231.666666666664)</f>
        <v>37231.66667</v>
      </c>
      <c r="B5541" s="2">
        <f>IFERROR(__xludf.DUMMYFUNCTION("""COMPUTED_VALUE"""),115.1)</f>
        <v>115.1</v>
      </c>
      <c r="C5541" s="2">
        <f>IFERROR(__xludf.DUMMYFUNCTION("""COMPUTED_VALUE"""),116.24)</f>
        <v>116.24</v>
      </c>
      <c r="D5541" s="2">
        <f>IFERROR(__xludf.DUMMYFUNCTION("""COMPUTED_VALUE"""),114.43)</f>
        <v>114.43</v>
      </c>
      <c r="E5541" s="2">
        <f>IFERROR(__xludf.DUMMYFUNCTION("""COMPUTED_VALUE"""),114.75)</f>
        <v>114.75</v>
      </c>
      <c r="F5541" s="2">
        <f>IFERROR(__xludf.DUMMYFUNCTION("""COMPUTED_VALUE"""),1.12257E7)</f>
        <v>11225700</v>
      </c>
    </row>
    <row r="5542">
      <c r="A5542" s="3">
        <f>IFERROR(__xludf.DUMMYFUNCTION("""COMPUTED_VALUE"""),37232.666666666664)</f>
        <v>37232.66667</v>
      </c>
      <c r="B5542" s="2">
        <f>IFERROR(__xludf.DUMMYFUNCTION("""COMPUTED_VALUE"""),114.14)</f>
        <v>114.14</v>
      </c>
      <c r="C5542" s="2">
        <f>IFERROR(__xludf.DUMMYFUNCTION("""COMPUTED_VALUE"""),115.57)</f>
        <v>115.57</v>
      </c>
      <c r="D5542" s="2">
        <f>IFERROR(__xludf.DUMMYFUNCTION("""COMPUTED_VALUE"""),113.43)</f>
        <v>113.43</v>
      </c>
      <c r="E5542" s="2">
        <f>IFERROR(__xludf.DUMMYFUNCTION("""COMPUTED_VALUE"""),115.0)</f>
        <v>115</v>
      </c>
      <c r="F5542" s="2">
        <f>IFERROR(__xludf.DUMMYFUNCTION("""COMPUTED_VALUE"""),6889300.0)</f>
        <v>6889300</v>
      </c>
    </row>
    <row r="5543">
      <c r="A5543" s="3">
        <f>IFERROR(__xludf.DUMMYFUNCTION("""COMPUTED_VALUE"""),37235.666666666664)</f>
        <v>37235.66667</v>
      </c>
      <c r="B5543" s="2">
        <f>IFERROR(__xludf.DUMMYFUNCTION("""COMPUTED_VALUE"""),114.62)</f>
        <v>114.62</v>
      </c>
      <c r="C5543" s="2">
        <f>IFERROR(__xludf.DUMMYFUNCTION("""COMPUTED_VALUE"""),115.57)</f>
        <v>115.57</v>
      </c>
      <c r="D5543" s="2">
        <f>IFERROR(__xludf.DUMMYFUNCTION("""COMPUTED_VALUE"""),114.06)</f>
        <v>114.06</v>
      </c>
      <c r="E5543" s="2">
        <f>IFERROR(__xludf.DUMMYFUNCTION("""COMPUTED_VALUE"""),114.12)</f>
        <v>114.12</v>
      </c>
      <c r="F5543" s="2">
        <f>IFERROR(__xludf.DUMMYFUNCTION("""COMPUTED_VALUE"""),5552000.0)</f>
        <v>5552000</v>
      </c>
    </row>
    <row r="5544">
      <c r="A5544" s="3">
        <f>IFERROR(__xludf.DUMMYFUNCTION("""COMPUTED_VALUE"""),37236.666666666664)</f>
        <v>37236.66667</v>
      </c>
      <c r="B5544" s="2">
        <f>IFERROR(__xludf.DUMMYFUNCTION("""COMPUTED_VALUE"""),114.62)</f>
        <v>114.62</v>
      </c>
      <c r="C5544" s="2">
        <f>IFERROR(__xludf.DUMMYFUNCTION("""COMPUTED_VALUE"""),117.24)</f>
        <v>117.24</v>
      </c>
      <c r="D5544" s="2">
        <f>IFERROR(__xludf.DUMMYFUNCTION("""COMPUTED_VALUE"""),114.43)</f>
        <v>114.43</v>
      </c>
      <c r="E5544" s="2">
        <f>IFERROR(__xludf.DUMMYFUNCTION("""COMPUTED_VALUE"""),116.05)</f>
        <v>116.05</v>
      </c>
      <c r="F5544" s="2">
        <f>IFERROR(__xludf.DUMMYFUNCTION("""COMPUTED_VALUE"""),7744900.0)</f>
        <v>7744900</v>
      </c>
    </row>
    <row r="5545">
      <c r="A5545" s="3">
        <f>IFERROR(__xludf.DUMMYFUNCTION("""COMPUTED_VALUE"""),37237.666666666664)</f>
        <v>37237.66667</v>
      </c>
      <c r="B5545" s="2">
        <f>IFERROR(__xludf.DUMMYFUNCTION("""COMPUTED_VALUE"""),115.69)</f>
        <v>115.69</v>
      </c>
      <c r="C5545" s="2">
        <f>IFERROR(__xludf.DUMMYFUNCTION("""COMPUTED_VALUE"""),117.69)</f>
        <v>117.69</v>
      </c>
      <c r="D5545" s="2">
        <f>IFERROR(__xludf.DUMMYFUNCTION("""COMPUTED_VALUE"""),113.66)</f>
        <v>113.66</v>
      </c>
      <c r="E5545" s="2">
        <f>IFERROR(__xludf.DUMMYFUNCTION("""COMPUTED_VALUE"""),117.49)</f>
        <v>117.49</v>
      </c>
      <c r="F5545" s="2">
        <f>IFERROR(__xludf.DUMMYFUNCTION("""COMPUTED_VALUE"""),7834800.0)</f>
        <v>7834800</v>
      </c>
    </row>
    <row r="5546">
      <c r="A5546" s="3">
        <f>IFERROR(__xludf.DUMMYFUNCTION("""COMPUTED_VALUE"""),37238.666666666664)</f>
        <v>37238.66667</v>
      </c>
      <c r="B5546" s="2">
        <f>IFERROR(__xludf.DUMMYFUNCTION("""COMPUTED_VALUE"""),116.1)</f>
        <v>116.1</v>
      </c>
      <c r="C5546" s="2">
        <f>IFERROR(__xludf.DUMMYFUNCTION("""COMPUTED_VALUE"""),116.82)</f>
        <v>116.82</v>
      </c>
      <c r="D5546" s="2">
        <f>IFERROR(__xludf.DUMMYFUNCTION("""COMPUTED_VALUE"""),114.73)</f>
        <v>114.73</v>
      </c>
      <c r="E5546" s="2">
        <f>IFERROR(__xludf.DUMMYFUNCTION("""COMPUTED_VALUE"""),114.86)</f>
        <v>114.86</v>
      </c>
      <c r="F5546" s="2">
        <f>IFERROR(__xludf.DUMMYFUNCTION("""COMPUTED_VALUE"""),7891300.0)</f>
        <v>7891300</v>
      </c>
    </row>
    <row r="5547">
      <c r="A5547" s="3">
        <f>IFERROR(__xludf.DUMMYFUNCTION("""COMPUTED_VALUE"""),37239.666666666664)</f>
        <v>37239.66667</v>
      </c>
      <c r="B5547" s="2">
        <f>IFERROR(__xludf.DUMMYFUNCTION("""COMPUTED_VALUE"""),115.38)</f>
        <v>115.38</v>
      </c>
      <c r="C5547" s="2">
        <f>IFERROR(__xludf.DUMMYFUNCTION("""COMPUTED_VALUE"""),116.03)</f>
        <v>116.03</v>
      </c>
      <c r="D5547" s="2">
        <f>IFERROR(__xludf.DUMMYFUNCTION("""COMPUTED_VALUE"""),114.06)</f>
        <v>114.06</v>
      </c>
      <c r="E5547" s="2">
        <f>IFERROR(__xludf.DUMMYFUNCTION("""COMPUTED_VALUE"""),115.67)</f>
        <v>115.67</v>
      </c>
      <c r="F5547" s="2">
        <f>IFERROR(__xludf.DUMMYFUNCTION("""COMPUTED_VALUE"""),6995600.0)</f>
        <v>6995600</v>
      </c>
    </row>
    <row r="5548">
      <c r="A5548" s="3">
        <f>IFERROR(__xludf.DUMMYFUNCTION("""COMPUTED_VALUE"""),37242.666666666664)</f>
        <v>37242.66667</v>
      </c>
      <c r="B5548" s="2">
        <f>IFERROR(__xludf.DUMMYFUNCTION("""COMPUTED_VALUE"""),114.76)</f>
        <v>114.76</v>
      </c>
      <c r="C5548" s="2">
        <f>IFERROR(__xludf.DUMMYFUNCTION("""COMPUTED_VALUE"""),116.66)</f>
        <v>116.66</v>
      </c>
      <c r="D5548" s="2">
        <f>IFERROR(__xludf.DUMMYFUNCTION("""COMPUTED_VALUE"""),114.76)</f>
        <v>114.76</v>
      </c>
      <c r="E5548" s="2">
        <f>IFERROR(__xludf.DUMMYFUNCTION("""COMPUTED_VALUE"""),115.97)</f>
        <v>115.97</v>
      </c>
      <c r="F5548" s="2">
        <f>IFERROR(__xludf.DUMMYFUNCTION("""COMPUTED_VALUE"""),6170000.0)</f>
        <v>6170000</v>
      </c>
    </row>
    <row r="5549">
      <c r="A5549" s="3">
        <f>IFERROR(__xludf.DUMMYFUNCTION("""COMPUTED_VALUE"""),37243.666666666664)</f>
        <v>37243.66667</v>
      </c>
      <c r="B5549" s="2">
        <f>IFERROR(__xludf.DUMMYFUNCTION("""COMPUTED_VALUE"""),116.06)</f>
        <v>116.06</v>
      </c>
      <c r="C5549" s="2">
        <f>IFERROR(__xludf.DUMMYFUNCTION("""COMPUTED_VALUE"""),117.46)</f>
        <v>117.46</v>
      </c>
      <c r="D5549" s="2">
        <f>IFERROR(__xludf.DUMMYFUNCTION("""COMPUTED_VALUE"""),115.91)</f>
        <v>115.91</v>
      </c>
      <c r="E5549" s="2">
        <f>IFERROR(__xludf.DUMMYFUNCTION("""COMPUTED_VALUE"""),116.72)</f>
        <v>116.72</v>
      </c>
      <c r="F5549" s="2">
        <f>IFERROR(__xludf.DUMMYFUNCTION("""COMPUTED_VALUE"""),5591100.0)</f>
        <v>5591100</v>
      </c>
    </row>
    <row r="5550">
      <c r="A5550" s="3">
        <f>IFERROR(__xludf.DUMMYFUNCTION("""COMPUTED_VALUE"""),37244.666666666664)</f>
        <v>37244.66667</v>
      </c>
      <c r="B5550" s="2">
        <f>IFERROR(__xludf.DUMMYFUNCTION("""COMPUTED_VALUE"""),116.43)</f>
        <v>116.43</v>
      </c>
      <c r="C5550" s="2">
        <f>IFERROR(__xludf.DUMMYFUNCTION("""COMPUTED_VALUE"""),119.11)</f>
        <v>119.11</v>
      </c>
      <c r="D5550" s="2">
        <f>IFERROR(__xludf.DUMMYFUNCTION("""COMPUTED_VALUE"""),115.58)</f>
        <v>115.58</v>
      </c>
      <c r="E5550" s="2">
        <f>IFERROR(__xludf.DUMMYFUNCTION("""COMPUTED_VALUE"""),118.34)</f>
        <v>118.34</v>
      </c>
      <c r="F5550" s="2">
        <f>IFERROR(__xludf.DUMMYFUNCTION("""COMPUTED_VALUE"""),7698000.0)</f>
        <v>7698000</v>
      </c>
    </row>
    <row r="5551">
      <c r="A5551" s="3">
        <f>IFERROR(__xludf.DUMMYFUNCTION("""COMPUTED_VALUE"""),37245.666666666664)</f>
        <v>37245.66667</v>
      </c>
      <c r="B5551" s="2">
        <f>IFERROR(__xludf.DUMMYFUNCTION("""COMPUTED_VALUE"""),118.34)</f>
        <v>118.34</v>
      </c>
      <c r="C5551" s="2">
        <f>IFERROR(__xludf.DUMMYFUNCTION("""COMPUTED_VALUE"""),118.44)</f>
        <v>118.44</v>
      </c>
      <c r="D5551" s="2">
        <f>IFERROR(__xludf.DUMMYFUNCTION("""COMPUTED_VALUE"""),116.67)</f>
        <v>116.67</v>
      </c>
      <c r="E5551" s="2">
        <f>IFERROR(__xludf.DUMMYFUNCTION("""COMPUTED_VALUE"""),117.2)</f>
        <v>117.2</v>
      </c>
      <c r="F5551" s="2">
        <f>IFERROR(__xludf.DUMMYFUNCTION("""COMPUTED_VALUE"""),6344800.0)</f>
        <v>6344800</v>
      </c>
    </row>
    <row r="5552">
      <c r="A5552" s="3">
        <f>IFERROR(__xludf.DUMMYFUNCTION("""COMPUTED_VALUE"""),37246.666666666664)</f>
        <v>37246.66667</v>
      </c>
      <c r="B5552" s="2">
        <f>IFERROR(__xludf.DUMMYFUNCTION("""COMPUTED_VALUE"""),117.2)</f>
        <v>117.2</v>
      </c>
      <c r="C5552" s="2">
        <f>IFERROR(__xludf.DUMMYFUNCTION("""COMPUTED_VALUE"""),117.96)</f>
        <v>117.96</v>
      </c>
      <c r="D5552" s="2">
        <f>IFERROR(__xludf.DUMMYFUNCTION("""COMPUTED_VALUE"""),116.25)</f>
        <v>116.25</v>
      </c>
      <c r="E5552" s="2">
        <f>IFERROR(__xludf.DUMMYFUNCTION("""COMPUTED_VALUE"""),116.53)</f>
        <v>116.53</v>
      </c>
      <c r="F5552" s="2">
        <f>IFERROR(__xludf.DUMMYFUNCTION("""COMPUTED_VALUE"""),8659100.0)</f>
        <v>8659100</v>
      </c>
    </row>
    <row r="5553">
      <c r="A5553" s="3">
        <f>IFERROR(__xludf.DUMMYFUNCTION("""COMPUTED_VALUE"""),37249.666666666664)</f>
        <v>37249.66667</v>
      </c>
      <c r="B5553" s="2">
        <f>IFERROR(__xludf.DUMMYFUNCTION("""COMPUTED_VALUE"""),116.58)</f>
        <v>116.58</v>
      </c>
      <c r="C5553" s="2">
        <f>IFERROR(__xludf.DUMMYFUNCTION("""COMPUTED_VALUE"""),116.99)</f>
        <v>116.99</v>
      </c>
      <c r="D5553" s="2">
        <f>IFERROR(__xludf.DUMMYFUNCTION("""COMPUTED_VALUE"""),115.67)</f>
        <v>115.67</v>
      </c>
      <c r="E5553" s="2">
        <f>IFERROR(__xludf.DUMMYFUNCTION("""COMPUTED_VALUE"""),116.0)</f>
        <v>116</v>
      </c>
      <c r="F5553" s="2">
        <f>IFERROR(__xludf.DUMMYFUNCTION("""COMPUTED_VALUE"""),1654600.0)</f>
        <v>1654600</v>
      </c>
    </row>
    <row r="5554">
      <c r="A5554" s="3">
        <f>IFERROR(__xludf.DUMMYFUNCTION("""COMPUTED_VALUE"""),37251.666666666664)</f>
        <v>37251.66667</v>
      </c>
      <c r="B5554" s="2">
        <f>IFERROR(__xludf.DUMMYFUNCTION("""COMPUTED_VALUE"""),116.53)</f>
        <v>116.53</v>
      </c>
      <c r="C5554" s="2">
        <f>IFERROR(__xludf.DUMMYFUNCTION("""COMPUTED_VALUE"""),118.15)</f>
        <v>118.15</v>
      </c>
      <c r="D5554" s="2">
        <f>IFERROR(__xludf.DUMMYFUNCTION("""COMPUTED_VALUE"""),116.35)</f>
        <v>116.35</v>
      </c>
      <c r="E5554" s="2">
        <f>IFERROR(__xludf.DUMMYFUNCTION("""COMPUTED_VALUE"""),116.91)</f>
        <v>116.91</v>
      </c>
      <c r="F5554" s="2">
        <f>IFERROR(__xludf.DUMMYFUNCTION("""COMPUTED_VALUE"""),3857800.0)</f>
        <v>3857800</v>
      </c>
    </row>
    <row r="5555">
      <c r="A5555" s="3">
        <f>IFERROR(__xludf.DUMMYFUNCTION("""COMPUTED_VALUE"""),37252.666666666664)</f>
        <v>37252.66667</v>
      </c>
      <c r="B5555" s="2">
        <f>IFERROR(__xludf.DUMMYFUNCTION("""COMPUTED_VALUE"""),117.25)</f>
        <v>117.25</v>
      </c>
      <c r="C5555" s="2">
        <f>IFERROR(__xludf.DUMMYFUNCTION("""COMPUTED_VALUE"""),118.37)</f>
        <v>118.37</v>
      </c>
      <c r="D5555" s="2">
        <f>IFERROR(__xludf.DUMMYFUNCTION("""COMPUTED_VALUE"""),117.14)</f>
        <v>117.14</v>
      </c>
      <c r="E5555" s="2">
        <f>IFERROR(__xludf.DUMMYFUNCTION("""COMPUTED_VALUE"""),117.96)</f>
        <v>117.96</v>
      </c>
      <c r="F5555" s="2">
        <f>IFERROR(__xludf.DUMMYFUNCTION("""COMPUTED_VALUE"""),3826400.0)</f>
        <v>3826400</v>
      </c>
    </row>
    <row r="5556">
      <c r="A5556" s="3">
        <f>IFERROR(__xludf.DUMMYFUNCTION("""COMPUTED_VALUE"""),37253.666666666664)</f>
        <v>37253.66667</v>
      </c>
      <c r="B5556" s="2">
        <f>IFERROR(__xludf.DUMMYFUNCTION("""COMPUTED_VALUE"""),117.96)</f>
        <v>117.96</v>
      </c>
      <c r="C5556" s="2">
        <f>IFERROR(__xludf.DUMMYFUNCTION("""COMPUTED_VALUE"""),118.33)</f>
        <v>118.33</v>
      </c>
      <c r="D5556" s="2">
        <f>IFERROR(__xludf.DUMMYFUNCTION("""COMPUTED_VALUE"""),116.86)</f>
        <v>116.86</v>
      </c>
      <c r="E5556" s="2">
        <f>IFERROR(__xludf.DUMMYFUNCTION("""COMPUTED_VALUE"""),117.39)</f>
        <v>117.39</v>
      </c>
      <c r="F5556" s="2">
        <f>IFERROR(__xludf.DUMMYFUNCTION("""COMPUTED_VALUE"""),4213900.0)</f>
        <v>4213900</v>
      </c>
    </row>
    <row r="5557">
      <c r="A5557" s="3">
        <f>IFERROR(__xludf.DUMMYFUNCTION("""COMPUTED_VALUE"""),37256.666666666664)</f>
        <v>37256.66667</v>
      </c>
      <c r="B5557" s="2">
        <f>IFERROR(__xludf.DUMMYFUNCTION("""COMPUTED_VALUE"""),117.25)</f>
        <v>117.25</v>
      </c>
      <c r="C5557" s="2">
        <f>IFERROR(__xludf.DUMMYFUNCTION("""COMPUTED_VALUE"""),117.71)</f>
        <v>117.71</v>
      </c>
      <c r="D5557" s="2">
        <f>IFERROR(__xludf.DUMMYFUNCTION("""COMPUTED_VALUE"""),115.53)</f>
        <v>115.53</v>
      </c>
      <c r="E5557" s="2">
        <f>IFERROR(__xludf.DUMMYFUNCTION("""COMPUTED_VALUE"""),115.54)</f>
        <v>115.54</v>
      </c>
      <c r="F5557" s="2">
        <f>IFERROR(__xludf.DUMMYFUNCTION("""COMPUTED_VALUE"""),3520500.0)</f>
        <v>3520500</v>
      </c>
    </row>
    <row r="5558">
      <c r="A5558" s="3">
        <f>IFERROR(__xludf.DUMMYFUNCTION("""COMPUTED_VALUE"""),37258.666666666664)</f>
        <v>37258.66667</v>
      </c>
      <c r="B5558" s="2">
        <f>IFERROR(__xludf.DUMMYFUNCTION("""COMPUTED_VALUE"""),115.19)</f>
        <v>115.19</v>
      </c>
      <c r="C5558" s="2">
        <f>IFERROR(__xludf.DUMMYFUNCTION("""COMPUTED_VALUE"""),116.05)</f>
        <v>116.05</v>
      </c>
      <c r="D5558" s="2">
        <f>IFERROR(__xludf.DUMMYFUNCTION("""COMPUTED_VALUE"""),114.43)</f>
        <v>114.43</v>
      </c>
      <c r="E5558" s="2">
        <f>IFERROR(__xludf.DUMMYFUNCTION("""COMPUTED_VALUE"""),116.05)</f>
        <v>116.05</v>
      </c>
      <c r="F5558" s="2">
        <f>IFERROR(__xludf.DUMMYFUNCTION("""COMPUTED_VALUE"""),6862800.0)</f>
        <v>6862800</v>
      </c>
    </row>
    <row r="5559">
      <c r="A5559" s="3">
        <f>IFERROR(__xludf.DUMMYFUNCTION("""COMPUTED_VALUE"""),37259.666666666664)</f>
        <v>37259.66667</v>
      </c>
      <c r="B5559" s="2">
        <f>IFERROR(__xludf.DUMMYFUNCTION("""COMPUTED_VALUE"""),116.05)</f>
        <v>116.05</v>
      </c>
      <c r="C5559" s="2">
        <f>IFERROR(__xludf.DUMMYFUNCTION("""COMPUTED_VALUE"""),118.65)</f>
        <v>118.65</v>
      </c>
      <c r="D5559" s="2">
        <f>IFERROR(__xludf.DUMMYFUNCTION("""COMPUTED_VALUE"""),114.86)</f>
        <v>114.86</v>
      </c>
      <c r="E5559" s="2">
        <f>IFERROR(__xludf.DUMMYFUNCTION("""COMPUTED_VALUE"""),117.27)</f>
        <v>117.27</v>
      </c>
      <c r="F5559" s="2">
        <f>IFERROR(__xludf.DUMMYFUNCTION("""COMPUTED_VALUE"""),8578800.0)</f>
        <v>8578800</v>
      </c>
    </row>
    <row r="5560">
      <c r="A5560" s="3">
        <f>IFERROR(__xludf.DUMMYFUNCTION("""COMPUTED_VALUE"""),37260.666666666664)</f>
        <v>37260.66667</v>
      </c>
      <c r="B5560" s="2">
        <f>IFERROR(__xludf.DUMMYFUNCTION("""COMPUTED_VALUE"""),118.49)</f>
        <v>118.49</v>
      </c>
      <c r="C5560" s="2">
        <f>IFERROR(__xludf.DUMMYFUNCTION("""COMPUTED_VALUE"""),119.97)</f>
        <v>119.97</v>
      </c>
      <c r="D5560" s="2">
        <f>IFERROR(__xludf.DUMMYFUNCTION("""COMPUTED_VALUE"""),118.42)</f>
        <v>118.42</v>
      </c>
      <c r="E5560" s="2">
        <f>IFERROR(__xludf.DUMMYFUNCTION("""COMPUTED_VALUE"""),119.97)</f>
        <v>119.97</v>
      </c>
      <c r="F5560" s="2">
        <f>IFERROR(__xludf.DUMMYFUNCTION("""COMPUTED_VALUE"""),8405200.0)</f>
        <v>8405200</v>
      </c>
    </row>
    <row r="5561">
      <c r="A5561" s="3">
        <f>IFERROR(__xludf.DUMMYFUNCTION("""COMPUTED_VALUE"""),37263.666666666664)</f>
        <v>37263.66667</v>
      </c>
      <c r="B5561" s="2">
        <f>IFERROR(__xludf.DUMMYFUNCTION("""COMPUTED_VALUE"""),119.4)</f>
        <v>119.4</v>
      </c>
      <c r="C5561" s="2">
        <f>IFERROR(__xludf.DUMMYFUNCTION("""COMPUTED_VALUE"""),120.53)</f>
        <v>120.53</v>
      </c>
      <c r="D5561" s="2">
        <f>IFERROR(__xludf.DUMMYFUNCTION("""COMPUTED_VALUE"""),118.15)</f>
        <v>118.15</v>
      </c>
      <c r="E5561" s="2">
        <f>IFERROR(__xludf.DUMMYFUNCTION("""COMPUTED_VALUE"""),118.49)</f>
        <v>118.49</v>
      </c>
      <c r="F5561" s="2">
        <f>IFERROR(__xludf.DUMMYFUNCTION("""COMPUTED_VALUE"""),5939600.0)</f>
        <v>5939600</v>
      </c>
    </row>
    <row r="5562">
      <c r="A5562" s="3">
        <f>IFERROR(__xludf.DUMMYFUNCTION("""COMPUTED_VALUE"""),37264.666666666664)</f>
        <v>37264.66667</v>
      </c>
      <c r="B5562" s="2">
        <f>IFERROR(__xludf.DUMMYFUNCTION("""COMPUTED_VALUE"""),118.68)</f>
        <v>118.68</v>
      </c>
      <c r="C5562" s="2">
        <f>IFERROR(__xludf.DUMMYFUNCTION("""COMPUTED_VALUE"""),119.59)</f>
        <v>119.59</v>
      </c>
      <c r="D5562" s="2">
        <f>IFERROR(__xludf.DUMMYFUNCTION("""COMPUTED_VALUE"""),118.18)</f>
        <v>118.18</v>
      </c>
      <c r="E5562" s="2">
        <f>IFERROR(__xludf.DUMMYFUNCTION("""COMPUTED_VALUE"""),119.11)</f>
        <v>119.11</v>
      </c>
      <c r="F5562" s="2">
        <f>IFERROR(__xludf.DUMMYFUNCTION("""COMPUTED_VALUE"""),5311800.0)</f>
        <v>5311800</v>
      </c>
    </row>
    <row r="5563">
      <c r="A5563" s="3">
        <f>IFERROR(__xludf.DUMMYFUNCTION("""COMPUTED_VALUE"""),37265.666666666664)</f>
        <v>37265.66667</v>
      </c>
      <c r="B5563" s="2">
        <f>IFERROR(__xludf.DUMMYFUNCTION("""COMPUTED_VALUE"""),119.11)</f>
        <v>119.11</v>
      </c>
      <c r="C5563" s="2">
        <f>IFERROR(__xludf.DUMMYFUNCTION("""COMPUTED_VALUE"""),120.72)</f>
        <v>120.72</v>
      </c>
      <c r="D5563" s="2">
        <f>IFERROR(__xludf.DUMMYFUNCTION("""COMPUTED_VALUE"""),118.58)</f>
        <v>118.58</v>
      </c>
      <c r="E5563" s="2">
        <f>IFERROR(__xludf.DUMMYFUNCTION("""COMPUTED_VALUE"""),118.91)</f>
        <v>118.91</v>
      </c>
      <c r="F5563" s="2">
        <f>IFERROR(__xludf.DUMMYFUNCTION("""COMPUTED_VALUE"""),6839900.0)</f>
        <v>6839900</v>
      </c>
    </row>
    <row r="5564">
      <c r="A5564" s="3">
        <f>IFERROR(__xludf.DUMMYFUNCTION("""COMPUTED_VALUE"""),37266.666666666664)</f>
        <v>37266.66667</v>
      </c>
      <c r="B5564" s="2">
        <f>IFERROR(__xludf.DUMMYFUNCTION("""COMPUTED_VALUE"""),118.2)</f>
        <v>118.2</v>
      </c>
      <c r="C5564" s="2">
        <f>IFERROR(__xludf.DUMMYFUNCTION("""COMPUTED_VALUE"""),118.44)</f>
        <v>118.44</v>
      </c>
      <c r="D5564" s="2">
        <f>IFERROR(__xludf.DUMMYFUNCTION("""COMPUTED_VALUE"""),115.98)</f>
        <v>115.98</v>
      </c>
      <c r="E5564" s="2">
        <f>IFERROR(__xludf.DUMMYFUNCTION("""COMPUTED_VALUE"""),116.66)</f>
        <v>116.66</v>
      </c>
      <c r="F5564" s="2">
        <f>IFERROR(__xludf.DUMMYFUNCTION("""COMPUTED_VALUE"""),8926300.0)</f>
        <v>8926300</v>
      </c>
    </row>
    <row r="5565">
      <c r="A5565" s="3">
        <f>IFERROR(__xludf.DUMMYFUNCTION("""COMPUTED_VALUE"""),37267.666666666664)</f>
        <v>37267.66667</v>
      </c>
      <c r="B5565" s="2">
        <f>IFERROR(__xludf.DUMMYFUNCTION("""COMPUTED_VALUE"""),116.05)</f>
        <v>116.05</v>
      </c>
      <c r="C5565" s="2">
        <f>IFERROR(__xludf.DUMMYFUNCTION("""COMPUTED_VALUE"""),116.7)</f>
        <v>116.7</v>
      </c>
      <c r="D5565" s="2">
        <f>IFERROR(__xludf.DUMMYFUNCTION("""COMPUTED_VALUE"""),114.89)</f>
        <v>114.89</v>
      </c>
      <c r="E5565" s="2">
        <f>IFERROR(__xludf.DUMMYFUNCTION("""COMPUTED_VALUE"""),114.92)</f>
        <v>114.92</v>
      </c>
      <c r="F5565" s="2">
        <f>IFERROR(__xludf.DUMMYFUNCTION("""COMPUTED_VALUE"""),4798300.0)</f>
        <v>4798300</v>
      </c>
    </row>
    <row r="5566">
      <c r="A5566" s="3">
        <f>IFERROR(__xludf.DUMMYFUNCTION("""COMPUTED_VALUE"""),37270.666666666664)</f>
        <v>37270.66667</v>
      </c>
      <c r="B5566" s="2">
        <f>IFERROR(__xludf.DUMMYFUNCTION("""COMPUTED_VALUE"""),114.62)</f>
        <v>114.62</v>
      </c>
      <c r="C5566" s="2">
        <f>IFERROR(__xludf.DUMMYFUNCTION("""COMPUTED_VALUE"""),114.71)</f>
        <v>114.71</v>
      </c>
      <c r="D5566" s="2">
        <f>IFERROR(__xludf.DUMMYFUNCTION("""COMPUTED_VALUE"""),111.85)</f>
        <v>111.85</v>
      </c>
      <c r="E5566" s="2">
        <f>IFERROR(__xludf.DUMMYFUNCTION("""COMPUTED_VALUE"""),112.76)</f>
        <v>112.76</v>
      </c>
      <c r="F5566" s="2">
        <f>IFERROR(__xludf.DUMMYFUNCTION("""COMPUTED_VALUE"""),1.00268E7)</f>
        <v>10026800</v>
      </c>
    </row>
    <row r="5567">
      <c r="A5567" s="3">
        <f>IFERROR(__xludf.DUMMYFUNCTION("""COMPUTED_VALUE"""),37271.666666666664)</f>
        <v>37271.66667</v>
      </c>
      <c r="B5567" s="2">
        <f>IFERROR(__xludf.DUMMYFUNCTION("""COMPUTED_VALUE"""),112.76)</f>
        <v>112.76</v>
      </c>
      <c r="C5567" s="2">
        <f>IFERROR(__xludf.DUMMYFUNCTION("""COMPUTED_VALUE"""),114.33)</f>
        <v>114.33</v>
      </c>
      <c r="D5567" s="2">
        <f>IFERROR(__xludf.DUMMYFUNCTION("""COMPUTED_VALUE"""),112.44)</f>
        <v>112.44</v>
      </c>
      <c r="E5567" s="2">
        <f>IFERROR(__xludf.DUMMYFUNCTION("""COMPUTED_VALUE"""),113.52)</f>
        <v>113.52</v>
      </c>
      <c r="F5567" s="2">
        <f>IFERROR(__xludf.DUMMYFUNCTION("""COMPUTED_VALUE"""),5647900.0)</f>
        <v>5647900</v>
      </c>
    </row>
    <row r="5568">
      <c r="A5568" s="3">
        <f>IFERROR(__xludf.DUMMYFUNCTION("""COMPUTED_VALUE"""),37272.666666666664)</f>
        <v>37272.66667</v>
      </c>
      <c r="B5568" s="2">
        <f>IFERROR(__xludf.DUMMYFUNCTION("""COMPUTED_VALUE"""),112.71)</f>
        <v>112.71</v>
      </c>
      <c r="C5568" s="2">
        <f>IFERROR(__xludf.DUMMYFUNCTION("""COMPUTED_VALUE"""),113.43)</f>
        <v>113.43</v>
      </c>
      <c r="D5568" s="2">
        <f>IFERROR(__xludf.DUMMYFUNCTION("""COMPUTED_VALUE"""),111.99)</f>
        <v>111.99</v>
      </c>
      <c r="E5568" s="2">
        <f>IFERROR(__xludf.DUMMYFUNCTION("""COMPUTED_VALUE"""),112.59)</f>
        <v>112.59</v>
      </c>
      <c r="F5568" s="2">
        <f>IFERROR(__xludf.DUMMYFUNCTION("""COMPUTED_VALUE"""),5360200.0)</f>
        <v>5360200</v>
      </c>
    </row>
    <row r="5569">
      <c r="A5569" s="3">
        <f>IFERROR(__xludf.DUMMYFUNCTION("""COMPUTED_VALUE"""),37273.666666666664)</f>
        <v>37273.66667</v>
      </c>
      <c r="B5569" s="2">
        <f>IFERROR(__xludf.DUMMYFUNCTION("""COMPUTED_VALUE"""),114.48)</f>
        <v>114.48</v>
      </c>
      <c r="C5569" s="2">
        <f>IFERROR(__xludf.DUMMYFUNCTION("""COMPUTED_VALUE"""),115.15)</f>
        <v>115.15</v>
      </c>
      <c r="D5569" s="2">
        <f>IFERROR(__xludf.DUMMYFUNCTION("""COMPUTED_VALUE"""),112.0)</f>
        <v>112</v>
      </c>
      <c r="E5569" s="2">
        <f>IFERROR(__xludf.DUMMYFUNCTION("""COMPUTED_VALUE"""),114.52)</f>
        <v>114.52</v>
      </c>
      <c r="F5569" s="2">
        <f>IFERROR(__xludf.DUMMYFUNCTION("""COMPUTED_VALUE"""),9202000.0)</f>
        <v>9202000</v>
      </c>
    </row>
    <row r="5570">
      <c r="A5570" s="3">
        <f>IFERROR(__xludf.DUMMYFUNCTION("""COMPUTED_VALUE"""),37274.666666666664)</f>
        <v>37274.66667</v>
      </c>
      <c r="B5570" s="2">
        <f>IFERROR(__xludf.DUMMYFUNCTION("""COMPUTED_VALUE"""),109.75)</f>
        <v>109.75</v>
      </c>
      <c r="C5570" s="2">
        <f>IFERROR(__xludf.DUMMYFUNCTION("""COMPUTED_VALUE"""),109.75)</f>
        <v>109.75</v>
      </c>
      <c r="D5570" s="2">
        <f>IFERROR(__xludf.DUMMYFUNCTION("""COMPUTED_VALUE"""),107.75)</f>
        <v>107.75</v>
      </c>
      <c r="E5570" s="2">
        <f>IFERROR(__xludf.DUMMYFUNCTION("""COMPUTED_VALUE"""),109.13)</f>
        <v>109.13</v>
      </c>
      <c r="F5570" s="2">
        <f>IFERROR(__xludf.DUMMYFUNCTION("""COMPUTED_VALUE"""),1.83259E7)</f>
        <v>18325900</v>
      </c>
    </row>
    <row r="5571">
      <c r="A5571" s="3">
        <f>IFERROR(__xludf.DUMMYFUNCTION("""COMPUTED_VALUE"""),37278.666666666664)</f>
        <v>37278.66667</v>
      </c>
      <c r="B5571" s="2">
        <f>IFERROR(__xludf.DUMMYFUNCTION("""COMPUTED_VALUE"""),109.13)</f>
        <v>109.13</v>
      </c>
      <c r="C5571" s="2">
        <f>IFERROR(__xludf.DUMMYFUNCTION("""COMPUTED_VALUE"""),109.14)</f>
        <v>109.14</v>
      </c>
      <c r="D5571" s="2">
        <f>IFERROR(__xludf.DUMMYFUNCTION("""COMPUTED_VALUE"""),105.38)</f>
        <v>105.38</v>
      </c>
      <c r="E5571" s="2">
        <f>IFERROR(__xludf.DUMMYFUNCTION("""COMPUTED_VALUE"""),105.55)</f>
        <v>105.55</v>
      </c>
      <c r="F5571" s="2">
        <f>IFERROR(__xludf.DUMMYFUNCTION("""COMPUTED_VALUE"""),1.01286E7)</f>
        <v>10128600</v>
      </c>
    </row>
    <row r="5572">
      <c r="A5572" s="3">
        <f>IFERROR(__xludf.DUMMYFUNCTION("""COMPUTED_VALUE"""),37279.666666666664)</f>
        <v>37279.66667</v>
      </c>
      <c r="B5572" s="2">
        <f>IFERROR(__xludf.DUMMYFUNCTION("""COMPUTED_VALUE"""),105.83)</f>
        <v>105.83</v>
      </c>
      <c r="C5572" s="2">
        <f>IFERROR(__xludf.DUMMYFUNCTION("""COMPUTED_VALUE"""),106.26)</f>
        <v>106.26</v>
      </c>
      <c r="D5572" s="2">
        <f>IFERROR(__xludf.DUMMYFUNCTION("""COMPUTED_VALUE"""),102.2)</f>
        <v>102.2</v>
      </c>
      <c r="E5572" s="2">
        <f>IFERROR(__xludf.DUMMYFUNCTION("""COMPUTED_VALUE"""),103.06)</f>
        <v>103.06</v>
      </c>
      <c r="F5572" s="2">
        <f>IFERROR(__xludf.DUMMYFUNCTION("""COMPUTED_VALUE"""),1.25567E7)</f>
        <v>12556700</v>
      </c>
    </row>
    <row r="5573">
      <c r="A5573" s="3">
        <f>IFERROR(__xludf.DUMMYFUNCTION("""COMPUTED_VALUE"""),37280.666666666664)</f>
        <v>37280.66667</v>
      </c>
      <c r="B5573" s="2">
        <f>IFERROR(__xludf.DUMMYFUNCTION("""COMPUTED_VALUE"""),103.92)</f>
        <v>103.92</v>
      </c>
      <c r="C5573" s="2">
        <f>IFERROR(__xludf.DUMMYFUNCTION("""COMPUTED_VALUE"""),104.81)</f>
        <v>104.81</v>
      </c>
      <c r="D5573" s="2">
        <f>IFERROR(__xludf.DUMMYFUNCTION("""COMPUTED_VALUE"""),102.27)</f>
        <v>102.27</v>
      </c>
      <c r="E5573" s="2">
        <f>IFERROR(__xludf.DUMMYFUNCTION("""COMPUTED_VALUE"""),103.85)</f>
        <v>103.85</v>
      </c>
      <c r="F5573" s="2">
        <f>IFERROR(__xludf.DUMMYFUNCTION("""COMPUTED_VALUE"""),8547100.0)</f>
        <v>8547100</v>
      </c>
    </row>
    <row r="5574">
      <c r="A5574" s="3">
        <f>IFERROR(__xludf.DUMMYFUNCTION("""COMPUTED_VALUE"""),37281.666666666664)</f>
        <v>37281.66667</v>
      </c>
      <c r="B5574" s="2">
        <f>IFERROR(__xludf.DUMMYFUNCTION("""COMPUTED_VALUE"""),103.64)</f>
        <v>103.64</v>
      </c>
      <c r="C5574" s="2">
        <f>IFERROR(__xludf.DUMMYFUNCTION("""COMPUTED_VALUE"""),105.73)</f>
        <v>105.73</v>
      </c>
      <c r="D5574" s="2">
        <f>IFERROR(__xludf.DUMMYFUNCTION("""COMPUTED_VALUE"""),103.25)</f>
        <v>103.25</v>
      </c>
      <c r="E5574" s="2">
        <f>IFERROR(__xludf.DUMMYFUNCTION("""COMPUTED_VALUE"""),104.38)</f>
        <v>104.38</v>
      </c>
      <c r="F5574" s="2">
        <f>IFERROR(__xludf.DUMMYFUNCTION("""COMPUTED_VALUE"""),6761300.0)</f>
        <v>6761300</v>
      </c>
    </row>
    <row r="5575">
      <c r="A5575" s="3">
        <f>IFERROR(__xludf.DUMMYFUNCTION("""COMPUTED_VALUE"""),37284.666666666664)</f>
        <v>37284.66667</v>
      </c>
      <c r="B5575" s="2">
        <f>IFERROR(__xludf.DUMMYFUNCTION("""COMPUTED_VALUE"""),104.59)</f>
        <v>104.59</v>
      </c>
      <c r="C5575" s="2">
        <f>IFERROR(__xludf.DUMMYFUNCTION("""COMPUTED_VALUE"""),105.27)</f>
        <v>105.27</v>
      </c>
      <c r="D5575" s="2">
        <f>IFERROR(__xludf.DUMMYFUNCTION("""COMPUTED_VALUE"""),102.26)</f>
        <v>102.26</v>
      </c>
      <c r="E5575" s="2">
        <f>IFERROR(__xludf.DUMMYFUNCTION("""COMPUTED_VALUE"""),103.3)</f>
        <v>103.3</v>
      </c>
      <c r="F5575" s="2">
        <f>IFERROR(__xludf.DUMMYFUNCTION("""COMPUTED_VALUE"""),7092900.0)</f>
        <v>7092900</v>
      </c>
    </row>
    <row r="5576">
      <c r="A5576" s="3">
        <f>IFERROR(__xludf.DUMMYFUNCTION("""COMPUTED_VALUE"""),37285.666666666664)</f>
        <v>37285.66667</v>
      </c>
      <c r="B5576" s="2">
        <f>IFERROR(__xludf.DUMMYFUNCTION("""COMPUTED_VALUE"""),103.3)</f>
        <v>103.3</v>
      </c>
      <c r="C5576" s="2">
        <f>IFERROR(__xludf.DUMMYFUNCTION("""COMPUTED_VALUE"""),103.69)</f>
        <v>103.69</v>
      </c>
      <c r="D5576" s="2">
        <f>IFERROR(__xludf.DUMMYFUNCTION("""COMPUTED_VALUE"""),97.82)</f>
        <v>97.82</v>
      </c>
      <c r="E5576" s="2">
        <f>IFERROR(__xludf.DUMMYFUNCTION("""COMPUTED_VALUE"""),98.38)</f>
        <v>98.38</v>
      </c>
      <c r="F5576" s="2">
        <f>IFERROR(__xludf.DUMMYFUNCTION("""COMPUTED_VALUE"""),1.44808E7)</f>
        <v>14480800</v>
      </c>
    </row>
    <row r="5577">
      <c r="A5577" s="3">
        <f>IFERROR(__xludf.DUMMYFUNCTION("""COMPUTED_VALUE"""),37286.666666666664)</f>
        <v>37286.66667</v>
      </c>
      <c r="B5577" s="2">
        <f>IFERROR(__xludf.DUMMYFUNCTION("""COMPUTED_VALUE"""),99.58)</f>
        <v>99.58</v>
      </c>
      <c r="C5577" s="2">
        <f>IFERROR(__xludf.DUMMYFUNCTION("""COMPUTED_VALUE"""),101.01)</f>
        <v>101.01</v>
      </c>
      <c r="D5577" s="2">
        <f>IFERROR(__xludf.DUMMYFUNCTION("""COMPUTED_VALUE"""),96.47)</f>
        <v>96.47</v>
      </c>
      <c r="E5577" s="2">
        <f>IFERROR(__xludf.DUMMYFUNCTION("""COMPUTED_VALUE"""),100.82)</f>
        <v>100.82</v>
      </c>
      <c r="F5577" s="2">
        <f>IFERROR(__xludf.DUMMYFUNCTION("""COMPUTED_VALUE"""),1.77095E7)</f>
        <v>17709500</v>
      </c>
    </row>
    <row r="5578">
      <c r="A5578" s="3">
        <f>IFERROR(__xludf.DUMMYFUNCTION("""COMPUTED_VALUE"""),37287.666666666664)</f>
        <v>37287.66667</v>
      </c>
      <c r="B5578" s="2">
        <f>IFERROR(__xludf.DUMMYFUNCTION("""COMPUTED_VALUE"""),101.63)</f>
        <v>101.63</v>
      </c>
      <c r="C5578" s="2">
        <f>IFERROR(__xludf.DUMMYFUNCTION("""COMPUTED_VALUE"""),103.14)</f>
        <v>103.14</v>
      </c>
      <c r="D5578" s="2">
        <f>IFERROR(__xludf.DUMMYFUNCTION("""COMPUTED_VALUE"""),99.78)</f>
        <v>99.78</v>
      </c>
      <c r="E5578" s="2">
        <f>IFERROR(__xludf.DUMMYFUNCTION("""COMPUTED_VALUE"""),102.09)</f>
        <v>102.09</v>
      </c>
      <c r="F5578" s="2">
        <f>IFERROR(__xludf.DUMMYFUNCTION("""COMPUTED_VALUE"""),9848300.0)</f>
        <v>9848300</v>
      </c>
    </row>
    <row r="5579">
      <c r="A5579" s="3">
        <f>IFERROR(__xludf.DUMMYFUNCTION("""COMPUTED_VALUE"""),37288.666666666664)</f>
        <v>37288.66667</v>
      </c>
      <c r="B5579" s="2">
        <f>IFERROR(__xludf.DUMMYFUNCTION("""COMPUTED_VALUE"""),102.81)</f>
        <v>102.81</v>
      </c>
      <c r="C5579" s="2">
        <f>IFERROR(__xludf.DUMMYFUNCTION("""COMPUTED_VALUE"""),104.4)</f>
        <v>104.4</v>
      </c>
      <c r="D5579" s="2">
        <f>IFERROR(__xludf.DUMMYFUNCTION("""COMPUTED_VALUE"""),101.86)</f>
        <v>101.86</v>
      </c>
      <c r="E5579" s="2">
        <f>IFERROR(__xludf.DUMMYFUNCTION("""COMPUTED_VALUE"""),102.89)</f>
        <v>102.89</v>
      </c>
      <c r="F5579" s="2">
        <f>IFERROR(__xludf.DUMMYFUNCTION("""COMPUTED_VALUE"""),6798400.0)</f>
        <v>6798400</v>
      </c>
    </row>
    <row r="5580">
      <c r="A5580" s="3">
        <f>IFERROR(__xludf.DUMMYFUNCTION("""COMPUTED_VALUE"""),37291.666666666664)</f>
        <v>37291.66667</v>
      </c>
      <c r="B5580" s="2">
        <f>IFERROR(__xludf.DUMMYFUNCTION("""COMPUTED_VALUE"""),103.16)</f>
        <v>103.16</v>
      </c>
      <c r="C5580" s="2">
        <f>IFERROR(__xludf.DUMMYFUNCTION("""COMPUTED_VALUE"""),103.16)</f>
        <v>103.16</v>
      </c>
      <c r="D5580" s="2">
        <f>IFERROR(__xludf.DUMMYFUNCTION("""COMPUTED_VALUE"""),101.24)</f>
        <v>101.24</v>
      </c>
      <c r="E5580" s="2">
        <f>IFERROR(__xludf.DUMMYFUNCTION("""COMPUTED_VALUE"""),102.01)</f>
        <v>102.01</v>
      </c>
      <c r="F5580" s="2">
        <f>IFERROR(__xludf.DUMMYFUNCTION("""COMPUTED_VALUE"""),6524100.0)</f>
        <v>6524100</v>
      </c>
    </row>
    <row r="5581">
      <c r="A5581" s="3">
        <f>IFERROR(__xludf.DUMMYFUNCTION("""COMPUTED_VALUE"""),37292.666666666664)</f>
        <v>37292.66667</v>
      </c>
      <c r="B5581" s="2">
        <f>IFERROR(__xludf.DUMMYFUNCTION("""COMPUTED_VALUE"""),101.49)</f>
        <v>101.49</v>
      </c>
      <c r="C5581" s="2">
        <f>IFERROR(__xludf.DUMMYFUNCTION("""COMPUTED_VALUE"""),103.64)</f>
        <v>103.64</v>
      </c>
      <c r="D5581" s="2">
        <f>IFERROR(__xludf.DUMMYFUNCTION("""COMPUTED_VALUE"""),101.25)</f>
        <v>101.25</v>
      </c>
      <c r="E5581" s="2">
        <f>IFERROR(__xludf.DUMMYFUNCTION("""COMPUTED_VALUE"""),101.53)</f>
        <v>101.53</v>
      </c>
      <c r="F5581" s="2">
        <f>IFERROR(__xludf.DUMMYFUNCTION("""COMPUTED_VALUE"""),6711700.0)</f>
        <v>6711700</v>
      </c>
    </row>
    <row r="5582">
      <c r="A5582" s="3">
        <f>IFERROR(__xludf.DUMMYFUNCTION("""COMPUTED_VALUE"""),37293.666666666664)</f>
        <v>37293.66667</v>
      </c>
      <c r="B5582" s="2">
        <f>IFERROR(__xludf.DUMMYFUNCTION("""COMPUTED_VALUE"""),101.92)</f>
        <v>101.92</v>
      </c>
      <c r="C5582" s="2">
        <f>IFERROR(__xludf.DUMMYFUNCTION("""COMPUTED_VALUE"""),102.99)</f>
        <v>102.99</v>
      </c>
      <c r="D5582" s="2">
        <f>IFERROR(__xludf.DUMMYFUNCTION("""COMPUTED_VALUE"""),100.61)</f>
        <v>100.61</v>
      </c>
      <c r="E5582" s="2">
        <f>IFERROR(__xludf.DUMMYFUNCTION("""COMPUTED_VALUE"""),101.85)</f>
        <v>101.85</v>
      </c>
      <c r="F5582" s="2">
        <f>IFERROR(__xludf.DUMMYFUNCTION("""COMPUTED_VALUE"""),6681900.0)</f>
        <v>6681900</v>
      </c>
    </row>
    <row r="5583">
      <c r="A5583" s="3">
        <f>IFERROR(__xludf.DUMMYFUNCTION("""COMPUTED_VALUE"""),37294.666666666664)</f>
        <v>37294.66667</v>
      </c>
      <c r="B5583" s="2">
        <f>IFERROR(__xludf.DUMMYFUNCTION("""COMPUTED_VALUE"""),101.86)</f>
        <v>101.86</v>
      </c>
      <c r="C5583" s="2">
        <f>IFERROR(__xludf.DUMMYFUNCTION("""COMPUTED_VALUE"""),102.2)</f>
        <v>102.2</v>
      </c>
      <c r="D5583" s="2">
        <f>IFERROR(__xludf.DUMMYFUNCTION("""COMPUTED_VALUE"""),99.2)</f>
        <v>99.2</v>
      </c>
      <c r="E5583" s="2">
        <f>IFERROR(__xludf.DUMMYFUNCTION("""COMPUTED_VALUE"""),99.25)</f>
        <v>99.25</v>
      </c>
      <c r="F5583" s="2">
        <f>IFERROR(__xludf.DUMMYFUNCTION("""COMPUTED_VALUE"""),7254300.0)</f>
        <v>7254300</v>
      </c>
    </row>
    <row r="5584">
      <c r="A5584" s="3">
        <f>IFERROR(__xludf.DUMMYFUNCTION("""COMPUTED_VALUE"""),37295.666666666664)</f>
        <v>37295.66667</v>
      </c>
      <c r="B5584" s="2">
        <f>IFERROR(__xludf.DUMMYFUNCTION("""COMPUTED_VALUE"""),98.38)</f>
        <v>98.38</v>
      </c>
      <c r="C5584" s="2">
        <f>IFERROR(__xludf.DUMMYFUNCTION("""COMPUTED_VALUE"""),100.98)</f>
        <v>100.98</v>
      </c>
      <c r="D5584" s="2">
        <f>IFERROR(__xludf.DUMMYFUNCTION("""COMPUTED_VALUE"""),98.01)</f>
        <v>98.01</v>
      </c>
      <c r="E5584" s="2">
        <f>IFERROR(__xludf.DUMMYFUNCTION("""COMPUTED_VALUE"""),100.28)</f>
        <v>100.28</v>
      </c>
      <c r="F5584" s="2">
        <f>IFERROR(__xludf.DUMMYFUNCTION("""COMPUTED_VALUE"""),8339400.0)</f>
        <v>8339400</v>
      </c>
    </row>
    <row r="5585">
      <c r="A5585" s="3">
        <f>IFERROR(__xludf.DUMMYFUNCTION("""COMPUTED_VALUE"""),37298.666666666664)</f>
        <v>37298.66667</v>
      </c>
      <c r="B5585" s="2">
        <f>IFERROR(__xludf.DUMMYFUNCTION("""COMPUTED_VALUE"""),100.29)</f>
        <v>100.29</v>
      </c>
      <c r="C5585" s="2">
        <f>IFERROR(__xludf.DUMMYFUNCTION("""COMPUTED_VALUE"""),102.86)</f>
        <v>102.86</v>
      </c>
      <c r="D5585" s="2">
        <f>IFERROR(__xludf.DUMMYFUNCTION("""COMPUTED_VALUE"""),99.82)</f>
        <v>99.82</v>
      </c>
      <c r="E5585" s="2">
        <f>IFERROR(__xludf.DUMMYFUNCTION("""COMPUTED_VALUE"""),102.57)</f>
        <v>102.57</v>
      </c>
      <c r="F5585" s="2">
        <f>IFERROR(__xludf.DUMMYFUNCTION("""COMPUTED_VALUE"""),6271900.0)</f>
        <v>6271900</v>
      </c>
    </row>
    <row r="5586">
      <c r="A5586" s="3">
        <f>IFERROR(__xludf.DUMMYFUNCTION("""COMPUTED_VALUE"""),37299.666666666664)</f>
        <v>37299.66667</v>
      </c>
      <c r="B5586" s="2">
        <f>IFERROR(__xludf.DUMMYFUNCTION("""COMPUTED_VALUE"""),101.96)</f>
        <v>101.96</v>
      </c>
      <c r="C5586" s="2">
        <f>IFERROR(__xludf.DUMMYFUNCTION("""COMPUTED_VALUE"""),103.05)</f>
        <v>103.05</v>
      </c>
      <c r="D5586" s="2">
        <f>IFERROR(__xludf.DUMMYFUNCTION("""COMPUTED_VALUE"""),101.3)</f>
        <v>101.3</v>
      </c>
      <c r="E5586" s="2">
        <f>IFERROR(__xludf.DUMMYFUNCTION("""COMPUTED_VALUE"""),101.79)</f>
        <v>101.79</v>
      </c>
      <c r="F5586" s="2">
        <f>IFERROR(__xludf.DUMMYFUNCTION("""COMPUTED_VALUE"""),4560800.0)</f>
        <v>4560800</v>
      </c>
    </row>
    <row r="5587">
      <c r="A5587" s="3">
        <f>IFERROR(__xludf.DUMMYFUNCTION("""COMPUTED_VALUE"""),37300.666666666664)</f>
        <v>37300.66667</v>
      </c>
      <c r="B5587" s="2">
        <f>IFERROR(__xludf.DUMMYFUNCTION("""COMPUTED_VALUE"""),101.92)</f>
        <v>101.92</v>
      </c>
      <c r="C5587" s="2">
        <f>IFERROR(__xludf.DUMMYFUNCTION("""COMPUTED_VALUE"""),103.62)</f>
        <v>103.62</v>
      </c>
      <c r="D5587" s="2">
        <f>IFERROR(__xludf.DUMMYFUNCTION("""COMPUTED_VALUE"""),101.36)</f>
        <v>101.36</v>
      </c>
      <c r="E5587" s="2">
        <f>IFERROR(__xludf.DUMMYFUNCTION("""COMPUTED_VALUE"""),103.22)</f>
        <v>103.22</v>
      </c>
      <c r="F5587" s="2">
        <f>IFERROR(__xludf.DUMMYFUNCTION("""COMPUTED_VALUE"""),5086900.0)</f>
        <v>5086900</v>
      </c>
    </row>
    <row r="5588">
      <c r="A5588" s="3">
        <f>IFERROR(__xludf.DUMMYFUNCTION("""COMPUTED_VALUE"""),37301.666666666664)</f>
        <v>37301.66667</v>
      </c>
      <c r="B5588" s="2">
        <f>IFERROR(__xludf.DUMMYFUNCTION("""COMPUTED_VALUE"""),102.39)</f>
        <v>102.39</v>
      </c>
      <c r="C5588" s="2">
        <f>IFERROR(__xludf.DUMMYFUNCTION("""COMPUTED_VALUE"""),104.26)</f>
        <v>104.26</v>
      </c>
      <c r="D5588" s="2">
        <f>IFERROR(__xludf.DUMMYFUNCTION("""COMPUTED_VALUE"""),102.39)</f>
        <v>102.39</v>
      </c>
      <c r="E5588" s="2">
        <f>IFERROR(__xludf.DUMMYFUNCTION("""COMPUTED_VALUE"""),103.05)</f>
        <v>103.05</v>
      </c>
      <c r="F5588" s="2">
        <f>IFERROR(__xludf.DUMMYFUNCTION("""COMPUTED_VALUE"""),5818500.0)</f>
        <v>5818500</v>
      </c>
    </row>
    <row r="5589">
      <c r="A5589" s="3">
        <f>IFERROR(__xludf.DUMMYFUNCTION("""COMPUTED_VALUE"""),37302.666666666664)</f>
        <v>37302.66667</v>
      </c>
      <c r="B5589" s="2">
        <f>IFERROR(__xludf.DUMMYFUNCTION("""COMPUTED_VALUE"""),100.1)</f>
        <v>100.1</v>
      </c>
      <c r="C5589" s="2">
        <f>IFERROR(__xludf.DUMMYFUNCTION("""COMPUTED_VALUE"""),100.1)</f>
        <v>100.1</v>
      </c>
      <c r="D5589" s="2">
        <f>IFERROR(__xludf.DUMMYFUNCTION("""COMPUTED_VALUE"""),97.14)</f>
        <v>97.14</v>
      </c>
      <c r="E5589" s="2">
        <f>IFERROR(__xludf.DUMMYFUNCTION("""COMPUTED_VALUE"""),98.28)</f>
        <v>98.28</v>
      </c>
      <c r="F5589" s="2">
        <f>IFERROR(__xludf.DUMMYFUNCTION("""COMPUTED_VALUE"""),1.82613E7)</f>
        <v>18261300</v>
      </c>
    </row>
    <row r="5590">
      <c r="A5590" s="3">
        <f>IFERROR(__xludf.DUMMYFUNCTION("""COMPUTED_VALUE"""),37306.666666666664)</f>
        <v>37306.66667</v>
      </c>
      <c r="B5590" s="2">
        <f>IFERROR(__xludf.DUMMYFUNCTION("""COMPUTED_VALUE"""),96.61)</f>
        <v>96.61</v>
      </c>
      <c r="C5590" s="2">
        <f>IFERROR(__xludf.DUMMYFUNCTION("""COMPUTED_VALUE"""),97.24)</f>
        <v>97.24</v>
      </c>
      <c r="D5590" s="2">
        <f>IFERROR(__xludf.DUMMYFUNCTION("""COMPUTED_VALUE"""),94.43)</f>
        <v>94.43</v>
      </c>
      <c r="E5590" s="2">
        <f>IFERROR(__xludf.DUMMYFUNCTION("""COMPUTED_VALUE"""),95.08)</f>
        <v>95.08</v>
      </c>
      <c r="F5590" s="2">
        <f>IFERROR(__xludf.DUMMYFUNCTION("""COMPUTED_VALUE"""),1.33959E7)</f>
        <v>13395900</v>
      </c>
    </row>
    <row r="5591">
      <c r="A5591" s="3">
        <f>IFERROR(__xludf.DUMMYFUNCTION("""COMPUTED_VALUE"""),37307.666666666664)</f>
        <v>37307.66667</v>
      </c>
      <c r="B5591" s="2">
        <f>IFERROR(__xludf.DUMMYFUNCTION("""COMPUTED_VALUE"""),95.08)</f>
        <v>95.08</v>
      </c>
      <c r="C5591" s="2">
        <f>IFERROR(__xludf.DUMMYFUNCTION("""COMPUTED_VALUE"""),95.52)</f>
        <v>95.52</v>
      </c>
      <c r="D5591" s="2">
        <f>IFERROR(__xludf.DUMMYFUNCTION("""COMPUTED_VALUE"""),92.65)</f>
        <v>92.65</v>
      </c>
      <c r="E5591" s="2">
        <f>IFERROR(__xludf.DUMMYFUNCTION("""COMPUTED_VALUE"""),94.86)</f>
        <v>94.86</v>
      </c>
      <c r="F5591" s="2">
        <f>IFERROR(__xludf.DUMMYFUNCTION("""COMPUTED_VALUE"""),1.45252E7)</f>
        <v>14525200</v>
      </c>
    </row>
    <row r="5592">
      <c r="A5592" s="3">
        <f>IFERROR(__xludf.DUMMYFUNCTION("""COMPUTED_VALUE"""),37308.666666666664)</f>
        <v>37308.66667</v>
      </c>
      <c r="B5592" s="2">
        <f>IFERROR(__xludf.DUMMYFUNCTION("""COMPUTED_VALUE"""),94.32)</f>
        <v>94.32</v>
      </c>
      <c r="C5592" s="2">
        <f>IFERROR(__xludf.DUMMYFUNCTION("""COMPUTED_VALUE"""),95.23)</f>
        <v>95.23</v>
      </c>
      <c r="D5592" s="2">
        <f>IFERROR(__xludf.DUMMYFUNCTION("""COMPUTED_VALUE"""),91.71)</f>
        <v>91.71</v>
      </c>
      <c r="E5592" s="2">
        <f>IFERROR(__xludf.DUMMYFUNCTION("""COMPUTED_VALUE"""),92.06)</f>
        <v>92.06</v>
      </c>
      <c r="F5592" s="2">
        <f>IFERROR(__xludf.DUMMYFUNCTION("""COMPUTED_VALUE"""),1.01317E7)</f>
        <v>10131700</v>
      </c>
    </row>
    <row r="5593">
      <c r="A5593" s="3">
        <f>IFERROR(__xludf.DUMMYFUNCTION("""COMPUTED_VALUE"""),37309.666666666664)</f>
        <v>37309.66667</v>
      </c>
      <c r="B5593" s="2">
        <f>IFERROR(__xludf.DUMMYFUNCTION("""COMPUTED_VALUE"""),92.06)</f>
        <v>92.06</v>
      </c>
      <c r="C5593" s="2">
        <f>IFERROR(__xludf.DUMMYFUNCTION("""COMPUTED_VALUE"""),94.75)</f>
        <v>94.75</v>
      </c>
      <c r="D5593" s="2">
        <f>IFERROR(__xludf.DUMMYFUNCTION("""COMPUTED_VALUE"""),91.47)</f>
        <v>91.47</v>
      </c>
      <c r="E5593" s="2">
        <f>IFERROR(__xludf.DUMMYFUNCTION("""COMPUTED_VALUE"""),94.04)</f>
        <v>94.04</v>
      </c>
      <c r="F5593" s="2">
        <f>IFERROR(__xludf.DUMMYFUNCTION("""COMPUTED_VALUE"""),1.04716E7)</f>
        <v>10471600</v>
      </c>
    </row>
    <row r="5594">
      <c r="A5594" s="3">
        <f>IFERROR(__xludf.DUMMYFUNCTION("""COMPUTED_VALUE"""),37312.666666666664)</f>
        <v>37312.66667</v>
      </c>
      <c r="B5594" s="2">
        <f>IFERROR(__xludf.DUMMYFUNCTION("""COMPUTED_VALUE"""),94.04)</f>
        <v>94.04</v>
      </c>
      <c r="C5594" s="2">
        <f>IFERROR(__xludf.DUMMYFUNCTION("""COMPUTED_VALUE"""),94.8)</f>
        <v>94.8</v>
      </c>
      <c r="D5594" s="2">
        <f>IFERROR(__xludf.DUMMYFUNCTION("""COMPUTED_VALUE"""),92.77)</f>
        <v>92.77</v>
      </c>
      <c r="E5594" s="2">
        <f>IFERROR(__xludf.DUMMYFUNCTION("""COMPUTED_VALUE"""),93.89)</f>
        <v>93.89</v>
      </c>
      <c r="F5594" s="2">
        <f>IFERROR(__xludf.DUMMYFUNCTION("""COMPUTED_VALUE"""),9902800.0)</f>
        <v>9902800</v>
      </c>
    </row>
    <row r="5595">
      <c r="A5595" s="3">
        <f>IFERROR(__xludf.DUMMYFUNCTION("""COMPUTED_VALUE"""),37313.666666666664)</f>
        <v>37313.66667</v>
      </c>
      <c r="B5595" s="2">
        <f>IFERROR(__xludf.DUMMYFUNCTION("""COMPUTED_VALUE"""),94.56)</f>
        <v>94.56</v>
      </c>
      <c r="C5595" s="2">
        <f>IFERROR(__xludf.DUMMYFUNCTION("""COMPUTED_VALUE"""),94.74)</f>
        <v>94.74</v>
      </c>
      <c r="D5595" s="2">
        <f>IFERROR(__xludf.DUMMYFUNCTION("""COMPUTED_VALUE"""),91.69)</f>
        <v>91.69</v>
      </c>
      <c r="E5595" s="2">
        <f>IFERROR(__xludf.DUMMYFUNCTION("""COMPUTED_VALUE"""),92.79)</f>
        <v>92.79</v>
      </c>
      <c r="F5595" s="2">
        <f>IFERROR(__xludf.DUMMYFUNCTION("""COMPUTED_VALUE"""),1.16345E7)</f>
        <v>11634500</v>
      </c>
    </row>
    <row r="5596">
      <c r="A5596" s="3">
        <f>IFERROR(__xludf.DUMMYFUNCTION("""COMPUTED_VALUE"""),37314.666666666664)</f>
        <v>37314.66667</v>
      </c>
      <c r="B5596" s="2">
        <f>IFERROR(__xludf.DUMMYFUNCTION("""COMPUTED_VALUE"""),93.7)</f>
        <v>93.7</v>
      </c>
      <c r="C5596" s="2">
        <f>IFERROR(__xludf.DUMMYFUNCTION("""COMPUTED_VALUE"""),95.81)</f>
        <v>95.81</v>
      </c>
      <c r="D5596" s="2">
        <f>IFERROR(__xludf.DUMMYFUNCTION("""COMPUTED_VALUE"""),92.36)</f>
        <v>92.36</v>
      </c>
      <c r="E5596" s="2">
        <f>IFERROR(__xludf.DUMMYFUNCTION("""COMPUTED_VALUE"""),93.44)</f>
        <v>93.44</v>
      </c>
      <c r="F5596" s="2">
        <f>IFERROR(__xludf.DUMMYFUNCTION("""COMPUTED_VALUE"""),1.19787E7)</f>
        <v>11978700</v>
      </c>
    </row>
    <row r="5597">
      <c r="A5597" s="3">
        <f>IFERROR(__xludf.DUMMYFUNCTION("""COMPUTED_VALUE"""),37315.666666666664)</f>
        <v>37315.66667</v>
      </c>
      <c r="B5597" s="2">
        <f>IFERROR(__xludf.DUMMYFUNCTION("""COMPUTED_VALUE"""),94.07)</f>
        <v>94.07</v>
      </c>
      <c r="C5597" s="2">
        <f>IFERROR(__xludf.DUMMYFUNCTION("""COMPUTED_VALUE"""),95.13)</f>
        <v>95.13</v>
      </c>
      <c r="D5597" s="2">
        <f>IFERROR(__xludf.DUMMYFUNCTION("""COMPUTED_VALUE"""),93.43)</f>
        <v>93.43</v>
      </c>
      <c r="E5597" s="2">
        <f>IFERROR(__xludf.DUMMYFUNCTION("""COMPUTED_VALUE"""),93.72)</f>
        <v>93.72</v>
      </c>
      <c r="F5597" s="2">
        <f>IFERROR(__xludf.DUMMYFUNCTION("""COMPUTED_VALUE"""),7939000.0)</f>
        <v>7939000</v>
      </c>
    </row>
    <row r="5598">
      <c r="A5598" s="3">
        <f>IFERROR(__xludf.DUMMYFUNCTION("""COMPUTED_VALUE"""),37316.666666666664)</f>
        <v>37316.66667</v>
      </c>
      <c r="B5598" s="2">
        <f>IFERROR(__xludf.DUMMYFUNCTION("""COMPUTED_VALUE"""),94.18)</f>
        <v>94.18</v>
      </c>
      <c r="C5598" s="2">
        <f>IFERROR(__xludf.DUMMYFUNCTION("""COMPUTED_VALUE"""),98.48)</f>
        <v>98.48</v>
      </c>
      <c r="D5598" s="2">
        <f>IFERROR(__xludf.DUMMYFUNCTION("""COMPUTED_VALUE"""),94.08)</f>
        <v>94.08</v>
      </c>
      <c r="E5598" s="2">
        <f>IFERROR(__xludf.DUMMYFUNCTION("""COMPUTED_VALUE"""),98.4)</f>
        <v>98.4</v>
      </c>
      <c r="F5598" s="2">
        <f>IFERROR(__xludf.DUMMYFUNCTION("""COMPUTED_VALUE"""),1.04929E7)</f>
        <v>10492900</v>
      </c>
    </row>
    <row r="5599">
      <c r="A5599" s="3">
        <f>IFERROR(__xludf.DUMMYFUNCTION("""COMPUTED_VALUE"""),37319.666666666664)</f>
        <v>37319.66667</v>
      </c>
      <c r="B5599" s="2">
        <f>IFERROR(__xludf.DUMMYFUNCTION("""COMPUTED_VALUE"""),98.72)</f>
        <v>98.72</v>
      </c>
      <c r="C5599" s="2">
        <f>IFERROR(__xludf.DUMMYFUNCTION("""COMPUTED_VALUE"""),101.76)</f>
        <v>101.76</v>
      </c>
      <c r="D5599" s="2">
        <f>IFERROR(__xludf.DUMMYFUNCTION("""COMPUTED_VALUE"""),98.51)</f>
        <v>98.51</v>
      </c>
      <c r="E5599" s="2">
        <f>IFERROR(__xludf.DUMMYFUNCTION("""COMPUTED_VALUE"""),101.15)</f>
        <v>101.15</v>
      </c>
      <c r="F5599" s="2">
        <f>IFERROR(__xludf.DUMMYFUNCTION("""COMPUTED_VALUE"""),1.07677E7)</f>
        <v>10767700</v>
      </c>
    </row>
    <row r="5600">
      <c r="A5600" s="3">
        <f>IFERROR(__xludf.DUMMYFUNCTION("""COMPUTED_VALUE"""),37320.666666666664)</f>
        <v>37320.66667</v>
      </c>
      <c r="B5600" s="2">
        <f>IFERROR(__xludf.DUMMYFUNCTION("""COMPUTED_VALUE"""),99.58)</f>
        <v>99.58</v>
      </c>
      <c r="C5600" s="2">
        <f>IFERROR(__xludf.DUMMYFUNCTION("""COMPUTED_VALUE"""),101.72)</f>
        <v>101.72</v>
      </c>
      <c r="D5600" s="2">
        <f>IFERROR(__xludf.DUMMYFUNCTION("""COMPUTED_VALUE"""),99.49)</f>
        <v>99.49</v>
      </c>
      <c r="E5600" s="2">
        <f>IFERROR(__xludf.DUMMYFUNCTION("""COMPUTED_VALUE"""),100.93)</f>
        <v>100.93</v>
      </c>
      <c r="F5600" s="2">
        <f>IFERROR(__xludf.DUMMYFUNCTION("""COMPUTED_VALUE"""),7562300.0)</f>
        <v>7562300</v>
      </c>
    </row>
    <row r="5601">
      <c r="A5601" s="3">
        <f>IFERROR(__xludf.DUMMYFUNCTION("""COMPUTED_VALUE"""),37321.666666666664)</f>
        <v>37321.66667</v>
      </c>
      <c r="B5601" s="2">
        <f>IFERROR(__xludf.DUMMYFUNCTION("""COMPUTED_VALUE"""),100.44)</f>
        <v>100.44</v>
      </c>
      <c r="C5601" s="2">
        <f>IFERROR(__xludf.DUMMYFUNCTION("""COMPUTED_VALUE"""),102.29)</f>
        <v>102.29</v>
      </c>
      <c r="D5601" s="2">
        <f>IFERROR(__xludf.DUMMYFUNCTION("""COMPUTED_VALUE"""),100.05)</f>
        <v>100.05</v>
      </c>
      <c r="E5601" s="2">
        <f>IFERROR(__xludf.DUMMYFUNCTION("""COMPUTED_VALUE"""),101.53)</f>
        <v>101.53</v>
      </c>
      <c r="F5601" s="2">
        <f>IFERROR(__xludf.DUMMYFUNCTION("""COMPUTED_VALUE"""),7687700.0)</f>
        <v>7687700</v>
      </c>
    </row>
    <row r="5602">
      <c r="A5602" s="3">
        <f>IFERROR(__xludf.DUMMYFUNCTION("""COMPUTED_VALUE"""),37322.666666666664)</f>
        <v>37322.66667</v>
      </c>
      <c r="B5602" s="2">
        <f>IFERROR(__xludf.DUMMYFUNCTION("""COMPUTED_VALUE"""),102.49)</f>
        <v>102.49</v>
      </c>
      <c r="C5602" s="2">
        <f>IFERROR(__xludf.DUMMYFUNCTION("""COMPUTED_VALUE"""),102.68)</f>
        <v>102.68</v>
      </c>
      <c r="D5602" s="2">
        <f>IFERROR(__xludf.DUMMYFUNCTION("""COMPUTED_VALUE"""),98.61)</f>
        <v>98.61</v>
      </c>
      <c r="E5602" s="2">
        <f>IFERROR(__xludf.DUMMYFUNCTION("""COMPUTED_VALUE"""),99.06)</f>
        <v>99.06</v>
      </c>
      <c r="F5602" s="2">
        <f>IFERROR(__xludf.DUMMYFUNCTION("""COMPUTED_VALUE"""),1.09725E7)</f>
        <v>10972500</v>
      </c>
    </row>
    <row r="5603">
      <c r="A5603" s="3">
        <f>IFERROR(__xludf.DUMMYFUNCTION("""COMPUTED_VALUE"""),37323.666666666664)</f>
        <v>37323.66667</v>
      </c>
      <c r="B5603" s="2">
        <f>IFERROR(__xludf.DUMMYFUNCTION("""COMPUTED_VALUE"""),100.12)</f>
        <v>100.12</v>
      </c>
      <c r="C5603" s="2">
        <f>IFERROR(__xludf.DUMMYFUNCTION("""COMPUTED_VALUE"""),102.53)</f>
        <v>102.53</v>
      </c>
      <c r="D5603" s="2">
        <f>IFERROR(__xludf.DUMMYFUNCTION("""COMPUTED_VALUE"""),100.12)</f>
        <v>100.12</v>
      </c>
      <c r="E5603" s="2">
        <f>IFERROR(__xludf.DUMMYFUNCTION("""COMPUTED_VALUE"""),100.38)</f>
        <v>100.38</v>
      </c>
      <c r="F5603" s="2">
        <f>IFERROR(__xludf.DUMMYFUNCTION("""COMPUTED_VALUE"""),1.07264E7)</f>
        <v>10726400</v>
      </c>
    </row>
    <row r="5604">
      <c r="A5604" s="3">
        <f>IFERROR(__xludf.DUMMYFUNCTION("""COMPUTED_VALUE"""),37326.666666666664)</f>
        <v>37326.66667</v>
      </c>
      <c r="B5604" s="2">
        <f>IFERROR(__xludf.DUMMYFUNCTION("""COMPUTED_VALUE"""),99.67)</f>
        <v>99.67</v>
      </c>
      <c r="C5604" s="2">
        <f>IFERROR(__xludf.DUMMYFUNCTION("""COMPUTED_VALUE"""),101.22)</f>
        <v>101.22</v>
      </c>
      <c r="D5604" s="2">
        <f>IFERROR(__xludf.DUMMYFUNCTION("""COMPUTED_VALUE"""),98.95)</f>
        <v>98.95</v>
      </c>
      <c r="E5604" s="2">
        <f>IFERROR(__xludf.DUMMYFUNCTION("""COMPUTED_VALUE"""),100.52)</f>
        <v>100.52</v>
      </c>
      <c r="F5604" s="2">
        <f>IFERROR(__xludf.DUMMYFUNCTION("""COMPUTED_VALUE"""),8639200.0)</f>
        <v>8639200</v>
      </c>
    </row>
    <row r="5605">
      <c r="A5605" s="3">
        <f>IFERROR(__xludf.DUMMYFUNCTION("""COMPUTED_VALUE"""),37327.666666666664)</f>
        <v>37327.66667</v>
      </c>
      <c r="B5605" s="2">
        <f>IFERROR(__xludf.DUMMYFUNCTION("""COMPUTED_VALUE"""),101.1)</f>
        <v>101.1</v>
      </c>
      <c r="C5605" s="2">
        <f>IFERROR(__xludf.DUMMYFUNCTION("""COMPUTED_VALUE"""),103.97)</f>
        <v>103.97</v>
      </c>
      <c r="D5605" s="2">
        <f>IFERROR(__xludf.DUMMYFUNCTION("""COMPUTED_VALUE"""),101.1)</f>
        <v>101.1</v>
      </c>
      <c r="E5605" s="2">
        <f>IFERROR(__xludf.DUMMYFUNCTION("""COMPUTED_VALUE"""),103.64)</f>
        <v>103.64</v>
      </c>
      <c r="F5605" s="2">
        <f>IFERROR(__xludf.DUMMYFUNCTION("""COMPUTED_VALUE"""),1.10649E7)</f>
        <v>11064900</v>
      </c>
    </row>
    <row r="5606">
      <c r="A5606" s="3">
        <f>IFERROR(__xludf.DUMMYFUNCTION("""COMPUTED_VALUE"""),37328.666666666664)</f>
        <v>37328.66667</v>
      </c>
      <c r="B5606" s="2">
        <f>IFERROR(__xludf.DUMMYFUNCTION("""COMPUTED_VALUE"""),103.44)</f>
        <v>103.44</v>
      </c>
      <c r="C5606" s="2">
        <f>IFERROR(__xludf.DUMMYFUNCTION("""COMPUTED_VALUE"""),103.78)</f>
        <v>103.78</v>
      </c>
      <c r="D5606" s="2">
        <f>IFERROR(__xludf.DUMMYFUNCTION("""COMPUTED_VALUE"""),101.92)</f>
        <v>101.92</v>
      </c>
      <c r="E5606" s="2">
        <f>IFERROR(__xludf.DUMMYFUNCTION("""COMPUTED_VALUE"""),102.37)</f>
        <v>102.37</v>
      </c>
      <c r="F5606" s="2">
        <f>IFERROR(__xludf.DUMMYFUNCTION("""COMPUTED_VALUE"""),6409200.0)</f>
        <v>6409200</v>
      </c>
    </row>
    <row r="5607">
      <c r="A5607" s="3">
        <f>IFERROR(__xludf.DUMMYFUNCTION("""COMPUTED_VALUE"""),37329.666666666664)</f>
        <v>37329.66667</v>
      </c>
      <c r="B5607" s="2">
        <f>IFERROR(__xludf.DUMMYFUNCTION("""COMPUTED_VALUE"""),102.22)</f>
        <v>102.22</v>
      </c>
      <c r="C5607" s="2">
        <f>IFERROR(__xludf.DUMMYFUNCTION("""COMPUTED_VALUE"""),103.11)</f>
        <v>103.11</v>
      </c>
      <c r="D5607" s="2">
        <f>IFERROR(__xludf.DUMMYFUNCTION("""COMPUTED_VALUE"""),101.81)</f>
        <v>101.81</v>
      </c>
      <c r="E5607" s="2">
        <f>IFERROR(__xludf.DUMMYFUNCTION("""COMPUTED_VALUE"""),101.82)</f>
        <v>101.82</v>
      </c>
      <c r="F5607" s="2">
        <f>IFERROR(__xludf.DUMMYFUNCTION("""COMPUTED_VALUE"""),5335500.0)</f>
        <v>5335500</v>
      </c>
    </row>
    <row r="5608">
      <c r="A5608" s="3">
        <f>IFERROR(__xludf.DUMMYFUNCTION("""COMPUTED_VALUE"""),37330.666666666664)</f>
        <v>37330.66667</v>
      </c>
      <c r="B5608" s="2">
        <f>IFERROR(__xludf.DUMMYFUNCTION("""COMPUTED_VALUE"""),101.77)</f>
        <v>101.77</v>
      </c>
      <c r="C5608" s="2">
        <f>IFERROR(__xludf.DUMMYFUNCTION("""COMPUTED_VALUE"""),102.63)</f>
        <v>102.63</v>
      </c>
      <c r="D5608" s="2">
        <f>IFERROR(__xludf.DUMMYFUNCTION("""COMPUTED_VALUE"""),100.86)</f>
        <v>100.86</v>
      </c>
      <c r="E5608" s="2">
        <f>IFERROR(__xludf.DUMMYFUNCTION("""COMPUTED_VALUE"""),102.0)</f>
        <v>102</v>
      </c>
      <c r="F5608" s="2">
        <f>IFERROR(__xludf.DUMMYFUNCTION("""COMPUTED_VALUE"""),1.08641E7)</f>
        <v>10864100</v>
      </c>
    </row>
    <row r="5609">
      <c r="A5609" s="3">
        <f>IFERROR(__xludf.DUMMYFUNCTION("""COMPUTED_VALUE"""),37333.666666666664)</f>
        <v>37333.66667</v>
      </c>
      <c r="B5609" s="2">
        <f>IFERROR(__xludf.DUMMYFUNCTION("""COMPUTED_VALUE"""),102.3)</f>
        <v>102.3</v>
      </c>
      <c r="C5609" s="2">
        <f>IFERROR(__xludf.DUMMYFUNCTION("""COMPUTED_VALUE"""),103.77)</f>
        <v>103.77</v>
      </c>
      <c r="D5609" s="2">
        <f>IFERROR(__xludf.DUMMYFUNCTION("""COMPUTED_VALUE"""),101.47)</f>
        <v>101.47</v>
      </c>
      <c r="E5609" s="2">
        <f>IFERROR(__xludf.DUMMYFUNCTION("""COMPUTED_VALUE"""),101.58)</f>
        <v>101.58</v>
      </c>
      <c r="F5609" s="2">
        <f>IFERROR(__xludf.DUMMYFUNCTION("""COMPUTED_VALUE"""),5304800.0)</f>
        <v>5304800</v>
      </c>
    </row>
    <row r="5610">
      <c r="A5610" s="3">
        <f>IFERROR(__xludf.DUMMYFUNCTION("""COMPUTED_VALUE"""),37334.666666666664)</f>
        <v>37334.66667</v>
      </c>
      <c r="B5610" s="2">
        <f>IFERROR(__xludf.DUMMYFUNCTION("""COMPUTED_VALUE"""),102.06)</f>
        <v>102.06</v>
      </c>
      <c r="C5610" s="2">
        <f>IFERROR(__xludf.DUMMYFUNCTION("""COMPUTED_VALUE"""),103.21)</f>
        <v>103.21</v>
      </c>
      <c r="D5610" s="2">
        <f>IFERROR(__xludf.DUMMYFUNCTION("""COMPUTED_VALUE"""),101.72)</f>
        <v>101.72</v>
      </c>
      <c r="E5610" s="2">
        <f>IFERROR(__xludf.DUMMYFUNCTION("""COMPUTED_VALUE"""),102.67)</f>
        <v>102.67</v>
      </c>
      <c r="F5610" s="2">
        <f>IFERROR(__xludf.DUMMYFUNCTION("""COMPUTED_VALUE"""),4614800.0)</f>
        <v>4614800</v>
      </c>
    </row>
    <row r="5611">
      <c r="A5611" s="3">
        <f>IFERROR(__xludf.DUMMYFUNCTION("""COMPUTED_VALUE"""),37335.666666666664)</f>
        <v>37335.66667</v>
      </c>
      <c r="B5611" s="2">
        <f>IFERROR(__xludf.DUMMYFUNCTION("""COMPUTED_VALUE"""),102.11)</f>
        <v>102.11</v>
      </c>
      <c r="C5611" s="2">
        <f>IFERROR(__xludf.DUMMYFUNCTION("""COMPUTED_VALUE"""),102.11)</f>
        <v>102.11</v>
      </c>
      <c r="D5611" s="2">
        <f>IFERROR(__xludf.DUMMYFUNCTION("""COMPUTED_VALUE"""),100.76)</f>
        <v>100.76</v>
      </c>
      <c r="E5611" s="2">
        <f>IFERROR(__xludf.DUMMYFUNCTION("""COMPUTED_VALUE"""),100.77)</f>
        <v>100.77</v>
      </c>
      <c r="F5611" s="2">
        <f>IFERROR(__xludf.DUMMYFUNCTION("""COMPUTED_VALUE"""),4844500.0)</f>
        <v>4844500</v>
      </c>
    </row>
    <row r="5612">
      <c r="A5612" s="3">
        <f>IFERROR(__xludf.DUMMYFUNCTION("""COMPUTED_VALUE"""),37336.666666666664)</f>
        <v>37336.66667</v>
      </c>
      <c r="B5612" s="2">
        <f>IFERROR(__xludf.DUMMYFUNCTION("""COMPUTED_VALUE"""),100.96)</f>
        <v>100.96</v>
      </c>
      <c r="C5612" s="2">
        <f>IFERROR(__xludf.DUMMYFUNCTION("""COMPUTED_VALUE"""),101.99)</f>
        <v>101.99</v>
      </c>
      <c r="D5612" s="2">
        <f>IFERROR(__xludf.DUMMYFUNCTION("""COMPUTED_VALUE"""),100.01)</f>
        <v>100.01</v>
      </c>
      <c r="E5612" s="2">
        <f>IFERROR(__xludf.DUMMYFUNCTION("""COMPUTED_VALUE"""),101.99)</f>
        <v>101.99</v>
      </c>
      <c r="F5612" s="2">
        <f>IFERROR(__xludf.DUMMYFUNCTION("""COMPUTED_VALUE"""),5700800.0)</f>
        <v>5700800</v>
      </c>
    </row>
    <row r="5613">
      <c r="A5613" s="3">
        <f>IFERROR(__xludf.DUMMYFUNCTION("""COMPUTED_VALUE"""),37337.666666666664)</f>
        <v>37337.66667</v>
      </c>
      <c r="B5613" s="2">
        <f>IFERROR(__xludf.DUMMYFUNCTION("""COMPUTED_VALUE"""),101.72)</f>
        <v>101.72</v>
      </c>
      <c r="C5613" s="2">
        <f>IFERROR(__xludf.DUMMYFUNCTION("""COMPUTED_VALUE"""),101.92)</f>
        <v>101.92</v>
      </c>
      <c r="D5613" s="2">
        <f>IFERROR(__xludf.DUMMYFUNCTION("""COMPUTED_VALUE"""),100.36)</f>
        <v>100.36</v>
      </c>
      <c r="E5613" s="2">
        <f>IFERROR(__xludf.DUMMYFUNCTION("""COMPUTED_VALUE"""),100.87)</f>
        <v>100.87</v>
      </c>
      <c r="F5613" s="2">
        <f>IFERROR(__xludf.DUMMYFUNCTION("""COMPUTED_VALUE"""),5507900.0)</f>
        <v>5507900</v>
      </c>
    </row>
    <row r="5614">
      <c r="A5614" s="3">
        <f>IFERROR(__xludf.DUMMYFUNCTION("""COMPUTED_VALUE"""),37340.666666666664)</f>
        <v>37340.66667</v>
      </c>
      <c r="B5614" s="2">
        <f>IFERROR(__xludf.DUMMYFUNCTION("""COMPUTED_VALUE"""),101.06)</f>
        <v>101.06</v>
      </c>
      <c r="C5614" s="2">
        <f>IFERROR(__xludf.DUMMYFUNCTION("""COMPUTED_VALUE"""),101.88)</f>
        <v>101.88</v>
      </c>
      <c r="D5614" s="2">
        <f>IFERROR(__xludf.DUMMYFUNCTION("""COMPUTED_VALUE"""),98.86)</f>
        <v>98.86</v>
      </c>
      <c r="E5614" s="2">
        <f>IFERROR(__xludf.DUMMYFUNCTION("""COMPUTED_VALUE"""),98.92)</f>
        <v>98.92</v>
      </c>
      <c r="F5614" s="2">
        <f>IFERROR(__xludf.DUMMYFUNCTION("""COMPUTED_VALUE"""),6277900.0)</f>
        <v>6277900</v>
      </c>
    </row>
    <row r="5615">
      <c r="A5615" s="3">
        <f>IFERROR(__xludf.DUMMYFUNCTION("""COMPUTED_VALUE"""),37341.666666666664)</f>
        <v>37341.66667</v>
      </c>
      <c r="B5615" s="2">
        <f>IFERROR(__xludf.DUMMYFUNCTION("""COMPUTED_VALUE"""),98.93)</f>
        <v>98.93</v>
      </c>
      <c r="C5615" s="2">
        <f>IFERROR(__xludf.DUMMYFUNCTION("""COMPUTED_VALUE"""),100.96)</f>
        <v>100.96</v>
      </c>
      <c r="D5615" s="2">
        <f>IFERROR(__xludf.DUMMYFUNCTION("""COMPUTED_VALUE"""),97.71)</f>
        <v>97.71</v>
      </c>
      <c r="E5615" s="2">
        <f>IFERROR(__xludf.DUMMYFUNCTION("""COMPUTED_VALUE"""),98.29)</f>
        <v>98.29</v>
      </c>
      <c r="F5615" s="2">
        <f>IFERROR(__xludf.DUMMYFUNCTION("""COMPUTED_VALUE"""),8144000.0)</f>
        <v>8144000</v>
      </c>
    </row>
    <row r="5616">
      <c r="A5616" s="3">
        <f>IFERROR(__xludf.DUMMYFUNCTION("""COMPUTED_VALUE"""),37342.666666666664)</f>
        <v>37342.66667</v>
      </c>
      <c r="B5616" s="2">
        <f>IFERROR(__xludf.DUMMYFUNCTION("""COMPUTED_VALUE"""),99.1)</f>
        <v>99.1</v>
      </c>
      <c r="C5616" s="2">
        <f>IFERROR(__xludf.DUMMYFUNCTION("""COMPUTED_VALUE"""),99.14)</f>
        <v>99.14</v>
      </c>
      <c r="D5616" s="2">
        <f>IFERROR(__xludf.DUMMYFUNCTION("""COMPUTED_VALUE"""),97.9)</f>
        <v>97.9</v>
      </c>
      <c r="E5616" s="2">
        <f>IFERROR(__xludf.DUMMYFUNCTION("""COMPUTED_VALUE"""),98.75)</f>
        <v>98.75</v>
      </c>
      <c r="F5616" s="2">
        <f>IFERROR(__xludf.DUMMYFUNCTION("""COMPUTED_VALUE"""),5602400.0)</f>
        <v>5602400</v>
      </c>
    </row>
    <row r="5617">
      <c r="A5617" s="3">
        <f>IFERROR(__xludf.DUMMYFUNCTION("""COMPUTED_VALUE"""),37343.666666666664)</f>
        <v>37343.66667</v>
      </c>
      <c r="B5617" s="2">
        <f>IFERROR(__xludf.DUMMYFUNCTION("""COMPUTED_VALUE"""),98.91)</f>
        <v>98.91</v>
      </c>
      <c r="C5617" s="2">
        <f>IFERROR(__xludf.DUMMYFUNCTION("""COMPUTED_VALUE"""),100.43)</f>
        <v>100.43</v>
      </c>
      <c r="D5617" s="2">
        <f>IFERROR(__xludf.DUMMYFUNCTION("""COMPUTED_VALUE"""),98.75)</f>
        <v>98.75</v>
      </c>
      <c r="E5617" s="2">
        <f>IFERROR(__xludf.DUMMYFUNCTION("""COMPUTED_VALUE"""),99.34)</f>
        <v>99.34</v>
      </c>
      <c r="F5617" s="2">
        <f>IFERROR(__xludf.DUMMYFUNCTION("""COMPUTED_VALUE"""),5347500.0)</f>
        <v>5347500</v>
      </c>
    </row>
    <row r="5618">
      <c r="A5618" s="3">
        <f>IFERROR(__xludf.DUMMYFUNCTION("""COMPUTED_VALUE"""),37347.666666666664)</f>
        <v>37347.66667</v>
      </c>
      <c r="B5618" s="2">
        <f>IFERROR(__xludf.DUMMYFUNCTION("""COMPUTED_VALUE"""),99.34)</f>
        <v>99.34</v>
      </c>
      <c r="C5618" s="2">
        <f>IFERROR(__xludf.DUMMYFUNCTION("""COMPUTED_VALUE"""),99.34)</f>
        <v>99.34</v>
      </c>
      <c r="D5618" s="2">
        <f>IFERROR(__xludf.DUMMYFUNCTION("""COMPUTED_VALUE"""),97.81)</f>
        <v>97.81</v>
      </c>
      <c r="E5618" s="2">
        <f>IFERROR(__xludf.DUMMYFUNCTION("""COMPUTED_VALUE"""),98.25)</f>
        <v>98.25</v>
      </c>
      <c r="F5618" s="2">
        <f>IFERROR(__xludf.DUMMYFUNCTION("""COMPUTED_VALUE"""),5587000.0)</f>
        <v>5587000</v>
      </c>
    </row>
    <row r="5619">
      <c r="A5619" s="3">
        <f>IFERROR(__xludf.DUMMYFUNCTION("""COMPUTED_VALUE"""),37348.666666666664)</f>
        <v>37348.66667</v>
      </c>
      <c r="B5619" s="2">
        <f>IFERROR(__xludf.DUMMYFUNCTION("""COMPUTED_VALUE"""),97.43)</f>
        <v>97.43</v>
      </c>
      <c r="C5619" s="2">
        <f>IFERROR(__xludf.DUMMYFUNCTION("""COMPUTED_VALUE"""),97.44)</f>
        <v>97.44</v>
      </c>
      <c r="D5619" s="2">
        <f>IFERROR(__xludf.DUMMYFUNCTION("""COMPUTED_VALUE"""),96.0)</f>
        <v>96</v>
      </c>
      <c r="E5619" s="2">
        <f>IFERROR(__xludf.DUMMYFUNCTION("""COMPUTED_VALUE"""),96.42)</f>
        <v>96.42</v>
      </c>
      <c r="F5619" s="2">
        <f>IFERROR(__xludf.DUMMYFUNCTION("""COMPUTED_VALUE"""),7382200.0)</f>
        <v>7382200</v>
      </c>
    </row>
    <row r="5620">
      <c r="A5620" s="3">
        <f>IFERROR(__xludf.DUMMYFUNCTION("""COMPUTED_VALUE"""),37349.666666666664)</f>
        <v>37349.66667</v>
      </c>
      <c r="B5620" s="2">
        <f>IFERROR(__xludf.DUMMYFUNCTION("""COMPUTED_VALUE"""),96.85)</f>
        <v>96.85</v>
      </c>
      <c r="C5620" s="2">
        <f>IFERROR(__xludf.DUMMYFUNCTION("""COMPUTED_VALUE"""),96.95)</f>
        <v>96.95</v>
      </c>
      <c r="D5620" s="2">
        <f>IFERROR(__xludf.DUMMYFUNCTION("""COMPUTED_VALUE"""),94.47)</f>
        <v>94.47</v>
      </c>
      <c r="E5620" s="2">
        <f>IFERROR(__xludf.DUMMYFUNCTION("""COMPUTED_VALUE"""),95.48)</f>
        <v>95.48</v>
      </c>
      <c r="F5620" s="2">
        <f>IFERROR(__xludf.DUMMYFUNCTION("""COMPUTED_VALUE"""),7649100.0)</f>
        <v>7649100</v>
      </c>
    </row>
    <row r="5621">
      <c r="A5621" s="3">
        <f>IFERROR(__xludf.DUMMYFUNCTION("""COMPUTED_VALUE"""),37350.666666666664)</f>
        <v>37350.66667</v>
      </c>
      <c r="B5621" s="2">
        <f>IFERROR(__xludf.DUMMYFUNCTION("""COMPUTED_VALUE"""),95.48)</f>
        <v>95.48</v>
      </c>
      <c r="C5621" s="2">
        <f>IFERROR(__xludf.DUMMYFUNCTION("""COMPUTED_VALUE"""),96.61)</f>
        <v>96.61</v>
      </c>
      <c r="D5621" s="2">
        <f>IFERROR(__xludf.DUMMYFUNCTION("""COMPUTED_VALUE"""),95.04)</f>
        <v>95.04</v>
      </c>
      <c r="E5621" s="2">
        <f>IFERROR(__xludf.DUMMYFUNCTION("""COMPUTED_VALUE"""),96.32)</f>
        <v>96.32</v>
      </c>
      <c r="F5621" s="2">
        <f>IFERROR(__xludf.DUMMYFUNCTION("""COMPUTED_VALUE"""),5928500.0)</f>
        <v>5928500</v>
      </c>
    </row>
    <row r="5622">
      <c r="A5622" s="3">
        <f>IFERROR(__xludf.DUMMYFUNCTION("""COMPUTED_VALUE"""),37351.666666666664)</f>
        <v>37351.66667</v>
      </c>
      <c r="B5622" s="2">
        <f>IFERROR(__xludf.DUMMYFUNCTION("""COMPUTED_VALUE"""),96.32)</f>
        <v>96.32</v>
      </c>
      <c r="C5622" s="2">
        <f>IFERROR(__xludf.DUMMYFUNCTION("""COMPUTED_VALUE"""),96.71)</f>
        <v>96.71</v>
      </c>
      <c r="D5622" s="2">
        <f>IFERROR(__xludf.DUMMYFUNCTION("""COMPUTED_VALUE"""),92.89)</f>
        <v>92.89</v>
      </c>
      <c r="E5622" s="2">
        <f>IFERROR(__xludf.DUMMYFUNCTION("""COMPUTED_VALUE"""),92.89)</f>
        <v>92.89</v>
      </c>
      <c r="F5622" s="2">
        <f>IFERROR(__xludf.DUMMYFUNCTION("""COMPUTED_VALUE"""),9801800.0)</f>
        <v>9801800</v>
      </c>
    </row>
    <row r="5623">
      <c r="A5623" s="3">
        <f>IFERROR(__xludf.DUMMYFUNCTION("""COMPUTED_VALUE"""),37354.666666666664)</f>
        <v>37354.66667</v>
      </c>
      <c r="B5623" s="2">
        <f>IFERROR(__xludf.DUMMYFUNCTION("""COMPUTED_VALUE"""),83.58)</f>
        <v>83.58</v>
      </c>
      <c r="C5623" s="2">
        <f>IFERROR(__xludf.DUMMYFUNCTION("""COMPUTED_VALUE"""),84.62)</f>
        <v>84.62</v>
      </c>
      <c r="D5623" s="2">
        <f>IFERROR(__xludf.DUMMYFUNCTION("""COMPUTED_VALUE"""),81.52)</f>
        <v>81.52</v>
      </c>
      <c r="E5623" s="2">
        <f>IFERROR(__xludf.DUMMYFUNCTION("""COMPUTED_VALUE"""),83.49)</f>
        <v>83.49</v>
      </c>
      <c r="F5623" s="2">
        <f>IFERROR(__xludf.DUMMYFUNCTION("""COMPUTED_VALUE"""),4.12126E7)</f>
        <v>41212600</v>
      </c>
    </row>
    <row r="5624">
      <c r="A5624" s="3">
        <f>IFERROR(__xludf.DUMMYFUNCTION("""COMPUTED_VALUE"""),37355.666666666664)</f>
        <v>37355.66667</v>
      </c>
      <c r="B5624" s="2">
        <f>IFERROR(__xludf.DUMMYFUNCTION("""COMPUTED_VALUE"""),84.53)</f>
        <v>84.53</v>
      </c>
      <c r="C5624" s="2">
        <f>IFERROR(__xludf.DUMMYFUNCTION("""COMPUTED_VALUE"""),84.55)</f>
        <v>84.55</v>
      </c>
      <c r="D5624" s="2">
        <f>IFERROR(__xludf.DUMMYFUNCTION("""COMPUTED_VALUE"""),83.19)</f>
        <v>83.19</v>
      </c>
      <c r="E5624" s="2">
        <f>IFERROR(__xludf.DUMMYFUNCTION("""COMPUTED_VALUE"""),83.81)</f>
        <v>83.81</v>
      </c>
      <c r="F5624" s="2">
        <f>IFERROR(__xludf.DUMMYFUNCTION("""COMPUTED_VALUE"""),1.73839E7)</f>
        <v>17383900</v>
      </c>
    </row>
    <row r="5625">
      <c r="A5625" s="3">
        <f>IFERROR(__xludf.DUMMYFUNCTION("""COMPUTED_VALUE"""),37356.666666666664)</f>
        <v>37356.66667</v>
      </c>
      <c r="B5625" s="2">
        <f>IFERROR(__xludf.DUMMYFUNCTION("""COMPUTED_VALUE"""),84.48)</f>
        <v>84.48</v>
      </c>
      <c r="C5625" s="2">
        <f>IFERROR(__xludf.DUMMYFUNCTION("""COMPUTED_VALUE"""),85.92)</f>
        <v>85.92</v>
      </c>
      <c r="D5625" s="2">
        <f>IFERROR(__xludf.DUMMYFUNCTION("""COMPUTED_VALUE"""),84.25)</f>
        <v>84.25</v>
      </c>
      <c r="E5625" s="2">
        <f>IFERROR(__xludf.DUMMYFUNCTION("""COMPUTED_VALUE"""),85.02)</f>
        <v>85.02</v>
      </c>
      <c r="F5625" s="2">
        <f>IFERROR(__xludf.DUMMYFUNCTION("""COMPUTED_VALUE"""),1.31439E7)</f>
        <v>13143900</v>
      </c>
    </row>
    <row r="5626">
      <c r="A5626" s="3">
        <f>IFERROR(__xludf.DUMMYFUNCTION("""COMPUTED_VALUE"""),37357.666666666664)</f>
        <v>37357.66667</v>
      </c>
      <c r="B5626" s="2">
        <f>IFERROR(__xludf.DUMMYFUNCTION("""COMPUTED_VALUE"""),84.1)</f>
        <v>84.1</v>
      </c>
      <c r="C5626" s="2">
        <f>IFERROR(__xludf.DUMMYFUNCTION("""COMPUTED_VALUE"""),84.54)</f>
        <v>84.54</v>
      </c>
      <c r="D5626" s="2">
        <f>IFERROR(__xludf.DUMMYFUNCTION("""COMPUTED_VALUE"""),79.6)</f>
        <v>79.6</v>
      </c>
      <c r="E5626" s="2">
        <f>IFERROR(__xludf.DUMMYFUNCTION("""COMPUTED_VALUE"""),80.42)</f>
        <v>80.42</v>
      </c>
      <c r="F5626" s="2">
        <f>IFERROR(__xludf.DUMMYFUNCTION("""COMPUTED_VALUE"""),2.3355E7)</f>
        <v>23355000</v>
      </c>
    </row>
    <row r="5627">
      <c r="A5627" s="3">
        <f>IFERROR(__xludf.DUMMYFUNCTION("""COMPUTED_VALUE"""),37358.666666666664)</f>
        <v>37358.66667</v>
      </c>
      <c r="B5627" s="2">
        <f>IFERROR(__xludf.DUMMYFUNCTION("""COMPUTED_VALUE"""),83.58)</f>
        <v>83.58</v>
      </c>
      <c r="C5627" s="2">
        <f>IFERROR(__xludf.DUMMYFUNCTION("""COMPUTED_VALUE"""),84.02)</f>
        <v>84.02</v>
      </c>
      <c r="D5627" s="2">
        <f>IFERROR(__xludf.DUMMYFUNCTION("""COMPUTED_VALUE"""),80.62)</f>
        <v>80.62</v>
      </c>
      <c r="E5627" s="2">
        <f>IFERROR(__xludf.DUMMYFUNCTION("""COMPUTED_VALUE"""),81.76)</f>
        <v>81.76</v>
      </c>
      <c r="F5627" s="2">
        <f>IFERROR(__xludf.DUMMYFUNCTION("""COMPUTED_VALUE"""),1.58202E7)</f>
        <v>15820200</v>
      </c>
    </row>
    <row r="5628">
      <c r="A5628" s="3">
        <f>IFERROR(__xludf.DUMMYFUNCTION("""COMPUTED_VALUE"""),37361.666666666664)</f>
        <v>37361.66667</v>
      </c>
      <c r="B5628" s="2">
        <f>IFERROR(__xludf.DUMMYFUNCTION("""COMPUTED_VALUE"""),82.62)</f>
        <v>82.62</v>
      </c>
      <c r="C5628" s="2">
        <f>IFERROR(__xludf.DUMMYFUNCTION("""COMPUTED_VALUE"""),82.72)</f>
        <v>82.72</v>
      </c>
      <c r="D5628" s="2">
        <f>IFERROR(__xludf.DUMMYFUNCTION("""COMPUTED_VALUE"""),80.9)</f>
        <v>80.9</v>
      </c>
      <c r="E5628" s="2">
        <f>IFERROR(__xludf.DUMMYFUNCTION("""COMPUTED_VALUE"""),81.52)</f>
        <v>81.52</v>
      </c>
      <c r="F5628" s="2">
        <f>IFERROR(__xludf.DUMMYFUNCTION("""COMPUTED_VALUE"""),8871600.0)</f>
        <v>8871600</v>
      </c>
    </row>
    <row r="5629">
      <c r="A5629" s="3">
        <f>IFERROR(__xludf.DUMMYFUNCTION("""COMPUTED_VALUE"""),37362.666666666664)</f>
        <v>37362.66667</v>
      </c>
      <c r="B5629" s="2">
        <f>IFERROR(__xludf.DUMMYFUNCTION("""COMPUTED_VALUE"""),82.48)</f>
        <v>82.48</v>
      </c>
      <c r="C5629" s="2">
        <f>IFERROR(__xludf.DUMMYFUNCTION("""COMPUTED_VALUE"""),82.96)</f>
        <v>82.96</v>
      </c>
      <c r="D5629" s="2">
        <f>IFERROR(__xludf.DUMMYFUNCTION("""COMPUTED_VALUE"""),81.74)</f>
        <v>81.74</v>
      </c>
      <c r="E5629" s="2">
        <f>IFERROR(__xludf.DUMMYFUNCTION("""COMPUTED_VALUE"""),82.34)</f>
        <v>82.34</v>
      </c>
      <c r="F5629" s="2">
        <f>IFERROR(__xludf.DUMMYFUNCTION("""COMPUTED_VALUE"""),7933400.0)</f>
        <v>7933400</v>
      </c>
    </row>
    <row r="5630">
      <c r="A5630" s="3">
        <f>IFERROR(__xludf.DUMMYFUNCTION("""COMPUTED_VALUE"""),37363.666666666664)</f>
        <v>37363.66667</v>
      </c>
      <c r="B5630" s="2">
        <f>IFERROR(__xludf.DUMMYFUNCTION("""COMPUTED_VALUE"""),83.15)</f>
        <v>83.15</v>
      </c>
      <c r="C5630" s="2">
        <f>IFERROR(__xludf.DUMMYFUNCTION("""COMPUTED_VALUE"""),83.29)</f>
        <v>83.29</v>
      </c>
      <c r="D5630" s="2">
        <f>IFERROR(__xludf.DUMMYFUNCTION("""COMPUTED_VALUE"""),80.23)</f>
        <v>80.23</v>
      </c>
      <c r="E5630" s="2">
        <f>IFERROR(__xludf.DUMMYFUNCTION("""COMPUTED_VALUE"""),81.01)</f>
        <v>81.01</v>
      </c>
      <c r="F5630" s="2">
        <f>IFERROR(__xludf.DUMMYFUNCTION("""COMPUTED_VALUE"""),1.10235E7)</f>
        <v>11023500</v>
      </c>
    </row>
    <row r="5631">
      <c r="A5631" s="3">
        <f>IFERROR(__xludf.DUMMYFUNCTION("""COMPUTED_VALUE"""),37364.666666666664)</f>
        <v>37364.66667</v>
      </c>
      <c r="B5631" s="2">
        <f>IFERROR(__xludf.DUMMYFUNCTION("""COMPUTED_VALUE"""),83.58)</f>
        <v>83.58</v>
      </c>
      <c r="C5631" s="2">
        <f>IFERROR(__xludf.DUMMYFUNCTION("""COMPUTED_VALUE"""),85.11)</f>
        <v>85.11</v>
      </c>
      <c r="D5631" s="2">
        <f>IFERROR(__xludf.DUMMYFUNCTION("""COMPUTED_VALUE"""),83.0)</f>
        <v>83</v>
      </c>
      <c r="E5631" s="2">
        <f>IFERROR(__xludf.DUMMYFUNCTION("""COMPUTED_VALUE"""),84.96)</f>
        <v>84.96</v>
      </c>
      <c r="F5631" s="2">
        <f>IFERROR(__xludf.DUMMYFUNCTION("""COMPUTED_VALUE"""),1.4765E7)</f>
        <v>14765000</v>
      </c>
    </row>
    <row r="5632">
      <c r="A5632" s="3">
        <f>IFERROR(__xludf.DUMMYFUNCTION("""COMPUTED_VALUE"""),37365.666666666664)</f>
        <v>37365.66667</v>
      </c>
      <c r="B5632" s="2">
        <f>IFERROR(__xludf.DUMMYFUNCTION("""COMPUTED_VALUE"""),85.87)</f>
        <v>85.87</v>
      </c>
      <c r="C5632" s="2">
        <f>IFERROR(__xludf.DUMMYFUNCTION("""COMPUTED_VALUE"""),85.99)</f>
        <v>85.99</v>
      </c>
      <c r="D5632" s="2">
        <f>IFERROR(__xludf.DUMMYFUNCTION("""COMPUTED_VALUE"""),83.67)</f>
        <v>83.67</v>
      </c>
      <c r="E5632" s="2">
        <f>IFERROR(__xludf.DUMMYFUNCTION("""COMPUTED_VALUE"""),85.01)</f>
        <v>85.01</v>
      </c>
      <c r="F5632" s="2">
        <f>IFERROR(__xludf.DUMMYFUNCTION("""COMPUTED_VALUE"""),9287700.0)</f>
        <v>9287700</v>
      </c>
    </row>
    <row r="5633">
      <c r="A5633" s="3">
        <f>IFERROR(__xludf.DUMMYFUNCTION("""COMPUTED_VALUE"""),37368.666666666664)</f>
        <v>37368.66667</v>
      </c>
      <c r="B5633" s="2">
        <f>IFERROR(__xludf.DUMMYFUNCTION("""COMPUTED_VALUE"""),84.96)</f>
        <v>84.96</v>
      </c>
      <c r="C5633" s="2">
        <f>IFERROR(__xludf.DUMMYFUNCTION("""COMPUTED_VALUE"""),84.96)</f>
        <v>84.96</v>
      </c>
      <c r="D5633" s="2">
        <f>IFERROR(__xludf.DUMMYFUNCTION("""COMPUTED_VALUE"""),83.44)</f>
        <v>83.44</v>
      </c>
      <c r="E5633" s="2">
        <f>IFERROR(__xludf.DUMMYFUNCTION("""COMPUTED_VALUE"""),83.99)</f>
        <v>83.99</v>
      </c>
      <c r="F5633" s="2">
        <f>IFERROR(__xludf.DUMMYFUNCTION("""COMPUTED_VALUE"""),6757700.0)</f>
        <v>6757700</v>
      </c>
    </row>
    <row r="5634">
      <c r="A5634" s="3">
        <f>IFERROR(__xludf.DUMMYFUNCTION("""COMPUTED_VALUE"""),37369.666666666664)</f>
        <v>37369.66667</v>
      </c>
      <c r="B5634" s="2">
        <f>IFERROR(__xludf.DUMMYFUNCTION("""COMPUTED_VALUE"""),84.39)</f>
        <v>84.39</v>
      </c>
      <c r="C5634" s="2">
        <f>IFERROR(__xludf.DUMMYFUNCTION("""COMPUTED_VALUE"""),85.09)</f>
        <v>85.09</v>
      </c>
      <c r="D5634" s="2">
        <f>IFERROR(__xludf.DUMMYFUNCTION("""COMPUTED_VALUE"""),83.33)</f>
        <v>83.33</v>
      </c>
      <c r="E5634" s="2">
        <f>IFERROR(__xludf.DUMMYFUNCTION("""COMPUTED_VALUE"""),83.41)</f>
        <v>83.41</v>
      </c>
      <c r="F5634" s="2">
        <f>IFERROR(__xludf.DUMMYFUNCTION("""COMPUTED_VALUE"""),5144400.0)</f>
        <v>5144400</v>
      </c>
    </row>
    <row r="5635">
      <c r="A5635" s="3">
        <f>IFERROR(__xludf.DUMMYFUNCTION("""COMPUTED_VALUE"""),37370.666666666664)</f>
        <v>37370.66667</v>
      </c>
      <c r="B5635" s="2">
        <f>IFERROR(__xludf.DUMMYFUNCTION("""COMPUTED_VALUE"""),84.25)</f>
        <v>84.25</v>
      </c>
      <c r="C5635" s="2">
        <f>IFERROR(__xludf.DUMMYFUNCTION("""COMPUTED_VALUE"""),84.29)</f>
        <v>84.29</v>
      </c>
      <c r="D5635" s="2">
        <f>IFERROR(__xludf.DUMMYFUNCTION("""COMPUTED_VALUE"""),82.4)</f>
        <v>82.4</v>
      </c>
      <c r="E5635" s="2">
        <f>IFERROR(__xludf.DUMMYFUNCTION("""COMPUTED_VALUE"""),82.62)</f>
        <v>82.62</v>
      </c>
      <c r="F5635" s="2">
        <f>IFERROR(__xludf.DUMMYFUNCTION("""COMPUTED_VALUE"""),6520500.0)</f>
        <v>6520500</v>
      </c>
    </row>
    <row r="5636">
      <c r="A5636" s="3">
        <f>IFERROR(__xludf.DUMMYFUNCTION("""COMPUTED_VALUE"""),37371.666666666664)</f>
        <v>37371.66667</v>
      </c>
      <c r="B5636" s="2">
        <f>IFERROR(__xludf.DUMMYFUNCTION("""COMPUTED_VALUE"""),82.19)</f>
        <v>82.19</v>
      </c>
      <c r="C5636" s="2">
        <f>IFERROR(__xludf.DUMMYFUNCTION("""COMPUTED_VALUE"""),83.02)</f>
        <v>83.02</v>
      </c>
      <c r="D5636" s="2">
        <f>IFERROR(__xludf.DUMMYFUNCTION("""COMPUTED_VALUE"""),81.92)</f>
        <v>81.92</v>
      </c>
      <c r="E5636" s="2">
        <f>IFERROR(__xludf.DUMMYFUNCTION("""COMPUTED_VALUE"""),82.82)</f>
        <v>82.82</v>
      </c>
      <c r="F5636" s="2">
        <f>IFERROR(__xludf.DUMMYFUNCTION("""COMPUTED_VALUE"""),6866000.0)</f>
        <v>6866000</v>
      </c>
    </row>
    <row r="5637">
      <c r="A5637" s="3">
        <f>IFERROR(__xludf.DUMMYFUNCTION("""COMPUTED_VALUE"""),37372.666666666664)</f>
        <v>37372.66667</v>
      </c>
      <c r="B5637" s="2">
        <f>IFERROR(__xludf.DUMMYFUNCTION("""COMPUTED_VALUE"""),82.81)</f>
        <v>82.81</v>
      </c>
      <c r="C5637" s="2">
        <f>IFERROR(__xludf.DUMMYFUNCTION("""COMPUTED_VALUE"""),83.06)</f>
        <v>83.06</v>
      </c>
      <c r="D5637" s="2">
        <f>IFERROR(__xludf.DUMMYFUNCTION("""COMPUTED_VALUE"""),80.9)</f>
        <v>80.9</v>
      </c>
      <c r="E5637" s="2">
        <f>IFERROR(__xludf.DUMMYFUNCTION("""COMPUTED_VALUE"""),80.91)</f>
        <v>80.91</v>
      </c>
      <c r="F5637" s="2">
        <f>IFERROR(__xludf.DUMMYFUNCTION("""COMPUTED_VALUE"""),6684200.0)</f>
        <v>6684200</v>
      </c>
    </row>
    <row r="5638">
      <c r="A5638" s="3">
        <f>IFERROR(__xludf.DUMMYFUNCTION("""COMPUTED_VALUE"""),37375.666666666664)</f>
        <v>37375.66667</v>
      </c>
      <c r="B5638" s="2">
        <f>IFERROR(__xludf.DUMMYFUNCTION("""COMPUTED_VALUE"""),80.91)</f>
        <v>80.91</v>
      </c>
      <c r="C5638" s="2">
        <f>IFERROR(__xludf.DUMMYFUNCTION("""COMPUTED_VALUE"""),81.28)</f>
        <v>81.28</v>
      </c>
      <c r="D5638" s="2">
        <f>IFERROR(__xludf.DUMMYFUNCTION("""COMPUTED_VALUE"""),79.8)</f>
        <v>79.8</v>
      </c>
      <c r="E5638" s="2">
        <f>IFERROR(__xludf.DUMMYFUNCTION("""COMPUTED_VALUE"""),80.13)</f>
        <v>80.13</v>
      </c>
      <c r="F5638" s="2">
        <f>IFERROR(__xludf.DUMMYFUNCTION("""COMPUTED_VALUE"""),6535600.0)</f>
        <v>6535600</v>
      </c>
    </row>
    <row r="5639">
      <c r="A5639" s="3">
        <f>IFERROR(__xludf.DUMMYFUNCTION("""COMPUTED_VALUE"""),37376.666666666664)</f>
        <v>37376.66667</v>
      </c>
      <c r="B5639" s="2">
        <f>IFERROR(__xludf.DUMMYFUNCTION("""COMPUTED_VALUE"""),80.15)</f>
        <v>80.15</v>
      </c>
      <c r="C5639" s="2">
        <f>IFERROR(__xludf.DUMMYFUNCTION("""COMPUTED_VALUE"""),81.41)</f>
        <v>81.41</v>
      </c>
      <c r="D5639" s="2">
        <f>IFERROR(__xludf.DUMMYFUNCTION("""COMPUTED_VALUE"""),79.78)</f>
        <v>79.78</v>
      </c>
      <c r="E5639" s="2">
        <f>IFERROR(__xludf.DUMMYFUNCTION("""COMPUTED_VALUE"""),80.0)</f>
        <v>80</v>
      </c>
      <c r="F5639" s="2">
        <f>IFERROR(__xludf.DUMMYFUNCTION("""COMPUTED_VALUE"""),8883900.0)</f>
        <v>8883900</v>
      </c>
    </row>
    <row r="5640">
      <c r="A5640" s="3">
        <f>IFERROR(__xludf.DUMMYFUNCTION("""COMPUTED_VALUE"""),37377.666666666664)</f>
        <v>37377.66667</v>
      </c>
      <c r="B5640" s="2">
        <f>IFERROR(__xludf.DUMMYFUNCTION("""COMPUTED_VALUE"""),80.09)</f>
        <v>80.09</v>
      </c>
      <c r="C5640" s="2">
        <f>IFERROR(__xludf.DUMMYFUNCTION("""COMPUTED_VALUE"""),80.85)</f>
        <v>80.85</v>
      </c>
      <c r="D5640" s="2">
        <f>IFERROR(__xludf.DUMMYFUNCTION("""COMPUTED_VALUE"""),78.01)</f>
        <v>78.01</v>
      </c>
      <c r="E5640" s="2">
        <f>IFERROR(__xludf.DUMMYFUNCTION("""COMPUTED_VALUE"""),80.52)</f>
        <v>80.52</v>
      </c>
      <c r="F5640" s="2">
        <f>IFERROR(__xludf.DUMMYFUNCTION("""COMPUTED_VALUE"""),1.22039E7)</f>
        <v>12203900</v>
      </c>
    </row>
    <row r="5641">
      <c r="A5641" s="3">
        <f>IFERROR(__xludf.DUMMYFUNCTION("""COMPUTED_VALUE"""),37378.666666666664)</f>
        <v>37378.66667</v>
      </c>
      <c r="B5641" s="2">
        <f>IFERROR(__xludf.DUMMYFUNCTION("""COMPUTED_VALUE"""),79.99)</f>
        <v>79.99</v>
      </c>
      <c r="C5641" s="2">
        <f>IFERROR(__xludf.DUMMYFUNCTION("""COMPUTED_VALUE"""),81.0)</f>
        <v>81</v>
      </c>
      <c r="D5641" s="2">
        <f>IFERROR(__xludf.DUMMYFUNCTION("""COMPUTED_VALUE"""),79.4)</f>
        <v>79.4</v>
      </c>
      <c r="E5641" s="2">
        <f>IFERROR(__xludf.DUMMYFUNCTION("""COMPUTED_VALUE"""),80.1)</f>
        <v>80.1</v>
      </c>
      <c r="F5641" s="2">
        <f>IFERROR(__xludf.DUMMYFUNCTION("""COMPUTED_VALUE"""),6582900.0)</f>
        <v>6582900</v>
      </c>
    </row>
    <row r="5642">
      <c r="A5642" s="3">
        <f>IFERROR(__xludf.DUMMYFUNCTION("""COMPUTED_VALUE"""),37379.666666666664)</f>
        <v>37379.66667</v>
      </c>
      <c r="B5642" s="2">
        <f>IFERROR(__xludf.DUMMYFUNCTION("""COMPUTED_VALUE"""),79.37)</f>
        <v>79.37</v>
      </c>
      <c r="C5642" s="2">
        <f>IFERROR(__xludf.DUMMYFUNCTION("""COMPUTED_VALUE"""),79.76)</f>
        <v>79.76</v>
      </c>
      <c r="D5642" s="2">
        <f>IFERROR(__xludf.DUMMYFUNCTION("""COMPUTED_VALUE"""),77.47)</f>
        <v>77.47</v>
      </c>
      <c r="E5642" s="2">
        <f>IFERROR(__xludf.DUMMYFUNCTION("""COMPUTED_VALUE"""),78.11)</f>
        <v>78.11</v>
      </c>
      <c r="F5642" s="2">
        <f>IFERROR(__xludf.DUMMYFUNCTION("""COMPUTED_VALUE"""),8656300.0)</f>
        <v>8656300</v>
      </c>
    </row>
    <row r="5643">
      <c r="A5643" s="3">
        <f>IFERROR(__xludf.DUMMYFUNCTION("""COMPUTED_VALUE"""),37382.666666666664)</f>
        <v>37382.66667</v>
      </c>
      <c r="B5643" s="2">
        <f>IFERROR(__xludf.DUMMYFUNCTION("""COMPUTED_VALUE"""),78.04)</f>
        <v>78.04</v>
      </c>
      <c r="C5643" s="2">
        <f>IFERROR(__xludf.DUMMYFUNCTION("""COMPUTED_VALUE"""),78.2)</f>
        <v>78.2</v>
      </c>
      <c r="D5643" s="2">
        <f>IFERROR(__xludf.DUMMYFUNCTION("""COMPUTED_VALUE"""),72.59)</f>
        <v>72.59</v>
      </c>
      <c r="E5643" s="2">
        <f>IFERROR(__xludf.DUMMYFUNCTION("""COMPUTED_VALUE"""),72.59)</f>
        <v>72.59</v>
      </c>
      <c r="F5643" s="2">
        <f>IFERROR(__xludf.DUMMYFUNCTION("""COMPUTED_VALUE"""),1.36508E7)</f>
        <v>13650800</v>
      </c>
    </row>
    <row r="5644">
      <c r="A5644" s="3">
        <f>IFERROR(__xludf.DUMMYFUNCTION("""COMPUTED_VALUE"""),37383.666666666664)</f>
        <v>37383.66667</v>
      </c>
      <c r="B5644" s="2">
        <f>IFERROR(__xludf.DUMMYFUNCTION("""COMPUTED_VALUE"""),73.44)</f>
        <v>73.44</v>
      </c>
      <c r="C5644" s="2">
        <f>IFERROR(__xludf.DUMMYFUNCTION("""COMPUTED_VALUE"""),74.03)</f>
        <v>74.03</v>
      </c>
      <c r="D5644" s="2">
        <f>IFERROR(__xludf.DUMMYFUNCTION("""COMPUTED_VALUE"""),72.52)</f>
        <v>72.52</v>
      </c>
      <c r="E5644" s="2">
        <f>IFERROR(__xludf.DUMMYFUNCTION("""COMPUTED_VALUE"""),72.93)</f>
        <v>72.93</v>
      </c>
      <c r="F5644" s="2">
        <f>IFERROR(__xludf.DUMMYFUNCTION("""COMPUTED_VALUE"""),1.74188E7)</f>
        <v>17418800</v>
      </c>
    </row>
    <row r="5645">
      <c r="A5645" s="3">
        <f>IFERROR(__xludf.DUMMYFUNCTION("""COMPUTED_VALUE"""),37384.666666666664)</f>
        <v>37384.66667</v>
      </c>
      <c r="B5645" s="2">
        <f>IFERROR(__xludf.DUMMYFUNCTION("""COMPUTED_VALUE"""),74.98)</f>
        <v>74.98</v>
      </c>
      <c r="C5645" s="2">
        <f>IFERROR(__xludf.DUMMYFUNCTION("""COMPUTED_VALUE"""),79.09)</f>
        <v>79.09</v>
      </c>
      <c r="D5645" s="2">
        <f>IFERROR(__xludf.DUMMYFUNCTION("""COMPUTED_VALUE"""),74.69)</f>
        <v>74.69</v>
      </c>
      <c r="E5645" s="2">
        <f>IFERROR(__xludf.DUMMYFUNCTION("""COMPUTED_VALUE"""),78.75)</f>
        <v>78.75</v>
      </c>
      <c r="F5645" s="2">
        <f>IFERROR(__xludf.DUMMYFUNCTION("""COMPUTED_VALUE"""),1.27301E7)</f>
        <v>12730100</v>
      </c>
    </row>
    <row r="5646">
      <c r="A5646" s="3">
        <f>IFERROR(__xludf.DUMMYFUNCTION("""COMPUTED_VALUE"""),37385.666666666664)</f>
        <v>37385.66667</v>
      </c>
      <c r="B5646" s="2">
        <f>IFERROR(__xludf.DUMMYFUNCTION("""COMPUTED_VALUE"""),78.23)</f>
        <v>78.23</v>
      </c>
      <c r="C5646" s="2">
        <f>IFERROR(__xludf.DUMMYFUNCTION("""COMPUTED_VALUE"""),79.28)</f>
        <v>79.28</v>
      </c>
      <c r="D5646" s="2">
        <f>IFERROR(__xludf.DUMMYFUNCTION("""COMPUTED_VALUE"""),75.46)</f>
        <v>75.46</v>
      </c>
      <c r="E5646" s="2">
        <f>IFERROR(__xludf.DUMMYFUNCTION("""COMPUTED_VALUE"""),76.35)</f>
        <v>76.35</v>
      </c>
      <c r="F5646" s="2">
        <f>IFERROR(__xludf.DUMMYFUNCTION("""COMPUTED_VALUE"""),1.01301E7)</f>
        <v>10130100</v>
      </c>
    </row>
    <row r="5647">
      <c r="A5647" s="3">
        <f>IFERROR(__xludf.DUMMYFUNCTION("""COMPUTED_VALUE"""),37386.666666666664)</f>
        <v>37386.66667</v>
      </c>
      <c r="B5647" s="2">
        <f>IFERROR(__xludf.DUMMYFUNCTION("""COMPUTED_VALUE"""),76.37)</f>
        <v>76.37</v>
      </c>
      <c r="C5647" s="2">
        <f>IFERROR(__xludf.DUMMYFUNCTION("""COMPUTED_VALUE"""),76.89)</f>
        <v>76.89</v>
      </c>
      <c r="D5647" s="2">
        <f>IFERROR(__xludf.DUMMYFUNCTION("""COMPUTED_VALUE"""),75.7)</f>
        <v>75.7</v>
      </c>
      <c r="E5647" s="2">
        <f>IFERROR(__xludf.DUMMYFUNCTION("""COMPUTED_VALUE"""),76.11)</f>
        <v>76.11</v>
      </c>
      <c r="F5647" s="2">
        <f>IFERROR(__xludf.DUMMYFUNCTION("""COMPUTED_VALUE"""),7386300.0)</f>
        <v>7386300</v>
      </c>
    </row>
    <row r="5648">
      <c r="A5648" s="3">
        <f>IFERROR(__xludf.DUMMYFUNCTION("""COMPUTED_VALUE"""),37389.666666666664)</f>
        <v>37389.66667</v>
      </c>
      <c r="B5648" s="2">
        <f>IFERROR(__xludf.DUMMYFUNCTION("""COMPUTED_VALUE"""),76.65)</f>
        <v>76.65</v>
      </c>
      <c r="C5648" s="2">
        <f>IFERROR(__xludf.DUMMYFUNCTION("""COMPUTED_VALUE"""),78.6)</f>
        <v>78.6</v>
      </c>
      <c r="D5648" s="2">
        <f>IFERROR(__xludf.DUMMYFUNCTION("""COMPUTED_VALUE"""),75.94)</f>
        <v>75.94</v>
      </c>
      <c r="E5648" s="2">
        <f>IFERROR(__xludf.DUMMYFUNCTION("""COMPUTED_VALUE"""),78.5)</f>
        <v>78.5</v>
      </c>
      <c r="F5648" s="2">
        <f>IFERROR(__xludf.DUMMYFUNCTION("""COMPUTED_VALUE"""),6527600.0)</f>
        <v>6527600</v>
      </c>
    </row>
    <row r="5649">
      <c r="A5649" s="3">
        <f>IFERROR(__xludf.DUMMYFUNCTION("""COMPUTED_VALUE"""),37390.666666666664)</f>
        <v>37390.66667</v>
      </c>
      <c r="B5649" s="2">
        <f>IFERROR(__xludf.DUMMYFUNCTION("""COMPUTED_VALUE"""),80.71)</f>
        <v>80.71</v>
      </c>
      <c r="C5649" s="2">
        <f>IFERROR(__xludf.DUMMYFUNCTION("""COMPUTED_VALUE"""),81.65)</f>
        <v>81.65</v>
      </c>
      <c r="D5649" s="2">
        <f>IFERROR(__xludf.DUMMYFUNCTION("""COMPUTED_VALUE"""),78.5)</f>
        <v>78.5</v>
      </c>
      <c r="E5649" s="2">
        <f>IFERROR(__xludf.DUMMYFUNCTION("""COMPUTED_VALUE"""),81.65)</f>
        <v>81.65</v>
      </c>
      <c r="F5649" s="2">
        <f>IFERROR(__xludf.DUMMYFUNCTION("""COMPUTED_VALUE"""),9614700.0)</f>
        <v>9614700</v>
      </c>
    </row>
    <row r="5650">
      <c r="A5650" s="3">
        <f>IFERROR(__xludf.DUMMYFUNCTION("""COMPUTED_VALUE"""),37391.666666666664)</f>
        <v>37391.66667</v>
      </c>
      <c r="B5650" s="2">
        <f>IFERROR(__xludf.DUMMYFUNCTION("""COMPUTED_VALUE"""),81.18)</f>
        <v>81.18</v>
      </c>
      <c r="C5650" s="2">
        <f>IFERROR(__xludf.DUMMYFUNCTION("""COMPUTED_VALUE"""),82.61)</f>
        <v>82.61</v>
      </c>
      <c r="D5650" s="2">
        <f>IFERROR(__xludf.DUMMYFUNCTION("""COMPUTED_VALUE"""),80.28)</f>
        <v>80.28</v>
      </c>
      <c r="E5650" s="2">
        <f>IFERROR(__xludf.DUMMYFUNCTION("""COMPUTED_VALUE"""),80.71)</f>
        <v>80.71</v>
      </c>
      <c r="F5650" s="2">
        <f>IFERROR(__xludf.DUMMYFUNCTION("""COMPUTED_VALUE"""),8552300.0)</f>
        <v>8552300</v>
      </c>
    </row>
    <row r="5651">
      <c r="A5651" s="3">
        <f>IFERROR(__xludf.DUMMYFUNCTION("""COMPUTED_VALUE"""),37392.666666666664)</f>
        <v>37392.66667</v>
      </c>
      <c r="B5651" s="2">
        <f>IFERROR(__xludf.DUMMYFUNCTION("""COMPUTED_VALUE"""),81.62)</f>
        <v>81.62</v>
      </c>
      <c r="C5651" s="2">
        <f>IFERROR(__xludf.DUMMYFUNCTION("""COMPUTED_VALUE"""),81.62)</f>
        <v>81.62</v>
      </c>
      <c r="D5651" s="2">
        <f>IFERROR(__xludf.DUMMYFUNCTION("""COMPUTED_VALUE"""),81.62)</f>
        <v>81.62</v>
      </c>
      <c r="E5651" s="2">
        <f>IFERROR(__xludf.DUMMYFUNCTION("""COMPUTED_VALUE"""),81.62)</f>
        <v>81.62</v>
      </c>
      <c r="F5651" s="2">
        <f>IFERROR(__xludf.DUMMYFUNCTION("""COMPUTED_VALUE"""),3200.0)</f>
        <v>3200</v>
      </c>
    </row>
    <row r="5652">
      <c r="A5652" s="3">
        <f>IFERROR(__xludf.DUMMYFUNCTION("""COMPUTED_VALUE"""),37393.666666666664)</f>
        <v>37393.66667</v>
      </c>
      <c r="B5652" s="2">
        <f>IFERROR(__xludf.DUMMYFUNCTION("""COMPUTED_VALUE"""),82.38)</f>
        <v>82.38</v>
      </c>
      <c r="C5652" s="2">
        <f>IFERROR(__xludf.DUMMYFUNCTION("""COMPUTED_VALUE"""),82.53)</f>
        <v>82.53</v>
      </c>
      <c r="D5652" s="2">
        <f>IFERROR(__xludf.DUMMYFUNCTION("""COMPUTED_VALUE"""),81.19)</f>
        <v>81.19</v>
      </c>
      <c r="E5652" s="2">
        <f>IFERROR(__xludf.DUMMYFUNCTION("""COMPUTED_VALUE"""),81.85)</f>
        <v>81.85</v>
      </c>
      <c r="F5652" s="2">
        <f>IFERROR(__xludf.DUMMYFUNCTION("""COMPUTED_VALUE"""),5864100.0)</f>
        <v>5864100</v>
      </c>
    </row>
    <row r="5653">
      <c r="A5653" s="3">
        <f>IFERROR(__xludf.DUMMYFUNCTION("""COMPUTED_VALUE"""),37396.666666666664)</f>
        <v>37396.66667</v>
      </c>
      <c r="B5653" s="2">
        <f>IFERROR(__xludf.DUMMYFUNCTION("""COMPUTED_VALUE"""),81.62)</f>
        <v>81.62</v>
      </c>
      <c r="C5653" s="2">
        <f>IFERROR(__xludf.DUMMYFUNCTION("""COMPUTED_VALUE"""),81.62)</f>
        <v>81.62</v>
      </c>
      <c r="D5653" s="2">
        <f>IFERROR(__xludf.DUMMYFUNCTION("""COMPUTED_VALUE"""),80.17)</f>
        <v>80.17</v>
      </c>
      <c r="E5653" s="2">
        <f>IFERROR(__xludf.DUMMYFUNCTION("""COMPUTED_VALUE"""),80.64)</f>
        <v>80.64</v>
      </c>
      <c r="F5653" s="2">
        <f>IFERROR(__xludf.DUMMYFUNCTION("""COMPUTED_VALUE"""),4501300.0)</f>
        <v>4501300</v>
      </c>
    </row>
    <row r="5654">
      <c r="A5654" s="3">
        <f>IFERROR(__xludf.DUMMYFUNCTION("""COMPUTED_VALUE"""),37397.666666666664)</f>
        <v>37397.66667</v>
      </c>
      <c r="B5654" s="2">
        <f>IFERROR(__xludf.DUMMYFUNCTION("""COMPUTED_VALUE"""),80.63)</f>
        <v>80.63</v>
      </c>
      <c r="C5654" s="2">
        <f>IFERROR(__xludf.DUMMYFUNCTION("""COMPUTED_VALUE"""),81.19)</f>
        <v>81.19</v>
      </c>
      <c r="D5654" s="2">
        <f>IFERROR(__xludf.DUMMYFUNCTION("""COMPUTED_VALUE"""),79.57)</f>
        <v>79.57</v>
      </c>
      <c r="E5654" s="2">
        <f>IFERROR(__xludf.DUMMYFUNCTION("""COMPUTED_VALUE"""),79.71)</f>
        <v>79.71</v>
      </c>
      <c r="F5654" s="2">
        <f>IFERROR(__xludf.DUMMYFUNCTION("""COMPUTED_VALUE"""),4448700.0)</f>
        <v>4448700</v>
      </c>
    </row>
    <row r="5655">
      <c r="A5655" s="3">
        <f>IFERROR(__xludf.DUMMYFUNCTION("""COMPUTED_VALUE"""),37398.666666666664)</f>
        <v>37398.66667</v>
      </c>
      <c r="B5655" s="2">
        <f>IFERROR(__xludf.DUMMYFUNCTION("""COMPUTED_VALUE"""),80.0)</f>
        <v>80</v>
      </c>
      <c r="C5655" s="2">
        <f>IFERROR(__xludf.DUMMYFUNCTION("""COMPUTED_VALUE"""),80.61)</f>
        <v>80.61</v>
      </c>
      <c r="D5655" s="2">
        <f>IFERROR(__xludf.DUMMYFUNCTION("""COMPUTED_VALUE"""),79.03)</f>
        <v>79.03</v>
      </c>
      <c r="E5655" s="2">
        <f>IFERROR(__xludf.DUMMYFUNCTION("""COMPUTED_VALUE"""),80.23)</f>
        <v>80.23</v>
      </c>
      <c r="F5655" s="2">
        <f>IFERROR(__xludf.DUMMYFUNCTION("""COMPUTED_VALUE"""),5040600.0)</f>
        <v>5040600</v>
      </c>
    </row>
    <row r="5656">
      <c r="A5656" s="3">
        <f>IFERROR(__xludf.DUMMYFUNCTION("""COMPUTED_VALUE"""),37399.666666666664)</f>
        <v>37399.66667</v>
      </c>
      <c r="B5656" s="2">
        <f>IFERROR(__xludf.DUMMYFUNCTION("""COMPUTED_VALUE"""),80.47)</f>
        <v>80.47</v>
      </c>
      <c r="C5656" s="2">
        <f>IFERROR(__xludf.DUMMYFUNCTION("""COMPUTED_VALUE"""),81.24)</f>
        <v>81.24</v>
      </c>
      <c r="D5656" s="2">
        <f>IFERROR(__xludf.DUMMYFUNCTION("""COMPUTED_VALUE"""),78.82)</f>
        <v>78.82</v>
      </c>
      <c r="E5656" s="2">
        <f>IFERROR(__xludf.DUMMYFUNCTION("""COMPUTED_VALUE"""),79.95)</f>
        <v>79.95</v>
      </c>
      <c r="F5656" s="2">
        <f>IFERROR(__xludf.DUMMYFUNCTION("""COMPUTED_VALUE"""),6859900.0)</f>
        <v>6859900</v>
      </c>
    </row>
    <row r="5657">
      <c r="A5657" s="3">
        <f>IFERROR(__xludf.DUMMYFUNCTION("""COMPUTED_VALUE"""),37400.666666666664)</f>
        <v>37400.66667</v>
      </c>
      <c r="B5657" s="2">
        <f>IFERROR(__xludf.DUMMYFUNCTION("""COMPUTED_VALUE"""),79.9)</f>
        <v>79.9</v>
      </c>
      <c r="C5657" s="2">
        <f>IFERROR(__xludf.DUMMYFUNCTION("""COMPUTED_VALUE"""),79.99)</f>
        <v>79.99</v>
      </c>
      <c r="D5657" s="2">
        <f>IFERROR(__xludf.DUMMYFUNCTION("""COMPUTED_VALUE"""),78.92)</f>
        <v>78.92</v>
      </c>
      <c r="E5657" s="2">
        <f>IFERROR(__xludf.DUMMYFUNCTION("""COMPUTED_VALUE"""),79.37)</f>
        <v>79.37</v>
      </c>
      <c r="F5657" s="2">
        <f>IFERROR(__xludf.DUMMYFUNCTION("""COMPUTED_VALUE"""),4120600.0)</f>
        <v>4120600</v>
      </c>
    </row>
    <row r="5658">
      <c r="A5658" s="3">
        <f>IFERROR(__xludf.DUMMYFUNCTION("""COMPUTED_VALUE"""),37404.666666666664)</f>
        <v>37404.66667</v>
      </c>
      <c r="B5658" s="2">
        <f>IFERROR(__xludf.DUMMYFUNCTION("""COMPUTED_VALUE"""),79.09)</f>
        <v>79.09</v>
      </c>
      <c r="C5658" s="2">
        <f>IFERROR(__xludf.DUMMYFUNCTION("""COMPUTED_VALUE"""),79.38)</f>
        <v>79.38</v>
      </c>
      <c r="D5658" s="2">
        <f>IFERROR(__xludf.DUMMYFUNCTION("""COMPUTED_VALUE"""),78.03)</f>
        <v>78.03</v>
      </c>
      <c r="E5658" s="2">
        <f>IFERROR(__xludf.DUMMYFUNCTION("""COMPUTED_VALUE"""),78.4)</f>
        <v>78.4</v>
      </c>
      <c r="F5658" s="2">
        <f>IFERROR(__xludf.DUMMYFUNCTION("""COMPUTED_VALUE"""),4552300.0)</f>
        <v>4552300</v>
      </c>
    </row>
    <row r="5659">
      <c r="A5659" s="3">
        <f>IFERROR(__xludf.DUMMYFUNCTION("""COMPUTED_VALUE"""),37405.666666666664)</f>
        <v>37405.66667</v>
      </c>
      <c r="B5659" s="2">
        <f>IFERROR(__xludf.DUMMYFUNCTION("""COMPUTED_VALUE"""),77.85)</f>
        <v>77.85</v>
      </c>
      <c r="C5659" s="2">
        <f>IFERROR(__xludf.DUMMYFUNCTION("""COMPUTED_VALUE"""),78.32)</f>
        <v>78.32</v>
      </c>
      <c r="D5659" s="2">
        <f>IFERROR(__xludf.DUMMYFUNCTION("""COMPUTED_VALUE"""),77.37)</f>
        <v>77.37</v>
      </c>
      <c r="E5659" s="2">
        <f>IFERROR(__xludf.DUMMYFUNCTION("""COMPUTED_VALUE"""),77.94)</f>
        <v>77.94</v>
      </c>
      <c r="F5659" s="2">
        <f>IFERROR(__xludf.DUMMYFUNCTION("""COMPUTED_VALUE"""),4514700.0)</f>
        <v>4514700</v>
      </c>
    </row>
    <row r="5660">
      <c r="A5660" s="3">
        <f>IFERROR(__xludf.DUMMYFUNCTION("""COMPUTED_VALUE"""),37406.666666666664)</f>
        <v>37406.66667</v>
      </c>
      <c r="B5660" s="2">
        <f>IFERROR(__xludf.DUMMYFUNCTION("""COMPUTED_VALUE"""),76.99)</f>
        <v>76.99</v>
      </c>
      <c r="C5660" s="2">
        <f>IFERROR(__xludf.DUMMYFUNCTION("""COMPUTED_VALUE"""),78.56)</f>
        <v>78.56</v>
      </c>
      <c r="D5660" s="2">
        <f>IFERROR(__xludf.DUMMYFUNCTION("""COMPUTED_VALUE"""),76.62)</f>
        <v>76.62</v>
      </c>
      <c r="E5660" s="2">
        <f>IFERROR(__xludf.DUMMYFUNCTION("""COMPUTED_VALUE"""),78.56)</f>
        <v>78.56</v>
      </c>
      <c r="F5660" s="2">
        <f>IFERROR(__xludf.DUMMYFUNCTION("""COMPUTED_VALUE"""),7342600.0)</f>
        <v>7342600</v>
      </c>
    </row>
    <row r="5661">
      <c r="A5661" s="3">
        <f>IFERROR(__xludf.DUMMYFUNCTION("""COMPUTED_VALUE"""),37407.666666666664)</f>
        <v>37407.66667</v>
      </c>
      <c r="B5661" s="2">
        <f>IFERROR(__xludf.DUMMYFUNCTION("""COMPUTED_VALUE"""),78.37)</f>
        <v>78.37</v>
      </c>
      <c r="C5661" s="2">
        <f>IFERROR(__xludf.DUMMYFUNCTION("""COMPUTED_VALUE"""),78.37)</f>
        <v>78.37</v>
      </c>
      <c r="D5661" s="2">
        <f>IFERROR(__xludf.DUMMYFUNCTION("""COMPUTED_VALUE"""),76.8)</f>
        <v>76.8</v>
      </c>
      <c r="E5661" s="2">
        <f>IFERROR(__xludf.DUMMYFUNCTION("""COMPUTED_VALUE"""),76.85)</f>
        <v>76.85</v>
      </c>
      <c r="F5661" s="2">
        <f>IFERROR(__xludf.DUMMYFUNCTION("""COMPUTED_VALUE"""),5040400.0)</f>
        <v>5040400</v>
      </c>
    </row>
    <row r="5662">
      <c r="A5662" s="3">
        <f>IFERROR(__xludf.DUMMYFUNCTION("""COMPUTED_VALUE"""),37410.666666666664)</f>
        <v>37410.66667</v>
      </c>
      <c r="B5662" s="2">
        <f>IFERROR(__xludf.DUMMYFUNCTION("""COMPUTED_VALUE"""),77.13)</f>
        <v>77.13</v>
      </c>
      <c r="C5662" s="2">
        <f>IFERROR(__xludf.DUMMYFUNCTION("""COMPUTED_VALUE"""),77.28)</f>
        <v>77.28</v>
      </c>
      <c r="D5662" s="2">
        <f>IFERROR(__xludf.DUMMYFUNCTION("""COMPUTED_VALUE"""),74.5)</f>
        <v>74.5</v>
      </c>
      <c r="E5662" s="2">
        <f>IFERROR(__xludf.DUMMYFUNCTION("""COMPUTED_VALUE"""),74.61)</f>
        <v>74.61</v>
      </c>
      <c r="F5662" s="2">
        <f>IFERROR(__xludf.DUMMYFUNCTION("""COMPUTED_VALUE"""),8383900.0)</f>
        <v>8383900</v>
      </c>
    </row>
    <row r="5663">
      <c r="A5663" s="3">
        <f>IFERROR(__xludf.DUMMYFUNCTION("""COMPUTED_VALUE"""),37411.666666666664)</f>
        <v>37411.66667</v>
      </c>
      <c r="B5663" s="2">
        <f>IFERROR(__xludf.DUMMYFUNCTION("""COMPUTED_VALUE"""),74.61)</f>
        <v>74.61</v>
      </c>
      <c r="C5663" s="2">
        <f>IFERROR(__xludf.DUMMYFUNCTION("""COMPUTED_VALUE"""),76.08)</f>
        <v>76.08</v>
      </c>
      <c r="D5663" s="2">
        <f>IFERROR(__xludf.DUMMYFUNCTION("""COMPUTED_VALUE"""),74.12)</f>
        <v>74.12</v>
      </c>
      <c r="E5663" s="2">
        <f>IFERROR(__xludf.DUMMYFUNCTION("""COMPUTED_VALUE"""),75.75)</f>
        <v>75.75</v>
      </c>
      <c r="F5663" s="2">
        <f>IFERROR(__xludf.DUMMYFUNCTION("""COMPUTED_VALUE"""),7255600.0)</f>
        <v>7255600</v>
      </c>
    </row>
    <row r="5664">
      <c r="A5664" s="3">
        <f>IFERROR(__xludf.DUMMYFUNCTION("""COMPUTED_VALUE"""),37412.666666666664)</f>
        <v>37412.66667</v>
      </c>
      <c r="B5664" s="2">
        <f>IFERROR(__xludf.DUMMYFUNCTION("""COMPUTED_VALUE"""),76.08)</f>
        <v>76.08</v>
      </c>
      <c r="C5664" s="2">
        <f>IFERROR(__xludf.DUMMYFUNCTION("""COMPUTED_VALUE"""),77.09)</f>
        <v>77.09</v>
      </c>
      <c r="D5664" s="2">
        <f>IFERROR(__xludf.DUMMYFUNCTION("""COMPUTED_VALUE"""),75.56)</f>
        <v>75.56</v>
      </c>
      <c r="E5664" s="2">
        <f>IFERROR(__xludf.DUMMYFUNCTION("""COMPUTED_VALUE"""),76.94)</f>
        <v>76.94</v>
      </c>
      <c r="F5664" s="2">
        <f>IFERROR(__xludf.DUMMYFUNCTION("""COMPUTED_VALUE"""),7172100.0)</f>
        <v>7172100</v>
      </c>
    </row>
    <row r="5665">
      <c r="A5665" s="3">
        <f>IFERROR(__xludf.DUMMYFUNCTION("""COMPUTED_VALUE"""),37413.666666666664)</f>
        <v>37413.66667</v>
      </c>
      <c r="B5665" s="2">
        <f>IFERROR(__xludf.DUMMYFUNCTION("""COMPUTED_VALUE"""),76.94)</f>
        <v>76.94</v>
      </c>
      <c r="C5665" s="2">
        <f>IFERROR(__xludf.DUMMYFUNCTION("""COMPUTED_VALUE"""),77.32)</f>
        <v>77.32</v>
      </c>
      <c r="D5665" s="2">
        <f>IFERROR(__xludf.DUMMYFUNCTION("""COMPUTED_VALUE"""),75.35)</f>
        <v>75.35</v>
      </c>
      <c r="E5665" s="2">
        <f>IFERROR(__xludf.DUMMYFUNCTION("""COMPUTED_VALUE"""),76.09)</f>
        <v>76.09</v>
      </c>
      <c r="F5665" s="2">
        <f>IFERROR(__xludf.DUMMYFUNCTION("""COMPUTED_VALUE"""),5536900.0)</f>
        <v>5536900</v>
      </c>
    </row>
    <row r="5666">
      <c r="A5666" s="3">
        <f>IFERROR(__xludf.DUMMYFUNCTION("""COMPUTED_VALUE"""),37414.666666666664)</f>
        <v>37414.66667</v>
      </c>
      <c r="B5666" s="2">
        <f>IFERROR(__xludf.DUMMYFUNCTION("""COMPUTED_VALUE"""),74.96)</f>
        <v>74.96</v>
      </c>
      <c r="C5666" s="2">
        <f>IFERROR(__xludf.DUMMYFUNCTION("""COMPUTED_VALUE"""),75.31)</f>
        <v>75.31</v>
      </c>
      <c r="D5666" s="2">
        <f>IFERROR(__xludf.DUMMYFUNCTION("""COMPUTED_VALUE"""),73.55)</f>
        <v>73.55</v>
      </c>
      <c r="E5666" s="2">
        <f>IFERROR(__xludf.DUMMYFUNCTION("""COMPUTED_VALUE"""),74.79)</f>
        <v>74.79</v>
      </c>
      <c r="F5666" s="2">
        <f>IFERROR(__xludf.DUMMYFUNCTION("""COMPUTED_VALUE"""),9309300.0)</f>
        <v>9309300</v>
      </c>
    </row>
    <row r="5667">
      <c r="A5667" s="3">
        <f>IFERROR(__xludf.DUMMYFUNCTION("""COMPUTED_VALUE"""),37417.666666666664)</f>
        <v>37417.66667</v>
      </c>
      <c r="B5667" s="2">
        <f>IFERROR(__xludf.DUMMYFUNCTION("""COMPUTED_VALUE"""),74.26)</f>
        <v>74.26</v>
      </c>
      <c r="C5667" s="2">
        <f>IFERROR(__xludf.DUMMYFUNCTION("""COMPUTED_VALUE"""),75.27)</f>
        <v>75.27</v>
      </c>
      <c r="D5667" s="2">
        <f>IFERROR(__xludf.DUMMYFUNCTION("""COMPUTED_VALUE"""),73.17)</f>
        <v>73.17</v>
      </c>
      <c r="E5667" s="2">
        <f>IFERROR(__xludf.DUMMYFUNCTION("""COMPUTED_VALUE"""),73.36)</f>
        <v>73.36</v>
      </c>
      <c r="F5667" s="2">
        <f>IFERROR(__xludf.DUMMYFUNCTION("""COMPUTED_VALUE"""),7000400.0)</f>
        <v>7000400</v>
      </c>
    </row>
    <row r="5668">
      <c r="A5668" s="3">
        <f>IFERROR(__xludf.DUMMYFUNCTION("""COMPUTED_VALUE"""),37418.666666666664)</f>
        <v>37418.66667</v>
      </c>
      <c r="B5668" s="2">
        <f>IFERROR(__xludf.DUMMYFUNCTION("""COMPUTED_VALUE"""),74.36)</f>
        <v>74.36</v>
      </c>
      <c r="C5668" s="2">
        <f>IFERROR(__xludf.DUMMYFUNCTION("""COMPUTED_VALUE"""),74.74)</f>
        <v>74.74</v>
      </c>
      <c r="D5668" s="2">
        <f>IFERROR(__xludf.DUMMYFUNCTION("""COMPUTED_VALUE"""),71.83)</f>
        <v>71.83</v>
      </c>
      <c r="E5668" s="2">
        <f>IFERROR(__xludf.DUMMYFUNCTION("""COMPUTED_VALUE"""),72.11)</f>
        <v>72.11</v>
      </c>
      <c r="F5668" s="2">
        <f>IFERROR(__xludf.DUMMYFUNCTION("""COMPUTED_VALUE"""),7945800.0)</f>
        <v>7945800</v>
      </c>
    </row>
    <row r="5669">
      <c r="A5669" s="3">
        <f>IFERROR(__xludf.DUMMYFUNCTION("""COMPUTED_VALUE"""),37419.666666666664)</f>
        <v>37419.66667</v>
      </c>
      <c r="B5669" s="2">
        <f>IFERROR(__xludf.DUMMYFUNCTION("""COMPUTED_VALUE"""),72.02)</f>
        <v>72.02</v>
      </c>
      <c r="C5669" s="2">
        <f>IFERROR(__xludf.DUMMYFUNCTION("""COMPUTED_VALUE"""),72.54)</f>
        <v>72.54</v>
      </c>
      <c r="D5669" s="2">
        <f>IFERROR(__xludf.DUMMYFUNCTION("""COMPUTED_VALUE"""),69.97)</f>
        <v>69.97</v>
      </c>
      <c r="E5669" s="2">
        <f>IFERROR(__xludf.DUMMYFUNCTION("""COMPUTED_VALUE"""),71.3)</f>
        <v>71.3</v>
      </c>
      <c r="F5669" s="2">
        <f>IFERROR(__xludf.DUMMYFUNCTION("""COMPUTED_VALUE"""),1.32961E7)</f>
        <v>13296100</v>
      </c>
    </row>
    <row r="5670">
      <c r="A5670" s="3">
        <f>IFERROR(__xludf.DUMMYFUNCTION("""COMPUTED_VALUE"""),37420.666666666664)</f>
        <v>37420.66667</v>
      </c>
      <c r="B5670" s="2">
        <f>IFERROR(__xludf.DUMMYFUNCTION("""COMPUTED_VALUE"""),72.07)</f>
        <v>72.07</v>
      </c>
      <c r="C5670" s="2">
        <f>IFERROR(__xludf.DUMMYFUNCTION("""COMPUTED_VALUE"""),73.93)</f>
        <v>73.93</v>
      </c>
      <c r="D5670" s="2">
        <f>IFERROR(__xludf.DUMMYFUNCTION("""COMPUTED_VALUE"""),71.92)</f>
        <v>71.92</v>
      </c>
      <c r="E5670" s="2">
        <f>IFERROR(__xludf.DUMMYFUNCTION("""COMPUTED_VALUE"""),72.98)</f>
        <v>72.98</v>
      </c>
      <c r="F5670" s="2">
        <f>IFERROR(__xludf.DUMMYFUNCTION("""COMPUTED_VALUE"""),8891300.0)</f>
        <v>8891300</v>
      </c>
    </row>
    <row r="5671">
      <c r="A5671" s="3">
        <f>IFERROR(__xludf.DUMMYFUNCTION("""COMPUTED_VALUE"""),37421.666666666664)</f>
        <v>37421.66667</v>
      </c>
      <c r="B5671" s="2">
        <f>IFERROR(__xludf.DUMMYFUNCTION("""COMPUTED_VALUE"""),70.87)</f>
        <v>70.87</v>
      </c>
      <c r="C5671" s="2">
        <f>IFERROR(__xludf.DUMMYFUNCTION("""COMPUTED_VALUE"""),73.33)</f>
        <v>73.33</v>
      </c>
      <c r="D5671" s="2">
        <f>IFERROR(__xludf.DUMMYFUNCTION("""COMPUTED_VALUE"""),69.97)</f>
        <v>69.97</v>
      </c>
      <c r="E5671" s="2">
        <f>IFERROR(__xludf.DUMMYFUNCTION("""COMPUTED_VALUE"""),72.78)</f>
        <v>72.78</v>
      </c>
      <c r="F5671" s="2">
        <f>IFERROR(__xludf.DUMMYFUNCTION("""COMPUTED_VALUE"""),8584500.0)</f>
        <v>8584500</v>
      </c>
    </row>
    <row r="5672">
      <c r="A5672" s="3">
        <f>IFERROR(__xludf.DUMMYFUNCTION("""COMPUTED_VALUE"""),37424.666666666664)</f>
        <v>37424.66667</v>
      </c>
      <c r="B5672" s="2">
        <f>IFERROR(__xludf.DUMMYFUNCTION("""COMPUTED_VALUE"""),72.76)</f>
        <v>72.76</v>
      </c>
      <c r="C5672" s="2">
        <f>IFERROR(__xludf.DUMMYFUNCTION("""COMPUTED_VALUE"""),74.26)</f>
        <v>74.26</v>
      </c>
      <c r="D5672" s="2">
        <f>IFERROR(__xludf.DUMMYFUNCTION("""COMPUTED_VALUE"""),71.79)</f>
        <v>71.79</v>
      </c>
      <c r="E5672" s="2">
        <f>IFERROR(__xludf.DUMMYFUNCTION("""COMPUTED_VALUE"""),73.68)</f>
        <v>73.68</v>
      </c>
      <c r="F5672" s="2">
        <f>IFERROR(__xludf.DUMMYFUNCTION("""COMPUTED_VALUE"""),7775800.0)</f>
        <v>7775800</v>
      </c>
    </row>
    <row r="5673">
      <c r="A5673" s="3">
        <f>IFERROR(__xludf.DUMMYFUNCTION("""COMPUTED_VALUE"""),37425.666666666664)</f>
        <v>37425.66667</v>
      </c>
      <c r="B5673" s="2">
        <f>IFERROR(__xludf.DUMMYFUNCTION("""COMPUTED_VALUE"""),72.21)</f>
        <v>72.21</v>
      </c>
      <c r="C5673" s="2">
        <f>IFERROR(__xludf.DUMMYFUNCTION("""COMPUTED_VALUE"""),73.45)</f>
        <v>73.45</v>
      </c>
      <c r="D5673" s="2">
        <f>IFERROR(__xludf.DUMMYFUNCTION("""COMPUTED_VALUE"""),72.09)</f>
        <v>72.09</v>
      </c>
      <c r="E5673" s="2">
        <f>IFERROR(__xludf.DUMMYFUNCTION("""COMPUTED_VALUE"""),72.54)</f>
        <v>72.54</v>
      </c>
      <c r="F5673" s="2">
        <f>IFERROR(__xludf.DUMMYFUNCTION("""COMPUTED_VALUE"""),7242000.0)</f>
        <v>7242000</v>
      </c>
    </row>
    <row r="5674">
      <c r="A5674" s="3">
        <f>IFERROR(__xludf.DUMMYFUNCTION("""COMPUTED_VALUE"""),37426.666666666664)</f>
        <v>37426.66667</v>
      </c>
      <c r="B5674" s="2">
        <f>IFERROR(__xludf.DUMMYFUNCTION("""COMPUTED_VALUE"""),70.87)</f>
        <v>70.87</v>
      </c>
      <c r="C5674" s="2">
        <f>IFERROR(__xludf.DUMMYFUNCTION("""COMPUTED_VALUE"""),71.83)</f>
        <v>71.83</v>
      </c>
      <c r="D5674" s="2">
        <f>IFERROR(__xludf.DUMMYFUNCTION("""COMPUTED_VALUE"""),69.97)</f>
        <v>69.97</v>
      </c>
      <c r="E5674" s="2">
        <f>IFERROR(__xludf.DUMMYFUNCTION("""COMPUTED_VALUE"""),70.01)</f>
        <v>70.01</v>
      </c>
      <c r="F5674" s="2">
        <f>IFERROR(__xludf.DUMMYFUNCTION("""COMPUTED_VALUE"""),9450300.0)</f>
        <v>9450300</v>
      </c>
    </row>
    <row r="5675">
      <c r="A5675" s="3">
        <f>IFERROR(__xludf.DUMMYFUNCTION("""COMPUTED_VALUE"""),37427.666666666664)</f>
        <v>37427.66667</v>
      </c>
      <c r="B5675" s="2">
        <f>IFERROR(__xludf.DUMMYFUNCTION("""COMPUTED_VALUE"""),70.68)</f>
        <v>70.68</v>
      </c>
      <c r="C5675" s="2">
        <f>IFERROR(__xludf.DUMMYFUNCTION("""COMPUTED_VALUE"""),70.77)</f>
        <v>70.77</v>
      </c>
      <c r="D5675" s="2">
        <f>IFERROR(__xludf.DUMMYFUNCTION("""COMPUTED_VALUE"""),68.23)</f>
        <v>68.23</v>
      </c>
      <c r="E5675" s="2">
        <f>IFERROR(__xludf.DUMMYFUNCTION("""COMPUTED_VALUE"""),68.37)</f>
        <v>68.37</v>
      </c>
      <c r="F5675" s="2">
        <f>IFERROR(__xludf.DUMMYFUNCTION("""COMPUTED_VALUE"""),1.11169E7)</f>
        <v>11116900</v>
      </c>
    </row>
    <row r="5676">
      <c r="A5676" s="3">
        <f>IFERROR(__xludf.DUMMYFUNCTION("""COMPUTED_VALUE"""),37428.666666666664)</f>
        <v>37428.66667</v>
      </c>
      <c r="B5676" s="2">
        <f>IFERROR(__xludf.DUMMYFUNCTION("""COMPUTED_VALUE"""),67.15)</f>
        <v>67.15</v>
      </c>
      <c r="C5676" s="2">
        <f>IFERROR(__xludf.DUMMYFUNCTION("""COMPUTED_VALUE"""),67.81)</f>
        <v>67.81</v>
      </c>
      <c r="D5676" s="2">
        <f>IFERROR(__xludf.DUMMYFUNCTION("""COMPUTED_VALUE"""),65.13)</f>
        <v>65.13</v>
      </c>
      <c r="E5676" s="2">
        <f>IFERROR(__xludf.DUMMYFUNCTION("""COMPUTED_VALUE"""),65.67)</f>
        <v>65.67</v>
      </c>
      <c r="F5676" s="2">
        <f>IFERROR(__xludf.DUMMYFUNCTION("""COMPUTED_VALUE"""),1.53564E7)</f>
        <v>15356400</v>
      </c>
    </row>
    <row r="5677">
      <c r="A5677" s="3">
        <f>IFERROR(__xludf.DUMMYFUNCTION("""COMPUTED_VALUE"""),37431.666666666664)</f>
        <v>37431.66667</v>
      </c>
      <c r="B5677" s="2">
        <f>IFERROR(__xludf.DUMMYFUNCTION("""COMPUTED_VALUE"""),64.23)</f>
        <v>64.23</v>
      </c>
      <c r="C5677" s="2">
        <f>IFERROR(__xludf.DUMMYFUNCTION("""COMPUTED_VALUE"""),68.28)</f>
        <v>68.28</v>
      </c>
      <c r="D5677" s="2">
        <f>IFERROR(__xludf.DUMMYFUNCTION("""COMPUTED_VALUE"""),64.23)</f>
        <v>64.23</v>
      </c>
      <c r="E5677" s="2">
        <f>IFERROR(__xludf.DUMMYFUNCTION("""COMPUTED_VALUE"""),66.57)</f>
        <v>66.57</v>
      </c>
      <c r="F5677" s="2">
        <f>IFERROR(__xludf.DUMMYFUNCTION("""COMPUTED_VALUE"""),1.46109E7)</f>
        <v>14610900</v>
      </c>
    </row>
    <row r="5678">
      <c r="A5678" s="3">
        <f>IFERROR(__xludf.DUMMYFUNCTION("""COMPUTED_VALUE"""),37432.666666666664)</f>
        <v>37432.66667</v>
      </c>
      <c r="B5678" s="2">
        <f>IFERROR(__xludf.DUMMYFUNCTION("""COMPUTED_VALUE"""),67.15)</f>
        <v>67.15</v>
      </c>
      <c r="C5678" s="2">
        <f>IFERROR(__xludf.DUMMYFUNCTION("""COMPUTED_VALUE"""),68.25)</f>
        <v>68.25</v>
      </c>
      <c r="D5678" s="2">
        <f>IFERROR(__xludf.DUMMYFUNCTION("""COMPUTED_VALUE"""),65.34)</f>
        <v>65.34</v>
      </c>
      <c r="E5678" s="2">
        <f>IFERROR(__xludf.DUMMYFUNCTION("""COMPUTED_VALUE"""),65.52)</f>
        <v>65.52</v>
      </c>
      <c r="F5678" s="2">
        <f>IFERROR(__xludf.DUMMYFUNCTION("""COMPUTED_VALUE"""),8555100.0)</f>
        <v>8555100</v>
      </c>
    </row>
    <row r="5679">
      <c r="A5679" s="3">
        <f>IFERROR(__xludf.DUMMYFUNCTION("""COMPUTED_VALUE"""),37433.666666666664)</f>
        <v>37433.66667</v>
      </c>
      <c r="B5679" s="2">
        <f>IFERROR(__xludf.DUMMYFUNCTION("""COMPUTED_VALUE"""),63.76)</f>
        <v>63.76</v>
      </c>
      <c r="C5679" s="2">
        <f>IFERROR(__xludf.DUMMYFUNCTION("""COMPUTED_VALUE"""),67.43)</f>
        <v>67.43</v>
      </c>
      <c r="D5679" s="2">
        <f>IFERROR(__xludf.DUMMYFUNCTION("""COMPUTED_VALUE"""),63.14)</f>
        <v>63.14</v>
      </c>
      <c r="E5679" s="2">
        <f>IFERROR(__xludf.DUMMYFUNCTION("""COMPUTED_VALUE"""),66.91)</f>
        <v>66.91</v>
      </c>
      <c r="F5679" s="2">
        <f>IFERROR(__xludf.DUMMYFUNCTION("""COMPUTED_VALUE"""),1.14912E7)</f>
        <v>11491200</v>
      </c>
    </row>
    <row r="5680">
      <c r="A5680" s="3">
        <f>IFERROR(__xludf.DUMMYFUNCTION("""COMPUTED_VALUE"""),37434.666666666664)</f>
        <v>37434.66667</v>
      </c>
      <c r="B5680" s="2">
        <f>IFERROR(__xludf.DUMMYFUNCTION("""COMPUTED_VALUE"""),68.01)</f>
        <v>68.01</v>
      </c>
      <c r="C5680" s="2">
        <f>IFERROR(__xludf.DUMMYFUNCTION("""COMPUTED_VALUE"""),68.92)</f>
        <v>68.92</v>
      </c>
      <c r="D5680" s="2">
        <f>IFERROR(__xludf.DUMMYFUNCTION("""COMPUTED_VALUE"""),66.0)</f>
        <v>66</v>
      </c>
      <c r="E5680" s="2">
        <f>IFERROR(__xludf.DUMMYFUNCTION("""COMPUTED_VALUE"""),68.68)</f>
        <v>68.68</v>
      </c>
      <c r="F5680" s="2">
        <f>IFERROR(__xludf.DUMMYFUNCTION("""COMPUTED_VALUE"""),1.06103E7)</f>
        <v>10610300</v>
      </c>
    </row>
    <row r="5681">
      <c r="A5681" s="3">
        <f>IFERROR(__xludf.DUMMYFUNCTION("""COMPUTED_VALUE"""),37435.666666666664)</f>
        <v>37435.66667</v>
      </c>
      <c r="B5681" s="2">
        <f>IFERROR(__xludf.DUMMYFUNCTION("""COMPUTED_VALUE"""),68.15)</f>
        <v>68.15</v>
      </c>
      <c r="C5681" s="2">
        <f>IFERROR(__xludf.DUMMYFUNCTION("""COMPUTED_VALUE"""),70.32)</f>
        <v>70.32</v>
      </c>
      <c r="D5681" s="2">
        <f>IFERROR(__xludf.DUMMYFUNCTION("""COMPUTED_VALUE"""),68.06)</f>
        <v>68.06</v>
      </c>
      <c r="E5681" s="2">
        <f>IFERROR(__xludf.DUMMYFUNCTION("""COMPUTED_VALUE"""),68.77)</f>
        <v>68.77</v>
      </c>
      <c r="F5681" s="2">
        <f>IFERROR(__xludf.DUMMYFUNCTION("""COMPUTED_VALUE"""),1.05284E7)</f>
        <v>10528400</v>
      </c>
    </row>
    <row r="5682">
      <c r="A5682" s="3">
        <f>IFERROR(__xludf.DUMMYFUNCTION("""COMPUTED_VALUE"""),37438.666666666664)</f>
        <v>37438.66667</v>
      </c>
      <c r="B5682" s="2">
        <f>IFERROR(__xludf.DUMMYFUNCTION("""COMPUTED_VALUE"""),68.78)</f>
        <v>68.78</v>
      </c>
      <c r="C5682" s="2">
        <f>IFERROR(__xludf.DUMMYFUNCTION("""COMPUTED_VALUE"""),69.16)</f>
        <v>69.16</v>
      </c>
      <c r="D5682" s="2">
        <f>IFERROR(__xludf.DUMMYFUNCTION("""COMPUTED_VALUE"""),64.15)</f>
        <v>64.15</v>
      </c>
      <c r="E5682" s="2">
        <f>IFERROR(__xludf.DUMMYFUNCTION("""COMPUTED_VALUE"""),64.57)</f>
        <v>64.57</v>
      </c>
      <c r="F5682" s="2">
        <f>IFERROR(__xludf.DUMMYFUNCTION("""COMPUTED_VALUE"""),1.20644E7)</f>
        <v>12064400</v>
      </c>
    </row>
    <row r="5683">
      <c r="A5683" s="3">
        <f>IFERROR(__xludf.DUMMYFUNCTION("""COMPUTED_VALUE"""),37439.666666666664)</f>
        <v>37439.66667</v>
      </c>
      <c r="B5683" s="2">
        <f>IFERROR(__xludf.DUMMYFUNCTION("""COMPUTED_VALUE"""),64.81)</f>
        <v>64.81</v>
      </c>
      <c r="C5683" s="2">
        <f>IFERROR(__xludf.DUMMYFUNCTION("""COMPUTED_VALUE"""),66.29)</f>
        <v>66.29</v>
      </c>
      <c r="D5683" s="2">
        <f>IFERROR(__xludf.DUMMYFUNCTION("""COMPUTED_VALUE"""),64.66)</f>
        <v>64.66</v>
      </c>
      <c r="E5683" s="2">
        <f>IFERROR(__xludf.DUMMYFUNCTION("""COMPUTED_VALUE"""),65.41)</f>
        <v>65.41</v>
      </c>
      <c r="F5683" s="2">
        <f>IFERROR(__xludf.DUMMYFUNCTION("""COMPUTED_VALUE"""),1.2011E7)</f>
        <v>12011000</v>
      </c>
    </row>
    <row r="5684">
      <c r="A5684" s="3">
        <f>IFERROR(__xludf.DUMMYFUNCTION("""COMPUTED_VALUE"""),37440.666666666664)</f>
        <v>37440.66667</v>
      </c>
      <c r="B5684" s="2">
        <f>IFERROR(__xludf.DUMMYFUNCTION("""COMPUTED_VALUE"""),64.9)</f>
        <v>64.9</v>
      </c>
      <c r="C5684" s="2">
        <f>IFERROR(__xludf.DUMMYFUNCTION("""COMPUTED_VALUE"""),67.54)</f>
        <v>67.54</v>
      </c>
      <c r="D5684" s="2">
        <f>IFERROR(__xludf.DUMMYFUNCTION("""COMPUTED_VALUE"""),64.83)</f>
        <v>64.83</v>
      </c>
      <c r="E5684" s="2">
        <f>IFERROR(__xludf.DUMMYFUNCTION("""COMPUTED_VALUE"""),67.35)</f>
        <v>67.35</v>
      </c>
      <c r="F5684" s="2">
        <f>IFERROR(__xludf.DUMMYFUNCTION("""COMPUTED_VALUE"""),8469800.0)</f>
        <v>8469800</v>
      </c>
    </row>
    <row r="5685">
      <c r="A5685" s="3">
        <f>IFERROR(__xludf.DUMMYFUNCTION("""COMPUTED_VALUE"""),37442.666666666664)</f>
        <v>37442.66667</v>
      </c>
      <c r="B5685" s="2">
        <f>IFERROR(__xludf.DUMMYFUNCTION("""COMPUTED_VALUE"""),69.2)</f>
        <v>69.2</v>
      </c>
      <c r="C5685" s="2">
        <f>IFERROR(__xludf.DUMMYFUNCTION("""COMPUTED_VALUE"""),70.59)</f>
        <v>70.59</v>
      </c>
      <c r="D5685" s="2">
        <f>IFERROR(__xludf.DUMMYFUNCTION("""COMPUTED_VALUE"""),68.77)</f>
        <v>68.77</v>
      </c>
      <c r="E5685" s="2">
        <f>IFERROR(__xludf.DUMMYFUNCTION("""COMPUTED_VALUE"""),70.2)</f>
        <v>70.2</v>
      </c>
      <c r="F5685" s="2">
        <f>IFERROR(__xludf.DUMMYFUNCTION("""COMPUTED_VALUE"""),5243000.0)</f>
        <v>5243000</v>
      </c>
    </row>
    <row r="5686">
      <c r="A5686" s="3">
        <f>IFERROR(__xludf.DUMMYFUNCTION("""COMPUTED_VALUE"""),37445.666666666664)</f>
        <v>37445.66667</v>
      </c>
      <c r="B5686" s="2">
        <f>IFERROR(__xludf.DUMMYFUNCTION("""COMPUTED_VALUE"""),69.73)</f>
        <v>69.73</v>
      </c>
      <c r="C5686" s="2">
        <f>IFERROR(__xludf.DUMMYFUNCTION("""COMPUTED_VALUE"""),70.19)</f>
        <v>70.19</v>
      </c>
      <c r="D5686" s="2">
        <f>IFERROR(__xludf.DUMMYFUNCTION("""COMPUTED_VALUE"""),67.85)</f>
        <v>67.85</v>
      </c>
      <c r="E5686" s="2">
        <f>IFERROR(__xludf.DUMMYFUNCTION("""COMPUTED_VALUE"""),68.1)</f>
        <v>68.1</v>
      </c>
      <c r="F5686" s="2">
        <f>IFERROR(__xludf.DUMMYFUNCTION("""COMPUTED_VALUE"""),9490100.0)</f>
        <v>9490100</v>
      </c>
    </row>
    <row r="5687">
      <c r="A5687" s="3">
        <f>IFERROR(__xludf.DUMMYFUNCTION("""COMPUTED_VALUE"""),37446.666666666664)</f>
        <v>37446.66667</v>
      </c>
      <c r="B5687" s="2">
        <f>IFERROR(__xludf.DUMMYFUNCTION("""COMPUTED_VALUE"""),68.2)</f>
        <v>68.2</v>
      </c>
      <c r="C5687" s="2">
        <f>IFERROR(__xludf.DUMMYFUNCTION("""COMPUTED_VALUE"""),69.01)</f>
        <v>69.01</v>
      </c>
      <c r="D5687" s="2">
        <f>IFERROR(__xludf.DUMMYFUNCTION("""COMPUTED_VALUE"""),66.34)</f>
        <v>66.34</v>
      </c>
      <c r="E5687" s="2">
        <f>IFERROR(__xludf.DUMMYFUNCTION("""COMPUTED_VALUE"""),66.48)</f>
        <v>66.48</v>
      </c>
      <c r="F5687" s="2">
        <f>IFERROR(__xludf.DUMMYFUNCTION("""COMPUTED_VALUE"""),1.11251E7)</f>
        <v>11125100</v>
      </c>
    </row>
    <row r="5688">
      <c r="A5688" s="3">
        <f>IFERROR(__xludf.DUMMYFUNCTION("""COMPUTED_VALUE"""),37447.666666666664)</f>
        <v>37447.66667</v>
      </c>
      <c r="B5688" s="2">
        <f>IFERROR(__xludf.DUMMYFUNCTION("""COMPUTED_VALUE"""),67.43)</f>
        <v>67.43</v>
      </c>
      <c r="C5688" s="2">
        <f>IFERROR(__xludf.DUMMYFUNCTION("""COMPUTED_VALUE"""),68.06)</f>
        <v>68.06</v>
      </c>
      <c r="D5688" s="2">
        <f>IFERROR(__xludf.DUMMYFUNCTION("""COMPUTED_VALUE"""),65.46)</f>
        <v>65.46</v>
      </c>
      <c r="E5688" s="2">
        <f>IFERROR(__xludf.DUMMYFUNCTION("""COMPUTED_VALUE"""),65.68)</f>
        <v>65.68</v>
      </c>
      <c r="F5688" s="2">
        <f>IFERROR(__xludf.DUMMYFUNCTION("""COMPUTED_VALUE"""),1.00031E7)</f>
        <v>10003100</v>
      </c>
    </row>
    <row r="5689">
      <c r="A5689" s="3">
        <f>IFERROR(__xludf.DUMMYFUNCTION("""COMPUTED_VALUE"""),37448.666666666664)</f>
        <v>37448.66667</v>
      </c>
      <c r="B5689" s="2">
        <f>IFERROR(__xludf.DUMMYFUNCTION("""COMPUTED_VALUE"""),64.95)</f>
        <v>64.95</v>
      </c>
      <c r="C5689" s="2">
        <f>IFERROR(__xludf.DUMMYFUNCTION("""COMPUTED_VALUE"""),66.62)</f>
        <v>66.62</v>
      </c>
      <c r="D5689" s="2">
        <f>IFERROR(__xludf.DUMMYFUNCTION("""COMPUTED_VALUE"""),64.52)</f>
        <v>64.52</v>
      </c>
      <c r="E5689" s="2">
        <f>IFERROR(__xludf.DUMMYFUNCTION("""COMPUTED_VALUE"""),65.59)</f>
        <v>65.59</v>
      </c>
      <c r="F5689" s="2">
        <f>IFERROR(__xludf.DUMMYFUNCTION("""COMPUTED_VALUE"""),1.09813E7)</f>
        <v>10981300</v>
      </c>
    </row>
    <row r="5690">
      <c r="A5690" s="3">
        <f>IFERROR(__xludf.DUMMYFUNCTION("""COMPUTED_VALUE"""),37449.666666666664)</f>
        <v>37449.66667</v>
      </c>
      <c r="B5690" s="2">
        <f>IFERROR(__xludf.DUMMYFUNCTION("""COMPUTED_VALUE"""),66.86)</f>
        <v>66.86</v>
      </c>
      <c r="C5690" s="2">
        <f>IFERROR(__xludf.DUMMYFUNCTION("""COMPUTED_VALUE"""),68.53)</f>
        <v>68.53</v>
      </c>
      <c r="D5690" s="2">
        <f>IFERROR(__xludf.DUMMYFUNCTION("""COMPUTED_VALUE"""),65.72)</f>
        <v>65.72</v>
      </c>
      <c r="E5690" s="2">
        <f>IFERROR(__xludf.DUMMYFUNCTION("""COMPUTED_VALUE"""),66.85)</f>
        <v>66.85</v>
      </c>
      <c r="F5690" s="2">
        <f>IFERROR(__xludf.DUMMYFUNCTION("""COMPUTED_VALUE"""),8551900.0)</f>
        <v>8551900</v>
      </c>
    </row>
    <row r="5691">
      <c r="A5691" s="3">
        <f>IFERROR(__xludf.DUMMYFUNCTION("""COMPUTED_VALUE"""),37452.666666666664)</f>
        <v>37452.66667</v>
      </c>
      <c r="B5691" s="2">
        <f>IFERROR(__xludf.DUMMYFUNCTION("""COMPUTED_VALUE"""),65.33)</f>
        <v>65.33</v>
      </c>
      <c r="C5691" s="2">
        <f>IFERROR(__xludf.DUMMYFUNCTION("""COMPUTED_VALUE"""),67.82)</f>
        <v>67.82</v>
      </c>
      <c r="D5691" s="2">
        <f>IFERROR(__xludf.DUMMYFUNCTION("""COMPUTED_VALUE"""),63.61)</f>
        <v>63.61</v>
      </c>
      <c r="E5691" s="2">
        <f>IFERROR(__xludf.DUMMYFUNCTION("""COMPUTED_VALUE"""),65.21)</f>
        <v>65.21</v>
      </c>
      <c r="F5691" s="2">
        <f>IFERROR(__xludf.DUMMYFUNCTION("""COMPUTED_VALUE"""),1.04158E7)</f>
        <v>10415800</v>
      </c>
    </row>
    <row r="5692">
      <c r="A5692" s="3">
        <f>IFERROR(__xludf.DUMMYFUNCTION("""COMPUTED_VALUE"""),37453.666666666664)</f>
        <v>37453.66667</v>
      </c>
      <c r="B5692" s="2">
        <f>IFERROR(__xludf.DUMMYFUNCTION("""COMPUTED_VALUE"""),66.96)</f>
        <v>66.96</v>
      </c>
      <c r="C5692" s="2">
        <f>IFERROR(__xludf.DUMMYFUNCTION("""COMPUTED_VALUE"""),66.96)</f>
        <v>66.96</v>
      </c>
      <c r="D5692" s="2">
        <f>IFERROR(__xludf.DUMMYFUNCTION("""COMPUTED_VALUE"""),66.96)</f>
        <v>66.96</v>
      </c>
      <c r="E5692" s="2">
        <f>IFERROR(__xludf.DUMMYFUNCTION("""COMPUTED_VALUE"""),66.96)</f>
        <v>66.96</v>
      </c>
      <c r="F5692" s="2">
        <f>IFERROR(__xludf.DUMMYFUNCTION("""COMPUTED_VALUE"""),12800.0)</f>
        <v>12800</v>
      </c>
    </row>
    <row r="5693">
      <c r="A5693" s="3">
        <f>IFERROR(__xludf.DUMMYFUNCTION("""COMPUTED_VALUE"""),37454.666666666664)</f>
        <v>37454.66667</v>
      </c>
      <c r="B5693" s="2">
        <f>IFERROR(__xludf.DUMMYFUNCTION("""COMPUTED_VALUE"""),67.82)</f>
        <v>67.82</v>
      </c>
      <c r="C5693" s="2">
        <f>IFERROR(__xludf.DUMMYFUNCTION("""COMPUTED_VALUE"""),68.39)</f>
        <v>68.39</v>
      </c>
      <c r="D5693" s="2">
        <f>IFERROR(__xludf.DUMMYFUNCTION("""COMPUTED_VALUE"""),66.5)</f>
        <v>66.5</v>
      </c>
      <c r="E5693" s="2">
        <f>IFERROR(__xludf.DUMMYFUNCTION("""COMPUTED_VALUE"""),67.52)</f>
        <v>67.52</v>
      </c>
      <c r="F5693" s="2">
        <f>IFERROR(__xludf.DUMMYFUNCTION("""COMPUTED_VALUE"""),1.10806E7)</f>
        <v>11080600</v>
      </c>
    </row>
    <row r="5694">
      <c r="A5694" s="3">
        <f>IFERROR(__xludf.DUMMYFUNCTION("""COMPUTED_VALUE"""),37455.666666666664)</f>
        <v>37455.66667</v>
      </c>
      <c r="B5694" s="2">
        <f>IFERROR(__xludf.DUMMYFUNCTION("""COMPUTED_VALUE"""),67.34)</f>
        <v>67.34</v>
      </c>
      <c r="C5694" s="2">
        <f>IFERROR(__xludf.DUMMYFUNCTION("""COMPUTED_VALUE"""),70.87)</f>
        <v>70.87</v>
      </c>
      <c r="D5694" s="2">
        <f>IFERROR(__xludf.DUMMYFUNCTION("""COMPUTED_VALUE"""),66.86)</f>
        <v>66.86</v>
      </c>
      <c r="E5694" s="2">
        <f>IFERROR(__xludf.DUMMYFUNCTION("""COMPUTED_VALUE"""),68.82)</f>
        <v>68.82</v>
      </c>
      <c r="F5694" s="2">
        <f>IFERROR(__xludf.DUMMYFUNCTION("""COMPUTED_VALUE"""),1.52233E7)</f>
        <v>15223300</v>
      </c>
    </row>
    <row r="5695">
      <c r="A5695" s="3">
        <f>IFERROR(__xludf.DUMMYFUNCTION("""COMPUTED_VALUE"""),37456.666666666664)</f>
        <v>37456.66667</v>
      </c>
      <c r="B5695" s="2">
        <f>IFERROR(__xludf.DUMMYFUNCTION("""COMPUTED_VALUE"""),67.78)</f>
        <v>67.78</v>
      </c>
      <c r="C5695" s="2">
        <f>IFERROR(__xludf.DUMMYFUNCTION("""COMPUTED_VALUE"""),69.44)</f>
        <v>69.44</v>
      </c>
      <c r="D5695" s="2">
        <f>IFERROR(__xludf.DUMMYFUNCTION("""COMPUTED_VALUE"""),66.86)</f>
        <v>66.86</v>
      </c>
      <c r="E5695" s="2">
        <f>IFERROR(__xludf.DUMMYFUNCTION("""COMPUTED_VALUE"""),68.77)</f>
        <v>68.77</v>
      </c>
      <c r="F5695" s="2">
        <f>IFERROR(__xludf.DUMMYFUNCTION("""COMPUTED_VALUE"""),1.15886E7)</f>
        <v>11588600</v>
      </c>
    </row>
    <row r="5696">
      <c r="A5696" s="3">
        <f>IFERROR(__xludf.DUMMYFUNCTION("""COMPUTED_VALUE"""),37459.666666666664)</f>
        <v>37459.66667</v>
      </c>
      <c r="B5696" s="2">
        <f>IFERROR(__xludf.DUMMYFUNCTION("""COMPUTED_VALUE"""),68.06)</f>
        <v>68.06</v>
      </c>
      <c r="C5696" s="2">
        <f>IFERROR(__xludf.DUMMYFUNCTION("""COMPUTED_VALUE"""),68.95)</f>
        <v>68.95</v>
      </c>
      <c r="D5696" s="2">
        <f>IFERROR(__xludf.DUMMYFUNCTION("""COMPUTED_VALUE"""),65.25)</f>
        <v>65.25</v>
      </c>
      <c r="E5696" s="2">
        <f>IFERROR(__xludf.DUMMYFUNCTION("""COMPUTED_VALUE"""),65.43)</f>
        <v>65.43</v>
      </c>
      <c r="F5696" s="2">
        <f>IFERROR(__xludf.DUMMYFUNCTION("""COMPUTED_VALUE"""),1.48576E7)</f>
        <v>14857600</v>
      </c>
    </row>
    <row r="5697">
      <c r="A5697" s="3">
        <f>IFERROR(__xludf.DUMMYFUNCTION("""COMPUTED_VALUE"""),37460.666666666664)</f>
        <v>37460.66667</v>
      </c>
      <c r="B5697" s="2">
        <f>IFERROR(__xludf.DUMMYFUNCTION("""COMPUTED_VALUE"""),65.19)</f>
        <v>65.19</v>
      </c>
      <c r="C5697" s="2">
        <f>IFERROR(__xludf.DUMMYFUNCTION("""COMPUTED_VALUE"""),66.86)</f>
        <v>66.86</v>
      </c>
      <c r="D5697" s="2">
        <f>IFERROR(__xludf.DUMMYFUNCTION("""COMPUTED_VALUE"""),63.67)</f>
        <v>63.67</v>
      </c>
      <c r="E5697" s="2">
        <f>IFERROR(__xludf.DUMMYFUNCTION("""COMPUTED_VALUE"""),64.04)</f>
        <v>64.04</v>
      </c>
      <c r="F5697" s="2">
        <f>IFERROR(__xludf.DUMMYFUNCTION("""COMPUTED_VALUE"""),1.27745E7)</f>
        <v>12774500</v>
      </c>
    </row>
    <row r="5698">
      <c r="A5698" s="3">
        <f>IFERROR(__xludf.DUMMYFUNCTION("""COMPUTED_VALUE"""),37461.666666666664)</f>
        <v>37461.66667</v>
      </c>
      <c r="B5698" s="2">
        <f>IFERROR(__xludf.DUMMYFUNCTION("""COMPUTED_VALUE"""),63.04)</f>
        <v>63.04</v>
      </c>
      <c r="C5698" s="2">
        <f>IFERROR(__xludf.DUMMYFUNCTION("""COMPUTED_VALUE"""),66.86)</f>
        <v>66.86</v>
      </c>
      <c r="D5698" s="2">
        <f>IFERROR(__xludf.DUMMYFUNCTION("""COMPUTED_VALUE"""),62.75)</f>
        <v>62.75</v>
      </c>
      <c r="E5698" s="2">
        <f>IFERROR(__xludf.DUMMYFUNCTION("""COMPUTED_VALUE"""),66.42)</f>
        <v>66.42</v>
      </c>
      <c r="F5698" s="2">
        <f>IFERROR(__xludf.DUMMYFUNCTION("""COMPUTED_VALUE"""),1.38089E7)</f>
        <v>13808900</v>
      </c>
    </row>
    <row r="5699">
      <c r="A5699" s="3">
        <f>IFERROR(__xludf.DUMMYFUNCTION("""COMPUTED_VALUE"""),37462.666666666664)</f>
        <v>37462.66667</v>
      </c>
      <c r="B5699" s="2">
        <f>IFERROR(__xludf.DUMMYFUNCTION("""COMPUTED_VALUE"""),65.81)</f>
        <v>65.81</v>
      </c>
      <c r="C5699" s="2">
        <f>IFERROR(__xludf.DUMMYFUNCTION("""COMPUTED_VALUE"""),66.86)</f>
        <v>66.86</v>
      </c>
      <c r="D5699" s="2">
        <f>IFERROR(__xludf.DUMMYFUNCTION("""COMPUTED_VALUE"""),64.28)</f>
        <v>64.28</v>
      </c>
      <c r="E5699" s="2">
        <f>IFERROR(__xludf.DUMMYFUNCTION("""COMPUTED_VALUE"""),66.24)</f>
        <v>66.24</v>
      </c>
      <c r="F5699" s="2">
        <f>IFERROR(__xludf.DUMMYFUNCTION("""COMPUTED_VALUE"""),1.09898E7)</f>
        <v>10989800</v>
      </c>
    </row>
    <row r="5700">
      <c r="A5700" s="3">
        <f>IFERROR(__xludf.DUMMYFUNCTION("""COMPUTED_VALUE"""),37463.666666666664)</f>
        <v>37463.66667</v>
      </c>
      <c r="B5700" s="2">
        <f>IFERROR(__xludf.DUMMYFUNCTION("""COMPUTED_VALUE"""),65.67)</f>
        <v>65.67</v>
      </c>
      <c r="C5700" s="2">
        <f>IFERROR(__xludf.DUMMYFUNCTION("""COMPUTED_VALUE"""),66.36)</f>
        <v>66.36</v>
      </c>
      <c r="D5700" s="2">
        <f>IFERROR(__xludf.DUMMYFUNCTION("""COMPUTED_VALUE"""),62.81)</f>
        <v>62.81</v>
      </c>
      <c r="E5700" s="2">
        <f>IFERROR(__xludf.DUMMYFUNCTION("""COMPUTED_VALUE"""),63.42)</f>
        <v>63.42</v>
      </c>
      <c r="F5700" s="2">
        <f>IFERROR(__xludf.DUMMYFUNCTION("""COMPUTED_VALUE"""),1.15764E7)</f>
        <v>11576400</v>
      </c>
    </row>
    <row r="5701">
      <c r="A5701" s="3">
        <f>IFERROR(__xludf.DUMMYFUNCTION("""COMPUTED_VALUE"""),37466.666666666664)</f>
        <v>37466.66667</v>
      </c>
      <c r="B5701" s="2">
        <f>IFERROR(__xludf.DUMMYFUNCTION("""COMPUTED_VALUE"""),66.15)</f>
        <v>66.15</v>
      </c>
      <c r="C5701" s="2">
        <f>IFERROR(__xludf.DUMMYFUNCTION("""COMPUTED_VALUE"""),68.2)</f>
        <v>68.2</v>
      </c>
      <c r="D5701" s="2">
        <f>IFERROR(__xludf.DUMMYFUNCTION("""COMPUTED_VALUE"""),64.95)</f>
        <v>64.95</v>
      </c>
      <c r="E5701" s="2">
        <f>IFERROR(__xludf.DUMMYFUNCTION("""COMPUTED_VALUE"""),67.99)</f>
        <v>67.99</v>
      </c>
      <c r="F5701" s="2">
        <f>IFERROR(__xludf.DUMMYFUNCTION("""COMPUTED_VALUE"""),1.19193E7)</f>
        <v>11919300</v>
      </c>
    </row>
    <row r="5702">
      <c r="A5702" s="3">
        <f>IFERROR(__xludf.DUMMYFUNCTION("""COMPUTED_VALUE"""),37467.666666666664)</f>
        <v>37467.66667</v>
      </c>
      <c r="B5702" s="2">
        <f>IFERROR(__xludf.DUMMYFUNCTION("""COMPUTED_VALUE"""),67.34)</f>
        <v>67.34</v>
      </c>
      <c r="C5702" s="2">
        <f>IFERROR(__xludf.DUMMYFUNCTION("""COMPUTED_VALUE"""),69.44)</f>
        <v>69.44</v>
      </c>
      <c r="D5702" s="2">
        <f>IFERROR(__xludf.DUMMYFUNCTION("""COMPUTED_VALUE"""),66.88)</f>
        <v>66.88</v>
      </c>
      <c r="E5702" s="2">
        <f>IFERROR(__xludf.DUMMYFUNCTION("""COMPUTED_VALUE"""),68.57)</f>
        <v>68.57</v>
      </c>
      <c r="F5702" s="2">
        <f>IFERROR(__xludf.DUMMYFUNCTION("""COMPUTED_VALUE"""),1.01386E7)</f>
        <v>10138600</v>
      </c>
    </row>
    <row r="5703">
      <c r="A5703" s="3">
        <f>IFERROR(__xludf.DUMMYFUNCTION("""COMPUTED_VALUE"""),37468.666666666664)</f>
        <v>37468.66667</v>
      </c>
      <c r="B5703" s="2">
        <f>IFERROR(__xludf.DUMMYFUNCTION("""COMPUTED_VALUE"""),67.58)</f>
        <v>67.58</v>
      </c>
      <c r="C5703" s="2">
        <f>IFERROR(__xludf.DUMMYFUNCTION("""COMPUTED_VALUE"""),68.39)</f>
        <v>68.39</v>
      </c>
      <c r="D5703" s="2">
        <f>IFERROR(__xludf.DUMMYFUNCTION("""COMPUTED_VALUE"""),66.01)</f>
        <v>66.01</v>
      </c>
      <c r="E5703" s="2">
        <f>IFERROR(__xludf.DUMMYFUNCTION("""COMPUTED_VALUE"""),67.24)</f>
        <v>67.24</v>
      </c>
      <c r="F5703" s="2">
        <f>IFERROR(__xludf.DUMMYFUNCTION("""COMPUTED_VALUE"""),1.27191E7)</f>
        <v>12719100</v>
      </c>
    </row>
    <row r="5704">
      <c r="A5704" s="3">
        <f>IFERROR(__xludf.DUMMYFUNCTION("""COMPUTED_VALUE"""),37469.666666666664)</f>
        <v>37469.66667</v>
      </c>
      <c r="B5704" s="2">
        <f>IFERROR(__xludf.DUMMYFUNCTION("""COMPUTED_VALUE"""),67.24)</f>
        <v>67.24</v>
      </c>
      <c r="C5704" s="2">
        <f>IFERROR(__xludf.DUMMYFUNCTION("""COMPUTED_VALUE"""),67.53)</f>
        <v>67.53</v>
      </c>
      <c r="D5704" s="2">
        <f>IFERROR(__xludf.DUMMYFUNCTION("""COMPUTED_VALUE"""),64.21)</f>
        <v>64.21</v>
      </c>
      <c r="E5704" s="2">
        <f>IFERROR(__xludf.DUMMYFUNCTION("""COMPUTED_VALUE"""),65.19)</f>
        <v>65.19</v>
      </c>
      <c r="F5704" s="2">
        <f>IFERROR(__xludf.DUMMYFUNCTION("""COMPUTED_VALUE"""),8832100.0)</f>
        <v>8832100</v>
      </c>
    </row>
    <row r="5705">
      <c r="A5705" s="3">
        <f>IFERROR(__xludf.DUMMYFUNCTION("""COMPUTED_VALUE"""),37470.666666666664)</f>
        <v>37470.66667</v>
      </c>
      <c r="B5705" s="2">
        <f>IFERROR(__xludf.DUMMYFUNCTION("""COMPUTED_VALUE"""),65.15)</f>
        <v>65.15</v>
      </c>
      <c r="C5705" s="2">
        <f>IFERROR(__xludf.DUMMYFUNCTION("""COMPUTED_VALUE"""),65.17)</f>
        <v>65.17</v>
      </c>
      <c r="D5705" s="2">
        <f>IFERROR(__xludf.DUMMYFUNCTION("""COMPUTED_VALUE"""),64.11)</f>
        <v>64.11</v>
      </c>
      <c r="E5705" s="2">
        <f>IFERROR(__xludf.DUMMYFUNCTION("""COMPUTED_VALUE"""),64.84)</f>
        <v>64.84</v>
      </c>
      <c r="F5705" s="2">
        <f>IFERROR(__xludf.DUMMYFUNCTION("""COMPUTED_VALUE"""),6915000.0)</f>
        <v>6915000</v>
      </c>
    </row>
    <row r="5706">
      <c r="A5706" s="3">
        <f>IFERROR(__xludf.DUMMYFUNCTION("""COMPUTED_VALUE"""),37473.666666666664)</f>
        <v>37473.66667</v>
      </c>
      <c r="B5706" s="2">
        <f>IFERROR(__xludf.DUMMYFUNCTION("""COMPUTED_VALUE"""),64.89)</f>
        <v>64.89</v>
      </c>
      <c r="C5706" s="2">
        <f>IFERROR(__xludf.DUMMYFUNCTION("""COMPUTED_VALUE"""),65.29)</f>
        <v>65.29</v>
      </c>
      <c r="D5706" s="2">
        <f>IFERROR(__xludf.DUMMYFUNCTION("""COMPUTED_VALUE"""),62.9)</f>
        <v>62.9</v>
      </c>
      <c r="E5706" s="2">
        <f>IFERROR(__xludf.DUMMYFUNCTION("""COMPUTED_VALUE"""),63.03)</f>
        <v>63.03</v>
      </c>
      <c r="F5706" s="2">
        <f>IFERROR(__xludf.DUMMYFUNCTION("""COMPUTED_VALUE"""),7126900.0)</f>
        <v>7126900</v>
      </c>
    </row>
    <row r="5707">
      <c r="A5707" s="3">
        <f>IFERROR(__xludf.DUMMYFUNCTION("""COMPUTED_VALUE"""),37474.666666666664)</f>
        <v>37474.66667</v>
      </c>
      <c r="B5707" s="2">
        <f>IFERROR(__xludf.DUMMYFUNCTION("""COMPUTED_VALUE"""),64.0)</f>
        <v>64</v>
      </c>
      <c r="C5707" s="2">
        <f>IFERROR(__xludf.DUMMYFUNCTION("""COMPUTED_VALUE"""),66.31)</f>
        <v>66.31</v>
      </c>
      <c r="D5707" s="2">
        <f>IFERROR(__xludf.DUMMYFUNCTION("""COMPUTED_VALUE"""),63.62)</f>
        <v>63.62</v>
      </c>
      <c r="E5707" s="2">
        <f>IFERROR(__xludf.DUMMYFUNCTION("""COMPUTED_VALUE"""),64.86)</f>
        <v>64.86</v>
      </c>
      <c r="F5707" s="2">
        <f>IFERROR(__xludf.DUMMYFUNCTION("""COMPUTED_VALUE"""),8370800.0)</f>
        <v>8370800</v>
      </c>
    </row>
    <row r="5708">
      <c r="A5708" s="3">
        <f>IFERROR(__xludf.DUMMYFUNCTION("""COMPUTED_VALUE"""),37475.666666666664)</f>
        <v>37475.66667</v>
      </c>
      <c r="B5708" s="2">
        <f>IFERROR(__xludf.DUMMYFUNCTION("""COMPUTED_VALUE"""),65.91)</f>
        <v>65.91</v>
      </c>
      <c r="C5708" s="2">
        <f>IFERROR(__xludf.DUMMYFUNCTION("""COMPUTED_VALUE"""),66.77)</f>
        <v>66.77</v>
      </c>
      <c r="D5708" s="2">
        <f>IFERROR(__xludf.DUMMYFUNCTION("""COMPUTED_VALUE"""),63.8)</f>
        <v>63.8</v>
      </c>
      <c r="E5708" s="2">
        <f>IFERROR(__xludf.DUMMYFUNCTION("""COMPUTED_VALUE"""),66.07)</f>
        <v>66.07</v>
      </c>
      <c r="F5708" s="2">
        <f>IFERROR(__xludf.DUMMYFUNCTION("""COMPUTED_VALUE"""),8037300.0)</f>
        <v>8037300</v>
      </c>
    </row>
    <row r="5709">
      <c r="A5709" s="3">
        <f>IFERROR(__xludf.DUMMYFUNCTION("""COMPUTED_VALUE"""),37476.666666666664)</f>
        <v>37476.66667</v>
      </c>
      <c r="B5709" s="2">
        <f>IFERROR(__xludf.DUMMYFUNCTION("""COMPUTED_VALUE"""),66.1)</f>
        <v>66.1</v>
      </c>
      <c r="C5709" s="2">
        <f>IFERROR(__xludf.DUMMYFUNCTION("""COMPUTED_VALUE"""),68.82)</f>
        <v>68.82</v>
      </c>
      <c r="D5709" s="2">
        <f>IFERROR(__xludf.DUMMYFUNCTION("""COMPUTED_VALUE"""),65.29)</f>
        <v>65.29</v>
      </c>
      <c r="E5709" s="2">
        <f>IFERROR(__xludf.DUMMYFUNCTION("""COMPUTED_VALUE"""),68.4)</f>
        <v>68.4</v>
      </c>
      <c r="F5709" s="2">
        <f>IFERROR(__xludf.DUMMYFUNCTION("""COMPUTED_VALUE"""),8432500.0)</f>
        <v>8432500</v>
      </c>
    </row>
    <row r="5710">
      <c r="A5710" s="3">
        <f>IFERROR(__xludf.DUMMYFUNCTION("""COMPUTED_VALUE"""),37477.666666666664)</f>
        <v>37477.66667</v>
      </c>
      <c r="B5710" s="2">
        <f>IFERROR(__xludf.DUMMYFUNCTION("""COMPUTED_VALUE"""),67.44)</f>
        <v>67.44</v>
      </c>
      <c r="C5710" s="2">
        <f>IFERROR(__xludf.DUMMYFUNCTION("""COMPUTED_VALUE"""),70.97)</f>
        <v>70.97</v>
      </c>
      <c r="D5710" s="2">
        <f>IFERROR(__xludf.DUMMYFUNCTION("""COMPUTED_VALUE"""),67.24)</f>
        <v>67.24</v>
      </c>
      <c r="E5710" s="2">
        <f>IFERROR(__xludf.DUMMYFUNCTION("""COMPUTED_VALUE"""),68.61)</f>
        <v>68.61</v>
      </c>
      <c r="F5710" s="2">
        <f>IFERROR(__xludf.DUMMYFUNCTION("""COMPUTED_VALUE"""),6940900.0)</f>
        <v>6940900</v>
      </c>
    </row>
    <row r="5711">
      <c r="A5711" s="3">
        <f>IFERROR(__xludf.DUMMYFUNCTION("""COMPUTED_VALUE"""),37480.666666666664)</f>
        <v>37480.66667</v>
      </c>
      <c r="B5711" s="2">
        <f>IFERROR(__xludf.DUMMYFUNCTION("""COMPUTED_VALUE"""),67.86)</f>
        <v>67.86</v>
      </c>
      <c r="C5711" s="2">
        <f>IFERROR(__xludf.DUMMYFUNCTION("""COMPUTED_VALUE"""),69.38)</f>
        <v>69.38</v>
      </c>
      <c r="D5711" s="2">
        <f>IFERROR(__xludf.DUMMYFUNCTION("""COMPUTED_VALUE"""),67.44)</f>
        <v>67.44</v>
      </c>
      <c r="E5711" s="2">
        <f>IFERROR(__xludf.DUMMYFUNCTION("""COMPUTED_VALUE"""),68.55)</f>
        <v>68.55</v>
      </c>
      <c r="F5711" s="2">
        <f>IFERROR(__xludf.DUMMYFUNCTION("""COMPUTED_VALUE"""),5263300.0)</f>
        <v>5263300</v>
      </c>
    </row>
    <row r="5712">
      <c r="A5712" s="3">
        <f>IFERROR(__xludf.DUMMYFUNCTION("""COMPUTED_VALUE"""),37481.666666666664)</f>
        <v>37481.66667</v>
      </c>
      <c r="B5712" s="2">
        <f>IFERROR(__xludf.DUMMYFUNCTION("""COMPUTED_VALUE"""),68.34)</f>
        <v>68.34</v>
      </c>
      <c r="C5712" s="2">
        <f>IFERROR(__xludf.DUMMYFUNCTION("""COMPUTED_VALUE"""),70.49)</f>
        <v>70.49</v>
      </c>
      <c r="D5712" s="2">
        <f>IFERROR(__xludf.DUMMYFUNCTION("""COMPUTED_VALUE"""),68.0)</f>
        <v>68</v>
      </c>
      <c r="E5712" s="2">
        <f>IFERROR(__xludf.DUMMYFUNCTION("""COMPUTED_VALUE"""),68.68)</f>
        <v>68.68</v>
      </c>
      <c r="F5712" s="2">
        <f>IFERROR(__xludf.DUMMYFUNCTION("""COMPUTED_VALUE"""),7785100.0)</f>
        <v>7785100</v>
      </c>
    </row>
    <row r="5713">
      <c r="A5713" s="3">
        <f>IFERROR(__xludf.DUMMYFUNCTION("""COMPUTED_VALUE"""),37482.666666666664)</f>
        <v>37482.66667</v>
      </c>
      <c r="B5713" s="2">
        <f>IFERROR(__xludf.DUMMYFUNCTION("""COMPUTED_VALUE"""),68.72)</f>
        <v>68.72</v>
      </c>
      <c r="C5713" s="2">
        <f>IFERROR(__xludf.DUMMYFUNCTION("""COMPUTED_VALUE"""),71.66)</f>
        <v>71.66</v>
      </c>
      <c r="D5713" s="2">
        <f>IFERROR(__xludf.DUMMYFUNCTION("""COMPUTED_VALUE"""),68.15)</f>
        <v>68.15</v>
      </c>
      <c r="E5713" s="2">
        <f>IFERROR(__xludf.DUMMYFUNCTION("""COMPUTED_VALUE"""),71.56)</f>
        <v>71.56</v>
      </c>
      <c r="F5713" s="2">
        <f>IFERROR(__xludf.DUMMYFUNCTION("""COMPUTED_VALUE"""),8353000.0)</f>
        <v>8353000</v>
      </c>
    </row>
    <row r="5714">
      <c r="A5714" s="3">
        <f>IFERROR(__xludf.DUMMYFUNCTION("""COMPUTED_VALUE"""),37483.666666666664)</f>
        <v>37483.66667</v>
      </c>
      <c r="B5714" s="2">
        <f>IFERROR(__xludf.DUMMYFUNCTION("""COMPUTED_VALUE"""),72.02)</f>
        <v>72.02</v>
      </c>
      <c r="C5714" s="2">
        <f>IFERROR(__xludf.DUMMYFUNCTION("""COMPUTED_VALUE"""),73.27)</f>
        <v>73.27</v>
      </c>
      <c r="D5714" s="2">
        <f>IFERROR(__xludf.DUMMYFUNCTION("""COMPUTED_VALUE"""),71.26)</f>
        <v>71.26</v>
      </c>
      <c r="E5714" s="2">
        <f>IFERROR(__xludf.DUMMYFUNCTION("""COMPUTED_VALUE"""),73.07)</f>
        <v>73.07</v>
      </c>
      <c r="F5714" s="2">
        <f>IFERROR(__xludf.DUMMYFUNCTION("""COMPUTED_VALUE"""),9269600.0)</f>
        <v>9269600</v>
      </c>
    </row>
    <row r="5715">
      <c r="A5715" s="3">
        <f>IFERROR(__xludf.DUMMYFUNCTION("""COMPUTED_VALUE"""),37484.666666666664)</f>
        <v>37484.66667</v>
      </c>
      <c r="B5715" s="2">
        <f>IFERROR(__xludf.DUMMYFUNCTION("""COMPUTED_VALUE"""),73.07)</f>
        <v>73.07</v>
      </c>
      <c r="C5715" s="2">
        <f>IFERROR(__xludf.DUMMYFUNCTION("""COMPUTED_VALUE"""),76.39)</f>
        <v>76.39</v>
      </c>
      <c r="D5715" s="2">
        <f>IFERROR(__xludf.DUMMYFUNCTION("""COMPUTED_VALUE"""),72.57)</f>
        <v>72.57</v>
      </c>
      <c r="E5715" s="2">
        <f>IFERROR(__xludf.DUMMYFUNCTION("""COMPUTED_VALUE"""),75.79)</f>
        <v>75.79</v>
      </c>
      <c r="F5715" s="2">
        <f>IFERROR(__xludf.DUMMYFUNCTION("""COMPUTED_VALUE"""),1.16458E7)</f>
        <v>11645800</v>
      </c>
    </row>
    <row r="5716">
      <c r="A5716" s="3">
        <f>IFERROR(__xludf.DUMMYFUNCTION("""COMPUTED_VALUE"""),37487.666666666664)</f>
        <v>37487.66667</v>
      </c>
      <c r="B5716" s="2">
        <f>IFERROR(__xludf.DUMMYFUNCTION("""COMPUTED_VALUE"""),75.79)</f>
        <v>75.79</v>
      </c>
      <c r="C5716" s="2">
        <f>IFERROR(__xludf.DUMMYFUNCTION("""COMPUTED_VALUE"""),79.14)</f>
        <v>79.14</v>
      </c>
      <c r="D5716" s="2">
        <f>IFERROR(__xludf.DUMMYFUNCTION("""COMPUTED_VALUE"""),75.47)</f>
        <v>75.47</v>
      </c>
      <c r="E5716" s="2">
        <f>IFERROR(__xludf.DUMMYFUNCTION("""COMPUTED_VALUE"""),78.79)</f>
        <v>78.79</v>
      </c>
      <c r="F5716" s="2">
        <f>IFERROR(__xludf.DUMMYFUNCTION("""COMPUTED_VALUE"""),1.0805E7)</f>
        <v>10805000</v>
      </c>
    </row>
    <row r="5717">
      <c r="A5717" s="3">
        <f>IFERROR(__xludf.DUMMYFUNCTION("""COMPUTED_VALUE"""),37488.666666666664)</f>
        <v>37488.66667</v>
      </c>
      <c r="B5717" s="2">
        <f>IFERROR(__xludf.DUMMYFUNCTION("""COMPUTED_VALUE"""),77.9)</f>
        <v>77.9</v>
      </c>
      <c r="C5717" s="2">
        <f>IFERROR(__xludf.DUMMYFUNCTION("""COMPUTED_VALUE"""),78.32)</f>
        <v>78.32</v>
      </c>
      <c r="D5717" s="2">
        <f>IFERROR(__xludf.DUMMYFUNCTION("""COMPUTED_VALUE"""),76.59)</f>
        <v>76.59</v>
      </c>
      <c r="E5717" s="2">
        <f>IFERROR(__xludf.DUMMYFUNCTION("""COMPUTED_VALUE"""),77.63)</f>
        <v>77.63</v>
      </c>
      <c r="F5717" s="2">
        <f>IFERROR(__xludf.DUMMYFUNCTION("""COMPUTED_VALUE"""),7671000.0)</f>
        <v>7671000</v>
      </c>
    </row>
    <row r="5718">
      <c r="A5718" s="3">
        <f>IFERROR(__xludf.DUMMYFUNCTION("""COMPUTED_VALUE"""),37489.666666666664)</f>
        <v>37489.66667</v>
      </c>
      <c r="B5718" s="2">
        <f>IFERROR(__xludf.DUMMYFUNCTION("""COMPUTED_VALUE"""),78.23)</f>
        <v>78.23</v>
      </c>
      <c r="C5718" s="2">
        <f>IFERROR(__xludf.DUMMYFUNCTION("""COMPUTED_VALUE"""),78.64)</f>
        <v>78.64</v>
      </c>
      <c r="D5718" s="2">
        <f>IFERROR(__xludf.DUMMYFUNCTION("""COMPUTED_VALUE"""),75.98)</f>
        <v>75.98</v>
      </c>
      <c r="E5718" s="2">
        <f>IFERROR(__xludf.DUMMYFUNCTION("""COMPUTED_VALUE"""),77.37)</f>
        <v>77.37</v>
      </c>
      <c r="F5718" s="2">
        <f>IFERROR(__xludf.DUMMYFUNCTION("""COMPUTED_VALUE"""),7768600.0)</f>
        <v>7768600</v>
      </c>
    </row>
    <row r="5719">
      <c r="A5719" s="3">
        <f>IFERROR(__xludf.DUMMYFUNCTION("""COMPUTED_VALUE"""),37490.666666666664)</f>
        <v>37490.66667</v>
      </c>
      <c r="B5719" s="2">
        <f>IFERROR(__xludf.DUMMYFUNCTION("""COMPUTED_VALUE"""),77.32)</f>
        <v>77.32</v>
      </c>
      <c r="C5719" s="2">
        <f>IFERROR(__xludf.DUMMYFUNCTION("""COMPUTED_VALUE"""),78.75)</f>
        <v>78.75</v>
      </c>
      <c r="D5719" s="2">
        <f>IFERROR(__xludf.DUMMYFUNCTION("""COMPUTED_VALUE"""),76.6)</f>
        <v>76.6</v>
      </c>
      <c r="E5719" s="2">
        <f>IFERROR(__xludf.DUMMYFUNCTION("""COMPUTED_VALUE"""),78.31)</f>
        <v>78.31</v>
      </c>
      <c r="F5719" s="2">
        <f>IFERROR(__xludf.DUMMYFUNCTION("""COMPUTED_VALUE"""),5447400.0)</f>
        <v>5447400</v>
      </c>
    </row>
    <row r="5720">
      <c r="A5720" s="3">
        <f>IFERROR(__xludf.DUMMYFUNCTION("""COMPUTED_VALUE"""),37491.666666666664)</f>
        <v>37491.66667</v>
      </c>
      <c r="B5720" s="2">
        <f>IFERROR(__xludf.DUMMYFUNCTION("""COMPUTED_VALUE"""),77.56)</f>
        <v>77.56</v>
      </c>
      <c r="C5720" s="2">
        <f>IFERROR(__xludf.DUMMYFUNCTION("""COMPUTED_VALUE"""),77.83)</f>
        <v>77.83</v>
      </c>
      <c r="D5720" s="2">
        <f>IFERROR(__xludf.DUMMYFUNCTION("""COMPUTED_VALUE"""),75.79)</f>
        <v>75.79</v>
      </c>
      <c r="E5720" s="2">
        <f>IFERROR(__xludf.DUMMYFUNCTION("""COMPUTED_VALUE"""),76.8)</f>
        <v>76.8</v>
      </c>
      <c r="F5720" s="2">
        <f>IFERROR(__xludf.DUMMYFUNCTION("""COMPUTED_VALUE"""),5909400.0)</f>
        <v>5909400</v>
      </c>
    </row>
    <row r="5721">
      <c r="A5721" s="3">
        <f>IFERROR(__xludf.DUMMYFUNCTION("""COMPUTED_VALUE"""),37494.666666666664)</f>
        <v>37494.66667</v>
      </c>
      <c r="B5721" s="2">
        <f>IFERROR(__xludf.DUMMYFUNCTION("""COMPUTED_VALUE"""),76.8)</f>
        <v>76.8</v>
      </c>
      <c r="C5721" s="2">
        <f>IFERROR(__xludf.DUMMYFUNCTION("""COMPUTED_VALUE"""),77.26)</f>
        <v>77.26</v>
      </c>
      <c r="D5721" s="2">
        <f>IFERROR(__xludf.DUMMYFUNCTION("""COMPUTED_VALUE"""),74.31)</f>
        <v>74.31</v>
      </c>
      <c r="E5721" s="2">
        <f>IFERROR(__xludf.DUMMYFUNCTION("""COMPUTED_VALUE"""),75.86)</f>
        <v>75.86</v>
      </c>
      <c r="F5721" s="2">
        <f>IFERROR(__xludf.DUMMYFUNCTION("""COMPUTED_VALUE"""),6997800.0)</f>
        <v>6997800</v>
      </c>
    </row>
    <row r="5722">
      <c r="A5722" s="3">
        <f>IFERROR(__xludf.DUMMYFUNCTION("""COMPUTED_VALUE"""),37495.666666666664)</f>
        <v>37495.66667</v>
      </c>
      <c r="B5722" s="2">
        <f>IFERROR(__xludf.DUMMYFUNCTION("""COMPUTED_VALUE"""),76.8)</f>
        <v>76.8</v>
      </c>
      <c r="C5722" s="2">
        <f>IFERROR(__xludf.DUMMYFUNCTION("""COMPUTED_VALUE"""),76.83)</f>
        <v>76.83</v>
      </c>
      <c r="D5722" s="2">
        <f>IFERROR(__xludf.DUMMYFUNCTION("""COMPUTED_VALUE"""),73.83)</f>
        <v>73.83</v>
      </c>
      <c r="E5722" s="2">
        <f>IFERROR(__xludf.DUMMYFUNCTION("""COMPUTED_VALUE"""),74.46)</f>
        <v>74.46</v>
      </c>
      <c r="F5722" s="2">
        <f>IFERROR(__xludf.DUMMYFUNCTION("""COMPUTED_VALUE"""),7087800.0)</f>
        <v>7087800</v>
      </c>
    </row>
    <row r="5723">
      <c r="A5723" s="3">
        <f>IFERROR(__xludf.DUMMYFUNCTION("""COMPUTED_VALUE"""),37496.666666666664)</f>
        <v>37496.66667</v>
      </c>
      <c r="B5723" s="2">
        <f>IFERROR(__xludf.DUMMYFUNCTION("""COMPUTED_VALUE"""),72.59)</f>
        <v>72.59</v>
      </c>
      <c r="C5723" s="2">
        <f>IFERROR(__xludf.DUMMYFUNCTION("""COMPUTED_VALUE"""),73.56)</f>
        <v>73.56</v>
      </c>
      <c r="D5723" s="2">
        <f>IFERROR(__xludf.DUMMYFUNCTION("""COMPUTED_VALUE"""),70.47)</f>
        <v>70.47</v>
      </c>
      <c r="E5723" s="2">
        <f>IFERROR(__xludf.DUMMYFUNCTION("""COMPUTED_VALUE"""),72.62)</f>
        <v>72.62</v>
      </c>
      <c r="F5723" s="2">
        <f>IFERROR(__xludf.DUMMYFUNCTION("""COMPUTED_VALUE"""),4512900.0)</f>
        <v>4512900</v>
      </c>
    </row>
    <row r="5724">
      <c r="A5724" s="3">
        <f>IFERROR(__xludf.DUMMYFUNCTION("""COMPUTED_VALUE"""),37497.666666666664)</f>
        <v>37497.66667</v>
      </c>
      <c r="B5724" s="2">
        <f>IFERROR(__xludf.DUMMYFUNCTION("""COMPUTED_VALUE"""),72.21)</f>
        <v>72.21</v>
      </c>
      <c r="C5724" s="2">
        <f>IFERROR(__xludf.DUMMYFUNCTION("""COMPUTED_VALUE"""),73.88)</f>
        <v>73.88</v>
      </c>
      <c r="D5724" s="2">
        <f>IFERROR(__xludf.DUMMYFUNCTION("""COMPUTED_VALUE"""),71.78)</f>
        <v>71.78</v>
      </c>
      <c r="E5724" s="2">
        <f>IFERROR(__xludf.DUMMYFUNCTION("""COMPUTED_VALUE"""),73.18)</f>
        <v>73.18</v>
      </c>
      <c r="F5724" s="2">
        <f>IFERROR(__xludf.DUMMYFUNCTION("""COMPUTED_VALUE"""),5857400.0)</f>
        <v>5857400</v>
      </c>
    </row>
    <row r="5725">
      <c r="A5725" s="3">
        <f>IFERROR(__xludf.DUMMYFUNCTION("""COMPUTED_VALUE"""),37498.666666666664)</f>
        <v>37498.66667</v>
      </c>
      <c r="B5725" s="2">
        <f>IFERROR(__xludf.DUMMYFUNCTION("""COMPUTED_VALUE"""),72.16)</f>
        <v>72.16</v>
      </c>
      <c r="C5725" s="2">
        <f>IFERROR(__xludf.DUMMYFUNCTION("""COMPUTED_VALUE"""),72.93)</f>
        <v>72.93</v>
      </c>
      <c r="D5725" s="2">
        <f>IFERROR(__xludf.DUMMYFUNCTION("""COMPUTED_VALUE"""),71.73)</f>
        <v>71.73</v>
      </c>
      <c r="E5725" s="2">
        <f>IFERROR(__xludf.DUMMYFUNCTION("""COMPUTED_VALUE"""),72.0)</f>
        <v>72</v>
      </c>
      <c r="F5725" s="2">
        <f>IFERROR(__xludf.DUMMYFUNCTION("""COMPUTED_VALUE"""),5085000.0)</f>
        <v>5085000</v>
      </c>
    </row>
    <row r="5726">
      <c r="A5726" s="3">
        <f>IFERROR(__xludf.DUMMYFUNCTION("""COMPUTED_VALUE"""),37502.666666666664)</f>
        <v>37502.66667</v>
      </c>
      <c r="B5726" s="2">
        <f>IFERROR(__xludf.DUMMYFUNCTION("""COMPUTED_VALUE"""),70.87)</f>
        <v>70.87</v>
      </c>
      <c r="C5726" s="2">
        <f>IFERROR(__xludf.DUMMYFUNCTION("""COMPUTED_VALUE"""),71.64)</f>
        <v>71.64</v>
      </c>
      <c r="D5726" s="2">
        <f>IFERROR(__xludf.DUMMYFUNCTION("""COMPUTED_VALUE"""),69.06)</f>
        <v>69.06</v>
      </c>
      <c r="E5726" s="2">
        <f>IFERROR(__xludf.DUMMYFUNCTION("""COMPUTED_VALUE"""),69.11)</f>
        <v>69.11</v>
      </c>
      <c r="F5726" s="2">
        <f>IFERROR(__xludf.DUMMYFUNCTION("""COMPUTED_VALUE"""),6854100.0)</f>
        <v>6854100</v>
      </c>
    </row>
    <row r="5727">
      <c r="A5727" s="3">
        <f>IFERROR(__xludf.DUMMYFUNCTION("""COMPUTED_VALUE"""),37503.666666666664)</f>
        <v>37503.66667</v>
      </c>
      <c r="B5727" s="2">
        <f>IFERROR(__xludf.DUMMYFUNCTION("""COMPUTED_VALUE"""),69.11)</f>
        <v>69.11</v>
      </c>
      <c r="C5727" s="2">
        <f>IFERROR(__xludf.DUMMYFUNCTION("""COMPUTED_VALUE"""),70.67)</f>
        <v>70.67</v>
      </c>
      <c r="D5727" s="2">
        <f>IFERROR(__xludf.DUMMYFUNCTION("""COMPUTED_VALUE"""),68.39)</f>
        <v>68.39</v>
      </c>
      <c r="E5727" s="2">
        <f>IFERROR(__xludf.DUMMYFUNCTION("""COMPUTED_VALUE"""),70.42)</f>
        <v>70.42</v>
      </c>
      <c r="F5727" s="2">
        <f>IFERROR(__xludf.DUMMYFUNCTION("""COMPUTED_VALUE"""),6264600.0)</f>
        <v>6264600</v>
      </c>
    </row>
    <row r="5728">
      <c r="A5728" s="3">
        <f>IFERROR(__xludf.DUMMYFUNCTION("""COMPUTED_VALUE"""),37504.666666666664)</f>
        <v>37504.66667</v>
      </c>
      <c r="B5728" s="2">
        <f>IFERROR(__xludf.DUMMYFUNCTION("""COMPUTED_VALUE"""),69.48)</f>
        <v>69.48</v>
      </c>
      <c r="C5728" s="2">
        <f>IFERROR(__xludf.DUMMYFUNCTION("""COMPUTED_VALUE"""),69.58)</f>
        <v>69.58</v>
      </c>
      <c r="D5728" s="2">
        <f>IFERROR(__xludf.DUMMYFUNCTION("""COMPUTED_VALUE"""),68.29)</f>
        <v>68.29</v>
      </c>
      <c r="E5728" s="2">
        <f>IFERROR(__xludf.DUMMYFUNCTION("""COMPUTED_VALUE"""),68.94)</f>
        <v>68.94</v>
      </c>
      <c r="F5728" s="2">
        <f>IFERROR(__xludf.DUMMYFUNCTION("""COMPUTED_VALUE"""),6467700.0)</f>
        <v>6467700</v>
      </c>
    </row>
    <row r="5729">
      <c r="A5729" s="3">
        <f>IFERROR(__xludf.DUMMYFUNCTION("""COMPUTED_VALUE"""),37505.666666666664)</f>
        <v>37505.66667</v>
      </c>
      <c r="B5729" s="2">
        <f>IFERROR(__xludf.DUMMYFUNCTION("""COMPUTED_VALUE"""),70.44)</f>
        <v>70.44</v>
      </c>
      <c r="C5729" s="2">
        <f>IFERROR(__xludf.DUMMYFUNCTION("""COMPUTED_VALUE"""),70.67)</f>
        <v>70.67</v>
      </c>
      <c r="D5729" s="2">
        <f>IFERROR(__xludf.DUMMYFUNCTION("""COMPUTED_VALUE"""),69.79)</f>
        <v>69.79</v>
      </c>
      <c r="E5729" s="2">
        <f>IFERROR(__xludf.DUMMYFUNCTION("""COMPUTED_VALUE"""),69.92)</f>
        <v>69.92</v>
      </c>
      <c r="F5729" s="2">
        <f>IFERROR(__xludf.DUMMYFUNCTION("""COMPUTED_VALUE"""),4586500.0)</f>
        <v>4586500</v>
      </c>
    </row>
    <row r="5730">
      <c r="A5730" s="3">
        <f>IFERROR(__xludf.DUMMYFUNCTION("""COMPUTED_VALUE"""),37508.666666666664)</f>
        <v>37508.66667</v>
      </c>
      <c r="B5730" s="2">
        <f>IFERROR(__xludf.DUMMYFUNCTION("""COMPUTED_VALUE"""),69.2)</f>
        <v>69.2</v>
      </c>
      <c r="C5730" s="2">
        <f>IFERROR(__xludf.DUMMYFUNCTION("""COMPUTED_VALUE"""),71.62)</f>
        <v>71.62</v>
      </c>
      <c r="D5730" s="2">
        <f>IFERROR(__xludf.DUMMYFUNCTION("""COMPUTED_VALUE"""),68.63)</f>
        <v>68.63</v>
      </c>
      <c r="E5730" s="2">
        <f>IFERROR(__xludf.DUMMYFUNCTION("""COMPUTED_VALUE"""),71.16)</f>
        <v>71.16</v>
      </c>
      <c r="F5730" s="2">
        <f>IFERROR(__xludf.DUMMYFUNCTION("""COMPUTED_VALUE"""),5785000.0)</f>
        <v>5785000</v>
      </c>
    </row>
    <row r="5731">
      <c r="A5731" s="3">
        <f>IFERROR(__xludf.DUMMYFUNCTION("""COMPUTED_VALUE"""),37509.666666666664)</f>
        <v>37509.66667</v>
      </c>
      <c r="B5731" s="2">
        <f>IFERROR(__xludf.DUMMYFUNCTION("""COMPUTED_VALUE"""),71.26)</f>
        <v>71.26</v>
      </c>
      <c r="C5731" s="2">
        <f>IFERROR(__xludf.DUMMYFUNCTION("""COMPUTED_VALUE"""),72.21)</f>
        <v>72.21</v>
      </c>
      <c r="D5731" s="2">
        <f>IFERROR(__xludf.DUMMYFUNCTION("""COMPUTED_VALUE"""),70.54)</f>
        <v>70.54</v>
      </c>
      <c r="E5731" s="2">
        <f>IFERROR(__xludf.DUMMYFUNCTION("""COMPUTED_VALUE"""),72.21)</f>
        <v>72.21</v>
      </c>
      <c r="F5731" s="2">
        <f>IFERROR(__xludf.DUMMYFUNCTION("""COMPUTED_VALUE"""),5538400.0)</f>
        <v>5538400</v>
      </c>
    </row>
    <row r="5732">
      <c r="A5732" s="3">
        <f>IFERROR(__xludf.DUMMYFUNCTION("""COMPUTED_VALUE"""),37510.666666666664)</f>
        <v>37510.66667</v>
      </c>
      <c r="B5732" s="2">
        <f>IFERROR(__xludf.DUMMYFUNCTION("""COMPUTED_VALUE"""),72.97)</f>
        <v>72.97</v>
      </c>
      <c r="C5732" s="2">
        <f>IFERROR(__xludf.DUMMYFUNCTION("""COMPUTED_VALUE"""),74.03)</f>
        <v>74.03</v>
      </c>
      <c r="D5732" s="2">
        <f>IFERROR(__xludf.DUMMYFUNCTION("""COMPUTED_VALUE"""),70.74)</f>
        <v>70.74</v>
      </c>
      <c r="E5732" s="2">
        <f>IFERROR(__xludf.DUMMYFUNCTION("""COMPUTED_VALUE"""),70.87)</f>
        <v>70.87</v>
      </c>
      <c r="F5732" s="2">
        <f>IFERROR(__xludf.DUMMYFUNCTION("""COMPUTED_VALUE"""),5394400.0)</f>
        <v>5394400</v>
      </c>
    </row>
    <row r="5733">
      <c r="A5733" s="3">
        <f>IFERROR(__xludf.DUMMYFUNCTION("""COMPUTED_VALUE"""),37511.666666666664)</f>
        <v>37511.66667</v>
      </c>
      <c r="B5733" s="2">
        <f>IFERROR(__xludf.DUMMYFUNCTION("""COMPUTED_VALUE"""),70.73)</f>
        <v>70.73</v>
      </c>
      <c r="C5733" s="2">
        <f>IFERROR(__xludf.DUMMYFUNCTION("""COMPUTED_VALUE"""),70.73)</f>
        <v>70.73</v>
      </c>
      <c r="D5733" s="2">
        <f>IFERROR(__xludf.DUMMYFUNCTION("""COMPUTED_VALUE"""),68.43)</f>
        <v>68.43</v>
      </c>
      <c r="E5733" s="2">
        <f>IFERROR(__xludf.DUMMYFUNCTION("""COMPUTED_VALUE"""),68.65)</f>
        <v>68.65</v>
      </c>
      <c r="F5733" s="2">
        <f>IFERROR(__xludf.DUMMYFUNCTION("""COMPUTED_VALUE"""),6707600.0)</f>
        <v>6707600</v>
      </c>
    </row>
    <row r="5734">
      <c r="A5734" s="3">
        <f>IFERROR(__xludf.DUMMYFUNCTION("""COMPUTED_VALUE"""),37512.666666666664)</f>
        <v>37512.66667</v>
      </c>
      <c r="B5734" s="2">
        <f>IFERROR(__xludf.DUMMYFUNCTION("""COMPUTED_VALUE"""),68.29)</f>
        <v>68.29</v>
      </c>
      <c r="C5734" s="2">
        <f>IFERROR(__xludf.DUMMYFUNCTION("""COMPUTED_VALUE"""),69.61)</f>
        <v>69.61</v>
      </c>
      <c r="D5734" s="2">
        <f>IFERROR(__xludf.DUMMYFUNCTION("""COMPUTED_VALUE"""),68.11)</f>
        <v>68.11</v>
      </c>
      <c r="E5734" s="2">
        <f>IFERROR(__xludf.DUMMYFUNCTION("""COMPUTED_VALUE"""),69.25)</f>
        <v>69.25</v>
      </c>
      <c r="F5734" s="2">
        <f>IFERROR(__xludf.DUMMYFUNCTION("""COMPUTED_VALUE"""),5949600.0)</f>
        <v>5949600</v>
      </c>
    </row>
    <row r="5735">
      <c r="A5735" s="3">
        <f>IFERROR(__xludf.DUMMYFUNCTION("""COMPUTED_VALUE"""),37515.666666666664)</f>
        <v>37515.66667</v>
      </c>
      <c r="B5735" s="2">
        <f>IFERROR(__xludf.DUMMYFUNCTION("""COMPUTED_VALUE"""),68.77)</f>
        <v>68.77</v>
      </c>
      <c r="C5735" s="2">
        <f>IFERROR(__xludf.DUMMYFUNCTION("""COMPUTED_VALUE"""),69.46)</f>
        <v>69.46</v>
      </c>
      <c r="D5735" s="2">
        <f>IFERROR(__xludf.DUMMYFUNCTION("""COMPUTED_VALUE"""),68.04)</f>
        <v>68.04</v>
      </c>
      <c r="E5735" s="2">
        <f>IFERROR(__xludf.DUMMYFUNCTION("""COMPUTED_VALUE"""),69.08)</f>
        <v>69.08</v>
      </c>
      <c r="F5735" s="2">
        <f>IFERROR(__xludf.DUMMYFUNCTION("""COMPUTED_VALUE"""),4595200.0)</f>
        <v>4595200</v>
      </c>
    </row>
    <row r="5736">
      <c r="A5736" s="3">
        <f>IFERROR(__xludf.DUMMYFUNCTION("""COMPUTED_VALUE"""),37516.666666666664)</f>
        <v>37516.66667</v>
      </c>
      <c r="B5736" s="2">
        <f>IFERROR(__xludf.DUMMYFUNCTION("""COMPUTED_VALUE"""),69.73)</f>
        <v>69.73</v>
      </c>
      <c r="C5736" s="2">
        <f>IFERROR(__xludf.DUMMYFUNCTION("""COMPUTED_VALUE"""),70.16)</f>
        <v>70.16</v>
      </c>
      <c r="D5736" s="2">
        <f>IFERROR(__xludf.DUMMYFUNCTION("""COMPUTED_VALUE"""),68.15)</f>
        <v>68.15</v>
      </c>
      <c r="E5736" s="2">
        <f>IFERROR(__xludf.DUMMYFUNCTION("""COMPUTED_VALUE"""),68.53)</f>
        <v>68.53</v>
      </c>
      <c r="F5736" s="2">
        <f>IFERROR(__xludf.DUMMYFUNCTION("""COMPUTED_VALUE"""),6195100.0)</f>
        <v>6195100</v>
      </c>
    </row>
    <row r="5737">
      <c r="A5737" s="3">
        <f>IFERROR(__xludf.DUMMYFUNCTION("""COMPUTED_VALUE"""),37517.666666666664)</f>
        <v>37517.66667</v>
      </c>
      <c r="B5737" s="2">
        <f>IFERROR(__xludf.DUMMYFUNCTION("""COMPUTED_VALUE"""),67.48)</f>
        <v>67.48</v>
      </c>
      <c r="C5737" s="2">
        <f>IFERROR(__xludf.DUMMYFUNCTION("""COMPUTED_VALUE"""),67.72)</f>
        <v>67.72</v>
      </c>
      <c r="D5737" s="2">
        <f>IFERROR(__xludf.DUMMYFUNCTION("""COMPUTED_VALUE"""),65.77)</f>
        <v>65.77</v>
      </c>
      <c r="E5737" s="2">
        <f>IFERROR(__xludf.DUMMYFUNCTION("""COMPUTED_VALUE"""),66.43)</f>
        <v>66.43</v>
      </c>
      <c r="F5737" s="2">
        <f>IFERROR(__xludf.DUMMYFUNCTION("""COMPUTED_VALUE"""),1.27263E7)</f>
        <v>12726300</v>
      </c>
    </row>
    <row r="5738">
      <c r="A5738" s="3">
        <f>IFERROR(__xludf.DUMMYFUNCTION("""COMPUTED_VALUE"""),37518.666666666664)</f>
        <v>37518.66667</v>
      </c>
      <c r="B5738" s="2">
        <f>IFERROR(__xludf.DUMMYFUNCTION("""COMPUTED_VALUE"""),61.85)</f>
        <v>61.85</v>
      </c>
      <c r="C5738" s="2">
        <f>IFERROR(__xludf.DUMMYFUNCTION("""COMPUTED_VALUE"""),63.5)</f>
        <v>63.5</v>
      </c>
      <c r="D5738" s="2">
        <f>IFERROR(__xludf.DUMMYFUNCTION("""COMPUTED_VALUE"""),61.75)</f>
        <v>61.75</v>
      </c>
      <c r="E5738" s="2">
        <f>IFERROR(__xludf.DUMMYFUNCTION("""COMPUTED_VALUE"""),61.89)</f>
        <v>61.89</v>
      </c>
      <c r="F5738" s="2">
        <f>IFERROR(__xludf.DUMMYFUNCTION("""COMPUTED_VALUE"""),2.20349E7)</f>
        <v>22034900</v>
      </c>
    </row>
    <row r="5739">
      <c r="A5739" s="3">
        <f>IFERROR(__xludf.DUMMYFUNCTION("""COMPUTED_VALUE"""),37519.666666666664)</f>
        <v>37519.66667</v>
      </c>
      <c r="B5739" s="2">
        <f>IFERROR(__xludf.DUMMYFUNCTION("""COMPUTED_VALUE"""),62.47)</f>
        <v>62.47</v>
      </c>
      <c r="C5739" s="2">
        <f>IFERROR(__xludf.DUMMYFUNCTION("""COMPUTED_VALUE"""),62.47)</f>
        <v>62.47</v>
      </c>
      <c r="D5739" s="2">
        <f>IFERROR(__xludf.DUMMYFUNCTION("""COMPUTED_VALUE"""),61.03)</f>
        <v>61.03</v>
      </c>
      <c r="E5739" s="2">
        <f>IFERROR(__xludf.DUMMYFUNCTION("""COMPUTED_VALUE"""),61.05)</f>
        <v>61.05</v>
      </c>
      <c r="F5739" s="2">
        <f>IFERROR(__xludf.DUMMYFUNCTION("""COMPUTED_VALUE"""),1.41952E7)</f>
        <v>14195200</v>
      </c>
    </row>
    <row r="5740">
      <c r="A5740" s="3">
        <f>IFERROR(__xludf.DUMMYFUNCTION("""COMPUTED_VALUE"""),37522.666666666664)</f>
        <v>37522.66667</v>
      </c>
      <c r="B5740" s="2">
        <f>IFERROR(__xludf.DUMMYFUNCTION("""COMPUTED_VALUE"""),60.89)</f>
        <v>60.89</v>
      </c>
      <c r="C5740" s="2">
        <f>IFERROR(__xludf.DUMMYFUNCTION("""COMPUTED_VALUE"""),60.89)</f>
        <v>60.89</v>
      </c>
      <c r="D5740" s="2">
        <f>IFERROR(__xludf.DUMMYFUNCTION("""COMPUTED_VALUE"""),59.57)</f>
        <v>59.57</v>
      </c>
      <c r="E5740" s="2">
        <f>IFERROR(__xludf.DUMMYFUNCTION("""COMPUTED_VALUE"""),60.53)</f>
        <v>60.53</v>
      </c>
      <c r="F5740" s="2">
        <f>IFERROR(__xludf.DUMMYFUNCTION("""COMPUTED_VALUE"""),8377100.0)</f>
        <v>8377100</v>
      </c>
    </row>
    <row r="5741">
      <c r="A5741" s="3">
        <f>IFERROR(__xludf.DUMMYFUNCTION("""COMPUTED_VALUE"""),37523.666666666664)</f>
        <v>37523.66667</v>
      </c>
      <c r="B5741" s="2">
        <f>IFERROR(__xludf.DUMMYFUNCTION("""COMPUTED_VALUE"""),58.92)</f>
        <v>58.92</v>
      </c>
      <c r="C5741" s="2">
        <f>IFERROR(__xludf.DUMMYFUNCTION("""COMPUTED_VALUE"""),60.46)</f>
        <v>60.46</v>
      </c>
      <c r="D5741" s="2">
        <f>IFERROR(__xludf.DUMMYFUNCTION("""COMPUTED_VALUE"""),56.88)</f>
        <v>56.88</v>
      </c>
      <c r="E5741" s="2">
        <f>IFERROR(__xludf.DUMMYFUNCTION("""COMPUTED_VALUE"""),57.07)</f>
        <v>57.07</v>
      </c>
      <c r="F5741" s="2">
        <f>IFERROR(__xludf.DUMMYFUNCTION("""COMPUTED_VALUE"""),1.67101E7)</f>
        <v>16710100</v>
      </c>
    </row>
    <row r="5742">
      <c r="A5742" s="3">
        <f>IFERROR(__xludf.DUMMYFUNCTION("""COMPUTED_VALUE"""),37524.666666666664)</f>
        <v>37524.66667</v>
      </c>
      <c r="B5742" s="2">
        <f>IFERROR(__xludf.DUMMYFUNCTION("""COMPUTED_VALUE"""),58.46)</f>
        <v>58.46</v>
      </c>
      <c r="C5742" s="2">
        <f>IFERROR(__xludf.DUMMYFUNCTION("""COMPUTED_VALUE"""),60.91)</f>
        <v>60.91</v>
      </c>
      <c r="D5742" s="2">
        <f>IFERROR(__xludf.DUMMYFUNCTION("""COMPUTED_VALUE"""),58.27)</f>
        <v>58.27</v>
      </c>
      <c r="E5742" s="2">
        <f>IFERROR(__xludf.DUMMYFUNCTION("""COMPUTED_VALUE"""),60.18)</f>
        <v>60.18</v>
      </c>
      <c r="F5742" s="2">
        <f>IFERROR(__xludf.DUMMYFUNCTION("""COMPUTED_VALUE"""),1.31193E7)</f>
        <v>13119300</v>
      </c>
    </row>
    <row r="5743">
      <c r="A5743" s="3">
        <f>IFERROR(__xludf.DUMMYFUNCTION("""COMPUTED_VALUE"""),37525.666666666664)</f>
        <v>37525.66667</v>
      </c>
      <c r="B5743" s="2">
        <f>IFERROR(__xludf.DUMMYFUNCTION("""COMPUTED_VALUE"""),61.32)</f>
        <v>61.32</v>
      </c>
      <c r="C5743" s="2">
        <f>IFERROR(__xludf.DUMMYFUNCTION("""COMPUTED_VALUE"""),61.97)</f>
        <v>61.97</v>
      </c>
      <c r="D5743" s="2">
        <f>IFERROR(__xludf.DUMMYFUNCTION("""COMPUTED_VALUE"""),58.58)</f>
        <v>58.58</v>
      </c>
      <c r="E5743" s="2">
        <f>IFERROR(__xludf.DUMMYFUNCTION("""COMPUTED_VALUE"""),59.24)</f>
        <v>59.24</v>
      </c>
      <c r="F5743" s="2">
        <f>IFERROR(__xludf.DUMMYFUNCTION("""COMPUTED_VALUE"""),1.2369E7)</f>
        <v>12369000</v>
      </c>
    </row>
    <row r="5744">
      <c r="A5744" s="3">
        <f>IFERROR(__xludf.DUMMYFUNCTION("""COMPUTED_VALUE"""),37526.666666666664)</f>
        <v>37526.66667</v>
      </c>
      <c r="B5744" s="2">
        <f>IFERROR(__xludf.DUMMYFUNCTION("""COMPUTED_VALUE"""),58.68)</f>
        <v>58.68</v>
      </c>
      <c r="C5744" s="2">
        <f>IFERROR(__xludf.DUMMYFUNCTION("""COMPUTED_VALUE"""),60.64)</f>
        <v>60.64</v>
      </c>
      <c r="D5744" s="2">
        <f>IFERROR(__xludf.DUMMYFUNCTION("""COMPUTED_VALUE"""),57.61)</f>
        <v>57.61</v>
      </c>
      <c r="E5744" s="2">
        <f>IFERROR(__xludf.DUMMYFUNCTION("""COMPUTED_VALUE"""),57.65)</f>
        <v>57.65</v>
      </c>
      <c r="F5744" s="2">
        <f>IFERROR(__xludf.DUMMYFUNCTION("""COMPUTED_VALUE"""),8793300.0)</f>
        <v>8793300</v>
      </c>
    </row>
    <row r="5745">
      <c r="A5745" s="3">
        <f>IFERROR(__xludf.DUMMYFUNCTION("""COMPUTED_VALUE"""),37529.666666666664)</f>
        <v>37529.66667</v>
      </c>
      <c r="B5745" s="2">
        <f>IFERROR(__xludf.DUMMYFUNCTION("""COMPUTED_VALUE"""),56.88)</f>
        <v>56.88</v>
      </c>
      <c r="C5745" s="2">
        <f>IFERROR(__xludf.DUMMYFUNCTION("""COMPUTED_VALUE"""),57.2)</f>
        <v>57.2</v>
      </c>
      <c r="D5745" s="2">
        <f>IFERROR(__xludf.DUMMYFUNCTION("""COMPUTED_VALUE"""),55.39)</f>
        <v>55.39</v>
      </c>
      <c r="E5745" s="2">
        <f>IFERROR(__xludf.DUMMYFUNCTION("""COMPUTED_VALUE"""),55.7)</f>
        <v>55.7</v>
      </c>
      <c r="F5745" s="2">
        <f>IFERROR(__xludf.DUMMYFUNCTION("""COMPUTED_VALUE"""),1.30201E7)</f>
        <v>13020100</v>
      </c>
    </row>
    <row r="5746">
      <c r="A5746" s="3">
        <f>IFERROR(__xludf.DUMMYFUNCTION("""COMPUTED_VALUE"""),37530.666666666664)</f>
        <v>37530.66667</v>
      </c>
      <c r="B5746" s="2">
        <f>IFERROR(__xludf.DUMMYFUNCTION("""COMPUTED_VALUE"""),56.55)</f>
        <v>56.55</v>
      </c>
      <c r="C5746" s="2">
        <f>IFERROR(__xludf.DUMMYFUNCTION("""COMPUTED_VALUE"""),59.2)</f>
        <v>59.2</v>
      </c>
      <c r="D5746" s="2">
        <f>IFERROR(__xludf.DUMMYFUNCTION("""COMPUTED_VALUE"""),56.35)</f>
        <v>56.35</v>
      </c>
      <c r="E5746" s="2">
        <f>IFERROR(__xludf.DUMMYFUNCTION("""COMPUTED_VALUE"""),58.43)</f>
        <v>58.43</v>
      </c>
      <c r="F5746" s="2">
        <f>IFERROR(__xludf.DUMMYFUNCTION("""COMPUTED_VALUE"""),1.16438E7)</f>
        <v>11643800</v>
      </c>
    </row>
    <row r="5747">
      <c r="A5747" s="3">
        <f>IFERROR(__xludf.DUMMYFUNCTION("""COMPUTED_VALUE"""),37531.666666666664)</f>
        <v>37531.66667</v>
      </c>
      <c r="B5747" s="2">
        <f>IFERROR(__xludf.DUMMYFUNCTION("""COMPUTED_VALUE"""),58.27)</f>
        <v>58.27</v>
      </c>
      <c r="C5747" s="2">
        <f>IFERROR(__xludf.DUMMYFUNCTION("""COMPUTED_VALUE"""),59.22)</f>
        <v>59.22</v>
      </c>
      <c r="D5747" s="2">
        <f>IFERROR(__xludf.DUMMYFUNCTION("""COMPUTED_VALUE"""),55.73)</f>
        <v>55.73</v>
      </c>
      <c r="E5747" s="2">
        <f>IFERROR(__xludf.DUMMYFUNCTION("""COMPUTED_VALUE"""),56.96)</f>
        <v>56.96</v>
      </c>
      <c r="F5747" s="2">
        <f>IFERROR(__xludf.DUMMYFUNCTION("""COMPUTED_VALUE"""),1.06533E7)</f>
        <v>10653300</v>
      </c>
    </row>
    <row r="5748">
      <c r="A5748" s="3">
        <f>IFERROR(__xludf.DUMMYFUNCTION("""COMPUTED_VALUE"""),37532.666666666664)</f>
        <v>37532.66667</v>
      </c>
      <c r="B5748" s="2">
        <f>IFERROR(__xludf.DUMMYFUNCTION("""COMPUTED_VALUE"""),57.6)</f>
        <v>57.6</v>
      </c>
      <c r="C5748" s="2">
        <f>IFERROR(__xludf.DUMMYFUNCTION("""COMPUTED_VALUE"""),58.42)</f>
        <v>58.42</v>
      </c>
      <c r="D5748" s="2">
        <f>IFERROR(__xludf.DUMMYFUNCTION("""COMPUTED_VALUE"""),56.31)</f>
        <v>56.31</v>
      </c>
      <c r="E5748" s="2">
        <f>IFERROR(__xludf.DUMMYFUNCTION("""COMPUTED_VALUE"""),57.31)</f>
        <v>57.31</v>
      </c>
      <c r="F5748" s="2">
        <f>IFERROR(__xludf.DUMMYFUNCTION("""COMPUTED_VALUE"""),1.10011E7)</f>
        <v>11001100</v>
      </c>
    </row>
    <row r="5749">
      <c r="A5749" s="3">
        <f>IFERROR(__xludf.DUMMYFUNCTION("""COMPUTED_VALUE"""),37533.666666666664)</f>
        <v>37533.66667</v>
      </c>
      <c r="B5749" s="2">
        <f>IFERROR(__xludf.DUMMYFUNCTION("""COMPUTED_VALUE"""),56.83)</f>
        <v>56.83</v>
      </c>
      <c r="C5749" s="2">
        <f>IFERROR(__xludf.DUMMYFUNCTION("""COMPUTED_VALUE"""),56.84)</f>
        <v>56.84</v>
      </c>
      <c r="D5749" s="2">
        <f>IFERROR(__xludf.DUMMYFUNCTION("""COMPUTED_VALUE"""),53.27)</f>
        <v>53.27</v>
      </c>
      <c r="E5749" s="2">
        <f>IFERROR(__xludf.DUMMYFUNCTION("""COMPUTED_VALUE"""),54.06)</f>
        <v>54.06</v>
      </c>
      <c r="F5749" s="2">
        <f>IFERROR(__xludf.DUMMYFUNCTION("""COMPUTED_VALUE"""),1.45521E7)</f>
        <v>14552100</v>
      </c>
    </row>
    <row r="5750">
      <c r="A5750" s="3">
        <f>IFERROR(__xludf.DUMMYFUNCTION("""COMPUTED_VALUE"""),37536.666666666664)</f>
        <v>37536.66667</v>
      </c>
      <c r="B5750" s="2">
        <f>IFERROR(__xludf.DUMMYFUNCTION("""COMPUTED_VALUE"""),54.06)</f>
        <v>54.06</v>
      </c>
      <c r="C5750" s="2">
        <f>IFERROR(__xludf.DUMMYFUNCTION("""COMPUTED_VALUE"""),55.88)</f>
        <v>55.88</v>
      </c>
      <c r="D5750" s="2">
        <f>IFERROR(__xludf.DUMMYFUNCTION("""COMPUTED_VALUE"""),54.06)</f>
        <v>54.06</v>
      </c>
      <c r="E5750" s="2">
        <f>IFERROR(__xludf.DUMMYFUNCTION("""COMPUTED_VALUE"""),54.31)</f>
        <v>54.31</v>
      </c>
      <c r="F5750" s="2">
        <f>IFERROR(__xludf.DUMMYFUNCTION("""COMPUTED_VALUE"""),9641600.0)</f>
        <v>9641600</v>
      </c>
    </row>
    <row r="5751">
      <c r="A5751" s="3">
        <f>IFERROR(__xludf.DUMMYFUNCTION("""COMPUTED_VALUE"""),37537.666666666664)</f>
        <v>37537.66667</v>
      </c>
      <c r="B5751" s="2">
        <f>IFERROR(__xludf.DUMMYFUNCTION("""COMPUTED_VALUE"""),55.19)</f>
        <v>55.19</v>
      </c>
      <c r="C5751" s="2">
        <f>IFERROR(__xludf.DUMMYFUNCTION("""COMPUTED_VALUE"""),55.49)</f>
        <v>55.49</v>
      </c>
      <c r="D5751" s="2">
        <f>IFERROR(__xludf.DUMMYFUNCTION("""COMPUTED_VALUE"""),52.34)</f>
        <v>52.34</v>
      </c>
      <c r="E5751" s="2">
        <f>IFERROR(__xludf.DUMMYFUNCTION("""COMPUTED_VALUE"""),54.49)</f>
        <v>54.49</v>
      </c>
      <c r="F5751" s="2">
        <f>IFERROR(__xludf.DUMMYFUNCTION("""COMPUTED_VALUE"""),1.47445E7)</f>
        <v>14744500</v>
      </c>
    </row>
    <row r="5752">
      <c r="A5752" s="3">
        <f>IFERROR(__xludf.DUMMYFUNCTION("""COMPUTED_VALUE"""),37538.666666666664)</f>
        <v>37538.66667</v>
      </c>
      <c r="B5752" s="2">
        <f>IFERROR(__xludf.DUMMYFUNCTION("""COMPUTED_VALUE"""),53.54)</f>
        <v>53.54</v>
      </c>
      <c r="C5752" s="2">
        <f>IFERROR(__xludf.DUMMYFUNCTION("""COMPUTED_VALUE"""),54.16)</f>
        <v>54.16</v>
      </c>
      <c r="D5752" s="2">
        <f>IFERROR(__xludf.DUMMYFUNCTION("""COMPUTED_VALUE"""),52.35)</f>
        <v>52.35</v>
      </c>
      <c r="E5752" s="2">
        <f>IFERROR(__xludf.DUMMYFUNCTION("""COMPUTED_VALUE"""),52.6)</f>
        <v>52.6</v>
      </c>
      <c r="F5752" s="2">
        <f>IFERROR(__xludf.DUMMYFUNCTION("""COMPUTED_VALUE"""),1.21554E7)</f>
        <v>12155400</v>
      </c>
    </row>
    <row r="5753">
      <c r="A5753" s="3">
        <f>IFERROR(__xludf.DUMMYFUNCTION("""COMPUTED_VALUE"""),37539.666666666664)</f>
        <v>37539.66667</v>
      </c>
      <c r="B5753" s="2">
        <f>IFERROR(__xludf.DUMMYFUNCTION("""COMPUTED_VALUE"""),52.2)</f>
        <v>52.2</v>
      </c>
      <c r="C5753" s="2">
        <f>IFERROR(__xludf.DUMMYFUNCTION("""COMPUTED_VALUE"""),55.86)</f>
        <v>55.86</v>
      </c>
      <c r="D5753" s="2">
        <f>IFERROR(__xludf.DUMMYFUNCTION("""COMPUTED_VALUE"""),51.59)</f>
        <v>51.59</v>
      </c>
      <c r="E5753" s="2">
        <f>IFERROR(__xludf.DUMMYFUNCTION("""COMPUTED_VALUE"""),55.0)</f>
        <v>55</v>
      </c>
      <c r="F5753" s="2">
        <f>IFERROR(__xludf.DUMMYFUNCTION("""COMPUTED_VALUE"""),1.26726E7)</f>
        <v>12672600</v>
      </c>
    </row>
    <row r="5754">
      <c r="A5754" s="3">
        <f>IFERROR(__xludf.DUMMYFUNCTION("""COMPUTED_VALUE"""),37540.666666666664)</f>
        <v>37540.66667</v>
      </c>
      <c r="B5754" s="2">
        <f>IFERROR(__xludf.DUMMYFUNCTION("""COMPUTED_VALUE"""),59.22)</f>
        <v>59.22</v>
      </c>
      <c r="C5754" s="2">
        <f>IFERROR(__xludf.DUMMYFUNCTION("""COMPUTED_VALUE"""),61.05)</f>
        <v>61.05</v>
      </c>
      <c r="D5754" s="2">
        <f>IFERROR(__xludf.DUMMYFUNCTION("""COMPUTED_VALUE"""),58.74)</f>
        <v>58.74</v>
      </c>
      <c r="E5754" s="2">
        <f>IFERROR(__xludf.DUMMYFUNCTION("""COMPUTED_VALUE"""),61.05)</f>
        <v>61.05</v>
      </c>
      <c r="F5754" s="2">
        <f>IFERROR(__xludf.DUMMYFUNCTION("""COMPUTED_VALUE"""),1.78546E7)</f>
        <v>17854600</v>
      </c>
    </row>
    <row r="5755">
      <c r="A5755" s="3">
        <f>IFERROR(__xludf.DUMMYFUNCTION("""COMPUTED_VALUE"""),37543.666666666664)</f>
        <v>37543.66667</v>
      </c>
      <c r="B5755" s="2">
        <f>IFERROR(__xludf.DUMMYFUNCTION("""COMPUTED_VALUE"""),58.78)</f>
        <v>58.78</v>
      </c>
      <c r="C5755" s="2">
        <f>IFERROR(__xludf.DUMMYFUNCTION("""COMPUTED_VALUE"""),60.94)</f>
        <v>60.94</v>
      </c>
      <c r="D5755" s="2">
        <f>IFERROR(__xludf.DUMMYFUNCTION("""COMPUTED_VALUE"""),58.78)</f>
        <v>58.78</v>
      </c>
      <c r="E5755" s="2">
        <f>IFERROR(__xludf.DUMMYFUNCTION("""COMPUTED_VALUE"""),60.58)</f>
        <v>60.58</v>
      </c>
      <c r="F5755" s="2">
        <f>IFERROR(__xludf.DUMMYFUNCTION("""COMPUTED_VALUE"""),7925300.0)</f>
        <v>7925300</v>
      </c>
    </row>
    <row r="5756">
      <c r="A5756" s="3">
        <f>IFERROR(__xludf.DUMMYFUNCTION("""COMPUTED_VALUE"""),37544.666666666664)</f>
        <v>37544.66667</v>
      </c>
      <c r="B5756" s="2">
        <f>IFERROR(__xludf.DUMMYFUNCTION("""COMPUTED_VALUE"""),64.71)</f>
        <v>64.71</v>
      </c>
      <c r="C5756" s="2">
        <f>IFERROR(__xludf.DUMMYFUNCTION("""COMPUTED_VALUE"""),65.41)</f>
        <v>65.41</v>
      </c>
      <c r="D5756" s="2">
        <f>IFERROR(__xludf.DUMMYFUNCTION("""COMPUTED_VALUE"""),63.59)</f>
        <v>63.59</v>
      </c>
      <c r="E5756" s="2">
        <f>IFERROR(__xludf.DUMMYFUNCTION("""COMPUTED_VALUE"""),65.41)</f>
        <v>65.41</v>
      </c>
      <c r="F5756" s="2">
        <f>IFERROR(__xludf.DUMMYFUNCTION("""COMPUTED_VALUE"""),1.46014E7)</f>
        <v>14601400</v>
      </c>
    </row>
    <row r="5757">
      <c r="A5757" s="3">
        <f>IFERROR(__xludf.DUMMYFUNCTION("""COMPUTED_VALUE"""),37545.666666666664)</f>
        <v>37545.66667</v>
      </c>
      <c r="B5757" s="2">
        <f>IFERROR(__xludf.DUMMYFUNCTION("""COMPUTED_VALUE"""),63.61)</f>
        <v>63.61</v>
      </c>
      <c r="C5757" s="2">
        <f>IFERROR(__xludf.DUMMYFUNCTION("""COMPUTED_VALUE"""),64.0)</f>
        <v>64</v>
      </c>
      <c r="D5757" s="2">
        <f>IFERROR(__xludf.DUMMYFUNCTION("""COMPUTED_VALUE"""),61.36)</f>
        <v>61.36</v>
      </c>
      <c r="E5757" s="2">
        <f>IFERROR(__xludf.DUMMYFUNCTION("""COMPUTED_VALUE"""),61.99)</f>
        <v>61.99</v>
      </c>
      <c r="F5757" s="2">
        <f>IFERROR(__xludf.DUMMYFUNCTION("""COMPUTED_VALUE"""),1.59272E7)</f>
        <v>15927200</v>
      </c>
    </row>
    <row r="5758">
      <c r="A5758" s="3">
        <f>IFERROR(__xludf.DUMMYFUNCTION("""COMPUTED_VALUE"""),37546.666666666664)</f>
        <v>37546.66667</v>
      </c>
      <c r="B5758" s="2">
        <f>IFERROR(__xludf.DUMMYFUNCTION("""COMPUTED_VALUE"""),69.49)</f>
        <v>69.49</v>
      </c>
      <c r="C5758" s="2">
        <f>IFERROR(__xludf.DUMMYFUNCTION("""COMPUTED_VALUE"""),69.73)</f>
        <v>69.73</v>
      </c>
      <c r="D5758" s="2">
        <f>IFERROR(__xludf.DUMMYFUNCTION("""COMPUTED_VALUE"""),68.04)</f>
        <v>68.04</v>
      </c>
      <c r="E5758" s="2">
        <f>IFERROR(__xludf.DUMMYFUNCTION("""COMPUTED_VALUE"""),68.96)</f>
        <v>68.96</v>
      </c>
      <c r="F5758" s="2">
        <f>IFERROR(__xludf.DUMMYFUNCTION("""COMPUTED_VALUE"""),2.13458E7)</f>
        <v>21345800</v>
      </c>
    </row>
    <row r="5759">
      <c r="A5759" s="3">
        <f>IFERROR(__xludf.DUMMYFUNCTION("""COMPUTED_VALUE"""),37547.666666666664)</f>
        <v>37547.66667</v>
      </c>
      <c r="B5759" s="2">
        <f>IFERROR(__xludf.DUMMYFUNCTION("""COMPUTED_VALUE"""),68.39)</f>
        <v>68.39</v>
      </c>
      <c r="C5759" s="2">
        <f>IFERROR(__xludf.DUMMYFUNCTION("""COMPUTED_VALUE"""),70.92)</f>
        <v>70.92</v>
      </c>
      <c r="D5759" s="2">
        <f>IFERROR(__xludf.DUMMYFUNCTION("""COMPUTED_VALUE"""),67.11)</f>
        <v>67.11</v>
      </c>
      <c r="E5759" s="2">
        <f>IFERROR(__xludf.DUMMYFUNCTION("""COMPUTED_VALUE"""),70.92)</f>
        <v>70.92</v>
      </c>
      <c r="F5759" s="2">
        <f>IFERROR(__xludf.DUMMYFUNCTION("""COMPUTED_VALUE"""),1.25331E7)</f>
        <v>12533100</v>
      </c>
    </row>
    <row r="5760">
      <c r="A5760" s="3">
        <f>IFERROR(__xludf.DUMMYFUNCTION("""COMPUTED_VALUE"""),37550.666666666664)</f>
        <v>37550.66667</v>
      </c>
      <c r="B5760" s="2">
        <f>IFERROR(__xludf.DUMMYFUNCTION("""COMPUTED_VALUE"""),70.35)</f>
        <v>70.35</v>
      </c>
      <c r="C5760" s="2">
        <f>IFERROR(__xludf.DUMMYFUNCTION("""COMPUTED_VALUE"""),72.5)</f>
        <v>72.5</v>
      </c>
      <c r="D5760" s="2">
        <f>IFERROR(__xludf.DUMMYFUNCTION("""COMPUTED_VALUE"""),69.67)</f>
        <v>69.67</v>
      </c>
      <c r="E5760" s="2">
        <f>IFERROR(__xludf.DUMMYFUNCTION("""COMPUTED_VALUE"""),72.16)</f>
        <v>72.16</v>
      </c>
      <c r="F5760" s="2">
        <f>IFERROR(__xludf.DUMMYFUNCTION("""COMPUTED_VALUE"""),1.09163E7)</f>
        <v>10916300</v>
      </c>
    </row>
    <row r="5761">
      <c r="A5761" s="3">
        <f>IFERROR(__xludf.DUMMYFUNCTION("""COMPUTED_VALUE"""),37551.666666666664)</f>
        <v>37551.66667</v>
      </c>
      <c r="B5761" s="2">
        <f>IFERROR(__xludf.DUMMYFUNCTION("""COMPUTED_VALUE"""),71.16)</f>
        <v>71.16</v>
      </c>
      <c r="C5761" s="2">
        <f>IFERROR(__xludf.DUMMYFUNCTION("""COMPUTED_VALUE"""),72.29)</f>
        <v>72.29</v>
      </c>
      <c r="D5761" s="2">
        <f>IFERROR(__xludf.DUMMYFUNCTION("""COMPUTED_VALUE"""),70.32)</f>
        <v>70.32</v>
      </c>
      <c r="E5761" s="2">
        <f>IFERROR(__xludf.DUMMYFUNCTION("""COMPUTED_VALUE"""),71.15)</f>
        <v>71.15</v>
      </c>
      <c r="F5761" s="2">
        <f>IFERROR(__xludf.DUMMYFUNCTION("""COMPUTED_VALUE"""),1.04118E7)</f>
        <v>10411800</v>
      </c>
    </row>
    <row r="5762">
      <c r="A5762" s="3">
        <f>IFERROR(__xludf.DUMMYFUNCTION("""COMPUTED_VALUE"""),37552.666666666664)</f>
        <v>37552.66667</v>
      </c>
      <c r="B5762" s="2">
        <f>IFERROR(__xludf.DUMMYFUNCTION("""COMPUTED_VALUE"""),71.06)</f>
        <v>71.06</v>
      </c>
      <c r="C5762" s="2">
        <f>IFERROR(__xludf.DUMMYFUNCTION("""COMPUTED_VALUE"""),71.61)</f>
        <v>71.61</v>
      </c>
      <c r="D5762" s="2">
        <f>IFERROR(__xludf.DUMMYFUNCTION("""COMPUTED_VALUE"""),69.21)</f>
        <v>69.21</v>
      </c>
      <c r="E5762" s="2">
        <f>IFERROR(__xludf.DUMMYFUNCTION("""COMPUTED_VALUE"""),71.26)</f>
        <v>71.26</v>
      </c>
      <c r="F5762" s="2">
        <f>IFERROR(__xludf.DUMMYFUNCTION("""COMPUTED_VALUE"""),1.24693E7)</f>
        <v>12469300</v>
      </c>
    </row>
    <row r="5763">
      <c r="A5763" s="3">
        <f>IFERROR(__xludf.DUMMYFUNCTION("""COMPUTED_VALUE"""),37553.666666666664)</f>
        <v>37553.66667</v>
      </c>
      <c r="B5763" s="2">
        <f>IFERROR(__xludf.DUMMYFUNCTION("""COMPUTED_VALUE"""),72.11)</f>
        <v>72.11</v>
      </c>
      <c r="C5763" s="2">
        <f>IFERROR(__xludf.DUMMYFUNCTION("""COMPUTED_VALUE"""),72.16)</f>
        <v>72.16</v>
      </c>
      <c r="D5763" s="2">
        <f>IFERROR(__xludf.DUMMYFUNCTION("""COMPUTED_VALUE"""),68.53)</f>
        <v>68.53</v>
      </c>
      <c r="E5763" s="2">
        <f>IFERROR(__xludf.DUMMYFUNCTION("""COMPUTED_VALUE"""),68.87)</f>
        <v>68.87</v>
      </c>
      <c r="F5763" s="2">
        <f>IFERROR(__xludf.DUMMYFUNCTION("""COMPUTED_VALUE"""),1.06167E7)</f>
        <v>10616700</v>
      </c>
    </row>
    <row r="5764">
      <c r="A5764" s="3">
        <f>IFERROR(__xludf.DUMMYFUNCTION("""COMPUTED_VALUE"""),37554.666666666664)</f>
        <v>37554.66667</v>
      </c>
      <c r="B5764" s="2">
        <f>IFERROR(__xludf.DUMMYFUNCTION("""COMPUTED_VALUE"""),69.25)</f>
        <v>69.25</v>
      </c>
      <c r="C5764" s="2">
        <f>IFERROR(__xludf.DUMMYFUNCTION("""COMPUTED_VALUE"""),71.27)</f>
        <v>71.27</v>
      </c>
      <c r="D5764" s="2">
        <f>IFERROR(__xludf.DUMMYFUNCTION("""COMPUTED_VALUE"""),68.92)</f>
        <v>68.92</v>
      </c>
      <c r="E5764" s="2">
        <f>IFERROR(__xludf.DUMMYFUNCTION("""COMPUTED_VALUE"""),71.22)</f>
        <v>71.22</v>
      </c>
      <c r="F5764" s="2">
        <f>IFERROR(__xludf.DUMMYFUNCTION("""COMPUTED_VALUE"""),7552600.0)</f>
        <v>7552600</v>
      </c>
    </row>
    <row r="5765">
      <c r="A5765" s="3">
        <f>IFERROR(__xludf.DUMMYFUNCTION("""COMPUTED_VALUE"""),37557.666666666664)</f>
        <v>37557.66667</v>
      </c>
      <c r="B5765" s="2">
        <f>IFERROR(__xludf.DUMMYFUNCTION("""COMPUTED_VALUE"""),71.78)</f>
        <v>71.78</v>
      </c>
      <c r="C5765" s="2">
        <f>IFERROR(__xludf.DUMMYFUNCTION("""COMPUTED_VALUE"""),74.03)</f>
        <v>74.03</v>
      </c>
      <c r="D5765" s="2">
        <f>IFERROR(__xludf.DUMMYFUNCTION("""COMPUTED_VALUE"""),71.22)</f>
        <v>71.22</v>
      </c>
      <c r="E5765" s="2">
        <f>IFERROR(__xludf.DUMMYFUNCTION("""COMPUTED_VALUE"""),73.13)</f>
        <v>73.13</v>
      </c>
      <c r="F5765" s="2">
        <f>IFERROR(__xludf.DUMMYFUNCTION("""COMPUTED_VALUE"""),1.25449E7)</f>
        <v>12544900</v>
      </c>
    </row>
    <row r="5766">
      <c r="A5766" s="3">
        <f>IFERROR(__xludf.DUMMYFUNCTION("""COMPUTED_VALUE"""),37558.666666666664)</f>
        <v>37558.66667</v>
      </c>
      <c r="B5766" s="2">
        <f>IFERROR(__xludf.DUMMYFUNCTION("""COMPUTED_VALUE"""),73.13)</f>
        <v>73.13</v>
      </c>
      <c r="C5766" s="2">
        <f>IFERROR(__xludf.DUMMYFUNCTION("""COMPUTED_VALUE"""),73.6)</f>
        <v>73.6</v>
      </c>
      <c r="D5766" s="2">
        <f>IFERROR(__xludf.DUMMYFUNCTION("""COMPUTED_VALUE"""),70.87)</f>
        <v>70.87</v>
      </c>
      <c r="E5766" s="2">
        <f>IFERROR(__xludf.DUMMYFUNCTION("""COMPUTED_VALUE"""),73.3)</f>
        <v>73.3</v>
      </c>
      <c r="F5766" s="2">
        <f>IFERROR(__xludf.DUMMYFUNCTION("""COMPUTED_VALUE"""),1.16488E7)</f>
        <v>11648800</v>
      </c>
    </row>
    <row r="5767">
      <c r="A5767" s="3">
        <f>IFERROR(__xludf.DUMMYFUNCTION("""COMPUTED_VALUE"""),37559.666666666664)</f>
        <v>37559.66667</v>
      </c>
      <c r="B5767" s="2">
        <f>IFERROR(__xludf.DUMMYFUNCTION("""COMPUTED_VALUE"""),73.55)</f>
        <v>73.55</v>
      </c>
      <c r="C5767" s="2">
        <f>IFERROR(__xludf.DUMMYFUNCTION("""COMPUTED_VALUE"""),75.84)</f>
        <v>75.84</v>
      </c>
      <c r="D5767" s="2">
        <f>IFERROR(__xludf.DUMMYFUNCTION("""COMPUTED_VALUE"""),72.61)</f>
        <v>72.61</v>
      </c>
      <c r="E5767" s="2">
        <f>IFERROR(__xludf.DUMMYFUNCTION("""COMPUTED_VALUE"""),75.14)</f>
        <v>75.14</v>
      </c>
      <c r="F5767" s="2">
        <f>IFERROR(__xludf.DUMMYFUNCTION("""COMPUTED_VALUE"""),1.28658E7)</f>
        <v>12865800</v>
      </c>
    </row>
    <row r="5768">
      <c r="A5768" s="3">
        <f>IFERROR(__xludf.DUMMYFUNCTION("""COMPUTED_VALUE"""),37560.666666666664)</f>
        <v>37560.66667</v>
      </c>
      <c r="B5768" s="2">
        <f>IFERROR(__xludf.DUMMYFUNCTION("""COMPUTED_VALUE"""),75.14)</f>
        <v>75.14</v>
      </c>
      <c r="C5768" s="2">
        <f>IFERROR(__xludf.DUMMYFUNCTION("""COMPUTED_VALUE"""),76.21)</f>
        <v>76.21</v>
      </c>
      <c r="D5768" s="2">
        <f>IFERROR(__xludf.DUMMYFUNCTION("""COMPUTED_VALUE"""),74.98)</f>
        <v>74.98</v>
      </c>
      <c r="E5768" s="2">
        <f>IFERROR(__xludf.DUMMYFUNCTION("""COMPUTED_VALUE"""),75.4)</f>
        <v>75.4</v>
      </c>
      <c r="F5768" s="2">
        <f>IFERROR(__xludf.DUMMYFUNCTION("""COMPUTED_VALUE"""),9844300.0)</f>
        <v>9844300</v>
      </c>
    </row>
    <row r="5769">
      <c r="A5769" s="3">
        <f>IFERROR(__xludf.DUMMYFUNCTION("""COMPUTED_VALUE"""),37561.666666666664)</f>
        <v>37561.66667</v>
      </c>
      <c r="B5769" s="2">
        <f>IFERROR(__xludf.DUMMYFUNCTION("""COMPUTED_VALUE"""),75.36)</f>
        <v>75.36</v>
      </c>
      <c r="C5769" s="2">
        <f>IFERROR(__xludf.DUMMYFUNCTION("""COMPUTED_VALUE"""),76.89)</f>
        <v>76.89</v>
      </c>
      <c r="D5769" s="2">
        <f>IFERROR(__xludf.DUMMYFUNCTION("""COMPUTED_VALUE"""),74.81)</f>
        <v>74.81</v>
      </c>
      <c r="E5769" s="2">
        <f>IFERROR(__xludf.DUMMYFUNCTION("""COMPUTED_VALUE"""),76.8)</f>
        <v>76.8</v>
      </c>
      <c r="F5769" s="2">
        <f>IFERROR(__xludf.DUMMYFUNCTION("""COMPUTED_VALUE"""),9395700.0)</f>
        <v>9395700</v>
      </c>
    </row>
    <row r="5770">
      <c r="A5770" s="3">
        <f>IFERROR(__xludf.DUMMYFUNCTION("""COMPUTED_VALUE"""),37564.666666666664)</f>
        <v>37564.66667</v>
      </c>
      <c r="B5770" s="2">
        <f>IFERROR(__xludf.DUMMYFUNCTION("""COMPUTED_VALUE"""),78.04)</f>
        <v>78.04</v>
      </c>
      <c r="C5770" s="2">
        <f>IFERROR(__xludf.DUMMYFUNCTION("""COMPUTED_VALUE"""),80.05)</f>
        <v>80.05</v>
      </c>
      <c r="D5770" s="2">
        <f>IFERROR(__xludf.DUMMYFUNCTION("""COMPUTED_VALUE"""),78.04)</f>
        <v>78.04</v>
      </c>
      <c r="E5770" s="2">
        <f>IFERROR(__xludf.DUMMYFUNCTION("""COMPUTED_VALUE"""),78.8)</f>
        <v>78.8</v>
      </c>
      <c r="F5770" s="2">
        <f>IFERROR(__xludf.DUMMYFUNCTION("""COMPUTED_VALUE"""),1.2006E7)</f>
        <v>12006000</v>
      </c>
    </row>
    <row r="5771">
      <c r="A5771" s="3">
        <f>IFERROR(__xludf.DUMMYFUNCTION("""COMPUTED_VALUE"""),37565.666666666664)</f>
        <v>37565.66667</v>
      </c>
      <c r="B5771" s="2">
        <f>IFERROR(__xludf.DUMMYFUNCTION("""COMPUTED_VALUE"""),78.08)</f>
        <v>78.08</v>
      </c>
      <c r="C5771" s="2">
        <f>IFERROR(__xludf.DUMMYFUNCTION("""COMPUTED_VALUE"""),78.33)</f>
        <v>78.33</v>
      </c>
      <c r="D5771" s="2">
        <f>IFERROR(__xludf.DUMMYFUNCTION("""COMPUTED_VALUE"""),76.86)</f>
        <v>76.86</v>
      </c>
      <c r="E5771" s="2">
        <f>IFERROR(__xludf.DUMMYFUNCTION("""COMPUTED_VALUE"""),78.02)</f>
        <v>78.02</v>
      </c>
      <c r="F5771" s="2">
        <f>IFERROR(__xludf.DUMMYFUNCTION("""COMPUTED_VALUE"""),1.04677E7)</f>
        <v>10467700</v>
      </c>
    </row>
    <row r="5772">
      <c r="A5772" s="3">
        <f>IFERROR(__xludf.DUMMYFUNCTION("""COMPUTED_VALUE"""),37566.666666666664)</f>
        <v>37566.66667</v>
      </c>
      <c r="B5772" s="2">
        <f>IFERROR(__xludf.DUMMYFUNCTION("""COMPUTED_VALUE"""),77.18)</f>
        <v>77.18</v>
      </c>
      <c r="C5772" s="2">
        <f>IFERROR(__xludf.DUMMYFUNCTION("""COMPUTED_VALUE"""),78.21)</f>
        <v>78.21</v>
      </c>
      <c r="D5772" s="2">
        <f>IFERROR(__xludf.DUMMYFUNCTION("""COMPUTED_VALUE"""),76.46)</f>
        <v>76.46</v>
      </c>
      <c r="E5772" s="2">
        <f>IFERROR(__xludf.DUMMYFUNCTION("""COMPUTED_VALUE"""),77.88)</f>
        <v>77.88</v>
      </c>
      <c r="F5772" s="2">
        <f>IFERROR(__xludf.DUMMYFUNCTION("""COMPUTED_VALUE"""),1.04811E7)</f>
        <v>10481100</v>
      </c>
    </row>
    <row r="5773">
      <c r="A5773" s="3">
        <f>IFERROR(__xludf.DUMMYFUNCTION("""COMPUTED_VALUE"""),37567.666666666664)</f>
        <v>37567.66667</v>
      </c>
      <c r="B5773" s="2">
        <f>IFERROR(__xludf.DUMMYFUNCTION("""COMPUTED_VALUE"""),76.41)</f>
        <v>76.41</v>
      </c>
      <c r="C5773" s="2">
        <f>IFERROR(__xludf.DUMMYFUNCTION("""COMPUTED_VALUE"""),76.41)</f>
        <v>76.41</v>
      </c>
      <c r="D5773" s="2">
        <f>IFERROR(__xludf.DUMMYFUNCTION("""COMPUTED_VALUE"""),74.81)</f>
        <v>74.81</v>
      </c>
      <c r="E5773" s="2">
        <f>IFERROR(__xludf.DUMMYFUNCTION("""COMPUTED_VALUE"""),75.41)</f>
        <v>75.41</v>
      </c>
      <c r="F5773" s="2">
        <f>IFERROR(__xludf.DUMMYFUNCTION("""COMPUTED_VALUE"""),1.10369E7)</f>
        <v>11036900</v>
      </c>
    </row>
    <row r="5774">
      <c r="A5774" s="3">
        <f>IFERROR(__xludf.DUMMYFUNCTION("""COMPUTED_VALUE"""),37568.666666666664)</f>
        <v>37568.66667</v>
      </c>
      <c r="B5774" s="2">
        <f>IFERROR(__xludf.DUMMYFUNCTION("""COMPUTED_VALUE"""),74.98)</f>
        <v>74.98</v>
      </c>
      <c r="C5774" s="2">
        <f>IFERROR(__xludf.DUMMYFUNCTION("""COMPUTED_VALUE"""),75.74)</f>
        <v>75.74</v>
      </c>
      <c r="D5774" s="2">
        <f>IFERROR(__xludf.DUMMYFUNCTION("""COMPUTED_VALUE"""),73.74)</f>
        <v>73.74</v>
      </c>
      <c r="E5774" s="2">
        <f>IFERROR(__xludf.DUMMYFUNCTION("""COMPUTED_VALUE"""),74.11)</f>
        <v>74.11</v>
      </c>
      <c r="F5774" s="2">
        <f>IFERROR(__xludf.DUMMYFUNCTION("""COMPUTED_VALUE"""),8119700.0)</f>
        <v>8119700</v>
      </c>
    </row>
    <row r="5775">
      <c r="A5775" s="3">
        <f>IFERROR(__xludf.DUMMYFUNCTION("""COMPUTED_VALUE"""),37571.666666666664)</f>
        <v>37571.66667</v>
      </c>
      <c r="B5775" s="2">
        <f>IFERROR(__xludf.DUMMYFUNCTION("""COMPUTED_VALUE"""),74.11)</f>
        <v>74.11</v>
      </c>
      <c r="C5775" s="2">
        <f>IFERROR(__xludf.DUMMYFUNCTION("""COMPUTED_VALUE"""),74.85)</f>
        <v>74.85</v>
      </c>
      <c r="D5775" s="2">
        <f>IFERROR(__xludf.DUMMYFUNCTION("""COMPUTED_VALUE"""),73.26)</f>
        <v>73.26</v>
      </c>
      <c r="E5775" s="2">
        <f>IFERROR(__xludf.DUMMYFUNCTION("""COMPUTED_VALUE"""),73.82)</f>
        <v>73.82</v>
      </c>
      <c r="F5775" s="2">
        <f>IFERROR(__xludf.DUMMYFUNCTION("""COMPUTED_VALUE"""),7386600.0)</f>
        <v>7386600</v>
      </c>
    </row>
    <row r="5776">
      <c r="A5776" s="3">
        <f>IFERROR(__xludf.DUMMYFUNCTION("""COMPUTED_VALUE"""),37572.666666666664)</f>
        <v>37572.66667</v>
      </c>
      <c r="B5776" s="2">
        <f>IFERROR(__xludf.DUMMYFUNCTION("""COMPUTED_VALUE"""),74.03)</f>
        <v>74.03</v>
      </c>
      <c r="C5776" s="2">
        <f>IFERROR(__xludf.DUMMYFUNCTION("""COMPUTED_VALUE"""),76.32)</f>
        <v>76.32</v>
      </c>
      <c r="D5776" s="2">
        <f>IFERROR(__xludf.DUMMYFUNCTION("""COMPUTED_VALUE"""),73.83)</f>
        <v>73.83</v>
      </c>
      <c r="E5776" s="2">
        <f>IFERROR(__xludf.DUMMYFUNCTION("""COMPUTED_VALUE"""),75.6)</f>
        <v>75.6</v>
      </c>
      <c r="F5776" s="2">
        <f>IFERROR(__xludf.DUMMYFUNCTION("""COMPUTED_VALUE"""),9028200.0)</f>
        <v>9028200</v>
      </c>
    </row>
    <row r="5777">
      <c r="A5777" s="3">
        <f>IFERROR(__xludf.DUMMYFUNCTION("""COMPUTED_VALUE"""),37573.666666666664)</f>
        <v>37573.66667</v>
      </c>
      <c r="B5777" s="2">
        <f>IFERROR(__xludf.DUMMYFUNCTION("""COMPUTED_VALUE"""),75.94)</f>
        <v>75.94</v>
      </c>
      <c r="C5777" s="2">
        <f>IFERROR(__xludf.DUMMYFUNCTION("""COMPUTED_VALUE"""),76.73)</f>
        <v>76.73</v>
      </c>
      <c r="D5777" s="2">
        <f>IFERROR(__xludf.DUMMYFUNCTION("""COMPUTED_VALUE"""),74.48)</f>
        <v>74.48</v>
      </c>
      <c r="E5777" s="2">
        <f>IFERROR(__xludf.DUMMYFUNCTION("""COMPUTED_VALUE"""),75.79)</f>
        <v>75.79</v>
      </c>
      <c r="F5777" s="2">
        <f>IFERROR(__xludf.DUMMYFUNCTION("""COMPUTED_VALUE"""),1.1979E7)</f>
        <v>11979000</v>
      </c>
    </row>
    <row r="5778">
      <c r="A5778" s="3">
        <f>IFERROR(__xludf.DUMMYFUNCTION("""COMPUTED_VALUE"""),37574.666666666664)</f>
        <v>37574.66667</v>
      </c>
      <c r="B5778" s="2">
        <f>IFERROR(__xludf.DUMMYFUNCTION("""COMPUTED_VALUE"""),76.82)</f>
        <v>76.82</v>
      </c>
      <c r="C5778" s="2">
        <f>IFERROR(__xludf.DUMMYFUNCTION("""COMPUTED_VALUE"""),77.36)</f>
        <v>77.36</v>
      </c>
      <c r="D5778" s="2">
        <f>IFERROR(__xludf.DUMMYFUNCTION("""COMPUTED_VALUE"""),75.84)</f>
        <v>75.84</v>
      </c>
      <c r="E5778" s="2">
        <f>IFERROR(__xludf.DUMMYFUNCTION("""COMPUTED_VALUE"""),77.1)</f>
        <v>77.1</v>
      </c>
      <c r="F5778" s="2">
        <f>IFERROR(__xludf.DUMMYFUNCTION("""COMPUTED_VALUE"""),9664700.0)</f>
        <v>9664700</v>
      </c>
    </row>
    <row r="5779">
      <c r="A5779" s="3">
        <f>IFERROR(__xludf.DUMMYFUNCTION("""COMPUTED_VALUE"""),37575.666666666664)</f>
        <v>37575.66667</v>
      </c>
      <c r="B5779" s="2">
        <f>IFERROR(__xludf.DUMMYFUNCTION("""COMPUTED_VALUE"""),76.78)</f>
        <v>76.78</v>
      </c>
      <c r="C5779" s="2">
        <f>IFERROR(__xludf.DUMMYFUNCTION("""COMPUTED_VALUE"""),76.8)</f>
        <v>76.8</v>
      </c>
      <c r="D5779" s="2">
        <f>IFERROR(__xludf.DUMMYFUNCTION("""COMPUTED_VALUE"""),75.47)</f>
        <v>75.47</v>
      </c>
      <c r="E5779" s="2">
        <f>IFERROR(__xludf.DUMMYFUNCTION("""COMPUTED_VALUE"""),76.42)</f>
        <v>76.42</v>
      </c>
      <c r="F5779" s="2">
        <f>IFERROR(__xludf.DUMMYFUNCTION("""COMPUTED_VALUE"""),1.13681E7)</f>
        <v>11368100</v>
      </c>
    </row>
    <row r="5780">
      <c r="A5780" s="3">
        <f>IFERROR(__xludf.DUMMYFUNCTION("""COMPUTED_VALUE"""),37578.666666666664)</f>
        <v>37578.66667</v>
      </c>
      <c r="B5780" s="2">
        <f>IFERROR(__xludf.DUMMYFUNCTION("""COMPUTED_VALUE"""),77.18)</f>
        <v>77.18</v>
      </c>
      <c r="C5780" s="2">
        <f>IFERROR(__xludf.DUMMYFUNCTION("""COMPUTED_VALUE"""),77.36)</f>
        <v>77.36</v>
      </c>
      <c r="D5780" s="2">
        <f>IFERROR(__xludf.DUMMYFUNCTION("""COMPUTED_VALUE"""),75.53)</f>
        <v>75.53</v>
      </c>
      <c r="E5780" s="2">
        <f>IFERROR(__xludf.DUMMYFUNCTION("""COMPUTED_VALUE"""),75.63)</f>
        <v>75.63</v>
      </c>
      <c r="F5780" s="2">
        <f>IFERROR(__xludf.DUMMYFUNCTION("""COMPUTED_VALUE"""),7321500.0)</f>
        <v>7321500</v>
      </c>
    </row>
    <row r="5781">
      <c r="A5781" s="3">
        <f>IFERROR(__xludf.DUMMYFUNCTION("""COMPUTED_VALUE"""),37579.666666666664)</f>
        <v>37579.66667</v>
      </c>
      <c r="B5781" s="2">
        <f>IFERROR(__xludf.DUMMYFUNCTION("""COMPUTED_VALUE"""),75.08)</f>
        <v>75.08</v>
      </c>
      <c r="C5781" s="2">
        <f>IFERROR(__xludf.DUMMYFUNCTION("""COMPUTED_VALUE"""),75.89)</f>
        <v>75.89</v>
      </c>
      <c r="D5781" s="2">
        <f>IFERROR(__xludf.DUMMYFUNCTION("""COMPUTED_VALUE"""),74.35)</f>
        <v>74.35</v>
      </c>
      <c r="E5781" s="2">
        <f>IFERROR(__xludf.DUMMYFUNCTION("""COMPUTED_VALUE"""),74.86)</f>
        <v>74.86</v>
      </c>
      <c r="F5781" s="2">
        <f>IFERROR(__xludf.DUMMYFUNCTION("""COMPUTED_VALUE"""),6918800.0)</f>
        <v>6918800</v>
      </c>
    </row>
    <row r="5782">
      <c r="A5782" s="3">
        <f>IFERROR(__xludf.DUMMYFUNCTION("""COMPUTED_VALUE"""),37580.666666666664)</f>
        <v>37580.66667</v>
      </c>
      <c r="B5782" s="2">
        <f>IFERROR(__xludf.DUMMYFUNCTION("""COMPUTED_VALUE"""),74.46)</f>
        <v>74.46</v>
      </c>
      <c r="C5782" s="2">
        <f>IFERROR(__xludf.DUMMYFUNCTION("""COMPUTED_VALUE"""),78.05)</f>
        <v>78.05</v>
      </c>
      <c r="D5782" s="2">
        <f>IFERROR(__xludf.DUMMYFUNCTION("""COMPUTED_VALUE"""),74.41)</f>
        <v>74.41</v>
      </c>
      <c r="E5782" s="2">
        <f>IFERROR(__xludf.DUMMYFUNCTION("""COMPUTED_VALUE"""),77.95)</f>
        <v>77.95</v>
      </c>
      <c r="F5782" s="2">
        <f>IFERROR(__xludf.DUMMYFUNCTION("""COMPUTED_VALUE"""),9072100.0)</f>
        <v>9072100</v>
      </c>
    </row>
    <row r="5783">
      <c r="A5783" s="3">
        <f>IFERROR(__xludf.DUMMYFUNCTION("""COMPUTED_VALUE"""),37581.666666666664)</f>
        <v>37581.66667</v>
      </c>
      <c r="B5783" s="2">
        <f>IFERROR(__xludf.DUMMYFUNCTION("""COMPUTED_VALUE"""),78.37)</f>
        <v>78.37</v>
      </c>
      <c r="C5783" s="2">
        <f>IFERROR(__xludf.DUMMYFUNCTION("""COMPUTED_VALUE"""),81.11)</f>
        <v>81.11</v>
      </c>
      <c r="D5783" s="2">
        <f>IFERROR(__xludf.DUMMYFUNCTION("""COMPUTED_VALUE"""),78.37)</f>
        <v>78.37</v>
      </c>
      <c r="E5783" s="2">
        <f>IFERROR(__xludf.DUMMYFUNCTION("""COMPUTED_VALUE"""),81.09)</f>
        <v>81.09</v>
      </c>
      <c r="F5783" s="2">
        <f>IFERROR(__xludf.DUMMYFUNCTION("""COMPUTED_VALUE"""),1.27372E7)</f>
        <v>12737200</v>
      </c>
    </row>
    <row r="5784">
      <c r="A5784" s="3">
        <f>IFERROR(__xludf.DUMMYFUNCTION("""COMPUTED_VALUE"""),37582.666666666664)</f>
        <v>37582.66667</v>
      </c>
      <c r="B5784" s="2">
        <f>IFERROR(__xludf.DUMMYFUNCTION("""COMPUTED_VALUE"""),80.19)</f>
        <v>80.19</v>
      </c>
      <c r="C5784" s="2">
        <f>IFERROR(__xludf.DUMMYFUNCTION("""COMPUTED_VALUE"""),81.35)</f>
        <v>81.35</v>
      </c>
      <c r="D5784" s="2">
        <f>IFERROR(__xludf.DUMMYFUNCTION("""COMPUTED_VALUE"""),80.04)</f>
        <v>80.04</v>
      </c>
      <c r="E5784" s="2">
        <f>IFERROR(__xludf.DUMMYFUNCTION("""COMPUTED_VALUE"""),80.64)</f>
        <v>80.64</v>
      </c>
      <c r="F5784" s="2">
        <f>IFERROR(__xludf.DUMMYFUNCTION("""COMPUTED_VALUE"""),9053300.0)</f>
        <v>9053300</v>
      </c>
    </row>
    <row r="5785">
      <c r="A5785" s="3">
        <f>IFERROR(__xludf.DUMMYFUNCTION("""COMPUTED_VALUE"""),37585.666666666664)</f>
        <v>37585.66667</v>
      </c>
      <c r="B5785" s="2">
        <f>IFERROR(__xludf.DUMMYFUNCTION("""COMPUTED_VALUE"""),80.84)</f>
        <v>80.84</v>
      </c>
      <c r="C5785" s="2">
        <f>IFERROR(__xludf.DUMMYFUNCTION("""COMPUTED_VALUE"""),82.38)</f>
        <v>82.38</v>
      </c>
      <c r="D5785" s="2">
        <f>IFERROR(__xludf.DUMMYFUNCTION("""COMPUTED_VALUE"""),79.78)</f>
        <v>79.78</v>
      </c>
      <c r="E5785" s="2">
        <f>IFERROR(__xludf.DUMMYFUNCTION("""COMPUTED_VALUE"""),82.34)</f>
        <v>82.34</v>
      </c>
      <c r="F5785" s="2">
        <f>IFERROR(__xludf.DUMMYFUNCTION("""COMPUTED_VALUE"""),8651200.0)</f>
        <v>8651200</v>
      </c>
    </row>
    <row r="5786">
      <c r="A5786" s="3">
        <f>IFERROR(__xludf.DUMMYFUNCTION("""COMPUTED_VALUE"""),37586.666666666664)</f>
        <v>37586.66667</v>
      </c>
      <c r="B5786" s="2">
        <f>IFERROR(__xludf.DUMMYFUNCTION("""COMPUTED_VALUE"""),82.29)</f>
        <v>82.29</v>
      </c>
      <c r="C5786" s="2">
        <f>IFERROR(__xludf.DUMMYFUNCTION("""COMPUTED_VALUE"""),82.29)</f>
        <v>82.29</v>
      </c>
      <c r="D5786" s="2">
        <f>IFERROR(__xludf.DUMMYFUNCTION("""COMPUTED_VALUE"""),80.61)</f>
        <v>80.61</v>
      </c>
      <c r="E5786" s="2">
        <f>IFERROR(__xludf.DUMMYFUNCTION("""COMPUTED_VALUE"""),81.25)</f>
        <v>81.25</v>
      </c>
      <c r="F5786" s="2">
        <f>IFERROR(__xludf.DUMMYFUNCTION("""COMPUTED_VALUE"""),8560800.0)</f>
        <v>8560800</v>
      </c>
    </row>
    <row r="5787">
      <c r="A5787" s="3">
        <f>IFERROR(__xludf.DUMMYFUNCTION("""COMPUTED_VALUE"""),37587.666666666664)</f>
        <v>37587.66667</v>
      </c>
      <c r="B5787" s="2">
        <f>IFERROR(__xludf.DUMMYFUNCTION("""COMPUTED_VALUE"""),82.05)</f>
        <v>82.05</v>
      </c>
      <c r="C5787" s="2">
        <f>IFERROR(__xludf.DUMMYFUNCTION("""COMPUTED_VALUE"""),84.17)</f>
        <v>84.17</v>
      </c>
      <c r="D5787" s="2">
        <f>IFERROR(__xludf.DUMMYFUNCTION("""COMPUTED_VALUE"""),82.0)</f>
        <v>82</v>
      </c>
      <c r="E5787" s="2">
        <f>IFERROR(__xludf.DUMMYFUNCTION("""COMPUTED_VALUE"""),83.77)</f>
        <v>83.77</v>
      </c>
      <c r="F5787" s="2">
        <f>IFERROR(__xludf.DUMMYFUNCTION("""COMPUTED_VALUE"""),8209900.0)</f>
        <v>8209900</v>
      </c>
    </row>
    <row r="5788">
      <c r="A5788" s="3">
        <f>IFERROR(__xludf.DUMMYFUNCTION("""COMPUTED_VALUE"""),37589.666666666664)</f>
        <v>37589.66667</v>
      </c>
      <c r="B5788" s="2">
        <f>IFERROR(__xludf.DUMMYFUNCTION("""COMPUTED_VALUE"""),83.78)</f>
        <v>83.78</v>
      </c>
      <c r="C5788" s="2">
        <f>IFERROR(__xludf.DUMMYFUNCTION("""COMPUTED_VALUE"""),84.1)</f>
        <v>84.1</v>
      </c>
      <c r="D5788" s="2">
        <f>IFERROR(__xludf.DUMMYFUNCTION("""COMPUTED_VALUE"""),82.87)</f>
        <v>82.87</v>
      </c>
      <c r="E5788" s="2">
        <f>IFERROR(__xludf.DUMMYFUNCTION("""COMPUTED_VALUE"""),83.02)</f>
        <v>83.02</v>
      </c>
      <c r="F5788" s="2">
        <f>IFERROR(__xludf.DUMMYFUNCTION("""COMPUTED_VALUE"""),2980700.0)</f>
        <v>2980700</v>
      </c>
    </row>
    <row r="5789">
      <c r="A5789" s="3">
        <f>IFERROR(__xludf.DUMMYFUNCTION("""COMPUTED_VALUE"""),37592.666666666664)</f>
        <v>37592.66667</v>
      </c>
      <c r="B5789" s="2">
        <f>IFERROR(__xludf.DUMMYFUNCTION("""COMPUTED_VALUE"""),84.63)</f>
        <v>84.63</v>
      </c>
      <c r="C5789" s="2">
        <f>IFERROR(__xludf.DUMMYFUNCTION("""COMPUTED_VALUE"""),85.45)</f>
        <v>85.45</v>
      </c>
      <c r="D5789" s="2">
        <f>IFERROR(__xludf.DUMMYFUNCTION("""COMPUTED_VALUE"""),82.43)</f>
        <v>82.43</v>
      </c>
      <c r="E5789" s="2">
        <f>IFERROR(__xludf.DUMMYFUNCTION("""COMPUTED_VALUE"""),83.39)</f>
        <v>83.39</v>
      </c>
      <c r="F5789" s="2">
        <f>IFERROR(__xludf.DUMMYFUNCTION("""COMPUTED_VALUE"""),9694500.0)</f>
        <v>9694500</v>
      </c>
    </row>
    <row r="5790">
      <c r="A5790" s="3">
        <f>IFERROR(__xludf.DUMMYFUNCTION("""COMPUTED_VALUE"""),37593.666666666664)</f>
        <v>37593.66667</v>
      </c>
      <c r="B5790" s="2">
        <f>IFERROR(__xludf.DUMMYFUNCTION("""COMPUTED_VALUE"""),82.83)</f>
        <v>82.83</v>
      </c>
      <c r="C5790" s="2">
        <f>IFERROR(__xludf.DUMMYFUNCTION("""COMPUTED_VALUE"""),83.13)</f>
        <v>83.13</v>
      </c>
      <c r="D5790" s="2">
        <f>IFERROR(__xludf.DUMMYFUNCTION("""COMPUTED_VALUE"""),81.33)</f>
        <v>81.33</v>
      </c>
      <c r="E5790" s="2">
        <f>IFERROR(__xludf.DUMMYFUNCTION("""COMPUTED_VALUE"""),81.39)</f>
        <v>81.39</v>
      </c>
      <c r="F5790" s="2">
        <f>IFERROR(__xludf.DUMMYFUNCTION("""COMPUTED_VALUE"""),7028700.0)</f>
        <v>7028700</v>
      </c>
    </row>
    <row r="5791">
      <c r="A5791" s="3">
        <f>IFERROR(__xludf.DUMMYFUNCTION("""COMPUTED_VALUE"""),37594.666666666664)</f>
        <v>37594.66667</v>
      </c>
      <c r="B5791" s="2">
        <f>IFERROR(__xludf.DUMMYFUNCTION("""COMPUTED_VALUE"""),79.67)</f>
        <v>79.67</v>
      </c>
      <c r="C5791" s="2">
        <f>IFERROR(__xludf.DUMMYFUNCTION("""COMPUTED_VALUE"""),81.06)</f>
        <v>81.06</v>
      </c>
      <c r="D5791" s="2">
        <f>IFERROR(__xludf.DUMMYFUNCTION("""COMPUTED_VALUE"""),79.11)</f>
        <v>79.11</v>
      </c>
      <c r="E5791" s="2">
        <f>IFERROR(__xludf.DUMMYFUNCTION("""COMPUTED_VALUE"""),79.94)</f>
        <v>79.94</v>
      </c>
      <c r="F5791" s="2">
        <f>IFERROR(__xludf.DUMMYFUNCTION("""COMPUTED_VALUE"""),1.00587E7)</f>
        <v>10058700</v>
      </c>
    </row>
    <row r="5792">
      <c r="A5792" s="3">
        <f>IFERROR(__xludf.DUMMYFUNCTION("""COMPUTED_VALUE"""),37595.666666666664)</f>
        <v>37595.66667</v>
      </c>
      <c r="B5792" s="2">
        <f>IFERROR(__xludf.DUMMYFUNCTION("""COMPUTED_VALUE"""),81.09)</f>
        <v>81.09</v>
      </c>
      <c r="C5792" s="2">
        <f>IFERROR(__xludf.DUMMYFUNCTION("""COMPUTED_VALUE"""),81.18)</f>
        <v>81.18</v>
      </c>
      <c r="D5792" s="2">
        <f>IFERROR(__xludf.DUMMYFUNCTION("""COMPUTED_VALUE"""),78.9)</f>
        <v>78.9</v>
      </c>
      <c r="E5792" s="2">
        <f>IFERROR(__xludf.DUMMYFUNCTION("""COMPUTED_VALUE"""),79.34)</f>
        <v>79.34</v>
      </c>
      <c r="F5792" s="2">
        <f>IFERROR(__xludf.DUMMYFUNCTION("""COMPUTED_VALUE"""),6962500.0)</f>
        <v>6962500</v>
      </c>
    </row>
    <row r="5793">
      <c r="A5793" s="3">
        <f>IFERROR(__xludf.DUMMYFUNCTION("""COMPUTED_VALUE"""),37596.666666666664)</f>
        <v>37596.66667</v>
      </c>
      <c r="B5793" s="2">
        <f>IFERROR(__xludf.DUMMYFUNCTION("""COMPUTED_VALUE"""),77.85)</f>
        <v>77.85</v>
      </c>
      <c r="C5793" s="2">
        <f>IFERROR(__xludf.DUMMYFUNCTION("""COMPUTED_VALUE"""),79.05)</f>
        <v>79.05</v>
      </c>
      <c r="D5793" s="2">
        <f>IFERROR(__xludf.DUMMYFUNCTION("""COMPUTED_VALUE"""),77.44)</f>
        <v>77.44</v>
      </c>
      <c r="E5793" s="2">
        <f>IFERROR(__xludf.DUMMYFUNCTION("""COMPUTED_VALUE"""),78.63)</f>
        <v>78.63</v>
      </c>
      <c r="F5793" s="2">
        <f>IFERROR(__xludf.DUMMYFUNCTION("""COMPUTED_VALUE"""),7594800.0)</f>
        <v>7594800</v>
      </c>
    </row>
    <row r="5794">
      <c r="A5794" s="3">
        <f>IFERROR(__xludf.DUMMYFUNCTION("""COMPUTED_VALUE"""),37599.666666666664)</f>
        <v>37599.66667</v>
      </c>
      <c r="B5794" s="2">
        <f>IFERROR(__xludf.DUMMYFUNCTION("""COMPUTED_VALUE"""),77.37)</f>
        <v>77.37</v>
      </c>
      <c r="C5794" s="2">
        <f>IFERROR(__xludf.DUMMYFUNCTION("""COMPUTED_VALUE"""),77.68)</f>
        <v>77.68</v>
      </c>
      <c r="D5794" s="2">
        <f>IFERROR(__xludf.DUMMYFUNCTION("""COMPUTED_VALUE"""),75.94)</f>
        <v>75.94</v>
      </c>
      <c r="E5794" s="2">
        <f>IFERROR(__xludf.DUMMYFUNCTION("""COMPUTED_VALUE"""),76.02)</f>
        <v>76.02</v>
      </c>
      <c r="F5794" s="2">
        <f>IFERROR(__xludf.DUMMYFUNCTION("""COMPUTED_VALUE"""),8842500.0)</f>
        <v>8842500</v>
      </c>
    </row>
    <row r="5795">
      <c r="A5795" s="3">
        <f>IFERROR(__xludf.DUMMYFUNCTION("""COMPUTED_VALUE"""),37600.666666666664)</f>
        <v>37600.66667</v>
      </c>
      <c r="B5795" s="2">
        <f>IFERROR(__xludf.DUMMYFUNCTION("""COMPUTED_VALUE"""),75.08)</f>
        <v>75.08</v>
      </c>
      <c r="C5795" s="2">
        <f>IFERROR(__xludf.DUMMYFUNCTION("""COMPUTED_VALUE"""),77.37)</f>
        <v>77.37</v>
      </c>
      <c r="D5795" s="2">
        <f>IFERROR(__xludf.DUMMYFUNCTION("""COMPUTED_VALUE"""),75.08)</f>
        <v>75.08</v>
      </c>
      <c r="E5795" s="2">
        <f>IFERROR(__xludf.DUMMYFUNCTION("""COMPUTED_VALUE"""),77.18)</f>
        <v>77.18</v>
      </c>
      <c r="F5795" s="2">
        <f>IFERROR(__xludf.DUMMYFUNCTION("""COMPUTED_VALUE"""),6869800.0)</f>
        <v>6869800</v>
      </c>
    </row>
    <row r="5796">
      <c r="A5796" s="3">
        <f>IFERROR(__xludf.DUMMYFUNCTION("""COMPUTED_VALUE"""),37601.666666666664)</f>
        <v>37601.66667</v>
      </c>
      <c r="B5796" s="2">
        <f>IFERROR(__xludf.DUMMYFUNCTION("""COMPUTED_VALUE"""),77.18)</f>
        <v>77.18</v>
      </c>
      <c r="C5796" s="2">
        <f>IFERROR(__xludf.DUMMYFUNCTION("""COMPUTED_VALUE"""),78.78)</f>
        <v>78.78</v>
      </c>
      <c r="D5796" s="2">
        <f>IFERROR(__xludf.DUMMYFUNCTION("""COMPUTED_VALUE"""),76.41)</f>
        <v>76.41</v>
      </c>
      <c r="E5796" s="2">
        <f>IFERROR(__xludf.DUMMYFUNCTION("""COMPUTED_VALUE"""),77.79)</f>
        <v>77.79</v>
      </c>
      <c r="F5796" s="2">
        <f>IFERROR(__xludf.DUMMYFUNCTION("""COMPUTED_VALUE"""),6664400.0)</f>
        <v>6664400</v>
      </c>
    </row>
    <row r="5797">
      <c r="A5797" s="3">
        <f>IFERROR(__xludf.DUMMYFUNCTION("""COMPUTED_VALUE"""),37602.666666666664)</f>
        <v>37602.66667</v>
      </c>
      <c r="B5797" s="2">
        <f>IFERROR(__xludf.DUMMYFUNCTION("""COMPUTED_VALUE"""),77.61)</f>
        <v>77.61</v>
      </c>
      <c r="C5797" s="2">
        <f>IFERROR(__xludf.DUMMYFUNCTION("""COMPUTED_VALUE"""),78.03)</f>
        <v>78.03</v>
      </c>
      <c r="D5797" s="2">
        <f>IFERROR(__xludf.DUMMYFUNCTION("""COMPUTED_VALUE"""),76.13)</f>
        <v>76.13</v>
      </c>
      <c r="E5797" s="2">
        <f>IFERROR(__xludf.DUMMYFUNCTION("""COMPUTED_VALUE"""),76.58)</f>
        <v>76.58</v>
      </c>
      <c r="F5797" s="2">
        <f>IFERROR(__xludf.DUMMYFUNCTION("""COMPUTED_VALUE"""),7208800.0)</f>
        <v>7208800</v>
      </c>
    </row>
    <row r="5798">
      <c r="A5798" s="3">
        <f>IFERROR(__xludf.DUMMYFUNCTION("""COMPUTED_VALUE"""),37603.666666666664)</f>
        <v>37603.66667</v>
      </c>
      <c r="B5798" s="2">
        <f>IFERROR(__xludf.DUMMYFUNCTION("""COMPUTED_VALUE"""),75.7)</f>
        <v>75.7</v>
      </c>
      <c r="C5798" s="2">
        <f>IFERROR(__xludf.DUMMYFUNCTION("""COMPUTED_VALUE"""),76.41)</f>
        <v>76.41</v>
      </c>
      <c r="D5798" s="2">
        <f>IFERROR(__xludf.DUMMYFUNCTION("""COMPUTED_VALUE"""),74.76)</f>
        <v>74.76</v>
      </c>
      <c r="E5798" s="2">
        <f>IFERROR(__xludf.DUMMYFUNCTION("""COMPUTED_VALUE"""),76.41)</f>
        <v>76.41</v>
      </c>
      <c r="F5798" s="2">
        <f>IFERROR(__xludf.DUMMYFUNCTION("""COMPUTED_VALUE"""),7773800.0)</f>
        <v>7773800</v>
      </c>
    </row>
    <row r="5799">
      <c r="A5799" s="3">
        <f>IFERROR(__xludf.DUMMYFUNCTION("""COMPUTED_VALUE"""),37606.666666666664)</f>
        <v>37606.66667</v>
      </c>
      <c r="B5799" s="2">
        <f>IFERROR(__xludf.DUMMYFUNCTION("""COMPUTED_VALUE"""),76.03)</f>
        <v>76.03</v>
      </c>
      <c r="C5799" s="2">
        <f>IFERROR(__xludf.DUMMYFUNCTION("""COMPUTED_VALUE"""),78.12)</f>
        <v>78.12</v>
      </c>
      <c r="D5799" s="2">
        <f>IFERROR(__xludf.DUMMYFUNCTION("""COMPUTED_VALUE"""),75.51)</f>
        <v>75.51</v>
      </c>
      <c r="E5799" s="2">
        <f>IFERROR(__xludf.DUMMYFUNCTION("""COMPUTED_VALUE"""),77.96)</f>
        <v>77.96</v>
      </c>
      <c r="F5799" s="2">
        <f>IFERROR(__xludf.DUMMYFUNCTION("""COMPUTED_VALUE"""),8483500.0)</f>
        <v>8483500</v>
      </c>
    </row>
    <row r="5800">
      <c r="A5800" s="3">
        <f>IFERROR(__xludf.DUMMYFUNCTION("""COMPUTED_VALUE"""),37607.666666666664)</f>
        <v>37607.66667</v>
      </c>
      <c r="B5800" s="2">
        <f>IFERROR(__xludf.DUMMYFUNCTION("""COMPUTED_VALUE"""),76.99)</f>
        <v>76.99</v>
      </c>
      <c r="C5800" s="2">
        <f>IFERROR(__xludf.DUMMYFUNCTION("""COMPUTED_VALUE"""),78.1)</f>
        <v>78.1</v>
      </c>
      <c r="D5800" s="2">
        <f>IFERROR(__xludf.DUMMYFUNCTION("""COMPUTED_VALUE"""),76.44)</f>
        <v>76.44</v>
      </c>
      <c r="E5800" s="2">
        <f>IFERROR(__xludf.DUMMYFUNCTION("""COMPUTED_VALUE"""),76.71)</f>
        <v>76.71</v>
      </c>
      <c r="F5800" s="2">
        <f>IFERROR(__xludf.DUMMYFUNCTION("""COMPUTED_VALUE"""),6167600.0)</f>
        <v>6167600</v>
      </c>
    </row>
    <row r="5801">
      <c r="A5801" s="3">
        <f>IFERROR(__xludf.DUMMYFUNCTION("""COMPUTED_VALUE"""),37608.666666666664)</f>
        <v>37608.66667</v>
      </c>
      <c r="B5801" s="2">
        <f>IFERROR(__xludf.DUMMYFUNCTION("""COMPUTED_VALUE"""),75.7)</f>
        <v>75.7</v>
      </c>
      <c r="C5801" s="2">
        <f>IFERROR(__xludf.DUMMYFUNCTION("""COMPUTED_VALUE"""),76.12)</f>
        <v>76.12</v>
      </c>
      <c r="D5801" s="2">
        <f>IFERROR(__xludf.DUMMYFUNCTION("""COMPUTED_VALUE"""),74.73)</f>
        <v>74.73</v>
      </c>
      <c r="E5801" s="2">
        <f>IFERROR(__xludf.DUMMYFUNCTION("""COMPUTED_VALUE"""),75.58)</f>
        <v>75.58</v>
      </c>
      <c r="F5801" s="2">
        <f>IFERROR(__xludf.DUMMYFUNCTION("""COMPUTED_VALUE"""),6515900.0)</f>
        <v>6515900</v>
      </c>
    </row>
    <row r="5802">
      <c r="A5802" s="3">
        <f>IFERROR(__xludf.DUMMYFUNCTION("""COMPUTED_VALUE"""),37609.666666666664)</f>
        <v>37609.66667</v>
      </c>
      <c r="B5802" s="2">
        <f>IFERROR(__xludf.DUMMYFUNCTION("""COMPUTED_VALUE"""),75.08)</f>
        <v>75.08</v>
      </c>
      <c r="C5802" s="2">
        <f>IFERROR(__xludf.DUMMYFUNCTION("""COMPUTED_VALUE"""),76.74)</f>
        <v>76.74</v>
      </c>
      <c r="D5802" s="2">
        <f>IFERROR(__xludf.DUMMYFUNCTION("""COMPUTED_VALUE"""),74.84)</f>
        <v>74.84</v>
      </c>
      <c r="E5802" s="2">
        <f>IFERROR(__xludf.DUMMYFUNCTION("""COMPUTED_VALUE"""),75.13)</f>
        <v>75.13</v>
      </c>
      <c r="F5802" s="2">
        <f>IFERROR(__xludf.DUMMYFUNCTION("""COMPUTED_VALUE"""),7319900.0)</f>
        <v>7319900</v>
      </c>
    </row>
    <row r="5803">
      <c r="A5803" s="3">
        <f>IFERROR(__xludf.DUMMYFUNCTION("""COMPUTED_VALUE"""),37610.666666666664)</f>
        <v>37610.66667</v>
      </c>
      <c r="B5803" s="2">
        <f>IFERROR(__xludf.DUMMYFUNCTION("""COMPUTED_VALUE"""),75.84)</f>
        <v>75.84</v>
      </c>
      <c r="C5803" s="2">
        <f>IFERROR(__xludf.DUMMYFUNCTION("""COMPUTED_VALUE"""),76.41)</f>
        <v>76.41</v>
      </c>
      <c r="D5803" s="2">
        <f>IFERROR(__xludf.DUMMYFUNCTION("""COMPUTED_VALUE"""),75.34)</f>
        <v>75.34</v>
      </c>
      <c r="E5803" s="2">
        <f>IFERROR(__xludf.DUMMYFUNCTION("""COMPUTED_VALUE"""),76.21)</f>
        <v>76.21</v>
      </c>
      <c r="F5803" s="2">
        <f>IFERROR(__xludf.DUMMYFUNCTION("""COMPUTED_VALUE"""),8055500.0)</f>
        <v>8055500</v>
      </c>
    </row>
    <row r="5804">
      <c r="A5804" s="3">
        <f>IFERROR(__xludf.DUMMYFUNCTION("""COMPUTED_VALUE"""),37613.666666666664)</f>
        <v>37613.66667</v>
      </c>
      <c r="B5804" s="2">
        <f>IFERROR(__xludf.DUMMYFUNCTION("""COMPUTED_VALUE"""),76.17)</f>
        <v>76.17</v>
      </c>
      <c r="C5804" s="2">
        <f>IFERROR(__xludf.DUMMYFUNCTION("""COMPUTED_VALUE"""),77.85)</f>
        <v>77.85</v>
      </c>
      <c r="D5804" s="2">
        <f>IFERROR(__xludf.DUMMYFUNCTION("""COMPUTED_VALUE"""),75.88)</f>
        <v>75.88</v>
      </c>
      <c r="E5804" s="2">
        <f>IFERROR(__xludf.DUMMYFUNCTION("""COMPUTED_VALUE"""),76.66)</f>
        <v>76.66</v>
      </c>
      <c r="F5804" s="2">
        <f>IFERROR(__xludf.DUMMYFUNCTION("""COMPUTED_VALUE"""),5922700.0)</f>
        <v>5922700</v>
      </c>
    </row>
    <row r="5805">
      <c r="A5805" s="3">
        <f>IFERROR(__xludf.DUMMYFUNCTION("""COMPUTED_VALUE"""),37614.666666666664)</f>
        <v>37614.66667</v>
      </c>
      <c r="B5805" s="2">
        <f>IFERROR(__xludf.DUMMYFUNCTION("""COMPUTED_VALUE"""),76.6)</f>
        <v>76.6</v>
      </c>
      <c r="C5805" s="2">
        <f>IFERROR(__xludf.DUMMYFUNCTION("""COMPUTED_VALUE"""),77.37)</f>
        <v>77.37</v>
      </c>
      <c r="D5805" s="2">
        <f>IFERROR(__xludf.DUMMYFUNCTION("""COMPUTED_VALUE"""),76.18)</f>
        <v>76.18</v>
      </c>
      <c r="E5805" s="2">
        <f>IFERROR(__xludf.DUMMYFUNCTION("""COMPUTED_VALUE"""),76.18)</f>
        <v>76.18</v>
      </c>
      <c r="F5805" s="2">
        <f>IFERROR(__xludf.DUMMYFUNCTION("""COMPUTED_VALUE"""),2420200.0)</f>
        <v>2420200</v>
      </c>
    </row>
    <row r="5806">
      <c r="A5806" s="3">
        <f>IFERROR(__xludf.DUMMYFUNCTION("""COMPUTED_VALUE"""),37616.666666666664)</f>
        <v>37616.66667</v>
      </c>
      <c r="B5806" s="2">
        <f>IFERROR(__xludf.DUMMYFUNCTION("""COMPUTED_VALUE"""),76.01)</f>
        <v>76.01</v>
      </c>
      <c r="C5806" s="2">
        <f>IFERROR(__xludf.DUMMYFUNCTION("""COMPUTED_VALUE"""),77.08)</f>
        <v>77.08</v>
      </c>
      <c r="D5806" s="2">
        <f>IFERROR(__xludf.DUMMYFUNCTION("""COMPUTED_VALUE"""),74.75)</f>
        <v>74.75</v>
      </c>
      <c r="E5806" s="2">
        <f>IFERROR(__xludf.DUMMYFUNCTION("""COMPUTED_VALUE"""),74.98)</f>
        <v>74.98</v>
      </c>
      <c r="F5806" s="2">
        <f>IFERROR(__xludf.DUMMYFUNCTION("""COMPUTED_VALUE"""),5784300.0)</f>
        <v>5784300</v>
      </c>
    </row>
    <row r="5807">
      <c r="A5807" s="3">
        <f>IFERROR(__xludf.DUMMYFUNCTION("""COMPUTED_VALUE"""),37617.666666666664)</f>
        <v>37617.66667</v>
      </c>
      <c r="B5807" s="2">
        <f>IFERROR(__xludf.DUMMYFUNCTION("""COMPUTED_VALUE"""),74.98)</f>
        <v>74.98</v>
      </c>
      <c r="C5807" s="2">
        <f>IFERROR(__xludf.DUMMYFUNCTION("""COMPUTED_VALUE"""),75.63)</f>
        <v>75.63</v>
      </c>
      <c r="D5807" s="2">
        <f>IFERROR(__xludf.DUMMYFUNCTION("""COMPUTED_VALUE"""),73.18)</f>
        <v>73.18</v>
      </c>
      <c r="E5807" s="2">
        <f>IFERROR(__xludf.DUMMYFUNCTION("""COMPUTED_VALUE"""),73.89)</f>
        <v>73.89</v>
      </c>
      <c r="F5807" s="2">
        <f>IFERROR(__xludf.DUMMYFUNCTION("""COMPUTED_VALUE"""),6334400.0)</f>
        <v>6334400</v>
      </c>
    </row>
    <row r="5808">
      <c r="A5808" s="3">
        <f>IFERROR(__xludf.DUMMYFUNCTION("""COMPUTED_VALUE"""),37620.666666666664)</f>
        <v>37620.66667</v>
      </c>
      <c r="B5808" s="2">
        <f>IFERROR(__xludf.DUMMYFUNCTION("""COMPUTED_VALUE"""),73.55)</f>
        <v>73.55</v>
      </c>
      <c r="C5808" s="2">
        <f>IFERROR(__xludf.DUMMYFUNCTION("""COMPUTED_VALUE"""),73.96)</f>
        <v>73.96</v>
      </c>
      <c r="D5808" s="2">
        <f>IFERROR(__xludf.DUMMYFUNCTION("""COMPUTED_VALUE"""),72.21)</f>
        <v>72.21</v>
      </c>
      <c r="E5808" s="2">
        <f>IFERROR(__xludf.DUMMYFUNCTION("""COMPUTED_VALUE"""),72.83)</f>
        <v>72.83</v>
      </c>
      <c r="F5808" s="2">
        <f>IFERROR(__xludf.DUMMYFUNCTION("""COMPUTED_VALUE"""),8066600.0)</f>
        <v>8066600</v>
      </c>
    </row>
    <row r="5809">
      <c r="A5809" s="3">
        <f>IFERROR(__xludf.DUMMYFUNCTION("""COMPUTED_VALUE"""),37621.666666666664)</f>
        <v>37621.66667</v>
      </c>
      <c r="B5809" s="2">
        <f>IFERROR(__xludf.DUMMYFUNCTION("""COMPUTED_VALUE"""),74.41)</f>
        <v>74.41</v>
      </c>
      <c r="C5809" s="2">
        <f>IFERROR(__xludf.DUMMYFUNCTION("""COMPUTED_VALUE"""),74.94)</f>
        <v>74.94</v>
      </c>
      <c r="D5809" s="2">
        <f>IFERROR(__xludf.DUMMYFUNCTION("""COMPUTED_VALUE"""),73.64)</f>
        <v>73.64</v>
      </c>
      <c r="E5809" s="2">
        <f>IFERROR(__xludf.DUMMYFUNCTION("""COMPUTED_VALUE"""),74.03)</f>
        <v>74.03</v>
      </c>
      <c r="F5809" s="2">
        <f>IFERROR(__xludf.DUMMYFUNCTION("""COMPUTED_VALUE"""),7871400.0)</f>
        <v>7871400</v>
      </c>
    </row>
    <row r="5810">
      <c r="A5810" s="3">
        <f>IFERROR(__xludf.DUMMYFUNCTION("""COMPUTED_VALUE"""),37623.666666666664)</f>
        <v>37623.66667</v>
      </c>
      <c r="B5810" s="2">
        <f>IFERROR(__xludf.DUMMYFUNCTION("""COMPUTED_VALUE"""),75.27)</f>
        <v>75.27</v>
      </c>
      <c r="C5810" s="2">
        <f>IFERROR(__xludf.DUMMYFUNCTION("""COMPUTED_VALUE"""),76.96)</f>
        <v>76.96</v>
      </c>
      <c r="D5810" s="2">
        <f>IFERROR(__xludf.DUMMYFUNCTION("""COMPUTED_VALUE"""),74.68)</f>
        <v>74.68</v>
      </c>
      <c r="E5810" s="2">
        <f>IFERROR(__xludf.DUMMYFUNCTION("""COMPUTED_VALUE"""),76.96)</f>
        <v>76.96</v>
      </c>
      <c r="F5810" s="2">
        <f>IFERROR(__xludf.DUMMYFUNCTION("""COMPUTED_VALUE"""),7864500.0)</f>
        <v>7864500</v>
      </c>
    </row>
    <row r="5811">
      <c r="A5811" s="3">
        <f>IFERROR(__xludf.DUMMYFUNCTION("""COMPUTED_VALUE"""),37624.666666666664)</f>
        <v>37624.66667</v>
      </c>
      <c r="B5811" s="2">
        <f>IFERROR(__xludf.DUMMYFUNCTION("""COMPUTED_VALUE"""),77.08)</f>
        <v>77.08</v>
      </c>
      <c r="C5811" s="2">
        <f>IFERROR(__xludf.DUMMYFUNCTION("""COMPUTED_VALUE"""),77.99)</f>
        <v>77.99</v>
      </c>
      <c r="D5811" s="2">
        <f>IFERROR(__xludf.DUMMYFUNCTION("""COMPUTED_VALUE"""),76.61)</f>
        <v>76.61</v>
      </c>
      <c r="E5811" s="2">
        <f>IFERROR(__xludf.DUMMYFUNCTION("""COMPUTED_VALUE"""),77.99)</f>
        <v>77.99</v>
      </c>
      <c r="F5811" s="2">
        <f>IFERROR(__xludf.DUMMYFUNCTION("""COMPUTED_VALUE"""),5963400.0)</f>
        <v>5963400</v>
      </c>
    </row>
    <row r="5812">
      <c r="A5812" s="3">
        <f>IFERROR(__xludf.DUMMYFUNCTION("""COMPUTED_VALUE"""),37627.666666666664)</f>
        <v>37627.66667</v>
      </c>
      <c r="B5812" s="2">
        <f>IFERROR(__xludf.DUMMYFUNCTION("""COMPUTED_VALUE"""),78.23)</f>
        <v>78.23</v>
      </c>
      <c r="C5812" s="2">
        <f>IFERROR(__xludf.DUMMYFUNCTION("""COMPUTED_VALUE"""),81.0)</f>
        <v>81</v>
      </c>
      <c r="D5812" s="2">
        <f>IFERROR(__xludf.DUMMYFUNCTION("""COMPUTED_VALUE"""),78.14)</f>
        <v>78.14</v>
      </c>
      <c r="E5812" s="2">
        <f>IFERROR(__xludf.DUMMYFUNCTION("""COMPUTED_VALUE"""),79.84)</f>
        <v>79.84</v>
      </c>
      <c r="F5812" s="2">
        <f>IFERROR(__xludf.DUMMYFUNCTION("""COMPUTED_VALUE"""),7923400.0)</f>
        <v>7923400</v>
      </c>
    </row>
    <row r="5813">
      <c r="A5813" s="3">
        <f>IFERROR(__xludf.DUMMYFUNCTION("""COMPUTED_VALUE"""),37628.666666666664)</f>
        <v>37628.66667</v>
      </c>
      <c r="B5813" s="2">
        <f>IFERROR(__xludf.DUMMYFUNCTION("""COMPUTED_VALUE"""),80.19)</f>
        <v>80.19</v>
      </c>
      <c r="C5813" s="2">
        <f>IFERROR(__xludf.DUMMYFUNCTION("""COMPUTED_VALUE"""),82.32)</f>
        <v>82.32</v>
      </c>
      <c r="D5813" s="2">
        <f>IFERROR(__xludf.DUMMYFUNCTION("""COMPUTED_VALUE"""),79.99)</f>
        <v>79.99</v>
      </c>
      <c r="E5813" s="2">
        <f>IFERROR(__xludf.DUMMYFUNCTION("""COMPUTED_VALUE"""),82.14)</f>
        <v>82.14</v>
      </c>
      <c r="F5813" s="2">
        <f>IFERROR(__xludf.DUMMYFUNCTION("""COMPUTED_VALUE"""),1.1907E7)</f>
        <v>11907000</v>
      </c>
    </row>
    <row r="5814">
      <c r="A5814" s="3">
        <f>IFERROR(__xludf.DUMMYFUNCTION("""COMPUTED_VALUE"""),37629.666666666664)</f>
        <v>37629.66667</v>
      </c>
      <c r="B5814" s="2">
        <f>IFERROR(__xludf.DUMMYFUNCTION("""COMPUTED_VALUE"""),81.71)</f>
        <v>81.71</v>
      </c>
      <c r="C5814" s="2">
        <f>IFERROR(__xludf.DUMMYFUNCTION("""COMPUTED_VALUE"""),81.85)</f>
        <v>81.85</v>
      </c>
      <c r="D5814" s="2">
        <f>IFERROR(__xludf.DUMMYFUNCTION("""COMPUTED_VALUE"""),80.3)</f>
        <v>80.3</v>
      </c>
      <c r="E5814" s="2">
        <f>IFERROR(__xludf.DUMMYFUNCTION("""COMPUTED_VALUE"""),80.42)</f>
        <v>80.42</v>
      </c>
      <c r="F5814" s="2">
        <f>IFERROR(__xludf.DUMMYFUNCTION("""COMPUTED_VALUE"""),9509700.0)</f>
        <v>9509700</v>
      </c>
    </row>
    <row r="5815">
      <c r="A5815" s="3">
        <f>IFERROR(__xludf.DUMMYFUNCTION("""COMPUTED_VALUE"""),37630.666666666664)</f>
        <v>37630.66667</v>
      </c>
      <c r="B5815" s="2">
        <f>IFERROR(__xludf.DUMMYFUNCTION("""COMPUTED_VALUE"""),80.95)</f>
        <v>80.95</v>
      </c>
      <c r="C5815" s="2">
        <f>IFERROR(__xludf.DUMMYFUNCTION("""COMPUTED_VALUE"""),83.12)</f>
        <v>83.12</v>
      </c>
      <c r="D5815" s="2">
        <f>IFERROR(__xludf.DUMMYFUNCTION("""COMPUTED_VALUE"""),80.95)</f>
        <v>80.95</v>
      </c>
      <c r="E5815" s="2">
        <f>IFERROR(__xludf.DUMMYFUNCTION("""COMPUTED_VALUE"""),83.1)</f>
        <v>83.1</v>
      </c>
      <c r="F5815" s="2">
        <f>IFERROR(__xludf.DUMMYFUNCTION("""COMPUTED_VALUE"""),1.07116E7)</f>
        <v>10711600</v>
      </c>
    </row>
    <row r="5816">
      <c r="A5816" s="3">
        <f>IFERROR(__xludf.DUMMYFUNCTION("""COMPUTED_VALUE"""),37631.666666666664)</f>
        <v>37631.66667</v>
      </c>
      <c r="B5816" s="2">
        <f>IFERROR(__xludf.DUMMYFUNCTION("""COMPUTED_VALUE"""),82.0)</f>
        <v>82</v>
      </c>
      <c r="C5816" s="2">
        <f>IFERROR(__xludf.DUMMYFUNCTION("""COMPUTED_VALUE"""),84.09)</f>
        <v>84.09</v>
      </c>
      <c r="D5816" s="2">
        <f>IFERROR(__xludf.DUMMYFUNCTION("""COMPUTED_VALUE"""),81.86)</f>
        <v>81.86</v>
      </c>
      <c r="E5816" s="2">
        <f>IFERROR(__xludf.DUMMYFUNCTION("""COMPUTED_VALUE"""),83.75)</f>
        <v>83.75</v>
      </c>
      <c r="F5816" s="2">
        <f>IFERROR(__xludf.DUMMYFUNCTION("""COMPUTED_VALUE"""),9961400.0)</f>
        <v>9961400</v>
      </c>
    </row>
    <row r="5817">
      <c r="A5817" s="3">
        <f>IFERROR(__xludf.DUMMYFUNCTION("""COMPUTED_VALUE"""),37634.666666666664)</f>
        <v>37634.66667</v>
      </c>
      <c r="B5817" s="2">
        <f>IFERROR(__xludf.DUMMYFUNCTION("""COMPUTED_VALUE"""),84.35)</f>
        <v>84.35</v>
      </c>
      <c r="C5817" s="2">
        <f>IFERROR(__xludf.DUMMYFUNCTION("""COMPUTED_VALUE"""),84.96)</f>
        <v>84.96</v>
      </c>
      <c r="D5817" s="2">
        <f>IFERROR(__xludf.DUMMYFUNCTION("""COMPUTED_VALUE"""),83.43)</f>
        <v>83.43</v>
      </c>
      <c r="E5817" s="2">
        <f>IFERROR(__xludf.DUMMYFUNCTION("""COMPUTED_VALUE"""),83.59)</f>
        <v>83.59</v>
      </c>
      <c r="F5817" s="2">
        <f>IFERROR(__xludf.DUMMYFUNCTION("""COMPUTED_VALUE"""),1.04992E7)</f>
        <v>10499200</v>
      </c>
    </row>
    <row r="5818">
      <c r="A5818" s="3">
        <f>IFERROR(__xludf.DUMMYFUNCTION("""COMPUTED_VALUE"""),37635.666666666664)</f>
        <v>37635.66667</v>
      </c>
      <c r="B5818" s="2">
        <f>IFERROR(__xludf.DUMMYFUNCTION("""COMPUTED_VALUE"""),84.61)</f>
        <v>84.61</v>
      </c>
      <c r="C5818" s="2">
        <f>IFERROR(__xludf.DUMMYFUNCTION("""COMPUTED_VALUE"""),84.62)</f>
        <v>84.62</v>
      </c>
      <c r="D5818" s="2">
        <f>IFERROR(__xludf.DUMMYFUNCTION("""COMPUTED_VALUE"""),83.31)</f>
        <v>83.31</v>
      </c>
      <c r="E5818" s="2">
        <f>IFERROR(__xludf.DUMMYFUNCTION("""COMPUTED_VALUE"""),84.61)</f>
        <v>84.61</v>
      </c>
      <c r="F5818" s="2">
        <f>IFERROR(__xludf.DUMMYFUNCTION("""COMPUTED_VALUE"""),7569200.0)</f>
        <v>7569200</v>
      </c>
    </row>
    <row r="5819">
      <c r="A5819" s="3">
        <f>IFERROR(__xludf.DUMMYFUNCTION("""COMPUTED_VALUE"""),37636.666666666664)</f>
        <v>37636.66667</v>
      </c>
      <c r="B5819" s="2">
        <f>IFERROR(__xludf.DUMMYFUNCTION("""COMPUTED_VALUE"""),84.61)</f>
        <v>84.61</v>
      </c>
      <c r="C5819" s="2">
        <f>IFERROR(__xludf.DUMMYFUNCTION("""COMPUTED_VALUE"""),84.68)</f>
        <v>84.68</v>
      </c>
      <c r="D5819" s="2">
        <f>IFERROR(__xludf.DUMMYFUNCTION("""COMPUTED_VALUE"""),83.05)</f>
        <v>83.05</v>
      </c>
      <c r="E5819" s="2">
        <f>IFERROR(__xludf.DUMMYFUNCTION("""COMPUTED_VALUE"""),83.66)</f>
        <v>83.66</v>
      </c>
      <c r="F5819" s="2">
        <f>IFERROR(__xludf.DUMMYFUNCTION("""COMPUTED_VALUE"""),8147600.0)</f>
        <v>8147600</v>
      </c>
    </row>
    <row r="5820">
      <c r="A5820" s="3">
        <f>IFERROR(__xludf.DUMMYFUNCTION("""COMPUTED_VALUE"""),37637.666666666664)</f>
        <v>37637.66667</v>
      </c>
      <c r="B5820" s="2">
        <f>IFERROR(__xludf.DUMMYFUNCTION("""COMPUTED_VALUE"""),83.48)</f>
        <v>83.48</v>
      </c>
      <c r="C5820" s="2">
        <f>IFERROR(__xludf.DUMMYFUNCTION("""COMPUTED_VALUE"""),83.78)</f>
        <v>83.78</v>
      </c>
      <c r="D5820" s="2">
        <f>IFERROR(__xludf.DUMMYFUNCTION("""COMPUTED_VALUE"""),81.55)</f>
        <v>81.55</v>
      </c>
      <c r="E5820" s="2">
        <f>IFERROR(__xludf.DUMMYFUNCTION("""COMPUTED_VALUE"""),82.19)</f>
        <v>82.19</v>
      </c>
      <c r="F5820" s="2">
        <f>IFERROR(__xludf.DUMMYFUNCTION("""COMPUTED_VALUE"""),1.01128E7)</f>
        <v>10112800</v>
      </c>
    </row>
    <row r="5821">
      <c r="A5821" s="3">
        <f>IFERROR(__xludf.DUMMYFUNCTION("""COMPUTED_VALUE"""),37638.666666666664)</f>
        <v>37638.66667</v>
      </c>
      <c r="B5821" s="2">
        <f>IFERROR(__xludf.DUMMYFUNCTION("""COMPUTED_VALUE"""),79.76)</f>
        <v>79.76</v>
      </c>
      <c r="C5821" s="2">
        <f>IFERROR(__xludf.DUMMYFUNCTION("""COMPUTED_VALUE"""),79.99)</f>
        <v>79.99</v>
      </c>
      <c r="D5821" s="2">
        <f>IFERROR(__xludf.DUMMYFUNCTION("""COMPUTED_VALUE"""),77.54)</f>
        <v>77.54</v>
      </c>
      <c r="E5821" s="2">
        <f>IFERROR(__xludf.DUMMYFUNCTION("""COMPUTED_VALUE"""),77.65)</f>
        <v>77.65</v>
      </c>
      <c r="F5821" s="2">
        <f>IFERROR(__xludf.DUMMYFUNCTION("""COMPUTED_VALUE"""),1.73326E7)</f>
        <v>17332600</v>
      </c>
    </row>
    <row r="5822">
      <c r="A5822" s="3">
        <f>IFERROR(__xludf.DUMMYFUNCTION("""COMPUTED_VALUE"""),37642.666666666664)</f>
        <v>37642.66667</v>
      </c>
      <c r="B5822" s="2">
        <f>IFERROR(__xludf.DUMMYFUNCTION("""COMPUTED_VALUE"""),77.65)</f>
        <v>77.65</v>
      </c>
      <c r="C5822" s="2">
        <f>IFERROR(__xludf.DUMMYFUNCTION("""COMPUTED_VALUE"""),78.18)</f>
        <v>78.18</v>
      </c>
      <c r="D5822" s="2">
        <f>IFERROR(__xludf.DUMMYFUNCTION("""COMPUTED_VALUE"""),76.89)</f>
        <v>76.89</v>
      </c>
      <c r="E5822" s="2">
        <f>IFERROR(__xludf.DUMMYFUNCTION("""COMPUTED_VALUE"""),76.93)</f>
        <v>76.93</v>
      </c>
      <c r="F5822" s="2">
        <f>IFERROR(__xludf.DUMMYFUNCTION("""COMPUTED_VALUE"""),8927000.0)</f>
        <v>8927000</v>
      </c>
    </row>
    <row r="5823">
      <c r="A5823" s="3">
        <f>IFERROR(__xludf.DUMMYFUNCTION("""COMPUTED_VALUE"""),37643.666666666664)</f>
        <v>37643.66667</v>
      </c>
      <c r="B5823" s="2">
        <f>IFERROR(__xludf.DUMMYFUNCTION("""COMPUTED_VALUE"""),76.41)</f>
        <v>76.41</v>
      </c>
      <c r="C5823" s="2">
        <f>IFERROR(__xludf.DUMMYFUNCTION("""COMPUTED_VALUE"""),77.15)</f>
        <v>77.15</v>
      </c>
      <c r="D5823" s="2">
        <f>IFERROR(__xludf.DUMMYFUNCTION("""COMPUTED_VALUE"""),75.83)</f>
        <v>75.83</v>
      </c>
      <c r="E5823" s="2">
        <f>IFERROR(__xludf.DUMMYFUNCTION("""COMPUTED_VALUE"""),76.13)</f>
        <v>76.13</v>
      </c>
      <c r="F5823" s="2">
        <f>IFERROR(__xludf.DUMMYFUNCTION("""COMPUTED_VALUE"""),9433100.0)</f>
        <v>9433100</v>
      </c>
    </row>
    <row r="5824">
      <c r="A5824" s="3">
        <f>IFERROR(__xludf.DUMMYFUNCTION("""COMPUTED_VALUE"""),37644.666666666664)</f>
        <v>37644.66667</v>
      </c>
      <c r="B5824" s="2">
        <f>IFERROR(__xludf.DUMMYFUNCTION("""COMPUTED_VALUE"""),76.56)</f>
        <v>76.56</v>
      </c>
      <c r="C5824" s="2">
        <f>IFERROR(__xludf.DUMMYFUNCTION("""COMPUTED_VALUE"""),77.71)</f>
        <v>77.71</v>
      </c>
      <c r="D5824" s="2">
        <f>IFERROR(__xludf.DUMMYFUNCTION("""COMPUTED_VALUE"""),76.22)</f>
        <v>76.22</v>
      </c>
      <c r="E5824" s="2">
        <f>IFERROR(__xludf.DUMMYFUNCTION("""COMPUTED_VALUE"""),77.42)</f>
        <v>77.42</v>
      </c>
      <c r="F5824" s="2">
        <f>IFERROR(__xludf.DUMMYFUNCTION("""COMPUTED_VALUE"""),8371500.0)</f>
        <v>8371500</v>
      </c>
    </row>
    <row r="5825">
      <c r="A5825" s="3">
        <f>IFERROR(__xludf.DUMMYFUNCTION("""COMPUTED_VALUE"""),37645.666666666664)</f>
        <v>37645.66667</v>
      </c>
      <c r="B5825" s="2">
        <f>IFERROR(__xludf.DUMMYFUNCTION("""COMPUTED_VALUE"""),76.99)</f>
        <v>76.99</v>
      </c>
      <c r="C5825" s="2">
        <f>IFERROR(__xludf.DUMMYFUNCTION("""COMPUTED_VALUE"""),77.11)</f>
        <v>77.11</v>
      </c>
      <c r="D5825" s="2">
        <f>IFERROR(__xludf.DUMMYFUNCTION("""COMPUTED_VALUE"""),75.29)</f>
        <v>75.29</v>
      </c>
      <c r="E5825" s="2">
        <f>IFERROR(__xludf.DUMMYFUNCTION("""COMPUTED_VALUE"""),75.45)</f>
        <v>75.45</v>
      </c>
      <c r="F5825" s="2">
        <f>IFERROR(__xludf.DUMMYFUNCTION("""COMPUTED_VALUE"""),7748000.0)</f>
        <v>7748000</v>
      </c>
    </row>
    <row r="5826">
      <c r="A5826" s="3">
        <f>IFERROR(__xludf.DUMMYFUNCTION("""COMPUTED_VALUE"""),37648.666666666664)</f>
        <v>37648.66667</v>
      </c>
      <c r="B5826" s="2">
        <f>IFERROR(__xludf.DUMMYFUNCTION("""COMPUTED_VALUE"""),74.49)</f>
        <v>74.49</v>
      </c>
      <c r="C5826" s="2">
        <f>IFERROR(__xludf.DUMMYFUNCTION("""COMPUTED_VALUE"""),75.94)</f>
        <v>75.94</v>
      </c>
      <c r="D5826" s="2">
        <f>IFERROR(__xludf.DUMMYFUNCTION("""COMPUTED_VALUE"""),74.13)</f>
        <v>74.13</v>
      </c>
      <c r="E5826" s="2">
        <f>IFERROR(__xludf.DUMMYFUNCTION("""COMPUTED_VALUE"""),74.9)</f>
        <v>74.9</v>
      </c>
      <c r="F5826" s="2">
        <f>IFERROR(__xludf.DUMMYFUNCTION("""COMPUTED_VALUE"""),9307800.0)</f>
        <v>9307800</v>
      </c>
    </row>
    <row r="5827">
      <c r="A5827" s="3">
        <f>IFERROR(__xludf.DUMMYFUNCTION("""COMPUTED_VALUE"""),37649.666666666664)</f>
        <v>37649.66667</v>
      </c>
      <c r="B5827" s="2">
        <f>IFERROR(__xludf.DUMMYFUNCTION("""COMPUTED_VALUE"""),74.98)</f>
        <v>74.98</v>
      </c>
      <c r="C5827" s="2">
        <f>IFERROR(__xludf.DUMMYFUNCTION("""COMPUTED_VALUE"""),76.86)</f>
        <v>76.86</v>
      </c>
      <c r="D5827" s="2">
        <f>IFERROR(__xludf.DUMMYFUNCTION("""COMPUTED_VALUE"""),74.85)</f>
        <v>74.85</v>
      </c>
      <c r="E5827" s="2">
        <f>IFERROR(__xludf.DUMMYFUNCTION("""COMPUTED_VALUE"""),76.52)</f>
        <v>76.52</v>
      </c>
      <c r="F5827" s="2">
        <f>IFERROR(__xludf.DUMMYFUNCTION("""COMPUTED_VALUE"""),8018400.0)</f>
        <v>8018400</v>
      </c>
    </row>
    <row r="5828">
      <c r="A5828" s="3">
        <f>IFERROR(__xludf.DUMMYFUNCTION("""COMPUTED_VALUE"""),37650.666666666664)</f>
        <v>37650.66667</v>
      </c>
      <c r="B5828" s="2">
        <f>IFERROR(__xludf.DUMMYFUNCTION("""COMPUTED_VALUE"""),75.94)</f>
        <v>75.94</v>
      </c>
      <c r="C5828" s="2">
        <f>IFERROR(__xludf.DUMMYFUNCTION("""COMPUTED_VALUE"""),77.08)</f>
        <v>77.08</v>
      </c>
      <c r="D5828" s="2">
        <f>IFERROR(__xludf.DUMMYFUNCTION("""COMPUTED_VALUE"""),75.05)</f>
        <v>75.05</v>
      </c>
      <c r="E5828" s="2">
        <f>IFERROR(__xludf.DUMMYFUNCTION("""COMPUTED_VALUE"""),76.72)</f>
        <v>76.72</v>
      </c>
      <c r="F5828" s="2">
        <f>IFERROR(__xludf.DUMMYFUNCTION("""COMPUTED_VALUE"""),7757500.0)</f>
        <v>7757500</v>
      </c>
    </row>
    <row r="5829">
      <c r="A5829" s="3">
        <f>IFERROR(__xludf.DUMMYFUNCTION("""COMPUTED_VALUE"""),37651.666666666664)</f>
        <v>37651.66667</v>
      </c>
      <c r="B5829" s="2">
        <f>IFERROR(__xludf.DUMMYFUNCTION("""COMPUTED_VALUE"""),76.73)</f>
        <v>76.73</v>
      </c>
      <c r="C5829" s="2">
        <f>IFERROR(__xludf.DUMMYFUNCTION("""COMPUTED_VALUE"""),77.65)</f>
        <v>77.65</v>
      </c>
      <c r="D5829" s="2">
        <f>IFERROR(__xludf.DUMMYFUNCTION("""COMPUTED_VALUE"""),74.79)</f>
        <v>74.79</v>
      </c>
      <c r="E5829" s="2">
        <f>IFERROR(__xludf.DUMMYFUNCTION("""COMPUTED_VALUE"""),74.79)</f>
        <v>74.79</v>
      </c>
      <c r="F5829" s="2">
        <f>IFERROR(__xludf.DUMMYFUNCTION("""COMPUTED_VALUE"""),7349500.0)</f>
        <v>7349500</v>
      </c>
    </row>
    <row r="5830">
      <c r="A5830" s="3">
        <f>IFERROR(__xludf.DUMMYFUNCTION("""COMPUTED_VALUE"""),37652.666666666664)</f>
        <v>37652.66667</v>
      </c>
      <c r="B5830" s="2">
        <f>IFERROR(__xludf.DUMMYFUNCTION("""COMPUTED_VALUE"""),74.22)</f>
        <v>74.22</v>
      </c>
      <c r="C5830" s="2">
        <f>IFERROR(__xludf.DUMMYFUNCTION("""COMPUTED_VALUE"""),74.83)</f>
        <v>74.83</v>
      </c>
      <c r="D5830" s="2">
        <f>IFERROR(__xludf.DUMMYFUNCTION("""COMPUTED_VALUE"""),73.57)</f>
        <v>73.57</v>
      </c>
      <c r="E5830" s="2">
        <f>IFERROR(__xludf.DUMMYFUNCTION("""COMPUTED_VALUE"""),74.69)</f>
        <v>74.69</v>
      </c>
      <c r="F5830" s="2">
        <f>IFERROR(__xludf.DUMMYFUNCTION("""COMPUTED_VALUE"""),9744100.0)</f>
        <v>9744100</v>
      </c>
    </row>
    <row r="5831">
      <c r="A5831" s="3">
        <f>IFERROR(__xludf.DUMMYFUNCTION("""COMPUTED_VALUE"""),37655.666666666664)</f>
        <v>37655.66667</v>
      </c>
      <c r="B5831" s="2">
        <f>IFERROR(__xludf.DUMMYFUNCTION("""COMPUTED_VALUE"""),74.69)</f>
        <v>74.69</v>
      </c>
      <c r="C5831" s="2">
        <f>IFERROR(__xludf.DUMMYFUNCTION("""COMPUTED_VALUE"""),75.33)</f>
        <v>75.33</v>
      </c>
      <c r="D5831" s="2">
        <f>IFERROR(__xludf.DUMMYFUNCTION("""COMPUTED_VALUE"""),74.26)</f>
        <v>74.26</v>
      </c>
      <c r="E5831" s="2">
        <f>IFERROR(__xludf.DUMMYFUNCTION("""COMPUTED_VALUE"""),74.67)</f>
        <v>74.67</v>
      </c>
      <c r="F5831" s="2">
        <f>IFERROR(__xludf.DUMMYFUNCTION("""COMPUTED_VALUE"""),6683500.0)</f>
        <v>6683500</v>
      </c>
    </row>
    <row r="5832">
      <c r="A5832" s="3">
        <f>IFERROR(__xludf.DUMMYFUNCTION("""COMPUTED_VALUE"""),37656.666666666664)</f>
        <v>37656.66667</v>
      </c>
      <c r="B5832" s="2">
        <f>IFERROR(__xludf.DUMMYFUNCTION("""COMPUTED_VALUE"""),74.67)</f>
        <v>74.67</v>
      </c>
      <c r="C5832" s="2">
        <f>IFERROR(__xludf.DUMMYFUNCTION("""COMPUTED_VALUE"""),74.67)</f>
        <v>74.67</v>
      </c>
      <c r="D5832" s="2">
        <f>IFERROR(__xludf.DUMMYFUNCTION("""COMPUTED_VALUE"""),72.83)</f>
        <v>72.83</v>
      </c>
      <c r="E5832" s="2">
        <f>IFERROR(__xludf.DUMMYFUNCTION("""COMPUTED_VALUE"""),73.63)</f>
        <v>73.63</v>
      </c>
      <c r="F5832" s="2">
        <f>IFERROR(__xludf.DUMMYFUNCTION("""COMPUTED_VALUE"""),7199400.0)</f>
        <v>7199400</v>
      </c>
    </row>
    <row r="5833">
      <c r="A5833" s="3">
        <f>IFERROR(__xludf.DUMMYFUNCTION("""COMPUTED_VALUE"""),37657.666666666664)</f>
        <v>37657.66667</v>
      </c>
      <c r="B5833" s="2">
        <f>IFERROR(__xludf.DUMMYFUNCTION("""COMPUTED_VALUE"""),74.36)</f>
        <v>74.36</v>
      </c>
      <c r="C5833" s="2">
        <f>IFERROR(__xludf.DUMMYFUNCTION("""COMPUTED_VALUE"""),75.36)</f>
        <v>75.36</v>
      </c>
      <c r="D5833" s="2">
        <f>IFERROR(__xludf.DUMMYFUNCTION("""COMPUTED_VALUE"""),73.42)</f>
        <v>73.42</v>
      </c>
      <c r="E5833" s="2">
        <f>IFERROR(__xludf.DUMMYFUNCTION("""COMPUTED_VALUE"""),73.8)</f>
        <v>73.8</v>
      </c>
      <c r="F5833" s="2">
        <f>IFERROR(__xludf.DUMMYFUNCTION("""COMPUTED_VALUE"""),7427500.0)</f>
        <v>7427500</v>
      </c>
    </row>
    <row r="5834">
      <c r="A5834" s="3">
        <f>IFERROR(__xludf.DUMMYFUNCTION("""COMPUTED_VALUE"""),37658.666666666664)</f>
        <v>37658.66667</v>
      </c>
      <c r="B5834" s="2">
        <f>IFERROR(__xludf.DUMMYFUNCTION("""COMPUTED_VALUE"""),73.65)</f>
        <v>73.65</v>
      </c>
      <c r="C5834" s="2">
        <f>IFERROR(__xludf.DUMMYFUNCTION("""COMPUTED_VALUE"""),74.69)</f>
        <v>74.69</v>
      </c>
      <c r="D5834" s="2">
        <f>IFERROR(__xludf.DUMMYFUNCTION("""COMPUTED_VALUE"""),73.08)</f>
        <v>73.08</v>
      </c>
      <c r="E5834" s="2">
        <f>IFERROR(__xludf.DUMMYFUNCTION("""COMPUTED_VALUE"""),74.03)</f>
        <v>74.03</v>
      </c>
      <c r="F5834" s="2">
        <f>IFERROR(__xludf.DUMMYFUNCTION("""COMPUTED_VALUE"""),7755200.0)</f>
        <v>7755200</v>
      </c>
    </row>
    <row r="5835">
      <c r="A5835" s="3">
        <f>IFERROR(__xludf.DUMMYFUNCTION("""COMPUTED_VALUE"""),37659.666666666664)</f>
        <v>37659.66667</v>
      </c>
      <c r="B5835" s="2">
        <f>IFERROR(__xludf.DUMMYFUNCTION("""COMPUTED_VALUE"""),74.47)</f>
        <v>74.47</v>
      </c>
      <c r="C5835" s="2">
        <f>IFERROR(__xludf.DUMMYFUNCTION("""COMPUTED_VALUE"""),74.65)</f>
        <v>74.65</v>
      </c>
      <c r="D5835" s="2">
        <f>IFERROR(__xludf.DUMMYFUNCTION("""COMPUTED_VALUE"""),73.18)</f>
        <v>73.18</v>
      </c>
      <c r="E5835" s="2">
        <f>IFERROR(__xludf.DUMMYFUNCTION("""COMPUTED_VALUE"""),73.64)</f>
        <v>73.64</v>
      </c>
      <c r="F5835" s="2">
        <f>IFERROR(__xludf.DUMMYFUNCTION("""COMPUTED_VALUE"""),8296400.0)</f>
        <v>8296400</v>
      </c>
    </row>
    <row r="5836">
      <c r="A5836" s="3">
        <f>IFERROR(__xludf.DUMMYFUNCTION("""COMPUTED_VALUE"""),37662.666666666664)</f>
        <v>37662.66667</v>
      </c>
      <c r="B5836" s="2">
        <f>IFERROR(__xludf.DUMMYFUNCTION("""COMPUTED_VALUE"""),73.64)</f>
        <v>73.64</v>
      </c>
      <c r="C5836" s="2">
        <f>IFERROR(__xludf.DUMMYFUNCTION("""COMPUTED_VALUE"""),74.52)</f>
        <v>74.52</v>
      </c>
      <c r="D5836" s="2">
        <f>IFERROR(__xludf.DUMMYFUNCTION("""COMPUTED_VALUE"""),73.02)</f>
        <v>73.02</v>
      </c>
      <c r="E5836" s="2">
        <f>IFERROR(__xludf.DUMMYFUNCTION("""COMPUTED_VALUE"""),74.42)</f>
        <v>74.42</v>
      </c>
      <c r="F5836" s="2">
        <f>IFERROR(__xludf.DUMMYFUNCTION("""COMPUTED_VALUE"""),7949400.0)</f>
        <v>7949400</v>
      </c>
    </row>
    <row r="5837">
      <c r="A5837" s="3">
        <f>IFERROR(__xludf.DUMMYFUNCTION("""COMPUTED_VALUE"""),37663.666666666664)</f>
        <v>37663.66667</v>
      </c>
      <c r="B5837" s="2">
        <f>IFERROR(__xludf.DUMMYFUNCTION("""COMPUTED_VALUE"""),74.79)</f>
        <v>74.79</v>
      </c>
      <c r="C5837" s="2">
        <f>IFERROR(__xludf.DUMMYFUNCTION("""COMPUTED_VALUE"""),75.43)</f>
        <v>75.43</v>
      </c>
      <c r="D5837" s="2">
        <f>IFERROR(__xludf.DUMMYFUNCTION("""COMPUTED_VALUE"""),73.84)</f>
        <v>73.84</v>
      </c>
      <c r="E5837" s="2">
        <f>IFERROR(__xludf.DUMMYFUNCTION("""COMPUTED_VALUE"""),73.92)</f>
        <v>73.92</v>
      </c>
      <c r="F5837" s="2">
        <f>IFERROR(__xludf.DUMMYFUNCTION("""COMPUTED_VALUE"""),8599200.0)</f>
        <v>8599200</v>
      </c>
    </row>
    <row r="5838">
      <c r="A5838" s="3">
        <f>IFERROR(__xludf.DUMMYFUNCTION("""COMPUTED_VALUE"""),37664.666666666664)</f>
        <v>37664.66667</v>
      </c>
      <c r="B5838" s="2">
        <f>IFERROR(__xludf.DUMMYFUNCTION("""COMPUTED_VALUE"""),74.03)</f>
        <v>74.03</v>
      </c>
      <c r="C5838" s="2">
        <f>IFERROR(__xludf.DUMMYFUNCTION("""COMPUTED_VALUE"""),74.59)</f>
        <v>74.59</v>
      </c>
      <c r="D5838" s="2">
        <f>IFERROR(__xludf.DUMMYFUNCTION("""COMPUTED_VALUE"""),73.07)</f>
        <v>73.07</v>
      </c>
      <c r="E5838" s="2">
        <f>IFERROR(__xludf.DUMMYFUNCTION("""COMPUTED_VALUE"""),73.07)</f>
        <v>73.07</v>
      </c>
      <c r="F5838" s="2">
        <f>IFERROR(__xludf.DUMMYFUNCTION("""COMPUTED_VALUE"""),5617700.0)</f>
        <v>5617700</v>
      </c>
    </row>
    <row r="5839">
      <c r="A5839" s="3">
        <f>IFERROR(__xludf.DUMMYFUNCTION("""COMPUTED_VALUE"""),37665.666666666664)</f>
        <v>37665.66667</v>
      </c>
      <c r="B5839" s="2">
        <f>IFERROR(__xludf.DUMMYFUNCTION("""COMPUTED_VALUE"""),72.69)</f>
        <v>72.69</v>
      </c>
      <c r="C5839" s="2">
        <f>IFERROR(__xludf.DUMMYFUNCTION("""COMPUTED_VALUE"""),72.93)</f>
        <v>72.93</v>
      </c>
      <c r="D5839" s="2">
        <f>IFERROR(__xludf.DUMMYFUNCTION("""COMPUTED_VALUE"""),70.98)</f>
        <v>70.98</v>
      </c>
      <c r="E5839" s="2">
        <f>IFERROR(__xludf.DUMMYFUNCTION("""COMPUTED_VALUE"""),72.46)</f>
        <v>72.46</v>
      </c>
      <c r="F5839" s="2">
        <f>IFERROR(__xludf.DUMMYFUNCTION("""COMPUTED_VALUE"""),1.12186E7)</f>
        <v>11218600</v>
      </c>
    </row>
    <row r="5840">
      <c r="A5840" s="3">
        <f>IFERROR(__xludf.DUMMYFUNCTION("""COMPUTED_VALUE"""),37666.666666666664)</f>
        <v>37666.66667</v>
      </c>
      <c r="B5840" s="2">
        <f>IFERROR(__xludf.DUMMYFUNCTION("""COMPUTED_VALUE"""),72.97)</f>
        <v>72.97</v>
      </c>
      <c r="C5840" s="2">
        <f>IFERROR(__xludf.DUMMYFUNCTION("""COMPUTED_VALUE"""),73.98)</f>
        <v>73.98</v>
      </c>
      <c r="D5840" s="2">
        <f>IFERROR(__xludf.DUMMYFUNCTION("""COMPUTED_VALUE"""),71.97)</f>
        <v>71.97</v>
      </c>
      <c r="E5840" s="2">
        <f>IFERROR(__xludf.DUMMYFUNCTION("""COMPUTED_VALUE"""),73.98)</f>
        <v>73.98</v>
      </c>
      <c r="F5840" s="2">
        <f>IFERROR(__xludf.DUMMYFUNCTION("""COMPUTED_VALUE"""),8300100.0)</f>
        <v>8300100</v>
      </c>
    </row>
    <row r="5841">
      <c r="A5841" s="3">
        <f>IFERROR(__xludf.DUMMYFUNCTION("""COMPUTED_VALUE"""),37670.666666666664)</f>
        <v>37670.66667</v>
      </c>
      <c r="B5841" s="2">
        <f>IFERROR(__xludf.DUMMYFUNCTION("""COMPUTED_VALUE"""),74.52)</f>
        <v>74.52</v>
      </c>
      <c r="C5841" s="2">
        <f>IFERROR(__xludf.DUMMYFUNCTION("""COMPUTED_VALUE"""),75.94)</f>
        <v>75.94</v>
      </c>
      <c r="D5841" s="2">
        <f>IFERROR(__xludf.DUMMYFUNCTION("""COMPUTED_VALUE"""),74.42)</f>
        <v>74.42</v>
      </c>
      <c r="E5841" s="2">
        <f>IFERROR(__xludf.DUMMYFUNCTION("""COMPUTED_VALUE"""),75.77)</f>
        <v>75.77</v>
      </c>
      <c r="F5841" s="2">
        <f>IFERROR(__xludf.DUMMYFUNCTION("""COMPUTED_VALUE"""),7793000.0)</f>
        <v>7793000</v>
      </c>
    </row>
    <row r="5842">
      <c r="A5842" s="3">
        <f>IFERROR(__xludf.DUMMYFUNCTION("""COMPUTED_VALUE"""),37671.666666666664)</f>
        <v>37671.66667</v>
      </c>
      <c r="B5842" s="2">
        <f>IFERROR(__xludf.DUMMYFUNCTION("""COMPUTED_VALUE"""),75.53)</f>
        <v>75.53</v>
      </c>
      <c r="C5842" s="2">
        <f>IFERROR(__xludf.DUMMYFUNCTION("""COMPUTED_VALUE"""),76.13)</f>
        <v>76.13</v>
      </c>
      <c r="D5842" s="2">
        <f>IFERROR(__xludf.DUMMYFUNCTION("""COMPUTED_VALUE"""),75.29)</f>
        <v>75.29</v>
      </c>
      <c r="E5842" s="2">
        <f>IFERROR(__xludf.DUMMYFUNCTION("""COMPUTED_VALUE"""),75.95)</f>
        <v>75.95</v>
      </c>
      <c r="F5842" s="2">
        <f>IFERROR(__xludf.DUMMYFUNCTION("""COMPUTED_VALUE"""),5441300.0)</f>
        <v>5441300</v>
      </c>
    </row>
    <row r="5843">
      <c r="A5843" s="3">
        <f>IFERROR(__xludf.DUMMYFUNCTION("""COMPUTED_VALUE"""),37672.666666666664)</f>
        <v>37672.66667</v>
      </c>
      <c r="B5843" s="2">
        <f>IFERROR(__xludf.DUMMYFUNCTION("""COMPUTED_VALUE"""),76.0)</f>
        <v>76</v>
      </c>
      <c r="C5843" s="2">
        <f>IFERROR(__xludf.DUMMYFUNCTION("""COMPUTED_VALUE"""),76.46)</f>
        <v>76.46</v>
      </c>
      <c r="D5843" s="2">
        <f>IFERROR(__xludf.DUMMYFUNCTION("""COMPUTED_VALUE"""),75.18)</f>
        <v>75.18</v>
      </c>
      <c r="E5843" s="2">
        <f>IFERROR(__xludf.DUMMYFUNCTION("""COMPUTED_VALUE"""),75.5)</f>
        <v>75.5</v>
      </c>
      <c r="F5843" s="2">
        <f>IFERROR(__xludf.DUMMYFUNCTION("""COMPUTED_VALUE"""),6295600.0)</f>
        <v>6295600</v>
      </c>
    </row>
    <row r="5844">
      <c r="A5844" s="3">
        <f>IFERROR(__xludf.DUMMYFUNCTION("""COMPUTED_VALUE"""),37673.666666666664)</f>
        <v>37673.66667</v>
      </c>
      <c r="B5844" s="2">
        <f>IFERROR(__xludf.DUMMYFUNCTION("""COMPUTED_VALUE"""),75.93)</f>
        <v>75.93</v>
      </c>
      <c r="C5844" s="2">
        <f>IFERROR(__xludf.DUMMYFUNCTION("""COMPUTED_VALUE"""),76.41)</f>
        <v>76.41</v>
      </c>
      <c r="D5844" s="2">
        <f>IFERROR(__xludf.DUMMYFUNCTION("""COMPUTED_VALUE"""),74.66)</f>
        <v>74.66</v>
      </c>
      <c r="E5844" s="2">
        <f>IFERROR(__xludf.DUMMYFUNCTION("""COMPUTED_VALUE"""),76.37)</f>
        <v>76.37</v>
      </c>
      <c r="F5844" s="2">
        <f>IFERROR(__xludf.DUMMYFUNCTION("""COMPUTED_VALUE"""),7463800.0)</f>
        <v>7463800</v>
      </c>
    </row>
    <row r="5845">
      <c r="A5845" s="3">
        <f>IFERROR(__xludf.DUMMYFUNCTION("""COMPUTED_VALUE"""),37676.666666666664)</f>
        <v>37676.66667</v>
      </c>
      <c r="B5845" s="2">
        <f>IFERROR(__xludf.DUMMYFUNCTION("""COMPUTED_VALUE"""),76.13)</f>
        <v>76.13</v>
      </c>
      <c r="C5845" s="2">
        <f>IFERROR(__xludf.DUMMYFUNCTION("""COMPUTED_VALUE"""),76.4)</f>
        <v>76.4</v>
      </c>
      <c r="D5845" s="2">
        <f>IFERROR(__xludf.DUMMYFUNCTION("""COMPUTED_VALUE"""),75.04)</f>
        <v>75.04</v>
      </c>
      <c r="E5845" s="2">
        <f>IFERROR(__xludf.DUMMYFUNCTION("""COMPUTED_VALUE"""),75.04)</f>
        <v>75.04</v>
      </c>
      <c r="F5845" s="2">
        <f>IFERROR(__xludf.DUMMYFUNCTION("""COMPUTED_VALUE"""),6878600.0)</f>
        <v>6878600</v>
      </c>
    </row>
    <row r="5846">
      <c r="A5846" s="3">
        <f>IFERROR(__xludf.DUMMYFUNCTION("""COMPUTED_VALUE"""),37677.666666666664)</f>
        <v>37677.66667</v>
      </c>
      <c r="B5846" s="2">
        <f>IFERROR(__xludf.DUMMYFUNCTION("""COMPUTED_VALUE"""),74.41)</f>
        <v>74.41</v>
      </c>
      <c r="C5846" s="2">
        <f>IFERROR(__xludf.DUMMYFUNCTION("""COMPUTED_VALUE"""),75.81)</f>
        <v>75.81</v>
      </c>
      <c r="D5846" s="2">
        <f>IFERROR(__xludf.DUMMYFUNCTION("""COMPUTED_VALUE"""),73.45)</f>
        <v>73.45</v>
      </c>
      <c r="E5846" s="2">
        <f>IFERROR(__xludf.DUMMYFUNCTION("""COMPUTED_VALUE"""),75.52)</f>
        <v>75.52</v>
      </c>
      <c r="F5846" s="2">
        <f>IFERROR(__xludf.DUMMYFUNCTION("""COMPUTED_VALUE"""),7675900.0)</f>
        <v>7675900</v>
      </c>
    </row>
    <row r="5847">
      <c r="A5847" s="3">
        <f>IFERROR(__xludf.DUMMYFUNCTION("""COMPUTED_VALUE"""),37678.666666666664)</f>
        <v>37678.66667</v>
      </c>
      <c r="B5847" s="2">
        <f>IFERROR(__xludf.DUMMYFUNCTION("""COMPUTED_VALUE"""),74.98)</f>
        <v>74.98</v>
      </c>
      <c r="C5847" s="2">
        <f>IFERROR(__xludf.DUMMYFUNCTION("""COMPUTED_VALUE"""),75.51)</f>
        <v>75.51</v>
      </c>
      <c r="D5847" s="2">
        <f>IFERROR(__xludf.DUMMYFUNCTION("""COMPUTED_VALUE"""),73.83)</f>
        <v>73.83</v>
      </c>
      <c r="E5847" s="2">
        <f>IFERROR(__xludf.DUMMYFUNCTION("""COMPUTED_VALUE"""),73.93)</f>
        <v>73.93</v>
      </c>
      <c r="F5847" s="2">
        <f>IFERROR(__xludf.DUMMYFUNCTION("""COMPUTED_VALUE"""),8587100.0)</f>
        <v>8587100</v>
      </c>
    </row>
    <row r="5848">
      <c r="A5848" s="3">
        <f>IFERROR(__xludf.DUMMYFUNCTION("""COMPUTED_VALUE"""),37679.666666666664)</f>
        <v>37679.66667</v>
      </c>
      <c r="B5848" s="2">
        <f>IFERROR(__xludf.DUMMYFUNCTION("""COMPUTED_VALUE"""),74.41)</f>
        <v>74.41</v>
      </c>
      <c r="C5848" s="2">
        <f>IFERROR(__xludf.DUMMYFUNCTION("""COMPUTED_VALUE"""),75.07)</f>
        <v>75.07</v>
      </c>
      <c r="D5848" s="2">
        <f>IFERROR(__xludf.DUMMYFUNCTION("""COMPUTED_VALUE"""),73.31)</f>
        <v>73.31</v>
      </c>
      <c r="E5848" s="2">
        <f>IFERROR(__xludf.DUMMYFUNCTION("""COMPUTED_VALUE"""),73.82)</f>
        <v>73.82</v>
      </c>
      <c r="F5848" s="2">
        <f>IFERROR(__xludf.DUMMYFUNCTION("""COMPUTED_VALUE"""),9927000.0)</f>
        <v>9927000</v>
      </c>
    </row>
    <row r="5849">
      <c r="A5849" s="3">
        <f>IFERROR(__xludf.DUMMYFUNCTION("""COMPUTED_VALUE"""),37680.666666666664)</f>
        <v>37680.66667</v>
      </c>
      <c r="B5849" s="2">
        <f>IFERROR(__xludf.DUMMYFUNCTION("""COMPUTED_VALUE"""),74.65)</f>
        <v>74.65</v>
      </c>
      <c r="C5849" s="2">
        <f>IFERROR(__xludf.DUMMYFUNCTION("""COMPUTED_VALUE"""),74.95)</f>
        <v>74.95</v>
      </c>
      <c r="D5849" s="2">
        <f>IFERROR(__xludf.DUMMYFUNCTION("""COMPUTED_VALUE"""),73.55)</f>
        <v>73.55</v>
      </c>
      <c r="E5849" s="2">
        <f>IFERROR(__xludf.DUMMYFUNCTION("""COMPUTED_VALUE"""),74.46)</f>
        <v>74.46</v>
      </c>
      <c r="F5849" s="2">
        <f>IFERROR(__xludf.DUMMYFUNCTION("""COMPUTED_VALUE"""),6556100.0)</f>
        <v>6556100</v>
      </c>
    </row>
    <row r="5850">
      <c r="A5850" s="3">
        <f>IFERROR(__xludf.DUMMYFUNCTION("""COMPUTED_VALUE"""),37683.666666666664)</f>
        <v>37683.66667</v>
      </c>
      <c r="B5850" s="2">
        <f>IFERROR(__xludf.DUMMYFUNCTION("""COMPUTED_VALUE"""),75.08)</f>
        <v>75.08</v>
      </c>
      <c r="C5850" s="2">
        <f>IFERROR(__xludf.DUMMYFUNCTION("""COMPUTED_VALUE"""),75.46)</f>
        <v>75.46</v>
      </c>
      <c r="D5850" s="2">
        <f>IFERROR(__xludf.DUMMYFUNCTION("""COMPUTED_VALUE"""),73.66)</f>
        <v>73.66</v>
      </c>
      <c r="E5850" s="2">
        <f>IFERROR(__xludf.DUMMYFUNCTION("""COMPUTED_VALUE"""),73.86)</f>
        <v>73.86</v>
      </c>
      <c r="F5850" s="2">
        <f>IFERROR(__xludf.DUMMYFUNCTION("""COMPUTED_VALUE"""),6618300.0)</f>
        <v>6618300</v>
      </c>
    </row>
    <row r="5851">
      <c r="A5851" s="3">
        <f>IFERROR(__xludf.DUMMYFUNCTION("""COMPUTED_VALUE"""),37684.666666666664)</f>
        <v>37684.66667</v>
      </c>
      <c r="B5851" s="2">
        <f>IFERROR(__xludf.DUMMYFUNCTION("""COMPUTED_VALUE"""),74.12)</f>
        <v>74.12</v>
      </c>
      <c r="C5851" s="2">
        <f>IFERROR(__xludf.DUMMYFUNCTION("""COMPUTED_VALUE"""),74.26)</f>
        <v>74.26</v>
      </c>
      <c r="D5851" s="2">
        <f>IFERROR(__xludf.DUMMYFUNCTION("""COMPUTED_VALUE"""),73.1)</f>
        <v>73.1</v>
      </c>
      <c r="E5851" s="2">
        <f>IFERROR(__xludf.DUMMYFUNCTION("""COMPUTED_VALUE"""),73.26)</f>
        <v>73.26</v>
      </c>
      <c r="F5851" s="2">
        <f>IFERROR(__xludf.DUMMYFUNCTION("""COMPUTED_VALUE"""),5672200.0)</f>
        <v>5672200</v>
      </c>
    </row>
    <row r="5852">
      <c r="A5852" s="3">
        <f>IFERROR(__xludf.DUMMYFUNCTION("""COMPUTED_VALUE"""),37685.666666666664)</f>
        <v>37685.66667</v>
      </c>
      <c r="B5852" s="2">
        <f>IFERROR(__xludf.DUMMYFUNCTION("""COMPUTED_VALUE"""),73.26)</f>
        <v>73.26</v>
      </c>
      <c r="C5852" s="2">
        <f>IFERROR(__xludf.DUMMYFUNCTION("""COMPUTED_VALUE"""),74.24)</f>
        <v>74.24</v>
      </c>
      <c r="D5852" s="2">
        <f>IFERROR(__xludf.DUMMYFUNCTION("""COMPUTED_VALUE"""),72.83)</f>
        <v>72.83</v>
      </c>
      <c r="E5852" s="2">
        <f>IFERROR(__xludf.DUMMYFUNCTION("""COMPUTED_VALUE"""),74.24)</f>
        <v>74.24</v>
      </c>
      <c r="F5852" s="2">
        <f>IFERROR(__xludf.DUMMYFUNCTION("""COMPUTED_VALUE"""),6658000.0)</f>
        <v>6658000</v>
      </c>
    </row>
    <row r="5853">
      <c r="A5853" s="3">
        <f>IFERROR(__xludf.DUMMYFUNCTION("""COMPUTED_VALUE"""),37686.666666666664)</f>
        <v>37686.66667</v>
      </c>
      <c r="B5853" s="2">
        <f>IFERROR(__xludf.DUMMYFUNCTION("""COMPUTED_VALUE"""),73.55)</f>
        <v>73.55</v>
      </c>
      <c r="C5853" s="2">
        <f>IFERROR(__xludf.DUMMYFUNCTION("""COMPUTED_VALUE"""),74.29)</f>
        <v>74.29</v>
      </c>
      <c r="D5853" s="2">
        <f>IFERROR(__xludf.DUMMYFUNCTION("""COMPUTED_VALUE"""),73.26)</f>
        <v>73.26</v>
      </c>
      <c r="E5853" s="2">
        <f>IFERROR(__xludf.DUMMYFUNCTION("""COMPUTED_VALUE"""),73.61)</f>
        <v>73.61</v>
      </c>
      <c r="F5853" s="2">
        <f>IFERROR(__xludf.DUMMYFUNCTION("""COMPUTED_VALUE"""),5877000.0)</f>
        <v>5877000</v>
      </c>
    </row>
    <row r="5854">
      <c r="A5854" s="3">
        <f>IFERROR(__xludf.DUMMYFUNCTION("""COMPUTED_VALUE"""),37687.666666666664)</f>
        <v>37687.66667</v>
      </c>
      <c r="B5854" s="2">
        <f>IFERROR(__xludf.DUMMYFUNCTION("""COMPUTED_VALUE"""),72.32)</f>
        <v>72.32</v>
      </c>
      <c r="C5854" s="2">
        <f>IFERROR(__xludf.DUMMYFUNCTION("""COMPUTED_VALUE"""),74.49)</f>
        <v>74.49</v>
      </c>
      <c r="D5854" s="2">
        <f>IFERROR(__xludf.DUMMYFUNCTION("""COMPUTED_VALUE"""),72.32)</f>
        <v>72.32</v>
      </c>
      <c r="E5854" s="2">
        <f>IFERROR(__xludf.DUMMYFUNCTION("""COMPUTED_VALUE"""),74.41)</f>
        <v>74.41</v>
      </c>
      <c r="F5854" s="2">
        <f>IFERROR(__xludf.DUMMYFUNCTION("""COMPUTED_VALUE"""),8129200.0)</f>
        <v>8129200</v>
      </c>
    </row>
    <row r="5855">
      <c r="A5855" s="3">
        <f>IFERROR(__xludf.DUMMYFUNCTION("""COMPUTED_VALUE"""),37690.666666666664)</f>
        <v>37690.66667</v>
      </c>
      <c r="B5855" s="2">
        <f>IFERROR(__xludf.DUMMYFUNCTION("""COMPUTED_VALUE"""),73.56)</f>
        <v>73.56</v>
      </c>
      <c r="C5855" s="2">
        <f>IFERROR(__xludf.DUMMYFUNCTION("""COMPUTED_VALUE"""),73.98)</f>
        <v>73.98</v>
      </c>
      <c r="D5855" s="2">
        <f>IFERROR(__xludf.DUMMYFUNCTION("""COMPUTED_VALUE"""),72.11)</f>
        <v>72.11</v>
      </c>
      <c r="E5855" s="2">
        <f>IFERROR(__xludf.DUMMYFUNCTION("""COMPUTED_VALUE"""),72.31)</f>
        <v>72.31</v>
      </c>
      <c r="F5855" s="2">
        <f>IFERROR(__xludf.DUMMYFUNCTION("""COMPUTED_VALUE"""),6641400.0)</f>
        <v>6641400</v>
      </c>
    </row>
    <row r="5856">
      <c r="A5856" s="3">
        <f>IFERROR(__xludf.DUMMYFUNCTION("""COMPUTED_VALUE"""),37691.666666666664)</f>
        <v>37691.66667</v>
      </c>
      <c r="B5856" s="2">
        <f>IFERROR(__xludf.DUMMYFUNCTION("""COMPUTED_VALUE"""),72.42)</f>
        <v>72.42</v>
      </c>
      <c r="C5856" s="2">
        <f>IFERROR(__xludf.DUMMYFUNCTION("""COMPUTED_VALUE"""),72.91)</f>
        <v>72.91</v>
      </c>
      <c r="D5856" s="2">
        <f>IFERROR(__xludf.DUMMYFUNCTION("""COMPUTED_VALUE"""),71.83)</f>
        <v>71.83</v>
      </c>
      <c r="E5856" s="2">
        <f>IFERROR(__xludf.DUMMYFUNCTION("""COMPUTED_VALUE"""),71.97)</f>
        <v>71.97</v>
      </c>
      <c r="F5856" s="2">
        <f>IFERROR(__xludf.DUMMYFUNCTION("""COMPUTED_VALUE"""),8120700.0)</f>
        <v>8120700</v>
      </c>
    </row>
    <row r="5857">
      <c r="A5857" s="3">
        <f>IFERROR(__xludf.DUMMYFUNCTION("""COMPUTED_VALUE"""),37692.666666666664)</f>
        <v>37692.66667</v>
      </c>
      <c r="B5857" s="2">
        <f>IFERROR(__xludf.DUMMYFUNCTION("""COMPUTED_VALUE"""),71.88)</f>
        <v>71.88</v>
      </c>
      <c r="C5857" s="2">
        <f>IFERROR(__xludf.DUMMYFUNCTION("""COMPUTED_VALUE"""),72.24)</f>
        <v>72.24</v>
      </c>
      <c r="D5857" s="2">
        <f>IFERROR(__xludf.DUMMYFUNCTION("""COMPUTED_VALUE"""),69.89)</f>
        <v>69.89</v>
      </c>
      <c r="E5857" s="2">
        <f>IFERROR(__xludf.DUMMYFUNCTION("""COMPUTED_VALUE"""),71.81)</f>
        <v>71.81</v>
      </c>
      <c r="F5857" s="2">
        <f>IFERROR(__xludf.DUMMYFUNCTION("""COMPUTED_VALUE"""),1.27737E7)</f>
        <v>12773700</v>
      </c>
    </row>
    <row r="5858">
      <c r="A5858" s="3">
        <f>IFERROR(__xludf.DUMMYFUNCTION("""COMPUTED_VALUE"""),37693.666666666664)</f>
        <v>37693.66667</v>
      </c>
      <c r="B5858" s="2">
        <f>IFERROR(__xludf.DUMMYFUNCTION("""COMPUTED_VALUE"""),72.59)</f>
        <v>72.59</v>
      </c>
      <c r="C5858" s="2">
        <f>IFERROR(__xludf.DUMMYFUNCTION("""COMPUTED_VALUE"""),75.15)</f>
        <v>75.15</v>
      </c>
      <c r="D5858" s="2">
        <f>IFERROR(__xludf.DUMMYFUNCTION("""COMPUTED_VALUE"""),71.93)</f>
        <v>71.93</v>
      </c>
      <c r="E5858" s="2">
        <f>IFERROR(__xludf.DUMMYFUNCTION("""COMPUTED_VALUE"""),74.93)</f>
        <v>74.93</v>
      </c>
      <c r="F5858" s="2">
        <f>IFERROR(__xludf.DUMMYFUNCTION("""COMPUTED_VALUE"""),1.04528E7)</f>
        <v>10452800</v>
      </c>
    </row>
    <row r="5859">
      <c r="A5859" s="3">
        <f>IFERROR(__xludf.DUMMYFUNCTION("""COMPUTED_VALUE"""),37694.666666666664)</f>
        <v>37694.66667</v>
      </c>
      <c r="B5859" s="2">
        <f>IFERROR(__xludf.DUMMYFUNCTION("""COMPUTED_VALUE"""),74.93)</f>
        <v>74.93</v>
      </c>
      <c r="C5859" s="2">
        <f>IFERROR(__xludf.DUMMYFUNCTION("""COMPUTED_VALUE"""),75.92)</f>
        <v>75.92</v>
      </c>
      <c r="D5859" s="2">
        <f>IFERROR(__xludf.DUMMYFUNCTION("""COMPUTED_VALUE"""),74.61)</f>
        <v>74.61</v>
      </c>
      <c r="E5859" s="2">
        <f>IFERROR(__xludf.DUMMYFUNCTION("""COMPUTED_VALUE"""),75.46)</f>
        <v>75.46</v>
      </c>
      <c r="F5859" s="2">
        <f>IFERROR(__xludf.DUMMYFUNCTION("""COMPUTED_VALUE"""),1.01177E7)</f>
        <v>10117700</v>
      </c>
    </row>
    <row r="5860">
      <c r="A5860" s="3">
        <f>IFERROR(__xludf.DUMMYFUNCTION("""COMPUTED_VALUE"""),37697.666666666664)</f>
        <v>37697.66667</v>
      </c>
      <c r="B5860" s="2">
        <f>IFERROR(__xludf.DUMMYFUNCTION("""COMPUTED_VALUE"""),74.5)</f>
        <v>74.5</v>
      </c>
      <c r="C5860" s="2">
        <f>IFERROR(__xludf.DUMMYFUNCTION("""COMPUTED_VALUE"""),78.96)</f>
        <v>78.96</v>
      </c>
      <c r="D5860" s="2">
        <f>IFERROR(__xludf.DUMMYFUNCTION("""COMPUTED_VALUE"""),74.35)</f>
        <v>74.35</v>
      </c>
      <c r="E5860" s="2">
        <f>IFERROR(__xludf.DUMMYFUNCTION("""COMPUTED_VALUE"""),78.76)</f>
        <v>78.76</v>
      </c>
      <c r="F5860" s="2">
        <f>IFERROR(__xludf.DUMMYFUNCTION("""COMPUTED_VALUE"""),1.51942E7)</f>
        <v>15194200</v>
      </c>
    </row>
    <row r="5861">
      <c r="A5861" s="3">
        <f>IFERROR(__xludf.DUMMYFUNCTION("""COMPUTED_VALUE"""),37698.666666666664)</f>
        <v>37698.66667</v>
      </c>
      <c r="B5861" s="2">
        <f>IFERROR(__xludf.DUMMYFUNCTION("""COMPUTED_VALUE"""),78.76)</f>
        <v>78.76</v>
      </c>
      <c r="C5861" s="2">
        <f>IFERROR(__xludf.DUMMYFUNCTION("""COMPUTED_VALUE"""),79.76)</f>
        <v>79.76</v>
      </c>
      <c r="D5861" s="2">
        <f>IFERROR(__xludf.DUMMYFUNCTION("""COMPUTED_VALUE"""),77.84)</f>
        <v>77.84</v>
      </c>
      <c r="E5861" s="2">
        <f>IFERROR(__xludf.DUMMYFUNCTION("""COMPUTED_VALUE"""),78.77)</f>
        <v>78.77</v>
      </c>
      <c r="F5861" s="2">
        <f>IFERROR(__xludf.DUMMYFUNCTION("""COMPUTED_VALUE"""),1.07957E7)</f>
        <v>10795700</v>
      </c>
    </row>
    <row r="5862">
      <c r="A5862" s="3">
        <f>IFERROR(__xludf.DUMMYFUNCTION("""COMPUTED_VALUE"""),37699.666666666664)</f>
        <v>37699.66667</v>
      </c>
      <c r="B5862" s="2">
        <f>IFERROR(__xludf.DUMMYFUNCTION("""COMPUTED_VALUE"""),78.41)</f>
        <v>78.41</v>
      </c>
      <c r="C5862" s="2">
        <f>IFERROR(__xludf.DUMMYFUNCTION("""COMPUTED_VALUE"""),78.8)</f>
        <v>78.8</v>
      </c>
      <c r="D5862" s="2">
        <f>IFERROR(__xludf.DUMMYFUNCTION("""COMPUTED_VALUE"""),77.44)</f>
        <v>77.44</v>
      </c>
      <c r="E5862" s="2">
        <f>IFERROR(__xludf.DUMMYFUNCTION("""COMPUTED_VALUE"""),78.32)</f>
        <v>78.32</v>
      </c>
      <c r="F5862" s="2">
        <f>IFERROR(__xludf.DUMMYFUNCTION("""COMPUTED_VALUE"""),1.04731E7)</f>
        <v>10473100</v>
      </c>
    </row>
    <row r="5863">
      <c r="A5863" s="3">
        <f>IFERROR(__xludf.DUMMYFUNCTION("""COMPUTED_VALUE"""),37700.666666666664)</f>
        <v>37700.66667</v>
      </c>
      <c r="B5863" s="2">
        <f>IFERROR(__xludf.DUMMYFUNCTION("""COMPUTED_VALUE"""),78.05)</f>
        <v>78.05</v>
      </c>
      <c r="C5863" s="2">
        <f>IFERROR(__xludf.DUMMYFUNCTION("""COMPUTED_VALUE"""),78.79)</f>
        <v>78.79</v>
      </c>
      <c r="D5863" s="2">
        <f>IFERROR(__xludf.DUMMYFUNCTION("""COMPUTED_VALUE"""),77.02)</f>
        <v>77.02</v>
      </c>
      <c r="E5863" s="2">
        <f>IFERROR(__xludf.DUMMYFUNCTION("""COMPUTED_VALUE"""),78.51)</f>
        <v>78.51</v>
      </c>
      <c r="F5863" s="2">
        <f>IFERROR(__xludf.DUMMYFUNCTION("""COMPUTED_VALUE"""),9046400.0)</f>
        <v>9046400</v>
      </c>
    </row>
    <row r="5864">
      <c r="A5864" s="3">
        <f>IFERROR(__xludf.DUMMYFUNCTION("""COMPUTED_VALUE"""),37701.666666666664)</f>
        <v>37701.66667</v>
      </c>
      <c r="B5864" s="2">
        <f>IFERROR(__xludf.DUMMYFUNCTION("""COMPUTED_VALUE"""),79.66)</f>
        <v>79.66</v>
      </c>
      <c r="C5864" s="2">
        <f>IFERROR(__xludf.DUMMYFUNCTION("""COMPUTED_VALUE"""),81.09)</f>
        <v>81.09</v>
      </c>
      <c r="D5864" s="2">
        <f>IFERROR(__xludf.DUMMYFUNCTION("""COMPUTED_VALUE"""),79.05)</f>
        <v>79.05</v>
      </c>
      <c r="E5864" s="2">
        <f>IFERROR(__xludf.DUMMYFUNCTION("""COMPUTED_VALUE"""),81.09)</f>
        <v>81.09</v>
      </c>
      <c r="F5864" s="2">
        <f>IFERROR(__xludf.DUMMYFUNCTION("""COMPUTED_VALUE"""),1.25974E7)</f>
        <v>12597400</v>
      </c>
    </row>
    <row r="5865">
      <c r="A5865" s="3">
        <f>IFERROR(__xludf.DUMMYFUNCTION("""COMPUTED_VALUE"""),37704.666666666664)</f>
        <v>37704.66667</v>
      </c>
      <c r="B5865" s="2">
        <f>IFERROR(__xludf.DUMMYFUNCTION("""COMPUTED_VALUE"""),78.8)</f>
        <v>78.8</v>
      </c>
      <c r="C5865" s="2">
        <f>IFERROR(__xludf.DUMMYFUNCTION("""COMPUTED_VALUE"""),79.61)</f>
        <v>79.61</v>
      </c>
      <c r="D5865" s="2">
        <f>IFERROR(__xludf.DUMMYFUNCTION("""COMPUTED_VALUE"""),78.55)</f>
        <v>78.55</v>
      </c>
      <c r="E5865" s="2">
        <f>IFERROR(__xludf.DUMMYFUNCTION("""COMPUTED_VALUE"""),78.56)</f>
        <v>78.56</v>
      </c>
      <c r="F5865" s="2">
        <f>IFERROR(__xludf.DUMMYFUNCTION("""COMPUTED_VALUE"""),9352600.0)</f>
        <v>9352600</v>
      </c>
    </row>
    <row r="5866">
      <c r="A5866" s="3">
        <f>IFERROR(__xludf.DUMMYFUNCTION("""COMPUTED_VALUE"""),37705.666666666664)</f>
        <v>37705.66667</v>
      </c>
      <c r="B5866" s="2">
        <f>IFERROR(__xludf.DUMMYFUNCTION("""COMPUTED_VALUE"""),78.32)</f>
        <v>78.32</v>
      </c>
      <c r="C5866" s="2">
        <f>IFERROR(__xludf.DUMMYFUNCTION("""COMPUTED_VALUE"""),80.23)</f>
        <v>80.23</v>
      </c>
      <c r="D5866" s="2">
        <f>IFERROR(__xludf.DUMMYFUNCTION("""COMPUTED_VALUE"""),78.08)</f>
        <v>78.08</v>
      </c>
      <c r="E5866" s="2">
        <f>IFERROR(__xludf.DUMMYFUNCTION("""COMPUTED_VALUE"""),79.71)</f>
        <v>79.71</v>
      </c>
      <c r="F5866" s="2">
        <f>IFERROR(__xludf.DUMMYFUNCTION("""COMPUTED_VALUE"""),8777100.0)</f>
        <v>8777100</v>
      </c>
    </row>
    <row r="5867">
      <c r="A5867" s="3">
        <f>IFERROR(__xludf.DUMMYFUNCTION("""COMPUTED_VALUE"""),37706.666666666664)</f>
        <v>37706.66667</v>
      </c>
      <c r="B5867" s="2">
        <f>IFERROR(__xludf.DUMMYFUNCTION("""COMPUTED_VALUE"""),79.28)</f>
        <v>79.28</v>
      </c>
      <c r="C5867" s="2">
        <f>IFERROR(__xludf.DUMMYFUNCTION("""COMPUTED_VALUE"""),79.52)</f>
        <v>79.52</v>
      </c>
      <c r="D5867" s="2">
        <f>IFERROR(__xludf.DUMMYFUNCTION("""COMPUTED_VALUE"""),77.54)</f>
        <v>77.54</v>
      </c>
      <c r="E5867" s="2">
        <f>IFERROR(__xludf.DUMMYFUNCTION("""COMPUTED_VALUE"""),77.89)</f>
        <v>77.89</v>
      </c>
      <c r="F5867" s="2">
        <f>IFERROR(__xludf.DUMMYFUNCTION("""COMPUTED_VALUE"""),1.05316E7)</f>
        <v>10531600</v>
      </c>
    </row>
    <row r="5868">
      <c r="A5868" s="3">
        <f>IFERROR(__xludf.DUMMYFUNCTION("""COMPUTED_VALUE"""),37707.666666666664)</f>
        <v>37707.66667</v>
      </c>
      <c r="B5868" s="2">
        <f>IFERROR(__xludf.DUMMYFUNCTION("""COMPUTED_VALUE"""),77.13)</f>
        <v>77.13</v>
      </c>
      <c r="C5868" s="2">
        <f>IFERROR(__xludf.DUMMYFUNCTION("""COMPUTED_VALUE"""),78.64)</f>
        <v>78.64</v>
      </c>
      <c r="D5868" s="2">
        <f>IFERROR(__xludf.DUMMYFUNCTION("""COMPUTED_VALUE"""),76.9)</f>
        <v>76.9</v>
      </c>
      <c r="E5868" s="2">
        <f>IFERROR(__xludf.DUMMYFUNCTION("""COMPUTED_VALUE"""),77.8)</f>
        <v>77.8</v>
      </c>
      <c r="F5868" s="2">
        <f>IFERROR(__xludf.DUMMYFUNCTION("""COMPUTED_VALUE"""),7265800.0)</f>
        <v>7265800</v>
      </c>
    </row>
    <row r="5869">
      <c r="A5869" s="3">
        <f>IFERROR(__xludf.DUMMYFUNCTION("""COMPUTED_VALUE"""),37708.666666666664)</f>
        <v>37708.66667</v>
      </c>
      <c r="B5869" s="2">
        <f>IFERROR(__xludf.DUMMYFUNCTION("""COMPUTED_VALUE"""),77.37)</f>
        <v>77.37</v>
      </c>
      <c r="C5869" s="2">
        <f>IFERROR(__xludf.DUMMYFUNCTION("""COMPUTED_VALUE"""),78.31)</f>
        <v>78.31</v>
      </c>
      <c r="D5869" s="2">
        <f>IFERROR(__xludf.DUMMYFUNCTION("""COMPUTED_VALUE"""),76.89)</f>
        <v>76.89</v>
      </c>
      <c r="E5869" s="2">
        <f>IFERROR(__xludf.DUMMYFUNCTION("""COMPUTED_VALUE"""),77.23)</f>
        <v>77.23</v>
      </c>
      <c r="F5869" s="2">
        <f>IFERROR(__xludf.DUMMYFUNCTION("""COMPUTED_VALUE"""),6649300.0)</f>
        <v>6649300</v>
      </c>
    </row>
    <row r="5870">
      <c r="A5870" s="3">
        <f>IFERROR(__xludf.DUMMYFUNCTION("""COMPUTED_VALUE"""),37711.666666666664)</f>
        <v>37711.66667</v>
      </c>
      <c r="B5870" s="2">
        <f>IFERROR(__xludf.DUMMYFUNCTION("""COMPUTED_VALUE"""),75.71)</f>
        <v>75.71</v>
      </c>
      <c r="C5870" s="2">
        <f>IFERROR(__xludf.DUMMYFUNCTION("""COMPUTED_VALUE"""),76.04)</f>
        <v>76.04</v>
      </c>
      <c r="D5870" s="2">
        <f>IFERROR(__xludf.DUMMYFUNCTION("""COMPUTED_VALUE"""),74.8)</f>
        <v>74.8</v>
      </c>
      <c r="E5870" s="2">
        <f>IFERROR(__xludf.DUMMYFUNCTION("""COMPUTED_VALUE"""),74.91)</f>
        <v>74.91</v>
      </c>
      <c r="F5870" s="2">
        <f>IFERROR(__xludf.DUMMYFUNCTION("""COMPUTED_VALUE"""),1.03067E7)</f>
        <v>10306700</v>
      </c>
    </row>
    <row r="5871">
      <c r="A5871" s="3">
        <f>IFERROR(__xludf.DUMMYFUNCTION("""COMPUTED_VALUE"""),37712.666666666664)</f>
        <v>37712.66667</v>
      </c>
      <c r="B5871" s="2">
        <f>IFERROR(__xludf.DUMMYFUNCTION("""COMPUTED_VALUE"""),74.98)</f>
        <v>74.98</v>
      </c>
      <c r="C5871" s="2">
        <f>IFERROR(__xludf.DUMMYFUNCTION("""COMPUTED_VALUE"""),75.99)</f>
        <v>75.99</v>
      </c>
      <c r="D5871" s="2">
        <f>IFERROR(__xludf.DUMMYFUNCTION("""COMPUTED_VALUE"""),74.62)</f>
        <v>74.62</v>
      </c>
      <c r="E5871" s="2">
        <f>IFERROR(__xludf.DUMMYFUNCTION("""COMPUTED_VALUE"""),75.2)</f>
        <v>75.2</v>
      </c>
      <c r="F5871" s="2">
        <f>IFERROR(__xludf.DUMMYFUNCTION("""COMPUTED_VALUE"""),7861900.0)</f>
        <v>7861900</v>
      </c>
    </row>
    <row r="5872">
      <c r="A5872" s="3">
        <f>IFERROR(__xludf.DUMMYFUNCTION("""COMPUTED_VALUE"""),37713.666666666664)</f>
        <v>37713.66667</v>
      </c>
      <c r="B5872" s="2">
        <f>IFERROR(__xludf.DUMMYFUNCTION("""COMPUTED_VALUE"""),78.13)</f>
        <v>78.13</v>
      </c>
      <c r="C5872" s="2">
        <f>IFERROR(__xludf.DUMMYFUNCTION("""COMPUTED_VALUE"""),78.29)</f>
        <v>78.29</v>
      </c>
      <c r="D5872" s="2">
        <f>IFERROR(__xludf.DUMMYFUNCTION("""COMPUTED_VALUE"""),76.32)</f>
        <v>76.32</v>
      </c>
      <c r="E5872" s="2">
        <f>IFERROR(__xludf.DUMMYFUNCTION("""COMPUTED_VALUE"""),77.81)</f>
        <v>77.81</v>
      </c>
      <c r="F5872" s="2">
        <f>IFERROR(__xludf.DUMMYFUNCTION("""COMPUTED_VALUE"""),9700500.0)</f>
        <v>9700500</v>
      </c>
    </row>
    <row r="5873">
      <c r="A5873" s="3">
        <f>IFERROR(__xludf.DUMMYFUNCTION("""COMPUTED_VALUE"""),37714.666666666664)</f>
        <v>37714.66667</v>
      </c>
      <c r="B5873" s="2">
        <f>IFERROR(__xludf.DUMMYFUNCTION("""COMPUTED_VALUE"""),78.63)</f>
        <v>78.63</v>
      </c>
      <c r="C5873" s="2">
        <f>IFERROR(__xludf.DUMMYFUNCTION("""COMPUTED_VALUE"""),79.74)</f>
        <v>79.74</v>
      </c>
      <c r="D5873" s="2">
        <f>IFERROR(__xludf.DUMMYFUNCTION("""COMPUTED_VALUE"""),78.05)</f>
        <v>78.05</v>
      </c>
      <c r="E5873" s="2">
        <f>IFERROR(__xludf.DUMMYFUNCTION("""COMPUTED_VALUE"""),78.24)</f>
        <v>78.24</v>
      </c>
      <c r="F5873" s="2">
        <f>IFERROR(__xludf.DUMMYFUNCTION("""COMPUTED_VALUE"""),9629000.0)</f>
        <v>9629000</v>
      </c>
    </row>
    <row r="5874">
      <c r="A5874" s="3">
        <f>IFERROR(__xludf.DUMMYFUNCTION("""COMPUTED_VALUE"""),37715.666666666664)</f>
        <v>37715.66667</v>
      </c>
      <c r="B5874" s="2">
        <f>IFERROR(__xludf.DUMMYFUNCTION("""COMPUTED_VALUE"""),78.66)</f>
        <v>78.66</v>
      </c>
      <c r="C5874" s="2">
        <f>IFERROR(__xludf.DUMMYFUNCTION("""COMPUTED_VALUE"""),78.85)</f>
        <v>78.85</v>
      </c>
      <c r="D5874" s="2">
        <f>IFERROR(__xludf.DUMMYFUNCTION("""COMPUTED_VALUE"""),76.45)</f>
        <v>76.45</v>
      </c>
      <c r="E5874" s="2">
        <f>IFERROR(__xludf.DUMMYFUNCTION("""COMPUTED_VALUE"""),77.17)</f>
        <v>77.17</v>
      </c>
      <c r="F5874" s="2">
        <f>IFERROR(__xludf.DUMMYFUNCTION("""COMPUTED_VALUE"""),8985000.0)</f>
        <v>8985000</v>
      </c>
    </row>
    <row r="5875">
      <c r="A5875" s="3">
        <f>IFERROR(__xludf.DUMMYFUNCTION("""COMPUTED_VALUE"""),37718.666666666664)</f>
        <v>37718.66667</v>
      </c>
      <c r="B5875" s="2">
        <f>IFERROR(__xludf.DUMMYFUNCTION("""COMPUTED_VALUE"""),78.9)</f>
        <v>78.9</v>
      </c>
      <c r="C5875" s="2">
        <f>IFERROR(__xludf.DUMMYFUNCTION("""COMPUTED_VALUE"""),79.18)</f>
        <v>79.18</v>
      </c>
      <c r="D5875" s="2">
        <f>IFERROR(__xludf.DUMMYFUNCTION("""COMPUTED_VALUE"""),76.65)</f>
        <v>76.65</v>
      </c>
      <c r="E5875" s="2">
        <f>IFERROR(__xludf.DUMMYFUNCTION("""COMPUTED_VALUE"""),76.86)</f>
        <v>76.86</v>
      </c>
      <c r="F5875" s="2">
        <f>IFERROR(__xludf.DUMMYFUNCTION("""COMPUTED_VALUE"""),8882600.0)</f>
        <v>8882600</v>
      </c>
    </row>
    <row r="5876">
      <c r="A5876" s="3">
        <f>IFERROR(__xludf.DUMMYFUNCTION("""COMPUTED_VALUE"""),37719.666666666664)</f>
        <v>37719.66667</v>
      </c>
      <c r="B5876" s="2">
        <f>IFERROR(__xludf.DUMMYFUNCTION("""COMPUTED_VALUE"""),77.01)</f>
        <v>77.01</v>
      </c>
      <c r="C5876" s="2">
        <f>IFERROR(__xludf.DUMMYFUNCTION("""COMPUTED_VALUE"""),77.08)</f>
        <v>77.08</v>
      </c>
      <c r="D5876" s="2">
        <f>IFERROR(__xludf.DUMMYFUNCTION("""COMPUTED_VALUE"""),74.95)</f>
        <v>74.95</v>
      </c>
      <c r="E5876" s="2">
        <f>IFERROR(__xludf.DUMMYFUNCTION("""COMPUTED_VALUE"""),76.48)</f>
        <v>76.48</v>
      </c>
      <c r="F5876" s="2">
        <f>IFERROR(__xludf.DUMMYFUNCTION("""COMPUTED_VALUE"""),8057800.0)</f>
        <v>8057800</v>
      </c>
    </row>
    <row r="5877">
      <c r="A5877" s="3">
        <f>IFERROR(__xludf.DUMMYFUNCTION("""COMPUTED_VALUE"""),37720.666666666664)</f>
        <v>37720.66667</v>
      </c>
      <c r="B5877" s="2">
        <f>IFERROR(__xludf.DUMMYFUNCTION("""COMPUTED_VALUE"""),76.37)</f>
        <v>76.37</v>
      </c>
      <c r="C5877" s="2">
        <f>IFERROR(__xludf.DUMMYFUNCTION("""COMPUTED_VALUE"""),77.12)</f>
        <v>77.12</v>
      </c>
      <c r="D5877" s="2">
        <f>IFERROR(__xludf.DUMMYFUNCTION("""COMPUTED_VALUE"""),75.1)</f>
        <v>75.1</v>
      </c>
      <c r="E5877" s="2">
        <f>IFERROR(__xludf.DUMMYFUNCTION("""COMPUTED_VALUE"""),75.18)</f>
        <v>75.18</v>
      </c>
      <c r="F5877" s="2">
        <f>IFERROR(__xludf.DUMMYFUNCTION("""COMPUTED_VALUE"""),8546400.0)</f>
        <v>8546400</v>
      </c>
    </row>
    <row r="5878">
      <c r="A5878" s="3">
        <f>IFERROR(__xludf.DUMMYFUNCTION("""COMPUTED_VALUE"""),37721.666666666664)</f>
        <v>37721.66667</v>
      </c>
      <c r="B5878" s="2">
        <f>IFERROR(__xludf.DUMMYFUNCTION("""COMPUTED_VALUE"""),75.55)</f>
        <v>75.55</v>
      </c>
      <c r="C5878" s="2">
        <f>IFERROR(__xludf.DUMMYFUNCTION("""COMPUTED_VALUE"""),75.7)</f>
        <v>75.7</v>
      </c>
      <c r="D5878" s="2">
        <f>IFERROR(__xludf.DUMMYFUNCTION("""COMPUTED_VALUE"""),74.63)</f>
        <v>74.63</v>
      </c>
      <c r="E5878" s="2">
        <f>IFERROR(__xludf.DUMMYFUNCTION("""COMPUTED_VALUE"""),75.47)</f>
        <v>75.47</v>
      </c>
      <c r="F5878" s="2">
        <f>IFERROR(__xludf.DUMMYFUNCTION("""COMPUTED_VALUE"""),6881400.0)</f>
        <v>6881400</v>
      </c>
    </row>
    <row r="5879">
      <c r="A5879" s="3">
        <f>IFERROR(__xludf.DUMMYFUNCTION("""COMPUTED_VALUE"""),37722.666666666664)</f>
        <v>37722.66667</v>
      </c>
      <c r="B5879" s="2">
        <f>IFERROR(__xludf.DUMMYFUNCTION("""COMPUTED_VALUE"""),76.51)</f>
        <v>76.51</v>
      </c>
      <c r="C5879" s="2">
        <f>IFERROR(__xludf.DUMMYFUNCTION("""COMPUTED_VALUE"""),77.65)</f>
        <v>77.65</v>
      </c>
      <c r="D5879" s="2">
        <f>IFERROR(__xludf.DUMMYFUNCTION("""COMPUTED_VALUE"""),74.93)</f>
        <v>74.93</v>
      </c>
      <c r="E5879" s="2">
        <f>IFERROR(__xludf.DUMMYFUNCTION("""COMPUTED_VALUE"""),75.22)</f>
        <v>75.22</v>
      </c>
      <c r="F5879" s="2">
        <f>IFERROR(__xludf.DUMMYFUNCTION("""COMPUTED_VALUE"""),7573500.0)</f>
        <v>7573500</v>
      </c>
    </row>
    <row r="5880">
      <c r="A5880" s="3">
        <f>IFERROR(__xludf.DUMMYFUNCTION("""COMPUTED_VALUE"""),37725.666666666664)</f>
        <v>37725.66667</v>
      </c>
      <c r="B5880" s="2">
        <f>IFERROR(__xludf.DUMMYFUNCTION("""COMPUTED_VALUE"""),74.98)</f>
        <v>74.98</v>
      </c>
      <c r="C5880" s="2">
        <f>IFERROR(__xludf.DUMMYFUNCTION("""COMPUTED_VALUE"""),76.48)</f>
        <v>76.48</v>
      </c>
      <c r="D5880" s="2">
        <f>IFERROR(__xludf.DUMMYFUNCTION("""COMPUTED_VALUE"""),74.66)</f>
        <v>74.66</v>
      </c>
      <c r="E5880" s="2">
        <f>IFERROR(__xludf.DUMMYFUNCTION("""COMPUTED_VALUE"""),76.48)</f>
        <v>76.48</v>
      </c>
      <c r="F5880" s="2">
        <f>IFERROR(__xludf.DUMMYFUNCTION("""COMPUTED_VALUE"""),9051900.0)</f>
        <v>9051900</v>
      </c>
    </row>
    <row r="5881">
      <c r="A5881" s="3">
        <f>IFERROR(__xludf.DUMMYFUNCTION("""COMPUTED_VALUE"""),37726.666666666664)</f>
        <v>37726.66667</v>
      </c>
      <c r="B5881" s="2">
        <f>IFERROR(__xludf.DUMMYFUNCTION("""COMPUTED_VALUE"""),76.48)</f>
        <v>76.48</v>
      </c>
      <c r="C5881" s="2">
        <f>IFERROR(__xludf.DUMMYFUNCTION("""COMPUTED_VALUE"""),79.14)</f>
        <v>79.14</v>
      </c>
      <c r="D5881" s="2">
        <f>IFERROR(__xludf.DUMMYFUNCTION("""COMPUTED_VALUE"""),76.14)</f>
        <v>76.14</v>
      </c>
      <c r="E5881" s="2">
        <f>IFERROR(__xludf.DUMMYFUNCTION("""COMPUTED_VALUE"""),79.08)</f>
        <v>79.08</v>
      </c>
      <c r="F5881" s="2">
        <f>IFERROR(__xludf.DUMMYFUNCTION("""COMPUTED_VALUE"""),1.3621E7)</f>
        <v>13621000</v>
      </c>
    </row>
    <row r="5882">
      <c r="A5882" s="3">
        <f>IFERROR(__xludf.DUMMYFUNCTION("""COMPUTED_VALUE"""),37727.666666666664)</f>
        <v>37727.66667</v>
      </c>
      <c r="B5882" s="2">
        <f>IFERROR(__xludf.DUMMYFUNCTION("""COMPUTED_VALUE"""),79.28)</f>
        <v>79.28</v>
      </c>
      <c r="C5882" s="2">
        <f>IFERROR(__xludf.DUMMYFUNCTION("""COMPUTED_VALUE"""),80.62)</f>
        <v>80.62</v>
      </c>
      <c r="D5882" s="2">
        <f>IFERROR(__xludf.DUMMYFUNCTION("""COMPUTED_VALUE"""),79.03)</f>
        <v>79.03</v>
      </c>
      <c r="E5882" s="2">
        <f>IFERROR(__xludf.DUMMYFUNCTION("""COMPUTED_VALUE"""),79.16)</f>
        <v>79.16</v>
      </c>
      <c r="F5882" s="2">
        <f>IFERROR(__xludf.DUMMYFUNCTION("""COMPUTED_VALUE"""),1.07907E7)</f>
        <v>10790700</v>
      </c>
    </row>
    <row r="5883">
      <c r="A5883" s="3">
        <f>IFERROR(__xludf.DUMMYFUNCTION("""COMPUTED_VALUE"""),37728.666666666664)</f>
        <v>37728.66667</v>
      </c>
      <c r="B5883" s="2">
        <f>IFERROR(__xludf.DUMMYFUNCTION("""COMPUTED_VALUE"""),78.22)</f>
        <v>78.22</v>
      </c>
      <c r="C5883" s="2">
        <f>IFERROR(__xludf.DUMMYFUNCTION("""COMPUTED_VALUE"""),80.62)</f>
        <v>80.62</v>
      </c>
      <c r="D5883" s="2">
        <f>IFERROR(__xludf.DUMMYFUNCTION("""COMPUTED_VALUE"""),78.22)</f>
        <v>78.22</v>
      </c>
      <c r="E5883" s="2">
        <f>IFERROR(__xludf.DUMMYFUNCTION("""COMPUTED_VALUE"""),80.48)</f>
        <v>80.48</v>
      </c>
      <c r="F5883" s="2">
        <f>IFERROR(__xludf.DUMMYFUNCTION("""COMPUTED_VALUE"""),8803200.0)</f>
        <v>8803200</v>
      </c>
    </row>
    <row r="5884">
      <c r="A5884" s="3">
        <f>IFERROR(__xludf.DUMMYFUNCTION("""COMPUTED_VALUE"""),37732.666666666664)</f>
        <v>37732.66667</v>
      </c>
      <c r="B5884" s="2">
        <f>IFERROR(__xludf.DUMMYFUNCTION("""COMPUTED_VALUE"""),80.48)</f>
        <v>80.48</v>
      </c>
      <c r="C5884" s="2">
        <f>IFERROR(__xludf.DUMMYFUNCTION("""COMPUTED_VALUE"""),80.72)</f>
        <v>80.72</v>
      </c>
      <c r="D5884" s="2">
        <f>IFERROR(__xludf.DUMMYFUNCTION("""COMPUTED_VALUE"""),79.37)</f>
        <v>79.37</v>
      </c>
      <c r="E5884" s="2">
        <f>IFERROR(__xludf.DUMMYFUNCTION("""COMPUTED_VALUE"""),79.62)</f>
        <v>79.62</v>
      </c>
      <c r="F5884" s="2">
        <f>IFERROR(__xludf.DUMMYFUNCTION("""COMPUTED_VALUE"""),6703400.0)</f>
        <v>6703400</v>
      </c>
    </row>
    <row r="5885">
      <c r="A5885" s="3">
        <f>IFERROR(__xludf.DUMMYFUNCTION("""COMPUTED_VALUE"""),37733.666666666664)</f>
        <v>37733.66667</v>
      </c>
      <c r="B5885" s="2">
        <f>IFERROR(__xludf.DUMMYFUNCTION("""COMPUTED_VALUE"""),79.62)</f>
        <v>79.62</v>
      </c>
      <c r="C5885" s="2">
        <f>IFERROR(__xludf.DUMMYFUNCTION("""COMPUTED_VALUE"""),82.2)</f>
        <v>82.2</v>
      </c>
      <c r="D5885" s="2">
        <f>IFERROR(__xludf.DUMMYFUNCTION("""COMPUTED_VALUE"""),78.9)</f>
        <v>78.9</v>
      </c>
      <c r="E5885" s="2">
        <f>IFERROR(__xludf.DUMMYFUNCTION("""COMPUTED_VALUE"""),81.79)</f>
        <v>81.79</v>
      </c>
      <c r="F5885" s="2">
        <f>IFERROR(__xludf.DUMMYFUNCTION("""COMPUTED_VALUE"""),9543000.0)</f>
        <v>9543000</v>
      </c>
    </row>
    <row r="5886">
      <c r="A5886" s="3">
        <f>IFERROR(__xludf.DUMMYFUNCTION("""COMPUTED_VALUE"""),37734.666666666664)</f>
        <v>37734.66667</v>
      </c>
      <c r="B5886" s="2">
        <f>IFERROR(__xludf.DUMMYFUNCTION("""COMPUTED_VALUE"""),81.42)</f>
        <v>81.42</v>
      </c>
      <c r="C5886" s="2">
        <f>IFERROR(__xludf.DUMMYFUNCTION("""COMPUTED_VALUE"""),82.12)</f>
        <v>82.12</v>
      </c>
      <c r="D5886" s="2">
        <f>IFERROR(__xludf.DUMMYFUNCTION("""COMPUTED_VALUE"""),81.16)</f>
        <v>81.16</v>
      </c>
      <c r="E5886" s="2">
        <f>IFERROR(__xludf.DUMMYFUNCTION("""COMPUTED_VALUE"""),81.91)</f>
        <v>81.91</v>
      </c>
      <c r="F5886" s="2">
        <f>IFERROR(__xludf.DUMMYFUNCTION("""COMPUTED_VALUE"""),7085800.0)</f>
        <v>7085800</v>
      </c>
    </row>
    <row r="5887">
      <c r="A5887" s="3">
        <f>IFERROR(__xludf.DUMMYFUNCTION("""COMPUTED_VALUE"""),37735.666666666664)</f>
        <v>37735.66667</v>
      </c>
      <c r="B5887" s="2">
        <f>IFERROR(__xludf.DUMMYFUNCTION("""COMPUTED_VALUE"""),80.85)</f>
        <v>80.85</v>
      </c>
      <c r="C5887" s="2">
        <f>IFERROR(__xludf.DUMMYFUNCTION("""COMPUTED_VALUE"""),81.86)</f>
        <v>81.86</v>
      </c>
      <c r="D5887" s="2">
        <f>IFERROR(__xludf.DUMMYFUNCTION("""COMPUTED_VALUE"""),80.84)</f>
        <v>80.84</v>
      </c>
      <c r="E5887" s="2">
        <f>IFERROR(__xludf.DUMMYFUNCTION("""COMPUTED_VALUE"""),81.38)</f>
        <v>81.38</v>
      </c>
      <c r="F5887" s="2">
        <f>IFERROR(__xludf.DUMMYFUNCTION("""COMPUTED_VALUE"""),5943600.0)</f>
        <v>5943600</v>
      </c>
    </row>
    <row r="5888">
      <c r="A5888" s="3">
        <f>IFERROR(__xludf.DUMMYFUNCTION("""COMPUTED_VALUE"""),37736.666666666664)</f>
        <v>37736.66667</v>
      </c>
      <c r="B5888" s="2">
        <f>IFERROR(__xludf.DUMMYFUNCTION("""COMPUTED_VALUE"""),81.39)</f>
        <v>81.39</v>
      </c>
      <c r="C5888" s="2">
        <f>IFERROR(__xludf.DUMMYFUNCTION("""COMPUTED_VALUE"""),81.46)</f>
        <v>81.46</v>
      </c>
      <c r="D5888" s="2">
        <f>IFERROR(__xludf.DUMMYFUNCTION("""COMPUTED_VALUE"""),80.1)</f>
        <v>80.1</v>
      </c>
      <c r="E5888" s="2">
        <f>IFERROR(__xludf.DUMMYFUNCTION("""COMPUTED_VALUE"""),80.12)</f>
        <v>80.12</v>
      </c>
      <c r="F5888" s="2">
        <f>IFERROR(__xludf.DUMMYFUNCTION("""COMPUTED_VALUE"""),6790700.0)</f>
        <v>6790700</v>
      </c>
    </row>
    <row r="5889">
      <c r="A5889" s="3">
        <f>IFERROR(__xludf.DUMMYFUNCTION("""COMPUTED_VALUE"""),37739.666666666664)</f>
        <v>37739.66667</v>
      </c>
      <c r="B5889" s="2">
        <f>IFERROR(__xludf.DUMMYFUNCTION("""COMPUTED_VALUE"""),80.28)</f>
        <v>80.28</v>
      </c>
      <c r="C5889" s="2">
        <f>IFERROR(__xludf.DUMMYFUNCTION("""COMPUTED_VALUE"""),81.67)</f>
        <v>81.67</v>
      </c>
      <c r="D5889" s="2">
        <f>IFERROR(__xludf.DUMMYFUNCTION("""COMPUTED_VALUE"""),79.87)</f>
        <v>79.87</v>
      </c>
      <c r="E5889" s="2">
        <f>IFERROR(__xludf.DUMMYFUNCTION("""COMPUTED_VALUE"""),81.3)</f>
        <v>81.3</v>
      </c>
      <c r="F5889" s="2">
        <f>IFERROR(__xludf.DUMMYFUNCTION("""COMPUTED_VALUE"""),6365100.0)</f>
        <v>6365100</v>
      </c>
    </row>
    <row r="5890">
      <c r="A5890" s="3">
        <f>IFERROR(__xludf.DUMMYFUNCTION("""COMPUTED_VALUE"""),37740.666666666664)</f>
        <v>37740.66667</v>
      </c>
      <c r="B5890" s="2">
        <f>IFERROR(__xludf.DUMMYFUNCTION("""COMPUTED_VALUE"""),81.51)</f>
        <v>81.51</v>
      </c>
      <c r="C5890" s="2">
        <f>IFERROR(__xludf.DUMMYFUNCTION("""COMPUTED_VALUE"""),82.61)</f>
        <v>82.61</v>
      </c>
      <c r="D5890" s="2">
        <f>IFERROR(__xludf.DUMMYFUNCTION("""COMPUTED_VALUE"""),81.16)</f>
        <v>81.16</v>
      </c>
      <c r="E5890" s="2">
        <f>IFERROR(__xludf.DUMMYFUNCTION("""COMPUTED_VALUE"""),81.82)</f>
        <v>81.82</v>
      </c>
      <c r="F5890" s="2">
        <f>IFERROR(__xludf.DUMMYFUNCTION("""COMPUTED_VALUE"""),8732800.0)</f>
        <v>8732800</v>
      </c>
    </row>
    <row r="5891">
      <c r="A5891" s="3">
        <f>IFERROR(__xludf.DUMMYFUNCTION("""COMPUTED_VALUE"""),37741.666666666664)</f>
        <v>37741.66667</v>
      </c>
      <c r="B5891" s="2">
        <f>IFERROR(__xludf.DUMMYFUNCTION("""COMPUTED_VALUE"""),81.82)</f>
        <v>81.82</v>
      </c>
      <c r="C5891" s="2">
        <f>IFERROR(__xludf.DUMMYFUNCTION("""COMPUTED_VALUE"""),81.83)</f>
        <v>81.83</v>
      </c>
      <c r="D5891" s="2">
        <f>IFERROR(__xludf.DUMMYFUNCTION("""COMPUTED_VALUE"""),80.89)</f>
        <v>80.89</v>
      </c>
      <c r="E5891" s="2">
        <f>IFERROR(__xludf.DUMMYFUNCTION("""COMPUTED_VALUE"""),81.09)</f>
        <v>81.09</v>
      </c>
      <c r="F5891" s="2">
        <f>IFERROR(__xludf.DUMMYFUNCTION("""COMPUTED_VALUE"""),8445000.0)</f>
        <v>8445000</v>
      </c>
    </row>
    <row r="5892">
      <c r="A5892" s="3">
        <f>IFERROR(__xludf.DUMMYFUNCTION("""COMPUTED_VALUE"""),37742.666666666664)</f>
        <v>37742.66667</v>
      </c>
      <c r="B5892" s="2">
        <f>IFERROR(__xludf.DUMMYFUNCTION("""COMPUTED_VALUE"""),81.48)</f>
        <v>81.48</v>
      </c>
      <c r="C5892" s="2">
        <f>IFERROR(__xludf.DUMMYFUNCTION("""COMPUTED_VALUE"""),82.36)</f>
        <v>82.36</v>
      </c>
      <c r="D5892" s="2">
        <f>IFERROR(__xludf.DUMMYFUNCTION("""COMPUTED_VALUE"""),80.68)</f>
        <v>80.68</v>
      </c>
      <c r="E5892" s="2">
        <f>IFERROR(__xludf.DUMMYFUNCTION("""COMPUTED_VALUE"""),82.04)</f>
        <v>82.04</v>
      </c>
      <c r="F5892" s="2">
        <f>IFERROR(__xludf.DUMMYFUNCTION("""COMPUTED_VALUE"""),7486400.0)</f>
        <v>7486400</v>
      </c>
    </row>
    <row r="5893">
      <c r="A5893" s="3">
        <f>IFERROR(__xludf.DUMMYFUNCTION("""COMPUTED_VALUE"""),37743.666666666664)</f>
        <v>37743.66667</v>
      </c>
      <c r="B5893" s="2">
        <f>IFERROR(__xludf.DUMMYFUNCTION("""COMPUTED_VALUE"""),81.14)</f>
        <v>81.14</v>
      </c>
      <c r="C5893" s="2">
        <f>IFERROR(__xludf.DUMMYFUNCTION("""COMPUTED_VALUE"""),83.64)</f>
        <v>83.64</v>
      </c>
      <c r="D5893" s="2">
        <f>IFERROR(__xludf.DUMMYFUNCTION("""COMPUTED_VALUE"""),80.66)</f>
        <v>80.66</v>
      </c>
      <c r="E5893" s="2">
        <f>IFERROR(__xludf.DUMMYFUNCTION("""COMPUTED_VALUE"""),83.64)</f>
        <v>83.64</v>
      </c>
      <c r="F5893" s="2">
        <f>IFERROR(__xludf.DUMMYFUNCTION("""COMPUTED_VALUE"""),8382000.0)</f>
        <v>8382000</v>
      </c>
    </row>
    <row r="5894">
      <c r="A5894" s="3">
        <f>IFERROR(__xludf.DUMMYFUNCTION("""COMPUTED_VALUE"""),37746.666666666664)</f>
        <v>37746.66667</v>
      </c>
      <c r="B5894" s="2">
        <f>IFERROR(__xludf.DUMMYFUNCTION("""COMPUTED_VALUE"""),83.29)</f>
        <v>83.29</v>
      </c>
      <c r="C5894" s="2">
        <f>IFERROR(__xludf.DUMMYFUNCTION("""COMPUTED_VALUE"""),84.06)</f>
        <v>84.06</v>
      </c>
      <c r="D5894" s="2">
        <f>IFERROR(__xludf.DUMMYFUNCTION("""COMPUTED_VALUE"""),82.64)</f>
        <v>82.64</v>
      </c>
      <c r="E5894" s="2">
        <f>IFERROR(__xludf.DUMMYFUNCTION("""COMPUTED_VALUE"""),82.64)</f>
        <v>82.64</v>
      </c>
      <c r="F5894" s="2">
        <f>IFERROR(__xludf.DUMMYFUNCTION("""COMPUTED_VALUE"""),7632500.0)</f>
        <v>7632500</v>
      </c>
    </row>
    <row r="5895">
      <c r="A5895" s="3">
        <f>IFERROR(__xludf.DUMMYFUNCTION("""COMPUTED_VALUE"""),37747.666666666664)</f>
        <v>37747.66667</v>
      </c>
      <c r="B5895" s="2">
        <f>IFERROR(__xludf.DUMMYFUNCTION("""COMPUTED_VALUE"""),82.43)</f>
        <v>82.43</v>
      </c>
      <c r="C5895" s="2">
        <f>IFERROR(__xludf.DUMMYFUNCTION("""COMPUTED_VALUE"""),84.38)</f>
        <v>84.38</v>
      </c>
      <c r="D5895" s="2">
        <f>IFERROR(__xludf.DUMMYFUNCTION("""COMPUTED_VALUE"""),82.14)</f>
        <v>82.14</v>
      </c>
      <c r="E5895" s="2">
        <f>IFERROR(__xludf.DUMMYFUNCTION("""COMPUTED_VALUE"""),83.59)</f>
        <v>83.59</v>
      </c>
      <c r="F5895" s="2">
        <f>IFERROR(__xludf.DUMMYFUNCTION("""COMPUTED_VALUE"""),7459600.0)</f>
        <v>7459600</v>
      </c>
    </row>
    <row r="5896">
      <c r="A5896" s="3">
        <f>IFERROR(__xludf.DUMMYFUNCTION("""COMPUTED_VALUE"""),37748.666666666664)</f>
        <v>37748.66667</v>
      </c>
      <c r="B5896" s="2">
        <f>IFERROR(__xludf.DUMMYFUNCTION("""COMPUTED_VALUE"""),83.05)</f>
        <v>83.05</v>
      </c>
      <c r="C5896" s="2">
        <f>IFERROR(__xludf.DUMMYFUNCTION("""COMPUTED_VALUE"""),83.88)</f>
        <v>83.88</v>
      </c>
      <c r="D5896" s="2">
        <f>IFERROR(__xludf.DUMMYFUNCTION("""COMPUTED_VALUE"""),82.62)</f>
        <v>82.62</v>
      </c>
      <c r="E5896" s="2">
        <f>IFERROR(__xludf.DUMMYFUNCTION("""COMPUTED_VALUE"""),82.79)</f>
        <v>82.79</v>
      </c>
      <c r="F5896" s="2">
        <f>IFERROR(__xludf.DUMMYFUNCTION("""COMPUTED_VALUE"""),6755600.0)</f>
        <v>6755600</v>
      </c>
    </row>
    <row r="5897">
      <c r="A5897" s="3">
        <f>IFERROR(__xludf.DUMMYFUNCTION("""COMPUTED_VALUE"""),37749.666666666664)</f>
        <v>37749.66667</v>
      </c>
      <c r="B5897" s="2">
        <f>IFERROR(__xludf.DUMMYFUNCTION("""COMPUTED_VALUE"""),82.5)</f>
        <v>82.5</v>
      </c>
      <c r="C5897" s="2">
        <f>IFERROR(__xludf.DUMMYFUNCTION("""COMPUTED_VALUE"""),82.89)</f>
        <v>82.89</v>
      </c>
      <c r="D5897" s="2">
        <f>IFERROR(__xludf.DUMMYFUNCTION("""COMPUTED_VALUE"""),81.91)</f>
        <v>81.91</v>
      </c>
      <c r="E5897" s="2">
        <f>IFERROR(__xludf.DUMMYFUNCTION("""COMPUTED_VALUE"""),82.19)</f>
        <v>82.19</v>
      </c>
      <c r="F5897" s="2">
        <f>IFERROR(__xludf.DUMMYFUNCTION("""COMPUTED_VALUE"""),7188200.0)</f>
        <v>7188200</v>
      </c>
    </row>
    <row r="5898">
      <c r="A5898" s="3">
        <f>IFERROR(__xludf.DUMMYFUNCTION("""COMPUTED_VALUE"""),37750.666666666664)</f>
        <v>37750.66667</v>
      </c>
      <c r="B5898" s="2">
        <f>IFERROR(__xludf.DUMMYFUNCTION("""COMPUTED_VALUE"""),83.0)</f>
        <v>83</v>
      </c>
      <c r="C5898" s="2">
        <f>IFERROR(__xludf.DUMMYFUNCTION("""COMPUTED_VALUE"""),83.77)</f>
        <v>83.77</v>
      </c>
      <c r="D5898" s="2">
        <f>IFERROR(__xludf.DUMMYFUNCTION("""COMPUTED_VALUE"""),82.53)</f>
        <v>82.53</v>
      </c>
      <c r="E5898" s="2">
        <f>IFERROR(__xludf.DUMMYFUNCTION("""COMPUTED_VALUE"""),83.62)</f>
        <v>83.62</v>
      </c>
      <c r="F5898" s="2">
        <f>IFERROR(__xludf.DUMMYFUNCTION("""COMPUTED_VALUE"""),6222600.0)</f>
        <v>6222600</v>
      </c>
    </row>
    <row r="5899">
      <c r="A5899" s="3">
        <f>IFERROR(__xludf.DUMMYFUNCTION("""COMPUTED_VALUE"""),37753.666666666664)</f>
        <v>37753.66667</v>
      </c>
      <c r="B5899" s="2">
        <f>IFERROR(__xludf.DUMMYFUNCTION("""COMPUTED_VALUE"""),83.62)</f>
        <v>83.62</v>
      </c>
      <c r="C5899" s="2">
        <f>IFERROR(__xludf.DUMMYFUNCTION("""COMPUTED_VALUE"""),85.26)</f>
        <v>85.26</v>
      </c>
      <c r="D5899" s="2">
        <f>IFERROR(__xludf.DUMMYFUNCTION("""COMPUTED_VALUE"""),83.19)</f>
        <v>83.19</v>
      </c>
      <c r="E5899" s="2">
        <f>IFERROR(__xludf.DUMMYFUNCTION("""COMPUTED_VALUE"""),85.01)</f>
        <v>85.01</v>
      </c>
      <c r="F5899" s="2">
        <f>IFERROR(__xludf.DUMMYFUNCTION("""COMPUTED_VALUE"""),8445700.0)</f>
        <v>8445700</v>
      </c>
    </row>
    <row r="5900">
      <c r="A5900" s="3">
        <f>IFERROR(__xludf.DUMMYFUNCTION("""COMPUTED_VALUE"""),37754.666666666664)</f>
        <v>37754.66667</v>
      </c>
      <c r="B5900" s="2">
        <f>IFERROR(__xludf.DUMMYFUNCTION("""COMPUTED_VALUE"""),84.8)</f>
        <v>84.8</v>
      </c>
      <c r="C5900" s="2">
        <f>IFERROR(__xludf.DUMMYFUNCTION("""COMPUTED_VALUE"""),86.06)</f>
        <v>86.06</v>
      </c>
      <c r="D5900" s="2">
        <f>IFERROR(__xludf.DUMMYFUNCTION("""COMPUTED_VALUE"""),84.59)</f>
        <v>84.59</v>
      </c>
      <c r="E5900" s="2">
        <f>IFERROR(__xludf.DUMMYFUNCTION("""COMPUTED_VALUE"""),85.95)</f>
        <v>85.95</v>
      </c>
      <c r="F5900" s="2">
        <f>IFERROR(__xludf.DUMMYFUNCTION("""COMPUTED_VALUE"""),8669200.0)</f>
        <v>8669200</v>
      </c>
    </row>
    <row r="5901">
      <c r="A5901" s="3">
        <f>IFERROR(__xludf.DUMMYFUNCTION("""COMPUTED_VALUE"""),37755.666666666664)</f>
        <v>37755.66667</v>
      </c>
      <c r="B5901" s="2">
        <f>IFERROR(__xludf.DUMMYFUNCTION("""COMPUTED_VALUE"""),85.96)</f>
        <v>85.96</v>
      </c>
      <c r="C5901" s="2">
        <f>IFERROR(__xludf.DUMMYFUNCTION("""COMPUTED_VALUE"""),86.35)</f>
        <v>86.35</v>
      </c>
      <c r="D5901" s="2">
        <f>IFERROR(__xludf.DUMMYFUNCTION("""COMPUTED_VALUE"""),84.34)</f>
        <v>84.34</v>
      </c>
      <c r="E5901" s="2">
        <f>IFERROR(__xludf.DUMMYFUNCTION("""COMPUTED_VALUE"""),84.72)</f>
        <v>84.72</v>
      </c>
      <c r="F5901" s="2">
        <f>IFERROR(__xludf.DUMMYFUNCTION("""COMPUTED_VALUE"""),7752500.0)</f>
        <v>7752500</v>
      </c>
    </row>
    <row r="5902">
      <c r="A5902" s="3">
        <f>IFERROR(__xludf.DUMMYFUNCTION("""COMPUTED_VALUE"""),37756.666666666664)</f>
        <v>37756.66667</v>
      </c>
      <c r="B5902" s="2">
        <f>IFERROR(__xludf.DUMMYFUNCTION("""COMPUTED_VALUE"""),85.49)</f>
        <v>85.49</v>
      </c>
      <c r="C5902" s="2">
        <f>IFERROR(__xludf.DUMMYFUNCTION("""COMPUTED_VALUE"""),85.93)</f>
        <v>85.93</v>
      </c>
      <c r="D5902" s="2">
        <f>IFERROR(__xludf.DUMMYFUNCTION("""COMPUTED_VALUE"""),85.01)</f>
        <v>85.01</v>
      </c>
      <c r="E5902" s="2">
        <f>IFERROR(__xludf.DUMMYFUNCTION("""COMPUTED_VALUE"""),85.87)</f>
        <v>85.87</v>
      </c>
      <c r="F5902" s="2">
        <f>IFERROR(__xludf.DUMMYFUNCTION("""COMPUTED_VALUE"""),7104000.0)</f>
        <v>7104000</v>
      </c>
    </row>
    <row r="5903">
      <c r="A5903" s="3">
        <f>IFERROR(__xludf.DUMMYFUNCTION("""COMPUTED_VALUE"""),37757.666666666664)</f>
        <v>37757.66667</v>
      </c>
      <c r="B5903" s="2">
        <f>IFERROR(__xludf.DUMMYFUNCTION("""COMPUTED_VALUE"""),85.65)</f>
        <v>85.65</v>
      </c>
      <c r="C5903" s="2">
        <f>IFERROR(__xludf.DUMMYFUNCTION("""COMPUTED_VALUE"""),85.86)</f>
        <v>85.86</v>
      </c>
      <c r="D5903" s="2">
        <f>IFERROR(__xludf.DUMMYFUNCTION("""COMPUTED_VALUE"""),84.96)</f>
        <v>84.96</v>
      </c>
      <c r="E5903" s="2">
        <f>IFERROR(__xludf.DUMMYFUNCTION("""COMPUTED_VALUE"""),85.0)</f>
        <v>85</v>
      </c>
      <c r="F5903" s="2">
        <f>IFERROR(__xludf.DUMMYFUNCTION("""COMPUTED_VALUE"""),6831600.0)</f>
        <v>6831600</v>
      </c>
    </row>
    <row r="5904">
      <c r="A5904" s="3">
        <f>IFERROR(__xludf.DUMMYFUNCTION("""COMPUTED_VALUE"""),37760.666666666664)</f>
        <v>37760.66667</v>
      </c>
      <c r="B5904" s="2">
        <f>IFERROR(__xludf.DUMMYFUNCTION("""COMPUTED_VALUE"""),84.1)</f>
        <v>84.1</v>
      </c>
      <c r="C5904" s="2">
        <f>IFERROR(__xludf.DUMMYFUNCTION("""COMPUTED_VALUE"""),84.5)</f>
        <v>84.5</v>
      </c>
      <c r="D5904" s="2">
        <f>IFERROR(__xludf.DUMMYFUNCTION("""COMPUTED_VALUE"""),82.54)</f>
        <v>82.54</v>
      </c>
      <c r="E5904" s="2">
        <f>IFERROR(__xludf.DUMMYFUNCTION("""COMPUTED_VALUE"""),82.57)</f>
        <v>82.57</v>
      </c>
      <c r="F5904" s="2">
        <f>IFERROR(__xludf.DUMMYFUNCTION("""COMPUTED_VALUE"""),7299400.0)</f>
        <v>7299400</v>
      </c>
    </row>
    <row r="5905">
      <c r="A5905" s="3">
        <f>IFERROR(__xludf.DUMMYFUNCTION("""COMPUTED_VALUE"""),37761.666666666664)</f>
        <v>37761.66667</v>
      </c>
      <c r="B5905" s="2">
        <f>IFERROR(__xludf.DUMMYFUNCTION("""COMPUTED_VALUE"""),82.7)</f>
        <v>82.7</v>
      </c>
      <c r="C5905" s="2">
        <f>IFERROR(__xludf.DUMMYFUNCTION("""COMPUTED_VALUE"""),83.33)</f>
        <v>83.33</v>
      </c>
      <c r="D5905" s="2">
        <f>IFERROR(__xludf.DUMMYFUNCTION("""COMPUTED_VALUE"""),81.08)</f>
        <v>81.08</v>
      </c>
      <c r="E5905" s="2">
        <f>IFERROR(__xludf.DUMMYFUNCTION("""COMPUTED_VALUE"""),81.92)</f>
        <v>81.92</v>
      </c>
      <c r="F5905" s="2">
        <f>IFERROR(__xludf.DUMMYFUNCTION("""COMPUTED_VALUE"""),7332600.0)</f>
        <v>7332600</v>
      </c>
    </row>
    <row r="5906">
      <c r="A5906" s="3">
        <f>IFERROR(__xludf.DUMMYFUNCTION("""COMPUTED_VALUE"""),37762.666666666664)</f>
        <v>37762.66667</v>
      </c>
      <c r="B5906" s="2">
        <f>IFERROR(__xludf.DUMMYFUNCTION("""COMPUTED_VALUE"""),81.92)</f>
        <v>81.92</v>
      </c>
      <c r="C5906" s="2">
        <f>IFERROR(__xludf.DUMMYFUNCTION("""COMPUTED_VALUE"""),82.32)</f>
        <v>82.32</v>
      </c>
      <c r="D5906" s="2">
        <f>IFERROR(__xludf.DUMMYFUNCTION("""COMPUTED_VALUE"""),81.27)</f>
        <v>81.27</v>
      </c>
      <c r="E5906" s="2">
        <f>IFERROR(__xludf.DUMMYFUNCTION("""COMPUTED_VALUE"""),82.32)</f>
        <v>82.32</v>
      </c>
      <c r="F5906" s="2">
        <f>IFERROR(__xludf.DUMMYFUNCTION("""COMPUTED_VALUE"""),6742400.0)</f>
        <v>6742400</v>
      </c>
    </row>
    <row r="5907">
      <c r="A5907" s="3">
        <f>IFERROR(__xludf.DUMMYFUNCTION("""COMPUTED_VALUE"""),37763.666666666664)</f>
        <v>37763.66667</v>
      </c>
      <c r="B5907" s="2">
        <f>IFERROR(__xludf.DUMMYFUNCTION("""COMPUTED_VALUE"""),82.38)</f>
        <v>82.38</v>
      </c>
      <c r="C5907" s="2">
        <f>IFERROR(__xludf.DUMMYFUNCTION("""COMPUTED_VALUE"""),82.91)</f>
        <v>82.91</v>
      </c>
      <c r="D5907" s="2">
        <f>IFERROR(__xludf.DUMMYFUNCTION("""COMPUTED_VALUE"""),81.95)</f>
        <v>81.95</v>
      </c>
      <c r="E5907" s="2">
        <f>IFERROR(__xludf.DUMMYFUNCTION("""COMPUTED_VALUE"""),82.22)</f>
        <v>82.22</v>
      </c>
      <c r="F5907" s="2">
        <f>IFERROR(__xludf.DUMMYFUNCTION("""COMPUTED_VALUE"""),6277400.0)</f>
        <v>6277400</v>
      </c>
    </row>
    <row r="5908">
      <c r="A5908" s="3">
        <f>IFERROR(__xludf.DUMMYFUNCTION("""COMPUTED_VALUE"""),37764.666666666664)</f>
        <v>37764.66667</v>
      </c>
      <c r="B5908" s="2">
        <f>IFERROR(__xludf.DUMMYFUNCTION("""COMPUTED_VALUE"""),81.91)</f>
        <v>81.91</v>
      </c>
      <c r="C5908" s="2">
        <f>IFERROR(__xludf.DUMMYFUNCTION("""COMPUTED_VALUE"""),82.1)</f>
        <v>82.1</v>
      </c>
      <c r="D5908" s="2">
        <f>IFERROR(__xludf.DUMMYFUNCTION("""COMPUTED_VALUE"""),81.28)</f>
        <v>81.28</v>
      </c>
      <c r="E5908" s="2">
        <f>IFERROR(__xludf.DUMMYFUNCTION("""COMPUTED_VALUE"""),81.44)</f>
        <v>81.44</v>
      </c>
      <c r="F5908" s="2">
        <f>IFERROR(__xludf.DUMMYFUNCTION("""COMPUTED_VALUE"""),5188500.0)</f>
        <v>5188500</v>
      </c>
    </row>
    <row r="5909">
      <c r="A5909" s="3">
        <f>IFERROR(__xludf.DUMMYFUNCTION("""COMPUTED_VALUE"""),37768.666666666664)</f>
        <v>37768.66667</v>
      </c>
      <c r="B5909" s="2">
        <f>IFERROR(__xludf.DUMMYFUNCTION("""COMPUTED_VALUE"""),80.72)</f>
        <v>80.72</v>
      </c>
      <c r="C5909" s="2">
        <f>IFERROR(__xludf.DUMMYFUNCTION("""COMPUTED_VALUE"""),83.96)</f>
        <v>83.96</v>
      </c>
      <c r="D5909" s="2">
        <f>IFERROR(__xludf.DUMMYFUNCTION("""COMPUTED_VALUE"""),80.72)</f>
        <v>80.72</v>
      </c>
      <c r="E5909" s="2">
        <f>IFERROR(__xludf.DUMMYFUNCTION("""COMPUTED_VALUE"""),83.76)</f>
        <v>83.76</v>
      </c>
      <c r="F5909" s="2">
        <f>IFERROR(__xludf.DUMMYFUNCTION("""COMPUTED_VALUE"""),7163500.0)</f>
        <v>7163500</v>
      </c>
    </row>
    <row r="5910">
      <c r="A5910" s="3">
        <f>IFERROR(__xludf.DUMMYFUNCTION("""COMPUTED_VALUE"""),37769.666666666664)</f>
        <v>37769.66667</v>
      </c>
      <c r="B5910" s="2">
        <f>IFERROR(__xludf.DUMMYFUNCTION("""COMPUTED_VALUE"""),83.67)</f>
        <v>83.67</v>
      </c>
      <c r="C5910" s="2">
        <f>IFERROR(__xludf.DUMMYFUNCTION("""COMPUTED_VALUE"""),84.72)</f>
        <v>84.72</v>
      </c>
      <c r="D5910" s="2">
        <f>IFERROR(__xludf.DUMMYFUNCTION("""COMPUTED_VALUE"""),83.48)</f>
        <v>83.48</v>
      </c>
      <c r="E5910" s="2">
        <f>IFERROR(__xludf.DUMMYFUNCTION("""COMPUTED_VALUE"""),83.64)</f>
        <v>83.64</v>
      </c>
      <c r="F5910" s="2">
        <f>IFERROR(__xludf.DUMMYFUNCTION("""COMPUTED_VALUE"""),6542300.0)</f>
        <v>6542300</v>
      </c>
    </row>
    <row r="5911">
      <c r="A5911" s="3">
        <f>IFERROR(__xludf.DUMMYFUNCTION("""COMPUTED_VALUE"""),37770.666666666664)</f>
        <v>37770.66667</v>
      </c>
      <c r="B5911" s="2">
        <f>IFERROR(__xludf.DUMMYFUNCTION("""COMPUTED_VALUE"""),83.64)</f>
        <v>83.64</v>
      </c>
      <c r="C5911" s="2">
        <f>IFERROR(__xludf.DUMMYFUNCTION("""COMPUTED_VALUE"""),84.62)</f>
        <v>84.62</v>
      </c>
      <c r="D5911" s="2">
        <f>IFERROR(__xludf.DUMMYFUNCTION("""COMPUTED_VALUE"""),83.29)</f>
        <v>83.29</v>
      </c>
      <c r="E5911" s="2">
        <f>IFERROR(__xludf.DUMMYFUNCTION("""COMPUTED_VALUE"""),83.44)</f>
        <v>83.44</v>
      </c>
      <c r="F5911" s="2">
        <f>IFERROR(__xludf.DUMMYFUNCTION("""COMPUTED_VALUE"""),6898900.0)</f>
        <v>6898900</v>
      </c>
    </row>
    <row r="5912">
      <c r="A5912" s="3">
        <f>IFERROR(__xludf.DUMMYFUNCTION("""COMPUTED_VALUE"""),37771.666666666664)</f>
        <v>37771.66667</v>
      </c>
      <c r="B5912" s="2">
        <f>IFERROR(__xludf.DUMMYFUNCTION("""COMPUTED_VALUE"""),83.53)</f>
        <v>83.53</v>
      </c>
      <c r="C5912" s="2">
        <f>IFERROR(__xludf.DUMMYFUNCTION("""COMPUTED_VALUE"""),84.7)</f>
        <v>84.7</v>
      </c>
      <c r="D5912" s="2">
        <f>IFERROR(__xludf.DUMMYFUNCTION("""COMPUTED_VALUE"""),83.53)</f>
        <v>83.53</v>
      </c>
      <c r="E5912" s="2">
        <f>IFERROR(__xludf.DUMMYFUNCTION("""COMPUTED_VALUE"""),84.09)</f>
        <v>84.09</v>
      </c>
      <c r="F5912" s="2">
        <f>IFERROR(__xludf.DUMMYFUNCTION("""COMPUTED_VALUE"""),6212500.0)</f>
        <v>6212500</v>
      </c>
    </row>
    <row r="5913">
      <c r="A5913" s="3">
        <f>IFERROR(__xludf.DUMMYFUNCTION("""COMPUTED_VALUE"""),37774.666666666664)</f>
        <v>37774.66667</v>
      </c>
      <c r="B5913" s="2">
        <f>IFERROR(__xludf.DUMMYFUNCTION("""COMPUTED_VALUE"""),85.01)</f>
        <v>85.01</v>
      </c>
      <c r="C5913" s="2">
        <f>IFERROR(__xludf.DUMMYFUNCTION("""COMPUTED_VALUE"""),85.09)</f>
        <v>85.09</v>
      </c>
      <c r="D5913" s="2">
        <f>IFERROR(__xludf.DUMMYFUNCTION("""COMPUTED_VALUE"""),83.34)</f>
        <v>83.34</v>
      </c>
      <c r="E5913" s="2">
        <f>IFERROR(__xludf.DUMMYFUNCTION("""COMPUTED_VALUE"""),83.41)</f>
        <v>83.41</v>
      </c>
      <c r="F5913" s="2">
        <f>IFERROR(__xludf.DUMMYFUNCTION("""COMPUTED_VALUE"""),7761200.0)</f>
        <v>7761200</v>
      </c>
    </row>
    <row r="5914">
      <c r="A5914" s="3">
        <f>IFERROR(__xludf.DUMMYFUNCTION("""COMPUTED_VALUE"""),37775.666666666664)</f>
        <v>37775.66667</v>
      </c>
      <c r="B5914" s="2">
        <f>IFERROR(__xludf.DUMMYFUNCTION("""COMPUTED_VALUE"""),80.23)</f>
        <v>80.23</v>
      </c>
      <c r="C5914" s="2">
        <f>IFERROR(__xludf.DUMMYFUNCTION("""COMPUTED_VALUE"""),81.42)</f>
        <v>81.42</v>
      </c>
      <c r="D5914" s="2">
        <f>IFERROR(__xludf.DUMMYFUNCTION("""COMPUTED_VALUE"""),79.51)</f>
        <v>79.51</v>
      </c>
      <c r="E5914" s="2">
        <f>IFERROR(__xludf.DUMMYFUNCTION("""COMPUTED_VALUE"""),80.06)</f>
        <v>80.06</v>
      </c>
      <c r="F5914" s="2">
        <f>IFERROR(__xludf.DUMMYFUNCTION("""COMPUTED_VALUE"""),2.11166E7)</f>
        <v>21116600</v>
      </c>
    </row>
    <row r="5915">
      <c r="A5915" s="3">
        <f>IFERROR(__xludf.DUMMYFUNCTION("""COMPUTED_VALUE"""),37776.666666666664)</f>
        <v>37776.66667</v>
      </c>
      <c r="B5915" s="2">
        <f>IFERROR(__xludf.DUMMYFUNCTION("""COMPUTED_VALUE"""),80.23)</f>
        <v>80.23</v>
      </c>
      <c r="C5915" s="2">
        <f>IFERROR(__xludf.DUMMYFUNCTION("""COMPUTED_VALUE"""),81.15)</f>
        <v>81.15</v>
      </c>
      <c r="D5915" s="2">
        <f>IFERROR(__xludf.DUMMYFUNCTION("""COMPUTED_VALUE"""),80.07)</f>
        <v>80.07</v>
      </c>
      <c r="E5915" s="2">
        <f>IFERROR(__xludf.DUMMYFUNCTION("""COMPUTED_VALUE"""),80.47)</f>
        <v>80.47</v>
      </c>
      <c r="F5915" s="2">
        <f>IFERROR(__xludf.DUMMYFUNCTION("""COMPUTED_VALUE"""),1.07345E7)</f>
        <v>10734500</v>
      </c>
    </row>
    <row r="5916">
      <c r="A5916" s="3">
        <f>IFERROR(__xludf.DUMMYFUNCTION("""COMPUTED_VALUE"""),37777.666666666664)</f>
        <v>37777.66667</v>
      </c>
      <c r="B5916" s="2">
        <f>IFERROR(__xludf.DUMMYFUNCTION("""COMPUTED_VALUE"""),80.23)</f>
        <v>80.23</v>
      </c>
      <c r="C5916" s="2">
        <f>IFERROR(__xludf.DUMMYFUNCTION("""COMPUTED_VALUE"""),80.47)</f>
        <v>80.47</v>
      </c>
      <c r="D5916" s="2">
        <f>IFERROR(__xludf.DUMMYFUNCTION("""COMPUTED_VALUE"""),78.08)</f>
        <v>78.08</v>
      </c>
      <c r="E5916" s="2">
        <f>IFERROR(__xludf.DUMMYFUNCTION("""COMPUTED_VALUE"""),78.23)</f>
        <v>78.23</v>
      </c>
      <c r="F5916" s="2">
        <f>IFERROR(__xludf.DUMMYFUNCTION("""COMPUTED_VALUE"""),1.52637E7)</f>
        <v>15263700</v>
      </c>
    </row>
    <row r="5917">
      <c r="A5917" s="3">
        <f>IFERROR(__xludf.DUMMYFUNCTION("""COMPUTED_VALUE"""),37778.666666666664)</f>
        <v>37778.66667</v>
      </c>
      <c r="B5917" s="2">
        <f>IFERROR(__xludf.DUMMYFUNCTION("""COMPUTED_VALUE"""),78.56)</f>
        <v>78.56</v>
      </c>
      <c r="C5917" s="2">
        <f>IFERROR(__xludf.DUMMYFUNCTION("""COMPUTED_VALUE"""),79.5)</f>
        <v>79.5</v>
      </c>
      <c r="D5917" s="2">
        <f>IFERROR(__xludf.DUMMYFUNCTION("""COMPUTED_VALUE"""),76.26)</f>
        <v>76.26</v>
      </c>
      <c r="E5917" s="2">
        <f>IFERROR(__xludf.DUMMYFUNCTION("""COMPUTED_VALUE"""),76.46)</f>
        <v>76.46</v>
      </c>
      <c r="F5917" s="2">
        <f>IFERROR(__xludf.DUMMYFUNCTION("""COMPUTED_VALUE"""),1.51628E7)</f>
        <v>15162800</v>
      </c>
    </row>
    <row r="5918">
      <c r="A5918" s="3">
        <f>IFERROR(__xludf.DUMMYFUNCTION("""COMPUTED_VALUE"""),37781.666666666664)</f>
        <v>37781.66667</v>
      </c>
      <c r="B5918" s="2">
        <f>IFERROR(__xludf.DUMMYFUNCTION("""COMPUTED_VALUE"""),76.41)</f>
        <v>76.41</v>
      </c>
      <c r="C5918" s="2">
        <f>IFERROR(__xludf.DUMMYFUNCTION("""COMPUTED_VALUE"""),78.32)</f>
        <v>78.32</v>
      </c>
      <c r="D5918" s="2">
        <f>IFERROR(__xludf.DUMMYFUNCTION("""COMPUTED_VALUE"""),76.23)</f>
        <v>76.23</v>
      </c>
      <c r="E5918" s="2">
        <f>IFERROR(__xludf.DUMMYFUNCTION("""COMPUTED_VALUE"""),78.32)</f>
        <v>78.32</v>
      </c>
      <c r="F5918" s="2">
        <f>IFERROR(__xludf.DUMMYFUNCTION("""COMPUTED_VALUE"""),9759300.0)</f>
        <v>9759300</v>
      </c>
    </row>
    <row r="5919">
      <c r="A5919" s="3">
        <f>IFERROR(__xludf.DUMMYFUNCTION("""COMPUTED_VALUE"""),37782.666666666664)</f>
        <v>37782.66667</v>
      </c>
      <c r="B5919" s="2">
        <f>IFERROR(__xludf.DUMMYFUNCTION("""COMPUTED_VALUE"""),78.66)</f>
        <v>78.66</v>
      </c>
      <c r="C5919" s="2">
        <f>IFERROR(__xludf.DUMMYFUNCTION("""COMPUTED_VALUE"""),79.2)</f>
        <v>79.2</v>
      </c>
      <c r="D5919" s="2">
        <f>IFERROR(__xludf.DUMMYFUNCTION("""COMPUTED_VALUE"""),77.57)</f>
        <v>77.57</v>
      </c>
      <c r="E5919" s="2">
        <f>IFERROR(__xludf.DUMMYFUNCTION("""COMPUTED_VALUE"""),78.05)</f>
        <v>78.05</v>
      </c>
      <c r="F5919" s="2">
        <f>IFERROR(__xludf.DUMMYFUNCTION("""COMPUTED_VALUE"""),8896300.0)</f>
        <v>8896300</v>
      </c>
    </row>
    <row r="5920">
      <c r="A5920" s="3">
        <f>IFERROR(__xludf.DUMMYFUNCTION("""COMPUTED_VALUE"""),37783.666666666664)</f>
        <v>37783.66667</v>
      </c>
      <c r="B5920" s="2">
        <f>IFERROR(__xludf.DUMMYFUNCTION("""COMPUTED_VALUE"""),79.04)</f>
        <v>79.04</v>
      </c>
      <c r="C5920" s="2">
        <f>IFERROR(__xludf.DUMMYFUNCTION("""COMPUTED_VALUE"""),80.38)</f>
        <v>80.38</v>
      </c>
      <c r="D5920" s="2">
        <f>IFERROR(__xludf.DUMMYFUNCTION("""COMPUTED_VALUE"""),78.6)</f>
        <v>78.6</v>
      </c>
      <c r="E5920" s="2">
        <f>IFERROR(__xludf.DUMMYFUNCTION("""COMPUTED_VALUE"""),80.21)</f>
        <v>80.21</v>
      </c>
      <c r="F5920" s="2">
        <f>IFERROR(__xludf.DUMMYFUNCTION("""COMPUTED_VALUE"""),9816200.0)</f>
        <v>9816200</v>
      </c>
    </row>
    <row r="5921">
      <c r="A5921" s="3">
        <f>IFERROR(__xludf.DUMMYFUNCTION("""COMPUTED_VALUE"""),37784.666666666664)</f>
        <v>37784.66667</v>
      </c>
      <c r="B5921" s="2">
        <f>IFERROR(__xludf.DUMMYFUNCTION("""COMPUTED_VALUE"""),81.0)</f>
        <v>81</v>
      </c>
      <c r="C5921" s="2">
        <f>IFERROR(__xludf.DUMMYFUNCTION("""COMPUTED_VALUE"""),81.17)</f>
        <v>81.17</v>
      </c>
      <c r="D5921" s="2">
        <f>IFERROR(__xludf.DUMMYFUNCTION("""COMPUTED_VALUE"""),79.8)</f>
        <v>79.8</v>
      </c>
      <c r="E5921" s="2">
        <f>IFERROR(__xludf.DUMMYFUNCTION("""COMPUTED_VALUE"""),80.19)</f>
        <v>80.19</v>
      </c>
      <c r="F5921" s="2">
        <f>IFERROR(__xludf.DUMMYFUNCTION("""COMPUTED_VALUE"""),7072500.0)</f>
        <v>7072500</v>
      </c>
    </row>
    <row r="5922">
      <c r="A5922" s="3">
        <f>IFERROR(__xludf.DUMMYFUNCTION("""COMPUTED_VALUE"""),37785.666666666664)</f>
        <v>37785.66667</v>
      </c>
      <c r="B5922" s="2">
        <f>IFERROR(__xludf.DUMMYFUNCTION("""COMPUTED_VALUE"""),80.38)</f>
        <v>80.38</v>
      </c>
      <c r="C5922" s="2">
        <f>IFERROR(__xludf.DUMMYFUNCTION("""COMPUTED_VALUE"""),80.51)</f>
        <v>80.51</v>
      </c>
      <c r="D5922" s="2">
        <f>IFERROR(__xludf.DUMMYFUNCTION("""COMPUTED_VALUE"""),78.81)</f>
        <v>78.81</v>
      </c>
      <c r="E5922" s="2">
        <f>IFERROR(__xludf.DUMMYFUNCTION("""COMPUTED_VALUE"""),79.04)</f>
        <v>79.04</v>
      </c>
      <c r="F5922" s="2">
        <f>IFERROR(__xludf.DUMMYFUNCTION("""COMPUTED_VALUE"""),5727500.0)</f>
        <v>5727500</v>
      </c>
    </row>
    <row r="5923">
      <c r="A5923" s="3">
        <f>IFERROR(__xludf.DUMMYFUNCTION("""COMPUTED_VALUE"""),37788.666666666664)</f>
        <v>37788.66667</v>
      </c>
      <c r="B5923" s="2">
        <f>IFERROR(__xludf.DUMMYFUNCTION("""COMPUTED_VALUE"""),79.37)</f>
        <v>79.37</v>
      </c>
      <c r="C5923" s="2">
        <f>IFERROR(__xludf.DUMMYFUNCTION("""COMPUTED_VALUE"""),80.76)</f>
        <v>80.76</v>
      </c>
      <c r="D5923" s="2">
        <f>IFERROR(__xludf.DUMMYFUNCTION("""COMPUTED_VALUE"""),78.85)</f>
        <v>78.85</v>
      </c>
      <c r="E5923" s="2">
        <f>IFERROR(__xludf.DUMMYFUNCTION("""COMPUTED_VALUE"""),80.71)</f>
        <v>80.71</v>
      </c>
      <c r="F5923" s="2">
        <f>IFERROR(__xludf.DUMMYFUNCTION("""COMPUTED_VALUE"""),6492200.0)</f>
        <v>6492200</v>
      </c>
    </row>
    <row r="5924">
      <c r="A5924" s="3">
        <f>IFERROR(__xludf.DUMMYFUNCTION("""COMPUTED_VALUE"""),37789.666666666664)</f>
        <v>37789.66667</v>
      </c>
      <c r="B5924" s="2">
        <f>IFERROR(__xludf.DUMMYFUNCTION("""COMPUTED_VALUE"""),81.14)</f>
        <v>81.14</v>
      </c>
      <c r="C5924" s="2">
        <f>IFERROR(__xludf.DUMMYFUNCTION("""COMPUTED_VALUE"""),81.14)</f>
        <v>81.14</v>
      </c>
      <c r="D5924" s="2">
        <f>IFERROR(__xludf.DUMMYFUNCTION("""COMPUTED_VALUE"""),80.04)</f>
        <v>80.04</v>
      </c>
      <c r="E5924" s="2">
        <f>IFERROR(__xludf.DUMMYFUNCTION("""COMPUTED_VALUE"""),80.52)</f>
        <v>80.52</v>
      </c>
      <c r="F5924" s="2">
        <f>IFERROR(__xludf.DUMMYFUNCTION("""COMPUTED_VALUE"""),5873700.0)</f>
        <v>5873700</v>
      </c>
    </row>
    <row r="5925">
      <c r="A5925" s="3">
        <f>IFERROR(__xludf.DUMMYFUNCTION("""COMPUTED_VALUE"""),37790.666666666664)</f>
        <v>37790.66667</v>
      </c>
      <c r="B5925" s="2">
        <f>IFERROR(__xludf.DUMMYFUNCTION("""COMPUTED_VALUE"""),80.38)</f>
        <v>80.38</v>
      </c>
      <c r="C5925" s="2">
        <f>IFERROR(__xludf.DUMMYFUNCTION("""COMPUTED_VALUE"""),81.18)</f>
        <v>81.18</v>
      </c>
      <c r="D5925" s="2">
        <f>IFERROR(__xludf.DUMMYFUNCTION("""COMPUTED_VALUE"""),79.49)</f>
        <v>79.49</v>
      </c>
      <c r="E5925" s="2">
        <f>IFERROR(__xludf.DUMMYFUNCTION("""COMPUTED_VALUE"""),80.9)</f>
        <v>80.9</v>
      </c>
      <c r="F5925" s="2">
        <f>IFERROR(__xludf.DUMMYFUNCTION("""COMPUTED_VALUE"""),5942500.0)</f>
        <v>5942500</v>
      </c>
    </row>
    <row r="5926">
      <c r="A5926" s="3">
        <f>IFERROR(__xludf.DUMMYFUNCTION("""COMPUTED_VALUE"""),37791.666666666664)</f>
        <v>37791.66667</v>
      </c>
      <c r="B5926" s="2">
        <f>IFERROR(__xludf.DUMMYFUNCTION("""COMPUTED_VALUE"""),81.14)</f>
        <v>81.14</v>
      </c>
      <c r="C5926" s="2">
        <f>IFERROR(__xludf.DUMMYFUNCTION("""COMPUTED_VALUE"""),81.47)</f>
        <v>81.47</v>
      </c>
      <c r="D5926" s="2">
        <f>IFERROR(__xludf.DUMMYFUNCTION("""COMPUTED_VALUE"""),80.71)</f>
        <v>80.71</v>
      </c>
      <c r="E5926" s="2">
        <f>IFERROR(__xludf.DUMMYFUNCTION("""COMPUTED_VALUE"""),80.76)</f>
        <v>80.76</v>
      </c>
      <c r="F5926" s="2">
        <f>IFERROR(__xludf.DUMMYFUNCTION("""COMPUTED_VALUE"""),7277100.0)</f>
        <v>7277100</v>
      </c>
    </row>
    <row r="5927">
      <c r="A5927" s="3">
        <f>IFERROR(__xludf.DUMMYFUNCTION("""COMPUTED_VALUE"""),37792.666666666664)</f>
        <v>37792.66667</v>
      </c>
      <c r="B5927" s="2">
        <f>IFERROR(__xludf.DUMMYFUNCTION("""COMPUTED_VALUE"""),81.19)</f>
        <v>81.19</v>
      </c>
      <c r="C5927" s="2">
        <f>IFERROR(__xludf.DUMMYFUNCTION("""COMPUTED_VALUE"""),81.42)</f>
        <v>81.42</v>
      </c>
      <c r="D5927" s="2">
        <f>IFERROR(__xludf.DUMMYFUNCTION("""COMPUTED_VALUE"""),80.89)</f>
        <v>80.89</v>
      </c>
      <c r="E5927" s="2">
        <f>IFERROR(__xludf.DUMMYFUNCTION("""COMPUTED_VALUE"""),81.11)</f>
        <v>81.11</v>
      </c>
      <c r="F5927" s="2">
        <f>IFERROR(__xludf.DUMMYFUNCTION("""COMPUTED_VALUE"""),1.28678E7)</f>
        <v>12867800</v>
      </c>
    </row>
    <row r="5928">
      <c r="A5928" s="3">
        <f>IFERROR(__xludf.DUMMYFUNCTION("""COMPUTED_VALUE"""),37795.666666666664)</f>
        <v>37795.66667</v>
      </c>
      <c r="B5928" s="2">
        <f>IFERROR(__xludf.DUMMYFUNCTION("""COMPUTED_VALUE"""),80.99)</f>
        <v>80.99</v>
      </c>
      <c r="C5928" s="2">
        <f>IFERROR(__xludf.DUMMYFUNCTION("""COMPUTED_VALUE"""),80.99)</f>
        <v>80.99</v>
      </c>
      <c r="D5928" s="2">
        <f>IFERROR(__xludf.DUMMYFUNCTION("""COMPUTED_VALUE"""),79.25)</f>
        <v>79.25</v>
      </c>
      <c r="E5928" s="2">
        <f>IFERROR(__xludf.DUMMYFUNCTION("""COMPUTED_VALUE"""),79.45)</f>
        <v>79.45</v>
      </c>
      <c r="F5928" s="2">
        <f>IFERROR(__xludf.DUMMYFUNCTION("""COMPUTED_VALUE"""),6311600.0)</f>
        <v>6311600</v>
      </c>
    </row>
    <row r="5929">
      <c r="A5929" s="3">
        <f>IFERROR(__xludf.DUMMYFUNCTION("""COMPUTED_VALUE"""),37796.666666666664)</f>
        <v>37796.66667</v>
      </c>
      <c r="B5929" s="2">
        <f>IFERROR(__xludf.DUMMYFUNCTION("""COMPUTED_VALUE"""),79.23)</f>
        <v>79.23</v>
      </c>
      <c r="C5929" s="2">
        <f>IFERROR(__xludf.DUMMYFUNCTION("""COMPUTED_VALUE"""),80.41)</f>
        <v>80.41</v>
      </c>
      <c r="D5929" s="2">
        <f>IFERROR(__xludf.DUMMYFUNCTION("""COMPUTED_VALUE"""),79.14)</f>
        <v>79.14</v>
      </c>
      <c r="E5929" s="2">
        <f>IFERROR(__xludf.DUMMYFUNCTION("""COMPUTED_VALUE"""),79.88)</f>
        <v>79.88</v>
      </c>
      <c r="F5929" s="2">
        <f>IFERROR(__xludf.DUMMYFUNCTION("""COMPUTED_VALUE"""),5062900.0)</f>
        <v>5062900</v>
      </c>
    </row>
    <row r="5930">
      <c r="A5930" s="3">
        <f>IFERROR(__xludf.DUMMYFUNCTION("""COMPUTED_VALUE"""),37797.666666666664)</f>
        <v>37797.66667</v>
      </c>
      <c r="B5930" s="2">
        <f>IFERROR(__xludf.DUMMYFUNCTION("""COMPUTED_VALUE"""),79.8)</f>
        <v>79.8</v>
      </c>
      <c r="C5930" s="2">
        <f>IFERROR(__xludf.DUMMYFUNCTION("""COMPUTED_VALUE"""),80.39)</f>
        <v>80.39</v>
      </c>
      <c r="D5930" s="2">
        <f>IFERROR(__xludf.DUMMYFUNCTION("""COMPUTED_VALUE"""),78.41)</f>
        <v>78.41</v>
      </c>
      <c r="E5930" s="2">
        <f>IFERROR(__xludf.DUMMYFUNCTION("""COMPUTED_VALUE"""),78.79)</f>
        <v>78.79</v>
      </c>
      <c r="F5930" s="2">
        <f>IFERROR(__xludf.DUMMYFUNCTION("""COMPUTED_VALUE"""),5548000.0)</f>
        <v>5548000</v>
      </c>
    </row>
    <row r="5931">
      <c r="A5931" s="3">
        <f>IFERROR(__xludf.DUMMYFUNCTION("""COMPUTED_VALUE"""),37798.666666666664)</f>
        <v>37798.66667</v>
      </c>
      <c r="B5931" s="2">
        <f>IFERROR(__xludf.DUMMYFUNCTION("""COMPUTED_VALUE"""),79.95)</f>
        <v>79.95</v>
      </c>
      <c r="C5931" s="2">
        <f>IFERROR(__xludf.DUMMYFUNCTION("""COMPUTED_VALUE"""),80.6)</f>
        <v>80.6</v>
      </c>
      <c r="D5931" s="2">
        <f>IFERROR(__xludf.DUMMYFUNCTION("""COMPUTED_VALUE"""),79.11)</f>
        <v>79.11</v>
      </c>
      <c r="E5931" s="2">
        <f>IFERROR(__xludf.DUMMYFUNCTION("""COMPUTED_VALUE"""),80.57)</f>
        <v>80.57</v>
      </c>
      <c r="F5931" s="2">
        <f>IFERROR(__xludf.DUMMYFUNCTION("""COMPUTED_VALUE"""),6374400.0)</f>
        <v>6374400</v>
      </c>
    </row>
    <row r="5932">
      <c r="A5932" s="3">
        <f>IFERROR(__xludf.DUMMYFUNCTION("""COMPUTED_VALUE"""),37799.666666666664)</f>
        <v>37799.66667</v>
      </c>
      <c r="B5932" s="2">
        <f>IFERROR(__xludf.DUMMYFUNCTION("""COMPUTED_VALUE"""),80.38)</f>
        <v>80.38</v>
      </c>
      <c r="C5932" s="2">
        <f>IFERROR(__xludf.DUMMYFUNCTION("""COMPUTED_VALUE"""),80.85)</f>
        <v>80.85</v>
      </c>
      <c r="D5932" s="2">
        <f>IFERROR(__xludf.DUMMYFUNCTION("""COMPUTED_VALUE"""),79.49)</f>
        <v>79.49</v>
      </c>
      <c r="E5932" s="2">
        <f>IFERROR(__xludf.DUMMYFUNCTION("""COMPUTED_VALUE"""),79.68)</f>
        <v>79.68</v>
      </c>
      <c r="F5932" s="2">
        <f>IFERROR(__xludf.DUMMYFUNCTION("""COMPUTED_VALUE"""),4532900.0)</f>
        <v>4532900</v>
      </c>
    </row>
    <row r="5933">
      <c r="A5933" s="3">
        <f>IFERROR(__xludf.DUMMYFUNCTION("""COMPUTED_VALUE"""),37802.666666666664)</f>
        <v>37802.66667</v>
      </c>
      <c r="B5933" s="2">
        <f>IFERROR(__xludf.DUMMYFUNCTION("""COMPUTED_VALUE"""),80.14)</f>
        <v>80.14</v>
      </c>
      <c r="C5933" s="2">
        <f>IFERROR(__xludf.DUMMYFUNCTION("""COMPUTED_VALUE"""),80.42)</f>
        <v>80.42</v>
      </c>
      <c r="D5933" s="2">
        <f>IFERROR(__xludf.DUMMYFUNCTION("""COMPUTED_VALUE"""),78.8)</f>
        <v>78.8</v>
      </c>
      <c r="E5933" s="2">
        <f>IFERROR(__xludf.DUMMYFUNCTION("""COMPUTED_VALUE"""),78.8)</f>
        <v>78.8</v>
      </c>
      <c r="F5933" s="2">
        <f>IFERROR(__xludf.DUMMYFUNCTION("""COMPUTED_VALUE"""),1.01002E7)</f>
        <v>10100200</v>
      </c>
    </row>
    <row r="5934">
      <c r="A5934" s="3">
        <f>IFERROR(__xludf.DUMMYFUNCTION("""COMPUTED_VALUE"""),37803.666666666664)</f>
        <v>37803.66667</v>
      </c>
      <c r="B5934" s="2">
        <f>IFERROR(__xludf.DUMMYFUNCTION("""COMPUTED_VALUE"""),77.75)</f>
        <v>77.75</v>
      </c>
      <c r="C5934" s="2">
        <f>IFERROR(__xludf.DUMMYFUNCTION("""COMPUTED_VALUE"""),79.91)</f>
        <v>79.91</v>
      </c>
      <c r="D5934" s="2">
        <f>IFERROR(__xludf.DUMMYFUNCTION("""COMPUTED_VALUE"""),77.75)</f>
        <v>77.75</v>
      </c>
      <c r="E5934" s="2">
        <f>IFERROR(__xludf.DUMMYFUNCTION("""COMPUTED_VALUE"""),79.84)</f>
        <v>79.84</v>
      </c>
      <c r="F5934" s="2">
        <f>IFERROR(__xludf.DUMMYFUNCTION("""COMPUTED_VALUE"""),5785800.0)</f>
        <v>5785800</v>
      </c>
    </row>
    <row r="5935">
      <c r="A5935" s="3">
        <f>IFERROR(__xludf.DUMMYFUNCTION("""COMPUTED_VALUE"""),37804.666666666664)</f>
        <v>37804.66667</v>
      </c>
      <c r="B5935" s="2">
        <f>IFERROR(__xludf.DUMMYFUNCTION("""COMPUTED_VALUE"""),80.19)</f>
        <v>80.19</v>
      </c>
      <c r="C5935" s="2">
        <f>IFERROR(__xludf.DUMMYFUNCTION("""COMPUTED_VALUE"""),81.08)</f>
        <v>81.08</v>
      </c>
      <c r="D5935" s="2">
        <f>IFERROR(__xludf.DUMMYFUNCTION("""COMPUTED_VALUE"""),79.99)</f>
        <v>79.99</v>
      </c>
      <c r="E5935" s="2">
        <f>IFERROR(__xludf.DUMMYFUNCTION("""COMPUTED_VALUE"""),80.94)</f>
        <v>80.94</v>
      </c>
      <c r="F5935" s="2">
        <f>IFERROR(__xludf.DUMMYFUNCTION("""COMPUTED_VALUE"""),6060400.0)</f>
        <v>6060400</v>
      </c>
    </row>
    <row r="5936">
      <c r="A5936" s="3">
        <f>IFERROR(__xludf.DUMMYFUNCTION("""COMPUTED_VALUE"""),37805.666666666664)</f>
        <v>37805.66667</v>
      </c>
      <c r="B5936" s="2">
        <f>IFERROR(__xludf.DUMMYFUNCTION("""COMPUTED_VALUE"""),80.47)</f>
        <v>80.47</v>
      </c>
      <c r="C5936" s="2">
        <f>IFERROR(__xludf.DUMMYFUNCTION("""COMPUTED_VALUE"""),80.89)</f>
        <v>80.89</v>
      </c>
      <c r="D5936" s="2">
        <f>IFERROR(__xludf.DUMMYFUNCTION("""COMPUTED_VALUE"""),79.74)</f>
        <v>79.74</v>
      </c>
      <c r="E5936" s="2">
        <f>IFERROR(__xludf.DUMMYFUNCTION("""COMPUTED_VALUE"""),80.19)</f>
        <v>80.19</v>
      </c>
      <c r="F5936" s="2">
        <f>IFERROR(__xludf.DUMMYFUNCTION("""COMPUTED_VALUE"""),3009500.0)</f>
        <v>3009500</v>
      </c>
    </row>
    <row r="5937">
      <c r="A5937" s="3">
        <f>IFERROR(__xludf.DUMMYFUNCTION("""COMPUTED_VALUE"""),37809.666666666664)</f>
        <v>37809.66667</v>
      </c>
      <c r="B5937" s="2">
        <f>IFERROR(__xludf.DUMMYFUNCTION("""COMPUTED_VALUE"""),81.0)</f>
        <v>81</v>
      </c>
      <c r="C5937" s="2">
        <f>IFERROR(__xludf.DUMMYFUNCTION("""COMPUTED_VALUE"""),82.57)</f>
        <v>82.57</v>
      </c>
      <c r="D5937" s="2">
        <f>IFERROR(__xludf.DUMMYFUNCTION("""COMPUTED_VALUE"""),80.94)</f>
        <v>80.94</v>
      </c>
      <c r="E5937" s="2">
        <f>IFERROR(__xludf.DUMMYFUNCTION("""COMPUTED_VALUE"""),82.23)</f>
        <v>82.23</v>
      </c>
      <c r="F5937" s="2">
        <f>IFERROR(__xludf.DUMMYFUNCTION("""COMPUTED_VALUE"""),7508700.0)</f>
        <v>7508700</v>
      </c>
    </row>
    <row r="5938">
      <c r="A5938" s="3">
        <f>IFERROR(__xludf.DUMMYFUNCTION("""COMPUTED_VALUE"""),37810.666666666664)</f>
        <v>37810.66667</v>
      </c>
      <c r="B5938" s="2">
        <f>IFERROR(__xludf.DUMMYFUNCTION("""COMPUTED_VALUE"""),82.23)</f>
        <v>82.23</v>
      </c>
      <c r="C5938" s="2">
        <f>IFERROR(__xludf.DUMMYFUNCTION("""COMPUTED_VALUE"""),82.86)</f>
        <v>82.86</v>
      </c>
      <c r="D5938" s="2">
        <f>IFERROR(__xludf.DUMMYFUNCTION("""COMPUTED_VALUE"""),81.37)</f>
        <v>81.37</v>
      </c>
      <c r="E5938" s="2">
        <f>IFERROR(__xludf.DUMMYFUNCTION("""COMPUTED_VALUE"""),82.38)</f>
        <v>82.38</v>
      </c>
      <c r="F5938" s="2">
        <f>IFERROR(__xludf.DUMMYFUNCTION("""COMPUTED_VALUE"""),5873900.0)</f>
        <v>5873900</v>
      </c>
    </row>
    <row r="5939">
      <c r="A5939" s="3">
        <f>IFERROR(__xludf.DUMMYFUNCTION("""COMPUTED_VALUE"""),37811.666666666664)</f>
        <v>37811.66667</v>
      </c>
      <c r="B5939" s="2">
        <f>IFERROR(__xludf.DUMMYFUNCTION("""COMPUTED_VALUE"""),82.24)</f>
        <v>82.24</v>
      </c>
      <c r="C5939" s="2">
        <f>IFERROR(__xludf.DUMMYFUNCTION("""COMPUTED_VALUE"""),82.48)</f>
        <v>82.48</v>
      </c>
      <c r="D5939" s="2">
        <f>IFERROR(__xludf.DUMMYFUNCTION("""COMPUTED_VALUE"""),81.05)</f>
        <v>81.05</v>
      </c>
      <c r="E5939" s="2">
        <f>IFERROR(__xludf.DUMMYFUNCTION("""COMPUTED_VALUE"""),81.64)</f>
        <v>81.64</v>
      </c>
      <c r="F5939" s="2">
        <f>IFERROR(__xludf.DUMMYFUNCTION("""COMPUTED_VALUE"""),6726600.0)</f>
        <v>6726600</v>
      </c>
    </row>
    <row r="5940">
      <c r="A5940" s="3">
        <f>IFERROR(__xludf.DUMMYFUNCTION("""COMPUTED_VALUE"""),37812.666666666664)</f>
        <v>37812.66667</v>
      </c>
      <c r="B5940" s="2">
        <f>IFERROR(__xludf.DUMMYFUNCTION("""COMPUTED_VALUE"""),81.19)</f>
        <v>81.19</v>
      </c>
      <c r="C5940" s="2">
        <f>IFERROR(__xludf.DUMMYFUNCTION("""COMPUTED_VALUE"""),81.4)</f>
        <v>81.4</v>
      </c>
      <c r="D5940" s="2">
        <f>IFERROR(__xludf.DUMMYFUNCTION("""COMPUTED_VALUE"""),79.73)</f>
        <v>79.73</v>
      </c>
      <c r="E5940" s="2">
        <f>IFERROR(__xludf.DUMMYFUNCTION("""COMPUTED_VALUE"""),80.26)</f>
        <v>80.26</v>
      </c>
      <c r="F5940" s="2">
        <f>IFERROR(__xludf.DUMMYFUNCTION("""COMPUTED_VALUE"""),7509300.0)</f>
        <v>7509300</v>
      </c>
    </row>
    <row r="5941">
      <c r="A5941" s="3">
        <f>IFERROR(__xludf.DUMMYFUNCTION("""COMPUTED_VALUE"""),37813.666666666664)</f>
        <v>37813.66667</v>
      </c>
      <c r="B5941" s="2">
        <f>IFERROR(__xludf.DUMMYFUNCTION("""COMPUTED_VALUE"""),80.42)</f>
        <v>80.42</v>
      </c>
      <c r="C5941" s="2">
        <f>IFERROR(__xludf.DUMMYFUNCTION("""COMPUTED_VALUE"""),81.46)</f>
        <v>81.46</v>
      </c>
      <c r="D5941" s="2">
        <f>IFERROR(__xludf.DUMMYFUNCTION("""COMPUTED_VALUE"""),79.95)</f>
        <v>79.95</v>
      </c>
      <c r="E5941" s="2">
        <f>IFERROR(__xludf.DUMMYFUNCTION("""COMPUTED_VALUE"""),81.08)</f>
        <v>81.08</v>
      </c>
      <c r="F5941" s="2">
        <f>IFERROR(__xludf.DUMMYFUNCTION("""COMPUTED_VALUE"""),4534700.0)</f>
        <v>4534700</v>
      </c>
    </row>
    <row r="5942">
      <c r="A5942" s="3">
        <f>IFERROR(__xludf.DUMMYFUNCTION("""COMPUTED_VALUE"""),37816.666666666664)</f>
        <v>37816.66667</v>
      </c>
      <c r="B5942" s="2">
        <f>IFERROR(__xludf.DUMMYFUNCTION("""COMPUTED_VALUE"""),82.14)</f>
        <v>82.14</v>
      </c>
      <c r="C5942" s="2">
        <f>IFERROR(__xludf.DUMMYFUNCTION("""COMPUTED_VALUE"""),82.7)</f>
        <v>82.7</v>
      </c>
      <c r="D5942" s="2">
        <f>IFERROR(__xludf.DUMMYFUNCTION("""COMPUTED_VALUE"""),81.59)</f>
        <v>81.59</v>
      </c>
      <c r="E5942" s="2">
        <f>IFERROR(__xludf.DUMMYFUNCTION("""COMPUTED_VALUE"""),81.59)</f>
        <v>81.59</v>
      </c>
      <c r="F5942" s="2">
        <f>IFERROR(__xludf.DUMMYFUNCTION("""COMPUTED_VALUE"""),6455400.0)</f>
        <v>6455400</v>
      </c>
    </row>
    <row r="5943">
      <c r="A5943" s="3">
        <f>IFERROR(__xludf.DUMMYFUNCTION("""COMPUTED_VALUE"""),37817.666666666664)</f>
        <v>37817.66667</v>
      </c>
      <c r="B5943" s="2">
        <f>IFERROR(__xludf.DUMMYFUNCTION("""COMPUTED_VALUE"""),82.29)</f>
        <v>82.29</v>
      </c>
      <c r="C5943" s="2">
        <f>IFERROR(__xludf.DUMMYFUNCTION("""COMPUTED_VALUE"""),83.1)</f>
        <v>83.1</v>
      </c>
      <c r="D5943" s="2">
        <f>IFERROR(__xludf.DUMMYFUNCTION("""COMPUTED_VALUE"""),81.97)</f>
        <v>81.97</v>
      </c>
      <c r="E5943" s="2">
        <f>IFERROR(__xludf.DUMMYFUNCTION("""COMPUTED_VALUE"""),82.56)</f>
        <v>82.56</v>
      </c>
      <c r="F5943" s="2">
        <f>IFERROR(__xludf.DUMMYFUNCTION("""COMPUTED_VALUE"""),7912000.0)</f>
        <v>7912000</v>
      </c>
    </row>
    <row r="5944">
      <c r="A5944" s="3">
        <f>IFERROR(__xludf.DUMMYFUNCTION("""COMPUTED_VALUE"""),37818.666666666664)</f>
        <v>37818.66667</v>
      </c>
      <c r="B5944" s="2">
        <f>IFERROR(__xludf.DUMMYFUNCTION("""COMPUTED_VALUE"""),83.1)</f>
        <v>83.1</v>
      </c>
      <c r="C5944" s="2">
        <f>IFERROR(__xludf.DUMMYFUNCTION("""COMPUTED_VALUE"""),83.13)</f>
        <v>83.13</v>
      </c>
      <c r="D5944" s="2">
        <f>IFERROR(__xludf.DUMMYFUNCTION("""COMPUTED_VALUE"""),82.0)</f>
        <v>82</v>
      </c>
      <c r="E5944" s="2">
        <f>IFERROR(__xludf.DUMMYFUNCTION("""COMPUTED_VALUE"""),82.85)</f>
        <v>82.85</v>
      </c>
      <c r="F5944" s="2">
        <f>IFERROR(__xludf.DUMMYFUNCTION("""COMPUTED_VALUE"""),8848300.0)</f>
        <v>8848300</v>
      </c>
    </row>
    <row r="5945">
      <c r="A5945" s="3">
        <f>IFERROR(__xludf.DUMMYFUNCTION("""COMPUTED_VALUE"""),37819.666666666664)</f>
        <v>37819.66667</v>
      </c>
      <c r="B5945" s="2">
        <f>IFERROR(__xludf.DUMMYFUNCTION("""COMPUTED_VALUE"""),80.04)</f>
        <v>80.04</v>
      </c>
      <c r="C5945" s="2">
        <f>IFERROR(__xludf.DUMMYFUNCTION("""COMPUTED_VALUE"""),80.18)</f>
        <v>80.18</v>
      </c>
      <c r="D5945" s="2">
        <f>IFERROR(__xludf.DUMMYFUNCTION("""COMPUTED_VALUE"""),78.8)</f>
        <v>78.8</v>
      </c>
      <c r="E5945" s="2">
        <f>IFERROR(__xludf.DUMMYFUNCTION("""COMPUTED_VALUE"""),79.59)</f>
        <v>79.59</v>
      </c>
      <c r="F5945" s="2">
        <f>IFERROR(__xludf.DUMMYFUNCTION("""COMPUTED_VALUE"""),1.33674E7)</f>
        <v>13367400</v>
      </c>
    </row>
    <row r="5946">
      <c r="A5946" s="3">
        <f>IFERROR(__xludf.DUMMYFUNCTION("""COMPUTED_VALUE"""),37820.666666666664)</f>
        <v>37820.66667</v>
      </c>
      <c r="B5946" s="2">
        <f>IFERROR(__xludf.DUMMYFUNCTION("""COMPUTED_VALUE"""),80.09)</f>
        <v>80.09</v>
      </c>
      <c r="C5946" s="2">
        <f>IFERROR(__xludf.DUMMYFUNCTION("""COMPUTED_VALUE"""),80.25)</f>
        <v>80.25</v>
      </c>
      <c r="D5946" s="2">
        <f>IFERROR(__xludf.DUMMYFUNCTION("""COMPUTED_VALUE"""),79.48)</f>
        <v>79.48</v>
      </c>
      <c r="E5946" s="2">
        <f>IFERROR(__xludf.DUMMYFUNCTION("""COMPUTED_VALUE"""),79.97)</f>
        <v>79.97</v>
      </c>
      <c r="F5946" s="2">
        <f>IFERROR(__xludf.DUMMYFUNCTION("""COMPUTED_VALUE"""),8567500.0)</f>
        <v>8567500</v>
      </c>
    </row>
    <row r="5947">
      <c r="A5947" s="3">
        <f>IFERROR(__xludf.DUMMYFUNCTION("""COMPUTED_VALUE"""),37823.666666666664)</f>
        <v>37823.66667</v>
      </c>
      <c r="B5947" s="2">
        <f>IFERROR(__xludf.DUMMYFUNCTION("""COMPUTED_VALUE"""),79.47)</f>
        <v>79.47</v>
      </c>
      <c r="C5947" s="2">
        <f>IFERROR(__xludf.DUMMYFUNCTION("""COMPUTED_VALUE"""),79.69)</f>
        <v>79.69</v>
      </c>
      <c r="D5947" s="2">
        <f>IFERROR(__xludf.DUMMYFUNCTION("""COMPUTED_VALUE"""),78.52)</f>
        <v>78.52</v>
      </c>
      <c r="E5947" s="2">
        <f>IFERROR(__xludf.DUMMYFUNCTION("""COMPUTED_VALUE"""),78.8)</f>
        <v>78.8</v>
      </c>
      <c r="F5947" s="2">
        <f>IFERROR(__xludf.DUMMYFUNCTION("""COMPUTED_VALUE"""),7036100.0)</f>
        <v>7036100</v>
      </c>
    </row>
    <row r="5948">
      <c r="A5948" s="3">
        <f>IFERROR(__xludf.DUMMYFUNCTION("""COMPUTED_VALUE"""),37824.666666666664)</f>
        <v>37824.66667</v>
      </c>
      <c r="B5948" s="2">
        <f>IFERROR(__xludf.DUMMYFUNCTION("""COMPUTED_VALUE"""),78.8)</f>
        <v>78.8</v>
      </c>
      <c r="C5948" s="2">
        <f>IFERROR(__xludf.DUMMYFUNCTION("""COMPUTED_VALUE"""),79.53)</f>
        <v>79.53</v>
      </c>
      <c r="D5948" s="2">
        <f>IFERROR(__xludf.DUMMYFUNCTION("""COMPUTED_VALUE"""),77.86)</f>
        <v>77.86</v>
      </c>
      <c r="E5948" s="2">
        <f>IFERROR(__xludf.DUMMYFUNCTION("""COMPUTED_VALUE"""),78.18)</f>
        <v>78.18</v>
      </c>
      <c r="F5948" s="2">
        <f>IFERROR(__xludf.DUMMYFUNCTION("""COMPUTED_VALUE"""),8744300.0)</f>
        <v>8744300</v>
      </c>
    </row>
    <row r="5949">
      <c r="A5949" s="3">
        <f>IFERROR(__xludf.DUMMYFUNCTION("""COMPUTED_VALUE"""),37825.666666666664)</f>
        <v>37825.66667</v>
      </c>
      <c r="B5949" s="2">
        <f>IFERROR(__xludf.DUMMYFUNCTION("""COMPUTED_VALUE"""),78.32)</f>
        <v>78.32</v>
      </c>
      <c r="C5949" s="2">
        <f>IFERROR(__xludf.DUMMYFUNCTION("""COMPUTED_VALUE"""),79.06)</f>
        <v>79.06</v>
      </c>
      <c r="D5949" s="2">
        <f>IFERROR(__xludf.DUMMYFUNCTION("""COMPUTED_VALUE"""),78.07)</f>
        <v>78.07</v>
      </c>
      <c r="E5949" s="2">
        <f>IFERROR(__xludf.DUMMYFUNCTION("""COMPUTED_VALUE"""),78.61)</f>
        <v>78.61</v>
      </c>
      <c r="F5949" s="2">
        <f>IFERROR(__xludf.DUMMYFUNCTION("""COMPUTED_VALUE"""),5326800.0)</f>
        <v>5326800</v>
      </c>
    </row>
    <row r="5950">
      <c r="A5950" s="3">
        <f>IFERROR(__xludf.DUMMYFUNCTION("""COMPUTED_VALUE"""),37826.666666666664)</f>
        <v>37826.66667</v>
      </c>
      <c r="B5950" s="2">
        <f>IFERROR(__xludf.DUMMYFUNCTION("""COMPUTED_VALUE"""),79.23)</f>
        <v>79.23</v>
      </c>
      <c r="C5950" s="2">
        <f>IFERROR(__xludf.DUMMYFUNCTION("""COMPUTED_VALUE"""),79.27)</f>
        <v>79.27</v>
      </c>
      <c r="D5950" s="2">
        <f>IFERROR(__xludf.DUMMYFUNCTION("""COMPUTED_VALUE"""),77.86)</f>
        <v>77.86</v>
      </c>
      <c r="E5950" s="2">
        <f>IFERROR(__xludf.DUMMYFUNCTION("""COMPUTED_VALUE"""),77.86)</f>
        <v>77.86</v>
      </c>
      <c r="F5950" s="2">
        <f>IFERROR(__xludf.DUMMYFUNCTION("""COMPUTED_VALUE"""),5858600.0)</f>
        <v>5858600</v>
      </c>
    </row>
    <row r="5951">
      <c r="A5951" s="3">
        <f>IFERROR(__xludf.DUMMYFUNCTION("""COMPUTED_VALUE"""),37827.666666666664)</f>
        <v>37827.66667</v>
      </c>
      <c r="B5951" s="2">
        <f>IFERROR(__xludf.DUMMYFUNCTION("""COMPUTED_VALUE"""),77.94)</f>
        <v>77.94</v>
      </c>
      <c r="C5951" s="2">
        <f>IFERROR(__xludf.DUMMYFUNCTION("""COMPUTED_VALUE"""),79.99)</f>
        <v>79.99</v>
      </c>
      <c r="D5951" s="2">
        <f>IFERROR(__xludf.DUMMYFUNCTION("""COMPUTED_VALUE"""),77.91)</f>
        <v>77.91</v>
      </c>
      <c r="E5951" s="2">
        <f>IFERROR(__xludf.DUMMYFUNCTION("""COMPUTED_VALUE"""),79.8)</f>
        <v>79.8</v>
      </c>
      <c r="F5951" s="2">
        <f>IFERROR(__xludf.DUMMYFUNCTION("""COMPUTED_VALUE"""),6207200.0)</f>
        <v>6207200</v>
      </c>
    </row>
    <row r="5952">
      <c r="A5952" s="3">
        <f>IFERROR(__xludf.DUMMYFUNCTION("""COMPUTED_VALUE"""),37830.666666666664)</f>
        <v>37830.66667</v>
      </c>
      <c r="B5952" s="2">
        <f>IFERROR(__xludf.DUMMYFUNCTION("""COMPUTED_VALUE"""),79.92)</f>
        <v>79.92</v>
      </c>
      <c r="C5952" s="2">
        <f>IFERROR(__xludf.DUMMYFUNCTION("""COMPUTED_VALUE"""),79.95)</f>
        <v>79.95</v>
      </c>
      <c r="D5952" s="2">
        <f>IFERROR(__xludf.DUMMYFUNCTION("""COMPUTED_VALUE"""),78.36)</f>
        <v>78.36</v>
      </c>
      <c r="E5952" s="2">
        <f>IFERROR(__xludf.DUMMYFUNCTION("""COMPUTED_VALUE"""),78.84)</f>
        <v>78.84</v>
      </c>
      <c r="F5952" s="2">
        <f>IFERROR(__xludf.DUMMYFUNCTION("""COMPUTED_VALUE"""),6423500.0)</f>
        <v>6423500</v>
      </c>
    </row>
    <row r="5953">
      <c r="A5953" s="3">
        <f>IFERROR(__xludf.DUMMYFUNCTION("""COMPUTED_VALUE"""),37831.666666666664)</f>
        <v>37831.66667</v>
      </c>
      <c r="B5953" s="2">
        <f>IFERROR(__xludf.DUMMYFUNCTION("""COMPUTED_VALUE"""),78.85)</f>
        <v>78.85</v>
      </c>
      <c r="C5953" s="2">
        <f>IFERROR(__xludf.DUMMYFUNCTION("""COMPUTED_VALUE"""),79.16)</f>
        <v>79.16</v>
      </c>
      <c r="D5953" s="2">
        <f>IFERROR(__xludf.DUMMYFUNCTION("""COMPUTED_VALUE"""),77.94)</f>
        <v>77.94</v>
      </c>
      <c r="E5953" s="2">
        <f>IFERROR(__xludf.DUMMYFUNCTION("""COMPUTED_VALUE"""),78.13)</f>
        <v>78.13</v>
      </c>
      <c r="F5953" s="2">
        <f>IFERROR(__xludf.DUMMYFUNCTION("""COMPUTED_VALUE"""),7282700.0)</f>
        <v>7282700</v>
      </c>
    </row>
    <row r="5954">
      <c r="A5954" s="3">
        <f>IFERROR(__xludf.DUMMYFUNCTION("""COMPUTED_VALUE"""),37832.666666666664)</f>
        <v>37832.66667</v>
      </c>
      <c r="B5954" s="2">
        <f>IFERROR(__xludf.DUMMYFUNCTION("""COMPUTED_VALUE"""),78.75)</f>
        <v>78.75</v>
      </c>
      <c r="C5954" s="2">
        <f>IFERROR(__xludf.DUMMYFUNCTION("""COMPUTED_VALUE"""),78.75)</f>
        <v>78.75</v>
      </c>
      <c r="D5954" s="2">
        <f>IFERROR(__xludf.DUMMYFUNCTION("""COMPUTED_VALUE"""),76.97)</f>
        <v>76.97</v>
      </c>
      <c r="E5954" s="2">
        <f>IFERROR(__xludf.DUMMYFUNCTION("""COMPUTED_VALUE"""),77.33)</f>
        <v>77.33</v>
      </c>
      <c r="F5954" s="2">
        <f>IFERROR(__xludf.DUMMYFUNCTION("""COMPUTED_VALUE"""),6654600.0)</f>
        <v>6654600</v>
      </c>
    </row>
    <row r="5955">
      <c r="A5955" s="3">
        <f>IFERROR(__xludf.DUMMYFUNCTION("""COMPUTED_VALUE"""),37833.666666666664)</f>
        <v>37833.66667</v>
      </c>
      <c r="B5955" s="2">
        <f>IFERROR(__xludf.DUMMYFUNCTION("""COMPUTED_VALUE"""),78.13)</f>
        <v>78.13</v>
      </c>
      <c r="C5955" s="2">
        <f>IFERROR(__xludf.DUMMYFUNCTION("""COMPUTED_VALUE"""),78.84)</f>
        <v>78.84</v>
      </c>
      <c r="D5955" s="2">
        <f>IFERROR(__xludf.DUMMYFUNCTION("""COMPUTED_VALUE"""),77.46)</f>
        <v>77.46</v>
      </c>
      <c r="E5955" s="2">
        <f>IFERROR(__xludf.DUMMYFUNCTION("""COMPUTED_VALUE"""),77.61)</f>
        <v>77.61</v>
      </c>
      <c r="F5955" s="2">
        <f>IFERROR(__xludf.DUMMYFUNCTION("""COMPUTED_VALUE"""),8051400.0)</f>
        <v>8051400</v>
      </c>
    </row>
    <row r="5956">
      <c r="A5956" s="3">
        <f>IFERROR(__xludf.DUMMYFUNCTION("""COMPUTED_VALUE"""),37834.666666666664)</f>
        <v>37834.66667</v>
      </c>
      <c r="B5956" s="2">
        <f>IFERROR(__xludf.DUMMYFUNCTION("""COMPUTED_VALUE"""),77.51)</f>
        <v>77.51</v>
      </c>
      <c r="C5956" s="2">
        <f>IFERROR(__xludf.DUMMYFUNCTION("""COMPUTED_VALUE"""),77.63)</f>
        <v>77.63</v>
      </c>
      <c r="D5956" s="2">
        <f>IFERROR(__xludf.DUMMYFUNCTION("""COMPUTED_VALUE"""),76.46)</f>
        <v>76.46</v>
      </c>
      <c r="E5956" s="2">
        <f>IFERROR(__xludf.DUMMYFUNCTION("""COMPUTED_VALUE"""),77.63)</f>
        <v>77.63</v>
      </c>
      <c r="F5956" s="2">
        <f>IFERROR(__xludf.DUMMYFUNCTION("""COMPUTED_VALUE"""),6476300.0)</f>
        <v>6476300</v>
      </c>
    </row>
    <row r="5957">
      <c r="A5957" s="3">
        <f>IFERROR(__xludf.DUMMYFUNCTION("""COMPUTED_VALUE"""),37837.666666666664)</f>
        <v>37837.66667</v>
      </c>
      <c r="B5957" s="2">
        <f>IFERROR(__xludf.DUMMYFUNCTION("""COMPUTED_VALUE"""),77.13)</f>
        <v>77.13</v>
      </c>
      <c r="C5957" s="2">
        <f>IFERROR(__xludf.DUMMYFUNCTION("""COMPUTED_VALUE"""),77.71)</f>
        <v>77.71</v>
      </c>
      <c r="D5957" s="2">
        <f>IFERROR(__xludf.DUMMYFUNCTION("""COMPUTED_VALUE"""),76.47)</f>
        <v>76.47</v>
      </c>
      <c r="E5957" s="2">
        <f>IFERROR(__xludf.DUMMYFUNCTION("""COMPUTED_VALUE"""),77.49)</f>
        <v>77.49</v>
      </c>
      <c r="F5957" s="2">
        <f>IFERROR(__xludf.DUMMYFUNCTION("""COMPUTED_VALUE"""),5888700.0)</f>
        <v>5888700</v>
      </c>
    </row>
    <row r="5958">
      <c r="A5958" s="3">
        <f>IFERROR(__xludf.DUMMYFUNCTION("""COMPUTED_VALUE"""),37838.666666666664)</f>
        <v>37838.66667</v>
      </c>
      <c r="B5958" s="2">
        <f>IFERROR(__xludf.DUMMYFUNCTION("""COMPUTED_VALUE"""),77.49)</f>
        <v>77.49</v>
      </c>
      <c r="C5958" s="2">
        <f>IFERROR(__xludf.DUMMYFUNCTION("""COMPUTED_VALUE"""),77.68)</f>
        <v>77.68</v>
      </c>
      <c r="D5958" s="2">
        <f>IFERROR(__xludf.DUMMYFUNCTION("""COMPUTED_VALUE"""),76.22)</f>
        <v>76.22</v>
      </c>
      <c r="E5958" s="2">
        <f>IFERROR(__xludf.DUMMYFUNCTION("""COMPUTED_VALUE"""),76.27)</f>
        <v>76.27</v>
      </c>
      <c r="F5958" s="2">
        <f>IFERROR(__xludf.DUMMYFUNCTION("""COMPUTED_VALUE"""),7024700.0)</f>
        <v>7024700</v>
      </c>
    </row>
    <row r="5959">
      <c r="A5959" s="3">
        <f>IFERROR(__xludf.DUMMYFUNCTION("""COMPUTED_VALUE"""),37839.666666666664)</f>
        <v>37839.66667</v>
      </c>
      <c r="B5959" s="2">
        <f>IFERROR(__xludf.DUMMYFUNCTION("""COMPUTED_VALUE"""),76.13)</f>
        <v>76.13</v>
      </c>
      <c r="C5959" s="2">
        <f>IFERROR(__xludf.DUMMYFUNCTION("""COMPUTED_VALUE"""),77.06)</f>
        <v>77.06</v>
      </c>
      <c r="D5959" s="2">
        <f>IFERROR(__xludf.DUMMYFUNCTION("""COMPUTED_VALUE"""),75.2)</f>
        <v>75.2</v>
      </c>
      <c r="E5959" s="2">
        <f>IFERROR(__xludf.DUMMYFUNCTION("""COMPUTED_VALUE"""),76.17)</f>
        <v>76.17</v>
      </c>
      <c r="F5959" s="2">
        <f>IFERROR(__xludf.DUMMYFUNCTION("""COMPUTED_VALUE"""),7472900.0)</f>
        <v>7472900</v>
      </c>
    </row>
    <row r="5960">
      <c r="A5960" s="3">
        <f>IFERROR(__xludf.DUMMYFUNCTION("""COMPUTED_VALUE"""),37840.666666666664)</f>
        <v>37840.66667</v>
      </c>
      <c r="B5960" s="2">
        <f>IFERROR(__xludf.DUMMYFUNCTION("""COMPUTED_VALUE"""),76.12)</f>
        <v>76.12</v>
      </c>
      <c r="C5960" s="2">
        <f>IFERROR(__xludf.DUMMYFUNCTION("""COMPUTED_VALUE"""),77.2)</f>
        <v>77.2</v>
      </c>
      <c r="D5960" s="2">
        <f>IFERROR(__xludf.DUMMYFUNCTION("""COMPUTED_VALUE"""),75.82)</f>
        <v>75.82</v>
      </c>
      <c r="E5960" s="2">
        <f>IFERROR(__xludf.DUMMYFUNCTION("""COMPUTED_VALUE"""),77.07)</f>
        <v>77.07</v>
      </c>
      <c r="F5960" s="2">
        <f>IFERROR(__xludf.DUMMYFUNCTION("""COMPUTED_VALUE"""),5298500.0)</f>
        <v>5298500</v>
      </c>
    </row>
    <row r="5961">
      <c r="A5961" s="3">
        <f>IFERROR(__xludf.DUMMYFUNCTION("""COMPUTED_VALUE"""),37841.666666666664)</f>
        <v>37841.66667</v>
      </c>
      <c r="B5961" s="2">
        <f>IFERROR(__xludf.DUMMYFUNCTION("""COMPUTED_VALUE"""),77.42)</f>
        <v>77.42</v>
      </c>
      <c r="C5961" s="2">
        <f>IFERROR(__xludf.DUMMYFUNCTION("""COMPUTED_VALUE"""),77.63)</f>
        <v>77.63</v>
      </c>
      <c r="D5961" s="2">
        <f>IFERROR(__xludf.DUMMYFUNCTION("""COMPUTED_VALUE"""),76.75)</f>
        <v>76.75</v>
      </c>
      <c r="E5961" s="2">
        <f>IFERROR(__xludf.DUMMYFUNCTION("""COMPUTED_VALUE"""),77.25)</f>
        <v>77.25</v>
      </c>
      <c r="F5961" s="2">
        <f>IFERROR(__xludf.DUMMYFUNCTION("""COMPUTED_VALUE"""),4615600.0)</f>
        <v>4615600</v>
      </c>
    </row>
    <row r="5962">
      <c r="A5962" s="3">
        <f>IFERROR(__xludf.DUMMYFUNCTION("""COMPUTED_VALUE"""),37844.666666666664)</f>
        <v>37844.66667</v>
      </c>
      <c r="B5962" s="2">
        <f>IFERROR(__xludf.DUMMYFUNCTION("""COMPUTED_VALUE"""),77.24)</f>
        <v>77.24</v>
      </c>
      <c r="C5962" s="2">
        <f>IFERROR(__xludf.DUMMYFUNCTION("""COMPUTED_VALUE"""),77.85)</f>
        <v>77.85</v>
      </c>
      <c r="D5962" s="2">
        <f>IFERROR(__xludf.DUMMYFUNCTION("""COMPUTED_VALUE"""),76.68)</f>
        <v>76.68</v>
      </c>
      <c r="E5962" s="2">
        <f>IFERROR(__xludf.DUMMYFUNCTION("""COMPUTED_VALUE"""),77.39)</f>
        <v>77.39</v>
      </c>
      <c r="F5962" s="2">
        <f>IFERROR(__xludf.DUMMYFUNCTION("""COMPUTED_VALUE"""),4262200.0)</f>
        <v>4262200</v>
      </c>
    </row>
    <row r="5963">
      <c r="A5963" s="3">
        <f>IFERROR(__xludf.DUMMYFUNCTION("""COMPUTED_VALUE"""),37845.666666666664)</f>
        <v>37845.66667</v>
      </c>
      <c r="B5963" s="2">
        <f>IFERROR(__xludf.DUMMYFUNCTION("""COMPUTED_VALUE"""),77.8)</f>
        <v>77.8</v>
      </c>
      <c r="C5963" s="2">
        <f>IFERROR(__xludf.DUMMYFUNCTION("""COMPUTED_VALUE"""),77.88)</f>
        <v>77.88</v>
      </c>
      <c r="D5963" s="2">
        <f>IFERROR(__xludf.DUMMYFUNCTION("""COMPUTED_VALUE"""),77.03)</f>
        <v>77.03</v>
      </c>
      <c r="E5963" s="2">
        <f>IFERROR(__xludf.DUMMYFUNCTION("""COMPUTED_VALUE"""),77.86)</f>
        <v>77.86</v>
      </c>
      <c r="F5963" s="2">
        <f>IFERROR(__xludf.DUMMYFUNCTION("""COMPUTED_VALUE"""),4634200.0)</f>
        <v>4634200</v>
      </c>
    </row>
    <row r="5964">
      <c r="A5964" s="3">
        <f>IFERROR(__xludf.DUMMYFUNCTION("""COMPUTED_VALUE"""),37846.666666666664)</f>
        <v>37846.66667</v>
      </c>
      <c r="B5964" s="2">
        <f>IFERROR(__xludf.DUMMYFUNCTION("""COMPUTED_VALUE"""),77.99)</f>
        <v>77.99</v>
      </c>
      <c r="C5964" s="2">
        <f>IFERROR(__xludf.DUMMYFUNCTION("""COMPUTED_VALUE"""),78.5)</f>
        <v>78.5</v>
      </c>
      <c r="D5964" s="2">
        <f>IFERROR(__xludf.DUMMYFUNCTION("""COMPUTED_VALUE"""),76.97)</f>
        <v>76.97</v>
      </c>
      <c r="E5964" s="2">
        <f>IFERROR(__xludf.DUMMYFUNCTION("""COMPUTED_VALUE"""),77.56)</f>
        <v>77.56</v>
      </c>
      <c r="F5964" s="2">
        <f>IFERROR(__xludf.DUMMYFUNCTION("""COMPUTED_VALUE"""),5138400.0)</f>
        <v>5138400</v>
      </c>
    </row>
    <row r="5965">
      <c r="A5965" s="3">
        <f>IFERROR(__xludf.DUMMYFUNCTION("""COMPUTED_VALUE"""),37847.666666666664)</f>
        <v>37847.66667</v>
      </c>
      <c r="B5965" s="2">
        <f>IFERROR(__xludf.DUMMYFUNCTION("""COMPUTED_VALUE"""),77.37)</f>
        <v>77.37</v>
      </c>
      <c r="C5965" s="2">
        <f>IFERROR(__xludf.DUMMYFUNCTION("""COMPUTED_VALUE"""),78.08)</f>
        <v>78.08</v>
      </c>
      <c r="D5965" s="2">
        <f>IFERROR(__xludf.DUMMYFUNCTION("""COMPUTED_VALUE"""),77.07)</f>
        <v>77.07</v>
      </c>
      <c r="E5965" s="2">
        <f>IFERROR(__xludf.DUMMYFUNCTION("""COMPUTED_VALUE"""),77.9)</f>
        <v>77.9</v>
      </c>
      <c r="F5965" s="2">
        <f>IFERROR(__xludf.DUMMYFUNCTION("""COMPUTED_VALUE"""),4538100.0)</f>
        <v>4538100</v>
      </c>
    </row>
    <row r="5966">
      <c r="A5966" s="3">
        <f>IFERROR(__xludf.DUMMYFUNCTION("""COMPUTED_VALUE"""),37848.666666666664)</f>
        <v>37848.66667</v>
      </c>
      <c r="B5966" s="2">
        <f>IFERROR(__xludf.DUMMYFUNCTION("""COMPUTED_VALUE"""),78.13)</f>
        <v>78.13</v>
      </c>
      <c r="C5966" s="2">
        <f>IFERROR(__xludf.DUMMYFUNCTION("""COMPUTED_VALUE"""),78.3)</f>
        <v>78.3</v>
      </c>
      <c r="D5966" s="2">
        <f>IFERROR(__xludf.DUMMYFUNCTION("""COMPUTED_VALUE"""),77.56)</f>
        <v>77.56</v>
      </c>
      <c r="E5966" s="2">
        <f>IFERROR(__xludf.DUMMYFUNCTION("""COMPUTED_VALUE"""),78.12)</f>
        <v>78.12</v>
      </c>
      <c r="F5966" s="2">
        <f>IFERROR(__xludf.DUMMYFUNCTION("""COMPUTED_VALUE"""),3623600.0)</f>
        <v>3623600</v>
      </c>
    </row>
    <row r="5967">
      <c r="A5967" s="3">
        <f>IFERROR(__xludf.DUMMYFUNCTION("""COMPUTED_VALUE"""),37851.666666666664)</f>
        <v>37851.66667</v>
      </c>
      <c r="B5967" s="2">
        <f>IFERROR(__xludf.DUMMYFUNCTION("""COMPUTED_VALUE"""),78.37)</f>
        <v>78.37</v>
      </c>
      <c r="C5967" s="2">
        <f>IFERROR(__xludf.DUMMYFUNCTION("""COMPUTED_VALUE"""),79.93)</f>
        <v>79.93</v>
      </c>
      <c r="D5967" s="2">
        <f>IFERROR(__xludf.DUMMYFUNCTION("""COMPUTED_VALUE"""),78.23)</f>
        <v>78.23</v>
      </c>
      <c r="E5967" s="2">
        <f>IFERROR(__xludf.DUMMYFUNCTION("""COMPUTED_VALUE"""),79.78)</f>
        <v>79.78</v>
      </c>
      <c r="F5967" s="2">
        <f>IFERROR(__xludf.DUMMYFUNCTION("""COMPUTED_VALUE"""),6847800.0)</f>
        <v>6847800</v>
      </c>
    </row>
    <row r="5968">
      <c r="A5968" s="3">
        <f>IFERROR(__xludf.DUMMYFUNCTION("""COMPUTED_VALUE"""),37852.666666666664)</f>
        <v>37852.66667</v>
      </c>
      <c r="B5968" s="2">
        <f>IFERROR(__xludf.DUMMYFUNCTION("""COMPUTED_VALUE"""),79.99)</f>
        <v>79.99</v>
      </c>
      <c r="C5968" s="2">
        <f>IFERROR(__xludf.DUMMYFUNCTION("""COMPUTED_VALUE"""),80.05)</f>
        <v>80.05</v>
      </c>
      <c r="D5968" s="2">
        <f>IFERROR(__xludf.DUMMYFUNCTION("""COMPUTED_VALUE"""),78.86)</f>
        <v>78.86</v>
      </c>
      <c r="E5968" s="2">
        <f>IFERROR(__xludf.DUMMYFUNCTION("""COMPUTED_VALUE"""),79.46)</f>
        <v>79.46</v>
      </c>
      <c r="F5968" s="2">
        <f>IFERROR(__xludf.DUMMYFUNCTION("""COMPUTED_VALUE"""),6319100.0)</f>
        <v>6319100</v>
      </c>
    </row>
    <row r="5969">
      <c r="A5969" s="3">
        <f>IFERROR(__xludf.DUMMYFUNCTION("""COMPUTED_VALUE"""),37853.666666666664)</f>
        <v>37853.66667</v>
      </c>
      <c r="B5969" s="2">
        <f>IFERROR(__xludf.DUMMYFUNCTION("""COMPUTED_VALUE"""),79.09)</f>
        <v>79.09</v>
      </c>
      <c r="C5969" s="2">
        <f>IFERROR(__xludf.DUMMYFUNCTION("""COMPUTED_VALUE"""),79.57)</f>
        <v>79.57</v>
      </c>
      <c r="D5969" s="2">
        <f>IFERROR(__xludf.DUMMYFUNCTION("""COMPUTED_VALUE"""),78.32)</f>
        <v>78.32</v>
      </c>
      <c r="E5969" s="2">
        <f>IFERROR(__xludf.DUMMYFUNCTION("""COMPUTED_VALUE"""),79.33)</f>
        <v>79.33</v>
      </c>
      <c r="F5969" s="2">
        <f>IFERROR(__xludf.DUMMYFUNCTION("""COMPUTED_VALUE"""),4829900.0)</f>
        <v>4829900</v>
      </c>
    </row>
    <row r="5970">
      <c r="A5970" s="3">
        <f>IFERROR(__xludf.DUMMYFUNCTION("""COMPUTED_VALUE"""),37854.666666666664)</f>
        <v>37854.66667</v>
      </c>
      <c r="B5970" s="2">
        <f>IFERROR(__xludf.DUMMYFUNCTION("""COMPUTED_VALUE"""),79.65)</f>
        <v>79.65</v>
      </c>
      <c r="C5970" s="2">
        <f>IFERROR(__xludf.DUMMYFUNCTION("""COMPUTED_VALUE"""),80.09)</f>
        <v>80.09</v>
      </c>
      <c r="D5970" s="2">
        <f>IFERROR(__xludf.DUMMYFUNCTION("""COMPUTED_VALUE"""),79.14)</f>
        <v>79.14</v>
      </c>
      <c r="E5970" s="2">
        <f>IFERROR(__xludf.DUMMYFUNCTION("""COMPUTED_VALUE"""),79.14)</f>
        <v>79.14</v>
      </c>
      <c r="F5970" s="2">
        <f>IFERROR(__xludf.DUMMYFUNCTION("""COMPUTED_VALUE"""),5185200.0)</f>
        <v>5185200</v>
      </c>
    </row>
    <row r="5971">
      <c r="A5971" s="3">
        <f>IFERROR(__xludf.DUMMYFUNCTION("""COMPUTED_VALUE"""),37855.666666666664)</f>
        <v>37855.66667</v>
      </c>
      <c r="B5971" s="2">
        <f>IFERROR(__xludf.DUMMYFUNCTION("""COMPUTED_VALUE"""),79.76)</f>
        <v>79.76</v>
      </c>
      <c r="C5971" s="2">
        <f>IFERROR(__xludf.DUMMYFUNCTION("""COMPUTED_VALUE"""),80.92)</f>
        <v>80.92</v>
      </c>
      <c r="D5971" s="2">
        <f>IFERROR(__xludf.DUMMYFUNCTION("""COMPUTED_VALUE"""),79.24)</f>
        <v>79.24</v>
      </c>
      <c r="E5971" s="2">
        <f>IFERROR(__xludf.DUMMYFUNCTION("""COMPUTED_VALUE"""),79.25)</f>
        <v>79.25</v>
      </c>
      <c r="F5971" s="2">
        <f>IFERROR(__xludf.DUMMYFUNCTION("""COMPUTED_VALUE"""),7434900.0)</f>
        <v>7434900</v>
      </c>
    </row>
    <row r="5972">
      <c r="A5972" s="3">
        <f>IFERROR(__xludf.DUMMYFUNCTION("""COMPUTED_VALUE"""),37858.666666666664)</f>
        <v>37858.66667</v>
      </c>
      <c r="B5972" s="2">
        <f>IFERROR(__xludf.DUMMYFUNCTION("""COMPUTED_VALUE"""),79.14)</f>
        <v>79.14</v>
      </c>
      <c r="C5972" s="2">
        <f>IFERROR(__xludf.DUMMYFUNCTION("""COMPUTED_VALUE"""),79.31)</f>
        <v>79.31</v>
      </c>
      <c r="D5972" s="2">
        <f>IFERROR(__xludf.DUMMYFUNCTION("""COMPUTED_VALUE"""),78.08)</f>
        <v>78.08</v>
      </c>
      <c r="E5972" s="2">
        <f>IFERROR(__xludf.DUMMYFUNCTION("""COMPUTED_VALUE"""),78.29)</f>
        <v>78.29</v>
      </c>
      <c r="F5972" s="2">
        <f>IFERROR(__xludf.DUMMYFUNCTION("""COMPUTED_VALUE"""),5151400.0)</f>
        <v>5151400</v>
      </c>
    </row>
    <row r="5973">
      <c r="A5973" s="3">
        <f>IFERROR(__xludf.DUMMYFUNCTION("""COMPUTED_VALUE"""),37859.666666666664)</f>
        <v>37859.66667</v>
      </c>
      <c r="B5973" s="2">
        <f>IFERROR(__xludf.DUMMYFUNCTION("""COMPUTED_VALUE"""),77.99)</f>
        <v>77.99</v>
      </c>
      <c r="C5973" s="2">
        <f>IFERROR(__xludf.DUMMYFUNCTION("""COMPUTED_VALUE"""),78.84)</f>
        <v>78.84</v>
      </c>
      <c r="D5973" s="2">
        <f>IFERROR(__xludf.DUMMYFUNCTION("""COMPUTED_VALUE"""),77.63)</f>
        <v>77.63</v>
      </c>
      <c r="E5973" s="2">
        <f>IFERROR(__xludf.DUMMYFUNCTION("""COMPUTED_VALUE"""),78.8)</f>
        <v>78.8</v>
      </c>
      <c r="F5973" s="2">
        <f>IFERROR(__xludf.DUMMYFUNCTION("""COMPUTED_VALUE"""),5569600.0)</f>
        <v>5569600</v>
      </c>
    </row>
    <row r="5974">
      <c r="A5974" s="3">
        <f>IFERROR(__xludf.DUMMYFUNCTION("""COMPUTED_VALUE"""),37860.666666666664)</f>
        <v>37860.66667</v>
      </c>
      <c r="B5974" s="2">
        <f>IFERROR(__xludf.DUMMYFUNCTION("""COMPUTED_VALUE"""),78.32)</f>
        <v>78.32</v>
      </c>
      <c r="C5974" s="2">
        <f>IFERROR(__xludf.DUMMYFUNCTION("""COMPUTED_VALUE"""),78.83)</f>
        <v>78.83</v>
      </c>
      <c r="D5974" s="2">
        <f>IFERROR(__xludf.DUMMYFUNCTION("""COMPUTED_VALUE"""),78.23)</f>
        <v>78.23</v>
      </c>
      <c r="E5974" s="2">
        <f>IFERROR(__xludf.DUMMYFUNCTION("""COMPUTED_VALUE"""),78.32)</f>
        <v>78.32</v>
      </c>
      <c r="F5974" s="2">
        <f>IFERROR(__xludf.DUMMYFUNCTION("""COMPUTED_VALUE"""),3789200.0)</f>
        <v>3789200</v>
      </c>
    </row>
    <row r="5975">
      <c r="A5975" s="3">
        <f>IFERROR(__xludf.DUMMYFUNCTION("""COMPUTED_VALUE"""),37861.666666666664)</f>
        <v>37861.66667</v>
      </c>
      <c r="B5975" s="2">
        <f>IFERROR(__xludf.DUMMYFUNCTION("""COMPUTED_VALUE"""),78.32)</f>
        <v>78.32</v>
      </c>
      <c r="C5975" s="2">
        <f>IFERROR(__xludf.DUMMYFUNCTION("""COMPUTED_VALUE"""),78.65)</f>
        <v>78.65</v>
      </c>
      <c r="D5975" s="2">
        <f>IFERROR(__xludf.DUMMYFUNCTION("""COMPUTED_VALUE"""),77.63)</f>
        <v>77.63</v>
      </c>
      <c r="E5975" s="2">
        <f>IFERROR(__xludf.DUMMYFUNCTION("""COMPUTED_VALUE"""),78.23)</f>
        <v>78.23</v>
      </c>
      <c r="F5975" s="2">
        <f>IFERROR(__xludf.DUMMYFUNCTION("""COMPUTED_VALUE"""),5516300.0)</f>
        <v>5516300</v>
      </c>
    </row>
    <row r="5976">
      <c r="A5976" s="3">
        <f>IFERROR(__xludf.DUMMYFUNCTION("""COMPUTED_VALUE"""),37862.666666666664)</f>
        <v>37862.66667</v>
      </c>
      <c r="B5976" s="2">
        <f>IFERROR(__xludf.DUMMYFUNCTION("""COMPUTED_VALUE"""),78.28)</f>
        <v>78.28</v>
      </c>
      <c r="C5976" s="2">
        <f>IFERROR(__xludf.DUMMYFUNCTION("""COMPUTED_VALUE"""),78.43)</f>
        <v>78.43</v>
      </c>
      <c r="D5976" s="2">
        <f>IFERROR(__xludf.DUMMYFUNCTION("""COMPUTED_VALUE"""),77.9)</f>
        <v>77.9</v>
      </c>
      <c r="E5976" s="2">
        <f>IFERROR(__xludf.DUMMYFUNCTION("""COMPUTED_VALUE"""),78.33)</f>
        <v>78.33</v>
      </c>
      <c r="F5976" s="2">
        <f>IFERROR(__xludf.DUMMYFUNCTION("""COMPUTED_VALUE"""),4223600.0)</f>
        <v>4223600</v>
      </c>
    </row>
    <row r="5977">
      <c r="A5977" s="3">
        <f>IFERROR(__xludf.DUMMYFUNCTION("""COMPUTED_VALUE"""),37866.666666666664)</f>
        <v>37866.66667</v>
      </c>
      <c r="B5977" s="2">
        <f>IFERROR(__xludf.DUMMYFUNCTION("""COMPUTED_VALUE"""),78.71)</f>
        <v>78.71</v>
      </c>
      <c r="C5977" s="2">
        <f>IFERROR(__xludf.DUMMYFUNCTION("""COMPUTED_VALUE"""),82.11)</f>
        <v>82.11</v>
      </c>
      <c r="D5977" s="2">
        <f>IFERROR(__xludf.DUMMYFUNCTION("""COMPUTED_VALUE"""),78.61)</f>
        <v>78.61</v>
      </c>
      <c r="E5977" s="2">
        <f>IFERROR(__xludf.DUMMYFUNCTION("""COMPUTED_VALUE"""),81.91)</f>
        <v>81.91</v>
      </c>
      <c r="F5977" s="2">
        <f>IFERROR(__xludf.DUMMYFUNCTION("""COMPUTED_VALUE"""),1.24254E7)</f>
        <v>12425400</v>
      </c>
    </row>
    <row r="5978">
      <c r="A5978" s="3">
        <f>IFERROR(__xludf.DUMMYFUNCTION("""COMPUTED_VALUE"""),37867.666666666664)</f>
        <v>37867.66667</v>
      </c>
      <c r="B5978" s="2">
        <f>IFERROR(__xludf.DUMMYFUNCTION("""COMPUTED_VALUE"""),82.37)</f>
        <v>82.37</v>
      </c>
      <c r="C5978" s="2">
        <f>IFERROR(__xludf.DUMMYFUNCTION("""COMPUTED_VALUE"""),83.39)</f>
        <v>83.39</v>
      </c>
      <c r="D5978" s="2">
        <f>IFERROR(__xludf.DUMMYFUNCTION("""COMPUTED_VALUE"""),82.14)</f>
        <v>82.14</v>
      </c>
      <c r="E5978" s="2">
        <f>IFERROR(__xludf.DUMMYFUNCTION("""COMPUTED_VALUE"""),82.46)</f>
        <v>82.46</v>
      </c>
      <c r="F5978" s="2">
        <f>IFERROR(__xludf.DUMMYFUNCTION("""COMPUTED_VALUE"""),1.08357E7)</f>
        <v>10835700</v>
      </c>
    </row>
    <row r="5979">
      <c r="A5979" s="3">
        <f>IFERROR(__xludf.DUMMYFUNCTION("""COMPUTED_VALUE"""),37868.666666666664)</f>
        <v>37868.66667</v>
      </c>
      <c r="B5979" s="2">
        <f>IFERROR(__xludf.DUMMYFUNCTION("""COMPUTED_VALUE"""),82.46)</f>
        <v>82.46</v>
      </c>
      <c r="C5979" s="2">
        <f>IFERROR(__xludf.DUMMYFUNCTION("""COMPUTED_VALUE"""),84.33)</f>
        <v>84.33</v>
      </c>
      <c r="D5979" s="2">
        <f>IFERROR(__xludf.DUMMYFUNCTION("""COMPUTED_VALUE"""),81.85)</f>
        <v>81.85</v>
      </c>
      <c r="E5979" s="2">
        <f>IFERROR(__xludf.DUMMYFUNCTION("""COMPUTED_VALUE"""),83.97)</f>
        <v>83.97</v>
      </c>
      <c r="F5979" s="2">
        <f>IFERROR(__xludf.DUMMYFUNCTION("""COMPUTED_VALUE"""),9891000.0)</f>
        <v>9891000</v>
      </c>
    </row>
    <row r="5980">
      <c r="A5980" s="3">
        <f>IFERROR(__xludf.DUMMYFUNCTION("""COMPUTED_VALUE"""),37869.666666666664)</f>
        <v>37869.66667</v>
      </c>
      <c r="B5980" s="2">
        <f>IFERROR(__xludf.DUMMYFUNCTION("""COMPUTED_VALUE"""),83.72)</f>
        <v>83.72</v>
      </c>
      <c r="C5980" s="2">
        <f>IFERROR(__xludf.DUMMYFUNCTION("""COMPUTED_VALUE"""),84.3)</f>
        <v>84.3</v>
      </c>
      <c r="D5980" s="2">
        <f>IFERROR(__xludf.DUMMYFUNCTION("""COMPUTED_VALUE"""),82.86)</f>
        <v>82.86</v>
      </c>
      <c r="E5980" s="2">
        <f>IFERROR(__xludf.DUMMYFUNCTION("""COMPUTED_VALUE"""),83.05)</f>
        <v>83.05</v>
      </c>
      <c r="F5980" s="2">
        <f>IFERROR(__xludf.DUMMYFUNCTION("""COMPUTED_VALUE"""),7896600.0)</f>
        <v>7896600</v>
      </c>
    </row>
    <row r="5981">
      <c r="A5981" s="3">
        <f>IFERROR(__xludf.DUMMYFUNCTION("""COMPUTED_VALUE"""),37872.666666666664)</f>
        <v>37872.66667</v>
      </c>
      <c r="B5981" s="2">
        <f>IFERROR(__xludf.DUMMYFUNCTION("""COMPUTED_VALUE"""),84.48)</f>
        <v>84.48</v>
      </c>
      <c r="C5981" s="2">
        <f>IFERROR(__xludf.DUMMYFUNCTION("""COMPUTED_VALUE"""),85.64)</f>
        <v>85.64</v>
      </c>
      <c r="D5981" s="2">
        <f>IFERROR(__xludf.DUMMYFUNCTION("""COMPUTED_VALUE"""),84.39)</f>
        <v>84.39</v>
      </c>
      <c r="E5981" s="2">
        <f>IFERROR(__xludf.DUMMYFUNCTION("""COMPUTED_VALUE"""),85.11)</f>
        <v>85.11</v>
      </c>
      <c r="F5981" s="2">
        <f>IFERROR(__xludf.DUMMYFUNCTION("""COMPUTED_VALUE"""),9218400.0)</f>
        <v>9218400</v>
      </c>
    </row>
    <row r="5982">
      <c r="A5982" s="3">
        <f>IFERROR(__xludf.DUMMYFUNCTION("""COMPUTED_VALUE"""),37873.666666666664)</f>
        <v>37873.66667</v>
      </c>
      <c r="B5982" s="2">
        <f>IFERROR(__xludf.DUMMYFUNCTION("""COMPUTED_VALUE"""),85.2)</f>
        <v>85.2</v>
      </c>
      <c r="C5982" s="2">
        <f>IFERROR(__xludf.DUMMYFUNCTION("""COMPUTED_VALUE"""),85.94)</f>
        <v>85.94</v>
      </c>
      <c r="D5982" s="2">
        <f>IFERROR(__xludf.DUMMYFUNCTION("""COMPUTED_VALUE"""),84.94)</f>
        <v>84.94</v>
      </c>
      <c r="E5982" s="2">
        <f>IFERROR(__xludf.DUMMYFUNCTION("""COMPUTED_VALUE"""),85.41)</f>
        <v>85.41</v>
      </c>
      <c r="F5982" s="2">
        <f>IFERROR(__xludf.DUMMYFUNCTION("""COMPUTED_VALUE"""),8188400.0)</f>
        <v>8188400</v>
      </c>
    </row>
    <row r="5983">
      <c r="A5983" s="3">
        <f>IFERROR(__xludf.DUMMYFUNCTION("""COMPUTED_VALUE"""),37874.666666666664)</f>
        <v>37874.66667</v>
      </c>
      <c r="B5983" s="2">
        <f>IFERROR(__xludf.DUMMYFUNCTION("""COMPUTED_VALUE"""),85.0)</f>
        <v>85</v>
      </c>
      <c r="C5983" s="2">
        <f>IFERROR(__xludf.DUMMYFUNCTION("""COMPUTED_VALUE"""),85.01)</f>
        <v>85.01</v>
      </c>
      <c r="D5983" s="2">
        <f>IFERROR(__xludf.DUMMYFUNCTION("""COMPUTED_VALUE"""),83.68)</f>
        <v>83.68</v>
      </c>
      <c r="E5983" s="2">
        <f>IFERROR(__xludf.DUMMYFUNCTION("""COMPUTED_VALUE"""),83.9)</f>
        <v>83.9</v>
      </c>
      <c r="F5983" s="2">
        <f>IFERROR(__xludf.DUMMYFUNCTION("""COMPUTED_VALUE"""),7322600.0)</f>
        <v>7322600</v>
      </c>
    </row>
    <row r="5984">
      <c r="A5984" s="3">
        <f>IFERROR(__xludf.DUMMYFUNCTION("""COMPUTED_VALUE"""),37875.666666666664)</f>
        <v>37875.66667</v>
      </c>
      <c r="B5984" s="2">
        <f>IFERROR(__xludf.DUMMYFUNCTION("""COMPUTED_VALUE"""),82.86)</f>
        <v>82.86</v>
      </c>
      <c r="C5984" s="2">
        <f>IFERROR(__xludf.DUMMYFUNCTION("""COMPUTED_VALUE"""),84.46)</f>
        <v>84.46</v>
      </c>
      <c r="D5984" s="2">
        <f>IFERROR(__xludf.DUMMYFUNCTION("""COMPUTED_VALUE"""),82.53)</f>
        <v>82.53</v>
      </c>
      <c r="E5984" s="2">
        <f>IFERROR(__xludf.DUMMYFUNCTION("""COMPUTED_VALUE"""),83.98)</f>
        <v>83.98</v>
      </c>
      <c r="F5984" s="2">
        <f>IFERROR(__xludf.DUMMYFUNCTION("""COMPUTED_VALUE"""),9761300.0)</f>
        <v>9761300</v>
      </c>
    </row>
    <row r="5985">
      <c r="A5985" s="3">
        <f>IFERROR(__xludf.DUMMYFUNCTION("""COMPUTED_VALUE"""),37876.666666666664)</f>
        <v>37876.66667</v>
      </c>
      <c r="B5985" s="2">
        <f>IFERROR(__xludf.DUMMYFUNCTION("""COMPUTED_VALUE"""),83.65)</f>
        <v>83.65</v>
      </c>
      <c r="C5985" s="2">
        <f>IFERROR(__xludf.DUMMYFUNCTION("""COMPUTED_VALUE"""),85.02)</f>
        <v>85.02</v>
      </c>
      <c r="D5985" s="2">
        <f>IFERROR(__xludf.DUMMYFUNCTION("""COMPUTED_VALUE"""),83.29)</f>
        <v>83.29</v>
      </c>
      <c r="E5985" s="2">
        <f>IFERROR(__xludf.DUMMYFUNCTION("""COMPUTED_VALUE"""),84.72)</f>
        <v>84.72</v>
      </c>
      <c r="F5985" s="2">
        <f>IFERROR(__xludf.DUMMYFUNCTION("""COMPUTED_VALUE"""),7209200.0)</f>
        <v>7209200</v>
      </c>
    </row>
    <row r="5986">
      <c r="A5986" s="3">
        <f>IFERROR(__xludf.DUMMYFUNCTION("""COMPUTED_VALUE"""),37879.666666666664)</f>
        <v>37879.66667</v>
      </c>
      <c r="B5986" s="2">
        <f>IFERROR(__xludf.DUMMYFUNCTION("""COMPUTED_VALUE"""),84.72)</f>
        <v>84.72</v>
      </c>
      <c r="C5986" s="2">
        <f>IFERROR(__xludf.DUMMYFUNCTION("""COMPUTED_VALUE"""),85.93)</f>
        <v>85.93</v>
      </c>
      <c r="D5986" s="2">
        <f>IFERROR(__xludf.DUMMYFUNCTION("""COMPUTED_VALUE"""),84.43)</f>
        <v>84.43</v>
      </c>
      <c r="E5986" s="2">
        <f>IFERROR(__xludf.DUMMYFUNCTION("""COMPUTED_VALUE"""),84.52)</f>
        <v>84.52</v>
      </c>
      <c r="F5986" s="2">
        <f>IFERROR(__xludf.DUMMYFUNCTION("""COMPUTED_VALUE"""),7305400.0)</f>
        <v>7305400</v>
      </c>
    </row>
    <row r="5987">
      <c r="A5987" s="3">
        <f>IFERROR(__xludf.DUMMYFUNCTION("""COMPUTED_VALUE"""),37880.666666666664)</f>
        <v>37880.66667</v>
      </c>
      <c r="B5987" s="2">
        <f>IFERROR(__xludf.DUMMYFUNCTION("""COMPUTED_VALUE"""),84.52)</f>
        <v>84.52</v>
      </c>
      <c r="C5987" s="2">
        <f>IFERROR(__xludf.DUMMYFUNCTION("""COMPUTED_VALUE"""),86.36)</f>
        <v>86.36</v>
      </c>
      <c r="D5987" s="2">
        <f>IFERROR(__xludf.DUMMYFUNCTION("""COMPUTED_VALUE"""),84.52)</f>
        <v>84.52</v>
      </c>
      <c r="E5987" s="2">
        <f>IFERROR(__xludf.DUMMYFUNCTION("""COMPUTED_VALUE"""),86.24)</f>
        <v>86.24</v>
      </c>
      <c r="F5987" s="2">
        <f>IFERROR(__xludf.DUMMYFUNCTION("""COMPUTED_VALUE"""),7897100.0)</f>
        <v>7897100</v>
      </c>
    </row>
    <row r="5988">
      <c r="A5988" s="3">
        <f>IFERROR(__xludf.DUMMYFUNCTION("""COMPUTED_VALUE"""),37881.666666666664)</f>
        <v>37881.66667</v>
      </c>
      <c r="B5988" s="2">
        <f>IFERROR(__xludf.DUMMYFUNCTION("""COMPUTED_VALUE"""),86.35)</f>
        <v>86.35</v>
      </c>
      <c r="C5988" s="2">
        <f>IFERROR(__xludf.DUMMYFUNCTION("""COMPUTED_VALUE"""),87.82)</f>
        <v>87.82</v>
      </c>
      <c r="D5988" s="2">
        <f>IFERROR(__xludf.DUMMYFUNCTION("""COMPUTED_VALUE"""),86.16)</f>
        <v>86.16</v>
      </c>
      <c r="E5988" s="2">
        <f>IFERROR(__xludf.DUMMYFUNCTION("""COMPUTED_VALUE"""),86.57)</f>
        <v>86.57</v>
      </c>
      <c r="F5988" s="2">
        <f>IFERROR(__xludf.DUMMYFUNCTION("""COMPUTED_VALUE"""),9087100.0)</f>
        <v>9087100</v>
      </c>
    </row>
    <row r="5989">
      <c r="A5989" s="3">
        <f>IFERROR(__xludf.DUMMYFUNCTION("""COMPUTED_VALUE"""),37882.666666666664)</f>
        <v>37882.66667</v>
      </c>
      <c r="B5989" s="2">
        <f>IFERROR(__xludf.DUMMYFUNCTION("""COMPUTED_VALUE"""),86.57)</f>
        <v>86.57</v>
      </c>
      <c r="C5989" s="2">
        <f>IFERROR(__xludf.DUMMYFUNCTION("""COMPUTED_VALUE"""),88.29)</f>
        <v>88.29</v>
      </c>
      <c r="D5989" s="2">
        <f>IFERROR(__xludf.DUMMYFUNCTION("""COMPUTED_VALUE"""),86.4)</f>
        <v>86.4</v>
      </c>
      <c r="E5989" s="2">
        <f>IFERROR(__xludf.DUMMYFUNCTION("""COMPUTED_VALUE"""),87.88)</f>
        <v>87.88</v>
      </c>
      <c r="F5989" s="2">
        <f>IFERROR(__xludf.DUMMYFUNCTION("""COMPUTED_VALUE"""),8338800.0)</f>
        <v>8338800</v>
      </c>
    </row>
    <row r="5990">
      <c r="A5990" s="3">
        <f>IFERROR(__xludf.DUMMYFUNCTION("""COMPUTED_VALUE"""),37883.666666666664)</f>
        <v>37883.66667</v>
      </c>
      <c r="B5990" s="2">
        <f>IFERROR(__xludf.DUMMYFUNCTION("""COMPUTED_VALUE"""),88.3)</f>
        <v>88.3</v>
      </c>
      <c r="C5990" s="2">
        <f>IFERROR(__xludf.DUMMYFUNCTION("""COMPUTED_VALUE"""),89.28)</f>
        <v>89.28</v>
      </c>
      <c r="D5990" s="2">
        <f>IFERROR(__xludf.DUMMYFUNCTION("""COMPUTED_VALUE"""),87.68)</f>
        <v>87.68</v>
      </c>
      <c r="E5990" s="2">
        <f>IFERROR(__xludf.DUMMYFUNCTION("""COMPUTED_VALUE"""),89.1)</f>
        <v>89.1</v>
      </c>
      <c r="F5990" s="2">
        <f>IFERROR(__xludf.DUMMYFUNCTION("""COMPUTED_VALUE"""),9416000.0)</f>
        <v>9416000</v>
      </c>
    </row>
    <row r="5991">
      <c r="A5991" s="3">
        <f>IFERROR(__xludf.DUMMYFUNCTION("""COMPUTED_VALUE"""),37886.666666666664)</f>
        <v>37886.66667</v>
      </c>
      <c r="B5991" s="2">
        <f>IFERROR(__xludf.DUMMYFUNCTION("""COMPUTED_VALUE"""),88.1)</f>
        <v>88.1</v>
      </c>
      <c r="C5991" s="2">
        <f>IFERROR(__xludf.DUMMYFUNCTION("""COMPUTED_VALUE"""),88.1)</f>
        <v>88.1</v>
      </c>
      <c r="D5991" s="2">
        <f>IFERROR(__xludf.DUMMYFUNCTION("""COMPUTED_VALUE"""),86.82)</f>
        <v>86.82</v>
      </c>
      <c r="E5991" s="2">
        <f>IFERROR(__xludf.DUMMYFUNCTION("""COMPUTED_VALUE"""),87.29)</f>
        <v>87.29</v>
      </c>
      <c r="F5991" s="2">
        <f>IFERROR(__xludf.DUMMYFUNCTION("""COMPUTED_VALUE"""),7302900.0)</f>
        <v>7302900</v>
      </c>
    </row>
    <row r="5992">
      <c r="A5992" s="3">
        <f>IFERROR(__xludf.DUMMYFUNCTION("""COMPUTED_VALUE"""),37887.666666666664)</f>
        <v>37887.66667</v>
      </c>
      <c r="B5992" s="2">
        <f>IFERROR(__xludf.DUMMYFUNCTION("""COMPUTED_VALUE"""),87.4)</f>
        <v>87.4</v>
      </c>
      <c r="C5992" s="2">
        <f>IFERROR(__xludf.DUMMYFUNCTION("""COMPUTED_VALUE"""),87.96)</f>
        <v>87.96</v>
      </c>
      <c r="D5992" s="2">
        <f>IFERROR(__xludf.DUMMYFUNCTION("""COMPUTED_VALUE"""),86.5)</f>
        <v>86.5</v>
      </c>
      <c r="E5992" s="2">
        <f>IFERROR(__xludf.DUMMYFUNCTION("""COMPUTED_VALUE"""),87.24)</f>
        <v>87.24</v>
      </c>
      <c r="F5992" s="2">
        <f>IFERROR(__xludf.DUMMYFUNCTION("""COMPUTED_VALUE"""),7936700.0)</f>
        <v>7936700</v>
      </c>
    </row>
    <row r="5993">
      <c r="A5993" s="3">
        <f>IFERROR(__xludf.DUMMYFUNCTION("""COMPUTED_VALUE"""),37888.666666666664)</f>
        <v>37888.66667</v>
      </c>
      <c r="B5993" s="2">
        <f>IFERROR(__xludf.DUMMYFUNCTION("""COMPUTED_VALUE"""),87.0)</f>
        <v>87</v>
      </c>
      <c r="C5993" s="2">
        <f>IFERROR(__xludf.DUMMYFUNCTION("""COMPUTED_VALUE"""),87.7)</f>
        <v>87.7</v>
      </c>
      <c r="D5993" s="2">
        <f>IFERROR(__xludf.DUMMYFUNCTION("""COMPUTED_VALUE"""),85.32)</f>
        <v>85.32</v>
      </c>
      <c r="E5993" s="2">
        <f>IFERROR(__xludf.DUMMYFUNCTION("""COMPUTED_VALUE"""),85.39)</f>
        <v>85.39</v>
      </c>
      <c r="F5993" s="2">
        <f>IFERROR(__xludf.DUMMYFUNCTION("""COMPUTED_VALUE"""),7576100.0)</f>
        <v>7576100</v>
      </c>
    </row>
    <row r="5994">
      <c r="A5994" s="3">
        <f>IFERROR(__xludf.DUMMYFUNCTION("""COMPUTED_VALUE"""),37889.666666666664)</f>
        <v>37889.66667</v>
      </c>
      <c r="B5994" s="2">
        <f>IFERROR(__xludf.DUMMYFUNCTION("""COMPUTED_VALUE"""),85.39)</f>
        <v>85.39</v>
      </c>
      <c r="C5994" s="2">
        <f>IFERROR(__xludf.DUMMYFUNCTION("""COMPUTED_VALUE"""),86.89)</f>
        <v>86.89</v>
      </c>
      <c r="D5994" s="2">
        <f>IFERROR(__xludf.DUMMYFUNCTION("""COMPUTED_VALUE"""),85.2)</f>
        <v>85.2</v>
      </c>
      <c r="E5994" s="2">
        <f>IFERROR(__xludf.DUMMYFUNCTION("""COMPUTED_VALUE"""),85.4)</f>
        <v>85.4</v>
      </c>
      <c r="F5994" s="2">
        <f>IFERROR(__xludf.DUMMYFUNCTION("""COMPUTED_VALUE"""),6586300.0)</f>
        <v>6586300</v>
      </c>
    </row>
    <row r="5995">
      <c r="A5995" s="3">
        <f>IFERROR(__xludf.DUMMYFUNCTION("""COMPUTED_VALUE"""),37890.666666666664)</f>
        <v>37890.66667</v>
      </c>
      <c r="B5995" s="2">
        <f>IFERROR(__xludf.DUMMYFUNCTION("""COMPUTED_VALUE"""),85.4)</f>
        <v>85.4</v>
      </c>
      <c r="C5995" s="2">
        <f>IFERROR(__xludf.DUMMYFUNCTION("""COMPUTED_VALUE"""),86.1)</f>
        <v>86.1</v>
      </c>
      <c r="D5995" s="2">
        <f>IFERROR(__xludf.DUMMYFUNCTION("""COMPUTED_VALUE"""),85.01)</f>
        <v>85.01</v>
      </c>
      <c r="E5995" s="2">
        <f>IFERROR(__xludf.DUMMYFUNCTION("""COMPUTED_VALUE"""),85.06)</f>
        <v>85.06</v>
      </c>
      <c r="F5995" s="2">
        <f>IFERROR(__xludf.DUMMYFUNCTION("""COMPUTED_VALUE"""),5096600.0)</f>
        <v>5096600</v>
      </c>
    </row>
    <row r="5996">
      <c r="A5996" s="3">
        <f>IFERROR(__xludf.DUMMYFUNCTION("""COMPUTED_VALUE"""),37893.666666666664)</f>
        <v>37893.66667</v>
      </c>
      <c r="B5996" s="2">
        <f>IFERROR(__xludf.DUMMYFUNCTION("""COMPUTED_VALUE"""),85.25)</f>
        <v>85.25</v>
      </c>
      <c r="C5996" s="2">
        <f>IFERROR(__xludf.DUMMYFUNCTION("""COMPUTED_VALUE"""),86.14)</f>
        <v>86.14</v>
      </c>
      <c r="D5996" s="2">
        <f>IFERROR(__xludf.DUMMYFUNCTION("""COMPUTED_VALUE"""),85.08)</f>
        <v>85.08</v>
      </c>
      <c r="E5996" s="2">
        <f>IFERROR(__xludf.DUMMYFUNCTION("""COMPUTED_VALUE"""),85.44)</f>
        <v>85.44</v>
      </c>
      <c r="F5996" s="2">
        <f>IFERROR(__xludf.DUMMYFUNCTION("""COMPUTED_VALUE"""),5723300.0)</f>
        <v>5723300</v>
      </c>
    </row>
    <row r="5997">
      <c r="A5997" s="3">
        <f>IFERROR(__xludf.DUMMYFUNCTION("""COMPUTED_VALUE"""),37894.666666666664)</f>
        <v>37894.66667</v>
      </c>
      <c r="B5997" s="2">
        <f>IFERROR(__xludf.DUMMYFUNCTION("""COMPUTED_VALUE"""),85.17)</f>
        <v>85.17</v>
      </c>
      <c r="C5997" s="2">
        <f>IFERROR(__xludf.DUMMYFUNCTION("""COMPUTED_VALUE"""),85.25)</f>
        <v>85.25</v>
      </c>
      <c r="D5997" s="2">
        <f>IFERROR(__xludf.DUMMYFUNCTION("""COMPUTED_VALUE"""),83.96)</f>
        <v>83.96</v>
      </c>
      <c r="E5997" s="2">
        <f>IFERROR(__xludf.DUMMYFUNCTION("""COMPUTED_VALUE"""),84.37)</f>
        <v>84.37</v>
      </c>
      <c r="F5997" s="2">
        <f>IFERROR(__xludf.DUMMYFUNCTION("""COMPUTED_VALUE"""),7060300.0)</f>
        <v>7060300</v>
      </c>
    </row>
    <row r="5998">
      <c r="A5998" s="3">
        <f>IFERROR(__xludf.DUMMYFUNCTION("""COMPUTED_VALUE"""),37895.666666666664)</f>
        <v>37895.66667</v>
      </c>
      <c r="B5998" s="2">
        <f>IFERROR(__xludf.DUMMYFUNCTION("""COMPUTED_VALUE"""),84.77)</f>
        <v>84.77</v>
      </c>
      <c r="C5998" s="2">
        <f>IFERROR(__xludf.DUMMYFUNCTION("""COMPUTED_VALUE"""),86.54)</f>
        <v>86.54</v>
      </c>
      <c r="D5998" s="2">
        <f>IFERROR(__xludf.DUMMYFUNCTION("""COMPUTED_VALUE"""),84.72)</f>
        <v>84.72</v>
      </c>
      <c r="E5998" s="2">
        <f>IFERROR(__xludf.DUMMYFUNCTION("""COMPUTED_VALUE"""),86.3)</f>
        <v>86.3</v>
      </c>
      <c r="F5998" s="2">
        <f>IFERROR(__xludf.DUMMYFUNCTION("""COMPUTED_VALUE"""),7925300.0)</f>
        <v>7925300</v>
      </c>
    </row>
    <row r="5999">
      <c r="A5999" s="3">
        <f>IFERROR(__xludf.DUMMYFUNCTION("""COMPUTED_VALUE"""),37896.666666666664)</f>
        <v>37896.66667</v>
      </c>
      <c r="B5999" s="2">
        <f>IFERROR(__xludf.DUMMYFUNCTION("""COMPUTED_VALUE"""),85.53)</f>
        <v>85.53</v>
      </c>
      <c r="C5999" s="2">
        <f>IFERROR(__xludf.DUMMYFUNCTION("""COMPUTED_VALUE"""),86.39)</f>
        <v>86.39</v>
      </c>
      <c r="D5999" s="2">
        <f>IFERROR(__xludf.DUMMYFUNCTION("""COMPUTED_VALUE"""),85.22)</f>
        <v>85.22</v>
      </c>
      <c r="E5999" s="2">
        <f>IFERROR(__xludf.DUMMYFUNCTION("""COMPUTED_VALUE"""),86.04)</f>
        <v>86.04</v>
      </c>
      <c r="F5999" s="2">
        <f>IFERROR(__xludf.DUMMYFUNCTION("""COMPUTED_VALUE"""),7429500.0)</f>
        <v>7429500</v>
      </c>
    </row>
    <row r="6000">
      <c r="A6000" s="3">
        <f>IFERROR(__xludf.DUMMYFUNCTION("""COMPUTED_VALUE"""),37897.666666666664)</f>
        <v>37897.66667</v>
      </c>
      <c r="B6000" s="2">
        <f>IFERROR(__xludf.DUMMYFUNCTION("""COMPUTED_VALUE"""),86.92)</f>
        <v>86.92</v>
      </c>
      <c r="C6000" s="2">
        <f>IFERROR(__xludf.DUMMYFUNCTION("""COMPUTED_VALUE"""),87.83)</f>
        <v>87.83</v>
      </c>
      <c r="D6000" s="2">
        <f>IFERROR(__xludf.DUMMYFUNCTION("""COMPUTED_VALUE"""),86.51)</f>
        <v>86.51</v>
      </c>
      <c r="E6000" s="2">
        <f>IFERROR(__xludf.DUMMYFUNCTION("""COMPUTED_VALUE"""),86.58)</f>
        <v>86.58</v>
      </c>
      <c r="F6000" s="2">
        <f>IFERROR(__xludf.DUMMYFUNCTION("""COMPUTED_VALUE"""),7479300.0)</f>
        <v>7479300</v>
      </c>
    </row>
    <row r="6001">
      <c r="A6001" s="3">
        <f>IFERROR(__xludf.DUMMYFUNCTION("""COMPUTED_VALUE"""),37900.666666666664)</f>
        <v>37900.66667</v>
      </c>
      <c r="B6001" s="2">
        <f>IFERROR(__xludf.DUMMYFUNCTION("""COMPUTED_VALUE"""),86.67)</f>
        <v>86.67</v>
      </c>
      <c r="C6001" s="2">
        <f>IFERROR(__xludf.DUMMYFUNCTION("""COMPUTED_VALUE"""),87.65)</f>
        <v>87.65</v>
      </c>
      <c r="D6001" s="2">
        <f>IFERROR(__xludf.DUMMYFUNCTION("""COMPUTED_VALUE"""),86.45)</f>
        <v>86.45</v>
      </c>
      <c r="E6001" s="2">
        <f>IFERROR(__xludf.DUMMYFUNCTION("""COMPUTED_VALUE"""),87.09)</f>
        <v>87.09</v>
      </c>
      <c r="F6001" s="2">
        <f>IFERROR(__xludf.DUMMYFUNCTION("""COMPUTED_VALUE"""),3845600.0)</f>
        <v>3845600</v>
      </c>
    </row>
    <row r="6002">
      <c r="A6002" s="3">
        <f>IFERROR(__xludf.DUMMYFUNCTION("""COMPUTED_VALUE"""),37901.666666666664)</f>
        <v>37901.66667</v>
      </c>
      <c r="B6002" s="2">
        <f>IFERROR(__xludf.DUMMYFUNCTION("""COMPUTED_VALUE"""),86.44)</f>
        <v>86.44</v>
      </c>
      <c r="C6002" s="2">
        <f>IFERROR(__xludf.DUMMYFUNCTION("""COMPUTED_VALUE"""),87.59)</f>
        <v>87.59</v>
      </c>
      <c r="D6002" s="2">
        <f>IFERROR(__xludf.DUMMYFUNCTION("""COMPUTED_VALUE"""),86.35)</f>
        <v>86.35</v>
      </c>
      <c r="E6002" s="2">
        <f>IFERROR(__xludf.DUMMYFUNCTION("""COMPUTED_VALUE"""),87.59)</f>
        <v>87.59</v>
      </c>
      <c r="F6002" s="2">
        <f>IFERROR(__xludf.DUMMYFUNCTION("""COMPUTED_VALUE"""),5369800.0)</f>
        <v>5369800</v>
      </c>
    </row>
    <row r="6003">
      <c r="A6003" s="3">
        <f>IFERROR(__xludf.DUMMYFUNCTION("""COMPUTED_VALUE"""),37902.666666666664)</f>
        <v>37902.66667</v>
      </c>
      <c r="B6003" s="2">
        <f>IFERROR(__xludf.DUMMYFUNCTION("""COMPUTED_VALUE"""),87.88)</f>
        <v>87.88</v>
      </c>
      <c r="C6003" s="2">
        <f>IFERROR(__xludf.DUMMYFUNCTION("""COMPUTED_VALUE"""),88.71)</f>
        <v>88.71</v>
      </c>
      <c r="D6003" s="2">
        <f>IFERROR(__xludf.DUMMYFUNCTION("""COMPUTED_VALUE"""),87.83)</f>
        <v>87.83</v>
      </c>
      <c r="E6003" s="2">
        <f>IFERROR(__xludf.DUMMYFUNCTION("""COMPUTED_VALUE"""),88.51)</f>
        <v>88.51</v>
      </c>
      <c r="F6003" s="2">
        <f>IFERROR(__xludf.DUMMYFUNCTION("""COMPUTED_VALUE"""),6418900.0)</f>
        <v>6418900</v>
      </c>
    </row>
    <row r="6004">
      <c r="A6004" s="3">
        <f>IFERROR(__xludf.DUMMYFUNCTION("""COMPUTED_VALUE"""),37903.666666666664)</f>
        <v>37903.66667</v>
      </c>
      <c r="B6004" s="2">
        <f>IFERROR(__xludf.DUMMYFUNCTION("""COMPUTED_VALUE"""),89.12)</f>
        <v>89.12</v>
      </c>
      <c r="C6004" s="2">
        <f>IFERROR(__xludf.DUMMYFUNCTION("""COMPUTED_VALUE"""),89.4)</f>
        <v>89.4</v>
      </c>
      <c r="D6004" s="2">
        <f>IFERROR(__xludf.DUMMYFUNCTION("""COMPUTED_VALUE"""),88.07)</f>
        <v>88.07</v>
      </c>
      <c r="E6004" s="2">
        <f>IFERROR(__xludf.DUMMYFUNCTION("""COMPUTED_VALUE"""),88.3)</f>
        <v>88.3</v>
      </c>
      <c r="F6004" s="2">
        <f>IFERROR(__xludf.DUMMYFUNCTION("""COMPUTED_VALUE"""),7593000.0)</f>
        <v>7593000</v>
      </c>
    </row>
    <row r="6005">
      <c r="A6005" s="3">
        <f>IFERROR(__xludf.DUMMYFUNCTION("""COMPUTED_VALUE"""),37904.666666666664)</f>
        <v>37904.66667</v>
      </c>
      <c r="B6005" s="2">
        <f>IFERROR(__xludf.DUMMYFUNCTION("""COMPUTED_VALUE"""),88.26)</f>
        <v>88.26</v>
      </c>
      <c r="C6005" s="2">
        <f>IFERROR(__xludf.DUMMYFUNCTION("""COMPUTED_VALUE"""),89.0)</f>
        <v>89</v>
      </c>
      <c r="D6005" s="2">
        <f>IFERROR(__xludf.DUMMYFUNCTION("""COMPUTED_VALUE"""),88.22)</f>
        <v>88.22</v>
      </c>
      <c r="E6005" s="2">
        <f>IFERROR(__xludf.DUMMYFUNCTION("""COMPUTED_VALUE"""),88.52)</f>
        <v>88.52</v>
      </c>
      <c r="F6005" s="2">
        <f>IFERROR(__xludf.DUMMYFUNCTION("""COMPUTED_VALUE"""),4500500.0)</f>
        <v>4500500</v>
      </c>
    </row>
    <row r="6006">
      <c r="A6006" s="3">
        <f>IFERROR(__xludf.DUMMYFUNCTION("""COMPUTED_VALUE"""),37907.666666666664)</f>
        <v>37907.66667</v>
      </c>
      <c r="B6006" s="2">
        <f>IFERROR(__xludf.DUMMYFUNCTION("""COMPUTED_VALUE"""),88.93)</f>
        <v>88.93</v>
      </c>
      <c r="C6006" s="2">
        <f>IFERROR(__xludf.DUMMYFUNCTION("""COMPUTED_VALUE"""),89.35)</f>
        <v>89.35</v>
      </c>
      <c r="D6006" s="2">
        <f>IFERROR(__xludf.DUMMYFUNCTION("""COMPUTED_VALUE"""),88.43)</f>
        <v>88.43</v>
      </c>
      <c r="E6006" s="2">
        <f>IFERROR(__xludf.DUMMYFUNCTION("""COMPUTED_VALUE"""),89.02)</f>
        <v>89.02</v>
      </c>
      <c r="F6006" s="2">
        <f>IFERROR(__xludf.DUMMYFUNCTION("""COMPUTED_VALUE"""),4639200.0)</f>
        <v>4639200</v>
      </c>
    </row>
    <row r="6007">
      <c r="A6007" s="3">
        <f>IFERROR(__xludf.DUMMYFUNCTION("""COMPUTED_VALUE"""),37908.666666666664)</f>
        <v>37908.66667</v>
      </c>
      <c r="B6007" s="2">
        <f>IFERROR(__xludf.DUMMYFUNCTION("""COMPUTED_VALUE"""),88.5)</f>
        <v>88.5</v>
      </c>
      <c r="C6007" s="2">
        <f>IFERROR(__xludf.DUMMYFUNCTION("""COMPUTED_VALUE"""),88.78)</f>
        <v>88.78</v>
      </c>
      <c r="D6007" s="2">
        <f>IFERROR(__xludf.DUMMYFUNCTION("""COMPUTED_VALUE"""),88.18)</f>
        <v>88.18</v>
      </c>
      <c r="E6007" s="2">
        <f>IFERROR(__xludf.DUMMYFUNCTION("""COMPUTED_VALUE"""),88.56)</f>
        <v>88.56</v>
      </c>
      <c r="F6007" s="2">
        <f>IFERROR(__xludf.DUMMYFUNCTION("""COMPUTED_VALUE"""),4702400.0)</f>
        <v>4702400</v>
      </c>
    </row>
    <row r="6008">
      <c r="A6008" s="3">
        <f>IFERROR(__xludf.DUMMYFUNCTION("""COMPUTED_VALUE"""),37909.666666666664)</f>
        <v>37909.66667</v>
      </c>
      <c r="B6008" s="2">
        <f>IFERROR(__xludf.DUMMYFUNCTION("""COMPUTED_VALUE"""),89.69)</f>
        <v>89.69</v>
      </c>
      <c r="C6008" s="2">
        <f>IFERROR(__xludf.DUMMYFUNCTION("""COMPUTED_VALUE"""),90.3)</f>
        <v>90.3</v>
      </c>
      <c r="D6008" s="2">
        <f>IFERROR(__xludf.DUMMYFUNCTION("""COMPUTED_VALUE"""),88.58)</f>
        <v>88.58</v>
      </c>
      <c r="E6008" s="2">
        <f>IFERROR(__xludf.DUMMYFUNCTION("""COMPUTED_VALUE"""),88.58)</f>
        <v>88.58</v>
      </c>
      <c r="F6008" s="2">
        <f>IFERROR(__xludf.DUMMYFUNCTION("""COMPUTED_VALUE"""),1.16581E7)</f>
        <v>11658100</v>
      </c>
    </row>
    <row r="6009">
      <c r="A6009" s="3">
        <f>IFERROR(__xludf.DUMMYFUNCTION("""COMPUTED_VALUE"""),37910.666666666664)</f>
        <v>37910.66667</v>
      </c>
      <c r="B6009" s="2">
        <f>IFERROR(__xludf.DUMMYFUNCTION("""COMPUTED_VALUE"""),85.25)</f>
        <v>85.25</v>
      </c>
      <c r="C6009" s="2">
        <f>IFERROR(__xludf.DUMMYFUNCTION("""COMPUTED_VALUE"""),85.68)</f>
        <v>85.68</v>
      </c>
      <c r="D6009" s="2">
        <f>IFERROR(__xludf.DUMMYFUNCTION("""COMPUTED_VALUE"""),84.68)</f>
        <v>84.68</v>
      </c>
      <c r="E6009" s="2">
        <f>IFERROR(__xludf.DUMMYFUNCTION("""COMPUTED_VALUE"""),85.28)</f>
        <v>85.28</v>
      </c>
      <c r="F6009" s="2">
        <f>IFERROR(__xludf.DUMMYFUNCTION("""COMPUTED_VALUE"""),1.6994E7)</f>
        <v>16994000</v>
      </c>
    </row>
    <row r="6010">
      <c r="A6010" s="3">
        <f>IFERROR(__xludf.DUMMYFUNCTION("""COMPUTED_VALUE"""),37911.666666666664)</f>
        <v>37911.66667</v>
      </c>
      <c r="B6010" s="2">
        <f>IFERROR(__xludf.DUMMYFUNCTION("""COMPUTED_VALUE"""),85.28)</f>
        <v>85.28</v>
      </c>
      <c r="C6010" s="2">
        <f>IFERROR(__xludf.DUMMYFUNCTION("""COMPUTED_VALUE"""),85.66)</f>
        <v>85.66</v>
      </c>
      <c r="D6010" s="2">
        <f>IFERROR(__xludf.DUMMYFUNCTION("""COMPUTED_VALUE"""),84.83)</f>
        <v>84.83</v>
      </c>
      <c r="E6010" s="2">
        <f>IFERROR(__xludf.DUMMYFUNCTION("""COMPUTED_VALUE"""),85.23)</f>
        <v>85.23</v>
      </c>
      <c r="F6010" s="2">
        <f>IFERROR(__xludf.DUMMYFUNCTION("""COMPUTED_VALUE"""),9506900.0)</f>
        <v>9506900</v>
      </c>
    </row>
    <row r="6011">
      <c r="A6011" s="3">
        <f>IFERROR(__xludf.DUMMYFUNCTION("""COMPUTED_VALUE"""),37914.666666666664)</f>
        <v>37914.66667</v>
      </c>
      <c r="B6011" s="2">
        <f>IFERROR(__xludf.DUMMYFUNCTION("""COMPUTED_VALUE"""),85.34)</f>
        <v>85.34</v>
      </c>
      <c r="C6011" s="2">
        <f>IFERROR(__xludf.DUMMYFUNCTION("""COMPUTED_VALUE"""),85.39)</f>
        <v>85.39</v>
      </c>
      <c r="D6011" s="2">
        <f>IFERROR(__xludf.DUMMYFUNCTION("""COMPUTED_VALUE"""),84.88)</f>
        <v>84.88</v>
      </c>
      <c r="E6011" s="2">
        <f>IFERROR(__xludf.DUMMYFUNCTION("""COMPUTED_VALUE"""),85.01)</f>
        <v>85.01</v>
      </c>
      <c r="F6011" s="2">
        <f>IFERROR(__xludf.DUMMYFUNCTION("""COMPUTED_VALUE"""),6975900.0)</f>
        <v>6975900</v>
      </c>
    </row>
    <row r="6012">
      <c r="A6012" s="3">
        <f>IFERROR(__xludf.DUMMYFUNCTION("""COMPUTED_VALUE"""),37915.666666666664)</f>
        <v>37915.66667</v>
      </c>
      <c r="B6012" s="2">
        <f>IFERROR(__xludf.DUMMYFUNCTION("""COMPUTED_VALUE"""),85.25)</f>
        <v>85.25</v>
      </c>
      <c r="C6012" s="2">
        <f>IFERROR(__xludf.DUMMYFUNCTION("""COMPUTED_VALUE"""),85.33)</f>
        <v>85.33</v>
      </c>
      <c r="D6012" s="2">
        <f>IFERROR(__xludf.DUMMYFUNCTION("""COMPUTED_VALUE"""),84.72)</f>
        <v>84.72</v>
      </c>
      <c r="E6012" s="2">
        <f>IFERROR(__xludf.DUMMYFUNCTION("""COMPUTED_VALUE"""),84.94)</f>
        <v>84.94</v>
      </c>
      <c r="F6012" s="2">
        <f>IFERROR(__xludf.DUMMYFUNCTION("""COMPUTED_VALUE"""),5287100.0)</f>
        <v>5287100</v>
      </c>
    </row>
    <row r="6013">
      <c r="A6013" s="3">
        <f>IFERROR(__xludf.DUMMYFUNCTION("""COMPUTED_VALUE"""),37916.666666666664)</f>
        <v>37916.66667</v>
      </c>
      <c r="B6013" s="2">
        <f>IFERROR(__xludf.DUMMYFUNCTION("""COMPUTED_VALUE"""),84.29)</f>
        <v>84.29</v>
      </c>
      <c r="C6013" s="2">
        <f>IFERROR(__xludf.DUMMYFUNCTION("""COMPUTED_VALUE"""),85.02)</f>
        <v>85.02</v>
      </c>
      <c r="D6013" s="2">
        <f>IFERROR(__xludf.DUMMYFUNCTION("""COMPUTED_VALUE"""),83.96)</f>
        <v>83.96</v>
      </c>
      <c r="E6013" s="2">
        <f>IFERROR(__xludf.DUMMYFUNCTION("""COMPUTED_VALUE"""),84.49)</f>
        <v>84.49</v>
      </c>
      <c r="F6013" s="2">
        <f>IFERROR(__xludf.DUMMYFUNCTION("""COMPUTED_VALUE"""),5600100.0)</f>
        <v>5600100</v>
      </c>
    </row>
    <row r="6014">
      <c r="A6014" s="3">
        <f>IFERROR(__xludf.DUMMYFUNCTION("""COMPUTED_VALUE"""),37917.666666666664)</f>
        <v>37917.66667</v>
      </c>
      <c r="B6014" s="2">
        <f>IFERROR(__xludf.DUMMYFUNCTION("""COMPUTED_VALUE"""),83.67)</f>
        <v>83.67</v>
      </c>
      <c r="C6014" s="2">
        <f>IFERROR(__xludf.DUMMYFUNCTION("""COMPUTED_VALUE"""),84.44)</f>
        <v>84.44</v>
      </c>
      <c r="D6014" s="2">
        <f>IFERROR(__xludf.DUMMYFUNCTION("""COMPUTED_VALUE"""),83.61)</f>
        <v>83.61</v>
      </c>
      <c r="E6014" s="2">
        <f>IFERROR(__xludf.DUMMYFUNCTION("""COMPUTED_VALUE"""),84.2)</f>
        <v>84.2</v>
      </c>
      <c r="F6014" s="2">
        <f>IFERROR(__xludf.DUMMYFUNCTION("""COMPUTED_VALUE"""),6048800.0)</f>
        <v>6048800</v>
      </c>
    </row>
    <row r="6015">
      <c r="A6015" s="3">
        <f>IFERROR(__xludf.DUMMYFUNCTION("""COMPUTED_VALUE"""),37918.666666666664)</f>
        <v>37918.66667</v>
      </c>
      <c r="B6015" s="2">
        <f>IFERROR(__xludf.DUMMYFUNCTION("""COMPUTED_VALUE"""),84.05)</f>
        <v>84.05</v>
      </c>
      <c r="C6015" s="2">
        <f>IFERROR(__xludf.DUMMYFUNCTION("""COMPUTED_VALUE"""),84.67)</f>
        <v>84.67</v>
      </c>
      <c r="D6015" s="2">
        <f>IFERROR(__xludf.DUMMYFUNCTION("""COMPUTED_VALUE"""),83.79)</f>
        <v>83.79</v>
      </c>
      <c r="E6015" s="2">
        <f>IFERROR(__xludf.DUMMYFUNCTION("""COMPUTED_VALUE"""),84.46)</f>
        <v>84.46</v>
      </c>
      <c r="F6015" s="2">
        <f>IFERROR(__xludf.DUMMYFUNCTION("""COMPUTED_VALUE"""),5471800.0)</f>
        <v>5471800</v>
      </c>
    </row>
    <row r="6016">
      <c r="A6016" s="3">
        <f>IFERROR(__xludf.DUMMYFUNCTION("""COMPUTED_VALUE"""),37921.666666666664)</f>
        <v>37921.66667</v>
      </c>
      <c r="B6016" s="2">
        <f>IFERROR(__xludf.DUMMYFUNCTION("""COMPUTED_VALUE"""),84.82)</f>
        <v>84.82</v>
      </c>
      <c r="C6016" s="2">
        <f>IFERROR(__xludf.DUMMYFUNCTION("""COMPUTED_VALUE"""),85.11)</f>
        <v>85.11</v>
      </c>
      <c r="D6016" s="2">
        <f>IFERROR(__xludf.DUMMYFUNCTION("""COMPUTED_VALUE"""),84.1)</f>
        <v>84.1</v>
      </c>
      <c r="E6016" s="2">
        <f>IFERROR(__xludf.DUMMYFUNCTION("""COMPUTED_VALUE"""),84.55)</f>
        <v>84.55</v>
      </c>
      <c r="F6016" s="2">
        <f>IFERROR(__xludf.DUMMYFUNCTION("""COMPUTED_VALUE"""),5099200.0)</f>
        <v>5099200</v>
      </c>
    </row>
    <row r="6017">
      <c r="A6017" s="3">
        <f>IFERROR(__xludf.DUMMYFUNCTION("""COMPUTED_VALUE"""),37922.666666666664)</f>
        <v>37922.66667</v>
      </c>
      <c r="B6017" s="2">
        <f>IFERROR(__xludf.DUMMYFUNCTION("""COMPUTED_VALUE"""),85.06)</f>
        <v>85.06</v>
      </c>
      <c r="C6017" s="2">
        <f>IFERROR(__xludf.DUMMYFUNCTION("""COMPUTED_VALUE"""),85.87)</f>
        <v>85.87</v>
      </c>
      <c r="D6017" s="2">
        <f>IFERROR(__xludf.DUMMYFUNCTION("""COMPUTED_VALUE"""),84.55)</f>
        <v>84.55</v>
      </c>
      <c r="E6017" s="2">
        <f>IFERROR(__xludf.DUMMYFUNCTION("""COMPUTED_VALUE"""),85.87)</f>
        <v>85.87</v>
      </c>
      <c r="F6017" s="2">
        <f>IFERROR(__xludf.DUMMYFUNCTION("""COMPUTED_VALUE"""),6959600.0)</f>
        <v>6959600</v>
      </c>
    </row>
    <row r="6018">
      <c r="A6018" s="3">
        <f>IFERROR(__xludf.DUMMYFUNCTION("""COMPUTED_VALUE"""),37923.666666666664)</f>
        <v>37923.66667</v>
      </c>
      <c r="B6018" s="2">
        <f>IFERROR(__xludf.DUMMYFUNCTION("""COMPUTED_VALUE"""),85.58)</f>
        <v>85.58</v>
      </c>
      <c r="C6018" s="2">
        <f>IFERROR(__xludf.DUMMYFUNCTION("""COMPUTED_VALUE"""),85.91)</f>
        <v>85.91</v>
      </c>
      <c r="D6018" s="2">
        <f>IFERROR(__xludf.DUMMYFUNCTION("""COMPUTED_VALUE"""),85.15)</f>
        <v>85.15</v>
      </c>
      <c r="E6018" s="2">
        <f>IFERROR(__xludf.DUMMYFUNCTION("""COMPUTED_VALUE"""),85.33)</f>
        <v>85.33</v>
      </c>
      <c r="F6018" s="2">
        <f>IFERROR(__xludf.DUMMYFUNCTION("""COMPUTED_VALUE"""),5180700.0)</f>
        <v>5180700</v>
      </c>
    </row>
    <row r="6019">
      <c r="A6019" s="3">
        <f>IFERROR(__xludf.DUMMYFUNCTION("""COMPUTED_VALUE"""),37924.666666666664)</f>
        <v>37924.66667</v>
      </c>
      <c r="B6019" s="2">
        <f>IFERROR(__xludf.DUMMYFUNCTION("""COMPUTED_VALUE"""),85.96)</f>
        <v>85.96</v>
      </c>
      <c r="C6019" s="2">
        <f>IFERROR(__xludf.DUMMYFUNCTION("""COMPUTED_VALUE"""),86.13)</f>
        <v>86.13</v>
      </c>
      <c r="D6019" s="2">
        <f>IFERROR(__xludf.DUMMYFUNCTION("""COMPUTED_VALUE"""),85.07)</f>
        <v>85.07</v>
      </c>
      <c r="E6019" s="2">
        <f>IFERROR(__xludf.DUMMYFUNCTION("""COMPUTED_VALUE"""),85.12)</f>
        <v>85.12</v>
      </c>
      <c r="F6019" s="2">
        <f>IFERROR(__xludf.DUMMYFUNCTION("""COMPUTED_VALUE"""),6535800.0)</f>
        <v>6535800</v>
      </c>
    </row>
    <row r="6020">
      <c r="A6020" s="3">
        <f>IFERROR(__xludf.DUMMYFUNCTION("""COMPUTED_VALUE"""),37925.666666666664)</f>
        <v>37925.66667</v>
      </c>
      <c r="B6020" s="2">
        <f>IFERROR(__xludf.DUMMYFUNCTION("""COMPUTED_VALUE"""),85.2)</f>
        <v>85.2</v>
      </c>
      <c r="C6020" s="2">
        <f>IFERROR(__xludf.DUMMYFUNCTION("""COMPUTED_VALUE"""),86.64)</f>
        <v>86.64</v>
      </c>
      <c r="D6020" s="2">
        <f>IFERROR(__xludf.DUMMYFUNCTION("""COMPUTED_VALUE"""),85.2)</f>
        <v>85.2</v>
      </c>
      <c r="E6020" s="2">
        <f>IFERROR(__xludf.DUMMYFUNCTION("""COMPUTED_VALUE"""),85.47)</f>
        <v>85.47</v>
      </c>
      <c r="F6020" s="2">
        <f>IFERROR(__xludf.DUMMYFUNCTION("""COMPUTED_VALUE"""),4845200.0)</f>
        <v>4845200</v>
      </c>
    </row>
    <row r="6021">
      <c r="A6021" s="3">
        <f>IFERROR(__xludf.DUMMYFUNCTION("""COMPUTED_VALUE"""),37928.666666666664)</f>
        <v>37928.66667</v>
      </c>
      <c r="B6021" s="2">
        <f>IFERROR(__xludf.DUMMYFUNCTION("""COMPUTED_VALUE"""),85.87)</f>
        <v>85.87</v>
      </c>
      <c r="C6021" s="2">
        <f>IFERROR(__xludf.DUMMYFUNCTION("""COMPUTED_VALUE"""),86.77)</f>
        <v>86.77</v>
      </c>
      <c r="D6021" s="2">
        <f>IFERROR(__xludf.DUMMYFUNCTION("""COMPUTED_VALUE"""),85.47)</f>
        <v>85.47</v>
      </c>
      <c r="E6021" s="2">
        <f>IFERROR(__xludf.DUMMYFUNCTION("""COMPUTED_VALUE"""),85.66)</f>
        <v>85.66</v>
      </c>
      <c r="F6021" s="2">
        <f>IFERROR(__xludf.DUMMYFUNCTION("""COMPUTED_VALUE"""),5825141.0)</f>
        <v>5825141</v>
      </c>
    </row>
    <row r="6022">
      <c r="A6022" s="3">
        <f>IFERROR(__xludf.DUMMYFUNCTION("""COMPUTED_VALUE"""),37929.666666666664)</f>
        <v>37929.66667</v>
      </c>
      <c r="B6022" s="2">
        <f>IFERROR(__xludf.DUMMYFUNCTION("""COMPUTED_VALUE"""),85.66)</f>
        <v>85.66</v>
      </c>
      <c r="C6022" s="2">
        <f>IFERROR(__xludf.DUMMYFUNCTION("""COMPUTED_VALUE"""),85.77)</f>
        <v>85.77</v>
      </c>
      <c r="D6022" s="2">
        <f>IFERROR(__xludf.DUMMYFUNCTION("""COMPUTED_VALUE"""),84.88)</f>
        <v>84.88</v>
      </c>
      <c r="E6022" s="2">
        <f>IFERROR(__xludf.DUMMYFUNCTION("""COMPUTED_VALUE"""),85.14)</f>
        <v>85.14</v>
      </c>
      <c r="F6022" s="2">
        <f>IFERROR(__xludf.DUMMYFUNCTION("""COMPUTED_VALUE"""),5146301.0)</f>
        <v>5146301</v>
      </c>
    </row>
    <row r="6023">
      <c r="A6023" s="3">
        <f>IFERROR(__xludf.DUMMYFUNCTION("""COMPUTED_VALUE"""),37930.666666666664)</f>
        <v>37930.66667</v>
      </c>
      <c r="B6023" s="2">
        <f>IFERROR(__xludf.DUMMYFUNCTION("""COMPUTED_VALUE"""),84.55)</f>
        <v>84.55</v>
      </c>
      <c r="C6023" s="2">
        <f>IFERROR(__xludf.DUMMYFUNCTION("""COMPUTED_VALUE"""),84.89)</f>
        <v>84.89</v>
      </c>
      <c r="D6023" s="2">
        <f>IFERROR(__xludf.DUMMYFUNCTION("""COMPUTED_VALUE"""),84.05)</f>
        <v>84.05</v>
      </c>
      <c r="E6023" s="2">
        <f>IFERROR(__xludf.DUMMYFUNCTION("""COMPUTED_VALUE"""),84.28)</f>
        <v>84.28</v>
      </c>
      <c r="F6023" s="2">
        <f>IFERROR(__xludf.DUMMYFUNCTION("""COMPUTED_VALUE"""),6275700.0)</f>
        <v>6275700</v>
      </c>
    </row>
    <row r="6024">
      <c r="A6024" s="3">
        <f>IFERROR(__xludf.DUMMYFUNCTION("""COMPUTED_VALUE"""),37931.666666666664)</f>
        <v>37931.66667</v>
      </c>
      <c r="B6024" s="2">
        <f>IFERROR(__xludf.DUMMYFUNCTION("""COMPUTED_VALUE"""),84.37)</f>
        <v>84.37</v>
      </c>
      <c r="C6024" s="2">
        <f>IFERROR(__xludf.DUMMYFUNCTION("""COMPUTED_VALUE"""),85.57)</f>
        <v>85.57</v>
      </c>
      <c r="D6024" s="2">
        <f>IFERROR(__xludf.DUMMYFUNCTION("""COMPUTED_VALUE"""),83.79)</f>
        <v>83.79</v>
      </c>
      <c r="E6024" s="2">
        <f>IFERROR(__xludf.DUMMYFUNCTION("""COMPUTED_VALUE"""),85.33)</f>
        <v>85.33</v>
      </c>
      <c r="F6024" s="2">
        <f>IFERROR(__xludf.DUMMYFUNCTION("""COMPUTED_VALUE"""),5668900.0)</f>
        <v>5668900</v>
      </c>
    </row>
    <row r="6025">
      <c r="A6025" s="3">
        <f>IFERROR(__xludf.DUMMYFUNCTION("""COMPUTED_VALUE"""),37932.666666666664)</f>
        <v>37932.66667</v>
      </c>
      <c r="B6025" s="2">
        <f>IFERROR(__xludf.DUMMYFUNCTION("""COMPUTED_VALUE"""),85.39)</f>
        <v>85.39</v>
      </c>
      <c r="C6025" s="2">
        <f>IFERROR(__xludf.DUMMYFUNCTION("""COMPUTED_VALUE"""),85.58)</f>
        <v>85.58</v>
      </c>
      <c r="D6025" s="2">
        <f>IFERROR(__xludf.DUMMYFUNCTION("""COMPUTED_VALUE"""),84.3)</f>
        <v>84.3</v>
      </c>
      <c r="E6025" s="2">
        <f>IFERROR(__xludf.DUMMYFUNCTION("""COMPUTED_VALUE"""),84.3)</f>
        <v>84.3</v>
      </c>
      <c r="F6025" s="2">
        <f>IFERROR(__xludf.DUMMYFUNCTION("""COMPUTED_VALUE"""),5566400.0)</f>
        <v>5566400</v>
      </c>
    </row>
    <row r="6026">
      <c r="A6026" s="3">
        <f>IFERROR(__xludf.DUMMYFUNCTION("""COMPUTED_VALUE"""),37935.666666666664)</f>
        <v>37935.66667</v>
      </c>
      <c r="B6026" s="2">
        <f>IFERROR(__xludf.DUMMYFUNCTION("""COMPUTED_VALUE"""),86.22)</f>
        <v>86.22</v>
      </c>
      <c r="C6026" s="2">
        <f>IFERROR(__xludf.DUMMYFUNCTION("""COMPUTED_VALUE"""),86.41)</f>
        <v>86.41</v>
      </c>
      <c r="D6026" s="2">
        <f>IFERROR(__xludf.DUMMYFUNCTION("""COMPUTED_VALUE"""),85.53)</f>
        <v>85.53</v>
      </c>
      <c r="E6026" s="2">
        <f>IFERROR(__xludf.DUMMYFUNCTION("""COMPUTED_VALUE"""),85.92)</f>
        <v>85.92</v>
      </c>
      <c r="F6026" s="2">
        <f>IFERROR(__xludf.DUMMYFUNCTION("""COMPUTED_VALUE"""),8349700.0)</f>
        <v>8349700</v>
      </c>
    </row>
    <row r="6027">
      <c r="A6027" s="3">
        <f>IFERROR(__xludf.DUMMYFUNCTION("""COMPUTED_VALUE"""),37936.666666666664)</f>
        <v>37936.66667</v>
      </c>
      <c r="B6027" s="2">
        <f>IFERROR(__xludf.DUMMYFUNCTION("""COMPUTED_VALUE"""),85.96)</f>
        <v>85.96</v>
      </c>
      <c r="C6027" s="2">
        <f>IFERROR(__xludf.DUMMYFUNCTION("""COMPUTED_VALUE"""),85.99)</f>
        <v>85.99</v>
      </c>
      <c r="D6027" s="2">
        <f>IFERROR(__xludf.DUMMYFUNCTION("""COMPUTED_VALUE"""),84.9)</f>
        <v>84.9</v>
      </c>
      <c r="E6027" s="2">
        <f>IFERROR(__xludf.DUMMYFUNCTION("""COMPUTED_VALUE"""),85.35)</f>
        <v>85.35</v>
      </c>
      <c r="F6027" s="2">
        <f>IFERROR(__xludf.DUMMYFUNCTION("""COMPUTED_VALUE"""),4841200.0)</f>
        <v>4841200</v>
      </c>
    </row>
    <row r="6028">
      <c r="A6028" s="3">
        <f>IFERROR(__xludf.DUMMYFUNCTION("""COMPUTED_VALUE"""),37937.666666666664)</f>
        <v>37937.66667</v>
      </c>
      <c r="B6028" s="2">
        <f>IFERROR(__xludf.DUMMYFUNCTION("""COMPUTED_VALUE"""),85.44)</f>
        <v>85.44</v>
      </c>
      <c r="C6028" s="2">
        <f>IFERROR(__xludf.DUMMYFUNCTION("""COMPUTED_VALUE"""),87.07)</f>
        <v>87.07</v>
      </c>
      <c r="D6028" s="2">
        <f>IFERROR(__xludf.DUMMYFUNCTION("""COMPUTED_VALUE"""),85.31)</f>
        <v>85.31</v>
      </c>
      <c r="E6028" s="2">
        <f>IFERROR(__xludf.DUMMYFUNCTION("""COMPUTED_VALUE"""),86.62)</f>
        <v>86.62</v>
      </c>
      <c r="F6028" s="2">
        <f>IFERROR(__xludf.DUMMYFUNCTION("""COMPUTED_VALUE"""),5906200.0)</f>
        <v>5906200</v>
      </c>
    </row>
    <row r="6029">
      <c r="A6029" s="3">
        <f>IFERROR(__xludf.DUMMYFUNCTION("""COMPUTED_VALUE"""),37938.666666666664)</f>
        <v>37938.66667</v>
      </c>
      <c r="B6029" s="2">
        <f>IFERROR(__xludf.DUMMYFUNCTION("""COMPUTED_VALUE"""),86.35)</f>
        <v>86.35</v>
      </c>
      <c r="C6029" s="2">
        <f>IFERROR(__xludf.DUMMYFUNCTION("""COMPUTED_VALUE"""),87.38)</f>
        <v>87.38</v>
      </c>
      <c r="D6029" s="2">
        <f>IFERROR(__xludf.DUMMYFUNCTION("""COMPUTED_VALUE"""),86.12)</f>
        <v>86.12</v>
      </c>
      <c r="E6029" s="2">
        <f>IFERROR(__xludf.DUMMYFUNCTION("""COMPUTED_VALUE"""),87.01)</f>
        <v>87.01</v>
      </c>
      <c r="F6029" s="2">
        <f>IFERROR(__xludf.DUMMYFUNCTION("""COMPUTED_VALUE"""),5278400.0)</f>
        <v>5278400</v>
      </c>
    </row>
    <row r="6030">
      <c r="A6030" s="3">
        <f>IFERROR(__xludf.DUMMYFUNCTION("""COMPUTED_VALUE"""),37939.666666666664)</f>
        <v>37939.66667</v>
      </c>
      <c r="B6030" s="2">
        <f>IFERROR(__xludf.DUMMYFUNCTION("""COMPUTED_VALUE"""),86.94)</f>
        <v>86.94</v>
      </c>
      <c r="C6030" s="2">
        <f>IFERROR(__xludf.DUMMYFUNCTION("""COMPUTED_VALUE"""),87.32)</f>
        <v>87.32</v>
      </c>
      <c r="D6030" s="2">
        <f>IFERROR(__xludf.DUMMYFUNCTION("""COMPUTED_VALUE"""),85.78)</f>
        <v>85.78</v>
      </c>
      <c r="E6030" s="2">
        <f>IFERROR(__xludf.DUMMYFUNCTION("""COMPUTED_VALUE"""),86.2)</f>
        <v>86.2</v>
      </c>
      <c r="F6030" s="2">
        <f>IFERROR(__xludf.DUMMYFUNCTION("""COMPUTED_VALUE"""),4510500.0)</f>
        <v>4510500</v>
      </c>
    </row>
    <row r="6031">
      <c r="A6031" s="3">
        <f>IFERROR(__xludf.DUMMYFUNCTION("""COMPUTED_VALUE"""),37942.666666666664)</f>
        <v>37942.66667</v>
      </c>
      <c r="B6031" s="2">
        <f>IFERROR(__xludf.DUMMYFUNCTION("""COMPUTED_VALUE"""),85.87)</f>
        <v>85.87</v>
      </c>
      <c r="C6031" s="2">
        <f>IFERROR(__xludf.DUMMYFUNCTION("""COMPUTED_VALUE"""),86.01)</f>
        <v>86.01</v>
      </c>
      <c r="D6031" s="2">
        <f>IFERROR(__xludf.DUMMYFUNCTION("""COMPUTED_VALUE"""),85.04)</f>
        <v>85.04</v>
      </c>
      <c r="E6031" s="2">
        <f>IFERROR(__xludf.DUMMYFUNCTION("""COMPUTED_VALUE"""),85.77)</f>
        <v>85.77</v>
      </c>
      <c r="F6031" s="2">
        <f>IFERROR(__xludf.DUMMYFUNCTION("""COMPUTED_VALUE"""),4748900.0)</f>
        <v>4748900</v>
      </c>
    </row>
    <row r="6032">
      <c r="A6032" s="3">
        <f>IFERROR(__xludf.DUMMYFUNCTION("""COMPUTED_VALUE"""),37943.666666666664)</f>
        <v>37943.66667</v>
      </c>
      <c r="B6032" s="2">
        <f>IFERROR(__xludf.DUMMYFUNCTION("""COMPUTED_VALUE"""),85.89)</f>
        <v>85.89</v>
      </c>
      <c r="C6032" s="2">
        <f>IFERROR(__xludf.DUMMYFUNCTION("""COMPUTED_VALUE"""),86.14)</f>
        <v>86.14</v>
      </c>
      <c r="D6032" s="2">
        <f>IFERROR(__xludf.DUMMYFUNCTION("""COMPUTED_VALUE"""),84.91)</f>
        <v>84.91</v>
      </c>
      <c r="E6032" s="2">
        <f>IFERROR(__xludf.DUMMYFUNCTION("""COMPUTED_VALUE"""),84.96)</f>
        <v>84.96</v>
      </c>
      <c r="F6032" s="2">
        <f>IFERROR(__xludf.DUMMYFUNCTION("""COMPUTED_VALUE"""),5284500.0)</f>
        <v>5284500</v>
      </c>
    </row>
    <row r="6033">
      <c r="A6033" s="3">
        <f>IFERROR(__xludf.DUMMYFUNCTION("""COMPUTED_VALUE"""),37944.666666666664)</f>
        <v>37944.66667</v>
      </c>
      <c r="B6033" s="2">
        <f>IFERROR(__xludf.DUMMYFUNCTION("""COMPUTED_VALUE"""),84.36)</f>
        <v>84.36</v>
      </c>
      <c r="C6033" s="2">
        <f>IFERROR(__xludf.DUMMYFUNCTION("""COMPUTED_VALUE"""),85.8)</f>
        <v>85.8</v>
      </c>
      <c r="D6033" s="2">
        <f>IFERROR(__xludf.DUMMYFUNCTION("""COMPUTED_VALUE"""),84.36)</f>
        <v>84.36</v>
      </c>
      <c r="E6033" s="2">
        <f>IFERROR(__xludf.DUMMYFUNCTION("""COMPUTED_VALUE"""),85.39)</f>
        <v>85.39</v>
      </c>
      <c r="F6033" s="2">
        <f>IFERROR(__xludf.DUMMYFUNCTION("""COMPUTED_VALUE"""),4156900.0)</f>
        <v>4156900</v>
      </c>
    </row>
    <row r="6034">
      <c r="A6034" s="3">
        <f>IFERROR(__xludf.DUMMYFUNCTION("""COMPUTED_VALUE"""),37945.666666666664)</f>
        <v>37945.66667</v>
      </c>
      <c r="B6034" s="2">
        <f>IFERROR(__xludf.DUMMYFUNCTION("""COMPUTED_VALUE"""),85.3)</f>
        <v>85.3</v>
      </c>
      <c r="C6034" s="2">
        <f>IFERROR(__xludf.DUMMYFUNCTION("""COMPUTED_VALUE"""),85.76)</f>
        <v>85.76</v>
      </c>
      <c r="D6034" s="2">
        <f>IFERROR(__xludf.DUMMYFUNCTION("""COMPUTED_VALUE"""),84.42)</f>
        <v>84.42</v>
      </c>
      <c r="E6034" s="2">
        <f>IFERROR(__xludf.DUMMYFUNCTION("""COMPUTED_VALUE"""),84.43)</f>
        <v>84.43</v>
      </c>
      <c r="F6034" s="2">
        <f>IFERROR(__xludf.DUMMYFUNCTION("""COMPUTED_VALUE"""),5112200.0)</f>
        <v>5112200</v>
      </c>
    </row>
    <row r="6035">
      <c r="A6035" s="3">
        <f>IFERROR(__xludf.DUMMYFUNCTION("""COMPUTED_VALUE"""),37946.666666666664)</f>
        <v>37946.66667</v>
      </c>
      <c r="B6035" s="2">
        <f>IFERROR(__xludf.DUMMYFUNCTION("""COMPUTED_VALUE"""),84.44)</f>
        <v>84.44</v>
      </c>
      <c r="C6035" s="2">
        <f>IFERROR(__xludf.DUMMYFUNCTION("""COMPUTED_VALUE"""),84.87)</f>
        <v>84.87</v>
      </c>
      <c r="D6035" s="2">
        <f>IFERROR(__xludf.DUMMYFUNCTION("""COMPUTED_VALUE"""),84.27)</f>
        <v>84.27</v>
      </c>
      <c r="E6035" s="2">
        <f>IFERROR(__xludf.DUMMYFUNCTION("""COMPUTED_VALUE"""),84.66)</f>
        <v>84.66</v>
      </c>
      <c r="F6035" s="2">
        <f>IFERROR(__xludf.DUMMYFUNCTION("""COMPUTED_VALUE"""),5935500.0)</f>
        <v>5935500</v>
      </c>
    </row>
    <row r="6036">
      <c r="A6036" s="3">
        <f>IFERROR(__xludf.DUMMYFUNCTION("""COMPUTED_VALUE"""),37949.666666666664)</f>
        <v>37949.66667</v>
      </c>
      <c r="B6036" s="2">
        <f>IFERROR(__xludf.DUMMYFUNCTION("""COMPUTED_VALUE"""),85.04)</f>
        <v>85.04</v>
      </c>
      <c r="C6036" s="2">
        <f>IFERROR(__xludf.DUMMYFUNCTION("""COMPUTED_VALUE"""),85.72)</f>
        <v>85.72</v>
      </c>
      <c r="D6036" s="2">
        <f>IFERROR(__xludf.DUMMYFUNCTION("""COMPUTED_VALUE"""),84.96)</f>
        <v>84.96</v>
      </c>
      <c r="E6036" s="2">
        <f>IFERROR(__xludf.DUMMYFUNCTION("""COMPUTED_VALUE"""),85.64)</f>
        <v>85.64</v>
      </c>
      <c r="F6036" s="2">
        <f>IFERROR(__xludf.DUMMYFUNCTION("""COMPUTED_VALUE"""),4722400.0)</f>
        <v>4722400</v>
      </c>
    </row>
    <row r="6037">
      <c r="A6037" s="3">
        <f>IFERROR(__xludf.DUMMYFUNCTION("""COMPUTED_VALUE"""),37950.666666666664)</f>
        <v>37950.66667</v>
      </c>
      <c r="B6037" s="2">
        <f>IFERROR(__xludf.DUMMYFUNCTION("""COMPUTED_VALUE"""),85.64)</f>
        <v>85.64</v>
      </c>
      <c r="C6037" s="2">
        <f>IFERROR(__xludf.DUMMYFUNCTION("""COMPUTED_VALUE"""),85.82)</f>
        <v>85.82</v>
      </c>
      <c r="D6037" s="2">
        <f>IFERROR(__xludf.DUMMYFUNCTION("""COMPUTED_VALUE"""),85.27)</f>
        <v>85.27</v>
      </c>
      <c r="E6037" s="2">
        <f>IFERROR(__xludf.DUMMYFUNCTION("""COMPUTED_VALUE"""),85.42)</f>
        <v>85.42</v>
      </c>
      <c r="F6037" s="2">
        <f>IFERROR(__xludf.DUMMYFUNCTION("""COMPUTED_VALUE"""),4305700.0)</f>
        <v>4305700</v>
      </c>
    </row>
    <row r="6038">
      <c r="A6038" s="3">
        <f>IFERROR(__xludf.DUMMYFUNCTION("""COMPUTED_VALUE"""),37951.666666666664)</f>
        <v>37951.66667</v>
      </c>
      <c r="B6038" s="2">
        <f>IFERROR(__xludf.DUMMYFUNCTION("""COMPUTED_VALUE"""),85.76)</f>
        <v>85.76</v>
      </c>
      <c r="C6038" s="2">
        <f>IFERROR(__xludf.DUMMYFUNCTION("""COMPUTED_VALUE"""),86.05)</f>
        <v>86.05</v>
      </c>
      <c r="D6038" s="2">
        <f>IFERROR(__xludf.DUMMYFUNCTION("""COMPUTED_VALUE"""),85.11)</f>
        <v>85.11</v>
      </c>
      <c r="E6038" s="2">
        <f>IFERROR(__xludf.DUMMYFUNCTION("""COMPUTED_VALUE"""),85.88)</f>
        <v>85.88</v>
      </c>
      <c r="F6038" s="2">
        <f>IFERROR(__xludf.DUMMYFUNCTION("""COMPUTED_VALUE"""),4146800.0)</f>
        <v>4146800</v>
      </c>
    </row>
    <row r="6039">
      <c r="A6039" s="3">
        <f>IFERROR(__xludf.DUMMYFUNCTION("""COMPUTED_VALUE"""),37953.666666666664)</f>
        <v>37953.66667</v>
      </c>
      <c r="B6039" s="2">
        <f>IFERROR(__xludf.DUMMYFUNCTION("""COMPUTED_VALUE"""),85.87)</f>
        <v>85.87</v>
      </c>
      <c r="C6039" s="2">
        <f>IFERROR(__xludf.DUMMYFUNCTION("""COMPUTED_VALUE"""),86.61)</f>
        <v>86.61</v>
      </c>
      <c r="D6039" s="2">
        <f>IFERROR(__xludf.DUMMYFUNCTION("""COMPUTED_VALUE"""),85.6)</f>
        <v>85.6</v>
      </c>
      <c r="E6039" s="2">
        <f>IFERROR(__xludf.DUMMYFUNCTION("""COMPUTED_VALUE"""),86.48)</f>
        <v>86.48</v>
      </c>
      <c r="F6039" s="2">
        <f>IFERROR(__xludf.DUMMYFUNCTION("""COMPUTED_VALUE"""),2195500.0)</f>
        <v>2195500</v>
      </c>
    </row>
    <row r="6040">
      <c r="A6040" s="3">
        <f>IFERROR(__xludf.DUMMYFUNCTION("""COMPUTED_VALUE"""),37956.666666666664)</f>
        <v>37956.66667</v>
      </c>
      <c r="B6040" s="2">
        <f>IFERROR(__xludf.DUMMYFUNCTION("""COMPUTED_VALUE"""),86.9)</f>
        <v>86.9</v>
      </c>
      <c r="C6040" s="2">
        <f>IFERROR(__xludf.DUMMYFUNCTION("""COMPUTED_VALUE"""),87.26)</f>
        <v>87.26</v>
      </c>
      <c r="D6040" s="2">
        <f>IFERROR(__xludf.DUMMYFUNCTION("""COMPUTED_VALUE"""),86.42)</f>
        <v>86.42</v>
      </c>
      <c r="E6040" s="2">
        <f>IFERROR(__xludf.DUMMYFUNCTION("""COMPUTED_VALUE"""),86.93)</f>
        <v>86.93</v>
      </c>
      <c r="F6040" s="2">
        <f>IFERROR(__xludf.DUMMYFUNCTION("""COMPUTED_VALUE"""),5234900.0)</f>
        <v>5234900</v>
      </c>
    </row>
    <row r="6041">
      <c r="A6041" s="3">
        <f>IFERROR(__xludf.DUMMYFUNCTION("""COMPUTED_VALUE"""),37957.666666666664)</f>
        <v>37957.66667</v>
      </c>
      <c r="B6041" s="2">
        <f>IFERROR(__xludf.DUMMYFUNCTION("""COMPUTED_VALUE"""),86.51)</f>
        <v>86.51</v>
      </c>
      <c r="C6041" s="2">
        <f>IFERROR(__xludf.DUMMYFUNCTION("""COMPUTED_VALUE"""),87.38)</f>
        <v>87.38</v>
      </c>
      <c r="D6041" s="2">
        <f>IFERROR(__xludf.DUMMYFUNCTION("""COMPUTED_VALUE"""),86.46)</f>
        <v>86.46</v>
      </c>
      <c r="E6041" s="2">
        <f>IFERROR(__xludf.DUMMYFUNCTION("""COMPUTED_VALUE"""),86.68)</f>
        <v>86.68</v>
      </c>
      <c r="F6041" s="2">
        <f>IFERROR(__xludf.DUMMYFUNCTION("""COMPUTED_VALUE"""),5092900.0)</f>
        <v>5092900</v>
      </c>
    </row>
    <row r="6042">
      <c r="A6042" s="3">
        <f>IFERROR(__xludf.DUMMYFUNCTION("""COMPUTED_VALUE"""),37958.666666666664)</f>
        <v>37958.66667</v>
      </c>
      <c r="B6042" s="2">
        <f>IFERROR(__xludf.DUMMYFUNCTION("""COMPUTED_VALUE"""),87.06)</f>
        <v>87.06</v>
      </c>
      <c r="C6042" s="2">
        <f>IFERROR(__xludf.DUMMYFUNCTION("""COMPUTED_VALUE"""),87.34)</f>
        <v>87.34</v>
      </c>
      <c r="D6042" s="2">
        <f>IFERROR(__xludf.DUMMYFUNCTION("""COMPUTED_VALUE"""),86.25)</f>
        <v>86.25</v>
      </c>
      <c r="E6042" s="2">
        <f>IFERROR(__xludf.DUMMYFUNCTION("""COMPUTED_VALUE"""),86.25)</f>
        <v>86.25</v>
      </c>
      <c r="F6042" s="2">
        <f>IFERROR(__xludf.DUMMYFUNCTION("""COMPUTED_VALUE"""),6170600.0)</f>
        <v>6170600</v>
      </c>
    </row>
    <row r="6043">
      <c r="A6043" s="3">
        <f>IFERROR(__xludf.DUMMYFUNCTION("""COMPUTED_VALUE"""),37959.666666666664)</f>
        <v>37959.66667</v>
      </c>
      <c r="B6043" s="2">
        <f>IFERROR(__xludf.DUMMYFUNCTION("""COMPUTED_VALUE"""),86.01)</f>
        <v>86.01</v>
      </c>
      <c r="C6043" s="2">
        <f>IFERROR(__xludf.DUMMYFUNCTION("""COMPUTED_VALUE"""),87.34)</f>
        <v>87.34</v>
      </c>
      <c r="D6043" s="2">
        <f>IFERROR(__xludf.DUMMYFUNCTION("""COMPUTED_VALUE"""),86.0)</f>
        <v>86</v>
      </c>
      <c r="E6043" s="2">
        <f>IFERROR(__xludf.DUMMYFUNCTION("""COMPUTED_VALUE"""),87.32)</f>
        <v>87.32</v>
      </c>
      <c r="F6043" s="2">
        <f>IFERROR(__xludf.DUMMYFUNCTION("""COMPUTED_VALUE"""),5360400.0)</f>
        <v>5360400</v>
      </c>
    </row>
    <row r="6044">
      <c r="A6044" s="3">
        <f>IFERROR(__xludf.DUMMYFUNCTION("""COMPUTED_VALUE"""),37960.666666666664)</f>
        <v>37960.66667</v>
      </c>
      <c r="B6044" s="2">
        <f>IFERROR(__xludf.DUMMYFUNCTION("""COMPUTED_VALUE"""),87.21)</f>
        <v>87.21</v>
      </c>
      <c r="C6044" s="2">
        <f>IFERROR(__xludf.DUMMYFUNCTION("""COMPUTED_VALUE"""),87.21)</f>
        <v>87.21</v>
      </c>
      <c r="D6044" s="2">
        <f>IFERROR(__xludf.DUMMYFUNCTION("""COMPUTED_VALUE"""),86.44)</f>
        <v>86.44</v>
      </c>
      <c r="E6044" s="2">
        <f>IFERROR(__xludf.DUMMYFUNCTION("""COMPUTED_VALUE"""),86.58)</f>
        <v>86.58</v>
      </c>
      <c r="F6044" s="2">
        <f>IFERROR(__xludf.DUMMYFUNCTION("""COMPUTED_VALUE"""),5878400.0)</f>
        <v>5878400</v>
      </c>
    </row>
    <row r="6045">
      <c r="A6045" s="3">
        <f>IFERROR(__xludf.DUMMYFUNCTION("""COMPUTED_VALUE"""),37963.666666666664)</f>
        <v>37963.66667</v>
      </c>
      <c r="B6045" s="2">
        <f>IFERROR(__xludf.DUMMYFUNCTION("""COMPUTED_VALUE"""),86.46)</f>
        <v>86.46</v>
      </c>
      <c r="C6045" s="2">
        <f>IFERROR(__xludf.DUMMYFUNCTION("""COMPUTED_VALUE"""),87.37)</f>
        <v>87.37</v>
      </c>
      <c r="D6045" s="2">
        <f>IFERROR(__xludf.DUMMYFUNCTION("""COMPUTED_VALUE"""),86.46)</f>
        <v>86.46</v>
      </c>
      <c r="E6045" s="2">
        <f>IFERROR(__xludf.DUMMYFUNCTION("""COMPUTED_VALUE"""),87.11)</f>
        <v>87.11</v>
      </c>
      <c r="F6045" s="2">
        <f>IFERROR(__xludf.DUMMYFUNCTION("""COMPUTED_VALUE"""),5342000.0)</f>
        <v>5342000</v>
      </c>
    </row>
    <row r="6046">
      <c r="A6046" s="3">
        <f>IFERROR(__xludf.DUMMYFUNCTION("""COMPUTED_VALUE"""),37964.666666666664)</f>
        <v>37964.66667</v>
      </c>
      <c r="B6046" s="2">
        <f>IFERROR(__xludf.DUMMYFUNCTION("""COMPUTED_VALUE"""),87.06)</f>
        <v>87.06</v>
      </c>
      <c r="C6046" s="2">
        <f>IFERROR(__xludf.DUMMYFUNCTION("""COMPUTED_VALUE"""),88.03)</f>
        <v>88.03</v>
      </c>
      <c r="D6046" s="2">
        <f>IFERROR(__xludf.DUMMYFUNCTION("""COMPUTED_VALUE"""),86.55)</f>
        <v>86.55</v>
      </c>
      <c r="E6046" s="2">
        <f>IFERROR(__xludf.DUMMYFUNCTION("""COMPUTED_VALUE"""),86.57)</f>
        <v>86.57</v>
      </c>
      <c r="F6046" s="2">
        <f>IFERROR(__xludf.DUMMYFUNCTION("""COMPUTED_VALUE"""),6971500.0)</f>
        <v>6971500</v>
      </c>
    </row>
    <row r="6047">
      <c r="A6047" s="3">
        <f>IFERROR(__xludf.DUMMYFUNCTION("""COMPUTED_VALUE"""),37965.666666666664)</f>
        <v>37965.66667</v>
      </c>
      <c r="B6047" s="2">
        <f>IFERROR(__xludf.DUMMYFUNCTION("""COMPUTED_VALUE"""),86.62)</f>
        <v>86.62</v>
      </c>
      <c r="C6047" s="2">
        <f>IFERROR(__xludf.DUMMYFUNCTION("""COMPUTED_VALUE"""),88.58)</f>
        <v>88.58</v>
      </c>
      <c r="D6047" s="2">
        <f>IFERROR(__xludf.DUMMYFUNCTION("""COMPUTED_VALUE"""),86.59)</f>
        <v>86.59</v>
      </c>
      <c r="E6047" s="2">
        <f>IFERROR(__xludf.DUMMYFUNCTION("""COMPUTED_VALUE"""),87.62)</f>
        <v>87.62</v>
      </c>
      <c r="F6047" s="2">
        <f>IFERROR(__xludf.DUMMYFUNCTION("""COMPUTED_VALUE"""),7140400.0)</f>
        <v>7140400</v>
      </c>
    </row>
    <row r="6048">
      <c r="A6048" s="3">
        <f>IFERROR(__xludf.DUMMYFUNCTION("""COMPUTED_VALUE"""),37966.666666666664)</f>
        <v>37966.66667</v>
      </c>
      <c r="B6048" s="2">
        <f>IFERROR(__xludf.DUMMYFUNCTION("""COMPUTED_VALUE"""),87.84)</f>
        <v>87.84</v>
      </c>
      <c r="C6048" s="2">
        <f>IFERROR(__xludf.DUMMYFUNCTION("""COMPUTED_VALUE"""),88.8)</f>
        <v>88.8</v>
      </c>
      <c r="D6048" s="2">
        <f>IFERROR(__xludf.DUMMYFUNCTION("""COMPUTED_VALUE"""),87.8)</f>
        <v>87.8</v>
      </c>
      <c r="E6048" s="2">
        <f>IFERROR(__xludf.DUMMYFUNCTION("""COMPUTED_VALUE"""),88.26)</f>
        <v>88.26</v>
      </c>
      <c r="F6048" s="2">
        <f>IFERROR(__xludf.DUMMYFUNCTION("""COMPUTED_VALUE"""),6412100.0)</f>
        <v>6412100</v>
      </c>
    </row>
    <row r="6049">
      <c r="A6049" s="3">
        <f>IFERROR(__xludf.DUMMYFUNCTION("""COMPUTED_VALUE"""),37967.666666666664)</f>
        <v>37967.66667</v>
      </c>
      <c r="B6049" s="2">
        <f>IFERROR(__xludf.DUMMYFUNCTION("""COMPUTED_VALUE"""),88.54)</f>
        <v>88.54</v>
      </c>
      <c r="C6049" s="2">
        <f>IFERROR(__xludf.DUMMYFUNCTION("""COMPUTED_VALUE"""),88.98)</f>
        <v>88.98</v>
      </c>
      <c r="D6049" s="2">
        <f>IFERROR(__xludf.DUMMYFUNCTION("""COMPUTED_VALUE"""),88.1)</f>
        <v>88.1</v>
      </c>
      <c r="E6049" s="2">
        <f>IFERROR(__xludf.DUMMYFUNCTION("""COMPUTED_VALUE"""),88.55)</f>
        <v>88.55</v>
      </c>
      <c r="F6049" s="2">
        <f>IFERROR(__xludf.DUMMYFUNCTION("""COMPUTED_VALUE"""),5079900.0)</f>
        <v>5079900</v>
      </c>
    </row>
    <row r="6050">
      <c r="A6050" s="3">
        <f>IFERROR(__xludf.DUMMYFUNCTION("""COMPUTED_VALUE"""),37970.666666666664)</f>
        <v>37970.66667</v>
      </c>
      <c r="B6050" s="2">
        <f>IFERROR(__xludf.DUMMYFUNCTION("""COMPUTED_VALUE"""),89.24)</f>
        <v>89.24</v>
      </c>
      <c r="C6050" s="2">
        <f>IFERROR(__xludf.DUMMYFUNCTION("""COMPUTED_VALUE"""),89.76)</f>
        <v>89.76</v>
      </c>
      <c r="D6050" s="2">
        <f>IFERROR(__xludf.DUMMYFUNCTION("""COMPUTED_VALUE"""),87.95)</f>
        <v>87.95</v>
      </c>
      <c r="E6050" s="2">
        <f>IFERROR(__xludf.DUMMYFUNCTION("""COMPUTED_VALUE"""),87.98)</f>
        <v>87.98</v>
      </c>
      <c r="F6050" s="2">
        <f>IFERROR(__xludf.DUMMYFUNCTION("""COMPUTED_VALUE"""),5964500.0)</f>
        <v>5964500</v>
      </c>
    </row>
    <row r="6051">
      <c r="A6051" s="3">
        <f>IFERROR(__xludf.DUMMYFUNCTION("""COMPUTED_VALUE"""),37971.666666666664)</f>
        <v>37971.66667</v>
      </c>
      <c r="B6051" s="2">
        <f>IFERROR(__xludf.DUMMYFUNCTION("""COMPUTED_VALUE"""),87.98)</f>
        <v>87.98</v>
      </c>
      <c r="C6051" s="2">
        <f>IFERROR(__xludf.DUMMYFUNCTION("""COMPUTED_VALUE"""),89.9)</f>
        <v>89.9</v>
      </c>
      <c r="D6051" s="2">
        <f>IFERROR(__xludf.DUMMYFUNCTION("""COMPUTED_VALUE"""),87.76)</f>
        <v>87.76</v>
      </c>
      <c r="E6051" s="2">
        <f>IFERROR(__xludf.DUMMYFUNCTION("""COMPUTED_VALUE"""),89.77)</f>
        <v>89.77</v>
      </c>
      <c r="F6051" s="2">
        <f>IFERROR(__xludf.DUMMYFUNCTION("""COMPUTED_VALUE"""),7455800.0)</f>
        <v>7455800</v>
      </c>
    </row>
    <row r="6052">
      <c r="A6052" s="3">
        <f>IFERROR(__xludf.DUMMYFUNCTION("""COMPUTED_VALUE"""),37972.666666666664)</f>
        <v>37972.66667</v>
      </c>
      <c r="B6052" s="2">
        <f>IFERROR(__xludf.DUMMYFUNCTION("""COMPUTED_VALUE"""),89.64)</f>
        <v>89.64</v>
      </c>
      <c r="C6052" s="2">
        <f>IFERROR(__xludf.DUMMYFUNCTION("""COMPUTED_VALUE"""),89.66)</f>
        <v>89.66</v>
      </c>
      <c r="D6052" s="2">
        <f>IFERROR(__xludf.DUMMYFUNCTION("""COMPUTED_VALUE"""),88.69)</f>
        <v>88.69</v>
      </c>
      <c r="E6052" s="2">
        <f>IFERROR(__xludf.DUMMYFUNCTION("""COMPUTED_VALUE"""),89.21)</f>
        <v>89.21</v>
      </c>
      <c r="F6052" s="2">
        <f>IFERROR(__xludf.DUMMYFUNCTION("""COMPUTED_VALUE"""),6056500.0)</f>
        <v>6056500</v>
      </c>
    </row>
    <row r="6053">
      <c r="A6053" s="3">
        <f>IFERROR(__xludf.DUMMYFUNCTION("""COMPUTED_VALUE"""),37973.666666666664)</f>
        <v>37973.66667</v>
      </c>
      <c r="B6053" s="2">
        <f>IFERROR(__xludf.DUMMYFUNCTION("""COMPUTED_VALUE"""),88.74)</f>
        <v>88.74</v>
      </c>
      <c r="C6053" s="2">
        <f>IFERROR(__xludf.DUMMYFUNCTION("""COMPUTED_VALUE"""),89.19)</f>
        <v>89.19</v>
      </c>
      <c r="D6053" s="2">
        <f>IFERROR(__xludf.DUMMYFUNCTION("""COMPUTED_VALUE"""),88.35)</f>
        <v>88.35</v>
      </c>
      <c r="E6053" s="2">
        <f>IFERROR(__xludf.DUMMYFUNCTION("""COMPUTED_VALUE"""),88.57)</f>
        <v>88.57</v>
      </c>
      <c r="F6053" s="2">
        <f>IFERROR(__xludf.DUMMYFUNCTION("""COMPUTED_VALUE"""),6873600.0)</f>
        <v>6873600</v>
      </c>
    </row>
    <row r="6054">
      <c r="A6054" s="3">
        <f>IFERROR(__xludf.DUMMYFUNCTION("""COMPUTED_VALUE"""),37974.666666666664)</f>
        <v>37974.66667</v>
      </c>
      <c r="B6054" s="2">
        <f>IFERROR(__xludf.DUMMYFUNCTION("""COMPUTED_VALUE"""),89.05)</f>
        <v>89.05</v>
      </c>
      <c r="C6054" s="2">
        <f>IFERROR(__xludf.DUMMYFUNCTION("""COMPUTED_VALUE"""),89.07)</f>
        <v>89.07</v>
      </c>
      <c r="D6054" s="2">
        <f>IFERROR(__xludf.DUMMYFUNCTION("""COMPUTED_VALUE"""),88.52)</f>
        <v>88.52</v>
      </c>
      <c r="E6054" s="2">
        <f>IFERROR(__xludf.DUMMYFUNCTION("""COMPUTED_VALUE"""),88.96)</f>
        <v>88.96</v>
      </c>
      <c r="F6054" s="2">
        <f>IFERROR(__xludf.DUMMYFUNCTION("""COMPUTED_VALUE"""),7090700.0)</f>
        <v>7090700</v>
      </c>
    </row>
    <row r="6055">
      <c r="A6055" s="3">
        <f>IFERROR(__xludf.DUMMYFUNCTION("""COMPUTED_VALUE"""),37977.666666666664)</f>
        <v>37977.66667</v>
      </c>
      <c r="B6055" s="2">
        <f>IFERROR(__xludf.DUMMYFUNCTION("""COMPUTED_VALUE"""),88.67)</f>
        <v>88.67</v>
      </c>
      <c r="C6055" s="2">
        <f>IFERROR(__xludf.DUMMYFUNCTION("""COMPUTED_VALUE"""),89.31)</f>
        <v>89.31</v>
      </c>
      <c r="D6055" s="2">
        <f>IFERROR(__xludf.DUMMYFUNCTION("""COMPUTED_VALUE"""),88.62)</f>
        <v>88.62</v>
      </c>
      <c r="E6055" s="2">
        <f>IFERROR(__xludf.DUMMYFUNCTION("""COMPUTED_VALUE"""),89.2)</f>
        <v>89.2</v>
      </c>
      <c r="F6055" s="2">
        <f>IFERROR(__xludf.DUMMYFUNCTION("""COMPUTED_VALUE"""),4332300.0)</f>
        <v>4332300</v>
      </c>
    </row>
    <row r="6056">
      <c r="A6056" s="3">
        <f>IFERROR(__xludf.DUMMYFUNCTION("""COMPUTED_VALUE"""),37978.666666666664)</f>
        <v>37978.66667</v>
      </c>
      <c r="B6056" s="2">
        <f>IFERROR(__xludf.DUMMYFUNCTION("""COMPUTED_VALUE"""),88.9)</f>
        <v>88.9</v>
      </c>
      <c r="C6056" s="2">
        <f>IFERROR(__xludf.DUMMYFUNCTION("""COMPUTED_VALUE"""),89.25)</f>
        <v>89.25</v>
      </c>
      <c r="D6056" s="2">
        <f>IFERROR(__xludf.DUMMYFUNCTION("""COMPUTED_VALUE"""),88.2)</f>
        <v>88.2</v>
      </c>
      <c r="E6056" s="2">
        <f>IFERROR(__xludf.DUMMYFUNCTION("""COMPUTED_VALUE"""),88.63)</f>
        <v>88.63</v>
      </c>
      <c r="F6056" s="2">
        <f>IFERROR(__xludf.DUMMYFUNCTION("""COMPUTED_VALUE"""),3677200.0)</f>
        <v>3677200</v>
      </c>
    </row>
    <row r="6057">
      <c r="A6057" s="3">
        <f>IFERROR(__xludf.DUMMYFUNCTION("""COMPUTED_VALUE"""),37979.666666666664)</f>
        <v>37979.66667</v>
      </c>
      <c r="B6057" s="2">
        <f>IFERROR(__xludf.DUMMYFUNCTION("""COMPUTED_VALUE"""),88.64)</f>
        <v>88.64</v>
      </c>
      <c r="C6057" s="2">
        <f>IFERROR(__xludf.DUMMYFUNCTION("""COMPUTED_VALUE"""),88.64)</f>
        <v>88.64</v>
      </c>
      <c r="D6057" s="2">
        <f>IFERROR(__xludf.DUMMYFUNCTION("""COMPUTED_VALUE"""),88.05)</f>
        <v>88.05</v>
      </c>
      <c r="E6057" s="2">
        <f>IFERROR(__xludf.DUMMYFUNCTION("""COMPUTED_VALUE"""),88.13)</f>
        <v>88.13</v>
      </c>
      <c r="F6057" s="2">
        <f>IFERROR(__xludf.DUMMYFUNCTION("""COMPUTED_VALUE"""),1760500.0)</f>
        <v>1760500</v>
      </c>
    </row>
    <row r="6058">
      <c r="A6058" s="3">
        <f>IFERROR(__xludf.DUMMYFUNCTION("""COMPUTED_VALUE"""),37981.666666666664)</f>
        <v>37981.66667</v>
      </c>
      <c r="B6058" s="2">
        <f>IFERROR(__xludf.DUMMYFUNCTION("""COMPUTED_VALUE"""),88.23)</f>
        <v>88.23</v>
      </c>
      <c r="C6058" s="2">
        <f>IFERROR(__xludf.DUMMYFUNCTION("""COMPUTED_VALUE"""),88.83)</f>
        <v>88.83</v>
      </c>
      <c r="D6058" s="2">
        <f>IFERROR(__xludf.DUMMYFUNCTION("""COMPUTED_VALUE"""),88.16)</f>
        <v>88.16</v>
      </c>
      <c r="E6058" s="2">
        <f>IFERROR(__xludf.DUMMYFUNCTION("""COMPUTED_VALUE"""),88.73)</f>
        <v>88.73</v>
      </c>
      <c r="F6058" s="2">
        <f>IFERROR(__xludf.DUMMYFUNCTION("""COMPUTED_VALUE"""),1408500.0)</f>
        <v>1408500</v>
      </c>
    </row>
    <row r="6059">
      <c r="A6059" s="3">
        <f>IFERROR(__xludf.DUMMYFUNCTION("""COMPUTED_VALUE"""),37984.666666666664)</f>
        <v>37984.66667</v>
      </c>
      <c r="B6059" s="2">
        <f>IFERROR(__xludf.DUMMYFUNCTION("""COMPUTED_VALUE"""),88.93)</f>
        <v>88.93</v>
      </c>
      <c r="C6059" s="2">
        <f>IFERROR(__xludf.DUMMYFUNCTION("""COMPUTED_VALUE"""),89.53)</f>
        <v>89.53</v>
      </c>
      <c r="D6059" s="2">
        <f>IFERROR(__xludf.DUMMYFUNCTION("""COMPUTED_VALUE"""),88.86)</f>
        <v>88.86</v>
      </c>
      <c r="E6059" s="2">
        <f>IFERROR(__xludf.DUMMYFUNCTION("""COMPUTED_VALUE"""),89.33)</f>
        <v>89.33</v>
      </c>
      <c r="F6059" s="2">
        <f>IFERROR(__xludf.DUMMYFUNCTION("""COMPUTED_VALUE"""),4034200.0)</f>
        <v>4034200</v>
      </c>
    </row>
    <row r="6060">
      <c r="A6060" s="3">
        <f>IFERROR(__xludf.DUMMYFUNCTION("""COMPUTED_VALUE"""),37985.666666666664)</f>
        <v>37985.66667</v>
      </c>
      <c r="B6060" s="2">
        <f>IFERROR(__xludf.DUMMYFUNCTION("""COMPUTED_VALUE"""),89.09)</f>
        <v>89.09</v>
      </c>
      <c r="C6060" s="2">
        <f>IFERROR(__xludf.DUMMYFUNCTION("""COMPUTED_VALUE"""),89.31)</f>
        <v>89.31</v>
      </c>
      <c r="D6060" s="2">
        <f>IFERROR(__xludf.DUMMYFUNCTION("""COMPUTED_VALUE"""),88.22)</f>
        <v>88.22</v>
      </c>
      <c r="E6060" s="2">
        <f>IFERROR(__xludf.DUMMYFUNCTION("""COMPUTED_VALUE"""),88.48)</f>
        <v>88.48</v>
      </c>
      <c r="F6060" s="2">
        <f>IFERROR(__xludf.DUMMYFUNCTION("""COMPUTED_VALUE"""),4003400.0)</f>
        <v>4003400</v>
      </c>
    </row>
    <row r="6061">
      <c r="A6061" s="3">
        <f>IFERROR(__xludf.DUMMYFUNCTION("""COMPUTED_VALUE"""),37986.666666666664)</f>
        <v>37986.66667</v>
      </c>
      <c r="B6061" s="2">
        <f>IFERROR(__xludf.DUMMYFUNCTION("""COMPUTED_VALUE"""),88.51)</f>
        <v>88.51</v>
      </c>
      <c r="C6061" s="2">
        <f>IFERROR(__xludf.DUMMYFUNCTION("""COMPUTED_VALUE"""),88.69)</f>
        <v>88.69</v>
      </c>
      <c r="D6061" s="2">
        <f>IFERROR(__xludf.DUMMYFUNCTION("""COMPUTED_VALUE"""),88.03)</f>
        <v>88.03</v>
      </c>
      <c r="E6061" s="2">
        <f>IFERROR(__xludf.DUMMYFUNCTION("""COMPUTED_VALUE"""),88.52)</f>
        <v>88.52</v>
      </c>
      <c r="F6061" s="2">
        <f>IFERROR(__xludf.DUMMYFUNCTION("""COMPUTED_VALUE"""),4726900.0)</f>
        <v>4726900</v>
      </c>
    </row>
    <row r="6062">
      <c r="A6062" s="3">
        <f>IFERROR(__xludf.DUMMYFUNCTION("""COMPUTED_VALUE"""),37988.666666666664)</f>
        <v>37988.66667</v>
      </c>
      <c r="B6062" s="2">
        <f>IFERROR(__xludf.DUMMYFUNCTION("""COMPUTED_VALUE"""),88.7)</f>
        <v>88.7</v>
      </c>
      <c r="C6062" s="2">
        <f>IFERROR(__xludf.DUMMYFUNCTION("""COMPUTED_VALUE"""),88.88)</f>
        <v>88.88</v>
      </c>
      <c r="D6062" s="2">
        <f>IFERROR(__xludf.DUMMYFUNCTION("""COMPUTED_VALUE"""),87.11)</f>
        <v>87.11</v>
      </c>
      <c r="E6062" s="2">
        <f>IFERROR(__xludf.DUMMYFUNCTION("""COMPUTED_VALUE"""),87.45)</f>
        <v>87.45</v>
      </c>
      <c r="F6062" s="2">
        <f>IFERROR(__xludf.DUMMYFUNCTION("""COMPUTED_VALUE"""),5330200.0)</f>
        <v>5330200</v>
      </c>
    </row>
    <row r="6063">
      <c r="A6063" s="3">
        <f>IFERROR(__xludf.DUMMYFUNCTION("""COMPUTED_VALUE"""),37991.666666666664)</f>
        <v>37991.66667</v>
      </c>
      <c r="B6063" s="2">
        <f>IFERROR(__xludf.DUMMYFUNCTION("""COMPUTED_VALUE"""),88.06)</f>
        <v>88.06</v>
      </c>
      <c r="C6063" s="2">
        <f>IFERROR(__xludf.DUMMYFUNCTION("""COMPUTED_VALUE"""),88.92)</f>
        <v>88.92</v>
      </c>
      <c r="D6063" s="2">
        <f>IFERROR(__xludf.DUMMYFUNCTION("""COMPUTED_VALUE"""),87.88)</f>
        <v>87.88</v>
      </c>
      <c r="E6063" s="2">
        <f>IFERROR(__xludf.DUMMYFUNCTION("""COMPUTED_VALUE"""),88.88)</f>
        <v>88.88</v>
      </c>
      <c r="F6063" s="2">
        <f>IFERROR(__xludf.DUMMYFUNCTION("""COMPUTED_VALUE"""),5276500.0)</f>
        <v>5276500</v>
      </c>
    </row>
    <row r="6064">
      <c r="A6064" s="3">
        <f>IFERROR(__xludf.DUMMYFUNCTION("""COMPUTED_VALUE"""),37992.666666666664)</f>
        <v>37992.66667</v>
      </c>
      <c r="B6064" s="2">
        <f>IFERROR(__xludf.DUMMYFUNCTION("""COMPUTED_VALUE"""),88.07)</f>
        <v>88.07</v>
      </c>
      <c r="C6064" s="2">
        <f>IFERROR(__xludf.DUMMYFUNCTION("""COMPUTED_VALUE"""),89.01)</f>
        <v>89.01</v>
      </c>
      <c r="D6064" s="2">
        <f>IFERROR(__xludf.DUMMYFUNCTION("""COMPUTED_VALUE"""),88.01)</f>
        <v>88.01</v>
      </c>
      <c r="E6064" s="2">
        <f>IFERROR(__xludf.DUMMYFUNCTION("""COMPUTED_VALUE"""),88.89)</f>
        <v>88.89</v>
      </c>
      <c r="F6064" s="2">
        <f>IFERROR(__xludf.DUMMYFUNCTION("""COMPUTED_VALUE"""),4380000.0)</f>
        <v>4380000</v>
      </c>
    </row>
    <row r="6065">
      <c r="A6065" s="3">
        <f>IFERROR(__xludf.DUMMYFUNCTION("""COMPUTED_VALUE"""),37993.666666666664)</f>
        <v>37993.66667</v>
      </c>
      <c r="B6065" s="2">
        <f>IFERROR(__xludf.DUMMYFUNCTION("""COMPUTED_VALUE"""),88.96)</f>
        <v>88.96</v>
      </c>
      <c r="C6065" s="2">
        <f>IFERROR(__xludf.DUMMYFUNCTION("""COMPUTED_VALUE"""),89.19)</f>
        <v>89.19</v>
      </c>
      <c r="D6065" s="2">
        <f>IFERROR(__xludf.DUMMYFUNCTION("""COMPUTED_VALUE"""),88.32)</f>
        <v>88.32</v>
      </c>
      <c r="E6065" s="2">
        <f>IFERROR(__xludf.DUMMYFUNCTION("""COMPUTED_VALUE"""),88.62)</f>
        <v>88.62</v>
      </c>
      <c r="F6065" s="2">
        <f>IFERROR(__xludf.DUMMYFUNCTION("""COMPUTED_VALUE"""),4927600.0)</f>
        <v>4927600</v>
      </c>
    </row>
    <row r="6066">
      <c r="A6066" s="3">
        <f>IFERROR(__xludf.DUMMYFUNCTION("""COMPUTED_VALUE"""),37994.666666666664)</f>
        <v>37994.66667</v>
      </c>
      <c r="B6066" s="2">
        <f>IFERROR(__xludf.DUMMYFUNCTION("""COMPUTED_VALUE"""),89.03)</f>
        <v>89.03</v>
      </c>
      <c r="C6066" s="2">
        <f>IFERROR(__xludf.DUMMYFUNCTION("""COMPUTED_VALUE"""),89.03)</f>
        <v>89.03</v>
      </c>
      <c r="D6066" s="2">
        <f>IFERROR(__xludf.DUMMYFUNCTION("""COMPUTED_VALUE"""),87.9)</f>
        <v>87.9</v>
      </c>
      <c r="E6066" s="2">
        <f>IFERROR(__xludf.DUMMYFUNCTION("""COMPUTED_VALUE"""),88.87)</f>
        <v>88.87</v>
      </c>
      <c r="F6066" s="2">
        <f>IFERROR(__xludf.DUMMYFUNCTION("""COMPUTED_VALUE"""),6251600.0)</f>
        <v>6251600</v>
      </c>
    </row>
    <row r="6067">
      <c r="A6067" s="3">
        <f>IFERROR(__xludf.DUMMYFUNCTION("""COMPUTED_VALUE"""),37995.666666666664)</f>
        <v>37995.66667</v>
      </c>
      <c r="B6067" s="2">
        <f>IFERROR(__xludf.DUMMYFUNCTION("""COMPUTED_VALUE"""),87.64)</f>
        <v>87.64</v>
      </c>
      <c r="C6067" s="2">
        <f>IFERROR(__xludf.DUMMYFUNCTION("""COMPUTED_VALUE"""),88.21)</f>
        <v>88.21</v>
      </c>
      <c r="D6067" s="2">
        <f>IFERROR(__xludf.DUMMYFUNCTION("""COMPUTED_VALUE"""),86.92)</f>
        <v>86.92</v>
      </c>
      <c r="E6067" s="2">
        <f>IFERROR(__xludf.DUMMYFUNCTION("""COMPUTED_VALUE"""),87.12)</f>
        <v>87.12</v>
      </c>
      <c r="F6067" s="2">
        <f>IFERROR(__xludf.DUMMYFUNCTION("""COMPUTED_VALUE"""),7932000.0)</f>
        <v>7932000</v>
      </c>
    </row>
    <row r="6068">
      <c r="A6068" s="3">
        <f>IFERROR(__xludf.DUMMYFUNCTION("""COMPUTED_VALUE"""),37998.666666666664)</f>
        <v>37998.66667</v>
      </c>
      <c r="B6068" s="2">
        <f>IFERROR(__xludf.DUMMYFUNCTION("""COMPUTED_VALUE"""),87.12)</f>
        <v>87.12</v>
      </c>
      <c r="C6068" s="2">
        <f>IFERROR(__xludf.DUMMYFUNCTION("""COMPUTED_VALUE"""),88.01)</f>
        <v>88.01</v>
      </c>
      <c r="D6068" s="2">
        <f>IFERROR(__xludf.DUMMYFUNCTION("""COMPUTED_VALUE"""),87.12)</f>
        <v>87.12</v>
      </c>
      <c r="E6068" s="2">
        <f>IFERROR(__xludf.DUMMYFUNCTION("""COMPUTED_VALUE"""),87.45)</f>
        <v>87.45</v>
      </c>
      <c r="F6068" s="2">
        <f>IFERROR(__xludf.DUMMYFUNCTION("""COMPUTED_VALUE"""),5130400.0)</f>
        <v>5130400</v>
      </c>
    </row>
    <row r="6069">
      <c r="A6069" s="3">
        <f>IFERROR(__xludf.DUMMYFUNCTION("""COMPUTED_VALUE"""),37999.666666666664)</f>
        <v>37999.66667</v>
      </c>
      <c r="B6069" s="2">
        <f>IFERROR(__xludf.DUMMYFUNCTION("""COMPUTED_VALUE"""),87.35)</f>
        <v>87.35</v>
      </c>
      <c r="C6069" s="2">
        <f>IFERROR(__xludf.DUMMYFUNCTION("""COMPUTED_VALUE"""),87.41)</f>
        <v>87.41</v>
      </c>
      <c r="D6069" s="2">
        <f>IFERROR(__xludf.DUMMYFUNCTION("""COMPUTED_VALUE"""),85.02)</f>
        <v>85.02</v>
      </c>
      <c r="E6069" s="2">
        <f>IFERROR(__xludf.DUMMYFUNCTION("""COMPUTED_VALUE"""),85.68)</f>
        <v>85.68</v>
      </c>
      <c r="F6069" s="2">
        <f>IFERROR(__xludf.DUMMYFUNCTION("""COMPUTED_VALUE"""),8842500.0)</f>
        <v>8842500</v>
      </c>
    </row>
    <row r="6070">
      <c r="A6070" s="3">
        <f>IFERROR(__xludf.DUMMYFUNCTION("""COMPUTED_VALUE"""),38000.666666666664)</f>
        <v>38000.66667</v>
      </c>
      <c r="B6070" s="2">
        <f>IFERROR(__xludf.DUMMYFUNCTION("""COMPUTED_VALUE"""),85.87)</f>
        <v>85.87</v>
      </c>
      <c r="C6070" s="2">
        <f>IFERROR(__xludf.DUMMYFUNCTION("""COMPUTED_VALUE"""),86.4)</f>
        <v>86.4</v>
      </c>
      <c r="D6070" s="2">
        <f>IFERROR(__xludf.DUMMYFUNCTION("""COMPUTED_VALUE"""),85.73)</f>
        <v>85.73</v>
      </c>
      <c r="E6070" s="2">
        <f>IFERROR(__xludf.DUMMYFUNCTION("""COMPUTED_VALUE"""),86.26)</f>
        <v>86.26</v>
      </c>
      <c r="F6070" s="2">
        <f>IFERROR(__xludf.DUMMYFUNCTION("""COMPUTED_VALUE"""),5531800.0)</f>
        <v>5531800</v>
      </c>
    </row>
    <row r="6071">
      <c r="A6071" s="3">
        <f>IFERROR(__xludf.DUMMYFUNCTION("""COMPUTED_VALUE"""),38001.666666666664)</f>
        <v>38001.66667</v>
      </c>
      <c r="B6071" s="2">
        <f>IFERROR(__xludf.DUMMYFUNCTION("""COMPUTED_VALUE"""),90.74)</f>
        <v>90.74</v>
      </c>
      <c r="C6071" s="2">
        <f>IFERROR(__xludf.DUMMYFUNCTION("""COMPUTED_VALUE"""),91.36)</f>
        <v>91.36</v>
      </c>
      <c r="D6071" s="2">
        <f>IFERROR(__xludf.DUMMYFUNCTION("""COMPUTED_VALUE"""),89.36)</f>
        <v>89.36</v>
      </c>
      <c r="E6071" s="2">
        <f>IFERROR(__xludf.DUMMYFUNCTION("""COMPUTED_VALUE"""),89.8)</f>
        <v>89.8</v>
      </c>
      <c r="F6071" s="2">
        <f>IFERROR(__xludf.DUMMYFUNCTION("""COMPUTED_VALUE"""),1.98137E7)</f>
        <v>19813700</v>
      </c>
    </row>
    <row r="6072">
      <c r="A6072" s="3">
        <f>IFERROR(__xludf.DUMMYFUNCTION("""COMPUTED_VALUE"""),38002.666666666664)</f>
        <v>38002.66667</v>
      </c>
      <c r="B6072" s="2">
        <f>IFERROR(__xludf.DUMMYFUNCTION("""COMPUTED_VALUE"""),90.74)</f>
        <v>90.74</v>
      </c>
      <c r="C6072" s="2">
        <f>IFERROR(__xludf.DUMMYFUNCTION("""COMPUTED_VALUE"""),91.07)</f>
        <v>91.07</v>
      </c>
      <c r="D6072" s="2">
        <f>IFERROR(__xludf.DUMMYFUNCTION("""COMPUTED_VALUE"""),90.46)</f>
        <v>90.46</v>
      </c>
      <c r="E6072" s="2">
        <f>IFERROR(__xludf.DUMMYFUNCTION("""COMPUTED_VALUE"""),91.05)</f>
        <v>91.05</v>
      </c>
      <c r="F6072" s="2">
        <f>IFERROR(__xludf.DUMMYFUNCTION("""COMPUTED_VALUE"""),9302100.0)</f>
        <v>9302100</v>
      </c>
    </row>
    <row r="6073">
      <c r="A6073" s="3">
        <f>IFERROR(__xludf.DUMMYFUNCTION("""COMPUTED_VALUE"""),38006.666666666664)</f>
        <v>38006.66667</v>
      </c>
      <c r="B6073" s="2">
        <f>IFERROR(__xludf.DUMMYFUNCTION("""COMPUTED_VALUE"""),91.7)</f>
        <v>91.7</v>
      </c>
      <c r="C6073" s="2">
        <f>IFERROR(__xludf.DUMMYFUNCTION("""COMPUTED_VALUE"""),93.07)</f>
        <v>93.07</v>
      </c>
      <c r="D6073" s="2">
        <f>IFERROR(__xludf.DUMMYFUNCTION("""COMPUTED_VALUE"""),91.44)</f>
        <v>91.44</v>
      </c>
      <c r="E6073" s="2">
        <f>IFERROR(__xludf.DUMMYFUNCTION("""COMPUTED_VALUE"""),92.75)</f>
        <v>92.75</v>
      </c>
      <c r="F6073" s="2">
        <f>IFERROR(__xludf.DUMMYFUNCTION("""COMPUTED_VALUE"""),9285300.0)</f>
        <v>9285300</v>
      </c>
    </row>
    <row r="6074">
      <c r="A6074" s="3">
        <f>IFERROR(__xludf.DUMMYFUNCTION("""COMPUTED_VALUE"""),38007.666666666664)</f>
        <v>38007.66667</v>
      </c>
      <c r="B6074" s="2">
        <f>IFERROR(__xludf.DUMMYFUNCTION("""COMPUTED_VALUE"""),92.87)</f>
        <v>92.87</v>
      </c>
      <c r="C6074" s="2">
        <f>IFERROR(__xludf.DUMMYFUNCTION("""COMPUTED_VALUE"""),93.64)</f>
        <v>93.64</v>
      </c>
      <c r="D6074" s="2">
        <f>IFERROR(__xludf.DUMMYFUNCTION("""COMPUTED_VALUE"""),92.31)</f>
        <v>92.31</v>
      </c>
      <c r="E6074" s="2">
        <f>IFERROR(__xludf.DUMMYFUNCTION("""COMPUTED_VALUE"""),93.32)</f>
        <v>93.32</v>
      </c>
      <c r="F6074" s="2">
        <f>IFERROR(__xludf.DUMMYFUNCTION("""COMPUTED_VALUE"""),6952700.0)</f>
        <v>6952700</v>
      </c>
    </row>
    <row r="6075">
      <c r="A6075" s="3">
        <f>IFERROR(__xludf.DUMMYFUNCTION("""COMPUTED_VALUE"""),38008.666666666664)</f>
        <v>38008.66667</v>
      </c>
      <c r="B6075" s="2">
        <f>IFERROR(__xludf.DUMMYFUNCTION("""COMPUTED_VALUE"""),93.45)</f>
        <v>93.45</v>
      </c>
      <c r="C6075" s="2">
        <f>IFERROR(__xludf.DUMMYFUNCTION("""COMPUTED_VALUE"""),93.76)</f>
        <v>93.76</v>
      </c>
      <c r="D6075" s="2">
        <f>IFERROR(__xludf.DUMMYFUNCTION("""COMPUTED_VALUE"""),92.96)</f>
        <v>92.96</v>
      </c>
      <c r="E6075" s="2">
        <f>IFERROR(__xludf.DUMMYFUNCTION("""COMPUTED_VALUE"""),93.14)</f>
        <v>93.14</v>
      </c>
      <c r="F6075" s="2">
        <f>IFERROR(__xludf.DUMMYFUNCTION("""COMPUTED_VALUE"""),4371600.0)</f>
        <v>4371600</v>
      </c>
    </row>
    <row r="6076">
      <c r="A6076" s="3">
        <f>IFERROR(__xludf.DUMMYFUNCTION("""COMPUTED_VALUE"""),38009.666666666664)</f>
        <v>38009.66667</v>
      </c>
      <c r="B6076" s="2">
        <f>IFERROR(__xludf.DUMMYFUNCTION("""COMPUTED_VALUE"""),93.43)</f>
        <v>93.43</v>
      </c>
      <c r="C6076" s="2">
        <f>IFERROR(__xludf.DUMMYFUNCTION("""COMPUTED_VALUE"""),93.81)</f>
        <v>93.81</v>
      </c>
      <c r="D6076" s="2">
        <f>IFERROR(__xludf.DUMMYFUNCTION("""COMPUTED_VALUE"""),92.75)</f>
        <v>92.75</v>
      </c>
      <c r="E6076" s="2">
        <f>IFERROR(__xludf.DUMMYFUNCTION("""COMPUTED_VALUE"""),93.51)</f>
        <v>93.51</v>
      </c>
      <c r="F6076" s="2">
        <f>IFERROR(__xludf.DUMMYFUNCTION("""COMPUTED_VALUE"""),5283900.0)</f>
        <v>5283900</v>
      </c>
    </row>
    <row r="6077">
      <c r="A6077" s="3">
        <f>IFERROR(__xludf.DUMMYFUNCTION("""COMPUTED_VALUE"""),38012.666666666664)</f>
        <v>38012.66667</v>
      </c>
      <c r="B6077" s="2">
        <f>IFERROR(__xludf.DUMMYFUNCTION("""COMPUTED_VALUE"""),93.51)</f>
        <v>93.51</v>
      </c>
      <c r="C6077" s="2">
        <f>IFERROR(__xludf.DUMMYFUNCTION("""COMPUTED_VALUE"""),95.37)</f>
        <v>95.37</v>
      </c>
      <c r="D6077" s="2">
        <f>IFERROR(__xludf.DUMMYFUNCTION("""COMPUTED_VALUE"""),93.19)</f>
        <v>93.19</v>
      </c>
      <c r="E6077" s="2">
        <f>IFERROR(__xludf.DUMMYFUNCTION("""COMPUTED_VALUE"""),95.37)</f>
        <v>95.37</v>
      </c>
      <c r="F6077" s="2">
        <f>IFERROR(__xludf.DUMMYFUNCTION("""COMPUTED_VALUE"""),6190100.0)</f>
        <v>6190100</v>
      </c>
    </row>
    <row r="6078">
      <c r="A6078" s="3">
        <f>IFERROR(__xludf.DUMMYFUNCTION("""COMPUTED_VALUE"""),38013.666666666664)</f>
        <v>38013.66667</v>
      </c>
      <c r="B6078" s="2">
        <f>IFERROR(__xludf.DUMMYFUNCTION("""COMPUTED_VALUE"""),94.94)</f>
        <v>94.94</v>
      </c>
      <c r="C6078" s="2">
        <f>IFERROR(__xludf.DUMMYFUNCTION("""COMPUTED_VALUE"""),95.2)</f>
        <v>95.2</v>
      </c>
      <c r="D6078" s="2">
        <f>IFERROR(__xludf.DUMMYFUNCTION("""COMPUTED_VALUE"""),94.27)</f>
        <v>94.27</v>
      </c>
      <c r="E6078" s="2">
        <f>IFERROR(__xludf.DUMMYFUNCTION("""COMPUTED_VALUE"""),94.37)</f>
        <v>94.37</v>
      </c>
      <c r="F6078" s="2">
        <f>IFERROR(__xludf.DUMMYFUNCTION("""COMPUTED_VALUE"""),5345500.0)</f>
        <v>5345500</v>
      </c>
    </row>
    <row r="6079">
      <c r="A6079" s="3">
        <f>IFERROR(__xludf.DUMMYFUNCTION("""COMPUTED_VALUE"""),38014.666666666664)</f>
        <v>38014.66667</v>
      </c>
      <c r="B6079" s="2">
        <f>IFERROR(__xludf.DUMMYFUNCTION("""COMPUTED_VALUE"""),94.7)</f>
        <v>94.7</v>
      </c>
      <c r="C6079" s="2">
        <f>IFERROR(__xludf.DUMMYFUNCTION("""COMPUTED_VALUE"""),94.96)</f>
        <v>94.96</v>
      </c>
      <c r="D6079" s="2">
        <f>IFERROR(__xludf.DUMMYFUNCTION("""COMPUTED_VALUE"""),92.92)</f>
        <v>92.92</v>
      </c>
      <c r="E6079" s="2">
        <f>IFERROR(__xludf.DUMMYFUNCTION("""COMPUTED_VALUE"""),93.01)</f>
        <v>93.01</v>
      </c>
      <c r="F6079" s="2">
        <f>IFERROR(__xludf.DUMMYFUNCTION("""COMPUTED_VALUE"""),6552200.0)</f>
        <v>6552200</v>
      </c>
    </row>
    <row r="6080">
      <c r="A6080" s="3">
        <f>IFERROR(__xludf.DUMMYFUNCTION("""COMPUTED_VALUE"""),38015.666666666664)</f>
        <v>38015.66667</v>
      </c>
      <c r="B6080" s="2">
        <f>IFERROR(__xludf.DUMMYFUNCTION("""COMPUTED_VALUE"""),93.7)</f>
        <v>93.7</v>
      </c>
      <c r="C6080" s="2">
        <f>IFERROR(__xludf.DUMMYFUNCTION("""COMPUTED_VALUE"""),94.18)</f>
        <v>94.18</v>
      </c>
      <c r="D6080" s="2">
        <f>IFERROR(__xludf.DUMMYFUNCTION("""COMPUTED_VALUE"""),92.22)</f>
        <v>92.22</v>
      </c>
      <c r="E6080" s="2">
        <f>IFERROR(__xludf.DUMMYFUNCTION("""COMPUTED_VALUE"""),93.62)</f>
        <v>93.62</v>
      </c>
      <c r="F6080" s="2">
        <f>IFERROR(__xludf.DUMMYFUNCTION("""COMPUTED_VALUE"""),6642500.0)</f>
        <v>6642500</v>
      </c>
    </row>
    <row r="6081">
      <c r="A6081" s="3">
        <f>IFERROR(__xludf.DUMMYFUNCTION("""COMPUTED_VALUE"""),38016.666666666664)</f>
        <v>38016.66667</v>
      </c>
      <c r="B6081" s="2">
        <f>IFERROR(__xludf.DUMMYFUNCTION("""COMPUTED_VALUE"""),93.63)</f>
        <v>93.63</v>
      </c>
      <c r="C6081" s="2">
        <f>IFERROR(__xludf.DUMMYFUNCTION("""COMPUTED_VALUE"""),94.88)</f>
        <v>94.88</v>
      </c>
      <c r="D6081" s="2">
        <f>IFERROR(__xludf.DUMMYFUNCTION("""COMPUTED_VALUE"""),93.45)</f>
        <v>93.45</v>
      </c>
      <c r="E6081" s="2">
        <f>IFERROR(__xludf.DUMMYFUNCTION("""COMPUTED_VALUE"""),94.78)</f>
        <v>94.78</v>
      </c>
      <c r="F6081" s="2">
        <f>IFERROR(__xludf.DUMMYFUNCTION("""COMPUTED_VALUE"""),6137600.0)</f>
        <v>6137600</v>
      </c>
    </row>
    <row r="6082">
      <c r="A6082" s="3">
        <f>IFERROR(__xludf.DUMMYFUNCTION("""COMPUTED_VALUE"""),38019.666666666664)</f>
        <v>38019.66667</v>
      </c>
      <c r="B6082" s="2">
        <f>IFERROR(__xludf.DUMMYFUNCTION("""COMPUTED_VALUE"""),94.7)</f>
        <v>94.7</v>
      </c>
      <c r="C6082" s="2">
        <f>IFERROR(__xludf.DUMMYFUNCTION("""COMPUTED_VALUE"""),95.46)</f>
        <v>95.46</v>
      </c>
      <c r="D6082" s="2">
        <f>IFERROR(__xludf.DUMMYFUNCTION("""COMPUTED_VALUE"""),94.08)</f>
        <v>94.08</v>
      </c>
      <c r="E6082" s="2">
        <f>IFERROR(__xludf.DUMMYFUNCTION("""COMPUTED_VALUE"""),94.93)</f>
        <v>94.93</v>
      </c>
      <c r="F6082" s="2">
        <f>IFERROR(__xludf.DUMMYFUNCTION("""COMPUTED_VALUE"""),6200000.0)</f>
        <v>6200000</v>
      </c>
    </row>
    <row r="6083">
      <c r="A6083" s="3">
        <f>IFERROR(__xludf.DUMMYFUNCTION("""COMPUTED_VALUE"""),38020.666666666664)</f>
        <v>38020.66667</v>
      </c>
      <c r="B6083" s="2">
        <f>IFERROR(__xludf.DUMMYFUNCTION("""COMPUTED_VALUE"""),94.55)</f>
        <v>94.55</v>
      </c>
      <c r="C6083" s="2">
        <f>IFERROR(__xludf.DUMMYFUNCTION("""COMPUTED_VALUE"""),95.52)</f>
        <v>95.52</v>
      </c>
      <c r="D6083" s="2">
        <f>IFERROR(__xludf.DUMMYFUNCTION("""COMPUTED_VALUE"""),94.51)</f>
        <v>94.51</v>
      </c>
      <c r="E6083" s="2">
        <f>IFERROR(__xludf.DUMMYFUNCTION("""COMPUTED_VALUE"""),95.52)</f>
        <v>95.52</v>
      </c>
      <c r="F6083" s="2">
        <f>IFERROR(__xludf.DUMMYFUNCTION("""COMPUTED_VALUE"""),5604500.0)</f>
        <v>5604500</v>
      </c>
    </row>
    <row r="6084">
      <c r="A6084" s="3">
        <f>IFERROR(__xludf.DUMMYFUNCTION("""COMPUTED_VALUE"""),38021.666666666664)</f>
        <v>38021.66667</v>
      </c>
      <c r="B6084" s="2">
        <f>IFERROR(__xludf.DUMMYFUNCTION("""COMPUTED_VALUE"""),94.92)</f>
        <v>94.92</v>
      </c>
      <c r="C6084" s="2">
        <f>IFERROR(__xludf.DUMMYFUNCTION("""COMPUTED_VALUE"""),95.93)</f>
        <v>95.93</v>
      </c>
      <c r="D6084" s="2">
        <f>IFERROR(__xludf.DUMMYFUNCTION("""COMPUTED_VALUE"""),94.85)</f>
        <v>94.85</v>
      </c>
      <c r="E6084" s="2">
        <f>IFERROR(__xludf.DUMMYFUNCTION("""COMPUTED_VALUE"""),95.7)</f>
        <v>95.7</v>
      </c>
      <c r="F6084" s="2">
        <f>IFERROR(__xludf.DUMMYFUNCTION("""COMPUTED_VALUE"""),8391200.0)</f>
        <v>8391200</v>
      </c>
    </row>
    <row r="6085">
      <c r="A6085" s="3">
        <f>IFERROR(__xludf.DUMMYFUNCTION("""COMPUTED_VALUE"""),38022.666666666664)</f>
        <v>38022.66667</v>
      </c>
      <c r="B6085" s="2">
        <f>IFERROR(__xludf.DUMMYFUNCTION("""COMPUTED_VALUE"""),95.52)</f>
        <v>95.52</v>
      </c>
      <c r="C6085" s="2">
        <f>IFERROR(__xludf.DUMMYFUNCTION("""COMPUTED_VALUE"""),95.6)</f>
        <v>95.6</v>
      </c>
      <c r="D6085" s="2">
        <f>IFERROR(__xludf.DUMMYFUNCTION("""COMPUTED_VALUE"""),93.85)</f>
        <v>93.85</v>
      </c>
      <c r="E6085" s="2">
        <f>IFERROR(__xludf.DUMMYFUNCTION("""COMPUTED_VALUE"""),94.43)</f>
        <v>94.43</v>
      </c>
      <c r="F6085" s="2">
        <f>IFERROR(__xludf.DUMMYFUNCTION("""COMPUTED_VALUE"""),5975100.0)</f>
        <v>5975100</v>
      </c>
    </row>
    <row r="6086">
      <c r="A6086" s="3">
        <f>IFERROR(__xludf.DUMMYFUNCTION("""COMPUTED_VALUE"""),38023.666666666664)</f>
        <v>38023.66667</v>
      </c>
      <c r="B6086" s="2">
        <f>IFERROR(__xludf.DUMMYFUNCTION("""COMPUTED_VALUE"""),94.42)</f>
        <v>94.42</v>
      </c>
      <c r="C6086" s="2">
        <f>IFERROR(__xludf.DUMMYFUNCTION("""COMPUTED_VALUE"""),94.79)</f>
        <v>94.79</v>
      </c>
      <c r="D6086" s="2">
        <f>IFERROR(__xludf.DUMMYFUNCTION("""COMPUTED_VALUE"""),93.84)</f>
        <v>93.84</v>
      </c>
      <c r="E6086" s="2">
        <f>IFERROR(__xludf.DUMMYFUNCTION("""COMPUTED_VALUE"""),94.5)</f>
        <v>94.5</v>
      </c>
      <c r="F6086" s="2">
        <f>IFERROR(__xludf.DUMMYFUNCTION("""COMPUTED_VALUE"""),5485600.0)</f>
        <v>5485600</v>
      </c>
    </row>
    <row r="6087">
      <c r="A6087" s="3">
        <f>IFERROR(__xludf.DUMMYFUNCTION("""COMPUTED_VALUE"""),38026.666666666664)</f>
        <v>38026.66667</v>
      </c>
      <c r="B6087" s="2">
        <f>IFERROR(__xludf.DUMMYFUNCTION("""COMPUTED_VALUE"""),94.86)</f>
        <v>94.86</v>
      </c>
      <c r="C6087" s="2">
        <f>IFERROR(__xludf.DUMMYFUNCTION("""COMPUTED_VALUE"""),94.98)</f>
        <v>94.98</v>
      </c>
      <c r="D6087" s="2">
        <f>IFERROR(__xludf.DUMMYFUNCTION("""COMPUTED_VALUE"""),94.18)</f>
        <v>94.18</v>
      </c>
      <c r="E6087" s="2">
        <f>IFERROR(__xludf.DUMMYFUNCTION("""COMPUTED_VALUE"""),94.51)</f>
        <v>94.51</v>
      </c>
      <c r="F6087" s="2">
        <f>IFERROR(__xludf.DUMMYFUNCTION("""COMPUTED_VALUE"""),3742400.0)</f>
        <v>3742400</v>
      </c>
    </row>
    <row r="6088">
      <c r="A6088" s="3">
        <f>IFERROR(__xludf.DUMMYFUNCTION("""COMPUTED_VALUE"""),38027.666666666664)</f>
        <v>38027.66667</v>
      </c>
      <c r="B6088" s="2">
        <f>IFERROR(__xludf.DUMMYFUNCTION("""COMPUTED_VALUE"""),94.04)</f>
        <v>94.04</v>
      </c>
      <c r="C6088" s="2">
        <f>IFERROR(__xludf.DUMMYFUNCTION("""COMPUTED_VALUE"""),95.49)</f>
        <v>95.49</v>
      </c>
      <c r="D6088" s="2">
        <f>IFERROR(__xludf.DUMMYFUNCTION("""COMPUTED_VALUE"""),94.0)</f>
        <v>94</v>
      </c>
      <c r="E6088" s="2">
        <f>IFERROR(__xludf.DUMMYFUNCTION("""COMPUTED_VALUE"""),95.14)</f>
        <v>95.14</v>
      </c>
      <c r="F6088" s="2">
        <f>IFERROR(__xludf.DUMMYFUNCTION("""COMPUTED_VALUE"""),4057500.0)</f>
        <v>4057500</v>
      </c>
    </row>
    <row r="6089">
      <c r="A6089" s="3">
        <f>IFERROR(__xludf.DUMMYFUNCTION("""COMPUTED_VALUE"""),38028.666666666664)</f>
        <v>38028.66667</v>
      </c>
      <c r="B6089" s="2">
        <f>IFERROR(__xludf.DUMMYFUNCTION("""COMPUTED_VALUE"""),94.75)</f>
        <v>94.75</v>
      </c>
      <c r="C6089" s="2">
        <f>IFERROR(__xludf.DUMMYFUNCTION("""COMPUTED_VALUE"""),95.81)</f>
        <v>95.81</v>
      </c>
      <c r="D6089" s="2">
        <f>IFERROR(__xludf.DUMMYFUNCTION("""COMPUTED_VALUE"""),94.37)</f>
        <v>94.37</v>
      </c>
      <c r="E6089" s="2">
        <f>IFERROR(__xludf.DUMMYFUNCTION("""COMPUTED_VALUE"""),95.48)</f>
        <v>95.48</v>
      </c>
      <c r="F6089" s="2">
        <f>IFERROR(__xludf.DUMMYFUNCTION("""COMPUTED_VALUE"""),5505700.0)</f>
        <v>5505700</v>
      </c>
    </row>
    <row r="6090">
      <c r="A6090" s="3">
        <f>IFERROR(__xludf.DUMMYFUNCTION("""COMPUTED_VALUE"""),38029.666666666664)</f>
        <v>38029.66667</v>
      </c>
      <c r="B6090" s="2">
        <f>IFERROR(__xludf.DUMMYFUNCTION("""COMPUTED_VALUE"""),95.57)</f>
        <v>95.57</v>
      </c>
      <c r="C6090" s="2">
        <f>IFERROR(__xludf.DUMMYFUNCTION("""COMPUTED_VALUE"""),95.8)</f>
        <v>95.8</v>
      </c>
      <c r="D6090" s="2">
        <f>IFERROR(__xludf.DUMMYFUNCTION("""COMPUTED_VALUE"""),94.85)</f>
        <v>94.85</v>
      </c>
      <c r="E6090" s="2">
        <f>IFERROR(__xludf.DUMMYFUNCTION("""COMPUTED_VALUE"""),94.85)</f>
        <v>94.85</v>
      </c>
      <c r="F6090" s="2">
        <f>IFERROR(__xludf.DUMMYFUNCTION("""COMPUTED_VALUE"""),3611700.0)</f>
        <v>3611700</v>
      </c>
    </row>
    <row r="6091">
      <c r="A6091" s="3">
        <f>IFERROR(__xludf.DUMMYFUNCTION("""COMPUTED_VALUE"""),38030.666666666664)</f>
        <v>38030.66667</v>
      </c>
      <c r="B6091" s="2">
        <f>IFERROR(__xludf.DUMMYFUNCTION("""COMPUTED_VALUE"""),94.66)</f>
        <v>94.66</v>
      </c>
      <c r="C6091" s="2">
        <f>IFERROR(__xludf.DUMMYFUNCTION("""COMPUTED_VALUE"""),95.6)</f>
        <v>95.6</v>
      </c>
      <c r="D6091" s="2">
        <f>IFERROR(__xludf.DUMMYFUNCTION("""COMPUTED_VALUE"""),94.64)</f>
        <v>94.64</v>
      </c>
      <c r="E6091" s="2">
        <f>IFERROR(__xludf.DUMMYFUNCTION("""COMPUTED_VALUE"""),95.24)</f>
        <v>95.24</v>
      </c>
      <c r="F6091" s="2">
        <f>IFERROR(__xludf.DUMMYFUNCTION("""COMPUTED_VALUE"""),3562400.0)</f>
        <v>3562400</v>
      </c>
    </row>
    <row r="6092">
      <c r="A6092" s="3">
        <f>IFERROR(__xludf.DUMMYFUNCTION("""COMPUTED_VALUE"""),38034.666666666664)</f>
        <v>38034.66667</v>
      </c>
      <c r="B6092" s="2">
        <f>IFERROR(__xludf.DUMMYFUNCTION("""COMPUTED_VALUE"""),95.51)</f>
        <v>95.51</v>
      </c>
      <c r="C6092" s="2">
        <f>IFERROR(__xludf.DUMMYFUNCTION("""COMPUTED_VALUE"""),95.52)</f>
        <v>95.52</v>
      </c>
      <c r="D6092" s="2">
        <f>IFERROR(__xludf.DUMMYFUNCTION("""COMPUTED_VALUE"""),94.87)</f>
        <v>94.87</v>
      </c>
      <c r="E6092" s="2">
        <f>IFERROR(__xludf.DUMMYFUNCTION("""COMPUTED_VALUE"""),94.91)</f>
        <v>94.91</v>
      </c>
      <c r="F6092" s="2">
        <f>IFERROR(__xludf.DUMMYFUNCTION("""COMPUTED_VALUE"""),3930500.0)</f>
        <v>3930500</v>
      </c>
    </row>
    <row r="6093">
      <c r="A6093" s="3">
        <f>IFERROR(__xludf.DUMMYFUNCTION("""COMPUTED_VALUE"""),38035.666666666664)</f>
        <v>38035.66667</v>
      </c>
      <c r="B6093" s="2">
        <f>IFERROR(__xludf.DUMMYFUNCTION("""COMPUTED_VALUE"""),94.86)</f>
        <v>94.86</v>
      </c>
      <c r="C6093" s="2">
        <f>IFERROR(__xludf.DUMMYFUNCTION("""COMPUTED_VALUE"""),95.3)</f>
        <v>95.3</v>
      </c>
      <c r="D6093" s="2">
        <f>IFERROR(__xludf.DUMMYFUNCTION("""COMPUTED_VALUE"""),93.75)</f>
        <v>93.75</v>
      </c>
      <c r="E6093" s="2">
        <f>IFERROR(__xludf.DUMMYFUNCTION("""COMPUTED_VALUE"""),94.01)</f>
        <v>94.01</v>
      </c>
      <c r="F6093" s="2">
        <f>IFERROR(__xludf.DUMMYFUNCTION("""COMPUTED_VALUE"""),4830500.0)</f>
        <v>4830500</v>
      </c>
    </row>
    <row r="6094">
      <c r="A6094" s="3">
        <f>IFERROR(__xludf.DUMMYFUNCTION("""COMPUTED_VALUE"""),38036.666666666664)</f>
        <v>38036.66667</v>
      </c>
      <c r="B6094" s="2">
        <f>IFERROR(__xludf.DUMMYFUNCTION("""COMPUTED_VALUE"""),94.01)</f>
        <v>94.01</v>
      </c>
      <c r="C6094" s="2">
        <f>IFERROR(__xludf.DUMMYFUNCTION("""COMPUTED_VALUE"""),94.78)</f>
        <v>94.78</v>
      </c>
      <c r="D6094" s="2">
        <f>IFERROR(__xludf.DUMMYFUNCTION("""COMPUTED_VALUE"""),93.15)</f>
        <v>93.15</v>
      </c>
      <c r="E6094" s="2">
        <f>IFERROR(__xludf.DUMMYFUNCTION("""COMPUTED_VALUE"""),93.42)</f>
        <v>93.42</v>
      </c>
      <c r="F6094" s="2">
        <f>IFERROR(__xludf.DUMMYFUNCTION("""COMPUTED_VALUE"""),5447700.0)</f>
        <v>5447700</v>
      </c>
    </row>
    <row r="6095">
      <c r="A6095" s="3">
        <f>IFERROR(__xludf.DUMMYFUNCTION("""COMPUTED_VALUE"""),38037.666666666664)</f>
        <v>38037.66667</v>
      </c>
      <c r="B6095" s="2">
        <f>IFERROR(__xludf.DUMMYFUNCTION("""COMPUTED_VALUE"""),93.61)</f>
        <v>93.61</v>
      </c>
      <c r="C6095" s="2">
        <f>IFERROR(__xludf.DUMMYFUNCTION("""COMPUTED_VALUE"""),94.18)</f>
        <v>94.18</v>
      </c>
      <c r="D6095" s="2">
        <f>IFERROR(__xludf.DUMMYFUNCTION("""COMPUTED_VALUE"""),92.83)</f>
        <v>92.83</v>
      </c>
      <c r="E6095" s="2">
        <f>IFERROR(__xludf.DUMMYFUNCTION("""COMPUTED_VALUE"""),92.95)</f>
        <v>92.95</v>
      </c>
      <c r="F6095" s="2">
        <f>IFERROR(__xludf.DUMMYFUNCTION("""COMPUTED_VALUE"""),5690200.0)</f>
        <v>5690200</v>
      </c>
    </row>
    <row r="6096">
      <c r="A6096" s="3">
        <f>IFERROR(__xludf.DUMMYFUNCTION("""COMPUTED_VALUE"""),38040.666666666664)</f>
        <v>38040.66667</v>
      </c>
      <c r="B6096" s="2">
        <f>IFERROR(__xludf.DUMMYFUNCTION("""COMPUTED_VALUE"""),93.03)</f>
        <v>93.03</v>
      </c>
      <c r="C6096" s="2">
        <f>IFERROR(__xludf.DUMMYFUNCTION("""COMPUTED_VALUE"""),93.14)</f>
        <v>93.14</v>
      </c>
      <c r="D6096" s="2">
        <f>IFERROR(__xludf.DUMMYFUNCTION("""COMPUTED_VALUE"""),91.18)</f>
        <v>91.18</v>
      </c>
      <c r="E6096" s="2">
        <f>IFERROR(__xludf.DUMMYFUNCTION("""COMPUTED_VALUE"""),91.66)</f>
        <v>91.66</v>
      </c>
      <c r="F6096" s="2">
        <f>IFERROR(__xludf.DUMMYFUNCTION("""COMPUTED_VALUE"""),6629600.0)</f>
        <v>6629600</v>
      </c>
    </row>
    <row r="6097">
      <c r="A6097" s="3">
        <f>IFERROR(__xludf.DUMMYFUNCTION("""COMPUTED_VALUE"""),38041.666666666664)</f>
        <v>38041.66667</v>
      </c>
      <c r="B6097" s="2">
        <f>IFERROR(__xludf.DUMMYFUNCTION("""COMPUTED_VALUE"""),90.93)</f>
        <v>90.93</v>
      </c>
      <c r="C6097" s="2">
        <f>IFERROR(__xludf.DUMMYFUNCTION("""COMPUTED_VALUE"""),93.09)</f>
        <v>93.09</v>
      </c>
      <c r="D6097" s="2">
        <f>IFERROR(__xludf.DUMMYFUNCTION("""COMPUTED_VALUE"""),90.93)</f>
        <v>90.93</v>
      </c>
      <c r="E6097" s="2">
        <f>IFERROR(__xludf.DUMMYFUNCTION("""COMPUTED_VALUE"""),92.45)</f>
        <v>92.45</v>
      </c>
      <c r="F6097" s="2">
        <f>IFERROR(__xludf.DUMMYFUNCTION("""COMPUTED_VALUE"""),7012100.0)</f>
        <v>7012100</v>
      </c>
    </row>
    <row r="6098">
      <c r="A6098" s="3">
        <f>IFERROR(__xludf.DUMMYFUNCTION("""COMPUTED_VALUE"""),38042.666666666664)</f>
        <v>38042.66667</v>
      </c>
      <c r="B6098" s="2">
        <f>IFERROR(__xludf.DUMMYFUNCTION("""COMPUTED_VALUE"""),92.17)</f>
        <v>92.17</v>
      </c>
      <c r="C6098" s="2">
        <f>IFERROR(__xludf.DUMMYFUNCTION("""COMPUTED_VALUE"""),92.74)</f>
        <v>92.74</v>
      </c>
      <c r="D6098" s="2">
        <f>IFERROR(__xludf.DUMMYFUNCTION("""COMPUTED_VALUE"""),91.92)</f>
        <v>91.92</v>
      </c>
      <c r="E6098" s="2">
        <f>IFERROR(__xludf.DUMMYFUNCTION("""COMPUTED_VALUE"""),92.21)</f>
        <v>92.21</v>
      </c>
      <c r="F6098" s="2">
        <f>IFERROR(__xludf.DUMMYFUNCTION("""COMPUTED_VALUE"""),3362500.0)</f>
        <v>3362500</v>
      </c>
    </row>
    <row r="6099">
      <c r="A6099" s="3">
        <f>IFERROR(__xludf.DUMMYFUNCTION("""COMPUTED_VALUE"""),38043.666666666664)</f>
        <v>38043.66667</v>
      </c>
      <c r="B6099" s="2">
        <f>IFERROR(__xludf.DUMMYFUNCTION("""COMPUTED_VALUE"""),91.95)</f>
        <v>91.95</v>
      </c>
      <c r="C6099" s="2">
        <f>IFERROR(__xludf.DUMMYFUNCTION("""COMPUTED_VALUE"""),92.9)</f>
        <v>92.9</v>
      </c>
      <c r="D6099" s="2">
        <f>IFERROR(__xludf.DUMMYFUNCTION("""COMPUTED_VALUE"""),91.93)</f>
        <v>91.93</v>
      </c>
      <c r="E6099" s="2">
        <f>IFERROR(__xludf.DUMMYFUNCTION("""COMPUTED_VALUE"""),92.45)</f>
        <v>92.45</v>
      </c>
      <c r="F6099" s="2">
        <f>IFERROR(__xludf.DUMMYFUNCTION("""COMPUTED_VALUE"""),3967800.0)</f>
        <v>3967800</v>
      </c>
    </row>
    <row r="6100">
      <c r="A6100" s="3">
        <f>IFERROR(__xludf.DUMMYFUNCTION("""COMPUTED_VALUE"""),38044.666666666664)</f>
        <v>38044.66667</v>
      </c>
      <c r="B6100" s="2">
        <f>IFERROR(__xludf.DUMMYFUNCTION("""COMPUTED_VALUE"""),92.46)</f>
        <v>92.46</v>
      </c>
      <c r="C6100" s="2">
        <f>IFERROR(__xludf.DUMMYFUNCTION("""COMPUTED_VALUE"""),93.01)</f>
        <v>93.01</v>
      </c>
      <c r="D6100" s="2">
        <f>IFERROR(__xludf.DUMMYFUNCTION("""COMPUTED_VALUE"""),91.79)</f>
        <v>91.79</v>
      </c>
      <c r="E6100" s="2">
        <f>IFERROR(__xludf.DUMMYFUNCTION("""COMPUTED_VALUE"""),92.17)</f>
        <v>92.17</v>
      </c>
      <c r="F6100" s="2">
        <f>IFERROR(__xludf.DUMMYFUNCTION("""COMPUTED_VALUE"""),4715000.0)</f>
        <v>4715000</v>
      </c>
    </row>
    <row r="6101">
      <c r="A6101" s="3">
        <f>IFERROR(__xludf.DUMMYFUNCTION("""COMPUTED_VALUE"""),38047.666666666664)</f>
        <v>38047.66667</v>
      </c>
      <c r="B6101" s="2">
        <f>IFERROR(__xludf.DUMMYFUNCTION("""COMPUTED_VALUE"""),92.17)</f>
        <v>92.17</v>
      </c>
      <c r="C6101" s="2">
        <f>IFERROR(__xludf.DUMMYFUNCTION("""COMPUTED_VALUE"""),92.89)</f>
        <v>92.89</v>
      </c>
      <c r="D6101" s="2">
        <f>IFERROR(__xludf.DUMMYFUNCTION("""COMPUTED_VALUE"""),91.84)</f>
        <v>91.84</v>
      </c>
      <c r="E6101" s="2">
        <f>IFERROR(__xludf.DUMMYFUNCTION("""COMPUTED_VALUE"""),92.69)</f>
        <v>92.69</v>
      </c>
      <c r="F6101" s="2">
        <f>IFERROR(__xludf.DUMMYFUNCTION("""COMPUTED_VALUE"""),4454000.0)</f>
        <v>4454000</v>
      </c>
    </row>
    <row r="6102">
      <c r="A6102" s="3">
        <f>IFERROR(__xludf.DUMMYFUNCTION("""COMPUTED_VALUE"""),38048.666666666664)</f>
        <v>38048.66667</v>
      </c>
      <c r="B6102" s="2">
        <f>IFERROR(__xludf.DUMMYFUNCTION("""COMPUTED_VALUE"""),93.22)</f>
        <v>93.22</v>
      </c>
      <c r="C6102" s="2">
        <f>IFERROR(__xludf.DUMMYFUNCTION("""COMPUTED_VALUE"""),93.22)</f>
        <v>93.22</v>
      </c>
      <c r="D6102" s="2">
        <f>IFERROR(__xludf.DUMMYFUNCTION("""COMPUTED_VALUE"""),92.29)</f>
        <v>92.29</v>
      </c>
      <c r="E6102" s="2">
        <f>IFERROR(__xludf.DUMMYFUNCTION("""COMPUTED_VALUE"""),92.48)</f>
        <v>92.48</v>
      </c>
      <c r="F6102" s="2">
        <f>IFERROR(__xludf.DUMMYFUNCTION("""COMPUTED_VALUE"""),4976200.0)</f>
        <v>4976200</v>
      </c>
    </row>
    <row r="6103">
      <c r="A6103" s="3">
        <f>IFERROR(__xludf.DUMMYFUNCTION("""COMPUTED_VALUE"""),38049.666666666664)</f>
        <v>38049.66667</v>
      </c>
      <c r="B6103" s="2">
        <f>IFERROR(__xludf.DUMMYFUNCTION("""COMPUTED_VALUE"""),92.24)</f>
        <v>92.24</v>
      </c>
      <c r="C6103" s="2">
        <f>IFERROR(__xludf.DUMMYFUNCTION("""COMPUTED_VALUE"""),92.55)</f>
        <v>92.55</v>
      </c>
      <c r="D6103" s="2">
        <f>IFERROR(__xludf.DUMMYFUNCTION("""COMPUTED_VALUE"""),91.31)</f>
        <v>91.31</v>
      </c>
      <c r="E6103" s="2">
        <f>IFERROR(__xludf.DUMMYFUNCTION("""COMPUTED_VALUE"""),92.5)</f>
        <v>92.5</v>
      </c>
      <c r="F6103" s="2">
        <f>IFERROR(__xludf.DUMMYFUNCTION("""COMPUTED_VALUE"""),4807000.0)</f>
        <v>4807000</v>
      </c>
    </row>
    <row r="6104">
      <c r="A6104" s="3">
        <f>IFERROR(__xludf.DUMMYFUNCTION("""COMPUTED_VALUE"""),38050.666666666664)</f>
        <v>38050.66667</v>
      </c>
      <c r="B6104" s="2">
        <f>IFERROR(__xludf.DUMMYFUNCTION("""COMPUTED_VALUE"""),92.25)</f>
        <v>92.25</v>
      </c>
      <c r="C6104" s="2">
        <f>IFERROR(__xludf.DUMMYFUNCTION("""COMPUTED_VALUE"""),92.57)</f>
        <v>92.57</v>
      </c>
      <c r="D6104" s="2">
        <f>IFERROR(__xludf.DUMMYFUNCTION("""COMPUTED_VALUE"""),91.82)</f>
        <v>91.82</v>
      </c>
      <c r="E6104" s="2">
        <f>IFERROR(__xludf.DUMMYFUNCTION("""COMPUTED_VALUE"""),92.07)</f>
        <v>92.07</v>
      </c>
      <c r="F6104" s="2">
        <f>IFERROR(__xludf.DUMMYFUNCTION("""COMPUTED_VALUE"""),3548500.0)</f>
        <v>3548500</v>
      </c>
    </row>
    <row r="6105">
      <c r="A6105" s="3">
        <f>IFERROR(__xludf.DUMMYFUNCTION("""COMPUTED_VALUE"""),38051.666666666664)</f>
        <v>38051.66667</v>
      </c>
      <c r="B6105" s="2">
        <f>IFERROR(__xludf.DUMMYFUNCTION("""COMPUTED_VALUE"""),91.65)</f>
        <v>91.65</v>
      </c>
      <c r="C6105" s="2">
        <f>IFERROR(__xludf.DUMMYFUNCTION("""COMPUTED_VALUE"""),92.63)</f>
        <v>92.63</v>
      </c>
      <c r="D6105" s="2">
        <f>IFERROR(__xludf.DUMMYFUNCTION("""COMPUTED_VALUE"""),91.28)</f>
        <v>91.28</v>
      </c>
      <c r="E6105" s="2">
        <f>IFERROR(__xludf.DUMMYFUNCTION("""COMPUTED_VALUE"""),92.13)</f>
        <v>92.13</v>
      </c>
      <c r="F6105" s="2">
        <f>IFERROR(__xludf.DUMMYFUNCTION("""COMPUTED_VALUE"""),3971800.0)</f>
        <v>3971800</v>
      </c>
    </row>
    <row r="6106">
      <c r="A6106" s="3">
        <f>IFERROR(__xludf.DUMMYFUNCTION("""COMPUTED_VALUE"""),38054.666666666664)</f>
        <v>38054.66667</v>
      </c>
      <c r="B6106" s="2">
        <f>IFERROR(__xludf.DUMMYFUNCTION("""COMPUTED_VALUE"""),92.16)</f>
        <v>92.16</v>
      </c>
      <c r="C6106" s="2">
        <f>IFERROR(__xludf.DUMMYFUNCTION("""COMPUTED_VALUE"""),92.54)</f>
        <v>92.54</v>
      </c>
      <c r="D6106" s="2">
        <f>IFERROR(__xludf.DUMMYFUNCTION("""COMPUTED_VALUE"""),90.35)</f>
        <v>90.35</v>
      </c>
      <c r="E6106" s="2">
        <f>IFERROR(__xludf.DUMMYFUNCTION("""COMPUTED_VALUE"""),90.35)</f>
        <v>90.35</v>
      </c>
      <c r="F6106" s="2">
        <f>IFERROR(__xludf.DUMMYFUNCTION("""COMPUTED_VALUE"""),5084200.0)</f>
        <v>5084200</v>
      </c>
    </row>
    <row r="6107">
      <c r="A6107" s="3">
        <f>IFERROR(__xludf.DUMMYFUNCTION("""COMPUTED_VALUE"""),38055.666666666664)</f>
        <v>38055.66667</v>
      </c>
      <c r="B6107" s="2">
        <f>IFERROR(__xludf.DUMMYFUNCTION("""COMPUTED_VALUE"""),90.07)</f>
        <v>90.07</v>
      </c>
      <c r="C6107" s="2">
        <f>IFERROR(__xludf.DUMMYFUNCTION("""COMPUTED_VALUE"""),91.01)</f>
        <v>91.01</v>
      </c>
      <c r="D6107" s="2">
        <f>IFERROR(__xludf.DUMMYFUNCTION("""COMPUTED_VALUE"""),89.57)</f>
        <v>89.57</v>
      </c>
      <c r="E6107" s="2">
        <f>IFERROR(__xludf.DUMMYFUNCTION("""COMPUTED_VALUE"""),90.29)</f>
        <v>90.29</v>
      </c>
      <c r="F6107" s="2">
        <f>IFERROR(__xludf.DUMMYFUNCTION("""COMPUTED_VALUE"""),6391400.0)</f>
        <v>6391400</v>
      </c>
    </row>
    <row r="6108">
      <c r="A6108" s="3">
        <f>IFERROR(__xludf.DUMMYFUNCTION("""COMPUTED_VALUE"""),38056.666666666664)</f>
        <v>38056.66667</v>
      </c>
      <c r="B6108" s="2">
        <f>IFERROR(__xludf.DUMMYFUNCTION("""COMPUTED_VALUE"""),90.15)</f>
        <v>90.15</v>
      </c>
      <c r="C6108" s="2">
        <f>IFERROR(__xludf.DUMMYFUNCTION("""COMPUTED_VALUE"""),90.49)</f>
        <v>90.49</v>
      </c>
      <c r="D6108" s="2">
        <f>IFERROR(__xludf.DUMMYFUNCTION("""COMPUTED_VALUE"""),88.52)</f>
        <v>88.52</v>
      </c>
      <c r="E6108" s="2">
        <f>IFERROR(__xludf.DUMMYFUNCTION("""COMPUTED_VALUE"""),88.89)</f>
        <v>88.89</v>
      </c>
      <c r="F6108" s="2">
        <f>IFERROR(__xludf.DUMMYFUNCTION("""COMPUTED_VALUE"""),6536400.0)</f>
        <v>6536400</v>
      </c>
    </row>
    <row r="6109">
      <c r="A6109" s="3">
        <f>IFERROR(__xludf.DUMMYFUNCTION("""COMPUTED_VALUE"""),38057.666666666664)</f>
        <v>38057.66667</v>
      </c>
      <c r="B6109" s="2">
        <f>IFERROR(__xludf.DUMMYFUNCTION("""COMPUTED_VALUE"""),87.88)</f>
        <v>87.88</v>
      </c>
      <c r="C6109" s="2">
        <f>IFERROR(__xludf.DUMMYFUNCTION("""COMPUTED_VALUE"""),88.81)</f>
        <v>88.81</v>
      </c>
      <c r="D6109" s="2">
        <f>IFERROR(__xludf.DUMMYFUNCTION("""COMPUTED_VALUE"""),87.06)</f>
        <v>87.06</v>
      </c>
      <c r="E6109" s="2">
        <f>IFERROR(__xludf.DUMMYFUNCTION("""COMPUTED_VALUE"""),87.12)</f>
        <v>87.12</v>
      </c>
      <c r="F6109" s="2">
        <f>IFERROR(__xludf.DUMMYFUNCTION("""COMPUTED_VALUE"""),8560800.0)</f>
        <v>8560800</v>
      </c>
    </row>
    <row r="6110">
      <c r="A6110" s="3">
        <f>IFERROR(__xludf.DUMMYFUNCTION("""COMPUTED_VALUE"""),38058.666666666664)</f>
        <v>38058.66667</v>
      </c>
      <c r="B6110" s="2">
        <f>IFERROR(__xludf.DUMMYFUNCTION("""COMPUTED_VALUE"""),87.88)</f>
        <v>87.88</v>
      </c>
      <c r="C6110" s="2">
        <f>IFERROR(__xludf.DUMMYFUNCTION("""COMPUTED_VALUE"""),89.19)</f>
        <v>89.19</v>
      </c>
      <c r="D6110" s="2">
        <f>IFERROR(__xludf.DUMMYFUNCTION("""COMPUTED_VALUE"""),87.57)</f>
        <v>87.57</v>
      </c>
      <c r="E6110" s="2">
        <f>IFERROR(__xludf.DUMMYFUNCTION("""COMPUTED_VALUE"""),89.12)</f>
        <v>89.12</v>
      </c>
      <c r="F6110" s="2">
        <f>IFERROR(__xludf.DUMMYFUNCTION("""COMPUTED_VALUE"""),6290600.0)</f>
        <v>6290600</v>
      </c>
    </row>
    <row r="6111">
      <c r="A6111" s="3">
        <f>IFERROR(__xludf.DUMMYFUNCTION("""COMPUTED_VALUE"""),38061.666666666664)</f>
        <v>38061.66667</v>
      </c>
      <c r="B6111" s="2">
        <f>IFERROR(__xludf.DUMMYFUNCTION("""COMPUTED_VALUE"""),88.45)</f>
        <v>88.45</v>
      </c>
      <c r="C6111" s="2">
        <f>IFERROR(__xludf.DUMMYFUNCTION("""COMPUTED_VALUE"""),88.53)</f>
        <v>88.53</v>
      </c>
      <c r="D6111" s="2">
        <f>IFERROR(__xludf.DUMMYFUNCTION("""COMPUTED_VALUE"""),86.81)</f>
        <v>86.81</v>
      </c>
      <c r="E6111" s="2">
        <f>IFERROR(__xludf.DUMMYFUNCTION("""COMPUTED_VALUE"""),87.7)</f>
        <v>87.7</v>
      </c>
      <c r="F6111" s="2">
        <f>IFERROR(__xludf.DUMMYFUNCTION("""COMPUTED_VALUE"""),6523500.0)</f>
        <v>6523500</v>
      </c>
    </row>
    <row r="6112">
      <c r="A6112" s="3">
        <f>IFERROR(__xludf.DUMMYFUNCTION("""COMPUTED_VALUE"""),38062.666666666664)</f>
        <v>38062.66667</v>
      </c>
      <c r="B6112" s="2">
        <f>IFERROR(__xludf.DUMMYFUNCTION("""COMPUTED_VALUE"""),88.26)</f>
        <v>88.26</v>
      </c>
      <c r="C6112" s="2">
        <f>IFERROR(__xludf.DUMMYFUNCTION("""COMPUTED_VALUE"""),88.54)</f>
        <v>88.54</v>
      </c>
      <c r="D6112" s="2">
        <f>IFERROR(__xludf.DUMMYFUNCTION("""COMPUTED_VALUE"""),87.32)</f>
        <v>87.32</v>
      </c>
      <c r="E6112" s="2">
        <f>IFERROR(__xludf.DUMMYFUNCTION("""COMPUTED_VALUE"""),88.3)</f>
        <v>88.3</v>
      </c>
      <c r="F6112" s="2">
        <f>IFERROR(__xludf.DUMMYFUNCTION("""COMPUTED_VALUE"""),4638200.0)</f>
        <v>4638200</v>
      </c>
    </row>
    <row r="6113">
      <c r="A6113" s="3">
        <f>IFERROR(__xludf.DUMMYFUNCTION("""COMPUTED_VALUE"""),38063.666666666664)</f>
        <v>38063.66667</v>
      </c>
      <c r="B6113" s="2">
        <f>IFERROR(__xludf.DUMMYFUNCTION("""COMPUTED_VALUE"""),88.42)</f>
        <v>88.42</v>
      </c>
      <c r="C6113" s="2">
        <f>IFERROR(__xludf.DUMMYFUNCTION("""COMPUTED_VALUE"""),89.58)</f>
        <v>89.58</v>
      </c>
      <c r="D6113" s="2">
        <f>IFERROR(__xludf.DUMMYFUNCTION("""COMPUTED_VALUE"""),88.3)</f>
        <v>88.3</v>
      </c>
      <c r="E6113" s="2">
        <f>IFERROR(__xludf.DUMMYFUNCTION("""COMPUTED_VALUE"""),89.2)</f>
        <v>89.2</v>
      </c>
      <c r="F6113" s="2">
        <f>IFERROR(__xludf.DUMMYFUNCTION("""COMPUTED_VALUE"""),4663000.0)</f>
        <v>4663000</v>
      </c>
    </row>
    <row r="6114">
      <c r="A6114" s="3">
        <f>IFERROR(__xludf.DUMMYFUNCTION("""COMPUTED_VALUE"""),38064.666666666664)</f>
        <v>38064.66667</v>
      </c>
      <c r="B6114" s="2">
        <f>IFERROR(__xludf.DUMMYFUNCTION("""COMPUTED_VALUE"""),88.88)</f>
        <v>88.88</v>
      </c>
      <c r="C6114" s="2">
        <f>IFERROR(__xludf.DUMMYFUNCTION("""COMPUTED_VALUE"""),89.0)</f>
        <v>89</v>
      </c>
      <c r="D6114" s="2">
        <f>IFERROR(__xludf.DUMMYFUNCTION("""COMPUTED_VALUE"""),87.78)</f>
        <v>87.78</v>
      </c>
      <c r="E6114" s="2">
        <f>IFERROR(__xludf.DUMMYFUNCTION("""COMPUTED_VALUE"""),88.69)</f>
        <v>88.69</v>
      </c>
      <c r="F6114" s="2">
        <f>IFERROR(__xludf.DUMMYFUNCTION("""COMPUTED_VALUE"""),4605200.0)</f>
        <v>4605200</v>
      </c>
    </row>
    <row r="6115">
      <c r="A6115" s="3">
        <f>IFERROR(__xludf.DUMMYFUNCTION("""COMPUTED_VALUE"""),38065.666666666664)</f>
        <v>38065.66667</v>
      </c>
      <c r="B6115" s="2">
        <f>IFERROR(__xludf.DUMMYFUNCTION("""COMPUTED_VALUE"""),88.7)</f>
        <v>88.7</v>
      </c>
      <c r="C6115" s="2">
        <f>IFERROR(__xludf.DUMMYFUNCTION("""COMPUTED_VALUE"""),88.8)</f>
        <v>88.8</v>
      </c>
      <c r="D6115" s="2">
        <f>IFERROR(__xludf.DUMMYFUNCTION("""COMPUTED_VALUE"""),87.41)</f>
        <v>87.41</v>
      </c>
      <c r="E6115" s="2">
        <f>IFERROR(__xludf.DUMMYFUNCTION("""COMPUTED_VALUE"""),87.51)</f>
        <v>87.51</v>
      </c>
      <c r="F6115" s="2">
        <f>IFERROR(__xludf.DUMMYFUNCTION("""COMPUTED_VALUE"""),7185200.0)</f>
        <v>7185200</v>
      </c>
    </row>
    <row r="6116">
      <c r="A6116" s="3">
        <f>IFERROR(__xludf.DUMMYFUNCTION("""COMPUTED_VALUE"""),38068.666666666664)</f>
        <v>38068.66667</v>
      </c>
      <c r="B6116" s="2">
        <f>IFERROR(__xludf.DUMMYFUNCTION("""COMPUTED_VALUE"""),87.18)</f>
        <v>87.18</v>
      </c>
      <c r="C6116" s="2">
        <f>IFERROR(__xludf.DUMMYFUNCTION("""COMPUTED_VALUE"""),87.38)</f>
        <v>87.38</v>
      </c>
      <c r="D6116" s="2">
        <f>IFERROR(__xludf.DUMMYFUNCTION("""COMPUTED_VALUE"""),86.23)</f>
        <v>86.23</v>
      </c>
      <c r="E6116" s="2">
        <f>IFERROR(__xludf.DUMMYFUNCTION("""COMPUTED_VALUE"""),86.94)</f>
        <v>86.94</v>
      </c>
      <c r="F6116" s="2">
        <f>IFERROR(__xludf.DUMMYFUNCTION("""COMPUTED_VALUE"""),6223500.0)</f>
        <v>6223500</v>
      </c>
    </row>
    <row r="6117">
      <c r="A6117" s="3">
        <f>IFERROR(__xludf.DUMMYFUNCTION("""COMPUTED_VALUE"""),38069.666666666664)</f>
        <v>38069.66667</v>
      </c>
      <c r="B6117" s="2">
        <f>IFERROR(__xludf.DUMMYFUNCTION("""COMPUTED_VALUE"""),87.49)</f>
        <v>87.49</v>
      </c>
      <c r="C6117" s="2">
        <f>IFERROR(__xludf.DUMMYFUNCTION("""COMPUTED_VALUE"""),88.03)</f>
        <v>88.03</v>
      </c>
      <c r="D6117" s="2">
        <f>IFERROR(__xludf.DUMMYFUNCTION("""COMPUTED_VALUE"""),86.61)</f>
        <v>86.61</v>
      </c>
      <c r="E6117" s="2">
        <f>IFERROR(__xludf.DUMMYFUNCTION("""COMPUTED_VALUE"""),87.23)</f>
        <v>87.23</v>
      </c>
      <c r="F6117" s="2">
        <f>IFERROR(__xludf.DUMMYFUNCTION("""COMPUTED_VALUE"""),5065300.0)</f>
        <v>5065300</v>
      </c>
    </row>
    <row r="6118">
      <c r="A6118" s="3">
        <f>IFERROR(__xludf.DUMMYFUNCTION("""COMPUTED_VALUE"""),38070.666666666664)</f>
        <v>38070.66667</v>
      </c>
      <c r="B6118" s="2">
        <f>IFERROR(__xludf.DUMMYFUNCTION("""COMPUTED_VALUE"""),87.46)</f>
        <v>87.46</v>
      </c>
      <c r="C6118" s="2">
        <f>IFERROR(__xludf.DUMMYFUNCTION("""COMPUTED_VALUE"""),88.34)</f>
        <v>88.34</v>
      </c>
      <c r="D6118" s="2">
        <f>IFERROR(__xludf.DUMMYFUNCTION("""COMPUTED_VALUE"""),86.96)</f>
        <v>86.96</v>
      </c>
      <c r="E6118" s="2">
        <f>IFERROR(__xludf.DUMMYFUNCTION("""COMPUTED_VALUE"""),87.66)</f>
        <v>87.66</v>
      </c>
      <c r="F6118" s="2">
        <f>IFERROR(__xludf.DUMMYFUNCTION("""COMPUTED_VALUE"""),6211000.0)</f>
        <v>6211000</v>
      </c>
    </row>
    <row r="6119">
      <c r="A6119" s="3">
        <f>IFERROR(__xludf.DUMMYFUNCTION("""COMPUTED_VALUE"""),38071.666666666664)</f>
        <v>38071.66667</v>
      </c>
      <c r="B6119" s="2">
        <f>IFERROR(__xludf.DUMMYFUNCTION("""COMPUTED_VALUE"""),88.02)</f>
        <v>88.02</v>
      </c>
      <c r="C6119" s="2">
        <f>IFERROR(__xludf.DUMMYFUNCTION("""COMPUTED_VALUE"""),88.48)</f>
        <v>88.48</v>
      </c>
      <c r="D6119" s="2">
        <f>IFERROR(__xludf.DUMMYFUNCTION("""COMPUTED_VALUE"""),87.35)</f>
        <v>87.35</v>
      </c>
      <c r="E6119" s="2">
        <f>IFERROR(__xludf.DUMMYFUNCTION("""COMPUTED_VALUE"""),88.25)</f>
        <v>88.25</v>
      </c>
      <c r="F6119" s="2">
        <f>IFERROR(__xludf.DUMMYFUNCTION("""COMPUTED_VALUE"""),5585800.0)</f>
        <v>5585800</v>
      </c>
    </row>
    <row r="6120">
      <c r="A6120" s="3">
        <f>IFERROR(__xludf.DUMMYFUNCTION("""COMPUTED_VALUE"""),38072.666666666664)</f>
        <v>38072.66667</v>
      </c>
      <c r="B6120" s="2">
        <f>IFERROR(__xludf.DUMMYFUNCTION("""COMPUTED_VALUE"""),88.25)</f>
        <v>88.25</v>
      </c>
      <c r="C6120" s="2">
        <f>IFERROR(__xludf.DUMMYFUNCTION("""COMPUTED_VALUE"""),89.07)</f>
        <v>89.07</v>
      </c>
      <c r="D6120" s="2">
        <f>IFERROR(__xludf.DUMMYFUNCTION("""COMPUTED_VALUE"""),88.03)</f>
        <v>88.03</v>
      </c>
      <c r="E6120" s="2">
        <f>IFERROR(__xludf.DUMMYFUNCTION("""COMPUTED_VALUE"""),88.61)</f>
        <v>88.61</v>
      </c>
      <c r="F6120" s="2">
        <f>IFERROR(__xludf.DUMMYFUNCTION("""COMPUTED_VALUE"""),4397700.0)</f>
        <v>4397700</v>
      </c>
    </row>
    <row r="6121">
      <c r="A6121" s="3">
        <f>IFERROR(__xludf.DUMMYFUNCTION("""COMPUTED_VALUE"""),38075.666666666664)</f>
        <v>38075.66667</v>
      </c>
      <c r="B6121" s="2">
        <f>IFERROR(__xludf.DUMMYFUNCTION("""COMPUTED_VALUE"""),88.82)</f>
        <v>88.82</v>
      </c>
      <c r="C6121" s="2">
        <f>IFERROR(__xludf.DUMMYFUNCTION("""COMPUTED_VALUE"""),89.41)</f>
        <v>89.41</v>
      </c>
      <c r="D6121" s="2">
        <f>IFERROR(__xludf.DUMMYFUNCTION("""COMPUTED_VALUE"""),88.05)</f>
        <v>88.05</v>
      </c>
      <c r="E6121" s="2">
        <f>IFERROR(__xludf.DUMMYFUNCTION("""COMPUTED_VALUE"""),88.52)</f>
        <v>88.52</v>
      </c>
      <c r="F6121" s="2">
        <f>IFERROR(__xludf.DUMMYFUNCTION("""COMPUTED_VALUE"""),4879000.0)</f>
        <v>4879000</v>
      </c>
    </row>
    <row r="6122">
      <c r="A6122" s="3">
        <f>IFERROR(__xludf.DUMMYFUNCTION("""COMPUTED_VALUE"""),38076.666666666664)</f>
        <v>38076.66667</v>
      </c>
      <c r="B6122" s="2">
        <f>IFERROR(__xludf.DUMMYFUNCTION("""COMPUTED_VALUE"""),88.52)</f>
        <v>88.52</v>
      </c>
      <c r="C6122" s="2">
        <f>IFERROR(__xludf.DUMMYFUNCTION("""COMPUTED_VALUE"""),88.52)</f>
        <v>88.52</v>
      </c>
      <c r="D6122" s="2">
        <f>IFERROR(__xludf.DUMMYFUNCTION("""COMPUTED_VALUE"""),87.25)</f>
        <v>87.25</v>
      </c>
      <c r="E6122" s="2">
        <f>IFERROR(__xludf.DUMMYFUNCTION("""COMPUTED_VALUE"""),88.18)</f>
        <v>88.18</v>
      </c>
      <c r="F6122" s="2">
        <f>IFERROR(__xludf.DUMMYFUNCTION("""COMPUTED_VALUE"""),5415700.0)</f>
        <v>5415700</v>
      </c>
    </row>
    <row r="6123">
      <c r="A6123" s="3">
        <f>IFERROR(__xludf.DUMMYFUNCTION("""COMPUTED_VALUE"""),38077.666666666664)</f>
        <v>38077.66667</v>
      </c>
      <c r="B6123" s="2">
        <f>IFERROR(__xludf.DUMMYFUNCTION("""COMPUTED_VALUE"""),87.94)</f>
        <v>87.94</v>
      </c>
      <c r="C6123" s="2">
        <f>IFERROR(__xludf.DUMMYFUNCTION("""COMPUTED_VALUE"""),88.1)</f>
        <v>88.1</v>
      </c>
      <c r="D6123" s="2">
        <f>IFERROR(__xludf.DUMMYFUNCTION("""COMPUTED_VALUE"""),87.41)</f>
        <v>87.41</v>
      </c>
      <c r="E6123" s="2">
        <f>IFERROR(__xludf.DUMMYFUNCTION("""COMPUTED_VALUE"""),87.72)</f>
        <v>87.72</v>
      </c>
      <c r="F6123" s="2">
        <f>IFERROR(__xludf.DUMMYFUNCTION("""COMPUTED_VALUE"""),4613500.0)</f>
        <v>4613500</v>
      </c>
    </row>
    <row r="6124">
      <c r="A6124" s="3">
        <f>IFERROR(__xludf.DUMMYFUNCTION("""COMPUTED_VALUE"""),38078.666666666664)</f>
        <v>38078.66667</v>
      </c>
      <c r="B6124" s="2">
        <f>IFERROR(__xludf.DUMMYFUNCTION("""COMPUTED_VALUE"""),87.56)</f>
        <v>87.56</v>
      </c>
      <c r="C6124" s="2">
        <f>IFERROR(__xludf.DUMMYFUNCTION("""COMPUTED_VALUE"""),88.52)</f>
        <v>88.52</v>
      </c>
      <c r="D6124" s="2">
        <f>IFERROR(__xludf.DUMMYFUNCTION("""COMPUTED_VALUE"""),87.51)</f>
        <v>87.51</v>
      </c>
      <c r="E6124" s="2">
        <f>IFERROR(__xludf.DUMMYFUNCTION("""COMPUTED_VALUE"""),88.23)</f>
        <v>88.23</v>
      </c>
      <c r="F6124" s="2">
        <f>IFERROR(__xludf.DUMMYFUNCTION("""COMPUTED_VALUE"""),4248700.0)</f>
        <v>4248700</v>
      </c>
    </row>
    <row r="6125">
      <c r="A6125" s="3">
        <f>IFERROR(__xludf.DUMMYFUNCTION("""COMPUTED_VALUE"""),38079.666666666664)</f>
        <v>38079.66667</v>
      </c>
      <c r="B6125" s="2">
        <f>IFERROR(__xludf.DUMMYFUNCTION("""COMPUTED_VALUE"""),89.36)</f>
        <v>89.36</v>
      </c>
      <c r="C6125" s="2">
        <f>IFERROR(__xludf.DUMMYFUNCTION("""COMPUTED_VALUE"""),90.31)</f>
        <v>90.31</v>
      </c>
      <c r="D6125" s="2">
        <f>IFERROR(__xludf.DUMMYFUNCTION("""COMPUTED_VALUE"""),89.15)</f>
        <v>89.15</v>
      </c>
      <c r="E6125" s="2">
        <f>IFERROR(__xludf.DUMMYFUNCTION("""COMPUTED_VALUE"""),89.98)</f>
        <v>89.98</v>
      </c>
      <c r="F6125" s="2">
        <f>IFERROR(__xludf.DUMMYFUNCTION("""COMPUTED_VALUE"""),5894500.0)</f>
        <v>5894500</v>
      </c>
    </row>
    <row r="6126">
      <c r="A6126" s="3">
        <f>IFERROR(__xludf.DUMMYFUNCTION("""COMPUTED_VALUE"""),38082.666666666664)</f>
        <v>38082.66667</v>
      </c>
      <c r="B6126" s="2">
        <f>IFERROR(__xludf.DUMMYFUNCTION("""COMPUTED_VALUE"""),89.74)</f>
        <v>89.74</v>
      </c>
      <c r="C6126" s="2">
        <f>IFERROR(__xludf.DUMMYFUNCTION("""COMPUTED_VALUE"""),90.14)</f>
        <v>90.14</v>
      </c>
      <c r="D6126" s="2">
        <f>IFERROR(__xludf.DUMMYFUNCTION("""COMPUTED_VALUE"""),89.32)</f>
        <v>89.32</v>
      </c>
      <c r="E6126" s="2">
        <f>IFERROR(__xludf.DUMMYFUNCTION("""COMPUTED_VALUE"""),89.96)</f>
        <v>89.96</v>
      </c>
      <c r="F6126" s="2">
        <f>IFERROR(__xludf.DUMMYFUNCTION("""COMPUTED_VALUE"""),3936000.0)</f>
        <v>3936000</v>
      </c>
    </row>
    <row r="6127">
      <c r="A6127" s="3">
        <f>IFERROR(__xludf.DUMMYFUNCTION("""COMPUTED_VALUE"""),38083.666666666664)</f>
        <v>38083.66667</v>
      </c>
      <c r="B6127" s="2">
        <f>IFERROR(__xludf.DUMMYFUNCTION("""COMPUTED_VALUE"""),89.4)</f>
        <v>89.4</v>
      </c>
      <c r="C6127" s="2">
        <f>IFERROR(__xludf.DUMMYFUNCTION("""COMPUTED_VALUE"""),89.58)</f>
        <v>89.58</v>
      </c>
      <c r="D6127" s="2">
        <f>IFERROR(__xludf.DUMMYFUNCTION("""COMPUTED_VALUE"""),88.85)</f>
        <v>88.85</v>
      </c>
      <c r="E6127" s="2">
        <f>IFERROR(__xludf.DUMMYFUNCTION("""COMPUTED_VALUE"""),89.5)</f>
        <v>89.5</v>
      </c>
      <c r="F6127" s="2">
        <f>IFERROR(__xludf.DUMMYFUNCTION("""COMPUTED_VALUE"""),3863600.0)</f>
        <v>3863600</v>
      </c>
    </row>
    <row r="6128">
      <c r="A6128" s="3">
        <f>IFERROR(__xludf.DUMMYFUNCTION("""COMPUTED_VALUE"""),38084.666666666664)</f>
        <v>38084.66667</v>
      </c>
      <c r="B6128" s="2">
        <f>IFERROR(__xludf.DUMMYFUNCTION("""COMPUTED_VALUE"""),89.18)</f>
        <v>89.18</v>
      </c>
      <c r="C6128" s="2">
        <f>IFERROR(__xludf.DUMMYFUNCTION("""COMPUTED_VALUE"""),89.38)</f>
        <v>89.38</v>
      </c>
      <c r="D6128" s="2">
        <f>IFERROR(__xludf.DUMMYFUNCTION("""COMPUTED_VALUE"""),88.36)</f>
        <v>88.36</v>
      </c>
      <c r="E6128" s="2">
        <f>IFERROR(__xludf.DUMMYFUNCTION("""COMPUTED_VALUE"""),88.91)</f>
        <v>88.91</v>
      </c>
      <c r="F6128" s="2">
        <f>IFERROR(__xludf.DUMMYFUNCTION("""COMPUTED_VALUE"""),4527300.0)</f>
        <v>4527300</v>
      </c>
    </row>
    <row r="6129">
      <c r="A6129" s="3">
        <f>IFERROR(__xludf.DUMMYFUNCTION("""COMPUTED_VALUE"""),38085.666666666664)</f>
        <v>38085.66667</v>
      </c>
      <c r="B6129" s="2">
        <f>IFERROR(__xludf.DUMMYFUNCTION("""COMPUTED_VALUE"""),89.79)</f>
        <v>89.79</v>
      </c>
      <c r="C6129" s="2">
        <f>IFERROR(__xludf.DUMMYFUNCTION("""COMPUTED_VALUE"""),90.16)</f>
        <v>90.16</v>
      </c>
      <c r="D6129" s="2">
        <f>IFERROR(__xludf.DUMMYFUNCTION("""COMPUTED_VALUE"""),88.4)</f>
        <v>88.4</v>
      </c>
      <c r="E6129" s="2">
        <f>IFERROR(__xludf.DUMMYFUNCTION("""COMPUTED_VALUE"""),88.94)</f>
        <v>88.94</v>
      </c>
      <c r="F6129" s="2">
        <f>IFERROR(__xludf.DUMMYFUNCTION("""COMPUTED_VALUE"""),3868000.0)</f>
        <v>3868000</v>
      </c>
    </row>
    <row r="6130">
      <c r="A6130" s="3">
        <f>IFERROR(__xludf.DUMMYFUNCTION("""COMPUTED_VALUE"""),38089.666666666664)</f>
        <v>38089.66667</v>
      </c>
      <c r="B6130" s="2">
        <f>IFERROR(__xludf.DUMMYFUNCTION("""COMPUTED_VALUE"""),89.31)</f>
        <v>89.31</v>
      </c>
      <c r="C6130" s="2">
        <f>IFERROR(__xludf.DUMMYFUNCTION("""COMPUTED_VALUE"""),90.13)</f>
        <v>90.13</v>
      </c>
      <c r="D6130" s="2">
        <f>IFERROR(__xludf.DUMMYFUNCTION("""COMPUTED_VALUE"""),89.21)</f>
        <v>89.21</v>
      </c>
      <c r="E6130" s="2">
        <f>IFERROR(__xludf.DUMMYFUNCTION("""COMPUTED_VALUE"""),89.54)</f>
        <v>89.54</v>
      </c>
      <c r="F6130" s="2">
        <f>IFERROR(__xludf.DUMMYFUNCTION("""COMPUTED_VALUE"""),3112600.0)</f>
        <v>3112600</v>
      </c>
    </row>
    <row r="6131">
      <c r="A6131" s="3">
        <f>IFERROR(__xludf.DUMMYFUNCTION("""COMPUTED_VALUE"""),38090.666666666664)</f>
        <v>38090.66667</v>
      </c>
      <c r="B6131" s="2">
        <f>IFERROR(__xludf.DUMMYFUNCTION("""COMPUTED_VALUE"""),89.58)</f>
        <v>89.58</v>
      </c>
      <c r="C6131" s="2">
        <f>IFERROR(__xludf.DUMMYFUNCTION("""COMPUTED_VALUE"""),89.82)</f>
        <v>89.82</v>
      </c>
      <c r="D6131" s="2">
        <f>IFERROR(__xludf.DUMMYFUNCTION("""COMPUTED_VALUE"""),88.35)</f>
        <v>88.35</v>
      </c>
      <c r="E6131" s="2">
        <f>IFERROR(__xludf.DUMMYFUNCTION("""COMPUTED_VALUE"""),88.87)</f>
        <v>88.87</v>
      </c>
      <c r="F6131" s="2">
        <f>IFERROR(__xludf.DUMMYFUNCTION("""COMPUTED_VALUE"""),5013600.0)</f>
        <v>5013600</v>
      </c>
    </row>
    <row r="6132">
      <c r="A6132" s="3">
        <f>IFERROR(__xludf.DUMMYFUNCTION("""COMPUTED_VALUE"""),38091.666666666664)</f>
        <v>38091.66667</v>
      </c>
      <c r="B6132" s="2">
        <f>IFERROR(__xludf.DUMMYFUNCTION("""COMPUTED_VALUE"""),87.97)</f>
        <v>87.97</v>
      </c>
      <c r="C6132" s="2">
        <f>IFERROR(__xludf.DUMMYFUNCTION("""COMPUTED_VALUE"""),89.65)</f>
        <v>89.65</v>
      </c>
      <c r="D6132" s="2">
        <f>IFERROR(__xludf.DUMMYFUNCTION("""COMPUTED_VALUE"""),87.97)</f>
        <v>87.97</v>
      </c>
      <c r="E6132" s="2">
        <f>IFERROR(__xludf.DUMMYFUNCTION("""COMPUTED_VALUE"""),89.5)</f>
        <v>89.5</v>
      </c>
      <c r="F6132" s="2">
        <f>IFERROR(__xludf.DUMMYFUNCTION("""COMPUTED_VALUE"""),5316500.0)</f>
        <v>5316500</v>
      </c>
    </row>
    <row r="6133">
      <c r="A6133" s="3">
        <f>IFERROR(__xludf.DUMMYFUNCTION("""COMPUTED_VALUE"""),38092.666666666664)</f>
        <v>38092.66667</v>
      </c>
      <c r="B6133" s="2">
        <f>IFERROR(__xludf.DUMMYFUNCTION("""COMPUTED_VALUE"""),89.59)</f>
        <v>89.59</v>
      </c>
      <c r="C6133" s="2">
        <f>IFERROR(__xludf.DUMMYFUNCTION("""COMPUTED_VALUE"""),89.87)</f>
        <v>89.87</v>
      </c>
      <c r="D6133" s="2">
        <f>IFERROR(__xludf.DUMMYFUNCTION("""COMPUTED_VALUE"""),88.89)</f>
        <v>88.89</v>
      </c>
      <c r="E6133" s="2">
        <f>IFERROR(__xludf.DUMMYFUNCTION("""COMPUTED_VALUE"""),89.76)</f>
        <v>89.76</v>
      </c>
      <c r="F6133" s="2">
        <f>IFERROR(__xludf.DUMMYFUNCTION("""COMPUTED_VALUE"""),6863200.0)</f>
        <v>6863200</v>
      </c>
    </row>
    <row r="6134">
      <c r="A6134" s="3">
        <f>IFERROR(__xludf.DUMMYFUNCTION("""COMPUTED_VALUE"""),38093.666666666664)</f>
        <v>38093.66667</v>
      </c>
      <c r="B6134" s="2">
        <f>IFERROR(__xludf.DUMMYFUNCTION("""COMPUTED_VALUE"""),88.16)</f>
        <v>88.16</v>
      </c>
      <c r="C6134" s="2">
        <f>IFERROR(__xludf.DUMMYFUNCTION("""COMPUTED_VALUE"""),88.21)</f>
        <v>88.21</v>
      </c>
      <c r="D6134" s="2">
        <f>IFERROR(__xludf.DUMMYFUNCTION("""COMPUTED_VALUE"""),86.96)</f>
        <v>86.96</v>
      </c>
      <c r="E6134" s="2">
        <f>IFERROR(__xludf.DUMMYFUNCTION("""COMPUTED_VALUE"""),88.14)</f>
        <v>88.14</v>
      </c>
      <c r="F6134" s="2">
        <f>IFERROR(__xludf.DUMMYFUNCTION("""COMPUTED_VALUE"""),1.11181E7)</f>
        <v>11118100</v>
      </c>
    </row>
    <row r="6135">
      <c r="A6135" s="3">
        <f>IFERROR(__xludf.DUMMYFUNCTION("""COMPUTED_VALUE"""),38096.666666666664)</f>
        <v>38096.66667</v>
      </c>
      <c r="B6135" s="2">
        <f>IFERROR(__xludf.DUMMYFUNCTION("""COMPUTED_VALUE"""),87.78)</f>
        <v>87.78</v>
      </c>
      <c r="C6135" s="2">
        <f>IFERROR(__xludf.DUMMYFUNCTION("""COMPUTED_VALUE"""),88.16)</f>
        <v>88.16</v>
      </c>
      <c r="D6135" s="2">
        <f>IFERROR(__xludf.DUMMYFUNCTION("""COMPUTED_VALUE"""),87.59)</f>
        <v>87.59</v>
      </c>
      <c r="E6135" s="2">
        <f>IFERROR(__xludf.DUMMYFUNCTION("""COMPUTED_VALUE"""),87.82)</f>
        <v>87.82</v>
      </c>
      <c r="F6135" s="2">
        <f>IFERROR(__xludf.DUMMYFUNCTION("""COMPUTED_VALUE"""),4159400.0)</f>
        <v>4159400</v>
      </c>
    </row>
    <row r="6136">
      <c r="A6136" s="3">
        <f>IFERROR(__xludf.DUMMYFUNCTION("""COMPUTED_VALUE"""),38097.666666666664)</f>
        <v>38097.66667</v>
      </c>
      <c r="B6136" s="2">
        <f>IFERROR(__xludf.DUMMYFUNCTION("""COMPUTED_VALUE"""),87.88)</f>
        <v>87.88</v>
      </c>
      <c r="C6136" s="2">
        <f>IFERROR(__xludf.DUMMYFUNCTION("""COMPUTED_VALUE"""),88.33)</f>
        <v>88.33</v>
      </c>
      <c r="D6136" s="2">
        <f>IFERROR(__xludf.DUMMYFUNCTION("""COMPUTED_VALUE"""),86.59)</f>
        <v>86.59</v>
      </c>
      <c r="E6136" s="2">
        <f>IFERROR(__xludf.DUMMYFUNCTION("""COMPUTED_VALUE"""),86.59)</f>
        <v>86.59</v>
      </c>
      <c r="F6136" s="2">
        <f>IFERROR(__xludf.DUMMYFUNCTION("""COMPUTED_VALUE"""),4260200.0)</f>
        <v>4260200</v>
      </c>
    </row>
    <row r="6137">
      <c r="A6137" s="3">
        <f>IFERROR(__xludf.DUMMYFUNCTION("""COMPUTED_VALUE"""),38098.666666666664)</f>
        <v>38098.66667</v>
      </c>
      <c r="B6137" s="2">
        <f>IFERROR(__xludf.DUMMYFUNCTION("""COMPUTED_VALUE"""),87.06)</f>
        <v>87.06</v>
      </c>
      <c r="C6137" s="2">
        <f>IFERROR(__xludf.DUMMYFUNCTION("""COMPUTED_VALUE"""),87.32)</f>
        <v>87.32</v>
      </c>
      <c r="D6137" s="2">
        <f>IFERROR(__xludf.DUMMYFUNCTION("""COMPUTED_VALUE"""),86.62)</f>
        <v>86.62</v>
      </c>
      <c r="E6137" s="2">
        <f>IFERROR(__xludf.DUMMYFUNCTION("""COMPUTED_VALUE"""),87.17)</f>
        <v>87.17</v>
      </c>
      <c r="F6137" s="2">
        <f>IFERROR(__xludf.DUMMYFUNCTION("""COMPUTED_VALUE"""),4623400.0)</f>
        <v>4623400</v>
      </c>
    </row>
    <row r="6138">
      <c r="A6138" s="3">
        <f>IFERROR(__xludf.DUMMYFUNCTION("""COMPUTED_VALUE"""),38099.666666666664)</f>
        <v>38099.66667</v>
      </c>
      <c r="B6138" s="2">
        <f>IFERROR(__xludf.DUMMYFUNCTION("""COMPUTED_VALUE"""),86.44)</f>
        <v>86.44</v>
      </c>
      <c r="C6138" s="2">
        <f>IFERROR(__xludf.DUMMYFUNCTION("""COMPUTED_VALUE"""),87.41)</f>
        <v>87.41</v>
      </c>
      <c r="D6138" s="2">
        <f>IFERROR(__xludf.DUMMYFUNCTION("""COMPUTED_VALUE"""),85.68)</f>
        <v>85.68</v>
      </c>
      <c r="E6138" s="2">
        <f>IFERROR(__xludf.DUMMYFUNCTION("""COMPUTED_VALUE"""),86.67)</f>
        <v>86.67</v>
      </c>
      <c r="F6138" s="2">
        <f>IFERROR(__xludf.DUMMYFUNCTION("""COMPUTED_VALUE"""),7988000.0)</f>
        <v>7988000</v>
      </c>
    </row>
    <row r="6139">
      <c r="A6139" s="3">
        <f>IFERROR(__xludf.DUMMYFUNCTION("""COMPUTED_VALUE"""),38100.666666666664)</f>
        <v>38100.66667</v>
      </c>
      <c r="B6139" s="2">
        <f>IFERROR(__xludf.DUMMYFUNCTION("""COMPUTED_VALUE"""),86.92)</f>
        <v>86.92</v>
      </c>
      <c r="C6139" s="2">
        <f>IFERROR(__xludf.DUMMYFUNCTION("""COMPUTED_VALUE"""),87.5)</f>
        <v>87.5</v>
      </c>
      <c r="D6139" s="2">
        <f>IFERROR(__xludf.DUMMYFUNCTION("""COMPUTED_VALUE"""),86.31)</f>
        <v>86.31</v>
      </c>
      <c r="E6139" s="2">
        <f>IFERROR(__xludf.DUMMYFUNCTION("""COMPUTED_VALUE"""),87.19)</f>
        <v>87.19</v>
      </c>
      <c r="F6139" s="2">
        <f>IFERROR(__xludf.DUMMYFUNCTION("""COMPUTED_VALUE"""),5048700.0)</f>
        <v>5048700</v>
      </c>
    </row>
    <row r="6140">
      <c r="A6140" s="3">
        <f>IFERROR(__xludf.DUMMYFUNCTION("""COMPUTED_VALUE"""),38103.666666666664)</f>
        <v>38103.66667</v>
      </c>
      <c r="B6140" s="2">
        <f>IFERROR(__xludf.DUMMYFUNCTION("""COMPUTED_VALUE"""),86.68)</f>
        <v>86.68</v>
      </c>
      <c r="C6140" s="2">
        <f>IFERROR(__xludf.DUMMYFUNCTION("""COMPUTED_VALUE"""),87.45)</f>
        <v>87.45</v>
      </c>
      <c r="D6140" s="2">
        <f>IFERROR(__xludf.DUMMYFUNCTION("""COMPUTED_VALUE"""),86.3)</f>
        <v>86.3</v>
      </c>
      <c r="E6140" s="2">
        <f>IFERROR(__xludf.DUMMYFUNCTION("""COMPUTED_VALUE"""),86.38)</f>
        <v>86.38</v>
      </c>
      <c r="F6140" s="2">
        <f>IFERROR(__xludf.DUMMYFUNCTION("""COMPUTED_VALUE"""),4532500.0)</f>
        <v>4532500</v>
      </c>
    </row>
    <row r="6141">
      <c r="A6141" s="3">
        <f>IFERROR(__xludf.DUMMYFUNCTION("""COMPUTED_VALUE"""),38104.666666666664)</f>
        <v>38104.66667</v>
      </c>
      <c r="B6141" s="2">
        <f>IFERROR(__xludf.DUMMYFUNCTION("""COMPUTED_VALUE"""),86.59)</f>
        <v>86.59</v>
      </c>
      <c r="C6141" s="2">
        <f>IFERROR(__xludf.DUMMYFUNCTION("""COMPUTED_VALUE"""),87.87)</f>
        <v>87.87</v>
      </c>
      <c r="D6141" s="2">
        <f>IFERROR(__xludf.DUMMYFUNCTION("""COMPUTED_VALUE"""),86.5)</f>
        <v>86.5</v>
      </c>
      <c r="E6141" s="2">
        <f>IFERROR(__xludf.DUMMYFUNCTION("""COMPUTED_VALUE"""),87.28)</f>
        <v>87.28</v>
      </c>
      <c r="F6141" s="2">
        <f>IFERROR(__xludf.DUMMYFUNCTION("""COMPUTED_VALUE"""),4768000.0)</f>
        <v>4768000</v>
      </c>
    </row>
    <row r="6142">
      <c r="A6142" s="3">
        <f>IFERROR(__xludf.DUMMYFUNCTION("""COMPUTED_VALUE"""),38105.666666666664)</f>
        <v>38105.66667</v>
      </c>
      <c r="B6142" s="2">
        <f>IFERROR(__xludf.DUMMYFUNCTION("""COMPUTED_VALUE"""),86.25)</f>
        <v>86.25</v>
      </c>
      <c r="C6142" s="2">
        <f>IFERROR(__xludf.DUMMYFUNCTION("""COMPUTED_VALUE"""),86.9)</f>
        <v>86.9</v>
      </c>
      <c r="D6142" s="2">
        <f>IFERROR(__xludf.DUMMYFUNCTION("""COMPUTED_VALUE"""),86.17)</f>
        <v>86.17</v>
      </c>
      <c r="E6142" s="2">
        <f>IFERROR(__xludf.DUMMYFUNCTION("""COMPUTED_VALUE"""),86.36)</f>
        <v>86.36</v>
      </c>
      <c r="F6142" s="2">
        <f>IFERROR(__xludf.DUMMYFUNCTION("""COMPUTED_VALUE"""),4704100.0)</f>
        <v>4704100</v>
      </c>
    </row>
    <row r="6143">
      <c r="A6143" s="3">
        <f>IFERROR(__xludf.DUMMYFUNCTION("""COMPUTED_VALUE"""),38106.666666666664)</f>
        <v>38106.66667</v>
      </c>
      <c r="B6143" s="2">
        <f>IFERROR(__xludf.DUMMYFUNCTION("""COMPUTED_VALUE"""),85.97)</f>
        <v>85.97</v>
      </c>
      <c r="C6143" s="2">
        <f>IFERROR(__xludf.DUMMYFUNCTION("""COMPUTED_VALUE"""),86.21)</f>
        <v>86.21</v>
      </c>
      <c r="D6143" s="2">
        <f>IFERROR(__xludf.DUMMYFUNCTION("""COMPUTED_VALUE"""),84.24)</f>
        <v>84.24</v>
      </c>
      <c r="E6143" s="2">
        <f>IFERROR(__xludf.DUMMYFUNCTION("""COMPUTED_VALUE"""),84.81)</f>
        <v>84.81</v>
      </c>
      <c r="F6143" s="2">
        <f>IFERROR(__xludf.DUMMYFUNCTION("""COMPUTED_VALUE"""),7698700.0)</f>
        <v>7698700</v>
      </c>
    </row>
    <row r="6144">
      <c r="A6144" s="3">
        <f>IFERROR(__xludf.DUMMYFUNCTION("""COMPUTED_VALUE"""),38107.666666666664)</f>
        <v>38107.66667</v>
      </c>
      <c r="B6144" s="2">
        <f>IFERROR(__xludf.DUMMYFUNCTION("""COMPUTED_VALUE"""),85.02)</f>
        <v>85.02</v>
      </c>
      <c r="C6144" s="2">
        <f>IFERROR(__xludf.DUMMYFUNCTION("""COMPUTED_VALUE"""),85.2)</f>
        <v>85.2</v>
      </c>
      <c r="D6144" s="2">
        <f>IFERROR(__xludf.DUMMYFUNCTION("""COMPUTED_VALUE"""),84.06)</f>
        <v>84.06</v>
      </c>
      <c r="E6144" s="2">
        <f>IFERROR(__xludf.DUMMYFUNCTION("""COMPUTED_VALUE"""),84.72)</f>
        <v>84.72</v>
      </c>
      <c r="F6144" s="2">
        <f>IFERROR(__xludf.DUMMYFUNCTION("""COMPUTED_VALUE"""),5016300.0)</f>
        <v>5016300</v>
      </c>
    </row>
    <row r="6145">
      <c r="A6145" s="3">
        <f>IFERROR(__xludf.DUMMYFUNCTION("""COMPUTED_VALUE"""),38110.666666666664)</f>
        <v>38110.66667</v>
      </c>
      <c r="B6145" s="2">
        <f>IFERROR(__xludf.DUMMYFUNCTION("""COMPUTED_VALUE"""),84.18)</f>
        <v>84.18</v>
      </c>
      <c r="C6145" s="2">
        <f>IFERROR(__xludf.DUMMYFUNCTION("""COMPUTED_VALUE"""),84.55)</f>
        <v>84.55</v>
      </c>
      <c r="D6145" s="2">
        <f>IFERROR(__xludf.DUMMYFUNCTION("""COMPUTED_VALUE"""),83.29)</f>
        <v>83.29</v>
      </c>
      <c r="E6145" s="2">
        <f>IFERROR(__xludf.DUMMYFUNCTION("""COMPUTED_VALUE"""),84.07)</f>
        <v>84.07</v>
      </c>
      <c r="F6145" s="2">
        <f>IFERROR(__xludf.DUMMYFUNCTION("""COMPUTED_VALUE"""),6062800.0)</f>
        <v>6062800</v>
      </c>
    </row>
    <row r="6146">
      <c r="A6146" s="3">
        <f>IFERROR(__xludf.DUMMYFUNCTION("""COMPUTED_VALUE"""),38111.666666666664)</f>
        <v>38111.66667</v>
      </c>
      <c r="B6146" s="2">
        <f>IFERROR(__xludf.DUMMYFUNCTION("""COMPUTED_VALUE"""),84.07)</f>
        <v>84.07</v>
      </c>
      <c r="C6146" s="2">
        <f>IFERROR(__xludf.DUMMYFUNCTION("""COMPUTED_VALUE"""),85.72)</f>
        <v>85.72</v>
      </c>
      <c r="D6146" s="2">
        <f>IFERROR(__xludf.DUMMYFUNCTION("""COMPUTED_VALUE"""),84.05)</f>
        <v>84.05</v>
      </c>
      <c r="E6146" s="2">
        <f>IFERROR(__xludf.DUMMYFUNCTION("""COMPUTED_VALUE"""),85.01)</f>
        <v>85.01</v>
      </c>
      <c r="F6146" s="2">
        <f>IFERROR(__xludf.DUMMYFUNCTION("""COMPUTED_VALUE"""),5450600.0)</f>
        <v>5450600</v>
      </c>
    </row>
    <row r="6147">
      <c r="A6147" s="3">
        <f>IFERROR(__xludf.DUMMYFUNCTION("""COMPUTED_VALUE"""),38112.666666666664)</f>
        <v>38112.66667</v>
      </c>
      <c r="B6147" s="2">
        <f>IFERROR(__xludf.DUMMYFUNCTION("""COMPUTED_VALUE"""),85.73)</f>
        <v>85.73</v>
      </c>
      <c r="C6147" s="2">
        <f>IFERROR(__xludf.DUMMYFUNCTION("""COMPUTED_VALUE"""),85.73)</f>
        <v>85.73</v>
      </c>
      <c r="D6147" s="2">
        <f>IFERROR(__xludf.DUMMYFUNCTION("""COMPUTED_VALUE"""),84.54)</f>
        <v>84.54</v>
      </c>
      <c r="E6147" s="2">
        <f>IFERROR(__xludf.DUMMYFUNCTION("""COMPUTED_VALUE"""),84.97)</f>
        <v>84.97</v>
      </c>
      <c r="F6147" s="2">
        <f>IFERROR(__xludf.DUMMYFUNCTION("""COMPUTED_VALUE"""),4370100.0)</f>
        <v>4370100</v>
      </c>
    </row>
    <row r="6148">
      <c r="A6148" s="3">
        <f>IFERROR(__xludf.DUMMYFUNCTION("""COMPUTED_VALUE"""),38113.666666666664)</f>
        <v>38113.66667</v>
      </c>
      <c r="B6148" s="2">
        <f>IFERROR(__xludf.DUMMYFUNCTION("""COMPUTED_VALUE"""),84.15)</f>
        <v>84.15</v>
      </c>
      <c r="C6148" s="2">
        <f>IFERROR(__xludf.DUMMYFUNCTION("""COMPUTED_VALUE"""),85.11)</f>
        <v>85.11</v>
      </c>
      <c r="D6148" s="2">
        <f>IFERROR(__xludf.DUMMYFUNCTION("""COMPUTED_VALUE"""),83.66)</f>
        <v>83.66</v>
      </c>
      <c r="E6148" s="2">
        <f>IFERROR(__xludf.DUMMYFUNCTION("""COMPUTED_VALUE"""),84.4)</f>
        <v>84.4</v>
      </c>
      <c r="F6148" s="2">
        <f>IFERROR(__xludf.DUMMYFUNCTION("""COMPUTED_VALUE"""),4230000.0)</f>
        <v>4230000</v>
      </c>
    </row>
    <row r="6149">
      <c r="A6149" s="3">
        <f>IFERROR(__xludf.DUMMYFUNCTION("""COMPUTED_VALUE"""),38114.666666666664)</f>
        <v>38114.66667</v>
      </c>
      <c r="B6149" s="2">
        <f>IFERROR(__xludf.DUMMYFUNCTION("""COMPUTED_VALUE"""),83.82)</f>
        <v>83.82</v>
      </c>
      <c r="C6149" s="2">
        <f>IFERROR(__xludf.DUMMYFUNCTION("""COMPUTED_VALUE"""),85.39)</f>
        <v>85.39</v>
      </c>
      <c r="D6149" s="2">
        <f>IFERROR(__xludf.DUMMYFUNCTION("""COMPUTED_VALUE"""),83.69)</f>
        <v>83.69</v>
      </c>
      <c r="E6149" s="2">
        <f>IFERROR(__xludf.DUMMYFUNCTION("""COMPUTED_VALUE"""),84.24)</f>
        <v>84.24</v>
      </c>
      <c r="F6149" s="2">
        <f>IFERROR(__xludf.DUMMYFUNCTION("""COMPUTED_VALUE"""),5392600.0)</f>
        <v>5392600</v>
      </c>
    </row>
    <row r="6150">
      <c r="A6150" s="3">
        <f>IFERROR(__xludf.DUMMYFUNCTION("""COMPUTED_VALUE"""),38117.666666666664)</f>
        <v>38117.66667</v>
      </c>
      <c r="B6150" s="2">
        <f>IFERROR(__xludf.DUMMYFUNCTION("""COMPUTED_VALUE"""),83.67)</f>
        <v>83.67</v>
      </c>
      <c r="C6150" s="2">
        <f>IFERROR(__xludf.DUMMYFUNCTION("""COMPUTED_VALUE"""),84.15)</f>
        <v>84.15</v>
      </c>
      <c r="D6150" s="2">
        <f>IFERROR(__xludf.DUMMYFUNCTION("""COMPUTED_VALUE"""),82.5)</f>
        <v>82.5</v>
      </c>
      <c r="E6150" s="2">
        <f>IFERROR(__xludf.DUMMYFUNCTION("""COMPUTED_VALUE"""),83.22)</f>
        <v>83.22</v>
      </c>
      <c r="F6150" s="2">
        <f>IFERROR(__xludf.DUMMYFUNCTION("""COMPUTED_VALUE"""),6684600.0)</f>
        <v>6684600</v>
      </c>
    </row>
    <row r="6151">
      <c r="A6151" s="3">
        <f>IFERROR(__xludf.DUMMYFUNCTION("""COMPUTED_VALUE"""),38118.666666666664)</f>
        <v>38118.66667</v>
      </c>
      <c r="B6151" s="2">
        <f>IFERROR(__xludf.DUMMYFUNCTION("""COMPUTED_VALUE"""),83.29)</f>
        <v>83.29</v>
      </c>
      <c r="C6151" s="2">
        <f>IFERROR(__xludf.DUMMYFUNCTION("""COMPUTED_VALUE"""),84.2)</f>
        <v>84.2</v>
      </c>
      <c r="D6151" s="2">
        <f>IFERROR(__xludf.DUMMYFUNCTION("""COMPUTED_VALUE"""),82.93)</f>
        <v>82.93</v>
      </c>
      <c r="E6151" s="2">
        <f>IFERROR(__xludf.DUMMYFUNCTION("""COMPUTED_VALUE"""),83.19)</f>
        <v>83.19</v>
      </c>
      <c r="F6151" s="2">
        <f>IFERROR(__xludf.DUMMYFUNCTION("""COMPUTED_VALUE"""),6575000.0)</f>
        <v>6575000</v>
      </c>
    </row>
    <row r="6152">
      <c r="A6152" s="3">
        <f>IFERROR(__xludf.DUMMYFUNCTION("""COMPUTED_VALUE"""),38119.666666666664)</f>
        <v>38119.66667</v>
      </c>
      <c r="B6152" s="2">
        <f>IFERROR(__xludf.DUMMYFUNCTION("""COMPUTED_VALUE"""),83.34)</f>
        <v>83.34</v>
      </c>
      <c r="C6152" s="2">
        <f>IFERROR(__xludf.DUMMYFUNCTION("""COMPUTED_VALUE"""),83.34)</f>
        <v>83.34</v>
      </c>
      <c r="D6152" s="2">
        <f>IFERROR(__xludf.DUMMYFUNCTION("""COMPUTED_VALUE"""),81.3)</f>
        <v>81.3</v>
      </c>
      <c r="E6152" s="2">
        <f>IFERROR(__xludf.DUMMYFUNCTION("""COMPUTED_VALUE"""),82.92)</f>
        <v>82.92</v>
      </c>
      <c r="F6152" s="2">
        <f>IFERROR(__xludf.DUMMYFUNCTION("""COMPUTED_VALUE"""),8444400.0)</f>
        <v>8444400</v>
      </c>
    </row>
    <row r="6153">
      <c r="A6153" s="3">
        <f>IFERROR(__xludf.DUMMYFUNCTION("""COMPUTED_VALUE"""),38120.666666666664)</f>
        <v>38120.66667</v>
      </c>
      <c r="B6153" s="2">
        <f>IFERROR(__xludf.DUMMYFUNCTION("""COMPUTED_VALUE"""),82.9)</f>
        <v>82.9</v>
      </c>
      <c r="C6153" s="2">
        <f>IFERROR(__xludf.DUMMYFUNCTION("""COMPUTED_VALUE"""),83.49)</f>
        <v>83.49</v>
      </c>
      <c r="D6153" s="2">
        <f>IFERROR(__xludf.DUMMYFUNCTION("""COMPUTED_VALUE"""),82.39)</f>
        <v>82.39</v>
      </c>
      <c r="E6153" s="2">
        <f>IFERROR(__xludf.DUMMYFUNCTION("""COMPUTED_VALUE"""),82.98)</f>
        <v>82.98</v>
      </c>
      <c r="F6153" s="2">
        <f>IFERROR(__xludf.DUMMYFUNCTION("""COMPUTED_VALUE"""),4705800.0)</f>
        <v>4705800</v>
      </c>
    </row>
    <row r="6154">
      <c r="A6154" s="3">
        <f>IFERROR(__xludf.DUMMYFUNCTION("""COMPUTED_VALUE"""),38121.666666666664)</f>
        <v>38121.66667</v>
      </c>
      <c r="B6154" s="2">
        <f>IFERROR(__xludf.DUMMYFUNCTION("""COMPUTED_VALUE"""),82.76)</f>
        <v>82.76</v>
      </c>
      <c r="C6154" s="2">
        <f>IFERROR(__xludf.DUMMYFUNCTION("""COMPUTED_VALUE"""),83.43)</f>
        <v>83.43</v>
      </c>
      <c r="D6154" s="2">
        <f>IFERROR(__xludf.DUMMYFUNCTION("""COMPUTED_VALUE"""),82.21)</f>
        <v>82.21</v>
      </c>
      <c r="E6154" s="2">
        <f>IFERROR(__xludf.DUMMYFUNCTION("""COMPUTED_VALUE"""),82.54)</f>
        <v>82.54</v>
      </c>
      <c r="F6154" s="2">
        <f>IFERROR(__xludf.DUMMYFUNCTION("""COMPUTED_VALUE"""),5189000.0)</f>
        <v>5189000</v>
      </c>
    </row>
    <row r="6155">
      <c r="A6155" s="3">
        <f>IFERROR(__xludf.DUMMYFUNCTION("""COMPUTED_VALUE"""),38124.666666666664)</f>
        <v>38124.66667</v>
      </c>
      <c r="B6155" s="2">
        <f>IFERROR(__xludf.DUMMYFUNCTION("""COMPUTED_VALUE"""),81.48)</f>
        <v>81.48</v>
      </c>
      <c r="C6155" s="2">
        <f>IFERROR(__xludf.DUMMYFUNCTION("""COMPUTED_VALUE"""),82.17)</f>
        <v>82.17</v>
      </c>
      <c r="D6155" s="2">
        <f>IFERROR(__xludf.DUMMYFUNCTION("""COMPUTED_VALUE"""),81.33)</f>
        <v>81.33</v>
      </c>
      <c r="E6155" s="2">
        <f>IFERROR(__xludf.DUMMYFUNCTION("""COMPUTED_VALUE"""),81.7)</f>
        <v>81.7</v>
      </c>
      <c r="F6155" s="2">
        <f>IFERROR(__xludf.DUMMYFUNCTION("""COMPUTED_VALUE"""),5700000.0)</f>
        <v>5700000</v>
      </c>
    </row>
    <row r="6156">
      <c r="A6156" s="3">
        <f>IFERROR(__xludf.DUMMYFUNCTION("""COMPUTED_VALUE"""),38125.666666666664)</f>
        <v>38125.66667</v>
      </c>
      <c r="B6156" s="2">
        <f>IFERROR(__xludf.DUMMYFUNCTION("""COMPUTED_VALUE"""),82.22)</f>
        <v>82.22</v>
      </c>
      <c r="C6156" s="2">
        <f>IFERROR(__xludf.DUMMYFUNCTION("""COMPUTED_VALUE"""),82.61)</f>
        <v>82.61</v>
      </c>
      <c r="D6156" s="2">
        <f>IFERROR(__xludf.DUMMYFUNCTION("""COMPUTED_VALUE"""),82.14)</f>
        <v>82.14</v>
      </c>
      <c r="E6156" s="2">
        <f>IFERROR(__xludf.DUMMYFUNCTION("""COMPUTED_VALUE"""),82.39)</f>
        <v>82.39</v>
      </c>
      <c r="F6156" s="2">
        <f>IFERROR(__xludf.DUMMYFUNCTION("""COMPUTED_VALUE"""),4348700.0)</f>
        <v>4348700</v>
      </c>
    </row>
    <row r="6157">
      <c r="A6157" s="3">
        <f>IFERROR(__xludf.DUMMYFUNCTION("""COMPUTED_VALUE"""),38126.666666666664)</f>
        <v>38126.66667</v>
      </c>
      <c r="B6157" s="2">
        <f>IFERROR(__xludf.DUMMYFUNCTION("""COMPUTED_VALUE"""),83.48)</f>
        <v>83.48</v>
      </c>
      <c r="C6157" s="2">
        <f>IFERROR(__xludf.DUMMYFUNCTION("""COMPUTED_VALUE"""),84.89)</f>
        <v>84.89</v>
      </c>
      <c r="D6157" s="2">
        <f>IFERROR(__xludf.DUMMYFUNCTION("""COMPUTED_VALUE"""),82.62)</f>
        <v>82.62</v>
      </c>
      <c r="E6157" s="2">
        <f>IFERROR(__xludf.DUMMYFUNCTION("""COMPUTED_VALUE"""),83.15)</f>
        <v>83.15</v>
      </c>
      <c r="F6157" s="2">
        <f>IFERROR(__xludf.DUMMYFUNCTION("""COMPUTED_VALUE"""),7431100.0)</f>
        <v>7431100</v>
      </c>
    </row>
    <row r="6158">
      <c r="A6158" s="3">
        <f>IFERROR(__xludf.DUMMYFUNCTION("""COMPUTED_VALUE"""),38127.666666666664)</f>
        <v>38127.66667</v>
      </c>
      <c r="B6158" s="2">
        <f>IFERROR(__xludf.DUMMYFUNCTION("""COMPUTED_VALUE"""),83.16)</f>
        <v>83.16</v>
      </c>
      <c r="C6158" s="2">
        <f>IFERROR(__xludf.DUMMYFUNCTION("""COMPUTED_VALUE"""),84.01)</f>
        <v>84.01</v>
      </c>
      <c r="D6158" s="2">
        <f>IFERROR(__xludf.DUMMYFUNCTION("""COMPUTED_VALUE"""),83.15)</f>
        <v>83.15</v>
      </c>
      <c r="E6158" s="2">
        <f>IFERROR(__xludf.DUMMYFUNCTION("""COMPUTED_VALUE"""),83.5)</f>
        <v>83.5</v>
      </c>
      <c r="F6158" s="2">
        <f>IFERROR(__xludf.DUMMYFUNCTION("""COMPUTED_VALUE"""),4030300.0)</f>
        <v>4030300</v>
      </c>
    </row>
    <row r="6159">
      <c r="A6159" s="3">
        <f>IFERROR(__xludf.DUMMYFUNCTION("""COMPUTED_VALUE"""),38128.666666666664)</f>
        <v>38128.66667</v>
      </c>
      <c r="B6159" s="2">
        <f>IFERROR(__xludf.DUMMYFUNCTION("""COMPUTED_VALUE"""),83.66)</f>
        <v>83.66</v>
      </c>
      <c r="C6159" s="2">
        <f>IFERROR(__xludf.DUMMYFUNCTION("""COMPUTED_VALUE"""),84.23)</f>
        <v>84.23</v>
      </c>
      <c r="D6159" s="2">
        <f>IFERROR(__xludf.DUMMYFUNCTION("""COMPUTED_VALUE"""),83.01)</f>
        <v>83.01</v>
      </c>
      <c r="E6159" s="2">
        <f>IFERROR(__xludf.DUMMYFUNCTION("""COMPUTED_VALUE"""),83.15)</f>
        <v>83.15</v>
      </c>
      <c r="F6159" s="2">
        <f>IFERROR(__xludf.DUMMYFUNCTION("""COMPUTED_VALUE"""),4966100.0)</f>
        <v>4966100</v>
      </c>
    </row>
    <row r="6160">
      <c r="A6160" s="3">
        <f>IFERROR(__xludf.DUMMYFUNCTION("""COMPUTED_VALUE"""),38131.666666666664)</f>
        <v>38131.66667</v>
      </c>
      <c r="B6160" s="2">
        <f>IFERROR(__xludf.DUMMYFUNCTION("""COMPUTED_VALUE"""),83.82)</f>
        <v>83.82</v>
      </c>
      <c r="C6160" s="2">
        <f>IFERROR(__xludf.DUMMYFUNCTION("""COMPUTED_VALUE"""),83.9)</f>
        <v>83.9</v>
      </c>
      <c r="D6160" s="2">
        <f>IFERROR(__xludf.DUMMYFUNCTION("""COMPUTED_VALUE"""),82.67)</f>
        <v>82.67</v>
      </c>
      <c r="E6160" s="2">
        <f>IFERROR(__xludf.DUMMYFUNCTION("""COMPUTED_VALUE"""),83.21)</f>
        <v>83.21</v>
      </c>
      <c r="F6160" s="2">
        <f>IFERROR(__xludf.DUMMYFUNCTION("""COMPUTED_VALUE"""),3768000.0)</f>
        <v>3768000</v>
      </c>
    </row>
    <row r="6161">
      <c r="A6161" s="3">
        <f>IFERROR(__xludf.DUMMYFUNCTION("""COMPUTED_VALUE"""),38132.666666666664)</f>
        <v>38132.66667</v>
      </c>
      <c r="B6161" s="2">
        <f>IFERROR(__xludf.DUMMYFUNCTION("""COMPUTED_VALUE"""),82.86)</f>
        <v>82.86</v>
      </c>
      <c r="C6161" s="2">
        <f>IFERROR(__xludf.DUMMYFUNCTION("""COMPUTED_VALUE"""),84.93)</f>
        <v>84.93</v>
      </c>
      <c r="D6161" s="2">
        <f>IFERROR(__xludf.DUMMYFUNCTION("""COMPUTED_VALUE"""),82.67)</f>
        <v>82.67</v>
      </c>
      <c r="E6161" s="2">
        <f>IFERROR(__xludf.DUMMYFUNCTION("""COMPUTED_VALUE"""),84.72)</f>
        <v>84.72</v>
      </c>
      <c r="F6161" s="2">
        <f>IFERROR(__xludf.DUMMYFUNCTION("""COMPUTED_VALUE"""),5322900.0)</f>
        <v>5322900</v>
      </c>
    </row>
    <row r="6162">
      <c r="A6162" s="3">
        <f>IFERROR(__xludf.DUMMYFUNCTION("""COMPUTED_VALUE"""),38133.666666666664)</f>
        <v>38133.66667</v>
      </c>
      <c r="B6162" s="2">
        <f>IFERROR(__xludf.DUMMYFUNCTION("""COMPUTED_VALUE"""),84.67)</f>
        <v>84.67</v>
      </c>
      <c r="C6162" s="2">
        <f>IFERROR(__xludf.DUMMYFUNCTION("""COMPUTED_VALUE"""),84.87)</f>
        <v>84.87</v>
      </c>
      <c r="D6162" s="2">
        <f>IFERROR(__xludf.DUMMYFUNCTION("""COMPUTED_VALUE"""),84.09)</f>
        <v>84.09</v>
      </c>
      <c r="E6162" s="2">
        <f>IFERROR(__xludf.DUMMYFUNCTION("""COMPUTED_VALUE"""),84.39)</f>
        <v>84.39</v>
      </c>
      <c r="F6162" s="2">
        <f>IFERROR(__xludf.DUMMYFUNCTION("""COMPUTED_VALUE"""),4308200.0)</f>
        <v>4308200</v>
      </c>
    </row>
    <row r="6163">
      <c r="A6163" s="3">
        <f>IFERROR(__xludf.DUMMYFUNCTION("""COMPUTED_VALUE"""),38134.666666666664)</f>
        <v>38134.66667</v>
      </c>
      <c r="B6163" s="2">
        <f>IFERROR(__xludf.DUMMYFUNCTION("""COMPUTED_VALUE"""),84.77)</f>
        <v>84.77</v>
      </c>
      <c r="C6163" s="2">
        <f>IFERROR(__xludf.DUMMYFUNCTION("""COMPUTED_VALUE"""),85.09)</f>
        <v>85.09</v>
      </c>
      <c r="D6163" s="2">
        <f>IFERROR(__xludf.DUMMYFUNCTION("""COMPUTED_VALUE"""),84.04)</f>
        <v>84.04</v>
      </c>
      <c r="E6163" s="2">
        <f>IFERROR(__xludf.DUMMYFUNCTION("""COMPUTED_VALUE"""),84.62)</f>
        <v>84.62</v>
      </c>
      <c r="F6163" s="2">
        <f>IFERROR(__xludf.DUMMYFUNCTION("""COMPUTED_VALUE"""),4089100.0)</f>
        <v>4089100</v>
      </c>
    </row>
    <row r="6164">
      <c r="A6164" s="3">
        <f>IFERROR(__xludf.DUMMYFUNCTION("""COMPUTED_VALUE"""),38135.666666666664)</f>
        <v>38135.66667</v>
      </c>
      <c r="B6164" s="2">
        <f>IFERROR(__xludf.DUMMYFUNCTION("""COMPUTED_VALUE"""),84.51)</f>
        <v>84.51</v>
      </c>
      <c r="C6164" s="2">
        <f>IFERROR(__xludf.DUMMYFUNCTION("""COMPUTED_VALUE"""),84.87)</f>
        <v>84.87</v>
      </c>
      <c r="D6164" s="2">
        <f>IFERROR(__xludf.DUMMYFUNCTION("""COMPUTED_VALUE"""),84.29)</f>
        <v>84.29</v>
      </c>
      <c r="E6164" s="2">
        <f>IFERROR(__xludf.DUMMYFUNCTION("""COMPUTED_VALUE"""),84.67)</f>
        <v>84.67</v>
      </c>
      <c r="F6164" s="2">
        <f>IFERROR(__xludf.DUMMYFUNCTION("""COMPUTED_VALUE"""),3203800.0)</f>
        <v>3203800</v>
      </c>
    </row>
    <row r="6165">
      <c r="A6165" s="3">
        <f>IFERROR(__xludf.DUMMYFUNCTION("""COMPUTED_VALUE"""),38139.666666666664)</f>
        <v>38139.66667</v>
      </c>
      <c r="B6165" s="2">
        <f>IFERROR(__xludf.DUMMYFUNCTION("""COMPUTED_VALUE"""),84.05)</f>
        <v>84.05</v>
      </c>
      <c r="C6165" s="2">
        <f>IFERROR(__xludf.DUMMYFUNCTION("""COMPUTED_VALUE"""),84.51)</f>
        <v>84.51</v>
      </c>
      <c r="D6165" s="2">
        <f>IFERROR(__xludf.DUMMYFUNCTION("""COMPUTED_VALUE"""),83.39)</f>
        <v>83.39</v>
      </c>
      <c r="E6165" s="2">
        <f>IFERROR(__xludf.DUMMYFUNCTION("""COMPUTED_VALUE"""),83.78)</f>
        <v>83.78</v>
      </c>
      <c r="F6165" s="2">
        <f>IFERROR(__xludf.DUMMYFUNCTION("""COMPUTED_VALUE"""),4734200.0)</f>
        <v>4734200</v>
      </c>
    </row>
    <row r="6166">
      <c r="A6166" s="3">
        <f>IFERROR(__xludf.DUMMYFUNCTION("""COMPUTED_VALUE"""),38140.666666666664)</f>
        <v>38140.66667</v>
      </c>
      <c r="B6166" s="2">
        <f>IFERROR(__xludf.DUMMYFUNCTION("""COMPUTED_VALUE"""),84.67)</f>
        <v>84.67</v>
      </c>
      <c r="C6166" s="2">
        <f>IFERROR(__xludf.DUMMYFUNCTION("""COMPUTED_VALUE"""),84.67)</f>
        <v>84.67</v>
      </c>
      <c r="D6166" s="2">
        <f>IFERROR(__xludf.DUMMYFUNCTION("""COMPUTED_VALUE"""),83.95)</f>
        <v>83.95</v>
      </c>
      <c r="E6166" s="2">
        <f>IFERROR(__xludf.DUMMYFUNCTION("""COMPUTED_VALUE"""),84.24)</f>
        <v>84.24</v>
      </c>
      <c r="F6166" s="2">
        <f>IFERROR(__xludf.DUMMYFUNCTION("""COMPUTED_VALUE"""),3912200.0)</f>
        <v>3912200</v>
      </c>
    </row>
    <row r="6167">
      <c r="A6167" s="3">
        <f>IFERROR(__xludf.DUMMYFUNCTION("""COMPUTED_VALUE"""),38141.666666666664)</f>
        <v>38141.66667</v>
      </c>
      <c r="B6167" s="2">
        <f>IFERROR(__xludf.DUMMYFUNCTION("""COMPUTED_VALUE"""),83.91)</f>
        <v>83.91</v>
      </c>
      <c r="C6167" s="2">
        <f>IFERROR(__xludf.DUMMYFUNCTION("""COMPUTED_VALUE"""),84.15)</f>
        <v>84.15</v>
      </c>
      <c r="D6167" s="2">
        <f>IFERROR(__xludf.DUMMYFUNCTION("""COMPUTED_VALUE"""),83.43)</f>
        <v>83.43</v>
      </c>
      <c r="E6167" s="2">
        <f>IFERROR(__xludf.DUMMYFUNCTION("""COMPUTED_VALUE"""),83.66)</f>
        <v>83.66</v>
      </c>
      <c r="F6167" s="2">
        <f>IFERROR(__xludf.DUMMYFUNCTION("""COMPUTED_VALUE"""),2971800.0)</f>
        <v>2971800</v>
      </c>
    </row>
    <row r="6168">
      <c r="A6168" s="3">
        <f>IFERROR(__xludf.DUMMYFUNCTION("""COMPUTED_VALUE"""),38142.666666666664)</f>
        <v>38142.66667</v>
      </c>
      <c r="B6168" s="2">
        <f>IFERROR(__xludf.DUMMYFUNCTION("""COMPUTED_VALUE"""),84.01)</f>
        <v>84.01</v>
      </c>
      <c r="C6168" s="2">
        <f>IFERROR(__xludf.DUMMYFUNCTION("""COMPUTED_VALUE"""),84.52)</f>
        <v>84.52</v>
      </c>
      <c r="D6168" s="2">
        <f>IFERROR(__xludf.DUMMYFUNCTION("""COMPUTED_VALUE"""),83.58)</f>
        <v>83.58</v>
      </c>
      <c r="E6168" s="2">
        <f>IFERROR(__xludf.DUMMYFUNCTION("""COMPUTED_VALUE"""),83.7)</f>
        <v>83.7</v>
      </c>
      <c r="F6168" s="2">
        <f>IFERROR(__xludf.DUMMYFUNCTION("""COMPUTED_VALUE"""),3803300.0)</f>
        <v>3803300</v>
      </c>
    </row>
    <row r="6169">
      <c r="A6169" s="3">
        <f>IFERROR(__xludf.DUMMYFUNCTION("""COMPUTED_VALUE"""),38145.666666666664)</f>
        <v>38145.66667</v>
      </c>
      <c r="B6169" s="2">
        <f>IFERROR(__xludf.DUMMYFUNCTION("""COMPUTED_VALUE"""),84.77)</f>
        <v>84.77</v>
      </c>
      <c r="C6169" s="2">
        <f>IFERROR(__xludf.DUMMYFUNCTION("""COMPUTED_VALUE"""),85.0)</f>
        <v>85</v>
      </c>
      <c r="D6169" s="2">
        <f>IFERROR(__xludf.DUMMYFUNCTION("""COMPUTED_VALUE"""),84.06)</f>
        <v>84.06</v>
      </c>
      <c r="E6169" s="2">
        <f>IFERROR(__xludf.DUMMYFUNCTION("""COMPUTED_VALUE"""),84.37)</f>
        <v>84.37</v>
      </c>
      <c r="F6169" s="2">
        <f>IFERROR(__xludf.DUMMYFUNCTION("""COMPUTED_VALUE"""),4264100.0)</f>
        <v>4264100</v>
      </c>
    </row>
    <row r="6170">
      <c r="A6170" s="3">
        <f>IFERROR(__xludf.DUMMYFUNCTION("""COMPUTED_VALUE"""),38146.666666666664)</f>
        <v>38146.66667</v>
      </c>
      <c r="B6170" s="2">
        <f>IFERROR(__xludf.DUMMYFUNCTION("""COMPUTED_VALUE"""),84.67)</f>
        <v>84.67</v>
      </c>
      <c r="C6170" s="2">
        <f>IFERROR(__xludf.DUMMYFUNCTION("""COMPUTED_VALUE"""),86.44)</f>
        <v>86.44</v>
      </c>
      <c r="D6170" s="2">
        <f>IFERROR(__xludf.DUMMYFUNCTION("""COMPUTED_VALUE"""),84.44)</f>
        <v>84.44</v>
      </c>
      <c r="E6170" s="2">
        <f>IFERROR(__xludf.DUMMYFUNCTION("""COMPUTED_VALUE"""),86.0)</f>
        <v>86</v>
      </c>
      <c r="F6170" s="2">
        <f>IFERROR(__xludf.DUMMYFUNCTION("""COMPUTED_VALUE"""),5399700.0)</f>
        <v>5399700</v>
      </c>
    </row>
    <row r="6171">
      <c r="A6171" s="3">
        <f>IFERROR(__xludf.DUMMYFUNCTION("""COMPUTED_VALUE"""),38147.666666666664)</f>
        <v>38147.66667</v>
      </c>
      <c r="B6171" s="2">
        <f>IFERROR(__xludf.DUMMYFUNCTION("""COMPUTED_VALUE"""),85.87)</f>
        <v>85.87</v>
      </c>
      <c r="C6171" s="2">
        <f>IFERROR(__xludf.DUMMYFUNCTION("""COMPUTED_VALUE"""),86.49)</f>
        <v>86.49</v>
      </c>
      <c r="D6171" s="2">
        <f>IFERROR(__xludf.DUMMYFUNCTION("""COMPUTED_VALUE"""),85.78)</f>
        <v>85.78</v>
      </c>
      <c r="E6171" s="2">
        <f>IFERROR(__xludf.DUMMYFUNCTION("""COMPUTED_VALUE"""),86.05)</f>
        <v>86.05</v>
      </c>
      <c r="F6171" s="2">
        <f>IFERROR(__xludf.DUMMYFUNCTION("""COMPUTED_VALUE"""),5233100.0)</f>
        <v>5233100</v>
      </c>
    </row>
    <row r="6172">
      <c r="A6172" s="3">
        <f>IFERROR(__xludf.DUMMYFUNCTION("""COMPUTED_VALUE"""),38148.666666666664)</f>
        <v>38148.66667</v>
      </c>
      <c r="B6172" s="2">
        <f>IFERROR(__xludf.DUMMYFUNCTION("""COMPUTED_VALUE"""),86.18)</f>
        <v>86.18</v>
      </c>
      <c r="C6172" s="2">
        <f>IFERROR(__xludf.DUMMYFUNCTION("""COMPUTED_VALUE"""),86.68)</f>
        <v>86.68</v>
      </c>
      <c r="D6172" s="2">
        <f>IFERROR(__xludf.DUMMYFUNCTION("""COMPUTED_VALUE"""),85.86)</f>
        <v>85.86</v>
      </c>
      <c r="E6172" s="2">
        <f>IFERROR(__xludf.DUMMYFUNCTION("""COMPUTED_VALUE"""),86.44)</f>
        <v>86.44</v>
      </c>
      <c r="F6172" s="2">
        <f>IFERROR(__xludf.DUMMYFUNCTION("""COMPUTED_VALUE"""),3467700.0)</f>
        <v>3467700</v>
      </c>
    </row>
    <row r="6173">
      <c r="A6173" s="3">
        <f>IFERROR(__xludf.DUMMYFUNCTION("""COMPUTED_VALUE"""),38152.666666666664)</f>
        <v>38152.66667</v>
      </c>
      <c r="B6173" s="2">
        <f>IFERROR(__xludf.DUMMYFUNCTION("""COMPUTED_VALUE"""),86.01)</f>
        <v>86.01</v>
      </c>
      <c r="C6173" s="2">
        <f>IFERROR(__xludf.DUMMYFUNCTION("""COMPUTED_VALUE"""),86.52)</f>
        <v>86.52</v>
      </c>
      <c r="D6173" s="2">
        <f>IFERROR(__xludf.DUMMYFUNCTION("""COMPUTED_VALUE"""),85.6)</f>
        <v>85.6</v>
      </c>
      <c r="E6173" s="2">
        <f>IFERROR(__xludf.DUMMYFUNCTION("""COMPUTED_VALUE"""),86.03)</f>
        <v>86.03</v>
      </c>
      <c r="F6173" s="2">
        <f>IFERROR(__xludf.DUMMYFUNCTION("""COMPUTED_VALUE"""),4110000.0)</f>
        <v>4110000</v>
      </c>
    </row>
    <row r="6174">
      <c r="A6174" s="3">
        <f>IFERROR(__xludf.DUMMYFUNCTION("""COMPUTED_VALUE"""),38153.666666666664)</f>
        <v>38153.66667</v>
      </c>
      <c r="B6174" s="2">
        <f>IFERROR(__xludf.DUMMYFUNCTION("""COMPUTED_VALUE"""),86.43)</f>
        <v>86.43</v>
      </c>
      <c r="C6174" s="2">
        <f>IFERROR(__xludf.DUMMYFUNCTION("""COMPUTED_VALUE"""),87.12)</f>
        <v>87.12</v>
      </c>
      <c r="D6174" s="2">
        <f>IFERROR(__xludf.DUMMYFUNCTION("""COMPUTED_VALUE"""),86.19)</f>
        <v>86.19</v>
      </c>
      <c r="E6174" s="2">
        <f>IFERROR(__xludf.DUMMYFUNCTION("""COMPUTED_VALUE"""),86.5)</f>
        <v>86.5</v>
      </c>
      <c r="F6174" s="2">
        <f>IFERROR(__xludf.DUMMYFUNCTION("""COMPUTED_VALUE"""),4508300.0)</f>
        <v>4508300</v>
      </c>
    </row>
    <row r="6175">
      <c r="A6175" s="3">
        <f>IFERROR(__xludf.DUMMYFUNCTION("""COMPUTED_VALUE"""),38154.666666666664)</f>
        <v>38154.66667</v>
      </c>
      <c r="B6175" s="2">
        <f>IFERROR(__xludf.DUMMYFUNCTION("""COMPUTED_VALUE"""),86.2)</f>
        <v>86.2</v>
      </c>
      <c r="C6175" s="2">
        <f>IFERROR(__xludf.DUMMYFUNCTION("""COMPUTED_VALUE"""),86.85)</f>
        <v>86.85</v>
      </c>
      <c r="D6175" s="2">
        <f>IFERROR(__xludf.DUMMYFUNCTION("""COMPUTED_VALUE"""),86.05)</f>
        <v>86.05</v>
      </c>
      <c r="E6175" s="2">
        <f>IFERROR(__xludf.DUMMYFUNCTION("""COMPUTED_VALUE"""),86.42)</f>
        <v>86.42</v>
      </c>
      <c r="F6175" s="2">
        <f>IFERROR(__xludf.DUMMYFUNCTION("""COMPUTED_VALUE"""),3145400.0)</f>
        <v>3145400</v>
      </c>
    </row>
    <row r="6176">
      <c r="A6176" s="3">
        <f>IFERROR(__xludf.DUMMYFUNCTION("""COMPUTED_VALUE"""),38155.666666666664)</f>
        <v>38155.66667</v>
      </c>
      <c r="B6176" s="2">
        <f>IFERROR(__xludf.DUMMYFUNCTION("""COMPUTED_VALUE"""),86.44)</f>
        <v>86.44</v>
      </c>
      <c r="C6176" s="2">
        <f>IFERROR(__xludf.DUMMYFUNCTION("""COMPUTED_VALUE"""),86.5)</f>
        <v>86.5</v>
      </c>
      <c r="D6176" s="2">
        <f>IFERROR(__xludf.DUMMYFUNCTION("""COMPUTED_VALUE"""),86.03)</f>
        <v>86.03</v>
      </c>
      <c r="E6176" s="2">
        <f>IFERROR(__xludf.DUMMYFUNCTION("""COMPUTED_VALUE"""),86.39)</f>
        <v>86.39</v>
      </c>
      <c r="F6176" s="2">
        <f>IFERROR(__xludf.DUMMYFUNCTION("""COMPUTED_VALUE"""),4179700.0)</f>
        <v>4179700</v>
      </c>
    </row>
    <row r="6177">
      <c r="A6177" s="3">
        <f>IFERROR(__xludf.DUMMYFUNCTION("""COMPUTED_VALUE"""),38156.666666666664)</f>
        <v>38156.66667</v>
      </c>
      <c r="B6177" s="2">
        <f>IFERROR(__xludf.DUMMYFUNCTION("""COMPUTED_VALUE"""),86.16)</f>
        <v>86.16</v>
      </c>
      <c r="C6177" s="2">
        <f>IFERROR(__xludf.DUMMYFUNCTION("""COMPUTED_VALUE"""),86.73)</f>
        <v>86.73</v>
      </c>
      <c r="D6177" s="2">
        <f>IFERROR(__xludf.DUMMYFUNCTION("""COMPUTED_VALUE"""),85.87)</f>
        <v>85.87</v>
      </c>
      <c r="E6177" s="2">
        <f>IFERROR(__xludf.DUMMYFUNCTION("""COMPUTED_VALUE"""),85.94)</f>
        <v>85.94</v>
      </c>
      <c r="F6177" s="2">
        <f>IFERROR(__xludf.DUMMYFUNCTION("""COMPUTED_VALUE"""),6457100.0)</f>
        <v>6457100</v>
      </c>
    </row>
    <row r="6178">
      <c r="A6178" s="3">
        <f>IFERROR(__xludf.DUMMYFUNCTION("""COMPUTED_VALUE"""),38159.666666666664)</f>
        <v>38159.66667</v>
      </c>
      <c r="B6178" s="2">
        <f>IFERROR(__xludf.DUMMYFUNCTION("""COMPUTED_VALUE"""),86.35)</f>
        <v>86.35</v>
      </c>
      <c r="C6178" s="2">
        <f>IFERROR(__xludf.DUMMYFUNCTION("""COMPUTED_VALUE"""),86.38)</f>
        <v>86.38</v>
      </c>
      <c r="D6178" s="2">
        <f>IFERROR(__xludf.DUMMYFUNCTION("""COMPUTED_VALUE"""),85.31)</f>
        <v>85.31</v>
      </c>
      <c r="E6178" s="2">
        <f>IFERROR(__xludf.DUMMYFUNCTION("""COMPUTED_VALUE"""),86.09)</f>
        <v>86.09</v>
      </c>
      <c r="F6178" s="2">
        <f>IFERROR(__xludf.DUMMYFUNCTION("""COMPUTED_VALUE"""),3803200.0)</f>
        <v>3803200</v>
      </c>
    </row>
    <row r="6179">
      <c r="A6179" s="3">
        <f>IFERROR(__xludf.DUMMYFUNCTION("""COMPUTED_VALUE"""),38160.666666666664)</f>
        <v>38160.66667</v>
      </c>
      <c r="B6179" s="2">
        <f>IFERROR(__xludf.DUMMYFUNCTION("""COMPUTED_VALUE"""),85.28)</f>
        <v>85.28</v>
      </c>
      <c r="C6179" s="2">
        <f>IFERROR(__xludf.DUMMYFUNCTION("""COMPUTED_VALUE"""),86.19)</f>
        <v>86.19</v>
      </c>
      <c r="D6179" s="2">
        <f>IFERROR(__xludf.DUMMYFUNCTION("""COMPUTED_VALUE"""),85.13)</f>
        <v>85.13</v>
      </c>
      <c r="E6179" s="2">
        <f>IFERROR(__xludf.DUMMYFUNCTION("""COMPUTED_VALUE"""),85.75)</f>
        <v>85.75</v>
      </c>
      <c r="F6179" s="2">
        <f>IFERROR(__xludf.DUMMYFUNCTION("""COMPUTED_VALUE"""),4112100.0)</f>
        <v>4112100</v>
      </c>
    </row>
    <row r="6180">
      <c r="A6180" s="3">
        <f>IFERROR(__xludf.DUMMYFUNCTION("""COMPUTED_VALUE"""),38161.666666666664)</f>
        <v>38161.66667</v>
      </c>
      <c r="B6180" s="2">
        <f>IFERROR(__xludf.DUMMYFUNCTION("""COMPUTED_VALUE"""),86.06)</f>
        <v>86.06</v>
      </c>
      <c r="C6180" s="2">
        <f>IFERROR(__xludf.DUMMYFUNCTION("""COMPUTED_VALUE"""),86.77)</f>
        <v>86.77</v>
      </c>
      <c r="D6180" s="2">
        <f>IFERROR(__xludf.DUMMYFUNCTION("""COMPUTED_VALUE"""),85.81)</f>
        <v>85.81</v>
      </c>
      <c r="E6180" s="2">
        <f>IFERROR(__xludf.DUMMYFUNCTION("""COMPUTED_VALUE"""),86.72)</f>
        <v>86.72</v>
      </c>
      <c r="F6180" s="2">
        <f>IFERROR(__xludf.DUMMYFUNCTION("""COMPUTED_VALUE"""),4354500.0)</f>
        <v>4354500</v>
      </c>
    </row>
    <row r="6181">
      <c r="A6181" s="3">
        <f>IFERROR(__xludf.DUMMYFUNCTION("""COMPUTED_VALUE"""),38162.666666666664)</f>
        <v>38162.66667</v>
      </c>
      <c r="B6181" s="2">
        <f>IFERROR(__xludf.DUMMYFUNCTION("""COMPUTED_VALUE"""),86.23)</f>
        <v>86.23</v>
      </c>
      <c r="C6181" s="2">
        <f>IFERROR(__xludf.DUMMYFUNCTION("""COMPUTED_VALUE"""),86.84)</f>
        <v>86.84</v>
      </c>
      <c r="D6181" s="2">
        <f>IFERROR(__xludf.DUMMYFUNCTION("""COMPUTED_VALUE"""),85.81)</f>
        <v>85.81</v>
      </c>
      <c r="E6181" s="2">
        <f>IFERROR(__xludf.DUMMYFUNCTION("""COMPUTED_VALUE"""),86.2)</f>
        <v>86.2</v>
      </c>
      <c r="F6181" s="2">
        <f>IFERROR(__xludf.DUMMYFUNCTION("""COMPUTED_VALUE"""),4069100.0)</f>
        <v>4069100</v>
      </c>
    </row>
    <row r="6182">
      <c r="A6182" s="3">
        <f>IFERROR(__xludf.DUMMYFUNCTION("""COMPUTED_VALUE"""),38163.666666666664)</f>
        <v>38163.66667</v>
      </c>
      <c r="B6182" s="2">
        <f>IFERROR(__xludf.DUMMYFUNCTION("""COMPUTED_VALUE"""),85.92)</f>
        <v>85.92</v>
      </c>
      <c r="C6182" s="2">
        <f>IFERROR(__xludf.DUMMYFUNCTION("""COMPUTED_VALUE"""),86.18)</f>
        <v>86.18</v>
      </c>
      <c r="D6182" s="2">
        <f>IFERROR(__xludf.DUMMYFUNCTION("""COMPUTED_VALUE"""),84.95)</f>
        <v>84.95</v>
      </c>
      <c r="E6182" s="2">
        <f>IFERROR(__xludf.DUMMYFUNCTION("""COMPUTED_VALUE"""),85.53)</f>
        <v>85.53</v>
      </c>
      <c r="F6182" s="2">
        <f>IFERROR(__xludf.DUMMYFUNCTION("""COMPUTED_VALUE"""),4919600.0)</f>
        <v>4919600</v>
      </c>
    </row>
    <row r="6183">
      <c r="A6183" s="3">
        <f>IFERROR(__xludf.DUMMYFUNCTION("""COMPUTED_VALUE"""),38166.666666666664)</f>
        <v>38166.66667</v>
      </c>
      <c r="B6183" s="2">
        <f>IFERROR(__xludf.DUMMYFUNCTION("""COMPUTED_VALUE"""),85.69)</f>
        <v>85.69</v>
      </c>
      <c r="C6183" s="2">
        <f>IFERROR(__xludf.DUMMYFUNCTION("""COMPUTED_VALUE"""),85.87)</f>
        <v>85.87</v>
      </c>
      <c r="D6183" s="2">
        <f>IFERROR(__xludf.DUMMYFUNCTION("""COMPUTED_VALUE"""),84.4)</f>
        <v>84.4</v>
      </c>
      <c r="E6183" s="2">
        <f>IFERROR(__xludf.DUMMYFUNCTION("""COMPUTED_VALUE"""),84.73)</f>
        <v>84.73</v>
      </c>
      <c r="F6183" s="2">
        <f>IFERROR(__xludf.DUMMYFUNCTION("""COMPUTED_VALUE"""),4405400.0)</f>
        <v>4405400</v>
      </c>
    </row>
    <row r="6184">
      <c r="A6184" s="3">
        <f>IFERROR(__xludf.DUMMYFUNCTION("""COMPUTED_VALUE"""),38167.666666666664)</f>
        <v>38167.66667</v>
      </c>
      <c r="B6184" s="2">
        <f>IFERROR(__xludf.DUMMYFUNCTION("""COMPUTED_VALUE"""),84.39)</f>
        <v>84.39</v>
      </c>
      <c r="C6184" s="2">
        <f>IFERROR(__xludf.DUMMYFUNCTION("""COMPUTED_VALUE"""),84.52)</f>
        <v>84.52</v>
      </c>
      <c r="D6184" s="2">
        <f>IFERROR(__xludf.DUMMYFUNCTION("""COMPUTED_VALUE"""),83.96)</f>
        <v>83.96</v>
      </c>
      <c r="E6184" s="2">
        <f>IFERROR(__xludf.DUMMYFUNCTION("""COMPUTED_VALUE"""),84.33)</f>
        <v>84.33</v>
      </c>
      <c r="F6184" s="2">
        <f>IFERROR(__xludf.DUMMYFUNCTION("""COMPUTED_VALUE"""),4394800.0)</f>
        <v>4394800</v>
      </c>
    </row>
    <row r="6185">
      <c r="A6185" s="3">
        <f>IFERROR(__xludf.DUMMYFUNCTION("""COMPUTED_VALUE"""),38168.666666666664)</f>
        <v>38168.66667</v>
      </c>
      <c r="B6185" s="2">
        <f>IFERROR(__xludf.DUMMYFUNCTION("""COMPUTED_VALUE"""),84.34)</f>
        <v>84.34</v>
      </c>
      <c r="C6185" s="2">
        <f>IFERROR(__xludf.DUMMYFUNCTION("""COMPUTED_VALUE"""),84.53)</f>
        <v>84.53</v>
      </c>
      <c r="D6185" s="2">
        <f>IFERROR(__xludf.DUMMYFUNCTION("""COMPUTED_VALUE"""),83.77)</f>
        <v>83.77</v>
      </c>
      <c r="E6185" s="2">
        <f>IFERROR(__xludf.DUMMYFUNCTION("""COMPUTED_VALUE"""),84.3)</f>
        <v>84.3</v>
      </c>
      <c r="F6185" s="2">
        <f>IFERROR(__xludf.DUMMYFUNCTION("""COMPUTED_VALUE"""),4681900.0)</f>
        <v>4681900</v>
      </c>
    </row>
    <row r="6186">
      <c r="A6186" s="3">
        <f>IFERROR(__xludf.DUMMYFUNCTION("""COMPUTED_VALUE"""),38169.666666666664)</f>
        <v>38169.66667</v>
      </c>
      <c r="B6186" s="2">
        <f>IFERROR(__xludf.DUMMYFUNCTION("""COMPUTED_VALUE"""),84.32)</f>
        <v>84.32</v>
      </c>
      <c r="C6186" s="2">
        <f>IFERROR(__xludf.DUMMYFUNCTION("""COMPUTED_VALUE"""),84.47)</f>
        <v>84.47</v>
      </c>
      <c r="D6186" s="2">
        <f>IFERROR(__xludf.DUMMYFUNCTION("""COMPUTED_VALUE"""),82.69)</f>
        <v>82.69</v>
      </c>
      <c r="E6186" s="2">
        <f>IFERROR(__xludf.DUMMYFUNCTION("""COMPUTED_VALUE"""),83.58)</f>
        <v>83.58</v>
      </c>
      <c r="F6186" s="2">
        <f>IFERROR(__xludf.DUMMYFUNCTION("""COMPUTED_VALUE"""),5013400.0)</f>
        <v>5013400</v>
      </c>
    </row>
    <row r="6187">
      <c r="A6187" s="3">
        <f>IFERROR(__xludf.DUMMYFUNCTION("""COMPUTED_VALUE"""),38170.666666666664)</f>
        <v>38170.66667</v>
      </c>
      <c r="B6187" s="2">
        <f>IFERROR(__xludf.DUMMYFUNCTION("""COMPUTED_VALUE"""),83.53)</f>
        <v>83.53</v>
      </c>
      <c r="C6187" s="2">
        <f>IFERROR(__xludf.DUMMYFUNCTION("""COMPUTED_VALUE"""),83.62)</f>
        <v>83.62</v>
      </c>
      <c r="D6187" s="2">
        <f>IFERROR(__xludf.DUMMYFUNCTION("""COMPUTED_VALUE"""),82.72)</f>
        <v>82.72</v>
      </c>
      <c r="E6187" s="2">
        <f>IFERROR(__xludf.DUMMYFUNCTION("""COMPUTED_VALUE"""),83.14)</f>
        <v>83.14</v>
      </c>
      <c r="F6187" s="2">
        <f>IFERROR(__xludf.DUMMYFUNCTION("""COMPUTED_VALUE"""),2874500.0)</f>
        <v>2874500</v>
      </c>
    </row>
    <row r="6188">
      <c r="A6188" s="3">
        <f>IFERROR(__xludf.DUMMYFUNCTION("""COMPUTED_VALUE"""),38174.666666666664)</f>
        <v>38174.66667</v>
      </c>
      <c r="B6188" s="2">
        <f>IFERROR(__xludf.DUMMYFUNCTION("""COMPUTED_VALUE"""),82.62)</f>
        <v>82.62</v>
      </c>
      <c r="C6188" s="2">
        <f>IFERROR(__xludf.DUMMYFUNCTION("""COMPUTED_VALUE"""),82.84)</f>
        <v>82.84</v>
      </c>
      <c r="D6188" s="2">
        <f>IFERROR(__xludf.DUMMYFUNCTION("""COMPUTED_VALUE"""),81.31)</f>
        <v>81.31</v>
      </c>
      <c r="E6188" s="2">
        <f>IFERROR(__xludf.DUMMYFUNCTION("""COMPUTED_VALUE"""),81.87)</f>
        <v>81.87</v>
      </c>
      <c r="F6188" s="2">
        <f>IFERROR(__xludf.DUMMYFUNCTION("""COMPUTED_VALUE"""),6314800.0)</f>
        <v>6314800</v>
      </c>
    </row>
    <row r="6189">
      <c r="A6189" s="3">
        <f>IFERROR(__xludf.DUMMYFUNCTION("""COMPUTED_VALUE"""),38175.666666666664)</f>
        <v>38175.66667</v>
      </c>
      <c r="B6189" s="2">
        <f>IFERROR(__xludf.DUMMYFUNCTION("""COMPUTED_VALUE"""),81.48)</f>
        <v>81.48</v>
      </c>
      <c r="C6189" s="2">
        <f>IFERROR(__xludf.DUMMYFUNCTION("""COMPUTED_VALUE"""),82.09)</f>
        <v>82.09</v>
      </c>
      <c r="D6189" s="2">
        <f>IFERROR(__xludf.DUMMYFUNCTION("""COMPUTED_VALUE"""),81.24)</f>
        <v>81.24</v>
      </c>
      <c r="E6189" s="2">
        <f>IFERROR(__xludf.DUMMYFUNCTION("""COMPUTED_VALUE"""),81.52)</f>
        <v>81.52</v>
      </c>
      <c r="F6189" s="2">
        <f>IFERROR(__xludf.DUMMYFUNCTION("""COMPUTED_VALUE"""),5579200.0)</f>
        <v>5579200</v>
      </c>
    </row>
    <row r="6190">
      <c r="A6190" s="3">
        <f>IFERROR(__xludf.DUMMYFUNCTION("""COMPUTED_VALUE"""),38176.666666666664)</f>
        <v>38176.66667</v>
      </c>
      <c r="B6190" s="2">
        <f>IFERROR(__xludf.DUMMYFUNCTION("""COMPUTED_VALUE"""),81.19)</f>
        <v>81.19</v>
      </c>
      <c r="C6190" s="2">
        <f>IFERROR(__xludf.DUMMYFUNCTION("""COMPUTED_VALUE"""),81.2)</f>
        <v>81.2</v>
      </c>
      <c r="D6190" s="2">
        <f>IFERROR(__xludf.DUMMYFUNCTION("""COMPUTED_VALUE"""),79.83)</f>
        <v>79.83</v>
      </c>
      <c r="E6190" s="2">
        <f>IFERROR(__xludf.DUMMYFUNCTION("""COMPUTED_VALUE"""),79.9)</f>
        <v>79.9</v>
      </c>
      <c r="F6190" s="2">
        <f>IFERROR(__xludf.DUMMYFUNCTION("""COMPUTED_VALUE"""),7524400.0)</f>
        <v>7524400</v>
      </c>
    </row>
    <row r="6191">
      <c r="A6191" s="3">
        <f>IFERROR(__xludf.DUMMYFUNCTION("""COMPUTED_VALUE"""),38177.666666666664)</f>
        <v>38177.66667</v>
      </c>
      <c r="B6191" s="2">
        <f>IFERROR(__xludf.DUMMYFUNCTION("""COMPUTED_VALUE"""),80.62)</f>
        <v>80.62</v>
      </c>
      <c r="C6191" s="2">
        <f>IFERROR(__xludf.DUMMYFUNCTION("""COMPUTED_VALUE"""),80.71)</f>
        <v>80.71</v>
      </c>
      <c r="D6191" s="2">
        <f>IFERROR(__xludf.DUMMYFUNCTION("""COMPUTED_VALUE"""),79.77)</f>
        <v>79.77</v>
      </c>
      <c r="E6191" s="2">
        <f>IFERROR(__xludf.DUMMYFUNCTION("""COMPUTED_VALUE"""),80.13)</f>
        <v>80.13</v>
      </c>
      <c r="F6191" s="2">
        <f>IFERROR(__xludf.DUMMYFUNCTION("""COMPUTED_VALUE"""),6593700.0)</f>
        <v>6593700</v>
      </c>
    </row>
    <row r="6192">
      <c r="A6192" s="3">
        <f>IFERROR(__xludf.DUMMYFUNCTION("""COMPUTED_VALUE"""),38180.666666666664)</f>
        <v>38180.66667</v>
      </c>
      <c r="B6192" s="2">
        <f>IFERROR(__xludf.DUMMYFUNCTION("""COMPUTED_VALUE"""),80.23)</f>
        <v>80.23</v>
      </c>
      <c r="C6192" s="2">
        <f>IFERROR(__xludf.DUMMYFUNCTION("""COMPUTED_VALUE"""),81.43)</f>
        <v>81.43</v>
      </c>
      <c r="D6192" s="2">
        <f>IFERROR(__xludf.DUMMYFUNCTION("""COMPUTED_VALUE"""),79.68)</f>
        <v>79.68</v>
      </c>
      <c r="E6192" s="2">
        <f>IFERROR(__xludf.DUMMYFUNCTION("""COMPUTED_VALUE"""),80.56)</f>
        <v>80.56</v>
      </c>
      <c r="F6192" s="2">
        <f>IFERROR(__xludf.DUMMYFUNCTION("""COMPUTED_VALUE"""),6008000.0)</f>
        <v>6008000</v>
      </c>
    </row>
    <row r="6193">
      <c r="A6193" s="3">
        <f>IFERROR(__xludf.DUMMYFUNCTION("""COMPUTED_VALUE"""),38181.666666666664)</f>
        <v>38181.66667</v>
      </c>
      <c r="B6193" s="2">
        <f>IFERROR(__xludf.DUMMYFUNCTION("""COMPUTED_VALUE"""),82.05)</f>
        <v>82.05</v>
      </c>
      <c r="C6193" s="2">
        <f>IFERROR(__xludf.DUMMYFUNCTION("""COMPUTED_VALUE"""),82.23)</f>
        <v>82.23</v>
      </c>
      <c r="D6193" s="2">
        <f>IFERROR(__xludf.DUMMYFUNCTION("""COMPUTED_VALUE"""),81.38)</f>
        <v>81.38</v>
      </c>
      <c r="E6193" s="2">
        <f>IFERROR(__xludf.DUMMYFUNCTION("""COMPUTED_VALUE"""),81.43)</f>
        <v>81.43</v>
      </c>
      <c r="F6193" s="2">
        <f>IFERROR(__xludf.DUMMYFUNCTION("""COMPUTED_VALUE"""),5967600.0)</f>
        <v>5967600</v>
      </c>
    </row>
    <row r="6194">
      <c r="A6194" s="3">
        <f>IFERROR(__xludf.DUMMYFUNCTION("""COMPUTED_VALUE"""),38182.666666666664)</f>
        <v>38182.66667</v>
      </c>
      <c r="B6194" s="2">
        <f>IFERROR(__xludf.DUMMYFUNCTION("""COMPUTED_VALUE"""),81.04)</f>
        <v>81.04</v>
      </c>
      <c r="C6194" s="2">
        <f>IFERROR(__xludf.DUMMYFUNCTION("""COMPUTED_VALUE"""),81.42)</f>
        <v>81.42</v>
      </c>
      <c r="D6194" s="2">
        <f>IFERROR(__xludf.DUMMYFUNCTION("""COMPUTED_VALUE"""),80.02)</f>
        <v>80.02</v>
      </c>
      <c r="E6194" s="2">
        <f>IFERROR(__xludf.DUMMYFUNCTION("""COMPUTED_VALUE"""),80.36)</f>
        <v>80.36</v>
      </c>
      <c r="F6194" s="2">
        <f>IFERROR(__xludf.DUMMYFUNCTION("""COMPUTED_VALUE"""),6296700.0)</f>
        <v>6296700</v>
      </c>
    </row>
    <row r="6195">
      <c r="A6195" s="3">
        <f>IFERROR(__xludf.DUMMYFUNCTION("""COMPUTED_VALUE"""),38183.666666666664)</f>
        <v>38183.66667</v>
      </c>
      <c r="B6195" s="2">
        <f>IFERROR(__xludf.DUMMYFUNCTION("""COMPUTED_VALUE"""),80.36)</f>
        <v>80.36</v>
      </c>
      <c r="C6195" s="2">
        <f>IFERROR(__xludf.DUMMYFUNCTION("""COMPUTED_VALUE"""),80.84)</f>
        <v>80.84</v>
      </c>
      <c r="D6195" s="2">
        <f>IFERROR(__xludf.DUMMYFUNCTION("""COMPUTED_VALUE"""),79.86)</f>
        <v>79.86</v>
      </c>
      <c r="E6195" s="2">
        <f>IFERROR(__xludf.DUMMYFUNCTION("""COMPUTED_VALUE"""),80.33)</f>
        <v>80.33</v>
      </c>
      <c r="F6195" s="2">
        <f>IFERROR(__xludf.DUMMYFUNCTION("""COMPUTED_VALUE"""),6756900.0)</f>
        <v>6756900</v>
      </c>
    </row>
    <row r="6196">
      <c r="A6196" s="3">
        <f>IFERROR(__xludf.DUMMYFUNCTION("""COMPUTED_VALUE"""),38184.666666666664)</f>
        <v>38184.66667</v>
      </c>
      <c r="B6196" s="2">
        <f>IFERROR(__xludf.DUMMYFUNCTION("""COMPUTED_VALUE"""),82.59)</f>
        <v>82.59</v>
      </c>
      <c r="C6196" s="2">
        <f>IFERROR(__xludf.DUMMYFUNCTION("""COMPUTED_VALUE"""),82.6)</f>
        <v>82.6</v>
      </c>
      <c r="D6196" s="2">
        <f>IFERROR(__xludf.DUMMYFUNCTION("""COMPUTED_VALUE"""),80.5)</f>
        <v>80.5</v>
      </c>
      <c r="E6196" s="2">
        <f>IFERROR(__xludf.DUMMYFUNCTION("""COMPUTED_VALUE"""),80.5)</f>
        <v>80.5</v>
      </c>
      <c r="F6196" s="2">
        <f>IFERROR(__xludf.DUMMYFUNCTION("""COMPUTED_VALUE"""),1.04407E7)</f>
        <v>10440700</v>
      </c>
    </row>
    <row r="6197">
      <c r="A6197" s="3">
        <f>IFERROR(__xludf.DUMMYFUNCTION("""COMPUTED_VALUE"""),38187.666666666664)</f>
        <v>38187.66667</v>
      </c>
      <c r="B6197" s="2">
        <f>IFERROR(__xludf.DUMMYFUNCTION("""COMPUTED_VALUE"""),80.71)</f>
        <v>80.71</v>
      </c>
      <c r="C6197" s="2">
        <f>IFERROR(__xludf.DUMMYFUNCTION("""COMPUTED_VALUE"""),82.0)</f>
        <v>82</v>
      </c>
      <c r="D6197" s="2">
        <f>IFERROR(__xludf.DUMMYFUNCTION("""COMPUTED_VALUE"""),80.62)</f>
        <v>80.62</v>
      </c>
      <c r="E6197" s="2">
        <f>IFERROR(__xludf.DUMMYFUNCTION("""COMPUTED_VALUE"""),81.48)</f>
        <v>81.48</v>
      </c>
      <c r="F6197" s="2">
        <f>IFERROR(__xludf.DUMMYFUNCTION("""COMPUTED_VALUE"""),6596000.0)</f>
        <v>6596000</v>
      </c>
    </row>
    <row r="6198">
      <c r="A6198" s="3">
        <f>IFERROR(__xludf.DUMMYFUNCTION("""COMPUTED_VALUE"""),38188.666666666664)</f>
        <v>38188.66667</v>
      </c>
      <c r="B6198" s="2">
        <f>IFERROR(__xludf.DUMMYFUNCTION("""COMPUTED_VALUE"""),81.79)</f>
        <v>81.79</v>
      </c>
      <c r="C6198" s="2">
        <f>IFERROR(__xludf.DUMMYFUNCTION("""COMPUTED_VALUE"""),82.61)</f>
        <v>82.61</v>
      </c>
      <c r="D6198" s="2">
        <f>IFERROR(__xludf.DUMMYFUNCTION("""COMPUTED_VALUE"""),81.48)</f>
        <v>81.48</v>
      </c>
      <c r="E6198" s="2">
        <f>IFERROR(__xludf.DUMMYFUNCTION("""COMPUTED_VALUE"""),82.46)</f>
        <v>82.46</v>
      </c>
      <c r="F6198" s="2">
        <f>IFERROR(__xludf.DUMMYFUNCTION("""COMPUTED_VALUE"""),5634400.0)</f>
        <v>5634400</v>
      </c>
    </row>
    <row r="6199">
      <c r="A6199" s="3">
        <f>IFERROR(__xludf.DUMMYFUNCTION("""COMPUTED_VALUE"""),38189.666666666664)</f>
        <v>38189.66667</v>
      </c>
      <c r="B6199" s="2">
        <f>IFERROR(__xludf.DUMMYFUNCTION("""COMPUTED_VALUE"""),82.86)</f>
        <v>82.86</v>
      </c>
      <c r="C6199" s="2">
        <f>IFERROR(__xludf.DUMMYFUNCTION("""COMPUTED_VALUE"""),83.2)</f>
        <v>83.2</v>
      </c>
      <c r="D6199" s="2">
        <f>IFERROR(__xludf.DUMMYFUNCTION("""COMPUTED_VALUE"""),81.48)</f>
        <v>81.48</v>
      </c>
      <c r="E6199" s="2">
        <f>IFERROR(__xludf.DUMMYFUNCTION("""COMPUTED_VALUE"""),81.6)</f>
        <v>81.6</v>
      </c>
      <c r="F6199" s="2">
        <f>IFERROR(__xludf.DUMMYFUNCTION("""COMPUTED_VALUE"""),5497000.0)</f>
        <v>5497000</v>
      </c>
    </row>
    <row r="6200">
      <c r="A6200" s="3">
        <f>IFERROR(__xludf.DUMMYFUNCTION("""COMPUTED_VALUE"""),38190.666666666664)</f>
        <v>38190.66667</v>
      </c>
      <c r="B6200" s="2">
        <f>IFERROR(__xludf.DUMMYFUNCTION("""COMPUTED_VALUE"""),81.19)</f>
        <v>81.19</v>
      </c>
      <c r="C6200" s="2">
        <f>IFERROR(__xludf.DUMMYFUNCTION("""COMPUTED_VALUE"""),82.53)</f>
        <v>82.53</v>
      </c>
      <c r="D6200" s="2">
        <f>IFERROR(__xludf.DUMMYFUNCTION("""COMPUTED_VALUE"""),80.88)</f>
        <v>80.88</v>
      </c>
      <c r="E6200" s="2">
        <f>IFERROR(__xludf.DUMMYFUNCTION("""COMPUTED_VALUE"""),81.72)</f>
        <v>81.72</v>
      </c>
      <c r="F6200" s="2">
        <f>IFERROR(__xludf.DUMMYFUNCTION("""COMPUTED_VALUE"""),5887600.0)</f>
        <v>5887600</v>
      </c>
    </row>
    <row r="6201">
      <c r="A6201" s="3">
        <f>IFERROR(__xludf.DUMMYFUNCTION("""COMPUTED_VALUE"""),38191.666666666664)</f>
        <v>38191.66667</v>
      </c>
      <c r="B6201" s="2">
        <f>IFERROR(__xludf.DUMMYFUNCTION("""COMPUTED_VALUE"""),81.86)</f>
        <v>81.86</v>
      </c>
      <c r="C6201" s="2">
        <f>IFERROR(__xludf.DUMMYFUNCTION("""COMPUTED_VALUE"""),82.2)</f>
        <v>82.2</v>
      </c>
      <c r="D6201" s="2">
        <f>IFERROR(__xludf.DUMMYFUNCTION("""COMPUTED_VALUE"""),80.71)</f>
        <v>80.71</v>
      </c>
      <c r="E6201" s="2">
        <f>IFERROR(__xludf.DUMMYFUNCTION("""COMPUTED_VALUE"""),81.05)</f>
        <v>81.05</v>
      </c>
      <c r="F6201" s="2">
        <f>IFERROR(__xludf.DUMMYFUNCTION("""COMPUTED_VALUE"""),4292600.0)</f>
        <v>4292600</v>
      </c>
    </row>
    <row r="6202">
      <c r="A6202" s="3">
        <f>IFERROR(__xludf.DUMMYFUNCTION("""COMPUTED_VALUE"""),38194.666666666664)</f>
        <v>38194.66667</v>
      </c>
      <c r="B6202" s="2">
        <f>IFERROR(__xludf.DUMMYFUNCTION("""COMPUTED_VALUE"""),81.05)</f>
        <v>81.05</v>
      </c>
      <c r="C6202" s="2">
        <f>IFERROR(__xludf.DUMMYFUNCTION("""COMPUTED_VALUE"""),81.74)</f>
        <v>81.74</v>
      </c>
      <c r="D6202" s="2">
        <f>IFERROR(__xludf.DUMMYFUNCTION("""COMPUTED_VALUE"""),80.72)</f>
        <v>80.72</v>
      </c>
      <c r="E6202" s="2">
        <f>IFERROR(__xludf.DUMMYFUNCTION("""COMPUTED_VALUE"""),81.27)</f>
        <v>81.27</v>
      </c>
      <c r="F6202" s="2">
        <f>IFERROR(__xludf.DUMMYFUNCTION("""COMPUTED_VALUE"""),4517100.0)</f>
        <v>4517100</v>
      </c>
    </row>
    <row r="6203">
      <c r="A6203" s="3">
        <f>IFERROR(__xludf.DUMMYFUNCTION("""COMPUTED_VALUE"""),38195.666666666664)</f>
        <v>38195.66667</v>
      </c>
      <c r="B6203" s="2">
        <f>IFERROR(__xludf.DUMMYFUNCTION("""COMPUTED_VALUE"""),81.76)</f>
        <v>81.76</v>
      </c>
      <c r="C6203" s="2">
        <f>IFERROR(__xludf.DUMMYFUNCTION("""COMPUTED_VALUE"""),82.43)</f>
        <v>82.43</v>
      </c>
      <c r="D6203" s="2">
        <f>IFERROR(__xludf.DUMMYFUNCTION("""COMPUTED_VALUE"""),81.62)</f>
        <v>81.62</v>
      </c>
      <c r="E6203" s="2">
        <f>IFERROR(__xludf.DUMMYFUNCTION("""COMPUTED_VALUE"""),82.03)</f>
        <v>82.03</v>
      </c>
      <c r="F6203" s="2">
        <f>IFERROR(__xludf.DUMMYFUNCTION("""COMPUTED_VALUE"""),4098000.0)</f>
        <v>4098000</v>
      </c>
    </row>
    <row r="6204">
      <c r="A6204" s="3">
        <f>IFERROR(__xludf.DUMMYFUNCTION("""COMPUTED_VALUE"""),38196.666666666664)</f>
        <v>38196.66667</v>
      </c>
      <c r="B6204" s="2">
        <f>IFERROR(__xludf.DUMMYFUNCTION("""COMPUTED_VALUE"""),82.03)</f>
        <v>82.03</v>
      </c>
      <c r="C6204" s="2">
        <f>IFERROR(__xludf.DUMMYFUNCTION("""COMPUTED_VALUE"""),82.41)</f>
        <v>82.41</v>
      </c>
      <c r="D6204" s="2">
        <f>IFERROR(__xludf.DUMMYFUNCTION("""COMPUTED_VALUE"""),81.07)</f>
        <v>81.07</v>
      </c>
      <c r="E6204" s="2">
        <f>IFERROR(__xludf.DUMMYFUNCTION("""COMPUTED_VALUE"""),82.0)</f>
        <v>82</v>
      </c>
      <c r="F6204" s="2">
        <f>IFERROR(__xludf.DUMMYFUNCTION("""COMPUTED_VALUE"""),5614900.0)</f>
        <v>5614900</v>
      </c>
    </row>
    <row r="6205">
      <c r="A6205" s="3">
        <f>IFERROR(__xludf.DUMMYFUNCTION("""COMPUTED_VALUE"""),38197.666666666664)</f>
        <v>38197.66667</v>
      </c>
      <c r="B6205" s="2">
        <f>IFERROR(__xludf.DUMMYFUNCTION("""COMPUTED_VALUE"""),82.38)</f>
        <v>82.38</v>
      </c>
      <c r="C6205" s="2">
        <f>IFERROR(__xludf.DUMMYFUNCTION("""COMPUTED_VALUE"""),83.31)</f>
        <v>83.31</v>
      </c>
      <c r="D6205" s="2">
        <f>IFERROR(__xludf.DUMMYFUNCTION("""COMPUTED_VALUE"""),82.36)</f>
        <v>82.36</v>
      </c>
      <c r="E6205" s="2">
        <f>IFERROR(__xludf.DUMMYFUNCTION("""COMPUTED_VALUE"""),83.03)</f>
        <v>83.03</v>
      </c>
      <c r="F6205" s="2">
        <f>IFERROR(__xludf.DUMMYFUNCTION("""COMPUTED_VALUE"""),4232100.0)</f>
        <v>4232100</v>
      </c>
    </row>
    <row r="6206">
      <c r="A6206" s="3">
        <f>IFERROR(__xludf.DUMMYFUNCTION("""COMPUTED_VALUE"""),38198.666666666664)</f>
        <v>38198.66667</v>
      </c>
      <c r="B6206" s="2">
        <f>IFERROR(__xludf.DUMMYFUNCTION("""COMPUTED_VALUE"""),82.57)</f>
        <v>82.57</v>
      </c>
      <c r="C6206" s="2">
        <f>IFERROR(__xludf.DUMMYFUNCTION("""COMPUTED_VALUE"""),83.48)</f>
        <v>83.48</v>
      </c>
      <c r="D6206" s="2">
        <f>IFERROR(__xludf.DUMMYFUNCTION("""COMPUTED_VALUE"""),82.51)</f>
        <v>82.51</v>
      </c>
      <c r="E6206" s="2">
        <f>IFERROR(__xludf.DUMMYFUNCTION("""COMPUTED_VALUE"""),82.98)</f>
        <v>82.98</v>
      </c>
      <c r="F6206" s="2">
        <f>IFERROR(__xludf.DUMMYFUNCTION("""COMPUTED_VALUE"""),3508500.0)</f>
        <v>3508500</v>
      </c>
    </row>
    <row r="6207">
      <c r="A6207" s="3">
        <f>IFERROR(__xludf.DUMMYFUNCTION("""COMPUTED_VALUE"""),38201.666666666664)</f>
        <v>38201.66667</v>
      </c>
      <c r="B6207" s="2">
        <f>IFERROR(__xludf.DUMMYFUNCTION("""COMPUTED_VALUE"""),82.98)</f>
        <v>82.98</v>
      </c>
      <c r="C6207" s="2">
        <f>IFERROR(__xludf.DUMMYFUNCTION("""COMPUTED_VALUE"""),83.47)</f>
        <v>83.47</v>
      </c>
      <c r="D6207" s="2">
        <f>IFERROR(__xludf.DUMMYFUNCTION("""COMPUTED_VALUE"""),82.55)</f>
        <v>82.55</v>
      </c>
      <c r="E6207" s="2">
        <f>IFERROR(__xludf.DUMMYFUNCTION("""COMPUTED_VALUE"""),82.91)</f>
        <v>82.91</v>
      </c>
      <c r="F6207" s="2">
        <f>IFERROR(__xludf.DUMMYFUNCTION("""COMPUTED_VALUE"""),3396000.0)</f>
        <v>3396000</v>
      </c>
    </row>
    <row r="6208">
      <c r="A6208" s="3">
        <f>IFERROR(__xludf.DUMMYFUNCTION("""COMPUTED_VALUE"""),38202.666666666664)</f>
        <v>38202.66667</v>
      </c>
      <c r="B6208" s="2">
        <f>IFERROR(__xludf.DUMMYFUNCTION("""COMPUTED_VALUE"""),82.81)</f>
        <v>82.81</v>
      </c>
      <c r="C6208" s="2">
        <f>IFERROR(__xludf.DUMMYFUNCTION("""COMPUTED_VALUE"""),82.91)</f>
        <v>82.91</v>
      </c>
      <c r="D6208" s="2">
        <f>IFERROR(__xludf.DUMMYFUNCTION("""COMPUTED_VALUE"""),81.61)</f>
        <v>81.61</v>
      </c>
      <c r="E6208" s="2">
        <f>IFERROR(__xludf.DUMMYFUNCTION("""COMPUTED_VALUE"""),81.77)</f>
        <v>81.77</v>
      </c>
      <c r="F6208" s="2">
        <f>IFERROR(__xludf.DUMMYFUNCTION("""COMPUTED_VALUE"""),4147200.0)</f>
        <v>4147200</v>
      </c>
    </row>
    <row r="6209">
      <c r="A6209" s="3">
        <f>IFERROR(__xludf.DUMMYFUNCTION("""COMPUTED_VALUE"""),38203.666666666664)</f>
        <v>38203.66667</v>
      </c>
      <c r="B6209" s="2">
        <f>IFERROR(__xludf.DUMMYFUNCTION("""COMPUTED_VALUE"""),81.48)</f>
        <v>81.48</v>
      </c>
      <c r="C6209" s="2">
        <f>IFERROR(__xludf.DUMMYFUNCTION("""COMPUTED_VALUE"""),82.76)</f>
        <v>82.76</v>
      </c>
      <c r="D6209" s="2">
        <f>IFERROR(__xludf.DUMMYFUNCTION("""COMPUTED_VALUE"""),81.43)</f>
        <v>81.43</v>
      </c>
      <c r="E6209" s="2">
        <f>IFERROR(__xludf.DUMMYFUNCTION("""COMPUTED_VALUE"""),82.05)</f>
        <v>82.05</v>
      </c>
      <c r="F6209" s="2">
        <f>IFERROR(__xludf.DUMMYFUNCTION("""COMPUTED_VALUE"""),4155100.0)</f>
        <v>4155100</v>
      </c>
    </row>
    <row r="6210">
      <c r="A6210" s="3">
        <f>IFERROR(__xludf.DUMMYFUNCTION("""COMPUTED_VALUE"""),38204.666666666664)</f>
        <v>38204.66667</v>
      </c>
      <c r="B6210" s="2">
        <f>IFERROR(__xludf.DUMMYFUNCTION("""COMPUTED_VALUE"""),82.12)</f>
        <v>82.12</v>
      </c>
      <c r="C6210" s="2">
        <f>IFERROR(__xludf.DUMMYFUNCTION("""COMPUTED_VALUE"""),82.55)</f>
        <v>82.55</v>
      </c>
      <c r="D6210" s="2">
        <f>IFERROR(__xludf.DUMMYFUNCTION("""COMPUTED_VALUE"""),81.2)</f>
        <v>81.2</v>
      </c>
      <c r="E6210" s="2">
        <f>IFERROR(__xludf.DUMMYFUNCTION("""COMPUTED_VALUE"""),81.37)</f>
        <v>81.37</v>
      </c>
      <c r="F6210" s="2">
        <f>IFERROR(__xludf.DUMMYFUNCTION("""COMPUTED_VALUE"""),3878100.0)</f>
        <v>3878100</v>
      </c>
    </row>
    <row r="6211">
      <c r="A6211" s="3">
        <f>IFERROR(__xludf.DUMMYFUNCTION("""COMPUTED_VALUE"""),38205.666666666664)</f>
        <v>38205.66667</v>
      </c>
      <c r="B6211" s="2">
        <f>IFERROR(__xludf.DUMMYFUNCTION("""COMPUTED_VALUE"""),80.6)</f>
        <v>80.6</v>
      </c>
      <c r="C6211" s="2">
        <f>IFERROR(__xludf.DUMMYFUNCTION("""COMPUTED_VALUE"""),80.96)</f>
        <v>80.96</v>
      </c>
      <c r="D6211" s="2">
        <f>IFERROR(__xludf.DUMMYFUNCTION("""COMPUTED_VALUE"""),79.68)</f>
        <v>79.68</v>
      </c>
      <c r="E6211" s="2">
        <f>IFERROR(__xludf.DUMMYFUNCTION("""COMPUTED_VALUE"""),79.74)</f>
        <v>79.74</v>
      </c>
      <c r="F6211" s="2">
        <f>IFERROR(__xludf.DUMMYFUNCTION("""COMPUTED_VALUE"""),5233300.0)</f>
        <v>5233300</v>
      </c>
    </row>
    <row r="6212">
      <c r="A6212" s="3">
        <f>IFERROR(__xludf.DUMMYFUNCTION("""COMPUTED_VALUE"""),38208.666666666664)</f>
        <v>38208.66667</v>
      </c>
      <c r="B6212" s="2">
        <f>IFERROR(__xludf.DUMMYFUNCTION("""COMPUTED_VALUE"""),79.74)</f>
        <v>79.74</v>
      </c>
      <c r="C6212" s="2">
        <f>IFERROR(__xludf.DUMMYFUNCTION("""COMPUTED_VALUE"""),80.2)</f>
        <v>80.2</v>
      </c>
      <c r="D6212" s="2">
        <f>IFERROR(__xludf.DUMMYFUNCTION("""COMPUTED_VALUE"""),79.15)</f>
        <v>79.15</v>
      </c>
      <c r="E6212" s="2">
        <f>IFERROR(__xludf.DUMMYFUNCTION("""COMPUTED_VALUE"""),79.72)</f>
        <v>79.72</v>
      </c>
      <c r="F6212" s="2">
        <f>IFERROR(__xludf.DUMMYFUNCTION("""COMPUTED_VALUE"""),3618300.0)</f>
        <v>3618300</v>
      </c>
    </row>
    <row r="6213">
      <c r="A6213" s="3">
        <f>IFERROR(__xludf.DUMMYFUNCTION("""COMPUTED_VALUE"""),38209.666666666664)</f>
        <v>38209.66667</v>
      </c>
      <c r="B6213" s="2">
        <f>IFERROR(__xludf.DUMMYFUNCTION("""COMPUTED_VALUE"""),80.23)</f>
        <v>80.23</v>
      </c>
      <c r="C6213" s="2">
        <f>IFERROR(__xludf.DUMMYFUNCTION("""COMPUTED_VALUE"""),81.18)</f>
        <v>81.18</v>
      </c>
      <c r="D6213" s="2">
        <f>IFERROR(__xludf.DUMMYFUNCTION("""COMPUTED_VALUE"""),80.05)</f>
        <v>80.05</v>
      </c>
      <c r="E6213" s="2">
        <f>IFERROR(__xludf.DUMMYFUNCTION("""COMPUTED_VALUE"""),80.92)</f>
        <v>80.92</v>
      </c>
      <c r="F6213" s="2">
        <f>IFERROR(__xludf.DUMMYFUNCTION("""COMPUTED_VALUE"""),4356400.0)</f>
        <v>4356400</v>
      </c>
    </row>
    <row r="6214">
      <c r="A6214" s="3">
        <f>IFERROR(__xludf.DUMMYFUNCTION("""COMPUTED_VALUE"""),38210.666666666664)</f>
        <v>38210.66667</v>
      </c>
      <c r="B6214" s="2">
        <f>IFERROR(__xludf.DUMMYFUNCTION("""COMPUTED_VALUE"""),79.95)</f>
        <v>79.95</v>
      </c>
      <c r="C6214" s="2">
        <f>IFERROR(__xludf.DUMMYFUNCTION("""COMPUTED_VALUE"""),80.21)</f>
        <v>80.21</v>
      </c>
      <c r="D6214" s="2">
        <f>IFERROR(__xludf.DUMMYFUNCTION("""COMPUTED_VALUE"""),79.37)</f>
        <v>79.37</v>
      </c>
      <c r="E6214" s="2">
        <f>IFERROR(__xludf.DUMMYFUNCTION("""COMPUTED_VALUE"""),79.84)</f>
        <v>79.84</v>
      </c>
      <c r="F6214" s="2">
        <f>IFERROR(__xludf.DUMMYFUNCTION("""COMPUTED_VALUE"""),5267600.0)</f>
        <v>5267600</v>
      </c>
    </row>
    <row r="6215">
      <c r="A6215" s="3">
        <f>IFERROR(__xludf.DUMMYFUNCTION("""COMPUTED_VALUE"""),38211.666666666664)</f>
        <v>38211.66667</v>
      </c>
      <c r="B6215" s="2">
        <f>IFERROR(__xludf.DUMMYFUNCTION("""COMPUTED_VALUE"""),79.33)</f>
        <v>79.33</v>
      </c>
      <c r="C6215" s="2">
        <f>IFERROR(__xludf.DUMMYFUNCTION("""COMPUTED_VALUE"""),79.33)</f>
        <v>79.33</v>
      </c>
      <c r="D6215" s="2">
        <f>IFERROR(__xludf.DUMMYFUNCTION("""COMPUTED_VALUE"""),78.23)</f>
        <v>78.23</v>
      </c>
      <c r="E6215" s="2">
        <f>IFERROR(__xludf.DUMMYFUNCTION("""COMPUTED_VALUE"""),78.52)</f>
        <v>78.52</v>
      </c>
      <c r="F6215" s="2">
        <f>IFERROR(__xludf.DUMMYFUNCTION("""COMPUTED_VALUE"""),7128500.0)</f>
        <v>7128500</v>
      </c>
    </row>
    <row r="6216">
      <c r="A6216" s="3">
        <f>IFERROR(__xludf.DUMMYFUNCTION("""COMPUTED_VALUE"""),38212.666666666664)</f>
        <v>38212.66667</v>
      </c>
      <c r="B6216" s="2">
        <f>IFERROR(__xludf.DUMMYFUNCTION("""COMPUTED_VALUE"""),78.84)</f>
        <v>78.84</v>
      </c>
      <c r="C6216" s="2">
        <f>IFERROR(__xludf.DUMMYFUNCTION("""COMPUTED_VALUE"""),80.18)</f>
        <v>80.18</v>
      </c>
      <c r="D6216" s="2">
        <f>IFERROR(__xludf.DUMMYFUNCTION("""COMPUTED_VALUE"""),78.81)</f>
        <v>78.81</v>
      </c>
      <c r="E6216" s="2">
        <f>IFERROR(__xludf.DUMMYFUNCTION("""COMPUTED_VALUE"""),80.15)</f>
        <v>80.15</v>
      </c>
      <c r="F6216" s="2">
        <f>IFERROR(__xludf.DUMMYFUNCTION("""COMPUTED_VALUE"""),5801900.0)</f>
        <v>5801900</v>
      </c>
    </row>
    <row r="6217">
      <c r="A6217" s="3">
        <f>IFERROR(__xludf.DUMMYFUNCTION("""COMPUTED_VALUE"""),38215.666666666664)</f>
        <v>38215.66667</v>
      </c>
      <c r="B6217" s="2">
        <f>IFERROR(__xludf.DUMMYFUNCTION("""COMPUTED_VALUE"""),79.95)</f>
        <v>79.95</v>
      </c>
      <c r="C6217" s="2">
        <f>IFERROR(__xludf.DUMMYFUNCTION("""COMPUTED_VALUE"""),80.77)</f>
        <v>80.77</v>
      </c>
      <c r="D6217" s="2">
        <f>IFERROR(__xludf.DUMMYFUNCTION("""COMPUTED_VALUE"""),79.77)</f>
        <v>79.77</v>
      </c>
      <c r="E6217" s="2">
        <f>IFERROR(__xludf.DUMMYFUNCTION("""COMPUTED_VALUE"""),80.25)</f>
        <v>80.25</v>
      </c>
      <c r="F6217" s="2">
        <f>IFERROR(__xludf.DUMMYFUNCTION("""COMPUTED_VALUE"""),4361500.0)</f>
        <v>4361500</v>
      </c>
    </row>
    <row r="6218">
      <c r="A6218" s="3">
        <f>IFERROR(__xludf.DUMMYFUNCTION("""COMPUTED_VALUE"""),38216.666666666664)</f>
        <v>38216.66667</v>
      </c>
      <c r="B6218" s="2">
        <f>IFERROR(__xludf.DUMMYFUNCTION("""COMPUTED_VALUE"""),80.33)</f>
        <v>80.33</v>
      </c>
      <c r="C6218" s="2">
        <f>IFERROR(__xludf.DUMMYFUNCTION("""COMPUTED_VALUE"""),80.75)</f>
        <v>80.75</v>
      </c>
      <c r="D6218" s="2">
        <f>IFERROR(__xludf.DUMMYFUNCTION("""COMPUTED_VALUE"""),79.91)</f>
        <v>79.91</v>
      </c>
      <c r="E6218" s="2">
        <f>IFERROR(__xludf.DUMMYFUNCTION("""COMPUTED_VALUE"""),80.32)</f>
        <v>80.32</v>
      </c>
      <c r="F6218" s="2">
        <f>IFERROR(__xludf.DUMMYFUNCTION("""COMPUTED_VALUE"""),3558500.0)</f>
        <v>3558500</v>
      </c>
    </row>
    <row r="6219">
      <c r="A6219" s="3">
        <f>IFERROR(__xludf.DUMMYFUNCTION("""COMPUTED_VALUE"""),38217.666666666664)</f>
        <v>38217.66667</v>
      </c>
      <c r="B6219" s="2">
        <f>IFERROR(__xludf.DUMMYFUNCTION("""COMPUTED_VALUE"""),79.85)</f>
        <v>79.85</v>
      </c>
      <c r="C6219" s="2">
        <f>IFERROR(__xludf.DUMMYFUNCTION("""COMPUTED_VALUE"""),81.31)</f>
        <v>81.31</v>
      </c>
      <c r="D6219" s="2">
        <f>IFERROR(__xludf.DUMMYFUNCTION("""COMPUTED_VALUE"""),79.82)</f>
        <v>79.82</v>
      </c>
      <c r="E6219" s="2">
        <f>IFERROR(__xludf.DUMMYFUNCTION("""COMPUTED_VALUE"""),80.67)</f>
        <v>80.67</v>
      </c>
      <c r="F6219" s="2">
        <f>IFERROR(__xludf.DUMMYFUNCTION("""COMPUTED_VALUE"""),4833400.0)</f>
        <v>4833400</v>
      </c>
    </row>
    <row r="6220">
      <c r="A6220" s="3">
        <f>IFERROR(__xludf.DUMMYFUNCTION("""COMPUTED_VALUE"""),38218.666666666664)</f>
        <v>38218.66667</v>
      </c>
      <c r="B6220" s="2">
        <f>IFERROR(__xludf.DUMMYFUNCTION("""COMPUTED_VALUE"""),80.71)</f>
        <v>80.71</v>
      </c>
      <c r="C6220" s="2">
        <f>IFERROR(__xludf.DUMMYFUNCTION("""COMPUTED_VALUE"""),81.52)</f>
        <v>81.52</v>
      </c>
      <c r="D6220" s="2">
        <f>IFERROR(__xludf.DUMMYFUNCTION("""COMPUTED_VALUE"""),80.66)</f>
        <v>80.66</v>
      </c>
      <c r="E6220" s="2">
        <f>IFERROR(__xludf.DUMMYFUNCTION("""COMPUTED_VALUE"""),81.08)</f>
        <v>81.08</v>
      </c>
      <c r="F6220" s="2">
        <f>IFERROR(__xludf.DUMMYFUNCTION("""COMPUTED_VALUE"""),4697800.0)</f>
        <v>4697800</v>
      </c>
    </row>
    <row r="6221">
      <c r="A6221" s="3">
        <f>IFERROR(__xludf.DUMMYFUNCTION("""COMPUTED_VALUE"""),38219.666666666664)</f>
        <v>38219.66667</v>
      </c>
      <c r="B6221" s="2">
        <f>IFERROR(__xludf.DUMMYFUNCTION("""COMPUTED_VALUE"""),80.73)</f>
        <v>80.73</v>
      </c>
      <c r="C6221" s="2">
        <f>IFERROR(__xludf.DUMMYFUNCTION("""COMPUTED_VALUE"""),81.43)</f>
        <v>81.43</v>
      </c>
      <c r="D6221" s="2">
        <f>IFERROR(__xludf.DUMMYFUNCTION("""COMPUTED_VALUE"""),80.73)</f>
        <v>80.73</v>
      </c>
      <c r="E6221" s="2">
        <f>IFERROR(__xludf.DUMMYFUNCTION("""COMPUTED_VALUE"""),81.39)</f>
        <v>81.39</v>
      </c>
      <c r="F6221" s="2">
        <f>IFERROR(__xludf.DUMMYFUNCTION("""COMPUTED_VALUE"""),4494900.0)</f>
        <v>4494900</v>
      </c>
    </row>
    <row r="6222">
      <c r="A6222" s="3">
        <f>IFERROR(__xludf.DUMMYFUNCTION("""COMPUTED_VALUE"""),38222.666666666664)</f>
        <v>38222.66667</v>
      </c>
      <c r="B6222" s="2">
        <f>IFERROR(__xludf.DUMMYFUNCTION("""COMPUTED_VALUE"""),81.41)</f>
        <v>81.41</v>
      </c>
      <c r="C6222" s="2">
        <f>IFERROR(__xludf.DUMMYFUNCTION("""COMPUTED_VALUE"""),81.62)</f>
        <v>81.62</v>
      </c>
      <c r="D6222" s="2">
        <f>IFERROR(__xludf.DUMMYFUNCTION("""COMPUTED_VALUE"""),80.85)</f>
        <v>80.85</v>
      </c>
      <c r="E6222" s="2">
        <f>IFERROR(__xludf.DUMMYFUNCTION("""COMPUTED_VALUE"""),80.85)</f>
        <v>80.85</v>
      </c>
      <c r="F6222" s="2">
        <f>IFERROR(__xludf.DUMMYFUNCTION("""COMPUTED_VALUE"""),4262600.0)</f>
        <v>4262600</v>
      </c>
    </row>
    <row r="6223">
      <c r="A6223" s="3">
        <f>IFERROR(__xludf.DUMMYFUNCTION("""COMPUTED_VALUE"""),38223.666666666664)</f>
        <v>38223.66667</v>
      </c>
      <c r="B6223" s="2">
        <f>IFERROR(__xludf.DUMMYFUNCTION("""COMPUTED_VALUE"""),81.19)</f>
        <v>81.19</v>
      </c>
      <c r="C6223" s="2">
        <f>IFERROR(__xludf.DUMMYFUNCTION("""COMPUTED_VALUE"""),81.33)</f>
        <v>81.33</v>
      </c>
      <c r="D6223" s="2">
        <f>IFERROR(__xludf.DUMMYFUNCTION("""COMPUTED_VALUE"""),80.57)</f>
        <v>80.57</v>
      </c>
      <c r="E6223" s="2">
        <f>IFERROR(__xludf.DUMMYFUNCTION("""COMPUTED_VALUE"""),80.91)</f>
        <v>80.91</v>
      </c>
      <c r="F6223" s="2">
        <f>IFERROR(__xludf.DUMMYFUNCTION("""COMPUTED_VALUE"""),2710400.0)</f>
        <v>2710400</v>
      </c>
    </row>
    <row r="6224">
      <c r="A6224" s="3">
        <f>IFERROR(__xludf.DUMMYFUNCTION("""COMPUTED_VALUE"""),38224.666666666664)</f>
        <v>38224.66667</v>
      </c>
      <c r="B6224" s="2">
        <f>IFERROR(__xludf.DUMMYFUNCTION("""COMPUTED_VALUE"""),81.19)</f>
        <v>81.19</v>
      </c>
      <c r="C6224" s="2">
        <f>IFERROR(__xludf.DUMMYFUNCTION("""COMPUTED_VALUE"""),81.45)</f>
        <v>81.45</v>
      </c>
      <c r="D6224" s="2">
        <f>IFERROR(__xludf.DUMMYFUNCTION("""COMPUTED_VALUE"""),80.76)</f>
        <v>80.76</v>
      </c>
      <c r="E6224" s="2">
        <f>IFERROR(__xludf.DUMMYFUNCTION("""COMPUTED_VALUE"""),81.26)</f>
        <v>81.26</v>
      </c>
      <c r="F6224" s="2">
        <f>IFERROR(__xludf.DUMMYFUNCTION("""COMPUTED_VALUE"""),4405600.0)</f>
        <v>4405600</v>
      </c>
    </row>
    <row r="6225">
      <c r="A6225" s="3">
        <f>IFERROR(__xludf.DUMMYFUNCTION("""COMPUTED_VALUE"""),38225.666666666664)</f>
        <v>38225.66667</v>
      </c>
      <c r="B6225" s="2">
        <f>IFERROR(__xludf.DUMMYFUNCTION("""COMPUTED_VALUE"""),81.19)</f>
        <v>81.19</v>
      </c>
      <c r="C6225" s="2">
        <f>IFERROR(__xludf.DUMMYFUNCTION("""COMPUTED_VALUE"""),81.23)</f>
        <v>81.23</v>
      </c>
      <c r="D6225" s="2">
        <f>IFERROR(__xludf.DUMMYFUNCTION("""COMPUTED_VALUE"""),80.89)</f>
        <v>80.89</v>
      </c>
      <c r="E6225" s="2">
        <f>IFERROR(__xludf.DUMMYFUNCTION("""COMPUTED_VALUE"""),80.89)</f>
        <v>80.89</v>
      </c>
      <c r="F6225" s="2">
        <f>IFERROR(__xludf.DUMMYFUNCTION("""COMPUTED_VALUE"""),3134400.0)</f>
        <v>3134400</v>
      </c>
    </row>
    <row r="6226">
      <c r="A6226" s="3">
        <f>IFERROR(__xludf.DUMMYFUNCTION("""COMPUTED_VALUE"""),38226.666666666664)</f>
        <v>38226.66667</v>
      </c>
      <c r="B6226" s="2">
        <f>IFERROR(__xludf.DUMMYFUNCTION("""COMPUTED_VALUE"""),80.85)</f>
        <v>80.85</v>
      </c>
      <c r="C6226" s="2">
        <f>IFERROR(__xludf.DUMMYFUNCTION("""COMPUTED_VALUE"""),81.14)</f>
        <v>81.14</v>
      </c>
      <c r="D6226" s="2">
        <f>IFERROR(__xludf.DUMMYFUNCTION("""COMPUTED_VALUE"""),80.8)</f>
        <v>80.8</v>
      </c>
      <c r="E6226" s="2">
        <f>IFERROR(__xludf.DUMMYFUNCTION("""COMPUTED_VALUE"""),81.13)</f>
        <v>81.13</v>
      </c>
      <c r="F6226" s="2">
        <f>IFERROR(__xludf.DUMMYFUNCTION("""COMPUTED_VALUE"""),2444800.0)</f>
        <v>2444800</v>
      </c>
    </row>
    <row r="6227">
      <c r="A6227" s="3">
        <f>IFERROR(__xludf.DUMMYFUNCTION("""COMPUTED_VALUE"""),38229.666666666664)</f>
        <v>38229.66667</v>
      </c>
      <c r="B6227" s="2">
        <f>IFERROR(__xludf.DUMMYFUNCTION("""COMPUTED_VALUE"""),80.78)</f>
        <v>80.78</v>
      </c>
      <c r="C6227" s="2">
        <f>IFERROR(__xludf.DUMMYFUNCTION("""COMPUTED_VALUE"""),81.18)</f>
        <v>81.18</v>
      </c>
      <c r="D6227" s="2">
        <f>IFERROR(__xludf.DUMMYFUNCTION("""COMPUTED_VALUE"""),80.61)</f>
        <v>80.61</v>
      </c>
      <c r="E6227" s="2">
        <f>IFERROR(__xludf.DUMMYFUNCTION("""COMPUTED_VALUE"""),80.62)</f>
        <v>80.62</v>
      </c>
      <c r="F6227" s="2">
        <f>IFERROR(__xludf.DUMMYFUNCTION("""COMPUTED_VALUE"""),2278100.0)</f>
        <v>2278100</v>
      </c>
    </row>
    <row r="6228">
      <c r="A6228" s="3">
        <f>IFERROR(__xludf.DUMMYFUNCTION("""COMPUTED_VALUE"""),38230.666666666664)</f>
        <v>38230.66667</v>
      </c>
      <c r="B6228" s="2">
        <f>IFERROR(__xludf.DUMMYFUNCTION("""COMPUTED_VALUE"""),80.76)</f>
        <v>80.76</v>
      </c>
      <c r="C6228" s="2">
        <f>IFERROR(__xludf.DUMMYFUNCTION("""COMPUTED_VALUE"""),80.89)</f>
        <v>80.89</v>
      </c>
      <c r="D6228" s="2">
        <f>IFERROR(__xludf.DUMMYFUNCTION("""COMPUTED_VALUE"""),79.9)</f>
        <v>79.9</v>
      </c>
      <c r="E6228" s="2">
        <f>IFERROR(__xludf.DUMMYFUNCTION("""COMPUTED_VALUE"""),80.89)</f>
        <v>80.89</v>
      </c>
      <c r="F6228" s="2">
        <f>IFERROR(__xludf.DUMMYFUNCTION("""COMPUTED_VALUE"""),3401400.0)</f>
        <v>3401400</v>
      </c>
    </row>
    <row r="6229">
      <c r="A6229" s="3">
        <f>IFERROR(__xludf.DUMMYFUNCTION("""COMPUTED_VALUE"""),38231.666666666664)</f>
        <v>38231.66667</v>
      </c>
      <c r="B6229" s="2">
        <f>IFERROR(__xludf.DUMMYFUNCTION("""COMPUTED_VALUE"""),80.28)</f>
        <v>80.28</v>
      </c>
      <c r="C6229" s="2">
        <f>IFERROR(__xludf.DUMMYFUNCTION("""COMPUTED_VALUE"""),81.27)</f>
        <v>81.27</v>
      </c>
      <c r="D6229" s="2">
        <f>IFERROR(__xludf.DUMMYFUNCTION("""COMPUTED_VALUE"""),80.24)</f>
        <v>80.24</v>
      </c>
      <c r="E6229" s="2">
        <f>IFERROR(__xludf.DUMMYFUNCTION("""COMPUTED_VALUE"""),80.44)</f>
        <v>80.44</v>
      </c>
      <c r="F6229" s="2">
        <f>IFERROR(__xludf.DUMMYFUNCTION("""COMPUTED_VALUE"""),4748500.0)</f>
        <v>4748500</v>
      </c>
    </row>
    <row r="6230">
      <c r="A6230" s="3">
        <f>IFERROR(__xludf.DUMMYFUNCTION("""COMPUTED_VALUE"""),38232.666666666664)</f>
        <v>38232.66667</v>
      </c>
      <c r="B6230" s="2">
        <f>IFERROR(__xludf.DUMMYFUNCTION("""COMPUTED_VALUE"""),80.44)</f>
        <v>80.44</v>
      </c>
      <c r="C6230" s="2">
        <f>IFERROR(__xludf.DUMMYFUNCTION("""COMPUTED_VALUE"""),80.98)</f>
        <v>80.98</v>
      </c>
      <c r="D6230" s="2">
        <f>IFERROR(__xludf.DUMMYFUNCTION("""COMPUTED_VALUE"""),80.09)</f>
        <v>80.09</v>
      </c>
      <c r="E6230" s="2">
        <f>IFERROR(__xludf.DUMMYFUNCTION("""COMPUTED_VALUE"""),80.78)</f>
        <v>80.78</v>
      </c>
      <c r="F6230" s="2">
        <f>IFERROR(__xludf.DUMMYFUNCTION("""COMPUTED_VALUE"""),3389000.0)</f>
        <v>3389000</v>
      </c>
    </row>
    <row r="6231">
      <c r="A6231" s="3">
        <f>IFERROR(__xludf.DUMMYFUNCTION("""COMPUTED_VALUE"""),38233.666666666664)</f>
        <v>38233.66667</v>
      </c>
      <c r="B6231" s="2">
        <f>IFERROR(__xludf.DUMMYFUNCTION("""COMPUTED_VALUE"""),80.53)</f>
        <v>80.53</v>
      </c>
      <c r="C6231" s="2">
        <f>IFERROR(__xludf.DUMMYFUNCTION("""COMPUTED_VALUE"""),80.89)</f>
        <v>80.89</v>
      </c>
      <c r="D6231" s="2">
        <f>IFERROR(__xludf.DUMMYFUNCTION("""COMPUTED_VALUE"""),80.2)</f>
        <v>80.2</v>
      </c>
      <c r="E6231" s="2">
        <f>IFERROR(__xludf.DUMMYFUNCTION("""COMPUTED_VALUE"""),80.61)</f>
        <v>80.61</v>
      </c>
      <c r="F6231" s="2">
        <f>IFERROR(__xludf.DUMMYFUNCTION("""COMPUTED_VALUE"""),3479800.0)</f>
        <v>3479800</v>
      </c>
    </row>
    <row r="6232">
      <c r="A6232" s="3">
        <f>IFERROR(__xludf.DUMMYFUNCTION("""COMPUTED_VALUE"""),38237.666666666664)</f>
        <v>38237.66667</v>
      </c>
      <c r="B6232" s="2">
        <f>IFERROR(__xludf.DUMMYFUNCTION("""COMPUTED_VALUE"""),80.9)</f>
        <v>80.9</v>
      </c>
      <c r="C6232" s="2">
        <f>IFERROR(__xludf.DUMMYFUNCTION("""COMPUTED_VALUE"""),81.61)</f>
        <v>81.61</v>
      </c>
      <c r="D6232" s="2">
        <f>IFERROR(__xludf.DUMMYFUNCTION("""COMPUTED_VALUE"""),80.81)</f>
        <v>80.81</v>
      </c>
      <c r="E6232" s="2">
        <f>IFERROR(__xludf.DUMMYFUNCTION("""COMPUTED_VALUE"""),81.16)</f>
        <v>81.16</v>
      </c>
      <c r="F6232" s="2">
        <f>IFERROR(__xludf.DUMMYFUNCTION("""COMPUTED_VALUE"""),4004600.0)</f>
        <v>4004600</v>
      </c>
    </row>
    <row r="6233">
      <c r="A6233" s="3">
        <f>IFERROR(__xludf.DUMMYFUNCTION("""COMPUTED_VALUE"""),38238.666666666664)</f>
        <v>38238.66667</v>
      </c>
      <c r="B6233" s="2">
        <f>IFERROR(__xludf.DUMMYFUNCTION("""COMPUTED_VALUE"""),81.09)</f>
        <v>81.09</v>
      </c>
      <c r="C6233" s="2">
        <f>IFERROR(__xludf.DUMMYFUNCTION("""COMPUTED_VALUE"""),82.63)</f>
        <v>82.63</v>
      </c>
      <c r="D6233" s="2">
        <f>IFERROR(__xludf.DUMMYFUNCTION("""COMPUTED_VALUE"""),81.07)</f>
        <v>81.07</v>
      </c>
      <c r="E6233" s="2">
        <f>IFERROR(__xludf.DUMMYFUNCTION("""COMPUTED_VALUE"""),82.01)</f>
        <v>82.01</v>
      </c>
      <c r="F6233" s="2">
        <f>IFERROR(__xludf.DUMMYFUNCTION("""COMPUTED_VALUE"""),5728400.0)</f>
        <v>5728400</v>
      </c>
    </row>
    <row r="6234">
      <c r="A6234" s="3">
        <f>IFERROR(__xludf.DUMMYFUNCTION("""COMPUTED_VALUE"""),38239.666666666664)</f>
        <v>38239.66667</v>
      </c>
      <c r="B6234" s="2">
        <f>IFERROR(__xludf.DUMMYFUNCTION("""COMPUTED_VALUE"""),82.01)</f>
        <v>82.01</v>
      </c>
      <c r="C6234" s="2">
        <f>IFERROR(__xludf.DUMMYFUNCTION("""COMPUTED_VALUE"""),82.9)</f>
        <v>82.9</v>
      </c>
      <c r="D6234" s="2">
        <f>IFERROR(__xludf.DUMMYFUNCTION("""COMPUTED_VALUE"""),82.01)</f>
        <v>82.01</v>
      </c>
      <c r="E6234" s="2">
        <f>IFERROR(__xludf.DUMMYFUNCTION("""COMPUTED_VALUE"""),82.56)</f>
        <v>82.56</v>
      </c>
      <c r="F6234" s="2">
        <f>IFERROR(__xludf.DUMMYFUNCTION("""COMPUTED_VALUE"""),4517400.0)</f>
        <v>4517400</v>
      </c>
    </row>
    <row r="6235">
      <c r="A6235" s="3">
        <f>IFERROR(__xludf.DUMMYFUNCTION("""COMPUTED_VALUE"""),38240.666666666664)</f>
        <v>38240.66667</v>
      </c>
      <c r="B6235" s="2">
        <f>IFERROR(__xludf.DUMMYFUNCTION("""COMPUTED_VALUE"""),82.55)</f>
        <v>82.55</v>
      </c>
      <c r="C6235" s="2">
        <f>IFERROR(__xludf.DUMMYFUNCTION("""COMPUTED_VALUE"""),83.1)</f>
        <v>83.1</v>
      </c>
      <c r="D6235" s="2">
        <f>IFERROR(__xludf.DUMMYFUNCTION("""COMPUTED_VALUE"""),82.38)</f>
        <v>82.38</v>
      </c>
      <c r="E6235" s="2">
        <f>IFERROR(__xludf.DUMMYFUNCTION("""COMPUTED_VALUE"""),82.87)</f>
        <v>82.87</v>
      </c>
      <c r="F6235" s="2">
        <f>IFERROR(__xludf.DUMMYFUNCTION("""COMPUTED_VALUE"""),3753500.0)</f>
        <v>3753500</v>
      </c>
    </row>
    <row r="6236">
      <c r="A6236" s="3">
        <f>IFERROR(__xludf.DUMMYFUNCTION("""COMPUTED_VALUE"""),38243.666666666664)</f>
        <v>38243.66667</v>
      </c>
      <c r="B6236" s="2">
        <f>IFERROR(__xludf.DUMMYFUNCTION("""COMPUTED_VALUE"""),83.1)</f>
        <v>83.1</v>
      </c>
      <c r="C6236" s="2">
        <f>IFERROR(__xludf.DUMMYFUNCTION("""COMPUTED_VALUE"""),83.37)</f>
        <v>83.37</v>
      </c>
      <c r="D6236" s="2">
        <f>IFERROR(__xludf.DUMMYFUNCTION("""COMPUTED_VALUE"""),82.22)</f>
        <v>82.22</v>
      </c>
      <c r="E6236" s="2">
        <f>IFERROR(__xludf.DUMMYFUNCTION("""COMPUTED_VALUE"""),82.61)</f>
        <v>82.61</v>
      </c>
      <c r="F6236" s="2">
        <f>IFERROR(__xludf.DUMMYFUNCTION("""COMPUTED_VALUE"""),4728300.0)</f>
        <v>4728300</v>
      </c>
    </row>
    <row r="6237">
      <c r="A6237" s="3">
        <f>IFERROR(__xludf.DUMMYFUNCTION("""COMPUTED_VALUE"""),38244.666666666664)</f>
        <v>38244.66667</v>
      </c>
      <c r="B6237" s="2">
        <f>IFERROR(__xludf.DUMMYFUNCTION("""COMPUTED_VALUE"""),82.72)</f>
        <v>82.72</v>
      </c>
      <c r="C6237" s="2">
        <f>IFERROR(__xludf.DUMMYFUNCTION("""COMPUTED_VALUE"""),82.98)</f>
        <v>82.98</v>
      </c>
      <c r="D6237" s="2">
        <f>IFERROR(__xludf.DUMMYFUNCTION("""COMPUTED_VALUE"""),82.29)</f>
        <v>82.29</v>
      </c>
      <c r="E6237" s="2">
        <f>IFERROR(__xludf.DUMMYFUNCTION("""COMPUTED_VALUE"""),82.83)</f>
        <v>82.83</v>
      </c>
      <c r="F6237" s="2">
        <f>IFERROR(__xludf.DUMMYFUNCTION("""COMPUTED_VALUE"""),3953800.0)</f>
        <v>3953800</v>
      </c>
    </row>
    <row r="6238">
      <c r="A6238" s="3">
        <f>IFERROR(__xludf.DUMMYFUNCTION("""COMPUTED_VALUE"""),38245.666666666664)</f>
        <v>38245.66667</v>
      </c>
      <c r="B6238" s="2">
        <f>IFERROR(__xludf.DUMMYFUNCTION("""COMPUTED_VALUE"""),82.52)</f>
        <v>82.52</v>
      </c>
      <c r="C6238" s="2">
        <f>IFERROR(__xludf.DUMMYFUNCTION("""COMPUTED_VALUE"""),82.62)</f>
        <v>82.62</v>
      </c>
      <c r="D6238" s="2">
        <f>IFERROR(__xludf.DUMMYFUNCTION("""COMPUTED_VALUE"""),82.04)</f>
        <v>82.04</v>
      </c>
      <c r="E6238" s="2">
        <f>IFERROR(__xludf.DUMMYFUNCTION("""COMPUTED_VALUE"""),82.5)</f>
        <v>82.5</v>
      </c>
      <c r="F6238" s="2">
        <f>IFERROR(__xludf.DUMMYFUNCTION("""COMPUTED_VALUE"""),4631200.0)</f>
        <v>4631200</v>
      </c>
    </row>
    <row r="6239">
      <c r="A6239" s="3">
        <f>IFERROR(__xludf.DUMMYFUNCTION("""COMPUTED_VALUE"""),38246.666666666664)</f>
        <v>38246.66667</v>
      </c>
      <c r="B6239" s="2">
        <f>IFERROR(__xludf.DUMMYFUNCTION("""COMPUTED_VALUE"""),82.34)</f>
        <v>82.34</v>
      </c>
      <c r="C6239" s="2">
        <f>IFERROR(__xludf.DUMMYFUNCTION("""COMPUTED_VALUE"""),83.06)</f>
        <v>83.06</v>
      </c>
      <c r="D6239" s="2">
        <f>IFERROR(__xludf.DUMMYFUNCTION("""COMPUTED_VALUE"""),82.08)</f>
        <v>82.08</v>
      </c>
      <c r="E6239" s="2">
        <f>IFERROR(__xludf.DUMMYFUNCTION("""COMPUTED_VALUE"""),82.26)</f>
        <v>82.26</v>
      </c>
      <c r="F6239" s="2">
        <f>IFERROR(__xludf.DUMMYFUNCTION("""COMPUTED_VALUE"""),3623300.0)</f>
        <v>3623300</v>
      </c>
    </row>
    <row r="6240">
      <c r="A6240" s="3">
        <f>IFERROR(__xludf.DUMMYFUNCTION("""COMPUTED_VALUE"""),38247.666666666664)</f>
        <v>38247.66667</v>
      </c>
      <c r="B6240" s="2">
        <f>IFERROR(__xludf.DUMMYFUNCTION("""COMPUTED_VALUE"""),82.53)</f>
        <v>82.53</v>
      </c>
      <c r="C6240" s="2">
        <f>IFERROR(__xludf.DUMMYFUNCTION("""COMPUTED_VALUE"""),82.62)</f>
        <v>82.62</v>
      </c>
      <c r="D6240" s="2">
        <f>IFERROR(__xludf.DUMMYFUNCTION("""COMPUTED_VALUE"""),81.61)</f>
        <v>81.61</v>
      </c>
      <c r="E6240" s="2">
        <f>IFERROR(__xludf.DUMMYFUNCTION("""COMPUTED_VALUE"""),81.9)</f>
        <v>81.9</v>
      </c>
      <c r="F6240" s="2">
        <f>IFERROR(__xludf.DUMMYFUNCTION("""COMPUTED_VALUE"""),6203400.0)</f>
        <v>6203400</v>
      </c>
    </row>
    <row r="6241">
      <c r="A6241" s="3">
        <f>IFERROR(__xludf.DUMMYFUNCTION("""COMPUTED_VALUE"""),38250.666666666664)</f>
        <v>38250.66667</v>
      </c>
      <c r="B6241" s="2">
        <f>IFERROR(__xludf.DUMMYFUNCTION("""COMPUTED_VALUE"""),81.57)</f>
        <v>81.57</v>
      </c>
      <c r="C6241" s="2">
        <f>IFERROR(__xludf.DUMMYFUNCTION("""COMPUTED_VALUE"""),82.55)</f>
        <v>82.55</v>
      </c>
      <c r="D6241" s="2">
        <f>IFERROR(__xludf.DUMMYFUNCTION("""COMPUTED_VALUE"""),81.57)</f>
        <v>81.57</v>
      </c>
      <c r="E6241" s="2">
        <f>IFERROR(__xludf.DUMMYFUNCTION("""COMPUTED_VALUE"""),81.86)</f>
        <v>81.86</v>
      </c>
      <c r="F6241" s="2">
        <f>IFERROR(__xludf.DUMMYFUNCTION("""COMPUTED_VALUE"""),4380400.0)</f>
        <v>4380400</v>
      </c>
    </row>
    <row r="6242">
      <c r="A6242" s="3">
        <f>IFERROR(__xludf.DUMMYFUNCTION("""COMPUTED_VALUE"""),38251.666666666664)</f>
        <v>38251.66667</v>
      </c>
      <c r="B6242" s="2">
        <f>IFERROR(__xludf.DUMMYFUNCTION("""COMPUTED_VALUE"""),81.86)</f>
        <v>81.86</v>
      </c>
      <c r="C6242" s="2">
        <f>IFERROR(__xludf.DUMMYFUNCTION("""COMPUTED_VALUE"""),82.25)</f>
        <v>82.25</v>
      </c>
      <c r="D6242" s="2">
        <f>IFERROR(__xludf.DUMMYFUNCTION("""COMPUTED_VALUE"""),81.51)</f>
        <v>81.51</v>
      </c>
      <c r="E6242" s="2">
        <f>IFERROR(__xludf.DUMMYFUNCTION("""COMPUTED_VALUE"""),81.88)</f>
        <v>81.88</v>
      </c>
      <c r="F6242" s="2">
        <f>IFERROR(__xludf.DUMMYFUNCTION("""COMPUTED_VALUE"""),4049700.0)</f>
        <v>4049700</v>
      </c>
    </row>
    <row r="6243">
      <c r="A6243" s="3">
        <f>IFERROR(__xludf.DUMMYFUNCTION("""COMPUTED_VALUE"""),38252.666666666664)</f>
        <v>38252.66667</v>
      </c>
      <c r="B6243" s="2">
        <f>IFERROR(__xludf.DUMMYFUNCTION("""COMPUTED_VALUE"""),81.52)</f>
        <v>81.52</v>
      </c>
      <c r="C6243" s="2">
        <f>IFERROR(__xludf.DUMMYFUNCTION("""COMPUTED_VALUE"""),81.61)</f>
        <v>81.61</v>
      </c>
      <c r="D6243" s="2">
        <f>IFERROR(__xludf.DUMMYFUNCTION("""COMPUTED_VALUE"""),80.4)</f>
        <v>80.4</v>
      </c>
      <c r="E6243" s="2">
        <f>IFERROR(__xludf.DUMMYFUNCTION("""COMPUTED_VALUE"""),80.53)</f>
        <v>80.53</v>
      </c>
      <c r="F6243" s="2">
        <f>IFERROR(__xludf.DUMMYFUNCTION("""COMPUTED_VALUE"""),5037200.0)</f>
        <v>5037200</v>
      </c>
    </row>
    <row r="6244">
      <c r="A6244" s="3">
        <f>IFERROR(__xludf.DUMMYFUNCTION("""COMPUTED_VALUE"""),38253.666666666664)</f>
        <v>38253.66667</v>
      </c>
      <c r="B6244" s="2">
        <f>IFERROR(__xludf.DUMMYFUNCTION("""COMPUTED_VALUE"""),80.27)</f>
        <v>80.27</v>
      </c>
      <c r="C6244" s="2">
        <f>IFERROR(__xludf.DUMMYFUNCTION("""COMPUTED_VALUE"""),80.49)</f>
        <v>80.49</v>
      </c>
      <c r="D6244" s="2">
        <f>IFERROR(__xludf.DUMMYFUNCTION("""COMPUTED_VALUE"""),79.51)</f>
        <v>79.51</v>
      </c>
      <c r="E6244" s="2">
        <f>IFERROR(__xludf.DUMMYFUNCTION("""COMPUTED_VALUE"""),80.12)</f>
        <v>80.12</v>
      </c>
      <c r="F6244" s="2">
        <f>IFERROR(__xludf.DUMMYFUNCTION("""COMPUTED_VALUE"""),4801200.0)</f>
        <v>4801200</v>
      </c>
    </row>
    <row r="6245">
      <c r="A6245" s="3">
        <f>IFERROR(__xludf.DUMMYFUNCTION("""COMPUTED_VALUE"""),38254.666666666664)</f>
        <v>38254.66667</v>
      </c>
      <c r="B6245" s="2">
        <f>IFERROR(__xludf.DUMMYFUNCTION("""COMPUTED_VALUE"""),80.04)</f>
        <v>80.04</v>
      </c>
      <c r="C6245" s="2">
        <f>IFERROR(__xludf.DUMMYFUNCTION("""COMPUTED_VALUE"""),80.94)</f>
        <v>80.94</v>
      </c>
      <c r="D6245" s="2">
        <f>IFERROR(__xludf.DUMMYFUNCTION("""COMPUTED_VALUE"""),80.02)</f>
        <v>80.02</v>
      </c>
      <c r="E6245" s="2">
        <f>IFERROR(__xludf.DUMMYFUNCTION("""COMPUTED_VALUE"""),80.64)</f>
        <v>80.64</v>
      </c>
      <c r="F6245" s="2">
        <f>IFERROR(__xludf.DUMMYFUNCTION("""COMPUTED_VALUE"""),4899700.0)</f>
        <v>4899700</v>
      </c>
    </row>
    <row r="6246">
      <c r="A6246" s="3">
        <f>IFERROR(__xludf.DUMMYFUNCTION("""COMPUTED_VALUE"""),38257.666666666664)</f>
        <v>38257.66667</v>
      </c>
      <c r="B6246" s="2">
        <f>IFERROR(__xludf.DUMMYFUNCTION("""COMPUTED_VALUE"""),80.33)</f>
        <v>80.33</v>
      </c>
      <c r="C6246" s="2">
        <f>IFERROR(__xludf.DUMMYFUNCTION("""COMPUTED_VALUE"""),80.65)</f>
        <v>80.65</v>
      </c>
      <c r="D6246" s="2">
        <f>IFERROR(__xludf.DUMMYFUNCTION("""COMPUTED_VALUE"""),80.21)</f>
        <v>80.21</v>
      </c>
      <c r="E6246" s="2">
        <f>IFERROR(__xludf.DUMMYFUNCTION("""COMPUTED_VALUE"""),80.39)</f>
        <v>80.39</v>
      </c>
      <c r="F6246" s="2">
        <f>IFERROR(__xludf.DUMMYFUNCTION("""COMPUTED_VALUE"""),4650300.0)</f>
        <v>4650300</v>
      </c>
    </row>
    <row r="6247">
      <c r="A6247" s="3">
        <f>IFERROR(__xludf.DUMMYFUNCTION("""COMPUTED_VALUE"""),38258.666666666664)</f>
        <v>38258.66667</v>
      </c>
      <c r="B6247" s="2">
        <f>IFERROR(__xludf.DUMMYFUNCTION("""COMPUTED_VALUE"""),80.57)</f>
        <v>80.57</v>
      </c>
      <c r="C6247" s="2">
        <f>IFERROR(__xludf.DUMMYFUNCTION("""COMPUTED_VALUE"""),80.85)</f>
        <v>80.85</v>
      </c>
      <c r="D6247" s="2">
        <f>IFERROR(__xludf.DUMMYFUNCTION("""COMPUTED_VALUE"""),80.12)</f>
        <v>80.12</v>
      </c>
      <c r="E6247" s="2">
        <f>IFERROR(__xludf.DUMMYFUNCTION("""COMPUTED_VALUE"""),80.69)</f>
        <v>80.69</v>
      </c>
      <c r="F6247" s="2">
        <f>IFERROR(__xludf.DUMMYFUNCTION("""COMPUTED_VALUE"""),3874200.0)</f>
        <v>3874200</v>
      </c>
    </row>
    <row r="6248">
      <c r="A6248" s="3">
        <f>IFERROR(__xludf.DUMMYFUNCTION("""COMPUTED_VALUE"""),38259.666666666664)</f>
        <v>38259.66667</v>
      </c>
      <c r="B6248" s="2">
        <f>IFERROR(__xludf.DUMMYFUNCTION("""COMPUTED_VALUE"""),80.69)</f>
        <v>80.69</v>
      </c>
      <c r="C6248" s="2">
        <f>IFERROR(__xludf.DUMMYFUNCTION("""COMPUTED_VALUE"""),81.17)</f>
        <v>81.17</v>
      </c>
      <c r="D6248" s="2">
        <f>IFERROR(__xludf.DUMMYFUNCTION("""COMPUTED_VALUE"""),80.38)</f>
        <v>80.38</v>
      </c>
      <c r="E6248" s="2">
        <f>IFERROR(__xludf.DUMMYFUNCTION("""COMPUTED_VALUE"""),81.17)</f>
        <v>81.17</v>
      </c>
      <c r="F6248" s="2">
        <f>IFERROR(__xludf.DUMMYFUNCTION("""COMPUTED_VALUE"""),4204600.0)</f>
        <v>4204600</v>
      </c>
    </row>
    <row r="6249">
      <c r="A6249" s="3">
        <f>IFERROR(__xludf.DUMMYFUNCTION("""COMPUTED_VALUE"""),38260.666666666664)</f>
        <v>38260.66667</v>
      </c>
      <c r="B6249" s="2">
        <f>IFERROR(__xludf.DUMMYFUNCTION("""COMPUTED_VALUE"""),81.32)</f>
        <v>81.32</v>
      </c>
      <c r="C6249" s="2">
        <f>IFERROR(__xludf.DUMMYFUNCTION("""COMPUTED_VALUE"""),82.13)</f>
        <v>82.13</v>
      </c>
      <c r="D6249" s="2">
        <f>IFERROR(__xludf.DUMMYFUNCTION("""COMPUTED_VALUE"""),81.2)</f>
        <v>81.2</v>
      </c>
      <c r="E6249" s="2">
        <f>IFERROR(__xludf.DUMMYFUNCTION("""COMPUTED_VALUE"""),81.9)</f>
        <v>81.9</v>
      </c>
      <c r="F6249" s="2">
        <f>IFERROR(__xludf.DUMMYFUNCTION("""COMPUTED_VALUE"""),5198000.0)</f>
        <v>5198000</v>
      </c>
    </row>
    <row r="6250">
      <c r="A6250" s="3">
        <f>IFERROR(__xludf.DUMMYFUNCTION("""COMPUTED_VALUE"""),38261.666666666664)</f>
        <v>38261.66667</v>
      </c>
      <c r="B6250" s="2">
        <f>IFERROR(__xludf.DUMMYFUNCTION("""COMPUTED_VALUE"""),82.1)</f>
        <v>82.1</v>
      </c>
      <c r="C6250" s="2">
        <f>IFERROR(__xludf.DUMMYFUNCTION("""COMPUTED_VALUE"""),83.08)</f>
        <v>83.08</v>
      </c>
      <c r="D6250" s="2">
        <f>IFERROR(__xludf.DUMMYFUNCTION("""COMPUTED_VALUE"""),82.03)</f>
        <v>82.03</v>
      </c>
      <c r="E6250" s="2">
        <f>IFERROR(__xludf.DUMMYFUNCTION("""COMPUTED_VALUE"""),82.83)</f>
        <v>82.83</v>
      </c>
      <c r="F6250" s="2">
        <f>IFERROR(__xludf.DUMMYFUNCTION("""COMPUTED_VALUE"""),4542800.0)</f>
        <v>4542800</v>
      </c>
    </row>
    <row r="6251">
      <c r="A6251" s="3">
        <f>IFERROR(__xludf.DUMMYFUNCTION("""COMPUTED_VALUE"""),38264.666666666664)</f>
        <v>38264.66667</v>
      </c>
      <c r="B6251" s="2">
        <f>IFERROR(__xludf.DUMMYFUNCTION("""COMPUTED_VALUE"""),83.1)</f>
        <v>83.1</v>
      </c>
      <c r="C6251" s="2">
        <f>IFERROR(__xludf.DUMMYFUNCTION("""COMPUTED_VALUE"""),84.15)</f>
        <v>84.15</v>
      </c>
      <c r="D6251" s="2">
        <f>IFERROR(__xludf.DUMMYFUNCTION("""COMPUTED_VALUE"""),82.83)</f>
        <v>82.83</v>
      </c>
      <c r="E6251" s="2">
        <f>IFERROR(__xludf.DUMMYFUNCTION("""COMPUTED_VALUE"""),83.25)</f>
        <v>83.25</v>
      </c>
      <c r="F6251" s="2">
        <f>IFERROR(__xludf.DUMMYFUNCTION("""COMPUTED_VALUE"""),5001400.0)</f>
        <v>5001400</v>
      </c>
    </row>
    <row r="6252">
      <c r="A6252" s="3">
        <f>IFERROR(__xludf.DUMMYFUNCTION("""COMPUTED_VALUE"""),38265.666666666664)</f>
        <v>38265.66667</v>
      </c>
      <c r="B6252" s="2">
        <f>IFERROR(__xludf.DUMMYFUNCTION("""COMPUTED_VALUE"""),84.01)</f>
        <v>84.01</v>
      </c>
      <c r="C6252" s="2">
        <f>IFERROR(__xludf.DUMMYFUNCTION("""COMPUTED_VALUE"""),84.08)</f>
        <v>84.08</v>
      </c>
      <c r="D6252" s="2">
        <f>IFERROR(__xludf.DUMMYFUNCTION("""COMPUTED_VALUE"""),83.22)</f>
        <v>83.22</v>
      </c>
      <c r="E6252" s="2">
        <f>IFERROR(__xludf.DUMMYFUNCTION("""COMPUTED_VALUE"""),83.4)</f>
        <v>83.4</v>
      </c>
      <c r="F6252" s="2">
        <f>IFERROR(__xludf.DUMMYFUNCTION("""COMPUTED_VALUE"""),5150800.0)</f>
        <v>5150800</v>
      </c>
    </row>
    <row r="6253">
      <c r="A6253" s="3">
        <f>IFERROR(__xludf.DUMMYFUNCTION("""COMPUTED_VALUE"""),38266.666666666664)</f>
        <v>38266.66667</v>
      </c>
      <c r="B6253" s="2">
        <f>IFERROR(__xludf.DUMMYFUNCTION("""COMPUTED_VALUE"""),83.23)</f>
        <v>83.23</v>
      </c>
      <c r="C6253" s="2">
        <f>IFERROR(__xludf.DUMMYFUNCTION("""COMPUTED_VALUE"""),84.15)</f>
        <v>84.15</v>
      </c>
      <c r="D6253" s="2">
        <f>IFERROR(__xludf.DUMMYFUNCTION("""COMPUTED_VALUE"""),83.19)</f>
        <v>83.19</v>
      </c>
      <c r="E6253" s="2">
        <f>IFERROR(__xludf.DUMMYFUNCTION("""COMPUTED_VALUE"""),84.09)</f>
        <v>84.09</v>
      </c>
      <c r="F6253" s="2">
        <f>IFERROR(__xludf.DUMMYFUNCTION("""COMPUTED_VALUE"""),3984400.0)</f>
        <v>3984400</v>
      </c>
    </row>
    <row r="6254">
      <c r="A6254" s="3">
        <f>IFERROR(__xludf.DUMMYFUNCTION("""COMPUTED_VALUE"""),38267.666666666664)</f>
        <v>38267.66667</v>
      </c>
      <c r="B6254" s="2">
        <f>IFERROR(__xludf.DUMMYFUNCTION("""COMPUTED_VALUE"""),84.09)</f>
        <v>84.09</v>
      </c>
      <c r="C6254" s="2">
        <f>IFERROR(__xludf.DUMMYFUNCTION("""COMPUTED_VALUE"""),84.15)</f>
        <v>84.15</v>
      </c>
      <c r="D6254" s="2">
        <f>IFERROR(__xludf.DUMMYFUNCTION("""COMPUTED_VALUE"""),83.48)</f>
        <v>83.48</v>
      </c>
      <c r="E6254" s="2">
        <f>IFERROR(__xludf.DUMMYFUNCTION("""COMPUTED_VALUE"""),83.5)</f>
        <v>83.5</v>
      </c>
      <c r="F6254" s="2">
        <f>IFERROR(__xludf.DUMMYFUNCTION("""COMPUTED_VALUE"""),3076900.0)</f>
        <v>3076900</v>
      </c>
    </row>
    <row r="6255">
      <c r="A6255" s="3">
        <f>IFERROR(__xludf.DUMMYFUNCTION("""COMPUTED_VALUE"""),38268.666666666664)</f>
        <v>38268.66667</v>
      </c>
      <c r="B6255" s="2">
        <f>IFERROR(__xludf.DUMMYFUNCTION("""COMPUTED_VALUE"""),83.51)</f>
        <v>83.51</v>
      </c>
      <c r="C6255" s="2">
        <f>IFERROR(__xludf.DUMMYFUNCTION("""COMPUTED_VALUE"""),83.97)</f>
        <v>83.97</v>
      </c>
      <c r="D6255" s="2">
        <f>IFERROR(__xludf.DUMMYFUNCTION("""COMPUTED_VALUE"""),82.63)</f>
        <v>82.63</v>
      </c>
      <c r="E6255" s="2">
        <f>IFERROR(__xludf.DUMMYFUNCTION("""COMPUTED_VALUE"""),82.82)</f>
        <v>82.82</v>
      </c>
      <c r="F6255" s="2">
        <f>IFERROR(__xludf.DUMMYFUNCTION("""COMPUTED_VALUE"""),4090300.0)</f>
        <v>4090300</v>
      </c>
    </row>
    <row r="6256">
      <c r="A6256" s="3">
        <f>IFERROR(__xludf.DUMMYFUNCTION("""COMPUTED_VALUE"""),38271.666666666664)</f>
        <v>38271.66667</v>
      </c>
      <c r="B6256" s="2">
        <f>IFERROR(__xludf.DUMMYFUNCTION("""COMPUTED_VALUE"""),82.88)</f>
        <v>82.88</v>
      </c>
      <c r="C6256" s="2">
        <f>IFERROR(__xludf.DUMMYFUNCTION("""COMPUTED_VALUE"""),83.29)</f>
        <v>83.29</v>
      </c>
      <c r="D6256" s="2">
        <f>IFERROR(__xludf.DUMMYFUNCTION("""COMPUTED_VALUE"""),82.4)</f>
        <v>82.4</v>
      </c>
      <c r="E6256" s="2">
        <f>IFERROR(__xludf.DUMMYFUNCTION("""COMPUTED_VALUE"""),82.75)</f>
        <v>82.75</v>
      </c>
      <c r="F6256" s="2">
        <f>IFERROR(__xludf.DUMMYFUNCTION("""COMPUTED_VALUE"""),3016300.0)</f>
        <v>3016300</v>
      </c>
    </row>
    <row r="6257">
      <c r="A6257" s="3">
        <f>IFERROR(__xludf.DUMMYFUNCTION("""COMPUTED_VALUE"""),38272.666666666664)</f>
        <v>38272.66667</v>
      </c>
      <c r="B6257" s="2">
        <f>IFERROR(__xludf.DUMMYFUNCTION("""COMPUTED_VALUE"""),82.16)</f>
        <v>82.16</v>
      </c>
      <c r="C6257" s="2">
        <f>IFERROR(__xludf.DUMMYFUNCTION("""COMPUTED_VALUE"""),82.34)</f>
        <v>82.34</v>
      </c>
      <c r="D6257" s="2">
        <f>IFERROR(__xludf.DUMMYFUNCTION("""COMPUTED_VALUE"""),81.74)</f>
        <v>81.74</v>
      </c>
      <c r="E6257" s="2">
        <f>IFERROR(__xludf.DUMMYFUNCTION("""COMPUTED_VALUE"""),82.14)</f>
        <v>82.14</v>
      </c>
      <c r="F6257" s="2">
        <f>IFERROR(__xludf.DUMMYFUNCTION("""COMPUTED_VALUE"""),4627300.0)</f>
        <v>4627300</v>
      </c>
    </row>
    <row r="6258">
      <c r="A6258" s="3">
        <f>IFERROR(__xludf.DUMMYFUNCTION("""COMPUTED_VALUE"""),38273.666666666664)</f>
        <v>38273.66667</v>
      </c>
      <c r="B6258" s="2">
        <f>IFERROR(__xludf.DUMMYFUNCTION("""COMPUTED_VALUE"""),82.39)</f>
        <v>82.39</v>
      </c>
      <c r="C6258" s="2">
        <f>IFERROR(__xludf.DUMMYFUNCTION("""COMPUTED_VALUE"""),82.6)</f>
        <v>82.6</v>
      </c>
      <c r="D6258" s="2">
        <f>IFERROR(__xludf.DUMMYFUNCTION("""COMPUTED_VALUE"""),80.64)</f>
        <v>80.64</v>
      </c>
      <c r="E6258" s="2">
        <f>IFERROR(__xludf.DUMMYFUNCTION("""COMPUTED_VALUE"""),81.17)</f>
        <v>81.17</v>
      </c>
      <c r="F6258" s="2">
        <f>IFERROR(__xludf.DUMMYFUNCTION("""COMPUTED_VALUE"""),6665200.0)</f>
        <v>6665200</v>
      </c>
    </row>
    <row r="6259">
      <c r="A6259" s="3">
        <f>IFERROR(__xludf.DUMMYFUNCTION("""COMPUTED_VALUE"""),38274.666666666664)</f>
        <v>38274.66667</v>
      </c>
      <c r="B6259" s="2">
        <f>IFERROR(__xludf.DUMMYFUNCTION("""COMPUTED_VALUE"""),80.95)</f>
        <v>80.95</v>
      </c>
      <c r="C6259" s="2">
        <f>IFERROR(__xludf.DUMMYFUNCTION("""COMPUTED_VALUE"""),81.17)</f>
        <v>81.17</v>
      </c>
      <c r="D6259" s="2">
        <f>IFERROR(__xludf.DUMMYFUNCTION("""COMPUTED_VALUE"""),80.52)</f>
        <v>80.52</v>
      </c>
      <c r="E6259" s="2">
        <f>IFERROR(__xludf.DUMMYFUNCTION("""COMPUTED_VALUE"""),80.98)</f>
        <v>80.98</v>
      </c>
      <c r="F6259" s="2">
        <f>IFERROR(__xludf.DUMMYFUNCTION("""COMPUTED_VALUE"""),4233700.0)</f>
        <v>4233700</v>
      </c>
    </row>
    <row r="6260">
      <c r="A6260" s="3">
        <f>IFERROR(__xludf.DUMMYFUNCTION("""COMPUTED_VALUE"""),38275.666666666664)</f>
        <v>38275.66667</v>
      </c>
      <c r="B6260" s="2">
        <f>IFERROR(__xludf.DUMMYFUNCTION("""COMPUTED_VALUE"""),80.98)</f>
        <v>80.98</v>
      </c>
      <c r="C6260" s="2">
        <f>IFERROR(__xludf.DUMMYFUNCTION("""COMPUTED_VALUE"""),81.43)</f>
        <v>81.43</v>
      </c>
      <c r="D6260" s="2">
        <f>IFERROR(__xludf.DUMMYFUNCTION("""COMPUTED_VALUE"""),80.81)</f>
        <v>80.81</v>
      </c>
      <c r="E6260" s="2">
        <f>IFERROR(__xludf.DUMMYFUNCTION("""COMPUTED_VALUE"""),81.05)</f>
        <v>81.05</v>
      </c>
      <c r="F6260" s="2">
        <f>IFERROR(__xludf.DUMMYFUNCTION("""COMPUTED_VALUE"""),5928500.0)</f>
        <v>5928500</v>
      </c>
    </row>
    <row r="6261">
      <c r="A6261" s="3">
        <f>IFERROR(__xludf.DUMMYFUNCTION("""COMPUTED_VALUE"""),38278.666666666664)</f>
        <v>38278.66667</v>
      </c>
      <c r="B6261" s="2">
        <f>IFERROR(__xludf.DUMMYFUNCTION("""COMPUTED_VALUE"""),80.52)</f>
        <v>80.52</v>
      </c>
      <c r="C6261" s="2">
        <f>IFERROR(__xludf.DUMMYFUNCTION("""COMPUTED_VALUE"""),82.29)</f>
        <v>82.29</v>
      </c>
      <c r="D6261" s="2">
        <f>IFERROR(__xludf.DUMMYFUNCTION("""COMPUTED_VALUE"""),80.51)</f>
        <v>80.51</v>
      </c>
      <c r="E6261" s="2">
        <f>IFERROR(__xludf.DUMMYFUNCTION("""COMPUTED_VALUE"""),82.07)</f>
        <v>82.07</v>
      </c>
      <c r="F6261" s="2">
        <f>IFERROR(__xludf.DUMMYFUNCTION("""COMPUTED_VALUE"""),7280800.0)</f>
        <v>7280800</v>
      </c>
    </row>
    <row r="6262">
      <c r="A6262" s="3">
        <f>IFERROR(__xludf.DUMMYFUNCTION("""COMPUTED_VALUE"""),38279.666666666664)</f>
        <v>38279.66667</v>
      </c>
      <c r="B6262" s="2">
        <f>IFERROR(__xludf.DUMMYFUNCTION("""COMPUTED_VALUE"""),84.48)</f>
        <v>84.48</v>
      </c>
      <c r="C6262" s="2">
        <f>IFERROR(__xludf.DUMMYFUNCTION("""COMPUTED_VALUE"""),85.71)</f>
        <v>85.71</v>
      </c>
      <c r="D6262" s="2">
        <f>IFERROR(__xludf.DUMMYFUNCTION("""COMPUTED_VALUE"""),84.05)</f>
        <v>84.05</v>
      </c>
      <c r="E6262" s="2">
        <f>IFERROR(__xludf.DUMMYFUNCTION("""COMPUTED_VALUE"""),85.36)</f>
        <v>85.36</v>
      </c>
      <c r="F6262" s="2">
        <f>IFERROR(__xludf.DUMMYFUNCTION("""COMPUTED_VALUE"""),1.38249E7)</f>
        <v>13824900</v>
      </c>
    </row>
    <row r="6263">
      <c r="A6263" s="3">
        <f>IFERROR(__xludf.DUMMYFUNCTION("""COMPUTED_VALUE"""),38280.666666666664)</f>
        <v>38280.66667</v>
      </c>
      <c r="B6263" s="2">
        <f>IFERROR(__xludf.DUMMYFUNCTION("""COMPUTED_VALUE"""),84.48)</f>
        <v>84.48</v>
      </c>
      <c r="C6263" s="2">
        <f>IFERROR(__xludf.DUMMYFUNCTION("""COMPUTED_VALUE"""),85.19)</f>
        <v>85.19</v>
      </c>
      <c r="D6263" s="2">
        <f>IFERROR(__xludf.DUMMYFUNCTION("""COMPUTED_VALUE"""),84.33)</f>
        <v>84.33</v>
      </c>
      <c r="E6263" s="2">
        <f>IFERROR(__xludf.DUMMYFUNCTION("""COMPUTED_VALUE"""),84.84)</f>
        <v>84.84</v>
      </c>
      <c r="F6263" s="2">
        <f>IFERROR(__xludf.DUMMYFUNCTION("""COMPUTED_VALUE"""),7079800.0)</f>
        <v>7079800</v>
      </c>
    </row>
    <row r="6264">
      <c r="A6264" s="3">
        <f>IFERROR(__xludf.DUMMYFUNCTION("""COMPUTED_VALUE"""),38281.666666666664)</f>
        <v>38281.66667</v>
      </c>
      <c r="B6264" s="2">
        <f>IFERROR(__xludf.DUMMYFUNCTION("""COMPUTED_VALUE"""),84.44)</f>
        <v>84.44</v>
      </c>
      <c r="C6264" s="2">
        <f>IFERROR(__xludf.DUMMYFUNCTION("""COMPUTED_VALUE"""),84.78)</f>
        <v>84.78</v>
      </c>
      <c r="D6264" s="2">
        <f>IFERROR(__xludf.DUMMYFUNCTION("""COMPUTED_VALUE"""),83.73)</f>
        <v>83.73</v>
      </c>
      <c r="E6264" s="2">
        <f>IFERROR(__xludf.DUMMYFUNCTION("""COMPUTED_VALUE"""),84.15)</f>
        <v>84.15</v>
      </c>
      <c r="F6264" s="2">
        <f>IFERROR(__xludf.DUMMYFUNCTION("""COMPUTED_VALUE"""),6272100.0)</f>
        <v>6272100</v>
      </c>
    </row>
    <row r="6265">
      <c r="A6265" s="3">
        <f>IFERROR(__xludf.DUMMYFUNCTION("""COMPUTED_VALUE"""),38282.666666666664)</f>
        <v>38282.66667</v>
      </c>
      <c r="B6265" s="2">
        <f>IFERROR(__xludf.DUMMYFUNCTION("""COMPUTED_VALUE"""),84.26)</f>
        <v>84.26</v>
      </c>
      <c r="C6265" s="2">
        <f>IFERROR(__xludf.DUMMYFUNCTION("""COMPUTED_VALUE"""),84.48)</f>
        <v>84.48</v>
      </c>
      <c r="D6265" s="2">
        <f>IFERROR(__xludf.DUMMYFUNCTION("""COMPUTED_VALUE"""),83.38)</f>
        <v>83.38</v>
      </c>
      <c r="E6265" s="2">
        <f>IFERROR(__xludf.DUMMYFUNCTION("""COMPUTED_VALUE"""),83.47)</f>
        <v>83.47</v>
      </c>
      <c r="F6265" s="2">
        <f>IFERROR(__xludf.DUMMYFUNCTION("""COMPUTED_VALUE"""),5998900.0)</f>
        <v>5998900</v>
      </c>
    </row>
    <row r="6266">
      <c r="A6266" s="3">
        <f>IFERROR(__xludf.DUMMYFUNCTION("""COMPUTED_VALUE"""),38285.666666666664)</f>
        <v>38285.66667</v>
      </c>
      <c r="B6266" s="2">
        <f>IFERROR(__xludf.DUMMYFUNCTION("""COMPUTED_VALUE"""),83.44)</f>
        <v>83.44</v>
      </c>
      <c r="C6266" s="2">
        <f>IFERROR(__xludf.DUMMYFUNCTION("""COMPUTED_VALUE"""),84.91)</f>
        <v>84.91</v>
      </c>
      <c r="D6266" s="2">
        <f>IFERROR(__xludf.DUMMYFUNCTION("""COMPUTED_VALUE"""),83.4)</f>
        <v>83.4</v>
      </c>
      <c r="E6266" s="2">
        <f>IFERROR(__xludf.DUMMYFUNCTION("""COMPUTED_VALUE"""),84.47)</f>
        <v>84.47</v>
      </c>
      <c r="F6266" s="2">
        <f>IFERROR(__xludf.DUMMYFUNCTION("""COMPUTED_VALUE"""),5775000.0)</f>
        <v>5775000</v>
      </c>
    </row>
    <row r="6267">
      <c r="A6267" s="3">
        <f>IFERROR(__xludf.DUMMYFUNCTION("""COMPUTED_VALUE"""),38286.666666666664)</f>
        <v>38286.66667</v>
      </c>
      <c r="B6267" s="2">
        <f>IFERROR(__xludf.DUMMYFUNCTION("""COMPUTED_VALUE"""),84.37)</f>
        <v>84.37</v>
      </c>
      <c r="C6267" s="2">
        <f>IFERROR(__xludf.DUMMYFUNCTION("""COMPUTED_VALUE"""),85.55)</f>
        <v>85.55</v>
      </c>
      <c r="D6267" s="2">
        <f>IFERROR(__xludf.DUMMYFUNCTION("""COMPUTED_VALUE"""),84.29)</f>
        <v>84.29</v>
      </c>
      <c r="E6267" s="2">
        <f>IFERROR(__xludf.DUMMYFUNCTION("""COMPUTED_VALUE"""),85.01)</f>
        <v>85.01</v>
      </c>
      <c r="F6267" s="2">
        <f>IFERROR(__xludf.DUMMYFUNCTION("""COMPUTED_VALUE"""),7337600.0)</f>
        <v>7337600</v>
      </c>
    </row>
    <row r="6268">
      <c r="A6268" s="3">
        <f>IFERROR(__xludf.DUMMYFUNCTION("""COMPUTED_VALUE"""),38287.666666666664)</f>
        <v>38287.66667</v>
      </c>
      <c r="B6268" s="2">
        <f>IFERROR(__xludf.DUMMYFUNCTION("""COMPUTED_VALUE"""),84.61)</f>
        <v>84.61</v>
      </c>
      <c r="C6268" s="2">
        <f>IFERROR(__xludf.DUMMYFUNCTION("""COMPUTED_VALUE"""),86.22)</f>
        <v>86.22</v>
      </c>
      <c r="D6268" s="2">
        <f>IFERROR(__xludf.DUMMYFUNCTION("""COMPUTED_VALUE"""),84.53)</f>
        <v>84.53</v>
      </c>
      <c r="E6268" s="2">
        <f>IFERROR(__xludf.DUMMYFUNCTION("""COMPUTED_VALUE"""),85.96)</f>
        <v>85.96</v>
      </c>
      <c r="F6268" s="2">
        <f>IFERROR(__xludf.DUMMYFUNCTION("""COMPUTED_VALUE"""),6035100.0)</f>
        <v>6035100</v>
      </c>
    </row>
    <row r="6269">
      <c r="A6269" s="3">
        <f>IFERROR(__xludf.DUMMYFUNCTION("""COMPUTED_VALUE"""),38288.666666666664)</f>
        <v>38288.66667</v>
      </c>
      <c r="B6269" s="2">
        <f>IFERROR(__xludf.DUMMYFUNCTION("""COMPUTED_VALUE"""),85.77)</f>
        <v>85.77</v>
      </c>
      <c r="C6269" s="2">
        <f>IFERROR(__xludf.DUMMYFUNCTION("""COMPUTED_VALUE"""),86.19)</f>
        <v>86.19</v>
      </c>
      <c r="D6269" s="2">
        <f>IFERROR(__xludf.DUMMYFUNCTION("""COMPUTED_VALUE"""),85.42)</f>
        <v>85.42</v>
      </c>
      <c r="E6269" s="2">
        <f>IFERROR(__xludf.DUMMYFUNCTION("""COMPUTED_VALUE"""),85.49)</f>
        <v>85.49</v>
      </c>
      <c r="F6269" s="2">
        <f>IFERROR(__xludf.DUMMYFUNCTION("""COMPUTED_VALUE"""),4226500.0)</f>
        <v>4226500</v>
      </c>
    </row>
    <row r="6270">
      <c r="A6270" s="3">
        <f>IFERROR(__xludf.DUMMYFUNCTION("""COMPUTED_VALUE"""),38289.666666666664)</f>
        <v>38289.66667</v>
      </c>
      <c r="B6270" s="2">
        <f>IFERROR(__xludf.DUMMYFUNCTION("""COMPUTED_VALUE"""),85.39)</f>
        <v>85.39</v>
      </c>
      <c r="C6270" s="2">
        <f>IFERROR(__xludf.DUMMYFUNCTION("""COMPUTED_VALUE"""),85.87)</f>
        <v>85.87</v>
      </c>
      <c r="D6270" s="2">
        <f>IFERROR(__xludf.DUMMYFUNCTION("""COMPUTED_VALUE"""),84.96)</f>
        <v>84.96</v>
      </c>
      <c r="E6270" s="2">
        <f>IFERROR(__xludf.DUMMYFUNCTION("""COMPUTED_VALUE"""),85.73)</f>
        <v>85.73</v>
      </c>
      <c r="F6270" s="2">
        <f>IFERROR(__xludf.DUMMYFUNCTION("""COMPUTED_VALUE"""),4518500.0)</f>
        <v>4518500</v>
      </c>
    </row>
    <row r="6271">
      <c r="A6271" s="3">
        <f>IFERROR(__xludf.DUMMYFUNCTION("""COMPUTED_VALUE"""),38292.666666666664)</f>
        <v>38292.66667</v>
      </c>
      <c r="B6271" s="2">
        <f>IFERROR(__xludf.DUMMYFUNCTION("""COMPUTED_VALUE"""),85.32)</f>
        <v>85.32</v>
      </c>
      <c r="C6271" s="2">
        <f>IFERROR(__xludf.DUMMYFUNCTION("""COMPUTED_VALUE"""),86.54)</f>
        <v>86.54</v>
      </c>
      <c r="D6271" s="2">
        <f>IFERROR(__xludf.DUMMYFUNCTION("""COMPUTED_VALUE"""),85.23)</f>
        <v>85.23</v>
      </c>
      <c r="E6271" s="2">
        <f>IFERROR(__xludf.DUMMYFUNCTION("""COMPUTED_VALUE"""),86.07)</f>
        <v>86.07</v>
      </c>
      <c r="F6271" s="2">
        <f>IFERROR(__xludf.DUMMYFUNCTION("""COMPUTED_VALUE"""),5160900.0)</f>
        <v>5160900</v>
      </c>
    </row>
    <row r="6272">
      <c r="A6272" s="3">
        <f>IFERROR(__xludf.DUMMYFUNCTION("""COMPUTED_VALUE"""),38293.666666666664)</f>
        <v>38293.66667</v>
      </c>
      <c r="B6272" s="2">
        <f>IFERROR(__xludf.DUMMYFUNCTION("""COMPUTED_VALUE"""),85.49)</f>
        <v>85.49</v>
      </c>
      <c r="C6272" s="2">
        <f>IFERROR(__xludf.DUMMYFUNCTION("""COMPUTED_VALUE"""),87.13)</f>
        <v>87.13</v>
      </c>
      <c r="D6272" s="2">
        <f>IFERROR(__xludf.DUMMYFUNCTION("""COMPUTED_VALUE"""),85.49)</f>
        <v>85.49</v>
      </c>
      <c r="E6272" s="2">
        <f>IFERROR(__xludf.DUMMYFUNCTION("""COMPUTED_VALUE"""),86.41)</f>
        <v>86.41</v>
      </c>
      <c r="F6272" s="2">
        <f>IFERROR(__xludf.DUMMYFUNCTION("""COMPUTED_VALUE"""),5391400.0)</f>
        <v>5391400</v>
      </c>
    </row>
    <row r="6273">
      <c r="A6273" s="3">
        <f>IFERROR(__xludf.DUMMYFUNCTION("""COMPUTED_VALUE"""),38294.666666666664)</f>
        <v>38294.66667</v>
      </c>
      <c r="B6273" s="2">
        <f>IFERROR(__xludf.DUMMYFUNCTION("""COMPUTED_VALUE"""),87.16)</f>
        <v>87.16</v>
      </c>
      <c r="C6273" s="2">
        <f>IFERROR(__xludf.DUMMYFUNCTION("""COMPUTED_VALUE"""),87.78)</f>
        <v>87.78</v>
      </c>
      <c r="D6273" s="2">
        <f>IFERROR(__xludf.DUMMYFUNCTION("""COMPUTED_VALUE"""),86.89)</f>
        <v>86.89</v>
      </c>
      <c r="E6273" s="2">
        <f>IFERROR(__xludf.DUMMYFUNCTION("""COMPUTED_VALUE"""),87.11)</f>
        <v>87.11</v>
      </c>
      <c r="F6273" s="2">
        <f>IFERROR(__xludf.DUMMYFUNCTION("""COMPUTED_VALUE"""),6553400.0)</f>
        <v>6553400</v>
      </c>
    </row>
    <row r="6274">
      <c r="A6274" s="3">
        <f>IFERROR(__xludf.DUMMYFUNCTION("""COMPUTED_VALUE"""),38295.666666666664)</f>
        <v>38295.66667</v>
      </c>
      <c r="B6274" s="2">
        <f>IFERROR(__xludf.DUMMYFUNCTION("""COMPUTED_VALUE"""),86.97)</f>
        <v>86.97</v>
      </c>
      <c r="C6274" s="2">
        <f>IFERROR(__xludf.DUMMYFUNCTION("""COMPUTED_VALUE"""),88.54)</f>
        <v>88.54</v>
      </c>
      <c r="D6274" s="2">
        <f>IFERROR(__xludf.DUMMYFUNCTION("""COMPUTED_VALUE"""),86.75)</f>
        <v>86.75</v>
      </c>
      <c r="E6274" s="2">
        <f>IFERROR(__xludf.DUMMYFUNCTION("""COMPUTED_VALUE"""),88.24)</f>
        <v>88.24</v>
      </c>
      <c r="F6274" s="2">
        <f>IFERROR(__xludf.DUMMYFUNCTION("""COMPUTED_VALUE"""),6952100.0)</f>
        <v>6952100</v>
      </c>
    </row>
    <row r="6275">
      <c r="A6275" s="3">
        <f>IFERROR(__xludf.DUMMYFUNCTION("""COMPUTED_VALUE"""),38296.666666666664)</f>
        <v>38296.66667</v>
      </c>
      <c r="B6275" s="2">
        <f>IFERROR(__xludf.DUMMYFUNCTION("""COMPUTED_VALUE"""),88.26)</f>
        <v>88.26</v>
      </c>
      <c r="C6275" s="2">
        <f>IFERROR(__xludf.DUMMYFUNCTION("""COMPUTED_VALUE"""),89.33)</f>
        <v>89.33</v>
      </c>
      <c r="D6275" s="2">
        <f>IFERROR(__xludf.DUMMYFUNCTION("""COMPUTED_VALUE"""),88.26)</f>
        <v>88.26</v>
      </c>
      <c r="E6275" s="2">
        <f>IFERROR(__xludf.DUMMYFUNCTION("""COMPUTED_VALUE"""),89.1)</f>
        <v>89.1</v>
      </c>
      <c r="F6275" s="2">
        <f>IFERROR(__xludf.DUMMYFUNCTION("""COMPUTED_VALUE"""),6708500.0)</f>
        <v>6708500</v>
      </c>
    </row>
    <row r="6276">
      <c r="A6276" s="3">
        <f>IFERROR(__xludf.DUMMYFUNCTION("""COMPUTED_VALUE"""),38299.666666666664)</f>
        <v>38299.66667</v>
      </c>
      <c r="B6276" s="2">
        <f>IFERROR(__xludf.DUMMYFUNCTION("""COMPUTED_VALUE"""),88.35)</f>
        <v>88.35</v>
      </c>
      <c r="C6276" s="2">
        <f>IFERROR(__xludf.DUMMYFUNCTION("""COMPUTED_VALUE"""),89.5)</f>
        <v>89.5</v>
      </c>
      <c r="D6276" s="2">
        <f>IFERROR(__xludf.DUMMYFUNCTION("""COMPUTED_VALUE"""),88.35)</f>
        <v>88.35</v>
      </c>
      <c r="E6276" s="2">
        <f>IFERROR(__xludf.DUMMYFUNCTION("""COMPUTED_VALUE"""),89.18)</f>
        <v>89.18</v>
      </c>
      <c r="F6276" s="2">
        <f>IFERROR(__xludf.DUMMYFUNCTION("""COMPUTED_VALUE"""),4755800.0)</f>
        <v>4755800</v>
      </c>
    </row>
    <row r="6277">
      <c r="A6277" s="3">
        <f>IFERROR(__xludf.DUMMYFUNCTION("""COMPUTED_VALUE"""),38300.666666666664)</f>
        <v>38300.66667</v>
      </c>
      <c r="B6277" s="2">
        <f>IFERROR(__xludf.DUMMYFUNCTION("""COMPUTED_VALUE"""),88.83)</f>
        <v>88.83</v>
      </c>
      <c r="C6277" s="2">
        <f>IFERROR(__xludf.DUMMYFUNCTION("""COMPUTED_VALUE"""),89.74)</f>
        <v>89.74</v>
      </c>
      <c r="D6277" s="2">
        <f>IFERROR(__xludf.DUMMYFUNCTION("""COMPUTED_VALUE"""),88.83)</f>
        <v>88.83</v>
      </c>
      <c r="E6277" s="2">
        <f>IFERROR(__xludf.DUMMYFUNCTION("""COMPUTED_VALUE"""),89.18)</f>
        <v>89.18</v>
      </c>
      <c r="F6277" s="2">
        <f>IFERROR(__xludf.DUMMYFUNCTION("""COMPUTED_VALUE"""),4513100.0)</f>
        <v>4513100</v>
      </c>
    </row>
    <row r="6278">
      <c r="A6278" s="3">
        <f>IFERROR(__xludf.DUMMYFUNCTION("""COMPUTED_VALUE"""),38301.666666666664)</f>
        <v>38301.66667</v>
      </c>
      <c r="B6278" s="2">
        <f>IFERROR(__xludf.DUMMYFUNCTION("""COMPUTED_VALUE"""),89.21)</f>
        <v>89.21</v>
      </c>
      <c r="C6278" s="2">
        <f>IFERROR(__xludf.DUMMYFUNCTION("""COMPUTED_VALUE"""),90.07)</f>
        <v>90.07</v>
      </c>
      <c r="D6278" s="2">
        <f>IFERROR(__xludf.DUMMYFUNCTION("""COMPUTED_VALUE"""),88.75)</f>
        <v>88.75</v>
      </c>
      <c r="E6278" s="2">
        <f>IFERROR(__xludf.DUMMYFUNCTION("""COMPUTED_VALUE"""),89.41)</f>
        <v>89.41</v>
      </c>
      <c r="F6278" s="2">
        <f>IFERROR(__xludf.DUMMYFUNCTION("""COMPUTED_VALUE"""),6258400.0)</f>
        <v>6258400</v>
      </c>
    </row>
    <row r="6279">
      <c r="A6279" s="3">
        <f>IFERROR(__xludf.DUMMYFUNCTION("""COMPUTED_VALUE"""),38302.666666666664)</f>
        <v>38302.66667</v>
      </c>
      <c r="B6279" s="2">
        <f>IFERROR(__xludf.DUMMYFUNCTION("""COMPUTED_VALUE"""),89.4)</f>
        <v>89.4</v>
      </c>
      <c r="C6279" s="2">
        <f>IFERROR(__xludf.DUMMYFUNCTION("""COMPUTED_VALUE"""),90.95)</f>
        <v>90.95</v>
      </c>
      <c r="D6279" s="2">
        <f>IFERROR(__xludf.DUMMYFUNCTION("""COMPUTED_VALUE"""),89.35)</f>
        <v>89.35</v>
      </c>
      <c r="E6279" s="2">
        <f>IFERROR(__xludf.DUMMYFUNCTION("""COMPUTED_VALUE"""),90.54)</f>
        <v>90.54</v>
      </c>
      <c r="F6279" s="2">
        <f>IFERROR(__xludf.DUMMYFUNCTION("""COMPUTED_VALUE"""),7454300.0)</f>
        <v>7454300</v>
      </c>
    </row>
    <row r="6280">
      <c r="A6280" s="3">
        <f>IFERROR(__xludf.DUMMYFUNCTION("""COMPUTED_VALUE"""),38303.666666666664)</f>
        <v>38303.66667</v>
      </c>
      <c r="B6280" s="2">
        <f>IFERROR(__xludf.DUMMYFUNCTION("""COMPUTED_VALUE"""),90.42)</f>
        <v>90.42</v>
      </c>
      <c r="C6280" s="2">
        <f>IFERROR(__xludf.DUMMYFUNCTION("""COMPUTED_VALUE"""),91.22)</f>
        <v>91.22</v>
      </c>
      <c r="D6280" s="2">
        <f>IFERROR(__xludf.DUMMYFUNCTION("""COMPUTED_VALUE"""),90.32)</f>
        <v>90.32</v>
      </c>
      <c r="E6280" s="2">
        <f>IFERROR(__xludf.DUMMYFUNCTION("""COMPUTED_VALUE"""),91.05)</f>
        <v>91.05</v>
      </c>
      <c r="F6280" s="2">
        <f>IFERROR(__xludf.DUMMYFUNCTION("""COMPUTED_VALUE"""),4960300.0)</f>
        <v>4960300</v>
      </c>
    </row>
    <row r="6281">
      <c r="A6281" s="3">
        <f>IFERROR(__xludf.DUMMYFUNCTION("""COMPUTED_VALUE"""),38306.666666666664)</f>
        <v>38306.66667</v>
      </c>
      <c r="B6281" s="2">
        <f>IFERROR(__xludf.DUMMYFUNCTION("""COMPUTED_VALUE"""),90.82)</f>
        <v>90.82</v>
      </c>
      <c r="C6281" s="2">
        <f>IFERROR(__xludf.DUMMYFUNCTION("""COMPUTED_VALUE"""),91.7)</f>
        <v>91.7</v>
      </c>
      <c r="D6281" s="2">
        <f>IFERROR(__xludf.DUMMYFUNCTION("""COMPUTED_VALUE"""),90.55)</f>
        <v>90.55</v>
      </c>
      <c r="E6281" s="2">
        <f>IFERROR(__xludf.DUMMYFUNCTION("""COMPUTED_VALUE"""),91.62)</f>
        <v>91.62</v>
      </c>
      <c r="F6281" s="2">
        <f>IFERROR(__xludf.DUMMYFUNCTION("""COMPUTED_VALUE"""),4887600.0)</f>
        <v>4887600</v>
      </c>
    </row>
    <row r="6282">
      <c r="A6282" s="3">
        <f>IFERROR(__xludf.DUMMYFUNCTION("""COMPUTED_VALUE"""),38307.666666666664)</f>
        <v>38307.66667</v>
      </c>
      <c r="B6282" s="2">
        <f>IFERROR(__xludf.DUMMYFUNCTION("""COMPUTED_VALUE"""),90.98)</f>
        <v>90.98</v>
      </c>
      <c r="C6282" s="2">
        <f>IFERROR(__xludf.DUMMYFUNCTION("""COMPUTED_VALUE"""),91.22)</f>
        <v>91.22</v>
      </c>
      <c r="D6282" s="2">
        <f>IFERROR(__xludf.DUMMYFUNCTION("""COMPUTED_VALUE"""),90.41)</f>
        <v>90.41</v>
      </c>
      <c r="E6282" s="2">
        <f>IFERROR(__xludf.DUMMYFUNCTION("""COMPUTED_VALUE"""),90.64)</f>
        <v>90.64</v>
      </c>
      <c r="F6282" s="2">
        <f>IFERROR(__xludf.DUMMYFUNCTION("""COMPUTED_VALUE"""),5687300.0)</f>
        <v>5687300</v>
      </c>
    </row>
    <row r="6283">
      <c r="A6283" s="3">
        <f>IFERROR(__xludf.DUMMYFUNCTION("""COMPUTED_VALUE"""),38308.666666666664)</f>
        <v>38308.66667</v>
      </c>
      <c r="B6283" s="2">
        <f>IFERROR(__xludf.DUMMYFUNCTION("""COMPUTED_VALUE"""),91.03)</f>
        <v>91.03</v>
      </c>
      <c r="C6283" s="2">
        <f>IFERROR(__xludf.DUMMYFUNCTION("""COMPUTED_VALUE"""),92.3)</f>
        <v>92.3</v>
      </c>
      <c r="D6283" s="2">
        <f>IFERROR(__xludf.DUMMYFUNCTION("""COMPUTED_VALUE"""),91.03)</f>
        <v>91.03</v>
      </c>
      <c r="E6283" s="2">
        <f>IFERROR(__xludf.DUMMYFUNCTION("""COMPUTED_VALUE"""),91.18)</f>
        <v>91.18</v>
      </c>
      <c r="F6283" s="2">
        <f>IFERROR(__xludf.DUMMYFUNCTION("""COMPUTED_VALUE"""),6353300.0)</f>
        <v>6353300</v>
      </c>
    </row>
    <row r="6284">
      <c r="A6284" s="3">
        <f>IFERROR(__xludf.DUMMYFUNCTION("""COMPUTED_VALUE"""),38309.666666666664)</f>
        <v>38309.66667</v>
      </c>
      <c r="B6284" s="2">
        <f>IFERROR(__xludf.DUMMYFUNCTION("""COMPUTED_VALUE"""),91.08)</f>
        <v>91.08</v>
      </c>
      <c r="C6284" s="2">
        <f>IFERROR(__xludf.DUMMYFUNCTION("""COMPUTED_VALUE"""),91.41)</f>
        <v>91.41</v>
      </c>
      <c r="D6284" s="2">
        <f>IFERROR(__xludf.DUMMYFUNCTION("""COMPUTED_VALUE"""),90.77)</f>
        <v>90.77</v>
      </c>
      <c r="E6284" s="2">
        <f>IFERROR(__xludf.DUMMYFUNCTION("""COMPUTED_VALUE"""),90.84)</f>
        <v>90.84</v>
      </c>
      <c r="F6284" s="2">
        <f>IFERROR(__xludf.DUMMYFUNCTION("""COMPUTED_VALUE"""),4656000.0)</f>
        <v>4656000</v>
      </c>
    </row>
    <row r="6285">
      <c r="A6285" s="3">
        <f>IFERROR(__xludf.DUMMYFUNCTION("""COMPUTED_VALUE"""),38310.666666666664)</f>
        <v>38310.66667</v>
      </c>
      <c r="B6285" s="2">
        <f>IFERROR(__xludf.DUMMYFUNCTION("""COMPUTED_VALUE"""),90.69)</f>
        <v>90.69</v>
      </c>
      <c r="C6285" s="2">
        <f>IFERROR(__xludf.DUMMYFUNCTION("""COMPUTED_VALUE"""),90.89)</f>
        <v>90.89</v>
      </c>
      <c r="D6285" s="2">
        <f>IFERROR(__xludf.DUMMYFUNCTION("""COMPUTED_VALUE"""),90.02)</f>
        <v>90.02</v>
      </c>
      <c r="E6285" s="2">
        <f>IFERROR(__xludf.DUMMYFUNCTION("""COMPUTED_VALUE"""),90.22)</f>
        <v>90.22</v>
      </c>
      <c r="F6285" s="2">
        <f>IFERROR(__xludf.DUMMYFUNCTION("""COMPUTED_VALUE"""),5679500.0)</f>
        <v>5679500</v>
      </c>
    </row>
    <row r="6286">
      <c r="A6286" s="3">
        <f>IFERROR(__xludf.DUMMYFUNCTION("""COMPUTED_VALUE"""),38313.666666666664)</f>
        <v>38313.66667</v>
      </c>
      <c r="B6286" s="2">
        <f>IFERROR(__xludf.DUMMYFUNCTION("""COMPUTED_VALUE"""),90.07)</f>
        <v>90.07</v>
      </c>
      <c r="C6286" s="2">
        <f>IFERROR(__xludf.DUMMYFUNCTION("""COMPUTED_VALUE"""),91.12)</f>
        <v>91.12</v>
      </c>
      <c r="D6286" s="2">
        <f>IFERROR(__xludf.DUMMYFUNCTION("""COMPUTED_VALUE"""),89.94)</f>
        <v>89.94</v>
      </c>
      <c r="E6286" s="2">
        <f>IFERROR(__xludf.DUMMYFUNCTION("""COMPUTED_VALUE"""),90.85)</f>
        <v>90.85</v>
      </c>
      <c r="F6286" s="2">
        <f>IFERROR(__xludf.DUMMYFUNCTION("""COMPUTED_VALUE"""),5818400.0)</f>
        <v>5818400</v>
      </c>
    </row>
    <row r="6287">
      <c r="A6287" s="3">
        <f>IFERROR(__xludf.DUMMYFUNCTION("""COMPUTED_VALUE"""),38314.666666666664)</f>
        <v>38314.66667</v>
      </c>
      <c r="B6287" s="2">
        <f>IFERROR(__xludf.DUMMYFUNCTION("""COMPUTED_VALUE"""),90.45)</f>
        <v>90.45</v>
      </c>
      <c r="C6287" s="2">
        <f>IFERROR(__xludf.DUMMYFUNCTION("""COMPUTED_VALUE"""),91.09)</f>
        <v>91.09</v>
      </c>
      <c r="D6287" s="2">
        <f>IFERROR(__xludf.DUMMYFUNCTION("""COMPUTED_VALUE"""),90.31)</f>
        <v>90.31</v>
      </c>
      <c r="E6287" s="2">
        <f>IFERROR(__xludf.DUMMYFUNCTION("""COMPUTED_VALUE"""),91.01)</f>
        <v>91.01</v>
      </c>
      <c r="F6287" s="2">
        <f>IFERROR(__xludf.DUMMYFUNCTION("""COMPUTED_VALUE"""),5529900.0)</f>
        <v>5529900</v>
      </c>
    </row>
    <row r="6288">
      <c r="A6288" s="3">
        <f>IFERROR(__xludf.DUMMYFUNCTION("""COMPUTED_VALUE"""),38315.666666666664)</f>
        <v>38315.66667</v>
      </c>
      <c r="B6288" s="2">
        <f>IFERROR(__xludf.DUMMYFUNCTION("""COMPUTED_VALUE"""),90.78)</f>
        <v>90.78</v>
      </c>
      <c r="C6288" s="2">
        <f>IFERROR(__xludf.DUMMYFUNCTION("""COMPUTED_VALUE"""),91.5)</f>
        <v>91.5</v>
      </c>
      <c r="D6288" s="2">
        <f>IFERROR(__xludf.DUMMYFUNCTION("""COMPUTED_VALUE"""),90.78)</f>
        <v>90.78</v>
      </c>
      <c r="E6288" s="2">
        <f>IFERROR(__xludf.DUMMYFUNCTION("""COMPUTED_VALUE"""),91.18)</f>
        <v>91.18</v>
      </c>
      <c r="F6288" s="2">
        <f>IFERROR(__xludf.DUMMYFUNCTION("""COMPUTED_VALUE"""),3750600.0)</f>
        <v>3750600</v>
      </c>
    </row>
    <row r="6289">
      <c r="A6289" s="3">
        <f>IFERROR(__xludf.DUMMYFUNCTION("""COMPUTED_VALUE"""),38317.666666666664)</f>
        <v>38317.66667</v>
      </c>
      <c r="B6289" s="2">
        <f>IFERROR(__xludf.DUMMYFUNCTION("""COMPUTED_VALUE"""),90.79)</f>
        <v>90.79</v>
      </c>
      <c r="C6289" s="2">
        <f>IFERROR(__xludf.DUMMYFUNCTION("""COMPUTED_VALUE"""),91.1)</f>
        <v>91.1</v>
      </c>
      <c r="D6289" s="2">
        <f>IFERROR(__xludf.DUMMYFUNCTION("""COMPUTED_VALUE"""),90.34)</f>
        <v>90.34</v>
      </c>
      <c r="E6289" s="2">
        <f>IFERROR(__xludf.DUMMYFUNCTION("""COMPUTED_VALUE"""),90.47)</f>
        <v>90.47</v>
      </c>
      <c r="F6289" s="2">
        <f>IFERROR(__xludf.DUMMYFUNCTION("""COMPUTED_VALUE"""),2204300.0)</f>
        <v>2204300</v>
      </c>
    </row>
    <row r="6290">
      <c r="A6290" s="3">
        <f>IFERROR(__xludf.DUMMYFUNCTION("""COMPUTED_VALUE"""),38320.666666666664)</f>
        <v>38320.66667</v>
      </c>
      <c r="B6290" s="2">
        <f>IFERROR(__xludf.DUMMYFUNCTION("""COMPUTED_VALUE"""),90.68)</f>
        <v>90.68</v>
      </c>
      <c r="C6290" s="2">
        <f>IFERROR(__xludf.DUMMYFUNCTION("""COMPUTED_VALUE"""),92.06)</f>
        <v>92.06</v>
      </c>
      <c r="D6290" s="2">
        <f>IFERROR(__xludf.DUMMYFUNCTION("""COMPUTED_VALUE"""),90.68)</f>
        <v>90.68</v>
      </c>
      <c r="E6290" s="2">
        <f>IFERROR(__xludf.DUMMYFUNCTION("""COMPUTED_VALUE"""),91.22)</f>
        <v>91.22</v>
      </c>
      <c r="F6290" s="2">
        <f>IFERROR(__xludf.DUMMYFUNCTION("""COMPUTED_VALUE"""),5699800.0)</f>
        <v>5699800</v>
      </c>
    </row>
    <row r="6291">
      <c r="A6291" s="3">
        <f>IFERROR(__xludf.DUMMYFUNCTION("""COMPUTED_VALUE"""),38321.666666666664)</f>
        <v>38321.66667</v>
      </c>
      <c r="B6291" s="2">
        <f>IFERROR(__xludf.DUMMYFUNCTION("""COMPUTED_VALUE"""),90.88)</f>
        <v>90.88</v>
      </c>
      <c r="C6291" s="2">
        <f>IFERROR(__xludf.DUMMYFUNCTION("""COMPUTED_VALUE"""),91.36)</f>
        <v>91.36</v>
      </c>
      <c r="D6291" s="2">
        <f>IFERROR(__xludf.DUMMYFUNCTION("""COMPUTED_VALUE"""),90.01)</f>
        <v>90.01</v>
      </c>
      <c r="E6291" s="2">
        <f>IFERROR(__xludf.DUMMYFUNCTION("""COMPUTED_VALUE"""),90.01)</f>
        <v>90.01</v>
      </c>
      <c r="F6291" s="2">
        <f>IFERROR(__xludf.DUMMYFUNCTION("""COMPUTED_VALUE"""),5871700.0)</f>
        <v>5871700</v>
      </c>
    </row>
    <row r="6292">
      <c r="A6292" s="3">
        <f>IFERROR(__xludf.DUMMYFUNCTION("""COMPUTED_VALUE"""),38322.666666666664)</f>
        <v>38322.66667</v>
      </c>
      <c r="B6292" s="2">
        <f>IFERROR(__xludf.DUMMYFUNCTION("""COMPUTED_VALUE"""),90.26)</f>
        <v>90.26</v>
      </c>
      <c r="C6292" s="2">
        <f>IFERROR(__xludf.DUMMYFUNCTION("""COMPUTED_VALUE"""),91.76)</f>
        <v>91.76</v>
      </c>
      <c r="D6292" s="2">
        <f>IFERROR(__xludf.DUMMYFUNCTION("""COMPUTED_VALUE"""),90.23)</f>
        <v>90.23</v>
      </c>
      <c r="E6292" s="2">
        <f>IFERROR(__xludf.DUMMYFUNCTION("""COMPUTED_VALUE"""),91.58)</f>
        <v>91.58</v>
      </c>
      <c r="F6292" s="2">
        <f>IFERROR(__xludf.DUMMYFUNCTION("""COMPUTED_VALUE"""),5665100.0)</f>
        <v>5665100</v>
      </c>
    </row>
    <row r="6293">
      <c r="A6293" s="3">
        <f>IFERROR(__xludf.DUMMYFUNCTION("""COMPUTED_VALUE"""),38323.666666666664)</f>
        <v>38323.66667</v>
      </c>
      <c r="B6293" s="2">
        <f>IFERROR(__xludf.DUMMYFUNCTION("""COMPUTED_VALUE"""),91.36)</f>
        <v>91.36</v>
      </c>
      <c r="C6293" s="2">
        <f>IFERROR(__xludf.DUMMYFUNCTION("""COMPUTED_VALUE"""),92.44)</f>
        <v>92.44</v>
      </c>
      <c r="D6293" s="2">
        <f>IFERROR(__xludf.DUMMYFUNCTION("""COMPUTED_VALUE"""),91.21)</f>
        <v>91.21</v>
      </c>
      <c r="E6293" s="2">
        <f>IFERROR(__xludf.DUMMYFUNCTION("""COMPUTED_VALUE"""),91.47)</f>
        <v>91.47</v>
      </c>
      <c r="F6293" s="2">
        <f>IFERROR(__xludf.DUMMYFUNCTION("""COMPUTED_VALUE"""),5184400.0)</f>
        <v>5184400</v>
      </c>
    </row>
    <row r="6294">
      <c r="A6294" s="3">
        <f>IFERROR(__xludf.DUMMYFUNCTION("""COMPUTED_VALUE"""),38324.666666666664)</f>
        <v>38324.66667</v>
      </c>
      <c r="B6294" s="2">
        <f>IFERROR(__xludf.DUMMYFUNCTION("""COMPUTED_VALUE"""),92.22)</f>
        <v>92.22</v>
      </c>
      <c r="C6294" s="2">
        <f>IFERROR(__xludf.DUMMYFUNCTION("""COMPUTED_VALUE"""),93.25)</f>
        <v>93.25</v>
      </c>
      <c r="D6294" s="2">
        <f>IFERROR(__xludf.DUMMYFUNCTION("""COMPUTED_VALUE"""),92.22)</f>
        <v>92.22</v>
      </c>
      <c r="E6294" s="2">
        <f>IFERROR(__xludf.DUMMYFUNCTION("""COMPUTED_VALUE"""),92.73)</f>
        <v>92.73</v>
      </c>
      <c r="F6294" s="2">
        <f>IFERROR(__xludf.DUMMYFUNCTION("""COMPUTED_VALUE"""),7026900.0)</f>
        <v>7026900</v>
      </c>
    </row>
    <row r="6295">
      <c r="A6295" s="3">
        <f>IFERROR(__xludf.DUMMYFUNCTION("""COMPUTED_VALUE"""),38327.666666666664)</f>
        <v>38327.66667</v>
      </c>
      <c r="B6295" s="2">
        <f>IFERROR(__xludf.DUMMYFUNCTION("""COMPUTED_VALUE"""),92.54)</f>
        <v>92.54</v>
      </c>
      <c r="C6295" s="2">
        <f>IFERROR(__xludf.DUMMYFUNCTION("""COMPUTED_VALUE"""),93.51)</f>
        <v>93.51</v>
      </c>
      <c r="D6295" s="2">
        <f>IFERROR(__xludf.DUMMYFUNCTION("""COMPUTED_VALUE"""),92.32)</f>
        <v>92.32</v>
      </c>
      <c r="E6295" s="2">
        <f>IFERROR(__xludf.DUMMYFUNCTION("""COMPUTED_VALUE"""),93.29)</f>
        <v>93.29</v>
      </c>
      <c r="F6295" s="2">
        <f>IFERROR(__xludf.DUMMYFUNCTION("""COMPUTED_VALUE"""),5263000.0)</f>
        <v>5263000</v>
      </c>
    </row>
    <row r="6296">
      <c r="A6296" s="3">
        <f>IFERROR(__xludf.DUMMYFUNCTION("""COMPUTED_VALUE"""),38328.666666666664)</f>
        <v>38328.66667</v>
      </c>
      <c r="B6296" s="2">
        <f>IFERROR(__xludf.DUMMYFUNCTION("""COMPUTED_VALUE"""),93.32)</f>
        <v>93.32</v>
      </c>
      <c r="C6296" s="2">
        <f>IFERROR(__xludf.DUMMYFUNCTION("""COMPUTED_VALUE"""),93.84)</f>
        <v>93.84</v>
      </c>
      <c r="D6296" s="2">
        <f>IFERROR(__xludf.DUMMYFUNCTION("""COMPUTED_VALUE"""),91.69)</f>
        <v>91.69</v>
      </c>
      <c r="E6296" s="2">
        <f>IFERROR(__xludf.DUMMYFUNCTION("""COMPUTED_VALUE"""),91.79)</f>
        <v>91.79</v>
      </c>
      <c r="F6296" s="2">
        <f>IFERROR(__xludf.DUMMYFUNCTION("""COMPUTED_VALUE"""),6478700.0)</f>
        <v>6478700</v>
      </c>
    </row>
    <row r="6297">
      <c r="A6297" s="3">
        <f>IFERROR(__xludf.DUMMYFUNCTION("""COMPUTED_VALUE"""),38329.666666666664)</f>
        <v>38329.66667</v>
      </c>
      <c r="B6297" s="2">
        <f>IFERROR(__xludf.DUMMYFUNCTION("""COMPUTED_VALUE"""),92.11)</f>
        <v>92.11</v>
      </c>
      <c r="C6297" s="2">
        <f>IFERROR(__xludf.DUMMYFUNCTION("""COMPUTED_VALUE"""),92.99)</f>
        <v>92.99</v>
      </c>
      <c r="D6297" s="2">
        <f>IFERROR(__xludf.DUMMYFUNCTION("""COMPUTED_VALUE"""),91.48)</f>
        <v>91.48</v>
      </c>
      <c r="E6297" s="2">
        <f>IFERROR(__xludf.DUMMYFUNCTION("""COMPUTED_VALUE"""),92.32)</f>
        <v>92.32</v>
      </c>
      <c r="F6297" s="2">
        <f>IFERROR(__xludf.DUMMYFUNCTION("""COMPUTED_VALUE"""),5311700.0)</f>
        <v>5311700</v>
      </c>
    </row>
    <row r="6298">
      <c r="A6298" s="3">
        <f>IFERROR(__xludf.DUMMYFUNCTION("""COMPUTED_VALUE"""),38330.666666666664)</f>
        <v>38330.66667</v>
      </c>
      <c r="B6298" s="2">
        <f>IFERROR(__xludf.DUMMYFUNCTION("""COMPUTED_VALUE"""),91.89)</f>
        <v>91.89</v>
      </c>
      <c r="C6298" s="2">
        <f>IFERROR(__xludf.DUMMYFUNCTION("""COMPUTED_VALUE"""),93.22)</f>
        <v>93.22</v>
      </c>
      <c r="D6298" s="2">
        <f>IFERROR(__xludf.DUMMYFUNCTION("""COMPUTED_VALUE"""),91.42)</f>
        <v>91.42</v>
      </c>
      <c r="E6298" s="2">
        <f>IFERROR(__xludf.DUMMYFUNCTION("""COMPUTED_VALUE"""),93.14)</f>
        <v>93.14</v>
      </c>
      <c r="F6298" s="2">
        <f>IFERROR(__xludf.DUMMYFUNCTION("""COMPUTED_VALUE"""),5713700.0)</f>
        <v>5713700</v>
      </c>
    </row>
    <row r="6299">
      <c r="A6299" s="3">
        <f>IFERROR(__xludf.DUMMYFUNCTION("""COMPUTED_VALUE"""),38331.666666666664)</f>
        <v>38331.66667</v>
      </c>
      <c r="B6299" s="2">
        <f>IFERROR(__xludf.DUMMYFUNCTION("""COMPUTED_VALUE"""),91.79)</f>
        <v>91.79</v>
      </c>
      <c r="C6299" s="2">
        <f>IFERROR(__xludf.DUMMYFUNCTION("""COMPUTED_VALUE"""),93.6)</f>
        <v>93.6</v>
      </c>
      <c r="D6299" s="2">
        <f>IFERROR(__xludf.DUMMYFUNCTION("""COMPUTED_VALUE"""),91.79)</f>
        <v>91.79</v>
      </c>
      <c r="E6299" s="2">
        <f>IFERROR(__xludf.DUMMYFUNCTION("""COMPUTED_VALUE"""),92.34)</f>
        <v>92.34</v>
      </c>
      <c r="F6299" s="2">
        <f>IFERROR(__xludf.DUMMYFUNCTION("""COMPUTED_VALUE"""),4188300.0)</f>
        <v>4188300</v>
      </c>
    </row>
    <row r="6300">
      <c r="A6300" s="3">
        <f>IFERROR(__xludf.DUMMYFUNCTION("""COMPUTED_VALUE"""),38334.666666666664)</f>
        <v>38334.66667</v>
      </c>
      <c r="B6300" s="2">
        <f>IFERROR(__xludf.DUMMYFUNCTION("""COMPUTED_VALUE"""),92.51)</f>
        <v>92.51</v>
      </c>
      <c r="C6300" s="2">
        <f>IFERROR(__xludf.DUMMYFUNCTION("""COMPUTED_VALUE"""),92.84)</f>
        <v>92.84</v>
      </c>
      <c r="D6300" s="2">
        <f>IFERROR(__xludf.DUMMYFUNCTION("""COMPUTED_VALUE"""),91.77)</f>
        <v>91.77</v>
      </c>
      <c r="E6300" s="2">
        <f>IFERROR(__xludf.DUMMYFUNCTION("""COMPUTED_VALUE"""),92.13)</f>
        <v>92.13</v>
      </c>
      <c r="F6300" s="2">
        <f>IFERROR(__xludf.DUMMYFUNCTION("""COMPUTED_VALUE"""),4799500.0)</f>
        <v>4799500</v>
      </c>
    </row>
    <row r="6301">
      <c r="A6301" s="3">
        <f>IFERROR(__xludf.DUMMYFUNCTION("""COMPUTED_VALUE"""),38335.666666666664)</f>
        <v>38335.66667</v>
      </c>
      <c r="B6301" s="2">
        <f>IFERROR(__xludf.DUMMYFUNCTION("""COMPUTED_VALUE"""),91.98)</f>
        <v>91.98</v>
      </c>
      <c r="C6301" s="2">
        <f>IFERROR(__xludf.DUMMYFUNCTION("""COMPUTED_VALUE"""),93.32)</f>
        <v>93.32</v>
      </c>
      <c r="D6301" s="2">
        <f>IFERROR(__xludf.DUMMYFUNCTION("""COMPUTED_VALUE"""),91.97)</f>
        <v>91.97</v>
      </c>
      <c r="E6301" s="2">
        <f>IFERROR(__xludf.DUMMYFUNCTION("""COMPUTED_VALUE"""),92.95)</f>
        <v>92.95</v>
      </c>
      <c r="F6301" s="2">
        <f>IFERROR(__xludf.DUMMYFUNCTION("""COMPUTED_VALUE"""),4493200.0)</f>
        <v>4493200</v>
      </c>
    </row>
    <row r="6302">
      <c r="A6302" s="3">
        <f>IFERROR(__xludf.DUMMYFUNCTION("""COMPUTED_VALUE"""),38336.666666666664)</f>
        <v>38336.66667</v>
      </c>
      <c r="B6302" s="2">
        <f>IFERROR(__xludf.DUMMYFUNCTION("""COMPUTED_VALUE"""),92.57)</f>
        <v>92.57</v>
      </c>
      <c r="C6302" s="2">
        <f>IFERROR(__xludf.DUMMYFUNCTION("""COMPUTED_VALUE"""),93.32)</f>
        <v>93.32</v>
      </c>
      <c r="D6302" s="2">
        <f>IFERROR(__xludf.DUMMYFUNCTION("""COMPUTED_VALUE"""),92.47)</f>
        <v>92.47</v>
      </c>
      <c r="E6302" s="2">
        <f>IFERROR(__xludf.DUMMYFUNCTION("""COMPUTED_VALUE"""),92.97)</f>
        <v>92.97</v>
      </c>
      <c r="F6302" s="2">
        <f>IFERROR(__xludf.DUMMYFUNCTION("""COMPUTED_VALUE"""),3914600.0)</f>
        <v>3914600</v>
      </c>
    </row>
    <row r="6303">
      <c r="A6303" s="3">
        <f>IFERROR(__xludf.DUMMYFUNCTION("""COMPUTED_VALUE"""),38337.666666666664)</f>
        <v>38337.66667</v>
      </c>
      <c r="B6303" s="2">
        <f>IFERROR(__xludf.DUMMYFUNCTION("""COMPUTED_VALUE"""),92.46)</f>
        <v>92.46</v>
      </c>
      <c r="C6303" s="2">
        <f>IFERROR(__xludf.DUMMYFUNCTION("""COMPUTED_VALUE"""),93.75)</f>
        <v>93.75</v>
      </c>
      <c r="D6303" s="2">
        <f>IFERROR(__xludf.DUMMYFUNCTION("""COMPUTED_VALUE"""),92.46)</f>
        <v>92.46</v>
      </c>
      <c r="E6303" s="2">
        <f>IFERROR(__xludf.DUMMYFUNCTION("""COMPUTED_VALUE"""),93.08)</f>
        <v>93.08</v>
      </c>
      <c r="F6303" s="2">
        <f>IFERROR(__xludf.DUMMYFUNCTION("""COMPUTED_VALUE"""),5660100.0)</f>
        <v>5660100</v>
      </c>
    </row>
    <row r="6304">
      <c r="A6304" s="3">
        <f>IFERROR(__xludf.DUMMYFUNCTION("""COMPUTED_VALUE"""),38338.666666666664)</f>
        <v>38338.66667</v>
      </c>
      <c r="B6304" s="2">
        <f>IFERROR(__xludf.DUMMYFUNCTION("""COMPUTED_VALUE"""),92.65)</f>
        <v>92.65</v>
      </c>
      <c r="C6304" s="2">
        <f>IFERROR(__xludf.DUMMYFUNCTION("""COMPUTED_VALUE"""),93.61)</f>
        <v>93.61</v>
      </c>
      <c r="D6304" s="2">
        <f>IFERROR(__xludf.DUMMYFUNCTION("""COMPUTED_VALUE"""),91.89)</f>
        <v>91.89</v>
      </c>
      <c r="E6304" s="2">
        <f>IFERROR(__xludf.DUMMYFUNCTION("""COMPUTED_VALUE"""),91.89)</f>
        <v>91.89</v>
      </c>
      <c r="F6304" s="2">
        <f>IFERROR(__xludf.DUMMYFUNCTION("""COMPUTED_VALUE"""),8878000.0)</f>
        <v>8878000</v>
      </c>
    </row>
    <row r="6305">
      <c r="A6305" s="3">
        <f>IFERROR(__xludf.DUMMYFUNCTION("""COMPUTED_VALUE"""),38341.666666666664)</f>
        <v>38341.66667</v>
      </c>
      <c r="B6305" s="2">
        <f>IFERROR(__xludf.DUMMYFUNCTION("""COMPUTED_VALUE"""),92.03)</f>
        <v>92.03</v>
      </c>
      <c r="C6305" s="2">
        <f>IFERROR(__xludf.DUMMYFUNCTION("""COMPUTED_VALUE"""),93.2)</f>
        <v>93.2</v>
      </c>
      <c r="D6305" s="2">
        <f>IFERROR(__xludf.DUMMYFUNCTION("""COMPUTED_VALUE"""),92.03)</f>
        <v>92.03</v>
      </c>
      <c r="E6305" s="2">
        <f>IFERROR(__xludf.DUMMYFUNCTION("""COMPUTED_VALUE"""),92.22)</f>
        <v>92.22</v>
      </c>
      <c r="F6305" s="2">
        <f>IFERROR(__xludf.DUMMYFUNCTION("""COMPUTED_VALUE"""),4769900.0)</f>
        <v>4769900</v>
      </c>
    </row>
    <row r="6306">
      <c r="A6306" s="3">
        <f>IFERROR(__xludf.DUMMYFUNCTION("""COMPUTED_VALUE"""),38342.666666666664)</f>
        <v>38342.66667</v>
      </c>
      <c r="B6306" s="2">
        <f>IFERROR(__xludf.DUMMYFUNCTION("""COMPUTED_VALUE"""),92.26)</f>
        <v>92.26</v>
      </c>
      <c r="C6306" s="2">
        <f>IFERROR(__xludf.DUMMYFUNCTION("""COMPUTED_VALUE"""),92.79)</f>
        <v>92.79</v>
      </c>
      <c r="D6306" s="2">
        <f>IFERROR(__xludf.DUMMYFUNCTION("""COMPUTED_VALUE"""),92.18)</f>
        <v>92.18</v>
      </c>
      <c r="E6306" s="2">
        <f>IFERROR(__xludf.DUMMYFUNCTION("""COMPUTED_VALUE"""),92.67)</f>
        <v>92.67</v>
      </c>
      <c r="F6306" s="2">
        <f>IFERROR(__xludf.DUMMYFUNCTION("""COMPUTED_VALUE"""),4841800.0)</f>
        <v>4841800</v>
      </c>
    </row>
    <row r="6307">
      <c r="A6307" s="3">
        <f>IFERROR(__xludf.DUMMYFUNCTION("""COMPUTED_VALUE"""),38343.666666666664)</f>
        <v>38343.66667</v>
      </c>
      <c r="B6307" s="2">
        <f>IFERROR(__xludf.DUMMYFUNCTION("""COMPUTED_VALUE"""),92.99)</f>
        <v>92.99</v>
      </c>
      <c r="C6307" s="2">
        <f>IFERROR(__xludf.DUMMYFUNCTION("""COMPUTED_VALUE"""),93.59)</f>
        <v>93.59</v>
      </c>
      <c r="D6307" s="2">
        <f>IFERROR(__xludf.DUMMYFUNCTION("""COMPUTED_VALUE"""),92.93)</f>
        <v>92.93</v>
      </c>
      <c r="E6307" s="2">
        <f>IFERROR(__xludf.DUMMYFUNCTION("""COMPUTED_VALUE"""),93.23)</f>
        <v>93.23</v>
      </c>
      <c r="F6307" s="2">
        <f>IFERROR(__xludf.DUMMYFUNCTION("""COMPUTED_VALUE"""),4950200.0)</f>
        <v>4950200</v>
      </c>
    </row>
    <row r="6308">
      <c r="A6308" s="3">
        <f>IFERROR(__xludf.DUMMYFUNCTION("""COMPUTED_VALUE"""),38344.666666666664)</f>
        <v>38344.66667</v>
      </c>
      <c r="B6308" s="2">
        <f>IFERROR(__xludf.DUMMYFUNCTION("""COMPUTED_VALUE"""),93.13)</f>
        <v>93.13</v>
      </c>
      <c r="C6308" s="2">
        <f>IFERROR(__xludf.DUMMYFUNCTION("""COMPUTED_VALUE"""),93.61)</f>
        <v>93.61</v>
      </c>
      <c r="D6308" s="2">
        <f>IFERROR(__xludf.DUMMYFUNCTION("""COMPUTED_VALUE"""),93.13)</f>
        <v>93.13</v>
      </c>
      <c r="E6308" s="2">
        <f>IFERROR(__xludf.DUMMYFUNCTION("""COMPUTED_VALUE"""),93.34)</f>
        <v>93.34</v>
      </c>
      <c r="F6308" s="2">
        <f>IFERROR(__xludf.DUMMYFUNCTION("""COMPUTED_VALUE"""),3590600.0)</f>
        <v>3590600</v>
      </c>
    </row>
    <row r="6309">
      <c r="A6309" s="3">
        <f>IFERROR(__xludf.DUMMYFUNCTION("""COMPUTED_VALUE"""),38348.666666666664)</f>
        <v>38348.66667</v>
      </c>
      <c r="B6309" s="2">
        <f>IFERROR(__xludf.DUMMYFUNCTION("""COMPUTED_VALUE"""),93.31)</f>
        <v>93.31</v>
      </c>
      <c r="C6309" s="2">
        <f>IFERROR(__xludf.DUMMYFUNCTION("""COMPUTED_VALUE"""),93.58)</f>
        <v>93.58</v>
      </c>
      <c r="D6309" s="2">
        <f>IFERROR(__xludf.DUMMYFUNCTION("""COMPUTED_VALUE"""),93.01)</f>
        <v>93.01</v>
      </c>
      <c r="E6309" s="2">
        <f>IFERROR(__xludf.DUMMYFUNCTION("""COMPUTED_VALUE"""),93.13)</f>
        <v>93.13</v>
      </c>
      <c r="F6309" s="2">
        <f>IFERROR(__xludf.DUMMYFUNCTION("""COMPUTED_VALUE"""),3262900.0)</f>
        <v>3262900</v>
      </c>
    </row>
    <row r="6310">
      <c r="A6310" s="3">
        <f>IFERROR(__xludf.DUMMYFUNCTION("""COMPUTED_VALUE"""),38349.666666666664)</f>
        <v>38349.66667</v>
      </c>
      <c r="B6310" s="2">
        <f>IFERROR(__xludf.DUMMYFUNCTION("""COMPUTED_VALUE"""),93.03)</f>
        <v>93.03</v>
      </c>
      <c r="C6310" s="2">
        <f>IFERROR(__xludf.DUMMYFUNCTION("""COMPUTED_VALUE"""),94.13)</f>
        <v>94.13</v>
      </c>
      <c r="D6310" s="2">
        <f>IFERROR(__xludf.DUMMYFUNCTION("""COMPUTED_VALUE"""),93.0)</f>
        <v>93</v>
      </c>
      <c r="E6310" s="2">
        <f>IFERROR(__xludf.DUMMYFUNCTION("""COMPUTED_VALUE"""),93.89)</f>
        <v>93.89</v>
      </c>
      <c r="F6310" s="2">
        <f>IFERROR(__xludf.DUMMYFUNCTION("""COMPUTED_VALUE"""),4340600.0)</f>
        <v>4340600</v>
      </c>
    </row>
    <row r="6311">
      <c r="A6311" s="3">
        <f>IFERROR(__xludf.DUMMYFUNCTION("""COMPUTED_VALUE"""),38350.666666666664)</f>
        <v>38350.66667</v>
      </c>
      <c r="B6311" s="2">
        <f>IFERROR(__xludf.DUMMYFUNCTION("""COMPUTED_VALUE"""),93.42)</f>
        <v>93.42</v>
      </c>
      <c r="C6311" s="2">
        <f>IFERROR(__xludf.DUMMYFUNCTION("""COMPUTED_VALUE"""),94.05)</f>
        <v>94.05</v>
      </c>
      <c r="D6311" s="2">
        <f>IFERROR(__xludf.DUMMYFUNCTION("""COMPUTED_VALUE"""),93.42)</f>
        <v>93.42</v>
      </c>
      <c r="E6311" s="2">
        <f>IFERROR(__xludf.DUMMYFUNCTION("""COMPUTED_VALUE"""),93.78)</f>
        <v>93.78</v>
      </c>
      <c r="F6311" s="2">
        <f>IFERROR(__xludf.DUMMYFUNCTION("""COMPUTED_VALUE"""),3303600.0)</f>
        <v>3303600</v>
      </c>
    </row>
    <row r="6312">
      <c r="A6312" s="3">
        <f>IFERROR(__xludf.DUMMYFUNCTION("""COMPUTED_VALUE"""),38351.666666666664)</f>
        <v>38351.66667</v>
      </c>
      <c r="B6312" s="2">
        <f>IFERROR(__xludf.DUMMYFUNCTION("""COMPUTED_VALUE"""),93.7)</f>
        <v>93.7</v>
      </c>
      <c r="C6312" s="2">
        <f>IFERROR(__xludf.DUMMYFUNCTION("""COMPUTED_VALUE"""),94.56)</f>
        <v>94.56</v>
      </c>
      <c r="D6312" s="2">
        <f>IFERROR(__xludf.DUMMYFUNCTION("""COMPUTED_VALUE"""),93.67)</f>
        <v>93.67</v>
      </c>
      <c r="E6312" s="2">
        <f>IFERROR(__xludf.DUMMYFUNCTION("""COMPUTED_VALUE"""),93.89)</f>
        <v>93.89</v>
      </c>
      <c r="F6312" s="2">
        <f>IFERROR(__xludf.DUMMYFUNCTION("""COMPUTED_VALUE"""),3812400.0)</f>
        <v>3812400</v>
      </c>
    </row>
    <row r="6313">
      <c r="A6313" s="3">
        <f>IFERROR(__xludf.DUMMYFUNCTION("""COMPUTED_VALUE"""),38352.666666666664)</f>
        <v>38352.66667</v>
      </c>
      <c r="B6313" s="2">
        <f>IFERROR(__xludf.DUMMYFUNCTION("""COMPUTED_VALUE"""),94.18)</f>
        <v>94.18</v>
      </c>
      <c r="C6313" s="2">
        <f>IFERROR(__xludf.DUMMYFUNCTION("""COMPUTED_VALUE"""),94.48)</f>
        <v>94.48</v>
      </c>
      <c r="D6313" s="2">
        <f>IFERROR(__xludf.DUMMYFUNCTION("""COMPUTED_VALUE"""),94.07)</f>
        <v>94.07</v>
      </c>
      <c r="E6313" s="2">
        <f>IFERROR(__xludf.DUMMYFUNCTION("""COMPUTED_VALUE"""),94.16)</f>
        <v>94.16</v>
      </c>
      <c r="F6313" s="2">
        <f>IFERROR(__xludf.DUMMYFUNCTION("""COMPUTED_VALUE"""),2801200.0)</f>
        <v>2801200</v>
      </c>
    </row>
    <row r="6314">
      <c r="A6314" s="3">
        <f>IFERROR(__xludf.DUMMYFUNCTION("""COMPUTED_VALUE"""),38355.666666666664)</f>
        <v>38355.66667</v>
      </c>
      <c r="B6314" s="2">
        <f>IFERROR(__xludf.DUMMYFUNCTION("""COMPUTED_VALUE"""),94.53)</f>
        <v>94.53</v>
      </c>
      <c r="C6314" s="2">
        <f>IFERROR(__xludf.DUMMYFUNCTION("""COMPUTED_VALUE"""),94.66)</f>
        <v>94.66</v>
      </c>
      <c r="D6314" s="2">
        <f>IFERROR(__xludf.DUMMYFUNCTION("""COMPUTED_VALUE"""),92.89)</f>
        <v>92.89</v>
      </c>
      <c r="E6314" s="2">
        <f>IFERROR(__xludf.DUMMYFUNCTION("""COMPUTED_VALUE"""),93.37)</f>
        <v>93.37</v>
      </c>
      <c r="F6314" s="2">
        <f>IFERROR(__xludf.DUMMYFUNCTION("""COMPUTED_VALUE"""),5301400.0)</f>
        <v>5301400</v>
      </c>
    </row>
    <row r="6315">
      <c r="A6315" s="3">
        <f>IFERROR(__xludf.DUMMYFUNCTION("""COMPUTED_VALUE"""),38356.666666666664)</f>
        <v>38356.66667</v>
      </c>
      <c r="B6315" s="2">
        <f>IFERROR(__xludf.DUMMYFUNCTION("""COMPUTED_VALUE"""),93.36)</f>
        <v>93.36</v>
      </c>
      <c r="C6315" s="2">
        <f>IFERROR(__xludf.DUMMYFUNCTION("""COMPUTED_VALUE"""),94.01)</f>
        <v>94.01</v>
      </c>
      <c r="D6315" s="2">
        <f>IFERROR(__xludf.DUMMYFUNCTION("""COMPUTED_VALUE"""),92.19)</f>
        <v>92.19</v>
      </c>
      <c r="E6315" s="2">
        <f>IFERROR(__xludf.DUMMYFUNCTION("""COMPUTED_VALUE"""),92.36)</f>
        <v>92.36</v>
      </c>
      <c r="F6315" s="2">
        <f>IFERROR(__xludf.DUMMYFUNCTION("""COMPUTED_VALUE"""),5711000.0)</f>
        <v>5711000</v>
      </c>
    </row>
    <row r="6316">
      <c r="A6316" s="3">
        <f>IFERROR(__xludf.DUMMYFUNCTION("""COMPUTED_VALUE"""),38357.666666666664)</f>
        <v>38357.66667</v>
      </c>
      <c r="B6316" s="2">
        <f>IFERROR(__xludf.DUMMYFUNCTION("""COMPUTED_VALUE"""),92.27)</f>
        <v>92.27</v>
      </c>
      <c r="C6316" s="2">
        <f>IFERROR(__xludf.DUMMYFUNCTION("""COMPUTED_VALUE"""),93.44)</f>
        <v>93.44</v>
      </c>
      <c r="D6316" s="2">
        <f>IFERROR(__xludf.DUMMYFUNCTION("""COMPUTED_VALUE"""),92.08)</f>
        <v>92.08</v>
      </c>
      <c r="E6316" s="2">
        <f>IFERROR(__xludf.DUMMYFUNCTION("""COMPUTED_VALUE"""),92.17)</f>
        <v>92.17</v>
      </c>
      <c r="F6316" s="2">
        <f>IFERROR(__xludf.DUMMYFUNCTION("""COMPUTED_VALUE"""),5646800.0)</f>
        <v>5646800</v>
      </c>
    </row>
    <row r="6317">
      <c r="A6317" s="3">
        <f>IFERROR(__xludf.DUMMYFUNCTION("""COMPUTED_VALUE"""),38358.666666666664)</f>
        <v>38358.66667</v>
      </c>
      <c r="B6317" s="2">
        <f>IFERROR(__xludf.DUMMYFUNCTION("""COMPUTED_VALUE"""),92.21)</f>
        <v>92.21</v>
      </c>
      <c r="C6317" s="2">
        <f>IFERROR(__xludf.DUMMYFUNCTION("""COMPUTED_VALUE"""),92.63)</f>
        <v>92.63</v>
      </c>
      <c r="D6317" s="2">
        <f>IFERROR(__xludf.DUMMYFUNCTION("""COMPUTED_VALUE"""),91.74)</f>
        <v>91.74</v>
      </c>
      <c r="E6317" s="2">
        <f>IFERROR(__xludf.DUMMYFUNCTION("""COMPUTED_VALUE"""),91.89)</f>
        <v>91.89</v>
      </c>
      <c r="F6317" s="2">
        <f>IFERROR(__xludf.DUMMYFUNCTION("""COMPUTED_VALUE"""),4561800.0)</f>
        <v>4561800</v>
      </c>
    </row>
    <row r="6318">
      <c r="A6318" s="3">
        <f>IFERROR(__xludf.DUMMYFUNCTION("""COMPUTED_VALUE"""),38359.666666666664)</f>
        <v>38359.66667</v>
      </c>
      <c r="B6318" s="2">
        <f>IFERROR(__xludf.DUMMYFUNCTION("""COMPUTED_VALUE"""),92.17)</f>
        <v>92.17</v>
      </c>
      <c r="C6318" s="2">
        <f>IFERROR(__xludf.DUMMYFUNCTION("""COMPUTED_VALUE"""),92.46)</f>
        <v>92.46</v>
      </c>
      <c r="D6318" s="2">
        <f>IFERROR(__xludf.DUMMYFUNCTION("""COMPUTED_VALUE"""),91.19)</f>
        <v>91.19</v>
      </c>
      <c r="E6318" s="2">
        <f>IFERROR(__xludf.DUMMYFUNCTION("""COMPUTED_VALUE"""),91.49)</f>
        <v>91.49</v>
      </c>
      <c r="F6318" s="2">
        <f>IFERROR(__xludf.DUMMYFUNCTION("""COMPUTED_VALUE"""),6201100.0)</f>
        <v>6201100</v>
      </c>
    </row>
    <row r="6319">
      <c r="A6319" s="3">
        <f>IFERROR(__xludf.DUMMYFUNCTION("""COMPUTED_VALUE"""),38362.666666666664)</f>
        <v>38362.66667</v>
      </c>
      <c r="B6319" s="2">
        <f>IFERROR(__xludf.DUMMYFUNCTION("""COMPUTED_VALUE"""),91.49)</f>
        <v>91.49</v>
      </c>
      <c r="C6319" s="2">
        <f>IFERROR(__xludf.DUMMYFUNCTION("""COMPUTED_VALUE"""),91.78)</f>
        <v>91.78</v>
      </c>
      <c r="D6319" s="2">
        <f>IFERROR(__xludf.DUMMYFUNCTION("""COMPUTED_VALUE"""),90.97)</f>
        <v>90.97</v>
      </c>
      <c r="E6319" s="2">
        <f>IFERROR(__xludf.DUMMYFUNCTION("""COMPUTED_VALUE"""),91.39)</f>
        <v>91.39</v>
      </c>
      <c r="F6319" s="2">
        <f>IFERROR(__xludf.DUMMYFUNCTION("""COMPUTED_VALUE"""),4625700.0)</f>
        <v>4625700</v>
      </c>
    </row>
    <row r="6320">
      <c r="A6320" s="3">
        <f>IFERROR(__xludf.DUMMYFUNCTION("""COMPUTED_VALUE"""),38363.666666666664)</f>
        <v>38363.66667</v>
      </c>
      <c r="B6320" s="2">
        <f>IFERROR(__xludf.DUMMYFUNCTION("""COMPUTED_VALUE"""),91.39)</f>
        <v>91.39</v>
      </c>
      <c r="C6320" s="2">
        <f>IFERROR(__xludf.DUMMYFUNCTION("""COMPUTED_VALUE"""),91.5)</f>
        <v>91.5</v>
      </c>
      <c r="D6320" s="2">
        <f>IFERROR(__xludf.DUMMYFUNCTION("""COMPUTED_VALUE"""),90.46)</f>
        <v>90.46</v>
      </c>
      <c r="E6320" s="2">
        <f>IFERROR(__xludf.DUMMYFUNCTION("""COMPUTED_VALUE"""),90.74)</f>
        <v>90.74</v>
      </c>
      <c r="F6320" s="2">
        <f>IFERROR(__xludf.DUMMYFUNCTION("""COMPUTED_VALUE"""),4750800.0)</f>
        <v>4750800</v>
      </c>
    </row>
    <row r="6321">
      <c r="A6321" s="3">
        <f>IFERROR(__xludf.DUMMYFUNCTION("""COMPUTED_VALUE"""),38364.666666666664)</f>
        <v>38364.66667</v>
      </c>
      <c r="B6321" s="2">
        <f>IFERROR(__xludf.DUMMYFUNCTION("""COMPUTED_VALUE"""),90.74)</f>
        <v>90.74</v>
      </c>
      <c r="C6321" s="2">
        <f>IFERROR(__xludf.DUMMYFUNCTION("""COMPUTED_VALUE"""),91.01)</f>
        <v>91.01</v>
      </c>
      <c r="D6321" s="2">
        <f>IFERROR(__xludf.DUMMYFUNCTION("""COMPUTED_VALUE"""),89.84)</f>
        <v>89.84</v>
      </c>
      <c r="E6321" s="2">
        <f>IFERROR(__xludf.DUMMYFUNCTION("""COMPUTED_VALUE"""),90.94)</f>
        <v>90.94</v>
      </c>
      <c r="F6321" s="2">
        <f>IFERROR(__xludf.DUMMYFUNCTION("""COMPUTED_VALUE"""),5829800.0)</f>
        <v>5829800</v>
      </c>
    </row>
    <row r="6322">
      <c r="A6322" s="3">
        <f>IFERROR(__xludf.DUMMYFUNCTION("""COMPUTED_VALUE"""),38365.666666666664)</f>
        <v>38365.66667</v>
      </c>
      <c r="B6322" s="2">
        <f>IFERROR(__xludf.DUMMYFUNCTION("""COMPUTED_VALUE"""),91.11)</f>
        <v>91.11</v>
      </c>
      <c r="C6322" s="2">
        <f>IFERROR(__xludf.DUMMYFUNCTION("""COMPUTED_VALUE"""),91.89)</f>
        <v>91.89</v>
      </c>
      <c r="D6322" s="2">
        <f>IFERROR(__xludf.DUMMYFUNCTION("""COMPUTED_VALUE"""),89.5)</f>
        <v>89.5</v>
      </c>
      <c r="E6322" s="2">
        <f>IFERROR(__xludf.DUMMYFUNCTION("""COMPUTED_VALUE"""),90.22)</f>
        <v>90.22</v>
      </c>
      <c r="F6322" s="2">
        <f>IFERROR(__xludf.DUMMYFUNCTION("""COMPUTED_VALUE"""),5341200.0)</f>
        <v>5341200</v>
      </c>
    </row>
    <row r="6323">
      <c r="A6323" s="3">
        <f>IFERROR(__xludf.DUMMYFUNCTION("""COMPUTED_VALUE"""),38366.666666666664)</f>
        <v>38366.66667</v>
      </c>
      <c r="B6323" s="2">
        <f>IFERROR(__xludf.DUMMYFUNCTION("""COMPUTED_VALUE"""),89.79)</f>
        <v>89.79</v>
      </c>
      <c r="C6323" s="2">
        <f>IFERROR(__xludf.DUMMYFUNCTION("""COMPUTED_VALUE"""),90.02)</f>
        <v>90.02</v>
      </c>
      <c r="D6323" s="2">
        <f>IFERROR(__xludf.DUMMYFUNCTION("""COMPUTED_VALUE"""),89.36)</f>
        <v>89.36</v>
      </c>
      <c r="E6323" s="2">
        <f>IFERROR(__xludf.DUMMYFUNCTION("""COMPUTED_VALUE"""),89.88)</f>
        <v>89.88</v>
      </c>
      <c r="F6323" s="2">
        <f>IFERROR(__xludf.DUMMYFUNCTION("""COMPUTED_VALUE"""),5520900.0)</f>
        <v>5520900</v>
      </c>
    </row>
    <row r="6324">
      <c r="A6324" s="3">
        <f>IFERROR(__xludf.DUMMYFUNCTION("""COMPUTED_VALUE"""),38370.666666666664)</f>
        <v>38370.66667</v>
      </c>
      <c r="B6324" s="2">
        <f>IFERROR(__xludf.DUMMYFUNCTION("""COMPUTED_VALUE"""),89.45)</f>
        <v>89.45</v>
      </c>
      <c r="C6324" s="2">
        <f>IFERROR(__xludf.DUMMYFUNCTION("""COMPUTED_VALUE"""),91.07)</f>
        <v>91.07</v>
      </c>
      <c r="D6324" s="2">
        <f>IFERROR(__xludf.DUMMYFUNCTION("""COMPUTED_VALUE"""),89.42)</f>
        <v>89.42</v>
      </c>
      <c r="E6324" s="2">
        <f>IFERROR(__xludf.DUMMYFUNCTION("""COMPUTED_VALUE"""),90.65)</f>
        <v>90.65</v>
      </c>
      <c r="F6324" s="2">
        <f>IFERROR(__xludf.DUMMYFUNCTION("""COMPUTED_VALUE"""),8643300.0)</f>
        <v>8643300</v>
      </c>
    </row>
    <row r="6325">
      <c r="A6325" s="3">
        <f>IFERROR(__xludf.DUMMYFUNCTION("""COMPUTED_VALUE"""),38371.666666666664)</f>
        <v>38371.66667</v>
      </c>
      <c r="B6325" s="2">
        <f>IFERROR(__xludf.DUMMYFUNCTION("""COMPUTED_VALUE"""),90.69)</f>
        <v>90.69</v>
      </c>
      <c r="C6325" s="2">
        <f>IFERROR(__xludf.DUMMYFUNCTION("""COMPUTED_VALUE"""),90.88)</f>
        <v>90.88</v>
      </c>
      <c r="D6325" s="2">
        <f>IFERROR(__xludf.DUMMYFUNCTION("""COMPUTED_VALUE"""),88.76)</f>
        <v>88.76</v>
      </c>
      <c r="E6325" s="2">
        <f>IFERROR(__xludf.DUMMYFUNCTION("""COMPUTED_VALUE"""),88.93)</f>
        <v>88.93</v>
      </c>
      <c r="F6325" s="2">
        <f>IFERROR(__xludf.DUMMYFUNCTION("""COMPUTED_VALUE"""),7476300.0)</f>
        <v>7476300</v>
      </c>
    </row>
    <row r="6326">
      <c r="A6326" s="3">
        <f>IFERROR(__xludf.DUMMYFUNCTION("""COMPUTED_VALUE"""),38372.666666666664)</f>
        <v>38372.66667</v>
      </c>
      <c r="B6326" s="2">
        <f>IFERROR(__xludf.DUMMYFUNCTION("""COMPUTED_VALUE"""),88.54)</f>
        <v>88.54</v>
      </c>
      <c r="C6326" s="2">
        <f>IFERROR(__xludf.DUMMYFUNCTION("""COMPUTED_VALUE"""),89.63)</f>
        <v>89.63</v>
      </c>
      <c r="D6326" s="2">
        <f>IFERROR(__xludf.DUMMYFUNCTION("""COMPUTED_VALUE"""),88.45)</f>
        <v>88.45</v>
      </c>
      <c r="E6326" s="2">
        <f>IFERROR(__xludf.DUMMYFUNCTION("""COMPUTED_VALUE"""),88.83)</f>
        <v>88.83</v>
      </c>
      <c r="F6326" s="2">
        <f>IFERROR(__xludf.DUMMYFUNCTION("""COMPUTED_VALUE"""),5708600.0)</f>
        <v>5708600</v>
      </c>
    </row>
    <row r="6327">
      <c r="A6327" s="3">
        <f>IFERROR(__xludf.DUMMYFUNCTION("""COMPUTED_VALUE"""),38373.666666666664)</f>
        <v>38373.66667</v>
      </c>
      <c r="B6327" s="2">
        <f>IFERROR(__xludf.DUMMYFUNCTION("""COMPUTED_VALUE"""),88.83)</f>
        <v>88.83</v>
      </c>
      <c r="C6327" s="2">
        <f>IFERROR(__xludf.DUMMYFUNCTION("""COMPUTED_VALUE"""),89.12)</f>
        <v>89.12</v>
      </c>
      <c r="D6327" s="2">
        <f>IFERROR(__xludf.DUMMYFUNCTION("""COMPUTED_VALUE"""),88.09)</f>
        <v>88.09</v>
      </c>
      <c r="E6327" s="2">
        <f>IFERROR(__xludf.DUMMYFUNCTION("""COMPUTED_VALUE"""),88.24)</f>
        <v>88.24</v>
      </c>
      <c r="F6327" s="2">
        <f>IFERROR(__xludf.DUMMYFUNCTION("""COMPUTED_VALUE"""),7002600.0)</f>
        <v>7002600</v>
      </c>
    </row>
    <row r="6328">
      <c r="A6328" s="3">
        <f>IFERROR(__xludf.DUMMYFUNCTION("""COMPUTED_VALUE"""),38376.666666666664)</f>
        <v>38376.66667</v>
      </c>
      <c r="B6328" s="2">
        <f>IFERROR(__xludf.DUMMYFUNCTION("""COMPUTED_VALUE"""),88.54)</f>
        <v>88.54</v>
      </c>
      <c r="C6328" s="2">
        <f>IFERROR(__xludf.DUMMYFUNCTION("""COMPUTED_VALUE"""),88.69)</f>
        <v>88.69</v>
      </c>
      <c r="D6328" s="2">
        <f>IFERROR(__xludf.DUMMYFUNCTION("""COMPUTED_VALUE"""),87.65)</f>
        <v>87.65</v>
      </c>
      <c r="E6328" s="2">
        <f>IFERROR(__xludf.DUMMYFUNCTION("""COMPUTED_VALUE"""),87.67)</f>
        <v>87.67</v>
      </c>
      <c r="F6328" s="2">
        <f>IFERROR(__xludf.DUMMYFUNCTION("""COMPUTED_VALUE"""),6673400.0)</f>
        <v>6673400</v>
      </c>
    </row>
    <row r="6329">
      <c r="A6329" s="3">
        <f>IFERROR(__xludf.DUMMYFUNCTION("""COMPUTED_VALUE"""),38377.666666666664)</f>
        <v>38377.66667</v>
      </c>
      <c r="B6329" s="2">
        <f>IFERROR(__xludf.DUMMYFUNCTION("""COMPUTED_VALUE"""),87.86)</f>
        <v>87.86</v>
      </c>
      <c r="C6329" s="2">
        <f>IFERROR(__xludf.DUMMYFUNCTION("""COMPUTED_VALUE"""),88.44)</f>
        <v>88.44</v>
      </c>
      <c r="D6329" s="2">
        <f>IFERROR(__xludf.DUMMYFUNCTION("""COMPUTED_VALUE"""),87.83)</f>
        <v>87.83</v>
      </c>
      <c r="E6329" s="2">
        <f>IFERROR(__xludf.DUMMYFUNCTION("""COMPUTED_VALUE"""),88.06)</f>
        <v>88.06</v>
      </c>
      <c r="F6329" s="2">
        <f>IFERROR(__xludf.DUMMYFUNCTION("""COMPUTED_VALUE"""),5070700.0)</f>
        <v>5070700</v>
      </c>
    </row>
    <row r="6330">
      <c r="A6330" s="3">
        <f>IFERROR(__xludf.DUMMYFUNCTION("""COMPUTED_VALUE"""),38378.666666666664)</f>
        <v>38378.66667</v>
      </c>
      <c r="B6330" s="2">
        <f>IFERROR(__xludf.DUMMYFUNCTION("""COMPUTED_VALUE"""),88.16)</f>
        <v>88.16</v>
      </c>
      <c r="C6330" s="2">
        <f>IFERROR(__xludf.DUMMYFUNCTION("""COMPUTED_VALUE"""),88.71)</f>
        <v>88.71</v>
      </c>
      <c r="D6330" s="2">
        <f>IFERROR(__xludf.DUMMYFUNCTION("""COMPUTED_VALUE"""),87.82)</f>
        <v>87.82</v>
      </c>
      <c r="E6330" s="2">
        <f>IFERROR(__xludf.DUMMYFUNCTION("""COMPUTED_VALUE"""),87.83)</f>
        <v>87.83</v>
      </c>
      <c r="F6330" s="2">
        <f>IFERROR(__xludf.DUMMYFUNCTION("""COMPUTED_VALUE"""),5143000.0)</f>
        <v>5143000</v>
      </c>
    </row>
    <row r="6331">
      <c r="A6331" s="3">
        <f>IFERROR(__xludf.DUMMYFUNCTION("""COMPUTED_VALUE"""),38379.666666666664)</f>
        <v>38379.66667</v>
      </c>
      <c r="B6331" s="2">
        <f>IFERROR(__xludf.DUMMYFUNCTION("""COMPUTED_VALUE"""),87.4)</f>
        <v>87.4</v>
      </c>
      <c r="C6331" s="2">
        <f>IFERROR(__xludf.DUMMYFUNCTION("""COMPUTED_VALUE"""),88.09)</f>
        <v>88.09</v>
      </c>
      <c r="D6331" s="2">
        <f>IFERROR(__xludf.DUMMYFUNCTION("""COMPUTED_VALUE"""),87.34)</f>
        <v>87.34</v>
      </c>
      <c r="E6331" s="2">
        <f>IFERROR(__xludf.DUMMYFUNCTION("""COMPUTED_VALUE"""),87.86)</f>
        <v>87.86</v>
      </c>
      <c r="F6331" s="2">
        <f>IFERROR(__xludf.DUMMYFUNCTION("""COMPUTED_VALUE"""),4749200.0)</f>
        <v>4749200</v>
      </c>
    </row>
    <row r="6332">
      <c r="A6332" s="3">
        <f>IFERROR(__xludf.DUMMYFUNCTION("""COMPUTED_VALUE"""),38380.666666666664)</f>
        <v>38380.66667</v>
      </c>
      <c r="B6332" s="2">
        <f>IFERROR(__xludf.DUMMYFUNCTION("""COMPUTED_VALUE"""),88.52)</f>
        <v>88.52</v>
      </c>
      <c r="C6332" s="2">
        <f>IFERROR(__xludf.DUMMYFUNCTION("""COMPUTED_VALUE"""),89.39)</f>
        <v>89.39</v>
      </c>
      <c r="D6332" s="2">
        <f>IFERROR(__xludf.DUMMYFUNCTION("""COMPUTED_VALUE"""),88.33)</f>
        <v>88.33</v>
      </c>
      <c r="E6332" s="2">
        <f>IFERROR(__xludf.DUMMYFUNCTION("""COMPUTED_VALUE"""),88.73)</f>
        <v>88.73</v>
      </c>
      <c r="F6332" s="2">
        <f>IFERROR(__xludf.DUMMYFUNCTION("""COMPUTED_VALUE"""),5960800.0)</f>
        <v>5960800</v>
      </c>
    </row>
    <row r="6333">
      <c r="A6333" s="3">
        <f>IFERROR(__xludf.DUMMYFUNCTION("""COMPUTED_VALUE"""),38383.666666666664)</f>
        <v>38383.66667</v>
      </c>
      <c r="B6333" s="2">
        <f>IFERROR(__xludf.DUMMYFUNCTION("""COMPUTED_VALUE"""),89.45)</f>
        <v>89.45</v>
      </c>
      <c r="C6333" s="2">
        <f>IFERROR(__xludf.DUMMYFUNCTION("""COMPUTED_VALUE"""),89.74)</f>
        <v>89.74</v>
      </c>
      <c r="D6333" s="2">
        <f>IFERROR(__xludf.DUMMYFUNCTION("""COMPUTED_VALUE"""),88.88)</f>
        <v>88.88</v>
      </c>
      <c r="E6333" s="2">
        <f>IFERROR(__xludf.DUMMYFUNCTION("""COMPUTED_VALUE"""),89.23)</f>
        <v>89.23</v>
      </c>
      <c r="F6333" s="2">
        <f>IFERROR(__xludf.DUMMYFUNCTION("""COMPUTED_VALUE"""),4890300.0)</f>
        <v>4890300</v>
      </c>
    </row>
    <row r="6334">
      <c r="A6334" s="3">
        <f>IFERROR(__xludf.DUMMYFUNCTION("""COMPUTED_VALUE"""),38384.666666666664)</f>
        <v>38384.66667</v>
      </c>
      <c r="B6334" s="2">
        <f>IFERROR(__xludf.DUMMYFUNCTION("""COMPUTED_VALUE"""),89.47)</f>
        <v>89.47</v>
      </c>
      <c r="C6334" s="2">
        <f>IFERROR(__xludf.DUMMYFUNCTION("""COMPUTED_VALUE"""),89.79)</f>
        <v>89.79</v>
      </c>
      <c r="D6334" s="2">
        <f>IFERROR(__xludf.DUMMYFUNCTION("""COMPUTED_VALUE"""),89.18)</f>
        <v>89.18</v>
      </c>
      <c r="E6334" s="2">
        <f>IFERROR(__xludf.DUMMYFUNCTION("""COMPUTED_VALUE"""),89.65)</f>
        <v>89.65</v>
      </c>
      <c r="F6334" s="2">
        <f>IFERROR(__xludf.DUMMYFUNCTION("""COMPUTED_VALUE"""),3643600.0)</f>
        <v>3643600</v>
      </c>
    </row>
    <row r="6335">
      <c r="A6335" s="3">
        <f>IFERROR(__xludf.DUMMYFUNCTION("""COMPUTED_VALUE"""),38385.666666666664)</f>
        <v>38385.66667</v>
      </c>
      <c r="B6335" s="2">
        <f>IFERROR(__xludf.DUMMYFUNCTION("""COMPUTED_VALUE"""),89.58)</f>
        <v>89.58</v>
      </c>
      <c r="C6335" s="2">
        <f>IFERROR(__xludf.DUMMYFUNCTION("""COMPUTED_VALUE"""),90.12)</f>
        <v>90.12</v>
      </c>
      <c r="D6335" s="2">
        <f>IFERROR(__xludf.DUMMYFUNCTION("""COMPUTED_VALUE"""),89.43)</f>
        <v>89.43</v>
      </c>
      <c r="E6335" s="2">
        <f>IFERROR(__xludf.DUMMYFUNCTION("""COMPUTED_VALUE"""),90.07)</f>
        <v>90.07</v>
      </c>
      <c r="F6335" s="2">
        <f>IFERROR(__xludf.DUMMYFUNCTION("""COMPUTED_VALUE"""),3753400.0)</f>
        <v>3753400</v>
      </c>
    </row>
    <row r="6336">
      <c r="A6336" s="3">
        <f>IFERROR(__xludf.DUMMYFUNCTION("""COMPUTED_VALUE"""),38386.666666666664)</f>
        <v>38386.66667</v>
      </c>
      <c r="B6336" s="2">
        <f>IFERROR(__xludf.DUMMYFUNCTION("""COMPUTED_VALUE"""),89.66)</f>
        <v>89.66</v>
      </c>
      <c r="C6336" s="2">
        <f>IFERROR(__xludf.DUMMYFUNCTION("""COMPUTED_VALUE"""),89.73)</f>
        <v>89.73</v>
      </c>
      <c r="D6336" s="2">
        <f>IFERROR(__xludf.DUMMYFUNCTION("""COMPUTED_VALUE"""),88.89)</f>
        <v>88.89</v>
      </c>
      <c r="E6336" s="2">
        <f>IFERROR(__xludf.DUMMYFUNCTION("""COMPUTED_VALUE"""),89.35)</f>
        <v>89.35</v>
      </c>
      <c r="F6336" s="2">
        <f>IFERROR(__xludf.DUMMYFUNCTION("""COMPUTED_VALUE"""),3944200.0)</f>
        <v>3944200</v>
      </c>
    </row>
    <row r="6337">
      <c r="A6337" s="3">
        <f>IFERROR(__xludf.DUMMYFUNCTION("""COMPUTED_VALUE"""),38387.666666666664)</f>
        <v>38387.66667</v>
      </c>
      <c r="B6337" s="2">
        <f>IFERROR(__xludf.DUMMYFUNCTION("""COMPUTED_VALUE"""),88.84)</f>
        <v>88.84</v>
      </c>
      <c r="C6337" s="2">
        <f>IFERROR(__xludf.DUMMYFUNCTION("""COMPUTED_VALUE"""),90.49)</f>
        <v>90.49</v>
      </c>
      <c r="D6337" s="2">
        <f>IFERROR(__xludf.DUMMYFUNCTION("""COMPUTED_VALUE"""),88.83)</f>
        <v>88.83</v>
      </c>
      <c r="E6337" s="2">
        <f>IFERROR(__xludf.DUMMYFUNCTION("""COMPUTED_VALUE"""),90.27)</f>
        <v>90.27</v>
      </c>
      <c r="F6337" s="2">
        <f>IFERROR(__xludf.DUMMYFUNCTION("""COMPUTED_VALUE"""),3807600.0)</f>
        <v>3807600</v>
      </c>
    </row>
    <row r="6338">
      <c r="A6338" s="3">
        <f>IFERROR(__xludf.DUMMYFUNCTION("""COMPUTED_VALUE"""),38390.666666666664)</f>
        <v>38390.66667</v>
      </c>
      <c r="B6338" s="2">
        <f>IFERROR(__xludf.DUMMYFUNCTION("""COMPUTED_VALUE"""),90.12)</f>
        <v>90.12</v>
      </c>
      <c r="C6338" s="2">
        <f>IFERROR(__xludf.DUMMYFUNCTION("""COMPUTED_VALUE"""),90.65)</f>
        <v>90.65</v>
      </c>
      <c r="D6338" s="2">
        <f>IFERROR(__xludf.DUMMYFUNCTION("""COMPUTED_VALUE"""),90.1)</f>
        <v>90.1</v>
      </c>
      <c r="E6338" s="2">
        <f>IFERROR(__xludf.DUMMYFUNCTION("""COMPUTED_VALUE"""),90.29)</f>
        <v>90.29</v>
      </c>
      <c r="F6338" s="2">
        <f>IFERROR(__xludf.DUMMYFUNCTION("""COMPUTED_VALUE"""),2839900.0)</f>
        <v>2839900</v>
      </c>
    </row>
    <row r="6339">
      <c r="A6339" s="3">
        <f>IFERROR(__xludf.DUMMYFUNCTION("""COMPUTED_VALUE"""),38391.666666666664)</f>
        <v>38391.66667</v>
      </c>
      <c r="B6339" s="2">
        <f>IFERROR(__xludf.DUMMYFUNCTION("""COMPUTED_VALUE"""),90.05)</f>
        <v>90.05</v>
      </c>
      <c r="C6339" s="2">
        <f>IFERROR(__xludf.DUMMYFUNCTION("""COMPUTED_VALUE"""),90.4)</f>
        <v>90.4</v>
      </c>
      <c r="D6339" s="2">
        <f>IFERROR(__xludf.DUMMYFUNCTION("""COMPUTED_VALUE"""),89.91)</f>
        <v>89.91</v>
      </c>
      <c r="E6339" s="2">
        <f>IFERROR(__xludf.DUMMYFUNCTION("""COMPUTED_VALUE"""),89.91)</f>
        <v>89.91</v>
      </c>
      <c r="F6339" s="2">
        <f>IFERROR(__xludf.DUMMYFUNCTION("""COMPUTED_VALUE"""),3537600.0)</f>
        <v>3537600</v>
      </c>
    </row>
    <row r="6340">
      <c r="A6340" s="3">
        <f>IFERROR(__xludf.DUMMYFUNCTION("""COMPUTED_VALUE"""),38392.666666666664)</f>
        <v>38392.66667</v>
      </c>
      <c r="B6340" s="2">
        <f>IFERROR(__xludf.DUMMYFUNCTION("""COMPUTED_VALUE"""),89.92)</f>
        <v>89.92</v>
      </c>
      <c r="C6340" s="2">
        <f>IFERROR(__xludf.DUMMYFUNCTION("""COMPUTED_VALUE"""),90.58)</f>
        <v>90.58</v>
      </c>
      <c r="D6340" s="2">
        <f>IFERROR(__xludf.DUMMYFUNCTION("""COMPUTED_VALUE"""),88.39)</f>
        <v>88.39</v>
      </c>
      <c r="E6340" s="2">
        <f>IFERROR(__xludf.DUMMYFUNCTION("""COMPUTED_VALUE"""),88.54)</f>
        <v>88.54</v>
      </c>
      <c r="F6340" s="2">
        <f>IFERROR(__xludf.DUMMYFUNCTION("""COMPUTED_VALUE"""),5664200.0)</f>
        <v>5664200</v>
      </c>
    </row>
    <row r="6341">
      <c r="A6341" s="3">
        <f>IFERROR(__xludf.DUMMYFUNCTION("""COMPUTED_VALUE"""),38393.666666666664)</f>
        <v>38393.66667</v>
      </c>
      <c r="B6341" s="2">
        <f>IFERROR(__xludf.DUMMYFUNCTION("""COMPUTED_VALUE"""),88.78)</f>
        <v>88.78</v>
      </c>
      <c r="C6341" s="2">
        <f>IFERROR(__xludf.DUMMYFUNCTION("""COMPUTED_VALUE"""),88.93)</f>
        <v>88.93</v>
      </c>
      <c r="D6341" s="2">
        <f>IFERROR(__xludf.DUMMYFUNCTION("""COMPUTED_VALUE"""),88.16)</f>
        <v>88.16</v>
      </c>
      <c r="E6341" s="2">
        <f>IFERROR(__xludf.DUMMYFUNCTION("""COMPUTED_VALUE"""),88.6)</f>
        <v>88.6</v>
      </c>
      <c r="F6341" s="2">
        <f>IFERROR(__xludf.DUMMYFUNCTION("""COMPUTED_VALUE"""),4838900.0)</f>
        <v>4838900</v>
      </c>
    </row>
    <row r="6342">
      <c r="A6342" s="3">
        <f>IFERROR(__xludf.DUMMYFUNCTION("""COMPUTED_VALUE"""),38394.666666666664)</f>
        <v>38394.66667</v>
      </c>
      <c r="B6342" s="2">
        <f>IFERROR(__xludf.DUMMYFUNCTION("""COMPUTED_VALUE"""),88.54)</f>
        <v>88.54</v>
      </c>
      <c r="C6342" s="2">
        <f>IFERROR(__xludf.DUMMYFUNCTION("""COMPUTED_VALUE"""),89.76)</f>
        <v>89.76</v>
      </c>
      <c r="D6342" s="2">
        <f>IFERROR(__xludf.DUMMYFUNCTION("""COMPUTED_VALUE"""),88.35)</f>
        <v>88.35</v>
      </c>
      <c r="E6342" s="2">
        <f>IFERROR(__xludf.DUMMYFUNCTION("""COMPUTED_VALUE"""),89.12)</f>
        <v>89.12</v>
      </c>
      <c r="F6342" s="2">
        <f>IFERROR(__xludf.DUMMYFUNCTION("""COMPUTED_VALUE"""),4233000.0)</f>
        <v>4233000</v>
      </c>
    </row>
    <row r="6343">
      <c r="A6343" s="3">
        <f>IFERROR(__xludf.DUMMYFUNCTION("""COMPUTED_VALUE"""),38397.666666666664)</f>
        <v>38397.66667</v>
      </c>
      <c r="B6343" s="2">
        <f>IFERROR(__xludf.DUMMYFUNCTION("""COMPUTED_VALUE"""),88.98)</f>
        <v>88.98</v>
      </c>
      <c r="C6343" s="2">
        <f>IFERROR(__xludf.DUMMYFUNCTION("""COMPUTED_VALUE"""),89.8)</f>
        <v>89.8</v>
      </c>
      <c r="D6343" s="2">
        <f>IFERROR(__xludf.DUMMYFUNCTION("""COMPUTED_VALUE"""),88.98)</f>
        <v>88.98</v>
      </c>
      <c r="E6343" s="2">
        <f>IFERROR(__xludf.DUMMYFUNCTION("""COMPUTED_VALUE"""),89.37)</f>
        <v>89.37</v>
      </c>
      <c r="F6343" s="2">
        <f>IFERROR(__xludf.DUMMYFUNCTION("""COMPUTED_VALUE"""),2868800.0)</f>
        <v>2868800</v>
      </c>
    </row>
    <row r="6344">
      <c r="A6344" s="3">
        <f>IFERROR(__xludf.DUMMYFUNCTION("""COMPUTED_VALUE"""),38398.666666666664)</f>
        <v>38398.66667</v>
      </c>
      <c r="B6344" s="2">
        <f>IFERROR(__xludf.DUMMYFUNCTION("""COMPUTED_VALUE"""),89.31)</f>
        <v>89.31</v>
      </c>
      <c r="C6344" s="2">
        <f>IFERROR(__xludf.DUMMYFUNCTION("""COMPUTED_VALUE"""),90.43)</f>
        <v>90.43</v>
      </c>
      <c r="D6344" s="2">
        <f>IFERROR(__xludf.DUMMYFUNCTION("""COMPUTED_VALUE"""),89.29)</f>
        <v>89.29</v>
      </c>
      <c r="E6344" s="2">
        <f>IFERROR(__xludf.DUMMYFUNCTION("""COMPUTED_VALUE"""),90.1)</f>
        <v>90.1</v>
      </c>
      <c r="F6344" s="2">
        <f>IFERROR(__xludf.DUMMYFUNCTION("""COMPUTED_VALUE"""),4299200.0)</f>
        <v>4299200</v>
      </c>
    </row>
    <row r="6345">
      <c r="A6345" s="3">
        <f>IFERROR(__xludf.DUMMYFUNCTION("""COMPUTED_VALUE"""),38399.666666666664)</f>
        <v>38399.66667</v>
      </c>
      <c r="B6345" s="2">
        <f>IFERROR(__xludf.DUMMYFUNCTION("""COMPUTED_VALUE"""),90.01)</f>
        <v>90.01</v>
      </c>
      <c r="C6345" s="2">
        <f>IFERROR(__xludf.DUMMYFUNCTION("""COMPUTED_VALUE"""),90.71)</f>
        <v>90.71</v>
      </c>
      <c r="D6345" s="2">
        <f>IFERROR(__xludf.DUMMYFUNCTION("""COMPUTED_VALUE"""),89.98)</f>
        <v>89.98</v>
      </c>
      <c r="E6345" s="2">
        <f>IFERROR(__xludf.DUMMYFUNCTION("""COMPUTED_VALUE"""),90.38)</f>
        <v>90.38</v>
      </c>
      <c r="F6345" s="2">
        <f>IFERROR(__xludf.DUMMYFUNCTION("""COMPUTED_VALUE"""),4535600.0)</f>
        <v>4535600</v>
      </c>
    </row>
    <row r="6346">
      <c r="A6346" s="3">
        <f>IFERROR(__xludf.DUMMYFUNCTION("""COMPUTED_VALUE"""),38400.666666666664)</f>
        <v>38400.66667</v>
      </c>
      <c r="B6346" s="2">
        <f>IFERROR(__xludf.DUMMYFUNCTION("""COMPUTED_VALUE"""),90.26)</f>
        <v>90.26</v>
      </c>
      <c r="C6346" s="2">
        <f>IFERROR(__xludf.DUMMYFUNCTION("""COMPUTED_VALUE"""),90.51)</f>
        <v>90.51</v>
      </c>
      <c r="D6346" s="2">
        <f>IFERROR(__xludf.DUMMYFUNCTION("""COMPUTED_VALUE"""),89.54)</f>
        <v>89.54</v>
      </c>
      <c r="E6346" s="2">
        <f>IFERROR(__xludf.DUMMYFUNCTION("""COMPUTED_VALUE"""),89.55)</f>
        <v>89.55</v>
      </c>
      <c r="F6346" s="2">
        <f>IFERROR(__xludf.DUMMYFUNCTION("""COMPUTED_VALUE"""),4259300.0)</f>
        <v>4259300</v>
      </c>
    </row>
    <row r="6347">
      <c r="A6347" s="3">
        <f>IFERROR(__xludf.DUMMYFUNCTION("""COMPUTED_VALUE"""),38401.666666666664)</f>
        <v>38401.66667</v>
      </c>
      <c r="B6347" s="2">
        <f>IFERROR(__xludf.DUMMYFUNCTION("""COMPUTED_VALUE"""),89.55)</f>
        <v>89.55</v>
      </c>
      <c r="C6347" s="2">
        <f>IFERROR(__xludf.DUMMYFUNCTION("""COMPUTED_VALUE"""),90.02)</f>
        <v>90.02</v>
      </c>
      <c r="D6347" s="2">
        <f>IFERROR(__xludf.DUMMYFUNCTION("""COMPUTED_VALUE"""),88.4)</f>
        <v>88.4</v>
      </c>
      <c r="E6347" s="2">
        <f>IFERROR(__xludf.DUMMYFUNCTION("""COMPUTED_VALUE"""),89.09)</f>
        <v>89.09</v>
      </c>
      <c r="F6347" s="2">
        <f>IFERROR(__xludf.DUMMYFUNCTION("""COMPUTED_VALUE"""),4389500.0)</f>
        <v>4389500</v>
      </c>
    </row>
    <row r="6348">
      <c r="A6348" s="3">
        <f>IFERROR(__xludf.DUMMYFUNCTION("""COMPUTED_VALUE"""),38405.666666666664)</f>
        <v>38405.66667</v>
      </c>
      <c r="B6348" s="2">
        <f>IFERROR(__xludf.DUMMYFUNCTION("""COMPUTED_VALUE"""),88.52)</f>
        <v>88.52</v>
      </c>
      <c r="C6348" s="2">
        <f>IFERROR(__xludf.DUMMYFUNCTION("""COMPUTED_VALUE"""),89.31)</f>
        <v>89.31</v>
      </c>
      <c r="D6348" s="2">
        <f>IFERROR(__xludf.DUMMYFUNCTION("""COMPUTED_VALUE"""),88.09)</f>
        <v>88.09</v>
      </c>
      <c r="E6348" s="2">
        <f>IFERROR(__xludf.DUMMYFUNCTION("""COMPUTED_VALUE"""),88.18)</f>
        <v>88.18</v>
      </c>
      <c r="F6348" s="2">
        <f>IFERROR(__xludf.DUMMYFUNCTION("""COMPUTED_VALUE"""),4835300.0)</f>
        <v>4835300</v>
      </c>
    </row>
    <row r="6349">
      <c r="A6349" s="3">
        <f>IFERROR(__xludf.DUMMYFUNCTION("""COMPUTED_VALUE"""),38406.666666666664)</f>
        <v>38406.66667</v>
      </c>
      <c r="B6349" s="2">
        <f>IFERROR(__xludf.DUMMYFUNCTION("""COMPUTED_VALUE"""),88.15)</f>
        <v>88.15</v>
      </c>
      <c r="C6349" s="2">
        <f>IFERROR(__xludf.DUMMYFUNCTION("""COMPUTED_VALUE"""),88.3)</f>
        <v>88.3</v>
      </c>
      <c r="D6349" s="2">
        <f>IFERROR(__xludf.DUMMYFUNCTION("""COMPUTED_VALUE"""),87.45)</f>
        <v>87.45</v>
      </c>
      <c r="E6349" s="2">
        <f>IFERROR(__xludf.DUMMYFUNCTION("""COMPUTED_VALUE"""),87.97)</f>
        <v>87.97</v>
      </c>
      <c r="F6349" s="2">
        <f>IFERROR(__xludf.DUMMYFUNCTION("""COMPUTED_VALUE"""),5622800.0)</f>
        <v>5622800</v>
      </c>
    </row>
    <row r="6350">
      <c r="A6350" s="3">
        <f>IFERROR(__xludf.DUMMYFUNCTION("""COMPUTED_VALUE"""),38407.666666666664)</f>
        <v>38407.66667</v>
      </c>
      <c r="B6350" s="2">
        <f>IFERROR(__xludf.DUMMYFUNCTION("""COMPUTED_VALUE"""),87.86)</f>
        <v>87.86</v>
      </c>
      <c r="C6350" s="2">
        <f>IFERROR(__xludf.DUMMYFUNCTION("""COMPUTED_VALUE"""),88.92)</f>
        <v>88.92</v>
      </c>
      <c r="D6350" s="2">
        <f>IFERROR(__xludf.DUMMYFUNCTION("""COMPUTED_VALUE"""),87.73)</f>
        <v>87.73</v>
      </c>
      <c r="E6350" s="2">
        <f>IFERROR(__xludf.DUMMYFUNCTION("""COMPUTED_VALUE"""),88.49)</f>
        <v>88.49</v>
      </c>
      <c r="F6350" s="2">
        <f>IFERROR(__xludf.DUMMYFUNCTION("""COMPUTED_VALUE"""),4154000.0)</f>
        <v>4154000</v>
      </c>
    </row>
    <row r="6351">
      <c r="A6351" s="3">
        <f>IFERROR(__xludf.DUMMYFUNCTION("""COMPUTED_VALUE"""),38408.666666666664)</f>
        <v>38408.66667</v>
      </c>
      <c r="B6351" s="2">
        <f>IFERROR(__xludf.DUMMYFUNCTION("""COMPUTED_VALUE"""),88.21)</f>
        <v>88.21</v>
      </c>
      <c r="C6351" s="2">
        <f>IFERROR(__xludf.DUMMYFUNCTION("""COMPUTED_VALUE"""),88.64)</f>
        <v>88.64</v>
      </c>
      <c r="D6351" s="2">
        <f>IFERROR(__xludf.DUMMYFUNCTION("""COMPUTED_VALUE"""),88.15)</f>
        <v>88.15</v>
      </c>
      <c r="E6351" s="2">
        <f>IFERROR(__xludf.DUMMYFUNCTION("""COMPUTED_VALUE"""),88.64)</f>
        <v>88.64</v>
      </c>
      <c r="F6351" s="2">
        <f>IFERROR(__xludf.DUMMYFUNCTION("""COMPUTED_VALUE"""),4081300.0)</f>
        <v>4081300</v>
      </c>
    </row>
    <row r="6352">
      <c r="A6352" s="3">
        <f>IFERROR(__xludf.DUMMYFUNCTION("""COMPUTED_VALUE"""),38411.666666666664)</f>
        <v>38411.66667</v>
      </c>
      <c r="B6352" s="2">
        <f>IFERROR(__xludf.DUMMYFUNCTION("""COMPUTED_VALUE"""),88.38)</f>
        <v>88.38</v>
      </c>
      <c r="C6352" s="2">
        <f>IFERROR(__xludf.DUMMYFUNCTION("""COMPUTED_VALUE"""),88.6)</f>
        <v>88.6</v>
      </c>
      <c r="D6352" s="2">
        <f>IFERROR(__xludf.DUMMYFUNCTION("""COMPUTED_VALUE"""),88.27)</f>
        <v>88.27</v>
      </c>
      <c r="E6352" s="2">
        <f>IFERROR(__xludf.DUMMYFUNCTION("""COMPUTED_VALUE"""),88.43)</f>
        <v>88.43</v>
      </c>
      <c r="F6352" s="2">
        <f>IFERROR(__xludf.DUMMYFUNCTION("""COMPUTED_VALUE"""),4964000.0)</f>
        <v>4964000</v>
      </c>
    </row>
    <row r="6353">
      <c r="A6353" s="3">
        <f>IFERROR(__xludf.DUMMYFUNCTION("""COMPUTED_VALUE"""),38412.666666666664)</f>
        <v>38412.66667</v>
      </c>
      <c r="B6353" s="2">
        <f>IFERROR(__xludf.DUMMYFUNCTION("""COMPUTED_VALUE"""),88.49)</f>
        <v>88.49</v>
      </c>
      <c r="C6353" s="2">
        <f>IFERROR(__xludf.DUMMYFUNCTION("""COMPUTED_VALUE"""),89.24)</f>
        <v>89.24</v>
      </c>
      <c r="D6353" s="2">
        <f>IFERROR(__xludf.DUMMYFUNCTION("""COMPUTED_VALUE"""),88.44)</f>
        <v>88.44</v>
      </c>
      <c r="E6353" s="2">
        <f>IFERROR(__xludf.DUMMYFUNCTION("""COMPUTED_VALUE"""),89.12)</f>
        <v>89.12</v>
      </c>
      <c r="F6353" s="2">
        <f>IFERROR(__xludf.DUMMYFUNCTION("""COMPUTED_VALUE"""),3821900.0)</f>
        <v>3821900</v>
      </c>
    </row>
    <row r="6354">
      <c r="A6354" s="3">
        <f>IFERROR(__xludf.DUMMYFUNCTION("""COMPUTED_VALUE"""),38413.666666666664)</f>
        <v>38413.66667</v>
      </c>
      <c r="B6354" s="2">
        <f>IFERROR(__xludf.DUMMYFUNCTION("""COMPUTED_VALUE"""),88.59)</f>
        <v>88.59</v>
      </c>
      <c r="C6354" s="2">
        <f>IFERROR(__xludf.DUMMYFUNCTION("""COMPUTED_VALUE"""),89.53)</f>
        <v>89.53</v>
      </c>
      <c r="D6354" s="2">
        <f>IFERROR(__xludf.DUMMYFUNCTION("""COMPUTED_VALUE"""),88.59)</f>
        <v>88.59</v>
      </c>
      <c r="E6354" s="2">
        <f>IFERROR(__xludf.DUMMYFUNCTION("""COMPUTED_VALUE"""),88.75)</f>
        <v>88.75</v>
      </c>
      <c r="F6354" s="2">
        <f>IFERROR(__xludf.DUMMYFUNCTION("""COMPUTED_VALUE"""),4541200.0)</f>
        <v>4541200</v>
      </c>
    </row>
    <row r="6355">
      <c r="A6355" s="3">
        <f>IFERROR(__xludf.DUMMYFUNCTION("""COMPUTED_VALUE"""),38414.666666666664)</f>
        <v>38414.66667</v>
      </c>
      <c r="B6355" s="2">
        <f>IFERROR(__xludf.DUMMYFUNCTION("""COMPUTED_VALUE"""),88.97)</f>
        <v>88.97</v>
      </c>
      <c r="C6355" s="2">
        <f>IFERROR(__xludf.DUMMYFUNCTION("""COMPUTED_VALUE"""),89.03)</f>
        <v>89.03</v>
      </c>
      <c r="D6355" s="2">
        <f>IFERROR(__xludf.DUMMYFUNCTION("""COMPUTED_VALUE"""),88.07)</f>
        <v>88.07</v>
      </c>
      <c r="E6355" s="2">
        <f>IFERROR(__xludf.DUMMYFUNCTION("""COMPUTED_VALUE"""),88.27)</f>
        <v>88.27</v>
      </c>
      <c r="F6355" s="2">
        <f>IFERROR(__xludf.DUMMYFUNCTION("""COMPUTED_VALUE"""),4037900.0)</f>
        <v>4037900</v>
      </c>
    </row>
    <row r="6356">
      <c r="A6356" s="3">
        <f>IFERROR(__xludf.DUMMYFUNCTION("""COMPUTED_VALUE"""),38415.666666666664)</f>
        <v>38415.66667</v>
      </c>
      <c r="B6356" s="2">
        <f>IFERROR(__xludf.DUMMYFUNCTION("""COMPUTED_VALUE"""),88.77)</f>
        <v>88.77</v>
      </c>
      <c r="C6356" s="2">
        <f>IFERROR(__xludf.DUMMYFUNCTION("""COMPUTED_VALUE"""),89.0)</f>
        <v>89</v>
      </c>
      <c r="D6356" s="2">
        <f>IFERROR(__xludf.DUMMYFUNCTION("""COMPUTED_VALUE"""),88.22)</f>
        <v>88.22</v>
      </c>
      <c r="E6356" s="2">
        <f>IFERROR(__xludf.DUMMYFUNCTION("""COMPUTED_VALUE"""),88.23)</f>
        <v>88.23</v>
      </c>
      <c r="F6356" s="2">
        <f>IFERROR(__xludf.DUMMYFUNCTION("""COMPUTED_VALUE"""),4754000.0)</f>
        <v>4754000</v>
      </c>
    </row>
    <row r="6357">
      <c r="A6357" s="3">
        <f>IFERROR(__xludf.DUMMYFUNCTION("""COMPUTED_VALUE"""),38418.666666666664)</f>
        <v>38418.66667</v>
      </c>
      <c r="B6357" s="2">
        <f>IFERROR(__xludf.DUMMYFUNCTION("""COMPUTED_VALUE"""),88.21)</f>
        <v>88.21</v>
      </c>
      <c r="C6357" s="2">
        <f>IFERROR(__xludf.DUMMYFUNCTION("""COMPUTED_VALUE"""),88.36)</f>
        <v>88.36</v>
      </c>
      <c r="D6357" s="2">
        <f>IFERROR(__xludf.DUMMYFUNCTION("""COMPUTED_VALUE"""),87.48)</f>
        <v>87.48</v>
      </c>
      <c r="E6357" s="2">
        <f>IFERROR(__xludf.DUMMYFUNCTION("""COMPUTED_VALUE"""),87.49)</f>
        <v>87.49</v>
      </c>
      <c r="F6357" s="2">
        <f>IFERROR(__xludf.DUMMYFUNCTION("""COMPUTED_VALUE"""),8051000.0)</f>
        <v>8051000</v>
      </c>
    </row>
    <row r="6358">
      <c r="A6358" s="3">
        <f>IFERROR(__xludf.DUMMYFUNCTION("""COMPUTED_VALUE"""),38419.666666666664)</f>
        <v>38419.66667</v>
      </c>
      <c r="B6358" s="2">
        <f>IFERROR(__xludf.DUMMYFUNCTION("""COMPUTED_VALUE"""),87.59)</f>
        <v>87.59</v>
      </c>
      <c r="C6358" s="2">
        <f>IFERROR(__xludf.DUMMYFUNCTION("""COMPUTED_VALUE"""),88.41)</f>
        <v>88.41</v>
      </c>
      <c r="D6358" s="2">
        <f>IFERROR(__xludf.DUMMYFUNCTION("""COMPUTED_VALUE"""),87.59)</f>
        <v>87.59</v>
      </c>
      <c r="E6358" s="2">
        <f>IFERROR(__xludf.DUMMYFUNCTION("""COMPUTED_VALUE"""),88.0)</f>
        <v>88</v>
      </c>
      <c r="F6358" s="2">
        <f>IFERROR(__xludf.DUMMYFUNCTION("""COMPUTED_VALUE"""),5087800.0)</f>
        <v>5087800</v>
      </c>
    </row>
    <row r="6359">
      <c r="A6359" s="3">
        <f>IFERROR(__xludf.DUMMYFUNCTION("""COMPUTED_VALUE"""),38420.666666666664)</f>
        <v>38420.66667</v>
      </c>
      <c r="B6359" s="2">
        <f>IFERROR(__xludf.DUMMYFUNCTION("""COMPUTED_VALUE"""),87.89)</f>
        <v>87.89</v>
      </c>
      <c r="C6359" s="2">
        <f>IFERROR(__xludf.DUMMYFUNCTION("""COMPUTED_VALUE"""),88.83)</f>
        <v>88.83</v>
      </c>
      <c r="D6359" s="2">
        <f>IFERROR(__xludf.DUMMYFUNCTION("""COMPUTED_VALUE"""),87.88)</f>
        <v>87.88</v>
      </c>
      <c r="E6359" s="2">
        <f>IFERROR(__xludf.DUMMYFUNCTION("""COMPUTED_VALUE"""),88.21)</f>
        <v>88.21</v>
      </c>
      <c r="F6359" s="2">
        <f>IFERROR(__xludf.DUMMYFUNCTION("""COMPUTED_VALUE"""),4513900.0)</f>
        <v>4513900</v>
      </c>
    </row>
    <row r="6360">
      <c r="A6360" s="3">
        <f>IFERROR(__xludf.DUMMYFUNCTION("""COMPUTED_VALUE"""),38421.666666666664)</f>
        <v>38421.66667</v>
      </c>
      <c r="B6360" s="2">
        <f>IFERROR(__xludf.DUMMYFUNCTION("""COMPUTED_VALUE"""),88.21)</f>
        <v>88.21</v>
      </c>
      <c r="C6360" s="2">
        <f>IFERROR(__xludf.DUMMYFUNCTION("""COMPUTED_VALUE"""),88.64)</f>
        <v>88.64</v>
      </c>
      <c r="D6360" s="2">
        <f>IFERROR(__xludf.DUMMYFUNCTION("""COMPUTED_VALUE"""),87.96)</f>
        <v>87.96</v>
      </c>
      <c r="E6360" s="2">
        <f>IFERROR(__xludf.DUMMYFUNCTION("""COMPUTED_VALUE"""),88.27)</f>
        <v>88.27</v>
      </c>
      <c r="F6360" s="2">
        <f>IFERROR(__xludf.DUMMYFUNCTION("""COMPUTED_VALUE"""),3424800.0)</f>
        <v>3424800</v>
      </c>
    </row>
    <row r="6361">
      <c r="A6361" s="3">
        <f>IFERROR(__xludf.DUMMYFUNCTION("""COMPUTED_VALUE"""),38422.666666666664)</f>
        <v>38422.66667</v>
      </c>
      <c r="B6361" s="2">
        <f>IFERROR(__xludf.DUMMYFUNCTION("""COMPUTED_VALUE"""),88.11)</f>
        <v>88.11</v>
      </c>
      <c r="C6361" s="2">
        <f>IFERROR(__xludf.DUMMYFUNCTION("""COMPUTED_VALUE"""),88.27)</f>
        <v>88.27</v>
      </c>
      <c r="D6361" s="2">
        <f>IFERROR(__xludf.DUMMYFUNCTION("""COMPUTED_VALUE"""),87.11)</f>
        <v>87.11</v>
      </c>
      <c r="E6361" s="2">
        <f>IFERROR(__xludf.DUMMYFUNCTION("""COMPUTED_VALUE"""),87.41)</f>
        <v>87.41</v>
      </c>
      <c r="F6361" s="2">
        <f>IFERROR(__xludf.DUMMYFUNCTION("""COMPUTED_VALUE"""),4494300.0)</f>
        <v>4494300</v>
      </c>
    </row>
    <row r="6362">
      <c r="A6362" s="3">
        <f>IFERROR(__xludf.DUMMYFUNCTION("""COMPUTED_VALUE"""),38425.666666666664)</f>
        <v>38425.66667</v>
      </c>
      <c r="B6362" s="2">
        <f>IFERROR(__xludf.DUMMYFUNCTION("""COMPUTED_VALUE"""),87.4)</f>
        <v>87.4</v>
      </c>
      <c r="C6362" s="2">
        <f>IFERROR(__xludf.DUMMYFUNCTION("""COMPUTED_VALUE"""),87.91)</f>
        <v>87.91</v>
      </c>
      <c r="D6362" s="2">
        <f>IFERROR(__xludf.DUMMYFUNCTION("""COMPUTED_VALUE"""),87.4)</f>
        <v>87.4</v>
      </c>
      <c r="E6362" s="2">
        <f>IFERROR(__xludf.DUMMYFUNCTION("""COMPUTED_VALUE"""),87.78)</f>
        <v>87.78</v>
      </c>
      <c r="F6362" s="2">
        <f>IFERROR(__xludf.DUMMYFUNCTION("""COMPUTED_VALUE"""),3935700.0)</f>
        <v>3935700</v>
      </c>
    </row>
    <row r="6363">
      <c r="A6363" s="3">
        <f>IFERROR(__xludf.DUMMYFUNCTION("""COMPUTED_VALUE"""),38426.666666666664)</f>
        <v>38426.66667</v>
      </c>
      <c r="B6363" s="2">
        <f>IFERROR(__xludf.DUMMYFUNCTION("""COMPUTED_VALUE"""),87.88)</f>
        <v>87.88</v>
      </c>
      <c r="C6363" s="2">
        <f>IFERROR(__xludf.DUMMYFUNCTION("""COMPUTED_VALUE"""),88.13)</f>
        <v>88.13</v>
      </c>
      <c r="D6363" s="2">
        <f>IFERROR(__xludf.DUMMYFUNCTION("""COMPUTED_VALUE"""),87.11)</f>
        <v>87.11</v>
      </c>
      <c r="E6363" s="2">
        <f>IFERROR(__xludf.DUMMYFUNCTION("""COMPUTED_VALUE"""),87.28)</f>
        <v>87.28</v>
      </c>
      <c r="F6363" s="2">
        <f>IFERROR(__xludf.DUMMYFUNCTION("""COMPUTED_VALUE"""),3663400.0)</f>
        <v>3663400</v>
      </c>
    </row>
    <row r="6364">
      <c r="A6364" s="3">
        <f>IFERROR(__xludf.DUMMYFUNCTION("""COMPUTED_VALUE"""),38427.666666666664)</f>
        <v>38427.66667</v>
      </c>
      <c r="B6364" s="2">
        <f>IFERROR(__xludf.DUMMYFUNCTION("""COMPUTED_VALUE"""),86.67)</f>
        <v>86.67</v>
      </c>
      <c r="C6364" s="2">
        <f>IFERROR(__xludf.DUMMYFUNCTION("""COMPUTED_VALUE"""),87.3)</f>
        <v>87.3</v>
      </c>
      <c r="D6364" s="2">
        <f>IFERROR(__xludf.DUMMYFUNCTION("""COMPUTED_VALUE"""),86.2)</f>
        <v>86.2</v>
      </c>
      <c r="E6364" s="2">
        <f>IFERROR(__xludf.DUMMYFUNCTION("""COMPUTED_VALUE"""),86.59)</f>
        <v>86.59</v>
      </c>
      <c r="F6364" s="2">
        <f>IFERROR(__xludf.DUMMYFUNCTION("""COMPUTED_VALUE"""),5069900.0)</f>
        <v>5069900</v>
      </c>
    </row>
    <row r="6365">
      <c r="A6365" s="3">
        <f>IFERROR(__xludf.DUMMYFUNCTION("""COMPUTED_VALUE"""),38428.666666666664)</f>
        <v>38428.66667</v>
      </c>
      <c r="B6365" s="2">
        <f>IFERROR(__xludf.DUMMYFUNCTION("""COMPUTED_VALUE"""),86.43)</f>
        <v>86.43</v>
      </c>
      <c r="C6365" s="2">
        <f>IFERROR(__xludf.DUMMYFUNCTION("""COMPUTED_VALUE"""),86.61)</f>
        <v>86.61</v>
      </c>
      <c r="D6365" s="2">
        <f>IFERROR(__xludf.DUMMYFUNCTION("""COMPUTED_VALUE"""),85.68)</f>
        <v>85.68</v>
      </c>
      <c r="E6365" s="2">
        <f>IFERROR(__xludf.DUMMYFUNCTION("""COMPUTED_VALUE"""),85.83)</f>
        <v>85.83</v>
      </c>
      <c r="F6365" s="2">
        <f>IFERROR(__xludf.DUMMYFUNCTION("""COMPUTED_VALUE"""),5597100.0)</f>
        <v>5597100</v>
      </c>
    </row>
    <row r="6366">
      <c r="A6366" s="3">
        <f>IFERROR(__xludf.DUMMYFUNCTION("""COMPUTED_VALUE"""),38429.666666666664)</f>
        <v>38429.66667</v>
      </c>
      <c r="B6366" s="2">
        <f>IFERROR(__xludf.DUMMYFUNCTION("""COMPUTED_VALUE"""),85.83)</f>
        <v>85.83</v>
      </c>
      <c r="C6366" s="2">
        <f>IFERROR(__xludf.DUMMYFUNCTION("""COMPUTED_VALUE"""),85.87)</f>
        <v>85.87</v>
      </c>
      <c r="D6366" s="2">
        <f>IFERROR(__xludf.DUMMYFUNCTION("""COMPUTED_VALUE"""),85.1)</f>
        <v>85.1</v>
      </c>
      <c r="E6366" s="2">
        <f>IFERROR(__xludf.DUMMYFUNCTION("""COMPUTED_VALUE"""),85.28)</f>
        <v>85.28</v>
      </c>
      <c r="F6366" s="2">
        <f>IFERROR(__xludf.DUMMYFUNCTION("""COMPUTED_VALUE"""),7545300.0)</f>
        <v>7545300</v>
      </c>
    </row>
    <row r="6367">
      <c r="A6367" s="3">
        <f>IFERROR(__xludf.DUMMYFUNCTION("""COMPUTED_VALUE"""),38432.666666666664)</f>
        <v>38432.66667</v>
      </c>
      <c r="B6367" s="2">
        <f>IFERROR(__xludf.DUMMYFUNCTION("""COMPUTED_VALUE"""),85.41)</f>
        <v>85.41</v>
      </c>
      <c r="C6367" s="2">
        <f>IFERROR(__xludf.DUMMYFUNCTION("""COMPUTED_VALUE"""),86.23)</f>
        <v>86.23</v>
      </c>
      <c r="D6367" s="2">
        <f>IFERROR(__xludf.DUMMYFUNCTION("""COMPUTED_VALUE"""),85.27)</f>
        <v>85.27</v>
      </c>
      <c r="E6367" s="2">
        <f>IFERROR(__xludf.DUMMYFUNCTION("""COMPUTED_VALUE"""),85.5)</f>
        <v>85.5</v>
      </c>
      <c r="F6367" s="2">
        <f>IFERROR(__xludf.DUMMYFUNCTION("""COMPUTED_VALUE"""),4395700.0)</f>
        <v>4395700</v>
      </c>
    </row>
    <row r="6368">
      <c r="A6368" s="3">
        <f>IFERROR(__xludf.DUMMYFUNCTION("""COMPUTED_VALUE"""),38433.666666666664)</f>
        <v>38433.66667</v>
      </c>
      <c r="B6368" s="2">
        <f>IFERROR(__xludf.DUMMYFUNCTION("""COMPUTED_VALUE"""),85.59)</f>
        <v>85.59</v>
      </c>
      <c r="C6368" s="2">
        <f>IFERROR(__xludf.DUMMYFUNCTION("""COMPUTED_VALUE"""),86.29)</f>
        <v>86.29</v>
      </c>
      <c r="D6368" s="2">
        <f>IFERROR(__xludf.DUMMYFUNCTION("""COMPUTED_VALUE"""),85.26)</f>
        <v>85.26</v>
      </c>
      <c r="E6368" s="2">
        <f>IFERROR(__xludf.DUMMYFUNCTION("""COMPUTED_VALUE"""),85.49)</f>
        <v>85.49</v>
      </c>
      <c r="F6368" s="2">
        <f>IFERROR(__xludf.DUMMYFUNCTION("""COMPUTED_VALUE"""),4453400.0)</f>
        <v>4453400</v>
      </c>
    </row>
    <row r="6369">
      <c r="A6369" s="3">
        <f>IFERROR(__xludf.DUMMYFUNCTION("""COMPUTED_VALUE"""),38434.666666666664)</f>
        <v>38434.66667</v>
      </c>
      <c r="B6369" s="2">
        <f>IFERROR(__xludf.DUMMYFUNCTION("""COMPUTED_VALUE"""),85.94)</f>
        <v>85.94</v>
      </c>
      <c r="C6369" s="2">
        <f>IFERROR(__xludf.DUMMYFUNCTION("""COMPUTED_VALUE"""),87.08)</f>
        <v>87.08</v>
      </c>
      <c r="D6369" s="2">
        <f>IFERROR(__xludf.DUMMYFUNCTION("""COMPUTED_VALUE"""),85.79)</f>
        <v>85.79</v>
      </c>
      <c r="E6369" s="2">
        <f>IFERROR(__xludf.DUMMYFUNCTION("""COMPUTED_VALUE"""),86.46)</f>
        <v>86.46</v>
      </c>
      <c r="F6369" s="2">
        <f>IFERROR(__xludf.DUMMYFUNCTION("""COMPUTED_VALUE"""),5482800.0)</f>
        <v>5482800</v>
      </c>
    </row>
    <row r="6370">
      <c r="A6370" s="3">
        <f>IFERROR(__xludf.DUMMYFUNCTION("""COMPUTED_VALUE"""),38435.666666666664)</f>
        <v>38435.66667</v>
      </c>
      <c r="B6370" s="2">
        <f>IFERROR(__xludf.DUMMYFUNCTION("""COMPUTED_VALUE"""),86.73)</f>
        <v>86.73</v>
      </c>
      <c r="C6370" s="2">
        <f>IFERROR(__xludf.DUMMYFUNCTION("""COMPUTED_VALUE"""),87.45)</f>
        <v>87.45</v>
      </c>
      <c r="D6370" s="2">
        <f>IFERROR(__xludf.DUMMYFUNCTION("""COMPUTED_VALUE"""),86.63)</f>
        <v>86.63</v>
      </c>
      <c r="E6370" s="2">
        <f>IFERROR(__xludf.DUMMYFUNCTION("""COMPUTED_VALUE"""),86.63)</f>
        <v>86.63</v>
      </c>
      <c r="F6370" s="2">
        <f>IFERROR(__xludf.DUMMYFUNCTION("""COMPUTED_VALUE"""),4595800.0)</f>
        <v>4595800</v>
      </c>
    </row>
    <row r="6371">
      <c r="A6371" s="3">
        <f>IFERROR(__xludf.DUMMYFUNCTION("""COMPUTED_VALUE"""),38439.666666666664)</f>
        <v>38439.66667</v>
      </c>
      <c r="B6371" s="2">
        <f>IFERROR(__xludf.DUMMYFUNCTION("""COMPUTED_VALUE"""),86.64)</f>
        <v>86.64</v>
      </c>
      <c r="C6371" s="2">
        <f>IFERROR(__xludf.DUMMYFUNCTION("""COMPUTED_VALUE"""),87.52)</f>
        <v>87.52</v>
      </c>
      <c r="D6371" s="2">
        <f>IFERROR(__xludf.DUMMYFUNCTION("""COMPUTED_VALUE"""),86.56)</f>
        <v>86.56</v>
      </c>
      <c r="E6371" s="2">
        <f>IFERROR(__xludf.DUMMYFUNCTION("""COMPUTED_VALUE"""),86.96)</f>
        <v>86.96</v>
      </c>
      <c r="F6371" s="2">
        <f>IFERROR(__xludf.DUMMYFUNCTION("""COMPUTED_VALUE"""),4257700.0)</f>
        <v>4257700</v>
      </c>
    </row>
    <row r="6372">
      <c r="A6372" s="3">
        <f>IFERROR(__xludf.DUMMYFUNCTION("""COMPUTED_VALUE"""),38440.666666666664)</f>
        <v>38440.66667</v>
      </c>
      <c r="B6372" s="2">
        <f>IFERROR(__xludf.DUMMYFUNCTION("""COMPUTED_VALUE"""),86.67)</f>
        <v>86.67</v>
      </c>
      <c r="C6372" s="2">
        <f>IFERROR(__xludf.DUMMYFUNCTION("""COMPUTED_VALUE"""),86.99)</f>
        <v>86.99</v>
      </c>
      <c r="D6372" s="2">
        <f>IFERROR(__xludf.DUMMYFUNCTION("""COMPUTED_VALUE"""),86.14)</f>
        <v>86.14</v>
      </c>
      <c r="E6372" s="2">
        <f>IFERROR(__xludf.DUMMYFUNCTION("""COMPUTED_VALUE"""),86.54)</f>
        <v>86.54</v>
      </c>
      <c r="F6372" s="2">
        <f>IFERROR(__xludf.DUMMYFUNCTION("""COMPUTED_VALUE"""),6094000.0)</f>
        <v>6094000</v>
      </c>
    </row>
    <row r="6373">
      <c r="A6373" s="3">
        <f>IFERROR(__xludf.DUMMYFUNCTION("""COMPUTED_VALUE"""),38441.666666666664)</f>
        <v>38441.66667</v>
      </c>
      <c r="B6373" s="2">
        <f>IFERROR(__xludf.DUMMYFUNCTION("""COMPUTED_VALUE"""),86.27)</f>
        <v>86.27</v>
      </c>
      <c r="C6373" s="2">
        <f>IFERROR(__xludf.DUMMYFUNCTION("""COMPUTED_VALUE"""),86.81)</f>
        <v>86.81</v>
      </c>
      <c r="D6373" s="2">
        <f>IFERROR(__xludf.DUMMYFUNCTION("""COMPUTED_VALUE"""),86.27)</f>
        <v>86.27</v>
      </c>
      <c r="E6373" s="2">
        <f>IFERROR(__xludf.DUMMYFUNCTION("""COMPUTED_VALUE"""),86.61)</f>
        <v>86.61</v>
      </c>
      <c r="F6373" s="2">
        <f>IFERROR(__xludf.DUMMYFUNCTION("""COMPUTED_VALUE"""),5272200.0)</f>
        <v>5272200</v>
      </c>
    </row>
    <row r="6374">
      <c r="A6374" s="3">
        <f>IFERROR(__xludf.DUMMYFUNCTION("""COMPUTED_VALUE"""),38442.666666666664)</f>
        <v>38442.66667</v>
      </c>
      <c r="B6374" s="2">
        <f>IFERROR(__xludf.DUMMYFUNCTION("""COMPUTED_VALUE"""),86.4)</f>
        <v>86.4</v>
      </c>
      <c r="C6374" s="2">
        <f>IFERROR(__xludf.DUMMYFUNCTION("""COMPUTED_VALUE"""),87.31)</f>
        <v>87.31</v>
      </c>
      <c r="D6374" s="2">
        <f>IFERROR(__xludf.DUMMYFUNCTION("""COMPUTED_VALUE"""),86.17)</f>
        <v>86.17</v>
      </c>
      <c r="E6374" s="2">
        <f>IFERROR(__xludf.DUMMYFUNCTION("""COMPUTED_VALUE"""),87.28)</f>
        <v>87.28</v>
      </c>
      <c r="F6374" s="2">
        <f>IFERROR(__xludf.DUMMYFUNCTION("""COMPUTED_VALUE"""),4419300.0)</f>
        <v>4419300</v>
      </c>
    </row>
    <row r="6375">
      <c r="A6375" s="3">
        <f>IFERROR(__xludf.DUMMYFUNCTION("""COMPUTED_VALUE"""),38443.666666666664)</f>
        <v>38443.66667</v>
      </c>
      <c r="B6375" s="2">
        <f>IFERROR(__xludf.DUMMYFUNCTION("""COMPUTED_VALUE"""),87.39)</f>
        <v>87.39</v>
      </c>
      <c r="C6375" s="2">
        <f>IFERROR(__xludf.DUMMYFUNCTION("""COMPUTED_VALUE"""),87.65)</f>
        <v>87.65</v>
      </c>
      <c r="D6375" s="2">
        <f>IFERROR(__xludf.DUMMYFUNCTION("""COMPUTED_VALUE"""),86.0)</f>
        <v>86</v>
      </c>
      <c r="E6375" s="2">
        <f>IFERROR(__xludf.DUMMYFUNCTION("""COMPUTED_VALUE"""),86.39)</f>
        <v>86.39</v>
      </c>
      <c r="F6375" s="2">
        <f>IFERROR(__xludf.DUMMYFUNCTION("""COMPUTED_VALUE"""),5740800.0)</f>
        <v>5740800</v>
      </c>
    </row>
    <row r="6376">
      <c r="A6376" s="3">
        <f>IFERROR(__xludf.DUMMYFUNCTION("""COMPUTED_VALUE"""),38446.666666666664)</f>
        <v>38446.66667</v>
      </c>
      <c r="B6376" s="2">
        <f>IFERROR(__xludf.DUMMYFUNCTION("""COMPUTED_VALUE"""),86.04)</f>
        <v>86.04</v>
      </c>
      <c r="C6376" s="2">
        <f>IFERROR(__xludf.DUMMYFUNCTION("""COMPUTED_VALUE"""),86.56)</f>
        <v>86.56</v>
      </c>
      <c r="D6376" s="2">
        <f>IFERROR(__xludf.DUMMYFUNCTION("""COMPUTED_VALUE"""),85.75)</f>
        <v>85.75</v>
      </c>
      <c r="E6376" s="2">
        <f>IFERROR(__xludf.DUMMYFUNCTION("""COMPUTED_VALUE"""),86.27)</f>
        <v>86.27</v>
      </c>
      <c r="F6376" s="2">
        <f>IFERROR(__xludf.DUMMYFUNCTION("""COMPUTED_VALUE"""),3737900.0)</f>
        <v>3737900</v>
      </c>
    </row>
    <row r="6377">
      <c r="A6377" s="3">
        <f>IFERROR(__xludf.DUMMYFUNCTION("""COMPUTED_VALUE"""),38447.666666666664)</f>
        <v>38447.66667</v>
      </c>
      <c r="B6377" s="2">
        <f>IFERROR(__xludf.DUMMYFUNCTION("""COMPUTED_VALUE"""),86.18)</f>
        <v>86.18</v>
      </c>
      <c r="C6377" s="2">
        <f>IFERROR(__xludf.DUMMYFUNCTION("""COMPUTED_VALUE"""),86.28)</f>
        <v>86.28</v>
      </c>
      <c r="D6377" s="2">
        <f>IFERROR(__xludf.DUMMYFUNCTION("""COMPUTED_VALUE"""),85.26)</f>
        <v>85.26</v>
      </c>
      <c r="E6377" s="2">
        <f>IFERROR(__xludf.DUMMYFUNCTION("""COMPUTED_VALUE"""),85.55)</f>
        <v>85.55</v>
      </c>
      <c r="F6377" s="2">
        <f>IFERROR(__xludf.DUMMYFUNCTION("""COMPUTED_VALUE"""),4579300.0)</f>
        <v>4579300</v>
      </c>
    </row>
    <row r="6378">
      <c r="A6378" s="3">
        <f>IFERROR(__xludf.DUMMYFUNCTION("""COMPUTED_VALUE"""),38448.666666666664)</f>
        <v>38448.66667</v>
      </c>
      <c r="B6378" s="2">
        <f>IFERROR(__xludf.DUMMYFUNCTION("""COMPUTED_VALUE"""),85.06)</f>
        <v>85.06</v>
      </c>
      <c r="C6378" s="2">
        <f>IFERROR(__xludf.DUMMYFUNCTION("""COMPUTED_VALUE"""),85.37)</f>
        <v>85.37</v>
      </c>
      <c r="D6378" s="2">
        <f>IFERROR(__xludf.DUMMYFUNCTION("""COMPUTED_VALUE"""),84.73)</f>
        <v>84.73</v>
      </c>
      <c r="E6378" s="2">
        <f>IFERROR(__xludf.DUMMYFUNCTION("""COMPUTED_VALUE"""),85.01)</f>
        <v>85.01</v>
      </c>
      <c r="F6378" s="2">
        <f>IFERROR(__xludf.DUMMYFUNCTION("""COMPUTED_VALUE"""),7836800.0)</f>
        <v>7836800</v>
      </c>
    </row>
    <row r="6379">
      <c r="A6379" s="3">
        <f>IFERROR(__xludf.DUMMYFUNCTION("""COMPUTED_VALUE"""),38449.666666666664)</f>
        <v>38449.66667</v>
      </c>
      <c r="B6379" s="2">
        <f>IFERROR(__xludf.DUMMYFUNCTION("""COMPUTED_VALUE"""),85.01)</f>
        <v>85.01</v>
      </c>
      <c r="C6379" s="2">
        <f>IFERROR(__xludf.DUMMYFUNCTION("""COMPUTED_VALUE"""),85.2)</f>
        <v>85.2</v>
      </c>
      <c r="D6379" s="2">
        <f>IFERROR(__xludf.DUMMYFUNCTION("""COMPUTED_VALUE"""),84.15)</f>
        <v>84.15</v>
      </c>
      <c r="E6379" s="2">
        <f>IFERROR(__xludf.DUMMYFUNCTION("""COMPUTED_VALUE"""),84.47)</f>
        <v>84.47</v>
      </c>
      <c r="F6379" s="2">
        <f>IFERROR(__xludf.DUMMYFUNCTION("""COMPUTED_VALUE"""),6376500.0)</f>
        <v>6376500</v>
      </c>
    </row>
    <row r="6380">
      <c r="A6380" s="3">
        <f>IFERROR(__xludf.DUMMYFUNCTION("""COMPUTED_VALUE"""),38450.666666666664)</f>
        <v>38450.66667</v>
      </c>
      <c r="B6380" s="2">
        <f>IFERROR(__xludf.DUMMYFUNCTION("""COMPUTED_VALUE"""),84.32)</f>
        <v>84.32</v>
      </c>
      <c r="C6380" s="2">
        <f>IFERROR(__xludf.DUMMYFUNCTION("""COMPUTED_VALUE"""),84.49)</f>
        <v>84.49</v>
      </c>
      <c r="D6380" s="2">
        <f>IFERROR(__xludf.DUMMYFUNCTION("""COMPUTED_VALUE"""),83.58)</f>
        <v>83.58</v>
      </c>
      <c r="E6380" s="2">
        <f>IFERROR(__xludf.DUMMYFUNCTION("""COMPUTED_VALUE"""),83.67)</f>
        <v>83.67</v>
      </c>
      <c r="F6380" s="2">
        <f>IFERROR(__xludf.DUMMYFUNCTION("""COMPUTED_VALUE"""),5273400.0)</f>
        <v>5273400</v>
      </c>
    </row>
    <row r="6381">
      <c r="A6381" s="3">
        <f>IFERROR(__xludf.DUMMYFUNCTION("""COMPUTED_VALUE"""),38453.666666666664)</f>
        <v>38453.66667</v>
      </c>
      <c r="B6381" s="2">
        <f>IFERROR(__xludf.DUMMYFUNCTION("""COMPUTED_VALUE"""),83.43)</f>
        <v>83.43</v>
      </c>
      <c r="C6381" s="2">
        <f>IFERROR(__xludf.DUMMYFUNCTION("""COMPUTED_VALUE"""),83.63)</f>
        <v>83.63</v>
      </c>
      <c r="D6381" s="2">
        <f>IFERROR(__xludf.DUMMYFUNCTION("""COMPUTED_VALUE"""),82.23)</f>
        <v>82.23</v>
      </c>
      <c r="E6381" s="2">
        <f>IFERROR(__xludf.DUMMYFUNCTION("""COMPUTED_VALUE"""),82.34)</f>
        <v>82.34</v>
      </c>
      <c r="F6381" s="2">
        <f>IFERROR(__xludf.DUMMYFUNCTION("""COMPUTED_VALUE"""),8296500.0)</f>
        <v>8296500</v>
      </c>
    </row>
    <row r="6382">
      <c r="A6382" s="3">
        <f>IFERROR(__xludf.DUMMYFUNCTION("""COMPUTED_VALUE"""),38454.666666666664)</f>
        <v>38454.66667</v>
      </c>
      <c r="B6382" s="2">
        <f>IFERROR(__xludf.DUMMYFUNCTION("""COMPUTED_VALUE"""),82.05)</f>
        <v>82.05</v>
      </c>
      <c r="C6382" s="2">
        <f>IFERROR(__xludf.DUMMYFUNCTION("""COMPUTED_VALUE"""),82.37)</f>
        <v>82.37</v>
      </c>
      <c r="D6382" s="2">
        <f>IFERROR(__xludf.DUMMYFUNCTION("""COMPUTED_VALUE"""),81.35)</f>
        <v>81.35</v>
      </c>
      <c r="E6382" s="2">
        <f>IFERROR(__xludf.DUMMYFUNCTION("""COMPUTED_VALUE"""),81.91)</f>
        <v>81.91</v>
      </c>
      <c r="F6382" s="2">
        <f>IFERROR(__xludf.DUMMYFUNCTION("""COMPUTED_VALUE"""),8450500.0)</f>
        <v>8450500</v>
      </c>
    </row>
    <row r="6383">
      <c r="A6383" s="3">
        <f>IFERROR(__xludf.DUMMYFUNCTION("""COMPUTED_VALUE"""),38455.666666666664)</f>
        <v>38455.66667</v>
      </c>
      <c r="B6383" s="2">
        <f>IFERROR(__xludf.DUMMYFUNCTION("""COMPUTED_VALUE"""),81.91)</f>
        <v>81.91</v>
      </c>
      <c r="C6383" s="2">
        <f>IFERROR(__xludf.DUMMYFUNCTION("""COMPUTED_VALUE"""),82.12)</f>
        <v>82.12</v>
      </c>
      <c r="D6383" s="2">
        <f>IFERROR(__xludf.DUMMYFUNCTION("""COMPUTED_VALUE"""),80.46)</f>
        <v>80.46</v>
      </c>
      <c r="E6383" s="2">
        <f>IFERROR(__xludf.DUMMYFUNCTION("""COMPUTED_VALUE"""),80.78)</f>
        <v>80.78</v>
      </c>
      <c r="F6383" s="2">
        <f>IFERROR(__xludf.DUMMYFUNCTION("""COMPUTED_VALUE"""),7090900.0)</f>
        <v>7090900</v>
      </c>
    </row>
    <row r="6384">
      <c r="A6384" s="3">
        <f>IFERROR(__xludf.DUMMYFUNCTION("""COMPUTED_VALUE"""),38456.666666666664)</f>
        <v>38456.66667</v>
      </c>
      <c r="B6384" s="2">
        <f>IFERROR(__xludf.DUMMYFUNCTION("""COMPUTED_VALUE"""),80.84)</f>
        <v>80.84</v>
      </c>
      <c r="C6384" s="2">
        <f>IFERROR(__xludf.DUMMYFUNCTION("""COMPUTED_VALUE"""),81.58)</f>
        <v>81.58</v>
      </c>
      <c r="D6384" s="2">
        <f>IFERROR(__xludf.DUMMYFUNCTION("""COMPUTED_VALUE"""),79.73)</f>
        <v>79.73</v>
      </c>
      <c r="E6384" s="2">
        <f>IFERROR(__xludf.DUMMYFUNCTION("""COMPUTED_VALUE"""),79.89)</f>
        <v>79.89</v>
      </c>
      <c r="F6384" s="2">
        <f>IFERROR(__xludf.DUMMYFUNCTION("""COMPUTED_VALUE"""),1.07145E7)</f>
        <v>10714500</v>
      </c>
    </row>
    <row r="6385">
      <c r="A6385" s="3">
        <f>IFERROR(__xludf.DUMMYFUNCTION("""COMPUTED_VALUE"""),38457.666666666664)</f>
        <v>38457.66667</v>
      </c>
      <c r="B6385" s="2">
        <f>IFERROR(__xludf.DUMMYFUNCTION("""COMPUTED_VALUE"""),75.93)</f>
        <v>75.93</v>
      </c>
      <c r="C6385" s="2">
        <f>IFERROR(__xludf.DUMMYFUNCTION("""COMPUTED_VALUE"""),76.09)</f>
        <v>76.09</v>
      </c>
      <c r="D6385" s="2">
        <f>IFERROR(__xludf.DUMMYFUNCTION("""COMPUTED_VALUE"""),72.91)</f>
        <v>72.91</v>
      </c>
      <c r="E6385" s="2">
        <f>IFERROR(__xludf.DUMMYFUNCTION("""COMPUTED_VALUE"""),73.26)</f>
        <v>73.26</v>
      </c>
      <c r="F6385" s="2">
        <f>IFERROR(__xludf.DUMMYFUNCTION("""COMPUTED_VALUE"""),2.79344E7)</f>
        <v>27934400</v>
      </c>
    </row>
    <row r="6386">
      <c r="A6386" s="3">
        <f>IFERROR(__xludf.DUMMYFUNCTION("""COMPUTED_VALUE"""),38460.666666666664)</f>
        <v>38460.66667</v>
      </c>
      <c r="B6386" s="2">
        <f>IFERROR(__xludf.DUMMYFUNCTION("""COMPUTED_VALUE"""),73.69)</f>
        <v>73.69</v>
      </c>
      <c r="C6386" s="2">
        <f>IFERROR(__xludf.DUMMYFUNCTION("""COMPUTED_VALUE"""),74.26)</f>
        <v>74.26</v>
      </c>
      <c r="D6386" s="2">
        <f>IFERROR(__xludf.DUMMYFUNCTION("""COMPUTED_VALUE"""),72.73)</f>
        <v>72.73</v>
      </c>
      <c r="E6386" s="2">
        <f>IFERROR(__xludf.DUMMYFUNCTION("""COMPUTED_VALUE"""),73.21)</f>
        <v>73.21</v>
      </c>
      <c r="F6386" s="2">
        <f>IFERROR(__xludf.DUMMYFUNCTION("""COMPUTED_VALUE"""),1.32561E7)</f>
        <v>13256100</v>
      </c>
    </row>
    <row r="6387">
      <c r="A6387" s="3">
        <f>IFERROR(__xludf.DUMMYFUNCTION("""COMPUTED_VALUE"""),38461.666666666664)</f>
        <v>38461.66667</v>
      </c>
      <c r="B6387" s="2">
        <f>IFERROR(__xludf.DUMMYFUNCTION("""COMPUTED_VALUE"""),73.53)</f>
        <v>73.53</v>
      </c>
      <c r="C6387" s="2">
        <f>IFERROR(__xludf.DUMMYFUNCTION("""COMPUTED_VALUE"""),73.74)</f>
        <v>73.74</v>
      </c>
      <c r="D6387" s="2">
        <f>IFERROR(__xludf.DUMMYFUNCTION("""COMPUTED_VALUE"""),71.88)</f>
        <v>71.88</v>
      </c>
      <c r="E6387" s="2">
        <f>IFERROR(__xludf.DUMMYFUNCTION("""COMPUTED_VALUE"""),72.1)</f>
        <v>72.1</v>
      </c>
      <c r="F6387" s="2">
        <f>IFERROR(__xludf.DUMMYFUNCTION("""COMPUTED_VALUE"""),9294500.0)</f>
        <v>9294500</v>
      </c>
    </row>
    <row r="6388">
      <c r="A6388" s="3">
        <f>IFERROR(__xludf.DUMMYFUNCTION("""COMPUTED_VALUE"""),38462.666666666664)</f>
        <v>38462.66667</v>
      </c>
      <c r="B6388" s="2">
        <f>IFERROR(__xludf.DUMMYFUNCTION("""COMPUTED_VALUE"""),72.1)</f>
        <v>72.1</v>
      </c>
      <c r="C6388" s="2">
        <f>IFERROR(__xludf.DUMMYFUNCTION("""COMPUTED_VALUE"""),72.47)</f>
        <v>72.47</v>
      </c>
      <c r="D6388" s="2">
        <f>IFERROR(__xludf.DUMMYFUNCTION("""COMPUTED_VALUE"""),68.63)</f>
        <v>68.63</v>
      </c>
      <c r="E6388" s="2">
        <f>IFERROR(__xludf.DUMMYFUNCTION("""COMPUTED_VALUE"""),68.78)</f>
        <v>68.78</v>
      </c>
      <c r="F6388" s="2">
        <f>IFERROR(__xludf.DUMMYFUNCTION("""COMPUTED_VALUE"""),2.03949E7)</f>
        <v>20394900</v>
      </c>
    </row>
    <row r="6389">
      <c r="A6389" s="3">
        <f>IFERROR(__xludf.DUMMYFUNCTION("""COMPUTED_VALUE"""),38463.666666666664)</f>
        <v>38463.66667</v>
      </c>
      <c r="B6389" s="2">
        <f>IFERROR(__xludf.DUMMYFUNCTION("""COMPUTED_VALUE"""),69.72)</f>
        <v>69.72</v>
      </c>
      <c r="C6389" s="2">
        <f>IFERROR(__xludf.DUMMYFUNCTION("""COMPUTED_VALUE"""),70.78)</f>
        <v>70.78</v>
      </c>
      <c r="D6389" s="2">
        <f>IFERROR(__xludf.DUMMYFUNCTION("""COMPUTED_VALUE"""),69.54)</f>
        <v>69.54</v>
      </c>
      <c r="E6389" s="2">
        <f>IFERROR(__xludf.DUMMYFUNCTION("""COMPUTED_VALUE"""),70.71)</f>
        <v>70.71</v>
      </c>
      <c r="F6389" s="2">
        <f>IFERROR(__xludf.DUMMYFUNCTION("""COMPUTED_VALUE"""),1.62741E7)</f>
        <v>16274100</v>
      </c>
    </row>
    <row r="6390">
      <c r="A6390" s="3">
        <f>IFERROR(__xludf.DUMMYFUNCTION("""COMPUTED_VALUE"""),38464.666666666664)</f>
        <v>38464.66667</v>
      </c>
      <c r="B6390" s="2">
        <f>IFERROR(__xludf.DUMMYFUNCTION("""COMPUTED_VALUE"""),70.73)</f>
        <v>70.73</v>
      </c>
      <c r="C6390" s="2">
        <f>IFERROR(__xludf.DUMMYFUNCTION("""COMPUTED_VALUE"""),71.35)</f>
        <v>71.35</v>
      </c>
      <c r="D6390" s="2">
        <f>IFERROR(__xludf.DUMMYFUNCTION("""COMPUTED_VALUE"""),69.98)</f>
        <v>69.98</v>
      </c>
      <c r="E6390" s="2">
        <f>IFERROR(__xludf.DUMMYFUNCTION("""COMPUTED_VALUE"""),70.88)</f>
        <v>70.88</v>
      </c>
      <c r="F6390" s="2">
        <f>IFERROR(__xludf.DUMMYFUNCTION("""COMPUTED_VALUE"""),1.09855E7)</f>
        <v>10985500</v>
      </c>
    </row>
    <row r="6391">
      <c r="A6391" s="3">
        <f>IFERROR(__xludf.DUMMYFUNCTION("""COMPUTED_VALUE"""),38467.666666666664)</f>
        <v>38467.66667</v>
      </c>
      <c r="B6391" s="2">
        <f>IFERROR(__xludf.DUMMYFUNCTION("""COMPUTED_VALUE"""),71.87)</f>
        <v>71.87</v>
      </c>
      <c r="C6391" s="2">
        <f>IFERROR(__xludf.DUMMYFUNCTION("""COMPUTED_VALUE"""),72.33)</f>
        <v>72.33</v>
      </c>
      <c r="D6391" s="2">
        <f>IFERROR(__xludf.DUMMYFUNCTION("""COMPUTED_VALUE"""),70.73)</f>
        <v>70.73</v>
      </c>
      <c r="E6391" s="2">
        <f>IFERROR(__xludf.DUMMYFUNCTION("""COMPUTED_VALUE"""),71.26)</f>
        <v>71.26</v>
      </c>
      <c r="F6391" s="2">
        <f>IFERROR(__xludf.DUMMYFUNCTION("""COMPUTED_VALUE"""),1.02234E7)</f>
        <v>10223400</v>
      </c>
    </row>
    <row r="6392">
      <c r="A6392" s="3">
        <f>IFERROR(__xludf.DUMMYFUNCTION("""COMPUTED_VALUE"""),38468.666666666664)</f>
        <v>38468.66667</v>
      </c>
      <c r="B6392" s="2">
        <f>IFERROR(__xludf.DUMMYFUNCTION("""COMPUTED_VALUE"""),71.33)</f>
        <v>71.33</v>
      </c>
      <c r="C6392" s="2">
        <f>IFERROR(__xludf.DUMMYFUNCTION("""COMPUTED_VALUE"""),73.53)</f>
        <v>73.53</v>
      </c>
      <c r="D6392" s="2">
        <f>IFERROR(__xludf.DUMMYFUNCTION("""COMPUTED_VALUE"""),71.3)</f>
        <v>71.3</v>
      </c>
      <c r="E6392" s="2">
        <f>IFERROR(__xludf.DUMMYFUNCTION("""COMPUTED_VALUE"""),72.05)</f>
        <v>72.05</v>
      </c>
      <c r="F6392" s="2">
        <f>IFERROR(__xludf.DUMMYFUNCTION("""COMPUTED_VALUE"""),1.25002E7)</f>
        <v>12500200</v>
      </c>
    </row>
    <row r="6393">
      <c r="A6393" s="3">
        <f>IFERROR(__xludf.DUMMYFUNCTION("""COMPUTED_VALUE"""),38469.666666666664)</f>
        <v>38469.66667</v>
      </c>
      <c r="B6393" s="2">
        <f>IFERROR(__xludf.DUMMYFUNCTION("""COMPUTED_VALUE"""),72.3)</f>
        <v>72.3</v>
      </c>
      <c r="C6393" s="2">
        <f>IFERROR(__xludf.DUMMYFUNCTION("""COMPUTED_VALUE"""),73.72)</f>
        <v>73.72</v>
      </c>
      <c r="D6393" s="2">
        <f>IFERROR(__xludf.DUMMYFUNCTION("""COMPUTED_VALUE"""),72.11)</f>
        <v>72.11</v>
      </c>
      <c r="E6393" s="2">
        <f>IFERROR(__xludf.DUMMYFUNCTION("""COMPUTED_VALUE"""),73.6)</f>
        <v>73.6</v>
      </c>
      <c r="F6393" s="2">
        <f>IFERROR(__xludf.DUMMYFUNCTION("""COMPUTED_VALUE"""),1.17079E7)</f>
        <v>11707900</v>
      </c>
    </row>
    <row r="6394">
      <c r="A6394" s="3">
        <f>IFERROR(__xludf.DUMMYFUNCTION("""COMPUTED_VALUE"""),38470.666666666664)</f>
        <v>38470.66667</v>
      </c>
      <c r="B6394" s="2">
        <f>IFERROR(__xludf.DUMMYFUNCTION("""COMPUTED_VALUE"""),73.6)</f>
        <v>73.6</v>
      </c>
      <c r="C6394" s="2">
        <f>IFERROR(__xludf.DUMMYFUNCTION("""COMPUTED_VALUE"""),73.65)</f>
        <v>73.65</v>
      </c>
      <c r="D6394" s="2">
        <f>IFERROR(__xludf.DUMMYFUNCTION("""COMPUTED_VALUE"""),72.26)</f>
        <v>72.26</v>
      </c>
      <c r="E6394" s="2">
        <f>IFERROR(__xludf.DUMMYFUNCTION("""COMPUTED_VALUE"""),72.51)</f>
        <v>72.51</v>
      </c>
      <c r="F6394" s="2">
        <f>IFERROR(__xludf.DUMMYFUNCTION("""COMPUTED_VALUE"""),8638300.0)</f>
        <v>8638300</v>
      </c>
    </row>
    <row r="6395">
      <c r="A6395" s="3">
        <f>IFERROR(__xludf.DUMMYFUNCTION("""COMPUTED_VALUE"""),38471.666666666664)</f>
        <v>38471.66667</v>
      </c>
      <c r="B6395" s="2">
        <f>IFERROR(__xludf.DUMMYFUNCTION("""COMPUTED_VALUE"""),73.6)</f>
        <v>73.6</v>
      </c>
      <c r="C6395" s="2">
        <f>IFERROR(__xludf.DUMMYFUNCTION("""COMPUTED_VALUE"""),73.62)</f>
        <v>73.62</v>
      </c>
      <c r="D6395" s="2">
        <f>IFERROR(__xludf.DUMMYFUNCTION("""COMPUTED_VALUE"""),72.51)</f>
        <v>72.51</v>
      </c>
      <c r="E6395" s="2">
        <f>IFERROR(__xludf.DUMMYFUNCTION("""COMPUTED_VALUE"""),72.96)</f>
        <v>72.96</v>
      </c>
      <c r="F6395" s="2">
        <f>IFERROR(__xludf.DUMMYFUNCTION("""COMPUTED_VALUE"""),8261300.0)</f>
        <v>8261300</v>
      </c>
    </row>
    <row r="6396">
      <c r="A6396" s="3">
        <f>IFERROR(__xludf.DUMMYFUNCTION("""COMPUTED_VALUE"""),38474.666666666664)</f>
        <v>38474.66667</v>
      </c>
      <c r="B6396" s="2">
        <f>IFERROR(__xludf.DUMMYFUNCTION("""COMPUTED_VALUE"""),73.43)</f>
        <v>73.43</v>
      </c>
      <c r="C6396" s="2">
        <f>IFERROR(__xludf.DUMMYFUNCTION("""COMPUTED_VALUE"""),73.82)</f>
        <v>73.82</v>
      </c>
      <c r="D6396" s="2">
        <f>IFERROR(__xludf.DUMMYFUNCTION("""COMPUTED_VALUE"""),72.62)</f>
        <v>72.62</v>
      </c>
      <c r="E6396" s="2">
        <f>IFERROR(__xludf.DUMMYFUNCTION("""COMPUTED_VALUE"""),73.08)</f>
        <v>73.08</v>
      </c>
      <c r="F6396" s="2">
        <f>IFERROR(__xludf.DUMMYFUNCTION("""COMPUTED_VALUE"""),7242500.0)</f>
        <v>7242500</v>
      </c>
    </row>
    <row r="6397">
      <c r="A6397" s="3">
        <f>IFERROR(__xludf.DUMMYFUNCTION("""COMPUTED_VALUE"""),38475.666666666664)</f>
        <v>38475.66667</v>
      </c>
      <c r="B6397" s="2">
        <f>IFERROR(__xludf.DUMMYFUNCTION("""COMPUTED_VALUE"""),73.34)</f>
        <v>73.34</v>
      </c>
      <c r="C6397" s="2">
        <f>IFERROR(__xludf.DUMMYFUNCTION("""COMPUTED_VALUE"""),73.51)</f>
        <v>73.51</v>
      </c>
      <c r="D6397" s="2">
        <f>IFERROR(__xludf.DUMMYFUNCTION("""COMPUTED_VALUE"""),72.53)</f>
        <v>72.53</v>
      </c>
      <c r="E6397" s="2">
        <f>IFERROR(__xludf.DUMMYFUNCTION("""COMPUTED_VALUE"""),73.04)</f>
        <v>73.04</v>
      </c>
      <c r="F6397" s="2">
        <f>IFERROR(__xludf.DUMMYFUNCTION("""COMPUTED_VALUE"""),6255300.0)</f>
        <v>6255300</v>
      </c>
    </row>
    <row r="6398">
      <c r="A6398" s="3">
        <f>IFERROR(__xludf.DUMMYFUNCTION("""COMPUTED_VALUE"""),38476.666666666664)</f>
        <v>38476.66667</v>
      </c>
      <c r="B6398" s="2">
        <f>IFERROR(__xludf.DUMMYFUNCTION("""COMPUTED_VALUE"""),73.17)</f>
        <v>73.17</v>
      </c>
      <c r="C6398" s="2">
        <f>IFERROR(__xludf.DUMMYFUNCTION("""COMPUTED_VALUE"""),73.74)</f>
        <v>73.74</v>
      </c>
      <c r="D6398" s="2">
        <f>IFERROR(__xludf.DUMMYFUNCTION("""COMPUTED_VALUE"""),73.07)</f>
        <v>73.07</v>
      </c>
      <c r="E6398" s="2">
        <f>IFERROR(__xludf.DUMMYFUNCTION("""COMPUTED_VALUE"""),73.62)</f>
        <v>73.62</v>
      </c>
      <c r="F6398" s="2">
        <f>IFERROR(__xludf.DUMMYFUNCTION("""COMPUTED_VALUE"""),5536300.0)</f>
        <v>5536300</v>
      </c>
    </row>
    <row r="6399">
      <c r="A6399" s="3">
        <f>IFERROR(__xludf.DUMMYFUNCTION("""COMPUTED_VALUE"""),38477.666666666664)</f>
        <v>38477.66667</v>
      </c>
      <c r="B6399" s="2">
        <f>IFERROR(__xludf.DUMMYFUNCTION("""COMPUTED_VALUE"""),74.5)</f>
        <v>74.5</v>
      </c>
      <c r="C6399" s="2">
        <f>IFERROR(__xludf.DUMMYFUNCTION("""COMPUTED_VALUE"""),74.61)</f>
        <v>74.61</v>
      </c>
      <c r="D6399" s="2">
        <f>IFERROR(__xludf.DUMMYFUNCTION("""COMPUTED_VALUE"""),71.95)</f>
        <v>71.95</v>
      </c>
      <c r="E6399" s="2">
        <f>IFERROR(__xludf.DUMMYFUNCTION("""COMPUTED_VALUE"""),72.11)</f>
        <v>72.11</v>
      </c>
      <c r="F6399" s="2">
        <f>IFERROR(__xludf.DUMMYFUNCTION("""COMPUTED_VALUE"""),1.23773E7)</f>
        <v>12377300</v>
      </c>
    </row>
    <row r="6400">
      <c r="A6400" s="3">
        <f>IFERROR(__xludf.DUMMYFUNCTION("""COMPUTED_VALUE"""),38478.666666666664)</f>
        <v>38478.66667</v>
      </c>
      <c r="B6400" s="2">
        <f>IFERROR(__xludf.DUMMYFUNCTION("""COMPUTED_VALUE"""),72.17)</f>
        <v>72.17</v>
      </c>
      <c r="C6400" s="2">
        <f>IFERROR(__xludf.DUMMYFUNCTION("""COMPUTED_VALUE"""),72.52)</f>
        <v>72.52</v>
      </c>
      <c r="D6400" s="2">
        <f>IFERROR(__xludf.DUMMYFUNCTION("""COMPUTED_VALUE"""),71.61)</f>
        <v>71.61</v>
      </c>
      <c r="E6400" s="2">
        <f>IFERROR(__xludf.DUMMYFUNCTION("""COMPUTED_VALUE"""),71.88)</f>
        <v>71.88</v>
      </c>
      <c r="F6400" s="2">
        <f>IFERROR(__xludf.DUMMYFUNCTION("""COMPUTED_VALUE"""),7446800.0)</f>
        <v>7446800</v>
      </c>
    </row>
    <row r="6401">
      <c r="A6401" s="3">
        <f>IFERROR(__xludf.DUMMYFUNCTION("""COMPUTED_VALUE"""),38481.666666666664)</f>
        <v>38481.66667</v>
      </c>
      <c r="B6401" s="2">
        <f>IFERROR(__xludf.DUMMYFUNCTION("""COMPUTED_VALUE"""),71.89)</f>
        <v>71.89</v>
      </c>
      <c r="C6401" s="2">
        <f>IFERROR(__xludf.DUMMYFUNCTION("""COMPUTED_VALUE"""),72.08)</f>
        <v>72.08</v>
      </c>
      <c r="D6401" s="2">
        <f>IFERROR(__xludf.DUMMYFUNCTION("""COMPUTED_VALUE"""),71.36)</f>
        <v>71.36</v>
      </c>
      <c r="E6401" s="2">
        <f>IFERROR(__xludf.DUMMYFUNCTION("""COMPUTED_VALUE"""),71.62)</f>
        <v>71.62</v>
      </c>
      <c r="F6401" s="2">
        <f>IFERROR(__xludf.DUMMYFUNCTION("""COMPUTED_VALUE"""),5617300.0)</f>
        <v>5617300</v>
      </c>
    </row>
    <row r="6402">
      <c r="A6402" s="3">
        <f>IFERROR(__xludf.DUMMYFUNCTION("""COMPUTED_VALUE"""),38482.666666666664)</f>
        <v>38482.66667</v>
      </c>
      <c r="B6402" s="2">
        <f>IFERROR(__xludf.DUMMYFUNCTION("""COMPUTED_VALUE"""),71.4)</f>
        <v>71.4</v>
      </c>
      <c r="C6402" s="2">
        <f>IFERROR(__xludf.DUMMYFUNCTION("""COMPUTED_VALUE"""),71.41)</f>
        <v>71.41</v>
      </c>
      <c r="D6402" s="2">
        <f>IFERROR(__xludf.DUMMYFUNCTION("""COMPUTED_VALUE"""),69.77)</f>
        <v>69.77</v>
      </c>
      <c r="E6402" s="2">
        <f>IFERROR(__xludf.DUMMYFUNCTION("""COMPUTED_VALUE"""),70.01)</f>
        <v>70.01</v>
      </c>
      <c r="F6402" s="2">
        <f>IFERROR(__xludf.DUMMYFUNCTION("""COMPUTED_VALUE"""),8043000.0)</f>
        <v>8043000</v>
      </c>
    </row>
    <row r="6403">
      <c r="A6403" s="3">
        <f>IFERROR(__xludf.DUMMYFUNCTION("""COMPUTED_VALUE"""),38483.666666666664)</f>
        <v>38483.66667</v>
      </c>
      <c r="B6403" s="2">
        <f>IFERROR(__xludf.DUMMYFUNCTION("""COMPUTED_VALUE"""),70.33)</f>
        <v>70.33</v>
      </c>
      <c r="C6403" s="2">
        <f>IFERROR(__xludf.DUMMYFUNCTION("""COMPUTED_VALUE"""),70.39)</f>
        <v>70.39</v>
      </c>
      <c r="D6403" s="2">
        <f>IFERROR(__xludf.DUMMYFUNCTION("""COMPUTED_VALUE"""),69.26)</f>
        <v>69.26</v>
      </c>
      <c r="E6403" s="2">
        <f>IFERROR(__xludf.DUMMYFUNCTION("""COMPUTED_VALUE"""),69.99)</f>
        <v>69.99</v>
      </c>
      <c r="F6403" s="2">
        <f>IFERROR(__xludf.DUMMYFUNCTION("""COMPUTED_VALUE"""),7198700.0)</f>
        <v>7198700</v>
      </c>
    </row>
    <row r="6404">
      <c r="A6404" s="3">
        <f>IFERROR(__xludf.DUMMYFUNCTION("""COMPUTED_VALUE"""),38484.666666666664)</f>
        <v>38484.66667</v>
      </c>
      <c r="B6404" s="2">
        <f>IFERROR(__xludf.DUMMYFUNCTION("""COMPUTED_VALUE"""),70.23)</f>
        <v>70.23</v>
      </c>
      <c r="C6404" s="2">
        <f>IFERROR(__xludf.DUMMYFUNCTION("""COMPUTED_VALUE"""),70.49)</f>
        <v>70.49</v>
      </c>
      <c r="D6404" s="2">
        <f>IFERROR(__xludf.DUMMYFUNCTION("""COMPUTED_VALUE"""),69.25)</f>
        <v>69.25</v>
      </c>
      <c r="E6404" s="2">
        <f>IFERROR(__xludf.DUMMYFUNCTION("""COMPUTED_VALUE"""),69.36)</f>
        <v>69.36</v>
      </c>
      <c r="F6404" s="2">
        <f>IFERROR(__xludf.DUMMYFUNCTION("""COMPUTED_VALUE"""),6062800.0)</f>
        <v>6062800</v>
      </c>
    </row>
    <row r="6405">
      <c r="A6405" s="3">
        <f>IFERROR(__xludf.DUMMYFUNCTION("""COMPUTED_VALUE"""),38485.666666666664)</f>
        <v>38485.66667</v>
      </c>
      <c r="B6405" s="2">
        <f>IFERROR(__xludf.DUMMYFUNCTION("""COMPUTED_VALUE"""),69.54)</f>
        <v>69.54</v>
      </c>
      <c r="C6405" s="2">
        <f>IFERROR(__xludf.DUMMYFUNCTION("""COMPUTED_VALUE"""),70.55)</f>
        <v>70.55</v>
      </c>
      <c r="D6405" s="2">
        <f>IFERROR(__xludf.DUMMYFUNCTION("""COMPUTED_VALUE"""),69.27)</f>
        <v>69.27</v>
      </c>
      <c r="E6405" s="2">
        <f>IFERROR(__xludf.DUMMYFUNCTION("""COMPUTED_VALUE"""),69.88)</f>
        <v>69.88</v>
      </c>
      <c r="F6405" s="2">
        <f>IFERROR(__xludf.DUMMYFUNCTION("""COMPUTED_VALUE"""),7180500.0)</f>
        <v>7180500</v>
      </c>
    </row>
    <row r="6406">
      <c r="A6406" s="3">
        <f>IFERROR(__xludf.DUMMYFUNCTION("""COMPUTED_VALUE"""),38488.666666666664)</f>
        <v>38488.66667</v>
      </c>
      <c r="B6406" s="2">
        <f>IFERROR(__xludf.DUMMYFUNCTION("""COMPUTED_VALUE"""),69.81)</f>
        <v>69.81</v>
      </c>
      <c r="C6406" s="2">
        <f>IFERROR(__xludf.DUMMYFUNCTION("""COMPUTED_VALUE"""),71.15)</f>
        <v>71.15</v>
      </c>
      <c r="D6406" s="2">
        <f>IFERROR(__xludf.DUMMYFUNCTION("""COMPUTED_VALUE"""),69.81)</f>
        <v>69.81</v>
      </c>
      <c r="E6406" s="2">
        <f>IFERROR(__xludf.DUMMYFUNCTION("""COMPUTED_VALUE"""),71.01)</f>
        <v>71.01</v>
      </c>
      <c r="F6406" s="2">
        <f>IFERROR(__xludf.DUMMYFUNCTION("""COMPUTED_VALUE"""),5503300.0)</f>
        <v>5503300</v>
      </c>
    </row>
    <row r="6407">
      <c r="A6407" s="3">
        <f>IFERROR(__xludf.DUMMYFUNCTION("""COMPUTED_VALUE"""),38489.666666666664)</f>
        <v>38489.66667</v>
      </c>
      <c r="B6407" s="2">
        <f>IFERROR(__xludf.DUMMYFUNCTION("""COMPUTED_VALUE"""),70.62)</f>
        <v>70.62</v>
      </c>
      <c r="C6407" s="2">
        <f>IFERROR(__xludf.DUMMYFUNCTION("""COMPUTED_VALUE"""),71.09)</f>
        <v>71.09</v>
      </c>
      <c r="D6407" s="2">
        <f>IFERROR(__xludf.DUMMYFUNCTION("""COMPUTED_VALUE"""),70.04)</f>
        <v>70.04</v>
      </c>
      <c r="E6407" s="2">
        <f>IFERROR(__xludf.DUMMYFUNCTION("""COMPUTED_VALUE"""),70.96)</f>
        <v>70.96</v>
      </c>
      <c r="F6407" s="2">
        <f>IFERROR(__xludf.DUMMYFUNCTION("""COMPUTED_VALUE"""),5136400.0)</f>
        <v>5136400</v>
      </c>
    </row>
    <row r="6408">
      <c r="A6408" s="3">
        <f>IFERROR(__xludf.DUMMYFUNCTION("""COMPUTED_VALUE"""),38490.666666666664)</f>
        <v>38490.66667</v>
      </c>
      <c r="B6408" s="2">
        <f>IFERROR(__xludf.DUMMYFUNCTION("""COMPUTED_VALUE"""),71.64)</f>
        <v>71.64</v>
      </c>
      <c r="C6408" s="2">
        <f>IFERROR(__xludf.DUMMYFUNCTION("""COMPUTED_VALUE"""),73.37)</f>
        <v>73.37</v>
      </c>
      <c r="D6408" s="2">
        <f>IFERROR(__xludf.DUMMYFUNCTION("""COMPUTED_VALUE"""),71.34)</f>
        <v>71.34</v>
      </c>
      <c r="E6408" s="2">
        <f>IFERROR(__xludf.DUMMYFUNCTION("""COMPUTED_VALUE"""),72.94)</f>
        <v>72.94</v>
      </c>
      <c r="F6408" s="2">
        <f>IFERROR(__xludf.DUMMYFUNCTION("""COMPUTED_VALUE"""),1.05536E7)</f>
        <v>10553600</v>
      </c>
    </row>
    <row r="6409">
      <c r="A6409" s="3">
        <f>IFERROR(__xludf.DUMMYFUNCTION("""COMPUTED_VALUE"""),38491.666666666664)</f>
        <v>38491.66667</v>
      </c>
      <c r="B6409" s="2">
        <f>IFERROR(__xludf.DUMMYFUNCTION("""COMPUTED_VALUE"""),73.07)</f>
        <v>73.07</v>
      </c>
      <c r="C6409" s="2">
        <f>IFERROR(__xludf.DUMMYFUNCTION("""COMPUTED_VALUE"""),74.16)</f>
        <v>74.16</v>
      </c>
      <c r="D6409" s="2">
        <f>IFERROR(__xludf.DUMMYFUNCTION("""COMPUTED_VALUE"""),72.95)</f>
        <v>72.95</v>
      </c>
      <c r="E6409" s="2">
        <f>IFERROR(__xludf.DUMMYFUNCTION("""COMPUTED_VALUE"""),73.7)</f>
        <v>73.7</v>
      </c>
      <c r="F6409" s="2">
        <f>IFERROR(__xludf.DUMMYFUNCTION("""COMPUTED_VALUE"""),7033500.0)</f>
        <v>7033500</v>
      </c>
    </row>
    <row r="6410">
      <c r="A6410" s="3">
        <f>IFERROR(__xludf.DUMMYFUNCTION("""COMPUTED_VALUE"""),38492.666666666664)</f>
        <v>38492.66667</v>
      </c>
      <c r="B6410" s="2">
        <f>IFERROR(__xludf.DUMMYFUNCTION("""COMPUTED_VALUE"""),73.82)</f>
        <v>73.82</v>
      </c>
      <c r="C6410" s="2">
        <f>IFERROR(__xludf.DUMMYFUNCTION("""COMPUTED_VALUE"""),73.82)</f>
        <v>73.82</v>
      </c>
      <c r="D6410" s="2">
        <f>IFERROR(__xludf.DUMMYFUNCTION("""COMPUTED_VALUE"""),72.94)</f>
        <v>72.94</v>
      </c>
      <c r="E6410" s="2">
        <f>IFERROR(__xludf.DUMMYFUNCTION("""COMPUTED_VALUE"""),72.98)</f>
        <v>72.98</v>
      </c>
      <c r="F6410" s="2">
        <f>IFERROR(__xludf.DUMMYFUNCTION("""COMPUTED_VALUE"""),6334200.0)</f>
        <v>6334200</v>
      </c>
    </row>
    <row r="6411">
      <c r="A6411" s="3">
        <f>IFERROR(__xludf.DUMMYFUNCTION("""COMPUTED_VALUE"""),38495.666666666664)</f>
        <v>38495.66667</v>
      </c>
      <c r="B6411" s="2">
        <f>IFERROR(__xludf.DUMMYFUNCTION("""COMPUTED_VALUE"""),72.88)</f>
        <v>72.88</v>
      </c>
      <c r="C6411" s="2">
        <f>IFERROR(__xludf.DUMMYFUNCTION("""COMPUTED_VALUE"""),73.5)</f>
        <v>73.5</v>
      </c>
      <c r="D6411" s="2">
        <f>IFERROR(__xludf.DUMMYFUNCTION("""COMPUTED_VALUE"""),72.59)</f>
        <v>72.59</v>
      </c>
      <c r="E6411" s="2">
        <f>IFERROR(__xludf.DUMMYFUNCTION("""COMPUTED_VALUE"""),73.08)</f>
        <v>73.08</v>
      </c>
      <c r="F6411" s="2">
        <f>IFERROR(__xludf.DUMMYFUNCTION("""COMPUTED_VALUE"""),4759800.0)</f>
        <v>4759800</v>
      </c>
    </row>
    <row r="6412">
      <c r="A6412" s="3">
        <f>IFERROR(__xludf.DUMMYFUNCTION("""COMPUTED_VALUE"""),38496.666666666664)</f>
        <v>38496.66667</v>
      </c>
      <c r="B6412" s="2">
        <f>IFERROR(__xludf.DUMMYFUNCTION("""COMPUTED_VALUE"""),72.73)</f>
        <v>72.73</v>
      </c>
      <c r="C6412" s="2">
        <f>IFERROR(__xludf.DUMMYFUNCTION("""COMPUTED_VALUE"""),73.08)</f>
        <v>73.08</v>
      </c>
      <c r="D6412" s="2">
        <f>IFERROR(__xludf.DUMMYFUNCTION("""COMPUTED_VALUE"""),72.17)</f>
        <v>72.17</v>
      </c>
      <c r="E6412" s="2">
        <f>IFERROR(__xludf.DUMMYFUNCTION("""COMPUTED_VALUE"""),72.41)</f>
        <v>72.41</v>
      </c>
      <c r="F6412" s="2">
        <f>IFERROR(__xludf.DUMMYFUNCTION("""COMPUTED_VALUE"""),5661200.0)</f>
        <v>5661200</v>
      </c>
    </row>
    <row r="6413">
      <c r="A6413" s="3">
        <f>IFERROR(__xludf.DUMMYFUNCTION("""COMPUTED_VALUE"""),38497.666666666664)</f>
        <v>38497.66667</v>
      </c>
      <c r="B6413" s="2">
        <f>IFERROR(__xludf.DUMMYFUNCTION("""COMPUTED_VALUE"""),72.04)</f>
        <v>72.04</v>
      </c>
      <c r="C6413" s="2">
        <f>IFERROR(__xludf.DUMMYFUNCTION("""COMPUTED_VALUE"""),72.62)</f>
        <v>72.62</v>
      </c>
      <c r="D6413" s="2">
        <f>IFERROR(__xludf.DUMMYFUNCTION("""COMPUTED_VALUE"""),71.8)</f>
        <v>71.8</v>
      </c>
      <c r="E6413" s="2">
        <f>IFERROR(__xludf.DUMMYFUNCTION("""COMPUTED_VALUE"""),72.59)</f>
        <v>72.59</v>
      </c>
      <c r="F6413" s="2">
        <f>IFERROR(__xludf.DUMMYFUNCTION("""COMPUTED_VALUE"""),5483800.0)</f>
        <v>5483800</v>
      </c>
    </row>
    <row r="6414">
      <c r="A6414" s="3">
        <f>IFERROR(__xludf.DUMMYFUNCTION("""COMPUTED_VALUE"""),38498.666666666664)</f>
        <v>38498.66667</v>
      </c>
      <c r="B6414" s="2">
        <f>IFERROR(__xludf.DUMMYFUNCTION("""COMPUTED_VALUE"""),73.02)</f>
        <v>73.02</v>
      </c>
      <c r="C6414" s="2">
        <f>IFERROR(__xludf.DUMMYFUNCTION("""COMPUTED_VALUE"""),73.94)</f>
        <v>73.94</v>
      </c>
      <c r="D6414" s="2">
        <f>IFERROR(__xludf.DUMMYFUNCTION("""COMPUTED_VALUE"""),72.87)</f>
        <v>72.87</v>
      </c>
      <c r="E6414" s="2">
        <f>IFERROR(__xludf.DUMMYFUNCTION("""COMPUTED_VALUE"""),73.68)</f>
        <v>73.68</v>
      </c>
      <c r="F6414" s="2">
        <f>IFERROR(__xludf.DUMMYFUNCTION("""COMPUTED_VALUE"""),5832200.0)</f>
        <v>5832200</v>
      </c>
    </row>
    <row r="6415">
      <c r="A6415" s="3">
        <f>IFERROR(__xludf.DUMMYFUNCTION("""COMPUTED_VALUE"""),38499.666666666664)</f>
        <v>38499.66667</v>
      </c>
      <c r="B6415" s="2">
        <f>IFERROR(__xludf.DUMMYFUNCTION("""COMPUTED_VALUE"""),73.65)</f>
        <v>73.65</v>
      </c>
      <c r="C6415" s="2">
        <f>IFERROR(__xludf.DUMMYFUNCTION("""COMPUTED_VALUE"""),73.78)</f>
        <v>73.78</v>
      </c>
      <c r="D6415" s="2">
        <f>IFERROR(__xludf.DUMMYFUNCTION("""COMPUTED_VALUE"""),73.1)</f>
        <v>73.1</v>
      </c>
      <c r="E6415" s="2">
        <f>IFERROR(__xludf.DUMMYFUNCTION("""COMPUTED_VALUE"""),73.64)</f>
        <v>73.64</v>
      </c>
      <c r="F6415" s="2">
        <f>IFERROR(__xludf.DUMMYFUNCTION("""COMPUTED_VALUE"""),3167800.0)</f>
        <v>3167800</v>
      </c>
    </row>
    <row r="6416">
      <c r="A6416" s="3">
        <f>IFERROR(__xludf.DUMMYFUNCTION("""COMPUTED_VALUE"""),38503.666666666664)</f>
        <v>38503.66667</v>
      </c>
      <c r="B6416" s="2">
        <f>IFERROR(__xludf.DUMMYFUNCTION("""COMPUTED_VALUE"""),73.17)</f>
        <v>73.17</v>
      </c>
      <c r="C6416" s="2">
        <f>IFERROR(__xludf.DUMMYFUNCTION("""COMPUTED_VALUE"""),73.94)</f>
        <v>73.94</v>
      </c>
      <c r="D6416" s="2">
        <f>IFERROR(__xludf.DUMMYFUNCTION("""COMPUTED_VALUE"""),72.11)</f>
        <v>72.11</v>
      </c>
      <c r="E6416" s="2">
        <f>IFERROR(__xludf.DUMMYFUNCTION("""COMPUTED_VALUE"""),72.16)</f>
        <v>72.16</v>
      </c>
      <c r="F6416" s="2">
        <f>IFERROR(__xludf.DUMMYFUNCTION("""COMPUTED_VALUE"""),6423400.0)</f>
        <v>6423400</v>
      </c>
    </row>
    <row r="6417">
      <c r="A6417" s="3">
        <f>IFERROR(__xludf.DUMMYFUNCTION("""COMPUTED_VALUE"""),38504.666666666664)</f>
        <v>38504.66667</v>
      </c>
      <c r="B6417" s="2">
        <f>IFERROR(__xludf.DUMMYFUNCTION("""COMPUTED_VALUE"""),72.18)</f>
        <v>72.18</v>
      </c>
      <c r="C6417" s="2">
        <f>IFERROR(__xludf.DUMMYFUNCTION("""COMPUTED_VALUE"""),74.03)</f>
        <v>74.03</v>
      </c>
      <c r="D6417" s="2">
        <f>IFERROR(__xludf.DUMMYFUNCTION("""COMPUTED_VALUE"""),72.18)</f>
        <v>72.18</v>
      </c>
      <c r="E6417" s="2">
        <f>IFERROR(__xludf.DUMMYFUNCTION("""COMPUTED_VALUE"""),73.39)</f>
        <v>73.39</v>
      </c>
      <c r="F6417" s="2">
        <f>IFERROR(__xludf.DUMMYFUNCTION("""COMPUTED_VALUE"""),7793000.0)</f>
        <v>7793000</v>
      </c>
    </row>
    <row r="6418">
      <c r="A6418" s="3">
        <f>IFERROR(__xludf.DUMMYFUNCTION("""COMPUTED_VALUE"""),38505.666666666664)</f>
        <v>38505.66667</v>
      </c>
      <c r="B6418" s="2">
        <f>IFERROR(__xludf.DUMMYFUNCTION("""COMPUTED_VALUE"""),73.31)</f>
        <v>73.31</v>
      </c>
      <c r="C6418" s="2">
        <f>IFERROR(__xludf.DUMMYFUNCTION("""COMPUTED_VALUE"""),73.92)</f>
        <v>73.92</v>
      </c>
      <c r="D6418" s="2">
        <f>IFERROR(__xludf.DUMMYFUNCTION("""COMPUTED_VALUE"""),73.24)</f>
        <v>73.24</v>
      </c>
      <c r="E6418" s="2">
        <f>IFERROR(__xludf.DUMMYFUNCTION("""COMPUTED_VALUE"""),73.88)</f>
        <v>73.88</v>
      </c>
      <c r="F6418" s="2">
        <f>IFERROR(__xludf.DUMMYFUNCTION("""COMPUTED_VALUE"""),4028400.0)</f>
        <v>4028400</v>
      </c>
    </row>
    <row r="6419">
      <c r="A6419" s="3">
        <f>IFERROR(__xludf.DUMMYFUNCTION("""COMPUTED_VALUE"""),38506.666666666664)</f>
        <v>38506.66667</v>
      </c>
      <c r="B6419" s="2">
        <f>IFERROR(__xludf.DUMMYFUNCTION("""COMPUTED_VALUE"""),73.6)</f>
        <v>73.6</v>
      </c>
      <c r="C6419" s="2">
        <f>IFERROR(__xludf.DUMMYFUNCTION("""COMPUTED_VALUE"""),73.64)</f>
        <v>73.64</v>
      </c>
      <c r="D6419" s="2">
        <f>IFERROR(__xludf.DUMMYFUNCTION("""COMPUTED_VALUE"""),72.34)</f>
        <v>72.34</v>
      </c>
      <c r="E6419" s="2">
        <f>IFERROR(__xludf.DUMMYFUNCTION("""COMPUTED_VALUE"""),72.39)</f>
        <v>72.39</v>
      </c>
      <c r="F6419" s="2">
        <f>IFERROR(__xludf.DUMMYFUNCTION("""COMPUTED_VALUE"""),6181500.0)</f>
        <v>6181500</v>
      </c>
    </row>
    <row r="6420">
      <c r="A6420" s="3">
        <f>IFERROR(__xludf.DUMMYFUNCTION("""COMPUTED_VALUE"""),38509.666666666664)</f>
        <v>38509.66667</v>
      </c>
      <c r="B6420" s="2">
        <f>IFERROR(__xludf.DUMMYFUNCTION("""COMPUTED_VALUE"""),72.4)</f>
        <v>72.4</v>
      </c>
      <c r="C6420" s="2">
        <f>IFERROR(__xludf.DUMMYFUNCTION("""COMPUTED_VALUE"""),72.5)</f>
        <v>72.5</v>
      </c>
      <c r="D6420" s="2">
        <f>IFERROR(__xludf.DUMMYFUNCTION("""COMPUTED_VALUE"""),71.56)</f>
        <v>71.56</v>
      </c>
      <c r="E6420" s="2">
        <f>IFERROR(__xludf.DUMMYFUNCTION("""COMPUTED_VALUE"""),71.64)</f>
        <v>71.64</v>
      </c>
      <c r="F6420" s="2">
        <f>IFERROR(__xludf.DUMMYFUNCTION("""COMPUTED_VALUE"""),5980400.0)</f>
        <v>5980400</v>
      </c>
    </row>
    <row r="6421">
      <c r="A6421" s="3">
        <f>IFERROR(__xludf.DUMMYFUNCTION("""COMPUTED_VALUE"""),38510.666666666664)</f>
        <v>38510.66667</v>
      </c>
      <c r="B6421" s="2">
        <f>IFERROR(__xludf.DUMMYFUNCTION("""COMPUTED_VALUE"""),71.64)</f>
        <v>71.64</v>
      </c>
      <c r="C6421" s="2">
        <f>IFERROR(__xludf.DUMMYFUNCTION("""COMPUTED_VALUE"""),72.68)</f>
        <v>72.68</v>
      </c>
      <c r="D6421" s="2">
        <f>IFERROR(__xludf.DUMMYFUNCTION("""COMPUTED_VALUE"""),71.64)</f>
        <v>71.64</v>
      </c>
      <c r="E6421" s="2">
        <f>IFERROR(__xludf.DUMMYFUNCTION("""COMPUTED_VALUE"""),71.68)</f>
        <v>71.68</v>
      </c>
      <c r="F6421" s="2">
        <f>IFERROR(__xludf.DUMMYFUNCTION("""COMPUTED_VALUE"""),5287500.0)</f>
        <v>5287500</v>
      </c>
    </row>
    <row r="6422">
      <c r="A6422" s="3">
        <f>IFERROR(__xludf.DUMMYFUNCTION("""COMPUTED_VALUE"""),38511.666666666664)</f>
        <v>38511.66667</v>
      </c>
      <c r="B6422" s="2">
        <f>IFERROR(__xludf.DUMMYFUNCTION("""COMPUTED_VALUE"""),71.78)</f>
        <v>71.78</v>
      </c>
      <c r="C6422" s="2">
        <f>IFERROR(__xludf.DUMMYFUNCTION("""COMPUTED_VALUE"""),72.02)</f>
        <v>72.02</v>
      </c>
      <c r="D6422" s="2">
        <f>IFERROR(__xludf.DUMMYFUNCTION("""COMPUTED_VALUE"""),71.28)</f>
        <v>71.28</v>
      </c>
      <c r="E6422" s="2">
        <f>IFERROR(__xludf.DUMMYFUNCTION("""COMPUTED_VALUE"""),71.45)</f>
        <v>71.45</v>
      </c>
      <c r="F6422" s="2">
        <f>IFERROR(__xludf.DUMMYFUNCTION("""COMPUTED_VALUE"""),4678000.0)</f>
        <v>4678000</v>
      </c>
    </row>
    <row r="6423">
      <c r="A6423" s="3">
        <f>IFERROR(__xludf.DUMMYFUNCTION("""COMPUTED_VALUE"""),38512.666666666664)</f>
        <v>38512.66667</v>
      </c>
      <c r="B6423" s="2">
        <f>IFERROR(__xludf.DUMMYFUNCTION("""COMPUTED_VALUE"""),71.24)</f>
        <v>71.24</v>
      </c>
      <c r="C6423" s="2">
        <f>IFERROR(__xludf.DUMMYFUNCTION("""COMPUTED_VALUE"""),72.09)</f>
        <v>72.09</v>
      </c>
      <c r="D6423" s="2">
        <f>IFERROR(__xludf.DUMMYFUNCTION("""COMPUTED_VALUE"""),70.9)</f>
        <v>70.9</v>
      </c>
      <c r="E6423" s="2">
        <f>IFERROR(__xludf.DUMMYFUNCTION("""COMPUTED_VALUE"""),71.57)</f>
        <v>71.57</v>
      </c>
      <c r="F6423" s="2">
        <f>IFERROR(__xludf.DUMMYFUNCTION("""COMPUTED_VALUE"""),4423200.0)</f>
        <v>4423200</v>
      </c>
    </row>
    <row r="6424">
      <c r="A6424" s="3">
        <f>IFERROR(__xludf.DUMMYFUNCTION("""COMPUTED_VALUE"""),38513.666666666664)</f>
        <v>38513.66667</v>
      </c>
      <c r="B6424" s="2">
        <f>IFERROR(__xludf.DUMMYFUNCTION("""COMPUTED_VALUE"""),70.92)</f>
        <v>70.92</v>
      </c>
      <c r="C6424" s="2">
        <f>IFERROR(__xludf.DUMMYFUNCTION("""COMPUTED_VALUE"""),71.69)</f>
        <v>71.69</v>
      </c>
      <c r="D6424" s="2">
        <f>IFERROR(__xludf.DUMMYFUNCTION("""COMPUTED_VALUE"""),70.78)</f>
        <v>70.78</v>
      </c>
      <c r="E6424" s="2">
        <f>IFERROR(__xludf.DUMMYFUNCTION("""COMPUTED_VALUE"""),71.42)</f>
        <v>71.42</v>
      </c>
      <c r="F6424" s="2">
        <f>IFERROR(__xludf.DUMMYFUNCTION("""COMPUTED_VALUE"""),4896000.0)</f>
        <v>4896000</v>
      </c>
    </row>
    <row r="6425">
      <c r="A6425" s="3">
        <f>IFERROR(__xludf.DUMMYFUNCTION("""COMPUTED_VALUE"""),38516.666666666664)</f>
        <v>38516.66667</v>
      </c>
      <c r="B6425" s="2">
        <f>IFERROR(__xludf.DUMMYFUNCTION("""COMPUTED_VALUE"""),71.16)</f>
        <v>71.16</v>
      </c>
      <c r="C6425" s="2">
        <f>IFERROR(__xludf.DUMMYFUNCTION("""COMPUTED_VALUE"""),72.53)</f>
        <v>72.53</v>
      </c>
      <c r="D6425" s="2">
        <f>IFERROR(__xludf.DUMMYFUNCTION("""COMPUTED_VALUE"""),71.11)</f>
        <v>71.11</v>
      </c>
      <c r="E6425" s="2">
        <f>IFERROR(__xludf.DUMMYFUNCTION("""COMPUTED_VALUE"""),71.69)</f>
        <v>71.69</v>
      </c>
      <c r="F6425" s="2">
        <f>IFERROR(__xludf.DUMMYFUNCTION("""COMPUTED_VALUE"""),5716600.0)</f>
        <v>5716600</v>
      </c>
    </row>
    <row r="6426">
      <c r="A6426" s="3">
        <f>IFERROR(__xludf.DUMMYFUNCTION("""COMPUTED_VALUE"""),38517.666666666664)</f>
        <v>38517.66667</v>
      </c>
      <c r="B6426" s="2">
        <f>IFERROR(__xludf.DUMMYFUNCTION("""COMPUTED_VALUE"""),71.69)</f>
        <v>71.69</v>
      </c>
      <c r="C6426" s="2">
        <f>IFERROR(__xludf.DUMMYFUNCTION("""COMPUTED_VALUE"""),72.05)</f>
        <v>72.05</v>
      </c>
      <c r="D6426" s="2">
        <f>IFERROR(__xludf.DUMMYFUNCTION("""COMPUTED_VALUE"""),71.38)</f>
        <v>71.38</v>
      </c>
      <c r="E6426" s="2">
        <f>IFERROR(__xludf.DUMMYFUNCTION("""COMPUTED_VALUE"""),71.53)</f>
        <v>71.53</v>
      </c>
      <c r="F6426" s="2">
        <f>IFERROR(__xludf.DUMMYFUNCTION("""COMPUTED_VALUE"""),4319500.0)</f>
        <v>4319500</v>
      </c>
    </row>
    <row r="6427">
      <c r="A6427" s="3">
        <f>IFERROR(__xludf.DUMMYFUNCTION("""COMPUTED_VALUE"""),38518.666666666664)</f>
        <v>38518.66667</v>
      </c>
      <c r="B6427" s="2">
        <f>IFERROR(__xludf.DUMMYFUNCTION("""COMPUTED_VALUE"""),72.31)</f>
        <v>72.31</v>
      </c>
      <c r="C6427" s="2">
        <f>IFERROR(__xludf.DUMMYFUNCTION("""COMPUTED_VALUE"""),73.07)</f>
        <v>73.07</v>
      </c>
      <c r="D6427" s="2">
        <f>IFERROR(__xludf.DUMMYFUNCTION("""COMPUTED_VALUE"""),71.78)</f>
        <v>71.78</v>
      </c>
      <c r="E6427" s="2">
        <f>IFERROR(__xludf.DUMMYFUNCTION("""COMPUTED_VALUE"""),72.88)</f>
        <v>72.88</v>
      </c>
      <c r="F6427" s="2">
        <f>IFERROR(__xludf.DUMMYFUNCTION("""COMPUTED_VALUE"""),7609200.0)</f>
        <v>7609200</v>
      </c>
    </row>
    <row r="6428">
      <c r="A6428" s="3">
        <f>IFERROR(__xludf.DUMMYFUNCTION("""COMPUTED_VALUE"""),38519.666666666664)</f>
        <v>38519.66667</v>
      </c>
      <c r="B6428" s="2">
        <f>IFERROR(__xludf.DUMMYFUNCTION("""COMPUTED_VALUE"""),72.97)</f>
        <v>72.97</v>
      </c>
      <c r="C6428" s="2">
        <f>IFERROR(__xludf.DUMMYFUNCTION("""COMPUTED_VALUE"""),73.79)</f>
        <v>73.79</v>
      </c>
      <c r="D6428" s="2">
        <f>IFERROR(__xludf.DUMMYFUNCTION("""COMPUTED_VALUE"""),72.89)</f>
        <v>72.89</v>
      </c>
      <c r="E6428" s="2">
        <f>IFERROR(__xludf.DUMMYFUNCTION("""COMPUTED_VALUE"""),73.6)</f>
        <v>73.6</v>
      </c>
      <c r="F6428" s="2">
        <f>IFERROR(__xludf.DUMMYFUNCTION("""COMPUTED_VALUE"""),7841900.0)</f>
        <v>7841900</v>
      </c>
    </row>
    <row r="6429">
      <c r="A6429" s="3">
        <f>IFERROR(__xludf.DUMMYFUNCTION("""COMPUTED_VALUE"""),38520.666666666664)</f>
        <v>38520.66667</v>
      </c>
      <c r="B6429" s="2">
        <f>IFERROR(__xludf.DUMMYFUNCTION("""COMPUTED_VALUE"""),74.22)</f>
        <v>74.22</v>
      </c>
      <c r="C6429" s="2">
        <f>IFERROR(__xludf.DUMMYFUNCTION("""COMPUTED_VALUE"""),74.24)</f>
        <v>74.24</v>
      </c>
      <c r="D6429" s="2">
        <f>IFERROR(__xludf.DUMMYFUNCTION("""COMPUTED_VALUE"""),72.96)</f>
        <v>72.96</v>
      </c>
      <c r="E6429" s="2">
        <f>IFERROR(__xludf.DUMMYFUNCTION("""COMPUTED_VALUE"""),72.96)</f>
        <v>72.96</v>
      </c>
      <c r="F6429" s="2">
        <f>IFERROR(__xludf.DUMMYFUNCTION("""COMPUTED_VALUE"""),8594900.0)</f>
        <v>8594900</v>
      </c>
    </row>
    <row r="6430">
      <c r="A6430" s="3">
        <f>IFERROR(__xludf.DUMMYFUNCTION("""COMPUTED_VALUE"""),38523.666666666664)</f>
        <v>38523.66667</v>
      </c>
      <c r="B6430" s="2">
        <f>IFERROR(__xludf.DUMMYFUNCTION("""COMPUTED_VALUE"""),72.62)</f>
        <v>72.62</v>
      </c>
      <c r="C6430" s="2">
        <f>IFERROR(__xludf.DUMMYFUNCTION("""COMPUTED_VALUE"""),73.53)</f>
        <v>73.53</v>
      </c>
      <c r="D6430" s="2">
        <f>IFERROR(__xludf.DUMMYFUNCTION("""COMPUTED_VALUE"""),72.18)</f>
        <v>72.18</v>
      </c>
      <c r="E6430" s="2">
        <f>IFERROR(__xludf.DUMMYFUNCTION("""COMPUTED_VALUE"""),73.12)</f>
        <v>73.12</v>
      </c>
      <c r="F6430" s="2">
        <f>IFERROR(__xludf.DUMMYFUNCTION("""COMPUTED_VALUE"""),3746600.0)</f>
        <v>3746600</v>
      </c>
    </row>
    <row r="6431">
      <c r="A6431" s="3">
        <f>IFERROR(__xludf.DUMMYFUNCTION("""COMPUTED_VALUE"""),38524.666666666664)</f>
        <v>38524.66667</v>
      </c>
      <c r="B6431" s="2">
        <f>IFERROR(__xludf.DUMMYFUNCTION("""COMPUTED_VALUE"""),73.26)</f>
        <v>73.26</v>
      </c>
      <c r="C6431" s="2">
        <f>IFERROR(__xludf.DUMMYFUNCTION("""COMPUTED_VALUE"""),73.55)</f>
        <v>73.55</v>
      </c>
      <c r="D6431" s="2">
        <f>IFERROR(__xludf.DUMMYFUNCTION("""COMPUTED_VALUE"""),72.7)</f>
        <v>72.7</v>
      </c>
      <c r="E6431" s="2">
        <f>IFERROR(__xludf.DUMMYFUNCTION("""COMPUTED_VALUE"""),72.98)</f>
        <v>72.98</v>
      </c>
      <c r="F6431" s="2">
        <f>IFERROR(__xludf.DUMMYFUNCTION("""COMPUTED_VALUE"""),5339700.0)</f>
        <v>5339700</v>
      </c>
    </row>
    <row r="6432">
      <c r="A6432" s="3">
        <f>IFERROR(__xludf.DUMMYFUNCTION("""COMPUTED_VALUE"""),38525.666666666664)</f>
        <v>38525.66667</v>
      </c>
      <c r="B6432" s="2">
        <f>IFERROR(__xludf.DUMMYFUNCTION("""COMPUTED_VALUE"""),73.39)</f>
        <v>73.39</v>
      </c>
      <c r="C6432" s="2">
        <f>IFERROR(__xludf.DUMMYFUNCTION("""COMPUTED_VALUE"""),74.02)</f>
        <v>74.02</v>
      </c>
      <c r="D6432" s="2">
        <f>IFERROR(__xludf.DUMMYFUNCTION("""COMPUTED_VALUE"""),73.23)</f>
        <v>73.23</v>
      </c>
      <c r="E6432" s="2">
        <f>IFERROR(__xludf.DUMMYFUNCTION("""COMPUTED_VALUE"""),73.77)</f>
        <v>73.77</v>
      </c>
      <c r="F6432" s="2">
        <f>IFERROR(__xludf.DUMMYFUNCTION("""COMPUTED_VALUE"""),5798500.0)</f>
        <v>5798500</v>
      </c>
    </row>
    <row r="6433">
      <c r="A6433" s="3">
        <f>IFERROR(__xludf.DUMMYFUNCTION("""COMPUTED_VALUE"""),38526.666666666664)</f>
        <v>38526.66667</v>
      </c>
      <c r="B6433" s="2">
        <f>IFERROR(__xludf.DUMMYFUNCTION("""COMPUTED_VALUE"""),73.37)</f>
        <v>73.37</v>
      </c>
      <c r="C6433" s="2">
        <f>IFERROR(__xludf.DUMMYFUNCTION("""COMPUTED_VALUE"""),73.52)</f>
        <v>73.52</v>
      </c>
      <c r="D6433" s="2">
        <f>IFERROR(__xludf.DUMMYFUNCTION("""COMPUTED_VALUE"""),71.69)</f>
        <v>71.69</v>
      </c>
      <c r="E6433" s="2">
        <f>IFERROR(__xludf.DUMMYFUNCTION("""COMPUTED_VALUE"""),72.03)</f>
        <v>72.03</v>
      </c>
      <c r="F6433" s="2">
        <f>IFERROR(__xludf.DUMMYFUNCTION("""COMPUTED_VALUE"""),7770800.0)</f>
        <v>7770800</v>
      </c>
    </row>
    <row r="6434">
      <c r="A6434" s="3">
        <f>IFERROR(__xludf.DUMMYFUNCTION("""COMPUTED_VALUE"""),38527.666666666664)</f>
        <v>38527.66667</v>
      </c>
      <c r="B6434" s="2">
        <f>IFERROR(__xludf.DUMMYFUNCTION("""COMPUTED_VALUE"""),71.8)</f>
        <v>71.8</v>
      </c>
      <c r="C6434" s="2">
        <f>IFERROR(__xludf.DUMMYFUNCTION("""COMPUTED_VALUE"""),72.02)</f>
        <v>72.02</v>
      </c>
      <c r="D6434" s="2">
        <f>IFERROR(__xludf.DUMMYFUNCTION("""COMPUTED_VALUE"""),70.68)</f>
        <v>70.68</v>
      </c>
      <c r="E6434" s="2">
        <f>IFERROR(__xludf.DUMMYFUNCTION("""COMPUTED_VALUE"""),70.69)</f>
        <v>70.69</v>
      </c>
      <c r="F6434" s="2">
        <f>IFERROR(__xludf.DUMMYFUNCTION("""COMPUTED_VALUE"""),1.08291E7)</f>
        <v>10829100</v>
      </c>
    </row>
    <row r="6435">
      <c r="A6435" s="3">
        <f>IFERROR(__xludf.DUMMYFUNCTION("""COMPUTED_VALUE"""),38530.666666666664)</f>
        <v>38530.66667</v>
      </c>
      <c r="B6435" s="2">
        <f>IFERROR(__xludf.DUMMYFUNCTION("""COMPUTED_VALUE"""),70.69)</f>
        <v>70.69</v>
      </c>
      <c r="C6435" s="2">
        <f>IFERROR(__xludf.DUMMYFUNCTION("""COMPUTED_VALUE"""),71.42)</f>
        <v>71.42</v>
      </c>
      <c r="D6435" s="2">
        <f>IFERROR(__xludf.DUMMYFUNCTION("""COMPUTED_VALUE"""),70.2)</f>
        <v>70.2</v>
      </c>
      <c r="E6435" s="2">
        <f>IFERROR(__xludf.DUMMYFUNCTION("""COMPUTED_VALUE"""),70.57)</f>
        <v>70.57</v>
      </c>
      <c r="F6435" s="2">
        <f>IFERROR(__xludf.DUMMYFUNCTION("""COMPUTED_VALUE"""),6712200.0)</f>
        <v>6712200</v>
      </c>
    </row>
    <row r="6436">
      <c r="A6436" s="3">
        <f>IFERROR(__xludf.DUMMYFUNCTION("""COMPUTED_VALUE"""),38531.666666666664)</f>
        <v>38531.66667</v>
      </c>
      <c r="B6436" s="2">
        <f>IFERROR(__xludf.DUMMYFUNCTION("""COMPUTED_VALUE"""),70.52)</f>
        <v>70.52</v>
      </c>
      <c r="C6436" s="2">
        <f>IFERROR(__xludf.DUMMYFUNCTION("""COMPUTED_VALUE"""),71.92)</f>
        <v>71.92</v>
      </c>
      <c r="D6436" s="2">
        <f>IFERROR(__xludf.DUMMYFUNCTION("""COMPUTED_VALUE"""),70.16)</f>
        <v>70.16</v>
      </c>
      <c r="E6436" s="2">
        <f>IFERROR(__xludf.DUMMYFUNCTION("""COMPUTED_VALUE"""),71.92)</f>
        <v>71.92</v>
      </c>
      <c r="F6436" s="2">
        <f>IFERROR(__xludf.DUMMYFUNCTION("""COMPUTED_VALUE"""),8222500.0)</f>
        <v>8222500</v>
      </c>
    </row>
    <row r="6437">
      <c r="A6437" s="3">
        <f>IFERROR(__xludf.DUMMYFUNCTION("""COMPUTED_VALUE"""),38532.666666666664)</f>
        <v>38532.66667</v>
      </c>
      <c r="B6437" s="2">
        <f>IFERROR(__xludf.DUMMYFUNCTION("""COMPUTED_VALUE"""),71.89)</f>
        <v>71.89</v>
      </c>
      <c r="C6437" s="2">
        <f>IFERROR(__xludf.DUMMYFUNCTION("""COMPUTED_VALUE"""),72.29)</f>
        <v>72.29</v>
      </c>
      <c r="D6437" s="2">
        <f>IFERROR(__xludf.DUMMYFUNCTION("""COMPUTED_VALUE"""),71.27)</f>
        <v>71.27</v>
      </c>
      <c r="E6437" s="2">
        <f>IFERROR(__xludf.DUMMYFUNCTION("""COMPUTED_VALUE"""),71.38)</f>
        <v>71.38</v>
      </c>
      <c r="F6437" s="2">
        <f>IFERROR(__xludf.DUMMYFUNCTION("""COMPUTED_VALUE"""),5794900.0)</f>
        <v>5794900</v>
      </c>
    </row>
    <row r="6438">
      <c r="A6438" s="3">
        <f>IFERROR(__xludf.DUMMYFUNCTION("""COMPUTED_VALUE"""),38533.666666666664)</f>
        <v>38533.66667</v>
      </c>
      <c r="B6438" s="2">
        <f>IFERROR(__xludf.DUMMYFUNCTION("""COMPUTED_VALUE"""),71.45)</f>
        <v>71.45</v>
      </c>
      <c r="C6438" s="2">
        <f>IFERROR(__xludf.DUMMYFUNCTION("""COMPUTED_VALUE"""),72.11)</f>
        <v>72.11</v>
      </c>
      <c r="D6438" s="2">
        <f>IFERROR(__xludf.DUMMYFUNCTION("""COMPUTED_VALUE"""),70.75)</f>
        <v>70.75</v>
      </c>
      <c r="E6438" s="2">
        <f>IFERROR(__xludf.DUMMYFUNCTION("""COMPUTED_VALUE"""),70.87)</f>
        <v>70.87</v>
      </c>
      <c r="F6438" s="2">
        <f>IFERROR(__xludf.DUMMYFUNCTION("""COMPUTED_VALUE"""),6232500.0)</f>
        <v>6232500</v>
      </c>
    </row>
    <row r="6439">
      <c r="A6439" s="3">
        <f>IFERROR(__xludf.DUMMYFUNCTION("""COMPUTED_VALUE"""),38534.666666666664)</f>
        <v>38534.66667</v>
      </c>
      <c r="B6439" s="2">
        <f>IFERROR(__xludf.DUMMYFUNCTION("""COMPUTED_VALUE"""),70.97)</f>
        <v>70.97</v>
      </c>
      <c r="C6439" s="2">
        <f>IFERROR(__xludf.DUMMYFUNCTION("""COMPUTED_VALUE"""),71.95)</f>
        <v>71.95</v>
      </c>
      <c r="D6439" s="2">
        <f>IFERROR(__xludf.DUMMYFUNCTION("""COMPUTED_VALUE"""),70.97)</f>
        <v>70.97</v>
      </c>
      <c r="E6439" s="2">
        <f>IFERROR(__xludf.DUMMYFUNCTION("""COMPUTED_VALUE"""),71.32)</f>
        <v>71.32</v>
      </c>
      <c r="F6439" s="2">
        <f>IFERROR(__xludf.DUMMYFUNCTION("""COMPUTED_VALUE"""),4354600.0)</f>
        <v>4354600</v>
      </c>
    </row>
    <row r="6440">
      <c r="A6440" s="3">
        <f>IFERROR(__xludf.DUMMYFUNCTION("""COMPUTED_VALUE"""),38538.666666666664)</f>
        <v>38538.66667</v>
      </c>
      <c r="B6440" s="2">
        <f>IFERROR(__xludf.DUMMYFUNCTION("""COMPUTED_VALUE"""),71.05)</f>
        <v>71.05</v>
      </c>
      <c r="C6440" s="2">
        <f>IFERROR(__xludf.DUMMYFUNCTION("""COMPUTED_VALUE"""),71.61)</f>
        <v>71.61</v>
      </c>
      <c r="D6440" s="2">
        <f>IFERROR(__xludf.DUMMYFUNCTION("""COMPUTED_VALUE"""),70.83)</f>
        <v>70.83</v>
      </c>
      <c r="E6440" s="2">
        <f>IFERROR(__xludf.DUMMYFUNCTION("""COMPUTED_VALUE"""),71.44)</f>
        <v>71.44</v>
      </c>
      <c r="F6440" s="2">
        <f>IFERROR(__xludf.DUMMYFUNCTION("""COMPUTED_VALUE"""),5194600.0)</f>
        <v>5194600</v>
      </c>
    </row>
    <row r="6441">
      <c r="A6441" s="3">
        <f>IFERROR(__xludf.DUMMYFUNCTION("""COMPUTED_VALUE"""),38539.666666666664)</f>
        <v>38539.66667</v>
      </c>
      <c r="B6441" s="2">
        <f>IFERROR(__xludf.DUMMYFUNCTION("""COMPUTED_VALUE"""),71.45)</f>
        <v>71.45</v>
      </c>
      <c r="C6441" s="2">
        <f>IFERROR(__xludf.DUMMYFUNCTION("""COMPUTED_VALUE"""),72.74)</f>
        <v>72.74</v>
      </c>
      <c r="D6441" s="2">
        <f>IFERROR(__xludf.DUMMYFUNCTION("""COMPUTED_VALUE"""),71.06)</f>
        <v>71.06</v>
      </c>
      <c r="E6441" s="2">
        <f>IFERROR(__xludf.DUMMYFUNCTION("""COMPUTED_VALUE"""),72.41)</f>
        <v>72.41</v>
      </c>
      <c r="F6441" s="2">
        <f>IFERROR(__xludf.DUMMYFUNCTION("""COMPUTED_VALUE"""),8009900.0)</f>
        <v>8009900</v>
      </c>
    </row>
    <row r="6442">
      <c r="A6442" s="3">
        <f>IFERROR(__xludf.DUMMYFUNCTION("""COMPUTED_VALUE"""),38540.666666666664)</f>
        <v>38540.66667</v>
      </c>
      <c r="B6442" s="2">
        <f>IFERROR(__xludf.DUMMYFUNCTION("""COMPUTED_VALUE"""),71.78)</f>
        <v>71.78</v>
      </c>
      <c r="C6442" s="2">
        <f>IFERROR(__xludf.DUMMYFUNCTION("""COMPUTED_VALUE"""),74.05)</f>
        <v>74.05</v>
      </c>
      <c r="D6442" s="2">
        <f>IFERROR(__xludf.DUMMYFUNCTION("""COMPUTED_VALUE"""),71.64)</f>
        <v>71.64</v>
      </c>
      <c r="E6442" s="2">
        <f>IFERROR(__xludf.DUMMYFUNCTION("""COMPUTED_VALUE"""),73.91)</f>
        <v>73.91</v>
      </c>
      <c r="F6442" s="2">
        <f>IFERROR(__xludf.DUMMYFUNCTION("""COMPUTED_VALUE"""),1.07725E7)</f>
        <v>10772500</v>
      </c>
    </row>
    <row r="6443">
      <c r="A6443" s="3">
        <f>IFERROR(__xludf.DUMMYFUNCTION("""COMPUTED_VALUE"""),38541.666666666664)</f>
        <v>38541.66667</v>
      </c>
      <c r="B6443" s="2">
        <f>IFERROR(__xludf.DUMMYFUNCTION("""COMPUTED_VALUE"""),73.91)</f>
        <v>73.91</v>
      </c>
      <c r="C6443" s="2">
        <f>IFERROR(__xludf.DUMMYFUNCTION("""COMPUTED_VALUE"""),75.95)</f>
        <v>75.95</v>
      </c>
      <c r="D6443" s="2">
        <f>IFERROR(__xludf.DUMMYFUNCTION("""COMPUTED_VALUE"""),73.68)</f>
        <v>73.68</v>
      </c>
      <c r="E6443" s="2">
        <f>IFERROR(__xludf.DUMMYFUNCTION("""COMPUTED_VALUE"""),75.74)</f>
        <v>75.74</v>
      </c>
      <c r="F6443" s="2">
        <f>IFERROR(__xludf.DUMMYFUNCTION("""COMPUTED_VALUE"""),1.34408E7)</f>
        <v>13440800</v>
      </c>
    </row>
    <row r="6444">
      <c r="A6444" s="3">
        <f>IFERROR(__xludf.DUMMYFUNCTION("""COMPUTED_VALUE"""),38544.666666666664)</f>
        <v>38544.66667</v>
      </c>
      <c r="B6444" s="2">
        <f>IFERROR(__xludf.DUMMYFUNCTION("""COMPUTED_VALUE"""),75.84)</f>
        <v>75.84</v>
      </c>
      <c r="C6444" s="2">
        <f>IFERROR(__xludf.DUMMYFUNCTION("""COMPUTED_VALUE"""),75.95)</f>
        <v>75.95</v>
      </c>
      <c r="D6444" s="2">
        <f>IFERROR(__xludf.DUMMYFUNCTION("""COMPUTED_VALUE"""),75.0)</f>
        <v>75</v>
      </c>
      <c r="E6444" s="2">
        <f>IFERROR(__xludf.DUMMYFUNCTION("""COMPUTED_VALUE"""),75.42)</f>
        <v>75.42</v>
      </c>
      <c r="F6444" s="2">
        <f>IFERROR(__xludf.DUMMYFUNCTION("""COMPUTED_VALUE"""),7186800.0)</f>
        <v>7186800</v>
      </c>
    </row>
    <row r="6445">
      <c r="A6445" s="3">
        <f>IFERROR(__xludf.DUMMYFUNCTION("""COMPUTED_VALUE"""),38545.666666666664)</f>
        <v>38545.66667</v>
      </c>
      <c r="B6445" s="2">
        <f>IFERROR(__xludf.DUMMYFUNCTION("""COMPUTED_VALUE"""),75.65)</f>
        <v>75.65</v>
      </c>
      <c r="C6445" s="2">
        <f>IFERROR(__xludf.DUMMYFUNCTION("""COMPUTED_VALUE"""),76.88)</f>
        <v>76.88</v>
      </c>
      <c r="D6445" s="2">
        <f>IFERROR(__xludf.DUMMYFUNCTION("""COMPUTED_VALUE"""),75.63)</f>
        <v>75.63</v>
      </c>
      <c r="E6445" s="2">
        <f>IFERROR(__xludf.DUMMYFUNCTION("""COMPUTED_VALUE"""),76.45)</f>
        <v>76.45</v>
      </c>
      <c r="F6445" s="2">
        <f>IFERROR(__xludf.DUMMYFUNCTION("""COMPUTED_VALUE"""),1.09469E7)</f>
        <v>10946900</v>
      </c>
    </row>
    <row r="6446">
      <c r="A6446" s="3">
        <f>IFERROR(__xludf.DUMMYFUNCTION("""COMPUTED_VALUE"""),38546.666666666664)</f>
        <v>38546.66667</v>
      </c>
      <c r="B6446" s="2">
        <f>IFERROR(__xludf.DUMMYFUNCTION("""COMPUTED_VALUE"""),77.52)</f>
        <v>77.52</v>
      </c>
      <c r="C6446" s="2">
        <f>IFERROR(__xludf.DUMMYFUNCTION("""COMPUTED_VALUE"""),78.08)</f>
        <v>78.08</v>
      </c>
      <c r="D6446" s="2">
        <f>IFERROR(__xludf.DUMMYFUNCTION("""COMPUTED_VALUE"""),77.52)</f>
        <v>77.52</v>
      </c>
      <c r="E6446" s="2">
        <f>IFERROR(__xludf.DUMMYFUNCTION("""COMPUTED_VALUE"""),77.8)</f>
        <v>77.8</v>
      </c>
      <c r="F6446" s="2">
        <f>IFERROR(__xludf.DUMMYFUNCTION("""COMPUTED_VALUE"""),1.134E7)</f>
        <v>11340000</v>
      </c>
    </row>
    <row r="6447">
      <c r="A6447" s="3">
        <f>IFERROR(__xludf.DUMMYFUNCTION("""COMPUTED_VALUE"""),38547.666666666664)</f>
        <v>38547.66667</v>
      </c>
      <c r="B6447" s="2">
        <f>IFERROR(__xludf.DUMMYFUNCTION("""COMPUTED_VALUE"""),78.32)</f>
        <v>78.32</v>
      </c>
      <c r="C6447" s="2">
        <f>IFERROR(__xludf.DUMMYFUNCTION("""COMPUTED_VALUE"""),78.96)</f>
        <v>78.96</v>
      </c>
      <c r="D6447" s="2">
        <f>IFERROR(__xludf.DUMMYFUNCTION("""COMPUTED_VALUE"""),78.32)</f>
        <v>78.32</v>
      </c>
      <c r="E6447" s="2">
        <f>IFERROR(__xludf.DUMMYFUNCTION("""COMPUTED_VALUE"""),78.72)</f>
        <v>78.72</v>
      </c>
      <c r="F6447" s="2">
        <f>IFERROR(__xludf.DUMMYFUNCTION("""COMPUTED_VALUE"""),8546300.0)</f>
        <v>8546300</v>
      </c>
    </row>
    <row r="6448">
      <c r="A6448" s="3">
        <f>IFERROR(__xludf.DUMMYFUNCTION("""COMPUTED_VALUE"""),38548.666666666664)</f>
        <v>38548.66667</v>
      </c>
      <c r="B6448" s="2">
        <f>IFERROR(__xludf.DUMMYFUNCTION("""COMPUTED_VALUE"""),78.73)</f>
        <v>78.73</v>
      </c>
      <c r="C6448" s="2">
        <f>IFERROR(__xludf.DUMMYFUNCTION("""COMPUTED_VALUE"""),79.04)</f>
        <v>79.04</v>
      </c>
      <c r="D6448" s="2">
        <f>IFERROR(__xludf.DUMMYFUNCTION("""COMPUTED_VALUE"""),77.86)</f>
        <v>77.86</v>
      </c>
      <c r="E6448" s="2">
        <f>IFERROR(__xludf.DUMMYFUNCTION("""COMPUTED_VALUE"""),78.69)</f>
        <v>78.69</v>
      </c>
      <c r="F6448" s="2">
        <f>IFERROR(__xludf.DUMMYFUNCTION("""COMPUTED_VALUE"""),7646600.0)</f>
        <v>7646600</v>
      </c>
    </row>
    <row r="6449">
      <c r="A6449" s="3">
        <f>IFERROR(__xludf.DUMMYFUNCTION("""COMPUTED_VALUE"""),38551.666666666664)</f>
        <v>38551.66667</v>
      </c>
      <c r="B6449" s="2">
        <f>IFERROR(__xludf.DUMMYFUNCTION("""COMPUTED_VALUE"""),78.31)</f>
        <v>78.31</v>
      </c>
      <c r="C6449" s="2">
        <f>IFERROR(__xludf.DUMMYFUNCTION("""COMPUTED_VALUE"""),80.18)</f>
        <v>80.18</v>
      </c>
      <c r="D6449" s="2">
        <f>IFERROR(__xludf.DUMMYFUNCTION("""COMPUTED_VALUE"""),78.02)</f>
        <v>78.02</v>
      </c>
      <c r="E6449" s="2">
        <f>IFERROR(__xludf.DUMMYFUNCTION("""COMPUTED_VALUE"""),78.14)</f>
        <v>78.14</v>
      </c>
      <c r="F6449" s="2">
        <f>IFERROR(__xludf.DUMMYFUNCTION("""COMPUTED_VALUE"""),8779200.0)</f>
        <v>8779200</v>
      </c>
    </row>
    <row r="6450">
      <c r="A6450" s="3">
        <f>IFERROR(__xludf.DUMMYFUNCTION("""COMPUTED_VALUE"""),38552.666666666664)</f>
        <v>38552.66667</v>
      </c>
      <c r="B6450" s="2">
        <f>IFERROR(__xludf.DUMMYFUNCTION("""COMPUTED_VALUE"""),80.71)</f>
        <v>80.71</v>
      </c>
      <c r="C6450" s="2">
        <f>IFERROR(__xludf.DUMMYFUNCTION("""COMPUTED_VALUE"""),81.29)</f>
        <v>81.29</v>
      </c>
      <c r="D6450" s="2">
        <f>IFERROR(__xludf.DUMMYFUNCTION("""COMPUTED_VALUE"""),79.95)</f>
        <v>79.95</v>
      </c>
      <c r="E6450" s="2">
        <f>IFERROR(__xludf.DUMMYFUNCTION("""COMPUTED_VALUE"""),79.95)</f>
        <v>79.95</v>
      </c>
      <c r="F6450" s="2">
        <f>IFERROR(__xludf.DUMMYFUNCTION("""COMPUTED_VALUE"""),1.4155E7)</f>
        <v>14155000</v>
      </c>
    </row>
    <row r="6451">
      <c r="A6451" s="3">
        <f>IFERROR(__xludf.DUMMYFUNCTION("""COMPUTED_VALUE"""),38553.666666666664)</f>
        <v>38553.66667</v>
      </c>
      <c r="B6451" s="2">
        <f>IFERROR(__xludf.DUMMYFUNCTION("""COMPUTED_VALUE"""),79.47)</f>
        <v>79.47</v>
      </c>
      <c r="C6451" s="2">
        <f>IFERROR(__xludf.DUMMYFUNCTION("""COMPUTED_VALUE"""),81.15)</f>
        <v>81.15</v>
      </c>
      <c r="D6451" s="2">
        <f>IFERROR(__xludf.DUMMYFUNCTION("""COMPUTED_VALUE"""),79.27)</f>
        <v>79.27</v>
      </c>
      <c r="E6451" s="2">
        <f>IFERROR(__xludf.DUMMYFUNCTION("""COMPUTED_VALUE"""),80.81)</f>
        <v>80.81</v>
      </c>
      <c r="F6451" s="2">
        <f>IFERROR(__xludf.DUMMYFUNCTION("""COMPUTED_VALUE"""),9334900.0)</f>
        <v>9334900</v>
      </c>
    </row>
    <row r="6452">
      <c r="A6452" s="3">
        <f>IFERROR(__xludf.DUMMYFUNCTION("""COMPUTED_VALUE"""),38554.666666666664)</f>
        <v>38554.66667</v>
      </c>
      <c r="B6452" s="2">
        <f>IFERROR(__xludf.DUMMYFUNCTION("""COMPUTED_VALUE"""),80.81)</f>
        <v>80.81</v>
      </c>
      <c r="C6452" s="2">
        <f>IFERROR(__xludf.DUMMYFUNCTION("""COMPUTED_VALUE"""),81.14)</f>
        <v>81.14</v>
      </c>
      <c r="D6452" s="2">
        <f>IFERROR(__xludf.DUMMYFUNCTION("""COMPUTED_VALUE"""),79.66)</f>
        <v>79.66</v>
      </c>
      <c r="E6452" s="2">
        <f>IFERROR(__xludf.DUMMYFUNCTION("""COMPUTED_VALUE"""),80.62)</f>
        <v>80.62</v>
      </c>
      <c r="F6452" s="2">
        <f>IFERROR(__xludf.DUMMYFUNCTION("""COMPUTED_VALUE"""),8265400.0)</f>
        <v>8265400</v>
      </c>
    </row>
    <row r="6453">
      <c r="A6453" s="3">
        <f>IFERROR(__xludf.DUMMYFUNCTION("""COMPUTED_VALUE"""),38555.666666666664)</f>
        <v>38555.66667</v>
      </c>
      <c r="B6453" s="2">
        <f>IFERROR(__xludf.DUMMYFUNCTION("""COMPUTED_VALUE"""),80.21)</f>
        <v>80.21</v>
      </c>
      <c r="C6453" s="2">
        <f>IFERROR(__xludf.DUMMYFUNCTION("""COMPUTED_VALUE"""),80.84)</f>
        <v>80.84</v>
      </c>
      <c r="D6453" s="2">
        <f>IFERROR(__xludf.DUMMYFUNCTION("""COMPUTED_VALUE"""),80.1)</f>
        <v>80.1</v>
      </c>
      <c r="E6453" s="2">
        <f>IFERROR(__xludf.DUMMYFUNCTION("""COMPUTED_VALUE"""),80.65)</f>
        <v>80.65</v>
      </c>
      <c r="F6453" s="2">
        <f>IFERROR(__xludf.DUMMYFUNCTION("""COMPUTED_VALUE"""),4842700.0)</f>
        <v>4842700</v>
      </c>
    </row>
    <row r="6454">
      <c r="A6454" s="3">
        <f>IFERROR(__xludf.DUMMYFUNCTION("""COMPUTED_VALUE"""),38558.666666666664)</f>
        <v>38558.66667</v>
      </c>
      <c r="B6454" s="2">
        <f>IFERROR(__xludf.DUMMYFUNCTION("""COMPUTED_VALUE"""),80.21)</f>
        <v>80.21</v>
      </c>
      <c r="C6454" s="2">
        <f>IFERROR(__xludf.DUMMYFUNCTION("""COMPUTED_VALUE"""),80.73)</f>
        <v>80.73</v>
      </c>
      <c r="D6454" s="2">
        <f>IFERROR(__xludf.DUMMYFUNCTION("""COMPUTED_VALUE"""),80.16)</f>
        <v>80.16</v>
      </c>
      <c r="E6454" s="2">
        <f>IFERROR(__xludf.DUMMYFUNCTION("""COMPUTED_VALUE"""),80.42)</f>
        <v>80.42</v>
      </c>
      <c r="F6454" s="2">
        <f>IFERROR(__xludf.DUMMYFUNCTION("""COMPUTED_VALUE"""),4457800.0)</f>
        <v>4457800</v>
      </c>
    </row>
    <row r="6455">
      <c r="A6455" s="3">
        <f>IFERROR(__xludf.DUMMYFUNCTION("""COMPUTED_VALUE"""),38559.666666666664)</f>
        <v>38559.66667</v>
      </c>
      <c r="B6455" s="2">
        <f>IFERROR(__xludf.DUMMYFUNCTION("""COMPUTED_VALUE"""),80.38)</f>
        <v>80.38</v>
      </c>
      <c r="C6455" s="2">
        <f>IFERROR(__xludf.DUMMYFUNCTION("""COMPUTED_VALUE"""),80.57)</f>
        <v>80.57</v>
      </c>
      <c r="D6455" s="2">
        <f>IFERROR(__xludf.DUMMYFUNCTION("""COMPUTED_VALUE"""),80.09)</f>
        <v>80.09</v>
      </c>
      <c r="E6455" s="2">
        <f>IFERROR(__xludf.DUMMYFUNCTION("""COMPUTED_VALUE"""),80.35)</f>
        <v>80.35</v>
      </c>
      <c r="F6455" s="2">
        <f>IFERROR(__xludf.DUMMYFUNCTION("""COMPUTED_VALUE"""),4542900.0)</f>
        <v>4542900</v>
      </c>
    </row>
    <row r="6456">
      <c r="A6456" s="3">
        <f>IFERROR(__xludf.DUMMYFUNCTION("""COMPUTED_VALUE"""),38560.666666666664)</f>
        <v>38560.66667</v>
      </c>
      <c r="B6456" s="2">
        <f>IFERROR(__xludf.DUMMYFUNCTION("""COMPUTED_VALUE"""),80.04)</f>
        <v>80.04</v>
      </c>
      <c r="C6456" s="2">
        <f>IFERROR(__xludf.DUMMYFUNCTION("""COMPUTED_VALUE"""),80.36)</f>
        <v>80.36</v>
      </c>
      <c r="D6456" s="2">
        <f>IFERROR(__xludf.DUMMYFUNCTION("""COMPUTED_VALUE"""),79.1)</f>
        <v>79.1</v>
      </c>
      <c r="E6456" s="2">
        <f>IFERROR(__xludf.DUMMYFUNCTION("""COMPUTED_VALUE"""),80.11)</f>
        <v>80.11</v>
      </c>
      <c r="F6456" s="2">
        <f>IFERROR(__xludf.DUMMYFUNCTION("""COMPUTED_VALUE"""),4862300.0)</f>
        <v>4862300</v>
      </c>
    </row>
    <row r="6457">
      <c r="A6457" s="3">
        <f>IFERROR(__xludf.DUMMYFUNCTION("""COMPUTED_VALUE"""),38561.666666666664)</f>
        <v>38561.66667</v>
      </c>
      <c r="B6457" s="2">
        <f>IFERROR(__xludf.DUMMYFUNCTION("""COMPUTED_VALUE"""),79.8)</f>
        <v>79.8</v>
      </c>
      <c r="C6457" s="2">
        <f>IFERROR(__xludf.DUMMYFUNCTION("""COMPUTED_VALUE"""),80.21)</f>
        <v>80.21</v>
      </c>
      <c r="D6457" s="2">
        <f>IFERROR(__xludf.DUMMYFUNCTION("""COMPUTED_VALUE"""),79.54)</f>
        <v>79.54</v>
      </c>
      <c r="E6457" s="2">
        <f>IFERROR(__xludf.DUMMYFUNCTION("""COMPUTED_VALUE"""),80.04)</f>
        <v>80.04</v>
      </c>
      <c r="F6457" s="2">
        <f>IFERROR(__xludf.DUMMYFUNCTION("""COMPUTED_VALUE"""),6189700.0)</f>
        <v>6189700</v>
      </c>
    </row>
    <row r="6458">
      <c r="A6458" s="3">
        <f>IFERROR(__xludf.DUMMYFUNCTION("""COMPUTED_VALUE"""),38562.666666666664)</f>
        <v>38562.66667</v>
      </c>
      <c r="B6458" s="2">
        <f>IFERROR(__xludf.DUMMYFUNCTION("""COMPUTED_VALUE"""),79.57)</f>
        <v>79.57</v>
      </c>
      <c r="C6458" s="2">
        <f>IFERROR(__xludf.DUMMYFUNCTION("""COMPUTED_VALUE"""),80.19)</f>
        <v>80.19</v>
      </c>
      <c r="D6458" s="2">
        <f>IFERROR(__xludf.DUMMYFUNCTION("""COMPUTED_VALUE"""),79.49)</f>
        <v>79.49</v>
      </c>
      <c r="E6458" s="2">
        <f>IFERROR(__xludf.DUMMYFUNCTION("""COMPUTED_VALUE"""),79.72)</f>
        <v>79.72</v>
      </c>
      <c r="F6458" s="2">
        <f>IFERROR(__xludf.DUMMYFUNCTION("""COMPUTED_VALUE"""),4330300.0)</f>
        <v>4330300</v>
      </c>
    </row>
    <row r="6459">
      <c r="A6459" s="3">
        <f>IFERROR(__xludf.DUMMYFUNCTION("""COMPUTED_VALUE"""),38565.666666666664)</f>
        <v>38565.66667</v>
      </c>
      <c r="B6459" s="2">
        <f>IFERROR(__xludf.DUMMYFUNCTION("""COMPUTED_VALUE"""),79.28)</f>
        <v>79.28</v>
      </c>
      <c r="C6459" s="2">
        <f>IFERROR(__xludf.DUMMYFUNCTION("""COMPUTED_VALUE"""),80.09)</f>
        <v>80.09</v>
      </c>
      <c r="D6459" s="2">
        <f>IFERROR(__xludf.DUMMYFUNCTION("""COMPUTED_VALUE"""),79.14)</f>
        <v>79.14</v>
      </c>
      <c r="E6459" s="2">
        <f>IFERROR(__xludf.DUMMYFUNCTION("""COMPUTED_VALUE"""),79.69)</f>
        <v>79.69</v>
      </c>
      <c r="F6459" s="2">
        <f>IFERROR(__xludf.DUMMYFUNCTION("""COMPUTED_VALUE"""),3664300.0)</f>
        <v>3664300</v>
      </c>
    </row>
    <row r="6460">
      <c r="A6460" s="3">
        <f>IFERROR(__xludf.DUMMYFUNCTION("""COMPUTED_VALUE"""),38566.666666666664)</f>
        <v>38566.66667</v>
      </c>
      <c r="B6460" s="2">
        <f>IFERROR(__xludf.DUMMYFUNCTION("""COMPUTED_VALUE"""),79.54)</f>
        <v>79.54</v>
      </c>
      <c r="C6460" s="2">
        <f>IFERROR(__xludf.DUMMYFUNCTION("""COMPUTED_VALUE"""),80.1)</f>
        <v>80.1</v>
      </c>
      <c r="D6460" s="2">
        <f>IFERROR(__xludf.DUMMYFUNCTION("""COMPUTED_VALUE"""),79.32)</f>
        <v>79.32</v>
      </c>
      <c r="E6460" s="2">
        <f>IFERROR(__xludf.DUMMYFUNCTION("""COMPUTED_VALUE"""),79.57)</f>
        <v>79.57</v>
      </c>
      <c r="F6460" s="2">
        <f>IFERROR(__xludf.DUMMYFUNCTION("""COMPUTED_VALUE"""),5380800.0)</f>
        <v>5380800</v>
      </c>
    </row>
    <row r="6461">
      <c r="A6461" s="3">
        <f>IFERROR(__xludf.DUMMYFUNCTION("""COMPUTED_VALUE"""),38567.666666666664)</f>
        <v>38567.66667</v>
      </c>
      <c r="B6461" s="2">
        <f>IFERROR(__xludf.DUMMYFUNCTION("""COMPUTED_VALUE"""),79.57)</f>
        <v>79.57</v>
      </c>
      <c r="C6461" s="2">
        <f>IFERROR(__xludf.DUMMYFUNCTION("""COMPUTED_VALUE"""),80.42)</f>
        <v>80.42</v>
      </c>
      <c r="D6461" s="2">
        <f>IFERROR(__xludf.DUMMYFUNCTION("""COMPUTED_VALUE"""),79.38)</f>
        <v>79.38</v>
      </c>
      <c r="E6461" s="2">
        <f>IFERROR(__xludf.DUMMYFUNCTION("""COMPUTED_VALUE"""),80.29)</f>
        <v>80.29</v>
      </c>
      <c r="F6461" s="2">
        <f>IFERROR(__xludf.DUMMYFUNCTION("""COMPUTED_VALUE"""),4258000.0)</f>
        <v>4258000</v>
      </c>
    </row>
    <row r="6462">
      <c r="A6462" s="3">
        <f>IFERROR(__xludf.DUMMYFUNCTION("""COMPUTED_VALUE"""),38568.666666666664)</f>
        <v>38568.66667</v>
      </c>
      <c r="B6462" s="2">
        <f>IFERROR(__xludf.DUMMYFUNCTION("""COMPUTED_VALUE"""),79.99)</f>
        <v>79.99</v>
      </c>
      <c r="C6462" s="2">
        <f>IFERROR(__xludf.DUMMYFUNCTION("""COMPUTED_VALUE"""),80.13)</f>
        <v>80.13</v>
      </c>
      <c r="D6462" s="2">
        <f>IFERROR(__xludf.DUMMYFUNCTION("""COMPUTED_VALUE"""),79.26)</f>
        <v>79.26</v>
      </c>
      <c r="E6462" s="2">
        <f>IFERROR(__xludf.DUMMYFUNCTION("""COMPUTED_VALUE"""),79.39)</f>
        <v>79.39</v>
      </c>
      <c r="F6462" s="2">
        <f>IFERROR(__xludf.DUMMYFUNCTION("""COMPUTED_VALUE"""),5250300.0)</f>
        <v>5250300</v>
      </c>
    </row>
    <row r="6463">
      <c r="A6463" s="3">
        <f>IFERROR(__xludf.DUMMYFUNCTION("""COMPUTED_VALUE"""),38569.666666666664)</f>
        <v>38569.66667</v>
      </c>
      <c r="B6463" s="2">
        <f>IFERROR(__xludf.DUMMYFUNCTION("""COMPUTED_VALUE"""),79.04)</f>
        <v>79.04</v>
      </c>
      <c r="C6463" s="2">
        <f>IFERROR(__xludf.DUMMYFUNCTION("""COMPUTED_VALUE"""),79.99)</f>
        <v>79.99</v>
      </c>
      <c r="D6463" s="2">
        <f>IFERROR(__xludf.DUMMYFUNCTION("""COMPUTED_VALUE"""),79.02)</f>
        <v>79.02</v>
      </c>
      <c r="E6463" s="2">
        <f>IFERROR(__xludf.DUMMYFUNCTION("""COMPUTED_VALUE"""),79.62)</f>
        <v>79.62</v>
      </c>
      <c r="F6463" s="2">
        <f>IFERROR(__xludf.DUMMYFUNCTION("""COMPUTED_VALUE"""),3714600.0)</f>
        <v>3714600</v>
      </c>
    </row>
    <row r="6464">
      <c r="A6464" s="3">
        <f>IFERROR(__xludf.DUMMYFUNCTION("""COMPUTED_VALUE"""),38572.666666666664)</f>
        <v>38572.66667</v>
      </c>
      <c r="B6464" s="2">
        <f>IFERROR(__xludf.DUMMYFUNCTION("""COMPUTED_VALUE"""),79.67)</f>
        <v>79.67</v>
      </c>
      <c r="C6464" s="2">
        <f>IFERROR(__xludf.DUMMYFUNCTION("""COMPUTED_VALUE"""),80.13)</f>
        <v>80.13</v>
      </c>
      <c r="D6464" s="2">
        <f>IFERROR(__xludf.DUMMYFUNCTION("""COMPUTED_VALUE"""),79.3)</f>
        <v>79.3</v>
      </c>
      <c r="E6464" s="2">
        <f>IFERROR(__xludf.DUMMYFUNCTION("""COMPUTED_VALUE"""),79.62)</f>
        <v>79.62</v>
      </c>
      <c r="F6464" s="2">
        <f>IFERROR(__xludf.DUMMYFUNCTION("""COMPUTED_VALUE"""),4122500.0)</f>
        <v>4122500</v>
      </c>
    </row>
    <row r="6465">
      <c r="A6465" s="3">
        <f>IFERROR(__xludf.DUMMYFUNCTION("""COMPUTED_VALUE"""),38573.666666666664)</f>
        <v>38573.66667</v>
      </c>
      <c r="B6465" s="2">
        <f>IFERROR(__xludf.DUMMYFUNCTION("""COMPUTED_VALUE"""),79.66)</f>
        <v>79.66</v>
      </c>
      <c r="C6465" s="2">
        <f>IFERROR(__xludf.DUMMYFUNCTION("""COMPUTED_VALUE"""),80.19)</f>
        <v>80.19</v>
      </c>
      <c r="D6465" s="2">
        <f>IFERROR(__xludf.DUMMYFUNCTION("""COMPUTED_VALUE"""),79.22)</f>
        <v>79.22</v>
      </c>
      <c r="E6465" s="2">
        <f>IFERROR(__xludf.DUMMYFUNCTION("""COMPUTED_VALUE"""),79.76)</f>
        <v>79.76</v>
      </c>
      <c r="F6465" s="2">
        <f>IFERROR(__xludf.DUMMYFUNCTION("""COMPUTED_VALUE"""),3793500.0)</f>
        <v>3793500</v>
      </c>
    </row>
    <row r="6466">
      <c r="A6466" s="3">
        <f>IFERROR(__xludf.DUMMYFUNCTION("""COMPUTED_VALUE"""),38574.666666666664)</f>
        <v>38574.66667</v>
      </c>
      <c r="B6466" s="2">
        <f>IFERROR(__xludf.DUMMYFUNCTION("""COMPUTED_VALUE"""),79.9)</f>
        <v>79.9</v>
      </c>
      <c r="C6466" s="2">
        <f>IFERROR(__xludf.DUMMYFUNCTION("""COMPUTED_VALUE"""),80.24)</f>
        <v>80.24</v>
      </c>
      <c r="D6466" s="2">
        <f>IFERROR(__xludf.DUMMYFUNCTION("""COMPUTED_VALUE"""),78.29)</f>
        <v>78.29</v>
      </c>
      <c r="E6466" s="2">
        <f>IFERROR(__xludf.DUMMYFUNCTION("""COMPUTED_VALUE"""),78.34)</f>
        <v>78.34</v>
      </c>
      <c r="F6466" s="2">
        <f>IFERROR(__xludf.DUMMYFUNCTION("""COMPUTED_VALUE"""),5402600.0)</f>
        <v>5402600</v>
      </c>
    </row>
    <row r="6467">
      <c r="A6467" s="3">
        <f>IFERROR(__xludf.DUMMYFUNCTION("""COMPUTED_VALUE"""),38575.666666666664)</f>
        <v>38575.66667</v>
      </c>
      <c r="B6467" s="2">
        <f>IFERROR(__xludf.DUMMYFUNCTION("""COMPUTED_VALUE"""),78.26)</f>
        <v>78.26</v>
      </c>
      <c r="C6467" s="2">
        <f>IFERROR(__xludf.DUMMYFUNCTION("""COMPUTED_VALUE"""),79.04)</f>
        <v>79.04</v>
      </c>
      <c r="D6467" s="2">
        <f>IFERROR(__xludf.DUMMYFUNCTION("""COMPUTED_VALUE"""),77.96)</f>
        <v>77.96</v>
      </c>
      <c r="E6467" s="2">
        <f>IFERROR(__xludf.DUMMYFUNCTION("""COMPUTED_VALUE"""),78.95)</f>
        <v>78.95</v>
      </c>
      <c r="F6467" s="2">
        <f>IFERROR(__xludf.DUMMYFUNCTION("""COMPUTED_VALUE"""),4572200.0)</f>
        <v>4572200</v>
      </c>
    </row>
    <row r="6468">
      <c r="A6468" s="3">
        <f>IFERROR(__xludf.DUMMYFUNCTION("""COMPUTED_VALUE"""),38576.666666666664)</f>
        <v>38576.66667</v>
      </c>
      <c r="B6468" s="2">
        <f>IFERROR(__xludf.DUMMYFUNCTION("""COMPUTED_VALUE"""),78.47)</f>
        <v>78.47</v>
      </c>
      <c r="C6468" s="2">
        <f>IFERROR(__xludf.DUMMYFUNCTION("""COMPUTED_VALUE"""),78.88)</f>
        <v>78.88</v>
      </c>
      <c r="D6468" s="2">
        <f>IFERROR(__xludf.DUMMYFUNCTION("""COMPUTED_VALUE"""),78.38)</f>
        <v>78.38</v>
      </c>
      <c r="E6468" s="2">
        <f>IFERROR(__xludf.DUMMYFUNCTION("""COMPUTED_VALUE"""),78.5)</f>
        <v>78.5</v>
      </c>
      <c r="F6468" s="2">
        <f>IFERROR(__xludf.DUMMYFUNCTION("""COMPUTED_VALUE"""),4382100.0)</f>
        <v>4382100</v>
      </c>
    </row>
    <row r="6469">
      <c r="A6469" s="3">
        <f>IFERROR(__xludf.DUMMYFUNCTION("""COMPUTED_VALUE"""),38579.666666666664)</f>
        <v>38579.66667</v>
      </c>
      <c r="B6469" s="2">
        <f>IFERROR(__xludf.DUMMYFUNCTION("""COMPUTED_VALUE"""),78.23)</f>
        <v>78.23</v>
      </c>
      <c r="C6469" s="2">
        <f>IFERROR(__xludf.DUMMYFUNCTION("""COMPUTED_VALUE"""),79.22)</f>
        <v>79.22</v>
      </c>
      <c r="D6469" s="2">
        <f>IFERROR(__xludf.DUMMYFUNCTION("""COMPUTED_VALUE"""),77.95)</f>
        <v>77.95</v>
      </c>
      <c r="E6469" s="2">
        <f>IFERROR(__xludf.DUMMYFUNCTION("""COMPUTED_VALUE"""),78.8)</f>
        <v>78.8</v>
      </c>
      <c r="F6469" s="2">
        <f>IFERROR(__xludf.DUMMYFUNCTION("""COMPUTED_VALUE"""),3431100.0)</f>
        <v>3431100</v>
      </c>
    </row>
    <row r="6470">
      <c r="A6470" s="3">
        <f>IFERROR(__xludf.DUMMYFUNCTION("""COMPUTED_VALUE"""),38580.666666666664)</f>
        <v>38580.66667</v>
      </c>
      <c r="B6470" s="2">
        <f>IFERROR(__xludf.DUMMYFUNCTION("""COMPUTED_VALUE"""),78.39)</f>
        <v>78.39</v>
      </c>
      <c r="C6470" s="2">
        <f>IFERROR(__xludf.DUMMYFUNCTION("""COMPUTED_VALUE"""),78.73)</f>
        <v>78.73</v>
      </c>
      <c r="D6470" s="2">
        <f>IFERROR(__xludf.DUMMYFUNCTION("""COMPUTED_VALUE"""),77.45)</f>
        <v>77.45</v>
      </c>
      <c r="E6470" s="2">
        <f>IFERROR(__xludf.DUMMYFUNCTION("""COMPUTED_VALUE"""),77.65)</f>
        <v>77.65</v>
      </c>
      <c r="F6470" s="2">
        <f>IFERROR(__xludf.DUMMYFUNCTION("""COMPUTED_VALUE"""),4411700.0)</f>
        <v>4411700</v>
      </c>
    </row>
    <row r="6471">
      <c r="A6471" s="3">
        <f>IFERROR(__xludf.DUMMYFUNCTION("""COMPUTED_VALUE"""),38581.666666666664)</f>
        <v>38581.66667</v>
      </c>
      <c r="B6471" s="2">
        <f>IFERROR(__xludf.DUMMYFUNCTION("""COMPUTED_VALUE"""),77.75)</f>
        <v>77.75</v>
      </c>
      <c r="C6471" s="2">
        <f>IFERROR(__xludf.DUMMYFUNCTION("""COMPUTED_VALUE"""),78.27)</f>
        <v>78.27</v>
      </c>
      <c r="D6471" s="2">
        <f>IFERROR(__xludf.DUMMYFUNCTION("""COMPUTED_VALUE"""),77.22)</f>
        <v>77.22</v>
      </c>
      <c r="E6471" s="2">
        <f>IFERROR(__xludf.DUMMYFUNCTION("""COMPUTED_VALUE"""),77.65)</f>
        <v>77.65</v>
      </c>
      <c r="F6471" s="2">
        <f>IFERROR(__xludf.DUMMYFUNCTION("""COMPUTED_VALUE"""),4853000.0)</f>
        <v>4853000</v>
      </c>
    </row>
    <row r="6472">
      <c r="A6472" s="3">
        <f>IFERROR(__xludf.DUMMYFUNCTION("""COMPUTED_VALUE"""),38582.666666666664)</f>
        <v>38582.66667</v>
      </c>
      <c r="B6472" s="2">
        <f>IFERROR(__xludf.DUMMYFUNCTION("""COMPUTED_VALUE"""),77.46)</f>
        <v>77.46</v>
      </c>
      <c r="C6472" s="2">
        <f>IFERROR(__xludf.DUMMYFUNCTION("""COMPUTED_VALUE"""),78.32)</f>
        <v>78.32</v>
      </c>
      <c r="D6472" s="2">
        <f>IFERROR(__xludf.DUMMYFUNCTION("""COMPUTED_VALUE"""),77.18)</f>
        <v>77.18</v>
      </c>
      <c r="E6472" s="2">
        <f>IFERROR(__xludf.DUMMYFUNCTION("""COMPUTED_VALUE"""),77.51)</f>
        <v>77.51</v>
      </c>
      <c r="F6472" s="2">
        <f>IFERROR(__xludf.DUMMYFUNCTION("""COMPUTED_VALUE"""),3713300.0)</f>
        <v>3713300</v>
      </c>
    </row>
    <row r="6473">
      <c r="A6473" s="3">
        <f>IFERROR(__xludf.DUMMYFUNCTION("""COMPUTED_VALUE"""),38583.666666666664)</f>
        <v>38583.66667</v>
      </c>
      <c r="B6473" s="2">
        <f>IFERROR(__xludf.DUMMYFUNCTION("""COMPUTED_VALUE"""),77.71)</f>
        <v>77.71</v>
      </c>
      <c r="C6473" s="2">
        <f>IFERROR(__xludf.DUMMYFUNCTION("""COMPUTED_VALUE"""),79.57)</f>
        <v>79.57</v>
      </c>
      <c r="D6473" s="2">
        <f>IFERROR(__xludf.DUMMYFUNCTION("""COMPUTED_VALUE"""),77.52)</f>
        <v>77.52</v>
      </c>
      <c r="E6473" s="2">
        <f>IFERROR(__xludf.DUMMYFUNCTION("""COMPUTED_VALUE"""),79.05)</f>
        <v>79.05</v>
      </c>
      <c r="F6473" s="2">
        <f>IFERROR(__xludf.DUMMYFUNCTION("""COMPUTED_VALUE"""),6481000.0)</f>
        <v>6481000</v>
      </c>
    </row>
    <row r="6474">
      <c r="A6474" s="3">
        <f>IFERROR(__xludf.DUMMYFUNCTION("""COMPUTED_VALUE"""),38586.666666666664)</f>
        <v>38586.66667</v>
      </c>
      <c r="B6474" s="2">
        <f>IFERROR(__xludf.DUMMYFUNCTION("""COMPUTED_VALUE"""),79.04)</f>
        <v>79.04</v>
      </c>
      <c r="C6474" s="2">
        <f>IFERROR(__xludf.DUMMYFUNCTION("""COMPUTED_VALUE"""),79.61)</f>
        <v>79.61</v>
      </c>
      <c r="D6474" s="2">
        <f>IFERROR(__xludf.DUMMYFUNCTION("""COMPUTED_VALUE"""),78.18)</f>
        <v>78.18</v>
      </c>
      <c r="E6474" s="2">
        <f>IFERROR(__xludf.DUMMYFUNCTION("""COMPUTED_VALUE"""),78.9)</f>
        <v>78.9</v>
      </c>
      <c r="F6474" s="2">
        <f>IFERROR(__xludf.DUMMYFUNCTION("""COMPUTED_VALUE"""),5157200.0)</f>
        <v>5157200</v>
      </c>
    </row>
    <row r="6475">
      <c r="A6475" s="3">
        <f>IFERROR(__xludf.DUMMYFUNCTION("""COMPUTED_VALUE"""),38587.666666666664)</f>
        <v>38587.66667</v>
      </c>
      <c r="B6475" s="2">
        <f>IFERROR(__xludf.DUMMYFUNCTION("""COMPUTED_VALUE"""),78.99)</f>
        <v>78.99</v>
      </c>
      <c r="C6475" s="2">
        <f>IFERROR(__xludf.DUMMYFUNCTION("""COMPUTED_VALUE"""),79.41)</f>
        <v>79.41</v>
      </c>
      <c r="D6475" s="2">
        <f>IFERROR(__xludf.DUMMYFUNCTION("""COMPUTED_VALUE"""),77.94)</f>
        <v>77.94</v>
      </c>
      <c r="E6475" s="2">
        <f>IFERROR(__xludf.DUMMYFUNCTION("""COMPUTED_VALUE"""),78.35)</f>
        <v>78.35</v>
      </c>
      <c r="F6475" s="2">
        <f>IFERROR(__xludf.DUMMYFUNCTION("""COMPUTED_VALUE"""),4000300.0)</f>
        <v>4000300</v>
      </c>
    </row>
    <row r="6476">
      <c r="A6476" s="3">
        <f>IFERROR(__xludf.DUMMYFUNCTION("""COMPUTED_VALUE"""),38588.666666666664)</f>
        <v>38588.66667</v>
      </c>
      <c r="B6476" s="2">
        <f>IFERROR(__xludf.DUMMYFUNCTION("""COMPUTED_VALUE"""),77.87)</f>
        <v>77.87</v>
      </c>
      <c r="C6476" s="2">
        <f>IFERROR(__xludf.DUMMYFUNCTION("""COMPUTED_VALUE"""),78.71)</f>
        <v>78.71</v>
      </c>
      <c r="D6476" s="2">
        <f>IFERROR(__xludf.DUMMYFUNCTION("""COMPUTED_VALUE"""),77.59)</f>
        <v>77.59</v>
      </c>
      <c r="E6476" s="2">
        <f>IFERROR(__xludf.DUMMYFUNCTION("""COMPUTED_VALUE"""),77.67)</f>
        <v>77.67</v>
      </c>
      <c r="F6476" s="2">
        <f>IFERROR(__xludf.DUMMYFUNCTION("""COMPUTED_VALUE"""),4437700.0)</f>
        <v>4437700</v>
      </c>
    </row>
    <row r="6477">
      <c r="A6477" s="3">
        <f>IFERROR(__xludf.DUMMYFUNCTION("""COMPUTED_VALUE"""),38589.666666666664)</f>
        <v>38589.66667</v>
      </c>
      <c r="B6477" s="2">
        <f>IFERROR(__xludf.DUMMYFUNCTION("""COMPUTED_VALUE"""),77.8)</f>
        <v>77.8</v>
      </c>
      <c r="C6477" s="2">
        <f>IFERROR(__xludf.DUMMYFUNCTION("""COMPUTED_VALUE"""),77.8)</f>
        <v>77.8</v>
      </c>
      <c r="D6477" s="2">
        <f>IFERROR(__xludf.DUMMYFUNCTION("""COMPUTED_VALUE"""),77.1)</f>
        <v>77.1</v>
      </c>
      <c r="E6477" s="2">
        <f>IFERROR(__xludf.DUMMYFUNCTION("""COMPUTED_VALUE"""),77.46)</f>
        <v>77.46</v>
      </c>
      <c r="F6477" s="2">
        <f>IFERROR(__xludf.DUMMYFUNCTION("""COMPUTED_VALUE"""),3606600.0)</f>
        <v>3606600</v>
      </c>
    </row>
    <row r="6478">
      <c r="A6478" s="3">
        <f>IFERROR(__xludf.DUMMYFUNCTION("""COMPUTED_VALUE"""),38590.666666666664)</f>
        <v>38590.66667</v>
      </c>
      <c r="B6478" s="2">
        <f>IFERROR(__xludf.DUMMYFUNCTION("""COMPUTED_VALUE"""),77.19)</f>
        <v>77.19</v>
      </c>
      <c r="C6478" s="2">
        <f>IFERROR(__xludf.DUMMYFUNCTION("""COMPUTED_VALUE"""),77.39)</f>
        <v>77.39</v>
      </c>
      <c r="D6478" s="2">
        <f>IFERROR(__xludf.DUMMYFUNCTION("""COMPUTED_VALUE"""),76.66)</f>
        <v>76.66</v>
      </c>
      <c r="E6478" s="2">
        <f>IFERROR(__xludf.DUMMYFUNCTION("""COMPUTED_VALUE"""),76.78)</f>
        <v>76.78</v>
      </c>
      <c r="F6478" s="2">
        <f>IFERROR(__xludf.DUMMYFUNCTION("""COMPUTED_VALUE"""),5030700.0)</f>
        <v>5030700</v>
      </c>
    </row>
    <row r="6479">
      <c r="A6479" s="3">
        <f>IFERROR(__xludf.DUMMYFUNCTION("""COMPUTED_VALUE"""),38593.666666666664)</f>
        <v>38593.66667</v>
      </c>
      <c r="B6479" s="2">
        <f>IFERROR(__xludf.DUMMYFUNCTION("""COMPUTED_VALUE"""),76.41)</f>
        <v>76.41</v>
      </c>
      <c r="C6479" s="2">
        <f>IFERROR(__xludf.DUMMYFUNCTION("""COMPUTED_VALUE"""),78.08)</f>
        <v>78.08</v>
      </c>
      <c r="D6479" s="2">
        <f>IFERROR(__xludf.DUMMYFUNCTION("""COMPUTED_VALUE"""),76.32)</f>
        <v>76.32</v>
      </c>
      <c r="E6479" s="2">
        <f>IFERROR(__xludf.DUMMYFUNCTION("""COMPUTED_VALUE"""),77.69)</f>
        <v>77.69</v>
      </c>
      <c r="F6479" s="2">
        <f>IFERROR(__xludf.DUMMYFUNCTION("""COMPUTED_VALUE"""),4025300.0)</f>
        <v>4025300</v>
      </c>
    </row>
    <row r="6480">
      <c r="A6480" s="3">
        <f>IFERROR(__xludf.DUMMYFUNCTION("""COMPUTED_VALUE"""),38594.666666666664)</f>
        <v>38594.66667</v>
      </c>
      <c r="B6480" s="2">
        <f>IFERROR(__xludf.DUMMYFUNCTION("""COMPUTED_VALUE"""),77.37)</f>
        <v>77.37</v>
      </c>
      <c r="C6480" s="2">
        <f>IFERROR(__xludf.DUMMYFUNCTION("""COMPUTED_VALUE"""),77.37)</f>
        <v>77.37</v>
      </c>
      <c r="D6480" s="2">
        <f>IFERROR(__xludf.DUMMYFUNCTION("""COMPUTED_VALUE"""),76.39)</f>
        <v>76.39</v>
      </c>
      <c r="E6480" s="2">
        <f>IFERROR(__xludf.DUMMYFUNCTION("""COMPUTED_VALUE"""),76.93)</f>
        <v>76.93</v>
      </c>
      <c r="F6480" s="2">
        <f>IFERROR(__xludf.DUMMYFUNCTION("""COMPUTED_VALUE"""),5674200.0)</f>
        <v>5674200</v>
      </c>
    </row>
    <row r="6481">
      <c r="A6481" s="3">
        <f>IFERROR(__xludf.DUMMYFUNCTION("""COMPUTED_VALUE"""),38595.666666666664)</f>
        <v>38595.66667</v>
      </c>
      <c r="B6481" s="2">
        <f>IFERROR(__xludf.DUMMYFUNCTION("""COMPUTED_VALUE"""),76.75)</f>
        <v>76.75</v>
      </c>
      <c r="C6481" s="2">
        <f>IFERROR(__xludf.DUMMYFUNCTION("""COMPUTED_VALUE"""),77.17)</f>
        <v>77.17</v>
      </c>
      <c r="D6481" s="2">
        <f>IFERROR(__xludf.DUMMYFUNCTION("""COMPUTED_VALUE"""),76.29)</f>
        <v>76.29</v>
      </c>
      <c r="E6481" s="2">
        <f>IFERROR(__xludf.DUMMYFUNCTION("""COMPUTED_VALUE"""),77.01)</f>
        <v>77.01</v>
      </c>
      <c r="F6481" s="2">
        <f>IFERROR(__xludf.DUMMYFUNCTION("""COMPUTED_VALUE"""),5400800.0)</f>
        <v>5400800</v>
      </c>
    </row>
    <row r="6482">
      <c r="A6482" s="3">
        <f>IFERROR(__xludf.DUMMYFUNCTION("""COMPUTED_VALUE"""),38596.666666666664)</f>
        <v>38596.66667</v>
      </c>
      <c r="B6482" s="2">
        <f>IFERROR(__xludf.DUMMYFUNCTION("""COMPUTED_VALUE"""),76.57)</f>
        <v>76.57</v>
      </c>
      <c r="C6482" s="2">
        <f>IFERROR(__xludf.DUMMYFUNCTION("""COMPUTED_VALUE"""),76.72)</f>
        <v>76.72</v>
      </c>
      <c r="D6482" s="2">
        <f>IFERROR(__xludf.DUMMYFUNCTION("""COMPUTED_VALUE"""),75.78)</f>
        <v>75.78</v>
      </c>
      <c r="E6482" s="2">
        <f>IFERROR(__xludf.DUMMYFUNCTION("""COMPUTED_VALUE"""),75.97)</f>
        <v>75.97</v>
      </c>
      <c r="F6482" s="2">
        <f>IFERROR(__xludf.DUMMYFUNCTION("""COMPUTED_VALUE"""),6390600.0)</f>
        <v>6390600</v>
      </c>
    </row>
    <row r="6483">
      <c r="A6483" s="3">
        <f>IFERROR(__xludf.DUMMYFUNCTION("""COMPUTED_VALUE"""),38597.666666666664)</f>
        <v>38597.66667</v>
      </c>
      <c r="B6483" s="2">
        <f>IFERROR(__xludf.DUMMYFUNCTION("""COMPUTED_VALUE"""),75.94)</f>
        <v>75.94</v>
      </c>
      <c r="C6483" s="2">
        <f>IFERROR(__xludf.DUMMYFUNCTION("""COMPUTED_VALUE"""),76.42)</f>
        <v>76.42</v>
      </c>
      <c r="D6483" s="2">
        <f>IFERROR(__xludf.DUMMYFUNCTION("""COMPUTED_VALUE"""),75.9)</f>
        <v>75.9</v>
      </c>
      <c r="E6483" s="2">
        <f>IFERROR(__xludf.DUMMYFUNCTION("""COMPUTED_VALUE"""),75.9)</f>
        <v>75.9</v>
      </c>
      <c r="F6483" s="2">
        <f>IFERROR(__xludf.DUMMYFUNCTION("""COMPUTED_VALUE"""),3680800.0)</f>
        <v>3680800</v>
      </c>
    </row>
    <row r="6484">
      <c r="A6484" s="3">
        <f>IFERROR(__xludf.DUMMYFUNCTION("""COMPUTED_VALUE"""),38601.666666666664)</f>
        <v>38601.66667</v>
      </c>
      <c r="B6484" s="2">
        <f>IFERROR(__xludf.DUMMYFUNCTION("""COMPUTED_VALUE"""),76.13)</f>
        <v>76.13</v>
      </c>
      <c r="C6484" s="2">
        <f>IFERROR(__xludf.DUMMYFUNCTION("""COMPUTED_VALUE"""),77.55)</f>
        <v>77.55</v>
      </c>
      <c r="D6484" s="2">
        <f>IFERROR(__xludf.DUMMYFUNCTION("""COMPUTED_VALUE"""),76.13)</f>
        <v>76.13</v>
      </c>
      <c r="E6484" s="2">
        <f>IFERROR(__xludf.DUMMYFUNCTION("""COMPUTED_VALUE"""),77.39)</f>
        <v>77.39</v>
      </c>
      <c r="F6484" s="2">
        <f>IFERROR(__xludf.DUMMYFUNCTION("""COMPUTED_VALUE"""),6305600.0)</f>
        <v>6305600</v>
      </c>
    </row>
    <row r="6485">
      <c r="A6485" s="3">
        <f>IFERROR(__xludf.DUMMYFUNCTION("""COMPUTED_VALUE"""),38602.666666666664)</f>
        <v>38602.66667</v>
      </c>
      <c r="B6485" s="2">
        <f>IFERROR(__xludf.DUMMYFUNCTION("""COMPUTED_VALUE"""),77.08)</f>
        <v>77.08</v>
      </c>
      <c r="C6485" s="2">
        <f>IFERROR(__xludf.DUMMYFUNCTION("""COMPUTED_VALUE"""),77.49)</f>
        <v>77.49</v>
      </c>
      <c r="D6485" s="2">
        <f>IFERROR(__xludf.DUMMYFUNCTION("""COMPUTED_VALUE"""),76.72)</f>
        <v>76.72</v>
      </c>
      <c r="E6485" s="2">
        <f>IFERROR(__xludf.DUMMYFUNCTION("""COMPUTED_VALUE"""),77.35)</f>
        <v>77.35</v>
      </c>
      <c r="F6485" s="2">
        <f>IFERROR(__xludf.DUMMYFUNCTION("""COMPUTED_VALUE"""),4116400.0)</f>
        <v>4116400</v>
      </c>
    </row>
    <row r="6486">
      <c r="A6486" s="3">
        <f>IFERROR(__xludf.DUMMYFUNCTION("""COMPUTED_VALUE"""),38603.666666666664)</f>
        <v>38603.66667</v>
      </c>
      <c r="B6486" s="2">
        <f>IFERROR(__xludf.DUMMYFUNCTION("""COMPUTED_VALUE"""),77.64)</f>
        <v>77.64</v>
      </c>
      <c r="C6486" s="2">
        <f>IFERROR(__xludf.DUMMYFUNCTION("""COMPUTED_VALUE"""),77.86)</f>
        <v>77.86</v>
      </c>
      <c r="D6486" s="2">
        <f>IFERROR(__xludf.DUMMYFUNCTION("""COMPUTED_VALUE"""),76.89)</f>
        <v>76.89</v>
      </c>
      <c r="E6486" s="2">
        <f>IFERROR(__xludf.DUMMYFUNCTION("""COMPUTED_VALUE"""),77.18)</f>
        <v>77.18</v>
      </c>
      <c r="F6486" s="2">
        <f>IFERROR(__xludf.DUMMYFUNCTION("""COMPUTED_VALUE"""),4278100.0)</f>
        <v>4278100</v>
      </c>
    </row>
    <row r="6487">
      <c r="A6487" s="3">
        <f>IFERROR(__xludf.DUMMYFUNCTION("""COMPUTED_VALUE"""),38604.666666666664)</f>
        <v>38604.66667</v>
      </c>
      <c r="B6487" s="2">
        <f>IFERROR(__xludf.DUMMYFUNCTION("""COMPUTED_VALUE"""),77.23)</f>
        <v>77.23</v>
      </c>
      <c r="C6487" s="2">
        <f>IFERROR(__xludf.DUMMYFUNCTION("""COMPUTED_VALUE"""),77.84)</f>
        <v>77.84</v>
      </c>
      <c r="D6487" s="2">
        <f>IFERROR(__xludf.DUMMYFUNCTION("""COMPUTED_VALUE"""),76.91)</f>
        <v>76.91</v>
      </c>
      <c r="E6487" s="2">
        <f>IFERROR(__xludf.DUMMYFUNCTION("""COMPUTED_VALUE"""),77.79)</f>
        <v>77.79</v>
      </c>
      <c r="F6487" s="2">
        <f>IFERROR(__xludf.DUMMYFUNCTION("""COMPUTED_VALUE"""),3983400.0)</f>
        <v>3983400</v>
      </c>
    </row>
    <row r="6488">
      <c r="A6488" s="3">
        <f>IFERROR(__xludf.DUMMYFUNCTION("""COMPUTED_VALUE"""),38607.666666666664)</f>
        <v>38607.66667</v>
      </c>
      <c r="B6488" s="2">
        <f>IFERROR(__xludf.DUMMYFUNCTION("""COMPUTED_VALUE"""),77.4)</f>
        <v>77.4</v>
      </c>
      <c r="C6488" s="2">
        <f>IFERROR(__xludf.DUMMYFUNCTION("""COMPUTED_VALUE"""),78.43)</f>
        <v>78.43</v>
      </c>
      <c r="D6488" s="2">
        <f>IFERROR(__xludf.DUMMYFUNCTION("""COMPUTED_VALUE"""),77.37)</f>
        <v>77.37</v>
      </c>
      <c r="E6488" s="2">
        <f>IFERROR(__xludf.DUMMYFUNCTION("""COMPUTED_VALUE"""),77.83)</f>
        <v>77.83</v>
      </c>
      <c r="F6488" s="2">
        <f>IFERROR(__xludf.DUMMYFUNCTION("""COMPUTED_VALUE"""),3696300.0)</f>
        <v>3696300</v>
      </c>
    </row>
    <row r="6489">
      <c r="A6489" s="3">
        <f>IFERROR(__xludf.DUMMYFUNCTION("""COMPUTED_VALUE"""),38608.666666666664)</f>
        <v>38608.66667</v>
      </c>
      <c r="B6489" s="2">
        <f>IFERROR(__xludf.DUMMYFUNCTION("""COMPUTED_VALUE"""),77.84)</f>
        <v>77.84</v>
      </c>
      <c r="C6489" s="2">
        <f>IFERROR(__xludf.DUMMYFUNCTION("""COMPUTED_VALUE"""),77.84)</f>
        <v>77.84</v>
      </c>
      <c r="D6489" s="2">
        <f>IFERROR(__xludf.DUMMYFUNCTION("""COMPUTED_VALUE"""),76.91)</f>
        <v>76.91</v>
      </c>
      <c r="E6489" s="2">
        <f>IFERROR(__xludf.DUMMYFUNCTION("""COMPUTED_VALUE"""),77.13)</f>
        <v>77.13</v>
      </c>
      <c r="F6489" s="2">
        <f>IFERROR(__xludf.DUMMYFUNCTION("""COMPUTED_VALUE"""),5041400.0)</f>
        <v>5041400</v>
      </c>
    </row>
    <row r="6490">
      <c r="A6490" s="3">
        <f>IFERROR(__xludf.DUMMYFUNCTION("""COMPUTED_VALUE"""),38609.666666666664)</f>
        <v>38609.66667</v>
      </c>
      <c r="B6490" s="2">
        <f>IFERROR(__xludf.DUMMYFUNCTION("""COMPUTED_VALUE"""),77.13)</f>
        <v>77.13</v>
      </c>
      <c r="C6490" s="2">
        <f>IFERROR(__xludf.DUMMYFUNCTION("""COMPUTED_VALUE"""),77.75)</f>
        <v>77.75</v>
      </c>
      <c r="D6490" s="2">
        <f>IFERROR(__xludf.DUMMYFUNCTION("""COMPUTED_VALUE"""),76.81)</f>
        <v>76.81</v>
      </c>
      <c r="E6490" s="2">
        <f>IFERROR(__xludf.DUMMYFUNCTION("""COMPUTED_VALUE"""),76.87)</f>
        <v>76.87</v>
      </c>
      <c r="F6490" s="2">
        <f>IFERROR(__xludf.DUMMYFUNCTION("""COMPUTED_VALUE"""),3887700.0)</f>
        <v>3887700</v>
      </c>
    </row>
    <row r="6491">
      <c r="A6491" s="3">
        <f>IFERROR(__xludf.DUMMYFUNCTION("""COMPUTED_VALUE"""),38610.666666666664)</f>
        <v>38610.66667</v>
      </c>
      <c r="B6491" s="2">
        <f>IFERROR(__xludf.DUMMYFUNCTION("""COMPUTED_VALUE"""),76.82)</f>
        <v>76.82</v>
      </c>
      <c r="C6491" s="2">
        <f>IFERROR(__xludf.DUMMYFUNCTION("""COMPUTED_VALUE"""),77.03)</f>
        <v>77.03</v>
      </c>
      <c r="D6491" s="2">
        <f>IFERROR(__xludf.DUMMYFUNCTION("""COMPUTED_VALUE"""),76.1)</f>
        <v>76.1</v>
      </c>
      <c r="E6491" s="2">
        <f>IFERROR(__xludf.DUMMYFUNCTION("""COMPUTED_VALUE"""),76.42)</f>
        <v>76.42</v>
      </c>
      <c r="F6491" s="2">
        <f>IFERROR(__xludf.DUMMYFUNCTION("""COMPUTED_VALUE"""),4865600.0)</f>
        <v>4865600</v>
      </c>
    </row>
    <row r="6492">
      <c r="A6492" s="3">
        <f>IFERROR(__xludf.DUMMYFUNCTION("""COMPUTED_VALUE"""),38611.666666666664)</f>
        <v>38611.66667</v>
      </c>
      <c r="B6492" s="2">
        <f>IFERROR(__xludf.DUMMYFUNCTION("""COMPUTED_VALUE"""),76.78)</f>
        <v>76.78</v>
      </c>
      <c r="C6492" s="2">
        <f>IFERROR(__xludf.DUMMYFUNCTION("""COMPUTED_VALUE"""),76.89)</f>
        <v>76.89</v>
      </c>
      <c r="D6492" s="2">
        <f>IFERROR(__xludf.DUMMYFUNCTION("""COMPUTED_VALUE"""),76.25)</f>
        <v>76.25</v>
      </c>
      <c r="E6492" s="2">
        <f>IFERROR(__xludf.DUMMYFUNCTION("""COMPUTED_VALUE"""),76.73)</f>
        <v>76.73</v>
      </c>
      <c r="F6492" s="2">
        <f>IFERROR(__xludf.DUMMYFUNCTION("""COMPUTED_VALUE"""),7624900.0)</f>
        <v>7624900</v>
      </c>
    </row>
    <row r="6493">
      <c r="A6493" s="3">
        <f>IFERROR(__xludf.DUMMYFUNCTION("""COMPUTED_VALUE"""),38614.666666666664)</f>
        <v>38614.66667</v>
      </c>
      <c r="B6493" s="2">
        <f>IFERROR(__xludf.DUMMYFUNCTION("""COMPUTED_VALUE"""),76.16)</f>
        <v>76.16</v>
      </c>
      <c r="C6493" s="2">
        <f>IFERROR(__xludf.DUMMYFUNCTION("""COMPUTED_VALUE"""),76.39)</f>
        <v>76.39</v>
      </c>
      <c r="D6493" s="2">
        <f>IFERROR(__xludf.DUMMYFUNCTION("""COMPUTED_VALUE"""),75.47)</f>
        <v>75.47</v>
      </c>
      <c r="E6493" s="2">
        <f>IFERROR(__xludf.DUMMYFUNCTION("""COMPUTED_VALUE"""),75.87)</f>
        <v>75.87</v>
      </c>
      <c r="F6493" s="2">
        <f>IFERROR(__xludf.DUMMYFUNCTION("""COMPUTED_VALUE"""),5148500.0)</f>
        <v>5148500</v>
      </c>
    </row>
    <row r="6494">
      <c r="A6494" s="3">
        <f>IFERROR(__xludf.DUMMYFUNCTION("""COMPUTED_VALUE"""),38615.666666666664)</f>
        <v>38615.66667</v>
      </c>
      <c r="B6494" s="2">
        <f>IFERROR(__xludf.DUMMYFUNCTION("""COMPUTED_VALUE"""),75.72)</f>
        <v>75.72</v>
      </c>
      <c r="C6494" s="2">
        <f>IFERROR(__xludf.DUMMYFUNCTION("""COMPUTED_VALUE"""),76.08)</f>
        <v>76.08</v>
      </c>
      <c r="D6494" s="2">
        <f>IFERROR(__xludf.DUMMYFUNCTION("""COMPUTED_VALUE"""),75.1)</f>
        <v>75.1</v>
      </c>
      <c r="E6494" s="2">
        <f>IFERROR(__xludf.DUMMYFUNCTION("""COMPUTED_VALUE"""),75.17)</f>
        <v>75.17</v>
      </c>
      <c r="F6494" s="2">
        <f>IFERROR(__xludf.DUMMYFUNCTION("""COMPUTED_VALUE"""),7122500.0)</f>
        <v>7122500</v>
      </c>
    </row>
    <row r="6495">
      <c r="A6495" s="3">
        <f>IFERROR(__xludf.DUMMYFUNCTION("""COMPUTED_VALUE"""),38616.666666666664)</f>
        <v>38616.66667</v>
      </c>
      <c r="B6495" s="2">
        <f>IFERROR(__xludf.DUMMYFUNCTION("""COMPUTED_VALUE"""),74.5)</f>
        <v>74.5</v>
      </c>
      <c r="C6495" s="2">
        <f>IFERROR(__xludf.DUMMYFUNCTION("""COMPUTED_VALUE"""),74.94)</f>
        <v>74.94</v>
      </c>
      <c r="D6495" s="2">
        <f>IFERROR(__xludf.DUMMYFUNCTION("""COMPUTED_VALUE"""),73.9)</f>
        <v>73.9</v>
      </c>
      <c r="E6495" s="2">
        <f>IFERROR(__xludf.DUMMYFUNCTION("""COMPUTED_VALUE"""),74.08)</f>
        <v>74.08</v>
      </c>
      <c r="F6495" s="2">
        <f>IFERROR(__xludf.DUMMYFUNCTION("""COMPUTED_VALUE"""),7126100.0)</f>
        <v>7126100</v>
      </c>
    </row>
    <row r="6496">
      <c r="A6496" s="3">
        <f>IFERROR(__xludf.DUMMYFUNCTION("""COMPUTED_VALUE"""),38617.666666666664)</f>
        <v>38617.66667</v>
      </c>
      <c r="B6496" s="2">
        <f>IFERROR(__xludf.DUMMYFUNCTION("""COMPUTED_VALUE"""),74.08)</f>
        <v>74.08</v>
      </c>
      <c r="C6496" s="2">
        <f>IFERROR(__xludf.DUMMYFUNCTION("""COMPUTED_VALUE"""),74.98)</f>
        <v>74.98</v>
      </c>
      <c r="D6496" s="2">
        <f>IFERROR(__xludf.DUMMYFUNCTION("""COMPUTED_VALUE"""),73.83)</f>
        <v>73.83</v>
      </c>
      <c r="E6496" s="2">
        <f>IFERROR(__xludf.DUMMYFUNCTION("""COMPUTED_VALUE"""),74.7)</f>
        <v>74.7</v>
      </c>
      <c r="F6496" s="2">
        <f>IFERROR(__xludf.DUMMYFUNCTION("""COMPUTED_VALUE"""),6870400.0)</f>
        <v>6870400</v>
      </c>
    </row>
    <row r="6497">
      <c r="A6497" s="3">
        <f>IFERROR(__xludf.DUMMYFUNCTION("""COMPUTED_VALUE"""),38618.666666666664)</f>
        <v>38618.66667</v>
      </c>
      <c r="B6497" s="2">
        <f>IFERROR(__xludf.DUMMYFUNCTION("""COMPUTED_VALUE"""),74.22)</f>
        <v>74.22</v>
      </c>
      <c r="C6497" s="2">
        <f>IFERROR(__xludf.DUMMYFUNCTION("""COMPUTED_VALUE"""),74.61)</f>
        <v>74.61</v>
      </c>
      <c r="D6497" s="2">
        <f>IFERROR(__xludf.DUMMYFUNCTION("""COMPUTED_VALUE"""),74.03)</f>
        <v>74.03</v>
      </c>
      <c r="E6497" s="2">
        <f>IFERROR(__xludf.DUMMYFUNCTION("""COMPUTED_VALUE"""),74.5)</f>
        <v>74.5</v>
      </c>
      <c r="F6497" s="2">
        <f>IFERROR(__xludf.DUMMYFUNCTION("""COMPUTED_VALUE"""),5434800.0)</f>
        <v>5434800</v>
      </c>
    </row>
    <row r="6498">
      <c r="A6498" s="3">
        <f>IFERROR(__xludf.DUMMYFUNCTION("""COMPUTED_VALUE"""),38621.666666666664)</f>
        <v>38621.66667</v>
      </c>
      <c r="B6498" s="2">
        <f>IFERROR(__xludf.DUMMYFUNCTION("""COMPUTED_VALUE"""),74.8)</f>
        <v>74.8</v>
      </c>
      <c r="C6498" s="2">
        <f>IFERROR(__xludf.DUMMYFUNCTION("""COMPUTED_VALUE"""),74.89)</f>
        <v>74.89</v>
      </c>
      <c r="D6498" s="2">
        <f>IFERROR(__xludf.DUMMYFUNCTION("""COMPUTED_VALUE"""),73.48)</f>
        <v>73.48</v>
      </c>
      <c r="E6498" s="2">
        <f>IFERROR(__xludf.DUMMYFUNCTION("""COMPUTED_VALUE"""),73.94)</f>
        <v>73.94</v>
      </c>
      <c r="F6498" s="2">
        <f>IFERROR(__xludf.DUMMYFUNCTION("""COMPUTED_VALUE"""),5433500.0)</f>
        <v>5433500</v>
      </c>
    </row>
    <row r="6499">
      <c r="A6499" s="3">
        <f>IFERROR(__xludf.DUMMYFUNCTION("""COMPUTED_VALUE"""),38622.666666666664)</f>
        <v>38622.66667</v>
      </c>
      <c r="B6499" s="2">
        <f>IFERROR(__xludf.DUMMYFUNCTION("""COMPUTED_VALUE"""),73.71)</f>
        <v>73.71</v>
      </c>
      <c r="C6499" s="2">
        <f>IFERROR(__xludf.DUMMYFUNCTION("""COMPUTED_VALUE"""),75.08)</f>
        <v>75.08</v>
      </c>
      <c r="D6499" s="2">
        <f>IFERROR(__xludf.DUMMYFUNCTION("""COMPUTED_VALUE"""),73.7)</f>
        <v>73.7</v>
      </c>
      <c r="E6499" s="2">
        <f>IFERROR(__xludf.DUMMYFUNCTION("""COMPUTED_VALUE"""),74.49)</f>
        <v>74.49</v>
      </c>
      <c r="F6499" s="2">
        <f>IFERROR(__xludf.DUMMYFUNCTION("""COMPUTED_VALUE"""),5499600.0)</f>
        <v>5499600</v>
      </c>
    </row>
    <row r="6500">
      <c r="A6500" s="3">
        <f>IFERROR(__xludf.DUMMYFUNCTION("""COMPUTED_VALUE"""),38623.666666666664)</f>
        <v>38623.66667</v>
      </c>
      <c r="B6500" s="2">
        <f>IFERROR(__xludf.DUMMYFUNCTION("""COMPUTED_VALUE"""),74.56)</f>
        <v>74.56</v>
      </c>
      <c r="C6500" s="2">
        <f>IFERROR(__xludf.DUMMYFUNCTION("""COMPUTED_VALUE"""),76.16)</f>
        <v>76.16</v>
      </c>
      <c r="D6500" s="2">
        <f>IFERROR(__xludf.DUMMYFUNCTION("""COMPUTED_VALUE"""),74.56)</f>
        <v>74.56</v>
      </c>
      <c r="E6500" s="2">
        <f>IFERROR(__xludf.DUMMYFUNCTION("""COMPUTED_VALUE"""),75.94)</f>
        <v>75.94</v>
      </c>
      <c r="F6500" s="2">
        <f>IFERROR(__xludf.DUMMYFUNCTION("""COMPUTED_VALUE"""),7748400.0)</f>
        <v>7748400</v>
      </c>
    </row>
    <row r="6501">
      <c r="A6501" s="3">
        <f>IFERROR(__xludf.DUMMYFUNCTION("""COMPUTED_VALUE"""),38624.666666666664)</f>
        <v>38624.66667</v>
      </c>
      <c r="B6501" s="2">
        <f>IFERROR(__xludf.DUMMYFUNCTION("""COMPUTED_VALUE"""),75.7)</f>
        <v>75.7</v>
      </c>
      <c r="C6501" s="2">
        <f>IFERROR(__xludf.DUMMYFUNCTION("""COMPUTED_VALUE"""),76.94)</f>
        <v>76.94</v>
      </c>
      <c r="D6501" s="2">
        <f>IFERROR(__xludf.DUMMYFUNCTION("""COMPUTED_VALUE"""),75.33)</f>
        <v>75.33</v>
      </c>
      <c r="E6501" s="2">
        <f>IFERROR(__xludf.DUMMYFUNCTION("""COMPUTED_VALUE"""),76.76)</f>
        <v>76.76</v>
      </c>
      <c r="F6501" s="2">
        <f>IFERROR(__xludf.DUMMYFUNCTION("""COMPUTED_VALUE"""),5899800.0)</f>
        <v>5899800</v>
      </c>
    </row>
    <row r="6502">
      <c r="A6502" s="3">
        <f>IFERROR(__xludf.DUMMYFUNCTION("""COMPUTED_VALUE"""),38625.666666666664)</f>
        <v>38625.66667</v>
      </c>
      <c r="B6502" s="2">
        <f>IFERROR(__xludf.DUMMYFUNCTION("""COMPUTED_VALUE"""),76.43)</f>
        <v>76.43</v>
      </c>
      <c r="C6502" s="2">
        <f>IFERROR(__xludf.DUMMYFUNCTION("""COMPUTED_VALUE"""),76.89)</f>
        <v>76.89</v>
      </c>
      <c r="D6502" s="2">
        <f>IFERROR(__xludf.DUMMYFUNCTION("""COMPUTED_VALUE"""),76.38)</f>
        <v>76.38</v>
      </c>
      <c r="E6502" s="2">
        <f>IFERROR(__xludf.DUMMYFUNCTION("""COMPUTED_VALUE"""),76.62)</f>
        <v>76.62</v>
      </c>
      <c r="F6502" s="2">
        <f>IFERROR(__xludf.DUMMYFUNCTION("""COMPUTED_VALUE"""),5536800.0)</f>
        <v>5536800</v>
      </c>
    </row>
    <row r="6503">
      <c r="A6503" s="3">
        <f>IFERROR(__xludf.DUMMYFUNCTION("""COMPUTED_VALUE"""),38628.666666666664)</f>
        <v>38628.66667</v>
      </c>
      <c r="B6503" s="2">
        <f>IFERROR(__xludf.DUMMYFUNCTION("""COMPUTED_VALUE"""),76.62)</f>
        <v>76.62</v>
      </c>
      <c r="C6503" s="2">
        <f>IFERROR(__xludf.DUMMYFUNCTION("""COMPUTED_VALUE"""),76.99)</f>
        <v>76.99</v>
      </c>
      <c r="D6503" s="2">
        <f>IFERROR(__xludf.DUMMYFUNCTION("""COMPUTED_VALUE"""),75.94)</f>
        <v>75.94</v>
      </c>
      <c r="E6503" s="2">
        <f>IFERROR(__xludf.DUMMYFUNCTION("""COMPUTED_VALUE"""),76.84)</f>
        <v>76.84</v>
      </c>
      <c r="F6503" s="2">
        <f>IFERROR(__xludf.DUMMYFUNCTION("""COMPUTED_VALUE"""),5297600.0)</f>
        <v>5297600</v>
      </c>
    </row>
    <row r="6504">
      <c r="A6504" s="3">
        <f>IFERROR(__xludf.DUMMYFUNCTION("""COMPUTED_VALUE"""),38629.666666666664)</f>
        <v>38629.66667</v>
      </c>
      <c r="B6504" s="2">
        <f>IFERROR(__xludf.DUMMYFUNCTION("""COMPUTED_VALUE"""),77.03)</f>
        <v>77.03</v>
      </c>
      <c r="C6504" s="2">
        <f>IFERROR(__xludf.DUMMYFUNCTION("""COMPUTED_VALUE"""),77.82)</f>
        <v>77.82</v>
      </c>
      <c r="D6504" s="2">
        <f>IFERROR(__xludf.DUMMYFUNCTION("""COMPUTED_VALUE"""),76.35)</f>
        <v>76.35</v>
      </c>
      <c r="E6504" s="2">
        <f>IFERROR(__xludf.DUMMYFUNCTION("""COMPUTED_VALUE"""),76.52)</f>
        <v>76.52</v>
      </c>
      <c r="F6504" s="2">
        <f>IFERROR(__xludf.DUMMYFUNCTION("""COMPUTED_VALUE"""),6491400.0)</f>
        <v>6491400</v>
      </c>
    </row>
    <row r="6505">
      <c r="A6505" s="3">
        <f>IFERROR(__xludf.DUMMYFUNCTION("""COMPUTED_VALUE"""),38630.666666666664)</f>
        <v>38630.66667</v>
      </c>
      <c r="B6505" s="2">
        <f>IFERROR(__xludf.DUMMYFUNCTION("""COMPUTED_VALUE"""),76.52)</f>
        <v>76.52</v>
      </c>
      <c r="C6505" s="2">
        <f>IFERROR(__xludf.DUMMYFUNCTION("""COMPUTED_VALUE"""),77.06)</f>
        <v>77.06</v>
      </c>
      <c r="D6505" s="2">
        <f>IFERROR(__xludf.DUMMYFUNCTION("""COMPUTED_VALUE"""),75.99)</f>
        <v>75.99</v>
      </c>
      <c r="E6505" s="2">
        <f>IFERROR(__xludf.DUMMYFUNCTION("""COMPUTED_VALUE"""),76.24)</f>
        <v>76.24</v>
      </c>
      <c r="F6505" s="2">
        <f>IFERROR(__xludf.DUMMYFUNCTION("""COMPUTED_VALUE"""),4999200.0)</f>
        <v>4999200</v>
      </c>
    </row>
    <row r="6506">
      <c r="A6506" s="3">
        <f>IFERROR(__xludf.DUMMYFUNCTION("""COMPUTED_VALUE"""),38631.666666666664)</f>
        <v>38631.66667</v>
      </c>
      <c r="B6506" s="2">
        <f>IFERROR(__xludf.DUMMYFUNCTION("""COMPUTED_VALUE"""),76.24)</f>
        <v>76.24</v>
      </c>
      <c r="C6506" s="2">
        <f>IFERROR(__xludf.DUMMYFUNCTION("""COMPUTED_VALUE"""),76.67)</f>
        <v>76.67</v>
      </c>
      <c r="D6506" s="2">
        <f>IFERROR(__xludf.DUMMYFUNCTION("""COMPUTED_VALUE"""),75.17)</f>
        <v>75.17</v>
      </c>
      <c r="E6506" s="2">
        <f>IFERROR(__xludf.DUMMYFUNCTION("""COMPUTED_VALUE"""),76.13)</f>
        <v>76.13</v>
      </c>
      <c r="F6506" s="2">
        <f>IFERROR(__xludf.DUMMYFUNCTION("""COMPUTED_VALUE"""),8130200.0)</f>
        <v>8130200</v>
      </c>
    </row>
    <row r="6507">
      <c r="A6507" s="3">
        <f>IFERROR(__xludf.DUMMYFUNCTION("""COMPUTED_VALUE"""),38632.666666666664)</f>
        <v>38632.66667</v>
      </c>
      <c r="B6507" s="2">
        <f>IFERROR(__xludf.DUMMYFUNCTION("""COMPUTED_VALUE"""),76.65)</f>
        <v>76.65</v>
      </c>
      <c r="C6507" s="2">
        <f>IFERROR(__xludf.DUMMYFUNCTION("""COMPUTED_VALUE"""),77.48)</f>
        <v>77.48</v>
      </c>
      <c r="D6507" s="2">
        <f>IFERROR(__xludf.DUMMYFUNCTION("""COMPUTED_VALUE"""),76.5)</f>
        <v>76.5</v>
      </c>
      <c r="E6507" s="2">
        <f>IFERROR(__xludf.DUMMYFUNCTION("""COMPUTED_VALUE"""),76.89)</f>
        <v>76.89</v>
      </c>
      <c r="F6507" s="2">
        <f>IFERROR(__xludf.DUMMYFUNCTION("""COMPUTED_VALUE"""),6130100.0)</f>
        <v>6130100</v>
      </c>
    </row>
    <row r="6508">
      <c r="A6508" s="3">
        <f>IFERROR(__xludf.DUMMYFUNCTION("""COMPUTED_VALUE"""),38635.666666666664)</f>
        <v>38635.66667</v>
      </c>
      <c r="B6508" s="2">
        <f>IFERROR(__xludf.DUMMYFUNCTION("""COMPUTED_VALUE"""),77.6)</f>
        <v>77.6</v>
      </c>
      <c r="C6508" s="2">
        <f>IFERROR(__xludf.DUMMYFUNCTION("""COMPUTED_VALUE"""),78.42)</f>
        <v>78.42</v>
      </c>
      <c r="D6508" s="2">
        <f>IFERROR(__xludf.DUMMYFUNCTION("""COMPUTED_VALUE"""),77.44)</f>
        <v>77.44</v>
      </c>
      <c r="E6508" s="2">
        <f>IFERROR(__xludf.DUMMYFUNCTION("""COMPUTED_VALUE"""),77.61)</f>
        <v>77.61</v>
      </c>
      <c r="F6508" s="2">
        <f>IFERROR(__xludf.DUMMYFUNCTION("""COMPUTED_VALUE"""),7883400.0)</f>
        <v>7883400</v>
      </c>
    </row>
    <row r="6509">
      <c r="A6509" s="3">
        <f>IFERROR(__xludf.DUMMYFUNCTION("""COMPUTED_VALUE"""),38636.666666666664)</f>
        <v>38636.66667</v>
      </c>
      <c r="B6509" s="2">
        <f>IFERROR(__xludf.DUMMYFUNCTION("""COMPUTED_VALUE"""),78.56)</f>
        <v>78.56</v>
      </c>
      <c r="C6509" s="2">
        <f>IFERROR(__xludf.DUMMYFUNCTION("""COMPUTED_VALUE"""),79.78)</f>
        <v>79.78</v>
      </c>
      <c r="D6509" s="2">
        <f>IFERROR(__xludf.DUMMYFUNCTION("""COMPUTED_VALUE"""),78.29)</f>
        <v>78.29</v>
      </c>
      <c r="E6509" s="2">
        <f>IFERROR(__xludf.DUMMYFUNCTION("""COMPUTED_VALUE"""),79.46)</f>
        <v>79.46</v>
      </c>
      <c r="F6509" s="2">
        <f>IFERROR(__xludf.DUMMYFUNCTION("""COMPUTED_VALUE"""),9784500.0)</f>
        <v>9784500</v>
      </c>
    </row>
    <row r="6510">
      <c r="A6510" s="3">
        <f>IFERROR(__xludf.DUMMYFUNCTION("""COMPUTED_VALUE"""),38637.666666666664)</f>
        <v>38637.66667</v>
      </c>
      <c r="B6510" s="2">
        <f>IFERROR(__xludf.DUMMYFUNCTION("""COMPUTED_VALUE"""),79.04)</f>
        <v>79.04</v>
      </c>
      <c r="C6510" s="2">
        <f>IFERROR(__xludf.DUMMYFUNCTION("""COMPUTED_VALUE"""),79.21)</f>
        <v>79.21</v>
      </c>
      <c r="D6510" s="2">
        <f>IFERROR(__xludf.DUMMYFUNCTION("""COMPUTED_VALUE"""),78.28)</f>
        <v>78.28</v>
      </c>
      <c r="E6510" s="2">
        <f>IFERROR(__xludf.DUMMYFUNCTION("""COMPUTED_VALUE"""),78.5)</f>
        <v>78.5</v>
      </c>
      <c r="F6510" s="2">
        <f>IFERROR(__xludf.DUMMYFUNCTION("""COMPUTED_VALUE"""),7581500.0)</f>
        <v>7581500</v>
      </c>
    </row>
    <row r="6511">
      <c r="A6511" s="3">
        <f>IFERROR(__xludf.DUMMYFUNCTION("""COMPUTED_VALUE"""),38638.666666666664)</f>
        <v>38638.66667</v>
      </c>
      <c r="B6511" s="2">
        <f>IFERROR(__xludf.DUMMYFUNCTION("""COMPUTED_VALUE"""),78.04)</f>
        <v>78.04</v>
      </c>
      <c r="C6511" s="2">
        <f>IFERROR(__xludf.DUMMYFUNCTION("""COMPUTED_VALUE"""),79.47)</f>
        <v>79.47</v>
      </c>
      <c r="D6511" s="2">
        <f>IFERROR(__xludf.DUMMYFUNCTION("""COMPUTED_VALUE"""),78.04)</f>
        <v>78.04</v>
      </c>
      <c r="E6511" s="2">
        <f>IFERROR(__xludf.DUMMYFUNCTION("""COMPUTED_VALUE"""),78.51)</f>
        <v>78.51</v>
      </c>
      <c r="F6511" s="2">
        <f>IFERROR(__xludf.DUMMYFUNCTION("""COMPUTED_VALUE"""),5530600.0)</f>
        <v>5530600</v>
      </c>
    </row>
    <row r="6512">
      <c r="A6512" s="3">
        <f>IFERROR(__xludf.DUMMYFUNCTION("""COMPUTED_VALUE"""),38639.666666666664)</f>
        <v>38639.66667</v>
      </c>
      <c r="B6512" s="2">
        <f>IFERROR(__xludf.DUMMYFUNCTION("""COMPUTED_VALUE"""),78.9)</f>
        <v>78.9</v>
      </c>
      <c r="C6512" s="2">
        <f>IFERROR(__xludf.DUMMYFUNCTION("""COMPUTED_VALUE"""),79.0)</f>
        <v>79</v>
      </c>
      <c r="D6512" s="2">
        <f>IFERROR(__xludf.DUMMYFUNCTION("""COMPUTED_VALUE"""),77.94)</f>
        <v>77.94</v>
      </c>
      <c r="E6512" s="2">
        <f>IFERROR(__xludf.DUMMYFUNCTION("""COMPUTED_VALUE"""),78.66)</f>
        <v>78.66</v>
      </c>
      <c r="F6512" s="2">
        <f>IFERROR(__xludf.DUMMYFUNCTION("""COMPUTED_VALUE"""),5573700.0)</f>
        <v>5573700</v>
      </c>
    </row>
    <row r="6513">
      <c r="A6513" s="3">
        <f>IFERROR(__xludf.DUMMYFUNCTION("""COMPUTED_VALUE"""),38642.666666666664)</f>
        <v>38642.66667</v>
      </c>
      <c r="B6513" s="2">
        <f>IFERROR(__xludf.DUMMYFUNCTION("""COMPUTED_VALUE"""),78.67)</f>
        <v>78.67</v>
      </c>
      <c r="C6513" s="2">
        <f>IFERROR(__xludf.DUMMYFUNCTION("""COMPUTED_VALUE"""),79.27)</f>
        <v>79.27</v>
      </c>
      <c r="D6513" s="2">
        <f>IFERROR(__xludf.DUMMYFUNCTION("""COMPUTED_VALUE"""),78.26)</f>
        <v>78.26</v>
      </c>
      <c r="E6513" s="2">
        <f>IFERROR(__xludf.DUMMYFUNCTION("""COMPUTED_VALUE"""),78.89)</f>
        <v>78.89</v>
      </c>
      <c r="F6513" s="2">
        <f>IFERROR(__xludf.DUMMYFUNCTION("""COMPUTED_VALUE"""),8008700.0)</f>
        <v>8008700</v>
      </c>
    </row>
    <row r="6514">
      <c r="A6514" s="3">
        <f>IFERROR(__xludf.DUMMYFUNCTION("""COMPUTED_VALUE"""),38643.666666666664)</f>
        <v>38643.66667</v>
      </c>
      <c r="B6514" s="2">
        <f>IFERROR(__xludf.DUMMYFUNCTION("""COMPUTED_VALUE"""),80.54)</f>
        <v>80.54</v>
      </c>
      <c r="C6514" s="2">
        <f>IFERROR(__xludf.DUMMYFUNCTION("""COMPUTED_VALUE"""),80.81)</f>
        <v>80.81</v>
      </c>
      <c r="D6514" s="2">
        <f>IFERROR(__xludf.DUMMYFUNCTION("""COMPUTED_VALUE"""),79.61)</f>
        <v>79.61</v>
      </c>
      <c r="E6514" s="2">
        <f>IFERROR(__xludf.DUMMYFUNCTION("""COMPUTED_VALUE"""),79.74)</f>
        <v>79.74</v>
      </c>
      <c r="F6514" s="2">
        <f>IFERROR(__xludf.DUMMYFUNCTION("""COMPUTED_VALUE"""),1.20478E7)</f>
        <v>12047800</v>
      </c>
    </row>
    <row r="6515">
      <c r="A6515" s="3">
        <f>IFERROR(__xludf.DUMMYFUNCTION("""COMPUTED_VALUE"""),38644.666666666664)</f>
        <v>38644.66667</v>
      </c>
      <c r="B6515" s="2">
        <f>IFERROR(__xludf.DUMMYFUNCTION("""COMPUTED_VALUE"""),78.72)</f>
        <v>78.72</v>
      </c>
      <c r="C6515" s="2">
        <f>IFERROR(__xludf.DUMMYFUNCTION("""COMPUTED_VALUE"""),80.42)</f>
        <v>80.42</v>
      </c>
      <c r="D6515" s="2">
        <f>IFERROR(__xludf.DUMMYFUNCTION("""COMPUTED_VALUE"""),78.69)</f>
        <v>78.69</v>
      </c>
      <c r="E6515" s="2">
        <f>IFERROR(__xludf.DUMMYFUNCTION("""COMPUTED_VALUE"""),80.4)</f>
        <v>80.4</v>
      </c>
      <c r="F6515" s="2">
        <f>IFERROR(__xludf.DUMMYFUNCTION("""COMPUTED_VALUE"""),7507100.0)</f>
        <v>7507100</v>
      </c>
    </row>
    <row r="6516">
      <c r="A6516" s="3">
        <f>IFERROR(__xludf.DUMMYFUNCTION("""COMPUTED_VALUE"""),38645.666666666664)</f>
        <v>38645.66667</v>
      </c>
      <c r="B6516" s="2">
        <f>IFERROR(__xludf.DUMMYFUNCTION("""COMPUTED_VALUE"""),80.23)</f>
        <v>80.23</v>
      </c>
      <c r="C6516" s="2">
        <f>IFERROR(__xludf.DUMMYFUNCTION("""COMPUTED_VALUE"""),80.42)</f>
        <v>80.42</v>
      </c>
      <c r="D6516" s="2">
        <f>IFERROR(__xludf.DUMMYFUNCTION("""COMPUTED_VALUE"""),79.16)</f>
        <v>79.16</v>
      </c>
      <c r="E6516" s="2">
        <f>IFERROR(__xludf.DUMMYFUNCTION("""COMPUTED_VALUE"""),79.44)</f>
        <v>79.44</v>
      </c>
      <c r="F6516" s="2">
        <f>IFERROR(__xludf.DUMMYFUNCTION("""COMPUTED_VALUE"""),5752800.0)</f>
        <v>5752800</v>
      </c>
    </row>
    <row r="6517">
      <c r="A6517" s="3">
        <f>IFERROR(__xludf.DUMMYFUNCTION("""COMPUTED_VALUE"""),38646.666666666664)</f>
        <v>38646.66667</v>
      </c>
      <c r="B6517" s="2">
        <f>IFERROR(__xludf.DUMMYFUNCTION("""COMPUTED_VALUE"""),79.36)</f>
        <v>79.36</v>
      </c>
      <c r="C6517" s="2">
        <f>IFERROR(__xludf.DUMMYFUNCTION("""COMPUTED_VALUE"""),80.23)</f>
        <v>80.23</v>
      </c>
      <c r="D6517" s="2">
        <f>IFERROR(__xludf.DUMMYFUNCTION("""COMPUTED_VALUE"""),79.19)</f>
        <v>79.19</v>
      </c>
      <c r="E6517" s="2">
        <f>IFERROR(__xludf.DUMMYFUNCTION("""COMPUTED_VALUE"""),79.59)</f>
        <v>79.59</v>
      </c>
      <c r="F6517" s="2">
        <f>IFERROR(__xludf.DUMMYFUNCTION("""COMPUTED_VALUE"""),6020700.0)</f>
        <v>6020700</v>
      </c>
    </row>
    <row r="6518">
      <c r="A6518" s="3">
        <f>IFERROR(__xludf.DUMMYFUNCTION("""COMPUTED_VALUE"""),38649.666666666664)</f>
        <v>38649.66667</v>
      </c>
      <c r="B6518" s="2">
        <f>IFERROR(__xludf.DUMMYFUNCTION("""COMPUTED_VALUE"""),79.42)</f>
        <v>79.42</v>
      </c>
      <c r="C6518" s="2">
        <f>IFERROR(__xludf.DUMMYFUNCTION("""COMPUTED_VALUE"""),79.86)</f>
        <v>79.86</v>
      </c>
      <c r="D6518" s="2">
        <f>IFERROR(__xludf.DUMMYFUNCTION("""COMPUTED_VALUE"""),78.9)</f>
        <v>78.9</v>
      </c>
      <c r="E6518" s="2">
        <f>IFERROR(__xludf.DUMMYFUNCTION("""COMPUTED_VALUE"""),79.73)</f>
        <v>79.73</v>
      </c>
      <c r="F6518" s="2">
        <f>IFERROR(__xludf.DUMMYFUNCTION("""COMPUTED_VALUE"""),5488700.0)</f>
        <v>5488700</v>
      </c>
    </row>
    <row r="6519">
      <c r="A6519" s="3">
        <f>IFERROR(__xludf.DUMMYFUNCTION("""COMPUTED_VALUE"""),38650.666666666664)</f>
        <v>38650.66667</v>
      </c>
      <c r="B6519" s="2">
        <f>IFERROR(__xludf.DUMMYFUNCTION("""COMPUTED_VALUE"""),79.43)</f>
        <v>79.43</v>
      </c>
      <c r="C6519" s="2">
        <f>IFERROR(__xludf.DUMMYFUNCTION("""COMPUTED_VALUE"""),80.19)</f>
        <v>80.19</v>
      </c>
      <c r="D6519" s="2">
        <f>IFERROR(__xludf.DUMMYFUNCTION("""COMPUTED_VALUE"""),79.0)</f>
        <v>79</v>
      </c>
      <c r="E6519" s="2">
        <f>IFERROR(__xludf.DUMMYFUNCTION("""COMPUTED_VALUE"""),79.62)</f>
        <v>79.62</v>
      </c>
      <c r="F6519" s="2">
        <f>IFERROR(__xludf.DUMMYFUNCTION("""COMPUTED_VALUE"""),5405300.0)</f>
        <v>5405300</v>
      </c>
    </row>
    <row r="6520">
      <c r="A6520" s="3">
        <f>IFERROR(__xludf.DUMMYFUNCTION("""COMPUTED_VALUE"""),38651.666666666664)</f>
        <v>38651.66667</v>
      </c>
      <c r="B6520" s="2">
        <f>IFERROR(__xludf.DUMMYFUNCTION("""COMPUTED_VALUE"""),79.25)</f>
        <v>79.25</v>
      </c>
      <c r="C6520" s="2">
        <f>IFERROR(__xludf.DUMMYFUNCTION("""COMPUTED_VALUE"""),80.11)</f>
        <v>80.11</v>
      </c>
      <c r="D6520" s="2">
        <f>IFERROR(__xludf.DUMMYFUNCTION("""COMPUTED_VALUE"""),79.01)</f>
        <v>79.01</v>
      </c>
      <c r="E6520" s="2">
        <f>IFERROR(__xludf.DUMMYFUNCTION("""COMPUTED_VALUE"""),79.17)</f>
        <v>79.17</v>
      </c>
      <c r="F6520" s="2">
        <f>IFERROR(__xludf.DUMMYFUNCTION("""COMPUTED_VALUE"""),4288100.0)</f>
        <v>4288100</v>
      </c>
    </row>
    <row r="6521">
      <c r="A6521" s="3">
        <f>IFERROR(__xludf.DUMMYFUNCTION("""COMPUTED_VALUE"""),38652.666666666664)</f>
        <v>38652.66667</v>
      </c>
      <c r="B6521" s="2">
        <f>IFERROR(__xludf.DUMMYFUNCTION("""COMPUTED_VALUE"""),78.83)</f>
        <v>78.83</v>
      </c>
      <c r="C6521" s="2">
        <f>IFERROR(__xludf.DUMMYFUNCTION("""COMPUTED_VALUE"""),79.21)</f>
        <v>79.21</v>
      </c>
      <c r="D6521" s="2">
        <f>IFERROR(__xludf.DUMMYFUNCTION("""COMPUTED_VALUE"""),78.56)</f>
        <v>78.56</v>
      </c>
      <c r="E6521" s="2">
        <f>IFERROR(__xludf.DUMMYFUNCTION("""COMPUTED_VALUE"""),78.62)</f>
        <v>78.62</v>
      </c>
      <c r="F6521" s="2">
        <f>IFERROR(__xludf.DUMMYFUNCTION("""COMPUTED_VALUE"""),3706900.0)</f>
        <v>3706900</v>
      </c>
    </row>
    <row r="6522">
      <c r="A6522" s="3">
        <f>IFERROR(__xludf.DUMMYFUNCTION("""COMPUTED_VALUE"""),38653.666666666664)</f>
        <v>38653.66667</v>
      </c>
      <c r="B6522" s="2">
        <f>IFERROR(__xludf.DUMMYFUNCTION("""COMPUTED_VALUE"""),78.63)</f>
        <v>78.63</v>
      </c>
      <c r="C6522" s="2">
        <f>IFERROR(__xludf.DUMMYFUNCTION("""COMPUTED_VALUE"""),78.73)</f>
        <v>78.73</v>
      </c>
      <c r="D6522" s="2">
        <f>IFERROR(__xludf.DUMMYFUNCTION("""COMPUTED_VALUE"""),76.89)</f>
        <v>76.89</v>
      </c>
      <c r="E6522" s="2">
        <f>IFERROR(__xludf.DUMMYFUNCTION("""COMPUTED_VALUE"""),77.77)</f>
        <v>77.77</v>
      </c>
      <c r="F6522" s="2">
        <f>IFERROR(__xludf.DUMMYFUNCTION("""COMPUTED_VALUE"""),7895500.0)</f>
        <v>7895500</v>
      </c>
    </row>
    <row r="6523">
      <c r="A6523" s="3">
        <f>IFERROR(__xludf.DUMMYFUNCTION("""COMPUTED_VALUE"""),38656.666666666664)</f>
        <v>38656.66667</v>
      </c>
      <c r="B6523" s="2">
        <f>IFERROR(__xludf.DUMMYFUNCTION("""COMPUTED_VALUE"""),77.86)</f>
        <v>77.86</v>
      </c>
      <c r="C6523" s="2">
        <f>IFERROR(__xludf.DUMMYFUNCTION("""COMPUTED_VALUE"""),78.61)</f>
        <v>78.61</v>
      </c>
      <c r="D6523" s="2">
        <f>IFERROR(__xludf.DUMMYFUNCTION("""COMPUTED_VALUE"""),77.65)</f>
        <v>77.65</v>
      </c>
      <c r="E6523" s="2">
        <f>IFERROR(__xludf.DUMMYFUNCTION("""COMPUTED_VALUE"""),78.21)</f>
        <v>78.21</v>
      </c>
      <c r="F6523" s="2">
        <f>IFERROR(__xludf.DUMMYFUNCTION("""COMPUTED_VALUE"""),7829900.0)</f>
        <v>7829900</v>
      </c>
    </row>
    <row r="6524">
      <c r="A6524" s="3">
        <f>IFERROR(__xludf.DUMMYFUNCTION("""COMPUTED_VALUE"""),38657.666666666664)</f>
        <v>38657.66667</v>
      </c>
      <c r="B6524" s="2">
        <f>IFERROR(__xludf.DUMMYFUNCTION("""COMPUTED_VALUE"""),78.18)</f>
        <v>78.18</v>
      </c>
      <c r="C6524" s="2">
        <f>IFERROR(__xludf.DUMMYFUNCTION("""COMPUTED_VALUE"""),78.47)</f>
        <v>78.47</v>
      </c>
      <c r="D6524" s="2">
        <f>IFERROR(__xludf.DUMMYFUNCTION("""COMPUTED_VALUE"""),77.65)</f>
        <v>77.65</v>
      </c>
      <c r="E6524" s="2">
        <f>IFERROR(__xludf.DUMMYFUNCTION("""COMPUTED_VALUE"""),77.93)</f>
        <v>77.93</v>
      </c>
      <c r="F6524" s="2">
        <f>IFERROR(__xludf.DUMMYFUNCTION("""COMPUTED_VALUE"""),5657900.0)</f>
        <v>5657900</v>
      </c>
    </row>
    <row r="6525">
      <c r="A6525" s="3">
        <f>IFERROR(__xludf.DUMMYFUNCTION("""COMPUTED_VALUE"""),38658.666666666664)</f>
        <v>38658.66667</v>
      </c>
      <c r="B6525" s="2">
        <f>IFERROR(__xludf.DUMMYFUNCTION("""COMPUTED_VALUE"""),77.56)</f>
        <v>77.56</v>
      </c>
      <c r="C6525" s="2">
        <f>IFERROR(__xludf.DUMMYFUNCTION("""COMPUTED_VALUE"""),78.22)</f>
        <v>78.22</v>
      </c>
      <c r="D6525" s="2">
        <f>IFERROR(__xludf.DUMMYFUNCTION("""COMPUTED_VALUE"""),77.02)</f>
        <v>77.02</v>
      </c>
      <c r="E6525" s="2">
        <f>IFERROR(__xludf.DUMMYFUNCTION("""COMPUTED_VALUE"""),77.43)</f>
        <v>77.43</v>
      </c>
      <c r="F6525" s="2">
        <f>IFERROR(__xludf.DUMMYFUNCTION("""COMPUTED_VALUE"""),6650500.0)</f>
        <v>6650500</v>
      </c>
    </row>
    <row r="6526">
      <c r="A6526" s="3">
        <f>IFERROR(__xludf.DUMMYFUNCTION("""COMPUTED_VALUE"""),38659.666666666664)</f>
        <v>38659.66667</v>
      </c>
      <c r="B6526" s="2">
        <f>IFERROR(__xludf.DUMMYFUNCTION("""COMPUTED_VALUE"""),77.89)</f>
        <v>77.89</v>
      </c>
      <c r="C6526" s="2">
        <f>IFERROR(__xludf.DUMMYFUNCTION("""COMPUTED_VALUE"""),79.31)</f>
        <v>79.31</v>
      </c>
      <c r="D6526" s="2">
        <f>IFERROR(__xludf.DUMMYFUNCTION("""COMPUTED_VALUE"""),77.66)</f>
        <v>77.66</v>
      </c>
      <c r="E6526" s="2">
        <f>IFERROR(__xludf.DUMMYFUNCTION("""COMPUTED_VALUE"""),79.15)</f>
        <v>79.15</v>
      </c>
      <c r="F6526" s="2">
        <f>IFERROR(__xludf.DUMMYFUNCTION("""COMPUTED_VALUE"""),7690900.0)</f>
        <v>7690900</v>
      </c>
    </row>
    <row r="6527">
      <c r="A6527" s="3">
        <f>IFERROR(__xludf.DUMMYFUNCTION("""COMPUTED_VALUE"""),38660.666666666664)</f>
        <v>38660.66667</v>
      </c>
      <c r="B6527" s="2">
        <f>IFERROR(__xludf.DUMMYFUNCTION("""COMPUTED_VALUE"""),79.19)</f>
        <v>79.19</v>
      </c>
      <c r="C6527" s="2">
        <f>IFERROR(__xludf.DUMMYFUNCTION("""COMPUTED_VALUE"""),79.57)</f>
        <v>79.57</v>
      </c>
      <c r="D6527" s="2">
        <f>IFERROR(__xludf.DUMMYFUNCTION("""COMPUTED_VALUE"""),78.94)</f>
        <v>78.94</v>
      </c>
      <c r="E6527" s="2">
        <f>IFERROR(__xludf.DUMMYFUNCTION("""COMPUTED_VALUE"""),79.28)</f>
        <v>79.28</v>
      </c>
      <c r="F6527" s="2">
        <f>IFERROR(__xludf.DUMMYFUNCTION("""COMPUTED_VALUE"""),3831400.0)</f>
        <v>3831400</v>
      </c>
    </row>
    <row r="6528">
      <c r="A6528" s="3">
        <f>IFERROR(__xludf.DUMMYFUNCTION("""COMPUTED_VALUE"""),38663.666666666664)</f>
        <v>38663.66667</v>
      </c>
      <c r="B6528" s="2">
        <f>IFERROR(__xludf.DUMMYFUNCTION("""COMPUTED_VALUE"""),79.37)</f>
        <v>79.37</v>
      </c>
      <c r="C6528" s="2">
        <f>IFERROR(__xludf.DUMMYFUNCTION("""COMPUTED_VALUE"""),80.09)</f>
        <v>80.09</v>
      </c>
      <c r="D6528" s="2">
        <f>IFERROR(__xludf.DUMMYFUNCTION("""COMPUTED_VALUE"""),79.35)</f>
        <v>79.35</v>
      </c>
      <c r="E6528" s="2">
        <f>IFERROR(__xludf.DUMMYFUNCTION("""COMPUTED_VALUE"""),79.86)</f>
        <v>79.86</v>
      </c>
      <c r="F6528" s="2">
        <f>IFERROR(__xludf.DUMMYFUNCTION("""COMPUTED_VALUE"""),4455100.0)</f>
        <v>4455100</v>
      </c>
    </row>
    <row r="6529">
      <c r="A6529" s="3">
        <f>IFERROR(__xludf.DUMMYFUNCTION("""COMPUTED_VALUE"""),38664.666666666664)</f>
        <v>38664.66667</v>
      </c>
      <c r="B6529" s="2">
        <f>IFERROR(__xludf.DUMMYFUNCTION("""COMPUTED_VALUE"""),79.67)</f>
        <v>79.67</v>
      </c>
      <c r="C6529" s="2">
        <f>IFERROR(__xludf.DUMMYFUNCTION("""COMPUTED_VALUE"""),80.14)</f>
        <v>80.14</v>
      </c>
      <c r="D6529" s="2">
        <f>IFERROR(__xludf.DUMMYFUNCTION("""COMPUTED_VALUE"""),79.38)</f>
        <v>79.38</v>
      </c>
      <c r="E6529" s="2">
        <f>IFERROR(__xludf.DUMMYFUNCTION("""COMPUTED_VALUE"""),79.42)</f>
        <v>79.42</v>
      </c>
      <c r="F6529" s="2">
        <f>IFERROR(__xludf.DUMMYFUNCTION("""COMPUTED_VALUE"""),3520400.0)</f>
        <v>3520400</v>
      </c>
    </row>
    <row r="6530">
      <c r="A6530" s="3">
        <f>IFERROR(__xludf.DUMMYFUNCTION("""COMPUTED_VALUE"""),38665.666666666664)</f>
        <v>38665.66667</v>
      </c>
      <c r="B6530" s="2">
        <f>IFERROR(__xludf.DUMMYFUNCTION("""COMPUTED_VALUE"""),79.0)</f>
        <v>79</v>
      </c>
      <c r="C6530" s="2">
        <f>IFERROR(__xludf.DUMMYFUNCTION("""COMPUTED_VALUE"""),79.59)</f>
        <v>79.59</v>
      </c>
      <c r="D6530" s="2">
        <f>IFERROR(__xludf.DUMMYFUNCTION("""COMPUTED_VALUE"""),78.79)</f>
        <v>78.79</v>
      </c>
      <c r="E6530" s="2">
        <f>IFERROR(__xludf.DUMMYFUNCTION("""COMPUTED_VALUE"""),79.13)</f>
        <v>79.13</v>
      </c>
      <c r="F6530" s="2">
        <f>IFERROR(__xludf.DUMMYFUNCTION("""COMPUTED_VALUE"""),3936200.0)</f>
        <v>3936200</v>
      </c>
    </row>
    <row r="6531">
      <c r="A6531" s="3">
        <f>IFERROR(__xludf.DUMMYFUNCTION("""COMPUTED_VALUE"""),38666.666666666664)</f>
        <v>38666.66667</v>
      </c>
      <c r="B6531" s="2">
        <f>IFERROR(__xludf.DUMMYFUNCTION("""COMPUTED_VALUE"""),78.99)</f>
        <v>78.99</v>
      </c>
      <c r="C6531" s="2">
        <f>IFERROR(__xludf.DUMMYFUNCTION("""COMPUTED_VALUE"""),80.52)</f>
        <v>80.52</v>
      </c>
      <c r="D6531" s="2">
        <f>IFERROR(__xludf.DUMMYFUNCTION("""COMPUTED_VALUE"""),78.61)</f>
        <v>78.61</v>
      </c>
      <c r="E6531" s="2">
        <f>IFERROR(__xludf.DUMMYFUNCTION("""COMPUTED_VALUE"""),80.22)</f>
        <v>80.22</v>
      </c>
      <c r="F6531" s="2">
        <f>IFERROR(__xludf.DUMMYFUNCTION("""COMPUTED_VALUE"""),4732100.0)</f>
        <v>4732100</v>
      </c>
    </row>
    <row r="6532">
      <c r="A6532" s="3">
        <f>IFERROR(__xludf.DUMMYFUNCTION("""COMPUTED_VALUE"""),38667.666666666664)</f>
        <v>38667.66667</v>
      </c>
      <c r="B6532" s="2">
        <f>IFERROR(__xludf.DUMMYFUNCTION("""COMPUTED_VALUE"""),80.42)</f>
        <v>80.42</v>
      </c>
      <c r="C6532" s="2">
        <f>IFERROR(__xludf.DUMMYFUNCTION("""COMPUTED_VALUE"""),81.04)</f>
        <v>81.04</v>
      </c>
      <c r="D6532" s="2">
        <f>IFERROR(__xludf.DUMMYFUNCTION("""COMPUTED_VALUE"""),80.38)</f>
        <v>80.38</v>
      </c>
      <c r="E6532" s="2">
        <f>IFERROR(__xludf.DUMMYFUNCTION("""COMPUTED_VALUE"""),80.76)</f>
        <v>80.76</v>
      </c>
      <c r="F6532" s="2">
        <f>IFERROR(__xludf.DUMMYFUNCTION("""COMPUTED_VALUE"""),4841300.0)</f>
        <v>4841300</v>
      </c>
    </row>
    <row r="6533">
      <c r="A6533" s="3">
        <f>IFERROR(__xludf.DUMMYFUNCTION("""COMPUTED_VALUE"""),38670.666666666664)</f>
        <v>38670.66667</v>
      </c>
      <c r="B6533" s="2">
        <f>IFERROR(__xludf.DUMMYFUNCTION("""COMPUTED_VALUE"""),80.47)</f>
        <v>80.47</v>
      </c>
      <c r="C6533" s="2">
        <f>IFERROR(__xludf.DUMMYFUNCTION("""COMPUTED_VALUE"""),81.19)</f>
        <v>81.19</v>
      </c>
      <c r="D6533" s="2">
        <f>IFERROR(__xludf.DUMMYFUNCTION("""COMPUTED_VALUE"""),80.34)</f>
        <v>80.34</v>
      </c>
      <c r="E6533" s="2">
        <f>IFERROR(__xludf.DUMMYFUNCTION("""COMPUTED_VALUE"""),80.58)</f>
        <v>80.58</v>
      </c>
      <c r="F6533" s="2">
        <f>IFERROR(__xludf.DUMMYFUNCTION("""COMPUTED_VALUE"""),3915400.0)</f>
        <v>3915400</v>
      </c>
    </row>
    <row r="6534">
      <c r="A6534" s="3">
        <f>IFERROR(__xludf.DUMMYFUNCTION("""COMPUTED_VALUE"""),38671.666666666664)</f>
        <v>38671.66667</v>
      </c>
      <c r="B6534" s="2">
        <f>IFERROR(__xludf.DUMMYFUNCTION("""COMPUTED_VALUE"""),80.26)</f>
        <v>80.26</v>
      </c>
      <c r="C6534" s="2">
        <f>IFERROR(__xludf.DUMMYFUNCTION("""COMPUTED_VALUE"""),82.05)</f>
        <v>82.05</v>
      </c>
      <c r="D6534" s="2">
        <f>IFERROR(__xludf.DUMMYFUNCTION("""COMPUTED_VALUE"""),80.26)</f>
        <v>80.26</v>
      </c>
      <c r="E6534" s="2">
        <f>IFERROR(__xludf.DUMMYFUNCTION("""COMPUTED_VALUE"""),81.7)</f>
        <v>81.7</v>
      </c>
      <c r="F6534" s="2">
        <f>IFERROR(__xludf.DUMMYFUNCTION("""COMPUTED_VALUE"""),6833000.0)</f>
        <v>6833000</v>
      </c>
    </row>
    <row r="6535">
      <c r="A6535" s="3">
        <f>IFERROR(__xludf.DUMMYFUNCTION("""COMPUTED_VALUE"""),38672.666666666664)</f>
        <v>38672.66667</v>
      </c>
      <c r="B6535" s="2">
        <f>IFERROR(__xludf.DUMMYFUNCTION("""COMPUTED_VALUE"""),81.62)</f>
        <v>81.62</v>
      </c>
      <c r="C6535" s="2">
        <f>IFERROR(__xludf.DUMMYFUNCTION("""COMPUTED_VALUE"""),82.7)</f>
        <v>82.7</v>
      </c>
      <c r="D6535" s="2">
        <f>IFERROR(__xludf.DUMMYFUNCTION("""COMPUTED_VALUE"""),81.56)</f>
        <v>81.56</v>
      </c>
      <c r="E6535" s="2">
        <f>IFERROR(__xludf.DUMMYFUNCTION("""COMPUTED_VALUE"""),82.66)</f>
        <v>82.66</v>
      </c>
      <c r="F6535" s="2">
        <f>IFERROR(__xludf.DUMMYFUNCTION("""COMPUTED_VALUE"""),6694100.0)</f>
        <v>6694100</v>
      </c>
    </row>
    <row r="6536">
      <c r="A6536" s="3">
        <f>IFERROR(__xludf.DUMMYFUNCTION("""COMPUTED_VALUE"""),38673.666666666664)</f>
        <v>38673.66667</v>
      </c>
      <c r="B6536" s="2">
        <f>IFERROR(__xludf.DUMMYFUNCTION("""COMPUTED_VALUE"""),82.32)</f>
        <v>82.32</v>
      </c>
      <c r="C6536" s="2">
        <f>IFERROR(__xludf.DUMMYFUNCTION("""COMPUTED_VALUE"""),83.08)</f>
        <v>83.08</v>
      </c>
      <c r="D6536" s="2">
        <f>IFERROR(__xludf.DUMMYFUNCTION("""COMPUTED_VALUE"""),81.91)</f>
        <v>81.91</v>
      </c>
      <c r="E6536" s="2">
        <f>IFERROR(__xludf.DUMMYFUNCTION("""COMPUTED_VALUE"""),82.99)</f>
        <v>82.99</v>
      </c>
      <c r="F6536" s="2">
        <f>IFERROR(__xludf.DUMMYFUNCTION("""COMPUTED_VALUE"""),5293600.0)</f>
        <v>5293600</v>
      </c>
    </row>
    <row r="6537">
      <c r="A6537" s="3">
        <f>IFERROR(__xludf.DUMMYFUNCTION("""COMPUTED_VALUE"""),38674.666666666664)</f>
        <v>38674.66667</v>
      </c>
      <c r="B6537" s="2">
        <f>IFERROR(__xludf.DUMMYFUNCTION("""COMPUTED_VALUE"""),84.05)</f>
        <v>84.05</v>
      </c>
      <c r="C6537" s="2">
        <f>IFERROR(__xludf.DUMMYFUNCTION("""COMPUTED_VALUE"""),84.05)</f>
        <v>84.05</v>
      </c>
      <c r="D6537" s="2">
        <f>IFERROR(__xludf.DUMMYFUNCTION("""COMPUTED_VALUE"""),83.26)</f>
        <v>83.26</v>
      </c>
      <c r="E6537" s="2">
        <f>IFERROR(__xludf.DUMMYFUNCTION("""COMPUTED_VALUE"""),83.83)</f>
        <v>83.83</v>
      </c>
      <c r="F6537" s="2">
        <f>IFERROR(__xludf.DUMMYFUNCTION("""COMPUTED_VALUE"""),7985700.0)</f>
        <v>7985700</v>
      </c>
    </row>
    <row r="6538">
      <c r="A6538" s="3">
        <f>IFERROR(__xludf.DUMMYFUNCTION("""COMPUTED_VALUE"""),38677.666666666664)</f>
        <v>38677.66667</v>
      </c>
      <c r="B6538" s="2">
        <f>IFERROR(__xludf.DUMMYFUNCTION("""COMPUTED_VALUE"""),83.67)</f>
        <v>83.67</v>
      </c>
      <c r="C6538" s="2">
        <f>IFERROR(__xludf.DUMMYFUNCTION("""COMPUTED_VALUE"""),83.93)</f>
        <v>83.93</v>
      </c>
      <c r="D6538" s="2">
        <f>IFERROR(__xludf.DUMMYFUNCTION("""COMPUTED_VALUE"""),83.11)</f>
        <v>83.11</v>
      </c>
      <c r="E6538" s="2">
        <f>IFERROR(__xludf.DUMMYFUNCTION("""COMPUTED_VALUE"""),83.38)</f>
        <v>83.38</v>
      </c>
      <c r="F6538" s="2">
        <f>IFERROR(__xludf.DUMMYFUNCTION("""COMPUTED_VALUE"""),4807900.0)</f>
        <v>4807900</v>
      </c>
    </row>
    <row r="6539">
      <c r="A6539" s="3">
        <f>IFERROR(__xludf.DUMMYFUNCTION("""COMPUTED_VALUE"""),38678.666666666664)</f>
        <v>38678.66667</v>
      </c>
      <c r="B6539" s="2">
        <f>IFERROR(__xludf.DUMMYFUNCTION("""COMPUTED_VALUE"""),82.98)</f>
        <v>82.98</v>
      </c>
      <c r="C6539" s="2">
        <f>IFERROR(__xludf.DUMMYFUNCTION("""COMPUTED_VALUE"""),84.13)</f>
        <v>84.13</v>
      </c>
      <c r="D6539" s="2">
        <f>IFERROR(__xludf.DUMMYFUNCTION("""COMPUTED_VALUE"""),82.98)</f>
        <v>82.98</v>
      </c>
      <c r="E6539" s="2">
        <f>IFERROR(__xludf.DUMMYFUNCTION("""COMPUTED_VALUE"""),84.04)</f>
        <v>84.04</v>
      </c>
      <c r="F6539" s="2">
        <f>IFERROR(__xludf.DUMMYFUNCTION("""COMPUTED_VALUE"""),5786700.0)</f>
        <v>5786700</v>
      </c>
    </row>
    <row r="6540">
      <c r="A6540" s="3">
        <f>IFERROR(__xludf.DUMMYFUNCTION("""COMPUTED_VALUE"""),38679.666666666664)</f>
        <v>38679.66667</v>
      </c>
      <c r="B6540" s="2">
        <f>IFERROR(__xludf.DUMMYFUNCTION("""COMPUTED_VALUE"""),84.17)</f>
        <v>84.17</v>
      </c>
      <c r="C6540" s="2">
        <f>IFERROR(__xludf.DUMMYFUNCTION("""COMPUTED_VALUE"""),85.38)</f>
        <v>85.38</v>
      </c>
      <c r="D6540" s="2">
        <f>IFERROR(__xludf.DUMMYFUNCTION("""COMPUTED_VALUE"""),84.01)</f>
        <v>84.01</v>
      </c>
      <c r="E6540" s="2">
        <f>IFERROR(__xludf.DUMMYFUNCTION("""COMPUTED_VALUE"""),84.82)</f>
        <v>84.82</v>
      </c>
      <c r="F6540" s="2">
        <f>IFERROR(__xludf.DUMMYFUNCTION("""COMPUTED_VALUE"""),5400000.0)</f>
        <v>5400000</v>
      </c>
    </row>
    <row r="6541">
      <c r="A6541" s="3">
        <f>IFERROR(__xludf.DUMMYFUNCTION("""COMPUTED_VALUE"""),38681.666666666664)</f>
        <v>38681.66667</v>
      </c>
      <c r="B6541" s="2">
        <f>IFERROR(__xludf.DUMMYFUNCTION("""COMPUTED_VALUE"""),84.96)</f>
        <v>84.96</v>
      </c>
      <c r="C6541" s="2">
        <f>IFERROR(__xludf.DUMMYFUNCTION("""COMPUTED_VALUE"""),85.32)</f>
        <v>85.32</v>
      </c>
      <c r="D6541" s="2">
        <f>IFERROR(__xludf.DUMMYFUNCTION("""COMPUTED_VALUE"""),84.65)</f>
        <v>84.65</v>
      </c>
      <c r="E6541" s="2">
        <f>IFERROR(__xludf.DUMMYFUNCTION("""COMPUTED_VALUE"""),84.82)</f>
        <v>84.82</v>
      </c>
      <c r="F6541" s="2">
        <f>IFERROR(__xludf.DUMMYFUNCTION("""COMPUTED_VALUE"""),2124100.0)</f>
        <v>2124100</v>
      </c>
    </row>
    <row r="6542">
      <c r="A6542" s="3">
        <f>IFERROR(__xludf.DUMMYFUNCTION("""COMPUTED_VALUE"""),38684.666666666664)</f>
        <v>38684.66667</v>
      </c>
      <c r="B6542" s="2">
        <f>IFERROR(__xludf.DUMMYFUNCTION("""COMPUTED_VALUE"""),84.82)</f>
        <v>84.82</v>
      </c>
      <c r="C6542" s="2">
        <f>IFERROR(__xludf.DUMMYFUNCTION("""COMPUTED_VALUE"""),85.42)</f>
        <v>85.42</v>
      </c>
      <c r="D6542" s="2">
        <f>IFERROR(__xludf.DUMMYFUNCTION("""COMPUTED_VALUE"""),84.77)</f>
        <v>84.77</v>
      </c>
      <c r="E6542" s="2">
        <f>IFERROR(__xludf.DUMMYFUNCTION("""COMPUTED_VALUE"""),85.11)</f>
        <v>85.11</v>
      </c>
      <c r="F6542" s="2">
        <f>IFERROR(__xludf.DUMMYFUNCTION("""COMPUTED_VALUE"""),5198100.0)</f>
        <v>5198100</v>
      </c>
    </row>
    <row r="6543">
      <c r="A6543" s="3">
        <f>IFERROR(__xludf.DUMMYFUNCTION("""COMPUTED_VALUE"""),38685.666666666664)</f>
        <v>38685.66667</v>
      </c>
      <c r="B6543" s="2">
        <f>IFERROR(__xludf.DUMMYFUNCTION("""COMPUTED_VALUE"""),85.18)</f>
        <v>85.18</v>
      </c>
      <c r="C6543" s="2">
        <f>IFERROR(__xludf.DUMMYFUNCTION("""COMPUTED_VALUE"""),85.91)</f>
        <v>85.91</v>
      </c>
      <c r="D6543" s="2">
        <f>IFERROR(__xludf.DUMMYFUNCTION("""COMPUTED_VALUE"""),85.03)</f>
        <v>85.03</v>
      </c>
      <c r="E6543" s="2">
        <f>IFERROR(__xludf.DUMMYFUNCTION("""COMPUTED_VALUE"""),85.11)</f>
        <v>85.11</v>
      </c>
      <c r="F6543" s="2">
        <f>IFERROR(__xludf.DUMMYFUNCTION("""COMPUTED_VALUE"""),5147000.0)</f>
        <v>5147000</v>
      </c>
    </row>
    <row r="6544">
      <c r="A6544" s="3">
        <f>IFERROR(__xludf.DUMMYFUNCTION("""COMPUTED_VALUE"""),38686.666666666664)</f>
        <v>38686.66667</v>
      </c>
      <c r="B6544" s="2">
        <f>IFERROR(__xludf.DUMMYFUNCTION("""COMPUTED_VALUE"""),85.06)</f>
        <v>85.06</v>
      </c>
      <c r="C6544" s="2">
        <f>IFERROR(__xludf.DUMMYFUNCTION("""COMPUTED_VALUE"""),85.62)</f>
        <v>85.62</v>
      </c>
      <c r="D6544" s="2">
        <f>IFERROR(__xludf.DUMMYFUNCTION("""COMPUTED_VALUE"""),84.75)</f>
        <v>84.75</v>
      </c>
      <c r="E6544" s="2">
        <f>IFERROR(__xludf.DUMMYFUNCTION("""COMPUTED_VALUE"""),84.91)</f>
        <v>84.91</v>
      </c>
      <c r="F6544" s="2">
        <f>IFERROR(__xludf.DUMMYFUNCTION("""COMPUTED_VALUE"""),6021600.0)</f>
        <v>6021600</v>
      </c>
    </row>
    <row r="6545">
      <c r="A6545" s="3">
        <f>IFERROR(__xludf.DUMMYFUNCTION("""COMPUTED_VALUE"""),38687.666666666664)</f>
        <v>38687.66667</v>
      </c>
      <c r="B6545" s="2">
        <f>IFERROR(__xludf.DUMMYFUNCTION("""COMPUTED_VALUE"""),85.15)</f>
        <v>85.15</v>
      </c>
      <c r="C6545" s="2">
        <f>IFERROR(__xludf.DUMMYFUNCTION("""COMPUTED_VALUE"""),85.72)</f>
        <v>85.72</v>
      </c>
      <c r="D6545" s="2">
        <f>IFERROR(__xludf.DUMMYFUNCTION("""COMPUTED_VALUE"""),85.06)</f>
        <v>85.06</v>
      </c>
      <c r="E6545" s="2">
        <f>IFERROR(__xludf.DUMMYFUNCTION("""COMPUTED_VALUE"""),85.21)</f>
        <v>85.21</v>
      </c>
      <c r="F6545" s="2">
        <f>IFERROR(__xludf.DUMMYFUNCTION("""COMPUTED_VALUE"""),4668500.0)</f>
        <v>4668500</v>
      </c>
    </row>
    <row r="6546">
      <c r="A6546" s="3">
        <f>IFERROR(__xludf.DUMMYFUNCTION("""COMPUTED_VALUE"""),38688.666666666664)</f>
        <v>38688.66667</v>
      </c>
      <c r="B6546" s="2">
        <f>IFERROR(__xludf.DUMMYFUNCTION("""COMPUTED_VALUE"""),85.01)</f>
        <v>85.01</v>
      </c>
      <c r="C6546" s="2">
        <f>IFERROR(__xludf.DUMMYFUNCTION("""COMPUTED_VALUE"""),85.15)</f>
        <v>85.15</v>
      </c>
      <c r="D6546" s="2">
        <f>IFERROR(__xludf.DUMMYFUNCTION("""COMPUTED_VALUE"""),84.4)</f>
        <v>84.4</v>
      </c>
      <c r="E6546" s="2">
        <f>IFERROR(__xludf.DUMMYFUNCTION("""COMPUTED_VALUE"""),84.68)</f>
        <v>84.68</v>
      </c>
      <c r="F6546" s="2">
        <f>IFERROR(__xludf.DUMMYFUNCTION("""COMPUTED_VALUE"""),4730500.0)</f>
        <v>4730500</v>
      </c>
    </row>
    <row r="6547">
      <c r="A6547" s="3">
        <f>IFERROR(__xludf.DUMMYFUNCTION("""COMPUTED_VALUE"""),38691.666666666664)</f>
        <v>38691.66667</v>
      </c>
      <c r="B6547" s="2">
        <f>IFERROR(__xludf.DUMMYFUNCTION("""COMPUTED_VALUE"""),84.44)</f>
        <v>84.44</v>
      </c>
      <c r="C6547" s="2">
        <f>IFERROR(__xludf.DUMMYFUNCTION("""COMPUTED_VALUE"""),84.68)</f>
        <v>84.68</v>
      </c>
      <c r="D6547" s="2">
        <f>IFERROR(__xludf.DUMMYFUNCTION("""COMPUTED_VALUE"""),83.78)</f>
        <v>83.78</v>
      </c>
      <c r="E6547" s="2">
        <f>IFERROR(__xludf.DUMMYFUNCTION("""COMPUTED_VALUE"""),84.47)</f>
        <v>84.47</v>
      </c>
      <c r="F6547" s="2">
        <f>IFERROR(__xludf.DUMMYFUNCTION("""COMPUTED_VALUE"""),4023600.0)</f>
        <v>4023600</v>
      </c>
    </row>
    <row r="6548">
      <c r="A6548" s="3">
        <f>IFERROR(__xludf.DUMMYFUNCTION("""COMPUTED_VALUE"""),38692.666666666664)</f>
        <v>38692.66667</v>
      </c>
      <c r="B6548" s="2">
        <f>IFERROR(__xludf.DUMMYFUNCTION("""COMPUTED_VALUE"""),84.59)</f>
        <v>84.59</v>
      </c>
      <c r="C6548" s="2">
        <f>IFERROR(__xludf.DUMMYFUNCTION("""COMPUTED_VALUE"""),85.81)</f>
        <v>85.81</v>
      </c>
      <c r="D6548" s="2">
        <f>IFERROR(__xludf.DUMMYFUNCTION("""COMPUTED_VALUE"""),84.59)</f>
        <v>84.59</v>
      </c>
      <c r="E6548" s="2">
        <f>IFERROR(__xludf.DUMMYFUNCTION("""COMPUTED_VALUE"""),85.14)</f>
        <v>85.14</v>
      </c>
      <c r="F6548" s="2">
        <f>IFERROR(__xludf.DUMMYFUNCTION("""COMPUTED_VALUE"""),4871500.0)</f>
        <v>4871500</v>
      </c>
    </row>
    <row r="6549">
      <c r="A6549" s="3">
        <f>IFERROR(__xludf.DUMMYFUNCTION("""COMPUTED_VALUE"""),38693.666666666664)</f>
        <v>38693.66667</v>
      </c>
      <c r="B6549" s="2">
        <f>IFERROR(__xludf.DUMMYFUNCTION("""COMPUTED_VALUE"""),85.01)</f>
        <v>85.01</v>
      </c>
      <c r="C6549" s="2">
        <f>IFERROR(__xludf.DUMMYFUNCTION("""COMPUTED_VALUE"""),85.89)</f>
        <v>85.89</v>
      </c>
      <c r="D6549" s="2">
        <f>IFERROR(__xludf.DUMMYFUNCTION("""COMPUTED_VALUE"""),84.48)</f>
        <v>84.48</v>
      </c>
      <c r="E6549" s="2">
        <f>IFERROR(__xludf.DUMMYFUNCTION("""COMPUTED_VALUE"""),84.74)</f>
        <v>84.74</v>
      </c>
      <c r="F6549" s="2">
        <f>IFERROR(__xludf.DUMMYFUNCTION("""COMPUTED_VALUE"""),5285700.0)</f>
        <v>5285700</v>
      </c>
    </row>
    <row r="6550">
      <c r="A6550" s="3">
        <f>IFERROR(__xludf.DUMMYFUNCTION("""COMPUTED_VALUE"""),38694.666666666664)</f>
        <v>38694.66667</v>
      </c>
      <c r="B6550" s="2">
        <f>IFERROR(__xludf.DUMMYFUNCTION("""COMPUTED_VALUE"""),84.6)</f>
        <v>84.6</v>
      </c>
      <c r="C6550" s="2">
        <f>IFERROR(__xludf.DUMMYFUNCTION("""COMPUTED_VALUE"""),84.92)</f>
        <v>84.92</v>
      </c>
      <c r="D6550" s="2">
        <f>IFERROR(__xludf.DUMMYFUNCTION("""COMPUTED_VALUE"""),82.78)</f>
        <v>82.78</v>
      </c>
      <c r="E6550" s="2">
        <f>IFERROR(__xludf.DUMMYFUNCTION("""COMPUTED_VALUE"""),83.58)</f>
        <v>83.58</v>
      </c>
      <c r="F6550" s="2">
        <f>IFERROR(__xludf.DUMMYFUNCTION("""COMPUTED_VALUE"""),5786900.0)</f>
        <v>5786900</v>
      </c>
    </row>
    <row r="6551">
      <c r="A6551" s="3">
        <f>IFERROR(__xludf.DUMMYFUNCTION("""COMPUTED_VALUE"""),38695.666666666664)</f>
        <v>38695.66667</v>
      </c>
      <c r="B6551" s="2">
        <f>IFERROR(__xludf.DUMMYFUNCTION("""COMPUTED_VALUE"""),82.91)</f>
        <v>82.91</v>
      </c>
      <c r="C6551" s="2">
        <f>IFERROR(__xludf.DUMMYFUNCTION("""COMPUTED_VALUE"""),83.19)</f>
        <v>83.19</v>
      </c>
      <c r="D6551" s="2">
        <f>IFERROR(__xludf.DUMMYFUNCTION("""COMPUTED_VALUE"""),82.46)</f>
        <v>82.46</v>
      </c>
      <c r="E6551" s="2">
        <f>IFERROR(__xludf.DUMMYFUNCTION("""COMPUTED_VALUE"""),83.07)</f>
        <v>83.07</v>
      </c>
      <c r="F6551" s="2">
        <f>IFERROR(__xludf.DUMMYFUNCTION("""COMPUTED_VALUE"""),6464700.0)</f>
        <v>6464700</v>
      </c>
    </row>
    <row r="6552">
      <c r="A6552" s="3">
        <f>IFERROR(__xludf.DUMMYFUNCTION("""COMPUTED_VALUE"""),38698.666666666664)</f>
        <v>38698.66667</v>
      </c>
      <c r="B6552" s="2">
        <f>IFERROR(__xludf.DUMMYFUNCTION("""COMPUTED_VALUE"""),83.11)</f>
        <v>83.11</v>
      </c>
      <c r="C6552" s="2">
        <f>IFERROR(__xludf.DUMMYFUNCTION("""COMPUTED_VALUE"""),83.43)</f>
        <v>83.43</v>
      </c>
      <c r="D6552" s="2">
        <f>IFERROR(__xludf.DUMMYFUNCTION("""COMPUTED_VALUE"""),81.91)</f>
        <v>81.91</v>
      </c>
      <c r="E6552" s="2">
        <f>IFERROR(__xludf.DUMMYFUNCTION("""COMPUTED_VALUE"""),82.11)</f>
        <v>82.11</v>
      </c>
      <c r="F6552" s="2">
        <f>IFERROR(__xludf.DUMMYFUNCTION("""COMPUTED_VALUE"""),6044200.0)</f>
        <v>6044200</v>
      </c>
    </row>
    <row r="6553">
      <c r="A6553" s="3">
        <f>IFERROR(__xludf.DUMMYFUNCTION("""COMPUTED_VALUE"""),38699.666666666664)</f>
        <v>38699.66667</v>
      </c>
      <c r="B6553" s="2">
        <f>IFERROR(__xludf.DUMMYFUNCTION("""COMPUTED_VALUE"""),80.71)</f>
        <v>80.71</v>
      </c>
      <c r="C6553" s="2">
        <f>IFERROR(__xludf.DUMMYFUNCTION("""COMPUTED_VALUE"""),81.09)</f>
        <v>81.09</v>
      </c>
      <c r="D6553" s="2">
        <f>IFERROR(__xludf.DUMMYFUNCTION("""COMPUTED_VALUE"""),79.76)</f>
        <v>79.76</v>
      </c>
      <c r="E6553" s="2">
        <f>IFERROR(__xludf.DUMMYFUNCTION("""COMPUTED_VALUE"""),79.96)</f>
        <v>79.96</v>
      </c>
      <c r="F6553" s="2">
        <f>IFERROR(__xludf.DUMMYFUNCTION("""COMPUTED_VALUE"""),1.25454E7)</f>
        <v>12545400</v>
      </c>
    </row>
    <row r="6554">
      <c r="A6554" s="3">
        <f>IFERROR(__xludf.DUMMYFUNCTION("""COMPUTED_VALUE"""),38700.666666666664)</f>
        <v>38700.66667</v>
      </c>
      <c r="B6554" s="2">
        <f>IFERROR(__xludf.DUMMYFUNCTION("""COMPUTED_VALUE"""),79.9)</f>
        <v>79.9</v>
      </c>
      <c r="C6554" s="2">
        <f>IFERROR(__xludf.DUMMYFUNCTION("""COMPUTED_VALUE"""),80.19)</f>
        <v>80.19</v>
      </c>
      <c r="D6554" s="2">
        <f>IFERROR(__xludf.DUMMYFUNCTION("""COMPUTED_VALUE"""),79.23)</f>
        <v>79.23</v>
      </c>
      <c r="E6554" s="2">
        <f>IFERROR(__xludf.DUMMYFUNCTION("""COMPUTED_VALUE"""),79.4)</f>
        <v>79.4</v>
      </c>
      <c r="F6554" s="2">
        <f>IFERROR(__xludf.DUMMYFUNCTION("""COMPUTED_VALUE"""),7161800.0)</f>
        <v>7161800</v>
      </c>
    </row>
    <row r="6555">
      <c r="A6555" s="3">
        <f>IFERROR(__xludf.DUMMYFUNCTION("""COMPUTED_VALUE"""),38701.666666666664)</f>
        <v>38701.66667</v>
      </c>
      <c r="B6555" s="2">
        <f>IFERROR(__xludf.DUMMYFUNCTION("""COMPUTED_VALUE"""),79.16)</f>
        <v>79.16</v>
      </c>
      <c r="C6555" s="2">
        <f>IFERROR(__xludf.DUMMYFUNCTION("""COMPUTED_VALUE"""),79.88)</f>
        <v>79.88</v>
      </c>
      <c r="D6555" s="2">
        <f>IFERROR(__xludf.DUMMYFUNCTION("""COMPUTED_VALUE"""),79.04)</f>
        <v>79.04</v>
      </c>
      <c r="E6555" s="2">
        <f>IFERROR(__xludf.DUMMYFUNCTION("""COMPUTED_VALUE"""),79.78)</f>
        <v>79.78</v>
      </c>
      <c r="F6555" s="2">
        <f>IFERROR(__xludf.DUMMYFUNCTION("""COMPUTED_VALUE"""),6156400.0)</f>
        <v>6156400</v>
      </c>
    </row>
    <row r="6556">
      <c r="A6556" s="3">
        <f>IFERROR(__xludf.DUMMYFUNCTION("""COMPUTED_VALUE"""),38702.666666666664)</f>
        <v>38702.66667</v>
      </c>
      <c r="B6556" s="2">
        <f>IFERROR(__xludf.DUMMYFUNCTION("""COMPUTED_VALUE"""),80.13)</f>
        <v>80.13</v>
      </c>
      <c r="C6556" s="2">
        <f>IFERROR(__xludf.DUMMYFUNCTION("""COMPUTED_VALUE"""),80.23)</f>
        <v>80.23</v>
      </c>
      <c r="D6556" s="2">
        <f>IFERROR(__xludf.DUMMYFUNCTION("""COMPUTED_VALUE"""),79.28)</f>
        <v>79.28</v>
      </c>
      <c r="E6556" s="2">
        <f>IFERROR(__xludf.DUMMYFUNCTION("""COMPUTED_VALUE"""),79.63)</f>
        <v>79.63</v>
      </c>
      <c r="F6556" s="2">
        <f>IFERROR(__xludf.DUMMYFUNCTION("""COMPUTED_VALUE"""),7398200.0)</f>
        <v>7398200</v>
      </c>
    </row>
    <row r="6557">
      <c r="A6557" s="3">
        <f>IFERROR(__xludf.DUMMYFUNCTION("""COMPUTED_VALUE"""),38705.666666666664)</f>
        <v>38705.66667</v>
      </c>
      <c r="B6557" s="2">
        <f>IFERROR(__xludf.DUMMYFUNCTION("""COMPUTED_VALUE"""),79.5)</f>
        <v>79.5</v>
      </c>
      <c r="C6557" s="2">
        <f>IFERROR(__xludf.DUMMYFUNCTION("""COMPUTED_VALUE"""),79.85)</f>
        <v>79.85</v>
      </c>
      <c r="D6557" s="2">
        <f>IFERROR(__xludf.DUMMYFUNCTION("""COMPUTED_VALUE"""),78.94)</f>
        <v>78.94</v>
      </c>
      <c r="E6557" s="2">
        <f>IFERROR(__xludf.DUMMYFUNCTION("""COMPUTED_VALUE"""),79.05)</f>
        <v>79.05</v>
      </c>
      <c r="F6557" s="2">
        <f>IFERROR(__xludf.DUMMYFUNCTION("""COMPUTED_VALUE"""),4984600.0)</f>
        <v>4984600</v>
      </c>
    </row>
    <row r="6558">
      <c r="A6558" s="3">
        <f>IFERROR(__xludf.DUMMYFUNCTION("""COMPUTED_VALUE"""),38706.666666666664)</f>
        <v>38706.66667</v>
      </c>
      <c r="B6558" s="2">
        <f>IFERROR(__xludf.DUMMYFUNCTION("""COMPUTED_VALUE"""),79.23)</f>
        <v>79.23</v>
      </c>
      <c r="C6558" s="2">
        <f>IFERROR(__xludf.DUMMYFUNCTION("""COMPUTED_VALUE"""),79.37)</f>
        <v>79.37</v>
      </c>
      <c r="D6558" s="2">
        <f>IFERROR(__xludf.DUMMYFUNCTION("""COMPUTED_VALUE"""),78.38)</f>
        <v>78.38</v>
      </c>
      <c r="E6558" s="2">
        <f>IFERROR(__xludf.DUMMYFUNCTION("""COMPUTED_VALUE"""),78.78)</f>
        <v>78.78</v>
      </c>
      <c r="F6558" s="2">
        <f>IFERROR(__xludf.DUMMYFUNCTION("""COMPUTED_VALUE"""),5276200.0)</f>
        <v>5276200</v>
      </c>
    </row>
    <row r="6559">
      <c r="A6559" s="3">
        <f>IFERROR(__xludf.DUMMYFUNCTION("""COMPUTED_VALUE"""),38707.666666666664)</f>
        <v>38707.66667</v>
      </c>
      <c r="B6559" s="2">
        <f>IFERROR(__xludf.DUMMYFUNCTION("""COMPUTED_VALUE"""),78.76)</f>
        <v>78.76</v>
      </c>
      <c r="C6559" s="2">
        <f>IFERROR(__xludf.DUMMYFUNCTION("""COMPUTED_VALUE"""),80.23)</f>
        <v>80.23</v>
      </c>
      <c r="D6559" s="2">
        <f>IFERROR(__xludf.DUMMYFUNCTION("""COMPUTED_VALUE"""),78.76)</f>
        <v>78.76</v>
      </c>
      <c r="E6559" s="2">
        <f>IFERROR(__xludf.DUMMYFUNCTION("""COMPUTED_VALUE"""),79.39)</f>
        <v>79.39</v>
      </c>
      <c r="F6559" s="2">
        <f>IFERROR(__xludf.DUMMYFUNCTION("""COMPUTED_VALUE"""),6846800.0)</f>
        <v>6846800</v>
      </c>
    </row>
    <row r="6560">
      <c r="A6560" s="3">
        <f>IFERROR(__xludf.DUMMYFUNCTION("""COMPUTED_VALUE"""),38708.666666666664)</f>
        <v>38708.66667</v>
      </c>
      <c r="B6560" s="2">
        <f>IFERROR(__xludf.DUMMYFUNCTION("""COMPUTED_VALUE"""),78.91)</f>
        <v>78.91</v>
      </c>
      <c r="C6560" s="2">
        <f>IFERROR(__xludf.DUMMYFUNCTION("""COMPUTED_VALUE"""),79.5)</f>
        <v>79.5</v>
      </c>
      <c r="D6560" s="2">
        <f>IFERROR(__xludf.DUMMYFUNCTION("""COMPUTED_VALUE"""),78.61)</f>
        <v>78.61</v>
      </c>
      <c r="E6560" s="2">
        <f>IFERROR(__xludf.DUMMYFUNCTION("""COMPUTED_VALUE"""),79.49)</f>
        <v>79.49</v>
      </c>
      <c r="F6560" s="2">
        <f>IFERROR(__xludf.DUMMYFUNCTION("""COMPUTED_VALUE"""),6574200.0)</f>
        <v>6574200</v>
      </c>
    </row>
    <row r="6561">
      <c r="A6561" s="3">
        <f>IFERROR(__xludf.DUMMYFUNCTION("""COMPUTED_VALUE"""),38709.666666666664)</f>
        <v>38709.66667</v>
      </c>
      <c r="B6561" s="2">
        <f>IFERROR(__xludf.DUMMYFUNCTION("""COMPUTED_VALUE"""),80.23)</f>
        <v>80.23</v>
      </c>
      <c r="C6561" s="2">
        <f>IFERROR(__xludf.DUMMYFUNCTION("""COMPUTED_VALUE"""),80.42)</f>
        <v>80.42</v>
      </c>
      <c r="D6561" s="2">
        <f>IFERROR(__xludf.DUMMYFUNCTION("""COMPUTED_VALUE"""),79.65)</f>
        <v>79.65</v>
      </c>
      <c r="E6561" s="2">
        <f>IFERROR(__xludf.DUMMYFUNCTION("""COMPUTED_VALUE"""),79.74)</f>
        <v>79.74</v>
      </c>
      <c r="F6561" s="2">
        <f>IFERROR(__xludf.DUMMYFUNCTION("""COMPUTED_VALUE"""),3616200.0)</f>
        <v>3616200</v>
      </c>
    </row>
    <row r="6562">
      <c r="A6562" s="3">
        <f>IFERROR(__xludf.DUMMYFUNCTION("""COMPUTED_VALUE"""),38713.666666666664)</f>
        <v>38713.66667</v>
      </c>
      <c r="B6562" s="2">
        <f>IFERROR(__xludf.DUMMYFUNCTION("""COMPUTED_VALUE"""),79.74)</f>
        <v>79.74</v>
      </c>
      <c r="C6562" s="2">
        <f>IFERROR(__xludf.DUMMYFUNCTION("""COMPUTED_VALUE"""),80.71)</f>
        <v>80.71</v>
      </c>
      <c r="D6562" s="2">
        <f>IFERROR(__xludf.DUMMYFUNCTION("""COMPUTED_VALUE"""),79.17)</f>
        <v>79.17</v>
      </c>
      <c r="E6562" s="2">
        <f>IFERROR(__xludf.DUMMYFUNCTION("""COMPUTED_VALUE"""),79.27)</f>
        <v>79.27</v>
      </c>
      <c r="F6562" s="2">
        <f>IFERROR(__xludf.DUMMYFUNCTION("""COMPUTED_VALUE"""),4389600.0)</f>
        <v>4389600</v>
      </c>
    </row>
    <row r="6563">
      <c r="A6563" s="3">
        <f>IFERROR(__xludf.DUMMYFUNCTION("""COMPUTED_VALUE"""),38714.666666666664)</f>
        <v>38714.66667</v>
      </c>
      <c r="B6563" s="2">
        <f>IFERROR(__xludf.DUMMYFUNCTION("""COMPUTED_VALUE"""),79.37)</f>
        <v>79.37</v>
      </c>
      <c r="C6563" s="2">
        <f>IFERROR(__xludf.DUMMYFUNCTION("""COMPUTED_VALUE"""),79.82)</f>
        <v>79.82</v>
      </c>
      <c r="D6563" s="2">
        <f>IFERROR(__xludf.DUMMYFUNCTION("""COMPUTED_VALUE"""),79.09)</f>
        <v>79.09</v>
      </c>
      <c r="E6563" s="2">
        <f>IFERROR(__xludf.DUMMYFUNCTION("""COMPUTED_VALUE"""),79.32)</f>
        <v>79.32</v>
      </c>
      <c r="F6563" s="2">
        <f>IFERROR(__xludf.DUMMYFUNCTION("""COMPUTED_VALUE"""),4105200.0)</f>
        <v>4105200</v>
      </c>
    </row>
    <row r="6564">
      <c r="A6564" s="3">
        <f>IFERROR(__xludf.DUMMYFUNCTION("""COMPUTED_VALUE"""),38715.666666666664)</f>
        <v>38715.66667</v>
      </c>
      <c r="B6564" s="2">
        <f>IFERROR(__xludf.DUMMYFUNCTION("""COMPUTED_VALUE"""),79.09)</f>
        <v>79.09</v>
      </c>
      <c r="C6564" s="2">
        <f>IFERROR(__xludf.DUMMYFUNCTION("""COMPUTED_VALUE"""),79.34)</f>
        <v>79.34</v>
      </c>
      <c r="D6564" s="2">
        <f>IFERROR(__xludf.DUMMYFUNCTION("""COMPUTED_VALUE"""),78.53)</f>
        <v>78.53</v>
      </c>
      <c r="E6564" s="2">
        <f>IFERROR(__xludf.DUMMYFUNCTION("""COMPUTED_VALUE"""),78.71)</f>
        <v>78.71</v>
      </c>
      <c r="F6564" s="2">
        <f>IFERROR(__xludf.DUMMYFUNCTION("""COMPUTED_VALUE"""),3958600.0)</f>
        <v>3958600</v>
      </c>
    </row>
    <row r="6565">
      <c r="A6565" s="3">
        <f>IFERROR(__xludf.DUMMYFUNCTION("""COMPUTED_VALUE"""),38716.666666666664)</f>
        <v>38716.66667</v>
      </c>
      <c r="B6565" s="2">
        <f>IFERROR(__xludf.DUMMYFUNCTION("""COMPUTED_VALUE"""),78.18)</f>
        <v>78.18</v>
      </c>
      <c r="C6565" s="2">
        <f>IFERROR(__xludf.DUMMYFUNCTION("""COMPUTED_VALUE"""),78.79)</f>
        <v>78.79</v>
      </c>
      <c r="D6565" s="2">
        <f>IFERROR(__xludf.DUMMYFUNCTION("""COMPUTED_VALUE"""),77.9)</f>
        <v>77.9</v>
      </c>
      <c r="E6565" s="2">
        <f>IFERROR(__xludf.DUMMYFUNCTION("""COMPUTED_VALUE"""),78.51)</f>
        <v>78.51</v>
      </c>
      <c r="F6565" s="2">
        <f>IFERROR(__xludf.DUMMYFUNCTION("""COMPUTED_VALUE"""),5449000.0)</f>
        <v>5449000</v>
      </c>
    </row>
    <row r="6566">
      <c r="A6566" s="3">
        <f>IFERROR(__xludf.DUMMYFUNCTION("""COMPUTED_VALUE"""),38720.666666666664)</f>
        <v>38720.66667</v>
      </c>
      <c r="B6566" s="2">
        <f>IFERROR(__xludf.DUMMYFUNCTION("""COMPUTED_VALUE"""),78.75)</f>
        <v>78.75</v>
      </c>
      <c r="C6566" s="2">
        <f>IFERROR(__xludf.DUMMYFUNCTION("""COMPUTED_VALUE"""),78.85)</f>
        <v>78.85</v>
      </c>
      <c r="D6566" s="2">
        <f>IFERROR(__xludf.DUMMYFUNCTION("""COMPUTED_VALUE"""),77.19)</f>
        <v>77.19</v>
      </c>
      <c r="E6566" s="2">
        <f>IFERROR(__xludf.DUMMYFUNCTION("""COMPUTED_VALUE"""),78.38)</f>
        <v>78.38</v>
      </c>
      <c r="F6566" s="2">
        <f>IFERROR(__xludf.DUMMYFUNCTION("""COMPUTED_VALUE"""),1.17152E7)</f>
        <v>11715200</v>
      </c>
    </row>
    <row r="6567">
      <c r="A6567" s="3">
        <f>IFERROR(__xludf.DUMMYFUNCTION("""COMPUTED_VALUE"""),38721.666666666664)</f>
        <v>38721.66667</v>
      </c>
      <c r="B6567" s="2">
        <f>IFERROR(__xludf.DUMMYFUNCTION("""COMPUTED_VALUE"""),78.51)</f>
        <v>78.51</v>
      </c>
      <c r="C6567" s="2">
        <f>IFERROR(__xludf.DUMMYFUNCTION("""COMPUTED_VALUE"""),78.8)</f>
        <v>78.8</v>
      </c>
      <c r="D6567" s="2">
        <f>IFERROR(__xludf.DUMMYFUNCTION("""COMPUTED_VALUE"""),77.68)</f>
        <v>77.68</v>
      </c>
      <c r="E6567" s="2">
        <f>IFERROR(__xludf.DUMMYFUNCTION("""COMPUTED_VALUE"""),78.28)</f>
        <v>78.28</v>
      </c>
      <c r="F6567" s="2">
        <f>IFERROR(__xludf.DUMMYFUNCTION("""COMPUTED_VALUE"""),9840600.0)</f>
        <v>9840600</v>
      </c>
    </row>
    <row r="6568">
      <c r="A6568" s="3">
        <f>IFERROR(__xludf.DUMMYFUNCTION("""COMPUTED_VALUE"""),38722.666666666664)</f>
        <v>38722.66667</v>
      </c>
      <c r="B6568" s="2">
        <f>IFERROR(__xludf.DUMMYFUNCTION("""COMPUTED_VALUE"""),77.75)</f>
        <v>77.75</v>
      </c>
      <c r="C6568" s="2">
        <f>IFERROR(__xludf.DUMMYFUNCTION("""COMPUTED_VALUE"""),79.18)</f>
        <v>79.18</v>
      </c>
      <c r="D6568" s="2">
        <f>IFERROR(__xludf.DUMMYFUNCTION("""COMPUTED_VALUE"""),77.37)</f>
        <v>77.37</v>
      </c>
      <c r="E6568" s="2">
        <f>IFERROR(__xludf.DUMMYFUNCTION("""COMPUTED_VALUE"""),78.8)</f>
        <v>78.8</v>
      </c>
      <c r="F6568" s="2">
        <f>IFERROR(__xludf.DUMMYFUNCTION("""COMPUTED_VALUE"""),7213500.0)</f>
        <v>7213500</v>
      </c>
    </row>
    <row r="6569">
      <c r="A6569" s="3">
        <f>IFERROR(__xludf.DUMMYFUNCTION("""COMPUTED_VALUE"""),38723.666666666664)</f>
        <v>38723.66667</v>
      </c>
      <c r="B6569" s="2">
        <f>IFERROR(__xludf.DUMMYFUNCTION("""COMPUTED_VALUE"""),80.19)</f>
        <v>80.19</v>
      </c>
      <c r="C6569" s="2">
        <f>IFERROR(__xludf.DUMMYFUNCTION("""COMPUTED_VALUE"""),81.22)</f>
        <v>81.22</v>
      </c>
      <c r="D6569" s="2">
        <f>IFERROR(__xludf.DUMMYFUNCTION("""COMPUTED_VALUE"""),79.67)</f>
        <v>79.67</v>
      </c>
      <c r="E6569" s="2">
        <f>IFERROR(__xludf.DUMMYFUNCTION("""COMPUTED_VALUE"""),81.14)</f>
        <v>81.14</v>
      </c>
      <c r="F6569" s="2">
        <f>IFERROR(__xludf.DUMMYFUNCTION("""COMPUTED_VALUE"""),8197400.0)</f>
        <v>8197400</v>
      </c>
    </row>
    <row r="6570">
      <c r="A6570" s="3">
        <f>IFERROR(__xludf.DUMMYFUNCTION("""COMPUTED_VALUE"""),38726.666666666664)</f>
        <v>38726.66667</v>
      </c>
      <c r="B6570" s="2">
        <f>IFERROR(__xludf.DUMMYFUNCTION("""COMPUTED_VALUE"""),80.14)</f>
        <v>80.14</v>
      </c>
      <c r="C6570" s="2">
        <f>IFERROR(__xludf.DUMMYFUNCTION("""COMPUTED_VALUE"""),80.47)</f>
        <v>80.47</v>
      </c>
      <c r="D6570" s="2">
        <f>IFERROR(__xludf.DUMMYFUNCTION("""COMPUTED_VALUE"""),79.64)</f>
        <v>79.64</v>
      </c>
      <c r="E6570" s="2">
        <f>IFERROR(__xludf.DUMMYFUNCTION("""COMPUTED_VALUE"""),79.98)</f>
        <v>79.98</v>
      </c>
      <c r="F6570" s="2">
        <f>IFERROR(__xludf.DUMMYFUNCTION("""COMPUTED_VALUE"""),6858200.0)</f>
        <v>6858200</v>
      </c>
    </row>
    <row r="6571">
      <c r="A6571" s="3">
        <f>IFERROR(__xludf.DUMMYFUNCTION("""COMPUTED_VALUE"""),38727.666666666664)</f>
        <v>38727.66667</v>
      </c>
      <c r="B6571" s="2">
        <f>IFERROR(__xludf.DUMMYFUNCTION("""COMPUTED_VALUE"""),79.42)</f>
        <v>79.42</v>
      </c>
      <c r="C6571" s="2">
        <f>IFERROR(__xludf.DUMMYFUNCTION("""COMPUTED_VALUE"""),80.35)</f>
        <v>80.35</v>
      </c>
      <c r="D6571" s="2">
        <f>IFERROR(__xludf.DUMMYFUNCTION("""COMPUTED_VALUE"""),79.39)</f>
        <v>79.39</v>
      </c>
      <c r="E6571" s="2">
        <f>IFERROR(__xludf.DUMMYFUNCTION("""COMPUTED_VALUE"""),80.3)</f>
        <v>80.3</v>
      </c>
      <c r="F6571" s="2">
        <f>IFERROR(__xludf.DUMMYFUNCTION("""COMPUTED_VALUE"""),5701000.0)</f>
        <v>5701000</v>
      </c>
    </row>
    <row r="6572">
      <c r="A6572" s="3">
        <f>IFERROR(__xludf.DUMMYFUNCTION("""COMPUTED_VALUE"""),38728.666666666664)</f>
        <v>38728.66667</v>
      </c>
      <c r="B6572" s="2">
        <f>IFERROR(__xludf.DUMMYFUNCTION("""COMPUTED_VALUE"""),80.59)</f>
        <v>80.59</v>
      </c>
      <c r="C6572" s="2">
        <f>IFERROR(__xludf.DUMMYFUNCTION("""COMPUTED_VALUE"""),81.01)</f>
        <v>81.01</v>
      </c>
      <c r="D6572" s="2">
        <f>IFERROR(__xludf.DUMMYFUNCTION("""COMPUTED_VALUE"""),79.66)</f>
        <v>79.66</v>
      </c>
      <c r="E6572" s="2">
        <f>IFERROR(__xludf.DUMMYFUNCTION("""COMPUTED_VALUE"""),80.4)</f>
        <v>80.4</v>
      </c>
      <c r="F6572" s="2">
        <f>IFERROR(__xludf.DUMMYFUNCTION("""COMPUTED_VALUE"""),5776500.0)</f>
        <v>5776500</v>
      </c>
    </row>
    <row r="6573">
      <c r="A6573" s="3">
        <f>IFERROR(__xludf.DUMMYFUNCTION("""COMPUTED_VALUE"""),38729.666666666664)</f>
        <v>38729.66667</v>
      </c>
      <c r="B6573" s="2">
        <f>IFERROR(__xludf.DUMMYFUNCTION("""COMPUTED_VALUE"""),80.06)</f>
        <v>80.06</v>
      </c>
      <c r="C6573" s="2">
        <f>IFERROR(__xludf.DUMMYFUNCTION("""COMPUTED_VALUE"""),80.2)</f>
        <v>80.2</v>
      </c>
      <c r="D6573" s="2">
        <f>IFERROR(__xludf.DUMMYFUNCTION("""COMPUTED_VALUE"""),79.66)</f>
        <v>79.66</v>
      </c>
      <c r="E6573" s="2">
        <f>IFERROR(__xludf.DUMMYFUNCTION("""COMPUTED_VALUE"""),79.82)</f>
        <v>79.82</v>
      </c>
      <c r="F6573" s="2">
        <f>IFERROR(__xludf.DUMMYFUNCTION("""COMPUTED_VALUE"""),4926500.0)</f>
        <v>4926500</v>
      </c>
    </row>
    <row r="6574">
      <c r="A6574" s="3">
        <f>IFERROR(__xludf.DUMMYFUNCTION("""COMPUTED_VALUE"""),38730.666666666664)</f>
        <v>38730.66667</v>
      </c>
      <c r="B6574" s="2">
        <f>IFERROR(__xludf.DUMMYFUNCTION("""COMPUTED_VALUE"""),79.28)</f>
        <v>79.28</v>
      </c>
      <c r="C6574" s="2">
        <f>IFERROR(__xludf.DUMMYFUNCTION("""COMPUTED_VALUE"""),79.71)</f>
        <v>79.71</v>
      </c>
      <c r="D6574" s="2">
        <f>IFERROR(__xludf.DUMMYFUNCTION("""COMPUTED_VALUE"""),78.8)</f>
        <v>78.8</v>
      </c>
      <c r="E6574" s="2">
        <f>IFERROR(__xludf.DUMMYFUNCTION("""COMPUTED_VALUE"""),79.44)</f>
        <v>79.44</v>
      </c>
      <c r="F6574" s="2">
        <f>IFERROR(__xludf.DUMMYFUNCTION("""COMPUTED_VALUE"""),6921700.0)</f>
        <v>6921700</v>
      </c>
    </row>
    <row r="6575">
      <c r="A6575" s="3">
        <f>IFERROR(__xludf.DUMMYFUNCTION("""COMPUTED_VALUE"""),38734.666666666664)</f>
        <v>38734.66667</v>
      </c>
      <c r="B6575" s="2">
        <f>IFERROR(__xludf.DUMMYFUNCTION("""COMPUTED_VALUE"""),79.09)</f>
        <v>79.09</v>
      </c>
      <c r="C6575" s="2">
        <f>IFERROR(__xludf.DUMMYFUNCTION("""COMPUTED_VALUE"""),79.43)</f>
        <v>79.43</v>
      </c>
      <c r="D6575" s="2">
        <f>IFERROR(__xludf.DUMMYFUNCTION("""COMPUTED_VALUE"""),78.84)</f>
        <v>78.84</v>
      </c>
      <c r="E6575" s="2">
        <f>IFERROR(__xludf.DUMMYFUNCTION("""COMPUTED_VALUE"""),79.28)</f>
        <v>79.28</v>
      </c>
      <c r="F6575" s="2">
        <f>IFERROR(__xludf.DUMMYFUNCTION("""COMPUTED_VALUE"""),8761700.0)</f>
        <v>8761700</v>
      </c>
    </row>
    <row r="6576">
      <c r="A6576" s="3">
        <f>IFERROR(__xludf.DUMMYFUNCTION("""COMPUTED_VALUE"""),38735.666666666664)</f>
        <v>38735.66667</v>
      </c>
      <c r="B6576" s="2">
        <f>IFERROR(__xludf.DUMMYFUNCTION("""COMPUTED_VALUE"""),80.23)</f>
        <v>80.23</v>
      </c>
      <c r="C6576" s="2">
        <f>IFERROR(__xludf.DUMMYFUNCTION("""COMPUTED_VALUE"""),80.9)</f>
        <v>80.9</v>
      </c>
      <c r="D6576" s="2">
        <f>IFERROR(__xludf.DUMMYFUNCTION("""COMPUTED_VALUE"""),79.78)</f>
        <v>79.78</v>
      </c>
      <c r="E6576" s="2">
        <f>IFERROR(__xludf.DUMMYFUNCTION("""COMPUTED_VALUE"""),80.67)</f>
        <v>80.67</v>
      </c>
      <c r="F6576" s="2">
        <f>IFERROR(__xludf.DUMMYFUNCTION("""COMPUTED_VALUE"""),1.10328E7)</f>
        <v>11032800</v>
      </c>
    </row>
    <row r="6577">
      <c r="A6577" s="3">
        <f>IFERROR(__xludf.DUMMYFUNCTION("""COMPUTED_VALUE"""),38736.666666666664)</f>
        <v>38736.66667</v>
      </c>
      <c r="B6577" s="2">
        <f>IFERROR(__xludf.DUMMYFUNCTION("""COMPUTED_VALUE"""),80.37)</f>
        <v>80.37</v>
      </c>
      <c r="C6577" s="2">
        <f>IFERROR(__xludf.DUMMYFUNCTION("""COMPUTED_VALUE"""),80.61)</f>
        <v>80.61</v>
      </c>
      <c r="D6577" s="2">
        <f>IFERROR(__xludf.DUMMYFUNCTION("""COMPUTED_VALUE"""),79.3)</f>
        <v>79.3</v>
      </c>
      <c r="E6577" s="2">
        <f>IFERROR(__xludf.DUMMYFUNCTION("""COMPUTED_VALUE"""),79.36)</f>
        <v>79.36</v>
      </c>
      <c r="F6577" s="2">
        <f>IFERROR(__xludf.DUMMYFUNCTION("""COMPUTED_VALUE"""),6484000.0)</f>
        <v>6484000</v>
      </c>
    </row>
    <row r="6578">
      <c r="A6578" s="3">
        <f>IFERROR(__xludf.DUMMYFUNCTION("""COMPUTED_VALUE"""),38737.666666666664)</f>
        <v>38737.66667</v>
      </c>
      <c r="B6578" s="2">
        <f>IFERROR(__xludf.DUMMYFUNCTION("""COMPUTED_VALUE"""),79.32)</f>
        <v>79.32</v>
      </c>
      <c r="C6578" s="2">
        <f>IFERROR(__xludf.DUMMYFUNCTION("""COMPUTED_VALUE"""),79.33)</f>
        <v>79.33</v>
      </c>
      <c r="D6578" s="2">
        <f>IFERROR(__xludf.DUMMYFUNCTION("""COMPUTED_VALUE"""),77.61)</f>
        <v>77.61</v>
      </c>
      <c r="E6578" s="2">
        <f>IFERROR(__xludf.DUMMYFUNCTION("""COMPUTED_VALUE"""),77.71)</f>
        <v>77.71</v>
      </c>
      <c r="F6578" s="2">
        <f>IFERROR(__xludf.DUMMYFUNCTION("""COMPUTED_VALUE"""),8614500.0)</f>
        <v>8614500</v>
      </c>
    </row>
    <row r="6579">
      <c r="A6579" s="3">
        <f>IFERROR(__xludf.DUMMYFUNCTION("""COMPUTED_VALUE"""),38740.666666666664)</f>
        <v>38740.66667</v>
      </c>
      <c r="B6579" s="2">
        <f>IFERROR(__xludf.DUMMYFUNCTION("""COMPUTED_VALUE"""),77.68)</f>
        <v>77.68</v>
      </c>
      <c r="C6579" s="2">
        <f>IFERROR(__xludf.DUMMYFUNCTION("""COMPUTED_VALUE"""),78.25)</f>
        <v>78.25</v>
      </c>
      <c r="D6579" s="2">
        <f>IFERROR(__xludf.DUMMYFUNCTION("""COMPUTED_VALUE"""),77.29)</f>
        <v>77.29</v>
      </c>
      <c r="E6579" s="2">
        <f>IFERROR(__xludf.DUMMYFUNCTION("""COMPUTED_VALUE"""),77.76)</f>
        <v>77.76</v>
      </c>
      <c r="F6579" s="2">
        <f>IFERROR(__xludf.DUMMYFUNCTION("""COMPUTED_VALUE"""),6114100.0)</f>
        <v>6114100</v>
      </c>
    </row>
    <row r="6580">
      <c r="A6580" s="3">
        <f>IFERROR(__xludf.DUMMYFUNCTION("""COMPUTED_VALUE"""),38741.666666666664)</f>
        <v>38741.66667</v>
      </c>
      <c r="B6580" s="2">
        <f>IFERROR(__xludf.DUMMYFUNCTION("""COMPUTED_VALUE"""),77.74)</f>
        <v>77.74</v>
      </c>
      <c r="C6580" s="2">
        <f>IFERROR(__xludf.DUMMYFUNCTION("""COMPUTED_VALUE"""),78.47)</f>
        <v>78.47</v>
      </c>
      <c r="D6580" s="2">
        <f>IFERROR(__xludf.DUMMYFUNCTION("""COMPUTED_VALUE"""),77.18)</f>
        <v>77.18</v>
      </c>
      <c r="E6580" s="2">
        <f>IFERROR(__xludf.DUMMYFUNCTION("""COMPUTED_VALUE"""),77.23)</f>
        <v>77.23</v>
      </c>
      <c r="F6580" s="2">
        <f>IFERROR(__xludf.DUMMYFUNCTION("""COMPUTED_VALUE"""),6069000.0)</f>
        <v>6069000</v>
      </c>
    </row>
    <row r="6581">
      <c r="A6581" s="3">
        <f>IFERROR(__xludf.DUMMYFUNCTION("""COMPUTED_VALUE"""),38742.666666666664)</f>
        <v>38742.66667</v>
      </c>
      <c r="B6581" s="2">
        <f>IFERROR(__xludf.DUMMYFUNCTION("""COMPUTED_VALUE"""),77.42)</f>
        <v>77.42</v>
      </c>
      <c r="C6581" s="2">
        <f>IFERROR(__xludf.DUMMYFUNCTION("""COMPUTED_VALUE"""),77.96)</f>
        <v>77.96</v>
      </c>
      <c r="D6581" s="2">
        <f>IFERROR(__xludf.DUMMYFUNCTION("""COMPUTED_VALUE"""),77.0)</f>
        <v>77</v>
      </c>
      <c r="E6581" s="2">
        <f>IFERROR(__xludf.DUMMYFUNCTION("""COMPUTED_VALUE"""),77.28)</f>
        <v>77.28</v>
      </c>
      <c r="F6581" s="2">
        <f>IFERROR(__xludf.DUMMYFUNCTION("""COMPUTED_VALUE"""),6374300.0)</f>
        <v>6374300</v>
      </c>
    </row>
    <row r="6582">
      <c r="A6582" s="3">
        <f>IFERROR(__xludf.DUMMYFUNCTION("""COMPUTED_VALUE"""),38743.666666666664)</f>
        <v>38743.66667</v>
      </c>
      <c r="B6582" s="2">
        <f>IFERROR(__xludf.DUMMYFUNCTION("""COMPUTED_VALUE"""),77.85)</f>
        <v>77.85</v>
      </c>
      <c r="C6582" s="2">
        <f>IFERROR(__xludf.DUMMYFUNCTION("""COMPUTED_VALUE"""),77.99)</f>
        <v>77.99</v>
      </c>
      <c r="D6582" s="2">
        <f>IFERROR(__xludf.DUMMYFUNCTION("""COMPUTED_VALUE"""),76.98)</f>
        <v>76.98</v>
      </c>
      <c r="E6582" s="2">
        <f>IFERROR(__xludf.DUMMYFUNCTION("""COMPUTED_VALUE"""),77.1)</f>
        <v>77.1</v>
      </c>
      <c r="F6582" s="2">
        <f>IFERROR(__xludf.DUMMYFUNCTION("""COMPUTED_VALUE"""),7810200.0)</f>
        <v>7810200</v>
      </c>
    </row>
    <row r="6583">
      <c r="A6583" s="3">
        <f>IFERROR(__xludf.DUMMYFUNCTION("""COMPUTED_VALUE"""),38744.666666666664)</f>
        <v>38744.66667</v>
      </c>
      <c r="B6583" s="2">
        <f>IFERROR(__xludf.DUMMYFUNCTION("""COMPUTED_VALUE"""),77.13)</f>
        <v>77.13</v>
      </c>
      <c r="C6583" s="2">
        <f>IFERROR(__xludf.DUMMYFUNCTION("""COMPUTED_VALUE"""),78.1)</f>
        <v>78.1</v>
      </c>
      <c r="D6583" s="2">
        <f>IFERROR(__xludf.DUMMYFUNCTION("""COMPUTED_VALUE"""),77.13)</f>
        <v>77.13</v>
      </c>
      <c r="E6583" s="2">
        <f>IFERROR(__xludf.DUMMYFUNCTION("""COMPUTED_VALUE"""),77.39)</f>
        <v>77.39</v>
      </c>
      <c r="F6583" s="2">
        <f>IFERROR(__xludf.DUMMYFUNCTION("""COMPUTED_VALUE"""),6103400.0)</f>
        <v>6103400</v>
      </c>
    </row>
    <row r="6584">
      <c r="A6584" s="3">
        <f>IFERROR(__xludf.DUMMYFUNCTION("""COMPUTED_VALUE"""),38747.666666666664)</f>
        <v>38747.66667</v>
      </c>
      <c r="B6584" s="2">
        <f>IFERROR(__xludf.DUMMYFUNCTION("""COMPUTED_VALUE"""),76.61)</f>
        <v>76.61</v>
      </c>
      <c r="C6584" s="2">
        <f>IFERROR(__xludf.DUMMYFUNCTION("""COMPUTED_VALUE"""),78.14)</f>
        <v>78.14</v>
      </c>
      <c r="D6584" s="2">
        <f>IFERROR(__xludf.DUMMYFUNCTION("""COMPUTED_VALUE"""),76.61)</f>
        <v>76.61</v>
      </c>
      <c r="E6584" s="2">
        <f>IFERROR(__xludf.DUMMYFUNCTION("""COMPUTED_VALUE"""),77.97)</f>
        <v>77.97</v>
      </c>
      <c r="F6584" s="2">
        <f>IFERROR(__xludf.DUMMYFUNCTION("""COMPUTED_VALUE"""),5325100.0)</f>
        <v>5325100</v>
      </c>
    </row>
    <row r="6585">
      <c r="A6585" s="3">
        <f>IFERROR(__xludf.DUMMYFUNCTION("""COMPUTED_VALUE"""),38748.666666666664)</f>
        <v>38748.66667</v>
      </c>
      <c r="B6585" s="2">
        <f>IFERROR(__xludf.DUMMYFUNCTION("""COMPUTED_VALUE"""),77.85)</f>
        <v>77.85</v>
      </c>
      <c r="C6585" s="2">
        <f>IFERROR(__xludf.DUMMYFUNCTION("""COMPUTED_VALUE"""),78.32)</f>
        <v>78.32</v>
      </c>
      <c r="D6585" s="2">
        <f>IFERROR(__xludf.DUMMYFUNCTION("""COMPUTED_VALUE"""),77.53)</f>
        <v>77.53</v>
      </c>
      <c r="E6585" s="2">
        <f>IFERROR(__xludf.DUMMYFUNCTION("""COMPUTED_VALUE"""),77.65)</f>
        <v>77.65</v>
      </c>
      <c r="F6585" s="2">
        <f>IFERROR(__xludf.DUMMYFUNCTION("""COMPUTED_VALUE"""),6771600.0)</f>
        <v>6771600</v>
      </c>
    </row>
    <row r="6586">
      <c r="A6586" s="3">
        <f>IFERROR(__xludf.DUMMYFUNCTION("""COMPUTED_VALUE"""),38749.666666666664)</f>
        <v>38749.66667</v>
      </c>
      <c r="B6586" s="2">
        <f>IFERROR(__xludf.DUMMYFUNCTION("""COMPUTED_VALUE"""),77.27)</f>
        <v>77.27</v>
      </c>
      <c r="C6586" s="2">
        <f>IFERROR(__xludf.DUMMYFUNCTION("""COMPUTED_VALUE"""),78.55)</f>
        <v>78.55</v>
      </c>
      <c r="D6586" s="2">
        <f>IFERROR(__xludf.DUMMYFUNCTION("""COMPUTED_VALUE"""),77.03)</f>
        <v>77.03</v>
      </c>
      <c r="E6586" s="2">
        <f>IFERROR(__xludf.DUMMYFUNCTION("""COMPUTED_VALUE"""),78.27)</f>
        <v>78.27</v>
      </c>
      <c r="F6586" s="2">
        <f>IFERROR(__xludf.DUMMYFUNCTION("""COMPUTED_VALUE"""),5417100.0)</f>
        <v>5417100</v>
      </c>
    </row>
    <row r="6587">
      <c r="A6587" s="3">
        <f>IFERROR(__xludf.DUMMYFUNCTION("""COMPUTED_VALUE"""),38750.666666666664)</f>
        <v>38750.66667</v>
      </c>
      <c r="B6587" s="2">
        <f>IFERROR(__xludf.DUMMYFUNCTION("""COMPUTED_VALUE"""),77.8)</f>
        <v>77.8</v>
      </c>
      <c r="C6587" s="2">
        <f>IFERROR(__xludf.DUMMYFUNCTION("""COMPUTED_VALUE"""),77.93)</f>
        <v>77.93</v>
      </c>
      <c r="D6587" s="2">
        <f>IFERROR(__xludf.DUMMYFUNCTION("""COMPUTED_VALUE"""),77.27)</f>
        <v>77.27</v>
      </c>
      <c r="E6587" s="2">
        <f>IFERROR(__xludf.DUMMYFUNCTION("""COMPUTED_VALUE"""),77.59)</f>
        <v>77.59</v>
      </c>
      <c r="F6587" s="2">
        <f>IFERROR(__xludf.DUMMYFUNCTION("""COMPUTED_VALUE"""),6198000.0)</f>
        <v>6198000</v>
      </c>
    </row>
    <row r="6588">
      <c r="A6588" s="3">
        <f>IFERROR(__xludf.DUMMYFUNCTION("""COMPUTED_VALUE"""),38751.666666666664)</f>
        <v>38751.66667</v>
      </c>
      <c r="B6588" s="2">
        <f>IFERROR(__xludf.DUMMYFUNCTION("""COMPUTED_VALUE"""),76.94)</f>
        <v>76.94</v>
      </c>
      <c r="C6588" s="2">
        <f>IFERROR(__xludf.DUMMYFUNCTION("""COMPUTED_VALUE"""),77.15)</f>
        <v>77.15</v>
      </c>
      <c r="D6588" s="2">
        <f>IFERROR(__xludf.DUMMYFUNCTION("""COMPUTED_VALUE"""),76.15)</f>
        <v>76.15</v>
      </c>
      <c r="E6588" s="2">
        <f>IFERROR(__xludf.DUMMYFUNCTION("""COMPUTED_VALUE"""),76.38)</f>
        <v>76.38</v>
      </c>
      <c r="F6588" s="2">
        <f>IFERROR(__xludf.DUMMYFUNCTION("""COMPUTED_VALUE"""),9852700.0)</f>
        <v>9852700</v>
      </c>
    </row>
    <row r="6589">
      <c r="A6589" s="3">
        <f>IFERROR(__xludf.DUMMYFUNCTION("""COMPUTED_VALUE"""),38754.666666666664)</f>
        <v>38754.66667</v>
      </c>
      <c r="B6589" s="2">
        <f>IFERROR(__xludf.DUMMYFUNCTION("""COMPUTED_VALUE"""),76.36)</f>
        <v>76.36</v>
      </c>
      <c r="C6589" s="2">
        <f>IFERROR(__xludf.DUMMYFUNCTION("""COMPUTED_VALUE"""),76.37)</f>
        <v>76.37</v>
      </c>
      <c r="D6589" s="2">
        <f>IFERROR(__xludf.DUMMYFUNCTION("""COMPUTED_VALUE"""),75.39)</f>
        <v>75.39</v>
      </c>
      <c r="E6589" s="2">
        <f>IFERROR(__xludf.DUMMYFUNCTION("""COMPUTED_VALUE"""),75.95)</f>
        <v>75.95</v>
      </c>
      <c r="F6589" s="2">
        <f>IFERROR(__xludf.DUMMYFUNCTION("""COMPUTED_VALUE"""),9568600.0)</f>
        <v>9568600</v>
      </c>
    </row>
    <row r="6590">
      <c r="A6590" s="3">
        <f>IFERROR(__xludf.DUMMYFUNCTION("""COMPUTED_VALUE"""),38755.666666666664)</f>
        <v>38755.66667</v>
      </c>
      <c r="B6590" s="2">
        <f>IFERROR(__xludf.DUMMYFUNCTION("""COMPUTED_VALUE"""),75.94)</f>
        <v>75.94</v>
      </c>
      <c r="C6590" s="2">
        <f>IFERROR(__xludf.DUMMYFUNCTION("""COMPUTED_VALUE"""),76.59)</f>
        <v>76.59</v>
      </c>
      <c r="D6590" s="2">
        <f>IFERROR(__xludf.DUMMYFUNCTION("""COMPUTED_VALUE"""),75.74)</f>
        <v>75.74</v>
      </c>
      <c r="E6590" s="2">
        <f>IFERROR(__xludf.DUMMYFUNCTION("""COMPUTED_VALUE"""),76.27)</f>
        <v>76.27</v>
      </c>
      <c r="F6590" s="2">
        <f>IFERROR(__xludf.DUMMYFUNCTION("""COMPUTED_VALUE"""),5253600.0)</f>
        <v>5253600</v>
      </c>
    </row>
    <row r="6591">
      <c r="A6591" s="3">
        <f>IFERROR(__xludf.DUMMYFUNCTION("""COMPUTED_VALUE"""),38756.666666666664)</f>
        <v>38756.66667</v>
      </c>
      <c r="B6591" s="2">
        <f>IFERROR(__xludf.DUMMYFUNCTION("""COMPUTED_VALUE"""),77.18)</f>
        <v>77.18</v>
      </c>
      <c r="C6591" s="2">
        <f>IFERROR(__xludf.DUMMYFUNCTION("""COMPUTED_VALUE"""),77.27)</f>
        <v>77.27</v>
      </c>
      <c r="D6591" s="2">
        <f>IFERROR(__xludf.DUMMYFUNCTION("""COMPUTED_VALUE"""),76.64)</f>
        <v>76.64</v>
      </c>
      <c r="E6591" s="2">
        <f>IFERROR(__xludf.DUMMYFUNCTION("""COMPUTED_VALUE"""),77.18)</f>
        <v>77.18</v>
      </c>
      <c r="F6591" s="2">
        <f>IFERROR(__xludf.DUMMYFUNCTION("""COMPUTED_VALUE"""),4787100.0)</f>
        <v>4787100</v>
      </c>
    </row>
    <row r="6592">
      <c r="A6592" s="3">
        <f>IFERROR(__xludf.DUMMYFUNCTION("""COMPUTED_VALUE"""),38757.666666666664)</f>
        <v>38757.66667</v>
      </c>
      <c r="B6592" s="2">
        <f>IFERROR(__xludf.DUMMYFUNCTION("""COMPUTED_VALUE"""),76.8)</f>
        <v>76.8</v>
      </c>
      <c r="C6592" s="2">
        <f>IFERROR(__xludf.DUMMYFUNCTION("""COMPUTED_VALUE"""),77.18)</f>
        <v>77.18</v>
      </c>
      <c r="D6592" s="2">
        <f>IFERROR(__xludf.DUMMYFUNCTION("""COMPUTED_VALUE"""),75.94)</f>
        <v>75.94</v>
      </c>
      <c r="E6592" s="2">
        <f>IFERROR(__xludf.DUMMYFUNCTION("""COMPUTED_VALUE"""),76.8)</f>
        <v>76.8</v>
      </c>
      <c r="F6592" s="2">
        <f>IFERROR(__xludf.DUMMYFUNCTION("""COMPUTED_VALUE"""),7609200.0)</f>
        <v>7609200</v>
      </c>
    </row>
    <row r="6593">
      <c r="A6593" s="3">
        <f>IFERROR(__xludf.DUMMYFUNCTION("""COMPUTED_VALUE"""),38758.666666666664)</f>
        <v>38758.66667</v>
      </c>
      <c r="B6593" s="2">
        <f>IFERROR(__xludf.DUMMYFUNCTION("""COMPUTED_VALUE"""),76.8)</f>
        <v>76.8</v>
      </c>
      <c r="C6593" s="2">
        <f>IFERROR(__xludf.DUMMYFUNCTION("""COMPUTED_VALUE"""),77.81)</f>
        <v>77.81</v>
      </c>
      <c r="D6593" s="2">
        <f>IFERROR(__xludf.DUMMYFUNCTION("""COMPUTED_VALUE"""),76.6)</f>
        <v>76.6</v>
      </c>
      <c r="E6593" s="2">
        <f>IFERROR(__xludf.DUMMYFUNCTION("""COMPUTED_VALUE"""),77.68)</f>
        <v>77.68</v>
      </c>
      <c r="F6593" s="2">
        <f>IFERROR(__xludf.DUMMYFUNCTION("""COMPUTED_VALUE"""),5371900.0)</f>
        <v>5371900</v>
      </c>
    </row>
    <row r="6594">
      <c r="A6594" s="3">
        <f>IFERROR(__xludf.DUMMYFUNCTION("""COMPUTED_VALUE"""),38761.666666666664)</f>
        <v>38761.66667</v>
      </c>
      <c r="B6594" s="2">
        <f>IFERROR(__xludf.DUMMYFUNCTION("""COMPUTED_VALUE"""),77.68)</f>
        <v>77.68</v>
      </c>
      <c r="C6594" s="2">
        <f>IFERROR(__xludf.DUMMYFUNCTION("""COMPUTED_VALUE"""),78.24)</f>
        <v>78.24</v>
      </c>
      <c r="D6594" s="2">
        <f>IFERROR(__xludf.DUMMYFUNCTION("""COMPUTED_VALUE"""),76.59)</f>
        <v>76.59</v>
      </c>
      <c r="E6594" s="2">
        <f>IFERROR(__xludf.DUMMYFUNCTION("""COMPUTED_VALUE"""),76.83)</f>
        <v>76.83</v>
      </c>
      <c r="F6594" s="2">
        <f>IFERROR(__xludf.DUMMYFUNCTION("""COMPUTED_VALUE"""),5257400.0)</f>
        <v>5257400</v>
      </c>
    </row>
    <row r="6595">
      <c r="A6595" s="3">
        <f>IFERROR(__xludf.DUMMYFUNCTION("""COMPUTED_VALUE"""),38762.666666666664)</f>
        <v>38762.66667</v>
      </c>
      <c r="B6595" s="2">
        <f>IFERROR(__xludf.DUMMYFUNCTION("""COMPUTED_VALUE"""),76.94)</f>
        <v>76.94</v>
      </c>
      <c r="C6595" s="2">
        <f>IFERROR(__xludf.DUMMYFUNCTION("""COMPUTED_VALUE"""),77.8)</f>
        <v>77.8</v>
      </c>
      <c r="D6595" s="2">
        <f>IFERROR(__xludf.DUMMYFUNCTION("""COMPUTED_VALUE"""),76.75)</f>
        <v>76.75</v>
      </c>
      <c r="E6595" s="2">
        <f>IFERROR(__xludf.DUMMYFUNCTION("""COMPUTED_VALUE"""),77.45)</f>
        <v>77.45</v>
      </c>
      <c r="F6595" s="2">
        <f>IFERROR(__xludf.DUMMYFUNCTION("""COMPUTED_VALUE"""),6075500.0)</f>
        <v>6075500</v>
      </c>
    </row>
    <row r="6596">
      <c r="A6596" s="3">
        <f>IFERROR(__xludf.DUMMYFUNCTION("""COMPUTED_VALUE"""),38763.666666666664)</f>
        <v>38763.66667</v>
      </c>
      <c r="B6596" s="2">
        <f>IFERROR(__xludf.DUMMYFUNCTION("""COMPUTED_VALUE"""),77.53)</f>
        <v>77.53</v>
      </c>
      <c r="C6596" s="2">
        <f>IFERROR(__xludf.DUMMYFUNCTION("""COMPUTED_VALUE"""),77.85)</f>
        <v>77.85</v>
      </c>
      <c r="D6596" s="2">
        <f>IFERROR(__xludf.DUMMYFUNCTION("""COMPUTED_VALUE"""),76.89)</f>
        <v>76.89</v>
      </c>
      <c r="E6596" s="2">
        <f>IFERROR(__xludf.DUMMYFUNCTION("""COMPUTED_VALUE"""),77.23)</f>
        <v>77.23</v>
      </c>
      <c r="F6596" s="2">
        <f>IFERROR(__xludf.DUMMYFUNCTION("""COMPUTED_VALUE"""),5052000.0)</f>
        <v>5052000</v>
      </c>
    </row>
    <row r="6597">
      <c r="A6597" s="3">
        <f>IFERROR(__xludf.DUMMYFUNCTION("""COMPUTED_VALUE"""),38764.666666666664)</f>
        <v>38764.66667</v>
      </c>
      <c r="B6597" s="2">
        <f>IFERROR(__xludf.DUMMYFUNCTION("""COMPUTED_VALUE"""),77.06)</f>
        <v>77.06</v>
      </c>
      <c r="C6597" s="2">
        <f>IFERROR(__xludf.DUMMYFUNCTION("""COMPUTED_VALUE"""),77.28)</f>
        <v>77.28</v>
      </c>
      <c r="D6597" s="2">
        <f>IFERROR(__xludf.DUMMYFUNCTION("""COMPUTED_VALUE"""),76.54)</f>
        <v>76.54</v>
      </c>
      <c r="E6597" s="2">
        <f>IFERROR(__xludf.DUMMYFUNCTION("""COMPUTED_VALUE"""),77.28)</f>
        <v>77.28</v>
      </c>
      <c r="F6597" s="2">
        <f>IFERROR(__xludf.DUMMYFUNCTION("""COMPUTED_VALUE"""),5310500.0)</f>
        <v>5310500</v>
      </c>
    </row>
    <row r="6598">
      <c r="A6598" s="3">
        <f>IFERROR(__xludf.DUMMYFUNCTION("""COMPUTED_VALUE"""),38765.666666666664)</f>
        <v>38765.66667</v>
      </c>
      <c r="B6598" s="2">
        <f>IFERROR(__xludf.DUMMYFUNCTION("""COMPUTED_VALUE"""),77.28)</f>
        <v>77.28</v>
      </c>
      <c r="C6598" s="2">
        <f>IFERROR(__xludf.DUMMYFUNCTION("""COMPUTED_VALUE"""),77.4)</f>
        <v>77.4</v>
      </c>
      <c r="D6598" s="2">
        <f>IFERROR(__xludf.DUMMYFUNCTION("""COMPUTED_VALUE"""),76.54)</f>
        <v>76.54</v>
      </c>
      <c r="E6598" s="2">
        <f>IFERROR(__xludf.DUMMYFUNCTION("""COMPUTED_VALUE"""),77.09)</f>
        <v>77.09</v>
      </c>
      <c r="F6598" s="2">
        <f>IFERROR(__xludf.DUMMYFUNCTION("""COMPUTED_VALUE"""),5298900.0)</f>
        <v>5298900</v>
      </c>
    </row>
    <row r="6599">
      <c r="A6599" s="3">
        <f>IFERROR(__xludf.DUMMYFUNCTION("""COMPUTED_VALUE"""),38769.666666666664)</f>
        <v>38769.66667</v>
      </c>
      <c r="B6599" s="2">
        <f>IFERROR(__xludf.DUMMYFUNCTION("""COMPUTED_VALUE"""),76.51)</f>
        <v>76.51</v>
      </c>
      <c r="C6599" s="2">
        <f>IFERROR(__xludf.DUMMYFUNCTION("""COMPUTED_VALUE"""),77.13)</f>
        <v>77.13</v>
      </c>
      <c r="D6599" s="2">
        <f>IFERROR(__xludf.DUMMYFUNCTION("""COMPUTED_VALUE"""),76.38)</f>
        <v>76.38</v>
      </c>
      <c r="E6599" s="2">
        <f>IFERROR(__xludf.DUMMYFUNCTION("""COMPUTED_VALUE"""),76.89)</f>
        <v>76.89</v>
      </c>
      <c r="F6599" s="2">
        <f>IFERROR(__xludf.DUMMYFUNCTION("""COMPUTED_VALUE"""),5839100.0)</f>
        <v>5839100</v>
      </c>
    </row>
    <row r="6600">
      <c r="A6600" s="3">
        <f>IFERROR(__xludf.DUMMYFUNCTION("""COMPUTED_VALUE"""),38770.666666666664)</f>
        <v>38770.66667</v>
      </c>
      <c r="B6600" s="2">
        <f>IFERROR(__xludf.DUMMYFUNCTION("""COMPUTED_VALUE"""),76.46)</f>
        <v>76.46</v>
      </c>
      <c r="C6600" s="2">
        <f>IFERROR(__xludf.DUMMYFUNCTION("""COMPUTED_VALUE"""),77.99)</f>
        <v>77.99</v>
      </c>
      <c r="D6600" s="2">
        <f>IFERROR(__xludf.DUMMYFUNCTION("""COMPUTED_VALUE"""),76.38)</f>
        <v>76.38</v>
      </c>
      <c r="E6600" s="2">
        <f>IFERROR(__xludf.DUMMYFUNCTION("""COMPUTED_VALUE"""),77.7)</f>
        <v>77.7</v>
      </c>
      <c r="F6600" s="2">
        <f>IFERROR(__xludf.DUMMYFUNCTION("""COMPUTED_VALUE"""),5294300.0)</f>
        <v>5294300</v>
      </c>
    </row>
    <row r="6601">
      <c r="A6601" s="3">
        <f>IFERROR(__xludf.DUMMYFUNCTION("""COMPUTED_VALUE"""),38771.666666666664)</f>
        <v>38771.66667</v>
      </c>
      <c r="B6601" s="2">
        <f>IFERROR(__xludf.DUMMYFUNCTION("""COMPUTED_VALUE"""),77.56)</f>
        <v>77.56</v>
      </c>
      <c r="C6601" s="2">
        <f>IFERROR(__xludf.DUMMYFUNCTION("""COMPUTED_VALUE"""),77.69)</f>
        <v>77.69</v>
      </c>
      <c r="D6601" s="2">
        <f>IFERROR(__xludf.DUMMYFUNCTION("""COMPUTED_VALUE"""),76.45)</f>
        <v>76.45</v>
      </c>
      <c r="E6601" s="2">
        <f>IFERROR(__xludf.DUMMYFUNCTION("""COMPUTED_VALUE"""),76.6)</f>
        <v>76.6</v>
      </c>
      <c r="F6601" s="2">
        <f>IFERROR(__xludf.DUMMYFUNCTION("""COMPUTED_VALUE"""),4979900.0)</f>
        <v>4979900</v>
      </c>
    </row>
    <row r="6602">
      <c r="A6602" s="3">
        <f>IFERROR(__xludf.DUMMYFUNCTION("""COMPUTED_VALUE"""),38772.666666666664)</f>
        <v>38772.66667</v>
      </c>
      <c r="B6602" s="2">
        <f>IFERROR(__xludf.DUMMYFUNCTION("""COMPUTED_VALUE"""),77.03)</f>
        <v>77.03</v>
      </c>
      <c r="C6602" s="2">
        <f>IFERROR(__xludf.DUMMYFUNCTION("""COMPUTED_VALUE"""),77.03)</f>
        <v>77.03</v>
      </c>
      <c r="D6602" s="2">
        <f>IFERROR(__xludf.DUMMYFUNCTION("""COMPUTED_VALUE"""),76.27)</f>
        <v>76.27</v>
      </c>
      <c r="E6602" s="2">
        <f>IFERROR(__xludf.DUMMYFUNCTION("""COMPUTED_VALUE"""),76.51)</f>
        <v>76.51</v>
      </c>
      <c r="F6602" s="2">
        <f>IFERROR(__xludf.DUMMYFUNCTION("""COMPUTED_VALUE"""),3904100.0)</f>
        <v>3904100</v>
      </c>
    </row>
    <row r="6603">
      <c r="A6603" s="3">
        <f>IFERROR(__xludf.DUMMYFUNCTION("""COMPUTED_VALUE"""),38775.666666666664)</f>
        <v>38775.66667</v>
      </c>
      <c r="B6603" s="2">
        <f>IFERROR(__xludf.DUMMYFUNCTION("""COMPUTED_VALUE"""),76.38)</f>
        <v>76.38</v>
      </c>
      <c r="C6603" s="2">
        <f>IFERROR(__xludf.DUMMYFUNCTION("""COMPUTED_VALUE"""),77.26)</f>
        <v>77.26</v>
      </c>
      <c r="D6603" s="2">
        <f>IFERROR(__xludf.DUMMYFUNCTION("""COMPUTED_VALUE"""),76.37)</f>
        <v>76.37</v>
      </c>
      <c r="E6603" s="2">
        <f>IFERROR(__xludf.DUMMYFUNCTION("""COMPUTED_VALUE"""),77.01)</f>
        <v>77.01</v>
      </c>
      <c r="F6603" s="2">
        <f>IFERROR(__xludf.DUMMYFUNCTION("""COMPUTED_VALUE"""),3787200.0)</f>
        <v>3787200</v>
      </c>
    </row>
    <row r="6604">
      <c r="A6604" s="3">
        <f>IFERROR(__xludf.DUMMYFUNCTION("""COMPUTED_VALUE"""),38776.666666666664)</f>
        <v>38776.66667</v>
      </c>
      <c r="B6604" s="2">
        <f>IFERROR(__xludf.DUMMYFUNCTION("""COMPUTED_VALUE"""),76.51)</f>
        <v>76.51</v>
      </c>
      <c r="C6604" s="2">
        <f>IFERROR(__xludf.DUMMYFUNCTION("""COMPUTED_VALUE"""),76.94)</f>
        <v>76.94</v>
      </c>
      <c r="D6604" s="2">
        <f>IFERROR(__xludf.DUMMYFUNCTION("""COMPUTED_VALUE"""),76.14)</f>
        <v>76.14</v>
      </c>
      <c r="E6604" s="2">
        <f>IFERROR(__xludf.DUMMYFUNCTION("""COMPUTED_VALUE"""),76.64)</f>
        <v>76.64</v>
      </c>
      <c r="F6604" s="2">
        <f>IFERROR(__xludf.DUMMYFUNCTION("""COMPUTED_VALUE"""),5960700.0)</f>
        <v>5960700</v>
      </c>
    </row>
    <row r="6605">
      <c r="A6605" s="3">
        <f>IFERROR(__xludf.DUMMYFUNCTION("""COMPUTED_VALUE"""),38777.666666666664)</f>
        <v>38777.66667</v>
      </c>
      <c r="B6605" s="2">
        <f>IFERROR(__xludf.DUMMYFUNCTION("""COMPUTED_VALUE"""),76.6)</f>
        <v>76.6</v>
      </c>
      <c r="C6605" s="2">
        <f>IFERROR(__xludf.DUMMYFUNCTION("""COMPUTED_VALUE"""),77.19)</f>
        <v>77.19</v>
      </c>
      <c r="D6605" s="2">
        <f>IFERROR(__xludf.DUMMYFUNCTION("""COMPUTED_VALUE"""),76.2)</f>
        <v>76.2</v>
      </c>
      <c r="E6605" s="2">
        <f>IFERROR(__xludf.DUMMYFUNCTION("""COMPUTED_VALUE"""),76.32)</f>
        <v>76.32</v>
      </c>
      <c r="F6605" s="2">
        <f>IFERROR(__xludf.DUMMYFUNCTION("""COMPUTED_VALUE"""),5211600.0)</f>
        <v>5211600</v>
      </c>
    </row>
    <row r="6606">
      <c r="A6606" s="3">
        <f>IFERROR(__xludf.DUMMYFUNCTION("""COMPUTED_VALUE"""),38778.666666666664)</f>
        <v>38778.66667</v>
      </c>
      <c r="B6606" s="2">
        <f>IFERROR(__xludf.DUMMYFUNCTION("""COMPUTED_VALUE"""),75.98)</f>
        <v>75.98</v>
      </c>
      <c r="C6606" s="2">
        <f>IFERROR(__xludf.DUMMYFUNCTION("""COMPUTED_VALUE"""),76.61)</f>
        <v>76.61</v>
      </c>
      <c r="D6606" s="2">
        <f>IFERROR(__xludf.DUMMYFUNCTION("""COMPUTED_VALUE"""),75.97)</f>
        <v>75.97</v>
      </c>
      <c r="E6606" s="2">
        <f>IFERROR(__xludf.DUMMYFUNCTION("""COMPUTED_VALUE"""),76.36)</f>
        <v>76.36</v>
      </c>
      <c r="F6606" s="2">
        <f>IFERROR(__xludf.DUMMYFUNCTION("""COMPUTED_VALUE"""),4418800.0)</f>
        <v>4418800</v>
      </c>
    </row>
    <row r="6607">
      <c r="A6607" s="3">
        <f>IFERROR(__xludf.DUMMYFUNCTION("""COMPUTED_VALUE"""),38779.666666666664)</f>
        <v>38779.66667</v>
      </c>
      <c r="B6607" s="2">
        <f>IFERROR(__xludf.DUMMYFUNCTION("""COMPUTED_VALUE"""),75.95)</f>
        <v>75.95</v>
      </c>
      <c r="C6607" s="2">
        <f>IFERROR(__xludf.DUMMYFUNCTION("""COMPUTED_VALUE"""),77.21)</f>
        <v>77.21</v>
      </c>
      <c r="D6607" s="2">
        <f>IFERROR(__xludf.DUMMYFUNCTION("""COMPUTED_VALUE"""),75.95)</f>
        <v>75.95</v>
      </c>
      <c r="E6607" s="2">
        <f>IFERROR(__xludf.DUMMYFUNCTION("""COMPUTED_VALUE"""),76.37)</f>
        <v>76.37</v>
      </c>
      <c r="F6607" s="2">
        <f>IFERROR(__xludf.DUMMYFUNCTION("""COMPUTED_VALUE"""),4354400.0)</f>
        <v>4354400</v>
      </c>
    </row>
    <row r="6608">
      <c r="A6608" s="3">
        <f>IFERROR(__xludf.DUMMYFUNCTION("""COMPUTED_VALUE"""),38782.666666666664)</f>
        <v>38782.66667</v>
      </c>
      <c r="B6608" s="2">
        <f>IFERROR(__xludf.DUMMYFUNCTION("""COMPUTED_VALUE"""),76.33)</f>
        <v>76.33</v>
      </c>
      <c r="C6608" s="2">
        <f>IFERROR(__xludf.DUMMYFUNCTION("""COMPUTED_VALUE"""),77.02)</f>
        <v>77.02</v>
      </c>
      <c r="D6608" s="2">
        <f>IFERROR(__xludf.DUMMYFUNCTION("""COMPUTED_VALUE"""),76.32)</f>
        <v>76.32</v>
      </c>
      <c r="E6608" s="2">
        <f>IFERROR(__xludf.DUMMYFUNCTION("""COMPUTED_VALUE"""),76.41)</f>
        <v>76.41</v>
      </c>
      <c r="F6608" s="2">
        <f>IFERROR(__xludf.DUMMYFUNCTION("""COMPUTED_VALUE"""),4709500.0)</f>
        <v>4709500</v>
      </c>
    </row>
    <row r="6609">
      <c r="A6609" s="3">
        <f>IFERROR(__xludf.DUMMYFUNCTION("""COMPUTED_VALUE"""),38783.666666666664)</f>
        <v>38783.66667</v>
      </c>
      <c r="B6609" s="2">
        <f>IFERROR(__xludf.DUMMYFUNCTION("""COMPUTED_VALUE"""),76.42)</f>
        <v>76.42</v>
      </c>
      <c r="C6609" s="2">
        <f>IFERROR(__xludf.DUMMYFUNCTION("""COMPUTED_VALUE"""),77.17)</f>
        <v>77.17</v>
      </c>
      <c r="D6609" s="2">
        <f>IFERROR(__xludf.DUMMYFUNCTION("""COMPUTED_VALUE"""),76.28)</f>
        <v>76.28</v>
      </c>
      <c r="E6609" s="2">
        <f>IFERROR(__xludf.DUMMYFUNCTION("""COMPUTED_VALUE"""),76.69)</f>
        <v>76.69</v>
      </c>
      <c r="F6609" s="2">
        <f>IFERROR(__xludf.DUMMYFUNCTION("""COMPUTED_VALUE"""),4330800.0)</f>
        <v>4330800</v>
      </c>
    </row>
    <row r="6610">
      <c r="A6610" s="3">
        <f>IFERROR(__xludf.DUMMYFUNCTION("""COMPUTED_VALUE"""),38784.666666666664)</f>
        <v>38784.66667</v>
      </c>
      <c r="B6610" s="2">
        <f>IFERROR(__xludf.DUMMYFUNCTION("""COMPUTED_VALUE"""),76.65)</f>
        <v>76.65</v>
      </c>
      <c r="C6610" s="2">
        <f>IFERROR(__xludf.DUMMYFUNCTION("""COMPUTED_VALUE"""),77.94)</f>
        <v>77.94</v>
      </c>
      <c r="D6610" s="2">
        <f>IFERROR(__xludf.DUMMYFUNCTION("""COMPUTED_VALUE"""),76.65)</f>
        <v>76.65</v>
      </c>
      <c r="E6610" s="2">
        <f>IFERROR(__xludf.DUMMYFUNCTION("""COMPUTED_VALUE"""),77.5)</f>
        <v>77.5</v>
      </c>
      <c r="F6610" s="2">
        <f>IFERROR(__xludf.DUMMYFUNCTION("""COMPUTED_VALUE"""),5570000.0)</f>
        <v>5570000</v>
      </c>
    </row>
    <row r="6611">
      <c r="A6611" s="3">
        <f>IFERROR(__xludf.DUMMYFUNCTION("""COMPUTED_VALUE"""),38785.666666666664)</f>
        <v>38785.66667</v>
      </c>
      <c r="B6611" s="2">
        <f>IFERROR(__xludf.DUMMYFUNCTION("""COMPUTED_VALUE"""),77.48)</f>
        <v>77.48</v>
      </c>
      <c r="C6611" s="2">
        <f>IFERROR(__xludf.DUMMYFUNCTION("""COMPUTED_VALUE"""),78.3)</f>
        <v>78.3</v>
      </c>
      <c r="D6611" s="2">
        <f>IFERROR(__xludf.DUMMYFUNCTION("""COMPUTED_VALUE"""),77.18)</f>
        <v>77.18</v>
      </c>
      <c r="E6611" s="2">
        <f>IFERROR(__xludf.DUMMYFUNCTION("""COMPUTED_VALUE"""),77.39)</f>
        <v>77.39</v>
      </c>
      <c r="F6611" s="2">
        <f>IFERROR(__xludf.DUMMYFUNCTION("""COMPUTED_VALUE"""),4310700.0)</f>
        <v>4310700</v>
      </c>
    </row>
    <row r="6612">
      <c r="A6612" s="3">
        <f>IFERROR(__xludf.DUMMYFUNCTION("""COMPUTED_VALUE"""),38786.666666666664)</f>
        <v>38786.66667</v>
      </c>
      <c r="B6612" s="2">
        <f>IFERROR(__xludf.DUMMYFUNCTION("""COMPUTED_VALUE"""),77.4)</f>
        <v>77.4</v>
      </c>
      <c r="C6612" s="2">
        <f>IFERROR(__xludf.DUMMYFUNCTION("""COMPUTED_VALUE"""),78.56)</f>
        <v>78.56</v>
      </c>
      <c r="D6612" s="2">
        <f>IFERROR(__xludf.DUMMYFUNCTION("""COMPUTED_VALUE"""),77.4)</f>
        <v>77.4</v>
      </c>
      <c r="E6612" s="2">
        <f>IFERROR(__xludf.DUMMYFUNCTION("""COMPUTED_VALUE"""),77.91)</f>
        <v>77.91</v>
      </c>
      <c r="F6612" s="2">
        <f>IFERROR(__xludf.DUMMYFUNCTION("""COMPUTED_VALUE"""),4787200.0)</f>
        <v>4787200</v>
      </c>
    </row>
    <row r="6613">
      <c r="A6613" s="3">
        <f>IFERROR(__xludf.DUMMYFUNCTION("""COMPUTED_VALUE"""),38789.666666666664)</f>
        <v>38789.66667</v>
      </c>
      <c r="B6613" s="2">
        <f>IFERROR(__xludf.DUMMYFUNCTION("""COMPUTED_VALUE"""),77.9)</f>
        <v>77.9</v>
      </c>
      <c r="C6613" s="2">
        <f>IFERROR(__xludf.DUMMYFUNCTION("""COMPUTED_VALUE"""),78.71)</f>
        <v>78.71</v>
      </c>
      <c r="D6613" s="2">
        <f>IFERROR(__xludf.DUMMYFUNCTION("""COMPUTED_VALUE"""),77.8)</f>
        <v>77.8</v>
      </c>
      <c r="E6613" s="2">
        <f>IFERROR(__xludf.DUMMYFUNCTION("""COMPUTED_VALUE"""),78.26)</f>
        <v>78.26</v>
      </c>
      <c r="F6613" s="2">
        <f>IFERROR(__xludf.DUMMYFUNCTION("""COMPUTED_VALUE"""),4571400.0)</f>
        <v>4571400</v>
      </c>
    </row>
    <row r="6614">
      <c r="A6614" s="3">
        <f>IFERROR(__xludf.DUMMYFUNCTION("""COMPUTED_VALUE"""),38790.666666666664)</f>
        <v>38790.66667</v>
      </c>
      <c r="B6614" s="2">
        <f>IFERROR(__xludf.DUMMYFUNCTION("""COMPUTED_VALUE"""),78.24)</f>
        <v>78.24</v>
      </c>
      <c r="C6614" s="2">
        <f>IFERROR(__xludf.DUMMYFUNCTION("""COMPUTED_VALUE"""),79.27)</f>
        <v>79.27</v>
      </c>
      <c r="D6614" s="2">
        <f>IFERROR(__xludf.DUMMYFUNCTION("""COMPUTED_VALUE"""),77.82)</f>
        <v>77.82</v>
      </c>
      <c r="E6614" s="2">
        <f>IFERROR(__xludf.DUMMYFUNCTION("""COMPUTED_VALUE"""),79.16)</f>
        <v>79.16</v>
      </c>
      <c r="F6614" s="2">
        <f>IFERROR(__xludf.DUMMYFUNCTION("""COMPUTED_VALUE"""),4532700.0)</f>
        <v>4532700</v>
      </c>
    </row>
    <row r="6615">
      <c r="A6615" s="3">
        <f>IFERROR(__xludf.DUMMYFUNCTION("""COMPUTED_VALUE"""),38791.666666666664)</f>
        <v>38791.66667</v>
      </c>
      <c r="B6615" s="2">
        <f>IFERROR(__xludf.DUMMYFUNCTION("""COMPUTED_VALUE"""),78.94)</f>
        <v>78.94</v>
      </c>
      <c r="C6615" s="2">
        <f>IFERROR(__xludf.DUMMYFUNCTION("""COMPUTED_VALUE"""),80.0)</f>
        <v>80</v>
      </c>
      <c r="D6615" s="2">
        <f>IFERROR(__xludf.DUMMYFUNCTION("""COMPUTED_VALUE"""),78.93)</f>
        <v>78.93</v>
      </c>
      <c r="E6615" s="2">
        <f>IFERROR(__xludf.DUMMYFUNCTION("""COMPUTED_VALUE"""),79.64)</f>
        <v>79.64</v>
      </c>
      <c r="F6615" s="2">
        <f>IFERROR(__xludf.DUMMYFUNCTION("""COMPUTED_VALUE"""),5370400.0)</f>
        <v>5370400</v>
      </c>
    </row>
    <row r="6616">
      <c r="A6616" s="3">
        <f>IFERROR(__xludf.DUMMYFUNCTION("""COMPUTED_VALUE"""),38792.666666666664)</f>
        <v>38792.66667</v>
      </c>
      <c r="B6616" s="2">
        <f>IFERROR(__xludf.DUMMYFUNCTION("""COMPUTED_VALUE"""),79.62)</f>
        <v>79.62</v>
      </c>
      <c r="C6616" s="2">
        <f>IFERROR(__xludf.DUMMYFUNCTION("""COMPUTED_VALUE"""),79.97)</f>
        <v>79.97</v>
      </c>
      <c r="D6616" s="2">
        <f>IFERROR(__xludf.DUMMYFUNCTION("""COMPUTED_VALUE"""),78.91)</f>
        <v>78.91</v>
      </c>
      <c r="E6616" s="2">
        <f>IFERROR(__xludf.DUMMYFUNCTION("""COMPUTED_VALUE"""),79.15)</f>
        <v>79.15</v>
      </c>
      <c r="F6616" s="2">
        <f>IFERROR(__xludf.DUMMYFUNCTION("""COMPUTED_VALUE"""),4299500.0)</f>
        <v>4299500</v>
      </c>
    </row>
    <row r="6617">
      <c r="A6617" s="3">
        <f>IFERROR(__xludf.DUMMYFUNCTION("""COMPUTED_VALUE"""),38793.666666666664)</f>
        <v>38793.66667</v>
      </c>
      <c r="B6617" s="2">
        <f>IFERROR(__xludf.DUMMYFUNCTION("""COMPUTED_VALUE"""),79.61)</f>
        <v>79.61</v>
      </c>
      <c r="C6617" s="2">
        <f>IFERROR(__xludf.DUMMYFUNCTION("""COMPUTED_VALUE"""),79.67)</f>
        <v>79.67</v>
      </c>
      <c r="D6617" s="2">
        <f>IFERROR(__xludf.DUMMYFUNCTION("""COMPUTED_VALUE"""),79.11)</f>
        <v>79.11</v>
      </c>
      <c r="E6617" s="2">
        <f>IFERROR(__xludf.DUMMYFUNCTION("""COMPUTED_VALUE"""),79.57)</f>
        <v>79.57</v>
      </c>
      <c r="F6617" s="2">
        <f>IFERROR(__xludf.DUMMYFUNCTION("""COMPUTED_VALUE"""),6414500.0)</f>
        <v>6414500</v>
      </c>
    </row>
    <row r="6618">
      <c r="A6618" s="3">
        <f>IFERROR(__xludf.DUMMYFUNCTION("""COMPUTED_VALUE"""),38796.666666666664)</f>
        <v>38796.66667</v>
      </c>
      <c r="B6618" s="2">
        <f>IFERROR(__xludf.DUMMYFUNCTION("""COMPUTED_VALUE"""),79.38)</f>
        <v>79.38</v>
      </c>
      <c r="C6618" s="2">
        <f>IFERROR(__xludf.DUMMYFUNCTION("""COMPUTED_VALUE"""),79.99)</f>
        <v>79.99</v>
      </c>
      <c r="D6618" s="2">
        <f>IFERROR(__xludf.DUMMYFUNCTION("""COMPUTED_VALUE"""),79.27)</f>
        <v>79.27</v>
      </c>
      <c r="E6618" s="2">
        <f>IFERROR(__xludf.DUMMYFUNCTION("""COMPUTED_VALUE"""),79.83)</f>
        <v>79.83</v>
      </c>
      <c r="F6618" s="2">
        <f>IFERROR(__xludf.DUMMYFUNCTION("""COMPUTED_VALUE"""),3870300.0)</f>
        <v>3870300</v>
      </c>
    </row>
    <row r="6619">
      <c r="A6619" s="3">
        <f>IFERROR(__xludf.DUMMYFUNCTION("""COMPUTED_VALUE"""),38797.666666666664)</f>
        <v>38797.66667</v>
      </c>
      <c r="B6619" s="2">
        <f>IFERROR(__xludf.DUMMYFUNCTION("""COMPUTED_VALUE"""),80.06)</f>
        <v>80.06</v>
      </c>
      <c r="C6619" s="2">
        <f>IFERROR(__xludf.DUMMYFUNCTION("""COMPUTED_VALUE"""),81.18)</f>
        <v>81.18</v>
      </c>
      <c r="D6619" s="2">
        <f>IFERROR(__xludf.DUMMYFUNCTION("""COMPUTED_VALUE"""),79.83)</f>
        <v>79.83</v>
      </c>
      <c r="E6619" s="2">
        <f>IFERROR(__xludf.DUMMYFUNCTION("""COMPUTED_VALUE"""),80.05)</f>
        <v>80.05</v>
      </c>
      <c r="F6619" s="2">
        <f>IFERROR(__xludf.DUMMYFUNCTION("""COMPUTED_VALUE"""),7404300.0)</f>
        <v>7404300</v>
      </c>
    </row>
    <row r="6620">
      <c r="A6620" s="3">
        <f>IFERROR(__xludf.DUMMYFUNCTION("""COMPUTED_VALUE"""),38798.666666666664)</f>
        <v>38798.66667</v>
      </c>
      <c r="B6620" s="2">
        <f>IFERROR(__xludf.DUMMYFUNCTION("""COMPUTED_VALUE"""),79.61)</f>
        <v>79.61</v>
      </c>
      <c r="C6620" s="2">
        <f>IFERROR(__xludf.DUMMYFUNCTION("""COMPUTED_VALUE"""),80.88)</f>
        <v>80.88</v>
      </c>
      <c r="D6620" s="2">
        <f>IFERROR(__xludf.DUMMYFUNCTION("""COMPUTED_VALUE"""),79.61)</f>
        <v>79.61</v>
      </c>
      <c r="E6620" s="2">
        <f>IFERROR(__xludf.DUMMYFUNCTION("""COMPUTED_VALUE"""),80.66)</f>
        <v>80.66</v>
      </c>
      <c r="F6620" s="2">
        <f>IFERROR(__xludf.DUMMYFUNCTION("""COMPUTED_VALUE"""),4968600.0)</f>
        <v>4968600</v>
      </c>
    </row>
    <row r="6621">
      <c r="A6621" s="3">
        <f>IFERROR(__xludf.DUMMYFUNCTION("""COMPUTED_VALUE"""),38799.666666666664)</f>
        <v>38799.66667</v>
      </c>
      <c r="B6621" s="2">
        <f>IFERROR(__xludf.DUMMYFUNCTION("""COMPUTED_VALUE"""),80.45)</f>
        <v>80.45</v>
      </c>
      <c r="C6621" s="2">
        <f>IFERROR(__xludf.DUMMYFUNCTION("""COMPUTED_VALUE"""),80.49)</f>
        <v>80.49</v>
      </c>
      <c r="D6621" s="2">
        <f>IFERROR(__xludf.DUMMYFUNCTION("""COMPUTED_VALUE"""),79.21)</f>
        <v>79.21</v>
      </c>
      <c r="E6621" s="2">
        <f>IFERROR(__xludf.DUMMYFUNCTION("""COMPUTED_VALUE"""),79.47)</f>
        <v>79.47</v>
      </c>
      <c r="F6621" s="2">
        <f>IFERROR(__xludf.DUMMYFUNCTION("""COMPUTED_VALUE"""),5105800.0)</f>
        <v>5105800</v>
      </c>
    </row>
    <row r="6622">
      <c r="A6622" s="3">
        <f>IFERROR(__xludf.DUMMYFUNCTION("""COMPUTED_VALUE"""),38800.666666666664)</f>
        <v>38800.66667</v>
      </c>
      <c r="B6622" s="2">
        <f>IFERROR(__xludf.DUMMYFUNCTION("""COMPUTED_VALUE"""),79.27)</f>
        <v>79.27</v>
      </c>
      <c r="C6622" s="2">
        <f>IFERROR(__xludf.DUMMYFUNCTION("""COMPUTED_VALUE"""),79.97)</f>
        <v>79.97</v>
      </c>
      <c r="D6622" s="2">
        <f>IFERROR(__xludf.DUMMYFUNCTION("""COMPUTED_VALUE"""),79.27)</f>
        <v>79.27</v>
      </c>
      <c r="E6622" s="2">
        <f>IFERROR(__xludf.DUMMYFUNCTION("""COMPUTED_VALUE"""),79.62)</f>
        <v>79.62</v>
      </c>
      <c r="F6622" s="2">
        <f>IFERROR(__xludf.DUMMYFUNCTION("""COMPUTED_VALUE"""),4198800.0)</f>
        <v>4198800</v>
      </c>
    </row>
    <row r="6623">
      <c r="A6623" s="3">
        <f>IFERROR(__xludf.DUMMYFUNCTION("""COMPUTED_VALUE"""),38803.666666666664)</f>
        <v>38803.66667</v>
      </c>
      <c r="B6623" s="2">
        <f>IFERROR(__xludf.DUMMYFUNCTION("""COMPUTED_VALUE"""),79.26)</f>
        <v>79.26</v>
      </c>
      <c r="C6623" s="2">
        <f>IFERROR(__xludf.DUMMYFUNCTION("""COMPUTED_VALUE"""),79.53)</f>
        <v>79.53</v>
      </c>
      <c r="D6623" s="2">
        <f>IFERROR(__xludf.DUMMYFUNCTION("""COMPUTED_VALUE"""),78.88)</f>
        <v>78.88</v>
      </c>
      <c r="E6623" s="2">
        <f>IFERROR(__xludf.DUMMYFUNCTION("""COMPUTED_VALUE"""),79.36)</f>
        <v>79.36</v>
      </c>
      <c r="F6623" s="2">
        <f>IFERROR(__xludf.DUMMYFUNCTION("""COMPUTED_VALUE"""),3910100.0)</f>
        <v>3910100</v>
      </c>
    </row>
    <row r="6624">
      <c r="A6624" s="3">
        <f>IFERROR(__xludf.DUMMYFUNCTION("""COMPUTED_VALUE"""),38804.666666666664)</f>
        <v>38804.66667</v>
      </c>
      <c r="B6624" s="2">
        <f>IFERROR(__xludf.DUMMYFUNCTION("""COMPUTED_VALUE"""),79.14)</f>
        <v>79.14</v>
      </c>
      <c r="C6624" s="2">
        <f>IFERROR(__xludf.DUMMYFUNCTION("""COMPUTED_VALUE"""),79.65)</f>
        <v>79.65</v>
      </c>
      <c r="D6624" s="2">
        <f>IFERROR(__xludf.DUMMYFUNCTION("""COMPUTED_VALUE"""),78.6)</f>
        <v>78.6</v>
      </c>
      <c r="E6624" s="2">
        <f>IFERROR(__xludf.DUMMYFUNCTION("""COMPUTED_VALUE"""),78.73)</f>
        <v>78.73</v>
      </c>
      <c r="F6624" s="2">
        <f>IFERROR(__xludf.DUMMYFUNCTION("""COMPUTED_VALUE"""),4508800.0)</f>
        <v>4508800</v>
      </c>
    </row>
    <row r="6625">
      <c r="A6625" s="3">
        <f>IFERROR(__xludf.DUMMYFUNCTION("""COMPUTED_VALUE"""),38805.666666666664)</f>
        <v>38805.66667</v>
      </c>
      <c r="B6625" s="2">
        <f>IFERROR(__xludf.DUMMYFUNCTION("""COMPUTED_VALUE"""),78.51)</f>
        <v>78.51</v>
      </c>
      <c r="C6625" s="2">
        <f>IFERROR(__xludf.DUMMYFUNCTION("""COMPUTED_VALUE"""),79.8)</f>
        <v>79.8</v>
      </c>
      <c r="D6625" s="2">
        <f>IFERROR(__xludf.DUMMYFUNCTION("""COMPUTED_VALUE"""),78.51)</f>
        <v>78.51</v>
      </c>
      <c r="E6625" s="2">
        <f>IFERROR(__xludf.DUMMYFUNCTION("""COMPUTED_VALUE"""),79.4)</f>
        <v>79.4</v>
      </c>
      <c r="F6625" s="2">
        <f>IFERROR(__xludf.DUMMYFUNCTION("""COMPUTED_VALUE"""),4633800.0)</f>
        <v>4633800</v>
      </c>
    </row>
    <row r="6626">
      <c r="A6626" s="3">
        <f>IFERROR(__xludf.DUMMYFUNCTION("""COMPUTED_VALUE"""),38806.666666666664)</f>
        <v>38806.66667</v>
      </c>
      <c r="B6626" s="2">
        <f>IFERROR(__xludf.DUMMYFUNCTION("""COMPUTED_VALUE"""),79.16)</f>
        <v>79.16</v>
      </c>
      <c r="C6626" s="2">
        <f>IFERROR(__xludf.DUMMYFUNCTION("""COMPUTED_VALUE"""),79.95)</f>
        <v>79.95</v>
      </c>
      <c r="D6626" s="2">
        <f>IFERROR(__xludf.DUMMYFUNCTION("""COMPUTED_VALUE"""),79.12)</f>
        <v>79.12</v>
      </c>
      <c r="E6626" s="2">
        <f>IFERROR(__xludf.DUMMYFUNCTION("""COMPUTED_VALUE"""),79.47)</f>
        <v>79.47</v>
      </c>
      <c r="F6626" s="2">
        <f>IFERROR(__xludf.DUMMYFUNCTION("""COMPUTED_VALUE"""),4467000.0)</f>
        <v>4467000</v>
      </c>
    </row>
    <row r="6627">
      <c r="A6627" s="3">
        <f>IFERROR(__xludf.DUMMYFUNCTION("""COMPUTED_VALUE"""),38807.666666666664)</f>
        <v>38807.66667</v>
      </c>
      <c r="B6627" s="2">
        <f>IFERROR(__xludf.DUMMYFUNCTION("""COMPUTED_VALUE"""),79.23)</f>
        <v>79.23</v>
      </c>
      <c r="C6627" s="2">
        <f>IFERROR(__xludf.DUMMYFUNCTION("""COMPUTED_VALUE"""),79.85)</f>
        <v>79.85</v>
      </c>
      <c r="D6627" s="2">
        <f>IFERROR(__xludf.DUMMYFUNCTION("""COMPUTED_VALUE"""),78.6)</f>
        <v>78.6</v>
      </c>
      <c r="E6627" s="2">
        <f>IFERROR(__xludf.DUMMYFUNCTION("""COMPUTED_VALUE"""),78.77)</f>
        <v>78.77</v>
      </c>
      <c r="F6627" s="2">
        <f>IFERROR(__xludf.DUMMYFUNCTION("""COMPUTED_VALUE"""),5862000.0)</f>
        <v>5862000</v>
      </c>
    </row>
    <row r="6628">
      <c r="A6628" s="3">
        <f>IFERROR(__xludf.DUMMYFUNCTION("""COMPUTED_VALUE"""),38810.666666666664)</f>
        <v>38810.66667</v>
      </c>
      <c r="B6628" s="2">
        <f>IFERROR(__xludf.DUMMYFUNCTION("""COMPUTED_VALUE"""),79.01)</f>
        <v>79.01</v>
      </c>
      <c r="C6628" s="2">
        <f>IFERROR(__xludf.DUMMYFUNCTION("""COMPUTED_VALUE"""),79.84)</f>
        <v>79.84</v>
      </c>
      <c r="D6628" s="2">
        <f>IFERROR(__xludf.DUMMYFUNCTION("""COMPUTED_VALUE"""),78.94)</f>
        <v>78.94</v>
      </c>
      <c r="E6628" s="2">
        <f>IFERROR(__xludf.DUMMYFUNCTION("""COMPUTED_VALUE"""),79.34)</f>
        <v>79.34</v>
      </c>
      <c r="F6628" s="2">
        <f>IFERROR(__xludf.DUMMYFUNCTION("""COMPUTED_VALUE"""),4121600.0)</f>
        <v>4121600</v>
      </c>
    </row>
    <row r="6629">
      <c r="A6629" s="3">
        <f>IFERROR(__xludf.DUMMYFUNCTION("""COMPUTED_VALUE"""),38811.666666666664)</f>
        <v>38811.66667</v>
      </c>
      <c r="B6629" s="2">
        <f>IFERROR(__xludf.DUMMYFUNCTION("""COMPUTED_VALUE"""),79.37)</f>
        <v>79.37</v>
      </c>
      <c r="C6629" s="2">
        <f>IFERROR(__xludf.DUMMYFUNCTION("""COMPUTED_VALUE"""),80.02)</f>
        <v>80.02</v>
      </c>
      <c r="D6629" s="2">
        <f>IFERROR(__xludf.DUMMYFUNCTION("""COMPUTED_VALUE"""),79.09)</f>
        <v>79.09</v>
      </c>
      <c r="E6629" s="2">
        <f>IFERROR(__xludf.DUMMYFUNCTION("""COMPUTED_VALUE"""),79.71)</f>
        <v>79.71</v>
      </c>
      <c r="F6629" s="2">
        <f>IFERROR(__xludf.DUMMYFUNCTION("""COMPUTED_VALUE"""),3856200.0)</f>
        <v>3856200</v>
      </c>
    </row>
    <row r="6630">
      <c r="A6630" s="3">
        <f>IFERROR(__xludf.DUMMYFUNCTION("""COMPUTED_VALUE"""),38812.666666666664)</f>
        <v>38812.66667</v>
      </c>
      <c r="B6630" s="2">
        <f>IFERROR(__xludf.DUMMYFUNCTION("""COMPUTED_VALUE"""),79.59)</f>
        <v>79.59</v>
      </c>
      <c r="C6630" s="2">
        <f>IFERROR(__xludf.DUMMYFUNCTION("""COMPUTED_VALUE"""),80.66)</f>
        <v>80.66</v>
      </c>
      <c r="D6630" s="2">
        <f>IFERROR(__xludf.DUMMYFUNCTION("""COMPUTED_VALUE"""),79.58)</f>
        <v>79.58</v>
      </c>
      <c r="E6630" s="2">
        <f>IFERROR(__xludf.DUMMYFUNCTION("""COMPUTED_VALUE"""),80.4)</f>
        <v>80.4</v>
      </c>
      <c r="F6630" s="2">
        <f>IFERROR(__xludf.DUMMYFUNCTION("""COMPUTED_VALUE"""),5523900.0)</f>
        <v>5523900</v>
      </c>
    </row>
    <row r="6631">
      <c r="A6631" s="3">
        <f>IFERROR(__xludf.DUMMYFUNCTION("""COMPUTED_VALUE"""),38813.666666666664)</f>
        <v>38813.66667</v>
      </c>
      <c r="B6631" s="2">
        <f>IFERROR(__xludf.DUMMYFUNCTION("""COMPUTED_VALUE"""),79.95)</f>
        <v>79.95</v>
      </c>
      <c r="C6631" s="2">
        <f>IFERROR(__xludf.DUMMYFUNCTION("""COMPUTED_VALUE"""),80.54)</f>
        <v>80.54</v>
      </c>
      <c r="D6631" s="2">
        <f>IFERROR(__xludf.DUMMYFUNCTION("""COMPUTED_VALUE"""),79.62)</f>
        <v>79.62</v>
      </c>
      <c r="E6631" s="2">
        <f>IFERROR(__xludf.DUMMYFUNCTION("""COMPUTED_VALUE"""),80.05)</f>
        <v>80.05</v>
      </c>
      <c r="F6631" s="2">
        <f>IFERROR(__xludf.DUMMYFUNCTION("""COMPUTED_VALUE"""),4944100.0)</f>
        <v>4944100</v>
      </c>
    </row>
    <row r="6632">
      <c r="A6632" s="3">
        <f>IFERROR(__xludf.DUMMYFUNCTION("""COMPUTED_VALUE"""),38814.666666666664)</f>
        <v>38814.66667</v>
      </c>
      <c r="B6632" s="2">
        <f>IFERROR(__xludf.DUMMYFUNCTION("""COMPUTED_VALUE"""),79.85)</f>
        <v>79.85</v>
      </c>
      <c r="C6632" s="2">
        <f>IFERROR(__xludf.DUMMYFUNCTION("""COMPUTED_VALUE"""),80.04)</f>
        <v>80.04</v>
      </c>
      <c r="D6632" s="2">
        <f>IFERROR(__xludf.DUMMYFUNCTION("""COMPUTED_VALUE"""),78.74)</f>
        <v>78.74</v>
      </c>
      <c r="E6632" s="2">
        <f>IFERROR(__xludf.DUMMYFUNCTION("""COMPUTED_VALUE"""),78.78)</f>
        <v>78.78</v>
      </c>
      <c r="F6632" s="2">
        <f>IFERROR(__xludf.DUMMYFUNCTION("""COMPUTED_VALUE"""),5338300.0)</f>
        <v>5338300</v>
      </c>
    </row>
    <row r="6633">
      <c r="A6633" s="3">
        <f>IFERROR(__xludf.DUMMYFUNCTION("""COMPUTED_VALUE"""),38817.666666666664)</f>
        <v>38817.66667</v>
      </c>
      <c r="B6633" s="2">
        <f>IFERROR(__xludf.DUMMYFUNCTION("""COMPUTED_VALUE"""),78.78)</f>
        <v>78.78</v>
      </c>
      <c r="C6633" s="2">
        <f>IFERROR(__xludf.DUMMYFUNCTION("""COMPUTED_VALUE"""),79.03)</f>
        <v>79.03</v>
      </c>
      <c r="D6633" s="2">
        <f>IFERROR(__xludf.DUMMYFUNCTION("""COMPUTED_VALUE"""),78.32)</f>
        <v>78.32</v>
      </c>
      <c r="E6633" s="2">
        <f>IFERROR(__xludf.DUMMYFUNCTION("""COMPUTED_VALUE"""),78.42)</f>
        <v>78.42</v>
      </c>
      <c r="F6633" s="2">
        <f>IFERROR(__xludf.DUMMYFUNCTION("""COMPUTED_VALUE"""),3631300.0)</f>
        <v>3631300</v>
      </c>
    </row>
    <row r="6634">
      <c r="A6634" s="3">
        <f>IFERROR(__xludf.DUMMYFUNCTION("""COMPUTED_VALUE"""),38818.666666666664)</f>
        <v>38818.66667</v>
      </c>
      <c r="B6634" s="2">
        <f>IFERROR(__xludf.DUMMYFUNCTION("""COMPUTED_VALUE"""),78.16)</f>
        <v>78.16</v>
      </c>
      <c r="C6634" s="2">
        <f>IFERROR(__xludf.DUMMYFUNCTION("""COMPUTED_VALUE"""),78.38)</f>
        <v>78.38</v>
      </c>
      <c r="D6634" s="2">
        <f>IFERROR(__xludf.DUMMYFUNCTION("""COMPUTED_VALUE"""),77.13)</f>
        <v>77.13</v>
      </c>
      <c r="E6634" s="2">
        <f>IFERROR(__xludf.DUMMYFUNCTION("""COMPUTED_VALUE"""),77.52)</f>
        <v>77.52</v>
      </c>
      <c r="F6634" s="2">
        <f>IFERROR(__xludf.DUMMYFUNCTION("""COMPUTED_VALUE"""),5959700.0)</f>
        <v>5959700</v>
      </c>
    </row>
    <row r="6635">
      <c r="A6635" s="3">
        <f>IFERROR(__xludf.DUMMYFUNCTION("""COMPUTED_VALUE"""),38819.666666666664)</f>
        <v>38819.66667</v>
      </c>
      <c r="B6635" s="2">
        <f>IFERROR(__xludf.DUMMYFUNCTION("""COMPUTED_VALUE"""),77.46)</f>
        <v>77.46</v>
      </c>
      <c r="C6635" s="2">
        <f>IFERROR(__xludf.DUMMYFUNCTION("""COMPUTED_VALUE"""),77.72)</f>
        <v>77.72</v>
      </c>
      <c r="D6635" s="2">
        <f>IFERROR(__xludf.DUMMYFUNCTION("""COMPUTED_VALUE"""),77.01)</f>
        <v>77.01</v>
      </c>
      <c r="E6635" s="2">
        <f>IFERROR(__xludf.DUMMYFUNCTION("""COMPUTED_VALUE"""),77.13)</f>
        <v>77.13</v>
      </c>
      <c r="F6635" s="2">
        <f>IFERROR(__xludf.DUMMYFUNCTION("""COMPUTED_VALUE"""),3905700.0)</f>
        <v>3905700</v>
      </c>
    </row>
    <row r="6636">
      <c r="A6636" s="3">
        <f>IFERROR(__xludf.DUMMYFUNCTION("""COMPUTED_VALUE"""),38820.666666666664)</f>
        <v>38820.66667</v>
      </c>
      <c r="B6636" s="2">
        <f>IFERROR(__xludf.DUMMYFUNCTION("""COMPUTED_VALUE"""),77.54)</f>
        <v>77.54</v>
      </c>
      <c r="C6636" s="2">
        <f>IFERROR(__xludf.DUMMYFUNCTION("""COMPUTED_VALUE"""),78.9)</f>
        <v>78.9</v>
      </c>
      <c r="D6636" s="2">
        <f>IFERROR(__xludf.DUMMYFUNCTION("""COMPUTED_VALUE"""),77.48)</f>
        <v>77.48</v>
      </c>
      <c r="E6636" s="2">
        <f>IFERROR(__xludf.DUMMYFUNCTION("""COMPUTED_VALUE"""),78.3)</f>
        <v>78.3</v>
      </c>
      <c r="F6636" s="2">
        <f>IFERROR(__xludf.DUMMYFUNCTION("""COMPUTED_VALUE"""),4799700.0)</f>
        <v>4799700</v>
      </c>
    </row>
    <row r="6637">
      <c r="A6637" s="3">
        <f>IFERROR(__xludf.DUMMYFUNCTION("""COMPUTED_VALUE"""),38824.666666666664)</f>
        <v>38824.66667</v>
      </c>
      <c r="B6637" s="2">
        <f>IFERROR(__xludf.DUMMYFUNCTION("""COMPUTED_VALUE"""),78.1)</f>
        <v>78.1</v>
      </c>
      <c r="C6637" s="2">
        <f>IFERROR(__xludf.DUMMYFUNCTION("""COMPUTED_VALUE"""),79.2)</f>
        <v>79.2</v>
      </c>
      <c r="D6637" s="2">
        <f>IFERROR(__xludf.DUMMYFUNCTION("""COMPUTED_VALUE"""),77.75)</f>
        <v>77.75</v>
      </c>
      <c r="E6637" s="2">
        <f>IFERROR(__xludf.DUMMYFUNCTION("""COMPUTED_VALUE"""),77.98)</f>
        <v>77.98</v>
      </c>
      <c r="F6637" s="2">
        <f>IFERROR(__xludf.DUMMYFUNCTION("""COMPUTED_VALUE"""),4634200.0)</f>
        <v>4634200</v>
      </c>
    </row>
    <row r="6638">
      <c r="A6638" s="3">
        <f>IFERROR(__xludf.DUMMYFUNCTION("""COMPUTED_VALUE"""),38825.666666666664)</f>
        <v>38825.66667</v>
      </c>
      <c r="B6638" s="2">
        <f>IFERROR(__xludf.DUMMYFUNCTION("""COMPUTED_VALUE"""),78.22)</f>
        <v>78.22</v>
      </c>
      <c r="C6638" s="2">
        <f>IFERROR(__xludf.DUMMYFUNCTION("""COMPUTED_VALUE"""),79.78)</f>
        <v>79.78</v>
      </c>
      <c r="D6638" s="2">
        <f>IFERROR(__xludf.DUMMYFUNCTION("""COMPUTED_VALUE"""),78.04)</f>
        <v>78.04</v>
      </c>
      <c r="E6638" s="2">
        <f>IFERROR(__xludf.DUMMYFUNCTION("""COMPUTED_VALUE"""),79.57)</f>
        <v>79.57</v>
      </c>
      <c r="F6638" s="2">
        <f>IFERROR(__xludf.DUMMYFUNCTION("""COMPUTED_VALUE"""),7919700.0)</f>
        <v>7919700</v>
      </c>
    </row>
    <row r="6639">
      <c r="A6639" s="3">
        <f>IFERROR(__xludf.DUMMYFUNCTION("""COMPUTED_VALUE"""),38826.666666666664)</f>
        <v>38826.66667</v>
      </c>
      <c r="B6639" s="2">
        <f>IFERROR(__xludf.DUMMYFUNCTION("""COMPUTED_VALUE"""),80.19)</f>
        <v>80.19</v>
      </c>
      <c r="C6639" s="2">
        <f>IFERROR(__xludf.DUMMYFUNCTION("""COMPUTED_VALUE"""),80.23)</f>
        <v>80.23</v>
      </c>
      <c r="D6639" s="2">
        <f>IFERROR(__xludf.DUMMYFUNCTION("""COMPUTED_VALUE"""),77.62)</f>
        <v>77.62</v>
      </c>
      <c r="E6639" s="2">
        <f>IFERROR(__xludf.DUMMYFUNCTION("""COMPUTED_VALUE"""),78.19)</f>
        <v>78.19</v>
      </c>
      <c r="F6639" s="2">
        <f>IFERROR(__xludf.DUMMYFUNCTION("""COMPUTED_VALUE"""),1.05552E7)</f>
        <v>10555200</v>
      </c>
    </row>
    <row r="6640">
      <c r="A6640" s="3">
        <f>IFERROR(__xludf.DUMMYFUNCTION("""COMPUTED_VALUE"""),38827.666666666664)</f>
        <v>38827.66667</v>
      </c>
      <c r="B6640" s="2">
        <f>IFERROR(__xludf.DUMMYFUNCTION("""COMPUTED_VALUE"""),77.99)</f>
        <v>77.99</v>
      </c>
      <c r="C6640" s="2">
        <f>IFERROR(__xludf.DUMMYFUNCTION("""COMPUTED_VALUE"""),79.14)</f>
        <v>79.14</v>
      </c>
      <c r="D6640" s="2">
        <f>IFERROR(__xludf.DUMMYFUNCTION("""COMPUTED_VALUE"""),77.98)</f>
        <v>77.98</v>
      </c>
      <c r="E6640" s="2">
        <f>IFERROR(__xludf.DUMMYFUNCTION("""COMPUTED_VALUE"""),78.34)</f>
        <v>78.34</v>
      </c>
      <c r="F6640" s="2">
        <f>IFERROR(__xludf.DUMMYFUNCTION("""COMPUTED_VALUE"""),6237200.0)</f>
        <v>6237200</v>
      </c>
    </row>
    <row r="6641">
      <c r="A6641" s="3">
        <f>IFERROR(__xludf.DUMMYFUNCTION("""COMPUTED_VALUE"""),38828.666666666664)</f>
        <v>38828.66667</v>
      </c>
      <c r="B6641" s="2">
        <f>IFERROR(__xludf.DUMMYFUNCTION("""COMPUTED_VALUE"""),78.79)</f>
        <v>78.79</v>
      </c>
      <c r="C6641" s="2">
        <f>IFERROR(__xludf.DUMMYFUNCTION("""COMPUTED_VALUE"""),78.8)</f>
        <v>78.8</v>
      </c>
      <c r="D6641" s="2">
        <f>IFERROR(__xludf.DUMMYFUNCTION("""COMPUTED_VALUE"""),77.73)</f>
        <v>77.73</v>
      </c>
      <c r="E6641" s="2">
        <f>IFERROR(__xludf.DUMMYFUNCTION("""COMPUTED_VALUE"""),78.0)</f>
        <v>78</v>
      </c>
      <c r="F6641" s="2">
        <f>IFERROR(__xludf.DUMMYFUNCTION("""COMPUTED_VALUE"""),6117400.0)</f>
        <v>6117400</v>
      </c>
    </row>
    <row r="6642">
      <c r="A6642" s="3">
        <f>IFERROR(__xludf.DUMMYFUNCTION("""COMPUTED_VALUE"""),38831.666666666664)</f>
        <v>38831.66667</v>
      </c>
      <c r="B6642" s="2">
        <f>IFERROR(__xludf.DUMMYFUNCTION("""COMPUTED_VALUE"""),77.65)</f>
        <v>77.65</v>
      </c>
      <c r="C6642" s="2">
        <f>IFERROR(__xludf.DUMMYFUNCTION("""COMPUTED_VALUE"""),78.72)</f>
        <v>78.72</v>
      </c>
      <c r="D6642" s="2">
        <f>IFERROR(__xludf.DUMMYFUNCTION("""COMPUTED_VALUE"""),77.46)</f>
        <v>77.46</v>
      </c>
      <c r="E6642" s="2">
        <f>IFERROR(__xludf.DUMMYFUNCTION("""COMPUTED_VALUE"""),78.43)</f>
        <v>78.43</v>
      </c>
      <c r="F6642" s="2">
        <f>IFERROR(__xludf.DUMMYFUNCTION("""COMPUTED_VALUE"""),6604100.0)</f>
        <v>6604100</v>
      </c>
    </row>
    <row r="6643">
      <c r="A6643" s="3">
        <f>IFERROR(__xludf.DUMMYFUNCTION("""COMPUTED_VALUE"""),38832.666666666664)</f>
        <v>38832.66667</v>
      </c>
      <c r="B6643" s="2">
        <f>IFERROR(__xludf.DUMMYFUNCTION("""COMPUTED_VALUE"""),78.28)</f>
        <v>78.28</v>
      </c>
      <c r="C6643" s="2">
        <f>IFERROR(__xludf.DUMMYFUNCTION("""COMPUTED_VALUE"""),79.18)</f>
        <v>79.18</v>
      </c>
      <c r="D6643" s="2">
        <f>IFERROR(__xludf.DUMMYFUNCTION("""COMPUTED_VALUE"""),77.94)</f>
        <v>77.94</v>
      </c>
      <c r="E6643" s="2">
        <f>IFERROR(__xludf.DUMMYFUNCTION("""COMPUTED_VALUE"""),78.96)</f>
        <v>78.96</v>
      </c>
      <c r="F6643" s="2">
        <f>IFERROR(__xludf.DUMMYFUNCTION("""COMPUTED_VALUE"""),6857400.0)</f>
        <v>6857400</v>
      </c>
    </row>
    <row r="6644">
      <c r="A6644" s="3">
        <f>IFERROR(__xludf.DUMMYFUNCTION("""COMPUTED_VALUE"""),38833.666666666664)</f>
        <v>38833.66667</v>
      </c>
      <c r="B6644" s="2">
        <f>IFERROR(__xludf.DUMMYFUNCTION("""COMPUTED_VALUE"""),79.13)</f>
        <v>79.13</v>
      </c>
      <c r="C6644" s="2">
        <f>IFERROR(__xludf.DUMMYFUNCTION("""COMPUTED_VALUE"""),79.74)</f>
        <v>79.74</v>
      </c>
      <c r="D6644" s="2">
        <f>IFERROR(__xludf.DUMMYFUNCTION("""COMPUTED_VALUE"""),79.0)</f>
        <v>79</v>
      </c>
      <c r="E6644" s="2">
        <f>IFERROR(__xludf.DUMMYFUNCTION("""COMPUTED_VALUE"""),79.61)</f>
        <v>79.61</v>
      </c>
      <c r="F6644" s="2">
        <f>IFERROR(__xludf.DUMMYFUNCTION("""COMPUTED_VALUE"""),6649000.0)</f>
        <v>6649000</v>
      </c>
    </row>
    <row r="6645">
      <c r="A6645" s="3">
        <f>IFERROR(__xludf.DUMMYFUNCTION("""COMPUTED_VALUE"""),38834.666666666664)</f>
        <v>38834.66667</v>
      </c>
      <c r="B6645" s="2">
        <f>IFERROR(__xludf.DUMMYFUNCTION("""COMPUTED_VALUE"""),78.99)</f>
        <v>78.99</v>
      </c>
      <c r="C6645" s="2">
        <f>IFERROR(__xludf.DUMMYFUNCTION("""COMPUTED_VALUE"""),80.62)</f>
        <v>80.62</v>
      </c>
      <c r="D6645" s="2">
        <f>IFERROR(__xludf.DUMMYFUNCTION("""COMPUTED_VALUE"""),78.99)</f>
        <v>78.99</v>
      </c>
      <c r="E6645" s="2">
        <f>IFERROR(__xludf.DUMMYFUNCTION("""COMPUTED_VALUE"""),80.12)</f>
        <v>80.12</v>
      </c>
      <c r="F6645" s="2">
        <f>IFERROR(__xludf.DUMMYFUNCTION("""COMPUTED_VALUE"""),8174300.0)</f>
        <v>8174300</v>
      </c>
    </row>
    <row r="6646">
      <c r="A6646" s="3">
        <f>IFERROR(__xludf.DUMMYFUNCTION("""COMPUTED_VALUE"""),38835.666666666664)</f>
        <v>38835.66667</v>
      </c>
      <c r="B6646" s="2">
        <f>IFERROR(__xludf.DUMMYFUNCTION("""COMPUTED_VALUE"""),79.77)</f>
        <v>79.77</v>
      </c>
      <c r="C6646" s="2">
        <f>IFERROR(__xludf.DUMMYFUNCTION("""COMPUTED_VALUE"""),79.87)</f>
        <v>79.87</v>
      </c>
      <c r="D6646" s="2">
        <f>IFERROR(__xludf.DUMMYFUNCTION("""COMPUTED_VALUE"""),78.3)</f>
        <v>78.3</v>
      </c>
      <c r="E6646" s="2">
        <f>IFERROR(__xludf.DUMMYFUNCTION("""COMPUTED_VALUE"""),78.65)</f>
        <v>78.65</v>
      </c>
      <c r="F6646" s="2">
        <f>IFERROR(__xludf.DUMMYFUNCTION("""COMPUTED_VALUE"""),8201800.0)</f>
        <v>8201800</v>
      </c>
    </row>
    <row r="6647">
      <c r="A6647" s="3">
        <f>IFERROR(__xludf.DUMMYFUNCTION("""COMPUTED_VALUE"""),38838.666666666664)</f>
        <v>38838.66667</v>
      </c>
      <c r="B6647" s="2">
        <f>IFERROR(__xludf.DUMMYFUNCTION("""COMPUTED_VALUE"""),78.89)</f>
        <v>78.89</v>
      </c>
      <c r="C6647" s="2">
        <f>IFERROR(__xludf.DUMMYFUNCTION("""COMPUTED_VALUE"""),79.57)</f>
        <v>79.57</v>
      </c>
      <c r="D6647" s="2">
        <f>IFERROR(__xludf.DUMMYFUNCTION("""COMPUTED_VALUE"""),78.42)</f>
        <v>78.42</v>
      </c>
      <c r="E6647" s="2">
        <f>IFERROR(__xludf.DUMMYFUNCTION("""COMPUTED_VALUE"""),78.54)</f>
        <v>78.54</v>
      </c>
      <c r="F6647" s="2">
        <f>IFERROR(__xludf.DUMMYFUNCTION("""COMPUTED_VALUE"""),6011400.0)</f>
        <v>6011400</v>
      </c>
    </row>
    <row r="6648">
      <c r="A6648" s="3">
        <f>IFERROR(__xludf.DUMMYFUNCTION("""COMPUTED_VALUE"""),38839.666666666664)</f>
        <v>38839.66667</v>
      </c>
      <c r="B6648" s="2">
        <f>IFERROR(__xludf.DUMMYFUNCTION("""COMPUTED_VALUE"""),78.47)</f>
        <v>78.47</v>
      </c>
      <c r="C6648" s="2">
        <f>IFERROR(__xludf.DUMMYFUNCTION("""COMPUTED_VALUE"""),79.03)</f>
        <v>79.03</v>
      </c>
      <c r="D6648" s="2">
        <f>IFERROR(__xludf.DUMMYFUNCTION("""COMPUTED_VALUE"""),78.32)</f>
        <v>78.32</v>
      </c>
      <c r="E6648" s="2">
        <f>IFERROR(__xludf.DUMMYFUNCTION("""COMPUTED_VALUE"""),78.72)</f>
        <v>78.72</v>
      </c>
      <c r="F6648" s="2">
        <f>IFERROR(__xludf.DUMMYFUNCTION("""COMPUTED_VALUE"""),4337000.0)</f>
        <v>4337000</v>
      </c>
    </row>
    <row r="6649">
      <c r="A6649" s="3">
        <f>IFERROR(__xludf.DUMMYFUNCTION("""COMPUTED_VALUE"""),38840.666666666664)</f>
        <v>38840.66667</v>
      </c>
      <c r="B6649" s="2">
        <f>IFERROR(__xludf.DUMMYFUNCTION("""COMPUTED_VALUE"""),78.84)</f>
        <v>78.84</v>
      </c>
      <c r="C6649" s="2">
        <f>IFERROR(__xludf.DUMMYFUNCTION("""COMPUTED_VALUE"""),79.56)</f>
        <v>79.56</v>
      </c>
      <c r="D6649" s="2">
        <f>IFERROR(__xludf.DUMMYFUNCTION("""COMPUTED_VALUE"""),78.75)</f>
        <v>78.75</v>
      </c>
      <c r="E6649" s="2">
        <f>IFERROR(__xludf.DUMMYFUNCTION("""COMPUTED_VALUE"""),78.99)</f>
        <v>78.99</v>
      </c>
      <c r="F6649" s="2">
        <f>IFERROR(__xludf.DUMMYFUNCTION("""COMPUTED_VALUE"""),5721100.0)</f>
        <v>5721100</v>
      </c>
    </row>
    <row r="6650">
      <c r="A6650" s="3">
        <f>IFERROR(__xludf.DUMMYFUNCTION("""COMPUTED_VALUE"""),38841.666666666664)</f>
        <v>38841.66667</v>
      </c>
      <c r="B6650" s="2">
        <f>IFERROR(__xludf.DUMMYFUNCTION("""COMPUTED_VALUE"""),79.15)</f>
        <v>79.15</v>
      </c>
      <c r="C6650" s="2">
        <f>IFERROR(__xludf.DUMMYFUNCTION("""COMPUTED_VALUE"""),79.36)</f>
        <v>79.36</v>
      </c>
      <c r="D6650" s="2">
        <f>IFERROR(__xludf.DUMMYFUNCTION("""COMPUTED_VALUE"""),78.71)</f>
        <v>78.71</v>
      </c>
      <c r="E6650" s="2">
        <f>IFERROR(__xludf.DUMMYFUNCTION("""COMPUTED_VALUE"""),78.73)</f>
        <v>78.73</v>
      </c>
      <c r="F6650" s="2">
        <f>IFERROR(__xludf.DUMMYFUNCTION("""COMPUTED_VALUE"""),3966900.0)</f>
        <v>3966900</v>
      </c>
    </row>
    <row r="6651">
      <c r="A6651" s="3">
        <f>IFERROR(__xludf.DUMMYFUNCTION("""COMPUTED_VALUE"""),38842.666666666664)</f>
        <v>38842.66667</v>
      </c>
      <c r="B6651" s="2">
        <f>IFERROR(__xludf.DUMMYFUNCTION("""COMPUTED_VALUE"""),79.23)</f>
        <v>79.23</v>
      </c>
      <c r="C6651" s="2">
        <f>IFERROR(__xludf.DUMMYFUNCTION("""COMPUTED_VALUE"""),79.6)</f>
        <v>79.6</v>
      </c>
      <c r="D6651" s="2">
        <f>IFERROR(__xludf.DUMMYFUNCTION("""COMPUTED_VALUE"""),78.99)</f>
        <v>78.99</v>
      </c>
      <c r="E6651" s="2">
        <f>IFERROR(__xludf.DUMMYFUNCTION("""COMPUTED_VALUE"""),79.55)</f>
        <v>79.55</v>
      </c>
      <c r="F6651" s="2">
        <f>IFERROR(__xludf.DUMMYFUNCTION("""COMPUTED_VALUE"""),4504700.0)</f>
        <v>4504700</v>
      </c>
    </row>
    <row r="6652">
      <c r="A6652" s="3">
        <f>IFERROR(__xludf.DUMMYFUNCTION("""COMPUTED_VALUE"""),38845.666666666664)</f>
        <v>38845.66667</v>
      </c>
      <c r="B6652" s="2">
        <f>IFERROR(__xludf.DUMMYFUNCTION("""COMPUTED_VALUE"""),78.9)</f>
        <v>78.9</v>
      </c>
      <c r="C6652" s="2">
        <f>IFERROR(__xludf.DUMMYFUNCTION("""COMPUTED_VALUE"""),79.49)</f>
        <v>79.49</v>
      </c>
      <c r="D6652" s="2">
        <f>IFERROR(__xludf.DUMMYFUNCTION("""COMPUTED_VALUE"""),78.61)</f>
        <v>78.61</v>
      </c>
      <c r="E6652" s="2">
        <f>IFERROR(__xludf.DUMMYFUNCTION("""COMPUTED_VALUE"""),79.17)</f>
        <v>79.17</v>
      </c>
      <c r="F6652" s="2">
        <f>IFERROR(__xludf.DUMMYFUNCTION("""COMPUTED_VALUE"""),3822400.0)</f>
        <v>3822400</v>
      </c>
    </row>
    <row r="6653">
      <c r="A6653" s="3">
        <f>IFERROR(__xludf.DUMMYFUNCTION("""COMPUTED_VALUE"""),38846.666666666664)</f>
        <v>38846.66667</v>
      </c>
      <c r="B6653" s="2">
        <f>IFERROR(__xludf.DUMMYFUNCTION("""COMPUTED_VALUE"""),78.79)</f>
        <v>78.79</v>
      </c>
      <c r="C6653" s="2">
        <f>IFERROR(__xludf.DUMMYFUNCTION("""COMPUTED_VALUE"""),79.56)</f>
        <v>79.56</v>
      </c>
      <c r="D6653" s="2">
        <f>IFERROR(__xludf.DUMMYFUNCTION("""COMPUTED_VALUE"""),78.71)</f>
        <v>78.71</v>
      </c>
      <c r="E6653" s="2">
        <f>IFERROR(__xludf.DUMMYFUNCTION("""COMPUTED_VALUE"""),79.5)</f>
        <v>79.5</v>
      </c>
      <c r="F6653" s="2">
        <f>IFERROR(__xludf.DUMMYFUNCTION("""COMPUTED_VALUE"""),4072800.0)</f>
        <v>4072800</v>
      </c>
    </row>
    <row r="6654">
      <c r="A6654" s="3">
        <f>IFERROR(__xludf.DUMMYFUNCTION("""COMPUTED_VALUE"""),38847.666666666664)</f>
        <v>38847.66667</v>
      </c>
      <c r="B6654" s="2">
        <f>IFERROR(__xludf.DUMMYFUNCTION("""COMPUTED_VALUE"""),79.18)</f>
        <v>79.18</v>
      </c>
      <c r="C6654" s="2">
        <f>IFERROR(__xludf.DUMMYFUNCTION("""COMPUTED_VALUE"""),79.59)</f>
        <v>79.59</v>
      </c>
      <c r="D6654" s="2">
        <f>IFERROR(__xludf.DUMMYFUNCTION("""COMPUTED_VALUE"""),78.9)</f>
        <v>78.9</v>
      </c>
      <c r="E6654" s="2">
        <f>IFERROR(__xludf.DUMMYFUNCTION("""COMPUTED_VALUE"""),79.18)</f>
        <v>79.18</v>
      </c>
      <c r="F6654" s="2">
        <f>IFERROR(__xludf.DUMMYFUNCTION("""COMPUTED_VALUE"""),3430700.0)</f>
        <v>3430700</v>
      </c>
    </row>
    <row r="6655">
      <c r="A6655" s="3">
        <f>IFERROR(__xludf.DUMMYFUNCTION("""COMPUTED_VALUE"""),38848.666666666664)</f>
        <v>38848.66667</v>
      </c>
      <c r="B6655" s="2">
        <f>IFERROR(__xludf.DUMMYFUNCTION("""COMPUTED_VALUE"""),78.94)</f>
        <v>78.94</v>
      </c>
      <c r="C6655" s="2">
        <f>IFERROR(__xludf.DUMMYFUNCTION("""COMPUTED_VALUE"""),79.36)</f>
        <v>79.36</v>
      </c>
      <c r="D6655" s="2">
        <f>IFERROR(__xludf.DUMMYFUNCTION("""COMPUTED_VALUE"""),78.75)</f>
        <v>78.75</v>
      </c>
      <c r="E6655" s="2">
        <f>IFERROR(__xludf.DUMMYFUNCTION("""COMPUTED_VALUE"""),78.76)</f>
        <v>78.76</v>
      </c>
      <c r="F6655" s="2">
        <f>IFERROR(__xludf.DUMMYFUNCTION("""COMPUTED_VALUE"""),5274500.0)</f>
        <v>5274500</v>
      </c>
    </row>
    <row r="6656">
      <c r="A6656" s="3">
        <f>IFERROR(__xludf.DUMMYFUNCTION("""COMPUTED_VALUE"""),38849.666666666664)</f>
        <v>38849.66667</v>
      </c>
      <c r="B6656" s="2">
        <f>IFERROR(__xludf.DUMMYFUNCTION("""COMPUTED_VALUE"""),78.77)</f>
        <v>78.77</v>
      </c>
      <c r="C6656" s="2">
        <f>IFERROR(__xludf.DUMMYFUNCTION("""COMPUTED_VALUE"""),79.94)</f>
        <v>79.94</v>
      </c>
      <c r="D6656" s="2">
        <f>IFERROR(__xludf.DUMMYFUNCTION("""COMPUTED_VALUE"""),78.61)</f>
        <v>78.61</v>
      </c>
      <c r="E6656" s="2">
        <f>IFERROR(__xludf.DUMMYFUNCTION("""COMPUTED_VALUE"""),78.7)</f>
        <v>78.7</v>
      </c>
      <c r="F6656" s="2">
        <f>IFERROR(__xludf.DUMMYFUNCTION("""COMPUTED_VALUE"""),5685700.0)</f>
        <v>5685700</v>
      </c>
    </row>
    <row r="6657">
      <c r="A6657" s="3">
        <f>IFERROR(__xludf.DUMMYFUNCTION("""COMPUTED_VALUE"""),38852.666666666664)</f>
        <v>38852.66667</v>
      </c>
      <c r="B6657" s="2">
        <f>IFERROR(__xludf.DUMMYFUNCTION("""COMPUTED_VALUE"""),78.13)</f>
        <v>78.13</v>
      </c>
      <c r="C6657" s="2">
        <f>IFERROR(__xludf.DUMMYFUNCTION("""COMPUTED_VALUE"""),79.42)</f>
        <v>79.42</v>
      </c>
      <c r="D6657" s="2">
        <f>IFERROR(__xludf.DUMMYFUNCTION("""COMPUTED_VALUE"""),78.13)</f>
        <v>78.13</v>
      </c>
      <c r="E6657" s="2">
        <f>IFERROR(__xludf.DUMMYFUNCTION("""COMPUTED_VALUE"""),79.17)</f>
        <v>79.17</v>
      </c>
      <c r="F6657" s="2">
        <f>IFERROR(__xludf.DUMMYFUNCTION("""COMPUTED_VALUE"""),5778500.0)</f>
        <v>5778500</v>
      </c>
    </row>
    <row r="6658">
      <c r="A6658" s="3">
        <f>IFERROR(__xludf.DUMMYFUNCTION("""COMPUTED_VALUE"""),38853.666666666664)</f>
        <v>38853.66667</v>
      </c>
      <c r="B6658" s="2">
        <f>IFERROR(__xludf.DUMMYFUNCTION("""COMPUTED_VALUE"""),79.28)</f>
        <v>79.28</v>
      </c>
      <c r="C6658" s="2">
        <f>IFERROR(__xludf.DUMMYFUNCTION("""COMPUTED_VALUE"""),79.52)</f>
        <v>79.52</v>
      </c>
      <c r="D6658" s="2">
        <f>IFERROR(__xludf.DUMMYFUNCTION("""COMPUTED_VALUE"""),78.39)</f>
        <v>78.39</v>
      </c>
      <c r="E6658" s="2">
        <f>IFERROR(__xludf.DUMMYFUNCTION("""COMPUTED_VALUE"""),78.48)</f>
        <v>78.48</v>
      </c>
      <c r="F6658" s="2">
        <f>IFERROR(__xludf.DUMMYFUNCTION("""COMPUTED_VALUE"""),4456300.0)</f>
        <v>4456300</v>
      </c>
    </row>
    <row r="6659">
      <c r="A6659" s="3">
        <f>IFERROR(__xludf.DUMMYFUNCTION("""COMPUTED_VALUE"""),38854.666666666664)</f>
        <v>38854.66667</v>
      </c>
      <c r="B6659" s="2">
        <f>IFERROR(__xludf.DUMMYFUNCTION("""COMPUTED_VALUE"""),78.08)</f>
        <v>78.08</v>
      </c>
      <c r="C6659" s="2">
        <f>IFERROR(__xludf.DUMMYFUNCTION("""COMPUTED_VALUE"""),78.53)</f>
        <v>78.53</v>
      </c>
      <c r="D6659" s="2">
        <f>IFERROR(__xludf.DUMMYFUNCTION("""COMPUTED_VALUE"""),77.39)</f>
        <v>77.39</v>
      </c>
      <c r="E6659" s="2">
        <f>IFERROR(__xludf.DUMMYFUNCTION("""COMPUTED_VALUE"""),77.63)</f>
        <v>77.63</v>
      </c>
      <c r="F6659" s="2">
        <f>IFERROR(__xludf.DUMMYFUNCTION("""COMPUTED_VALUE"""),5936400.0)</f>
        <v>5936400</v>
      </c>
    </row>
    <row r="6660">
      <c r="A6660" s="3">
        <f>IFERROR(__xludf.DUMMYFUNCTION("""COMPUTED_VALUE"""),38855.666666666664)</f>
        <v>38855.66667</v>
      </c>
      <c r="B6660" s="2">
        <f>IFERROR(__xludf.DUMMYFUNCTION("""COMPUTED_VALUE"""),76.89)</f>
        <v>76.89</v>
      </c>
      <c r="C6660" s="2">
        <f>IFERROR(__xludf.DUMMYFUNCTION("""COMPUTED_VALUE"""),77.7)</f>
        <v>77.7</v>
      </c>
      <c r="D6660" s="2">
        <f>IFERROR(__xludf.DUMMYFUNCTION("""COMPUTED_VALUE"""),76.44)</f>
        <v>76.44</v>
      </c>
      <c r="E6660" s="2">
        <f>IFERROR(__xludf.DUMMYFUNCTION("""COMPUTED_VALUE"""),77.04)</f>
        <v>77.04</v>
      </c>
      <c r="F6660" s="2">
        <f>IFERROR(__xludf.DUMMYFUNCTION("""COMPUTED_VALUE"""),5443600.0)</f>
        <v>5443600</v>
      </c>
    </row>
    <row r="6661">
      <c r="A6661" s="3">
        <f>IFERROR(__xludf.DUMMYFUNCTION("""COMPUTED_VALUE"""),38856.666666666664)</f>
        <v>38856.66667</v>
      </c>
      <c r="B6661" s="2">
        <f>IFERROR(__xludf.DUMMYFUNCTION("""COMPUTED_VALUE"""),77.23)</f>
        <v>77.23</v>
      </c>
      <c r="C6661" s="2">
        <f>IFERROR(__xludf.DUMMYFUNCTION("""COMPUTED_VALUE"""),77.37)</f>
        <v>77.37</v>
      </c>
      <c r="D6661" s="2">
        <f>IFERROR(__xludf.DUMMYFUNCTION("""COMPUTED_VALUE"""),75.95)</f>
        <v>75.95</v>
      </c>
      <c r="E6661" s="2">
        <f>IFERROR(__xludf.DUMMYFUNCTION("""COMPUTED_VALUE"""),76.68)</f>
        <v>76.68</v>
      </c>
      <c r="F6661" s="2">
        <f>IFERROR(__xludf.DUMMYFUNCTION("""COMPUTED_VALUE"""),7019100.0)</f>
        <v>7019100</v>
      </c>
    </row>
    <row r="6662">
      <c r="A6662" s="3">
        <f>IFERROR(__xludf.DUMMYFUNCTION("""COMPUTED_VALUE"""),38859.666666666664)</f>
        <v>38859.66667</v>
      </c>
      <c r="B6662" s="2">
        <f>IFERROR(__xludf.DUMMYFUNCTION("""COMPUTED_VALUE"""),76.25)</f>
        <v>76.25</v>
      </c>
      <c r="C6662" s="2">
        <f>IFERROR(__xludf.DUMMYFUNCTION("""COMPUTED_VALUE"""),76.74)</f>
        <v>76.74</v>
      </c>
      <c r="D6662" s="2">
        <f>IFERROR(__xludf.DUMMYFUNCTION("""COMPUTED_VALUE"""),75.84)</f>
        <v>75.84</v>
      </c>
      <c r="E6662" s="2">
        <f>IFERROR(__xludf.DUMMYFUNCTION("""COMPUTED_VALUE"""),76.43)</f>
        <v>76.43</v>
      </c>
      <c r="F6662" s="2">
        <f>IFERROR(__xludf.DUMMYFUNCTION("""COMPUTED_VALUE"""),6275900.0)</f>
        <v>6275900</v>
      </c>
    </row>
    <row r="6663">
      <c r="A6663" s="3">
        <f>IFERROR(__xludf.DUMMYFUNCTION("""COMPUTED_VALUE"""),38860.666666666664)</f>
        <v>38860.66667</v>
      </c>
      <c r="B6663" s="2">
        <f>IFERROR(__xludf.DUMMYFUNCTION("""COMPUTED_VALUE"""),76.65)</f>
        <v>76.65</v>
      </c>
      <c r="C6663" s="2">
        <f>IFERROR(__xludf.DUMMYFUNCTION("""COMPUTED_VALUE"""),77.65)</f>
        <v>77.65</v>
      </c>
      <c r="D6663" s="2">
        <f>IFERROR(__xludf.DUMMYFUNCTION("""COMPUTED_VALUE"""),76.07)</f>
        <v>76.07</v>
      </c>
      <c r="E6663" s="2">
        <f>IFERROR(__xludf.DUMMYFUNCTION("""COMPUTED_VALUE"""),76.25)</f>
        <v>76.25</v>
      </c>
      <c r="F6663" s="2">
        <f>IFERROR(__xludf.DUMMYFUNCTION("""COMPUTED_VALUE"""),5010300.0)</f>
        <v>5010300</v>
      </c>
    </row>
    <row r="6664">
      <c r="A6664" s="3">
        <f>IFERROR(__xludf.DUMMYFUNCTION("""COMPUTED_VALUE"""),38861.666666666664)</f>
        <v>38861.66667</v>
      </c>
      <c r="B6664" s="2">
        <f>IFERROR(__xludf.DUMMYFUNCTION("""COMPUTED_VALUE"""),75.79)</f>
        <v>75.79</v>
      </c>
      <c r="C6664" s="2">
        <f>IFERROR(__xludf.DUMMYFUNCTION("""COMPUTED_VALUE"""),76.45)</f>
        <v>76.45</v>
      </c>
      <c r="D6664" s="2">
        <f>IFERROR(__xludf.DUMMYFUNCTION("""COMPUTED_VALUE"""),75.52)</f>
        <v>75.52</v>
      </c>
      <c r="E6664" s="2">
        <f>IFERROR(__xludf.DUMMYFUNCTION("""COMPUTED_VALUE"""),76.2)</f>
        <v>76.2</v>
      </c>
      <c r="F6664" s="2">
        <f>IFERROR(__xludf.DUMMYFUNCTION("""COMPUTED_VALUE"""),7389600.0)</f>
        <v>7389600</v>
      </c>
    </row>
    <row r="6665">
      <c r="A6665" s="3">
        <f>IFERROR(__xludf.DUMMYFUNCTION("""COMPUTED_VALUE"""),38862.666666666664)</f>
        <v>38862.66667</v>
      </c>
      <c r="B6665" s="2">
        <f>IFERROR(__xludf.DUMMYFUNCTION("""COMPUTED_VALUE"""),76.39)</f>
        <v>76.39</v>
      </c>
      <c r="C6665" s="2">
        <f>IFERROR(__xludf.DUMMYFUNCTION("""COMPUTED_VALUE"""),76.59)</f>
        <v>76.59</v>
      </c>
      <c r="D6665" s="2">
        <f>IFERROR(__xludf.DUMMYFUNCTION("""COMPUTED_VALUE"""),76.08)</f>
        <v>76.08</v>
      </c>
      <c r="E6665" s="2">
        <f>IFERROR(__xludf.DUMMYFUNCTION("""COMPUTED_VALUE"""),76.55)</f>
        <v>76.55</v>
      </c>
      <c r="F6665" s="2">
        <f>IFERROR(__xludf.DUMMYFUNCTION("""COMPUTED_VALUE"""),3995200.0)</f>
        <v>3995200</v>
      </c>
    </row>
    <row r="6666">
      <c r="A6666" s="3">
        <f>IFERROR(__xludf.DUMMYFUNCTION("""COMPUTED_VALUE"""),38863.666666666664)</f>
        <v>38863.66667</v>
      </c>
      <c r="B6666" s="2">
        <f>IFERROR(__xludf.DUMMYFUNCTION("""COMPUTED_VALUE"""),76.57)</f>
        <v>76.57</v>
      </c>
      <c r="C6666" s="2">
        <f>IFERROR(__xludf.DUMMYFUNCTION("""COMPUTED_VALUE"""),77.23)</f>
        <v>77.23</v>
      </c>
      <c r="D6666" s="2">
        <f>IFERROR(__xludf.DUMMYFUNCTION("""COMPUTED_VALUE"""),76.13)</f>
        <v>76.13</v>
      </c>
      <c r="E6666" s="2">
        <f>IFERROR(__xludf.DUMMYFUNCTION("""COMPUTED_VALUE"""),77.13)</f>
        <v>77.13</v>
      </c>
      <c r="F6666" s="2">
        <f>IFERROR(__xludf.DUMMYFUNCTION("""COMPUTED_VALUE"""),3580800.0)</f>
        <v>3580800</v>
      </c>
    </row>
    <row r="6667">
      <c r="A6667" s="3">
        <f>IFERROR(__xludf.DUMMYFUNCTION("""COMPUTED_VALUE"""),38867.666666666664)</f>
        <v>38867.66667</v>
      </c>
      <c r="B6667" s="2">
        <f>IFERROR(__xludf.DUMMYFUNCTION("""COMPUTED_VALUE"""),76.75)</f>
        <v>76.75</v>
      </c>
      <c r="C6667" s="2">
        <f>IFERROR(__xludf.DUMMYFUNCTION("""COMPUTED_VALUE"""),77.33)</f>
        <v>77.33</v>
      </c>
      <c r="D6667" s="2">
        <f>IFERROR(__xludf.DUMMYFUNCTION("""COMPUTED_VALUE"""),76.56)</f>
        <v>76.56</v>
      </c>
      <c r="E6667" s="2">
        <f>IFERROR(__xludf.DUMMYFUNCTION("""COMPUTED_VALUE"""),76.57)</f>
        <v>76.57</v>
      </c>
      <c r="F6667" s="2">
        <f>IFERROR(__xludf.DUMMYFUNCTION("""COMPUTED_VALUE"""),5049100.0)</f>
        <v>5049100</v>
      </c>
    </row>
    <row r="6668">
      <c r="A6668" s="3">
        <f>IFERROR(__xludf.DUMMYFUNCTION("""COMPUTED_VALUE"""),38868.666666666664)</f>
        <v>38868.66667</v>
      </c>
      <c r="B6668" s="2">
        <f>IFERROR(__xludf.DUMMYFUNCTION("""COMPUTED_VALUE"""),76.56)</f>
        <v>76.56</v>
      </c>
      <c r="C6668" s="2">
        <f>IFERROR(__xludf.DUMMYFUNCTION("""COMPUTED_VALUE"""),77.21)</f>
        <v>77.21</v>
      </c>
      <c r="D6668" s="2">
        <f>IFERROR(__xludf.DUMMYFUNCTION("""COMPUTED_VALUE"""),76.04)</f>
        <v>76.04</v>
      </c>
      <c r="E6668" s="2">
        <f>IFERROR(__xludf.DUMMYFUNCTION("""COMPUTED_VALUE"""),76.32)</f>
        <v>76.32</v>
      </c>
      <c r="F6668" s="2">
        <f>IFERROR(__xludf.DUMMYFUNCTION("""COMPUTED_VALUE"""),6385200.0)</f>
        <v>6385200</v>
      </c>
    </row>
    <row r="6669">
      <c r="A6669" s="3">
        <f>IFERROR(__xludf.DUMMYFUNCTION("""COMPUTED_VALUE"""),38869.666666666664)</f>
        <v>38869.66667</v>
      </c>
      <c r="B6669" s="2">
        <f>IFERROR(__xludf.DUMMYFUNCTION("""COMPUTED_VALUE"""),76.31)</f>
        <v>76.31</v>
      </c>
      <c r="C6669" s="2">
        <f>IFERROR(__xludf.DUMMYFUNCTION("""COMPUTED_VALUE"""),77.24)</f>
        <v>77.24</v>
      </c>
      <c r="D6669" s="2">
        <f>IFERROR(__xludf.DUMMYFUNCTION("""COMPUTED_VALUE"""),76.23)</f>
        <v>76.23</v>
      </c>
      <c r="E6669" s="2">
        <f>IFERROR(__xludf.DUMMYFUNCTION("""COMPUTED_VALUE"""),77.07)</f>
        <v>77.07</v>
      </c>
      <c r="F6669" s="2">
        <f>IFERROR(__xludf.DUMMYFUNCTION("""COMPUTED_VALUE"""),4866500.0)</f>
        <v>4866500</v>
      </c>
    </row>
    <row r="6670">
      <c r="A6670" s="3">
        <f>IFERROR(__xludf.DUMMYFUNCTION("""COMPUTED_VALUE"""),38870.666666666664)</f>
        <v>38870.66667</v>
      </c>
      <c r="B6670" s="2">
        <f>IFERROR(__xludf.DUMMYFUNCTION("""COMPUTED_VALUE"""),76.89)</f>
        <v>76.89</v>
      </c>
      <c r="C6670" s="2">
        <f>IFERROR(__xludf.DUMMYFUNCTION("""COMPUTED_VALUE"""),76.95)</f>
        <v>76.95</v>
      </c>
      <c r="D6670" s="2">
        <f>IFERROR(__xludf.DUMMYFUNCTION("""COMPUTED_VALUE"""),75.6)</f>
        <v>75.6</v>
      </c>
      <c r="E6670" s="2">
        <f>IFERROR(__xludf.DUMMYFUNCTION("""COMPUTED_VALUE"""),75.95)</f>
        <v>75.95</v>
      </c>
      <c r="F6670" s="2">
        <f>IFERROR(__xludf.DUMMYFUNCTION("""COMPUTED_VALUE"""),7233300.0)</f>
        <v>7233300</v>
      </c>
    </row>
    <row r="6671">
      <c r="A6671" s="3">
        <f>IFERROR(__xludf.DUMMYFUNCTION("""COMPUTED_VALUE"""),38873.666666666664)</f>
        <v>38873.66667</v>
      </c>
      <c r="B6671" s="2">
        <f>IFERROR(__xludf.DUMMYFUNCTION("""COMPUTED_VALUE"""),75.55)</f>
        <v>75.55</v>
      </c>
      <c r="C6671" s="2">
        <f>IFERROR(__xludf.DUMMYFUNCTION("""COMPUTED_VALUE"""),76.45)</f>
        <v>76.45</v>
      </c>
      <c r="D6671" s="2">
        <f>IFERROR(__xludf.DUMMYFUNCTION("""COMPUTED_VALUE"""),75.47)</f>
        <v>75.47</v>
      </c>
      <c r="E6671" s="2">
        <f>IFERROR(__xludf.DUMMYFUNCTION("""COMPUTED_VALUE"""),75.52)</f>
        <v>75.52</v>
      </c>
      <c r="F6671" s="2">
        <f>IFERROR(__xludf.DUMMYFUNCTION("""COMPUTED_VALUE"""),5556000.0)</f>
        <v>5556000</v>
      </c>
    </row>
    <row r="6672">
      <c r="A6672" s="3">
        <f>IFERROR(__xludf.DUMMYFUNCTION("""COMPUTED_VALUE"""),38874.666666666664)</f>
        <v>38874.66667</v>
      </c>
      <c r="B6672" s="2">
        <f>IFERROR(__xludf.DUMMYFUNCTION("""COMPUTED_VALUE"""),75.52)</f>
        <v>75.52</v>
      </c>
      <c r="C6672" s="2">
        <f>IFERROR(__xludf.DUMMYFUNCTION("""COMPUTED_VALUE"""),76.32)</f>
        <v>76.32</v>
      </c>
      <c r="D6672" s="2">
        <f>IFERROR(__xludf.DUMMYFUNCTION("""COMPUTED_VALUE"""),74.98)</f>
        <v>74.98</v>
      </c>
      <c r="E6672" s="2">
        <f>IFERROR(__xludf.DUMMYFUNCTION("""COMPUTED_VALUE"""),76.18)</f>
        <v>76.18</v>
      </c>
      <c r="F6672" s="2">
        <f>IFERROR(__xludf.DUMMYFUNCTION("""COMPUTED_VALUE"""),7250900.0)</f>
        <v>7250900</v>
      </c>
    </row>
    <row r="6673">
      <c r="A6673" s="3">
        <f>IFERROR(__xludf.DUMMYFUNCTION("""COMPUTED_VALUE"""),38875.666666666664)</f>
        <v>38875.66667</v>
      </c>
      <c r="B6673" s="2">
        <f>IFERROR(__xludf.DUMMYFUNCTION("""COMPUTED_VALUE"""),76.2)</f>
        <v>76.2</v>
      </c>
      <c r="C6673" s="2">
        <f>IFERROR(__xludf.DUMMYFUNCTION("""COMPUTED_VALUE"""),77.12)</f>
        <v>77.12</v>
      </c>
      <c r="D6673" s="2">
        <f>IFERROR(__xludf.DUMMYFUNCTION("""COMPUTED_VALUE"""),75.57)</f>
        <v>75.57</v>
      </c>
      <c r="E6673" s="2">
        <f>IFERROR(__xludf.DUMMYFUNCTION("""COMPUTED_VALUE"""),75.6)</f>
        <v>75.6</v>
      </c>
      <c r="F6673" s="2">
        <f>IFERROR(__xludf.DUMMYFUNCTION("""COMPUTED_VALUE"""),7925300.0)</f>
        <v>7925300</v>
      </c>
    </row>
    <row r="6674">
      <c r="A6674" s="3">
        <f>IFERROR(__xludf.DUMMYFUNCTION("""COMPUTED_VALUE"""),38876.666666666664)</f>
        <v>38876.66667</v>
      </c>
      <c r="B6674" s="2">
        <f>IFERROR(__xludf.DUMMYFUNCTION("""COMPUTED_VALUE"""),75.03)</f>
        <v>75.03</v>
      </c>
      <c r="C6674" s="2">
        <f>IFERROR(__xludf.DUMMYFUNCTION("""COMPUTED_VALUE"""),76.01)</f>
        <v>76.01</v>
      </c>
      <c r="D6674" s="2">
        <f>IFERROR(__xludf.DUMMYFUNCTION("""COMPUTED_VALUE"""),73.31)</f>
        <v>73.31</v>
      </c>
      <c r="E6674" s="2">
        <f>IFERROR(__xludf.DUMMYFUNCTION("""COMPUTED_VALUE"""),73.58)</f>
        <v>73.58</v>
      </c>
      <c r="F6674" s="2">
        <f>IFERROR(__xludf.DUMMYFUNCTION("""COMPUTED_VALUE"""),1.34766E7)</f>
        <v>13476600</v>
      </c>
    </row>
    <row r="6675">
      <c r="A6675" s="3">
        <f>IFERROR(__xludf.DUMMYFUNCTION("""COMPUTED_VALUE"""),38877.666666666664)</f>
        <v>38877.66667</v>
      </c>
      <c r="B6675" s="2">
        <f>IFERROR(__xludf.DUMMYFUNCTION("""COMPUTED_VALUE"""),73.78)</f>
        <v>73.78</v>
      </c>
      <c r="C6675" s="2">
        <f>IFERROR(__xludf.DUMMYFUNCTION("""COMPUTED_VALUE"""),74.6)</f>
        <v>74.6</v>
      </c>
      <c r="D6675" s="2">
        <f>IFERROR(__xludf.DUMMYFUNCTION("""COMPUTED_VALUE"""),73.6)</f>
        <v>73.6</v>
      </c>
      <c r="E6675" s="2">
        <f>IFERROR(__xludf.DUMMYFUNCTION("""COMPUTED_VALUE"""),74.15)</f>
        <v>74.15</v>
      </c>
      <c r="F6675" s="2">
        <f>IFERROR(__xludf.DUMMYFUNCTION("""COMPUTED_VALUE"""),6135400.0)</f>
        <v>6135400</v>
      </c>
    </row>
    <row r="6676">
      <c r="A6676" s="3">
        <f>IFERROR(__xludf.DUMMYFUNCTION("""COMPUTED_VALUE"""),38880.666666666664)</f>
        <v>38880.66667</v>
      </c>
      <c r="B6676" s="2">
        <f>IFERROR(__xludf.DUMMYFUNCTION("""COMPUTED_VALUE"""),74.15)</f>
        <v>74.15</v>
      </c>
      <c r="C6676" s="2">
        <f>IFERROR(__xludf.DUMMYFUNCTION("""COMPUTED_VALUE"""),74.59)</f>
        <v>74.59</v>
      </c>
      <c r="D6676" s="2">
        <f>IFERROR(__xludf.DUMMYFUNCTION("""COMPUTED_VALUE"""),73.56)</f>
        <v>73.56</v>
      </c>
      <c r="E6676" s="2">
        <f>IFERROR(__xludf.DUMMYFUNCTION("""COMPUTED_VALUE"""),73.57)</f>
        <v>73.57</v>
      </c>
      <c r="F6676" s="2">
        <f>IFERROR(__xludf.DUMMYFUNCTION("""COMPUTED_VALUE"""),4925000.0)</f>
        <v>4925000</v>
      </c>
    </row>
    <row r="6677">
      <c r="A6677" s="3">
        <f>IFERROR(__xludf.DUMMYFUNCTION("""COMPUTED_VALUE"""),38881.666666666664)</f>
        <v>38881.66667</v>
      </c>
      <c r="B6677" s="2">
        <f>IFERROR(__xludf.DUMMYFUNCTION("""COMPUTED_VALUE"""),73.68)</f>
        <v>73.68</v>
      </c>
      <c r="C6677" s="2">
        <f>IFERROR(__xludf.DUMMYFUNCTION("""COMPUTED_VALUE"""),74.44)</f>
        <v>74.44</v>
      </c>
      <c r="D6677" s="2">
        <f>IFERROR(__xludf.DUMMYFUNCTION("""COMPUTED_VALUE"""),73.38)</f>
        <v>73.38</v>
      </c>
      <c r="E6677" s="2">
        <f>IFERROR(__xludf.DUMMYFUNCTION("""COMPUTED_VALUE"""),73.48)</f>
        <v>73.48</v>
      </c>
      <c r="F6677" s="2">
        <f>IFERROR(__xludf.DUMMYFUNCTION("""COMPUTED_VALUE"""),7374200.0)</f>
        <v>7374200</v>
      </c>
    </row>
    <row r="6678">
      <c r="A6678" s="3">
        <f>IFERROR(__xludf.DUMMYFUNCTION("""COMPUTED_VALUE"""),38882.666666666664)</f>
        <v>38882.66667</v>
      </c>
      <c r="B6678" s="2">
        <f>IFERROR(__xludf.DUMMYFUNCTION("""COMPUTED_VALUE"""),73.48)</f>
        <v>73.48</v>
      </c>
      <c r="C6678" s="2">
        <f>IFERROR(__xludf.DUMMYFUNCTION("""COMPUTED_VALUE"""),74.36)</f>
        <v>74.36</v>
      </c>
      <c r="D6678" s="2">
        <f>IFERROR(__xludf.DUMMYFUNCTION("""COMPUTED_VALUE"""),73.48)</f>
        <v>73.48</v>
      </c>
      <c r="E6678" s="2">
        <f>IFERROR(__xludf.DUMMYFUNCTION("""COMPUTED_VALUE"""),74.23)</f>
        <v>74.23</v>
      </c>
      <c r="F6678" s="2">
        <f>IFERROR(__xludf.DUMMYFUNCTION("""COMPUTED_VALUE"""),6038600.0)</f>
        <v>6038600</v>
      </c>
    </row>
    <row r="6679">
      <c r="A6679" s="3">
        <f>IFERROR(__xludf.DUMMYFUNCTION("""COMPUTED_VALUE"""),38883.666666666664)</f>
        <v>38883.66667</v>
      </c>
      <c r="B6679" s="2">
        <f>IFERROR(__xludf.DUMMYFUNCTION("""COMPUTED_VALUE"""),74.36)</f>
        <v>74.36</v>
      </c>
      <c r="C6679" s="2">
        <f>IFERROR(__xludf.DUMMYFUNCTION("""COMPUTED_VALUE"""),75.25)</f>
        <v>75.25</v>
      </c>
      <c r="D6679" s="2">
        <f>IFERROR(__xludf.DUMMYFUNCTION("""COMPUTED_VALUE"""),73.5)</f>
        <v>73.5</v>
      </c>
      <c r="E6679" s="2">
        <f>IFERROR(__xludf.DUMMYFUNCTION("""COMPUTED_VALUE"""),75.04)</f>
        <v>75.04</v>
      </c>
      <c r="F6679" s="2">
        <f>IFERROR(__xludf.DUMMYFUNCTION("""COMPUTED_VALUE"""),6679800.0)</f>
        <v>6679800</v>
      </c>
    </row>
    <row r="6680">
      <c r="A6680" s="3">
        <f>IFERROR(__xludf.DUMMYFUNCTION("""COMPUTED_VALUE"""),38884.666666666664)</f>
        <v>38884.66667</v>
      </c>
      <c r="B6680" s="2">
        <f>IFERROR(__xludf.DUMMYFUNCTION("""COMPUTED_VALUE"""),74.92)</f>
        <v>74.92</v>
      </c>
      <c r="C6680" s="2">
        <f>IFERROR(__xludf.DUMMYFUNCTION("""COMPUTED_VALUE"""),75.01)</f>
        <v>75.01</v>
      </c>
      <c r="D6680" s="2">
        <f>IFERROR(__xludf.DUMMYFUNCTION("""COMPUTED_VALUE"""),74.09)</f>
        <v>74.09</v>
      </c>
      <c r="E6680" s="2">
        <f>IFERROR(__xludf.DUMMYFUNCTION("""COMPUTED_VALUE"""),74.46)</f>
        <v>74.46</v>
      </c>
      <c r="F6680" s="2">
        <f>IFERROR(__xludf.DUMMYFUNCTION("""COMPUTED_VALUE"""),8133500.0)</f>
        <v>8133500</v>
      </c>
    </row>
    <row r="6681">
      <c r="A6681" s="3">
        <f>IFERROR(__xludf.DUMMYFUNCTION("""COMPUTED_VALUE"""),38887.666666666664)</f>
        <v>38887.66667</v>
      </c>
      <c r="B6681" s="2">
        <f>IFERROR(__xludf.DUMMYFUNCTION("""COMPUTED_VALUE"""),74.41)</f>
        <v>74.41</v>
      </c>
      <c r="C6681" s="2">
        <f>IFERROR(__xludf.DUMMYFUNCTION("""COMPUTED_VALUE"""),74.79)</f>
        <v>74.79</v>
      </c>
      <c r="D6681" s="2">
        <f>IFERROR(__xludf.DUMMYFUNCTION("""COMPUTED_VALUE"""),73.87)</f>
        <v>73.87</v>
      </c>
      <c r="E6681" s="2">
        <f>IFERROR(__xludf.DUMMYFUNCTION("""COMPUTED_VALUE"""),74.19)</f>
        <v>74.19</v>
      </c>
      <c r="F6681" s="2">
        <f>IFERROR(__xludf.DUMMYFUNCTION("""COMPUTED_VALUE"""),5303100.0)</f>
        <v>5303100</v>
      </c>
    </row>
    <row r="6682">
      <c r="A6682" s="3">
        <f>IFERROR(__xludf.DUMMYFUNCTION("""COMPUTED_VALUE"""),38888.666666666664)</f>
        <v>38888.66667</v>
      </c>
      <c r="B6682" s="2">
        <f>IFERROR(__xludf.DUMMYFUNCTION("""COMPUTED_VALUE"""),74.35)</f>
        <v>74.35</v>
      </c>
      <c r="C6682" s="2">
        <f>IFERROR(__xludf.DUMMYFUNCTION("""COMPUTED_VALUE"""),74.79)</f>
        <v>74.79</v>
      </c>
      <c r="D6682" s="2">
        <f>IFERROR(__xludf.DUMMYFUNCTION("""COMPUTED_VALUE"""),73.79)</f>
        <v>73.79</v>
      </c>
      <c r="E6682" s="2">
        <f>IFERROR(__xludf.DUMMYFUNCTION("""COMPUTED_VALUE"""),74.49)</f>
        <v>74.49</v>
      </c>
      <c r="F6682" s="2">
        <f>IFERROR(__xludf.DUMMYFUNCTION("""COMPUTED_VALUE"""),6124500.0)</f>
        <v>6124500</v>
      </c>
    </row>
    <row r="6683">
      <c r="A6683" s="3">
        <f>IFERROR(__xludf.DUMMYFUNCTION("""COMPUTED_VALUE"""),38889.666666666664)</f>
        <v>38889.66667</v>
      </c>
      <c r="B6683" s="2">
        <f>IFERROR(__xludf.DUMMYFUNCTION("""COMPUTED_VALUE"""),74.49)</f>
        <v>74.49</v>
      </c>
      <c r="C6683" s="2">
        <f>IFERROR(__xludf.DUMMYFUNCTION("""COMPUTED_VALUE"""),75.04)</f>
        <v>75.04</v>
      </c>
      <c r="D6683" s="2">
        <f>IFERROR(__xludf.DUMMYFUNCTION("""COMPUTED_VALUE"""),74.48)</f>
        <v>74.48</v>
      </c>
      <c r="E6683" s="2">
        <f>IFERROR(__xludf.DUMMYFUNCTION("""COMPUTED_VALUE"""),74.79)</f>
        <v>74.79</v>
      </c>
      <c r="F6683" s="2">
        <f>IFERROR(__xludf.DUMMYFUNCTION("""COMPUTED_VALUE"""),5615900.0)</f>
        <v>5615900</v>
      </c>
    </row>
    <row r="6684">
      <c r="A6684" s="3">
        <f>IFERROR(__xludf.DUMMYFUNCTION("""COMPUTED_VALUE"""),38890.666666666664)</f>
        <v>38890.66667</v>
      </c>
      <c r="B6684" s="2">
        <f>IFERROR(__xludf.DUMMYFUNCTION("""COMPUTED_VALUE"""),74.66)</f>
        <v>74.66</v>
      </c>
      <c r="C6684" s="2">
        <f>IFERROR(__xludf.DUMMYFUNCTION("""COMPUTED_VALUE"""),74.86)</f>
        <v>74.86</v>
      </c>
      <c r="D6684" s="2">
        <f>IFERROR(__xludf.DUMMYFUNCTION("""COMPUTED_VALUE"""),73.55)</f>
        <v>73.55</v>
      </c>
      <c r="E6684" s="2">
        <f>IFERROR(__xludf.DUMMYFUNCTION("""COMPUTED_VALUE"""),73.73)</f>
        <v>73.73</v>
      </c>
      <c r="F6684" s="2">
        <f>IFERROR(__xludf.DUMMYFUNCTION("""COMPUTED_VALUE"""),5569100.0)</f>
        <v>5569100</v>
      </c>
    </row>
    <row r="6685">
      <c r="A6685" s="3">
        <f>IFERROR(__xludf.DUMMYFUNCTION("""COMPUTED_VALUE"""),38891.666666666664)</f>
        <v>38891.66667</v>
      </c>
      <c r="B6685" s="2">
        <f>IFERROR(__xludf.DUMMYFUNCTION("""COMPUTED_VALUE"""),73.69)</f>
        <v>73.69</v>
      </c>
      <c r="C6685" s="2">
        <f>IFERROR(__xludf.DUMMYFUNCTION("""COMPUTED_VALUE"""),74.35)</f>
        <v>74.35</v>
      </c>
      <c r="D6685" s="2">
        <f>IFERROR(__xludf.DUMMYFUNCTION("""COMPUTED_VALUE"""),73.49)</f>
        <v>73.49</v>
      </c>
      <c r="E6685" s="2">
        <f>IFERROR(__xludf.DUMMYFUNCTION("""COMPUTED_VALUE"""),73.64)</f>
        <v>73.64</v>
      </c>
      <c r="F6685" s="2">
        <f>IFERROR(__xludf.DUMMYFUNCTION("""COMPUTED_VALUE"""),4520600.0)</f>
        <v>4520600</v>
      </c>
    </row>
    <row r="6686">
      <c r="A6686" s="3">
        <f>IFERROR(__xludf.DUMMYFUNCTION("""COMPUTED_VALUE"""),38894.666666666664)</f>
        <v>38894.66667</v>
      </c>
      <c r="B6686" s="2">
        <f>IFERROR(__xludf.DUMMYFUNCTION("""COMPUTED_VALUE"""),73.59)</f>
        <v>73.59</v>
      </c>
      <c r="C6686" s="2">
        <f>IFERROR(__xludf.DUMMYFUNCTION("""COMPUTED_VALUE"""),74.04)</f>
        <v>74.04</v>
      </c>
      <c r="D6686" s="2">
        <f>IFERROR(__xludf.DUMMYFUNCTION("""COMPUTED_VALUE"""),73.36)</f>
        <v>73.36</v>
      </c>
      <c r="E6686" s="2">
        <f>IFERROR(__xludf.DUMMYFUNCTION("""COMPUTED_VALUE"""),73.69)</f>
        <v>73.69</v>
      </c>
      <c r="F6686" s="2">
        <f>IFERROR(__xludf.DUMMYFUNCTION("""COMPUTED_VALUE"""),3448100.0)</f>
        <v>3448100</v>
      </c>
    </row>
    <row r="6687">
      <c r="A6687" s="3">
        <f>IFERROR(__xludf.DUMMYFUNCTION("""COMPUTED_VALUE"""),38895.666666666664)</f>
        <v>38895.66667</v>
      </c>
      <c r="B6687" s="2">
        <f>IFERROR(__xludf.DUMMYFUNCTION("""COMPUTED_VALUE"""),73.85)</f>
        <v>73.85</v>
      </c>
      <c r="C6687" s="2">
        <f>IFERROR(__xludf.DUMMYFUNCTION("""COMPUTED_VALUE"""),74.12)</f>
        <v>74.12</v>
      </c>
      <c r="D6687" s="2">
        <f>IFERROR(__xludf.DUMMYFUNCTION("""COMPUTED_VALUE"""),72.9)</f>
        <v>72.9</v>
      </c>
      <c r="E6687" s="2">
        <f>IFERROR(__xludf.DUMMYFUNCTION("""COMPUTED_VALUE"""),73.19)</f>
        <v>73.19</v>
      </c>
      <c r="F6687" s="2">
        <f>IFERROR(__xludf.DUMMYFUNCTION("""COMPUTED_VALUE"""),5597000.0)</f>
        <v>5597000</v>
      </c>
    </row>
    <row r="6688">
      <c r="A6688" s="3">
        <f>IFERROR(__xludf.DUMMYFUNCTION("""COMPUTED_VALUE"""),38896.666666666664)</f>
        <v>38896.66667</v>
      </c>
      <c r="B6688" s="2">
        <f>IFERROR(__xludf.DUMMYFUNCTION("""COMPUTED_VALUE"""),73.1)</f>
        <v>73.1</v>
      </c>
      <c r="C6688" s="2">
        <f>IFERROR(__xludf.DUMMYFUNCTION("""COMPUTED_VALUE"""),73.17)</f>
        <v>73.17</v>
      </c>
      <c r="D6688" s="2">
        <f>IFERROR(__xludf.DUMMYFUNCTION("""COMPUTED_VALUE"""),72.65)</f>
        <v>72.65</v>
      </c>
      <c r="E6688" s="2">
        <f>IFERROR(__xludf.DUMMYFUNCTION("""COMPUTED_VALUE"""),73.13)</f>
        <v>73.13</v>
      </c>
      <c r="F6688" s="2">
        <f>IFERROR(__xludf.DUMMYFUNCTION("""COMPUTED_VALUE"""),4392200.0)</f>
        <v>4392200</v>
      </c>
    </row>
    <row r="6689">
      <c r="A6689" s="3">
        <f>IFERROR(__xludf.DUMMYFUNCTION("""COMPUTED_VALUE"""),38897.666666666664)</f>
        <v>38897.66667</v>
      </c>
      <c r="B6689" s="2">
        <f>IFERROR(__xludf.DUMMYFUNCTION("""COMPUTED_VALUE"""),73.44)</f>
        <v>73.44</v>
      </c>
      <c r="C6689" s="2">
        <f>IFERROR(__xludf.DUMMYFUNCTION("""COMPUTED_VALUE"""),74.31)</f>
        <v>74.31</v>
      </c>
      <c r="D6689" s="2">
        <f>IFERROR(__xludf.DUMMYFUNCTION("""COMPUTED_VALUE"""),73.13)</f>
        <v>73.13</v>
      </c>
      <c r="E6689" s="2">
        <f>IFERROR(__xludf.DUMMYFUNCTION("""COMPUTED_VALUE"""),74.11)</f>
        <v>74.11</v>
      </c>
      <c r="F6689" s="2">
        <f>IFERROR(__xludf.DUMMYFUNCTION("""COMPUTED_VALUE"""),5449200.0)</f>
        <v>5449200</v>
      </c>
    </row>
    <row r="6690">
      <c r="A6690" s="3">
        <f>IFERROR(__xludf.DUMMYFUNCTION("""COMPUTED_VALUE"""),38898.666666666664)</f>
        <v>38898.66667</v>
      </c>
      <c r="B6690" s="2">
        <f>IFERROR(__xludf.DUMMYFUNCTION("""COMPUTED_VALUE"""),74.22)</f>
        <v>74.22</v>
      </c>
      <c r="C6690" s="2">
        <f>IFERROR(__xludf.DUMMYFUNCTION("""COMPUTED_VALUE"""),74.44)</f>
        <v>74.44</v>
      </c>
      <c r="D6690" s="2">
        <f>IFERROR(__xludf.DUMMYFUNCTION("""COMPUTED_VALUE"""),73.35)</f>
        <v>73.35</v>
      </c>
      <c r="E6690" s="2">
        <f>IFERROR(__xludf.DUMMYFUNCTION("""COMPUTED_VALUE"""),73.38)</f>
        <v>73.38</v>
      </c>
      <c r="F6690" s="2">
        <f>IFERROR(__xludf.DUMMYFUNCTION("""COMPUTED_VALUE"""),7918800.0)</f>
        <v>7918800</v>
      </c>
    </row>
    <row r="6691">
      <c r="A6691" s="3">
        <f>IFERROR(__xludf.DUMMYFUNCTION("""COMPUTED_VALUE"""),38901.666666666664)</f>
        <v>38901.66667</v>
      </c>
      <c r="B6691" s="2">
        <f>IFERROR(__xludf.DUMMYFUNCTION("""COMPUTED_VALUE"""),74.06)</f>
        <v>74.06</v>
      </c>
      <c r="C6691" s="2">
        <f>IFERROR(__xludf.DUMMYFUNCTION("""COMPUTED_VALUE"""),74.76)</f>
        <v>74.76</v>
      </c>
      <c r="D6691" s="2">
        <f>IFERROR(__xludf.DUMMYFUNCTION("""COMPUTED_VALUE"""),73.81)</f>
        <v>73.81</v>
      </c>
      <c r="E6691" s="2">
        <f>IFERROR(__xludf.DUMMYFUNCTION("""COMPUTED_VALUE"""),74.52)</f>
        <v>74.52</v>
      </c>
      <c r="F6691" s="2">
        <f>IFERROR(__xludf.DUMMYFUNCTION("""COMPUTED_VALUE"""),3177300.0)</f>
        <v>3177300</v>
      </c>
    </row>
    <row r="6692">
      <c r="A6692" s="3">
        <f>IFERROR(__xludf.DUMMYFUNCTION("""COMPUTED_VALUE"""),38903.666666666664)</f>
        <v>38903.66667</v>
      </c>
      <c r="B6692" s="2">
        <f>IFERROR(__xludf.DUMMYFUNCTION("""COMPUTED_VALUE"""),74.5)</f>
        <v>74.5</v>
      </c>
      <c r="C6692" s="2">
        <f>IFERROR(__xludf.DUMMYFUNCTION("""COMPUTED_VALUE"""),74.88)</f>
        <v>74.88</v>
      </c>
      <c r="D6692" s="2">
        <f>IFERROR(__xludf.DUMMYFUNCTION("""COMPUTED_VALUE"""),74.04)</f>
        <v>74.04</v>
      </c>
      <c r="E6692" s="2">
        <f>IFERROR(__xludf.DUMMYFUNCTION("""COMPUTED_VALUE"""),74.28)</f>
        <v>74.28</v>
      </c>
      <c r="F6692" s="2">
        <f>IFERROR(__xludf.DUMMYFUNCTION("""COMPUTED_VALUE"""),4048200.0)</f>
        <v>4048200</v>
      </c>
    </row>
    <row r="6693">
      <c r="A6693" s="3">
        <f>IFERROR(__xludf.DUMMYFUNCTION("""COMPUTED_VALUE"""),38904.666666666664)</f>
        <v>38904.66667</v>
      </c>
      <c r="B6693" s="2">
        <f>IFERROR(__xludf.DUMMYFUNCTION("""COMPUTED_VALUE"""),74.11)</f>
        <v>74.11</v>
      </c>
      <c r="C6693" s="2">
        <f>IFERROR(__xludf.DUMMYFUNCTION("""COMPUTED_VALUE"""),75.01)</f>
        <v>75.01</v>
      </c>
      <c r="D6693" s="2">
        <f>IFERROR(__xludf.DUMMYFUNCTION("""COMPUTED_VALUE"""),74.09)</f>
        <v>74.09</v>
      </c>
      <c r="E6693" s="2">
        <f>IFERROR(__xludf.DUMMYFUNCTION("""COMPUTED_VALUE"""),74.59)</f>
        <v>74.59</v>
      </c>
      <c r="F6693" s="2">
        <f>IFERROR(__xludf.DUMMYFUNCTION("""COMPUTED_VALUE"""),4333100.0)</f>
        <v>4333100</v>
      </c>
    </row>
    <row r="6694">
      <c r="A6694" s="3">
        <f>IFERROR(__xludf.DUMMYFUNCTION("""COMPUTED_VALUE"""),38905.666666666664)</f>
        <v>38905.66667</v>
      </c>
      <c r="B6694" s="2">
        <f>IFERROR(__xludf.DUMMYFUNCTION("""COMPUTED_VALUE"""),74.59)</f>
        <v>74.59</v>
      </c>
      <c r="C6694" s="2">
        <f>IFERROR(__xludf.DUMMYFUNCTION("""COMPUTED_VALUE"""),74.59)</f>
        <v>74.59</v>
      </c>
      <c r="D6694" s="2">
        <f>IFERROR(__xludf.DUMMYFUNCTION("""COMPUTED_VALUE"""),72.71)</f>
        <v>72.71</v>
      </c>
      <c r="E6694" s="2">
        <f>IFERROR(__xludf.DUMMYFUNCTION("""COMPUTED_VALUE"""),72.99)</f>
        <v>72.99</v>
      </c>
      <c r="F6694" s="2">
        <f>IFERROR(__xludf.DUMMYFUNCTION("""COMPUTED_VALUE"""),6642600.0)</f>
        <v>6642600</v>
      </c>
    </row>
    <row r="6695">
      <c r="A6695" s="3">
        <f>IFERROR(__xludf.DUMMYFUNCTION("""COMPUTED_VALUE"""),38908.666666666664)</f>
        <v>38908.66667</v>
      </c>
      <c r="B6695" s="2">
        <f>IFERROR(__xludf.DUMMYFUNCTION("""COMPUTED_VALUE"""),72.76)</f>
        <v>72.76</v>
      </c>
      <c r="C6695" s="2">
        <f>IFERROR(__xludf.DUMMYFUNCTION("""COMPUTED_VALUE"""),73.39)</f>
        <v>73.39</v>
      </c>
      <c r="D6695" s="2">
        <f>IFERROR(__xludf.DUMMYFUNCTION("""COMPUTED_VALUE"""),72.47)</f>
        <v>72.47</v>
      </c>
      <c r="E6695" s="2">
        <f>IFERROR(__xludf.DUMMYFUNCTION("""COMPUTED_VALUE"""),73.23)</f>
        <v>73.23</v>
      </c>
      <c r="F6695" s="2">
        <f>IFERROR(__xludf.DUMMYFUNCTION("""COMPUTED_VALUE"""),7154700.0)</f>
        <v>7154700</v>
      </c>
    </row>
    <row r="6696">
      <c r="A6696" s="3">
        <f>IFERROR(__xludf.DUMMYFUNCTION("""COMPUTED_VALUE"""),38909.666666666664)</f>
        <v>38909.66667</v>
      </c>
      <c r="B6696" s="2">
        <f>IFERROR(__xludf.DUMMYFUNCTION("""COMPUTED_VALUE"""),72.83)</f>
        <v>72.83</v>
      </c>
      <c r="C6696" s="2">
        <f>IFERROR(__xludf.DUMMYFUNCTION("""COMPUTED_VALUE"""),73.21)</f>
        <v>73.21</v>
      </c>
      <c r="D6696" s="2">
        <f>IFERROR(__xludf.DUMMYFUNCTION("""COMPUTED_VALUE"""),72.06)</f>
        <v>72.06</v>
      </c>
      <c r="E6696" s="2">
        <f>IFERROR(__xludf.DUMMYFUNCTION("""COMPUTED_VALUE"""),73.04)</f>
        <v>73.04</v>
      </c>
      <c r="F6696" s="2">
        <f>IFERROR(__xludf.DUMMYFUNCTION("""COMPUTED_VALUE"""),6086500.0)</f>
        <v>6086500</v>
      </c>
    </row>
    <row r="6697">
      <c r="A6697" s="3">
        <f>IFERROR(__xludf.DUMMYFUNCTION("""COMPUTED_VALUE"""),38910.666666666664)</f>
        <v>38910.66667</v>
      </c>
      <c r="B6697" s="2">
        <f>IFERROR(__xludf.DUMMYFUNCTION("""COMPUTED_VALUE"""),72.66)</f>
        <v>72.66</v>
      </c>
      <c r="C6697" s="2">
        <f>IFERROR(__xludf.DUMMYFUNCTION("""COMPUTED_VALUE"""),72.88)</f>
        <v>72.88</v>
      </c>
      <c r="D6697" s="2">
        <f>IFERROR(__xludf.DUMMYFUNCTION("""COMPUTED_VALUE"""),71.47)</f>
        <v>71.47</v>
      </c>
      <c r="E6697" s="2">
        <f>IFERROR(__xludf.DUMMYFUNCTION("""COMPUTED_VALUE"""),72.1)</f>
        <v>72.1</v>
      </c>
      <c r="F6697" s="2">
        <f>IFERROR(__xludf.DUMMYFUNCTION("""COMPUTED_VALUE"""),8372100.0)</f>
        <v>8372100</v>
      </c>
    </row>
    <row r="6698">
      <c r="A6698" s="3">
        <f>IFERROR(__xludf.DUMMYFUNCTION("""COMPUTED_VALUE"""),38911.666666666664)</f>
        <v>38911.66667</v>
      </c>
      <c r="B6698" s="2">
        <f>IFERROR(__xludf.DUMMYFUNCTION("""COMPUTED_VALUE"""),71.65)</f>
        <v>71.65</v>
      </c>
      <c r="C6698" s="2">
        <f>IFERROR(__xludf.DUMMYFUNCTION("""COMPUTED_VALUE"""),71.9)</f>
        <v>71.9</v>
      </c>
      <c r="D6698" s="2">
        <f>IFERROR(__xludf.DUMMYFUNCTION("""COMPUTED_VALUE"""),70.52)</f>
        <v>70.52</v>
      </c>
      <c r="E6698" s="2">
        <f>IFERROR(__xludf.DUMMYFUNCTION("""COMPUTED_VALUE"""),70.91)</f>
        <v>70.91</v>
      </c>
      <c r="F6698" s="2">
        <f>IFERROR(__xludf.DUMMYFUNCTION("""COMPUTED_VALUE"""),8754900.0)</f>
        <v>8754900</v>
      </c>
    </row>
    <row r="6699">
      <c r="A6699" s="3">
        <f>IFERROR(__xludf.DUMMYFUNCTION("""COMPUTED_VALUE"""),38912.666666666664)</f>
        <v>38912.66667</v>
      </c>
      <c r="B6699" s="2">
        <f>IFERROR(__xludf.DUMMYFUNCTION("""COMPUTED_VALUE"""),70.91)</f>
        <v>70.91</v>
      </c>
      <c r="C6699" s="2">
        <f>IFERROR(__xludf.DUMMYFUNCTION("""COMPUTED_VALUE"""),70.97)</f>
        <v>70.97</v>
      </c>
      <c r="D6699" s="2">
        <f>IFERROR(__xludf.DUMMYFUNCTION("""COMPUTED_VALUE"""),70.08)</f>
        <v>70.08</v>
      </c>
      <c r="E6699" s="2">
        <f>IFERROR(__xludf.DUMMYFUNCTION("""COMPUTED_VALUE"""),70.27)</f>
        <v>70.27</v>
      </c>
      <c r="F6699" s="2">
        <f>IFERROR(__xludf.DUMMYFUNCTION("""COMPUTED_VALUE"""),6957800.0)</f>
        <v>6957800</v>
      </c>
    </row>
    <row r="6700">
      <c r="A6700" s="3">
        <f>IFERROR(__xludf.DUMMYFUNCTION("""COMPUTED_VALUE"""),38915.666666666664)</f>
        <v>38915.66667</v>
      </c>
      <c r="B6700" s="2">
        <f>IFERROR(__xludf.DUMMYFUNCTION("""COMPUTED_VALUE"""),70.06)</f>
        <v>70.06</v>
      </c>
      <c r="C6700" s="2">
        <f>IFERROR(__xludf.DUMMYFUNCTION("""COMPUTED_VALUE"""),70.62)</f>
        <v>70.62</v>
      </c>
      <c r="D6700" s="2">
        <f>IFERROR(__xludf.DUMMYFUNCTION("""COMPUTED_VALUE"""),69.92)</f>
        <v>69.92</v>
      </c>
      <c r="E6700" s="2">
        <f>IFERROR(__xludf.DUMMYFUNCTION("""COMPUTED_VALUE"""),70.4)</f>
        <v>70.4</v>
      </c>
      <c r="F6700" s="2">
        <f>IFERROR(__xludf.DUMMYFUNCTION("""COMPUTED_VALUE"""),6823100.0)</f>
        <v>6823100</v>
      </c>
    </row>
    <row r="6701">
      <c r="A6701" s="3">
        <f>IFERROR(__xludf.DUMMYFUNCTION("""COMPUTED_VALUE"""),38916.666666666664)</f>
        <v>38916.66667</v>
      </c>
      <c r="B6701" s="2">
        <f>IFERROR(__xludf.DUMMYFUNCTION("""COMPUTED_VALUE"""),70.4)</f>
        <v>70.4</v>
      </c>
      <c r="C6701" s="2">
        <f>IFERROR(__xludf.DUMMYFUNCTION("""COMPUTED_VALUE"""),71.08)</f>
        <v>71.08</v>
      </c>
      <c r="D6701" s="2">
        <f>IFERROR(__xludf.DUMMYFUNCTION("""COMPUTED_VALUE"""),69.47)</f>
        <v>69.47</v>
      </c>
      <c r="E6701" s="2">
        <f>IFERROR(__xludf.DUMMYFUNCTION("""COMPUTED_VALUE"""),70.93)</f>
        <v>70.93</v>
      </c>
      <c r="F6701" s="2">
        <f>IFERROR(__xludf.DUMMYFUNCTION("""COMPUTED_VALUE"""),8730600.0)</f>
        <v>8730600</v>
      </c>
    </row>
    <row r="6702">
      <c r="A6702" s="3">
        <f>IFERROR(__xludf.DUMMYFUNCTION("""COMPUTED_VALUE"""),38917.666666666664)</f>
        <v>38917.66667</v>
      </c>
      <c r="B6702" s="2">
        <f>IFERROR(__xludf.DUMMYFUNCTION("""COMPUTED_VALUE"""),73.07)</f>
        <v>73.07</v>
      </c>
      <c r="C6702" s="2">
        <f>IFERROR(__xludf.DUMMYFUNCTION("""COMPUTED_VALUE"""),73.6)</f>
        <v>73.6</v>
      </c>
      <c r="D6702" s="2">
        <f>IFERROR(__xludf.DUMMYFUNCTION("""COMPUTED_VALUE"""),72.59)</f>
        <v>72.59</v>
      </c>
      <c r="E6702" s="2">
        <f>IFERROR(__xludf.DUMMYFUNCTION("""COMPUTED_VALUE"""),72.66)</f>
        <v>72.66</v>
      </c>
      <c r="F6702" s="2">
        <f>IFERROR(__xludf.DUMMYFUNCTION("""COMPUTED_VALUE"""),1.45369E7)</f>
        <v>14536900</v>
      </c>
    </row>
    <row r="6703">
      <c r="A6703" s="3">
        <f>IFERROR(__xludf.DUMMYFUNCTION("""COMPUTED_VALUE"""),38918.666666666664)</f>
        <v>38918.66667</v>
      </c>
      <c r="B6703" s="2">
        <f>IFERROR(__xludf.DUMMYFUNCTION("""COMPUTED_VALUE"""),72.33)</f>
        <v>72.33</v>
      </c>
      <c r="C6703" s="2">
        <f>IFERROR(__xludf.DUMMYFUNCTION("""COMPUTED_VALUE"""),72.48)</f>
        <v>72.48</v>
      </c>
      <c r="D6703" s="2">
        <f>IFERROR(__xludf.DUMMYFUNCTION("""COMPUTED_VALUE"""),71.83)</f>
        <v>71.83</v>
      </c>
      <c r="E6703" s="2">
        <f>IFERROR(__xludf.DUMMYFUNCTION("""COMPUTED_VALUE"""),72.1)</f>
        <v>72.1</v>
      </c>
      <c r="F6703" s="2">
        <f>IFERROR(__xludf.DUMMYFUNCTION("""COMPUTED_VALUE"""),1.22165E7)</f>
        <v>12216500</v>
      </c>
    </row>
    <row r="6704">
      <c r="A6704" s="3">
        <f>IFERROR(__xludf.DUMMYFUNCTION("""COMPUTED_VALUE"""),38919.666666666664)</f>
        <v>38919.66667</v>
      </c>
      <c r="B6704" s="2">
        <f>IFERROR(__xludf.DUMMYFUNCTION("""COMPUTED_VALUE"""),72.11)</f>
        <v>72.11</v>
      </c>
      <c r="C6704" s="2">
        <f>IFERROR(__xludf.DUMMYFUNCTION("""COMPUTED_VALUE"""),72.11)</f>
        <v>72.11</v>
      </c>
      <c r="D6704" s="2">
        <f>IFERROR(__xludf.DUMMYFUNCTION("""COMPUTED_VALUE"""),71.16)</f>
        <v>71.16</v>
      </c>
      <c r="E6704" s="2">
        <f>IFERROR(__xludf.DUMMYFUNCTION("""COMPUTED_VALUE"""),71.5)</f>
        <v>71.5</v>
      </c>
      <c r="F6704" s="2">
        <f>IFERROR(__xludf.DUMMYFUNCTION("""COMPUTED_VALUE"""),8372500.0)</f>
        <v>8372500</v>
      </c>
    </row>
    <row r="6705">
      <c r="A6705" s="3">
        <f>IFERROR(__xludf.DUMMYFUNCTION("""COMPUTED_VALUE"""),38922.666666666664)</f>
        <v>38922.66667</v>
      </c>
      <c r="B6705" s="2">
        <f>IFERROR(__xludf.DUMMYFUNCTION("""COMPUTED_VALUE"""),71.56)</f>
        <v>71.56</v>
      </c>
      <c r="C6705" s="2">
        <f>IFERROR(__xludf.DUMMYFUNCTION("""COMPUTED_VALUE"""),72.74)</f>
        <v>72.74</v>
      </c>
      <c r="D6705" s="2">
        <f>IFERROR(__xludf.DUMMYFUNCTION("""COMPUTED_VALUE"""),71.56)</f>
        <v>71.56</v>
      </c>
      <c r="E6705" s="2">
        <f>IFERROR(__xludf.DUMMYFUNCTION("""COMPUTED_VALUE"""),72.58)</f>
        <v>72.58</v>
      </c>
      <c r="F6705" s="2">
        <f>IFERROR(__xludf.DUMMYFUNCTION("""COMPUTED_VALUE"""),5611200.0)</f>
        <v>5611200</v>
      </c>
    </row>
    <row r="6706">
      <c r="A6706" s="3">
        <f>IFERROR(__xludf.DUMMYFUNCTION("""COMPUTED_VALUE"""),38923.666666666664)</f>
        <v>38923.66667</v>
      </c>
      <c r="B6706" s="2">
        <f>IFERROR(__xludf.DUMMYFUNCTION("""COMPUTED_VALUE"""),72.58)</f>
        <v>72.58</v>
      </c>
      <c r="C6706" s="2">
        <f>IFERROR(__xludf.DUMMYFUNCTION("""COMPUTED_VALUE"""),72.98)</f>
        <v>72.98</v>
      </c>
      <c r="D6706" s="2">
        <f>IFERROR(__xludf.DUMMYFUNCTION("""COMPUTED_VALUE"""),71.93)</f>
        <v>71.93</v>
      </c>
      <c r="E6706" s="2">
        <f>IFERROR(__xludf.DUMMYFUNCTION("""COMPUTED_VALUE"""),72.49)</f>
        <v>72.49</v>
      </c>
      <c r="F6706" s="2">
        <f>IFERROR(__xludf.DUMMYFUNCTION("""COMPUTED_VALUE"""),5580300.0)</f>
        <v>5580300</v>
      </c>
    </row>
    <row r="6707">
      <c r="A6707" s="3">
        <f>IFERROR(__xludf.DUMMYFUNCTION("""COMPUTED_VALUE"""),38924.666666666664)</f>
        <v>38924.66667</v>
      </c>
      <c r="B6707" s="2">
        <f>IFERROR(__xludf.DUMMYFUNCTION("""COMPUTED_VALUE"""),72.1)</f>
        <v>72.1</v>
      </c>
      <c r="C6707" s="2">
        <f>IFERROR(__xludf.DUMMYFUNCTION("""COMPUTED_VALUE"""),72.88)</f>
        <v>72.88</v>
      </c>
      <c r="D6707" s="2">
        <f>IFERROR(__xludf.DUMMYFUNCTION("""COMPUTED_VALUE"""),71.98)</f>
        <v>71.98</v>
      </c>
      <c r="E6707" s="2">
        <f>IFERROR(__xludf.DUMMYFUNCTION("""COMPUTED_VALUE"""),72.43)</f>
        <v>72.43</v>
      </c>
      <c r="F6707" s="2">
        <f>IFERROR(__xludf.DUMMYFUNCTION("""COMPUTED_VALUE"""),3870100.0)</f>
        <v>3870100</v>
      </c>
    </row>
    <row r="6708">
      <c r="A6708" s="3">
        <f>IFERROR(__xludf.DUMMYFUNCTION("""COMPUTED_VALUE"""),38925.666666666664)</f>
        <v>38925.66667</v>
      </c>
      <c r="B6708" s="2">
        <f>IFERROR(__xludf.DUMMYFUNCTION("""COMPUTED_VALUE"""),72.43)</f>
        <v>72.43</v>
      </c>
      <c r="C6708" s="2">
        <f>IFERROR(__xludf.DUMMYFUNCTION("""COMPUTED_VALUE"""),73.82)</f>
        <v>73.82</v>
      </c>
      <c r="D6708" s="2">
        <f>IFERROR(__xludf.DUMMYFUNCTION("""COMPUTED_VALUE"""),72.35)</f>
        <v>72.35</v>
      </c>
      <c r="E6708" s="2">
        <f>IFERROR(__xludf.DUMMYFUNCTION("""COMPUTED_VALUE"""),72.74)</f>
        <v>72.74</v>
      </c>
      <c r="F6708" s="2">
        <f>IFERROR(__xludf.DUMMYFUNCTION("""COMPUTED_VALUE"""),6439100.0)</f>
        <v>6439100</v>
      </c>
    </row>
    <row r="6709">
      <c r="A6709" s="3">
        <f>IFERROR(__xludf.DUMMYFUNCTION("""COMPUTED_VALUE"""),38926.666666666664)</f>
        <v>38926.66667</v>
      </c>
      <c r="B6709" s="2">
        <f>IFERROR(__xludf.DUMMYFUNCTION("""COMPUTED_VALUE"""),72.96)</f>
        <v>72.96</v>
      </c>
      <c r="C6709" s="2">
        <f>IFERROR(__xludf.DUMMYFUNCTION("""COMPUTED_VALUE"""),73.83)</f>
        <v>73.83</v>
      </c>
      <c r="D6709" s="2">
        <f>IFERROR(__xludf.DUMMYFUNCTION("""COMPUTED_VALUE"""),72.84)</f>
        <v>72.84</v>
      </c>
      <c r="E6709" s="2">
        <f>IFERROR(__xludf.DUMMYFUNCTION("""COMPUTED_VALUE"""),73.51)</f>
        <v>73.51</v>
      </c>
      <c r="F6709" s="2">
        <f>IFERROR(__xludf.DUMMYFUNCTION("""COMPUTED_VALUE"""),4165700.0)</f>
        <v>4165700</v>
      </c>
    </row>
    <row r="6710">
      <c r="A6710" s="3">
        <f>IFERROR(__xludf.DUMMYFUNCTION("""COMPUTED_VALUE"""),38929.666666666664)</f>
        <v>38929.66667</v>
      </c>
      <c r="B6710" s="2">
        <f>IFERROR(__xludf.DUMMYFUNCTION("""COMPUTED_VALUE"""),73.01)</f>
        <v>73.01</v>
      </c>
      <c r="C6710" s="2">
        <f>IFERROR(__xludf.DUMMYFUNCTION("""COMPUTED_VALUE"""),74.03)</f>
        <v>74.03</v>
      </c>
      <c r="D6710" s="2">
        <f>IFERROR(__xludf.DUMMYFUNCTION("""COMPUTED_VALUE"""),72.74)</f>
        <v>72.74</v>
      </c>
      <c r="E6710" s="2">
        <f>IFERROR(__xludf.DUMMYFUNCTION("""COMPUTED_VALUE"""),73.94)</f>
        <v>73.94</v>
      </c>
      <c r="F6710" s="2">
        <f>IFERROR(__xludf.DUMMYFUNCTION("""COMPUTED_VALUE"""),5393000.0)</f>
        <v>5393000</v>
      </c>
    </row>
    <row r="6711">
      <c r="A6711" s="3">
        <f>IFERROR(__xludf.DUMMYFUNCTION("""COMPUTED_VALUE"""),38930.666666666664)</f>
        <v>38930.66667</v>
      </c>
      <c r="B6711" s="2">
        <f>IFERROR(__xludf.DUMMYFUNCTION("""COMPUTED_VALUE"""),73.21)</f>
        <v>73.21</v>
      </c>
      <c r="C6711" s="2">
        <f>IFERROR(__xludf.DUMMYFUNCTION("""COMPUTED_VALUE"""),73.91)</f>
        <v>73.91</v>
      </c>
      <c r="D6711" s="2">
        <f>IFERROR(__xludf.DUMMYFUNCTION("""COMPUTED_VALUE"""),72.35)</f>
        <v>72.35</v>
      </c>
      <c r="E6711" s="2">
        <f>IFERROR(__xludf.DUMMYFUNCTION("""COMPUTED_VALUE"""),72.73)</f>
        <v>72.73</v>
      </c>
      <c r="F6711" s="2">
        <f>IFERROR(__xludf.DUMMYFUNCTION("""COMPUTED_VALUE"""),4406800.0)</f>
        <v>4406800</v>
      </c>
    </row>
    <row r="6712">
      <c r="A6712" s="3">
        <f>IFERROR(__xludf.DUMMYFUNCTION("""COMPUTED_VALUE"""),38931.666666666664)</f>
        <v>38931.66667</v>
      </c>
      <c r="B6712" s="2">
        <f>IFERROR(__xludf.DUMMYFUNCTION("""COMPUTED_VALUE"""),72.79)</f>
        <v>72.79</v>
      </c>
      <c r="C6712" s="2">
        <f>IFERROR(__xludf.DUMMYFUNCTION("""COMPUTED_VALUE"""),73.48)</f>
        <v>73.48</v>
      </c>
      <c r="D6712" s="2">
        <f>IFERROR(__xludf.DUMMYFUNCTION("""COMPUTED_VALUE"""),72.78)</f>
        <v>72.78</v>
      </c>
      <c r="E6712" s="2">
        <f>IFERROR(__xludf.DUMMYFUNCTION("""COMPUTED_VALUE"""),72.9)</f>
        <v>72.9</v>
      </c>
      <c r="F6712" s="2">
        <f>IFERROR(__xludf.DUMMYFUNCTION("""COMPUTED_VALUE"""),3283800.0)</f>
        <v>3283800</v>
      </c>
    </row>
    <row r="6713">
      <c r="A6713" s="3">
        <f>IFERROR(__xludf.DUMMYFUNCTION("""COMPUTED_VALUE"""),38932.666666666664)</f>
        <v>38932.66667</v>
      </c>
      <c r="B6713" s="2">
        <f>IFERROR(__xludf.DUMMYFUNCTION("""COMPUTED_VALUE"""),72.59)</f>
        <v>72.59</v>
      </c>
      <c r="C6713" s="2">
        <f>IFERROR(__xludf.DUMMYFUNCTION("""COMPUTED_VALUE"""),73.29)</f>
        <v>73.29</v>
      </c>
      <c r="D6713" s="2">
        <f>IFERROR(__xludf.DUMMYFUNCTION("""COMPUTED_VALUE"""),71.54)</f>
        <v>71.54</v>
      </c>
      <c r="E6713" s="2">
        <f>IFERROR(__xludf.DUMMYFUNCTION("""COMPUTED_VALUE"""),72.91)</f>
        <v>72.91</v>
      </c>
      <c r="F6713" s="2">
        <f>IFERROR(__xludf.DUMMYFUNCTION("""COMPUTED_VALUE"""),2765800.0)</f>
        <v>2765800</v>
      </c>
    </row>
    <row r="6714">
      <c r="A6714" s="3">
        <f>IFERROR(__xludf.DUMMYFUNCTION("""COMPUTED_VALUE"""),38933.666666666664)</f>
        <v>38933.66667</v>
      </c>
      <c r="B6714" s="2">
        <f>IFERROR(__xludf.DUMMYFUNCTION("""COMPUTED_VALUE"""),73.21)</f>
        <v>73.21</v>
      </c>
      <c r="C6714" s="2">
        <f>IFERROR(__xludf.DUMMYFUNCTION("""COMPUTED_VALUE"""),73.33)</f>
        <v>73.33</v>
      </c>
      <c r="D6714" s="2">
        <f>IFERROR(__xludf.DUMMYFUNCTION("""COMPUTED_VALUE"""),71.94)</f>
        <v>71.94</v>
      </c>
      <c r="E6714" s="2">
        <f>IFERROR(__xludf.DUMMYFUNCTION("""COMPUTED_VALUE"""),72.51)</f>
        <v>72.51</v>
      </c>
      <c r="F6714" s="2">
        <f>IFERROR(__xludf.DUMMYFUNCTION("""COMPUTED_VALUE"""),5062400.0)</f>
        <v>5062400</v>
      </c>
    </row>
    <row r="6715">
      <c r="A6715" s="3">
        <f>IFERROR(__xludf.DUMMYFUNCTION("""COMPUTED_VALUE"""),38936.666666666664)</f>
        <v>38936.66667</v>
      </c>
      <c r="B6715" s="2">
        <f>IFERROR(__xludf.DUMMYFUNCTION("""COMPUTED_VALUE"""),72.24)</f>
        <v>72.24</v>
      </c>
      <c r="C6715" s="2">
        <f>IFERROR(__xludf.DUMMYFUNCTION("""COMPUTED_VALUE"""),72.78)</f>
        <v>72.78</v>
      </c>
      <c r="D6715" s="2">
        <f>IFERROR(__xludf.DUMMYFUNCTION("""COMPUTED_VALUE"""),71.9)</f>
        <v>71.9</v>
      </c>
      <c r="E6715" s="2">
        <f>IFERROR(__xludf.DUMMYFUNCTION("""COMPUTED_VALUE"""),72.13)</f>
        <v>72.13</v>
      </c>
      <c r="F6715" s="2">
        <f>IFERROR(__xludf.DUMMYFUNCTION("""COMPUTED_VALUE"""),4034200.0)</f>
        <v>4034200</v>
      </c>
    </row>
    <row r="6716">
      <c r="A6716" s="3">
        <f>IFERROR(__xludf.DUMMYFUNCTION("""COMPUTED_VALUE"""),38937.666666666664)</f>
        <v>38937.66667</v>
      </c>
      <c r="B6716" s="2">
        <f>IFERROR(__xludf.DUMMYFUNCTION("""COMPUTED_VALUE"""),72.24)</f>
        <v>72.24</v>
      </c>
      <c r="C6716" s="2">
        <f>IFERROR(__xludf.DUMMYFUNCTION("""COMPUTED_VALUE"""),72.84)</f>
        <v>72.84</v>
      </c>
      <c r="D6716" s="2">
        <f>IFERROR(__xludf.DUMMYFUNCTION("""COMPUTED_VALUE"""),71.74)</f>
        <v>71.74</v>
      </c>
      <c r="E6716" s="2">
        <f>IFERROR(__xludf.DUMMYFUNCTION("""COMPUTED_VALUE"""),71.95)</f>
        <v>71.95</v>
      </c>
      <c r="F6716" s="2">
        <f>IFERROR(__xludf.DUMMYFUNCTION("""COMPUTED_VALUE"""),3794700.0)</f>
        <v>3794700</v>
      </c>
    </row>
    <row r="6717">
      <c r="A6717" s="3">
        <f>IFERROR(__xludf.DUMMYFUNCTION("""COMPUTED_VALUE"""),38938.666666666664)</f>
        <v>38938.66667</v>
      </c>
      <c r="B6717" s="2">
        <f>IFERROR(__xludf.DUMMYFUNCTION("""COMPUTED_VALUE"""),72.17)</f>
        <v>72.17</v>
      </c>
      <c r="C6717" s="2">
        <f>IFERROR(__xludf.DUMMYFUNCTION("""COMPUTED_VALUE"""),72.86)</f>
        <v>72.86</v>
      </c>
      <c r="D6717" s="2">
        <f>IFERROR(__xludf.DUMMYFUNCTION("""COMPUTED_VALUE"""),72.01)</f>
        <v>72.01</v>
      </c>
      <c r="E6717" s="2">
        <f>IFERROR(__xludf.DUMMYFUNCTION("""COMPUTED_VALUE"""),72.01)</f>
        <v>72.01</v>
      </c>
      <c r="F6717" s="2">
        <f>IFERROR(__xludf.DUMMYFUNCTION("""COMPUTED_VALUE"""),4480800.0)</f>
        <v>4480800</v>
      </c>
    </row>
    <row r="6718">
      <c r="A6718" s="3">
        <f>IFERROR(__xludf.DUMMYFUNCTION("""COMPUTED_VALUE"""),38939.666666666664)</f>
        <v>38939.66667</v>
      </c>
      <c r="B6718" s="2">
        <f>IFERROR(__xludf.DUMMYFUNCTION("""COMPUTED_VALUE"""),71.83)</f>
        <v>71.83</v>
      </c>
      <c r="C6718" s="2">
        <f>IFERROR(__xludf.DUMMYFUNCTION("""COMPUTED_VALUE"""),72.67)</f>
        <v>72.67</v>
      </c>
      <c r="D6718" s="2">
        <f>IFERROR(__xludf.DUMMYFUNCTION("""COMPUTED_VALUE"""),71.69)</f>
        <v>71.69</v>
      </c>
      <c r="E6718" s="2">
        <f>IFERROR(__xludf.DUMMYFUNCTION("""COMPUTED_VALUE"""),72.34)</f>
        <v>72.34</v>
      </c>
      <c r="F6718" s="2">
        <f>IFERROR(__xludf.DUMMYFUNCTION("""COMPUTED_VALUE"""),3213600.0)</f>
        <v>3213600</v>
      </c>
    </row>
    <row r="6719">
      <c r="A6719" s="3">
        <f>IFERROR(__xludf.DUMMYFUNCTION("""COMPUTED_VALUE"""),38940.666666666664)</f>
        <v>38940.66667</v>
      </c>
      <c r="B6719" s="2">
        <f>IFERROR(__xludf.DUMMYFUNCTION("""COMPUTED_VALUE"""),71.96)</f>
        <v>71.96</v>
      </c>
      <c r="C6719" s="2">
        <f>IFERROR(__xludf.DUMMYFUNCTION("""COMPUTED_VALUE"""),72.38)</f>
        <v>72.38</v>
      </c>
      <c r="D6719" s="2">
        <f>IFERROR(__xludf.DUMMYFUNCTION("""COMPUTED_VALUE"""),71.83)</f>
        <v>71.83</v>
      </c>
      <c r="E6719" s="2">
        <f>IFERROR(__xludf.DUMMYFUNCTION("""COMPUTED_VALUE"""),72.1)</f>
        <v>72.1</v>
      </c>
      <c r="F6719" s="2">
        <f>IFERROR(__xludf.DUMMYFUNCTION("""COMPUTED_VALUE"""),3696100.0)</f>
        <v>3696100</v>
      </c>
    </row>
    <row r="6720">
      <c r="A6720" s="3">
        <f>IFERROR(__xludf.DUMMYFUNCTION("""COMPUTED_VALUE"""),38943.666666666664)</f>
        <v>38943.66667</v>
      </c>
      <c r="B6720" s="2">
        <f>IFERROR(__xludf.DUMMYFUNCTION("""COMPUTED_VALUE"""),72.64)</f>
        <v>72.64</v>
      </c>
      <c r="C6720" s="2">
        <f>IFERROR(__xludf.DUMMYFUNCTION("""COMPUTED_VALUE"""),74.02)</f>
        <v>74.02</v>
      </c>
      <c r="D6720" s="2">
        <f>IFERROR(__xludf.DUMMYFUNCTION("""COMPUTED_VALUE"""),72.21)</f>
        <v>72.21</v>
      </c>
      <c r="E6720" s="2">
        <f>IFERROR(__xludf.DUMMYFUNCTION("""COMPUTED_VALUE"""),73.24)</f>
        <v>73.24</v>
      </c>
      <c r="F6720" s="2">
        <f>IFERROR(__xludf.DUMMYFUNCTION("""COMPUTED_VALUE"""),4997400.0)</f>
        <v>4997400</v>
      </c>
    </row>
    <row r="6721">
      <c r="A6721" s="3">
        <f>IFERROR(__xludf.DUMMYFUNCTION("""COMPUTED_VALUE"""),38944.666666666664)</f>
        <v>38944.66667</v>
      </c>
      <c r="B6721" s="2">
        <f>IFERROR(__xludf.DUMMYFUNCTION("""COMPUTED_VALUE"""),73.45)</f>
        <v>73.45</v>
      </c>
      <c r="C6721" s="2">
        <f>IFERROR(__xludf.DUMMYFUNCTION("""COMPUTED_VALUE"""),73.68)</f>
        <v>73.68</v>
      </c>
      <c r="D6721" s="2">
        <f>IFERROR(__xludf.DUMMYFUNCTION("""COMPUTED_VALUE"""),72.89)</f>
        <v>72.89</v>
      </c>
      <c r="E6721" s="2">
        <f>IFERROR(__xludf.DUMMYFUNCTION("""COMPUTED_VALUE"""),73.62)</f>
        <v>73.62</v>
      </c>
      <c r="F6721" s="2">
        <f>IFERROR(__xludf.DUMMYFUNCTION("""COMPUTED_VALUE"""),5985400.0)</f>
        <v>5985400</v>
      </c>
    </row>
    <row r="6722">
      <c r="A6722" s="3">
        <f>IFERROR(__xludf.DUMMYFUNCTION("""COMPUTED_VALUE"""),38945.666666666664)</f>
        <v>38945.66667</v>
      </c>
      <c r="B6722" s="2">
        <f>IFERROR(__xludf.DUMMYFUNCTION("""COMPUTED_VALUE"""),74.01)</f>
        <v>74.01</v>
      </c>
      <c r="C6722" s="2">
        <f>IFERROR(__xludf.DUMMYFUNCTION("""COMPUTED_VALUE"""),75.73)</f>
        <v>75.73</v>
      </c>
      <c r="D6722" s="2">
        <f>IFERROR(__xludf.DUMMYFUNCTION("""COMPUTED_VALUE"""),73.88)</f>
        <v>73.88</v>
      </c>
      <c r="E6722" s="2">
        <f>IFERROR(__xludf.DUMMYFUNCTION("""COMPUTED_VALUE"""),75.54)</f>
        <v>75.54</v>
      </c>
      <c r="F6722" s="2">
        <f>IFERROR(__xludf.DUMMYFUNCTION("""COMPUTED_VALUE"""),7387200.0)</f>
        <v>7387200</v>
      </c>
    </row>
    <row r="6723">
      <c r="A6723" s="3">
        <f>IFERROR(__xludf.DUMMYFUNCTION("""COMPUTED_VALUE"""),38946.666666666664)</f>
        <v>38946.66667</v>
      </c>
      <c r="B6723" s="2">
        <f>IFERROR(__xludf.DUMMYFUNCTION("""COMPUTED_VALUE"""),75.39)</f>
        <v>75.39</v>
      </c>
      <c r="C6723" s="2">
        <f>IFERROR(__xludf.DUMMYFUNCTION("""COMPUTED_VALUE"""),75.99)</f>
        <v>75.99</v>
      </c>
      <c r="D6723" s="2">
        <f>IFERROR(__xludf.DUMMYFUNCTION("""COMPUTED_VALUE"""),75.01)</f>
        <v>75.01</v>
      </c>
      <c r="E6723" s="2">
        <f>IFERROR(__xludf.DUMMYFUNCTION("""COMPUTED_VALUE"""),75.81)</f>
        <v>75.81</v>
      </c>
      <c r="F6723" s="2">
        <f>IFERROR(__xludf.DUMMYFUNCTION("""COMPUTED_VALUE"""),5602300.0)</f>
        <v>5602300</v>
      </c>
    </row>
    <row r="6724">
      <c r="A6724" s="3">
        <f>IFERROR(__xludf.DUMMYFUNCTION("""COMPUTED_VALUE"""),38947.666666666664)</f>
        <v>38947.66667</v>
      </c>
      <c r="B6724" s="2">
        <f>IFERROR(__xludf.DUMMYFUNCTION("""COMPUTED_VALUE"""),75.82)</f>
        <v>75.82</v>
      </c>
      <c r="C6724" s="2">
        <f>IFERROR(__xludf.DUMMYFUNCTION("""COMPUTED_VALUE"""),76.38)</f>
        <v>76.38</v>
      </c>
      <c r="D6724" s="2">
        <f>IFERROR(__xludf.DUMMYFUNCTION("""COMPUTED_VALUE"""),75.1)</f>
        <v>75.1</v>
      </c>
      <c r="E6724" s="2">
        <f>IFERROR(__xludf.DUMMYFUNCTION("""COMPUTED_VALUE"""),76.32)</f>
        <v>76.32</v>
      </c>
      <c r="F6724" s="2">
        <f>IFERROR(__xludf.DUMMYFUNCTION("""COMPUTED_VALUE"""),5399700.0)</f>
        <v>5399700</v>
      </c>
    </row>
    <row r="6725">
      <c r="A6725" s="3">
        <f>IFERROR(__xludf.DUMMYFUNCTION("""COMPUTED_VALUE"""),38950.666666666664)</f>
        <v>38950.66667</v>
      </c>
      <c r="B6725" s="2">
        <f>IFERROR(__xludf.DUMMYFUNCTION("""COMPUTED_VALUE"""),75.95)</f>
        <v>75.95</v>
      </c>
      <c r="C6725" s="2">
        <f>IFERROR(__xludf.DUMMYFUNCTION("""COMPUTED_VALUE"""),76.3)</f>
        <v>76.3</v>
      </c>
      <c r="D6725" s="2">
        <f>IFERROR(__xludf.DUMMYFUNCTION("""COMPUTED_VALUE"""),75.33)</f>
        <v>75.33</v>
      </c>
      <c r="E6725" s="2">
        <f>IFERROR(__xludf.DUMMYFUNCTION("""COMPUTED_VALUE"""),75.73)</f>
        <v>75.73</v>
      </c>
      <c r="F6725" s="2">
        <f>IFERROR(__xludf.DUMMYFUNCTION("""COMPUTED_VALUE"""),3676500.0)</f>
        <v>3676500</v>
      </c>
    </row>
    <row r="6726">
      <c r="A6726" s="3">
        <f>IFERROR(__xludf.DUMMYFUNCTION("""COMPUTED_VALUE"""),38951.666666666664)</f>
        <v>38951.66667</v>
      </c>
      <c r="B6726" s="2">
        <f>IFERROR(__xludf.DUMMYFUNCTION("""COMPUTED_VALUE"""),75.73)</f>
        <v>75.73</v>
      </c>
      <c r="C6726" s="2">
        <f>IFERROR(__xludf.DUMMYFUNCTION("""COMPUTED_VALUE"""),75.98)</f>
        <v>75.98</v>
      </c>
      <c r="D6726" s="2">
        <f>IFERROR(__xludf.DUMMYFUNCTION("""COMPUTED_VALUE"""),75.09)</f>
        <v>75.09</v>
      </c>
      <c r="E6726" s="2">
        <f>IFERROR(__xludf.DUMMYFUNCTION("""COMPUTED_VALUE"""),75.41)</f>
        <v>75.41</v>
      </c>
      <c r="F6726" s="2">
        <f>IFERROR(__xludf.DUMMYFUNCTION("""COMPUTED_VALUE"""),4057200.0)</f>
        <v>4057200</v>
      </c>
    </row>
    <row r="6727">
      <c r="A6727" s="3">
        <f>IFERROR(__xludf.DUMMYFUNCTION("""COMPUTED_VALUE"""),38952.666666666664)</f>
        <v>38952.66667</v>
      </c>
      <c r="B6727" s="2">
        <f>IFERROR(__xludf.DUMMYFUNCTION("""COMPUTED_VALUE"""),75.41)</f>
        <v>75.41</v>
      </c>
      <c r="C6727" s="2">
        <f>IFERROR(__xludf.DUMMYFUNCTION("""COMPUTED_VALUE"""),75.91)</f>
        <v>75.91</v>
      </c>
      <c r="D6727" s="2">
        <f>IFERROR(__xludf.DUMMYFUNCTION("""COMPUTED_VALUE"""),74.9)</f>
        <v>74.9</v>
      </c>
      <c r="E6727" s="2">
        <f>IFERROR(__xludf.DUMMYFUNCTION("""COMPUTED_VALUE"""),75.14)</f>
        <v>75.14</v>
      </c>
      <c r="F6727" s="2">
        <f>IFERROR(__xludf.DUMMYFUNCTION("""COMPUTED_VALUE"""),3428500.0)</f>
        <v>3428500</v>
      </c>
    </row>
    <row r="6728">
      <c r="A6728" s="3">
        <f>IFERROR(__xludf.DUMMYFUNCTION("""COMPUTED_VALUE"""),38953.666666666664)</f>
        <v>38953.66667</v>
      </c>
      <c r="B6728" s="2">
        <f>IFERROR(__xludf.DUMMYFUNCTION("""COMPUTED_VALUE"""),75.36)</f>
        <v>75.36</v>
      </c>
      <c r="C6728" s="2">
        <f>IFERROR(__xludf.DUMMYFUNCTION("""COMPUTED_VALUE"""),75.94)</f>
        <v>75.94</v>
      </c>
      <c r="D6728" s="2">
        <f>IFERROR(__xludf.DUMMYFUNCTION("""COMPUTED_VALUE"""),75.33)</f>
        <v>75.33</v>
      </c>
      <c r="E6728" s="2">
        <f>IFERROR(__xludf.DUMMYFUNCTION("""COMPUTED_VALUE"""),75.82)</f>
        <v>75.82</v>
      </c>
      <c r="F6728" s="2">
        <f>IFERROR(__xludf.DUMMYFUNCTION("""COMPUTED_VALUE"""),3473300.0)</f>
        <v>3473300</v>
      </c>
    </row>
    <row r="6729">
      <c r="A6729" s="3">
        <f>IFERROR(__xludf.DUMMYFUNCTION("""COMPUTED_VALUE"""),38954.666666666664)</f>
        <v>38954.66667</v>
      </c>
      <c r="B6729" s="2">
        <f>IFERROR(__xludf.DUMMYFUNCTION("""COMPUTED_VALUE"""),75.65)</f>
        <v>75.65</v>
      </c>
      <c r="C6729" s="2">
        <f>IFERROR(__xludf.DUMMYFUNCTION("""COMPUTED_VALUE"""),76.41)</f>
        <v>76.41</v>
      </c>
      <c r="D6729" s="2">
        <f>IFERROR(__xludf.DUMMYFUNCTION("""COMPUTED_VALUE"""),75.59)</f>
        <v>75.59</v>
      </c>
      <c r="E6729" s="2">
        <f>IFERROR(__xludf.DUMMYFUNCTION("""COMPUTED_VALUE"""),76.3)</f>
        <v>76.3</v>
      </c>
      <c r="F6729" s="2">
        <f>IFERROR(__xludf.DUMMYFUNCTION("""COMPUTED_VALUE"""),3428100.0)</f>
        <v>3428100</v>
      </c>
    </row>
    <row r="6730">
      <c r="A6730" s="3">
        <f>IFERROR(__xludf.DUMMYFUNCTION("""COMPUTED_VALUE"""),38957.666666666664)</f>
        <v>38957.66667</v>
      </c>
      <c r="B6730" s="2">
        <f>IFERROR(__xludf.DUMMYFUNCTION("""COMPUTED_VALUE"""),76.33)</f>
        <v>76.33</v>
      </c>
      <c r="C6730" s="2">
        <f>IFERROR(__xludf.DUMMYFUNCTION("""COMPUTED_VALUE"""),76.86)</f>
        <v>76.86</v>
      </c>
      <c r="D6730" s="2">
        <f>IFERROR(__xludf.DUMMYFUNCTION("""COMPUTED_VALUE"""),76.18)</f>
        <v>76.18</v>
      </c>
      <c r="E6730" s="2">
        <f>IFERROR(__xludf.DUMMYFUNCTION("""COMPUTED_VALUE"""),76.72)</f>
        <v>76.72</v>
      </c>
      <c r="F6730" s="2">
        <f>IFERROR(__xludf.DUMMYFUNCTION("""COMPUTED_VALUE"""),5259400.0)</f>
        <v>5259400</v>
      </c>
    </row>
    <row r="6731">
      <c r="A6731" s="3">
        <f>IFERROR(__xludf.DUMMYFUNCTION("""COMPUTED_VALUE"""),38958.666666666664)</f>
        <v>38958.66667</v>
      </c>
      <c r="B6731" s="2">
        <f>IFERROR(__xludf.DUMMYFUNCTION("""COMPUTED_VALUE"""),76.47)</f>
        <v>76.47</v>
      </c>
      <c r="C6731" s="2">
        <f>IFERROR(__xludf.DUMMYFUNCTION("""COMPUTED_VALUE"""),77.83)</f>
        <v>77.83</v>
      </c>
      <c r="D6731" s="2">
        <f>IFERROR(__xludf.DUMMYFUNCTION("""COMPUTED_VALUE"""),76.47)</f>
        <v>76.47</v>
      </c>
      <c r="E6731" s="2">
        <f>IFERROR(__xludf.DUMMYFUNCTION("""COMPUTED_VALUE"""),77.75)</f>
        <v>77.75</v>
      </c>
      <c r="F6731" s="2">
        <f>IFERROR(__xludf.DUMMYFUNCTION("""COMPUTED_VALUE"""),5208500.0)</f>
        <v>5208500</v>
      </c>
    </row>
    <row r="6732">
      <c r="A6732" s="3">
        <f>IFERROR(__xludf.DUMMYFUNCTION("""COMPUTED_VALUE"""),38959.666666666664)</f>
        <v>38959.66667</v>
      </c>
      <c r="B6732" s="2">
        <f>IFERROR(__xludf.DUMMYFUNCTION("""COMPUTED_VALUE"""),77.62)</f>
        <v>77.62</v>
      </c>
      <c r="C6732" s="2">
        <f>IFERROR(__xludf.DUMMYFUNCTION("""COMPUTED_VALUE"""),78.02)</f>
        <v>78.02</v>
      </c>
      <c r="D6732" s="2">
        <f>IFERROR(__xludf.DUMMYFUNCTION("""COMPUTED_VALUE"""),77.22)</f>
        <v>77.22</v>
      </c>
      <c r="E6732" s="2">
        <f>IFERROR(__xludf.DUMMYFUNCTION("""COMPUTED_VALUE"""),77.58)</f>
        <v>77.58</v>
      </c>
      <c r="F6732" s="2">
        <f>IFERROR(__xludf.DUMMYFUNCTION("""COMPUTED_VALUE"""),4439000.0)</f>
        <v>4439000</v>
      </c>
    </row>
    <row r="6733">
      <c r="A6733" s="3">
        <f>IFERROR(__xludf.DUMMYFUNCTION("""COMPUTED_VALUE"""),38960.666666666664)</f>
        <v>38960.66667</v>
      </c>
      <c r="B6733" s="2">
        <f>IFERROR(__xludf.DUMMYFUNCTION("""COMPUTED_VALUE"""),77.65)</f>
        <v>77.65</v>
      </c>
      <c r="C6733" s="2">
        <f>IFERROR(__xludf.DUMMYFUNCTION("""COMPUTED_VALUE"""),77.85)</f>
        <v>77.85</v>
      </c>
      <c r="D6733" s="2">
        <f>IFERROR(__xludf.DUMMYFUNCTION("""COMPUTED_VALUE"""),77.16)</f>
        <v>77.16</v>
      </c>
      <c r="E6733" s="2">
        <f>IFERROR(__xludf.DUMMYFUNCTION("""COMPUTED_VALUE"""),77.34)</f>
        <v>77.34</v>
      </c>
      <c r="F6733" s="2">
        <f>IFERROR(__xludf.DUMMYFUNCTION("""COMPUTED_VALUE"""),3786200.0)</f>
        <v>3786200</v>
      </c>
    </row>
    <row r="6734">
      <c r="A6734" s="3">
        <f>IFERROR(__xludf.DUMMYFUNCTION("""COMPUTED_VALUE"""),38961.666666666664)</f>
        <v>38961.66667</v>
      </c>
      <c r="B6734" s="2">
        <f>IFERROR(__xludf.DUMMYFUNCTION("""COMPUTED_VALUE"""),77.49)</f>
        <v>77.49</v>
      </c>
      <c r="C6734" s="2">
        <f>IFERROR(__xludf.DUMMYFUNCTION("""COMPUTED_VALUE"""),77.91)</f>
        <v>77.91</v>
      </c>
      <c r="D6734" s="2">
        <f>IFERROR(__xludf.DUMMYFUNCTION("""COMPUTED_VALUE"""),77.19)</f>
        <v>77.19</v>
      </c>
      <c r="E6734" s="2">
        <f>IFERROR(__xludf.DUMMYFUNCTION("""COMPUTED_VALUE"""),77.76)</f>
        <v>77.76</v>
      </c>
      <c r="F6734" s="2">
        <f>IFERROR(__xludf.DUMMYFUNCTION("""COMPUTED_VALUE"""),3294000.0)</f>
        <v>3294000</v>
      </c>
    </row>
    <row r="6735">
      <c r="A6735" s="3">
        <f>IFERROR(__xludf.DUMMYFUNCTION("""COMPUTED_VALUE"""),38965.666666666664)</f>
        <v>38965.66667</v>
      </c>
      <c r="B6735" s="2">
        <f>IFERROR(__xludf.DUMMYFUNCTION("""COMPUTED_VALUE"""),77.55)</f>
        <v>77.55</v>
      </c>
      <c r="C6735" s="2">
        <f>IFERROR(__xludf.DUMMYFUNCTION("""COMPUTED_VALUE"""),77.88)</f>
        <v>77.88</v>
      </c>
      <c r="D6735" s="2">
        <f>IFERROR(__xludf.DUMMYFUNCTION("""COMPUTED_VALUE"""),76.99)</f>
        <v>76.99</v>
      </c>
      <c r="E6735" s="2">
        <f>IFERROR(__xludf.DUMMYFUNCTION("""COMPUTED_VALUE"""),77.23)</f>
        <v>77.23</v>
      </c>
      <c r="F6735" s="2">
        <f>IFERROR(__xludf.DUMMYFUNCTION("""COMPUTED_VALUE"""),3968500.0)</f>
        <v>3968500</v>
      </c>
    </row>
    <row r="6736">
      <c r="A6736" s="3">
        <f>IFERROR(__xludf.DUMMYFUNCTION("""COMPUTED_VALUE"""),38966.666666666664)</f>
        <v>38966.66667</v>
      </c>
      <c r="B6736" s="2">
        <f>IFERROR(__xludf.DUMMYFUNCTION("""COMPUTED_VALUE"""),76.69)</f>
        <v>76.69</v>
      </c>
      <c r="C6736" s="2">
        <f>IFERROR(__xludf.DUMMYFUNCTION("""COMPUTED_VALUE"""),77.07)</f>
        <v>77.07</v>
      </c>
      <c r="D6736" s="2">
        <f>IFERROR(__xludf.DUMMYFUNCTION("""COMPUTED_VALUE"""),76.58)</f>
        <v>76.58</v>
      </c>
      <c r="E6736" s="2">
        <f>IFERROR(__xludf.DUMMYFUNCTION("""COMPUTED_VALUE"""),76.68)</f>
        <v>76.68</v>
      </c>
      <c r="F6736" s="2">
        <f>IFERROR(__xludf.DUMMYFUNCTION("""COMPUTED_VALUE"""),3727600.0)</f>
        <v>3727600</v>
      </c>
    </row>
    <row r="6737">
      <c r="A6737" s="3">
        <f>IFERROR(__xludf.DUMMYFUNCTION("""COMPUTED_VALUE"""),38967.666666666664)</f>
        <v>38967.66667</v>
      </c>
      <c r="B6737" s="2">
        <f>IFERROR(__xludf.DUMMYFUNCTION("""COMPUTED_VALUE"""),76.32)</f>
        <v>76.32</v>
      </c>
      <c r="C6737" s="2">
        <f>IFERROR(__xludf.DUMMYFUNCTION("""COMPUTED_VALUE"""),76.78)</f>
        <v>76.78</v>
      </c>
      <c r="D6737" s="2">
        <f>IFERROR(__xludf.DUMMYFUNCTION("""COMPUTED_VALUE"""),75.75)</f>
        <v>75.75</v>
      </c>
      <c r="E6737" s="2">
        <f>IFERROR(__xludf.DUMMYFUNCTION("""COMPUTED_VALUE"""),75.84)</f>
        <v>75.84</v>
      </c>
      <c r="F6737" s="2">
        <f>IFERROR(__xludf.DUMMYFUNCTION("""COMPUTED_VALUE"""),3913600.0)</f>
        <v>3913600</v>
      </c>
    </row>
    <row r="6738">
      <c r="A6738" s="3">
        <f>IFERROR(__xludf.DUMMYFUNCTION("""COMPUTED_VALUE"""),38968.666666666664)</f>
        <v>38968.66667</v>
      </c>
      <c r="B6738" s="2">
        <f>IFERROR(__xludf.DUMMYFUNCTION("""COMPUTED_VALUE"""),76.03)</f>
        <v>76.03</v>
      </c>
      <c r="C6738" s="2">
        <f>IFERROR(__xludf.DUMMYFUNCTION("""COMPUTED_VALUE"""),77.23)</f>
        <v>77.23</v>
      </c>
      <c r="D6738" s="2">
        <f>IFERROR(__xludf.DUMMYFUNCTION("""COMPUTED_VALUE"""),75.79)</f>
        <v>75.79</v>
      </c>
      <c r="E6738" s="2">
        <f>IFERROR(__xludf.DUMMYFUNCTION("""COMPUTED_VALUE"""),77.04)</f>
        <v>77.04</v>
      </c>
      <c r="F6738" s="2">
        <f>IFERROR(__xludf.DUMMYFUNCTION("""COMPUTED_VALUE"""),4498600.0)</f>
        <v>4498600</v>
      </c>
    </row>
    <row r="6739">
      <c r="A6739" s="3">
        <f>IFERROR(__xludf.DUMMYFUNCTION("""COMPUTED_VALUE"""),38971.666666666664)</f>
        <v>38971.66667</v>
      </c>
      <c r="B6739" s="2">
        <f>IFERROR(__xludf.DUMMYFUNCTION("""COMPUTED_VALUE"""),76.99)</f>
        <v>76.99</v>
      </c>
      <c r="C6739" s="2">
        <f>IFERROR(__xludf.DUMMYFUNCTION("""COMPUTED_VALUE"""),77.56)</f>
        <v>77.56</v>
      </c>
      <c r="D6739" s="2">
        <f>IFERROR(__xludf.DUMMYFUNCTION("""COMPUTED_VALUE"""),76.65)</f>
        <v>76.65</v>
      </c>
      <c r="E6739" s="2">
        <f>IFERROR(__xludf.DUMMYFUNCTION("""COMPUTED_VALUE"""),77.3)</f>
        <v>77.3</v>
      </c>
      <c r="F6739" s="2">
        <f>IFERROR(__xludf.DUMMYFUNCTION("""COMPUTED_VALUE"""),4316200.0)</f>
        <v>4316200</v>
      </c>
    </row>
    <row r="6740">
      <c r="A6740" s="3">
        <f>IFERROR(__xludf.DUMMYFUNCTION("""COMPUTED_VALUE"""),38972.666666666664)</f>
        <v>38972.66667</v>
      </c>
      <c r="B6740" s="2">
        <f>IFERROR(__xludf.DUMMYFUNCTION("""COMPUTED_VALUE"""),77.5)</f>
        <v>77.5</v>
      </c>
      <c r="C6740" s="2">
        <f>IFERROR(__xludf.DUMMYFUNCTION("""COMPUTED_VALUE"""),78.8)</f>
        <v>78.8</v>
      </c>
      <c r="D6740" s="2">
        <f>IFERROR(__xludf.DUMMYFUNCTION("""COMPUTED_VALUE"""),77.43)</f>
        <v>77.43</v>
      </c>
      <c r="E6740" s="2">
        <f>IFERROR(__xludf.DUMMYFUNCTION("""COMPUTED_VALUE"""),78.59)</f>
        <v>78.59</v>
      </c>
      <c r="F6740" s="2">
        <f>IFERROR(__xludf.DUMMYFUNCTION("""COMPUTED_VALUE"""),5722200.0)</f>
        <v>5722200</v>
      </c>
    </row>
    <row r="6741">
      <c r="A6741" s="3">
        <f>IFERROR(__xludf.DUMMYFUNCTION("""COMPUTED_VALUE"""),38973.666666666664)</f>
        <v>38973.66667</v>
      </c>
      <c r="B6741" s="2">
        <f>IFERROR(__xludf.DUMMYFUNCTION("""COMPUTED_VALUE"""),78.56)</f>
        <v>78.56</v>
      </c>
      <c r="C6741" s="2">
        <f>IFERROR(__xludf.DUMMYFUNCTION("""COMPUTED_VALUE"""),78.99)</f>
        <v>78.99</v>
      </c>
      <c r="D6741" s="2">
        <f>IFERROR(__xludf.DUMMYFUNCTION("""COMPUTED_VALUE"""),78.17)</f>
        <v>78.17</v>
      </c>
      <c r="E6741" s="2">
        <f>IFERROR(__xludf.DUMMYFUNCTION("""COMPUTED_VALUE"""),78.52)</f>
        <v>78.52</v>
      </c>
      <c r="F6741" s="2">
        <f>IFERROR(__xludf.DUMMYFUNCTION("""COMPUTED_VALUE"""),4980200.0)</f>
        <v>4980200</v>
      </c>
    </row>
    <row r="6742">
      <c r="A6742" s="3">
        <f>IFERROR(__xludf.DUMMYFUNCTION("""COMPUTED_VALUE"""),38974.666666666664)</f>
        <v>38974.66667</v>
      </c>
      <c r="B6742" s="2">
        <f>IFERROR(__xludf.DUMMYFUNCTION("""COMPUTED_VALUE"""),78.23)</f>
        <v>78.23</v>
      </c>
      <c r="C6742" s="2">
        <f>IFERROR(__xludf.DUMMYFUNCTION("""COMPUTED_VALUE"""),79.28)</f>
        <v>79.28</v>
      </c>
      <c r="D6742" s="2">
        <f>IFERROR(__xludf.DUMMYFUNCTION("""COMPUTED_VALUE"""),78.08)</f>
        <v>78.08</v>
      </c>
      <c r="E6742" s="2">
        <f>IFERROR(__xludf.DUMMYFUNCTION("""COMPUTED_VALUE"""),78.77)</f>
        <v>78.77</v>
      </c>
      <c r="F6742" s="2">
        <f>IFERROR(__xludf.DUMMYFUNCTION("""COMPUTED_VALUE"""),4265300.0)</f>
        <v>4265300</v>
      </c>
    </row>
    <row r="6743">
      <c r="A6743" s="3">
        <f>IFERROR(__xludf.DUMMYFUNCTION("""COMPUTED_VALUE"""),38975.666666666664)</f>
        <v>38975.66667</v>
      </c>
      <c r="B6743" s="2">
        <f>IFERROR(__xludf.DUMMYFUNCTION("""COMPUTED_VALUE"""),79.48)</f>
        <v>79.48</v>
      </c>
      <c r="C6743" s="2">
        <f>IFERROR(__xludf.DUMMYFUNCTION("""COMPUTED_VALUE"""),79.84)</f>
        <v>79.84</v>
      </c>
      <c r="D6743" s="2">
        <f>IFERROR(__xludf.DUMMYFUNCTION("""COMPUTED_VALUE"""),79.08)</f>
        <v>79.08</v>
      </c>
      <c r="E6743" s="2">
        <f>IFERROR(__xludf.DUMMYFUNCTION("""COMPUTED_VALUE"""),79.22)</f>
        <v>79.22</v>
      </c>
      <c r="F6743" s="2">
        <f>IFERROR(__xludf.DUMMYFUNCTION("""COMPUTED_VALUE"""),8203800.0)</f>
        <v>8203800</v>
      </c>
    </row>
    <row r="6744">
      <c r="A6744" s="3">
        <f>IFERROR(__xludf.DUMMYFUNCTION("""COMPUTED_VALUE"""),38978.666666666664)</f>
        <v>38978.66667</v>
      </c>
      <c r="B6744" s="2">
        <f>IFERROR(__xludf.DUMMYFUNCTION("""COMPUTED_VALUE"""),78.86)</f>
        <v>78.86</v>
      </c>
      <c r="C6744" s="2">
        <f>IFERROR(__xludf.DUMMYFUNCTION("""COMPUTED_VALUE"""),79.48)</f>
        <v>79.48</v>
      </c>
      <c r="D6744" s="2">
        <f>IFERROR(__xludf.DUMMYFUNCTION("""COMPUTED_VALUE"""),78.49)</f>
        <v>78.49</v>
      </c>
      <c r="E6744" s="2">
        <f>IFERROR(__xludf.DUMMYFUNCTION("""COMPUTED_VALUE"""),78.55)</f>
        <v>78.55</v>
      </c>
      <c r="F6744" s="2">
        <f>IFERROR(__xludf.DUMMYFUNCTION("""COMPUTED_VALUE"""),4417600.0)</f>
        <v>4417600</v>
      </c>
    </row>
    <row r="6745">
      <c r="A6745" s="3">
        <f>IFERROR(__xludf.DUMMYFUNCTION("""COMPUTED_VALUE"""),38979.666666666664)</f>
        <v>38979.66667</v>
      </c>
      <c r="B6745" s="2">
        <f>IFERROR(__xludf.DUMMYFUNCTION("""COMPUTED_VALUE"""),78.29)</f>
        <v>78.29</v>
      </c>
      <c r="C6745" s="2">
        <f>IFERROR(__xludf.DUMMYFUNCTION("""COMPUTED_VALUE"""),78.41)</f>
        <v>78.41</v>
      </c>
      <c r="D6745" s="2">
        <f>IFERROR(__xludf.DUMMYFUNCTION("""COMPUTED_VALUE"""),77.77)</f>
        <v>77.77</v>
      </c>
      <c r="E6745" s="2">
        <f>IFERROR(__xludf.DUMMYFUNCTION("""COMPUTED_VALUE"""),78.2)</f>
        <v>78.2</v>
      </c>
      <c r="F6745" s="2">
        <f>IFERROR(__xludf.DUMMYFUNCTION("""COMPUTED_VALUE"""),5088700.0)</f>
        <v>5088700</v>
      </c>
    </row>
    <row r="6746">
      <c r="A6746" s="3">
        <f>IFERROR(__xludf.DUMMYFUNCTION("""COMPUTED_VALUE"""),38980.666666666664)</f>
        <v>38980.66667</v>
      </c>
      <c r="B6746" s="2">
        <f>IFERROR(__xludf.DUMMYFUNCTION("""COMPUTED_VALUE"""),78.68)</f>
        <v>78.68</v>
      </c>
      <c r="C6746" s="2">
        <f>IFERROR(__xludf.DUMMYFUNCTION("""COMPUTED_VALUE"""),80.03)</f>
        <v>80.03</v>
      </c>
      <c r="D6746" s="2">
        <f>IFERROR(__xludf.DUMMYFUNCTION("""COMPUTED_VALUE"""),78.51)</f>
        <v>78.51</v>
      </c>
      <c r="E6746" s="2">
        <f>IFERROR(__xludf.DUMMYFUNCTION("""COMPUTED_VALUE"""),79.68)</f>
        <v>79.68</v>
      </c>
      <c r="F6746" s="2">
        <f>IFERROR(__xludf.DUMMYFUNCTION("""COMPUTED_VALUE"""),7524600.0)</f>
        <v>7524600</v>
      </c>
    </row>
    <row r="6747">
      <c r="A6747" s="3">
        <f>IFERROR(__xludf.DUMMYFUNCTION("""COMPUTED_VALUE"""),38981.666666666664)</f>
        <v>38981.66667</v>
      </c>
      <c r="B6747" s="2">
        <f>IFERROR(__xludf.DUMMYFUNCTION("""COMPUTED_VALUE"""),78.91)</f>
        <v>78.91</v>
      </c>
      <c r="C6747" s="2">
        <f>IFERROR(__xludf.DUMMYFUNCTION("""COMPUTED_VALUE"""),79.52)</f>
        <v>79.52</v>
      </c>
      <c r="D6747" s="2">
        <f>IFERROR(__xludf.DUMMYFUNCTION("""COMPUTED_VALUE"""),77.7)</f>
        <v>77.7</v>
      </c>
      <c r="E6747" s="2">
        <f>IFERROR(__xludf.DUMMYFUNCTION("""COMPUTED_VALUE"""),77.95)</f>
        <v>77.95</v>
      </c>
      <c r="F6747" s="2">
        <f>IFERROR(__xludf.DUMMYFUNCTION("""COMPUTED_VALUE"""),8909000.0)</f>
        <v>8909000</v>
      </c>
    </row>
    <row r="6748">
      <c r="A6748" s="3">
        <f>IFERROR(__xludf.DUMMYFUNCTION("""COMPUTED_VALUE"""),38982.666666666664)</f>
        <v>38982.66667</v>
      </c>
      <c r="B6748" s="2">
        <f>IFERROR(__xludf.DUMMYFUNCTION("""COMPUTED_VALUE"""),78.08)</f>
        <v>78.08</v>
      </c>
      <c r="C6748" s="2">
        <f>IFERROR(__xludf.DUMMYFUNCTION("""COMPUTED_VALUE"""),78.44)</f>
        <v>78.44</v>
      </c>
      <c r="D6748" s="2">
        <f>IFERROR(__xludf.DUMMYFUNCTION("""COMPUTED_VALUE"""),77.38)</f>
        <v>77.38</v>
      </c>
      <c r="E6748" s="2">
        <f>IFERROR(__xludf.DUMMYFUNCTION("""COMPUTED_VALUE"""),77.57)</f>
        <v>77.57</v>
      </c>
      <c r="F6748" s="2">
        <f>IFERROR(__xludf.DUMMYFUNCTION("""COMPUTED_VALUE"""),4350200.0)</f>
        <v>4350200</v>
      </c>
    </row>
    <row r="6749">
      <c r="A6749" s="3">
        <f>IFERROR(__xludf.DUMMYFUNCTION("""COMPUTED_VALUE"""),38985.666666666664)</f>
        <v>38985.66667</v>
      </c>
      <c r="B6749" s="2">
        <f>IFERROR(__xludf.DUMMYFUNCTION("""COMPUTED_VALUE"""),77.99)</f>
        <v>77.99</v>
      </c>
      <c r="C6749" s="2">
        <f>IFERROR(__xludf.DUMMYFUNCTION("""COMPUTED_VALUE"""),78.59)</f>
        <v>78.59</v>
      </c>
      <c r="D6749" s="2">
        <f>IFERROR(__xludf.DUMMYFUNCTION("""COMPUTED_VALUE"""),77.64)</f>
        <v>77.64</v>
      </c>
      <c r="E6749" s="2">
        <f>IFERROR(__xludf.DUMMYFUNCTION("""COMPUTED_VALUE"""),78.32)</f>
        <v>78.32</v>
      </c>
      <c r="F6749" s="2">
        <f>IFERROR(__xludf.DUMMYFUNCTION("""COMPUTED_VALUE"""),5685100.0)</f>
        <v>5685100</v>
      </c>
    </row>
    <row r="6750">
      <c r="A6750" s="3">
        <f>IFERROR(__xludf.DUMMYFUNCTION("""COMPUTED_VALUE"""),38986.666666666664)</f>
        <v>38986.66667</v>
      </c>
      <c r="B6750" s="2">
        <f>IFERROR(__xludf.DUMMYFUNCTION("""COMPUTED_VALUE"""),78.23)</f>
        <v>78.23</v>
      </c>
      <c r="C6750" s="2">
        <f>IFERROR(__xludf.DUMMYFUNCTION("""COMPUTED_VALUE"""),78.95)</f>
        <v>78.95</v>
      </c>
      <c r="D6750" s="2">
        <f>IFERROR(__xludf.DUMMYFUNCTION("""COMPUTED_VALUE"""),78.04)</f>
        <v>78.04</v>
      </c>
      <c r="E6750" s="2">
        <f>IFERROR(__xludf.DUMMYFUNCTION("""COMPUTED_VALUE"""),78.8)</f>
        <v>78.8</v>
      </c>
      <c r="F6750" s="2">
        <f>IFERROR(__xludf.DUMMYFUNCTION("""COMPUTED_VALUE"""),4918000.0)</f>
        <v>4918000</v>
      </c>
    </row>
    <row r="6751">
      <c r="A6751" s="3">
        <f>IFERROR(__xludf.DUMMYFUNCTION("""COMPUTED_VALUE"""),38987.666666666664)</f>
        <v>38987.66667</v>
      </c>
      <c r="B6751" s="2">
        <f>IFERROR(__xludf.DUMMYFUNCTION("""COMPUTED_VALUE"""),78.32)</f>
        <v>78.32</v>
      </c>
      <c r="C6751" s="2">
        <f>IFERROR(__xludf.DUMMYFUNCTION("""COMPUTED_VALUE"""),78.96)</f>
        <v>78.96</v>
      </c>
      <c r="D6751" s="2">
        <f>IFERROR(__xludf.DUMMYFUNCTION("""COMPUTED_VALUE"""),78.05)</f>
        <v>78.05</v>
      </c>
      <c r="E6751" s="2">
        <f>IFERROR(__xludf.DUMMYFUNCTION("""COMPUTED_VALUE"""),78.41)</f>
        <v>78.41</v>
      </c>
      <c r="F6751" s="2">
        <f>IFERROR(__xludf.DUMMYFUNCTION("""COMPUTED_VALUE"""),5881600.0)</f>
        <v>5881600</v>
      </c>
    </row>
    <row r="6752">
      <c r="A6752" s="3">
        <f>IFERROR(__xludf.DUMMYFUNCTION("""COMPUTED_VALUE"""),38988.666666666664)</f>
        <v>38988.66667</v>
      </c>
      <c r="B6752" s="2">
        <f>IFERROR(__xludf.DUMMYFUNCTION("""COMPUTED_VALUE"""),78.18)</f>
        <v>78.18</v>
      </c>
      <c r="C6752" s="2">
        <f>IFERROR(__xludf.DUMMYFUNCTION("""COMPUTED_VALUE"""),78.66)</f>
        <v>78.66</v>
      </c>
      <c r="D6752" s="2">
        <f>IFERROR(__xludf.DUMMYFUNCTION("""COMPUTED_VALUE"""),78.06)</f>
        <v>78.06</v>
      </c>
      <c r="E6752" s="2">
        <f>IFERROR(__xludf.DUMMYFUNCTION("""COMPUTED_VALUE"""),78.31)</f>
        <v>78.31</v>
      </c>
      <c r="F6752" s="2">
        <f>IFERROR(__xludf.DUMMYFUNCTION("""COMPUTED_VALUE"""),4593200.0)</f>
        <v>4593200</v>
      </c>
    </row>
    <row r="6753">
      <c r="A6753" s="3">
        <f>IFERROR(__xludf.DUMMYFUNCTION("""COMPUTED_VALUE"""),38989.666666666664)</f>
        <v>38989.66667</v>
      </c>
      <c r="B6753" s="2">
        <f>IFERROR(__xludf.DUMMYFUNCTION("""COMPUTED_VALUE"""),78.23)</f>
        <v>78.23</v>
      </c>
      <c r="C6753" s="2">
        <f>IFERROR(__xludf.DUMMYFUNCTION("""COMPUTED_VALUE"""),79.08)</f>
        <v>79.08</v>
      </c>
      <c r="D6753" s="2">
        <f>IFERROR(__xludf.DUMMYFUNCTION("""COMPUTED_VALUE"""),78.1)</f>
        <v>78.1</v>
      </c>
      <c r="E6753" s="2">
        <f>IFERROR(__xludf.DUMMYFUNCTION("""COMPUTED_VALUE"""),78.27)</f>
        <v>78.27</v>
      </c>
      <c r="F6753" s="2">
        <f>IFERROR(__xludf.DUMMYFUNCTION("""COMPUTED_VALUE"""),4770700.0)</f>
        <v>4770700</v>
      </c>
    </row>
    <row r="6754">
      <c r="A6754" s="3">
        <f>IFERROR(__xludf.DUMMYFUNCTION("""COMPUTED_VALUE"""),38992.666666666664)</f>
        <v>38992.66667</v>
      </c>
      <c r="B6754" s="2">
        <f>IFERROR(__xludf.DUMMYFUNCTION("""COMPUTED_VALUE"""),78.09)</f>
        <v>78.09</v>
      </c>
      <c r="C6754" s="2">
        <f>IFERROR(__xludf.DUMMYFUNCTION("""COMPUTED_VALUE"""),78.77)</f>
        <v>78.77</v>
      </c>
      <c r="D6754" s="2">
        <f>IFERROR(__xludf.DUMMYFUNCTION("""COMPUTED_VALUE"""),77.92)</f>
        <v>77.92</v>
      </c>
      <c r="E6754" s="2">
        <f>IFERROR(__xludf.DUMMYFUNCTION("""COMPUTED_VALUE"""),78.2)</f>
        <v>78.2</v>
      </c>
      <c r="F6754" s="2">
        <f>IFERROR(__xludf.DUMMYFUNCTION("""COMPUTED_VALUE"""),4483300.0)</f>
        <v>4483300</v>
      </c>
    </row>
    <row r="6755">
      <c r="A6755" s="3">
        <f>IFERROR(__xludf.DUMMYFUNCTION("""COMPUTED_VALUE"""),38993.666666666664)</f>
        <v>38993.66667</v>
      </c>
      <c r="B6755" s="2">
        <f>IFERROR(__xludf.DUMMYFUNCTION("""COMPUTED_VALUE"""),78.21)</f>
        <v>78.21</v>
      </c>
      <c r="C6755" s="2">
        <f>IFERROR(__xludf.DUMMYFUNCTION("""COMPUTED_VALUE"""),78.57)</f>
        <v>78.57</v>
      </c>
      <c r="D6755" s="2">
        <f>IFERROR(__xludf.DUMMYFUNCTION("""COMPUTED_VALUE"""),77.9)</f>
        <v>77.9</v>
      </c>
      <c r="E6755" s="2">
        <f>IFERROR(__xludf.DUMMYFUNCTION("""COMPUTED_VALUE"""),77.99)</f>
        <v>77.99</v>
      </c>
      <c r="F6755" s="2">
        <f>IFERROR(__xludf.DUMMYFUNCTION("""COMPUTED_VALUE"""),4838500.0)</f>
        <v>4838500</v>
      </c>
    </row>
    <row r="6756">
      <c r="A6756" s="3">
        <f>IFERROR(__xludf.DUMMYFUNCTION("""COMPUTED_VALUE"""),38994.666666666664)</f>
        <v>38994.66667</v>
      </c>
      <c r="B6756" s="2">
        <f>IFERROR(__xludf.DUMMYFUNCTION("""COMPUTED_VALUE"""),77.99)</f>
        <v>77.99</v>
      </c>
      <c r="C6756" s="2">
        <f>IFERROR(__xludf.DUMMYFUNCTION("""COMPUTED_VALUE"""),79.52)</f>
        <v>79.52</v>
      </c>
      <c r="D6756" s="2">
        <f>IFERROR(__xludf.DUMMYFUNCTION("""COMPUTED_VALUE"""),77.97)</f>
        <v>77.97</v>
      </c>
      <c r="E6756" s="2">
        <f>IFERROR(__xludf.DUMMYFUNCTION("""COMPUTED_VALUE"""),79.37)</f>
        <v>79.37</v>
      </c>
      <c r="F6756" s="2">
        <f>IFERROR(__xludf.DUMMYFUNCTION("""COMPUTED_VALUE"""),6231900.0)</f>
        <v>6231900</v>
      </c>
    </row>
    <row r="6757">
      <c r="A6757" s="3">
        <f>IFERROR(__xludf.DUMMYFUNCTION("""COMPUTED_VALUE"""),38995.666666666664)</f>
        <v>38995.66667</v>
      </c>
      <c r="B6757" s="2">
        <f>IFERROR(__xludf.DUMMYFUNCTION("""COMPUTED_VALUE"""),79.1)</f>
        <v>79.1</v>
      </c>
      <c r="C6757" s="2">
        <f>IFERROR(__xludf.DUMMYFUNCTION("""COMPUTED_VALUE"""),79.48)</f>
        <v>79.48</v>
      </c>
      <c r="D6757" s="2">
        <f>IFERROR(__xludf.DUMMYFUNCTION("""COMPUTED_VALUE"""),78.9)</f>
        <v>78.9</v>
      </c>
      <c r="E6757" s="2">
        <f>IFERROR(__xludf.DUMMYFUNCTION("""COMPUTED_VALUE"""),79.2)</f>
        <v>79.2</v>
      </c>
      <c r="F6757" s="2">
        <f>IFERROR(__xludf.DUMMYFUNCTION("""COMPUTED_VALUE"""),4956700.0)</f>
        <v>4956700</v>
      </c>
    </row>
    <row r="6758">
      <c r="A6758" s="3">
        <f>IFERROR(__xludf.DUMMYFUNCTION("""COMPUTED_VALUE"""),38996.666666666664)</f>
        <v>38996.66667</v>
      </c>
      <c r="B6758" s="2">
        <f>IFERROR(__xludf.DUMMYFUNCTION("""COMPUTED_VALUE"""),79.21)</f>
        <v>79.21</v>
      </c>
      <c r="C6758" s="2">
        <f>IFERROR(__xludf.DUMMYFUNCTION("""COMPUTED_VALUE"""),80.02)</f>
        <v>80.02</v>
      </c>
      <c r="D6758" s="2">
        <f>IFERROR(__xludf.DUMMYFUNCTION("""COMPUTED_VALUE"""),78.8)</f>
        <v>78.8</v>
      </c>
      <c r="E6758" s="2">
        <f>IFERROR(__xludf.DUMMYFUNCTION("""COMPUTED_VALUE"""),79.41)</f>
        <v>79.41</v>
      </c>
      <c r="F6758" s="2">
        <f>IFERROR(__xludf.DUMMYFUNCTION("""COMPUTED_VALUE"""),5340900.0)</f>
        <v>5340900</v>
      </c>
    </row>
    <row r="6759">
      <c r="A6759" s="3">
        <f>IFERROR(__xludf.DUMMYFUNCTION("""COMPUTED_VALUE"""),38999.666666666664)</f>
        <v>38999.66667</v>
      </c>
      <c r="B6759" s="2">
        <f>IFERROR(__xludf.DUMMYFUNCTION("""COMPUTED_VALUE"""),79.41)</f>
        <v>79.41</v>
      </c>
      <c r="C6759" s="2">
        <f>IFERROR(__xludf.DUMMYFUNCTION("""COMPUTED_VALUE"""),80.31)</f>
        <v>80.31</v>
      </c>
      <c r="D6759" s="2">
        <f>IFERROR(__xludf.DUMMYFUNCTION("""COMPUTED_VALUE"""),79.28)</f>
        <v>79.28</v>
      </c>
      <c r="E6759" s="2">
        <f>IFERROR(__xludf.DUMMYFUNCTION("""COMPUTED_VALUE"""),80.23)</f>
        <v>80.23</v>
      </c>
      <c r="F6759" s="2">
        <f>IFERROR(__xludf.DUMMYFUNCTION("""COMPUTED_VALUE"""),4490200.0)</f>
        <v>4490200</v>
      </c>
    </row>
    <row r="6760">
      <c r="A6760" s="3">
        <f>IFERROR(__xludf.DUMMYFUNCTION("""COMPUTED_VALUE"""),39000.666666666664)</f>
        <v>39000.66667</v>
      </c>
      <c r="B6760" s="2">
        <f>IFERROR(__xludf.DUMMYFUNCTION("""COMPUTED_VALUE"""),79.96)</f>
        <v>79.96</v>
      </c>
      <c r="C6760" s="2">
        <f>IFERROR(__xludf.DUMMYFUNCTION("""COMPUTED_VALUE"""),80.84)</f>
        <v>80.84</v>
      </c>
      <c r="D6760" s="2">
        <f>IFERROR(__xludf.DUMMYFUNCTION("""COMPUTED_VALUE"""),79.81)</f>
        <v>79.81</v>
      </c>
      <c r="E6760" s="2">
        <f>IFERROR(__xludf.DUMMYFUNCTION("""COMPUTED_VALUE"""),80.42)</f>
        <v>80.42</v>
      </c>
      <c r="F6760" s="2">
        <f>IFERROR(__xludf.DUMMYFUNCTION("""COMPUTED_VALUE"""),4713500.0)</f>
        <v>4713500</v>
      </c>
    </row>
    <row r="6761">
      <c r="A6761" s="3">
        <f>IFERROR(__xludf.DUMMYFUNCTION("""COMPUTED_VALUE"""),39001.666666666664)</f>
        <v>39001.66667</v>
      </c>
      <c r="B6761" s="2">
        <f>IFERROR(__xludf.DUMMYFUNCTION("""COMPUTED_VALUE"""),80.38)</f>
        <v>80.38</v>
      </c>
      <c r="C6761" s="2">
        <f>IFERROR(__xludf.DUMMYFUNCTION("""COMPUTED_VALUE"""),80.89)</f>
        <v>80.89</v>
      </c>
      <c r="D6761" s="2">
        <f>IFERROR(__xludf.DUMMYFUNCTION("""COMPUTED_VALUE"""),80.03)</f>
        <v>80.03</v>
      </c>
      <c r="E6761" s="2">
        <f>IFERROR(__xludf.DUMMYFUNCTION("""COMPUTED_VALUE"""),80.42)</f>
        <v>80.42</v>
      </c>
      <c r="F6761" s="2">
        <f>IFERROR(__xludf.DUMMYFUNCTION("""COMPUTED_VALUE"""),5210600.0)</f>
        <v>5210600</v>
      </c>
    </row>
    <row r="6762">
      <c r="A6762" s="3">
        <f>IFERROR(__xludf.DUMMYFUNCTION("""COMPUTED_VALUE"""),39002.666666666664)</f>
        <v>39002.66667</v>
      </c>
      <c r="B6762" s="2">
        <f>IFERROR(__xludf.DUMMYFUNCTION("""COMPUTED_VALUE"""),80.42)</f>
        <v>80.42</v>
      </c>
      <c r="C6762" s="2">
        <f>IFERROR(__xludf.DUMMYFUNCTION("""COMPUTED_VALUE"""),81.09)</f>
        <v>81.09</v>
      </c>
      <c r="D6762" s="2">
        <f>IFERROR(__xludf.DUMMYFUNCTION("""COMPUTED_VALUE"""),80.33)</f>
        <v>80.33</v>
      </c>
      <c r="E6762" s="2">
        <f>IFERROR(__xludf.DUMMYFUNCTION("""COMPUTED_VALUE"""),80.9)</f>
        <v>80.9</v>
      </c>
      <c r="F6762" s="2">
        <f>IFERROR(__xludf.DUMMYFUNCTION("""COMPUTED_VALUE"""),4661700.0)</f>
        <v>4661700</v>
      </c>
    </row>
    <row r="6763">
      <c r="A6763" s="3">
        <f>IFERROR(__xludf.DUMMYFUNCTION("""COMPUTED_VALUE"""),39003.666666666664)</f>
        <v>39003.66667</v>
      </c>
      <c r="B6763" s="2">
        <f>IFERROR(__xludf.DUMMYFUNCTION("""COMPUTED_VALUE"""),80.66)</f>
        <v>80.66</v>
      </c>
      <c r="C6763" s="2">
        <f>IFERROR(__xludf.DUMMYFUNCTION("""COMPUTED_VALUE"""),82.34)</f>
        <v>82.34</v>
      </c>
      <c r="D6763" s="2">
        <f>IFERROR(__xludf.DUMMYFUNCTION("""COMPUTED_VALUE"""),80.65)</f>
        <v>80.65</v>
      </c>
      <c r="E6763" s="2">
        <f>IFERROR(__xludf.DUMMYFUNCTION("""COMPUTED_VALUE"""),82.22)</f>
        <v>82.22</v>
      </c>
      <c r="F6763" s="2">
        <f>IFERROR(__xludf.DUMMYFUNCTION("""COMPUTED_VALUE"""),7788600.0)</f>
        <v>7788600</v>
      </c>
    </row>
    <row r="6764">
      <c r="A6764" s="3">
        <f>IFERROR(__xludf.DUMMYFUNCTION("""COMPUTED_VALUE"""),39006.666666666664)</f>
        <v>39006.66667</v>
      </c>
      <c r="B6764" s="2">
        <f>IFERROR(__xludf.DUMMYFUNCTION("""COMPUTED_VALUE"""),82.22)</f>
        <v>82.22</v>
      </c>
      <c r="C6764" s="2">
        <f>IFERROR(__xludf.DUMMYFUNCTION("""COMPUTED_VALUE"""),83.67)</f>
        <v>83.67</v>
      </c>
      <c r="D6764" s="2">
        <f>IFERROR(__xludf.DUMMYFUNCTION("""COMPUTED_VALUE"""),81.91)</f>
        <v>81.91</v>
      </c>
      <c r="E6764" s="2">
        <f>IFERROR(__xludf.DUMMYFUNCTION("""COMPUTED_VALUE"""),82.82)</f>
        <v>82.82</v>
      </c>
      <c r="F6764" s="2">
        <f>IFERROR(__xludf.DUMMYFUNCTION("""COMPUTED_VALUE"""),8633700.0)</f>
        <v>8633700</v>
      </c>
    </row>
    <row r="6765">
      <c r="A6765" s="3">
        <f>IFERROR(__xludf.DUMMYFUNCTION("""COMPUTED_VALUE"""),39007.666666666664)</f>
        <v>39007.66667</v>
      </c>
      <c r="B6765" s="2">
        <f>IFERROR(__xludf.DUMMYFUNCTION("""COMPUTED_VALUE"""),82.46)</f>
        <v>82.46</v>
      </c>
      <c r="C6765" s="2">
        <f>IFERROR(__xludf.DUMMYFUNCTION("""COMPUTED_VALUE"""),84.0)</f>
        <v>84</v>
      </c>
      <c r="D6765" s="2">
        <f>IFERROR(__xludf.DUMMYFUNCTION("""COMPUTED_VALUE"""),82.35)</f>
        <v>82.35</v>
      </c>
      <c r="E6765" s="2">
        <f>IFERROR(__xludf.DUMMYFUNCTION("""COMPUTED_VALUE"""),83.05)</f>
        <v>83.05</v>
      </c>
      <c r="F6765" s="2">
        <f>IFERROR(__xludf.DUMMYFUNCTION("""COMPUTED_VALUE"""),1.3338E7)</f>
        <v>13338000</v>
      </c>
    </row>
    <row r="6766">
      <c r="A6766" s="3">
        <f>IFERROR(__xludf.DUMMYFUNCTION("""COMPUTED_VALUE"""),39008.666666666664)</f>
        <v>39008.66667</v>
      </c>
      <c r="B6766" s="2">
        <f>IFERROR(__xludf.DUMMYFUNCTION("""COMPUTED_VALUE"""),86.06)</f>
        <v>86.06</v>
      </c>
      <c r="C6766" s="2">
        <f>IFERROR(__xludf.DUMMYFUNCTION("""COMPUTED_VALUE"""),87.91)</f>
        <v>87.91</v>
      </c>
      <c r="D6766" s="2">
        <f>IFERROR(__xludf.DUMMYFUNCTION("""COMPUTED_VALUE"""),85.71)</f>
        <v>85.71</v>
      </c>
      <c r="E6766" s="2">
        <f>IFERROR(__xludf.DUMMYFUNCTION("""COMPUTED_VALUE"""),85.79)</f>
        <v>85.79</v>
      </c>
      <c r="F6766" s="2">
        <f>IFERROR(__xludf.DUMMYFUNCTION("""COMPUTED_VALUE"""),2.78764E7)</f>
        <v>27876400</v>
      </c>
    </row>
    <row r="6767">
      <c r="A6767" s="3">
        <f>IFERROR(__xludf.DUMMYFUNCTION("""COMPUTED_VALUE"""),39009.666666666664)</f>
        <v>39009.66667</v>
      </c>
      <c r="B6767" s="2">
        <f>IFERROR(__xludf.DUMMYFUNCTION("""COMPUTED_VALUE"""),85.77)</f>
        <v>85.77</v>
      </c>
      <c r="C6767" s="2">
        <f>IFERROR(__xludf.DUMMYFUNCTION("""COMPUTED_VALUE"""),86.9)</f>
        <v>86.9</v>
      </c>
      <c r="D6767" s="2">
        <f>IFERROR(__xludf.DUMMYFUNCTION("""COMPUTED_VALUE"""),85.31)</f>
        <v>85.31</v>
      </c>
      <c r="E6767" s="2">
        <f>IFERROR(__xludf.DUMMYFUNCTION("""COMPUTED_VALUE"""),85.83)</f>
        <v>85.83</v>
      </c>
      <c r="F6767" s="2">
        <f>IFERROR(__xludf.DUMMYFUNCTION("""COMPUTED_VALUE"""),1.06764E7)</f>
        <v>10676400</v>
      </c>
    </row>
    <row r="6768">
      <c r="A6768" s="3">
        <f>IFERROR(__xludf.DUMMYFUNCTION("""COMPUTED_VALUE"""),39010.666666666664)</f>
        <v>39010.66667</v>
      </c>
      <c r="B6768" s="2">
        <f>IFERROR(__xludf.DUMMYFUNCTION("""COMPUTED_VALUE"""),86.0)</f>
        <v>86</v>
      </c>
      <c r="C6768" s="2">
        <f>IFERROR(__xludf.DUMMYFUNCTION("""COMPUTED_VALUE"""),86.63)</f>
        <v>86.63</v>
      </c>
      <c r="D6768" s="2">
        <f>IFERROR(__xludf.DUMMYFUNCTION("""COMPUTED_VALUE"""),85.53)</f>
        <v>85.53</v>
      </c>
      <c r="E6768" s="2">
        <f>IFERROR(__xludf.DUMMYFUNCTION("""COMPUTED_VALUE"""),86.42)</f>
        <v>86.42</v>
      </c>
      <c r="F6768" s="2">
        <f>IFERROR(__xludf.DUMMYFUNCTION("""COMPUTED_VALUE"""),7391600.0)</f>
        <v>7391600</v>
      </c>
    </row>
    <row r="6769">
      <c r="A6769" s="3">
        <f>IFERROR(__xludf.DUMMYFUNCTION("""COMPUTED_VALUE"""),39013.666666666664)</f>
        <v>39013.66667</v>
      </c>
      <c r="B6769" s="2">
        <f>IFERROR(__xludf.DUMMYFUNCTION("""COMPUTED_VALUE"""),86.01)</f>
        <v>86.01</v>
      </c>
      <c r="C6769" s="2">
        <f>IFERROR(__xludf.DUMMYFUNCTION("""COMPUTED_VALUE"""),87.88)</f>
        <v>87.88</v>
      </c>
      <c r="D6769" s="2">
        <f>IFERROR(__xludf.DUMMYFUNCTION("""COMPUTED_VALUE"""),85.97)</f>
        <v>85.97</v>
      </c>
      <c r="E6769" s="2">
        <f>IFERROR(__xludf.DUMMYFUNCTION("""COMPUTED_VALUE"""),87.45)</f>
        <v>87.45</v>
      </c>
      <c r="F6769" s="2">
        <f>IFERROR(__xludf.DUMMYFUNCTION("""COMPUTED_VALUE"""),8862300.0)</f>
        <v>8862300</v>
      </c>
    </row>
    <row r="6770">
      <c r="A6770" s="3">
        <f>IFERROR(__xludf.DUMMYFUNCTION("""COMPUTED_VALUE"""),39014.666666666664)</f>
        <v>39014.66667</v>
      </c>
      <c r="B6770" s="2">
        <f>IFERROR(__xludf.DUMMYFUNCTION("""COMPUTED_VALUE"""),87.65)</f>
        <v>87.65</v>
      </c>
      <c r="C6770" s="2">
        <f>IFERROR(__xludf.DUMMYFUNCTION("""COMPUTED_VALUE"""),87.83)</f>
        <v>87.83</v>
      </c>
      <c r="D6770" s="2">
        <f>IFERROR(__xludf.DUMMYFUNCTION("""COMPUTED_VALUE"""),86.73)</f>
        <v>86.73</v>
      </c>
      <c r="E6770" s="2">
        <f>IFERROR(__xludf.DUMMYFUNCTION("""COMPUTED_VALUE"""),87.39)</f>
        <v>87.39</v>
      </c>
      <c r="F6770" s="2">
        <f>IFERROR(__xludf.DUMMYFUNCTION("""COMPUTED_VALUE"""),9222500.0)</f>
        <v>9222500</v>
      </c>
    </row>
    <row r="6771">
      <c r="A6771" s="3">
        <f>IFERROR(__xludf.DUMMYFUNCTION("""COMPUTED_VALUE"""),39015.666666666664)</f>
        <v>39015.66667</v>
      </c>
      <c r="B6771" s="2">
        <f>IFERROR(__xludf.DUMMYFUNCTION("""COMPUTED_VALUE"""),87.12)</f>
        <v>87.12</v>
      </c>
      <c r="C6771" s="2">
        <f>IFERROR(__xludf.DUMMYFUNCTION("""COMPUTED_VALUE"""),87.87)</f>
        <v>87.87</v>
      </c>
      <c r="D6771" s="2">
        <f>IFERROR(__xludf.DUMMYFUNCTION("""COMPUTED_VALUE"""),86.86)</f>
        <v>86.86</v>
      </c>
      <c r="E6771" s="2">
        <f>IFERROR(__xludf.DUMMYFUNCTION("""COMPUTED_VALUE"""),87.71)</f>
        <v>87.71</v>
      </c>
      <c r="F6771" s="2">
        <f>IFERROR(__xludf.DUMMYFUNCTION("""COMPUTED_VALUE"""),6122100.0)</f>
        <v>6122100</v>
      </c>
    </row>
    <row r="6772">
      <c r="A6772" s="3">
        <f>IFERROR(__xludf.DUMMYFUNCTION("""COMPUTED_VALUE"""),39016.666666666664)</f>
        <v>39016.66667</v>
      </c>
      <c r="B6772" s="2">
        <f>IFERROR(__xludf.DUMMYFUNCTION("""COMPUTED_VALUE"""),87.71)</f>
        <v>87.71</v>
      </c>
      <c r="C6772" s="2">
        <f>IFERROR(__xludf.DUMMYFUNCTION("""COMPUTED_VALUE"""),87.81)</f>
        <v>87.81</v>
      </c>
      <c r="D6772" s="2">
        <f>IFERROR(__xludf.DUMMYFUNCTION("""COMPUTED_VALUE"""),87.16)</f>
        <v>87.16</v>
      </c>
      <c r="E6772" s="2">
        <f>IFERROR(__xludf.DUMMYFUNCTION("""COMPUTED_VALUE"""),87.44)</f>
        <v>87.44</v>
      </c>
      <c r="F6772" s="2">
        <f>IFERROR(__xludf.DUMMYFUNCTION("""COMPUTED_VALUE"""),4990300.0)</f>
        <v>4990300</v>
      </c>
    </row>
    <row r="6773">
      <c r="A6773" s="3">
        <f>IFERROR(__xludf.DUMMYFUNCTION("""COMPUTED_VALUE"""),39017.666666666664)</f>
        <v>39017.66667</v>
      </c>
      <c r="B6773" s="2">
        <f>IFERROR(__xludf.DUMMYFUNCTION("""COMPUTED_VALUE"""),86.83)</f>
        <v>86.83</v>
      </c>
      <c r="C6773" s="2">
        <f>IFERROR(__xludf.DUMMYFUNCTION("""COMPUTED_VALUE"""),87.77)</f>
        <v>87.77</v>
      </c>
      <c r="D6773" s="2">
        <f>IFERROR(__xludf.DUMMYFUNCTION("""COMPUTED_VALUE"""),86.52)</f>
        <v>86.52</v>
      </c>
      <c r="E6773" s="2">
        <f>IFERROR(__xludf.DUMMYFUNCTION("""COMPUTED_VALUE"""),86.69)</f>
        <v>86.69</v>
      </c>
      <c r="F6773" s="2">
        <f>IFERROR(__xludf.DUMMYFUNCTION("""COMPUTED_VALUE"""),5840300.0)</f>
        <v>5840300</v>
      </c>
    </row>
    <row r="6774">
      <c r="A6774" s="3">
        <f>IFERROR(__xludf.DUMMYFUNCTION("""COMPUTED_VALUE"""),39020.666666666664)</f>
        <v>39020.66667</v>
      </c>
      <c r="B6774" s="2">
        <f>IFERROR(__xludf.DUMMYFUNCTION("""COMPUTED_VALUE"""),85.77)</f>
        <v>85.77</v>
      </c>
      <c r="C6774" s="2">
        <f>IFERROR(__xludf.DUMMYFUNCTION("""COMPUTED_VALUE"""),87.88)</f>
        <v>87.88</v>
      </c>
      <c r="D6774" s="2">
        <f>IFERROR(__xludf.DUMMYFUNCTION("""COMPUTED_VALUE"""),85.77)</f>
        <v>85.77</v>
      </c>
      <c r="E6774" s="2">
        <f>IFERROR(__xludf.DUMMYFUNCTION("""COMPUTED_VALUE"""),87.4)</f>
        <v>87.4</v>
      </c>
      <c r="F6774" s="2">
        <f>IFERROR(__xludf.DUMMYFUNCTION("""COMPUTED_VALUE"""),5594100.0)</f>
        <v>5594100</v>
      </c>
    </row>
    <row r="6775">
      <c r="A6775" s="3">
        <f>IFERROR(__xludf.DUMMYFUNCTION("""COMPUTED_VALUE"""),39021.666666666664)</f>
        <v>39021.66667</v>
      </c>
      <c r="B6775" s="2">
        <f>IFERROR(__xludf.DUMMYFUNCTION("""COMPUTED_VALUE"""),87.4)</f>
        <v>87.4</v>
      </c>
      <c r="C6775" s="2">
        <f>IFERROR(__xludf.DUMMYFUNCTION("""COMPUTED_VALUE"""),88.52)</f>
        <v>88.52</v>
      </c>
      <c r="D6775" s="2">
        <f>IFERROR(__xludf.DUMMYFUNCTION("""COMPUTED_VALUE"""),87.4)</f>
        <v>87.4</v>
      </c>
      <c r="E6775" s="2">
        <f>IFERROR(__xludf.DUMMYFUNCTION("""COMPUTED_VALUE"""),88.19)</f>
        <v>88.19</v>
      </c>
      <c r="F6775" s="2">
        <f>IFERROR(__xludf.DUMMYFUNCTION("""COMPUTED_VALUE"""),9267600.0)</f>
        <v>9267600</v>
      </c>
    </row>
    <row r="6776">
      <c r="A6776" s="3">
        <f>IFERROR(__xludf.DUMMYFUNCTION("""COMPUTED_VALUE"""),39022.666666666664)</f>
        <v>39022.66667</v>
      </c>
      <c r="B6776" s="2">
        <f>IFERROR(__xludf.DUMMYFUNCTION("""COMPUTED_VALUE"""),88.35)</f>
        <v>88.35</v>
      </c>
      <c r="C6776" s="2">
        <f>IFERROR(__xludf.DUMMYFUNCTION("""COMPUTED_VALUE"""),88.52)</f>
        <v>88.52</v>
      </c>
      <c r="D6776" s="2">
        <f>IFERROR(__xludf.DUMMYFUNCTION("""COMPUTED_VALUE"""),87.4)</f>
        <v>87.4</v>
      </c>
      <c r="E6776" s="2">
        <f>IFERROR(__xludf.DUMMYFUNCTION("""COMPUTED_VALUE"""),87.68)</f>
        <v>87.68</v>
      </c>
      <c r="F6776" s="2">
        <f>IFERROR(__xludf.DUMMYFUNCTION("""COMPUTED_VALUE"""),5846200.0)</f>
        <v>5846200</v>
      </c>
    </row>
    <row r="6777">
      <c r="A6777" s="3">
        <f>IFERROR(__xludf.DUMMYFUNCTION("""COMPUTED_VALUE"""),39023.666666666664)</f>
        <v>39023.66667</v>
      </c>
      <c r="B6777" s="2">
        <f>IFERROR(__xludf.DUMMYFUNCTION("""COMPUTED_VALUE"""),87.68)</f>
        <v>87.68</v>
      </c>
      <c r="C6777" s="2">
        <f>IFERROR(__xludf.DUMMYFUNCTION("""COMPUTED_VALUE"""),87.83)</f>
        <v>87.83</v>
      </c>
      <c r="D6777" s="2">
        <f>IFERROR(__xludf.DUMMYFUNCTION("""COMPUTED_VALUE"""),87.16)</f>
        <v>87.16</v>
      </c>
      <c r="E6777" s="2">
        <f>IFERROR(__xludf.DUMMYFUNCTION("""COMPUTED_VALUE"""),87.57)</f>
        <v>87.57</v>
      </c>
      <c r="F6777" s="2">
        <f>IFERROR(__xludf.DUMMYFUNCTION("""COMPUTED_VALUE"""),4895200.0)</f>
        <v>4895200</v>
      </c>
    </row>
    <row r="6778">
      <c r="A6778" s="3">
        <f>IFERROR(__xludf.DUMMYFUNCTION("""COMPUTED_VALUE"""),39024.666666666664)</f>
        <v>39024.66667</v>
      </c>
      <c r="B6778" s="2">
        <f>IFERROR(__xludf.DUMMYFUNCTION("""COMPUTED_VALUE"""),87.65)</f>
        <v>87.65</v>
      </c>
      <c r="C6778" s="2">
        <f>IFERROR(__xludf.DUMMYFUNCTION("""COMPUTED_VALUE"""),88.2)</f>
        <v>88.2</v>
      </c>
      <c r="D6778" s="2">
        <f>IFERROR(__xludf.DUMMYFUNCTION("""COMPUTED_VALUE"""),87.09)</f>
        <v>87.09</v>
      </c>
      <c r="E6778" s="2">
        <f>IFERROR(__xludf.DUMMYFUNCTION("""COMPUTED_VALUE"""),87.31)</f>
        <v>87.31</v>
      </c>
      <c r="F6778" s="2">
        <f>IFERROR(__xludf.DUMMYFUNCTION("""COMPUTED_VALUE"""),4509200.0)</f>
        <v>4509200</v>
      </c>
    </row>
    <row r="6779">
      <c r="A6779" s="3">
        <f>IFERROR(__xludf.DUMMYFUNCTION("""COMPUTED_VALUE"""),39027.666666666664)</f>
        <v>39027.66667</v>
      </c>
      <c r="B6779" s="2">
        <f>IFERROR(__xludf.DUMMYFUNCTION("""COMPUTED_VALUE"""),87.4)</f>
        <v>87.4</v>
      </c>
      <c r="C6779" s="2">
        <f>IFERROR(__xludf.DUMMYFUNCTION("""COMPUTED_VALUE"""),88.58)</f>
        <v>88.58</v>
      </c>
      <c r="D6779" s="2">
        <f>IFERROR(__xludf.DUMMYFUNCTION("""COMPUTED_VALUE"""),87.4)</f>
        <v>87.4</v>
      </c>
      <c r="E6779" s="2">
        <f>IFERROR(__xludf.DUMMYFUNCTION("""COMPUTED_VALUE"""),88.45)</f>
        <v>88.45</v>
      </c>
      <c r="F6779" s="2">
        <f>IFERROR(__xludf.DUMMYFUNCTION("""COMPUTED_VALUE"""),6240900.0)</f>
        <v>6240900</v>
      </c>
    </row>
    <row r="6780">
      <c r="A6780" s="3">
        <f>IFERROR(__xludf.DUMMYFUNCTION("""COMPUTED_VALUE"""),39028.666666666664)</f>
        <v>39028.66667</v>
      </c>
      <c r="B6780" s="2">
        <f>IFERROR(__xludf.DUMMYFUNCTION("""COMPUTED_VALUE"""),88.28)</f>
        <v>88.28</v>
      </c>
      <c r="C6780" s="2">
        <f>IFERROR(__xludf.DUMMYFUNCTION("""COMPUTED_VALUE"""),89.21)</f>
        <v>89.21</v>
      </c>
      <c r="D6780" s="2">
        <f>IFERROR(__xludf.DUMMYFUNCTION("""COMPUTED_VALUE"""),88.27)</f>
        <v>88.27</v>
      </c>
      <c r="E6780" s="2">
        <f>IFERROR(__xludf.DUMMYFUNCTION("""COMPUTED_VALUE"""),88.59)</f>
        <v>88.59</v>
      </c>
      <c r="F6780" s="2">
        <f>IFERROR(__xludf.DUMMYFUNCTION("""COMPUTED_VALUE"""),7305200.0)</f>
        <v>7305200</v>
      </c>
    </row>
    <row r="6781">
      <c r="A6781" s="3">
        <f>IFERROR(__xludf.DUMMYFUNCTION("""COMPUTED_VALUE"""),39029.666666666664)</f>
        <v>39029.66667</v>
      </c>
      <c r="B6781" s="2">
        <f>IFERROR(__xludf.DUMMYFUNCTION("""COMPUTED_VALUE"""),88.11)</f>
        <v>88.11</v>
      </c>
      <c r="C6781" s="2">
        <f>IFERROR(__xludf.DUMMYFUNCTION("""COMPUTED_VALUE"""),88.75)</f>
        <v>88.75</v>
      </c>
      <c r="D6781" s="2">
        <f>IFERROR(__xludf.DUMMYFUNCTION("""COMPUTED_VALUE"""),87.88)</f>
        <v>87.88</v>
      </c>
      <c r="E6781" s="2">
        <f>IFERROR(__xludf.DUMMYFUNCTION("""COMPUTED_VALUE"""),88.44)</f>
        <v>88.44</v>
      </c>
      <c r="F6781" s="2">
        <f>IFERROR(__xludf.DUMMYFUNCTION("""COMPUTED_VALUE"""),6022200.0)</f>
        <v>6022200</v>
      </c>
    </row>
    <row r="6782">
      <c r="A6782" s="3">
        <f>IFERROR(__xludf.DUMMYFUNCTION("""COMPUTED_VALUE"""),39030.666666666664)</f>
        <v>39030.66667</v>
      </c>
      <c r="B6782" s="2">
        <f>IFERROR(__xludf.DUMMYFUNCTION("""COMPUTED_VALUE"""),88.44)</f>
        <v>88.44</v>
      </c>
      <c r="C6782" s="2">
        <f>IFERROR(__xludf.DUMMYFUNCTION("""COMPUTED_VALUE"""),89.01)</f>
        <v>89.01</v>
      </c>
      <c r="D6782" s="2">
        <f>IFERROR(__xludf.DUMMYFUNCTION("""COMPUTED_VALUE"""),88.23)</f>
        <v>88.23</v>
      </c>
      <c r="E6782" s="2">
        <f>IFERROR(__xludf.DUMMYFUNCTION("""COMPUTED_VALUE"""),88.28)</f>
        <v>88.28</v>
      </c>
      <c r="F6782" s="2">
        <f>IFERROR(__xludf.DUMMYFUNCTION("""COMPUTED_VALUE"""),4518900.0)</f>
        <v>4518900</v>
      </c>
    </row>
    <row r="6783">
      <c r="A6783" s="3">
        <f>IFERROR(__xludf.DUMMYFUNCTION("""COMPUTED_VALUE"""),39031.666666666664)</f>
        <v>39031.66667</v>
      </c>
      <c r="B6783" s="2">
        <f>IFERROR(__xludf.DUMMYFUNCTION("""COMPUTED_VALUE"""),88.16)</f>
        <v>88.16</v>
      </c>
      <c r="C6783" s="2">
        <f>IFERROR(__xludf.DUMMYFUNCTION("""COMPUTED_VALUE"""),88.21)</f>
        <v>88.21</v>
      </c>
      <c r="D6783" s="2">
        <f>IFERROR(__xludf.DUMMYFUNCTION("""COMPUTED_VALUE"""),87.52)</f>
        <v>87.52</v>
      </c>
      <c r="E6783" s="2">
        <f>IFERROR(__xludf.DUMMYFUNCTION("""COMPUTED_VALUE"""),87.65)</f>
        <v>87.65</v>
      </c>
      <c r="F6783" s="2">
        <f>IFERROR(__xludf.DUMMYFUNCTION("""COMPUTED_VALUE"""),5369600.0)</f>
        <v>5369600</v>
      </c>
    </row>
    <row r="6784">
      <c r="A6784" s="3">
        <f>IFERROR(__xludf.DUMMYFUNCTION("""COMPUTED_VALUE"""),39034.666666666664)</f>
        <v>39034.66667</v>
      </c>
      <c r="B6784" s="2">
        <f>IFERROR(__xludf.DUMMYFUNCTION("""COMPUTED_VALUE"""),87.45)</f>
        <v>87.45</v>
      </c>
      <c r="C6784" s="2">
        <f>IFERROR(__xludf.DUMMYFUNCTION("""COMPUTED_VALUE"""),88.29)</f>
        <v>88.29</v>
      </c>
      <c r="D6784" s="2">
        <f>IFERROR(__xludf.DUMMYFUNCTION("""COMPUTED_VALUE"""),87.31)</f>
        <v>87.31</v>
      </c>
      <c r="E6784" s="2">
        <f>IFERROR(__xludf.DUMMYFUNCTION("""COMPUTED_VALUE"""),87.94)</f>
        <v>87.94</v>
      </c>
      <c r="F6784" s="2">
        <f>IFERROR(__xludf.DUMMYFUNCTION("""COMPUTED_VALUE"""),4359400.0)</f>
        <v>4359400</v>
      </c>
    </row>
    <row r="6785">
      <c r="A6785" s="3">
        <f>IFERROR(__xludf.DUMMYFUNCTION("""COMPUTED_VALUE"""),39035.666666666664)</f>
        <v>39035.66667</v>
      </c>
      <c r="B6785" s="2">
        <f>IFERROR(__xludf.DUMMYFUNCTION("""COMPUTED_VALUE"""),87.88)</f>
        <v>87.88</v>
      </c>
      <c r="C6785" s="2">
        <f>IFERROR(__xludf.DUMMYFUNCTION("""COMPUTED_VALUE"""),89.11)</f>
        <v>89.11</v>
      </c>
      <c r="D6785" s="2">
        <f>IFERROR(__xludf.DUMMYFUNCTION("""COMPUTED_VALUE"""),87.54)</f>
        <v>87.54</v>
      </c>
      <c r="E6785" s="2">
        <f>IFERROR(__xludf.DUMMYFUNCTION("""COMPUTED_VALUE"""),89.11)</f>
        <v>89.11</v>
      </c>
      <c r="F6785" s="2">
        <f>IFERROR(__xludf.DUMMYFUNCTION("""COMPUTED_VALUE"""),5873000.0)</f>
        <v>5873000</v>
      </c>
    </row>
    <row r="6786">
      <c r="A6786" s="3">
        <f>IFERROR(__xludf.DUMMYFUNCTION("""COMPUTED_VALUE"""),39036.666666666664)</f>
        <v>39036.66667</v>
      </c>
      <c r="B6786" s="2">
        <f>IFERROR(__xludf.DUMMYFUNCTION("""COMPUTED_VALUE"""),88.91)</f>
        <v>88.91</v>
      </c>
      <c r="C6786" s="2">
        <f>IFERROR(__xludf.DUMMYFUNCTION("""COMPUTED_VALUE"""),89.1)</f>
        <v>89.1</v>
      </c>
      <c r="D6786" s="2">
        <f>IFERROR(__xludf.DUMMYFUNCTION("""COMPUTED_VALUE"""),88.39)</f>
        <v>88.39</v>
      </c>
      <c r="E6786" s="2">
        <f>IFERROR(__xludf.DUMMYFUNCTION("""COMPUTED_VALUE"""),88.94)</f>
        <v>88.94</v>
      </c>
      <c r="F6786" s="2">
        <f>IFERROR(__xludf.DUMMYFUNCTION("""COMPUTED_VALUE"""),4172800.0)</f>
        <v>4172800</v>
      </c>
    </row>
    <row r="6787">
      <c r="A6787" s="3">
        <f>IFERROR(__xludf.DUMMYFUNCTION("""COMPUTED_VALUE"""),39037.666666666664)</f>
        <v>39037.66667</v>
      </c>
      <c r="B6787" s="2">
        <f>IFERROR(__xludf.DUMMYFUNCTION("""COMPUTED_VALUE"""),88.9)</f>
        <v>88.9</v>
      </c>
      <c r="C6787" s="2">
        <f>IFERROR(__xludf.DUMMYFUNCTION("""COMPUTED_VALUE"""),89.4)</f>
        <v>89.4</v>
      </c>
      <c r="D6787" s="2">
        <f>IFERROR(__xludf.DUMMYFUNCTION("""COMPUTED_VALUE"""),88.45)</f>
        <v>88.45</v>
      </c>
      <c r="E6787" s="2">
        <f>IFERROR(__xludf.DUMMYFUNCTION("""COMPUTED_VALUE"""),89.28)</f>
        <v>89.28</v>
      </c>
      <c r="F6787" s="2">
        <f>IFERROR(__xludf.DUMMYFUNCTION("""COMPUTED_VALUE"""),4171500.0)</f>
        <v>4171500</v>
      </c>
    </row>
    <row r="6788">
      <c r="A6788" s="3">
        <f>IFERROR(__xludf.DUMMYFUNCTION("""COMPUTED_VALUE"""),39038.666666666664)</f>
        <v>39038.66667</v>
      </c>
      <c r="B6788" s="2">
        <f>IFERROR(__xludf.DUMMYFUNCTION("""COMPUTED_VALUE"""),89.23)</f>
        <v>89.23</v>
      </c>
      <c r="C6788" s="2">
        <f>IFERROR(__xludf.DUMMYFUNCTION("""COMPUTED_VALUE"""),89.83)</f>
        <v>89.83</v>
      </c>
      <c r="D6788" s="2">
        <f>IFERROR(__xludf.DUMMYFUNCTION("""COMPUTED_VALUE"""),89.13)</f>
        <v>89.13</v>
      </c>
      <c r="E6788" s="2">
        <f>IFERROR(__xludf.DUMMYFUNCTION("""COMPUTED_VALUE"""),89.6)</f>
        <v>89.6</v>
      </c>
      <c r="F6788" s="2">
        <f>IFERROR(__xludf.DUMMYFUNCTION("""COMPUTED_VALUE"""),5251000.0)</f>
        <v>5251000</v>
      </c>
    </row>
    <row r="6789">
      <c r="A6789" s="3">
        <f>IFERROR(__xludf.DUMMYFUNCTION("""COMPUTED_VALUE"""),39041.666666666664)</f>
        <v>39041.66667</v>
      </c>
      <c r="B6789" s="2">
        <f>IFERROR(__xludf.DUMMYFUNCTION("""COMPUTED_VALUE"""),89.31)</f>
        <v>89.31</v>
      </c>
      <c r="C6789" s="2">
        <f>IFERROR(__xludf.DUMMYFUNCTION("""COMPUTED_VALUE"""),89.59)</f>
        <v>89.59</v>
      </c>
      <c r="D6789" s="2">
        <f>IFERROR(__xludf.DUMMYFUNCTION("""COMPUTED_VALUE"""),88.84)</f>
        <v>88.84</v>
      </c>
      <c r="E6789" s="2">
        <f>IFERROR(__xludf.DUMMYFUNCTION("""COMPUTED_VALUE"""),89.07)</f>
        <v>89.07</v>
      </c>
      <c r="F6789" s="2">
        <f>IFERROR(__xludf.DUMMYFUNCTION("""COMPUTED_VALUE"""),5010600.0)</f>
        <v>5010600</v>
      </c>
    </row>
    <row r="6790">
      <c r="A6790" s="3">
        <f>IFERROR(__xludf.DUMMYFUNCTION("""COMPUTED_VALUE"""),39042.666666666664)</f>
        <v>39042.66667</v>
      </c>
      <c r="B6790" s="2">
        <f>IFERROR(__xludf.DUMMYFUNCTION("""COMPUTED_VALUE"""),88.86)</f>
        <v>88.86</v>
      </c>
      <c r="C6790" s="2">
        <f>IFERROR(__xludf.DUMMYFUNCTION("""COMPUTED_VALUE"""),89.24)</f>
        <v>89.24</v>
      </c>
      <c r="D6790" s="2">
        <f>IFERROR(__xludf.DUMMYFUNCTION("""COMPUTED_VALUE"""),88.69)</f>
        <v>88.69</v>
      </c>
      <c r="E6790" s="2">
        <f>IFERROR(__xludf.DUMMYFUNCTION("""COMPUTED_VALUE"""),88.91)</f>
        <v>88.91</v>
      </c>
      <c r="F6790" s="2">
        <f>IFERROR(__xludf.DUMMYFUNCTION("""COMPUTED_VALUE"""),3068900.0)</f>
        <v>3068900</v>
      </c>
    </row>
    <row r="6791">
      <c r="A6791" s="3">
        <f>IFERROR(__xludf.DUMMYFUNCTION("""COMPUTED_VALUE"""),39043.666666666664)</f>
        <v>39043.66667</v>
      </c>
      <c r="B6791" s="2">
        <f>IFERROR(__xludf.DUMMYFUNCTION("""COMPUTED_VALUE"""),88.73)</f>
        <v>88.73</v>
      </c>
      <c r="C6791" s="2">
        <f>IFERROR(__xludf.DUMMYFUNCTION("""COMPUTED_VALUE"""),89.54)</f>
        <v>89.54</v>
      </c>
      <c r="D6791" s="2">
        <f>IFERROR(__xludf.DUMMYFUNCTION("""COMPUTED_VALUE"""),88.64)</f>
        <v>88.64</v>
      </c>
      <c r="E6791" s="2">
        <f>IFERROR(__xludf.DUMMYFUNCTION("""COMPUTED_VALUE"""),89.33)</f>
        <v>89.33</v>
      </c>
      <c r="F6791" s="2">
        <f>IFERROR(__xludf.DUMMYFUNCTION("""COMPUTED_VALUE"""),3351700.0)</f>
        <v>3351700</v>
      </c>
    </row>
    <row r="6792">
      <c r="A6792" s="3">
        <f>IFERROR(__xludf.DUMMYFUNCTION("""COMPUTED_VALUE"""),39045.666666666664)</f>
        <v>39045.66667</v>
      </c>
      <c r="B6792" s="2">
        <f>IFERROR(__xludf.DUMMYFUNCTION("""COMPUTED_VALUE"""),88.88)</f>
        <v>88.88</v>
      </c>
      <c r="C6792" s="2">
        <f>IFERROR(__xludf.DUMMYFUNCTION("""COMPUTED_VALUE"""),89.55)</f>
        <v>89.55</v>
      </c>
      <c r="D6792" s="2">
        <f>IFERROR(__xludf.DUMMYFUNCTION("""COMPUTED_VALUE"""),88.81)</f>
        <v>88.81</v>
      </c>
      <c r="E6792" s="2">
        <f>IFERROR(__xludf.DUMMYFUNCTION("""COMPUTED_VALUE"""),89.16)</f>
        <v>89.16</v>
      </c>
      <c r="F6792" s="2">
        <f>IFERROR(__xludf.DUMMYFUNCTION("""COMPUTED_VALUE"""),2130600.0)</f>
        <v>2130600</v>
      </c>
    </row>
    <row r="6793">
      <c r="A6793" s="3">
        <f>IFERROR(__xludf.DUMMYFUNCTION("""COMPUTED_VALUE"""),39048.666666666664)</f>
        <v>39048.66667</v>
      </c>
      <c r="B6793" s="2">
        <f>IFERROR(__xludf.DUMMYFUNCTION("""COMPUTED_VALUE"""),88.55)</f>
        <v>88.55</v>
      </c>
      <c r="C6793" s="2">
        <f>IFERROR(__xludf.DUMMYFUNCTION("""COMPUTED_VALUE"""),89.06)</f>
        <v>89.06</v>
      </c>
      <c r="D6793" s="2">
        <f>IFERROR(__xludf.DUMMYFUNCTION("""COMPUTED_VALUE"""),87.03)</f>
        <v>87.03</v>
      </c>
      <c r="E6793" s="2">
        <f>IFERROR(__xludf.DUMMYFUNCTION("""COMPUTED_VALUE"""),87.35)</f>
        <v>87.35</v>
      </c>
      <c r="F6793" s="2">
        <f>IFERROR(__xludf.DUMMYFUNCTION("""COMPUTED_VALUE"""),6284000.0)</f>
        <v>6284000</v>
      </c>
    </row>
    <row r="6794">
      <c r="A6794" s="3">
        <f>IFERROR(__xludf.DUMMYFUNCTION("""COMPUTED_VALUE"""),39049.666666666664)</f>
        <v>39049.66667</v>
      </c>
      <c r="B6794" s="2">
        <f>IFERROR(__xludf.DUMMYFUNCTION("""COMPUTED_VALUE"""),86.59)</f>
        <v>86.59</v>
      </c>
      <c r="C6794" s="2">
        <f>IFERROR(__xludf.DUMMYFUNCTION("""COMPUTED_VALUE"""),87.46)</f>
        <v>87.46</v>
      </c>
      <c r="D6794" s="2">
        <f>IFERROR(__xludf.DUMMYFUNCTION("""COMPUTED_VALUE"""),86.38)</f>
        <v>86.38</v>
      </c>
      <c r="E6794" s="2">
        <f>IFERROR(__xludf.DUMMYFUNCTION("""COMPUTED_VALUE"""),87.25)</f>
        <v>87.25</v>
      </c>
      <c r="F6794" s="2">
        <f>IFERROR(__xludf.DUMMYFUNCTION("""COMPUTED_VALUE"""),4962500.0)</f>
        <v>4962500</v>
      </c>
    </row>
    <row r="6795">
      <c r="A6795" s="3">
        <f>IFERROR(__xludf.DUMMYFUNCTION("""COMPUTED_VALUE"""),39050.666666666664)</f>
        <v>39050.66667</v>
      </c>
      <c r="B6795" s="2">
        <f>IFERROR(__xludf.DUMMYFUNCTION("""COMPUTED_VALUE"""),87.25)</f>
        <v>87.25</v>
      </c>
      <c r="C6795" s="2">
        <f>IFERROR(__xludf.DUMMYFUNCTION("""COMPUTED_VALUE"""),87.55)</f>
        <v>87.55</v>
      </c>
      <c r="D6795" s="2">
        <f>IFERROR(__xludf.DUMMYFUNCTION("""COMPUTED_VALUE"""),86.93)</f>
        <v>86.93</v>
      </c>
      <c r="E6795" s="2">
        <f>IFERROR(__xludf.DUMMYFUNCTION("""COMPUTED_VALUE"""),87.42)</f>
        <v>87.42</v>
      </c>
      <c r="F6795" s="2">
        <f>IFERROR(__xludf.DUMMYFUNCTION("""COMPUTED_VALUE"""),4623000.0)</f>
        <v>4623000</v>
      </c>
    </row>
    <row r="6796">
      <c r="A6796" s="3">
        <f>IFERROR(__xludf.DUMMYFUNCTION("""COMPUTED_VALUE"""),39051.666666666664)</f>
        <v>39051.66667</v>
      </c>
      <c r="B6796" s="2">
        <f>IFERROR(__xludf.DUMMYFUNCTION("""COMPUTED_VALUE"""),87.25)</f>
        <v>87.25</v>
      </c>
      <c r="C6796" s="2">
        <f>IFERROR(__xludf.DUMMYFUNCTION("""COMPUTED_VALUE"""),88.33)</f>
        <v>88.33</v>
      </c>
      <c r="D6796" s="2">
        <f>IFERROR(__xludf.DUMMYFUNCTION("""COMPUTED_VALUE"""),87.16)</f>
        <v>87.16</v>
      </c>
      <c r="E6796" s="2">
        <f>IFERROR(__xludf.DUMMYFUNCTION("""COMPUTED_VALUE"""),87.8)</f>
        <v>87.8</v>
      </c>
      <c r="F6796" s="2">
        <f>IFERROR(__xludf.DUMMYFUNCTION("""COMPUTED_VALUE"""),6470700.0)</f>
        <v>6470700</v>
      </c>
    </row>
    <row r="6797">
      <c r="A6797" s="3">
        <f>IFERROR(__xludf.DUMMYFUNCTION("""COMPUTED_VALUE"""),39052.666666666664)</f>
        <v>39052.66667</v>
      </c>
      <c r="B6797" s="2">
        <f>IFERROR(__xludf.DUMMYFUNCTION("""COMPUTED_VALUE"""),87.78)</f>
        <v>87.78</v>
      </c>
      <c r="C6797" s="2">
        <f>IFERROR(__xludf.DUMMYFUNCTION("""COMPUTED_VALUE"""),87.79)</f>
        <v>87.79</v>
      </c>
      <c r="D6797" s="2">
        <f>IFERROR(__xludf.DUMMYFUNCTION("""COMPUTED_VALUE"""),86.49)</f>
        <v>86.49</v>
      </c>
      <c r="E6797" s="2">
        <f>IFERROR(__xludf.DUMMYFUNCTION("""COMPUTED_VALUE"""),87.16)</f>
        <v>87.16</v>
      </c>
      <c r="F6797" s="2">
        <f>IFERROR(__xludf.DUMMYFUNCTION("""COMPUTED_VALUE"""),5446700.0)</f>
        <v>5446700</v>
      </c>
    </row>
    <row r="6798">
      <c r="A6798" s="3">
        <f>IFERROR(__xludf.DUMMYFUNCTION("""COMPUTED_VALUE"""),39055.666666666664)</f>
        <v>39055.66667</v>
      </c>
      <c r="B6798" s="2">
        <f>IFERROR(__xludf.DUMMYFUNCTION("""COMPUTED_VALUE"""),88.35)</f>
        <v>88.35</v>
      </c>
      <c r="C6798" s="2">
        <f>IFERROR(__xludf.DUMMYFUNCTION("""COMPUTED_VALUE"""),89.74)</f>
        <v>89.74</v>
      </c>
      <c r="D6798" s="2">
        <f>IFERROR(__xludf.DUMMYFUNCTION("""COMPUTED_VALUE"""),88.11)</f>
        <v>88.11</v>
      </c>
      <c r="E6798" s="2">
        <f>IFERROR(__xludf.DUMMYFUNCTION("""COMPUTED_VALUE"""),89.32)</f>
        <v>89.32</v>
      </c>
      <c r="F6798" s="2">
        <f>IFERROR(__xludf.DUMMYFUNCTION("""COMPUTED_VALUE"""),7511500.0)</f>
        <v>7511500</v>
      </c>
    </row>
    <row r="6799">
      <c r="A6799" s="3">
        <f>IFERROR(__xludf.DUMMYFUNCTION("""COMPUTED_VALUE"""),39056.666666666664)</f>
        <v>39056.66667</v>
      </c>
      <c r="B6799" s="2">
        <f>IFERROR(__xludf.DUMMYFUNCTION("""COMPUTED_VALUE"""),89.32)</f>
        <v>89.32</v>
      </c>
      <c r="C6799" s="2">
        <f>IFERROR(__xludf.DUMMYFUNCTION("""COMPUTED_VALUE"""),90.4)</f>
        <v>90.4</v>
      </c>
      <c r="D6799" s="2">
        <f>IFERROR(__xludf.DUMMYFUNCTION("""COMPUTED_VALUE"""),89.25)</f>
        <v>89.25</v>
      </c>
      <c r="E6799" s="2">
        <f>IFERROR(__xludf.DUMMYFUNCTION("""COMPUTED_VALUE"""),90.24)</f>
        <v>90.24</v>
      </c>
      <c r="F6799" s="2">
        <f>IFERROR(__xludf.DUMMYFUNCTION("""COMPUTED_VALUE"""),6886200.0)</f>
        <v>6886200</v>
      </c>
    </row>
    <row r="6800">
      <c r="A6800" s="3">
        <f>IFERROR(__xludf.DUMMYFUNCTION("""COMPUTED_VALUE"""),39057.666666666664)</f>
        <v>39057.66667</v>
      </c>
      <c r="B6800" s="2">
        <f>IFERROR(__xludf.DUMMYFUNCTION("""COMPUTED_VALUE"""),90.24)</f>
        <v>90.24</v>
      </c>
      <c r="C6800" s="2">
        <f>IFERROR(__xludf.DUMMYFUNCTION("""COMPUTED_VALUE"""),90.62)</f>
        <v>90.62</v>
      </c>
      <c r="D6800" s="2">
        <f>IFERROR(__xludf.DUMMYFUNCTION("""COMPUTED_VALUE"""),89.79)</f>
        <v>89.79</v>
      </c>
      <c r="E6800" s="2">
        <f>IFERROR(__xludf.DUMMYFUNCTION("""COMPUTED_VALUE"""),89.9)</f>
        <v>89.9</v>
      </c>
      <c r="F6800" s="2">
        <f>IFERROR(__xludf.DUMMYFUNCTION("""COMPUTED_VALUE"""),5949700.0)</f>
        <v>5949700</v>
      </c>
    </row>
    <row r="6801">
      <c r="A6801" s="3">
        <f>IFERROR(__xludf.DUMMYFUNCTION("""COMPUTED_VALUE"""),39058.666666666664)</f>
        <v>39058.66667</v>
      </c>
      <c r="B6801" s="2">
        <f>IFERROR(__xludf.DUMMYFUNCTION("""COMPUTED_VALUE"""),89.79)</f>
        <v>89.79</v>
      </c>
      <c r="C6801" s="2">
        <f>IFERROR(__xludf.DUMMYFUNCTION("""COMPUTED_VALUE"""),90.2)</f>
        <v>90.2</v>
      </c>
      <c r="D6801" s="2">
        <f>IFERROR(__xludf.DUMMYFUNCTION("""COMPUTED_VALUE"""),89.36)</f>
        <v>89.36</v>
      </c>
      <c r="E6801" s="2">
        <f>IFERROR(__xludf.DUMMYFUNCTION("""COMPUTED_VALUE"""),90.01)</f>
        <v>90.01</v>
      </c>
      <c r="F6801" s="2">
        <f>IFERROR(__xludf.DUMMYFUNCTION("""COMPUTED_VALUE"""),4310800.0)</f>
        <v>4310800</v>
      </c>
    </row>
    <row r="6802">
      <c r="A6802" s="3">
        <f>IFERROR(__xludf.DUMMYFUNCTION("""COMPUTED_VALUE"""),39059.666666666664)</f>
        <v>39059.66667</v>
      </c>
      <c r="B6802" s="2">
        <f>IFERROR(__xludf.DUMMYFUNCTION("""COMPUTED_VALUE"""),89.45)</f>
        <v>89.45</v>
      </c>
      <c r="C6802" s="2">
        <f>IFERROR(__xludf.DUMMYFUNCTION("""COMPUTED_VALUE"""),90.16)</f>
        <v>90.16</v>
      </c>
      <c r="D6802" s="2">
        <f>IFERROR(__xludf.DUMMYFUNCTION("""COMPUTED_VALUE"""),89.28)</f>
        <v>89.28</v>
      </c>
      <c r="E6802" s="2">
        <f>IFERROR(__xludf.DUMMYFUNCTION("""COMPUTED_VALUE"""),89.65)</f>
        <v>89.65</v>
      </c>
      <c r="F6802" s="2">
        <f>IFERROR(__xludf.DUMMYFUNCTION("""COMPUTED_VALUE"""),4140700.0)</f>
        <v>4140700</v>
      </c>
    </row>
    <row r="6803">
      <c r="A6803" s="3">
        <f>IFERROR(__xludf.DUMMYFUNCTION("""COMPUTED_VALUE"""),39062.666666666664)</f>
        <v>39062.66667</v>
      </c>
      <c r="B6803" s="2">
        <f>IFERROR(__xludf.DUMMYFUNCTION("""COMPUTED_VALUE"""),89.52)</f>
        <v>89.52</v>
      </c>
      <c r="C6803" s="2">
        <f>IFERROR(__xludf.DUMMYFUNCTION("""COMPUTED_VALUE"""),90.12)</f>
        <v>90.12</v>
      </c>
      <c r="D6803" s="2">
        <f>IFERROR(__xludf.DUMMYFUNCTION("""COMPUTED_VALUE"""),89.37)</f>
        <v>89.37</v>
      </c>
      <c r="E6803" s="2">
        <f>IFERROR(__xludf.DUMMYFUNCTION("""COMPUTED_VALUE"""),89.44)</f>
        <v>89.44</v>
      </c>
      <c r="F6803" s="2">
        <f>IFERROR(__xludf.DUMMYFUNCTION("""COMPUTED_VALUE"""),3459200.0)</f>
        <v>3459200</v>
      </c>
    </row>
    <row r="6804">
      <c r="A6804" s="3">
        <f>IFERROR(__xludf.DUMMYFUNCTION("""COMPUTED_VALUE"""),39063.666666666664)</f>
        <v>39063.66667</v>
      </c>
      <c r="B6804" s="2">
        <f>IFERROR(__xludf.DUMMYFUNCTION("""COMPUTED_VALUE"""),89.4)</f>
        <v>89.4</v>
      </c>
      <c r="C6804" s="2">
        <f>IFERROR(__xludf.DUMMYFUNCTION("""COMPUTED_VALUE"""),90.6)</f>
        <v>90.6</v>
      </c>
      <c r="D6804" s="2">
        <f>IFERROR(__xludf.DUMMYFUNCTION("""COMPUTED_VALUE"""),89.12)</f>
        <v>89.12</v>
      </c>
      <c r="E6804" s="2">
        <f>IFERROR(__xludf.DUMMYFUNCTION("""COMPUTED_VALUE"""),89.9)</f>
        <v>89.9</v>
      </c>
      <c r="F6804" s="2">
        <f>IFERROR(__xludf.DUMMYFUNCTION("""COMPUTED_VALUE"""),7799300.0)</f>
        <v>7799300</v>
      </c>
    </row>
    <row r="6805">
      <c r="A6805" s="3">
        <f>IFERROR(__xludf.DUMMYFUNCTION("""COMPUTED_VALUE"""),39064.666666666664)</f>
        <v>39064.66667</v>
      </c>
      <c r="B6805" s="2">
        <f>IFERROR(__xludf.DUMMYFUNCTION("""COMPUTED_VALUE"""),90.53)</f>
        <v>90.53</v>
      </c>
      <c r="C6805" s="2">
        <f>IFERROR(__xludf.DUMMYFUNCTION("""COMPUTED_VALUE"""),91.06)</f>
        <v>91.06</v>
      </c>
      <c r="D6805" s="2">
        <f>IFERROR(__xludf.DUMMYFUNCTION("""COMPUTED_VALUE"""),90.26)</f>
        <v>90.26</v>
      </c>
      <c r="E6805" s="2">
        <f>IFERROR(__xludf.DUMMYFUNCTION("""COMPUTED_VALUE"""),90.52)</f>
        <v>90.52</v>
      </c>
      <c r="F6805" s="2">
        <f>IFERROR(__xludf.DUMMYFUNCTION("""COMPUTED_VALUE"""),6441300.0)</f>
        <v>6441300</v>
      </c>
    </row>
    <row r="6806">
      <c r="A6806" s="3">
        <f>IFERROR(__xludf.DUMMYFUNCTION("""COMPUTED_VALUE"""),39065.666666666664)</f>
        <v>39065.66667</v>
      </c>
      <c r="B6806" s="2">
        <f>IFERROR(__xludf.DUMMYFUNCTION("""COMPUTED_VALUE"""),90.71)</f>
        <v>90.71</v>
      </c>
      <c r="C6806" s="2">
        <f>IFERROR(__xludf.DUMMYFUNCTION("""COMPUTED_VALUE"""),91.43)</f>
        <v>91.43</v>
      </c>
      <c r="D6806" s="2">
        <f>IFERROR(__xludf.DUMMYFUNCTION("""COMPUTED_VALUE"""),90.3)</f>
        <v>90.3</v>
      </c>
      <c r="E6806" s="2">
        <f>IFERROR(__xludf.DUMMYFUNCTION("""COMPUTED_VALUE"""),91.08)</f>
        <v>91.08</v>
      </c>
      <c r="F6806" s="2">
        <f>IFERROR(__xludf.DUMMYFUNCTION("""COMPUTED_VALUE"""),4644200.0)</f>
        <v>4644200</v>
      </c>
    </row>
    <row r="6807">
      <c r="A6807" s="3">
        <f>IFERROR(__xludf.DUMMYFUNCTION("""COMPUTED_VALUE"""),39066.666666666664)</f>
        <v>39066.66667</v>
      </c>
      <c r="B6807" s="2">
        <f>IFERROR(__xludf.DUMMYFUNCTION("""COMPUTED_VALUE"""),91.32)</f>
        <v>91.32</v>
      </c>
      <c r="C6807" s="2">
        <f>IFERROR(__xludf.DUMMYFUNCTION("""COMPUTED_VALUE"""),91.5)</f>
        <v>91.5</v>
      </c>
      <c r="D6807" s="2">
        <f>IFERROR(__xludf.DUMMYFUNCTION("""COMPUTED_VALUE"""),90.79)</f>
        <v>90.79</v>
      </c>
      <c r="E6807" s="2">
        <f>IFERROR(__xludf.DUMMYFUNCTION("""COMPUTED_VALUE"""),91.03)</f>
        <v>91.03</v>
      </c>
      <c r="F6807" s="2">
        <f>IFERROR(__xludf.DUMMYFUNCTION("""COMPUTED_VALUE"""),8086700.0)</f>
        <v>8086700</v>
      </c>
    </row>
    <row r="6808">
      <c r="A6808" s="3">
        <f>IFERROR(__xludf.DUMMYFUNCTION("""COMPUTED_VALUE"""),39069.666666666664)</f>
        <v>39069.66667</v>
      </c>
      <c r="B6808" s="2">
        <f>IFERROR(__xludf.DUMMYFUNCTION("""COMPUTED_VALUE"""),90.69)</f>
        <v>90.69</v>
      </c>
      <c r="C6808" s="2">
        <f>IFERROR(__xludf.DUMMYFUNCTION("""COMPUTED_VALUE"""),91.85)</f>
        <v>91.85</v>
      </c>
      <c r="D6808" s="2">
        <f>IFERROR(__xludf.DUMMYFUNCTION("""COMPUTED_VALUE"""),90.55)</f>
        <v>90.55</v>
      </c>
      <c r="E6808" s="2">
        <f>IFERROR(__xludf.DUMMYFUNCTION("""COMPUTED_VALUE"""),91.16)</f>
        <v>91.16</v>
      </c>
      <c r="F6808" s="2">
        <f>IFERROR(__xludf.DUMMYFUNCTION("""COMPUTED_VALUE"""),7984900.0)</f>
        <v>7984900</v>
      </c>
    </row>
    <row r="6809">
      <c r="A6809" s="3">
        <f>IFERROR(__xludf.DUMMYFUNCTION("""COMPUTED_VALUE"""),39070.666666666664)</f>
        <v>39070.66667</v>
      </c>
      <c r="B6809" s="2">
        <f>IFERROR(__xludf.DUMMYFUNCTION("""COMPUTED_VALUE"""),90.84)</f>
        <v>90.84</v>
      </c>
      <c r="C6809" s="2">
        <f>IFERROR(__xludf.DUMMYFUNCTION("""COMPUTED_VALUE"""),92.07)</f>
        <v>92.07</v>
      </c>
      <c r="D6809" s="2">
        <f>IFERROR(__xludf.DUMMYFUNCTION("""COMPUTED_VALUE"""),90.65)</f>
        <v>90.65</v>
      </c>
      <c r="E6809" s="2">
        <f>IFERROR(__xludf.DUMMYFUNCTION("""COMPUTED_VALUE"""),91.7)</f>
        <v>91.7</v>
      </c>
      <c r="F6809" s="2">
        <f>IFERROR(__xludf.DUMMYFUNCTION("""COMPUTED_VALUE"""),4933400.0)</f>
        <v>4933400</v>
      </c>
    </row>
    <row r="6810">
      <c r="A6810" s="3">
        <f>IFERROR(__xludf.DUMMYFUNCTION("""COMPUTED_VALUE"""),39071.666666666664)</f>
        <v>39071.66667</v>
      </c>
      <c r="B6810" s="2">
        <f>IFERROR(__xludf.DUMMYFUNCTION("""COMPUTED_VALUE"""),91.79)</f>
        <v>91.79</v>
      </c>
      <c r="C6810" s="2">
        <f>IFERROR(__xludf.DUMMYFUNCTION("""COMPUTED_VALUE"""),92.17)</f>
        <v>92.17</v>
      </c>
      <c r="D6810" s="2">
        <f>IFERROR(__xludf.DUMMYFUNCTION("""COMPUTED_VALUE"""),91.41)</f>
        <v>91.41</v>
      </c>
      <c r="E6810" s="2">
        <f>IFERROR(__xludf.DUMMYFUNCTION("""COMPUTED_VALUE"""),91.7)</f>
        <v>91.7</v>
      </c>
      <c r="F6810" s="2">
        <f>IFERROR(__xludf.DUMMYFUNCTION("""COMPUTED_VALUE"""),3713200.0)</f>
        <v>3713200</v>
      </c>
    </row>
    <row r="6811">
      <c r="A6811" s="3">
        <f>IFERROR(__xludf.DUMMYFUNCTION("""COMPUTED_VALUE"""),39072.666666666664)</f>
        <v>39072.66667</v>
      </c>
      <c r="B6811" s="2">
        <f>IFERROR(__xludf.DUMMYFUNCTION("""COMPUTED_VALUE"""),91.49)</f>
        <v>91.49</v>
      </c>
      <c r="C6811" s="2">
        <f>IFERROR(__xludf.DUMMYFUNCTION("""COMPUTED_VALUE"""),92.17)</f>
        <v>92.17</v>
      </c>
      <c r="D6811" s="2">
        <f>IFERROR(__xludf.DUMMYFUNCTION("""COMPUTED_VALUE"""),91.25)</f>
        <v>91.25</v>
      </c>
      <c r="E6811" s="2">
        <f>IFERROR(__xludf.DUMMYFUNCTION("""COMPUTED_VALUE"""),91.61)</f>
        <v>91.61</v>
      </c>
      <c r="F6811" s="2">
        <f>IFERROR(__xludf.DUMMYFUNCTION("""COMPUTED_VALUE"""),4406200.0)</f>
        <v>4406200</v>
      </c>
    </row>
    <row r="6812">
      <c r="A6812" s="3">
        <f>IFERROR(__xludf.DUMMYFUNCTION("""COMPUTED_VALUE"""),39073.666666666664)</f>
        <v>39073.66667</v>
      </c>
      <c r="B6812" s="2">
        <f>IFERROR(__xludf.DUMMYFUNCTION("""COMPUTED_VALUE"""),91.46)</f>
        <v>91.46</v>
      </c>
      <c r="C6812" s="2">
        <f>IFERROR(__xludf.DUMMYFUNCTION("""COMPUTED_VALUE"""),91.68)</f>
        <v>91.68</v>
      </c>
      <c r="D6812" s="2">
        <f>IFERROR(__xludf.DUMMYFUNCTION("""COMPUTED_VALUE"""),90.97)</f>
        <v>90.97</v>
      </c>
      <c r="E6812" s="2">
        <f>IFERROR(__xludf.DUMMYFUNCTION("""COMPUTED_VALUE"""),90.98)</f>
        <v>90.98</v>
      </c>
      <c r="F6812" s="2">
        <f>IFERROR(__xludf.DUMMYFUNCTION("""COMPUTED_VALUE"""),3031500.0)</f>
        <v>3031500</v>
      </c>
    </row>
    <row r="6813">
      <c r="A6813" s="3">
        <f>IFERROR(__xludf.DUMMYFUNCTION("""COMPUTED_VALUE"""),39077.666666666664)</f>
        <v>39077.66667</v>
      </c>
      <c r="B6813" s="2">
        <f>IFERROR(__xludf.DUMMYFUNCTION("""COMPUTED_VALUE"""),90.74)</f>
        <v>90.74</v>
      </c>
      <c r="C6813" s="2">
        <f>IFERROR(__xludf.DUMMYFUNCTION("""COMPUTED_VALUE"""),91.51)</f>
        <v>91.51</v>
      </c>
      <c r="D6813" s="2">
        <f>IFERROR(__xludf.DUMMYFUNCTION("""COMPUTED_VALUE"""),90.66)</f>
        <v>90.66</v>
      </c>
      <c r="E6813" s="2">
        <f>IFERROR(__xludf.DUMMYFUNCTION("""COMPUTED_VALUE"""),91.37)</f>
        <v>91.37</v>
      </c>
      <c r="F6813" s="2">
        <f>IFERROR(__xludf.DUMMYFUNCTION("""COMPUTED_VALUE"""),2278700.0)</f>
        <v>2278700</v>
      </c>
    </row>
    <row r="6814">
      <c r="A6814" s="3">
        <f>IFERROR(__xludf.DUMMYFUNCTION("""COMPUTED_VALUE"""),39078.666666666664)</f>
        <v>39078.66667</v>
      </c>
      <c r="B6814" s="2">
        <f>IFERROR(__xludf.DUMMYFUNCTION("""COMPUTED_VALUE"""),91.98)</f>
        <v>91.98</v>
      </c>
      <c r="C6814" s="2">
        <f>IFERROR(__xludf.DUMMYFUNCTION("""COMPUTED_VALUE"""),92.87)</f>
        <v>92.87</v>
      </c>
      <c r="D6814" s="2">
        <f>IFERROR(__xludf.DUMMYFUNCTION("""COMPUTED_VALUE"""),91.96)</f>
        <v>91.96</v>
      </c>
      <c r="E6814" s="2">
        <f>IFERROR(__xludf.DUMMYFUNCTION("""COMPUTED_VALUE"""),92.84)</f>
        <v>92.84</v>
      </c>
      <c r="F6814" s="2">
        <f>IFERROR(__xludf.DUMMYFUNCTION("""COMPUTED_VALUE"""),4571800.0)</f>
        <v>4571800</v>
      </c>
    </row>
    <row r="6815">
      <c r="A6815" s="3">
        <f>IFERROR(__xludf.DUMMYFUNCTION("""COMPUTED_VALUE"""),39079.666666666664)</f>
        <v>39079.66667</v>
      </c>
      <c r="B6815" s="2">
        <f>IFERROR(__xludf.DUMMYFUNCTION("""COMPUTED_VALUE"""),92.76)</f>
        <v>92.76</v>
      </c>
      <c r="C6815" s="2">
        <f>IFERROR(__xludf.DUMMYFUNCTION("""COMPUTED_VALUE"""),93.03)</f>
        <v>93.03</v>
      </c>
      <c r="D6815" s="2">
        <f>IFERROR(__xludf.DUMMYFUNCTION("""COMPUTED_VALUE"""),92.53)</f>
        <v>92.53</v>
      </c>
      <c r="E6815" s="2">
        <f>IFERROR(__xludf.DUMMYFUNCTION("""COMPUTED_VALUE"""),92.62)</f>
        <v>92.62</v>
      </c>
      <c r="F6815" s="2">
        <f>IFERROR(__xludf.DUMMYFUNCTION("""COMPUTED_VALUE"""),4501900.0)</f>
        <v>4501900</v>
      </c>
    </row>
    <row r="6816">
      <c r="A6816" s="3">
        <f>IFERROR(__xludf.DUMMYFUNCTION("""COMPUTED_VALUE"""),39080.666666666664)</f>
        <v>39080.66667</v>
      </c>
      <c r="B6816" s="2">
        <f>IFERROR(__xludf.DUMMYFUNCTION("""COMPUTED_VALUE"""),92.65)</f>
        <v>92.65</v>
      </c>
      <c r="C6816" s="2">
        <f>IFERROR(__xludf.DUMMYFUNCTION("""COMPUTED_VALUE"""),93.49)</f>
        <v>93.49</v>
      </c>
      <c r="D6816" s="2">
        <f>IFERROR(__xludf.DUMMYFUNCTION("""COMPUTED_VALUE"""),92.49)</f>
        <v>92.49</v>
      </c>
      <c r="E6816" s="2">
        <f>IFERROR(__xludf.DUMMYFUNCTION("""COMPUTED_VALUE"""),92.79)</f>
        <v>92.79</v>
      </c>
      <c r="F6816" s="2">
        <f>IFERROR(__xludf.DUMMYFUNCTION("""COMPUTED_VALUE"""),4455900.0)</f>
        <v>4455900</v>
      </c>
    </row>
    <row r="6817">
      <c r="A6817" s="3">
        <f>IFERROR(__xludf.DUMMYFUNCTION("""COMPUTED_VALUE"""),39085.666666666664)</f>
        <v>39085.66667</v>
      </c>
      <c r="B6817" s="2">
        <f>IFERROR(__xludf.DUMMYFUNCTION("""COMPUTED_VALUE"""),92.27)</f>
        <v>92.27</v>
      </c>
      <c r="C6817" s="2">
        <f>IFERROR(__xludf.DUMMYFUNCTION("""COMPUTED_VALUE"""),93.99)</f>
        <v>93.99</v>
      </c>
      <c r="D6817" s="2">
        <f>IFERROR(__xludf.DUMMYFUNCTION("""COMPUTED_VALUE"""),91.94)</f>
        <v>91.94</v>
      </c>
      <c r="E6817" s="2">
        <f>IFERROR(__xludf.DUMMYFUNCTION("""COMPUTED_VALUE"""),92.91)</f>
        <v>92.91</v>
      </c>
      <c r="F6817" s="2">
        <f>IFERROR(__xludf.DUMMYFUNCTION("""COMPUTED_VALUE"""),9199500.0)</f>
        <v>9199500</v>
      </c>
    </row>
    <row r="6818">
      <c r="A6818" s="3">
        <f>IFERROR(__xludf.DUMMYFUNCTION("""COMPUTED_VALUE"""),39086.666666666664)</f>
        <v>39086.66667</v>
      </c>
      <c r="B6818" s="2">
        <f>IFERROR(__xludf.DUMMYFUNCTION("""COMPUTED_VALUE"""),92.89)</f>
        <v>92.89</v>
      </c>
      <c r="C6818" s="2">
        <f>IFERROR(__xludf.DUMMYFUNCTION("""COMPUTED_VALUE"""),94.36)</f>
        <v>94.36</v>
      </c>
      <c r="D6818" s="2">
        <f>IFERROR(__xludf.DUMMYFUNCTION("""COMPUTED_VALUE"""),92.54)</f>
        <v>92.54</v>
      </c>
      <c r="E6818" s="2">
        <f>IFERROR(__xludf.DUMMYFUNCTION("""COMPUTED_VALUE"""),93.9)</f>
        <v>93.9</v>
      </c>
      <c r="F6818" s="2">
        <f>IFERROR(__xludf.DUMMYFUNCTION("""COMPUTED_VALUE"""),1.05572E7)</f>
        <v>10557200</v>
      </c>
    </row>
    <row r="6819">
      <c r="A6819" s="3">
        <f>IFERROR(__xludf.DUMMYFUNCTION("""COMPUTED_VALUE"""),39087.666666666664)</f>
        <v>39087.66667</v>
      </c>
      <c r="B6819" s="2">
        <f>IFERROR(__xludf.DUMMYFUNCTION("""COMPUTED_VALUE"""),93.22)</f>
        <v>93.22</v>
      </c>
      <c r="C6819" s="2">
        <f>IFERROR(__xludf.DUMMYFUNCTION("""COMPUTED_VALUE"""),93.56)</f>
        <v>93.56</v>
      </c>
      <c r="D6819" s="2">
        <f>IFERROR(__xludf.DUMMYFUNCTION("""COMPUTED_VALUE"""),92.56)</f>
        <v>92.56</v>
      </c>
      <c r="E6819" s="2">
        <f>IFERROR(__xludf.DUMMYFUNCTION("""COMPUTED_VALUE"""),93.05)</f>
        <v>93.05</v>
      </c>
      <c r="F6819" s="2">
        <f>IFERROR(__xludf.DUMMYFUNCTION("""COMPUTED_VALUE"""),7222900.0)</f>
        <v>7222900</v>
      </c>
    </row>
    <row r="6820">
      <c r="A6820" s="3">
        <f>IFERROR(__xludf.DUMMYFUNCTION("""COMPUTED_VALUE"""),39090.666666666664)</f>
        <v>39090.66667</v>
      </c>
      <c r="B6820" s="2">
        <f>IFERROR(__xludf.DUMMYFUNCTION("""COMPUTED_VALUE"""),94.08)</f>
        <v>94.08</v>
      </c>
      <c r="C6820" s="2">
        <f>IFERROR(__xludf.DUMMYFUNCTION("""COMPUTED_VALUE"""),95.04)</f>
        <v>95.04</v>
      </c>
      <c r="D6820" s="2">
        <f>IFERROR(__xludf.DUMMYFUNCTION("""COMPUTED_VALUE"""),93.94)</f>
        <v>93.94</v>
      </c>
      <c r="E6820" s="2">
        <f>IFERROR(__xludf.DUMMYFUNCTION("""COMPUTED_VALUE"""),94.47)</f>
        <v>94.47</v>
      </c>
      <c r="F6820" s="2">
        <f>IFERROR(__xludf.DUMMYFUNCTION("""COMPUTED_VALUE"""),1.03401E7)</f>
        <v>10340100</v>
      </c>
    </row>
    <row r="6821">
      <c r="A6821" s="3">
        <f>IFERROR(__xludf.DUMMYFUNCTION("""COMPUTED_VALUE"""),39091.666666666664)</f>
        <v>39091.66667</v>
      </c>
      <c r="B6821" s="2">
        <f>IFERROR(__xludf.DUMMYFUNCTION("""COMPUTED_VALUE"""),94.64)</f>
        <v>94.64</v>
      </c>
      <c r="C6821" s="2">
        <f>IFERROR(__xludf.DUMMYFUNCTION("""COMPUTED_VALUE"""),95.83)</f>
        <v>95.83</v>
      </c>
      <c r="D6821" s="2">
        <f>IFERROR(__xludf.DUMMYFUNCTION("""COMPUTED_VALUE"""),94.63)</f>
        <v>94.63</v>
      </c>
      <c r="E6821" s="2">
        <f>IFERROR(__xludf.DUMMYFUNCTION("""COMPUTED_VALUE"""),95.58)</f>
        <v>95.58</v>
      </c>
      <c r="F6821" s="2">
        <f>IFERROR(__xludf.DUMMYFUNCTION("""COMPUTED_VALUE"""),1.11089E7)</f>
        <v>11108900</v>
      </c>
    </row>
    <row r="6822">
      <c r="A6822" s="3">
        <f>IFERROR(__xludf.DUMMYFUNCTION("""COMPUTED_VALUE"""),39092.666666666664)</f>
        <v>39092.66667</v>
      </c>
      <c r="B6822" s="2">
        <f>IFERROR(__xludf.DUMMYFUNCTION("""COMPUTED_VALUE"""),94.08)</f>
        <v>94.08</v>
      </c>
      <c r="C6822" s="2">
        <f>IFERROR(__xludf.DUMMYFUNCTION("""COMPUTED_VALUE"""),94.61)</f>
        <v>94.61</v>
      </c>
      <c r="D6822" s="2">
        <f>IFERROR(__xludf.DUMMYFUNCTION("""COMPUTED_VALUE"""),93.54)</f>
        <v>93.54</v>
      </c>
      <c r="E6822" s="2">
        <f>IFERROR(__xludf.DUMMYFUNCTION("""COMPUTED_VALUE"""),94.46)</f>
        <v>94.46</v>
      </c>
      <c r="F6822" s="2">
        <f>IFERROR(__xludf.DUMMYFUNCTION("""COMPUTED_VALUE"""),8744900.0)</f>
        <v>8744900</v>
      </c>
    </row>
    <row r="6823">
      <c r="A6823" s="3">
        <f>IFERROR(__xludf.DUMMYFUNCTION("""COMPUTED_VALUE"""),39093.666666666664)</f>
        <v>39093.66667</v>
      </c>
      <c r="B6823" s="2">
        <f>IFERROR(__xludf.DUMMYFUNCTION("""COMPUTED_VALUE"""),94.56)</f>
        <v>94.56</v>
      </c>
      <c r="C6823" s="2">
        <f>IFERROR(__xludf.DUMMYFUNCTION("""COMPUTED_VALUE"""),95.42)</f>
        <v>95.42</v>
      </c>
      <c r="D6823" s="2">
        <f>IFERROR(__xludf.DUMMYFUNCTION("""COMPUTED_VALUE"""),94.08)</f>
        <v>94.08</v>
      </c>
      <c r="E6823" s="2">
        <f>IFERROR(__xludf.DUMMYFUNCTION("""COMPUTED_VALUE"""),94.23)</f>
        <v>94.23</v>
      </c>
      <c r="F6823" s="2">
        <f>IFERROR(__xludf.DUMMYFUNCTION("""COMPUTED_VALUE"""),8000800.0)</f>
        <v>8000800</v>
      </c>
    </row>
    <row r="6824">
      <c r="A6824" s="3">
        <f>IFERROR(__xludf.DUMMYFUNCTION("""COMPUTED_VALUE"""),39094.666666666664)</f>
        <v>39094.66667</v>
      </c>
      <c r="B6824" s="2">
        <f>IFERROR(__xludf.DUMMYFUNCTION("""COMPUTED_VALUE"""),94.55)</f>
        <v>94.55</v>
      </c>
      <c r="C6824" s="2">
        <f>IFERROR(__xludf.DUMMYFUNCTION("""COMPUTED_VALUE"""),95.22)</f>
        <v>95.22</v>
      </c>
      <c r="D6824" s="2">
        <f>IFERROR(__xludf.DUMMYFUNCTION("""COMPUTED_VALUE"""),94.08)</f>
        <v>94.08</v>
      </c>
      <c r="E6824" s="2">
        <f>IFERROR(__xludf.DUMMYFUNCTION("""COMPUTED_VALUE"""),94.89)</f>
        <v>94.89</v>
      </c>
      <c r="F6824" s="2">
        <f>IFERROR(__xludf.DUMMYFUNCTION("""COMPUTED_VALUE"""),6636600.0)</f>
        <v>6636600</v>
      </c>
    </row>
    <row r="6825">
      <c r="A6825" s="3">
        <f>IFERROR(__xludf.DUMMYFUNCTION("""COMPUTED_VALUE"""),39098.666666666664)</f>
        <v>39098.66667</v>
      </c>
      <c r="B6825" s="2">
        <f>IFERROR(__xludf.DUMMYFUNCTION("""COMPUTED_VALUE"""),94.99)</f>
        <v>94.99</v>
      </c>
      <c r="C6825" s="2">
        <f>IFERROR(__xludf.DUMMYFUNCTION("""COMPUTED_VALUE"""),96.32)</f>
        <v>96.32</v>
      </c>
      <c r="D6825" s="2">
        <f>IFERROR(__xludf.DUMMYFUNCTION("""COMPUTED_VALUE"""),94.85)</f>
        <v>94.85</v>
      </c>
      <c r="E6825" s="2">
        <f>IFERROR(__xludf.DUMMYFUNCTION("""COMPUTED_VALUE"""),96.3)</f>
        <v>96.3</v>
      </c>
      <c r="F6825" s="2">
        <f>IFERROR(__xludf.DUMMYFUNCTION("""COMPUTED_VALUE"""),9602200.0)</f>
        <v>9602200</v>
      </c>
    </row>
    <row r="6826">
      <c r="A6826" s="3">
        <f>IFERROR(__xludf.DUMMYFUNCTION("""COMPUTED_VALUE"""),39099.666666666664)</f>
        <v>39099.66667</v>
      </c>
      <c r="B6826" s="2">
        <f>IFERROR(__xludf.DUMMYFUNCTION("""COMPUTED_VALUE"""),95.57)</f>
        <v>95.57</v>
      </c>
      <c r="C6826" s="2">
        <f>IFERROR(__xludf.DUMMYFUNCTION("""COMPUTED_VALUE"""),96.38)</f>
        <v>96.38</v>
      </c>
      <c r="D6826" s="2">
        <f>IFERROR(__xludf.DUMMYFUNCTION("""COMPUTED_VALUE"""),95.42)</f>
        <v>95.42</v>
      </c>
      <c r="E6826" s="2">
        <f>IFERROR(__xludf.DUMMYFUNCTION("""COMPUTED_VALUE"""),95.54)</f>
        <v>95.54</v>
      </c>
      <c r="F6826" s="2">
        <f>IFERROR(__xludf.DUMMYFUNCTION("""COMPUTED_VALUE"""),8202100.0)</f>
        <v>8202100</v>
      </c>
    </row>
    <row r="6827">
      <c r="A6827" s="3">
        <f>IFERROR(__xludf.DUMMYFUNCTION("""COMPUTED_VALUE"""),39100.666666666664)</f>
        <v>39100.66667</v>
      </c>
      <c r="B6827" s="2">
        <f>IFERROR(__xludf.DUMMYFUNCTION("""COMPUTED_VALUE"""),94.59)</f>
        <v>94.59</v>
      </c>
      <c r="C6827" s="2">
        <f>IFERROR(__xludf.DUMMYFUNCTION("""COMPUTED_VALUE"""),95.47)</f>
        <v>95.47</v>
      </c>
      <c r="D6827" s="2">
        <f>IFERROR(__xludf.DUMMYFUNCTION("""COMPUTED_VALUE"""),94.48)</f>
        <v>94.48</v>
      </c>
      <c r="E6827" s="2">
        <f>IFERROR(__xludf.DUMMYFUNCTION("""COMPUTED_VALUE"""),94.99)</f>
        <v>94.99</v>
      </c>
      <c r="F6827" s="2">
        <f>IFERROR(__xludf.DUMMYFUNCTION("""COMPUTED_VALUE"""),1.4725E7)</f>
        <v>14725000</v>
      </c>
    </row>
    <row r="6828">
      <c r="A6828" s="3">
        <f>IFERROR(__xludf.DUMMYFUNCTION("""COMPUTED_VALUE"""),39101.666666666664)</f>
        <v>39101.66667</v>
      </c>
      <c r="B6828" s="2">
        <f>IFERROR(__xludf.DUMMYFUNCTION("""COMPUTED_VALUE"""),90.55)</f>
        <v>90.55</v>
      </c>
      <c r="C6828" s="2">
        <f>IFERROR(__xludf.DUMMYFUNCTION("""COMPUTED_VALUE"""),92.51)</f>
        <v>92.51</v>
      </c>
      <c r="D6828" s="2">
        <f>IFERROR(__xludf.DUMMYFUNCTION("""COMPUTED_VALUE"""),90.31)</f>
        <v>90.31</v>
      </c>
      <c r="E6828" s="2">
        <f>IFERROR(__xludf.DUMMYFUNCTION("""COMPUTED_VALUE"""),91.86)</f>
        <v>91.86</v>
      </c>
      <c r="F6828" s="2">
        <f>IFERROR(__xludf.DUMMYFUNCTION("""COMPUTED_VALUE"""),2.60368E7)</f>
        <v>26036800</v>
      </c>
    </row>
    <row r="6829">
      <c r="A6829" s="3">
        <f>IFERROR(__xludf.DUMMYFUNCTION("""COMPUTED_VALUE"""),39104.666666666664)</f>
        <v>39104.66667</v>
      </c>
      <c r="B6829" s="2">
        <f>IFERROR(__xludf.DUMMYFUNCTION("""COMPUTED_VALUE"""),92.1)</f>
        <v>92.1</v>
      </c>
      <c r="C6829" s="2">
        <f>IFERROR(__xludf.DUMMYFUNCTION("""COMPUTED_VALUE"""),92.87)</f>
        <v>92.87</v>
      </c>
      <c r="D6829" s="2">
        <f>IFERROR(__xludf.DUMMYFUNCTION("""COMPUTED_VALUE"""),91.81)</f>
        <v>91.81</v>
      </c>
      <c r="E6829" s="2">
        <f>IFERROR(__xludf.DUMMYFUNCTION("""COMPUTED_VALUE"""),92.76)</f>
        <v>92.76</v>
      </c>
      <c r="F6829" s="2">
        <f>IFERROR(__xludf.DUMMYFUNCTION("""COMPUTED_VALUE"""),1.35407E7)</f>
        <v>13540700</v>
      </c>
    </row>
    <row r="6830">
      <c r="A6830" s="3">
        <f>IFERROR(__xludf.DUMMYFUNCTION("""COMPUTED_VALUE"""),39105.666666666664)</f>
        <v>39105.66667</v>
      </c>
      <c r="B6830" s="2">
        <f>IFERROR(__xludf.DUMMYFUNCTION("""COMPUTED_VALUE"""),92.56)</f>
        <v>92.56</v>
      </c>
      <c r="C6830" s="2">
        <f>IFERROR(__xludf.DUMMYFUNCTION("""COMPUTED_VALUE"""),93.01)</f>
        <v>93.01</v>
      </c>
      <c r="D6830" s="2">
        <f>IFERROR(__xludf.DUMMYFUNCTION("""COMPUTED_VALUE"""),91.89)</f>
        <v>91.89</v>
      </c>
      <c r="E6830" s="2">
        <f>IFERROR(__xludf.DUMMYFUNCTION("""COMPUTED_VALUE"""),92.73)</f>
        <v>92.73</v>
      </c>
      <c r="F6830" s="2">
        <f>IFERROR(__xludf.DUMMYFUNCTION("""COMPUTED_VALUE"""),1.03374E7)</f>
        <v>10337400</v>
      </c>
    </row>
    <row r="6831">
      <c r="A6831" s="3">
        <f>IFERROR(__xludf.DUMMYFUNCTION("""COMPUTED_VALUE"""),39106.666666666664)</f>
        <v>39106.66667</v>
      </c>
      <c r="B6831" s="2">
        <f>IFERROR(__xludf.DUMMYFUNCTION("""COMPUTED_VALUE"""),92.73)</f>
        <v>92.73</v>
      </c>
      <c r="C6831" s="2">
        <f>IFERROR(__xludf.DUMMYFUNCTION("""COMPUTED_VALUE"""),93.2)</f>
        <v>93.2</v>
      </c>
      <c r="D6831" s="2">
        <f>IFERROR(__xludf.DUMMYFUNCTION("""COMPUTED_VALUE"""),92.25)</f>
        <v>92.25</v>
      </c>
      <c r="E6831" s="2">
        <f>IFERROR(__xludf.DUMMYFUNCTION("""COMPUTED_VALUE"""),93.03)</f>
        <v>93.03</v>
      </c>
      <c r="F6831" s="2">
        <f>IFERROR(__xludf.DUMMYFUNCTION("""COMPUTED_VALUE"""),5700000.0)</f>
        <v>5700000</v>
      </c>
    </row>
    <row r="6832">
      <c r="A6832" s="3">
        <f>IFERROR(__xludf.DUMMYFUNCTION("""COMPUTED_VALUE"""),39107.666666666664)</f>
        <v>39107.66667</v>
      </c>
      <c r="B6832" s="2">
        <f>IFERROR(__xludf.DUMMYFUNCTION("""COMPUTED_VALUE"""),92.86)</f>
        <v>92.86</v>
      </c>
      <c r="C6832" s="2">
        <f>IFERROR(__xludf.DUMMYFUNCTION("""COMPUTED_VALUE"""),93.53)</f>
        <v>93.53</v>
      </c>
      <c r="D6832" s="2">
        <f>IFERROR(__xludf.DUMMYFUNCTION("""COMPUTED_VALUE"""),92.86)</f>
        <v>92.86</v>
      </c>
      <c r="E6832" s="2">
        <f>IFERROR(__xludf.DUMMYFUNCTION("""COMPUTED_VALUE"""),93.14)</f>
        <v>93.14</v>
      </c>
      <c r="F6832" s="2">
        <f>IFERROR(__xludf.DUMMYFUNCTION("""COMPUTED_VALUE"""),6231300.0)</f>
        <v>6231300</v>
      </c>
    </row>
    <row r="6833">
      <c r="A6833" s="3">
        <f>IFERROR(__xludf.DUMMYFUNCTION("""COMPUTED_VALUE"""),39108.666666666664)</f>
        <v>39108.66667</v>
      </c>
      <c r="B6833" s="2">
        <f>IFERROR(__xludf.DUMMYFUNCTION("""COMPUTED_VALUE"""),93.15)</f>
        <v>93.15</v>
      </c>
      <c r="C6833" s="2">
        <f>IFERROR(__xludf.DUMMYFUNCTION("""COMPUTED_VALUE"""),93.44)</f>
        <v>93.44</v>
      </c>
      <c r="D6833" s="2">
        <f>IFERROR(__xludf.DUMMYFUNCTION("""COMPUTED_VALUE"""),92.5)</f>
        <v>92.5</v>
      </c>
      <c r="E6833" s="2">
        <f>IFERROR(__xludf.DUMMYFUNCTION("""COMPUTED_VALUE"""),93.08)</f>
        <v>93.08</v>
      </c>
      <c r="F6833" s="2">
        <f>IFERROR(__xludf.DUMMYFUNCTION("""COMPUTED_VALUE"""),5771200.0)</f>
        <v>5771200</v>
      </c>
    </row>
    <row r="6834">
      <c r="A6834" s="3">
        <f>IFERROR(__xludf.DUMMYFUNCTION("""COMPUTED_VALUE"""),39111.666666666664)</f>
        <v>39111.66667</v>
      </c>
      <c r="B6834" s="2">
        <f>IFERROR(__xludf.DUMMYFUNCTION("""COMPUTED_VALUE"""),93.09)</f>
        <v>93.09</v>
      </c>
      <c r="C6834" s="2">
        <f>IFERROR(__xludf.DUMMYFUNCTION("""COMPUTED_VALUE"""),94.24)</f>
        <v>94.24</v>
      </c>
      <c r="D6834" s="2">
        <f>IFERROR(__xludf.DUMMYFUNCTION("""COMPUTED_VALUE"""),93.08)</f>
        <v>93.08</v>
      </c>
      <c r="E6834" s="2">
        <f>IFERROR(__xludf.DUMMYFUNCTION("""COMPUTED_VALUE"""),94.12)</f>
        <v>94.12</v>
      </c>
      <c r="F6834" s="2">
        <f>IFERROR(__xludf.DUMMYFUNCTION("""COMPUTED_VALUE"""),7295000.0)</f>
        <v>7295000</v>
      </c>
    </row>
    <row r="6835">
      <c r="A6835" s="3">
        <f>IFERROR(__xludf.DUMMYFUNCTION("""COMPUTED_VALUE"""),39112.666666666664)</f>
        <v>39112.66667</v>
      </c>
      <c r="B6835" s="2">
        <f>IFERROR(__xludf.DUMMYFUNCTION("""COMPUTED_VALUE"""),94.15)</f>
        <v>94.15</v>
      </c>
      <c r="C6835" s="2">
        <f>IFERROR(__xludf.DUMMYFUNCTION("""COMPUTED_VALUE"""),94.99)</f>
        <v>94.99</v>
      </c>
      <c r="D6835" s="2">
        <f>IFERROR(__xludf.DUMMYFUNCTION("""COMPUTED_VALUE"""),94.08)</f>
        <v>94.08</v>
      </c>
      <c r="E6835" s="2">
        <f>IFERROR(__xludf.DUMMYFUNCTION("""COMPUTED_VALUE"""),94.91)</f>
        <v>94.91</v>
      </c>
      <c r="F6835" s="2">
        <f>IFERROR(__xludf.DUMMYFUNCTION("""COMPUTED_VALUE"""),7178000.0)</f>
        <v>7178000</v>
      </c>
    </row>
    <row r="6836">
      <c r="A6836" s="3">
        <f>IFERROR(__xludf.DUMMYFUNCTION("""COMPUTED_VALUE"""),39113.666666666664)</f>
        <v>39113.66667</v>
      </c>
      <c r="B6836" s="2">
        <f>IFERROR(__xludf.DUMMYFUNCTION("""COMPUTED_VALUE"""),94.37)</f>
        <v>94.37</v>
      </c>
      <c r="C6836" s="2">
        <f>IFERROR(__xludf.DUMMYFUNCTION("""COMPUTED_VALUE"""),95.02)</f>
        <v>95.02</v>
      </c>
      <c r="D6836" s="2">
        <f>IFERROR(__xludf.DUMMYFUNCTION("""COMPUTED_VALUE"""),93.94)</f>
        <v>93.94</v>
      </c>
      <c r="E6836" s="2">
        <f>IFERROR(__xludf.DUMMYFUNCTION("""COMPUTED_VALUE"""),94.7)</f>
        <v>94.7</v>
      </c>
      <c r="F6836" s="2">
        <f>IFERROR(__xludf.DUMMYFUNCTION("""COMPUTED_VALUE"""),6447300.0)</f>
        <v>6447300</v>
      </c>
    </row>
    <row r="6837">
      <c r="A6837" s="3">
        <f>IFERROR(__xludf.DUMMYFUNCTION("""COMPUTED_VALUE"""),39114.666666666664)</f>
        <v>39114.66667</v>
      </c>
      <c r="B6837" s="2">
        <f>IFERROR(__xludf.DUMMYFUNCTION("""COMPUTED_VALUE"""),94.53)</f>
        <v>94.53</v>
      </c>
      <c r="C6837" s="2">
        <f>IFERROR(__xludf.DUMMYFUNCTION("""COMPUTED_VALUE"""),94.73)</f>
        <v>94.73</v>
      </c>
      <c r="D6837" s="2">
        <f>IFERROR(__xludf.DUMMYFUNCTION("""COMPUTED_VALUE"""),93.57)</f>
        <v>93.57</v>
      </c>
      <c r="E6837" s="2">
        <f>IFERROR(__xludf.DUMMYFUNCTION("""COMPUTED_VALUE"""),94.56)</f>
        <v>94.56</v>
      </c>
      <c r="F6837" s="2">
        <f>IFERROR(__xludf.DUMMYFUNCTION("""COMPUTED_VALUE"""),6612400.0)</f>
        <v>6612400</v>
      </c>
    </row>
    <row r="6838">
      <c r="A6838" s="3">
        <f>IFERROR(__xludf.DUMMYFUNCTION("""COMPUTED_VALUE"""),39115.666666666664)</f>
        <v>39115.66667</v>
      </c>
      <c r="B6838" s="2">
        <f>IFERROR(__xludf.DUMMYFUNCTION("""COMPUTED_VALUE"""),94.66)</f>
        <v>94.66</v>
      </c>
      <c r="C6838" s="2">
        <f>IFERROR(__xludf.DUMMYFUNCTION("""COMPUTED_VALUE"""),95.26)</f>
        <v>95.26</v>
      </c>
      <c r="D6838" s="2">
        <f>IFERROR(__xludf.DUMMYFUNCTION("""COMPUTED_VALUE"""),94.45)</f>
        <v>94.45</v>
      </c>
      <c r="E6838" s="2">
        <f>IFERROR(__xludf.DUMMYFUNCTION("""COMPUTED_VALUE"""),94.72)</f>
        <v>94.72</v>
      </c>
      <c r="F6838" s="2">
        <f>IFERROR(__xludf.DUMMYFUNCTION("""COMPUTED_VALUE"""),6657000.0)</f>
        <v>6657000</v>
      </c>
    </row>
    <row r="6839">
      <c r="A6839" s="3">
        <f>IFERROR(__xludf.DUMMYFUNCTION("""COMPUTED_VALUE"""),39118.666666666664)</f>
        <v>39118.66667</v>
      </c>
      <c r="B6839" s="2">
        <f>IFERROR(__xludf.DUMMYFUNCTION("""COMPUTED_VALUE"""),94.72)</f>
        <v>94.72</v>
      </c>
      <c r="C6839" s="2">
        <f>IFERROR(__xludf.DUMMYFUNCTION("""COMPUTED_VALUE"""),95.94)</f>
        <v>95.94</v>
      </c>
      <c r="D6839" s="2">
        <f>IFERROR(__xludf.DUMMYFUNCTION("""COMPUTED_VALUE"""),94.47)</f>
        <v>94.47</v>
      </c>
      <c r="E6839" s="2">
        <f>IFERROR(__xludf.DUMMYFUNCTION("""COMPUTED_VALUE"""),95.88)</f>
        <v>95.88</v>
      </c>
      <c r="F6839" s="2">
        <f>IFERROR(__xludf.DUMMYFUNCTION("""COMPUTED_VALUE"""),8309900.0)</f>
        <v>8309900</v>
      </c>
    </row>
    <row r="6840">
      <c r="A6840" s="3">
        <f>IFERROR(__xludf.DUMMYFUNCTION("""COMPUTED_VALUE"""),39119.666666666664)</f>
        <v>39119.66667</v>
      </c>
      <c r="B6840" s="2">
        <f>IFERROR(__xludf.DUMMYFUNCTION("""COMPUTED_VALUE"""),95.52)</f>
        <v>95.52</v>
      </c>
      <c r="C6840" s="2">
        <f>IFERROR(__xludf.DUMMYFUNCTION("""COMPUTED_VALUE"""),95.9)</f>
        <v>95.9</v>
      </c>
      <c r="D6840" s="2">
        <f>IFERROR(__xludf.DUMMYFUNCTION("""COMPUTED_VALUE"""),95.08)</f>
        <v>95.08</v>
      </c>
      <c r="E6840" s="2">
        <f>IFERROR(__xludf.DUMMYFUNCTION("""COMPUTED_VALUE"""),95.37)</f>
        <v>95.37</v>
      </c>
      <c r="F6840" s="2">
        <f>IFERROR(__xludf.DUMMYFUNCTION("""COMPUTED_VALUE"""),6532800.0)</f>
        <v>6532800</v>
      </c>
    </row>
    <row r="6841">
      <c r="A6841" s="3">
        <f>IFERROR(__xludf.DUMMYFUNCTION("""COMPUTED_VALUE"""),39120.666666666664)</f>
        <v>39120.66667</v>
      </c>
      <c r="B6841" s="2">
        <f>IFERROR(__xludf.DUMMYFUNCTION("""COMPUTED_VALUE"""),95.33)</f>
        <v>95.33</v>
      </c>
      <c r="C6841" s="2">
        <f>IFERROR(__xludf.DUMMYFUNCTION("""COMPUTED_VALUE"""),95.86)</f>
        <v>95.86</v>
      </c>
      <c r="D6841" s="2">
        <f>IFERROR(__xludf.DUMMYFUNCTION("""COMPUTED_VALUE"""),94.68)</f>
        <v>94.68</v>
      </c>
      <c r="E6841" s="2">
        <f>IFERROR(__xludf.DUMMYFUNCTION("""COMPUTED_VALUE"""),95.08)</f>
        <v>95.08</v>
      </c>
      <c r="F6841" s="2">
        <f>IFERROR(__xludf.DUMMYFUNCTION("""COMPUTED_VALUE"""),7698200.0)</f>
        <v>7698200</v>
      </c>
    </row>
    <row r="6842">
      <c r="A6842" s="3">
        <f>IFERROR(__xludf.DUMMYFUNCTION("""COMPUTED_VALUE"""),39121.666666666664)</f>
        <v>39121.66667</v>
      </c>
      <c r="B6842" s="2">
        <f>IFERROR(__xludf.DUMMYFUNCTION("""COMPUTED_VALUE"""),94.47)</f>
        <v>94.47</v>
      </c>
      <c r="C6842" s="2">
        <f>IFERROR(__xludf.DUMMYFUNCTION("""COMPUTED_VALUE"""),95.27)</f>
        <v>95.27</v>
      </c>
      <c r="D6842" s="2">
        <f>IFERROR(__xludf.DUMMYFUNCTION("""COMPUTED_VALUE"""),94.23)</f>
        <v>94.23</v>
      </c>
      <c r="E6842" s="2">
        <f>IFERROR(__xludf.DUMMYFUNCTION("""COMPUTED_VALUE"""),95.15)</f>
        <v>95.15</v>
      </c>
      <c r="F6842" s="2">
        <f>IFERROR(__xludf.DUMMYFUNCTION("""COMPUTED_VALUE"""),6152300.0)</f>
        <v>6152300</v>
      </c>
    </row>
    <row r="6843">
      <c r="A6843" s="3">
        <f>IFERROR(__xludf.DUMMYFUNCTION("""COMPUTED_VALUE"""),39122.666666666664)</f>
        <v>39122.66667</v>
      </c>
      <c r="B6843" s="2">
        <f>IFERROR(__xludf.DUMMYFUNCTION("""COMPUTED_VALUE"""),95.06)</f>
        <v>95.06</v>
      </c>
      <c r="C6843" s="2">
        <f>IFERROR(__xludf.DUMMYFUNCTION("""COMPUTED_VALUE"""),95.23)</f>
        <v>95.23</v>
      </c>
      <c r="D6843" s="2">
        <f>IFERROR(__xludf.DUMMYFUNCTION("""COMPUTED_VALUE"""),93.42)</f>
        <v>93.42</v>
      </c>
      <c r="E6843" s="2">
        <f>IFERROR(__xludf.DUMMYFUNCTION("""COMPUTED_VALUE"""),94.13)</f>
        <v>94.13</v>
      </c>
      <c r="F6843" s="2">
        <f>IFERROR(__xludf.DUMMYFUNCTION("""COMPUTED_VALUE"""),6101300.0)</f>
        <v>6101300</v>
      </c>
    </row>
    <row r="6844">
      <c r="A6844" s="3">
        <f>IFERROR(__xludf.DUMMYFUNCTION("""COMPUTED_VALUE"""),39125.666666666664)</f>
        <v>39125.66667</v>
      </c>
      <c r="B6844" s="2">
        <f>IFERROR(__xludf.DUMMYFUNCTION("""COMPUTED_VALUE"""),94.37)</f>
        <v>94.37</v>
      </c>
      <c r="C6844" s="2">
        <f>IFERROR(__xludf.DUMMYFUNCTION("""COMPUTED_VALUE"""),94.75)</f>
        <v>94.75</v>
      </c>
      <c r="D6844" s="2">
        <f>IFERROR(__xludf.DUMMYFUNCTION("""COMPUTED_VALUE"""),93.82)</f>
        <v>93.82</v>
      </c>
      <c r="E6844" s="2">
        <f>IFERROR(__xludf.DUMMYFUNCTION("""COMPUTED_VALUE"""),94.16)</f>
        <v>94.16</v>
      </c>
      <c r="F6844" s="2">
        <f>IFERROR(__xludf.DUMMYFUNCTION("""COMPUTED_VALUE"""),5331043.0)</f>
        <v>5331043</v>
      </c>
    </row>
    <row r="6845">
      <c r="A6845" s="3">
        <f>IFERROR(__xludf.DUMMYFUNCTION("""COMPUTED_VALUE"""),39126.666666666664)</f>
        <v>39126.66667</v>
      </c>
      <c r="B6845" s="2">
        <f>IFERROR(__xludf.DUMMYFUNCTION("""COMPUTED_VALUE"""),94.18)</f>
        <v>94.18</v>
      </c>
      <c r="C6845" s="2">
        <f>IFERROR(__xludf.DUMMYFUNCTION("""COMPUTED_VALUE"""),94.31)</f>
        <v>94.31</v>
      </c>
      <c r="D6845" s="2">
        <f>IFERROR(__xludf.DUMMYFUNCTION("""COMPUTED_VALUE"""),93.42)</f>
        <v>93.42</v>
      </c>
      <c r="E6845" s="2">
        <f>IFERROR(__xludf.DUMMYFUNCTION("""COMPUTED_VALUE"""),93.88)</f>
        <v>93.88</v>
      </c>
      <c r="F6845" s="2">
        <f>IFERROR(__xludf.DUMMYFUNCTION("""COMPUTED_VALUE"""),5703015.0)</f>
        <v>5703015</v>
      </c>
    </row>
    <row r="6846">
      <c r="A6846" s="3">
        <f>IFERROR(__xludf.DUMMYFUNCTION("""COMPUTED_VALUE"""),39127.666666666664)</f>
        <v>39127.66667</v>
      </c>
      <c r="B6846" s="2">
        <f>IFERROR(__xludf.DUMMYFUNCTION("""COMPUTED_VALUE"""),94.08)</f>
        <v>94.08</v>
      </c>
      <c r="C6846" s="2">
        <f>IFERROR(__xludf.DUMMYFUNCTION("""COMPUTED_VALUE"""),94.97)</f>
        <v>94.97</v>
      </c>
      <c r="D6846" s="2">
        <f>IFERROR(__xludf.DUMMYFUNCTION("""COMPUTED_VALUE"""),93.84)</f>
        <v>93.84</v>
      </c>
      <c r="E6846" s="2">
        <f>IFERROR(__xludf.DUMMYFUNCTION("""COMPUTED_VALUE"""),94.75)</f>
        <v>94.75</v>
      </c>
      <c r="F6846" s="2">
        <f>IFERROR(__xludf.DUMMYFUNCTION("""COMPUTED_VALUE"""),5644733.0)</f>
        <v>5644733</v>
      </c>
    </row>
    <row r="6847">
      <c r="A6847" s="3">
        <f>IFERROR(__xludf.DUMMYFUNCTION("""COMPUTED_VALUE"""),39128.666666666664)</f>
        <v>39128.66667</v>
      </c>
      <c r="B6847" s="2">
        <f>IFERROR(__xludf.DUMMYFUNCTION("""COMPUTED_VALUE"""),94.62)</f>
        <v>94.62</v>
      </c>
      <c r="C6847" s="2">
        <f>IFERROR(__xludf.DUMMYFUNCTION("""COMPUTED_VALUE"""),95.06)</f>
        <v>95.06</v>
      </c>
      <c r="D6847" s="2">
        <f>IFERROR(__xludf.DUMMYFUNCTION("""COMPUTED_VALUE"""),94.06)</f>
        <v>94.06</v>
      </c>
      <c r="E6847" s="2">
        <f>IFERROR(__xludf.DUMMYFUNCTION("""COMPUTED_VALUE"""),94.48)</f>
        <v>94.48</v>
      </c>
      <c r="F6847" s="2">
        <f>IFERROR(__xludf.DUMMYFUNCTION("""COMPUTED_VALUE"""),5568600.0)</f>
        <v>5568600</v>
      </c>
    </row>
    <row r="6848">
      <c r="A6848" s="3">
        <f>IFERROR(__xludf.DUMMYFUNCTION("""COMPUTED_VALUE"""),39129.666666666664)</f>
        <v>39129.66667</v>
      </c>
      <c r="B6848" s="2">
        <f>IFERROR(__xludf.DUMMYFUNCTION("""COMPUTED_VALUE"""),94.42)</f>
        <v>94.42</v>
      </c>
      <c r="C6848" s="2">
        <f>IFERROR(__xludf.DUMMYFUNCTION("""COMPUTED_VALUE"""),94.8)</f>
        <v>94.8</v>
      </c>
      <c r="D6848" s="2">
        <f>IFERROR(__xludf.DUMMYFUNCTION("""COMPUTED_VALUE"""),94.21)</f>
        <v>94.21</v>
      </c>
      <c r="E6848" s="2">
        <f>IFERROR(__xludf.DUMMYFUNCTION("""COMPUTED_VALUE"""),94.55)</f>
        <v>94.55</v>
      </c>
      <c r="F6848" s="2">
        <f>IFERROR(__xludf.DUMMYFUNCTION("""COMPUTED_VALUE"""),4800700.0)</f>
        <v>4800700</v>
      </c>
    </row>
    <row r="6849">
      <c r="A6849" s="3">
        <f>IFERROR(__xludf.DUMMYFUNCTION("""COMPUTED_VALUE"""),39133.666666666664)</f>
        <v>39133.66667</v>
      </c>
      <c r="B6849" s="2">
        <f>IFERROR(__xludf.DUMMYFUNCTION("""COMPUTED_VALUE"""),94.24)</f>
        <v>94.24</v>
      </c>
      <c r="C6849" s="2">
        <f>IFERROR(__xludf.DUMMYFUNCTION("""COMPUTED_VALUE"""),95.0)</f>
        <v>95</v>
      </c>
      <c r="D6849" s="2">
        <f>IFERROR(__xludf.DUMMYFUNCTION("""COMPUTED_VALUE"""),94.13)</f>
        <v>94.13</v>
      </c>
      <c r="E6849" s="2">
        <f>IFERROR(__xludf.DUMMYFUNCTION("""COMPUTED_VALUE"""),94.9)</f>
        <v>94.9</v>
      </c>
      <c r="F6849" s="2">
        <f>IFERROR(__xludf.DUMMYFUNCTION("""COMPUTED_VALUE"""),4124200.0)</f>
        <v>4124200</v>
      </c>
    </row>
    <row r="6850">
      <c r="A6850" s="3">
        <f>IFERROR(__xludf.DUMMYFUNCTION("""COMPUTED_VALUE"""),39134.666666666664)</f>
        <v>39134.66667</v>
      </c>
      <c r="B6850" s="2">
        <f>IFERROR(__xludf.DUMMYFUNCTION("""COMPUTED_VALUE"""),94.47)</f>
        <v>94.47</v>
      </c>
      <c r="C6850" s="2">
        <f>IFERROR(__xludf.DUMMYFUNCTION("""COMPUTED_VALUE"""),94.91)</f>
        <v>94.91</v>
      </c>
      <c r="D6850" s="2">
        <f>IFERROR(__xludf.DUMMYFUNCTION("""COMPUTED_VALUE"""),94.27)</f>
        <v>94.27</v>
      </c>
      <c r="E6850" s="2">
        <f>IFERROR(__xludf.DUMMYFUNCTION("""COMPUTED_VALUE"""),94.65)</f>
        <v>94.65</v>
      </c>
      <c r="F6850" s="2">
        <f>IFERROR(__xludf.DUMMYFUNCTION("""COMPUTED_VALUE"""),4302400.0)</f>
        <v>4302400</v>
      </c>
    </row>
    <row r="6851">
      <c r="A6851" s="3">
        <f>IFERROR(__xludf.DUMMYFUNCTION("""COMPUTED_VALUE"""),39135.666666666664)</f>
        <v>39135.66667</v>
      </c>
      <c r="B6851" s="2">
        <f>IFERROR(__xludf.DUMMYFUNCTION("""COMPUTED_VALUE"""),94.37)</f>
        <v>94.37</v>
      </c>
      <c r="C6851" s="2">
        <f>IFERROR(__xludf.DUMMYFUNCTION("""COMPUTED_VALUE"""),95.04)</f>
        <v>95.04</v>
      </c>
      <c r="D6851" s="2">
        <f>IFERROR(__xludf.DUMMYFUNCTION("""COMPUTED_VALUE"""),93.39)</f>
        <v>93.39</v>
      </c>
      <c r="E6851" s="2">
        <f>IFERROR(__xludf.DUMMYFUNCTION("""COMPUTED_VALUE"""),94.08)</f>
        <v>94.08</v>
      </c>
      <c r="F6851" s="2">
        <f>IFERROR(__xludf.DUMMYFUNCTION("""COMPUTED_VALUE"""),5902500.0)</f>
        <v>5902500</v>
      </c>
    </row>
    <row r="6852">
      <c r="A6852" s="3">
        <f>IFERROR(__xludf.DUMMYFUNCTION("""COMPUTED_VALUE"""),39136.666666666664)</f>
        <v>39136.66667</v>
      </c>
      <c r="B6852" s="2">
        <f>IFERROR(__xludf.DUMMYFUNCTION("""COMPUTED_VALUE"""),93.99)</f>
        <v>93.99</v>
      </c>
      <c r="C6852" s="2">
        <f>IFERROR(__xludf.DUMMYFUNCTION("""COMPUTED_VALUE"""),94.03)</f>
        <v>94.03</v>
      </c>
      <c r="D6852" s="2">
        <f>IFERROR(__xludf.DUMMYFUNCTION("""COMPUTED_VALUE"""),93.04)</f>
        <v>93.04</v>
      </c>
      <c r="E6852" s="2">
        <f>IFERROR(__xludf.DUMMYFUNCTION("""COMPUTED_VALUE"""),93.35)</f>
        <v>93.35</v>
      </c>
      <c r="F6852" s="2">
        <f>IFERROR(__xludf.DUMMYFUNCTION("""COMPUTED_VALUE"""),6357000.0)</f>
        <v>6357000</v>
      </c>
    </row>
    <row r="6853">
      <c r="A6853" s="3">
        <f>IFERROR(__xludf.DUMMYFUNCTION("""COMPUTED_VALUE"""),39139.666666666664)</f>
        <v>39139.66667</v>
      </c>
      <c r="B6853" s="2">
        <f>IFERROR(__xludf.DUMMYFUNCTION("""COMPUTED_VALUE"""),93.47)</f>
        <v>93.47</v>
      </c>
      <c r="C6853" s="2">
        <f>IFERROR(__xludf.DUMMYFUNCTION("""COMPUTED_VALUE"""),93.47)</f>
        <v>93.47</v>
      </c>
      <c r="D6853" s="2">
        <f>IFERROR(__xludf.DUMMYFUNCTION("""COMPUTED_VALUE"""),92.14)</f>
        <v>92.14</v>
      </c>
      <c r="E6853" s="2">
        <f>IFERROR(__xludf.DUMMYFUNCTION("""COMPUTED_VALUE"""),92.56)</f>
        <v>92.56</v>
      </c>
      <c r="F6853" s="2">
        <f>IFERROR(__xludf.DUMMYFUNCTION("""COMPUTED_VALUE"""),5923691.0)</f>
        <v>5923691</v>
      </c>
    </row>
    <row r="6854">
      <c r="A6854" s="3">
        <f>IFERROR(__xludf.DUMMYFUNCTION("""COMPUTED_VALUE"""),39140.666666666664)</f>
        <v>39140.66667</v>
      </c>
      <c r="B6854" s="2">
        <f>IFERROR(__xludf.DUMMYFUNCTION("""COMPUTED_VALUE"""),91.7)</f>
        <v>91.7</v>
      </c>
      <c r="C6854" s="2">
        <f>IFERROR(__xludf.DUMMYFUNCTION("""COMPUTED_VALUE"""),91.71)</f>
        <v>91.71</v>
      </c>
      <c r="D6854" s="2">
        <f>IFERROR(__xludf.DUMMYFUNCTION("""COMPUTED_VALUE"""),88.72)</f>
        <v>88.72</v>
      </c>
      <c r="E6854" s="2">
        <f>IFERROR(__xludf.DUMMYFUNCTION("""COMPUTED_VALUE"""),89.75)</f>
        <v>89.75</v>
      </c>
      <c r="F6854" s="2">
        <f>IFERROR(__xludf.DUMMYFUNCTION("""COMPUTED_VALUE"""),1.20715E7)</f>
        <v>12071500</v>
      </c>
    </row>
    <row r="6855">
      <c r="A6855" s="3">
        <f>IFERROR(__xludf.DUMMYFUNCTION("""COMPUTED_VALUE"""),39141.666666666664)</f>
        <v>39141.66667</v>
      </c>
      <c r="B6855" s="2">
        <f>IFERROR(__xludf.DUMMYFUNCTION("""COMPUTED_VALUE"""),89.75)</f>
        <v>89.75</v>
      </c>
      <c r="C6855" s="2">
        <f>IFERROR(__xludf.DUMMYFUNCTION("""COMPUTED_VALUE"""),89.87)</f>
        <v>89.87</v>
      </c>
      <c r="D6855" s="2">
        <f>IFERROR(__xludf.DUMMYFUNCTION("""COMPUTED_VALUE"""),88.32)</f>
        <v>88.32</v>
      </c>
      <c r="E6855" s="2">
        <f>IFERROR(__xludf.DUMMYFUNCTION("""COMPUTED_VALUE"""),88.77)</f>
        <v>88.77</v>
      </c>
      <c r="F6855" s="2">
        <f>IFERROR(__xludf.DUMMYFUNCTION("""COMPUTED_VALUE"""),1.21916E7)</f>
        <v>12191600</v>
      </c>
    </row>
    <row r="6856">
      <c r="A6856" s="3">
        <f>IFERROR(__xludf.DUMMYFUNCTION("""COMPUTED_VALUE"""),39142.666666666664)</f>
        <v>39142.66667</v>
      </c>
      <c r="B6856" s="2">
        <f>IFERROR(__xludf.DUMMYFUNCTION("""COMPUTED_VALUE"""),86.2)</f>
        <v>86.2</v>
      </c>
      <c r="C6856" s="2">
        <f>IFERROR(__xludf.DUMMYFUNCTION("""COMPUTED_VALUE"""),88.88)</f>
        <v>88.88</v>
      </c>
      <c r="D6856" s="2">
        <f>IFERROR(__xludf.DUMMYFUNCTION("""COMPUTED_VALUE"""),84.79)</f>
        <v>84.79</v>
      </c>
      <c r="E6856" s="2">
        <f>IFERROR(__xludf.DUMMYFUNCTION("""COMPUTED_VALUE"""),88.13)</f>
        <v>88.13</v>
      </c>
      <c r="F6856" s="2">
        <f>IFERROR(__xludf.DUMMYFUNCTION("""COMPUTED_VALUE"""),1.2865732E7)</f>
        <v>12865732</v>
      </c>
    </row>
    <row r="6857">
      <c r="A6857" s="3">
        <f>IFERROR(__xludf.DUMMYFUNCTION("""COMPUTED_VALUE"""),39143.666666666664)</f>
        <v>39143.66667</v>
      </c>
      <c r="B6857" s="2">
        <f>IFERROR(__xludf.DUMMYFUNCTION("""COMPUTED_VALUE"""),88.13)</f>
        <v>88.13</v>
      </c>
      <c r="C6857" s="2">
        <f>IFERROR(__xludf.DUMMYFUNCTION("""COMPUTED_VALUE"""),88.23)</f>
        <v>88.23</v>
      </c>
      <c r="D6857" s="2">
        <f>IFERROR(__xludf.DUMMYFUNCTION("""COMPUTED_VALUE"""),86.77)</f>
        <v>86.77</v>
      </c>
      <c r="E6857" s="2">
        <f>IFERROR(__xludf.DUMMYFUNCTION("""COMPUTED_VALUE"""),86.82)</f>
        <v>86.82</v>
      </c>
      <c r="F6857" s="2">
        <f>IFERROR(__xludf.DUMMYFUNCTION("""COMPUTED_VALUE"""),9451500.0)</f>
        <v>9451500</v>
      </c>
    </row>
    <row r="6858">
      <c r="A6858" s="3">
        <f>IFERROR(__xludf.DUMMYFUNCTION("""COMPUTED_VALUE"""),39146.666666666664)</f>
        <v>39146.66667</v>
      </c>
      <c r="B6858" s="2">
        <f>IFERROR(__xludf.DUMMYFUNCTION("""COMPUTED_VALUE"""),86.2)</f>
        <v>86.2</v>
      </c>
      <c r="C6858" s="2">
        <f>IFERROR(__xludf.DUMMYFUNCTION("""COMPUTED_VALUE"""),88.02)</f>
        <v>88.02</v>
      </c>
      <c r="D6858" s="2">
        <f>IFERROR(__xludf.DUMMYFUNCTION("""COMPUTED_VALUE"""),86.06)</f>
        <v>86.06</v>
      </c>
      <c r="E6858" s="2">
        <f>IFERROR(__xludf.DUMMYFUNCTION("""COMPUTED_VALUE"""),87.69)</f>
        <v>87.69</v>
      </c>
      <c r="F6858" s="2">
        <f>IFERROR(__xludf.DUMMYFUNCTION("""COMPUTED_VALUE"""),1.0334713E7)</f>
        <v>10334713</v>
      </c>
    </row>
    <row r="6859">
      <c r="A6859" s="3">
        <f>IFERROR(__xludf.DUMMYFUNCTION("""COMPUTED_VALUE"""),39147.666666666664)</f>
        <v>39147.66667</v>
      </c>
      <c r="B6859" s="2">
        <f>IFERROR(__xludf.DUMMYFUNCTION("""COMPUTED_VALUE"""),87.69)</f>
        <v>87.69</v>
      </c>
      <c r="C6859" s="2">
        <f>IFERROR(__xludf.DUMMYFUNCTION("""COMPUTED_VALUE"""),89.68)</f>
        <v>89.68</v>
      </c>
      <c r="D6859" s="2">
        <f>IFERROR(__xludf.DUMMYFUNCTION("""COMPUTED_VALUE"""),87.69)</f>
        <v>87.69</v>
      </c>
      <c r="E6859" s="2">
        <f>IFERROR(__xludf.DUMMYFUNCTION("""COMPUTED_VALUE"""),89.59)</f>
        <v>89.59</v>
      </c>
      <c r="F6859" s="2">
        <f>IFERROR(__xludf.DUMMYFUNCTION("""COMPUTED_VALUE"""),9184500.0)</f>
        <v>9184500</v>
      </c>
    </row>
    <row r="6860">
      <c r="A6860" s="3">
        <f>IFERROR(__xludf.DUMMYFUNCTION("""COMPUTED_VALUE"""),39148.666666666664)</f>
        <v>39148.66667</v>
      </c>
      <c r="B6860" s="2">
        <f>IFERROR(__xludf.DUMMYFUNCTION("""COMPUTED_VALUE"""),89.76)</f>
        <v>89.76</v>
      </c>
      <c r="C6860" s="2">
        <f>IFERROR(__xludf.DUMMYFUNCTION("""COMPUTED_VALUE"""),90.6)</f>
        <v>90.6</v>
      </c>
      <c r="D6860" s="2">
        <f>IFERROR(__xludf.DUMMYFUNCTION("""COMPUTED_VALUE"""),89.42)</f>
        <v>89.42</v>
      </c>
      <c r="E6860" s="2">
        <f>IFERROR(__xludf.DUMMYFUNCTION("""COMPUTED_VALUE"""),89.73)</f>
        <v>89.73</v>
      </c>
      <c r="F6860" s="2">
        <f>IFERROR(__xludf.DUMMYFUNCTION("""COMPUTED_VALUE"""),1.02693E7)</f>
        <v>10269300</v>
      </c>
    </row>
    <row r="6861">
      <c r="A6861" s="3">
        <f>IFERROR(__xludf.DUMMYFUNCTION("""COMPUTED_VALUE"""),39149.666666666664)</f>
        <v>39149.66667</v>
      </c>
      <c r="B6861" s="2">
        <f>IFERROR(__xludf.DUMMYFUNCTION("""COMPUTED_VALUE"""),90.26)</f>
        <v>90.26</v>
      </c>
      <c r="C6861" s="2">
        <f>IFERROR(__xludf.DUMMYFUNCTION("""COMPUTED_VALUE"""),90.57)</f>
        <v>90.57</v>
      </c>
      <c r="D6861" s="2">
        <f>IFERROR(__xludf.DUMMYFUNCTION("""COMPUTED_VALUE"""),88.37)</f>
        <v>88.37</v>
      </c>
      <c r="E6861" s="2">
        <f>IFERROR(__xludf.DUMMYFUNCTION("""COMPUTED_VALUE"""),88.83)</f>
        <v>88.83</v>
      </c>
      <c r="F6861" s="2">
        <f>IFERROR(__xludf.DUMMYFUNCTION("""COMPUTED_VALUE"""),7404500.0)</f>
        <v>7404500</v>
      </c>
    </row>
    <row r="6862">
      <c r="A6862" s="3">
        <f>IFERROR(__xludf.DUMMYFUNCTION("""COMPUTED_VALUE"""),39150.666666666664)</f>
        <v>39150.66667</v>
      </c>
      <c r="B6862" s="2">
        <f>IFERROR(__xludf.DUMMYFUNCTION("""COMPUTED_VALUE"""),89.29)</f>
        <v>89.29</v>
      </c>
      <c r="C6862" s="2">
        <f>IFERROR(__xludf.DUMMYFUNCTION("""COMPUTED_VALUE"""),89.79)</f>
        <v>89.79</v>
      </c>
      <c r="D6862" s="2">
        <f>IFERROR(__xludf.DUMMYFUNCTION("""COMPUTED_VALUE"""),88.66)</f>
        <v>88.66</v>
      </c>
      <c r="E6862" s="2">
        <f>IFERROR(__xludf.DUMMYFUNCTION("""COMPUTED_VALUE"""),89.1)</f>
        <v>89.1</v>
      </c>
      <c r="F6862" s="2">
        <f>IFERROR(__xludf.DUMMYFUNCTION("""COMPUTED_VALUE"""),6333100.0)</f>
        <v>6333100</v>
      </c>
    </row>
    <row r="6863">
      <c r="A6863" s="3">
        <f>IFERROR(__xludf.DUMMYFUNCTION("""COMPUTED_VALUE"""),39153.666666666664)</f>
        <v>39153.66667</v>
      </c>
      <c r="B6863" s="2">
        <f>IFERROR(__xludf.DUMMYFUNCTION("""COMPUTED_VALUE"""),89.11)</f>
        <v>89.11</v>
      </c>
      <c r="C6863" s="2">
        <f>IFERROR(__xludf.DUMMYFUNCTION("""COMPUTED_VALUE"""),89.95)</f>
        <v>89.95</v>
      </c>
      <c r="D6863" s="2">
        <f>IFERROR(__xludf.DUMMYFUNCTION("""COMPUTED_VALUE"""),88.8)</f>
        <v>88.8</v>
      </c>
      <c r="E6863" s="2">
        <f>IFERROR(__xludf.DUMMYFUNCTION("""COMPUTED_VALUE"""),89.89)</f>
        <v>89.89</v>
      </c>
      <c r="F6863" s="2">
        <f>IFERROR(__xludf.DUMMYFUNCTION("""COMPUTED_VALUE"""),5531300.0)</f>
        <v>5531300</v>
      </c>
    </row>
    <row r="6864">
      <c r="A6864" s="3">
        <f>IFERROR(__xludf.DUMMYFUNCTION("""COMPUTED_VALUE"""),39154.666666666664)</f>
        <v>39154.66667</v>
      </c>
      <c r="B6864" s="2">
        <f>IFERROR(__xludf.DUMMYFUNCTION("""COMPUTED_VALUE"""),89.65)</f>
        <v>89.65</v>
      </c>
      <c r="C6864" s="2">
        <f>IFERROR(__xludf.DUMMYFUNCTION("""COMPUTED_VALUE"""),90.23)</f>
        <v>90.23</v>
      </c>
      <c r="D6864" s="2">
        <f>IFERROR(__xludf.DUMMYFUNCTION("""COMPUTED_VALUE"""),88.47)</f>
        <v>88.47</v>
      </c>
      <c r="E6864" s="2">
        <f>IFERROR(__xludf.DUMMYFUNCTION("""COMPUTED_VALUE"""),88.55)</f>
        <v>88.55</v>
      </c>
      <c r="F6864" s="2">
        <f>IFERROR(__xludf.DUMMYFUNCTION("""COMPUTED_VALUE"""),7539100.0)</f>
        <v>7539100</v>
      </c>
    </row>
    <row r="6865">
      <c r="A6865" s="3">
        <f>IFERROR(__xludf.DUMMYFUNCTION("""COMPUTED_VALUE"""),39155.666666666664)</f>
        <v>39155.66667</v>
      </c>
      <c r="B6865" s="2">
        <f>IFERROR(__xludf.DUMMYFUNCTION("""COMPUTED_VALUE"""),89.89)</f>
        <v>89.89</v>
      </c>
      <c r="C6865" s="2">
        <f>IFERROR(__xludf.DUMMYFUNCTION("""COMPUTED_VALUE"""),89.89)</f>
        <v>89.89</v>
      </c>
      <c r="D6865" s="2">
        <f>IFERROR(__xludf.DUMMYFUNCTION("""COMPUTED_VALUE"""),87.97)</f>
        <v>87.97</v>
      </c>
      <c r="E6865" s="2">
        <f>IFERROR(__xludf.DUMMYFUNCTION("""COMPUTED_VALUE"""),89.56)</f>
        <v>89.56</v>
      </c>
      <c r="F6865" s="2">
        <f>IFERROR(__xludf.DUMMYFUNCTION("""COMPUTED_VALUE"""),8714065.0)</f>
        <v>8714065</v>
      </c>
    </row>
    <row r="6866">
      <c r="A6866" s="3">
        <f>IFERROR(__xludf.DUMMYFUNCTION("""COMPUTED_VALUE"""),39156.666666666664)</f>
        <v>39156.66667</v>
      </c>
      <c r="B6866" s="2">
        <f>IFERROR(__xludf.DUMMYFUNCTION("""COMPUTED_VALUE"""),89.21)</f>
        <v>89.21</v>
      </c>
      <c r="C6866" s="2">
        <f>IFERROR(__xludf.DUMMYFUNCTION("""COMPUTED_VALUE"""),89.76)</f>
        <v>89.76</v>
      </c>
      <c r="D6866" s="2">
        <f>IFERROR(__xludf.DUMMYFUNCTION("""COMPUTED_VALUE"""),88.93)</f>
        <v>88.93</v>
      </c>
      <c r="E6866" s="2">
        <f>IFERROR(__xludf.DUMMYFUNCTION("""COMPUTED_VALUE"""),89.26)</f>
        <v>89.26</v>
      </c>
      <c r="F6866" s="2">
        <f>IFERROR(__xludf.DUMMYFUNCTION("""COMPUTED_VALUE"""),5910149.0)</f>
        <v>5910149</v>
      </c>
    </row>
    <row r="6867">
      <c r="A6867" s="3">
        <f>IFERROR(__xludf.DUMMYFUNCTION("""COMPUTED_VALUE"""),39157.666666666664)</f>
        <v>39157.66667</v>
      </c>
      <c r="B6867" s="2">
        <f>IFERROR(__xludf.DUMMYFUNCTION("""COMPUTED_VALUE"""),90.22)</f>
        <v>90.22</v>
      </c>
      <c r="C6867" s="2">
        <f>IFERROR(__xludf.DUMMYFUNCTION("""COMPUTED_VALUE"""),90.22)</f>
        <v>90.22</v>
      </c>
      <c r="D6867" s="2">
        <f>IFERROR(__xludf.DUMMYFUNCTION("""COMPUTED_VALUE"""),88.85)</f>
        <v>88.85</v>
      </c>
      <c r="E6867" s="2">
        <f>IFERROR(__xludf.DUMMYFUNCTION("""COMPUTED_VALUE"""),89.07)</f>
        <v>89.07</v>
      </c>
      <c r="F6867" s="2">
        <f>IFERROR(__xludf.DUMMYFUNCTION("""COMPUTED_VALUE"""),8733050.0)</f>
        <v>8733050</v>
      </c>
    </row>
    <row r="6868">
      <c r="A6868" s="3">
        <f>IFERROR(__xludf.DUMMYFUNCTION("""COMPUTED_VALUE"""),39160.666666666664)</f>
        <v>39160.66667</v>
      </c>
      <c r="B6868" s="2">
        <f>IFERROR(__xludf.DUMMYFUNCTION("""COMPUTED_VALUE"""),89.74)</f>
        <v>89.74</v>
      </c>
      <c r="C6868" s="2">
        <f>IFERROR(__xludf.DUMMYFUNCTION("""COMPUTED_VALUE"""),90.09)</f>
        <v>90.09</v>
      </c>
      <c r="D6868" s="2">
        <f>IFERROR(__xludf.DUMMYFUNCTION("""COMPUTED_VALUE"""),89.2)</f>
        <v>89.2</v>
      </c>
      <c r="E6868" s="2">
        <f>IFERROR(__xludf.DUMMYFUNCTION("""COMPUTED_VALUE"""),89.78)</f>
        <v>89.78</v>
      </c>
      <c r="F6868" s="2">
        <f>IFERROR(__xludf.DUMMYFUNCTION("""COMPUTED_VALUE"""),4568062.0)</f>
        <v>4568062</v>
      </c>
    </row>
    <row r="6869">
      <c r="A6869" s="3">
        <f>IFERROR(__xludf.DUMMYFUNCTION("""COMPUTED_VALUE"""),39161.666666666664)</f>
        <v>39161.66667</v>
      </c>
      <c r="B6869" s="2">
        <f>IFERROR(__xludf.DUMMYFUNCTION("""COMPUTED_VALUE"""),89.79)</f>
        <v>89.79</v>
      </c>
      <c r="C6869" s="2">
        <f>IFERROR(__xludf.DUMMYFUNCTION("""COMPUTED_VALUE"""),90.29)</f>
        <v>90.29</v>
      </c>
      <c r="D6869" s="2">
        <f>IFERROR(__xludf.DUMMYFUNCTION("""COMPUTED_VALUE"""),89.36)</f>
        <v>89.36</v>
      </c>
      <c r="E6869" s="2">
        <f>IFERROR(__xludf.DUMMYFUNCTION("""COMPUTED_VALUE"""),90.26)</f>
        <v>90.26</v>
      </c>
      <c r="F6869" s="2">
        <f>IFERROR(__xludf.DUMMYFUNCTION("""COMPUTED_VALUE"""),4560000.0)</f>
        <v>4560000</v>
      </c>
    </row>
    <row r="6870">
      <c r="A6870" s="3">
        <f>IFERROR(__xludf.DUMMYFUNCTION("""COMPUTED_VALUE"""),39162.666666666664)</f>
        <v>39162.66667</v>
      </c>
      <c r="B6870" s="2">
        <f>IFERROR(__xludf.DUMMYFUNCTION("""COMPUTED_VALUE"""),90.26)</f>
        <v>90.26</v>
      </c>
      <c r="C6870" s="2">
        <f>IFERROR(__xludf.DUMMYFUNCTION("""COMPUTED_VALUE"""),91.51)</f>
        <v>91.51</v>
      </c>
      <c r="D6870" s="2">
        <f>IFERROR(__xludf.DUMMYFUNCTION("""COMPUTED_VALUE"""),89.62)</f>
        <v>89.62</v>
      </c>
      <c r="E6870" s="2">
        <f>IFERROR(__xludf.DUMMYFUNCTION("""COMPUTED_VALUE"""),91.08)</f>
        <v>91.08</v>
      </c>
      <c r="F6870" s="2">
        <f>IFERROR(__xludf.DUMMYFUNCTION("""COMPUTED_VALUE"""),7665695.0)</f>
        <v>7665695</v>
      </c>
    </row>
    <row r="6871">
      <c r="A6871" s="3">
        <f>IFERROR(__xludf.DUMMYFUNCTION("""COMPUTED_VALUE"""),39163.666666666664)</f>
        <v>39163.66667</v>
      </c>
      <c r="B6871" s="2">
        <f>IFERROR(__xludf.DUMMYFUNCTION("""COMPUTED_VALUE"""),90.84)</f>
        <v>90.84</v>
      </c>
      <c r="C6871" s="2">
        <f>IFERROR(__xludf.DUMMYFUNCTION("""COMPUTED_VALUE"""),91.16)</f>
        <v>91.16</v>
      </c>
      <c r="D6871" s="2">
        <f>IFERROR(__xludf.DUMMYFUNCTION("""COMPUTED_VALUE"""),90.41)</f>
        <v>90.41</v>
      </c>
      <c r="E6871" s="2">
        <f>IFERROR(__xludf.DUMMYFUNCTION("""COMPUTED_VALUE"""),90.92)</f>
        <v>90.92</v>
      </c>
      <c r="F6871" s="2">
        <f>IFERROR(__xludf.DUMMYFUNCTION("""COMPUTED_VALUE"""),5993550.0)</f>
        <v>5993550</v>
      </c>
    </row>
    <row r="6872">
      <c r="A6872" s="3">
        <f>IFERROR(__xludf.DUMMYFUNCTION("""COMPUTED_VALUE"""),39164.666666666664)</f>
        <v>39164.66667</v>
      </c>
      <c r="B6872" s="2">
        <f>IFERROR(__xludf.DUMMYFUNCTION("""COMPUTED_VALUE"""),90.92)</f>
        <v>90.92</v>
      </c>
      <c r="C6872" s="2">
        <f>IFERROR(__xludf.DUMMYFUNCTION("""COMPUTED_VALUE"""),90.95)</f>
        <v>90.95</v>
      </c>
      <c r="D6872" s="2">
        <f>IFERROR(__xludf.DUMMYFUNCTION("""COMPUTED_VALUE"""),90.41)</f>
        <v>90.41</v>
      </c>
      <c r="E6872" s="2">
        <f>IFERROR(__xludf.DUMMYFUNCTION("""COMPUTED_VALUE"""),90.77)</f>
        <v>90.77</v>
      </c>
      <c r="F6872" s="2">
        <f>IFERROR(__xludf.DUMMYFUNCTION("""COMPUTED_VALUE"""),4412483.0)</f>
        <v>4412483</v>
      </c>
    </row>
    <row r="6873">
      <c r="A6873" s="3">
        <f>IFERROR(__xludf.DUMMYFUNCTION("""COMPUTED_VALUE"""),39167.666666666664)</f>
        <v>39167.66667</v>
      </c>
      <c r="B6873" s="2">
        <f>IFERROR(__xludf.DUMMYFUNCTION("""COMPUTED_VALUE"""),90.74)</f>
        <v>90.74</v>
      </c>
      <c r="C6873" s="2">
        <f>IFERROR(__xludf.DUMMYFUNCTION("""COMPUTED_VALUE"""),90.98)</f>
        <v>90.98</v>
      </c>
      <c r="D6873" s="2">
        <f>IFERROR(__xludf.DUMMYFUNCTION("""COMPUTED_VALUE"""),90.09)</f>
        <v>90.09</v>
      </c>
      <c r="E6873" s="2">
        <f>IFERROR(__xludf.DUMMYFUNCTION("""COMPUTED_VALUE"""),90.74)</f>
        <v>90.74</v>
      </c>
      <c r="F6873" s="2">
        <f>IFERROR(__xludf.DUMMYFUNCTION("""COMPUTED_VALUE"""),6729345.0)</f>
        <v>6729345</v>
      </c>
    </row>
    <row r="6874">
      <c r="A6874" s="3">
        <f>IFERROR(__xludf.DUMMYFUNCTION("""COMPUTED_VALUE"""),39168.666666666664)</f>
        <v>39168.66667</v>
      </c>
      <c r="B6874" s="2">
        <f>IFERROR(__xludf.DUMMYFUNCTION("""COMPUTED_VALUE"""),90.46)</f>
        <v>90.46</v>
      </c>
      <c r="C6874" s="2">
        <f>IFERROR(__xludf.DUMMYFUNCTION("""COMPUTED_VALUE"""),90.77)</f>
        <v>90.77</v>
      </c>
      <c r="D6874" s="2">
        <f>IFERROR(__xludf.DUMMYFUNCTION("""COMPUTED_VALUE"""),89.98)</f>
        <v>89.98</v>
      </c>
      <c r="E6874" s="2">
        <f>IFERROR(__xludf.DUMMYFUNCTION("""COMPUTED_VALUE"""),90.48)</f>
        <v>90.48</v>
      </c>
      <c r="F6874" s="2">
        <f>IFERROR(__xludf.DUMMYFUNCTION("""COMPUTED_VALUE"""),4695800.0)</f>
        <v>4695800</v>
      </c>
    </row>
    <row r="6875">
      <c r="A6875" s="3">
        <f>IFERROR(__xludf.DUMMYFUNCTION("""COMPUTED_VALUE"""),39169.666666666664)</f>
        <v>39169.66667</v>
      </c>
      <c r="B6875" s="2">
        <f>IFERROR(__xludf.DUMMYFUNCTION("""COMPUTED_VALUE"""),89.69)</f>
        <v>89.69</v>
      </c>
      <c r="C6875" s="2">
        <f>IFERROR(__xludf.DUMMYFUNCTION("""COMPUTED_VALUE"""),90.76)</f>
        <v>90.76</v>
      </c>
      <c r="D6875" s="2">
        <f>IFERROR(__xludf.DUMMYFUNCTION("""COMPUTED_VALUE"""),89.59)</f>
        <v>89.59</v>
      </c>
      <c r="E6875" s="2">
        <f>IFERROR(__xludf.DUMMYFUNCTION("""COMPUTED_VALUE"""),90.03)</f>
        <v>90.03</v>
      </c>
      <c r="F6875" s="2">
        <f>IFERROR(__xludf.DUMMYFUNCTION("""COMPUTED_VALUE"""),8128557.0)</f>
        <v>8128557</v>
      </c>
    </row>
    <row r="6876">
      <c r="A6876" s="3">
        <f>IFERROR(__xludf.DUMMYFUNCTION("""COMPUTED_VALUE"""),39170.666666666664)</f>
        <v>39170.66667</v>
      </c>
      <c r="B6876" s="2">
        <f>IFERROR(__xludf.DUMMYFUNCTION("""COMPUTED_VALUE"""),90.42)</f>
        <v>90.42</v>
      </c>
      <c r="C6876" s="2">
        <f>IFERROR(__xludf.DUMMYFUNCTION("""COMPUTED_VALUE"""),90.85)</f>
        <v>90.85</v>
      </c>
      <c r="D6876" s="2">
        <f>IFERROR(__xludf.DUMMYFUNCTION("""COMPUTED_VALUE"""),89.75)</f>
        <v>89.75</v>
      </c>
      <c r="E6876" s="2">
        <f>IFERROR(__xludf.DUMMYFUNCTION("""COMPUTED_VALUE"""),90.33)</f>
        <v>90.33</v>
      </c>
      <c r="F6876" s="2">
        <f>IFERROR(__xludf.DUMMYFUNCTION("""COMPUTED_VALUE"""),6851600.0)</f>
        <v>6851600</v>
      </c>
    </row>
    <row r="6877">
      <c r="A6877" s="3">
        <f>IFERROR(__xludf.DUMMYFUNCTION("""COMPUTED_VALUE"""),39171.666666666664)</f>
        <v>39171.66667</v>
      </c>
      <c r="B6877" s="2">
        <f>IFERROR(__xludf.DUMMYFUNCTION("""COMPUTED_VALUE"""),90.33)</f>
        <v>90.33</v>
      </c>
      <c r="C6877" s="2">
        <f>IFERROR(__xludf.DUMMYFUNCTION("""COMPUTED_VALUE"""),90.5)</f>
        <v>90.5</v>
      </c>
      <c r="D6877" s="2">
        <f>IFERROR(__xludf.DUMMYFUNCTION("""COMPUTED_VALUE"""),89.37)</f>
        <v>89.37</v>
      </c>
      <c r="E6877" s="2">
        <f>IFERROR(__xludf.DUMMYFUNCTION("""COMPUTED_VALUE"""),90.03)</f>
        <v>90.03</v>
      </c>
      <c r="F6877" s="2">
        <f>IFERROR(__xludf.DUMMYFUNCTION("""COMPUTED_VALUE"""),7638050.0)</f>
        <v>7638050</v>
      </c>
    </row>
    <row r="6878">
      <c r="A6878" s="3">
        <f>IFERROR(__xludf.DUMMYFUNCTION("""COMPUTED_VALUE"""),39174.666666666664)</f>
        <v>39174.66667</v>
      </c>
      <c r="B6878" s="2">
        <f>IFERROR(__xludf.DUMMYFUNCTION("""COMPUTED_VALUE"""),90.03)</f>
        <v>90.03</v>
      </c>
      <c r="C6878" s="2">
        <f>IFERROR(__xludf.DUMMYFUNCTION("""COMPUTED_VALUE"""),91.22)</f>
        <v>91.22</v>
      </c>
      <c r="D6878" s="2">
        <f>IFERROR(__xludf.DUMMYFUNCTION("""COMPUTED_VALUE"""),89.84)</f>
        <v>89.84</v>
      </c>
      <c r="E6878" s="2">
        <f>IFERROR(__xludf.DUMMYFUNCTION("""COMPUTED_VALUE"""),90.03)</f>
        <v>90.03</v>
      </c>
      <c r="F6878" s="2">
        <f>IFERROR(__xludf.DUMMYFUNCTION("""COMPUTED_VALUE"""),5883700.0)</f>
        <v>5883700</v>
      </c>
    </row>
    <row r="6879">
      <c r="A6879" s="3">
        <f>IFERROR(__xludf.DUMMYFUNCTION("""COMPUTED_VALUE"""),39175.666666666664)</f>
        <v>39175.66667</v>
      </c>
      <c r="B6879" s="2">
        <f>IFERROR(__xludf.DUMMYFUNCTION("""COMPUTED_VALUE"""),91.17)</f>
        <v>91.17</v>
      </c>
      <c r="C6879" s="2">
        <f>IFERROR(__xludf.DUMMYFUNCTION("""COMPUTED_VALUE"""),91.92)</f>
        <v>91.92</v>
      </c>
      <c r="D6879" s="2">
        <f>IFERROR(__xludf.DUMMYFUNCTION("""COMPUTED_VALUE"""),91.06)</f>
        <v>91.06</v>
      </c>
      <c r="E6879" s="2">
        <f>IFERROR(__xludf.DUMMYFUNCTION("""COMPUTED_VALUE"""),91.79)</f>
        <v>91.79</v>
      </c>
      <c r="F6879" s="2">
        <f>IFERROR(__xludf.DUMMYFUNCTION("""COMPUTED_VALUE"""),5730800.0)</f>
        <v>5730800</v>
      </c>
    </row>
    <row r="6880">
      <c r="A6880" s="3">
        <f>IFERROR(__xludf.DUMMYFUNCTION("""COMPUTED_VALUE"""),39176.666666666664)</f>
        <v>39176.66667</v>
      </c>
      <c r="B6880" s="2">
        <f>IFERROR(__xludf.DUMMYFUNCTION("""COMPUTED_VALUE"""),91.9)</f>
        <v>91.9</v>
      </c>
      <c r="C6880" s="2">
        <f>IFERROR(__xludf.DUMMYFUNCTION("""COMPUTED_VALUE"""),92.13)</f>
        <v>92.13</v>
      </c>
      <c r="D6880" s="2">
        <f>IFERROR(__xludf.DUMMYFUNCTION("""COMPUTED_VALUE"""),91.29)</f>
        <v>91.29</v>
      </c>
      <c r="E6880" s="2">
        <f>IFERROR(__xludf.DUMMYFUNCTION("""COMPUTED_VALUE"""),91.9)</f>
        <v>91.9</v>
      </c>
      <c r="F6880" s="2">
        <f>IFERROR(__xludf.DUMMYFUNCTION("""COMPUTED_VALUE"""),4277725.0)</f>
        <v>4277725</v>
      </c>
    </row>
    <row r="6881">
      <c r="A6881" s="3">
        <f>IFERROR(__xludf.DUMMYFUNCTION("""COMPUTED_VALUE"""),39177.666666666664)</f>
        <v>39177.66667</v>
      </c>
      <c r="B6881" s="2">
        <f>IFERROR(__xludf.DUMMYFUNCTION("""COMPUTED_VALUE"""),91.68)</f>
        <v>91.68</v>
      </c>
      <c r="C6881" s="2">
        <f>IFERROR(__xludf.DUMMYFUNCTION("""COMPUTED_VALUE"""),92.41)</f>
        <v>92.41</v>
      </c>
      <c r="D6881" s="2">
        <f>IFERROR(__xludf.DUMMYFUNCTION("""COMPUTED_VALUE"""),91.46)</f>
        <v>91.46</v>
      </c>
      <c r="E6881" s="2">
        <f>IFERROR(__xludf.DUMMYFUNCTION("""COMPUTED_VALUE"""),92.19)</f>
        <v>92.19</v>
      </c>
      <c r="F6881" s="2">
        <f>IFERROR(__xludf.DUMMYFUNCTION("""COMPUTED_VALUE"""),3307100.0)</f>
        <v>3307100</v>
      </c>
    </row>
    <row r="6882">
      <c r="A6882" s="3">
        <f>IFERROR(__xludf.DUMMYFUNCTION("""COMPUTED_VALUE"""),39181.666666666664)</f>
        <v>39181.66667</v>
      </c>
      <c r="B6882" s="2">
        <f>IFERROR(__xludf.DUMMYFUNCTION("""COMPUTED_VALUE"""),92.11)</f>
        <v>92.11</v>
      </c>
      <c r="C6882" s="2">
        <f>IFERROR(__xludf.DUMMYFUNCTION("""COMPUTED_VALUE"""),92.59)</f>
        <v>92.59</v>
      </c>
      <c r="D6882" s="2">
        <f>IFERROR(__xludf.DUMMYFUNCTION("""COMPUTED_VALUE"""),91.81)</f>
        <v>91.81</v>
      </c>
      <c r="E6882" s="2">
        <f>IFERROR(__xludf.DUMMYFUNCTION("""COMPUTED_VALUE"""),92.29)</f>
        <v>92.29</v>
      </c>
      <c r="F6882" s="2">
        <f>IFERROR(__xludf.DUMMYFUNCTION("""COMPUTED_VALUE"""),4850581.0)</f>
        <v>4850581</v>
      </c>
    </row>
    <row r="6883">
      <c r="A6883" s="3">
        <f>IFERROR(__xludf.DUMMYFUNCTION("""COMPUTED_VALUE"""),39182.666666666664)</f>
        <v>39182.66667</v>
      </c>
      <c r="B6883" s="2">
        <f>IFERROR(__xludf.DUMMYFUNCTION("""COMPUTED_VALUE"""),92.08)</f>
        <v>92.08</v>
      </c>
      <c r="C6883" s="2">
        <f>IFERROR(__xludf.DUMMYFUNCTION("""COMPUTED_VALUE"""),92.46)</f>
        <v>92.46</v>
      </c>
      <c r="D6883" s="2">
        <f>IFERROR(__xludf.DUMMYFUNCTION("""COMPUTED_VALUE"""),91.85)</f>
        <v>91.85</v>
      </c>
      <c r="E6883" s="2">
        <f>IFERROR(__xludf.DUMMYFUNCTION("""COMPUTED_VALUE"""),92.14)</f>
        <v>92.14</v>
      </c>
      <c r="F6883" s="2">
        <f>IFERROR(__xludf.DUMMYFUNCTION("""COMPUTED_VALUE"""),3596400.0)</f>
        <v>3596400</v>
      </c>
    </row>
    <row r="6884">
      <c r="A6884" s="3">
        <f>IFERROR(__xludf.DUMMYFUNCTION("""COMPUTED_VALUE"""),39183.666666666664)</f>
        <v>39183.66667</v>
      </c>
      <c r="B6884" s="2">
        <f>IFERROR(__xludf.DUMMYFUNCTION("""COMPUTED_VALUE"""),92.18)</f>
        <v>92.18</v>
      </c>
      <c r="C6884" s="2">
        <f>IFERROR(__xludf.DUMMYFUNCTION("""COMPUTED_VALUE"""),92.36)</f>
        <v>92.36</v>
      </c>
      <c r="D6884" s="2">
        <f>IFERROR(__xludf.DUMMYFUNCTION("""COMPUTED_VALUE"""),90.69)</f>
        <v>90.69</v>
      </c>
      <c r="E6884" s="2">
        <f>IFERROR(__xludf.DUMMYFUNCTION("""COMPUTED_VALUE"""),90.89)</f>
        <v>90.89</v>
      </c>
      <c r="F6884" s="2">
        <f>IFERROR(__xludf.DUMMYFUNCTION("""COMPUTED_VALUE"""),5940774.0)</f>
        <v>5940774</v>
      </c>
    </row>
    <row r="6885">
      <c r="A6885" s="3">
        <f>IFERROR(__xludf.DUMMYFUNCTION("""COMPUTED_VALUE"""),39184.666666666664)</f>
        <v>39184.66667</v>
      </c>
      <c r="B6885" s="2">
        <f>IFERROR(__xludf.DUMMYFUNCTION("""COMPUTED_VALUE"""),90.89)</f>
        <v>90.89</v>
      </c>
      <c r="C6885" s="2">
        <f>IFERROR(__xludf.DUMMYFUNCTION("""COMPUTED_VALUE"""),91.52)</f>
        <v>91.52</v>
      </c>
      <c r="D6885" s="2">
        <f>IFERROR(__xludf.DUMMYFUNCTION("""COMPUTED_VALUE"""),90.29)</f>
        <v>90.29</v>
      </c>
      <c r="E6885" s="2">
        <f>IFERROR(__xludf.DUMMYFUNCTION("""COMPUTED_VALUE"""),91.38)</f>
        <v>91.38</v>
      </c>
      <c r="F6885" s="2">
        <f>IFERROR(__xludf.DUMMYFUNCTION("""COMPUTED_VALUE"""),7085294.0)</f>
        <v>7085294</v>
      </c>
    </row>
    <row r="6886">
      <c r="A6886" s="3">
        <f>IFERROR(__xludf.DUMMYFUNCTION("""COMPUTED_VALUE"""),39185.666666666664)</f>
        <v>39185.66667</v>
      </c>
      <c r="B6886" s="2">
        <f>IFERROR(__xludf.DUMMYFUNCTION("""COMPUTED_VALUE"""),91.46)</f>
        <v>91.46</v>
      </c>
      <c r="C6886" s="2">
        <f>IFERROR(__xludf.DUMMYFUNCTION("""COMPUTED_VALUE"""),91.46)</f>
        <v>91.46</v>
      </c>
      <c r="D6886" s="2">
        <f>IFERROR(__xludf.DUMMYFUNCTION("""COMPUTED_VALUE"""),90.35)</f>
        <v>90.35</v>
      </c>
      <c r="E6886" s="2">
        <f>IFERROR(__xludf.DUMMYFUNCTION("""COMPUTED_VALUE"""),90.67)</f>
        <v>90.67</v>
      </c>
      <c r="F6886" s="2">
        <f>IFERROR(__xludf.DUMMYFUNCTION("""COMPUTED_VALUE"""),6027883.0)</f>
        <v>6027883</v>
      </c>
    </row>
    <row r="6887">
      <c r="A6887" s="3">
        <f>IFERROR(__xludf.DUMMYFUNCTION("""COMPUTED_VALUE"""),39188.666666666664)</f>
        <v>39188.66667</v>
      </c>
      <c r="B6887" s="2">
        <f>IFERROR(__xludf.DUMMYFUNCTION("""COMPUTED_VALUE"""),91.46)</f>
        <v>91.46</v>
      </c>
      <c r="C6887" s="2">
        <f>IFERROR(__xludf.DUMMYFUNCTION("""COMPUTED_VALUE"""),91.98)</f>
        <v>91.98</v>
      </c>
      <c r="D6887" s="2">
        <f>IFERROR(__xludf.DUMMYFUNCTION("""COMPUTED_VALUE"""),90.47)</f>
        <v>90.47</v>
      </c>
      <c r="E6887" s="2">
        <f>IFERROR(__xludf.DUMMYFUNCTION("""COMPUTED_VALUE"""),91.87)</f>
        <v>91.87</v>
      </c>
      <c r="F6887" s="2">
        <f>IFERROR(__xludf.DUMMYFUNCTION("""COMPUTED_VALUE"""),6865100.0)</f>
        <v>6865100</v>
      </c>
    </row>
    <row r="6888">
      <c r="A6888" s="3">
        <f>IFERROR(__xludf.DUMMYFUNCTION("""COMPUTED_VALUE"""),39189.666666666664)</f>
        <v>39189.66667</v>
      </c>
      <c r="B6888" s="2">
        <f>IFERROR(__xludf.DUMMYFUNCTION("""COMPUTED_VALUE"""),91.98)</f>
        <v>91.98</v>
      </c>
      <c r="C6888" s="2">
        <f>IFERROR(__xludf.DUMMYFUNCTION("""COMPUTED_VALUE"""),93.28)</f>
        <v>93.28</v>
      </c>
      <c r="D6888" s="2">
        <f>IFERROR(__xludf.DUMMYFUNCTION("""COMPUTED_VALUE"""),91.71)</f>
        <v>91.71</v>
      </c>
      <c r="E6888" s="2">
        <f>IFERROR(__xludf.DUMMYFUNCTION("""COMPUTED_VALUE"""),92.77)</f>
        <v>92.77</v>
      </c>
      <c r="F6888" s="2">
        <f>IFERROR(__xludf.DUMMYFUNCTION("""COMPUTED_VALUE"""),1.0271833E7)</f>
        <v>10271833</v>
      </c>
    </row>
    <row r="6889">
      <c r="A6889" s="3">
        <f>IFERROR(__xludf.DUMMYFUNCTION("""COMPUTED_VALUE"""),39190.666666666664)</f>
        <v>39190.66667</v>
      </c>
      <c r="B6889" s="2">
        <f>IFERROR(__xludf.DUMMYFUNCTION("""COMPUTED_VALUE"""),90.27)</f>
        <v>90.27</v>
      </c>
      <c r="C6889" s="2">
        <f>IFERROR(__xludf.DUMMYFUNCTION("""COMPUTED_VALUE"""),91.61)</f>
        <v>91.61</v>
      </c>
      <c r="D6889" s="2">
        <f>IFERROR(__xludf.DUMMYFUNCTION("""COMPUTED_VALUE"""),90.17)</f>
        <v>90.17</v>
      </c>
      <c r="E6889" s="2">
        <f>IFERROR(__xludf.DUMMYFUNCTION("""COMPUTED_VALUE"""),90.55)</f>
        <v>90.55</v>
      </c>
      <c r="F6889" s="2">
        <f>IFERROR(__xludf.DUMMYFUNCTION("""COMPUTED_VALUE"""),1.5871734E7)</f>
        <v>15871734</v>
      </c>
    </row>
    <row r="6890">
      <c r="A6890" s="3">
        <f>IFERROR(__xludf.DUMMYFUNCTION("""COMPUTED_VALUE"""),39191.666666666664)</f>
        <v>39191.66667</v>
      </c>
      <c r="B6890" s="2">
        <f>IFERROR(__xludf.DUMMYFUNCTION("""COMPUTED_VALUE"""),90.26)</f>
        <v>90.26</v>
      </c>
      <c r="C6890" s="2">
        <f>IFERROR(__xludf.DUMMYFUNCTION("""COMPUTED_VALUE"""),90.62)</f>
        <v>90.62</v>
      </c>
      <c r="D6890" s="2">
        <f>IFERROR(__xludf.DUMMYFUNCTION("""COMPUTED_VALUE"""),89.79)</f>
        <v>89.79</v>
      </c>
      <c r="E6890" s="2">
        <f>IFERROR(__xludf.DUMMYFUNCTION("""COMPUTED_VALUE"""),90.06)</f>
        <v>90.06</v>
      </c>
      <c r="F6890" s="2">
        <f>IFERROR(__xludf.DUMMYFUNCTION("""COMPUTED_VALUE"""),9446948.0)</f>
        <v>9446948</v>
      </c>
    </row>
    <row r="6891">
      <c r="A6891" s="3">
        <f>IFERROR(__xludf.DUMMYFUNCTION("""COMPUTED_VALUE"""),39192.666666666664)</f>
        <v>39192.66667</v>
      </c>
      <c r="B6891" s="2">
        <f>IFERROR(__xludf.DUMMYFUNCTION("""COMPUTED_VALUE"""),90.76)</f>
        <v>90.76</v>
      </c>
      <c r="C6891" s="2">
        <f>IFERROR(__xludf.DUMMYFUNCTION("""COMPUTED_VALUE"""),90.88)</f>
        <v>90.88</v>
      </c>
      <c r="D6891" s="2">
        <f>IFERROR(__xludf.DUMMYFUNCTION("""COMPUTED_VALUE"""),89.7)</f>
        <v>89.7</v>
      </c>
      <c r="E6891" s="2">
        <f>IFERROR(__xludf.DUMMYFUNCTION("""COMPUTED_VALUE"""),90.34)</f>
        <v>90.34</v>
      </c>
      <c r="F6891" s="2">
        <f>IFERROR(__xludf.DUMMYFUNCTION("""COMPUTED_VALUE"""),9340296.0)</f>
        <v>9340296</v>
      </c>
    </row>
    <row r="6892">
      <c r="A6892" s="3">
        <f>IFERROR(__xludf.DUMMYFUNCTION("""COMPUTED_VALUE"""),39195.666666666664)</f>
        <v>39195.66667</v>
      </c>
      <c r="B6892" s="2">
        <f>IFERROR(__xludf.DUMMYFUNCTION("""COMPUTED_VALUE"""),91.04)</f>
        <v>91.04</v>
      </c>
      <c r="C6892" s="2">
        <f>IFERROR(__xludf.DUMMYFUNCTION("""COMPUTED_VALUE"""),91.44)</f>
        <v>91.44</v>
      </c>
      <c r="D6892" s="2">
        <f>IFERROR(__xludf.DUMMYFUNCTION("""COMPUTED_VALUE"""),90.79)</f>
        <v>90.79</v>
      </c>
      <c r="E6892" s="2">
        <f>IFERROR(__xludf.DUMMYFUNCTION("""COMPUTED_VALUE"""),90.94)</f>
        <v>90.94</v>
      </c>
      <c r="F6892" s="2">
        <f>IFERROR(__xludf.DUMMYFUNCTION("""COMPUTED_VALUE"""),7247500.0)</f>
        <v>7247500</v>
      </c>
    </row>
    <row r="6893">
      <c r="A6893" s="3">
        <f>IFERROR(__xludf.DUMMYFUNCTION("""COMPUTED_VALUE"""),39196.666666666664)</f>
        <v>39196.66667</v>
      </c>
      <c r="B6893" s="2">
        <f>IFERROR(__xludf.DUMMYFUNCTION("""COMPUTED_VALUE"""),91.21)</f>
        <v>91.21</v>
      </c>
      <c r="C6893" s="2">
        <f>IFERROR(__xludf.DUMMYFUNCTION("""COMPUTED_VALUE"""),95.42)</f>
        <v>95.42</v>
      </c>
      <c r="D6893" s="2">
        <f>IFERROR(__xludf.DUMMYFUNCTION("""COMPUTED_VALUE"""),91.21)</f>
        <v>91.21</v>
      </c>
      <c r="E6893" s="2">
        <f>IFERROR(__xludf.DUMMYFUNCTION("""COMPUTED_VALUE"""),94.07)</f>
        <v>94.07</v>
      </c>
      <c r="F6893" s="2">
        <f>IFERROR(__xludf.DUMMYFUNCTION("""COMPUTED_VALUE"""),2.1494578E7)</f>
        <v>21494578</v>
      </c>
    </row>
    <row r="6894">
      <c r="A6894" s="3">
        <f>IFERROR(__xludf.DUMMYFUNCTION("""COMPUTED_VALUE"""),39197.666666666664)</f>
        <v>39197.66667</v>
      </c>
      <c r="B6894" s="2">
        <f>IFERROR(__xludf.DUMMYFUNCTION("""COMPUTED_VALUE"""),94.36)</f>
        <v>94.36</v>
      </c>
      <c r="C6894" s="2">
        <f>IFERROR(__xludf.DUMMYFUNCTION("""COMPUTED_VALUE"""),97.14)</f>
        <v>97.14</v>
      </c>
      <c r="D6894" s="2">
        <f>IFERROR(__xludf.DUMMYFUNCTION("""COMPUTED_VALUE"""),94.3)</f>
        <v>94.3</v>
      </c>
      <c r="E6894" s="2">
        <f>IFERROR(__xludf.DUMMYFUNCTION("""COMPUTED_VALUE"""),96.91)</f>
        <v>96.91</v>
      </c>
      <c r="F6894" s="2">
        <f>IFERROR(__xludf.DUMMYFUNCTION("""COMPUTED_VALUE"""),1.4827675E7)</f>
        <v>14827675</v>
      </c>
    </row>
    <row r="6895">
      <c r="A6895" s="3">
        <f>IFERROR(__xludf.DUMMYFUNCTION("""COMPUTED_VALUE"""),39198.666666666664)</f>
        <v>39198.66667</v>
      </c>
      <c r="B6895" s="2">
        <f>IFERROR(__xludf.DUMMYFUNCTION("""COMPUTED_VALUE"""),96.85)</f>
        <v>96.85</v>
      </c>
      <c r="C6895" s="2">
        <f>IFERROR(__xludf.DUMMYFUNCTION("""COMPUTED_VALUE"""),96.95)</f>
        <v>96.95</v>
      </c>
      <c r="D6895" s="2">
        <f>IFERROR(__xludf.DUMMYFUNCTION("""COMPUTED_VALUE"""),95.72)</f>
        <v>95.72</v>
      </c>
      <c r="E6895" s="2">
        <f>IFERROR(__xludf.DUMMYFUNCTION("""COMPUTED_VALUE"""),96.38)</f>
        <v>96.38</v>
      </c>
      <c r="F6895" s="2">
        <f>IFERROR(__xludf.DUMMYFUNCTION("""COMPUTED_VALUE"""),8615188.0)</f>
        <v>8615188</v>
      </c>
    </row>
    <row r="6896">
      <c r="A6896" s="3">
        <f>IFERROR(__xludf.DUMMYFUNCTION("""COMPUTED_VALUE"""),39199.666666666664)</f>
        <v>39199.66667</v>
      </c>
      <c r="B6896" s="2">
        <f>IFERROR(__xludf.DUMMYFUNCTION("""COMPUTED_VALUE"""),96.1)</f>
        <v>96.1</v>
      </c>
      <c r="C6896" s="2">
        <f>IFERROR(__xludf.DUMMYFUNCTION("""COMPUTED_VALUE"""),96.63)</f>
        <v>96.63</v>
      </c>
      <c r="D6896" s="2">
        <f>IFERROR(__xludf.DUMMYFUNCTION("""COMPUTED_VALUE"""),95.57)</f>
        <v>95.57</v>
      </c>
      <c r="E6896" s="2">
        <f>IFERROR(__xludf.DUMMYFUNCTION("""COMPUTED_VALUE"""),96.63)</f>
        <v>96.63</v>
      </c>
      <c r="F6896" s="2">
        <f>IFERROR(__xludf.DUMMYFUNCTION("""COMPUTED_VALUE"""),6141359.0)</f>
        <v>6141359</v>
      </c>
    </row>
    <row r="6897">
      <c r="A6897" s="3">
        <f>IFERROR(__xludf.DUMMYFUNCTION("""COMPUTED_VALUE"""),39202.666666666664)</f>
        <v>39202.66667</v>
      </c>
      <c r="B6897" s="2">
        <f>IFERROR(__xludf.DUMMYFUNCTION("""COMPUTED_VALUE"""),96.47)</f>
        <v>96.47</v>
      </c>
      <c r="C6897" s="2">
        <f>IFERROR(__xludf.DUMMYFUNCTION("""COMPUTED_VALUE"""),98.38)</f>
        <v>98.38</v>
      </c>
      <c r="D6897" s="2">
        <f>IFERROR(__xludf.DUMMYFUNCTION("""COMPUTED_VALUE"""),96.44)</f>
        <v>96.44</v>
      </c>
      <c r="E6897" s="2">
        <f>IFERROR(__xludf.DUMMYFUNCTION("""COMPUTED_VALUE"""),97.63)</f>
        <v>97.63</v>
      </c>
      <c r="F6897" s="2">
        <f>IFERROR(__xludf.DUMMYFUNCTION("""COMPUTED_VALUE"""),1.0050699E7)</f>
        <v>10050699</v>
      </c>
    </row>
    <row r="6898">
      <c r="A6898" s="3">
        <f>IFERROR(__xludf.DUMMYFUNCTION("""COMPUTED_VALUE"""),39203.666666666664)</f>
        <v>39203.66667</v>
      </c>
      <c r="B6898" s="2">
        <f>IFERROR(__xludf.DUMMYFUNCTION("""COMPUTED_VALUE"""),97.45)</f>
        <v>97.45</v>
      </c>
      <c r="C6898" s="2">
        <f>IFERROR(__xludf.DUMMYFUNCTION("""COMPUTED_VALUE"""),98.54)</f>
        <v>98.54</v>
      </c>
      <c r="D6898" s="2">
        <f>IFERROR(__xludf.DUMMYFUNCTION("""COMPUTED_VALUE"""),97.45)</f>
        <v>97.45</v>
      </c>
      <c r="E6898" s="2">
        <f>IFERROR(__xludf.DUMMYFUNCTION("""COMPUTED_VALUE"""),98.54)</f>
        <v>98.54</v>
      </c>
      <c r="F6898" s="2">
        <f>IFERROR(__xludf.DUMMYFUNCTION("""COMPUTED_VALUE"""),8672146.0)</f>
        <v>8672146</v>
      </c>
    </row>
    <row r="6899">
      <c r="A6899" s="3">
        <f>IFERROR(__xludf.DUMMYFUNCTION("""COMPUTED_VALUE"""),39204.666666666664)</f>
        <v>39204.66667</v>
      </c>
      <c r="B6899" s="2">
        <f>IFERROR(__xludf.DUMMYFUNCTION("""COMPUTED_VALUE"""),98.57)</f>
        <v>98.57</v>
      </c>
      <c r="C6899" s="2">
        <f>IFERROR(__xludf.DUMMYFUNCTION("""COMPUTED_VALUE"""),98.57)</f>
        <v>98.57</v>
      </c>
      <c r="D6899" s="2">
        <f>IFERROR(__xludf.DUMMYFUNCTION("""COMPUTED_VALUE"""),97.55)</f>
        <v>97.55</v>
      </c>
      <c r="E6899" s="2">
        <f>IFERROR(__xludf.DUMMYFUNCTION("""COMPUTED_VALUE"""),97.64)</f>
        <v>97.64</v>
      </c>
      <c r="F6899" s="2">
        <f>IFERROR(__xludf.DUMMYFUNCTION("""COMPUTED_VALUE"""),7045178.0)</f>
        <v>7045178</v>
      </c>
    </row>
    <row r="6900">
      <c r="A6900" s="3">
        <f>IFERROR(__xludf.DUMMYFUNCTION("""COMPUTED_VALUE"""),39205.666666666664)</f>
        <v>39205.66667</v>
      </c>
      <c r="B6900" s="2">
        <f>IFERROR(__xludf.DUMMYFUNCTION("""COMPUTED_VALUE"""),97.19)</f>
        <v>97.19</v>
      </c>
      <c r="C6900" s="2">
        <f>IFERROR(__xludf.DUMMYFUNCTION("""COMPUTED_VALUE"""),98.38)</f>
        <v>98.38</v>
      </c>
      <c r="D6900" s="2">
        <f>IFERROR(__xludf.DUMMYFUNCTION("""COMPUTED_VALUE"""),96.81)</f>
        <v>96.81</v>
      </c>
      <c r="E6900" s="2">
        <f>IFERROR(__xludf.DUMMYFUNCTION("""COMPUTED_VALUE"""),98.19)</f>
        <v>98.19</v>
      </c>
      <c r="F6900" s="2">
        <f>IFERROR(__xludf.DUMMYFUNCTION("""COMPUTED_VALUE"""),7318750.0)</f>
        <v>7318750</v>
      </c>
    </row>
    <row r="6901">
      <c r="A6901" s="3">
        <f>IFERROR(__xludf.DUMMYFUNCTION("""COMPUTED_VALUE"""),39206.666666666664)</f>
        <v>39206.66667</v>
      </c>
      <c r="B6901" s="2">
        <f>IFERROR(__xludf.DUMMYFUNCTION("""COMPUTED_VALUE"""),98.05)</f>
        <v>98.05</v>
      </c>
      <c r="C6901" s="2">
        <f>IFERROR(__xludf.DUMMYFUNCTION("""COMPUTED_VALUE"""),98.41)</f>
        <v>98.41</v>
      </c>
      <c r="D6901" s="2">
        <f>IFERROR(__xludf.DUMMYFUNCTION("""COMPUTED_VALUE"""),97.67)</f>
        <v>97.67</v>
      </c>
      <c r="E6901" s="2">
        <f>IFERROR(__xludf.DUMMYFUNCTION("""COMPUTED_VALUE"""),98.34)</f>
        <v>98.34</v>
      </c>
      <c r="F6901" s="2">
        <f>IFERROR(__xludf.DUMMYFUNCTION("""COMPUTED_VALUE"""),5469734.0)</f>
        <v>5469734</v>
      </c>
    </row>
    <row r="6902">
      <c r="A6902" s="3">
        <f>IFERROR(__xludf.DUMMYFUNCTION("""COMPUTED_VALUE"""),39209.666666666664)</f>
        <v>39209.66667</v>
      </c>
      <c r="B6902" s="2">
        <f>IFERROR(__xludf.DUMMYFUNCTION("""COMPUTED_VALUE"""),98.15)</f>
        <v>98.15</v>
      </c>
      <c r="C6902" s="2">
        <f>IFERROR(__xludf.DUMMYFUNCTION("""COMPUTED_VALUE"""),98.54)</f>
        <v>98.54</v>
      </c>
      <c r="D6902" s="2">
        <f>IFERROR(__xludf.DUMMYFUNCTION("""COMPUTED_VALUE"""),97.81)</f>
        <v>97.81</v>
      </c>
      <c r="E6902" s="2">
        <f>IFERROR(__xludf.DUMMYFUNCTION("""COMPUTED_VALUE"""),98.53)</f>
        <v>98.53</v>
      </c>
      <c r="F6902" s="2">
        <f>IFERROR(__xludf.DUMMYFUNCTION("""COMPUTED_VALUE"""),5620878.0)</f>
        <v>5620878</v>
      </c>
    </row>
    <row r="6903">
      <c r="A6903" s="3">
        <f>IFERROR(__xludf.DUMMYFUNCTION("""COMPUTED_VALUE"""),39210.666666666664)</f>
        <v>39210.66667</v>
      </c>
      <c r="B6903" s="2">
        <f>IFERROR(__xludf.DUMMYFUNCTION("""COMPUTED_VALUE"""),97.82)</f>
        <v>97.82</v>
      </c>
      <c r="C6903" s="2">
        <f>IFERROR(__xludf.DUMMYFUNCTION("""COMPUTED_VALUE"""),98.75)</f>
        <v>98.75</v>
      </c>
      <c r="D6903" s="2">
        <f>IFERROR(__xludf.DUMMYFUNCTION("""COMPUTED_VALUE"""),97.63)</f>
        <v>97.63</v>
      </c>
      <c r="E6903" s="2">
        <f>IFERROR(__xludf.DUMMYFUNCTION("""COMPUTED_VALUE"""),98.66)</f>
        <v>98.66</v>
      </c>
      <c r="F6903" s="2">
        <f>IFERROR(__xludf.DUMMYFUNCTION("""COMPUTED_VALUE"""),5972400.0)</f>
        <v>5972400</v>
      </c>
    </row>
    <row r="6904">
      <c r="A6904" s="3">
        <f>IFERROR(__xludf.DUMMYFUNCTION("""COMPUTED_VALUE"""),39211.666666666664)</f>
        <v>39211.66667</v>
      </c>
      <c r="B6904" s="2">
        <f>IFERROR(__xludf.DUMMYFUNCTION("""COMPUTED_VALUE"""),99.61)</f>
        <v>99.61</v>
      </c>
      <c r="C6904" s="2">
        <f>IFERROR(__xludf.DUMMYFUNCTION("""COMPUTED_VALUE"""),100.05)</f>
        <v>100.05</v>
      </c>
      <c r="D6904" s="2">
        <f>IFERROR(__xludf.DUMMYFUNCTION("""COMPUTED_VALUE"""),99.05)</f>
        <v>99.05</v>
      </c>
      <c r="E6904" s="2">
        <f>IFERROR(__xludf.DUMMYFUNCTION("""COMPUTED_VALUE"""),99.7)</f>
        <v>99.7</v>
      </c>
      <c r="F6904" s="2">
        <f>IFERROR(__xludf.DUMMYFUNCTION("""COMPUTED_VALUE"""),8408086.0)</f>
        <v>8408086</v>
      </c>
    </row>
    <row r="6905">
      <c r="A6905" s="3">
        <f>IFERROR(__xludf.DUMMYFUNCTION("""COMPUTED_VALUE"""),39212.666666666664)</f>
        <v>39212.66667</v>
      </c>
      <c r="B6905" s="2">
        <f>IFERROR(__xludf.DUMMYFUNCTION("""COMPUTED_VALUE"""),99.32)</f>
        <v>99.32</v>
      </c>
      <c r="C6905" s="2">
        <f>IFERROR(__xludf.DUMMYFUNCTION("""COMPUTED_VALUE"""),100.4)</f>
        <v>100.4</v>
      </c>
      <c r="D6905" s="2">
        <f>IFERROR(__xludf.DUMMYFUNCTION("""COMPUTED_VALUE"""),99.06)</f>
        <v>99.06</v>
      </c>
      <c r="E6905" s="2">
        <f>IFERROR(__xludf.DUMMYFUNCTION("""COMPUTED_VALUE"""),99.99)</f>
        <v>99.99</v>
      </c>
      <c r="F6905" s="2">
        <f>IFERROR(__xludf.DUMMYFUNCTION("""COMPUTED_VALUE"""),8959800.0)</f>
        <v>8959800</v>
      </c>
    </row>
    <row r="6906">
      <c r="A6906" s="3">
        <f>IFERROR(__xludf.DUMMYFUNCTION("""COMPUTED_VALUE"""),39213.666666666664)</f>
        <v>39213.66667</v>
      </c>
      <c r="B6906" s="2">
        <f>IFERROR(__xludf.DUMMYFUNCTION("""COMPUTED_VALUE"""),100.05)</f>
        <v>100.05</v>
      </c>
      <c r="C6906" s="2">
        <f>IFERROR(__xludf.DUMMYFUNCTION("""COMPUTED_VALUE"""),101.24)</f>
        <v>101.24</v>
      </c>
      <c r="D6906" s="2">
        <f>IFERROR(__xludf.DUMMYFUNCTION("""COMPUTED_VALUE"""),99.98)</f>
        <v>99.98</v>
      </c>
      <c r="E6906" s="2">
        <f>IFERROR(__xludf.DUMMYFUNCTION("""COMPUTED_VALUE"""),101.23)</f>
        <v>101.23</v>
      </c>
      <c r="F6906" s="2">
        <f>IFERROR(__xludf.DUMMYFUNCTION("""COMPUTED_VALUE"""),6026250.0)</f>
        <v>6026250</v>
      </c>
    </row>
    <row r="6907">
      <c r="A6907" s="3">
        <f>IFERROR(__xludf.DUMMYFUNCTION("""COMPUTED_VALUE"""),39216.666666666664)</f>
        <v>39216.66667</v>
      </c>
      <c r="B6907" s="2">
        <f>IFERROR(__xludf.DUMMYFUNCTION("""COMPUTED_VALUE"""),101.23)</f>
        <v>101.23</v>
      </c>
      <c r="C6907" s="2">
        <f>IFERROR(__xludf.DUMMYFUNCTION("""COMPUTED_VALUE"""),101.49)</f>
        <v>101.49</v>
      </c>
      <c r="D6907" s="2">
        <f>IFERROR(__xludf.DUMMYFUNCTION("""COMPUTED_VALUE"""),100.09)</f>
        <v>100.09</v>
      </c>
      <c r="E6907" s="2">
        <f>IFERROR(__xludf.DUMMYFUNCTION("""COMPUTED_VALUE"""),100.84)</f>
        <v>100.84</v>
      </c>
      <c r="F6907" s="2">
        <f>IFERROR(__xludf.DUMMYFUNCTION("""COMPUTED_VALUE"""),5732600.0)</f>
        <v>5732600</v>
      </c>
    </row>
    <row r="6908">
      <c r="A6908" s="3">
        <f>IFERROR(__xludf.DUMMYFUNCTION("""COMPUTED_VALUE"""),39217.666666666664)</f>
        <v>39217.66667</v>
      </c>
      <c r="B6908" s="2">
        <f>IFERROR(__xludf.DUMMYFUNCTION("""COMPUTED_VALUE"""),100.77)</f>
        <v>100.77</v>
      </c>
      <c r="C6908" s="2">
        <f>IFERROR(__xludf.DUMMYFUNCTION("""COMPUTED_VALUE"""),101.06)</f>
        <v>101.06</v>
      </c>
      <c r="D6908" s="2">
        <f>IFERROR(__xludf.DUMMYFUNCTION("""COMPUTED_VALUE"""),100.01)</f>
        <v>100.01</v>
      </c>
      <c r="E6908" s="2">
        <f>IFERROR(__xludf.DUMMYFUNCTION("""COMPUTED_VALUE"""),100.13)</f>
        <v>100.13</v>
      </c>
      <c r="F6908" s="2">
        <f>IFERROR(__xludf.DUMMYFUNCTION("""COMPUTED_VALUE"""),6104300.0)</f>
        <v>6104300</v>
      </c>
    </row>
    <row r="6909">
      <c r="A6909" s="3">
        <f>IFERROR(__xludf.DUMMYFUNCTION("""COMPUTED_VALUE"""),39218.666666666664)</f>
        <v>39218.66667</v>
      </c>
      <c r="B6909" s="2">
        <f>IFERROR(__xludf.DUMMYFUNCTION("""COMPUTED_VALUE"""),100.07)</f>
        <v>100.07</v>
      </c>
      <c r="C6909" s="2">
        <f>IFERROR(__xludf.DUMMYFUNCTION("""COMPUTED_VALUE"""),101.14)</f>
        <v>101.14</v>
      </c>
      <c r="D6909" s="2">
        <f>IFERROR(__xludf.DUMMYFUNCTION("""COMPUTED_VALUE"""),99.84)</f>
        <v>99.84</v>
      </c>
      <c r="E6909" s="2">
        <f>IFERROR(__xludf.DUMMYFUNCTION("""COMPUTED_VALUE"""),101.12)</f>
        <v>101.12</v>
      </c>
      <c r="F6909" s="2">
        <f>IFERROR(__xludf.DUMMYFUNCTION("""COMPUTED_VALUE"""),5613508.0)</f>
        <v>5613508</v>
      </c>
    </row>
    <row r="6910">
      <c r="A6910" s="3">
        <f>IFERROR(__xludf.DUMMYFUNCTION("""COMPUTED_VALUE"""),39219.666666666664)</f>
        <v>39219.66667</v>
      </c>
      <c r="B6910" s="2">
        <f>IFERROR(__xludf.DUMMYFUNCTION("""COMPUTED_VALUE"""),100.77)</f>
        <v>100.77</v>
      </c>
      <c r="C6910" s="2">
        <f>IFERROR(__xludf.DUMMYFUNCTION("""COMPUTED_VALUE"""),101.47)</f>
        <v>101.47</v>
      </c>
      <c r="D6910" s="2">
        <f>IFERROR(__xludf.DUMMYFUNCTION("""COMPUTED_VALUE"""),100.03)</f>
        <v>100.03</v>
      </c>
      <c r="E6910" s="2">
        <f>IFERROR(__xludf.DUMMYFUNCTION("""COMPUTED_VALUE"""),100.59)</f>
        <v>100.59</v>
      </c>
      <c r="F6910" s="2">
        <f>IFERROR(__xludf.DUMMYFUNCTION("""COMPUTED_VALUE"""),7720700.0)</f>
        <v>7720700</v>
      </c>
    </row>
    <row r="6911">
      <c r="A6911" s="3">
        <f>IFERROR(__xludf.DUMMYFUNCTION("""COMPUTED_VALUE"""),39220.666666666664)</f>
        <v>39220.66667</v>
      </c>
      <c r="B6911" s="2">
        <f>IFERROR(__xludf.DUMMYFUNCTION("""COMPUTED_VALUE"""),101.2)</f>
        <v>101.2</v>
      </c>
      <c r="C6911" s="2">
        <f>IFERROR(__xludf.DUMMYFUNCTION("""COMPUTED_VALUE"""),103.21)</f>
        <v>103.21</v>
      </c>
      <c r="D6911" s="2">
        <f>IFERROR(__xludf.DUMMYFUNCTION("""COMPUTED_VALUE"""),100.87)</f>
        <v>100.87</v>
      </c>
      <c r="E6911" s="2">
        <f>IFERROR(__xludf.DUMMYFUNCTION("""COMPUTED_VALUE"""),103.15)</f>
        <v>103.15</v>
      </c>
      <c r="F6911" s="2">
        <f>IFERROR(__xludf.DUMMYFUNCTION("""COMPUTED_VALUE"""),9857500.0)</f>
        <v>9857500</v>
      </c>
    </row>
    <row r="6912">
      <c r="A6912" s="3">
        <f>IFERROR(__xludf.DUMMYFUNCTION("""COMPUTED_VALUE"""),39223.666666666664)</f>
        <v>39223.66667</v>
      </c>
      <c r="B6912" s="2">
        <f>IFERROR(__xludf.DUMMYFUNCTION("""COMPUTED_VALUE"""),102.89)</f>
        <v>102.89</v>
      </c>
      <c r="C6912" s="2">
        <f>IFERROR(__xludf.DUMMYFUNCTION("""COMPUTED_VALUE"""),103.16)</f>
        <v>103.16</v>
      </c>
      <c r="D6912" s="2">
        <f>IFERROR(__xludf.DUMMYFUNCTION("""COMPUTED_VALUE"""),102.08)</f>
        <v>102.08</v>
      </c>
      <c r="E6912" s="2">
        <f>IFERROR(__xludf.DUMMYFUNCTION("""COMPUTED_VALUE"""),102.24)</f>
        <v>102.24</v>
      </c>
      <c r="F6912" s="2">
        <f>IFERROR(__xludf.DUMMYFUNCTION("""COMPUTED_VALUE"""),7534802.0)</f>
        <v>7534802</v>
      </c>
    </row>
    <row r="6913">
      <c r="A6913" s="3">
        <f>IFERROR(__xludf.DUMMYFUNCTION("""COMPUTED_VALUE"""),39224.666666666664)</f>
        <v>39224.66667</v>
      </c>
      <c r="B6913" s="2">
        <f>IFERROR(__xludf.DUMMYFUNCTION("""COMPUTED_VALUE"""),102.19)</f>
        <v>102.19</v>
      </c>
      <c r="C6913" s="2">
        <f>IFERROR(__xludf.DUMMYFUNCTION("""COMPUTED_VALUE"""),102.44)</f>
        <v>102.44</v>
      </c>
      <c r="D6913" s="2">
        <f>IFERROR(__xludf.DUMMYFUNCTION("""COMPUTED_VALUE"""),101.26)</f>
        <v>101.26</v>
      </c>
      <c r="E6913" s="2">
        <f>IFERROR(__xludf.DUMMYFUNCTION("""COMPUTED_VALUE"""),101.92)</f>
        <v>101.92</v>
      </c>
      <c r="F6913" s="2">
        <f>IFERROR(__xludf.DUMMYFUNCTION("""COMPUTED_VALUE"""),5314320.0)</f>
        <v>5314320</v>
      </c>
    </row>
    <row r="6914">
      <c r="A6914" s="3">
        <f>IFERROR(__xludf.DUMMYFUNCTION("""COMPUTED_VALUE"""),39225.666666666664)</f>
        <v>39225.66667</v>
      </c>
      <c r="B6914" s="2">
        <f>IFERROR(__xludf.DUMMYFUNCTION("""COMPUTED_VALUE"""),102.01)</f>
        <v>102.01</v>
      </c>
      <c r="C6914" s="2">
        <f>IFERROR(__xludf.DUMMYFUNCTION("""COMPUTED_VALUE"""),102.2)</f>
        <v>102.2</v>
      </c>
      <c r="D6914" s="2">
        <f>IFERROR(__xludf.DUMMYFUNCTION("""COMPUTED_VALUE"""),100.53)</f>
        <v>100.53</v>
      </c>
      <c r="E6914" s="2">
        <f>IFERROR(__xludf.DUMMYFUNCTION("""COMPUTED_VALUE"""),100.85)</f>
        <v>100.85</v>
      </c>
      <c r="F6914" s="2">
        <f>IFERROR(__xludf.DUMMYFUNCTION("""COMPUTED_VALUE"""),4396825.0)</f>
        <v>4396825</v>
      </c>
    </row>
    <row r="6915">
      <c r="A6915" s="3">
        <f>IFERROR(__xludf.DUMMYFUNCTION("""COMPUTED_VALUE"""),39226.666666666664)</f>
        <v>39226.66667</v>
      </c>
      <c r="B6915" s="2">
        <f>IFERROR(__xludf.DUMMYFUNCTION("""COMPUTED_VALUE"""),100.66)</f>
        <v>100.66</v>
      </c>
      <c r="C6915" s="2">
        <f>IFERROR(__xludf.DUMMYFUNCTION("""COMPUTED_VALUE"""),101.23)</f>
        <v>101.23</v>
      </c>
      <c r="D6915" s="2">
        <f>IFERROR(__xludf.DUMMYFUNCTION("""COMPUTED_VALUE"""),98.93)</f>
        <v>98.93</v>
      </c>
      <c r="E6915" s="2">
        <f>IFERROR(__xludf.DUMMYFUNCTION("""COMPUTED_VALUE"""),99.29)</f>
        <v>99.29</v>
      </c>
      <c r="F6915" s="2">
        <f>IFERROR(__xludf.DUMMYFUNCTION("""COMPUTED_VALUE"""),6927000.0)</f>
        <v>6927000</v>
      </c>
    </row>
    <row r="6916">
      <c r="A6916" s="3">
        <f>IFERROR(__xludf.DUMMYFUNCTION("""COMPUTED_VALUE"""),39227.666666666664)</f>
        <v>39227.66667</v>
      </c>
      <c r="B6916" s="2">
        <f>IFERROR(__xludf.DUMMYFUNCTION("""COMPUTED_VALUE"""),99.61)</f>
        <v>99.61</v>
      </c>
      <c r="C6916" s="2">
        <f>IFERROR(__xludf.DUMMYFUNCTION("""COMPUTED_VALUE"""),100.7)</f>
        <v>100.7</v>
      </c>
      <c r="D6916" s="2">
        <f>IFERROR(__xludf.DUMMYFUNCTION("""COMPUTED_VALUE"""),99.19)</f>
        <v>99.19</v>
      </c>
      <c r="E6916" s="2">
        <f>IFERROR(__xludf.DUMMYFUNCTION("""COMPUTED_VALUE"""),100.46)</f>
        <v>100.46</v>
      </c>
      <c r="F6916" s="2">
        <f>IFERROR(__xludf.DUMMYFUNCTION("""COMPUTED_VALUE"""),6123000.0)</f>
        <v>6123000</v>
      </c>
    </row>
    <row r="6917">
      <c r="A6917" s="3">
        <f>IFERROR(__xludf.DUMMYFUNCTION("""COMPUTED_VALUE"""),39231.666666666664)</f>
        <v>39231.66667</v>
      </c>
      <c r="B6917" s="2">
        <f>IFERROR(__xludf.DUMMYFUNCTION("""COMPUTED_VALUE"""),100.65)</f>
        <v>100.65</v>
      </c>
      <c r="C6917" s="2">
        <f>IFERROR(__xludf.DUMMYFUNCTION("""COMPUTED_VALUE"""),101.85)</f>
        <v>101.85</v>
      </c>
      <c r="D6917" s="2">
        <f>IFERROR(__xludf.DUMMYFUNCTION("""COMPUTED_VALUE"""),100.58)</f>
        <v>100.58</v>
      </c>
      <c r="E6917" s="2">
        <f>IFERROR(__xludf.DUMMYFUNCTION("""COMPUTED_VALUE"""),101.16)</f>
        <v>101.16</v>
      </c>
      <c r="F6917" s="2">
        <f>IFERROR(__xludf.DUMMYFUNCTION("""COMPUTED_VALUE"""),5420700.0)</f>
        <v>5420700</v>
      </c>
    </row>
    <row r="6918">
      <c r="A6918" s="3">
        <f>IFERROR(__xludf.DUMMYFUNCTION("""COMPUTED_VALUE"""),39232.666666666664)</f>
        <v>39232.66667</v>
      </c>
      <c r="B6918" s="2">
        <f>IFERROR(__xludf.DUMMYFUNCTION("""COMPUTED_VALUE"""),100.63)</f>
        <v>100.63</v>
      </c>
      <c r="C6918" s="2">
        <f>IFERROR(__xludf.DUMMYFUNCTION("""COMPUTED_VALUE"""),102.3)</f>
        <v>102.3</v>
      </c>
      <c r="D6918" s="2">
        <f>IFERROR(__xludf.DUMMYFUNCTION("""COMPUTED_VALUE"""),100.49)</f>
        <v>100.49</v>
      </c>
      <c r="E6918" s="2">
        <f>IFERROR(__xludf.DUMMYFUNCTION("""COMPUTED_VALUE"""),102.14)</f>
        <v>102.14</v>
      </c>
      <c r="F6918" s="2">
        <f>IFERROR(__xludf.DUMMYFUNCTION("""COMPUTED_VALUE"""),7401100.0)</f>
        <v>7401100</v>
      </c>
    </row>
    <row r="6919">
      <c r="A6919" s="3">
        <f>IFERROR(__xludf.DUMMYFUNCTION("""COMPUTED_VALUE"""),39233.666666666664)</f>
        <v>39233.66667</v>
      </c>
      <c r="B6919" s="2">
        <f>IFERROR(__xludf.DUMMYFUNCTION("""COMPUTED_VALUE"""),102.45)</f>
        <v>102.45</v>
      </c>
      <c r="C6919" s="2">
        <f>IFERROR(__xludf.DUMMYFUNCTION("""COMPUTED_VALUE"""),102.84)</f>
        <v>102.84</v>
      </c>
      <c r="D6919" s="2">
        <f>IFERROR(__xludf.DUMMYFUNCTION("""COMPUTED_VALUE"""),101.25)</f>
        <v>101.25</v>
      </c>
      <c r="E6919" s="2">
        <f>IFERROR(__xludf.DUMMYFUNCTION("""COMPUTED_VALUE"""),101.82)</f>
        <v>101.82</v>
      </c>
      <c r="F6919" s="2">
        <f>IFERROR(__xludf.DUMMYFUNCTION("""COMPUTED_VALUE"""),5106300.0)</f>
        <v>5106300</v>
      </c>
    </row>
    <row r="6920">
      <c r="A6920" s="3">
        <f>IFERROR(__xludf.DUMMYFUNCTION("""COMPUTED_VALUE"""),39234.666666666664)</f>
        <v>39234.66667</v>
      </c>
      <c r="B6920" s="2">
        <f>IFERROR(__xludf.DUMMYFUNCTION("""COMPUTED_VALUE"""),101.84)</f>
        <v>101.84</v>
      </c>
      <c r="C6920" s="2">
        <f>IFERROR(__xludf.DUMMYFUNCTION("""COMPUTED_VALUE"""),102.43)</f>
        <v>102.43</v>
      </c>
      <c r="D6920" s="2">
        <f>IFERROR(__xludf.DUMMYFUNCTION("""COMPUTED_VALUE"""),101.27)</f>
        <v>101.27</v>
      </c>
      <c r="E6920" s="2">
        <f>IFERROR(__xludf.DUMMYFUNCTION("""COMPUTED_VALUE"""),101.76)</f>
        <v>101.76</v>
      </c>
      <c r="F6920" s="2">
        <f>IFERROR(__xludf.DUMMYFUNCTION("""COMPUTED_VALUE"""),5289190.0)</f>
        <v>5289190</v>
      </c>
    </row>
    <row r="6921">
      <c r="A6921" s="3">
        <f>IFERROR(__xludf.DUMMYFUNCTION("""COMPUTED_VALUE"""),39237.666666666664)</f>
        <v>39237.66667</v>
      </c>
      <c r="B6921" s="2">
        <f>IFERROR(__xludf.DUMMYFUNCTION("""COMPUTED_VALUE"""),101.72)</f>
        <v>101.72</v>
      </c>
      <c r="C6921" s="2">
        <f>IFERROR(__xludf.DUMMYFUNCTION("""COMPUTED_VALUE"""),101.81)</f>
        <v>101.81</v>
      </c>
      <c r="D6921" s="2">
        <f>IFERROR(__xludf.DUMMYFUNCTION("""COMPUTED_VALUE"""),100.85)</f>
        <v>100.85</v>
      </c>
      <c r="E6921" s="2">
        <f>IFERROR(__xludf.DUMMYFUNCTION("""COMPUTED_VALUE"""),101.47)</f>
        <v>101.47</v>
      </c>
      <c r="F6921" s="2">
        <f>IFERROR(__xludf.DUMMYFUNCTION("""COMPUTED_VALUE"""),4573470.0)</f>
        <v>4573470</v>
      </c>
    </row>
    <row r="6922">
      <c r="A6922" s="3">
        <f>IFERROR(__xludf.DUMMYFUNCTION("""COMPUTED_VALUE"""),39238.666666666664)</f>
        <v>39238.66667</v>
      </c>
      <c r="B6922" s="2">
        <f>IFERROR(__xludf.DUMMYFUNCTION("""COMPUTED_VALUE"""),101.47)</f>
        <v>101.47</v>
      </c>
      <c r="C6922" s="2">
        <f>IFERROR(__xludf.DUMMYFUNCTION("""COMPUTED_VALUE"""),101.77)</f>
        <v>101.77</v>
      </c>
      <c r="D6922" s="2">
        <f>IFERROR(__xludf.DUMMYFUNCTION("""COMPUTED_VALUE"""),100.81)</f>
        <v>100.81</v>
      </c>
      <c r="E6922" s="2">
        <f>IFERROR(__xludf.DUMMYFUNCTION("""COMPUTED_VALUE"""),101.09)</f>
        <v>101.09</v>
      </c>
      <c r="F6922" s="2">
        <f>IFERROR(__xludf.DUMMYFUNCTION("""COMPUTED_VALUE"""),5247000.0)</f>
        <v>5247000</v>
      </c>
    </row>
    <row r="6923">
      <c r="A6923" s="3">
        <f>IFERROR(__xludf.DUMMYFUNCTION("""COMPUTED_VALUE"""),39239.666666666664)</f>
        <v>39239.66667</v>
      </c>
      <c r="B6923" s="2">
        <f>IFERROR(__xludf.DUMMYFUNCTION("""COMPUTED_VALUE"""),101.09)</f>
        <v>101.09</v>
      </c>
      <c r="C6923" s="2">
        <f>IFERROR(__xludf.DUMMYFUNCTION("""COMPUTED_VALUE"""),101.09)</f>
        <v>101.09</v>
      </c>
      <c r="D6923" s="2">
        <f>IFERROR(__xludf.DUMMYFUNCTION("""COMPUTED_VALUE"""),97.8)</f>
        <v>97.8</v>
      </c>
      <c r="E6923" s="2">
        <f>IFERROR(__xludf.DUMMYFUNCTION("""COMPUTED_VALUE"""),97.82)</f>
        <v>97.82</v>
      </c>
      <c r="F6923" s="2">
        <f>IFERROR(__xludf.DUMMYFUNCTION("""COMPUTED_VALUE"""),3.0774276E7)</f>
        <v>30774276</v>
      </c>
    </row>
    <row r="6924">
      <c r="A6924" s="3">
        <f>IFERROR(__xludf.DUMMYFUNCTION("""COMPUTED_VALUE"""),39240.666666666664)</f>
        <v>39240.66667</v>
      </c>
      <c r="B6924" s="2">
        <f>IFERROR(__xludf.DUMMYFUNCTION("""COMPUTED_VALUE"""),97.95)</f>
        <v>97.95</v>
      </c>
      <c r="C6924" s="2">
        <f>IFERROR(__xludf.DUMMYFUNCTION("""COMPUTED_VALUE"""),98.54)</f>
        <v>98.54</v>
      </c>
      <c r="D6924" s="2">
        <f>IFERROR(__xludf.DUMMYFUNCTION("""COMPUTED_VALUE"""),97.01)</f>
        <v>97.01</v>
      </c>
      <c r="E6924" s="2">
        <f>IFERROR(__xludf.DUMMYFUNCTION("""COMPUTED_VALUE"""),97.24)</f>
        <v>97.24</v>
      </c>
      <c r="F6924" s="2">
        <f>IFERROR(__xludf.DUMMYFUNCTION("""COMPUTED_VALUE"""),1.4389421E7)</f>
        <v>14389421</v>
      </c>
    </row>
    <row r="6925">
      <c r="A6925" s="3">
        <f>IFERROR(__xludf.DUMMYFUNCTION("""COMPUTED_VALUE"""),39241.666666666664)</f>
        <v>39241.66667</v>
      </c>
      <c r="B6925" s="2">
        <f>IFERROR(__xludf.DUMMYFUNCTION("""COMPUTED_VALUE"""),97.24)</f>
        <v>97.24</v>
      </c>
      <c r="C6925" s="2">
        <f>IFERROR(__xludf.DUMMYFUNCTION("""COMPUTED_VALUE"""),98.58)</f>
        <v>98.58</v>
      </c>
      <c r="D6925" s="2">
        <f>IFERROR(__xludf.DUMMYFUNCTION("""COMPUTED_VALUE"""),97.19)</f>
        <v>97.19</v>
      </c>
      <c r="E6925" s="2">
        <f>IFERROR(__xludf.DUMMYFUNCTION("""COMPUTED_VALUE"""),98.45)</f>
        <v>98.45</v>
      </c>
      <c r="F6925" s="2">
        <f>IFERROR(__xludf.DUMMYFUNCTION("""COMPUTED_VALUE"""),8223300.0)</f>
        <v>8223300</v>
      </c>
    </row>
    <row r="6926">
      <c r="A6926" s="3">
        <f>IFERROR(__xludf.DUMMYFUNCTION("""COMPUTED_VALUE"""),39244.666666666664)</f>
        <v>39244.66667</v>
      </c>
      <c r="B6926" s="2">
        <f>IFERROR(__xludf.DUMMYFUNCTION("""COMPUTED_VALUE"""),98.43)</f>
        <v>98.43</v>
      </c>
      <c r="C6926" s="2">
        <f>IFERROR(__xludf.DUMMYFUNCTION("""COMPUTED_VALUE"""),99.34)</f>
        <v>99.34</v>
      </c>
      <c r="D6926" s="2">
        <f>IFERROR(__xludf.DUMMYFUNCTION("""COMPUTED_VALUE"""),97.9)</f>
        <v>97.9</v>
      </c>
      <c r="E6926" s="2">
        <f>IFERROR(__xludf.DUMMYFUNCTION("""COMPUTED_VALUE"""),98.59)</f>
        <v>98.59</v>
      </c>
      <c r="F6926" s="2">
        <f>IFERROR(__xludf.DUMMYFUNCTION("""COMPUTED_VALUE"""),7903004.0)</f>
        <v>7903004</v>
      </c>
    </row>
    <row r="6927">
      <c r="A6927" s="3">
        <f>IFERROR(__xludf.DUMMYFUNCTION("""COMPUTED_VALUE"""),39245.666666666664)</f>
        <v>39245.66667</v>
      </c>
      <c r="B6927" s="2">
        <f>IFERROR(__xludf.DUMMYFUNCTION("""COMPUTED_VALUE"""),98.08)</f>
        <v>98.08</v>
      </c>
      <c r="C6927" s="2">
        <f>IFERROR(__xludf.DUMMYFUNCTION("""COMPUTED_VALUE"""),98.55)</f>
        <v>98.55</v>
      </c>
      <c r="D6927" s="2">
        <f>IFERROR(__xludf.DUMMYFUNCTION("""COMPUTED_VALUE"""),97.57)</f>
        <v>97.57</v>
      </c>
      <c r="E6927" s="2">
        <f>IFERROR(__xludf.DUMMYFUNCTION("""COMPUTED_VALUE"""),97.75)</f>
        <v>97.75</v>
      </c>
      <c r="F6927" s="2">
        <f>IFERROR(__xludf.DUMMYFUNCTION("""COMPUTED_VALUE"""),5578530.0)</f>
        <v>5578530</v>
      </c>
    </row>
    <row r="6928">
      <c r="A6928" s="3">
        <f>IFERROR(__xludf.DUMMYFUNCTION("""COMPUTED_VALUE"""),39246.666666666664)</f>
        <v>39246.66667</v>
      </c>
      <c r="B6928" s="2">
        <f>IFERROR(__xludf.DUMMYFUNCTION("""COMPUTED_VALUE"""),98.24)</f>
        <v>98.24</v>
      </c>
      <c r="C6928" s="2">
        <f>IFERROR(__xludf.DUMMYFUNCTION("""COMPUTED_VALUE"""),98.63)</f>
        <v>98.63</v>
      </c>
      <c r="D6928" s="2">
        <f>IFERROR(__xludf.DUMMYFUNCTION("""COMPUTED_VALUE"""),97.52)</f>
        <v>97.52</v>
      </c>
      <c r="E6928" s="2">
        <f>IFERROR(__xludf.DUMMYFUNCTION("""COMPUTED_VALUE"""),98.5)</f>
        <v>98.5</v>
      </c>
      <c r="F6928" s="2">
        <f>IFERROR(__xludf.DUMMYFUNCTION("""COMPUTED_VALUE"""),6438338.0)</f>
        <v>6438338</v>
      </c>
    </row>
    <row r="6929">
      <c r="A6929" s="3">
        <f>IFERROR(__xludf.DUMMYFUNCTION("""COMPUTED_VALUE"""),39247.666666666664)</f>
        <v>39247.66667</v>
      </c>
      <c r="B6929" s="2">
        <f>IFERROR(__xludf.DUMMYFUNCTION("""COMPUTED_VALUE"""),98.48)</f>
        <v>98.48</v>
      </c>
      <c r="C6929" s="2">
        <f>IFERROR(__xludf.DUMMYFUNCTION("""COMPUTED_VALUE"""),99.57)</f>
        <v>99.57</v>
      </c>
      <c r="D6929" s="2">
        <f>IFERROR(__xludf.DUMMYFUNCTION("""COMPUTED_VALUE"""),98.2)</f>
        <v>98.2</v>
      </c>
      <c r="E6929" s="2">
        <f>IFERROR(__xludf.DUMMYFUNCTION("""COMPUTED_VALUE"""),99.19)</f>
        <v>99.19</v>
      </c>
      <c r="F6929" s="2">
        <f>IFERROR(__xludf.DUMMYFUNCTION("""COMPUTED_VALUE"""),5166300.0)</f>
        <v>5166300</v>
      </c>
    </row>
    <row r="6930">
      <c r="A6930" s="3">
        <f>IFERROR(__xludf.DUMMYFUNCTION("""COMPUTED_VALUE"""),39248.666666666664)</f>
        <v>39248.66667</v>
      </c>
      <c r="B6930" s="2">
        <f>IFERROR(__xludf.DUMMYFUNCTION("""COMPUTED_VALUE"""),99.34)</f>
        <v>99.34</v>
      </c>
      <c r="C6930" s="2">
        <f>IFERROR(__xludf.DUMMYFUNCTION("""COMPUTED_VALUE"""),100.47)</f>
        <v>100.47</v>
      </c>
      <c r="D6930" s="2">
        <f>IFERROR(__xludf.DUMMYFUNCTION("""COMPUTED_VALUE"""),99.22)</f>
        <v>99.22</v>
      </c>
      <c r="E6930" s="2">
        <f>IFERROR(__xludf.DUMMYFUNCTION("""COMPUTED_VALUE"""),100.38)</f>
        <v>100.38</v>
      </c>
      <c r="F6930" s="2">
        <f>IFERROR(__xludf.DUMMYFUNCTION("""COMPUTED_VALUE"""),9432708.0)</f>
        <v>9432708</v>
      </c>
    </row>
    <row r="6931">
      <c r="A6931" s="3">
        <f>IFERROR(__xludf.DUMMYFUNCTION("""COMPUTED_VALUE"""),39251.666666666664)</f>
        <v>39251.66667</v>
      </c>
      <c r="B6931" s="2">
        <f>IFERROR(__xludf.DUMMYFUNCTION("""COMPUTED_VALUE"""),100.48)</f>
        <v>100.48</v>
      </c>
      <c r="C6931" s="2">
        <f>IFERROR(__xludf.DUMMYFUNCTION("""COMPUTED_VALUE"""),100.91)</f>
        <v>100.91</v>
      </c>
      <c r="D6931" s="2">
        <f>IFERROR(__xludf.DUMMYFUNCTION("""COMPUTED_VALUE"""),100.19)</f>
        <v>100.19</v>
      </c>
      <c r="E6931" s="2">
        <f>IFERROR(__xludf.DUMMYFUNCTION("""COMPUTED_VALUE"""),100.61)</f>
        <v>100.61</v>
      </c>
      <c r="F6931" s="2">
        <f>IFERROR(__xludf.DUMMYFUNCTION("""COMPUTED_VALUE"""),6373424.0)</f>
        <v>6373424</v>
      </c>
    </row>
    <row r="6932">
      <c r="A6932" s="3">
        <f>IFERROR(__xludf.DUMMYFUNCTION("""COMPUTED_VALUE"""),39252.666666666664)</f>
        <v>39252.66667</v>
      </c>
      <c r="B6932" s="2">
        <f>IFERROR(__xludf.DUMMYFUNCTION("""COMPUTED_VALUE"""),100.2)</f>
        <v>100.2</v>
      </c>
      <c r="C6932" s="2">
        <f>IFERROR(__xludf.DUMMYFUNCTION("""COMPUTED_VALUE"""),101.88)</f>
        <v>101.88</v>
      </c>
      <c r="D6932" s="2">
        <f>IFERROR(__xludf.DUMMYFUNCTION("""COMPUTED_VALUE"""),100.2)</f>
        <v>100.2</v>
      </c>
      <c r="E6932" s="2">
        <f>IFERROR(__xludf.DUMMYFUNCTION("""COMPUTED_VALUE"""),101.72)</f>
        <v>101.72</v>
      </c>
      <c r="F6932" s="2">
        <f>IFERROR(__xludf.DUMMYFUNCTION("""COMPUTED_VALUE"""),5768300.0)</f>
        <v>5768300</v>
      </c>
    </row>
    <row r="6933">
      <c r="A6933" s="3">
        <f>IFERROR(__xludf.DUMMYFUNCTION("""COMPUTED_VALUE"""),39253.666666666664)</f>
        <v>39253.66667</v>
      </c>
      <c r="B6933" s="2">
        <f>IFERROR(__xludf.DUMMYFUNCTION("""COMPUTED_VALUE"""),101.77)</f>
        <v>101.77</v>
      </c>
      <c r="C6933" s="2">
        <f>IFERROR(__xludf.DUMMYFUNCTION("""COMPUTED_VALUE"""),102.22)</f>
        <v>102.22</v>
      </c>
      <c r="D6933" s="2">
        <f>IFERROR(__xludf.DUMMYFUNCTION("""COMPUTED_VALUE"""),101.2)</f>
        <v>101.2</v>
      </c>
      <c r="E6933" s="2">
        <f>IFERROR(__xludf.DUMMYFUNCTION("""COMPUTED_VALUE"""),101.25)</f>
        <v>101.25</v>
      </c>
      <c r="F6933" s="2">
        <f>IFERROR(__xludf.DUMMYFUNCTION("""COMPUTED_VALUE"""),6542010.0)</f>
        <v>6542010</v>
      </c>
    </row>
    <row r="6934">
      <c r="A6934" s="3">
        <f>IFERROR(__xludf.DUMMYFUNCTION("""COMPUTED_VALUE"""),39254.666666666664)</f>
        <v>39254.66667</v>
      </c>
      <c r="B6934" s="2">
        <f>IFERROR(__xludf.DUMMYFUNCTION("""COMPUTED_VALUE"""),101.06)</f>
        <v>101.06</v>
      </c>
      <c r="C6934" s="2">
        <f>IFERROR(__xludf.DUMMYFUNCTION("""COMPUTED_VALUE"""),102.2)</f>
        <v>102.2</v>
      </c>
      <c r="D6934" s="2">
        <f>IFERROR(__xludf.DUMMYFUNCTION("""COMPUTED_VALUE"""),100.87)</f>
        <v>100.87</v>
      </c>
      <c r="E6934" s="2">
        <f>IFERROR(__xludf.DUMMYFUNCTION("""COMPUTED_VALUE"""),101.82)</f>
        <v>101.82</v>
      </c>
      <c r="F6934" s="2">
        <f>IFERROR(__xludf.DUMMYFUNCTION("""COMPUTED_VALUE"""),5587800.0)</f>
        <v>5587800</v>
      </c>
    </row>
    <row r="6935">
      <c r="A6935" s="3">
        <f>IFERROR(__xludf.DUMMYFUNCTION("""COMPUTED_VALUE"""),39255.666666666664)</f>
        <v>39255.66667</v>
      </c>
      <c r="B6935" s="2">
        <f>IFERROR(__xludf.DUMMYFUNCTION("""COMPUTED_VALUE"""),101.21)</f>
        <v>101.21</v>
      </c>
      <c r="C6935" s="2">
        <f>IFERROR(__xludf.DUMMYFUNCTION("""COMPUTED_VALUE"""),101.67)</f>
        <v>101.67</v>
      </c>
      <c r="D6935" s="2">
        <f>IFERROR(__xludf.DUMMYFUNCTION("""COMPUTED_VALUE"""),99.76)</f>
        <v>99.76</v>
      </c>
      <c r="E6935" s="2">
        <f>IFERROR(__xludf.DUMMYFUNCTION("""COMPUTED_VALUE"""),99.76)</f>
        <v>99.76</v>
      </c>
      <c r="F6935" s="2">
        <f>IFERROR(__xludf.DUMMYFUNCTION("""COMPUTED_VALUE"""),1.08226E7)</f>
        <v>10822600</v>
      </c>
    </row>
    <row r="6936">
      <c r="A6936" s="3">
        <f>IFERROR(__xludf.DUMMYFUNCTION("""COMPUTED_VALUE"""),39258.666666666664)</f>
        <v>39258.66667</v>
      </c>
      <c r="B6936" s="2">
        <f>IFERROR(__xludf.DUMMYFUNCTION("""COMPUTED_VALUE"""),100.1)</f>
        <v>100.1</v>
      </c>
      <c r="C6936" s="2">
        <f>IFERROR(__xludf.DUMMYFUNCTION("""COMPUTED_VALUE"""),101.03)</f>
        <v>101.03</v>
      </c>
      <c r="D6936" s="2">
        <f>IFERROR(__xludf.DUMMYFUNCTION("""COMPUTED_VALUE"""),99.81)</f>
        <v>99.81</v>
      </c>
      <c r="E6936" s="2">
        <f>IFERROR(__xludf.DUMMYFUNCTION("""COMPUTED_VALUE"""),100.39)</f>
        <v>100.39</v>
      </c>
      <c r="F6936" s="2">
        <f>IFERROR(__xludf.DUMMYFUNCTION("""COMPUTED_VALUE"""),8477800.0)</f>
        <v>8477800</v>
      </c>
    </row>
    <row r="6937">
      <c r="A6937" s="3">
        <f>IFERROR(__xludf.DUMMYFUNCTION("""COMPUTED_VALUE"""),39259.666666666664)</f>
        <v>39259.66667</v>
      </c>
      <c r="B6937" s="2">
        <f>IFERROR(__xludf.DUMMYFUNCTION("""COMPUTED_VALUE"""),100.39)</f>
        <v>100.39</v>
      </c>
      <c r="C6937" s="2">
        <f>IFERROR(__xludf.DUMMYFUNCTION("""COMPUTED_VALUE"""),101.3)</f>
        <v>101.3</v>
      </c>
      <c r="D6937" s="2">
        <f>IFERROR(__xludf.DUMMYFUNCTION("""COMPUTED_VALUE"""),100.12)</f>
        <v>100.12</v>
      </c>
      <c r="E6937" s="2">
        <f>IFERROR(__xludf.DUMMYFUNCTION("""COMPUTED_VALUE"""),100.61)</f>
        <v>100.61</v>
      </c>
      <c r="F6937" s="2">
        <f>IFERROR(__xludf.DUMMYFUNCTION("""COMPUTED_VALUE"""),5229600.0)</f>
        <v>5229600</v>
      </c>
    </row>
    <row r="6938">
      <c r="A6938" s="3">
        <f>IFERROR(__xludf.DUMMYFUNCTION("""COMPUTED_VALUE"""),39260.666666666664)</f>
        <v>39260.66667</v>
      </c>
      <c r="B6938" s="2">
        <f>IFERROR(__xludf.DUMMYFUNCTION("""COMPUTED_VALUE"""),99.96)</f>
        <v>99.96</v>
      </c>
      <c r="C6938" s="2">
        <f>IFERROR(__xludf.DUMMYFUNCTION("""COMPUTED_VALUE"""),100.74)</f>
        <v>100.74</v>
      </c>
      <c r="D6938" s="2">
        <f>IFERROR(__xludf.DUMMYFUNCTION("""COMPUTED_VALUE"""),99.72)</f>
        <v>99.72</v>
      </c>
      <c r="E6938" s="2">
        <f>IFERROR(__xludf.DUMMYFUNCTION("""COMPUTED_VALUE"""),100.7)</f>
        <v>100.7</v>
      </c>
      <c r="F6938" s="2">
        <f>IFERROR(__xludf.DUMMYFUNCTION("""COMPUTED_VALUE"""),5403900.0)</f>
        <v>5403900</v>
      </c>
    </row>
    <row r="6939">
      <c r="A6939" s="3">
        <f>IFERROR(__xludf.DUMMYFUNCTION("""COMPUTED_VALUE"""),39261.666666666664)</f>
        <v>39261.66667</v>
      </c>
      <c r="B6939" s="2">
        <f>IFERROR(__xludf.DUMMYFUNCTION("""COMPUTED_VALUE"""),100.79)</f>
        <v>100.79</v>
      </c>
      <c r="C6939" s="2">
        <f>IFERROR(__xludf.DUMMYFUNCTION("""COMPUTED_VALUE"""),102.13)</f>
        <v>102.13</v>
      </c>
      <c r="D6939" s="2">
        <f>IFERROR(__xludf.DUMMYFUNCTION("""COMPUTED_VALUE"""),100.5)</f>
        <v>100.5</v>
      </c>
      <c r="E6939" s="2">
        <f>IFERROR(__xludf.DUMMYFUNCTION("""COMPUTED_VALUE"""),101.2)</f>
        <v>101.2</v>
      </c>
      <c r="F6939" s="2">
        <f>IFERROR(__xludf.DUMMYFUNCTION("""COMPUTED_VALUE"""),5430900.0)</f>
        <v>5430900</v>
      </c>
    </row>
    <row r="6940">
      <c r="A6940" s="3">
        <f>IFERROR(__xludf.DUMMYFUNCTION("""COMPUTED_VALUE"""),39262.666666666664)</f>
        <v>39262.66667</v>
      </c>
      <c r="B6940" s="2">
        <f>IFERROR(__xludf.DUMMYFUNCTION("""COMPUTED_VALUE"""),101.2)</f>
        <v>101.2</v>
      </c>
      <c r="C6940" s="2">
        <f>IFERROR(__xludf.DUMMYFUNCTION("""COMPUTED_VALUE"""),101.8)</f>
        <v>101.8</v>
      </c>
      <c r="D6940" s="2">
        <f>IFERROR(__xludf.DUMMYFUNCTION("""COMPUTED_VALUE"""),99.43)</f>
        <v>99.43</v>
      </c>
      <c r="E6940" s="2">
        <f>IFERROR(__xludf.DUMMYFUNCTION("""COMPUTED_VALUE"""),100.53)</f>
        <v>100.53</v>
      </c>
      <c r="F6940" s="2">
        <f>IFERROR(__xludf.DUMMYFUNCTION("""COMPUTED_VALUE"""),7018355.0)</f>
        <v>7018355</v>
      </c>
    </row>
    <row r="6941">
      <c r="A6941" s="3">
        <f>IFERROR(__xludf.DUMMYFUNCTION("""COMPUTED_VALUE"""),39265.666666666664)</f>
        <v>39265.66667</v>
      </c>
      <c r="B6941" s="2">
        <f>IFERROR(__xludf.DUMMYFUNCTION("""COMPUTED_VALUE"""),100.53)</f>
        <v>100.53</v>
      </c>
      <c r="C6941" s="2">
        <f>IFERROR(__xludf.DUMMYFUNCTION("""COMPUTED_VALUE"""),101.06)</f>
        <v>101.06</v>
      </c>
      <c r="D6941" s="2">
        <f>IFERROR(__xludf.DUMMYFUNCTION("""COMPUTED_VALUE"""),99.89)</f>
        <v>99.89</v>
      </c>
      <c r="E6941" s="2">
        <f>IFERROR(__xludf.DUMMYFUNCTION("""COMPUTED_VALUE"""),100.3)</f>
        <v>100.3</v>
      </c>
      <c r="F6941" s="2">
        <f>IFERROR(__xludf.DUMMYFUNCTION("""COMPUTED_VALUE"""),4702454.0)</f>
        <v>4702454</v>
      </c>
    </row>
    <row r="6942">
      <c r="A6942" s="3">
        <f>IFERROR(__xludf.DUMMYFUNCTION("""COMPUTED_VALUE"""),39266.666666666664)</f>
        <v>39266.66667</v>
      </c>
      <c r="B6942" s="2">
        <f>IFERROR(__xludf.DUMMYFUNCTION("""COMPUTED_VALUE"""),101.54)</f>
        <v>101.54</v>
      </c>
      <c r="C6942" s="2">
        <f>IFERROR(__xludf.DUMMYFUNCTION("""COMPUTED_VALUE"""),102.28)</f>
        <v>102.28</v>
      </c>
      <c r="D6942" s="2">
        <f>IFERROR(__xludf.DUMMYFUNCTION("""COMPUTED_VALUE"""),100.52)</f>
        <v>100.52</v>
      </c>
      <c r="E6942" s="2">
        <f>IFERROR(__xludf.DUMMYFUNCTION("""COMPUTED_VALUE"""),101.8)</f>
        <v>101.8</v>
      </c>
      <c r="F6942" s="2">
        <f>IFERROR(__xludf.DUMMYFUNCTION("""COMPUTED_VALUE"""),4220100.0)</f>
        <v>4220100</v>
      </c>
    </row>
    <row r="6943">
      <c r="A6943" s="3">
        <f>IFERROR(__xludf.DUMMYFUNCTION("""COMPUTED_VALUE"""),39268.666666666664)</f>
        <v>39268.66667</v>
      </c>
      <c r="B6943" s="2">
        <f>IFERROR(__xludf.DUMMYFUNCTION("""COMPUTED_VALUE"""),101.68)</f>
        <v>101.68</v>
      </c>
      <c r="C6943" s="2">
        <f>IFERROR(__xludf.DUMMYFUNCTION("""COMPUTED_VALUE"""),103.53)</f>
        <v>103.53</v>
      </c>
      <c r="D6943" s="2">
        <f>IFERROR(__xludf.DUMMYFUNCTION("""COMPUTED_VALUE"""),101.23)</f>
        <v>101.23</v>
      </c>
      <c r="E6943" s="2">
        <f>IFERROR(__xludf.DUMMYFUNCTION("""COMPUTED_VALUE"""),103.21)</f>
        <v>103.21</v>
      </c>
      <c r="F6943" s="2">
        <f>IFERROR(__xludf.DUMMYFUNCTION("""COMPUTED_VALUE"""),6671400.0)</f>
        <v>6671400</v>
      </c>
    </row>
    <row r="6944">
      <c r="A6944" s="3">
        <f>IFERROR(__xludf.DUMMYFUNCTION("""COMPUTED_VALUE"""),39269.666666666664)</f>
        <v>39269.66667</v>
      </c>
      <c r="B6944" s="2">
        <f>IFERROR(__xludf.DUMMYFUNCTION("""COMPUTED_VALUE"""),102.96)</f>
        <v>102.96</v>
      </c>
      <c r="C6944" s="2">
        <f>IFERROR(__xludf.DUMMYFUNCTION("""COMPUTED_VALUE"""),104.74)</f>
        <v>104.74</v>
      </c>
      <c r="D6944" s="2">
        <f>IFERROR(__xludf.DUMMYFUNCTION("""COMPUTED_VALUE"""),102.83)</f>
        <v>102.83</v>
      </c>
      <c r="E6944" s="2">
        <f>IFERROR(__xludf.DUMMYFUNCTION("""COMPUTED_VALUE"""),104.14)</f>
        <v>104.14</v>
      </c>
      <c r="F6944" s="2">
        <f>IFERROR(__xludf.DUMMYFUNCTION("""COMPUTED_VALUE"""),8977138.0)</f>
        <v>8977138</v>
      </c>
    </row>
    <row r="6945">
      <c r="A6945" s="3">
        <f>IFERROR(__xludf.DUMMYFUNCTION("""COMPUTED_VALUE"""),39272.666666666664)</f>
        <v>39272.66667</v>
      </c>
      <c r="B6945" s="2">
        <f>IFERROR(__xludf.DUMMYFUNCTION("""COMPUTED_VALUE"""),103.97)</f>
        <v>103.97</v>
      </c>
      <c r="C6945" s="2">
        <f>IFERROR(__xludf.DUMMYFUNCTION("""COMPUTED_VALUE"""),104.45)</f>
        <v>104.45</v>
      </c>
      <c r="D6945" s="2">
        <f>IFERROR(__xludf.DUMMYFUNCTION("""COMPUTED_VALUE"""),103.35)</f>
        <v>103.35</v>
      </c>
      <c r="E6945" s="2">
        <f>IFERROR(__xludf.DUMMYFUNCTION("""COMPUTED_VALUE"""),104.08)</f>
        <v>104.08</v>
      </c>
      <c r="F6945" s="2">
        <f>IFERROR(__xludf.DUMMYFUNCTION("""COMPUTED_VALUE"""),6046268.0)</f>
        <v>6046268</v>
      </c>
    </row>
    <row r="6946">
      <c r="A6946" s="3">
        <f>IFERROR(__xludf.DUMMYFUNCTION("""COMPUTED_VALUE"""),39273.666666666664)</f>
        <v>39273.66667</v>
      </c>
      <c r="B6946" s="2">
        <f>IFERROR(__xludf.DUMMYFUNCTION("""COMPUTED_VALUE"""),103.68)</f>
        <v>103.68</v>
      </c>
      <c r="C6946" s="2">
        <f>IFERROR(__xludf.DUMMYFUNCTION("""COMPUTED_VALUE"""),104.26)</f>
        <v>104.26</v>
      </c>
      <c r="D6946" s="2">
        <f>IFERROR(__xludf.DUMMYFUNCTION("""COMPUTED_VALUE"""),103.4)</f>
        <v>103.4</v>
      </c>
      <c r="E6946" s="2">
        <f>IFERROR(__xludf.DUMMYFUNCTION("""COMPUTED_VALUE"""),103.76)</f>
        <v>103.76</v>
      </c>
      <c r="F6946" s="2">
        <f>IFERROR(__xludf.DUMMYFUNCTION("""COMPUTED_VALUE"""),6209300.0)</f>
        <v>6209300</v>
      </c>
    </row>
    <row r="6947">
      <c r="A6947" s="3">
        <f>IFERROR(__xludf.DUMMYFUNCTION("""COMPUTED_VALUE"""),39274.666666666664)</f>
        <v>39274.66667</v>
      </c>
      <c r="B6947" s="2">
        <f>IFERROR(__xludf.DUMMYFUNCTION("""COMPUTED_VALUE"""),103.16)</f>
        <v>103.16</v>
      </c>
      <c r="C6947" s="2">
        <f>IFERROR(__xludf.DUMMYFUNCTION("""COMPUTED_VALUE"""),104.69)</f>
        <v>104.69</v>
      </c>
      <c r="D6947" s="2">
        <f>IFERROR(__xludf.DUMMYFUNCTION("""COMPUTED_VALUE"""),103.16)</f>
        <v>103.16</v>
      </c>
      <c r="E6947" s="2">
        <f>IFERROR(__xludf.DUMMYFUNCTION("""COMPUTED_VALUE"""),104.21)</f>
        <v>104.21</v>
      </c>
      <c r="F6947" s="2">
        <f>IFERROR(__xludf.DUMMYFUNCTION("""COMPUTED_VALUE"""),5889600.0)</f>
        <v>5889600</v>
      </c>
    </row>
    <row r="6948">
      <c r="A6948" s="3">
        <f>IFERROR(__xludf.DUMMYFUNCTION("""COMPUTED_VALUE"""),39275.666666666664)</f>
        <v>39275.66667</v>
      </c>
      <c r="B6948" s="2">
        <f>IFERROR(__xludf.DUMMYFUNCTION("""COMPUTED_VALUE"""),104.4)</f>
        <v>104.4</v>
      </c>
      <c r="C6948" s="2">
        <f>IFERROR(__xludf.DUMMYFUNCTION("""COMPUTED_VALUE"""),104.73)</f>
        <v>104.73</v>
      </c>
      <c r="D6948" s="2">
        <f>IFERROR(__xludf.DUMMYFUNCTION("""COMPUTED_VALUE"""),103.37)</f>
        <v>103.37</v>
      </c>
      <c r="E6948" s="2">
        <f>IFERROR(__xludf.DUMMYFUNCTION("""COMPUTED_VALUE"""),104.38)</f>
        <v>104.38</v>
      </c>
      <c r="F6948" s="2">
        <f>IFERROR(__xludf.DUMMYFUNCTION("""COMPUTED_VALUE"""),9544093.0)</f>
        <v>9544093</v>
      </c>
    </row>
    <row r="6949">
      <c r="A6949" s="3">
        <f>IFERROR(__xludf.DUMMYFUNCTION("""COMPUTED_VALUE"""),39276.666666666664)</f>
        <v>39276.66667</v>
      </c>
      <c r="B6949" s="2">
        <f>IFERROR(__xludf.DUMMYFUNCTION("""COMPUTED_VALUE"""),103.83)</f>
        <v>103.83</v>
      </c>
      <c r="C6949" s="2">
        <f>IFERROR(__xludf.DUMMYFUNCTION("""COMPUTED_VALUE"""),104.3)</f>
        <v>104.3</v>
      </c>
      <c r="D6949" s="2">
        <f>IFERROR(__xludf.DUMMYFUNCTION("""COMPUTED_VALUE"""),103.25)</f>
        <v>103.25</v>
      </c>
      <c r="E6949" s="2">
        <f>IFERROR(__xludf.DUMMYFUNCTION("""COMPUTED_VALUE"""),103.73)</f>
        <v>103.73</v>
      </c>
      <c r="F6949" s="2">
        <f>IFERROR(__xludf.DUMMYFUNCTION("""COMPUTED_VALUE"""),7124067.0)</f>
        <v>7124067</v>
      </c>
    </row>
    <row r="6950">
      <c r="A6950" s="3">
        <f>IFERROR(__xludf.DUMMYFUNCTION("""COMPUTED_VALUE"""),39279.666666666664)</f>
        <v>39279.66667</v>
      </c>
      <c r="B6950" s="2">
        <f>IFERROR(__xludf.DUMMYFUNCTION("""COMPUTED_VALUE"""),103.45)</f>
        <v>103.45</v>
      </c>
      <c r="C6950" s="2">
        <f>IFERROR(__xludf.DUMMYFUNCTION("""COMPUTED_VALUE"""),105.11)</f>
        <v>105.11</v>
      </c>
      <c r="D6950" s="2">
        <f>IFERROR(__xludf.DUMMYFUNCTION("""COMPUTED_VALUE"""),103.45)</f>
        <v>103.45</v>
      </c>
      <c r="E6950" s="2">
        <f>IFERROR(__xludf.DUMMYFUNCTION("""COMPUTED_VALUE"""),104.74)</f>
        <v>104.74</v>
      </c>
      <c r="F6950" s="2">
        <f>IFERROR(__xludf.DUMMYFUNCTION("""COMPUTED_VALUE"""),8866296.0)</f>
        <v>8866296</v>
      </c>
    </row>
    <row r="6951">
      <c r="A6951" s="3">
        <f>IFERROR(__xludf.DUMMYFUNCTION("""COMPUTED_VALUE"""),39280.666666666664)</f>
        <v>39280.66667</v>
      </c>
      <c r="B6951" s="2">
        <f>IFERROR(__xludf.DUMMYFUNCTION("""COMPUTED_VALUE"""),104.52)</f>
        <v>104.52</v>
      </c>
      <c r="C6951" s="2">
        <f>IFERROR(__xludf.DUMMYFUNCTION("""COMPUTED_VALUE"""),106.47)</f>
        <v>106.47</v>
      </c>
      <c r="D6951" s="2">
        <f>IFERROR(__xludf.DUMMYFUNCTION("""COMPUTED_VALUE"""),104.52)</f>
        <v>104.52</v>
      </c>
      <c r="E6951" s="2">
        <f>IFERROR(__xludf.DUMMYFUNCTION("""COMPUTED_VALUE"""),105.8)</f>
        <v>105.8</v>
      </c>
      <c r="F6951" s="2">
        <f>IFERROR(__xludf.DUMMYFUNCTION("""COMPUTED_VALUE"""),7619829.0)</f>
        <v>7619829</v>
      </c>
    </row>
    <row r="6952">
      <c r="A6952" s="3">
        <f>IFERROR(__xludf.DUMMYFUNCTION("""COMPUTED_VALUE"""),39281.666666666664)</f>
        <v>39281.66667</v>
      </c>
      <c r="B6952" s="2">
        <f>IFERROR(__xludf.DUMMYFUNCTION("""COMPUTED_VALUE"""),105.43)</f>
        <v>105.43</v>
      </c>
      <c r="C6952" s="2">
        <f>IFERROR(__xludf.DUMMYFUNCTION("""COMPUTED_VALUE"""),106.86)</f>
        <v>106.86</v>
      </c>
      <c r="D6952" s="2">
        <f>IFERROR(__xludf.DUMMYFUNCTION("""COMPUTED_VALUE"""),105.11)</f>
        <v>105.11</v>
      </c>
      <c r="E6952" s="2">
        <f>IFERROR(__xludf.DUMMYFUNCTION("""COMPUTED_VALUE"""),106.1)</f>
        <v>106.1</v>
      </c>
      <c r="F6952" s="2">
        <f>IFERROR(__xludf.DUMMYFUNCTION("""COMPUTED_VALUE"""),1.0154029E7)</f>
        <v>10154029</v>
      </c>
    </row>
    <row r="6953">
      <c r="A6953" s="3">
        <f>IFERROR(__xludf.DUMMYFUNCTION("""COMPUTED_VALUE"""),39282.666666666664)</f>
        <v>39282.66667</v>
      </c>
      <c r="B6953" s="2">
        <f>IFERROR(__xludf.DUMMYFUNCTION("""COMPUTED_VALUE"""),110.45)</f>
        <v>110.45</v>
      </c>
      <c r="C6953" s="2">
        <f>IFERROR(__xludf.DUMMYFUNCTION("""COMPUTED_VALUE"""),111.26)</f>
        <v>111.26</v>
      </c>
      <c r="D6953" s="2">
        <f>IFERROR(__xludf.DUMMYFUNCTION("""COMPUTED_VALUE"""),109.51)</f>
        <v>109.51</v>
      </c>
      <c r="E6953" s="2">
        <f>IFERROR(__xludf.DUMMYFUNCTION("""COMPUTED_VALUE"""),110.67)</f>
        <v>110.67</v>
      </c>
      <c r="F6953" s="2">
        <f>IFERROR(__xludf.DUMMYFUNCTION("""COMPUTED_VALUE"""),1.7284008E7)</f>
        <v>17284008</v>
      </c>
    </row>
    <row r="6954">
      <c r="A6954" s="3">
        <f>IFERROR(__xludf.DUMMYFUNCTION("""COMPUTED_VALUE"""),39283.666666666664)</f>
        <v>39283.66667</v>
      </c>
      <c r="B6954" s="2">
        <f>IFERROR(__xludf.DUMMYFUNCTION("""COMPUTED_VALUE"""),110.31)</f>
        <v>110.31</v>
      </c>
      <c r="C6954" s="2">
        <f>IFERROR(__xludf.DUMMYFUNCTION("""COMPUTED_VALUE"""),110.67)</f>
        <v>110.67</v>
      </c>
      <c r="D6954" s="2">
        <f>IFERROR(__xludf.DUMMYFUNCTION("""COMPUTED_VALUE"""),108.83)</f>
        <v>108.83</v>
      </c>
      <c r="E6954" s="2">
        <f>IFERROR(__xludf.DUMMYFUNCTION("""COMPUTED_VALUE"""),109.66)</f>
        <v>109.66</v>
      </c>
      <c r="F6954" s="2">
        <f>IFERROR(__xludf.DUMMYFUNCTION("""COMPUTED_VALUE"""),1.17063E7)</f>
        <v>11706300</v>
      </c>
    </row>
    <row r="6955">
      <c r="A6955" s="3">
        <f>IFERROR(__xludf.DUMMYFUNCTION("""COMPUTED_VALUE"""),39286.666666666664)</f>
        <v>39286.66667</v>
      </c>
      <c r="B6955" s="2">
        <f>IFERROR(__xludf.DUMMYFUNCTION("""COMPUTED_VALUE"""),110.08)</f>
        <v>110.08</v>
      </c>
      <c r="C6955" s="2">
        <f>IFERROR(__xludf.DUMMYFUNCTION("""COMPUTED_VALUE"""),111.21)</f>
        <v>111.21</v>
      </c>
      <c r="D6955" s="2">
        <f>IFERROR(__xludf.DUMMYFUNCTION("""COMPUTED_VALUE"""),109.7)</f>
        <v>109.7</v>
      </c>
      <c r="E6955" s="2">
        <f>IFERROR(__xludf.DUMMYFUNCTION("""COMPUTED_VALUE"""),111.16)</f>
        <v>111.16</v>
      </c>
      <c r="F6955" s="2">
        <f>IFERROR(__xludf.DUMMYFUNCTION("""COMPUTED_VALUE"""),8043200.0)</f>
        <v>8043200</v>
      </c>
    </row>
    <row r="6956">
      <c r="A6956" s="3">
        <f>IFERROR(__xludf.DUMMYFUNCTION("""COMPUTED_VALUE"""),39287.666666666664)</f>
        <v>39287.66667</v>
      </c>
      <c r="B6956" s="2">
        <f>IFERROR(__xludf.DUMMYFUNCTION("""COMPUTED_VALUE"""),110.57)</f>
        <v>110.57</v>
      </c>
      <c r="C6956" s="2">
        <f>IFERROR(__xludf.DUMMYFUNCTION("""COMPUTED_VALUE"""),111.75)</f>
        <v>111.75</v>
      </c>
      <c r="D6956" s="2">
        <f>IFERROR(__xludf.DUMMYFUNCTION("""COMPUTED_VALUE"""),109.86)</f>
        <v>109.86</v>
      </c>
      <c r="E6956" s="2">
        <f>IFERROR(__xludf.DUMMYFUNCTION("""COMPUTED_VALUE"""),110.96)</f>
        <v>110.96</v>
      </c>
      <c r="F6956" s="2">
        <f>IFERROR(__xludf.DUMMYFUNCTION("""COMPUTED_VALUE"""),1.0499791E7)</f>
        <v>10499791</v>
      </c>
    </row>
    <row r="6957">
      <c r="A6957" s="3">
        <f>IFERROR(__xludf.DUMMYFUNCTION("""COMPUTED_VALUE"""),39288.666666666664)</f>
        <v>39288.66667</v>
      </c>
      <c r="B6957" s="2">
        <f>IFERROR(__xludf.DUMMYFUNCTION("""COMPUTED_VALUE"""),111.55)</f>
        <v>111.55</v>
      </c>
      <c r="C6957" s="2">
        <f>IFERROR(__xludf.DUMMYFUNCTION("""COMPUTED_VALUE"""),113.07)</f>
        <v>113.07</v>
      </c>
      <c r="D6957" s="2">
        <f>IFERROR(__xludf.DUMMYFUNCTION("""COMPUTED_VALUE"""),110.07)</f>
        <v>110.07</v>
      </c>
      <c r="E6957" s="2">
        <f>IFERROR(__xludf.DUMMYFUNCTION("""COMPUTED_VALUE"""),112.8)</f>
        <v>112.8</v>
      </c>
      <c r="F6957" s="2">
        <f>IFERROR(__xludf.DUMMYFUNCTION("""COMPUTED_VALUE"""),1.1342618E7)</f>
        <v>11342618</v>
      </c>
    </row>
    <row r="6958">
      <c r="A6958" s="3">
        <f>IFERROR(__xludf.DUMMYFUNCTION("""COMPUTED_VALUE"""),39289.666666666664)</f>
        <v>39289.66667</v>
      </c>
      <c r="B6958" s="2">
        <f>IFERROR(__xludf.DUMMYFUNCTION("""COMPUTED_VALUE"""),112.14)</f>
        <v>112.14</v>
      </c>
      <c r="C6958" s="2">
        <f>IFERROR(__xludf.DUMMYFUNCTION("""COMPUTED_VALUE"""),113.49)</f>
        <v>113.49</v>
      </c>
      <c r="D6958" s="2">
        <f>IFERROR(__xludf.DUMMYFUNCTION("""COMPUTED_VALUE"""),110.34)</f>
        <v>110.34</v>
      </c>
      <c r="E6958" s="2">
        <f>IFERROR(__xludf.DUMMYFUNCTION("""COMPUTED_VALUE"""),111.31)</f>
        <v>111.31</v>
      </c>
      <c r="F6958" s="2">
        <f>IFERROR(__xludf.DUMMYFUNCTION("""COMPUTED_VALUE"""),1.6880752E7)</f>
        <v>16880752</v>
      </c>
    </row>
    <row r="6959">
      <c r="A6959" s="3">
        <f>IFERROR(__xludf.DUMMYFUNCTION("""COMPUTED_VALUE"""),39290.666666666664)</f>
        <v>39290.66667</v>
      </c>
      <c r="B6959" s="2">
        <f>IFERROR(__xludf.DUMMYFUNCTION("""COMPUTED_VALUE"""),111.31)</f>
        <v>111.31</v>
      </c>
      <c r="C6959" s="2">
        <f>IFERROR(__xludf.DUMMYFUNCTION("""COMPUTED_VALUE"""),112.66)</f>
        <v>112.66</v>
      </c>
      <c r="D6959" s="2">
        <f>IFERROR(__xludf.DUMMYFUNCTION("""COMPUTED_VALUE"""),110.44)</f>
        <v>110.44</v>
      </c>
      <c r="E6959" s="2">
        <f>IFERROR(__xludf.DUMMYFUNCTION("""COMPUTED_VALUE"""),110.44)</f>
        <v>110.44</v>
      </c>
      <c r="F6959" s="2">
        <f>IFERROR(__xludf.DUMMYFUNCTION("""COMPUTED_VALUE"""),1.8138636E7)</f>
        <v>18138636</v>
      </c>
    </row>
    <row r="6960">
      <c r="A6960" s="3">
        <f>IFERROR(__xludf.DUMMYFUNCTION("""COMPUTED_VALUE"""),39293.666666666664)</f>
        <v>39293.66667</v>
      </c>
      <c r="B6960" s="2">
        <f>IFERROR(__xludf.DUMMYFUNCTION("""COMPUTED_VALUE"""),110.61)</f>
        <v>110.61</v>
      </c>
      <c r="C6960" s="2">
        <f>IFERROR(__xludf.DUMMYFUNCTION("""COMPUTED_VALUE"""),110.61)</f>
        <v>110.61</v>
      </c>
      <c r="D6960" s="2">
        <f>IFERROR(__xludf.DUMMYFUNCTION("""COMPUTED_VALUE"""),108.43)</f>
        <v>108.43</v>
      </c>
      <c r="E6960" s="2">
        <f>IFERROR(__xludf.DUMMYFUNCTION("""COMPUTED_VALUE"""),109.39)</f>
        <v>109.39</v>
      </c>
      <c r="F6960" s="2">
        <f>IFERROR(__xludf.DUMMYFUNCTION("""COMPUTED_VALUE"""),1.5096604E7)</f>
        <v>15096604</v>
      </c>
    </row>
    <row r="6961">
      <c r="A6961" s="3">
        <f>IFERROR(__xludf.DUMMYFUNCTION("""COMPUTED_VALUE"""),39294.666666666664)</f>
        <v>39294.66667</v>
      </c>
      <c r="B6961" s="2">
        <f>IFERROR(__xludf.DUMMYFUNCTION("""COMPUTED_VALUE"""),110.08)</f>
        <v>110.08</v>
      </c>
      <c r="C6961" s="2">
        <f>IFERROR(__xludf.DUMMYFUNCTION("""COMPUTED_VALUE"""),110.08)</f>
        <v>110.08</v>
      </c>
      <c r="D6961" s="2">
        <f>IFERROR(__xludf.DUMMYFUNCTION("""COMPUTED_VALUE"""),105.09)</f>
        <v>105.09</v>
      </c>
      <c r="E6961" s="2">
        <f>IFERROR(__xludf.DUMMYFUNCTION("""COMPUTED_VALUE"""),105.69)</f>
        <v>105.69</v>
      </c>
      <c r="F6961" s="2">
        <f>IFERROR(__xludf.DUMMYFUNCTION("""COMPUTED_VALUE"""),1.7816454E7)</f>
        <v>17816454</v>
      </c>
    </row>
    <row r="6962">
      <c r="A6962" s="3">
        <f>IFERROR(__xludf.DUMMYFUNCTION("""COMPUTED_VALUE"""),39295.666666666664)</f>
        <v>39295.66667</v>
      </c>
      <c r="B6962" s="2">
        <f>IFERROR(__xludf.DUMMYFUNCTION("""COMPUTED_VALUE"""),104.96)</f>
        <v>104.96</v>
      </c>
      <c r="C6962" s="2">
        <f>IFERROR(__xludf.DUMMYFUNCTION("""COMPUTED_VALUE"""),107.68)</f>
        <v>107.68</v>
      </c>
      <c r="D6962" s="2">
        <f>IFERROR(__xludf.DUMMYFUNCTION("""COMPUTED_VALUE"""),104.96)</f>
        <v>104.96</v>
      </c>
      <c r="E6962" s="2">
        <f>IFERROR(__xludf.DUMMYFUNCTION("""COMPUTED_VALUE"""),107.02)</f>
        <v>107.02</v>
      </c>
      <c r="F6962" s="2">
        <f>IFERROR(__xludf.DUMMYFUNCTION("""COMPUTED_VALUE"""),1.2390245E7)</f>
        <v>12390245</v>
      </c>
    </row>
    <row r="6963">
      <c r="A6963" s="3">
        <f>IFERROR(__xludf.DUMMYFUNCTION("""COMPUTED_VALUE"""),39296.666666666664)</f>
        <v>39296.66667</v>
      </c>
      <c r="B6963" s="2">
        <f>IFERROR(__xludf.DUMMYFUNCTION("""COMPUTED_VALUE"""),107.22)</f>
        <v>107.22</v>
      </c>
      <c r="C6963" s="2">
        <f>IFERROR(__xludf.DUMMYFUNCTION("""COMPUTED_VALUE"""),108.94)</f>
        <v>108.94</v>
      </c>
      <c r="D6963" s="2">
        <f>IFERROR(__xludf.DUMMYFUNCTION("""COMPUTED_VALUE"""),106.5)</f>
        <v>106.5</v>
      </c>
      <c r="E6963" s="2">
        <f>IFERROR(__xludf.DUMMYFUNCTION("""COMPUTED_VALUE"""),108.15)</f>
        <v>108.15</v>
      </c>
      <c r="F6963" s="2">
        <f>IFERROR(__xludf.DUMMYFUNCTION("""COMPUTED_VALUE"""),1.1322857E7)</f>
        <v>11322857</v>
      </c>
    </row>
    <row r="6964">
      <c r="A6964" s="3">
        <f>IFERROR(__xludf.DUMMYFUNCTION("""COMPUTED_VALUE"""),39297.666666666664)</f>
        <v>39297.66667</v>
      </c>
      <c r="B6964" s="2">
        <f>IFERROR(__xludf.DUMMYFUNCTION("""COMPUTED_VALUE"""),108.15)</f>
        <v>108.15</v>
      </c>
      <c r="C6964" s="2">
        <f>IFERROR(__xludf.DUMMYFUNCTION("""COMPUTED_VALUE"""),109.06)</f>
        <v>109.06</v>
      </c>
      <c r="D6964" s="2">
        <f>IFERROR(__xludf.DUMMYFUNCTION("""COMPUTED_VALUE"""),106.69)</f>
        <v>106.69</v>
      </c>
      <c r="E6964" s="2">
        <f>IFERROR(__xludf.DUMMYFUNCTION("""COMPUTED_VALUE"""),106.87)</f>
        <v>106.87</v>
      </c>
      <c r="F6964" s="2">
        <f>IFERROR(__xludf.DUMMYFUNCTION("""COMPUTED_VALUE"""),9571245.0)</f>
        <v>9571245</v>
      </c>
    </row>
    <row r="6965">
      <c r="A6965" s="3">
        <f>IFERROR(__xludf.DUMMYFUNCTION("""COMPUTED_VALUE"""),39300.666666666664)</f>
        <v>39300.66667</v>
      </c>
      <c r="B6965" s="2">
        <f>IFERROR(__xludf.DUMMYFUNCTION("""COMPUTED_VALUE"""),107.07)</f>
        <v>107.07</v>
      </c>
      <c r="C6965" s="2">
        <f>IFERROR(__xludf.DUMMYFUNCTION("""COMPUTED_VALUE"""),108.78)</f>
        <v>108.78</v>
      </c>
      <c r="D6965" s="2">
        <f>IFERROR(__xludf.DUMMYFUNCTION("""COMPUTED_VALUE"""),106.69)</f>
        <v>106.69</v>
      </c>
      <c r="E6965" s="2">
        <f>IFERROR(__xludf.DUMMYFUNCTION("""COMPUTED_VALUE"""),108.78)</f>
        <v>108.78</v>
      </c>
      <c r="F6965" s="2">
        <f>IFERROR(__xludf.DUMMYFUNCTION("""COMPUTED_VALUE"""),7245595.0)</f>
        <v>7245595</v>
      </c>
    </row>
    <row r="6966">
      <c r="A6966" s="3">
        <f>IFERROR(__xludf.DUMMYFUNCTION("""COMPUTED_VALUE"""),39301.666666666664)</f>
        <v>39301.66667</v>
      </c>
      <c r="B6966" s="2">
        <f>IFERROR(__xludf.DUMMYFUNCTION("""COMPUTED_VALUE"""),108.52)</f>
        <v>108.52</v>
      </c>
      <c r="C6966" s="2">
        <f>IFERROR(__xludf.DUMMYFUNCTION("""COMPUTED_VALUE"""),109.05)</f>
        <v>109.05</v>
      </c>
      <c r="D6966" s="2">
        <f>IFERROR(__xludf.DUMMYFUNCTION("""COMPUTED_VALUE"""),107.22)</f>
        <v>107.22</v>
      </c>
      <c r="E6966" s="2">
        <f>IFERROR(__xludf.DUMMYFUNCTION("""COMPUTED_VALUE"""),108.44)</f>
        <v>108.44</v>
      </c>
      <c r="F6966" s="2">
        <f>IFERROR(__xludf.DUMMYFUNCTION("""COMPUTED_VALUE"""),8022621.0)</f>
        <v>8022621</v>
      </c>
    </row>
    <row r="6967">
      <c r="A6967" s="3">
        <f>IFERROR(__xludf.DUMMYFUNCTION("""COMPUTED_VALUE"""),39302.666666666664)</f>
        <v>39302.66667</v>
      </c>
      <c r="B6967" s="2">
        <f>IFERROR(__xludf.DUMMYFUNCTION("""COMPUTED_VALUE"""),108.7)</f>
        <v>108.7</v>
      </c>
      <c r="C6967" s="2">
        <f>IFERROR(__xludf.DUMMYFUNCTION("""COMPUTED_VALUE"""),109.46)</f>
        <v>109.46</v>
      </c>
      <c r="D6967" s="2">
        <f>IFERROR(__xludf.DUMMYFUNCTION("""COMPUTED_VALUE"""),107.23)</f>
        <v>107.23</v>
      </c>
      <c r="E6967" s="2">
        <f>IFERROR(__xludf.DUMMYFUNCTION("""COMPUTED_VALUE"""),107.91)</f>
        <v>107.91</v>
      </c>
      <c r="F6967" s="2">
        <f>IFERROR(__xludf.DUMMYFUNCTION("""COMPUTED_VALUE"""),7681519.0)</f>
        <v>7681519</v>
      </c>
    </row>
    <row r="6968">
      <c r="A6968" s="3">
        <f>IFERROR(__xludf.DUMMYFUNCTION("""COMPUTED_VALUE"""),39303.666666666664)</f>
        <v>39303.66667</v>
      </c>
      <c r="B6968" s="2">
        <f>IFERROR(__xludf.DUMMYFUNCTION("""COMPUTED_VALUE"""),106.6)</f>
        <v>106.6</v>
      </c>
      <c r="C6968" s="2">
        <f>IFERROR(__xludf.DUMMYFUNCTION("""COMPUTED_VALUE"""),109.36)</f>
        <v>109.36</v>
      </c>
      <c r="D6968" s="2">
        <f>IFERROR(__xludf.DUMMYFUNCTION("""COMPUTED_VALUE"""),105.77)</f>
        <v>105.77</v>
      </c>
      <c r="E6968" s="2">
        <f>IFERROR(__xludf.DUMMYFUNCTION("""COMPUTED_VALUE"""),105.77)</f>
        <v>105.77</v>
      </c>
      <c r="F6968" s="2">
        <f>IFERROR(__xludf.DUMMYFUNCTION("""COMPUTED_VALUE"""),9086785.0)</f>
        <v>9086785</v>
      </c>
    </row>
    <row r="6969">
      <c r="A6969" s="3">
        <f>IFERROR(__xludf.DUMMYFUNCTION("""COMPUTED_VALUE"""),39304.666666666664)</f>
        <v>39304.66667</v>
      </c>
      <c r="B6969" s="2">
        <f>IFERROR(__xludf.DUMMYFUNCTION("""COMPUTED_VALUE"""),105.07)</f>
        <v>105.07</v>
      </c>
      <c r="C6969" s="2">
        <f>IFERROR(__xludf.DUMMYFUNCTION("""COMPUTED_VALUE"""),108.41)</f>
        <v>108.41</v>
      </c>
      <c r="D6969" s="2">
        <f>IFERROR(__xludf.DUMMYFUNCTION("""COMPUTED_VALUE"""),104.78)</f>
        <v>104.78</v>
      </c>
      <c r="E6969" s="2">
        <f>IFERROR(__xludf.DUMMYFUNCTION("""COMPUTED_VALUE"""),107.59)</f>
        <v>107.59</v>
      </c>
      <c r="F6969" s="2">
        <f>IFERROR(__xludf.DUMMYFUNCTION("""COMPUTED_VALUE"""),9592142.0)</f>
        <v>9592142</v>
      </c>
    </row>
    <row r="6970">
      <c r="A6970" s="3">
        <f>IFERROR(__xludf.DUMMYFUNCTION("""COMPUTED_VALUE"""),39307.666666666664)</f>
        <v>39307.66667</v>
      </c>
      <c r="B6970" s="2">
        <f>IFERROR(__xludf.DUMMYFUNCTION("""COMPUTED_VALUE"""),107.69)</f>
        <v>107.69</v>
      </c>
      <c r="C6970" s="2">
        <f>IFERROR(__xludf.DUMMYFUNCTION("""COMPUTED_VALUE"""),108.84)</f>
        <v>108.84</v>
      </c>
      <c r="D6970" s="2">
        <f>IFERROR(__xludf.DUMMYFUNCTION("""COMPUTED_VALUE"""),107.27)</f>
        <v>107.27</v>
      </c>
      <c r="E6970" s="2">
        <f>IFERROR(__xludf.DUMMYFUNCTION("""COMPUTED_VALUE"""),107.66)</f>
        <v>107.66</v>
      </c>
      <c r="F6970" s="2">
        <f>IFERROR(__xludf.DUMMYFUNCTION("""COMPUTED_VALUE"""),6135600.0)</f>
        <v>6135600</v>
      </c>
    </row>
    <row r="6971">
      <c r="A6971" s="3">
        <f>IFERROR(__xludf.DUMMYFUNCTION("""COMPUTED_VALUE"""),39308.666666666664)</f>
        <v>39308.66667</v>
      </c>
      <c r="B6971" s="2">
        <f>IFERROR(__xludf.DUMMYFUNCTION("""COMPUTED_VALUE"""),107.77)</f>
        <v>107.77</v>
      </c>
      <c r="C6971" s="2">
        <f>IFERROR(__xludf.DUMMYFUNCTION("""COMPUTED_VALUE"""),108.08)</f>
        <v>108.08</v>
      </c>
      <c r="D6971" s="2">
        <f>IFERROR(__xludf.DUMMYFUNCTION("""COMPUTED_VALUE"""),106.73)</f>
        <v>106.73</v>
      </c>
      <c r="E6971" s="2">
        <f>IFERROR(__xludf.DUMMYFUNCTION("""COMPUTED_VALUE"""),107.03)</f>
        <v>107.03</v>
      </c>
      <c r="F6971" s="2">
        <f>IFERROR(__xludf.DUMMYFUNCTION("""COMPUTED_VALUE"""),5615443.0)</f>
        <v>5615443</v>
      </c>
    </row>
    <row r="6972">
      <c r="A6972" s="3">
        <f>IFERROR(__xludf.DUMMYFUNCTION("""COMPUTED_VALUE"""),39309.666666666664)</f>
        <v>39309.66667</v>
      </c>
      <c r="B6972" s="2">
        <f>IFERROR(__xludf.DUMMYFUNCTION("""COMPUTED_VALUE"""),107.03)</f>
        <v>107.03</v>
      </c>
      <c r="C6972" s="2">
        <f>IFERROR(__xludf.DUMMYFUNCTION("""COMPUTED_VALUE"""),107.79)</f>
        <v>107.79</v>
      </c>
      <c r="D6972" s="2">
        <f>IFERROR(__xludf.DUMMYFUNCTION("""COMPUTED_VALUE"""),104.98)</f>
        <v>104.98</v>
      </c>
      <c r="E6972" s="2">
        <f>IFERROR(__xludf.DUMMYFUNCTION("""COMPUTED_VALUE"""),106.24)</f>
        <v>106.24</v>
      </c>
      <c r="F6972" s="2">
        <f>IFERROR(__xludf.DUMMYFUNCTION("""COMPUTED_VALUE"""),1.1640523E7)</f>
        <v>11640523</v>
      </c>
    </row>
    <row r="6973">
      <c r="A6973" s="3">
        <f>IFERROR(__xludf.DUMMYFUNCTION("""COMPUTED_VALUE"""),39310.666666666664)</f>
        <v>39310.66667</v>
      </c>
      <c r="B6973" s="2">
        <f>IFERROR(__xludf.DUMMYFUNCTION("""COMPUTED_VALUE"""),105.4)</f>
        <v>105.4</v>
      </c>
      <c r="C6973" s="2">
        <f>IFERROR(__xludf.DUMMYFUNCTION("""COMPUTED_VALUE"""),106.42)</f>
        <v>106.42</v>
      </c>
      <c r="D6973" s="2">
        <f>IFERROR(__xludf.DUMMYFUNCTION("""COMPUTED_VALUE"""),99.05)</f>
        <v>99.05</v>
      </c>
      <c r="E6973" s="2">
        <f>IFERROR(__xludf.DUMMYFUNCTION("""COMPUTED_VALUE"""),104.77)</f>
        <v>104.77</v>
      </c>
      <c r="F6973" s="2">
        <f>IFERROR(__xludf.DUMMYFUNCTION("""COMPUTED_VALUE"""),1.6723398E7)</f>
        <v>16723398</v>
      </c>
    </row>
    <row r="6974">
      <c r="A6974" s="3">
        <f>IFERROR(__xludf.DUMMYFUNCTION("""COMPUTED_VALUE"""),39311.666666666664)</f>
        <v>39311.66667</v>
      </c>
      <c r="B6974" s="2">
        <f>IFERROR(__xludf.DUMMYFUNCTION("""COMPUTED_VALUE"""),105.5)</f>
        <v>105.5</v>
      </c>
      <c r="C6974" s="2">
        <f>IFERROR(__xludf.DUMMYFUNCTION("""COMPUTED_VALUE"""),107.62)</f>
        <v>107.62</v>
      </c>
      <c r="D6974" s="2">
        <f>IFERROR(__xludf.DUMMYFUNCTION("""COMPUTED_VALUE"""),103.79)</f>
        <v>103.79</v>
      </c>
      <c r="E6974" s="2">
        <f>IFERROR(__xludf.DUMMYFUNCTION("""COMPUTED_VALUE"""),105.93)</f>
        <v>105.93</v>
      </c>
      <c r="F6974" s="2">
        <f>IFERROR(__xludf.DUMMYFUNCTION("""COMPUTED_VALUE"""),1.5277058E7)</f>
        <v>15277058</v>
      </c>
    </row>
    <row r="6975">
      <c r="A6975" s="3">
        <f>IFERROR(__xludf.DUMMYFUNCTION("""COMPUTED_VALUE"""),39314.666666666664)</f>
        <v>39314.66667</v>
      </c>
      <c r="B6975" s="2">
        <f>IFERROR(__xludf.DUMMYFUNCTION("""COMPUTED_VALUE"""),106.02)</f>
        <v>106.02</v>
      </c>
      <c r="C6975" s="2">
        <f>IFERROR(__xludf.DUMMYFUNCTION("""COMPUTED_VALUE"""),106.12)</f>
        <v>106.12</v>
      </c>
      <c r="D6975" s="2">
        <f>IFERROR(__xludf.DUMMYFUNCTION("""COMPUTED_VALUE"""),104.24)</f>
        <v>104.24</v>
      </c>
      <c r="E6975" s="2">
        <f>IFERROR(__xludf.DUMMYFUNCTION("""COMPUTED_VALUE"""),104.32)</f>
        <v>104.32</v>
      </c>
      <c r="F6975" s="2">
        <f>IFERROR(__xludf.DUMMYFUNCTION("""COMPUTED_VALUE"""),9840612.0)</f>
        <v>9840612</v>
      </c>
    </row>
    <row r="6976">
      <c r="A6976" s="3">
        <f>IFERROR(__xludf.DUMMYFUNCTION("""COMPUTED_VALUE"""),39315.666666666664)</f>
        <v>39315.66667</v>
      </c>
      <c r="B6976" s="2">
        <f>IFERROR(__xludf.DUMMYFUNCTION("""COMPUTED_VALUE"""),104.31)</f>
        <v>104.31</v>
      </c>
      <c r="C6976" s="2">
        <f>IFERROR(__xludf.DUMMYFUNCTION("""COMPUTED_VALUE"""),105.17)</f>
        <v>105.17</v>
      </c>
      <c r="D6976" s="2">
        <f>IFERROR(__xludf.DUMMYFUNCTION("""COMPUTED_VALUE"""),103.23)</f>
        <v>103.23</v>
      </c>
      <c r="E6976" s="2">
        <f>IFERROR(__xludf.DUMMYFUNCTION("""COMPUTED_VALUE"""),104.15)</f>
        <v>104.15</v>
      </c>
      <c r="F6976" s="2">
        <f>IFERROR(__xludf.DUMMYFUNCTION("""COMPUTED_VALUE"""),8458500.0)</f>
        <v>8458500</v>
      </c>
    </row>
    <row r="6977">
      <c r="A6977" s="3">
        <f>IFERROR(__xludf.DUMMYFUNCTION("""COMPUTED_VALUE"""),39316.666666666664)</f>
        <v>39316.66667</v>
      </c>
      <c r="B6977" s="2">
        <f>IFERROR(__xludf.DUMMYFUNCTION("""COMPUTED_VALUE"""),104.59)</f>
        <v>104.59</v>
      </c>
      <c r="C6977" s="2">
        <f>IFERROR(__xludf.DUMMYFUNCTION("""COMPUTED_VALUE"""),105.55)</f>
        <v>105.55</v>
      </c>
      <c r="D6977" s="2">
        <f>IFERROR(__xludf.DUMMYFUNCTION("""COMPUTED_VALUE"""),104.26)</f>
        <v>104.26</v>
      </c>
      <c r="E6977" s="2">
        <f>IFERROR(__xludf.DUMMYFUNCTION("""COMPUTED_VALUE"""),105.07)</f>
        <v>105.07</v>
      </c>
      <c r="F6977" s="2">
        <f>IFERROR(__xludf.DUMMYFUNCTION("""COMPUTED_VALUE"""),6330400.0)</f>
        <v>6330400</v>
      </c>
    </row>
    <row r="6978">
      <c r="A6978" s="3">
        <f>IFERROR(__xludf.DUMMYFUNCTION("""COMPUTED_VALUE"""),39317.666666666664)</f>
        <v>39317.66667</v>
      </c>
      <c r="B6978" s="2">
        <f>IFERROR(__xludf.DUMMYFUNCTION("""COMPUTED_VALUE"""),105.51)</f>
        <v>105.51</v>
      </c>
      <c r="C6978" s="2">
        <f>IFERROR(__xludf.DUMMYFUNCTION("""COMPUTED_VALUE"""),106.67)</f>
        <v>106.67</v>
      </c>
      <c r="D6978" s="2">
        <f>IFERROR(__xludf.DUMMYFUNCTION("""COMPUTED_VALUE"""),105.08)</f>
        <v>105.08</v>
      </c>
      <c r="E6978" s="2">
        <f>IFERROR(__xludf.DUMMYFUNCTION("""COMPUTED_VALUE"""),106.45)</f>
        <v>106.45</v>
      </c>
      <c r="F6978" s="2">
        <f>IFERROR(__xludf.DUMMYFUNCTION("""COMPUTED_VALUE"""),8271000.0)</f>
        <v>8271000</v>
      </c>
    </row>
    <row r="6979">
      <c r="A6979" s="3">
        <f>IFERROR(__xludf.DUMMYFUNCTION("""COMPUTED_VALUE"""),39318.666666666664)</f>
        <v>39318.66667</v>
      </c>
      <c r="B6979" s="2">
        <f>IFERROR(__xludf.DUMMYFUNCTION("""COMPUTED_VALUE"""),106.07)</f>
        <v>106.07</v>
      </c>
      <c r="C6979" s="2">
        <f>IFERROR(__xludf.DUMMYFUNCTION("""COMPUTED_VALUE"""),108.17)</f>
        <v>108.17</v>
      </c>
      <c r="D6979" s="2">
        <f>IFERROR(__xludf.DUMMYFUNCTION("""COMPUTED_VALUE"""),105.84)</f>
        <v>105.84</v>
      </c>
      <c r="E6979" s="2">
        <f>IFERROR(__xludf.DUMMYFUNCTION("""COMPUTED_VALUE"""),108.16)</f>
        <v>108.16</v>
      </c>
      <c r="F6979" s="2">
        <f>IFERROR(__xludf.DUMMYFUNCTION("""COMPUTED_VALUE"""),7058700.0)</f>
        <v>7058700</v>
      </c>
    </row>
    <row r="6980">
      <c r="A6980" s="3">
        <f>IFERROR(__xludf.DUMMYFUNCTION("""COMPUTED_VALUE"""),39321.666666666664)</f>
        <v>39321.66667</v>
      </c>
      <c r="B6980" s="2">
        <f>IFERROR(__xludf.DUMMYFUNCTION("""COMPUTED_VALUE"""),107.8)</f>
        <v>107.8</v>
      </c>
      <c r="C6980" s="2">
        <f>IFERROR(__xludf.DUMMYFUNCTION("""COMPUTED_VALUE"""),108.75)</f>
        <v>108.75</v>
      </c>
      <c r="D6980" s="2">
        <f>IFERROR(__xludf.DUMMYFUNCTION("""COMPUTED_VALUE"""),107.74)</f>
        <v>107.74</v>
      </c>
      <c r="E6980" s="2">
        <f>IFERROR(__xludf.DUMMYFUNCTION("""COMPUTED_VALUE"""),108.35)</f>
        <v>108.35</v>
      </c>
      <c r="F6980" s="2">
        <f>IFERROR(__xludf.DUMMYFUNCTION("""COMPUTED_VALUE"""),4921802.0)</f>
        <v>4921802</v>
      </c>
    </row>
    <row r="6981">
      <c r="A6981" s="3">
        <f>IFERROR(__xludf.DUMMYFUNCTION("""COMPUTED_VALUE"""),39322.666666666664)</f>
        <v>39322.66667</v>
      </c>
      <c r="B6981" s="2">
        <f>IFERROR(__xludf.DUMMYFUNCTION("""COMPUTED_VALUE"""),107.95)</f>
        <v>107.95</v>
      </c>
      <c r="C6981" s="2">
        <f>IFERROR(__xludf.DUMMYFUNCTION("""COMPUTED_VALUE"""),108.5)</f>
        <v>108.5</v>
      </c>
      <c r="D6981" s="2">
        <f>IFERROR(__xludf.DUMMYFUNCTION("""COMPUTED_VALUE"""),106.62)</f>
        <v>106.62</v>
      </c>
      <c r="E6981" s="2">
        <f>IFERROR(__xludf.DUMMYFUNCTION("""COMPUTED_VALUE"""),106.98)</f>
        <v>106.98</v>
      </c>
      <c r="F6981" s="2">
        <f>IFERROR(__xludf.DUMMYFUNCTION("""COMPUTED_VALUE"""),6006667.0)</f>
        <v>6006667</v>
      </c>
    </row>
    <row r="6982">
      <c r="A6982" s="3">
        <f>IFERROR(__xludf.DUMMYFUNCTION("""COMPUTED_VALUE"""),39323.666666666664)</f>
        <v>39323.66667</v>
      </c>
      <c r="B6982" s="2">
        <f>IFERROR(__xludf.DUMMYFUNCTION("""COMPUTED_VALUE"""),107.12)</f>
        <v>107.12</v>
      </c>
      <c r="C6982" s="2">
        <f>IFERROR(__xludf.DUMMYFUNCTION("""COMPUTED_VALUE"""),109.82)</f>
        <v>109.82</v>
      </c>
      <c r="D6982" s="2">
        <f>IFERROR(__xludf.DUMMYFUNCTION("""COMPUTED_VALUE"""),107.05)</f>
        <v>107.05</v>
      </c>
      <c r="E6982" s="2">
        <f>IFERROR(__xludf.DUMMYFUNCTION("""COMPUTED_VALUE"""),109.43)</f>
        <v>109.43</v>
      </c>
      <c r="F6982" s="2">
        <f>IFERROR(__xludf.DUMMYFUNCTION("""COMPUTED_VALUE"""),7050800.0)</f>
        <v>7050800</v>
      </c>
    </row>
    <row r="6983">
      <c r="A6983" s="3">
        <f>IFERROR(__xludf.DUMMYFUNCTION("""COMPUTED_VALUE"""),39324.666666666664)</f>
        <v>39324.66667</v>
      </c>
      <c r="B6983" s="2">
        <f>IFERROR(__xludf.DUMMYFUNCTION("""COMPUTED_VALUE"""),109.43)</f>
        <v>109.43</v>
      </c>
      <c r="C6983" s="2">
        <f>IFERROR(__xludf.DUMMYFUNCTION("""COMPUTED_VALUE"""),110.8)</f>
        <v>110.8</v>
      </c>
      <c r="D6983" s="2">
        <f>IFERROR(__xludf.DUMMYFUNCTION("""COMPUTED_VALUE"""),108.53)</f>
        <v>108.53</v>
      </c>
      <c r="E6983" s="2">
        <f>IFERROR(__xludf.DUMMYFUNCTION("""COMPUTED_VALUE"""),110.2)</f>
        <v>110.2</v>
      </c>
      <c r="F6983" s="2">
        <f>IFERROR(__xludf.DUMMYFUNCTION("""COMPUTED_VALUE"""),7756100.0)</f>
        <v>7756100</v>
      </c>
    </row>
    <row r="6984">
      <c r="A6984" s="3">
        <f>IFERROR(__xludf.DUMMYFUNCTION("""COMPUTED_VALUE"""),39325.666666666664)</f>
        <v>39325.66667</v>
      </c>
      <c r="B6984" s="2">
        <f>IFERROR(__xludf.DUMMYFUNCTION("""COMPUTED_VALUE"""),110.79)</f>
        <v>110.79</v>
      </c>
      <c r="C6984" s="2">
        <f>IFERROR(__xludf.DUMMYFUNCTION("""COMPUTED_VALUE"""),112.09)</f>
        <v>112.09</v>
      </c>
      <c r="D6984" s="2">
        <f>IFERROR(__xludf.DUMMYFUNCTION("""COMPUTED_VALUE"""),110.37)</f>
        <v>110.37</v>
      </c>
      <c r="E6984" s="2">
        <f>IFERROR(__xludf.DUMMYFUNCTION("""COMPUTED_VALUE"""),111.46)</f>
        <v>111.46</v>
      </c>
      <c r="F6984" s="2">
        <f>IFERROR(__xludf.DUMMYFUNCTION("""COMPUTED_VALUE"""),6884700.0)</f>
        <v>6884700</v>
      </c>
    </row>
    <row r="6985">
      <c r="A6985" s="3">
        <f>IFERROR(__xludf.DUMMYFUNCTION("""COMPUTED_VALUE"""),39329.666666666664)</f>
        <v>39329.66667</v>
      </c>
      <c r="B6985" s="2">
        <f>IFERROR(__xludf.DUMMYFUNCTION("""COMPUTED_VALUE"""),111.46)</f>
        <v>111.46</v>
      </c>
      <c r="C6985" s="2">
        <f>IFERROR(__xludf.DUMMYFUNCTION("""COMPUTED_VALUE"""),113.56)</f>
        <v>113.56</v>
      </c>
      <c r="D6985" s="2">
        <f>IFERROR(__xludf.DUMMYFUNCTION("""COMPUTED_VALUE"""),110.94)</f>
        <v>110.94</v>
      </c>
      <c r="E6985" s="2">
        <f>IFERROR(__xludf.DUMMYFUNCTION("""COMPUTED_VALUE"""),112.89)</f>
        <v>112.89</v>
      </c>
      <c r="F6985" s="2">
        <f>IFERROR(__xludf.DUMMYFUNCTION("""COMPUTED_VALUE"""),8071653.0)</f>
        <v>8071653</v>
      </c>
    </row>
    <row r="6986">
      <c r="A6986" s="3">
        <f>IFERROR(__xludf.DUMMYFUNCTION("""COMPUTED_VALUE"""),39330.666666666664)</f>
        <v>39330.66667</v>
      </c>
      <c r="B6986" s="2">
        <f>IFERROR(__xludf.DUMMYFUNCTION("""COMPUTED_VALUE"""),112.14)</f>
        <v>112.14</v>
      </c>
      <c r="C6986" s="2">
        <f>IFERROR(__xludf.DUMMYFUNCTION("""COMPUTED_VALUE"""),112.85)</f>
        <v>112.85</v>
      </c>
      <c r="D6986" s="2">
        <f>IFERROR(__xludf.DUMMYFUNCTION("""COMPUTED_VALUE"""),111.32)</f>
        <v>111.32</v>
      </c>
      <c r="E6986" s="2">
        <f>IFERROR(__xludf.DUMMYFUNCTION("""COMPUTED_VALUE"""),112.59)</f>
        <v>112.59</v>
      </c>
      <c r="F6986" s="2">
        <f>IFERROR(__xludf.DUMMYFUNCTION("""COMPUTED_VALUE"""),6555500.0)</f>
        <v>6555500</v>
      </c>
    </row>
    <row r="6987">
      <c r="A6987" s="3">
        <f>IFERROR(__xludf.DUMMYFUNCTION("""COMPUTED_VALUE"""),39331.666666666664)</f>
        <v>39331.66667</v>
      </c>
      <c r="B6987" s="2">
        <f>IFERROR(__xludf.DUMMYFUNCTION("""COMPUTED_VALUE"""),112.59)</f>
        <v>112.59</v>
      </c>
      <c r="C6987" s="2">
        <f>IFERROR(__xludf.DUMMYFUNCTION("""COMPUTED_VALUE"""),113.43)</f>
        <v>113.43</v>
      </c>
      <c r="D6987" s="2">
        <f>IFERROR(__xludf.DUMMYFUNCTION("""COMPUTED_VALUE"""),111.03)</f>
        <v>111.03</v>
      </c>
      <c r="E6987" s="2">
        <f>IFERROR(__xludf.DUMMYFUNCTION("""COMPUTED_VALUE"""),112.35)</f>
        <v>112.35</v>
      </c>
      <c r="F6987" s="2">
        <f>IFERROR(__xludf.DUMMYFUNCTION("""COMPUTED_VALUE"""),6778614.0)</f>
        <v>6778614</v>
      </c>
    </row>
    <row r="6988">
      <c r="A6988" s="3">
        <f>IFERROR(__xludf.DUMMYFUNCTION("""COMPUTED_VALUE"""),39332.666666666664)</f>
        <v>39332.66667</v>
      </c>
      <c r="B6988" s="2">
        <f>IFERROR(__xludf.DUMMYFUNCTION("""COMPUTED_VALUE"""),110.99)</f>
        <v>110.99</v>
      </c>
      <c r="C6988" s="2">
        <f>IFERROR(__xludf.DUMMYFUNCTION("""COMPUTED_VALUE"""),111.73)</f>
        <v>111.73</v>
      </c>
      <c r="D6988" s="2">
        <f>IFERROR(__xludf.DUMMYFUNCTION("""COMPUTED_VALUE"""),110.16)</f>
        <v>110.16</v>
      </c>
      <c r="E6988" s="2">
        <f>IFERROR(__xludf.DUMMYFUNCTION("""COMPUTED_VALUE"""),110.37)</f>
        <v>110.37</v>
      </c>
      <c r="F6988" s="2">
        <f>IFERROR(__xludf.DUMMYFUNCTION("""COMPUTED_VALUE"""),7511650.0)</f>
        <v>7511650</v>
      </c>
    </row>
    <row r="6989">
      <c r="A6989" s="3">
        <f>IFERROR(__xludf.DUMMYFUNCTION("""COMPUTED_VALUE"""),39335.666666666664)</f>
        <v>39335.66667</v>
      </c>
      <c r="B6989" s="2">
        <f>IFERROR(__xludf.DUMMYFUNCTION("""COMPUTED_VALUE"""),110.94)</f>
        <v>110.94</v>
      </c>
      <c r="C6989" s="2">
        <f>IFERROR(__xludf.DUMMYFUNCTION("""COMPUTED_VALUE"""),112.23)</f>
        <v>112.23</v>
      </c>
      <c r="D6989" s="2">
        <f>IFERROR(__xludf.DUMMYFUNCTION("""COMPUTED_VALUE"""),110.15)</f>
        <v>110.15</v>
      </c>
      <c r="E6989" s="2">
        <f>IFERROR(__xludf.DUMMYFUNCTION("""COMPUTED_VALUE"""),110.61)</f>
        <v>110.61</v>
      </c>
      <c r="F6989" s="2">
        <f>IFERROR(__xludf.DUMMYFUNCTION("""COMPUTED_VALUE"""),6120700.0)</f>
        <v>6120700</v>
      </c>
    </row>
    <row r="6990">
      <c r="A6990" s="3">
        <f>IFERROR(__xludf.DUMMYFUNCTION("""COMPUTED_VALUE"""),39336.666666666664)</f>
        <v>39336.66667</v>
      </c>
      <c r="B6990" s="2">
        <f>IFERROR(__xludf.DUMMYFUNCTION("""COMPUTED_VALUE"""),111.25)</f>
        <v>111.25</v>
      </c>
      <c r="C6990" s="2">
        <f>IFERROR(__xludf.DUMMYFUNCTION("""COMPUTED_VALUE"""),112.5)</f>
        <v>112.5</v>
      </c>
      <c r="D6990" s="2">
        <f>IFERROR(__xludf.DUMMYFUNCTION("""COMPUTED_VALUE"""),110.84)</f>
        <v>110.84</v>
      </c>
      <c r="E6990" s="2">
        <f>IFERROR(__xludf.DUMMYFUNCTION("""COMPUTED_VALUE"""),112.09)</f>
        <v>112.09</v>
      </c>
      <c r="F6990" s="2">
        <f>IFERROR(__xludf.DUMMYFUNCTION("""COMPUTED_VALUE"""),8098700.0)</f>
        <v>8098700</v>
      </c>
    </row>
    <row r="6991">
      <c r="A6991" s="3">
        <f>IFERROR(__xludf.DUMMYFUNCTION("""COMPUTED_VALUE"""),39337.666666666664)</f>
        <v>39337.66667</v>
      </c>
      <c r="B6991" s="2">
        <f>IFERROR(__xludf.DUMMYFUNCTION("""COMPUTED_VALUE"""),111.7)</f>
        <v>111.7</v>
      </c>
      <c r="C6991" s="2">
        <f>IFERROR(__xludf.DUMMYFUNCTION("""COMPUTED_VALUE"""),112.14)</f>
        <v>112.14</v>
      </c>
      <c r="D6991" s="2">
        <f>IFERROR(__xludf.DUMMYFUNCTION("""COMPUTED_VALUE"""),110.5)</f>
        <v>110.5</v>
      </c>
      <c r="E6991" s="2">
        <f>IFERROR(__xludf.DUMMYFUNCTION("""COMPUTED_VALUE"""),110.8)</f>
        <v>110.8</v>
      </c>
      <c r="F6991" s="2">
        <f>IFERROR(__xludf.DUMMYFUNCTION("""COMPUTED_VALUE"""),6289315.0)</f>
        <v>6289315</v>
      </c>
    </row>
    <row r="6992">
      <c r="A6992" s="3">
        <f>IFERROR(__xludf.DUMMYFUNCTION("""COMPUTED_VALUE"""),39338.666666666664)</f>
        <v>39338.66667</v>
      </c>
      <c r="B6992" s="2">
        <f>IFERROR(__xludf.DUMMYFUNCTION("""COMPUTED_VALUE"""),111.09)</f>
        <v>111.09</v>
      </c>
      <c r="C6992" s="2">
        <f>IFERROR(__xludf.DUMMYFUNCTION("""COMPUTED_VALUE"""),111.75)</f>
        <v>111.75</v>
      </c>
      <c r="D6992" s="2">
        <f>IFERROR(__xludf.DUMMYFUNCTION("""COMPUTED_VALUE"""),110.55)</f>
        <v>110.55</v>
      </c>
      <c r="E6992" s="2">
        <f>IFERROR(__xludf.DUMMYFUNCTION("""COMPUTED_VALUE"""),110.75)</f>
        <v>110.75</v>
      </c>
      <c r="F6992" s="2">
        <f>IFERROR(__xludf.DUMMYFUNCTION("""COMPUTED_VALUE"""),4802729.0)</f>
        <v>4802729</v>
      </c>
    </row>
    <row r="6993">
      <c r="A6993" s="3">
        <f>IFERROR(__xludf.DUMMYFUNCTION("""COMPUTED_VALUE"""),39339.666666666664)</f>
        <v>39339.66667</v>
      </c>
      <c r="B6993" s="2">
        <f>IFERROR(__xludf.DUMMYFUNCTION("""COMPUTED_VALUE"""),109.95)</f>
        <v>109.95</v>
      </c>
      <c r="C6993" s="2">
        <f>IFERROR(__xludf.DUMMYFUNCTION("""COMPUTED_VALUE"""),110.8)</f>
        <v>110.8</v>
      </c>
      <c r="D6993" s="2">
        <f>IFERROR(__xludf.DUMMYFUNCTION("""COMPUTED_VALUE"""),109.51)</f>
        <v>109.51</v>
      </c>
      <c r="E6993" s="2">
        <f>IFERROR(__xludf.DUMMYFUNCTION("""COMPUTED_VALUE"""),109.97)</f>
        <v>109.97</v>
      </c>
      <c r="F6993" s="2">
        <f>IFERROR(__xludf.DUMMYFUNCTION("""COMPUTED_VALUE"""),6904373.0)</f>
        <v>6904373</v>
      </c>
    </row>
    <row r="6994">
      <c r="A6994" s="3">
        <f>IFERROR(__xludf.DUMMYFUNCTION("""COMPUTED_VALUE"""),39342.666666666664)</f>
        <v>39342.66667</v>
      </c>
      <c r="B6994" s="2">
        <f>IFERROR(__xludf.DUMMYFUNCTION("""COMPUTED_VALUE"""),109.27)</f>
        <v>109.27</v>
      </c>
      <c r="C6994" s="2">
        <f>IFERROR(__xludf.DUMMYFUNCTION("""COMPUTED_VALUE"""),110.08)</f>
        <v>110.08</v>
      </c>
      <c r="D6994" s="2">
        <f>IFERROR(__xludf.DUMMYFUNCTION("""COMPUTED_VALUE"""),109.18)</f>
        <v>109.18</v>
      </c>
      <c r="E6994" s="2">
        <f>IFERROR(__xludf.DUMMYFUNCTION("""COMPUTED_VALUE"""),109.39)</f>
        <v>109.39</v>
      </c>
      <c r="F6994" s="2">
        <f>IFERROR(__xludf.DUMMYFUNCTION("""COMPUTED_VALUE"""),5022334.0)</f>
        <v>5022334</v>
      </c>
    </row>
    <row r="6995">
      <c r="A6995" s="3">
        <f>IFERROR(__xludf.DUMMYFUNCTION("""COMPUTED_VALUE"""),39343.666666666664)</f>
        <v>39343.66667</v>
      </c>
      <c r="B6995" s="2">
        <f>IFERROR(__xludf.DUMMYFUNCTION("""COMPUTED_VALUE"""),109.58)</f>
        <v>109.58</v>
      </c>
      <c r="C6995" s="2">
        <f>IFERROR(__xludf.DUMMYFUNCTION("""COMPUTED_VALUE"""),111.54)</f>
        <v>111.54</v>
      </c>
      <c r="D6995" s="2">
        <f>IFERROR(__xludf.DUMMYFUNCTION("""COMPUTED_VALUE"""),109.58)</f>
        <v>109.58</v>
      </c>
      <c r="E6995" s="2">
        <f>IFERROR(__xludf.DUMMYFUNCTION("""COMPUTED_VALUE"""),111.4)</f>
        <v>111.4</v>
      </c>
      <c r="F6995" s="2">
        <f>IFERROR(__xludf.DUMMYFUNCTION("""COMPUTED_VALUE"""),7839600.0)</f>
        <v>7839600</v>
      </c>
    </row>
    <row r="6996">
      <c r="A6996" s="3">
        <f>IFERROR(__xludf.DUMMYFUNCTION("""COMPUTED_VALUE"""),39344.666666666664)</f>
        <v>39344.66667</v>
      </c>
      <c r="B6996" s="2">
        <f>IFERROR(__xludf.DUMMYFUNCTION("""COMPUTED_VALUE"""),111.47)</f>
        <v>111.47</v>
      </c>
      <c r="C6996" s="2">
        <f>IFERROR(__xludf.DUMMYFUNCTION("""COMPUTED_VALUE"""),111.94)</f>
        <v>111.94</v>
      </c>
      <c r="D6996" s="2">
        <f>IFERROR(__xludf.DUMMYFUNCTION("""COMPUTED_VALUE"""),110.59)</f>
        <v>110.59</v>
      </c>
      <c r="E6996" s="2">
        <f>IFERROR(__xludf.DUMMYFUNCTION("""COMPUTED_VALUE"""),111.44)</f>
        <v>111.44</v>
      </c>
      <c r="F6996" s="2">
        <f>IFERROR(__xludf.DUMMYFUNCTION("""COMPUTED_VALUE"""),1.0311134E7)</f>
        <v>10311134</v>
      </c>
    </row>
    <row r="6997">
      <c r="A6997" s="3">
        <f>IFERROR(__xludf.DUMMYFUNCTION("""COMPUTED_VALUE"""),39345.666666666664)</f>
        <v>39345.66667</v>
      </c>
      <c r="B6997" s="2">
        <f>IFERROR(__xludf.DUMMYFUNCTION("""COMPUTED_VALUE"""),110.96)</f>
        <v>110.96</v>
      </c>
      <c r="C6997" s="2">
        <f>IFERROR(__xludf.DUMMYFUNCTION("""COMPUTED_VALUE"""),112.38)</f>
        <v>112.38</v>
      </c>
      <c r="D6997" s="2">
        <f>IFERROR(__xludf.DUMMYFUNCTION("""COMPUTED_VALUE"""),110.96)</f>
        <v>110.96</v>
      </c>
      <c r="E6997" s="2">
        <f>IFERROR(__xludf.DUMMYFUNCTION("""COMPUTED_VALUE"""),111.62)</f>
        <v>111.62</v>
      </c>
      <c r="F6997" s="2">
        <f>IFERROR(__xludf.DUMMYFUNCTION("""COMPUTED_VALUE"""),5807863.0)</f>
        <v>5807863</v>
      </c>
    </row>
    <row r="6998">
      <c r="A6998" s="3">
        <f>IFERROR(__xludf.DUMMYFUNCTION("""COMPUTED_VALUE"""),39346.666666666664)</f>
        <v>39346.66667</v>
      </c>
      <c r="B6998" s="2">
        <f>IFERROR(__xludf.DUMMYFUNCTION("""COMPUTED_VALUE"""),111.99)</f>
        <v>111.99</v>
      </c>
      <c r="C6998" s="2">
        <f>IFERROR(__xludf.DUMMYFUNCTION("""COMPUTED_VALUE"""),112.8)</f>
        <v>112.8</v>
      </c>
      <c r="D6998" s="2">
        <f>IFERROR(__xludf.DUMMYFUNCTION("""COMPUTED_VALUE"""),111.13)</f>
        <v>111.13</v>
      </c>
      <c r="E6998" s="2">
        <f>IFERROR(__xludf.DUMMYFUNCTION("""COMPUTED_VALUE"""),111.54)</f>
        <v>111.54</v>
      </c>
      <c r="F6998" s="2">
        <f>IFERROR(__xludf.DUMMYFUNCTION("""COMPUTED_VALUE"""),9097300.0)</f>
        <v>9097300</v>
      </c>
    </row>
    <row r="6999">
      <c r="A6999" s="3">
        <f>IFERROR(__xludf.DUMMYFUNCTION("""COMPUTED_VALUE"""),39349.666666666664)</f>
        <v>39349.66667</v>
      </c>
      <c r="B6999" s="2">
        <f>IFERROR(__xludf.DUMMYFUNCTION("""COMPUTED_VALUE"""),111.75)</f>
        <v>111.75</v>
      </c>
      <c r="C6999" s="2">
        <f>IFERROR(__xludf.DUMMYFUNCTION("""COMPUTED_VALUE"""),112.16)</f>
        <v>112.16</v>
      </c>
      <c r="D6999" s="2">
        <f>IFERROR(__xludf.DUMMYFUNCTION("""COMPUTED_VALUE"""),110.66)</f>
        <v>110.66</v>
      </c>
      <c r="E6999" s="2">
        <f>IFERROR(__xludf.DUMMYFUNCTION("""COMPUTED_VALUE"""),111.04)</f>
        <v>111.04</v>
      </c>
      <c r="F6999" s="2">
        <f>IFERROR(__xludf.DUMMYFUNCTION("""COMPUTED_VALUE"""),5734283.0)</f>
        <v>5734283</v>
      </c>
    </row>
    <row r="7000">
      <c r="A7000" s="3">
        <f>IFERROR(__xludf.DUMMYFUNCTION("""COMPUTED_VALUE"""),39350.666666666664)</f>
        <v>39350.66667</v>
      </c>
      <c r="B7000" s="2">
        <f>IFERROR(__xludf.DUMMYFUNCTION("""COMPUTED_VALUE"""),110.99)</f>
        <v>110.99</v>
      </c>
      <c r="C7000" s="2">
        <f>IFERROR(__xludf.DUMMYFUNCTION("""COMPUTED_VALUE"""),112.32)</f>
        <v>112.32</v>
      </c>
      <c r="D7000" s="2">
        <f>IFERROR(__xludf.DUMMYFUNCTION("""COMPUTED_VALUE"""),110.6)</f>
        <v>110.6</v>
      </c>
      <c r="E7000" s="2">
        <f>IFERROR(__xludf.DUMMYFUNCTION("""COMPUTED_VALUE"""),111.29)</f>
        <v>111.29</v>
      </c>
      <c r="F7000" s="2">
        <f>IFERROR(__xludf.DUMMYFUNCTION("""COMPUTED_VALUE"""),7045116.0)</f>
        <v>7045116</v>
      </c>
    </row>
    <row r="7001">
      <c r="A7001" s="3">
        <f>IFERROR(__xludf.DUMMYFUNCTION("""COMPUTED_VALUE"""),39351.666666666664)</f>
        <v>39351.66667</v>
      </c>
      <c r="B7001" s="2">
        <f>IFERROR(__xludf.DUMMYFUNCTION("""COMPUTED_VALUE"""),111.7)</f>
        <v>111.7</v>
      </c>
      <c r="C7001" s="2">
        <f>IFERROR(__xludf.DUMMYFUNCTION("""COMPUTED_VALUE"""),112.79)</f>
        <v>112.79</v>
      </c>
      <c r="D7001" s="2">
        <f>IFERROR(__xludf.DUMMYFUNCTION("""COMPUTED_VALUE"""),111.52)</f>
        <v>111.52</v>
      </c>
      <c r="E7001" s="2">
        <f>IFERROR(__xludf.DUMMYFUNCTION("""COMPUTED_VALUE"""),112.04)</f>
        <v>112.04</v>
      </c>
      <c r="F7001" s="2">
        <f>IFERROR(__xludf.DUMMYFUNCTION("""COMPUTED_VALUE"""),6695800.0)</f>
        <v>6695800</v>
      </c>
    </row>
    <row r="7002">
      <c r="A7002" s="3">
        <f>IFERROR(__xludf.DUMMYFUNCTION("""COMPUTED_VALUE"""),39352.666666666664)</f>
        <v>39352.66667</v>
      </c>
      <c r="B7002" s="2">
        <f>IFERROR(__xludf.DUMMYFUNCTION("""COMPUTED_VALUE"""),112.19)</f>
        <v>112.19</v>
      </c>
      <c r="C7002" s="2">
        <f>IFERROR(__xludf.DUMMYFUNCTION("""COMPUTED_VALUE"""),112.91)</f>
        <v>112.91</v>
      </c>
      <c r="D7002" s="2">
        <f>IFERROR(__xludf.DUMMYFUNCTION("""COMPUTED_VALUE"""),111.79)</f>
        <v>111.79</v>
      </c>
      <c r="E7002" s="2">
        <f>IFERROR(__xludf.DUMMYFUNCTION("""COMPUTED_VALUE"""),112.43)</f>
        <v>112.43</v>
      </c>
      <c r="F7002" s="2">
        <f>IFERROR(__xludf.DUMMYFUNCTION("""COMPUTED_VALUE"""),5836800.0)</f>
        <v>5836800</v>
      </c>
    </row>
    <row r="7003">
      <c r="A7003" s="3">
        <f>IFERROR(__xludf.DUMMYFUNCTION("""COMPUTED_VALUE"""),39353.666666666664)</f>
        <v>39353.66667</v>
      </c>
      <c r="B7003" s="2">
        <f>IFERROR(__xludf.DUMMYFUNCTION("""COMPUTED_VALUE"""),112.33)</f>
        <v>112.33</v>
      </c>
      <c r="C7003" s="2">
        <f>IFERROR(__xludf.DUMMYFUNCTION("""COMPUTED_VALUE"""),113.19)</f>
        <v>113.19</v>
      </c>
      <c r="D7003" s="2">
        <f>IFERROR(__xludf.DUMMYFUNCTION("""COMPUTED_VALUE"""),111.85)</f>
        <v>111.85</v>
      </c>
      <c r="E7003" s="2">
        <f>IFERROR(__xludf.DUMMYFUNCTION("""COMPUTED_VALUE"""),112.52)</f>
        <v>112.52</v>
      </c>
      <c r="F7003" s="2">
        <f>IFERROR(__xludf.DUMMYFUNCTION("""COMPUTED_VALUE"""),7720200.0)</f>
        <v>7720200</v>
      </c>
    </row>
    <row r="7004">
      <c r="A7004" s="3">
        <f>IFERROR(__xludf.DUMMYFUNCTION("""COMPUTED_VALUE"""),39356.666666666664)</f>
        <v>39356.66667</v>
      </c>
      <c r="B7004" s="2">
        <f>IFERROR(__xludf.DUMMYFUNCTION("""COMPUTED_VALUE"""),112.41)</f>
        <v>112.41</v>
      </c>
      <c r="C7004" s="2">
        <f>IFERROR(__xludf.DUMMYFUNCTION("""COMPUTED_VALUE"""),114.14)</f>
        <v>114.14</v>
      </c>
      <c r="D7004" s="2">
        <f>IFERROR(__xludf.DUMMYFUNCTION("""COMPUTED_VALUE"""),112.23)</f>
        <v>112.23</v>
      </c>
      <c r="E7004" s="2">
        <f>IFERROR(__xludf.DUMMYFUNCTION("""COMPUTED_VALUE"""),113.69)</f>
        <v>113.69</v>
      </c>
      <c r="F7004" s="2">
        <f>IFERROR(__xludf.DUMMYFUNCTION("""COMPUTED_VALUE"""),6778700.0)</f>
        <v>6778700</v>
      </c>
    </row>
    <row r="7005">
      <c r="A7005" s="3">
        <f>IFERROR(__xludf.DUMMYFUNCTION("""COMPUTED_VALUE"""),39357.666666666664)</f>
        <v>39357.66667</v>
      </c>
      <c r="B7005" s="2">
        <f>IFERROR(__xludf.DUMMYFUNCTION("""COMPUTED_VALUE"""),113.71)</f>
        <v>113.71</v>
      </c>
      <c r="C7005" s="2">
        <f>IFERROR(__xludf.DUMMYFUNCTION("""COMPUTED_VALUE"""),114.24)</f>
        <v>114.24</v>
      </c>
      <c r="D7005" s="2">
        <f>IFERROR(__xludf.DUMMYFUNCTION("""COMPUTED_VALUE"""),112.84)</f>
        <v>112.84</v>
      </c>
      <c r="E7005" s="2">
        <f>IFERROR(__xludf.DUMMYFUNCTION("""COMPUTED_VALUE"""),113.05)</f>
        <v>113.05</v>
      </c>
      <c r="F7005" s="2">
        <f>IFERROR(__xludf.DUMMYFUNCTION("""COMPUTED_VALUE"""),6912187.0)</f>
        <v>6912187</v>
      </c>
    </row>
    <row r="7006">
      <c r="A7006" s="3">
        <f>IFERROR(__xludf.DUMMYFUNCTION("""COMPUTED_VALUE"""),39358.666666666664)</f>
        <v>39358.66667</v>
      </c>
      <c r="B7006" s="2">
        <f>IFERROR(__xludf.DUMMYFUNCTION("""COMPUTED_VALUE"""),113.05)</f>
        <v>113.05</v>
      </c>
      <c r="C7006" s="2">
        <f>IFERROR(__xludf.DUMMYFUNCTION("""COMPUTED_VALUE"""),113.05)</f>
        <v>113.05</v>
      </c>
      <c r="D7006" s="2">
        <f>IFERROR(__xludf.DUMMYFUNCTION("""COMPUTED_VALUE"""),111.07)</f>
        <v>111.07</v>
      </c>
      <c r="E7006" s="2">
        <f>IFERROR(__xludf.DUMMYFUNCTION("""COMPUTED_VALUE"""),111.18)</f>
        <v>111.18</v>
      </c>
      <c r="F7006" s="2">
        <f>IFERROR(__xludf.DUMMYFUNCTION("""COMPUTED_VALUE"""),7916471.0)</f>
        <v>7916471</v>
      </c>
    </row>
    <row r="7007">
      <c r="A7007" s="3">
        <f>IFERROR(__xludf.DUMMYFUNCTION("""COMPUTED_VALUE"""),39359.666666666664)</f>
        <v>39359.66667</v>
      </c>
      <c r="B7007" s="2">
        <f>IFERROR(__xludf.DUMMYFUNCTION("""COMPUTED_VALUE"""),110.99)</f>
        <v>110.99</v>
      </c>
      <c r="C7007" s="2">
        <f>IFERROR(__xludf.DUMMYFUNCTION("""COMPUTED_VALUE"""),111.52)</f>
        <v>111.52</v>
      </c>
      <c r="D7007" s="2">
        <f>IFERROR(__xludf.DUMMYFUNCTION("""COMPUTED_VALUE"""),109.84)</f>
        <v>109.84</v>
      </c>
      <c r="E7007" s="2">
        <f>IFERROR(__xludf.DUMMYFUNCTION("""COMPUTED_VALUE"""),110.5)</f>
        <v>110.5</v>
      </c>
      <c r="F7007" s="2">
        <f>IFERROR(__xludf.DUMMYFUNCTION("""COMPUTED_VALUE"""),6178181.0)</f>
        <v>6178181</v>
      </c>
    </row>
    <row r="7008">
      <c r="A7008" s="3">
        <f>IFERROR(__xludf.DUMMYFUNCTION("""COMPUTED_VALUE"""),39360.666666666664)</f>
        <v>39360.66667</v>
      </c>
      <c r="B7008" s="2">
        <f>IFERROR(__xludf.DUMMYFUNCTION("""COMPUTED_VALUE"""),111.18)</f>
        <v>111.18</v>
      </c>
      <c r="C7008" s="2">
        <f>IFERROR(__xludf.DUMMYFUNCTION("""COMPUTED_VALUE"""),111.48)</f>
        <v>111.48</v>
      </c>
      <c r="D7008" s="2">
        <f>IFERROR(__xludf.DUMMYFUNCTION("""COMPUTED_VALUE"""),110.29)</f>
        <v>110.29</v>
      </c>
      <c r="E7008" s="2">
        <f>IFERROR(__xludf.DUMMYFUNCTION("""COMPUTED_VALUE"""),111.09)</f>
        <v>111.09</v>
      </c>
      <c r="F7008" s="2">
        <f>IFERROR(__xludf.DUMMYFUNCTION("""COMPUTED_VALUE"""),5749327.0)</f>
        <v>5749327</v>
      </c>
    </row>
    <row r="7009">
      <c r="A7009" s="3">
        <f>IFERROR(__xludf.DUMMYFUNCTION("""COMPUTED_VALUE"""),39363.666666666664)</f>
        <v>39363.66667</v>
      </c>
      <c r="B7009" s="2">
        <f>IFERROR(__xludf.DUMMYFUNCTION("""COMPUTED_VALUE"""),110.8)</f>
        <v>110.8</v>
      </c>
      <c r="C7009" s="2">
        <f>IFERROR(__xludf.DUMMYFUNCTION("""COMPUTED_VALUE"""),112.93)</f>
        <v>112.93</v>
      </c>
      <c r="D7009" s="2">
        <f>IFERROR(__xludf.DUMMYFUNCTION("""COMPUTED_VALUE"""),110.68)</f>
        <v>110.68</v>
      </c>
      <c r="E7009" s="2">
        <f>IFERROR(__xludf.DUMMYFUNCTION("""COMPUTED_VALUE"""),112.49)</f>
        <v>112.49</v>
      </c>
      <c r="F7009" s="2">
        <f>IFERROR(__xludf.DUMMYFUNCTION("""COMPUTED_VALUE"""),4823300.0)</f>
        <v>4823300</v>
      </c>
    </row>
    <row r="7010">
      <c r="A7010" s="3">
        <f>IFERROR(__xludf.DUMMYFUNCTION("""COMPUTED_VALUE"""),39364.666666666664)</f>
        <v>39364.66667</v>
      </c>
      <c r="B7010" s="2">
        <f>IFERROR(__xludf.DUMMYFUNCTION("""COMPUTED_VALUE"""),112.57)</f>
        <v>112.57</v>
      </c>
      <c r="C7010" s="2">
        <f>IFERROR(__xludf.DUMMYFUNCTION("""COMPUTED_VALUE"""),113.19)</f>
        <v>113.19</v>
      </c>
      <c r="D7010" s="2">
        <f>IFERROR(__xludf.DUMMYFUNCTION("""COMPUTED_VALUE"""),111.2)</f>
        <v>111.2</v>
      </c>
      <c r="E7010" s="2">
        <f>IFERROR(__xludf.DUMMYFUNCTION("""COMPUTED_VALUE"""),113.0)</f>
        <v>113</v>
      </c>
      <c r="F7010" s="2">
        <f>IFERROR(__xludf.DUMMYFUNCTION("""COMPUTED_VALUE"""),5670591.0)</f>
        <v>5670591</v>
      </c>
    </row>
    <row r="7011">
      <c r="A7011" s="3">
        <f>IFERROR(__xludf.DUMMYFUNCTION("""COMPUTED_VALUE"""),39365.666666666664)</f>
        <v>39365.66667</v>
      </c>
      <c r="B7011" s="2">
        <f>IFERROR(__xludf.DUMMYFUNCTION("""COMPUTED_VALUE"""),112.71)</f>
        <v>112.71</v>
      </c>
      <c r="C7011" s="2">
        <f>IFERROR(__xludf.DUMMYFUNCTION("""COMPUTED_VALUE"""),113.47)</f>
        <v>113.47</v>
      </c>
      <c r="D7011" s="2">
        <f>IFERROR(__xludf.DUMMYFUNCTION("""COMPUTED_VALUE"""),112.4)</f>
        <v>112.4</v>
      </c>
      <c r="E7011" s="2">
        <f>IFERROR(__xludf.DUMMYFUNCTION("""COMPUTED_VALUE"""),113.3)</f>
        <v>113.3</v>
      </c>
      <c r="F7011" s="2">
        <f>IFERROR(__xludf.DUMMYFUNCTION("""COMPUTED_VALUE"""),5913800.0)</f>
        <v>5913800</v>
      </c>
    </row>
    <row r="7012">
      <c r="A7012" s="3">
        <f>IFERROR(__xludf.DUMMYFUNCTION("""COMPUTED_VALUE"""),39366.666666666664)</f>
        <v>39366.66667</v>
      </c>
      <c r="B7012" s="2">
        <f>IFERROR(__xludf.DUMMYFUNCTION("""COMPUTED_VALUE"""),113.98)</f>
        <v>113.98</v>
      </c>
      <c r="C7012" s="2">
        <f>IFERROR(__xludf.DUMMYFUNCTION("""COMPUTED_VALUE"""),116.01)</f>
        <v>116.01</v>
      </c>
      <c r="D7012" s="2">
        <f>IFERROR(__xludf.DUMMYFUNCTION("""COMPUTED_VALUE"""),112.11)</f>
        <v>112.11</v>
      </c>
      <c r="E7012" s="2">
        <f>IFERROR(__xludf.DUMMYFUNCTION("""COMPUTED_VALUE"""),112.76)</f>
        <v>112.76</v>
      </c>
      <c r="F7012" s="2">
        <f>IFERROR(__xludf.DUMMYFUNCTION("""COMPUTED_VALUE"""),1.30189E7)</f>
        <v>13018900</v>
      </c>
    </row>
    <row r="7013">
      <c r="A7013" s="3">
        <f>IFERROR(__xludf.DUMMYFUNCTION("""COMPUTED_VALUE"""),39367.666666666664)</f>
        <v>39367.66667</v>
      </c>
      <c r="B7013" s="2">
        <f>IFERROR(__xludf.DUMMYFUNCTION("""COMPUTED_VALUE"""),112.47)</f>
        <v>112.47</v>
      </c>
      <c r="C7013" s="2">
        <f>IFERROR(__xludf.DUMMYFUNCTION("""COMPUTED_VALUE"""),113.56)</f>
        <v>113.56</v>
      </c>
      <c r="D7013" s="2">
        <f>IFERROR(__xludf.DUMMYFUNCTION("""COMPUTED_VALUE"""),112.02)</f>
        <v>112.02</v>
      </c>
      <c r="E7013" s="2">
        <f>IFERROR(__xludf.DUMMYFUNCTION("""COMPUTED_VALUE"""),112.53)</f>
        <v>112.53</v>
      </c>
      <c r="F7013" s="2">
        <f>IFERROR(__xludf.DUMMYFUNCTION("""COMPUTED_VALUE"""),5657396.0)</f>
        <v>5657396</v>
      </c>
    </row>
    <row r="7014">
      <c r="A7014" s="3">
        <f>IFERROR(__xludf.DUMMYFUNCTION("""COMPUTED_VALUE"""),39370.666666666664)</f>
        <v>39370.66667</v>
      </c>
      <c r="B7014" s="2">
        <f>IFERROR(__xludf.DUMMYFUNCTION("""COMPUTED_VALUE"""),112.23)</f>
        <v>112.23</v>
      </c>
      <c r="C7014" s="2">
        <f>IFERROR(__xludf.DUMMYFUNCTION("""COMPUTED_VALUE"""),113.06)</f>
        <v>113.06</v>
      </c>
      <c r="D7014" s="2">
        <f>IFERROR(__xludf.DUMMYFUNCTION("""COMPUTED_VALUE"""),111.52)</f>
        <v>111.52</v>
      </c>
      <c r="E7014" s="2">
        <f>IFERROR(__xludf.DUMMYFUNCTION("""COMPUTED_VALUE"""),112.74)</f>
        <v>112.74</v>
      </c>
      <c r="F7014" s="2">
        <f>IFERROR(__xludf.DUMMYFUNCTION("""COMPUTED_VALUE"""),6271899.0)</f>
        <v>6271899</v>
      </c>
    </row>
    <row r="7015">
      <c r="A7015" s="3">
        <f>IFERROR(__xludf.DUMMYFUNCTION("""COMPUTED_VALUE"""),39371.666666666664)</f>
        <v>39371.66667</v>
      </c>
      <c r="B7015" s="2">
        <f>IFERROR(__xludf.DUMMYFUNCTION("""COMPUTED_VALUE"""),112.74)</f>
        <v>112.74</v>
      </c>
      <c r="C7015" s="2">
        <f>IFERROR(__xludf.DUMMYFUNCTION("""COMPUTED_VALUE"""),114.56)</f>
        <v>114.56</v>
      </c>
      <c r="D7015" s="2">
        <f>IFERROR(__xludf.DUMMYFUNCTION("""COMPUTED_VALUE"""),112.23)</f>
        <v>112.23</v>
      </c>
      <c r="E7015" s="2">
        <f>IFERROR(__xludf.DUMMYFUNCTION("""COMPUTED_VALUE"""),114.24)</f>
        <v>114.24</v>
      </c>
      <c r="F7015" s="2">
        <f>IFERROR(__xludf.DUMMYFUNCTION("""COMPUTED_VALUE"""),1.15273E7)</f>
        <v>11527300</v>
      </c>
    </row>
    <row r="7016">
      <c r="A7016" s="3">
        <f>IFERROR(__xludf.DUMMYFUNCTION("""COMPUTED_VALUE"""),39372.666666666664)</f>
        <v>39372.66667</v>
      </c>
      <c r="B7016" s="2">
        <f>IFERROR(__xludf.DUMMYFUNCTION("""COMPUTED_VALUE"""),112.7)</f>
        <v>112.7</v>
      </c>
      <c r="C7016" s="2">
        <f>IFERROR(__xludf.DUMMYFUNCTION("""COMPUTED_VALUE"""),112.72)</f>
        <v>112.72</v>
      </c>
      <c r="D7016" s="2">
        <f>IFERROR(__xludf.DUMMYFUNCTION("""COMPUTED_VALUE"""),109.03)</f>
        <v>109.03</v>
      </c>
      <c r="E7016" s="2">
        <f>IFERROR(__xludf.DUMMYFUNCTION("""COMPUTED_VALUE"""),110.59)</f>
        <v>110.59</v>
      </c>
      <c r="F7016" s="2">
        <f>IFERROR(__xludf.DUMMYFUNCTION("""COMPUTED_VALUE"""),1.81005E7)</f>
        <v>18100500</v>
      </c>
    </row>
    <row r="7017">
      <c r="A7017" s="3">
        <f>IFERROR(__xludf.DUMMYFUNCTION("""COMPUTED_VALUE"""),39373.666666666664)</f>
        <v>39373.66667</v>
      </c>
      <c r="B7017" s="2">
        <f>IFERROR(__xludf.DUMMYFUNCTION("""COMPUTED_VALUE"""),109.98)</f>
        <v>109.98</v>
      </c>
      <c r="C7017" s="2">
        <f>IFERROR(__xludf.DUMMYFUNCTION("""COMPUTED_VALUE"""),111.19)</f>
        <v>111.19</v>
      </c>
      <c r="D7017" s="2">
        <f>IFERROR(__xludf.DUMMYFUNCTION("""COMPUTED_VALUE"""),109.31)</f>
        <v>109.31</v>
      </c>
      <c r="E7017" s="2">
        <f>IFERROR(__xludf.DUMMYFUNCTION("""COMPUTED_VALUE"""),109.65)</f>
        <v>109.65</v>
      </c>
      <c r="F7017" s="2">
        <f>IFERROR(__xludf.DUMMYFUNCTION("""COMPUTED_VALUE"""),7737110.0)</f>
        <v>7737110</v>
      </c>
    </row>
    <row r="7018">
      <c r="A7018" s="3">
        <f>IFERROR(__xludf.DUMMYFUNCTION("""COMPUTED_VALUE"""),39374.666666666664)</f>
        <v>39374.66667</v>
      </c>
      <c r="B7018" s="2">
        <f>IFERROR(__xludf.DUMMYFUNCTION("""COMPUTED_VALUE"""),109.53)</f>
        <v>109.53</v>
      </c>
      <c r="C7018" s="2">
        <f>IFERROR(__xludf.DUMMYFUNCTION("""COMPUTED_VALUE"""),109.78)</f>
        <v>109.78</v>
      </c>
      <c r="D7018" s="2">
        <f>IFERROR(__xludf.DUMMYFUNCTION("""COMPUTED_VALUE"""),106.79)</f>
        <v>106.79</v>
      </c>
      <c r="E7018" s="2">
        <f>IFERROR(__xludf.DUMMYFUNCTION("""COMPUTED_VALUE"""),107.25)</f>
        <v>107.25</v>
      </c>
      <c r="F7018" s="2">
        <f>IFERROR(__xludf.DUMMYFUNCTION("""COMPUTED_VALUE"""),1.032781E7)</f>
        <v>10327810</v>
      </c>
    </row>
    <row r="7019">
      <c r="A7019" s="3">
        <f>IFERROR(__xludf.DUMMYFUNCTION("""COMPUTED_VALUE"""),39377.666666666664)</f>
        <v>39377.66667</v>
      </c>
      <c r="B7019" s="2">
        <f>IFERROR(__xludf.DUMMYFUNCTION("""COMPUTED_VALUE"""),106.02)</f>
        <v>106.02</v>
      </c>
      <c r="C7019" s="2">
        <f>IFERROR(__xludf.DUMMYFUNCTION("""COMPUTED_VALUE"""),108.77)</f>
        <v>108.77</v>
      </c>
      <c r="D7019" s="2">
        <f>IFERROR(__xludf.DUMMYFUNCTION("""COMPUTED_VALUE"""),105.98)</f>
        <v>105.98</v>
      </c>
      <c r="E7019" s="2">
        <f>IFERROR(__xludf.DUMMYFUNCTION("""COMPUTED_VALUE"""),108.29)</f>
        <v>108.29</v>
      </c>
      <c r="F7019" s="2">
        <f>IFERROR(__xludf.DUMMYFUNCTION("""COMPUTED_VALUE"""),7576895.0)</f>
        <v>7576895</v>
      </c>
    </row>
    <row r="7020">
      <c r="A7020" s="3">
        <f>IFERROR(__xludf.DUMMYFUNCTION("""COMPUTED_VALUE"""),39378.666666666664)</f>
        <v>39378.66667</v>
      </c>
      <c r="B7020" s="2">
        <f>IFERROR(__xludf.DUMMYFUNCTION("""COMPUTED_VALUE"""),108.99)</f>
        <v>108.99</v>
      </c>
      <c r="C7020" s="2">
        <f>IFERROR(__xludf.DUMMYFUNCTION("""COMPUTED_VALUE"""),109.65)</f>
        <v>109.65</v>
      </c>
      <c r="D7020" s="2">
        <f>IFERROR(__xludf.DUMMYFUNCTION("""COMPUTED_VALUE"""),108.41)</f>
        <v>108.41</v>
      </c>
      <c r="E7020" s="2">
        <f>IFERROR(__xludf.DUMMYFUNCTION("""COMPUTED_VALUE"""),109.54)</f>
        <v>109.54</v>
      </c>
      <c r="F7020" s="2">
        <f>IFERROR(__xludf.DUMMYFUNCTION("""COMPUTED_VALUE"""),5563200.0)</f>
        <v>5563200</v>
      </c>
    </row>
    <row r="7021">
      <c r="A7021" s="3">
        <f>IFERROR(__xludf.DUMMYFUNCTION("""COMPUTED_VALUE"""),39379.666666666664)</f>
        <v>39379.66667</v>
      </c>
      <c r="B7021" s="2">
        <f>IFERROR(__xludf.DUMMYFUNCTION("""COMPUTED_VALUE"""),109.2)</f>
        <v>109.2</v>
      </c>
      <c r="C7021" s="2">
        <f>IFERROR(__xludf.DUMMYFUNCTION("""COMPUTED_VALUE"""),109.32)</f>
        <v>109.32</v>
      </c>
      <c r="D7021" s="2">
        <f>IFERROR(__xludf.DUMMYFUNCTION("""COMPUTED_VALUE"""),106.67)</f>
        <v>106.67</v>
      </c>
      <c r="E7021" s="2">
        <f>IFERROR(__xludf.DUMMYFUNCTION("""COMPUTED_VALUE"""),107.89)</f>
        <v>107.89</v>
      </c>
      <c r="F7021" s="2">
        <f>IFERROR(__xludf.DUMMYFUNCTION("""COMPUTED_VALUE"""),8072700.0)</f>
        <v>8072700</v>
      </c>
    </row>
    <row r="7022">
      <c r="A7022" s="3">
        <f>IFERROR(__xludf.DUMMYFUNCTION("""COMPUTED_VALUE"""),39380.666666666664)</f>
        <v>39380.66667</v>
      </c>
      <c r="B7022" s="2">
        <f>IFERROR(__xludf.DUMMYFUNCTION("""COMPUTED_VALUE"""),108.14)</f>
        <v>108.14</v>
      </c>
      <c r="C7022" s="2">
        <f>IFERROR(__xludf.DUMMYFUNCTION("""COMPUTED_VALUE"""),109.27)</f>
        <v>109.27</v>
      </c>
      <c r="D7022" s="2">
        <f>IFERROR(__xludf.DUMMYFUNCTION("""COMPUTED_VALUE"""),106.68)</f>
        <v>106.68</v>
      </c>
      <c r="E7022" s="2">
        <f>IFERROR(__xludf.DUMMYFUNCTION("""COMPUTED_VALUE"""),107.75)</f>
        <v>107.75</v>
      </c>
      <c r="F7022" s="2">
        <f>IFERROR(__xludf.DUMMYFUNCTION("""COMPUTED_VALUE"""),6519830.0)</f>
        <v>6519830</v>
      </c>
    </row>
    <row r="7023">
      <c r="A7023" s="3">
        <f>IFERROR(__xludf.DUMMYFUNCTION("""COMPUTED_VALUE"""),39381.666666666664)</f>
        <v>39381.66667</v>
      </c>
      <c r="B7023" s="2">
        <f>IFERROR(__xludf.DUMMYFUNCTION("""COMPUTED_VALUE"""),108.59)</f>
        <v>108.59</v>
      </c>
      <c r="C7023" s="2">
        <f>IFERROR(__xludf.DUMMYFUNCTION("""COMPUTED_VALUE"""),108.89)</f>
        <v>108.89</v>
      </c>
      <c r="D7023" s="2">
        <f>IFERROR(__xludf.DUMMYFUNCTION("""COMPUTED_VALUE"""),107.05)</f>
        <v>107.05</v>
      </c>
      <c r="E7023" s="2">
        <f>IFERROR(__xludf.DUMMYFUNCTION("""COMPUTED_VALUE"""),108.63)</f>
        <v>108.63</v>
      </c>
      <c r="F7023" s="2">
        <f>IFERROR(__xludf.DUMMYFUNCTION("""COMPUTED_VALUE"""),5030300.0)</f>
        <v>5030300</v>
      </c>
    </row>
    <row r="7024">
      <c r="A7024" s="3">
        <f>IFERROR(__xludf.DUMMYFUNCTION("""COMPUTED_VALUE"""),39384.666666666664)</f>
        <v>39384.66667</v>
      </c>
      <c r="B7024" s="2">
        <f>IFERROR(__xludf.DUMMYFUNCTION("""COMPUTED_VALUE"""),108.86)</f>
        <v>108.86</v>
      </c>
      <c r="C7024" s="2">
        <f>IFERROR(__xludf.DUMMYFUNCTION("""COMPUTED_VALUE"""),109.85)</f>
        <v>109.85</v>
      </c>
      <c r="D7024" s="2">
        <f>IFERROR(__xludf.DUMMYFUNCTION("""COMPUTED_VALUE"""),108.75)</f>
        <v>108.75</v>
      </c>
      <c r="E7024" s="2">
        <f>IFERROR(__xludf.DUMMYFUNCTION("""COMPUTED_VALUE"""),109.65)</f>
        <v>109.65</v>
      </c>
      <c r="F7024" s="2">
        <f>IFERROR(__xludf.DUMMYFUNCTION("""COMPUTED_VALUE"""),5103300.0)</f>
        <v>5103300</v>
      </c>
    </row>
    <row r="7025">
      <c r="A7025" s="3">
        <f>IFERROR(__xludf.DUMMYFUNCTION("""COMPUTED_VALUE"""),39385.666666666664)</f>
        <v>39385.66667</v>
      </c>
      <c r="B7025" s="2">
        <f>IFERROR(__xludf.DUMMYFUNCTION("""COMPUTED_VALUE"""),109.37)</f>
        <v>109.37</v>
      </c>
      <c r="C7025" s="2">
        <f>IFERROR(__xludf.DUMMYFUNCTION("""COMPUTED_VALUE"""),109.75)</f>
        <v>109.75</v>
      </c>
      <c r="D7025" s="2">
        <f>IFERROR(__xludf.DUMMYFUNCTION("""COMPUTED_VALUE"""),108.65)</f>
        <v>108.65</v>
      </c>
      <c r="E7025" s="2">
        <f>IFERROR(__xludf.DUMMYFUNCTION("""COMPUTED_VALUE"""),109.0)</f>
        <v>109</v>
      </c>
      <c r="F7025" s="2">
        <f>IFERROR(__xludf.DUMMYFUNCTION("""COMPUTED_VALUE"""),4016300.0)</f>
        <v>4016300</v>
      </c>
    </row>
    <row r="7026">
      <c r="A7026" s="3">
        <f>IFERROR(__xludf.DUMMYFUNCTION("""COMPUTED_VALUE"""),39386.666666666664)</f>
        <v>39386.66667</v>
      </c>
      <c r="B7026" s="2">
        <f>IFERROR(__xludf.DUMMYFUNCTION("""COMPUTED_VALUE"""),109.61)</f>
        <v>109.61</v>
      </c>
      <c r="C7026" s="2">
        <f>IFERROR(__xludf.DUMMYFUNCTION("""COMPUTED_VALUE"""),111.04)</f>
        <v>111.04</v>
      </c>
      <c r="D7026" s="2">
        <f>IFERROR(__xludf.DUMMYFUNCTION("""COMPUTED_VALUE"""),108.2)</f>
        <v>108.2</v>
      </c>
      <c r="E7026" s="2">
        <f>IFERROR(__xludf.DUMMYFUNCTION("""COMPUTED_VALUE"""),110.91)</f>
        <v>110.91</v>
      </c>
      <c r="F7026" s="2">
        <f>IFERROR(__xludf.DUMMYFUNCTION("""COMPUTED_VALUE"""),7217155.0)</f>
        <v>7217155</v>
      </c>
    </row>
    <row r="7027">
      <c r="A7027" s="3">
        <f>IFERROR(__xludf.DUMMYFUNCTION("""COMPUTED_VALUE"""),39387.666666666664)</f>
        <v>39387.66667</v>
      </c>
      <c r="B7027" s="2">
        <f>IFERROR(__xludf.DUMMYFUNCTION("""COMPUTED_VALUE"""),109.96)</f>
        <v>109.96</v>
      </c>
      <c r="C7027" s="2">
        <f>IFERROR(__xludf.DUMMYFUNCTION("""COMPUTED_VALUE"""),110.88)</f>
        <v>110.88</v>
      </c>
      <c r="D7027" s="2">
        <f>IFERROR(__xludf.DUMMYFUNCTION("""COMPUTED_VALUE"""),108.24)</f>
        <v>108.24</v>
      </c>
      <c r="E7027" s="2">
        <f>IFERROR(__xludf.DUMMYFUNCTION("""COMPUTED_VALUE"""),108.55)</f>
        <v>108.55</v>
      </c>
      <c r="F7027" s="2">
        <f>IFERROR(__xludf.DUMMYFUNCTION("""COMPUTED_VALUE"""),7594402.0)</f>
        <v>7594402</v>
      </c>
    </row>
    <row r="7028">
      <c r="A7028" s="3">
        <f>IFERROR(__xludf.DUMMYFUNCTION("""COMPUTED_VALUE"""),39388.666666666664)</f>
        <v>39388.66667</v>
      </c>
      <c r="B7028" s="2">
        <f>IFERROR(__xludf.DUMMYFUNCTION("""COMPUTED_VALUE"""),108.88)</f>
        <v>108.88</v>
      </c>
      <c r="C7028" s="2">
        <f>IFERROR(__xludf.DUMMYFUNCTION("""COMPUTED_VALUE"""),109.99)</f>
        <v>109.99</v>
      </c>
      <c r="D7028" s="2">
        <f>IFERROR(__xludf.DUMMYFUNCTION("""COMPUTED_VALUE"""),108.48)</f>
        <v>108.48</v>
      </c>
      <c r="E7028" s="2">
        <f>IFERROR(__xludf.DUMMYFUNCTION("""COMPUTED_VALUE"""),109.45)</f>
        <v>109.45</v>
      </c>
      <c r="F7028" s="2">
        <f>IFERROR(__xludf.DUMMYFUNCTION("""COMPUTED_VALUE"""),6114900.0)</f>
        <v>6114900</v>
      </c>
    </row>
    <row r="7029">
      <c r="A7029" s="3">
        <f>IFERROR(__xludf.DUMMYFUNCTION("""COMPUTED_VALUE"""),39391.666666666664)</f>
        <v>39391.66667</v>
      </c>
      <c r="B7029" s="2">
        <f>IFERROR(__xludf.DUMMYFUNCTION("""COMPUTED_VALUE"""),109.17)</f>
        <v>109.17</v>
      </c>
      <c r="C7029" s="2">
        <f>IFERROR(__xludf.DUMMYFUNCTION("""COMPUTED_VALUE"""),109.95)</f>
        <v>109.95</v>
      </c>
      <c r="D7029" s="2">
        <f>IFERROR(__xludf.DUMMYFUNCTION("""COMPUTED_VALUE"""),107.77)</f>
        <v>107.77</v>
      </c>
      <c r="E7029" s="2">
        <f>IFERROR(__xludf.DUMMYFUNCTION("""COMPUTED_VALUE"""),108.32)</f>
        <v>108.32</v>
      </c>
      <c r="F7029" s="2">
        <f>IFERROR(__xludf.DUMMYFUNCTION("""COMPUTED_VALUE"""),7159407.0)</f>
        <v>7159407</v>
      </c>
    </row>
    <row r="7030">
      <c r="A7030" s="3">
        <f>IFERROR(__xludf.DUMMYFUNCTION("""COMPUTED_VALUE"""),39392.666666666664)</f>
        <v>39392.66667</v>
      </c>
      <c r="B7030" s="2">
        <f>IFERROR(__xludf.DUMMYFUNCTION("""COMPUTED_VALUE"""),108.32)</f>
        <v>108.32</v>
      </c>
      <c r="C7030" s="2">
        <f>IFERROR(__xludf.DUMMYFUNCTION("""COMPUTED_VALUE"""),108.84)</f>
        <v>108.84</v>
      </c>
      <c r="D7030" s="2">
        <f>IFERROR(__xludf.DUMMYFUNCTION("""COMPUTED_VALUE"""),106.66)</f>
        <v>106.66</v>
      </c>
      <c r="E7030" s="2">
        <f>IFERROR(__xludf.DUMMYFUNCTION("""COMPUTED_VALUE"""),108.1)</f>
        <v>108.1</v>
      </c>
      <c r="F7030" s="2">
        <f>IFERROR(__xludf.DUMMYFUNCTION("""COMPUTED_VALUE"""),7299701.0)</f>
        <v>7299701</v>
      </c>
    </row>
    <row r="7031">
      <c r="A7031" s="3">
        <f>IFERROR(__xludf.DUMMYFUNCTION("""COMPUTED_VALUE"""),39393.666666666664)</f>
        <v>39393.66667</v>
      </c>
      <c r="B7031" s="2">
        <f>IFERROR(__xludf.DUMMYFUNCTION("""COMPUTED_VALUE"""),106.74)</f>
        <v>106.74</v>
      </c>
      <c r="C7031" s="2">
        <f>IFERROR(__xludf.DUMMYFUNCTION("""COMPUTED_VALUE"""),108.54)</f>
        <v>108.54</v>
      </c>
      <c r="D7031" s="2">
        <f>IFERROR(__xludf.DUMMYFUNCTION("""COMPUTED_VALUE"""),105.93)</f>
        <v>105.93</v>
      </c>
      <c r="E7031" s="2">
        <f>IFERROR(__xludf.DUMMYFUNCTION("""COMPUTED_VALUE"""),106.1)</f>
        <v>106.1</v>
      </c>
      <c r="F7031" s="2">
        <f>IFERROR(__xludf.DUMMYFUNCTION("""COMPUTED_VALUE"""),7088284.0)</f>
        <v>7088284</v>
      </c>
    </row>
    <row r="7032">
      <c r="A7032" s="3">
        <f>IFERROR(__xludf.DUMMYFUNCTION("""COMPUTED_VALUE"""),39394.666666666664)</f>
        <v>39394.66667</v>
      </c>
      <c r="B7032" s="2">
        <f>IFERROR(__xludf.DUMMYFUNCTION("""COMPUTED_VALUE"""),105.18)</f>
        <v>105.18</v>
      </c>
      <c r="C7032" s="2">
        <f>IFERROR(__xludf.DUMMYFUNCTION("""COMPUTED_VALUE"""),105.37)</f>
        <v>105.37</v>
      </c>
      <c r="D7032" s="2">
        <f>IFERROR(__xludf.DUMMYFUNCTION("""COMPUTED_VALUE"""),99.33)</f>
        <v>99.33</v>
      </c>
      <c r="E7032" s="2">
        <f>IFERROR(__xludf.DUMMYFUNCTION("""COMPUTED_VALUE"""),101.35)</f>
        <v>101.35</v>
      </c>
      <c r="F7032" s="2">
        <f>IFERROR(__xludf.DUMMYFUNCTION("""COMPUTED_VALUE"""),2.3092568E7)</f>
        <v>23092568</v>
      </c>
    </row>
    <row r="7033">
      <c r="A7033" s="3">
        <f>IFERROR(__xludf.DUMMYFUNCTION("""COMPUTED_VALUE"""),39395.666666666664)</f>
        <v>39395.66667</v>
      </c>
      <c r="B7033" s="2">
        <f>IFERROR(__xludf.DUMMYFUNCTION("""COMPUTED_VALUE"""),96.15)</f>
        <v>96.15</v>
      </c>
      <c r="C7033" s="2">
        <f>IFERROR(__xludf.DUMMYFUNCTION("""COMPUTED_VALUE"""),100.22)</f>
        <v>100.22</v>
      </c>
      <c r="D7033" s="2">
        <f>IFERROR(__xludf.DUMMYFUNCTION("""COMPUTED_VALUE"""),94.82)</f>
        <v>94.82</v>
      </c>
      <c r="E7033" s="2">
        <f>IFERROR(__xludf.DUMMYFUNCTION("""COMPUTED_VALUE"""),95.76)</f>
        <v>95.76</v>
      </c>
      <c r="F7033" s="2">
        <f>IFERROR(__xludf.DUMMYFUNCTION("""COMPUTED_VALUE"""),1.8084552E7)</f>
        <v>18084552</v>
      </c>
    </row>
    <row r="7034">
      <c r="A7034" s="3">
        <f>IFERROR(__xludf.DUMMYFUNCTION("""COMPUTED_VALUE"""),39398.666666666664)</f>
        <v>39398.66667</v>
      </c>
      <c r="B7034" s="2">
        <f>IFERROR(__xludf.DUMMYFUNCTION("""COMPUTED_VALUE"""),95.99)</f>
        <v>95.99</v>
      </c>
      <c r="C7034" s="2">
        <f>IFERROR(__xludf.DUMMYFUNCTION("""COMPUTED_VALUE"""),99.52)</f>
        <v>99.52</v>
      </c>
      <c r="D7034" s="2">
        <f>IFERROR(__xludf.DUMMYFUNCTION("""COMPUTED_VALUE"""),95.99)</f>
        <v>95.99</v>
      </c>
      <c r="E7034" s="2">
        <f>IFERROR(__xludf.DUMMYFUNCTION("""COMPUTED_VALUE"""),96.9)</f>
        <v>96.9</v>
      </c>
      <c r="F7034" s="2">
        <f>IFERROR(__xludf.DUMMYFUNCTION("""COMPUTED_VALUE"""),1.3554259E7)</f>
        <v>13554259</v>
      </c>
    </row>
    <row r="7035">
      <c r="A7035" s="3">
        <f>IFERROR(__xludf.DUMMYFUNCTION("""COMPUTED_VALUE"""),39399.666666666664)</f>
        <v>39399.66667</v>
      </c>
      <c r="B7035" s="2">
        <f>IFERROR(__xludf.DUMMYFUNCTION("""COMPUTED_VALUE"""),98.86)</f>
        <v>98.86</v>
      </c>
      <c r="C7035" s="2">
        <f>IFERROR(__xludf.DUMMYFUNCTION("""COMPUTED_VALUE"""),101.0)</f>
        <v>101</v>
      </c>
      <c r="D7035" s="2">
        <f>IFERROR(__xludf.DUMMYFUNCTION("""COMPUTED_VALUE"""),97.9)</f>
        <v>97.9</v>
      </c>
      <c r="E7035" s="2">
        <f>IFERROR(__xludf.DUMMYFUNCTION("""COMPUTED_VALUE"""),100.55)</f>
        <v>100.55</v>
      </c>
      <c r="F7035" s="2">
        <f>IFERROR(__xludf.DUMMYFUNCTION("""COMPUTED_VALUE"""),1.0777961E7)</f>
        <v>10777961</v>
      </c>
    </row>
    <row r="7036">
      <c r="A7036" s="3">
        <f>IFERROR(__xludf.DUMMYFUNCTION("""COMPUTED_VALUE"""),39400.666666666664)</f>
        <v>39400.66667</v>
      </c>
      <c r="B7036" s="2">
        <f>IFERROR(__xludf.DUMMYFUNCTION("""COMPUTED_VALUE"""),101.36)</f>
        <v>101.36</v>
      </c>
      <c r="C7036" s="2">
        <f>IFERROR(__xludf.DUMMYFUNCTION("""COMPUTED_VALUE"""),101.65)</f>
        <v>101.65</v>
      </c>
      <c r="D7036" s="2">
        <f>IFERROR(__xludf.DUMMYFUNCTION("""COMPUTED_VALUE"""),98.23)</f>
        <v>98.23</v>
      </c>
      <c r="E7036" s="2">
        <f>IFERROR(__xludf.DUMMYFUNCTION("""COMPUTED_VALUE"""),98.8)</f>
        <v>98.8</v>
      </c>
      <c r="F7036" s="2">
        <f>IFERROR(__xludf.DUMMYFUNCTION("""COMPUTED_VALUE"""),8479078.0)</f>
        <v>8479078</v>
      </c>
    </row>
    <row r="7037">
      <c r="A7037" s="3">
        <f>IFERROR(__xludf.DUMMYFUNCTION("""COMPUTED_VALUE"""),39401.666666666664)</f>
        <v>39401.66667</v>
      </c>
      <c r="B7037" s="2">
        <f>IFERROR(__xludf.DUMMYFUNCTION("""COMPUTED_VALUE"""),98.61)</f>
        <v>98.61</v>
      </c>
      <c r="C7037" s="2">
        <f>IFERROR(__xludf.DUMMYFUNCTION("""COMPUTED_VALUE"""),100.9)</f>
        <v>100.9</v>
      </c>
      <c r="D7037" s="2">
        <f>IFERROR(__xludf.DUMMYFUNCTION("""COMPUTED_VALUE"""),98.43)</f>
        <v>98.43</v>
      </c>
      <c r="E7037" s="2">
        <f>IFERROR(__xludf.DUMMYFUNCTION("""COMPUTED_VALUE"""),98.95)</f>
        <v>98.95</v>
      </c>
      <c r="F7037" s="2">
        <f>IFERROR(__xludf.DUMMYFUNCTION("""COMPUTED_VALUE"""),8380171.0)</f>
        <v>8380171</v>
      </c>
    </row>
    <row r="7038">
      <c r="A7038" s="3">
        <f>IFERROR(__xludf.DUMMYFUNCTION("""COMPUTED_VALUE"""),39402.666666666664)</f>
        <v>39402.66667</v>
      </c>
      <c r="B7038" s="2">
        <f>IFERROR(__xludf.DUMMYFUNCTION("""COMPUTED_VALUE"""),99.82)</f>
        <v>99.82</v>
      </c>
      <c r="C7038" s="2">
        <f>IFERROR(__xludf.DUMMYFUNCTION("""COMPUTED_VALUE"""),100.29)</f>
        <v>100.29</v>
      </c>
      <c r="D7038" s="2">
        <f>IFERROR(__xludf.DUMMYFUNCTION("""COMPUTED_VALUE"""),98.62)</f>
        <v>98.62</v>
      </c>
      <c r="E7038" s="2">
        <f>IFERROR(__xludf.DUMMYFUNCTION("""COMPUTED_VALUE"""),100.09)</f>
        <v>100.09</v>
      </c>
      <c r="F7038" s="2">
        <f>IFERROR(__xludf.DUMMYFUNCTION("""COMPUTED_VALUE"""),9294034.0)</f>
        <v>9294034</v>
      </c>
    </row>
    <row r="7039">
      <c r="A7039" s="3">
        <f>IFERROR(__xludf.DUMMYFUNCTION("""COMPUTED_VALUE"""),39405.666666666664)</f>
        <v>39405.66667</v>
      </c>
      <c r="B7039" s="2">
        <f>IFERROR(__xludf.DUMMYFUNCTION("""COMPUTED_VALUE"""),99.66)</f>
        <v>99.66</v>
      </c>
      <c r="C7039" s="2">
        <f>IFERROR(__xludf.DUMMYFUNCTION("""COMPUTED_VALUE"""),100.66)</f>
        <v>100.66</v>
      </c>
      <c r="D7039" s="2">
        <f>IFERROR(__xludf.DUMMYFUNCTION("""COMPUTED_VALUE"""),96.8)</f>
        <v>96.8</v>
      </c>
      <c r="E7039" s="2">
        <f>IFERROR(__xludf.DUMMYFUNCTION("""COMPUTED_VALUE"""),97.64)</f>
        <v>97.64</v>
      </c>
      <c r="F7039" s="2">
        <f>IFERROR(__xludf.DUMMYFUNCTION("""COMPUTED_VALUE"""),9504656.0)</f>
        <v>9504656</v>
      </c>
    </row>
    <row r="7040">
      <c r="A7040" s="3">
        <f>IFERROR(__xludf.DUMMYFUNCTION("""COMPUTED_VALUE"""),39406.666666666664)</f>
        <v>39406.66667</v>
      </c>
      <c r="B7040" s="2">
        <f>IFERROR(__xludf.DUMMYFUNCTION("""COMPUTED_VALUE"""),97.99)</f>
        <v>97.99</v>
      </c>
      <c r="C7040" s="2">
        <f>IFERROR(__xludf.DUMMYFUNCTION("""COMPUTED_VALUE"""),100.26)</f>
        <v>100.26</v>
      </c>
      <c r="D7040" s="2">
        <f>IFERROR(__xludf.DUMMYFUNCTION("""COMPUTED_VALUE"""),96.83)</f>
        <v>96.83</v>
      </c>
      <c r="E7040" s="2">
        <f>IFERROR(__xludf.DUMMYFUNCTION("""COMPUTED_VALUE"""),98.78)</f>
        <v>98.78</v>
      </c>
      <c r="F7040" s="2">
        <f>IFERROR(__xludf.DUMMYFUNCTION("""COMPUTED_VALUE"""),8393339.0)</f>
        <v>8393339</v>
      </c>
    </row>
    <row r="7041">
      <c r="A7041" s="3">
        <f>IFERROR(__xludf.DUMMYFUNCTION("""COMPUTED_VALUE"""),39407.666666666664)</f>
        <v>39407.66667</v>
      </c>
      <c r="B7041" s="2">
        <f>IFERROR(__xludf.DUMMYFUNCTION("""COMPUTED_VALUE"""),96.86)</f>
        <v>96.86</v>
      </c>
      <c r="C7041" s="2">
        <f>IFERROR(__xludf.DUMMYFUNCTION("""COMPUTED_VALUE"""),99.42)</f>
        <v>99.42</v>
      </c>
      <c r="D7041" s="2">
        <f>IFERROR(__xludf.DUMMYFUNCTION("""COMPUTED_VALUE"""),96.86)</f>
        <v>96.86</v>
      </c>
      <c r="E7041" s="2">
        <f>IFERROR(__xludf.DUMMYFUNCTION("""COMPUTED_VALUE"""),97.64)</f>
        <v>97.64</v>
      </c>
      <c r="F7041" s="2">
        <f>IFERROR(__xludf.DUMMYFUNCTION("""COMPUTED_VALUE"""),7097131.0)</f>
        <v>7097131</v>
      </c>
    </row>
    <row r="7042">
      <c r="A7042" s="3">
        <f>IFERROR(__xludf.DUMMYFUNCTION("""COMPUTED_VALUE"""),39409.666666666664)</f>
        <v>39409.66667</v>
      </c>
      <c r="B7042" s="2">
        <f>IFERROR(__xludf.DUMMYFUNCTION("""COMPUTED_VALUE"""),98.48)</f>
        <v>98.48</v>
      </c>
      <c r="C7042" s="2">
        <f>IFERROR(__xludf.DUMMYFUNCTION("""COMPUTED_VALUE"""),99.47)</f>
        <v>99.47</v>
      </c>
      <c r="D7042" s="2">
        <f>IFERROR(__xludf.DUMMYFUNCTION("""COMPUTED_VALUE"""),97.73)</f>
        <v>97.73</v>
      </c>
      <c r="E7042" s="2">
        <f>IFERROR(__xludf.DUMMYFUNCTION("""COMPUTED_VALUE"""),99.38)</f>
        <v>99.38</v>
      </c>
      <c r="F7042" s="2">
        <f>IFERROR(__xludf.DUMMYFUNCTION("""COMPUTED_VALUE"""),2827667.0)</f>
        <v>2827667</v>
      </c>
    </row>
    <row r="7043">
      <c r="A7043" s="3">
        <f>IFERROR(__xludf.DUMMYFUNCTION("""COMPUTED_VALUE"""),39412.666666666664)</f>
        <v>39412.66667</v>
      </c>
      <c r="B7043" s="2">
        <f>IFERROR(__xludf.DUMMYFUNCTION("""COMPUTED_VALUE"""),99.59)</f>
        <v>99.59</v>
      </c>
      <c r="C7043" s="2">
        <f>IFERROR(__xludf.DUMMYFUNCTION("""COMPUTED_VALUE"""),100.44)</f>
        <v>100.44</v>
      </c>
      <c r="D7043" s="2">
        <f>IFERROR(__xludf.DUMMYFUNCTION("""COMPUTED_VALUE"""),97.16)</f>
        <v>97.16</v>
      </c>
      <c r="E7043" s="2">
        <f>IFERROR(__xludf.DUMMYFUNCTION("""COMPUTED_VALUE"""),97.4)</f>
        <v>97.4</v>
      </c>
      <c r="F7043" s="2">
        <f>IFERROR(__xludf.DUMMYFUNCTION("""COMPUTED_VALUE"""),7339966.0)</f>
        <v>7339966</v>
      </c>
    </row>
    <row r="7044">
      <c r="A7044" s="3">
        <f>IFERROR(__xludf.DUMMYFUNCTION("""COMPUTED_VALUE"""),39413.666666666664)</f>
        <v>39413.66667</v>
      </c>
      <c r="B7044" s="2">
        <f>IFERROR(__xludf.DUMMYFUNCTION("""COMPUTED_VALUE"""),98.1)</f>
        <v>98.1</v>
      </c>
      <c r="C7044" s="2">
        <f>IFERROR(__xludf.DUMMYFUNCTION("""COMPUTED_VALUE"""),99.89)</f>
        <v>99.89</v>
      </c>
      <c r="D7044" s="2">
        <f>IFERROR(__xludf.DUMMYFUNCTION("""COMPUTED_VALUE"""),96.95)</f>
        <v>96.95</v>
      </c>
      <c r="E7044" s="2">
        <f>IFERROR(__xludf.DUMMYFUNCTION("""COMPUTED_VALUE"""),99.17)</f>
        <v>99.17</v>
      </c>
      <c r="F7044" s="2">
        <f>IFERROR(__xludf.DUMMYFUNCTION("""COMPUTED_VALUE"""),9117409.0)</f>
        <v>9117409</v>
      </c>
    </row>
    <row r="7045">
      <c r="A7045" s="3">
        <f>IFERROR(__xludf.DUMMYFUNCTION("""COMPUTED_VALUE"""),39414.666666666664)</f>
        <v>39414.66667</v>
      </c>
      <c r="B7045" s="2">
        <f>IFERROR(__xludf.DUMMYFUNCTION("""COMPUTED_VALUE"""),100.12)</f>
        <v>100.12</v>
      </c>
      <c r="C7045" s="2">
        <f>IFERROR(__xludf.DUMMYFUNCTION("""COMPUTED_VALUE"""),103.42)</f>
        <v>103.42</v>
      </c>
      <c r="D7045" s="2">
        <f>IFERROR(__xludf.DUMMYFUNCTION("""COMPUTED_VALUE"""),99.68)</f>
        <v>99.68</v>
      </c>
      <c r="E7045" s="2">
        <f>IFERROR(__xludf.DUMMYFUNCTION("""COMPUTED_VALUE"""),102.56)</f>
        <v>102.56</v>
      </c>
      <c r="F7045" s="2">
        <f>IFERROR(__xludf.DUMMYFUNCTION("""COMPUTED_VALUE"""),9397627.0)</f>
        <v>9397627</v>
      </c>
    </row>
    <row r="7046">
      <c r="A7046" s="3">
        <f>IFERROR(__xludf.DUMMYFUNCTION("""COMPUTED_VALUE"""),39415.666666666664)</f>
        <v>39415.66667</v>
      </c>
      <c r="B7046" s="2">
        <f>IFERROR(__xludf.DUMMYFUNCTION("""COMPUTED_VALUE"""),102.43)</f>
        <v>102.43</v>
      </c>
      <c r="C7046" s="2">
        <f>IFERROR(__xludf.DUMMYFUNCTION("""COMPUTED_VALUE"""),103.03)</f>
        <v>103.03</v>
      </c>
      <c r="D7046" s="2">
        <f>IFERROR(__xludf.DUMMYFUNCTION("""COMPUTED_VALUE"""),101.49)</f>
        <v>101.49</v>
      </c>
      <c r="E7046" s="2">
        <f>IFERROR(__xludf.DUMMYFUNCTION("""COMPUTED_VALUE"""),102.68)</f>
        <v>102.68</v>
      </c>
      <c r="F7046" s="2">
        <f>IFERROR(__xludf.DUMMYFUNCTION("""COMPUTED_VALUE"""),7813802.0)</f>
        <v>7813802</v>
      </c>
    </row>
    <row r="7047">
      <c r="A7047" s="3">
        <f>IFERROR(__xludf.DUMMYFUNCTION("""COMPUTED_VALUE"""),39416.666666666664)</f>
        <v>39416.66667</v>
      </c>
      <c r="B7047" s="2">
        <f>IFERROR(__xludf.DUMMYFUNCTION("""COMPUTED_VALUE"""),103.7)</f>
        <v>103.7</v>
      </c>
      <c r="C7047" s="2">
        <f>IFERROR(__xludf.DUMMYFUNCTION("""COMPUTED_VALUE"""),104.29)</f>
        <v>104.29</v>
      </c>
      <c r="D7047" s="2">
        <f>IFERROR(__xludf.DUMMYFUNCTION("""COMPUTED_VALUE"""),99.27)</f>
        <v>99.27</v>
      </c>
      <c r="E7047" s="2">
        <f>IFERROR(__xludf.DUMMYFUNCTION("""COMPUTED_VALUE"""),100.46)</f>
        <v>100.46</v>
      </c>
      <c r="F7047" s="2">
        <f>IFERROR(__xludf.DUMMYFUNCTION("""COMPUTED_VALUE"""),1.2900375E7)</f>
        <v>12900375</v>
      </c>
    </row>
    <row r="7048">
      <c r="A7048" s="3">
        <f>IFERROR(__xludf.DUMMYFUNCTION("""COMPUTED_VALUE"""),39419.666666666664)</f>
        <v>39419.66667</v>
      </c>
      <c r="B7048" s="2">
        <f>IFERROR(__xludf.DUMMYFUNCTION("""COMPUTED_VALUE"""),100.82)</f>
        <v>100.82</v>
      </c>
      <c r="C7048" s="2">
        <f>IFERROR(__xludf.DUMMYFUNCTION("""COMPUTED_VALUE"""),102.34)</f>
        <v>102.34</v>
      </c>
      <c r="D7048" s="2">
        <f>IFERROR(__xludf.DUMMYFUNCTION("""COMPUTED_VALUE"""),99.89)</f>
        <v>99.89</v>
      </c>
      <c r="E7048" s="2">
        <f>IFERROR(__xludf.DUMMYFUNCTION("""COMPUTED_VALUE"""),101.09)</f>
        <v>101.09</v>
      </c>
      <c r="F7048" s="2">
        <f>IFERROR(__xludf.DUMMYFUNCTION("""COMPUTED_VALUE"""),7929711.0)</f>
        <v>7929711</v>
      </c>
    </row>
    <row r="7049">
      <c r="A7049" s="3">
        <f>IFERROR(__xludf.DUMMYFUNCTION("""COMPUTED_VALUE"""),39420.666666666664)</f>
        <v>39420.66667</v>
      </c>
      <c r="B7049" s="2">
        <f>IFERROR(__xludf.DUMMYFUNCTION("""COMPUTED_VALUE"""),100.68)</f>
        <v>100.68</v>
      </c>
      <c r="C7049" s="2">
        <f>IFERROR(__xludf.DUMMYFUNCTION("""COMPUTED_VALUE"""),102.6)</f>
        <v>102.6</v>
      </c>
      <c r="D7049" s="2">
        <f>IFERROR(__xludf.DUMMYFUNCTION("""COMPUTED_VALUE"""),100.02)</f>
        <v>100.02</v>
      </c>
      <c r="E7049" s="2">
        <f>IFERROR(__xludf.DUMMYFUNCTION("""COMPUTED_VALUE"""),101.85)</f>
        <v>101.85</v>
      </c>
      <c r="F7049" s="2">
        <f>IFERROR(__xludf.DUMMYFUNCTION("""COMPUTED_VALUE"""),6361726.0)</f>
        <v>6361726</v>
      </c>
    </row>
    <row r="7050">
      <c r="A7050" s="3">
        <f>IFERROR(__xludf.DUMMYFUNCTION("""COMPUTED_VALUE"""),39421.666666666664)</f>
        <v>39421.66667</v>
      </c>
      <c r="B7050" s="2">
        <f>IFERROR(__xludf.DUMMYFUNCTION("""COMPUTED_VALUE"""),103.0)</f>
        <v>103</v>
      </c>
      <c r="C7050" s="2">
        <f>IFERROR(__xludf.DUMMYFUNCTION("""COMPUTED_VALUE"""),103.65)</f>
        <v>103.65</v>
      </c>
      <c r="D7050" s="2">
        <f>IFERROR(__xludf.DUMMYFUNCTION("""COMPUTED_VALUE"""),102.18)</f>
        <v>102.18</v>
      </c>
      <c r="E7050" s="2">
        <f>IFERROR(__xludf.DUMMYFUNCTION("""COMPUTED_VALUE"""),103.31)</f>
        <v>103.31</v>
      </c>
      <c r="F7050" s="2">
        <f>IFERROR(__xludf.DUMMYFUNCTION("""COMPUTED_VALUE"""),6090340.0)</f>
        <v>6090340</v>
      </c>
    </row>
    <row r="7051">
      <c r="A7051" s="3">
        <f>IFERROR(__xludf.DUMMYFUNCTION("""COMPUTED_VALUE"""),39422.666666666664)</f>
        <v>39422.66667</v>
      </c>
      <c r="B7051" s="2">
        <f>IFERROR(__xludf.DUMMYFUNCTION("""COMPUTED_VALUE"""),103.16)</f>
        <v>103.16</v>
      </c>
      <c r="C7051" s="2">
        <f>IFERROR(__xludf.DUMMYFUNCTION("""COMPUTED_VALUE"""),105.07)</f>
        <v>105.07</v>
      </c>
      <c r="D7051" s="2">
        <f>IFERROR(__xludf.DUMMYFUNCTION("""COMPUTED_VALUE"""),103.09)</f>
        <v>103.09</v>
      </c>
      <c r="E7051" s="2">
        <f>IFERROR(__xludf.DUMMYFUNCTION("""COMPUTED_VALUE"""),104.78)</f>
        <v>104.78</v>
      </c>
      <c r="F7051" s="2">
        <f>IFERROR(__xludf.DUMMYFUNCTION("""COMPUTED_VALUE"""),5315645.0)</f>
        <v>5315645</v>
      </c>
    </row>
    <row r="7052">
      <c r="A7052" s="3">
        <f>IFERROR(__xludf.DUMMYFUNCTION("""COMPUTED_VALUE"""),39423.666666666664)</f>
        <v>39423.66667</v>
      </c>
      <c r="B7052" s="2">
        <f>IFERROR(__xludf.DUMMYFUNCTION("""COMPUTED_VALUE"""),104.76)</f>
        <v>104.76</v>
      </c>
      <c r="C7052" s="2">
        <f>IFERROR(__xludf.DUMMYFUNCTION("""COMPUTED_VALUE"""),105.07)</f>
        <v>105.07</v>
      </c>
      <c r="D7052" s="2">
        <f>IFERROR(__xludf.DUMMYFUNCTION("""COMPUTED_VALUE"""),103.11)</f>
        <v>103.11</v>
      </c>
      <c r="E7052" s="2">
        <f>IFERROR(__xludf.DUMMYFUNCTION("""COMPUTED_VALUE"""),103.98)</f>
        <v>103.98</v>
      </c>
      <c r="F7052" s="2">
        <f>IFERROR(__xludf.DUMMYFUNCTION("""COMPUTED_VALUE"""),5985432.0)</f>
        <v>5985432</v>
      </c>
    </row>
    <row r="7053">
      <c r="A7053" s="3">
        <f>IFERROR(__xludf.DUMMYFUNCTION("""COMPUTED_VALUE"""),39426.666666666664)</f>
        <v>39426.66667</v>
      </c>
      <c r="B7053" s="2">
        <f>IFERROR(__xludf.DUMMYFUNCTION("""COMPUTED_VALUE"""),104.48)</f>
        <v>104.48</v>
      </c>
      <c r="C7053" s="2">
        <f>IFERROR(__xludf.DUMMYFUNCTION("""COMPUTED_VALUE"""),105.32)</f>
        <v>105.32</v>
      </c>
      <c r="D7053" s="2">
        <f>IFERROR(__xludf.DUMMYFUNCTION("""COMPUTED_VALUE"""),104.11)</f>
        <v>104.11</v>
      </c>
      <c r="E7053" s="2">
        <f>IFERROR(__xludf.DUMMYFUNCTION("""COMPUTED_VALUE"""),104.49)</f>
        <v>104.49</v>
      </c>
      <c r="F7053" s="2">
        <f>IFERROR(__xludf.DUMMYFUNCTION("""COMPUTED_VALUE"""),4442167.0)</f>
        <v>4442167</v>
      </c>
    </row>
    <row r="7054">
      <c r="A7054" s="3">
        <f>IFERROR(__xludf.DUMMYFUNCTION("""COMPUTED_VALUE"""),39427.666666666664)</f>
        <v>39427.66667</v>
      </c>
      <c r="B7054" s="2">
        <f>IFERROR(__xludf.DUMMYFUNCTION("""COMPUTED_VALUE"""),104.44)</f>
        <v>104.44</v>
      </c>
      <c r="C7054" s="2">
        <f>IFERROR(__xludf.DUMMYFUNCTION("""COMPUTED_VALUE"""),105.45)</f>
        <v>105.45</v>
      </c>
      <c r="D7054" s="2">
        <f>IFERROR(__xludf.DUMMYFUNCTION("""COMPUTED_VALUE"""),101.69)</f>
        <v>101.69</v>
      </c>
      <c r="E7054" s="2">
        <f>IFERROR(__xludf.DUMMYFUNCTION("""COMPUTED_VALUE"""),102.19)</f>
        <v>102.19</v>
      </c>
      <c r="F7054" s="2">
        <f>IFERROR(__xludf.DUMMYFUNCTION("""COMPUTED_VALUE"""),8441444.0)</f>
        <v>8441444</v>
      </c>
    </row>
    <row r="7055">
      <c r="A7055" s="3">
        <f>IFERROR(__xludf.DUMMYFUNCTION("""COMPUTED_VALUE"""),39428.666666666664)</f>
        <v>39428.66667</v>
      </c>
      <c r="B7055" s="2">
        <f>IFERROR(__xludf.DUMMYFUNCTION("""COMPUTED_VALUE"""),104.28)</f>
        <v>104.28</v>
      </c>
      <c r="C7055" s="2">
        <f>IFERROR(__xludf.DUMMYFUNCTION("""COMPUTED_VALUE"""),105.26)</f>
        <v>105.26</v>
      </c>
      <c r="D7055" s="2">
        <f>IFERROR(__xludf.DUMMYFUNCTION("""COMPUTED_VALUE"""),102.57)</f>
        <v>102.57</v>
      </c>
      <c r="E7055" s="2">
        <f>IFERROR(__xludf.DUMMYFUNCTION("""COMPUTED_VALUE"""),103.61)</f>
        <v>103.61</v>
      </c>
      <c r="F7055" s="2">
        <f>IFERROR(__xludf.DUMMYFUNCTION("""COMPUTED_VALUE"""),7879853.0)</f>
        <v>7879853</v>
      </c>
    </row>
    <row r="7056">
      <c r="A7056" s="3">
        <f>IFERROR(__xludf.DUMMYFUNCTION("""COMPUTED_VALUE"""),39429.666666666664)</f>
        <v>39429.66667</v>
      </c>
      <c r="B7056" s="2">
        <f>IFERROR(__xludf.DUMMYFUNCTION("""COMPUTED_VALUE"""),103.16)</f>
        <v>103.16</v>
      </c>
      <c r="C7056" s="2">
        <f>IFERROR(__xludf.DUMMYFUNCTION("""COMPUTED_VALUE"""),103.77)</f>
        <v>103.77</v>
      </c>
      <c r="D7056" s="2">
        <f>IFERROR(__xludf.DUMMYFUNCTION("""COMPUTED_VALUE"""),102.15)</f>
        <v>102.15</v>
      </c>
      <c r="E7056" s="2">
        <f>IFERROR(__xludf.DUMMYFUNCTION("""COMPUTED_VALUE"""),103.33)</f>
        <v>103.33</v>
      </c>
      <c r="F7056" s="2">
        <f>IFERROR(__xludf.DUMMYFUNCTION("""COMPUTED_VALUE"""),6252789.0)</f>
        <v>6252789</v>
      </c>
    </row>
    <row r="7057">
      <c r="A7057" s="3">
        <f>IFERROR(__xludf.DUMMYFUNCTION("""COMPUTED_VALUE"""),39430.666666666664)</f>
        <v>39430.66667</v>
      </c>
      <c r="B7057" s="2">
        <f>IFERROR(__xludf.DUMMYFUNCTION("""COMPUTED_VALUE"""),102.5)</f>
        <v>102.5</v>
      </c>
      <c r="C7057" s="2">
        <f>IFERROR(__xludf.DUMMYFUNCTION("""COMPUTED_VALUE"""),102.74)</f>
        <v>102.74</v>
      </c>
      <c r="D7057" s="2">
        <f>IFERROR(__xludf.DUMMYFUNCTION("""COMPUTED_VALUE"""),99.43)</f>
        <v>99.43</v>
      </c>
      <c r="E7057" s="2">
        <f>IFERROR(__xludf.DUMMYFUNCTION("""COMPUTED_VALUE"""),101.03)</f>
        <v>101.03</v>
      </c>
      <c r="F7057" s="2">
        <f>IFERROR(__xludf.DUMMYFUNCTION("""COMPUTED_VALUE"""),9711145.0)</f>
        <v>9711145</v>
      </c>
    </row>
    <row r="7058">
      <c r="A7058" s="3">
        <f>IFERROR(__xludf.DUMMYFUNCTION("""COMPUTED_VALUE"""),39433.666666666664)</f>
        <v>39433.66667</v>
      </c>
      <c r="B7058" s="2">
        <f>IFERROR(__xludf.DUMMYFUNCTION("""COMPUTED_VALUE"""),100.65)</f>
        <v>100.65</v>
      </c>
      <c r="C7058" s="2">
        <f>IFERROR(__xludf.DUMMYFUNCTION("""COMPUTED_VALUE"""),101.24)</f>
        <v>101.24</v>
      </c>
      <c r="D7058" s="2">
        <f>IFERROR(__xludf.DUMMYFUNCTION("""COMPUTED_VALUE"""),99.34)</f>
        <v>99.34</v>
      </c>
      <c r="E7058" s="2">
        <f>IFERROR(__xludf.DUMMYFUNCTION("""COMPUTED_VALUE"""),99.84)</f>
        <v>99.84</v>
      </c>
      <c r="F7058" s="2">
        <f>IFERROR(__xludf.DUMMYFUNCTION("""COMPUTED_VALUE"""),7131214.0)</f>
        <v>7131214</v>
      </c>
    </row>
    <row r="7059">
      <c r="A7059" s="3">
        <f>IFERROR(__xludf.DUMMYFUNCTION("""COMPUTED_VALUE"""),39434.666666666664)</f>
        <v>39434.66667</v>
      </c>
      <c r="B7059" s="2">
        <f>IFERROR(__xludf.DUMMYFUNCTION("""COMPUTED_VALUE"""),100.37)</f>
        <v>100.37</v>
      </c>
      <c r="C7059" s="2">
        <f>IFERROR(__xludf.DUMMYFUNCTION("""COMPUTED_VALUE"""),102.17)</f>
        <v>102.17</v>
      </c>
      <c r="D7059" s="2">
        <f>IFERROR(__xludf.DUMMYFUNCTION("""COMPUTED_VALUE"""),99.46)</f>
        <v>99.46</v>
      </c>
      <c r="E7059" s="2">
        <f>IFERROR(__xludf.DUMMYFUNCTION("""COMPUTED_VALUE"""),101.54)</f>
        <v>101.54</v>
      </c>
      <c r="F7059" s="2">
        <f>IFERROR(__xludf.DUMMYFUNCTION("""COMPUTED_VALUE"""),8042027.0)</f>
        <v>8042027</v>
      </c>
    </row>
    <row r="7060">
      <c r="A7060" s="3">
        <f>IFERROR(__xludf.DUMMYFUNCTION("""COMPUTED_VALUE"""),39435.666666666664)</f>
        <v>39435.66667</v>
      </c>
      <c r="B7060" s="2">
        <f>IFERROR(__xludf.DUMMYFUNCTION("""COMPUTED_VALUE"""),101.76)</f>
        <v>101.76</v>
      </c>
      <c r="C7060" s="2">
        <f>IFERROR(__xludf.DUMMYFUNCTION("""COMPUTED_VALUE"""),103.52)</f>
        <v>103.52</v>
      </c>
      <c r="D7060" s="2">
        <f>IFERROR(__xludf.DUMMYFUNCTION("""COMPUTED_VALUE"""),101.12)</f>
        <v>101.12</v>
      </c>
      <c r="E7060" s="2">
        <f>IFERROR(__xludf.DUMMYFUNCTION("""COMPUTED_VALUE"""),102.34)</f>
        <v>102.34</v>
      </c>
      <c r="F7060" s="2">
        <f>IFERROR(__xludf.DUMMYFUNCTION("""COMPUTED_VALUE"""),7032962.0)</f>
        <v>7032962</v>
      </c>
    </row>
    <row r="7061">
      <c r="A7061" s="3">
        <f>IFERROR(__xludf.DUMMYFUNCTION("""COMPUTED_VALUE"""),39436.666666666664)</f>
        <v>39436.66667</v>
      </c>
      <c r="B7061" s="2">
        <f>IFERROR(__xludf.DUMMYFUNCTION("""COMPUTED_VALUE"""),102.95)</f>
        <v>102.95</v>
      </c>
      <c r="C7061" s="2">
        <f>IFERROR(__xludf.DUMMYFUNCTION("""COMPUTED_VALUE"""),104.58)</f>
        <v>104.58</v>
      </c>
      <c r="D7061" s="2">
        <f>IFERROR(__xludf.DUMMYFUNCTION("""COMPUTED_VALUE"""),102.79)</f>
        <v>102.79</v>
      </c>
      <c r="E7061" s="2">
        <f>IFERROR(__xludf.DUMMYFUNCTION("""COMPUTED_VALUE"""),103.96)</f>
        <v>103.96</v>
      </c>
      <c r="F7061" s="2">
        <f>IFERROR(__xludf.DUMMYFUNCTION("""COMPUTED_VALUE"""),8031009.0)</f>
        <v>8031009</v>
      </c>
    </row>
    <row r="7062">
      <c r="A7062" s="3">
        <f>IFERROR(__xludf.DUMMYFUNCTION("""COMPUTED_VALUE"""),39437.666666666664)</f>
        <v>39437.66667</v>
      </c>
      <c r="B7062" s="2">
        <f>IFERROR(__xludf.DUMMYFUNCTION("""COMPUTED_VALUE"""),104.97)</f>
        <v>104.97</v>
      </c>
      <c r="C7062" s="2">
        <f>IFERROR(__xludf.DUMMYFUNCTION("""COMPUTED_VALUE"""),106.18)</f>
        <v>106.18</v>
      </c>
      <c r="D7062" s="2">
        <f>IFERROR(__xludf.DUMMYFUNCTION("""COMPUTED_VALUE"""),104.26)</f>
        <v>104.26</v>
      </c>
      <c r="E7062" s="2">
        <f>IFERROR(__xludf.DUMMYFUNCTION("""COMPUTED_VALUE"""),106.07)</f>
        <v>106.07</v>
      </c>
      <c r="F7062" s="2">
        <f>IFERROR(__xludf.DUMMYFUNCTION("""COMPUTED_VALUE"""),1.3265799E7)</f>
        <v>13265799</v>
      </c>
    </row>
    <row r="7063">
      <c r="A7063" s="3">
        <f>IFERROR(__xludf.DUMMYFUNCTION("""COMPUTED_VALUE"""),39440.666666666664)</f>
        <v>39440.66667</v>
      </c>
      <c r="B7063" s="2">
        <f>IFERROR(__xludf.DUMMYFUNCTION("""COMPUTED_VALUE"""),106.21)</f>
        <v>106.21</v>
      </c>
      <c r="C7063" s="2">
        <f>IFERROR(__xludf.DUMMYFUNCTION("""COMPUTED_VALUE"""),106.98)</f>
        <v>106.98</v>
      </c>
      <c r="D7063" s="2">
        <f>IFERROR(__xludf.DUMMYFUNCTION("""COMPUTED_VALUE"""),105.59)</f>
        <v>105.59</v>
      </c>
      <c r="E7063" s="2">
        <f>IFERROR(__xludf.DUMMYFUNCTION("""COMPUTED_VALUE"""),106.64)</f>
        <v>106.64</v>
      </c>
      <c r="F7063" s="2">
        <f>IFERROR(__xludf.DUMMYFUNCTION("""COMPUTED_VALUE"""),2342363.0)</f>
        <v>2342363</v>
      </c>
    </row>
    <row r="7064">
      <c r="A7064" s="3">
        <f>IFERROR(__xludf.DUMMYFUNCTION("""COMPUTED_VALUE"""),39442.666666666664)</f>
        <v>39442.66667</v>
      </c>
      <c r="B7064" s="2">
        <f>IFERROR(__xludf.DUMMYFUNCTION("""COMPUTED_VALUE"""),105.93)</f>
        <v>105.93</v>
      </c>
      <c r="C7064" s="2">
        <f>IFERROR(__xludf.DUMMYFUNCTION("""COMPUTED_VALUE"""),107.16)</f>
        <v>107.16</v>
      </c>
      <c r="D7064" s="2">
        <f>IFERROR(__xludf.DUMMYFUNCTION("""COMPUTED_VALUE"""),105.93)</f>
        <v>105.93</v>
      </c>
      <c r="E7064" s="2">
        <f>IFERROR(__xludf.DUMMYFUNCTION("""COMPUTED_VALUE"""),106.56)</f>
        <v>106.56</v>
      </c>
      <c r="F7064" s="2">
        <f>IFERROR(__xludf.DUMMYFUNCTION("""COMPUTED_VALUE"""),3849396.0)</f>
        <v>3849396</v>
      </c>
    </row>
    <row r="7065">
      <c r="A7065" s="3">
        <f>IFERROR(__xludf.DUMMYFUNCTION("""COMPUTED_VALUE"""),39443.666666666664)</f>
        <v>39443.66667</v>
      </c>
      <c r="B7065" s="2">
        <f>IFERROR(__xludf.DUMMYFUNCTION("""COMPUTED_VALUE"""),106.12)</f>
        <v>106.12</v>
      </c>
      <c r="C7065" s="2">
        <f>IFERROR(__xludf.DUMMYFUNCTION("""COMPUTED_VALUE"""),106.31)</f>
        <v>106.31</v>
      </c>
      <c r="D7065" s="2">
        <f>IFERROR(__xludf.DUMMYFUNCTION("""COMPUTED_VALUE"""),104.58)</f>
        <v>104.58</v>
      </c>
      <c r="E7065" s="2">
        <f>IFERROR(__xludf.DUMMYFUNCTION("""COMPUTED_VALUE"""),104.69)</f>
        <v>104.69</v>
      </c>
      <c r="F7065" s="2">
        <f>IFERROR(__xludf.DUMMYFUNCTION("""COMPUTED_VALUE"""),4514761.0)</f>
        <v>4514761</v>
      </c>
    </row>
    <row r="7066">
      <c r="A7066" s="3">
        <f>IFERROR(__xludf.DUMMYFUNCTION("""COMPUTED_VALUE"""),39444.666666666664)</f>
        <v>39444.66667</v>
      </c>
      <c r="B7066" s="2">
        <f>IFERROR(__xludf.DUMMYFUNCTION("""COMPUTED_VALUE"""),105.43)</f>
        <v>105.43</v>
      </c>
      <c r="C7066" s="2">
        <f>IFERROR(__xludf.DUMMYFUNCTION("""COMPUTED_VALUE"""),105.79)</f>
        <v>105.79</v>
      </c>
      <c r="D7066" s="2">
        <f>IFERROR(__xludf.DUMMYFUNCTION("""COMPUTED_VALUE"""),104.22)</f>
        <v>104.22</v>
      </c>
      <c r="E7066" s="2">
        <f>IFERROR(__xludf.DUMMYFUNCTION("""COMPUTED_VALUE"""),105.15)</f>
        <v>105.15</v>
      </c>
      <c r="F7066" s="2">
        <f>IFERROR(__xludf.DUMMYFUNCTION("""COMPUTED_VALUE"""),5834434.0)</f>
        <v>5834434</v>
      </c>
    </row>
    <row r="7067">
      <c r="A7067" s="3">
        <f>IFERROR(__xludf.DUMMYFUNCTION("""COMPUTED_VALUE"""),39447.666666666664)</f>
        <v>39447.66667</v>
      </c>
      <c r="B7067" s="2">
        <f>IFERROR(__xludf.DUMMYFUNCTION("""COMPUTED_VALUE"""),104.6)</f>
        <v>104.6</v>
      </c>
      <c r="C7067" s="2">
        <f>IFERROR(__xludf.DUMMYFUNCTION("""COMPUTED_VALUE"""),105.07)</f>
        <v>105.07</v>
      </c>
      <c r="D7067" s="2">
        <f>IFERROR(__xludf.DUMMYFUNCTION("""COMPUTED_VALUE"""),102.45)</f>
        <v>102.45</v>
      </c>
      <c r="E7067" s="2">
        <f>IFERROR(__xludf.DUMMYFUNCTION("""COMPUTED_VALUE"""),103.25)</f>
        <v>103.25</v>
      </c>
      <c r="F7067" s="2">
        <f>IFERROR(__xludf.DUMMYFUNCTION("""COMPUTED_VALUE"""),5732866.0)</f>
        <v>5732866</v>
      </c>
    </row>
    <row r="7068">
      <c r="A7068" s="3">
        <f>IFERROR(__xludf.DUMMYFUNCTION("""COMPUTED_VALUE"""),39449.666666666664)</f>
        <v>39449.66667</v>
      </c>
      <c r="B7068" s="2">
        <f>IFERROR(__xludf.DUMMYFUNCTION("""COMPUTED_VALUE"""),104.1)</f>
        <v>104.1</v>
      </c>
      <c r="C7068" s="2">
        <f>IFERROR(__xludf.DUMMYFUNCTION("""COMPUTED_VALUE"""),104.1)</f>
        <v>104.1</v>
      </c>
      <c r="D7068" s="2">
        <f>IFERROR(__xludf.DUMMYFUNCTION("""COMPUTED_VALUE"""),99.5)</f>
        <v>99.5</v>
      </c>
      <c r="E7068" s="2">
        <f>IFERROR(__xludf.DUMMYFUNCTION("""COMPUTED_VALUE"""),100.0)</f>
        <v>100</v>
      </c>
      <c r="F7068" s="2">
        <f>IFERROR(__xludf.DUMMYFUNCTION("""COMPUTED_VALUE"""),9503410.0)</f>
        <v>9503410</v>
      </c>
    </row>
    <row r="7069">
      <c r="A7069" s="3">
        <f>IFERROR(__xludf.DUMMYFUNCTION("""COMPUTED_VALUE"""),39450.666666666664)</f>
        <v>39450.66667</v>
      </c>
      <c r="B7069" s="2">
        <f>IFERROR(__xludf.DUMMYFUNCTION("""COMPUTED_VALUE"""),100.13)</f>
        <v>100.13</v>
      </c>
      <c r="C7069" s="2">
        <f>IFERROR(__xludf.DUMMYFUNCTION("""COMPUTED_VALUE"""),100.84)</f>
        <v>100.84</v>
      </c>
      <c r="D7069" s="2">
        <f>IFERROR(__xludf.DUMMYFUNCTION("""COMPUTED_VALUE"""),99.32)</f>
        <v>99.32</v>
      </c>
      <c r="E7069" s="2">
        <f>IFERROR(__xludf.DUMMYFUNCTION("""COMPUTED_VALUE"""),100.2)</f>
        <v>100.2</v>
      </c>
      <c r="F7069" s="2">
        <f>IFERROR(__xludf.DUMMYFUNCTION("""COMPUTED_VALUE"""),7529206.0)</f>
        <v>7529206</v>
      </c>
    </row>
    <row r="7070">
      <c r="A7070" s="3">
        <f>IFERROR(__xludf.DUMMYFUNCTION("""COMPUTED_VALUE"""),39451.666666666664)</f>
        <v>39451.66667</v>
      </c>
      <c r="B7070" s="2">
        <f>IFERROR(__xludf.DUMMYFUNCTION("""COMPUTED_VALUE"""),99.29)</f>
        <v>99.29</v>
      </c>
      <c r="C7070" s="2">
        <f>IFERROR(__xludf.DUMMYFUNCTION("""COMPUTED_VALUE"""),99.29)</f>
        <v>99.29</v>
      </c>
      <c r="D7070" s="2">
        <f>IFERROR(__xludf.DUMMYFUNCTION("""COMPUTED_VALUE"""),95.97)</f>
        <v>95.97</v>
      </c>
      <c r="E7070" s="2">
        <f>IFERROR(__xludf.DUMMYFUNCTION("""COMPUTED_VALUE"""),96.6)</f>
        <v>96.6</v>
      </c>
      <c r="F7070" s="2">
        <f>IFERROR(__xludf.DUMMYFUNCTION("""COMPUTED_VALUE"""),1.1034849E7)</f>
        <v>11034849</v>
      </c>
    </row>
    <row r="7071">
      <c r="A7071" s="3">
        <f>IFERROR(__xludf.DUMMYFUNCTION("""COMPUTED_VALUE"""),39454.666666666664)</f>
        <v>39454.66667</v>
      </c>
      <c r="B7071" s="2">
        <f>IFERROR(__xludf.DUMMYFUNCTION("""COMPUTED_VALUE"""),95.76)</f>
        <v>95.76</v>
      </c>
      <c r="C7071" s="2">
        <f>IFERROR(__xludf.DUMMYFUNCTION("""COMPUTED_VALUE"""),96.47)</f>
        <v>96.47</v>
      </c>
      <c r="D7071" s="2">
        <f>IFERROR(__xludf.DUMMYFUNCTION("""COMPUTED_VALUE"""),94.59)</f>
        <v>94.59</v>
      </c>
      <c r="E7071" s="2">
        <f>IFERROR(__xludf.DUMMYFUNCTION("""COMPUTED_VALUE"""),95.56)</f>
        <v>95.56</v>
      </c>
      <c r="F7071" s="2">
        <f>IFERROR(__xludf.DUMMYFUNCTION("""COMPUTED_VALUE"""),1.2650525E7)</f>
        <v>12650525</v>
      </c>
    </row>
    <row r="7072">
      <c r="A7072" s="3">
        <f>IFERROR(__xludf.DUMMYFUNCTION("""COMPUTED_VALUE"""),39455.666666666664)</f>
        <v>39455.66667</v>
      </c>
      <c r="B7072" s="2">
        <f>IFERROR(__xludf.DUMMYFUNCTION("""COMPUTED_VALUE"""),95.56)</f>
        <v>95.56</v>
      </c>
      <c r="C7072" s="2">
        <f>IFERROR(__xludf.DUMMYFUNCTION("""COMPUTED_VALUE"""),95.88)</f>
        <v>95.88</v>
      </c>
      <c r="D7072" s="2">
        <f>IFERROR(__xludf.DUMMYFUNCTION("""COMPUTED_VALUE"""),92.81)</f>
        <v>92.81</v>
      </c>
      <c r="E7072" s="2">
        <f>IFERROR(__xludf.DUMMYFUNCTION("""COMPUTED_VALUE"""),93.21)</f>
        <v>93.21</v>
      </c>
      <c r="F7072" s="2">
        <f>IFERROR(__xludf.DUMMYFUNCTION("""COMPUTED_VALUE"""),9434330.0)</f>
        <v>9434330</v>
      </c>
    </row>
    <row r="7073">
      <c r="A7073" s="3">
        <f>IFERROR(__xludf.DUMMYFUNCTION("""COMPUTED_VALUE"""),39456.666666666664)</f>
        <v>39456.66667</v>
      </c>
      <c r="B7073" s="2">
        <f>IFERROR(__xludf.DUMMYFUNCTION("""COMPUTED_VALUE"""),93.38)</f>
        <v>93.38</v>
      </c>
      <c r="C7073" s="2">
        <f>IFERROR(__xludf.DUMMYFUNCTION("""COMPUTED_VALUE"""),94.7)</f>
        <v>94.7</v>
      </c>
      <c r="D7073" s="2">
        <f>IFERROR(__xludf.DUMMYFUNCTION("""COMPUTED_VALUE"""),92.8)</f>
        <v>92.8</v>
      </c>
      <c r="E7073" s="2">
        <f>IFERROR(__xludf.DUMMYFUNCTION("""COMPUTED_VALUE"""),93.9)</f>
        <v>93.9</v>
      </c>
      <c r="F7073" s="2">
        <f>IFERROR(__xludf.DUMMYFUNCTION("""COMPUTED_VALUE"""),1.0922994E7)</f>
        <v>10922994</v>
      </c>
    </row>
    <row r="7074">
      <c r="A7074" s="3">
        <f>IFERROR(__xludf.DUMMYFUNCTION("""COMPUTED_VALUE"""),39457.666666666664)</f>
        <v>39457.66667</v>
      </c>
      <c r="B7074" s="2">
        <f>IFERROR(__xludf.DUMMYFUNCTION("""COMPUTED_VALUE"""),93.02)</f>
        <v>93.02</v>
      </c>
      <c r="C7074" s="2">
        <f>IFERROR(__xludf.DUMMYFUNCTION("""COMPUTED_VALUE"""),96.34)</f>
        <v>96.34</v>
      </c>
      <c r="D7074" s="2">
        <f>IFERROR(__xludf.DUMMYFUNCTION("""COMPUTED_VALUE"""),92.79)</f>
        <v>92.79</v>
      </c>
      <c r="E7074" s="2">
        <f>IFERROR(__xludf.DUMMYFUNCTION("""COMPUTED_VALUE"""),95.44)</f>
        <v>95.44</v>
      </c>
      <c r="F7074" s="2">
        <f>IFERROR(__xludf.DUMMYFUNCTION("""COMPUTED_VALUE"""),1.0634722E7)</f>
        <v>10634722</v>
      </c>
    </row>
    <row r="7075">
      <c r="A7075" s="3">
        <f>IFERROR(__xludf.DUMMYFUNCTION("""COMPUTED_VALUE"""),39458.666666666664)</f>
        <v>39458.66667</v>
      </c>
      <c r="B7075" s="2">
        <f>IFERROR(__xludf.DUMMYFUNCTION("""COMPUTED_VALUE"""),94.75)</f>
        <v>94.75</v>
      </c>
      <c r="C7075" s="2">
        <f>IFERROR(__xludf.DUMMYFUNCTION("""COMPUTED_VALUE"""),95.0)</f>
        <v>95</v>
      </c>
      <c r="D7075" s="2">
        <f>IFERROR(__xludf.DUMMYFUNCTION("""COMPUTED_VALUE"""),92.69)</f>
        <v>92.69</v>
      </c>
      <c r="E7075" s="2">
        <f>IFERROR(__xludf.DUMMYFUNCTION("""COMPUTED_VALUE"""),93.29)</f>
        <v>93.29</v>
      </c>
      <c r="F7075" s="2">
        <f>IFERROR(__xludf.DUMMYFUNCTION("""COMPUTED_VALUE"""),8959860.0)</f>
        <v>8959860</v>
      </c>
    </row>
    <row r="7076">
      <c r="A7076" s="3">
        <f>IFERROR(__xludf.DUMMYFUNCTION("""COMPUTED_VALUE"""),39461.666666666664)</f>
        <v>39461.66667</v>
      </c>
      <c r="B7076" s="2">
        <f>IFERROR(__xludf.DUMMYFUNCTION("""COMPUTED_VALUE"""),100.3)</f>
        <v>100.3</v>
      </c>
      <c r="C7076" s="2">
        <f>IFERROR(__xludf.DUMMYFUNCTION("""COMPUTED_VALUE"""),100.86)</f>
        <v>100.86</v>
      </c>
      <c r="D7076" s="2">
        <f>IFERROR(__xludf.DUMMYFUNCTION("""COMPUTED_VALUE"""),96.79)</f>
        <v>96.79</v>
      </c>
      <c r="E7076" s="2">
        <f>IFERROR(__xludf.DUMMYFUNCTION("""COMPUTED_VALUE"""),98.32)</f>
        <v>98.32</v>
      </c>
      <c r="F7076" s="2">
        <f>IFERROR(__xludf.DUMMYFUNCTION("""COMPUTED_VALUE"""),1.8009608E7)</f>
        <v>18009608</v>
      </c>
    </row>
    <row r="7077">
      <c r="A7077" s="3">
        <f>IFERROR(__xludf.DUMMYFUNCTION("""COMPUTED_VALUE"""),39462.666666666664)</f>
        <v>39462.66667</v>
      </c>
      <c r="B7077" s="2">
        <f>IFERROR(__xludf.DUMMYFUNCTION("""COMPUTED_VALUE"""),97.46)</f>
        <v>97.46</v>
      </c>
      <c r="C7077" s="2">
        <f>IFERROR(__xludf.DUMMYFUNCTION("""COMPUTED_VALUE"""),99.95)</f>
        <v>99.95</v>
      </c>
      <c r="D7077" s="2">
        <f>IFERROR(__xludf.DUMMYFUNCTION("""COMPUTED_VALUE"""),96.69)</f>
        <v>96.69</v>
      </c>
      <c r="E7077" s="2">
        <f>IFERROR(__xludf.DUMMYFUNCTION("""COMPUTED_VALUE"""),97.26)</f>
        <v>97.26</v>
      </c>
      <c r="F7077" s="2">
        <f>IFERROR(__xludf.DUMMYFUNCTION("""COMPUTED_VALUE"""),1.1636336E7)</f>
        <v>11636336</v>
      </c>
    </row>
    <row r="7078">
      <c r="A7078" s="3">
        <f>IFERROR(__xludf.DUMMYFUNCTION("""COMPUTED_VALUE"""),39463.666666666664)</f>
        <v>39463.66667</v>
      </c>
      <c r="B7078" s="2">
        <f>IFERROR(__xludf.DUMMYFUNCTION("""COMPUTED_VALUE"""),95.65)</f>
        <v>95.65</v>
      </c>
      <c r="C7078" s="2">
        <f>IFERROR(__xludf.DUMMYFUNCTION("""COMPUTED_VALUE"""),98.25)</f>
        <v>98.25</v>
      </c>
      <c r="D7078" s="2">
        <f>IFERROR(__xludf.DUMMYFUNCTION("""COMPUTED_VALUE"""),95.65)</f>
        <v>95.65</v>
      </c>
      <c r="E7078" s="2">
        <f>IFERROR(__xludf.DUMMYFUNCTION("""COMPUTED_VALUE"""),97.07)</f>
        <v>97.07</v>
      </c>
      <c r="F7078" s="2">
        <f>IFERROR(__xludf.DUMMYFUNCTION("""COMPUTED_VALUE"""),1.3031715E7)</f>
        <v>13031715</v>
      </c>
    </row>
    <row r="7079">
      <c r="A7079" s="3">
        <f>IFERROR(__xludf.DUMMYFUNCTION("""COMPUTED_VALUE"""),39464.666666666664)</f>
        <v>39464.66667</v>
      </c>
      <c r="B7079" s="2">
        <f>IFERROR(__xludf.DUMMYFUNCTION("""COMPUTED_VALUE"""),97.43)</f>
        <v>97.43</v>
      </c>
      <c r="C7079" s="2">
        <f>IFERROR(__xludf.DUMMYFUNCTION("""COMPUTED_VALUE"""),98.81)</f>
        <v>98.81</v>
      </c>
      <c r="D7079" s="2">
        <f>IFERROR(__xludf.DUMMYFUNCTION("""COMPUTED_VALUE"""),95.56)</f>
        <v>95.56</v>
      </c>
      <c r="E7079" s="2">
        <f>IFERROR(__xludf.DUMMYFUNCTION("""COMPUTED_VALUE"""),96.57)</f>
        <v>96.57</v>
      </c>
      <c r="F7079" s="2">
        <f>IFERROR(__xludf.DUMMYFUNCTION("""COMPUTED_VALUE"""),1.1649716E7)</f>
        <v>11649716</v>
      </c>
    </row>
    <row r="7080">
      <c r="A7080" s="3">
        <f>IFERROR(__xludf.DUMMYFUNCTION("""COMPUTED_VALUE"""),39465.666666666664)</f>
        <v>39465.66667</v>
      </c>
      <c r="B7080" s="2">
        <f>IFERROR(__xludf.DUMMYFUNCTION("""COMPUTED_VALUE"""),101.94)</f>
        <v>101.94</v>
      </c>
      <c r="C7080" s="2">
        <f>IFERROR(__xludf.DUMMYFUNCTION("""COMPUTED_VALUE"""),101.94)</f>
        <v>101.94</v>
      </c>
      <c r="D7080" s="2">
        <f>IFERROR(__xludf.DUMMYFUNCTION("""COMPUTED_VALUE"""),97.9)</f>
        <v>97.9</v>
      </c>
      <c r="E7080" s="2">
        <f>IFERROR(__xludf.DUMMYFUNCTION("""COMPUTED_VALUE"""),98.76)</f>
        <v>98.76</v>
      </c>
      <c r="F7080" s="2">
        <f>IFERROR(__xludf.DUMMYFUNCTION("""COMPUTED_VALUE"""),2.3871652E7)</f>
        <v>23871652</v>
      </c>
    </row>
    <row r="7081">
      <c r="A7081" s="3">
        <f>IFERROR(__xludf.DUMMYFUNCTION("""COMPUTED_VALUE"""),39469.666666666664)</f>
        <v>39469.66667</v>
      </c>
      <c r="B7081" s="2">
        <f>IFERROR(__xludf.DUMMYFUNCTION("""COMPUTED_VALUE"""),94.13)</f>
        <v>94.13</v>
      </c>
      <c r="C7081" s="2">
        <f>IFERROR(__xludf.DUMMYFUNCTION("""COMPUTED_VALUE"""),98.47)</f>
        <v>98.47</v>
      </c>
      <c r="D7081" s="2">
        <f>IFERROR(__xludf.DUMMYFUNCTION("""COMPUTED_VALUE"""),94.13)</f>
        <v>94.13</v>
      </c>
      <c r="E7081" s="2">
        <f>IFERROR(__xludf.DUMMYFUNCTION("""COMPUTED_VALUE"""),96.68)</f>
        <v>96.68</v>
      </c>
      <c r="F7081" s="2">
        <f>IFERROR(__xludf.DUMMYFUNCTION("""COMPUTED_VALUE"""),1.5133331E7)</f>
        <v>15133331</v>
      </c>
    </row>
    <row r="7082">
      <c r="A7082" s="3">
        <f>IFERROR(__xludf.DUMMYFUNCTION("""COMPUTED_VALUE"""),39470.666666666664)</f>
        <v>39470.66667</v>
      </c>
      <c r="B7082" s="2">
        <f>IFERROR(__xludf.DUMMYFUNCTION("""COMPUTED_VALUE"""),95.16)</f>
        <v>95.16</v>
      </c>
      <c r="C7082" s="2">
        <f>IFERROR(__xludf.DUMMYFUNCTION("""COMPUTED_VALUE"""),101.57)</f>
        <v>101.57</v>
      </c>
      <c r="D7082" s="2">
        <f>IFERROR(__xludf.DUMMYFUNCTION("""COMPUTED_VALUE"""),94.08)</f>
        <v>94.08</v>
      </c>
      <c r="E7082" s="2">
        <f>IFERROR(__xludf.DUMMYFUNCTION("""COMPUTED_VALUE"""),101.34)</f>
        <v>101.34</v>
      </c>
      <c r="F7082" s="2">
        <f>IFERROR(__xludf.DUMMYFUNCTION("""COMPUTED_VALUE"""),1.958804E7)</f>
        <v>19588040</v>
      </c>
    </row>
    <row r="7083">
      <c r="A7083" s="3">
        <f>IFERROR(__xludf.DUMMYFUNCTION("""COMPUTED_VALUE"""),39471.666666666664)</f>
        <v>39471.66667</v>
      </c>
      <c r="B7083" s="2">
        <f>IFERROR(__xludf.DUMMYFUNCTION("""COMPUTED_VALUE"""),101.61)</f>
        <v>101.61</v>
      </c>
      <c r="C7083" s="2">
        <f>IFERROR(__xludf.DUMMYFUNCTION("""COMPUTED_VALUE"""),102.69)</f>
        <v>102.69</v>
      </c>
      <c r="D7083" s="2">
        <f>IFERROR(__xludf.DUMMYFUNCTION("""COMPUTED_VALUE"""),99.99)</f>
        <v>99.99</v>
      </c>
      <c r="E7083" s="2">
        <f>IFERROR(__xludf.DUMMYFUNCTION("""COMPUTED_VALUE"""),102.12)</f>
        <v>102.12</v>
      </c>
      <c r="F7083" s="2">
        <f>IFERROR(__xludf.DUMMYFUNCTION("""COMPUTED_VALUE"""),1.3026801E7)</f>
        <v>13026801</v>
      </c>
    </row>
    <row r="7084">
      <c r="A7084" s="3">
        <f>IFERROR(__xludf.DUMMYFUNCTION("""COMPUTED_VALUE"""),39472.666666666664)</f>
        <v>39472.66667</v>
      </c>
      <c r="B7084" s="2">
        <f>IFERROR(__xludf.DUMMYFUNCTION("""COMPUTED_VALUE"""),102.96)</f>
        <v>102.96</v>
      </c>
      <c r="C7084" s="2">
        <f>IFERROR(__xludf.DUMMYFUNCTION("""COMPUTED_VALUE"""),102.96)</f>
        <v>102.96</v>
      </c>
      <c r="D7084" s="2">
        <f>IFERROR(__xludf.DUMMYFUNCTION("""COMPUTED_VALUE"""),99.43)</f>
        <v>99.43</v>
      </c>
      <c r="E7084" s="2">
        <f>IFERROR(__xludf.DUMMYFUNCTION("""COMPUTED_VALUE"""),99.83)</f>
        <v>99.83</v>
      </c>
      <c r="F7084" s="2">
        <f>IFERROR(__xludf.DUMMYFUNCTION("""COMPUTED_VALUE"""),1.0102004E7)</f>
        <v>10102004</v>
      </c>
    </row>
    <row r="7085">
      <c r="A7085" s="3">
        <f>IFERROR(__xludf.DUMMYFUNCTION("""COMPUTED_VALUE"""),39475.666666666664)</f>
        <v>39475.66667</v>
      </c>
      <c r="B7085" s="2">
        <f>IFERROR(__xludf.DUMMYFUNCTION("""COMPUTED_VALUE"""),99.76)</f>
        <v>99.76</v>
      </c>
      <c r="C7085" s="2">
        <f>IFERROR(__xludf.DUMMYFUNCTION("""COMPUTED_VALUE"""),101.03)</f>
        <v>101.03</v>
      </c>
      <c r="D7085" s="2">
        <f>IFERROR(__xludf.DUMMYFUNCTION("""COMPUTED_VALUE"""),99.17)</f>
        <v>99.17</v>
      </c>
      <c r="E7085" s="2">
        <f>IFERROR(__xludf.DUMMYFUNCTION("""COMPUTED_VALUE"""),100.27)</f>
        <v>100.27</v>
      </c>
      <c r="F7085" s="2">
        <f>IFERROR(__xludf.DUMMYFUNCTION("""COMPUTED_VALUE"""),7858457.0)</f>
        <v>7858457</v>
      </c>
    </row>
    <row r="7086">
      <c r="A7086" s="3">
        <f>IFERROR(__xludf.DUMMYFUNCTION("""COMPUTED_VALUE"""),39476.666666666664)</f>
        <v>39476.66667</v>
      </c>
      <c r="B7086" s="2">
        <f>IFERROR(__xludf.DUMMYFUNCTION("""COMPUTED_VALUE"""),100.77)</f>
        <v>100.77</v>
      </c>
      <c r="C7086" s="2">
        <f>IFERROR(__xludf.DUMMYFUNCTION("""COMPUTED_VALUE"""),102.01)</f>
        <v>102.01</v>
      </c>
      <c r="D7086" s="2">
        <f>IFERROR(__xludf.DUMMYFUNCTION("""COMPUTED_VALUE"""),99.91)</f>
        <v>99.91</v>
      </c>
      <c r="E7086" s="2">
        <f>IFERROR(__xludf.DUMMYFUNCTION("""COMPUTED_VALUE"""),101.34)</f>
        <v>101.34</v>
      </c>
      <c r="F7086" s="2">
        <f>IFERROR(__xludf.DUMMYFUNCTION("""COMPUTED_VALUE"""),6616236.0)</f>
        <v>6616236</v>
      </c>
    </row>
    <row r="7087">
      <c r="A7087" s="3">
        <f>IFERROR(__xludf.DUMMYFUNCTION("""COMPUTED_VALUE"""),39477.666666666664)</f>
        <v>39477.66667</v>
      </c>
      <c r="B7087" s="2">
        <f>IFERROR(__xludf.DUMMYFUNCTION("""COMPUTED_VALUE"""),101.1)</f>
        <v>101.1</v>
      </c>
      <c r="C7087" s="2">
        <f>IFERROR(__xludf.DUMMYFUNCTION("""COMPUTED_VALUE"""),102.82)</f>
        <v>102.82</v>
      </c>
      <c r="D7087" s="2">
        <f>IFERROR(__xludf.DUMMYFUNCTION("""COMPUTED_VALUE"""),100.15)</f>
        <v>100.15</v>
      </c>
      <c r="E7087" s="2">
        <f>IFERROR(__xludf.DUMMYFUNCTION("""COMPUTED_VALUE"""),100.91)</f>
        <v>100.91</v>
      </c>
      <c r="F7087" s="2">
        <f>IFERROR(__xludf.DUMMYFUNCTION("""COMPUTED_VALUE"""),7432496.0)</f>
        <v>7432496</v>
      </c>
    </row>
    <row r="7088">
      <c r="A7088" s="3">
        <f>IFERROR(__xludf.DUMMYFUNCTION("""COMPUTED_VALUE"""),39478.666666666664)</f>
        <v>39478.66667</v>
      </c>
      <c r="B7088" s="2">
        <f>IFERROR(__xludf.DUMMYFUNCTION("""COMPUTED_VALUE"""),99.54)</f>
        <v>99.54</v>
      </c>
      <c r="C7088" s="2">
        <f>IFERROR(__xludf.DUMMYFUNCTION("""COMPUTED_VALUE"""),103.13)</f>
        <v>103.13</v>
      </c>
      <c r="D7088" s="2">
        <f>IFERROR(__xludf.DUMMYFUNCTION("""COMPUTED_VALUE"""),99.05)</f>
        <v>99.05</v>
      </c>
      <c r="E7088" s="2">
        <f>IFERROR(__xludf.DUMMYFUNCTION("""COMPUTED_VALUE"""),102.31)</f>
        <v>102.31</v>
      </c>
      <c r="F7088" s="2">
        <f>IFERROR(__xludf.DUMMYFUNCTION("""COMPUTED_VALUE"""),9057402.0)</f>
        <v>9057402</v>
      </c>
    </row>
    <row r="7089">
      <c r="A7089" s="3">
        <f>IFERROR(__xludf.DUMMYFUNCTION("""COMPUTED_VALUE"""),39479.666666666664)</f>
        <v>39479.66667</v>
      </c>
      <c r="B7089" s="2">
        <f>IFERROR(__xludf.DUMMYFUNCTION("""COMPUTED_VALUE"""),102.36)</f>
        <v>102.36</v>
      </c>
      <c r="C7089" s="2">
        <f>IFERROR(__xludf.DUMMYFUNCTION("""COMPUTED_VALUE"""),104.49)</f>
        <v>104.49</v>
      </c>
      <c r="D7089" s="2">
        <f>IFERROR(__xludf.DUMMYFUNCTION("""COMPUTED_VALUE"""),101.11)</f>
        <v>101.11</v>
      </c>
      <c r="E7089" s="2">
        <f>IFERROR(__xludf.DUMMYFUNCTION("""COMPUTED_VALUE"""),104.19)</f>
        <v>104.19</v>
      </c>
      <c r="F7089" s="2">
        <f>IFERROR(__xludf.DUMMYFUNCTION("""COMPUTED_VALUE"""),8047060.0)</f>
        <v>8047060</v>
      </c>
    </row>
    <row r="7090">
      <c r="A7090" s="3">
        <f>IFERROR(__xludf.DUMMYFUNCTION("""COMPUTED_VALUE"""),39482.666666666664)</f>
        <v>39482.66667</v>
      </c>
      <c r="B7090" s="2">
        <f>IFERROR(__xludf.DUMMYFUNCTION("""COMPUTED_VALUE"""),103.64)</f>
        <v>103.64</v>
      </c>
      <c r="C7090" s="2">
        <f>IFERROR(__xludf.DUMMYFUNCTION("""COMPUTED_VALUE"""),104.11)</f>
        <v>104.11</v>
      </c>
      <c r="D7090" s="2">
        <f>IFERROR(__xludf.DUMMYFUNCTION("""COMPUTED_VALUE"""),101.68)</f>
        <v>101.68</v>
      </c>
      <c r="E7090" s="2">
        <f>IFERROR(__xludf.DUMMYFUNCTION("""COMPUTED_VALUE"""),103.09)</f>
        <v>103.09</v>
      </c>
      <c r="F7090" s="2">
        <f>IFERROR(__xludf.DUMMYFUNCTION("""COMPUTED_VALUE"""),5985430.0)</f>
        <v>5985430</v>
      </c>
    </row>
    <row r="7091">
      <c r="A7091" s="3">
        <f>IFERROR(__xludf.DUMMYFUNCTION("""COMPUTED_VALUE"""),39483.666666666664)</f>
        <v>39483.66667</v>
      </c>
      <c r="B7091" s="2">
        <f>IFERROR(__xludf.DUMMYFUNCTION("""COMPUTED_VALUE"""),102.26)</f>
        <v>102.26</v>
      </c>
      <c r="C7091" s="2">
        <f>IFERROR(__xludf.DUMMYFUNCTION("""COMPUTED_VALUE"""),103.21)</f>
        <v>103.21</v>
      </c>
      <c r="D7091" s="2">
        <f>IFERROR(__xludf.DUMMYFUNCTION("""COMPUTED_VALUE"""),99.99)</f>
        <v>99.99</v>
      </c>
      <c r="E7091" s="2">
        <f>IFERROR(__xludf.DUMMYFUNCTION("""COMPUTED_VALUE"""),100.31)</f>
        <v>100.31</v>
      </c>
      <c r="F7091" s="2">
        <f>IFERROR(__xludf.DUMMYFUNCTION("""COMPUTED_VALUE"""),9048942.0)</f>
        <v>9048942</v>
      </c>
    </row>
    <row r="7092">
      <c r="A7092" s="3">
        <f>IFERROR(__xludf.DUMMYFUNCTION("""COMPUTED_VALUE"""),39484.666666666664)</f>
        <v>39484.66667</v>
      </c>
      <c r="B7092" s="2">
        <f>IFERROR(__xludf.DUMMYFUNCTION("""COMPUTED_VALUE"""),100.34)</f>
        <v>100.34</v>
      </c>
      <c r="C7092" s="2">
        <f>IFERROR(__xludf.DUMMYFUNCTION("""COMPUTED_VALUE"""),101.72)</f>
        <v>101.72</v>
      </c>
      <c r="D7092" s="2">
        <f>IFERROR(__xludf.DUMMYFUNCTION("""COMPUTED_VALUE"""),98.94)</f>
        <v>98.94</v>
      </c>
      <c r="E7092" s="2">
        <f>IFERROR(__xludf.DUMMYFUNCTION("""COMPUTED_VALUE"""),98.95)</f>
        <v>98.95</v>
      </c>
      <c r="F7092" s="2">
        <f>IFERROR(__xludf.DUMMYFUNCTION("""COMPUTED_VALUE"""),8270491.0)</f>
        <v>8270491</v>
      </c>
    </row>
    <row r="7093">
      <c r="A7093" s="3">
        <f>IFERROR(__xludf.DUMMYFUNCTION("""COMPUTED_VALUE"""),39485.666666666664)</f>
        <v>39485.66667</v>
      </c>
      <c r="B7093" s="2">
        <f>IFERROR(__xludf.DUMMYFUNCTION("""COMPUTED_VALUE"""),98.28)</f>
        <v>98.28</v>
      </c>
      <c r="C7093" s="2">
        <f>IFERROR(__xludf.DUMMYFUNCTION("""COMPUTED_VALUE"""),99.34)</f>
        <v>99.34</v>
      </c>
      <c r="D7093" s="2">
        <f>IFERROR(__xludf.DUMMYFUNCTION("""COMPUTED_VALUE"""),96.09)</f>
        <v>96.09</v>
      </c>
      <c r="E7093" s="2">
        <f>IFERROR(__xludf.DUMMYFUNCTION("""COMPUTED_VALUE"""),97.75)</f>
        <v>97.75</v>
      </c>
      <c r="F7093" s="2">
        <f>IFERROR(__xludf.DUMMYFUNCTION("""COMPUTED_VALUE"""),1.1255881E7)</f>
        <v>11255881</v>
      </c>
    </row>
    <row r="7094">
      <c r="A7094" s="3">
        <f>IFERROR(__xludf.DUMMYFUNCTION("""COMPUTED_VALUE"""),39486.666666666664)</f>
        <v>39486.66667</v>
      </c>
      <c r="B7094" s="2">
        <f>IFERROR(__xludf.DUMMYFUNCTION("""COMPUTED_VALUE"""),97.61)</f>
        <v>97.61</v>
      </c>
      <c r="C7094" s="2">
        <f>IFERROR(__xludf.DUMMYFUNCTION("""COMPUTED_VALUE"""),99.02)</f>
        <v>99.02</v>
      </c>
      <c r="D7094" s="2">
        <f>IFERROR(__xludf.DUMMYFUNCTION("""COMPUTED_VALUE"""),97.49)</f>
        <v>97.49</v>
      </c>
      <c r="E7094" s="2">
        <f>IFERROR(__xludf.DUMMYFUNCTION("""COMPUTED_VALUE"""),98.64)</f>
        <v>98.64</v>
      </c>
      <c r="F7094" s="2">
        <f>IFERROR(__xludf.DUMMYFUNCTION("""COMPUTED_VALUE"""),6085594.0)</f>
        <v>6085594</v>
      </c>
    </row>
    <row r="7095">
      <c r="A7095" s="3">
        <f>IFERROR(__xludf.DUMMYFUNCTION("""COMPUTED_VALUE"""),39489.666666666664)</f>
        <v>39489.66667</v>
      </c>
      <c r="B7095" s="2">
        <f>IFERROR(__xludf.DUMMYFUNCTION("""COMPUTED_VALUE"""),98.43)</f>
        <v>98.43</v>
      </c>
      <c r="C7095" s="2">
        <f>IFERROR(__xludf.DUMMYFUNCTION("""COMPUTED_VALUE"""),100.82)</f>
        <v>100.82</v>
      </c>
      <c r="D7095" s="2">
        <f>IFERROR(__xludf.DUMMYFUNCTION("""COMPUTED_VALUE"""),98.26)</f>
        <v>98.26</v>
      </c>
      <c r="E7095" s="2">
        <f>IFERROR(__xludf.DUMMYFUNCTION("""COMPUTED_VALUE"""),100.43)</f>
        <v>100.43</v>
      </c>
      <c r="F7095" s="2">
        <f>IFERROR(__xludf.DUMMYFUNCTION("""COMPUTED_VALUE"""),6098285.0)</f>
        <v>6098285</v>
      </c>
    </row>
    <row r="7096">
      <c r="A7096" s="3">
        <f>IFERROR(__xludf.DUMMYFUNCTION("""COMPUTED_VALUE"""),39490.666666666664)</f>
        <v>39490.66667</v>
      </c>
      <c r="B7096" s="2">
        <f>IFERROR(__xludf.DUMMYFUNCTION("""COMPUTED_VALUE"""),100.45)</f>
        <v>100.45</v>
      </c>
      <c r="C7096" s="2">
        <f>IFERROR(__xludf.DUMMYFUNCTION("""COMPUTED_VALUE"""),102.52)</f>
        <v>102.52</v>
      </c>
      <c r="D7096" s="2">
        <f>IFERROR(__xludf.DUMMYFUNCTION("""COMPUTED_VALUE"""),100.01)</f>
        <v>100.01</v>
      </c>
      <c r="E7096" s="2">
        <f>IFERROR(__xludf.DUMMYFUNCTION("""COMPUTED_VALUE"""),101.75)</f>
        <v>101.75</v>
      </c>
      <c r="F7096" s="2">
        <f>IFERROR(__xludf.DUMMYFUNCTION("""COMPUTED_VALUE"""),7650154.0)</f>
        <v>7650154</v>
      </c>
    </row>
    <row r="7097">
      <c r="A7097" s="3">
        <f>IFERROR(__xludf.DUMMYFUNCTION("""COMPUTED_VALUE"""),39491.666666666664)</f>
        <v>39491.66667</v>
      </c>
      <c r="B7097" s="2">
        <f>IFERROR(__xludf.DUMMYFUNCTION("""COMPUTED_VALUE"""),102.33)</f>
        <v>102.33</v>
      </c>
      <c r="C7097" s="2">
        <f>IFERROR(__xludf.DUMMYFUNCTION("""COMPUTED_VALUE"""),104.05)</f>
        <v>104.05</v>
      </c>
      <c r="D7097" s="2">
        <f>IFERROR(__xludf.DUMMYFUNCTION("""COMPUTED_VALUE"""),102.01)</f>
        <v>102.01</v>
      </c>
      <c r="E7097" s="2">
        <f>IFERROR(__xludf.DUMMYFUNCTION("""COMPUTED_VALUE"""),103.56)</f>
        <v>103.56</v>
      </c>
      <c r="F7097" s="2">
        <f>IFERROR(__xludf.DUMMYFUNCTION("""COMPUTED_VALUE"""),6608578.0)</f>
        <v>6608578</v>
      </c>
    </row>
    <row r="7098">
      <c r="A7098" s="3">
        <f>IFERROR(__xludf.DUMMYFUNCTION("""COMPUTED_VALUE"""),39492.666666666664)</f>
        <v>39492.66667</v>
      </c>
      <c r="B7098" s="2">
        <f>IFERROR(__xludf.DUMMYFUNCTION("""COMPUTED_VALUE"""),103.1)</f>
        <v>103.1</v>
      </c>
      <c r="C7098" s="2">
        <f>IFERROR(__xludf.DUMMYFUNCTION("""COMPUTED_VALUE"""),103.64)</f>
        <v>103.64</v>
      </c>
      <c r="D7098" s="2">
        <f>IFERROR(__xludf.DUMMYFUNCTION("""COMPUTED_VALUE"""),100.77)</f>
        <v>100.77</v>
      </c>
      <c r="E7098" s="2">
        <f>IFERROR(__xludf.DUMMYFUNCTION("""COMPUTED_VALUE"""),101.37)</f>
        <v>101.37</v>
      </c>
      <c r="F7098" s="2">
        <f>IFERROR(__xludf.DUMMYFUNCTION("""COMPUTED_VALUE"""),7340533.0)</f>
        <v>7340533</v>
      </c>
    </row>
    <row r="7099">
      <c r="A7099" s="3">
        <f>IFERROR(__xludf.DUMMYFUNCTION("""COMPUTED_VALUE"""),39493.666666666664)</f>
        <v>39493.66667</v>
      </c>
      <c r="B7099" s="2">
        <f>IFERROR(__xludf.DUMMYFUNCTION("""COMPUTED_VALUE"""),100.55)</f>
        <v>100.55</v>
      </c>
      <c r="C7099" s="2">
        <f>IFERROR(__xludf.DUMMYFUNCTION("""COMPUTED_VALUE"""),101.49)</f>
        <v>101.49</v>
      </c>
      <c r="D7099" s="2">
        <f>IFERROR(__xludf.DUMMYFUNCTION("""COMPUTED_VALUE"""),100.29)</f>
        <v>100.29</v>
      </c>
      <c r="E7099" s="2">
        <f>IFERROR(__xludf.DUMMYFUNCTION("""COMPUTED_VALUE"""),101.4)</f>
        <v>101.4</v>
      </c>
      <c r="F7099" s="2">
        <f>IFERROR(__xludf.DUMMYFUNCTION("""COMPUTED_VALUE"""),6235628.0)</f>
        <v>6235628</v>
      </c>
    </row>
    <row r="7100">
      <c r="A7100" s="3">
        <f>IFERROR(__xludf.DUMMYFUNCTION("""COMPUTED_VALUE"""),39497.666666666664)</f>
        <v>39497.66667</v>
      </c>
      <c r="B7100" s="2">
        <f>IFERROR(__xludf.DUMMYFUNCTION("""COMPUTED_VALUE"""),102.15)</f>
        <v>102.15</v>
      </c>
      <c r="C7100" s="2">
        <f>IFERROR(__xludf.DUMMYFUNCTION("""COMPUTED_VALUE"""),102.79)</f>
        <v>102.79</v>
      </c>
      <c r="D7100" s="2">
        <f>IFERROR(__xludf.DUMMYFUNCTION("""COMPUTED_VALUE"""),99.95)</f>
        <v>99.95</v>
      </c>
      <c r="E7100" s="2">
        <f>IFERROR(__xludf.DUMMYFUNCTION("""COMPUTED_VALUE"""),100.29)</f>
        <v>100.29</v>
      </c>
      <c r="F7100" s="2">
        <f>IFERROR(__xludf.DUMMYFUNCTION("""COMPUTED_VALUE"""),7377013.0)</f>
        <v>7377013</v>
      </c>
    </row>
    <row r="7101">
      <c r="A7101" s="3">
        <f>IFERROR(__xludf.DUMMYFUNCTION("""COMPUTED_VALUE"""),39498.666666666664)</f>
        <v>39498.66667</v>
      </c>
      <c r="B7101" s="2">
        <f>IFERROR(__xludf.DUMMYFUNCTION("""COMPUTED_VALUE"""),100.7)</f>
        <v>100.7</v>
      </c>
      <c r="C7101" s="2">
        <f>IFERROR(__xludf.DUMMYFUNCTION("""COMPUTED_VALUE"""),103.36)</f>
        <v>103.36</v>
      </c>
      <c r="D7101" s="2">
        <f>IFERROR(__xludf.DUMMYFUNCTION("""COMPUTED_VALUE"""),99.84)</f>
        <v>99.84</v>
      </c>
      <c r="E7101" s="2">
        <f>IFERROR(__xludf.DUMMYFUNCTION("""COMPUTED_VALUE"""),103.01)</f>
        <v>103.01</v>
      </c>
      <c r="F7101" s="2">
        <f>IFERROR(__xludf.DUMMYFUNCTION("""COMPUTED_VALUE"""),7672837.0)</f>
        <v>7672837</v>
      </c>
    </row>
    <row r="7102">
      <c r="A7102" s="3">
        <f>IFERROR(__xludf.DUMMYFUNCTION("""COMPUTED_VALUE"""),39499.666666666664)</f>
        <v>39499.66667</v>
      </c>
      <c r="B7102" s="2">
        <f>IFERROR(__xludf.DUMMYFUNCTION("""COMPUTED_VALUE"""),103.25)</f>
        <v>103.25</v>
      </c>
      <c r="C7102" s="2">
        <f>IFERROR(__xludf.DUMMYFUNCTION("""COMPUTED_VALUE"""),104.69)</f>
        <v>104.69</v>
      </c>
      <c r="D7102" s="2">
        <f>IFERROR(__xludf.DUMMYFUNCTION("""COMPUTED_VALUE"""),101.66)</f>
        <v>101.66</v>
      </c>
      <c r="E7102" s="2">
        <f>IFERROR(__xludf.DUMMYFUNCTION("""COMPUTED_VALUE"""),102.14)</f>
        <v>102.14</v>
      </c>
      <c r="F7102" s="2">
        <f>IFERROR(__xludf.DUMMYFUNCTION("""COMPUTED_VALUE"""),8328127.0)</f>
        <v>8328127</v>
      </c>
    </row>
    <row r="7103">
      <c r="A7103" s="3">
        <f>IFERROR(__xludf.DUMMYFUNCTION("""COMPUTED_VALUE"""),39500.666666666664)</f>
        <v>39500.66667</v>
      </c>
      <c r="B7103" s="2">
        <f>IFERROR(__xludf.DUMMYFUNCTION("""COMPUTED_VALUE"""),102.34)</f>
        <v>102.34</v>
      </c>
      <c r="C7103" s="2">
        <f>IFERROR(__xludf.DUMMYFUNCTION("""COMPUTED_VALUE"""),103.62)</f>
        <v>103.62</v>
      </c>
      <c r="D7103" s="2">
        <f>IFERROR(__xludf.DUMMYFUNCTION("""COMPUTED_VALUE"""),100.97)</f>
        <v>100.97</v>
      </c>
      <c r="E7103" s="2">
        <f>IFERROR(__xludf.DUMMYFUNCTION("""COMPUTED_VALUE"""),103.22)</f>
        <v>103.22</v>
      </c>
      <c r="F7103" s="2">
        <f>IFERROR(__xludf.DUMMYFUNCTION("""COMPUTED_VALUE"""),7917196.0)</f>
        <v>7917196</v>
      </c>
    </row>
    <row r="7104">
      <c r="A7104" s="3">
        <f>IFERROR(__xludf.DUMMYFUNCTION("""COMPUTED_VALUE"""),39503.666666666664)</f>
        <v>39503.66667</v>
      </c>
      <c r="B7104" s="2">
        <f>IFERROR(__xludf.DUMMYFUNCTION("""COMPUTED_VALUE"""),102.61)</f>
        <v>102.61</v>
      </c>
      <c r="C7104" s="2">
        <f>IFERROR(__xludf.DUMMYFUNCTION("""COMPUTED_VALUE"""),105.37)</f>
        <v>105.37</v>
      </c>
      <c r="D7104" s="2">
        <f>IFERROR(__xludf.DUMMYFUNCTION("""COMPUTED_VALUE"""),102.61)</f>
        <v>102.61</v>
      </c>
      <c r="E7104" s="2">
        <f>IFERROR(__xludf.DUMMYFUNCTION("""COMPUTED_VALUE"""),105.14)</f>
        <v>105.14</v>
      </c>
      <c r="F7104" s="2">
        <f>IFERROR(__xludf.DUMMYFUNCTION("""COMPUTED_VALUE"""),8158154.0)</f>
        <v>8158154</v>
      </c>
    </row>
    <row r="7105">
      <c r="A7105" s="3">
        <f>IFERROR(__xludf.DUMMYFUNCTION("""COMPUTED_VALUE"""),39504.666666666664)</f>
        <v>39504.66667</v>
      </c>
      <c r="B7105" s="2">
        <f>IFERROR(__xludf.DUMMYFUNCTION("""COMPUTED_VALUE"""),104.61)</f>
        <v>104.61</v>
      </c>
      <c r="C7105" s="2">
        <f>IFERROR(__xludf.DUMMYFUNCTION("""COMPUTED_VALUE"""),109.83)</f>
        <v>109.83</v>
      </c>
      <c r="D7105" s="2">
        <f>IFERROR(__xludf.DUMMYFUNCTION("""COMPUTED_VALUE"""),104.16)</f>
        <v>104.16</v>
      </c>
      <c r="E7105" s="2">
        <f>IFERROR(__xludf.DUMMYFUNCTION("""COMPUTED_VALUE"""),109.25)</f>
        <v>109.25</v>
      </c>
      <c r="F7105" s="2">
        <f>IFERROR(__xludf.DUMMYFUNCTION("""COMPUTED_VALUE"""),1.8651706E7)</f>
        <v>18651706</v>
      </c>
    </row>
    <row r="7106">
      <c r="A7106" s="3">
        <f>IFERROR(__xludf.DUMMYFUNCTION("""COMPUTED_VALUE"""),39505.666666666664)</f>
        <v>39505.66667</v>
      </c>
      <c r="B7106" s="2">
        <f>IFERROR(__xludf.DUMMYFUNCTION("""COMPUTED_VALUE"""),108.74)</f>
        <v>108.74</v>
      </c>
      <c r="C7106" s="2">
        <f>IFERROR(__xludf.DUMMYFUNCTION("""COMPUTED_VALUE"""),111.4)</f>
        <v>111.4</v>
      </c>
      <c r="D7106" s="2">
        <f>IFERROR(__xludf.DUMMYFUNCTION("""COMPUTED_VALUE"""),107.85)</f>
        <v>107.85</v>
      </c>
      <c r="E7106" s="2">
        <f>IFERROR(__xludf.DUMMYFUNCTION("""COMPUTED_VALUE"""),111.24)</f>
        <v>111.24</v>
      </c>
      <c r="F7106" s="2">
        <f>IFERROR(__xludf.DUMMYFUNCTION("""COMPUTED_VALUE"""),1.1855097E7)</f>
        <v>11855097</v>
      </c>
    </row>
    <row r="7107">
      <c r="A7107" s="3">
        <f>IFERROR(__xludf.DUMMYFUNCTION("""COMPUTED_VALUE"""),39506.666666666664)</f>
        <v>39506.66667</v>
      </c>
      <c r="B7107" s="2">
        <f>IFERROR(__xludf.DUMMYFUNCTION("""COMPUTED_VALUE"""),110.42)</f>
        <v>110.42</v>
      </c>
      <c r="C7107" s="2">
        <f>IFERROR(__xludf.DUMMYFUNCTION("""COMPUTED_VALUE"""),110.7)</f>
        <v>110.7</v>
      </c>
      <c r="D7107" s="2">
        <f>IFERROR(__xludf.DUMMYFUNCTION("""COMPUTED_VALUE"""),109.42)</f>
        <v>109.42</v>
      </c>
      <c r="E7107" s="2">
        <f>IFERROR(__xludf.DUMMYFUNCTION("""COMPUTED_VALUE"""),110.07)</f>
        <v>110.07</v>
      </c>
      <c r="F7107" s="2">
        <f>IFERROR(__xludf.DUMMYFUNCTION("""COMPUTED_VALUE"""),7227169.0)</f>
        <v>7227169</v>
      </c>
    </row>
    <row r="7108">
      <c r="A7108" s="3">
        <f>IFERROR(__xludf.DUMMYFUNCTION("""COMPUTED_VALUE"""),39507.666666666664)</f>
        <v>39507.66667</v>
      </c>
      <c r="B7108" s="2">
        <f>IFERROR(__xludf.DUMMYFUNCTION("""COMPUTED_VALUE"""),108.93)</f>
        <v>108.93</v>
      </c>
      <c r="C7108" s="2">
        <f>IFERROR(__xludf.DUMMYFUNCTION("""COMPUTED_VALUE"""),109.98)</f>
        <v>109.98</v>
      </c>
      <c r="D7108" s="2">
        <f>IFERROR(__xludf.DUMMYFUNCTION("""COMPUTED_VALUE"""),108.27)</f>
        <v>108.27</v>
      </c>
      <c r="E7108" s="2">
        <f>IFERROR(__xludf.DUMMYFUNCTION("""COMPUTED_VALUE"""),108.75)</f>
        <v>108.75</v>
      </c>
      <c r="F7108" s="2">
        <f>IFERROR(__xludf.DUMMYFUNCTION("""COMPUTED_VALUE"""),8475527.0)</f>
        <v>8475527</v>
      </c>
    </row>
    <row r="7109">
      <c r="A7109" s="3">
        <f>IFERROR(__xludf.DUMMYFUNCTION("""COMPUTED_VALUE"""),39510.666666666664)</f>
        <v>39510.66667</v>
      </c>
      <c r="B7109" s="2">
        <f>IFERROR(__xludf.DUMMYFUNCTION("""COMPUTED_VALUE"""),108.75)</f>
        <v>108.75</v>
      </c>
      <c r="C7109" s="2">
        <f>IFERROR(__xludf.DUMMYFUNCTION("""COMPUTED_VALUE"""),109.66)</f>
        <v>109.66</v>
      </c>
      <c r="D7109" s="2">
        <f>IFERROR(__xludf.DUMMYFUNCTION("""COMPUTED_VALUE"""),108.39)</f>
        <v>108.39</v>
      </c>
      <c r="E7109" s="2">
        <f>IFERROR(__xludf.DUMMYFUNCTION("""COMPUTED_VALUE"""),109.11)</f>
        <v>109.11</v>
      </c>
      <c r="F7109" s="2">
        <f>IFERROR(__xludf.DUMMYFUNCTION("""COMPUTED_VALUE"""),6335786.0)</f>
        <v>6335786</v>
      </c>
    </row>
    <row r="7110">
      <c r="A7110" s="3">
        <f>IFERROR(__xludf.DUMMYFUNCTION("""COMPUTED_VALUE"""),39511.666666666664)</f>
        <v>39511.66667</v>
      </c>
      <c r="B7110" s="2">
        <f>IFERROR(__xludf.DUMMYFUNCTION("""COMPUTED_VALUE"""),108.32)</f>
        <v>108.32</v>
      </c>
      <c r="C7110" s="2">
        <f>IFERROR(__xludf.DUMMYFUNCTION("""COMPUTED_VALUE"""),110.53)</f>
        <v>110.53</v>
      </c>
      <c r="D7110" s="2">
        <f>IFERROR(__xludf.DUMMYFUNCTION("""COMPUTED_VALUE"""),107.69)</f>
        <v>107.69</v>
      </c>
      <c r="E7110" s="2">
        <f>IFERROR(__xludf.DUMMYFUNCTION("""COMPUTED_VALUE"""),110.52)</f>
        <v>110.52</v>
      </c>
      <c r="F7110" s="2">
        <f>IFERROR(__xludf.DUMMYFUNCTION("""COMPUTED_VALUE"""),8593688.0)</f>
        <v>8593688</v>
      </c>
    </row>
    <row r="7111">
      <c r="A7111" s="3">
        <f>IFERROR(__xludf.DUMMYFUNCTION("""COMPUTED_VALUE"""),39512.666666666664)</f>
        <v>39512.66667</v>
      </c>
      <c r="B7111" s="2">
        <f>IFERROR(__xludf.DUMMYFUNCTION("""COMPUTED_VALUE"""),111.19)</f>
        <v>111.19</v>
      </c>
      <c r="C7111" s="2">
        <f>IFERROR(__xludf.DUMMYFUNCTION("""COMPUTED_VALUE"""),111.19)</f>
        <v>111.19</v>
      </c>
      <c r="D7111" s="2">
        <f>IFERROR(__xludf.DUMMYFUNCTION("""COMPUTED_VALUE"""),109.13)</f>
        <v>109.13</v>
      </c>
      <c r="E7111" s="2">
        <f>IFERROR(__xludf.DUMMYFUNCTION("""COMPUTED_VALUE"""),110.22)</f>
        <v>110.22</v>
      </c>
      <c r="F7111" s="2">
        <f>IFERROR(__xludf.DUMMYFUNCTION("""COMPUTED_VALUE"""),8434891.0)</f>
        <v>8434891</v>
      </c>
    </row>
    <row r="7112">
      <c r="A7112" s="3">
        <f>IFERROR(__xludf.DUMMYFUNCTION("""COMPUTED_VALUE"""),39513.666666666664)</f>
        <v>39513.66667</v>
      </c>
      <c r="B7112" s="2">
        <f>IFERROR(__xludf.DUMMYFUNCTION("""COMPUTED_VALUE"""),109.9)</f>
        <v>109.9</v>
      </c>
      <c r="C7112" s="2">
        <f>IFERROR(__xludf.DUMMYFUNCTION("""COMPUTED_VALUE"""),109.99)</f>
        <v>109.99</v>
      </c>
      <c r="D7112" s="2">
        <f>IFERROR(__xludf.DUMMYFUNCTION("""COMPUTED_VALUE"""),107.22)</f>
        <v>107.22</v>
      </c>
      <c r="E7112" s="2">
        <f>IFERROR(__xludf.DUMMYFUNCTION("""COMPUTED_VALUE"""),107.48)</f>
        <v>107.48</v>
      </c>
      <c r="F7112" s="2">
        <f>IFERROR(__xludf.DUMMYFUNCTION("""COMPUTED_VALUE"""),8018329.0)</f>
        <v>8018329</v>
      </c>
    </row>
    <row r="7113">
      <c r="A7113" s="3">
        <f>IFERROR(__xludf.DUMMYFUNCTION("""COMPUTED_VALUE"""),39514.666666666664)</f>
        <v>39514.66667</v>
      </c>
      <c r="B7113" s="2">
        <f>IFERROR(__xludf.DUMMYFUNCTION("""COMPUTED_VALUE"""),106.84)</f>
        <v>106.84</v>
      </c>
      <c r="C7113" s="2">
        <f>IFERROR(__xludf.DUMMYFUNCTION("""COMPUTED_VALUE"""),109.61)</f>
        <v>109.61</v>
      </c>
      <c r="D7113" s="2">
        <f>IFERROR(__xludf.DUMMYFUNCTION("""COMPUTED_VALUE"""),106.79)</f>
        <v>106.79</v>
      </c>
      <c r="E7113" s="2">
        <f>IFERROR(__xludf.DUMMYFUNCTION("""COMPUTED_VALUE"""),108.83)</f>
        <v>108.83</v>
      </c>
      <c r="F7113" s="2">
        <f>IFERROR(__xludf.DUMMYFUNCTION("""COMPUTED_VALUE"""),8124883.0)</f>
        <v>8124883</v>
      </c>
    </row>
    <row r="7114">
      <c r="A7114" s="3">
        <f>IFERROR(__xludf.DUMMYFUNCTION("""COMPUTED_VALUE"""),39517.666666666664)</f>
        <v>39517.66667</v>
      </c>
      <c r="B7114" s="2">
        <f>IFERROR(__xludf.DUMMYFUNCTION("""COMPUTED_VALUE"""),108.05)</f>
        <v>108.05</v>
      </c>
      <c r="C7114" s="2">
        <f>IFERROR(__xludf.DUMMYFUNCTION("""COMPUTED_VALUE"""),110.79)</f>
        <v>110.79</v>
      </c>
      <c r="D7114" s="2">
        <f>IFERROR(__xludf.DUMMYFUNCTION("""COMPUTED_VALUE"""),108.05)</f>
        <v>108.05</v>
      </c>
      <c r="E7114" s="2">
        <f>IFERROR(__xludf.DUMMYFUNCTION("""COMPUTED_VALUE"""),108.9)</f>
        <v>108.9</v>
      </c>
      <c r="F7114" s="2">
        <f>IFERROR(__xludf.DUMMYFUNCTION("""COMPUTED_VALUE"""),9895785.0)</f>
        <v>9895785</v>
      </c>
    </row>
    <row r="7115">
      <c r="A7115" s="3">
        <f>IFERROR(__xludf.DUMMYFUNCTION("""COMPUTED_VALUE"""),39518.666666666664)</f>
        <v>39518.66667</v>
      </c>
      <c r="B7115" s="2">
        <f>IFERROR(__xludf.DUMMYFUNCTION("""COMPUTED_VALUE"""),110.61)</f>
        <v>110.61</v>
      </c>
      <c r="C7115" s="2">
        <f>IFERROR(__xludf.DUMMYFUNCTION("""COMPUTED_VALUE"""),111.33)</f>
        <v>111.33</v>
      </c>
      <c r="D7115" s="2">
        <f>IFERROR(__xludf.DUMMYFUNCTION("""COMPUTED_VALUE"""),108.93)</f>
        <v>108.93</v>
      </c>
      <c r="E7115" s="2">
        <f>IFERROR(__xludf.DUMMYFUNCTION("""COMPUTED_VALUE"""),111.27)</f>
        <v>111.27</v>
      </c>
      <c r="F7115" s="2">
        <f>IFERROR(__xludf.DUMMYFUNCTION("""COMPUTED_VALUE"""),1.0992406E7)</f>
        <v>10992406</v>
      </c>
    </row>
    <row r="7116">
      <c r="A7116" s="3">
        <f>IFERROR(__xludf.DUMMYFUNCTION("""COMPUTED_VALUE"""),39519.666666666664)</f>
        <v>39519.66667</v>
      </c>
      <c r="B7116" s="2">
        <f>IFERROR(__xludf.DUMMYFUNCTION("""COMPUTED_VALUE"""),111.22)</f>
        <v>111.22</v>
      </c>
      <c r="C7116" s="2">
        <f>IFERROR(__xludf.DUMMYFUNCTION("""COMPUTED_VALUE"""),112.71)</f>
        <v>112.71</v>
      </c>
      <c r="D7116" s="2">
        <f>IFERROR(__xludf.DUMMYFUNCTION("""COMPUTED_VALUE"""),109.95)</f>
        <v>109.95</v>
      </c>
      <c r="E7116" s="2">
        <f>IFERROR(__xludf.DUMMYFUNCTION("""COMPUTED_VALUE"""),111.82)</f>
        <v>111.82</v>
      </c>
      <c r="F7116" s="2">
        <f>IFERROR(__xludf.DUMMYFUNCTION("""COMPUTED_VALUE"""),9083711.0)</f>
        <v>9083711</v>
      </c>
    </row>
    <row r="7117">
      <c r="A7117" s="3">
        <f>IFERROR(__xludf.DUMMYFUNCTION("""COMPUTED_VALUE"""),39520.666666666664)</f>
        <v>39520.66667</v>
      </c>
      <c r="B7117" s="2">
        <f>IFERROR(__xludf.DUMMYFUNCTION("""COMPUTED_VALUE"""),110.5)</f>
        <v>110.5</v>
      </c>
      <c r="C7117" s="2">
        <f>IFERROR(__xludf.DUMMYFUNCTION("""COMPUTED_VALUE"""),111.54)</f>
        <v>111.54</v>
      </c>
      <c r="D7117" s="2">
        <f>IFERROR(__xludf.DUMMYFUNCTION("""COMPUTED_VALUE"""),108.54)</f>
        <v>108.54</v>
      </c>
      <c r="E7117" s="2">
        <f>IFERROR(__xludf.DUMMYFUNCTION("""COMPUTED_VALUE"""),110.71)</f>
        <v>110.71</v>
      </c>
      <c r="F7117" s="2">
        <f>IFERROR(__xludf.DUMMYFUNCTION("""COMPUTED_VALUE"""),9548828.0)</f>
        <v>9548828</v>
      </c>
    </row>
    <row r="7118">
      <c r="A7118" s="3">
        <f>IFERROR(__xludf.DUMMYFUNCTION("""COMPUTED_VALUE"""),39521.666666666664)</f>
        <v>39521.66667</v>
      </c>
      <c r="B7118" s="2">
        <f>IFERROR(__xludf.DUMMYFUNCTION("""COMPUTED_VALUE"""),110.87)</f>
        <v>110.87</v>
      </c>
      <c r="C7118" s="2">
        <f>IFERROR(__xludf.DUMMYFUNCTION("""COMPUTED_VALUE"""),111.3)</f>
        <v>111.3</v>
      </c>
      <c r="D7118" s="2">
        <f>IFERROR(__xludf.DUMMYFUNCTION("""COMPUTED_VALUE"""),107.64)</f>
        <v>107.64</v>
      </c>
      <c r="E7118" s="2">
        <f>IFERROR(__xludf.DUMMYFUNCTION("""COMPUTED_VALUE"""),110.06)</f>
        <v>110.06</v>
      </c>
      <c r="F7118" s="2">
        <f>IFERROR(__xludf.DUMMYFUNCTION("""COMPUTED_VALUE"""),9734628.0)</f>
        <v>9734628</v>
      </c>
    </row>
    <row r="7119">
      <c r="A7119" s="3">
        <f>IFERROR(__xludf.DUMMYFUNCTION("""COMPUTED_VALUE"""),39524.666666666664)</f>
        <v>39524.66667</v>
      </c>
      <c r="B7119" s="2">
        <f>IFERROR(__xludf.DUMMYFUNCTION("""COMPUTED_VALUE"""),107.93)</f>
        <v>107.93</v>
      </c>
      <c r="C7119" s="2">
        <f>IFERROR(__xludf.DUMMYFUNCTION("""COMPUTED_VALUE"""),111.79)</f>
        <v>111.79</v>
      </c>
      <c r="D7119" s="2">
        <f>IFERROR(__xludf.DUMMYFUNCTION("""COMPUTED_VALUE"""),107.93)</f>
        <v>107.93</v>
      </c>
      <c r="E7119" s="2">
        <f>IFERROR(__xludf.DUMMYFUNCTION("""COMPUTED_VALUE"""),110.37)</f>
        <v>110.37</v>
      </c>
      <c r="F7119" s="2">
        <f>IFERROR(__xludf.DUMMYFUNCTION("""COMPUTED_VALUE"""),9281092.0)</f>
        <v>9281092</v>
      </c>
    </row>
    <row r="7120">
      <c r="A7120" s="3">
        <f>IFERROR(__xludf.DUMMYFUNCTION("""COMPUTED_VALUE"""),39525.666666666664)</f>
        <v>39525.66667</v>
      </c>
      <c r="B7120" s="2">
        <f>IFERROR(__xludf.DUMMYFUNCTION("""COMPUTED_VALUE"""),111.52)</f>
        <v>111.52</v>
      </c>
      <c r="C7120" s="2">
        <f>IFERROR(__xludf.DUMMYFUNCTION("""COMPUTED_VALUE"""),113.12)</f>
        <v>113.12</v>
      </c>
      <c r="D7120" s="2">
        <f>IFERROR(__xludf.DUMMYFUNCTION("""COMPUTED_VALUE"""),108.71)</f>
        <v>108.71</v>
      </c>
      <c r="E7120" s="2">
        <f>IFERROR(__xludf.DUMMYFUNCTION("""COMPUTED_VALUE"""),113.1)</f>
        <v>113.1</v>
      </c>
      <c r="F7120" s="2">
        <f>IFERROR(__xludf.DUMMYFUNCTION("""COMPUTED_VALUE"""),9967661.0)</f>
        <v>9967661</v>
      </c>
    </row>
    <row r="7121">
      <c r="A7121" s="3">
        <f>IFERROR(__xludf.DUMMYFUNCTION("""COMPUTED_VALUE"""),39526.666666666664)</f>
        <v>39526.66667</v>
      </c>
      <c r="B7121" s="2">
        <f>IFERROR(__xludf.DUMMYFUNCTION("""COMPUTED_VALUE"""),112.71)</f>
        <v>112.71</v>
      </c>
      <c r="C7121" s="2">
        <f>IFERROR(__xludf.DUMMYFUNCTION("""COMPUTED_VALUE"""),113.19)</f>
        <v>113.19</v>
      </c>
      <c r="D7121" s="2">
        <f>IFERROR(__xludf.DUMMYFUNCTION("""COMPUTED_VALUE"""),111.42)</f>
        <v>111.42</v>
      </c>
      <c r="E7121" s="2">
        <f>IFERROR(__xludf.DUMMYFUNCTION("""COMPUTED_VALUE"""),111.7)</f>
        <v>111.7</v>
      </c>
      <c r="F7121" s="2">
        <f>IFERROR(__xludf.DUMMYFUNCTION("""COMPUTED_VALUE"""),9314339.0)</f>
        <v>9314339</v>
      </c>
    </row>
    <row r="7122">
      <c r="A7122" s="3">
        <f>IFERROR(__xludf.DUMMYFUNCTION("""COMPUTED_VALUE"""),39527.666666666664)</f>
        <v>39527.66667</v>
      </c>
      <c r="B7122" s="2">
        <f>IFERROR(__xludf.DUMMYFUNCTION("""COMPUTED_VALUE"""),112.33)</f>
        <v>112.33</v>
      </c>
      <c r="C7122" s="2">
        <f>IFERROR(__xludf.DUMMYFUNCTION("""COMPUTED_VALUE"""),113.17)</f>
        <v>113.17</v>
      </c>
      <c r="D7122" s="2">
        <f>IFERROR(__xludf.DUMMYFUNCTION("""COMPUTED_VALUE"""),111.42)</f>
        <v>111.42</v>
      </c>
      <c r="E7122" s="2">
        <f>IFERROR(__xludf.DUMMYFUNCTION("""COMPUTED_VALUE"""),113.02)</f>
        <v>113.02</v>
      </c>
      <c r="F7122" s="2">
        <f>IFERROR(__xludf.DUMMYFUNCTION("""COMPUTED_VALUE"""),1.1417866E7)</f>
        <v>11417866</v>
      </c>
    </row>
    <row r="7123">
      <c r="A7123" s="3">
        <f>IFERROR(__xludf.DUMMYFUNCTION("""COMPUTED_VALUE"""),39531.666666666664)</f>
        <v>39531.66667</v>
      </c>
      <c r="B7123" s="2">
        <f>IFERROR(__xludf.DUMMYFUNCTION("""COMPUTED_VALUE"""),113.06)</f>
        <v>113.06</v>
      </c>
      <c r="C7123" s="2">
        <f>IFERROR(__xludf.DUMMYFUNCTION("""COMPUTED_VALUE"""),114.42)</f>
        <v>114.42</v>
      </c>
      <c r="D7123" s="2">
        <f>IFERROR(__xludf.DUMMYFUNCTION("""COMPUTED_VALUE"""),112.83)</f>
        <v>112.83</v>
      </c>
      <c r="E7123" s="2">
        <f>IFERROR(__xludf.DUMMYFUNCTION("""COMPUTED_VALUE"""),113.72)</f>
        <v>113.72</v>
      </c>
      <c r="F7123" s="2">
        <f>IFERROR(__xludf.DUMMYFUNCTION("""COMPUTED_VALUE"""),8398344.0)</f>
        <v>8398344</v>
      </c>
    </row>
    <row r="7124">
      <c r="A7124" s="3">
        <f>IFERROR(__xludf.DUMMYFUNCTION("""COMPUTED_VALUE"""),39532.666666666664)</f>
        <v>39532.66667</v>
      </c>
      <c r="B7124" s="2">
        <f>IFERROR(__xludf.DUMMYFUNCTION("""COMPUTED_VALUE"""),112.71)</f>
        <v>112.71</v>
      </c>
      <c r="C7124" s="2">
        <f>IFERROR(__xludf.DUMMYFUNCTION("""COMPUTED_VALUE"""),113.76)</f>
        <v>113.76</v>
      </c>
      <c r="D7124" s="2">
        <f>IFERROR(__xludf.DUMMYFUNCTION("""COMPUTED_VALUE"""),111.9)</f>
        <v>111.9</v>
      </c>
      <c r="E7124" s="2">
        <f>IFERROR(__xludf.DUMMYFUNCTION("""COMPUTED_VALUE"""),112.68)</f>
        <v>112.68</v>
      </c>
      <c r="F7124" s="2">
        <f>IFERROR(__xludf.DUMMYFUNCTION("""COMPUTED_VALUE"""),8443863.0)</f>
        <v>8443863</v>
      </c>
    </row>
    <row r="7125">
      <c r="A7125" s="3">
        <f>IFERROR(__xludf.DUMMYFUNCTION("""COMPUTED_VALUE"""),39533.666666666664)</f>
        <v>39533.66667</v>
      </c>
      <c r="B7125" s="2">
        <f>IFERROR(__xludf.DUMMYFUNCTION("""COMPUTED_VALUE"""),112.32)</f>
        <v>112.32</v>
      </c>
      <c r="C7125" s="2">
        <f>IFERROR(__xludf.DUMMYFUNCTION("""COMPUTED_VALUE"""),112.68)</f>
        <v>112.68</v>
      </c>
      <c r="D7125" s="2">
        <f>IFERROR(__xludf.DUMMYFUNCTION("""COMPUTED_VALUE"""),109.81)</f>
        <v>109.81</v>
      </c>
      <c r="E7125" s="2">
        <f>IFERROR(__xludf.DUMMYFUNCTION("""COMPUTED_VALUE"""),111.67)</f>
        <v>111.67</v>
      </c>
      <c r="F7125" s="2">
        <f>IFERROR(__xludf.DUMMYFUNCTION("""COMPUTED_VALUE"""),9617148.0)</f>
        <v>9617148</v>
      </c>
    </row>
    <row r="7126">
      <c r="A7126" s="3">
        <f>IFERROR(__xludf.DUMMYFUNCTION("""COMPUTED_VALUE"""),39534.666666666664)</f>
        <v>39534.66667</v>
      </c>
      <c r="B7126" s="2">
        <f>IFERROR(__xludf.DUMMYFUNCTION("""COMPUTED_VALUE"""),110.82)</f>
        <v>110.82</v>
      </c>
      <c r="C7126" s="2">
        <f>IFERROR(__xludf.DUMMYFUNCTION("""COMPUTED_VALUE"""),110.99)</f>
        <v>110.99</v>
      </c>
      <c r="D7126" s="2">
        <f>IFERROR(__xludf.DUMMYFUNCTION("""COMPUTED_VALUE"""),109.38)</f>
        <v>109.38</v>
      </c>
      <c r="E7126" s="2">
        <f>IFERROR(__xludf.DUMMYFUNCTION("""COMPUTED_VALUE"""),110.34)</f>
        <v>110.34</v>
      </c>
      <c r="F7126" s="2">
        <f>IFERROR(__xludf.DUMMYFUNCTION("""COMPUTED_VALUE"""),8437345.0)</f>
        <v>8437345</v>
      </c>
    </row>
    <row r="7127">
      <c r="A7127" s="3">
        <f>IFERROR(__xludf.DUMMYFUNCTION("""COMPUTED_VALUE"""),39535.666666666664)</f>
        <v>39535.66667</v>
      </c>
      <c r="B7127" s="2">
        <f>IFERROR(__xludf.DUMMYFUNCTION("""COMPUTED_VALUE"""),110.81)</f>
        <v>110.81</v>
      </c>
      <c r="C7127" s="2">
        <f>IFERROR(__xludf.DUMMYFUNCTION("""COMPUTED_VALUE"""),111.52)</f>
        <v>111.52</v>
      </c>
      <c r="D7127" s="2">
        <f>IFERROR(__xludf.DUMMYFUNCTION("""COMPUTED_VALUE"""),109.09)</f>
        <v>109.09</v>
      </c>
      <c r="E7127" s="2">
        <f>IFERROR(__xludf.DUMMYFUNCTION("""COMPUTED_VALUE"""),109.43)</f>
        <v>109.43</v>
      </c>
      <c r="F7127" s="2">
        <f>IFERROR(__xludf.DUMMYFUNCTION("""COMPUTED_VALUE"""),6600901.0)</f>
        <v>6600901</v>
      </c>
    </row>
    <row r="7128">
      <c r="A7128" s="3">
        <f>IFERROR(__xludf.DUMMYFUNCTION("""COMPUTED_VALUE"""),39538.666666666664)</f>
        <v>39538.66667</v>
      </c>
      <c r="B7128" s="2">
        <f>IFERROR(__xludf.DUMMYFUNCTION("""COMPUTED_VALUE"""),109.03)</f>
        <v>109.03</v>
      </c>
      <c r="C7128" s="2">
        <f>IFERROR(__xludf.DUMMYFUNCTION("""COMPUTED_VALUE"""),110.67)</f>
        <v>110.67</v>
      </c>
      <c r="D7128" s="2">
        <f>IFERROR(__xludf.DUMMYFUNCTION("""COMPUTED_VALUE"""),108.26)</f>
        <v>108.26</v>
      </c>
      <c r="E7128" s="2">
        <f>IFERROR(__xludf.DUMMYFUNCTION("""COMPUTED_VALUE"""),109.98)</f>
        <v>109.98</v>
      </c>
      <c r="F7128" s="2">
        <f>IFERROR(__xludf.DUMMYFUNCTION("""COMPUTED_VALUE"""),9711174.0)</f>
        <v>9711174</v>
      </c>
    </row>
    <row r="7129">
      <c r="A7129" s="3">
        <f>IFERROR(__xludf.DUMMYFUNCTION("""COMPUTED_VALUE"""),39539.666666666664)</f>
        <v>39539.66667</v>
      </c>
      <c r="B7129" s="2">
        <f>IFERROR(__xludf.DUMMYFUNCTION("""COMPUTED_VALUE"""),110.03)</f>
        <v>110.03</v>
      </c>
      <c r="C7129" s="2">
        <f>IFERROR(__xludf.DUMMYFUNCTION("""COMPUTED_VALUE"""),113.06)</f>
        <v>113.06</v>
      </c>
      <c r="D7129" s="2">
        <f>IFERROR(__xludf.DUMMYFUNCTION("""COMPUTED_VALUE"""),109.82)</f>
        <v>109.82</v>
      </c>
      <c r="E7129" s="2">
        <f>IFERROR(__xludf.DUMMYFUNCTION("""COMPUTED_VALUE"""),111.27)</f>
        <v>111.27</v>
      </c>
      <c r="F7129" s="2">
        <f>IFERROR(__xludf.DUMMYFUNCTION("""COMPUTED_VALUE"""),1.1875938E7)</f>
        <v>11875938</v>
      </c>
    </row>
    <row r="7130">
      <c r="A7130" s="3">
        <f>IFERROR(__xludf.DUMMYFUNCTION("""COMPUTED_VALUE"""),39540.666666666664)</f>
        <v>39540.66667</v>
      </c>
      <c r="B7130" s="2">
        <f>IFERROR(__xludf.DUMMYFUNCTION("""COMPUTED_VALUE"""),111.6)</f>
        <v>111.6</v>
      </c>
      <c r="C7130" s="2">
        <f>IFERROR(__xludf.DUMMYFUNCTION("""COMPUTED_VALUE"""),111.64)</f>
        <v>111.64</v>
      </c>
      <c r="D7130" s="2">
        <f>IFERROR(__xludf.DUMMYFUNCTION("""COMPUTED_VALUE"""),108.87)</f>
        <v>108.87</v>
      </c>
      <c r="E7130" s="2">
        <f>IFERROR(__xludf.DUMMYFUNCTION("""COMPUTED_VALUE"""),109.66)</f>
        <v>109.66</v>
      </c>
      <c r="F7130" s="2">
        <f>IFERROR(__xludf.DUMMYFUNCTION("""COMPUTED_VALUE"""),8044183.0)</f>
        <v>8044183</v>
      </c>
    </row>
    <row r="7131">
      <c r="A7131" s="3">
        <f>IFERROR(__xludf.DUMMYFUNCTION("""COMPUTED_VALUE"""),39541.666666666664)</f>
        <v>39541.66667</v>
      </c>
      <c r="B7131" s="2">
        <f>IFERROR(__xludf.DUMMYFUNCTION("""COMPUTED_VALUE"""),109.22)</f>
        <v>109.22</v>
      </c>
      <c r="C7131" s="2">
        <f>IFERROR(__xludf.DUMMYFUNCTION("""COMPUTED_VALUE"""),111.58)</f>
        <v>111.58</v>
      </c>
      <c r="D7131" s="2">
        <f>IFERROR(__xludf.DUMMYFUNCTION("""COMPUTED_VALUE"""),108.75)</f>
        <v>108.75</v>
      </c>
      <c r="E7131" s="2">
        <f>IFERROR(__xludf.DUMMYFUNCTION("""COMPUTED_VALUE"""),110.82)</f>
        <v>110.82</v>
      </c>
      <c r="F7131" s="2">
        <f>IFERROR(__xludf.DUMMYFUNCTION("""COMPUTED_VALUE"""),7052875.0)</f>
        <v>7052875</v>
      </c>
    </row>
    <row r="7132">
      <c r="A7132" s="3">
        <f>IFERROR(__xludf.DUMMYFUNCTION("""COMPUTED_VALUE"""),39542.666666666664)</f>
        <v>39542.66667</v>
      </c>
      <c r="B7132" s="2">
        <f>IFERROR(__xludf.DUMMYFUNCTION("""COMPUTED_VALUE"""),110.85)</f>
        <v>110.85</v>
      </c>
      <c r="C7132" s="2">
        <f>IFERROR(__xludf.DUMMYFUNCTION("""COMPUTED_VALUE"""),111.35)</f>
        <v>111.35</v>
      </c>
      <c r="D7132" s="2">
        <f>IFERROR(__xludf.DUMMYFUNCTION("""COMPUTED_VALUE"""),109.46)</f>
        <v>109.46</v>
      </c>
      <c r="E7132" s="2">
        <f>IFERROR(__xludf.DUMMYFUNCTION("""COMPUTED_VALUE"""),110.57)</f>
        <v>110.57</v>
      </c>
      <c r="F7132" s="2">
        <f>IFERROR(__xludf.DUMMYFUNCTION("""COMPUTED_VALUE"""),5733145.0)</f>
        <v>5733145</v>
      </c>
    </row>
    <row r="7133">
      <c r="A7133" s="3">
        <f>IFERROR(__xludf.DUMMYFUNCTION("""COMPUTED_VALUE"""),39545.666666666664)</f>
        <v>39545.66667</v>
      </c>
      <c r="B7133" s="2">
        <f>IFERROR(__xludf.DUMMYFUNCTION("""COMPUTED_VALUE"""),111.15)</f>
        <v>111.15</v>
      </c>
      <c r="C7133" s="2">
        <f>IFERROR(__xludf.DUMMYFUNCTION("""COMPUTED_VALUE"""),112.11)</f>
        <v>112.11</v>
      </c>
      <c r="D7133" s="2">
        <f>IFERROR(__xludf.DUMMYFUNCTION("""COMPUTED_VALUE"""),110.63)</f>
        <v>110.63</v>
      </c>
      <c r="E7133" s="2">
        <f>IFERROR(__xludf.DUMMYFUNCTION("""COMPUTED_VALUE"""),111.1)</f>
        <v>111.1</v>
      </c>
      <c r="F7133" s="2">
        <f>IFERROR(__xludf.DUMMYFUNCTION("""COMPUTED_VALUE"""),6181189.0)</f>
        <v>6181189</v>
      </c>
    </row>
    <row r="7134">
      <c r="A7134" s="3">
        <f>IFERROR(__xludf.DUMMYFUNCTION("""COMPUTED_VALUE"""),39546.666666666664)</f>
        <v>39546.66667</v>
      </c>
      <c r="B7134" s="2">
        <f>IFERROR(__xludf.DUMMYFUNCTION("""COMPUTED_VALUE"""),110.53)</f>
        <v>110.53</v>
      </c>
      <c r="C7134" s="2">
        <f>IFERROR(__xludf.DUMMYFUNCTION("""COMPUTED_VALUE"""),111.64)</f>
        <v>111.64</v>
      </c>
      <c r="D7134" s="2">
        <f>IFERROR(__xludf.DUMMYFUNCTION("""COMPUTED_VALUE"""),110.11)</f>
        <v>110.11</v>
      </c>
      <c r="E7134" s="2">
        <f>IFERROR(__xludf.DUMMYFUNCTION("""COMPUTED_VALUE"""),111.06)</f>
        <v>111.06</v>
      </c>
      <c r="F7134" s="2">
        <f>IFERROR(__xludf.DUMMYFUNCTION("""COMPUTED_VALUE"""),7283457.0)</f>
        <v>7283457</v>
      </c>
    </row>
    <row r="7135">
      <c r="A7135" s="3">
        <f>IFERROR(__xludf.DUMMYFUNCTION("""COMPUTED_VALUE"""),39547.666666666664)</f>
        <v>39547.66667</v>
      </c>
      <c r="B7135" s="2">
        <f>IFERROR(__xludf.DUMMYFUNCTION("""COMPUTED_VALUE"""),111.28)</f>
        <v>111.28</v>
      </c>
      <c r="C7135" s="2">
        <f>IFERROR(__xludf.DUMMYFUNCTION("""COMPUTED_VALUE"""),112.44)</f>
        <v>112.44</v>
      </c>
      <c r="D7135" s="2">
        <f>IFERROR(__xludf.DUMMYFUNCTION("""COMPUTED_VALUE"""),110.53)</f>
        <v>110.53</v>
      </c>
      <c r="E7135" s="2">
        <f>IFERROR(__xludf.DUMMYFUNCTION("""COMPUTED_VALUE"""),111.53)</f>
        <v>111.53</v>
      </c>
      <c r="F7135" s="2">
        <f>IFERROR(__xludf.DUMMYFUNCTION("""COMPUTED_VALUE"""),6819018.0)</f>
        <v>6819018</v>
      </c>
    </row>
    <row r="7136">
      <c r="A7136" s="3">
        <f>IFERROR(__xludf.DUMMYFUNCTION("""COMPUTED_VALUE"""),39548.666666666664)</f>
        <v>39548.66667</v>
      </c>
      <c r="B7136" s="2">
        <f>IFERROR(__xludf.DUMMYFUNCTION("""COMPUTED_VALUE"""),111.66)</f>
        <v>111.66</v>
      </c>
      <c r="C7136" s="2">
        <f>IFERROR(__xludf.DUMMYFUNCTION("""COMPUTED_VALUE"""),113.87)</f>
        <v>113.87</v>
      </c>
      <c r="D7136" s="2">
        <f>IFERROR(__xludf.DUMMYFUNCTION("""COMPUTED_VALUE"""),111.64)</f>
        <v>111.64</v>
      </c>
      <c r="E7136" s="2">
        <f>IFERROR(__xludf.DUMMYFUNCTION("""COMPUTED_VALUE"""),113.45)</f>
        <v>113.45</v>
      </c>
      <c r="F7136" s="2">
        <f>IFERROR(__xludf.DUMMYFUNCTION("""COMPUTED_VALUE"""),9149394.0)</f>
        <v>9149394</v>
      </c>
    </row>
    <row r="7137">
      <c r="A7137" s="3">
        <f>IFERROR(__xludf.DUMMYFUNCTION("""COMPUTED_VALUE"""),39549.666666666664)</f>
        <v>39549.66667</v>
      </c>
      <c r="B7137" s="2">
        <f>IFERROR(__xludf.DUMMYFUNCTION("""COMPUTED_VALUE"""),112.05)</f>
        <v>112.05</v>
      </c>
      <c r="C7137" s="2">
        <f>IFERROR(__xludf.DUMMYFUNCTION("""COMPUTED_VALUE"""),112.52)</f>
        <v>112.52</v>
      </c>
      <c r="D7137" s="2">
        <f>IFERROR(__xludf.DUMMYFUNCTION("""COMPUTED_VALUE"""),110.33)</f>
        <v>110.33</v>
      </c>
      <c r="E7137" s="2">
        <f>IFERROR(__xludf.DUMMYFUNCTION("""COMPUTED_VALUE"""),110.8)</f>
        <v>110.8</v>
      </c>
      <c r="F7137" s="2">
        <f>IFERROR(__xludf.DUMMYFUNCTION("""COMPUTED_VALUE"""),9561275.0)</f>
        <v>9561275</v>
      </c>
    </row>
    <row r="7138">
      <c r="A7138" s="3">
        <f>IFERROR(__xludf.DUMMYFUNCTION("""COMPUTED_VALUE"""),39552.666666666664)</f>
        <v>39552.66667</v>
      </c>
      <c r="B7138" s="2">
        <f>IFERROR(__xludf.DUMMYFUNCTION("""COMPUTED_VALUE"""),111.42)</f>
        <v>111.42</v>
      </c>
      <c r="C7138" s="2">
        <f>IFERROR(__xludf.DUMMYFUNCTION("""COMPUTED_VALUE"""),112.65)</f>
        <v>112.65</v>
      </c>
      <c r="D7138" s="2">
        <f>IFERROR(__xludf.DUMMYFUNCTION("""COMPUTED_VALUE"""),110.75)</f>
        <v>110.75</v>
      </c>
      <c r="E7138" s="2">
        <f>IFERROR(__xludf.DUMMYFUNCTION("""COMPUTED_VALUE"""),112.02)</f>
        <v>112.02</v>
      </c>
      <c r="F7138" s="2">
        <f>IFERROR(__xludf.DUMMYFUNCTION("""COMPUTED_VALUE"""),7750847.0)</f>
        <v>7750847</v>
      </c>
    </row>
    <row r="7139">
      <c r="A7139" s="3">
        <f>IFERROR(__xludf.DUMMYFUNCTION("""COMPUTED_VALUE"""),39553.666666666664)</f>
        <v>39553.66667</v>
      </c>
      <c r="B7139" s="2">
        <f>IFERROR(__xludf.DUMMYFUNCTION("""COMPUTED_VALUE"""),112.23)</f>
        <v>112.23</v>
      </c>
      <c r="C7139" s="2">
        <f>IFERROR(__xludf.DUMMYFUNCTION("""COMPUTED_VALUE"""),112.39)</f>
        <v>112.39</v>
      </c>
      <c r="D7139" s="2">
        <f>IFERROR(__xludf.DUMMYFUNCTION("""COMPUTED_VALUE"""),110.36)</f>
        <v>110.36</v>
      </c>
      <c r="E7139" s="2">
        <f>IFERROR(__xludf.DUMMYFUNCTION("""COMPUTED_VALUE"""),111.92)</f>
        <v>111.92</v>
      </c>
      <c r="F7139" s="2">
        <f>IFERROR(__xludf.DUMMYFUNCTION("""COMPUTED_VALUE"""),8643796.0)</f>
        <v>8643796</v>
      </c>
    </row>
    <row r="7140">
      <c r="A7140" s="3">
        <f>IFERROR(__xludf.DUMMYFUNCTION("""COMPUTED_VALUE"""),39554.666666666664)</f>
        <v>39554.66667</v>
      </c>
      <c r="B7140" s="2">
        <f>IFERROR(__xludf.DUMMYFUNCTION("""COMPUTED_VALUE"""),112.85)</f>
        <v>112.85</v>
      </c>
      <c r="C7140" s="2">
        <f>IFERROR(__xludf.DUMMYFUNCTION("""COMPUTED_VALUE"""),115.07)</f>
        <v>115.07</v>
      </c>
      <c r="D7140" s="2">
        <f>IFERROR(__xludf.DUMMYFUNCTION("""COMPUTED_VALUE"""),111.92)</f>
        <v>111.92</v>
      </c>
      <c r="E7140" s="2">
        <f>IFERROR(__xludf.DUMMYFUNCTION("""COMPUTED_VALUE"""),115.07)</f>
        <v>115.07</v>
      </c>
      <c r="F7140" s="2">
        <f>IFERROR(__xludf.DUMMYFUNCTION("""COMPUTED_VALUE"""),1.9317688E7)</f>
        <v>19317688</v>
      </c>
    </row>
    <row r="7141">
      <c r="A7141" s="3">
        <f>IFERROR(__xludf.DUMMYFUNCTION("""COMPUTED_VALUE"""),39555.666666666664)</f>
        <v>39555.66667</v>
      </c>
      <c r="B7141" s="2">
        <f>IFERROR(__xludf.DUMMYFUNCTION("""COMPUTED_VALUE"""),116.9)</f>
        <v>116.9</v>
      </c>
      <c r="C7141" s="2">
        <f>IFERROR(__xludf.DUMMYFUNCTION("""COMPUTED_VALUE"""),118.17)</f>
        <v>118.17</v>
      </c>
      <c r="D7141" s="2">
        <f>IFERROR(__xludf.DUMMYFUNCTION("""COMPUTED_VALUE"""),115.29)</f>
        <v>115.29</v>
      </c>
      <c r="E7141" s="2">
        <f>IFERROR(__xludf.DUMMYFUNCTION("""COMPUTED_VALUE"""),117.56)</f>
        <v>117.56</v>
      </c>
      <c r="F7141" s="2">
        <f>IFERROR(__xludf.DUMMYFUNCTION("""COMPUTED_VALUE"""),1.900276E7)</f>
        <v>19002760</v>
      </c>
    </row>
    <row r="7142">
      <c r="A7142" s="3">
        <f>IFERROR(__xludf.DUMMYFUNCTION("""COMPUTED_VALUE"""),39556.666666666664)</f>
        <v>39556.66667</v>
      </c>
      <c r="B7142" s="2">
        <f>IFERROR(__xludf.DUMMYFUNCTION("""COMPUTED_VALUE"""),118.36)</f>
        <v>118.36</v>
      </c>
      <c r="C7142" s="2">
        <f>IFERROR(__xludf.DUMMYFUNCTION("""COMPUTED_VALUE"""),119.4)</f>
        <v>119.4</v>
      </c>
      <c r="D7142" s="2">
        <f>IFERROR(__xludf.DUMMYFUNCTION("""COMPUTED_VALUE"""),117.63)</f>
        <v>117.63</v>
      </c>
      <c r="E7142" s="2">
        <f>IFERROR(__xludf.DUMMYFUNCTION("""COMPUTED_VALUE"""),118.82)</f>
        <v>118.82</v>
      </c>
      <c r="F7142" s="2">
        <f>IFERROR(__xludf.DUMMYFUNCTION("""COMPUTED_VALUE"""),1.2492853E7)</f>
        <v>12492853</v>
      </c>
    </row>
    <row r="7143">
      <c r="A7143" s="3">
        <f>IFERROR(__xludf.DUMMYFUNCTION("""COMPUTED_VALUE"""),39559.666666666664)</f>
        <v>39559.66667</v>
      </c>
      <c r="B7143" s="2">
        <f>IFERROR(__xludf.DUMMYFUNCTION("""COMPUTED_VALUE"""),118.08)</f>
        <v>118.08</v>
      </c>
      <c r="C7143" s="2">
        <f>IFERROR(__xludf.DUMMYFUNCTION("""COMPUTED_VALUE"""),118.93)</f>
        <v>118.93</v>
      </c>
      <c r="D7143" s="2">
        <f>IFERROR(__xludf.DUMMYFUNCTION("""COMPUTED_VALUE"""),116.58)</f>
        <v>116.58</v>
      </c>
      <c r="E7143" s="2">
        <f>IFERROR(__xludf.DUMMYFUNCTION("""COMPUTED_VALUE"""),118.77)</f>
        <v>118.77</v>
      </c>
      <c r="F7143" s="2">
        <f>IFERROR(__xludf.DUMMYFUNCTION("""COMPUTED_VALUE"""),6953989.0)</f>
        <v>6953989</v>
      </c>
    </row>
    <row r="7144">
      <c r="A7144" s="3">
        <f>IFERROR(__xludf.DUMMYFUNCTION("""COMPUTED_VALUE"""),39560.666666666664)</f>
        <v>39560.66667</v>
      </c>
      <c r="B7144" s="2">
        <f>IFERROR(__xludf.DUMMYFUNCTION("""COMPUTED_VALUE"""),118.32)</f>
        <v>118.32</v>
      </c>
      <c r="C7144" s="2">
        <f>IFERROR(__xludf.DUMMYFUNCTION("""COMPUTED_VALUE"""),118.77)</f>
        <v>118.77</v>
      </c>
      <c r="D7144" s="2">
        <f>IFERROR(__xludf.DUMMYFUNCTION("""COMPUTED_VALUE"""),117.49)</f>
        <v>117.49</v>
      </c>
      <c r="E7144" s="2">
        <f>IFERROR(__xludf.DUMMYFUNCTION("""COMPUTED_VALUE"""),118.13)</f>
        <v>118.13</v>
      </c>
      <c r="F7144" s="2">
        <f>IFERROR(__xludf.DUMMYFUNCTION("""COMPUTED_VALUE"""),5417499.0)</f>
        <v>5417499</v>
      </c>
    </row>
    <row r="7145">
      <c r="A7145" s="3">
        <f>IFERROR(__xludf.DUMMYFUNCTION("""COMPUTED_VALUE"""),39561.666666666664)</f>
        <v>39561.66667</v>
      </c>
      <c r="B7145" s="2">
        <f>IFERROR(__xludf.DUMMYFUNCTION("""COMPUTED_VALUE"""),118.14)</f>
        <v>118.14</v>
      </c>
      <c r="C7145" s="2">
        <f>IFERROR(__xludf.DUMMYFUNCTION("""COMPUTED_VALUE"""),119.19)</f>
        <v>119.19</v>
      </c>
      <c r="D7145" s="2">
        <f>IFERROR(__xludf.DUMMYFUNCTION("""COMPUTED_VALUE"""),117.14)</f>
        <v>117.14</v>
      </c>
      <c r="E7145" s="2">
        <f>IFERROR(__xludf.DUMMYFUNCTION("""COMPUTED_VALUE"""),118.06)</f>
        <v>118.06</v>
      </c>
      <c r="F7145" s="2">
        <f>IFERROR(__xludf.DUMMYFUNCTION("""COMPUTED_VALUE"""),7593274.0)</f>
        <v>7593274</v>
      </c>
    </row>
    <row r="7146">
      <c r="A7146" s="3">
        <f>IFERROR(__xludf.DUMMYFUNCTION("""COMPUTED_VALUE"""),39562.666666666664)</f>
        <v>39562.66667</v>
      </c>
      <c r="B7146" s="2">
        <f>IFERROR(__xludf.DUMMYFUNCTION("""COMPUTED_VALUE"""),117.85)</f>
        <v>117.85</v>
      </c>
      <c r="C7146" s="2">
        <f>IFERROR(__xludf.DUMMYFUNCTION("""COMPUTED_VALUE"""),119.3)</f>
        <v>119.3</v>
      </c>
      <c r="D7146" s="2">
        <f>IFERROR(__xludf.DUMMYFUNCTION("""COMPUTED_VALUE"""),117.23)</f>
        <v>117.23</v>
      </c>
      <c r="E7146" s="2">
        <f>IFERROR(__xludf.DUMMYFUNCTION("""COMPUTED_VALUE"""),118.62)</f>
        <v>118.62</v>
      </c>
      <c r="F7146" s="2">
        <f>IFERROR(__xludf.DUMMYFUNCTION("""COMPUTED_VALUE"""),5996805.0)</f>
        <v>5996805</v>
      </c>
    </row>
    <row r="7147">
      <c r="A7147" s="3">
        <f>IFERROR(__xludf.DUMMYFUNCTION("""COMPUTED_VALUE"""),39563.666666666664)</f>
        <v>39563.66667</v>
      </c>
      <c r="B7147" s="2">
        <f>IFERROR(__xludf.DUMMYFUNCTION("""COMPUTED_VALUE"""),118.92)</f>
        <v>118.92</v>
      </c>
      <c r="C7147" s="2">
        <f>IFERROR(__xludf.DUMMYFUNCTION("""COMPUTED_VALUE"""),118.92)</f>
        <v>118.92</v>
      </c>
      <c r="D7147" s="2">
        <f>IFERROR(__xludf.DUMMYFUNCTION("""COMPUTED_VALUE"""),116.59)</f>
        <v>116.59</v>
      </c>
      <c r="E7147" s="2">
        <f>IFERROR(__xludf.DUMMYFUNCTION("""COMPUTED_VALUE"""),117.56)</f>
        <v>117.56</v>
      </c>
      <c r="F7147" s="2">
        <f>IFERROR(__xludf.DUMMYFUNCTION("""COMPUTED_VALUE"""),6316517.0)</f>
        <v>6316517</v>
      </c>
    </row>
    <row r="7148">
      <c r="A7148" s="3">
        <f>IFERROR(__xludf.DUMMYFUNCTION("""COMPUTED_VALUE"""),39566.666666666664)</f>
        <v>39566.66667</v>
      </c>
      <c r="B7148" s="2">
        <f>IFERROR(__xludf.DUMMYFUNCTION("""COMPUTED_VALUE"""),117.11)</f>
        <v>117.11</v>
      </c>
      <c r="C7148" s="2">
        <f>IFERROR(__xludf.DUMMYFUNCTION("""COMPUTED_VALUE"""),117.53)</f>
        <v>117.53</v>
      </c>
      <c r="D7148" s="2">
        <f>IFERROR(__xludf.DUMMYFUNCTION("""COMPUTED_VALUE"""),116.19)</f>
        <v>116.19</v>
      </c>
      <c r="E7148" s="2">
        <f>IFERROR(__xludf.DUMMYFUNCTION("""COMPUTED_VALUE"""),116.23)</f>
        <v>116.23</v>
      </c>
      <c r="F7148" s="2">
        <f>IFERROR(__xludf.DUMMYFUNCTION("""COMPUTED_VALUE"""),5608477.0)</f>
        <v>5608477</v>
      </c>
    </row>
    <row r="7149">
      <c r="A7149" s="3">
        <f>IFERROR(__xludf.DUMMYFUNCTION("""COMPUTED_VALUE"""),39567.666666666664)</f>
        <v>39567.66667</v>
      </c>
      <c r="B7149" s="2">
        <f>IFERROR(__xludf.DUMMYFUNCTION("""COMPUTED_VALUE"""),116.57)</f>
        <v>116.57</v>
      </c>
      <c r="C7149" s="2">
        <f>IFERROR(__xludf.DUMMYFUNCTION("""COMPUTED_VALUE"""),117.68)</f>
        <v>117.68</v>
      </c>
      <c r="D7149" s="2">
        <f>IFERROR(__xludf.DUMMYFUNCTION("""COMPUTED_VALUE"""),116.57)</f>
        <v>116.57</v>
      </c>
      <c r="E7149" s="2">
        <f>IFERROR(__xludf.DUMMYFUNCTION("""COMPUTED_VALUE"""),117.34)</f>
        <v>117.34</v>
      </c>
      <c r="F7149" s="2">
        <f>IFERROR(__xludf.DUMMYFUNCTION("""COMPUTED_VALUE"""),7226458.0)</f>
        <v>7226458</v>
      </c>
    </row>
    <row r="7150">
      <c r="A7150" s="3">
        <f>IFERROR(__xludf.DUMMYFUNCTION("""COMPUTED_VALUE"""),39568.666666666664)</f>
        <v>39568.66667</v>
      </c>
      <c r="B7150" s="2">
        <f>IFERROR(__xludf.DUMMYFUNCTION("""COMPUTED_VALUE"""),117.81)</f>
        <v>117.81</v>
      </c>
      <c r="C7150" s="2">
        <f>IFERROR(__xludf.DUMMYFUNCTION("""COMPUTED_VALUE"""),117.96)</f>
        <v>117.96</v>
      </c>
      <c r="D7150" s="2">
        <f>IFERROR(__xludf.DUMMYFUNCTION("""COMPUTED_VALUE"""),115.1)</f>
        <v>115.1</v>
      </c>
      <c r="E7150" s="2">
        <f>IFERROR(__xludf.DUMMYFUNCTION("""COMPUTED_VALUE"""),115.29)</f>
        <v>115.29</v>
      </c>
      <c r="F7150" s="2">
        <f>IFERROR(__xludf.DUMMYFUNCTION("""COMPUTED_VALUE"""),8130102.0)</f>
        <v>8130102</v>
      </c>
    </row>
    <row r="7151">
      <c r="A7151" s="3">
        <f>IFERROR(__xludf.DUMMYFUNCTION("""COMPUTED_VALUE"""),39569.666666666664)</f>
        <v>39569.66667</v>
      </c>
      <c r="B7151" s="2">
        <f>IFERROR(__xludf.DUMMYFUNCTION("""COMPUTED_VALUE"""),115.63)</f>
        <v>115.63</v>
      </c>
      <c r="C7151" s="2">
        <f>IFERROR(__xludf.DUMMYFUNCTION("""COMPUTED_VALUE"""),118.85)</f>
        <v>118.85</v>
      </c>
      <c r="D7151" s="2">
        <f>IFERROR(__xludf.DUMMYFUNCTION("""COMPUTED_VALUE"""),115.63)</f>
        <v>115.63</v>
      </c>
      <c r="E7151" s="2">
        <f>IFERROR(__xludf.DUMMYFUNCTION("""COMPUTED_VALUE"""),118.07)</f>
        <v>118.07</v>
      </c>
      <c r="F7151" s="2">
        <f>IFERROR(__xludf.DUMMYFUNCTION("""COMPUTED_VALUE"""),8230753.0)</f>
        <v>8230753</v>
      </c>
    </row>
    <row r="7152">
      <c r="A7152" s="3">
        <f>IFERROR(__xludf.DUMMYFUNCTION("""COMPUTED_VALUE"""),39570.666666666664)</f>
        <v>39570.66667</v>
      </c>
      <c r="B7152" s="2">
        <f>IFERROR(__xludf.DUMMYFUNCTION("""COMPUTED_VALUE"""),117.77)</f>
        <v>117.77</v>
      </c>
      <c r="C7152" s="2">
        <f>IFERROR(__xludf.DUMMYFUNCTION("""COMPUTED_VALUE"""),118.44)</f>
        <v>118.44</v>
      </c>
      <c r="D7152" s="2">
        <f>IFERROR(__xludf.DUMMYFUNCTION("""COMPUTED_VALUE"""),116.3)</f>
        <v>116.3</v>
      </c>
      <c r="E7152" s="2">
        <f>IFERROR(__xludf.DUMMYFUNCTION("""COMPUTED_VALUE"""),117.66)</f>
        <v>117.66</v>
      </c>
      <c r="F7152" s="2">
        <f>IFERROR(__xludf.DUMMYFUNCTION("""COMPUTED_VALUE"""),6916601.0)</f>
        <v>6916601</v>
      </c>
    </row>
    <row r="7153">
      <c r="A7153" s="3">
        <f>IFERROR(__xludf.DUMMYFUNCTION("""COMPUTED_VALUE"""),39573.666666666664)</f>
        <v>39573.66667</v>
      </c>
      <c r="B7153" s="2">
        <f>IFERROR(__xludf.DUMMYFUNCTION("""COMPUTED_VALUE"""),116.81)</f>
        <v>116.81</v>
      </c>
      <c r="C7153" s="2">
        <f>IFERROR(__xludf.DUMMYFUNCTION("""COMPUTED_VALUE"""),117.72)</f>
        <v>117.72</v>
      </c>
      <c r="D7153" s="2">
        <f>IFERROR(__xludf.DUMMYFUNCTION("""COMPUTED_VALUE"""),116.28)</f>
        <v>116.28</v>
      </c>
      <c r="E7153" s="2">
        <f>IFERROR(__xludf.DUMMYFUNCTION("""COMPUTED_VALUE"""),116.56)</f>
        <v>116.56</v>
      </c>
      <c r="F7153" s="2">
        <f>IFERROR(__xludf.DUMMYFUNCTION("""COMPUTED_VALUE"""),6360332.0)</f>
        <v>6360332</v>
      </c>
    </row>
    <row r="7154">
      <c r="A7154" s="3">
        <f>IFERROR(__xludf.DUMMYFUNCTION("""COMPUTED_VALUE"""),39574.666666666664)</f>
        <v>39574.66667</v>
      </c>
      <c r="B7154" s="2">
        <f>IFERROR(__xludf.DUMMYFUNCTION("""COMPUTED_VALUE"""),116.05)</f>
        <v>116.05</v>
      </c>
      <c r="C7154" s="2">
        <f>IFERROR(__xludf.DUMMYFUNCTION("""COMPUTED_VALUE"""),117.81)</f>
        <v>117.81</v>
      </c>
      <c r="D7154" s="2">
        <f>IFERROR(__xludf.DUMMYFUNCTION("""COMPUTED_VALUE"""),115.36)</f>
        <v>115.36</v>
      </c>
      <c r="E7154" s="2">
        <f>IFERROR(__xludf.DUMMYFUNCTION("""COMPUTED_VALUE"""),117.31)</f>
        <v>117.31</v>
      </c>
      <c r="F7154" s="2">
        <f>IFERROR(__xludf.DUMMYFUNCTION("""COMPUTED_VALUE"""),5910368.0)</f>
        <v>5910368</v>
      </c>
    </row>
    <row r="7155">
      <c r="A7155" s="3">
        <f>IFERROR(__xludf.DUMMYFUNCTION("""COMPUTED_VALUE"""),39575.666666666664)</f>
        <v>39575.66667</v>
      </c>
      <c r="B7155" s="2">
        <f>IFERROR(__xludf.DUMMYFUNCTION("""COMPUTED_VALUE"""),117.28)</f>
        <v>117.28</v>
      </c>
      <c r="C7155" s="2">
        <f>IFERROR(__xludf.DUMMYFUNCTION("""COMPUTED_VALUE"""),119.38)</f>
        <v>119.38</v>
      </c>
      <c r="D7155" s="2">
        <f>IFERROR(__xludf.DUMMYFUNCTION("""COMPUTED_VALUE"""),116.92)</f>
        <v>116.92</v>
      </c>
      <c r="E7155" s="2">
        <f>IFERROR(__xludf.DUMMYFUNCTION("""COMPUTED_VALUE"""),118.57)</f>
        <v>118.57</v>
      </c>
      <c r="F7155" s="2">
        <f>IFERROR(__xludf.DUMMYFUNCTION("""COMPUTED_VALUE"""),1.1406753E7)</f>
        <v>11406753</v>
      </c>
    </row>
    <row r="7156">
      <c r="A7156" s="3">
        <f>IFERROR(__xludf.DUMMYFUNCTION("""COMPUTED_VALUE"""),39576.666666666664)</f>
        <v>39576.66667</v>
      </c>
      <c r="B7156" s="2">
        <f>IFERROR(__xludf.DUMMYFUNCTION("""COMPUTED_VALUE"""),118.63)</f>
        <v>118.63</v>
      </c>
      <c r="C7156" s="2">
        <f>IFERROR(__xludf.DUMMYFUNCTION("""COMPUTED_VALUE"""),119.56)</f>
        <v>119.56</v>
      </c>
      <c r="D7156" s="2">
        <f>IFERROR(__xludf.DUMMYFUNCTION("""COMPUTED_VALUE"""),118.15)</f>
        <v>118.15</v>
      </c>
      <c r="E7156" s="2">
        <f>IFERROR(__xludf.DUMMYFUNCTION("""COMPUTED_VALUE"""),119.32)</f>
        <v>119.32</v>
      </c>
      <c r="F7156" s="2">
        <f>IFERROR(__xludf.DUMMYFUNCTION("""COMPUTED_VALUE"""),9793931.0)</f>
        <v>9793931</v>
      </c>
    </row>
    <row r="7157">
      <c r="A7157" s="3">
        <f>IFERROR(__xludf.DUMMYFUNCTION("""COMPUTED_VALUE"""),39577.666666666664)</f>
        <v>39577.66667</v>
      </c>
      <c r="B7157" s="2">
        <f>IFERROR(__xludf.DUMMYFUNCTION("""COMPUTED_VALUE"""),118.79)</f>
        <v>118.79</v>
      </c>
      <c r="C7157" s="2">
        <f>IFERROR(__xludf.DUMMYFUNCTION("""COMPUTED_VALUE"""),119.06)</f>
        <v>119.06</v>
      </c>
      <c r="D7157" s="2">
        <f>IFERROR(__xludf.DUMMYFUNCTION("""COMPUTED_VALUE"""),118.09)</f>
        <v>118.09</v>
      </c>
      <c r="E7157" s="2">
        <f>IFERROR(__xludf.DUMMYFUNCTION("""COMPUTED_VALUE"""),118.5)</f>
        <v>118.5</v>
      </c>
      <c r="F7157" s="2">
        <f>IFERROR(__xludf.DUMMYFUNCTION("""COMPUTED_VALUE"""),5502095.0)</f>
        <v>5502095</v>
      </c>
    </row>
    <row r="7158">
      <c r="A7158" s="3">
        <f>IFERROR(__xludf.DUMMYFUNCTION("""COMPUTED_VALUE"""),39580.666666666664)</f>
        <v>39580.66667</v>
      </c>
      <c r="B7158" s="2">
        <f>IFERROR(__xludf.DUMMYFUNCTION("""COMPUTED_VALUE"""),118.27)</f>
        <v>118.27</v>
      </c>
      <c r="C7158" s="2">
        <f>IFERROR(__xludf.DUMMYFUNCTION("""COMPUTED_VALUE"""),120.34)</f>
        <v>120.34</v>
      </c>
      <c r="D7158" s="2">
        <f>IFERROR(__xludf.DUMMYFUNCTION("""COMPUTED_VALUE"""),118.02)</f>
        <v>118.02</v>
      </c>
      <c r="E7158" s="2">
        <f>IFERROR(__xludf.DUMMYFUNCTION("""COMPUTED_VALUE"""),119.62)</f>
        <v>119.62</v>
      </c>
      <c r="F7158" s="2">
        <f>IFERROR(__xludf.DUMMYFUNCTION("""COMPUTED_VALUE"""),8670019.0)</f>
        <v>8670019</v>
      </c>
    </row>
    <row r="7159">
      <c r="A7159" s="3">
        <f>IFERROR(__xludf.DUMMYFUNCTION("""COMPUTED_VALUE"""),39581.666666666664)</f>
        <v>39581.66667</v>
      </c>
      <c r="B7159" s="2">
        <f>IFERROR(__xludf.DUMMYFUNCTION("""COMPUTED_VALUE"""),119.51)</f>
        <v>119.51</v>
      </c>
      <c r="C7159" s="2">
        <f>IFERROR(__xludf.DUMMYFUNCTION("""COMPUTED_VALUE"""),121.02)</f>
        <v>121.02</v>
      </c>
      <c r="D7159" s="2">
        <f>IFERROR(__xludf.DUMMYFUNCTION("""COMPUTED_VALUE"""),119.42)</f>
        <v>119.42</v>
      </c>
      <c r="E7159" s="2">
        <f>IFERROR(__xludf.DUMMYFUNCTION("""COMPUTED_VALUE"""),120.9)</f>
        <v>120.9</v>
      </c>
      <c r="F7159" s="2">
        <f>IFERROR(__xludf.DUMMYFUNCTION("""COMPUTED_VALUE"""),9693364.0)</f>
        <v>9693364</v>
      </c>
    </row>
    <row r="7160">
      <c r="A7160" s="3">
        <f>IFERROR(__xludf.DUMMYFUNCTION("""COMPUTED_VALUE"""),39582.666666666664)</f>
        <v>39582.66667</v>
      </c>
      <c r="B7160" s="2">
        <f>IFERROR(__xludf.DUMMYFUNCTION("""COMPUTED_VALUE"""),120.85)</f>
        <v>120.85</v>
      </c>
      <c r="C7160" s="2">
        <f>IFERROR(__xludf.DUMMYFUNCTION("""COMPUTED_VALUE"""),123.05)</f>
        <v>123.05</v>
      </c>
      <c r="D7160" s="2">
        <f>IFERROR(__xludf.DUMMYFUNCTION("""COMPUTED_VALUE"""),120.54)</f>
        <v>120.54</v>
      </c>
      <c r="E7160" s="2">
        <f>IFERROR(__xludf.DUMMYFUNCTION("""COMPUTED_VALUE"""),121.8)</f>
        <v>121.8</v>
      </c>
      <c r="F7160" s="2">
        <f>IFERROR(__xludf.DUMMYFUNCTION("""COMPUTED_VALUE"""),8889067.0)</f>
        <v>8889067</v>
      </c>
    </row>
    <row r="7161">
      <c r="A7161" s="3">
        <f>IFERROR(__xludf.DUMMYFUNCTION("""COMPUTED_VALUE"""),39583.666666666664)</f>
        <v>39583.66667</v>
      </c>
      <c r="B7161" s="2">
        <f>IFERROR(__xludf.DUMMYFUNCTION("""COMPUTED_VALUE"""),121.62)</f>
        <v>121.62</v>
      </c>
      <c r="C7161" s="2">
        <f>IFERROR(__xludf.DUMMYFUNCTION("""COMPUTED_VALUE"""),122.91)</f>
        <v>122.91</v>
      </c>
      <c r="D7161" s="2">
        <f>IFERROR(__xludf.DUMMYFUNCTION("""COMPUTED_VALUE"""),121.21)</f>
        <v>121.21</v>
      </c>
      <c r="E7161" s="2">
        <f>IFERROR(__xludf.DUMMYFUNCTION("""COMPUTED_VALUE"""),122.7)</f>
        <v>122.7</v>
      </c>
      <c r="F7161" s="2">
        <f>IFERROR(__xludf.DUMMYFUNCTION("""COMPUTED_VALUE"""),7227965.0)</f>
        <v>7227965</v>
      </c>
    </row>
    <row r="7162">
      <c r="A7162" s="3">
        <f>IFERROR(__xludf.DUMMYFUNCTION("""COMPUTED_VALUE"""),39584.666666666664)</f>
        <v>39584.66667</v>
      </c>
      <c r="B7162" s="2">
        <f>IFERROR(__xludf.DUMMYFUNCTION("""COMPUTED_VALUE"""),122.7)</f>
        <v>122.7</v>
      </c>
      <c r="C7162" s="2">
        <f>IFERROR(__xludf.DUMMYFUNCTION("""COMPUTED_VALUE"""),122.71)</f>
        <v>122.71</v>
      </c>
      <c r="D7162" s="2">
        <f>IFERROR(__xludf.DUMMYFUNCTION("""COMPUTED_VALUE"""),121.11)</f>
        <v>121.11</v>
      </c>
      <c r="E7162" s="2">
        <f>IFERROR(__xludf.DUMMYFUNCTION("""COMPUTED_VALUE"""),122.09)</f>
        <v>122.09</v>
      </c>
      <c r="F7162" s="2">
        <f>IFERROR(__xludf.DUMMYFUNCTION("""COMPUTED_VALUE"""),6372012.0)</f>
        <v>6372012</v>
      </c>
    </row>
    <row r="7163">
      <c r="A7163" s="3">
        <f>IFERROR(__xludf.DUMMYFUNCTION("""COMPUTED_VALUE"""),39587.666666666664)</f>
        <v>39587.66667</v>
      </c>
      <c r="B7163" s="2">
        <f>IFERROR(__xludf.DUMMYFUNCTION("""COMPUTED_VALUE"""),121.96)</f>
        <v>121.96</v>
      </c>
      <c r="C7163" s="2">
        <f>IFERROR(__xludf.DUMMYFUNCTION("""COMPUTED_VALUE"""),122.46)</f>
        <v>122.46</v>
      </c>
      <c r="D7163" s="2">
        <f>IFERROR(__xludf.DUMMYFUNCTION("""COMPUTED_VALUE"""),120.4)</f>
        <v>120.4</v>
      </c>
      <c r="E7163" s="2">
        <f>IFERROR(__xludf.DUMMYFUNCTION("""COMPUTED_VALUE"""),120.82)</f>
        <v>120.82</v>
      </c>
      <c r="F7163" s="2">
        <f>IFERROR(__xludf.DUMMYFUNCTION("""COMPUTED_VALUE"""),6385449.0)</f>
        <v>6385449</v>
      </c>
    </row>
    <row r="7164">
      <c r="A7164" s="3">
        <f>IFERROR(__xludf.DUMMYFUNCTION("""COMPUTED_VALUE"""),39588.666666666664)</f>
        <v>39588.66667</v>
      </c>
      <c r="B7164" s="2">
        <f>IFERROR(__xludf.DUMMYFUNCTION("""COMPUTED_VALUE"""),120.4)</f>
        <v>120.4</v>
      </c>
      <c r="C7164" s="2">
        <f>IFERROR(__xludf.DUMMYFUNCTION("""COMPUTED_VALUE"""),120.4)</f>
        <v>120.4</v>
      </c>
      <c r="D7164" s="2">
        <f>IFERROR(__xludf.DUMMYFUNCTION("""COMPUTED_VALUE"""),118.87)</f>
        <v>118.87</v>
      </c>
      <c r="E7164" s="2">
        <f>IFERROR(__xludf.DUMMYFUNCTION("""COMPUTED_VALUE"""),119.57)</f>
        <v>119.57</v>
      </c>
      <c r="F7164" s="2">
        <f>IFERROR(__xludf.DUMMYFUNCTION("""COMPUTED_VALUE"""),7017688.0)</f>
        <v>7017688</v>
      </c>
    </row>
    <row r="7165">
      <c r="A7165" s="3">
        <f>IFERROR(__xludf.DUMMYFUNCTION("""COMPUTED_VALUE"""),39589.666666666664)</f>
        <v>39589.66667</v>
      </c>
      <c r="B7165" s="2">
        <f>IFERROR(__xludf.DUMMYFUNCTION("""COMPUTED_VALUE"""),119.44)</f>
        <v>119.44</v>
      </c>
      <c r="C7165" s="2">
        <f>IFERROR(__xludf.DUMMYFUNCTION("""COMPUTED_VALUE"""),120.73)</f>
        <v>120.73</v>
      </c>
      <c r="D7165" s="2">
        <f>IFERROR(__xludf.DUMMYFUNCTION("""COMPUTED_VALUE"""),117.5)</f>
        <v>117.5</v>
      </c>
      <c r="E7165" s="2">
        <f>IFERROR(__xludf.DUMMYFUNCTION("""COMPUTED_VALUE"""),118.08)</f>
        <v>118.08</v>
      </c>
      <c r="F7165" s="2">
        <f>IFERROR(__xludf.DUMMYFUNCTION("""COMPUTED_VALUE"""),8334760.0)</f>
        <v>8334760</v>
      </c>
    </row>
    <row r="7166">
      <c r="A7166" s="3">
        <f>IFERROR(__xludf.DUMMYFUNCTION("""COMPUTED_VALUE"""),39590.666666666664)</f>
        <v>39590.66667</v>
      </c>
      <c r="B7166" s="2">
        <f>IFERROR(__xludf.DUMMYFUNCTION("""COMPUTED_VALUE"""),118.01)</f>
        <v>118.01</v>
      </c>
      <c r="C7166" s="2">
        <f>IFERROR(__xludf.DUMMYFUNCTION("""COMPUTED_VALUE"""),119.73)</f>
        <v>119.73</v>
      </c>
      <c r="D7166" s="2">
        <f>IFERROR(__xludf.DUMMYFUNCTION("""COMPUTED_VALUE"""),118.01)</f>
        <v>118.01</v>
      </c>
      <c r="E7166" s="2">
        <f>IFERROR(__xludf.DUMMYFUNCTION("""COMPUTED_VALUE"""),119.11)</f>
        <v>119.11</v>
      </c>
      <c r="F7166" s="2">
        <f>IFERROR(__xludf.DUMMYFUNCTION("""COMPUTED_VALUE"""),5031339.0)</f>
        <v>5031339</v>
      </c>
    </row>
    <row r="7167">
      <c r="A7167" s="3">
        <f>IFERROR(__xludf.DUMMYFUNCTION("""COMPUTED_VALUE"""),39591.666666666664)</f>
        <v>39591.66667</v>
      </c>
      <c r="B7167" s="2">
        <f>IFERROR(__xludf.DUMMYFUNCTION("""COMPUTED_VALUE"""),118.77)</f>
        <v>118.77</v>
      </c>
      <c r="C7167" s="2">
        <f>IFERROR(__xludf.DUMMYFUNCTION("""COMPUTED_VALUE"""),119.31)</f>
        <v>119.31</v>
      </c>
      <c r="D7167" s="2">
        <f>IFERROR(__xludf.DUMMYFUNCTION("""COMPUTED_VALUE"""),118.22)</f>
        <v>118.22</v>
      </c>
      <c r="E7167" s="2">
        <f>IFERROR(__xludf.DUMMYFUNCTION("""COMPUTED_VALUE"""),118.63)</f>
        <v>118.63</v>
      </c>
      <c r="F7167" s="2">
        <f>IFERROR(__xludf.DUMMYFUNCTION("""COMPUTED_VALUE"""),4701489.0)</f>
        <v>4701489</v>
      </c>
    </row>
    <row r="7168">
      <c r="A7168" s="3">
        <f>IFERROR(__xludf.DUMMYFUNCTION("""COMPUTED_VALUE"""),39595.666666666664)</f>
        <v>39595.66667</v>
      </c>
      <c r="B7168" s="2">
        <f>IFERROR(__xludf.DUMMYFUNCTION("""COMPUTED_VALUE"""),118.45)</f>
        <v>118.45</v>
      </c>
      <c r="C7168" s="2">
        <f>IFERROR(__xludf.DUMMYFUNCTION("""COMPUTED_VALUE"""),121.67)</f>
        <v>121.67</v>
      </c>
      <c r="D7168" s="2">
        <f>IFERROR(__xludf.DUMMYFUNCTION("""COMPUTED_VALUE"""),118.44)</f>
        <v>118.44</v>
      </c>
      <c r="E7168" s="2">
        <f>IFERROR(__xludf.DUMMYFUNCTION("""COMPUTED_VALUE"""),121.61)</f>
        <v>121.61</v>
      </c>
      <c r="F7168" s="2">
        <f>IFERROR(__xludf.DUMMYFUNCTION("""COMPUTED_VALUE"""),6989563.0)</f>
        <v>6989563</v>
      </c>
    </row>
    <row r="7169">
      <c r="A7169" s="3">
        <f>IFERROR(__xludf.DUMMYFUNCTION("""COMPUTED_VALUE"""),39596.666666666664)</f>
        <v>39596.66667</v>
      </c>
      <c r="B7169" s="2">
        <f>IFERROR(__xludf.DUMMYFUNCTION("""COMPUTED_VALUE"""),121.78)</f>
        <v>121.78</v>
      </c>
      <c r="C7169" s="2">
        <f>IFERROR(__xludf.DUMMYFUNCTION("""COMPUTED_VALUE"""),123.73)</f>
        <v>123.73</v>
      </c>
      <c r="D7169" s="2">
        <f>IFERROR(__xludf.DUMMYFUNCTION("""COMPUTED_VALUE"""),121.3)</f>
        <v>121.3</v>
      </c>
      <c r="E7169" s="2">
        <f>IFERROR(__xludf.DUMMYFUNCTION("""COMPUTED_VALUE"""),123.73)</f>
        <v>123.73</v>
      </c>
      <c r="F7169" s="2">
        <f>IFERROR(__xludf.DUMMYFUNCTION("""COMPUTED_VALUE"""),9875570.0)</f>
        <v>9875570</v>
      </c>
    </row>
    <row r="7170">
      <c r="A7170" s="3">
        <f>IFERROR(__xludf.DUMMYFUNCTION("""COMPUTED_VALUE"""),39597.666666666664)</f>
        <v>39597.66667</v>
      </c>
      <c r="B7170" s="2">
        <f>IFERROR(__xludf.DUMMYFUNCTION("""COMPUTED_VALUE"""),122.99)</f>
        <v>122.99</v>
      </c>
      <c r="C7170" s="2">
        <f>IFERROR(__xludf.DUMMYFUNCTION("""COMPUTED_VALUE"""),124.16)</f>
        <v>124.16</v>
      </c>
      <c r="D7170" s="2">
        <f>IFERROR(__xludf.DUMMYFUNCTION("""COMPUTED_VALUE"""),122.89)</f>
        <v>122.89</v>
      </c>
      <c r="E7170" s="2">
        <f>IFERROR(__xludf.DUMMYFUNCTION("""COMPUTED_VALUE"""),123.89)</f>
        <v>123.89</v>
      </c>
      <c r="F7170" s="2">
        <f>IFERROR(__xludf.DUMMYFUNCTION("""COMPUTED_VALUE"""),7561600.0)</f>
        <v>7561600</v>
      </c>
    </row>
    <row r="7171">
      <c r="A7171" s="3">
        <f>IFERROR(__xludf.DUMMYFUNCTION("""COMPUTED_VALUE"""),39598.666666666664)</f>
        <v>39598.66667</v>
      </c>
      <c r="B7171" s="2">
        <f>IFERROR(__xludf.DUMMYFUNCTION("""COMPUTED_VALUE"""),123.43)</f>
        <v>123.43</v>
      </c>
      <c r="C7171" s="2">
        <f>IFERROR(__xludf.DUMMYFUNCTION("""COMPUTED_VALUE"""),124.16)</f>
        <v>124.16</v>
      </c>
      <c r="D7171" s="2">
        <f>IFERROR(__xludf.DUMMYFUNCTION("""COMPUTED_VALUE"""),123.03)</f>
        <v>123.03</v>
      </c>
      <c r="E7171" s="2">
        <f>IFERROR(__xludf.DUMMYFUNCTION("""COMPUTED_VALUE"""),123.63)</f>
        <v>123.63</v>
      </c>
      <c r="F7171" s="2">
        <f>IFERROR(__xludf.DUMMYFUNCTION("""COMPUTED_VALUE"""),8652886.0)</f>
        <v>8652886</v>
      </c>
    </row>
    <row r="7172">
      <c r="A7172" s="3">
        <f>IFERROR(__xludf.DUMMYFUNCTION("""COMPUTED_VALUE"""),39601.666666666664)</f>
        <v>39601.66667</v>
      </c>
      <c r="B7172" s="2">
        <f>IFERROR(__xludf.DUMMYFUNCTION("""COMPUTED_VALUE"""),122.73)</f>
        <v>122.73</v>
      </c>
      <c r="C7172" s="2">
        <f>IFERROR(__xludf.DUMMYFUNCTION("""COMPUTED_VALUE"""),123.57)</f>
        <v>123.57</v>
      </c>
      <c r="D7172" s="2">
        <f>IFERROR(__xludf.DUMMYFUNCTION("""COMPUTED_VALUE"""),121.02)</f>
        <v>121.02</v>
      </c>
      <c r="E7172" s="2">
        <f>IFERROR(__xludf.DUMMYFUNCTION("""COMPUTED_VALUE"""),121.65)</f>
        <v>121.65</v>
      </c>
      <c r="F7172" s="2">
        <f>IFERROR(__xludf.DUMMYFUNCTION("""COMPUTED_VALUE"""),7599265.0)</f>
        <v>7599265</v>
      </c>
    </row>
    <row r="7173">
      <c r="A7173" s="3">
        <f>IFERROR(__xludf.DUMMYFUNCTION("""COMPUTED_VALUE"""),39602.666666666664)</f>
        <v>39602.66667</v>
      </c>
      <c r="B7173" s="2">
        <f>IFERROR(__xludf.DUMMYFUNCTION("""COMPUTED_VALUE"""),121.75)</f>
        <v>121.75</v>
      </c>
      <c r="C7173" s="2">
        <f>IFERROR(__xludf.DUMMYFUNCTION("""COMPUTED_VALUE"""),123.22)</f>
        <v>123.22</v>
      </c>
      <c r="D7173" s="2">
        <f>IFERROR(__xludf.DUMMYFUNCTION("""COMPUTED_VALUE"""),121.75)</f>
        <v>121.75</v>
      </c>
      <c r="E7173" s="2">
        <f>IFERROR(__xludf.DUMMYFUNCTION("""COMPUTED_VALUE"""),122.11)</f>
        <v>122.11</v>
      </c>
      <c r="F7173" s="2">
        <f>IFERROR(__xludf.DUMMYFUNCTION("""COMPUTED_VALUE"""),7238549.0)</f>
        <v>7238549</v>
      </c>
    </row>
    <row r="7174">
      <c r="A7174" s="3">
        <f>IFERROR(__xludf.DUMMYFUNCTION("""COMPUTED_VALUE"""),39603.666666666664)</f>
        <v>39603.66667</v>
      </c>
      <c r="B7174" s="2">
        <f>IFERROR(__xludf.DUMMYFUNCTION("""COMPUTED_VALUE"""),122.14)</f>
        <v>122.14</v>
      </c>
      <c r="C7174" s="2">
        <f>IFERROR(__xludf.DUMMYFUNCTION("""COMPUTED_VALUE"""),122.74)</f>
        <v>122.74</v>
      </c>
      <c r="D7174" s="2">
        <f>IFERROR(__xludf.DUMMYFUNCTION("""COMPUTED_VALUE"""),120.78)</f>
        <v>120.78</v>
      </c>
      <c r="E7174" s="2">
        <f>IFERROR(__xludf.DUMMYFUNCTION("""COMPUTED_VALUE"""),121.83)</f>
        <v>121.83</v>
      </c>
      <c r="F7174" s="2">
        <f>IFERROR(__xludf.DUMMYFUNCTION("""COMPUTED_VALUE"""),6432440.0)</f>
        <v>6432440</v>
      </c>
    </row>
    <row r="7175">
      <c r="A7175" s="3">
        <f>IFERROR(__xludf.DUMMYFUNCTION("""COMPUTED_VALUE"""),39604.666666666664)</f>
        <v>39604.66667</v>
      </c>
      <c r="B7175" s="2">
        <f>IFERROR(__xludf.DUMMYFUNCTION("""COMPUTED_VALUE"""),121.7)</f>
        <v>121.7</v>
      </c>
      <c r="C7175" s="2">
        <f>IFERROR(__xludf.DUMMYFUNCTION("""COMPUTED_VALUE"""),123.25)</f>
        <v>123.25</v>
      </c>
      <c r="D7175" s="2">
        <f>IFERROR(__xludf.DUMMYFUNCTION("""COMPUTED_VALUE"""),121.5)</f>
        <v>121.5</v>
      </c>
      <c r="E7175" s="2">
        <f>IFERROR(__xludf.DUMMYFUNCTION("""COMPUTED_VALUE"""),122.71)</f>
        <v>122.71</v>
      </c>
      <c r="F7175" s="2">
        <f>IFERROR(__xludf.DUMMYFUNCTION("""COMPUTED_VALUE"""),6153767.0)</f>
        <v>6153767</v>
      </c>
    </row>
    <row r="7176">
      <c r="A7176" s="3">
        <f>IFERROR(__xludf.DUMMYFUNCTION("""COMPUTED_VALUE"""),39605.666666666664)</f>
        <v>39605.66667</v>
      </c>
      <c r="B7176" s="2">
        <f>IFERROR(__xludf.DUMMYFUNCTION("""COMPUTED_VALUE"""),122.04)</f>
        <v>122.04</v>
      </c>
      <c r="C7176" s="2">
        <f>IFERROR(__xludf.DUMMYFUNCTION("""COMPUTED_VALUE"""),122.39)</f>
        <v>122.39</v>
      </c>
      <c r="D7176" s="2">
        <f>IFERROR(__xludf.DUMMYFUNCTION("""COMPUTED_VALUE"""),119.15)</f>
        <v>119.15</v>
      </c>
      <c r="E7176" s="2">
        <f>IFERROR(__xludf.DUMMYFUNCTION("""COMPUTED_VALUE"""),119.34)</f>
        <v>119.34</v>
      </c>
      <c r="F7176" s="2">
        <f>IFERROR(__xludf.DUMMYFUNCTION("""COMPUTED_VALUE"""),7886166.0)</f>
        <v>7886166</v>
      </c>
    </row>
    <row r="7177">
      <c r="A7177" s="3">
        <f>IFERROR(__xludf.DUMMYFUNCTION("""COMPUTED_VALUE"""),39608.666666666664)</f>
        <v>39608.66667</v>
      </c>
      <c r="B7177" s="2">
        <f>IFERROR(__xludf.DUMMYFUNCTION("""COMPUTED_VALUE"""),119.76)</f>
        <v>119.76</v>
      </c>
      <c r="C7177" s="2">
        <f>IFERROR(__xludf.DUMMYFUNCTION("""COMPUTED_VALUE"""),120.52)</f>
        <v>120.52</v>
      </c>
      <c r="D7177" s="2">
        <f>IFERROR(__xludf.DUMMYFUNCTION("""COMPUTED_VALUE"""),118.5)</f>
        <v>118.5</v>
      </c>
      <c r="E7177" s="2">
        <f>IFERROR(__xludf.DUMMYFUNCTION("""COMPUTED_VALUE"""),120.22)</f>
        <v>120.22</v>
      </c>
      <c r="F7177" s="2">
        <f>IFERROR(__xludf.DUMMYFUNCTION("""COMPUTED_VALUE"""),5584925.0)</f>
        <v>5584925</v>
      </c>
    </row>
    <row r="7178">
      <c r="A7178" s="3">
        <f>IFERROR(__xludf.DUMMYFUNCTION("""COMPUTED_VALUE"""),39609.666666666664)</f>
        <v>39609.66667</v>
      </c>
      <c r="B7178" s="2">
        <f>IFERROR(__xludf.DUMMYFUNCTION("""COMPUTED_VALUE"""),119.28)</f>
        <v>119.28</v>
      </c>
      <c r="C7178" s="2">
        <f>IFERROR(__xludf.DUMMYFUNCTION("""COMPUTED_VALUE"""),121.04)</f>
        <v>121.04</v>
      </c>
      <c r="D7178" s="2">
        <f>IFERROR(__xludf.DUMMYFUNCTION("""COMPUTED_VALUE"""),119.04)</f>
        <v>119.04</v>
      </c>
      <c r="E7178" s="2">
        <f>IFERROR(__xludf.DUMMYFUNCTION("""COMPUTED_VALUE"""),120.29)</f>
        <v>120.29</v>
      </c>
      <c r="F7178" s="2">
        <f>IFERROR(__xludf.DUMMYFUNCTION("""COMPUTED_VALUE"""),5384115.0)</f>
        <v>5384115</v>
      </c>
    </row>
    <row r="7179">
      <c r="A7179" s="3">
        <f>IFERROR(__xludf.DUMMYFUNCTION("""COMPUTED_VALUE"""),39610.666666666664)</f>
        <v>39610.66667</v>
      </c>
      <c r="B7179" s="2">
        <f>IFERROR(__xludf.DUMMYFUNCTION("""COMPUTED_VALUE"""),120.26)</f>
        <v>120.26</v>
      </c>
      <c r="C7179" s="2">
        <f>IFERROR(__xludf.DUMMYFUNCTION("""COMPUTED_VALUE"""),120.26)</f>
        <v>120.26</v>
      </c>
      <c r="D7179" s="2">
        <f>IFERROR(__xludf.DUMMYFUNCTION("""COMPUTED_VALUE"""),117.35)</f>
        <v>117.35</v>
      </c>
      <c r="E7179" s="2">
        <f>IFERROR(__xludf.DUMMYFUNCTION("""COMPUTED_VALUE"""),117.72)</f>
        <v>117.72</v>
      </c>
      <c r="F7179" s="2">
        <f>IFERROR(__xludf.DUMMYFUNCTION("""COMPUTED_VALUE"""),7207672.0)</f>
        <v>7207672</v>
      </c>
    </row>
    <row r="7180">
      <c r="A7180" s="3">
        <f>IFERROR(__xludf.DUMMYFUNCTION("""COMPUTED_VALUE"""),39611.666666666664)</f>
        <v>39611.66667</v>
      </c>
      <c r="B7180" s="2">
        <f>IFERROR(__xludf.DUMMYFUNCTION("""COMPUTED_VALUE"""),118.3)</f>
        <v>118.3</v>
      </c>
      <c r="C7180" s="2">
        <f>IFERROR(__xludf.DUMMYFUNCTION("""COMPUTED_VALUE"""),119.48)</f>
        <v>119.48</v>
      </c>
      <c r="D7180" s="2">
        <f>IFERROR(__xludf.DUMMYFUNCTION("""COMPUTED_VALUE"""),117.61)</f>
        <v>117.61</v>
      </c>
      <c r="E7180" s="2">
        <f>IFERROR(__xludf.DUMMYFUNCTION("""COMPUTED_VALUE"""),118.3)</f>
        <v>118.3</v>
      </c>
      <c r="F7180" s="2">
        <f>IFERROR(__xludf.DUMMYFUNCTION("""COMPUTED_VALUE"""),6748543.0)</f>
        <v>6748543</v>
      </c>
    </row>
    <row r="7181">
      <c r="A7181" s="3">
        <f>IFERROR(__xludf.DUMMYFUNCTION("""COMPUTED_VALUE"""),39612.666666666664)</f>
        <v>39612.66667</v>
      </c>
      <c r="B7181" s="2">
        <f>IFERROR(__xludf.DUMMYFUNCTION("""COMPUTED_VALUE"""),118.84)</f>
        <v>118.84</v>
      </c>
      <c r="C7181" s="2">
        <f>IFERROR(__xludf.DUMMYFUNCTION("""COMPUTED_VALUE"""),120.9)</f>
        <v>120.9</v>
      </c>
      <c r="D7181" s="2">
        <f>IFERROR(__xludf.DUMMYFUNCTION("""COMPUTED_VALUE"""),118.58)</f>
        <v>118.58</v>
      </c>
      <c r="E7181" s="2">
        <f>IFERROR(__xludf.DUMMYFUNCTION("""COMPUTED_VALUE"""),120.49)</f>
        <v>120.49</v>
      </c>
      <c r="F7181" s="2">
        <f>IFERROR(__xludf.DUMMYFUNCTION("""COMPUTED_VALUE"""),6379729.0)</f>
        <v>6379729</v>
      </c>
    </row>
    <row r="7182">
      <c r="A7182" s="3">
        <f>IFERROR(__xludf.DUMMYFUNCTION("""COMPUTED_VALUE"""),39615.666666666664)</f>
        <v>39615.66667</v>
      </c>
      <c r="B7182" s="2">
        <f>IFERROR(__xludf.DUMMYFUNCTION("""COMPUTED_VALUE"""),119.83)</f>
        <v>119.83</v>
      </c>
      <c r="C7182" s="2">
        <f>IFERROR(__xludf.DUMMYFUNCTION("""COMPUTED_VALUE"""),121.44)</f>
        <v>121.44</v>
      </c>
      <c r="D7182" s="2">
        <f>IFERROR(__xludf.DUMMYFUNCTION("""COMPUTED_VALUE"""),119.06)</f>
        <v>119.06</v>
      </c>
      <c r="E7182" s="2">
        <f>IFERROR(__xludf.DUMMYFUNCTION("""COMPUTED_VALUE"""),121.03)</f>
        <v>121.03</v>
      </c>
      <c r="F7182" s="2">
        <f>IFERROR(__xludf.DUMMYFUNCTION("""COMPUTED_VALUE"""),6280951.0)</f>
        <v>6280951</v>
      </c>
    </row>
    <row r="7183">
      <c r="A7183" s="3">
        <f>IFERROR(__xludf.DUMMYFUNCTION("""COMPUTED_VALUE"""),39616.666666666664)</f>
        <v>39616.66667</v>
      </c>
      <c r="B7183" s="2">
        <f>IFERROR(__xludf.DUMMYFUNCTION("""COMPUTED_VALUE"""),121.4)</f>
        <v>121.4</v>
      </c>
      <c r="C7183" s="2">
        <f>IFERROR(__xludf.DUMMYFUNCTION("""COMPUTED_VALUE"""),121.4)</f>
        <v>121.4</v>
      </c>
      <c r="D7183" s="2">
        <f>IFERROR(__xludf.DUMMYFUNCTION("""COMPUTED_VALUE"""),119.03)</f>
        <v>119.03</v>
      </c>
      <c r="E7183" s="2">
        <f>IFERROR(__xludf.DUMMYFUNCTION("""COMPUTED_VALUE"""),119.49)</f>
        <v>119.49</v>
      </c>
      <c r="F7183" s="2">
        <f>IFERROR(__xludf.DUMMYFUNCTION("""COMPUTED_VALUE"""),5278080.0)</f>
        <v>5278080</v>
      </c>
    </row>
    <row r="7184">
      <c r="A7184" s="3">
        <f>IFERROR(__xludf.DUMMYFUNCTION("""COMPUTED_VALUE"""),39617.666666666664)</f>
        <v>39617.66667</v>
      </c>
      <c r="B7184" s="2">
        <f>IFERROR(__xludf.DUMMYFUNCTION("""COMPUTED_VALUE"""),118.97)</f>
        <v>118.97</v>
      </c>
      <c r="C7184" s="2">
        <f>IFERROR(__xludf.DUMMYFUNCTION("""COMPUTED_VALUE"""),119.81)</f>
        <v>119.81</v>
      </c>
      <c r="D7184" s="2">
        <f>IFERROR(__xludf.DUMMYFUNCTION("""COMPUTED_VALUE"""),118.15)</f>
        <v>118.15</v>
      </c>
      <c r="E7184" s="2">
        <f>IFERROR(__xludf.DUMMYFUNCTION("""COMPUTED_VALUE"""),118.59)</f>
        <v>118.59</v>
      </c>
      <c r="F7184" s="2">
        <f>IFERROR(__xludf.DUMMYFUNCTION("""COMPUTED_VALUE"""),6614626.0)</f>
        <v>6614626</v>
      </c>
    </row>
    <row r="7185">
      <c r="A7185" s="3">
        <f>IFERROR(__xludf.DUMMYFUNCTION("""COMPUTED_VALUE"""),39618.666666666664)</f>
        <v>39618.66667</v>
      </c>
      <c r="B7185" s="2">
        <f>IFERROR(__xludf.DUMMYFUNCTION("""COMPUTED_VALUE"""),118.13)</f>
        <v>118.13</v>
      </c>
      <c r="C7185" s="2">
        <f>IFERROR(__xludf.DUMMYFUNCTION("""COMPUTED_VALUE"""),119.99)</f>
        <v>119.99</v>
      </c>
      <c r="D7185" s="2">
        <f>IFERROR(__xludf.DUMMYFUNCTION("""COMPUTED_VALUE"""),116.87)</f>
        <v>116.87</v>
      </c>
      <c r="E7185" s="2">
        <f>IFERROR(__xludf.DUMMYFUNCTION("""COMPUTED_VALUE"""),119.41)</f>
        <v>119.41</v>
      </c>
      <c r="F7185" s="2">
        <f>IFERROR(__xludf.DUMMYFUNCTION("""COMPUTED_VALUE"""),7570333.0)</f>
        <v>7570333</v>
      </c>
    </row>
    <row r="7186">
      <c r="A7186" s="3">
        <f>IFERROR(__xludf.DUMMYFUNCTION("""COMPUTED_VALUE"""),39619.666666666664)</f>
        <v>39619.66667</v>
      </c>
      <c r="B7186" s="2">
        <f>IFERROR(__xludf.DUMMYFUNCTION("""COMPUTED_VALUE"""),119.21)</f>
        <v>119.21</v>
      </c>
      <c r="C7186" s="2">
        <f>IFERROR(__xludf.DUMMYFUNCTION("""COMPUTED_VALUE"""),119.41)</f>
        <v>119.41</v>
      </c>
      <c r="D7186" s="2">
        <f>IFERROR(__xludf.DUMMYFUNCTION("""COMPUTED_VALUE"""),117.01)</f>
        <v>117.01</v>
      </c>
      <c r="E7186" s="2">
        <f>IFERROR(__xludf.DUMMYFUNCTION("""COMPUTED_VALUE"""),117.24)</f>
        <v>117.24</v>
      </c>
      <c r="F7186" s="2">
        <f>IFERROR(__xludf.DUMMYFUNCTION("""COMPUTED_VALUE"""),9624839.0)</f>
        <v>9624839</v>
      </c>
    </row>
    <row r="7187">
      <c r="A7187" s="3">
        <f>IFERROR(__xludf.DUMMYFUNCTION("""COMPUTED_VALUE"""),39622.666666666664)</f>
        <v>39622.66667</v>
      </c>
      <c r="B7187" s="2">
        <f>IFERROR(__xludf.DUMMYFUNCTION("""COMPUTED_VALUE"""),117.49)</f>
        <v>117.49</v>
      </c>
      <c r="C7187" s="2">
        <f>IFERROR(__xludf.DUMMYFUNCTION("""COMPUTED_VALUE"""),118.92)</f>
        <v>118.92</v>
      </c>
      <c r="D7187" s="2">
        <f>IFERROR(__xludf.DUMMYFUNCTION("""COMPUTED_VALUE"""),116.91)</f>
        <v>116.91</v>
      </c>
      <c r="E7187" s="2">
        <f>IFERROR(__xludf.DUMMYFUNCTION("""COMPUTED_VALUE"""),117.92)</f>
        <v>117.92</v>
      </c>
      <c r="F7187" s="2">
        <f>IFERROR(__xludf.DUMMYFUNCTION("""COMPUTED_VALUE"""),5862919.0)</f>
        <v>5862919</v>
      </c>
    </row>
    <row r="7188">
      <c r="A7188" s="3">
        <f>IFERROR(__xludf.DUMMYFUNCTION("""COMPUTED_VALUE"""),39623.666666666664)</f>
        <v>39623.66667</v>
      </c>
      <c r="B7188" s="2">
        <f>IFERROR(__xludf.DUMMYFUNCTION("""COMPUTED_VALUE"""),117.56)</f>
        <v>117.56</v>
      </c>
      <c r="C7188" s="2">
        <f>IFERROR(__xludf.DUMMYFUNCTION("""COMPUTED_VALUE"""),118.68)</f>
        <v>118.68</v>
      </c>
      <c r="D7188" s="2">
        <f>IFERROR(__xludf.DUMMYFUNCTION("""COMPUTED_VALUE"""),116.43)</f>
        <v>116.43</v>
      </c>
      <c r="E7188" s="2">
        <f>IFERROR(__xludf.DUMMYFUNCTION("""COMPUTED_VALUE"""),117.92)</f>
        <v>117.92</v>
      </c>
      <c r="F7188" s="2">
        <f>IFERROR(__xludf.DUMMYFUNCTION("""COMPUTED_VALUE"""),7553093.0)</f>
        <v>7553093</v>
      </c>
    </row>
    <row r="7189">
      <c r="A7189" s="3">
        <f>IFERROR(__xludf.DUMMYFUNCTION("""COMPUTED_VALUE"""),39624.666666666664)</f>
        <v>39624.66667</v>
      </c>
      <c r="B7189" s="2">
        <f>IFERROR(__xludf.DUMMYFUNCTION("""COMPUTED_VALUE"""),118.13)</f>
        <v>118.13</v>
      </c>
      <c r="C7189" s="2">
        <f>IFERROR(__xludf.DUMMYFUNCTION("""COMPUTED_VALUE"""),120.19)</f>
        <v>120.19</v>
      </c>
      <c r="D7189" s="2">
        <f>IFERROR(__xludf.DUMMYFUNCTION("""COMPUTED_VALUE"""),117.68)</f>
        <v>117.68</v>
      </c>
      <c r="E7189" s="2">
        <f>IFERROR(__xludf.DUMMYFUNCTION("""COMPUTED_VALUE"""),118.99)</f>
        <v>118.99</v>
      </c>
      <c r="F7189" s="2">
        <f>IFERROR(__xludf.DUMMYFUNCTION("""COMPUTED_VALUE"""),7134982.0)</f>
        <v>7134982</v>
      </c>
    </row>
    <row r="7190">
      <c r="A7190" s="3">
        <f>IFERROR(__xludf.DUMMYFUNCTION("""COMPUTED_VALUE"""),39625.666666666664)</f>
        <v>39625.66667</v>
      </c>
      <c r="B7190" s="2">
        <f>IFERROR(__xludf.DUMMYFUNCTION("""COMPUTED_VALUE"""),117.9)</f>
        <v>117.9</v>
      </c>
      <c r="C7190" s="2">
        <f>IFERROR(__xludf.DUMMYFUNCTION("""COMPUTED_VALUE"""),118.27)</f>
        <v>118.27</v>
      </c>
      <c r="D7190" s="2">
        <f>IFERROR(__xludf.DUMMYFUNCTION("""COMPUTED_VALUE"""),115.35)</f>
        <v>115.35</v>
      </c>
      <c r="E7190" s="2">
        <f>IFERROR(__xludf.DUMMYFUNCTION("""COMPUTED_VALUE"""),115.7)</f>
        <v>115.7</v>
      </c>
      <c r="F7190" s="2">
        <f>IFERROR(__xludf.DUMMYFUNCTION("""COMPUTED_VALUE"""),9710506.0)</f>
        <v>9710506</v>
      </c>
    </row>
    <row r="7191">
      <c r="A7191" s="3">
        <f>IFERROR(__xludf.DUMMYFUNCTION("""COMPUTED_VALUE"""),39626.666666666664)</f>
        <v>39626.66667</v>
      </c>
      <c r="B7191" s="2">
        <f>IFERROR(__xludf.DUMMYFUNCTION("""COMPUTED_VALUE"""),115.59)</f>
        <v>115.59</v>
      </c>
      <c r="C7191" s="2">
        <f>IFERROR(__xludf.DUMMYFUNCTION("""COMPUTED_VALUE"""),116.58)</f>
        <v>116.58</v>
      </c>
      <c r="D7191" s="2">
        <f>IFERROR(__xludf.DUMMYFUNCTION("""COMPUTED_VALUE"""),112.96)</f>
        <v>112.96</v>
      </c>
      <c r="E7191" s="2">
        <f>IFERROR(__xludf.DUMMYFUNCTION("""COMPUTED_VALUE"""),114.67)</f>
        <v>114.67</v>
      </c>
      <c r="F7191" s="2">
        <f>IFERROR(__xludf.DUMMYFUNCTION("""COMPUTED_VALUE"""),1.1660356E7)</f>
        <v>11660356</v>
      </c>
    </row>
    <row r="7192">
      <c r="A7192" s="3">
        <f>IFERROR(__xludf.DUMMYFUNCTION("""COMPUTED_VALUE"""),39629.666666666664)</f>
        <v>39629.66667</v>
      </c>
      <c r="B7192" s="2">
        <f>IFERROR(__xludf.DUMMYFUNCTION("""COMPUTED_VALUE"""),114.65)</f>
        <v>114.65</v>
      </c>
      <c r="C7192" s="2">
        <f>IFERROR(__xludf.DUMMYFUNCTION("""COMPUTED_VALUE"""),114.83)</f>
        <v>114.83</v>
      </c>
      <c r="D7192" s="2">
        <f>IFERROR(__xludf.DUMMYFUNCTION("""COMPUTED_VALUE"""),112.85)</f>
        <v>112.85</v>
      </c>
      <c r="E7192" s="2">
        <f>IFERROR(__xludf.DUMMYFUNCTION("""COMPUTED_VALUE"""),113.22)</f>
        <v>113.22</v>
      </c>
      <c r="F7192" s="2">
        <f>IFERROR(__xludf.DUMMYFUNCTION("""COMPUTED_VALUE"""),8444030.0)</f>
        <v>8444030</v>
      </c>
    </row>
    <row r="7193">
      <c r="A7193" s="3">
        <f>IFERROR(__xludf.DUMMYFUNCTION("""COMPUTED_VALUE"""),39630.666666666664)</f>
        <v>39630.66667</v>
      </c>
      <c r="B7193" s="2">
        <f>IFERROR(__xludf.DUMMYFUNCTION("""COMPUTED_VALUE"""),112.23)</f>
        <v>112.23</v>
      </c>
      <c r="C7193" s="2">
        <f>IFERROR(__xludf.DUMMYFUNCTION("""COMPUTED_VALUE"""),114.01)</f>
        <v>114.01</v>
      </c>
      <c r="D7193" s="2">
        <f>IFERROR(__xludf.DUMMYFUNCTION("""COMPUTED_VALUE"""),111.37)</f>
        <v>111.37</v>
      </c>
      <c r="E7193" s="2">
        <f>IFERROR(__xludf.DUMMYFUNCTION("""COMPUTED_VALUE"""),113.92)</f>
        <v>113.92</v>
      </c>
      <c r="F7193" s="2">
        <f>IFERROR(__xludf.DUMMYFUNCTION("""COMPUTED_VALUE"""),1.007058E7)</f>
        <v>10070580</v>
      </c>
    </row>
    <row r="7194">
      <c r="A7194" s="3">
        <f>IFERROR(__xludf.DUMMYFUNCTION("""COMPUTED_VALUE"""),39631.666666666664)</f>
        <v>39631.66667</v>
      </c>
      <c r="B7194" s="2">
        <f>IFERROR(__xludf.DUMMYFUNCTION("""COMPUTED_VALUE"""),113.1)</f>
        <v>113.1</v>
      </c>
      <c r="C7194" s="2">
        <f>IFERROR(__xludf.DUMMYFUNCTION("""COMPUTED_VALUE"""),115.15)</f>
        <v>115.15</v>
      </c>
      <c r="D7194" s="2">
        <f>IFERROR(__xludf.DUMMYFUNCTION("""COMPUTED_VALUE"""),112.82)</f>
        <v>112.82</v>
      </c>
      <c r="E7194" s="2">
        <f>IFERROR(__xludf.DUMMYFUNCTION("""COMPUTED_VALUE"""),113.76)</f>
        <v>113.76</v>
      </c>
      <c r="F7194" s="2">
        <f>IFERROR(__xludf.DUMMYFUNCTION("""COMPUTED_VALUE"""),8094084.0)</f>
        <v>8094084</v>
      </c>
    </row>
    <row r="7195">
      <c r="A7195" s="3">
        <f>IFERROR(__xludf.DUMMYFUNCTION("""COMPUTED_VALUE"""),39632.666666666664)</f>
        <v>39632.66667</v>
      </c>
      <c r="B7195" s="2">
        <f>IFERROR(__xludf.DUMMYFUNCTION("""COMPUTED_VALUE"""),114.57)</f>
        <v>114.57</v>
      </c>
      <c r="C7195" s="2">
        <f>IFERROR(__xludf.DUMMYFUNCTION("""COMPUTED_VALUE"""),115.36)</f>
        <v>115.36</v>
      </c>
      <c r="D7195" s="2">
        <f>IFERROR(__xludf.DUMMYFUNCTION("""COMPUTED_VALUE"""),112.6)</f>
        <v>112.6</v>
      </c>
      <c r="E7195" s="2">
        <f>IFERROR(__xludf.DUMMYFUNCTION("""COMPUTED_VALUE"""),114.18)</f>
        <v>114.18</v>
      </c>
      <c r="F7195" s="2">
        <f>IFERROR(__xludf.DUMMYFUNCTION("""COMPUTED_VALUE"""),6117601.0)</f>
        <v>6117601</v>
      </c>
    </row>
    <row r="7196">
      <c r="A7196" s="3">
        <f>IFERROR(__xludf.DUMMYFUNCTION("""COMPUTED_VALUE"""),39636.666666666664)</f>
        <v>39636.66667</v>
      </c>
      <c r="B7196" s="2">
        <f>IFERROR(__xludf.DUMMYFUNCTION("""COMPUTED_VALUE"""),114.26)</f>
        <v>114.26</v>
      </c>
      <c r="C7196" s="2">
        <f>IFERROR(__xludf.DUMMYFUNCTION("""COMPUTED_VALUE"""),117.14)</f>
        <v>117.14</v>
      </c>
      <c r="D7196" s="2">
        <f>IFERROR(__xludf.DUMMYFUNCTION("""COMPUTED_VALUE"""),114.26)</f>
        <v>114.26</v>
      </c>
      <c r="E7196" s="2">
        <f>IFERROR(__xludf.DUMMYFUNCTION("""COMPUTED_VALUE"""),116.05)</f>
        <v>116.05</v>
      </c>
      <c r="F7196" s="2">
        <f>IFERROR(__xludf.DUMMYFUNCTION("""COMPUTED_VALUE"""),9131139.0)</f>
        <v>9131139</v>
      </c>
    </row>
    <row r="7197">
      <c r="A7197" s="3">
        <f>IFERROR(__xludf.DUMMYFUNCTION("""COMPUTED_VALUE"""),39637.666666666664)</f>
        <v>39637.66667</v>
      </c>
      <c r="B7197" s="2">
        <f>IFERROR(__xludf.DUMMYFUNCTION("""COMPUTED_VALUE"""),115.15)</f>
        <v>115.15</v>
      </c>
      <c r="C7197" s="2">
        <f>IFERROR(__xludf.DUMMYFUNCTION("""COMPUTED_VALUE"""),118.43)</f>
        <v>118.43</v>
      </c>
      <c r="D7197" s="2">
        <f>IFERROR(__xludf.DUMMYFUNCTION("""COMPUTED_VALUE"""),115.15)</f>
        <v>115.15</v>
      </c>
      <c r="E7197" s="2">
        <f>IFERROR(__xludf.DUMMYFUNCTION("""COMPUTED_VALUE"""),118.33)</f>
        <v>118.33</v>
      </c>
      <c r="F7197" s="2">
        <f>IFERROR(__xludf.DUMMYFUNCTION("""COMPUTED_VALUE"""),9813737.0)</f>
        <v>9813737</v>
      </c>
    </row>
    <row r="7198">
      <c r="A7198" s="3">
        <f>IFERROR(__xludf.DUMMYFUNCTION("""COMPUTED_VALUE"""),39638.666666666664)</f>
        <v>39638.66667</v>
      </c>
      <c r="B7198" s="2">
        <f>IFERROR(__xludf.DUMMYFUNCTION("""COMPUTED_VALUE"""),118.64)</f>
        <v>118.64</v>
      </c>
      <c r="C7198" s="2">
        <f>IFERROR(__xludf.DUMMYFUNCTION("""COMPUTED_VALUE"""),118.92)</f>
        <v>118.92</v>
      </c>
      <c r="D7198" s="2">
        <f>IFERROR(__xludf.DUMMYFUNCTION("""COMPUTED_VALUE"""),115.0)</f>
        <v>115</v>
      </c>
      <c r="E7198" s="2">
        <f>IFERROR(__xludf.DUMMYFUNCTION("""COMPUTED_VALUE"""),115.0)</f>
        <v>115</v>
      </c>
      <c r="F7198" s="2">
        <f>IFERROR(__xludf.DUMMYFUNCTION("""COMPUTED_VALUE"""),9506613.0)</f>
        <v>9506613</v>
      </c>
    </row>
    <row r="7199">
      <c r="A7199" s="3">
        <f>IFERROR(__xludf.DUMMYFUNCTION("""COMPUTED_VALUE"""),39639.666666666664)</f>
        <v>39639.66667</v>
      </c>
      <c r="B7199" s="2">
        <f>IFERROR(__xludf.DUMMYFUNCTION("""COMPUTED_VALUE"""),115.25)</f>
        <v>115.25</v>
      </c>
      <c r="C7199" s="2">
        <f>IFERROR(__xludf.DUMMYFUNCTION("""COMPUTED_VALUE"""),118.0)</f>
        <v>118</v>
      </c>
      <c r="D7199" s="2">
        <f>IFERROR(__xludf.DUMMYFUNCTION("""COMPUTED_VALUE"""),115.25)</f>
        <v>115.25</v>
      </c>
      <c r="E7199" s="2">
        <f>IFERROR(__xludf.DUMMYFUNCTION("""COMPUTED_VALUE"""),117.66)</f>
        <v>117.66</v>
      </c>
      <c r="F7199" s="2">
        <f>IFERROR(__xludf.DUMMYFUNCTION("""COMPUTED_VALUE"""),1.0053506E7)</f>
        <v>10053506</v>
      </c>
    </row>
    <row r="7200">
      <c r="A7200" s="3">
        <f>IFERROR(__xludf.DUMMYFUNCTION("""COMPUTED_VALUE"""),39640.666666666664)</f>
        <v>39640.66667</v>
      </c>
      <c r="B7200" s="2">
        <f>IFERROR(__xludf.DUMMYFUNCTION("""COMPUTED_VALUE"""),116.34)</f>
        <v>116.34</v>
      </c>
      <c r="C7200" s="2">
        <f>IFERROR(__xludf.DUMMYFUNCTION("""COMPUTED_VALUE"""),118.19)</f>
        <v>118.19</v>
      </c>
      <c r="D7200" s="2">
        <f>IFERROR(__xludf.DUMMYFUNCTION("""COMPUTED_VALUE"""),115.16)</f>
        <v>115.16</v>
      </c>
      <c r="E7200" s="2">
        <f>IFERROR(__xludf.DUMMYFUNCTION("""COMPUTED_VALUE"""),116.64)</f>
        <v>116.64</v>
      </c>
      <c r="F7200" s="2">
        <f>IFERROR(__xludf.DUMMYFUNCTION("""COMPUTED_VALUE"""),8843936.0)</f>
        <v>8843936</v>
      </c>
    </row>
    <row r="7201">
      <c r="A7201" s="3">
        <f>IFERROR(__xludf.DUMMYFUNCTION("""COMPUTED_VALUE"""),39643.666666666664)</f>
        <v>39643.66667</v>
      </c>
      <c r="B7201" s="2">
        <f>IFERROR(__xludf.DUMMYFUNCTION("""COMPUTED_VALUE"""),117.97)</f>
        <v>117.97</v>
      </c>
      <c r="C7201" s="2">
        <f>IFERROR(__xludf.DUMMYFUNCTION("""COMPUTED_VALUE"""),118.68)</f>
        <v>118.68</v>
      </c>
      <c r="D7201" s="2">
        <f>IFERROR(__xludf.DUMMYFUNCTION("""COMPUTED_VALUE"""),115.8)</f>
        <v>115.8</v>
      </c>
      <c r="E7201" s="2">
        <f>IFERROR(__xludf.DUMMYFUNCTION("""COMPUTED_VALUE"""),116.09)</f>
        <v>116.09</v>
      </c>
      <c r="F7201" s="2">
        <f>IFERROR(__xludf.DUMMYFUNCTION("""COMPUTED_VALUE"""),8317305.0)</f>
        <v>8317305</v>
      </c>
    </row>
    <row r="7202">
      <c r="A7202" s="3">
        <f>IFERROR(__xludf.DUMMYFUNCTION("""COMPUTED_VALUE"""),39644.666666666664)</f>
        <v>39644.66667</v>
      </c>
      <c r="B7202" s="2">
        <f>IFERROR(__xludf.DUMMYFUNCTION("""COMPUTED_VALUE"""),115.57)</f>
        <v>115.57</v>
      </c>
      <c r="C7202" s="2">
        <f>IFERROR(__xludf.DUMMYFUNCTION("""COMPUTED_VALUE"""),118.92)</f>
        <v>118.92</v>
      </c>
      <c r="D7202" s="2">
        <f>IFERROR(__xludf.DUMMYFUNCTION("""COMPUTED_VALUE"""),114.52)</f>
        <v>114.52</v>
      </c>
      <c r="E7202" s="2">
        <f>IFERROR(__xludf.DUMMYFUNCTION("""COMPUTED_VALUE"""),117.68)</f>
        <v>117.68</v>
      </c>
      <c r="F7202" s="2">
        <f>IFERROR(__xludf.DUMMYFUNCTION("""COMPUTED_VALUE"""),1.0713953E7)</f>
        <v>10713953</v>
      </c>
    </row>
    <row r="7203">
      <c r="A7203" s="3">
        <f>IFERROR(__xludf.DUMMYFUNCTION("""COMPUTED_VALUE"""),39645.666666666664)</f>
        <v>39645.66667</v>
      </c>
      <c r="B7203" s="2">
        <f>IFERROR(__xludf.DUMMYFUNCTION("""COMPUTED_VALUE"""),117.3)</f>
        <v>117.3</v>
      </c>
      <c r="C7203" s="2">
        <f>IFERROR(__xludf.DUMMYFUNCTION("""COMPUTED_VALUE"""),121.2)</f>
        <v>121.2</v>
      </c>
      <c r="D7203" s="2">
        <f>IFERROR(__xludf.DUMMYFUNCTION("""COMPUTED_VALUE"""),116.77)</f>
        <v>116.77</v>
      </c>
      <c r="E7203" s="2">
        <f>IFERROR(__xludf.DUMMYFUNCTION("""COMPUTED_VALUE"""),120.29)</f>
        <v>120.29</v>
      </c>
      <c r="F7203" s="2">
        <f>IFERROR(__xludf.DUMMYFUNCTION("""COMPUTED_VALUE"""),9899553.0)</f>
        <v>9899553</v>
      </c>
    </row>
    <row r="7204">
      <c r="A7204" s="3">
        <f>IFERROR(__xludf.DUMMYFUNCTION("""COMPUTED_VALUE"""),39646.666666666664)</f>
        <v>39646.66667</v>
      </c>
      <c r="B7204" s="2">
        <f>IFERROR(__xludf.DUMMYFUNCTION("""COMPUTED_VALUE"""),120.72)</f>
        <v>120.72</v>
      </c>
      <c r="C7204" s="2">
        <f>IFERROR(__xludf.DUMMYFUNCTION("""COMPUTED_VALUE"""),121.27)</f>
        <v>121.27</v>
      </c>
      <c r="D7204" s="2">
        <f>IFERROR(__xludf.DUMMYFUNCTION("""COMPUTED_VALUE"""),118.44)</f>
        <v>118.44</v>
      </c>
      <c r="E7204" s="2">
        <f>IFERROR(__xludf.DUMMYFUNCTION("""COMPUTED_VALUE"""),120.85)</f>
        <v>120.85</v>
      </c>
      <c r="F7204" s="2">
        <f>IFERROR(__xludf.DUMMYFUNCTION("""COMPUTED_VALUE"""),1.2304108E7)</f>
        <v>12304108</v>
      </c>
    </row>
    <row r="7205">
      <c r="A7205" s="3">
        <f>IFERROR(__xludf.DUMMYFUNCTION("""COMPUTED_VALUE"""),39647.666666666664)</f>
        <v>39647.66667</v>
      </c>
      <c r="B7205" s="2">
        <f>IFERROR(__xludf.DUMMYFUNCTION("""COMPUTED_VALUE"""),120.17)</f>
        <v>120.17</v>
      </c>
      <c r="C7205" s="2">
        <f>IFERROR(__xludf.DUMMYFUNCTION("""COMPUTED_VALUE"""),124.17)</f>
        <v>124.17</v>
      </c>
      <c r="D7205" s="2">
        <f>IFERROR(__xludf.DUMMYFUNCTION("""COMPUTED_VALUE"""),119.8)</f>
        <v>119.8</v>
      </c>
      <c r="E7205" s="2">
        <f>IFERROR(__xludf.DUMMYFUNCTION("""COMPUTED_VALUE"""),124.07)</f>
        <v>124.07</v>
      </c>
      <c r="F7205" s="2">
        <f>IFERROR(__xludf.DUMMYFUNCTION("""COMPUTED_VALUE"""),1.8317944E7)</f>
        <v>18317944</v>
      </c>
    </row>
    <row r="7206">
      <c r="A7206" s="3">
        <f>IFERROR(__xludf.DUMMYFUNCTION("""COMPUTED_VALUE"""),39650.666666666664)</f>
        <v>39650.66667</v>
      </c>
      <c r="B7206" s="2">
        <f>IFERROR(__xludf.DUMMYFUNCTION("""COMPUTED_VALUE"""),124.01)</f>
        <v>124.01</v>
      </c>
      <c r="C7206" s="2">
        <f>IFERROR(__xludf.DUMMYFUNCTION("""COMPUTED_VALUE"""),124.08)</f>
        <v>124.08</v>
      </c>
      <c r="D7206" s="2">
        <f>IFERROR(__xludf.DUMMYFUNCTION("""COMPUTED_VALUE"""),121.92)</f>
        <v>121.92</v>
      </c>
      <c r="E7206" s="2">
        <f>IFERROR(__xludf.DUMMYFUNCTION("""COMPUTED_VALUE"""),122.89)</f>
        <v>122.89</v>
      </c>
      <c r="F7206" s="2">
        <f>IFERROR(__xludf.DUMMYFUNCTION("""COMPUTED_VALUE"""),7780118.0)</f>
        <v>7780118</v>
      </c>
    </row>
    <row r="7207">
      <c r="A7207" s="3">
        <f>IFERROR(__xludf.DUMMYFUNCTION("""COMPUTED_VALUE"""),39651.666666666664)</f>
        <v>39651.66667</v>
      </c>
      <c r="B7207" s="2">
        <f>IFERROR(__xludf.DUMMYFUNCTION("""COMPUTED_VALUE"""),121.78)</f>
        <v>121.78</v>
      </c>
      <c r="C7207" s="2">
        <f>IFERROR(__xludf.DUMMYFUNCTION("""COMPUTED_VALUE"""),124.17)</f>
        <v>124.17</v>
      </c>
      <c r="D7207" s="2">
        <f>IFERROR(__xludf.DUMMYFUNCTION("""COMPUTED_VALUE"""),121.55)</f>
        <v>121.55</v>
      </c>
      <c r="E7207" s="2">
        <f>IFERROR(__xludf.DUMMYFUNCTION("""COMPUTED_VALUE"""),124.17)</f>
        <v>124.17</v>
      </c>
      <c r="F7207" s="2">
        <f>IFERROR(__xludf.DUMMYFUNCTION("""COMPUTED_VALUE"""),1.1428578E7)</f>
        <v>11428578</v>
      </c>
    </row>
    <row r="7208">
      <c r="A7208" s="3">
        <f>IFERROR(__xludf.DUMMYFUNCTION("""COMPUTED_VALUE"""),39652.666666666664)</f>
        <v>39652.66667</v>
      </c>
      <c r="B7208" s="2">
        <f>IFERROR(__xludf.DUMMYFUNCTION("""COMPUTED_VALUE"""),123.96)</f>
        <v>123.96</v>
      </c>
      <c r="C7208" s="2">
        <f>IFERROR(__xludf.DUMMYFUNCTION("""COMPUTED_VALUE"""),124.49)</f>
        <v>124.49</v>
      </c>
      <c r="D7208" s="2">
        <f>IFERROR(__xludf.DUMMYFUNCTION("""COMPUTED_VALUE"""),122.54)</f>
        <v>122.54</v>
      </c>
      <c r="E7208" s="2">
        <f>IFERROR(__xludf.DUMMYFUNCTION("""COMPUTED_VALUE"""),123.71)</f>
        <v>123.71</v>
      </c>
      <c r="F7208" s="2">
        <f>IFERROR(__xludf.DUMMYFUNCTION("""COMPUTED_VALUE"""),1.0230584E7)</f>
        <v>10230584</v>
      </c>
    </row>
    <row r="7209">
      <c r="A7209" s="3">
        <f>IFERROR(__xludf.DUMMYFUNCTION("""COMPUTED_VALUE"""),39653.666666666664)</f>
        <v>39653.66667</v>
      </c>
      <c r="B7209" s="2">
        <f>IFERROR(__xludf.DUMMYFUNCTION("""COMPUTED_VALUE"""),123.27)</f>
        <v>123.27</v>
      </c>
      <c r="C7209" s="2">
        <f>IFERROR(__xludf.DUMMYFUNCTION("""COMPUTED_VALUE"""),125.06)</f>
        <v>125.06</v>
      </c>
      <c r="D7209" s="2">
        <f>IFERROR(__xludf.DUMMYFUNCTION("""COMPUTED_VALUE"""),123.03)</f>
        <v>123.03</v>
      </c>
      <c r="E7209" s="2">
        <f>IFERROR(__xludf.DUMMYFUNCTION("""COMPUTED_VALUE"""),124.17)</f>
        <v>124.17</v>
      </c>
      <c r="F7209" s="2">
        <f>IFERROR(__xludf.DUMMYFUNCTION("""COMPUTED_VALUE"""),8946618.0)</f>
        <v>8946618</v>
      </c>
    </row>
    <row r="7210">
      <c r="A7210" s="3">
        <f>IFERROR(__xludf.DUMMYFUNCTION("""COMPUTED_VALUE"""),39654.666666666664)</f>
        <v>39654.66667</v>
      </c>
      <c r="B7210" s="2">
        <f>IFERROR(__xludf.DUMMYFUNCTION("""COMPUTED_VALUE"""),123.22)</f>
        <v>123.22</v>
      </c>
      <c r="C7210" s="2">
        <f>IFERROR(__xludf.DUMMYFUNCTION("""COMPUTED_VALUE"""),124.08)</f>
        <v>124.08</v>
      </c>
      <c r="D7210" s="2">
        <f>IFERROR(__xludf.DUMMYFUNCTION("""COMPUTED_VALUE"""),122.26)</f>
        <v>122.26</v>
      </c>
      <c r="E7210" s="2">
        <f>IFERROR(__xludf.DUMMYFUNCTION("""COMPUTED_VALUE"""),122.77)</f>
        <v>122.77</v>
      </c>
      <c r="F7210" s="2">
        <f>IFERROR(__xludf.DUMMYFUNCTION("""COMPUTED_VALUE"""),7565625.0)</f>
        <v>7565625</v>
      </c>
    </row>
    <row r="7211">
      <c r="A7211" s="3">
        <f>IFERROR(__xludf.DUMMYFUNCTION("""COMPUTED_VALUE"""),39657.666666666664)</f>
        <v>39657.66667</v>
      </c>
      <c r="B7211" s="2">
        <f>IFERROR(__xludf.DUMMYFUNCTION("""COMPUTED_VALUE"""),121.96)</f>
        <v>121.96</v>
      </c>
      <c r="C7211" s="2">
        <f>IFERROR(__xludf.DUMMYFUNCTION("""COMPUTED_VALUE"""),122.68)</f>
        <v>122.68</v>
      </c>
      <c r="D7211" s="2">
        <f>IFERROR(__xludf.DUMMYFUNCTION("""COMPUTED_VALUE"""),120.47)</f>
        <v>120.47</v>
      </c>
      <c r="E7211" s="2">
        <f>IFERROR(__xludf.DUMMYFUNCTION("""COMPUTED_VALUE"""),120.59)</f>
        <v>120.59</v>
      </c>
      <c r="F7211" s="2">
        <f>IFERROR(__xludf.DUMMYFUNCTION("""COMPUTED_VALUE"""),6096738.0)</f>
        <v>6096738</v>
      </c>
    </row>
    <row r="7212">
      <c r="A7212" s="3">
        <f>IFERROR(__xludf.DUMMYFUNCTION("""COMPUTED_VALUE"""),39658.666666666664)</f>
        <v>39658.66667</v>
      </c>
      <c r="B7212" s="2">
        <f>IFERROR(__xludf.DUMMYFUNCTION("""COMPUTED_VALUE"""),120.87)</f>
        <v>120.87</v>
      </c>
      <c r="C7212" s="2">
        <f>IFERROR(__xludf.DUMMYFUNCTION("""COMPUTED_VALUE"""),122.42)</f>
        <v>122.42</v>
      </c>
      <c r="D7212" s="2">
        <f>IFERROR(__xludf.DUMMYFUNCTION("""COMPUTED_VALUE"""),120.59)</f>
        <v>120.59</v>
      </c>
      <c r="E7212" s="2">
        <f>IFERROR(__xludf.DUMMYFUNCTION("""COMPUTED_VALUE"""),121.94)</f>
        <v>121.94</v>
      </c>
      <c r="F7212" s="2">
        <f>IFERROR(__xludf.DUMMYFUNCTION("""COMPUTED_VALUE"""),5980858.0)</f>
        <v>5980858</v>
      </c>
    </row>
    <row r="7213">
      <c r="A7213" s="3">
        <f>IFERROR(__xludf.DUMMYFUNCTION("""COMPUTED_VALUE"""),39659.666666666664)</f>
        <v>39659.66667</v>
      </c>
      <c r="B7213" s="2">
        <f>IFERROR(__xludf.DUMMYFUNCTION("""COMPUTED_VALUE"""),122.38)</f>
        <v>122.38</v>
      </c>
      <c r="C7213" s="2">
        <f>IFERROR(__xludf.DUMMYFUNCTION("""COMPUTED_VALUE"""),123.22)</f>
        <v>123.22</v>
      </c>
      <c r="D7213" s="2">
        <f>IFERROR(__xludf.DUMMYFUNCTION("""COMPUTED_VALUE"""),121.39)</f>
        <v>121.39</v>
      </c>
      <c r="E7213" s="2">
        <f>IFERROR(__xludf.DUMMYFUNCTION("""COMPUTED_VALUE"""),123.08)</f>
        <v>123.08</v>
      </c>
      <c r="F7213" s="2">
        <f>IFERROR(__xludf.DUMMYFUNCTION("""COMPUTED_VALUE"""),5826411.0)</f>
        <v>5826411</v>
      </c>
    </row>
    <row r="7214">
      <c r="A7214" s="3">
        <f>IFERROR(__xludf.DUMMYFUNCTION("""COMPUTED_VALUE"""),39660.666666666664)</f>
        <v>39660.66667</v>
      </c>
      <c r="B7214" s="2">
        <f>IFERROR(__xludf.DUMMYFUNCTION("""COMPUTED_VALUE"""),122.36)</f>
        <v>122.36</v>
      </c>
      <c r="C7214" s="2">
        <f>IFERROR(__xludf.DUMMYFUNCTION("""COMPUTED_VALUE"""),123.69)</f>
        <v>123.69</v>
      </c>
      <c r="D7214" s="2">
        <f>IFERROR(__xludf.DUMMYFUNCTION("""COMPUTED_VALUE"""),122.01)</f>
        <v>122.01</v>
      </c>
      <c r="E7214" s="2">
        <f>IFERROR(__xludf.DUMMYFUNCTION("""COMPUTED_VALUE"""),122.24)</f>
        <v>122.24</v>
      </c>
      <c r="F7214" s="2">
        <f>IFERROR(__xludf.DUMMYFUNCTION("""COMPUTED_VALUE"""),5857259.0)</f>
        <v>5857259</v>
      </c>
    </row>
    <row r="7215">
      <c r="A7215" s="3">
        <f>IFERROR(__xludf.DUMMYFUNCTION("""COMPUTED_VALUE"""),39661.666666666664)</f>
        <v>39661.66667</v>
      </c>
      <c r="B7215" s="2">
        <f>IFERROR(__xludf.DUMMYFUNCTION("""COMPUTED_VALUE"""),122.76)</f>
        <v>122.76</v>
      </c>
      <c r="C7215" s="2">
        <f>IFERROR(__xludf.DUMMYFUNCTION("""COMPUTED_VALUE"""),123.5)</f>
        <v>123.5</v>
      </c>
      <c r="D7215" s="2">
        <f>IFERROR(__xludf.DUMMYFUNCTION("""COMPUTED_VALUE"""),120.62)</f>
        <v>120.62</v>
      </c>
      <c r="E7215" s="2">
        <f>IFERROR(__xludf.DUMMYFUNCTION("""COMPUTED_VALUE"""),120.96)</f>
        <v>120.96</v>
      </c>
      <c r="F7215" s="2">
        <f>IFERROR(__xludf.DUMMYFUNCTION("""COMPUTED_VALUE"""),4939828.0)</f>
        <v>4939828</v>
      </c>
    </row>
    <row r="7216">
      <c r="A7216" s="3">
        <f>IFERROR(__xludf.DUMMYFUNCTION("""COMPUTED_VALUE"""),39664.666666666664)</f>
        <v>39664.66667</v>
      </c>
      <c r="B7216" s="2">
        <f>IFERROR(__xludf.DUMMYFUNCTION("""COMPUTED_VALUE"""),121.09)</f>
        <v>121.09</v>
      </c>
      <c r="C7216" s="2">
        <f>IFERROR(__xludf.DUMMYFUNCTION("""COMPUTED_VALUE"""),122.36)</f>
        <v>122.36</v>
      </c>
      <c r="D7216" s="2">
        <f>IFERROR(__xludf.DUMMYFUNCTION("""COMPUTED_VALUE"""),120.59)</f>
        <v>120.59</v>
      </c>
      <c r="E7216" s="2">
        <f>IFERROR(__xludf.DUMMYFUNCTION("""COMPUTED_VALUE"""),121.84)</f>
        <v>121.84</v>
      </c>
      <c r="F7216" s="2">
        <f>IFERROR(__xludf.DUMMYFUNCTION("""COMPUTED_VALUE"""),5994860.0)</f>
        <v>5994860</v>
      </c>
    </row>
    <row r="7217">
      <c r="A7217" s="3">
        <f>IFERROR(__xludf.DUMMYFUNCTION("""COMPUTED_VALUE"""),39665.666666666664)</f>
        <v>39665.66667</v>
      </c>
      <c r="B7217" s="2">
        <f>IFERROR(__xludf.DUMMYFUNCTION("""COMPUTED_VALUE"""),122.45)</f>
        <v>122.45</v>
      </c>
      <c r="C7217" s="2">
        <f>IFERROR(__xludf.DUMMYFUNCTION("""COMPUTED_VALUE"""),123.12)</f>
        <v>123.12</v>
      </c>
      <c r="D7217" s="2">
        <f>IFERROR(__xludf.DUMMYFUNCTION("""COMPUTED_VALUE"""),121.38)</f>
        <v>121.38</v>
      </c>
      <c r="E7217" s="2">
        <f>IFERROR(__xludf.DUMMYFUNCTION("""COMPUTED_VALUE"""),123.09)</f>
        <v>123.09</v>
      </c>
      <c r="F7217" s="2">
        <f>IFERROR(__xludf.DUMMYFUNCTION("""COMPUTED_VALUE"""),6969898.0)</f>
        <v>6969898</v>
      </c>
    </row>
    <row r="7218">
      <c r="A7218" s="3">
        <f>IFERROR(__xludf.DUMMYFUNCTION("""COMPUTED_VALUE"""),39666.666666666664)</f>
        <v>39666.66667</v>
      </c>
      <c r="B7218" s="2">
        <f>IFERROR(__xludf.DUMMYFUNCTION("""COMPUTED_VALUE"""),122.69)</f>
        <v>122.69</v>
      </c>
      <c r="C7218" s="2">
        <f>IFERROR(__xludf.DUMMYFUNCTION("""COMPUTED_VALUE"""),123.69)</f>
        <v>123.69</v>
      </c>
      <c r="D7218" s="2">
        <f>IFERROR(__xludf.DUMMYFUNCTION("""COMPUTED_VALUE"""),122.02)</f>
        <v>122.02</v>
      </c>
      <c r="E7218" s="2">
        <f>IFERROR(__xludf.DUMMYFUNCTION("""COMPUTED_VALUE"""),123.37)</f>
        <v>123.37</v>
      </c>
      <c r="F7218" s="2">
        <f>IFERROR(__xludf.DUMMYFUNCTION("""COMPUTED_VALUE"""),6254097.0)</f>
        <v>6254097</v>
      </c>
    </row>
    <row r="7219">
      <c r="A7219" s="3">
        <f>IFERROR(__xludf.DUMMYFUNCTION("""COMPUTED_VALUE"""),39667.666666666664)</f>
        <v>39667.66667</v>
      </c>
      <c r="B7219" s="2">
        <f>IFERROR(__xludf.DUMMYFUNCTION("""COMPUTED_VALUE"""),122.55)</f>
        <v>122.55</v>
      </c>
      <c r="C7219" s="2">
        <f>IFERROR(__xludf.DUMMYFUNCTION("""COMPUTED_VALUE"""),124.14)</f>
        <v>124.14</v>
      </c>
      <c r="D7219" s="2">
        <f>IFERROR(__xludf.DUMMYFUNCTION("""COMPUTED_VALUE"""),122.17)</f>
        <v>122.17</v>
      </c>
      <c r="E7219" s="2">
        <f>IFERROR(__xludf.DUMMYFUNCTION("""COMPUTED_VALUE"""),123.26)</f>
        <v>123.26</v>
      </c>
      <c r="F7219" s="2">
        <f>IFERROR(__xludf.DUMMYFUNCTION("""COMPUTED_VALUE"""),6633491.0)</f>
        <v>6633491</v>
      </c>
    </row>
    <row r="7220">
      <c r="A7220" s="3">
        <f>IFERROR(__xludf.DUMMYFUNCTION("""COMPUTED_VALUE"""),39668.666666666664)</f>
        <v>39668.66667</v>
      </c>
      <c r="B7220" s="2">
        <f>IFERROR(__xludf.DUMMYFUNCTION("""COMPUTED_VALUE"""),122.74)</f>
        <v>122.74</v>
      </c>
      <c r="C7220" s="2">
        <f>IFERROR(__xludf.DUMMYFUNCTION("""COMPUTED_VALUE"""),124.06)</f>
        <v>124.06</v>
      </c>
      <c r="D7220" s="2">
        <f>IFERROR(__xludf.DUMMYFUNCTION("""COMPUTED_VALUE"""),121.91)</f>
        <v>121.91</v>
      </c>
      <c r="E7220" s="2">
        <f>IFERROR(__xludf.DUMMYFUNCTION("""COMPUTED_VALUE"""),123.03)</f>
        <v>123.03</v>
      </c>
      <c r="F7220" s="2">
        <f>IFERROR(__xludf.DUMMYFUNCTION("""COMPUTED_VALUE"""),8561734.0)</f>
        <v>8561734</v>
      </c>
    </row>
    <row r="7221">
      <c r="A7221" s="3">
        <f>IFERROR(__xludf.DUMMYFUNCTION("""COMPUTED_VALUE"""),39671.666666666664)</f>
        <v>39671.66667</v>
      </c>
      <c r="B7221" s="2">
        <f>IFERROR(__xludf.DUMMYFUNCTION("""COMPUTED_VALUE"""),122.67)</f>
        <v>122.67</v>
      </c>
      <c r="C7221" s="2">
        <f>IFERROR(__xludf.DUMMYFUNCTION("""COMPUTED_VALUE"""),122.67)</f>
        <v>122.67</v>
      </c>
      <c r="D7221" s="2">
        <f>IFERROR(__xludf.DUMMYFUNCTION("""COMPUTED_VALUE"""),120.11)</f>
        <v>120.11</v>
      </c>
      <c r="E7221" s="2">
        <f>IFERROR(__xludf.DUMMYFUNCTION("""COMPUTED_VALUE"""),120.92)</f>
        <v>120.92</v>
      </c>
      <c r="F7221" s="2">
        <f>IFERROR(__xludf.DUMMYFUNCTION("""COMPUTED_VALUE"""),7490435.0)</f>
        <v>7490435</v>
      </c>
    </row>
    <row r="7222">
      <c r="A7222" s="3">
        <f>IFERROR(__xludf.DUMMYFUNCTION("""COMPUTED_VALUE"""),39672.666666666664)</f>
        <v>39672.66667</v>
      </c>
      <c r="B7222" s="2">
        <f>IFERROR(__xludf.DUMMYFUNCTION("""COMPUTED_VALUE"""),120.36)</f>
        <v>120.36</v>
      </c>
      <c r="C7222" s="2">
        <f>IFERROR(__xludf.DUMMYFUNCTION("""COMPUTED_VALUE"""),120.83)</f>
        <v>120.83</v>
      </c>
      <c r="D7222" s="2">
        <f>IFERROR(__xludf.DUMMYFUNCTION("""COMPUTED_VALUE"""),118.82)</f>
        <v>118.82</v>
      </c>
      <c r="E7222" s="2">
        <f>IFERROR(__xludf.DUMMYFUNCTION("""COMPUTED_VALUE"""),119.61)</f>
        <v>119.61</v>
      </c>
      <c r="F7222" s="2">
        <f>IFERROR(__xludf.DUMMYFUNCTION("""COMPUTED_VALUE"""),7000919.0)</f>
        <v>7000919</v>
      </c>
    </row>
    <row r="7223">
      <c r="A7223" s="3">
        <f>IFERROR(__xludf.DUMMYFUNCTION("""COMPUTED_VALUE"""),39673.666666666664)</f>
        <v>39673.66667</v>
      </c>
      <c r="B7223" s="2">
        <f>IFERROR(__xludf.DUMMYFUNCTION("""COMPUTED_VALUE"""),119.4)</f>
        <v>119.4</v>
      </c>
      <c r="C7223" s="2">
        <f>IFERROR(__xludf.DUMMYFUNCTION("""COMPUTED_VALUE"""),121.3)</f>
        <v>121.3</v>
      </c>
      <c r="D7223" s="2">
        <f>IFERROR(__xludf.DUMMYFUNCTION("""COMPUTED_VALUE"""),119.16)</f>
        <v>119.16</v>
      </c>
      <c r="E7223" s="2">
        <f>IFERROR(__xludf.DUMMYFUNCTION("""COMPUTED_VALUE"""),120.16)</f>
        <v>120.16</v>
      </c>
      <c r="F7223" s="2">
        <f>IFERROR(__xludf.DUMMYFUNCTION("""COMPUTED_VALUE"""),5857792.0)</f>
        <v>5857792</v>
      </c>
    </row>
    <row r="7224">
      <c r="A7224" s="3">
        <f>IFERROR(__xludf.DUMMYFUNCTION("""COMPUTED_VALUE"""),39674.666666666664)</f>
        <v>39674.66667</v>
      </c>
      <c r="B7224" s="2">
        <f>IFERROR(__xludf.DUMMYFUNCTION("""COMPUTED_VALUE"""),119.41)</f>
        <v>119.41</v>
      </c>
      <c r="C7224" s="2">
        <f>IFERROR(__xludf.DUMMYFUNCTION("""COMPUTED_VALUE"""),122.5)</f>
        <v>122.5</v>
      </c>
      <c r="D7224" s="2">
        <f>IFERROR(__xludf.DUMMYFUNCTION("""COMPUTED_VALUE"""),119.2)</f>
        <v>119.2</v>
      </c>
      <c r="E7224" s="2">
        <f>IFERROR(__xludf.DUMMYFUNCTION("""COMPUTED_VALUE"""),121.25)</f>
        <v>121.25</v>
      </c>
      <c r="F7224" s="2">
        <f>IFERROR(__xludf.DUMMYFUNCTION("""COMPUTED_VALUE"""),6813232.0)</f>
        <v>6813232</v>
      </c>
    </row>
    <row r="7225">
      <c r="A7225" s="3">
        <f>IFERROR(__xludf.DUMMYFUNCTION("""COMPUTED_VALUE"""),39675.666666666664)</f>
        <v>39675.66667</v>
      </c>
      <c r="B7225" s="2">
        <f>IFERROR(__xludf.DUMMYFUNCTION("""COMPUTED_VALUE"""),121.37)</f>
        <v>121.37</v>
      </c>
      <c r="C7225" s="2">
        <f>IFERROR(__xludf.DUMMYFUNCTION("""COMPUTED_VALUE"""),121.49)</f>
        <v>121.49</v>
      </c>
      <c r="D7225" s="2">
        <f>IFERROR(__xludf.DUMMYFUNCTION("""COMPUTED_VALUE"""),119.73)</f>
        <v>119.73</v>
      </c>
      <c r="E7225" s="2">
        <f>IFERROR(__xludf.DUMMYFUNCTION("""COMPUTED_VALUE"""),120.69)</f>
        <v>120.69</v>
      </c>
      <c r="F7225" s="2">
        <f>IFERROR(__xludf.DUMMYFUNCTION("""COMPUTED_VALUE"""),5566474.0)</f>
        <v>5566474</v>
      </c>
    </row>
    <row r="7226">
      <c r="A7226" s="3">
        <f>IFERROR(__xludf.DUMMYFUNCTION("""COMPUTED_VALUE"""),39678.666666666664)</f>
        <v>39678.66667</v>
      </c>
      <c r="B7226" s="2">
        <f>IFERROR(__xludf.DUMMYFUNCTION("""COMPUTED_VALUE"""),120.82)</f>
        <v>120.82</v>
      </c>
      <c r="C7226" s="2">
        <f>IFERROR(__xludf.DUMMYFUNCTION("""COMPUTED_VALUE"""),121.31)</f>
        <v>121.31</v>
      </c>
      <c r="D7226" s="2">
        <f>IFERROR(__xludf.DUMMYFUNCTION("""COMPUTED_VALUE"""),118.13)</f>
        <v>118.13</v>
      </c>
      <c r="E7226" s="2">
        <f>IFERROR(__xludf.DUMMYFUNCTION("""COMPUTED_VALUE"""),119.0)</f>
        <v>119</v>
      </c>
      <c r="F7226" s="2">
        <f>IFERROR(__xludf.DUMMYFUNCTION("""COMPUTED_VALUE"""),5969928.0)</f>
        <v>5969928</v>
      </c>
    </row>
    <row r="7227">
      <c r="A7227" s="3">
        <f>IFERROR(__xludf.DUMMYFUNCTION("""COMPUTED_VALUE"""),39679.666666666664)</f>
        <v>39679.66667</v>
      </c>
      <c r="B7227" s="2">
        <f>IFERROR(__xludf.DUMMYFUNCTION("""COMPUTED_VALUE"""),118.09)</f>
        <v>118.09</v>
      </c>
      <c r="C7227" s="2">
        <f>IFERROR(__xludf.DUMMYFUNCTION("""COMPUTED_VALUE"""),119.19)</f>
        <v>119.19</v>
      </c>
      <c r="D7227" s="2">
        <f>IFERROR(__xludf.DUMMYFUNCTION("""COMPUTED_VALUE"""),116.54)</f>
        <v>116.54</v>
      </c>
      <c r="E7227" s="2">
        <f>IFERROR(__xludf.DUMMYFUNCTION("""COMPUTED_VALUE"""),117.06)</f>
        <v>117.06</v>
      </c>
      <c r="F7227" s="2">
        <f>IFERROR(__xludf.DUMMYFUNCTION("""COMPUTED_VALUE"""),9313594.0)</f>
        <v>9313594</v>
      </c>
    </row>
    <row r="7228">
      <c r="A7228" s="3">
        <f>IFERROR(__xludf.DUMMYFUNCTION("""COMPUTED_VALUE"""),39680.666666666664)</f>
        <v>39680.66667</v>
      </c>
      <c r="B7228" s="2">
        <f>IFERROR(__xludf.DUMMYFUNCTION("""COMPUTED_VALUE"""),117.96)</f>
        <v>117.96</v>
      </c>
      <c r="C7228" s="2">
        <f>IFERROR(__xludf.DUMMYFUNCTION("""COMPUTED_VALUE"""),118.41)</f>
        <v>118.41</v>
      </c>
      <c r="D7228" s="2">
        <f>IFERROR(__xludf.DUMMYFUNCTION("""COMPUTED_VALUE"""),116.54)</f>
        <v>116.54</v>
      </c>
      <c r="E7228" s="2">
        <f>IFERROR(__xludf.DUMMYFUNCTION("""COMPUTED_VALUE"""),117.02)</f>
        <v>117.02</v>
      </c>
      <c r="F7228" s="2">
        <f>IFERROR(__xludf.DUMMYFUNCTION("""COMPUTED_VALUE"""),6871751.0)</f>
        <v>6871751</v>
      </c>
    </row>
    <row r="7229">
      <c r="A7229" s="3">
        <f>IFERROR(__xludf.DUMMYFUNCTION("""COMPUTED_VALUE"""),39681.666666666664)</f>
        <v>39681.66667</v>
      </c>
      <c r="B7229" s="2">
        <f>IFERROR(__xludf.DUMMYFUNCTION("""COMPUTED_VALUE"""),116.13)</f>
        <v>116.13</v>
      </c>
      <c r="C7229" s="2">
        <f>IFERROR(__xludf.DUMMYFUNCTION("""COMPUTED_VALUE"""),117.9)</f>
        <v>117.9</v>
      </c>
      <c r="D7229" s="2">
        <f>IFERROR(__xludf.DUMMYFUNCTION("""COMPUTED_VALUE"""),116.1)</f>
        <v>116.1</v>
      </c>
      <c r="E7229" s="2">
        <f>IFERROR(__xludf.DUMMYFUNCTION("""COMPUTED_VALUE"""),117.48)</f>
        <v>117.48</v>
      </c>
      <c r="F7229" s="2">
        <f>IFERROR(__xludf.DUMMYFUNCTION("""COMPUTED_VALUE"""),6314975.0)</f>
        <v>6314975</v>
      </c>
    </row>
    <row r="7230">
      <c r="A7230" s="3">
        <f>IFERROR(__xludf.DUMMYFUNCTION("""COMPUTED_VALUE"""),39682.666666666664)</f>
        <v>39682.66667</v>
      </c>
      <c r="B7230" s="2">
        <f>IFERROR(__xludf.DUMMYFUNCTION("""COMPUTED_VALUE"""),117.77)</f>
        <v>117.77</v>
      </c>
      <c r="C7230" s="2">
        <f>IFERROR(__xludf.DUMMYFUNCTION("""COMPUTED_VALUE"""),119.73)</f>
        <v>119.73</v>
      </c>
      <c r="D7230" s="2">
        <f>IFERROR(__xludf.DUMMYFUNCTION("""COMPUTED_VALUE"""),117.29)</f>
        <v>117.29</v>
      </c>
      <c r="E7230" s="2">
        <f>IFERROR(__xludf.DUMMYFUNCTION("""COMPUTED_VALUE"""),119.33)</f>
        <v>119.33</v>
      </c>
      <c r="F7230" s="2">
        <f>IFERROR(__xludf.DUMMYFUNCTION("""COMPUTED_VALUE"""),5989190.0)</f>
        <v>5989190</v>
      </c>
    </row>
    <row r="7231">
      <c r="A7231" s="3">
        <f>IFERROR(__xludf.DUMMYFUNCTION("""COMPUTED_VALUE"""),39685.666666666664)</f>
        <v>39685.66667</v>
      </c>
      <c r="B7231" s="2">
        <f>IFERROR(__xludf.DUMMYFUNCTION("""COMPUTED_VALUE"""),118.9)</f>
        <v>118.9</v>
      </c>
      <c r="C7231" s="2">
        <f>IFERROR(__xludf.DUMMYFUNCTION("""COMPUTED_VALUE"""),119.33)</f>
        <v>119.33</v>
      </c>
      <c r="D7231" s="2">
        <f>IFERROR(__xludf.DUMMYFUNCTION("""COMPUTED_VALUE"""),117.2)</f>
        <v>117.2</v>
      </c>
      <c r="E7231" s="2">
        <f>IFERROR(__xludf.DUMMYFUNCTION("""COMPUTED_VALUE"""),117.35)</f>
        <v>117.35</v>
      </c>
      <c r="F7231" s="2">
        <f>IFERROR(__xludf.DUMMYFUNCTION("""COMPUTED_VALUE"""),5827382.0)</f>
        <v>5827382</v>
      </c>
    </row>
    <row r="7232">
      <c r="A7232" s="3">
        <f>IFERROR(__xludf.DUMMYFUNCTION("""COMPUTED_VALUE"""),39686.666666666664)</f>
        <v>39686.66667</v>
      </c>
      <c r="B7232" s="2">
        <f>IFERROR(__xludf.DUMMYFUNCTION("""COMPUTED_VALUE"""),117.08)</f>
        <v>117.08</v>
      </c>
      <c r="C7232" s="2">
        <f>IFERROR(__xludf.DUMMYFUNCTION("""COMPUTED_VALUE"""),117.34)</f>
        <v>117.34</v>
      </c>
      <c r="D7232" s="2">
        <f>IFERROR(__xludf.DUMMYFUNCTION("""COMPUTED_VALUE"""),116.05)</f>
        <v>116.05</v>
      </c>
      <c r="E7232" s="2">
        <f>IFERROR(__xludf.DUMMYFUNCTION("""COMPUTED_VALUE"""),117.01)</f>
        <v>117.01</v>
      </c>
      <c r="F7232" s="2">
        <f>IFERROR(__xludf.DUMMYFUNCTION("""COMPUTED_VALUE"""),6218163.0)</f>
        <v>6218163</v>
      </c>
    </row>
    <row r="7233">
      <c r="A7233" s="3">
        <f>IFERROR(__xludf.DUMMYFUNCTION("""COMPUTED_VALUE"""),39687.666666666664)</f>
        <v>39687.66667</v>
      </c>
      <c r="B7233" s="2">
        <f>IFERROR(__xludf.DUMMYFUNCTION("""COMPUTED_VALUE"""),116.93)</f>
        <v>116.93</v>
      </c>
      <c r="C7233" s="2">
        <f>IFERROR(__xludf.DUMMYFUNCTION("""COMPUTED_VALUE"""),119.25)</f>
        <v>119.25</v>
      </c>
      <c r="D7233" s="2">
        <f>IFERROR(__xludf.DUMMYFUNCTION("""COMPUTED_VALUE"""),116.7)</f>
        <v>116.7</v>
      </c>
      <c r="E7233" s="2">
        <f>IFERROR(__xludf.DUMMYFUNCTION("""COMPUTED_VALUE"""),117.85)</f>
        <v>117.85</v>
      </c>
      <c r="F7233" s="2">
        <f>IFERROR(__xludf.DUMMYFUNCTION("""COMPUTED_VALUE"""),5845404.0)</f>
        <v>5845404</v>
      </c>
    </row>
    <row r="7234">
      <c r="A7234" s="3">
        <f>IFERROR(__xludf.DUMMYFUNCTION("""COMPUTED_VALUE"""),39688.666666666664)</f>
        <v>39688.66667</v>
      </c>
      <c r="B7234" s="2">
        <f>IFERROR(__xludf.DUMMYFUNCTION("""COMPUTED_VALUE"""),118.5)</f>
        <v>118.5</v>
      </c>
      <c r="C7234" s="2">
        <f>IFERROR(__xludf.DUMMYFUNCTION("""COMPUTED_VALUE"""),119.83)</f>
        <v>119.83</v>
      </c>
      <c r="D7234" s="2">
        <f>IFERROR(__xludf.DUMMYFUNCTION("""COMPUTED_VALUE"""),118.04)</f>
        <v>118.04</v>
      </c>
      <c r="E7234" s="2">
        <f>IFERROR(__xludf.DUMMYFUNCTION("""COMPUTED_VALUE"""),118.99)</f>
        <v>118.99</v>
      </c>
      <c r="F7234" s="2">
        <f>IFERROR(__xludf.DUMMYFUNCTION("""COMPUTED_VALUE"""),5448139.0)</f>
        <v>5448139</v>
      </c>
    </row>
    <row r="7235">
      <c r="A7235" s="3">
        <f>IFERROR(__xludf.DUMMYFUNCTION("""COMPUTED_VALUE"""),39689.666666666664)</f>
        <v>39689.66667</v>
      </c>
      <c r="B7235" s="2">
        <f>IFERROR(__xludf.DUMMYFUNCTION("""COMPUTED_VALUE"""),118.16)</f>
        <v>118.16</v>
      </c>
      <c r="C7235" s="2">
        <f>IFERROR(__xludf.DUMMYFUNCTION("""COMPUTED_VALUE"""),118.43)</f>
        <v>118.43</v>
      </c>
      <c r="D7235" s="2">
        <f>IFERROR(__xludf.DUMMYFUNCTION("""COMPUTED_VALUE"""),116.18)</f>
        <v>116.18</v>
      </c>
      <c r="E7235" s="2">
        <f>IFERROR(__xludf.DUMMYFUNCTION("""COMPUTED_VALUE"""),116.27)</f>
        <v>116.27</v>
      </c>
      <c r="F7235" s="2">
        <f>IFERROR(__xludf.DUMMYFUNCTION("""COMPUTED_VALUE"""),7156221.0)</f>
        <v>7156221</v>
      </c>
    </row>
    <row r="7236">
      <c r="A7236" s="3">
        <f>IFERROR(__xludf.DUMMYFUNCTION("""COMPUTED_VALUE"""),39693.666666666664)</f>
        <v>39693.66667</v>
      </c>
      <c r="B7236" s="2">
        <f>IFERROR(__xludf.DUMMYFUNCTION("""COMPUTED_VALUE"""),117.36)</f>
        <v>117.36</v>
      </c>
      <c r="C7236" s="2">
        <f>IFERROR(__xludf.DUMMYFUNCTION("""COMPUTED_VALUE"""),118.44)</f>
        <v>118.44</v>
      </c>
      <c r="D7236" s="2">
        <f>IFERROR(__xludf.DUMMYFUNCTION("""COMPUTED_VALUE"""),112.61)</f>
        <v>112.61</v>
      </c>
      <c r="E7236" s="2">
        <f>IFERROR(__xludf.DUMMYFUNCTION("""COMPUTED_VALUE"""),113.1)</f>
        <v>113.1</v>
      </c>
      <c r="F7236" s="2">
        <f>IFERROR(__xludf.DUMMYFUNCTION("""COMPUTED_VALUE"""),1.1764494E7)</f>
        <v>11764494</v>
      </c>
    </row>
    <row r="7237">
      <c r="A7237" s="3">
        <f>IFERROR(__xludf.DUMMYFUNCTION("""COMPUTED_VALUE"""),39694.666666666664)</f>
        <v>39694.66667</v>
      </c>
      <c r="B7237" s="2">
        <f>IFERROR(__xludf.DUMMYFUNCTION("""COMPUTED_VALUE"""),113.03)</f>
        <v>113.03</v>
      </c>
      <c r="C7237" s="2">
        <f>IFERROR(__xludf.DUMMYFUNCTION("""COMPUTED_VALUE"""),113.33)</f>
        <v>113.33</v>
      </c>
      <c r="D7237" s="2">
        <f>IFERROR(__xludf.DUMMYFUNCTION("""COMPUTED_VALUE"""),109.99)</f>
        <v>109.99</v>
      </c>
      <c r="E7237" s="2">
        <f>IFERROR(__xludf.DUMMYFUNCTION("""COMPUTED_VALUE"""),113.03)</f>
        <v>113.03</v>
      </c>
      <c r="F7237" s="2">
        <f>IFERROR(__xludf.DUMMYFUNCTION("""COMPUTED_VALUE"""),1.1317003E7)</f>
        <v>11317003</v>
      </c>
    </row>
    <row r="7238">
      <c r="A7238" s="3">
        <f>IFERROR(__xludf.DUMMYFUNCTION("""COMPUTED_VALUE"""),39695.666666666664)</f>
        <v>39695.66667</v>
      </c>
      <c r="B7238" s="2">
        <f>IFERROR(__xludf.DUMMYFUNCTION("""COMPUTED_VALUE"""),112.7)</f>
        <v>112.7</v>
      </c>
      <c r="C7238" s="2">
        <f>IFERROR(__xludf.DUMMYFUNCTION("""COMPUTED_VALUE"""),113.57)</f>
        <v>113.57</v>
      </c>
      <c r="D7238" s="2">
        <f>IFERROR(__xludf.DUMMYFUNCTION("""COMPUTED_VALUE"""),109.75)</f>
        <v>109.75</v>
      </c>
      <c r="E7238" s="2">
        <f>IFERROR(__xludf.DUMMYFUNCTION("""COMPUTED_VALUE"""),109.84)</f>
        <v>109.84</v>
      </c>
      <c r="F7238" s="2">
        <f>IFERROR(__xludf.DUMMYFUNCTION("""COMPUTED_VALUE"""),1.0134093E7)</f>
        <v>10134093</v>
      </c>
    </row>
    <row r="7239">
      <c r="A7239" s="3">
        <f>IFERROR(__xludf.DUMMYFUNCTION("""COMPUTED_VALUE"""),39696.666666666664)</f>
        <v>39696.66667</v>
      </c>
      <c r="B7239" s="2">
        <f>IFERROR(__xludf.DUMMYFUNCTION("""COMPUTED_VALUE"""),109.03)</f>
        <v>109.03</v>
      </c>
      <c r="C7239" s="2">
        <f>IFERROR(__xludf.DUMMYFUNCTION("""COMPUTED_VALUE"""),109.93)</f>
        <v>109.93</v>
      </c>
      <c r="D7239" s="2">
        <f>IFERROR(__xludf.DUMMYFUNCTION("""COMPUTED_VALUE"""),108.1)</f>
        <v>108.1</v>
      </c>
      <c r="E7239" s="2">
        <f>IFERROR(__xludf.DUMMYFUNCTION("""COMPUTED_VALUE"""),109.2)</f>
        <v>109.2</v>
      </c>
      <c r="F7239" s="2">
        <f>IFERROR(__xludf.DUMMYFUNCTION("""COMPUTED_VALUE"""),8813693.0)</f>
        <v>8813693</v>
      </c>
    </row>
    <row r="7240">
      <c r="A7240" s="3">
        <f>IFERROR(__xludf.DUMMYFUNCTION("""COMPUTED_VALUE"""),39699.666666666664)</f>
        <v>39699.66667</v>
      </c>
      <c r="B7240" s="2">
        <f>IFERROR(__xludf.DUMMYFUNCTION("""COMPUTED_VALUE"""),112.71)</f>
        <v>112.71</v>
      </c>
      <c r="C7240" s="2">
        <f>IFERROR(__xludf.DUMMYFUNCTION("""COMPUTED_VALUE"""),112.98)</f>
        <v>112.98</v>
      </c>
      <c r="D7240" s="2">
        <f>IFERROR(__xludf.DUMMYFUNCTION("""COMPUTED_VALUE"""),109.98)</f>
        <v>109.98</v>
      </c>
      <c r="E7240" s="2">
        <f>IFERROR(__xludf.DUMMYFUNCTION("""COMPUTED_VALUE"""),112.03)</f>
        <v>112.03</v>
      </c>
      <c r="F7240" s="2">
        <f>IFERROR(__xludf.DUMMYFUNCTION("""COMPUTED_VALUE"""),1.0454241E7)</f>
        <v>10454241</v>
      </c>
    </row>
    <row r="7241">
      <c r="A7241" s="3">
        <f>IFERROR(__xludf.DUMMYFUNCTION("""COMPUTED_VALUE"""),39700.666666666664)</f>
        <v>39700.66667</v>
      </c>
      <c r="B7241" s="2">
        <f>IFERROR(__xludf.DUMMYFUNCTION("""COMPUTED_VALUE"""),112.5)</f>
        <v>112.5</v>
      </c>
      <c r="C7241" s="2">
        <f>IFERROR(__xludf.DUMMYFUNCTION("""COMPUTED_VALUE"""),112.8)</f>
        <v>112.8</v>
      </c>
      <c r="D7241" s="2">
        <f>IFERROR(__xludf.DUMMYFUNCTION("""COMPUTED_VALUE"""),109.84)</f>
        <v>109.84</v>
      </c>
      <c r="E7241" s="2">
        <f>IFERROR(__xludf.DUMMYFUNCTION("""COMPUTED_VALUE"""),109.88)</f>
        <v>109.88</v>
      </c>
      <c r="F7241" s="2">
        <f>IFERROR(__xludf.DUMMYFUNCTION("""COMPUTED_VALUE"""),8106710.0)</f>
        <v>8106710</v>
      </c>
    </row>
    <row r="7242">
      <c r="A7242" s="3">
        <f>IFERROR(__xludf.DUMMYFUNCTION("""COMPUTED_VALUE"""),39701.666666666664)</f>
        <v>39701.66667</v>
      </c>
      <c r="B7242" s="2">
        <f>IFERROR(__xludf.DUMMYFUNCTION("""COMPUTED_VALUE"""),111.18)</f>
        <v>111.18</v>
      </c>
      <c r="C7242" s="2">
        <f>IFERROR(__xludf.DUMMYFUNCTION("""COMPUTED_VALUE"""),114.57)</f>
        <v>114.57</v>
      </c>
      <c r="D7242" s="2">
        <f>IFERROR(__xludf.DUMMYFUNCTION("""COMPUTED_VALUE"""),110.89)</f>
        <v>110.89</v>
      </c>
      <c r="E7242" s="2">
        <f>IFERROR(__xludf.DUMMYFUNCTION("""COMPUTED_VALUE"""),112.75)</f>
        <v>112.75</v>
      </c>
      <c r="F7242" s="2">
        <f>IFERROR(__xludf.DUMMYFUNCTION("""COMPUTED_VALUE"""),1.1854267E7)</f>
        <v>11854267</v>
      </c>
    </row>
    <row r="7243">
      <c r="A7243" s="3">
        <f>IFERROR(__xludf.DUMMYFUNCTION("""COMPUTED_VALUE"""),39702.666666666664)</f>
        <v>39702.66667</v>
      </c>
      <c r="B7243" s="2">
        <f>IFERROR(__xludf.DUMMYFUNCTION("""COMPUTED_VALUE"""),111.37)</f>
        <v>111.37</v>
      </c>
      <c r="C7243" s="2">
        <f>IFERROR(__xludf.DUMMYFUNCTION("""COMPUTED_VALUE"""),114.02)</f>
        <v>114.02</v>
      </c>
      <c r="D7243" s="2">
        <f>IFERROR(__xludf.DUMMYFUNCTION("""COMPUTED_VALUE"""),110.9)</f>
        <v>110.9</v>
      </c>
      <c r="E7243" s="2">
        <f>IFERROR(__xludf.DUMMYFUNCTION("""COMPUTED_VALUE"""),113.86)</f>
        <v>113.86</v>
      </c>
      <c r="F7243" s="2">
        <f>IFERROR(__xludf.DUMMYFUNCTION("""COMPUTED_VALUE"""),9737314.0)</f>
        <v>9737314</v>
      </c>
    </row>
    <row r="7244">
      <c r="A7244" s="3">
        <f>IFERROR(__xludf.DUMMYFUNCTION("""COMPUTED_VALUE"""),39703.666666666664)</f>
        <v>39703.66667</v>
      </c>
      <c r="B7244" s="2">
        <f>IFERROR(__xludf.DUMMYFUNCTION("""COMPUTED_VALUE"""),113.34)</f>
        <v>113.34</v>
      </c>
      <c r="C7244" s="2">
        <f>IFERROR(__xludf.DUMMYFUNCTION("""COMPUTED_VALUE"""),113.93)</f>
        <v>113.93</v>
      </c>
      <c r="D7244" s="2">
        <f>IFERROR(__xludf.DUMMYFUNCTION("""COMPUTED_VALUE"""),111.58)</f>
        <v>111.58</v>
      </c>
      <c r="E7244" s="2">
        <f>IFERROR(__xludf.DUMMYFUNCTION("""COMPUTED_VALUE"""),113.64)</f>
        <v>113.64</v>
      </c>
      <c r="F7244" s="2">
        <f>IFERROR(__xludf.DUMMYFUNCTION("""COMPUTED_VALUE"""),6635267.0)</f>
        <v>6635267</v>
      </c>
    </row>
    <row r="7245">
      <c r="A7245" s="3">
        <f>IFERROR(__xludf.DUMMYFUNCTION("""COMPUTED_VALUE"""),39706.666666666664)</f>
        <v>39706.66667</v>
      </c>
      <c r="B7245" s="2">
        <f>IFERROR(__xludf.DUMMYFUNCTION("""COMPUTED_VALUE"""),110.19)</f>
        <v>110.19</v>
      </c>
      <c r="C7245" s="2">
        <f>IFERROR(__xludf.DUMMYFUNCTION("""COMPUTED_VALUE"""),113.1)</f>
        <v>113.1</v>
      </c>
      <c r="D7245" s="2">
        <f>IFERROR(__xludf.DUMMYFUNCTION("""COMPUTED_VALUE"""),110.03)</f>
        <v>110.03</v>
      </c>
      <c r="E7245" s="2">
        <f>IFERROR(__xludf.DUMMYFUNCTION("""COMPUTED_VALUE"""),110.03)</f>
        <v>110.03</v>
      </c>
      <c r="F7245" s="2">
        <f>IFERROR(__xludf.DUMMYFUNCTION("""COMPUTED_VALUE"""),9952555.0)</f>
        <v>9952555</v>
      </c>
    </row>
    <row r="7246">
      <c r="A7246" s="3">
        <f>IFERROR(__xludf.DUMMYFUNCTION("""COMPUTED_VALUE"""),39707.666666666664)</f>
        <v>39707.66667</v>
      </c>
      <c r="B7246" s="2">
        <f>IFERROR(__xludf.DUMMYFUNCTION("""COMPUTED_VALUE"""),108.63)</f>
        <v>108.63</v>
      </c>
      <c r="C7246" s="2">
        <f>IFERROR(__xludf.DUMMYFUNCTION("""COMPUTED_VALUE"""),112.37)</f>
        <v>112.37</v>
      </c>
      <c r="D7246" s="2">
        <f>IFERROR(__xludf.DUMMYFUNCTION("""COMPUTED_VALUE"""),108.24)</f>
        <v>108.24</v>
      </c>
      <c r="E7246" s="2">
        <f>IFERROR(__xludf.DUMMYFUNCTION("""COMPUTED_VALUE"""),110.85)</f>
        <v>110.85</v>
      </c>
      <c r="F7246" s="2">
        <f>IFERROR(__xludf.DUMMYFUNCTION("""COMPUTED_VALUE"""),1.3673109E7)</f>
        <v>13673109</v>
      </c>
    </row>
    <row r="7247">
      <c r="A7247" s="3">
        <f>IFERROR(__xludf.DUMMYFUNCTION("""COMPUTED_VALUE"""),39708.666666666664)</f>
        <v>39708.66667</v>
      </c>
      <c r="B7247" s="2">
        <f>IFERROR(__xludf.DUMMYFUNCTION("""COMPUTED_VALUE"""),109.64)</f>
        <v>109.64</v>
      </c>
      <c r="C7247" s="2">
        <f>IFERROR(__xludf.DUMMYFUNCTION("""COMPUTED_VALUE"""),110.32)</f>
        <v>110.32</v>
      </c>
      <c r="D7247" s="2">
        <f>IFERROR(__xludf.DUMMYFUNCTION("""COMPUTED_VALUE"""),105.65)</f>
        <v>105.65</v>
      </c>
      <c r="E7247" s="2">
        <f>IFERROR(__xludf.DUMMYFUNCTION("""COMPUTED_VALUE"""),106.47)</f>
        <v>106.47</v>
      </c>
      <c r="F7247" s="2">
        <f>IFERROR(__xludf.DUMMYFUNCTION("""COMPUTED_VALUE"""),1.2297971E7)</f>
        <v>12297971</v>
      </c>
    </row>
    <row r="7248">
      <c r="A7248" s="3">
        <f>IFERROR(__xludf.DUMMYFUNCTION("""COMPUTED_VALUE"""),39709.666666666664)</f>
        <v>39709.66667</v>
      </c>
      <c r="B7248" s="2">
        <f>IFERROR(__xludf.DUMMYFUNCTION("""COMPUTED_VALUE"""),107.85)</f>
        <v>107.85</v>
      </c>
      <c r="C7248" s="2">
        <f>IFERROR(__xludf.DUMMYFUNCTION("""COMPUTED_VALUE"""),113.27)</f>
        <v>113.27</v>
      </c>
      <c r="D7248" s="2">
        <f>IFERROR(__xludf.DUMMYFUNCTION("""COMPUTED_VALUE"""),106.06)</f>
        <v>106.06</v>
      </c>
      <c r="E7248" s="2">
        <f>IFERROR(__xludf.DUMMYFUNCTION("""COMPUTED_VALUE"""),109.96)</f>
        <v>109.96</v>
      </c>
      <c r="F7248" s="2">
        <f>IFERROR(__xludf.DUMMYFUNCTION("""COMPUTED_VALUE"""),1.5994953E7)</f>
        <v>15994953</v>
      </c>
    </row>
    <row r="7249">
      <c r="A7249" s="3">
        <f>IFERROR(__xludf.DUMMYFUNCTION("""COMPUTED_VALUE"""),39710.666666666664)</f>
        <v>39710.66667</v>
      </c>
      <c r="B7249" s="2">
        <f>IFERROR(__xludf.DUMMYFUNCTION("""COMPUTED_VALUE"""),114.23)</f>
        <v>114.23</v>
      </c>
      <c r="C7249" s="2">
        <f>IFERROR(__xludf.DUMMYFUNCTION("""COMPUTED_VALUE"""),118.44)</f>
        <v>118.44</v>
      </c>
      <c r="D7249" s="2">
        <f>IFERROR(__xludf.DUMMYFUNCTION("""COMPUTED_VALUE"""),112.23)</f>
        <v>112.23</v>
      </c>
      <c r="E7249" s="2">
        <f>IFERROR(__xludf.DUMMYFUNCTION("""COMPUTED_VALUE"""),113.52)</f>
        <v>113.52</v>
      </c>
      <c r="F7249" s="2">
        <f>IFERROR(__xludf.DUMMYFUNCTION("""COMPUTED_VALUE"""),1.4436424E7)</f>
        <v>14436424</v>
      </c>
    </row>
    <row r="7250">
      <c r="A7250" s="3">
        <f>IFERROR(__xludf.DUMMYFUNCTION("""COMPUTED_VALUE"""),39713.666666666664)</f>
        <v>39713.66667</v>
      </c>
      <c r="B7250" s="2">
        <f>IFERROR(__xludf.DUMMYFUNCTION("""COMPUTED_VALUE"""),113.14)</f>
        <v>113.14</v>
      </c>
      <c r="C7250" s="2">
        <f>IFERROR(__xludf.DUMMYFUNCTION("""COMPUTED_VALUE"""),114.75)</f>
        <v>114.75</v>
      </c>
      <c r="D7250" s="2">
        <f>IFERROR(__xludf.DUMMYFUNCTION("""COMPUTED_VALUE"""),110.82)</f>
        <v>110.82</v>
      </c>
      <c r="E7250" s="2">
        <f>IFERROR(__xludf.DUMMYFUNCTION("""COMPUTED_VALUE"""),111.0)</f>
        <v>111</v>
      </c>
      <c r="F7250" s="2">
        <f>IFERROR(__xludf.DUMMYFUNCTION("""COMPUTED_VALUE"""),8844283.0)</f>
        <v>8844283</v>
      </c>
    </row>
    <row r="7251">
      <c r="A7251" s="3">
        <f>IFERROR(__xludf.DUMMYFUNCTION("""COMPUTED_VALUE"""),39714.666666666664)</f>
        <v>39714.66667</v>
      </c>
      <c r="B7251" s="2">
        <f>IFERROR(__xludf.DUMMYFUNCTION("""COMPUTED_VALUE"""),111.0)</f>
        <v>111</v>
      </c>
      <c r="C7251" s="2">
        <f>IFERROR(__xludf.DUMMYFUNCTION("""COMPUTED_VALUE"""),112.87)</f>
        <v>112.87</v>
      </c>
      <c r="D7251" s="2">
        <f>IFERROR(__xludf.DUMMYFUNCTION("""COMPUTED_VALUE"""),109.02)</f>
        <v>109.02</v>
      </c>
      <c r="E7251" s="2">
        <f>IFERROR(__xludf.DUMMYFUNCTION("""COMPUTED_VALUE"""),110.19)</f>
        <v>110.19</v>
      </c>
      <c r="F7251" s="2">
        <f>IFERROR(__xludf.DUMMYFUNCTION("""COMPUTED_VALUE"""),8013445.0)</f>
        <v>8013445</v>
      </c>
    </row>
    <row r="7252">
      <c r="A7252" s="3">
        <f>IFERROR(__xludf.DUMMYFUNCTION("""COMPUTED_VALUE"""),39715.666666666664)</f>
        <v>39715.66667</v>
      </c>
      <c r="B7252" s="2">
        <f>IFERROR(__xludf.DUMMYFUNCTION("""COMPUTED_VALUE"""),111.69)</f>
        <v>111.69</v>
      </c>
      <c r="C7252" s="2">
        <f>IFERROR(__xludf.DUMMYFUNCTION("""COMPUTED_VALUE"""),112.87)</f>
        <v>112.87</v>
      </c>
      <c r="D7252" s="2">
        <f>IFERROR(__xludf.DUMMYFUNCTION("""COMPUTED_VALUE"""),109.14)</f>
        <v>109.14</v>
      </c>
      <c r="E7252" s="2">
        <f>IFERROR(__xludf.DUMMYFUNCTION("""COMPUTED_VALUE"""),111.24)</f>
        <v>111.24</v>
      </c>
      <c r="F7252" s="2">
        <f>IFERROR(__xludf.DUMMYFUNCTION("""COMPUTED_VALUE"""),6574097.0)</f>
        <v>6574097</v>
      </c>
    </row>
    <row r="7253">
      <c r="A7253" s="3">
        <f>IFERROR(__xludf.DUMMYFUNCTION("""COMPUTED_VALUE"""),39716.666666666664)</f>
        <v>39716.66667</v>
      </c>
      <c r="B7253" s="2">
        <f>IFERROR(__xludf.DUMMYFUNCTION("""COMPUTED_VALUE"""),112.47)</f>
        <v>112.47</v>
      </c>
      <c r="C7253" s="2">
        <f>IFERROR(__xludf.DUMMYFUNCTION("""COMPUTED_VALUE"""),116.52)</f>
        <v>116.52</v>
      </c>
      <c r="D7253" s="2">
        <f>IFERROR(__xludf.DUMMYFUNCTION("""COMPUTED_VALUE"""),110.91)</f>
        <v>110.91</v>
      </c>
      <c r="E7253" s="2">
        <f>IFERROR(__xludf.DUMMYFUNCTION("""COMPUTED_VALUE"""),114.72)</f>
        <v>114.72</v>
      </c>
      <c r="F7253" s="2">
        <f>IFERROR(__xludf.DUMMYFUNCTION("""COMPUTED_VALUE"""),6540753.0)</f>
        <v>6540753</v>
      </c>
    </row>
    <row r="7254">
      <c r="A7254" s="3">
        <f>IFERROR(__xludf.DUMMYFUNCTION("""COMPUTED_VALUE"""),39717.666666666664)</f>
        <v>39717.66667</v>
      </c>
      <c r="B7254" s="2">
        <f>IFERROR(__xludf.DUMMYFUNCTION("""COMPUTED_VALUE"""),111.95)</f>
        <v>111.95</v>
      </c>
      <c r="C7254" s="2">
        <f>IFERROR(__xludf.DUMMYFUNCTION("""COMPUTED_VALUE"""),115.58)</f>
        <v>115.58</v>
      </c>
      <c r="D7254" s="2">
        <f>IFERROR(__xludf.DUMMYFUNCTION("""COMPUTED_VALUE"""),111.76)</f>
        <v>111.76</v>
      </c>
      <c r="E7254" s="2">
        <f>IFERROR(__xludf.DUMMYFUNCTION("""COMPUTED_VALUE"""),114.07)</f>
        <v>114.07</v>
      </c>
      <c r="F7254" s="2">
        <f>IFERROR(__xludf.DUMMYFUNCTION("""COMPUTED_VALUE"""),4760683.0)</f>
        <v>4760683</v>
      </c>
    </row>
    <row r="7255">
      <c r="A7255" s="3">
        <f>IFERROR(__xludf.DUMMYFUNCTION("""COMPUTED_VALUE"""),39720.666666666664)</f>
        <v>39720.66667</v>
      </c>
      <c r="B7255" s="2">
        <f>IFERROR(__xludf.DUMMYFUNCTION("""COMPUTED_VALUE"""),110.78)</f>
        <v>110.78</v>
      </c>
      <c r="C7255" s="2">
        <f>IFERROR(__xludf.DUMMYFUNCTION("""COMPUTED_VALUE"""),113.12)</f>
        <v>113.12</v>
      </c>
      <c r="D7255" s="2">
        <f>IFERROR(__xludf.DUMMYFUNCTION("""COMPUTED_VALUE"""),105.02)</f>
        <v>105.02</v>
      </c>
      <c r="E7255" s="2">
        <f>IFERROR(__xludf.DUMMYFUNCTION("""COMPUTED_VALUE"""),109.33)</f>
        <v>109.33</v>
      </c>
      <c r="F7255" s="2">
        <f>IFERROR(__xludf.DUMMYFUNCTION("""COMPUTED_VALUE"""),9586679.0)</f>
        <v>9586679</v>
      </c>
    </row>
    <row r="7256">
      <c r="A7256" s="3">
        <f>IFERROR(__xludf.DUMMYFUNCTION("""COMPUTED_VALUE"""),39721.666666666664)</f>
        <v>39721.66667</v>
      </c>
      <c r="B7256" s="2">
        <f>IFERROR(__xludf.DUMMYFUNCTION("""COMPUTED_VALUE"""),110.64)</f>
        <v>110.64</v>
      </c>
      <c r="C7256" s="2">
        <f>IFERROR(__xludf.DUMMYFUNCTION("""COMPUTED_VALUE"""),111.72)</f>
        <v>111.72</v>
      </c>
      <c r="D7256" s="2">
        <f>IFERROR(__xludf.DUMMYFUNCTION("""COMPUTED_VALUE"""),106.8)</f>
        <v>106.8</v>
      </c>
      <c r="E7256" s="2">
        <f>IFERROR(__xludf.DUMMYFUNCTION("""COMPUTED_VALUE"""),111.72)</f>
        <v>111.72</v>
      </c>
      <c r="F7256" s="2">
        <f>IFERROR(__xludf.DUMMYFUNCTION("""COMPUTED_VALUE"""),1.899212E7)</f>
        <v>18992120</v>
      </c>
    </row>
    <row r="7257">
      <c r="A7257" s="3">
        <f>IFERROR(__xludf.DUMMYFUNCTION("""COMPUTED_VALUE"""),39722.666666666664)</f>
        <v>39722.66667</v>
      </c>
      <c r="B7257" s="2">
        <f>IFERROR(__xludf.DUMMYFUNCTION("""COMPUTED_VALUE"""),110.33)</f>
        <v>110.33</v>
      </c>
      <c r="C7257" s="2">
        <f>IFERROR(__xludf.DUMMYFUNCTION("""COMPUTED_VALUE"""),111.56)</f>
        <v>111.56</v>
      </c>
      <c r="D7257" s="2">
        <f>IFERROR(__xludf.DUMMYFUNCTION("""COMPUTED_VALUE"""),102.92)</f>
        <v>102.92</v>
      </c>
      <c r="E7257" s="2">
        <f>IFERROR(__xludf.DUMMYFUNCTION("""COMPUTED_VALUE"""),105.19)</f>
        <v>105.19</v>
      </c>
      <c r="F7257" s="2">
        <f>IFERROR(__xludf.DUMMYFUNCTION("""COMPUTED_VALUE"""),1.3137706E7)</f>
        <v>13137706</v>
      </c>
    </row>
    <row r="7258">
      <c r="A7258" s="3">
        <f>IFERROR(__xludf.DUMMYFUNCTION("""COMPUTED_VALUE"""),39723.666666666664)</f>
        <v>39723.66667</v>
      </c>
      <c r="B7258" s="2">
        <f>IFERROR(__xludf.DUMMYFUNCTION("""COMPUTED_VALUE"""),103.62)</f>
        <v>103.62</v>
      </c>
      <c r="C7258" s="2">
        <f>IFERROR(__xludf.DUMMYFUNCTION("""COMPUTED_VALUE"""),105.04)</f>
        <v>105.04</v>
      </c>
      <c r="D7258" s="2">
        <f>IFERROR(__xludf.DUMMYFUNCTION("""COMPUTED_VALUE"""),98.42)</f>
        <v>98.42</v>
      </c>
      <c r="E7258" s="2">
        <f>IFERROR(__xludf.DUMMYFUNCTION("""COMPUTED_VALUE"""),100.04)</f>
        <v>100.04</v>
      </c>
      <c r="F7258" s="2">
        <f>IFERROR(__xludf.DUMMYFUNCTION("""COMPUTED_VALUE"""),1.1458508E7)</f>
        <v>11458508</v>
      </c>
    </row>
    <row r="7259">
      <c r="A7259" s="3">
        <f>IFERROR(__xludf.DUMMYFUNCTION("""COMPUTED_VALUE"""),39724.666666666664)</f>
        <v>39724.66667</v>
      </c>
      <c r="B7259" s="2">
        <f>IFERROR(__xludf.DUMMYFUNCTION("""COMPUTED_VALUE"""),100.45)</f>
        <v>100.45</v>
      </c>
      <c r="C7259" s="2">
        <f>IFERROR(__xludf.DUMMYFUNCTION("""COMPUTED_VALUE"""),105.98)</f>
        <v>105.98</v>
      </c>
      <c r="D7259" s="2">
        <f>IFERROR(__xludf.DUMMYFUNCTION("""COMPUTED_VALUE"""),98.41)</f>
        <v>98.41</v>
      </c>
      <c r="E7259" s="2">
        <f>IFERROR(__xludf.DUMMYFUNCTION("""COMPUTED_VALUE"""),98.8)</f>
        <v>98.8</v>
      </c>
      <c r="F7259" s="2">
        <f>IFERROR(__xludf.DUMMYFUNCTION("""COMPUTED_VALUE"""),9638051.0)</f>
        <v>9638051</v>
      </c>
    </row>
    <row r="7260">
      <c r="A7260" s="3">
        <f>IFERROR(__xludf.DUMMYFUNCTION("""COMPUTED_VALUE"""),39727.666666666664)</f>
        <v>39727.66667</v>
      </c>
      <c r="B7260" s="2">
        <f>IFERROR(__xludf.DUMMYFUNCTION("""COMPUTED_VALUE"""),96.67)</f>
        <v>96.67</v>
      </c>
      <c r="C7260" s="2">
        <f>IFERROR(__xludf.DUMMYFUNCTION("""COMPUTED_VALUE"""),98.38)</f>
        <v>98.38</v>
      </c>
      <c r="D7260" s="2">
        <f>IFERROR(__xludf.DUMMYFUNCTION("""COMPUTED_VALUE"""),92.27)</f>
        <v>92.27</v>
      </c>
      <c r="E7260" s="2">
        <f>IFERROR(__xludf.DUMMYFUNCTION("""COMPUTED_VALUE"""),96.11)</f>
        <v>96.11</v>
      </c>
      <c r="F7260" s="2">
        <f>IFERROR(__xludf.DUMMYFUNCTION("""COMPUTED_VALUE"""),1.1521451E7)</f>
        <v>11521451</v>
      </c>
    </row>
    <row r="7261">
      <c r="A7261" s="3">
        <f>IFERROR(__xludf.DUMMYFUNCTION("""COMPUTED_VALUE"""),39728.666666666664)</f>
        <v>39728.66667</v>
      </c>
      <c r="B7261" s="2">
        <f>IFERROR(__xludf.DUMMYFUNCTION("""COMPUTED_VALUE"""),96.95)</f>
        <v>96.95</v>
      </c>
      <c r="C7261" s="2">
        <f>IFERROR(__xludf.DUMMYFUNCTION("""COMPUTED_VALUE"""),98.02)</f>
        <v>98.02</v>
      </c>
      <c r="D7261" s="2">
        <f>IFERROR(__xludf.DUMMYFUNCTION("""COMPUTED_VALUE"""),90.01)</f>
        <v>90.01</v>
      </c>
      <c r="E7261" s="2">
        <f>IFERROR(__xludf.DUMMYFUNCTION("""COMPUTED_VALUE"""),91.36)</f>
        <v>91.36</v>
      </c>
      <c r="F7261" s="2">
        <f>IFERROR(__xludf.DUMMYFUNCTION("""COMPUTED_VALUE"""),1.1416625E7)</f>
        <v>11416625</v>
      </c>
    </row>
    <row r="7262">
      <c r="A7262" s="3">
        <f>IFERROR(__xludf.DUMMYFUNCTION("""COMPUTED_VALUE"""),39729.666666666664)</f>
        <v>39729.66667</v>
      </c>
      <c r="B7262" s="2">
        <f>IFERROR(__xludf.DUMMYFUNCTION("""COMPUTED_VALUE"""),87.41)</f>
        <v>87.41</v>
      </c>
      <c r="C7262" s="2">
        <f>IFERROR(__xludf.DUMMYFUNCTION("""COMPUTED_VALUE"""),93.11)</f>
        <v>93.11</v>
      </c>
      <c r="D7262" s="2">
        <f>IFERROR(__xludf.DUMMYFUNCTION("""COMPUTED_VALUE"""),85.95)</f>
        <v>85.95</v>
      </c>
      <c r="E7262" s="2">
        <f>IFERROR(__xludf.DUMMYFUNCTION("""COMPUTED_VALUE"""),86.49)</f>
        <v>86.49</v>
      </c>
      <c r="F7262" s="2">
        <f>IFERROR(__xludf.DUMMYFUNCTION("""COMPUTED_VALUE"""),1.8035304E7)</f>
        <v>18035304</v>
      </c>
    </row>
    <row r="7263">
      <c r="A7263" s="3">
        <f>IFERROR(__xludf.DUMMYFUNCTION("""COMPUTED_VALUE"""),39730.666666666664)</f>
        <v>39730.66667</v>
      </c>
      <c r="B7263" s="2">
        <f>IFERROR(__xludf.DUMMYFUNCTION("""COMPUTED_VALUE"""),91.02)</f>
        <v>91.02</v>
      </c>
      <c r="C7263" s="2">
        <f>IFERROR(__xludf.DUMMYFUNCTION("""COMPUTED_VALUE"""),91.04)</f>
        <v>91.04</v>
      </c>
      <c r="D7263" s="2">
        <f>IFERROR(__xludf.DUMMYFUNCTION("""COMPUTED_VALUE"""),84.27)</f>
        <v>84.27</v>
      </c>
      <c r="E7263" s="2">
        <f>IFERROR(__xludf.DUMMYFUNCTION("""COMPUTED_VALUE"""),85.01)</f>
        <v>85.01</v>
      </c>
      <c r="F7263" s="2">
        <f>IFERROR(__xludf.DUMMYFUNCTION("""COMPUTED_VALUE"""),2.1294776E7)</f>
        <v>21294776</v>
      </c>
    </row>
    <row r="7264">
      <c r="A7264" s="3">
        <f>IFERROR(__xludf.DUMMYFUNCTION("""COMPUTED_VALUE"""),39731.666666666664)</f>
        <v>39731.66667</v>
      </c>
      <c r="B7264" s="2">
        <f>IFERROR(__xludf.DUMMYFUNCTION("""COMPUTED_VALUE"""),83.49)</f>
        <v>83.49</v>
      </c>
      <c r="C7264" s="2">
        <f>IFERROR(__xludf.DUMMYFUNCTION("""COMPUTED_VALUE"""),87.55)</f>
        <v>87.55</v>
      </c>
      <c r="D7264" s="2">
        <f>IFERROR(__xludf.DUMMYFUNCTION("""COMPUTED_VALUE"""),79.77)</f>
        <v>79.77</v>
      </c>
      <c r="E7264" s="2">
        <f>IFERROR(__xludf.DUMMYFUNCTION("""COMPUTED_VALUE"""),83.82)</f>
        <v>83.82</v>
      </c>
      <c r="F7264" s="2">
        <f>IFERROR(__xludf.DUMMYFUNCTION("""COMPUTED_VALUE"""),2.4640094E7)</f>
        <v>24640094</v>
      </c>
    </row>
    <row r="7265">
      <c r="A7265" s="3">
        <f>IFERROR(__xludf.DUMMYFUNCTION("""COMPUTED_VALUE"""),39734.666666666664)</f>
        <v>39734.66667</v>
      </c>
      <c r="B7265" s="2">
        <f>IFERROR(__xludf.DUMMYFUNCTION("""COMPUTED_VALUE"""),86.39)</f>
        <v>86.39</v>
      </c>
      <c r="C7265" s="2">
        <f>IFERROR(__xludf.DUMMYFUNCTION("""COMPUTED_VALUE"""),89.41)</f>
        <v>89.41</v>
      </c>
      <c r="D7265" s="2">
        <f>IFERROR(__xludf.DUMMYFUNCTION("""COMPUTED_VALUE"""),83.05)</f>
        <v>83.05</v>
      </c>
      <c r="E7265" s="2">
        <f>IFERROR(__xludf.DUMMYFUNCTION("""COMPUTED_VALUE"""),88.08)</f>
        <v>88.08</v>
      </c>
      <c r="F7265" s="2">
        <f>IFERROR(__xludf.DUMMYFUNCTION("""COMPUTED_VALUE"""),1.710799E7)</f>
        <v>17107990</v>
      </c>
    </row>
    <row r="7266">
      <c r="A7266" s="3">
        <f>IFERROR(__xludf.DUMMYFUNCTION("""COMPUTED_VALUE"""),39735.666666666664)</f>
        <v>39735.66667</v>
      </c>
      <c r="B7266" s="2">
        <f>IFERROR(__xludf.DUMMYFUNCTION("""COMPUTED_VALUE"""),92.1)</f>
        <v>92.1</v>
      </c>
      <c r="C7266" s="2">
        <f>IFERROR(__xludf.DUMMYFUNCTION("""COMPUTED_VALUE"""),94.56)</f>
        <v>94.56</v>
      </c>
      <c r="D7266" s="2">
        <f>IFERROR(__xludf.DUMMYFUNCTION("""COMPUTED_VALUE"""),87.88)</f>
        <v>87.88</v>
      </c>
      <c r="E7266" s="2">
        <f>IFERROR(__xludf.DUMMYFUNCTION("""COMPUTED_VALUE"""),89.4)</f>
        <v>89.4</v>
      </c>
      <c r="F7266" s="2">
        <f>IFERROR(__xludf.DUMMYFUNCTION("""COMPUTED_VALUE"""),1.5117119E7)</f>
        <v>15117119</v>
      </c>
    </row>
    <row r="7267">
      <c r="A7267" s="3">
        <f>IFERROR(__xludf.DUMMYFUNCTION("""COMPUTED_VALUE"""),39736.666666666664)</f>
        <v>39736.66667</v>
      </c>
      <c r="B7267" s="2">
        <f>IFERROR(__xludf.DUMMYFUNCTION("""COMPUTED_VALUE"""),88.61)</f>
        <v>88.61</v>
      </c>
      <c r="C7267" s="2">
        <f>IFERROR(__xludf.DUMMYFUNCTION("""COMPUTED_VALUE"""),91.02)</f>
        <v>91.02</v>
      </c>
      <c r="D7267" s="2">
        <f>IFERROR(__xludf.DUMMYFUNCTION("""COMPUTED_VALUE"""),83.78)</f>
        <v>83.78</v>
      </c>
      <c r="E7267" s="2">
        <f>IFERROR(__xludf.DUMMYFUNCTION("""COMPUTED_VALUE"""),84.33)</f>
        <v>84.33</v>
      </c>
      <c r="F7267" s="2">
        <f>IFERROR(__xludf.DUMMYFUNCTION("""COMPUTED_VALUE"""),1.1335516E7)</f>
        <v>11335516</v>
      </c>
    </row>
    <row r="7268">
      <c r="A7268" s="3">
        <f>IFERROR(__xludf.DUMMYFUNCTION("""COMPUTED_VALUE"""),39737.666666666664)</f>
        <v>39737.66667</v>
      </c>
      <c r="B7268" s="2">
        <f>IFERROR(__xludf.DUMMYFUNCTION("""COMPUTED_VALUE"""),85.37)</f>
        <v>85.37</v>
      </c>
      <c r="C7268" s="2">
        <f>IFERROR(__xludf.DUMMYFUNCTION("""COMPUTED_VALUE"""),87.88)</f>
        <v>87.88</v>
      </c>
      <c r="D7268" s="2">
        <f>IFERROR(__xludf.DUMMYFUNCTION("""COMPUTED_VALUE"""),80.57)</f>
        <v>80.57</v>
      </c>
      <c r="E7268" s="2">
        <f>IFERROR(__xludf.DUMMYFUNCTION("""COMPUTED_VALUE"""),87.42)</f>
        <v>87.42</v>
      </c>
      <c r="F7268" s="2">
        <f>IFERROR(__xludf.DUMMYFUNCTION("""COMPUTED_VALUE"""),1.6274014E7)</f>
        <v>16274014</v>
      </c>
    </row>
    <row r="7269">
      <c r="A7269" s="3">
        <f>IFERROR(__xludf.DUMMYFUNCTION("""COMPUTED_VALUE"""),39738.666666666664)</f>
        <v>39738.66667</v>
      </c>
      <c r="B7269" s="2">
        <f>IFERROR(__xludf.DUMMYFUNCTION("""COMPUTED_VALUE"""),87.64)</f>
        <v>87.64</v>
      </c>
      <c r="C7269" s="2">
        <f>IFERROR(__xludf.DUMMYFUNCTION("""COMPUTED_VALUE"""),91.61)</f>
        <v>91.61</v>
      </c>
      <c r="D7269" s="2">
        <f>IFERROR(__xludf.DUMMYFUNCTION("""COMPUTED_VALUE"""),83.78)</f>
        <v>83.78</v>
      </c>
      <c r="E7269" s="2">
        <f>IFERROR(__xludf.DUMMYFUNCTION("""COMPUTED_VALUE"""),86.71)</f>
        <v>86.71</v>
      </c>
      <c r="F7269" s="2">
        <f>IFERROR(__xludf.DUMMYFUNCTION("""COMPUTED_VALUE"""),1.5231901E7)</f>
        <v>15231901</v>
      </c>
    </row>
    <row r="7270">
      <c r="A7270" s="3">
        <f>IFERROR(__xludf.DUMMYFUNCTION("""COMPUTED_VALUE"""),39741.666666666664)</f>
        <v>39741.66667</v>
      </c>
      <c r="B7270" s="2">
        <f>IFERROR(__xludf.DUMMYFUNCTION("""COMPUTED_VALUE"""),88.08)</f>
        <v>88.08</v>
      </c>
      <c r="C7270" s="2">
        <f>IFERROR(__xludf.DUMMYFUNCTION("""COMPUTED_VALUE"""),89.13)</f>
        <v>89.13</v>
      </c>
      <c r="D7270" s="2">
        <f>IFERROR(__xludf.DUMMYFUNCTION("""COMPUTED_VALUE"""),85.32)</f>
        <v>85.32</v>
      </c>
      <c r="E7270" s="2">
        <f>IFERROR(__xludf.DUMMYFUNCTION("""COMPUTED_VALUE"""),88.36)</f>
        <v>88.36</v>
      </c>
      <c r="F7270" s="2">
        <f>IFERROR(__xludf.DUMMYFUNCTION("""COMPUTED_VALUE"""),9747552.0)</f>
        <v>9747552</v>
      </c>
    </row>
    <row r="7271">
      <c r="A7271" s="3">
        <f>IFERROR(__xludf.DUMMYFUNCTION("""COMPUTED_VALUE"""),39742.666666666664)</f>
        <v>39742.66667</v>
      </c>
      <c r="B7271" s="2">
        <f>IFERROR(__xludf.DUMMYFUNCTION("""COMPUTED_VALUE"""),88.09)</f>
        <v>88.09</v>
      </c>
      <c r="C7271" s="2">
        <f>IFERROR(__xludf.DUMMYFUNCTION("""COMPUTED_VALUE"""),88.31)</f>
        <v>88.31</v>
      </c>
      <c r="D7271" s="2">
        <f>IFERROR(__xludf.DUMMYFUNCTION("""COMPUTED_VALUE"""),84.6)</f>
        <v>84.6</v>
      </c>
      <c r="E7271" s="2">
        <f>IFERROR(__xludf.DUMMYFUNCTION("""COMPUTED_VALUE"""),84.88)</f>
        <v>84.88</v>
      </c>
      <c r="F7271" s="2">
        <f>IFERROR(__xludf.DUMMYFUNCTION("""COMPUTED_VALUE"""),9719965.0)</f>
        <v>9719965</v>
      </c>
    </row>
    <row r="7272">
      <c r="A7272" s="3">
        <f>IFERROR(__xludf.DUMMYFUNCTION("""COMPUTED_VALUE"""),39743.666666666664)</f>
        <v>39743.66667</v>
      </c>
      <c r="B7272" s="2">
        <f>IFERROR(__xludf.DUMMYFUNCTION("""COMPUTED_VALUE"""),83.1)</f>
        <v>83.1</v>
      </c>
      <c r="C7272" s="2">
        <f>IFERROR(__xludf.DUMMYFUNCTION("""COMPUTED_VALUE"""),83.66)</f>
        <v>83.66</v>
      </c>
      <c r="D7272" s="2">
        <f>IFERROR(__xludf.DUMMYFUNCTION("""COMPUTED_VALUE"""),77.18)</f>
        <v>77.18</v>
      </c>
      <c r="E7272" s="2">
        <f>IFERROR(__xludf.DUMMYFUNCTION("""COMPUTED_VALUE"""),79.85)</f>
        <v>79.85</v>
      </c>
      <c r="F7272" s="2">
        <f>IFERROR(__xludf.DUMMYFUNCTION("""COMPUTED_VALUE"""),1.420222E7)</f>
        <v>14202220</v>
      </c>
    </row>
    <row r="7273">
      <c r="A7273" s="3">
        <f>IFERROR(__xludf.DUMMYFUNCTION("""COMPUTED_VALUE"""),39744.666666666664)</f>
        <v>39744.66667</v>
      </c>
      <c r="B7273" s="2">
        <f>IFERROR(__xludf.DUMMYFUNCTION("""COMPUTED_VALUE"""),80.32)</f>
        <v>80.32</v>
      </c>
      <c r="C7273" s="2">
        <f>IFERROR(__xludf.DUMMYFUNCTION("""COMPUTED_VALUE"""),82.04)</f>
        <v>82.04</v>
      </c>
      <c r="D7273" s="2">
        <f>IFERROR(__xludf.DUMMYFUNCTION("""COMPUTED_VALUE"""),77.37)</f>
        <v>77.37</v>
      </c>
      <c r="E7273" s="2">
        <f>IFERROR(__xludf.DUMMYFUNCTION("""COMPUTED_VALUE"""),80.57)</f>
        <v>80.57</v>
      </c>
      <c r="F7273" s="2">
        <f>IFERROR(__xludf.DUMMYFUNCTION("""COMPUTED_VALUE"""),1.2357997E7)</f>
        <v>12357997</v>
      </c>
    </row>
    <row r="7274">
      <c r="A7274" s="3">
        <f>IFERROR(__xludf.DUMMYFUNCTION("""COMPUTED_VALUE"""),39745.666666666664)</f>
        <v>39745.66667</v>
      </c>
      <c r="B7274" s="2">
        <f>IFERROR(__xludf.DUMMYFUNCTION("""COMPUTED_VALUE"""),75.72)</f>
        <v>75.72</v>
      </c>
      <c r="C7274" s="2">
        <f>IFERROR(__xludf.DUMMYFUNCTION("""COMPUTED_VALUE"""),80.53)</f>
        <v>80.53</v>
      </c>
      <c r="D7274" s="2">
        <f>IFERROR(__xludf.DUMMYFUNCTION("""COMPUTED_VALUE"""),75.29)</f>
        <v>75.29</v>
      </c>
      <c r="E7274" s="2">
        <f>IFERROR(__xludf.DUMMYFUNCTION("""COMPUTED_VALUE"""),78.39)</f>
        <v>78.39</v>
      </c>
      <c r="F7274" s="2">
        <f>IFERROR(__xludf.DUMMYFUNCTION("""COMPUTED_VALUE"""),1.2288091E7)</f>
        <v>12288091</v>
      </c>
    </row>
    <row r="7275">
      <c r="A7275" s="3">
        <f>IFERROR(__xludf.DUMMYFUNCTION("""COMPUTED_VALUE"""),39748.666666666664)</f>
        <v>39748.66667</v>
      </c>
      <c r="B7275" s="2">
        <f>IFERROR(__xludf.DUMMYFUNCTION("""COMPUTED_VALUE"""),76.67)</f>
        <v>76.67</v>
      </c>
      <c r="C7275" s="2">
        <f>IFERROR(__xludf.DUMMYFUNCTION("""COMPUTED_VALUE"""),80.71)</f>
        <v>80.71</v>
      </c>
      <c r="D7275" s="2">
        <f>IFERROR(__xludf.DUMMYFUNCTION("""COMPUTED_VALUE"""),75.47)</f>
        <v>75.47</v>
      </c>
      <c r="E7275" s="2">
        <f>IFERROR(__xludf.DUMMYFUNCTION("""COMPUTED_VALUE"""),76.09)</f>
        <v>76.09</v>
      </c>
      <c r="F7275" s="2">
        <f>IFERROR(__xludf.DUMMYFUNCTION("""COMPUTED_VALUE"""),1.111174E7)</f>
        <v>11111740</v>
      </c>
    </row>
    <row r="7276">
      <c r="A7276" s="3">
        <f>IFERROR(__xludf.DUMMYFUNCTION("""COMPUTED_VALUE"""),39749.666666666664)</f>
        <v>39749.66667</v>
      </c>
      <c r="B7276" s="2">
        <f>IFERROR(__xludf.DUMMYFUNCTION("""COMPUTED_VALUE"""),77.75)</f>
        <v>77.75</v>
      </c>
      <c r="C7276" s="2">
        <f>IFERROR(__xludf.DUMMYFUNCTION("""COMPUTED_VALUE"""),83.68)</f>
        <v>83.68</v>
      </c>
      <c r="D7276" s="2">
        <f>IFERROR(__xludf.DUMMYFUNCTION("""COMPUTED_VALUE"""),75.95)</f>
        <v>75.95</v>
      </c>
      <c r="E7276" s="2">
        <f>IFERROR(__xludf.DUMMYFUNCTION("""COMPUTED_VALUE"""),83.37)</f>
        <v>83.37</v>
      </c>
      <c r="F7276" s="2">
        <f>IFERROR(__xludf.DUMMYFUNCTION("""COMPUTED_VALUE"""),1.4197146E7)</f>
        <v>14197146</v>
      </c>
    </row>
    <row r="7277">
      <c r="A7277" s="3">
        <f>IFERROR(__xludf.DUMMYFUNCTION("""COMPUTED_VALUE"""),39750.666666666664)</f>
        <v>39750.66667</v>
      </c>
      <c r="B7277" s="2">
        <f>IFERROR(__xludf.DUMMYFUNCTION("""COMPUTED_VALUE"""),83.81)</f>
        <v>83.81</v>
      </c>
      <c r="C7277" s="2">
        <f>IFERROR(__xludf.DUMMYFUNCTION("""COMPUTED_VALUE"""),86.92)</f>
        <v>86.92</v>
      </c>
      <c r="D7277" s="2">
        <f>IFERROR(__xludf.DUMMYFUNCTION("""COMPUTED_VALUE"""),82.38)</f>
        <v>82.38</v>
      </c>
      <c r="E7277" s="2">
        <f>IFERROR(__xludf.DUMMYFUNCTION("""COMPUTED_VALUE"""),84.25)</f>
        <v>84.25</v>
      </c>
      <c r="F7277" s="2">
        <f>IFERROR(__xludf.DUMMYFUNCTION("""COMPUTED_VALUE"""),1.2694212E7)</f>
        <v>12694212</v>
      </c>
    </row>
    <row r="7278">
      <c r="A7278" s="3">
        <f>IFERROR(__xludf.DUMMYFUNCTION("""COMPUTED_VALUE"""),39751.666666666664)</f>
        <v>39751.66667</v>
      </c>
      <c r="B7278" s="2">
        <f>IFERROR(__xludf.DUMMYFUNCTION("""COMPUTED_VALUE"""),86.93)</f>
        <v>86.93</v>
      </c>
      <c r="C7278" s="2">
        <f>IFERROR(__xludf.DUMMYFUNCTION("""COMPUTED_VALUE"""),88.26)</f>
        <v>88.26</v>
      </c>
      <c r="D7278" s="2">
        <f>IFERROR(__xludf.DUMMYFUNCTION("""COMPUTED_VALUE"""),84.91)</f>
        <v>84.91</v>
      </c>
      <c r="E7278" s="2">
        <f>IFERROR(__xludf.DUMMYFUNCTION("""COMPUTED_VALUE"""),86.62)</f>
        <v>86.62</v>
      </c>
      <c r="F7278" s="2">
        <f>IFERROR(__xludf.DUMMYFUNCTION("""COMPUTED_VALUE"""),1.2034769E7)</f>
        <v>12034769</v>
      </c>
    </row>
    <row r="7279">
      <c r="A7279" s="3">
        <f>IFERROR(__xludf.DUMMYFUNCTION("""COMPUTED_VALUE"""),39752.666666666664)</f>
        <v>39752.66667</v>
      </c>
      <c r="B7279" s="2">
        <f>IFERROR(__xludf.DUMMYFUNCTION("""COMPUTED_VALUE"""),86.82)</f>
        <v>86.82</v>
      </c>
      <c r="C7279" s="2">
        <f>IFERROR(__xludf.DUMMYFUNCTION("""COMPUTED_VALUE"""),89.97)</f>
        <v>89.97</v>
      </c>
      <c r="D7279" s="2">
        <f>IFERROR(__xludf.DUMMYFUNCTION("""COMPUTED_VALUE"""),85.04)</f>
        <v>85.04</v>
      </c>
      <c r="E7279" s="2">
        <f>IFERROR(__xludf.DUMMYFUNCTION("""COMPUTED_VALUE"""),88.8)</f>
        <v>88.8</v>
      </c>
      <c r="F7279" s="2">
        <f>IFERROR(__xludf.DUMMYFUNCTION("""COMPUTED_VALUE"""),1.0506533E7)</f>
        <v>10506533</v>
      </c>
    </row>
    <row r="7280">
      <c r="A7280" s="3">
        <f>IFERROR(__xludf.DUMMYFUNCTION("""COMPUTED_VALUE"""),39755.666666666664)</f>
        <v>39755.66667</v>
      </c>
      <c r="B7280" s="2">
        <f>IFERROR(__xludf.DUMMYFUNCTION("""COMPUTED_VALUE"""),88.49)</f>
        <v>88.49</v>
      </c>
      <c r="C7280" s="2">
        <f>IFERROR(__xludf.DUMMYFUNCTION("""COMPUTED_VALUE"""),90.43)</f>
        <v>90.43</v>
      </c>
      <c r="D7280" s="2">
        <f>IFERROR(__xludf.DUMMYFUNCTION("""COMPUTED_VALUE"""),88.04)</f>
        <v>88.04</v>
      </c>
      <c r="E7280" s="2">
        <f>IFERROR(__xludf.DUMMYFUNCTION("""COMPUTED_VALUE"""),88.52)</f>
        <v>88.52</v>
      </c>
      <c r="F7280" s="2">
        <f>IFERROR(__xludf.DUMMYFUNCTION("""COMPUTED_VALUE"""),7686252.0)</f>
        <v>7686252</v>
      </c>
    </row>
    <row r="7281">
      <c r="A7281" s="3">
        <f>IFERROR(__xludf.DUMMYFUNCTION("""COMPUTED_VALUE"""),39756.666666666664)</f>
        <v>39756.66667</v>
      </c>
      <c r="B7281" s="2">
        <f>IFERROR(__xludf.DUMMYFUNCTION("""COMPUTED_VALUE"""),90.51)</f>
        <v>90.51</v>
      </c>
      <c r="C7281" s="2">
        <f>IFERROR(__xludf.DUMMYFUNCTION("""COMPUTED_VALUE"""),90.51)</f>
        <v>90.51</v>
      </c>
      <c r="D7281" s="2">
        <f>IFERROR(__xludf.DUMMYFUNCTION("""COMPUTED_VALUE"""),87.94)</f>
        <v>87.94</v>
      </c>
      <c r="E7281" s="2">
        <f>IFERROR(__xludf.DUMMYFUNCTION("""COMPUTED_VALUE"""),89.21)</f>
        <v>89.21</v>
      </c>
      <c r="F7281" s="2">
        <f>IFERROR(__xludf.DUMMYFUNCTION("""COMPUTED_VALUE"""),1.0174199E7)</f>
        <v>10174199</v>
      </c>
    </row>
    <row r="7282">
      <c r="A7282" s="3">
        <f>IFERROR(__xludf.DUMMYFUNCTION("""COMPUTED_VALUE"""),39757.666666666664)</f>
        <v>39757.66667</v>
      </c>
      <c r="B7282" s="2">
        <f>IFERROR(__xludf.DUMMYFUNCTION("""COMPUTED_VALUE"""),88.76)</f>
        <v>88.76</v>
      </c>
      <c r="C7282" s="2">
        <f>IFERROR(__xludf.DUMMYFUNCTION("""COMPUTED_VALUE"""),89.21)</f>
        <v>89.21</v>
      </c>
      <c r="D7282" s="2">
        <f>IFERROR(__xludf.DUMMYFUNCTION("""COMPUTED_VALUE"""),85.68)</f>
        <v>85.68</v>
      </c>
      <c r="E7282" s="2">
        <f>IFERROR(__xludf.DUMMYFUNCTION("""COMPUTED_VALUE"""),85.91)</f>
        <v>85.91</v>
      </c>
      <c r="F7282" s="2">
        <f>IFERROR(__xludf.DUMMYFUNCTION("""COMPUTED_VALUE"""),8708265.0)</f>
        <v>8708265</v>
      </c>
    </row>
    <row r="7283">
      <c r="A7283" s="3">
        <f>IFERROR(__xludf.DUMMYFUNCTION("""COMPUTED_VALUE"""),39758.666666666664)</f>
        <v>39758.66667</v>
      </c>
      <c r="B7283" s="2">
        <f>IFERROR(__xludf.DUMMYFUNCTION("""COMPUTED_VALUE"""),83.75)</f>
        <v>83.75</v>
      </c>
      <c r="C7283" s="2">
        <f>IFERROR(__xludf.DUMMYFUNCTION("""COMPUTED_VALUE"""),84.85)</f>
        <v>84.85</v>
      </c>
      <c r="D7283" s="2">
        <f>IFERROR(__xludf.DUMMYFUNCTION("""COMPUTED_VALUE"""),80.5)</f>
        <v>80.5</v>
      </c>
      <c r="E7283" s="2">
        <f>IFERROR(__xludf.DUMMYFUNCTION("""COMPUTED_VALUE"""),81.33)</f>
        <v>81.33</v>
      </c>
      <c r="F7283" s="2">
        <f>IFERROR(__xludf.DUMMYFUNCTION("""COMPUTED_VALUE"""),1.2525214E7)</f>
        <v>12525214</v>
      </c>
    </row>
    <row r="7284">
      <c r="A7284" s="3">
        <f>IFERROR(__xludf.DUMMYFUNCTION("""COMPUTED_VALUE"""),39759.666666666664)</f>
        <v>39759.66667</v>
      </c>
      <c r="B7284" s="2">
        <f>IFERROR(__xludf.DUMMYFUNCTION("""COMPUTED_VALUE"""),81.93)</f>
        <v>81.93</v>
      </c>
      <c r="C7284" s="2">
        <f>IFERROR(__xludf.DUMMYFUNCTION("""COMPUTED_VALUE"""),82.82)</f>
        <v>82.82</v>
      </c>
      <c r="D7284" s="2">
        <f>IFERROR(__xludf.DUMMYFUNCTION("""COMPUTED_VALUE"""),80.47)</f>
        <v>80.47</v>
      </c>
      <c r="E7284" s="2">
        <f>IFERROR(__xludf.DUMMYFUNCTION("""COMPUTED_VALUE"""),82.4)</f>
        <v>82.4</v>
      </c>
      <c r="F7284" s="2">
        <f>IFERROR(__xludf.DUMMYFUNCTION("""COMPUTED_VALUE"""),7927824.0)</f>
        <v>7927824</v>
      </c>
    </row>
    <row r="7285">
      <c r="A7285" s="3">
        <f>IFERROR(__xludf.DUMMYFUNCTION("""COMPUTED_VALUE"""),39762.666666666664)</f>
        <v>39762.66667</v>
      </c>
      <c r="B7285" s="2">
        <f>IFERROR(__xludf.DUMMYFUNCTION("""COMPUTED_VALUE"""),84.04)</f>
        <v>84.04</v>
      </c>
      <c r="C7285" s="2">
        <f>IFERROR(__xludf.DUMMYFUNCTION("""COMPUTED_VALUE"""),84.15)</f>
        <v>84.15</v>
      </c>
      <c r="D7285" s="2">
        <f>IFERROR(__xludf.DUMMYFUNCTION("""COMPUTED_VALUE"""),79.03)</f>
        <v>79.03</v>
      </c>
      <c r="E7285" s="2">
        <f>IFERROR(__xludf.DUMMYFUNCTION("""COMPUTED_VALUE"""),80.11)</f>
        <v>80.11</v>
      </c>
      <c r="F7285" s="2">
        <f>IFERROR(__xludf.DUMMYFUNCTION("""COMPUTED_VALUE"""),9849063.0)</f>
        <v>9849063</v>
      </c>
    </row>
    <row r="7286">
      <c r="A7286" s="3">
        <f>IFERROR(__xludf.DUMMYFUNCTION("""COMPUTED_VALUE"""),39763.666666666664)</f>
        <v>39763.66667</v>
      </c>
      <c r="B7286" s="2">
        <f>IFERROR(__xludf.DUMMYFUNCTION("""COMPUTED_VALUE"""),79.52)</f>
        <v>79.52</v>
      </c>
      <c r="C7286" s="2">
        <f>IFERROR(__xludf.DUMMYFUNCTION("""COMPUTED_VALUE"""),80.51)</f>
        <v>80.51</v>
      </c>
      <c r="D7286" s="2">
        <f>IFERROR(__xludf.DUMMYFUNCTION("""COMPUTED_VALUE"""),76.65)</f>
        <v>76.65</v>
      </c>
      <c r="E7286" s="2">
        <f>IFERROR(__xludf.DUMMYFUNCTION("""COMPUTED_VALUE"""),79.03)</f>
        <v>79.03</v>
      </c>
      <c r="F7286" s="2">
        <f>IFERROR(__xludf.DUMMYFUNCTION("""COMPUTED_VALUE"""),1.0018762E7)</f>
        <v>10018762</v>
      </c>
    </row>
    <row r="7287">
      <c r="A7287" s="3">
        <f>IFERROR(__xludf.DUMMYFUNCTION("""COMPUTED_VALUE"""),39764.666666666664)</f>
        <v>39764.66667</v>
      </c>
      <c r="B7287" s="2">
        <f>IFERROR(__xludf.DUMMYFUNCTION("""COMPUTED_VALUE"""),77.11)</f>
        <v>77.11</v>
      </c>
      <c r="C7287" s="2">
        <f>IFERROR(__xludf.DUMMYFUNCTION("""COMPUTED_VALUE"""),78.71)</f>
        <v>78.71</v>
      </c>
      <c r="D7287" s="2">
        <f>IFERROR(__xludf.DUMMYFUNCTION("""COMPUTED_VALUE"""),76.0)</f>
        <v>76</v>
      </c>
      <c r="E7287" s="2">
        <f>IFERROR(__xludf.DUMMYFUNCTION("""COMPUTED_VALUE"""),76.16)</f>
        <v>76.16</v>
      </c>
      <c r="F7287" s="2">
        <f>IFERROR(__xludf.DUMMYFUNCTION("""COMPUTED_VALUE"""),1.1369331E7)</f>
        <v>11369331</v>
      </c>
    </row>
    <row r="7288">
      <c r="A7288" s="3">
        <f>IFERROR(__xludf.DUMMYFUNCTION("""COMPUTED_VALUE"""),39765.666666666664)</f>
        <v>39765.66667</v>
      </c>
      <c r="B7288" s="2">
        <f>IFERROR(__xludf.DUMMYFUNCTION("""COMPUTED_VALUE"""),76.05)</f>
        <v>76.05</v>
      </c>
      <c r="C7288" s="2">
        <f>IFERROR(__xludf.DUMMYFUNCTION("""COMPUTED_VALUE"""),80.61)</f>
        <v>80.61</v>
      </c>
      <c r="D7288" s="2">
        <f>IFERROR(__xludf.DUMMYFUNCTION("""COMPUTED_VALUE"""),72.02)</f>
        <v>72.02</v>
      </c>
      <c r="E7288" s="2">
        <f>IFERROR(__xludf.DUMMYFUNCTION("""COMPUTED_VALUE"""),80.43)</f>
        <v>80.43</v>
      </c>
      <c r="F7288" s="2">
        <f>IFERROR(__xludf.DUMMYFUNCTION("""COMPUTED_VALUE"""),1.510525E7)</f>
        <v>15105250</v>
      </c>
    </row>
    <row r="7289">
      <c r="A7289" s="3">
        <f>IFERROR(__xludf.DUMMYFUNCTION("""COMPUTED_VALUE"""),39766.666666666664)</f>
        <v>39766.66667</v>
      </c>
      <c r="B7289" s="2">
        <f>IFERROR(__xludf.DUMMYFUNCTION("""COMPUTED_VALUE"""),78.93)</f>
        <v>78.93</v>
      </c>
      <c r="C7289" s="2">
        <f>IFERROR(__xludf.DUMMYFUNCTION("""COMPUTED_VALUE"""),81.57)</f>
        <v>81.57</v>
      </c>
      <c r="D7289" s="2">
        <f>IFERROR(__xludf.DUMMYFUNCTION("""COMPUTED_VALUE"""),75.94)</f>
        <v>75.94</v>
      </c>
      <c r="E7289" s="2">
        <f>IFERROR(__xludf.DUMMYFUNCTION("""COMPUTED_VALUE"""),76.73)</f>
        <v>76.73</v>
      </c>
      <c r="F7289" s="2">
        <f>IFERROR(__xludf.DUMMYFUNCTION("""COMPUTED_VALUE"""),1.2025365E7)</f>
        <v>12025365</v>
      </c>
    </row>
    <row r="7290">
      <c r="A7290" s="3">
        <f>IFERROR(__xludf.DUMMYFUNCTION("""COMPUTED_VALUE"""),39769.666666666664)</f>
        <v>39769.66667</v>
      </c>
      <c r="B7290" s="2">
        <f>IFERROR(__xludf.DUMMYFUNCTION("""COMPUTED_VALUE"""),75.49)</f>
        <v>75.49</v>
      </c>
      <c r="C7290" s="2">
        <f>IFERROR(__xludf.DUMMYFUNCTION("""COMPUTED_VALUE"""),76.16)</f>
        <v>76.16</v>
      </c>
      <c r="D7290" s="2">
        <f>IFERROR(__xludf.DUMMYFUNCTION("""COMPUTED_VALUE"""),73.7)</f>
        <v>73.7</v>
      </c>
      <c r="E7290" s="2">
        <f>IFERROR(__xludf.DUMMYFUNCTION("""COMPUTED_VALUE"""),74.01)</f>
        <v>74.01</v>
      </c>
      <c r="F7290" s="2">
        <f>IFERROR(__xludf.DUMMYFUNCTION("""COMPUTED_VALUE"""),1.0324195E7)</f>
        <v>10324195</v>
      </c>
    </row>
    <row r="7291">
      <c r="A7291" s="3">
        <f>IFERROR(__xludf.DUMMYFUNCTION("""COMPUTED_VALUE"""),39770.666666666664)</f>
        <v>39770.66667</v>
      </c>
      <c r="B7291" s="2">
        <f>IFERROR(__xludf.DUMMYFUNCTION("""COMPUTED_VALUE"""),75.51)</f>
        <v>75.51</v>
      </c>
      <c r="C7291" s="2">
        <f>IFERROR(__xludf.DUMMYFUNCTION("""COMPUTED_VALUE"""),77.3)</f>
        <v>77.3</v>
      </c>
      <c r="D7291" s="2">
        <f>IFERROR(__xludf.DUMMYFUNCTION("""COMPUTED_VALUE"""),73.55)</f>
        <v>73.55</v>
      </c>
      <c r="E7291" s="2">
        <f>IFERROR(__xludf.DUMMYFUNCTION("""COMPUTED_VALUE"""),76.49)</f>
        <v>76.49</v>
      </c>
      <c r="F7291" s="2">
        <f>IFERROR(__xludf.DUMMYFUNCTION("""COMPUTED_VALUE"""),1.3051229E7)</f>
        <v>13051229</v>
      </c>
    </row>
    <row r="7292">
      <c r="A7292" s="3">
        <f>IFERROR(__xludf.DUMMYFUNCTION("""COMPUTED_VALUE"""),39771.666666666664)</f>
        <v>39771.66667</v>
      </c>
      <c r="B7292" s="2">
        <f>IFERROR(__xludf.DUMMYFUNCTION("""COMPUTED_VALUE"""),76.35)</f>
        <v>76.35</v>
      </c>
      <c r="C7292" s="2">
        <f>IFERROR(__xludf.DUMMYFUNCTION("""COMPUTED_VALUE"""),77.37)</f>
        <v>77.37</v>
      </c>
      <c r="D7292" s="2">
        <f>IFERROR(__xludf.DUMMYFUNCTION("""COMPUTED_VALUE"""),72.33)</f>
        <v>72.33</v>
      </c>
      <c r="E7292" s="2">
        <f>IFERROR(__xludf.DUMMYFUNCTION("""COMPUTED_VALUE"""),72.56)</f>
        <v>72.56</v>
      </c>
      <c r="F7292" s="2">
        <f>IFERROR(__xludf.DUMMYFUNCTION("""COMPUTED_VALUE"""),1.2606807E7)</f>
        <v>12606807</v>
      </c>
    </row>
    <row r="7293">
      <c r="A7293" s="3">
        <f>IFERROR(__xludf.DUMMYFUNCTION("""COMPUTED_VALUE"""),39772.666666666664)</f>
        <v>39772.66667</v>
      </c>
      <c r="B7293" s="2">
        <f>IFERROR(__xludf.DUMMYFUNCTION("""COMPUTED_VALUE"""),71.64)</f>
        <v>71.64</v>
      </c>
      <c r="C7293" s="2">
        <f>IFERROR(__xludf.DUMMYFUNCTION("""COMPUTED_VALUE"""),74.88)</f>
        <v>74.88</v>
      </c>
      <c r="D7293" s="2">
        <f>IFERROR(__xludf.DUMMYFUNCTION("""COMPUTED_VALUE"""),67.35)</f>
        <v>67.35</v>
      </c>
      <c r="E7293" s="2">
        <f>IFERROR(__xludf.DUMMYFUNCTION("""COMPUTED_VALUE"""),68.52)</f>
        <v>68.52</v>
      </c>
      <c r="F7293" s="2">
        <f>IFERROR(__xludf.DUMMYFUNCTION("""COMPUTED_VALUE"""),1.7634936E7)</f>
        <v>17634936</v>
      </c>
    </row>
    <row r="7294">
      <c r="A7294" s="3">
        <f>IFERROR(__xludf.DUMMYFUNCTION("""COMPUTED_VALUE"""),39773.666666666664)</f>
        <v>39773.66667</v>
      </c>
      <c r="B7294" s="2">
        <f>IFERROR(__xludf.DUMMYFUNCTION("""COMPUTED_VALUE"""),69.48)</f>
        <v>69.48</v>
      </c>
      <c r="C7294" s="2">
        <f>IFERROR(__xludf.DUMMYFUNCTION("""COMPUTED_VALUE"""),73.53)</f>
        <v>73.53</v>
      </c>
      <c r="D7294" s="2">
        <f>IFERROR(__xludf.DUMMYFUNCTION("""COMPUTED_VALUE"""),66.38)</f>
        <v>66.38</v>
      </c>
      <c r="E7294" s="2">
        <f>IFERROR(__xludf.DUMMYFUNCTION("""COMPUTED_VALUE"""),71.52)</f>
        <v>71.52</v>
      </c>
      <c r="F7294" s="2">
        <f>IFERROR(__xludf.DUMMYFUNCTION("""COMPUTED_VALUE"""),1.9804616E7)</f>
        <v>19804616</v>
      </c>
    </row>
    <row r="7295">
      <c r="A7295" s="3">
        <f>IFERROR(__xludf.DUMMYFUNCTION("""COMPUTED_VALUE"""),39776.666666666664)</f>
        <v>39776.66667</v>
      </c>
      <c r="B7295" s="2">
        <f>IFERROR(__xludf.DUMMYFUNCTION("""COMPUTED_VALUE"""),72.34)</f>
        <v>72.34</v>
      </c>
      <c r="C7295" s="2">
        <f>IFERROR(__xludf.DUMMYFUNCTION("""COMPUTED_VALUE"""),78.41)</f>
        <v>78.41</v>
      </c>
      <c r="D7295" s="2">
        <f>IFERROR(__xludf.DUMMYFUNCTION("""COMPUTED_VALUE"""),71.64)</f>
        <v>71.64</v>
      </c>
      <c r="E7295" s="2">
        <f>IFERROR(__xludf.DUMMYFUNCTION("""COMPUTED_VALUE"""),76.31)</f>
        <v>76.31</v>
      </c>
      <c r="F7295" s="2">
        <f>IFERROR(__xludf.DUMMYFUNCTION("""COMPUTED_VALUE"""),1.5023725E7)</f>
        <v>15023725</v>
      </c>
    </row>
    <row r="7296">
      <c r="A7296" s="3">
        <f>IFERROR(__xludf.DUMMYFUNCTION("""COMPUTED_VALUE"""),39777.666666666664)</f>
        <v>39777.66667</v>
      </c>
      <c r="B7296" s="2">
        <f>IFERROR(__xludf.DUMMYFUNCTION("""COMPUTED_VALUE"""),77.72)</f>
        <v>77.72</v>
      </c>
      <c r="C7296" s="2">
        <f>IFERROR(__xludf.DUMMYFUNCTION("""COMPUTED_VALUE"""),78.71)</f>
        <v>78.71</v>
      </c>
      <c r="D7296" s="2">
        <f>IFERROR(__xludf.DUMMYFUNCTION("""COMPUTED_VALUE"""),74.71)</f>
        <v>74.71</v>
      </c>
      <c r="E7296" s="2">
        <f>IFERROR(__xludf.DUMMYFUNCTION("""COMPUTED_VALUE"""),77.03)</f>
        <v>77.03</v>
      </c>
      <c r="F7296" s="2">
        <f>IFERROR(__xludf.DUMMYFUNCTION("""COMPUTED_VALUE"""),1.2519638E7)</f>
        <v>12519638</v>
      </c>
    </row>
    <row r="7297">
      <c r="A7297" s="3">
        <f>IFERROR(__xludf.DUMMYFUNCTION("""COMPUTED_VALUE"""),39778.666666666664)</f>
        <v>39778.66667</v>
      </c>
      <c r="B7297" s="2">
        <f>IFERROR(__xludf.DUMMYFUNCTION("""COMPUTED_VALUE"""),75.95)</f>
        <v>75.95</v>
      </c>
      <c r="C7297" s="2">
        <f>IFERROR(__xludf.DUMMYFUNCTION("""COMPUTED_VALUE"""),78.12)</f>
        <v>78.12</v>
      </c>
      <c r="D7297" s="2">
        <f>IFERROR(__xludf.DUMMYFUNCTION("""COMPUTED_VALUE"""),75.09)</f>
        <v>75.09</v>
      </c>
      <c r="E7297" s="2">
        <f>IFERROR(__xludf.DUMMYFUNCTION("""COMPUTED_VALUE"""),78.01)</f>
        <v>78.01</v>
      </c>
      <c r="F7297" s="2">
        <f>IFERROR(__xludf.DUMMYFUNCTION("""COMPUTED_VALUE"""),8240531.0)</f>
        <v>8240531</v>
      </c>
    </row>
    <row r="7298">
      <c r="A7298" s="3">
        <f>IFERROR(__xludf.DUMMYFUNCTION("""COMPUTED_VALUE"""),39780.666666666664)</f>
        <v>39780.66667</v>
      </c>
      <c r="B7298" s="2">
        <f>IFERROR(__xludf.DUMMYFUNCTION("""COMPUTED_VALUE"""),77.37)</f>
        <v>77.37</v>
      </c>
      <c r="C7298" s="2">
        <f>IFERROR(__xludf.DUMMYFUNCTION("""COMPUTED_VALUE"""),78.23)</f>
        <v>78.23</v>
      </c>
      <c r="D7298" s="2">
        <f>IFERROR(__xludf.DUMMYFUNCTION("""COMPUTED_VALUE"""),76.51)</f>
        <v>76.51</v>
      </c>
      <c r="E7298" s="2">
        <f>IFERROR(__xludf.DUMMYFUNCTION("""COMPUTED_VALUE"""),77.94)</f>
        <v>77.94</v>
      </c>
      <c r="F7298" s="2">
        <f>IFERROR(__xludf.DUMMYFUNCTION("""COMPUTED_VALUE"""),3908651.0)</f>
        <v>3908651</v>
      </c>
    </row>
    <row r="7299">
      <c r="A7299" s="3">
        <f>IFERROR(__xludf.DUMMYFUNCTION("""COMPUTED_VALUE"""),39783.666666666664)</f>
        <v>39783.66667</v>
      </c>
      <c r="B7299" s="2">
        <f>IFERROR(__xludf.DUMMYFUNCTION("""COMPUTED_VALUE"""),77.32)</f>
        <v>77.32</v>
      </c>
      <c r="C7299" s="2">
        <f>IFERROR(__xludf.DUMMYFUNCTION("""COMPUTED_VALUE"""),77.71)</f>
        <v>77.71</v>
      </c>
      <c r="D7299" s="2">
        <f>IFERROR(__xludf.DUMMYFUNCTION("""COMPUTED_VALUE"""),73.35)</f>
        <v>73.35</v>
      </c>
      <c r="E7299" s="2">
        <f>IFERROR(__xludf.DUMMYFUNCTION("""COMPUTED_VALUE"""),73.45)</f>
        <v>73.45</v>
      </c>
      <c r="F7299" s="2">
        <f>IFERROR(__xludf.DUMMYFUNCTION("""COMPUTED_VALUE"""),1.0264956E7)</f>
        <v>10264956</v>
      </c>
    </row>
    <row r="7300">
      <c r="A7300" s="3">
        <f>IFERROR(__xludf.DUMMYFUNCTION("""COMPUTED_VALUE"""),39784.666666666664)</f>
        <v>39784.66667</v>
      </c>
      <c r="B7300" s="2">
        <f>IFERROR(__xludf.DUMMYFUNCTION("""COMPUTED_VALUE"""),74.31)</f>
        <v>74.31</v>
      </c>
      <c r="C7300" s="2">
        <f>IFERROR(__xludf.DUMMYFUNCTION("""COMPUTED_VALUE"""),76.41)</f>
        <v>76.41</v>
      </c>
      <c r="D7300" s="2">
        <f>IFERROR(__xludf.DUMMYFUNCTION("""COMPUTED_VALUE"""),72.73)</f>
        <v>72.73</v>
      </c>
      <c r="E7300" s="2">
        <f>IFERROR(__xludf.DUMMYFUNCTION("""COMPUTED_VALUE"""),76.26)</f>
        <v>76.26</v>
      </c>
      <c r="F7300" s="2">
        <f>IFERROR(__xludf.DUMMYFUNCTION("""COMPUTED_VALUE"""),9305487.0)</f>
        <v>9305487</v>
      </c>
    </row>
    <row r="7301">
      <c r="A7301" s="3">
        <f>IFERROR(__xludf.DUMMYFUNCTION("""COMPUTED_VALUE"""),39785.666666666664)</f>
        <v>39785.66667</v>
      </c>
      <c r="B7301" s="2">
        <f>IFERROR(__xludf.DUMMYFUNCTION("""COMPUTED_VALUE"""),75.09)</f>
        <v>75.09</v>
      </c>
      <c r="C7301" s="2">
        <f>IFERROR(__xludf.DUMMYFUNCTION("""COMPUTED_VALUE"""),77.37)</f>
        <v>77.37</v>
      </c>
      <c r="D7301" s="2">
        <f>IFERROR(__xludf.DUMMYFUNCTION("""COMPUTED_VALUE"""),73.54)</f>
        <v>73.54</v>
      </c>
      <c r="E7301" s="2">
        <f>IFERROR(__xludf.DUMMYFUNCTION("""COMPUTED_VALUE"""),77.05)</f>
        <v>77.05</v>
      </c>
      <c r="F7301" s="2">
        <f>IFERROR(__xludf.DUMMYFUNCTION("""COMPUTED_VALUE"""),9757965.0)</f>
        <v>9757965</v>
      </c>
    </row>
    <row r="7302">
      <c r="A7302" s="3">
        <f>IFERROR(__xludf.DUMMYFUNCTION("""COMPUTED_VALUE"""),39786.666666666664)</f>
        <v>39786.66667</v>
      </c>
      <c r="B7302" s="2">
        <f>IFERROR(__xludf.DUMMYFUNCTION("""COMPUTED_VALUE"""),76.44)</f>
        <v>76.44</v>
      </c>
      <c r="C7302" s="2">
        <f>IFERROR(__xludf.DUMMYFUNCTION("""COMPUTED_VALUE"""),77.21)</f>
        <v>77.21</v>
      </c>
      <c r="D7302" s="2">
        <f>IFERROR(__xludf.DUMMYFUNCTION("""COMPUTED_VALUE"""),72.76)</f>
        <v>72.76</v>
      </c>
      <c r="E7302" s="2">
        <f>IFERROR(__xludf.DUMMYFUNCTION("""COMPUTED_VALUE"""),73.97)</f>
        <v>73.97</v>
      </c>
      <c r="F7302" s="2">
        <f>IFERROR(__xludf.DUMMYFUNCTION("""COMPUTED_VALUE"""),1.0914611E7)</f>
        <v>10914611</v>
      </c>
    </row>
    <row r="7303">
      <c r="A7303" s="3">
        <f>IFERROR(__xludf.DUMMYFUNCTION("""COMPUTED_VALUE"""),39787.666666666664)</f>
        <v>39787.66667</v>
      </c>
      <c r="B7303" s="2">
        <f>IFERROR(__xludf.DUMMYFUNCTION("""COMPUTED_VALUE"""),73.34)</f>
        <v>73.34</v>
      </c>
      <c r="C7303" s="2">
        <f>IFERROR(__xludf.DUMMYFUNCTION("""COMPUTED_VALUE"""),77.85)</f>
        <v>77.85</v>
      </c>
      <c r="D7303" s="2">
        <f>IFERROR(__xludf.DUMMYFUNCTION("""COMPUTED_VALUE"""),71.93)</f>
        <v>71.93</v>
      </c>
      <c r="E7303" s="2">
        <f>IFERROR(__xludf.DUMMYFUNCTION("""COMPUTED_VALUE"""),76.98)</f>
        <v>76.98</v>
      </c>
      <c r="F7303" s="2">
        <f>IFERROR(__xludf.DUMMYFUNCTION("""COMPUTED_VALUE"""),1.121194E7)</f>
        <v>11211940</v>
      </c>
    </row>
    <row r="7304">
      <c r="A7304" s="3">
        <f>IFERROR(__xludf.DUMMYFUNCTION("""COMPUTED_VALUE"""),39790.666666666664)</f>
        <v>39790.66667</v>
      </c>
      <c r="B7304" s="2">
        <f>IFERROR(__xludf.DUMMYFUNCTION("""COMPUTED_VALUE"""),78.87)</f>
        <v>78.87</v>
      </c>
      <c r="C7304" s="2">
        <f>IFERROR(__xludf.DUMMYFUNCTION("""COMPUTED_VALUE"""),82.03)</f>
        <v>82.03</v>
      </c>
      <c r="D7304" s="2">
        <f>IFERROR(__xludf.DUMMYFUNCTION("""COMPUTED_VALUE"""),78.07)</f>
        <v>78.07</v>
      </c>
      <c r="E7304" s="2">
        <f>IFERROR(__xludf.DUMMYFUNCTION("""COMPUTED_VALUE"""),81.06)</f>
        <v>81.06</v>
      </c>
      <c r="F7304" s="2">
        <f>IFERROR(__xludf.DUMMYFUNCTION("""COMPUTED_VALUE"""),1.117825E7)</f>
        <v>11178250</v>
      </c>
    </row>
    <row r="7305">
      <c r="A7305" s="3">
        <f>IFERROR(__xludf.DUMMYFUNCTION("""COMPUTED_VALUE"""),39791.666666666664)</f>
        <v>39791.66667</v>
      </c>
      <c r="B7305" s="2">
        <f>IFERROR(__xludf.DUMMYFUNCTION("""COMPUTED_VALUE"""),80.06)</f>
        <v>80.06</v>
      </c>
      <c r="C7305" s="2">
        <f>IFERROR(__xludf.DUMMYFUNCTION("""COMPUTED_VALUE"""),81.6)</f>
        <v>81.6</v>
      </c>
      <c r="D7305" s="2">
        <f>IFERROR(__xludf.DUMMYFUNCTION("""COMPUTED_VALUE"""),78.51)</f>
        <v>78.51</v>
      </c>
      <c r="E7305" s="2">
        <f>IFERROR(__xludf.DUMMYFUNCTION("""COMPUTED_VALUE"""),78.98)</f>
        <v>78.98</v>
      </c>
      <c r="F7305" s="2">
        <f>IFERROR(__xludf.DUMMYFUNCTION("""COMPUTED_VALUE"""),9359474.0)</f>
        <v>9359474</v>
      </c>
    </row>
    <row r="7306">
      <c r="A7306" s="3">
        <f>IFERROR(__xludf.DUMMYFUNCTION("""COMPUTED_VALUE"""),39792.666666666664)</f>
        <v>39792.66667</v>
      </c>
      <c r="B7306" s="2">
        <f>IFERROR(__xludf.DUMMYFUNCTION("""COMPUTED_VALUE"""),80.19)</f>
        <v>80.19</v>
      </c>
      <c r="C7306" s="2">
        <f>IFERROR(__xludf.DUMMYFUNCTION("""COMPUTED_VALUE"""),81.18)</f>
        <v>81.18</v>
      </c>
      <c r="D7306" s="2">
        <f>IFERROR(__xludf.DUMMYFUNCTION("""COMPUTED_VALUE"""),78.16)</f>
        <v>78.16</v>
      </c>
      <c r="E7306" s="2">
        <f>IFERROR(__xludf.DUMMYFUNCTION("""COMPUTED_VALUE"""),79.14)</f>
        <v>79.14</v>
      </c>
      <c r="F7306" s="2">
        <f>IFERROR(__xludf.DUMMYFUNCTION("""COMPUTED_VALUE"""),8187311.0)</f>
        <v>8187311</v>
      </c>
    </row>
    <row r="7307">
      <c r="A7307" s="3">
        <f>IFERROR(__xludf.DUMMYFUNCTION("""COMPUTED_VALUE"""),39793.666666666664)</f>
        <v>39793.66667</v>
      </c>
      <c r="B7307" s="2">
        <f>IFERROR(__xludf.DUMMYFUNCTION("""COMPUTED_VALUE"""),77.85)</f>
        <v>77.85</v>
      </c>
      <c r="C7307" s="2">
        <f>IFERROR(__xludf.DUMMYFUNCTION("""COMPUTED_VALUE"""),79.14)</f>
        <v>79.14</v>
      </c>
      <c r="D7307" s="2">
        <f>IFERROR(__xludf.DUMMYFUNCTION("""COMPUTED_VALUE"""),76.19)</f>
        <v>76.19</v>
      </c>
      <c r="E7307" s="2">
        <f>IFERROR(__xludf.DUMMYFUNCTION("""COMPUTED_VALUE"""),76.97)</f>
        <v>76.97</v>
      </c>
      <c r="F7307" s="2">
        <f>IFERROR(__xludf.DUMMYFUNCTION("""COMPUTED_VALUE"""),1.0687044E7)</f>
        <v>10687044</v>
      </c>
    </row>
    <row r="7308">
      <c r="A7308" s="3">
        <f>IFERROR(__xludf.DUMMYFUNCTION("""COMPUTED_VALUE"""),39794.666666666664)</f>
        <v>39794.66667</v>
      </c>
      <c r="B7308" s="2">
        <f>IFERROR(__xludf.DUMMYFUNCTION("""COMPUTED_VALUE"""),75.15)</f>
        <v>75.15</v>
      </c>
      <c r="C7308" s="2">
        <f>IFERROR(__xludf.DUMMYFUNCTION("""COMPUTED_VALUE"""),79.22)</f>
        <v>79.22</v>
      </c>
      <c r="D7308" s="2">
        <f>IFERROR(__xludf.DUMMYFUNCTION("""COMPUTED_VALUE"""),74.56)</f>
        <v>74.56</v>
      </c>
      <c r="E7308" s="2">
        <f>IFERROR(__xludf.DUMMYFUNCTION("""COMPUTED_VALUE"""),78.51)</f>
        <v>78.51</v>
      </c>
      <c r="F7308" s="2">
        <f>IFERROR(__xludf.DUMMYFUNCTION("""COMPUTED_VALUE"""),1.0383397E7)</f>
        <v>10383397</v>
      </c>
    </row>
    <row r="7309">
      <c r="A7309" s="3">
        <f>IFERROR(__xludf.DUMMYFUNCTION("""COMPUTED_VALUE"""),39797.666666666664)</f>
        <v>39797.66667</v>
      </c>
      <c r="B7309" s="2">
        <f>IFERROR(__xludf.DUMMYFUNCTION("""COMPUTED_VALUE"""),78.81)</f>
        <v>78.81</v>
      </c>
      <c r="C7309" s="2">
        <f>IFERROR(__xludf.DUMMYFUNCTION("""COMPUTED_VALUE"""),79.79)</f>
        <v>79.79</v>
      </c>
      <c r="D7309" s="2">
        <f>IFERROR(__xludf.DUMMYFUNCTION("""COMPUTED_VALUE"""),76.41)</f>
        <v>76.41</v>
      </c>
      <c r="E7309" s="2">
        <f>IFERROR(__xludf.DUMMYFUNCTION("""COMPUTED_VALUE"""),79.06)</f>
        <v>79.06</v>
      </c>
      <c r="F7309" s="2">
        <f>IFERROR(__xludf.DUMMYFUNCTION("""COMPUTED_VALUE"""),8848400.0)</f>
        <v>8848400</v>
      </c>
    </row>
    <row r="7310">
      <c r="A7310" s="3">
        <f>IFERROR(__xludf.DUMMYFUNCTION("""COMPUTED_VALUE"""),39798.666666666664)</f>
        <v>39798.66667</v>
      </c>
      <c r="B7310" s="2">
        <f>IFERROR(__xludf.DUMMYFUNCTION("""COMPUTED_VALUE"""),79.38)</f>
        <v>79.38</v>
      </c>
      <c r="C7310" s="2">
        <f>IFERROR(__xludf.DUMMYFUNCTION("""COMPUTED_VALUE"""),82.95)</f>
        <v>82.95</v>
      </c>
      <c r="D7310" s="2">
        <f>IFERROR(__xludf.DUMMYFUNCTION("""COMPUTED_VALUE"""),79.15)</f>
        <v>79.15</v>
      </c>
      <c r="E7310" s="2">
        <f>IFERROR(__xludf.DUMMYFUNCTION("""COMPUTED_VALUE"""),82.53)</f>
        <v>82.53</v>
      </c>
      <c r="F7310" s="2">
        <f>IFERROR(__xludf.DUMMYFUNCTION("""COMPUTED_VALUE"""),1.1574083E7)</f>
        <v>11574083</v>
      </c>
    </row>
    <row r="7311">
      <c r="A7311" s="3">
        <f>IFERROR(__xludf.DUMMYFUNCTION("""COMPUTED_VALUE"""),39799.666666666664)</f>
        <v>39799.66667</v>
      </c>
      <c r="B7311" s="2">
        <f>IFERROR(__xludf.DUMMYFUNCTION("""COMPUTED_VALUE"""),81.61)</f>
        <v>81.61</v>
      </c>
      <c r="C7311" s="2">
        <f>IFERROR(__xludf.DUMMYFUNCTION("""COMPUTED_VALUE"""),83.36)</f>
        <v>83.36</v>
      </c>
      <c r="D7311" s="2">
        <f>IFERROR(__xludf.DUMMYFUNCTION("""COMPUTED_VALUE"""),80.86)</f>
        <v>80.86</v>
      </c>
      <c r="E7311" s="2">
        <f>IFERROR(__xludf.DUMMYFUNCTION("""COMPUTED_VALUE"""),81.99)</f>
        <v>81.99</v>
      </c>
      <c r="F7311" s="2">
        <f>IFERROR(__xludf.DUMMYFUNCTION("""COMPUTED_VALUE"""),8778569.0)</f>
        <v>8778569</v>
      </c>
    </row>
    <row r="7312">
      <c r="A7312" s="3">
        <f>IFERROR(__xludf.DUMMYFUNCTION("""COMPUTED_VALUE"""),39800.666666666664)</f>
        <v>39800.66667</v>
      </c>
      <c r="B7312" s="2">
        <f>IFERROR(__xludf.DUMMYFUNCTION("""COMPUTED_VALUE"""),81.92)</f>
        <v>81.92</v>
      </c>
      <c r="C7312" s="2">
        <f>IFERROR(__xludf.DUMMYFUNCTION("""COMPUTED_VALUE"""),82.76)</f>
        <v>82.76</v>
      </c>
      <c r="D7312" s="2">
        <f>IFERROR(__xludf.DUMMYFUNCTION("""COMPUTED_VALUE"""),79.24)</f>
        <v>79.24</v>
      </c>
      <c r="E7312" s="2">
        <f>IFERROR(__xludf.DUMMYFUNCTION("""COMPUTED_VALUE"""),80.23)</f>
        <v>80.23</v>
      </c>
      <c r="F7312" s="2">
        <f>IFERROR(__xludf.DUMMYFUNCTION("""COMPUTED_VALUE"""),8030144.0)</f>
        <v>8030144</v>
      </c>
    </row>
    <row r="7313">
      <c r="A7313" s="3">
        <f>IFERROR(__xludf.DUMMYFUNCTION("""COMPUTED_VALUE"""),39801.666666666664)</f>
        <v>39801.66667</v>
      </c>
      <c r="B7313" s="2">
        <f>IFERROR(__xludf.DUMMYFUNCTION("""COMPUTED_VALUE"""),81.4)</f>
        <v>81.4</v>
      </c>
      <c r="C7313" s="2">
        <f>IFERROR(__xludf.DUMMYFUNCTION("""COMPUTED_VALUE"""),81.4)</f>
        <v>81.4</v>
      </c>
      <c r="D7313" s="2">
        <f>IFERROR(__xludf.DUMMYFUNCTION("""COMPUTED_VALUE"""),79.25)</f>
        <v>79.25</v>
      </c>
      <c r="E7313" s="2">
        <f>IFERROR(__xludf.DUMMYFUNCTION("""COMPUTED_VALUE"""),79.78)</f>
        <v>79.78</v>
      </c>
      <c r="F7313" s="2">
        <f>IFERROR(__xludf.DUMMYFUNCTION("""COMPUTED_VALUE"""),1.309943E7)</f>
        <v>13099430</v>
      </c>
    </row>
    <row r="7314">
      <c r="A7314" s="3">
        <f>IFERROR(__xludf.DUMMYFUNCTION("""COMPUTED_VALUE"""),39804.666666666664)</f>
        <v>39804.66667</v>
      </c>
      <c r="B7314" s="2">
        <f>IFERROR(__xludf.DUMMYFUNCTION("""COMPUTED_VALUE"""),79.54)</f>
        <v>79.54</v>
      </c>
      <c r="C7314" s="2">
        <f>IFERROR(__xludf.DUMMYFUNCTION("""COMPUTED_VALUE"""),79.71)</f>
        <v>79.71</v>
      </c>
      <c r="D7314" s="2">
        <f>IFERROR(__xludf.DUMMYFUNCTION("""COMPUTED_VALUE"""),76.72)</f>
        <v>76.72</v>
      </c>
      <c r="E7314" s="2">
        <f>IFERROR(__xludf.DUMMYFUNCTION("""COMPUTED_VALUE"""),78.31)</f>
        <v>78.31</v>
      </c>
      <c r="F7314" s="2">
        <f>IFERROR(__xludf.DUMMYFUNCTION("""COMPUTED_VALUE"""),7084949.0)</f>
        <v>7084949</v>
      </c>
    </row>
    <row r="7315">
      <c r="A7315" s="3">
        <f>IFERROR(__xludf.DUMMYFUNCTION("""COMPUTED_VALUE"""),39805.666666666664)</f>
        <v>39805.66667</v>
      </c>
      <c r="B7315" s="2">
        <f>IFERROR(__xludf.DUMMYFUNCTION("""COMPUTED_VALUE"""),78.66)</f>
        <v>78.66</v>
      </c>
      <c r="C7315" s="2">
        <f>IFERROR(__xludf.DUMMYFUNCTION("""COMPUTED_VALUE"""),79.1)</f>
        <v>79.1</v>
      </c>
      <c r="D7315" s="2">
        <f>IFERROR(__xludf.DUMMYFUNCTION("""COMPUTED_VALUE"""),76.54)</f>
        <v>76.54</v>
      </c>
      <c r="E7315" s="2">
        <f>IFERROR(__xludf.DUMMYFUNCTION("""COMPUTED_VALUE"""),76.99)</f>
        <v>76.99</v>
      </c>
      <c r="F7315" s="2">
        <f>IFERROR(__xludf.DUMMYFUNCTION("""COMPUTED_VALUE"""),6386299.0)</f>
        <v>6386299</v>
      </c>
    </row>
    <row r="7316">
      <c r="A7316" s="3">
        <f>IFERROR(__xludf.DUMMYFUNCTION("""COMPUTED_VALUE"""),39806.666666666664)</f>
        <v>39806.66667</v>
      </c>
      <c r="B7316" s="2">
        <f>IFERROR(__xludf.DUMMYFUNCTION("""COMPUTED_VALUE"""),76.94)</f>
        <v>76.94</v>
      </c>
      <c r="C7316" s="2">
        <f>IFERROR(__xludf.DUMMYFUNCTION("""COMPUTED_VALUE"""),77.58)</f>
        <v>77.58</v>
      </c>
      <c r="D7316" s="2">
        <f>IFERROR(__xludf.DUMMYFUNCTION("""COMPUTED_VALUE"""),76.34)</f>
        <v>76.34</v>
      </c>
      <c r="E7316" s="2">
        <f>IFERROR(__xludf.DUMMYFUNCTION("""COMPUTED_VALUE"""),76.91)</f>
        <v>76.91</v>
      </c>
      <c r="F7316" s="2">
        <f>IFERROR(__xludf.DUMMYFUNCTION("""COMPUTED_VALUE"""),2419543.0)</f>
        <v>2419543</v>
      </c>
    </row>
    <row r="7317">
      <c r="A7317" s="3">
        <f>IFERROR(__xludf.DUMMYFUNCTION("""COMPUTED_VALUE"""),39808.666666666664)</f>
        <v>39808.66667</v>
      </c>
      <c r="B7317" s="2">
        <f>IFERROR(__xludf.DUMMYFUNCTION("""COMPUTED_VALUE"""),77.3)</f>
        <v>77.3</v>
      </c>
      <c r="C7317" s="2">
        <f>IFERROR(__xludf.DUMMYFUNCTION("""COMPUTED_VALUE"""),78.13)</f>
        <v>78.13</v>
      </c>
      <c r="D7317" s="2">
        <f>IFERROR(__xludf.DUMMYFUNCTION("""COMPUTED_VALUE"""),76.94)</f>
        <v>76.94</v>
      </c>
      <c r="E7317" s="2">
        <f>IFERROR(__xludf.DUMMYFUNCTION("""COMPUTED_VALUE"""),77.68)</f>
        <v>77.68</v>
      </c>
      <c r="F7317" s="2">
        <f>IFERROR(__xludf.DUMMYFUNCTION("""COMPUTED_VALUE"""),3102677.0)</f>
        <v>3102677</v>
      </c>
    </row>
    <row r="7318">
      <c r="A7318" s="3">
        <f>IFERROR(__xludf.DUMMYFUNCTION("""COMPUTED_VALUE"""),39811.666666666664)</f>
        <v>39811.66667</v>
      </c>
      <c r="B7318" s="2">
        <f>IFERROR(__xludf.DUMMYFUNCTION("""COMPUTED_VALUE"""),78.06)</f>
        <v>78.06</v>
      </c>
      <c r="C7318" s="2">
        <f>IFERROR(__xludf.DUMMYFUNCTION("""COMPUTED_VALUE"""),78.06)</f>
        <v>78.06</v>
      </c>
      <c r="D7318" s="2">
        <f>IFERROR(__xludf.DUMMYFUNCTION("""COMPUTED_VALUE"""),76.11)</f>
        <v>76.11</v>
      </c>
      <c r="E7318" s="2">
        <f>IFERROR(__xludf.DUMMYFUNCTION("""COMPUTED_VALUE"""),77.61)</f>
        <v>77.61</v>
      </c>
      <c r="F7318" s="2">
        <f>IFERROR(__xludf.DUMMYFUNCTION("""COMPUTED_VALUE"""),6064693.0)</f>
        <v>6064693</v>
      </c>
    </row>
    <row r="7319">
      <c r="A7319" s="3">
        <f>IFERROR(__xludf.DUMMYFUNCTION("""COMPUTED_VALUE"""),39812.666666666664)</f>
        <v>39812.66667</v>
      </c>
      <c r="B7319" s="2">
        <f>IFERROR(__xludf.DUMMYFUNCTION("""COMPUTED_VALUE"""),78.16)</f>
        <v>78.16</v>
      </c>
      <c r="C7319" s="2">
        <f>IFERROR(__xludf.DUMMYFUNCTION("""COMPUTED_VALUE"""),79.89)</f>
        <v>79.89</v>
      </c>
      <c r="D7319" s="2">
        <f>IFERROR(__xludf.DUMMYFUNCTION("""COMPUTED_VALUE"""),77.86)</f>
        <v>77.86</v>
      </c>
      <c r="E7319" s="2">
        <f>IFERROR(__xludf.DUMMYFUNCTION("""COMPUTED_VALUE"""),79.8)</f>
        <v>79.8</v>
      </c>
      <c r="F7319" s="2">
        <f>IFERROR(__xludf.DUMMYFUNCTION("""COMPUTED_VALUE"""),5774769.0)</f>
        <v>5774769</v>
      </c>
    </row>
    <row r="7320">
      <c r="A7320" s="3">
        <f>IFERROR(__xludf.DUMMYFUNCTION("""COMPUTED_VALUE"""),39813.666666666664)</f>
        <v>39813.66667</v>
      </c>
      <c r="B7320" s="2">
        <f>IFERROR(__xludf.DUMMYFUNCTION("""COMPUTED_VALUE"""),79.76)</f>
        <v>79.76</v>
      </c>
      <c r="C7320" s="2">
        <f>IFERROR(__xludf.DUMMYFUNCTION("""COMPUTED_VALUE"""),81.19)</f>
        <v>81.19</v>
      </c>
      <c r="D7320" s="2">
        <f>IFERROR(__xludf.DUMMYFUNCTION("""COMPUTED_VALUE"""),79.76)</f>
        <v>79.76</v>
      </c>
      <c r="E7320" s="2">
        <f>IFERROR(__xludf.DUMMYFUNCTION("""COMPUTED_VALUE"""),80.39)</f>
        <v>80.39</v>
      </c>
      <c r="F7320" s="2">
        <f>IFERROR(__xludf.DUMMYFUNCTION("""COMPUTED_VALUE"""),6667617.0)</f>
        <v>6667617</v>
      </c>
    </row>
    <row r="7321">
      <c r="A7321" s="3">
        <f>IFERROR(__xludf.DUMMYFUNCTION("""COMPUTED_VALUE"""),39815.666666666664)</f>
        <v>39815.66667</v>
      </c>
      <c r="B7321" s="2">
        <f>IFERROR(__xludf.DUMMYFUNCTION("""COMPUTED_VALUE"""),80.13)</f>
        <v>80.13</v>
      </c>
      <c r="C7321" s="2">
        <f>IFERROR(__xludf.DUMMYFUNCTION("""COMPUTED_VALUE"""),83.66)</f>
        <v>83.66</v>
      </c>
      <c r="D7321" s="2">
        <f>IFERROR(__xludf.DUMMYFUNCTION("""COMPUTED_VALUE"""),80.13)</f>
        <v>80.13</v>
      </c>
      <c r="E7321" s="2">
        <f>IFERROR(__xludf.DUMMYFUNCTION("""COMPUTED_VALUE"""),83.45)</f>
        <v>83.45</v>
      </c>
      <c r="F7321" s="2">
        <f>IFERROR(__xludf.DUMMYFUNCTION("""COMPUTED_VALUE"""),7558627.0)</f>
        <v>7558627</v>
      </c>
    </row>
    <row r="7322">
      <c r="A7322" s="3">
        <f>IFERROR(__xludf.DUMMYFUNCTION("""COMPUTED_VALUE"""),39818.666666666664)</f>
        <v>39818.66667</v>
      </c>
      <c r="B7322" s="2">
        <f>IFERROR(__xludf.DUMMYFUNCTION("""COMPUTED_VALUE"""),82.55)</f>
        <v>82.55</v>
      </c>
      <c r="C7322" s="2">
        <f>IFERROR(__xludf.DUMMYFUNCTION("""COMPUTED_VALUE"""),83.74)</f>
        <v>83.74</v>
      </c>
      <c r="D7322" s="2">
        <f>IFERROR(__xludf.DUMMYFUNCTION("""COMPUTED_VALUE"""),82.32)</f>
        <v>82.32</v>
      </c>
      <c r="E7322" s="2">
        <f>IFERROR(__xludf.DUMMYFUNCTION("""COMPUTED_VALUE"""),82.93)</f>
        <v>82.93</v>
      </c>
      <c r="F7322" s="2">
        <f>IFERROR(__xludf.DUMMYFUNCTION("""COMPUTED_VALUE"""),8316217.0)</f>
        <v>8316217</v>
      </c>
    </row>
    <row r="7323">
      <c r="A7323" s="3">
        <f>IFERROR(__xludf.DUMMYFUNCTION("""COMPUTED_VALUE"""),39819.666666666664)</f>
        <v>39819.66667</v>
      </c>
      <c r="B7323" s="2">
        <f>IFERROR(__xludf.DUMMYFUNCTION("""COMPUTED_VALUE"""),83.2)</f>
        <v>83.2</v>
      </c>
      <c r="C7323" s="2">
        <f>IFERROR(__xludf.DUMMYFUNCTION("""COMPUTED_VALUE"""),86.36)</f>
        <v>86.36</v>
      </c>
      <c r="D7323" s="2">
        <f>IFERROR(__xludf.DUMMYFUNCTION("""COMPUTED_VALUE"""),82.5)</f>
        <v>82.5</v>
      </c>
      <c r="E7323" s="2">
        <f>IFERROR(__xludf.DUMMYFUNCTION("""COMPUTED_VALUE"""),85.23)</f>
        <v>85.23</v>
      </c>
      <c r="F7323" s="2">
        <f>IFERROR(__xludf.DUMMYFUNCTION("""COMPUTED_VALUE"""),9653234.0)</f>
        <v>9653234</v>
      </c>
    </row>
    <row r="7324">
      <c r="A7324" s="3">
        <f>IFERROR(__xludf.DUMMYFUNCTION("""COMPUTED_VALUE"""),39820.666666666664)</f>
        <v>39820.66667</v>
      </c>
      <c r="B7324" s="2">
        <f>IFERROR(__xludf.DUMMYFUNCTION("""COMPUTED_VALUE"""),83.89)</f>
        <v>83.89</v>
      </c>
      <c r="C7324" s="2">
        <f>IFERROR(__xludf.DUMMYFUNCTION("""COMPUTED_VALUE"""),84.82)</f>
        <v>84.82</v>
      </c>
      <c r="D7324" s="2">
        <f>IFERROR(__xludf.DUMMYFUNCTION("""COMPUTED_VALUE"""),83.21)</f>
        <v>83.21</v>
      </c>
      <c r="E7324" s="2">
        <f>IFERROR(__xludf.DUMMYFUNCTION("""COMPUTED_VALUE"""),83.85)</f>
        <v>83.85</v>
      </c>
      <c r="F7324" s="2">
        <f>IFERROR(__xludf.DUMMYFUNCTION("""COMPUTED_VALUE"""),8455680.0)</f>
        <v>8455680</v>
      </c>
    </row>
    <row r="7325">
      <c r="A7325" s="3">
        <f>IFERROR(__xludf.DUMMYFUNCTION("""COMPUTED_VALUE"""),39821.666666666664)</f>
        <v>39821.66667</v>
      </c>
      <c r="B7325" s="2">
        <f>IFERROR(__xludf.DUMMYFUNCTION("""COMPUTED_VALUE"""),83.87)</f>
        <v>83.87</v>
      </c>
      <c r="C7325" s="2">
        <f>IFERROR(__xludf.DUMMYFUNCTION("""COMPUTED_VALUE"""),84.19)</f>
        <v>84.19</v>
      </c>
      <c r="D7325" s="2">
        <f>IFERROR(__xludf.DUMMYFUNCTION("""COMPUTED_VALUE"""),82.13)</f>
        <v>82.13</v>
      </c>
      <c r="E7325" s="2">
        <f>IFERROR(__xludf.DUMMYFUNCTION("""COMPUTED_VALUE"""),83.27)</f>
        <v>83.27</v>
      </c>
      <c r="F7325" s="2">
        <f>IFERROR(__xludf.DUMMYFUNCTION("""COMPUTED_VALUE"""),7231753.0)</f>
        <v>7231753</v>
      </c>
    </row>
    <row r="7326">
      <c r="A7326" s="3">
        <f>IFERROR(__xludf.DUMMYFUNCTION("""COMPUTED_VALUE"""),39822.666666666664)</f>
        <v>39822.66667</v>
      </c>
      <c r="B7326" s="2">
        <f>IFERROR(__xludf.DUMMYFUNCTION("""COMPUTED_VALUE"""),83.15)</f>
        <v>83.15</v>
      </c>
      <c r="C7326" s="2">
        <f>IFERROR(__xludf.DUMMYFUNCTION("""COMPUTED_VALUE"""),83.58)</f>
        <v>83.58</v>
      </c>
      <c r="D7326" s="2">
        <f>IFERROR(__xludf.DUMMYFUNCTION("""COMPUTED_VALUE"""),80.47)</f>
        <v>80.47</v>
      </c>
      <c r="E7326" s="2">
        <f>IFERROR(__xludf.DUMMYFUNCTION("""COMPUTED_VALUE"""),80.9)</f>
        <v>80.9</v>
      </c>
      <c r="F7326" s="2">
        <f>IFERROR(__xludf.DUMMYFUNCTION("""COMPUTED_VALUE"""),7440555.0)</f>
        <v>7440555</v>
      </c>
    </row>
    <row r="7327">
      <c r="A7327" s="3">
        <f>IFERROR(__xludf.DUMMYFUNCTION("""COMPUTED_VALUE"""),39825.666666666664)</f>
        <v>39825.66667</v>
      </c>
      <c r="B7327" s="2">
        <f>IFERROR(__xludf.DUMMYFUNCTION("""COMPUTED_VALUE"""),80.78)</f>
        <v>80.78</v>
      </c>
      <c r="C7327" s="2">
        <f>IFERROR(__xludf.DUMMYFUNCTION("""COMPUTED_VALUE"""),82.72)</f>
        <v>82.72</v>
      </c>
      <c r="D7327" s="2">
        <f>IFERROR(__xludf.DUMMYFUNCTION("""COMPUTED_VALUE"""),80.63)</f>
        <v>80.63</v>
      </c>
      <c r="E7327" s="2">
        <f>IFERROR(__xludf.DUMMYFUNCTION("""COMPUTED_VALUE"""),81.87)</f>
        <v>81.87</v>
      </c>
      <c r="F7327" s="2">
        <f>IFERROR(__xludf.DUMMYFUNCTION("""COMPUTED_VALUE"""),8072871.0)</f>
        <v>8072871</v>
      </c>
    </row>
    <row r="7328">
      <c r="A7328" s="3">
        <f>IFERROR(__xludf.DUMMYFUNCTION("""COMPUTED_VALUE"""),39826.666666666664)</f>
        <v>39826.66667</v>
      </c>
      <c r="B7328" s="2">
        <f>IFERROR(__xludf.DUMMYFUNCTION("""COMPUTED_VALUE"""),81.67)</f>
        <v>81.67</v>
      </c>
      <c r="C7328" s="2">
        <f>IFERROR(__xludf.DUMMYFUNCTION("""COMPUTED_VALUE"""),82.71)</f>
        <v>82.71</v>
      </c>
      <c r="D7328" s="2">
        <f>IFERROR(__xludf.DUMMYFUNCTION("""COMPUTED_VALUE"""),80.99)</f>
        <v>80.99</v>
      </c>
      <c r="E7328" s="2">
        <f>IFERROR(__xludf.DUMMYFUNCTION("""COMPUTED_VALUE"""),81.51)</f>
        <v>81.51</v>
      </c>
      <c r="F7328" s="2">
        <f>IFERROR(__xludf.DUMMYFUNCTION("""COMPUTED_VALUE"""),7657127.0)</f>
        <v>7657127</v>
      </c>
    </row>
    <row r="7329">
      <c r="A7329" s="3">
        <f>IFERROR(__xludf.DUMMYFUNCTION("""COMPUTED_VALUE"""),39827.666666666664)</f>
        <v>39827.66667</v>
      </c>
      <c r="B7329" s="2">
        <f>IFERROR(__xludf.DUMMYFUNCTION("""COMPUTED_VALUE"""),80.42)</f>
        <v>80.42</v>
      </c>
      <c r="C7329" s="2">
        <f>IFERROR(__xludf.DUMMYFUNCTION("""COMPUTED_VALUE"""),81.02)</f>
        <v>81.02</v>
      </c>
      <c r="D7329" s="2">
        <f>IFERROR(__xludf.DUMMYFUNCTION("""COMPUTED_VALUE"""),78.43)</f>
        <v>78.43</v>
      </c>
      <c r="E7329" s="2">
        <f>IFERROR(__xludf.DUMMYFUNCTION("""COMPUTED_VALUE"""),79.46)</f>
        <v>79.46</v>
      </c>
      <c r="F7329" s="2">
        <f>IFERROR(__xludf.DUMMYFUNCTION("""COMPUTED_VALUE"""),9470642.0)</f>
        <v>9470642</v>
      </c>
    </row>
    <row r="7330">
      <c r="A7330" s="3">
        <f>IFERROR(__xludf.DUMMYFUNCTION("""COMPUTED_VALUE"""),39828.666666666664)</f>
        <v>39828.66667</v>
      </c>
      <c r="B7330" s="2">
        <f>IFERROR(__xludf.DUMMYFUNCTION("""COMPUTED_VALUE"""),79.86)</f>
        <v>79.86</v>
      </c>
      <c r="C7330" s="2">
        <f>IFERROR(__xludf.DUMMYFUNCTION("""COMPUTED_VALUE"""),81.03)</f>
        <v>81.03</v>
      </c>
      <c r="D7330" s="2">
        <f>IFERROR(__xludf.DUMMYFUNCTION("""COMPUTED_VALUE"""),78.57)</f>
        <v>78.57</v>
      </c>
      <c r="E7330" s="2">
        <f>IFERROR(__xludf.DUMMYFUNCTION("""COMPUTED_VALUE"""),80.35)</f>
        <v>80.35</v>
      </c>
      <c r="F7330" s="2">
        <f>IFERROR(__xludf.DUMMYFUNCTION("""COMPUTED_VALUE"""),1.1735223E7)</f>
        <v>11735223</v>
      </c>
    </row>
    <row r="7331">
      <c r="A7331" s="3">
        <f>IFERROR(__xludf.DUMMYFUNCTION("""COMPUTED_VALUE"""),39829.666666666664)</f>
        <v>39829.66667</v>
      </c>
      <c r="B7331" s="2">
        <f>IFERROR(__xludf.DUMMYFUNCTION("""COMPUTED_VALUE"""),80.82)</f>
        <v>80.82</v>
      </c>
      <c r="C7331" s="2">
        <f>IFERROR(__xludf.DUMMYFUNCTION("""COMPUTED_VALUE"""),81.9)</f>
        <v>81.9</v>
      </c>
      <c r="D7331" s="2">
        <f>IFERROR(__xludf.DUMMYFUNCTION("""COMPUTED_VALUE"""),79.36)</f>
        <v>79.36</v>
      </c>
      <c r="E7331" s="2">
        <f>IFERROR(__xludf.DUMMYFUNCTION("""COMPUTED_VALUE"""),81.11)</f>
        <v>81.11</v>
      </c>
      <c r="F7331" s="2">
        <f>IFERROR(__xludf.DUMMYFUNCTION("""COMPUTED_VALUE"""),1.124558E7)</f>
        <v>11245580</v>
      </c>
    </row>
    <row r="7332">
      <c r="A7332" s="3">
        <f>IFERROR(__xludf.DUMMYFUNCTION("""COMPUTED_VALUE"""),39833.666666666664)</f>
        <v>39833.66667</v>
      </c>
      <c r="B7332" s="2">
        <f>IFERROR(__xludf.DUMMYFUNCTION("""COMPUTED_VALUE"""),80.96)</f>
        <v>80.96</v>
      </c>
      <c r="C7332" s="2">
        <f>IFERROR(__xludf.DUMMYFUNCTION("""COMPUTED_VALUE"""),81.11)</f>
        <v>81.11</v>
      </c>
      <c r="D7332" s="2">
        <f>IFERROR(__xludf.DUMMYFUNCTION("""COMPUTED_VALUE"""),78.09)</f>
        <v>78.09</v>
      </c>
      <c r="E7332" s="2">
        <f>IFERROR(__xludf.DUMMYFUNCTION("""COMPUTED_VALUE"""),78.3)</f>
        <v>78.3</v>
      </c>
      <c r="F7332" s="2">
        <f>IFERROR(__xludf.DUMMYFUNCTION("""COMPUTED_VALUE"""),1.3840227E7)</f>
        <v>13840227</v>
      </c>
    </row>
    <row r="7333">
      <c r="A7333" s="3">
        <f>IFERROR(__xludf.DUMMYFUNCTION("""COMPUTED_VALUE"""),39834.666666666664)</f>
        <v>39834.66667</v>
      </c>
      <c r="B7333" s="2">
        <f>IFERROR(__xludf.DUMMYFUNCTION("""COMPUTED_VALUE"""),82.42)</f>
        <v>82.42</v>
      </c>
      <c r="C7333" s="2">
        <f>IFERROR(__xludf.DUMMYFUNCTION("""COMPUTED_VALUE"""),87.49)</f>
        <v>87.49</v>
      </c>
      <c r="D7333" s="2">
        <f>IFERROR(__xludf.DUMMYFUNCTION("""COMPUTED_VALUE"""),82.14)</f>
        <v>82.14</v>
      </c>
      <c r="E7333" s="2">
        <f>IFERROR(__xludf.DUMMYFUNCTION("""COMPUTED_VALUE"""),87.32)</f>
        <v>87.32</v>
      </c>
      <c r="F7333" s="2">
        <f>IFERROR(__xludf.DUMMYFUNCTION("""COMPUTED_VALUE"""),2.4908524E7)</f>
        <v>24908524</v>
      </c>
    </row>
    <row r="7334">
      <c r="A7334" s="3">
        <f>IFERROR(__xludf.DUMMYFUNCTION("""COMPUTED_VALUE"""),39835.666666666664)</f>
        <v>39835.66667</v>
      </c>
      <c r="B7334" s="2">
        <f>IFERROR(__xludf.DUMMYFUNCTION("""COMPUTED_VALUE"""),85.8)</f>
        <v>85.8</v>
      </c>
      <c r="C7334" s="2">
        <f>IFERROR(__xludf.DUMMYFUNCTION("""COMPUTED_VALUE"""),86.67)</f>
        <v>86.67</v>
      </c>
      <c r="D7334" s="2">
        <f>IFERROR(__xludf.DUMMYFUNCTION("""COMPUTED_VALUE"""),84.16)</f>
        <v>84.16</v>
      </c>
      <c r="E7334" s="2">
        <f>IFERROR(__xludf.DUMMYFUNCTION("""COMPUTED_VALUE"""),86.03)</f>
        <v>86.03</v>
      </c>
      <c r="F7334" s="2">
        <f>IFERROR(__xludf.DUMMYFUNCTION("""COMPUTED_VALUE"""),1.2351422E7)</f>
        <v>12351422</v>
      </c>
    </row>
    <row r="7335">
      <c r="A7335" s="3">
        <f>IFERROR(__xludf.DUMMYFUNCTION("""COMPUTED_VALUE"""),39836.666666666664)</f>
        <v>39836.66667</v>
      </c>
      <c r="B7335" s="2">
        <f>IFERROR(__xludf.DUMMYFUNCTION("""COMPUTED_VALUE"""),84.44)</f>
        <v>84.44</v>
      </c>
      <c r="C7335" s="2">
        <f>IFERROR(__xludf.DUMMYFUNCTION("""COMPUTED_VALUE"""),86.63)</f>
        <v>86.63</v>
      </c>
      <c r="D7335" s="2">
        <f>IFERROR(__xludf.DUMMYFUNCTION("""COMPUTED_VALUE"""),83.87)</f>
        <v>83.87</v>
      </c>
      <c r="E7335" s="2">
        <f>IFERROR(__xludf.DUMMYFUNCTION("""COMPUTED_VALUE"""),85.48)</f>
        <v>85.48</v>
      </c>
      <c r="F7335" s="2">
        <f>IFERROR(__xludf.DUMMYFUNCTION("""COMPUTED_VALUE"""),1.0256388E7)</f>
        <v>10256388</v>
      </c>
    </row>
    <row r="7336">
      <c r="A7336" s="3">
        <f>IFERROR(__xludf.DUMMYFUNCTION("""COMPUTED_VALUE"""),39839.666666666664)</f>
        <v>39839.66667</v>
      </c>
      <c r="B7336" s="2">
        <f>IFERROR(__xludf.DUMMYFUNCTION("""COMPUTED_VALUE"""),85.75)</f>
        <v>85.75</v>
      </c>
      <c r="C7336" s="2">
        <f>IFERROR(__xludf.DUMMYFUNCTION("""COMPUTED_VALUE"""),88.52)</f>
        <v>88.52</v>
      </c>
      <c r="D7336" s="2">
        <f>IFERROR(__xludf.DUMMYFUNCTION("""COMPUTED_VALUE"""),85.51)</f>
        <v>85.51</v>
      </c>
      <c r="E7336" s="2">
        <f>IFERROR(__xludf.DUMMYFUNCTION("""COMPUTED_VALUE"""),87.49)</f>
        <v>87.49</v>
      </c>
      <c r="F7336" s="2">
        <f>IFERROR(__xludf.DUMMYFUNCTION("""COMPUTED_VALUE"""),9841875.0)</f>
        <v>9841875</v>
      </c>
    </row>
    <row r="7337">
      <c r="A7337" s="3">
        <f>IFERROR(__xludf.DUMMYFUNCTION("""COMPUTED_VALUE"""),39840.666666666664)</f>
        <v>39840.66667</v>
      </c>
      <c r="B7337" s="2">
        <f>IFERROR(__xludf.DUMMYFUNCTION("""COMPUTED_VALUE"""),87.66)</f>
        <v>87.66</v>
      </c>
      <c r="C7337" s="2">
        <f>IFERROR(__xludf.DUMMYFUNCTION("""COMPUTED_VALUE"""),87.85)</f>
        <v>87.85</v>
      </c>
      <c r="D7337" s="2">
        <f>IFERROR(__xludf.DUMMYFUNCTION("""COMPUTED_VALUE"""),86.44)</f>
        <v>86.44</v>
      </c>
      <c r="E7337" s="2">
        <f>IFERROR(__xludf.DUMMYFUNCTION("""COMPUTED_VALUE"""),87.55)</f>
        <v>87.55</v>
      </c>
      <c r="F7337" s="2">
        <f>IFERROR(__xludf.DUMMYFUNCTION("""COMPUTED_VALUE"""),8721601.0)</f>
        <v>8721601</v>
      </c>
    </row>
    <row r="7338">
      <c r="A7338" s="3">
        <f>IFERROR(__xludf.DUMMYFUNCTION("""COMPUTED_VALUE"""),39841.666666666664)</f>
        <v>39841.66667</v>
      </c>
      <c r="B7338" s="2">
        <f>IFERROR(__xludf.DUMMYFUNCTION("""COMPUTED_VALUE"""),88.54)</f>
        <v>88.54</v>
      </c>
      <c r="C7338" s="2">
        <f>IFERROR(__xludf.DUMMYFUNCTION("""COMPUTED_VALUE"""),90.68)</f>
        <v>90.68</v>
      </c>
      <c r="D7338" s="2">
        <f>IFERROR(__xludf.DUMMYFUNCTION("""COMPUTED_VALUE"""),87.79)</f>
        <v>87.79</v>
      </c>
      <c r="E7338" s="2">
        <f>IFERROR(__xludf.DUMMYFUNCTION("""COMPUTED_VALUE"""),90.57)</f>
        <v>90.57</v>
      </c>
      <c r="F7338" s="2">
        <f>IFERROR(__xludf.DUMMYFUNCTION("""COMPUTED_VALUE"""),1.3412453E7)</f>
        <v>13412453</v>
      </c>
    </row>
    <row r="7339">
      <c r="A7339" s="3">
        <f>IFERROR(__xludf.DUMMYFUNCTION("""COMPUTED_VALUE"""),39842.666666666664)</f>
        <v>39842.66667</v>
      </c>
      <c r="B7339" s="2">
        <f>IFERROR(__xludf.DUMMYFUNCTION("""COMPUTED_VALUE"""),89.38)</f>
        <v>89.38</v>
      </c>
      <c r="C7339" s="2">
        <f>IFERROR(__xludf.DUMMYFUNCTION("""COMPUTED_VALUE"""),90.34)</f>
        <v>90.34</v>
      </c>
      <c r="D7339" s="2">
        <f>IFERROR(__xludf.DUMMYFUNCTION("""COMPUTED_VALUE"""),87.89)</f>
        <v>87.89</v>
      </c>
      <c r="E7339" s="2">
        <f>IFERROR(__xludf.DUMMYFUNCTION("""COMPUTED_VALUE"""),88.36)</f>
        <v>88.36</v>
      </c>
      <c r="F7339" s="2">
        <f>IFERROR(__xludf.DUMMYFUNCTION("""COMPUTED_VALUE"""),9234105.0)</f>
        <v>9234105</v>
      </c>
    </row>
    <row r="7340">
      <c r="A7340" s="3">
        <f>IFERROR(__xludf.DUMMYFUNCTION("""COMPUTED_VALUE"""),39843.666666666664)</f>
        <v>39843.66667</v>
      </c>
      <c r="B7340" s="2">
        <f>IFERROR(__xludf.DUMMYFUNCTION("""COMPUTED_VALUE"""),88.09)</f>
        <v>88.09</v>
      </c>
      <c r="C7340" s="2">
        <f>IFERROR(__xludf.DUMMYFUNCTION("""COMPUTED_VALUE"""),89.29)</f>
        <v>89.29</v>
      </c>
      <c r="D7340" s="2">
        <f>IFERROR(__xludf.DUMMYFUNCTION("""COMPUTED_VALUE"""),87.16)</f>
        <v>87.16</v>
      </c>
      <c r="E7340" s="2">
        <f>IFERROR(__xludf.DUMMYFUNCTION("""COMPUTED_VALUE"""),87.54)</f>
        <v>87.54</v>
      </c>
      <c r="F7340" s="2">
        <f>IFERROR(__xludf.DUMMYFUNCTION("""COMPUTED_VALUE"""),9617163.0)</f>
        <v>9617163</v>
      </c>
    </row>
    <row r="7341">
      <c r="A7341" s="3">
        <f>IFERROR(__xludf.DUMMYFUNCTION("""COMPUTED_VALUE"""),39846.666666666664)</f>
        <v>39846.66667</v>
      </c>
      <c r="B7341" s="2">
        <f>IFERROR(__xludf.DUMMYFUNCTION("""COMPUTED_VALUE"""),86.54)</f>
        <v>86.54</v>
      </c>
      <c r="C7341" s="2">
        <f>IFERROR(__xludf.DUMMYFUNCTION("""COMPUTED_VALUE"""),87.74)</f>
        <v>87.74</v>
      </c>
      <c r="D7341" s="2">
        <f>IFERROR(__xludf.DUMMYFUNCTION("""COMPUTED_VALUE"""),85.67)</f>
        <v>85.67</v>
      </c>
      <c r="E7341" s="2">
        <f>IFERROR(__xludf.DUMMYFUNCTION("""COMPUTED_VALUE"""),86.85)</f>
        <v>86.85</v>
      </c>
      <c r="F7341" s="2">
        <f>IFERROR(__xludf.DUMMYFUNCTION("""COMPUTED_VALUE"""),9926980.0)</f>
        <v>9926980</v>
      </c>
    </row>
    <row r="7342">
      <c r="A7342" s="3">
        <f>IFERROR(__xludf.DUMMYFUNCTION("""COMPUTED_VALUE"""),39847.666666666664)</f>
        <v>39847.66667</v>
      </c>
      <c r="B7342" s="2">
        <f>IFERROR(__xludf.DUMMYFUNCTION("""COMPUTED_VALUE"""),86.99)</f>
        <v>86.99</v>
      </c>
      <c r="C7342" s="2">
        <f>IFERROR(__xludf.DUMMYFUNCTION("""COMPUTED_VALUE"""),89.53)</f>
        <v>89.53</v>
      </c>
      <c r="D7342" s="2">
        <f>IFERROR(__xludf.DUMMYFUNCTION("""COMPUTED_VALUE"""),86.12)</f>
        <v>86.12</v>
      </c>
      <c r="E7342" s="2">
        <f>IFERROR(__xludf.DUMMYFUNCTION("""COMPUTED_VALUE"""),89.29)</f>
        <v>89.29</v>
      </c>
      <c r="F7342" s="2">
        <f>IFERROR(__xludf.DUMMYFUNCTION("""COMPUTED_VALUE"""),8866773.0)</f>
        <v>8866773</v>
      </c>
    </row>
    <row r="7343">
      <c r="A7343" s="3">
        <f>IFERROR(__xludf.DUMMYFUNCTION("""COMPUTED_VALUE"""),39848.666666666664)</f>
        <v>39848.66667</v>
      </c>
      <c r="B7343" s="2">
        <f>IFERROR(__xludf.DUMMYFUNCTION("""COMPUTED_VALUE"""),89.54)</f>
        <v>89.54</v>
      </c>
      <c r="C7343" s="2">
        <f>IFERROR(__xludf.DUMMYFUNCTION("""COMPUTED_VALUE"""),90.65)</f>
        <v>90.65</v>
      </c>
      <c r="D7343" s="2">
        <f>IFERROR(__xludf.DUMMYFUNCTION("""COMPUTED_VALUE"""),87.7)</f>
        <v>87.7</v>
      </c>
      <c r="E7343" s="2">
        <f>IFERROR(__xludf.DUMMYFUNCTION("""COMPUTED_VALUE"""),88.67)</f>
        <v>88.67</v>
      </c>
      <c r="F7343" s="2">
        <f>IFERROR(__xludf.DUMMYFUNCTION("""COMPUTED_VALUE"""),1.0191929E7)</f>
        <v>10191929</v>
      </c>
    </row>
    <row r="7344">
      <c r="A7344" s="3">
        <f>IFERROR(__xludf.DUMMYFUNCTION("""COMPUTED_VALUE"""),39849.666666666664)</f>
        <v>39849.66667</v>
      </c>
      <c r="B7344" s="2">
        <f>IFERROR(__xludf.DUMMYFUNCTION("""COMPUTED_VALUE"""),88.0)</f>
        <v>88</v>
      </c>
      <c r="C7344" s="2">
        <f>IFERROR(__xludf.DUMMYFUNCTION("""COMPUTED_VALUE"""),89.02)</f>
        <v>89.02</v>
      </c>
      <c r="D7344" s="2">
        <f>IFERROR(__xludf.DUMMYFUNCTION("""COMPUTED_VALUE"""),87.13)</f>
        <v>87.13</v>
      </c>
      <c r="E7344" s="2">
        <f>IFERROR(__xludf.DUMMYFUNCTION("""COMPUTED_VALUE"""),88.27)</f>
        <v>88.27</v>
      </c>
      <c r="F7344" s="2">
        <f>IFERROR(__xludf.DUMMYFUNCTION("""COMPUTED_VALUE"""),1.1622861E7)</f>
        <v>11622861</v>
      </c>
    </row>
    <row r="7345">
      <c r="A7345" s="3">
        <f>IFERROR(__xludf.DUMMYFUNCTION("""COMPUTED_VALUE"""),39850.666666666664)</f>
        <v>39850.66667</v>
      </c>
      <c r="B7345" s="2">
        <f>IFERROR(__xludf.DUMMYFUNCTION("""COMPUTED_VALUE"""),88.36)</f>
        <v>88.36</v>
      </c>
      <c r="C7345" s="2">
        <f>IFERROR(__xludf.DUMMYFUNCTION("""COMPUTED_VALUE"""),92.75)</f>
        <v>92.75</v>
      </c>
      <c r="D7345" s="2">
        <f>IFERROR(__xludf.DUMMYFUNCTION("""COMPUTED_VALUE"""),87.54)</f>
        <v>87.54</v>
      </c>
      <c r="E7345" s="2">
        <f>IFERROR(__xludf.DUMMYFUNCTION("""COMPUTED_VALUE"""),91.83)</f>
        <v>91.83</v>
      </c>
      <c r="F7345" s="2">
        <f>IFERROR(__xludf.DUMMYFUNCTION("""COMPUTED_VALUE"""),1.3063843E7)</f>
        <v>13063843</v>
      </c>
    </row>
    <row r="7346">
      <c r="A7346" s="3">
        <f>IFERROR(__xludf.DUMMYFUNCTION("""COMPUTED_VALUE"""),39853.666666666664)</f>
        <v>39853.66667</v>
      </c>
      <c r="B7346" s="2">
        <f>IFERROR(__xludf.DUMMYFUNCTION("""COMPUTED_VALUE"""),91.63)</f>
        <v>91.63</v>
      </c>
      <c r="C7346" s="2">
        <f>IFERROR(__xludf.DUMMYFUNCTION("""COMPUTED_VALUE"""),92.63)</f>
        <v>92.63</v>
      </c>
      <c r="D7346" s="2">
        <f>IFERROR(__xludf.DUMMYFUNCTION("""COMPUTED_VALUE"""),90.47)</f>
        <v>90.47</v>
      </c>
      <c r="E7346" s="2">
        <f>IFERROR(__xludf.DUMMYFUNCTION("""COMPUTED_VALUE"""),92.48)</f>
        <v>92.48</v>
      </c>
      <c r="F7346" s="2">
        <f>IFERROR(__xludf.DUMMYFUNCTION("""COMPUTED_VALUE"""),8165954.0)</f>
        <v>8165954</v>
      </c>
    </row>
    <row r="7347">
      <c r="A7347" s="3">
        <f>IFERROR(__xludf.DUMMYFUNCTION("""COMPUTED_VALUE"""),39854.666666666664)</f>
        <v>39854.66667</v>
      </c>
      <c r="B7347" s="2">
        <f>IFERROR(__xludf.DUMMYFUNCTION("""COMPUTED_VALUE"""),91.29)</f>
        <v>91.29</v>
      </c>
      <c r="C7347" s="2">
        <f>IFERROR(__xludf.DUMMYFUNCTION("""COMPUTED_VALUE"""),92.48)</f>
        <v>92.48</v>
      </c>
      <c r="D7347" s="2">
        <f>IFERROR(__xludf.DUMMYFUNCTION("""COMPUTED_VALUE"""),88.79)</f>
        <v>88.79</v>
      </c>
      <c r="E7347" s="2">
        <f>IFERROR(__xludf.DUMMYFUNCTION("""COMPUTED_VALUE"""),89.09)</f>
        <v>89.09</v>
      </c>
      <c r="F7347" s="2">
        <f>IFERROR(__xludf.DUMMYFUNCTION("""COMPUTED_VALUE"""),1.3541935E7)</f>
        <v>13541935</v>
      </c>
    </row>
    <row r="7348">
      <c r="A7348" s="3">
        <f>IFERROR(__xludf.DUMMYFUNCTION("""COMPUTED_VALUE"""),39855.666666666664)</f>
        <v>39855.66667</v>
      </c>
      <c r="B7348" s="2">
        <f>IFERROR(__xludf.DUMMYFUNCTION("""COMPUTED_VALUE"""),89.29)</f>
        <v>89.29</v>
      </c>
      <c r="C7348" s="2">
        <f>IFERROR(__xludf.DUMMYFUNCTION("""COMPUTED_VALUE"""),91.48)</f>
        <v>91.48</v>
      </c>
      <c r="D7348" s="2">
        <f>IFERROR(__xludf.DUMMYFUNCTION("""COMPUTED_VALUE"""),88.83)</f>
        <v>88.83</v>
      </c>
      <c r="E7348" s="2">
        <f>IFERROR(__xludf.DUMMYFUNCTION("""COMPUTED_VALUE"""),90.89)</f>
        <v>90.89</v>
      </c>
      <c r="F7348" s="2">
        <f>IFERROR(__xludf.DUMMYFUNCTION("""COMPUTED_VALUE"""),1.0765873E7)</f>
        <v>10765873</v>
      </c>
    </row>
    <row r="7349">
      <c r="A7349" s="3">
        <f>IFERROR(__xludf.DUMMYFUNCTION("""COMPUTED_VALUE"""),39856.666666666664)</f>
        <v>39856.66667</v>
      </c>
      <c r="B7349" s="2">
        <f>IFERROR(__xludf.DUMMYFUNCTION("""COMPUTED_VALUE"""),90.18)</f>
        <v>90.18</v>
      </c>
      <c r="C7349" s="2">
        <f>IFERROR(__xludf.DUMMYFUNCTION("""COMPUTED_VALUE"""),90.93)</f>
        <v>90.93</v>
      </c>
      <c r="D7349" s="2">
        <f>IFERROR(__xludf.DUMMYFUNCTION("""COMPUTED_VALUE"""),88.07)</f>
        <v>88.07</v>
      </c>
      <c r="E7349" s="2">
        <f>IFERROR(__xludf.DUMMYFUNCTION("""COMPUTED_VALUE"""),90.81)</f>
        <v>90.81</v>
      </c>
      <c r="F7349" s="2">
        <f>IFERROR(__xludf.DUMMYFUNCTION("""COMPUTED_VALUE"""),9918736.0)</f>
        <v>9918736</v>
      </c>
    </row>
    <row r="7350">
      <c r="A7350" s="3">
        <f>IFERROR(__xludf.DUMMYFUNCTION("""COMPUTED_VALUE"""),39857.666666666664)</f>
        <v>39857.66667</v>
      </c>
      <c r="B7350" s="2">
        <f>IFERROR(__xludf.DUMMYFUNCTION("""COMPUTED_VALUE"""),90.54)</f>
        <v>90.54</v>
      </c>
      <c r="C7350" s="2">
        <f>IFERROR(__xludf.DUMMYFUNCTION("""COMPUTED_VALUE"""),90.91)</f>
        <v>90.91</v>
      </c>
      <c r="D7350" s="2">
        <f>IFERROR(__xludf.DUMMYFUNCTION("""COMPUTED_VALUE"""),89.37)</f>
        <v>89.37</v>
      </c>
      <c r="E7350" s="2">
        <f>IFERROR(__xludf.DUMMYFUNCTION("""COMPUTED_VALUE"""),89.63)</f>
        <v>89.63</v>
      </c>
      <c r="F7350" s="2">
        <f>IFERROR(__xludf.DUMMYFUNCTION("""COMPUTED_VALUE"""),6742532.0)</f>
        <v>6742532</v>
      </c>
    </row>
    <row r="7351">
      <c r="A7351" s="3">
        <f>IFERROR(__xludf.DUMMYFUNCTION("""COMPUTED_VALUE"""),39861.666666666664)</f>
        <v>39861.66667</v>
      </c>
      <c r="B7351" s="2">
        <f>IFERROR(__xludf.DUMMYFUNCTION("""COMPUTED_VALUE"""),87.62)</f>
        <v>87.62</v>
      </c>
      <c r="C7351" s="2">
        <f>IFERROR(__xludf.DUMMYFUNCTION("""COMPUTED_VALUE"""),88.34)</f>
        <v>88.34</v>
      </c>
      <c r="D7351" s="2">
        <f>IFERROR(__xludf.DUMMYFUNCTION("""COMPUTED_VALUE"""),86.44)</f>
        <v>86.44</v>
      </c>
      <c r="E7351" s="2">
        <f>IFERROR(__xludf.DUMMYFUNCTION("""COMPUTED_VALUE"""),86.6)</f>
        <v>86.6</v>
      </c>
      <c r="F7351" s="2">
        <f>IFERROR(__xludf.DUMMYFUNCTION("""COMPUTED_VALUE"""),8906784.0)</f>
        <v>8906784</v>
      </c>
    </row>
    <row r="7352">
      <c r="A7352" s="3">
        <f>IFERROR(__xludf.DUMMYFUNCTION("""COMPUTED_VALUE"""),39862.666666666664)</f>
        <v>39862.66667</v>
      </c>
      <c r="B7352" s="2">
        <f>IFERROR(__xludf.DUMMYFUNCTION("""COMPUTED_VALUE"""),87.08)</f>
        <v>87.08</v>
      </c>
      <c r="C7352" s="2">
        <f>IFERROR(__xludf.DUMMYFUNCTION("""COMPUTED_VALUE"""),88.11)</f>
        <v>88.11</v>
      </c>
      <c r="D7352" s="2">
        <f>IFERROR(__xludf.DUMMYFUNCTION("""COMPUTED_VALUE"""),86.39)</f>
        <v>86.39</v>
      </c>
      <c r="E7352" s="2">
        <f>IFERROR(__xludf.DUMMYFUNCTION("""COMPUTED_VALUE"""),87.41)</f>
        <v>87.41</v>
      </c>
      <c r="F7352" s="2">
        <f>IFERROR(__xludf.DUMMYFUNCTION("""COMPUTED_VALUE"""),8492665.0)</f>
        <v>8492665</v>
      </c>
    </row>
    <row r="7353">
      <c r="A7353" s="3">
        <f>IFERROR(__xludf.DUMMYFUNCTION("""COMPUTED_VALUE"""),39863.666666666664)</f>
        <v>39863.66667</v>
      </c>
      <c r="B7353" s="2">
        <f>IFERROR(__xludf.DUMMYFUNCTION("""COMPUTED_VALUE"""),86.98)</f>
        <v>86.98</v>
      </c>
      <c r="C7353" s="2">
        <f>IFERROR(__xludf.DUMMYFUNCTION("""COMPUTED_VALUE"""),88.03)</f>
        <v>88.03</v>
      </c>
      <c r="D7353" s="2">
        <f>IFERROR(__xludf.DUMMYFUNCTION("""COMPUTED_VALUE"""),84.48)</f>
        <v>84.48</v>
      </c>
      <c r="E7353" s="2">
        <f>IFERROR(__xludf.DUMMYFUNCTION("""COMPUTED_VALUE"""),84.94)</f>
        <v>84.94</v>
      </c>
      <c r="F7353" s="2">
        <f>IFERROR(__xludf.DUMMYFUNCTION("""COMPUTED_VALUE"""),1.2624634E7)</f>
        <v>12624634</v>
      </c>
    </row>
    <row r="7354">
      <c r="A7354" s="3">
        <f>IFERROR(__xludf.DUMMYFUNCTION("""COMPUTED_VALUE"""),39864.666666666664)</f>
        <v>39864.66667</v>
      </c>
      <c r="B7354" s="2">
        <f>IFERROR(__xludf.DUMMYFUNCTION("""COMPUTED_VALUE"""),84.1)</f>
        <v>84.1</v>
      </c>
      <c r="C7354" s="2">
        <f>IFERROR(__xludf.DUMMYFUNCTION("""COMPUTED_VALUE"""),85.87)</f>
        <v>85.87</v>
      </c>
      <c r="D7354" s="2">
        <f>IFERROR(__xludf.DUMMYFUNCTION("""COMPUTED_VALUE"""),83.42)</f>
        <v>83.42</v>
      </c>
      <c r="E7354" s="2">
        <f>IFERROR(__xludf.DUMMYFUNCTION("""COMPUTED_VALUE"""),84.81)</f>
        <v>84.81</v>
      </c>
      <c r="F7354" s="2">
        <f>IFERROR(__xludf.DUMMYFUNCTION("""COMPUTED_VALUE"""),1.2401342E7)</f>
        <v>12401342</v>
      </c>
    </row>
    <row r="7355">
      <c r="A7355" s="3">
        <f>IFERROR(__xludf.DUMMYFUNCTION("""COMPUTED_VALUE"""),39867.666666666664)</f>
        <v>39867.66667</v>
      </c>
      <c r="B7355" s="2">
        <f>IFERROR(__xludf.DUMMYFUNCTION("""COMPUTED_VALUE"""),85.3)</f>
        <v>85.3</v>
      </c>
      <c r="C7355" s="2">
        <f>IFERROR(__xludf.DUMMYFUNCTION("""COMPUTED_VALUE"""),85.32)</f>
        <v>85.32</v>
      </c>
      <c r="D7355" s="2">
        <f>IFERROR(__xludf.DUMMYFUNCTION("""COMPUTED_VALUE"""),80.42)</f>
        <v>80.42</v>
      </c>
      <c r="E7355" s="2">
        <f>IFERROR(__xludf.DUMMYFUNCTION("""COMPUTED_VALUE"""),80.59)</f>
        <v>80.59</v>
      </c>
      <c r="F7355" s="2">
        <f>IFERROR(__xludf.DUMMYFUNCTION("""COMPUTED_VALUE"""),1.3509701E7)</f>
        <v>13509701</v>
      </c>
    </row>
    <row r="7356">
      <c r="A7356" s="3">
        <f>IFERROR(__xludf.DUMMYFUNCTION("""COMPUTED_VALUE"""),39868.666666666664)</f>
        <v>39868.66667</v>
      </c>
      <c r="B7356" s="2">
        <f>IFERROR(__xludf.DUMMYFUNCTION("""COMPUTED_VALUE"""),80.84)</f>
        <v>80.84</v>
      </c>
      <c r="C7356" s="2">
        <f>IFERROR(__xludf.DUMMYFUNCTION("""COMPUTED_VALUE"""),83.18)</f>
        <v>83.18</v>
      </c>
      <c r="D7356" s="2">
        <f>IFERROR(__xludf.DUMMYFUNCTION("""COMPUTED_VALUE"""),80.33)</f>
        <v>80.33</v>
      </c>
      <c r="E7356" s="2">
        <f>IFERROR(__xludf.DUMMYFUNCTION("""COMPUTED_VALUE"""),82.53)</f>
        <v>82.53</v>
      </c>
      <c r="F7356" s="2">
        <f>IFERROR(__xludf.DUMMYFUNCTION("""COMPUTED_VALUE"""),1.291604E7)</f>
        <v>12916040</v>
      </c>
    </row>
    <row r="7357">
      <c r="A7357" s="3">
        <f>IFERROR(__xludf.DUMMYFUNCTION("""COMPUTED_VALUE"""),39869.666666666664)</f>
        <v>39869.66667</v>
      </c>
      <c r="B7357" s="2">
        <f>IFERROR(__xludf.DUMMYFUNCTION("""COMPUTED_VALUE"""),82.14)</f>
        <v>82.14</v>
      </c>
      <c r="C7357" s="2">
        <f>IFERROR(__xludf.DUMMYFUNCTION("""COMPUTED_VALUE"""),83.21)</f>
        <v>83.21</v>
      </c>
      <c r="D7357" s="2">
        <f>IFERROR(__xludf.DUMMYFUNCTION("""COMPUTED_VALUE"""),79.14)</f>
        <v>79.14</v>
      </c>
      <c r="E7357" s="2">
        <f>IFERROR(__xludf.DUMMYFUNCTION("""COMPUTED_VALUE"""),82.05)</f>
        <v>82.05</v>
      </c>
      <c r="F7357" s="2">
        <f>IFERROR(__xludf.DUMMYFUNCTION("""COMPUTED_VALUE"""),1.2646705E7)</f>
        <v>12646705</v>
      </c>
    </row>
    <row r="7358">
      <c r="A7358" s="3">
        <f>IFERROR(__xludf.DUMMYFUNCTION("""COMPUTED_VALUE"""),39870.666666666664)</f>
        <v>39870.66667</v>
      </c>
      <c r="B7358" s="2">
        <f>IFERROR(__xludf.DUMMYFUNCTION("""COMPUTED_VALUE"""),82.96)</f>
        <v>82.96</v>
      </c>
      <c r="C7358" s="2">
        <f>IFERROR(__xludf.DUMMYFUNCTION("""COMPUTED_VALUE"""),86.16)</f>
        <v>86.16</v>
      </c>
      <c r="D7358" s="2">
        <f>IFERROR(__xludf.DUMMYFUNCTION("""COMPUTED_VALUE"""),82.46)</f>
        <v>82.46</v>
      </c>
      <c r="E7358" s="2">
        <f>IFERROR(__xludf.DUMMYFUNCTION("""COMPUTED_VALUE"""),84.98)</f>
        <v>84.98</v>
      </c>
      <c r="F7358" s="2">
        <f>IFERROR(__xludf.DUMMYFUNCTION("""COMPUTED_VALUE"""),1.7424012E7)</f>
        <v>17424012</v>
      </c>
    </row>
    <row r="7359">
      <c r="A7359" s="3">
        <f>IFERROR(__xludf.DUMMYFUNCTION("""COMPUTED_VALUE"""),39871.666666666664)</f>
        <v>39871.66667</v>
      </c>
      <c r="B7359" s="2">
        <f>IFERROR(__xludf.DUMMYFUNCTION("""COMPUTED_VALUE"""),84.17)</f>
        <v>84.17</v>
      </c>
      <c r="C7359" s="2">
        <f>IFERROR(__xludf.DUMMYFUNCTION("""COMPUTED_VALUE"""),89.1)</f>
        <v>89.1</v>
      </c>
      <c r="D7359" s="2">
        <f>IFERROR(__xludf.DUMMYFUNCTION("""COMPUTED_VALUE"""),84.06)</f>
        <v>84.06</v>
      </c>
      <c r="E7359" s="2">
        <f>IFERROR(__xludf.DUMMYFUNCTION("""COMPUTED_VALUE"""),87.9)</f>
        <v>87.9</v>
      </c>
      <c r="F7359" s="2">
        <f>IFERROR(__xludf.DUMMYFUNCTION("""COMPUTED_VALUE"""),2.1312536E7)</f>
        <v>21312536</v>
      </c>
    </row>
    <row r="7360">
      <c r="A7360" s="3">
        <f>IFERROR(__xludf.DUMMYFUNCTION("""COMPUTED_VALUE"""),39874.666666666664)</f>
        <v>39874.66667</v>
      </c>
      <c r="B7360" s="2">
        <f>IFERROR(__xludf.DUMMYFUNCTION("""COMPUTED_VALUE"""),87.08)</f>
        <v>87.08</v>
      </c>
      <c r="C7360" s="2">
        <f>IFERROR(__xludf.DUMMYFUNCTION("""COMPUTED_VALUE"""),87.78)</f>
        <v>87.78</v>
      </c>
      <c r="D7360" s="2">
        <f>IFERROR(__xludf.DUMMYFUNCTION("""COMPUTED_VALUE"""),84.77)</f>
        <v>84.77</v>
      </c>
      <c r="E7360" s="2">
        <f>IFERROR(__xludf.DUMMYFUNCTION("""COMPUTED_VALUE"""),85.06)</f>
        <v>85.06</v>
      </c>
      <c r="F7360" s="2">
        <f>IFERROR(__xludf.DUMMYFUNCTION("""COMPUTED_VALUE"""),1.5231919E7)</f>
        <v>15231919</v>
      </c>
    </row>
    <row r="7361">
      <c r="A7361" s="3">
        <f>IFERROR(__xludf.DUMMYFUNCTION("""COMPUTED_VALUE"""),39875.666666666664)</f>
        <v>39875.66667</v>
      </c>
      <c r="B7361" s="2">
        <f>IFERROR(__xludf.DUMMYFUNCTION("""COMPUTED_VALUE"""),86.12)</f>
        <v>86.12</v>
      </c>
      <c r="C7361" s="2">
        <f>IFERROR(__xludf.DUMMYFUNCTION("""COMPUTED_VALUE"""),86.14)</f>
        <v>86.14</v>
      </c>
      <c r="D7361" s="2">
        <f>IFERROR(__xludf.DUMMYFUNCTION("""COMPUTED_VALUE"""),83.28)</f>
        <v>83.28</v>
      </c>
      <c r="E7361" s="2">
        <f>IFERROR(__xludf.DUMMYFUNCTION("""COMPUTED_VALUE"""),83.83)</f>
        <v>83.83</v>
      </c>
      <c r="F7361" s="2">
        <f>IFERROR(__xludf.DUMMYFUNCTION("""COMPUTED_VALUE"""),1.3745837E7)</f>
        <v>13745837</v>
      </c>
    </row>
    <row r="7362">
      <c r="A7362" s="3">
        <f>IFERROR(__xludf.DUMMYFUNCTION("""COMPUTED_VALUE"""),39876.666666666664)</f>
        <v>39876.66667</v>
      </c>
      <c r="B7362" s="2">
        <f>IFERROR(__xludf.DUMMYFUNCTION("""COMPUTED_VALUE"""),86.12)</f>
        <v>86.12</v>
      </c>
      <c r="C7362" s="2">
        <f>IFERROR(__xludf.DUMMYFUNCTION("""COMPUTED_VALUE"""),87.15)</f>
        <v>87.15</v>
      </c>
      <c r="D7362" s="2">
        <f>IFERROR(__xludf.DUMMYFUNCTION("""COMPUTED_VALUE"""),83.67)</f>
        <v>83.67</v>
      </c>
      <c r="E7362" s="2">
        <f>IFERROR(__xludf.DUMMYFUNCTION("""COMPUTED_VALUE"""),85.48)</f>
        <v>85.48</v>
      </c>
      <c r="F7362" s="2">
        <f>IFERROR(__xludf.DUMMYFUNCTION("""COMPUTED_VALUE"""),1.5391882E7)</f>
        <v>15391882</v>
      </c>
    </row>
    <row r="7363">
      <c r="A7363" s="3">
        <f>IFERROR(__xludf.DUMMYFUNCTION("""COMPUTED_VALUE"""),39877.666666666664)</f>
        <v>39877.66667</v>
      </c>
      <c r="B7363" s="2">
        <f>IFERROR(__xludf.DUMMYFUNCTION("""COMPUTED_VALUE"""),84.18)</f>
        <v>84.18</v>
      </c>
      <c r="C7363" s="2">
        <f>IFERROR(__xludf.DUMMYFUNCTION("""COMPUTED_VALUE"""),86.12)</f>
        <v>86.12</v>
      </c>
      <c r="D7363" s="2">
        <f>IFERROR(__xludf.DUMMYFUNCTION("""COMPUTED_VALUE"""),83.12)</f>
        <v>83.12</v>
      </c>
      <c r="E7363" s="2">
        <f>IFERROR(__xludf.DUMMYFUNCTION("""COMPUTED_VALUE"""),83.56)</f>
        <v>83.56</v>
      </c>
      <c r="F7363" s="2">
        <f>IFERROR(__xludf.DUMMYFUNCTION("""COMPUTED_VALUE"""),1.4933403E7)</f>
        <v>14933403</v>
      </c>
    </row>
    <row r="7364">
      <c r="A7364" s="3">
        <f>IFERROR(__xludf.DUMMYFUNCTION("""COMPUTED_VALUE"""),39878.666666666664)</f>
        <v>39878.66667</v>
      </c>
      <c r="B7364" s="2">
        <f>IFERROR(__xludf.DUMMYFUNCTION("""COMPUTED_VALUE"""),83.55)</f>
        <v>83.55</v>
      </c>
      <c r="C7364" s="2">
        <f>IFERROR(__xludf.DUMMYFUNCTION("""COMPUTED_VALUE"""),84.29)</f>
        <v>84.29</v>
      </c>
      <c r="D7364" s="2">
        <f>IFERROR(__xludf.DUMMYFUNCTION("""COMPUTED_VALUE"""),80.05)</f>
        <v>80.05</v>
      </c>
      <c r="E7364" s="2">
        <f>IFERROR(__xludf.DUMMYFUNCTION("""COMPUTED_VALUE"""),81.96)</f>
        <v>81.96</v>
      </c>
      <c r="F7364" s="2">
        <f>IFERROR(__xludf.DUMMYFUNCTION("""COMPUTED_VALUE"""),1.5187919E7)</f>
        <v>15187919</v>
      </c>
    </row>
    <row r="7365">
      <c r="A7365" s="3">
        <f>IFERROR(__xludf.DUMMYFUNCTION("""COMPUTED_VALUE"""),39881.666666666664)</f>
        <v>39881.66667</v>
      </c>
      <c r="B7365" s="2">
        <f>IFERROR(__xludf.DUMMYFUNCTION("""COMPUTED_VALUE"""),80.9)</f>
        <v>80.9</v>
      </c>
      <c r="C7365" s="2">
        <f>IFERROR(__xludf.DUMMYFUNCTION("""COMPUTED_VALUE"""),82.91)</f>
        <v>82.91</v>
      </c>
      <c r="D7365" s="2">
        <f>IFERROR(__xludf.DUMMYFUNCTION("""COMPUTED_VALUE"""),79.3)</f>
        <v>79.3</v>
      </c>
      <c r="E7365" s="2">
        <f>IFERROR(__xludf.DUMMYFUNCTION("""COMPUTED_VALUE"""),79.74)</f>
        <v>79.74</v>
      </c>
      <c r="F7365" s="2">
        <f>IFERROR(__xludf.DUMMYFUNCTION("""COMPUTED_VALUE"""),1.3153048E7)</f>
        <v>13153048</v>
      </c>
    </row>
    <row r="7366">
      <c r="A7366" s="3">
        <f>IFERROR(__xludf.DUMMYFUNCTION("""COMPUTED_VALUE"""),39882.666666666664)</f>
        <v>39882.66667</v>
      </c>
      <c r="B7366" s="2">
        <f>IFERROR(__xludf.DUMMYFUNCTION("""COMPUTED_VALUE"""),81.29)</f>
        <v>81.29</v>
      </c>
      <c r="C7366" s="2">
        <f>IFERROR(__xludf.DUMMYFUNCTION("""COMPUTED_VALUE"""),83.34)</f>
        <v>83.34</v>
      </c>
      <c r="D7366" s="2">
        <f>IFERROR(__xludf.DUMMYFUNCTION("""COMPUTED_VALUE"""),79.89)</f>
        <v>79.89</v>
      </c>
      <c r="E7366" s="2">
        <f>IFERROR(__xludf.DUMMYFUNCTION("""COMPUTED_VALUE"""),83.34)</f>
        <v>83.34</v>
      </c>
      <c r="F7366" s="2">
        <f>IFERROR(__xludf.DUMMYFUNCTION("""COMPUTED_VALUE"""),1.5915749E7)</f>
        <v>15915749</v>
      </c>
    </row>
    <row r="7367">
      <c r="A7367" s="3">
        <f>IFERROR(__xludf.DUMMYFUNCTION("""COMPUTED_VALUE"""),39883.666666666664)</f>
        <v>39883.66667</v>
      </c>
      <c r="B7367" s="2">
        <f>IFERROR(__xludf.DUMMYFUNCTION("""COMPUTED_VALUE"""),83.59)</f>
        <v>83.59</v>
      </c>
      <c r="C7367" s="2">
        <f>IFERROR(__xludf.DUMMYFUNCTION("""COMPUTED_VALUE"""),85.53)</f>
        <v>85.53</v>
      </c>
      <c r="D7367" s="2">
        <f>IFERROR(__xludf.DUMMYFUNCTION("""COMPUTED_VALUE"""),82.83)</f>
        <v>82.83</v>
      </c>
      <c r="E7367" s="2">
        <f>IFERROR(__xludf.DUMMYFUNCTION("""COMPUTED_VALUE"""),84.65)</f>
        <v>84.65</v>
      </c>
      <c r="F7367" s="2">
        <f>IFERROR(__xludf.DUMMYFUNCTION("""COMPUTED_VALUE"""),1.1824127E7)</f>
        <v>11824127</v>
      </c>
    </row>
    <row r="7368">
      <c r="A7368" s="3">
        <f>IFERROR(__xludf.DUMMYFUNCTION("""COMPUTED_VALUE"""),39884.666666666664)</f>
        <v>39884.66667</v>
      </c>
      <c r="B7368" s="2">
        <f>IFERROR(__xludf.DUMMYFUNCTION("""COMPUTED_VALUE"""),84.62)</f>
        <v>84.62</v>
      </c>
      <c r="C7368" s="2">
        <f>IFERROR(__xludf.DUMMYFUNCTION("""COMPUTED_VALUE"""),86.54)</f>
        <v>86.54</v>
      </c>
      <c r="D7368" s="2">
        <f>IFERROR(__xludf.DUMMYFUNCTION("""COMPUTED_VALUE"""),83.57)</f>
        <v>83.57</v>
      </c>
      <c r="E7368" s="2">
        <f>IFERROR(__xludf.DUMMYFUNCTION("""COMPUTED_VALUE"""),86.35)</f>
        <v>86.35</v>
      </c>
      <c r="F7368" s="2">
        <f>IFERROR(__xludf.DUMMYFUNCTION("""COMPUTED_VALUE"""),1.182925E7)</f>
        <v>11829250</v>
      </c>
    </row>
    <row r="7369">
      <c r="A7369" s="3">
        <f>IFERROR(__xludf.DUMMYFUNCTION("""COMPUTED_VALUE"""),39885.666666666664)</f>
        <v>39885.66667</v>
      </c>
      <c r="B7369" s="2">
        <f>IFERROR(__xludf.DUMMYFUNCTION("""COMPUTED_VALUE"""),86.35)</f>
        <v>86.35</v>
      </c>
      <c r="C7369" s="2">
        <f>IFERROR(__xludf.DUMMYFUNCTION("""COMPUTED_VALUE"""),86.59)</f>
        <v>86.59</v>
      </c>
      <c r="D7369" s="2">
        <f>IFERROR(__xludf.DUMMYFUNCTION("""COMPUTED_VALUE"""),85.29)</f>
        <v>85.29</v>
      </c>
      <c r="E7369" s="2">
        <f>IFERROR(__xludf.DUMMYFUNCTION("""COMPUTED_VALUE"""),86.31)</f>
        <v>86.31</v>
      </c>
      <c r="F7369" s="2">
        <f>IFERROR(__xludf.DUMMYFUNCTION("""COMPUTED_VALUE"""),9112201.0)</f>
        <v>9112201</v>
      </c>
    </row>
    <row r="7370">
      <c r="A7370" s="3">
        <f>IFERROR(__xludf.DUMMYFUNCTION("""COMPUTED_VALUE"""),39888.666666666664)</f>
        <v>39888.66667</v>
      </c>
      <c r="B7370" s="2">
        <f>IFERROR(__xludf.DUMMYFUNCTION("""COMPUTED_VALUE"""),87.54)</f>
        <v>87.54</v>
      </c>
      <c r="C7370" s="2">
        <f>IFERROR(__xludf.DUMMYFUNCTION("""COMPUTED_VALUE"""),88.83)</f>
        <v>88.83</v>
      </c>
      <c r="D7370" s="2">
        <f>IFERROR(__xludf.DUMMYFUNCTION("""COMPUTED_VALUE"""),86.48)</f>
        <v>86.48</v>
      </c>
      <c r="E7370" s="2">
        <f>IFERROR(__xludf.DUMMYFUNCTION("""COMPUTED_VALUE"""),87.13)</f>
        <v>87.13</v>
      </c>
      <c r="F7370" s="2">
        <f>IFERROR(__xludf.DUMMYFUNCTION("""COMPUTED_VALUE"""),1.1796373E7)</f>
        <v>11796373</v>
      </c>
    </row>
    <row r="7371">
      <c r="A7371" s="3">
        <f>IFERROR(__xludf.DUMMYFUNCTION("""COMPUTED_VALUE"""),39889.666666666664)</f>
        <v>39889.66667</v>
      </c>
      <c r="B7371" s="2">
        <f>IFERROR(__xludf.DUMMYFUNCTION("""COMPUTED_VALUE"""),87.02)</f>
        <v>87.02</v>
      </c>
      <c r="C7371" s="2">
        <f>IFERROR(__xludf.DUMMYFUNCTION("""COMPUTED_VALUE"""),88.74)</f>
        <v>88.74</v>
      </c>
      <c r="D7371" s="2">
        <f>IFERROR(__xludf.DUMMYFUNCTION("""COMPUTED_VALUE"""),86.39)</f>
        <v>86.39</v>
      </c>
      <c r="E7371" s="2">
        <f>IFERROR(__xludf.DUMMYFUNCTION("""COMPUTED_VALUE"""),88.74)</f>
        <v>88.74</v>
      </c>
      <c r="F7371" s="2">
        <f>IFERROR(__xludf.DUMMYFUNCTION("""COMPUTED_VALUE"""),1.1490142E7)</f>
        <v>11490142</v>
      </c>
    </row>
    <row r="7372">
      <c r="A7372" s="3">
        <f>IFERROR(__xludf.DUMMYFUNCTION("""COMPUTED_VALUE"""),39890.666666666664)</f>
        <v>39890.66667</v>
      </c>
      <c r="B7372" s="2">
        <f>IFERROR(__xludf.DUMMYFUNCTION("""COMPUTED_VALUE"""),85.45)</f>
        <v>85.45</v>
      </c>
      <c r="C7372" s="2">
        <f>IFERROR(__xludf.DUMMYFUNCTION("""COMPUTED_VALUE"""),88.73)</f>
        <v>88.73</v>
      </c>
      <c r="D7372" s="2">
        <f>IFERROR(__xludf.DUMMYFUNCTION("""COMPUTED_VALUE"""),85.4)</f>
        <v>85.4</v>
      </c>
      <c r="E7372" s="2">
        <f>IFERROR(__xludf.DUMMYFUNCTION("""COMPUTED_VALUE"""),87.83)</f>
        <v>87.83</v>
      </c>
      <c r="F7372" s="2">
        <f>IFERROR(__xludf.DUMMYFUNCTION("""COMPUTED_VALUE"""),1.7914652E7)</f>
        <v>17914652</v>
      </c>
    </row>
    <row r="7373">
      <c r="A7373" s="3">
        <f>IFERROR(__xludf.DUMMYFUNCTION("""COMPUTED_VALUE"""),39891.666666666664)</f>
        <v>39891.66667</v>
      </c>
      <c r="B7373" s="2">
        <f>IFERROR(__xludf.DUMMYFUNCTION("""COMPUTED_VALUE"""),88.68)</f>
        <v>88.68</v>
      </c>
      <c r="C7373" s="2">
        <f>IFERROR(__xludf.DUMMYFUNCTION("""COMPUTED_VALUE"""),89.16)</f>
        <v>89.16</v>
      </c>
      <c r="D7373" s="2">
        <f>IFERROR(__xludf.DUMMYFUNCTION("""COMPUTED_VALUE"""),87.41)</f>
        <v>87.41</v>
      </c>
      <c r="E7373" s="2">
        <f>IFERROR(__xludf.DUMMYFUNCTION("""COMPUTED_VALUE"""),88.51)</f>
        <v>88.51</v>
      </c>
      <c r="F7373" s="2">
        <f>IFERROR(__xludf.DUMMYFUNCTION("""COMPUTED_VALUE"""),9899994.0)</f>
        <v>9899994</v>
      </c>
    </row>
    <row r="7374">
      <c r="A7374" s="3">
        <f>IFERROR(__xludf.DUMMYFUNCTION("""COMPUTED_VALUE"""),39892.666666666664)</f>
        <v>39892.66667</v>
      </c>
      <c r="B7374" s="2">
        <f>IFERROR(__xludf.DUMMYFUNCTION("""COMPUTED_VALUE"""),88.98)</f>
        <v>88.98</v>
      </c>
      <c r="C7374" s="2">
        <f>IFERROR(__xludf.DUMMYFUNCTION("""COMPUTED_VALUE"""),90.74)</f>
        <v>90.74</v>
      </c>
      <c r="D7374" s="2">
        <f>IFERROR(__xludf.DUMMYFUNCTION("""COMPUTED_VALUE"""),88.05)</f>
        <v>88.05</v>
      </c>
      <c r="E7374" s="2">
        <f>IFERROR(__xludf.DUMMYFUNCTION("""COMPUTED_VALUE"""),88.36)</f>
        <v>88.36</v>
      </c>
      <c r="F7374" s="2">
        <f>IFERROR(__xludf.DUMMYFUNCTION("""COMPUTED_VALUE"""),1.2194884E7)</f>
        <v>12194884</v>
      </c>
    </row>
    <row r="7375">
      <c r="A7375" s="3">
        <f>IFERROR(__xludf.DUMMYFUNCTION("""COMPUTED_VALUE"""),39895.666666666664)</f>
        <v>39895.66667</v>
      </c>
      <c r="B7375" s="2">
        <f>IFERROR(__xludf.DUMMYFUNCTION("""COMPUTED_VALUE"""),89.5)</f>
        <v>89.5</v>
      </c>
      <c r="C7375" s="2">
        <f>IFERROR(__xludf.DUMMYFUNCTION("""COMPUTED_VALUE"""),94.28)</f>
        <v>94.28</v>
      </c>
      <c r="D7375" s="2">
        <f>IFERROR(__xludf.DUMMYFUNCTION("""COMPUTED_VALUE"""),89.5)</f>
        <v>89.5</v>
      </c>
      <c r="E7375" s="2">
        <f>IFERROR(__xludf.DUMMYFUNCTION("""COMPUTED_VALUE"""),94.28)</f>
        <v>94.28</v>
      </c>
      <c r="F7375" s="2">
        <f>IFERROR(__xludf.DUMMYFUNCTION("""COMPUTED_VALUE"""),1.2408203E7)</f>
        <v>12408203</v>
      </c>
    </row>
    <row r="7376">
      <c r="A7376" s="3">
        <f>IFERROR(__xludf.DUMMYFUNCTION("""COMPUTED_VALUE"""),39896.666666666664)</f>
        <v>39896.66667</v>
      </c>
      <c r="B7376" s="2">
        <f>IFERROR(__xludf.DUMMYFUNCTION("""COMPUTED_VALUE"""),93.31)</f>
        <v>93.31</v>
      </c>
      <c r="C7376" s="2">
        <f>IFERROR(__xludf.DUMMYFUNCTION("""COMPUTED_VALUE"""),95.09)</f>
        <v>95.09</v>
      </c>
      <c r="D7376" s="2">
        <f>IFERROR(__xludf.DUMMYFUNCTION("""COMPUTED_VALUE"""),93.15)</f>
        <v>93.15</v>
      </c>
      <c r="E7376" s="2">
        <f>IFERROR(__xludf.DUMMYFUNCTION("""COMPUTED_VALUE"""),93.89)</f>
        <v>93.89</v>
      </c>
      <c r="F7376" s="2">
        <f>IFERROR(__xludf.DUMMYFUNCTION("""COMPUTED_VALUE"""),9347238.0)</f>
        <v>9347238</v>
      </c>
    </row>
    <row r="7377">
      <c r="A7377" s="3">
        <f>IFERROR(__xludf.DUMMYFUNCTION("""COMPUTED_VALUE"""),39897.666666666664)</f>
        <v>39897.66667</v>
      </c>
      <c r="B7377" s="2">
        <f>IFERROR(__xludf.DUMMYFUNCTION("""COMPUTED_VALUE"""),94.05)</f>
        <v>94.05</v>
      </c>
      <c r="C7377" s="2">
        <f>IFERROR(__xludf.DUMMYFUNCTION("""COMPUTED_VALUE"""),95.38)</f>
        <v>95.38</v>
      </c>
      <c r="D7377" s="2">
        <f>IFERROR(__xludf.DUMMYFUNCTION("""COMPUTED_VALUE"""),91.78)</f>
        <v>91.78</v>
      </c>
      <c r="E7377" s="2">
        <f>IFERROR(__xludf.DUMMYFUNCTION("""COMPUTED_VALUE"""),93.56)</f>
        <v>93.56</v>
      </c>
      <c r="F7377" s="2">
        <f>IFERROR(__xludf.DUMMYFUNCTION("""COMPUTED_VALUE"""),1.2017509E7)</f>
        <v>12017509</v>
      </c>
    </row>
    <row r="7378">
      <c r="A7378" s="3">
        <f>IFERROR(__xludf.DUMMYFUNCTION("""COMPUTED_VALUE"""),39898.666666666664)</f>
        <v>39898.66667</v>
      </c>
      <c r="B7378" s="2">
        <f>IFERROR(__xludf.DUMMYFUNCTION("""COMPUTED_VALUE"""),94.05)</f>
        <v>94.05</v>
      </c>
      <c r="C7378" s="2">
        <f>IFERROR(__xludf.DUMMYFUNCTION("""COMPUTED_VALUE"""),94.75)</f>
        <v>94.75</v>
      </c>
      <c r="D7378" s="2">
        <f>IFERROR(__xludf.DUMMYFUNCTION("""COMPUTED_VALUE"""),93.37)</f>
        <v>93.37</v>
      </c>
      <c r="E7378" s="2">
        <f>IFERROR(__xludf.DUMMYFUNCTION("""COMPUTED_VALUE"""),94.35)</f>
        <v>94.35</v>
      </c>
      <c r="F7378" s="2">
        <f>IFERROR(__xludf.DUMMYFUNCTION("""COMPUTED_VALUE"""),1.1440812E7)</f>
        <v>11440812</v>
      </c>
    </row>
    <row r="7379">
      <c r="A7379" s="3">
        <f>IFERROR(__xludf.DUMMYFUNCTION("""COMPUTED_VALUE"""),39899.666666666664)</f>
        <v>39899.66667</v>
      </c>
      <c r="B7379" s="2">
        <f>IFERROR(__xludf.DUMMYFUNCTION("""COMPUTED_VALUE"""),91.69)</f>
        <v>91.69</v>
      </c>
      <c r="C7379" s="2">
        <f>IFERROR(__xludf.DUMMYFUNCTION("""COMPUTED_VALUE"""),91.7)</f>
        <v>91.7</v>
      </c>
      <c r="D7379" s="2">
        <f>IFERROR(__xludf.DUMMYFUNCTION("""COMPUTED_VALUE"""),88.59)</f>
        <v>88.59</v>
      </c>
      <c r="E7379" s="2">
        <f>IFERROR(__xludf.DUMMYFUNCTION("""COMPUTED_VALUE"""),89.93)</f>
        <v>89.93</v>
      </c>
      <c r="F7379" s="2">
        <f>IFERROR(__xludf.DUMMYFUNCTION("""COMPUTED_VALUE"""),1.5746911E7)</f>
        <v>15746911</v>
      </c>
    </row>
    <row r="7380">
      <c r="A7380" s="3">
        <f>IFERROR(__xludf.DUMMYFUNCTION("""COMPUTED_VALUE"""),39902.666666666664)</f>
        <v>39902.66667</v>
      </c>
      <c r="B7380" s="2">
        <f>IFERROR(__xludf.DUMMYFUNCTION("""COMPUTED_VALUE"""),87.88)</f>
        <v>87.88</v>
      </c>
      <c r="C7380" s="2">
        <f>IFERROR(__xludf.DUMMYFUNCTION("""COMPUTED_VALUE"""),90.49)</f>
        <v>90.49</v>
      </c>
      <c r="D7380" s="2">
        <f>IFERROR(__xludf.DUMMYFUNCTION("""COMPUTED_VALUE"""),87.68)</f>
        <v>87.68</v>
      </c>
      <c r="E7380" s="2">
        <f>IFERROR(__xludf.DUMMYFUNCTION("""COMPUTED_VALUE"""),90.28)</f>
        <v>90.28</v>
      </c>
      <c r="F7380" s="2">
        <f>IFERROR(__xludf.DUMMYFUNCTION("""COMPUTED_VALUE"""),1.0973033E7)</f>
        <v>10973033</v>
      </c>
    </row>
    <row r="7381">
      <c r="A7381" s="3">
        <f>IFERROR(__xludf.DUMMYFUNCTION("""COMPUTED_VALUE"""),39903.666666666664)</f>
        <v>39903.66667</v>
      </c>
      <c r="B7381" s="2">
        <f>IFERROR(__xludf.DUMMYFUNCTION("""COMPUTED_VALUE"""),90.7)</f>
        <v>90.7</v>
      </c>
      <c r="C7381" s="2">
        <f>IFERROR(__xludf.DUMMYFUNCTION("""COMPUTED_VALUE"""),94.24)</f>
        <v>94.24</v>
      </c>
      <c r="D7381" s="2">
        <f>IFERROR(__xludf.DUMMYFUNCTION("""COMPUTED_VALUE"""),90.6)</f>
        <v>90.6</v>
      </c>
      <c r="E7381" s="2">
        <f>IFERROR(__xludf.DUMMYFUNCTION("""COMPUTED_VALUE"""),92.55)</f>
        <v>92.55</v>
      </c>
      <c r="F7381" s="2">
        <f>IFERROR(__xludf.DUMMYFUNCTION("""COMPUTED_VALUE"""),1.4553959E7)</f>
        <v>14553959</v>
      </c>
    </row>
    <row r="7382">
      <c r="A7382" s="3">
        <f>IFERROR(__xludf.DUMMYFUNCTION("""COMPUTED_VALUE"""),39904.666666666664)</f>
        <v>39904.66667</v>
      </c>
      <c r="B7382" s="2">
        <f>IFERROR(__xludf.DUMMYFUNCTION("""COMPUTED_VALUE"""),91.82)</f>
        <v>91.82</v>
      </c>
      <c r="C7382" s="2">
        <f>IFERROR(__xludf.DUMMYFUNCTION("""COMPUTED_VALUE"""),93.61)</f>
        <v>93.61</v>
      </c>
      <c r="D7382" s="2">
        <f>IFERROR(__xludf.DUMMYFUNCTION("""COMPUTED_VALUE"""),91.41)</f>
        <v>91.41</v>
      </c>
      <c r="E7382" s="2">
        <f>IFERROR(__xludf.DUMMYFUNCTION("""COMPUTED_VALUE"""),93.23)</f>
        <v>93.23</v>
      </c>
      <c r="F7382" s="2">
        <f>IFERROR(__xludf.DUMMYFUNCTION("""COMPUTED_VALUE"""),1.2212834E7)</f>
        <v>12212834</v>
      </c>
    </row>
    <row r="7383">
      <c r="A7383" s="3">
        <f>IFERROR(__xludf.DUMMYFUNCTION("""COMPUTED_VALUE"""),39905.666666666664)</f>
        <v>39905.66667</v>
      </c>
      <c r="B7383" s="2">
        <f>IFERROR(__xludf.DUMMYFUNCTION("""COMPUTED_VALUE"""),94.7)</f>
        <v>94.7</v>
      </c>
      <c r="C7383" s="2">
        <f>IFERROR(__xludf.DUMMYFUNCTION("""COMPUTED_VALUE"""),97.42)</f>
        <v>97.42</v>
      </c>
      <c r="D7383" s="2">
        <f>IFERROR(__xludf.DUMMYFUNCTION("""COMPUTED_VALUE"""),93.97)</f>
        <v>93.97</v>
      </c>
      <c r="E7383" s="2">
        <f>IFERROR(__xludf.DUMMYFUNCTION("""COMPUTED_VALUE"""),96.3)</f>
        <v>96.3</v>
      </c>
      <c r="F7383" s="2">
        <f>IFERROR(__xludf.DUMMYFUNCTION("""COMPUTED_VALUE"""),1.6226813E7)</f>
        <v>16226813</v>
      </c>
    </row>
    <row r="7384">
      <c r="A7384" s="3">
        <f>IFERROR(__xludf.DUMMYFUNCTION("""COMPUTED_VALUE"""),39906.666666666664)</f>
        <v>39906.66667</v>
      </c>
      <c r="B7384" s="2">
        <f>IFERROR(__xludf.DUMMYFUNCTION("""COMPUTED_VALUE"""),95.26)</f>
        <v>95.26</v>
      </c>
      <c r="C7384" s="2">
        <f>IFERROR(__xludf.DUMMYFUNCTION("""COMPUTED_VALUE"""),98.06)</f>
        <v>98.06</v>
      </c>
      <c r="D7384" s="2">
        <f>IFERROR(__xludf.DUMMYFUNCTION("""COMPUTED_VALUE"""),95.24)</f>
        <v>95.24</v>
      </c>
      <c r="E7384" s="2">
        <f>IFERROR(__xludf.DUMMYFUNCTION("""COMPUTED_VALUE"""),97.64)</f>
        <v>97.64</v>
      </c>
      <c r="F7384" s="2">
        <f>IFERROR(__xludf.DUMMYFUNCTION("""COMPUTED_VALUE"""),1.0964564E7)</f>
        <v>10964564</v>
      </c>
    </row>
    <row r="7385">
      <c r="A7385" s="3">
        <f>IFERROR(__xludf.DUMMYFUNCTION("""COMPUTED_VALUE"""),39909.666666666664)</f>
        <v>39909.66667</v>
      </c>
      <c r="B7385" s="2">
        <f>IFERROR(__xludf.DUMMYFUNCTION("""COMPUTED_VALUE"""),96.38)</f>
        <v>96.38</v>
      </c>
      <c r="C7385" s="2">
        <f>IFERROR(__xludf.DUMMYFUNCTION("""COMPUTED_VALUE"""),97.28)</f>
        <v>97.28</v>
      </c>
      <c r="D7385" s="2">
        <f>IFERROR(__xludf.DUMMYFUNCTION("""COMPUTED_VALUE"""),95.52)</f>
        <v>95.52</v>
      </c>
      <c r="E7385" s="2">
        <f>IFERROR(__xludf.DUMMYFUNCTION("""COMPUTED_VALUE"""),97.01)</f>
        <v>97.01</v>
      </c>
      <c r="F7385" s="2">
        <f>IFERROR(__xludf.DUMMYFUNCTION("""COMPUTED_VALUE"""),8821996.0)</f>
        <v>8821996</v>
      </c>
    </row>
    <row r="7386">
      <c r="A7386" s="3">
        <f>IFERROR(__xludf.DUMMYFUNCTION("""COMPUTED_VALUE"""),39910.666666666664)</f>
        <v>39910.66667</v>
      </c>
      <c r="B7386" s="2">
        <f>IFERROR(__xludf.DUMMYFUNCTION("""COMPUTED_VALUE"""),95.68)</f>
        <v>95.68</v>
      </c>
      <c r="C7386" s="2">
        <f>IFERROR(__xludf.DUMMYFUNCTION("""COMPUTED_VALUE"""),95.99)</f>
        <v>95.99</v>
      </c>
      <c r="D7386" s="2">
        <f>IFERROR(__xludf.DUMMYFUNCTION("""COMPUTED_VALUE"""),94.1)</f>
        <v>94.1</v>
      </c>
      <c r="E7386" s="2">
        <f>IFERROR(__xludf.DUMMYFUNCTION("""COMPUTED_VALUE"""),94.32)</f>
        <v>94.32</v>
      </c>
      <c r="F7386" s="2">
        <f>IFERROR(__xludf.DUMMYFUNCTION("""COMPUTED_VALUE"""),8768491.0)</f>
        <v>8768491</v>
      </c>
    </row>
    <row r="7387">
      <c r="A7387" s="3">
        <f>IFERROR(__xludf.DUMMYFUNCTION("""COMPUTED_VALUE"""),39911.666666666664)</f>
        <v>39911.66667</v>
      </c>
      <c r="B7387" s="2">
        <f>IFERROR(__xludf.DUMMYFUNCTION("""COMPUTED_VALUE"""),94.99)</f>
        <v>94.99</v>
      </c>
      <c r="C7387" s="2">
        <f>IFERROR(__xludf.DUMMYFUNCTION("""COMPUTED_VALUE"""),97.0)</f>
        <v>97</v>
      </c>
      <c r="D7387" s="2">
        <f>IFERROR(__xludf.DUMMYFUNCTION("""COMPUTED_VALUE"""),94.56)</f>
        <v>94.56</v>
      </c>
      <c r="E7387" s="2">
        <f>IFERROR(__xludf.DUMMYFUNCTION("""COMPUTED_VALUE"""),96.65)</f>
        <v>96.65</v>
      </c>
      <c r="F7387" s="2">
        <f>IFERROR(__xludf.DUMMYFUNCTION("""COMPUTED_VALUE"""),7311817.0)</f>
        <v>7311817</v>
      </c>
    </row>
    <row r="7388">
      <c r="A7388" s="3">
        <f>IFERROR(__xludf.DUMMYFUNCTION("""COMPUTED_VALUE"""),39912.666666666664)</f>
        <v>39912.66667</v>
      </c>
      <c r="B7388" s="2">
        <f>IFERROR(__xludf.DUMMYFUNCTION("""COMPUTED_VALUE"""),97.44)</f>
        <v>97.44</v>
      </c>
      <c r="C7388" s="2">
        <f>IFERROR(__xludf.DUMMYFUNCTION("""COMPUTED_VALUE"""),97.86)</f>
        <v>97.86</v>
      </c>
      <c r="D7388" s="2">
        <f>IFERROR(__xludf.DUMMYFUNCTION("""COMPUTED_VALUE"""),95.76)</f>
        <v>95.76</v>
      </c>
      <c r="E7388" s="2">
        <f>IFERROR(__xludf.DUMMYFUNCTION("""COMPUTED_VALUE"""),97.14)</f>
        <v>97.14</v>
      </c>
      <c r="F7388" s="2">
        <f>IFERROR(__xludf.DUMMYFUNCTION("""COMPUTED_VALUE"""),8014029.0)</f>
        <v>8014029</v>
      </c>
    </row>
    <row r="7389">
      <c r="A7389" s="3">
        <f>IFERROR(__xludf.DUMMYFUNCTION("""COMPUTED_VALUE"""),39916.666666666664)</f>
        <v>39916.66667</v>
      </c>
      <c r="B7389" s="2">
        <f>IFERROR(__xludf.DUMMYFUNCTION("""COMPUTED_VALUE"""),95.78)</f>
        <v>95.78</v>
      </c>
      <c r="C7389" s="2">
        <f>IFERROR(__xludf.DUMMYFUNCTION("""COMPUTED_VALUE"""),97.09)</f>
        <v>97.09</v>
      </c>
      <c r="D7389" s="2">
        <f>IFERROR(__xludf.DUMMYFUNCTION("""COMPUTED_VALUE"""),94.6)</f>
        <v>94.6</v>
      </c>
      <c r="E7389" s="2">
        <f>IFERROR(__xludf.DUMMYFUNCTION("""COMPUTED_VALUE"""),95.47)</f>
        <v>95.47</v>
      </c>
      <c r="F7389" s="2">
        <f>IFERROR(__xludf.DUMMYFUNCTION("""COMPUTED_VALUE"""),7797542.0)</f>
        <v>7797542</v>
      </c>
    </row>
    <row r="7390">
      <c r="A7390" s="3">
        <f>IFERROR(__xludf.DUMMYFUNCTION("""COMPUTED_VALUE"""),39917.666666666664)</f>
        <v>39917.66667</v>
      </c>
      <c r="B7390" s="2">
        <f>IFERROR(__xludf.DUMMYFUNCTION("""COMPUTED_VALUE"""),94.64)</f>
        <v>94.64</v>
      </c>
      <c r="C7390" s="2">
        <f>IFERROR(__xludf.DUMMYFUNCTION("""COMPUTED_VALUE"""),95.47)</f>
        <v>95.47</v>
      </c>
      <c r="D7390" s="2">
        <f>IFERROR(__xludf.DUMMYFUNCTION("""COMPUTED_VALUE"""),93.86)</f>
        <v>93.86</v>
      </c>
      <c r="E7390" s="2">
        <f>IFERROR(__xludf.DUMMYFUNCTION("""COMPUTED_VALUE"""),94.82)</f>
        <v>94.82</v>
      </c>
      <c r="F7390" s="2">
        <f>IFERROR(__xludf.DUMMYFUNCTION("""COMPUTED_VALUE"""),6277538.0)</f>
        <v>6277538</v>
      </c>
    </row>
    <row r="7391">
      <c r="A7391" s="3">
        <f>IFERROR(__xludf.DUMMYFUNCTION("""COMPUTED_VALUE"""),39918.666666666664)</f>
        <v>39918.66667</v>
      </c>
      <c r="B7391" s="2">
        <f>IFERROR(__xludf.DUMMYFUNCTION("""COMPUTED_VALUE"""),93.83)</f>
        <v>93.83</v>
      </c>
      <c r="C7391" s="2">
        <f>IFERROR(__xludf.DUMMYFUNCTION("""COMPUTED_VALUE"""),94.62)</f>
        <v>94.62</v>
      </c>
      <c r="D7391" s="2">
        <f>IFERROR(__xludf.DUMMYFUNCTION("""COMPUTED_VALUE"""),92.12)</f>
        <v>92.12</v>
      </c>
      <c r="E7391" s="2">
        <f>IFERROR(__xludf.DUMMYFUNCTION("""COMPUTED_VALUE"""),94.42)</f>
        <v>94.42</v>
      </c>
      <c r="F7391" s="2">
        <f>IFERROR(__xludf.DUMMYFUNCTION("""COMPUTED_VALUE"""),8164390.0)</f>
        <v>8164390</v>
      </c>
    </row>
    <row r="7392">
      <c r="A7392" s="3">
        <f>IFERROR(__xludf.DUMMYFUNCTION("""COMPUTED_VALUE"""),39919.666666666664)</f>
        <v>39919.66667</v>
      </c>
      <c r="B7392" s="2">
        <f>IFERROR(__xludf.DUMMYFUNCTION("""COMPUTED_VALUE"""),95.27)</f>
        <v>95.27</v>
      </c>
      <c r="C7392" s="2">
        <f>IFERROR(__xludf.DUMMYFUNCTION("""COMPUTED_VALUE"""),97.35)</f>
        <v>97.35</v>
      </c>
      <c r="D7392" s="2">
        <f>IFERROR(__xludf.DUMMYFUNCTION("""COMPUTED_VALUE"""),94.73)</f>
        <v>94.73</v>
      </c>
      <c r="E7392" s="2">
        <f>IFERROR(__xludf.DUMMYFUNCTION("""COMPUTED_VALUE"""),96.88)</f>
        <v>96.88</v>
      </c>
      <c r="F7392" s="2">
        <f>IFERROR(__xludf.DUMMYFUNCTION("""COMPUTED_VALUE"""),9260106.0)</f>
        <v>9260106</v>
      </c>
    </row>
    <row r="7393">
      <c r="A7393" s="3">
        <f>IFERROR(__xludf.DUMMYFUNCTION("""COMPUTED_VALUE"""),39920.666666666664)</f>
        <v>39920.66667</v>
      </c>
      <c r="B7393" s="2">
        <f>IFERROR(__xludf.DUMMYFUNCTION("""COMPUTED_VALUE"""),96.64)</f>
        <v>96.64</v>
      </c>
      <c r="C7393" s="2">
        <f>IFERROR(__xludf.DUMMYFUNCTION("""COMPUTED_VALUE"""),97.46)</f>
        <v>97.46</v>
      </c>
      <c r="D7393" s="2">
        <f>IFERROR(__xludf.DUMMYFUNCTION("""COMPUTED_VALUE"""),95.22)</f>
        <v>95.22</v>
      </c>
      <c r="E7393" s="2">
        <f>IFERROR(__xludf.DUMMYFUNCTION("""COMPUTED_VALUE"""),96.73)</f>
        <v>96.73</v>
      </c>
      <c r="F7393" s="2">
        <f>IFERROR(__xludf.DUMMYFUNCTION("""COMPUTED_VALUE"""),1.0218764E7)</f>
        <v>10218764</v>
      </c>
    </row>
    <row r="7394">
      <c r="A7394" s="3">
        <f>IFERROR(__xludf.DUMMYFUNCTION("""COMPUTED_VALUE"""),39923.666666666664)</f>
        <v>39923.66667</v>
      </c>
      <c r="B7394" s="2">
        <f>IFERROR(__xludf.DUMMYFUNCTION("""COMPUTED_VALUE"""),95.79)</f>
        <v>95.79</v>
      </c>
      <c r="C7394" s="2">
        <f>IFERROR(__xludf.DUMMYFUNCTION("""COMPUTED_VALUE"""),96.65)</f>
        <v>96.65</v>
      </c>
      <c r="D7394" s="2">
        <f>IFERROR(__xludf.DUMMYFUNCTION("""COMPUTED_VALUE"""),94.76)</f>
        <v>94.76</v>
      </c>
      <c r="E7394" s="2">
        <f>IFERROR(__xludf.DUMMYFUNCTION("""COMPUTED_VALUE"""),95.93)</f>
        <v>95.93</v>
      </c>
      <c r="F7394" s="2">
        <f>IFERROR(__xludf.DUMMYFUNCTION("""COMPUTED_VALUE"""),1.2588576E7)</f>
        <v>12588576</v>
      </c>
    </row>
    <row r="7395">
      <c r="A7395" s="3">
        <f>IFERROR(__xludf.DUMMYFUNCTION("""COMPUTED_VALUE"""),39924.666666666664)</f>
        <v>39924.66667</v>
      </c>
      <c r="B7395" s="2">
        <f>IFERROR(__xludf.DUMMYFUNCTION("""COMPUTED_VALUE"""),94.0)</f>
        <v>94</v>
      </c>
      <c r="C7395" s="2">
        <f>IFERROR(__xludf.DUMMYFUNCTION("""COMPUTED_VALUE"""),97.89)</f>
        <v>97.89</v>
      </c>
      <c r="D7395" s="2">
        <f>IFERROR(__xludf.DUMMYFUNCTION("""COMPUTED_VALUE"""),93.8)</f>
        <v>93.8</v>
      </c>
      <c r="E7395" s="2">
        <f>IFERROR(__xludf.DUMMYFUNCTION("""COMPUTED_VALUE"""),97.72)</f>
        <v>97.72</v>
      </c>
      <c r="F7395" s="2">
        <f>IFERROR(__xludf.DUMMYFUNCTION("""COMPUTED_VALUE"""),1.5230878E7)</f>
        <v>15230878</v>
      </c>
    </row>
    <row r="7396">
      <c r="A7396" s="3">
        <f>IFERROR(__xludf.DUMMYFUNCTION("""COMPUTED_VALUE"""),39925.666666666664)</f>
        <v>39925.66667</v>
      </c>
      <c r="B7396" s="2">
        <f>IFERROR(__xludf.DUMMYFUNCTION("""COMPUTED_VALUE"""),96.63)</f>
        <v>96.63</v>
      </c>
      <c r="C7396" s="2">
        <f>IFERROR(__xludf.DUMMYFUNCTION("""COMPUTED_VALUE"""),99.2)</f>
        <v>99.2</v>
      </c>
      <c r="D7396" s="2">
        <f>IFERROR(__xludf.DUMMYFUNCTION("""COMPUTED_VALUE"""),96.53)</f>
        <v>96.53</v>
      </c>
      <c r="E7396" s="2">
        <f>IFERROR(__xludf.DUMMYFUNCTION("""COMPUTED_VALUE"""),97.95)</f>
        <v>97.95</v>
      </c>
      <c r="F7396" s="2">
        <f>IFERROR(__xludf.DUMMYFUNCTION("""COMPUTED_VALUE"""),1.2120548E7)</f>
        <v>12120548</v>
      </c>
    </row>
    <row r="7397">
      <c r="A7397" s="3">
        <f>IFERROR(__xludf.DUMMYFUNCTION("""COMPUTED_VALUE"""),39926.666666666664)</f>
        <v>39926.66667</v>
      </c>
      <c r="B7397" s="2">
        <f>IFERROR(__xludf.DUMMYFUNCTION("""COMPUTED_VALUE"""),98.05)</f>
        <v>98.05</v>
      </c>
      <c r="C7397" s="2">
        <f>IFERROR(__xludf.DUMMYFUNCTION("""COMPUTED_VALUE"""),98.17)</f>
        <v>98.17</v>
      </c>
      <c r="D7397" s="2">
        <f>IFERROR(__xludf.DUMMYFUNCTION("""COMPUTED_VALUE"""),95.33)</f>
        <v>95.33</v>
      </c>
      <c r="E7397" s="2">
        <f>IFERROR(__xludf.DUMMYFUNCTION("""COMPUTED_VALUE"""),96.87)</f>
        <v>96.87</v>
      </c>
      <c r="F7397" s="2">
        <f>IFERROR(__xludf.DUMMYFUNCTION("""COMPUTED_VALUE"""),9440413.0)</f>
        <v>9440413</v>
      </c>
    </row>
    <row r="7398">
      <c r="A7398" s="3">
        <f>IFERROR(__xludf.DUMMYFUNCTION("""COMPUTED_VALUE"""),39927.666666666664)</f>
        <v>39927.66667</v>
      </c>
      <c r="B7398" s="2">
        <f>IFERROR(__xludf.DUMMYFUNCTION("""COMPUTED_VALUE"""),96.63)</f>
        <v>96.63</v>
      </c>
      <c r="C7398" s="2">
        <f>IFERROR(__xludf.DUMMYFUNCTION("""COMPUTED_VALUE"""),97.03)</f>
        <v>97.03</v>
      </c>
      <c r="D7398" s="2">
        <f>IFERROR(__xludf.DUMMYFUNCTION("""COMPUTED_VALUE"""),95.04)</f>
        <v>95.04</v>
      </c>
      <c r="E7398" s="2">
        <f>IFERROR(__xludf.DUMMYFUNCTION("""COMPUTED_VALUE"""),95.59)</f>
        <v>95.59</v>
      </c>
      <c r="F7398" s="2">
        <f>IFERROR(__xludf.DUMMYFUNCTION("""COMPUTED_VALUE"""),1.0157513E7)</f>
        <v>10157513</v>
      </c>
    </row>
    <row r="7399">
      <c r="A7399" s="3">
        <f>IFERROR(__xludf.DUMMYFUNCTION("""COMPUTED_VALUE"""),39930.666666666664)</f>
        <v>39930.66667</v>
      </c>
      <c r="B7399" s="2">
        <f>IFERROR(__xludf.DUMMYFUNCTION("""COMPUTED_VALUE"""),95.14)</f>
        <v>95.14</v>
      </c>
      <c r="C7399" s="2">
        <f>IFERROR(__xludf.DUMMYFUNCTION("""COMPUTED_VALUE"""),97.13)</f>
        <v>97.13</v>
      </c>
      <c r="D7399" s="2">
        <f>IFERROR(__xludf.DUMMYFUNCTION("""COMPUTED_VALUE"""),94.84)</f>
        <v>94.84</v>
      </c>
      <c r="E7399" s="2">
        <f>IFERROR(__xludf.DUMMYFUNCTION("""COMPUTED_VALUE"""),95.47)</f>
        <v>95.47</v>
      </c>
      <c r="F7399" s="2">
        <f>IFERROR(__xludf.DUMMYFUNCTION("""COMPUTED_VALUE"""),8612348.0)</f>
        <v>8612348</v>
      </c>
    </row>
    <row r="7400">
      <c r="A7400" s="3">
        <f>IFERROR(__xludf.DUMMYFUNCTION("""COMPUTED_VALUE"""),39931.666666666664)</f>
        <v>39931.66667</v>
      </c>
      <c r="B7400" s="2">
        <f>IFERROR(__xludf.DUMMYFUNCTION("""COMPUTED_VALUE"""),94.91)</f>
        <v>94.91</v>
      </c>
      <c r="C7400" s="2">
        <f>IFERROR(__xludf.DUMMYFUNCTION("""COMPUTED_VALUE"""),98.12)</f>
        <v>98.12</v>
      </c>
      <c r="D7400" s="2">
        <f>IFERROR(__xludf.DUMMYFUNCTION("""COMPUTED_VALUE"""),94.8)</f>
        <v>94.8</v>
      </c>
      <c r="E7400" s="2">
        <f>IFERROR(__xludf.DUMMYFUNCTION("""COMPUTED_VALUE"""),97.37)</f>
        <v>97.37</v>
      </c>
      <c r="F7400" s="2">
        <f>IFERROR(__xludf.DUMMYFUNCTION("""COMPUTED_VALUE"""),1.1111494E7)</f>
        <v>11111494</v>
      </c>
    </row>
    <row r="7401">
      <c r="A7401" s="3">
        <f>IFERROR(__xludf.DUMMYFUNCTION("""COMPUTED_VALUE"""),39932.666666666664)</f>
        <v>39932.66667</v>
      </c>
      <c r="B7401" s="2">
        <f>IFERROR(__xludf.DUMMYFUNCTION("""COMPUTED_VALUE"""),97.41)</f>
        <v>97.41</v>
      </c>
      <c r="C7401" s="2">
        <f>IFERROR(__xludf.DUMMYFUNCTION("""COMPUTED_VALUE"""),100.29)</f>
        <v>100.29</v>
      </c>
      <c r="D7401" s="2">
        <f>IFERROR(__xludf.DUMMYFUNCTION("""COMPUTED_VALUE"""),97.11)</f>
        <v>97.11</v>
      </c>
      <c r="E7401" s="2">
        <f>IFERROR(__xludf.DUMMYFUNCTION("""COMPUTED_VALUE"""),99.38)</f>
        <v>99.38</v>
      </c>
      <c r="F7401" s="2">
        <f>IFERROR(__xludf.DUMMYFUNCTION("""COMPUTED_VALUE"""),9786690.0)</f>
        <v>9786690</v>
      </c>
    </row>
    <row r="7402">
      <c r="A7402" s="3">
        <f>IFERROR(__xludf.DUMMYFUNCTION("""COMPUTED_VALUE"""),39933.666666666664)</f>
        <v>39933.66667</v>
      </c>
      <c r="B7402" s="2">
        <f>IFERROR(__xludf.DUMMYFUNCTION("""COMPUTED_VALUE"""),99.86)</f>
        <v>99.86</v>
      </c>
      <c r="C7402" s="2">
        <f>IFERROR(__xludf.DUMMYFUNCTION("""COMPUTED_VALUE"""),101.3)</f>
        <v>101.3</v>
      </c>
      <c r="D7402" s="2">
        <f>IFERROR(__xludf.DUMMYFUNCTION("""COMPUTED_VALUE"""),98.24)</f>
        <v>98.24</v>
      </c>
      <c r="E7402" s="2">
        <f>IFERROR(__xludf.DUMMYFUNCTION("""COMPUTED_VALUE"""),98.58)</f>
        <v>98.58</v>
      </c>
      <c r="F7402" s="2">
        <f>IFERROR(__xludf.DUMMYFUNCTION("""COMPUTED_VALUE"""),1.0664488E7)</f>
        <v>10664488</v>
      </c>
    </row>
    <row r="7403">
      <c r="A7403" s="3">
        <f>IFERROR(__xludf.DUMMYFUNCTION("""COMPUTED_VALUE"""),39934.666666666664)</f>
        <v>39934.66667</v>
      </c>
      <c r="B7403" s="2">
        <f>IFERROR(__xludf.DUMMYFUNCTION("""COMPUTED_VALUE"""),99.13)</f>
        <v>99.13</v>
      </c>
      <c r="C7403" s="2">
        <f>IFERROR(__xludf.DUMMYFUNCTION("""COMPUTED_VALUE"""),100.16)</f>
        <v>100.16</v>
      </c>
      <c r="D7403" s="2">
        <f>IFERROR(__xludf.DUMMYFUNCTION("""COMPUTED_VALUE"""),98.32)</f>
        <v>98.32</v>
      </c>
      <c r="E7403" s="2">
        <f>IFERROR(__xludf.DUMMYFUNCTION("""COMPUTED_VALUE"""),99.92)</f>
        <v>99.92</v>
      </c>
      <c r="F7403" s="2">
        <f>IFERROR(__xludf.DUMMYFUNCTION("""COMPUTED_VALUE"""),6237185.0)</f>
        <v>6237185</v>
      </c>
    </row>
    <row r="7404">
      <c r="A7404" s="3">
        <f>IFERROR(__xludf.DUMMYFUNCTION("""COMPUTED_VALUE"""),39937.666666666664)</f>
        <v>39937.66667</v>
      </c>
      <c r="B7404" s="2">
        <f>IFERROR(__xludf.DUMMYFUNCTION("""COMPUTED_VALUE"""),100.54)</f>
        <v>100.54</v>
      </c>
      <c r="C7404" s="2">
        <f>IFERROR(__xludf.DUMMYFUNCTION("""COMPUTED_VALUE"""),101.96)</f>
        <v>101.96</v>
      </c>
      <c r="D7404" s="2">
        <f>IFERROR(__xludf.DUMMYFUNCTION("""COMPUTED_VALUE"""),99.92)</f>
        <v>99.92</v>
      </c>
      <c r="E7404" s="2">
        <f>IFERROR(__xludf.DUMMYFUNCTION("""COMPUTED_VALUE"""),101.43)</f>
        <v>101.43</v>
      </c>
      <c r="F7404" s="2">
        <f>IFERROR(__xludf.DUMMYFUNCTION("""COMPUTED_VALUE"""),8314968.0)</f>
        <v>8314968</v>
      </c>
    </row>
    <row r="7405">
      <c r="A7405" s="3">
        <f>IFERROR(__xludf.DUMMYFUNCTION("""COMPUTED_VALUE"""),39938.666666666664)</f>
        <v>39938.66667</v>
      </c>
      <c r="B7405" s="2">
        <f>IFERROR(__xludf.DUMMYFUNCTION("""COMPUTED_VALUE"""),101.25)</f>
        <v>101.25</v>
      </c>
      <c r="C7405" s="2">
        <f>IFERROR(__xludf.DUMMYFUNCTION("""COMPUTED_VALUE"""),102.03)</f>
        <v>102.03</v>
      </c>
      <c r="D7405" s="2">
        <f>IFERROR(__xludf.DUMMYFUNCTION("""COMPUTED_VALUE"""),100.78)</f>
        <v>100.78</v>
      </c>
      <c r="E7405" s="2">
        <f>IFERROR(__xludf.DUMMYFUNCTION("""COMPUTED_VALUE"""),101.1)</f>
        <v>101.1</v>
      </c>
      <c r="F7405" s="2">
        <f>IFERROR(__xludf.DUMMYFUNCTION("""COMPUTED_VALUE"""),6751973.0)</f>
        <v>6751973</v>
      </c>
    </row>
    <row r="7406">
      <c r="A7406" s="3">
        <f>IFERROR(__xludf.DUMMYFUNCTION("""COMPUTED_VALUE"""),39939.666666666664)</f>
        <v>39939.66667</v>
      </c>
      <c r="B7406" s="2">
        <f>IFERROR(__xludf.DUMMYFUNCTION("""COMPUTED_VALUE"""),100.51)</f>
        <v>100.51</v>
      </c>
      <c r="C7406" s="2">
        <f>IFERROR(__xludf.DUMMYFUNCTION("""COMPUTED_VALUE"""),100.77)</f>
        <v>100.77</v>
      </c>
      <c r="D7406" s="2">
        <f>IFERROR(__xludf.DUMMYFUNCTION("""COMPUTED_VALUE"""),99.06)</f>
        <v>99.06</v>
      </c>
      <c r="E7406" s="2">
        <f>IFERROR(__xludf.DUMMYFUNCTION("""COMPUTED_VALUE"""),99.93)</f>
        <v>99.93</v>
      </c>
      <c r="F7406" s="2">
        <f>IFERROR(__xludf.DUMMYFUNCTION("""COMPUTED_VALUE"""),7535537.0)</f>
        <v>7535537</v>
      </c>
    </row>
    <row r="7407">
      <c r="A7407" s="3">
        <f>IFERROR(__xludf.DUMMYFUNCTION("""COMPUTED_VALUE"""),39940.666666666664)</f>
        <v>39940.66667</v>
      </c>
      <c r="B7407" s="2">
        <f>IFERROR(__xludf.DUMMYFUNCTION("""COMPUTED_VALUE"""),99.96)</f>
        <v>99.96</v>
      </c>
      <c r="C7407" s="2">
        <f>IFERROR(__xludf.DUMMYFUNCTION("""COMPUTED_VALUE"""),100.1)</f>
        <v>100.1</v>
      </c>
      <c r="D7407" s="2">
        <f>IFERROR(__xludf.DUMMYFUNCTION("""COMPUTED_VALUE"""),97.26)</f>
        <v>97.26</v>
      </c>
      <c r="E7407" s="2">
        <f>IFERROR(__xludf.DUMMYFUNCTION("""COMPUTED_VALUE"""),97.99)</f>
        <v>97.99</v>
      </c>
      <c r="F7407" s="2">
        <f>IFERROR(__xludf.DUMMYFUNCTION("""COMPUTED_VALUE"""),8524436.0)</f>
        <v>8524436</v>
      </c>
    </row>
    <row r="7408">
      <c r="A7408" s="3">
        <f>IFERROR(__xludf.DUMMYFUNCTION("""COMPUTED_VALUE"""),39941.666666666664)</f>
        <v>39941.66667</v>
      </c>
      <c r="B7408" s="2">
        <f>IFERROR(__xludf.DUMMYFUNCTION("""COMPUTED_VALUE"""),98.94)</f>
        <v>98.94</v>
      </c>
      <c r="C7408" s="2">
        <f>IFERROR(__xludf.DUMMYFUNCTION("""COMPUTED_VALUE"""),99.1)</f>
        <v>99.1</v>
      </c>
      <c r="D7408" s="2">
        <f>IFERROR(__xludf.DUMMYFUNCTION("""COMPUTED_VALUE"""),95.35)</f>
        <v>95.35</v>
      </c>
      <c r="E7408" s="2">
        <f>IFERROR(__xludf.DUMMYFUNCTION("""COMPUTED_VALUE"""),96.94)</f>
        <v>96.94</v>
      </c>
      <c r="F7408" s="2">
        <f>IFERROR(__xludf.DUMMYFUNCTION("""COMPUTED_VALUE"""),1.1575755E7)</f>
        <v>11575755</v>
      </c>
    </row>
    <row r="7409">
      <c r="A7409" s="3">
        <f>IFERROR(__xludf.DUMMYFUNCTION("""COMPUTED_VALUE"""),39944.666666666664)</f>
        <v>39944.66667</v>
      </c>
      <c r="B7409" s="2">
        <f>IFERROR(__xludf.DUMMYFUNCTION("""COMPUTED_VALUE"""),96.56)</f>
        <v>96.56</v>
      </c>
      <c r="C7409" s="2">
        <f>IFERROR(__xludf.DUMMYFUNCTION("""COMPUTED_VALUE"""),99.22)</f>
        <v>99.22</v>
      </c>
      <c r="D7409" s="2">
        <f>IFERROR(__xludf.DUMMYFUNCTION("""COMPUTED_VALUE"""),96.42)</f>
        <v>96.42</v>
      </c>
      <c r="E7409" s="2">
        <f>IFERROR(__xludf.DUMMYFUNCTION("""COMPUTED_VALUE"""),98.29)</f>
        <v>98.29</v>
      </c>
      <c r="F7409" s="2">
        <f>IFERROR(__xludf.DUMMYFUNCTION("""COMPUTED_VALUE"""),8253824.0)</f>
        <v>8253824</v>
      </c>
    </row>
    <row r="7410">
      <c r="A7410" s="3">
        <f>IFERROR(__xludf.DUMMYFUNCTION("""COMPUTED_VALUE"""),39945.666666666664)</f>
        <v>39945.66667</v>
      </c>
      <c r="B7410" s="2">
        <f>IFERROR(__xludf.DUMMYFUNCTION("""COMPUTED_VALUE"""),98.36)</f>
        <v>98.36</v>
      </c>
      <c r="C7410" s="2">
        <f>IFERROR(__xludf.DUMMYFUNCTION("""COMPUTED_VALUE"""),99.7)</f>
        <v>99.7</v>
      </c>
      <c r="D7410" s="2">
        <f>IFERROR(__xludf.DUMMYFUNCTION("""COMPUTED_VALUE"""),97.78)</f>
        <v>97.78</v>
      </c>
      <c r="E7410" s="2">
        <f>IFERROR(__xludf.DUMMYFUNCTION("""COMPUTED_VALUE"""),99.28)</f>
        <v>99.28</v>
      </c>
      <c r="F7410" s="2">
        <f>IFERROR(__xludf.DUMMYFUNCTION("""COMPUTED_VALUE"""),7963605.0)</f>
        <v>7963605</v>
      </c>
    </row>
    <row r="7411">
      <c r="A7411" s="3">
        <f>IFERROR(__xludf.DUMMYFUNCTION("""COMPUTED_VALUE"""),39946.666666666664)</f>
        <v>39946.66667</v>
      </c>
      <c r="B7411" s="2">
        <f>IFERROR(__xludf.DUMMYFUNCTION("""COMPUTED_VALUE"""),98.27)</f>
        <v>98.27</v>
      </c>
      <c r="C7411" s="2">
        <f>IFERROR(__xludf.DUMMYFUNCTION("""COMPUTED_VALUE"""),98.48)</f>
        <v>98.48</v>
      </c>
      <c r="D7411" s="2">
        <f>IFERROR(__xludf.DUMMYFUNCTION("""COMPUTED_VALUE"""),96.81)</f>
        <v>96.81</v>
      </c>
      <c r="E7411" s="2">
        <f>IFERROR(__xludf.DUMMYFUNCTION("""COMPUTED_VALUE"""),97.68)</f>
        <v>97.68</v>
      </c>
      <c r="F7411" s="2">
        <f>IFERROR(__xludf.DUMMYFUNCTION("""COMPUTED_VALUE"""),8202724.0)</f>
        <v>8202724</v>
      </c>
    </row>
    <row r="7412">
      <c r="A7412" s="3">
        <f>IFERROR(__xludf.DUMMYFUNCTION("""COMPUTED_VALUE"""),39947.666666666664)</f>
        <v>39947.66667</v>
      </c>
      <c r="B7412" s="2">
        <f>IFERROR(__xludf.DUMMYFUNCTION("""COMPUTED_VALUE"""),97.16)</f>
        <v>97.16</v>
      </c>
      <c r="C7412" s="2">
        <f>IFERROR(__xludf.DUMMYFUNCTION("""COMPUTED_VALUE"""),98.1)</f>
        <v>98.1</v>
      </c>
      <c r="D7412" s="2">
        <f>IFERROR(__xludf.DUMMYFUNCTION("""COMPUTED_VALUE"""),96.25)</f>
        <v>96.25</v>
      </c>
      <c r="E7412" s="2">
        <f>IFERROR(__xludf.DUMMYFUNCTION("""COMPUTED_VALUE"""),96.52)</f>
        <v>96.52</v>
      </c>
      <c r="F7412" s="2">
        <f>IFERROR(__xludf.DUMMYFUNCTION("""COMPUTED_VALUE"""),9445455.0)</f>
        <v>9445455</v>
      </c>
    </row>
    <row r="7413">
      <c r="A7413" s="3">
        <f>IFERROR(__xludf.DUMMYFUNCTION("""COMPUTED_VALUE"""),39948.666666666664)</f>
        <v>39948.66667</v>
      </c>
      <c r="B7413" s="2">
        <f>IFERROR(__xludf.DUMMYFUNCTION("""COMPUTED_VALUE"""),96.38)</f>
        <v>96.38</v>
      </c>
      <c r="C7413" s="2">
        <f>IFERROR(__xludf.DUMMYFUNCTION("""COMPUTED_VALUE"""),98.45)</f>
        <v>98.45</v>
      </c>
      <c r="D7413" s="2">
        <f>IFERROR(__xludf.DUMMYFUNCTION("""COMPUTED_VALUE"""),96.06)</f>
        <v>96.06</v>
      </c>
      <c r="E7413" s="2">
        <f>IFERROR(__xludf.DUMMYFUNCTION("""COMPUTED_VALUE"""),96.82)</f>
        <v>96.82</v>
      </c>
      <c r="F7413" s="2">
        <f>IFERROR(__xludf.DUMMYFUNCTION("""COMPUTED_VALUE"""),8367739.0)</f>
        <v>8367739</v>
      </c>
    </row>
    <row r="7414">
      <c r="A7414" s="3">
        <f>IFERROR(__xludf.DUMMYFUNCTION("""COMPUTED_VALUE"""),39951.666666666664)</f>
        <v>39951.66667</v>
      </c>
      <c r="B7414" s="2">
        <f>IFERROR(__xludf.DUMMYFUNCTION("""COMPUTED_VALUE"""),97.43)</f>
        <v>97.43</v>
      </c>
      <c r="C7414" s="2">
        <f>IFERROR(__xludf.DUMMYFUNCTION("""COMPUTED_VALUE"""),100.02)</f>
        <v>100.02</v>
      </c>
      <c r="D7414" s="2">
        <f>IFERROR(__xludf.DUMMYFUNCTION("""COMPUTED_VALUE"""),97.37)</f>
        <v>97.37</v>
      </c>
      <c r="E7414" s="2">
        <f>IFERROR(__xludf.DUMMYFUNCTION("""COMPUTED_VALUE"""),99.89)</f>
        <v>99.89</v>
      </c>
      <c r="F7414" s="2">
        <f>IFERROR(__xludf.DUMMYFUNCTION("""COMPUTED_VALUE"""),7429409.0)</f>
        <v>7429409</v>
      </c>
    </row>
    <row r="7415">
      <c r="A7415" s="3">
        <f>IFERROR(__xludf.DUMMYFUNCTION("""COMPUTED_VALUE"""),39952.666666666664)</f>
        <v>39952.66667</v>
      </c>
      <c r="B7415" s="2">
        <f>IFERROR(__xludf.DUMMYFUNCTION("""COMPUTED_VALUE"""),99.65)</f>
        <v>99.65</v>
      </c>
      <c r="C7415" s="2">
        <f>IFERROR(__xludf.DUMMYFUNCTION("""COMPUTED_VALUE"""),101.36)</f>
        <v>101.36</v>
      </c>
      <c r="D7415" s="2">
        <f>IFERROR(__xludf.DUMMYFUNCTION("""COMPUTED_VALUE"""),99.34)</f>
        <v>99.34</v>
      </c>
      <c r="E7415" s="2">
        <f>IFERROR(__xludf.DUMMYFUNCTION("""COMPUTED_VALUE"""),100.78)</f>
        <v>100.78</v>
      </c>
      <c r="F7415" s="2">
        <f>IFERROR(__xludf.DUMMYFUNCTION("""COMPUTED_VALUE"""),7079435.0)</f>
        <v>7079435</v>
      </c>
    </row>
    <row r="7416">
      <c r="A7416" s="3">
        <f>IFERROR(__xludf.DUMMYFUNCTION("""COMPUTED_VALUE"""),39953.666666666664)</f>
        <v>39953.66667</v>
      </c>
      <c r="B7416" s="2">
        <f>IFERROR(__xludf.DUMMYFUNCTION("""COMPUTED_VALUE"""),100.78)</f>
        <v>100.78</v>
      </c>
      <c r="C7416" s="2">
        <f>IFERROR(__xludf.DUMMYFUNCTION("""COMPUTED_VALUE"""),101.23)</f>
        <v>101.23</v>
      </c>
      <c r="D7416" s="2">
        <f>IFERROR(__xludf.DUMMYFUNCTION("""COMPUTED_VALUE"""),99.16)</f>
        <v>99.16</v>
      </c>
      <c r="E7416" s="2">
        <f>IFERROR(__xludf.DUMMYFUNCTION("""COMPUTED_VALUE"""),99.38)</f>
        <v>99.38</v>
      </c>
      <c r="F7416" s="2">
        <f>IFERROR(__xludf.DUMMYFUNCTION("""COMPUTED_VALUE"""),7083138.0)</f>
        <v>7083138</v>
      </c>
    </row>
    <row r="7417">
      <c r="A7417" s="3">
        <f>IFERROR(__xludf.DUMMYFUNCTION("""COMPUTED_VALUE"""),39954.666666666664)</f>
        <v>39954.66667</v>
      </c>
      <c r="B7417" s="2">
        <f>IFERROR(__xludf.DUMMYFUNCTION("""COMPUTED_VALUE"""),98.45)</f>
        <v>98.45</v>
      </c>
      <c r="C7417" s="2">
        <f>IFERROR(__xludf.DUMMYFUNCTION("""COMPUTED_VALUE"""),98.62)</f>
        <v>98.62</v>
      </c>
      <c r="D7417" s="2">
        <f>IFERROR(__xludf.DUMMYFUNCTION("""COMPUTED_VALUE"""),97.18)</f>
        <v>97.18</v>
      </c>
      <c r="E7417" s="2">
        <f>IFERROR(__xludf.DUMMYFUNCTION("""COMPUTED_VALUE"""),98.21)</f>
        <v>98.21</v>
      </c>
      <c r="F7417" s="2">
        <f>IFERROR(__xludf.DUMMYFUNCTION("""COMPUTED_VALUE"""),7411431.0)</f>
        <v>7411431</v>
      </c>
    </row>
    <row r="7418">
      <c r="A7418" s="3">
        <f>IFERROR(__xludf.DUMMYFUNCTION("""COMPUTED_VALUE"""),39955.666666666664)</f>
        <v>39955.66667</v>
      </c>
      <c r="B7418" s="2">
        <f>IFERROR(__xludf.DUMMYFUNCTION("""COMPUTED_VALUE"""),98.07)</f>
        <v>98.07</v>
      </c>
      <c r="C7418" s="2">
        <f>IFERROR(__xludf.DUMMYFUNCTION("""COMPUTED_VALUE"""),98.68)</f>
        <v>98.68</v>
      </c>
      <c r="D7418" s="2">
        <f>IFERROR(__xludf.DUMMYFUNCTION("""COMPUTED_VALUE"""),97.19)</f>
        <v>97.19</v>
      </c>
      <c r="E7418" s="2">
        <f>IFERROR(__xludf.DUMMYFUNCTION("""COMPUTED_VALUE"""),97.32)</f>
        <v>97.32</v>
      </c>
      <c r="F7418" s="2">
        <f>IFERROR(__xludf.DUMMYFUNCTION("""COMPUTED_VALUE"""),5596474.0)</f>
        <v>5596474</v>
      </c>
    </row>
    <row r="7419">
      <c r="A7419" s="3">
        <f>IFERROR(__xludf.DUMMYFUNCTION("""COMPUTED_VALUE"""),39959.666666666664)</f>
        <v>39959.66667</v>
      </c>
      <c r="B7419" s="2">
        <f>IFERROR(__xludf.DUMMYFUNCTION("""COMPUTED_VALUE"""),96.78)</f>
        <v>96.78</v>
      </c>
      <c r="C7419" s="2">
        <f>IFERROR(__xludf.DUMMYFUNCTION("""COMPUTED_VALUE"""),100.89)</f>
        <v>100.89</v>
      </c>
      <c r="D7419" s="2">
        <f>IFERROR(__xludf.DUMMYFUNCTION("""COMPUTED_VALUE"""),96.49)</f>
        <v>96.49</v>
      </c>
      <c r="E7419" s="2">
        <f>IFERROR(__xludf.DUMMYFUNCTION("""COMPUTED_VALUE"""),100.31)</f>
        <v>100.31</v>
      </c>
      <c r="F7419" s="2">
        <f>IFERROR(__xludf.DUMMYFUNCTION("""COMPUTED_VALUE"""),7211942.0)</f>
        <v>7211942</v>
      </c>
    </row>
    <row r="7420">
      <c r="A7420" s="3">
        <f>IFERROR(__xludf.DUMMYFUNCTION("""COMPUTED_VALUE"""),39960.666666666664)</f>
        <v>39960.66667</v>
      </c>
      <c r="B7420" s="2">
        <f>IFERROR(__xludf.DUMMYFUNCTION("""COMPUTED_VALUE"""),99.66)</f>
        <v>99.66</v>
      </c>
      <c r="C7420" s="2">
        <f>IFERROR(__xludf.DUMMYFUNCTION("""COMPUTED_VALUE"""),100.45)</f>
        <v>100.45</v>
      </c>
      <c r="D7420" s="2">
        <f>IFERROR(__xludf.DUMMYFUNCTION("""COMPUTED_VALUE"""),98.3)</f>
        <v>98.3</v>
      </c>
      <c r="E7420" s="2">
        <f>IFERROR(__xludf.DUMMYFUNCTION("""COMPUTED_VALUE"""),98.32)</f>
        <v>98.32</v>
      </c>
      <c r="F7420" s="2">
        <f>IFERROR(__xludf.DUMMYFUNCTION("""COMPUTED_VALUE"""),7121132.0)</f>
        <v>7121132</v>
      </c>
    </row>
    <row r="7421">
      <c r="A7421" s="3">
        <f>IFERROR(__xludf.DUMMYFUNCTION("""COMPUTED_VALUE"""),39961.666666666664)</f>
        <v>39961.66667</v>
      </c>
      <c r="B7421" s="2">
        <f>IFERROR(__xludf.DUMMYFUNCTION("""COMPUTED_VALUE"""),98.71)</f>
        <v>98.71</v>
      </c>
      <c r="C7421" s="2">
        <f>IFERROR(__xludf.DUMMYFUNCTION("""COMPUTED_VALUE"""),100.43)</f>
        <v>100.43</v>
      </c>
      <c r="D7421" s="2">
        <f>IFERROR(__xludf.DUMMYFUNCTION("""COMPUTED_VALUE"""),98.08)</f>
        <v>98.08</v>
      </c>
      <c r="E7421" s="2">
        <f>IFERROR(__xludf.DUMMYFUNCTION("""COMPUTED_VALUE"""),100.0)</f>
        <v>100</v>
      </c>
      <c r="F7421" s="2">
        <f>IFERROR(__xludf.DUMMYFUNCTION("""COMPUTED_VALUE"""),6127885.0)</f>
        <v>6127885</v>
      </c>
    </row>
    <row r="7422">
      <c r="A7422" s="3">
        <f>IFERROR(__xludf.DUMMYFUNCTION("""COMPUTED_VALUE"""),39962.666666666664)</f>
        <v>39962.66667</v>
      </c>
      <c r="B7422" s="2">
        <f>IFERROR(__xludf.DUMMYFUNCTION("""COMPUTED_VALUE"""),99.79)</f>
        <v>99.79</v>
      </c>
      <c r="C7422" s="2">
        <f>IFERROR(__xludf.DUMMYFUNCTION("""COMPUTED_VALUE"""),101.72)</f>
        <v>101.72</v>
      </c>
      <c r="D7422" s="2">
        <f>IFERROR(__xludf.DUMMYFUNCTION("""COMPUTED_VALUE"""),99.29)</f>
        <v>99.29</v>
      </c>
      <c r="E7422" s="2">
        <f>IFERROR(__xludf.DUMMYFUNCTION("""COMPUTED_VALUE"""),101.51)</f>
        <v>101.51</v>
      </c>
      <c r="F7422" s="2">
        <f>IFERROR(__xludf.DUMMYFUNCTION("""COMPUTED_VALUE"""),6871876.0)</f>
        <v>6871876</v>
      </c>
    </row>
    <row r="7423">
      <c r="A7423" s="3">
        <f>IFERROR(__xludf.DUMMYFUNCTION("""COMPUTED_VALUE"""),39965.666666666664)</f>
        <v>39965.66667</v>
      </c>
      <c r="B7423" s="2">
        <f>IFERROR(__xludf.DUMMYFUNCTION("""COMPUTED_VALUE"""),102.15)</f>
        <v>102.15</v>
      </c>
      <c r="C7423" s="2">
        <f>IFERROR(__xludf.DUMMYFUNCTION("""COMPUTED_VALUE"""),103.8)</f>
        <v>103.8</v>
      </c>
      <c r="D7423" s="2">
        <f>IFERROR(__xludf.DUMMYFUNCTION("""COMPUTED_VALUE"""),101.89)</f>
        <v>101.89</v>
      </c>
      <c r="E7423" s="2">
        <f>IFERROR(__xludf.DUMMYFUNCTION("""COMPUTED_VALUE"""),103.51)</f>
        <v>103.51</v>
      </c>
      <c r="F7423" s="2">
        <f>IFERROR(__xludf.DUMMYFUNCTION("""COMPUTED_VALUE"""),7725911.0)</f>
        <v>7725911</v>
      </c>
    </row>
    <row r="7424">
      <c r="A7424" s="3">
        <f>IFERROR(__xludf.DUMMYFUNCTION("""COMPUTED_VALUE"""),39966.666666666664)</f>
        <v>39966.66667</v>
      </c>
      <c r="B7424" s="2">
        <f>IFERROR(__xludf.DUMMYFUNCTION("""COMPUTED_VALUE"""),102.69)</f>
        <v>102.69</v>
      </c>
      <c r="C7424" s="2">
        <f>IFERROR(__xludf.DUMMYFUNCTION("""COMPUTED_VALUE"""),103.92)</f>
        <v>103.92</v>
      </c>
      <c r="D7424" s="2">
        <f>IFERROR(__xludf.DUMMYFUNCTION("""COMPUTED_VALUE"""),101.88)</f>
        <v>101.88</v>
      </c>
      <c r="E7424" s="2">
        <f>IFERROR(__xludf.DUMMYFUNCTION("""COMPUTED_VALUE"""),102.04)</f>
        <v>102.04</v>
      </c>
      <c r="F7424" s="2">
        <f>IFERROR(__xludf.DUMMYFUNCTION("""COMPUTED_VALUE"""),7046035.0)</f>
        <v>7046035</v>
      </c>
    </row>
    <row r="7425">
      <c r="A7425" s="3">
        <f>IFERROR(__xludf.DUMMYFUNCTION("""COMPUTED_VALUE"""),39967.666666666664)</f>
        <v>39967.66667</v>
      </c>
      <c r="B7425" s="2">
        <f>IFERROR(__xludf.DUMMYFUNCTION("""COMPUTED_VALUE"""),101.75)</f>
        <v>101.75</v>
      </c>
      <c r="C7425" s="2">
        <f>IFERROR(__xludf.DUMMYFUNCTION("""COMPUTED_VALUE"""),101.82)</f>
        <v>101.82</v>
      </c>
      <c r="D7425" s="2">
        <f>IFERROR(__xludf.DUMMYFUNCTION("""COMPUTED_VALUE"""),100.4)</f>
        <v>100.4</v>
      </c>
      <c r="E7425" s="2">
        <f>IFERROR(__xludf.DUMMYFUNCTION("""COMPUTED_VALUE"""),101.72)</f>
        <v>101.72</v>
      </c>
      <c r="F7425" s="2">
        <f>IFERROR(__xludf.DUMMYFUNCTION("""COMPUTED_VALUE"""),7688214.0)</f>
        <v>7688214</v>
      </c>
    </row>
    <row r="7426">
      <c r="A7426" s="3">
        <f>IFERROR(__xludf.DUMMYFUNCTION("""COMPUTED_VALUE"""),39968.666666666664)</f>
        <v>39968.66667</v>
      </c>
      <c r="B7426" s="2">
        <f>IFERROR(__xludf.DUMMYFUNCTION("""COMPUTED_VALUE"""),101.41)</f>
        <v>101.41</v>
      </c>
      <c r="C7426" s="2">
        <f>IFERROR(__xludf.DUMMYFUNCTION("""COMPUTED_VALUE"""),102.08)</f>
        <v>102.08</v>
      </c>
      <c r="D7426" s="2">
        <f>IFERROR(__xludf.DUMMYFUNCTION("""COMPUTED_VALUE"""),100.87)</f>
        <v>100.87</v>
      </c>
      <c r="E7426" s="2">
        <f>IFERROR(__xludf.DUMMYFUNCTION("""COMPUTED_VALUE"""),101.56)</f>
        <v>101.56</v>
      </c>
      <c r="F7426" s="2">
        <f>IFERROR(__xludf.DUMMYFUNCTION("""COMPUTED_VALUE"""),5468792.0)</f>
        <v>5468792</v>
      </c>
    </row>
    <row r="7427">
      <c r="A7427" s="3">
        <f>IFERROR(__xludf.DUMMYFUNCTION("""COMPUTED_VALUE"""),39969.666666666664)</f>
        <v>39969.66667</v>
      </c>
      <c r="B7427" s="2">
        <f>IFERROR(__xludf.DUMMYFUNCTION("""COMPUTED_VALUE"""),102.52)</f>
        <v>102.52</v>
      </c>
      <c r="C7427" s="2">
        <f>IFERROR(__xludf.DUMMYFUNCTION("""COMPUTED_VALUE"""),103.54)</f>
        <v>103.54</v>
      </c>
      <c r="D7427" s="2">
        <f>IFERROR(__xludf.DUMMYFUNCTION("""COMPUTED_VALUE"""),101.96)</f>
        <v>101.96</v>
      </c>
      <c r="E7427" s="2">
        <f>IFERROR(__xludf.DUMMYFUNCTION("""COMPUTED_VALUE"""),102.43)</f>
        <v>102.43</v>
      </c>
      <c r="F7427" s="2">
        <f>IFERROR(__xludf.DUMMYFUNCTION("""COMPUTED_VALUE"""),7665350.0)</f>
        <v>7665350</v>
      </c>
    </row>
    <row r="7428">
      <c r="A7428" s="3">
        <f>IFERROR(__xludf.DUMMYFUNCTION("""COMPUTED_VALUE"""),39972.666666666664)</f>
        <v>39972.66667</v>
      </c>
      <c r="B7428" s="2">
        <f>IFERROR(__xludf.DUMMYFUNCTION("""COMPUTED_VALUE"""),101.86)</f>
        <v>101.86</v>
      </c>
      <c r="C7428" s="2">
        <f>IFERROR(__xludf.DUMMYFUNCTION("""COMPUTED_VALUE"""),103.14)</f>
        <v>103.14</v>
      </c>
      <c r="D7428" s="2">
        <f>IFERROR(__xludf.DUMMYFUNCTION("""COMPUTED_VALUE"""),100.77)</f>
        <v>100.77</v>
      </c>
      <c r="E7428" s="2">
        <f>IFERROR(__xludf.DUMMYFUNCTION("""COMPUTED_VALUE"""),102.67)</f>
        <v>102.67</v>
      </c>
      <c r="F7428" s="2">
        <f>IFERROR(__xludf.DUMMYFUNCTION("""COMPUTED_VALUE"""),6364301.0)</f>
        <v>6364301</v>
      </c>
    </row>
    <row r="7429">
      <c r="A7429" s="3">
        <f>IFERROR(__xludf.DUMMYFUNCTION("""COMPUTED_VALUE"""),39973.666666666664)</f>
        <v>39973.66667</v>
      </c>
      <c r="B7429" s="2">
        <f>IFERROR(__xludf.DUMMYFUNCTION("""COMPUTED_VALUE"""),103.3)</f>
        <v>103.3</v>
      </c>
      <c r="C7429" s="2">
        <f>IFERROR(__xludf.DUMMYFUNCTION("""COMPUTED_VALUE"""),104.25)</f>
        <v>104.25</v>
      </c>
      <c r="D7429" s="2">
        <f>IFERROR(__xludf.DUMMYFUNCTION("""COMPUTED_VALUE"""),103.15)</f>
        <v>103.15</v>
      </c>
      <c r="E7429" s="2">
        <f>IFERROR(__xludf.DUMMYFUNCTION("""COMPUTED_VALUE"""),103.29)</f>
        <v>103.29</v>
      </c>
      <c r="F7429" s="2">
        <f>IFERROR(__xludf.DUMMYFUNCTION("""COMPUTED_VALUE"""),8592752.0)</f>
        <v>8592752</v>
      </c>
    </row>
    <row r="7430">
      <c r="A7430" s="3">
        <f>IFERROR(__xludf.DUMMYFUNCTION("""COMPUTED_VALUE"""),39974.666666666664)</f>
        <v>39974.66667</v>
      </c>
      <c r="B7430" s="2">
        <f>IFERROR(__xludf.DUMMYFUNCTION("""COMPUTED_VALUE"""),104.3)</f>
        <v>104.3</v>
      </c>
      <c r="C7430" s="2">
        <f>IFERROR(__xludf.DUMMYFUNCTION("""COMPUTED_VALUE"""),104.38)</f>
        <v>104.38</v>
      </c>
      <c r="D7430" s="2">
        <f>IFERROR(__xludf.DUMMYFUNCTION("""COMPUTED_VALUE"""),102.25)</f>
        <v>102.25</v>
      </c>
      <c r="E7430" s="2">
        <f>IFERROR(__xludf.DUMMYFUNCTION("""COMPUTED_VALUE"""),103.49)</f>
        <v>103.49</v>
      </c>
      <c r="F7430" s="2">
        <f>IFERROR(__xludf.DUMMYFUNCTION("""COMPUTED_VALUE"""),7578705.0)</f>
        <v>7578705</v>
      </c>
    </row>
    <row r="7431">
      <c r="A7431" s="3">
        <f>IFERROR(__xludf.DUMMYFUNCTION("""COMPUTED_VALUE"""),39975.666666666664)</f>
        <v>39975.66667</v>
      </c>
      <c r="B7431" s="2">
        <f>IFERROR(__xludf.DUMMYFUNCTION("""COMPUTED_VALUE"""),103.87)</f>
        <v>103.87</v>
      </c>
      <c r="C7431" s="2">
        <f>IFERROR(__xludf.DUMMYFUNCTION("""COMPUTED_VALUE"""),105.68)</f>
        <v>105.68</v>
      </c>
      <c r="D7431" s="2">
        <f>IFERROR(__xludf.DUMMYFUNCTION("""COMPUTED_VALUE"""),103.69)</f>
        <v>103.69</v>
      </c>
      <c r="E7431" s="2">
        <f>IFERROR(__xludf.DUMMYFUNCTION("""COMPUTED_VALUE"""),104.49)</f>
        <v>104.49</v>
      </c>
      <c r="F7431" s="2">
        <f>IFERROR(__xludf.DUMMYFUNCTION("""COMPUTED_VALUE"""),9136089.0)</f>
        <v>9136089</v>
      </c>
    </row>
    <row r="7432">
      <c r="A7432" s="3">
        <f>IFERROR(__xludf.DUMMYFUNCTION("""COMPUTED_VALUE"""),39976.666666666664)</f>
        <v>39976.66667</v>
      </c>
      <c r="B7432" s="2">
        <f>IFERROR(__xludf.DUMMYFUNCTION("""COMPUTED_VALUE"""),103.54)</f>
        <v>103.54</v>
      </c>
      <c r="C7432" s="2">
        <f>IFERROR(__xludf.DUMMYFUNCTION("""COMPUTED_VALUE"""),104.38)</f>
        <v>104.38</v>
      </c>
      <c r="D7432" s="2">
        <f>IFERROR(__xludf.DUMMYFUNCTION("""COMPUTED_VALUE"""),102.92)</f>
        <v>102.92</v>
      </c>
      <c r="E7432" s="2">
        <f>IFERROR(__xludf.DUMMYFUNCTION("""COMPUTED_VALUE"""),103.36)</f>
        <v>103.36</v>
      </c>
      <c r="F7432" s="2">
        <f>IFERROR(__xludf.DUMMYFUNCTION("""COMPUTED_VALUE"""),7250917.0)</f>
        <v>7250917</v>
      </c>
    </row>
    <row r="7433">
      <c r="A7433" s="3">
        <f>IFERROR(__xludf.DUMMYFUNCTION("""COMPUTED_VALUE"""),39979.666666666664)</f>
        <v>39979.66667</v>
      </c>
      <c r="B7433" s="2">
        <f>IFERROR(__xludf.DUMMYFUNCTION("""COMPUTED_VALUE"""),102.8)</f>
        <v>102.8</v>
      </c>
      <c r="C7433" s="2">
        <f>IFERROR(__xludf.DUMMYFUNCTION("""COMPUTED_VALUE"""),103.95)</f>
        <v>103.95</v>
      </c>
      <c r="D7433" s="2">
        <f>IFERROR(__xludf.DUMMYFUNCTION("""COMPUTED_VALUE"""),102.43)</f>
        <v>102.43</v>
      </c>
      <c r="E7433" s="2">
        <f>IFERROR(__xludf.DUMMYFUNCTION("""COMPUTED_VALUE"""),102.79)</f>
        <v>102.79</v>
      </c>
      <c r="F7433" s="2">
        <f>IFERROR(__xludf.DUMMYFUNCTION("""COMPUTED_VALUE"""),8567686.0)</f>
        <v>8567686</v>
      </c>
    </row>
    <row r="7434">
      <c r="A7434" s="3">
        <f>IFERROR(__xludf.DUMMYFUNCTION("""COMPUTED_VALUE"""),39980.666666666664)</f>
        <v>39980.66667</v>
      </c>
      <c r="B7434" s="2">
        <f>IFERROR(__xludf.DUMMYFUNCTION("""COMPUTED_VALUE"""),103.61)</f>
        <v>103.61</v>
      </c>
      <c r="C7434" s="2">
        <f>IFERROR(__xludf.DUMMYFUNCTION("""COMPUTED_VALUE"""),104.25)</f>
        <v>104.25</v>
      </c>
      <c r="D7434" s="2">
        <f>IFERROR(__xludf.DUMMYFUNCTION("""COMPUTED_VALUE"""),102.46)</f>
        <v>102.46</v>
      </c>
      <c r="E7434" s="2">
        <f>IFERROR(__xludf.DUMMYFUNCTION("""COMPUTED_VALUE"""),102.51)</f>
        <v>102.51</v>
      </c>
      <c r="F7434" s="2">
        <f>IFERROR(__xludf.DUMMYFUNCTION("""COMPUTED_VALUE"""),7231444.0)</f>
        <v>7231444</v>
      </c>
    </row>
    <row r="7435">
      <c r="A7435" s="3">
        <f>IFERROR(__xludf.DUMMYFUNCTION("""COMPUTED_VALUE"""),39981.666666666664)</f>
        <v>39981.66667</v>
      </c>
      <c r="B7435" s="2">
        <f>IFERROR(__xludf.DUMMYFUNCTION("""COMPUTED_VALUE"""),102.64)</f>
        <v>102.64</v>
      </c>
      <c r="C7435" s="2">
        <f>IFERROR(__xludf.DUMMYFUNCTION("""COMPUTED_VALUE"""),103.04)</f>
        <v>103.04</v>
      </c>
      <c r="D7435" s="2">
        <f>IFERROR(__xludf.DUMMYFUNCTION("""COMPUTED_VALUE"""),102.09)</f>
        <v>102.09</v>
      </c>
      <c r="E7435" s="2">
        <f>IFERROR(__xludf.DUMMYFUNCTION("""COMPUTED_VALUE"""),102.2)</f>
        <v>102.2</v>
      </c>
      <c r="F7435" s="2">
        <f>IFERROR(__xludf.DUMMYFUNCTION("""COMPUTED_VALUE"""),7366166.0)</f>
        <v>7366166</v>
      </c>
    </row>
    <row r="7436">
      <c r="A7436" s="3">
        <f>IFERROR(__xludf.DUMMYFUNCTION("""COMPUTED_VALUE"""),39982.666666666664)</f>
        <v>39982.66667</v>
      </c>
      <c r="B7436" s="2">
        <f>IFERROR(__xludf.DUMMYFUNCTION("""COMPUTED_VALUE"""),102.14)</f>
        <v>102.14</v>
      </c>
      <c r="C7436" s="2">
        <f>IFERROR(__xludf.DUMMYFUNCTION("""COMPUTED_VALUE"""),102.71)</f>
        <v>102.71</v>
      </c>
      <c r="D7436" s="2">
        <f>IFERROR(__xludf.DUMMYFUNCTION("""COMPUTED_VALUE"""),101.36)</f>
        <v>101.36</v>
      </c>
      <c r="E7436" s="2">
        <f>IFERROR(__xludf.DUMMYFUNCTION("""COMPUTED_VALUE"""),101.56)</f>
        <v>101.56</v>
      </c>
      <c r="F7436" s="2">
        <f>IFERROR(__xludf.DUMMYFUNCTION("""COMPUTED_VALUE"""),6207156.0)</f>
        <v>6207156</v>
      </c>
    </row>
    <row r="7437">
      <c r="A7437" s="3">
        <f>IFERROR(__xludf.DUMMYFUNCTION("""COMPUTED_VALUE"""),39983.666666666664)</f>
        <v>39983.66667</v>
      </c>
      <c r="B7437" s="2">
        <f>IFERROR(__xludf.DUMMYFUNCTION("""COMPUTED_VALUE"""),101.54)</f>
        <v>101.54</v>
      </c>
      <c r="C7437" s="2">
        <f>IFERROR(__xludf.DUMMYFUNCTION("""COMPUTED_VALUE"""),101.87)</f>
        <v>101.87</v>
      </c>
      <c r="D7437" s="2">
        <f>IFERROR(__xludf.DUMMYFUNCTION("""COMPUTED_VALUE"""),100.77)</f>
        <v>100.77</v>
      </c>
      <c r="E7437" s="2">
        <f>IFERROR(__xludf.DUMMYFUNCTION("""COMPUTED_VALUE"""),101.14)</f>
        <v>101.14</v>
      </c>
      <c r="F7437" s="2">
        <f>IFERROR(__xludf.DUMMYFUNCTION("""COMPUTED_VALUE"""),1.3562225E7)</f>
        <v>13562225</v>
      </c>
    </row>
    <row r="7438">
      <c r="A7438" s="3">
        <f>IFERROR(__xludf.DUMMYFUNCTION("""COMPUTED_VALUE"""),39986.666666666664)</f>
        <v>39986.66667</v>
      </c>
      <c r="B7438" s="2">
        <f>IFERROR(__xludf.DUMMYFUNCTION("""COMPUTED_VALUE"""),100.46)</f>
        <v>100.46</v>
      </c>
      <c r="C7438" s="2">
        <f>IFERROR(__xludf.DUMMYFUNCTION("""COMPUTED_VALUE"""),101.13)</f>
        <v>101.13</v>
      </c>
      <c r="D7438" s="2">
        <f>IFERROR(__xludf.DUMMYFUNCTION("""COMPUTED_VALUE"""),99.56)</f>
        <v>99.56</v>
      </c>
      <c r="E7438" s="2">
        <f>IFERROR(__xludf.DUMMYFUNCTION("""COMPUTED_VALUE"""),99.83)</f>
        <v>99.83</v>
      </c>
      <c r="F7438" s="2">
        <f>IFERROR(__xludf.DUMMYFUNCTION("""COMPUTED_VALUE"""),7296198.0)</f>
        <v>7296198</v>
      </c>
    </row>
    <row r="7439">
      <c r="A7439" s="3">
        <f>IFERROR(__xludf.DUMMYFUNCTION("""COMPUTED_VALUE"""),39987.666666666664)</f>
        <v>39987.66667</v>
      </c>
      <c r="B7439" s="2">
        <f>IFERROR(__xludf.DUMMYFUNCTION("""COMPUTED_VALUE"""),100.05)</f>
        <v>100.05</v>
      </c>
      <c r="C7439" s="2">
        <f>IFERROR(__xludf.DUMMYFUNCTION("""COMPUTED_VALUE"""),100.17)</f>
        <v>100.17</v>
      </c>
      <c r="D7439" s="2">
        <f>IFERROR(__xludf.DUMMYFUNCTION("""COMPUTED_VALUE"""),99.14)</f>
        <v>99.14</v>
      </c>
      <c r="E7439" s="2">
        <f>IFERROR(__xludf.DUMMYFUNCTION("""COMPUTED_VALUE"""),99.76)</f>
        <v>99.76</v>
      </c>
      <c r="F7439" s="2">
        <f>IFERROR(__xludf.DUMMYFUNCTION("""COMPUTED_VALUE"""),5154084.0)</f>
        <v>5154084</v>
      </c>
    </row>
    <row r="7440">
      <c r="A7440" s="3">
        <f>IFERROR(__xludf.DUMMYFUNCTION("""COMPUTED_VALUE"""),39988.666666666664)</f>
        <v>39988.66667</v>
      </c>
      <c r="B7440" s="2">
        <f>IFERROR(__xludf.DUMMYFUNCTION("""COMPUTED_VALUE"""),100.66)</f>
        <v>100.66</v>
      </c>
      <c r="C7440" s="2">
        <f>IFERROR(__xludf.DUMMYFUNCTION("""COMPUTED_VALUE"""),101.71)</f>
        <v>101.71</v>
      </c>
      <c r="D7440" s="2">
        <f>IFERROR(__xludf.DUMMYFUNCTION("""COMPUTED_VALUE"""),99.07)</f>
        <v>99.07</v>
      </c>
      <c r="E7440" s="2">
        <f>IFERROR(__xludf.DUMMYFUNCTION("""COMPUTED_VALUE"""),99.48)</f>
        <v>99.48</v>
      </c>
      <c r="F7440" s="2">
        <f>IFERROR(__xludf.DUMMYFUNCTION("""COMPUTED_VALUE"""),6395356.0)</f>
        <v>6395356</v>
      </c>
    </row>
    <row r="7441">
      <c r="A7441" s="3">
        <f>IFERROR(__xludf.DUMMYFUNCTION("""COMPUTED_VALUE"""),39989.666666666664)</f>
        <v>39989.66667</v>
      </c>
      <c r="B7441" s="2">
        <f>IFERROR(__xludf.DUMMYFUNCTION("""COMPUTED_VALUE"""),99.05)</f>
        <v>99.05</v>
      </c>
      <c r="C7441" s="2">
        <f>IFERROR(__xludf.DUMMYFUNCTION("""COMPUTED_VALUE"""),102.0)</f>
        <v>102</v>
      </c>
      <c r="D7441" s="2">
        <f>IFERROR(__xludf.DUMMYFUNCTION("""COMPUTED_VALUE"""),98.87)</f>
        <v>98.87</v>
      </c>
      <c r="E7441" s="2">
        <f>IFERROR(__xludf.DUMMYFUNCTION("""COMPUTED_VALUE"""),101.3)</f>
        <v>101.3</v>
      </c>
      <c r="F7441" s="2">
        <f>IFERROR(__xludf.DUMMYFUNCTION("""COMPUTED_VALUE"""),6900783.0)</f>
        <v>6900783</v>
      </c>
    </row>
    <row r="7442">
      <c r="A7442" s="3">
        <f>IFERROR(__xludf.DUMMYFUNCTION("""COMPUTED_VALUE"""),39990.666666666664)</f>
        <v>39990.66667</v>
      </c>
      <c r="B7442" s="2">
        <f>IFERROR(__xludf.DUMMYFUNCTION("""COMPUTED_VALUE"""),101.72)</f>
        <v>101.72</v>
      </c>
      <c r="C7442" s="2">
        <f>IFERROR(__xludf.DUMMYFUNCTION("""COMPUTED_VALUE"""),101.72)</f>
        <v>101.72</v>
      </c>
      <c r="D7442" s="2">
        <f>IFERROR(__xludf.DUMMYFUNCTION("""COMPUTED_VALUE"""),100.34)</f>
        <v>100.34</v>
      </c>
      <c r="E7442" s="2">
        <f>IFERROR(__xludf.DUMMYFUNCTION("""COMPUTED_VALUE"""),100.94)</f>
        <v>100.94</v>
      </c>
      <c r="F7442" s="2">
        <f>IFERROR(__xludf.DUMMYFUNCTION("""COMPUTED_VALUE"""),5128668.0)</f>
        <v>5128668</v>
      </c>
    </row>
    <row r="7443">
      <c r="A7443" s="3">
        <f>IFERROR(__xludf.DUMMYFUNCTION("""COMPUTED_VALUE"""),39993.666666666664)</f>
        <v>39993.66667</v>
      </c>
      <c r="B7443" s="2">
        <f>IFERROR(__xludf.DUMMYFUNCTION("""COMPUTED_VALUE"""),101.24)</f>
        <v>101.24</v>
      </c>
      <c r="C7443" s="2">
        <f>IFERROR(__xludf.DUMMYFUNCTION("""COMPUTED_VALUE"""),101.42)</f>
        <v>101.42</v>
      </c>
      <c r="D7443" s="2">
        <f>IFERROR(__xludf.DUMMYFUNCTION("""COMPUTED_VALUE"""),100.45)</f>
        <v>100.45</v>
      </c>
      <c r="E7443" s="2">
        <f>IFERROR(__xludf.DUMMYFUNCTION("""COMPUTED_VALUE"""),101.09)</f>
        <v>101.09</v>
      </c>
      <c r="F7443" s="2">
        <f>IFERROR(__xludf.DUMMYFUNCTION("""COMPUTED_VALUE"""),4681817.0)</f>
        <v>4681817</v>
      </c>
    </row>
    <row r="7444">
      <c r="A7444" s="3">
        <f>IFERROR(__xludf.DUMMYFUNCTION("""COMPUTED_VALUE"""),39994.666666666664)</f>
        <v>39994.66667</v>
      </c>
      <c r="B7444" s="2">
        <f>IFERROR(__xludf.DUMMYFUNCTION("""COMPUTED_VALUE"""),100.95)</f>
        <v>100.95</v>
      </c>
      <c r="C7444" s="2">
        <f>IFERROR(__xludf.DUMMYFUNCTION("""COMPUTED_VALUE"""),101.28)</f>
        <v>101.28</v>
      </c>
      <c r="D7444" s="2">
        <f>IFERROR(__xludf.DUMMYFUNCTION("""COMPUTED_VALUE"""),99.16)</f>
        <v>99.16</v>
      </c>
      <c r="E7444" s="2">
        <f>IFERROR(__xludf.DUMMYFUNCTION("""COMPUTED_VALUE"""),99.74)</f>
        <v>99.74</v>
      </c>
      <c r="F7444" s="2">
        <f>IFERROR(__xludf.DUMMYFUNCTION("""COMPUTED_VALUE"""),7512588.0)</f>
        <v>7512588</v>
      </c>
    </row>
    <row r="7445">
      <c r="A7445" s="3">
        <f>IFERROR(__xludf.DUMMYFUNCTION("""COMPUTED_VALUE"""),39995.666666666664)</f>
        <v>39995.66667</v>
      </c>
      <c r="B7445" s="2">
        <f>IFERROR(__xludf.DUMMYFUNCTION("""COMPUTED_VALUE"""),100.29)</f>
        <v>100.29</v>
      </c>
      <c r="C7445" s="2">
        <f>IFERROR(__xludf.DUMMYFUNCTION("""COMPUTED_VALUE"""),101.51)</f>
        <v>101.51</v>
      </c>
      <c r="D7445" s="2">
        <f>IFERROR(__xludf.DUMMYFUNCTION("""COMPUTED_VALUE"""),100.03)</f>
        <v>100.03</v>
      </c>
      <c r="E7445" s="2">
        <f>IFERROR(__xludf.DUMMYFUNCTION("""COMPUTED_VALUE"""),100.14)</f>
        <v>100.14</v>
      </c>
      <c r="F7445" s="2">
        <f>IFERROR(__xludf.DUMMYFUNCTION("""COMPUTED_VALUE"""),5537276.0)</f>
        <v>5537276</v>
      </c>
    </row>
    <row r="7446">
      <c r="A7446" s="3">
        <f>IFERROR(__xludf.DUMMYFUNCTION("""COMPUTED_VALUE"""),39996.666666666664)</f>
        <v>39996.66667</v>
      </c>
      <c r="B7446" s="2">
        <f>IFERROR(__xludf.DUMMYFUNCTION("""COMPUTED_VALUE"""),99.15)</f>
        <v>99.15</v>
      </c>
      <c r="C7446" s="2">
        <f>IFERROR(__xludf.DUMMYFUNCTION("""COMPUTED_VALUE"""),99.25)</f>
        <v>99.25</v>
      </c>
      <c r="D7446" s="2">
        <f>IFERROR(__xludf.DUMMYFUNCTION("""COMPUTED_VALUE"""),97.17)</f>
        <v>97.17</v>
      </c>
      <c r="E7446" s="2">
        <f>IFERROR(__xludf.DUMMYFUNCTION("""COMPUTED_VALUE"""),97.17)</f>
        <v>97.17</v>
      </c>
      <c r="F7446" s="2">
        <f>IFERROR(__xludf.DUMMYFUNCTION("""COMPUTED_VALUE"""),7027779.0)</f>
        <v>7027779</v>
      </c>
    </row>
    <row r="7447">
      <c r="A7447" s="3">
        <f>IFERROR(__xludf.DUMMYFUNCTION("""COMPUTED_VALUE"""),40000.666666666664)</f>
        <v>40000.66667</v>
      </c>
      <c r="B7447" s="2">
        <f>IFERROR(__xludf.DUMMYFUNCTION("""COMPUTED_VALUE"""),97.02)</f>
        <v>97.02</v>
      </c>
      <c r="C7447" s="2">
        <f>IFERROR(__xludf.DUMMYFUNCTION("""COMPUTED_VALUE"""),97.65)</f>
        <v>97.65</v>
      </c>
      <c r="D7447" s="2">
        <f>IFERROR(__xludf.DUMMYFUNCTION("""COMPUTED_VALUE"""),95.97)</f>
        <v>95.97</v>
      </c>
      <c r="E7447" s="2">
        <f>IFERROR(__xludf.DUMMYFUNCTION("""COMPUTED_VALUE"""),97.09)</f>
        <v>97.09</v>
      </c>
      <c r="F7447" s="2">
        <f>IFERROR(__xludf.DUMMYFUNCTION("""COMPUTED_VALUE"""),6523090.0)</f>
        <v>6523090</v>
      </c>
    </row>
    <row r="7448">
      <c r="A7448" s="3">
        <f>IFERROR(__xludf.DUMMYFUNCTION("""COMPUTED_VALUE"""),40001.666666666664)</f>
        <v>40001.66667</v>
      </c>
      <c r="B7448" s="2">
        <f>IFERROR(__xludf.DUMMYFUNCTION("""COMPUTED_VALUE"""),96.8)</f>
        <v>96.8</v>
      </c>
      <c r="C7448" s="2">
        <f>IFERROR(__xludf.DUMMYFUNCTION("""COMPUTED_VALUE"""),97.39)</f>
        <v>97.39</v>
      </c>
      <c r="D7448" s="2">
        <f>IFERROR(__xludf.DUMMYFUNCTION("""COMPUTED_VALUE"""),95.55)</f>
        <v>95.55</v>
      </c>
      <c r="E7448" s="2">
        <f>IFERROR(__xludf.DUMMYFUNCTION("""COMPUTED_VALUE"""),95.7)</f>
        <v>95.7</v>
      </c>
      <c r="F7448" s="2">
        <f>IFERROR(__xludf.DUMMYFUNCTION("""COMPUTED_VALUE"""),6685957.0)</f>
        <v>6685957</v>
      </c>
    </row>
    <row r="7449">
      <c r="A7449" s="3">
        <f>IFERROR(__xludf.DUMMYFUNCTION("""COMPUTED_VALUE"""),40002.666666666664)</f>
        <v>40002.66667</v>
      </c>
      <c r="B7449" s="2">
        <f>IFERROR(__xludf.DUMMYFUNCTION("""COMPUTED_VALUE"""),95.79)</f>
        <v>95.79</v>
      </c>
      <c r="C7449" s="2">
        <f>IFERROR(__xludf.DUMMYFUNCTION("""COMPUTED_VALUE"""),96.63)</f>
        <v>96.63</v>
      </c>
      <c r="D7449" s="2">
        <f>IFERROR(__xludf.DUMMYFUNCTION("""COMPUTED_VALUE"""),95.04)</f>
        <v>95.04</v>
      </c>
      <c r="E7449" s="2">
        <f>IFERROR(__xludf.DUMMYFUNCTION("""COMPUTED_VALUE"""),96.17)</f>
        <v>96.17</v>
      </c>
      <c r="F7449" s="2">
        <f>IFERROR(__xludf.DUMMYFUNCTION("""COMPUTED_VALUE"""),7380719.0)</f>
        <v>7380719</v>
      </c>
    </row>
    <row r="7450">
      <c r="A7450" s="3">
        <f>IFERROR(__xludf.DUMMYFUNCTION("""COMPUTED_VALUE"""),40003.666666666664)</f>
        <v>40003.66667</v>
      </c>
      <c r="B7450" s="2">
        <f>IFERROR(__xludf.DUMMYFUNCTION("""COMPUTED_VALUE"""),96.59)</f>
        <v>96.59</v>
      </c>
      <c r="C7450" s="2">
        <f>IFERROR(__xludf.DUMMYFUNCTION("""COMPUTED_VALUE"""),98.17)</f>
        <v>98.17</v>
      </c>
      <c r="D7450" s="2">
        <f>IFERROR(__xludf.DUMMYFUNCTION("""COMPUTED_VALUE"""),96.33)</f>
        <v>96.33</v>
      </c>
      <c r="E7450" s="2">
        <f>IFERROR(__xludf.DUMMYFUNCTION("""COMPUTED_VALUE"""),97.5)</f>
        <v>97.5</v>
      </c>
      <c r="F7450" s="2">
        <f>IFERROR(__xludf.DUMMYFUNCTION("""COMPUTED_VALUE"""),6153127.0)</f>
        <v>6153127</v>
      </c>
    </row>
    <row r="7451">
      <c r="A7451" s="3">
        <f>IFERROR(__xludf.DUMMYFUNCTION("""COMPUTED_VALUE"""),40004.666666666664)</f>
        <v>40004.66667</v>
      </c>
      <c r="B7451" s="2">
        <f>IFERROR(__xludf.DUMMYFUNCTION("""COMPUTED_VALUE"""),96.44)</f>
        <v>96.44</v>
      </c>
      <c r="C7451" s="2">
        <f>IFERROR(__xludf.DUMMYFUNCTION("""COMPUTED_VALUE"""),97.16)</f>
        <v>97.16</v>
      </c>
      <c r="D7451" s="2">
        <f>IFERROR(__xludf.DUMMYFUNCTION("""COMPUTED_VALUE"""),95.33)</f>
        <v>95.33</v>
      </c>
      <c r="E7451" s="2">
        <f>IFERROR(__xludf.DUMMYFUNCTION("""COMPUTED_VALUE"""),96.31)</f>
        <v>96.31</v>
      </c>
      <c r="F7451" s="2">
        <f>IFERROR(__xludf.DUMMYFUNCTION("""COMPUTED_VALUE"""),7470894.0)</f>
        <v>7470894</v>
      </c>
    </row>
    <row r="7452">
      <c r="A7452" s="3">
        <f>IFERROR(__xludf.DUMMYFUNCTION("""COMPUTED_VALUE"""),40007.666666666664)</f>
        <v>40007.66667</v>
      </c>
      <c r="B7452" s="2">
        <f>IFERROR(__xludf.DUMMYFUNCTION("""COMPUTED_VALUE"""),96.74)</f>
        <v>96.74</v>
      </c>
      <c r="C7452" s="2">
        <f>IFERROR(__xludf.DUMMYFUNCTION("""COMPUTED_VALUE"""),99.0)</f>
        <v>99</v>
      </c>
      <c r="D7452" s="2">
        <f>IFERROR(__xludf.DUMMYFUNCTION("""COMPUTED_VALUE"""),95.7)</f>
        <v>95.7</v>
      </c>
      <c r="E7452" s="2">
        <f>IFERROR(__xludf.DUMMYFUNCTION("""COMPUTED_VALUE"""),98.97)</f>
        <v>98.97</v>
      </c>
      <c r="F7452" s="2">
        <f>IFERROR(__xludf.DUMMYFUNCTION("""COMPUTED_VALUE"""),9494417.0)</f>
        <v>9494417</v>
      </c>
    </row>
    <row r="7453">
      <c r="A7453" s="3">
        <f>IFERROR(__xludf.DUMMYFUNCTION("""COMPUTED_VALUE"""),40008.666666666664)</f>
        <v>40008.66667</v>
      </c>
      <c r="B7453" s="2">
        <f>IFERROR(__xludf.DUMMYFUNCTION("""COMPUTED_VALUE"""),98.78)</f>
        <v>98.78</v>
      </c>
      <c r="C7453" s="2">
        <f>IFERROR(__xludf.DUMMYFUNCTION("""COMPUTED_VALUE"""),98.97)</f>
        <v>98.97</v>
      </c>
      <c r="D7453" s="2">
        <f>IFERROR(__xludf.DUMMYFUNCTION("""COMPUTED_VALUE"""),97.92)</f>
        <v>97.92</v>
      </c>
      <c r="E7453" s="2">
        <f>IFERROR(__xludf.DUMMYFUNCTION("""COMPUTED_VALUE"""),98.62)</f>
        <v>98.62</v>
      </c>
      <c r="F7453" s="2">
        <f>IFERROR(__xludf.DUMMYFUNCTION("""COMPUTED_VALUE"""),5416082.0)</f>
        <v>5416082</v>
      </c>
    </row>
    <row r="7454">
      <c r="A7454" s="3">
        <f>IFERROR(__xludf.DUMMYFUNCTION("""COMPUTED_VALUE"""),40009.666666666664)</f>
        <v>40009.66667</v>
      </c>
      <c r="B7454" s="2">
        <f>IFERROR(__xludf.DUMMYFUNCTION("""COMPUTED_VALUE"""),100.05)</f>
        <v>100.05</v>
      </c>
      <c r="C7454" s="2">
        <f>IFERROR(__xludf.DUMMYFUNCTION("""COMPUTED_VALUE"""),102.41)</f>
        <v>102.41</v>
      </c>
      <c r="D7454" s="2">
        <f>IFERROR(__xludf.DUMMYFUNCTION("""COMPUTED_VALUE"""),99.91)</f>
        <v>99.91</v>
      </c>
      <c r="E7454" s="2">
        <f>IFERROR(__xludf.DUMMYFUNCTION("""COMPUTED_VALUE"""),102.41)</f>
        <v>102.41</v>
      </c>
      <c r="F7454" s="2">
        <f>IFERROR(__xludf.DUMMYFUNCTION("""COMPUTED_VALUE"""),8707266.0)</f>
        <v>8707266</v>
      </c>
    </row>
    <row r="7455">
      <c r="A7455" s="3">
        <f>IFERROR(__xludf.DUMMYFUNCTION("""COMPUTED_VALUE"""),40010.666666666664)</f>
        <v>40010.66667</v>
      </c>
      <c r="B7455" s="2">
        <f>IFERROR(__xludf.DUMMYFUNCTION("""COMPUTED_VALUE"""),102.05)</f>
        <v>102.05</v>
      </c>
      <c r="C7455" s="2">
        <f>IFERROR(__xludf.DUMMYFUNCTION("""COMPUTED_VALUE"""),105.99)</f>
        <v>105.99</v>
      </c>
      <c r="D7455" s="2">
        <f>IFERROR(__xludf.DUMMYFUNCTION("""COMPUTED_VALUE"""),102.0)</f>
        <v>102</v>
      </c>
      <c r="E7455" s="2">
        <f>IFERROR(__xludf.DUMMYFUNCTION("""COMPUTED_VALUE"""),105.68)</f>
        <v>105.68</v>
      </c>
      <c r="F7455" s="2">
        <f>IFERROR(__xludf.DUMMYFUNCTION("""COMPUTED_VALUE"""),1.5048197E7)</f>
        <v>15048197</v>
      </c>
    </row>
    <row r="7456">
      <c r="A7456" s="3">
        <f>IFERROR(__xludf.DUMMYFUNCTION("""COMPUTED_VALUE"""),40011.666666666664)</f>
        <v>40011.66667</v>
      </c>
      <c r="B7456" s="2">
        <f>IFERROR(__xludf.DUMMYFUNCTION("""COMPUTED_VALUE"""),108.33)</f>
        <v>108.33</v>
      </c>
      <c r="C7456" s="2">
        <f>IFERROR(__xludf.DUMMYFUNCTION("""COMPUTED_VALUE"""),110.35)</f>
        <v>110.35</v>
      </c>
      <c r="D7456" s="2">
        <f>IFERROR(__xludf.DUMMYFUNCTION("""COMPUTED_VALUE"""),108.09)</f>
        <v>108.09</v>
      </c>
      <c r="E7456" s="2">
        <f>IFERROR(__xludf.DUMMYFUNCTION("""COMPUTED_VALUE"""),110.25)</f>
        <v>110.25</v>
      </c>
      <c r="F7456" s="2">
        <f>IFERROR(__xludf.DUMMYFUNCTION("""COMPUTED_VALUE"""),2.0190164E7)</f>
        <v>20190164</v>
      </c>
    </row>
    <row r="7457">
      <c r="A7457" s="3">
        <f>IFERROR(__xludf.DUMMYFUNCTION("""COMPUTED_VALUE"""),40014.666666666664)</f>
        <v>40014.66667</v>
      </c>
      <c r="B7457" s="2">
        <f>IFERROR(__xludf.DUMMYFUNCTION("""COMPUTED_VALUE"""),109.39)</f>
        <v>109.39</v>
      </c>
      <c r="C7457" s="2">
        <f>IFERROR(__xludf.DUMMYFUNCTION("""COMPUTED_VALUE"""),111.64)</f>
        <v>111.64</v>
      </c>
      <c r="D7457" s="2">
        <f>IFERROR(__xludf.DUMMYFUNCTION("""COMPUTED_VALUE"""),109.26)</f>
        <v>109.26</v>
      </c>
      <c r="E7457" s="2">
        <f>IFERROR(__xludf.DUMMYFUNCTION("""COMPUTED_VALUE"""),111.22)</f>
        <v>111.22</v>
      </c>
      <c r="F7457" s="2">
        <f>IFERROR(__xludf.DUMMYFUNCTION("""COMPUTED_VALUE"""),1.0683485E7)</f>
        <v>10683485</v>
      </c>
    </row>
    <row r="7458">
      <c r="A7458" s="3">
        <f>IFERROR(__xludf.DUMMYFUNCTION("""COMPUTED_VALUE"""),40015.666666666664)</f>
        <v>40015.66667</v>
      </c>
      <c r="B7458" s="2">
        <f>IFERROR(__xludf.DUMMYFUNCTION("""COMPUTED_VALUE"""),110.67)</f>
        <v>110.67</v>
      </c>
      <c r="C7458" s="2">
        <f>IFERROR(__xludf.DUMMYFUNCTION("""COMPUTED_VALUE"""),111.79)</f>
        <v>111.79</v>
      </c>
      <c r="D7458" s="2">
        <f>IFERROR(__xludf.DUMMYFUNCTION("""COMPUTED_VALUE"""),110.21)</f>
        <v>110.21</v>
      </c>
      <c r="E7458" s="2">
        <f>IFERROR(__xludf.DUMMYFUNCTION("""COMPUTED_VALUE"""),111.79)</f>
        <v>111.79</v>
      </c>
      <c r="F7458" s="2">
        <f>IFERROR(__xludf.DUMMYFUNCTION("""COMPUTED_VALUE"""),8303777.0)</f>
        <v>8303777</v>
      </c>
    </row>
    <row r="7459">
      <c r="A7459" s="3">
        <f>IFERROR(__xludf.DUMMYFUNCTION("""COMPUTED_VALUE"""),40016.666666666664)</f>
        <v>40016.66667</v>
      </c>
      <c r="B7459" s="2">
        <f>IFERROR(__xludf.DUMMYFUNCTION("""COMPUTED_VALUE"""),110.97)</f>
        <v>110.97</v>
      </c>
      <c r="C7459" s="2">
        <f>IFERROR(__xludf.DUMMYFUNCTION("""COMPUTED_VALUE"""),111.95)</f>
        <v>111.95</v>
      </c>
      <c r="D7459" s="2">
        <f>IFERROR(__xludf.DUMMYFUNCTION("""COMPUTED_VALUE"""),109.93)</f>
        <v>109.93</v>
      </c>
      <c r="E7459" s="2">
        <f>IFERROR(__xludf.DUMMYFUNCTION("""COMPUTED_VALUE"""),110.39)</f>
        <v>110.39</v>
      </c>
      <c r="F7459" s="2">
        <f>IFERROR(__xludf.DUMMYFUNCTION("""COMPUTED_VALUE"""),8813331.0)</f>
        <v>8813331</v>
      </c>
    </row>
    <row r="7460">
      <c r="A7460" s="3">
        <f>IFERROR(__xludf.DUMMYFUNCTION("""COMPUTED_VALUE"""),40017.666666666664)</f>
        <v>40017.66667</v>
      </c>
      <c r="B7460" s="2">
        <f>IFERROR(__xludf.DUMMYFUNCTION("""COMPUTED_VALUE"""),109.9)</f>
        <v>109.9</v>
      </c>
      <c r="C7460" s="2">
        <f>IFERROR(__xludf.DUMMYFUNCTION("""COMPUTED_VALUE"""),112.71)</f>
        <v>112.71</v>
      </c>
      <c r="D7460" s="2">
        <f>IFERROR(__xludf.DUMMYFUNCTION("""COMPUTED_VALUE"""),109.9)</f>
        <v>109.9</v>
      </c>
      <c r="E7460" s="2">
        <f>IFERROR(__xludf.DUMMYFUNCTION("""COMPUTED_VALUE"""),111.81)</f>
        <v>111.81</v>
      </c>
      <c r="F7460" s="2">
        <f>IFERROR(__xludf.DUMMYFUNCTION("""COMPUTED_VALUE"""),8464024.0)</f>
        <v>8464024</v>
      </c>
    </row>
    <row r="7461">
      <c r="A7461" s="3">
        <f>IFERROR(__xludf.DUMMYFUNCTION("""COMPUTED_VALUE"""),40018.666666666664)</f>
        <v>40018.66667</v>
      </c>
      <c r="B7461" s="2">
        <f>IFERROR(__xludf.DUMMYFUNCTION("""COMPUTED_VALUE"""),111.45)</f>
        <v>111.45</v>
      </c>
      <c r="C7461" s="2">
        <f>IFERROR(__xludf.DUMMYFUNCTION("""COMPUTED_VALUE"""),112.85)</f>
        <v>112.85</v>
      </c>
      <c r="D7461" s="2">
        <f>IFERROR(__xludf.DUMMYFUNCTION("""COMPUTED_VALUE"""),111.4)</f>
        <v>111.4</v>
      </c>
      <c r="E7461" s="2">
        <f>IFERROR(__xludf.DUMMYFUNCTION("""COMPUTED_VALUE"""),112.37)</f>
        <v>112.37</v>
      </c>
      <c r="F7461" s="2">
        <f>IFERROR(__xludf.DUMMYFUNCTION("""COMPUTED_VALUE"""),6262750.0)</f>
        <v>6262750</v>
      </c>
    </row>
    <row r="7462">
      <c r="A7462" s="3">
        <f>IFERROR(__xludf.DUMMYFUNCTION("""COMPUTED_VALUE"""),40021.666666666664)</f>
        <v>40021.66667</v>
      </c>
      <c r="B7462" s="2">
        <f>IFERROR(__xludf.DUMMYFUNCTION("""COMPUTED_VALUE"""),111.71)</f>
        <v>111.71</v>
      </c>
      <c r="C7462" s="2">
        <f>IFERROR(__xludf.DUMMYFUNCTION("""COMPUTED_VALUE"""),112.63)</f>
        <v>112.63</v>
      </c>
      <c r="D7462" s="2">
        <f>IFERROR(__xludf.DUMMYFUNCTION("""COMPUTED_VALUE"""),111.34)</f>
        <v>111.34</v>
      </c>
      <c r="E7462" s="2">
        <f>IFERROR(__xludf.DUMMYFUNCTION("""COMPUTED_VALUE"""),112.36)</f>
        <v>112.36</v>
      </c>
      <c r="F7462" s="2">
        <f>IFERROR(__xludf.DUMMYFUNCTION("""COMPUTED_VALUE"""),5070160.0)</f>
        <v>5070160</v>
      </c>
    </row>
    <row r="7463">
      <c r="A7463" s="3">
        <f>IFERROR(__xludf.DUMMYFUNCTION("""COMPUTED_VALUE"""),40022.666666666664)</f>
        <v>40022.66667</v>
      </c>
      <c r="B7463" s="2">
        <f>IFERROR(__xludf.DUMMYFUNCTION("""COMPUTED_VALUE"""),111.4)</f>
        <v>111.4</v>
      </c>
      <c r="C7463" s="2">
        <f>IFERROR(__xludf.DUMMYFUNCTION("""COMPUTED_VALUE"""),112.25)</f>
        <v>112.25</v>
      </c>
      <c r="D7463" s="2">
        <f>IFERROR(__xludf.DUMMYFUNCTION("""COMPUTED_VALUE"""),111.12)</f>
        <v>111.12</v>
      </c>
      <c r="E7463" s="2">
        <f>IFERROR(__xludf.DUMMYFUNCTION("""COMPUTED_VALUE"""),112.02)</f>
        <v>112.02</v>
      </c>
      <c r="F7463" s="2">
        <f>IFERROR(__xludf.DUMMYFUNCTION("""COMPUTED_VALUE"""),5783139.0)</f>
        <v>5783139</v>
      </c>
    </row>
    <row r="7464">
      <c r="A7464" s="3">
        <f>IFERROR(__xludf.DUMMYFUNCTION("""COMPUTED_VALUE"""),40023.666666666664)</f>
        <v>40023.66667</v>
      </c>
      <c r="B7464" s="2">
        <f>IFERROR(__xludf.DUMMYFUNCTION("""COMPUTED_VALUE"""),111.14)</f>
        <v>111.14</v>
      </c>
      <c r="C7464" s="2">
        <f>IFERROR(__xludf.DUMMYFUNCTION("""COMPUTED_VALUE"""),112.02)</f>
        <v>112.02</v>
      </c>
      <c r="D7464" s="2">
        <f>IFERROR(__xludf.DUMMYFUNCTION("""COMPUTED_VALUE"""),110.85)</f>
        <v>110.85</v>
      </c>
      <c r="E7464" s="2">
        <f>IFERROR(__xludf.DUMMYFUNCTION("""COMPUTED_VALUE"""),112.0)</f>
        <v>112</v>
      </c>
      <c r="F7464" s="2">
        <f>IFERROR(__xludf.DUMMYFUNCTION("""COMPUTED_VALUE"""),5101397.0)</f>
        <v>5101397</v>
      </c>
    </row>
    <row r="7465">
      <c r="A7465" s="3">
        <f>IFERROR(__xludf.DUMMYFUNCTION("""COMPUTED_VALUE"""),40024.666666666664)</f>
        <v>40024.66667</v>
      </c>
      <c r="B7465" s="2">
        <f>IFERROR(__xludf.DUMMYFUNCTION("""COMPUTED_VALUE"""),112.71)</f>
        <v>112.71</v>
      </c>
      <c r="C7465" s="2">
        <f>IFERROR(__xludf.DUMMYFUNCTION("""COMPUTED_VALUE"""),114.02)</f>
        <v>114.02</v>
      </c>
      <c r="D7465" s="2">
        <f>IFERROR(__xludf.DUMMYFUNCTION("""COMPUTED_VALUE"""),112.39)</f>
        <v>112.39</v>
      </c>
      <c r="E7465" s="2">
        <f>IFERROR(__xludf.DUMMYFUNCTION("""COMPUTED_VALUE"""),112.58)</f>
        <v>112.58</v>
      </c>
      <c r="F7465" s="2">
        <f>IFERROR(__xludf.DUMMYFUNCTION("""COMPUTED_VALUE"""),6805957.0)</f>
        <v>6805957</v>
      </c>
    </row>
    <row r="7466">
      <c r="A7466" s="3">
        <f>IFERROR(__xludf.DUMMYFUNCTION("""COMPUTED_VALUE"""),40025.666666666664)</f>
        <v>40025.66667</v>
      </c>
      <c r="B7466" s="2">
        <f>IFERROR(__xludf.DUMMYFUNCTION("""COMPUTED_VALUE"""),112.29)</f>
        <v>112.29</v>
      </c>
      <c r="C7466" s="2">
        <f>IFERROR(__xludf.DUMMYFUNCTION("""COMPUTED_VALUE"""),113.65)</f>
        <v>113.65</v>
      </c>
      <c r="D7466" s="2">
        <f>IFERROR(__xludf.DUMMYFUNCTION("""COMPUTED_VALUE"""),112.29)</f>
        <v>112.29</v>
      </c>
      <c r="E7466" s="2">
        <f>IFERROR(__xludf.DUMMYFUNCTION("""COMPUTED_VALUE"""),112.64)</f>
        <v>112.64</v>
      </c>
      <c r="F7466" s="2">
        <f>IFERROR(__xludf.DUMMYFUNCTION("""COMPUTED_VALUE"""),5329586.0)</f>
        <v>5329586</v>
      </c>
    </row>
    <row r="7467">
      <c r="A7467" s="3">
        <f>IFERROR(__xludf.DUMMYFUNCTION("""COMPUTED_VALUE"""),40028.666666666664)</f>
        <v>40028.66667</v>
      </c>
      <c r="B7467" s="2">
        <f>IFERROR(__xludf.DUMMYFUNCTION("""COMPUTED_VALUE"""),113.55)</f>
        <v>113.55</v>
      </c>
      <c r="C7467" s="2">
        <f>IFERROR(__xludf.DUMMYFUNCTION("""COMPUTED_VALUE"""),114.58)</f>
        <v>114.58</v>
      </c>
      <c r="D7467" s="2">
        <f>IFERROR(__xludf.DUMMYFUNCTION("""COMPUTED_VALUE"""),113.37)</f>
        <v>113.37</v>
      </c>
      <c r="E7467" s="2">
        <f>IFERROR(__xludf.DUMMYFUNCTION("""COMPUTED_VALUE"""),114.54)</f>
        <v>114.54</v>
      </c>
      <c r="F7467" s="2">
        <f>IFERROR(__xludf.DUMMYFUNCTION("""COMPUTED_VALUE"""),6112018.0)</f>
        <v>6112018</v>
      </c>
    </row>
    <row r="7468">
      <c r="A7468" s="3">
        <f>IFERROR(__xludf.DUMMYFUNCTION("""COMPUTED_VALUE"""),40029.666666666664)</f>
        <v>40029.66667</v>
      </c>
      <c r="B7468" s="2">
        <f>IFERROR(__xludf.DUMMYFUNCTION("""COMPUTED_VALUE"""),114.07)</f>
        <v>114.07</v>
      </c>
      <c r="C7468" s="2">
        <f>IFERROR(__xludf.DUMMYFUNCTION("""COMPUTED_VALUE"""),114.43)</f>
        <v>114.43</v>
      </c>
      <c r="D7468" s="2">
        <f>IFERROR(__xludf.DUMMYFUNCTION("""COMPUTED_VALUE"""),113.68)</f>
        <v>113.68</v>
      </c>
      <c r="E7468" s="2">
        <f>IFERROR(__xludf.DUMMYFUNCTION("""COMPUTED_VALUE"""),114.24)</f>
        <v>114.24</v>
      </c>
      <c r="F7468" s="2">
        <f>IFERROR(__xludf.DUMMYFUNCTION("""COMPUTED_VALUE"""),4994676.0)</f>
        <v>4994676</v>
      </c>
    </row>
    <row r="7469">
      <c r="A7469" s="3">
        <f>IFERROR(__xludf.DUMMYFUNCTION("""COMPUTED_VALUE"""),40030.666666666664)</f>
        <v>40030.66667</v>
      </c>
      <c r="B7469" s="2">
        <f>IFERROR(__xludf.DUMMYFUNCTION("""COMPUTED_VALUE"""),113.2)</f>
        <v>113.2</v>
      </c>
      <c r="C7469" s="2">
        <f>IFERROR(__xludf.DUMMYFUNCTION("""COMPUTED_VALUE"""),113.66)</f>
        <v>113.66</v>
      </c>
      <c r="D7469" s="2">
        <f>IFERROR(__xludf.DUMMYFUNCTION("""COMPUTED_VALUE"""),112.58)</f>
        <v>112.58</v>
      </c>
      <c r="E7469" s="2">
        <f>IFERROR(__xludf.DUMMYFUNCTION("""COMPUTED_VALUE"""),113.16)</f>
        <v>113.16</v>
      </c>
      <c r="F7469" s="2">
        <f>IFERROR(__xludf.DUMMYFUNCTION("""COMPUTED_VALUE"""),5026291.0)</f>
        <v>5026291</v>
      </c>
    </row>
    <row r="7470">
      <c r="A7470" s="3">
        <f>IFERROR(__xludf.DUMMYFUNCTION("""COMPUTED_VALUE"""),40031.666666666664)</f>
        <v>40031.66667</v>
      </c>
      <c r="B7470" s="2">
        <f>IFERROR(__xludf.DUMMYFUNCTION("""COMPUTED_VALUE"""),113.01)</f>
        <v>113.01</v>
      </c>
      <c r="C7470" s="2">
        <f>IFERROR(__xludf.DUMMYFUNCTION("""COMPUTED_VALUE"""),113.09)</f>
        <v>113.09</v>
      </c>
      <c r="D7470" s="2">
        <f>IFERROR(__xludf.DUMMYFUNCTION("""COMPUTED_VALUE"""),111.47)</f>
        <v>111.47</v>
      </c>
      <c r="E7470" s="2">
        <f>IFERROR(__xludf.DUMMYFUNCTION("""COMPUTED_VALUE"""),112.12)</f>
        <v>112.12</v>
      </c>
      <c r="F7470" s="2">
        <f>IFERROR(__xludf.DUMMYFUNCTION("""COMPUTED_VALUE"""),6003237.0)</f>
        <v>6003237</v>
      </c>
    </row>
    <row r="7471">
      <c r="A7471" s="3">
        <f>IFERROR(__xludf.DUMMYFUNCTION("""COMPUTED_VALUE"""),40032.666666666664)</f>
        <v>40032.66667</v>
      </c>
      <c r="B7471" s="2">
        <f>IFERROR(__xludf.DUMMYFUNCTION("""COMPUTED_VALUE"""),112.81)</f>
        <v>112.81</v>
      </c>
      <c r="C7471" s="2">
        <f>IFERROR(__xludf.DUMMYFUNCTION("""COMPUTED_VALUE"""),114.53)</f>
        <v>114.53</v>
      </c>
      <c r="D7471" s="2">
        <f>IFERROR(__xludf.DUMMYFUNCTION("""COMPUTED_VALUE"""),112.81)</f>
        <v>112.81</v>
      </c>
      <c r="E7471" s="2">
        <f>IFERROR(__xludf.DUMMYFUNCTION("""COMPUTED_VALUE"""),113.98)</f>
        <v>113.98</v>
      </c>
      <c r="F7471" s="2">
        <f>IFERROR(__xludf.DUMMYFUNCTION("""COMPUTED_VALUE"""),5763172.0)</f>
        <v>5763172</v>
      </c>
    </row>
    <row r="7472">
      <c r="A7472" s="3">
        <f>IFERROR(__xludf.DUMMYFUNCTION("""COMPUTED_VALUE"""),40035.666666666664)</f>
        <v>40035.66667</v>
      </c>
      <c r="B7472" s="2">
        <f>IFERROR(__xludf.DUMMYFUNCTION("""COMPUTED_VALUE"""),112.87)</f>
        <v>112.87</v>
      </c>
      <c r="C7472" s="2">
        <f>IFERROR(__xludf.DUMMYFUNCTION("""COMPUTED_VALUE"""),113.85)</f>
        <v>113.85</v>
      </c>
      <c r="D7472" s="2">
        <f>IFERROR(__xludf.DUMMYFUNCTION("""COMPUTED_VALUE"""),112.68)</f>
        <v>112.68</v>
      </c>
      <c r="E7472" s="2">
        <f>IFERROR(__xludf.DUMMYFUNCTION("""COMPUTED_VALUE"""),113.38)</f>
        <v>113.38</v>
      </c>
      <c r="F7472" s="2">
        <f>IFERROR(__xludf.DUMMYFUNCTION("""COMPUTED_VALUE"""),4041305.0)</f>
        <v>4041305</v>
      </c>
    </row>
    <row r="7473">
      <c r="A7473" s="3">
        <f>IFERROR(__xludf.DUMMYFUNCTION("""COMPUTED_VALUE"""),40036.666666666664)</f>
        <v>40036.66667</v>
      </c>
      <c r="B7473" s="2">
        <f>IFERROR(__xludf.DUMMYFUNCTION("""COMPUTED_VALUE"""),112.74)</f>
        <v>112.74</v>
      </c>
      <c r="C7473" s="2">
        <f>IFERROR(__xludf.DUMMYFUNCTION("""COMPUTED_VALUE"""),113.19)</f>
        <v>113.19</v>
      </c>
      <c r="D7473" s="2">
        <f>IFERROR(__xludf.DUMMYFUNCTION("""COMPUTED_VALUE"""),112.06)</f>
        <v>112.06</v>
      </c>
      <c r="E7473" s="2">
        <f>IFERROR(__xludf.DUMMYFUNCTION("""COMPUTED_VALUE"""),112.51)</f>
        <v>112.51</v>
      </c>
      <c r="F7473" s="2">
        <f>IFERROR(__xludf.DUMMYFUNCTION("""COMPUTED_VALUE"""),4844435.0)</f>
        <v>4844435</v>
      </c>
    </row>
    <row r="7474">
      <c r="A7474" s="3">
        <f>IFERROR(__xludf.DUMMYFUNCTION("""COMPUTED_VALUE"""),40037.666666666664)</f>
        <v>40037.66667</v>
      </c>
      <c r="B7474" s="2">
        <f>IFERROR(__xludf.DUMMYFUNCTION("""COMPUTED_VALUE"""),112.33)</f>
        <v>112.33</v>
      </c>
      <c r="C7474" s="2">
        <f>IFERROR(__xludf.DUMMYFUNCTION("""COMPUTED_VALUE"""),114.58)</f>
        <v>114.58</v>
      </c>
      <c r="D7474" s="2">
        <f>IFERROR(__xludf.DUMMYFUNCTION("""COMPUTED_VALUE"""),112.16)</f>
        <v>112.16</v>
      </c>
      <c r="E7474" s="2">
        <f>IFERROR(__xludf.DUMMYFUNCTION("""COMPUTED_VALUE"""),113.94)</f>
        <v>113.94</v>
      </c>
      <c r="F7474" s="2">
        <f>IFERROR(__xludf.DUMMYFUNCTION("""COMPUTED_VALUE"""),6291557.0)</f>
        <v>6291557</v>
      </c>
    </row>
    <row r="7475">
      <c r="A7475" s="3">
        <f>IFERROR(__xludf.DUMMYFUNCTION("""COMPUTED_VALUE"""),40038.666666666664)</f>
        <v>40038.66667</v>
      </c>
      <c r="B7475" s="2">
        <f>IFERROR(__xludf.DUMMYFUNCTION("""COMPUTED_VALUE"""),113.93)</f>
        <v>113.93</v>
      </c>
      <c r="C7475" s="2">
        <f>IFERROR(__xludf.DUMMYFUNCTION("""COMPUTED_VALUE"""),114.41)</f>
        <v>114.41</v>
      </c>
      <c r="D7475" s="2">
        <f>IFERROR(__xludf.DUMMYFUNCTION("""COMPUTED_VALUE"""),113.31)</f>
        <v>113.31</v>
      </c>
      <c r="E7475" s="2">
        <f>IFERROR(__xludf.DUMMYFUNCTION("""COMPUTED_VALUE"""),114.22)</f>
        <v>114.22</v>
      </c>
      <c r="F7475" s="2">
        <f>IFERROR(__xludf.DUMMYFUNCTION("""COMPUTED_VALUE"""),5489981.0)</f>
        <v>5489981</v>
      </c>
    </row>
    <row r="7476">
      <c r="A7476" s="3">
        <f>IFERROR(__xludf.DUMMYFUNCTION("""COMPUTED_VALUE"""),40039.666666666664)</f>
        <v>40039.66667</v>
      </c>
      <c r="B7476" s="2">
        <f>IFERROR(__xludf.DUMMYFUNCTION("""COMPUTED_VALUE"""),113.94)</f>
        <v>113.94</v>
      </c>
      <c r="C7476" s="2">
        <f>IFERROR(__xludf.DUMMYFUNCTION("""COMPUTED_VALUE"""),114.37)</f>
        <v>114.37</v>
      </c>
      <c r="D7476" s="2">
        <f>IFERROR(__xludf.DUMMYFUNCTION("""COMPUTED_VALUE"""),112.35)</f>
        <v>112.35</v>
      </c>
      <c r="E7476" s="2">
        <f>IFERROR(__xludf.DUMMYFUNCTION("""COMPUTED_VALUE"""),113.25)</f>
        <v>113.25</v>
      </c>
      <c r="F7476" s="2">
        <f>IFERROR(__xludf.DUMMYFUNCTION("""COMPUTED_VALUE"""),4797051.0)</f>
        <v>4797051</v>
      </c>
    </row>
    <row r="7477">
      <c r="A7477" s="3">
        <f>IFERROR(__xludf.DUMMYFUNCTION("""COMPUTED_VALUE"""),40042.666666666664)</f>
        <v>40042.66667</v>
      </c>
      <c r="B7477" s="2">
        <f>IFERROR(__xludf.DUMMYFUNCTION("""COMPUTED_VALUE"""),111.46)</f>
        <v>111.46</v>
      </c>
      <c r="C7477" s="2">
        <f>IFERROR(__xludf.DUMMYFUNCTION("""COMPUTED_VALUE"""),112.17)</f>
        <v>112.17</v>
      </c>
      <c r="D7477" s="2">
        <f>IFERROR(__xludf.DUMMYFUNCTION("""COMPUTED_VALUE"""),111.0)</f>
        <v>111</v>
      </c>
      <c r="E7477" s="2">
        <f>IFERROR(__xludf.DUMMYFUNCTION("""COMPUTED_VALUE"""),111.62)</f>
        <v>111.62</v>
      </c>
      <c r="F7477" s="2">
        <f>IFERROR(__xludf.DUMMYFUNCTION("""COMPUTED_VALUE"""),5351307.0)</f>
        <v>5351307</v>
      </c>
    </row>
    <row r="7478">
      <c r="A7478" s="3">
        <f>IFERROR(__xludf.DUMMYFUNCTION("""COMPUTED_VALUE"""),40043.666666666664)</f>
        <v>40043.66667</v>
      </c>
      <c r="B7478" s="2">
        <f>IFERROR(__xludf.DUMMYFUNCTION("""COMPUTED_VALUE"""),111.57)</f>
        <v>111.57</v>
      </c>
      <c r="C7478" s="2">
        <f>IFERROR(__xludf.DUMMYFUNCTION("""COMPUTED_VALUE"""),112.71)</f>
        <v>112.71</v>
      </c>
      <c r="D7478" s="2">
        <f>IFERROR(__xludf.DUMMYFUNCTION("""COMPUTED_VALUE"""),111.5)</f>
        <v>111.5</v>
      </c>
      <c r="E7478" s="2">
        <f>IFERROR(__xludf.DUMMYFUNCTION("""COMPUTED_VALUE"""),112.36)</f>
        <v>112.36</v>
      </c>
      <c r="F7478" s="2">
        <f>IFERROR(__xludf.DUMMYFUNCTION("""COMPUTED_VALUE"""),4286472.0)</f>
        <v>4286472</v>
      </c>
    </row>
    <row r="7479">
      <c r="A7479" s="3">
        <f>IFERROR(__xludf.DUMMYFUNCTION("""COMPUTED_VALUE"""),40044.666666666664)</f>
        <v>40044.66667</v>
      </c>
      <c r="B7479" s="2">
        <f>IFERROR(__xludf.DUMMYFUNCTION("""COMPUTED_VALUE"""),111.14)</f>
        <v>111.14</v>
      </c>
      <c r="C7479" s="2">
        <f>IFERROR(__xludf.DUMMYFUNCTION("""COMPUTED_VALUE"""),113.44)</f>
        <v>113.44</v>
      </c>
      <c r="D7479" s="2">
        <f>IFERROR(__xludf.DUMMYFUNCTION("""COMPUTED_VALUE"""),110.91)</f>
        <v>110.91</v>
      </c>
      <c r="E7479" s="2">
        <f>IFERROR(__xludf.DUMMYFUNCTION("""COMPUTED_VALUE"""),113.25)</f>
        <v>113.25</v>
      </c>
      <c r="F7479" s="2">
        <f>IFERROR(__xludf.DUMMYFUNCTION("""COMPUTED_VALUE"""),4837844.0)</f>
        <v>4837844</v>
      </c>
    </row>
    <row r="7480">
      <c r="A7480" s="3">
        <f>IFERROR(__xludf.DUMMYFUNCTION("""COMPUTED_VALUE"""),40045.666666666664)</f>
        <v>40045.66667</v>
      </c>
      <c r="B7480" s="2">
        <f>IFERROR(__xludf.DUMMYFUNCTION("""COMPUTED_VALUE"""),113.13)</f>
        <v>113.13</v>
      </c>
      <c r="C7480" s="2">
        <f>IFERROR(__xludf.DUMMYFUNCTION("""COMPUTED_VALUE"""),114.06)</f>
        <v>114.06</v>
      </c>
      <c r="D7480" s="2">
        <f>IFERROR(__xludf.DUMMYFUNCTION("""COMPUTED_VALUE"""),112.8)</f>
        <v>112.8</v>
      </c>
      <c r="E7480" s="2">
        <f>IFERROR(__xludf.DUMMYFUNCTION("""COMPUTED_VALUE"""),113.62)</f>
        <v>113.62</v>
      </c>
      <c r="F7480" s="2">
        <f>IFERROR(__xludf.DUMMYFUNCTION("""COMPUTED_VALUE"""),4842029.0)</f>
        <v>4842029</v>
      </c>
    </row>
    <row r="7481">
      <c r="A7481" s="3">
        <f>IFERROR(__xludf.DUMMYFUNCTION("""COMPUTED_VALUE"""),40046.666666666664)</f>
        <v>40046.66667</v>
      </c>
      <c r="B7481" s="2">
        <f>IFERROR(__xludf.DUMMYFUNCTION("""COMPUTED_VALUE"""),114.29)</f>
        <v>114.29</v>
      </c>
      <c r="C7481" s="2">
        <f>IFERROR(__xludf.DUMMYFUNCTION("""COMPUTED_VALUE"""),114.63)</f>
        <v>114.63</v>
      </c>
      <c r="D7481" s="2">
        <f>IFERROR(__xludf.DUMMYFUNCTION("""COMPUTED_VALUE"""),113.23)</f>
        <v>113.23</v>
      </c>
      <c r="E7481" s="2">
        <f>IFERROR(__xludf.DUMMYFUNCTION("""COMPUTED_VALUE"""),114.52)</f>
        <v>114.52</v>
      </c>
      <c r="F7481" s="2">
        <f>IFERROR(__xludf.DUMMYFUNCTION("""COMPUTED_VALUE"""),8307764.0)</f>
        <v>8307764</v>
      </c>
    </row>
    <row r="7482">
      <c r="A7482" s="3">
        <f>IFERROR(__xludf.DUMMYFUNCTION("""COMPUTED_VALUE"""),40049.666666666664)</f>
        <v>40049.66667</v>
      </c>
      <c r="B7482" s="2">
        <f>IFERROR(__xludf.DUMMYFUNCTION("""COMPUTED_VALUE"""),114.54)</f>
        <v>114.54</v>
      </c>
      <c r="C7482" s="2">
        <f>IFERROR(__xludf.DUMMYFUNCTION("""COMPUTED_VALUE"""),115.46)</f>
        <v>115.46</v>
      </c>
      <c r="D7482" s="2">
        <f>IFERROR(__xludf.DUMMYFUNCTION("""COMPUTED_VALUE"""),113.76)</f>
        <v>113.76</v>
      </c>
      <c r="E7482" s="2">
        <f>IFERROR(__xludf.DUMMYFUNCTION("""COMPUTED_VALUE"""),113.97)</f>
        <v>113.97</v>
      </c>
      <c r="F7482" s="2">
        <f>IFERROR(__xludf.DUMMYFUNCTION("""COMPUTED_VALUE"""),6365021.0)</f>
        <v>6365021</v>
      </c>
    </row>
    <row r="7483">
      <c r="A7483" s="3">
        <f>IFERROR(__xludf.DUMMYFUNCTION("""COMPUTED_VALUE"""),40050.666666666664)</f>
        <v>40050.66667</v>
      </c>
      <c r="B7483" s="2">
        <f>IFERROR(__xludf.DUMMYFUNCTION("""COMPUTED_VALUE"""),113.9)</f>
        <v>113.9</v>
      </c>
      <c r="C7483" s="2">
        <f>IFERROR(__xludf.DUMMYFUNCTION("""COMPUTED_VALUE"""),114.76)</f>
        <v>114.76</v>
      </c>
      <c r="D7483" s="2">
        <f>IFERROR(__xludf.DUMMYFUNCTION("""COMPUTED_VALUE"""),113.39)</f>
        <v>113.39</v>
      </c>
      <c r="E7483" s="2">
        <f>IFERROR(__xludf.DUMMYFUNCTION("""COMPUTED_VALUE"""),113.5)</f>
        <v>113.5</v>
      </c>
      <c r="F7483" s="2">
        <f>IFERROR(__xludf.DUMMYFUNCTION("""COMPUTED_VALUE"""),4653733.0)</f>
        <v>4653733</v>
      </c>
    </row>
    <row r="7484">
      <c r="A7484" s="3">
        <f>IFERROR(__xludf.DUMMYFUNCTION("""COMPUTED_VALUE"""),40051.666666666664)</f>
        <v>40051.66667</v>
      </c>
      <c r="B7484" s="2">
        <f>IFERROR(__xludf.DUMMYFUNCTION("""COMPUTED_VALUE"""),113.32)</f>
        <v>113.32</v>
      </c>
      <c r="C7484" s="2">
        <f>IFERROR(__xludf.DUMMYFUNCTION("""COMPUTED_VALUE"""),114.48)</f>
        <v>114.48</v>
      </c>
      <c r="D7484" s="2">
        <f>IFERROR(__xludf.DUMMYFUNCTION("""COMPUTED_VALUE"""),112.24)</f>
        <v>112.24</v>
      </c>
      <c r="E7484" s="2">
        <f>IFERROR(__xludf.DUMMYFUNCTION("""COMPUTED_VALUE"""),114.11)</f>
        <v>114.11</v>
      </c>
      <c r="F7484" s="2">
        <f>IFERROR(__xludf.DUMMYFUNCTION("""COMPUTED_VALUE"""),4516257.0)</f>
        <v>4516257</v>
      </c>
    </row>
    <row r="7485">
      <c r="A7485" s="3">
        <f>IFERROR(__xludf.DUMMYFUNCTION("""COMPUTED_VALUE"""),40052.666666666664)</f>
        <v>40052.66667</v>
      </c>
      <c r="B7485" s="2">
        <f>IFERROR(__xludf.DUMMYFUNCTION("""COMPUTED_VALUE"""),113.41)</f>
        <v>113.41</v>
      </c>
      <c r="C7485" s="2">
        <f>IFERROR(__xludf.DUMMYFUNCTION("""COMPUTED_VALUE"""),114.23)</f>
        <v>114.23</v>
      </c>
      <c r="D7485" s="2">
        <f>IFERROR(__xludf.DUMMYFUNCTION("""COMPUTED_VALUE"""),112.57)</f>
        <v>112.57</v>
      </c>
      <c r="E7485" s="2">
        <f>IFERROR(__xludf.DUMMYFUNCTION("""COMPUTED_VALUE"""),114.08)</f>
        <v>114.08</v>
      </c>
      <c r="F7485" s="2">
        <f>IFERROR(__xludf.DUMMYFUNCTION("""COMPUTED_VALUE"""),4356903.0)</f>
        <v>4356903</v>
      </c>
    </row>
    <row r="7486">
      <c r="A7486" s="3">
        <f>IFERROR(__xludf.DUMMYFUNCTION("""COMPUTED_VALUE"""),40053.666666666664)</f>
        <v>40053.66667</v>
      </c>
      <c r="B7486" s="2">
        <f>IFERROR(__xludf.DUMMYFUNCTION("""COMPUTED_VALUE"""),114.72)</f>
        <v>114.72</v>
      </c>
      <c r="C7486" s="2">
        <f>IFERROR(__xludf.DUMMYFUNCTION("""COMPUTED_VALUE"""),114.84)</f>
        <v>114.84</v>
      </c>
      <c r="D7486" s="2">
        <f>IFERROR(__xludf.DUMMYFUNCTION("""COMPUTED_VALUE"""),112.49)</f>
        <v>112.49</v>
      </c>
      <c r="E7486" s="2">
        <f>IFERROR(__xludf.DUMMYFUNCTION("""COMPUTED_VALUE"""),112.92)</f>
        <v>112.92</v>
      </c>
      <c r="F7486" s="2">
        <f>IFERROR(__xludf.DUMMYFUNCTION("""COMPUTED_VALUE"""),6236128.0)</f>
        <v>6236128</v>
      </c>
    </row>
    <row r="7487">
      <c r="A7487" s="3">
        <f>IFERROR(__xludf.DUMMYFUNCTION("""COMPUTED_VALUE"""),40056.666666666664)</f>
        <v>40056.66667</v>
      </c>
      <c r="B7487" s="2">
        <f>IFERROR(__xludf.DUMMYFUNCTION("""COMPUTED_VALUE"""),111.85)</f>
        <v>111.85</v>
      </c>
      <c r="C7487" s="2">
        <f>IFERROR(__xludf.DUMMYFUNCTION("""COMPUTED_VALUE"""),112.77)</f>
        <v>112.77</v>
      </c>
      <c r="D7487" s="2">
        <f>IFERROR(__xludf.DUMMYFUNCTION("""COMPUTED_VALUE"""),111.68)</f>
        <v>111.68</v>
      </c>
      <c r="E7487" s="2">
        <f>IFERROR(__xludf.DUMMYFUNCTION("""COMPUTED_VALUE"""),112.76)</f>
        <v>112.76</v>
      </c>
      <c r="F7487" s="2">
        <f>IFERROR(__xludf.DUMMYFUNCTION("""COMPUTED_VALUE"""),5440174.0)</f>
        <v>5440174</v>
      </c>
    </row>
    <row r="7488">
      <c r="A7488" s="3">
        <f>IFERROR(__xludf.DUMMYFUNCTION("""COMPUTED_VALUE"""),40057.666666666664)</f>
        <v>40057.66667</v>
      </c>
      <c r="B7488" s="2">
        <f>IFERROR(__xludf.DUMMYFUNCTION("""COMPUTED_VALUE"""),112.39)</f>
        <v>112.39</v>
      </c>
      <c r="C7488" s="2">
        <f>IFERROR(__xludf.DUMMYFUNCTION("""COMPUTED_VALUE"""),113.6)</f>
        <v>113.6</v>
      </c>
      <c r="D7488" s="2">
        <f>IFERROR(__xludf.DUMMYFUNCTION("""COMPUTED_VALUE"""),111.28)</f>
        <v>111.28</v>
      </c>
      <c r="E7488" s="2">
        <f>IFERROR(__xludf.DUMMYFUNCTION("""COMPUTED_VALUE"""),111.46)</f>
        <v>111.46</v>
      </c>
      <c r="F7488" s="2">
        <f>IFERROR(__xludf.DUMMYFUNCTION("""COMPUTED_VALUE"""),6305084.0)</f>
        <v>6305084</v>
      </c>
    </row>
    <row r="7489">
      <c r="A7489" s="3">
        <f>IFERROR(__xludf.DUMMYFUNCTION("""COMPUTED_VALUE"""),40058.666666666664)</f>
        <v>40058.66667</v>
      </c>
      <c r="B7489" s="2">
        <f>IFERROR(__xludf.DUMMYFUNCTION("""COMPUTED_VALUE"""),111.12)</f>
        <v>111.12</v>
      </c>
      <c r="C7489" s="2">
        <f>IFERROR(__xludf.DUMMYFUNCTION("""COMPUTED_VALUE"""),111.98)</f>
        <v>111.98</v>
      </c>
      <c r="D7489" s="2">
        <f>IFERROR(__xludf.DUMMYFUNCTION("""COMPUTED_VALUE"""),110.8)</f>
        <v>110.8</v>
      </c>
      <c r="E7489" s="2">
        <f>IFERROR(__xludf.DUMMYFUNCTION("""COMPUTED_VALUE"""),110.88)</f>
        <v>110.88</v>
      </c>
      <c r="F7489" s="2">
        <f>IFERROR(__xludf.DUMMYFUNCTION("""COMPUTED_VALUE"""),5178727.0)</f>
        <v>5178727</v>
      </c>
    </row>
    <row r="7490">
      <c r="A7490" s="3">
        <f>IFERROR(__xludf.DUMMYFUNCTION("""COMPUTED_VALUE"""),40059.666666666664)</f>
        <v>40059.66667</v>
      </c>
      <c r="B7490" s="2">
        <f>IFERROR(__xludf.DUMMYFUNCTION("""COMPUTED_VALUE"""),111.32)</f>
        <v>111.32</v>
      </c>
      <c r="C7490" s="2">
        <f>IFERROR(__xludf.DUMMYFUNCTION("""COMPUTED_VALUE"""),111.5)</f>
        <v>111.5</v>
      </c>
      <c r="D7490" s="2">
        <f>IFERROR(__xludf.DUMMYFUNCTION("""COMPUTED_VALUE"""),109.99)</f>
        <v>109.99</v>
      </c>
      <c r="E7490" s="2">
        <f>IFERROR(__xludf.DUMMYFUNCTION("""COMPUTED_VALUE"""),111.11)</f>
        <v>111.11</v>
      </c>
      <c r="F7490" s="2">
        <f>IFERROR(__xludf.DUMMYFUNCTION("""COMPUTED_VALUE"""),4937002.0)</f>
        <v>4937002</v>
      </c>
    </row>
    <row r="7491">
      <c r="A7491" s="3">
        <f>IFERROR(__xludf.DUMMYFUNCTION("""COMPUTED_VALUE"""),40060.666666666664)</f>
        <v>40060.66667</v>
      </c>
      <c r="B7491" s="2">
        <f>IFERROR(__xludf.DUMMYFUNCTION("""COMPUTED_VALUE"""),111.35)</f>
        <v>111.35</v>
      </c>
      <c r="C7491" s="2">
        <f>IFERROR(__xludf.DUMMYFUNCTION("""COMPUTED_VALUE"""),112.23)</f>
        <v>112.23</v>
      </c>
      <c r="D7491" s="2">
        <f>IFERROR(__xludf.DUMMYFUNCTION("""COMPUTED_VALUE"""),111.0)</f>
        <v>111</v>
      </c>
      <c r="E7491" s="2">
        <f>IFERROR(__xludf.DUMMYFUNCTION("""COMPUTED_VALUE"""),112.19)</f>
        <v>112.19</v>
      </c>
      <c r="F7491" s="2">
        <f>IFERROR(__xludf.DUMMYFUNCTION("""COMPUTED_VALUE"""),3451667.0)</f>
        <v>3451667</v>
      </c>
    </row>
    <row r="7492">
      <c r="A7492" s="3">
        <f>IFERROR(__xludf.DUMMYFUNCTION("""COMPUTED_VALUE"""),40064.666666666664)</f>
        <v>40064.66667</v>
      </c>
      <c r="B7492" s="2">
        <f>IFERROR(__xludf.DUMMYFUNCTION("""COMPUTED_VALUE"""),112.65)</f>
        <v>112.65</v>
      </c>
      <c r="C7492" s="2">
        <f>IFERROR(__xludf.DUMMYFUNCTION("""COMPUTED_VALUE"""),112.87)</f>
        <v>112.87</v>
      </c>
      <c r="D7492" s="2">
        <f>IFERROR(__xludf.DUMMYFUNCTION("""COMPUTED_VALUE"""),111.4)</f>
        <v>111.4</v>
      </c>
      <c r="E7492" s="2">
        <f>IFERROR(__xludf.DUMMYFUNCTION("""COMPUTED_VALUE"""),111.91)</f>
        <v>111.91</v>
      </c>
      <c r="F7492" s="2">
        <f>IFERROR(__xludf.DUMMYFUNCTION("""COMPUTED_VALUE"""),5797728.0)</f>
        <v>5797728</v>
      </c>
    </row>
    <row r="7493">
      <c r="A7493" s="3">
        <f>IFERROR(__xludf.DUMMYFUNCTION("""COMPUTED_VALUE"""),40065.666666666664)</f>
        <v>40065.66667</v>
      </c>
      <c r="B7493" s="2">
        <f>IFERROR(__xludf.DUMMYFUNCTION("""COMPUTED_VALUE"""),111.78)</f>
        <v>111.78</v>
      </c>
      <c r="C7493" s="2">
        <f>IFERROR(__xludf.DUMMYFUNCTION("""COMPUTED_VALUE"""),112.39)</f>
        <v>112.39</v>
      </c>
      <c r="D7493" s="2">
        <f>IFERROR(__xludf.DUMMYFUNCTION("""COMPUTED_VALUE"""),110.95)</f>
        <v>110.95</v>
      </c>
      <c r="E7493" s="2">
        <f>IFERROR(__xludf.DUMMYFUNCTION("""COMPUTED_VALUE"""),111.52)</f>
        <v>111.52</v>
      </c>
      <c r="F7493" s="2">
        <f>IFERROR(__xludf.DUMMYFUNCTION("""COMPUTED_VALUE"""),5248477.0)</f>
        <v>5248477</v>
      </c>
    </row>
    <row r="7494">
      <c r="A7494" s="3">
        <f>IFERROR(__xludf.DUMMYFUNCTION("""COMPUTED_VALUE"""),40066.666666666664)</f>
        <v>40066.66667</v>
      </c>
      <c r="B7494" s="2">
        <f>IFERROR(__xludf.DUMMYFUNCTION("""COMPUTED_VALUE"""),111.74)</f>
        <v>111.74</v>
      </c>
      <c r="C7494" s="2">
        <f>IFERROR(__xludf.DUMMYFUNCTION("""COMPUTED_VALUE"""),112.55)</f>
        <v>112.55</v>
      </c>
      <c r="D7494" s="2">
        <f>IFERROR(__xludf.DUMMYFUNCTION("""COMPUTED_VALUE"""),111.52)</f>
        <v>111.52</v>
      </c>
      <c r="E7494" s="2">
        <f>IFERROR(__xludf.DUMMYFUNCTION("""COMPUTED_VALUE"""),112.39)</f>
        <v>112.39</v>
      </c>
      <c r="F7494" s="2">
        <f>IFERROR(__xludf.DUMMYFUNCTION("""COMPUTED_VALUE"""),4889568.0)</f>
        <v>4889568</v>
      </c>
    </row>
    <row r="7495">
      <c r="A7495" s="3">
        <f>IFERROR(__xludf.DUMMYFUNCTION("""COMPUTED_VALUE"""),40067.666666666664)</f>
        <v>40067.66667</v>
      </c>
      <c r="B7495" s="2">
        <f>IFERROR(__xludf.DUMMYFUNCTION("""COMPUTED_VALUE"""),112.52)</f>
        <v>112.52</v>
      </c>
      <c r="C7495" s="2">
        <f>IFERROR(__xludf.DUMMYFUNCTION("""COMPUTED_VALUE"""),113.9)</f>
        <v>113.9</v>
      </c>
      <c r="D7495" s="2">
        <f>IFERROR(__xludf.DUMMYFUNCTION("""COMPUTED_VALUE"""),112.2)</f>
        <v>112.2</v>
      </c>
      <c r="E7495" s="2">
        <f>IFERROR(__xludf.DUMMYFUNCTION("""COMPUTED_VALUE"""),112.76)</f>
        <v>112.76</v>
      </c>
      <c r="F7495" s="2">
        <f>IFERROR(__xludf.DUMMYFUNCTION("""COMPUTED_VALUE"""),5893678.0)</f>
        <v>5893678</v>
      </c>
    </row>
    <row r="7496">
      <c r="A7496" s="3">
        <f>IFERROR(__xludf.DUMMYFUNCTION("""COMPUTED_VALUE"""),40070.666666666664)</f>
        <v>40070.66667</v>
      </c>
      <c r="B7496" s="2">
        <f>IFERROR(__xludf.DUMMYFUNCTION("""COMPUTED_VALUE"""),111.75)</f>
        <v>111.75</v>
      </c>
      <c r="C7496" s="2">
        <f>IFERROR(__xludf.DUMMYFUNCTION("""COMPUTED_VALUE"""),113.65)</f>
        <v>113.65</v>
      </c>
      <c r="D7496" s="2">
        <f>IFERROR(__xludf.DUMMYFUNCTION("""COMPUTED_VALUE"""),111.7)</f>
        <v>111.7</v>
      </c>
      <c r="E7496" s="2">
        <f>IFERROR(__xludf.DUMMYFUNCTION("""COMPUTED_VALUE"""),113.55)</f>
        <v>113.55</v>
      </c>
      <c r="F7496" s="2">
        <f>IFERROR(__xludf.DUMMYFUNCTION("""COMPUTED_VALUE"""),4760207.0)</f>
        <v>4760207</v>
      </c>
    </row>
    <row r="7497">
      <c r="A7497" s="3">
        <f>IFERROR(__xludf.DUMMYFUNCTION("""COMPUTED_VALUE"""),40071.666666666664)</f>
        <v>40071.66667</v>
      </c>
      <c r="B7497" s="2">
        <f>IFERROR(__xludf.DUMMYFUNCTION("""COMPUTED_VALUE"""),113.45)</f>
        <v>113.45</v>
      </c>
      <c r="C7497" s="2">
        <f>IFERROR(__xludf.DUMMYFUNCTION("""COMPUTED_VALUE"""),114.09)</f>
        <v>114.09</v>
      </c>
      <c r="D7497" s="2">
        <f>IFERROR(__xludf.DUMMYFUNCTION("""COMPUTED_VALUE"""),112.86)</f>
        <v>112.86</v>
      </c>
      <c r="E7497" s="2">
        <f>IFERROR(__xludf.DUMMYFUNCTION("""COMPUTED_VALUE"""),114.0)</f>
        <v>114</v>
      </c>
      <c r="F7497" s="2">
        <f>IFERROR(__xludf.DUMMYFUNCTION("""COMPUTED_VALUE"""),6535919.0)</f>
        <v>6535919</v>
      </c>
    </row>
    <row r="7498">
      <c r="A7498" s="3">
        <f>IFERROR(__xludf.DUMMYFUNCTION("""COMPUTED_VALUE"""),40072.666666666664)</f>
        <v>40072.66667</v>
      </c>
      <c r="B7498" s="2">
        <f>IFERROR(__xludf.DUMMYFUNCTION("""COMPUTED_VALUE"""),114.14)</f>
        <v>114.14</v>
      </c>
      <c r="C7498" s="2">
        <f>IFERROR(__xludf.DUMMYFUNCTION("""COMPUTED_VALUE"""),116.53)</f>
        <v>116.53</v>
      </c>
      <c r="D7498" s="2">
        <f>IFERROR(__xludf.DUMMYFUNCTION("""COMPUTED_VALUE"""),113.95)</f>
        <v>113.95</v>
      </c>
      <c r="E7498" s="2">
        <f>IFERROR(__xludf.DUMMYFUNCTION("""COMPUTED_VALUE"""),116.36)</f>
        <v>116.36</v>
      </c>
      <c r="F7498" s="2">
        <f>IFERROR(__xludf.DUMMYFUNCTION("""COMPUTED_VALUE"""),1.1239737E7)</f>
        <v>11239737</v>
      </c>
    </row>
    <row r="7499">
      <c r="A7499" s="3">
        <f>IFERROR(__xludf.DUMMYFUNCTION("""COMPUTED_VALUE"""),40073.666666666664)</f>
        <v>40073.66667</v>
      </c>
      <c r="B7499" s="2">
        <f>IFERROR(__xludf.DUMMYFUNCTION("""COMPUTED_VALUE"""),115.71)</f>
        <v>115.71</v>
      </c>
      <c r="C7499" s="2">
        <f>IFERROR(__xludf.DUMMYFUNCTION("""COMPUTED_VALUE"""),117.28)</f>
        <v>117.28</v>
      </c>
      <c r="D7499" s="2">
        <f>IFERROR(__xludf.DUMMYFUNCTION("""COMPUTED_VALUE"""),115.62)</f>
        <v>115.62</v>
      </c>
      <c r="E7499" s="2">
        <f>IFERROR(__xludf.DUMMYFUNCTION("""COMPUTED_VALUE"""),116.42)</f>
        <v>116.42</v>
      </c>
      <c r="F7499" s="2">
        <f>IFERROR(__xludf.DUMMYFUNCTION("""COMPUTED_VALUE"""),8394048.0)</f>
        <v>8394048</v>
      </c>
    </row>
    <row r="7500">
      <c r="A7500" s="3">
        <f>IFERROR(__xludf.DUMMYFUNCTION("""COMPUTED_VALUE"""),40074.666666666664)</f>
        <v>40074.66667</v>
      </c>
      <c r="B7500" s="2">
        <f>IFERROR(__xludf.DUMMYFUNCTION("""COMPUTED_VALUE"""),116.96)</f>
        <v>116.96</v>
      </c>
      <c r="C7500" s="2">
        <f>IFERROR(__xludf.DUMMYFUNCTION("""COMPUTED_VALUE"""),117.37)</f>
        <v>117.37</v>
      </c>
      <c r="D7500" s="2">
        <f>IFERROR(__xludf.DUMMYFUNCTION("""COMPUTED_VALUE"""),116.17)</f>
        <v>116.17</v>
      </c>
      <c r="E7500" s="2">
        <f>IFERROR(__xludf.DUMMYFUNCTION("""COMPUTED_VALUE"""),116.64)</f>
        <v>116.64</v>
      </c>
      <c r="F7500" s="2">
        <f>IFERROR(__xludf.DUMMYFUNCTION("""COMPUTED_VALUE"""),9936586.0)</f>
        <v>9936586</v>
      </c>
    </row>
    <row r="7501">
      <c r="A7501" s="3">
        <f>IFERROR(__xludf.DUMMYFUNCTION("""COMPUTED_VALUE"""),40077.666666666664)</f>
        <v>40077.66667</v>
      </c>
      <c r="B7501" s="2">
        <f>IFERROR(__xludf.DUMMYFUNCTION("""COMPUTED_VALUE"""),115.6)</f>
        <v>115.6</v>
      </c>
      <c r="C7501" s="2">
        <f>IFERROR(__xludf.DUMMYFUNCTION("""COMPUTED_VALUE"""),116.61)</f>
        <v>116.61</v>
      </c>
      <c r="D7501" s="2">
        <f>IFERROR(__xludf.DUMMYFUNCTION("""COMPUTED_VALUE"""),115.46)</f>
        <v>115.46</v>
      </c>
      <c r="E7501" s="2">
        <f>IFERROR(__xludf.DUMMYFUNCTION("""COMPUTED_VALUE"""),116.12)</f>
        <v>116.12</v>
      </c>
      <c r="F7501" s="2">
        <f>IFERROR(__xludf.DUMMYFUNCTION("""COMPUTED_VALUE"""),4516477.0)</f>
        <v>4516477</v>
      </c>
    </row>
    <row r="7502">
      <c r="A7502" s="3">
        <f>IFERROR(__xludf.DUMMYFUNCTION("""COMPUTED_VALUE"""),40078.666666666664)</f>
        <v>40078.66667</v>
      </c>
      <c r="B7502" s="2">
        <f>IFERROR(__xludf.DUMMYFUNCTION("""COMPUTED_VALUE"""),116.62)</f>
        <v>116.62</v>
      </c>
      <c r="C7502" s="2">
        <f>IFERROR(__xludf.DUMMYFUNCTION("""COMPUTED_VALUE"""),116.64)</f>
        <v>116.64</v>
      </c>
      <c r="D7502" s="2">
        <f>IFERROR(__xludf.DUMMYFUNCTION("""COMPUTED_VALUE"""),115.56)</f>
        <v>115.56</v>
      </c>
      <c r="E7502" s="2">
        <f>IFERROR(__xludf.DUMMYFUNCTION("""COMPUTED_VALUE"""),116.16)</f>
        <v>116.16</v>
      </c>
      <c r="F7502" s="2">
        <f>IFERROR(__xludf.DUMMYFUNCTION("""COMPUTED_VALUE"""),5564648.0)</f>
        <v>5564648</v>
      </c>
    </row>
    <row r="7503">
      <c r="A7503" s="3">
        <f>IFERROR(__xludf.DUMMYFUNCTION("""COMPUTED_VALUE"""),40079.666666666664)</f>
        <v>40079.66667</v>
      </c>
      <c r="B7503" s="2">
        <f>IFERROR(__xludf.DUMMYFUNCTION("""COMPUTED_VALUE"""),115.82)</f>
        <v>115.82</v>
      </c>
      <c r="C7503" s="2">
        <f>IFERROR(__xludf.DUMMYFUNCTION("""COMPUTED_VALUE"""),117.24)</f>
        <v>117.24</v>
      </c>
      <c r="D7503" s="2">
        <f>IFERROR(__xludf.DUMMYFUNCTION("""COMPUTED_VALUE"""),115.3)</f>
        <v>115.3</v>
      </c>
      <c r="E7503" s="2">
        <f>IFERROR(__xludf.DUMMYFUNCTION("""COMPUTED_VALUE"""),115.4)</f>
        <v>115.4</v>
      </c>
      <c r="F7503" s="2">
        <f>IFERROR(__xludf.DUMMYFUNCTION("""COMPUTED_VALUE"""),5539926.0)</f>
        <v>5539926</v>
      </c>
    </row>
    <row r="7504">
      <c r="A7504" s="3">
        <f>IFERROR(__xludf.DUMMYFUNCTION("""COMPUTED_VALUE"""),40080.666666666664)</f>
        <v>40080.66667</v>
      </c>
      <c r="B7504" s="2">
        <f>IFERROR(__xludf.DUMMYFUNCTION("""COMPUTED_VALUE"""),115.28)</f>
        <v>115.28</v>
      </c>
      <c r="C7504" s="2">
        <f>IFERROR(__xludf.DUMMYFUNCTION("""COMPUTED_VALUE"""),116.2)</f>
        <v>116.2</v>
      </c>
      <c r="D7504" s="2">
        <f>IFERROR(__xludf.DUMMYFUNCTION("""COMPUTED_VALUE"""),115.0)</f>
        <v>115</v>
      </c>
      <c r="E7504" s="2">
        <f>IFERROR(__xludf.DUMMYFUNCTION("""COMPUTED_VALUE"""),115.52)</f>
        <v>115.52</v>
      </c>
      <c r="F7504" s="2">
        <f>IFERROR(__xludf.DUMMYFUNCTION("""COMPUTED_VALUE"""),5427378.0)</f>
        <v>5427378</v>
      </c>
    </row>
    <row r="7505">
      <c r="A7505" s="3">
        <f>IFERROR(__xludf.DUMMYFUNCTION("""COMPUTED_VALUE"""),40081.666666666664)</f>
        <v>40081.66667</v>
      </c>
      <c r="B7505" s="2">
        <f>IFERROR(__xludf.DUMMYFUNCTION("""COMPUTED_VALUE"""),114.88)</f>
        <v>114.88</v>
      </c>
      <c r="C7505" s="2">
        <f>IFERROR(__xludf.DUMMYFUNCTION("""COMPUTED_VALUE"""),116.2)</f>
        <v>116.2</v>
      </c>
      <c r="D7505" s="2">
        <f>IFERROR(__xludf.DUMMYFUNCTION("""COMPUTED_VALUE"""),114.72)</f>
        <v>114.72</v>
      </c>
      <c r="E7505" s="2">
        <f>IFERROR(__xludf.DUMMYFUNCTION("""COMPUTED_VALUE"""),115.65)</f>
        <v>115.65</v>
      </c>
      <c r="F7505" s="2">
        <f>IFERROR(__xludf.DUMMYFUNCTION("""COMPUTED_VALUE"""),5187894.0)</f>
        <v>5187894</v>
      </c>
    </row>
    <row r="7506">
      <c r="A7506" s="3">
        <f>IFERROR(__xludf.DUMMYFUNCTION("""COMPUTED_VALUE"""),40084.666666666664)</f>
        <v>40084.66667</v>
      </c>
      <c r="B7506" s="2">
        <f>IFERROR(__xludf.DUMMYFUNCTION("""COMPUTED_VALUE"""),115.12)</f>
        <v>115.12</v>
      </c>
      <c r="C7506" s="2">
        <f>IFERROR(__xludf.DUMMYFUNCTION("""COMPUTED_VALUE"""),116.53)</f>
        <v>116.53</v>
      </c>
      <c r="D7506" s="2">
        <f>IFERROR(__xludf.DUMMYFUNCTION("""COMPUTED_VALUE"""),113.61)</f>
        <v>113.61</v>
      </c>
      <c r="E7506" s="2">
        <f>IFERROR(__xludf.DUMMYFUNCTION("""COMPUTED_VALUE"""),113.98)</f>
        <v>113.98</v>
      </c>
      <c r="F7506" s="2">
        <f>IFERROR(__xludf.DUMMYFUNCTION("""COMPUTED_VALUE"""),8250073.0)</f>
        <v>8250073</v>
      </c>
    </row>
    <row r="7507">
      <c r="A7507" s="3">
        <f>IFERROR(__xludf.DUMMYFUNCTION("""COMPUTED_VALUE"""),40085.666666666664)</f>
        <v>40085.66667</v>
      </c>
      <c r="B7507" s="2">
        <f>IFERROR(__xludf.DUMMYFUNCTION("""COMPUTED_VALUE"""),114.01)</f>
        <v>114.01</v>
      </c>
      <c r="C7507" s="2">
        <f>IFERROR(__xludf.DUMMYFUNCTION("""COMPUTED_VALUE"""),114.56)</f>
        <v>114.56</v>
      </c>
      <c r="D7507" s="2">
        <f>IFERROR(__xludf.DUMMYFUNCTION("""COMPUTED_VALUE"""),113.28)</f>
        <v>113.28</v>
      </c>
      <c r="E7507" s="2">
        <f>IFERROR(__xludf.DUMMYFUNCTION("""COMPUTED_VALUE"""),113.48)</f>
        <v>113.48</v>
      </c>
      <c r="F7507" s="2">
        <f>IFERROR(__xludf.DUMMYFUNCTION("""COMPUTED_VALUE"""),6748992.0)</f>
        <v>6748992</v>
      </c>
    </row>
    <row r="7508">
      <c r="A7508" s="3">
        <f>IFERROR(__xludf.DUMMYFUNCTION("""COMPUTED_VALUE"""),40086.666666666664)</f>
        <v>40086.66667</v>
      </c>
      <c r="B7508" s="2">
        <f>IFERROR(__xludf.DUMMYFUNCTION("""COMPUTED_VALUE"""),113.84)</f>
        <v>113.84</v>
      </c>
      <c r="C7508" s="2">
        <f>IFERROR(__xludf.DUMMYFUNCTION("""COMPUTED_VALUE"""),114.62)</f>
        <v>114.62</v>
      </c>
      <c r="D7508" s="2">
        <f>IFERROR(__xludf.DUMMYFUNCTION("""COMPUTED_VALUE"""),112.28)</f>
        <v>112.28</v>
      </c>
      <c r="E7508" s="2">
        <f>IFERROR(__xludf.DUMMYFUNCTION("""COMPUTED_VALUE"""),114.25)</f>
        <v>114.25</v>
      </c>
      <c r="F7508" s="2">
        <f>IFERROR(__xludf.DUMMYFUNCTION("""COMPUTED_VALUE"""),7733205.0)</f>
        <v>7733205</v>
      </c>
    </row>
    <row r="7509">
      <c r="A7509" s="3">
        <f>IFERROR(__xludf.DUMMYFUNCTION("""COMPUTED_VALUE"""),40087.666666666664)</f>
        <v>40087.66667</v>
      </c>
      <c r="B7509" s="2">
        <f>IFERROR(__xludf.DUMMYFUNCTION("""COMPUTED_VALUE"""),114.04)</f>
        <v>114.04</v>
      </c>
      <c r="C7509" s="2">
        <f>IFERROR(__xludf.DUMMYFUNCTION("""COMPUTED_VALUE"""),114.25)</f>
        <v>114.25</v>
      </c>
      <c r="D7509" s="2">
        <f>IFERROR(__xludf.DUMMYFUNCTION("""COMPUTED_VALUE"""),112.29)</f>
        <v>112.29</v>
      </c>
      <c r="E7509" s="2">
        <f>IFERROR(__xludf.DUMMYFUNCTION("""COMPUTED_VALUE"""),112.61)</f>
        <v>112.61</v>
      </c>
      <c r="F7509" s="2">
        <f>IFERROR(__xludf.DUMMYFUNCTION("""COMPUTED_VALUE"""),7070015.0)</f>
        <v>7070015</v>
      </c>
    </row>
    <row r="7510">
      <c r="A7510" s="3">
        <f>IFERROR(__xludf.DUMMYFUNCTION("""COMPUTED_VALUE"""),40088.666666666664)</f>
        <v>40088.66667</v>
      </c>
      <c r="B7510" s="2">
        <f>IFERROR(__xludf.DUMMYFUNCTION("""COMPUTED_VALUE"""),112.14)</f>
        <v>112.14</v>
      </c>
      <c r="C7510" s="2">
        <f>IFERROR(__xludf.DUMMYFUNCTION("""COMPUTED_VALUE"""),114.29)</f>
        <v>114.29</v>
      </c>
      <c r="D7510" s="2">
        <f>IFERROR(__xludf.DUMMYFUNCTION("""COMPUTED_VALUE"""),112.0)</f>
        <v>112</v>
      </c>
      <c r="E7510" s="2">
        <f>IFERROR(__xludf.DUMMYFUNCTION("""COMPUTED_VALUE"""),113.68)</f>
        <v>113.68</v>
      </c>
      <c r="F7510" s="2">
        <f>IFERROR(__xludf.DUMMYFUNCTION("""COMPUTED_VALUE"""),7585296.0)</f>
        <v>7585296</v>
      </c>
    </row>
    <row r="7511">
      <c r="A7511" s="3">
        <f>IFERROR(__xludf.DUMMYFUNCTION("""COMPUTED_VALUE"""),40091.666666666664)</f>
        <v>40091.66667</v>
      </c>
      <c r="B7511" s="2">
        <f>IFERROR(__xludf.DUMMYFUNCTION("""COMPUTED_VALUE"""),113.57)</f>
        <v>113.57</v>
      </c>
      <c r="C7511" s="2">
        <f>IFERROR(__xludf.DUMMYFUNCTION("""COMPUTED_VALUE"""),114.79)</f>
        <v>114.79</v>
      </c>
      <c r="D7511" s="2">
        <f>IFERROR(__xludf.DUMMYFUNCTION("""COMPUTED_VALUE"""),112.83)</f>
        <v>112.83</v>
      </c>
      <c r="E7511" s="2">
        <f>IFERROR(__xludf.DUMMYFUNCTION("""COMPUTED_VALUE"""),114.38)</f>
        <v>114.38</v>
      </c>
      <c r="F7511" s="2">
        <f>IFERROR(__xludf.DUMMYFUNCTION("""COMPUTED_VALUE"""),5673472.0)</f>
        <v>5673472</v>
      </c>
    </row>
    <row r="7512">
      <c r="A7512" s="3">
        <f>IFERROR(__xludf.DUMMYFUNCTION("""COMPUTED_VALUE"""),40092.666666666664)</f>
        <v>40092.66667</v>
      </c>
      <c r="B7512" s="2">
        <f>IFERROR(__xludf.DUMMYFUNCTION("""COMPUTED_VALUE"""),114.99)</f>
        <v>114.99</v>
      </c>
      <c r="C7512" s="2">
        <f>IFERROR(__xludf.DUMMYFUNCTION("""COMPUTED_VALUE"""),116.14)</f>
        <v>116.14</v>
      </c>
      <c r="D7512" s="2">
        <f>IFERROR(__xludf.DUMMYFUNCTION("""COMPUTED_VALUE"""),114.83)</f>
        <v>114.83</v>
      </c>
      <c r="E7512" s="2">
        <f>IFERROR(__xludf.DUMMYFUNCTION("""COMPUTED_VALUE"""),115.91)</f>
        <v>115.91</v>
      </c>
      <c r="F7512" s="2">
        <f>IFERROR(__xludf.DUMMYFUNCTION("""COMPUTED_VALUE"""),6659151.0)</f>
        <v>6659151</v>
      </c>
    </row>
    <row r="7513">
      <c r="A7513" s="3">
        <f>IFERROR(__xludf.DUMMYFUNCTION("""COMPUTED_VALUE"""),40093.666666666664)</f>
        <v>40093.66667</v>
      </c>
      <c r="B7513" s="2">
        <f>IFERROR(__xludf.DUMMYFUNCTION("""COMPUTED_VALUE"""),115.69)</f>
        <v>115.69</v>
      </c>
      <c r="C7513" s="2">
        <f>IFERROR(__xludf.DUMMYFUNCTION("""COMPUTED_VALUE"""),117.34)</f>
        <v>117.34</v>
      </c>
      <c r="D7513" s="2">
        <f>IFERROR(__xludf.DUMMYFUNCTION("""COMPUTED_VALUE"""),115.52)</f>
        <v>115.52</v>
      </c>
      <c r="E7513" s="2">
        <f>IFERROR(__xludf.DUMMYFUNCTION("""COMPUTED_VALUE"""),117.28)</f>
        <v>117.28</v>
      </c>
      <c r="F7513" s="2">
        <f>IFERROR(__xludf.DUMMYFUNCTION("""COMPUTED_VALUE"""),5967677.0)</f>
        <v>5967677</v>
      </c>
    </row>
    <row r="7514">
      <c r="A7514" s="3">
        <f>IFERROR(__xludf.DUMMYFUNCTION("""COMPUTED_VALUE"""),40094.666666666664)</f>
        <v>40094.66667</v>
      </c>
      <c r="B7514" s="2">
        <f>IFERROR(__xludf.DUMMYFUNCTION("""COMPUTED_VALUE"""),117.03)</f>
        <v>117.03</v>
      </c>
      <c r="C7514" s="2">
        <f>IFERROR(__xludf.DUMMYFUNCTION("""COMPUTED_VALUE"""),117.47)</f>
        <v>117.47</v>
      </c>
      <c r="D7514" s="2">
        <f>IFERROR(__xludf.DUMMYFUNCTION("""COMPUTED_VALUE"""),116.39)</f>
        <v>116.39</v>
      </c>
      <c r="E7514" s="2">
        <f>IFERROR(__xludf.DUMMYFUNCTION("""COMPUTED_VALUE"""),116.81)</f>
        <v>116.81</v>
      </c>
      <c r="F7514" s="2">
        <f>IFERROR(__xludf.DUMMYFUNCTION("""COMPUTED_VALUE"""),6501378.0)</f>
        <v>6501378</v>
      </c>
    </row>
    <row r="7515">
      <c r="A7515" s="3">
        <f>IFERROR(__xludf.DUMMYFUNCTION("""COMPUTED_VALUE"""),40095.666666666664)</f>
        <v>40095.66667</v>
      </c>
      <c r="B7515" s="2">
        <f>IFERROR(__xludf.DUMMYFUNCTION("""COMPUTED_VALUE"""),116.94)</f>
        <v>116.94</v>
      </c>
      <c r="C7515" s="2">
        <f>IFERROR(__xludf.DUMMYFUNCTION("""COMPUTED_VALUE"""),120.35)</f>
        <v>120.35</v>
      </c>
      <c r="D7515" s="2">
        <f>IFERROR(__xludf.DUMMYFUNCTION("""COMPUTED_VALUE"""),116.82)</f>
        <v>116.82</v>
      </c>
      <c r="E7515" s="2">
        <f>IFERROR(__xludf.DUMMYFUNCTION("""COMPUTED_VALUE"""),120.28)</f>
        <v>120.28</v>
      </c>
      <c r="F7515" s="2">
        <f>IFERROR(__xludf.DUMMYFUNCTION("""COMPUTED_VALUE"""),1.3123483E7)</f>
        <v>13123483</v>
      </c>
    </row>
    <row r="7516">
      <c r="A7516" s="3">
        <f>IFERROR(__xludf.DUMMYFUNCTION("""COMPUTED_VALUE"""),40098.666666666664)</f>
        <v>40098.66667</v>
      </c>
      <c r="B7516" s="2">
        <f>IFERROR(__xludf.DUMMYFUNCTION("""COMPUTED_VALUE"""),119.82)</f>
        <v>119.82</v>
      </c>
      <c r="C7516" s="2">
        <f>IFERROR(__xludf.DUMMYFUNCTION("""COMPUTED_VALUE"""),121.4)</f>
        <v>121.4</v>
      </c>
      <c r="D7516" s="2">
        <f>IFERROR(__xludf.DUMMYFUNCTION("""COMPUTED_VALUE"""),119.59)</f>
        <v>119.59</v>
      </c>
      <c r="E7516" s="2">
        <f>IFERROR(__xludf.DUMMYFUNCTION("""COMPUTED_VALUE"""),121.34)</f>
        <v>121.34</v>
      </c>
      <c r="F7516" s="2">
        <f>IFERROR(__xludf.DUMMYFUNCTION("""COMPUTED_VALUE"""),7730425.0)</f>
        <v>7730425</v>
      </c>
    </row>
    <row r="7517">
      <c r="A7517" s="3">
        <f>IFERROR(__xludf.DUMMYFUNCTION("""COMPUTED_VALUE"""),40099.666666666664)</f>
        <v>40099.66667</v>
      </c>
      <c r="B7517" s="2">
        <f>IFERROR(__xludf.DUMMYFUNCTION("""COMPUTED_VALUE"""),120.56)</f>
        <v>120.56</v>
      </c>
      <c r="C7517" s="2">
        <f>IFERROR(__xludf.DUMMYFUNCTION("""COMPUTED_VALUE"""),121.68)</f>
        <v>121.68</v>
      </c>
      <c r="D7517" s="2">
        <f>IFERROR(__xludf.DUMMYFUNCTION("""COMPUTED_VALUE"""),120.54)</f>
        <v>120.54</v>
      </c>
      <c r="E7517" s="2">
        <f>IFERROR(__xludf.DUMMYFUNCTION("""COMPUTED_VALUE"""),121.32)</f>
        <v>121.32</v>
      </c>
      <c r="F7517" s="2">
        <f>IFERROR(__xludf.DUMMYFUNCTION("""COMPUTED_VALUE"""),7582436.0)</f>
        <v>7582436</v>
      </c>
    </row>
    <row r="7518">
      <c r="A7518" s="3">
        <f>IFERROR(__xludf.DUMMYFUNCTION("""COMPUTED_VALUE"""),40100.666666666664)</f>
        <v>40100.66667</v>
      </c>
      <c r="B7518" s="2">
        <f>IFERROR(__xludf.DUMMYFUNCTION("""COMPUTED_VALUE"""),121.98)</f>
        <v>121.98</v>
      </c>
      <c r="C7518" s="2">
        <f>IFERROR(__xludf.DUMMYFUNCTION("""COMPUTED_VALUE"""),122.84)</f>
        <v>122.84</v>
      </c>
      <c r="D7518" s="2">
        <f>IFERROR(__xludf.DUMMYFUNCTION("""COMPUTED_VALUE"""),120.92)</f>
        <v>120.92</v>
      </c>
      <c r="E7518" s="2">
        <f>IFERROR(__xludf.DUMMYFUNCTION("""COMPUTED_VALUE"""),122.6)</f>
        <v>122.6</v>
      </c>
      <c r="F7518" s="2">
        <f>IFERROR(__xludf.DUMMYFUNCTION("""COMPUTED_VALUE"""),9558486.0)</f>
        <v>9558486</v>
      </c>
    </row>
    <row r="7519">
      <c r="A7519" s="3">
        <f>IFERROR(__xludf.DUMMYFUNCTION("""COMPUTED_VALUE"""),40101.666666666664)</f>
        <v>40101.66667</v>
      </c>
      <c r="B7519" s="2">
        <f>IFERROR(__xludf.DUMMYFUNCTION("""COMPUTED_VALUE"""),121.84)</f>
        <v>121.84</v>
      </c>
      <c r="C7519" s="2">
        <f>IFERROR(__xludf.DUMMYFUNCTION("""COMPUTED_VALUE"""),122.26)</f>
        <v>122.26</v>
      </c>
      <c r="D7519" s="2">
        <f>IFERROR(__xludf.DUMMYFUNCTION("""COMPUTED_VALUE"""),120.66)</f>
        <v>120.66</v>
      </c>
      <c r="E7519" s="2">
        <f>IFERROR(__xludf.DUMMYFUNCTION("""COMPUTED_VALUE"""),122.24)</f>
        <v>122.24</v>
      </c>
      <c r="F7519" s="2">
        <f>IFERROR(__xludf.DUMMYFUNCTION("""COMPUTED_VALUE"""),1.195299E7)</f>
        <v>11952990</v>
      </c>
    </row>
    <row r="7520">
      <c r="A7520" s="3">
        <f>IFERROR(__xludf.DUMMYFUNCTION("""COMPUTED_VALUE"""),40102.666666666664)</f>
        <v>40102.66667</v>
      </c>
      <c r="B7520" s="2">
        <f>IFERROR(__xludf.DUMMYFUNCTION("""COMPUTED_VALUE"""),117.63)</f>
        <v>117.63</v>
      </c>
      <c r="C7520" s="2">
        <f>IFERROR(__xludf.DUMMYFUNCTION("""COMPUTED_VALUE"""),118.15)</f>
        <v>118.15</v>
      </c>
      <c r="D7520" s="2">
        <f>IFERROR(__xludf.DUMMYFUNCTION("""COMPUTED_VALUE"""),115.81)</f>
        <v>115.81</v>
      </c>
      <c r="E7520" s="2">
        <f>IFERROR(__xludf.DUMMYFUNCTION("""COMPUTED_VALUE"""),116.19)</f>
        <v>116.19</v>
      </c>
      <c r="F7520" s="2">
        <f>IFERROR(__xludf.DUMMYFUNCTION("""COMPUTED_VALUE"""),1.9218944E7)</f>
        <v>19218944</v>
      </c>
    </row>
    <row r="7521">
      <c r="A7521" s="3">
        <f>IFERROR(__xludf.DUMMYFUNCTION("""COMPUTED_VALUE"""),40105.666666666664)</f>
        <v>40105.66667</v>
      </c>
      <c r="B7521" s="2">
        <f>IFERROR(__xludf.DUMMYFUNCTION("""COMPUTED_VALUE"""),116.3)</f>
        <v>116.3</v>
      </c>
      <c r="C7521" s="2">
        <f>IFERROR(__xludf.DUMMYFUNCTION("""COMPUTED_VALUE"""),117.83)</f>
        <v>117.83</v>
      </c>
      <c r="D7521" s="2">
        <f>IFERROR(__xludf.DUMMYFUNCTION("""COMPUTED_VALUE"""),116.16)</f>
        <v>116.16</v>
      </c>
      <c r="E7521" s="2">
        <f>IFERROR(__xludf.DUMMYFUNCTION("""COMPUTED_VALUE"""),117.54)</f>
        <v>117.54</v>
      </c>
      <c r="F7521" s="2">
        <f>IFERROR(__xludf.DUMMYFUNCTION("""COMPUTED_VALUE"""),7514034.0)</f>
        <v>7514034</v>
      </c>
    </row>
    <row r="7522">
      <c r="A7522" s="3">
        <f>IFERROR(__xludf.DUMMYFUNCTION("""COMPUTED_VALUE"""),40106.666666666664)</f>
        <v>40106.66667</v>
      </c>
      <c r="B7522" s="2">
        <f>IFERROR(__xludf.DUMMYFUNCTION("""COMPUTED_VALUE"""),117.83)</f>
        <v>117.83</v>
      </c>
      <c r="C7522" s="2">
        <f>IFERROR(__xludf.DUMMYFUNCTION("""COMPUTED_VALUE"""),117.96)</f>
        <v>117.96</v>
      </c>
      <c r="D7522" s="2">
        <f>IFERROR(__xludf.DUMMYFUNCTION("""COMPUTED_VALUE"""),116.05)</f>
        <v>116.05</v>
      </c>
      <c r="E7522" s="2">
        <f>IFERROR(__xludf.DUMMYFUNCTION("""COMPUTED_VALUE"""),117.31)</f>
        <v>117.31</v>
      </c>
      <c r="F7522" s="2">
        <f>IFERROR(__xludf.DUMMYFUNCTION("""COMPUTED_VALUE"""),8780912.0)</f>
        <v>8780912</v>
      </c>
    </row>
    <row r="7523">
      <c r="A7523" s="3">
        <f>IFERROR(__xludf.DUMMYFUNCTION("""COMPUTED_VALUE"""),40107.666666666664)</f>
        <v>40107.66667</v>
      </c>
      <c r="B7523" s="2">
        <f>IFERROR(__xludf.DUMMYFUNCTION("""COMPUTED_VALUE"""),116.7)</f>
        <v>116.7</v>
      </c>
      <c r="C7523" s="2">
        <f>IFERROR(__xludf.DUMMYFUNCTION("""COMPUTED_VALUE"""),118.55)</f>
        <v>118.55</v>
      </c>
      <c r="D7523" s="2">
        <f>IFERROR(__xludf.DUMMYFUNCTION("""COMPUTED_VALUE"""),115.44)</f>
        <v>115.44</v>
      </c>
      <c r="E7523" s="2">
        <f>IFERROR(__xludf.DUMMYFUNCTION("""COMPUTED_VALUE"""),115.45)</f>
        <v>115.45</v>
      </c>
      <c r="F7523" s="2">
        <f>IFERROR(__xludf.DUMMYFUNCTION("""COMPUTED_VALUE"""),7175154.0)</f>
        <v>7175154</v>
      </c>
    </row>
    <row r="7524">
      <c r="A7524" s="3">
        <f>IFERROR(__xludf.DUMMYFUNCTION("""COMPUTED_VALUE"""),40108.666666666664)</f>
        <v>40108.66667</v>
      </c>
      <c r="B7524" s="2">
        <f>IFERROR(__xludf.DUMMYFUNCTION("""COMPUTED_VALUE"""),115.34)</f>
        <v>115.34</v>
      </c>
      <c r="C7524" s="2">
        <f>IFERROR(__xludf.DUMMYFUNCTION("""COMPUTED_VALUE"""),117.49)</f>
        <v>117.49</v>
      </c>
      <c r="D7524" s="2">
        <f>IFERROR(__xludf.DUMMYFUNCTION("""COMPUTED_VALUE"""),114.94)</f>
        <v>114.94</v>
      </c>
      <c r="E7524" s="2">
        <f>IFERROR(__xludf.DUMMYFUNCTION("""COMPUTED_VALUE"""),117.19)</f>
        <v>117.19</v>
      </c>
      <c r="F7524" s="2">
        <f>IFERROR(__xludf.DUMMYFUNCTION("""COMPUTED_VALUE"""),6029228.0)</f>
        <v>6029228</v>
      </c>
    </row>
    <row r="7525">
      <c r="A7525" s="3">
        <f>IFERROR(__xludf.DUMMYFUNCTION("""COMPUTED_VALUE"""),40109.666666666664)</f>
        <v>40109.66667</v>
      </c>
      <c r="B7525" s="2">
        <f>IFERROR(__xludf.DUMMYFUNCTION("""COMPUTED_VALUE"""),117.44)</f>
        <v>117.44</v>
      </c>
      <c r="C7525" s="2">
        <f>IFERROR(__xludf.DUMMYFUNCTION("""COMPUTED_VALUE"""),117.54)</f>
        <v>117.54</v>
      </c>
      <c r="D7525" s="2">
        <f>IFERROR(__xludf.DUMMYFUNCTION("""COMPUTED_VALUE"""),114.62)</f>
        <v>114.62</v>
      </c>
      <c r="E7525" s="2">
        <f>IFERROR(__xludf.DUMMYFUNCTION("""COMPUTED_VALUE"""),114.96)</f>
        <v>114.96</v>
      </c>
      <c r="F7525" s="2">
        <f>IFERROR(__xludf.DUMMYFUNCTION("""COMPUTED_VALUE"""),6799823.0)</f>
        <v>6799823</v>
      </c>
    </row>
    <row r="7526">
      <c r="A7526" s="3">
        <f>IFERROR(__xludf.DUMMYFUNCTION("""COMPUTED_VALUE"""),40112.666666666664)</f>
        <v>40112.66667</v>
      </c>
      <c r="B7526" s="2">
        <f>IFERROR(__xludf.DUMMYFUNCTION("""COMPUTED_VALUE"""),115.2)</f>
        <v>115.2</v>
      </c>
      <c r="C7526" s="2">
        <f>IFERROR(__xludf.DUMMYFUNCTION("""COMPUTED_VALUE"""),116.95)</f>
        <v>116.95</v>
      </c>
      <c r="D7526" s="2">
        <f>IFERROR(__xludf.DUMMYFUNCTION("""COMPUTED_VALUE"""),114.19)</f>
        <v>114.19</v>
      </c>
      <c r="E7526" s="2">
        <f>IFERROR(__xludf.DUMMYFUNCTION("""COMPUTED_VALUE"""),114.72)</f>
        <v>114.72</v>
      </c>
      <c r="F7526" s="2">
        <f>IFERROR(__xludf.DUMMYFUNCTION("""COMPUTED_VALUE"""),6539803.0)</f>
        <v>6539803</v>
      </c>
    </row>
    <row r="7527">
      <c r="A7527" s="3">
        <f>IFERROR(__xludf.DUMMYFUNCTION("""COMPUTED_VALUE"""),40113.666666666664)</f>
        <v>40113.66667</v>
      </c>
      <c r="B7527" s="2">
        <f>IFERROR(__xludf.DUMMYFUNCTION("""COMPUTED_VALUE"""),114.79)</f>
        <v>114.79</v>
      </c>
      <c r="C7527" s="2">
        <f>IFERROR(__xludf.DUMMYFUNCTION("""COMPUTED_VALUE"""),116.66)</f>
        <v>116.66</v>
      </c>
      <c r="D7527" s="2">
        <f>IFERROR(__xludf.DUMMYFUNCTION("""COMPUTED_VALUE"""),113.81)</f>
        <v>113.81</v>
      </c>
      <c r="E7527" s="2">
        <f>IFERROR(__xludf.DUMMYFUNCTION("""COMPUTED_VALUE"""),115.24)</f>
        <v>115.24</v>
      </c>
      <c r="F7527" s="2">
        <f>IFERROR(__xludf.DUMMYFUNCTION("""COMPUTED_VALUE"""),9445982.0)</f>
        <v>9445982</v>
      </c>
    </row>
    <row r="7528">
      <c r="A7528" s="3">
        <f>IFERROR(__xludf.DUMMYFUNCTION("""COMPUTED_VALUE"""),40114.666666666664)</f>
        <v>40114.66667</v>
      </c>
      <c r="B7528" s="2">
        <f>IFERROR(__xludf.DUMMYFUNCTION("""COMPUTED_VALUE"""),115.07)</f>
        <v>115.07</v>
      </c>
      <c r="C7528" s="2">
        <f>IFERROR(__xludf.DUMMYFUNCTION("""COMPUTED_VALUE"""),116.22)</f>
        <v>116.22</v>
      </c>
      <c r="D7528" s="2">
        <f>IFERROR(__xludf.DUMMYFUNCTION("""COMPUTED_VALUE"""),114.5)</f>
        <v>114.5</v>
      </c>
      <c r="E7528" s="2">
        <f>IFERROR(__xludf.DUMMYFUNCTION("""COMPUTED_VALUE"""),116.05)</f>
        <v>116.05</v>
      </c>
      <c r="F7528" s="2">
        <f>IFERROR(__xludf.DUMMYFUNCTION("""COMPUTED_VALUE"""),8782409.0)</f>
        <v>8782409</v>
      </c>
    </row>
    <row r="7529">
      <c r="A7529" s="3">
        <f>IFERROR(__xludf.DUMMYFUNCTION("""COMPUTED_VALUE"""),40115.666666666664)</f>
        <v>40115.66667</v>
      </c>
      <c r="B7529" s="2">
        <f>IFERROR(__xludf.DUMMYFUNCTION("""COMPUTED_VALUE"""),116.67)</f>
        <v>116.67</v>
      </c>
      <c r="C7529" s="2">
        <f>IFERROR(__xludf.DUMMYFUNCTION("""COMPUTED_VALUE"""),117.51)</f>
        <v>117.51</v>
      </c>
      <c r="D7529" s="2">
        <f>IFERROR(__xludf.DUMMYFUNCTION("""COMPUTED_VALUE"""),116.15)</f>
        <v>116.15</v>
      </c>
      <c r="E7529" s="2">
        <f>IFERROR(__xludf.DUMMYFUNCTION("""COMPUTED_VALUE"""),117.36)</f>
        <v>117.36</v>
      </c>
      <c r="F7529" s="2">
        <f>IFERROR(__xludf.DUMMYFUNCTION("""COMPUTED_VALUE"""),6309369.0)</f>
        <v>6309369</v>
      </c>
    </row>
    <row r="7530">
      <c r="A7530" s="3">
        <f>IFERROR(__xludf.DUMMYFUNCTION("""COMPUTED_VALUE"""),40116.666666666664)</f>
        <v>40116.66667</v>
      </c>
      <c r="B7530" s="2">
        <f>IFERROR(__xludf.DUMMYFUNCTION("""COMPUTED_VALUE"""),117.13)</f>
        <v>117.13</v>
      </c>
      <c r="C7530" s="2">
        <f>IFERROR(__xludf.DUMMYFUNCTION("""COMPUTED_VALUE"""),118.73)</f>
        <v>118.73</v>
      </c>
      <c r="D7530" s="2">
        <f>IFERROR(__xludf.DUMMYFUNCTION("""COMPUTED_VALUE"""),115.08)</f>
        <v>115.08</v>
      </c>
      <c r="E7530" s="2">
        <f>IFERROR(__xludf.DUMMYFUNCTION("""COMPUTED_VALUE"""),115.2)</f>
        <v>115.2</v>
      </c>
      <c r="F7530" s="2">
        <f>IFERROR(__xludf.DUMMYFUNCTION("""COMPUTED_VALUE"""),7716347.0)</f>
        <v>7716347</v>
      </c>
    </row>
    <row r="7531">
      <c r="A7531" s="3">
        <f>IFERROR(__xludf.DUMMYFUNCTION("""COMPUTED_VALUE"""),40119.666666666664)</f>
        <v>40119.66667</v>
      </c>
      <c r="B7531" s="2">
        <f>IFERROR(__xludf.DUMMYFUNCTION("""COMPUTED_VALUE"""),115.36)</f>
        <v>115.36</v>
      </c>
      <c r="C7531" s="2">
        <f>IFERROR(__xludf.DUMMYFUNCTION("""COMPUTED_VALUE"""),116.46)</f>
        <v>116.46</v>
      </c>
      <c r="D7531" s="2">
        <f>IFERROR(__xludf.DUMMYFUNCTION("""COMPUTED_VALUE"""),114.14)</f>
        <v>114.14</v>
      </c>
      <c r="E7531" s="2">
        <f>IFERROR(__xludf.DUMMYFUNCTION("""COMPUTED_VALUE"""),115.15)</f>
        <v>115.15</v>
      </c>
      <c r="F7531" s="2">
        <f>IFERROR(__xludf.DUMMYFUNCTION("""COMPUTED_VALUE"""),7050252.0)</f>
        <v>7050252</v>
      </c>
    </row>
    <row r="7532">
      <c r="A7532" s="3">
        <f>IFERROR(__xludf.DUMMYFUNCTION("""COMPUTED_VALUE"""),40120.666666666664)</f>
        <v>40120.66667</v>
      </c>
      <c r="B7532" s="2">
        <f>IFERROR(__xludf.DUMMYFUNCTION("""COMPUTED_VALUE"""),114.17)</f>
        <v>114.17</v>
      </c>
      <c r="C7532" s="2">
        <f>IFERROR(__xludf.DUMMYFUNCTION("""COMPUTED_VALUE"""),115.76)</f>
        <v>115.76</v>
      </c>
      <c r="D7532" s="2">
        <f>IFERROR(__xludf.DUMMYFUNCTION("""COMPUTED_VALUE"""),114.17)</f>
        <v>114.17</v>
      </c>
      <c r="E7532" s="2">
        <f>IFERROR(__xludf.DUMMYFUNCTION("""COMPUTED_VALUE"""),115.73)</f>
        <v>115.73</v>
      </c>
      <c r="F7532" s="2">
        <f>IFERROR(__xludf.DUMMYFUNCTION("""COMPUTED_VALUE"""),5720434.0)</f>
        <v>5720434</v>
      </c>
    </row>
    <row r="7533">
      <c r="A7533" s="3">
        <f>IFERROR(__xludf.DUMMYFUNCTION("""COMPUTED_VALUE"""),40121.666666666664)</f>
        <v>40121.66667</v>
      </c>
      <c r="B7533" s="2">
        <f>IFERROR(__xludf.DUMMYFUNCTION("""COMPUTED_VALUE"""),116.01)</f>
        <v>116.01</v>
      </c>
      <c r="C7533" s="2">
        <f>IFERROR(__xludf.DUMMYFUNCTION("""COMPUTED_VALUE"""),117.01)</f>
        <v>117.01</v>
      </c>
      <c r="D7533" s="2">
        <f>IFERROR(__xludf.DUMMYFUNCTION("""COMPUTED_VALUE"""),115.73)</f>
        <v>115.73</v>
      </c>
      <c r="E7533" s="2">
        <f>IFERROR(__xludf.DUMMYFUNCTION("""COMPUTED_VALUE"""),115.85)</f>
        <v>115.85</v>
      </c>
      <c r="F7533" s="2">
        <f>IFERROR(__xludf.DUMMYFUNCTION("""COMPUTED_VALUE"""),6353648.0)</f>
        <v>6353648</v>
      </c>
    </row>
    <row r="7534">
      <c r="A7534" s="3">
        <f>IFERROR(__xludf.DUMMYFUNCTION("""COMPUTED_VALUE"""),40122.666666666664)</f>
        <v>40122.66667</v>
      </c>
      <c r="B7534" s="2">
        <f>IFERROR(__xludf.DUMMYFUNCTION("""COMPUTED_VALUE"""),116.64)</f>
        <v>116.64</v>
      </c>
      <c r="C7534" s="2">
        <f>IFERROR(__xludf.DUMMYFUNCTION("""COMPUTED_VALUE"""),117.96)</f>
        <v>117.96</v>
      </c>
      <c r="D7534" s="2">
        <f>IFERROR(__xludf.DUMMYFUNCTION("""COMPUTED_VALUE"""),116.53)</f>
        <v>116.53</v>
      </c>
      <c r="E7534" s="2">
        <f>IFERROR(__xludf.DUMMYFUNCTION("""COMPUTED_VALUE"""),117.58)</f>
        <v>117.58</v>
      </c>
      <c r="F7534" s="2">
        <f>IFERROR(__xludf.DUMMYFUNCTION("""COMPUTED_VALUE"""),6703852.0)</f>
        <v>6703852</v>
      </c>
    </row>
    <row r="7535">
      <c r="A7535" s="3">
        <f>IFERROR(__xludf.DUMMYFUNCTION("""COMPUTED_VALUE"""),40123.666666666664)</f>
        <v>40123.66667</v>
      </c>
      <c r="B7535" s="2">
        <f>IFERROR(__xludf.DUMMYFUNCTION("""COMPUTED_VALUE"""),117.02)</f>
        <v>117.02</v>
      </c>
      <c r="C7535" s="2">
        <f>IFERROR(__xludf.DUMMYFUNCTION("""COMPUTED_VALUE"""),117.95)</f>
        <v>117.95</v>
      </c>
      <c r="D7535" s="2">
        <f>IFERROR(__xludf.DUMMYFUNCTION("""COMPUTED_VALUE"""),116.75)</f>
        <v>116.75</v>
      </c>
      <c r="E7535" s="2">
        <f>IFERROR(__xludf.DUMMYFUNCTION("""COMPUTED_VALUE"""),117.95)</f>
        <v>117.95</v>
      </c>
      <c r="F7535" s="2">
        <f>IFERROR(__xludf.DUMMYFUNCTION("""COMPUTED_VALUE"""),4979517.0)</f>
        <v>4979517</v>
      </c>
    </row>
    <row r="7536">
      <c r="A7536" s="3">
        <f>IFERROR(__xludf.DUMMYFUNCTION("""COMPUTED_VALUE"""),40126.666666666664)</f>
        <v>40126.66667</v>
      </c>
      <c r="B7536" s="2">
        <f>IFERROR(__xludf.DUMMYFUNCTION("""COMPUTED_VALUE"""),118.36)</f>
        <v>118.36</v>
      </c>
      <c r="C7536" s="2">
        <f>IFERROR(__xludf.DUMMYFUNCTION("""COMPUTED_VALUE"""),120.35)</f>
        <v>120.35</v>
      </c>
      <c r="D7536" s="2">
        <f>IFERROR(__xludf.DUMMYFUNCTION("""COMPUTED_VALUE"""),117.95)</f>
        <v>117.95</v>
      </c>
      <c r="E7536" s="2">
        <f>IFERROR(__xludf.DUMMYFUNCTION("""COMPUTED_VALUE"""),120.35)</f>
        <v>120.35</v>
      </c>
      <c r="F7536" s="2">
        <f>IFERROR(__xludf.DUMMYFUNCTION("""COMPUTED_VALUE"""),7767199.0)</f>
        <v>7767199</v>
      </c>
    </row>
    <row r="7537">
      <c r="A7537" s="3">
        <f>IFERROR(__xludf.DUMMYFUNCTION("""COMPUTED_VALUE"""),40127.666666666664)</f>
        <v>40127.66667</v>
      </c>
      <c r="B7537" s="2">
        <f>IFERROR(__xludf.DUMMYFUNCTION("""COMPUTED_VALUE"""),119.68)</f>
        <v>119.68</v>
      </c>
      <c r="C7537" s="2">
        <f>IFERROR(__xludf.DUMMYFUNCTION("""COMPUTED_VALUE"""),121.35)</f>
        <v>121.35</v>
      </c>
      <c r="D7537" s="2">
        <f>IFERROR(__xludf.DUMMYFUNCTION("""COMPUTED_VALUE"""),119.56)</f>
        <v>119.56</v>
      </c>
      <c r="E7537" s="2">
        <f>IFERROR(__xludf.DUMMYFUNCTION("""COMPUTED_VALUE"""),121.22)</f>
        <v>121.22</v>
      </c>
      <c r="F7537" s="2">
        <f>IFERROR(__xludf.DUMMYFUNCTION("""COMPUTED_VALUE"""),6444507.0)</f>
        <v>6444507</v>
      </c>
    </row>
    <row r="7538">
      <c r="A7538" s="3">
        <f>IFERROR(__xludf.DUMMYFUNCTION("""COMPUTED_VALUE"""),40128.666666666664)</f>
        <v>40128.66667</v>
      </c>
      <c r="B7538" s="2">
        <f>IFERROR(__xludf.DUMMYFUNCTION("""COMPUTED_VALUE"""),120.88)</f>
        <v>120.88</v>
      </c>
      <c r="C7538" s="2">
        <f>IFERROR(__xludf.DUMMYFUNCTION("""COMPUTED_VALUE"""),121.59)</f>
        <v>121.59</v>
      </c>
      <c r="D7538" s="2">
        <f>IFERROR(__xludf.DUMMYFUNCTION("""COMPUTED_VALUE"""),120.29)</f>
        <v>120.29</v>
      </c>
      <c r="E7538" s="2">
        <f>IFERROR(__xludf.DUMMYFUNCTION("""COMPUTED_VALUE"""),121.49)</f>
        <v>121.49</v>
      </c>
      <c r="F7538" s="2">
        <f>IFERROR(__xludf.DUMMYFUNCTION("""COMPUTED_VALUE"""),6531368.0)</f>
        <v>6531368</v>
      </c>
    </row>
    <row r="7539">
      <c r="A7539" s="3">
        <f>IFERROR(__xludf.DUMMYFUNCTION("""COMPUTED_VALUE"""),40129.666666666664)</f>
        <v>40129.66667</v>
      </c>
      <c r="B7539" s="2">
        <f>IFERROR(__xludf.DUMMYFUNCTION("""COMPUTED_VALUE"""),120.93)</f>
        <v>120.93</v>
      </c>
      <c r="C7539" s="2">
        <f>IFERROR(__xludf.DUMMYFUNCTION("""COMPUTED_VALUE"""),121.93)</f>
        <v>121.93</v>
      </c>
      <c r="D7539" s="2">
        <f>IFERROR(__xludf.DUMMYFUNCTION("""COMPUTED_VALUE"""),120.46)</f>
        <v>120.46</v>
      </c>
      <c r="E7539" s="2">
        <f>IFERROR(__xludf.DUMMYFUNCTION("""COMPUTED_VALUE"""),120.6)</f>
        <v>120.6</v>
      </c>
      <c r="F7539" s="2">
        <f>IFERROR(__xludf.DUMMYFUNCTION("""COMPUTED_VALUE"""),5345379.0)</f>
        <v>5345379</v>
      </c>
    </row>
    <row r="7540">
      <c r="A7540" s="3">
        <f>IFERROR(__xludf.DUMMYFUNCTION("""COMPUTED_VALUE"""),40130.666666666664)</f>
        <v>40130.66667</v>
      </c>
      <c r="B7540" s="2">
        <f>IFERROR(__xludf.DUMMYFUNCTION("""COMPUTED_VALUE"""),120.74)</f>
        <v>120.74</v>
      </c>
      <c r="C7540" s="2">
        <f>IFERROR(__xludf.DUMMYFUNCTION("""COMPUTED_VALUE"""),122.07)</f>
        <v>122.07</v>
      </c>
      <c r="D7540" s="2">
        <f>IFERROR(__xludf.DUMMYFUNCTION("""COMPUTED_VALUE"""),120.61)</f>
        <v>120.61</v>
      </c>
      <c r="E7540" s="2">
        <f>IFERROR(__xludf.DUMMYFUNCTION("""COMPUTED_VALUE"""),121.33)</f>
        <v>121.33</v>
      </c>
      <c r="F7540" s="2">
        <f>IFERROR(__xludf.DUMMYFUNCTION("""COMPUTED_VALUE"""),4986825.0)</f>
        <v>4986825</v>
      </c>
    </row>
    <row r="7541">
      <c r="A7541" s="3">
        <f>IFERROR(__xludf.DUMMYFUNCTION("""COMPUTED_VALUE"""),40133.666666666664)</f>
        <v>40133.66667</v>
      </c>
      <c r="B7541" s="2">
        <f>IFERROR(__xludf.DUMMYFUNCTION("""COMPUTED_VALUE"""),121.47)</f>
        <v>121.47</v>
      </c>
      <c r="C7541" s="2">
        <f>IFERROR(__xludf.DUMMYFUNCTION("""COMPUTED_VALUE"""),122.49)</f>
        <v>122.49</v>
      </c>
      <c r="D7541" s="2">
        <f>IFERROR(__xludf.DUMMYFUNCTION("""COMPUTED_VALUE"""),121.33)</f>
        <v>121.33</v>
      </c>
      <c r="E7541" s="2">
        <f>IFERROR(__xludf.DUMMYFUNCTION("""COMPUTED_VALUE"""),122.46)</f>
        <v>122.46</v>
      </c>
      <c r="F7541" s="2">
        <f>IFERROR(__xludf.DUMMYFUNCTION("""COMPUTED_VALUE"""),7975416.0)</f>
        <v>7975416</v>
      </c>
    </row>
    <row r="7542">
      <c r="A7542" s="3">
        <f>IFERROR(__xludf.DUMMYFUNCTION("""COMPUTED_VALUE"""),40134.666666666664)</f>
        <v>40134.66667</v>
      </c>
      <c r="B7542" s="2">
        <f>IFERROR(__xludf.DUMMYFUNCTION("""COMPUTED_VALUE"""),121.72)</f>
        <v>121.72</v>
      </c>
      <c r="C7542" s="2">
        <f>IFERROR(__xludf.DUMMYFUNCTION("""COMPUTED_VALUE"""),122.89)</f>
        <v>122.89</v>
      </c>
      <c r="D7542" s="2">
        <f>IFERROR(__xludf.DUMMYFUNCTION("""COMPUTED_VALUE"""),121.69)</f>
        <v>121.69</v>
      </c>
      <c r="E7542" s="2">
        <f>IFERROR(__xludf.DUMMYFUNCTION("""COMPUTED_VALUE"""),122.86)</f>
        <v>122.86</v>
      </c>
      <c r="F7542" s="2">
        <f>IFERROR(__xludf.DUMMYFUNCTION("""COMPUTED_VALUE"""),7910332.0)</f>
        <v>7910332</v>
      </c>
    </row>
    <row r="7543">
      <c r="A7543" s="3">
        <f>IFERROR(__xludf.DUMMYFUNCTION("""COMPUTED_VALUE"""),40135.666666666664)</f>
        <v>40135.66667</v>
      </c>
      <c r="B7543" s="2">
        <f>IFERROR(__xludf.DUMMYFUNCTION("""COMPUTED_VALUE"""),122.31)</f>
        <v>122.31</v>
      </c>
      <c r="C7543" s="2">
        <f>IFERROR(__xludf.DUMMYFUNCTION("""COMPUTED_VALUE"""),122.6)</f>
        <v>122.6</v>
      </c>
      <c r="D7543" s="2">
        <f>IFERROR(__xludf.DUMMYFUNCTION("""COMPUTED_VALUE"""),121.83)</f>
        <v>121.83</v>
      </c>
      <c r="E7543" s="2">
        <f>IFERROR(__xludf.DUMMYFUNCTION("""COMPUTED_VALUE"""),122.4)</f>
        <v>122.4</v>
      </c>
      <c r="F7543" s="2">
        <f>IFERROR(__xludf.DUMMYFUNCTION("""COMPUTED_VALUE"""),3970158.0)</f>
        <v>3970158</v>
      </c>
    </row>
    <row r="7544">
      <c r="A7544" s="3">
        <f>IFERROR(__xludf.DUMMYFUNCTION("""COMPUTED_VALUE"""),40136.666666666664)</f>
        <v>40136.66667</v>
      </c>
      <c r="B7544" s="2">
        <f>IFERROR(__xludf.DUMMYFUNCTION("""COMPUTED_VALUE"""),121.57)</f>
        <v>121.57</v>
      </c>
      <c r="C7544" s="2">
        <f>IFERROR(__xludf.DUMMYFUNCTION("""COMPUTED_VALUE"""),122.11)</f>
        <v>122.11</v>
      </c>
      <c r="D7544" s="2">
        <f>IFERROR(__xludf.DUMMYFUNCTION("""COMPUTED_VALUE"""),120.84)</f>
        <v>120.84</v>
      </c>
      <c r="E7544" s="2">
        <f>IFERROR(__xludf.DUMMYFUNCTION("""COMPUTED_VALUE"""),121.82)</f>
        <v>121.82</v>
      </c>
      <c r="F7544" s="2">
        <f>IFERROR(__xludf.DUMMYFUNCTION("""COMPUTED_VALUE"""),5309025.0)</f>
        <v>5309025</v>
      </c>
    </row>
    <row r="7545">
      <c r="A7545" s="3">
        <f>IFERROR(__xludf.DUMMYFUNCTION("""COMPUTED_VALUE"""),40137.666666666664)</f>
        <v>40137.66667</v>
      </c>
      <c r="B7545" s="2">
        <f>IFERROR(__xludf.DUMMYFUNCTION("""COMPUTED_VALUE"""),121.47)</f>
        <v>121.47</v>
      </c>
      <c r="C7545" s="2">
        <f>IFERROR(__xludf.DUMMYFUNCTION("""COMPUTED_VALUE"""),121.96)</f>
        <v>121.96</v>
      </c>
      <c r="D7545" s="2">
        <f>IFERROR(__xludf.DUMMYFUNCTION("""COMPUTED_VALUE"""),120.79)</f>
        <v>120.79</v>
      </c>
      <c r="E7545" s="2">
        <f>IFERROR(__xludf.DUMMYFUNCTION("""COMPUTED_VALUE"""),121.27)</f>
        <v>121.27</v>
      </c>
      <c r="F7545" s="2">
        <f>IFERROR(__xludf.DUMMYFUNCTION("""COMPUTED_VALUE"""),5354701.0)</f>
        <v>5354701</v>
      </c>
    </row>
    <row r="7546">
      <c r="A7546" s="3">
        <f>IFERROR(__xludf.DUMMYFUNCTION("""COMPUTED_VALUE"""),40140.666666666664)</f>
        <v>40140.66667</v>
      </c>
      <c r="B7546" s="2">
        <f>IFERROR(__xludf.DUMMYFUNCTION("""COMPUTED_VALUE"""),121.97)</f>
        <v>121.97</v>
      </c>
      <c r="C7546" s="2">
        <f>IFERROR(__xludf.DUMMYFUNCTION("""COMPUTED_VALUE"""),123.16)</f>
        <v>123.16</v>
      </c>
      <c r="D7546" s="2">
        <f>IFERROR(__xludf.DUMMYFUNCTION("""COMPUTED_VALUE"""),121.93)</f>
        <v>121.93</v>
      </c>
      <c r="E7546" s="2">
        <f>IFERROR(__xludf.DUMMYFUNCTION("""COMPUTED_VALUE"""),122.45)</f>
        <v>122.45</v>
      </c>
      <c r="F7546" s="2">
        <f>IFERROR(__xludf.DUMMYFUNCTION("""COMPUTED_VALUE"""),7003414.0)</f>
        <v>7003414</v>
      </c>
    </row>
    <row r="7547">
      <c r="A7547" s="3">
        <f>IFERROR(__xludf.DUMMYFUNCTION("""COMPUTED_VALUE"""),40141.666666666664)</f>
        <v>40141.66667</v>
      </c>
      <c r="B7547" s="2">
        <f>IFERROR(__xludf.DUMMYFUNCTION("""COMPUTED_VALUE"""),122.17)</f>
        <v>122.17</v>
      </c>
      <c r="C7547" s="2">
        <f>IFERROR(__xludf.DUMMYFUNCTION("""COMPUTED_VALUE"""),122.57)</f>
        <v>122.57</v>
      </c>
      <c r="D7547" s="2">
        <f>IFERROR(__xludf.DUMMYFUNCTION("""COMPUTED_VALUE"""),121.44)</f>
        <v>121.44</v>
      </c>
      <c r="E7547" s="2">
        <f>IFERROR(__xludf.DUMMYFUNCTION("""COMPUTED_VALUE"""),122.19)</f>
        <v>122.19</v>
      </c>
      <c r="F7547" s="2">
        <f>IFERROR(__xludf.DUMMYFUNCTION("""COMPUTED_VALUE"""),4822106.0)</f>
        <v>4822106</v>
      </c>
    </row>
    <row r="7548">
      <c r="A7548" s="3">
        <f>IFERROR(__xludf.DUMMYFUNCTION("""COMPUTED_VALUE"""),40142.666666666664)</f>
        <v>40142.66667</v>
      </c>
      <c r="B7548" s="2">
        <f>IFERROR(__xludf.DUMMYFUNCTION("""COMPUTED_VALUE"""),122.15)</f>
        <v>122.15</v>
      </c>
      <c r="C7548" s="2">
        <f>IFERROR(__xludf.DUMMYFUNCTION("""COMPUTED_VALUE"""),122.47)</f>
        <v>122.47</v>
      </c>
      <c r="D7548" s="2">
        <f>IFERROR(__xludf.DUMMYFUNCTION("""COMPUTED_VALUE"""),121.38)</f>
        <v>121.38</v>
      </c>
      <c r="E7548" s="2">
        <f>IFERROR(__xludf.DUMMYFUNCTION("""COMPUTED_VALUE"""),121.57)</f>
        <v>121.57</v>
      </c>
      <c r="F7548" s="2">
        <f>IFERROR(__xludf.DUMMYFUNCTION("""COMPUTED_VALUE"""),3970966.0)</f>
        <v>3970966</v>
      </c>
    </row>
    <row r="7549">
      <c r="A7549" s="3">
        <f>IFERROR(__xludf.DUMMYFUNCTION("""COMPUTED_VALUE"""),40144.666666666664)</f>
        <v>40144.66667</v>
      </c>
      <c r="B7549" s="2">
        <f>IFERROR(__xludf.DUMMYFUNCTION("""COMPUTED_VALUE"""),119.0)</f>
        <v>119</v>
      </c>
      <c r="C7549" s="2">
        <f>IFERROR(__xludf.DUMMYFUNCTION("""COMPUTED_VALUE"""),120.94)</f>
        <v>120.94</v>
      </c>
      <c r="D7549" s="2">
        <f>IFERROR(__xludf.DUMMYFUNCTION("""COMPUTED_VALUE"""),118.69)</f>
        <v>118.69</v>
      </c>
      <c r="E7549" s="2">
        <f>IFERROR(__xludf.DUMMYFUNCTION("""COMPUTED_VALUE"""),120.06)</f>
        <v>120.06</v>
      </c>
      <c r="F7549" s="2">
        <f>IFERROR(__xludf.DUMMYFUNCTION("""COMPUTED_VALUE"""),3319189.0)</f>
        <v>3319189</v>
      </c>
    </row>
    <row r="7550">
      <c r="A7550" s="3">
        <f>IFERROR(__xludf.DUMMYFUNCTION("""COMPUTED_VALUE"""),40147.666666666664)</f>
        <v>40147.66667</v>
      </c>
      <c r="B7550" s="2">
        <f>IFERROR(__xludf.DUMMYFUNCTION("""COMPUTED_VALUE"""),119.51)</f>
        <v>119.51</v>
      </c>
      <c r="C7550" s="2">
        <f>IFERROR(__xludf.DUMMYFUNCTION("""COMPUTED_VALUE"""),120.92)</f>
        <v>120.92</v>
      </c>
      <c r="D7550" s="2">
        <f>IFERROR(__xludf.DUMMYFUNCTION("""COMPUTED_VALUE"""),119.32)</f>
        <v>119.32</v>
      </c>
      <c r="E7550" s="2">
        <f>IFERROR(__xludf.DUMMYFUNCTION("""COMPUTED_VALUE"""),120.68)</f>
        <v>120.68</v>
      </c>
      <c r="F7550" s="2">
        <f>IFERROR(__xludf.DUMMYFUNCTION("""COMPUTED_VALUE"""),6302942.0)</f>
        <v>6302942</v>
      </c>
    </row>
    <row r="7551">
      <c r="A7551" s="3">
        <f>IFERROR(__xludf.DUMMYFUNCTION("""COMPUTED_VALUE"""),40148.666666666664)</f>
        <v>40148.66667</v>
      </c>
      <c r="B7551" s="2">
        <f>IFERROR(__xludf.DUMMYFUNCTION("""COMPUTED_VALUE"""),121.58)</f>
        <v>121.58</v>
      </c>
      <c r="C7551" s="2">
        <f>IFERROR(__xludf.DUMMYFUNCTION("""COMPUTED_VALUE"""),122.63)</f>
        <v>122.63</v>
      </c>
      <c r="D7551" s="2">
        <f>IFERROR(__xludf.DUMMYFUNCTION("""COMPUTED_VALUE"""),121.16)</f>
        <v>121.16</v>
      </c>
      <c r="E7551" s="2">
        <f>IFERROR(__xludf.DUMMYFUNCTION("""COMPUTED_VALUE"""),122.2)</f>
        <v>122.2</v>
      </c>
      <c r="F7551" s="2">
        <f>IFERROR(__xludf.DUMMYFUNCTION("""COMPUTED_VALUE"""),6578504.0)</f>
        <v>6578504</v>
      </c>
    </row>
    <row r="7552">
      <c r="A7552" s="3">
        <f>IFERROR(__xludf.DUMMYFUNCTION("""COMPUTED_VALUE"""),40149.666666666664)</f>
        <v>40149.66667</v>
      </c>
      <c r="B7552" s="2">
        <f>IFERROR(__xludf.DUMMYFUNCTION("""COMPUTED_VALUE"""),121.61)</f>
        <v>121.61</v>
      </c>
      <c r="C7552" s="2">
        <f>IFERROR(__xludf.DUMMYFUNCTION("""COMPUTED_VALUE"""),122.63)</f>
        <v>122.63</v>
      </c>
      <c r="D7552" s="2">
        <f>IFERROR(__xludf.DUMMYFUNCTION("""COMPUTED_VALUE"""),121.46)</f>
        <v>121.46</v>
      </c>
      <c r="E7552" s="2">
        <f>IFERROR(__xludf.DUMMYFUNCTION("""COMPUTED_VALUE"""),121.51)</f>
        <v>121.51</v>
      </c>
      <c r="F7552" s="2">
        <f>IFERROR(__xludf.DUMMYFUNCTION("""COMPUTED_VALUE"""),4599675.0)</f>
        <v>4599675</v>
      </c>
    </row>
    <row r="7553">
      <c r="A7553" s="3">
        <f>IFERROR(__xludf.DUMMYFUNCTION("""COMPUTED_VALUE"""),40150.666666666664)</f>
        <v>40150.66667</v>
      </c>
      <c r="B7553" s="2">
        <f>IFERROR(__xludf.DUMMYFUNCTION("""COMPUTED_VALUE"""),121.88)</f>
        <v>121.88</v>
      </c>
      <c r="C7553" s="2">
        <f>IFERROR(__xludf.DUMMYFUNCTION("""COMPUTED_VALUE"""),122.71)</f>
        <v>122.71</v>
      </c>
      <c r="D7553" s="2">
        <f>IFERROR(__xludf.DUMMYFUNCTION("""COMPUTED_VALUE"""),121.54)</f>
        <v>121.54</v>
      </c>
      <c r="E7553" s="2">
        <f>IFERROR(__xludf.DUMMYFUNCTION("""COMPUTED_VALUE"""),121.83)</f>
        <v>121.83</v>
      </c>
      <c r="F7553" s="2">
        <f>IFERROR(__xludf.DUMMYFUNCTION("""COMPUTED_VALUE"""),5759913.0)</f>
        <v>5759913</v>
      </c>
    </row>
    <row r="7554">
      <c r="A7554" s="3">
        <f>IFERROR(__xludf.DUMMYFUNCTION("""COMPUTED_VALUE"""),40151.666666666664)</f>
        <v>40151.66667</v>
      </c>
      <c r="B7554" s="2">
        <f>IFERROR(__xludf.DUMMYFUNCTION("""COMPUTED_VALUE"""),122.64)</f>
        <v>122.64</v>
      </c>
      <c r="C7554" s="2">
        <f>IFERROR(__xludf.DUMMYFUNCTION("""COMPUTED_VALUE"""),123.12)</f>
        <v>123.12</v>
      </c>
      <c r="D7554" s="2">
        <f>IFERROR(__xludf.DUMMYFUNCTION("""COMPUTED_VALUE"""),120.35)</f>
        <v>120.35</v>
      </c>
      <c r="E7554" s="2">
        <f>IFERROR(__xludf.DUMMYFUNCTION("""COMPUTED_VALUE"""),121.54)</f>
        <v>121.54</v>
      </c>
      <c r="F7554" s="2">
        <f>IFERROR(__xludf.DUMMYFUNCTION("""COMPUTED_VALUE"""),7068967.0)</f>
        <v>7068967</v>
      </c>
    </row>
    <row r="7555">
      <c r="A7555" s="3">
        <f>IFERROR(__xludf.DUMMYFUNCTION("""COMPUTED_VALUE"""),40154.666666666664)</f>
        <v>40154.66667</v>
      </c>
      <c r="B7555" s="2">
        <f>IFERROR(__xludf.DUMMYFUNCTION("""COMPUTED_VALUE"""),121.19)</f>
        <v>121.19</v>
      </c>
      <c r="C7555" s="2">
        <f>IFERROR(__xludf.DUMMYFUNCTION("""COMPUTED_VALUE"""),121.81)</f>
        <v>121.81</v>
      </c>
      <c r="D7555" s="2">
        <f>IFERROR(__xludf.DUMMYFUNCTION("""COMPUTED_VALUE"""),120.91)</f>
        <v>120.91</v>
      </c>
      <c r="E7555" s="2">
        <f>IFERROR(__xludf.DUMMYFUNCTION("""COMPUTED_VALUE"""),121.34)</f>
        <v>121.34</v>
      </c>
      <c r="F7555" s="2">
        <f>IFERROR(__xludf.DUMMYFUNCTION("""COMPUTED_VALUE"""),4144680.0)</f>
        <v>4144680</v>
      </c>
    </row>
    <row r="7556">
      <c r="A7556" s="3">
        <f>IFERROR(__xludf.DUMMYFUNCTION("""COMPUTED_VALUE"""),40155.666666666664)</f>
        <v>40155.66667</v>
      </c>
      <c r="B7556" s="2">
        <f>IFERROR(__xludf.DUMMYFUNCTION("""COMPUTED_VALUE"""),121.28)</f>
        <v>121.28</v>
      </c>
      <c r="C7556" s="2">
        <f>IFERROR(__xludf.DUMMYFUNCTION("""COMPUTED_VALUE"""),121.64)</f>
        <v>121.64</v>
      </c>
      <c r="D7556" s="2">
        <f>IFERROR(__xludf.DUMMYFUNCTION("""COMPUTED_VALUE"""),120.5)</f>
        <v>120.5</v>
      </c>
      <c r="E7556" s="2">
        <f>IFERROR(__xludf.DUMMYFUNCTION("""COMPUTED_VALUE"""),121.11)</f>
        <v>121.11</v>
      </c>
      <c r="F7556" s="2">
        <f>IFERROR(__xludf.DUMMYFUNCTION("""COMPUTED_VALUE"""),5351458.0)</f>
        <v>5351458</v>
      </c>
    </row>
    <row r="7557">
      <c r="A7557" s="3">
        <f>IFERROR(__xludf.DUMMYFUNCTION("""COMPUTED_VALUE"""),40156.666666666664)</f>
        <v>40156.66667</v>
      </c>
      <c r="B7557" s="2">
        <f>IFERROR(__xludf.DUMMYFUNCTION("""COMPUTED_VALUE"""),121.02)</f>
        <v>121.02</v>
      </c>
      <c r="C7557" s="2">
        <f>IFERROR(__xludf.DUMMYFUNCTION("""COMPUTED_VALUE"""),122.63)</f>
        <v>122.63</v>
      </c>
      <c r="D7557" s="2">
        <f>IFERROR(__xludf.DUMMYFUNCTION("""COMPUTED_VALUE"""),120.46)</f>
        <v>120.46</v>
      </c>
      <c r="E7557" s="2">
        <f>IFERROR(__xludf.DUMMYFUNCTION("""COMPUTED_VALUE"""),122.63)</f>
        <v>122.63</v>
      </c>
      <c r="F7557" s="2">
        <f>IFERROR(__xludf.DUMMYFUNCTION("""COMPUTED_VALUE"""),6071919.0)</f>
        <v>6071919</v>
      </c>
    </row>
    <row r="7558">
      <c r="A7558" s="3">
        <f>IFERROR(__xludf.DUMMYFUNCTION("""COMPUTED_VALUE"""),40157.666666666664)</f>
        <v>40157.66667</v>
      </c>
      <c r="B7558" s="2">
        <f>IFERROR(__xludf.DUMMYFUNCTION("""COMPUTED_VALUE"""),122.39)</f>
        <v>122.39</v>
      </c>
      <c r="C7558" s="2">
        <f>IFERROR(__xludf.DUMMYFUNCTION("""COMPUTED_VALUE"""),123.67)</f>
        <v>123.67</v>
      </c>
      <c r="D7558" s="2">
        <f>IFERROR(__xludf.DUMMYFUNCTION("""COMPUTED_VALUE"""),122.35)</f>
        <v>122.35</v>
      </c>
      <c r="E7558" s="2">
        <f>IFERROR(__xludf.DUMMYFUNCTION("""COMPUTED_VALUE"""),123.54)</f>
        <v>123.54</v>
      </c>
      <c r="F7558" s="2">
        <f>IFERROR(__xludf.DUMMYFUNCTION("""COMPUTED_VALUE"""),7077907.0)</f>
        <v>7077907</v>
      </c>
    </row>
    <row r="7559">
      <c r="A7559" s="3">
        <f>IFERROR(__xludf.DUMMYFUNCTION("""COMPUTED_VALUE"""),40158.666666666664)</f>
        <v>40158.66667</v>
      </c>
      <c r="B7559" s="2">
        <f>IFERROR(__xludf.DUMMYFUNCTION("""COMPUTED_VALUE"""),123.23)</f>
        <v>123.23</v>
      </c>
      <c r="C7559" s="2">
        <f>IFERROR(__xludf.DUMMYFUNCTION("""COMPUTED_VALUE"""),123.95)</f>
        <v>123.95</v>
      </c>
      <c r="D7559" s="2">
        <f>IFERROR(__xludf.DUMMYFUNCTION("""COMPUTED_VALUE"""),122.94)</f>
        <v>122.94</v>
      </c>
      <c r="E7559" s="2">
        <f>IFERROR(__xludf.DUMMYFUNCTION("""COMPUTED_VALUE"""),123.87)</f>
        <v>123.87</v>
      </c>
      <c r="F7559" s="2">
        <f>IFERROR(__xludf.DUMMYFUNCTION("""COMPUTED_VALUE"""),6599285.0)</f>
        <v>6599285</v>
      </c>
    </row>
    <row r="7560">
      <c r="A7560" s="3">
        <f>IFERROR(__xludf.DUMMYFUNCTION("""COMPUTED_VALUE"""),40161.666666666664)</f>
        <v>40161.66667</v>
      </c>
      <c r="B7560" s="2">
        <f>IFERROR(__xludf.DUMMYFUNCTION("""COMPUTED_VALUE"""),123.84)</f>
        <v>123.84</v>
      </c>
      <c r="C7560" s="2">
        <f>IFERROR(__xludf.DUMMYFUNCTION("""COMPUTED_VALUE"""),124.15)</f>
        <v>124.15</v>
      </c>
      <c r="D7560" s="2">
        <f>IFERROR(__xludf.DUMMYFUNCTION("""COMPUTED_VALUE"""),123.79)</f>
        <v>123.79</v>
      </c>
      <c r="E7560" s="2">
        <f>IFERROR(__xludf.DUMMYFUNCTION("""COMPUTED_VALUE"""),124.1)</f>
        <v>124.1</v>
      </c>
      <c r="F7560" s="2">
        <f>IFERROR(__xludf.DUMMYFUNCTION("""COMPUTED_VALUE"""),5202187.0)</f>
        <v>5202187</v>
      </c>
    </row>
    <row r="7561">
      <c r="A7561" s="3">
        <f>IFERROR(__xludf.DUMMYFUNCTION("""COMPUTED_VALUE"""),40162.666666666664)</f>
        <v>40162.66667</v>
      </c>
      <c r="B7561" s="2">
        <f>IFERROR(__xludf.DUMMYFUNCTION("""COMPUTED_VALUE"""),123.66)</f>
        <v>123.66</v>
      </c>
      <c r="C7561" s="2">
        <f>IFERROR(__xludf.DUMMYFUNCTION("""COMPUTED_VALUE"""),124.04)</f>
        <v>124.04</v>
      </c>
      <c r="D7561" s="2">
        <f>IFERROR(__xludf.DUMMYFUNCTION("""COMPUTED_VALUE"""),122.2)</f>
        <v>122.2</v>
      </c>
      <c r="E7561" s="2">
        <f>IFERROR(__xludf.DUMMYFUNCTION("""COMPUTED_VALUE"""),122.73)</f>
        <v>122.73</v>
      </c>
      <c r="F7561" s="2">
        <f>IFERROR(__xludf.DUMMYFUNCTION("""COMPUTED_VALUE"""),8033372.0)</f>
        <v>8033372</v>
      </c>
    </row>
    <row r="7562">
      <c r="A7562" s="3">
        <f>IFERROR(__xludf.DUMMYFUNCTION("""COMPUTED_VALUE"""),40163.666666666664)</f>
        <v>40163.66667</v>
      </c>
      <c r="B7562" s="2">
        <f>IFERROR(__xludf.DUMMYFUNCTION("""COMPUTED_VALUE"""),122.97)</f>
        <v>122.97</v>
      </c>
      <c r="C7562" s="2">
        <f>IFERROR(__xludf.DUMMYFUNCTION("""COMPUTED_VALUE"""),123.79)</f>
        <v>123.79</v>
      </c>
      <c r="D7562" s="2">
        <f>IFERROR(__xludf.DUMMYFUNCTION("""COMPUTED_VALUE"""),122.6)</f>
        <v>122.6</v>
      </c>
      <c r="E7562" s="2">
        <f>IFERROR(__xludf.DUMMYFUNCTION("""COMPUTED_VALUE"""),122.94)</f>
        <v>122.94</v>
      </c>
      <c r="F7562" s="2">
        <f>IFERROR(__xludf.DUMMYFUNCTION("""COMPUTED_VALUE"""),6372736.0)</f>
        <v>6372736</v>
      </c>
    </row>
    <row r="7563">
      <c r="A7563" s="3">
        <f>IFERROR(__xludf.DUMMYFUNCTION("""COMPUTED_VALUE"""),40164.666666666664)</f>
        <v>40164.66667</v>
      </c>
      <c r="B7563" s="2">
        <f>IFERROR(__xludf.DUMMYFUNCTION("""COMPUTED_VALUE"""),122.26)</f>
        <v>122.26</v>
      </c>
      <c r="C7563" s="2">
        <f>IFERROR(__xludf.DUMMYFUNCTION("""COMPUTED_VALUE"""),122.8)</f>
        <v>122.8</v>
      </c>
      <c r="D7563" s="2">
        <f>IFERROR(__xludf.DUMMYFUNCTION("""COMPUTED_VALUE"""),121.42)</f>
        <v>121.42</v>
      </c>
      <c r="E7563" s="2">
        <f>IFERROR(__xludf.DUMMYFUNCTION("""COMPUTED_VALUE"""),121.69)</f>
        <v>121.69</v>
      </c>
      <c r="F7563" s="2">
        <f>IFERROR(__xludf.DUMMYFUNCTION("""COMPUTED_VALUE"""),5910454.0)</f>
        <v>5910454</v>
      </c>
    </row>
    <row r="7564">
      <c r="A7564" s="3">
        <f>IFERROR(__xludf.DUMMYFUNCTION("""COMPUTED_VALUE"""),40165.666666666664)</f>
        <v>40165.66667</v>
      </c>
      <c r="B7564" s="2">
        <f>IFERROR(__xludf.DUMMYFUNCTION("""COMPUTED_VALUE"""),122.23)</f>
        <v>122.23</v>
      </c>
      <c r="C7564" s="2">
        <f>IFERROR(__xludf.DUMMYFUNCTION("""COMPUTED_VALUE"""),122.63)</f>
        <v>122.63</v>
      </c>
      <c r="D7564" s="2">
        <f>IFERROR(__xludf.DUMMYFUNCTION("""COMPUTED_VALUE"""),121.31)</f>
        <v>121.31</v>
      </c>
      <c r="E7564" s="2">
        <f>IFERROR(__xludf.DUMMYFUNCTION("""COMPUTED_VALUE"""),122.18)</f>
        <v>122.18</v>
      </c>
      <c r="F7564" s="2">
        <f>IFERROR(__xludf.DUMMYFUNCTION("""COMPUTED_VALUE"""),9106601.0)</f>
        <v>9106601</v>
      </c>
    </row>
    <row r="7565">
      <c r="A7565" s="3">
        <f>IFERROR(__xludf.DUMMYFUNCTION("""COMPUTED_VALUE"""),40168.666666666664)</f>
        <v>40168.66667</v>
      </c>
      <c r="B7565" s="2">
        <f>IFERROR(__xludf.DUMMYFUNCTION("""COMPUTED_VALUE"""),122.07)</f>
        <v>122.07</v>
      </c>
      <c r="C7565" s="2">
        <f>IFERROR(__xludf.DUMMYFUNCTION("""COMPUTED_VALUE"""),123.16)</f>
        <v>123.16</v>
      </c>
      <c r="D7565" s="2">
        <f>IFERROR(__xludf.DUMMYFUNCTION("""COMPUTED_VALUE"""),121.96)</f>
        <v>121.96</v>
      </c>
      <c r="E7565" s="2">
        <f>IFERROR(__xludf.DUMMYFUNCTION("""COMPUTED_VALUE"""),122.88)</f>
        <v>122.88</v>
      </c>
      <c r="F7565" s="2">
        <f>IFERROR(__xludf.DUMMYFUNCTION("""COMPUTED_VALUE"""),4775164.0)</f>
        <v>4775164</v>
      </c>
    </row>
    <row r="7566">
      <c r="A7566" s="3">
        <f>IFERROR(__xludf.DUMMYFUNCTION("""COMPUTED_VALUE"""),40169.666666666664)</f>
        <v>40169.66667</v>
      </c>
      <c r="B7566" s="2">
        <f>IFERROR(__xludf.DUMMYFUNCTION("""COMPUTED_VALUE"""),123.5)</f>
        <v>123.5</v>
      </c>
      <c r="C7566" s="2">
        <f>IFERROR(__xludf.DUMMYFUNCTION("""COMPUTED_VALUE"""),124.15)</f>
        <v>124.15</v>
      </c>
      <c r="D7566" s="2">
        <f>IFERROR(__xludf.DUMMYFUNCTION("""COMPUTED_VALUE"""),123.4)</f>
        <v>123.4</v>
      </c>
      <c r="E7566" s="2">
        <f>IFERROR(__xludf.DUMMYFUNCTION("""COMPUTED_VALUE"""),124.1)</f>
        <v>124.1</v>
      </c>
      <c r="F7566" s="2">
        <f>IFERROR(__xludf.DUMMYFUNCTION("""COMPUTED_VALUE"""),5535651.0)</f>
        <v>5535651</v>
      </c>
    </row>
    <row r="7567">
      <c r="A7567" s="3">
        <f>IFERROR(__xludf.DUMMYFUNCTION("""COMPUTED_VALUE"""),40170.666666666664)</f>
        <v>40170.66667</v>
      </c>
      <c r="B7567" s="2">
        <f>IFERROR(__xludf.DUMMYFUNCTION("""COMPUTED_VALUE"""),123.88)</f>
        <v>123.88</v>
      </c>
      <c r="C7567" s="2">
        <f>IFERROR(__xludf.DUMMYFUNCTION("""COMPUTED_VALUE"""),124.17)</f>
        <v>124.17</v>
      </c>
      <c r="D7567" s="2">
        <f>IFERROR(__xludf.DUMMYFUNCTION("""COMPUTED_VALUE"""),123.5)</f>
        <v>123.5</v>
      </c>
      <c r="E7567" s="2">
        <f>IFERROR(__xludf.DUMMYFUNCTION("""COMPUTED_VALUE"""),124.17)</f>
        <v>124.17</v>
      </c>
      <c r="F7567" s="2">
        <f>IFERROR(__xludf.DUMMYFUNCTION("""COMPUTED_VALUE"""),4129112.0)</f>
        <v>4129112</v>
      </c>
    </row>
    <row r="7568">
      <c r="A7568" s="3">
        <f>IFERROR(__xludf.DUMMYFUNCTION("""COMPUTED_VALUE"""),40171.666666666664)</f>
        <v>40171.66667</v>
      </c>
      <c r="B7568" s="2">
        <f>IFERROR(__xludf.DUMMYFUNCTION("""COMPUTED_VALUE"""),124.07)</f>
        <v>124.07</v>
      </c>
      <c r="C7568" s="2">
        <f>IFERROR(__xludf.DUMMYFUNCTION("""COMPUTED_VALUE"""),124.72)</f>
        <v>124.72</v>
      </c>
      <c r="D7568" s="2">
        <f>IFERROR(__xludf.DUMMYFUNCTION("""COMPUTED_VALUE"""),123.67)</f>
        <v>123.67</v>
      </c>
      <c r="E7568" s="2">
        <f>IFERROR(__xludf.DUMMYFUNCTION("""COMPUTED_VALUE"""),124.72)</f>
        <v>124.72</v>
      </c>
      <c r="F7568" s="2">
        <f>IFERROR(__xludf.DUMMYFUNCTION("""COMPUTED_VALUE"""),4265079.0)</f>
        <v>4265079</v>
      </c>
    </row>
    <row r="7569">
      <c r="A7569" s="3">
        <f>IFERROR(__xludf.DUMMYFUNCTION("""COMPUTED_VALUE"""),40175.666666666664)</f>
        <v>40175.66667</v>
      </c>
      <c r="B7569" s="2">
        <f>IFERROR(__xludf.DUMMYFUNCTION("""COMPUTED_VALUE"""),125.12)</f>
        <v>125.12</v>
      </c>
      <c r="C7569" s="2">
        <f>IFERROR(__xludf.DUMMYFUNCTION("""COMPUTED_VALUE"""),126.38)</f>
        <v>126.38</v>
      </c>
      <c r="D7569" s="2">
        <f>IFERROR(__xludf.DUMMYFUNCTION("""COMPUTED_VALUE"""),124.86)</f>
        <v>124.86</v>
      </c>
      <c r="E7569" s="2">
        <f>IFERROR(__xludf.DUMMYFUNCTION("""COMPUTED_VALUE"""),126.38)</f>
        <v>126.38</v>
      </c>
      <c r="F7569" s="2">
        <f>IFERROR(__xludf.DUMMYFUNCTION("""COMPUTED_VALUE"""),5801087.0)</f>
        <v>5801087</v>
      </c>
    </row>
    <row r="7570">
      <c r="A7570" s="3">
        <f>IFERROR(__xludf.DUMMYFUNCTION("""COMPUTED_VALUE"""),40176.666666666664)</f>
        <v>40176.66667</v>
      </c>
      <c r="B7570" s="2">
        <f>IFERROR(__xludf.DUMMYFUNCTION("""COMPUTED_VALUE"""),126.35)</f>
        <v>126.35</v>
      </c>
      <c r="C7570" s="2">
        <f>IFERROR(__xludf.DUMMYFUNCTION("""COMPUTED_VALUE"""),126.44)</f>
        <v>126.44</v>
      </c>
      <c r="D7570" s="2">
        <f>IFERROR(__xludf.DUMMYFUNCTION("""COMPUTED_VALUE"""),125.89)</f>
        <v>125.89</v>
      </c>
      <c r="E7570" s="2">
        <f>IFERROR(__xludf.DUMMYFUNCTION("""COMPUTED_VALUE"""),125.94)</f>
        <v>125.94</v>
      </c>
      <c r="F7570" s="2">
        <f>IFERROR(__xludf.DUMMYFUNCTION("""COMPUTED_VALUE"""),4184782.0)</f>
        <v>4184782</v>
      </c>
    </row>
    <row r="7571">
      <c r="A7571" s="3">
        <f>IFERROR(__xludf.DUMMYFUNCTION("""COMPUTED_VALUE"""),40177.666666666664)</f>
        <v>40177.66667</v>
      </c>
      <c r="B7571" s="2">
        <f>IFERROR(__xludf.DUMMYFUNCTION("""COMPUTED_VALUE"""),125.35)</f>
        <v>125.35</v>
      </c>
      <c r="C7571" s="2">
        <f>IFERROR(__xludf.DUMMYFUNCTION("""COMPUTED_VALUE"""),126.73)</f>
        <v>126.73</v>
      </c>
      <c r="D7571" s="2">
        <f>IFERROR(__xludf.DUMMYFUNCTION("""COMPUTED_VALUE"""),124.82)</f>
        <v>124.82</v>
      </c>
      <c r="E7571" s="2">
        <f>IFERROR(__xludf.DUMMYFUNCTION("""COMPUTED_VALUE"""),126.63)</f>
        <v>126.63</v>
      </c>
      <c r="F7571" s="2">
        <f>IFERROR(__xludf.DUMMYFUNCTION("""COMPUTED_VALUE"""),3867291.0)</f>
        <v>3867291</v>
      </c>
    </row>
    <row r="7572">
      <c r="A7572" s="3">
        <f>IFERROR(__xludf.DUMMYFUNCTION("""COMPUTED_VALUE"""),40178.666666666664)</f>
        <v>40178.66667</v>
      </c>
      <c r="B7572" s="2">
        <f>IFERROR(__xludf.DUMMYFUNCTION("""COMPUTED_VALUE"""),126.47)</f>
        <v>126.47</v>
      </c>
      <c r="C7572" s="2">
        <f>IFERROR(__xludf.DUMMYFUNCTION("""COMPUTED_VALUE"""),126.89)</f>
        <v>126.89</v>
      </c>
      <c r="D7572" s="2">
        <f>IFERROR(__xludf.DUMMYFUNCTION("""COMPUTED_VALUE"""),124.89)</f>
        <v>124.89</v>
      </c>
      <c r="E7572" s="2">
        <f>IFERROR(__xludf.DUMMYFUNCTION("""COMPUTED_VALUE"""),125.03)</f>
        <v>125.03</v>
      </c>
      <c r="F7572" s="2">
        <f>IFERROR(__xludf.DUMMYFUNCTION("""COMPUTED_VALUE"""),4225128.0)</f>
        <v>4225128</v>
      </c>
    </row>
    <row r="7573">
      <c r="A7573" s="3">
        <f>IFERROR(__xludf.DUMMYFUNCTION("""COMPUTED_VALUE"""),40182.666666666664)</f>
        <v>40182.66667</v>
      </c>
      <c r="B7573" s="2">
        <f>IFERROR(__xludf.DUMMYFUNCTION("""COMPUTED_VALUE"""),125.3)</f>
        <v>125.3</v>
      </c>
      <c r="C7573" s="2">
        <f>IFERROR(__xludf.DUMMYFUNCTION("""COMPUTED_VALUE"""),127.01)</f>
        <v>127.01</v>
      </c>
      <c r="D7573" s="2">
        <f>IFERROR(__xludf.DUMMYFUNCTION("""COMPUTED_VALUE"""),124.98)</f>
        <v>124.98</v>
      </c>
      <c r="E7573" s="2">
        <f>IFERROR(__xludf.DUMMYFUNCTION("""COMPUTED_VALUE"""),126.51)</f>
        <v>126.51</v>
      </c>
      <c r="F7573" s="2">
        <f>IFERROR(__xludf.DUMMYFUNCTION("""COMPUTED_VALUE"""),6155846.0)</f>
        <v>6155846</v>
      </c>
    </row>
    <row r="7574">
      <c r="A7574" s="3">
        <f>IFERROR(__xludf.DUMMYFUNCTION("""COMPUTED_VALUE"""),40183.666666666664)</f>
        <v>40183.66667</v>
      </c>
      <c r="B7574" s="2">
        <f>IFERROR(__xludf.DUMMYFUNCTION("""COMPUTED_VALUE"""),125.78)</f>
        <v>125.78</v>
      </c>
      <c r="C7574" s="2">
        <f>IFERROR(__xludf.DUMMYFUNCTION("""COMPUTED_VALUE"""),125.94)</f>
        <v>125.94</v>
      </c>
      <c r="D7574" s="2">
        <f>IFERROR(__xludf.DUMMYFUNCTION("""COMPUTED_VALUE"""),124.27)</f>
        <v>124.27</v>
      </c>
      <c r="E7574" s="2">
        <f>IFERROR(__xludf.DUMMYFUNCTION("""COMPUTED_VALUE"""),124.98)</f>
        <v>124.98</v>
      </c>
      <c r="F7574" s="2">
        <f>IFERROR(__xludf.DUMMYFUNCTION("""COMPUTED_VALUE"""),6842471.0)</f>
        <v>6842471</v>
      </c>
    </row>
    <row r="7575">
      <c r="A7575" s="3">
        <f>IFERROR(__xludf.DUMMYFUNCTION("""COMPUTED_VALUE"""),40184.666666666664)</f>
        <v>40184.66667</v>
      </c>
      <c r="B7575" s="2">
        <f>IFERROR(__xludf.DUMMYFUNCTION("""COMPUTED_VALUE"""),124.82)</f>
        <v>124.82</v>
      </c>
      <c r="C7575" s="2">
        <f>IFERROR(__xludf.DUMMYFUNCTION("""COMPUTED_VALUE"""),125.59)</f>
        <v>125.59</v>
      </c>
      <c r="D7575" s="2">
        <f>IFERROR(__xludf.DUMMYFUNCTION("""COMPUTED_VALUE"""),123.99)</f>
        <v>123.99</v>
      </c>
      <c r="E7575" s="2">
        <f>IFERROR(__xludf.DUMMYFUNCTION("""COMPUTED_VALUE"""),124.17)</f>
        <v>124.17</v>
      </c>
      <c r="F7575" s="2">
        <f>IFERROR(__xludf.DUMMYFUNCTION("""COMPUTED_VALUE"""),5605290.0)</f>
        <v>5605290</v>
      </c>
    </row>
    <row r="7576">
      <c r="A7576" s="3">
        <f>IFERROR(__xludf.DUMMYFUNCTION("""COMPUTED_VALUE"""),40185.666666666664)</f>
        <v>40185.66667</v>
      </c>
      <c r="B7576" s="2">
        <f>IFERROR(__xludf.DUMMYFUNCTION("""COMPUTED_VALUE"""),124.05)</f>
        <v>124.05</v>
      </c>
      <c r="C7576" s="2">
        <f>IFERROR(__xludf.DUMMYFUNCTION("""COMPUTED_VALUE"""),124.41)</f>
        <v>124.41</v>
      </c>
      <c r="D7576" s="2">
        <f>IFERROR(__xludf.DUMMYFUNCTION("""COMPUTED_VALUE"""),123.13)</f>
        <v>123.13</v>
      </c>
      <c r="E7576" s="2">
        <f>IFERROR(__xludf.DUMMYFUNCTION("""COMPUTED_VALUE"""),123.74)</f>
        <v>123.74</v>
      </c>
      <c r="F7576" s="2">
        <f>IFERROR(__xludf.DUMMYFUNCTION("""COMPUTED_VALUE"""),5840569.0)</f>
        <v>5840569</v>
      </c>
    </row>
    <row r="7577">
      <c r="A7577" s="3">
        <f>IFERROR(__xludf.DUMMYFUNCTION("""COMPUTED_VALUE"""),40186.666666666664)</f>
        <v>40186.66667</v>
      </c>
      <c r="B7577" s="2">
        <f>IFERROR(__xludf.DUMMYFUNCTION("""COMPUTED_VALUE"""),123.28)</f>
        <v>123.28</v>
      </c>
      <c r="C7577" s="2">
        <f>IFERROR(__xludf.DUMMYFUNCTION("""COMPUTED_VALUE"""),125.05)</f>
        <v>125.05</v>
      </c>
      <c r="D7577" s="2">
        <f>IFERROR(__xludf.DUMMYFUNCTION("""COMPUTED_VALUE"""),123.26)</f>
        <v>123.26</v>
      </c>
      <c r="E7577" s="2">
        <f>IFERROR(__xludf.DUMMYFUNCTION("""COMPUTED_VALUE"""),124.98)</f>
        <v>124.98</v>
      </c>
      <c r="F7577" s="2">
        <f>IFERROR(__xludf.DUMMYFUNCTION("""COMPUTED_VALUE"""),4197105.0)</f>
        <v>4197105</v>
      </c>
    </row>
    <row r="7578">
      <c r="A7578" s="3">
        <f>IFERROR(__xludf.DUMMYFUNCTION("""COMPUTED_VALUE"""),40189.666666666664)</f>
        <v>40189.66667</v>
      </c>
      <c r="B7578" s="2">
        <f>IFERROR(__xludf.DUMMYFUNCTION("""COMPUTED_VALUE"""),125.18)</f>
        <v>125.18</v>
      </c>
      <c r="C7578" s="2">
        <f>IFERROR(__xludf.DUMMYFUNCTION("""COMPUTED_VALUE"""),125.18)</f>
        <v>125.18</v>
      </c>
      <c r="D7578" s="2">
        <f>IFERROR(__xludf.DUMMYFUNCTION("""COMPUTED_VALUE"""),122.9)</f>
        <v>122.9</v>
      </c>
      <c r="E7578" s="2">
        <f>IFERROR(__xludf.DUMMYFUNCTION("""COMPUTED_VALUE"""),123.67)</f>
        <v>123.67</v>
      </c>
      <c r="F7578" s="2">
        <f>IFERROR(__xludf.DUMMYFUNCTION("""COMPUTED_VALUE"""),5731177.0)</f>
        <v>5731177</v>
      </c>
    </row>
    <row r="7579">
      <c r="A7579" s="3">
        <f>IFERROR(__xludf.DUMMYFUNCTION("""COMPUTED_VALUE"""),40190.666666666664)</f>
        <v>40190.66667</v>
      </c>
      <c r="B7579" s="2">
        <f>IFERROR(__xludf.DUMMYFUNCTION("""COMPUTED_VALUE"""),123.24)</f>
        <v>123.24</v>
      </c>
      <c r="C7579" s="2">
        <f>IFERROR(__xludf.DUMMYFUNCTION("""COMPUTED_VALUE"""),125.44)</f>
        <v>125.44</v>
      </c>
      <c r="D7579" s="2">
        <f>IFERROR(__xludf.DUMMYFUNCTION("""COMPUTED_VALUE"""),123.22)</f>
        <v>123.22</v>
      </c>
      <c r="E7579" s="2">
        <f>IFERROR(__xludf.DUMMYFUNCTION("""COMPUTED_VALUE"""),124.66)</f>
        <v>124.66</v>
      </c>
      <c r="F7579" s="2">
        <f>IFERROR(__xludf.DUMMYFUNCTION("""COMPUTED_VALUE"""),8083354.0)</f>
        <v>8083354</v>
      </c>
    </row>
    <row r="7580">
      <c r="A7580" s="3">
        <f>IFERROR(__xludf.DUMMYFUNCTION("""COMPUTED_VALUE"""),40191.666666666664)</f>
        <v>40191.66667</v>
      </c>
      <c r="B7580" s="2">
        <f>IFERROR(__xludf.DUMMYFUNCTION("""COMPUTED_VALUE"""),124.54)</f>
        <v>124.54</v>
      </c>
      <c r="C7580" s="2">
        <f>IFERROR(__xludf.DUMMYFUNCTION("""COMPUTED_VALUE"""),125.24)</f>
        <v>125.24</v>
      </c>
      <c r="D7580" s="2">
        <f>IFERROR(__xludf.DUMMYFUNCTION("""COMPUTED_VALUE"""),123.37)</f>
        <v>123.37</v>
      </c>
      <c r="E7580" s="2">
        <f>IFERROR(__xludf.DUMMYFUNCTION("""COMPUTED_VALUE"""),124.39)</f>
        <v>124.39</v>
      </c>
      <c r="F7580" s="2">
        <f>IFERROR(__xludf.DUMMYFUNCTION("""COMPUTED_VALUE"""),6458302.0)</f>
        <v>6458302</v>
      </c>
    </row>
    <row r="7581">
      <c r="A7581" s="3">
        <f>IFERROR(__xludf.DUMMYFUNCTION("""COMPUTED_VALUE"""),40192.666666666664)</f>
        <v>40192.66667</v>
      </c>
      <c r="B7581" s="2">
        <f>IFERROR(__xludf.DUMMYFUNCTION("""COMPUTED_VALUE"""),124.7)</f>
        <v>124.7</v>
      </c>
      <c r="C7581" s="2">
        <f>IFERROR(__xludf.DUMMYFUNCTION("""COMPUTED_VALUE"""),126.76)</f>
        <v>126.76</v>
      </c>
      <c r="D7581" s="2">
        <f>IFERROR(__xludf.DUMMYFUNCTION("""COMPUTED_VALUE"""),124.09)</f>
        <v>124.09</v>
      </c>
      <c r="E7581" s="2">
        <f>IFERROR(__xludf.DUMMYFUNCTION("""COMPUTED_VALUE"""),126.38)</f>
        <v>126.38</v>
      </c>
      <c r="F7581" s="2">
        <f>IFERROR(__xludf.DUMMYFUNCTION("""COMPUTED_VALUE"""),7114544.0)</f>
        <v>7114544</v>
      </c>
    </row>
    <row r="7582">
      <c r="A7582" s="3">
        <f>IFERROR(__xludf.DUMMYFUNCTION("""COMPUTED_VALUE"""),40193.666666666664)</f>
        <v>40193.66667</v>
      </c>
      <c r="B7582" s="2">
        <f>IFERROR(__xludf.DUMMYFUNCTION("""COMPUTED_VALUE"""),126.11)</f>
        <v>126.11</v>
      </c>
      <c r="C7582" s="2">
        <f>IFERROR(__xludf.DUMMYFUNCTION("""COMPUTED_VALUE"""),126.93)</f>
        <v>126.93</v>
      </c>
      <c r="D7582" s="2">
        <f>IFERROR(__xludf.DUMMYFUNCTION("""COMPUTED_VALUE"""),125.21)</f>
        <v>125.21</v>
      </c>
      <c r="E7582" s="2">
        <f>IFERROR(__xludf.DUMMYFUNCTION("""COMPUTED_VALUE"""),125.87)</f>
        <v>125.87</v>
      </c>
      <c r="F7582" s="2">
        <f>IFERROR(__xludf.DUMMYFUNCTION("""COMPUTED_VALUE"""),8502320.0)</f>
        <v>8502320</v>
      </c>
    </row>
    <row r="7583">
      <c r="A7583" s="3">
        <f>IFERROR(__xludf.DUMMYFUNCTION("""COMPUTED_VALUE"""),40197.666666666664)</f>
        <v>40197.66667</v>
      </c>
      <c r="B7583" s="2">
        <f>IFERROR(__xludf.DUMMYFUNCTION("""COMPUTED_VALUE"""),125.73)</f>
        <v>125.73</v>
      </c>
      <c r="C7583" s="2">
        <f>IFERROR(__xludf.DUMMYFUNCTION("""COMPUTED_VALUE"""),128.23)</f>
        <v>128.23</v>
      </c>
      <c r="D7583" s="2">
        <f>IFERROR(__xludf.DUMMYFUNCTION("""COMPUTED_VALUE"""),125.66)</f>
        <v>125.66</v>
      </c>
      <c r="E7583" s="2">
        <f>IFERROR(__xludf.DUMMYFUNCTION("""COMPUTED_VALUE"""),128.13)</f>
        <v>128.13</v>
      </c>
      <c r="F7583" s="2">
        <f>IFERROR(__xludf.DUMMYFUNCTION("""COMPUTED_VALUE"""),1.3916168E7)</f>
        <v>13916168</v>
      </c>
    </row>
    <row r="7584">
      <c r="A7584" s="3">
        <f>IFERROR(__xludf.DUMMYFUNCTION("""COMPUTED_VALUE"""),40198.666666666664)</f>
        <v>40198.66667</v>
      </c>
      <c r="B7584" s="2">
        <f>IFERROR(__xludf.DUMMYFUNCTION("""COMPUTED_VALUE"""),124.61)</f>
        <v>124.61</v>
      </c>
      <c r="C7584" s="2">
        <f>IFERROR(__xludf.DUMMYFUNCTION("""COMPUTED_VALUE"""),125.27)</f>
        <v>125.27</v>
      </c>
      <c r="D7584" s="2">
        <f>IFERROR(__xludf.DUMMYFUNCTION("""COMPUTED_VALUE"""),123.17)</f>
        <v>123.17</v>
      </c>
      <c r="E7584" s="2">
        <f>IFERROR(__xludf.DUMMYFUNCTION("""COMPUTED_VALUE"""),124.41)</f>
        <v>124.41</v>
      </c>
      <c r="F7584" s="2">
        <f>IFERROR(__xludf.DUMMYFUNCTION("""COMPUTED_VALUE"""),1.5201857E7)</f>
        <v>15201857</v>
      </c>
    </row>
    <row r="7585">
      <c r="A7585" s="3">
        <f>IFERROR(__xludf.DUMMYFUNCTION("""COMPUTED_VALUE"""),40199.666666666664)</f>
        <v>40199.66667</v>
      </c>
      <c r="B7585" s="2">
        <f>IFERROR(__xludf.DUMMYFUNCTION("""COMPUTED_VALUE"""),124.62)</f>
        <v>124.62</v>
      </c>
      <c r="C7585" s="2">
        <f>IFERROR(__xludf.DUMMYFUNCTION("""COMPUTED_VALUE"""),124.83)</f>
        <v>124.83</v>
      </c>
      <c r="D7585" s="2">
        <f>IFERROR(__xludf.DUMMYFUNCTION("""COMPUTED_VALUE"""),122.32)</f>
        <v>122.32</v>
      </c>
      <c r="E7585" s="2">
        <f>IFERROR(__xludf.DUMMYFUNCTION("""COMPUTED_VALUE"""),123.22)</f>
        <v>123.22</v>
      </c>
      <c r="F7585" s="2">
        <f>IFERROR(__xludf.DUMMYFUNCTION("""COMPUTED_VALUE"""),9608696.0)</f>
        <v>9608696</v>
      </c>
    </row>
    <row r="7586">
      <c r="A7586" s="3">
        <f>IFERROR(__xludf.DUMMYFUNCTION("""COMPUTED_VALUE"""),40200.666666666664)</f>
        <v>40200.66667</v>
      </c>
      <c r="B7586" s="2">
        <f>IFERROR(__xludf.DUMMYFUNCTION("""COMPUTED_VALUE"""),122.9)</f>
        <v>122.9</v>
      </c>
      <c r="C7586" s="2">
        <f>IFERROR(__xludf.DUMMYFUNCTION("""COMPUTED_VALUE"""),123.11)</f>
        <v>123.11</v>
      </c>
      <c r="D7586" s="2">
        <f>IFERROR(__xludf.DUMMYFUNCTION("""COMPUTED_VALUE"""),119.75)</f>
        <v>119.75</v>
      </c>
      <c r="E7586" s="2">
        <f>IFERROR(__xludf.DUMMYFUNCTION("""COMPUTED_VALUE"""),119.87)</f>
        <v>119.87</v>
      </c>
      <c r="F7586" s="2">
        <f>IFERROR(__xludf.DUMMYFUNCTION("""COMPUTED_VALUE"""),1.0089325E7)</f>
        <v>10089325</v>
      </c>
    </row>
    <row r="7587">
      <c r="A7587" s="3">
        <f>IFERROR(__xludf.DUMMYFUNCTION("""COMPUTED_VALUE"""),40203.666666666664)</f>
        <v>40203.66667</v>
      </c>
      <c r="B7587" s="2">
        <f>IFERROR(__xludf.DUMMYFUNCTION("""COMPUTED_VALUE"""),120.67)</f>
        <v>120.67</v>
      </c>
      <c r="C7587" s="2">
        <f>IFERROR(__xludf.DUMMYFUNCTION("""COMPUTED_VALUE"""),121.21)</f>
        <v>121.21</v>
      </c>
      <c r="D7587" s="2">
        <f>IFERROR(__xludf.DUMMYFUNCTION("""COMPUTED_VALUE"""),120.07)</f>
        <v>120.07</v>
      </c>
      <c r="E7587" s="2">
        <f>IFERROR(__xludf.DUMMYFUNCTION("""COMPUTED_VALUE"""),120.47)</f>
        <v>120.47</v>
      </c>
      <c r="F7587" s="2">
        <f>IFERROR(__xludf.DUMMYFUNCTION("""COMPUTED_VALUE"""),5738920.0)</f>
        <v>5738920</v>
      </c>
    </row>
    <row r="7588">
      <c r="A7588" s="3">
        <f>IFERROR(__xludf.DUMMYFUNCTION("""COMPUTED_VALUE"""),40204.666666666664)</f>
        <v>40204.66667</v>
      </c>
      <c r="B7588" s="2">
        <f>IFERROR(__xludf.DUMMYFUNCTION("""COMPUTED_VALUE"""),120.27)</f>
        <v>120.27</v>
      </c>
      <c r="C7588" s="2">
        <f>IFERROR(__xludf.DUMMYFUNCTION("""COMPUTED_VALUE"""),122.02)</f>
        <v>122.02</v>
      </c>
      <c r="D7588" s="2">
        <f>IFERROR(__xludf.DUMMYFUNCTION("""COMPUTED_VALUE"""),119.79)</f>
        <v>119.79</v>
      </c>
      <c r="E7588" s="2">
        <f>IFERROR(__xludf.DUMMYFUNCTION("""COMPUTED_VALUE"""),120.11)</f>
        <v>120.11</v>
      </c>
      <c r="F7588" s="2">
        <f>IFERROR(__xludf.DUMMYFUNCTION("""COMPUTED_VALUE"""),7136640.0)</f>
        <v>7136640</v>
      </c>
    </row>
    <row r="7589">
      <c r="A7589" s="3">
        <f>IFERROR(__xludf.DUMMYFUNCTION("""COMPUTED_VALUE"""),40205.666666666664)</f>
        <v>40205.66667</v>
      </c>
      <c r="B7589" s="2">
        <f>IFERROR(__xludf.DUMMYFUNCTION("""COMPUTED_VALUE"""),120.18)</f>
        <v>120.18</v>
      </c>
      <c r="C7589" s="2">
        <f>IFERROR(__xludf.DUMMYFUNCTION("""COMPUTED_VALUE"""),121.27)</f>
        <v>121.27</v>
      </c>
      <c r="D7589" s="2">
        <f>IFERROR(__xludf.DUMMYFUNCTION("""COMPUTED_VALUE"""),119.43)</f>
        <v>119.43</v>
      </c>
      <c r="E7589" s="2">
        <f>IFERROR(__xludf.DUMMYFUNCTION("""COMPUTED_VALUE"""),120.67)</f>
        <v>120.67</v>
      </c>
      <c r="F7589" s="2">
        <f>IFERROR(__xludf.DUMMYFUNCTION("""COMPUTED_VALUE"""),8719447.0)</f>
        <v>8719447</v>
      </c>
    </row>
    <row r="7590">
      <c r="A7590" s="3">
        <f>IFERROR(__xludf.DUMMYFUNCTION("""COMPUTED_VALUE"""),40206.666666666664)</f>
        <v>40206.66667</v>
      </c>
      <c r="B7590" s="2">
        <f>IFERROR(__xludf.DUMMYFUNCTION("""COMPUTED_VALUE"""),121.33)</f>
        <v>121.33</v>
      </c>
      <c r="C7590" s="2">
        <f>IFERROR(__xludf.DUMMYFUNCTION("""COMPUTED_VALUE"""),121.34)</f>
        <v>121.34</v>
      </c>
      <c r="D7590" s="2">
        <f>IFERROR(__xludf.DUMMYFUNCTION("""COMPUTED_VALUE"""),117.53)</f>
        <v>117.53</v>
      </c>
      <c r="E7590" s="2">
        <f>IFERROR(__xludf.DUMMYFUNCTION("""COMPUTED_VALUE"""),118.2)</f>
        <v>118.2</v>
      </c>
      <c r="F7590" s="2">
        <f>IFERROR(__xludf.DUMMYFUNCTION("""COMPUTED_VALUE"""),9622829.0)</f>
        <v>9622829</v>
      </c>
    </row>
    <row r="7591">
      <c r="A7591" s="3">
        <f>IFERROR(__xludf.DUMMYFUNCTION("""COMPUTED_VALUE"""),40207.666666666664)</f>
        <v>40207.66667</v>
      </c>
      <c r="B7591" s="2">
        <f>IFERROR(__xludf.DUMMYFUNCTION("""COMPUTED_VALUE"""),118.75)</f>
        <v>118.75</v>
      </c>
      <c r="C7591" s="2">
        <f>IFERROR(__xludf.DUMMYFUNCTION("""COMPUTED_VALUE"""),119.4)</f>
        <v>119.4</v>
      </c>
      <c r="D7591" s="2">
        <f>IFERROR(__xludf.DUMMYFUNCTION("""COMPUTED_VALUE"""),116.43)</f>
        <v>116.43</v>
      </c>
      <c r="E7591" s="2">
        <f>IFERROR(__xludf.DUMMYFUNCTION("""COMPUTED_VALUE"""),116.9)</f>
        <v>116.9</v>
      </c>
      <c r="F7591" s="2">
        <f>IFERROR(__xludf.DUMMYFUNCTION("""COMPUTED_VALUE"""),1.1572387E7)</f>
        <v>11572387</v>
      </c>
    </row>
    <row r="7592">
      <c r="A7592" s="3">
        <f>IFERROR(__xludf.DUMMYFUNCTION("""COMPUTED_VALUE"""),40210.666666666664)</f>
        <v>40210.66667</v>
      </c>
      <c r="B7592" s="2">
        <f>IFERROR(__xludf.DUMMYFUNCTION("""COMPUTED_VALUE"""),117.7)</f>
        <v>117.7</v>
      </c>
      <c r="C7592" s="2">
        <f>IFERROR(__xludf.DUMMYFUNCTION("""COMPUTED_VALUE"""),119.35)</f>
        <v>119.35</v>
      </c>
      <c r="D7592" s="2">
        <f>IFERROR(__xludf.DUMMYFUNCTION("""COMPUTED_VALUE"""),117.28)</f>
        <v>117.28</v>
      </c>
      <c r="E7592" s="2">
        <f>IFERROR(__xludf.DUMMYFUNCTION("""COMPUTED_VALUE"""),119.08)</f>
        <v>119.08</v>
      </c>
      <c r="F7592" s="2">
        <f>IFERROR(__xludf.DUMMYFUNCTION("""COMPUTED_VALUE"""),7249873.0)</f>
        <v>7249873</v>
      </c>
    </row>
    <row r="7593">
      <c r="A7593" s="3">
        <f>IFERROR(__xludf.DUMMYFUNCTION("""COMPUTED_VALUE"""),40211.666666666664)</f>
        <v>40211.66667</v>
      </c>
      <c r="B7593" s="2">
        <f>IFERROR(__xludf.DUMMYFUNCTION("""COMPUTED_VALUE"""),119.19)</f>
        <v>119.19</v>
      </c>
      <c r="C7593" s="2">
        <f>IFERROR(__xludf.DUMMYFUNCTION("""COMPUTED_VALUE"""),120.17)</f>
        <v>120.17</v>
      </c>
      <c r="D7593" s="2">
        <f>IFERROR(__xludf.DUMMYFUNCTION("""COMPUTED_VALUE"""),118.39)</f>
        <v>118.39</v>
      </c>
      <c r="E7593" s="2">
        <f>IFERROR(__xludf.DUMMYFUNCTION("""COMPUTED_VALUE"""),119.9)</f>
        <v>119.9</v>
      </c>
      <c r="F7593" s="2">
        <f>IFERROR(__xludf.DUMMYFUNCTION("""COMPUTED_VALUE"""),5900187.0)</f>
        <v>5900187</v>
      </c>
    </row>
    <row r="7594">
      <c r="A7594" s="3">
        <f>IFERROR(__xludf.DUMMYFUNCTION("""COMPUTED_VALUE"""),40212.666666666664)</f>
        <v>40212.66667</v>
      </c>
      <c r="B7594" s="2">
        <f>IFERROR(__xludf.DUMMYFUNCTION("""COMPUTED_VALUE"""),119.55)</f>
        <v>119.55</v>
      </c>
      <c r="C7594" s="2">
        <f>IFERROR(__xludf.DUMMYFUNCTION("""COMPUTED_VALUE"""),120.42)</f>
        <v>120.42</v>
      </c>
      <c r="D7594" s="2">
        <f>IFERROR(__xludf.DUMMYFUNCTION("""COMPUTED_VALUE"""),119.46)</f>
        <v>119.46</v>
      </c>
      <c r="E7594" s="2">
        <f>IFERROR(__xludf.DUMMYFUNCTION("""COMPUTED_VALUE"""),120.03)</f>
        <v>120.03</v>
      </c>
      <c r="F7594" s="2">
        <f>IFERROR(__xludf.DUMMYFUNCTION("""COMPUTED_VALUE"""),4177981.0)</f>
        <v>4177981</v>
      </c>
    </row>
    <row r="7595">
      <c r="A7595" s="3">
        <f>IFERROR(__xludf.DUMMYFUNCTION("""COMPUTED_VALUE"""),40213.666666666664)</f>
        <v>40213.66667</v>
      </c>
      <c r="B7595" s="2">
        <f>IFERROR(__xludf.DUMMYFUNCTION("""COMPUTED_VALUE"""),119.58)</f>
        <v>119.58</v>
      </c>
      <c r="C7595" s="2">
        <f>IFERROR(__xludf.DUMMYFUNCTION("""COMPUTED_VALUE"""),119.82)</f>
        <v>119.82</v>
      </c>
      <c r="D7595" s="2">
        <f>IFERROR(__xludf.DUMMYFUNCTION("""COMPUTED_VALUE"""),117.39)</f>
        <v>117.39</v>
      </c>
      <c r="E7595" s="2">
        <f>IFERROR(__xludf.DUMMYFUNCTION("""COMPUTED_VALUE"""),117.49)</f>
        <v>117.49</v>
      </c>
      <c r="F7595" s="2">
        <f>IFERROR(__xludf.DUMMYFUNCTION("""COMPUTED_VALUE"""),9129991.0)</f>
        <v>9129991</v>
      </c>
    </row>
    <row r="7596">
      <c r="A7596" s="3">
        <f>IFERROR(__xludf.DUMMYFUNCTION("""COMPUTED_VALUE"""),40214.666666666664)</f>
        <v>40214.66667</v>
      </c>
      <c r="B7596" s="2">
        <f>IFERROR(__xludf.DUMMYFUNCTION("""COMPUTED_VALUE"""),117.52)</f>
        <v>117.52</v>
      </c>
      <c r="C7596" s="2">
        <f>IFERROR(__xludf.DUMMYFUNCTION("""COMPUTED_VALUE"""),118.17)</f>
        <v>118.17</v>
      </c>
      <c r="D7596" s="2">
        <f>IFERROR(__xludf.DUMMYFUNCTION("""COMPUTED_VALUE"""),116.37)</f>
        <v>116.37</v>
      </c>
      <c r="E7596" s="2">
        <f>IFERROR(__xludf.DUMMYFUNCTION("""COMPUTED_VALUE"""),117.98)</f>
        <v>117.98</v>
      </c>
      <c r="F7596" s="2">
        <f>IFERROR(__xludf.DUMMYFUNCTION("""COMPUTED_VALUE"""),8618019.0)</f>
        <v>8618019</v>
      </c>
    </row>
    <row r="7597">
      <c r="A7597" s="3">
        <f>IFERROR(__xludf.DUMMYFUNCTION("""COMPUTED_VALUE"""),40217.666666666664)</f>
        <v>40217.66667</v>
      </c>
      <c r="B7597" s="2">
        <f>IFERROR(__xludf.DUMMYFUNCTION("""COMPUTED_VALUE"""),117.63)</f>
        <v>117.63</v>
      </c>
      <c r="C7597" s="2">
        <f>IFERROR(__xludf.DUMMYFUNCTION("""COMPUTED_VALUE"""),117.7)</f>
        <v>117.7</v>
      </c>
      <c r="D7597" s="2">
        <f>IFERROR(__xludf.DUMMYFUNCTION("""COMPUTED_VALUE"""),116.28)</f>
        <v>116.28</v>
      </c>
      <c r="E7597" s="2">
        <f>IFERROR(__xludf.DUMMYFUNCTION("""COMPUTED_VALUE"""),116.42)</f>
        <v>116.42</v>
      </c>
      <c r="F7597" s="2">
        <f>IFERROR(__xludf.DUMMYFUNCTION("""COMPUTED_VALUE"""),5719389.0)</f>
        <v>5719389</v>
      </c>
    </row>
    <row r="7598">
      <c r="A7598" s="3">
        <f>IFERROR(__xludf.DUMMYFUNCTION("""COMPUTED_VALUE"""),40218.666666666664)</f>
        <v>40218.66667</v>
      </c>
      <c r="B7598" s="2">
        <f>IFERROR(__xludf.DUMMYFUNCTION("""COMPUTED_VALUE"""),117.15)</f>
        <v>117.15</v>
      </c>
      <c r="C7598" s="2">
        <f>IFERROR(__xludf.DUMMYFUNCTION("""COMPUTED_VALUE"""),118.63)</f>
        <v>118.63</v>
      </c>
      <c r="D7598" s="2">
        <f>IFERROR(__xludf.DUMMYFUNCTION("""COMPUTED_VALUE"""),116.97)</f>
        <v>116.97</v>
      </c>
      <c r="E7598" s="2">
        <f>IFERROR(__xludf.DUMMYFUNCTION("""COMPUTED_VALUE"""),117.69)</f>
        <v>117.69</v>
      </c>
      <c r="F7598" s="2">
        <f>IFERROR(__xludf.DUMMYFUNCTION("""COMPUTED_VALUE"""),6044966.0)</f>
        <v>6044966</v>
      </c>
    </row>
    <row r="7599">
      <c r="A7599" s="3">
        <f>IFERROR(__xludf.DUMMYFUNCTION("""COMPUTED_VALUE"""),40219.666666666664)</f>
        <v>40219.66667</v>
      </c>
      <c r="B7599" s="2">
        <f>IFERROR(__xludf.DUMMYFUNCTION("""COMPUTED_VALUE"""),117.43)</f>
        <v>117.43</v>
      </c>
      <c r="C7599" s="2">
        <f>IFERROR(__xludf.DUMMYFUNCTION("""COMPUTED_VALUE"""),118.11)</f>
        <v>118.11</v>
      </c>
      <c r="D7599" s="2">
        <f>IFERROR(__xludf.DUMMYFUNCTION("""COMPUTED_VALUE"""),116.73)</f>
        <v>116.73</v>
      </c>
      <c r="E7599" s="2">
        <f>IFERROR(__xludf.DUMMYFUNCTION("""COMPUTED_VALUE"""),117.3)</f>
        <v>117.3</v>
      </c>
      <c r="F7599" s="2">
        <f>IFERROR(__xludf.DUMMYFUNCTION("""COMPUTED_VALUE"""),5219260.0)</f>
        <v>5219260</v>
      </c>
    </row>
    <row r="7600">
      <c r="A7600" s="3">
        <f>IFERROR(__xludf.DUMMYFUNCTION("""COMPUTED_VALUE"""),40220.666666666664)</f>
        <v>40220.66667</v>
      </c>
      <c r="B7600" s="2">
        <f>IFERROR(__xludf.DUMMYFUNCTION("""COMPUTED_VALUE"""),117.08)</f>
        <v>117.08</v>
      </c>
      <c r="C7600" s="2">
        <f>IFERROR(__xludf.DUMMYFUNCTION("""COMPUTED_VALUE"""),118.63)</f>
        <v>118.63</v>
      </c>
      <c r="D7600" s="2">
        <f>IFERROR(__xludf.DUMMYFUNCTION("""COMPUTED_VALUE"""),116.59)</f>
        <v>116.59</v>
      </c>
      <c r="E7600" s="2">
        <f>IFERROR(__xludf.DUMMYFUNCTION("""COMPUTED_VALUE"""),118.18)</f>
        <v>118.18</v>
      </c>
      <c r="F7600" s="2">
        <f>IFERROR(__xludf.DUMMYFUNCTION("""COMPUTED_VALUE"""),5091096.0)</f>
        <v>5091096</v>
      </c>
    </row>
    <row r="7601">
      <c r="A7601" s="3">
        <f>IFERROR(__xludf.DUMMYFUNCTION("""COMPUTED_VALUE"""),40221.666666666664)</f>
        <v>40221.66667</v>
      </c>
      <c r="B7601" s="2">
        <f>IFERROR(__xludf.DUMMYFUNCTION("""COMPUTED_VALUE"""),117.49)</f>
        <v>117.49</v>
      </c>
      <c r="C7601" s="2">
        <f>IFERROR(__xludf.DUMMYFUNCTION("""COMPUTED_VALUE"""),118.49)</f>
        <v>118.49</v>
      </c>
      <c r="D7601" s="2">
        <f>IFERROR(__xludf.DUMMYFUNCTION("""COMPUTED_VALUE"""),116.16)</f>
        <v>116.16</v>
      </c>
      <c r="E7601" s="2">
        <f>IFERROR(__xludf.DUMMYFUNCTION("""COMPUTED_VALUE"""),118.44)</f>
        <v>118.44</v>
      </c>
      <c r="F7601" s="2">
        <f>IFERROR(__xludf.DUMMYFUNCTION("""COMPUTED_VALUE"""),8018236.0)</f>
        <v>8018236</v>
      </c>
    </row>
    <row r="7602">
      <c r="A7602" s="3">
        <f>IFERROR(__xludf.DUMMYFUNCTION("""COMPUTED_VALUE"""),40225.666666666664)</f>
        <v>40225.66667</v>
      </c>
      <c r="B7602" s="2">
        <f>IFERROR(__xludf.DUMMYFUNCTION("""COMPUTED_VALUE"""),119.31)</f>
        <v>119.31</v>
      </c>
      <c r="C7602" s="2">
        <f>IFERROR(__xludf.DUMMYFUNCTION("""COMPUTED_VALUE"""),119.62)</f>
        <v>119.62</v>
      </c>
      <c r="D7602" s="2">
        <f>IFERROR(__xludf.DUMMYFUNCTION("""COMPUTED_VALUE"""),118.55)</f>
        <v>118.55</v>
      </c>
      <c r="E7602" s="2">
        <f>IFERROR(__xludf.DUMMYFUNCTION("""COMPUTED_VALUE"""),119.62)</f>
        <v>119.62</v>
      </c>
      <c r="F7602" s="2">
        <f>IFERROR(__xludf.DUMMYFUNCTION("""COMPUTED_VALUE"""),6777265.0)</f>
        <v>6777265</v>
      </c>
    </row>
    <row r="7603">
      <c r="A7603" s="3">
        <f>IFERROR(__xludf.DUMMYFUNCTION("""COMPUTED_VALUE"""),40226.666666666664)</f>
        <v>40226.66667</v>
      </c>
      <c r="B7603" s="2">
        <f>IFERROR(__xludf.DUMMYFUNCTION("""COMPUTED_VALUE"""),119.87)</f>
        <v>119.87</v>
      </c>
      <c r="C7603" s="2">
        <f>IFERROR(__xludf.DUMMYFUNCTION("""COMPUTED_VALUE"""),120.86)</f>
        <v>120.86</v>
      </c>
      <c r="D7603" s="2">
        <f>IFERROR(__xludf.DUMMYFUNCTION("""COMPUTED_VALUE"""),119.6)</f>
        <v>119.6</v>
      </c>
      <c r="E7603" s="2">
        <f>IFERROR(__xludf.DUMMYFUNCTION("""COMPUTED_VALUE"""),120.67)</f>
        <v>120.67</v>
      </c>
      <c r="F7603" s="2">
        <f>IFERROR(__xludf.DUMMYFUNCTION("""COMPUTED_VALUE"""),5827357.0)</f>
        <v>5827357</v>
      </c>
    </row>
    <row r="7604">
      <c r="A7604" s="3">
        <f>IFERROR(__xludf.DUMMYFUNCTION("""COMPUTED_VALUE"""),40227.666666666664)</f>
        <v>40227.66667</v>
      </c>
      <c r="B7604" s="2">
        <f>IFERROR(__xludf.DUMMYFUNCTION("""COMPUTED_VALUE"""),120.47)</f>
        <v>120.47</v>
      </c>
      <c r="C7604" s="2">
        <f>IFERROR(__xludf.DUMMYFUNCTION("""COMPUTED_VALUE"""),122.26)</f>
        <v>122.26</v>
      </c>
      <c r="D7604" s="2">
        <f>IFERROR(__xludf.DUMMYFUNCTION("""COMPUTED_VALUE"""),120.35)</f>
        <v>120.35</v>
      </c>
      <c r="E7604" s="2">
        <f>IFERROR(__xludf.DUMMYFUNCTION("""COMPUTED_VALUE"""),122.08)</f>
        <v>122.08</v>
      </c>
      <c r="F7604" s="2">
        <f>IFERROR(__xludf.DUMMYFUNCTION("""COMPUTED_VALUE"""),5527576.0)</f>
        <v>5527576</v>
      </c>
    </row>
    <row r="7605">
      <c r="A7605" s="3">
        <f>IFERROR(__xludf.DUMMYFUNCTION("""COMPUTED_VALUE"""),40228.666666666664)</f>
        <v>40228.66667</v>
      </c>
      <c r="B7605" s="2">
        <f>IFERROR(__xludf.DUMMYFUNCTION("""COMPUTED_VALUE"""),121.64)</f>
        <v>121.64</v>
      </c>
      <c r="C7605" s="2">
        <f>IFERROR(__xludf.DUMMYFUNCTION("""COMPUTED_VALUE"""),122.32)</f>
        <v>122.32</v>
      </c>
      <c r="D7605" s="2">
        <f>IFERROR(__xludf.DUMMYFUNCTION("""COMPUTED_VALUE"""),121.18)</f>
        <v>121.18</v>
      </c>
      <c r="E7605" s="2">
        <f>IFERROR(__xludf.DUMMYFUNCTION("""COMPUTED_VALUE"""),121.49)</f>
        <v>121.49</v>
      </c>
      <c r="F7605" s="2">
        <f>IFERROR(__xludf.DUMMYFUNCTION("""COMPUTED_VALUE"""),6303678.0)</f>
        <v>6303678</v>
      </c>
    </row>
    <row r="7606">
      <c r="A7606" s="3">
        <f>IFERROR(__xludf.DUMMYFUNCTION("""COMPUTED_VALUE"""),40231.666666666664)</f>
        <v>40231.66667</v>
      </c>
      <c r="B7606" s="2">
        <f>IFERROR(__xludf.DUMMYFUNCTION("""COMPUTED_VALUE"""),121.59)</f>
        <v>121.59</v>
      </c>
      <c r="C7606" s="2">
        <f>IFERROR(__xludf.DUMMYFUNCTION("""COMPUTED_VALUE"""),121.72)</f>
        <v>121.72</v>
      </c>
      <c r="D7606" s="2">
        <f>IFERROR(__xludf.DUMMYFUNCTION("""COMPUTED_VALUE"""),120.65)</f>
        <v>120.65</v>
      </c>
      <c r="E7606" s="2">
        <f>IFERROR(__xludf.DUMMYFUNCTION("""COMPUTED_VALUE"""),121.16)</f>
        <v>121.16</v>
      </c>
      <c r="F7606" s="2">
        <f>IFERROR(__xludf.DUMMYFUNCTION("""COMPUTED_VALUE"""),3808077.0)</f>
        <v>3808077</v>
      </c>
    </row>
    <row r="7607">
      <c r="A7607" s="3">
        <f>IFERROR(__xludf.DUMMYFUNCTION("""COMPUTED_VALUE"""),40232.666666666664)</f>
        <v>40232.66667</v>
      </c>
      <c r="B7607" s="2">
        <f>IFERROR(__xludf.DUMMYFUNCTION("""COMPUTED_VALUE"""),120.81)</f>
        <v>120.81</v>
      </c>
      <c r="C7607" s="2">
        <f>IFERROR(__xludf.DUMMYFUNCTION("""COMPUTED_VALUE"""),121.94)</f>
        <v>121.94</v>
      </c>
      <c r="D7607" s="2">
        <f>IFERROR(__xludf.DUMMYFUNCTION("""COMPUTED_VALUE"""),120.35)</f>
        <v>120.35</v>
      </c>
      <c r="E7607" s="2">
        <f>IFERROR(__xludf.DUMMYFUNCTION("""COMPUTED_VALUE"""),120.79)</f>
        <v>120.79</v>
      </c>
      <c r="F7607" s="2">
        <f>IFERROR(__xludf.DUMMYFUNCTION("""COMPUTED_VALUE"""),4594376.0)</f>
        <v>4594376</v>
      </c>
    </row>
    <row r="7608">
      <c r="A7608" s="3">
        <f>IFERROR(__xludf.DUMMYFUNCTION("""COMPUTED_VALUE"""),40233.666666666664)</f>
        <v>40233.66667</v>
      </c>
      <c r="B7608" s="2">
        <f>IFERROR(__xludf.DUMMYFUNCTION("""COMPUTED_VALUE"""),121.32)</f>
        <v>121.32</v>
      </c>
      <c r="C7608" s="2">
        <f>IFERROR(__xludf.DUMMYFUNCTION("""COMPUTED_VALUE"""),122.52)</f>
        <v>122.52</v>
      </c>
      <c r="D7608" s="2">
        <f>IFERROR(__xludf.DUMMYFUNCTION("""COMPUTED_VALUE"""),121.12)</f>
        <v>121.12</v>
      </c>
      <c r="E7608" s="2">
        <f>IFERROR(__xludf.DUMMYFUNCTION("""COMPUTED_VALUE"""),121.87)</f>
        <v>121.87</v>
      </c>
      <c r="F7608" s="2">
        <f>IFERROR(__xludf.DUMMYFUNCTION("""COMPUTED_VALUE"""),4782100.0)</f>
        <v>4782100</v>
      </c>
    </row>
    <row r="7609">
      <c r="A7609" s="3">
        <f>IFERROR(__xludf.DUMMYFUNCTION("""COMPUTED_VALUE"""),40234.666666666664)</f>
        <v>40234.66667</v>
      </c>
      <c r="B7609" s="2">
        <f>IFERROR(__xludf.DUMMYFUNCTION("""COMPUTED_VALUE"""),120.4)</f>
        <v>120.4</v>
      </c>
      <c r="C7609" s="2">
        <f>IFERROR(__xludf.DUMMYFUNCTION("""COMPUTED_VALUE"""),121.54)</f>
        <v>121.54</v>
      </c>
      <c r="D7609" s="2">
        <f>IFERROR(__xludf.DUMMYFUNCTION("""COMPUTED_VALUE"""),119.94)</f>
        <v>119.94</v>
      </c>
      <c r="E7609" s="2">
        <f>IFERROR(__xludf.DUMMYFUNCTION("""COMPUTED_VALUE"""),121.37)</f>
        <v>121.37</v>
      </c>
      <c r="F7609" s="2">
        <f>IFERROR(__xludf.DUMMYFUNCTION("""COMPUTED_VALUE"""),5658776.0)</f>
        <v>5658776</v>
      </c>
    </row>
    <row r="7610">
      <c r="A7610" s="3">
        <f>IFERROR(__xludf.DUMMYFUNCTION("""COMPUTED_VALUE"""),40235.666666666664)</f>
        <v>40235.66667</v>
      </c>
      <c r="B7610" s="2">
        <f>IFERROR(__xludf.DUMMYFUNCTION("""COMPUTED_VALUE"""),121.32)</f>
        <v>121.32</v>
      </c>
      <c r="C7610" s="2">
        <f>IFERROR(__xludf.DUMMYFUNCTION("""COMPUTED_VALUE"""),122.26)</f>
        <v>122.26</v>
      </c>
      <c r="D7610" s="2">
        <f>IFERROR(__xludf.DUMMYFUNCTION("""COMPUTED_VALUE"""),121.06)</f>
        <v>121.06</v>
      </c>
      <c r="E7610" s="2">
        <f>IFERROR(__xludf.DUMMYFUNCTION("""COMPUTED_VALUE"""),121.46)</f>
        <v>121.46</v>
      </c>
      <c r="F7610" s="2">
        <f>IFERROR(__xludf.DUMMYFUNCTION("""COMPUTED_VALUE"""),4784139.0)</f>
        <v>4784139</v>
      </c>
    </row>
    <row r="7611">
      <c r="A7611" s="3">
        <f>IFERROR(__xludf.DUMMYFUNCTION("""COMPUTED_VALUE"""),40238.666666666664)</f>
        <v>40238.66667</v>
      </c>
      <c r="B7611" s="2">
        <f>IFERROR(__xludf.DUMMYFUNCTION("""COMPUTED_VALUE"""),121.78)</f>
        <v>121.78</v>
      </c>
      <c r="C7611" s="2">
        <f>IFERROR(__xludf.DUMMYFUNCTION("""COMPUTED_VALUE"""),123.05)</f>
        <v>123.05</v>
      </c>
      <c r="D7611" s="2">
        <f>IFERROR(__xludf.DUMMYFUNCTION("""COMPUTED_VALUE"""),121.75)</f>
        <v>121.75</v>
      </c>
      <c r="E7611" s="2">
        <f>IFERROR(__xludf.DUMMYFUNCTION("""COMPUTED_VALUE"""),122.81)</f>
        <v>122.81</v>
      </c>
      <c r="F7611" s="2">
        <f>IFERROR(__xludf.DUMMYFUNCTION("""COMPUTED_VALUE"""),4577715.0)</f>
        <v>4577715</v>
      </c>
    </row>
    <row r="7612">
      <c r="A7612" s="3">
        <f>IFERROR(__xludf.DUMMYFUNCTION("""COMPUTED_VALUE"""),40239.666666666664)</f>
        <v>40239.66667</v>
      </c>
      <c r="B7612" s="2">
        <f>IFERROR(__xludf.DUMMYFUNCTION("""COMPUTED_VALUE"""),122.93)</f>
        <v>122.93</v>
      </c>
      <c r="C7612" s="2">
        <f>IFERROR(__xludf.DUMMYFUNCTION("""COMPUTED_VALUE"""),123.3)</f>
        <v>123.3</v>
      </c>
      <c r="D7612" s="2">
        <f>IFERROR(__xludf.DUMMYFUNCTION("""COMPUTED_VALUE"""),121.43)</f>
        <v>121.43</v>
      </c>
      <c r="E7612" s="2">
        <f>IFERROR(__xludf.DUMMYFUNCTION("""COMPUTED_VALUE"""),121.71)</f>
        <v>121.71</v>
      </c>
      <c r="F7612" s="2">
        <f>IFERROR(__xludf.DUMMYFUNCTION("""COMPUTED_VALUE"""),6013437.0)</f>
        <v>6013437</v>
      </c>
    </row>
    <row r="7613">
      <c r="A7613" s="3">
        <f>IFERROR(__xludf.DUMMYFUNCTION("""COMPUTED_VALUE"""),40240.666666666664)</f>
        <v>40240.66667</v>
      </c>
      <c r="B7613" s="2">
        <f>IFERROR(__xludf.DUMMYFUNCTION("""COMPUTED_VALUE"""),122.0)</f>
        <v>122</v>
      </c>
      <c r="C7613" s="2">
        <f>IFERROR(__xludf.DUMMYFUNCTION("""COMPUTED_VALUE"""),122.28)</f>
        <v>122.28</v>
      </c>
      <c r="D7613" s="2">
        <f>IFERROR(__xludf.DUMMYFUNCTION("""COMPUTED_VALUE"""),121.0)</f>
        <v>121</v>
      </c>
      <c r="E7613" s="2">
        <f>IFERROR(__xludf.DUMMYFUNCTION("""COMPUTED_VALUE"""),121.19)</f>
        <v>121.19</v>
      </c>
      <c r="F7613" s="2">
        <f>IFERROR(__xludf.DUMMYFUNCTION("""COMPUTED_VALUE"""),6389967.0)</f>
        <v>6389967</v>
      </c>
    </row>
    <row r="7614">
      <c r="A7614" s="3">
        <f>IFERROR(__xludf.DUMMYFUNCTION("""COMPUTED_VALUE"""),40241.666666666664)</f>
        <v>40241.66667</v>
      </c>
      <c r="B7614" s="2">
        <f>IFERROR(__xludf.DUMMYFUNCTION("""COMPUTED_VALUE"""),121.37)</f>
        <v>121.37</v>
      </c>
      <c r="C7614" s="2">
        <f>IFERROR(__xludf.DUMMYFUNCTION("""COMPUTED_VALUE"""),121.37)</f>
        <v>121.37</v>
      </c>
      <c r="D7614" s="2">
        <f>IFERROR(__xludf.DUMMYFUNCTION("""COMPUTED_VALUE"""),119.84)</f>
        <v>119.84</v>
      </c>
      <c r="E7614" s="2">
        <f>IFERROR(__xludf.DUMMYFUNCTION("""COMPUTED_VALUE"""),121.04)</f>
        <v>121.04</v>
      </c>
      <c r="F7614" s="2">
        <f>IFERROR(__xludf.DUMMYFUNCTION("""COMPUTED_VALUE"""),6032328.0)</f>
        <v>6032328</v>
      </c>
    </row>
    <row r="7615">
      <c r="A7615" s="3">
        <f>IFERROR(__xludf.DUMMYFUNCTION("""COMPUTED_VALUE"""),40242.666666666664)</f>
        <v>40242.66667</v>
      </c>
      <c r="B7615" s="2">
        <f>IFERROR(__xludf.DUMMYFUNCTION("""COMPUTED_VALUE"""),121.47)</f>
        <v>121.47</v>
      </c>
      <c r="C7615" s="2">
        <f>IFERROR(__xludf.DUMMYFUNCTION("""COMPUTED_VALUE"""),121.83)</f>
        <v>121.83</v>
      </c>
      <c r="D7615" s="2">
        <f>IFERROR(__xludf.DUMMYFUNCTION("""COMPUTED_VALUE"""),121.34)</f>
        <v>121.34</v>
      </c>
      <c r="E7615" s="2">
        <f>IFERROR(__xludf.DUMMYFUNCTION("""COMPUTED_VALUE"""),121.54)</f>
        <v>121.54</v>
      </c>
      <c r="F7615" s="2">
        <f>IFERROR(__xludf.DUMMYFUNCTION("""COMPUTED_VALUE"""),6140472.0)</f>
        <v>6140472</v>
      </c>
    </row>
    <row r="7616">
      <c r="A7616" s="3">
        <f>IFERROR(__xludf.DUMMYFUNCTION("""COMPUTED_VALUE"""),40245.666666666664)</f>
        <v>40245.66667</v>
      </c>
      <c r="B7616" s="2">
        <f>IFERROR(__xludf.DUMMYFUNCTION("""COMPUTED_VALUE"""),121.36)</f>
        <v>121.36</v>
      </c>
      <c r="C7616" s="2">
        <f>IFERROR(__xludf.DUMMYFUNCTION("""COMPUTED_VALUE"""),121.78)</f>
        <v>121.78</v>
      </c>
      <c r="D7616" s="2">
        <f>IFERROR(__xludf.DUMMYFUNCTION("""COMPUTED_VALUE"""),120.69)</f>
        <v>120.69</v>
      </c>
      <c r="E7616" s="2">
        <f>IFERROR(__xludf.DUMMYFUNCTION("""COMPUTED_VALUE"""),120.74)</f>
        <v>120.74</v>
      </c>
      <c r="F7616" s="2">
        <f>IFERROR(__xludf.DUMMYFUNCTION("""COMPUTED_VALUE"""),6199570.0)</f>
        <v>6199570</v>
      </c>
    </row>
    <row r="7617">
      <c r="A7617" s="3">
        <f>IFERROR(__xludf.DUMMYFUNCTION("""COMPUTED_VALUE"""),40246.666666666664)</f>
        <v>40246.66667</v>
      </c>
      <c r="B7617" s="2">
        <f>IFERROR(__xludf.DUMMYFUNCTION("""COMPUTED_VALUE"""),120.61)</f>
        <v>120.61</v>
      </c>
      <c r="C7617" s="2">
        <f>IFERROR(__xludf.DUMMYFUNCTION("""COMPUTED_VALUE"""),120.63)</f>
        <v>120.63</v>
      </c>
      <c r="D7617" s="2">
        <f>IFERROR(__xludf.DUMMYFUNCTION("""COMPUTED_VALUE"""),119.59)</f>
        <v>119.59</v>
      </c>
      <c r="E7617" s="2">
        <f>IFERROR(__xludf.DUMMYFUNCTION("""COMPUTED_VALUE"""),119.92)</f>
        <v>119.92</v>
      </c>
      <c r="F7617" s="2">
        <f>IFERROR(__xludf.DUMMYFUNCTION("""COMPUTED_VALUE"""),7529306.0)</f>
        <v>7529306</v>
      </c>
    </row>
    <row r="7618">
      <c r="A7618" s="3">
        <f>IFERROR(__xludf.DUMMYFUNCTION("""COMPUTED_VALUE"""),40247.666666666664)</f>
        <v>40247.66667</v>
      </c>
      <c r="B7618" s="2">
        <f>IFERROR(__xludf.DUMMYFUNCTION("""COMPUTED_VALUE"""),120.34)</f>
        <v>120.34</v>
      </c>
      <c r="C7618" s="2">
        <f>IFERROR(__xludf.DUMMYFUNCTION("""COMPUTED_VALUE"""),120.69)</f>
        <v>120.69</v>
      </c>
      <c r="D7618" s="2">
        <f>IFERROR(__xludf.DUMMYFUNCTION("""COMPUTED_VALUE"""),119.6)</f>
        <v>119.6</v>
      </c>
      <c r="E7618" s="2">
        <f>IFERROR(__xludf.DUMMYFUNCTION("""COMPUTED_VALUE"""),119.99)</f>
        <v>119.99</v>
      </c>
      <c r="F7618" s="2">
        <f>IFERROR(__xludf.DUMMYFUNCTION("""COMPUTED_VALUE"""),6917512.0)</f>
        <v>6917512</v>
      </c>
    </row>
    <row r="7619">
      <c r="A7619" s="3">
        <f>IFERROR(__xludf.DUMMYFUNCTION("""COMPUTED_VALUE"""),40248.666666666664)</f>
        <v>40248.66667</v>
      </c>
      <c r="B7619" s="2">
        <f>IFERROR(__xludf.DUMMYFUNCTION("""COMPUTED_VALUE"""),120.07)</f>
        <v>120.07</v>
      </c>
      <c r="C7619" s="2">
        <f>IFERROR(__xludf.DUMMYFUNCTION("""COMPUTED_VALUE"""),122.08)</f>
        <v>122.08</v>
      </c>
      <c r="D7619" s="2">
        <f>IFERROR(__xludf.DUMMYFUNCTION("""COMPUTED_VALUE"""),120.07)</f>
        <v>120.07</v>
      </c>
      <c r="E7619" s="2">
        <f>IFERROR(__xludf.DUMMYFUNCTION("""COMPUTED_VALUE"""),121.88)</f>
        <v>121.88</v>
      </c>
      <c r="F7619" s="2">
        <f>IFERROR(__xludf.DUMMYFUNCTION("""COMPUTED_VALUE"""),7929401.0)</f>
        <v>7929401</v>
      </c>
    </row>
    <row r="7620">
      <c r="A7620" s="3">
        <f>IFERROR(__xludf.DUMMYFUNCTION("""COMPUTED_VALUE"""),40249.666666666664)</f>
        <v>40249.66667</v>
      </c>
      <c r="B7620" s="2">
        <f>IFERROR(__xludf.DUMMYFUNCTION("""COMPUTED_VALUE"""),122.18)</f>
        <v>122.18</v>
      </c>
      <c r="C7620" s="2">
        <f>IFERROR(__xludf.DUMMYFUNCTION("""COMPUTED_VALUE"""),122.61)</f>
        <v>122.61</v>
      </c>
      <c r="D7620" s="2">
        <f>IFERROR(__xludf.DUMMYFUNCTION("""COMPUTED_VALUE"""),121.79)</f>
        <v>121.79</v>
      </c>
      <c r="E7620" s="2">
        <f>IFERROR(__xludf.DUMMYFUNCTION("""COMPUTED_VALUE"""),122.2)</f>
        <v>122.2</v>
      </c>
      <c r="F7620" s="2">
        <f>IFERROR(__xludf.DUMMYFUNCTION("""COMPUTED_VALUE"""),5170094.0)</f>
        <v>5170094</v>
      </c>
    </row>
    <row r="7621">
      <c r="A7621" s="3">
        <f>IFERROR(__xludf.DUMMYFUNCTION("""COMPUTED_VALUE"""),40252.666666666664)</f>
        <v>40252.66667</v>
      </c>
      <c r="B7621" s="2">
        <f>IFERROR(__xludf.DUMMYFUNCTION("""COMPUTED_VALUE"""),121.69)</f>
        <v>121.69</v>
      </c>
      <c r="C7621" s="2">
        <f>IFERROR(__xludf.DUMMYFUNCTION("""COMPUTED_VALUE"""),122.59)</f>
        <v>122.59</v>
      </c>
      <c r="D7621" s="2">
        <f>IFERROR(__xludf.DUMMYFUNCTION("""COMPUTED_VALUE"""),121.57)</f>
        <v>121.57</v>
      </c>
      <c r="E7621" s="2">
        <f>IFERROR(__xludf.DUMMYFUNCTION("""COMPUTED_VALUE"""),122.1)</f>
        <v>122.1</v>
      </c>
      <c r="F7621" s="2">
        <f>IFERROR(__xludf.DUMMYFUNCTION("""COMPUTED_VALUE"""),4544089.0)</f>
        <v>4544089</v>
      </c>
    </row>
    <row r="7622">
      <c r="A7622" s="3">
        <f>IFERROR(__xludf.DUMMYFUNCTION("""COMPUTED_VALUE"""),40253.666666666664)</f>
        <v>40253.66667</v>
      </c>
      <c r="B7622" s="2">
        <f>IFERROR(__xludf.DUMMYFUNCTION("""COMPUTED_VALUE"""),122.26)</f>
        <v>122.26</v>
      </c>
      <c r="C7622" s="2">
        <f>IFERROR(__xludf.DUMMYFUNCTION("""COMPUTED_VALUE"""),123.1)</f>
        <v>123.1</v>
      </c>
      <c r="D7622" s="2">
        <f>IFERROR(__xludf.DUMMYFUNCTION("""COMPUTED_VALUE"""),121.74)</f>
        <v>121.74</v>
      </c>
      <c r="E7622" s="2">
        <f>IFERROR(__xludf.DUMMYFUNCTION("""COMPUTED_VALUE"""),122.9)</f>
        <v>122.9</v>
      </c>
      <c r="F7622" s="2">
        <f>IFERROR(__xludf.DUMMYFUNCTION("""COMPUTED_VALUE"""),6135031.0)</f>
        <v>6135031</v>
      </c>
    </row>
    <row r="7623">
      <c r="A7623" s="3">
        <f>IFERROR(__xludf.DUMMYFUNCTION("""COMPUTED_VALUE"""),40254.666666666664)</f>
        <v>40254.66667</v>
      </c>
      <c r="B7623" s="2">
        <f>IFERROR(__xludf.DUMMYFUNCTION("""COMPUTED_VALUE"""),123.12)</f>
        <v>123.12</v>
      </c>
      <c r="C7623" s="2">
        <f>IFERROR(__xludf.DUMMYFUNCTION("""COMPUTED_VALUE"""),123.15)</f>
        <v>123.15</v>
      </c>
      <c r="D7623" s="2">
        <f>IFERROR(__xludf.DUMMYFUNCTION("""COMPUTED_VALUE"""),121.65)</f>
        <v>121.65</v>
      </c>
      <c r="E7623" s="2">
        <f>IFERROR(__xludf.DUMMYFUNCTION("""COMPUTED_VALUE"""),122.03)</f>
        <v>122.03</v>
      </c>
      <c r="F7623" s="2">
        <f>IFERROR(__xludf.DUMMYFUNCTION("""COMPUTED_VALUE"""),6348995.0)</f>
        <v>6348995</v>
      </c>
    </row>
    <row r="7624">
      <c r="A7624" s="3">
        <f>IFERROR(__xludf.DUMMYFUNCTION("""COMPUTED_VALUE"""),40255.666666666664)</f>
        <v>40255.66667</v>
      </c>
      <c r="B7624" s="2">
        <f>IFERROR(__xludf.DUMMYFUNCTION("""COMPUTED_VALUE"""),121.75)</f>
        <v>121.75</v>
      </c>
      <c r="C7624" s="2">
        <f>IFERROR(__xludf.DUMMYFUNCTION("""COMPUTED_VALUE"""),122.98)</f>
        <v>122.98</v>
      </c>
      <c r="D7624" s="2">
        <f>IFERROR(__xludf.DUMMYFUNCTION("""COMPUTED_VALUE"""),121.74)</f>
        <v>121.74</v>
      </c>
      <c r="E7624" s="2">
        <f>IFERROR(__xludf.DUMMYFUNCTION("""COMPUTED_VALUE"""),122.62)</f>
        <v>122.62</v>
      </c>
      <c r="F7624" s="2">
        <f>IFERROR(__xludf.DUMMYFUNCTION("""COMPUTED_VALUE"""),4954633.0)</f>
        <v>4954633</v>
      </c>
    </row>
    <row r="7625">
      <c r="A7625" s="3">
        <f>IFERROR(__xludf.DUMMYFUNCTION("""COMPUTED_VALUE"""),40256.666666666664)</f>
        <v>40256.66667</v>
      </c>
      <c r="B7625" s="2">
        <f>IFERROR(__xludf.DUMMYFUNCTION("""COMPUTED_VALUE"""),123.06)</f>
        <v>123.06</v>
      </c>
      <c r="C7625" s="2">
        <f>IFERROR(__xludf.DUMMYFUNCTION("""COMPUTED_VALUE"""),123.15)</f>
        <v>123.15</v>
      </c>
      <c r="D7625" s="2">
        <f>IFERROR(__xludf.DUMMYFUNCTION("""COMPUTED_VALUE"""),121.1)</f>
        <v>121.1</v>
      </c>
      <c r="E7625" s="2">
        <f>IFERROR(__xludf.DUMMYFUNCTION("""COMPUTED_VALUE"""),121.98)</f>
        <v>121.98</v>
      </c>
      <c r="F7625" s="2">
        <f>IFERROR(__xludf.DUMMYFUNCTION("""COMPUTED_VALUE"""),1.0744286E7)</f>
        <v>10744286</v>
      </c>
    </row>
    <row r="7626">
      <c r="A7626" s="3">
        <f>IFERROR(__xludf.DUMMYFUNCTION("""COMPUTED_VALUE"""),40259.666666666664)</f>
        <v>40259.66667</v>
      </c>
      <c r="B7626" s="2">
        <f>IFERROR(__xludf.DUMMYFUNCTION("""COMPUTED_VALUE"""),121.41)</f>
        <v>121.41</v>
      </c>
      <c r="C7626" s="2">
        <f>IFERROR(__xludf.DUMMYFUNCTION("""COMPUTED_VALUE"""),122.63)</f>
        <v>122.63</v>
      </c>
      <c r="D7626" s="2">
        <f>IFERROR(__xludf.DUMMYFUNCTION("""COMPUTED_VALUE"""),120.9)</f>
        <v>120.9</v>
      </c>
      <c r="E7626" s="2">
        <f>IFERROR(__xludf.DUMMYFUNCTION("""COMPUTED_VALUE"""),122.24)</f>
        <v>122.24</v>
      </c>
      <c r="F7626" s="2">
        <f>IFERROR(__xludf.DUMMYFUNCTION("""COMPUTED_VALUE"""),5651866.0)</f>
        <v>5651866</v>
      </c>
    </row>
    <row r="7627">
      <c r="A7627" s="3">
        <f>IFERROR(__xludf.DUMMYFUNCTION("""COMPUTED_VALUE"""),40260.666666666664)</f>
        <v>40260.66667</v>
      </c>
      <c r="B7627" s="2">
        <f>IFERROR(__xludf.DUMMYFUNCTION("""COMPUTED_VALUE"""),122.2)</f>
        <v>122.2</v>
      </c>
      <c r="C7627" s="2">
        <f>IFERROR(__xludf.DUMMYFUNCTION("""COMPUTED_VALUE"""),123.63)</f>
        <v>123.63</v>
      </c>
      <c r="D7627" s="2">
        <f>IFERROR(__xludf.DUMMYFUNCTION("""COMPUTED_VALUE"""),121.92)</f>
        <v>121.92</v>
      </c>
      <c r="E7627" s="2">
        <f>IFERROR(__xludf.DUMMYFUNCTION("""COMPUTED_VALUE"""),123.57)</f>
        <v>123.57</v>
      </c>
      <c r="F7627" s="2">
        <f>IFERROR(__xludf.DUMMYFUNCTION("""COMPUTED_VALUE"""),5979298.0)</f>
        <v>5979298</v>
      </c>
    </row>
    <row r="7628">
      <c r="A7628" s="3">
        <f>IFERROR(__xludf.DUMMYFUNCTION("""COMPUTED_VALUE"""),40261.666666666664)</f>
        <v>40261.66667</v>
      </c>
      <c r="B7628" s="2">
        <f>IFERROR(__xludf.DUMMYFUNCTION("""COMPUTED_VALUE"""),122.86)</f>
        <v>122.86</v>
      </c>
      <c r="C7628" s="2">
        <f>IFERROR(__xludf.DUMMYFUNCTION("""COMPUTED_VALUE"""),124.12)</f>
        <v>124.12</v>
      </c>
      <c r="D7628" s="2">
        <f>IFERROR(__xludf.DUMMYFUNCTION("""COMPUTED_VALUE"""),122.71)</f>
        <v>122.71</v>
      </c>
      <c r="E7628" s="2">
        <f>IFERROR(__xludf.DUMMYFUNCTION("""COMPUTED_VALUE"""),122.77)</f>
        <v>122.77</v>
      </c>
      <c r="F7628" s="2">
        <f>IFERROR(__xludf.DUMMYFUNCTION("""COMPUTED_VALUE"""),6669246.0)</f>
        <v>6669246</v>
      </c>
    </row>
    <row r="7629">
      <c r="A7629" s="3">
        <f>IFERROR(__xludf.DUMMYFUNCTION("""COMPUTED_VALUE"""),40262.666666666664)</f>
        <v>40262.66667</v>
      </c>
      <c r="B7629" s="2">
        <f>IFERROR(__xludf.DUMMYFUNCTION("""COMPUTED_VALUE"""),123.56)</f>
        <v>123.56</v>
      </c>
      <c r="C7629" s="2">
        <f>IFERROR(__xludf.DUMMYFUNCTION("""COMPUTED_VALUE"""),124.87)</f>
        <v>124.87</v>
      </c>
      <c r="D7629" s="2">
        <f>IFERROR(__xludf.DUMMYFUNCTION("""COMPUTED_VALUE"""),123.34)</f>
        <v>123.34</v>
      </c>
      <c r="E7629" s="2">
        <f>IFERROR(__xludf.DUMMYFUNCTION("""COMPUTED_VALUE"""),123.45)</f>
        <v>123.45</v>
      </c>
      <c r="F7629" s="2">
        <f>IFERROR(__xludf.DUMMYFUNCTION("""COMPUTED_VALUE"""),7605394.0)</f>
        <v>7605394</v>
      </c>
    </row>
    <row r="7630">
      <c r="A7630" s="3">
        <f>IFERROR(__xludf.DUMMYFUNCTION("""COMPUTED_VALUE"""),40263.666666666664)</f>
        <v>40263.66667</v>
      </c>
      <c r="B7630" s="2">
        <f>IFERROR(__xludf.DUMMYFUNCTION("""COMPUTED_VALUE"""),123.15)</f>
        <v>123.15</v>
      </c>
      <c r="C7630" s="2">
        <f>IFERROR(__xludf.DUMMYFUNCTION("""COMPUTED_VALUE"""),123.96)</f>
        <v>123.96</v>
      </c>
      <c r="D7630" s="2">
        <f>IFERROR(__xludf.DUMMYFUNCTION("""COMPUTED_VALUE"""),122.95)</f>
        <v>122.95</v>
      </c>
      <c r="E7630" s="2">
        <f>IFERROR(__xludf.DUMMYFUNCTION("""COMPUTED_VALUE"""),123.46)</f>
        <v>123.46</v>
      </c>
      <c r="F7630" s="2">
        <f>IFERROR(__xludf.DUMMYFUNCTION("""COMPUTED_VALUE"""),5550705.0)</f>
        <v>5550705</v>
      </c>
    </row>
    <row r="7631">
      <c r="A7631" s="3">
        <f>IFERROR(__xludf.DUMMYFUNCTION("""COMPUTED_VALUE"""),40266.666666666664)</f>
        <v>40266.66667</v>
      </c>
      <c r="B7631" s="2">
        <f>IFERROR(__xludf.DUMMYFUNCTION("""COMPUTED_VALUE"""),123.5)</f>
        <v>123.5</v>
      </c>
      <c r="C7631" s="2">
        <f>IFERROR(__xludf.DUMMYFUNCTION("""COMPUTED_VALUE"""),124.12)</f>
        <v>124.12</v>
      </c>
      <c r="D7631" s="2">
        <f>IFERROR(__xludf.DUMMYFUNCTION("""COMPUTED_VALUE"""),122.51)</f>
        <v>122.51</v>
      </c>
      <c r="E7631" s="2">
        <f>IFERROR(__xludf.DUMMYFUNCTION("""COMPUTED_VALUE"""),122.82)</f>
        <v>122.82</v>
      </c>
      <c r="F7631" s="2">
        <f>IFERROR(__xludf.DUMMYFUNCTION("""COMPUTED_VALUE"""),4643265.0)</f>
        <v>4643265</v>
      </c>
    </row>
    <row r="7632">
      <c r="A7632" s="3">
        <f>IFERROR(__xludf.DUMMYFUNCTION("""COMPUTED_VALUE"""),40267.666666666664)</f>
        <v>40267.66667</v>
      </c>
      <c r="B7632" s="2">
        <f>IFERROR(__xludf.DUMMYFUNCTION("""COMPUTED_VALUE"""),123.12)</f>
        <v>123.12</v>
      </c>
      <c r="C7632" s="2">
        <f>IFERROR(__xludf.DUMMYFUNCTION("""COMPUTED_VALUE"""),123.34)</f>
        <v>123.34</v>
      </c>
      <c r="D7632" s="2">
        <f>IFERROR(__xludf.DUMMYFUNCTION("""COMPUTED_VALUE"""),122.5)</f>
        <v>122.5</v>
      </c>
      <c r="E7632" s="2">
        <f>IFERROR(__xludf.DUMMYFUNCTION("""COMPUTED_VALUE"""),123.0)</f>
        <v>123</v>
      </c>
      <c r="F7632" s="2">
        <f>IFERROR(__xludf.DUMMYFUNCTION("""COMPUTED_VALUE"""),3426538.0)</f>
        <v>3426538</v>
      </c>
    </row>
    <row r="7633">
      <c r="A7633" s="3">
        <f>IFERROR(__xludf.DUMMYFUNCTION("""COMPUTED_VALUE"""),40268.666666666664)</f>
        <v>40268.66667</v>
      </c>
      <c r="B7633" s="2">
        <f>IFERROR(__xludf.DUMMYFUNCTION("""COMPUTED_VALUE"""),122.48)</f>
        <v>122.48</v>
      </c>
      <c r="C7633" s="2">
        <f>IFERROR(__xludf.DUMMYFUNCTION("""COMPUTED_VALUE"""),122.98)</f>
        <v>122.98</v>
      </c>
      <c r="D7633" s="2">
        <f>IFERROR(__xludf.DUMMYFUNCTION("""COMPUTED_VALUE"""),121.93)</f>
        <v>121.93</v>
      </c>
      <c r="E7633" s="2">
        <f>IFERROR(__xludf.DUMMYFUNCTION("""COMPUTED_VALUE"""),122.5)</f>
        <v>122.5</v>
      </c>
      <c r="F7633" s="2">
        <f>IFERROR(__xludf.DUMMYFUNCTION("""COMPUTED_VALUE"""),4904711.0)</f>
        <v>4904711</v>
      </c>
    </row>
    <row r="7634">
      <c r="A7634" s="3">
        <f>IFERROR(__xludf.DUMMYFUNCTION("""COMPUTED_VALUE"""),40269.666666666664)</f>
        <v>40269.66667</v>
      </c>
      <c r="B7634" s="2">
        <f>IFERROR(__xludf.DUMMYFUNCTION("""COMPUTED_VALUE"""),123.17)</f>
        <v>123.17</v>
      </c>
      <c r="C7634" s="2">
        <f>IFERROR(__xludf.DUMMYFUNCTION("""COMPUTED_VALUE"""),123.51)</f>
        <v>123.51</v>
      </c>
      <c r="D7634" s="2">
        <f>IFERROR(__xludf.DUMMYFUNCTION("""COMPUTED_VALUE"""),121.83)</f>
        <v>121.83</v>
      </c>
      <c r="E7634" s="2">
        <f>IFERROR(__xludf.DUMMYFUNCTION("""COMPUTED_VALUE"""),122.5)</f>
        <v>122.5</v>
      </c>
      <c r="F7634" s="2">
        <f>IFERROR(__xludf.DUMMYFUNCTION("""COMPUTED_VALUE"""),4980625.0)</f>
        <v>4980625</v>
      </c>
    </row>
    <row r="7635">
      <c r="A7635" s="3">
        <f>IFERROR(__xludf.DUMMYFUNCTION("""COMPUTED_VALUE"""),40273.666666666664)</f>
        <v>40273.66667</v>
      </c>
      <c r="B7635" s="2">
        <f>IFERROR(__xludf.DUMMYFUNCTION("""COMPUTED_VALUE"""),122.62)</f>
        <v>122.62</v>
      </c>
      <c r="C7635" s="2">
        <f>IFERROR(__xludf.DUMMYFUNCTION("""COMPUTED_VALUE"""),123.98)</f>
        <v>123.98</v>
      </c>
      <c r="D7635" s="2">
        <f>IFERROR(__xludf.DUMMYFUNCTION("""COMPUTED_VALUE"""),122.39)</f>
        <v>122.39</v>
      </c>
      <c r="E7635" s="2">
        <f>IFERROR(__xludf.DUMMYFUNCTION("""COMPUTED_VALUE"""),123.55)</f>
        <v>123.55</v>
      </c>
      <c r="F7635" s="2">
        <f>IFERROR(__xludf.DUMMYFUNCTION("""COMPUTED_VALUE"""),4118884.0)</f>
        <v>4118884</v>
      </c>
    </row>
    <row r="7636">
      <c r="A7636" s="3">
        <f>IFERROR(__xludf.DUMMYFUNCTION("""COMPUTED_VALUE"""),40274.666666666664)</f>
        <v>40274.66667</v>
      </c>
      <c r="B7636" s="2">
        <f>IFERROR(__xludf.DUMMYFUNCTION("""COMPUTED_VALUE"""),122.91)</f>
        <v>122.91</v>
      </c>
      <c r="C7636" s="2">
        <f>IFERROR(__xludf.DUMMYFUNCTION("""COMPUTED_VALUE"""),123.5)</f>
        <v>123.5</v>
      </c>
      <c r="D7636" s="2">
        <f>IFERROR(__xludf.DUMMYFUNCTION("""COMPUTED_VALUE"""),122.31)</f>
        <v>122.31</v>
      </c>
      <c r="E7636" s="2">
        <f>IFERROR(__xludf.DUMMYFUNCTION("""COMPUTED_VALUE"""),123.15)</f>
        <v>123.15</v>
      </c>
      <c r="F7636" s="2">
        <f>IFERROR(__xludf.DUMMYFUNCTION("""COMPUTED_VALUE"""),3926409.0)</f>
        <v>3926409</v>
      </c>
    </row>
    <row r="7637">
      <c r="A7637" s="3">
        <f>IFERROR(__xludf.DUMMYFUNCTION("""COMPUTED_VALUE"""),40275.666666666664)</f>
        <v>40275.66667</v>
      </c>
      <c r="B7637" s="2">
        <f>IFERROR(__xludf.DUMMYFUNCTION("""COMPUTED_VALUE"""),122.77)</f>
        <v>122.77</v>
      </c>
      <c r="C7637" s="2">
        <f>IFERROR(__xludf.DUMMYFUNCTION("""COMPUTED_VALUE"""),123.47)</f>
        <v>123.47</v>
      </c>
      <c r="D7637" s="2">
        <f>IFERROR(__xludf.DUMMYFUNCTION("""COMPUTED_VALUE"""),122.27)</f>
        <v>122.27</v>
      </c>
      <c r="E7637" s="2">
        <f>IFERROR(__xludf.DUMMYFUNCTION("""COMPUTED_VALUE"""),122.72)</f>
        <v>122.72</v>
      </c>
      <c r="F7637" s="2">
        <f>IFERROR(__xludf.DUMMYFUNCTION("""COMPUTED_VALUE"""),5157358.0)</f>
        <v>5157358</v>
      </c>
    </row>
    <row r="7638">
      <c r="A7638" s="3">
        <f>IFERROR(__xludf.DUMMYFUNCTION("""COMPUTED_VALUE"""),40276.666666666664)</f>
        <v>40276.66667</v>
      </c>
      <c r="B7638" s="2">
        <f>IFERROR(__xludf.DUMMYFUNCTION("""COMPUTED_VALUE"""),122.3)</f>
        <v>122.3</v>
      </c>
      <c r="C7638" s="2">
        <f>IFERROR(__xludf.DUMMYFUNCTION("""COMPUTED_VALUE"""),122.48)</f>
        <v>122.48</v>
      </c>
      <c r="D7638" s="2">
        <f>IFERROR(__xludf.DUMMYFUNCTION("""COMPUTED_VALUE"""),121.5)</f>
        <v>121.5</v>
      </c>
      <c r="E7638" s="2">
        <f>IFERROR(__xludf.DUMMYFUNCTION("""COMPUTED_VALUE"""),121.89)</f>
        <v>121.89</v>
      </c>
      <c r="F7638" s="2">
        <f>IFERROR(__xludf.DUMMYFUNCTION("""COMPUTED_VALUE"""),6006833.0)</f>
        <v>6006833</v>
      </c>
    </row>
    <row r="7639">
      <c r="A7639" s="3">
        <f>IFERROR(__xludf.DUMMYFUNCTION("""COMPUTED_VALUE"""),40277.666666666664)</f>
        <v>40277.66667</v>
      </c>
      <c r="B7639" s="2">
        <f>IFERROR(__xludf.DUMMYFUNCTION("""COMPUTED_VALUE"""),122.15)</f>
        <v>122.15</v>
      </c>
      <c r="C7639" s="2">
        <f>IFERROR(__xludf.DUMMYFUNCTION("""COMPUTED_VALUE"""),123.09)</f>
        <v>123.09</v>
      </c>
      <c r="D7639" s="2">
        <f>IFERROR(__xludf.DUMMYFUNCTION("""COMPUTED_VALUE"""),121.42)</f>
        <v>121.42</v>
      </c>
      <c r="E7639" s="2">
        <f>IFERROR(__xludf.DUMMYFUNCTION("""COMPUTED_VALUE"""),122.99)</f>
        <v>122.99</v>
      </c>
      <c r="F7639" s="2">
        <f>IFERROR(__xludf.DUMMYFUNCTION("""COMPUTED_VALUE"""),5186516.0)</f>
        <v>5186516</v>
      </c>
    </row>
    <row r="7640">
      <c r="A7640" s="3">
        <f>IFERROR(__xludf.DUMMYFUNCTION("""COMPUTED_VALUE"""),40280.666666666664)</f>
        <v>40280.66667</v>
      </c>
      <c r="B7640" s="2">
        <f>IFERROR(__xludf.DUMMYFUNCTION("""COMPUTED_VALUE"""),122.81)</f>
        <v>122.81</v>
      </c>
      <c r="C7640" s="2">
        <f>IFERROR(__xludf.DUMMYFUNCTION("""COMPUTED_VALUE"""),123.17)</f>
        <v>123.17</v>
      </c>
      <c r="D7640" s="2">
        <f>IFERROR(__xludf.DUMMYFUNCTION("""COMPUTED_VALUE"""),122.49)</f>
        <v>122.49</v>
      </c>
      <c r="E7640" s="2">
        <f>IFERROR(__xludf.DUMMYFUNCTION("""COMPUTED_VALUE"""),122.6)</f>
        <v>122.6</v>
      </c>
      <c r="F7640" s="2">
        <f>IFERROR(__xludf.DUMMYFUNCTION("""COMPUTED_VALUE"""),3994168.0)</f>
        <v>3994168</v>
      </c>
    </row>
    <row r="7641">
      <c r="A7641" s="3">
        <f>IFERROR(__xludf.DUMMYFUNCTION("""COMPUTED_VALUE"""),40281.666666666664)</f>
        <v>40281.66667</v>
      </c>
      <c r="B7641" s="2">
        <f>IFERROR(__xludf.DUMMYFUNCTION("""COMPUTED_VALUE"""),122.51)</f>
        <v>122.51</v>
      </c>
      <c r="C7641" s="2">
        <f>IFERROR(__xludf.DUMMYFUNCTION("""COMPUTED_VALUE"""),123.63)</f>
        <v>123.63</v>
      </c>
      <c r="D7641" s="2">
        <f>IFERROR(__xludf.DUMMYFUNCTION("""COMPUTED_VALUE"""),122.11)</f>
        <v>122.11</v>
      </c>
      <c r="E7641" s="2">
        <f>IFERROR(__xludf.DUMMYFUNCTION("""COMPUTED_VALUE"""),123.24)</f>
        <v>123.24</v>
      </c>
      <c r="F7641" s="2">
        <f>IFERROR(__xludf.DUMMYFUNCTION("""COMPUTED_VALUE"""),6821802.0)</f>
        <v>6821802</v>
      </c>
    </row>
    <row r="7642">
      <c r="A7642" s="3">
        <f>IFERROR(__xludf.DUMMYFUNCTION("""COMPUTED_VALUE"""),40282.666666666664)</f>
        <v>40282.66667</v>
      </c>
      <c r="B7642" s="2">
        <f>IFERROR(__xludf.DUMMYFUNCTION("""COMPUTED_VALUE"""),123.91)</f>
        <v>123.91</v>
      </c>
      <c r="C7642" s="2">
        <f>IFERROR(__xludf.DUMMYFUNCTION("""COMPUTED_VALUE"""),125.53)</f>
        <v>125.53</v>
      </c>
      <c r="D7642" s="2">
        <f>IFERROR(__xludf.DUMMYFUNCTION("""COMPUTED_VALUE"""),123.66)</f>
        <v>123.66</v>
      </c>
      <c r="E7642" s="2">
        <f>IFERROR(__xludf.DUMMYFUNCTION("""COMPUTED_VALUE"""),125.37)</f>
        <v>125.37</v>
      </c>
      <c r="F7642" s="2">
        <f>IFERROR(__xludf.DUMMYFUNCTION("""COMPUTED_VALUE"""),8545857.0)</f>
        <v>8545857</v>
      </c>
    </row>
    <row r="7643">
      <c r="A7643" s="3">
        <f>IFERROR(__xludf.DUMMYFUNCTION("""COMPUTED_VALUE"""),40283.666666666664)</f>
        <v>40283.66667</v>
      </c>
      <c r="B7643" s="2">
        <f>IFERROR(__xludf.DUMMYFUNCTION("""COMPUTED_VALUE"""),124.68)</f>
        <v>124.68</v>
      </c>
      <c r="C7643" s="2">
        <f>IFERROR(__xludf.DUMMYFUNCTION("""COMPUTED_VALUE"""),125.26)</f>
        <v>125.26</v>
      </c>
      <c r="D7643" s="2">
        <f>IFERROR(__xludf.DUMMYFUNCTION("""COMPUTED_VALUE"""),124.35)</f>
        <v>124.35</v>
      </c>
      <c r="E7643" s="2">
        <f>IFERROR(__xludf.DUMMYFUNCTION("""COMPUTED_VALUE"""),125.02)</f>
        <v>125.02</v>
      </c>
      <c r="F7643" s="2">
        <f>IFERROR(__xludf.DUMMYFUNCTION("""COMPUTED_VALUE"""),6425399.0)</f>
        <v>6425399</v>
      </c>
    </row>
    <row r="7644">
      <c r="A7644" s="3">
        <f>IFERROR(__xludf.DUMMYFUNCTION("""COMPUTED_VALUE"""),40284.666666666664)</f>
        <v>40284.66667</v>
      </c>
      <c r="B7644" s="2">
        <f>IFERROR(__xludf.DUMMYFUNCTION("""COMPUTED_VALUE"""),124.82)</f>
        <v>124.82</v>
      </c>
      <c r="C7644" s="2">
        <f>IFERROR(__xludf.DUMMYFUNCTION("""COMPUTED_VALUE"""),126.24)</f>
        <v>126.24</v>
      </c>
      <c r="D7644" s="2">
        <f>IFERROR(__xludf.DUMMYFUNCTION("""COMPUTED_VALUE"""),124.41)</f>
        <v>124.41</v>
      </c>
      <c r="E7644" s="2">
        <f>IFERROR(__xludf.DUMMYFUNCTION("""COMPUTED_VALUE"""),124.77)</f>
        <v>124.77</v>
      </c>
      <c r="F7644" s="2">
        <f>IFERROR(__xludf.DUMMYFUNCTION("""COMPUTED_VALUE"""),9549798.0)</f>
        <v>9549798</v>
      </c>
    </row>
    <row r="7645">
      <c r="A7645" s="3">
        <f>IFERROR(__xludf.DUMMYFUNCTION("""COMPUTED_VALUE"""),40287.666666666664)</f>
        <v>40287.66667</v>
      </c>
      <c r="B7645" s="2">
        <f>IFERROR(__xludf.DUMMYFUNCTION("""COMPUTED_VALUE"""),124.53)</f>
        <v>124.53</v>
      </c>
      <c r="C7645" s="2">
        <f>IFERROR(__xludf.DUMMYFUNCTION("""COMPUTED_VALUE"""),126.35)</f>
        <v>126.35</v>
      </c>
      <c r="D7645" s="2">
        <f>IFERROR(__xludf.DUMMYFUNCTION("""COMPUTED_VALUE"""),124.53)</f>
        <v>124.53</v>
      </c>
      <c r="E7645" s="2">
        <f>IFERROR(__xludf.DUMMYFUNCTION("""COMPUTED_VALUE"""),126.3)</f>
        <v>126.3</v>
      </c>
      <c r="F7645" s="2">
        <f>IFERROR(__xludf.DUMMYFUNCTION("""COMPUTED_VALUE"""),1.1353679E7)</f>
        <v>11353679</v>
      </c>
    </row>
    <row r="7646">
      <c r="A7646" s="3">
        <f>IFERROR(__xludf.DUMMYFUNCTION("""COMPUTED_VALUE"""),40288.666666666664)</f>
        <v>40288.66667</v>
      </c>
      <c r="B7646" s="2">
        <f>IFERROR(__xludf.DUMMYFUNCTION("""COMPUTED_VALUE"""),123.41)</f>
        <v>123.41</v>
      </c>
      <c r="C7646" s="2">
        <f>IFERROR(__xludf.DUMMYFUNCTION("""COMPUTED_VALUE"""),124.49)</f>
        <v>124.49</v>
      </c>
      <c r="D7646" s="2">
        <f>IFERROR(__xludf.DUMMYFUNCTION("""COMPUTED_VALUE"""),122.51)</f>
        <v>122.51</v>
      </c>
      <c r="E7646" s="2">
        <f>IFERROR(__xludf.DUMMYFUNCTION("""COMPUTED_VALUE"""),123.88)</f>
        <v>123.88</v>
      </c>
      <c r="F7646" s="2">
        <f>IFERROR(__xludf.DUMMYFUNCTION("""COMPUTED_VALUE"""),1.5218573E7)</f>
        <v>15218573</v>
      </c>
    </row>
    <row r="7647">
      <c r="A7647" s="3">
        <f>IFERROR(__xludf.DUMMYFUNCTION("""COMPUTED_VALUE"""),40289.666666666664)</f>
        <v>40289.66667</v>
      </c>
      <c r="B7647" s="2">
        <f>IFERROR(__xludf.DUMMYFUNCTION("""COMPUTED_VALUE"""),124.05)</f>
        <v>124.05</v>
      </c>
      <c r="C7647" s="2">
        <f>IFERROR(__xludf.DUMMYFUNCTION("""COMPUTED_VALUE"""),124.43)</f>
        <v>124.43</v>
      </c>
      <c r="D7647" s="2">
        <f>IFERROR(__xludf.DUMMYFUNCTION("""COMPUTED_VALUE"""),122.74)</f>
        <v>122.74</v>
      </c>
      <c r="E7647" s="2">
        <f>IFERROR(__xludf.DUMMYFUNCTION("""COMPUTED_VALUE"""),123.21)</f>
        <v>123.21</v>
      </c>
      <c r="F7647" s="2">
        <f>IFERROR(__xludf.DUMMYFUNCTION("""COMPUTED_VALUE"""),7560015.0)</f>
        <v>7560015</v>
      </c>
    </row>
    <row r="7648">
      <c r="A7648" s="3">
        <f>IFERROR(__xludf.DUMMYFUNCTION("""COMPUTED_VALUE"""),40290.666666666664)</f>
        <v>40290.66667</v>
      </c>
      <c r="B7648" s="2">
        <f>IFERROR(__xludf.DUMMYFUNCTION("""COMPUTED_VALUE"""),122.87)</f>
        <v>122.87</v>
      </c>
      <c r="C7648" s="2">
        <f>IFERROR(__xludf.DUMMYFUNCTION("""COMPUTED_VALUE"""),123.56)</f>
        <v>123.56</v>
      </c>
      <c r="D7648" s="2">
        <f>IFERROR(__xludf.DUMMYFUNCTION("""COMPUTED_VALUE"""),122.04)</f>
        <v>122.04</v>
      </c>
      <c r="E7648" s="2">
        <f>IFERROR(__xludf.DUMMYFUNCTION("""COMPUTED_VALUE"""),123.34)</f>
        <v>123.34</v>
      </c>
      <c r="F7648" s="2">
        <f>IFERROR(__xludf.DUMMYFUNCTION("""COMPUTED_VALUE"""),6018690.0)</f>
        <v>6018690</v>
      </c>
    </row>
    <row r="7649">
      <c r="A7649" s="3">
        <f>IFERROR(__xludf.DUMMYFUNCTION("""COMPUTED_VALUE"""),40291.666666666664)</f>
        <v>40291.66667</v>
      </c>
      <c r="B7649" s="2">
        <f>IFERROR(__xludf.DUMMYFUNCTION("""COMPUTED_VALUE"""),123.29)</f>
        <v>123.29</v>
      </c>
      <c r="C7649" s="2">
        <f>IFERROR(__xludf.DUMMYFUNCTION("""COMPUTED_VALUE"""),124.27)</f>
        <v>124.27</v>
      </c>
      <c r="D7649" s="2">
        <f>IFERROR(__xludf.DUMMYFUNCTION("""COMPUTED_VALUE"""),122.94)</f>
        <v>122.94</v>
      </c>
      <c r="E7649" s="2">
        <f>IFERROR(__xludf.DUMMYFUNCTION("""COMPUTED_VALUE"""),124.16)</f>
        <v>124.16</v>
      </c>
      <c r="F7649" s="2">
        <f>IFERROR(__xludf.DUMMYFUNCTION("""COMPUTED_VALUE"""),6197382.0)</f>
        <v>6197382</v>
      </c>
    </row>
    <row r="7650">
      <c r="A7650" s="3">
        <f>IFERROR(__xludf.DUMMYFUNCTION("""COMPUTED_VALUE"""),40294.666666666664)</f>
        <v>40294.66667</v>
      </c>
      <c r="B7650" s="2">
        <f>IFERROR(__xludf.DUMMYFUNCTION("""COMPUTED_VALUE"""),123.94)</f>
        <v>123.94</v>
      </c>
      <c r="C7650" s="2">
        <f>IFERROR(__xludf.DUMMYFUNCTION("""COMPUTED_VALUE"""),125.16)</f>
        <v>125.16</v>
      </c>
      <c r="D7650" s="2">
        <f>IFERROR(__xludf.DUMMYFUNCTION("""COMPUTED_VALUE"""),123.73)</f>
        <v>123.73</v>
      </c>
      <c r="E7650" s="2">
        <f>IFERROR(__xludf.DUMMYFUNCTION("""COMPUTED_VALUE"""),124.87)</f>
        <v>124.87</v>
      </c>
      <c r="F7650" s="2">
        <f>IFERROR(__xludf.DUMMYFUNCTION("""COMPUTED_VALUE"""),5285484.0)</f>
        <v>5285484</v>
      </c>
    </row>
    <row r="7651">
      <c r="A7651" s="3">
        <f>IFERROR(__xludf.DUMMYFUNCTION("""COMPUTED_VALUE"""),40295.666666666664)</f>
        <v>40295.66667</v>
      </c>
      <c r="B7651" s="2">
        <f>IFERROR(__xludf.DUMMYFUNCTION("""COMPUTED_VALUE"""),124.08)</f>
        <v>124.08</v>
      </c>
      <c r="C7651" s="2">
        <f>IFERROR(__xludf.DUMMYFUNCTION("""COMPUTED_VALUE"""),126.08)</f>
        <v>126.08</v>
      </c>
      <c r="D7651" s="2">
        <f>IFERROR(__xludf.DUMMYFUNCTION("""COMPUTED_VALUE"""),122.94)</f>
        <v>122.94</v>
      </c>
      <c r="E7651" s="2">
        <f>IFERROR(__xludf.DUMMYFUNCTION("""COMPUTED_VALUE"""),123.04)</f>
        <v>123.04</v>
      </c>
      <c r="F7651" s="2">
        <f>IFERROR(__xludf.DUMMYFUNCTION("""COMPUTED_VALUE"""),1.091751E7)</f>
        <v>10917510</v>
      </c>
    </row>
    <row r="7652">
      <c r="A7652" s="3">
        <f>IFERROR(__xludf.DUMMYFUNCTION("""COMPUTED_VALUE"""),40296.666666666664)</f>
        <v>40296.66667</v>
      </c>
      <c r="B7652" s="2">
        <f>IFERROR(__xludf.DUMMYFUNCTION("""COMPUTED_VALUE"""),123.6)</f>
        <v>123.6</v>
      </c>
      <c r="C7652" s="2">
        <f>IFERROR(__xludf.DUMMYFUNCTION("""COMPUTED_VALUE"""),124.62)</f>
        <v>124.62</v>
      </c>
      <c r="D7652" s="2">
        <f>IFERROR(__xludf.DUMMYFUNCTION("""COMPUTED_VALUE"""),123.24)</f>
        <v>123.24</v>
      </c>
      <c r="E7652" s="2">
        <f>IFERROR(__xludf.DUMMYFUNCTION("""COMPUTED_VALUE"""),124.27)</f>
        <v>124.27</v>
      </c>
      <c r="F7652" s="2">
        <f>IFERROR(__xludf.DUMMYFUNCTION("""COMPUTED_VALUE"""),7123602.0)</f>
        <v>7123602</v>
      </c>
    </row>
    <row r="7653">
      <c r="A7653" s="3">
        <f>IFERROR(__xludf.DUMMYFUNCTION("""COMPUTED_VALUE"""),40297.666666666664)</f>
        <v>40297.66667</v>
      </c>
      <c r="B7653" s="2">
        <f>IFERROR(__xludf.DUMMYFUNCTION("""COMPUTED_VALUE"""),124.7)</f>
        <v>124.7</v>
      </c>
      <c r="C7653" s="2">
        <f>IFERROR(__xludf.DUMMYFUNCTION("""COMPUTED_VALUE"""),125.33)</f>
        <v>125.33</v>
      </c>
      <c r="D7653" s="2">
        <f>IFERROR(__xludf.DUMMYFUNCTION("""COMPUTED_VALUE"""),124.31)</f>
        <v>124.31</v>
      </c>
      <c r="E7653" s="2">
        <f>IFERROR(__xludf.DUMMYFUNCTION("""COMPUTED_VALUE"""),124.61)</f>
        <v>124.61</v>
      </c>
      <c r="F7653" s="2">
        <f>IFERROR(__xludf.DUMMYFUNCTION("""COMPUTED_VALUE"""),5786888.0)</f>
        <v>5786888</v>
      </c>
    </row>
    <row r="7654">
      <c r="A7654" s="3">
        <f>IFERROR(__xludf.DUMMYFUNCTION("""COMPUTED_VALUE"""),40298.666666666664)</f>
        <v>40298.66667</v>
      </c>
      <c r="B7654" s="2">
        <f>IFERROR(__xludf.DUMMYFUNCTION("""COMPUTED_VALUE"""),124.58)</f>
        <v>124.58</v>
      </c>
      <c r="C7654" s="2">
        <f>IFERROR(__xludf.DUMMYFUNCTION("""COMPUTED_VALUE"""),124.78)</f>
        <v>124.78</v>
      </c>
      <c r="D7654" s="2">
        <f>IFERROR(__xludf.DUMMYFUNCTION("""COMPUTED_VALUE"""),123.06)</f>
        <v>123.06</v>
      </c>
      <c r="E7654" s="2">
        <f>IFERROR(__xludf.DUMMYFUNCTION("""COMPUTED_VALUE"""),123.22)</f>
        <v>123.22</v>
      </c>
      <c r="F7654" s="2">
        <f>IFERROR(__xludf.DUMMYFUNCTION("""COMPUTED_VALUE"""),6266689.0)</f>
        <v>6266689</v>
      </c>
    </row>
    <row r="7655">
      <c r="A7655" s="3">
        <f>IFERROR(__xludf.DUMMYFUNCTION("""COMPUTED_VALUE"""),40301.666666666664)</f>
        <v>40301.66667</v>
      </c>
      <c r="B7655" s="2">
        <f>IFERROR(__xludf.DUMMYFUNCTION("""COMPUTED_VALUE"""),123.59)</f>
        <v>123.59</v>
      </c>
      <c r="C7655" s="2">
        <f>IFERROR(__xludf.DUMMYFUNCTION("""COMPUTED_VALUE"""),124.31)</f>
        <v>124.31</v>
      </c>
      <c r="D7655" s="2">
        <f>IFERROR(__xludf.DUMMYFUNCTION("""COMPUTED_VALUE"""),123.03)</f>
        <v>123.03</v>
      </c>
      <c r="E7655" s="2">
        <f>IFERROR(__xludf.DUMMYFUNCTION("""COMPUTED_VALUE"""),123.79)</f>
        <v>123.79</v>
      </c>
      <c r="F7655" s="2">
        <f>IFERROR(__xludf.DUMMYFUNCTION("""COMPUTED_VALUE"""),4992019.0)</f>
        <v>4992019</v>
      </c>
    </row>
    <row r="7656">
      <c r="A7656" s="3">
        <f>IFERROR(__xludf.DUMMYFUNCTION("""COMPUTED_VALUE"""),40302.666666666664)</f>
        <v>40302.66667</v>
      </c>
      <c r="B7656" s="2">
        <f>IFERROR(__xludf.DUMMYFUNCTION("""COMPUTED_VALUE"""),123.11)</f>
        <v>123.11</v>
      </c>
      <c r="C7656" s="2">
        <f>IFERROR(__xludf.DUMMYFUNCTION("""COMPUTED_VALUE"""),123.15)</f>
        <v>123.15</v>
      </c>
      <c r="D7656" s="2">
        <f>IFERROR(__xludf.DUMMYFUNCTION("""COMPUTED_VALUE"""),120.9)</f>
        <v>120.9</v>
      </c>
      <c r="E7656" s="2">
        <f>IFERROR(__xludf.DUMMYFUNCTION("""COMPUTED_VALUE"""),122.38)</f>
        <v>122.38</v>
      </c>
      <c r="F7656" s="2">
        <f>IFERROR(__xludf.DUMMYFUNCTION("""COMPUTED_VALUE"""),8285289.0)</f>
        <v>8285289</v>
      </c>
    </row>
    <row r="7657">
      <c r="A7657" s="3">
        <f>IFERROR(__xludf.DUMMYFUNCTION("""COMPUTED_VALUE"""),40303.666666666664)</f>
        <v>40303.66667</v>
      </c>
      <c r="B7657" s="2">
        <f>IFERROR(__xludf.DUMMYFUNCTION("""COMPUTED_VALUE"""),121.42)</f>
        <v>121.42</v>
      </c>
      <c r="C7657" s="2">
        <f>IFERROR(__xludf.DUMMYFUNCTION("""COMPUTED_VALUE"""),122.48)</f>
        <v>122.48</v>
      </c>
      <c r="D7657" s="2">
        <f>IFERROR(__xludf.DUMMYFUNCTION("""COMPUTED_VALUE"""),121.18)</f>
        <v>121.18</v>
      </c>
      <c r="E7657" s="2">
        <f>IFERROR(__xludf.DUMMYFUNCTION("""COMPUTED_VALUE"""),121.75)</f>
        <v>121.75</v>
      </c>
      <c r="F7657" s="2">
        <f>IFERROR(__xludf.DUMMYFUNCTION("""COMPUTED_VALUE"""),6072834.0)</f>
        <v>6072834</v>
      </c>
    </row>
    <row r="7658">
      <c r="A7658" s="3">
        <f>IFERROR(__xludf.DUMMYFUNCTION("""COMPUTED_VALUE"""),40304.666666666664)</f>
        <v>40304.66667</v>
      </c>
      <c r="B7658" s="2">
        <f>IFERROR(__xludf.DUMMYFUNCTION("""COMPUTED_VALUE"""),120.63)</f>
        <v>120.63</v>
      </c>
      <c r="C7658" s="2">
        <f>IFERROR(__xludf.DUMMYFUNCTION("""COMPUTED_VALUE"""),122.19)</f>
        <v>122.19</v>
      </c>
      <c r="D7658" s="2">
        <f>IFERROR(__xludf.DUMMYFUNCTION("""COMPUTED_VALUE"""),110.8)</f>
        <v>110.8</v>
      </c>
      <c r="E7658" s="2">
        <f>IFERROR(__xludf.DUMMYFUNCTION("""COMPUTED_VALUE"""),118.36)</f>
        <v>118.36</v>
      </c>
      <c r="F7658" s="2">
        <f>IFERROR(__xludf.DUMMYFUNCTION("""COMPUTED_VALUE"""),1.3169697E7)</f>
        <v>13169697</v>
      </c>
    </row>
    <row r="7659">
      <c r="A7659" s="3">
        <f>IFERROR(__xludf.DUMMYFUNCTION("""COMPUTED_VALUE"""),40305.666666666664)</f>
        <v>40305.66667</v>
      </c>
      <c r="B7659" s="2">
        <f>IFERROR(__xludf.DUMMYFUNCTION("""COMPUTED_VALUE"""),117.83)</f>
        <v>117.83</v>
      </c>
      <c r="C7659" s="2">
        <f>IFERROR(__xludf.DUMMYFUNCTION("""COMPUTED_VALUE"""),118.81)</f>
        <v>118.81</v>
      </c>
      <c r="D7659" s="2">
        <f>IFERROR(__xludf.DUMMYFUNCTION("""COMPUTED_VALUE"""),114.62)</f>
        <v>114.62</v>
      </c>
      <c r="E7659" s="2">
        <f>IFERROR(__xludf.DUMMYFUNCTION("""COMPUTED_VALUE"""),116.63)</f>
        <v>116.63</v>
      </c>
      <c r="F7659" s="2">
        <f>IFERROR(__xludf.DUMMYFUNCTION("""COMPUTED_VALUE"""),1.058534E7)</f>
        <v>10585340</v>
      </c>
    </row>
    <row r="7660">
      <c r="A7660" s="3">
        <f>IFERROR(__xludf.DUMMYFUNCTION("""COMPUTED_VALUE"""),40308.666666666664)</f>
        <v>40308.66667</v>
      </c>
      <c r="B7660" s="2">
        <f>IFERROR(__xludf.DUMMYFUNCTION("""COMPUTED_VALUE"""),120.61)</f>
        <v>120.61</v>
      </c>
      <c r="C7660" s="2">
        <f>IFERROR(__xludf.DUMMYFUNCTION("""COMPUTED_VALUE"""),120.99)</f>
        <v>120.99</v>
      </c>
      <c r="D7660" s="2">
        <f>IFERROR(__xludf.DUMMYFUNCTION("""COMPUTED_VALUE"""),119.45)</f>
        <v>119.45</v>
      </c>
      <c r="E7660" s="2">
        <f>IFERROR(__xludf.DUMMYFUNCTION("""COMPUTED_VALUE"""),120.61)</f>
        <v>120.61</v>
      </c>
      <c r="F7660" s="2">
        <f>IFERROR(__xludf.DUMMYFUNCTION("""COMPUTED_VALUE"""),8464250.0)</f>
        <v>8464250</v>
      </c>
    </row>
    <row r="7661">
      <c r="A7661" s="3">
        <f>IFERROR(__xludf.DUMMYFUNCTION("""COMPUTED_VALUE"""),40309.666666666664)</f>
        <v>40309.66667</v>
      </c>
      <c r="B7661" s="2">
        <f>IFERROR(__xludf.DUMMYFUNCTION("""COMPUTED_VALUE"""),119.6)</f>
        <v>119.6</v>
      </c>
      <c r="C7661" s="2">
        <f>IFERROR(__xludf.DUMMYFUNCTION("""COMPUTED_VALUE"""),122.66)</f>
        <v>122.66</v>
      </c>
      <c r="D7661" s="2">
        <f>IFERROR(__xludf.DUMMYFUNCTION("""COMPUTED_VALUE"""),119.54)</f>
        <v>119.54</v>
      </c>
      <c r="E7661" s="2">
        <f>IFERROR(__xludf.DUMMYFUNCTION("""COMPUTED_VALUE"""),121.2)</f>
        <v>121.2</v>
      </c>
      <c r="F7661" s="2">
        <f>IFERROR(__xludf.DUMMYFUNCTION("""COMPUTED_VALUE"""),6499773.0)</f>
        <v>6499773</v>
      </c>
    </row>
    <row r="7662">
      <c r="A7662" s="3">
        <f>IFERROR(__xludf.DUMMYFUNCTION("""COMPUTED_VALUE"""),40310.666666666664)</f>
        <v>40310.66667</v>
      </c>
      <c r="B7662" s="2">
        <f>IFERROR(__xludf.DUMMYFUNCTION("""COMPUTED_VALUE"""),121.46)</f>
        <v>121.46</v>
      </c>
      <c r="C7662" s="2">
        <f>IFERROR(__xludf.DUMMYFUNCTION("""COMPUTED_VALUE"""),126.89)</f>
        <v>126.89</v>
      </c>
      <c r="D7662" s="2">
        <f>IFERROR(__xludf.DUMMYFUNCTION("""COMPUTED_VALUE"""),121.32)</f>
        <v>121.32</v>
      </c>
      <c r="E7662" s="2">
        <f>IFERROR(__xludf.DUMMYFUNCTION("""COMPUTED_VALUE"""),126.73)</f>
        <v>126.73</v>
      </c>
      <c r="F7662" s="2">
        <f>IFERROR(__xludf.DUMMYFUNCTION("""COMPUTED_VALUE"""),1.6629704E7)</f>
        <v>16629704</v>
      </c>
    </row>
    <row r="7663">
      <c r="A7663" s="3">
        <f>IFERROR(__xludf.DUMMYFUNCTION("""COMPUTED_VALUE"""),40311.666666666664)</f>
        <v>40311.66667</v>
      </c>
      <c r="B7663" s="2">
        <f>IFERROR(__xludf.DUMMYFUNCTION("""COMPUTED_VALUE"""),125.06)</f>
        <v>125.06</v>
      </c>
      <c r="C7663" s="2">
        <f>IFERROR(__xludf.DUMMYFUNCTION("""COMPUTED_VALUE"""),127.13)</f>
        <v>127.13</v>
      </c>
      <c r="D7663" s="2">
        <f>IFERROR(__xludf.DUMMYFUNCTION("""COMPUTED_VALUE"""),124.98)</f>
        <v>124.98</v>
      </c>
      <c r="E7663" s="2">
        <f>IFERROR(__xludf.DUMMYFUNCTION("""COMPUTED_VALUE"""),125.58)</f>
        <v>125.58</v>
      </c>
      <c r="F7663" s="2">
        <f>IFERROR(__xludf.DUMMYFUNCTION("""COMPUTED_VALUE"""),1.0498358E7)</f>
        <v>10498358</v>
      </c>
    </row>
    <row r="7664">
      <c r="A7664" s="3">
        <f>IFERROR(__xludf.DUMMYFUNCTION("""COMPUTED_VALUE"""),40312.666666666664)</f>
        <v>40312.66667</v>
      </c>
      <c r="B7664" s="2">
        <f>IFERROR(__xludf.DUMMYFUNCTION("""COMPUTED_VALUE"""),125.18)</f>
        <v>125.18</v>
      </c>
      <c r="C7664" s="2">
        <f>IFERROR(__xludf.DUMMYFUNCTION("""COMPUTED_VALUE"""),125.77)</f>
        <v>125.77</v>
      </c>
      <c r="D7664" s="2">
        <f>IFERROR(__xludf.DUMMYFUNCTION("""COMPUTED_VALUE"""),123.61)</f>
        <v>123.61</v>
      </c>
      <c r="E7664" s="2">
        <f>IFERROR(__xludf.DUMMYFUNCTION("""COMPUTED_VALUE"""),125.31)</f>
        <v>125.31</v>
      </c>
      <c r="F7664" s="2">
        <f>IFERROR(__xludf.DUMMYFUNCTION("""COMPUTED_VALUE"""),9920567.0)</f>
        <v>9920567</v>
      </c>
    </row>
    <row r="7665">
      <c r="A7665" s="3">
        <f>IFERROR(__xludf.DUMMYFUNCTION("""COMPUTED_VALUE"""),40315.666666666664)</f>
        <v>40315.66667</v>
      </c>
      <c r="B7665" s="2">
        <f>IFERROR(__xludf.DUMMYFUNCTION("""COMPUTED_VALUE"""),124.82)</f>
        <v>124.82</v>
      </c>
      <c r="C7665" s="2">
        <f>IFERROR(__xludf.DUMMYFUNCTION("""COMPUTED_VALUE"""),125.85)</f>
        <v>125.85</v>
      </c>
      <c r="D7665" s="2">
        <f>IFERROR(__xludf.DUMMYFUNCTION("""COMPUTED_VALUE"""),122.93)</f>
        <v>122.93</v>
      </c>
      <c r="E7665" s="2">
        <f>IFERROR(__xludf.DUMMYFUNCTION("""COMPUTED_VALUE"""),124.59)</f>
        <v>124.59</v>
      </c>
      <c r="F7665" s="2">
        <f>IFERROR(__xludf.DUMMYFUNCTION("""COMPUTED_VALUE"""),8924745.0)</f>
        <v>8924745</v>
      </c>
    </row>
    <row r="7666">
      <c r="A7666" s="3">
        <f>IFERROR(__xludf.DUMMYFUNCTION("""COMPUTED_VALUE"""),40316.666666666664)</f>
        <v>40316.66667</v>
      </c>
      <c r="B7666" s="2">
        <f>IFERROR(__xludf.DUMMYFUNCTION("""COMPUTED_VALUE"""),125.37)</f>
        <v>125.37</v>
      </c>
      <c r="C7666" s="2">
        <f>IFERROR(__xludf.DUMMYFUNCTION("""COMPUTED_VALUE"""),126.07)</f>
        <v>126.07</v>
      </c>
      <c r="D7666" s="2">
        <f>IFERROR(__xludf.DUMMYFUNCTION("""COMPUTED_VALUE"""),124.08)</f>
        <v>124.08</v>
      </c>
      <c r="E7666" s="2">
        <f>IFERROR(__xludf.DUMMYFUNCTION("""COMPUTED_VALUE"""),124.12)</f>
        <v>124.12</v>
      </c>
      <c r="F7666" s="2">
        <f>IFERROR(__xludf.DUMMYFUNCTION("""COMPUTED_VALUE"""),9332110.0)</f>
        <v>9332110</v>
      </c>
    </row>
    <row r="7667">
      <c r="A7667" s="3">
        <f>IFERROR(__xludf.DUMMYFUNCTION("""COMPUTED_VALUE"""),40317.666666666664)</f>
        <v>40317.66667</v>
      </c>
      <c r="B7667" s="2">
        <f>IFERROR(__xludf.DUMMYFUNCTION("""COMPUTED_VALUE"""),123.57)</f>
        <v>123.57</v>
      </c>
      <c r="C7667" s="2">
        <f>IFERROR(__xludf.DUMMYFUNCTION("""COMPUTED_VALUE"""),124.65)</f>
        <v>124.65</v>
      </c>
      <c r="D7667" s="2">
        <f>IFERROR(__xludf.DUMMYFUNCTION("""COMPUTED_VALUE"""),122.09)</f>
        <v>122.09</v>
      </c>
      <c r="E7667" s="2">
        <f>IFERROR(__xludf.DUMMYFUNCTION("""COMPUTED_VALUE"""),123.08)</f>
        <v>123.08</v>
      </c>
      <c r="F7667" s="2">
        <f>IFERROR(__xludf.DUMMYFUNCTION("""COMPUTED_VALUE"""),8669840.0)</f>
        <v>8669840</v>
      </c>
    </row>
    <row r="7668">
      <c r="A7668" s="3">
        <f>IFERROR(__xludf.DUMMYFUNCTION("""COMPUTED_VALUE"""),40318.666666666664)</f>
        <v>40318.66667</v>
      </c>
      <c r="B7668" s="2">
        <f>IFERROR(__xludf.DUMMYFUNCTION("""COMPUTED_VALUE"""),121.52)</f>
        <v>121.52</v>
      </c>
      <c r="C7668" s="2">
        <f>IFERROR(__xludf.DUMMYFUNCTION("""COMPUTED_VALUE"""),122.22)</f>
        <v>122.22</v>
      </c>
      <c r="D7668" s="2">
        <f>IFERROR(__xludf.DUMMYFUNCTION("""COMPUTED_VALUE"""),118.13)</f>
        <v>118.13</v>
      </c>
      <c r="E7668" s="2">
        <f>IFERROR(__xludf.DUMMYFUNCTION("""COMPUTED_VALUE"""),118.25)</f>
        <v>118.25</v>
      </c>
      <c r="F7668" s="2">
        <f>IFERROR(__xludf.DUMMYFUNCTION("""COMPUTED_VALUE"""),1.3178148E7)</f>
        <v>13178148</v>
      </c>
    </row>
    <row r="7669">
      <c r="A7669" s="3">
        <f>IFERROR(__xludf.DUMMYFUNCTION("""COMPUTED_VALUE"""),40319.666666666664)</f>
        <v>40319.66667</v>
      </c>
      <c r="B7669" s="2">
        <f>IFERROR(__xludf.DUMMYFUNCTION("""COMPUTED_VALUE"""),116.68)</f>
        <v>116.68</v>
      </c>
      <c r="C7669" s="2">
        <f>IFERROR(__xludf.DUMMYFUNCTION("""COMPUTED_VALUE"""),119.98)</f>
        <v>119.98</v>
      </c>
      <c r="D7669" s="2">
        <f>IFERROR(__xludf.DUMMYFUNCTION("""COMPUTED_VALUE"""),115.96)</f>
        <v>115.96</v>
      </c>
      <c r="E7669" s="2">
        <f>IFERROR(__xludf.DUMMYFUNCTION("""COMPUTED_VALUE"""),119.8)</f>
        <v>119.8</v>
      </c>
      <c r="F7669" s="2">
        <f>IFERROR(__xludf.DUMMYFUNCTION("""COMPUTED_VALUE"""),1.2639577E7)</f>
        <v>12639577</v>
      </c>
    </row>
    <row r="7670">
      <c r="A7670" s="3">
        <f>IFERROR(__xludf.DUMMYFUNCTION("""COMPUTED_VALUE"""),40322.666666666664)</f>
        <v>40322.66667</v>
      </c>
      <c r="B7670" s="2">
        <f>IFERROR(__xludf.DUMMYFUNCTION("""COMPUTED_VALUE"""),119.64)</f>
        <v>119.64</v>
      </c>
      <c r="C7670" s="2">
        <f>IFERROR(__xludf.DUMMYFUNCTION("""COMPUTED_VALUE"""),120.37)</f>
        <v>120.37</v>
      </c>
      <c r="D7670" s="2">
        <f>IFERROR(__xludf.DUMMYFUNCTION("""COMPUTED_VALUE"""),118.48)</f>
        <v>118.48</v>
      </c>
      <c r="E7670" s="2">
        <f>IFERROR(__xludf.DUMMYFUNCTION("""COMPUTED_VALUE"""),118.87)</f>
        <v>118.87</v>
      </c>
      <c r="F7670" s="2">
        <f>IFERROR(__xludf.DUMMYFUNCTION("""COMPUTED_VALUE"""),6876074.0)</f>
        <v>6876074</v>
      </c>
    </row>
    <row r="7671">
      <c r="A7671" s="3">
        <f>IFERROR(__xludf.DUMMYFUNCTION("""COMPUTED_VALUE"""),40323.666666666664)</f>
        <v>40323.66667</v>
      </c>
      <c r="B7671" s="2">
        <f>IFERROR(__xludf.DUMMYFUNCTION("""COMPUTED_VALUE"""),116.02)</f>
        <v>116.02</v>
      </c>
      <c r="C7671" s="2">
        <f>IFERROR(__xludf.DUMMYFUNCTION("""COMPUTED_VALUE"""),119.35)</f>
        <v>119.35</v>
      </c>
      <c r="D7671" s="2">
        <f>IFERROR(__xludf.DUMMYFUNCTION("""COMPUTED_VALUE"""),116.02)</f>
        <v>116.02</v>
      </c>
      <c r="E7671" s="2">
        <f>IFERROR(__xludf.DUMMYFUNCTION("""COMPUTED_VALUE"""),118.94)</f>
        <v>118.94</v>
      </c>
      <c r="F7671" s="2">
        <f>IFERROR(__xludf.DUMMYFUNCTION("""COMPUTED_VALUE"""),9498873.0)</f>
        <v>9498873</v>
      </c>
    </row>
    <row r="7672">
      <c r="A7672" s="3">
        <f>IFERROR(__xludf.DUMMYFUNCTION("""COMPUTED_VALUE"""),40324.666666666664)</f>
        <v>40324.66667</v>
      </c>
      <c r="B7672" s="2">
        <f>IFERROR(__xludf.DUMMYFUNCTION("""COMPUTED_VALUE"""),119.29)</f>
        <v>119.29</v>
      </c>
      <c r="C7672" s="2">
        <f>IFERROR(__xludf.DUMMYFUNCTION("""COMPUTED_VALUE"""),120.29)</f>
        <v>120.29</v>
      </c>
      <c r="D7672" s="2">
        <f>IFERROR(__xludf.DUMMYFUNCTION("""COMPUTED_VALUE"""),117.49)</f>
        <v>117.49</v>
      </c>
      <c r="E7672" s="2">
        <f>IFERROR(__xludf.DUMMYFUNCTION("""COMPUTED_VALUE"""),117.7)</f>
        <v>117.7</v>
      </c>
      <c r="F7672" s="2">
        <f>IFERROR(__xludf.DUMMYFUNCTION("""COMPUTED_VALUE"""),9085936.0)</f>
        <v>9085936</v>
      </c>
    </row>
    <row r="7673">
      <c r="A7673" s="3">
        <f>IFERROR(__xludf.DUMMYFUNCTION("""COMPUTED_VALUE"""),40325.666666666664)</f>
        <v>40325.66667</v>
      </c>
      <c r="B7673" s="2">
        <f>IFERROR(__xludf.DUMMYFUNCTION("""COMPUTED_VALUE"""),119.44)</f>
        <v>119.44</v>
      </c>
      <c r="C7673" s="2">
        <f>IFERROR(__xludf.DUMMYFUNCTION("""COMPUTED_VALUE"""),120.72)</f>
        <v>120.72</v>
      </c>
      <c r="D7673" s="2">
        <f>IFERROR(__xludf.DUMMYFUNCTION("""COMPUTED_VALUE"""),119.18)</f>
        <v>119.18</v>
      </c>
      <c r="E7673" s="2">
        <f>IFERROR(__xludf.DUMMYFUNCTION("""COMPUTED_VALUE"""),120.72)</f>
        <v>120.72</v>
      </c>
      <c r="F7673" s="2">
        <f>IFERROR(__xludf.DUMMYFUNCTION("""COMPUTED_VALUE"""),7726560.0)</f>
        <v>7726560</v>
      </c>
    </row>
    <row r="7674">
      <c r="A7674" s="3">
        <f>IFERROR(__xludf.DUMMYFUNCTION("""COMPUTED_VALUE"""),40326.666666666664)</f>
        <v>40326.66667</v>
      </c>
      <c r="B7674" s="2">
        <f>IFERROR(__xludf.DUMMYFUNCTION("""COMPUTED_VALUE"""),120.31)</f>
        <v>120.31</v>
      </c>
      <c r="C7674" s="2">
        <f>IFERROR(__xludf.DUMMYFUNCTION("""COMPUTED_VALUE"""),120.62)</f>
        <v>120.62</v>
      </c>
      <c r="D7674" s="2">
        <f>IFERROR(__xludf.DUMMYFUNCTION("""COMPUTED_VALUE"""),118.72)</f>
        <v>118.72</v>
      </c>
      <c r="E7674" s="2">
        <f>IFERROR(__xludf.DUMMYFUNCTION("""COMPUTED_VALUE"""),119.64)</f>
        <v>119.64</v>
      </c>
      <c r="F7674" s="2">
        <f>IFERROR(__xludf.DUMMYFUNCTION("""COMPUTED_VALUE"""),7422373.0)</f>
        <v>7422373</v>
      </c>
    </row>
    <row r="7675">
      <c r="A7675" s="3">
        <f>IFERROR(__xludf.DUMMYFUNCTION("""COMPUTED_VALUE"""),40330.666666666664)</f>
        <v>40330.66667</v>
      </c>
      <c r="B7675" s="2">
        <f>IFERROR(__xludf.DUMMYFUNCTION("""COMPUTED_VALUE"""),119.1)</f>
        <v>119.1</v>
      </c>
      <c r="C7675" s="2">
        <f>IFERROR(__xludf.DUMMYFUNCTION("""COMPUTED_VALUE"""),121.19)</f>
        <v>121.19</v>
      </c>
      <c r="D7675" s="2">
        <f>IFERROR(__xludf.DUMMYFUNCTION("""COMPUTED_VALUE"""),118.63)</f>
        <v>118.63</v>
      </c>
      <c r="E7675" s="2">
        <f>IFERROR(__xludf.DUMMYFUNCTION("""COMPUTED_VALUE"""),118.77)</f>
        <v>118.77</v>
      </c>
      <c r="F7675" s="2">
        <f>IFERROR(__xludf.DUMMYFUNCTION("""COMPUTED_VALUE"""),7136082.0)</f>
        <v>7136082</v>
      </c>
    </row>
    <row r="7676">
      <c r="A7676" s="3">
        <f>IFERROR(__xludf.DUMMYFUNCTION("""COMPUTED_VALUE"""),40331.666666666664)</f>
        <v>40331.66667</v>
      </c>
      <c r="B7676" s="2">
        <f>IFERROR(__xludf.DUMMYFUNCTION("""COMPUTED_VALUE"""),119.25)</f>
        <v>119.25</v>
      </c>
      <c r="C7676" s="2">
        <f>IFERROR(__xludf.DUMMYFUNCTION("""COMPUTED_VALUE"""),121.78)</f>
        <v>121.78</v>
      </c>
      <c r="D7676" s="2">
        <f>IFERROR(__xludf.DUMMYFUNCTION("""COMPUTED_VALUE"""),118.77)</f>
        <v>118.77</v>
      </c>
      <c r="E7676" s="2">
        <f>IFERROR(__xludf.DUMMYFUNCTION("""COMPUTED_VALUE"""),121.7)</f>
        <v>121.7</v>
      </c>
      <c r="F7676" s="2">
        <f>IFERROR(__xludf.DUMMYFUNCTION("""COMPUTED_VALUE"""),7705556.0)</f>
        <v>7705556</v>
      </c>
    </row>
    <row r="7677">
      <c r="A7677" s="3">
        <f>IFERROR(__xludf.DUMMYFUNCTION("""COMPUTED_VALUE"""),40332.666666666664)</f>
        <v>40332.66667</v>
      </c>
      <c r="B7677" s="2">
        <f>IFERROR(__xludf.DUMMYFUNCTION("""COMPUTED_VALUE"""),122.02)</f>
        <v>122.02</v>
      </c>
      <c r="C7677" s="2">
        <f>IFERROR(__xludf.DUMMYFUNCTION("""COMPUTED_VALUE"""),122.47)</f>
        <v>122.47</v>
      </c>
      <c r="D7677" s="2">
        <f>IFERROR(__xludf.DUMMYFUNCTION("""COMPUTED_VALUE"""),120.79)</f>
        <v>120.79</v>
      </c>
      <c r="E7677" s="2">
        <f>IFERROR(__xludf.DUMMYFUNCTION("""COMPUTED_VALUE"""),122.22)</f>
        <v>122.22</v>
      </c>
      <c r="F7677" s="2">
        <f>IFERROR(__xludf.DUMMYFUNCTION("""COMPUTED_VALUE"""),6645219.0)</f>
        <v>6645219</v>
      </c>
    </row>
    <row r="7678">
      <c r="A7678" s="3">
        <f>IFERROR(__xludf.DUMMYFUNCTION("""COMPUTED_VALUE"""),40333.666666666664)</f>
        <v>40333.66667</v>
      </c>
      <c r="B7678" s="2">
        <f>IFERROR(__xludf.DUMMYFUNCTION("""COMPUTED_VALUE"""),120.7)</f>
        <v>120.7</v>
      </c>
      <c r="C7678" s="2">
        <f>IFERROR(__xludf.DUMMYFUNCTION("""COMPUTED_VALUE"""),121.4)</f>
        <v>121.4</v>
      </c>
      <c r="D7678" s="2">
        <f>IFERROR(__xludf.DUMMYFUNCTION("""COMPUTED_VALUE"""),119.08)</f>
        <v>119.08</v>
      </c>
      <c r="E7678" s="2">
        <f>IFERROR(__xludf.DUMMYFUNCTION("""COMPUTED_VALUE"""),119.66)</f>
        <v>119.66</v>
      </c>
      <c r="F7678" s="2">
        <f>IFERROR(__xludf.DUMMYFUNCTION("""COMPUTED_VALUE"""),9669111.0)</f>
        <v>9669111</v>
      </c>
    </row>
    <row r="7679">
      <c r="A7679" s="3">
        <f>IFERROR(__xludf.DUMMYFUNCTION("""COMPUTED_VALUE"""),40336.666666666664)</f>
        <v>40336.66667</v>
      </c>
      <c r="B7679" s="2">
        <f>IFERROR(__xludf.DUMMYFUNCTION("""COMPUTED_VALUE"""),119.94)</f>
        <v>119.94</v>
      </c>
      <c r="C7679" s="2">
        <f>IFERROR(__xludf.DUMMYFUNCTION("""COMPUTED_VALUE"""),120.22)</f>
        <v>120.22</v>
      </c>
      <c r="D7679" s="2">
        <f>IFERROR(__xludf.DUMMYFUNCTION("""COMPUTED_VALUE"""),118.56)</f>
        <v>118.56</v>
      </c>
      <c r="E7679" s="2">
        <f>IFERROR(__xludf.DUMMYFUNCTION("""COMPUTED_VALUE"""),118.56)</f>
        <v>118.56</v>
      </c>
      <c r="F7679" s="2">
        <f>IFERROR(__xludf.DUMMYFUNCTION("""COMPUTED_VALUE"""),6951325.0)</f>
        <v>6951325</v>
      </c>
    </row>
    <row r="7680">
      <c r="A7680" s="3">
        <f>IFERROR(__xludf.DUMMYFUNCTION("""COMPUTED_VALUE"""),40337.666666666664)</f>
        <v>40337.66667</v>
      </c>
      <c r="B7680" s="2">
        <f>IFERROR(__xludf.DUMMYFUNCTION("""COMPUTED_VALUE"""),118.69)</f>
        <v>118.69</v>
      </c>
      <c r="C7680" s="2">
        <f>IFERROR(__xludf.DUMMYFUNCTION("""COMPUTED_VALUE"""),118.88)</f>
        <v>118.88</v>
      </c>
      <c r="D7680" s="2">
        <f>IFERROR(__xludf.DUMMYFUNCTION("""COMPUTED_VALUE"""),117.31)</f>
        <v>117.31</v>
      </c>
      <c r="E7680" s="2">
        <f>IFERROR(__xludf.DUMMYFUNCTION("""COMPUTED_VALUE"""),118.17)</f>
        <v>118.17</v>
      </c>
      <c r="F7680" s="2">
        <f>IFERROR(__xludf.DUMMYFUNCTION("""COMPUTED_VALUE"""),8399126.0)</f>
        <v>8399126</v>
      </c>
    </row>
    <row r="7681">
      <c r="A7681" s="3">
        <f>IFERROR(__xludf.DUMMYFUNCTION("""COMPUTED_VALUE"""),40338.666666666664)</f>
        <v>40338.66667</v>
      </c>
      <c r="B7681" s="2">
        <f>IFERROR(__xludf.DUMMYFUNCTION("""COMPUTED_VALUE"""),119.23)</f>
        <v>119.23</v>
      </c>
      <c r="C7681" s="2">
        <f>IFERROR(__xludf.DUMMYFUNCTION("""COMPUTED_VALUE"""),120.2)</f>
        <v>120.2</v>
      </c>
      <c r="D7681" s="2">
        <f>IFERROR(__xludf.DUMMYFUNCTION("""COMPUTED_VALUE"""),118.04)</f>
        <v>118.04</v>
      </c>
      <c r="E7681" s="2">
        <f>IFERROR(__xludf.DUMMYFUNCTION("""COMPUTED_VALUE"""),118.34)</f>
        <v>118.34</v>
      </c>
      <c r="F7681" s="2">
        <f>IFERROR(__xludf.DUMMYFUNCTION("""COMPUTED_VALUE"""),7800309.0)</f>
        <v>7800309</v>
      </c>
    </row>
    <row r="7682">
      <c r="A7682" s="3">
        <f>IFERROR(__xludf.DUMMYFUNCTION("""COMPUTED_VALUE"""),40339.666666666664)</f>
        <v>40339.66667</v>
      </c>
      <c r="B7682" s="2">
        <f>IFERROR(__xludf.DUMMYFUNCTION("""COMPUTED_VALUE"""),120.34)</f>
        <v>120.34</v>
      </c>
      <c r="C7682" s="2">
        <f>IFERROR(__xludf.DUMMYFUNCTION("""COMPUTED_VALUE"""),122.47)</f>
        <v>122.47</v>
      </c>
      <c r="D7682" s="2">
        <f>IFERROR(__xludf.DUMMYFUNCTION("""COMPUTED_VALUE"""),120.16)</f>
        <v>120.16</v>
      </c>
      <c r="E7682" s="2">
        <f>IFERROR(__xludf.DUMMYFUNCTION("""COMPUTED_VALUE"""),121.96)</f>
        <v>121.96</v>
      </c>
      <c r="F7682" s="2">
        <f>IFERROR(__xludf.DUMMYFUNCTION("""COMPUTED_VALUE"""),7479610.0)</f>
        <v>7479610</v>
      </c>
    </row>
    <row r="7683">
      <c r="A7683" s="3">
        <f>IFERROR(__xludf.DUMMYFUNCTION("""COMPUTED_VALUE"""),40340.666666666664)</f>
        <v>40340.66667</v>
      </c>
      <c r="B7683" s="2">
        <f>IFERROR(__xludf.DUMMYFUNCTION("""COMPUTED_VALUE"""),121.05)</f>
        <v>121.05</v>
      </c>
      <c r="C7683" s="2">
        <f>IFERROR(__xludf.DUMMYFUNCTION("""COMPUTED_VALUE"""),123.03)</f>
        <v>123.03</v>
      </c>
      <c r="D7683" s="2">
        <f>IFERROR(__xludf.DUMMYFUNCTION("""COMPUTED_VALUE"""),120.77)</f>
        <v>120.77</v>
      </c>
      <c r="E7683" s="2">
        <f>IFERROR(__xludf.DUMMYFUNCTION("""COMPUTED_VALUE"""),122.69)</f>
        <v>122.69</v>
      </c>
      <c r="F7683" s="2">
        <f>IFERROR(__xludf.DUMMYFUNCTION("""COMPUTED_VALUE"""),5827093.0)</f>
        <v>5827093</v>
      </c>
    </row>
    <row r="7684">
      <c r="A7684" s="3">
        <f>IFERROR(__xludf.DUMMYFUNCTION("""COMPUTED_VALUE"""),40343.666666666664)</f>
        <v>40343.66667</v>
      </c>
      <c r="B7684" s="2">
        <f>IFERROR(__xludf.DUMMYFUNCTION("""COMPUTED_VALUE"""),122.74)</f>
        <v>122.74</v>
      </c>
      <c r="C7684" s="2">
        <f>IFERROR(__xludf.DUMMYFUNCTION("""COMPUTED_VALUE"""),124.14)</f>
        <v>124.14</v>
      </c>
      <c r="D7684" s="2">
        <f>IFERROR(__xludf.DUMMYFUNCTION("""COMPUTED_VALUE"""),122.73)</f>
        <v>122.73</v>
      </c>
      <c r="E7684" s="2">
        <f>IFERROR(__xludf.DUMMYFUNCTION("""COMPUTED_VALUE"""),122.74)</f>
        <v>122.74</v>
      </c>
      <c r="F7684" s="2">
        <f>IFERROR(__xludf.DUMMYFUNCTION("""COMPUTED_VALUE"""),6753113.0)</f>
        <v>6753113</v>
      </c>
    </row>
    <row r="7685">
      <c r="A7685" s="3">
        <f>IFERROR(__xludf.DUMMYFUNCTION("""COMPUTED_VALUE"""),40344.666666666664)</f>
        <v>40344.66667</v>
      </c>
      <c r="B7685" s="2">
        <f>IFERROR(__xludf.DUMMYFUNCTION("""COMPUTED_VALUE"""),123.15)</f>
        <v>123.15</v>
      </c>
      <c r="C7685" s="2">
        <f>IFERROR(__xludf.DUMMYFUNCTION("""COMPUTED_VALUE"""),124.12)</f>
        <v>124.12</v>
      </c>
      <c r="D7685" s="2">
        <f>IFERROR(__xludf.DUMMYFUNCTION("""COMPUTED_VALUE"""),122.61)</f>
        <v>122.61</v>
      </c>
      <c r="E7685" s="2">
        <f>IFERROR(__xludf.DUMMYFUNCTION("""COMPUTED_VALUE"""),123.97)</f>
        <v>123.97</v>
      </c>
      <c r="F7685" s="2">
        <f>IFERROR(__xludf.DUMMYFUNCTION("""COMPUTED_VALUE"""),6652612.0)</f>
        <v>6652612</v>
      </c>
    </row>
    <row r="7686">
      <c r="A7686" s="3">
        <f>IFERROR(__xludf.DUMMYFUNCTION("""COMPUTED_VALUE"""),40345.666666666664)</f>
        <v>40345.66667</v>
      </c>
      <c r="B7686" s="2">
        <f>IFERROR(__xludf.DUMMYFUNCTION("""COMPUTED_VALUE"""),122.59)</f>
        <v>122.59</v>
      </c>
      <c r="C7686" s="2">
        <f>IFERROR(__xludf.DUMMYFUNCTION("""COMPUTED_VALUE"""),124.82)</f>
        <v>124.82</v>
      </c>
      <c r="D7686" s="2">
        <f>IFERROR(__xludf.DUMMYFUNCTION("""COMPUTED_VALUE"""),122.59)</f>
        <v>122.59</v>
      </c>
      <c r="E7686" s="2">
        <f>IFERROR(__xludf.DUMMYFUNCTION("""COMPUTED_VALUE"""),124.51)</f>
        <v>124.51</v>
      </c>
      <c r="F7686" s="2">
        <f>IFERROR(__xludf.DUMMYFUNCTION("""COMPUTED_VALUE"""),6400971.0)</f>
        <v>6400971</v>
      </c>
    </row>
    <row r="7687">
      <c r="A7687" s="3">
        <f>IFERROR(__xludf.DUMMYFUNCTION("""COMPUTED_VALUE"""),40346.666666666664)</f>
        <v>40346.66667</v>
      </c>
      <c r="B7687" s="2">
        <f>IFERROR(__xludf.DUMMYFUNCTION("""COMPUTED_VALUE"""),124.24)</f>
        <v>124.24</v>
      </c>
      <c r="C7687" s="2">
        <f>IFERROR(__xludf.DUMMYFUNCTION("""COMPUTED_VALUE"""),125.16)</f>
        <v>125.16</v>
      </c>
      <c r="D7687" s="2">
        <f>IFERROR(__xludf.DUMMYFUNCTION("""COMPUTED_VALUE"""),124.04)</f>
        <v>124.04</v>
      </c>
      <c r="E7687" s="2">
        <f>IFERROR(__xludf.DUMMYFUNCTION("""COMPUTED_VALUE"""),125.11)</f>
        <v>125.11</v>
      </c>
      <c r="F7687" s="2">
        <f>IFERROR(__xludf.DUMMYFUNCTION("""COMPUTED_VALUE"""),5575129.0)</f>
        <v>5575129</v>
      </c>
    </row>
    <row r="7688">
      <c r="A7688" s="3">
        <f>IFERROR(__xludf.DUMMYFUNCTION("""COMPUTED_VALUE"""),40347.666666666664)</f>
        <v>40347.66667</v>
      </c>
      <c r="B7688" s="2">
        <f>IFERROR(__xludf.DUMMYFUNCTION("""COMPUTED_VALUE"""),125.15)</f>
        <v>125.15</v>
      </c>
      <c r="C7688" s="2">
        <f>IFERROR(__xludf.DUMMYFUNCTION("""COMPUTED_VALUE"""),125.37)</f>
        <v>125.37</v>
      </c>
      <c r="D7688" s="2">
        <f>IFERROR(__xludf.DUMMYFUNCTION("""COMPUTED_VALUE"""),124.3)</f>
        <v>124.3</v>
      </c>
      <c r="E7688" s="2">
        <f>IFERROR(__xludf.DUMMYFUNCTION("""COMPUTED_VALUE"""),124.31)</f>
        <v>124.31</v>
      </c>
      <c r="F7688" s="2">
        <f>IFERROR(__xludf.DUMMYFUNCTION("""COMPUTED_VALUE"""),9581587.0)</f>
        <v>9581587</v>
      </c>
    </row>
    <row r="7689">
      <c r="A7689" s="3">
        <f>IFERROR(__xludf.DUMMYFUNCTION("""COMPUTED_VALUE"""),40350.666666666664)</f>
        <v>40350.66667</v>
      </c>
      <c r="B7689" s="2">
        <f>IFERROR(__xludf.DUMMYFUNCTION("""COMPUTED_VALUE"""),125.53)</f>
        <v>125.53</v>
      </c>
      <c r="C7689" s="2">
        <f>IFERROR(__xludf.DUMMYFUNCTION("""COMPUTED_VALUE"""),126.02)</f>
        <v>126.02</v>
      </c>
      <c r="D7689" s="2">
        <f>IFERROR(__xludf.DUMMYFUNCTION("""COMPUTED_VALUE"""),124.38)</f>
        <v>124.38</v>
      </c>
      <c r="E7689" s="2">
        <f>IFERROR(__xludf.DUMMYFUNCTION("""COMPUTED_VALUE"""),124.79)</f>
        <v>124.79</v>
      </c>
      <c r="F7689" s="2">
        <f>IFERROR(__xludf.DUMMYFUNCTION("""COMPUTED_VALUE"""),6857800.0)</f>
        <v>6857800</v>
      </c>
    </row>
    <row r="7690">
      <c r="A7690" s="3">
        <f>IFERROR(__xludf.DUMMYFUNCTION("""COMPUTED_VALUE"""),40351.666666666664)</f>
        <v>40351.66667</v>
      </c>
      <c r="B7690" s="2">
        <f>IFERROR(__xludf.DUMMYFUNCTION("""COMPUTED_VALUE"""),124.52)</f>
        <v>124.52</v>
      </c>
      <c r="C7690" s="2">
        <f>IFERROR(__xludf.DUMMYFUNCTION("""COMPUTED_VALUE"""),125.58)</f>
        <v>125.58</v>
      </c>
      <c r="D7690" s="2">
        <f>IFERROR(__xludf.DUMMYFUNCTION("""COMPUTED_VALUE"""),123.28)</f>
        <v>123.28</v>
      </c>
      <c r="E7690" s="2">
        <f>IFERROR(__xludf.DUMMYFUNCTION("""COMPUTED_VALUE"""),123.5)</f>
        <v>123.5</v>
      </c>
      <c r="F7690" s="2">
        <f>IFERROR(__xludf.DUMMYFUNCTION("""COMPUTED_VALUE"""),6030623.0)</f>
        <v>6030623</v>
      </c>
    </row>
    <row r="7691">
      <c r="A7691" s="3">
        <f>IFERROR(__xludf.DUMMYFUNCTION("""COMPUTED_VALUE"""),40352.666666666664)</f>
        <v>40352.66667</v>
      </c>
      <c r="B7691" s="2">
        <f>IFERROR(__xludf.DUMMYFUNCTION("""COMPUTED_VALUE"""),123.45)</f>
        <v>123.45</v>
      </c>
      <c r="C7691" s="2">
        <f>IFERROR(__xludf.DUMMYFUNCTION("""COMPUTED_VALUE"""),125.58)</f>
        <v>125.58</v>
      </c>
      <c r="D7691" s="2">
        <f>IFERROR(__xludf.DUMMYFUNCTION("""COMPUTED_VALUE"""),123.3)</f>
        <v>123.3</v>
      </c>
      <c r="E7691" s="2">
        <f>IFERROR(__xludf.DUMMYFUNCTION("""COMPUTED_VALUE"""),124.28)</f>
        <v>124.28</v>
      </c>
      <c r="F7691" s="2">
        <f>IFERROR(__xludf.DUMMYFUNCTION("""COMPUTED_VALUE"""),6855741.0)</f>
        <v>6855741</v>
      </c>
    </row>
    <row r="7692">
      <c r="A7692" s="3">
        <f>IFERROR(__xludf.DUMMYFUNCTION("""COMPUTED_VALUE"""),40353.666666666664)</f>
        <v>40353.66667</v>
      </c>
      <c r="B7692" s="2">
        <f>IFERROR(__xludf.DUMMYFUNCTION("""COMPUTED_VALUE"""),123.76)</f>
        <v>123.76</v>
      </c>
      <c r="C7692" s="2">
        <f>IFERROR(__xludf.DUMMYFUNCTION("""COMPUTED_VALUE"""),123.91)</f>
        <v>123.91</v>
      </c>
      <c r="D7692" s="2">
        <f>IFERROR(__xludf.DUMMYFUNCTION("""COMPUTED_VALUE"""),121.97)</f>
        <v>121.97</v>
      </c>
      <c r="E7692" s="2">
        <f>IFERROR(__xludf.DUMMYFUNCTION("""COMPUTED_VALUE"""),122.44)</f>
        <v>122.44</v>
      </c>
      <c r="F7692" s="2">
        <f>IFERROR(__xludf.DUMMYFUNCTION("""COMPUTED_VALUE"""),5565558.0)</f>
        <v>5565558</v>
      </c>
    </row>
    <row r="7693">
      <c r="A7693" s="3">
        <f>IFERROR(__xludf.DUMMYFUNCTION("""COMPUTED_VALUE"""),40354.666666666664)</f>
        <v>40354.66667</v>
      </c>
      <c r="B7693" s="2">
        <f>IFERROR(__xludf.DUMMYFUNCTION("""COMPUTED_VALUE"""),122.59)</f>
        <v>122.59</v>
      </c>
      <c r="C7693" s="2">
        <f>IFERROR(__xludf.DUMMYFUNCTION("""COMPUTED_VALUE"""),123.31)</f>
        <v>123.31</v>
      </c>
      <c r="D7693" s="2">
        <f>IFERROR(__xludf.DUMMYFUNCTION("""COMPUTED_VALUE"""),121.42)</f>
        <v>121.42</v>
      </c>
      <c r="E7693" s="2">
        <f>IFERROR(__xludf.DUMMYFUNCTION("""COMPUTED_VALUE"""),121.42)</f>
        <v>121.42</v>
      </c>
      <c r="F7693" s="2">
        <f>IFERROR(__xludf.DUMMYFUNCTION("""COMPUTED_VALUE"""),1.0420671E7)</f>
        <v>10420671</v>
      </c>
    </row>
    <row r="7694">
      <c r="A7694" s="3">
        <f>IFERROR(__xludf.DUMMYFUNCTION("""COMPUTED_VALUE"""),40357.666666666664)</f>
        <v>40357.66667</v>
      </c>
      <c r="B7694" s="2">
        <f>IFERROR(__xludf.DUMMYFUNCTION("""COMPUTED_VALUE"""),121.93)</f>
        <v>121.93</v>
      </c>
      <c r="C7694" s="2">
        <f>IFERROR(__xludf.DUMMYFUNCTION("""COMPUTED_VALUE"""),123.67)</f>
        <v>123.67</v>
      </c>
      <c r="D7694" s="2">
        <f>IFERROR(__xludf.DUMMYFUNCTION("""COMPUTED_VALUE"""),121.52)</f>
        <v>121.52</v>
      </c>
      <c r="E7694" s="2">
        <f>IFERROR(__xludf.DUMMYFUNCTION("""COMPUTED_VALUE"""),123.2)</f>
        <v>123.2</v>
      </c>
      <c r="F7694" s="2">
        <f>IFERROR(__xludf.DUMMYFUNCTION("""COMPUTED_VALUE"""),6335135.0)</f>
        <v>6335135</v>
      </c>
    </row>
    <row r="7695">
      <c r="A7695" s="3">
        <f>IFERROR(__xludf.DUMMYFUNCTION("""COMPUTED_VALUE"""),40358.666666666664)</f>
        <v>40358.66667</v>
      </c>
      <c r="B7695" s="2">
        <f>IFERROR(__xludf.DUMMYFUNCTION("""COMPUTED_VALUE"""),121.64)</f>
        <v>121.64</v>
      </c>
      <c r="C7695" s="2">
        <f>IFERROR(__xludf.DUMMYFUNCTION("""COMPUTED_VALUE"""),122.64)</f>
        <v>122.64</v>
      </c>
      <c r="D7695" s="2">
        <f>IFERROR(__xludf.DUMMYFUNCTION("""COMPUTED_VALUE"""),118.55)</f>
        <v>118.55</v>
      </c>
      <c r="E7695" s="2">
        <f>IFERROR(__xludf.DUMMYFUNCTION("""COMPUTED_VALUE"""),119.48)</f>
        <v>119.48</v>
      </c>
      <c r="F7695" s="2">
        <f>IFERROR(__xludf.DUMMYFUNCTION("""COMPUTED_VALUE"""),9378799.0)</f>
        <v>9378799</v>
      </c>
    </row>
    <row r="7696">
      <c r="A7696" s="3">
        <f>IFERROR(__xludf.DUMMYFUNCTION("""COMPUTED_VALUE"""),40359.666666666664)</f>
        <v>40359.66667</v>
      </c>
      <c r="B7696" s="2">
        <f>IFERROR(__xludf.DUMMYFUNCTION("""COMPUTED_VALUE"""),119.23)</f>
        <v>119.23</v>
      </c>
      <c r="C7696" s="2">
        <f>IFERROR(__xludf.DUMMYFUNCTION("""COMPUTED_VALUE"""),119.61)</f>
        <v>119.61</v>
      </c>
      <c r="D7696" s="2">
        <f>IFERROR(__xludf.DUMMYFUNCTION("""COMPUTED_VALUE"""),117.49)</f>
        <v>117.49</v>
      </c>
      <c r="E7696" s="2">
        <f>IFERROR(__xludf.DUMMYFUNCTION("""COMPUTED_VALUE"""),117.94)</f>
        <v>117.94</v>
      </c>
      <c r="F7696" s="2">
        <f>IFERROR(__xludf.DUMMYFUNCTION("""COMPUTED_VALUE"""),8017939.0)</f>
        <v>8017939</v>
      </c>
    </row>
    <row r="7697">
      <c r="A7697" s="3">
        <f>IFERROR(__xludf.DUMMYFUNCTION("""COMPUTED_VALUE"""),40360.666666666664)</f>
        <v>40360.66667</v>
      </c>
      <c r="B7697" s="2">
        <f>IFERROR(__xludf.DUMMYFUNCTION("""COMPUTED_VALUE"""),118.01)</f>
        <v>118.01</v>
      </c>
      <c r="C7697" s="2">
        <f>IFERROR(__xludf.DUMMYFUNCTION("""COMPUTED_VALUE"""),118.64)</f>
        <v>118.64</v>
      </c>
      <c r="D7697" s="2">
        <f>IFERROR(__xludf.DUMMYFUNCTION("""COMPUTED_VALUE"""),116.16)</f>
        <v>116.16</v>
      </c>
      <c r="E7697" s="2">
        <f>IFERROR(__xludf.DUMMYFUNCTION("""COMPUTED_VALUE"""),117.07)</f>
        <v>117.07</v>
      </c>
      <c r="F7697" s="2">
        <f>IFERROR(__xludf.DUMMYFUNCTION("""COMPUTED_VALUE"""),9742208.0)</f>
        <v>9742208</v>
      </c>
    </row>
    <row r="7698">
      <c r="A7698" s="3">
        <f>IFERROR(__xludf.DUMMYFUNCTION("""COMPUTED_VALUE"""),40361.666666666664)</f>
        <v>40361.66667</v>
      </c>
      <c r="B7698" s="2">
        <f>IFERROR(__xludf.DUMMYFUNCTION("""COMPUTED_VALUE"""),117.76)</f>
        <v>117.76</v>
      </c>
      <c r="C7698" s="2">
        <f>IFERROR(__xludf.DUMMYFUNCTION("""COMPUTED_VALUE"""),117.76)</f>
        <v>117.76</v>
      </c>
      <c r="D7698" s="2">
        <f>IFERROR(__xludf.DUMMYFUNCTION("""COMPUTED_VALUE"""),115.2)</f>
        <v>115.2</v>
      </c>
      <c r="E7698" s="2">
        <f>IFERROR(__xludf.DUMMYFUNCTION("""COMPUTED_VALUE"""),116.4)</f>
        <v>116.4</v>
      </c>
      <c r="F7698" s="2">
        <f>IFERROR(__xludf.DUMMYFUNCTION("""COMPUTED_VALUE"""),6454413.0)</f>
        <v>6454413</v>
      </c>
    </row>
    <row r="7699">
      <c r="A7699" s="3">
        <f>IFERROR(__xludf.DUMMYFUNCTION("""COMPUTED_VALUE"""),40365.666666666664)</f>
        <v>40365.66667</v>
      </c>
      <c r="B7699" s="2">
        <f>IFERROR(__xludf.DUMMYFUNCTION("""COMPUTED_VALUE"""),118.04)</f>
        <v>118.04</v>
      </c>
      <c r="C7699" s="2">
        <f>IFERROR(__xludf.DUMMYFUNCTION("""COMPUTED_VALUE"""),119.04)</f>
        <v>119.04</v>
      </c>
      <c r="D7699" s="2">
        <f>IFERROR(__xludf.DUMMYFUNCTION("""COMPUTED_VALUE"""),116.69)</f>
        <v>116.69</v>
      </c>
      <c r="E7699" s="2">
        <f>IFERROR(__xludf.DUMMYFUNCTION("""COMPUTED_VALUE"""),117.92)</f>
        <v>117.92</v>
      </c>
      <c r="F7699" s="2">
        <f>IFERROR(__xludf.DUMMYFUNCTION("""COMPUTED_VALUE"""),6348708.0)</f>
        <v>6348708</v>
      </c>
    </row>
    <row r="7700">
      <c r="A7700" s="3">
        <f>IFERROR(__xludf.DUMMYFUNCTION("""COMPUTED_VALUE"""),40366.666666666664)</f>
        <v>40366.66667</v>
      </c>
      <c r="B7700" s="2">
        <f>IFERROR(__xludf.DUMMYFUNCTION("""COMPUTED_VALUE"""),117.93)</f>
        <v>117.93</v>
      </c>
      <c r="C7700" s="2">
        <f>IFERROR(__xludf.DUMMYFUNCTION("""COMPUTED_VALUE"""),121.42)</f>
        <v>121.42</v>
      </c>
      <c r="D7700" s="2">
        <f>IFERROR(__xludf.DUMMYFUNCTION("""COMPUTED_VALUE"""),117.93)</f>
        <v>117.93</v>
      </c>
      <c r="E7700" s="2">
        <f>IFERROR(__xludf.DUMMYFUNCTION("""COMPUTED_VALUE"""),121.31)</f>
        <v>121.31</v>
      </c>
      <c r="F7700" s="2">
        <f>IFERROR(__xludf.DUMMYFUNCTION("""COMPUTED_VALUE"""),7090291.0)</f>
        <v>7090291</v>
      </c>
    </row>
    <row r="7701">
      <c r="A7701" s="3">
        <f>IFERROR(__xludf.DUMMYFUNCTION("""COMPUTED_VALUE"""),40367.666666666664)</f>
        <v>40367.66667</v>
      </c>
      <c r="B7701" s="2">
        <f>IFERROR(__xludf.DUMMYFUNCTION("""COMPUTED_VALUE"""),121.66)</f>
        <v>121.66</v>
      </c>
      <c r="C7701" s="2">
        <f>IFERROR(__xludf.DUMMYFUNCTION("""COMPUTED_VALUE"""),122.4)</f>
        <v>122.4</v>
      </c>
      <c r="D7701" s="2">
        <f>IFERROR(__xludf.DUMMYFUNCTION("""COMPUTED_VALUE"""),121.06)</f>
        <v>121.06</v>
      </c>
      <c r="E7701" s="2">
        <f>IFERROR(__xludf.DUMMYFUNCTION("""COMPUTED_VALUE"""),122.23)</f>
        <v>122.23</v>
      </c>
      <c r="F7701" s="2">
        <f>IFERROR(__xludf.DUMMYFUNCTION("""COMPUTED_VALUE"""),5439963.0)</f>
        <v>5439963</v>
      </c>
    </row>
    <row r="7702">
      <c r="A7702" s="3">
        <f>IFERROR(__xludf.DUMMYFUNCTION("""COMPUTED_VALUE"""),40368.666666666664)</f>
        <v>40368.66667</v>
      </c>
      <c r="B7702" s="2">
        <f>IFERROR(__xludf.DUMMYFUNCTION("""COMPUTED_VALUE"""),122.17)</f>
        <v>122.17</v>
      </c>
      <c r="C7702" s="2">
        <f>IFERROR(__xludf.DUMMYFUNCTION("""COMPUTED_VALUE"""),122.45)</f>
        <v>122.45</v>
      </c>
      <c r="D7702" s="2">
        <f>IFERROR(__xludf.DUMMYFUNCTION("""COMPUTED_VALUE"""),121.58)</f>
        <v>121.58</v>
      </c>
      <c r="E7702" s="2">
        <f>IFERROR(__xludf.DUMMYFUNCTION("""COMPUTED_VALUE"""),122.22)</f>
        <v>122.22</v>
      </c>
      <c r="F7702" s="2">
        <f>IFERROR(__xludf.DUMMYFUNCTION("""COMPUTED_VALUE"""),3898464.0)</f>
        <v>3898464</v>
      </c>
    </row>
    <row r="7703">
      <c r="A7703" s="3">
        <f>IFERROR(__xludf.DUMMYFUNCTION("""COMPUTED_VALUE"""),40371.666666666664)</f>
        <v>40371.66667</v>
      </c>
      <c r="B7703" s="2">
        <f>IFERROR(__xludf.DUMMYFUNCTION("""COMPUTED_VALUE"""),121.66)</f>
        <v>121.66</v>
      </c>
      <c r="C7703" s="2">
        <f>IFERROR(__xludf.DUMMYFUNCTION("""COMPUTED_VALUE"""),123.05)</f>
        <v>123.05</v>
      </c>
      <c r="D7703" s="2">
        <f>IFERROR(__xludf.DUMMYFUNCTION("""COMPUTED_VALUE"""),121.46)</f>
        <v>121.46</v>
      </c>
      <c r="E7703" s="2">
        <f>IFERROR(__xludf.DUMMYFUNCTION("""COMPUTED_VALUE"""),122.9)</f>
        <v>122.9</v>
      </c>
      <c r="F7703" s="2">
        <f>IFERROR(__xludf.DUMMYFUNCTION("""COMPUTED_VALUE"""),4206871.0)</f>
        <v>4206871</v>
      </c>
    </row>
    <row r="7704">
      <c r="A7704" s="3">
        <f>IFERROR(__xludf.DUMMYFUNCTION("""COMPUTED_VALUE"""),40372.666666666664)</f>
        <v>40372.66667</v>
      </c>
      <c r="B7704" s="2">
        <f>IFERROR(__xludf.DUMMYFUNCTION("""COMPUTED_VALUE"""),123.19)</f>
        <v>123.19</v>
      </c>
      <c r="C7704" s="2">
        <f>IFERROR(__xludf.DUMMYFUNCTION("""COMPUTED_VALUE"""),125.11)</f>
        <v>125.11</v>
      </c>
      <c r="D7704" s="2">
        <f>IFERROR(__xludf.DUMMYFUNCTION("""COMPUTED_VALUE"""),122.92)</f>
        <v>122.92</v>
      </c>
      <c r="E7704" s="2">
        <f>IFERROR(__xludf.DUMMYFUNCTION("""COMPUTED_VALUE"""),124.63)</f>
        <v>124.63</v>
      </c>
      <c r="F7704" s="2">
        <f>IFERROR(__xludf.DUMMYFUNCTION("""COMPUTED_VALUE"""),6687660.0)</f>
        <v>6687660</v>
      </c>
    </row>
    <row r="7705">
      <c r="A7705" s="3">
        <f>IFERROR(__xludf.DUMMYFUNCTION("""COMPUTED_VALUE"""),40373.666666666664)</f>
        <v>40373.66667</v>
      </c>
      <c r="B7705" s="2">
        <f>IFERROR(__xludf.DUMMYFUNCTION("""COMPUTED_VALUE"""),123.52)</f>
        <v>123.52</v>
      </c>
      <c r="C7705" s="2">
        <f>IFERROR(__xludf.DUMMYFUNCTION("""COMPUTED_VALUE"""),125.7)</f>
        <v>125.7</v>
      </c>
      <c r="D7705" s="2">
        <f>IFERROR(__xludf.DUMMYFUNCTION("""COMPUTED_VALUE"""),123.35)</f>
        <v>123.35</v>
      </c>
      <c r="E7705" s="2">
        <f>IFERROR(__xludf.DUMMYFUNCTION("""COMPUTED_VALUE"""),124.86)</f>
        <v>124.86</v>
      </c>
      <c r="F7705" s="2">
        <f>IFERROR(__xludf.DUMMYFUNCTION("""COMPUTED_VALUE"""),6607133.0)</f>
        <v>6607133</v>
      </c>
    </row>
    <row r="7706">
      <c r="A7706" s="3">
        <f>IFERROR(__xludf.DUMMYFUNCTION("""COMPUTED_VALUE"""),40374.666666666664)</f>
        <v>40374.66667</v>
      </c>
      <c r="B7706" s="2">
        <f>IFERROR(__xludf.DUMMYFUNCTION("""COMPUTED_VALUE"""),124.05)</f>
        <v>124.05</v>
      </c>
      <c r="C7706" s="2">
        <f>IFERROR(__xludf.DUMMYFUNCTION("""COMPUTED_VALUE"""),125.05)</f>
        <v>125.05</v>
      </c>
      <c r="D7706" s="2">
        <f>IFERROR(__xludf.DUMMYFUNCTION("""COMPUTED_VALUE"""),123.74)</f>
        <v>123.74</v>
      </c>
      <c r="E7706" s="2">
        <f>IFERROR(__xludf.DUMMYFUNCTION("""COMPUTED_VALUE"""),124.86)</f>
        <v>124.86</v>
      </c>
      <c r="F7706" s="2">
        <f>IFERROR(__xludf.DUMMYFUNCTION("""COMPUTED_VALUE"""),6187523.0)</f>
        <v>6187523</v>
      </c>
    </row>
    <row r="7707">
      <c r="A7707" s="3">
        <f>IFERROR(__xludf.DUMMYFUNCTION("""COMPUTED_VALUE"""),40375.666666666664)</f>
        <v>40375.66667</v>
      </c>
      <c r="B7707" s="2">
        <f>IFERROR(__xludf.DUMMYFUNCTION("""COMPUTED_VALUE"""),124.13)</f>
        <v>124.13</v>
      </c>
      <c r="C7707" s="2">
        <f>IFERROR(__xludf.DUMMYFUNCTION("""COMPUTED_VALUE"""),124.31)</f>
        <v>124.31</v>
      </c>
      <c r="D7707" s="2">
        <f>IFERROR(__xludf.DUMMYFUNCTION("""COMPUTED_VALUE"""),122.12)</f>
        <v>122.12</v>
      </c>
      <c r="E7707" s="2">
        <f>IFERROR(__xludf.DUMMYFUNCTION("""COMPUTED_VALUE"""),122.29)</f>
        <v>122.29</v>
      </c>
      <c r="F7707" s="2">
        <f>IFERROR(__xludf.DUMMYFUNCTION("""COMPUTED_VALUE"""),7002854.0)</f>
        <v>7002854</v>
      </c>
    </row>
    <row r="7708">
      <c r="A7708" s="3">
        <f>IFERROR(__xludf.DUMMYFUNCTION("""COMPUTED_VALUE"""),40378.666666666664)</f>
        <v>40378.66667</v>
      </c>
      <c r="B7708" s="2">
        <f>IFERROR(__xludf.DUMMYFUNCTION("""COMPUTED_VALUE"""),122.9)</f>
        <v>122.9</v>
      </c>
      <c r="C7708" s="2">
        <f>IFERROR(__xludf.DUMMYFUNCTION("""COMPUTED_VALUE"""),124.53)</f>
        <v>124.53</v>
      </c>
      <c r="D7708" s="2">
        <f>IFERROR(__xludf.DUMMYFUNCTION("""COMPUTED_VALUE"""),122.61)</f>
        <v>122.61</v>
      </c>
      <c r="E7708" s="2">
        <f>IFERROR(__xludf.DUMMYFUNCTION("""COMPUTED_VALUE"""),123.97)</f>
        <v>123.97</v>
      </c>
      <c r="F7708" s="2">
        <f>IFERROR(__xludf.DUMMYFUNCTION("""COMPUTED_VALUE"""),8388587.0)</f>
        <v>8388587</v>
      </c>
    </row>
    <row r="7709">
      <c r="A7709" s="3">
        <f>IFERROR(__xludf.DUMMYFUNCTION("""COMPUTED_VALUE"""),40379.666666666664)</f>
        <v>40379.66667</v>
      </c>
      <c r="B7709" s="2">
        <f>IFERROR(__xludf.DUMMYFUNCTION("""COMPUTED_VALUE"""),117.46)</f>
        <v>117.46</v>
      </c>
      <c r="C7709" s="2">
        <f>IFERROR(__xludf.DUMMYFUNCTION("""COMPUTED_VALUE"""),120.89)</f>
        <v>120.89</v>
      </c>
      <c r="D7709" s="2">
        <f>IFERROR(__xludf.DUMMYFUNCTION("""COMPUTED_VALUE"""),117.42)</f>
        <v>117.42</v>
      </c>
      <c r="E7709" s="2">
        <f>IFERROR(__xludf.DUMMYFUNCTION("""COMPUTED_VALUE"""),120.88)</f>
        <v>120.88</v>
      </c>
      <c r="F7709" s="2">
        <f>IFERROR(__xludf.DUMMYFUNCTION("""COMPUTED_VALUE"""),1.6340314E7)</f>
        <v>16340314</v>
      </c>
    </row>
    <row r="7710">
      <c r="A7710" s="3">
        <f>IFERROR(__xludf.DUMMYFUNCTION("""COMPUTED_VALUE"""),40380.666666666664)</f>
        <v>40380.66667</v>
      </c>
      <c r="B7710" s="2">
        <f>IFERROR(__xludf.DUMMYFUNCTION("""COMPUTED_VALUE"""),120.77)</f>
        <v>120.77</v>
      </c>
      <c r="C7710" s="2">
        <f>IFERROR(__xludf.DUMMYFUNCTION("""COMPUTED_VALUE"""),120.83)</f>
        <v>120.83</v>
      </c>
      <c r="D7710" s="2">
        <f>IFERROR(__xludf.DUMMYFUNCTION("""COMPUTED_VALUE"""),119.03)</f>
        <v>119.03</v>
      </c>
      <c r="E7710" s="2">
        <f>IFERROR(__xludf.DUMMYFUNCTION("""COMPUTED_VALUE"""),119.65)</f>
        <v>119.65</v>
      </c>
      <c r="F7710" s="2">
        <f>IFERROR(__xludf.DUMMYFUNCTION("""COMPUTED_VALUE"""),8615430.0)</f>
        <v>8615430</v>
      </c>
    </row>
    <row r="7711">
      <c r="A7711" s="3">
        <f>IFERROR(__xludf.DUMMYFUNCTION("""COMPUTED_VALUE"""),40381.666666666664)</f>
        <v>40381.66667</v>
      </c>
      <c r="B7711" s="2">
        <f>IFERROR(__xludf.DUMMYFUNCTION("""COMPUTED_VALUE"""),120.66)</f>
        <v>120.66</v>
      </c>
      <c r="C7711" s="2">
        <f>IFERROR(__xludf.DUMMYFUNCTION("""COMPUTED_VALUE"""),122.05)</f>
        <v>122.05</v>
      </c>
      <c r="D7711" s="2">
        <f>IFERROR(__xludf.DUMMYFUNCTION("""COMPUTED_VALUE"""),120.4)</f>
        <v>120.4</v>
      </c>
      <c r="E7711" s="2">
        <f>IFERROR(__xludf.DUMMYFUNCTION("""COMPUTED_VALUE"""),121.75)</f>
        <v>121.75</v>
      </c>
      <c r="F7711" s="2">
        <f>IFERROR(__xludf.DUMMYFUNCTION("""COMPUTED_VALUE"""),6909088.0)</f>
        <v>6909088</v>
      </c>
    </row>
    <row r="7712">
      <c r="A7712" s="3">
        <f>IFERROR(__xludf.DUMMYFUNCTION("""COMPUTED_VALUE"""),40382.666666666664)</f>
        <v>40382.66667</v>
      </c>
      <c r="B7712" s="2">
        <f>IFERROR(__xludf.DUMMYFUNCTION("""COMPUTED_VALUE"""),121.59)</f>
        <v>121.59</v>
      </c>
      <c r="C7712" s="2">
        <f>IFERROR(__xludf.DUMMYFUNCTION("""COMPUTED_VALUE"""),123.03)</f>
        <v>123.03</v>
      </c>
      <c r="D7712" s="2">
        <f>IFERROR(__xludf.DUMMYFUNCTION("""COMPUTED_VALUE"""),121.31)</f>
        <v>121.31</v>
      </c>
      <c r="E7712" s="2">
        <f>IFERROR(__xludf.DUMMYFUNCTION("""COMPUTED_VALUE"""),122.62)</f>
        <v>122.62</v>
      </c>
      <c r="F7712" s="2">
        <f>IFERROR(__xludf.DUMMYFUNCTION("""COMPUTED_VALUE"""),5077974.0)</f>
        <v>5077974</v>
      </c>
    </row>
    <row r="7713">
      <c r="A7713" s="3">
        <f>IFERROR(__xludf.DUMMYFUNCTION("""COMPUTED_VALUE"""),40385.666666666664)</f>
        <v>40385.66667</v>
      </c>
      <c r="B7713" s="2">
        <f>IFERROR(__xludf.DUMMYFUNCTION("""COMPUTED_VALUE"""),122.43)</f>
        <v>122.43</v>
      </c>
      <c r="C7713" s="2">
        <f>IFERROR(__xludf.DUMMYFUNCTION("""COMPUTED_VALUE"""),122.67)</f>
        <v>122.67</v>
      </c>
      <c r="D7713" s="2">
        <f>IFERROR(__xludf.DUMMYFUNCTION("""COMPUTED_VALUE"""),121.44)</f>
        <v>121.44</v>
      </c>
      <c r="E7713" s="2">
        <f>IFERROR(__xludf.DUMMYFUNCTION("""COMPUTED_VALUE"""),122.65)</f>
        <v>122.65</v>
      </c>
      <c r="F7713" s="2">
        <f>IFERROR(__xludf.DUMMYFUNCTION("""COMPUTED_VALUE"""),4929183.0)</f>
        <v>4929183</v>
      </c>
    </row>
    <row r="7714">
      <c r="A7714" s="3">
        <f>IFERROR(__xludf.DUMMYFUNCTION("""COMPUTED_VALUE"""),40386.666666666664)</f>
        <v>40386.66667</v>
      </c>
      <c r="B7714" s="2">
        <f>IFERROR(__xludf.DUMMYFUNCTION("""COMPUTED_VALUE"""),123.01)</f>
        <v>123.01</v>
      </c>
      <c r="C7714" s="2">
        <f>IFERROR(__xludf.DUMMYFUNCTION("""COMPUTED_VALUE"""),123.38)</f>
        <v>123.38</v>
      </c>
      <c r="D7714" s="2">
        <f>IFERROR(__xludf.DUMMYFUNCTION("""COMPUTED_VALUE"""),122.16)</f>
        <v>122.16</v>
      </c>
      <c r="E7714" s="2">
        <f>IFERROR(__xludf.DUMMYFUNCTION("""COMPUTED_VALUE"""),122.86)</f>
        <v>122.86</v>
      </c>
      <c r="F7714" s="2">
        <f>IFERROR(__xludf.DUMMYFUNCTION("""COMPUTED_VALUE"""),4648527.0)</f>
        <v>4648527</v>
      </c>
    </row>
    <row r="7715">
      <c r="A7715" s="3">
        <f>IFERROR(__xludf.DUMMYFUNCTION("""COMPUTED_VALUE"""),40387.666666666664)</f>
        <v>40387.66667</v>
      </c>
      <c r="B7715" s="2">
        <f>IFERROR(__xludf.DUMMYFUNCTION("""COMPUTED_VALUE"""),122.9)</f>
        <v>122.9</v>
      </c>
      <c r="C7715" s="2">
        <f>IFERROR(__xludf.DUMMYFUNCTION("""COMPUTED_VALUE"""),123.55)</f>
        <v>123.55</v>
      </c>
      <c r="D7715" s="2">
        <f>IFERROR(__xludf.DUMMYFUNCTION("""COMPUTED_VALUE"""),122.15)</f>
        <v>122.15</v>
      </c>
      <c r="E7715" s="2">
        <f>IFERROR(__xludf.DUMMYFUNCTION("""COMPUTED_VALUE"""),122.67)</f>
        <v>122.67</v>
      </c>
      <c r="F7715" s="2">
        <f>IFERROR(__xludf.DUMMYFUNCTION("""COMPUTED_VALUE"""),4252631.0)</f>
        <v>4252631</v>
      </c>
    </row>
    <row r="7716">
      <c r="A7716" s="3">
        <f>IFERROR(__xludf.DUMMYFUNCTION("""COMPUTED_VALUE"""),40388.666666666664)</f>
        <v>40388.66667</v>
      </c>
      <c r="B7716" s="2">
        <f>IFERROR(__xludf.DUMMYFUNCTION("""COMPUTED_VALUE"""),123.27)</f>
        <v>123.27</v>
      </c>
      <c r="C7716" s="2">
        <f>IFERROR(__xludf.DUMMYFUNCTION("""COMPUTED_VALUE"""),123.69)</f>
        <v>123.69</v>
      </c>
      <c r="D7716" s="2">
        <f>IFERROR(__xludf.DUMMYFUNCTION("""COMPUTED_VALUE"""),121.44)</f>
        <v>121.44</v>
      </c>
      <c r="E7716" s="2">
        <f>IFERROR(__xludf.DUMMYFUNCTION("""COMPUTED_VALUE"""),122.28)</f>
        <v>122.28</v>
      </c>
      <c r="F7716" s="2">
        <f>IFERROR(__xludf.DUMMYFUNCTION("""COMPUTED_VALUE"""),8997318.0)</f>
        <v>8997318</v>
      </c>
    </row>
    <row r="7717">
      <c r="A7717" s="3">
        <f>IFERROR(__xludf.DUMMYFUNCTION("""COMPUTED_VALUE"""),40389.666666666664)</f>
        <v>40389.66667</v>
      </c>
      <c r="B7717" s="2">
        <f>IFERROR(__xludf.DUMMYFUNCTION("""COMPUTED_VALUE"""),121.72)</f>
        <v>121.72</v>
      </c>
      <c r="C7717" s="2">
        <f>IFERROR(__xludf.DUMMYFUNCTION("""COMPUTED_VALUE"""),123.2)</f>
        <v>123.2</v>
      </c>
      <c r="D7717" s="2">
        <f>IFERROR(__xludf.DUMMYFUNCTION("""COMPUTED_VALUE"""),121.34)</f>
        <v>121.34</v>
      </c>
      <c r="E7717" s="2">
        <f>IFERROR(__xludf.DUMMYFUNCTION("""COMPUTED_VALUE"""),122.64)</f>
        <v>122.64</v>
      </c>
      <c r="F7717" s="2">
        <f>IFERROR(__xludf.DUMMYFUNCTION("""COMPUTED_VALUE"""),6025837.0)</f>
        <v>6025837</v>
      </c>
    </row>
    <row r="7718">
      <c r="A7718" s="3">
        <f>IFERROR(__xludf.DUMMYFUNCTION("""COMPUTED_VALUE"""),40392.666666666664)</f>
        <v>40392.66667</v>
      </c>
      <c r="B7718" s="2">
        <f>IFERROR(__xludf.DUMMYFUNCTION("""COMPUTED_VALUE"""),123.45)</f>
        <v>123.45</v>
      </c>
      <c r="C7718" s="2">
        <f>IFERROR(__xludf.DUMMYFUNCTION("""COMPUTED_VALUE"""),125.32)</f>
        <v>125.32</v>
      </c>
      <c r="D7718" s="2">
        <f>IFERROR(__xludf.DUMMYFUNCTION("""COMPUTED_VALUE"""),123.45)</f>
        <v>123.45</v>
      </c>
      <c r="E7718" s="2">
        <f>IFERROR(__xludf.DUMMYFUNCTION("""COMPUTED_VALUE"""),124.9)</f>
        <v>124.9</v>
      </c>
      <c r="F7718" s="2">
        <f>IFERROR(__xludf.DUMMYFUNCTION("""COMPUTED_VALUE"""),6437441.0)</f>
        <v>6437441</v>
      </c>
    </row>
    <row r="7719">
      <c r="A7719" s="3">
        <f>IFERROR(__xludf.DUMMYFUNCTION("""COMPUTED_VALUE"""),40393.666666666664)</f>
        <v>40393.66667</v>
      </c>
      <c r="B7719" s="2">
        <f>IFERROR(__xludf.DUMMYFUNCTION("""COMPUTED_VALUE"""),124.2)</f>
        <v>124.2</v>
      </c>
      <c r="C7719" s="2">
        <f>IFERROR(__xludf.DUMMYFUNCTION("""COMPUTED_VALUE"""),125.16)</f>
        <v>125.16</v>
      </c>
      <c r="D7719" s="2">
        <f>IFERROR(__xludf.DUMMYFUNCTION("""COMPUTED_VALUE"""),123.53)</f>
        <v>123.53</v>
      </c>
      <c r="E7719" s="2">
        <f>IFERROR(__xludf.DUMMYFUNCTION("""COMPUTED_VALUE"""),124.52)</f>
        <v>124.52</v>
      </c>
      <c r="F7719" s="2">
        <f>IFERROR(__xludf.DUMMYFUNCTION("""COMPUTED_VALUE"""),5091953.0)</f>
        <v>5091953</v>
      </c>
    </row>
    <row r="7720">
      <c r="A7720" s="3">
        <f>IFERROR(__xludf.DUMMYFUNCTION("""COMPUTED_VALUE"""),40394.666666666664)</f>
        <v>40394.66667</v>
      </c>
      <c r="B7720" s="2">
        <f>IFERROR(__xludf.DUMMYFUNCTION("""COMPUTED_VALUE"""),124.61)</f>
        <v>124.61</v>
      </c>
      <c r="C7720" s="2">
        <f>IFERROR(__xludf.DUMMYFUNCTION("""COMPUTED_VALUE"""),125.6)</f>
        <v>125.6</v>
      </c>
      <c r="D7720" s="2">
        <f>IFERROR(__xludf.DUMMYFUNCTION("""COMPUTED_VALUE"""),124.03)</f>
        <v>124.03</v>
      </c>
      <c r="E7720" s="2">
        <f>IFERROR(__xludf.DUMMYFUNCTION("""COMPUTED_VALUE"""),125.38)</f>
        <v>125.38</v>
      </c>
      <c r="F7720" s="2">
        <f>IFERROR(__xludf.DUMMYFUNCTION("""COMPUTED_VALUE"""),4573074.0)</f>
        <v>4573074</v>
      </c>
    </row>
    <row r="7721">
      <c r="A7721" s="3">
        <f>IFERROR(__xludf.DUMMYFUNCTION("""COMPUTED_VALUE"""),40395.666666666664)</f>
        <v>40395.66667</v>
      </c>
      <c r="B7721" s="2">
        <f>IFERROR(__xludf.DUMMYFUNCTION("""COMPUTED_VALUE"""),124.87)</f>
        <v>124.87</v>
      </c>
      <c r="C7721" s="2">
        <f>IFERROR(__xludf.DUMMYFUNCTION("""COMPUTED_VALUE"""),126.06)</f>
        <v>126.06</v>
      </c>
      <c r="D7721" s="2">
        <f>IFERROR(__xludf.DUMMYFUNCTION("""COMPUTED_VALUE"""),124.68)</f>
        <v>124.68</v>
      </c>
      <c r="E7721" s="2">
        <f>IFERROR(__xludf.DUMMYFUNCTION("""COMPUTED_VALUE"""),125.92)</f>
        <v>125.92</v>
      </c>
      <c r="F7721" s="2">
        <f>IFERROR(__xludf.DUMMYFUNCTION("""COMPUTED_VALUE"""),4523103.0)</f>
        <v>4523103</v>
      </c>
    </row>
    <row r="7722">
      <c r="A7722" s="3">
        <f>IFERROR(__xludf.DUMMYFUNCTION("""COMPUTED_VALUE"""),40396.666666666664)</f>
        <v>40396.66667</v>
      </c>
      <c r="B7722" s="2">
        <f>IFERROR(__xludf.DUMMYFUNCTION("""COMPUTED_VALUE"""),124.56)</f>
        <v>124.56</v>
      </c>
      <c r="C7722" s="2">
        <f>IFERROR(__xludf.DUMMYFUNCTION("""COMPUTED_VALUE"""),124.63)</f>
        <v>124.63</v>
      </c>
      <c r="D7722" s="2">
        <f>IFERROR(__xludf.DUMMYFUNCTION("""COMPUTED_VALUE"""),122.99)</f>
        <v>122.99</v>
      </c>
      <c r="E7722" s="2">
        <f>IFERROR(__xludf.DUMMYFUNCTION("""COMPUTED_VALUE"""),124.31)</f>
        <v>124.31</v>
      </c>
      <c r="F7722" s="2">
        <f>IFERROR(__xludf.DUMMYFUNCTION("""COMPUTED_VALUE"""),6137850.0)</f>
        <v>6137850</v>
      </c>
    </row>
    <row r="7723">
      <c r="A7723" s="3">
        <f>IFERROR(__xludf.DUMMYFUNCTION("""COMPUTED_VALUE"""),40399.666666666664)</f>
        <v>40399.66667</v>
      </c>
      <c r="B7723" s="2">
        <f>IFERROR(__xludf.DUMMYFUNCTION("""COMPUTED_VALUE"""),124.93)</f>
        <v>124.93</v>
      </c>
      <c r="C7723" s="2">
        <f>IFERROR(__xludf.DUMMYFUNCTION("""COMPUTED_VALUE"""),126.41)</f>
        <v>126.41</v>
      </c>
      <c r="D7723" s="2">
        <f>IFERROR(__xludf.DUMMYFUNCTION("""COMPUTED_VALUE"""),124.55)</f>
        <v>124.55</v>
      </c>
      <c r="E7723" s="2">
        <f>IFERROR(__xludf.DUMMYFUNCTION("""COMPUTED_VALUE"""),126.08)</f>
        <v>126.08</v>
      </c>
      <c r="F7723" s="2">
        <f>IFERROR(__xludf.DUMMYFUNCTION("""COMPUTED_VALUE"""),6135341.0)</f>
        <v>6135341</v>
      </c>
    </row>
    <row r="7724">
      <c r="A7724" s="3">
        <f>IFERROR(__xludf.DUMMYFUNCTION("""COMPUTED_VALUE"""),40400.666666666664)</f>
        <v>40400.66667</v>
      </c>
      <c r="B7724" s="2">
        <f>IFERROR(__xludf.DUMMYFUNCTION("""COMPUTED_VALUE"""),125.3)</f>
        <v>125.3</v>
      </c>
      <c r="C7724" s="2">
        <f>IFERROR(__xludf.DUMMYFUNCTION("""COMPUTED_VALUE"""),126.55)</f>
        <v>126.55</v>
      </c>
      <c r="D7724" s="2">
        <f>IFERROR(__xludf.DUMMYFUNCTION("""COMPUTED_VALUE"""),124.91)</f>
        <v>124.91</v>
      </c>
      <c r="E7724" s="2">
        <f>IFERROR(__xludf.DUMMYFUNCTION("""COMPUTED_VALUE"""),125.93)</f>
        <v>125.93</v>
      </c>
      <c r="F7724" s="2">
        <f>IFERROR(__xludf.DUMMYFUNCTION("""COMPUTED_VALUE"""),5471688.0)</f>
        <v>5471688</v>
      </c>
    </row>
    <row r="7725">
      <c r="A7725" s="3">
        <f>IFERROR(__xludf.DUMMYFUNCTION("""COMPUTED_VALUE"""),40401.666666666664)</f>
        <v>40401.66667</v>
      </c>
      <c r="B7725" s="2">
        <f>IFERROR(__xludf.DUMMYFUNCTION("""COMPUTED_VALUE"""),124.83)</f>
        <v>124.83</v>
      </c>
      <c r="C7725" s="2">
        <f>IFERROR(__xludf.DUMMYFUNCTION("""COMPUTED_VALUE"""),124.83)</f>
        <v>124.83</v>
      </c>
      <c r="D7725" s="2">
        <f>IFERROR(__xludf.DUMMYFUNCTION("""COMPUTED_VALUE"""),123.66)</f>
        <v>123.66</v>
      </c>
      <c r="E7725" s="2">
        <f>IFERROR(__xludf.DUMMYFUNCTION("""COMPUTED_VALUE"""),124.01)</f>
        <v>124.01</v>
      </c>
      <c r="F7725" s="2">
        <f>IFERROR(__xludf.DUMMYFUNCTION("""COMPUTED_VALUE"""),6318083.0)</f>
        <v>6318083</v>
      </c>
    </row>
    <row r="7726">
      <c r="A7726" s="3">
        <f>IFERROR(__xludf.DUMMYFUNCTION("""COMPUTED_VALUE"""),40402.666666666664)</f>
        <v>40402.66667</v>
      </c>
      <c r="B7726" s="2">
        <f>IFERROR(__xludf.DUMMYFUNCTION("""COMPUTED_VALUE"""),121.96)</f>
        <v>121.96</v>
      </c>
      <c r="C7726" s="2">
        <f>IFERROR(__xludf.DUMMYFUNCTION("""COMPUTED_VALUE"""),123.01)</f>
        <v>123.01</v>
      </c>
      <c r="D7726" s="2">
        <f>IFERROR(__xludf.DUMMYFUNCTION("""COMPUTED_VALUE"""),121.8)</f>
        <v>121.8</v>
      </c>
      <c r="E7726" s="2">
        <f>IFERROR(__xludf.DUMMYFUNCTION("""COMPUTED_VALUE"""),122.55)</f>
        <v>122.55</v>
      </c>
      <c r="F7726" s="2">
        <f>IFERROR(__xludf.DUMMYFUNCTION("""COMPUTED_VALUE"""),5132391.0)</f>
        <v>5132391</v>
      </c>
    </row>
    <row r="7727">
      <c r="A7727" s="3">
        <f>IFERROR(__xludf.DUMMYFUNCTION("""COMPUTED_VALUE"""),40403.666666666664)</f>
        <v>40403.66667</v>
      </c>
      <c r="B7727" s="2">
        <f>IFERROR(__xludf.DUMMYFUNCTION("""COMPUTED_VALUE"""),122.22)</f>
        <v>122.22</v>
      </c>
      <c r="C7727" s="2">
        <f>IFERROR(__xludf.DUMMYFUNCTION("""COMPUTED_VALUE"""),122.7)</f>
        <v>122.7</v>
      </c>
      <c r="D7727" s="2">
        <f>IFERROR(__xludf.DUMMYFUNCTION("""COMPUTED_VALUE"""),121.62)</f>
        <v>121.62</v>
      </c>
      <c r="E7727" s="2">
        <f>IFERROR(__xludf.DUMMYFUNCTION("""COMPUTED_VALUE"""),122.14)</f>
        <v>122.14</v>
      </c>
      <c r="F7727" s="2">
        <f>IFERROR(__xludf.DUMMYFUNCTION("""COMPUTED_VALUE"""),4670519.0)</f>
        <v>4670519</v>
      </c>
    </row>
    <row r="7728">
      <c r="A7728" s="3">
        <f>IFERROR(__xludf.DUMMYFUNCTION("""COMPUTED_VALUE"""),40406.666666666664)</f>
        <v>40406.66667</v>
      </c>
      <c r="B7728" s="2">
        <f>IFERROR(__xludf.DUMMYFUNCTION("""COMPUTED_VALUE"""),121.75)</f>
        <v>121.75</v>
      </c>
      <c r="C7728" s="2">
        <f>IFERROR(__xludf.DUMMYFUNCTION("""COMPUTED_VALUE"""),122.48)</f>
        <v>122.48</v>
      </c>
      <c r="D7728" s="2">
        <f>IFERROR(__xludf.DUMMYFUNCTION("""COMPUTED_VALUE"""),121.27)</f>
        <v>121.27</v>
      </c>
      <c r="E7728" s="2">
        <f>IFERROR(__xludf.DUMMYFUNCTION("""COMPUTED_VALUE"""),122.04)</f>
        <v>122.04</v>
      </c>
      <c r="F7728" s="2">
        <f>IFERROR(__xludf.DUMMYFUNCTION("""COMPUTED_VALUE"""),4009130.0)</f>
        <v>4009130</v>
      </c>
    </row>
    <row r="7729">
      <c r="A7729" s="3">
        <f>IFERROR(__xludf.DUMMYFUNCTION("""COMPUTED_VALUE"""),40407.666666666664)</f>
        <v>40407.66667</v>
      </c>
      <c r="B7729" s="2">
        <f>IFERROR(__xludf.DUMMYFUNCTION("""COMPUTED_VALUE"""),123.05)</f>
        <v>123.05</v>
      </c>
      <c r="C7729" s="2">
        <f>IFERROR(__xludf.DUMMYFUNCTION("""COMPUTED_VALUE"""),124.03)</f>
        <v>124.03</v>
      </c>
      <c r="D7729" s="2">
        <f>IFERROR(__xludf.DUMMYFUNCTION("""COMPUTED_VALUE"""),122.17)</f>
        <v>122.17</v>
      </c>
      <c r="E7729" s="2">
        <f>IFERROR(__xludf.DUMMYFUNCTION("""COMPUTED_VALUE"""),122.69)</f>
        <v>122.69</v>
      </c>
      <c r="F7729" s="2">
        <f>IFERROR(__xludf.DUMMYFUNCTION("""COMPUTED_VALUE"""),4298556.0)</f>
        <v>4298556</v>
      </c>
    </row>
    <row r="7730">
      <c r="A7730" s="3">
        <f>IFERROR(__xludf.DUMMYFUNCTION("""COMPUTED_VALUE"""),40408.666666666664)</f>
        <v>40408.66667</v>
      </c>
      <c r="B7730" s="2">
        <f>IFERROR(__xludf.DUMMYFUNCTION("""COMPUTED_VALUE"""),123.09)</f>
        <v>123.09</v>
      </c>
      <c r="C7730" s="2">
        <f>IFERROR(__xludf.DUMMYFUNCTION("""COMPUTED_VALUE"""),124.36)</f>
        <v>124.36</v>
      </c>
      <c r="D7730" s="2">
        <f>IFERROR(__xludf.DUMMYFUNCTION("""COMPUTED_VALUE"""),122.07)</f>
        <v>122.07</v>
      </c>
      <c r="E7730" s="2">
        <f>IFERROR(__xludf.DUMMYFUNCTION("""COMPUTED_VALUE"""),123.59)</f>
        <v>123.59</v>
      </c>
      <c r="F7730" s="2">
        <f>IFERROR(__xludf.DUMMYFUNCTION("""COMPUTED_VALUE"""),4883300.0)</f>
        <v>4883300</v>
      </c>
    </row>
    <row r="7731">
      <c r="A7731" s="3">
        <f>IFERROR(__xludf.DUMMYFUNCTION("""COMPUTED_VALUE"""),40409.666666666664)</f>
        <v>40409.66667</v>
      </c>
      <c r="B7731" s="2">
        <f>IFERROR(__xludf.DUMMYFUNCTION("""COMPUTED_VALUE"""),122.9)</f>
        <v>122.9</v>
      </c>
      <c r="C7731" s="2">
        <f>IFERROR(__xludf.DUMMYFUNCTION("""COMPUTED_VALUE"""),123.78)</f>
        <v>123.78</v>
      </c>
      <c r="D7731" s="2">
        <f>IFERROR(__xludf.DUMMYFUNCTION("""COMPUTED_VALUE"""),122.28)</f>
        <v>122.28</v>
      </c>
      <c r="E7731" s="2">
        <f>IFERROR(__xludf.DUMMYFUNCTION("""COMPUTED_VALUE"""),123.12)</f>
        <v>123.12</v>
      </c>
      <c r="F7731" s="2">
        <f>IFERROR(__xludf.DUMMYFUNCTION("""COMPUTED_VALUE"""),5402547.0)</f>
        <v>5402547</v>
      </c>
    </row>
    <row r="7732">
      <c r="A7732" s="3">
        <f>IFERROR(__xludf.DUMMYFUNCTION("""COMPUTED_VALUE"""),40410.666666666664)</f>
        <v>40410.66667</v>
      </c>
      <c r="B7732" s="2">
        <f>IFERROR(__xludf.DUMMYFUNCTION("""COMPUTED_VALUE"""),122.95)</f>
        <v>122.95</v>
      </c>
      <c r="C7732" s="2">
        <f>IFERROR(__xludf.DUMMYFUNCTION("""COMPUTED_VALUE"""),123.2)</f>
        <v>123.2</v>
      </c>
      <c r="D7732" s="2">
        <f>IFERROR(__xludf.DUMMYFUNCTION("""COMPUTED_VALUE"""),121.27)</f>
        <v>121.27</v>
      </c>
      <c r="E7732" s="2">
        <f>IFERROR(__xludf.DUMMYFUNCTION("""COMPUTED_VALUE"""),121.78)</f>
        <v>121.78</v>
      </c>
      <c r="F7732" s="2">
        <f>IFERROR(__xludf.DUMMYFUNCTION("""COMPUTED_VALUE"""),6246279.0)</f>
        <v>6246279</v>
      </c>
    </row>
    <row r="7733">
      <c r="A7733" s="3">
        <f>IFERROR(__xludf.DUMMYFUNCTION("""COMPUTED_VALUE"""),40413.666666666664)</f>
        <v>40413.66667</v>
      </c>
      <c r="B7733" s="2">
        <f>IFERROR(__xludf.DUMMYFUNCTION("""COMPUTED_VALUE"""),121.85)</f>
        <v>121.85</v>
      </c>
      <c r="C7733" s="2">
        <f>IFERROR(__xludf.DUMMYFUNCTION("""COMPUTED_VALUE"""),122.29)</f>
        <v>122.29</v>
      </c>
      <c r="D7733" s="2">
        <f>IFERROR(__xludf.DUMMYFUNCTION("""COMPUTED_VALUE"""),120.77)</f>
        <v>120.77</v>
      </c>
      <c r="E7733" s="2">
        <f>IFERROR(__xludf.DUMMYFUNCTION("""COMPUTED_VALUE"""),120.8)</f>
        <v>120.8</v>
      </c>
      <c r="F7733" s="2">
        <f>IFERROR(__xludf.DUMMYFUNCTION("""COMPUTED_VALUE"""),4034693.0)</f>
        <v>4034693</v>
      </c>
    </row>
    <row r="7734">
      <c r="A7734" s="3">
        <f>IFERROR(__xludf.DUMMYFUNCTION("""COMPUTED_VALUE"""),40414.666666666664)</f>
        <v>40414.66667</v>
      </c>
      <c r="B7734" s="2">
        <f>IFERROR(__xludf.DUMMYFUNCTION("""COMPUTED_VALUE"""),119.6)</f>
        <v>119.6</v>
      </c>
      <c r="C7734" s="2">
        <f>IFERROR(__xludf.DUMMYFUNCTION("""COMPUTED_VALUE"""),120.37)</f>
        <v>120.37</v>
      </c>
      <c r="D7734" s="2">
        <f>IFERROR(__xludf.DUMMYFUNCTION("""COMPUTED_VALUE"""),118.98)</f>
        <v>118.98</v>
      </c>
      <c r="E7734" s="2">
        <f>IFERROR(__xludf.DUMMYFUNCTION("""COMPUTED_VALUE"""),119.3)</f>
        <v>119.3</v>
      </c>
      <c r="F7734" s="2">
        <f>IFERROR(__xludf.DUMMYFUNCTION("""COMPUTED_VALUE"""),5624039.0)</f>
        <v>5624039</v>
      </c>
    </row>
    <row r="7735">
      <c r="A7735" s="3">
        <f>IFERROR(__xludf.DUMMYFUNCTION("""COMPUTED_VALUE"""),40415.666666666664)</f>
        <v>40415.66667</v>
      </c>
      <c r="B7735" s="2">
        <f>IFERROR(__xludf.DUMMYFUNCTION("""COMPUTED_VALUE"""),118.98)</f>
        <v>118.98</v>
      </c>
      <c r="C7735" s="2">
        <f>IFERROR(__xludf.DUMMYFUNCTION("""COMPUTED_VALUE"""),119.97)</f>
        <v>119.97</v>
      </c>
      <c r="D7735" s="2">
        <f>IFERROR(__xludf.DUMMYFUNCTION("""COMPUTED_VALUE"""),118.44)</f>
        <v>118.44</v>
      </c>
      <c r="E7735" s="2">
        <f>IFERROR(__xludf.DUMMYFUNCTION("""COMPUTED_VALUE"""),119.65)</f>
        <v>119.65</v>
      </c>
      <c r="F7735" s="2">
        <f>IFERROR(__xludf.DUMMYFUNCTION("""COMPUTED_VALUE"""),5239579.0)</f>
        <v>5239579</v>
      </c>
    </row>
    <row r="7736">
      <c r="A7736" s="3">
        <f>IFERROR(__xludf.DUMMYFUNCTION("""COMPUTED_VALUE"""),40416.666666666664)</f>
        <v>40416.66667</v>
      </c>
      <c r="B7736" s="2">
        <f>IFERROR(__xludf.DUMMYFUNCTION("""COMPUTED_VALUE"""),120.14)</f>
        <v>120.14</v>
      </c>
      <c r="C7736" s="2">
        <f>IFERROR(__xludf.DUMMYFUNCTION("""COMPUTED_VALUE"""),120.14)</f>
        <v>120.14</v>
      </c>
      <c r="D7736" s="2">
        <f>IFERROR(__xludf.DUMMYFUNCTION("""COMPUTED_VALUE"""),117.28)</f>
        <v>117.28</v>
      </c>
      <c r="E7736" s="2">
        <f>IFERROR(__xludf.DUMMYFUNCTION("""COMPUTED_VALUE"""),117.28)</f>
        <v>117.28</v>
      </c>
      <c r="F7736" s="2">
        <f>IFERROR(__xludf.DUMMYFUNCTION("""COMPUTED_VALUE"""),7748597.0)</f>
        <v>7748597</v>
      </c>
    </row>
    <row r="7737">
      <c r="A7737" s="3">
        <f>IFERROR(__xludf.DUMMYFUNCTION("""COMPUTED_VALUE"""),40417.666666666664)</f>
        <v>40417.66667</v>
      </c>
      <c r="B7737" s="2">
        <f>IFERROR(__xludf.DUMMYFUNCTION("""COMPUTED_VALUE"""),118.28)</f>
        <v>118.28</v>
      </c>
      <c r="C7737" s="2">
        <f>IFERROR(__xludf.DUMMYFUNCTION("""COMPUTED_VALUE"""),119.2)</f>
        <v>119.2</v>
      </c>
      <c r="D7737" s="2">
        <f>IFERROR(__xludf.DUMMYFUNCTION("""COMPUTED_VALUE"""),116.93)</f>
        <v>116.93</v>
      </c>
      <c r="E7737" s="2">
        <f>IFERROR(__xludf.DUMMYFUNCTION("""COMPUTED_VALUE"""),119.14)</f>
        <v>119.14</v>
      </c>
      <c r="F7737" s="2">
        <f>IFERROR(__xludf.DUMMYFUNCTION("""COMPUTED_VALUE"""),6214197.0)</f>
        <v>6214197</v>
      </c>
    </row>
    <row r="7738">
      <c r="A7738" s="3">
        <f>IFERROR(__xludf.DUMMYFUNCTION("""COMPUTED_VALUE"""),40420.666666666664)</f>
        <v>40420.66667</v>
      </c>
      <c r="B7738" s="2">
        <f>IFERROR(__xludf.DUMMYFUNCTION("""COMPUTED_VALUE"""),119.47)</f>
        <v>119.47</v>
      </c>
      <c r="C7738" s="2">
        <f>IFERROR(__xludf.DUMMYFUNCTION("""COMPUTED_VALUE"""),119.65)</f>
        <v>119.65</v>
      </c>
      <c r="D7738" s="2">
        <f>IFERROR(__xludf.DUMMYFUNCTION("""COMPUTED_VALUE"""),117.87)</f>
        <v>117.87</v>
      </c>
      <c r="E7738" s="2">
        <f>IFERROR(__xludf.DUMMYFUNCTION("""COMPUTED_VALUE"""),117.87)</f>
        <v>117.87</v>
      </c>
      <c r="F7738" s="2">
        <f>IFERROR(__xludf.DUMMYFUNCTION("""COMPUTED_VALUE"""),3603963.0)</f>
        <v>3603963</v>
      </c>
    </row>
    <row r="7739">
      <c r="A7739" s="3">
        <f>IFERROR(__xludf.DUMMYFUNCTION("""COMPUTED_VALUE"""),40421.666666666664)</f>
        <v>40421.66667</v>
      </c>
      <c r="B7739" s="2">
        <f>IFERROR(__xludf.DUMMYFUNCTION("""COMPUTED_VALUE"""),117.78)</f>
        <v>117.78</v>
      </c>
      <c r="C7739" s="2">
        <f>IFERROR(__xludf.DUMMYFUNCTION("""COMPUTED_VALUE"""),118.43)</f>
        <v>118.43</v>
      </c>
      <c r="D7739" s="2">
        <f>IFERROR(__xludf.DUMMYFUNCTION("""COMPUTED_VALUE"""),116.8)</f>
        <v>116.8</v>
      </c>
      <c r="E7739" s="2">
        <f>IFERROR(__xludf.DUMMYFUNCTION("""COMPUTED_VALUE"""),117.61)</f>
        <v>117.61</v>
      </c>
      <c r="F7739" s="2">
        <f>IFERROR(__xludf.DUMMYFUNCTION("""COMPUTED_VALUE"""),5624125.0)</f>
        <v>5624125</v>
      </c>
    </row>
    <row r="7740">
      <c r="A7740" s="3">
        <f>IFERROR(__xludf.DUMMYFUNCTION("""COMPUTED_VALUE"""),40422.666666666664)</f>
        <v>40422.66667</v>
      </c>
      <c r="B7740" s="2">
        <f>IFERROR(__xludf.DUMMYFUNCTION("""COMPUTED_VALUE"""),119.69)</f>
        <v>119.69</v>
      </c>
      <c r="C7740" s="2">
        <f>IFERROR(__xludf.DUMMYFUNCTION("""COMPUTED_VALUE"""),120.65)</f>
        <v>120.65</v>
      </c>
      <c r="D7740" s="2">
        <f>IFERROR(__xludf.DUMMYFUNCTION("""COMPUTED_VALUE"""),118.94)</f>
        <v>118.94</v>
      </c>
      <c r="E7740" s="2">
        <f>IFERROR(__xludf.DUMMYFUNCTION("""COMPUTED_VALUE"""),120.13)</f>
        <v>120.13</v>
      </c>
      <c r="F7740" s="2">
        <f>IFERROR(__xludf.DUMMYFUNCTION("""COMPUTED_VALUE"""),5624070.0)</f>
        <v>5624070</v>
      </c>
    </row>
    <row r="7741">
      <c r="A7741" s="3">
        <f>IFERROR(__xludf.DUMMYFUNCTION("""COMPUTED_VALUE"""),40423.666666666664)</f>
        <v>40423.66667</v>
      </c>
      <c r="B7741" s="2">
        <f>IFERROR(__xludf.DUMMYFUNCTION("""COMPUTED_VALUE"""),120.38)</f>
        <v>120.38</v>
      </c>
      <c r="C7741" s="2">
        <f>IFERROR(__xludf.DUMMYFUNCTION("""COMPUTED_VALUE"""),120.57)</f>
        <v>120.57</v>
      </c>
      <c r="D7741" s="2">
        <f>IFERROR(__xludf.DUMMYFUNCTION("""COMPUTED_VALUE"""),119.06)</f>
        <v>119.06</v>
      </c>
      <c r="E7741" s="2">
        <f>IFERROR(__xludf.DUMMYFUNCTION("""COMPUTED_VALUE"""),119.43)</f>
        <v>119.43</v>
      </c>
      <c r="F7741" s="2">
        <f>IFERROR(__xludf.DUMMYFUNCTION("""COMPUTED_VALUE"""),5104538.0)</f>
        <v>5104538</v>
      </c>
    </row>
    <row r="7742">
      <c r="A7742" s="3">
        <f>IFERROR(__xludf.DUMMYFUNCTION("""COMPUTED_VALUE"""),40424.666666666664)</f>
        <v>40424.66667</v>
      </c>
      <c r="B7742" s="2">
        <f>IFERROR(__xludf.DUMMYFUNCTION("""COMPUTED_VALUE"""),120.56)</f>
        <v>120.56</v>
      </c>
      <c r="C7742" s="2">
        <f>IFERROR(__xludf.DUMMYFUNCTION("""COMPUTED_VALUE"""),121.88)</f>
        <v>121.88</v>
      </c>
      <c r="D7742" s="2">
        <f>IFERROR(__xludf.DUMMYFUNCTION("""COMPUTED_VALUE"""),120.26)</f>
        <v>120.26</v>
      </c>
      <c r="E7742" s="2">
        <f>IFERROR(__xludf.DUMMYFUNCTION("""COMPUTED_VALUE"""),121.86)</f>
        <v>121.86</v>
      </c>
      <c r="F7742" s="2">
        <f>IFERROR(__xludf.DUMMYFUNCTION("""COMPUTED_VALUE"""),5144355.0)</f>
        <v>5144355</v>
      </c>
    </row>
    <row r="7743">
      <c r="A7743" s="3">
        <f>IFERROR(__xludf.DUMMYFUNCTION("""COMPUTED_VALUE"""),40428.666666666664)</f>
        <v>40428.66667</v>
      </c>
      <c r="B7743" s="2">
        <f>IFERROR(__xludf.DUMMYFUNCTION("""COMPUTED_VALUE"""),121.3)</f>
        <v>121.3</v>
      </c>
      <c r="C7743" s="2">
        <f>IFERROR(__xludf.DUMMYFUNCTION("""COMPUTED_VALUE"""),121.65)</f>
        <v>121.65</v>
      </c>
      <c r="D7743" s="2">
        <f>IFERROR(__xludf.DUMMYFUNCTION("""COMPUTED_VALUE"""),120.24)</f>
        <v>120.24</v>
      </c>
      <c r="E7743" s="2">
        <f>IFERROR(__xludf.DUMMYFUNCTION("""COMPUTED_VALUE"""),120.3)</f>
        <v>120.3</v>
      </c>
      <c r="F7743" s="2">
        <f>IFERROR(__xludf.DUMMYFUNCTION("""COMPUTED_VALUE"""),4353927.0)</f>
        <v>4353927</v>
      </c>
    </row>
    <row r="7744">
      <c r="A7744" s="3">
        <f>IFERROR(__xludf.DUMMYFUNCTION("""COMPUTED_VALUE"""),40429.666666666664)</f>
        <v>40429.66667</v>
      </c>
      <c r="B7744" s="2">
        <f>IFERROR(__xludf.DUMMYFUNCTION("""COMPUTED_VALUE"""),120.37)</f>
        <v>120.37</v>
      </c>
      <c r="C7744" s="2">
        <f>IFERROR(__xludf.DUMMYFUNCTION("""COMPUTED_VALUE"""),120.85)</f>
        <v>120.85</v>
      </c>
      <c r="D7744" s="2">
        <f>IFERROR(__xludf.DUMMYFUNCTION("""COMPUTED_VALUE"""),119.77)</f>
        <v>119.77</v>
      </c>
      <c r="E7744" s="2">
        <f>IFERROR(__xludf.DUMMYFUNCTION("""COMPUTED_VALUE"""),120.43)</f>
        <v>120.43</v>
      </c>
      <c r="F7744" s="2">
        <f>IFERROR(__xludf.DUMMYFUNCTION("""COMPUTED_VALUE"""),4486438.0)</f>
        <v>4486438</v>
      </c>
    </row>
    <row r="7745">
      <c r="A7745" s="3">
        <f>IFERROR(__xludf.DUMMYFUNCTION("""COMPUTED_VALUE"""),40430.666666666664)</f>
        <v>40430.66667</v>
      </c>
      <c r="B7745" s="2">
        <f>IFERROR(__xludf.DUMMYFUNCTION("""COMPUTED_VALUE"""),121.56)</f>
        <v>121.56</v>
      </c>
      <c r="C7745" s="2">
        <f>IFERROR(__xludf.DUMMYFUNCTION("""COMPUTED_VALUE"""),121.85)</f>
        <v>121.85</v>
      </c>
      <c r="D7745" s="2">
        <f>IFERROR(__xludf.DUMMYFUNCTION("""COMPUTED_VALUE"""),120.49)</f>
        <v>120.49</v>
      </c>
      <c r="E7745" s="2">
        <f>IFERROR(__xludf.DUMMYFUNCTION("""COMPUTED_VALUE"""),120.69)</f>
        <v>120.69</v>
      </c>
      <c r="F7745" s="2">
        <f>IFERROR(__xludf.DUMMYFUNCTION("""COMPUTED_VALUE"""),3437612.0)</f>
        <v>3437612</v>
      </c>
    </row>
    <row r="7746">
      <c r="A7746" s="3">
        <f>IFERROR(__xludf.DUMMYFUNCTION("""COMPUTED_VALUE"""),40431.666666666664)</f>
        <v>40431.66667</v>
      </c>
      <c r="B7746" s="2">
        <f>IFERROR(__xludf.DUMMYFUNCTION("""COMPUTED_VALUE"""),121.3)</f>
        <v>121.3</v>
      </c>
      <c r="C7746" s="2">
        <f>IFERROR(__xludf.DUMMYFUNCTION("""COMPUTED_VALUE"""),122.54)</f>
        <v>122.54</v>
      </c>
      <c r="D7746" s="2">
        <f>IFERROR(__xludf.DUMMYFUNCTION("""COMPUTED_VALUE"""),120.6)</f>
        <v>120.6</v>
      </c>
      <c r="E7746" s="2">
        <f>IFERROR(__xludf.DUMMYFUNCTION("""COMPUTED_VALUE"""),122.25)</f>
        <v>122.25</v>
      </c>
      <c r="F7746" s="2">
        <f>IFERROR(__xludf.DUMMYFUNCTION("""COMPUTED_VALUE"""),4419379.0)</f>
        <v>4419379</v>
      </c>
    </row>
    <row r="7747">
      <c r="A7747" s="3">
        <f>IFERROR(__xludf.DUMMYFUNCTION("""COMPUTED_VALUE"""),40434.666666666664)</f>
        <v>40434.66667</v>
      </c>
      <c r="B7747" s="2">
        <f>IFERROR(__xludf.DUMMYFUNCTION("""COMPUTED_VALUE"""),122.86)</f>
        <v>122.86</v>
      </c>
      <c r="C7747" s="2">
        <f>IFERROR(__xludf.DUMMYFUNCTION("""COMPUTED_VALUE"""),124.17)</f>
        <v>124.17</v>
      </c>
      <c r="D7747" s="2">
        <f>IFERROR(__xludf.DUMMYFUNCTION("""COMPUTED_VALUE"""),122.76)</f>
        <v>122.76</v>
      </c>
      <c r="E7747" s="2">
        <f>IFERROR(__xludf.DUMMYFUNCTION("""COMPUTED_VALUE"""),123.8)</f>
        <v>123.8</v>
      </c>
      <c r="F7747" s="2">
        <f>IFERROR(__xludf.DUMMYFUNCTION("""COMPUTED_VALUE"""),5272370.0)</f>
        <v>5272370</v>
      </c>
    </row>
    <row r="7748">
      <c r="A7748" s="3">
        <f>IFERROR(__xludf.DUMMYFUNCTION("""COMPUTED_VALUE"""),40435.666666666664)</f>
        <v>40435.66667</v>
      </c>
      <c r="B7748" s="2">
        <f>IFERROR(__xludf.DUMMYFUNCTION("""COMPUTED_VALUE"""),122.67)</f>
        <v>122.67</v>
      </c>
      <c r="C7748" s="2">
        <f>IFERROR(__xludf.DUMMYFUNCTION("""COMPUTED_VALUE"""),124.09)</f>
        <v>124.09</v>
      </c>
      <c r="D7748" s="2">
        <f>IFERROR(__xludf.DUMMYFUNCTION("""COMPUTED_VALUE"""),122.67)</f>
        <v>122.67</v>
      </c>
      <c r="E7748" s="2">
        <f>IFERROR(__xludf.DUMMYFUNCTION("""COMPUTED_VALUE"""),123.07)</f>
        <v>123.07</v>
      </c>
      <c r="F7748" s="2">
        <f>IFERROR(__xludf.DUMMYFUNCTION("""COMPUTED_VALUE"""),4851469.0)</f>
        <v>4851469</v>
      </c>
    </row>
    <row r="7749">
      <c r="A7749" s="3">
        <f>IFERROR(__xludf.DUMMYFUNCTION("""COMPUTED_VALUE"""),40436.666666666664)</f>
        <v>40436.66667</v>
      </c>
      <c r="B7749" s="2">
        <f>IFERROR(__xludf.DUMMYFUNCTION("""COMPUTED_VALUE"""),122.88)</f>
        <v>122.88</v>
      </c>
      <c r="C7749" s="2">
        <f>IFERROR(__xludf.DUMMYFUNCTION("""COMPUTED_VALUE"""),124.13)</f>
        <v>124.13</v>
      </c>
      <c r="D7749" s="2">
        <f>IFERROR(__xludf.DUMMYFUNCTION("""COMPUTED_VALUE"""),122.78)</f>
        <v>122.78</v>
      </c>
      <c r="E7749" s="2">
        <f>IFERROR(__xludf.DUMMYFUNCTION("""COMPUTED_VALUE"""),123.63)</f>
        <v>123.63</v>
      </c>
      <c r="F7749" s="2">
        <f>IFERROR(__xludf.DUMMYFUNCTION("""COMPUTED_VALUE"""),4762454.0)</f>
        <v>4762454</v>
      </c>
    </row>
    <row r="7750">
      <c r="A7750" s="3">
        <f>IFERROR(__xludf.DUMMYFUNCTION("""COMPUTED_VALUE"""),40437.666666666664)</f>
        <v>40437.66667</v>
      </c>
      <c r="B7750" s="2">
        <f>IFERROR(__xludf.DUMMYFUNCTION("""COMPUTED_VALUE"""),123.41)</f>
        <v>123.41</v>
      </c>
      <c r="C7750" s="2">
        <f>IFERROR(__xludf.DUMMYFUNCTION("""COMPUTED_VALUE"""),124.12)</f>
        <v>124.12</v>
      </c>
      <c r="D7750" s="2">
        <f>IFERROR(__xludf.DUMMYFUNCTION("""COMPUTED_VALUE"""),123.03)</f>
        <v>123.03</v>
      </c>
      <c r="E7750" s="2">
        <f>IFERROR(__xludf.DUMMYFUNCTION("""COMPUTED_VALUE"""),123.86)</f>
        <v>123.86</v>
      </c>
      <c r="F7750" s="2">
        <f>IFERROR(__xludf.DUMMYFUNCTION("""COMPUTED_VALUE"""),4685578.0)</f>
        <v>4685578</v>
      </c>
    </row>
    <row r="7751">
      <c r="A7751" s="3">
        <f>IFERROR(__xludf.DUMMYFUNCTION("""COMPUTED_VALUE"""),40438.666666666664)</f>
        <v>40438.66667</v>
      </c>
      <c r="B7751" s="2">
        <f>IFERROR(__xludf.DUMMYFUNCTION("""COMPUTED_VALUE"""),124.09)</f>
        <v>124.09</v>
      </c>
      <c r="C7751" s="2">
        <f>IFERROR(__xludf.DUMMYFUNCTION("""COMPUTED_VALUE"""),124.74)</f>
        <v>124.74</v>
      </c>
      <c r="D7751" s="2">
        <f>IFERROR(__xludf.DUMMYFUNCTION("""COMPUTED_VALUE"""),123.88)</f>
        <v>123.88</v>
      </c>
      <c r="E7751" s="2">
        <f>IFERROR(__xludf.DUMMYFUNCTION("""COMPUTED_VALUE"""),124.35)</f>
        <v>124.35</v>
      </c>
      <c r="F7751" s="2">
        <f>IFERROR(__xludf.DUMMYFUNCTION("""COMPUTED_VALUE"""),1.0397659E7)</f>
        <v>10397659</v>
      </c>
    </row>
    <row r="7752">
      <c r="A7752" s="3">
        <f>IFERROR(__xludf.DUMMYFUNCTION("""COMPUTED_VALUE"""),40441.666666666664)</f>
        <v>40441.66667</v>
      </c>
      <c r="B7752" s="2">
        <f>IFERROR(__xludf.DUMMYFUNCTION("""COMPUTED_VALUE"""),124.4)</f>
        <v>124.4</v>
      </c>
      <c r="C7752" s="2">
        <f>IFERROR(__xludf.DUMMYFUNCTION("""COMPUTED_VALUE"""),126.17)</f>
        <v>126.17</v>
      </c>
      <c r="D7752" s="2">
        <f>IFERROR(__xludf.DUMMYFUNCTION("""COMPUTED_VALUE"""),124.28)</f>
        <v>124.28</v>
      </c>
      <c r="E7752" s="2">
        <f>IFERROR(__xludf.DUMMYFUNCTION("""COMPUTED_VALUE"""),125.88)</f>
        <v>125.88</v>
      </c>
      <c r="F7752" s="2">
        <f>IFERROR(__xludf.DUMMYFUNCTION("""COMPUTED_VALUE"""),7214702.0)</f>
        <v>7214702</v>
      </c>
    </row>
    <row r="7753">
      <c r="A7753" s="3">
        <f>IFERROR(__xludf.DUMMYFUNCTION("""COMPUTED_VALUE"""),40442.666666666664)</f>
        <v>40442.66667</v>
      </c>
      <c r="B7753" s="2">
        <f>IFERROR(__xludf.DUMMYFUNCTION("""COMPUTED_VALUE"""),125.56)</f>
        <v>125.56</v>
      </c>
      <c r="C7753" s="2">
        <f>IFERROR(__xludf.DUMMYFUNCTION("""COMPUTED_VALUE"""),126.85)</f>
        <v>126.85</v>
      </c>
      <c r="D7753" s="2">
        <f>IFERROR(__xludf.DUMMYFUNCTION("""COMPUTED_VALUE"""),124.92)</f>
        <v>124.92</v>
      </c>
      <c r="E7753" s="2">
        <f>IFERROR(__xludf.DUMMYFUNCTION("""COMPUTED_VALUE"""),126.06)</f>
        <v>126.06</v>
      </c>
      <c r="F7753" s="2">
        <f>IFERROR(__xludf.DUMMYFUNCTION("""COMPUTED_VALUE"""),5268605.0)</f>
        <v>5268605</v>
      </c>
    </row>
    <row r="7754">
      <c r="A7754" s="3">
        <f>IFERROR(__xludf.DUMMYFUNCTION("""COMPUTED_VALUE"""),40443.666666666664)</f>
        <v>40443.66667</v>
      </c>
      <c r="B7754" s="2">
        <f>IFERROR(__xludf.DUMMYFUNCTION("""COMPUTED_VALUE"""),125.71)</f>
        <v>125.71</v>
      </c>
      <c r="C7754" s="2">
        <f>IFERROR(__xludf.DUMMYFUNCTION("""COMPUTED_VALUE"""),126.64)</f>
        <v>126.64</v>
      </c>
      <c r="D7754" s="2">
        <f>IFERROR(__xludf.DUMMYFUNCTION("""COMPUTED_VALUE"""),125.51)</f>
        <v>125.51</v>
      </c>
      <c r="E7754" s="2">
        <f>IFERROR(__xludf.DUMMYFUNCTION("""COMPUTED_VALUE"""),126.63)</f>
        <v>126.63</v>
      </c>
      <c r="F7754" s="2">
        <f>IFERROR(__xludf.DUMMYFUNCTION("""COMPUTED_VALUE"""),4922526.0)</f>
        <v>4922526</v>
      </c>
    </row>
    <row r="7755">
      <c r="A7755" s="3">
        <f>IFERROR(__xludf.DUMMYFUNCTION("""COMPUTED_VALUE"""),40444.666666666664)</f>
        <v>40444.66667</v>
      </c>
      <c r="B7755" s="2">
        <f>IFERROR(__xludf.DUMMYFUNCTION("""COMPUTED_VALUE"""),125.53)</f>
        <v>125.53</v>
      </c>
      <c r="C7755" s="2">
        <f>IFERROR(__xludf.DUMMYFUNCTION("""COMPUTED_VALUE"""),126.83)</f>
        <v>126.83</v>
      </c>
      <c r="D7755" s="2">
        <f>IFERROR(__xludf.DUMMYFUNCTION("""COMPUTED_VALUE"""),125.34)</f>
        <v>125.34</v>
      </c>
      <c r="E7755" s="2">
        <f>IFERROR(__xludf.DUMMYFUNCTION("""COMPUTED_VALUE"""),125.77)</f>
        <v>125.77</v>
      </c>
      <c r="F7755" s="2">
        <f>IFERROR(__xludf.DUMMYFUNCTION("""COMPUTED_VALUE"""),3898904.0)</f>
        <v>3898904</v>
      </c>
    </row>
    <row r="7756">
      <c r="A7756" s="3">
        <f>IFERROR(__xludf.DUMMYFUNCTION("""COMPUTED_VALUE"""),40445.666666666664)</f>
        <v>40445.66667</v>
      </c>
      <c r="B7756" s="2">
        <f>IFERROR(__xludf.DUMMYFUNCTION("""COMPUTED_VALUE"""),126.48)</f>
        <v>126.48</v>
      </c>
      <c r="C7756" s="2">
        <f>IFERROR(__xludf.DUMMYFUNCTION("""COMPUTED_VALUE"""),128.14)</f>
        <v>128.14</v>
      </c>
      <c r="D7756" s="2">
        <f>IFERROR(__xludf.DUMMYFUNCTION("""COMPUTED_VALUE"""),126.41)</f>
        <v>126.41</v>
      </c>
      <c r="E7756" s="2">
        <f>IFERROR(__xludf.DUMMYFUNCTION("""COMPUTED_VALUE"""),128.1)</f>
        <v>128.1</v>
      </c>
      <c r="F7756" s="2">
        <f>IFERROR(__xludf.DUMMYFUNCTION("""COMPUTED_VALUE"""),7122325.0)</f>
        <v>7122325</v>
      </c>
    </row>
    <row r="7757">
      <c r="A7757" s="3">
        <f>IFERROR(__xludf.DUMMYFUNCTION("""COMPUTED_VALUE"""),40448.666666666664)</f>
        <v>40448.66667</v>
      </c>
      <c r="B7757" s="2">
        <f>IFERROR(__xludf.DUMMYFUNCTION("""COMPUTED_VALUE"""),127.52)</f>
        <v>127.52</v>
      </c>
      <c r="C7757" s="2">
        <f>IFERROR(__xludf.DUMMYFUNCTION("""COMPUTED_VALUE"""),128.95)</f>
        <v>128.95</v>
      </c>
      <c r="D7757" s="2">
        <f>IFERROR(__xludf.DUMMYFUNCTION("""COMPUTED_VALUE"""),127.52)</f>
        <v>127.52</v>
      </c>
      <c r="E7757" s="2">
        <f>IFERROR(__xludf.DUMMYFUNCTION("""COMPUTED_VALUE"""),128.61)</f>
        <v>128.61</v>
      </c>
      <c r="F7757" s="2">
        <f>IFERROR(__xludf.DUMMYFUNCTION("""COMPUTED_VALUE"""),6155512.0)</f>
        <v>6155512</v>
      </c>
    </row>
    <row r="7758">
      <c r="A7758" s="3">
        <f>IFERROR(__xludf.DUMMYFUNCTION("""COMPUTED_VALUE"""),40449.666666666664)</f>
        <v>40449.66667</v>
      </c>
      <c r="B7758" s="2">
        <f>IFERROR(__xludf.DUMMYFUNCTION("""COMPUTED_VALUE"""),128.63)</f>
        <v>128.63</v>
      </c>
      <c r="C7758" s="2">
        <f>IFERROR(__xludf.DUMMYFUNCTION("""COMPUTED_VALUE"""),129.08)</f>
        <v>129.08</v>
      </c>
      <c r="D7758" s="2">
        <f>IFERROR(__xludf.DUMMYFUNCTION("""COMPUTED_VALUE"""),127.71)</f>
        <v>127.71</v>
      </c>
      <c r="E7758" s="2">
        <f>IFERROR(__xludf.DUMMYFUNCTION("""COMPUTED_VALUE"""),128.84)</f>
        <v>128.84</v>
      </c>
      <c r="F7758" s="2">
        <f>IFERROR(__xludf.DUMMYFUNCTION("""COMPUTED_VALUE"""),7484022.0)</f>
        <v>7484022</v>
      </c>
    </row>
    <row r="7759">
      <c r="A7759" s="3">
        <f>IFERROR(__xludf.DUMMYFUNCTION("""COMPUTED_VALUE"""),40450.666666666664)</f>
        <v>40450.66667</v>
      </c>
      <c r="B7759" s="2">
        <f>IFERROR(__xludf.DUMMYFUNCTION("""COMPUTED_VALUE"""),128.37)</f>
        <v>128.37</v>
      </c>
      <c r="C7759" s="2">
        <f>IFERROR(__xludf.DUMMYFUNCTION("""COMPUTED_VALUE"""),129.72)</f>
        <v>129.72</v>
      </c>
      <c r="D7759" s="2">
        <f>IFERROR(__xludf.DUMMYFUNCTION("""COMPUTED_VALUE"""),128.32)</f>
        <v>128.32</v>
      </c>
      <c r="E7759" s="2">
        <f>IFERROR(__xludf.DUMMYFUNCTION("""COMPUTED_VALUE"""),129.41)</f>
        <v>129.41</v>
      </c>
      <c r="F7759" s="2">
        <f>IFERROR(__xludf.DUMMYFUNCTION("""COMPUTED_VALUE"""),5151624.0)</f>
        <v>5151624</v>
      </c>
    </row>
    <row r="7760">
      <c r="A7760" s="3">
        <f>IFERROR(__xludf.DUMMYFUNCTION("""COMPUTED_VALUE"""),40451.666666666664)</f>
        <v>40451.66667</v>
      </c>
      <c r="B7760" s="2">
        <f>IFERROR(__xludf.DUMMYFUNCTION("""COMPUTED_VALUE"""),129.42)</f>
        <v>129.42</v>
      </c>
      <c r="C7760" s="2">
        <f>IFERROR(__xludf.DUMMYFUNCTION("""COMPUTED_VALUE"""),130.01)</f>
        <v>130.01</v>
      </c>
      <c r="D7760" s="2">
        <f>IFERROR(__xludf.DUMMYFUNCTION("""COMPUTED_VALUE"""),127.68)</f>
        <v>127.68</v>
      </c>
      <c r="E7760" s="2">
        <f>IFERROR(__xludf.DUMMYFUNCTION("""COMPUTED_VALUE"""),128.13)</f>
        <v>128.13</v>
      </c>
      <c r="F7760" s="2">
        <f>IFERROR(__xludf.DUMMYFUNCTION("""COMPUTED_VALUE"""),6432129.0)</f>
        <v>6432129</v>
      </c>
    </row>
    <row r="7761">
      <c r="A7761" s="3">
        <f>IFERROR(__xludf.DUMMYFUNCTION("""COMPUTED_VALUE"""),40452.666666666664)</f>
        <v>40452.66667</v>
      </c>
      <c r="B7761" s="2">
        <f>IFERROR(__xludf.DUMMYFUNCTION("""COMPUTED_VALUE"""),129.43)</f>
        <v>129.43</v>
      </c>
      <c r="C7761" s="2">
        <f>IFERROR(__xludf.DUMMYFUNCTION("""COMPUTED_VALUE"""),130.17)</f>
        <v>130.17</v>
      </c>
      <c r="D7761" s="2">
        <f>IFERROR(__xludf.DUMMYFUNCTION("""COMPUTED_VALUE"""),129.03)</f>
        <v>129.03</v>
      </c>
      <c r="E7761" s="2">
        <f>IFERROR(__xludf.DUMMYFUNCTION("""COMPUTED_VALUE"""),129.56)</f>
        <v>129.56</v>
      </c>
      <c r="F7761" s="2">
        <f>IFERROR(__xludf.DUMMYFUNCTION("""COMPUTED_VALUE"""),5621197.0)</f>
        <v>5621197</v>
      </c>
    </row>
    <row r="7762">
      <c r="A7762" s="3">
        <f>IFERROR(__xludf.DUMMYFUNCTION("""COMPUTED_VALUE"""),40455.666666666664)</f>
        <v>40455.66667</v>
      </c>
      <c r="B7762" s="2">
        <f>IFERROR(__xludf.DUMMYFUNCTION("""COMPUTED_VALUE"""),129.17)</f>
        <v>129.17</v>
      </c>
      <c r="C7762" s="2">
        <f>IFERROR(__xludf.DUMMYFUNCTION("""COMPUTED_VALUE"""),129.83)</f>
        <v>129.83</v>
      </c>
      <c r="D7762" s="2">
        <f>IFERROR(__xludf.DUMMYFUNCTION("""COMPUTED_VALUE"""),128.36)</f>
        <v>128.36</v>
      </c>
      <c r="E7762" s="2">
        <f>IFERROR(__xludf.DUMMYFUNCTION("""COMPUTED_VALUE"""),129.19)</f>
        <v>129.19</v>
      </c>
      <c r="F7762" s="2">
        <f>IFERROR(__xludf.DUMMYFUNCTION("""COMPUTED_VALUE"""),4063858.0)</f>
        <v>4063858</v>
      </c>
    </row>
    <row r="7763">
      <c r="A7763" s="3">
        <f>IFERROR(__xludf.DUMMYFUNCTION("""COMPUTED_VALUE"""),40456.666666666664)</f>
        <v>40456.66667</v>
      </c>
      <c r="B7763" s="2">
        <f>IFERROR(__xludf.DUMMYFUNCTION("""COMPUTED_VALUE"""),130.07)</f>
        <v>130.07</v>
      </c>
      <c r="C7763" s="2">
        <f>IFERROR(__xludf.DUMMYFUNCTION("""COMPUTED_VALUE"""),131.72)</f>
        <v>131.72</v>
      </c>
      <c r="D7763" s="2">
        <f>IFERROR(__xludf.DUMMYFUNCTION("""COMPUTED_VALUE"""),130.02)</f>
        <v>130.02</v>
      </c>
      <c r="E7763" s="2">
        <f>IFERROR(__xludf.DUMMYFUNCTION("""COMPUTED_VALUE"""),131.49)</f>
        <v>131.49</v>
      </c>
      <c r="F7763" s="2">
        <f>IFERROR(__xludf.DUMMYFUNCTION("""COMPUTED_VALUE"""),6202496.0)</f>
        <v>6202496</v>
      </c>
    </row>
    <row r="7764">
      <c r="A7764" s="3">
        <f>IFERROR(__xludf.DUMMYFUNCTION("""COMPUTED_VALUE"""),40457.666666666664)</f>
        <v>40457.66667</v>
      </c>
      <c r="B7764" s="2">
        <f>IFERROR(__xludf.DUMMYFUNCTION("""COMPUTED_VALUE"""),130.74)</f>
        <v>130.74</v>
      </c>
      <c r="C7764" s="2">
        <f>IFERROR(__xludf.DUMMYFUNCTION("""COMPUTED_VALUE"""),131.77)</f>
        <v>131.77</v>
      </c>
      <c r="D7764" s="2">
        <f>IFERROR(__xludf.DUMMYFUNCTION("""COMPUTED_VALUE"""),130.7)</f>
        <v>130.7</v>
      </c>
      <c r="E7764" s="2">
        <f>IFERROR(__xludf.DUMMYFUNCTION("""COMPUTED_VALUE"""),131.35)</f>
        <v>131.35</v>
      </c>
      <c r="F7764" s="2">
        <f>IFERROR(__xludf.DUMMYFUNCTION("""COMPUTED_VALUE"""),3804215.0)</f>
        <v>3804215</v>
      </c>
    </row>
    <row r="7765">
      <c r="A7765" s="3">
        <f>IFERROR(__xludf.DUMMYFUNCTION("""COMPUTED_VALUE"""),40458.666666666664)</f>
        <v>40458.66667</v>
      </c>
      <c r="B7765" s="2">
        <f>IFERROR(__xludf.DUMMYFUNCTION("""COMPUTED_VALUE"""),131.74)</f>
        <v>131.74</v>
      </c>
      <c r="C7765" s="2">
        <f>IFERROR(__xludf.DUMMYFUNCTION("""COMPUTED_VALUE"""),132.65)</f>
        <v>132.65</v>
      </c>
      <c r="D7765" s="2">
        <f>IFERROR(__xludf.DUMMYFUNCTION("""COMPUTED_VALUE"""),131.35)</f>
        <v>131.35</v>
      </c>
      <c r="E7765" s="2">
        <f>IFERROR(__xludf.DUMMYFUNCTION("""COMPUTED_VALUE"""),132.5)</f>
        <v>132.5</v>
      </c>
      <c r="F7765" s="2">
        <f>IFERROR(__xludf.DUMMYFUNCTION("""COMPUTED_VALUE"""),6440718.0)</f>
        <v>6440718</v>
      </c>
    </row>
    <row r="7766">
      <c r="A7766" s="3">
        <f>IFERROR(__xludf.DUMMYFUNCTION("""COMPUTED_VALUE"""),40459.666666666664)</f>
        <v>40459.66667</v>
      </c>
      <c r="B7766" s="2">
        <f>IFERROR(__xludf.DUMMYFUNCTION("""COMPUTED_VALUE"""),132.19)</f>
        <v>132.19</v>
      </c>
      <c r="C7766" s="2">
        <f>IFERROR(__xludf.DUMMYFUNCTION("""COMPUTED_VALUE"""),132.85)</f>
        <v>132.85</v>
      </c>
      <c r="D7766" s="2">
        <f>IFERROR(__xludf.DUMMYFUNCTION("""COMPUTED_VALUE"""),131.87)</f>
        <v>131.87</v>
      </c>
      <c r="E7766" s="2">
        <f>IFERROR(__xludf.DUMMYFUNCTION("""COMPUTED_VALUE"""),132.62)</f>
        <v>132.62</v>
      </c>
      <c r="F7766" s="2">
        <f>IFERROR(__xludf.DUMMYFUNCTION("""COMPUTED_VALUE"""),4543943.0)</f>
        <v>4543943</v>
      </c>
    </row>
    <row r="7767">
      <c r="A7767" s="3">
        <f>IFERROR(__xludf.DUMMYFUNCTION("""COMPUTED_VALUE"""),40462.666666666664)</f>
        <v>40462.66667</v>
      </c>
      <c r="B7767" s="2">
        <f>IFERROR(__xludf.DUMMYFUNCTION("""COMPUTED_VALUE"""),132.57)</f>
        <v>132.57</v>
      </c>
      <c r="C7767" s="2">
        <f>IFERROR(__xludf.DUMMYFUNCTION("""COMPUTED_VALUE"""),133.67)</f>
        <v>133.67</v>
      </c>
      <c r="D7767" s="2">
        <f>IFERROR(__xludf.DUMMYFUNCTION("""COMPUTED_VALUE"""),132.42)</f>
        <v>132.42</v>
      </c>
      <c r="E7767" s="2">
        <f>IFERROR(__xludf.DUMMYFUNCTION("""COMPUTED_VALUE"""),133.4)</f>
        <v>133.4</v>
      </c>
      <c r="F7767" s="2">
        <f>IFERROR(__xludf.DUMMYFUNCTION("""COMPUTED_VALUE"""),4009658.0)</f>
        <v>4009658</v>
      </c>
    </row>
    <row r="7768">
      <c r="A7768" s="3">
        <f>IFERROR(__xludf.DUMMYFUNCTION("""COMPUTED_VALUE"""),40463.666666666664)</f>
        <v>40463.66667</v>
      </c>
      <c r="B7768" s="2">
        <f>IFERROR(__xludf.DUMMYFUNCTION("""COMPUTED_VALUE"""),132.19)</f>
        <v>132.19</v>
      </c>
      <c r="C7768" s="2">
        <f>IFERROR(__xludf.DUMMYFUNCTION("""COMPUTED_VALUE"""),133.71)</f>
        <v>133.71</v>
      </c>
      <c r="D7768" s="2">
        <f>IFERROR(__xludf.DUMMYFUNCTION("""COMPUTED_VALUE"""),132.07)</f>
        <v>132.07</v>
      </c>
      <c r="E7768" s="2">
        <f>IFERROR(__xludf.DUMMYFUNCTION("""COMPUTED_VALUE"""),133.58)</f>
        <v>133.58</v>
      </c>
      <c r="F7768" s="2">
        <f>IFERROR(__xludf.DUMMYFUNCTION("""COMPUTED_VALUE"""),5639174.0)</f>
        <v>5639174</v>
      </c>
    </row>
    <row r="7769">
      <c r="A7769" s="3">
        <f>IFERROR(__xludf.DUMMYFUNCTION("""COMPUTED_VALUE"""),40464.666666666664)</f>
        <v>40464.66667</v>
      </c>
      <c r="B7769" s="2">
        <f>IFERROR(__xludf.DUMMYFUNCTION("""COMPUTED_VALUE"""),133.64)</f>
        <v>133.64</v>
      </c>
      <c r="C7769" s="2">
        <f>IFERROR(__xludf.DUMMYFUNCTION("""COMPUTED_VALUE"""),135.14)</f>
        <v>135.14</v>
      </c>
      <c r="D7769" s="2">
        <f>IFERROR(__xludf.DUMMYFUNCTION("""COMPUTED_VALUE"""),133.51)</f>
        <v>133.51</v>
      </c>
      <c r="E7769" s="2">
        <f>IFERROR(__xludf.DUMMYFUNCTION("""COMPUTED_VALUE"""),134.08)</f>
        <v>134.08</v>
      </c>
      <c r="F7769" s="2">
        <f>IFERROR(__xludf.DUMMYFUNCTION("""COMPUTED_VALUE"""),8788326.0)</f>
        <v>8788326</v>
      </c>
    </row>
    <row r="7770">
      <c r="A7770" s="3">
        <f>IFERROR(__xludf.DUMMYFUNCTION("""COMPUTED_VALUE"""),40465.666666666664)</f>
        <v>40465.66667</v>
      </c>
      <c r="B7770" s="2">
        <f>IFERROR(__xludf.DUMMYFUNCTION("""COMPUTED_VALUE"""),134.06)</f>
        <v>134.06</v>
      </c>
      <c r="C7770" s="2">
        <f>IFERROR(__xludf.DUMMYFUNCTION("""COMPUTED_VALUE"""),135.16)</f>
        <v>135.16</v>
      </c>
      <c r="D7770" s="2">
        <f>IFERROR(__xludf.DUMMYFUNCTION("""COMPUTED_VALUE"""),133.43)</f>
        <v>133.43</v>
      </c>
      <c r="E7770" s="2">
        <f>IFERROR(__xludf.DUMMYFUNCTION("""COMPUTED_VALUE"""),135.16)</f>
        <v>135.16</v>
      </c>
      <c r="F7770" s="2">
        <f>IFERROR(__xludf.DUMMYFUNCTION("""COMPUTED_VALUE"""),5658943.0)</f>
        <v>5658943</v>
      </c>
    </row>
    <row r="7771">
      <c r="A7771" s="3">
        <f>IFERROR(__xludf.DUMMYFUNCTION("""COMPUTED_VALUE"""),40466.666666666664)</f>
        <v>40466.66667</v>
      </c>
      <c r="B7771" s="2">
        <f>IFERROR(__xludf.DUMMYFUNCTION("""COMPUTED_VALUE"""),135.73)</f>
        <v>135.73</v>
      </c>
      <c r="C7771" s="2">
        <f>IFERROR(__xludf.DUMMYFUNCTION("""COMPUTED_VALUE"""),135.73)</f>
        <v>135.73</v>
      </c>
      <c r="D7771" s="2">
        <f>IFERROR(__xludf.DUMMYFUNCTION("""COMPUTED_VALUE"""),134.24)</f>
        <v>134.24</v>
      </c>
      <c r="E7771" s="2">
        <f>IFERROR(__xludf.DUMMYFUNCTION("""COMPUTED_VALUE"""),134.74)</f>
        <v>134.74</v>
      </c>
      <c r="F7771" s="2">
        <f>IFERROR(__xludf.DUMMYFUNCTION("""COMPUTED_VALUE"""),7224057.0)</f>
        <v>7224057</v>
      </c>
    </row>
    <row r="7772">
      <c r="A7772" s="3">
        <f>IFERROR(__xludf.DUMMYFUNCTION("""COMPUTED_VALUE"""),40469.666666666664)</f>
        <v>40469.66667</v>
      </c>
      <c r="B7772" s="2">
        <f>IFERROR(__xludf.DUMMYFUNCTION("""COMPUTED_VALUE"""),134.58)</f>
        <v>134.58</v>
      </c>
      <c r="C7772" s="2">
        <f>IFERROR(__xludf.DUMMYFUNCTION("""COMPUTED_VALUE"""),136.62)</f>
        <v>136.62</v>
      </c>
      <c r="D7772" s="2">
        <f>IFERROR(__xludf.DUMMYFUNCTION("""COMPUTED_VALUE"""),134.53)</f>
        <v>134.53</v>
      </c>
      <c r="E7772" s="2">
        <f>IFERROR(__xludf.DUMMYFUNCTION("""COMPUTED_VALUE"""),136.43)</f>
        <v>136.43</v>
      </c>
      <c r="F7772" s="2">
        <f>IFERROR(__xludf.DUMMYFUNCTION("""COMPUTED_VALUE"""),1.0341157E7)</f>
        <v>10341157</v>
      </c>
    </row>
    <row r="7773">
      <c r="A7773" s="3">
        <f>IFERROR(__xludf.DUMMYFUNCTION("""COMPUTED_VALUE"""),40470.666666666664)</f>
        <v>40470.66667</v>
      </c>
      <c r="B7773" s="2">
        <f>IFERROR(__xludf.DUMMYFUNCTION("""COMPUTED_VALUE"""),131.14)</f>
        <v>131.14</v>
      </c>
      <c r="C7773" s="2">
        <f>IFERROR(__xludf.DUMMYFUNCTION("""COMPUTED_VALUE"""),133.09)</f>
        <v>133.09</v>
      </c>
      <c r="D7773" s="2">
        <f>IFERROR(__xludf.DUMMYFUNCTION("""COMPUTED_VALUE"""),130.57)</f>
        <v>130.57</v>
      </c>
      <c r="E7773" s="2">
        <f>IFERROR(__xludf.DUMMYFUNCTION("""COMPUTED_VALUE"""),131.84)</f>
        <v>131.84</v>
      </c>
      <c r="F7773" s="2">
        <f>IFERROR(__xludf.DUMMYFUNCTION("""COMPUTED_VALUE"""),1.4160546E7)</f>
        <v>14160546</v>
      </c>
    </row>
    <row r="7774">
      <c r="A7774" s="3">
        <f>IFERROR(__xludf.DUMMYFUNCTION("""COMPUTED_VALUE"""),40471.666666666664)</f>
        <v>40471.66667</v>
      </c>
      <c r="B7774" s="2">
        <f>IFERROR(__xludf.DUMMYFUNCTION("""COMPUTED_VALUE"""),132.08)</f>
        <v>132.08</v>
      </c>
      <c r="C7774" s="2">
        <f>IFERROR(__xludf.DUMMYFUNCTION("""COMPUTED_VALUE"""),133.6)</f>
        <v>133.6</v>
      </c>
      <c r="D7774" s="2">
        <f>IFERROR(__xludf.DUMMYFUNCTION("""COMPUTED_VALUE"""),131.94)</f>
        <v>131.94</v>
      </c>
      <c r="E7774" s="2">
        <f>IFERROR(__xludf.DUMMYFUNCTION("""COMPUTED_VALUE"""),132.83)</f>
        <v>132.83</v>
      </c>
      <c r="F7774" s="2">
        <f>IFERROR(__xludf.DUMMYFUNCTION("""COMPUTED_VALUE"""),6954831.0)</f>
        <v>6954831</v>
      </c>
    </row>
    <row r="7775">
      <c r="A7775" s="3">
        <f>IFERROR(__xludf.DUMMYFUNCTION("""COMPUTED_VALUE"""),40472.666666666664)</f>
        <v>40472.66667</v>
      </c>
      <c r="B7775" s="2">
        <f>IFERROR(__xludf.DUMMYFUNCTION("""COMPUTED_VALUE"""),133.54)</f>
        <v>133.54</v>
      </c>
      <c r="C7775" s="2">
        <f>IFERROR(__xludf.DUMMYFUNCTION("""COMPUTED_VALUE"""),134.19)</f>
        <v>134.19</v>
      </c>
      <c r="D7775" s="2">
        <f>IFERROR(__xludf.DUMMYFUNCTION("""COMPUTED_VALUE"""),132.19)</f>
        <v>132.19</v>
      </c>
      <c r="E7775" s="2">
        <f>IFERROR(__xludf.DUMMYFUNCTION("""COMPUTED_VALUE"""),133.56)</f>
        <v>133.56</v>
      </c>
      <c r="F7775" s="2">
        <f>IFERROR(__xludf.DUMMYFUNCTION("""COMPUTED_VALUE"""),6230393.0)</f>
        <v>6230393</v>
      </c>
    </row>
    <row r="7776">
      <c r="A7776" s="3">
        <f>IFERROR(__xludf.DUMMYFUNCTION("""COMPUTED_VALUE"""),40473.666666666664)</f>
        <v>40473.66667</v>
      </c>
      <c r="B7776" s="2">
        <f>IFERROR(__xludf.DUMMYFUNCTION("""COMPUTED_VALUE"""),133.87)</f>
        <v>133.87</v>
      </c>
      <c r="C7776" s="2">
        <f>IFERROR(__xludf.DUMMYFUNCTION("""COMPUTED_VALUE"""),134.44)</f>
        <v>134.44</v>
      </c>
      <c r="D7776" s="2">
        <f>IFERROR(__xludf.DUMMYFUNCTION("""COMPUTED_VALUE"""),133.21)</f>
        <v>133.21</v>
      </c>
      <c r="E7776" s="2">
        <f>IFERROR(__xludf.DUMMYFUNCTION("""COMPUTED_VALUE"""),133.41)</f>
        <v>133.41</v>
      </c>
      <c r="F7776" s="2">
        <f>IFERROR(__xludf.DUMMYFUNCTION("""COMPUTED_VALUE"""),4105312.0)</f>
        <v>4105312</v>
      </c>
    </row>
    <row r="7777">
      <c r="A7777" s="3">
        <f>IFERROR(__xludf.DUMMYFUNCTION("""COMPUTED_VALUE"""),40476.666666666664)</f>
        <v>40476.66667</v>
      </c>
      <c r="B7777" s="2">
        <f>IFERROR(__xludf.DUMMYFUNCTION("""COMPUTED_VALUE"""),134.12)</f>
        <v>134.12</v>
      </c>
      <c r="C7777" s="2">
        <f>IFERROR(__xludf.DUMMYFUNCTION("""COMPUTED_VALUE"""),135.06)</f>
        <v>135.06</v>
      </c>
      <c r="D7777" s="2">
        <f>IFERROR(__xludf.DUMMYFUNCTION("""COMPUTED_VALUE"""),133.54)</f>
        <v>133.54</v>
      </c>
      <c r="E7777" s="2">
        <f>IFERROR(__xludf.DUMMYFUNCTION("""COMPUTED_VALUE"""),133.57)</f>
        <v>133.57</v>
      </c>
      <c r="F7777" s="2">
        <f>IFERROR(__xludf.DUMMYFUNCTION("""COMPUTED_VALUE"""),4870212.0)</f>
        <v>4870212</v>
      </c>
    </row>
    <row r="7778">
      <c r="A7778" s="3">
        <f>IFERROR(__xludf.DUMMYFUNCTION("""COMPUTED_VALUE"""),40477.666666666664)</f>
        <v>40477.66667</v>
      </c>
      <c r="B7778" s="2">
        <f>IFERROR(__xludf.DUMMYFUNCTION("""COMPUTED_VALUE"""),133.04)</f>
        <v>133.04</v>
      </c>
      <c r="C7778" s="2">
        <f>IFERROR(__xludf.DUMMYFUNCTION("""COMPUTED_VALUE"""),135.63)</f>
        <v>135.63</v>
      </c>
      <c r="D7778" s="2">
        <f>IFERROR(__xludf.DUMMYFUNCTION("""COMPUTED_VALUE"""),132.32)</f>
        <v>132.32</v>
      </c>
      <c r="E7778" s="2">
        <f>IFERROR(__xludf.DUMMYFUNCTION("""COMPUTED_VALUE"""),134.36)</f>
        <v>134.36</v>
      </c>
      <c r="F7778" s="2">
        <f>IFERROR(__xludf.DUMMYFUNCTION("""COMPUTED_VALUE"""),7328198.0)</f>
        <v>7328198</v>
      </c>
    </row>
    <row r="7779">
      <c r="A7779" s="3">
        <f>IFERROR(__xludf.DUMMYFUNCTION("""COMPUTED_VALUE"""),40478.666666666664)</f>
        <v>40478.66667</v>
      </c>
      <c r="B7779" s="2">
        <f>IFERROR(__xludf.DUMMYFUNCTION("""COMPUTED_VALUE"""),133.26)</f>
        <v>133.26</v>
      </c>
      <c r="C7779" s="2">
        <f>IFERROR(__xludf.DUMMYFUNCTION("""COMPUTED_VALUE"""),135.22)</f>
        <v>135.22</v>
      </c>
      <c r="D7779" s="2">
        <f>IFERROR(__xludf.DUMMYFUNCTION("""COMPUTED_VALUE"""),132.77)</f>
        <v>132.77</v>
      </c>
      <c r="E7779" s="2">
        <f>IFERROR(__xludf.DUMMYFUNCTION("""COMPUTED_VALUE"""),135.09)</f>
        <v>135.09</v>
      </c>
      <c r="F7779" s="2">
        <f>IFERROR(__xludf.DUMMYFUNCTION("""COMPUTED_VALUE"""),6467113.0)</f>
        <v>6467113</v>
      </c>
    </row>
    <row r="7780">
      <c r="A7780" s="3">
        <f>IFERROR(__xludf.DUMMYFUNCTION("""COMPUTED_VALUE"""),40479.666666666664)</f>
        <v>40479.66667</v>
      </c>
      <c r="B7780" s="2">
        <f>IFERROR(__xludf.DUMMYFUNCTION("""COMPUTED_VALUE"""),135.48)</f>
        <v>135.48</v>
      </c>
      <c r="C7780" s="2">
        <f>IFERROR(__xludf.DUMMYFUNCTION("""COMPUTED_VALUE"""),135.59)</f>
        <v>135.59</v>
      </c>
      <c r="D7780" s="2">
        <f>IFERROR(__xludf.DUMMYFUNCTION("""COMPUTED_VALUE"""),134.12)</f>
        <v>134.12</v>
      </c>
      <c r="E7780" s="2">
        <f>IFERROR(__xludf.DUMMYFUNCTION("""COMPUTED_VALUE"""),134.58)</f>
        <v>134.58</v>
      </c>
      <c r="F7780" s="2">
        <f>IFERROR(__xludf.DUMMYFUNCTION("""COMPUTED_VALUE"""),5482601.0)</f>
        <v>5482601</v>
      </c>
    </row>
    <row r="7781">
      <c r="A7781" s="3">
        <f>IFERROR(__xludf.DUMMYFUNCTION("""COMPUTED_VALUE"""),40480.666666666664)</f>
        <v>40480.66667</v>
      </c>
      <c r="B7781" s="2">
        <f>IFERROR(__xludf.DUMMYFUNCTION("""COMPUTED_VALUE"""),134.58)</f>
        <v>134.58</v>
      </c>
      <c r="C7781" s="2">
        <f>IFERROR(__xludf.DUMMYFUNCTION("""COMPUTED_VALUE"""),137.54)</f>
        <v>137.54</v>
      </c>
      <c r="D7781" s="2">
        <f>IFERROR(__xludf.DUMMYFUNCTION("""COMPUTED_VALUE"""),134.44)</f>
        <v>134.44</v>
      </c>
      <c r="E7781" s="2">
        <f>IFERROR(__xludf.DUMMYFUNCTION("""COMPUTED_VALUE"""),137.16)</f>
        <v>137.16</v>
      </c>
      <c r="F7781" s="2">
        <f>IFERROR(__xludf.DUMMYFUNCTION("""COMPUTED_VALUE"""),8444096.0)</f>
        <v>8444096</v>
      </c>
    </row>
    <row r="7782">
      <c r="A7782" s="3">
        <f>IFERROR(__xludf.DUMMYFUNCTION("""COMPUTED_VALUE"""),40483.666666666664)</f>
        <v>40483.66667</v>
      </c>
      <c r="B7782" s="2">
        <f>IFERROR(__xludf.DUMMYFUNCTION("""COMPUTED_VALUE"""),137.2)</f>
        <v>137.2</v>
      </c>
      <c r="C7782" s="2">
        <f>IFERROR(__xludf.DUMMYFUNCTION("""COMPUTED_VALUE"""),137.79)</f>
        <v>137.79</v>
      </c>
      <c r="D7782" s="2">
        <f>IFERROR(__xludf.DUMMYFUNCTION("""COMPUTED_VALUE"""),135.94)</f>
        <v>135.94</v>
      </c>
      <c r="E7782" s="2">
        <f>IFERROR(__xludf.DUMMYFUNCTION("""COMPUTED_VALUE"""),136.89)</f>
        <v>136.89</v>
      </c>
      <c r="F7782" s="2">
        <f>IFERROR(__xludf.DUMMYFUNCTION("""COMPUTED_VALUE"""),5676036.0)</f>
        <v>5676036</v>
      </c>
    </row>
    <row r="7783">
      <c r="A7783" s="3">
        <f>IFERROR(__xludf.DUMMYFUNCTION("""COMPUTED_VALUE"""),40484.666666666664)</f>
        <v>40484.66667</v>
      </c>
      <c r="B7783" s="2">
        <f>IFERROR(__xludf.DUMMYFUNCTION("""COMPUTED_VALUE"""),137.4)</f>
        <v>137.4</v>
      </c>
      <c r="C7783" s="2">
        <f>IFERROR(__xludf.DUMMYFUNCTION("""COMPUTED_VALUE"""),138.22)</f>
        <v>138.22</v>
      </c>
      <c r="D7783" s="2">
        <f>IFERROR(__xludf.DUMMYFUNCTION("""COMPUTED_VALUE"""),137.27)</f>
        <v>137.27</v>
      </c>
      <c r="E7783" s="2">
        <f>IFERROR(__xludf.DUMMYFUNCTION("""COMPUTED_VALUE"""),137.39)</f>
        <v>137.39</v>
      </c>
      <c r="F7783" s="2">
        <f>IFERROR(__xludf.DUMMYFUNCTION("""COMPUTED_VALUE"""),4626496.0)</f>
        <v>4626496</v>
      </c>
    </row>
    <row r="7784">
      <c r="A7784" s="3">
        <f>IFERROR(__xludf.DUMMYFUNCTION("""COMPUTED_VALUE"""),40485.666666666664)</f>
        <v>40485.66667</v>
      </c>
      <c r="B7784" s="2">
        <f>IFERROR(__xludf.DUMMYFUNCTION("""COMPUTED_VALUE"""),137.77)</f>
        <v>137.77</v>
      </c>
      <c r="C7784" s="2">
        <f>IFERROR(__xludf.DUMMYFUNCTION("""COMPUTED_VALUE"""),137.98)</f>
        <v>137.98</v>
      </c>
      <c r="D7784" s="2">
        <f>IFERROR(__xludf.DUMMYFUNCTION("""COMPUTED_VALUE"""),136.24)</f>
        <v>136.24</v>
      </c>
      <c r="E7784" s="2">
        <f>IFERROR(__xludf.DUMMYFUNCTION("""COMPUTED_VALUE"""),137.71)</f>
        <v>137.71</v>
      </c>
      <c r="F7784" s="2">
        <f>IFERROR(__xludf.DUMMYFUNCTION("""COMPUTED_VALUE"""),5182447.0)</f>
        <v>5182447</v>
      </c>
    </row>
    <row r="7785">
      <c r="A7785" s="3">
        <f>IFERROR(__xludf.DUMMYFUNCTION("""COMPUTED_VALUE"""),40486.666666666664)</f>
        <v>40486.66667</v>
      </c>
      <c r="B7785" s="2">
        <f>IFERROR(__xludf.DUMMYFUNCTION("""COMPUTED_VALUE"""),138.33)</f>
        <v>138.33</v>
      </c>
      <c r="C7785" s="2">
        <f>IFERROR(__xludf.DUMMYFUNCTION("""COMPUTED_VALUE"""),140.26)</f>
        <v>140.26</v>
      </c>
      <c r="D7785" s="2">
        <f>IFERROR(__xludf.DUMMYFUNCTION("""COMPUTED_VALUE"""),138.22)</f>
        <v>138.22</v>
      </c>
      <c r="E7785" s="2">
        <f>IFERROR(__xludf.DUMMYFUNCTION("""COMPUTED_VALUE"""),140.21)</f>
        <v>140.21</v>
      </c>
      <c r="F7785" s="2">
        <f>IFERROR(__xludf.DUMMYFUNCTION("""COMPUTED_VALUE"""),6626305.0)</f>
        <v>6626305</v>
      </c>
    </row>
    <row r="7786">
      <c r="A7786" s="3">
        <f>IFERROR(__xludf.DUMMYFUNCTION("""COMPUTED_VALUE"""),40487.666666666664)</f>
        <v>40487.66667</v>
      </c>
      <c r="B7786" s="2">
        <f>IFERROR(__xludf.DUMMYFUNCTION("""COMPUTED_VALUE"""),139.4)</f>
        <v>139.4</v>
      </c>
      <c r="C7786" s="2">
        <f>IFERROR(__xludf.DUMMYFUNCTION("""COMPUTED_VALUE"""),140.34)</f>
        <v>140.34</v>
      </c>
      <c r="D7786" s="2">
        <f>IFERROR(__xludf.DUMMYFUNCTION("""COMPUTED_VALUE"""),139.14)</f>
        <v>139.14</v>
      </c>
      <c r="E7786" s="2">
        <f>IFERROR(__xludf.DUMMYFUNCTION("""COMPUTED_VALUE"""),140.33)</f>
        <v>140.33</v>
      </c>
      <c r="F7786" s="2">
        <f>IFERROR(__xludf.DUMMYFUNCTION("""COMPUTED_VALUE"""),4996376.0)</f>
        <v>4996376</v>
      </c>
    </row>
    <row r="7787">
      <c r="A7787" s="3">
        <f>IFERROR(__xludf.DUMMYFUNCTION("""COMPUTED_VALUE"""),40490.666666666664)</f>
        <v>40490.66667</v>
      </c>
      <c r="B7787" s="2">
        <f>IFERROR(__xludf.DUMMYFUNCTION("""COMPUTED_VALUE"""),138.83)</f>
        <v>138.83</v>
      </c>
      <c r="C7787" s="2">
        <f>IFERROR(__xludf.DUMMYFUNCTION("""COMPUTED_VALUE"""),140.01)</f>
        <v>140.01</v>
      </c>
      <c r="D7787" s="2">
        <f>IFERROR(__xludf.DUMMYFUNCTION("""COMPUTED_VALUE"""),138.74)</f>
        <v>138.74</v>
      </c>
      <c r="E7787" s="2">
        <f>IFERROR(__xludf.DUMMYFUNCTION("""COMPUTED_VALUE"""),139.89)</f>
        <v>139.89</v>
      </c>
      <c r="F7787" s="2">
        <f>IFERROR(__xludf.DUMMYFUNCTION("""COMPUTED_VALUE"""),4459904.0)</f>
        <v>4459904</v>
      </c>
    </row>
    <row r="7788">
      <c r="A7788" s="3">
        <f>IFERROR(__xludf.DUMMYFUNCTION("""COMPUTED_VALUE"""),40491.666666666664)</f>
        <v>40491.66667</v>
      </c>
      <c r="B7788" s="2">
        <f>IFERROR(__xludf.DUMMYFUNCTION("""COMPUTED_VALUE"""),140.12)</f>
        <v>140.12</v>
      </c>
      <c r="C7788" s="2">
        <f>IFERROR(__xludf.DUMMYFUNCTION("""COMPUTED_VALUE"""),140.92)</f>
        <v>140.92</v>
      </c>
      <c r="D7788" s="2">
        <f>IFERROR(__xludf.DUMMYFUNCTION("""COMPUTED_VALUE"""),139.1)</f>
        <v>139.1</v>
      </c>
      <c r="E7788" s="2">
        <f>IFERROR(__xludf.DUMMYFUNCTION("""COMPUTED_VALUE"""),139.59)</f>
        <v>139.59</v>
      </c>
      <c r="F7788" s="2">
        <f>IFERROR(__xludf.DUMMYFUNCTION("""COMPUTED_VALUE"""),5701284.0)</f>
        <v>5701284</v>
      </c>
    </row>
    <row r="7789">
      <c r="A7789" s="3">
        <f>IFERROR(__xludf.DUMMYFUNCTION("""COMPUTED_VALUE"""),40492.666666666664)</f>
        <v>40492.66667</v>
      </c>
      <c r="B7789" s="2">
        <f>IFERROR(__xludf.DUMMYFUNCTION("""COMPUTED_VALUE"""),139.54)</f>
        <v>139.54</v>
      </c>
      <c r="C7789" s="2">
        <f>IFERROR(__xludf.DUMMYFUNCTION("""COMPUTED_VALUE"""),140.21)</f>
        <v>140.21</v>
      </c>
      <c r="D7789" s="2">
        <f>IFERROR(__xludf.DUMMYFUNCTION("""COMPUTED_VALUE"""),139.1)</f>
        <v>139.1</v>
      </c>
      <c r="E7789" s="2">
        <f>IFERROR(__xludf.DUMMYFUNCTION("""COMPUTED_VALUE"""),139.98)</f>
        <v>139.98</v>
      </c>
      <c r="F7789" s="2">
        <f>IFERROR(__xludf.DUMMYFUNCTION("""COMPUTED_VALUE"""),5175737.0)</f>
        <v>5175737</v>
      </c>
    </row>
    <row r="7790">
      <c r="A7790" s="3">
        <f>IFERROR(__xludf.DUMMYFUNCTION("""COMPUTED_VALUE"""),40493.666666666664)</f>
        <v>40493.66667</v>
      </c>
      <c r="B7790" s="2">
        <f>IFERROR(__xludf.DUMMYFUNCTION("""COMPUTED_VALUE"""),138.21)</f>
        <v>138.21</v>
      </c>
      <c r="C7790" s="2">
        <f>IFERROR(__xludf.DUMMYFUNCTION("""COMPUTED_VALUE"""),138.98)</f>
        <v>138.98</v>
      </c>
      <c r="D7790" s="2">
        <f>IFERROR(__xludf.DUMMYFUNCTION("""COMPUTED_VALUE"""),136.92)</f>
        <v>136.92</v>
      </c>
      <c r="E7790" s="2">
        <f>IFERROR(__xludf.DUMMYFUNCTION("""COMPUTED_VALUE"""),138.91)</f>
        <v>138.91</v>
      </c>
      <c r="F7790" s="2">
        <f>IFERROR(__xludf.DUMMYFUNCTION("""COMPUTED_VALUE"""),4752261.0)</f>
        <v>4752261</v>
      </c>
    </row>
    <row r="7791">
      <c r="A7791" s="3">
        <f>IFERROR(__xludf.DUMMYFUNCTION("""COMPUTED_VALUE"""),40494.666666666664)</f>
        <v>40494.66667</v>
      </c>
      <c r="B7791" s="2">
        <f>IFERROR(__xludf.DUMMYFUNCTION("""COMPUTED_VALUE"""),138.11)</f>
        <v>138.11</v>
      </c>
      <c r="C7791" s="2">
        <f>IFERROR(__xludf.DUMMYFUNCTION("""COMPUTED_VALUE"""),139.23)</f>
        <v>139.23</v>
      </c>
      <c r="D7791" s="2">
        <f>IFERROR(__xludf.DUMMYFUNCTION("""COMPUTED_VALUE"""),137.11)</f>
        <v>137.11</v>
      </c>
      <c r="E7791" s="2">
        <f>IFERROR(__xludf.DUMMYFUNCTION("""COMPUTED_VALUE"""),137.3)</f>
        <v>137.3</v>
      </c>
      <c r="F7791" s="2">
        <f>IFERROR(__xludf.DUMMYFUNCTION("""COMPUTED_VALUE"""),4732937.0)</f>
        <v>4732937</v>
      </c>
    </row>
    <row r="7792">
      <c r="A7792" s="3">
        <f>IFERROR(__xludf.DUMMYFUNCTION("""COMPUTED_VALUE"""),40497.666666666664)</f>
        <v>40497.66667</v>
      </c>
      <c r="B7792" s="2">
        <f>IFERROR(__xludf.DUMMYFUNCTION("""COMPUTED_VALUE"""),137.44)</f>
        <v>137.44</v>
      </c>
      <c r="C7792" s="2">
        <f>IFERROR(__xludf.DUMMYFUNCTION("""COMPUTED_VALUE"""),138.26)</f>
        <v>138.26</v>
      </c>
      <c r="D7792" s="2">
        <f>IFERROR(__xludf.DUMMYFUNCTION("""COMPUTED_VALUE"""),136.85)</f>
        <v>136.85</v>
      </c>
      <c r="E7792" s="2">
        <f>IFERROR(__xludf.DUMMYFUNCTION("""COMPUTED_VALUE"""),137.2)</f>
        <v>137.2</v>
      </c>
      <c r="F7792" s="2">
        <f>IFERROR(__xludf.DUMMYFUNCTION("""COMPUTED_VALUE"""),3828151.0)</f>
        <v>3828151</v>
      </c>
    </row>
    <row r="7793">
      <c r="A7793" s="3">
        <f>IFERROR(__xludf.DUMMYFUNCTION("""COMPUTED_VALUE"""),40498.666666666664)</f>
        <v>40498.66667</v>
      </c>
      <c r="B7793" s="2">
        <f>IFERROR(__xludf.DUMMYFUNCTION("""COMPUTED_VALUE"""),136.52)</f>
        <v>136.52</v>
      </c>
      <c r="C7793" s="2">
        <f>IFERROR(__xludf.DUMMYFUNCTION("""COMPUTED_VALUE"""),136.95)</f>
        <v>136.95</v>
      </c>
      <c r="D7793" s="2">
        <f>IFERROR(__xludf.DUMMYFUNCTION("""COMPUTED_VALUE"""),134.85)</f>
        <v>134.85</v>
      </c>
      <c r="E7793" s="2">
        <f>IFERROR(__xludf.DUMMYFUNCTION("""COMPUTED_VALUE"""),135.86)</f>
        <v>135.86</v>
      </c>
      <c r="F7793" s="2">
        <f>IFERROR(__xludf.DUMMYFUNCTION("""COMPUTED_VALUE"""),6350519.0)</f>
        <v>6350519</v>
      </c>
    </row>
    <row r="7794">
      <c r="A7794" s="3">
        <f>IFERROR(__xludf.DUMMYFUNCTION("""COMPUTED_VALUE"""),40499.666666666664)</f>
        <v>40499.66667</v>
      </c>
      <c r="B7794" s="2">
        <f>IFERROR(__xludf.DUMMYFUNCTION("""COMPUTED_VALUE"""),136.1)</f>
        <v>136.1</v>
      </c>
      <c r="C7794" s="2">
        <f>IFERROR(__xludf.DUMMYFUNCTION("""COMPUTED_VALUE"""),136.1)</f>
        <v>136.1</v>
      </c>
      <c r="D7794" s="2">
        <f>IFERROR(__xludf.DUMMYFUNCTION("""COMPUTED_VALUE"""),135.05)</f>
        <v>135.05</v>
      </c>
      <c r="E7794" s="2">
        <f>IFERROR(__xludf.DUMMYFUNCTION("""COMPUTED_VALUE"""),135.59)</f>
        <v>135.59</v>
      </c>
      <c r="F7794" s="2">
        <f>IFERROR(__xludf.DUMMYFUNCTION("""COMPUTED_VALUE"""),4787048.0)</f>
        <v>4787048</v>
      </c>
    </row>
    <row r="7795">
      <c r="A7795" s="3">
        <f>IFERROR(__xludf.DUMMYFUNCTION("""COMPUTED_VALUE"""),40500.666666666664)</f>
        <v>40500.66667</v>
      </c>
      <c r="B7795" s="2">
        <f>IFERROR(__xludf.DUMMYFUNCTION("""COMPUTED_VALUE"""),136.63)</f>
        <v>136.63</v>
      </c>
      <c r="C7795" s="2">
        <f>IFERROR(__xludf.DUMMYFUNCTION("""COMPUTED_VALUE"""),138.49)</f>
        <v>138.49</v>
      </c>
      <c r="D7795" s="2">
        <f>IFERROR(__xludf.DUMMYFUNCTION("""COMPUTED_VALUE"""),136.35)</f>
        <v>136.35</v>
      </c>
      <c r="E7795" s="2">
        <f>IFERROR(__xludf.DUMMYFUNCTION("""COMPUTED_VALUE"""),137.89)</f>
        <v>137.89</v>
      </c>
      <c r="F7795" s="2">
        <f>IFERROR(__xludf.DUMMYFUNCTION("""COMPUTED_VALUE"""),4238874.0)</f>
        <v>4238874</v>
      </c>
    </row>
    <row r="7796">
      <c r="A7796" s="3">
        <f>IFERROR(__xludf.DUMMYFUNCTION("""COMPUTED_VALUE"""),40501.666666666664)</f>
        <v>40501.66667</v>
      </c>
      <c r="B7796" s="2">
        <f>IFERROR(__xludf.DUMMYFUNCTION("""COMPUTED_VALUE"""),137.91)</f>
        <v>137.91</v>
      </c>
      <c r="C7796" s="2">
        <f>IFERROR(__xludf.DUMMYFUNCTION("""COMPUTED_VALUE"""),138.83)</f>
        <v>138.83</v>
      </c>
      <c r="D7796" s="2">
        <f>IFERROR(__xludf.DUMMYFUNCTION("""COMPUTED_VALUE"""),137.53)</f>
        <v>137.53</v>
      </c>
      <c r="E7796" s="2">
        <f>IFERROR(__xludf.DUMMYFUNCTION("""COMPUTED_VALUE"""),138.55)</f>
        <v>138.55</v>
      </c>
      <c r="F7796" s="2">
        <f>IFERROR(__xludf.DUMMYFUNCTION("""COMPUTED_VALUE"""),5015957.0)</f>
        <v>5015957</v>
      </c>
    </row>
    <row r="7797">
      <c r="A7797" s="3">
        <f>IFERROR(__xludf.DUMMYFUNCTION("""COMPUTED_VALUE"""),40504.666666666664)</f>
        <v>40504.66667</v>
      </c>
      <c r="B7797" s="2">
        <f>IFERROR(__xludf.DUMMYFUNCTION("""COMPUTED_VALUE"""),137.54)</f>
        <v>137.54</v>
      </c>
      <c r="C7797" s="2">
        <f>IFERROR(__xludf.DUMMYFUNCTION("""COMPUTED_VALUE"""),138.91)</f>
        <v>138.91</v>
      </c>
      <c r="D7797" s="2">
        <f>IFERROR(__xludf.DUMMYFUNCTION("""COMPUTED_VALUE"""),137.12)</f>
        <v>137.12</v>
      </c>
      <c r="E7797" s="2">
        <f>IFERROR(__xludf.DUMMYFUNCTION("""COMPUTED_VALUE"""),138.87)</f>
        <v>138.87</v>
      </c>
      <c r="F7797" s="2">
        <f>IFERROR(__xludf.DUMMYFUNCTION("""COMPUTED_VALUE"""),3730686.0)</f>
        <v>3730686</v>
      </c>
    </row>
    <row r="7798">
      <c r="A7798" s="3">
        <f>IFERROR(__xludf.DUMMYFUNCTION("""COMPUTED_VALUE"""),40505.666666666664)</f>
        <v>40505.66667</v>
      </c>
      <c r="B7798" s="2">
        <f>IFERROR(__xludf.DUMMYFUNCTION("""COMPUTED_VALUE"""),137.77)</f>
        <v>137.77</v>
      </c>
      <c r="C7798" s="2">
        <f>IFERROR(__xludf.DUMMYFUNCTION("""COMPUTED_VALUE"""),138.05)</f>
        <v>138.05</v>
      </c>
      <c r="D7798" s="2">
        <f>IFERROR(__xludf.DUMMYFUNCTION("""COMPUTED_VALUE"""),135.95)</f>
        <v>135.95</v>
      </c>
      <c r="E7798" s="2">
        <f>IFERROR(__xludf.DUMMYFUNCTION("""COMPUTED_VALUE"""),136.76)</f>
        <v>136.76</v>
      </c>
      <c r="F7798" s="2">
        <f>IFERROR(__xludf.DUMMYFUNCTION("""COMPUTED_VALUE"""),4573145.0)</f>
        <v>4573145</v>
      </c>
    </row>
    <row r="7799">
      <c r="A7799" s="3">
        <f>IFERROR(__xludf.DUMMYFUNCTION("""COMPUTED_VALUE"""),40506.666666666664)</f>
        <v>40506.66667</v>
      </c>
      <c r="B7799" s="2">
        <f>IFERROR(__xludf.DUMMYFUNCTION("""COMPUTED_VALUE"""),137.5)</f>
        <v>137.5</v>
      </c>
      <c r="C7799" s="2">
        <f>IFERROR(__xludf.DUMMYFUNCTION("""COMPUTED_VALUE"""),139.87)</f>
        <v>139.87</v>
      </c>
      <c r="D7799" s="2">
        <f>IFERROR(__xludf.DUMMYFUNCTION("""COMPUTED_VALUE"""),137.37)</f>
        <v>137.37</v>
      </c>
      <c r="E7799" s="2">
        <f>IFERROR(__xludf.DUMMYFUNCTION("""COMPUTED_VALUE"""),139.27)</f>
        <v>139.27</v>
      </c>
      <c r="F7799" s="2">
        <f>IFERROR(__xludf.DUMMYFUNCTION("""COMPUTED_VALUE"""),4877219.0)</f>
        <v>4877219</v>
      </c>
    </row>
    <row r="7800">
      <c r="A7800" s="3">
        <f>IFERROR(__xludf.DUMMYFUNCTION("""COMPUTED_VALUE"""),40508.666666666664)</f>
        <v>40508.66667</v>
      </c>
      <c r="B7800" s="2">
        <f>IFERROR(__xludf.DUMMYFUNCTION("""COMPUTED_VALUE"""),138.79)</f>
        <v>138.79</v>
      </c>
      <c r="C7800" s="2">
        <f>IFERROR(__xludf.DUMMYFUNCTION("""COMPUTED_VALUE"""),138.79)</f>
        <v>138.79</v>
      </c>
      <c r="D7800" s="2">
        <f>IFERROR(__xludf.DUMMYFUNCTION("""COMPUTED_VALUE"""),137.13)</f>
        <v>137.13</v>
      </c>
      <c r="E7800" s="2">
        <f>IFERROR(__xludf.DUMMYFUNCTION("""COMPUTED_VALUE"""),137.45)</f>
        <v>137.45</v>
      </c>
      <c r="F7800" s="2">
        <f>IFERROR(__xludf.DUMMYFUNCTION("""COMPUTED_VALUE"""),2081260.0)</f>
        <v>2081260</v>
      </c>
    </row>
    <row r="7801">
      <c r="A7801" s="3">
        <f>IFERROR(__xludf.DUMMYFUNCTION("""COMPUTED_VALUE"""),40511.666666666664)</f>
        <v>40511.66667</v>
      </c>
      <c r="B7801" s="2">
        <f>IFERROR(__xludf.DUMMYFUNCTION("""COMPUTED_VALUE"""),137.09)</f>
        <v>137.09</v>
      </c>
      <c r="C7801" s="2">
        <f>IFERROR(__xludf.DUMMYFUNCTION("""COMPUTED_VALUE"""),137.23)</f>
        <v>137.23</v>
      </c>
      <c r="D7801" s="2">
        <f>IFERROR(__xludf.DUMMYFUNCTION("""COMPUTED_VALUE"""),135.16)</f>
        <v>135.16</v>
      </c>
      <c r="E7801" s="2">
        <f>IFERROR(__xludf.DUMMYFUNCTION("""COMPUTED_VALUE"""),136.48)</f>
        <v>136.48</v>
      </c>
      <c r="F7801" s="2">
        <f>IFERROR(__xludf.DUMMYFUNCTION("""COMPUTED_VALUE"""),5040206.0)</f>
        <v>5040206</v>
      </c>
    </row>
    <row r="7802">
      <c r="A7802" s="3">
        <f>IFERROR(__xludf.DUMMYFUNCTION("""COMPUTED_VALUE"""),40512.666666666664)</f>
        <v>40512.66667</v>
      </c>
      <c r="B7802" s="2">
        <f>IFERROR(__xludf.DUMMYFUNCTION("""COMPUTED_VALUE"""),135.86)</f>
        <v>135.86</v>
      </c>
      <c r="C7802" s="2">
        <f>IFERROR(__xludf.DUMMYFUNCTION("""COMPUTED_VALUE"""),136.36)</f>
        <v>136.36</v>
      </c>
      <c r="D7802" s="2">
        <f>IFERROR(__xludf.DUMMYFUNCTION("""COMPUTED_VALUE"""),134.95)</f>
        <v>134.95</v>
      </c>
      <c r="E7802" s="2">
        <f>IFERROR(__xludf.DUMMYFUNCTION("""COMPUTED_VALUE"""),135.12)</f>
        <v>135.12</v>
      </c>
      <c r="F7802" s="2">
        <f>IFERROR(__xludf.DUMMYFUNCTION("""COMPUTED_VALUE"""),7676320.0)</f>
        <v>7676320</v>
      </c>
    </row>
    <row r="7803">
      <c r="A7803" s="3">
        <f>IFERROR(__xludf.DUMMYFUNCTION("""COMPUTED_VALUE"""),40513.666666666664)</f>
        <v>40513.66667</v>
      </c>
      <c r="B7803" s="2">
        <f>IFERROR(__xludf.DUMMYFUNCTION("""COMPUTED_VALUE"""),137.17)</f>
        <v>137.17</v>
      </c>
      <c r="C7803" s="2">
        <f>IFERROR(__xludf.DUMMYFUNCTION("""COMPUTED_VALUE"""),138.62)</f>
        <v>138.62</v>
      </c>
      <c r="D7803" s="2">
        <f>IFERROR(__xludf.DUMMYFUNCTION("""COMPUTED_VALUE"""),137.08)</f>
        <v>137.08</v>
      </c>
      <c r="E7803" s="2">
        <f>IFERROR(__xludf.DUMMYFUNCTION("""COMPUTED_VALUE"""),137.94)</f>
        <v>137.94</v>
      </c>
      <c r="F7803" s="2">
        <f>IFERROR(__xludf.DUMMYFUNCTION("""COMPUTED_VALUE"""),6826974.0)</f>
        <v>6826974</v>
      </c>
    </row>
    <row r="7804">
      <c r="A7804" s="3">
        <f>IFERROR(__xludf.DUMMYFUNCTION("""COMPUTED_VALUE"""),40514.666666666664)</f>
        <v>40514.66667</v>
      </c>
      <c r="B7804" s="2">
        <f>IFERROR(__xludf.DUMMYFUNCTION("""COMPUTED_VALUE"""),137.86)</f>
        <v>137.86</v>
      </c>
      <c r="C7804" s="2">
        <f>IFERROR(__xludf.DUMMYFUNCTION("""COMPUTED_VALUE"""),139.31)</f>
        <v>139.31</v>
      </c>
      <c r="D7804" s="2">
        <f>IFERROR(__xludf.DUMMYFUNCTION("""COMPUTED_VALUE"""),137.83)</f>
        <v>137.83</v>
      </c>
      <c r="E7804" s="2">
        <f>IFERROR(__xludf.DUMMYFUNCTION("""COMPUTED_VALUE"""),138.67)</f>
        <v>138.67</v>
      </c>
      <c r="F7804" s="2">
        <f>IFERROR(__xludf.DUMMYFUNCTION("""COMPUTED_VALUE"""),5375523.0)</f>
        <v>5375523</v>
      </c>
    </row>
    <row r="7805">
      <c r="A7805" s="3">
        <f>IFERROR(__xludf.DUMMYFUNCTION("""COMPUTED_VALUE"""),40515.666666666664)</f>
        <v>40515.66667</v>
      </c>
      <c r="B7805" s="2">
        <f>IFERROR(__xludf.DUMMYFUNCTION("""COMPUTED_VALUE"""),137.78)</f>
        <v>137.78</v>
      </c>
      <c r="C7805" s="2">
        <f>IFERROR(__xludf.DUMMYFUNCTION("""COMPUTED_VALUE"""),139.15)</f>
        <v>139.15</v>
      </c>
      <c r="D7805" s="2">
        <f>IFERROR(__xludf.DUMMYFUNCTION("""COMPUTED_VALUE"""),137.78)</f>
        <v>137.78</v>
      </c>
      <c r="E7805" s="2">
        <f>IFERROR(__xludf.DUMMYFUNCTION("""COMPUTED_VALUE"""),138.86)</f>
        <v>138.86</v>
      </c>
      <c r="F7805" s="2">
        <f>IFERROR(__xludf.DUMMYFUNCTION("""COMPUTED_VALUE"""),3710884.0)</f>
        <v>3710884</v>
      </c>
    </row>
    <row r="7806">
      <c r="A7806" s="3">
        <f>IFERROR(__xludf.DUMMYFUNCTION("""COMPUTED_VALUE"""),40518.666666666664)</f>
        <v>40518.66667</v>
      </c>
      <c r="B7806" s="2">
        <f>IFERROR(__xludf.DUMMYFUNCTION("""COMPUTED_VALUE"""),138.06)</f>
        <v>138.06</v>
      </c>
      <c r="C7806" s="2">
        <f>IFERROR(__xludf.DUMMYFUNCTION("""COMPUTED_VALUE"""),139.33)</f>
        <v>139.33</v>
      </c>
      <c r="D7806" s="2">
        <f>IFERROR(__xludf.DUMMYFUNCTION("""COMPUTED_VALUE"""),138.04)</f>
        <v>138.04</v>
      </c>
      <c r="E7806" s="2">
        <f>IFERROR(__xludf.DUMMYFUNCTION("""COMPUTED_VALUE"""),138.49)</f>
        <v>138.49</v>
      </c>
      <c r="F7806" s="2">
        <f>IFERROR(__xludf.DUMMYFUNCTION("""COMPUTED_VALUE"""),3321951.0)</f>
        <v>3321951</v>
      </c>
    </row>
    <row r="7807">
      <c r="A7807" s="3">
        <f>IFERROR(__xludf.DUMMYFUNCTION("""COMPUTED_VALUE"""),40519.666666666664)</f>
        <v>40519.66667</v>
      </c>
      <c r="B7807" s="2">
        <f>IFERROR(__xludf.DUMMYFUNCTION("""COMPUTED_VALUE"""),139.47)</f>
        <v>139.47</v>
      </c>
      <c r="C7807" s="2">
        <f>IFERROR(__xludf.DUMMYFUNCTION("""COMPUTED_VALUE"""),139.74)</f>
        <v>139.74</v>
      </c>
      <c r="D7807" s="2">
        <f>IFERROR(__xludf.DUMMYFUNCTION("""COMPUTED_VALUE"""),137.42)</f>
        <v>137.42</v>
      </c>
      <c r="E7807" s="2">
        <f>IFERROR(__xludf.DUMMYFUNCTION("""COMPUTED_VALUE"""),137.56)</f>
        <v>137.56</v>
      </c>
      <c r="F7807" s="2">
        <f>IFERROR(__xludf.DUMMYFUNCTION("""COMPUTED_VALUE"""),4830430.0)</f>
        <v>4830430</v>
      </c>
    </row>
    <row r="7808">
      <c r="A7808" s="3">
        <f>IFERROR(__xludf.DUMMYFUNCTION("""COMPUTED_VALUE"""),40520.666666666664)</f>
        <v>40520.66667</v>
      </c>
      <c r="B7808" s="2">
        <f>IFERROR(__xludf.DUMMYFUNCTION("""COMPUTED_VALUE"""),137.88)</f>
        <v>137.88</v>
      </c>
      <c r="C7808" s="2">
        <f>IFERROR(__xludf.DUMMYFUNCTION("""COMPUTED_VALUE"""),139.12)</f>
        <v>139.12</v>
      </c>
      <c r="D7808" s="2">
        <f>IFERROR(__xludf.DUMMYFUNCTION("""COMPUTED_VALUE"""),137.39)</f>
        <v>137.39</v>
      </c>
      <c r="E7808" s="2">
        <f>IFERROR(__xludf.DUMMYFUNCTION("""COMPUTED_VALUE"""),138.48)</f>
        <v>138.48</v>
      </c>
      <c r="F7808" s="2">
        <f>IFERROR(__xludf.DUMMYFUNCTION("""COMPUTED_VALUE"""),4962115.0)</f>
        <v>4962115</v>
      </c>
    </row>
    <row r="7809">
      <c r="A7809" s="3">
        <f>IFERROR(__xludf.DUMMYFUNCTION("""COMPUTED_VALUE"""),40521.666666666664)</f>
        <v>40521.66667</v>
      </c>
      <c r="B7809" s="2">
        <f>IFERROR(__xludf.DUMMYFUNCTION("""COMPUTED_VALUE"""),139.4)</f>
        <v>139.4</v>
      </c>
      <c r="C7809" s="2">
        <f>IFERROR(__xludf.DUMMYFUNCTION("""COMPUTED_VALUE"""),139.4)</f>
        <v>139.4</v>
      </c>
      <c r="D7809" s="2">
        <f>IFERROR(__xludf.DUMMYFUNCTION("""COMPUTED_VALUE"""),137.09)</f>
        <v>137.09</v>
      </c>
      <c r="E7809" s="2">
        <f>IFERROR(__xludf.DUMMYFUNCTION("""COMPUTED_VALUE"""),137.83)</f>
        <v>137.83</v>
      </c>
      <c r="F7809" s="2">
        <f>IFERROR(__xludf.DUMMYFUNCTION("""COMPUTED_VALUE"""),4406114.0)</f>
        <v>4406114</v>
      </c>
    </row>
    <row r="7810">
      <c r="A7810" s="3">
        <f>IFERROR(__xludf.DUMMYFUNCTION("""COMPUTED_VALUE"""),40522.666666666664)</f>
        <v>40522.66667</v>
      </c>
      <c r="B7810" s="2">
        <f>IFERROR(__xludf.DUMMYFUNCTION("""COMPUTED_VALUE"""),138.38)</f>
        <v>138.38</v>
      </c>
      <c r="C7810" s="2">
        <f>IFERROR(__xludf.DUMMYFUNCTION("""COMPUTED_VALUE"""),138.45)</f>
        <v>138.45</v>
      </c>
      <c r="D7810" s="2">
        <f>IFERROR(__xludf.DUMMYFUNCTION("""COMPUTED_VALUE"""),137.29)</f>
        <v>137.29</v>
      </c>
      <c r="E7810" s="2">
        <f>IFERROR(__xludf.DUMMYFUNCTION("""COMPUTED_VALUE"""),138.33)</f>
        <v>138.33</v>
      </c>
      <c r="F7810" s="2">
        <f>IFERROR(__xludf.DUMMYFUNCTION("""COMPUTED_VALUE"""),3503880.0)</f>
        <v>3503880</v>
      </c>
    </row>
    <row r="7811">
      <c r="A7811" s="3">
        <f>IFERROR(__xludf.DUMMYFUNCTION("""COMPUTED_VALUE"""),40525.666666666664)</f>
        <v>40525.66667</v>
      </c>
      <c r="B7811" s="2">
        <f>IFERROR(__xludf.DUMMYFUNCTION("""COMPUTED_VALUE"""),138.63)</f>
        <v>138.63</v>
      </c>
      <c r="C7811" s="2">
        <f>IFERROR(__xludf.DUMMYFUNCTION("""COMPUTED_VALUE"""),138.88)</f>
        <v>138.88</v>
      </c>
      <c r="D7811" s="2">
        <f>IFERROR(__xludf.DUMMYFUNCTION("""COMPUTED_VALUE"""),137.74)</f>
        <v>137.74</v>
      </c>
      <c r="E7811" s="2">
        <f>IFERROR(__xludf.DUMMYFUNCTION("""COMPUTED_VALUE"""),137.81)</f>
        <v>137.81</v>
      </c>
      <c r="F7811" s="2">
        <f>IFERROR(__xludf.DUMMYFUNCTION("""COMPUTED_VALUE"""),4741876.0)</f>
        <v>4741876</v>
      </c>
    </row>
    <row r="7812">
      <c r="A7812" s="3">
        <f>IFERROR(__xludf.DUMMYFUNCTION("""COMPUTED_VALUE"""),40526.666666666664)</f>
        <v>40526.66667</v>
      </c>
      <c r="B7812" s="2">
        <f>IFERROR(__xludf.DUMMYFUNCTION("""COMPUTED_VALUE"""),137.79)</f>
        <v>137.79</v>
      </c>
      <c r="C7812" s="2">
        <f>IFERROR(__xludf.DUMMYFUNCTION("""COMPUTED_VALUE"""),139.46)</f>
        <v>139.46</v>
      </c>
      <c r="D7812" s="2">
        <f>IFERROR(__xludf.DUMMYFUNCTION("""COMPUTED_VALUE"""),137.79)</f>
        <v>137.79</v>
      </c>
      <c r="E7812" s="2">
        <f>IFERROR(__xludf.DUMMYFUNCTION("""COMPUTED_VALUE"""),139.28)</f>
        <v>139.28</v>
      </c>
      <c r="F7812" s="2">
        <f>IFERROR(__xludf.DUMMYFUNCTION("""COMPUTED_VALUE"""),4804172.0)</f>
        <v>4804172</v>
      </c>
    </row>
    <row r="7813">
      <c r="A7813" s="3">
        <f>IFERROR(__xludf.DUMMYFUNCTION("""COMPUTED_VALUE"""),40527.666666666664)</f>
        <v>40527.66667</v>
      </c>
      <c r="B7813" s="2">
        <f>IFERROR(__xludf.DUMMYFUNCTION("""COMPUTED_VALUE"""),138.62)</f>
        <v>138.62</v>
      </c>
      <c r="C7813" s="2">
        <f>IFERROR(__xludf.DUMMYFUNCTION("""COMPUTED_VALUE"""),139.19)</f>
        <v>139.19</v>
      </c>
      <c r="D7813" s="2">
        <f>IFERROR(__xludf.DUMMYFUNCTION("""COMPUTED_VALUE"""),137.84)</f>
        <v>137.84</v>
      </c>
      <c r="E7813" s="2">
        <f>IFERROR(__xludf.DUMMYFUNCTION("""COMPUTED_VALUE"""),138.23)</f>
        <v>138.23</v>
      </c>
      <c r="F7813" s="2">
        <f>IFERROR(__xludf.DUMMYFUNCTION("""COMPUTED_VALUE"""),4447397.0)</f>
        <v>4447397</v>
      </c>
    </row>
    <row r="7814">
      <c r="A7814" s="3">
        <f>IFERROR(__xludf.DUMMYFUNCTION("""COMPUTED_VALUE"""),40528.666666666664)</f>
        <v>40528.66667</v>
      </c>
      <c r="B7814" s="2">
        <f>IFERROR(__xludf.DUMMYFUNCTION("""COMPUTED_VALUE"""),138.35)</f>
        <v>138.35</v>
      </c>
      <c r="C7814" s="2">
        <f>IFERROR(__xludf.DUMMYFUNCTION("""COMPUTED_VALUE"""),138.8)</f>
        <v>138.8</v>
      </c>
      <c r="D7814" s="2">
        <f>IFERROR(__xludf.DUMMYFUNCTION("""COMPUTED_VALUE"""),137.69)</f>
        <v>137.69</v>
      </c>
      <c r="E7814" s="2">
        <f>IFERROR(__xludf.DUMMYFUNCTION("""COMPUTED_VALUE"""),138.07)</f>
        <v>138.07</v>
      </c>
      <c r="F7814" s="2">
        <f>IFERROR(__xludf.DUMMYFUNCTION("""COMPUTED_VALUE"""),4178664.0)</f>
        <v>4178664</v>
      </c>
    </row>
    <row r="7815">
      <c r="A7815" s="3">
        <f>IFERROR(__xludf.DUMMYFUNCTION("""COMPUTED_VALUE"""),40529.666666666664)</f>
        <v>40529.66667</v>
      </c>
      <c r="B7815" s="2">
        <f>IFERROR(__xludf.DUMMYFUNCTION("""COMPUTED_VALUE"""),138.2)</f>
        <v>138.2</v>
      </c>
      <c r="C7815" s="2">
        <f>IFERROR(__xludf.DUMMYFUNCTION("""COMPUTED_VALUE"""),138.98)</f>
        <v>138.98</v>
      </c>
      <c r="D7815" s="2">
        <f>IFERROR(__xludf.DUMMYFUNCTION("""COMPUTED_VALUE"""),137.93)</f>
        <v>137.93</v>
      </c>
      <c r="E7815" s="2">
        <f>IFERROR(__xludf.DUMMYFUNCTION("""COMPUTED_VALUE"""),138.5)</f>
        <v>138.5</v>
      </c>
      <c r="F7815" s="2">
        <f>IFERROR(__xludf.DUMMYFUNCTION("""COMPUTED_VALUE"""),1.0026946E7)</f>
        <v>10026946</v>
      </c>
    </row>
    <row r="7816">
      <c r="A7816" s="3">
        <f>IFERROR(__xludf.DUMMYFUNCTION("""COMPUTED_VALUE"""),40532.666666666664)</f>
        <v>40532.66667</v>
      </c>
      <c r="B7816" s="2">
        <f>IFERROR(__xludf.DUMMYFUNCTION("""COMPUTED_VALUE"""),138.87)</f>
        <v>138.87</v>
      </c>
      <c r="C7816" s="2">
        <f>IFERROR(__xludf.DUMMYFUNCTION("""COMPUTED_VALUE"""),139.01)</f>
        <v>139.01</v>
      </c>
      <c r="D7816" s="2">
        <f>IFERROR(__xludf.DUMMYFUNCTION("""COMPUTED_VALUE"""),137.92)</f>
        <v>137.92</v>
      </c>
      <c r="E7816" s="2">
        <f>IFERROR(__xludf.DUMMYFUNCTION("""COMPUTED_VALUE"""),138.03)</f>
        <v>138.03</v>
      </c>
      <c r="F7816" s="2">
        <f>IFERROR(__xludf.DUMMYFUNCTION("""COMPUTED_VALUE"""),3994963.0)</f>
        <v>3994963</v>
      </c>
    </row>
    <row r="7817">
      <c r="A7817" s="3">
        <f>IFERROR(__xludf.DUMMYFUNCTION("""COMPUTED_VALUE"""),40533.666666666664)</f>
        <v>40533.66667</v>
      </c>
      <c r="B7817" s="2">
        <f>IFERROR(__xludf.DUMMYFUNCTION("""COMPUTED_VALUE"""),138.49)</f>
        <v>138.49</v>
      </c>
      <c r="C7817" s="2">
        <f>IFERROR(__xludf.DUMMYFUNCTION("""COMPUTED_VALUE"""),139.44)</f>
        <v>139.44</v>
      </c>
      <c r="D7817" s="2">
        <f>IFERROR(__xludf.DUMMYFUNCTION("""COMPUTED_VALUE"""),137.86)</f>
        <v>137.86</v>
      </c>
      <c r="E7817" s="2">
        <f>IFERROR(__xludf.DUMMYFUNCTION("""COMPUTED_VALUE"""),139.21)</f>
        <v>139.21</v>
      </c>
      <c r="F7817" s="2">
        <f>IFERROR(__xludf.DUMMYFUNCTION("""COMPUTED_VALUE"""),3779240.0)</f>
        <v>3779240</v>
      </c>
    </row>
    <row r="7818">
      <c r="A7818" s="3">
        <f>IFERROR(__xludf.DUMMYFUNCTION("""COMPUTED_VALUE"""),40534.666666666664)</f>
        <v>40534.66667</v>
      </c>
      <c r="B7818" s="2">
        <f>IFERROR(__xludf.DUMMYFUNCTION("""COMPUTED_VALUE"""),139.13)</f>
        <v>139.13</v>
      </c>
      <c r="C7818" s="2">
        <f>IFERROR(__xludf.DUMMYFUNCTION("""COMPUTED_VALUE"""),139.84)</f>
        <v>139.84</v>
      </c>
      <c r="D7818" s="2">
        <f>IFERROR(__xludf.DUMMYFUNCTION("""COMPUTED_VALUE"""),139.05)</f>
        <v>139.05</v>
      </c>
      <c r="E7818" s="2">
        <f>IFERROR(__xludf.DUMMYFUNCTION("""COMPUTED_VALUE"""),139.41)</f>
        <v>139.41</v>
      </c>
      <c r="F7818" s="2">
        <f>IFERROR(__xludf.DUMMYFUNCTION("""COMPUTED_VALUE"""),3388801.0)</f>
        <v>3388801</v>
      </c>
    </row>
    <row r="7819">
      <c r="A7819" s="3">
        <f>IFERROR(__xludf.DUMMYFUNCTION("""COMPUTED_VALUE"""),40535.666666666664)</f>
        <v>40535.66667</v>
      </c>
      <c r="B7819" s="2">
        <f>IFERROR(__xludf.DUMMYFUNCTION("""COMPUTED_VALUE"""),139.35)</f>
        <v>139.35</v>
      </c>
      <c r="C7819" s="2">
        <f>IFERROR(__xludf.DUMMYFUNCTION("""COMPUTED_VALUE"""),139.77)</f>
        <v>139.77</v>
      </c>
      <c r="D7819" s="2">
        <f>IFERROR(__xludf.DUMMYFUNCTION("""COMPUTED_VALUE"""),138.81)</f>
        <v>138.81</v>
      </c>
      <c r="E7819" s="2">
        <f>IFERROR(__xludf.DUMMYFUNCTION("""COMPUTED_VALUE"""),139.35)</f>
        <v>139.35</v>
      </c>
      <c r="F7819" s="2">
        <f>IFERROR(__xludf.DUMMYFUNCTION("""COMPUTED_VALUE"""),2425301.0)</f>
        <v>2425301</v>
      </c>
    </row>
    <row r="7820">
      <c r="A7820" s="3">
        <f>IFERROR(__xludf.DUMMYFUNCTION("""COMPUTED_VALUE"""),40539.666666666664)</f>
        <v>40539.66667</v>
      </c>
      <c r="B7820" s="2">
        <f>IFERROR(__xludf.DUMMYFUNCTION("""COMPUTED_VALUE"""),138.61)</f>
        <v>138.61</v>
      </c>
      <c r="C7820" s="2">
        <f>IFERROR(__xludf.DUMMYFUNCTION("""COMPUTED_VALUE"""),139.17)</f>
        <v>139.17</v>
      </c>
      <c r="D7820" s="2">
        <f>IFERROR(__xludf.DUMMYFUNCTION("""COMPUTED_VALUE"""),138.5)</f>
        <v>138.5</v>
      </c>
      <c r="E7820" s="2">
        <f>IFERROR(__xludf.DUMMYFUNCTION("""COMPUTED_VALUE"""),138.82)</f>
        <v>138.82</v>
      </c>
      <c r="F7820" s="2">
        <f>IFERROR(__xludf.DUMMYFUNCTION("""COMPUTED_VALUE"""),2314687.0)</f>
        <v>2314687</v>
      </c>
    </row>
    <row r="7821">
      <c r="A7821" s="3">
        <f>IFERROR(__xludf.DUMMYFUNCTION("""COMPUTED_VALUE"""),40540.666666666664)</f>
        <v>40540.66667</v>
      </c>
      <c r="B7821" s="2">
        <f>IFERROR(__xludf.DUMMYFUNCTION("""COMPUTED_VALUE"""),138.79)</f>
        <v>138.79</v>
      </c>
      <c r="C7821" s="2">
        <f>IFERROR(__xludf.DUMMYFUNCTION("""COMPUTED_VALUE"""),139.6)</f>
        <v>139.6</v>
      </c>
      <c r="D7821" s="2">
        <f>IFERROR(__xludf.DUMMYFUNCTION("""COMPUTED_VALUE"""),138.56)</f>
        <v>138.56</v>
      </c>
      <c r="E7821" s="2">
        <f>IFERROR(__xludf.DUMMYFUNCTION("""COMPUTED_VALUE"""),139.18)</f>
        <v>139.18</v>
      </c>
      <c r="F7821" s="2">
        <f>IFERROR(__xludf.DUMMYFUNCTION("""COMPUTED_VALUE"""),2700968.0)</f>
        <v>2700968</v>
      </c>
    </row>
    <row r="7822">
      <c r="A7822" s="3">
        <f>IFERROR(__xludf.DUMMYFUNCTION("""COMPUTED_VALUE"""),40541.666666666664)</f>
        <v>40541.66667</v>
      </c>
      <c r="B7822" s="2">
        <f>IFERROR(__xludf.DUMMYFUNCTION("""COMPUTED_VALUE"""),139.45)</f>
        <v>139.45</v>
      </c>
      <c r="C7822" s="2">
        <f>IFERROR(__xludf.DUMMYFUNCTION("""COMPUTED_VALUE"""),140.89)</f>
        <v>140.89</v>
      </c>
      <c r="D7822" s="2">
        <f>IFERROR(__xludf.DUMMYFUNCTION("""COMPUTED_VALUE"""),139.18)</f>
        <v>139.18</v>
      </c>
      <c r="E7822" s="2">
        <f>IFERROR(__xludf.DUMMYFUNCTION("""COMPUTED_VALUE"""),139.95)</f>
        <v>139.95</v>
      </c>
      <c r="F7822" s="2">
        <f>IFERROR(__xludf.DUMMYFUNCTION("""COMPUTED_VALUE"""),3662739.0)</f>
        <v>3662739</v>
      </c>
    </row>
    <row r="7823">
      <c r="A7823" s="3">
        <f>IFERROR(__xludf.DUMMYFUNCTION("""COMPUTED_VALUE"""),40542.666666666664)</f>
        <v>40542.66667</v>
      </c>
      <c r="B7823" s="2">
        <f>IFERROR(__xludf.DUMMYFUNCTION("""COMPUTED_VALUE"""),139.8)</f>
        <v>139.8</v>
      </c>
      <c r="C7823" s="2">
        <f>IFERROR(__xludf.DUMMYFUNCTION("""COMPUTED_VALUE"""),140.51)</f>
        <v>140.51</v>
      </c>
      <c r="D7823" s="2">
        <f>IFERROR(__xludf.DUMMYFUNCTION("""COMPUTED_VALUE"""),139.69)</f>
        <v>139.69</v>
      </c>
      <c r="E7823" s="2">
        <f>IFERROR(__xludf.DUMMYFUNCTION("""COMPUTED_VALUE"""),140.09)</f>
        <v>140.09</v>
      </c>
      <c r="F7823" s="2">
        <f>IFERROR(__xludf.DUMMYFUNCTION("""COMPUTED_VALUE"""),3039004.0)</f>
        <v>3039004</v>
      </c>
    </row>
    <row r="7824">
      <c r="A7824" s="3">
        <f>IFERROR(__xludf.DUMMYFUNCTION("""COMPUTED_VALUE"""),40543.666666666664)</f>
        <v>40543.66667</v>
      </c>
      <c r="B7824" s="2">
        <f>IFERROR(__xludf.DUMMYFUNCTION("""COMPUTED_VALUE"""),140.15)</f>
        <v>140.15</v>
      </c>
      <c r="C7824" s="2">
        <f>IFERROR(__xludf.DUMMYFUNCTION("""COMPUTED_VALUE"""),140.48)</f>
        <v>140.48</v>
      </c>
      <c r="D7824" s="2">
        <f>IFERROR(__xludf.DUMMYFUNCTION("""COMPUTED_VALUE"""),139.42)</f>
        <v>139.42</v>
      </c>
      <c r="E7824" s="2">
        <f>IFERROR(__xludf.DUMMYFUNCTION("""COMPUTED_VALUE"""),140.18)</f>
        <v>140.18</v>
      </c>
      <c r="F7824" s="2">
        <f>IFERROR(__xludf.DUMMYFUNCTION("""COMPUTED_VALUE"""),2969933.0)</f>
        <v>2969933</v>
      </c>
    </row>
    <row r="7825">
      <c r="A7825" s="3">
        <f>IFERROR(__xludf.DUMMYFUNCTION("""COMPUTED_VALUE"""),40546.666666666664)</f>
        <v>40546.66667</v>
      </c>
      <c r="B7825" s="2">
        <f>IFERROR(__xludf.DUMMYFUNCTION("""COMPUTED_VALUE"""),140.61)</f>
        <v>140.61</v>
      </c>
      <c r="C7825" s="2">
        <f>IFERROR(__xludf.DUMMYFUNCTION("""COMPUTED_VALUE"""),141.56)</f>
        <v>141.56</v>
      </c>
      <c r="D7825" s="2">
        <f>IFERROR(__xludf.DUMMYFUNCTION("""COMPUTED_VALUE"""),140.54)</f>
        <v>140.54</v>
      </c>
      <c r="E7825" s="2">
        <f>IFERROR(__xludf.DUMMYFUNCTION("""COMPUTED_VALUE"""),140.87)</f>
        <v>140.87</v>
      </c>
      <c r="F7825" s="2">
        <f>IFERROR(__xludf.DUMMYFUNCTION("""COMPUTED_VALUE"""),4604911.0)</f>
        <v>4604911</v>
      </c>
    </row>
    <row r="7826">
      <c r="A7826" s="3">
        <f>IFERROR(__xludf.DUMMYFUNCTION("""COMPUTED_VALUE"""),40547.666666666664)</f>
        <v>40547.66667</v>
      </c>
      <c r="B7826" s="2">
        <f>IFERROR(__xludf.DUMMYFUNCTION("""COMPUTED_VALUE"""),140.94)</f>
        <v>140.94</v>
      </c>
      <c r="C7826" s="2">
        <f>IFERROR(__xludf.DUMMYFUNCTION("""COMPUTED_VALUE"""),141.57)</f>
        <v>141.57</v>
      </c>
      <c r="D7826" s="2">
        <f>IFERROR(__xludf.DUMMYFUNCTION("""COMPUTED_VALUE"""),140.07)</f>
        <v>140.07</v>
      </c>
      <c r="E7826" s="2">
        <f>IFERROR(__xludf.DUMMYFUNCTION("""COMPUTED_VALUE"""),141.02)</f>
        <v>141.02</v>
      </c>
      <c r="F7826" s="2">
        <f>IFERROR(__xludf.DUMMYFUNCTION("""COMPUTED_VALUE"""),5060088.0)</f>
        <v>5060088</v>
      </c>
    </row>
    <row r="7827">
      <c r="A7827" s="3">
        <f>IFERROR(__xludf.DUMMYFUNCTION("""COMPUTED_VALUE"""),40548.666666666664)</f>
        <v>40548.66667</v>
      </c>
      <c r="B7827" s="2">
        <f>IFERROR(__xludf.DUMMYFUNCTION("""COMPUTED_VALUE"""),140.73)</f>
        <v>140.73</v>
      </c>
      <c r="C7827" s="2">
        <f>IFERROR(__xludf.DUMMYFUNCTION("""COMPUTED_VALUE"""),140.87)</f>
        <v>140.87</v>
      </c>
      <c r="D7827" s="2">
        <f>IFERROR(__xludf.DUMMYFUNCTION("""COMPUTED_VALUE"""),140.15)</f>
        <v>140.15</v>
      </c>
      <c r="E7827" s="2">
        <f>IFERROR(__xludf.DUMMYFUNCTION("""COMPUTED_VALUE"""),140.46)</f>
        <v>140.46</v>
      </c>
      <c r="F7827" s="2">
        <f>IFERROR(__xludf.DUMMYFUNCTION("""COMPUTED_VALUE"""),4659195.0)</f>
        <v>4659195</v>
      </c>
    </row>
    <row r="7828">
      <c r="A7828" s="3">
        <f>IFERROR(__xludf.DUMMYFUNCTION("""COMPUTED_VALUE"""),40549.666666666664)</f>
        <v>40549.66667</v>
      </c>
      <c r="B7828" s="2">
        <f>IFERROR(__xludf.DUMMYFUNCTION("""COMPUTED_VALUE"""),140.53)</f>
        <v>140.53</v>
      </c>
      <c r="C7828" s="2">
        <f>IFERROR(__xludf.DUMMYFUNCTION("""COMPUTED_VALUE"""),142.12)</f>
        <v>142.12</v>
      </c>
      <c r="D7828" s="2">
        <f>IFERROR(__xludf.DUMMYFUNCTION("""COMPUTED_VALUE"""),140.24)</f>
        <v>140.24</v>
      </c>
      <c r="E7828" s="2">
        <f>IFERROR(__xludf.DUMMYFUNCTION("""COMPUTED_VALUE"""),141.99)</f>
        <v>141.99</v>
      </c>
      <c r="F7828" s="2">
        <f>IFERROR(__xludf.DUMMYFUNCTION("""COMPUTED_VALUE"""),5032270.0)</f>
        <v>5032270</v>
      </c>
    </row>
    <row r="7829">
      <c r="A7829" s="3">
        <f>IFERROR(__xludf.DUMMYFUNCTION("""COMPUTED_VALUE"""),40550.666666666664)</f>
        <v>40550.66667</v>
      </c>
      <c r="B7829" s="2">
        <f>IFERROR(__xludf.DUMMYFUNCTION("""COMPUTED_VALUE"""),142.12)</f>
        <v>142.12</v>
      </c>
      <c r="C7829" s="2">
        <f>IFERROR(__xludf.DUMMYFUNCTION("""COMPUTED_VALUE"""),142.19)</f>
        <v>142.19</v>
      </c>
      <c r="D7829" s="2">
        <f>IFERROR(__xludf.DUMMYFUNCTION("""COMPUTED_VALUE"""),140.35)</f>
        <v>140.35</v>
      </c>
      <c r="E7829" s="2">
        <f>IFERROR(__xludf.DUMMYFUNCTION("""COMPUTED_VALUE"""),141.3)</f>
        <v>141.3</v>
      </c>
      <c r="F7829" s="2">
        <f>IFERROR(__xludf.DUMMYFUNCTION("""COMPUTED_VALUE"""),4136379.0)</f>
        <v>4136379</v>
      </c>
    </row>
    <row r="7830">
      <c r="A7830" s="3">
        <f>IFERROR(__xludf.DUMMYFUNCTION("""COMPUTED_VALUE"""),40553.666666666664)</f>
        <v>40553.66667</v>
      </c>
      <c r="B7830" s="2">
        <f>IFERROR(__xludf.DUMMYFUNCTION("""COMPUTED_VALUE"""),140.96)</f>
        <v>140.96</v>
      </c>
      <c r="C7830" s="2">
        <f>IFERROR(__xludf.DUMMYFUNCTION("""COMPUTED_VALUE"""),141.42)</f>
        <v>141.42</v>
      </c>
      <c r="D7830" s="2">
        <f>IFERROR(__xludf.DUMMYFUNCTION("""COMPUTED_VALUE"""),140.63)</f>
        <v>140.63</v>
      </c>
      <c r="E7830" s="2">
        <f>IFERROR(__xludf.DUMMYFUNCTION("""COMPUTED_VALUE"""),141.02)</f>
        <v>141.02</v>
      </c>
      <c r="F7830" s="2">
        <f>IFERROR(__xludf.DUMMYFUNCTION("""COMPUTED_VALUE"""),3633350.0)</f>
        <v>3633350</v>
      </c>
    </row>
    <row r="7831">
      <c r="A7831" s="3">
        <f>IFERROR(__xludf.DUMMYFUNCTION("""COMPUTED_VALUE"""),40554.666666666664)</f>
        <v>40554.66667</v>
      </c>
      <c r="B7831" s="2">
        <f>IFERROR(__xludf.DUMMYFUNCTION("""COMPUTED_VALUE"""),141.56)</f>
        <v>141.56</v>
      </c>
      <c r="C7831" s="2">
        <f>IFERROR(__xludf.DUMMYFUNCTION("""COMPUTED_VALUE"""),141.7)</f>
        <v>141.7</v>
      </c>
      <c r="D7831" s="2">
        <f>IFERROR(__xludf.DUMMYFUNCTION("""COMPUTED_VALUE"""),140.17)</f>
        <v>140.17</v>
      </c>
      <c r="E7831" s="2">
        <f>IFERROR(__xludf.DUMMYFUNCTION("""COMPUTED_VALUE"""),140.68)</f>
        <v>140.68</v>
      </c>
      <c r="F7831" s="2">
        <f>IFERROR(__xludf.DUMMYFUNCTION("""COMPUTED_VALUE"""),4164771.0)</f>
        <v>4164771</v>
      </c>
    </row>
    <row r="7832">
      <c r="A7832" s="3">
        <f>IFERROR(__xludf.DUMMYFUNCTION("""COMPUTED_VALUE"""),40555.666666666664)</f>
        <v>40555.66667</v>
      </c>
      <c r="B7832" s="2">
        <f>IFERROR(__xludf.DUMMYFUNCTION("""COMPUTED_VALUE"""),141.35)</f>
        <v>141.35</v>
      </c>
      <c r="C7832" s="2">
        <f>IFERROR(__xludf.DUMMYFUNCTION("""COMPUTED_VALUE"""),142.6)</f>
        <v>142.6</v>
      </c>
      <c r="D7832" s="2">
        <f>IFERROR(__xludf.DUMMYFUNCTION("""COMPUTED_VALUE"""),141.05)</f>
        <v>141.05</v>
      </c>
      <c r="E7832" s="2">
        <f>IFERROR(__xludf.DUMMYFUNCTION("""COMPUTED_VALUE"""),142.41)</f>
        <v>142.41</v>
      </c>
      <c r="F7832" s="2">
        <f>IFERROR(__xludf.DUMMYFUNCTION("""COMPUTED_VALUE"""),4091442.0)</f>
        <v>4091442</v>
      </c>
    </row>
    <row r="7833">
      <c r="A7833" s="3">
        <f>IFERROR(__xludf.DUMMYFUNCTION("""COMPUTED_VALUE"""),40556.666666666664)</f>
        <v>40556.66667</v>
      </c>
      <c r="B7833" s="2">
        <f>IFERROR(__xludf.DUMMYFUNCTION("""COMPUTED_VALUE"""),142.55)</f>
        <v>142.55</v>
      </c>
      <c r="C7833" s="2">
        <f>IFERROR(__xludf.DUMMYFUNCTION("""COMPUTED_VALUE"""),142.6)</f>
        <v>142.6</v>
      </c>
      <c r="D7833" s="2">
        <f>IFERROR(__xludf.DUMMYFUNCTION("""COMPUTED_VALUE"""),141.6)</f>
        <v>141.6</v>
      </c>
      <c r="E7833" s="2">
        <f>IFERROR(__xludf.DUMMYFUNCTION("""COMPUTED_VALUE"""),142.15)</f>
        <v>142.15</v>
      </c>
      <c r="F7833" s="2">
        <f>IFERROR(__xludf.DUMMYFUNCTION("""COMPUTED_VALUE"""),3445785.0)</f>
        <v>3445785</v>
      </c>
    </row>
    <row r="7834">
      <c r="A7834" s="3">
        <f>IFERROR(__xludf.DUMMYFUNCTION("""COMPUTED_VALUE"""),40557.666666666664)</f>
        <v>40557.66667</v>
      </c>
      <c r="B7834" s="2">
        <f>IFERROR(__xludf.DUMMYFUNCTION("""COMPUTED_VALUE"""),142.21)</f>
        <v>142.21</v>
      </c>
      <c r="C7834" s="2">
        <f>IFERROR(__xludf.DUMMYFUNCTION("""COMPUTED_VALUE"""),143.27)</f>
        <v>143.27</v>
      </c>
      <c r="D7834" s="2">
        <f>IFERROR(__xludf.DUMMYFUNCTION("""COMPUTED_VALUE"""),141.81)</f>
        <v>141.81</v>
      </c>
      <c r="E7834" s="2">
        <f>IFERROR(__xludf.DUMMYFUNCTION("""COMPUTED_VALUE"""),143.27)</f>
        <v>143.27</v>
      </c>
      <c r="F7834" s="2">
        <f>IFERROR(__xludf.DUMMYFUNCTION("""COMPUTED_VALUE"""),4546899.0)</f>
        <v>4546899</v>
      </c>
    </row>
    <row r="7835">
      <c r="A7835" s="3">
        <f>IFERROR(__xludf.DUMMYFUNCTION("""COMPUTED_VALUE"""),40561.666666666664)</f>
        <v>40561.66667</v>
      </c>
      <c r="B7835" s="2">
        <f>IFERROR(__xludf.DUMMYFUNCTION("""COMPUTED_VALUE"""),143.1)</f>
        <v>143.1</v>
      </c>
      <c r="C7835" s="2">
        <f>IFERROR(__xludf.DUMMYFUNCTION("""COMPUTED_VALUE"""),144.67)</f>
        <v>144.67</v>
      </c>
      <c r="D7835" s="2">
        <f>IFERROR(__xludf.DUMMYFUNCTION("""COMPUTED_VALUE"""),142.68)</f>
        <v>142.68</v>
      </c>
      <c r="E7835" s="2">
        <f>IFERROR(__xludf.DUMMYFUNCTION("""COMPUTED_VALUE"""),143.9)</f>
        <v>143.9</v>
      </c>
      <c r="F7835" s="2">
        <f>IFERROR(__xludf.DUMMYFUNCTION("""COMPUTED_VALUE"""),9176829.0)</f>
        <v>9176829</v>
      </c>
    </row>
    <row r="7836">
      <c r="A7836" s="3">
        <f>IFERROR(__xludf.DUMMYFUNCTION("""COMPUTED_VALUE"""),40562.666666666664)</f>
        <v>40562.66667</v>
      </c>
      <c r="B7836" s="2">
        <f>IFERROR(__xludf.DUMMYFUNCTION("""COMPUTED_VALUE"""),146.39)</f>
        <v>146.39</v>
      </c>
      <c r="C7836" s="2">
        <f>IFERROR(__xludf.DUMMYFUNCTION("""COMPUTED_VALUE"""),149.13)</f>
        <v>149.13</v>
      </c>
      <c r="D7836" s="2">
        <f>IFERROR(__xludf.DUMMYFUNCTION("""COMPUTED_VALUE"""),145.98)</f>
        <v>145.98</v>
      </c>
      <c r="E7836" s="2">
        <f>IFERROR(__xludf.DUMMYFUNCTION("""COMPUTED_VALUE"""),148.71)</f>
        <v>148.71</v>
      </c>
      <c r="F7836" s="2">
        <f>IFERROR(__xludf.DUMMYFUNCTION("""COMPUTED_VALUE"""),1.2143645E7)</f>
        <v>12143645</v>
      </c>
    </row>
    <row r="7837">
      <c r="A7837" s="3">
        <f>IFERROR(__xludf.DUMMYFUNCTION("""COMPUTED_VALUE"""),40563.666666666664)</f>
        <v>40563.66667</v>
      </c>
      <c r="B7837" s="2">
        <f>IFERROR(__xludf.DUMMYFUNCTION("""COMPUTED_VALUE"""),147.6)</f>
        <v>147.6</v>
      </c>
      <c r="C7837" s="2">
        <f>IFERROR(__xludf.DUMMYFUNCTION("""COMPUTED_VALUE"""),148.97)</f>
        <v>148.97</v>
      </c>
      <c r="D7837" s="2">
        <f>IFERROR(__xludf.DUMMYFUNCTION("""COMPUTED_VALUE"""),147.53)</f>
        <v>147.53</v>
      </c>
      <c r="E7837" s="2">
        <f>IFERROR(__xludf.DUMMYFUNCTION("""COMPUTED_VALUE"""),148.81)</f>
        <v>148.81</v>
      </c>
      <c r="F7837" s="2">
        <f>IFERROR(__xludf.DUMMYFUNCTION("""COMPUTED_VALUE"""),7441447.0)</f>
        <v>7441447</v>
      </c>
    </row>
    <row r="7838">
      <c r="A7838" s="3">
        <f>IFERROR(__xludf.DUMMYFUNCTION("""COMPUTED_VALUE"""),40564.666666666664)</f>
        <v>40564.66667</v>
      </c>
      <c r="B7838" s="2">
        <f>IFERROR(__xludf.DUMMYFUNCTION("""COMPUTED_VALUE"""),149.39)</f>
        <v>149.39</v>
      </c>
      <c r="C7838" s="2">
        <f>IFERROR(__xludf.DUMMYFUNCTION("""COMPUTED_VALUE"""),149.75)</f>
        <v>149.75</v>
      </c>
      <c r="D7838" s="2">
        <f>IFERROR(__xludf.DUMMYFUNCTION("""COMPUTED_VALUE"""),148.01)</f>
        <v>148.01</v>
      </c>
      <c r="E7838" s="2">
        <f>IFERROR(__xludf.DUMMYFUNCTION("""COMPUTED_VALUE"""),148.53)</f>
        <v>148.53</v>
      </c>
      <c r="F7838" s="2">
        <f>IFERROR(__xludf.DUMMYFUNCTION("""COMPUTED_VALUE"""),7009010.0)</f>
        <v>7009010</v>
      </c>
    </row>
    <row r="7839">
      <c r="A7839" s="3">
        <f>IFERROR(__xludf.DUMMYFUNCTION("""COMPUTED_VALUE"""),40567.666666666664)</f>
        <v>40567.66667</v>
      </c>
      <c r="B7839" s="2">
        <f>IFERROR(__xludf.DUMMYFUNCTION("""COMPUTED_VALUE"""),148.45)</f>
        <v>148.45</v>
      </c>
      <c r="C7839" s="2">
        <f>IFERROR(__xludf.DUMMYFUNCTION("""COMPUTED_VALUE"""),152.63)</f>
        <v>152.63</v>
      </c>
      <c r="D7839" s="2">
        <f>IFERROR(__xludf.DUMMYFUNCTION("""COMPUTED_VALUE"""),148.37)</f>
        <v>148.37</v>
      </c>
      <c r="E7839" s="2">
        <f>IFERROR(__xludf.DUMMYFUNCTION("""COMPUTED_VALUE"""),152.47)</f>
        <v>152.47</v>
      </c>
      <c r="F7839" s="2">
        <f>IFERROR(__xludf.DUMMYFUNCTION("""COMPUTED_VALUE"""),7288661.0)</f>
        <v>7288661</v>
      </c>
    </row>
    <row r="7840">
      <c r="A7840" s="3">
        <f>IFERROR(__xludf.DUMMYFUNCTION("""COMPUTED_VALUE"""),40568.666666666664)</f>
        <v>40568.66667</v>
      </c>
      <c r="B7840" s="2">
        <f>IFERROR(__xludf.DUMMYFUNCTION("""COMPUTED_VALUE"""),152.07)</f>
        <v>152.07</v>
      </c>
      <c r="C7840" s="2">
        <f>IFERROR(__xludf.DUMMYFUNCTION("""COMPUTED_VALUE"""),156.98)</f>
        <v>156.98</v>
      </c>
      <c r="D7840" s="2">
        <f>IFERROR(__xludf.DUMMYFUNCTION("""COMPUTED_VALUE"""),151.87)</f>
        <v>151.87</v>
      </c>
      <c r="E7840" s="2">
        <f>IFERROR(__xludf.DUMMYFUNCTION("""COMPUTED_VALUE"""),154.2)</f>
        <v>154.2</v>
      </c>
      <c r="F7840" s="2">
        <f>IFERROR(__xludf.DUMMYFUNCTION("""COMPUTED_VALUE"""),8262242.0)</f>
        <v>8262242</v>
      </c>
    </row>
    <row r="7841">
      <c r="A7841" s="3">
        <f>IFERROR(__xludf.DUMMYFUNCTION("""COMPUTED_VALUE"""),40569.666666666664)</f>
        <v>40569.66667</v>
      </c>
      <c r="B7841" s="2">
        <f>IFERROR(__xludf.DUMMYFUNCTION("""COMPUTED_VALUE"""),154.42)</f>
        <v>154.42</v>
      </c>
      <c r="C7841" s="2">
        <f>IFERROR(__xludf.DUMMYFUNCTION("""COMPUTED_VALUE"""),154.64)</f>
        <v>154.64</v>
      </c>
      <c r="D7841" s="2">
        <f>IFERROR(__xludf.DUMMYFUNCTION("""COMPUTED_VALUE"""),153.23)</f>
        <v>153.23</v>
      </c>
      <c r="E7841" s="2">
        <f>IFERROR(__xludf.DUMMYFUNCTION("""COMPUTED_VALUE"""),153.82)</f>
        <v>153.82</v>
      </c>
      <c r="F7841" s="2">
        <f>IFERROR(__xludf.DUMMYFUNCTION("""COMPUTED_VALUE"""),5353895.0)</f>
        <v>5353895</v>
      </c>
    </row>
    <row r="7842">
      <c r="A7842" s="3">
        <f>IFERROR(__xludf.DUMMYFUNCTION("""COMPUTED_VALUE"""),40570.666666666664)</f>
        <v>40570.66667</v>
      </c>
      <c r="B7842" s="2">
        <f>IFERROR(__xludf.DUMMYFUNCTION("""COMPUTED_VALUE"""),154.19)</f>
        <v>154.19</v>
      </c>
      <c r="C7842" s="2">
        <f>IFERROR(__xludf.DUMMYFUNCTION("""COMPUTED_VALUE"""),154.91)</f>
        <v>154.91</v>
      </c>
      <c r="D7842" s="2">
        <f>IFERROR(__xludf.DUMMYFUNCTION("""COMPUTED_VALUE"""),153.65)</f>
        <v>153.65</v>
      </c>
      <c r="E7842" s="2">
        <f>IFERROR(__xludf.DUMMYFUNCTION("""COMPUTED_VALUE"""),153.85)</f>
        <v>153.85</v>
      </c>
      <c r="F7842" s="2">
        <f>IFERROR(__xludf.DUMMYFUNCTION("""COMPUTED_VALUE"""),4879977.0)</f>
        <v>4879977</v>
      </c>
    </row>
    <row r="7843">
      <c r="A7843" s="3">
        <f>IFERROR(__xludf.DUMMYFUNCTION("""COMPUTED_VALUE"""),40571.666666666664)</f>
        <v>40571.66667</v>
      </c>
      <c r="B7843" s="2">
        <f>IFERROR(__xludf.DUMMYFUNCTION("""COMPUTED_VALUE"""),153.83)</f>
        <v>153.83</v>
      </c>
      <c r="C7843" s="2">
        <f>IFERROR(__xludf.DUMMYFUNCTION("""COMPUTED_VALUE"""),154.66)</f>
        <v>154.66</v>
      </c>
      <c r="D7843" s="2">
        <f>IFERROR(__xludf.DUMMYFUNCTION("""COMPUTED_VALUE"""),151.56)</f>
        <v>151.56</v>
      </c>
      <c r="E7843" s="2">
        <f>IFERROR(__xludf.DUMMYFUNCTION("""COMPUTED_VALUE"""),152.07)</f>
        <v>152.07</v>
      </c>
      <c r="F7843" s="2">
        <f>IFERROR(__xludf.DUMMYFUNCTION("""COMPUTED_VALUE"""),6725708.0)</f>
        <v>6725708</v>
      </c>
    </row>
    <row r="7844">
      <c r="A7844" s="3">
        <f>IFERROR(__xludf.DUMMYFUNCTION("""COMPUTED_VALUE"""),40574.666666666664)</f>
        <v>40574.66667</v>
      </c>
      <c r="B7844" s="2">
        <f>IFERROR(__xludf.DUMMYFUNCTION("""COMPUTED_VALUE"""),152.04)</f>
        <v>152.04</v>
      </c>
      <c r="C7844" s="2">
        <f>IFERROR(__xludf.DUMMYFUNCTION("""COMPUTED_VALUE"""),154.74)</f>
        <v>154.74</v>
      </c>
      <c r="D7844" s="2">
        <f>IFERROR(__xludf.DUMMYFUNCTION("""COMPUTED_VALUE"""),151.57)</f>
        <v>151.57</v>
      </c>
      <c r="E7844" s="2">
        <f>IFERROR(__xludf.DUMMYFUNCTION("""COMPUTED_VALUE"""),154.74)</f>
        <v>154.74</v>
      </c>
      <c r="F7844" s="2">
        <f>IFERROR(__xludf.DUMMYFUNCTION("""COMPUTED_VALUE"""),7197200.0)</f>
        <v>7197200</v>
      </c>
    </row>
    <row r="7845">
      <c r="A7845" s="3">
        <f>IFERROR(__xludf.DUMMYFUNCTION("""COMPUTED_VALUE"""),40575.666666666664)</f>
        <v>40575.66667</v>
      </c>
      <c r="B7845" s="2">
        <f>IFERROR(__xludf.DUMMYFUNCTION("""COMPUTED_VALUE"""),154.84)</f>
        <v>154.84</v>
      </c>
      <c r="C7845" s="2">
        <f>IFERROR(__xludf.DUMMYFUNCTION("""COMPUTED_VALUE"""),156.59)</f>
        <v>156.59</v>
      </c>
      <c r="D7845" s="2">
        <f>IFERROR(__xludf.DUMMYFUNCTION("""COMPUTED_VALUE"""),154.74)</f>
        <v>154.74</v>
      </c>
      <c r="E7845" s="2">
        <f>IFERROR(__xludf.DUMMYFUNCTION("""COMPUTED_VALUE"""),156.23)</f>
        <v>156.23</v>
      </c>
      <c r="F7845" s="2">
        <f>IFERROR(__xludf.DUMMYFUNCTION("""COMPUTED_VALUE"""),5834162.0)</f>
        <v>5834162</v>
      </c>
    </row>
    <row r="7846">
      <c r="A7846" s="3">
        <f>IFERROR(__xludf.DUMMYFUNCTION("""COMPUTED_VALUE"""),40576.666666666664)</f>
        <v>40576.66667</v>
      </c>
      <c r="B7846" s="2">
        <f>IFERROR(__xludf.DUMMYFUNCTION("""COMPUTED_VALUE"""),156.07)</f>
        <v>156.07</v>
      </c>
      <c r="C7846" s="2">
        <f>IFERROR(__xludf.DUMMYFUNCTION("""COMPUTED_VALUE"""),156.26)</f>
        <v>156.26</v>
      </c>
      <c r="D7846" s="2">
        <f>IFERROR(__xludf.DUMMYFUNCTION("""COMPUTED_VALUE"""),155.32)</f>
        <v>155.32</v>
      </c>
      <c r="E7846" s="2">
        <f>IFERROR(__xludf.DUMMYFUNCTION("""COMPUTED_VALUE"""),155.98)</f>
        <v>155.98</v>
      </c>
      <c r="F7846" s="2">
        <f>IFERROR(__xludf.DUMMYFUNCTION("""COMPUTED_VALUE"""),3904892.0)</f>
        <v>3904892</v>
      </c>
    </row>
    <row r="7847">
      <c r="A7847" s="3">
        <f>IFERROR(__xludf.DUMMYFUNCTION("""COMPUTED_VALUE"""),40577.666666666664)</f>
        <v>40577.66667</v>
      </c>
      <c r="B7847" s="2">
        <f>IFERROR(__xludf.DUMMYFUNCTION("""COMPUTED_VALUE"""),155.84)</f>
        <v>155.84</v>
      </c>
      <c r="C7847" s="2">
        <f>IFERROR(__xludf.DUMMYFUNCTION("""COMPUTED_VALUE"""),156.84)</f>
        <v>156.84</v>
      </c>
      <c r="D7847" s="2">
        <f>IFERROR(__xludf.DUMMYFUNCTION("""COMPUTED_VALUE"""),155.51)</f>
        <v>155.51</v>
      </c>
      <c r="E7847" s="2">
        <f>IFERROR(__xludf.DUMMYFUNCTION("""COMPUTED_VALUE"""),156.2)</f>
        <v>156.2</v>
      </c>
      <c r="F7847" s="2">
        <f>IFERROR(__xludf.DUMMYFUNCTION("""COMPUTED_VALUE"""),4685095.0)</f>
        <v>4685095</v>
      </c>
    </row>
    <row r="7848">
      <c r="A7848" s="3">
        <f>IFERROR(__xludf.DUMMYFUNCTION("""COMPUTED_VALUE"""),40578.666666666664)</f>
        <v>40578.66667</v>
      </c>
      <c r="B7848" s="2">
        <f>IFERROR(__xludf.DUMMYFUNCTION("""COMPUTED_VALUE"""),156.15)</f>
        <v>156.15</v>
      </c>
      <c r="C7848" s="2">
        <f>IFERROR(__xludf.DUMMYFUNCTION("""COMPUTED_VALUE"""),156.78)</f>
        <v>156.78</v>
      </c>
      <c r="D7848" s="2">
        <f>IFERROR(__xludf.DUMMYFUNCTION("""COMPUTED_VALUE"""),155.9)</f>
        <v>155.9</v>
      </c>
      <c r="E7848" s="2">
        <f>IFERROR(__xludf.DUMMYFUNCTION("""COMPUTED_VALUE"""),156.65)</f>
        <v>156.65</v>
      </c>
      <c r="F7848" s="2">
        <f>IFERROR(__xludf.DUMMYFUNCTION("""COMPUTED_VALUE"""),3755814.0)</f>
        <v>3755814</v>
      </c>
    </row>
    <row r="7849">
      <c r="A7849" s="3">
        <f>IFERROR(__xludf.DUMMYFUNCTION("""COMPUTED_VALUE"""),40581.666666666664)</f>
        <v>40581.66667</v>
      </c>
      <c r="B7849" s="2">
        <f>IFERROR(__xludf.DUMMYFUNCTION("""COMPUTED_VALUE"""),156.72)</f>
        <v>156.72</v>
      </c>
      <c r="C7849" s="2">
        <f>IFERROR(__xludf.DUMMYFUNCTION("""COMPUTED_VALUE"""),157.59)</f>
        <v>157.59</v>
      </c>
      <c r="D7849" s="2">
        <f>IFERROR(__xludf.DUMMYFUNCTION("""COMPUTED_VALUE"""),156.67)</f>
        <v>156.67</v>
      </c>
      <c r="E7849" s="2">
        <f>IFERROR(__xludf.DUMMYFUNCTION("""COMPUTED_VALUE"""),157.43)</f>
        <v>157.43</v>
      </c>
      <c r="F7849" s="2">
        <f>IFERROR(__xludf.DUMMYFUNCTION("""COMPUTED_VALUE"""),4932599.0)</f>
        <v>4932599</v>
      </c>
    </row>
    <row r="7850">
      <c r="A7850" s="3">
        <f>IFERROR(__xludf.DUMMYFUNCTION("""COMPUTED_VALUE"""),40582.666666666664)</f>
        <v>40582.66667</v>
      </c>
      <c r="B7850" s="2">
        <f>IFERROR(__xludf.DUMMYFUNCTION("""COMPUTED_VALUE"""),157.43)</f>
        <v>157.43</v>
      </c>
      <c r="C7850" s="2">
        <f>IFERROR(__xludf.DUMMYFUNCTION("""COMPUTED_VALUE"""),158.8)</f>
        <v>158.8</v>
      </c>
      <c r="D7850" s="2">
        <f>IFERROR(__xludf.DUMMYFUNCTION("""COMPUTED_VALUE"""),156.95)</f>
        <v>156.95</v>
      </c>
      <c r="E7850" s="2">
        <f>IFERROR(__xludf.DUMMYFUNCTION("""COMPUTED_VALUE"""),158.6)</f>
        <v>158.6</v>
      </c>
      <c r="F7850" s="2">
        <f>IFERROR(__xludf.DUMMYFUNCTION("""COMPUTED_VALUE"""),5615348.0)</f>
        <v>5615348</v>
      </c>
    </row>
    <row r="7851">
      <c r="A7851" s="3">
        <f>IFERROR(__xludf.DUMMYFUNCTION("""COMPUTED_VALUE"""),40583.666666666664)</f>
        <v>40583.66667</v>
      </c>
      <c r="B7851" s="2">
        <f>IFERROR(__xludf.DUMMYFUNCTION("""COMPUTED_VALUE"""),158.19)</f>
        <v>158.19</v>
      </c>
      <c r="C7851" s="2">
        <f>IFERROR(__xludf.DUMMYFUNCTION("""COMPUTED_VALUE"""),158.53)</f>
        <v>158.53</v>
      </c>
      <c r="D7851" s="2">
        <f>IFERROR(__xludf.DUMMYFUNCTION("""COMPUTED_VALUE"""),156.74)</f>
        <v>156.74</v>
      </c>
      <c r="E7851" s="2">
        <f>IFERROR(__xludf.DUMMYFUNCTION("""COMPUTED_VALUE"""),157.27)</f>
        <v>157.27</v>
      </c>
      <c r="F7851" s="2">
        <f>IFERROR(__xludf.DUMMYFUNCTION("""COMPUTED_VALUE"""),4635303.0)</f>
        <v>4635303</v>
      </c>
    </row>
    <row r="7852">
      <c r="A7852" s="3">
        <f>IFERROR(__xludf.DUMMYFUNCTION("""COMPUTED_VALUE"""),40584.666666666664)</f>
        <v>40584.66667</v>
      </c>
      <c r="B7852" s="2">
        <f>IFERROR(__xludf.DUMMYFUNCTION("""COMPUTED_VALUE"""),156.55)</f>
        <v>156.55</v>
      </c>
      <c r="C7852" s="2">
        <f>IFERROR(__xludf.DUMMYFUNCTION("""COMPUTED_VALUE"""),157.6)</f>
        <v>157.6</v>
      </c>
      <c r="D7852" s="2">
        <f>IFERROR(__xludf.DUMMYFUNCTION("""COMPUTED_VALUE"""),155.86)</f>
        <v>155.86</v>
      </c>
      <c r="E7852" s="2">
        <f>IFERROR(__xludf.DUMMYFUNCTION("""COMPUTED_VALUE"""),156.73)</f>
        <v>156.73</v>
      </c>
      <c r="F7852" s="2">
        <f>IFERROR(__xludf.DUMMYFUNCTION("""COMPUTED_VALUE"""),5737806.0)</f>
        <v>5737806</v>
      </c>
    </row>
    <row r="7853">
      <c r="A7853" s="3">
        <f>IFERROR(__xludf.DUMMYFUNCTION("""COMPUTED_VALUE"""),40585.666666666664)</f>
        <v>40585.66667</v>
      </c>
      <c r="B7853" s="2">
        <f>IFERROR(__xludf.DUMMYFUNCTION("""COMPUTED_VALUE"""),156.63)</f>
        <v>156.63</v>
      </c>
      <c r="C7853" s="2">
        <f>IFERROR(__xludf.DUMMYFUNCTION("""COMPUTED_VALUE"""),157.61)</f>
        <v>157.61</v>
      </c>
      <c r="D7853" s="2">
        <f>IFERROR(__xludf.DUMMYFUNCTION("""COMPUTED_VALUE"""),155.99)</f>
        <v>155.99</v>
      </c>
      <c r="E7853" s="2">
        <f>IFERROR(__xludf.DUMMYFUNCTION("""COMPUTED_VALUE"""),156.5)</f>
        <v>156.5</v>
      </c>
      <c r="F7853" s="2">
        <f>IFERROR(__xludf.DUMMYFUNCTION("""COMPUTED_VALUE"""),5185697.0)</f>
        <v>5185697</v>
      </c>
    </row>
    <row r="7854">
      <c r="A7854" s="3">
        <f>IFERROR(__xludf.DUMMYFUNCTION("""COMPUTED_VALUE"""),40588.666666666664)</f>
        <v>40588.66667</v>
      </c>
      <c r="B7854" s="2">
        <f>IFERROR(__xludf.DUMMYFUNCTION("""COMPUTED_VALUE"""),156.82)</f>
        <v>156.82</v>
      </c>
      <c r="C7854" s="2">
        <f>IFERROR(__xludf.DUMMYFUNCTION("""COMPUTED_VALUE"""),157.01)</f>
        <v>157.01</v>
      </c>
      <c r="D7854" s="2">
        <f>IFERROR(__xludf.DUMMYFUNCTION("""COMPUTED_VALUE"""),155.55)</f>
        <v>155.55</v>
      </c>
      <c r="E7854" s="2">
        <f>IFERROR(__xludf.DUMMYFUNCTION("""COMPUTED_VALUE"""),155.9)</f>
        <v>155.9</v>
      </c>
      <c r="F7854" s="2">
        <f>IFERROR(__xludf.DUMMYFUNCTION("""COMPUTED_VALUE"""),4131438.0)</f>
        <v>4131438</v>
      </c>
    </row>
    <row r="7855">
      <c r="A7855" s="3">
        <f>IFERROR(__xludf.DUMMYFUNCTION("""COMPUTED_VALUE"""),40589.666666666664)</f>
        <v>40589.66667</v>
      </c>
      <c r="B7855" s="2">
        <f>IFERROR(__xludf.DUMMYFUNCTION("""COMPUTED_VALUE"""),155.59)</f>
        <v>155.59</v>
      </c>
      <c r="C7855" s="2">
        <f>IFERROR(__xludf.DUMMYFUNCTION("""COMPUTED_VALUE"""),156.24)</f>
        <v>156.24</v>
      </c>
      <c r="D7855" s="2">
        <f>IFERROR(__xludf.DUMMYFUNCTION("""COMPUTED_VALUE"""),155.23)</f>
        <v>155.23</v>
      </c>
      <c r="E7855" s="2">
        <f>IFERROR(__xludf.DUMMYFUNCTION("""COMPUTED_VALUE"""),155.54)</f>
        <v>155.54</v>
      </c>
      <c r="F7855" s="2">
        <f>IFERROR(__xludf.DUMMYFUNCTION("""COMPUTED_VALUE"""),3768703.0)</f>
        <v>3768703</v>
      </c>
    </row>
    <row r="7856">
      <c r="A7856" s="3">
        <f>IFERROR(__xludf.DUMMYFUNCTION("""COMPUTED_VALUE"""),40590.666666666664)</f>
        <v>40590.66667</v>
      </c>
      <c r="B7856" s="2">
        <f>IFERROR(__xludf.DUMMYFUNCTION("""COMPUTED_VALUE"""),156.01)</f>
        <v>156.01</v>
      </c>
      <c r="C7856" s="2">
        <f>IFERROR(__xludf.DUMMYFUNCTION("""COMPUTED_VALUE"""),156.26)</f>
        <v>156.26</v>
      </c>
      <c r="D7856" s="2">
        <f>IFERROR(__xludf.DUMMYFUNCTION("""COMPUTED_VALUE"""),155.45)</f>
        <v>155.45</v>
      </c>
      <c r="E7856" s="2">
        <f>IFERROR(__xludf.DUMMYFUNCTION("""COMPUTED_VALUE"""),156.07)</f>
        <v>156.07</v>
      </c>
      <c r="F7856" s="2">
        <f>IFERROR(__xludf.DUMMYFUNCTION("""COMPUTED_VALUE"""),3221301.0)</f>
        <v>3221301</v>
      </c>
    </row>
    <row r="7857">
      <c r="A7857" s="3">
        <f>IFERROR(__xludf.DUMMYFUNCTION("""COMPUTED_VALUE"""),40591.666666666664)</f>
        <v>40591.66667</v>
      </c>
      <c r="B7857" s="2">
        <f>IFERROR(__xludf.DUMMYFUNCTION("""COMPUTED_VALUE"""),155.98)</f>
        <v>155.98</v>
      </c>
      <c r="C7857" s="2">
        <f>IFERROR(__xludf.DUMMYFUNCTION("""COMPUTED_VALUE"""),157.29)</f>
        <v>157.29</v>
      </c>
      <c r="D7857" s="2">
        <f>IFERROR(__xludf.DUMMYFUNCTION("""COMPUTED_VALUE"""),155.55)</f>
        <v>155.55</v>
      </c>
      <c r="E7857" s="2">
        <f>IFERROR(__xludf.DUMMYFUNCTION("""COMPUTED_VALUE"""),156.88)</f>
        <v>156.88</v>
      </c>
      <c r="F7857" s="2">
        <f>IFERROR(__xludf.DUMMYFUNCTION("""COMPUTED_VALUE"""),3231171.0)</f>
        <v>3231171</v>
      </c>
    </row>
    <row r="7858">
      <c r="A7858" s="3">
        <f>IFERROR(__xludf.DUMMYFUNCTION("""COMPUTED_VALUE"""),40592.666666666664)</f>
        <v>40592.66667</v>
      </c>
      <c r="B7858" s="2">
        <f>IFERROR(__xludf.DUMMYFUNCTION("""COMPUTED_VALUE"""),157.09)</f>
        <v>157.09</v>
      </c>
      <c r="C7858" s="2">
        <f>IFERROR(__xludf.DUMMYFUNCTION("""COMPUTED_VALUE"""),157.45)</f>
        <v>157.45</v>
      </c>
      <c r="D7858" s="2">
        <f>IFERROR(__xludf.DUMMYFUNCTION("""COMPUTED_VALUE"""),156.74)</f>
        <v>156.74</v>
      </c>
      <c r="E7858" s="2">
        <f>IFERROR(__xludf.DUMMYFUNCTION("""COMPUTED_VALUE"""),157.45)</f>
        <v>157.45</v>
      </c>
      <c r="F7858" s="2">
        <f>IFERROR(__xludf.DUMMYFUNCTION("""COMPUTED_VALUE"""),4245059.0)</f>
        <v>4245059</v>
      </c>
    </row>
    <row r="7859">
      <c r="A7859" s="3">
        <f>IFERROR(__xludf.DUMMYFUNCTION("""COMPUTED_VALUE"""),40596.666666666664)</f>
        <v>40596.66667</v>
      </c>
      <c r="B7859" s="2">
        <f>IFERROR(__xludf.DUMMYFUNCTION("""COMPUTED_VALUE"""),156.24)</f>
        <v>156.24</v>
      </c>
      <c r="C7859" s="2">
        <f>IFERROR(__xludf.DUMMYFUNCTION("""COMPUTED_VALUE"""),156.9)</f>
        <v>156.9</v>
      </c>
      <c r="D7859" s="2">
        <f>IFERROR(__xludf.DUMMYFUNCTION("""COMPUTED_VALUE"""),154.53)</f>
        <v>154.53</v>
      </c>
      <c r="E7859" s="2">
        <f>IFERROR(__xludf.DUMMYFUNCTION("""COMPUTED_VALUE"""),154.69)</f>
        <v>154.69</v>
      </c>
      <c r="F7859" s="2">
        <f>IFERROR(__xludf.DUMMYFUNCTION("""COMPUTED_VALUE"""),5210857.0)</f>
        <v>5210857</v>
      </c>
    </row>
    <row r="7860">
      <c r="A7860" s="3">
        <f>IFERROR(__xludf.DUMMYFUNCTION("""COMPUTED_VALUE"""),40597.666666666664)</f>
        <v>40597.66667</v>
      </c>
      <c r="B7860" s="2">
        <f>IFERROR(__xludf.DUMMYFUNCTION("""COMPUTED_VALUE"""),154.56)</f>
        <v>154.56</v>
      </c>
      <c r="C7860" s="2">
        <f>IFERROR(__xludf.DUMMYFUNCTION("""COMPUTED_VALUE"""),155.39)</f>
        <v>155.39</v>
      </c>
      <c r="D7860" s="2">
        <f>IFERROR(__xludf.DUMMYFUNCTION("""COMPUTED_VALUE"""),152.96)</f>
        <v>152.96</v>
      </c>
      <c r="E7860" s="2">
        <f>IFERROR(__xludf.DUMMYFUNCTION("""COMPUTED_VALUE"""),153.0)</f>
        <v>153</v>
      </c>
      <c r="F7860" s="2">
        <f>IFERROR(__xludf.DUMMYFUNCTION("""COMPUTED_VALUE"""),6001475.0)</f>
        <v>6001475</v>
      </c>
    </row>
    <row r="7861">
      <c r="A7861" s="3">
        <f>IFERROR(__xludf.DUMMYFUNCTION("""COMPUTED_VALUE"""),40598.666666666664)</f>
        <v>40598.66667</v>
      </c>
      <c r="B7861" s="2">
        <f>IFERROR(__xludf.DUMMYFUNCTION("""COMPUTED_VALUE"""),152.47)</f>
        <v>152.47</v>
      </c>
      <c r="C7861" s="2">
        <f>IFERROR(__xludf.DUMMYFUNCTION("""COMPUTED_VALUE"""),154.04)</f>
        <v>154.04</v>
      </c>
      <c r="D7861" s="2">
        <f>IFERROR(__xludf.DUMMYFUNCTION("""COMPUTED_VALUE"""),151.9)</f>
        <v>151.9</v>
      </c>
      <c r="E7861" s="2">
        <f>IFERROR(__xludf.DUMMYFUNCTION("""COMPUTED_VALUE"""),153.56)</f>
        <v>153.56</v>
      </c>
      <c r="F7861" s="2">
        <f>IFERROR(__xludf.DUMMYFUNCTION("""COMPUTED_VALUE"""),5709476.0)</f>
        <v>5709476</v>
      </c>
    </row>
    <row r="7862">
      <c r="A7862" s="3">
        <f>IFERROR(__xludf.DUMMYFUNCTION("""COMPUTED_VALUE"""),40599.666666666664)</f>
        <v>40599.66667</v>
      </c>
      <c r="B7862" s="2">
        <f>IFERROR(__xludf.DUMMYFUNCTION("""COMPUTED_VALUE"""),153.84)</f>
        <v>153.84</v>
      </c>
      <c r="C7862" s="2">
        <f>IFERROR(__xludf.DUMMYFUNCTION("""COMPUTED_VALUE"""),155.06)</f>
        <v>155.06</v>
      </c>
      <c r="D7862" s="2">
        <f>IFERROR(__xludf.DUMMYFUNCTION("""COMPUTED_VALUE"""),153.65)</f>
        <v>153.65</v>
      </c>
      <c r="E7862" s="2">
        <f>IFERROR(__xludf.DUMMYFUNCTION("""COMPUTED_VALUE"""),155.0)</f>
        <v>155</v>
      </c>
      <c r="F7862" s="2">
        <f>IFERROR(__xludf.DUMMYFUNCTION("""COMPUTED_VALUE"""),4522003.0)</f>
        <v>4522003</v>
      </c>
    </row>
    <row r="7863">
      <c r="A7863" s="3">
        <f>IFERROR(__xludf.DUMMYFUNCTION("""COMPUTED_VALUE"""),40602.666666666664)</f>
        <v>40602.66667</v>
      </c>
      <c r="B7863" s="2">
        <f>IFERROR(__xludf.DUMMYFUNCTION("""COMPUTED_VALUE"""),155.08)</f>
        <v>155.08</v>
      </c>
      <c r="C7863" s="2">
        <f>IFERROR(__xludf.DUMMYFUNCTION("""COMPUTED_VALUE"""),155.68)</f>
        <v>155.68</v>
      </c>
      <c r="D7863" s="2">
        <f>IFERROR(__xludf.DUMMYFUNCTION("""COMPUTED_VALUE"""),154.01)</f>
        <v>154.01</v>
      </c>
      <c r="E7863" s="2">
        <f>IFERROR(__xludf.DUMMYFUNCTION("""COMPUTED_VALUE"""),154.62)</f>
        <v>154.62</v>
      </c>
      <c r="F7863" s="2">
        <f>IFERROR(__xludf.DUMMYFUNCTION("""COMPUTED_VALUE"""),4773936.0)</f>
        <v>4773936</v>
      </c>
    </row>
    <row r="7864">
      <c r="A7864" s="3">
        <f>IFERROR(__xludf.DUMMYFUNCTION("""COMPUTED_VALUE"""),40603.666666666664)</f>
        <v>40603.66667</v>
      </c>
      <c r="B7864" s="2">
        <f>IFERROR(__xludf.DUMMYFUNCTION("""COMPUTED_VALUE"""),155.84)</f>
        <v>155.84</v>
      </c>
      <c r="C7864" s="2">
        <f>IFERROR(__xludf.DUMMYFUNCTION("""COMPUTED_VALUE"""),155.84)</f>
        <v>155.84</v>
      </c>
      <c r="D7864" s="2">
        <f>IFERROR(__xludf.DUMMYFUNCTION("""COMPUTED_VALUE"""),152.71)</f>
        <v>152.71</v>
      </c>
      <c r="E7864" s="2">
        <f>IFERROR(__xludf.DUMMYFUNCTION("""COMPUTED_VALUE"""),152.8)</f>
        <v>152.8</v>
      </c>
      <c r="F7864" s="2">
        <f>IFERROR(__xludf.DUMMYFUNCTION("""COMPUTED_VALUE"""),4383043.0)</f>
        <v>4383043</v>
      </c>
    </row>
    <row r="7865">
      <c r="A7865" s="3">
        <f>IFERROR(__xludf.DUMMYFUNCTION("""COMPUTED_VALUE"""),40604.666666666664)</f>
        <v>40604.66667</v>
      </c>
      <c r="B7865" s="2">
        <f>IFERROR(__xludf.DUMMYFUNCTION("""COMPUTED_VALUE"""),152.28)</f>
        <v>152.28</v>
      </c>
      <c r="C7865" s="2">
        <f>IFERROR(__xludf.DUMMYFUNCTION("""COMPUTED_VALUE"""),153.89)</f>
        <v>153.89</v>
      </c>
      <c r="D7865" s="2">
        <f>IFERROR(__xludf.DUMMYFUNCTION("""COMPUTED_VALUE"""),152.26)</f>
        <v>152.26</v>
      </c>
      <c r="E7865" s="2">
        <f>IFERROR(__xludf.DUMMYFUNCTION("""COMPUTED_VALUE"""),152.98)</f>
        <v>152.98</v>
      </c>
      <c r="F7865" s="2">
        <f>IFERROR(__xludf.DUMMYFUNCTION("""COMPUTED_VALUE"""),3413127.0)</f>
        <v>3413127</v>
      </c>
    </row>
    <row r="7866">
      <c r="A7866" s="3">
        <f>IFERROR(__xludf.DUMMYFUNCTION("""COMPUTED_VALUE"""),40605.666666666664)</f>
        <v>40605.66667</v>
      </c>
      <c r="B7866" s="2">
        <f>IFERROR(__xludf.DUMMYFUNCTION("""COMPUTED_VALUE"""),154.18)</f>
        <v>154.18</v>
      </c>
      <c r="C7866" s="2">
        <f>IFERROR(__xludf.DUMMYFUNCTION("""COMPUTED_VALUE"""),156.65)</f>
        <v>156.65</v>
      </c>
      <c r="D7866" s="2">
        <f>IFERROR(__xludf.DUMMYFUNCTION("""COMPUTED_VALUE"""),154.04)</f>
        <v>154.04</v>
      </c>
      <c r="E7866" s="2">
        <f>IFERROR(__xludf.DUMMYFUNCTION("""COMPUTED_VALUE"""),156.15)</f>
        <v>156.15</v>
      </c>
      <c r="F7866" s="2">
        <f>IFERROR(__xludf.DUMMYFUNCTION("""COMPUTED_VALUE"""),4065346.0)</f>
        <v>4065346</v>
      </c>
    </row>
    <row r="7867">
      <c r="A7867" s="3">
        <f>IFERROR(__xludf.DUMMYFUNCTION("""COMPUTED_VALUE"""),40606.666666666664)</f>
        <v>40606.66667</v>
      </c>
      <c r="B7867" s="2">
        <f>IFERROR(__xludf.DUMMYFUNCTION("""COMPUTED_VALUE"""),156.07)</f>
        <v>156.07</v>
      </c>
      <c r="C7867" s="2">
        <f>IFERROR(__xludf.DUMMYFUNCTION("""COMPUTED_VALUE"""),156.94)</f>
        <v>156.94</v>
      </c>
      <c r="D7867" s="2">
        <f>IFERROR(__xludf.DUMMYFUNCTION("""COMPUTED_VALUE"""),153.45)</f>
        <v>153.45</v>
      </c>
      <c r="E7867" s="2">
        <f>IFERROR(__xludf.DUMMYFUNCTION("""COMPUTED_VALUE"""),154.57)</f>
        <v>154.57</v>
      </c>
      <c r="F7867" s="2">
        <f>IFERROR(__xludf.DUMMYFUNCTION("""COMPUTED_VALUE"""),4913666.0)</f>
        <v>4913666</v>
      </c>
    </row>
    <row r="7868">
      <c r="A7868" s="3">
        <f>IFERROR(__xludf.DUMMYFUNCTION("""COMPUTED_VALUE"""),40609.666666666664)</f>
        <v>40609.66667</v>
      </c>
      <c r="B7868" s="2">
        <f>IFERROR(__xludf.DUMMYFUNCTION("""COMPUTED_VALUE"""),154.35)</f>
        <v>154.35</v>
      </c>
      <c r="C7868" s="2">
        <f>IFERROR(__xludf.DUMMYFUNCTION("""COMPUTED_VALUE"""),155.67)</f>
        <v>155.67</v>
      </c>
      <c r="D7868" s="2">
        <f>IFERROR(__xludf.DUMMYFUNCTION("""COMPUTED_VALUE"""),151.73)</f>
        <v>151.73</v>
      </c>
      <c r="E7868" s="2">
        <f>IFERROR(__xludf.DUMMYFUNCTION("""COMPUTED_VALUE"""),152.76)</f>
        <v>152.76</v>
      </c>
      <c r="F7868" s="2">
        <f>IFERROR(__xludf.DUMMYFUNCTION("""COMPUTED_VALUE"""),5318064.0)</f>
        <v>5318064</v>
      </c>
    </row>
    <row r="7869">
      <c r="A7869" s="3">
        <f>IFERROR(__xludf.DUMMYFUNCTION("""COMPUTED_VALUE"""),40610.666666666664)</f>
        <v>40610.66667</v>
      </c>
      <c r="B7869" s="2">
        <f>IFERROR(__xludf.DUMMYFUNCTION("""COMPUTED_VALUE"""),152.54)</f>
        <v>152.54</v>
      </c>
      <c r="C7869" s="2">
        <f>IFERROR(__xludf.DUMMYFUNCTION("""COMPUTED_VALUE"""),156.1)</f>
        <v>156.1</v>
      </c>
      <c r="D7869" s="2">
        <f>IFERROR(__xludf.DUMMYFUNCTION("""COMPUTED_VALUE"""),152.07)</f>
        <v>152.07</v>
      </c>
      <c r="E7869" s="2">
        <f>IFERROR(__xludf.DUMMYFUNCTION("""COMPUTED_VALUE"""),155.0)</f>
        <v>155</v>
      </c>
      <c r="F7869" s="2">
        <f>IFERROR(__xludf.DUMMYFUNCTION("""COMPUTED_VALUE"""),5392122.0)</f>
        <v>5392122</v>
      </c>
    </row>
    <row r="7870">
      <c r="A7870" s="3">
        <f>IFERROR(__xludf.DUMMYFUNCTION("""COMPUTED_VALUE"""),40611.666666666664)</f>
        <v>40611.66667</v>
      </c>
      <c r="B7870" s="2">
        <f>IFERROR(__xludf.DUMMYFUNCTION("""COMPUTED_VALUE"""),156.14)</f>
        <v>156.14</v>
      </c>
      <c r="C7870" s="2">
        <f>IFERROR(__xludf.DUMMYFUNCTION("""COMPUTED_VALUE"""),160.2)</f>
        <v>160.2</v>
      </c>
      <c r="D7870" s="2">
        <f>IFERROR(__xludf.DUMMYFUNCTION("""COMPUTED_VALUE"""),155.96)</f>
        <v>155.96</v>
      </c>
      <c r="E7870" s="2">
        <f>IFERROR(__xludf.DUMMYFUNCTION("""COMPUTED_VALUE"""),158.42)</f>
        <v>158.42</v>
      </c>
      <c r="F7870" s="2">
        <f>IFERROR(__xludf.DUMMYFUNCTION("""COMPUTED_VALUE"""),9084892.0)</f>
        <v>9084892</v>
      </c>
    </row>
    <row r="7871">
      <c r="A7871" s="3">
        <f>IFERROR(__xludf.DUMMYFUNCTION("""COMPUTED_VALUE"""),40612.666666666664)</f>
        <v>40612.66667</v>
      </c>
      <c r="B7871" s="2">
        <f>IFERROR(__xludf.DUMMYFUNCTION("""COMPUTED_VALUE"""),157.26)</f>
        <v>157.26</v>
      </c>
      <c r="C7871" s="2">
        <f>IFERROR(__xludf.DUMMYFUNCTION("""COMPUTED_VALUE"""),157.29)</f>
        <v>157.29</v>
      </c>
      <c r="D7871" s="2">
        <f>IFERROR(__xludf.DUMMYFUNCTION("""COMPUTED_VALUE"""),154.14)</f>
        <v>154.14</v>
      </c>
      <c r="E7871" s="2">
        <f>IFERROR(__xludf.DUMMYFUNCTION("""COMPUTED_VALUE"""),154.76)</f>
        <v>154.76</v>
      </c>
      <c r="F7871" s="2">
        <f>IFERROR(__xludf.DUMMYFUNCTION("""COMPUTED_VALUE"""),7052811.0)</f>
        <v>7052811</v>
      </c>
    </row>
    <row r="7872">
      <c r="A7872" s="3">
        <f>IFERROR(__xludf.DUMMYFUNCTION("""COMPUTED_VALUE"""),40613.666666666664)</f>
        <v>40613.66667</v>
      </c>
      <c r="B7872" s="2">
        <f>IFERROR(__xludf.DUMMYFUNCTION("""COMPUTED_VALUE"""),155.12)</f>
        <v>155.12</v>
      </c>
      <c r="C7872" s="2">
        <f>IFERROR(__xludf.DUMMYFUNCTION("""COMPUTED_VALUE"""),155.92)</f>
        <v>155.92</v>
      </c>
      <c r="D7872" s="2">
        <f>IFERROR(__xludf.DUMMYFUNCTION("""COMPUTED_VALUE"""),153.63)</f>
        <v>153.63</v>
      </c>
      <c r="E7872" s="2">
        <f>IFERROR(__xludf.DUMMYFUNCTION("""COMPUTED_VALUE"""),155.15)</f>
        <v>155.15</v>
      </c>
      <c r="F7872" s="2">
        <f>IFERROR(__xludf.DUMMYFUNCTION("""COMPUTED_VALUE"""),4271968.0)</f>
        <v>4271968</v>
      </c>
    </row>
    <row r="7873">
      <c r="A7873" s="3">
        <f>IFERROR(__xludf.DUMMYFUNCTION("""COMPUTED_VALUE"""),40616.666666666664)</f>
        <v>40616.66667</v>
      </c>
      <c r="B7873" s="2">
        <f>IFERROR(__xludf.DUMMYFUNCTION("""COMPUTED_VALUE"""),153.93)</f>
        <v>153.93</v>
      </c>
      <c r="C7873" s="2">
        <f>IFERROR(__xludf.DUMMYFUNCTION("""COMPUTED_VALUE"""),154.72)</f>
        <v>154.72</v>
      </c>
      <c r="D7873" s="2">
        <f>IFERROR(__xludf.DUMMYFUNCTION("""COMPUTED_VALUE"""),152.91)</f>
        <v>152.91</v>
      </c>
      <c r="E7873" s="2">
        <f>IFERROR(__xludf.DUMMYFUNCTION("""COMPUTED_VALUE"""),154.15)</f>
        <v>154.15</v>
      </c>
      <c r="F7873" s="2">
        <f>IFERROR(__xludf.DUMMYFUNCTION("""COMPUTED_VALUE"""),4304870.0)</f>
        <v>4304870</v>
      </c>
    </row>
    <row r="7874">
      <c r="A7874" s="3">
        <f>IFERROR(__xludf.DUMMYFUNCTION("""COMPUTED_VALUE"""),40617.666666666664)</f>
        <v>40617.66667</v>
      </c>
      <c r="B7874" s="2">
        <f>IFERROR(__xludf.DUMMYFUNCTION("""COMPUTED_VALUE"""),150.3)</f>
        <v>150.3</v>
      </c>
      <c r="C7874" s="2">
        <f>IFERROR(__xludf.DUMMYFUNCTION("""COMPUTED_VALUE"""),152.48)</f>
        <v>152.48</v>
      </c>
      <c r="D7874" s="2">
        <f>IFERROR(__xludf.DUMMYFUNCTION("""COMPUTED_VALUE"""),149.85)</f>
        <v>149.85</v>
      </c>
      <c r="E7874" s="2">
        <f>IFERROR(__xludf.DUMMYFUNCTION("""COMPUTED_VALUE"""),151.89)</f>
        <v>151.89</v>
      </c>
      <c r="F7874" s="2">
        <f>IFERROR(__xludf.DUMMYFUNCTION("""COMPUTED_VALUE"""),6485554.0)</f>
        <v>6485554</v>
      </c>
    </row>
    <row r="7875">
      <c r="A7875" s="3">
        <f>IFERROR(__xludf.DUMMYFUNCTION("""COMPUTED_VALUE"""),40618.666666666664)</f>
        <v>40618.66667</v>
      </c>
      <c r="B7875" s="2">
        <f>IFERROR(__xludf.DUMMYFUNCTION("""COMPUTED_VALUE"""),149.5)</f>
        <v>149.5</v>
      </c>
      <c r="C7875" s="2">
        <f>IFERROR(__xludf.DUMMYFUNCTION("""COMPUTED_VALUE"""),149.94)</f>
        <v>149.94</v>
      </c>
      <c r="D7875" s="2">
        <f>IFERROR(__xludf.DUMMYFUNCTION("""COMPUTED_VALUE"""),144.91)</f>
        <v>144.91</v>
      </c>
      <c r="E7875" s="2">
        <f>IFERROR(__xludf.DUMMYFUNCTION("""COMPUTED_VALUE"""),146.14)</f>
        <v>146.14</v>
      </c>
      <c r="F7875" s="2">
        <f>IFERROR(__xludf.DUMMYFUNCTION("""COMPUTED_VALUE"""),1.2204867E7)</f>
        <v>12204867</v>
      </c>
    </row>
    <row r="7876">
      <c r="A7876" s="3">
        <f>IFERROR(__xludf.DUMMYFUNCTION("""COMPUTED_VALUE"""),40619.666666666664)</f>
        <v>40619.66667</v>
      </c>
      <c r="B7876" s="2">
        <f>IFERROR(__xludf.DUMMYFUNCTION("""COMPUTED_VALUE"""),147.1)</f>
        <v>147.1</v>
      </c>
      <c r="C7876" s="2">
        <f>IFERROR(__xludf.DUMMYFUNCTION("""COMPUTED_VALUE"""),147.57)</f>
        <v>147.57</v>
      </c>
      <c r="D7876" s="2">
        <f>IFERROR(__xludf.DUMMYFUNCTION("""COMPUTED_VALUE"""),145.85)</f>
        <v>145.85</v>
      </c>
      <c r="E7876" s="2">
        <f>IFERROR(__xludf.DUMMYFUNCTION("""COMPUTED_VALUE"""),147.27)</f>
        <v>147.27</v>
      </c>
      <c r="F7876" s="2">
        <f>IFERROR(__xludf.DUMMYFUNCTION("""COMPUTED_VALUE"""),7378767.0)</f>
        <v>7378767</v>
      </c>
    </row>
    <row r="7877">
      <c r="A7877" s="3">
        <f>IFERROR(__xludf.DUMMYFUNCTION("""COMPUTED_VALUE"""),40620.666666666664)</f>
        <v>40620.66667</v>
      </c>
      <c r="B7877" s="2">
        <f>IFERROR(__xludf.DUMMYFUNCTION("""COMPUTED_VALUE"""),149.48)</f>
        <v>149.48</v>
      </c>
      <c r="C7877" s="2">
        <f>IFERROR(__xludf.DUMMYFUNCTION("""COMPUTED_VALUE"""),149.91)</f>
        <v>149.91</v>
      </c>
      <c r="D7877" s="2">
        <f>IFERROR(__xludf.DUMMYFUNCTION("""COMPUTED_VALUE"""),147.4)</f>
        <v>147.4</v>
      </c>
      <c r="E7877" s="2">
        <f>IFERROR(__xludf.DUMMYFUNCTION("""COMPUTED_VALUE"""),148.9)</f>
        <v>148.9</v>
      </c>
      <c r="F7877" s="2">
        <f>IFERROR(__xludf.DUMMYFUNCTION("""COMPUTED_VALUE"""),1.1454323E7)</f>
        <v>11454323</v>
      </c>
    </row>
    <row r="7878">
      <c r="A7878" s="3">
        <f>IFERROR(__xludf.DUMMYFUNCTION("""COMPUTED_VALUE"""),40623.666666666664)</f>
        <v>40623.66667</v>
      </c>
      <c r="B7878" s="2">
        <f>IFERROR(__xludf.DUMMYFUNCTION("""COMPUTED_VALUE"""),150.57)</f>
        <v>150.57</v>
      </c>
      <c r="C7878" s="2">
        <f>IFERROR(__xludf.DUMMYFUNCTION("""COMPUTED_VALUE"""),152.47)</f>
        <v>152.47</v>
      </c>
      <c r="D7878" s="2">
        <f>IFERROR(__xludf.DUMMYFUNCTION("""COMPUTED_VALUE"""),150.03)</f>
        <v>150.03</v>
      </c>
      <c r="E7878" s="2">
        <f>IFERROR(__xludf.DUMMYFUNCTION("""COMPUTED_VALUE"""),150.61)</f>
        <v>150.61</v>
      </c>
      <c r="F7878" s="2">
        <f>IFERROR(__xludf.DUMMYFUNCTION("""COMPUTED_VALUE"""),5784527.0)</f>
        <v>5784527</v>
      </c>
    </row>
    <row r="7879">
      <c r="A7879" s="3">
        <f>IFERROR(__xludf.DUMMYFUNCTION("""COMPUTED_VALUE"""),40624.666666666664)</f>
        <v>40624.66667</v>
      </c>
      <c r="B7879" s="2">
        <f>IFERROR(__xludf.DUMMYFUNCTION("""COMPUTED_VALUE"""),151.45)</f>
        <v>151.45</v>
      </c>
      <c r="C7879" s="2">
        <f>IFERROR(__xludf.DUMMYFUNCTION("""COMPUTED_VALUE"""),151.5)</f>
        <v>151.5</v>
      </c>
      <c r="D7879" s="2">
        <f>IFERROR(__xludf.DUMMYFUNCTION("""COMPUTED_VALUE"""),150.46)</f>
        <v>150.46</v>
      </c>
      <c r="E7879" s="2">
        <f>IFERROR(__xludf.DUMMYFUNCTION("""COMPUTED_VALUE"""),150.92)</f>
        <v>150.92</v>
      </c>
      <c r="F7879" s="2">
        <f>IFERROR(__xludf.DUMMYFUNCTION("""COMPUTED_VALUE"""),4312353.0)</f>
        <v>4312353</v>
      </c>
    </row>
    <row r="7880">
      <c r="A7880" s="3">
        <f>IFERROR(__xludf.DUMMYFUNCTION("""COMPUTED_VALUE"""),40625.666666666664)</f>
        <v>40625.66667</v>
      </c>
      <c r="B7880" s="2">
        <f>IFERROR(__xludf.DUMMYFUNCTION("""COMPUTED_VALUE"""),150.92)</f>
        <v>150.92</v>
      </c>
      <c r="C7880" s="2">
        <f>IFERROR(__xludf.DUMMYFUNCTION("""COMPUTED_VALUE"""),152.9)</f>
        <v>152.9</v>
      </c>
      <c r="D7880" s="2">
        <f>IFERROR(__xludf.DUMMYFUNCTION("""COMPUTED_VALUE"""),150.47)</f>
        <v>150.47</v>
      </c>
      <c r="E7880" s="2">
        <f>IFERROR(__xludf.DUMMYFUNCTION("""COMPUTED_VALUE"""),152.38)</f>
        <v>152.38</v>
      </c>
      <c r="F7880" s="2">
        <f>IFERROR(__xludf.DUMMYFUNCTION("""COMPUTED_VALUE"""),4783305.0)</f>
        <v>4783305</v>
      </c>
    </row>
    <row r="7881">
      <c r="A7881" s="3">
        <f>IFERROR(__xludf.DUMMYFUNCTION("""COMPUTED_VALUE"""),40626.666666666664)</f>
        <v>40626.66667</v>
      </c>
      <c r="B7881" s="2">
        <f>IFERROR(__xludf.DUMMYFUNCTION("""COMPUTED_VALUE"""),153.05)</f>
        <v>153.05</v>
      </c>
      <c r="C7881" s="2">
        <f>IFERROR(__xludf.DUMMYFUNCTION("""COMPUTED_VALUE"""),153.5)</f>
        <v>153.5</v>
      </c>
      <c r="D7881" s="2">
        <f>IFERROR(__xludf.DUMMYFUNCTION("""COMPUTED_VALUE"""),151.72)</f>
        <v>151.72</v>
      </c>
      <c r="E7881" s="2">
        <f>IFERROR(__xludf.DUMMYFUNCTION("""COMPUTED_VALUE"""),152.86)</f>
        <v>152.86</v>
      </c>
      <c r="F7881" s="2">
        <f>IFERROR(__xludf.DUMMYFUNCTION("""COMPUTED_VALUE"""),5150081.0)</f>
        <v>5150081</v>
      </c>
    </row>
    <row r="7882">
      <c r="A7882" s="3">
        <f>IFERROR(__xludf.DUMMYFUNCTION("""COMPUTED_VALUE"""),40627.666666666664)</f>
        <v>40627.66667</v>
      </c>
      <c r="B7882" s="2">
        <f>IFERROR(__xludf.DUMMYFUNCTION("""COMPUTED_VALUE"""),153.76)</f>
        <v>153.76</v>
      </c>
      <c r="C7882" s="2">
        <f>IFERROR(__xludf.DUMMYFUNCTION("""COMPUTED_VALUE"""),155.44)</f>
        <v>155.44</v>
      </c>
      <c r="D7882" s="2">
        <f>IFERROR(__xludf.DUMMYFUNCTION("""COMPUTED_VALUE"""),153.55)</f>
        <v>153.55</v>
      </c>
      <c r="E7882" s="2">
        <f>IFERROR(__xludf.DUMMYFUNCTION("""COMPUTED_VALUE"""),154.91)</f>
        <v>154.91</v>
      </c>
      <c r="F7882" s="2">
        <f>IFERROR(__xludf.DUMMYFUNCTION("""COMPUTED_VALUE"""),5351526.0)</f>
        <v>5351526</v>
      </c>
    </row>
    <row r="7883">
      <c r="A7883" s="3">
        <f>IFERROR(__xludf.DUMMYFUNCTION("""COMPUTED_VALUE"""),40630.666666666664)</f>
        <v>40630.66667</v>
      </c>
      <c r="B7883" s="2">
        <f>IFERROR(__xludf.DUMMYFUNCTION("""COMPUTED_VALUE"""),154.3)</f>
        <v>154.3</v>
      </c>
      <c r="C7883" s="2">
        <f>IFERROR(__xludf.DUMMYFUNCTION("""COMPUTED_VALUE"""),155.29)</f>
        <v>155.29</v>
      </c>
      <c r="D7883" s="2">
        <f>IFERROR(__xludf.DUMMYFUNCTION("""COMPUTED_VALUE"""),153.9)</f>
        <v>153.9</v>
      </c>
      <c r="E7883" s="2">
        <f>IFERROR(__xludf.DUMMYFUNCTION("""COMPUTED_VALUE"""),154.13)</f>
        <v>154.13</v>
      </c>
      <c r="F7883" s="2">
        <f>IFERROR(__xludf.DUMMYFUNCTION("""COMPUTED_VALUE"""),3973680.0)</f>
        <v>3973680</v>
      </c>
    </row>
    <row r="7884">
      <c r="A7884" s="3">
        <f>IFERROR(__xludf.DUMMYFUNCTION("""COMPUTED_VALUE"""),40631.666666666664)</f>
        <v>40631.66667</v>
      </c>
      <c r="B7884" s="2">
        <f>IFERROR(__xludf.DUMMYFUNCTION("""COMPUTED_VALUE"""),154.11)</f>
        <v>154.11</v>
      </c>
      <c r="C7884" s="2">
        <f>IFERROR(__xludf.DUMMYFUNCTION("""COMPUTED_VALUE"""),155.78)</f>
        <v>155.78</v>
      </c>
      <c r="D7884" s="2">
        <f>IFERROR(__xludf.DUMMYFUNCTION("""COMPUTED_VALUE"""),153.92)</f>
        <v>153.92</v>
      </c>
      <c r="E7884" s="2">
        <f>IFERROR(__xludf.DUMMYFUNCTION("""COMPUTED_VALUE"""),155.58)</f>
        <v>155.58</v>
      </c>
      <c r="F7884" s="2">
        <f>IFERROR(__xludf.DUMMYFUNCTION("""COMPUTED_VALUE"""),3460830.0)</f>
        <v>3460830</v>
      </c>
    </row>
    <row r="7885">
      <c r="A7885" s="3">
        <f>IFERROR(__xludf.DUMMYFUNCTION("""COMPUTED_VALUE"""),40632.666666666664)</f>
        <v>40632.66667</v>
      </c>
      <c r="B7885" s="2">
        <f>IFERROR(__xludf.DUMMYFUNCTION("""COMPUTED_VALUE"""),156.22)</f>
        <v>156.22</v>
      </c>
      <c r="C7885" s="2">
        <f>IFERROR(__xludf.DUMMYFUNCTION("""COMPUTED_VALUE"""),156.64)</f>
        <v>156.64</v>
      </c>
      <c r="D7885" s="2">
        <f>IFERROR(__xludf.DUMMYFUNCTION("""COMPUTED_VALUE"""),155.71)</f>
        <v>155.71</v>
      </c>
      <c r="E7885" s="2">
        <f>IFERROR(__xludf.DUMMYFUNCTION("""COMPUTED_VALUE"""),156.26)</f>
        <v>156.26</v>
      </c>
      <c r="F7885" s="2">
        <f>IFERROR(__xludf.DUMMYFUNCTION("""COMPUTED_VALUE"""),3396852.0)</f>
        <v>3396852</v>
      </c>
    </row>
    <row r="7886">
      <c r="A7886" s="3">
        <f>IFERROR(__xludf.DUMMYFUNCTION("""COMPUTED_VALUE"""),40633.666666666664)</f>
        <v>40633.66667</v>
      </c>
      <c r="B7886" s="2">
        <f>IFERROR(__xludf.DUMMYFUNCTION("""COMPUTED_VALUE"""),156.07)</f>
        <v>156.07</v>
      </c>
      <c r="C7886" s="2">
        <f>IFERROR(__xludf.DUMMYFUNCTION("""COMPUTED_VALUE"""),156.7)</f>
        <v>156.7</v>
      </c>
      <c r="D7886" s="2">
        <f>IFERROR(__xludf.DUMMYFUNCTION("""COMPUTED_VALUE"""),155.76)</f>
        <v>155.76</v>
      </c>
      <c r="E7886" s="2">
        <f>IFERROR(__xludf.DUMMYFUNCTION("""COMPUTED_VALUE"""),155.76)</f>
        <v>155.76</v>
      </c>
      <c r="F7886" s="2">
        <f>IFERROR(__xludf.DUMMYFUNCTION("""COMPUTED_VALUE"""),3862368.0)</f>
        <v>3862368</v>
      </c>
    </row>
    <row r="7887">
      <c r="A7887" s="3">
        <f>IFERROR(__xludf.DUMMYFUNCTION("""COMPUTED_VALUE"""),40634.666666666664)</f>
        <v>40634.66667</v>
      </c>
      <c r="B7887" s="2">
        <f>IFERROR(__xludf.DUMMYFUNCTION("""COMPUTED_VALUE"""),156.36)</f>
        <v>156.36</v>
      </c>
      <c r="C7887" s="2">
        <f>IFERROR(__xludf.DUMMYFUNCTION("""COMPUTED_VALUE"""),157.05)</f>
        <v>157.05</v>
      </c>
      <c r="D7887" s="2">
        <f>IFERROR(__xludf.DUMMYFUNCTION("""COMPUTED_VALUE"""),155.73)</f>
        <v>155.73</v>
      </c>
      <c r="E7887" s="2">
        <f>IFERROR(__xludf.DUMMYFUNCTION("""COMPUTED_VALUE"""),156.9)</f>
        <v>156.9</v>
      </c>
      <c r="F7887" s="2">
        <f>IFERROR(__xludf.DUMMYFUNCTION("""COMPUTED_VALUE"""),4388206.0)</f>
        <v>4388206</v>
      </c>
    </row>
    <row r="7888">
      <c r="A7888" s="3">
        <f>IFERROR(__xludf.DUMMYFUNCTION("""COMPUTED_VALUE"""),40637.666666666664)</f>
        <v>40637.66667</v>
      </c>
      <c r="B7888" s="2">
        <f>IFERROR(__xludf.DUMMYFUNCTION("""COMPUTED_VALUE"""),157.05)</f>
        <v>157.05</v>
      </c>
      <c r="C7888" s="2">
        <f>IFERROR(__xludf.DUMMYFUNCTION("""COMPUTED_VALUE"""),157.34)</f>
        <v>157.34</v>
      </c>
      <c r="D7888" s="2">
        <f>IFERROR(__xludf.DUMMYFUNCTION("""COMPUTED_VALUE"""),156.25)</f>
        <v>156.25</v>
      </c>
      <c r="E7888" s="2">
        <f>IFERROR(__xludf.DUMMYFUNCTION("""COMPUTED_VALUE"""),156.89)</f>
        <v>156.89</v>
      </c>
      <c r="F7888" s="2">
        <f>IFERROR(__xludf.DUMMYFUNCTION("""COMPUTED_VALUE"""),3226474.0)</f>
        <v>3226474</v>
      </c>
    </row>
    <row r="7889">
      <c r="A7889" s="3">
        <f>IFERROR(__xludf.DUMMYFUNCTION("""COMPUTED_VALUE"""),40638.666666666664)</f>
        <v>40638.66667</v>
      </c>
      <c r="B7889" s="2">
        <f>IFERROR(__xludf.DUMMYFUNCTION("""COMPUTED_VALUE"""),156.47)</f>
        <v>156.47</v>
      </c>
      <c r="C7889" s="2">
        <f>IFERROR(__xludf.DUMMYFUNCTION("""COMPUTED_VALUE"""),157.32)</f>
        <v>157.32</v>
      </c>
      <c r="D7889" s="2">
        <f>IFERROR(__xludf.DUMMYFUNCTION("""COMPUTED_VALUE"""),156.28)</f>
        <v>156.28</v>
      </c>
      <c r="E7889" s="2">
        <f>IFERROR(__xludf.DUMMYFUNCTION("""COMPUTED_VALUE"""),156.64)</f>
        <v>156.64</v>
      </c>
      <c r="F7889" s="2">
        <f>IFERROR(__xludf.DUMMYFUNCTION("""COMPUTED_VALUE"""),3616188.0)</f>
        <v>3616188</v>
      </c>
    </row>
    <row r="7890">
      <c r="A7890" s="3">
        <f>IFERROR(__xludf.DUMMYFUNCTION("""COMPUTED_VALUE"""),40639.666666666664)</f>
        <v>40639.66667</v>
      </c>
      <c r="B7890" s="2">
        <f>IFERROR(__xludf.DUMMYFUNCTION("""COMPUTED_VALUE"""),156.97)</f>
        <v>156.97</v>
      </c>
      <c r="C7890" s="2">
        <f>IFERROR(__xludf.DUMMYFUNCTION("""COMPUTED_VALUE"""),157.36)</f>
        <v>157.36</v>
      </c>
      <c r="D7890" s="2">
        <f>IFERROR(__xludf.DUMMYFUNCTION("""COMPUTED_VALUE"""),156.47)</f>
        <v>156.47</v>
      </c>
      <c r="E7890" s="2">
        <f>IFERROR(__xludf.DUMMYFUNCTION("""COMPUTED_VALUE"""),156.69)</f>
        <v>156.69</v>
      </c>
      <c r="F7890" s="2">
        <f>IFERROR(__xludf.DUMMYFUNCTION("""COMPUTED_VALUE"""),3776524.0)</f>
        <v>3776524</v>
      </c>
    </row>
    <row r="7891">
      <c r="A7891" s="3">
        <f>IFERROR(__xludf.DUMMYFUNCTION("""COMPUTED_VALUE"""),40640.666666666664)</f>
        <v>40640.66667</v>
      </c>
      <c r="B7891" s="2">
        <f>IFERROR(__xludf.DUMMYFUNCTION("""COMPUTED_VALUE"""),156.74)</f>
        <v>156.74</v>
      </c>
      <c r="C7891" s="2">
        <f>IFERROR(__xludf.DUMMYFUNCTION("""COMPUTED_VALUE"""),157.17)</f>
        <v>157.17</v>
      </c>
      <c r="D7891" s="2">
        <f>IFERROR(__xludf.DUMMYFUNCTION("""COMPUTED_VALUE"""),155.96)</f>
        <v>155.96</v>
      </c>
      <c r="E7891" s="2">
        <f>IFERROR(__xludf.DUMMYFUNCTION("""COMPUTED_VALUE"""),157.01)</f>
        <v>157.01</v>
      </c>
      <c r="F7891" s="2">
        <f>IFERROR(__xludf.DUMMYFUNCTION("""COMPUTED_VALUE"""),3670064.0)</f>
        <v>3670064</v>
      </c>
    </row>
    <row r="7892">
      <c r="A7892" s="3">
        <f>IFERROR(__xludf.DUMMYFUNCTION("""COMPUTED_VALUE"""),40641.666666666664)</f>
        <v>40641.66667</v>
      </c>
      <c r="B7892" s="2">
        <f>IFERROR(__xludf.DUMMYFUNCTION("""COMPUTED_VALUE"""),156.98)</f>
        <v>156.98</v>
      </c>
      <c r="C7892" s="2">
        <f>IFERROR(__xludf.DUMMYFUNCTION("""COMPUTED_VALUE"""),157.01)</f>
        <v>157.01</v>
      </c>
      <c r="D7892" s="2">
        <f>IFERROR(__xludf.DUMMYFUNCTION("""COMPUTED_VALUE"""),155.84)</f>
        <v>155.84</v>
      </c>
      <c r="E7892" s="2">
        <f>IFERROR(__xludf.DUMMYFUNCTION("""COMPUTED_VALUE"""),156.69)</f>
        <v>156.69</v>
      </c>
      <c r="F7892" s="2">
        <f>IFERROR(__xludf.DUMMYFUNCTION("""COMPUTED_VALUE"""),3326158.0)</f>
        <v>3326158</v>
      </c>
    </row>
    <row r="7893">
      <c r="A7893" s="3">
        <f>IFERROR(__xludf.DUMMYFUNCTION("""COMPUTED_VALUE"""),40644.666666666664)</f>
        <v>40644.66667</v>
      </c>
      <c r="B7893" s="2">
        <f>IFERROR(__xludf.DUMMYFUNCTION("""COMPUTED_VALUE"""),156.11)</f>
        <v>156.11</v>
      </c>
      <c r="C7893" s="2">
        <f>IFERROR(__xludf.DUMMYFUNCTION("""COMPUTED_VALUE"""),156.65)</f>
        <v>156.65</v>
      </c>
      <c r="D7893" s="2">
        <f>IFERROR(__xludf.DUMMYFUNCTION("""COMPUTED_VALUE"""),155.8)</f>
        <v>155.8</v>
      </c>
      <c r="E7893" s="2">
        <f>IFERROR(__xludf.DUMMYFUNCTION("""COMPUTED_VALUE"""),156.6)</f>
        <v>156.6</v>
      </c>
      <c r="F7893" s="2">
        <f>IFERROR(__xludf.DUMMYFUNCTION("""COMPUTED_VALUE"""),4141248.0)</f>
        <v>4141248</v>
      </c>
    </row>
    <row r="7894">
      <c r="A7894" s="3">
        <f>IFERROR(__xludf.DUMMYFUNCTION("""COMPUTED_VALUE"""),40645.666666666664)</f>
        <v>40645.66667</v>
      </c>
      <c r="B7894" s="2">
        <f>IFERROR(__xludf.DUMMYFUNCTION("""COMPUTED_VALUE"""),156.04)</f>
        <v>156.04</v>
      </c>
      <c r="C7894" s="2">
        <f>IFERROR(__xludf.DUMMYFUNCTION("""COMPUTED_VALUE"""),156.43)</f>
        <v>156.43</v>
      </c>
      <c r="D7894" s="2">
        <f>IFERROR(__xludf.DUMMYFUNCTION("""COMPUTED_VALUE"""),155.02)</f>
        <v>155.02</v>
      </c>
      <c r="E7894" s="2">
        <f>IFERROR(__xludf.DUMMYFUNCTION("""COMPUTED_VALUE"""),155.93)</f>
        <v>155.93</v>
      </c>
      <c r="F7894" s="2">
        <f>IFERROR(__xludf.DUMMYFUNCTION("""COMPUTED_VALUE"""),3863367.0)</f>
        <v>3863367</v>
      </c>
    </row>
    <row r="7895">
      <c r="A7895" s="3">
        <f>IFERROR(__xludf.DUMMYFUNCTION("""COMPUTED_VALUE"""),40646.666666666664)</f>
        <v>40646.66667</v>
      </c>
      <c r="B7895" s="2">
        <f>IFERROR(__xludf.DUMMYFUNCTION("""COMPUTED_VALUE"""),156.62)</f>
        <v>156.62</v>
      </c>
      <c r="C7895" s="2">
        <f>IFERROR(__xludf.DUMMYFUNCTION("""COMPUTED_VALUE"""),157.54)</f>
        <v>157.54</v>
      </c>
      <c r="D7895" s="2">
        <f>IFERROR(__xludf.DUMMYFUNCTION("""COMPUTED_VALUE"""),156.32)</f>
        <v>156.32</v>
      </c>
      <c r="E7895" s="2">
        <f>IFERROR(__xludf.DUMMYFUNCTION("""COMPUTED_VALUE"""),156.6)</f>
        <v>156.6</v>
      </c>
      <c r="F7895" s="2">
        <f>IFERROR(__xludf.DUMMYFUNCTION("""COMPUTED_VALUE"""),4185429.0)</f>
        <v>4185429</v>
      </c>
    </row>
    <row r="7896">
      <c r="A7896" s="3">
        <f>IFERROR(__xludf.DUMMYFUNCTION("""COMPUTED_VALUE"""),40647.666666666664)</f>
        <v>40647.66667</v>
      </c>
      <c r="B7896" s="2">
        <f>IFERROR(__xludf.DUMMYFUNCTION("""COMPUTED_VALUE"""),156.49)</f>
        <v>156.49</v>
      </c>
      <c r="C7896" s="2">
        <f>IFERROR(__xludf.DUMMYFUNCTION("""COMPUTED_VALUE"""),157.95)</f>
        <v>157.95</v>
      </c>
      <c r="D7896" s="2">
        <f>IFERROR(__xludf.DUMMYFUNCTION("""COMPUTED_VALUE"""),155.84)</f>
        <v>155.84</v>
      </c>
      <c r="E7896" s="2">
        <f>IFERROR(__xludf.DUMMYFUNCTION("""COMPUTED_VALUE"""),157.57)</f>
        <v>157.57</v>
      </c>
      <c r="F7896" s="2">
        <f>IFERROR(__xludf.DUMMYFUNCTION("""COMPUTED_VALUE"""),4702262.0)</f>
        <v>4702262</v>
      </c>
    </row>
    <row r="7897">
      <c r="A7897" s="3">
        <f>IFERROR(__xludf.DUMMYFUNCTION("""COMPUTED_VALUE"""),40648.666666666664)</f>
        <v>40648.66667</v>
      </c>
      <c r="B7897" s="2">
        <f>IFERROR(__xludf.DUMMYFUNCTION("""COMPUTED_VALUE"""),157.6)</f>
        <v>157.6</v>
      </c>
      <c r="C7897" s="2">
        <f>IFERROR(__xludf.DUMMYFUNCTION("""COMPUTED_VALUE"""),158.88)</f>
        <v>158.88</v>
      </c>
      <c r="D7897" s="2">
        <f>IFERROR(__xludf.DUMMYFUNCTION("""COMPUTED_VALUE"""),157.48)</f>
        <v>157.48</v>
      </c>
      <c r="E7897" s="2">
        <f>IFERROR(__xludf.DUMMYFUNCTION("""COMPUTED_VALUE"""),158.76)</f>
        <v>158.76</v>
      </c>
      <c r="F7897" s="2">
        <f>IFERROR(__xludf.DUMMYFUNCTION("""COMPUTED_VALUE"""),5291077.0)</f>
        <v>5291077</v>
      </c>
    </row>
    <row r="7898">
      <c r="A7898" s="3">
        <f>IFERROR(__xludf.DUMMYFUNCTION("""COMPUTED_VALUE"""),40651.666666666664)</f>
        <v>40651.66667</v>
      </c>
      <c r="B7898" s="2">
        <f>IFERROR(__xludf.DUMMYFUNCTION("""COMPUTED_VALUE"""),157.26)</f>
        <v>157.26</v>
      </c>
      <c r="C7898" s="2">
        <f>IFERROR(__xludf.DUMMYFUNCTION("""COMPUTED_VALUE"""),158.71)</f>
        <v>158.71</v>
      </c>
      <c r="D7898" s="2">
        <f>IFERROR(__xludf.DUMMYFUNCTION("""COMPUTED_VALUE"""),155.56)</f>
        <v>155.56</v>
      </c>
      <c r="E7898" s="2">
        <f>IFERROR(__xludf.DUMMYFUNCTION("""COMPUTED_VALUE"""),158.5)</f>
        <v>158.5</v>
      </c>
      <c r="F7898" s="2">
        <f>IFERROR(__xludf.DUMMYFUNCTION("""COMPUTED_VALUE"""),6164069.0)</f>
        <v>6164069</v>
      </c>
    </row>
    <row r="7899">
      <c r="A7899" s="3">
        <f>IFERROR(__xludf.DUMMYFUNCTION("""COMPUTED_VALUE"""),40652.666666666664)</f>
        <v>40652.66667</v>
      </c>
      <c r="B7899" s="2">
        <f>IFERROR(__xludf.DUMMYFUNCTION("""COMPUTED_VALUE"""),158.28)</f>
        <v>158.28</v>
      </c>
      <c r="C7899" s="2">
        <f>IFERROR(__xludf.DUMMYFUNCTION("""COMPUTED_VALUE"""),158.92)</f>
        <v>158.92</v>
      </c>
      <c r="D7899" s="2">
        <f>IFERROR(__xludf.DUMMYFUNCTION("""COMPUTED_VALUE"""),157.07)</f>
        <v>157.07</v>
      </c>
      <c r="E7899" s="2">
        <f>IFERROR(__xludf.DUMMYFUNCTION("""COMPUTED_VALUE"""),157.98)</f>
        <v>157.98</v>
      </c>
      <c r="F7899" s="2">
        <f>IFERROR(__xludf.DUMMYFUNCTION("""COMPUTED_VALUE"""),6597435.0)</f>
        <v>6597435</v>
      </c>
    </row>
    <row r="7900">
      <c r="A7900" s="3">
        <f>IFERROR(__xludf.DUMMYFUNCTION("""COMPUTED_VALUE"""),40653.666666666664)</f>
        <v>40653.66667</v>
      </c>
      <c r="B7900" s="2">
        <f>IFERROR(__xludf.DUMMYFUNCTION("""COMPUTED_VALUE"""),155.79)</f>
        <v>155.79</v>
      </c>
      <c r="C7900" s="2">
        <f>IFERROR(__xludf.DUMMYFUNCTION("""COMPUTED_VALUE"""),158.45)</f>
        <v>158.45</v>
      </c>
      <c r="D7900" s="2">
        <f>IFERROR(__xludf.DUMMYFUNCTION("""COMPUTED_VALUE"""),154.92)</f>
        <v>154.92</v>
      </c>
      <c r="E7900" s="2">
        <f>IFERROR(__xludf.DUMMYFUNCTION("""COMPUTED_VALUE"""),157.36)</f>
        <v>157.36</v>
      </c>
      <c r="F7900" s="2">
        <f>IFERROR(__xludf.DUMMYFUNCTION("""COMPUTED_VALUE"""),1.0901117E7)</f>
        <v>10901117</v>
      </c>
    </row>
    <row r="7901">
      <c r="A7901" s="3">
        <f>IFERROR(__xludf.DUMMYFUNCTION("""COMPUTED_VALUE"""),40654.666666666664)</f>
        <v>40654.66667</v>
      </c>
      <c r="B7901" s="2">
        <f>IFERROR(__xludf.DUMMYFUNCTION("""COMPUTED_VALUE"""),158.2)</f>
        <v>158.2</v>
      </c>
      <c r="C7901" s="2">
        <f>IFERROR(__xludf.DUMMYFUNCTION("""COMPUTED_VALUE"""),160.9)</f>
        <v>160.9</v>
      </c>
      <c r="D7901" s="2">
        <f>IFERROR(__xludf.DUMMYFUNCTION("""COMPUTED_VALUE"""),157.47)</f>
        <v>157.47</v>
      </c>
      <c r="E7901" s="2">
        <f>IFERROR(__xludf.DUMMYFUNCTION("""COMPUTED_VALUE"""),160.73)</f>
        <v>160.73</v>
      </c>
      <c r="F7901" s="2">
        <f>IFERROR(__xludf.DUMMYFUNCTION("""COMPUTED_VALUE"""),6171786.0)</f>
        <v>6171786</v>
      </c>
    </row>
    <row r="7902">
      <c r="A7902" s="3">
        <f>IFERROR(__xludf.DUMMYFUNCTION("""COMPUTED_VALUE"""),40658.666666666664)</f>
        <v>40658.66667</v>
      </c>
      <c r="B7902" s="2">
        <f>IFERROR(__xludf.DUMMYFUNCTION("""COMPUTED_VALUE"""),160.13)</f>
        <v>160.13</v>
      </c>
      <c r="C7902" s="2">
        <f>IFERROR(__xludf.DUMMYFUNCTION("""COMPUTED_VALUE"""),161.2)</f>
        <v>161.2</v>
      </c>
      <c r="D7902" s="2">
        <f>IFERROR(__xludf.DUMMYFUNCTION("""COMPUTED_VALUE"""),159.73)</f>
        <v>159.73</v>
      </c>
      <c r="E7902" s="2">
        <f>IFERROR(__xludf.DUMMYFUNCTION("""COMPUTED_VALUE"""),160.15)</f>
        <v>160.15</v>
      </c>
      <c r="F7902" s="2">
        <f>IFERROR(__xludf.DUMMYFUNCTION("""COMPUTED_VALUE"""),3584142.0)</f>
        <v>3584142</v>
      </c>
    </row>
    <row r="7903">
      <c r="A7903" s="3">
        <f>IFERROR(__xludf.DUMMYFUNCTION("""COMPUTED_VALUE"""),40659.666666666664)</f>
        <v>40659.66667</v>
      </c>
      <c r="B7903" s="2">
        <f>IFERROR(__xludf.DUMMYFUNCTION("""COMPUTED_VALUE"""),160.46)</f>
        <v>160.46</v>
      </c>
      <c r="C7903" s="2">
        <f>IFERROR(__xludf.DUMMYFUNCTION("""COMPUTED_VALUE"""),161.61)</f>
        <v>161.61</v>
      </c>
      <c r="D7903" s="2">
        <f>IFERROR(__xludf.DUMMYFUNCTION("""COMPUTED_VALUE"""),159.89)</f>
        <v>159.89</v>
      </c>
      <c r="E7903" s="2">
        <f>IFERROR(__xludf.DUMMYFUNCTION("""COMPUTED_VALUE"""),160.94)</f>
        <v>160.94</v>
      </c>
      <c r="F7903" s="2">
        <f>IFERROR(__xludf.DUMMYFUNCTION("""COMPUTED_VALUE"""),7267376.0)</f>
        <v>7267376</v>
      </c>
    </row>
    <row r="7904">
      <c r="A7904" s="3">
        <f>IFERROR(__xludf.DUMMYFUNCTION("""COMPUTED_VALUE"""),40660.666666666664)</f>
        <v>40660.66667</v>
      </c>
      <c r="B7904" s="2">
        <f>IFERROR(__xludf.DUMMYFUNCTION("""COMPUTED_VALUE"""),161.05)</f>
        <v>161.05</v>
      </c>
      <c r="C7904" s="2">
        <f>IFERROR(__xludf.DUMMYFUNCTION("""COMPUTED_VALUE"""),162.94)</f>
        <v>162.94</v>
      </c>
      <c r="D7904" s="2">
        <f>IFERROR(__xludf.DUMMYFUNCTION("""COMPUTED_VALUE"""),160.91)</f>
        <v>160.91</v>
      </c>
      <c r="E7904" s="2">
        <f>IFERROR(__xludf.DUMMYFUNCTION("""COMPUTED_VALUE"""),162.73)</f>
        <v>162.73</v>
      </c>
      <c r="F7904" s="2">
        <f>IFERROR(__xludf.DUMMYFUNCTION("""COMPUTED_VALUE"""),5299720.0)</f>
        <v>5299720</v>
      </c>
    </row>
    <row r="7905">
      <c r="A7905" s="3">
        <f>IFERROR(__xludf.DUMMYFUNCTION("""COMPUTED_VALUE"""),40661.666666666664)</f>
        <v>40661.66667</v>
      </c>
      <c r="B7905" s="2">
        <f>IFERROR(__xludf.DUMMYFUNCTION("""COMPUTED_VALUE"""),162.37)</f>
        <v>162.37</v>
      </c>
      <c r="C7905" s="2">
        <f>IFERROR(__xludf.DUMMYFUNCTION("""COMPUTED_VALUE"""),163.7)</f>
        <v>163.7</v>
      </c>
      <c r="D7905" s="2">
        <f>IFERROR(__xludf.DUMMYFUNCTION("""COMPUTED_VALUE"""),162.09)</f>
        <v>162.09</v>
      </c>
      <c r="E7905" s="2">
        <f>IFERROR(__xludf.DUMMYFUNCTION("""COMPUTED_VALUE"""),163.12)</f>
        <v>163.12</v>
      </c>
      <c r="F7905" s="2">
        <f>IFERROR(__xludf.DUMMYFUNCTION("""COMPUTED_VALUE"""),5090377.0)</f>
        <v>5090377</v>
      </c>
    </row>
    <row r="7906">
      <c r="A7906" s="3">
        <f>IFERROR(__xludf.DUMMYFUNCTION("""COMPUTED_VALUE"""),40662.666666666664)</f>
        <v>40662.66667</v>
      </c>
      <c r="B7906" s="2">
        <f>IFERROR(__xludf.DUMMYFUNCTION("""COMPUTED_VALUE"""),163.43)</f>
        <v>163.43</v>
      </c>
      <c r="C7906" s="2">
        <f>IFERROR(__xludf.DUMMYFUNCTION("""COMPUTED_VALUE"""),165.24)</f>
        <v>165.24</v>
      </c>
      <c r="D7906" s="2">
        <f>IFERROR(__xludf.DUMMYFUNCTION("""COMPUTED_VALUE"""),162.84)</f>
        <v>162.84</v>
      </c>
      <c r="E7906" s="2">
        <f>IFERROR(__xludf.DUMMYFUNCTION("""COMPUTED_VALUE"""),162.93)</f>
        <v>162.93</v>
      </c>
      <c r="F7906" s="2">
        <f>IFERROR(__xludf.DUMMYFUNCTION("""COMPUTED_VALUE"""),5588010.0)</f>
        <v>5588010</v>
      </c>
    </row>
    <row r="7907">
      <c r="A7907" s="3">
        <f>IFERROR(__xludf.DUMMYFUNCTION("""COMPUTED_VALUE"""),40665.666666666664)</f>
        <v>40665.66667</v>
      </c>
      <c r="B7907" s="2">
        <f>IFERROR(__xludf.DUMMYFUNCTION("""COMPUTED_VALUE"""),164.39)</f>
        <v>164.39</v>
      </c>
      <c r="C7907" s="2">
        <f>IFERROR(__xludf.DUMMYFUNCTION("""COMPUTED_VALUE"""),165.76)</f>
        <v>165.76</v>
      </c>
      <c r="D7907" s="2">
        <f>IFERROR(__xludf.DUMMYFUNCTION("""COMPUTED_VALUE"""),163.8)</f>
        <v>163.8</v>
      </c>
      <c r="E7907" s="2">
        <f>IFERROR(__xludf.DUMMYFUNCTION("""COMPUTED_VALUE"""),164.43)</f>
        <v>164.43</v>
      </c>
      <c r="F7907" s="2">
        <f>IFERROR(__xludf.DUMMYFUNCTION("""COMPUTED_VALUE"""),5397951.0)</f>
        <v>5397951</v>
      </c>
    </row>
    <row r="7908">
      <c r="A7908" s="3">
        <f>IFERROR(__xludf.DUMMYFUNCTION("""COMPUTED_VALUE"""),40666.666666666664)</f>
        <v>40666.66667</v>
      </c>
      <c r="B7908" s="2">
        <f>IFERROR(__xludf.DUMMYFUNCTION("""COMPUTED_VALUE"""),164.29)</f>
        <v>164.29</v>
      </c>
      <c r="C7908" s="2">
        <f>IFERROR(__xludf.DUMMYFUNCTION("""COMPUTED_VALUE"""),165.7)</f>
        <v>165.7</v>
      </c>
      <c r="D7908" s="2">
        <f>IFERROR(__xludf.DUMMYFUNCTION("""COMPUTED_VALUE"""),163.55)</f>
        <v>163.55</v>
      </c>
      <c r="E7908" s="2">
        <f>IFERROR(__xludf.DUMMYFUNCTION("""COMPUTED_VALUE"""),165.12)</f>
        <v>165.12</v>
      </c>
      <c r="F7908" s="2">
        <f>IFERROR(__xludf.DUMMYFUNCTION("""COMPUTED_VALUE"""),5009923.0)</f>
        <v>5009923</v>
      </c>
    </row>
    <row r="7909">
      <c r="A7909" s="3">
        <f>IFERROR(__xludf.DUMMYFUNCTION("""COMPUTED_VALUE"""),40667.666666666664)</f>
        <v>40667.66667</v>
      </c>
      <c r="B7909" s="2">
        <f>IFERROR(__xludf.DUMMYFUNCTION("""COMPUTED_VALUE"""),164.63)</f>
        <v>164.63</v>
      </c>
      <c r="C7909" s="2">
        <f>IFERROR(__xludf.DUMMYFUNCTION("""COMPUTED_VALUE"""),164.88)</f>
        <v>164.88</v>
      </c>
      <c r="D7909" s="2">
        <f>IFERROR(__xludf.DUMMYFUNCTION("""COMPUTED_VALUE"""),161.99)</f>
        <v>161.99</v>
      </c>
      <c r="E7909" s="2">
        <f>IFERROR(__xludf.DUMMYFUNCTION("""COMPUTED_VALUE"""),162.97)</f>
        <v>162.97</v>
      </c>
      <c r="F7909" s="2">
        <f>IFERROR(__xludf.DUMMYFUNCTION("""COMPUTED_VALUE"""),6894585.0)</f>
        <v>6894585</v>
      </c>
    </row>
    <row r="7910">
      <c r="A7910" s="3">
        <f>IFERROR(__xludf.DUMMYFUNCTION("""COMPUTED_VALUE"""),40668.666666666664)</f>
        <v>40668.66667</v>
      </c>
      <c r="B7910" s="2">
        <f>IFERROR(__xludf.DUMMYFUNCTION("""COMPUTED_VALUE"""),162.83)</f>
        <v>162.83</v>
      </c>
      <c r="C7910" s="2">
        <f>IFERROR(__xludf.DUMMYFUNCTION("""COMPUTED_VALUE"""),163.21)</f>
        <v>163.21</v>
      </c>
      <c r="D7910" s="2">
        <f>IFERROR(__xludf.DUMMYFUNCTION("""COMPUTED_VALUE"""),159.99)</f>
        <v>159.99</v>
      </c>
      <c r="E7910" s="2">
        <f>IFERROR(__xludf.DUMMYFUNCTION("""COMPUTED_VALUE"""),160.91)</f>
        <v>160.91</v>
      </c>
      <c r="F7910" s="2">
        <f>IFERROR(__xludf.DUMMYFUNCTION("""COMPUTED_VALUE"""),7338670.0)</f>
        <v>7338670</v>
      </c>
    </row>
    <row r="7911">
      <c r="A7911" s="3">
        <f>IFERROR(__xludf.DUMMYFUNCTION("""COMPUTED_VALUE"""),40669.666666666664)</f>
        <v>40669.66667</v>
      </c>
      <c r="B7911" s="2">
        <f>IFERROR(__xludf.DUMMYFUNCTION("""COMPUTED_VALUE"""),161.45)</f>
        <v>161.45</v>
      </c>
      <c r="C7911" s="2">
        <f>IFERROR(__xludf.DUMMYFUNCTION("""COMPUTED_VALUE"""),162.52)</f>
        <v>162.52</v>
      </c>
      <c r="D7911" s="2">
        <f>IFERROR(__xludf.DUMMYFUNCTION("""COMPUTED_VALUE"""),160.7)</f>
        <v>160.7</v>
      </c>
      <c r="E7911" s="2">
        <f>IFERROR(__xludf.DUMMYFUNCTION("""COMPUTED_VALUE"""),161.32)</f>
        <v>161.32</v>
      </c>
      <c r="F7911" s="2">
        <f>IFERROR(__xludf.DUMMYFUNCTION("""COMPUTED_VALUE"""),4839438.0)</f>
        <v>4839438</v>
      </c>
    </row>
    <row r="7912">
      <c r="A7912" s="3">
        <f>IFERROR(__xludf.DUMMYFUNCTION("""COMPUTED_VALUE"""),40672.666666666664)</f>
        <v>40672.66667</v>
      </c>
      <c r="B7912" s="2">
        <f>IFERROR(__xludf.DUMMYFUNCTION("""COMPUTED_VALUE"""),160.84)</f>
        <v>160.84</v>
      </c>
      <c r="C7912" s="2">
        <f>IFERROR(__xludf.DUMMYFUNCTION("""COMPUTED_VALUE"""),162.23)</f>
        <v>162.23</v>
      </c>
      <c r="D7912" s="2">
        <f>IFERROR(__xludf.DUMMYFUNCTION("""COMPUTED_VALUE"""),160.76)</f>
        <v>160.76</v>
      </c>
      <c r="E7912" s="2">
        <f>IFERROR(__xludf.DUMMYFUNCTION("""COMPUTED_VALUE"""),161.52)</f>
        <v>161.52</v>
      </c>
      <c r="F7912" s="2">
        <f>IFERROR(__xludf.DUMMYFUNCTION("""COMPUTED_VALUE"""),3591728.0)</f>
        <v>3591728</v>
      </c>
    </row>
    <row r="7913">
      <c r="A7913" s="3">
        <f>IFERROR(__xludf.DUMMYFUNCTION("""COMPUTED_VALUE"""),40673.666666666664)</f>
        <v>40673.66667</v>
      </c>
      <c r="B7913" s="2">
        <f>IFERROR(__xludf.DUMMYFUNCTION("""COMPUTED_VALUE"""),161.66)</f>
        <v>161.66</v>
      </c>
      <c r="C7913" s="2">
        <f>IFERROR(__xludf.DUMMYFUNCTION("""COMPUTED_VALUE"""),163.24)</f>
        <v>163.24</v>
      </c>
      <c r="D7913" s="2">
        <f>IFERROR(__xludf.DUMMYFUNCTION("""COMPUTED_VALUE"""),161.63)</f>
        <v>161.63</v>
      </c>
      <c r="E7913" s="2">
        <f>IFERROR(__xludf.DUMMYFUNCTION("""COMPUTED_VALUE"""),162.74)</f>
        <v>162.74</v>
      </c>
      <c r="F7913" s="2">
        <f>IFERROR(__xludf.DUMMYFUNCTION("""COMPUTED_VALUE"""),4936698.0)</f>
        <v>4936698</v>
      </c>
    </row>
    <row r="7914">
      <c r="A7914" s="3">
        <f>IFERROR(__xludf.DUMMYFUNCTION("""COMPUTED_VALUE"""),40674.666666666664)</f>
        <v>40674.66667</v>
      </c>
      <c r="B7914" s="2">
        <f>IFERROR(__xludf.DUMMYFUNCTION("""COMPUTED_VALUE"""),162.66)</f>
        <v>162.66</v>
      </c>
      <c r="C7914" s="2">
        <f>IFERROR(__xludf.DUMMYFUNCTION("""COMPUTED_VALUE"""),162.87)</f>
        <v>162.87</v>
      </c>
      <c r="D7914" s="2">
        <f>IFERROR(__xludf.DUMMYFUNCTION("""COMPUTED_VALUE"""),160.3)</f>
        <v>160.3</v>
      </c>
      <c r="E7914" s="2">
        <f>IFERROR(__xludf.DUMMYFUNCTION("""COMPUTED_VALUE"""),161.9)</f>
        <v>161.9</v>
      </c>
      <c r="F7914" s="2">
        <f>IFERROR(__xludf.DUMMYFUNCTION("""COMPUTED_VALUE"""),4665303.0)</f>
        <v>4665303</v>
      </c>
    </row>
    <row r="7915">
      <c r="A7915" s="3">
        <f>IFERROR(__xludf.DUMMYFUNCTION("""COMPUTED_VALUE"""),40675.666666666664)</f>
        <v>40675.66667</v>
      </c>
      <c r="B7915" s="2">
        <f>IFERROR(__xludf.DUMMYFUNCTION("""COMPUTED_VALUE"""),162.04)</f>
        <v>162.04</v>
      </c>
      <c r="C7915" s="2">
        <f>IFERROR(__xludf.DUMMYFUNCTION("""COMPUTED_VALUE"""),165.02)</f>
        <v>165.02</v>
      </c>
      <c r="D7915" s="2">
        <f>IFERROR(__xludf.DUMMYFUNCTION("""COMPUTED_VALUE"""),161.09)</f>
        <v>161.09</v>
      </c>
      <c r="E7915" s="2">
        <f>IFERROR(__xludf.DUMMYFUNCTION("""COMPUTED_VALUE"""),164.52)</f>
        <v>164.52</v>
      </c>
      <c r="F7915" s="2">
        <f>IFERROR(__xludf.DUMMYFUNCTION("""COMPUTED_VALUE"""),5142809.0)</f>
        <v>5142809</v>
      </c>
    </row>
    <row r="7916">
      <c r="A7916" s="3">
        <f>IFERROR(__xludf.DUMMYFUNCTION("""COMPUTED_VALUE"""),40676.666666666664)</f>
        <v>40676.66667</v>
      </c>
      <c r="B7916" s="2">
        <f>IFERROR(__xludf.DUMMYFUNCTION("""COMPUTED_VALUE"""),164.0)</f>
        <v>164</v>
      </c>
      <c r="C7916" s="2">
        <f>IFERROR(__xludf.DUMMYFUNCTION("""COMPUTED_VALUE"""),164.43)</f>
        <v>164.43</v>
      </c>
      <c r="D7916" s="2">
        <f>IFERROR(__xludf.DUMMYFUNCTION("""COMPUTED_VALUE"""),161.84)</f>
        <v>161.84</v>
      </c>
      <c r="E7916" s="2">
        <f>IFERROR(__xludf.DUMMYFUNCTION("""COMPUTED_VALUE"""),162.3)</f>
        <v>162.3</v>
      </c>
      <c r="F7916" s="2">
        <f>IFERROR(__xludf.DUMMYFUNCTION("""COMPUTED_VALUE"""),5168995.0)</f>
        <v>5168995</v>
      </c>
    </row>
    <row r="7917">
      <c r="A7917" s="3">
        <f>IFERROR(__xludf.DUMMYFUNCTION("""COMPUTED_VALUE"""),40679.666666666664)</f>
        <v>40679.66667</v>
      </c>
      <c r="B7917" s="2">
        <f>IFERROR(__xludf.DUMMYFUNCTION("""COMPUTED_VALUE"""),162.2)</f>
        <v>162.2</v>
      </c>
      <c r="C7917" s="2">
        <f>IFERROR(__xludf.DUMMYFUNCTION("""COMPUTED_VALUE"""),162.99)</f>
        <v>162.99</v>
      </c>
      <c r="D7917" s="2">
        <f>IFERROR(__xludf.DUMMYFUNCTION("""COMPUTED_VALUE"""),160.76)</f>
        <v>160.76</v>
      </c>
      <c r="E7917" s="2">
        <f>IFERROR(__xludf.DUMMYFUNCTION("""COMPUTED_VALUE"""),161.29)</f>
        <v>161.29</v>
      </c>
      <c r="F7917" s="2">
        <f>IFERROR(__xludf.DUMMYFUNCTION("""COMPUTED_VALUE"""),4662973.0)</f>
        <v>4662973</v>
      </c>
    </row>
    <row r="7918">
      <c r="A7918" s="3">
        <f>IFERROR(__xludf.DUMMYFUNCTION("""COMPUTED_VALUE"""),40680.666666666664)</f>
        <v>40680.66667</v>
      </c>
      <c r="B7918" s="2">
        <f>IFERROR(__xludf.DUMMYFUNCTION("""COMPUTED_VALUE"""),160.32)</f>
        <v>160.32</v>
      </c>
      <c r="C7918" s="2">
        <f>IFERROR(__xludf.DUMMYFUNCTION("""COMPUTED_VALUE"""),163.72)</f>
        <v>163.72</v>
      </c>
      <c r="D7918" s="2">
        <f>IFERROR(__xludf.DUMMYFUNCTION("""COMPUTED_VALUE"""),159.06)</f>
        <v>159.06</v>
      </c>
      <c r="E7918" s="2">
        <f>IFERROR(__xludf.DUMMYFUNCTION("""COMPUTED_VALUE"""),162.86)</f>
        <v>162.86</v>
      </c>
      <c r="F7918" s="2">
        <f>IFERROR(__xludf.DUMMYFUNCTION("""COMPUTED_VALUE"""),8793885.0)</f>
        <v>8793885</v>
      </c>
    </row>
    <row r="7919">
      <c r="A7919" s="3">
        <f>IFERROR(__xludf.DUMMYFUNCTION("""COMPUTED_VALUE"""),40681.666666666664)</f>
        <v>40681.66667</v>
      </c>
      <c r="B7919" s="2">
        <f>IFERROR(__xludf.DUMMYFUNCTION("""COMPUTED_VALUE"""),162.47)</f>
        <v>162.47</v>
      </c>
      <c r="C7919" s="2">
        <f>IFERROR(__xludf.DUMMYFUNCTION("""COMPUTED_VALUE"""),163.51)</f>
        <v>163.51</v>
      </c>
      <c r="D7919" s="2">
        <f>IFERROR(__xludf.DUMMYFUNCTION("""COMPUTED_VALUE"""),161.86)</f>
        <v>161.86</v>
      </c>
      <c r="E7919" s="2">
        <f>IFERROR(__xludf.DUMMYFUNCTION("""COMPUTED_VALUE"""),162.8)</f>
        <v>162.8</v>
      </c>
      <c r="F7919" s="2">
        <f>IFERROR(__xludf.DUMMYFUNCTION("""COMPUTED_VALUE"""),4157195.0)</f>
        <v>4157195</v>
      </c>
    </row>
    <row r="7920">
      <c r="A7920" s="3">
        <f>IFERROR(__xludf.DUMMYFUNCTION("""COMPUTED_VALUE"""),40682.666666666664)</f>
        <v>40682.66667</v>
      </c>
      <c r="B7920" s="2">
        <f>IFERROR(__xludf.DUMMYFUNCTION("""COMPUTED_VALUE"""),163.2)</f>
        <v>163.2</v>
      </c>
      <c r="C7920" s="2">
        <f>IFERROR(__xludf.DUMMYFUNCTION("""COMPUTED_VALUE"""),163.72)</f>
        <v>163.72</v>
      </c>
      <c r="D7920" s="2">
        <f>IFERROR(__xludf.DUMMYFUNCTION("""COMPUTED_VALUE"""),161.73)</f>
        <v>161.73</v>
      </c>
      <c r="E7920" s="2">
        <f>IFERROR(__xludf.DUMMYFUNCTION("""COMPUTED_VALUE"""),162.94)</f>
        <v>162.94</v>
      </c>
      <c r="F7920" s="2">
        <f>IFERROR(__xludf.DUMMYFUNCTION("""COMPUTED_VALUE"""),3540005.0)</f>
        <v>3540005</v>
      </c>
    </row>
    <row r="7921">
      <c r="A7921" s="3">
        <f>IFERROR(__xludf.DUMMYFUNCTION("""COMPUTED_VALUE"""),40683.666666666664)</f>
        <v>40683.66667</v>
      </c>
      <c r="B7921" s="2">
        <f>IFERROR(__xludf.DUMMYFUNCTION("""COMPUTED_VALUE"""),162.76)</f>
        <v>162.76</v>
      </c>
      <c r="C7921" s="2">
        <f>IFERROR(__xludf.DUMMYFUNCTION("""COMPUTED_VALUE"""),163.48)</f>
        <v>163.48</v>
      </c>
      <c r="D7921" s="2">
        <f>IFERROR(__xludf.DUMMYFUNCTION("""COMPUTED_VALUE"""),161.79)</f>
        <v>161.79</v>
      </c>
      <c r="E7921" s="2">
        <f>IFERROR(__xludf.DUMMYFUNCTION("""COMPUTED_VALUE"""),162.53)</f>
        <v>162.53</v>
      </c>
      <c r="F7921" s="2">
        <f>IFERROR(__xludf.DUMMYFUNCTION("""COMPUTED_VALUE"""),4873602.0)</f>
        <v>4873602</v>
      </c>
    </row>
    <row r="7922">
      <c r="A7922" s="3">
        <f>IFERROR(__xludf.DUMMYFUNCTION("""COMPUTED_VALUE"""),40686.666666666664)</f>
        <v>40686.66667</v>
      </c>
      <c r="B7922" s="2">
        <f>IFERROR(__xludf.DUMMYFUNCTION("""COMPUTED_VALUE"""),161.02)</f>
        <v>161.02</v>
      </c>
      <c r="C7922" s="2">
        <f>IFERROR(__xludf.DUMMYFUNCTION("""COMPUTED_VALUE"""),161.13)</f>
        <v>161.13</v>
      </c>
      <c r="D7922" s="2">
        <f>IFERROR(__xludf.DUMMYFUNCTION("""COMPUTED_VALUE"""),159.58)</f>
        <v>159.58</v>
      </c>
      <c r="E7922" s="2">
        <f>IFERROR(__xludf.DUMMYFUNCTION("""COMPUTED_VALUE"""),160.72)</f>
        <v>160.72</v>
      </c>
      <c r="F7922" s="2">
        <f>IFERROR(__xludf.DUMMYFUNCTION("""COMPUTED_VALUE"""),5150032.0)</f>
        <v>5150032</v>
      </c>
    </row>
    <row r="7923">
      <c r="A7923" s="3">
        <f>IFERROR(__xludf.DUMMYFUNCTION("""COMPUTED_VALUE"""),40687.666666666664)</f>
        <v>40687.66667</v>
      </c>
      <c r="B7923" s="2">
        <f>IFERROR(__xludf.DUMMYFUNCTION("""COMPUTED_VALUE"""),160.95)</f>
        <v>160.95</v>
      </c>
      <c r="C7923" s="2">
        <f>IFERROR(__xludf.DUMMYFUNCTION("""COMPUTED_VALUE"""),161.11)</f>
        <v>161.11</v>
      </c>
      <c r="D7923" s="2">
        <f>IFERROR(__xludf.DUMMYFUNCTION("""COMPUTED_VALUE"""),160.0)</f>
        <v>160</v>
      </c>
      <c r="E7923" s="2">
        <f>IFERROR(__xludf.DUMMYFUNCTION("""COMPUTED_VALUE"""),160.46)</f>
        <v>160.46</v>
      </c>
      <c r="F7923" s="2">
        <f>IFERROR(__xludf.DUMMYFUNCTION("""COMPUTED_VALUE"""),4643753.0)</f>
        <v>4643753</v>
      </c>
    </row>
    <row r="7924">
      <c r="A7924" s="3">
        <f>IFERROR(__xludf.DUMMYFUNCTION("""COMPUTED_VALUE"""),40688.666666666664)</f>
        <v>40688.66667</v>
      </c>
      <c r="B7924" s="2">
        <f>IFERROR(__xludf.DUMMYFUNCTION("""COMPUTED_VALUE"""),160.11)</f>
        <v>160.11</v>
      </c>
      <c r="C7924" s="2">
        <f>IFERROR(__xludf.DUMMYFUNCTION("""COMPUTED_VALUE"""),160.85)</f>
        <v>160.85</v>
      </c>
      <c r="D7924" s="2">
        <f>IFERROR(__xludf.DUMMYFUNCTION("""COMPUTED_VALUE"""),160.0)</f>
        <v>160</v>
      </c>
      <c r="E7924" s="2">
        <f>IFERROR(__xludf.DUMMYFUNCTION("""COMPUTED_VALUE"""),160.23)</f>
        <v>160.23</v>
      </c>
      <c r="F7924" s="2">
        <f>IFERROR(__xludf.DUMMYFUNCTION("""COMPUTED_VALUE"""),3884049.0)</f>
        <v>3884049</v>
      </c>
    </row>
    <row r="7925">
      <c r="A7925" s="3">
        <f>IFERROR(__xludf.DUMMYFUNCTION("""COMPUTED_VALUE"""),40689.666666666664)</f>
        <v>40689.66667</v>
      </c>
      <c r="B7925" s="2">
        <f>IFERROR(__xludf.DUMMYFUNCTION("""COMPUTED_VALUE"""),159.95)</f>
        <v>159.95</v>
      </c>
      <c r="C7925" s="2">
        <f>IFERROR(__xludf.DUMMYFUNCTION("""COMPUTED_VALUE"""),159.99)</f>
        <v>159.99</v>
      </c>
      <c r="D7925" s="2">
        <f>IFERROR(__xludf.DUMMYFUNCTION("""COMPUTED_VALUE"""),158.46)</f>
        <v>158.46</v>
      </c>
      <c r="E7925" s="2">
        <f>IFERROR(__xludf.DUMMYFUNCTION("""COMPUTED_VALUE"""),159.68)</f>
        <v>159.68</v>
      </c>
      <c r="F7925" s="2">
        <f>IFERROR(__xludf.DUMMYFUNCTION("""COMPUTED_VALUE"""),5775929.0)</f>
        <v>5775929</v>
      </c>
    </row>
    <row r="7926">
      <c r="A7926" s="3">
        <f>IFERROR(__xludf.DUMMYFUNCTION("""COMPUTED_VALUE"""),40690.666666666664)</f>
        <v>40690.66667</v>
      </c>
      <c r="B7926" s="2">
        <f>IFERROR(__xludf.DUMMYFUNCTION("""COMPUTED_VALUE"""),160.38)</f>
        <v>160.38</v>
      </c>
      <c r="C7926" s="2">
        <f>IFERROR(__xludf.DUMMYFUNCTION("""COMPUTED_VALUE"""),160.92)</f>
        <v>160.92</v>
      </c>
      <c r="D7926" s="2">
        <f>IFERROR(__xludf.DUMMYFUNCTION("""COMPUTED_VALUE"""),159.51)</f>
        <v>159.51</v>
      </c>
      <c r="E7926" s="2">
        <f>IFERROR(__xludf.DUMMYFUNCTION("""COMPUTED_VALUE"""),159.99)</f>
        <v>159.99</v>
      </c>
      <c r="F7926" s="2">
        <f>IFERROR(__xludf.DUMMYFUNCTION("""COMPUTED_VALUE"""),3277507.0)</f>
        <v>3277507</v>
      </c>
    </row>
    <row r="7927">
      <c r="A7927" s="3">
        <f>IFERROR(__xludf.DUMMYFUNCTION("""COMPUTED_VALUE"""),40694.666666666664)</f>
        <v>40694.66667</v>
      </c>
      <c r="B7927" s="2">
        <f>IFERROR(__xludf.DUMMYFUNCTION("""COMPUTED_VALUE"""),160.89)</f>
        <v>160.89</v>
      </c>
      <c r="C7927" s="2">
        <f>IFERROR(__xludf.DUMMYFUNCTION("""COMPUTED_VALUE"""),162.27)</f>
        <v>162.27</v>
      </c>
      <c r="D7927" s="2">
        <f>IFERROR(__xludf.DUMMYFUNCTION("""COMPUTED_VALUE"""),160.3)</f>
        <v>160.3</v>
      </c>
      <c r="E7927" s="2">
        <f>IFERROR(__xludf.DUMMYFUNCTION("""COMPUTED_VALUE"""),161.36)</f>
        <v>161.36</v>
      </c>
      <c r="F7927" s="2">
        <f>IFERROR(__xludf.DUMMYFUNCTION("""COMPUTED_VALUE"""),9130673.0)</f>
        <v>9130673</v>
      </c>
    </row>
    <row r="7928">
      <c r="A7928" s="3">
        <f>IFERROR(__xludf.DUMMYFUNCTION("""COMPUTED_VALUE"""),40695.666666666664)</f>
        <v>40695.66667</v>
      </c>
      <c r="B7928" s="2">
        <f>IFERROR(__xludf.DUMMYFUNCTION("""COMPUTED_VALUE"""),161.33)</f>
        <v>161.33</v>
      </c>
      <c r="C7928" s="2">
        <f>IFERROR(__xludf.DUMMYFUNCTION("""COMPUTED_VALUE"""),161.98)</f>
        <v>161.98</v>
      </c>
      <c r="D7928" s="2">
        <f>IFERROR(__xludf.DUMMYFUNCTION("""COMPUTED_VALUE"""),159.03)</f>
        <v>159.03</v>
      </c>
      <c r="E7928" s="2">
        <f>IFERROR(__xludf.DUMMYFUNCTION("""COMPUTED_VALUE"""),159.09)</f>
        <v>159.09</v>
      </c>
      <c r="F7928" s="2">
        <f>IFERROR(__xludf.DUMMYFUNCTION("""COMPUTED_VALUE"""),5134779.0)</f>
        <v>5134779</v>
      </c>
    </row>
    <row r="7929">
      <c r="A7929" s="3">
        <f>IFERROR(__xludf.DUMMYFUNCTION("""COMPUTED_VALUE"""),40696.666666666664)</f>
        <v>40696.66667</v>
      </c>
      <c r="B7929" s="2">
        <f>IFERROR(__xludf.DUMMYFUNCTION("""COMPUTED_VALUE"""),158.98)</f>
        <v>158.98</v>
      </c>
      <c r="C7929" s="2">
        <f>IFERROR(__xludf.DUMMYFUNCTION("""COMPUTED_VALUE"""),159.61)</f>
        <v>159.61</v>
      </c>
      <c r="D7929" s="2">
        <f>IFERROR(__xludf.DUMMYFUNCTION("""COMPUTED_VALUE"""),158.28)</f>
        <v>158.28</v>
      </c>
      <c r="E7929" s="2">
        <f>IFERROR(__xludf.DUMMYFUNCTION("""COMPUTED_VALUE"""),158.64)</f>
        <v>158.64</v>
      </c>
      <c r="F7929" s="2">
        <f>IFERROR(__xludf.DUMMYFUNCTION("""COMPUTED_VALUE"""),3854020.0)</f>
        <v>3854020</v>
      </c>
    </row>
    <row r="7930">
      <c r="A7930" s="3">
        <f>IFERROR(__xludf.DUMMYFUNCTION("""COMPUTED_VALUE"""),40697.666666666664)</f>
        <v>40697.66667</v>
      </c>
      <c r="B7930" s="2">
        <f>IFERROR(__xludf.DUMMYFUNCTION("""COMPUTED_VALUE"""),156.93)</f>
        <v>156.93</v>
      </c>
      <c r="C7930" s="2">
        <f>IFERROR(__xludf.DUMMYFUNCTION("""COMPUTED_VALUE"""),158.45)</f>
        <v>158.45</v>
      </c>
      <c r="D7930" s="2">
        <f>IFERROR(__xludf.DUMMYFUNCTION("""COMPUTED_VALUE"""),156.77)</f>
        <v>156.77</v>
      </c>
      <c r="E7930" s="2">
        <f>IFERROR(__xludf.DUMMYFUNCTION("""COMPUTED_VALUE"""),157.65)</f>
        <v>157.65</v>
      </c>
      <c r="F7930" s="2">
        <f>IFERROR(__xludf.DUMMYFUNCTION("""COMPUTED_VALUE"""),5230500.0)</f>
        <v>5230500</v>
      </c>
    </row>
    <row r="7931">
      <c r="A7931" s="3">
        <f>IFERROR(__xludf.DUMMYFUNCTION("""COMPUTED_VALUE"""),40700.666666666664)</f>
        <v>40700.66667</v>
      </c>
      <c r="B7931" s="2">
        <f>IFERROR(__xludf.DUMMYFUNCTION("""COMPUTED_VALUE"""),157.37)</f>
        <v>157.37</v>
      </c>
      <c r="C7931" s="2">
        <f>IFERROR(__xludf.DUMMYFUNCTION("""COMPUTED_VALUE"""),158.16)</f>
        <v>158.16</v>
      </c>
      <c r="D7931" s="2">
        <f>IFERROR(__xludf.DUMMYFUNCTION("""COMPUTED_VALUE"""),156.9)</f>
        <v>156.9</v>
      </c>
      <c r="E7931" s="2">
        <f>IFERROR(__xludf.DUMMYFUNCTION("""COMPUTED_VALUE"""),157.36)</f>
        <v>157.36</v>
      </c>
      <c r="F7931" s="2">
        <f>IFERROR(__xludf.DUMMYFUNCTION("""COMPUTED_VALUE"""),3619681.0)</f>
        <v>3619681</v>
      </c>
    </row>
    <row r="7932">
      <c r="A7932" s="3">
        <f>IFERROR(__xludf.DUMMYFUNCTION("""COMPUTED_VALUE"""),40701.666666666664)</f>
        <v>40701.66667</v>
      </c>
      <c r="B7932" s="2">
        <f>IFERROR(__xludf.DUMMYFUNCTION("""COMPUTED_VALUE"""),157.71)</f>
        <v>157.71</v>
      </c>
      <c r="C7932" s="2">
        <f>IFERROR(__xludf.DUMMYFUNCTION("""COMPUTED_VALUE"""),157.83)</f>
        <v>157.83</v>
      </c>
      <c r="D7932" s="2">
        <f>IFERROR(__xludf.DUMMYFUNCTION("""COMPUTED_VALUE"""),156.27)</f>
        <v>156.27</v>
      </c>
      <c r="E7932" s="2">
        <f>IFERROR(__xludf.DUMMYFUNCTION("""COMPUTED_VALUE"""),156.35)</f>
        <v>156.35</v>
      </c>
      <c r="F7932" s="2">
        <f>IFERROR(__xludf.DUMMYFUNCTION("""COMPUTED_VALUE"""),4189497.0)</f>
        <v>4189497</v>
      </c>
    </row>
    <row r="7933">
      <c r="A7933" s="3">
        <f>IFERROR(__xludf.DUMMYFUNCTION("""COMPUTED_VALUE"""),40702.666666666664)</f>
        <v>40702.66667</v>
      </c>
      <c r="B7933" s="2">
        <f>IFERROR(__xludf.DUMMYFUNCTION("""COMPUTED_VALUE"""),155.95)</f>
        <v>155.95</v>
      </c>
      <c r="C7933" s="2">
        <f>IFERROR(__xludf.DUMMYFUNCTION("""COMPUTED_VALUE"""),157.46)</f>
        <v>157.46</v>
      </c>
      <c r="D7933" s="2">
        <f>IFERROR(__xludf.DUMMYFUNCTION("""COMPUTED_VALUE"""),155.94)</f>
        <v>155.94</v>
      </c>
      <c r="E7933" s="2">
        <f>IFERROR(__xludf.DUMMYFUNCTION("""COMPUTED_VALUE"""),156.97)</f>
        <v>156.97</v>
      </c>
      <c r="F7933" s="2">
        <f>IFERROR(__xludf.DUMMYFUNCTION("""COMPUTED_VALUE"""),3850732.0)</f>
        <v>3850732</v>
      </c>
    </row>
    <row r="7934">
      <c r="A7934" s="3">
        <f>IFERROR(__xludf.DUMMYFUNCTION("""COMPUTED_VALUE"""),40703.666666666664)</f>
        <v>40703.66667</v>
      </c>
      <c r="B7934" s="2">
        <f>IFERROR(__xludf.DUMMYFUNCTION("""COMPUTED_VALUE"""),157.61)</f>
        <v>157.61</v>
      </c>
      <c r="C7934" s="2">
        <f>IFERROR(__xludf.DUMMYFUNCTION("""COMPUTED_VALUE"""),158.52)</f>
        <v>158.52</v>
      </c>
      <c r="D7934" s="2">
        <f>IFERROR(__xludf.DUMMYFUNCTION("""COMPUTED_VALUE"""),157.37)</f>
        <v>157.37</v>
      </c>
      <c r="E7934" s="2">
        <f>IFERROR(__xludf.DUMMYFUNCTION("""COMPUTED_VALUE"""),157.45)</f>
        <v>157.45</v>
      </c>
      <c r="F7934" s="2">
        <f>IFERROR(__xludf.DUMMYFUNCTION("""COMPUTED_VALUE"""),4299799.0)</f>
        <v>4299799</v>
      </c>
    </row>
    <row r="7935">
      <c r="A7935" s="3">
        <f>IFERROR(__xludf.DUMMYFUNCTION("""COMPUTED_VALUE"""),40704.666666666664)</f>
        <v>40704.66667</v>
      </c>
      <c r="B7935" s="2">
        <f>IFERROR(__xludf.DUMMYFUNCTION("""COMPUTED_VALUE"""),157.19)</f>
        <v>157.19</v>
      </c>
      <c r="C7935" s="2">
        <f>IFERROR(__xludf.DUMMYFUNCTION("""COMPUTED_VALUE"""),157.45)</f>
        <v>157.45</v>
      </c>
      <c r="D7935" s="2">
        <f>IFERROR(__xludf.DUMMYFUNCTION("""COMPUTED_VALUE"""),155.57)</f>
        <v>155.57</v>
      </c>
      <c r="E7935" s="2">
        <f>IFERROR(__xludf.DUMMYFUNCTION("""COMPUTED_VALUE"""),155.86)</f>
        <v>155.86</v>
      </c>
      <c r="F7935" s="2">
        <f>IFERROR(__xludf.DUMMYFUNCTION("""COMPUTED_VALUE"""),4686370.0)</f>
        <v>4686370</v>
      </c>
    </row>
    <row r="7936">
      <c r="A7936" s="3">
        <f>IFERROR(__xludf.DUMMYFUNCTION("""COMPUTED_VALUE"""),40707.666666666664)</f>
        <v>40707.66667</v>
      </c>
      <c r="B7936" s="2">
        <f>IFERROR(__xludf.DUMMYFUNCTION("""COMPUTED_VALUE"""),157.07)</f>
        <v>157.07</v>
      </c>
      <c r="C7936" s="2">
        <f>IFERROR(__xludf.DUMMYFUNCTION("""COMPUTED_VALUE"""),157.09)</f>
        <v>157.09</v>
      </c>
      <c r="D7936" s="2">
        <f>IFERROR(__xludf.DUMMYFUNCTION("""COMPUTED_VALUE"""),155.43)</f>
        <v>155.43</v>
      </c>
      <c r="E7936" s="2">
        <f>IFERROR(__xludf.DUMMYFUNCTION("""COMPUTED_VALUE"""),155.85)</f>
        <v>155.85</v>
      </c>
      <c r="F7936" s="2">
        <f>IFERROR(__xludf.DUMMYFUNCTION("""COMPUTED_VALUE"""),5099508.0)</f>
        <v>5099508</v>
      </c>
    </row>
    <row r="7937">
      <c r="A7937" s="3">
        <f>IFERROR(__xludf.DUMMYFUNCTION("""COMPUTED_VALUE"""),40708.666666666664)</f>
        <v>40708.66667</v>
      </c>
      <c r="B7937" s="2">
        <f>IFERROR(__xludf.DUMMYFUNCTION("""COMPUTED_VALUE"""),156.52)</f>
        <v>156.52</v>
      </c>
      <c r="C7937" s="2">
        <f>IFERROR(__xludf.DUMMYFUNCTION("""COMPUTED_VALUE"""),157.19)</f>
        <v>157.19</v>
      </c>
      <c r="D7937" s="2">
        <f>IFERROR(__xludf.DUMMYFUNCTION("""COMPUTED_VALUE"""),156.31)</f>
        <v>156.31</v>
      </c>
      <c r="E7937" s="2">
        <f>IFERROR(__xludf.DUMMYFUNCTION("""COMPUTED_VALUE"""),156.76)</f>
        <v>156.76</v>
      </c>
      <c r="F7937" s="2">
        <f>IFERROR(__xludf.DUMMYFUNCTION("""COMPUTED_VALUE"""),7050074.0)</f>
        <v>7050074</v>
      </c>
    </row>
    <row r="7938">
      <c r="A7938" s="3">
        <f>IFERROR(__xludf.DUMMYFUNCTION("""COMPUTED_VALUE"""),40709.666666666664)</f>
        <v>40709.66667</v>
      </c>
      <c r="B7938" s="2">
        <f>IFERROR(__xludf.DUMMYFUNCTION("""COMPUTED_VALUE"""),155.45)</f>
        <v>155.45</v>
      </c>
      <c r="C7938" s="2">
        <f>IFERROR(__xludf.DUMMYFUNCTION("""COMPUTED_VALUE"""),156.08)</f>
        <v>156.08</v>
      </c>
      <c r="D7938" s="2">
        <f>IFERROR(__xludf.DUMMYFUNCTION("""COMPUTED_VALUE"""),154.28)</f>
        <v>154.28</v>
      </c>
      <c r="E7938" s="2">
        <f>IFERROR(__xludf.DUMMYFUNCTION("""COMPUTED_VALUE"""),155.05)</f>
        <v>155.05</v>
      </c>
      <c r="F7938" s="2">
        <f>IFERROR(__xludf.DUMMYFUNCTION("""COMPUTED_VALUE"""),5225995.0)</f>
        <v>5225995</v>
      </c>
    </row>
    <row r="7939">
      <c r="A7939" s="3">
        <f>IFERROR(__xludf.DUMMYFUNCTION("""COMPUTED_VALUE"""),40710.666666666664)</f>
        <v>40710.66667</v>
      </c>
      <c r="B7939" s="2">
        <f>IFERROR(__xludf.DUMMYFUNCTION("""COMPUTED_VALUE"""),154.79)</f>
        <v>154.79</v>
      </c>
      <c r="C7939" s="2">
        <f>IFERROR(__xludf.DUMMYFUNCTION("""COMPUTED_VALUE"""),156.29)</f>
        <v>156.29</v>
      </c>
      <c r="D7939" s="2">
        <f>IFERROR(__xludf.DUMMYFUNCTION("""COMPUTED_VALUE"""),154.53)</f>
        <v>154.53</v>
      </c>
      <c r="E7939" s="2">
        <f>IFERROR(__xludf.DUMMYFUNCTION("""COMPUTED_VALUE"""),155.38)</f>
        <v>155.38</v>
      </c>
      <c r="F7939" s="2">
        <f>IFERROR(__xludf.DUMMYFUNCTION("""COMPUTED_VALUE"""),4861065.0)</f>
        <v>4861065</v>
      </c>
    </row>
    <row r="7940">
      <c r="A7940" s="3">
        <f>IFERROR(__xludf.DUMMYFUNCTION("""COMPUTED_VALUE"""),40711.666666666664)</f>
        <v>40711.66667</v>
      </c>
      <c r="B7940" s="2">
        <f>IFERROR(__xludf.DUMMYFUNCTION("""COMPUTED_VALUE"""),156.88)</f>
        <v>156.88</v>
      </c>
      <c r="C7940" s="2">
        <f>IFERROR(__xludf.DUMMYFUNCTION("""COMPUTED_VALUE"""),157.7)</f>
        <v>157.7</v>
      </c>
      <c r="D7940" s="2">
        <f>IFERROR(__xludf.DUMMYFUNCTION("""COMPUTED_VALUE"""),156.25)</f>
        <v>156.25</v>
      </c>
      <c r="E7940" s="2">
        <f>IFERROR(__xludf.DUMMYFUNCTION("""COMPUTED_VALUE"""),157.07)</f>
        <v>157.07</v>
      </c>
      <c r="F7940" s="2">
        <f>IFERROR(__xludf.DUMMYFUNCTION("""COMPUTED_VALUE"""),7153383.0)</f>
        <v>7153383</v>
      </c>
    </row>
    <row r="7941">
      <c r="A7941" s="3">
        <f>IFERROR(__xludf.DUMMYFUNCTION("""COMPUTED_VALUE"""),40714.666666666664)</f>
        <v>40714.66667</v>
      </c>
      <c r="B7941" s="2">
        <f>IFERROR(__xludf.DUMMYFUNCTION("""COMPUTED_VALUE"""),156.36)</f>
        <v>156.36</v>
      </c>
      <c r="C7941" s="2">
        <f>IFERROR(__xludf.DUMMYFUNCTION("""COMPUTED_VALUE"""),158.18)</f>
        <v>158.18</v>
      </c>
      <c r="D7941" s="2">
        <f>IFERROR(__xludf.DUMMYFUNCTION("""COMPUTED_VALUE"""),156.26)</f>
        <v>156.26</v>
      </c>
      <c r="E7941" s="2">
        <f>IFERROR(__xludf.DUMMYFUNCTION("""COMPUTED_VALUE"""),157.62)</f>
        <v>157.62</v>
      </c>
      <c r="F7941" s="2">
        <f>IFERROR(__xludf.DUMMYFUNCTION("""COMPUTED_VALUE"""),3956099.0)</f>
        <v>3956099</v>
      </c>
    </row>
    <row r="7942">
      <c r="A7942" s="3">
        <f>IFERROR(__xludf.DUMMYFUNCTION("""COMPUTED_VALUE"""),40715.666666666664)</f>
        <v>40715.66667</v>
      </c>
      <c r="B7942" s="2">
        <f>IFERROR(__xludf.DUMMYFUNCTION("""COMPUTED_VALUE"""),157.79)</f>
        <v>157.79</v>
      </c>
      <c r="C7942" s="2">
        <f>IFERROR(__xludf.DUMMYFUNCTION("""COMPUTED_VALUE"""),159.27)</f>
        <v>159.27</v>
      </c>
      <c r="D7942" s="2">
        <f>IFERROR(__xludf.DUMMYFUNCTION("""COMPUTED_VALUE"""),156.65)</f>
        <v>156.65</v>
      </c>
      <c r="E7942" s="2">
        <f>IFERROR(__xludf.DUMMYFUNCTION("""COMPUTED_VALUE"""),158.77)</f>
        <v>158.77</v>
      </c>
      <c r="F7942" s="2">
        <f>IFERROR(__xludf.DUMMYFUNCTION("""COMPUTED_VALUE"""),5388285.0)</f>
        <v>5388285</v>
      </c>
    </row>
    <row r="7943">
      <c r="A7943" s="3">
        <f>IFERROR(__xludf.DUMMYFUNCTION("""COMPUTED_VALUE"""),40716.666666666664)</f>
        <v>40716.66667</v>
      </c>
      <c r="B7943" s="2">
        <f>IFERROR(__xludf.DUMMYFUNCTION("""COMPUTED_VALUE"""),158.17)</f>
        <v>158.17</v>
      </c>
      <c r="C7943" s="2">
        <f>IFERROR(__xludf.DUMMYFUNCTION("""COMPUTED_VALUE"""),159.33)</f>
        <v>159.33</v>
      </c>
      <c r="D7943" s="2">
        <f>IFERROR(__xludf.DUMMYFUNCTION("""COMPUTED_VALUE"""),157.7)</f>
        <v>157.7</v>
      </c>
      <c r="E7943" s="2">
        <f>IFERROR(__xludf.DUMMYFUNCTION("""COMPUTED_VALUE"""),158.25)</f>
        <v>158.25</v>
      </c>
      <c r="F7943" s="2">
        <f>IFERROR(__xludf.DUMMYFUNCTION("""COMPUTED_VALUE"""),3963254.0)</f>
        <v>3963254</v>
      </c>
    </row>
    <row r="7944">
      <c r="A7944" s="3">
        <f>IFERROR(__xludf.DUMMYFUNCTION("""COMPUTED_VALUE"""),40717.666666666664)</f>
        <v>40717.66667</v>
      </c>
      <c r="B7944" s="2">
        <f>IFERROR(__xludf.DUMMYFUNCTION("""COMPUTED_VALUE"""),156.7)</f>
        <v>156.7</v>
      </c>
      <c r="C7944" s="2">
        <f>IFERROR(__xludf.DUMMYFUNCTION("""COMPUTED_VALUE"""),159.25)</f>
        <v>159.25</v>
      </c>
      <c r="D7944" s="2">
        <f>IFERROR(__xludf.DUMMYFUNCTION("""COMPUTED_VALUE"""),156.46)</f>
        <v>156.46</v>
      </c>
      <c r="E7944" s="2">
        <f>IFERROR(__xludf.DUMMYFUNCTION("""COMPUTED_VALUE"""),158.67)</f>
        <v>158.67</v>
      </c>
      <c r="F7944" s="2">
        <f>IFERROR(__xludf.DUMMYFUNCTION("""COMPUTED_VALUE"""),5271671.0)</f>
        <v>5271671</v>
      </c>
    </row>
    <row r="7945">
      <c r="A7945" s="3">
        <f>IFERROR(__xludf.DUMMYFUNCTION("""COMPUTED_VALUE"""),40718.666666666664)</f>
        <v>40718.66667</v>
      </c>
      <c r="B7945" s="2">
        <f>IFERROR(__xludf.DUMMYFUNCTION("""COMPUTED_VALUE"""),158.41)</f>
        <v>158.41</v>
      </c>
      <c r="C7945" s="2">
        <f>IFERROR(__xludf.DUMMYFUNCTION("""COMPUTED_VALUE"""),158.5)</f>
        <v>158.5</v>
      </c>
      <c r="D7945" s="2">
        <f>IFERROR(__xludf.DUMMYFUNCTION("""COMPUTED_VALUE"""),157.19)</f>
        <v>157.19</v>
      </c>
      <c r="E7945" s="2">
        <f>IFERROR(__xludf.DUMMYFUNCTION("""COMPUTED_VALUE"""),157.67)</f>
        <v>157.67</v>
      </c>
      <c r="F7945" s="2">
        <f>IFERROR(__xludf.DUMMYFUNCTION("""COMPUTED_VALUE"""),4405237.0)</f>
        <v>4405237</v>
      </c>
    </row>
    <row r="7946">
      <c r="A7946" s="3">
        <f>IFERROR(__xludf.DUMMYFUNCTION("""COMPUTED_VALUE"""),40721.666666666664)</f>
        <v>40721.66667</v>
      </c>
      <c r="B7946" s="2">
        <f>IFERROR(__xludf.DUMMYFUNCTION("""COMPUTED_VALUE"""),158.31)</f>
        <v>158.31</v>
      </c>
      <c r="C7946" s="2">
        <f>IFERROR(__xludf.DUMMYFUNCTION("""COMPUTED_VALUE"""),160.7)</f>
        <v>160.7</v>
      </c>
      <c r="D7946" s="2">
        <f>IFERROR(__xludf.DUMMYFUNCTION("""COMPUTED_VALUE"""),157.8)</f>
        <v>157.8</v>
      </c>
      <c r="E7946" s="2">
        <f>IFERROR(__xludf.DUMMYFUNCTION("""COMPUTED_VALUE"""),160.1)</f>
        <v>160.1</v>
      </c>
      <c r="F7946" s="2">
        <f>IFERROR(__xludf.DUMMYFUNCTION("""COMPUTED_VALUE"""),4446954.0)</f>
        <v>4446954</v>
      </c>
    </row>
    <row r="7947">
      <c r="A7947" s="3">
        <f>IFERROR(__xludf.DUMMYFUNCTION("""COMPUTED_VALUE"""),40722.666666666664)</f>
        <v>40722.66667</v>
      </c>
      <c r="B7947" s="2">
        <f>IFERROR(__xludf.DUMMYFUNCTION("""COMPUTED_VALUE"""),160.78)</f>
        <v>160.78</v>
      </c>
      <c r="C7947" s="2">
        <f>IFERROR(__xludf.DUMMYFUNCTION("""COMPUTED_VALUE"""),163.05)</f>
        <v>163.05</v>
      </c>
      <c r="D7947" s="2">
        <f>IFERROR(__xludf.DUMMYFUNCTION("""COMPUTED_VALUE"""),160.48)</f>
        <v>160.48</v>
      </c>
      <c r="E7947" s="2">
        <f>IFERROR(__xludf.DUMMYFUNCTION("""COMPUTED_VALUE"""),162.39)</f>
        <v>162.39</v>
      </c>
      <c r="F7947" s="2">
        <f>IFERROR(__xludf.DUMMYFUNCTION("""COMPUTED_VALUE"""),4850127.0)</f>
        <v>4850127</v>
      </c>
    </row>
    <row r="7948">
      <c r="A7948" s="3">
        <f>IFERROR(__xludf.DUMMYFUNCTION("""COMPUTED_VALUE"""),40723.666666666664)</f>
        <v>40723.66667</v>
      </c>
      <c r="B7948" s="2">
        <f>IFERROR(__xludf.DUMMYFUNCTION("""COMPUTED_VALUE"""),162.96)</f>
        <v>162.96</v>
      </c>
      <c r="C7948" s="2">
        <f>IFERROR(__xludf.DUMMYFUNCTION("""COMPUTED_VALUE"""),163.2)</f>
        <v>163.2</v>
      </c>
      <c r="D7948" s="2">
        <f>IFERROR(__xludf.DUMMYFUNCTION("""COMPUTED_VALUE"""),162.21)</f>
        <v>162.21</v>
      </c>
      <c r="E7948" s="2">
        <f>IFERROR(__xludf.DUMMYFUNCTION("""COMPUTED_VALUE"""),162.89)</f>
        <v>162.89</v>
      </c>
      <c r="F7948" s="2">
        <f>IFERROR(__xludf.DUMMYFUNCTION("""COMPUTED_VALUE"""),3817296.0)</f>
        <v>3817296</v>
      </c>
    </row>
    <row r="7949">
      <c r="A7949" s="3">
        <f>IFERROR(__xludf.DUMMYFUNCTION("""COMPUTED_VALUE"""),40724.666666666664)</f>
        <v>40724.66667</v>
      </c>
      <c r="B7949" s="2">
        <f>IFERROR(__xludf.DUMMYFUNCTION("""COMPUTED_VALUE"""),163.44)</f>
        <v>163.44</v>
      </c>
      <c r="C7949" s="2">
        <f>IFERROR(__xludf.DUMMYFUNCTION("""COMPUTED_VALUE"""),164.71)</f>
        <v>164.71</v>
      </c>
      <c r="D7949" s="2">
        <f>IFERROR(__xludf.DUMMYFUNCTION("""COMPUTED_VALUE"""),163.09)</f>
        <v>163.09</v>
      </c>
      <c r="E7949" s="2">
        <f>IFERROR(__xludf.DUMMYFUNCTION("""COMPUTED_VALUE"""),163.86)</f>
        <v>163.86</v>
      </c>
      <c r="F7949" s="2">
        <f>IFERROR(__xludf.DUMMYFUNCTION("""COMPUTED_VALUE"""),5105362.0)</f>
        <v>5105362</v>
      </c>
    </row>
    <row r="7950">
      <c r="A7950" s="3">
        <f>IFERROR(__xludf.DUMMYFUNCTION("""COMPUTED_VALUE"""),40725.666666666664)</f>
        <v>40725.66667</v>
      </c>
      <c r="B7950" s="2">
        <f>IFERROR(__xludf.DUMMYFUNCTION("""COMPUTED_VALUE"""),163.92)</f>
        <v>163.92</v>
      </c>
      <c r="C7950" s="2">
        <f>IFERROR(__xludf.DUMMYFUNCTION("""COMPUTED_VALUE"""),166.82)</f>
        <v>166.82</v>
      </c>
      <c r="D7950" s="2">
        <f>IFERROR(__xludf.DUMMYFUNCTION("""COMPUTED_VALUE"""),163.8)</f>
        <v>163.8</v>
      </c>
      <c r="E7950" s="2">
        <f>IFERROR(__xludf.DUMMYFUNCTION("""COMPUTED_VALUE"""),166.71)</f>
        <v>166.71</v>
      </c>
      <c r="F7950" s="2">
        <f>IFERROR(__xludf.DUMMYFUNCTION("""COMPUTED_VALUE"""),5181660.0)</f>
        <v>5181660</v>
      </c>
    </row>
    <row r="7951">
      <c r="A7951" s="3">
        <f>IFERROR(__xludf.DUMMYFUNCTION("""COMPUTED_VALUE"""),40729.666666666664)</f>
        <v>40729.66667</v>
      </c>
      <c r="B7951" s="2">
        <f>IFERROR(__xludf.DUMMYFUNCTION("""COMPUTED_VALUE"""),165.74)</f>
        <v>165.74</v>
      </c>
      <c r="C7951" s="2">
        <f>IFERROR(__xludf.DUMMYFUNCTION("""COMPUTED_VALUE"""),167.57)</f>
        <v>167.57</v>
      </c>
      <c r="D7951" s="2">
        <f>IFERROR(__xludf.DUMMYFUNCTION("""COMPUTED_VALUE"""),165.74)</f>
        <v>165.74</v>
      </c>
      <c r="E7951" s="2">
        <f>IFERROR(__xludf.DUMMYFUNCTION("""COMPUTED_VALUE"""),167.56)</f>
        <v>167.56</v>
      </c>
      <c r="F7951" s="2">
        <f>IFERROR(__xludf.DUMMYFUNCTION("""COMPUTED_VALUE"""),4586423.0)</f>
        <v>4586423</v>
      </c>
    </row>
    <row r="7952">
      <c r="A7952" s="3">
        <f>IFERROR(__xludf.DUMMYFUNCTION("""COMPUTED_VALUE"""),40730.666666666664)</f>
        <v>40730.66667</v>
      </c>
      <c r="B7952" s="2">
        <f>IFERROR(__xludf.DUMMYFUNCTION("""COMPUTED_VALUE"""),167.34)</f>
        <v>167.34</v>
      </c>
      <c r="C7952" s="2">
        <f>IFERROR(__xludf.DUMMYFUNCTION("""COMPUTED_VALUE"""),169.8)</f>
        <v>169.8</v>
      </c>
      <c r="D7952" s="2">
        <f>IFERROR(__xludf.DUMMYFUNCTION("""COMPUTED_VALUE"""),167.24)</f>
        <v>167.24</v>
      </c>
      <c r="E7952" s="2">
        <f>IFERROR(__xludf.DUMMYFUNCTION("""COMPUTED_VALUE"""),169.74)</f>
        <v>169.74</v>
      </c>
      <c r="F7952" s="2">
        <f>IFERROR(__xludf.DUMMYFUNCTION("""COMPUTED_VALUE"""),5887048.0)</f>
        <v>5887048</v>
      </c>
    </row>
    <row r="7953">
      <c r="A7953" s="3">
        <f>IFERROR(__xludf.DUMMYFUNCTION("""COMPUTED_VALUE"""),40731.666666666664)</f>
        <v>40731.66667</v>
      </c>
      <c r="B7953" s="2">
        <f>IFERROR(__xludf.DUMMYFUNCTION("""COMPUTED_VALUE"""),168.85)</f>
        <v>168.85</v>
      </c>
      <c r="C7953" s="2">
        <f>IFERROR(__xludf.DUMMYFUNCTION("""COMPUTED_VALUE"""),169.32)</f>
        <v>169.32</v>
      </c>
      <c r="D7953" s="2">
        <f>IFERROR(__xludf.DUMMYFUNCTION("""COMPUTED_VALUE"""),168.22)</f>
        <v>168.22</v>
      </c>
      <c r="E7953" s="2">
        <f>IFERROR(__xludf.DUMMYFUNCTION("""COMPUTED_VALUE"""),168.57)</f>
        <v>168.57</v>
      </c>
      <c r="F7953" s="2">
        <f>IFERROR(__xludf.DUMMYFUNCTION("""COMPUTED_VALUE"""),5907150.0)</f>
        <v>5907150</v>
      </c>
    </row>
    <row r="7954">
      <c r="A7954" s="3">
        <f>IFERROR(__xludf.DUMMYFUNCTION("""COMPUTED_VALUE"""),40732.666666666664)</f>
        <v>40732.66667</v>
      </c>
      <c r="B7954" s="2">
        <f>IFERROR(__xludf.DUMMYFUNCTION("""COMPUTED_VALUE"""),167.62)</f>
        <v>167.62</v>
      </c>
      <c r="C7954" s="2">
        <f>IFERROR(__xludf.DUMMYFUNCTION("""COMPUTED_VALUE"""),168.58)</f>
        <v>168.58</v>
      </c>
      <c r="D7954" s="2">
        <f>IFERROR(__xludf.DUMMYFUNCTION("""COMPUTED_VALUE"""),167.16)</f>
        <v>167.16</v>
      </c>
      <c r="E7954" s="2">
        <f>IFERROR(__xludf.DUMMYFUNCTION("""COMPUTED_VALUE"""),168.58)</f>
        <v>168.58</v>
      </c>
      <c r="F7954" s="2">
        <f>IFERROR(__xludf.DUMMYFUNCTION("""COMPUTED_VALUE"""),4400429.0)</f>
        <v>4400429</v>
      </c>
    </row>
    <row r="7955">
      <c r="A7955" s="3">
        <f>IFERROR(__xludf.DUMMYFUNCTION("""COMPUTED_VALUE"""),40735.666666666664)</f>
        <v>40735.66667</v>
      </c>
      <c r="B7955" s="2">
        <f>IFERROR(__xludf.DUMMYFUNCTION("""COMPUTED_VALUE"""),167.06)</f>
        <v>167.06</v>
      </c>
      <c r="C7955" s="2">
        <f>IFERROR(__xludf.DUMMYFUNCTION("""COMPUTED_VALUE"""),168.25)</f>
        <v>168.25</v>
      </c>
      <c r="D7955" s="2">
        <f>IFERROR(__xludf.DUMMYFUNCTION("""COMPUTED_VALUE"""),166.78)</f>
        <v>166.78</v>
      </c>
      <c r="E7955" s="2">
        <f>IFERROR(__xludf.DUMMYFUNCTION("""COMPUTED_VALUE"""),167.14)</f>
        <v>167.14</v>
      </c>
      <c r="F7955" s="2">
        <f>IFERROR(__xludf.DUMMYFUNCTION("""COMPUTED_VALUE"""),4766847.0)</f>
        <v>4766847</v>
      </c>
    </row>
    <row r="7956">
      <c r="A7956" s="3">
        <f>IFERROR(__xludf.DUMMYFUNCTION("""COMPUTED_VALUE"""),40736.666666666664)</f>
        <v>40736.66667</v>
      </c>
      <c r="B7956" s="2">
        <f>IFERROR(__xludf.DUMMYFUNCTION("""COMPUTED_VALUE"""),167.09)</f>
        <v>167.09</v>
      </c>
      <c r="C7956" s="2">
        <f>IFERROR(__xludf.DUMMYFUNCTION("""COMPUTED_VALUE"""),167.51)</f>
        <v>167.51</v>
      </c>
      <c r="D7956" s="2">
        <f>IFERROR(__xludf.DUMMYFUNCTION("""COMPUTED_VALUE"""),166.09)</f>
        <v>166.09</v>
      </c>
      <c r="E7956" s="2">
        <f>IFERROR(__xludf.DUMMYFUNCTION("""COMPUTED_VALUE"""),166.25)</f>
        <v>166.25</v>
      </c>
      <c r="F7956" s="2">
        <f>IFERROR(__xludf.DUMMYFUNCTION("""COMPUTED_VALUE"""),5036955.0)</f>
        <v>5036955</v>
      </c>
    </row>
    <row r="7957">
      <c r="A7957" s="3">
        <f>IFERROR(__xludf.DUMMYFUNCTION("""COMPUTED_VALUE"""),40737.666666666664)</f>
        <v>40737.66667</v>
      </c>
      <c r="B7957" s="2">
        <f>IFERROR(__xludf.DUMMYFUNCTION("""COMPUTED_VALUE"""),167.06)</f>
        <v>167.06</v>
      </c>
      <c r="C7957" s="2">
        <f>IFERROR(__xludf.DUMMYFUNCTION("""COMPUTED_VALUE"""),168.41)</f>
        <v>168.41</v>
      </c>
      <c r="D7957" s="2">
        <f>IFERROR(__xludf.DUMMYFUNCTION("""COMPUTED_VALUE"""),166.2)</f>
        <v>166.2</v>
      </c>
      <c r="E7957" s="2">
        <f>IFERROR(__xludf.DUMMYFUNCTION("""COMPUTED_VALUE"""),166.5)</f>
        <v>166.5</v>
      </c>
      <c r="F7957" s="2">
        <f>IFERROR(__xludf.DUMMYFUNCTION("""COMPUTED_VALUE"""),4074888.0)</f>
        <v>4074888</v>
      </c>
    </row>
    <row r="7958">
      <c r="A7958" s="3">
        <f>IFERROR(__xludf.DUMMYFUNCTION("""COMPUTED_VALUE"""),40738.666666666664)</f>
        <v>40738.66667</v>
      </c>
      <c r="B7958" s="2">
        <f>IFERROR(__xludf.DUMMYFUNCTION("""COMPUTED_VALUE"""),166.58)</f>
        <v>166.58</v>
      </c>
      <c r="C7958" s="2">
        <f>IFERROR(__xludf.DUMMYFUNCTION("""COMPUTED_VALUE"""),168.2)</f>
        <v>168.2</v>
      </c>
      <c r="D7958" s="2">
        <f>IFERROR(__xludf.DUMMYFUNCTION("""COMPUTED_VALUE"""),166.05)</f>
        <v>166.05</v>
      </c>
      <c r="E7958" s="2">
        <f>IFERROR(__xludf.DUMMYFUNCTION("""COMPUTED_VALUE"""),166.42)</f>
        <v>166.42</v>
      </c>
      <c r="F7958" s="2">
        <f>IFERROR(__xludf.DUMMYFUNCTION("""COMPUTED_VALUE"""),4613459.0)</f>
        <v>4613459</v>
      </c>
    </row>
    <row r="7959">
      <c r="A7959" s="3">
        <f>IFERROR(__xludf.DUMMYFUNCTION("""COMPUTED_VALUE"""),40739.666666666664)</f>
        <v>40739.66667</v>
      </c>
      <c r="B7959" s="2">
        <f>IFERROR(__xludf.DUMMYFUNCTION("""COMPUTED_VALUE"""),167.23)</f>
        <v>167.23</v>
      </c>
      <c r="C7959" s="2">
        <f>IFERROR(__xludf.DUMMYFUNCTION("""COMPUTED_VALUE"""),168.05)</f>
        <v>168.05</v>
      </c>
      <c r="D7959" s="2">
        <f>IFERROR(__xludf.DUMMYFUNCTION("""COMPUTED_VALUE"""),166.27)</f>
        <v>166.27</v>
      </c>
      <c r="E7959" s="2">
        <f>IFERROR(__xludf.DUMMYFUNCTION("""COMPUTED_VALUE"""),167.67)</f>
        <v>167.67</v>
      </c>
      <c r="F7959" s="2">
        <f>IFERROR(__xludf.DUMMYFUNCTION("""COMPUTED_VALUE"""),5350142.0)</f>
        <v>5350142</v>
      </c>
    </row>
    <row r="7960">
      <c r="A7960" s="3">
        <f>IFERROR(__xludf.DUMMYFUNCTION("""COMPUTED_VALUE"""),40742.666666666664)</f>
        <v>40742.66667</v>
      </c>
      <c r="B7960" s="2">
        <f>IFERROR(__xludf.DUMMYFUNCTION("""COMPUTED_VALUE"""),166.9)</f>
        <v>166.9</v>
      </c>
      <c r="C7960" s="2">
        <f>IFERROR(__xludf.DUMMYFUNCTION("""COMPUTED_VALUE"""),168.55)</f>
        <v>168.55</v>
      </c>
      <c r="D7960" s="2">
        <f>IFERROR(__xludf.DUMMYFUNCTION("""COMPUTED_VALUE"""),165.8)</f>
        <v>165.8</v>
      </c>
      <c r="E7960" s="2">
        <f>IFERROR(__xludf.DUMMYFUNCTION("""COMPUTED_VALUE"""),167.42)</f>
        <v>167.42</v>
      </c>
      <c r="F7960" s="2">
        <f>IFERROR(__xludf.DUMMYFUNCTION("""COMPUTED_VALUE"""),8879640.0)</f>
        <v>8879640</v>
      </c>
    </row>
    <row r="7961">
      <c r="A7961" s="3">
        <f>IFERROR(__xludf.DUMMYFUNCTION("""COMPUTED_VALUE"""),40743.666666666664)</f>
        <v>40743.66667</v>
      </c>
      <c r="B7961" s="2">
        <f>IFERROR(__xludf.DUMMYFUNCTION("""COMPUTED_VALUE"""),170.73)</f>
        <v>170.73</v>
      </c>
      <c r="C7961" s="2">
        <f>IFERROR(__xludf.DUMMYFUNCTION("""COMPUTED_VALUE"""),176.91)</f>
        <v>176.91</v>
      </c>
      <c r="D7961" s="2">
        <f>IFERROR(__xludf.DUMMYFUNCTION("""COMPUTED_VALUE"""),170.64)</f>
        <v>170.64</v>
      </c>
      <c r="E7961" s="2">
        <f>IFERROR(__xludf.DUMMYFUNCTION("""COMPUTED_VALUE"""),176.91)</f>
        <v>176.91</v>
      </c>
      <c r="F7961" s="2">
        <f>IFERROR(__xludf.DUMMYFUNCTION("""COMPUTED_VALUE"""),1.3248767E7)</f>
        <v>13248767</v>
      </c>
    </row>
    <row r="7962">
      <c r="A7962" s="3">
        <f>IFERROR(__xludf.DUMMYFUNCTION("""COMPUTED_VALUE"""),40744.666666666664)</f>
        <v>40744.66667</v>
      </c>
      <c r="B7962" s="2">
        <f>IFERROR(__xludf.DUMMYFUNCTION("""COMPUTED_VALUE"""),175.6)</f>
        <v>175.6</v>
      </c>
      <c r="C7962" s="2">
        <f>IFERROR(__xludf.DUMMYFUNCTION("""COMPUTED_VALUE"""),176.15)</f>
        <v>176.15</v>
      </c>
      <c r="D7962" s="2">
        <f>IFERROR(__xludf.DUMMYFUNCTION("""COMPUTED_VALUE"""),174.8)</f>
        <v>174.8</v>
      </c>
      <c r="E7962" s="2">
        <f>IFERROR(__xludf.DUMMYFUNCTION("""COMPUTED_VALUE"""),175.42)</f>
        <v>175.42</v>
      </c>
      <c r="F7962" s="2">
        <f>IFERROR(__xludf.DUMMYFUNCTION("""COMPUTED_VALUE"""),5902862.0)</f>
        <v>5902862</v>
      </c>
    </row>
    <row r="7963">
      <c r="A7963" s="3">
        <f>IFERROR(__xludf.DUMMYFUNCTION("""COMPUTED_VALUE"""),40745.666666666664)</f>
        <v>40745.66667</v>
      </c>
      <c r="B7963" s="2">
        <f>IFERROR(__xludf.DUMMYFUNCTION("""COMPUTED_VALUE"""),175.36)</f>
        <v>175.36</v>
      </c>
      <c r="C7963" s="2">
        <f>IFERROR(__xludf.DUMMYFUNCTION("""COMPUTED_VALUE"""),177.18)</f>
        <v>177.18</v>
      </c>
      <c r="D7963" s="2">
        <f>IFERROR(__xludf.DUMMYFUNCTION("""COMPUTED_VALUE"""),174.7)</f>
        <v>174.7</v>
      </c>
      <c r="E7963" s="2">
        <f>IFERROR(__xludf.DUMMYFUNCTION("""COMPUTED_VALUE"""),176.61)</f>
        <v>176.61</v>
      </c>
      <c r="F7963" s="2">
        <f>IFERROR(__xludf.DUMMYFUNCTION("""COMPUTED_VALUE"""),4959316.0)</f>
        <v>4959316</v>
      </c>
    </row>
    <row r="7964">
      <c r="A7964" s="3">
        <f>IFERROR(__xludf.DUMMYFUNCTION("""COMPUTED_VALUE"""),40746.666666666664)</f>
        <v>40746.66667</v>
      </c>
      <c r="B7964" s="2">
        <f>IFERROR(__xludf.DUMMYFUNCTION("""COMPUTED_VALUE"""),176.36)</f>
        <v>176.36</v>
      </c>
      <c r="C7964" s="2">
        <f>IFERROR(__xludf.DUMMYFUNCTION("""COMPUTED_VALUE"""),177.31)</f>
        <v>177.31</v>
      </c>
      <c r="D7964" s="2">
        <f>IFERROR(__xludf.DUMMYFUNCTION("""COMPUTED_VALUE"""),176.0)</f>
        <v>176</v>
      </c>
      <c r="E7964" s="2">
        <f>IFERROR(__xludf.DUMMYFUNCTION("""COMPUTED_VALUE"""),176.88)</f>
        <v>176.88</v>
      </c>
      <c r="F7964" s="2">
        <f>IFERROR(__xludf.DUMMYFUNCTION("""COMPUTED_VALUE"""),4517396.0)</f>
        <v>4517396</v>
      </c>
    </row>
    <row r="7965">
      <c r="A7965" s="3">
        <f>IFERROR(__xludf.DUMMYFUNCTION("""COMPUTED_VALUE"""),40749.666666666664)</f>
        <v>40749.66667</v>
      </c>
      <c r="B7965" s="2">
        <f>IFERROR(__xludf.DUMMYFUNCTION("""COMPUTED_VALUE"""),175.65)</f>
        <v>175.65</v>
      </c>
      <c r="C7965" s="2">
        <f>IFERROR(__xludf.DUMMYFUNCTION("""COMPUTED_VALUE"""),176.67)</f>
        <v>176.67</v>
      </c>
      <c r="D7965" s="2">
        <f>IFERROR(__xludf.DUMMYFUNCTION("""COMPUTED_VALUE"""),175.06)</f>
        <v>175.06</v>
      </c>
      <c r="E7965" s="2">
        <f>IFERROR(__xludf.DUMMYFUNCTION("""COMPUTED_VALUE"""),175.46)</f>
        <v>175.46</v>
      </c>
      <c r="F7965" s="2">
        <f>IFERROR(__xludf.DUMMYFUNCTION("""COMPUTED_VALUE"""),4988243.0)</f>
        <v>4988243</v>
      </c>
    </row>
    <row r="7966">
      <c r="A7966" s="3">
        <f>IFERROR(__xludf.DUMMYFUNCTION("""COMPUTED_VALUE"""),40750.666666666664)</f>
        <v>40750.66667</v>
      </c>
      <c r="B7966" s="2">
        <f>IFERROR(__xludf.DUMMYFUNCTION("""COMPUTED_VALUE"""),174.74)</f>
        <v>174.74</v>
      </c>
      <c r="C7966" s="2">
        <f>IFERROR(__xludf.DUMMYFUNCTION("""COMPUTED_VALUE"""),175.8)</f>
        <v>175.8</v>
      </c>
      <c r="D7966" s="2">
        <f>IFERROR(__xludf.DUMMYFUNCTION("""COMPUTED_VALUE"""),174.46)</f>
        <v>174.46</v>
      </c>
      <c r="E7966" s="2">
        <f>IFERROR(__xludf.DUMMYFUNCTION("""COMPUTED_VALUE"""),174.73)</f>
        <v>174.73</v>
      </c>
      <c r="F7966" s="2">
        <f>IFERROR(__xludf.DUMMYFUNCTION("""COMPUTED_VALUE"""),4356291.0)</f>
        <v>4356291</v>
      </c>
    </row>
    <row r="7967">
      <c r="A7967" s="3">
        <f>IFERROR(__xludf.DUMMYFUNCTION("""COMPUTED_VALUE"""),40751.666666666664)</f>
        <v>40751.66667</v>
      </c>
      <c r="B7967" s="2">
        <f>IFERROR(__xludf.DUMMYFUNCTION("""COMPUTED_VALUE"""),173.85)</f>
        <v>173.85</v>
      </c>
      <c r="C7967" s="2">
        <f>IFERROR(__xludf.DUMMYFUNCTION("""COMPUTED_VALUE"""),174.71)</f>
        <v>174.71</v>
      </c>
      <c r="D7967" s="2">
        <f>IFERROR(__xludf.DUMMYFUNCTION("""COMPUTED_VALUE"""),172.82)</f>
        <v>172.82</v>
      </c>
      <c r="E7967" s="2">
        <f>IFERROR(__xludf.DUMMYFUNCTION("""COMPUTED_VALUE"""),173.22)</f>
        <v>173.22</v>
      </c>
      <c r="F7967" s="2">
        <f>IFERROR(__xludf.DUMMYFUNCTION("""COMPUTED_VALUE"""),5806806.0)</f>
        <v>5806806</v>
      </c>
    </row>
    <row r="7968">
      <c r="A7968" s="3">
        <f>IFERROR(__xludf.DUMMYFUNCTION("""COMPUTED_VALUE"""),40752.666666666664)</f>
        <v>40752.66667</v>
      </c>
      <c r="B7968" s="2">
        <f>IFERROR(__xludf.DUMMYFUNCTION("""COMPUTED_VALUE"""),172.94)</f>
        <v>172.94</v>
      </c>
      <c r="C7968" s="2">
        <f>IFERROR(__xludf.DUMMYFUNCTION("""COMPUTED_VALUE"""),175.05)</f>
        <v>175.05</v>
      </c>
      <c r="D7968" s="2">
        <f>IFERROR(__xludf.DUMMYFUNCTION("""COMPUTED_VALUE"""),172.77)</f>
        <v>172.77</v>
      </c>
      <c r="E7968" s="2">
        <f>IFERROR(__xludf.DUMMYFUNCTION("""COMPUTED_VALUE"""),173.65)</f>
        <v>173.65</v>
      </c>
      <c r="F7968" s="2">
        <f>IFERROR(__xludf.DUMMYFUNCTION("""COMPUTED_VALUE"""),4478779.0)</f>
        <v>4478779</v>
      </c>
    </row>
    <row r="7969">
      <c r="A7969" s="3">
        <f>IFERROR(__xludf.DUMMYFUNCTION("""COMPUTED_VALUE"""),40753.666666666664)</f>
        <v>40753.66667</v>
      </c>
      <c r="B7969" s="2">
        <f>IFERROR(__xludf.DUMMYFUNCTION("""COMPUTED_VALUE"""),172.18)</f>
        <v>172.18</v>
      </c>
      <c r="C7969" s="2">
        <f>IFERROR(__xludf.DUMMYFUNCTION("""COMPUTED_VALUE"""),175.21)</f>
        <v>175.21</v>
      </c>
      <c r="D7969" s="2">
        <f>IFERROR(__xludf.DUMMYFUNCTION("""COMPUTED_VALUE"""),171.67)</f>
        <v>171.67</v>
      </c>
      <c r="E7969" s="2">
        <f>IFERROR(__xludf.DUMMYFUNCTION("""COMPUTED_VALUE"""),173.7)</f>
        <v>173.7</v>
      </c>
      <c r="F7969" s="2">
        <f>IFERROR(__xludf.DUMMYFUNCTION("""COMPUTED_VALUE"""),6667438.0)</f>
        <v>6667438</v>
      </c>
    </row>
    <row r="7970">
      <c r="A7970" s="3">
        <f>IFERROR(__xludf.DUMMYFUNCTION("""COMPUTED_VALUE"""),40756.666666666664)</f>
        <v>40756.66667</v>
      </c>
      <c r="B7970" s="2">
        <f>IFERROR(__xludf.DUMMYFUNCTION("""COMPUTED_VALUE"""),174.41)</f>
        <v>174.41</v>
      </c>
      <c r="C7970" s="2">
        <f>IFERROR(__xludf.DUMMYFUNCTION("""COMPUTED_VALUE"""),175.45)</f>
        <v>175.45</v>
      </c>
      <c r="D7970" s="2">
        <f>IFERROR(__xludf.DUMMYFUNCTION("""COMPUTED_VALUE"""),170.5)</f>
        <v>170.5</v>
      </c>
      <c r="E7970" s="2">
        <f>IFERROR(__xludf.DUMMYFUNCTION("""COMPUTED_VALUE"""),172.65)</f>
        <v>172.65</v>
      </c>
      <c r="F7970" s="2">
        <f>IFERROR(__xludf.DUMMYFUNCTION("""COMPUTED_VALUE"""),5845944.0)</f>
        <v>5845944</v>
      </c>
    </row>
    <row r="7971">
      <c r="A7971" s="3">
        <f>IFERROR(__xludf.DUMMYFUNCTION("""COMPUTED_VALUE"""),40757.666666666664)</f>
        <v>40757.66667</v>
      </c>
      <c r="B7971" s="2">
        <f>IFERROR(__xludf.DUMMYFUNCTION("""COMPUTED_VALUE"""),171.88)</f>
        <v>171.88</v>
      </c>
      <c r="C7971" s="2">
        <f>IFERROR(__xludf.DUMMYFUNCTION("""COMPUTED_VALUE"""),174.12)</f>
        <v>174.12</v>
      </c>
      <c r="D7971" s="2">
        <f>IFERROR(__xludf.DUMMYFUNCTION("""COMPUTED_VALUE"""),169.89)</f>
        <v>169.89</v>
      </c>
      <c r="E7971" s="2">
        <f>IFERROR(__xludf.DUMMYFUNCTION("""COMPUTED_VALUE"""),170.07)</f>
        <v>170.07</v>
      </c>
      <c r="F7971" s="2">
        <f>IFERROR(__xludf.DUMMYFUNCTION("""COMPUTED_VALUE"""),5770372.0)</f>
        <v>5770372</v>
      </c>
    </row>
    <row r="7972">
      <c r="A7972" s="3">
        <f>IFERROR(__xludf.DUMMYFUNCTION("""COMPUTED_VALUE"""),40758.666666666664)</f>
        <v>40758.66667</v>
      </c>
      <c r="B7972" s="2">
        <f>IFERROR(__xludf.DUMMYFUNCTION("""COMPUTED_VALUE"""),169.7)</f>
        <v>169.7</v>
      </c>
      <c r="C7972" s="2">
        <f>IFERROR(__xludf.DUMMYFUNCTION("""COMPUTED_VALUE"""),171.19)</f>
        <v>171.19</v>
      </c>
      <c r="D7972" s="2">
        <f>IFERROR(__xludf.DUMMYFUNCTION("""COMPUTED_VALUE"""),167.55)</f>
        <v>167.55</v>
      </c>
      <c r="E7972" s="2">
        <f>IFERROR(__xludf.DUMMYFUNCTION("""COMPUTED_VALUE"""),170.81)</f>
        <v>170.81</v>
      </c>
      <c r="F7972" s="2">
        <f>IFERROR(__xludf.DUMMYFUNCTION("""COMPUTED_VALUE"""),6724029.0)</f>
        <v>6724029</v>
      </c>
    </row>
    <row r="7973">
      <c r="A7973" s="3">
        <f>IFERROR(__xludf.DUMMYFUNCTION("""COMPUTED_VALUE"""),40759.666666666664)</f>
        <v>40759.66667</v>
      </c>
      <c r="B7973" s="2">
        <f>IFERROR(__xludf.DUMMYFUNCTION("""COMPUTED_VALUE"""),168.59)</f>
        <v>168.59</v>
      </c>
      <c r="C7973" s="2">
        <f>IFERROR(__xludf.DUMMYFUNCTION("""COMPUTED_VALUE"""),169.94)</f>
        <v>169.94</v>
      </c>
      <c r="D7973" s="2">
        <f>IFERROR(__xludf.DUMMYFUNCTION("""COMPUTED_VALUE"""),163.5)</f>
        <v>163.5</v>
      </c>
      <c r="E7973" s="2">
        <f>IFERROR(__xludf.DUMMYFUNCTION("""COMPUTED_VALUE"""),163.79)</f>
        <v>163.79</v>
      </c>
      <c r="F7973" s="2">
        <f>IFERROR(__xludf.DUMMYFUNCTION("""COMPUTED_VALUE"""),1.1023189E7)</f>
        <v>11023189</v>
      </c>
    </row>
    <row r="7974">
      <c r="A7974" s="3">
        <f>IFERROR(__xludf.DUMMYFUNCTION("""COMPUTED_VALUE"""),40760.666666666664)</f>
        <v>40760.66667</v>
      </c>
      <c r="B7974" s="2">
        <f>IFERROR(__xludf.DUMMYFUNCTION("""COMPUTED_VALUE"""),164.38)</f>
        <v>164.38</v>
      </c>
      <c r="C7974" s="2">
        <f>IFERROR(__xludf.DUMMYFUNCTION("""COMPUTED_VALUE"""),166.41)</f>
        <v>166.41</v>
      </c>
      <c r="D7974" s="2">
        <f>IFERROR(__xludf.DUMMYFUNCTION("""COMPUTED_VALUE"""),159.05)</f>
        <v>159.05</v>
      </c>
      <c r="E7974" s="2">
        <f>IFERROR(__xludf.DUMMYFUNCTION("""COMPUTED_VALUE"""),165.22)</f>
        <v>165.22</v>
      </c>
      <c r="F7974" s="2">
        <f>IFERROR(__xludf.DUMMYFUNCTION("""COMPUTED_VALUE"""),1.1872201E7)</f>
        <v>11872201</v>
      </c>
    </row>
    <row r="7975">
      <c r="A7975" s="3">
        <f>IFERROR(__xludf.DUMMYFUNCTION("""COMPUTED_VALUE"""),40763.666666666664)</f>
        <v>40763.66667</v>
      </c>
      <c r="B7975" s="2">
        <f>IFERROR(__xludf.DUMMYFUNCTION("""COMPUTED_VALUE"""),161.26)</f>
        <v>161.26</v>
      </c>
      <c r="C7975" s="2">
        <f>IFERROR(__xludf.DUMMYFUNCTION("""COMPUTED_VALUE"""),164.87)</f>
        <v>164.87</v>
      </c>
      <c r="D7975" s="2">
        <f>IFERROR(__xludf.DUMMYFUNCTION("""COMPUTED_VALUE"""),158.56)</f>
        <v>158.56</v>
      </c>
      <c r="E7975" s="2">
        <f>IFERROR(__xludf.DUMMYFUNCTION("""COMPUTED_VALUE"""),158.77)</f>
        <v>158.77</v>
      </c>
      <c r="F7975" s="2">
        <f>IFERROR(__xludf.DUMMYFUNCTION("""COMPUTED_VALUE"""),1.5805887E7)</f>
        <v>15805887</v>
      </c>
    </row>
    <row r="7976">
      <c r="A7976" s="3">
        <f>IFERROR(__xludf.DUMMYFUNCTION("""COMPUTED_VALUE"""),40764.666666666664)</f>
        <v>40764.66667</v>
      </c>
      <c r="B7976" s="2">
        <f>IFERROR(__xludf.DUMMYFUNCTION("""COMPUTED_VALUE"""),159.95)</f>
        <v>159.95</v>
      </c>
      <c r="C7976" s="2">
        <f>IFERROR(__xludf.DUMMYFUNCTION("""COMPUTED_VALUE"""),163.38)</f>
        <v>163.38</v>
      </c>
      <c r="D7976" s="2">
        <f>IFERROR(__xludf.DUMMYFUNCTION("""COMPUTED_VALUE"""),154.74)</f>
        <v>154.74</v>
      </c>
      <c r="E7976" s="2">
        <f>IFERROR(__xludf.DUMMYFUNCTION("""COMPUTED_VALUE"""),162.96)</f>
        <v>162.96</v>
      </c>
      <c r="F7976" s="2">
        <f>IFERROR(__xludf.DUMMYFUNCTION("""COMPUTED_VALUE"""),1.2517923E7)</f>
        <v>12517923</v>
      </c>
    </row>
    <row r="7977">
      <c r="A7977" s="3">
        <f>IFERROR(__xludf.DUMMYFUNCTION("""COMPUTED_VALUE"""),40765.666666666664)</f>
        <v>40765.66667</v>
      </c>
      <c r="B7977" s="2">
        <f>IFERROR(__xludf.DUMMYFUNCTION("""COMPUTED_VALUE"""),160.64)</f>
        <v>160.64</v>
      </c>
      <c r="C7977" s="2">
        <f>IFERROR(__xludf.DUMMYFUNCTION("""COMPUTED_VALUE"""),161.64)</f>
        <v>161.64</v>
      </c>
      <c r="D7977" s="2">
        <f>IFERROR(__xludf.DUMMYFUNCTION("""COMPUTED_VALUE"""),154.59)</f>
        <v>154.59</v>
      </c>
      <c r="E7977" s="2">
        <f>IFERROR(__xludf.DUMMYFUNCTION("""COMPUTED_VALUE"""),155.25)</f>
        <v>155.25</v>
      </c>
      <c r="F7977" s="2">
        <f>IFERROR(__xludf.DUMMYFUNCTION("""COMPUTED_VALUE"""),1.39948E7)</f>
        <v>13994800</v>
      </c>
    </row>
    <row r="7978">
      <c r="A7978" s="3">
        <f>IFERROR(__xludf.DUMMYFUNCTION("""COMPUTED_VALUE"""),40766.666666666664)</f>
        <v>40766.66667</v>
      </c>
      <c r="B7978" s="2">
        <f>IFERROR(__xludf.DUMMYFUNCTION("""COMPUTED_VALUE"""),156.74)</f>
        <v>156.74</v>
      </c>
      <c r="C7978" s="2">
        <f>IFERROR(__xludf.DUMMYFUNCTION("""COMPUTED_VALUE"""),161.2)</f>
        <v>161.2</v>
      </c>
      <c r="D7978" s="2">
        <f>IFERROR(__xludf.DUMMYFUNCTION("""COMPUTED_VALUE"""),155.63)</f>
        <v>155.63</v>
      </c>
      <c r="E7978" s="2">
        <f>IFERROR(__xludf.DUMMYFUNCTION("""COMPUTED_VALUE"""),159.25)</f>
        <v>159.25</v>
      </c>
      <c r="F7978" s="2">
        <f>IFERROR(__xludf.DUMMYFUNCTION("""COMPUTED_VALUE"""),9176528.0)</f>
        <v>9176528</v>
      </c>
    </row>
    <row r="7979">
      <c r="A7979" s="3">
        <f>IFERROR(__xludf.DUMMYFUNCTION("""COMPUTED_VALUE"""),40767.666666666664)</f>
        <v>40767.66667</v>
      </c>
      <c r="B7979" s="2">
        <f>IFERROR(__xludf.DUMMYFUNCTION("""COMPUTED_VALUE"""),160.95)</f>
        <v>160.95</v>
      </c>
      <c r="C7979" s="2">
        <f>IFERROR(__xludf.DUMMYFUNCTION("""COMPUTED_VALUE"""),161.79)</f>
        <v>161.79</v>
      </c>
      <c r="D7979" s="2">
        <f>IFERROR(__xludf.DUMMYFUNCTION("""COMPUTED_VALUE"""),158.39)</f>
        <v>158.39</v>
      </c>
      <c r="E7979" s="2">
        <f>IFERROR(__xludf.DUMMYFUNCTION("""COMPUTED_VALUE"""),160.66)</f>
        <v>160.66</v>
      </c>
      <c r="F7979" s="2">
        <f>IFERROR(__xludf.DUMMYFUNCTION("""COMPUTED_VALUE"""),5063730.0)</f>
        <v>5063730</v>
      </c>
    </row>
    <row r="7980">
      <c r="A7980" s="3">
        <f>IFERROR(__xludf.DUMMYFUNCTION("""COMPUTED_VALUE"""),40770.666666666664)</f>
        <v>40770.66667</v>
      </c>
      <c r="B7980" s="2">
        <f>IFERROR(__xludf.DUMMYFUNCTION("""COMPUTED_VALUE"""),163.64)</f>
        <v>163.64</v>
      </c>
      <c r="C7980" s="2">
        <f>IFERROR(__xludf.DUMMYFUNCTION("""COMPUTED_VALUE"""),166.2)</f>
        <v>166.2</v>
      </c>
      <c r="D7980" s="2">
        <f>IFERROR(__xludf.DUMMYFUNCTION("""COMPUTED_VALUE"""),162.75)</f>
        <v>162.75</v>
      </c>
      <c r="E7980" s="2">
        <f>IFERROR(__xludf.DUMMYFUNCTION("""COMPUTED_VALUE"""),165.23)</f>
        <v>165.23</v>
      </c>
      <c r="F7980" s="2">
        <f>IFERROR(__xludf.DUMMYFUNCTION("""COMPUTED_VALUE"""),7645358.0)</f>
        <v>7645358</v>
      </c>
    </row>
    <row r="7981">
      <c r="A7981" s="3">
        <f>IFERROR(__xludf.DUMMYFUNCTION("""COMPUTED_VALUE"""),40771.666666666664)</f>
        <v>40771.66667</v>
      </c>
      <c r="B7981" s="2">
        <f>IFERROR(__xludf.DUMMYFUNCTION("""COMPUTED_VALUE"""),164.47)</f>
        <v>164.47</v>
      </c>
      <c r="C7981" s="2">
        <f>IFERROR(__xludf.DUMMYFUNCTION("""COMPUTED_VALUE"""),164.47)</f>
        <v>164.47</v>
      </c>
      <c r="D7981" s="2">
        <f>IFERROR(__xludf.DUMMYFUNCTION("""COMPUTED_VALUE"""),161.42)</f>
        <v>161.42</v>
      </c>
      <c r="E7981" s="2">
        <f>IFERROR(__xludf.DUMMYFUNCTION("""COMPUTED_VALUE"""),163.56)</f>
        <v>163.56</v>
      </c>
      <c r="F7981" s="2">
        <f>IFERROR(__xludf.DUMMYFUNCTION("""COMPUTED_VALUE"""),5585496.0)</f>
        <v>5585496</v>
      </c>
    </row>
    <row r="7982">
      <c r="A7982" s="3">
        <f>IFERROR(__xludf.DUMMYFUNCTION("""COMPUTED_VALUE"""),40772.666666666664)</f>
        <v>40772.66667</v>
      </c>
      <c r="B7982" s="2">
        <f>IFERROR(__xludf.DUMMYFUNCTION("""COMPUTED_VALUE"""),163.88)</f>
        <v>163.88</v>
      </c>
      <c r="C7982" s="2">
        <f>IFERROR(__xludf.DUMMYFUNCTION("""COMPUTED_VALUE"""),165.23)</f>
        <v>165.23</v>
      </c>
      <c r="D7982" s="2">
        <f>IFERROR(__xludf.DUMMYFUNCTION("""COMPUTED_VALUE"""),162.27)</f>
        <v>162.27</v>
      </c>
      <c r="E7982" s="2">
        <f>IFERROR(__xludf.DUMMYFUNCTION("""COMPUTED_VALUE"""),163.79)</f>
        <v>163.79</v>
      </c>
      <c r="F7982" s="2">
        <f>IFERROR(__xludf.DUMMYFUNCTION("""COMPUTED_VALUE"""),5071177.0)</f>
        <v>5071177</v>
      </c>
    </row>
    <row r="7983">
      <c r="A7983" s="3">
        <f>IFERROR(__xludf.DUMMYFUNCTION("""COMPUTED_VALUE"""),40773.666666666664)</f>
        <v>40773.66667</v>
      </c>
      <c r="B7983" s="2">
        <f>IFERROR(__xludf.DUMMYFUNCTION("""COMPUTED_VALUE"""),158.86)</f>
        <v>158.86</v>
      </c>
      <c r="C7983" s="2">
        <f>IFERROR(__xludf.DUMMYFUNCTION("""COMPUTED_VALUE"""),159.0)</f>
        <v>159</v>
      </c>
      <c r="D7983" s="2">
        <f>IFERROR(__xludf.DUMMYFUNCTION("""COMPUTED_VALUE"""),152.98)</f>
        <v>152.98</v>
      </c>
      <c r="E7983" s="2">
        <f>IFERROR(__xludf.DUMMYFUNCTION("""COMPUTED_VALUE"""),156.48)</f>
        <v>156.48</v>
      </c>
      <c r="F7983" s="2">
        <f>IFERROR(__xludf.DUMMYFUNCTION("""COMPUTED_VALUE"""),1.508369E7)</f>
        <v>15083690</v>
      </c>
    </row>
    <row r="7984">
      <c r="A7984" s="3">
        <f>IFERROR(__xludf.DUMMYFUNCTION("""COMPUTED_VALUE"""),40774.666666666664)</f>
        <v>40774.66667</v>
      </c>
      <c r="B7984" s="2">
        <f>IFERROR(__xludf.DUMMYFUNCTION("""COMPUTED_VALUE"""),154.9)</f>
        <v>154.9</v>
      </c>
      <c r="C7984" s="2">
        <f>IFERROR(__xludf.DUMMYFUNCTION("""COMPUTED_VALUE"""),156.59)</f>
        <v>156.59</v>
      </c>
      <c r="D7984" s="2">
        <f>IFERROR(__xludf.DUMMYFUNCTION("""COMPUTED_VALUE"""),150.08)</f>
        <v>150.08</v>
      </c>
      <c r="E7984" s="2">
        <f>IFERROR(__xludf.DUMMYFUNCTION("""COMPUTED_VALUE"""),150.48)</f>
        <v>150.48</v>
      </c>
      <c r="F7984" s="2">
        <f>IFERROR(__xludf.DUMMYFUNCTION("""COMPUTED_VALUE"""),1.4072336E7)</f>
        <v>14072336</v>
      </c>
    </row>
    <row r="7985">
      <c r="A7985" s="3">
        <f>IFERROR(__xludf.DUMMYFUNCTION("""COMPUTED_VALUE"""),40777.666666666664)</f>
        <v>40777.66667</v>
      </c>
      <c r="B7985" s="2">
        <f>IFERROR(__xludf.DUMMYFUNCTION("""COMPUTED_VALUE"""),154.12)</f>
        <v>154.12</v>
      </c>
      <c r="C7985" s="2">
        <f>IFERROR(__xludf.DUMMYFUNCTION("""COMPUTED_VALUE"""),154.43)</f>
        <v>154.43</v>
      </c>
      <c r="D7985" s="2">
        <f>IFERROR(__xludf.DUMMYFUNCTION("""COMPUTED_VALUE"""),150.55)</f>
        <v>150.55</v>
      </c>
      <c r="E7985" s="2">
        <f>IFERROR(__xludf.DUMMYFUNCTION("""COMPUTED_VALUE"""),151.85)</f>
        <v>151.85</v>
      </c>
      <c r="F7985" s="2">
        <f>IFERROR(__xludf.DUMMYFUNCTION("""COMPUTED_VALUE"""),7253910.0)</f>
        <v>7253910</v>
      </c>
    </row>
    <row r="7986">
      <c r="A7986" s="3">
        <f>IFERROR(__xludf.DUMMYFUNCTION("""COMPUTED_VALUE"""),40778.666666666664)</f>
        <v>40778.66667</v>
      </c>
      <c r="B7986" s="2">
        <f>IFERROR(__xludf.DUMMYFUNCTION("""COMPUTED_VALUE"""),153.45)</f>
        <v>153.45</v>
      </c>
      <c r="C7986" s="2">
        <f>IFERROR(__xludf.DUMMYFUNCTION("""COMPUTED_VALUE"""),157.21)</f>
        <v>157.21</v>
      </c>
      <c r="D7986" s="2">
        <f>IFERROR(__xludf.DUMMYFUNCTION("""COMPUTED_VALUE"""),152.38)</f>
        <v>152.38</v>
      </c>
      <c r="E7986" s="2">
        <f>IFERROR(__xludf.DUMMYFUNCTION("""COMPUTED_VALUE"""),156.95)</f>
        <v>156.95</v>
      </c>
      <c r="F7986" s="2">
        <f>IFERROR(__xludf.DUMMYFUNCTION("""COMPUTED_VALUE"""),6924129.0)</f>
        <v>6924129</v>
      </c>
    </row>
    <row r="7987">
      <c r="A7987" s="3">
        <f>IFERROR(__xludf.DUMMYFUNCTION("""COMPUTED_VALUE"""),40779.666666666664)</f>
        <v>40779.66667</v>
      </c>
      <c r="B7987" s="2">
        <f>IFERROR(__xludf.DUMMYFUNCTION("""COMPUTED_VALUE"""),156.77)</f>
        <v>156.77</v>
      </c>
      <c r="C7987" s="2">
        <f>IFERROR(__xludf.DUMMYFUNCTION("""COMPUTED_VALUE"""),159.35)</f>
        <v>159.35</v>
      </c>
      <c r="D7987" s="2">
        <f>IFERROR(__xludf.DUMMYFUNCTION("""COMPUTED_VALUE"""),156.03)</f>
        <v>156.03</v>
      </c>
      <c r="E7987" s="2">
        <f>IFERROR(__xludf.DUMMYFUNCTION("""COMPUTED_VALUE"""),159.28)</f>
        <v>159.28</v>
      </c>
      <c r="F7987" s="2">
        <f>IFERROR(__xludf.DUMMYFUNCTION("""COMPUTED_VALUE"""),6427240.0)</f>
        <v>6427240</v>
      </c>
    </row>
    <row r="7988">
      <c r="A7988" s="3">
        <f>IFERROR(__xludf.DUMMYFUNCTION("""COMPUTED_VALUE"""),40780.666666666664)</f>
        <v>40780.66667</v>
      </c>
      <c r="B7988" s="2">
        <f>IFERROR(__xludf.DUMMYFUNCTION("""COMPUTED_VALUE"""),160.01)</f>
        <v>160.01</v>
      </c>
      <c r="C7988" s="2">
        <f>IFERROR(__xludf.DUMMYFUNCTION("""COMPUTED_VALUE"""),160.97)</f>
        <v>160.97</v>
      </c>
      <c r="D7988" s="2">
        <f>IFERROR(__xludf.DUMMYFUNCTION("""COMPUTED_VALUE"""),157.46)</f>
        <v>157.46</v>
      </c>
      <c r="E7988" s="2">
        <f>IFERROR(__xludf.DUMMYFUNCTION("""COMPUTED_VALUE"""),158.16)</f>
        <v>158.16</v>
      </c>
      <c r="F7988" s="2">
        <f>IFERROR(__xludf.DUMMYFUNCTION("""COMPUTED_VALUE"""),6759181.0)</f>
        <v>6759181</v>
      </c>
    </row>
    <row r="7989">
      <c r="A7989" s="3">
        <f>IFERROR(__xludf.DUMMYFUNCTION("""COMPUTED_VALUE"""),40781.666666666664)</f>
        <v>40781.66667</v>
      </c>
      <c r="B7989" s="2">
        <f>IFERROR(__xludf.DUMMYFUNCTION("""COMPUTED_VALUE"""),157.46)</f>
        <v>157.46</v>
      </c>
      <c r="C7989" s="2">
        <f>IFERROR(__xludf.DUMMYFUNCTION("""COMPUTED_VALUE"""),161.74)</f>
        <v>161.74</v>
      </c>
      <c r="D7989" s="2">
        <f>IFERROR(__xludf.DUMMYFUNCTION("""COMPUTED_VALUE"""),155.96)</f>
        <v>155.96</v>
      </c>
      <c r="E7989" s="2">
        <f>IFERROR(__xludf.DUMMYFUNCTION("""COMPUTED_VALUE"""),161.56)</f>
        <v>161.56</v>
      </c>
      <c r="F7989" s="2">
        <f>IFERROR(__xludf.DUMMYFUNCTION("""COMPUTED_VALUE"""),6438785.0)</f>
        <v>6438785</v>
      </c>
    </row>
    <row r="7990">
      <c r="A7990" s="3">
        <f>IFERROR(__xludf.DUMMYFUNCTION("""COMPUTED_VALUE"""),40784.666666666664)</f>
        <v>40784.66667</v>
      </c>
      <c r="B7990" s="2">
        <f>IFERROR(__xludf.DUMMYFUNCTION("""COMPUTED_VALUE"""),162.93)</f>
        <v>162.93</v>
      </c>
      <c r="C7990" s="2">
        <f>IFERROR(__xludf.DUMMYFUNCTION("""COMPUTED_VALUE"""),164.98)</f>
        <v>164.98</v>
      </c>
      <c r="D7990" s="2">
        <f>IFERROR(__xludf.DUMMYFUNCTION("""COMPUTED_VALUE"""),162.72)</f>
        <v>162.72</v>
      </c>
      <c r="E7990" s="2">
        <f>IFERROR(__xludf.DUMMYFUNCTION("""COMPUTED_VALUE"""),164.88)</f>
        <v>164.88</v>
      </c>
      <c r="F7990" s="2">
        <f>IFERROR(__xludf.DUMMYFUNCTION("""COMPUTED_VALUE"""),5294197.0)</f>
        <v>5294197</v>
      </c>
    </row>
    <row r="7991">
      <c r="A7991" s="3">
        <f>IFERROR(__xludf.DUMMYFUNCTION("""COMPUTED_VALUE"""),40785.666666666664)</f>
        <v>40785.66667</v>
      </c>
      <c r="B7991" s="2">
        <f>IFERROR(__xludf.DUMMYFUNCTION("""COMPUTED_VALUE"""),164.35)</f>
        <v>164.35</v>
      </c>
      <c r="C7991" s="2">
        <f>IFERROR(__xludf.DUMMYFUNCTION("""COMPUTED_VALUE"""),165.73)</f>
        <v>165.73</v>
      </c>
      <c r="D7991" s="2">
        <f>IFERROR(__xludf.DUMMYFUNCTION("""COMPUTED_VALUE"""),163.22)</f>
        <v>163.22</v>
      </c>
      <c r="E7991" s="2">
        <f>IFERROR(__xludf.DUMMYFUNCTION("""COMPUTED_VALUE"""),164.78)</f>
        <v>164.78</v>
      </c>
      <c r="F7991" s="2">
        <f>IFERROR(__xludf.DUMMYFUNCTION("""COMPUTED_VALUE"""),4478665.0)</f>
        <v>4478665</v>
      </c>
    </row>
    <row r="7992">
      <c r="A7992" s="3">
        <f>IFERROR(__xludf.DUMMYFUNCTION("""COMPUTED_VALUE"""),40786.666666666664)</f>
        <v>40786.66667</v>
      </c>
      <c r="B7992" s="2">
        <f>IFERROR(__xludf.DUMMYFUNCTION("""COMPUTED_VALUE"""),165.52)</f>
        <v>165.52</v>
      </c>
      <c r="C7992" s="2">
        <f>IFERROR(__xludf.DUMMYFUNCTION("""COMPUTED_VALUE"""),165.93)</f>
        <v>165.93</v>
      </c>
      <c r="D7992" s="2">
        <f>IFERROR(__xludf.DUMMYFUNCTION("""COMPUTED_VALUE"""),163.06)</f>
        <v>163.06</v>
      </c>
      <c r="E7992" s="2">
        <f>IFERROR(__xludf.DUMMYFUNCTION("""COMPUTED_VALUE"""),164.2)</f>
        <v>164.2</v>
      </c>
      <c r="F7992" s="2">
        <f>IFERROR(__xludf.DUMMYFUNCTION("""COMPUTED_VALUE"""),6074660.0)</f>
        <v>6074660</v>
      </c>
    </row>
    <row r="7993">
      <c r="A7993" s="3">
        <f>IFERROR(__xludf.DUMMYFUNCTION("""COMPUTED_VALUE"""),40787.666666666664)</f>
        <v>40787.66667</v>
      </c>
      <c r="B7993" s="2">
        <f>IFERROR(__xludf.DUMMYFUNCTION("""COMPUTED_VALUE"""),164.97)</f>
        <v>164.97</v>
      </c>
      <c r="C7993" s="2">
        <f>IFERROR(__xludf.DUMMYFUNCTION("""COMPUTED_VALUE"""),165.89)</f>
        <v>165.89</v>
      </c>
      <c r="D7993" s="2">
        <f>IFERROR(__xludf.DUMMYFUNCTION("""COMPUTED_VALUE"""),162.49)</f>
        <v>162.49</v>
      </c>
      <c r="E7993" s="2">
        <f>IFERROR(__xludf.DUMMYFUNCTION("""COMPUTED_VALUE"""),162.69)</f>
        <v>162.69</v>
      </c>
      <c r="F7993" s="2">
        <f>IFERROR(__xludf.DUMMYFUNCTION("""COMPUTED_VALUE"""),5463880.0)</f>
        <v>5463880</v>
      </c>
    </row>
    <row r="7994">
      <c r="A7994" s="3">
        <f>IFERROR(__xludf.DUMMYFUNCTION("""COMPUTED_VALUE"""),40788.666666666664)</f>
        <v>40788.66667</v>
      </c>
      <c r="B7994" s="2">
        <f>IFERROR(__xludf.DUMMYFUNCTION("""COMPUTED_VALUE"""),160.17)</f>
        <v>160.17</v>
      </c>
      <c r="C7994" s="2">
        <f>IFERROR(__xludf.DUMMYFUNCTION("""COMPUTED_VALUE"""),161.36)</f>
        <v>161.36</v>
      </c>
      <c r="D7994" s="2">
        <f>IFERROR(__xludf.DUMMYFUNCTION("""COMPUTED_VALUE"""),158.56)</f>
        <v>158.56</v>
      </c>
      <c r="E7994" s="2">
        <f>IFERROR(__xludf.DUMMYFUNCTION("""COMPUTED_VALUE"""),159.49)</f>
        <v>159.49</v>
      </c>
      <c r="F7994" s="2">
        <f>IFERROR(__xludf.DUMMYFUNCTION("""COMPUTED_VALUE"""),4979011.0)</f>
        <v>4979011</v>
      </c>
    </row>
    <row r="7995">
      <c r="A7995" s="3">
        <f>IFERROR(__xludf.DUMMYFUNCTION("""COMPUTED_VALUE"""),40792.666666666664)</f>
        <v>40792.66667</v>
      </c>
      <c r="B7995" s="2">
        <f>IFERROR(__xludf.DUMMYFUNCTION("""COMPUTED_VALUE"""),155.75)</f>
        <v>155.75</v>
      </c>
      <c r="C7995" s="2">
        <f>IFERROR(__xludf.DUMMYFUNCTION("""COMPUTED_VALUE"""),158.13)</f>
        <v>158.13</v>
      </c>
      <c r="D7995" s="2">
        <f>IFERROR(__xludf.DUMMYFUNCTION("""COMPUTED_VALUE"""),154.93)</f>
        <v>154.93</v>
      </c>
      <c r="E7995" s="2">
        <f>IFERROR(__xludf.DUMMYFUNCTION("""COMPUTED_VALUE"""),157.71)</f>
        <v>157.71</v>
      </c>
      <c r="F7995" s="2">
        <f>IFERROR(__xludf.DUMMYFUNCTION("""COMPUTED_VALUE"""),5761373.0)</f>
        <v>5761373</v>
      </c>
    </row>
    <row r="7996">
      <c r="A7996" s="3">
        <f>IFERROR(__xludf.DUMMYFUNCTION("""COMPUTED_VALUE"""),40793.666666666664)</f>
        <v>40793.66667</v>
      </c>
      <c r="B7996" s="2">
        <f>IFERROR(__xludf.DUMMYFUNCTION("""COMPUTED_VALUE"""),159.78)</f>
        <v>159.78</v>
      </c>
      <c r="C7996" s="2">
        <f>IFERROR(__xludf.DUMMYFUNCTION("""COMPUTED_VALUE"""),160.37)</f>
        <v>160.37</v>
      </c>
      <c r="D7996" s="2">
        <f>IFERROR(__xludf.DUMMYFUNCTION("""COMPUTED_VALUE"""),158.71)</f>
        <v>158.71</v>
      </c>
      <c r="E7996" s="2">
        <f>IFERROR(__xludf.DUMMYFUNCTION("""COMPUTED_VALUE"""),159.81)</f>
        <v>159.81</v>
      </c>
      <c r="F7996" s="2">
        <f>IFERROR(__xludf.DUMMYFUNCTION("""COMPUTED_VALUE"""),6798585.0)</f>
        <v>6798585</v>
      </c>
    </row>
    <row r="7997">
      <c r="A7997" s="3">
        <f>IFERROR(__xludf.DUMMYFUNCTION("""COMPUTED_VALUE"""),40794.666666666664)</f>
        <v>40794.66667</v>
      </c>
      <c r="B7997" s="2">
        <f>IFERROR(__xludf.DUMMYFUNCTION("""COMPUTED_VALUE"""),159.51)</f>
        <v>159.51</v>
      </c>
      <c r="C7997" s="2">
        <f>IFERROR(__xludf.DUMMYFUNCTION("""COMPUTED_VALUE"""),161.98)</f>
        <v>161.98</v>
      </c>
      <c r="D7997" s="2">
        <f>IFERROR(__xludf.DUMMYFUNCTION("""COMPUTED_VALUE"""),157.7)</f>
        <v>157.7</v>
      </c>
      <c r="E7997" s="2">
        <f>IFERROR(__xludf.DUMMYFUNCTION("""COMPUTED_VALUE"""),157.84)</f>
        <v>157.84</v>
      </c>
      <c r="F7997" s="2">
        <f>IFERROR(__xludf.DUMMYFUNCTION("""COMPUTED_VALUE"""),6028321.0)</f>
        <v>6028321</v>
      </c>
    </row>
    <row r="7998">
      <c r="A7998" s="3">
        <f>IFERROR(__xludf.DUMMYFUNCTION("""COMPUTED_VALUE"""),40795.666666666664)</f>
        <v>40795.66667</v>
      </c>
      <c r="B7998" s="2">
        <f>IFERROR(__xludf.DUMMYFUNCTION("""COMPUTED_VALUE"""),157.19)</f>
        <v>157.19</v>
      </c>
      <c r="C7998" s="2">
        <f>IFERROR(__xludf.DUMMYFUNCTION("""COMPUTED_VALUE"""),157.78)</f>
        <v>157.78</v>
      </c>
      <c r="D7998" s="2">
        <f>IFERROR(__xludf.DUMMYFUNCTION("""COMPUTED_VALUE"""),153.6)</f>
        <v>153.6</v>
      </c>
      <c r="E7998" s="2">
        <f>IFERROR(__xludf.DUMMYFUNCTION("""COMPUTED_VALUE"""),154.13)</f>
        <v>154.13</v>
      </c>
      <c r="F7998" s="2">
        <f>IFERROR(__xludf.DUMMYFUNCTION("""COMPUTED_VALUE"""),6743810.0)</f>
        <v>6743810</v>
      </c>
    </row>
    <row r="7999">
      <c r="A7999" s="3">
        <f>IFERROR(__xludf.DUMMYFUNCTION("""COMPUTED_VALUE"""),40798.666666666664)</f>
        <v>40798.66667</v>
      </c>
      <c r="B7999" s="2">
        <f>IFERROR(__xludf.DUMMYFUNCTION("""COMPUTED_VALUE"""),152.86)</f>
        <v>152.86</v>
      </c>
      <c r="C7999" s="2">
        <f>IFERROR(__xludf.DUMMYFUNCTION("""COMPUTED_VALUE"""),155.16)</f>
        <v>155.16</v>
      </c>
      <c r="D7999" s="2">
        <f>IFERROR(__xludf.DUMMYFUNCTION("""COMPUTED_VALUE"""),151.64)</f>
        <v>151.64</v>
      </c>
      <c r="E7999" s="2">
        <f>IFERROR(__xludf.DUMMYFUNCTION("""COMPUTED_VALUE"""),155.14)</f>
        <v>155.14</v>
      </c>
      <c r="F7999" s="2">
        <f>IFERROR(__xludf.DUMMYFUNCTION("""COMPUTED_VALUE"""),5247581.0)</f>
        <v>5247581</v>
      </c>
    </row>
    <row r="8000">
      <c r="A8000" s="3">
        <f>IFERROR(__xludf.DUMMYFUNCTION("""COMPUTED_VALUE"""),40799.666666666664)</f>
        <v>40799.66667</v>
      </c>
      <c r="B8000" s="2">
        <f>IFERROR(__xludf.DUMMYFUNCTION("""COMPUTED_VALUE"""),156.3)</f>
        <v>156.3</v>
      </c>
      <c r="C8000" s="2">
        <f>IFERROR(__xludf.DUMMYFUNCTION("""COMPUTED_VALUE"""),156.57)</f>
        <v>156.57</v>
      </c>
      <c r="D8000" s="2">
        <f>IFERROR(__xludf.DUMMYFUNCTION("""COMPUTED_VALUE"""),154.3)</f>
        <v>154.3</v>
      </c>
      <c r="E8000" s="2">
        <f>IFERROR(__xludf.DUMMYFUNCTION("""COMPUTED_VALUE"""),156.1)</f>
        <v>156.1</v>
      </c>
      <c r="F8000" s="2">
        <f>IFERROR(__xludf.DUMMYFUNCTION("""COMPUTED_VALUE"""),4723740.0)</f>
        <v>4723740</v>
      </c>
    </row>
    <row r="8001">
      <c r="A8001" s="3">
        <f>IFERROR(__xludf.DUMMYFUNCTION("""COMPUTED_VALUE"""),40800.666666666664)</f>
        <v>40800.66667</v>
      </c>
      <c r="B8001" s="2">
        <f>IFERROR(__xludf.DUMMYFUNCTION("""COMPUTED_VALUE"""),156.66)</f>
        <v>156.66</v>
      </c>
      <c r="C8001" s="2">
        <f>IFERROR(__xludf.DUMMYFUNCTION("""COMPUTED_VALUE"""),162.05)</f>
        <v>162.05</v>
      </c>
      <c r="D8001" s="2">
        <f>IFERROR(__xludf.DUMMYFUNCTION("""COMPUTED_VALUE"""),154.73)</f>
        <v>154.73</v>
      </c>
      <c r="E8001" s="2">
        <f>IFERROR(__xludf.DUMMYFUNCTION("""COMPUTED_VALUE"""),159.74)</f>
        <v>159.74</v>
      </c>
      <c r="F8001" s="2">
        <f>IFERROR(__xludf.DUMMYFUNCTION("""COMPUTED_VALUE"""),6981043.0)</f>
        <v>6981043</v>
      </c>
    </row>
    <row r="8002">
      <c r="A8002" s="3">
        <f>IFERROR(__xludf.DUMMYFUNCTION("""COMPUTED_VALUE"""),40801.666666666664)</f>
        <v>40801.66667</v>
      </c>
      <c r="B8002" s="2">
        <f>IFERROR(__xludf.DUMMYFUNCTION("""COMPUTED_VALUE"""),161.08)</f>
        <v>161.08</v>
      </c>
      <c r="C8002" s="2">
        <f>IFERROR(__xludf.DUMMYFUNCTION("""COMPUTED_VALUE"""),162.53)</f>
        <v>162.53</v>
      </c>
      <c r="D8002" s="2">
        <f>IFERROR(__xludf.DUMMYFUNCTION("""COMPUTED_VALUE"""),159.73)</f>
        <v>159.73</v>
      </c>
      <c r="E8002" s="2">
        <f>IFERROR(__xludf.DUMMYFUNCTION("""COMPUTED_VALUE"""),162.46)</f>
        <v>162.46</v>
      </c>
      <c r="F8002" s="2">
        <f>IFERROR(__xludf.DUMMYFUNCTION("""COMPUTED_VALUE"""),5464433.0)</f>
        <v>5464433</v>
      </c>
    </row>
    <row r="8003">
      <c r="A8003" s="3">
        <f>IFERROR(__xludf.DUMMYFUNCTION("""COMPUTED_VALUE"""),40802.666666666664)</f>
        <v>40802.66667</v>
      </c>
      <c r="B8003" s="2">
        <f>IFERROR(__xludf.DUMMYFUNCTION("""COMPUTED_VALUE"""),163.65)</f>
        <v>163.65</v>
      </c>
      <c r="C8003" s="2">
        <f>IFERROR(__xludf.DUMMYFUNCTION("""COMPUTED_VALUE"""),165.23)</f>
        <v>165.23</v>
      </c>
      <c r="D8003" s="2">
        <f>IFERROR(__xludf.DUMMYFUNCTION("""COMPUTED_VALUE"""),162.13)</f>
        <v>162.13</v>
      </c>
      <c r="E8003" s="2">
        <f>IFERROR(__xludf.DUMMYFUNCTION("""COMPUTED_VALUE"""),165.23)</f>
        <v>165.23</v>
      </c>
      <c r="F8003" s="2">
        <f>IFERROR(__xludf.DUMMYFUNCTION("""COMPUTED_VALUE"""),1.1049058E7)</f>
        <v>11049058</v>
      </c>
    </row>
    <row r="8004">
      <c r="A8004" s="3">
        <f>IFERROR(__xludf.DUMMYFUNCTION("""COMPUTED_VALUE"""),40805.666666666664)</f>
        <v>40805.66667</v>
      </c>
      <c r="B8004" s="2">
        <f>IFERROR(__xludf.DUMMYFUNCTION("""COMPUTED_VALUE"""),161.9)</f>
        <v>161.9</v>
      </c>
      <c r="C8004" s="2">
        <f>IFERROR(__xludf.DUMMYFUNCTION("""COMPUTED_VALUE"""),166.07)</f>
        <v>166.07</v>
      </c>
      <c r="D8004" s="2">
        <f>IFERROR(__xludf.DUMMYFUNCTION("""COMPUTED_VALUE"""),161.83)</f>
        <v>161.83</v>
      </c>
      <c r="E8004" s="2">
        <f>IFERROR(__xludf.DUMMYFUNCTION("""COMPUTED_VALUE"""),165.37)</f>
        <v>165.37</v>
      </c>
      <c r="F8004" s="2">
        <f>IFERROR(__xludf.DUMMYFUNCTION("""COMPUTED_VALUE"""),4757407.0)</f>
        <v>4757407</v>
      </c>
    </row>
    <row r="8005">
      <c r="A8005" s="3">
        <f>IFERROR(__xludf.DUMMYFUNCTION("""COMPUTED_VALUE"""),40806.666666666664)</f>
        <v>40806.66667</v>
      </c>
      <c r="B8005" s="2">
        <f>IFERROR(__xludf.DUMMYFUNCTION("""COMPUTED_VALUE"""),165.79)</f>
        <v>165.79</v>
      </c>
      <c r="C8005" s="2">
        <f>IFERROR(__xludf.DUMMYFUNCTION("""COMPUTED_VALUE"""),169.47)</f>
        <v>169.47</v>
      </c>
      <c r="D8005" s="2">
        <f>IFERROR(__xludf.DUMMYFUNCTION("""COMPUTED_VALUE"""),164.96)</f>
        <v>164.96</v>
      </c>
      <c r="E8005" s="2">
        <f>IFERROR(__xludf.DUMMYFUNCTION("""COMPUTED_VALUE"""),166.89)</f>
        <v>166.89</v>
      </c>
      <c r="F8005" s="2">
        <f>IFERROR(__xludf.DUMMYFUNCTION("""COMPUTED_VALUE"""),6209893.0)</f>
        <v>6209893</v>
      </c>
    </row>
    <row r="8006">
      <c r="A8006" s="3">
        <f>IFERROR(__xludf.DUMMYFUNCTION("""COMPUTED_VALUE"""),40807.666666666664)</f>
        <v>40807.66667</v>
      </c>
      <c r="B8006" s="2">
        <f>IFERROR(__xludf.DUMMYFUNCTION("""COMPUTED_VALUE"""),167.15)</f>
        <v>167.15</v>
      </c>
      <c r="C8006" s="2">
        <f>IFERROR(__xludf.DUMMYFUNCTION("""COMPUTED_VALUE"""),169.7)</f>
        <v>169.7</v>
      </c>
      <c r="D8006" s="2">
        <f>IFERROR(__xludf.DUMMYFUNCTION("""COMPUTED_VALUE"""),164.88)</f>
        <v>164.88</v>
      </c>
      <c r="E8006" s="2">
        <f>IFERROR(__xludf.DUMMYFUNCTION("""COMPUTED_VALUE"""),165.26)</f>
        <v>165.26</v>
      </c>
      <c r="F8006" s="2">
        <f>IFERROR(__xludf.DUMMYFUNCTION("""COMPUTED_VALUE"""),7043250.0)</f>
        <v>7043250</v>
      </c>
    </row>
    <row r="8007">
      <c r="A8007" s="3">
        <f>IFERROR(__xludf.DUMMYFUNCTION("""COMPUTED_VALUE"""),40808.666666666664)</f>
        <v>40808.66667</v>
      </c>
      <c r="B8007" s="2">
        <f>IFERROR(__xludf.DUMMYFUNCTION("""COMPUTED_VALUE"""),160.78)</f>
        <v>160.78</v>
      </c>
      <c r="C8007" s="2">
        <f>IFERROR(__xludf.DUMMYFUNCTION("""COMPUTED_VALUE"""),162.35)</f>
        <v>162.35</v>
      </c>
      <c r="D8007" s="2">
        <f>IFERROR(__xludf.DUMMYFUNCTION("""COMPUTED_VALUE"""),159.03)</f>
        <v>159.03</v>
      </c>
      <c r="E8007" s="2">
        <f>IFERROR(__xludf.DUMMYFUNCTION("""COMPUTED_VALUE"""),161.06)</f>
        <v>161.06</v>
      </c>
      <c r="F8007" s="2">
        <f>IFERROR(__xludf.DUMMYFUNCTION("""COMPUTED_VALUE"""),8195806.0)</f>
        <v>8195806</v>
      </c>
    </row>
    <row r="8008">
      <c r="A8008" s="3">
        <f>IFERROR(__xludf.DUMMYFUNCTION("""COMPUTED_VALUE"""),40809.666666666664)</f>
        <v>40809.66667</v>
      </c>
      <c r="B8008" s="2">
        <f>IFERROR(__xludf.DUMMYFUNCTION("""COMPUTED_VALUE"""),159.5)</f>
        <v>159.5</v>
      </c>
      <c r="C8008" s="2">
        <f>IFERROR(__xludf.DUMMYFUNCTION("""COMPUTED_VALUE"""),161.94)</f>
        <v>161.94</v>
      </c>
      <c r="D8008" s="2">
        <f>IFERROR(__xludf.DUMMYFUNCTION("""COMPUTED_VALUE"""),158.33)</f>
        <v>158.33</v>
      </c>
      <c r="E8008" s="2">
        <f>IFERROR(__xludf.DUMMYFUNCTION("""COMPUTED_VALUE"""),161.75)</f>
        <v>161.75</v>
      </c>
      <c r="F8008" s="2">
        <f>IFERROR(__xludf.DUMMYFUNCTION("""COMPUTED_VALUE"""),5586589.0)</f>
        <v>5586589</v>
      </c>
    </row>
    <row r="8009">
      <c r="A8009" s="3">
        <f>IFERROR(__xludf.DUMMYFUNCTION("""COMPUTED_VALUE"""),40812.666666666664)</f>
        <v>40812.66667</v>
      </c>
      <c r="B8009" s="2">
        <f>IFERROR(__xludf.DUMMYFUNCTION("""COMPUTED_VALUE"""),163.29)</f>
        <v>163.29</v>
      </c>
      <c r="C8009" s="2">
        <f>IFERROR(__xludf.DUMMYFUNCTION("""COMPUTED_VALUE"""),166.87)</f>
        <v>166.87</v>
      </c>
      <c r="D8009" s="2">
        <f>IFERROR(__xludf.DUMMYFUNCTION("""COMPUTED_VALUE"""),162.24)</f>
        <v>162.24</v>
      </c>
      <c r="E8009" s="2">
        <f>IFERROR(__xludf.DUMMYFUNCTION("""COMPUTED_VALUE"""),166.69)</f>
        <v>166.69</v>
      </c>
      <c r="F8009" s="2">
        <f>IFERROR(__xludf.DUMMYFUNCTION("""COMPUTED_VALUE"""),6745650.0)</f>
        <v>6745650</v>
      </c>
    </row>
    <row r="8010">
      <c r="A8010" s="3">
        <f>IFERROR(__xludf.DUMMYFUNCTION("""COMPUTED_VALUE"""),40813.666666666664)</f>
        <v>40813.66667</v>
      </c>
      <c r="B8010" s="2">
        <f>IFERROR(__xludf.DUMMYFUNCTION("""COMPUTED_VALUE"""),168.89)</f>
        <v>168.89</v>
      </c>
      <c r="C8010" s="2">
        <f>IFERROR(__xludf.DUMMYFUNCTION("""COMPUTED_VALUE"""),171.57)</f>
        <v>171.57</v>
      </c>
      <c r="D8010" s="2">
        <f>IFERROR(__xludf.DUMMYFUNCTION("""COMPUTED_VALUE"""),168.52)</f>
        <v>168.52</v>
      </c>
      <c r="E8010" s="2">
        <f>IFERROR(__xludf.DUMMYFUNCTION("""COMPUTED_VALUE"""),169.74)</f>
        <v>169.74</v>
      </c>
      <c r="F8010" s="2">
        <f>IFERROR(__xludf.DUMMYFUNCTION("""COMPUTED_VALUE"""),7640243.0)</f>
        <v>7640243</v>
      </c>
    </row>
    <row r="8011">
      <c r="A8011" s="3">
        <f>IFERROR(__xludf.DUMMYFUNCTION("""COMPUTED_VALUE"""),40814.666666666664)</f>
        <v>40814.66667</v>
      </c>
      <c r="B8011" s="2">
        <f>IFERROR(__xludf.DUMMYFUNCTION("""COMPUTED_VALUE"""),169.99)</f>
        <v>169.99</v>
      </c>
      <c r="C8011" s="2">
        <f>IFERROR(__xludf.DUMMYFUNCTION("""COMPUTED_VALUE"""),172.65)</f>
        <v>172.65</v>
      </c>
      <c r="D8011" s="2">
        <f>IFERROR(__xludf.DUMMYFUNCTION("""COMPUTED_VALUE"""),169.14)</f>
        <v>169.14</v>
      </c>
      <c r="E8011" s="2">
        <f>IFERROR(__xludf.DUMMYFUNCTION("""COMPUTED_VALUE"""),169.59)</f>
        <v>169.59</v>
      </c>
      <c r="F8011" s="2">
        <f>IFERROR(__xludf.DUMMYFUNCTION("""COMPUTED_VALUE"""),7732274.0)</f>
        <v>7732274</v>
      </c>
    </row>
    <row r="8012">
      <c r="A8012" s="3">
        <f>IFERROR(__xludf.DUMMYFUNCTION("""COMPUTED_VALUE"""),40815.666666666664)</f>
        <v>40815.66667</v>
      </c>
      <c r="B8012" s="2">
        <f>IFERROR(__xludf.DUMMYFUNCTION("""COMPUTED_VALUE"""),171.63)</f>
        <v>171.63</v>
      </c>
      <c r="C8012" s="2">
        <f>IFERROR(__xludf.DUMMYFUNCTION("""COMPUTED_VALUE"""),172.8)</f>
        <v>172.8</v>
      </c>
      <c r="D8012" s="2">
        <f>IFERROR(__xludf.DUMMYFUNCTION("""COMPUTED_VALUE"""),167.66)</f>
        <v>167.66</v>
      </c>
      <c r="E8012" s="2">
        <f>IFERROR(__xludf.DUMMYFUNCTION("""COMPUTED_VALUE"""),171.14)</f>
        <v>171.14</v>
      </c>
      <c r="F8012" s="2">
        <f>IFERROR(__xludf.DUMMYFUNCTION("""COMPUTED_VALUE"""),6944293.0)</f>
        <v>6944293</v>
      </c>
    </row>
    <row r="8013">
      <c r="A8013" s="3">
        <f>IFERROR(__xludf.DUMMYFUNCTION("""COMPUTED_VALUE"""),40816.666666666664)</f>
        <v>40816.66667</v>
      </c>
      <c r="B8013" s="2">
        <f>IFERROR(__xludf.DUMMYFUNCTION("""COMPUTED_VALUE"""),168.12)</f>
        <v>168.12</v>
      </c>
      <c r="C8013" s="2">
        <f>IFERROR(__xludf.DUMMYFUNCTION("""COMPUTED_VALUE"""),170.28)</f>
        <v>170.28</v>
      </c>
      <c r="D8013" s="2">
        <f>IFERROR(__xludf.DUMMYFUNCTION("""COMPUTED_VALUE"""),166.91)</f>
        <v>166.91</v>
      </c>
      <c r="E8013" s="2">
        <f>IFERROR(__xludf.DUMMYFUNCTION("""COMPUTED_VALUE"""),167.03)</f>
        <v>167.03</v>
      </c>
      <c r="F8013" s="2">
        <f>IFERROR(__xludf.DUMMYFUNCTION("""COMPUTED_VALUE"""),7851584.0)</f>
        <v>7851584</v>
      </c>
    </row>
    <row r="8014">
      <c r="A8014" s="3">
        <f>IFERROR(__xludf.DUMMYFUNCTION("""COMPUTED_VALUE"""),40819.666666666664)</f>
        <v>40819.66667</v>
      </c>
      <c r="B8014" s="2">
        <f>IFERROR(__xludf.DUMMYFUNCTION("""COMPUTED_VALUE"""),166.54)</f>
        <v>166.54</v>
      </c>
      <c r="C8014" s="2">
        <f>IFERROR(__xludf.DUMMYFUNCTION("""COMPUTED_VALUE"""),169.94)</f>
        <v>169.94</v>
      </c>
      <c r="D8014" s="2">
        <f>IFERROR(__xludf.DUMMYFUNCTION("""COMPUTED_VALUE"""),165.28)</f>
        <v>165.28</v>
      </c>
      <c r="E8014" s="2">
        <f>IFERROR(__xludf.DUMMYFUNCTION("""COMPUTED_VALUE"""),165.52)</f>
        <v>165.52</v>
      </c>
      <c r="F8014" s="2">
        <f>IFERROR(__xludf.DUMMYFUNCTION("""COMPUTED_VALUE"""),9043214.0)</f>
        <v>9043214</v>
      </c>
    </row>
    <row r="8015">
      <c r="A8015" s="3">
        <f>IFERROR(__xludf.DUMMYFUNCTION("""COMPUTED_VALUE"""),40820.666666666664)</f>
        <v>40820.66667</v>
      </c>
      <c r="B8015" s="2">
        <f>IFERROR(__xludf.DUMMYFUNCTION("""COMPUTED_VALUE"""),163.85)</f>
        <v>163.85</v>
      </c>
      <c r="C8015" s="2">
        <f>IFERROR(__xludf.DUMMYFUNCTION("""COMPUTED_VALUE"""),167.22)</f>
        <v>167.22</v>
      </c>
      <c r="D8015" s="2">
        <f>IFERROR(__xludf.DUMMYFUNCTION("""COMPUTED_VALUE"""),161.31)</f>
        <v>161.31</v>
      </c>
      <c r="E8015" s="2">
        <f>IFERROR(__xludf.DUMMYFUNCTION("""COMPUTED_VALUE"""),166.91)</f>
        <v>166.91</v>
      </c>
      <c r="F8015" s="2">
        <f>IFERROR(__xludf.DUMMYFUNCTION("""COMPUTED_VALUE"""),9175346.0)</f>
        <v>9175346</v>
      </c>
    </row>
    <row r="8016">
      <c r="A8016" s="3">
        <f>IFERROR(__xludf.DUMMYFUNCTION("""COMPUTED_VALUE"""),40821.666666666664)</f>
        <v>40821.66667</v>
      </c>
      <c r="B8016" s="2">
        <f>IFERROR(__xludf.DUMMYFUNCTION("""COMPUTED_VALUE"""),166.74)</f>
        <v>166.74</v>
      </c>
      <c r="C8016" s="2">
        <f>IFERROR(__xludf.DUMMYFUNCTION("""COMPUTED_VALUE"""),169.35)</f>
        <v>169.35</v>
      </c>
      <c r="D8016" s="2">
        <f>IFERROR(__xludf.DUMMYFUNCTION("""COMPUTED_VALUE"""),164.94)</f>
        <v>164.94</v>
      </c>
      <c r="E8016" s="2">
        <f>IFERROR(__xludf.DUMMYFUNCTION("""COMPUTED_VALUE"""),168.92)</f>
        <v>168.92</v>
      </c>
      <c r="F8016" s="2">
        <f>IFERROR(__xludf.DUMMYFUNCTION("""COMPUTED_VALUE"""),5851856.0)</f>
        <v>5851856</v>
      </c>
    </row>
    <row r="8017">
      <c r="A8017" s="3">
        <f>IFERROR(__xludf.DUMMYFUNCTION("""COMPUTED_VALUE"""),40822.666666666664)</f>
        <v>40822.66667</v>
      </c>
      <c r="B8017" s="2">
        <f>IFERROR(__xludf.DUMMYFUNCTION("""COMPUTED_VALUE"""),168.88)</f>
        <v>168.88</v>
      </c>
      <c r="C8017" s="2">
        <f>IFERROR(__xludf.DUMMYFUNCTION("""COMPUTED_VALUE"""),173.83)</f>
        <v>173.83</v>
      </c>
      <c r="D8017" s="2">
        <f>IFERROR(__xludf.DUMMYFUNCTION("""COMPUTED_VALUE"""),167.78)</f>
        <v>167.78</v>
      </c>
      <c r="E8017" s="2">
        <f>IFERROR(__xludf.DUMMYFUNCTION("""COMPUTED_VALUE"""),173.54)</f>
        <v>173.54</v>
      </c>
      <c r="F8017" s="2">
        <f>IFERROR(__xludf.DUMMYFUNCTION("""COMPUTED_VALUE"""),7181124.0)</f>
        <v>7181124</v>
      </c>
    </row>
    <row r="8018">
      <c r="A8018" s="3">
        <f>IFERROR(__xludf.DUMMYFUNCTION("""COMPUTED_VALUE"""),40823.666666666664)</f>
        <v>40823.66667</v>
      </c>
      <c r="B8018" s="2">
        <f>IFERROR(__xludf.DUMMYFUNCTION("""COMPUTED_VALUE"""),174.15)</f>
        <v>174.15</v>
      </c>
      <c r="C8018" s="2">
        <f>IFERROR(__xludf.DUMMYFUNCTION("""COMPUTED_VALUE"""),175.48)</f>
        <v>175.48</v>
      </c>
      <c r="D8018" s="2">
        <f>IFERROR(__xludf.DUMMYFUNCTION("""COMPUTED_VALUE"""),173.5)</f>
        <v>173.5</v>
      </c>
      <c r="E8018" s="2">
        <f>IFERROR(__xludf.DUMMYFUNCTION("""COMPUTED_VALUE"""),174.21)</f>
        <v>174.21</v>
      </c>
      <c r="F8018" s="2">
        <f>IFERROR(__xludf.DUMMYFUNCTION("""COMPUTED_VALUE"""),6842567.0)</f>
        <v>6842567</v>
      </c>
    </row>
    <row r="8019">
      <c r="A8019" s="3">
        <f>IFERROR(__xludf.DUMMYFUNCTION("""COMPUTED_VALUE"""),40826.666666666664)</f>
        <v>40826.66667</v>
      </c>
      <c r="B8019" s="2">
        <f>IFERROR(__xludf.DUMMYFUNCTION("""COMPUTED_VALUE"""),174.8)</f>
        <v>174.8</v>
      </c>
      <c r="C8019" s="2">
        <f>IFERROR(__xludf.DUMMYFUNCTION("""COMPUTED_VALUE"""),178.26)</f>
        <v>178.26</v>
      </c>
      <c r="D8019" s="2">
        <f>IFERROR(__xludf.DUMMYFUNCTION("""COMPUTED_VALUE"""),174.7)</f>
        <v>174.7</v>
      </c>
      <c r="E8019" s="2">
        <f>IFERROR(__xludf.DUMMYFUNCTION("""COMPUTED_VALUE"""),178.25)</f>
        <v>178.25</v>
      </c>
      <c r="F8019" s="2">
        <f>IFERROR(__xludf.DUMMYFUNCTION("""COMPUTED_VALUE"""),5786341.0)</f>
        <v>5786341</v>
      </c>
    </row>
    <row r="8020">
      <c r="A8020" s="3">
        <f>IFERROR(__xludf.DUMMYFUNCTION("""COMPUTED_VALUE"""),40827.666666666664)</f>
        <v>40827.66667</v>
      </c>
      <c r="B8020" s="2">
        <f>IFERROR(__xludf.DUMMYFUNCTION("""COMPUTED_VALUE"""),176.31)</f>
        <v>176.31</v>
      </c>
      <c r="C8020" s="2">
        <f>IFERROR(__xludf.DUMMYFUNCTION("""COMPUTED_VALUE"""),177.66)</f>
        <v>177.66</v>
      </c>
      <c r="D8020" s="2">
        <f>IFERROR(__xludf.DUMMYFUNCTION("""COMPUTED_VALUE"""),175.86)</f>
        <v>175.86</v>
      </c>
      <c r="E8020" s="2">
        <f>IFERROR(__xludf.DUMMYFUNCTION("""COMPUTED_VALUE"""),176.71)</f>
        <v>176.71</v>
      </c>
      <c r="F8020" s="2">
        <f>IFERROR(__xludf.DUMMYFUNCTION("""COMPUTED_VALUE"""),5330581.0)</f>
        <v>5330581</v>
      </c>
    </row>
    <row r="8021">
      <c r="A8021" s="3">
        <f>IFERROR(__xludf.DUMMYFUNCTION("""COMPUTED_VALUE"""),40828.666666666664)</f>
        <v>40828.66667</v>
      </c>
      <c r="B8021" s="2">
        <f>IFERROR(__xludf.DUMMYFUNCTION("""COMPUTED_VALUE"""),177.74)</f>
        <v>177.74</v>
      </c>
      <c r="C8021" s="2">
        <f>IFERROR(__xludf.DUMMYFUNCTION("""COMPUTED_VALUE"""),179.57)</f>
        <v>179.57</v>
      </c>
      <c r="D8021" s="2">
        <f>IFERROR(__xludf.DUMMYFUNCTION("""COMPUTED_VALUE"""),177.33)</f>
        <v>177.33</v>
      </c>
      <c r="E8021" s="2">
        <f>IFERROR(__xludf.DUMMYFUNCTION("""COMPUTED_VALUE"""),177.78)</f>
        <v>177.78</v>
      </c>
      <c r="F8021" s="2">
        <f>IFERROR(__xludf.DUMMYFUNCTION("""COMPUTED_VALUE"""),5338149.0)</f>
        <v>5338149</v>
      </c>
    </row>
    <row r="8022">
      <c r="A8022" s="3">
        <f>IFERROR(__xludf.DUMMYFUNCTION("""COMPUTED_VALUE"""),40829.666666666664)</f>
        <v>40829.66667</v>
      </c>
      <c r="B8022" s="2">
        <f>IFERROR(__xludf.DUMMYFUNCTION("""COMPUTED_VALUE"""),176.68)</f>
        <v>176.68</v>
      </c>
      <c r="C8022" s="2">
        <f>IFERROR(__xludf.DUMMYFUNCTION("""COMPUTED_VALUE"""),179.09)</f>
        <v>179.09</v>
      </c>
      <c r="D8022" s="2">
        <f>IFERROR(__xludf.DUMMYFUNCTION("""COMPUTED_VALUE"""),176.23)</f>
        <v>176.23</v>
      </c>
      <c r="E8022" s="2">
        <f>IFERROR(__xludf.DUMMYFUNCTION("""COMPUTED_VALUE"""),178.44)</f>
        <v>178.44</v>
      </c>
      <c r="F8022" s="2">
        <f>IFERROR(__xludf.DUMMYFUNCTION("""COMPUTED_VALUE"""),4399267.0)</f>
        <v>4399267</v>
      </c>
    </row>
    <row r="8023">
      <c r="A8023" s="3">
        <f>IFERROR(__xludf.DUMMYFUNCTION("""COMPUTED_VALUE"""),40830.666666666664)</f>
        <v>40830.66667</v>
      </c>
      <c r="B8023" s="2">
        <f>IFERROR(__xludf.DUMMYFUNCTION("""COMPUTED_VALUE"""),179.75)</f>
        <v>179.75</v>
      </c>
      <c r="C8023" s="2">
        <f>IFERROR(__xludf.DUMMYFUNCTION("""COMPUTED_VALUE"""),181.99)</f>
        <v>181.99</v>
      </c>
      <c r="D8023" s="2">
        <f>IFERROR(__xludf.DUMMYFUNCTION("""COMPUTED_VALUE"""),179.31)</f>
        <v>179.31</v>
      </c>
      <c r="E8023" s="2">
        <f>IFERROR(__xludf.DUMMYFUNCTION("""COMPUTED_VALUE"""),181.99)</f>
        <v>181.99</v>
      </c>
      <c r="F8023" s="2">
        <f>IFERROR(__xludf.DUMMYFUNCTION("""COMPUTED_VALUE"""),5368616.0)</f>
        <v>5368616</v>
      </c>
    </row>
    <row r="8024">
      <c r="A8024" s="3">
        <f>IFERROR(__xludf.DUMMYFUNCTION("""COMPUTED_VALUE"""),40833.666666666664)</f>
        <v>40833.66667</v>
      </c>
      <c r="B8024" s="2">
        <f>IFERROR(__xludf.DUMMYFUNCTION("""COMPUTED_VALUE"""),181.2)</f>
        <v>181.2</v>
      </c>
      <c r="C8024" s="2">
        <f>IFERROR(__xludf.DUMMYFUNCTION("""COMPUTED_VALUE"""),181.63)</f>
        <v>181.63</v>
      </c>
      <c r="D8024" s="2">
        <f>IFERROR(__xludf.DUMMYFUNCTION("""COMPUTED_VALUE"""),177.56)</f>
        <v>177.56</v>
      </c>
      <c r="E8024" s="2">
        <f>IFERROR(__xludf.DUMMYFUNCTION("""COMPUTED_VALUE"""),178.22)</f>
        <v>178.22</v>
      </c>
      <c r="F8024" s="2">
        <f>IFERROR(__xludf.DUMMYFUNCTION("""COMPUTED_VALUE"""),8790278.0)</f>
        <v>8790278</v>
      </c>
    </row>
    <row r="8025">
      <c r="A8025" s="3">
        <f>IFERROR(__xludf.DUMMYFUNCTION("""COMPUTED_VALUE"""),40834.666666666664)</f>
        <v>40834.66667</v>
      </c>
      <c r="B8025" s="2">
        <f>IFERROR(__xludf.DUMMYFUNCTION("""COMPUTED_VALUE"""),170.02)</f>
        <v>170.02</v>
      </c>
      <c r="C8025" s="2">
        <f>IFERROR(__xludf.DUMMYFUNCTION("""COMPUTED_VALUE"""),171.34)</f>
        <v>171.34</v>
      </c>
      <c r="D8025" s="2">
        <f>IFERROR(__xludf.DUMMYFUNCTION("""COMPUTED_VALUE"""),168.35)</f>
        <v>168.35</v>
      </c>
      <c r="E8025" s="2">
        <f>IFERROR(__xludf.DUMMYFUNCTION("""COMPUTED_VALUE"""),170.88)</f>
        <v>170.88</v>
      </c>
      <c r="F8025" s="2">
        <f>IFERROR(__xludf.DUMMYFUNCTION("""COMPUTED_VALUE"""),1.5729689E7)</f>
        <v>15729689</v>
      </c>
    </row>
    <row r="8026">
      <c r="A8026" s="3">
        <f>IFERROR(__xludf.DUMMYFUNCTION("""COMPUTED_VALUE"""),40835.666666666664)</f>
        <v>40835.66667</v>
      </c>
      <c r="B8026" s="2">
        <f>IFERROR(__xludf.DUMMYFUNCTION("""COMPUTED_VALUE"""),171.62)</f>
        <v>171.62</v>
      </c>
      <c r="C8026" s="2">
        <f>IFERROR(__xludf.DUMMYFUNCTION("""COMPUTED_VALUE"""),171.75)</f>
        <v>171.75</v>
      </c>
      <c r="D8026" s="2">
        <f>IFERROR(__xludf.DUMMYFUNCTION("""COMPUTED_VALUE"""),169.07)</f>
        <v>169.07</v>
      </c>
      <c r="E8026" s="2">
        <f>IFERROR(__xludf.DUMMYFUNCTION("""COMPUTED_VALUE"""),169.44)</f>
        <v>169.44</v>
      </c>
      <c r="F8026" s="2">
        <f>IFERROR(__xludf.DUMMYFUNCTION("""COMPUTED_VALUE"""),6708371.0)</f>
        <v>6708371</v>
      </c>
    </row>
    <row r="8027">
      <c r="A8027" s="3">
        <f>IFERROR(__xludf.DUMMYFUNCTION("""COMPUTED_VALUE"""),40836.666666666664)</f>
        <v>40836.66667</v>
      </c>
      <c r="B8027" s="2">
        <f>IFERROR(__xludf.DUMMYFUNCTION("""COMPUTED_VALUE"""),170.14)</f>
        <v>170.14</v>
      </c>
      <c r="C8027" s="2">
        <f>IFERROR(__xludf.DUMMYFUNCTION("""COMPUTED_VALUE"""),171.2)</f>
        <v>171.2</v>
      </c>
      <c r="D8027" s="2">
        <f>IFERROR(__xludf.DUMMYFUNCTION("""COMPUTED_VALUE"""),168.27)</f>
        <v>168.27</v>
      </c>
      <c r="E8027" s="2">
        <f>IFERROR(__xludf.DUMMYFUNCTION("""COMPUTED_VALUE"""),169.3)</f>
        <v>169.3</v>
      </c>
      <c r="F8027" s="2">
        <f>IFERROR(__xludf.DUMMYFUNCTION("""COMPUTED_VALUE"""),7514283.0)</f>
        <v>7514283</v>
      </c>
    </row>
    <row r="8028">
      <c r="A8028" s="3">
        <f>IFERROR(__xludf.DUMMYFUNCTION("""COMPUTED_VALUE"""),40837.666666666664)</f>
        <v>40837.66667</v>
      </c>
      <c r="B8028" s="2">
        <f>IFERROR(__xludf.DUMMYFUNCTION("""COMPUTED_VALUE"""),171.08)</f>
        <v>171.08</v>
      </c>
      <c r="C8028" s="2">
        <f>IFERROR(__xludf.DUMMYFUNCTION("""COMPUTED_VALUE"""),173.52)</f>
        <v>173.52</v>
      </c>
      <c r="D8028" s="2">
        <f>IFERROR(__xludf.DUMMYFUNCTION("""COMPUTED_VALUE"""),170.74)</f>
        <v>170.74</v>
      </c>
      <c r="E8028" s="2">
        <f>IFERROR(__xludf.DUMMYFUNCTION("""COMPUTED_VALUE"""),173.49)</f>
        <v>173.49</v>
      </c>
      <c r="F8028" s="2">
        <f>IFERROR(__xludf.DUMMYFUNCTION("""COMPUTED_VALUE"""),8055801.0)</f>
        <v>8055801</v>
      </c>
    </row>
    <row r="8029">
      <c r="A8029" s="3">
        <f>IFERROR(__xludf.DUMMYFUNCTION("""COMPUTED_VALUE"""),40840.666666666664)</f>
        <v>40840.66667</v>
      </c>
      <c r="B8029" s="2">
        <f>IFERROR(__xludf.DUMMYFUNCTION("""COMPUTED_VALUE"""),173.37)</f>
        <v>173.37</v>
      </c>
      <c r="C8029" s="2">
        <f>IFERROR(__xludf.DUMMYFUNCTION("""COMPUTED_VALUE"""),175.17)</f>
        <v>175.17</v>
      </c>
      <c r="D8029" s="2">
        <f>IFERROR(__xludf.DUMMYFUNCTION("""COMPUTED_VALUE"""),172.52)</f>
        <v>172.52</v>
      </c>
      <c r="E8029" s="2">
        <f>IFERROR(__xludf.DUMMYFUNCTION("""COMPUTED_VALUE"""),174.08)</f>
        <v>174.08</v>
      </c>
      <c r="F8029" s="2">
        <f>IFERROR(__xludf.DUMMYFUNCTION("""COMPUTED_VALUE"""),5891258.0)</f>
        <v>5891258</v>
      </c>
    </row>
    <row r="8030">
      <c r="A8030" s="3">
        <f>IFERROR(__xludf.DUMMYFUNCTION("""COMPUTED_VALUE"""),40841.666666666664)</f>
        <v>40841.66667</v>
      </c>
      <c r="B8030" s="2">
        <f>IFERROR(__xludf.DUMMYFUNCTION("""COMPUTED_VALUE"""),173.52)</f>
        <v>173.52</v>
      </c>
      <c r="C8030" s="2">
        <f>IFERROR(__xludf.DUMMYFUNCTION("""COMPUTED_VALUE"""),174.77)</f>
        <v>174.77</v>
      </c>
      <c r="D8030" s="2">
        <f>IFERROR(__xludf.DUMMYFUNCTION("""COMPUTED_VALUE"""),171.94)</f>
        <v>171.94</v>
      </c>
      <c r="E8030" s="2">
        <f>IFERROR(__xludf.DUMMYFUNCTION("""COMPUTED_VALUE"""),172.27)</f>
        <v>172.27</v>
      </c>
      <c r="F8030" s="2">
        <f>IFERROR(__xludf.DUMMYFUNCTION("""COMPUTED_VALUE"""),5374054.0)</f>
        <v>5374054</v>
      </c>
    </row>
    <row r="8031">
      <c r="A8031" s="3">
        <f>IFERROR(__xludf.DUMMYFUNCTION("""COMPUTED_VALUE"""),40842.666666666664)</f>
        <v>40842.66667</v>
      </c>
      <c r="B8031" s="2">
        <f>IFERROR(__xludf.DUMMYFUNCTION("""COMPUTED_VALUE"""),173.59)</f>
        <v>173.59</v>
      </c>
      <c r="C8031" s="2">
        <f>IFERROR(__xludf.DUMMYFUNCTION("""COMPUTED_VALUE"""),174.11)</f>
        <v>174.11</v>
      </c>
      <c r="D8031" s="2">
        <f>IFERROR(__xludf.DUMMYFUNCTION("""COMPUTED_VALUE"""),171.0)</f>
        <v>171</v>
      </c>
      <c r="E8031" s="2">
        <f>IFERROR(__xludf.DUMMYFUNCTION("""COMPUTED_VALUE"""),173.81)</f>
        <v>173.81</v>
      </c>
      <c r="F8031" s="2">
        <f>IFERROR(__xludf.DUMMYFUNCTION("""COMPUTED_VALUE"""),5387883.0)</f>
        <v>5387883</v>
      </c>
    </row>
    <row r="8032">
      <c r="A8032" s="3">
        <f>IFERROR(__xludf.DUMMYFUNCTION("""COMPUTED_VALUE"""),40843.666666666664)</f>
        <v>40843.66667</v>
      </c>
      <c r="B8032" s="2">
        <f>IFERROR(__xludf.DUMMYFUNCTION("""COMPUTED_VALUE"""),176.7)</f>
        <v>176.7</v>
      </c>
      <c r="C8032" s="2">
        <f>IFERROR(__xludf.DUMMYFUNCTION("""COMPUTED_VALUE"""),178.62)</f>
        <v>178.62</v>
      </c>
      <c r="D8032" s="2">
        <f>IFERROR(__xludf.DUMMYFUNCTION("""COMPUTED_VALUE"""),174.97)</f>
        <v>174.97</v>
      </c>
      <c r="E8032" s="2">
        <f>IFERROR(__xludf.DUMMYFUNCTION("""COMPUTED_VALUE"""),177.99)</f>
        <v>177.99</v>
      </c>
      <c r="F8032" s="2">
        <f>IFERROR(__xludf.DUMMYFUNCTION("""COMPUTED_VALUE"""),7057876.0)</f>
        <v>7057876</v>
      </c>
    </row>
    <row r="8033">
      <c r="A8033" s="3">
        <f>IFERROR(__xludf.DUMMYFUNCTION("""COMPUTED_VALUE"""),40844.666666666664)</f>
        <v>40844.66667</v>
      </c>
      <c r="B8033" s="2">
        <f>IFERROR(__xludf.DUMMYFUNCTION("""COMPUTED_VALUE"""),177.25)</f>
        <v>177.25</v>
      </c>
      <c r="C8033" s="2">
        <f>IFERROR(__xludf.DUMMYFUNCTION("""COMPUTED_VALUE"""),179.64)</f>
        <v>179.64</v>
      </c>
      <c r="D8033" s="2">
        <f>IFERROR(__xludf.DUMMYFUNCTION("""COMPUTED_VALUE"""),176.97)</f>
        <v>176.97</v>
      </c>
      <c r="E8033" s="2">
        <f>IFERROR(__xludf.DUMMYFUNCTION("""COMPUTED_VALUE"""),179.05)</f>
        <v>179.05</v>
      </c>
      <c r="F8033" s="2">
        <f>IFERROR(__xludf.DUMMYFUNCTION("""COMPUTED_VALUE"""),5009820.0)</f>
        <v>5009820</v>
      </c>
    </row>
    <row r="8034">
      <c r="A8034" s="3">
        <f>IFERROR(__xludf.DUMMYFUNCTION("""COMPUTED_VALUE"""),40847.666666666664)</f>
        <v>40847.66667</v>
      </c>
      <c r="B8034" s="2">
        <f>IFERROR(__xludf.DUMMYFUNCTION("""COMPUTED_VALUE"""),177.27)</f>
        <v>177.27</v>
      </c>
      <c r="C8034" s="2">
        <f>IFERROR(__xludf.DUMMYFUNCTION("""COMPUTED_VALUE"""),178.53)</f>
        <v>178.53</v>
      </c>
      <c r="D8034" s="2">
        <f>IFERROR(__xludf.DUMMYFUNCTION("""COMPUTED_VALUE"""),176.35)</f>
        <v>176.35</v>
      </c>
      <c r="E8034" s="2">
        <f>IFERROR(__xludf.DUMMYFUNCTION("""COMPUTED_VALUE"""),176.35)</f>
        <v>176.35</v>
      </c>
      <c r="F8034" s="2">
        <f>IFERROR(__xludf.DUMMYFUNCTION("""COMPUTED_VALUE"""),4709968.0)</f>
        <v>4709968</v>
      </c>
    </row>
    <row r="8035">
      <c r="A8035" s="3">
        <f>IFERROR(__xludf.DUMMYFUNCTION("""COMPUTED_VALUE"""),40848.666666666664)</f>
        <v>40848.66667</v>
      </c>
      <c r="B8035" s="2">
        <f>IFERROR(__xludf.DUMMYFUNCTION("""COMPUTED_VALUE"""),173.41)</f>
        <v>173.41</v>
      </c>
      <c r="C8035" s="2">
        <f>IFERROR(__xludf.DUMMYFUNCTION("""COMPUTED_VALUE"""),175.04)</f>
        <v>175.04</v>
      </c>
      <c r="D8035" s="2">
        <f>IFERROR(__xludf.DUMMYFUNCTION("""COMPUTED_VALUE"""),172.64)</f>
        <v>172.64</v>
      </c>
      <c r="E8035" s="2">
        <f>IFERROR(__xludf.DUMMYFUNCTION("""COMPUTED_VALUE"""),173.22)</f>
        <v>173.22</v>
      </c>
      <c r="F8035" s="2">
        <f>IFERROR(__xludf.DUMMYFUNCTION("""COMPUTED_VALUE"""),5883336.0)</f>
        <v>5883336</v>
      </c>
    </row>
    <row r="8036">
      <c r="A8036" s="3">
        <f>IFERROR(__xludf.DUMMYFUNCTION("""COMPUTED_VALUE"""),40849.666666666664)</f>
        <v>40849.66667</v>
      </c>
      <c r="B8036" s="2">
        <f>IFERROR(__xludf.DUMMYFUNCTION("""COMPUTED_VALUE"""),175.75)</f>
        <v>175.75</v>
      </c>
      <c r="C8036" s="2">
        <f>IFERROR(__xludf.DUMMYFUNCTION("""COMPUTED_VALUE"""),176.94)</f>
        <v>176.94</v>
      </c>
      <c r="D8036" s="2">
        <f>IFERROR(__xludf.DUMMYFUNCTION("""COMPUTED_VALUE"""),174.82)</f>
        <v>174.82</v>
      </c>
      <c r="E8036" s="2">
        <f>IFERROR(__xludf.DUMMYFUNCTION("""COMPUTED_VALUE"""),175.67)</f>
        <v>175.67</v>
      </c>
      <c r="F8036" s="2">
        <f>IFERROR(__xludf.DUMMYFUNCTION("""COMPUTED_VALUE"""),4136703.0)</f>
        <v>4136703</v>
      </c>
    </row>
    <row r="8037">
      <c r="A8037" s="3">
        <f>IFERROR(__xludf.DUMMYFUNCTION("""COMPUTED_VALUE"""),40850.666666666664)</f>
        <v>40850.66667</v>
      </c>
      <c r="B8037" s="2">
        <f>IFERROR(__xludf.DUMMYFUNCTION("""COMPUTED_VALUE"""),176.83)</f>
        <v>176.83</v>
      </c>
      <c r="C8037" s="2">
        <f>IFERROR(__xludf.DUMMYFUNCTION("""COMPUTED_VALUE"""),179.36)</f>
        <v>179.36</v>
      </c>
      <c r="D8037" s="2">
        <f>IFERROR(__xludf.DUMMYFUNCTION("""COMPUTED_VALUE"""),175.77)</f>
        <v>175.77</v>
      </c>
      <c r="E8037" s="2">
        <f>IFERROR(__xludf.DUMMYFUNCTION("""COMPUTED_VALUE"""),178.9)</f>
        <v>178.9</v>
      </c>
      <c r="F8037" s="2">
        <f>IFERROR(__xludf.DUMMYFUNCTION("""COMPUTED_VALUE"""),4953637.0)</f>
        <v>4953637</v>
      </c>
    </row>
    <row r="8038">
      <c r="A8038" s="3">
        <f>IFERROR(__xludf.DUMMYFUNCTION("""COMPUTED_VALUE"""),40851.666666666664)</f>
        <v>40851.66667</v>
      </c>
      <c r="B8038" s="2">
        <f>IFERROR(__xludf.DUMMYFUNCTION("""COMPUTED_VALUE"""),177.92)</f>
        <v>177.92</v>
      </c>
      <c r="C8038" s="2">
        <f>IFERROR(__xludf.DUMMYFUNCTION("""COMPUTED_VALUE"""),178.75)</f>
        <v>178.75</v>
      </c>
      <c r="D8038" s="2">
        <f>IFERROR(__xludf.DUMMYFUNCTION("""COMPUTED_VALUE"""),176.46)</f>
        <v>176.46</v>
      </c>
      <c r="E8038" s="2">
        <f>IFERROR(__xludf.DUMMYFUNCTION("""COMPUTED_VALUE"""),178.02)</f>
        <v>178.02</v>
      </c>
      <c r="F8038" s="2">
        <f>IFERROR(__xludf.DUMMYFUNCTION("""COMPUTED_VALUE"""),3237874.0)</f>
        <v>3237874</v>
      </c>
    </row>
    <row r="8039">
      <c r="A8039" s="3">
        <f>IFERROR(__xludf.DUMMYFUNCTION("""COMPUTED_VALUE"""),40854.666666666664)</f>
        <v>40854.66667</v>
      </c>
      <c r="B8039" s="2">
        <f>IFERROR(__xludf.DUMMYFUNCTION("""COMPUTED_VALUE"""),177.87)</f>
        <v>177.87</v>
      </c>
      <c r="C8039" s="2">
        <f>IFERROR(__xludf.DUMMYFUNCTION("""COMPUTED_VALUE"""),179.31)</f>
        <v>179.31</v>
      </c>
      <c r="D8039" s="2">
        <f>IFERROR(__xludf.DUMMYFUNCTION("""COMPUTED_VALUE"""),176.47)</f>
        <v>176.47</v>
      </c>
      <c r="E8039" s="2">
        <f>IFERROR(__xludf.DUMMYFUNCTION("""COMPUTED_VALUE"""),178.92)</f>
        <v>178.92</v>
      </c>
      <c r="F8039" s="2">
        <f>IFERROR(__xludf.DUMMYFUNCTION("""COMPUTED_VALUE"""),3531095.0)</f>
        <v>3531095</v>
      </c>
    </row>
    <row r="8040">
      <c r="A8040" s="3">
        <f>IFERROR(__xludf.DUMMYFUNCTION("""COMPUTED_VALUE"""),40855.666666666664)</f>
        <v>40855.66667</v>
      </c>
      <c r="B8040" s="2">
        <f>IFERROR(__xludf.DUMMYFUNCTION("""COMPUTED_VALUE"""),179.07)</f>
        <v>179.07</v>
      </c>
      <c r="C8040" s="2">
        <f>IFERROR(__xludf.DUMMYFUNCTION("""COMPUTED_VALUE"""),179.46)</f>
        <v>179.46</v>
      </c>
      <c r="D8040" s="2">
        <f>IFERROR(__xludf.DUMMYFUNCTION("""COMPUTED_VALUE"""),177.19)</f>
        <v>177.19</v>
      </c>
      <c r="E8040" s="2">
        <f>IFERROR(__xludf.DUMMYFUNCTION("""COMPUTED_VALUE"""),178.85)</f>
        <v>178.85</v>
      </c>
      <c r="F8040" s="2">
        <f>IFERROR(__xludf.DUMMYFUNCTION("""COMPUTED_VALUE"""),4331568.0)</f>
        <v>4331568</v>
      </c>
    </row>
    <row r="8041">
      <c r="A8041" s="3">
        <f>IFERROR(__xludf.DUMMYFUNCTION("""COMPUTED_VALUE"""),40856.666666666664)</f>
        <v>40856.66667</v>
      </c>
      <c r="B8041" s="2">
        <f>IFERROR(__xludf.DUMMYFUNCTION("""COMPUTED_VALUE"""),175.94)</f>
        <v>175.94</v>
      </c>
      <c r="C8041" s="2">
        <f>IFERROR(__xludf.DUMMYFUNCTION("""COMPUTED_VALUE"""),176.93)</f>
        <v>176.93</v>
      </c>
      <c r="D8041" s="2">
        <f>IFERROR(__xludf.DUMMYFUNCTION("""COMPUTED_VALUE"""),173.04)</f>
        <v>173.04</v>
      </c>
      <c r="E8041" s="2">
        <f>IFERROR(__xludf.DUMMYFUNCTION("""COMPUTED_VALUE"""),174.07)</f>
        <v>174.07</v>
      </c>
      <c r="F8041" s="2">
        <f>IFERROR(__xludf.DUMMYFUNCTION("""COMPUTED_VALUE"""),5495014.0)</f>
        <v>5495014</v>
      </c>
    </row>
    <row r="8042">
      <c r="A8042" s="3">
        <f>IFERROR(__xludf.DUMMYFUNCTION("""COMPUTED_VALUE"""),40857.666666666664)</f>
        <v>40857.66667</v>
      </c>
      <c r="B8042" s="2">
        <f>IFERROR(__xludf.DUMMYFUNCTION("""COMPUTED_VALUE"""),175.35)</f>
        <v>175.35</v>
      </c>
      <c r="C8042" s="2">
        <f>IFERROR(__xludf.DUMMYFUNCTION("""COMPUTED_VALUE"""),176.49)</f>
        <v>176.49</v>
      </c>
      <c r="D8042" s="2">
        <f>IFERROR(__xludf.DUMMYFUNCTION("""COMPUTED_VALUE"""),173.72)</f>
        <v>173.72</v>
      </c>
      <c r="E8042" s="2">
        <f>IFERROR(__xludf.DUMMYFUNCTION("""COMPUTED_VALUE"""),175.13)</f>
        <v>175.13</v>
      </c>
      <c r="F8042" s="2">
        <f>IFERROR(__xludf.DUMMYFUNCTION("""COMPUTED_VALUE"""),3881958.0)</f>
        <v>3881958</v>
      </c>
    </row>
    <row r="8043">
      <c r="A8043" s="3">
        <f>IFERROR(__xludf.DUMMYFUNCTION("""COMPUTED_VALUE"""),40858.666666666664)</f>
        <v>40858.66667</v>
      </c>
      <c r="B8043" s="2">
        <f>IFERROR(__xludf.DUMMYFUNCTION("""COMPUTED_VALUE"""),176.96)</f>
        <v>176.96</v>
      </c>
      <c r="C8043" s="2">
        <f>IFERROR(__xludf.DUMMYFUNCTION("""COMPUTED_VALUE"""),179.41)</f>
        <v>179.41</v>
      </c>
      <c r="D8043" s="2">
        <f>IFERROR(__xludf.DUMMYFUNCTION("""COMPUTED_VALUE"""),176.84)</f>
        <v>176.84</v>
      </c>
      <c r="E8043" s="2">
        <f>IFERROR(__xludf.DUMMYFUNCTION("""COMPUTED_VALUE"""),178.98)</f>
        <v>178.98</v>
      </c>
      <c r="F8043" s="2">
        <f>IFERROR(__xludf.DUMMYFUNCTION("""COMPUTED_VALUE"""),3665309.0)</f>
        <v>3665309</v>
      </c>
    </row>
    <row r="8044">
      <c r="A8044" s="3">
        <f>IFERROR(__xludf.DUMMYFUNCTION("""COMPUTED_VALUE"""),40861.666666666664)</f>
        <v>40861.66667</v>
      </c>
      <c r="B8044" s="2">
        <f>IFERROR(__xludf.DUMMYFUNCTION("""COMPUTED_VALUE"""),180.69)</f>
        <v>180.69</v>
      </c>
      <c r="C8044" s="2">
        <f>IFERROR(__xludf.DUMMYFUNCTION("""COMPUTED_VALUE"""),181.33)</f>
        <v>181.33</v>
      </c>
      <c r="D8044" s="2">
        <f>IFERROR(__xludf.DUMMYFUNCTION("""COMPUTED_VALUE"""),178.47)</f>
        <v>178.47</v>
      </c>
      <c r="E8044" s="2">
        <f>IFERROR(__xludf.DUMMYFUNCTION("""COMPUTED_VALUE"""),178.95)</f>
        <v>178.95</v>
      </c>
      <c r="F8044" s="2">
        <f>IFERROR(__xludf.DUMMYFUNCTION("""COMPUTED_VALUE"""),6047079.0)</f>
        <v>6047079</v>
      </c>
    </row>
    <row r="8045">
      <c r="A8045" s="3">
        <f>IFERROR(__xludf.DUMMYFUNCTION("""COMPUTED_VALUE"""),40862.666666666664)</f>
        <v>40862.66667</v>
      </c>
      <c r="B8045" s="2">
        <f>IFERROR(__xludf.DUMMYFUNCTION("""COMPUTED_VALUE"""),179.08)</f>
        <v>179.08</v>
      </c>
      <c r="C8045" s="2">
        <f>IFERROR(__xludf.DUMMYFUNCTION("""COMPUTED_VALUE"""),181.45)</f>
        <v>181.45</v>
      </c>
      <c r="D8045" s="2">
        <f>IFERROR(__xludf.DUMMYFUNCTION("""COMPUTED_VALUE"""),177.32)</f>
        <v>177.32</v>
      </c>
      <c r="E8045" s="2">
        <f>IFERROR(__xludf.DUMMYFUNCTION("""COMPUTED_VALUE"""),180.29)</f>
        <v>180.29</v>
      </c>
      <c r="F8045" s="2">
        <f>IFERROR(__xludf.DUMMYFUNCTION("""COMPUTED_VALUE"""),4585232.0)</f>
        <v>4585232</v>
      </c>
    </row>
    <row r="8046">
      <c r="A8046" s="3">
        <f>IFERROR(__xludf.DUMMYFUNCTION("""COMPUTED_VALUE"""),40863.666666666664)</f>
        <v>40863.66667</v>
      </c>
      <c r="B8046" s="2">
        <f>IFERROR(__xludf.DUMMYFUNCTION("""COMPUTED_VALUE"""),179.4)</f>
        <v>179.4</v>
      </c>
      <c r="C8046" s="2">
        <f>IFERROR(__xludf.DUMMYFUNCTION("""COMPUTED_VALUE"""),181.39)</f>
        <v>181.39</v>
      </c>
      <c r="D8046" s="2">
        <f>IFERROR(__xludf.DUMMYFUNCTION("""COMPUTED_VALUE"""),177.95)</f>
        <v>177.95</v>
      </c>
      <c r="E8046" s="2">
        <f>IFERROR(__xludf.DUMMYFUNCTION("""COMPUTED_VALUE"""),178.25)</f>
        <v>178.25</v>
      </c>
      <c r="F8046" s="2">
        <f>IFERROR(__xludf.DUMMYFUNCTION("""COMPUTED_VALUE"""),4619536.0)</f>
        <v>4619536</v>
      </c>
    </row>
    <row r="8047">
      <c r="A8047" s="3">
        <f>IFERROR(__xludf.DUMMYFUNCTION("""COMPUTED_VALUE"""),40864.666666666664)</f>
        <v>40864.66667</v>
      </c>
      <c r="B8047" s="2">
        <f>IFERROR(__xludf.DUMMYFUNCTION("""COMPUTED_VALUE"""),178.43)</f>
        <v>178.43</v>
      </c>
      <c r="C8047" s="2">
        <f>IFERROR(__xludf.DUMMYFUNCTION("""COMPUTED_VALUE"""),180.36)</f>
        <v>180.36</v>
      </c>
      <c r="D8047" s="2">
        <f>IFERROR(__xludf.DUMMYFUNCTION("""COMPUTED_VALUE"""),175.17)</f>
        <v>175.17</v>
      </c>
      <c r="E8047" s="2">
        <f>IFERROR(__xludf.DUMMYFUNCTION("""COMPUTED_VALUE"""),177.4)</f>
        <v>177.4</v>
      </c>
      <c r="F8047" s="2">
        <f>IFERROR(__xludf.DUMMYFUNCTION("""COMPUTED_VALUE"""),5840520.0)</f>
        <v>5840520</v>
      </c>
    </row>
    <row r="8048">
      <c r="A8048" s="3">
        <f>IFERROR(__xludf.DUMMYFUNCTION("""COMPUTED_VALUE"""),40865.666666666664)</f>
        <v>40865.66667</v>
      </c>
      <c r="B8048" s="2">
        <f>IFERROR(__xludf.DUMMYFUNCTION("""COMPUTED_VALUE"""),178.34)</f>
        <v>178.34</v>
      </c>
      <c r="C8048" s="2">
        <f>IFERROR(__xludf.DUMMYFUNCTION("""COMPUTED_VALUE"""),178.59)</f>
        <v>178.59</v>
      </c>
      <c r="D8048" s="2">
        <f>IFERROR(__xludf.DUMMYFUNCTION("""COMPUTED_VALUE"""),176.38)</f>
        <v>176.38</v>
      </c>
      <c r="E8048" s="2">
        <f>IFERROR(__xludf.DUMMYFUNCTION("""COMPUTED_VALUE"""),176.93)</f>
        <v>176.93</v>
      </c>
      <c r="F8048" s="2">
        <f>IFERROR(__xludf.DUMMYFUNCTION("""COMPUTED_VALUE"""),4441334.0)</f>
        <v>4441334</v>
      </c>
    </row>
    <row r="8049">
      <c r="A8049" s="3">
        <f>IFERROR(__xludf.DUMMYFUNCTION("""COMPUTED_VALUE"""),40868.666666666664)</f>
        <v>40868.66667</v>
      </c>
      <c r="B8049" s="2">
        <f>IFERROR(__xludf.DUMMYFUNCTION("""COMPUTED_VALUE"""),175.15)</f>
        <v>175.15</v>
      </c>
      <c r="C8049" s="2">
        <f>IFERROR(__xludf.DUMMYFUNCTION("""COMPUTED_VALUE"""),175.71)</f>
        <v>175.71</v>
      </c>
      <c r="D8049" s="2">
        <f>IFERROR(__xludf.DUMMYFUNCTION("""COMPUTED_VALUE"""),171.93)</f>
        <v>171.93</v>
      </c>
      <c r="E8049" s="2">
        <f>IFERROR(__xludf.DUMMYFUNCTION("""COMPUTED_VALUE"""),173.34)</f>
        <v>173.34</v>
      </c>
      <c r="F8049" s="2">
        <f>IFERROR(__xludf.DUMMYFUNCTION("""COMPUTED_VALUE"""),5145072.0)</f>
        <v>5145072</v>
      </c>
    </row>
    <row r="8050">
      <c r="A8050" s="3">
        <f>IFERROR(__xludf.DUMMYFUNCTION("""COMPUTED_VALUE"""),40869.666666666664)</f>
        <v>40869.66667</v>
      </c>
      <c r="B8050" s="2">
        <f>IFERROR(__xludf.DUMMYFUNCTION("""COMPUTED_VALUE"""),174.05)</f>
        <v>174.05</v>
      </c>
      <c r="C8050" s="2">
        <f>IFERROR(__xludf.DUMMYFUNCTION("""COMPUTED_VALUE"""),174.78)</f>
        <v>174.78</v>
      </c>
      <c r="D8050" s="2">
        <f>IFERROR(__xludf.DUMMYFUNCTION("""COMPUTED_VALUE"""),172.21)</f>
        <v>172.21</v>
      </c>
      <c r="E8050" s="2">
        <f>IFERROR(__xludf.DUMMYFUNCTION("""COMPUTED_VALUE"""),173.18)</f>
        <v>173.18</v>
      </c>
      <c r="F8050" s="2">
        <f>IFERROR(__xludf.DUMMYFUNCTION("""COMPUTED_VALUE"""),4179063.0)</f>
        <v>4179063</v>
      </c>
    </row>
    <row r="8051">
      <c r="A8051" s="3">
        <f>IFERROR(__xludf.DUMMYFUNCTION("""COMPUTED_VALUE"""),40870.666666666664)</f>
        <v>40870.66667</v>
      </c>
      <c r="B8051" s="2">
        <f>IFERROR(__xludf.DUMMYFUNCTION("""COMPUTED_VALUE"""),172.57)</f>
        <v>172.57</v>
      </c>
      <c r="C8051" s="2">
        <f>IFERROR(__xludf.DUMMYFUNCTION("""COMPUTED_VALUE"""),173.35)</f>
        <v>173.35</v>
      </c>
      <c r="D8051" s="2">
        <f>IFERROR(__xludf.DUMMYFUNCTION("""COMPUTED_VALUE"""),169.56)</f>
        <v>169.56</v>
      </c>
      <c r="E8051" s="2">
        <f>IFERROR(__xludf.DUMMYFUNCTION("""COMPUTED_VALUE"""),169.97)</f>
        <v>169.97</v>
      </c>
      <c r="F8051" s="2">
        <f>IFERROR(__xludf.DUMMYFUNCTION("""COMPUTED_VALUE"""),4802040.0)</f>
        <v>4802040</v>
      </c>
    </row>
    <row r="8052">
      <c r="A8052" s="3">
        <f>IFERROR(__xludf.DUMMYFUNCTION("""COMPUTED_VALUE"""),40872.666666666664)</f>
        <v>40872.66667</v>
      </c>
      <c r="B8052" s="2">
        <f>IFERROR(__xludf.DUMMYFUNCTION("""COMPUTED_VALUE"""),170.03)</f>
        <v>170.03</v>
      </c>
      <c r="C8052" s="2">
        <f>IFERROR(__xludf.DUMMYFUNCTION("""COMPUTED_VALUE"""),171.51)</f>
        <v>171.51</v>
      </c>
      <c r="D8052" s="2">
        <f>IFERROR(__xludf.DUMMYFUNCTION("""COMPUTED_VALUE"""),169.12)</f>
        <v>169.12</v>
      </c>
      <c r="E8052" s="2">
        <f>IFERROR(__xludf.DUMMYFUNCTION("""COMPUTED_VALUE"""),169.12)</f>
        <v>169.12</v>
      </c>
      <c r="F8052" s="2">
        <f>IFERROR(__xludf.DUMMYFUNCTION("""COMPUTED_VALUE"""),2232713.0)</f>
        <v>2232713</v>
      </c>
    </row>
    <row r="8053">
      <c r="A8053" s="3">
        <f>IFERROR(__xludf.DUMMYFUNCTION("""COMPUTED_VALUE"""),40875.666666666664)</f>
        <v>40875.66667</v>
      </c>
      <c r="B8053" s="2">
        <f>IFERROR(__xludf.DUMMYFUNCTION("""COMPUTED_VALUE"""),174.52)</f>
        <v>174.52</v>
      </c>
      <c r="C8053" s="2">
        <f>IFERROR(__xludf.DUMMYFUNCTION("""COMPUTED_VALUE"""),174.73)</f>
        <v>174.73</v>
      </c>
      <c r="D8053" s="2">
        <f>IFERROR(__xludf.DUMMYFUNCTION("""COMPUTED_VALUE"""),172.57)</f>
        <v>172.57</v>
      </c>
      <c r="E8053" s="2">
        <f>IFERROR(__xludf.DUMMYFUNCTION("""COMPUTED_VALUE"""),174.04)</f>
        <v>174.04</v>
      </c>
      <c r="F8053" s="2">
        <f>IFERROR(__xludf.DUMMYFUNCTION("""COMPUTED_VALUE"""),4524289.0)</f>
        <v>4524289</v>
      </c>
    </row>
    <row r="8054">
      <c r="A8054" s="3">
        <f>IFERROR(__xludf.DUMMYFUNCTION("""COMPUTED_VALUE"""),40876.666666666664)</f>
        <v>40876.66667</v>
      </c>
      <c r="B8054" s="2">
        <f>IFERROR(__xludf.DUMMYFUNCTION("""COMPUTED_VALUE"""),173.86)</f>
        <v>173.86</v>
      </c>
      <c r="C8054" s="2">
        <f>IFERROR(__xludf.DUMMYFUNCTION("""COMPUTED_VALUE"""),175.09)</f>
        <v>175.09</v>
      </c>
      <c r="D8054" s="2">
        <f>IFERROR(__xludf.DUMMYFUNCTION("""COMPUTED_VALUE"""),172.73)</f>
        <v>172.73</v>
      </c>
      <c r="E8054" s="2">
        <f>IFERROR(__xludf.DUMMYFUNCTION("""COMPUTED_VALUE"""),172.83)</f>
        <v>172.83</v>
      </c>
      <c r="F8054" s="2">
        <f>IFERROR(__xludf.DUMMYFUNCTION("""COMPUTED_VALUE"""),3662066.0)</f>
        <v>3662066</v>
      </c>
    </row>
    <row r="8055">
      <c r="A8055" s="3">
        <f>IFERROR(__xludf.DUMMYFUNCTION("""COMPUTED_VALUE"""),40877.666666666664)</f>
        <v>40877.66667</v>
      </c>
      <c r="B8055" s="2">
        <f>IFERROR(__xludf.DUMMYFUNCTION("""COMPUTED_VALUE"""),176.29)</f>
        <v>176.29</v>
      </c>
      <c r="C8055" s="2">
        <f>IFERROR(__xludf.DUMMYFUNCTION("""COMPUTED_VALUE"""),179.91)</f>
        <v>179.91</v>
      </c>
      <c r="D8055" s="2">
        <f>IFERROR(__xludf.DUMMYFUNCTION("""COMPUTED_VALUE"""),175.95)</f>
        <v>175.95</v>
      </c>
      <c r="E8055" s="2">
        <f>IFERROR(__xludf.DUMMYFUNCTION("""COMPUTED_VALUE"""),179.57)</f>
        <v>179.57</v>
      </c>
      <c r="F8055" s="2">
        <f>IFERROR(__xludf.DUMMYFUNCTION("""COMPUTED_VALUE"""),7836882.0)</f>
        <v>7836882</v>
      </c>
    </row>
    <row r="8056">
      <c r="A8056" s="3">
        <f>IFERROR(__xludf.DUMMYFUNCTION("""COMPUTED_VALUE"""),40878.666666666664)</f>
        <v>40878.66667</v>
      </c>
      <c r="B8056" s="2">
        <f>IFERROR(__xludf.DUMMYFUNCTION("""COMPUTED_VALUE"""),178.63)</f>
        <v>178.63</v>
      </c>
      <c r="C8056" s="2">
        <f>IFERROR(__xludf.DUMMYFUNCTION("""COMPUTED_VALUE"""),181.47)</f>
        <v>181.47</v>
      </c>
      <c r="D8056" s="2">
        <f>IFERROR(__xludf.DUMMYFUNCTION("""COMPUTED_VALUE"""),178.4)</f>
        <v>178.4</v>
      </c>
      <c r="E8056" s="2">
        <f>IFERROR(__xludf.DUMMYFUNCTION("""COMPUTED_VALUE"""),180.96)</f>
        <v>180.96</v>
      </c>
      <c r="F8056" s="2">
        <f>IFERROR(__xludf.DUMMYFUNCTION("""COMPUTED_VALUE"""),4862618.0)</f>
        <v>4862618</v>
      </c>
    </row>
    <row r="8057">
      <c r="A8057" s="3">
        <f>IFERROR(__xludf.DUMMYFUNCTION("""COMPUTED_VALUE"""),40879.666666666664)</f>
        <v>40879.66667</v>
      </c>
      <c r="B8057" s="2">
        <f>IFERROR(__xludf.DUMMYFUNCTION("""COMPUTED_VALUE"""),181.4)</f>
        <v>181.4</v>
      </c>
      <c r="C8057" s="2">
        <f>IFERROR(__xludf.DUMMYFUNCTION("""COMPUTED_VALUE"""),182.75)</f>
        <v>182.75</v>
      </c>
      <c r="D8057" s="2">
        <f>IFERROR(__xludf.DUMMYFUNCTION("""COMPUTED_VALUE"""),180.96)</f>
        <v>180.96</v>
      </c>
      <c r="E8057" s="2">
        <f>IFERROR(__xludf.DUMMYFUNCTION("""COMPUTED_VALUE"""),181.16)</f>
        <v>181.16</v>
      </c>
      <c r="F8057" s="2">
        <f>IFERROR(__xludf.DUMMYFUNCTION("""COMPUTED_VALUE"""),4962414.0)</f>
        <v>4962414</v>
      </c>
    </row>
    <row r="8058">
      <c r="A8058" s="3">
        <f>IFERROR(__xludf.DUMMYFUNCTION("""COMPUTED_VALUE"""),40882.666666666664)</f>
        <v>40882.66667</v>
      </c>
      <c r="B8058" s="2">
        <f>IFERROR(__xludf.DUMMYFUNCTION("""COMPUTED_VALUE"""),182.61)</f>
        <v>182.61</v>
      </c>
      <c r="C8058" s="2">
        <f>IFERROR(__xludf.DUMMYFUNCTION("""COMPUTED_VALUE"""),184.93)</f>
        <v>184.93</v>
      </c>
      <c r="D8058" s="2">
        <f>IFERROR(__xludf.DUMMYFUNCTION("""COMPUTED_VALUE"""),181.84)</f>
        <v>181.84</v>
      </c>
      <c r="E8058" s="2">
        <f>IFERROR(__xludf.DUMMYFUNCTION("""COMPUTED_VALUE"""),182.28)</f>
        <v>182.28</v>
      </c>
      <c r="F8058" s="2">
        <f>IFERROR(__xludf.DUMMYFUNCTION("""COMPUTED_VALUE"""),5699392.0)</f>
        <v>5699392</v>
      </c>
    </row>
    <row r="8059">
      <c r="A8059" s="3">
        <f>IFERROR(__xludf.DUMMYFUNCTION("""COMPUTED_VALUE"""),40883.666666666664)</f>
        <v>40883.66667</v>
      </c>
      <c r="B8059" s="2">
        <f>IFERROR(__xludf.DUMMYFUNCTION("""COMPUTED_VALUE"""),182.1)</f>
        <v>182.1</v>
      </c>
      <c r="C8059" s="2">
        <f>IFERROR(__xludf.DUMMYFUNCTION("""COMPUTED_VALUE"""),184.85)</f>
        <v>184.85</v>
      </c>
      <c r="D8059" s="2">
        <f>IFERROR(__xludf.DUMMYFUNCTION("""COMPUTED_VALUE"""),181.79)</f>
        <v>181.79</v>
      </c>
      <c r="E8059" s="2">
        <f>IFERROR(__xludf.DUMMYFUNCTION("""COMPUTED_VALUE"""),184.29)</f>
        <v>184.29</v>
      </c>
      <c r="F8059" s="2">
        <f>IFERROR(__xludf.DUMMYFUNCTION("""COMPUTED_VALUE"""),4145053.0)</f>
        <v>4145053</v>
      </c>
    </row>
    <row r="8060">
      <c r="A8060" s="3">
        <f>IFERROR(__xludf.DUMMYFUNCTION("""COMPUTED_VALUE"""),40884.666666666664)</f>
        <v>40884.66667</v>
      </c>
      <c r="B8060" s="2">
        <f>IFERROR(__xludf.DUMMYFUNCTION("""COMPUTED_VALUE"""),183.38)</f>
        <v>183.38</v>
      </c>
      <c r="C8060" s="2">
        <f>IFERROR(__xludf.DUMMYFUNCTION("""COMPUTED_VALUE"""),186.16)</f>
        <v>186.16</v>
      </c>
      <c r="D8060" s="2">
        <f>IFERROR(__xludf.DUMMYFUNCTION("""COMPUTED_VALUE"""),182.7)</f>
        <v>182.7</v>
      </c>
      <c r="E8060" s="2">
        <f>IFERROR(__xludf.DUMMYFUNCTION("""COMPUTED_VALUE"""),185.35)</f>
        <v>185.35</v>
      </c>
      <c r="F8060" s="2">
        <f>IFERROR(__xludf.DUMMYFUNCTION("""COMPUTED_VALUE"""),5083228.0)</f>
        <v>5083228</v>
      </c>
    </row>
    <row r="8061">
      <c r="A8061" s="3">
        <f>IFERROR(__xludf.DUMMYFUNCTION("""COMPUTED_VALUE"""),40885.666666666664)</f>
        <v>40885.66667</v>
      </c>
      <c r="B8061" s="2">
        <f>IFERROR(__xludf.DUMMYFUNCTION("""COMPUTED_VALUE"""),183.85)</f>
        <v>183.85</v>
      </c>
      <c r="C8061" s="2">
        <f>IFERROR(__xludf.DUMMYFUNCTION("""COMPUTED_VALUE"""),185.11)</f>
        <v>185.11</v>
      </c>
      <c r="D8061" s="2">
        <f>IFERROR(__xludf.DUMMYFUNCTION("""COMPUTED_VALUE"""),182.5)</f>
        <v>182.5</v>
      </c>
      <c r="E8061" s="2">
        <f>IFERROR(__xludf.DUMMYFUNCTION("""COMPUTED_VALUE"""),182.99)</f>
        <v>182.99</v>
      </c>
      <c r="F8061" s="2">
        <f>IFERROR(__xludf.DUMMYFUNCTION("""COMPUTED_VALUE"""),4369089.0)</f>
        <v>4369089</v>
      </c>
    </row>
    <row r="8062">
      <c r="A8062" s="3">
        <f>IFERROR(__xludf.DUMMYFUNCTION("""COMPUTED_VALUE"""),40886.666666666664)</f>
        <v>40886.66667</v>
      </c>
      <c r="B8062" s="2">
        <f>IFERROR(__xludf.DUMMYFUNCTION("""COMPUTED_VALUE"""),184.26)</f>
        <v>184.26</v>
      </c>
      <c r="C8062" s="2">
        <f>IFERROR(__xludf.DUMMYFUNCTION("""COMPUTED_VALUE"""),186.13)</f>
        <v>186.13</v>
      </c>
      <c r="D8062" s="2">
        <f>IFERROR(__xludf.DUMMYFUNCTION("""COMPUTED_VALUE"""),183.77)</f>
        <v>183.77</v>
      </c>
      <c r="E8062" s="2">
        <f>IFERROR(__xludf.DUMMYFUNCTION("""COMPUTED_VALUE"""),185.84)</f>
        <v>185.84</v>
      </c>
      <c r="F8062" s="2">
        <f>IFERROR(__xludf.DUMMYFUNCTION("""COMPUTED_VALUE"""),4848770.0)</f>
        <v>4848770</v>
      </c>
    </row>
    <row r="8063">
      <c r="A8063" s="3">
        <f>IFERROR(__xludf.DUMMYFUNCTION("""COMPUTED_VALUE"""),40889.666666666664)</f>
        <v>40889.66667</v>
      </c>
      <c r="B8063" s="2">
        <f>IFERROR(__xludf.DUMMYFUNCTION("""COMPUTED_VALUE"""),184.96)</f>
        <v>184.96</v>
      </c>
      <c r="C8063" s="2">
        <f>IFERROR(__xludf.DUMMYFUNCTION("""COMPUTED_VALUE"""),185.21)</f>
        <v>185.21</v>
      </c>
      <c r="D8063" s="2">
        <f>IFERROR(__xludf.DUMMYFUNCTION("""COMPUTED_VALUE"""),182.65)</f>
        <v>182.65</v>
      </c>
      <c r="E8063" s="2">
        <f>IFERROR(__xludf.DUMMYFUNCTION("""COMPUTED_VALUE"""),183.56)</f>
        <v>183.56</v>
      </c>
      <c r="F8063" s="2">
        <f>IFERROR(__xludf.DUMMYFUNCTION("""COMPUTED_VALUE"""),3797497.0)</f>
        <v>3797497</v>
      </c>
    </row>
    <row r="8064">
      <c r="A8064" s="3">
        <f>IFERROR(__xludf.DUMMYFUNCTION("""COMPUTED_VALUE"""),40890.666666666664)</f>
        <v>40890.66667</v>
      </c>
      <c r="B8064" s="2">
        <f>IFERROR(__xludf.DUMMYFUNCTION("""COMPUTED_VALUE"""),184.79)</f>
        <v>184.79</v>
      </c>
      <c r="C8064" s="2">
        <f>IFERROR(__xludf.DUMMYFUNCTION("""COMPUTED_VALUE"""),185.59)</f>
        <v>185.59</v>
      </c>
      <c r="D8064" s="2">
        <f>IFERROR(__xludf.DUMMYFUNCTION("""COMPUTED_VALUE"""),182.09)</f>
        <v>182.09</v>
      </c>
      <c r="E8064" s="2">
        <f>IFERROR(__xludf.DUMMYFUNCTION("""COMPUTED_VALUE"""),182.58)</f>
        <v>182.58</v>
      </c>
      <c r="F8064" s="2">
        <f>IFERROR(__xludf.DUMMYFUNCTION("""COMPUTED_VALUE"""),5009540.0)</f>
        <v>5009540</v>
      </c>
    </row>
    <row r="8065">
      <c r="A8065" s="3">
        <f>IFERROR(__xludf.DUMMYFUNCTION("""COMPUTED_VALUE"""),40891.666666666664)</f>
        <v>40891.66667</v>
      </c>
      <c r="B8065" s="2">
        <f>IFERROR(__xludf.DUMMYFUNCTION("""COMPUTED_VALUE"""),181.33)</f>
        <v>181.33</v>
      </c>
      <c r="C8065" s="2">
        <f>IFERROR(__xludf.DUMMYFUNCTION("""COMPUTED_VALUE"""),181.75)</f>
        <v>181.75</v>
      </c>
      <c r="D8065" s="2">
        <f>IFERROR(__xludf.DUMMYFUNCTION("""COMPUTED_VALUE"""),179.57)</f>
        <v>179.57</v>
      </c>
      <c r="E8065" s="2">
        <f>IFERROR(__xludf.DUMMYFUNCTION("""COMPUTED_VALUE"""),180.26)</f>
        <v>180.26</v>
      </c>
      <c r="F8065" s="2">
        <f>IFERROR(__xludf.DUMMYFUNCTION("""COMPUTED_VALUE"""),5058143.0)</f>
        <v>5058143</v>
      </c>
    </row>
    <row r="8066">
      <c r="A8066" s="3">
        <f>IFERROR(__xludf.DUMMYFUNCTION("""COMPUTED_VALUE"""),40892.666666666664)</f>
        <v>40892.66667</v>
      </c>
      <c r="B8066" s="2">
        <f>IFERROR(__xludf.DUMMYFUNCTION("""COMPUTED_VALUE"""),181.94)</f>
        <v>181.94</v>
      </c>
      <c r="C8066" s="2">
        <f>IFERROR(__xludf.DUMMYFUNCTION("""COMPUTED_VALUE"""),182.63)</f>
        <v>182.63</v>
      </c>
      <c r="D8066" s="2">
        <f>IFERROR(__xludf.DUMMYFUNCTION("""COMPUTED_VALUE"""),178.51)</f>
        <v>178.51</v>
      </c>
      <c r="E8066" s="2">
        <f>IFERROR(__xludf.DUMMYFUNCTION("""COMPUTED_VALUE"""),179.07)</f>
        <v>179.07</v>
      </c>
      <c r="F8066" s="2">
        <f>IFERROR(__xludf.DUMMYFUNCTION("""COMPUTED_VALUE"""),4475149.0)</f>
        <v>4475149</v>
      </c>
    </row>
    <row r="8067">
      <c r="A8067" s="3">
        <f>IFERROR(__xludf.DUMMYFUNCTION("""COMPUTED_VALUE"""),40893.666666666664)</f>
        <v>40893.66667</v>
      </c>
      <c r="B8067" s="2">
        <f>IFERROR(__xludf.DUMMYFUNCTION("""COMPUTED_VALUE"""),179.58)</f>
        <v>179.58</v>
      </c>
      <c r="C8067" s="2">
        <f>IFERROR(__xludf.DUMMYFUNCTION("""COMPUTED_VALUE"""),179.58)</f>
        <v>179.58</v>
      </c>
      <c r="D8067" s="2">
        <f>IFERROR(__xludf.DUMMYFUNCTION("""COMPUTED_VALUE"""),173.75)</f>
        <v>173.75</v>
      </c>
      <c r="E8067" s="2">
        <f>IFERROR(__xludf.DUMMYFUNCTION("""COMPUTED_VALUE"""),175.34)</f>
        <v>175.34</v>
      </c>
      <c r="F8067" s="2">
        <f>IFERROR(__xludf.DUMMYFUNCTION("""COMPUTED_VALUE"""),1.1849737E7)</f>
        <v>11849737</v>
      </c>
    </row>
    <row r="8068">
      <c r="A8068" s="3">
        <f>IFERROR(__xludf.DUMMYFUNCTION("""COMPUTED_VALUE"""),40896.666666666664)</f>
        <v>40896.66667</v>
      </c>
      <c r="B8068" s="2">
        <f>IFERROR(__xludf.DUMMYFUNCTION("""COMPUTED_VALUE"""),176.24)</f>
        <v>176.24</v>
      </c>
      <c r="C8068" s="2">
        <f>IFERROR(__xludf.DUMMYFUNCTION("""COMPUTED_VALUE"""),176.41)</f>
        <v>176.41</v>
      </c>
      <c r="D8068" s="2">
        <f>IFERROR(__xludf.DUMMYFUNCTION("""COMPUTED_VALUE"""),174.08)</f>
        <v>174.08</v>
      </c>
      <c r="E8068" s="2">
        <f>IFERROR(__xludf.DUMMYFUNCTION("""COMPUTED_VALUE"""),174.69)</f>
        <v>174.69</v>
      </c>
      <c r="F8068" s="2">
        <f>IFERROR(__xludf.DUMMYFUNCTION("""COMPUTED_VALUE"""),5039846.0)</f>
        <v>5039846</v>
      </c>
    </row>
    <row r="8069">
      <c r="A8069" s="3">
        <f>IFERROR(__xludf.DUMMYFUNCTION("""COMPUTED_VALUE"""),40897.666666666664)</f>
        <v>40897.66667</v>
      </c>
      <c r="B8069" s="2">
        <f>IFERROR(__xludf.DUMMYFUNCTION("""COMPUTED_VALUE"""),177.18)</f>
        <v>177.18</v>
      </c>
      <c r="C8069" s="2">
        <f>IFERROR(__xludf.DUMMYFUNCTION("""COMPUTED_VALUE"""),178.93)</f>
        <v>178.93</v>
      </c>
      <c r="D8069" s="2">
        <f>IFERROR(__xludf.DUMMYFUNCTION("""COMPUTED_VALUE"""),176.47)</f>
        <v>176.47</v>
      </c>
      <c r="E8069" s="2">
        <f>IFERROR(__xludf.DUMMYFUNCTION("""COMPUTED_VALUE"""),178.84)</f>
        <v>178.84</v>
      </c>
      <c r="F8069" s="2">
        <f>IFERROR(__xludf.DUMMYFUNCTION("""COMPUTED_VALUE"""),4742825.0)</f>
        <v>4742825</v>
      </c>
    </row>
    <row r="8070">
      <c r="A8070" s="3">
        <f>IFERROR(__xludf.DUMMYFUNCTION("""COMPUTED_VALUE"""),40898.666666666664)</f>
        <v>40898.66667</v>
      </c>
      <c r="B8070" s="2">
        <f>IFERROR(__xludf.DUMMYFUNCTION("""COMPUTED_VALUE"""),175.01)</f>
        <v>175.01</v>
      </c>
      <c r="C8070" s="2">
        <f>IFERROR(__xludf.DUMMYFUNCTION("""COMPUTED_VALUE"""),175.27)</f>
        <v>175.27</v>
      </c>
      <c r="D8070" s="2">
        <f>IFERROR(__xludf.DUMMYFUNCTION("""COMPUTED_VALUE"""),171.01)</f>
        <v>171.01</v>
      </c>
      <c r="E8070" s="2">
        <f>IFERROR(__xludf.DUMMYFUNCTION("""COMPUTED_VALUE"""),173.33)</f>
        <v>173.33</v>
      </c>
      <c r="F8070" s="2">
        <f>IFERROR(__xludf.DUMMYFUNCTION("""COMPUTED_VALUE"""),9284370.0)</f>
        <v>9284370</v>
      </c>
    </row>
    <row r="8071">
      <c r="A8071" s="3">
        <f>IFERROR(__xludf.DUMMYFUNCTION("""COMPUTED_VALUE"""),40899.666666666664)</f>
        <v>40899.66667</v>
      </c>
      <c r="B8071" s="2">
        <f>IFERROR(__xludf.DUMMYFUNCTION("""COMPUTED_VALUE"""),174.52)</f>
        <v>174.52</v>
      </c>
      <c r="C8071" s="2">
        <f>IFERROR(__xludf.DUMMYFUNCTION("""COMPUTED_VALUE"""),174.6)</f>
        <v>174.6</v>
      </c>
      <c r="D8071" s="2">
        <f>IFERROR(__xludf.DUMMYFUNCTION("""COMPUTED_VALUE"""),172.88)</f>
        <v>172.88</v>
      </c>
      <c r="E8071" s="2">
        <f>IFERROR(__xludf.DUMMYFUNCTION("""COMPUTED_VALUE"""),173.88)</f>
        <v>173.88</v>
      </c>
      <c r="F8071" s="2">
        <f>IFERROR(__xludf.DUMMYFUNCTION("""COMPUTED_VALUE"""),5052410.0)</f>
        <v>5052410</v>
      </c>
    </row>
    <row r="8072">
      <c r="A8072" s="3">
        <f>IFERROR(__xludf.DUMMYFUNCTION("""COMPUTED_VALUE"""),40900.666666666664)</f>
        <v>40900.66667</v>
      </c>
      <c r="B8072" s="2">
        <f>IFERROR(__xludf.DUMMYFUNCTION("""COMPUTED_VALUE"""),174.9)</f>
        <v>174.9</v>
      </c>
      <c r="C8072" s="2">
        <f>IFERROR(__xludf.DUMMYFUNCTION("""COMPUTED_VALUE"""),176.56)</f>
        <v>176.56</v>
      </c>
      <c r="D8072" s="2">
        <f>IFERROR(__xludf.DUMMYFUNCTION("""COMPUTED_VALUE"""),173.73)</f>
        <v>173.73</v>
      </c>
      <c r="E8072" s="2">
        <f>IFERROR(__xludf.DUMMYFUNCTION("""COMPUTED_VALUE"""),176.47)</f>
        <v>176.47</v>
      </c>
      <c r="F8072" s="2">
        <f>IFERROR(__xludf.DUMMYFUNCTION("""COMPUTED_VALUE"""),3052791.0)</f>
        <v>3052791</v>
      </c>
    </row>
    <row r="8073">
      <c r="A8073" s="3">
        <f>IFERROR(__xludf.DUMMYFUNCTION("""COMPUTED_VALUE"""),40904.666666666664)</f>
        <v>40904.66667</v>
      </c>
      <c r="B8073" s="2">
        <f>IFERROR(__xludf.DUMMYFUNCTION("""COMPUTED_VALUE"""),176.68)</f>
        <v>176.68</v>
      </c>
      <c r="C8073" s="2">
        <f>IFERROR(__xludf.DUMMYFUNCTION("""COMPUTED_VALUE"""),177.52)</f>
        <v>177.52</v>
      </c>
      <c r="D8073" s="2">
        <f>IFERROR(__xludf.DUMMYFUNCTION("""COMPUTED_VALUE"""),176.12)</f>
        <v>176.12</v>
      </c>
      <c r="E8073" s="2">
        <f>IFERROR(__xludf.DUMMYFUNCTION("""COMPUTED_VALUE"""),176.66)</f>
        <v>176.66</v>
      </c>
      <c r="F8073" s="2">
        <f>IFERROR(__xludf.DUMMYFUNCTION("""COMPUTED_VALUE"""),2775314.0)</f>
        <v>2775314</v>
      </c>
    </row>
    <row r="8074">
      <c r="A8074" s="3">
        <f>IFERROR(__xludf.DUMMYFUNCTION("""COMPUTED_VALUE"""),40905.666666666664)</f>
        <v>40905.66667</v>
      </c>
      <c r="B8074" s="2">
        <f>IFERROR(__xludf.DUMMYFUNCTION("""COMPUTED_VALUE"""),176.89)</f>
        <v>176.89</v>
      </c>
      <c r="C8074" s="2">
        <f>IFERROR(__xludf.DUMMYFUNCTION("""COMPUTED_VALUE"""),177.09)</f>
        <v>177.09</v>
      </c>
      <c r="D8074" s="2">
        <f>IFERROR(__xludf.DUMMYFUNCTION("""COMPUTED_VALUE"""),175.12)</f>
        <v>175.12</v>
      </c>
      <c r="E8074" s="2">
        <f>IFERROR(__xludf.DUMMYFUNCTION("""COMPUTED_VALUE"""),175.74)</f>
        <v>175.74</v>
      </c>
      <c r="F8074" s="2">
        <f>IFERROR(__xludf.DUMMYFUNCTION("""COMPUTED_VALUE"""),2873438.0)</f>
        <v>2873438</v>
      </c>
    </row>
    <row r="8075">
      <c r="A8075" s="3">
        <f>IFERROR(__xludf.DUMMYFUNCTION("""COMPUTED_VALUE"""),40906.666666666664)</f>
        <v>40906.66667</v>
      </c>
      <c r="B8075" s="2">
        <f>IFERROR(__xludf.DUMMYFUNCTION("""COMPUTED_VALUE"""),175.82)</f>
        <v>175.82</v>
      </c>
      <c r="C8075" s="2">
        <f>IFERROR(__xludf.DUMMYFUNCTION("""COMPUTED_VALUE"""),177.88)</f>
        <v>177.88</v>
      </c>
      <c r="D8075" s="2">
        <f>IFERROR(__xludf.DUMMYFUNCTION("""COMPUTED_VALUE"""),175.76)</f>
        <v>175.76</v>
      </c>
      <c r="E8075" s="2">
        <f>IFERROR(__xludf.DUMMYFUNCTION("""COMPUTED_VALUE"""),177.83)</f>
        <v>177.83</v>
      </c>
      <c r="F8075" s="2">
        <f>IFERROR(__xludf.DUMMYFUNCTION("""COMPUTED_VALUE"""),2941990.0)</f>
        <v>2941990</v>
      </c>
    </row>
    <row r="8076">
      <c r="A8076" s="3">
        <f>IFERROR(__xludf.DUMMYFUNCTION("""COMPUTED_VALUE"""),40907.666666666664)</f>
        <v>40907.66667</v>
      </c>
      <c r="B8076" s="2">
        <f>IFERROR(__xludf.DUMMYFUNCTION("""COMPUTED_VALUE"""),177.98)</f>
        <v>177.98</v>
      </c>
      <c r="C8076" s="2">
        <f>IFERROR(__xludf.DUMMYFUNCTION("""COMPUTED_VALUE"""),178.12)</f>
        <v>178.12</v>
      </c>
      <c r="D8076" s="2">
        <f>IFERROR(__xludf.DUMMYFUNCTION("""COMPUTED_VALUE"""),175.61)</f>
        <v>175.61</v>
      </c>
      <c r="E8076" s="2">
        <f>IFERROR(__xludf.DUMMYFUNCTION("""COMPUTED_VALUE"""),175.64)</f>
        <v>175.64</v>
      </c>
      <c r="F8076" s="2">
        <f>IFERROR(__xludf.DUMMYFUNCTION("""COMPUTED_VALUE"""),3531804.0)</f>
        <v>3531804</v>
      </c>
    </row>
    <row r="8077">
      <c r="A8077" s="3">
        <f>IFERROR(__xludf.DUMMYFUNCTION("""COMPUTED_VALUE"""),40911.666666666664)</f>
        <v>40911.66667</v>
      </c>
      <c r="B8077" s="2">
        <f>IFERROR(__xludf.DUMMYFUNCTION("""COMPUTED_VALUE"""),178.36)</f>
        <v>178.36</v>
      </c>
      <c r="C8077" s="2">
        <f>IFERROR(__xludf.DUMMYFUNCTION("""COMPUTED_VALUE"""),180.25)</f>
        <v>180.25</v>
      </c>
      <c r="D8077" s="2">
        <f>IFERROR(__xludf.DUMMYFUNCTION("""COMPUTED_VALUE"""),177.66)</f>
        <v>177.66</v>
      </c>
      <c r="E8077" s="2">
        <f>IFERROR(__xludf.DUMMYFUNCTION("""COMPUTED_VALUE"""),177.95)</f>
        <v>177.95</v>
      </c>
      <c r="F8077" s="2">
        <f>IFERROR(__xludf.DUMMYFUNCTION("""COMPUTED_VALUE"""),5645999.0)</f>
        <v>5645999</v>
      </c>
    </row>
    <row r="8078">
      <c r="A8078" s="3">
        <f>IFERROR(__xludf.DUMMYFUNCTION("""COMPUTED_VALUE"""),40912.666666666664)</f>
        <v>40912.66667</v>
      </c>
      <c r="B8078" s="2">
        <f>IFERROR(__xludf.DUMMYFUNCTION("""COMPUTED_VALUE"""),177.25)</f>
        <v>177.25</v>
      </c>
      <c r="C8078" s="2">
        <f>IFERROR(__xludf.DUMMYFUNCTION("""COMPUTED_VALUE"""),177.98)</f>
        <v>177.98</v>
      </c>
      <c r="D8078" s="2">
        <f>IFERROR(__xludf.DUMMYFUNCTION("""COMPUTED_VALUE"""),176.65)</f>
        <v>176.65</v>
      </c>
      <c r="E8078" s="2">
        <f>IFERROR(__xludf.DUMMYFUNCTION("""COMPUTED_VALUE"""),177.22)</f>
        <v>177.22</v>
      </c>
      <c r="F8078" s="2">
        <f>IFERROR(__xludf.DUMMYFUNCTION("""COMPUTED_VALUE"""),4346651.0)</f>
        <v>4346651</v>
      </c>
    </row>
    <row r="8079">
      <c r="A8079" s="3">
        <f>IFERROR(__xludf.DUMMYFUNCTION("""COMPUTED_VALUE"""),40913.666666666664)</f>
        <v>40913.66667</v>
      </c>
      <c r="B8079" s="2">
        <f>IFERROR(__xludf.DUMMYFUNCTION("""COMPUTED_VALUE"""),176.52)</f>
        <v>176.52</v>
      </c>
      <c r="C8079" s="2">
        <f>IFERROR(__xludf.DUMMYFUNCTION("""COMPUTED_VALUE"""),176.73)</f>
        <v>176.73</v>
      </c>
      <c r="D8079" s="2">
        <f>IFERROR(__xludf.DUMMYFUNCTION("""COMPUTED_VALUE"""),174.89)</f>
        <v>174.89</v>
      </c>
      <c r="E8079" s="2">
        <f>IFERROR(__xludf.DUMMYFUNCTION("""COMPUTED_VALUE"""),176.38)</f>
        <v>176.38</v>
      </c>
      <c r="F8079" s="2">
        <f>IFERROR(__xludf.DUMMYFUNCTION("""COMPUTED_VALUE"""),4463267.0)</f>
        <v>4463267</v>
      </c>
    </row>
    <row r="8080">
      <c r="A8080" s="3">
        <f>IFERROR(__xludf.DUMMYFUNCTION("""COMPUTED_VALUE"""),40914.666666666664)</f>
        <v>40914.66667</v>
      </c>
      <c r="B8080" s="2">
        <f>IFERROR(__xludf.DUMMYFUNCTION("""COMPUTED_VALUE"""),176.12)</f>
        <v>176.12</v>
      </c>
      <c r="C8080" s="2">
        <f>IFERROR(__xludf.DUMMYFUNCTION("""COMPUTED_VALUE"""),176.21)</f>
        <v>176.21</v>
      </c>
      <c r="D8080" s="2">
        <f>IFERROR(__xludf.DUMMYFUNCTION("""COMPUTED_VALUE"""),174.14)</f>
        <v>174.14</v>
      </c>
      <c r="E8080" s="2">
        <f>IFERROR(__xludf.DUMMYFUNCTION("""COMPUTED_VALUE"""),174.36)</f>
        <v>174.36</v>
      </c>
      <c r="F8080" s="2">
        <f>IFERROR(__xludf.DUMMYFUNCTION("""COMPUTED_VALUE"""),4897057.0)</f>
        <v>4897057</v>
      </c>
    </row>
    <row r="8081">
      <c r="A8081" s="3">
        <f>IFERROR(__xludf.DUMMYFUNCTION("""COMPUTED_VALUE"""),40917.666666666664)</f>
        <v>40917.66667</v>
      </c>
      <c r="B8081" s="2">
        <f>IFERROR(__xludf.DUMMYFUNCTION("""COMPUTED_VALUE"""),174.03)</f>
        <v>174.03</v>
      </c>
      <c r="C8081" s="2">
        <f>IFERROR(__xludf.DUMMYFUNCTION("""COMPUTED_VALUE"""),174.1)</f>
        <v>174.1</v>
      </c>
      <c r="D8081" s="2">
        <f>IFERROR(__xludf.DUMMYFUNCTION("""COMPUTED_VALUE"""),172.19)</f>
        <v>172.19</v>
      </c>
      <c r="E8081" s="2">
        <f>IFERROR(__xludf.DUMMYFUNCTION("""COMPUTED_VALUE"""),173.45)</f>
        <v>173.45</v>
      </c>
      <c r="F8081" s="2">
        <f>IFERROR(__xludf.DUMMYFUNCTION("""COMPUTED_VALUE"""),5201266.0)</f>
        <v>5201266</v>
      </c>
    </row>
    <row r="8082">
      <c r="A8082" s="3">
        <f>IFERROR(__xludf.DUMMYFUNCTION("""COMPUTED_VALUE"""),40918.666666666664)</f>
        <v>40918.66667</v>
      </c>
      <c r="B8082" s="2">
        <f>IFERROR(__xludf.DUMMYFUNCTION("""COMPUTED_VALUE"""),175.01)</f>
        <v>175.01</v>
      </c>
      <c r="C8082" s="2">
        <f>IFERROR(__xludf.DUMMYFUNCTION("""COMPUTED_VALUE"""),175.48)</f>
        <v>175.48</v>
      </c>
      <c r="D8082" s="2">
        <f>IFERROR(__xludf.DUMMYFUNCTION("""COMPUTED_VALUE"""),173.08)</f>
        <v>173.08</v>
      </c>
      <c r="E8082" s="2">
        <f>IFERROR(__xludf.DUMMYFUNCTION("""COMPUTED_VALUE"""),173.18)</f>
        <v>173.18</v>
      </c>
      <c r="F8082" s="2">
        <f>IFERROR(__xludf.DUMMYFUNCTION("""COMPUTED_VALUE"""),5161696.0)</f>
        <v>5161696</v>
      </c>
    </row>
    <row r="8083">
      <c r="A8083" s="3">
        <f>IFERROR(__xludf.DUMMYFUNCTION("""COMPUTED_VALUE"""),40919.666666666664)</f>
        <v>40919.66667</v>
      </c>
      <c r="B8083" s="2">
        <f>IFERROR(__xludf.DUMMYFUNCTION("""COMPUTED_VALUE"""),172.63)</f>
        <v>172.63</v>
      </c>
      <c r="C8083" s="2">
        <f>IFERROR(__xludf.DUMMYFUNCTION("""COMPUTED_VALUE"""),174.61)</f>
        <v>174.61</v>
      </c>
      <c r="D8083" s="2">
        <f>IFERROR(__xludf.DUMMYFUNCTION("""COMPUTED_VALUE"""),172.41)</f>
        <v>172.41</v>
      </c>
      <c r="E8083" s="2">
        <f>IFERROR(__xludf.DUMMYFUNCTION("""COMPUTED_VALUE"""),174.15)</f>
        <v>174.15</v>
      </c>
      <c r="F8083" s="2">
        <f>IFERROR(__xludf.DUMMYFUNCTION("""COMPUTED_VALUE"""),4110952.0)</f>
        <v>4110952</v>
      </c>
    </row>
    <row r="8084">
      <c r="A8084" s="3">
        <f>IFERROR(__xludf.DUMMYFUNCTION("""COMPUTED_VALUE"""),40920.666666666664)</f>
        <v>40920.66667</v>
      </c>
      <c r="B8084" s="2">
        <f>IFERROR(__xludf.DUMMYFUNCTION("""COMPUTED_VALUE"""),173.71)</f>
        <v>173.71</v>
      </c>
      <c r="C8084" s="2">
        <f>IFERROR(__xludf.DUMMYFUNCTION("""COMPUTED_VALUE"""),173.75)</f>
        <v>173.75</v>
      </c>
      <c r="D8084" s="2">
        <f>IFERROR(__xludf.DUMMYFUNCTION("""COMPUTED_VALUE"""),170.38)</f>
        <v>170.38</v>
      </c>
      <c r="E8084" s="2">
        <f>IFERROR(__xludf.DUMMYFUNCTION("""COMPUTED_VALUE"""),172.45)</f>
        <v>172.45</v>
      </c>
      <c r="F8084" s="2">
        <f>IFERROR(__xludf.DUMMYFUNCTION("""COMPUTED_VALUE"""),6880962.0)</f>
        <v>6880962</v>
      </c>
    </row>
    <row r="8085">
      <c r="A8085" s="3">
        <f>IFERROR(__xludf.DUMMYFUNCTION("""COMPUTED_VALUE"""),40921.666666666664)</f>
        <v>40921.66667</v>
      </c>
      <c r="B8085" s="2">
        <f>IFERROR(__xludf.DUMMYFUNCTION("""COMPUTED_VALUE"""),171.43)</f>
        <v>171.43</v>
      </c>
      <c r="C8085" s="2">
        <f>IFERROR(__xludf.DUMMYFUNCTION("""COMPUTED_VALUE"""),171.56)</f>
        <v>171.56</v>
      </c>
      <c r="D8085" s="2">
        <f>IFERROR(__xludf.DUMMYFUNCTION("""COMPUTED_VALUE"""),169.4)</f>
        <v>169.4</v>
      </c>
      <c r="E8085" s="2">
        <f>IFERROR(__xludf.DUMMYFUNCTION("""COMPUTED_VALUE"""),171.13)</f>
        <v>171.13</v>
      </c>
      <c r="F8085" s="2">
        <f>IFERROR(__xludf.DUMMYFUNCTION("""COMPUTED_VALUE"""),5279348.0)</f>
        <v>5279348</v>
      </c>
    </row>
    <row r="8086">
      <c r="A8086" s="3">
        <f>IFERROR(__xludf.DUMMYFUNCTION("""COMPUTED_VALUE"""),40925.666666666664)</f>
        <v>40925.66667</v>
      </c>
      <c r="B8086" s="2">
        <f>IFERROR(__xludf.DUMMYFUNCTION("""COMPUTED_VALUE"""),172.27)</f>
        <v>172.27</v>
      </c>
      <c r="C8086" s="2">
        <f>IFERROR(__xludf.DUMMYFUNCTION("""COMPUTED_VALUE"""),173.84)</f>
        <v>173.84</v>
      </c>
      <c r="D8086" s="2">
        <f>IFERROR(__xludf.DUMMYFUNCTION("""COMPUTED_VALUE"""),171.28)</f>
        <v>171.28</v>
      </c>
      <c r="E8086" s="2">
        <f>IFERROR(__xludf.DUMMYFUNCTION("""COMPUTED_VALUE"""),171.93)</f>
        <v>171.93</v>
      </c>
      <c r="F8086" s="2">
        <f>IFERROR(__xludf.DUMMYFUNCTION("""COMPUTED_VALUE"""),6003399.0)</f>
        <v>6003399</v>
      </c>
    </row>
    <row r="8087">
      <c r="A8087" s="3">
        <f>IFERROR(__xludf.DUMMYFUNCTION("""COMPUTED_VALUE"""),40926.666666666664)</f>
        <v>40926.66667</v>
      </c>
      <c r="B8087" s="2">
        <f>IFERROR(__xludf.DUMMYFUNCTION("""COMPUTED_VALUE"""),171.77)</f>
        <v>171.77</v>
      </c>
      <c r="C8087" s="2">
        <f>IFERROR(__xludf.DUMMYFUNCTION("""COMPUTED_VALUE"""),173.46)</f>
        <v>173.46</v>
      </c>
      <c r="D8087" s="2">
        <f>IFERROR(__xludf.DUMMYFUNCTION("""COMPUTED_VALUE"""),171.45)</f>
        <v>171.45</v>
      </c>
      <c r="E8087" s="2">
        <f>IFERROR(__xludf.DUMMYFUNCTION("""COMPUTED_VALUE"""),172.95)</f>
        <v>172.95</v>
      </c>
      <c r="F8087" s="2">
        <f>IFERROR(__xludf.DUMMYFUNCTION("""COMPUTED_VALUE"""),4601271.0)</f>
        <v>4601271</v>
      </c>
    </row>
    <row r="8088">
      <c r="A8088" s="3">
        <f>IFERROR(__xludf.DUMMYFUNCTION("""COMPUTED_VALUE"""),40927.666666666664)</f>
        <v>40927.66667</v>
      </c>
      <c r="B8088" s="2">
        <f>IFERROR(__xludf.DUMMYFUNCTION("""COMPUTED_VALUE"""),173.64)</f>
        <v>173.64</v>
      </c>
      <c r="C8088" s="2">
        <f>IFERROR(__xludf.DUMMYFUNCTION("""COMPUTED_VALUE"""),174.18)</f>
        <v>174.18</v>
      </c>
      <c r="D8088" s="2">
        <f>IFERROR(__xludf.DUMMYFUNCTION("""COMPUTED_VALUE"""),172.26)</f>
        <v>172.26</v>
      </c>
      <c r="E8088" s="2">
        <f>IFERROR(__xludf.DUMMYFUNCTION("""COMPUTED_VALUE"""),172.43)</f>
        <v>172.43</v>
      </c>
      <c r="F8088" s="2">
        <f>IFERROR(__xludf.DUMMYFUNCTION("""COMPUTED_VALUE"""),8575901.0)</f>
        <v>8575901</v>
      </c>
    </row>
    <row r="8089">
      <c r="A8089" s="3">
        <f>IFERROR(__xludf.DUMMYFUNCTION("""COMPUTED_VALUE"""),40928.666666666664)</f>
        <v>40928.66667</v>
      </c>
      <c r="B8089" s="2">
        <f>IFERROR(__xludf.DUMMYFUNCTION("""COMPUTED_VALUE"""),177.44)</f>
        <v>177.44</v>
      </c>
      <c r="C8089" s="2">
        <f>IFERROR(__xludf.DUMMYFUNCTION("""COMPUTED_VALUE"""),180.5)</f>
        <v>180.5</v>
      </c>
      <c r="D8089" s="2">
        <f>IFERROR(__xludf.DUMMYFUNCTION("""COMPUTED_VALUE"""),176.47)</f>
        <v>176.47</v>
      </c>
      <c r="E8089" s="2">
        <f>IFERROR(__xludf.DUMMYFUNCTION("""COMPUTED_VALUE"""),180.07)</f>
        <v>180.07</v>
      </c>
      <c r="F8089" s="2">
        <f>IFERROR(__xludf.DUMMYFUNCTION("""COMPUTED_VALUE"""),1.2850227E7)</f>
        <v>12850227</v>
      </c>
    </row>
    <row r="8090">
      <c r="A8090" s="3">
        <f>IFERROR(__xludf.DUMMYFUNCTION("""COMPUTED_VALUE"""),40931.666666666664)</f>
        <v>40931.66667</v>
      </c>
      <c r="B8090" s="2">
        <f>IFERROR(__xludf.DUMMYFUNCTION("""COMPUTED_VALUE"""),179.48)</f>
        <v>179.48</v>
      </c>
      <c r="C8090" s="2">
        <f>IFERROR(__xludf.DUMMYFUNCTION("""COMPUTED_VALUE"""),181.98)</f>
        <v>181.98</v>
      </c>
      <c r="D8090" s="2">
        <f>IFERROR(__xludf.DUMMYFUNCTION("""COMPUTED_VALUE"""),179.26)</f>
        <v>179.26</v>
      </c>
      <c r="E8090" s="2">
        <f>IFERROR(__xludf.DUMMYFUNCTION("""COMPUTED_VALUE"""),181.46)</f>
        <v>181.46</v>
      </c>
      <c r="F8090" s="2">
        <f>IFERROR(__xludf.DUMMYFUNCTION("""COMPUTED_VALUE"""),5751748.0)</f>
        <v>5751748</v>
      </c>
    </row>
    <row r="8091">
      <c r="A8091" s="3">
        <f>IFERROR(__xludf.DUMMYFUNCTION("""COMPUTED_VALUE"""),40932.666666666664)</f>
        <v>40932.66667</v>
      </c>
      <c r="B8091" s="2">
        <f>IFERROR(__xludf.DUMMYFUNCTION("""COMPUTED_VALUE"""),180.17)</f>
        <v>180.17</v>
      </c>
      <c r="C8091" s="2">
        <f>IFERROR(__xludf.DUMMYFUNCTION("""COMPUTED_VALUE"""),183.68)</f>
        <v>183.68</v>
      </c>
      <c r="D8091" s="2">
        <f>IFERROR(__xludf.DUMMYFUNCTION("""COMPUTED_VALUE"""),180.07)</f>
        <v>180.07</v>
      </c>
      <c r="E8091" s="2">
        <f>IFERROR(__xludf.DUMMYFUNCTION("""COMPUTED_VALUE"""),183.32)</f>
        <v>183.32</v>
      </c>
      <c r="F8091" s="2">
        <f>IFERROR(__xludf.DUMMYFUNCTION("""COMPUTED_VALUE"""),5349750.0)</f>
        <v>5349750</v>
      </c>
    </row>
    <row r="8092">
      <c r="A8092" s="3">
        <f>IFERROR(__xludf.DUMMYFUNCTION("""COMPUTED_VALUE"""),40933.666666666664)</f>
        <v>40933.66667</v>
      </c>
      <c r="B8092" s="2">
        <f>IFERROR(__xludf.DUMMYFUNCTION("""COMPUTED_VALUE"""),182.75)</f>
        <v>182.75</v>
      </c>
      <c r="C8092" s="2">
        <f>IFERROR(__xludf.DUMMYFUNCTION("""COMPUTED_VALUE"""),183.62)</f>
        <v>183.62</v>
      </c>
      <c r="D8092" s="2">
        <f>IFERROR(__xludf.DUMMYFUNCTION("""COMPUTED_VALUE"""),181.11)</f>
        <v>181.11</v>
      </c>
      <c r="E8092" s="2">
        <f>IFERROR(__xludf.DUMMYFUNCTION("""COMPUTED_VALUE"""),183.13)</f>
        <v>183.13</v>
      </c>
      <c r="F8092" s="2">
        <f>IFERROR(__xludf.DUMMYFUNCTION("""COMPUTED_VALUE"""),4360603.0)</f>
        <v>4360603</v>
      </c>
    </row>
    <row r="8093">
      <c r="A8093" s="3">
        <f>IFERROR(__xludf.DUMMYFUNCTION("""COMPUTED_VALUE"""),40934.666666666664)</f>
        <v>40934.66667</v>
      </c>
      <c r="B8093" s="2">
        <f>IFERROR(__xludf.DUMMYFUNCTION("""COMPUTED_VALUE"""),183.19)</f>
        <v>183.19</v>
      </c>
      <c r="C8093" s="2">
        <f>IFERROR(__xludf.DUMMYFUNCTION("""COMPUTED_VALUE"""),184.15)</f>
        <v>184.15</v>
      </c>
      <c r="D8093" s="2">
        <f>IFERROR(__xludf.DUMMYFUNCTION("""COMPUTED_VALUE"""),181.93)</f>
        <v>181.93</v>
      </c>
      <c r="E8093" s="2">
        <f>IFERROR(__xludf.DUMMYFUNCTION("""COMPUTED_VALUE"""),182.42)</f>
        <v>182.42</v>
      </c>
      <c r="F8093" s="2">
        <f>IFERROR(__xludf.DUMMYFUNCTION("""COMPUTED_VALUE"""),4004615.0)</f>
        <v>4004615</v>
      </c>
    </row>
    <row r="8094">
      <c r="A8094" s="3">
        <f>IFERROR(__xludf.DUMMYFUNCTION("""COMPUTED_VALUE"""),40935.666666666664)</f>
        <v>40935.66667</v>
      </c>
      <c r="B8094" s="2">
        <f>IFERROR(__xludf.DUMMYFUNCTION("""COMPUTED_VALUE"""),181.49)</f>
        <v>181.49</v>
      </c>
      <c r="C8094" s="2">
        <f>IFERROR(__xludf.DUMMYFUNCTION("""COMPUTED_VALUE"""),183.17)</f>
        <v>183.17</v>
      </c>
      <c r="D8094" s="2">
        <f>IFERROR(__xludf.DUMMYFUNCTION("""COMPUTED_VALUE"""),181.3)</f>
        <v>181.3</v>
      </c>
      <c r="E8094" s="2">
        <f>IFERROR(__xludf.DUMMYFUNCTION("""COMPUTED_VALUE"""),181.92)</f>
        <v>181.92</v>
      </c>
      <c r="F8094" s="2">
        <f>IFERROR(__xludf.DUMMYFUNCTION("""COMPUTED_VALUE"""),3360521.0)</f>
        <v>3360521</v>
      </c>
    </row>
    <row r="8095">
      <c r="A8095" s="3">
        <f>IFERROR(__xludf.DUMMYFUNCTION("""COMPUTED_VALUE"""),40938.666666666664)</f>
        <v>40938.66667</v>
      </c>
      <c r="B8095" s="2">
        <f>IFERROR(__xludf.DUMMYFUNCTION("""COMPUTED_VALUE"""),180.9)</f>
        <v>180.9</v>
      </c>
      <c r="C8095" s="2">
        <f>IFERROR(__xludf.DUMMYFUNCTION("""COMPUTED_VALUE"""),184.09)</f>
        <v>184.09</v>
      </c>
      <c r="D8095" s="2">
        <f>IFERROR(__xludf.DUMMYFUNCTION("""COMPUTED_VALUE"""),179.78)</f>
        <v>179.78</v>
      </c>
      <c r="E8095" s="2">
        <f>IFERROR(__xludf.DUMMYFUNCTION("""COMPUTED_VALUE"""),183.87)</f>
        <v>183.87</v>
      </c>
      <c r="F8095" s="2">
        <f>IFERROR(__xludf.DUMMYFUNCTION("""COMPUTED_VALUE"""),4359045.0)</f>
        <v>4359045</v>
      </c>
    </row>
    <row r="8096">
      <c r="A8096" s="3">
        <f>IFERROR(__xludf.DUMMYFUNCTION("""COMPUTED_VALUE"""),40939.666666666664)</f>
        <v>40939.66667</v>
      </c>
      <c r="B8096" s="2">
        <f>IFERROR(__xludf.DUMMYFUNCTION("""COMPUTED_VALUE"""),184.43)</f>
        <v>184.43</v>
      </c>
      <c r="C8096" s="2">
        <f>IFERROR(__xludf.DUMMYFUNCTION("""COMPUTED_VALUE"""),184.44)</f>
        <v>184.44</v>
      </c>
      <c r="D8096" s="2">
        <f>IFERROR(__xludf.DUMMYFUNCTION("""COMPUTED_VALUE"""),182.44)</f>
        <v>182.44</v>
      </c>
      <c r="E8096" s="2">
        <f>IFERROR(__xludf.DUMMYFUNCTION("""COMPUTED_VALUE"""),183.96)</f>
        <v>183.96</v>
      </c>
      <c r="F8096" s="2">
        <f>IFERROR(__xludf.DUMMYFUNCTION("""COMPUTED_VALUE"""),4827924.0)</f>
        <v>4827924</v>
      </c>
    </row>
    <row r="8097">
      <c r="A8097" s="3">
        <f>IFERROR(__xludf.DUMMYFUNCTION("""COMPUTED_VALUE"""),40940.666666666664)</f>
        <v>40940.66667</v>
      </c>
      <c r="B8097" s="2">
        <f>IFERROR(__xludf.DUMMYFUNCTION("""COMPUTED_VALUE"""),184.55)</f>
        <v>184.55</v>
      </c>
      <c r="C8097" s="2">
        <f>IFERROR(__xludf.DUMMYFUNCTION("""COMPUTED_VALUE"""),186.08)</f>
        <v>186.08</v>
      </c>
      <c r="D8097" s="2">
        <f>IFERROR(__xludf.DUMMYFUNCTION("""COMPUTED_VALUE"""),183.78)</f>
        <v>183.78</v>
      </c>
      <c r="E8097" s="2">
        <f>IFERROR(__xludf.DUMMYFUNCTION("""COMPUTED_VALUE"""),183.98)</f>
        <v>183.98</v>
      </c>
      <c r="F8097" s="2">
        <f>IFERROR(__xludf.DUMMYFUNCTION("""COMPUTED_VALUE"""),5089251.0)</f>
        <v>5089251</v>
      </c>
    </row>
    <row r="8098">
      <c r="A8098" s="3">
        <f>IFERROR(__xludf.DUMMYFUNCTION("""COMPUTED_VALUE"""),40941.666666666664)</f>
        <v>40941.66667</v>
      </c>
      <c r="B8098" s="2">
        <f>IFERROR(__xludf.DUMMYFUNCTION("""COMPUTED_VALUE"""),184.08)</f>
        <v>184.08</v>
      </c>
      <c r="C8098" s="2">
        <f>IFERROR(__xludf.DUMMYFUNCTION("""COMPUTED_VALUE"""),184.66)</f>
        <v>184.66</v>
      </c>
      <c r="D8098" s="2">
        <f>IFERROR(__xludf.DUMMYFUNCTION("""COMPUTED_VALUE"""),182.75)</f>
        <v>182.75</v>
      </c>
      <c r="E8098" s="2">
        <f>IFERROR(__xludf.DUMMYFUNCTION("""COMPUTED_VALUE"""),182.94)</f>
        <v>182.94</v>
      </c>
      <c r="F8098" s="2">
        <f>IFERROR(__xludf.DUMMYFUNCTION("""COMPUTED_VALUE"""),3907360.0)</f>
        <v>3907360</v>
      </c>
    </row>
    <row r="8099">
      <c r="A8099" s="3">
        <f>IFERROR(__xludf.DUMMYFUNCTION("""COMPUTED_VALUE"""),40942.666666666664)</f>
        <v>40942.66667</v>
      </c>
      <c r="B8099" s="2">
        <f>IFERROR(__xludf.DUMMYFUNCTION("""COMPUTED_VALUE"""),184.28)</f>
        <v>184.28</v>
      </c>
      <c r="C8099" s="2">
        <f>IFERROR(__xludf.DUMMYFUNCTION("""COMPUTED_VALUE"""),185.43)</f>
        <v>185.43</v>
      </c>
      <c r="D8099" s="2">
        <f>IFERROR(__xludf.DUMMYFUNCTION("""COMPUTED_VALUE"""),183.91)</f>
        <v>183.91</v>
      </c>
      <c r="E8099" s="2">
        <f>IFERROR(__xludf.DUMMYFUNCTION("""COMPUTED_VALUE"""),184.96)</f>
        <v>184.96</v>
      </c>
      <c r="F8099" s="2">
        <f>IFERROR(__xludf.DUMMYFUNCTION("""COMPUTED_VALUE"""),4521636.0)</f>
        <v>4521636</v>
      </c>
    </row>
    <row r="8100">
      <c r="A8100" s="3">
        <f>IFERROR(__xludf.DUMMYFUNCTION("""COMPUTED_VALUE"""),40945.666666666664)</f>
        <v>40945.66667</v>
      </c>
      <c r="B8100" s="2">
        <f>IFERROR(__xludf.DUMMYFUNCTION("""COMPUTED_VALUE"""),183.85)</f>
        <v>183.85</v>
      </c>
      <c r="C8100" s="2">
        <f>IFERROR(__xludf.DUMMYFUNCTION("""COMPUTED_VALUE"""),185.07)</f>
        <v>185.07</v>
      </c>
      <c r="D8100" s="2">
        <f>IFERROR(__xludf.DUMMYFUNCTION("""COMPUTED_VALUE"""),183.39)</f>
        <v>183.39</v>
      </c>
      <c r="E8100" s="2">
        <f>IFERROR(__xludf.DUMMYFUNCTION("""COMPUTED_VALUE"""),184.17)</f>
        <v>184.17</v>
      </c>
      <c r="F8100" s="2">
        <f>IFERROR(__xludf.DUMMYFUNCTION("""COMPUTED_VALUE"""),3639807.0)</f>
        <v>3639807</v>
      </c>
    </row>
    <row r="8101">
      <c r="A8101" s="3">
        <f>IFERROR(__xludf.DUMMYFUNCTION("""COMPUTED_VALUE"""),40946.666666666664)</f>
        <v>40946.66667</v>
      </c>
      <c r="B8101" s="2">
        <f>IFERROR(__xludf.DUMMYFUNCTION("""COMPUTED_VALUE"""),183.82)</f>
        <v>183.82</v>
      </c>
      <c r="C8101" s="2">
        <f>IFERROR(__xludf.DUMMYFUNCTION("""COMPUTED_VALUE"""),185.44)</f>
        <v>185.44</v>
      </c>
      <c r="D8101" s="2">
        <f>IFERROR(__xludf.DUMMYFUNCTION("""COMPUTED_VALUE"""),183.36)</f>
        <v>183.36</v>
      </c>
      <c r="E8101" s="2">
        <f>IFERROR(__xludf.DUMMYFUNCTION("""COMPUTED_VALUE"""),184.68)</f>
        <v>184.68</v>
      </c>
      <c r="F8101" s="2">
        <f>IFERROR(__xludf.DUMMYFUNCTION("""COMPUTED_VALUE"""),3432953.0)</f>
        <v>3432953</v>
      </c>
    </row>
    <row r="8102">
      <c r="A8102" s="3">
        <f>IFERROR(__xludf.DUMMYFUNCTION("""COMPUTED_VALUE"""),40947.666666666664)</f>
        <v>40947.66667</v>
      </c>
      <c r="B8102" s="2">
        <f>IFERROR(__xludf.DUMMYFUNCTION("""COMPUTED_VALUE"""),184.14)</f>
        <v>184.14</v>
      </c>
      <c r="C8102" s="2">
        <f>IFERROR(__xludf.DUMMYFUNCTION("""COMPUTED_VALUE"""),184.9)</f>
        <v>184.9</v>
      </c>
      <c r="D8102" s="2">
        <f>IFERROR(__xludf.DUMMYFUNCTION("""COMPUTED_VALUE"""),183.13)</f>
        <v>183.13</v>
      </c>
      <c r="E8102" s="2">
        <f>IFERROR(__xludf.DUMMYFUNCTION("""COMPUTED_VALUE"""),184.3)</f>
        <v>184.3</v>
      </c>
      <c r="F8102" s="2">
        <f>IFERROR(__xludf.DUMMYFUNCTION("""COMPUTED_VALUE"""),3804288.0)</f>
        <v>3804288</v>
      </c>
    </row>
    <row r="8103">
      <c r="A8103" s="3">
        <f>IFERROR(__xludf.DUMMYFUNCTION("""COMPUTED_VALUE"""),40948.666666666664)</f>
        <v>40948.66667</v>
      </c>
      <c r="B8103" s="2">
        <f>IFERROR(__xludf.DUMMYFUNCTION("""COMPUTED_VALUE"""),184.38)</f>
        <v>184.38</v>
      </c>
      <c r="C8103" s="2">
        <f>IFERROR(__xludf.DUMMYFUNCTION("""COMPUTED_VALUE"""),185.74)</f>
        <v>185.74</v>
      </c>
      <c r="D8103" s="2">
        <f>IFERROR(__xludf.DUMMYFUNCTION("""COMPUTED_VALUE"""),183.92)</f>
        <v>183.92</v>
      </c>
      <c r="E8103" s="2">
        <f>IFERROR(__xludf.DUMMYFUNCTION("""COMPUTED_VALUE"""),184.47)</f>
        <v>184.47</v>
      </c>
      <c r="F8103" s="2">
        <f>IFERROR(__xludf.DUMMYFUNCTION("""COMPUTED_VALUE"""),3876530.0)</f>
        <v>3876530</v>
      </c>
    </row>
    <row r="8104">
      <c r="A8104" s="3">
        <f>IFERROR(__xludf.DUMMYFUNCTION("""COMPUTED_VALUE"""),40949.666666666664)</f>
        <v>40949.66667</v>
      </c>
      <c r="B8104" s="2">
        <f>IFERROR(__xludf.DUMMYFUNCTION("""COMPUTED_VALUE"""),183.16)</f>
        <v>183.16</v>
      </c>
      <c r="C8104" s="2">
        <f>IFERROR(__xludf.DUMMYFUNCTION("""COMPUTED_VALUE"""),183.8)</f>
        <v>183.8</v>
      </c>
      <c r="D8104" s="2">
        <f>IFERROR(__xludf.DUMMYFUNCTION("""COMPUTED_VALUE"""),182.7)</f>
        <v>182.7</v>
      </c>
      <c r="E8104" s="2">
        <f>IFERROR(__xludf.DUMMYFUNCTION("""COMPUTED_VALUE"""),183.79)</f>
        <v>183.79</v>
      </c>
      <c r="F8104" s="2">
        <f>IFERROR(__xludf.DUMMYFUNCTION("""COMPUTED_VALUE"""),3391177.0)</f>
        <v>3391177</v>
      </c>
    </row>
    <row r="8105">
      <c r="A8105" s="3">
        <f>IFERROR(__xludf.DUMMYFUNCTION("""COMPUTED_VALUE"""),40952.666666666664)</f>
        <v>40952.66667</v>
      </c>
      <c r="B8105" s="2">
        <f>IFERROR(__xludf.DUMMYFUNCTION("""COMPUTED_VALUE"""),184.64)</f>
        <v>184.64</v>
      </c>
      <c r="C8105" s="2">
        <f>IFERROR(__xludf.DUMMYFUNCTION("""COMPUTED_VALUE"""),185.01)</f>
        <v>185.01</v>
      </c>
      <c r="D8105" s="2">
        <f>IFERROR(__xludf.DUMMYFUNCTION("""COMPUTED_VALUE"""),183.14)</f>
        <v>183.14</v>
      </c>
      <c r="E8105" s="2">
        <f>IFERROR(__xludf.DUMMYFUNCTION("""COMPUTED_VALUE"""),183.98)</f>
        <v>183.98</v>
      </c>
      <c r="F8105" s="2">
        <f>IFERROR(__xludf.DUMMYFUNCTION("""COMPUTED_VALUE"""),2458889.0)</f>
        <v>2458889</v>
      </c>
    </row>
    <row r="8106">
      <c r="A8106" s="3">
        <f>IFERROR(__xludf.DUMMYFUNCTION("""COMPUTED_VALUE"""),40953.666666666664)</f>
        <v>40953.66667</v>
      </c>
      <c r="B8106" s="2">
        <f>IFERROR(__xludf.DUMMYFUNCTION("""COMPUTED_VALUE"""),183.16)</f>
        <v>183.16</v>
      </c>
      <c r="C8106" s="2">
        <f>IFERROR(__xludf.DUMMYFUNCTION("""COMPUTED_VALUE"""),183.96)</f>
        <v>183.96</v>
      </c>
      <c r="D8106" s="2">
        <f>IFERROR(__xludf.DUMMYFUNCTION("""COMPUTED_VALUE"""),182.27)</f>
        <v>182.27</v>
      </c>
      <c r="E8106" s="2">
        <f>IFERROR(__xludf.DUMMYFUNCTION("""COMPUTED_VALUE"""),183.6)</f>
        <v>183.6</v>
      </c>
      <c r="F8106" s="2">
        <f>IFERROR(__xludf.DUMMYFUNCTION("""COMPUTED_VALUE"""),3398364.0)</f>
        <v>3398364</v>
      </c>
    </row>
    <row r="8107">
      <c r="A8107" s="3">
        <f>IFERROR(__xludf.DUMMYFUNCTION("""COMPUTED_VALUE"""),40954.666666666664)</f>
        <v>40954.66667</v>
      </c>
      <c r="B8107" s="2">
        <f>IFERROR(__xludf.DUMMYFUNCTION("""COMPUTED_VALUE"""),183.69)</f>
        <v>183.69</v>
      </c>
      <c r="C8107" s="2">
        <f>IFERROR(__xludf.DUMMYFUNCTION("""COMPUTED_VALUE"""),184.77)</f>
        <v>184.77</v>
      </c>
      <c r="D8107" s="2">
        <f>IFERROR(__xludf.DUMMYFUNCTION("""COMPUTED_VALUE"""),182.68)</f>
        <v>182.68</v>
      </c>
      <c r="E8107" s="2">
        <f>IFERROR(__xludf.DUMMYFUNCTION("""COMPUTED_VALUE"""),183.63)</f>
        <v>183.63</v>
      </c>
      <c r="F8107" s="2">
        <f>IFERROR(__xludf.DUMMYFUNCTION("""COMPUTED_VALUE"""),4021139.0)</f>
        <v>4021139</v>
      </c>
    </row>
    <row r="8108">
      <c r="A8108" s="3">
        <f>IFERROR(__xludf.DUMMYFUNCTION("""COMPUTED_VALUE"""),40955.666666666664)</f>
        <v>40955.66667</v>
      </c>
      <c r="B8108" s="2">
        <f>IFERROR(__xludf.DUMMYFUNCTION("""COMPUTED_VALUE"""),183.97)</f>
        <v>183.97</v>
      </c>
      <c r="C8108" s="2">
        <f>IFERROR(__xludf.DUMMYFUNCTION("""COMPUTED_VALUE"""),184.59)</f>
        <v>184.59</v>
      </c>
      <c r="D8108" s="2">
        <f>IFERROR(__xludf.DUMMYFUNCTION("""COMPUTED_VALUE"""),183.39)</f>
        <v>183.39</v>
      </c>
      <c r="E8108" s="2">
        <f>IFERROR(__xludf.DUMMYFUNCTION("""COMPUTED_VALUE"""),184.37)</f>
        <v>184.37</v>
      </c>
      <c r="F8108" s="2">
        <f>IFERROR(__xludf.DUMMYFUNCTION("""COMPUTED_VALUE"""),3525728.0)</f>
        <v>3525728</v>
      </c>
    </row>
    <row r="8109">
      <c r="A8109" s="3">
        <f>IFERROR(__xludf.DUMMYFUNCTION("""COMPUTED_VALUE"""),40956.666666666664)</f>
        <v>40956.66667</v>
      </c>
      <c r="B8109" s="2">
        <f>IFERROR(__xludf.DUMMYFUNCTION("""COMPUTED_VALUE"""),185.02)</f>
        <v>185.02</v>
      </c>
      <c r="C8109" s="2">
        <f>IFERROR(__xludf.DUMMYFUNCTION("""COMPUTED_VALUE"""),185.17)</f>
        <v>185.17</v>
      </c>
      <c r="D8109" s="2">
        <f>IFERROR(__xludf.DUMMYFUNCTION("""COMPUTED_VALUE"""),183.68)</f>
        <v>183.68</v>
      </c>
      <c r="E8109" s="2">
        <f>IFERROR(__xludf.DUMMYFUNCTION("""COMPUTED_VALUE"""),184.75)</f>
        <v>184.75</v>
      </c>
      <c r="F8109" s="2">
        <f>IFERROR(__xludf.DUMMYFUNCTION("""COMPUTED_VALUE"""),3746679.0)</f>
        <v>3746679</v>
      </c>
    </row>
    <row r="8110">
      <c r="A8110" s="3">
        <f>IFERROR(__xludf.DUMMYFUNCTION("""COMPUTED_VALUE"""),40960.666666666664)</f>
        <v>40960.66667</v>
      </c>
      <c r="B8110" s="2">
        <f>IFERROR(__xludf.DUMMYFUNCTION("""COMPUTED_VALUE"""),185.04)</f>
        <v>185.04</v>
      </c>
      <c r="C8110" s="2">
        <f>IFERROR(__xludf.DUMMYFUNCTION("""COMPUTED_VALUE"""),185.53)</f>
        <v>185.53</v>
      </c>
      <c r="D8110" s="2">
        <f>IFERROR(__xludf.DUMMYFUNCTION("""COMPUTED_VALUE"""),183.83)</f>
        <v>183.83</v>
      </c>
      <c r="E8110" s="2">
        <f>IFERROR(__xludf.DUMMYFUNCTION("""COMPUTED_VALUE"""),184.72)</f>
        <v>184.72</v>
      </c>
      <c r="F8110" s="2">
        <f>IFERROR(__xludf.DUMMYFUNCTION("""COMPUTED_VALUE"""),3294073.0)</f>
        <v>3294073</v>
      </c>
    </row>
    <row r="8111">
      <c r="A8111" s="3">
        <f>IFERROR(__xludf.DUMMYFUNCTION("""COMPUTED_VALUE"""),40961.666666666664)</f>
        <v>40961.66667</v>
      </c>
      <c r="B8111" s="2">
        <f>IFERROR(__xludf.DUMMYFUNCTION("""COMPUTED_VALUE"""),184.38)</f>
        <v>184.38</v>
      </c>
      <c r="C8111" s="2">
        <f>IFERROR(__xludf.DUMMYFUNCTION("""COMPUTED_VALUE"""),186.01)</f>
        <v>186.01</v>
      </c>
      <c r="D8111" s="2">
        <f>IFERROR(__xludf.DUMMYFUNCTION("""COMPUTED_VALUE"""),184.11)</f>
        <v>184.11</v>
      </c>
      <c r="E8111" s="2">
        <f>IFERROR(__xludf.DUMMYFUNCTION("""COMPUTED_VALUE"""),185.18)</f>
        <v>185.18</v>
      </c>
      <c r="F8111" s="2">
        <f>IFERROR(__xludf.DUMMYFUNCTION("""COMPUTED_VALUE"""),3276029.0)</f>
        <v>3276029</v>
      </c>
    </row>
    <row r="8112">
      <c r="A8112" s="3">
        <f>IFERROR(__xludf.DUMMYFUNCTION("""COMPUTED_VALUE"""),40962.666666666664)</f>
        <v>40962.66667</v>
      </c>
      <c r="B8112" s="2">
        <f>IFERROR(__xludf.DUMMYFUNCTION("""COMPUTED_VALUE"""),185.18)</f>
        <v>185.18</v>
      </c>
      <c r="C8112" s="2">
        <f>IFERROR(__xludf.DUMMYFUNCTION("""COMPUTED_VALUE"""),190.3)</f>
        <v>190.3</v>
      </c>
      <c r="D8112" s="2">
        <f>IFERROR(__xludf.DUMMYFUNCTION("""COMPUTED_VALUE"""),184.61)</f>
        <v>184.61</v>
      </c>
      <c r="E8112" s="2">
        <f>IFERROR(__xludf.DUMMYFUNCTION("""COMPUTED_VALUE"""),188.75)</f>
        <v>188.75</v>
      </c>
      <c r="F8112" s="2">
        <f>IFERROR(__xludf.DUMMYFUNCTION("""COMPUTED_VALUE"""),8034535.0)</f>
        <v>8034535</v>
      </c>
    </row>
    <row r="8113">
      <c r="A8113" s="3">
        <f>IFERROR(__xludf.DUMMYFUNCTION("""COMPUTED_VALUE"""),40963.666666666664)</f>
        <v>40963.66667</v>
      </c>
      <c r="B8113" s="2">
        <f>IFERROR(__xludf.DUMMYFUNCTION("""COMPUTED_VALUE"""),189.49)</f>
        <v>189.49</v>
      </c>
      <c r="C8113" s="2">
        <f>IFERROR(__xludf.DUMMYFUNCTION("""COMPUTED_VALUE"""),189.66)</f>
        <v>189.66</v>
      </c>
      <c r="D8113" s="2">
        <f>IFERROR(__xludf.DUMMYFUNCTION("""COMPUTED_VALUE"""),187.79)</f>
        <v>187.79</v>
      </c>
      <c r="E8113" s="2">
        <f>IFERROR(__xludf.DUMMYFUNCTION("""COMPUTED_VALUE"""),188.89)</f>
        <v>188.89</v>
      </c>
      <c r="F8113" s="2">
        <f>IFERROR(__xludf.DUMMYFUNCTION("""COMPUTED_VALUE"""),3353242.0)</f>
        <v>3353242</v>
      </c>
    </row>
    <row r="8114">
      <c r="A8114" s="3">
        <f>IFERROR(__xludf.DUMMYFUNCTION("""COMPUTED_VALUE"""),40966.666666666664)</f>
        <v>40966.66667</v>
      </c>
      <c r="B8114" s="2">
        <f>IFERROR(__xludf.DUMMYFUNCTION("""COMPUTED_VALUE"""),187.96)</f>
        <v>187.96</v>
      </c>
      <c r="C8114" s="2">
        <f>IFERROR(__xludf.DUMMYFUNCTION("""COMPUTED_VALUE"""),189.8)</f>
        <v>189.8</v>
      </c>
      <c r="D8114" s="2">
        <f>IFERROR(__xludf.DUMMYFUNCTION("""COMPUTED_VALUE"""),187.31)</f>
        <v>187.31</v>
      </c>
      <c r="E8114" s="2">
        <f>IFERROR(__xludf.DUMMYFUNCTION("""COMPUTED_VALUE"""),188.67)</f>
        <v>188.67</v>
      </c>
      <c r="F8114" s="2">
        <f>IFERROR(__xludf.DUMMYFUNCTION("""COMPUTED_VALUE"""),3758585.0)</f>
        <v>3758585</v>
      </c>
    </row>
    <row r="8115">
      <c r="A8115" s="3">
        <f>IFERROR(__xludf.DUMMYFUNCTION("""COMPUTED_VALUE"""),40967.666666666664)</f>
        <v>40967.66667</v>
      </c>
      <c r="B8115" s="2">
        <f>IFERROR(__xludf.DUMMYFUNCTION("""COMPUTED_VALUE"""),188.88)</f>
        <v>188.88</v>
      </c>
      <c r="C8115" s="2">
        <f>IFERROR(__xludf.DUMMYFUNCTION("""COMPUTED_VALUE"""),190.04)</f>
        <v>190.04</v>
      </c>
      <c r="D8115" s="2">
        <f>IFERROR(__xludf.DUMMYFUNCTION("""COMPUTED_VALUE"""),188.58)</f>
        <v>188.58</v>
      </c>
      <c r="E8115" s="2">
        <f>IFERROR(__xludf.DUMMYFUNCTION("""COMPUTED_VALUE"""),189.1)</f>
        <v>189.1</v>
      </c>
      <c r="F8115" s="2">
        <f>IFERROR(__xludf.DUMMYFUNCTION("""COMPUTED_VALUE"""),3167481.0)</f>
        <v>3167481</v>
      </c>
    </row>
    <row r="8116">
      <c r="A8116" s="3">
        <f>IFERROR(__xludf.DUMMYFUNCTION("""COMPUTED_VALUE"""),40968.666666666664)</f>
        <v>40968.66667</v>
      </c>
      <c r="B8116" s="2">
        <f>IFERROR(__xludf.DUMMYFUNCTION("""COMPUTED_VALUE"""),188.99)</f>
        <v>188.99</v>
      </c>
      <c r="C8116" s="2">
        <f>IFERROR(__xludf.DUMMYFUNCTION("""COMPUTED_VALUE"""),190.24)</f>
        <v>190.24</v>
      </c>
      <c r="D8116" s="2">
        <f>IFERROR(__xludf.DUMMYFUNCTION("""COMPUTED_VALUE"""),187.64)</f>
        <v>187.64</v>
      </c>
      <c r="E8116" s="2">
        <f>IFERROR(__xludf.DUMMYFUNCTION("""COMPUTED_VALUE"""),187.91)</f>
        <v>187.91</v>
      </c>
      <c r="F8116" s="2">
        <f>IFERROR(__xludf.DUMMYFUNCTION("""COMPUTED_VALUE"""),5120543.0)</f>
        <v>5120543</v>
      </c>
    </row>
    <row r="8117">
      <c r="A8117" s="3">
        <f>IFERROR(__xludf.DUMMYFUNCTION("""COMPUTED_VALUE"""),40969.666666666664)</f>
        <v>40969.66667</v>
      </c>
      <c r="B8117" s="2">
        <f>IFERROR(__xludf.DUMMYFUNCTION("""COMPUTED_VALUE"""),188.39)</f>
        <v>188.39</v>
      </c>
      <c r="C8117" s="2">
        <f>IFERROR(__xludf.DUMMYFUNCTION("""COMPUTED_VALUE"""),189.57)</f>
        <v>189.57</v>
      </c>
      <c r="D8117" s="2">
        <f>IFERROR(__xludf.DUMMYFUNCTION("""COMPUTED_VALUE"""),188.1)</f>
        <v>188.1</v>
      </c>
      <c r="E8117" s="2">
        <f>IFERROR(__xludf.DUMMYFUNCTION("""COMPUTED_VALUE"""),188.67)</f>
        <v>188.67</v>
      </c>
      <c r="F8117" s="2">
        <f>IFERROR(__xludf.DUMMYFUNCTION("""COMPUTED_VALUE"""),3560706.0)</f>
        <v>3560706</v>
      </c>
    </row>
    <row r="8118">
      <c r="A8118" s="3">
        <f>IFERROR(__xludf.DUMMYFUNCTION("""COMPUTED_VALUE"""),40970.666666666664)</f>
        <v>40970.66667</v>
      </c>
      <c r="B8118" s="2">
        <f>IFERROR(__xludf.DUMMYFUNCTION("""COMPUTED_VALUE"""),188.26)</f>
        <v>188.26</v>
      </c>
      <c r="C8118" s="2">
        <f>IFERROR(__xludf.DUMMYFUNCTION("""COMPUTED_VALUE"""),189.97)</f>
        <v>189.97</v>
      </c>
      <c r="D8118" s="2">
        <f>IFERROR(__xludf.DUMMYFUNCTION("""COMPUTED_VALUE"""),188.22)</f>
        <v>188.22</v>
      </c>
      <c r="E8118" s="2">
        <f>IFERROR(__xludf.DUMMYFUNCTION("""COMPUTED_VALUE"""),189.9)</f>
        <v>189.9</v>
      </c>
      <c r="F8118" s="2">
        <f>IFERROR(__xludf.DUMMYFUNCTION("""COMPUTED_VALUE"""),3727970.0)</f>
        <v>3727970</v>
      </c>
    </row>
    <row r="8119">
      <c r="A8119" s="3">
        <f>IFERROR(__xludf.DUMMYFUNCTION("""COMPUTED_VALUE"""),40973.666666666664)</f>
        <v>40973.66667</v>
      </c>
      <c r="B8119" s="2">
        <f>IFERROR(__xludf.DUMMYFUNCTION("""COMPUTED_VALUE"""),189.47)</f>
        <v>189.47</v>
      </c>
      <c r="C8119" s="2">
        <f>IFERROR(__xludf.DUMMYFUNCTION("""COMPUTED_VALUE"""),192.17)</f>
        <v>192.17</v>
      </c>
      <c r="D8119" s="2">
        <f>IFERROR(__xludf.DUMMYFUNCTION("""COMPUTED_VALUE"""),189.41)</f>
        <v>189.41</v>
      </c>
      <c r="E8119" s="2">
        <f>IFERROR(__xludf.DUMMYFUNCTION("""COMPUTED_VALUE"""),191.66)</f>
        <v>191.66</v>
      </c>
      <c r="F8119" s="2">
        <f>IFERROR(__xludf.DUMMYFUNCTION("""COMPUTED_VALUE"""),6938659.0)</f>
        <v>6938659</v>
      </c>
    </row>
    <row r="8120">
      <c r="A8120" s="3">
        <f>IFERROR(__xludf.DUMMYFUNCTION("""COMPUTED_VALUE"""),40974.666666666664)</f>
        <v>40974.66667</v>
      </c>
      <c r="B8120" s="2">
        <f>IFERROR(__xludf.DUMMYFUNCTION("""COMPUTED_VALUE"""),190.21)</f>
        <v>190.21</v>
      </c>
      <c r="C8120" s="2">
        <f>IFERROR(__xludf.DUMMYFUNCTION("""COMPUTED_VALUE"""),190.69)</f>
        <v>190.69</v>
      </c>
      <c r="D8120" s="2">
        <f>IFERROR(__xludf.DUMMYFUNCTION("""COMPUTED_VALUE"""),187.99)</f>
        <v>187.99</v>
      </c>
      <c r="E8120" s="2">
        <f>IFERROR(__xludf.DUMMYFUNCTION("""COMPUTED_VALUE"""),188.42)</f>
        <v>188.42</v>
      </c>
      <c r="F8120" s="2">
        <f>IFERROR(__xludf.DUMMYFUNCTION("""COMPUTED_VALUE"""),5215871.0)</f>
        <v>5215871</v>
      </c>
    </row>
    <row r="8121">
      <c r="A8121" s="3">
        <f>IFERROR(__xludf.DUMMYFUNCTION("""COMPUTED_VALUE"""),40975.666666666664)</f>
        <v>40975.66667</v>
      </c>
      <c r="B8121" s="2">
        <f>IFERROR(__xludf.DUMMYFUNCTION("""COMPUTED_VALUE"""),189.21)</f>
        <v>189.21</v>
      </c>
      <c r="C8121" s="2">
        <f>IFERROR(__xludf.DUMMYFUNCTION("""COMPUTED_VALUE"""),189.67)</f>
        <v>189.67</v>
      </c>
      <c r="D8121" s="2">
        <f>IFERROR(__xludf.DUMMYFUNCTION("""COMPUTED_VALUE"""),188.46)</f>
        <v>188.46</v>
      </c>
      <c r="E8121" s="2">
        <f>IFERROR(__xludf.DUMMYFUNCTION("""COMPUTED_VALUE"""),188.9)</f>
        <v>188.9</v>
      </c>
      <c r="F8121" s="2">
        <f>IFERROR(__xludf.DUMMYFUNCTION("""COMPUTED_VALUE"""),3346878.0)</f>
        <v>3346878</v>
      </c>
    </row>
    <row r="8122">
      <c r="A8122" s="3">
        <f>IFERROR(__xludf.DUMMYFUNCTION("""COMPUTED_VALUE"""),40976.666666666664)</f>
        <v>40976.66667</v>
      </c>
      <c r="B8122" s="2">
        <f>IFERROR(__xludf.DUMMYFUNCTION("""COMPUTED_VALUE"""),190.31)</f>
        <v>190.31</v>
      </c>
      <c r="C8122" s="2">
        <f>IFERROR(__xludf.DUMMYFUNCTION("""COMPUTED_VALUE"""),191.02)</f>
        <v>191.02</v>
      </c>
      <c r="D8122" s="2">
        <f>IFERROR(__xludf.DUMMYFUNCTION("""COMPUTED_VALUE"""),189.74)</f>
        <v>189.74</v>
      </c>
      <c r="E8122" s="2">
        <f>IFERROR(__xludf.DUMMYFUNCTION("""COMPUTED_VALUE"""),190.85)</f>
        <v>190.85</v>
      </c>
      <c r="F8122" s="2">
        <f>IFERROR(__xludf.DUMMYFUNCTION("""COMPUTED_VALUE"""),3145893.0)</f>
        <v>3145893</v>
      </c>
    </row>
    <row r="8123">
      <c r="A8123" s="3">
        <f>IFERROR(__xludf.DUMMYFUNCTION("""COMPUTED_VALUE"""),40977.666666666664)</f>
        <v>40977.66667</v>
      </c>
      <c r="B8123" s="2">
        <f>IFERROR(__xludf.DUMMYFUNCTION("""COMPUTED_VALUE"""),191.01)</f>
        <v>191.01</v>
      </c>
      <c r="C8123" s="2">
        <f>IFERROR(__xludf.DUMMYFUNCTION("""COMPUTED_VALUE"""),192.08)</f>
        <v>192.08</v>
      </c>
      <c r="D8123" s="2">
        <f>IFERROR(__xludf.DUMMYFUNCTION("""COMPUTED_VALUE"""),190.77)</f>
        <v>190.77</v>
      </c>
      <c r="E8123" s="2">
        <f>IFERROR(__xludf.DUMMYFUNCTION("""COMPUTED_VALUE"""),191.63)</f>
        <v>191.63</v>
      </c>
      <c r="F8123" s="2">
        <f>IFERROR(__xludf.DUMMYFUNCTION("""COMPUTED_VALUE"""),3178143.0)</f>
        <v>3178143</v>
      </c>
    </row>
    <row r="8124">
      <c r="A8124" s="3">
        <f>IFERROR(__xludf.DUMMYFUNCTION("""COMPUTED_VALUE"""),40980.666666666664)</f>
        <v>40980.66667</v>
      </c>
      <c r="B8124" s="2">
        <f>IFERROR(__xludf.DUMMYFUNCTION("""COMPUTED_VALUE"""),191.92)</f>
        <v>191.92</v>
      </c>
      <c r="C8124" s="2">
        <f>IFERROR(__xludf.DUMMYFUNCTION("""COMPUTED_VALUE"""),192.53)</f>
        <v>192.53</v>
      </c>
      <c r="D8124" s="2">
        <f>IFERROR(__xludf.DUMMYFUNCTION("""COMPUTED_VALUE"""),191.25)</f>
        <v>191.25</v>
      </c>
      <c r="E8124" s="2">
        <f>IFERROR(__xludf.DUMMYFUNCTION("""COMPUTED_VALUE"""),191.99)</f>
        <v>191.99</v>
      </c>
      <c r="F8124" s="2">
        <f>IFERROR(__xludf.DUMMYFUNCTION("""COMPUTED_VALUE"""),3119666.0)</f>
        <v>3119666</v>
      </c>
    </row>
    <row r="8125">
      <c r="A8125" s="3">
        <f>IFERROR(__xludf.DUMMYFUNCTION("""COMPUTED_VALUE"""),40981.666666666664)</f>
        <v>40981.66667</v>
      </c>
      <c r="B8125" s="2">
        <f>IFERROR(__xludf.DUMMYFUNCTION("""COMPUTED_VALUE"""),192.68)</f>
        <v>192.68</v>
      </c>
      <c r="C8125" s="2">
        <f>IFERROR(__xludf.DUMMYFUNCTION("""COMPUTED_VALUE"""),194.76)</f>
        <v>194.76</v>
      </c>
      <c r="D8125" s="2">
        <f>IFERROR(__xludf.DUMMYFUNCTION("""COMPUTED_VALUE"""),192.57)</f>
        <v>192.57</v>
      </c>
      <c r="E8125" s="2">
        <f>IFERROR(__xludf.DUMMYFUNCTION("""COMPUTED_VALUE"""),194.64)</f>
        <v>194.64</v>
      </c>
      <c r="F8125" s="2">
        <f>IFERROR(__xludf.DUMMYFUNCTION("""COMPUTED_VALUE"""),4864835.0)</f>
        <v>4864835</v>
      </c>
    </row>
    <row r="8126">
      <c r="A8126" s="3">
        <f>IFERROR(__xludf.DUMMYFUNCTION("""COMPUTED_VALUE"""),40982.666666666664)</f>
        <v>40982.66667</v>
      </c>
      <c r="B8126" s="2">
        <f>IFERROR(__xludf.DUMMYFUNCTION("""COMPUTED_VALUE"""),194.64)</f>
        <v>194.64</v>
      </c>
      <c r="C8126" s="2">
        <f>IFERROR(__xludf.DUMMYFUNCTION("""COMPUTED_VALUE"""),195.95)</f>
        <v>195.95</v>
      </c>
      <c r="D8126" s="2">
        <f>IFERROR(__xludf.DUMMYFUNCTION("""COMPUTED_VALUE"""),194.51)</f>
        <v>194.51</v>
      </c>
      <c r="E8126" s="2">
        <f>IFERROR(__xludf.DUMMYFUNCTION("""COMPUTED_VALUE"""),195.54)</f>
        <v>195.54</v>
      </c>
      <c r="F8126" s="2">
        <f>IFERROR(__xludf.DUMMYFUNCTION("""COMPUTED_VALUE"""),4602609.0)</f>
        <v>4602609</v>
      </c>
    </row>
    <row r="8127">
      <c r="A8127" s="3">
        <f>IFERROR(__xludf.DUMMYFUNCTION("""COMPUTED_VALUE"""),40983.666666666664)</f>
        <v>40983.66667</v>
      </c>
      <c r="B8127" s="2">
        <f>IFERROR(__xludf.DUMMYFUNCTION("""COMPUTED_VALUE"""),195.75)</f>
        <v>195.75</v>
      </c>
      <c r="C8127" s="2">
        <f>IFERROR(__xludf.DUMMYFUNCTION("""COMPUTED_VALUE"""),196.94)</f>
        <v>196.94</v>
      </c>
      <c r="D8127" s="2">
        <f>IFERROR(__xludf.DUMMYFUNCTION("""COMPUTED_VALUE"""),195.56)</f>
        <v>195.56</v>
      </c>
      <c r="E8127" s="2">
        <f>IFERROR(__xludf.DUMMYFUNCTION("""COMPUTED_VALUE"""),196.76)</f>
        <v>196.76</v>
      </c>
      <c r="F8127" s="2">
        <f>IFERROR(__xludf.DUMMYFUNCTION("""COMPUTED_VALUE"""),3621170.0)</f>
        <v>3621170</v>
      </c>
    </row>
    <row r="8128">
      <c r="A8128" s="3">
        <f>IFERROR(__xludf.DUMMYFUNCTION("""COMPUTED_VALUE"""),40984.666666666664)</f>
        <v>40984.66667</v>
      </c>
      <c r="B8128" s="2">
        <f>IFERROR(__xludf.DUMMYFUNCTION("""COMPUTED_VALUE"""),197.75)</f>
        <v>197.75</v>
      </c>
      <c r="C8128" s="2">
        <f>IFERROR(__xludf.DUMMYFUNCTION("""COMPUTED_VALUE"""),198.22)</f>
        <v>198.22</v>
      </c>
      <c r="D8128" s="2">
        <f>IFERROR(__xludf.DUMMYFUNCTION("""COMPUTED_VALUE"""),196.77)</f>
        <v>196.77</v>
      </c>
      <c r="E8128" s="2">
        <f>IFERROR(__xludf.DUMMYFUNCTION("""COMPUTED_VALUE"""),196.77)</f>
        <v>196.77</v>
      </c>
      <c r="F8128" s="2">
        <f>IFERROR(__xludf.DUMMYFUNCTION("""COMPUTED_VALUE"""),9638129.0)</f>
        <v>9638129</v>
      </c>
    </row>
    <row r="8129">
      <c r="A8129" s="3">
        <f>IFERROR(__xludf.DUMMYFUNCTION("""COMPUTED_VALUE"""),40987.666666666664)</f>
        <v>40987.66667</v>
      </c>
      <c r="B8129" s="2">
        <f>IFERROR(__xludf.DUMMYFUNCTION("""COMPUTED_VALUE"""),196.49)</f>
        <v>196.49</v>
      </c>
      <c r="C8129" s="2">
        <f>IFERROR(__xludf.DUMMYFUNCTION("""COMPUTED_VALUE"""),197.27)</f>
        <v>197.27</v>
      </c>
      <c r="D8129" s="2">
        <f>IFERROR(__xludf.DUMMYFUNCTION("""COMPUTED_VALUE"""),195.33)</f>
        <v>195.33</v>
      </c>
      <c r="E8129" s="2">
        <f>IFERROR(__xludf.DUMMYFUNCTION("""COMPUTED_VALUE"""),196.5)</f>
        <v>196.5</v>
      </c>
      <c r="F8129" s="2">
        <f>IFERROR(__xludf.DUMMYFUNCTION("""COMPUTED_VALUE"""),3763177.0)</f>
        <v>3763177</v>
      </c>
    </row>
    <row r="8130">
      <c r="A8130" s="3">
        <f>IFERROR(__xludf.DUMMYFUNCTION("""COMPUTED_VALUE"""),40988.666666666664)</f>
        <v>40988.66667</v>
      </c>
      <c r="B8130" s="2">
        <f>IFERROR(__xludf.DUMMYFUNCTION("""COMPUTED_VALUE"""),195.56)</f>
        <v>195.56</v>
      </c>
      <c r="C8130" s="2">
        <f>IFERROR(__xludf.DUMMYFUNCTION("""COMPUTED_VALUE"""),195.81)</f>
        <v>195.81</v>
      </c>
      <c r="D8130" s="2">
        <f>IFERROR(__xludf.DUMMYFUNCTION("""COMPUTED_VALUE"""),194.57)</f>
        <v>194.57</v>
      </c>
      <c r="E8130" s="2">
        <f>IFERROR(__xludf.DUMMYFUNCTION("""COMPUTED_VALUE"""),195.09)</f>
        <v>195.09</v>
      </c>
      <c r="F8130" s="2">
        <f>IFERROR(__xludf.DUMMYFUNCTION("""COMPUTED_VALUE"""),3695026.0)</f>
        <v>3695026</v>
      </c>
    </row>
    <row r="8131">
      <c r="A8131" s="3">
        <f>IFERROR(__xludf.DUMMYFUNCTION("""COMPUTED_VALUE"""),40989.666666666664)</f>
        <v>40989.66667</v>
      </c>
      <c r="B8131" s="2">
        <f>IFERROR(__xludf.DUMMYFUNCTION("""COMPUTED_VALUE"""),195.16)</f>
        <v>195.16</v>
      </c>
      <c r="C8131" s="2">
        <f>IFERROR(__xludf.DUMMYFUNCTION("""COMPUTED_VALUE"""),196.54)</f>
        <v>196.54</v>
      </c>
      <c r="D8131" s="2">
        <f>IFERROR(__xludf.DUMMYFUNCTION("""COMPUTED_VALUE"""),195.14)</f>
        <v>195.14</v>
      </c>
      <c r="E8131" s="2">
        <f>IFERROR(__xludf.DUMMYFUNCTION("""COMPUTED_VALUE"""),195.51)</f>
        <v>195.51</v>
      </c>
      <c r="F8131" s="2">
        <f>IFERROR(__xludf.DUMMYFUNCTION("""COMPUTED_VALUE"""),3330241.0)</f>
        <v>3330241</v>
      </c>
    </row>
    <row r="8132">
      <c r="A8132" s="3">
        <f>IFERROR(__xludf.DUMMYFUNCTION("""COMPUTED_VALUE"""),40990.666666666664)</f>
        <v>40990.66667</v>
      </c>
      <c r="B8132" s="2">
        <f>IFERROR(__xludf.DUMMYFUNCTION("""COMPUTED_VALUE"""),194.85)</f>
        <v>194.85</v>
      </c>
      <c r="C8132" s="2">
        <f>IFERROR(__xludf.DUMMYFUNCTION("""COMPUTED_VALUE"""),196.75)</f>
        <v>196.75</v>
      </c>
      <c r="D8132" s="2">
        <f>IFERROR(__xludf.DUMMYFUNCTION("""COMPUTED_VALUE"""),194.82)</f>
        <v>194.82</v>
      </c>
      <c r="E8132" s="2">
        <f>IFERROR(__xludf.DUMMYFUNCTION("""COMPUTED_VALUE"""),196.28)</f>
        <v>196.28</v>
      </c>
      <c r="F8132" s="2">
        <f>IFERROR(__xludf.DUMMYFUNCTION("""COMPUTED_VALUE"""),3308534.0)</f>
        <v>3308534</v>
      </c>
    </row>
    <row r="8133">
      <c r="A8133" s="3">
        <f>IFERROR(__xludf.DUMMYFUNCTION("""COMPUTED_VALUE"""),40991.666666666664)</f>
        <v>40991.66667</v>
      </c>
      <c r="B8133" s="2">
        <f>IFERROR(__xludf.DUMMYFUNCTION("""COMPUTED_VALUE"""),196.66)</f>
        <v>196.66</v>
      </c>
      <c r="C8133" s="2">
        <f>IFERROR(__xludf.DUMMYFUNCTION("""COMPUTED_VALUE"""),196.73)</f>
        <v>196.73</v>
      </c>
      <c r="D8133" s="2">
        <f>IFERROR(__xludf.DUMMYFUNCTION("""COMPUTED_VALUE"""),195.39)</f>
        <v>195.39</v>
      </c>
      <c r="E8133" s="2">
        <f>IFERROR(__xludf.DUMMYFUNCTION("""COMPUTED_VALUE"""),196.27)</f>
        <v>196.27</v>
      </c>
      <c r="F8133" s="2">
        <f>IFERROR(__xludf.DUMMYFUNCTION("""COMPUTED_VALUE"""),3036189.0)</f>
        <v>3036189</v>
      </c>
    </row>
    <row r="8134">
      <c r="A8134" s="3">
        <f>IFERROR(__xludf.DUMMYFUNCTION("""COMPUTED_VALUE"""),40994.666666666664)</f>
        <v>40994.66667</v>
      </c>
      <c r="B8134" s="2">
        <f>IFERROR(__xludf.DUMMYFUNCTION("""COMPUTED_VALUE"""),197.19)</f>
        <v>197.19</v>
      </c>
      <c r="C8134" s="2">
        <f>IFERROR(__xludf.DUMMYFUNCTION("""COMPUTED_VALUE"""),198.6)</f>
        <v>198.6</v>
      </c>
      <c r="D8134" s="2">
        <f>IFERROR(__xludf.DUMMYFUNCTION("""COMPUTED_VALUE"""),197.07)</f>
        <v>197.07</v>
      </c>
      <c r="E8134" s="2">
        <f>IFERROR(__xludf.DUMMYFUNCTION("""COMPUTED_VALUE"""),198.45)</f>
        <v>198.45</v>
      </c>
      <c r="F8134" s="2">
        <f>IFERROR(__xludf.DUMMYFUNCTION("""COMPUTED_VALUE"""),3418255.0)</f>
        <v>3418255</v>
      </c>
    </row>
    <row r="8135">
      <c r="A8135" s="3">
        <f>IFERROR(__xludf.DUMMYFUNCTION("""COMPUTED_VALUE"""),40995.666666666664)</f>
        <v>40995.66667</v>
      </c>
      <c r="B8135" s="2">
        <f>IFERROR(__xludf.DUMMYFUNCTION("""COMPUTED_VALUE"""),199.11)</f>
        <v>199.11</v>
      </c>
      <c r="C8135" s="2">
        <f>IFERROR(__xludf.DUMMYFUNCTION("""COMPUTED_VALUE"""),199.3)</f>
        <v>199.3</v>
      </c>
      <c r="D8135" s="2">
        <f>IFERROR(__xludf.DUMMYFUNCTION("""COMPUTED_VALUE"""),197.72)</f>
        <v>197.72</v>
      </c>
      <c r="E8135" s="2">
        <f>IFERROR(__xludf.DUMMYFUNCTION("""COMPUTED_VALUE"""),197.89)</f>
        <v>197.89</v>
      </c>
      <c r="F8135" s="2">
        <f>IFERROR(__xludf.DUMMYFUNCTION("""COMPUTED_VALUE"""),2705065.0)</f>
        <v>2705065</v>
      </c>
    </row>
    <row r="8136">
      <c r="A8136" s="3">
        <f>IFERROR(__xludf.DUMMYFUNCTION("""COMPUTED_VALUE"""),40996.666666666664)</f>
        <v>40996.66667</v>
      </c>
      <c r="B8136" s="2">
        <f>IFERROR(__xludf.DUMMYFUNCTION("""COMPUTED_VALUE"""),198.14)</f>
        <v>198.14</v>
      </c>
      <c r="C8136" s="2">
        <f>IFERROR(__xludf.DUMMYFUNCTION("""COMPUTED_VALUE"""),199.33)</f>
        <v>199.33</v>
      </c>
      <c r="D8136" s="2">
        <f>IFERROR(__xludf.DUMMYFUNCTION("""COMPUTED_VALUE"""),197.02)</f>
        <v>197.02</v>
      </c>
      <c r="E8136" s="2">
        <f>IFERROR(__xludf.DUMMYFUNCTION("""COMPUTED_VALUE"""),198.0)</f>
        <v>198</v>
      </c>
      <c r="F8136" s="2">
        <f>IFERROR(__xludf.DUMMYFUNCTION("""COMPUTED_VALUE"""),3265696.0)</f>
        <v>3265696</v>
      </c>
    </row>
    <row r="8137">
      <c r="A8137" s="3">
        <f>IFERROR(__xludf.DUMMYFUNCTION("""COMPUTED_VALUE"""),40997.666666666664)</f>
        <v>40997.66667</v>
      </c>
      <c r="B8137" s="2">
        <f>IFERROR(__xludf.DUMMYFUNCTION("""COMPUTED_VALUE"""),196.85)</f>
        <v>196.85</v>
      </c>
      <c r="C8137" s="2">
        <f>IFERROR(__xludf.DUMMYFUNCTION("""COMPUTED_VALUE"""),199.15)</f>
        <v>199.15</v>
      </c>
      <c r="D8137" s="2">
        <f>IFERROR(__xludf.DUMMYFUNCTION("""COMPUTED_VALUE"""),196.78)</f>
        <v>196.78</v>
      </c>
      <c r="E8137" s="2">
        <f>IFERROR(__xludf.DUMMYFUNCTION("""COMPUTED_VALUE"""),198.93)</f>
        <v>198.93</v>
      </c>
      <c r="F8137" s="2">
        <f>IFERROR(__xludf.DUMMYFUNCTION("""COMPUTED_VALUE"""),3403665.0)</f>
        <v>3403665</v>
      </c>
    </row>
    <row r="8138">
      <c r="A8138" s="3">
        <f>IFERROR(__xludf.DUMMYFUNCTION("""COMPUTED_VALUE"""),40998.666666666664)</f>
        <v>40998.66667</v>
      </c>
      <c r="B8138" s="2">
        <f>IFERROR(__xludf.DUMMYFUNCTION("""COMPUTED_VALUE"""),199.38)</f>
        <v>199.38</v>
      </c>
      <c r="C8138" s="2">
        <f>IFERROR(__xludf.DUMMYFUNCTION("""COMPUTED_VALUE"""),199.74)</f>
        <v>199.74</v>
      </c>
      <c r="D8138" s="2">
        <f>IFERROR(__xludf.DUMMYFUNCTION("""COMPUTED_VALUE"""),198.69)</f>
        <v>198.69</v>
      </c>
      <c r="E8138" s="2">
        <f>IFERROR(__xludf.DUMMYFUNCTION("""COMPUTED_VALUE"""),199.29)</f>
        <v>199.29</v>
      </c>
      <c r="F8138" s="2">
        <f>IFERROR(__xludf.DUMMYFUNCTION("""COMPUTED_VALUE"""),3217344.0)</f>
        <v>3217344</v>
      </c>
    </row>
    <row r="8139">
      <c r="A8139" s="3">
        <f>IFERROR(__xludf.DUMMYFUNCTION("""COMPUTED_VALUE"""),41001.666666666664)</f>
        <v>41001.66667</v>
      </c>
      <c r="B8139" s="2">
        <f>IFERROR(__xludf.DUMMYFUNCTION("""COMPUTED_VALUE"""),199.59)</f>
        <v>199.59</v>
      </c>
      <c r="C8139" s="2">
        <f>IFERROR(__xludf.DUMMYFUNCTION("""COMPUTED_VALUE"""),200.29)</f>
        <v>200.29</v>
      </c>
      <c r="D8139" s="2">
        <f>IFERROR(__xludf.DUMMYFUNCTION("""COMPUTED_VALUE"""),198.76)</f>
        <v>198.76</v>
      </c>
      <c r="E8139" s="2">
        <f>IFERROR(__xludf.DUMMYFUNCTION("""COMPUTED_VALUE"""),200.08)</f>
        <v>200.08</v>
      </c>
      <c r="F8139" s="2">
        <f>IFERROR(__xludf.DUMMYFUNCTION("""COMPUTED_VALUE"""),3388035.0)</f>
        <v>3388035</v>
      </c>
    </row>
    <row r="8140">
      <c r="A8140" s="3">
        <f>IFERROR(__xludf.DUMMYFUNCTION("""COMPUTED_VALUE"""),41002.666666666664)</f>
        <v>41002.66667</v>
      </c>
      <c r="B8140" s="2">
        <f>IFERROR(__xludf.DUMMYFUNCTION("""COMPUTED_VALUE"""),199.93)</f>
        <v>199.93</v>
      </c>
      <c r="C8140" s="2">
        <f>IFERROR(__xludf.DUMMYFUNCTION("""COMPUTED_VALUE"""),201.24)</f>
        <v>201.24</v>
      </c>
      <c r="D8140" s="2">
        <f>IFERROR(__xludf.DUMMYFUNCTION("""COMPUTED_VALUE"""),199.19)</f>
        <v>199.19</v>
      </c>
      <c r="E8140" s="2">
        <f>IFERROR(__xludf.DUMMYFUNCTION("""COMPUTED_VALUE"""),200.11)</f>
        <v>200.11</v>
      </c>
      <c r="F8140" s="2">
        <f>IFERROR(__xludf.DUMMYFUNCTION("""COMPUTED_VALUE"""),4091491.0)</f>
        <v>4091491</v>
      </c>
    </row>
    <row r="8141">
      <c r="A8141" s="3">
        <f>IFERROR(__xludf.DUMMYFUNCTION("""COMPUTED_VALUE"""),41003.666666666664)</f>
        <v>41003.66667</v>
      </c>
      <c r="B8141" s="2">
        <f>IFERROR(__xludf.DUMMYFUNCTION("""COMPUTED_VALUE"""),196.97)</f>
        <v>196.97</v>
      </c>
      <c r="C8141" s="2">
        <f>IFERROR(__xludf.DUMMYFUNCTION("""COMPUTED_VALUE"""),197.7)</f>
        <v>197.7</v>
      </c>
      <c r="D8141" s="2">
        <f>IFERROR(__xludf.DUMMYFUNCTION("""COMPUTED_VALUE"""),195.99)</f>
        <v>195.99</v>
      </c>
      <c r="E8141" s="2">
        <f>IFERROR(__xludf.DUMMYFUNCTION("""COMPUTED_VALUE"""),196.81)</f>
        <v>196.81</v>
      </c>
      <c r="F8141" s="2">
        <f>IFERROR(__xludf.DUMMYFUNCTION("""COMPUTED_VALUE"""),4404078.0)</f>
        <v>4404078</v>
      </c>
    </row>
    <row r="8142">
      <c r="A8142" s="3">
        <f>IFERROR(__xludf.DUMMYFUNCTION("""COMPUTED_VALUE"""),41004.666666666664)</f>
        <v>41004.66667</v>
      </c>
      <c r="B8142" s="2">
        <f>IFERROR(__xludf.DUMMYFUNCTION("""COMPUTED_VALUE"""),195.95)</f>
        <v>195.95</v>
      </c>
      <c r="C8142" s="2">
        <f>IFERROR(__xludf.DUMMYFUNCTION("""COMPUTED_VALUE"""),196.46)</f>
        <v>196.46</v>
      </c>
      <c r="D8142" s="2">
        <f>IFERROR(__xludf.DUMMYFUNCTION("""COMPUTED_VALUE"""),195.29)</f>
        <v>195.29</v>
      </c>
      <c r="E8142" s="2">
        <f>IFERROR(__xludf.DUMMYFUNCTION("""COMPUTED_VALUE"""),196.26)</f>
        <v>196.26</v>
      </c>
      <c r="F8142" s="2">
        <f>IFERROR(__xludf.DUMMYFUNCTION("""COMPUTED_VALUE"""),3809119.0)</f>
        <v>3809119</v>
      </c>
    </row>
    <row r="8143">
      <c r="A8143" s="3">
        <f>IFERROR(__xludf.DUMMYFUNCTION("""COMPUTED_VALUE"""),41008.666666666664)</f>
        <v>41008.66667</v>
      </c>
      <c r="B8143" s="2">
        <f>IFERROR(__xludf.DUMMYFUNCTION("""COMPUTED_VALUE"""),195.24)</f>
        <v>195.24</v>
      </c>
      <c r="C8143" s="2">
        <f>IFERROR(__xludf.DUMMYFUNCTION("""COMPUTED_VALUE"""),196.93)</f>
        <v>196.93</v>
      </c>
      <c r="D8143" s="2">
        <f>IFERROR(__xludf.DUMMYFUNCTION("""COMPUTED_VALUE"""),194.25)</f>
        <v>194.25</v>
      </c>
      <c r="E8143" s="2">
        <f>IFERROR(__xludf.DUMMYFUNCTION("""COMPUTED_VALUE"""),195.75)</f>
        <v>195.75</v>
      </c>
      <c r="F8143" s="2">
        <f>IFERROR(__xludf.DUMMYFUNCTION("""COMPUTED_VALUE"""),3326810.0)</f>
        <v>3326810</v>
      </c>
    </row>
    <row r="8144">
      <c r="A8144" s="3">
        <f>IFERROR(__xludf.DUMMYFUNCTION("""COMPUTED_VALUE"""),41009.666666666664)</f>
        <v>41009.66667</v>
      </c>
      <c r="B8144" s="2">
        <f>IFERROR(__xludf.DUMMYFUNCTION("""COMPUTED_VALUE"""),195.75)</f>
        <v>195.75</v>
      </c>
      <c r="C8144" s="2">
        <f>IFERROR(__xludf.DUMMYFUNCTION("""COMPUTED_VALUE"""),196.52)</f>
        <v>196.52</v>
      </c>
      <c r="D8144" s="2">
        <f>IFERROR(__xludf.DUMMYFUNCTION("""COMPUTED_VALUE"""),193.11)</f>
        <v>193.11</v>
      </c>
      <c r="E8144" s="2">
        <f>IFERROR(__xludf.DUMMYFUNCTION("""COMPUTED_VALUE"""),193.26)</f>
        <v>193.26</v>
      </c>
      <c r="F8144" s="2">
        <f>IFERROR(__xludf.DUMMYFUNCTION("""COMPUTED_VALUE"""),4132997.0)</f>
        <v>4132997</v>
      </c>
    </row>
    <row r="8145">
      <c r="A8145" s="3">
        <f>IFERROR(__xludf.DUMMYFUNCTION("""COMPUTED_VALUE"""),41010.666666666664)</f>
        <v>41010.66667</v>
      </c>
      <c r="B8145" s="2">
        <f>IFERROR(__xludf.DUMMYFUNCTION("""COMPUTED_VALUE"""),194.84)</f>
        <v>194.84</v>
      </c>
      <c r="C8145" s="2">
        <f>IFERROR(__xludf.DUMMYFUNCTION("""COMPUTED_VALUE"""),195.16)</f>
        <v>195.16</v>
      </c>
      <c r="D8145" s="2">
        <f>IFERROR(__xludf.DUMMYFUNCTION("""COMPUTED_VALUE"""),193.38)</f>
        <v>193.38</v>
      </c>
      <c r="E8145" s="2">
        <f>IFERROR(__xludf.DUMMYFUNCTION("""COMPUTED_VALUE"""),193.5)</f>
        <v>193.5</v>
      </c>
      <c r="F8145" s="2">
        <f>IFERROR(__xludf.DUMMYFUNCTION("""COMPUTED_VALUE"""),3367363.0)</f>
        <v>3367363</v>
      </c>
    </row>
    <row r="8146">
      <c r="A8146" s="3">
        <f>IFERROR(__xludf.DUMMYFUNCTION("""COMPUTED_VALUE"""),41011.666666666664)</f>
        <v>41011.66667</v>
      </c>
      <c r="B8146" s="2">
        <f>IFERROR(__xludf.DUMMYFUNCTION("""COMPUTED_VALUE"""),193.71)</f>
        <v>193.71</v>
      </c>
      <c r="C8146" s="2">
        <f>IFERROR(__xludf.DUMMYFUNCTION("""COMPUTED_VALUE"""),196.34)</f>
        <v>196.34</v>
      </c>
      <c r="D8146" s="2">
        <f>IFERROR(__xludf.DUMMYFUNCTION("""COMPUTED_VALUE"""),193.55)</f>
        <v>193.55</v>
      </c>
      <c r="E8146" s="2">
        <f>IFERROR(__xludf.DUMMYFUNCTION("""COMPUTED_VALUE"""),196.11)</f>
        <v>196.11</v>
      </c>
      <c r="F8146" s="2">
        <f>IFERROR(__xludf.DUMMYFUNCTION("""COMPUTED_VALUE"""),2929585.0)</f>
        <v>2929585</v>
      </c>
    </row>
    <row r="8147">
      <c r="A8147" s="3">
        <f>IFERROR(__xludf.DUMMYFUNCTION("""COMPUTED_VALUE"""),41012.666666666664)</f>
        <v>41012.66667</v>
      </c>
      <c r="B8147" s="2">
        <f>IFERROR(__xludf.DUMMYFUNCTION("""COMPUTED_VALUE"""),195.16)</f>
        <v>195.16</v>
      </c>
      <c r="C8147" s="2">
        <f>IFERROR(__xludf.DUMMYFUNCTION("""COMPUTED_VALUE"""),195.47)</f>
        <v>195.47</v>
      </c>
      <c r="D8147" s="2">
        <f>IFERROR(__xludf.DUMMYFUNCTION("""COMPUTED_VALUE"""),193.71)</f>
        <v>193.71</v>
      </c>
      <c r="E8147" s="2">
        <f>IFERROR(__xludf.DUMMYFUNCTION("""COMPUTED_VALUE"""),193.71)</f>
        <v>193.71</v>
      </c>
      <c r="F8147" s="2">
        <f>IFERROR(__xludf.DUMMYFUNCTION("""COMPUTED_VALUE"""),3768117.0)</f>
        <v>3768117</v>
      </c>
    </row>
    <row r="8148">
      <c r="A8148" s="3">
        <f>IFERROR(__xludf.DUMMYFUNCTION("""COMPUTED_VALUE"""),41015.666666666664)</f>
        <v>41015.66667</v>
      </c>
      <c r="B8148" s="2">
        <f>IFERROR(__xludf.DUMMYFUNCTION("""COMPUTED_VALUE"""),195.56)</f>
        <v>195.56</v>
      </c>
      <c r="C8148" s="2">
        <f>IFERROR(__xludf.DUMMYFUNCTION("""COMPUTED_VALUE"""),196.74)</f>
        <v>196.74</v>
      </c>
      <c r="D8148" s="2">
        <f>IFERROR(__xludf.DUMMYFUNCTION("""COMPUTED_VALUE"""),193.63)</f>
        <v>193.63</v>
      </c>
      <c r="E8148" s="2">
        <f>IFERROR(__xludf.DUMMYFUNCTION("""COMPUTED_VALUE"""),193.63)</f>
        <v>193.63</v>
      </c>
      <c r="F8148" s="2">
        <f>IFERROR(__xludf.DUMMYFUNCTION("""COMPUTED_VALUE"""),3827191.0)</f>
        <v>3827191</v>
      </c>
    </row>
    <row r="8149">
      <c r="A8149" s="3">
        <f>IFERROR(__xludf.DUMMYFUNCTION("""COMPUTED_VALUE"""),41016.666666666664)</f>
        <v>41016.66667</v>
      </c>
      <c r="B8149" s="2">
        <f>IFERROR(__xludf.DUMMYFUNCTION("""COMPUTED_VALUE"""),195.4)</f>
        <v>195.4</v>
      </c>
      <c r="C8149" s="2">
        <f>IFERROR(__xludf.DUMMYFUNCTION("""COMPUTED_VALUE"""),198.33)</f>
        <v>198.33</v>
      </c>
      <c r="D8149" s="2">
        <f>IFERROR(__xludf.DUMMYFUNCTION("""COMPUTED_VALUE"""),195.0)</f>
        <v>195</v>
      </c>
      <c r="E8149" s="2">
        <f>IFERROR(__xludf.DUMMYFUNCTION("""COMPUTED_VALUE"""),198.15)</f>
        <v>198.15</v>
      </c>
      <c r="F8149" s="2">
        <f>IFERROR(__xludf.DUMMYFUNCTION("""COMPUTED_VALUE"""),6073651.0)</f>
        <v>6073651</v>
      </c>
    </row>
    <row r="8150">
      <c r="A8150" s="3">
        <f>IFERROR(__xludf.DUMMYFUNCTION("""COMPUTED_VALUE"""),41017.666666666664)</f>
        <v>41017.66667</v>
      </c>
      <c r="B8150" s="2">
        <f>IFERROR(__xludf.DUMMYFUNCTION("""COMPUTED_VALUE"""),193.35)</f>
        <v>193.35</v>
      </c>
      <c r="C8150" s="2">
        <f>IFERROR(__xludf.DUMMYFUNCTION("""COMPUTED_VALUE"""),194.92)</f>
        <v>194.92</v>
      </c>
      <c r="D8150" s="2">
        <f>IFERROR(__xludf.DUMMYFUNCTION("""COMPUTED_VALUE"""),191.03)</f>
        <v>191.03</v>
      </c>
      <c r="E8150" s="2">
        <f>IFERROR(__xludf.DUMMYFUNCTION("""COMPUTED_VALUE"""),191.16)</f>
        <v>191.16</v>
      </c>
      <c r="F8150" s="2">
        <f>IFERROR(__xludf.DUMMYFUNCTION("""COMPUTED_VALUE"""),1.015531E7)</f>
        <v>10155310</v>
      </c>
    </row>
    <row r="8151">
      <c r="A8151" s="3">
        <f>IFERROR(__xludf.DUMMYFUNCTION("""COMPUTED_VALUE"""),41018.666666666664)</f>
        <v>41018.66667</v>
      </c>
      <c r="B8151" s="2">
        <f>IFERROR(__xludf.DUMMYFUNCTION("""COMPUTED_VALUE"""),191.06)</f>
        <v>191.06</v>
      </c>
      <c r="C8151" s="2">
        <f>IFERROR(__xludf.DUMMYFUNCTION("""COMPUTED_VALUE"""),192.24)</f>
        <v>192.24</v>
      </c>
      <c r="D8151" s="2">
        <f>IFERROR(__xludf.DUMMYFUNCTION("""COMPUTED_VALUE"""),188.66)</f>
        <v>188.66</v>
      </c>
      <c r="E8151" s="2">
        <f>IFERROR(__xludf.DUMMYFUNCTION("""COMPUTED_VALUE"""),190.56)</f>
        <v>190.56</v>
      </c>
      <c r="F8151" s="2">
        <f>IFERROR(__xludf.DUMMYFUNCTION("""COMPUTED_VALUE"""),5763201.0)</f>
        <v>5763201</v>
      </c>
    </row>
    <row r="8152">
      <c r="A8152" s="3">
        <f>IFERROR(__xludf.DUMMYFUNCTION("""COMPUTED_VALUE"""),41019.666666666664)</f>
        <v>41019.66667</v>
      </c>
      <c r="B8152" s="2">
        <f>IFERROR(__xludf.DUMMYFUNCTION("""COMPUTED_VALUE"""),190.87)</f>
        <v>190.87</v>
      </c>
      <c r="C8152" s="2">
        <f>IFERROR(__xludf.DUMMYFUNCTION("""COMPUTED_VALUE"""),191.15)</f>
        <v>191.15</v>
      </c>
      <c r="D8152" s="2">
        <f>IFERROR(__xludf.DUMMYFUNCTION("""COMPUTED_VALUE"""),190.16)</f>
        <v>190.16</v>
      </c>
      <c r="E8152" s="2">
        <f>IFERROR(__xludf.DUMMYFUNCTION("""COMPUTED_VALUE"""),190.65)</f>
        <v>190.65</v>
      </c>
      <c r="F8152" s="2">
        <f>IFERROR(__xludf.DUMMYFUNCTION("""COMPUTED_VALUE"""),4758663.0)</f>
        <v>4758663</v>
      </c>
    </row>
    <row r="8153">
      <c r="A8153" s="3">
        <f>IFERROR(__xludf.DUMMYFUNCTION("""COMPUTED_VALUE"""),41022.666666666664)</f>
        <v>41022.66667</v>
      </c>
      <c r="B8153" s="2">
        <f>IFERROR(__xludf.DUMMYFUNCTION("""COMPUTED_VALUE"""),189.02)</f>
        <v>189.02</v>
      </c>
      <c r="C8153" s="2">
        <f>IFERROR(__xludf.DUMMYFUNCTION("""COMPUTED_VALUE"""),190.17)</f>
        <v>190.17</v>
      </c>
      <c r="D8153" s="2">
        <f>IFERROR(__xludf.DUMMYFUNCTION("""COMPUTED_VALUE"""),187.97)</f>
        <v>187.97</v>
      </c>
      <c r="E8153" s="2">
        <f>IFERROR(__xludf.DUMMYFUNCTION("""COMPUTED_VALUE"""),189.71)</f>
        <v>189.71</v>
      </c>
      <c r="F8153" s="2">
        <f>IFERROR(__xludf.DUMMYFUNCTION("""COMPUTED_VALUE"""),3618928.0)</f>
        <v>3618928</v>
      </c>
    </row>
    <row r="8154">
      <c r="A8154" s="3">
        <f>IFERROR(__xludf.DUMMYFUNCTION("""COMPUTED_VALUE"""),41023.666666666664)</f>
        <v>41023.66667</v>
      </c>
      <c r="B8154" s="2">
        <f>IFERROR(__xludf.DUMMYFUNCTION("""COMPUTED_VALUE"""),190.13)</f>
        <v>190.13</v>
      </c>
      <c r="C8154" s="2">
        <f>IFERROR(__xludf.DUMMYFUNCTION("""COMPUTED_VALUE"""),193.4)</f>
        <v>193.4</v>
      </c>
      <c r="D8154" s="2">
        <f>IFERROR(__xludf.DUMMYFUNCTION("""COMPUTED_VALUE"""),189.95)</f>
        <v>189.95</v>
      </c>
      <c r="E8154" s="2">
        <f>IFERROR(__xludf.DUMMYFUNCTION("""COMPUTED_VALUE"""),191.03)</f>
        <v>191.03</v>
      </c>
      <c r="F8154" s="2">
        <f>IFERROR(__xludf.DUMMYFUNCTION("""COMPUTED_VALUE"""),5631646.0)</f>
        <v>5631646</v>
      </c>
    </row>
    <row r="8155">
      <c r="A8155" s="3">
        <f>IFERROR(__xludf.DUMMYFUNCTION("""COMPUTED_VALUE"""),41024.666666666664)</f>
        <v>41024.66667</v>
      </c>
      <c r="B8155" s="2">
        <f>IFERROR(__xludf.DUMMYFUNCTION("""COMPUTED_VALUE"""),192.96)</f>
        <v>192.96</v>
      </c>
      <c r="C8155" s="2">
        <f>IFERROR(__xludf.DUMMYFUNCTION("""COMPUTED_VALUE"""),194.56)</f>
        <v>194.56</v>
      </c>
      <c r="D8155" s="2">
        <f>IFERROR(__xludf.DUMMYFUNCTION("""COMPUTED_VALUE"""),192.75)</f>
        <v>192.75</v>
      </c>
      <c r="E8155" s="2">
        <f>IFERROR(__xludf.DUMMYFUNCTION("""COMPUTED_VALUE"""),194.44)</f>
        <v>194.44</v>
      </c>
      <c r="F8155" s="2">
        <f>IFERROR(__xludf.DUMMYFUNCTION("""COMPUTED_VALUE"""),4003311.0)</f>
        <v>4003311</v>
      </c>
    </row>
    <row r="8156">
      <c r="A8156" s="3">
        <f>IFERROR(__xludf.DUMMYFUNCTION("""COMPUTED_VALUE"""),41025.666666666664)</f>
        <v>41025.66667</v>
      </c>
      <c r="B8156" s="2">
        <f>IFERROR(__xludf.DUMMYFUNCTION("""COMPUTED_VALUE"""),194.28)</f>
        <v>194.28</v>
      </c>
      <c r="C8156" s="2">
        <f>IFERROR(__xludf.DUMMYFUNCTION("""COMPUTED_VALUE"""),196.96)</f>
        <v>196.96</v>
      </c>
      <c r="D8156" s="2">
        <f>IFERROR(__xludf.DUMMYFUNCTION("""COMPUTED_VALUE"""),194.28)</f>
        <v>194.28</v>
      </c>
      <c r="E8156" s="2">
        <f>IFERROR(__xludf.DUMMYFUNCTION("""COMPUTED_VALUE"""),196.36)</f>
        <v>196.36</v>
      </c>
      <c r="F8156" s="2">
        <f>IFERROR(__xludf.DUMMYFUNCTION("""COMPUTED_VALUE"""),3304328.0)</f>
        <v>3304328</v>
      </c>
    </row>
    <row r="8157">
      <c r="A8157" s="3">
        <f>IFERROR(__xludf.DUMMYFUNCTION("""COMPUTED_VALUE"""),41026.666666666664)</f>
        <v>41026.66667</v>
      </c>
      <c r="B8157" s="2">
        <f>IFERROR(__xludf.DUMMYFUNCTION("""COMPUTED_VALUE"""),197.21)</f>
        <v>197.21</v>
      </c>
      <c r="C8157" s="2">
        <f>IFERROR(__xludf.DUMMYFUNCTION("""COMPUTED_VALUE"""),198.84)</f>
        <v>198.84</v>
      </c>
      <c r="D8157" s="2">
        <f>IFERROR(__xludf.DUMMYFUNCTION("""COMPUTED_VALUE"""),196.68)</f>
        <v>196.68</v>
      </c>
      <c r="E8157" s="2">
        <f>IFERROR(__xludf.DUMMYFUNCTION("""COMPUTED_VALUE"""),197.54)</f>
        <v>197.54</v>
      </c>
      <c r="F8157" s="2">
        <f>IFERROR(__xludf.DUMMYFUNCTION("""COMPUTED_VALUE"""),3311119.0)</f>
        <v>3311119</v>
      </c>
    </row>
    <row r="8158">
      <c r="A8158" s="3">
        <f>IFERROR(__xludf.DUMMYFUNCTION("""COMPUTED_VALUE"""),41029.666666666664)</f>
        <v>41029.66667</v>
      </c>
      <c r="B8158" s="2">
        <f>IFERROR(__xludf.DUMMYFUNCTION("""COMPUTED_VALUE"""),197.44)</f>
        <v>197.44</v>
      </c>
      <c r="C8158" s="2">
        <f>IFERROR(__xludf.DUMMYFUNCTION("""COMPUTED_VALUE"""),198.64)</f>
        <v>198.64</v>
      </c>
      <c r="D8158" s="2">
        <f>IFERROR(__xludf.DUMMYFUNCTION("""COMPUTED_VALUE"""),197.07)</f>
        <v>197.07</v>
      </c>
      <c r="E8158" s="2">
        <f>IFERROR(__xludf.DUMMYFUNCTION("""COMPUTED_VALUE"""),197.8)</f>
        <v>197.8</v>
      </c>
      <c r="F8158" s="2">
        <f>IFERROR(__xludf.DUMMYFUNCTION("""COMPUTED_VALUE"""),2773199.0)</f>
        <v>2773199</v>
      </c>
    </row>
    <row r="8159">
      <c r="A8159" s="3">
        <f>IFERROR(__xludf.DUMMYFUNCTION("""COMPUTED_VALUE"""),41030.666666666664)</f>
        <v>41030.66667</v>
      </c>
      <c r="B8159" s="2">
        <f>IFERROR(__xludf.DUMMYFUNCTION("""COMPUTED_VALUE"""),197.89)</f>
        <v>197.89</v>
      </c>
      <c r="C8159" s="2">
        <f>IFERROR(__xludf.DUMMYFUNCTION("""COMPUTED_VALUE"""),199.56)</f>
        <v>199.56</v>
      </c>
      <c r="D8159" s="2">
        <f>IFERROR(__xludf.DUMMYFUNCTION("""COMPUTED_VALUE"""),197.44)</f>
        <v>197.44</v>
      </c>
      <c r="E8159" s="2">
        <f>IFERROR(__xludf.DUMMYFUNCTION("""COMPUTED_VALUE"""),198.67)</f>
        <v>198.67</v>
      </c>
      <c r="F8159" s="2">
        <f>IFERROR(__xludf.DUMMYFUNCTION("""COMPUTED_VALUE"""),2715870.0)</f>
        <v>2715870</v>
      </c>
    </row>
    <row r="8160">
      <c r="A8160" s="3">
        <f>IFERROR(__xludf.DUMMYFUNCTION("""COMPUTED_VALUE"""),41031.666666666664)</f>
        <v>41031.66667</v>
      </c>
      <c r="B8160" s="2">
        <f>IFERROR(__xludf.DUMMYFUNCTION("""COMPUTED_VALUE"""),197.69)</f>
        <v>197.69</v>
      </c>
      <c r="C8160" s="2">
        <f>IFERROR(__xludf.DUMMYFUNCTION("""COMPUTED_VALUE"""),198.93)</f>
        <v>198.93</v>
      </c>
      <c r="D8160" s="2">
        <f>IFERROR(__xludf.DUMMYFUNCTION("""COMPUTED_VALUE"""),197.63)</f>
        <v>197.63</v>
      </c>
      <c r="E8160" s="2">
        <f>IFERROR(__xludf.DUMMYFUNCTION("""COMPUTED_VALUE"""),198.73)</f>
        <v>198.73</v>
      </c>
      <c r="F8160" s="2">
        <f>IFERROR(__xludf.DUMMYFUNCTION("""COMPUTED_VALUE"""),2360257.0)</f>
        <v>2360257</v>
      </c>
    </row>
    <row r="8161">
      <c r="A8161" s="3">
        <f>IFERROR(__xludf.DUMMYFUNCTION("""COMPUTED_VALUE"""),41032.666666666664)</f>
        <v>41032.66667</v>
      </c>
      <c r="B8161" s="2">
        <f>IFERROR(__xludf.DUMMYFUNCTION("""COMPUTED_VALUE"""),198.93)</f>
        <v>198.93</v>
      </c>
      <c r="C8161" s="2">
        <f>IFERROR(__xludf.DUMMYFUNCTION("""COMPUTED_VALUE"""),199.55)</f>
        <v>199.55</v>
      </c>
      <c r="D8161" s="2">
        <f>IFERROR(__xludf.DUMMYFUNCTION("""COMPUTED_VALUE"""),197.29)</f>
        <v>197.29</v>
      </c>
      <c r="E8161" s="2">
        <f>IFERROR(__xludf.DUMMYFUNCTION("""COMPUTED_VALUE"""),197.95)</f>
        <v>197.95</v>
      </c>
      <c r="F8161" s="2">
        <f>IFERROR(__xludf.DUMMYFUNCTION("""COMPUTED_VALUE"""),2826568.0)</f>
        <v>2826568</v>
      </c>
    </row>
    <row r="8162">
      <c r="A8162" s="3">
        <f>IFERROR(__xludf.DUMMYFUNCTION("""COMPUTED_VALUE"""),41033.666666666664)</f>
        <v>41033.66667</v>
      </c>
      <c r="B8162" s="2">
        <f>IFERROR(__xludf.DUMMYFUNCTION("""COMPUTED_VALUE"""),197.21)</f>
        <v>197.21</v>
      </c>
      <c r="C8162" s="2">
        <f>IFERROR(__xludf.DUMMYFUNCTION("""COMPUTED_VALUE"""),197.82)</f>
        <v>197.82</v>
      </c>
      <c r="D8162" s="2">
        <f>IFERROR(__xludf.DUMMYFUNCTION("""COMPUTED_VALUE"""),195.24)</f>
        <v>195.24</v>
      </c>
      <c r="E8162" s="2">
        <f>IFERROR(__xludf.DUMMYFUNCTION("""COMPUTED_VALUE"""),195.8)</f>
        <v>195.8</v>
      </c>
      <c r="F8162" s="2">
        <f>IFERROR(__xludf.DUMMYFUNCTION("""COMPUTED_VALUE"""),4024251.0)</f>
        <v>4024251</v>
      </c>
    </row>
    <row r="8163">
      <c r="A8163" s="3">
        <f>IFERROR(__xludf.DUMMYFUNCTION("""COMPUTED_VALUE"""),41036.666666666664)</f>
        <v>41036.66667</v>
      </c>
      <c r="B8163" s="2">
        <f>IFERROR(__xludf.DUMMYFUNCTION("""COMPUTED_VALUE"""),194.82)</f>
        <v>194.82</v>
      </c>
      <c r="C8163" s="2">
        <f>IFERROR(__xludf.DUMMYFUNCTION("""COMPUTED_VALUE"""),195.59)</f>
        <v>195.59</v>
      </c>
      <c r="D8163" s="2">
        <f>IFERROR(__xludf.DUMMYFUNCTION("""COMPUTED_VALUE"""),193.8)</f>
        <v>193.8</v>
      </c>
      <c r="E8163" s="2">
        <f>IFERROR(__xludf.DUMMYFUNCTION("""COMPUTED_VALUE"""),194.61)</f>
        <v>194.61</v>
      </c>
      <c r="F8163" s="2">
        <f>IFERROR(__xludf.DUMMYFUNCTION("""COMPUTED_VALUE"""),3375923.0)</f>
        <v>3375923</v>
      </c>
    </row>
    <row r="8164">
      <c r="A8164" s="3">
        <f>IFERROR(__xludf.DUMMYFUNCTION("""COMPUTED_VALUE"""),41037.666666666664)</f>
        <v>41037.66667</v>
      </c>
      <c r="B8164" s="2">
        <f>IFERROR(__xludf.DUMMYFUNCTION("""COMPUTED_VALUE"""),193.36)</f>
        <v>193.36</v>
      </c>
      <c r="C8164" s="2">
        <f>IFERROR(__xludf.DUMMYFUNCTION("""COMPUTED_VALUE"""),193.96)</f>
        <v>193.96</v>
      </c>
      <c r="D8164" s="2">
        <f>IFERROR(__xludf.DUMMYFUNCTION("""COMPUTED_VALUE"""),190.76)</f>
        <v>190.76</v>
      </c>
      <c r="E8164" s="2">
        <f>IFERROR(__xludf.DUMMYFUNCTION("""COMPUTED_VALUE"""),192.45)</f>
        <v>192.45</v>
      </c>
      <c r="F8164" s="2">
        <f>IFERROR(__xludf.DUMMYFUNCTION("""COMPUTED_VALUE"""),3881592.0)</f>
        <v>3881592</v>
      </c>
    </row>
    <row r="8165">
      <c r="A8165" s="3">
        <f>IFERROR(__xludf.DUMMYFUNCTION("""COMPUTED_VALUE"""),41038.666666666664)</f>
        <v>41038.66667</v>
      </c>
      <c r="B8165" s="2">
        <f>IFERROR(__xludf.DUMMYFUNCTION("""COMPUTED_VALUE"""),191.02)</f>
        <v>191.02</v>
      </c>
      <c r="C8165" s="2">
        <f>IFERROR(__xludf.DUMMYFUNCTION("""COMPUTED_VALUE"""),193.9)</f>
        <v>193.9</v>
      </c>
      <c r="D8165" s="2">
        <f>IFERROR(__xludf.DUMMYFUNCTION("""COMPUTED_VALUE"""),190.13)</f>
        <v>190.13</v>
      </c>
      <c r="E8165" s="2">
        <f>IFERROR(__xludf.DUMMYFUNCTION("""COMPUTED_VALUE"""),192.21)</f>
        <v>192.21</v>
      </c>
      <c r="F8165" s="2">
        <f>IFERROR(__xludf.DUMMYFUNCTION("""COMPUTED_VALUE"""),3743290.0)</f>
        <v>3743290</v>
      </c>
    </row>
    <row r="8166">
      <c r="A8166" s="3">
        <f>IFERROR(__xludf.DUMMYFUNCTION("""COMPUTED_VALUE"""),41039.666666666664)</f>
        <v>41039.66667</v>
      </c>
      <c r="B8166" s="2">
        <f>IFERROR(__xludf.DUMMYFUNCTION("""COMPUTED_VALUE"""),191.99)</f>
        <v>191.99</v>
      </c>
      <c r="C8166" s="2">
        <f>IFERROR(__xludf.DUMMYFUNCTION("""COMPUTED_VALUE"""),194.14)</f>
        <v>194.14</v>
      </c>
      <c r="D8166" s="2">
        <f>IFERROR(__xludf.DUMMYFUNCTION("""COMPUTED_VALUE"""),191.05)</f>
        <v>191.05</v>
      </c>
      <c r="E8166" s="2">
        <f>IFERROR(__xludf.DUMMYFUNCTION("""COMPUTED_VALUE"""),191.61)</f>
        <v>191.61</v>
      </c>
      <c r="F8166" s="2">
        <f>IFERROR(__xludf.DUMMYFUNCTION("""COMPUTED_VALUE"""),3831076.0)</f>
        <v>3831076</v>
      </c>
    </row>
    <row r="8167">
      <c r="A8167" s="3">
        <f>IFERROR(__xludf.DUMMYFUNCTION("""COMPUTED_VALUE"""),41040.666666666664)</f>
        <v>41040.66667</v>
      </c>
      <c r="B8167" s="2">
        <f>IFERROR(__xludf.DUMMYFUNCTION("""COMPUTED_VALUE"""),190.99)</f>
        <v>190.99</v>
      </c>
      <c r="C8167" s="2">
        <f>IFERROR(__xludf.DUMMYFUNCTION("""COMPUTED_VALUE"""),193.06)</f>
        <v>193.06</v>
      </c>
      <c r="D8167" s="2">
        <f>IFERROR(__xludf.DUMMYFUNCTION("""COMPUTED_VALUE"""),190.99)</f>
        <v>190.99</v>
      </c>
      <c r="E8167" s="2">
        <f>IFERROR(__xludf.DUMMYFUNCTION("""COMPUTED_VALUE"""),192.15)</f>
        <v>192.15</v>
      </c>
      <c r="F8167" s="2">
        <f>IFERROR(__xludf.DUMMYFUNCTION("""COMPUTED_VALUE"""),2391580.0)</f>
        <v>2391580</v>
      </c>
    </row>
    <row r="8168">
      <c r="A8168" s="3">
        <f>IFERROR(__xludf.DUMMYFUNCTION("""COMPUTED_VALUE"""),41043.666666666664)</f>
        <v>41043.66667</v>
      </c>
      <c r="B8168" s="2">
        <f>IFERROR(__xludf.DUMMYFUNCTION("""COMPUTED_VALUE"""),190.96)</f>
        <v>190.96</v>
      </c>
      <c r="C8168" s="2">
        <f>IFERROR(__xludf.DUMMYFUNCTION("""COMPUTED_VALUE"""),191.71)</f>
        <v>191.71</v>
      </c>
      <c r="D8168" s="2">
        <f>IFERROR(__xludf.DUMMYFUNCTION("""COMPUTED_VALUE"""),189.66)</f>
        <v>189.66</v>
      </c>
      <c r="E8168" s="2">
        <f>IFERROR(__xludf.DUMMYFUNCTION("""COMPUTED_VALUE"""),190.5)</f>
        <v>190.5</v>
      </c>
      <c r="F8168" s="2">
        <f>IFERROR(__xludf.DUMMYFUNCTION("""COMPUTED_VALUE"""),3029639.0)</f>
        <v>3029639</v>
      </c>
    </row>
    <row r="8169">
      <c r="A8169" s="3">
        <f>IFERROR(__xludf.DUMMYFUNCTION("""COMPUTED_VALUE"""),41044.666666666664)</f>
        <v>41044.66667</v>
      </c>
      <c r="B8169" s="2">
        <f>IFERROR(__xludf.DUMMYFUNCTION("""COMPUTED_VALUE"""),190.5)</f>
        <v>190.5</v>
      </c>
      <c r="C8169" s="2">
        <f>IFERROR(__xludf.DUMMYFUNCTION("""COMPUTED_VALUE"""),192.43)</f>
        <v>192.43</v>
      </c>
      <c r="D8169" s="2">
        <f>IFERROR(__xludf.DUMMYFUNCTION("""COMPUTED_VALUE"""),189.85)</f>
        <v>189.85</v>
      </c>
      <c r="E8169" s="2">
        <f>IFERROR(__xludf.DUMMYFUNCTION("""COMPUTED_VALUE"""),190.12)</f>
        <v>190.12</v>
      </c>
      <c r="F8169" s="2">
        <f>IFERROR(__xludf.DUMMYFUNCTION("""COMPUTED_VALUE"""),2987339.0)</f>
        <v>2987339</v>
      </c>
    </row>
    <row r="8170">
      <c r="A8170" s="3">
        <f>IFERROR(__xludf.DUMMYFUNCTION("""COMPUTED_VALUE"""),41045.666666666664)</f>
        <v>41045.66667</v>
      </c>
      <c r="B8170" s="2">
        <f>IFERROR(__xludf.DUMMYFUNCTION("""COMPUTED_VALUE"""),190.48)</f>
        <v>190.48</v>
      </c>
      <c r="C8170" s="2">
        <f>IFERROR(__xludf.DUMMYFUNCTION("""COMPUTED_VALUE"""),192.32)</f>
        <v>192.32</v>
      </c>
      <c r="D8170" s="2">
        <f>IFERROR(__xludf.DUMMYFUNCTION("""COMPUTED_VALUE"""),189.29)</f>
        <v>189.29</v>
      </c>
      <c r="E8170" s="2">
        <f>IFERROR(__xludf.DUMMYFUNCTION("""COMPUTED_VALUE"""),190.77)</f>
        <v>190.77</v>
      </c>
      <c r="F8170" s="2">
        <f>IFERROR(__xludf.DUMMYFUNCTION("""COMPUTED_VALUE"""),5001087.0)</f>
        <v>5001087</v>
      </c>
    </row>
    <row r="8171">
      <c r="A8171" s="3">
        <f>IFERROR(__xludf.DUMMYFUNCTION("""COMPUTED_VALUE"""),41046.666666666664)</f>
        <v>41046.66667</v>
      </c>
      <c r="B8171" s="2">
        <f>IFERROR(__xludf.DUMMYFUNCTION("""COMPUTED_VALUE"""),190.72)</f>
        <v>190.72</v>
      </c>
      <c r="C8171" s="2">
        <f>IFERROR(__xludf.DUMMYFUNCTION("""COMPUTED_VALUE"""),191.79)</f>
        <v>191.79</v>
      </c>
      <c r="D8171" s="2">
        <f>IFERROR(__xludf.DUMMYFUNCTION("""COMPUTED_VALUE"""),188.78)</f>
        <v>188.78</v>
      </c>
      <c r="E8171" s="2">
        <f>IFERROR(__xludf.DUMMYFUNCTION("""COMPUTED_VALUE"""),189.02)</f>
        <v>189.02</v>
      </c>
      <c r="F8171" s="2">
        <f>IFERROR(__xludf.DUMMYFUNCTION("""COMPUTED_VALUE"""),5627456.0)</f>
        <v>5627456</v>
      </c>
    </row>
    <row r="8172">
      <c r="A8172" s="3">
        <f>IFERROR(__xludf.DUMMYFUNCTION("""COMPUTED_VALUE"""),41047.666666666664)</f>
        <v>41047.66667</v>
      </c>
      <c r="B8172" s="2">
        <f>IFERROR(__xludf.DUMMYFUNCTION("""COMPUTED_VALUE"""),189.87)</f>
        <v>189.87</v>
      </c>
      <c r="C8172" s="2">
        <f>IFERROR(__xludf.DUMMYFUNCTION("""COMPUTED_VALUE"""),189.87)</f>
        <v>189.87</v>
      </c>
      <c r="D8172" s="2">
        <f>IFERROR(__xludf.DUMMYFUNCTION("""COMPUTED_VALUE"""),186.41)</f>
        <v>186.41</v>
      </c>
      <c r="E8172" s="2">
        <f>IFERROR(__xludf.DUMMYFUNCTION("""COMPUTED_VALUE"""),187.1)</f>
        <v>187.1</v>
      </c>
      <c r="F8172" s="2">
        <f>IFERROR(__xludf.DUMMYFUNCTION("""COMPUTED_VALUE"""),5737095.0)</f>
        <v>5737095</v>
      </c>
    </row>
    <row r="8173">
      <c r="A8173" s="3">
        <f>IFERROR(__xludf.DUMMYFUNCTION("""COMPUTED_VALUE"""),41050.666666666664)</f>
        <v>41050.66667</v>
      </c>
      <c r="B8173" s="2">
        <f>IFERROR(__xludf.DUMMYFUNCTION("""COMPUTED_VALUE"""),187.19)</f>
        <v>187.19</v>
      </c>
      <c r="C8173" s="2">
        <f>IFERROR(__xludf.DUMMYFUNCTION("""COMPUTED_VALUE"""),189.06)</f>
        <v>189.06</v>
      </c>
      <c r="D8173" s="2">
        <f>IFERROR(__xludf.DUMMYFUNCTION("""COMPUTED_VALUE"""),185.9)</f>
        <v>185.9</v>
      </c>
      <c r="E8173" s="2">
        <f>IFERROR(__xludf.DUMMYFUNCTION("""COMPUTED_VALUE"""),188.89)</f>
        <v>188.89</v>
      </c>
      <c r="F8173" s="2">
        <f>IFERROR(__xludf.DUMMYFUNCTION("""COMPUTED_VALUE"""),3831863.0)</f>
        <v>3831863</v>
      </c>
    </row>
    <row r="8174">
      <c r="A8174" s="3">
        <f>IFERROR(__xludf.DUMMYFUNCTION("""COMPUTED_VALUE"""),41051.666666666664)</f>
        <v>41051.66667</v>
      </c>
      <c r="B8174" s="2">
        <f>IFERROR(__xludf.DUMMYFUNCTION("""COMPUTED_VALUE"""),189.16)</f>
        <v>189.16</v>
      </c>
      <c r="C8174" s="2">
        <f>IFERROR(__xludf.DUMMYFUNCTION("""COMPUTED_VALUE"""),189.37)</f>
        <v>189.37</v>
      </c>
      <c r="D8174" s="2">
        <f>IFERROR(__xludf.DUMMYFUNCTION("""COMPUTED_VALUE"""),187.27)</f>
        <v>187.27</v>
      </c>
      <c r="E8174" s="2">
        <f>IFERROR(__xludf.DUMMYFUNCTION("""COMPUTED_VALUE"""),188.0)</f>
        <v>188</v>
      </c>
      <c r="F8174" s="2">
        <f>IFERROR(__xludf.DUMMYFUNCTION("""COMPUTED_VALUE"""),3567786.0)</f>
        <v>3567786</v>
      </c>
    </row>
    <row r="8175">
      <c r="A8175" s="3">
        <f>IFERROR(__xludf.DUMMYFUNCTION("""COMPUTED_VALUE"""),41052.666666666664)</f>
        <v>41052.66667</v>
      </c>
      <c r="B8175" s="2">
        <f>IFERROR(__xludf.DUMMYFUNCTION("""COMPUTED_VALUE"""),186.76)</f>
        <v>186.76</v>
      </c>
      <c r="C8175" s="2">
        <f>IFERROR(__xludf.DUMMYFUNCTION("""COMPUTED_VALUE"""),187.68)</f>
        <v>187.68</v>
      </c>
      <c r="D8175" s="2">
        <f>IFERROR(__xludf.DUMMYFUNCTION("""COMPUTED_VALUE"""),184.54)</f>
        <v>184.54</v>
      </c>
      <c r="E8175" s="2">
        <f>IFERROR(__xludf.DUMMYFUNCTION("""COMPUTED_VALUE"""),187.33)</f>
        <v>187.33</v>
      </c>
      <c r="F8175" s="2">
        <f>IFERROR(__xludf.DUMMYFUNCTION("""COMPUTED_VALUE"""),4066664.0)</f>
        <v>4066664</v>
      </c>
    </row>
    <row r="8176">
      <c r="A8176" s="3">
        <f>IFERROR(__xludf.DUMMYFUNCTION("""COMPUTED_VALUE"""),41053.666666666664)</f>
        <v>41053.66667</v>
      </c>
      <c r="B8176" s="2">
        <f>IFERROR(__xludf.DUMMYFUNCTION("""COMPUTED_VALUE"""),187.2)</f>
        <v>187.2</v>
      </c>
      <c r="C8176" s="2">
        <f>IFERROR(__xludf.DUMMYFUNCTION("""COMPUTED_VALUE"""),187.48)</f>
        <v>187.48</v>
      </c>
      <c r="D8176" s="2">
        <f>IFERROR(__xludf.DUMMYFUNCTION("""COMPUTED_VALUE"""),185.3)</f>
        <v>185.3</v>
      </c>
      <c r="E8176" s="2">
        <f>IFERROR(__xludf.DUMMYFUNCTION("""COMPUTED_VALUE"""),187.3)</f>
        <v>187.3</v>
      </c>
      <c r="F8176" s="2">
        <f>IFERROR(__xludf.DUMMYFUNCTION("""COMPUTED_VALUE"""),3569476.0)</f>
        <v>3569476</v>
      </c>
    </row>
    <row r="8177">
      <c r="A8177" s="3">
        <f>IFERROR(__xludf.DUMMYFUNCTION("""COMPUTED_VALUE"""),41054.666666666664)</f>
        <v>41054.66667</v>
      </c>
      <c r="B8177" s="2">
        <f>IFERROR(__xludf.DUMMYFUNCTION("""COMPUTED_VALUE"""),186.36)</f>
        <v>186.36</v>
      </c>
      <c r="C8177" s="2">
        <f>IFERROR(__xludf.DUMMYFUNCTION("""COMPUTED_VALUE"""),187.21)</f>
        <v>187.21</v>
      </c>
      <c r="D8177" s="2">
        <f>IFERROR(__xludf.DUMMYFUNCTION("""COMPUTED_VALUE"""),185.3)</f>
        <v>185.3</v>
      </c>
      <c r="E8177" s="2">
        <f>IFERROR(__xludf.DUMMYFUNCTION("""COMPUTED_VALUE"""),185.59)</f>
        <v>185.59</v>
      </c>
      <c r="F8177" s="2">
        <f>IFERROR(__xludf.DUMMYFUNCTION("""COMPUTED_VALUE"""),2903063.0)</f>
        <v>2903063</v>
      </c>
    </row>
    <row r="8178">
      <c r="A8178" s="3">
        <f>IFERROR(__xludf.DUMMYFUNCTION("""COMPUTED_VALUE"""),41058.666666666664)</f>
        <v>41058.66667</v>
      </c>
      <c r="B8178" s="2">
        <f>IFERROR(__xludf.DUMMYFUNCTION("""COMPUTED_VALUE"""),186.47)</f>
        <v>186.47</v>
      </c>
      <c r="C8178" s="2">
        <f>IFERROR(__xludf.DUMMYFUNCTION("""COMPUTED_VALUE"""),189.2)</f>
        <v>189.2</v>
      </c>
      <c r="D8178" s="2">
        <f>IFERROR(__xludf.DUMMYFUNCTION("""COMPUTED_VALUE"""),186.47)</f>
        <v>186.47</v>
      </c>
      <c r="E8178" s="2">
        <f>IFERROR(__xludf.DUMMYFUNCTION("""COMPUTED_VALUE"""),187.65)</f>
        <v>187.65</v>
      </c>
      <c r="F8178" s="2">
        <f>IFERROR(__xludf.DUMMYFUNCTION("""COMPUTED_VALUE"""),3618533.0)</f>
        <v>3618533</v>
      </c>
    </row>
    <row r="8179">
      <c r="A8179" s="3">
        <f>IFERROR(__xludf.DUMMYFUNCTION("""COMPUTED_VALUE"""),41059.666666666664)</f>
        <v>41059.66667</v>
      </c>
      <c r="B8179" s="2">
        <f>IFERROR(__xludf.DUMMYFUNCTION("""COMPUTED_VALUE"""),186.07)</f>
        <v>186.07</v>
      </c>
      <c r="C8179" s="2">
        <f>IFERROR(__xludf.DUMMYFUNCTION("""COMPUTED_VALUE"""),186.71)</f>
        <v>186.71</v>
      </c>
      <c r="D8179" s="2">
        <f>IFERROR(__xludf.DUMMYFUNCTION("""COMPUTED_VALUE"""),185.08)</f>
        <v>185.08</v>
      </c>
      <c r="E8179" s="2">
        <f>IFERROR(__xludf.DUMMYFUNCTION("""COMPUTED_VALUE"""),185.81)</f>
        <v>185.81</v>
      </c>
      <c r="F8179" s="2">
        <f>IFERROR(__xludf.DUMMYFUNCTION("""COMPUTED_VALUE"""),3602417.0)</f>
        <v>3602417</v>
      </c>
    </row>
    <row r="8180">
      <c r="A8180" s="3">
        <f>IFERROR(__xludf.DUMMYFUNCTION("""COMPUTED_VALUE"""),41060.666666666664)</f>
        <v>41060.66667</v>
      </c>
      <c r="B8180" s="2">
        <f>IFERROR(__xludf.DUMMYFUNCTION("""COMPUTED_VALUE"""),185.4)</f>
        <v>185.4</v>
      </c>
      <c r="C8180" s="2">
        <f>IFERROR(__xludf.DUMMYFUNCTION("""COMPUTED_VALUE"""),186.19)</f>
        <v>186.19</v>
      </c>
      <c r="D8180" s="2">
        <f>IFERROR(__xludf.DUMMYFUNCTION("""COMPUTED_VALUE"""),183.39)</f>
        <v>183.39</v>
      </c>
      <c r="E8180" s="2">
        <f>IFERROR(__xludf.DUMMYFUNCTION("""COMPUTED_VALUE"""),184.25)</f>
        <v>184.25</v>
      </c>
      <c r="F8180" s="2">
        <f>IFERROR(__xludf.DUMMYFUNCTION("""COMPUTED_VALUE"""),9290067.0)</f>
        <v>9290067</v>
      </c>
    </row>
    <row r="8181">
      <c r="A8181" s="3">
        <f>IFERROR(__xludf.DUMMYFUNCTION("""COMPUTED_VALUE"""),41061.666666666664)</f>
        <v>41061.66667</v>
      </c>
      <c r="B8181" s="2">
        <f>IFERROR(__xludf.DUMMYFUNCTION("""COMPUTED_VALUE"""),181.6)</f>
        <v>181.6</v>
      </c>
      <c r="C8181" s="2">
        <f>IFERROR(__xludf.DUMMYFUNCTION("""COMPUTED_VALUE"""),183.12)</f>
        <v>183.12</v>
      </c>
      <c r="D8181" s="2">
        <f>IFERROR(__xludf.DUMMYFUNCTION("""COMPUTED_VALUE"""),180.14)</f>
        <v>180.14</v>
      </c>
      <c r="E8181" s="2">
        <f>IFERROR(__xludf.DUMMYFUNCTION("""COMPUTED_VALUE"""),180.6)</f>
        <v>180.6</v>
      </c>
      <c r="F8181" s="2">
        <f>IFERROR(__xludf.DUMMYFUNCTION("""COMPUTED_VALUE"""),5206323.0)</f>
        <v>5206323</v>
      </c>
    </row>
    <row r="8182">
      <c r="A8182" s="3">
        <f>IFERROR(__xludf.DUMMYFUNCTION("""COMPUTED_VALUE"""),41064.666666666664)</f>
        <v>41064.66667</v>
      </c>
      <c r="B8182" s="2">
        <f>IFERROR(__xludf.DUMMYFUNCTION("""COMPUTED_VALUE"""),179.9)</f>
        <v>179.9</v>
      </c>
      <c r="C8182" s="2">
        <f>IFERROR(__xludf.DUMMYFUNCTION("""COMPUTED_VALUE"""),180.89)</f>
        <v>180.89</v>
      </c>
      <c r="D8182" s="2">
        <f>IFERROR(__xludf.DUMMYFUNCTION("""COMPUTED_VALUE"""),178.62)</f>
        <v>178.62</v>
      </c>
      <c r="E8182" s="2">
        <f>IFERROR(__xludf.DUMMYFUNCTION("""COMPUTED_VALUE"""),180.09)</f>
        <v>180.09</v>
      </c>
      <c r="F8182" s="2">
        <f>IFERROR(__xludf.DUMMYFUNCTION("""COMPUTED_VALUE"""),4625073.0)</f>
        <v>4625073</v>
      </c>
    </row>
    <row r="8183">
      <c r="A8183" s="3">
        <f>IFERROR(__xludf.DUMMYFUNCTION("""COMPUTED_VALUE"""),41065.666666666664)</f>
        <v>41065.66667</v>
      </c>
      <c r="B8183" s="2">
        <f>IFERROR(__xludf.DUMMYFUNCTION("""COMPUTED_VALUE"""),179.49)</f>
        <v>179.49</v>
      </c>
      <c r="C8183" s="2">
        <f>IFERROR(__xludf.DUMMYFUNCTION("""COMPUTED_VALUE"""),181.34)</f>
        <v>181.34</v>
      </c>
      <c r="D8183" s="2">
        <f>IFERROR(__xludf.DUMMYFUNCTION("""COMPUTED_VALUE"""),179.15)</f>
        <v>179.15</v>
      </c>
      <c r="E8183" s="2">
        <f>IFERROR(__xludf.DUMMYFUNCTION("""COMPUTED_VALUE"""),180.72)</f>
        <v>180.72</v>
      </c>
      <c r="F8183" s="2">
        <f>IFERROR(__xludf.DUMMYFUNCTION("""COMPUTED_VALUE"""),3556762.0)</f>
        <v>3556762</v>
      </c>
    </row>
    <row r="8184">
      <c r="A8184" s="3">
        <f>IFERROR(__xludf.DUMMYFUNCTION("""COMPUTED_VALUE"""),41066.666666666664)</f>
        <v>41066.66667</v>
      </c>
      <c r="B8184" s="2">
        <f>IFERROR(__xludf.DUMMYFUNCTION("""COMPUTED_VALUE"""),182.23)</f>
        <v>182.23</v>
      </c>
      <c r="C8184" s="2">
        <f>IFERROR(__xludf.DUMMYFUNCTION("""COMPUTED_VALUE"""),185.3)</f>
        <v>185.3</v>
      </c>
      <c r="D8184" s="2">
        <f>IFERROR(__xludf.DUMMYFUNCTION("""COMPUTED_VALUE"""),181.5)</f>
        <v>181.5</v>
      </c>
      <c r="E8184" s="2">
        <f>IFERROR(__xludf.DUMMYFUNCTION("""COMPUTED_VALUE"""),185.29)</f>
        <v>185.29</v>
      </c>
      <c r="F8184" s="2">
        <f>IFERROR(__xludf.DUMMYFUNCTION("""COMPUTED_VALUE"""),3645267.0)</f>
        <v>3645267</v>
      </c>
    </row>
    <row r="8185">
      <c r="A8185" s="3">
        <f>IFERROR(__xludf.DUMMYFUNCTION("""COMPUTED_VALUE"""),41067.666666666664)</f>
        <v>41067.66667</v>
      </c>
      <c r="B8185" s="2">
        <f>IFERROR(__xludf.DUMMYFUNCTION("""COMPUTED_VALUE"""),186.52)</f>
        <v>186.52</v>
      </c>
      <c r="C8185" s="2">
        <f>IFERROR(__xludf.DUMMYFUNCTION("""COMPUTED_VALUE"""),187.05)</f>
        <v>187.05</v>
      </c>
      <c r="D8185" s="2">
        <f>IFERROR(__xludf.DUMMYFUNCTION("""COMPUTED_VALUE"""),185.24)</f>
        <v>185.24</v>
      </c>
      <c r="E8185" s="2">
        <f>IFERROR(__xludf.DUMMYFUNCTION("""COMPUTED_VALUE"""),185.72)</f>
        <v>185.72</v>
      </c>
      <c r="F8185" s="2">
        <f>IFERROR(__xludf.DUMMYFUNCTION("""COMPUTED_VALUE"""),3701066.0)</f>
        <v>3701066</v>
      </c>
    </row>
    <row r="8186">
      <c r="A8186" s="3">
        <f>IFERROR(__xludf.DUMMYFUNCTION("""COMPUTED_VALUE"""),41068.666666666664)</f>
        <v>41068.66667</v>
      </c>
      <c r="B8186" s="2">
        <f>IFERROR(__xludf.DUMMYFUNCTION("""COMPUTED_VALUE"""),185.02)</f>
        <v>185.02</v>
      </c>
      <c r="C8186" s="2">
        <f>IFERROR(__xludf.DUMMYFUNCTION("""COMPUTED_VALUE"""),186.39)</f>
        <v>186.39</v>
      </c>
      <c r="D8186" s="2">
        <f>IFERROR(__xludf.DUMMYFUNCTION("""COMPUTED_VALUE"""),184.06)</f>
        <v>184.06</v>
      </c>
      <c r="E8186" s="2">
        <f>IFERROR(__xludf.DUMMYFUNCTION("""COMPUTED_VALUE"""),186.39)</f>
        <v>186.39</v>
      </c>
      <c r="F8186" s="2">
        <f>IFERROR(__xludf.DUMMYFUNCTION("""COMPUTED_VALUE"""),2476647.0)</f>
        <v>2476647</v>
      </c>
    </row>
    <row r="8187">
      <c r="A8187" s="3">
        <f>IFERROR(__xludf.DUMMYFUNCTION("""COMPUTED_VALUE"""),41071.666666666664)</f>
        <v>41071.66667</v>
      </c>
      <c r="B8187" s="2">
        <f>IFERROR(__xludf.DUMMYFUNCTION("""COMPUTED_VALUE"""),187.79)</f>
        <v>187.79</v>
      </c>
      <c r="C8187" s="2">
        <f>IFERROR(__xludf.DUMMYFUNCTION("""COMPUTED_VALUE"""),187.88)</f>
        <v>187.88</v>
      </c>
      <c r="D8187" s="2">
        <f>IFERROR(__xludf.DUMMYFUNCTION("""COMPUTED_VALUE"""),183.74)</f>
        <v>183.74</v>
      </c>
      <c r="E8187" s="2">
        <f>IFERROR(__xludf.DUMMYFUNCTION("""COMPUTED_VALUE"""),183.88)</f>
        <v>183.88</v>
      </c>
      <c r="F8187" s="2">
        <f>IFERROR(__xludf.DUMMYFUNCTION("""COMPUTED_VALUE"""),3273511.0)</f>
        <v>3273511</v>
      </c>
    </row>
    <row r="8188">
      <c r="A8188" s="3">
        <f>IFERROR(__xludf.DUMMYFUNCTION("""COMPUTED_VALUE"""),41072.666666666664)</f>
        <v>41072.66667</v>
      </c>
      <c r="B8188" s="2">
        <f>IFERROR(__xludf.DUMMYFUNCTION("""COMPUTED_VALUE"""),183.53)</f>
        <v>183.53</v>
      </c>
      <c r="C8188" s="2">
        <f>IFERROR(__xludf.DUMMYFUNCTION("""COMPUTED_VALUE"""),185.94)</f>
        <v>185.94</v>
      </c>
      <c r="D8188" s="2">
        <f>IFERROR(__xludf.DUMMYFUNCTION("""COMPUTED_VALUE"""),183.53)</f>
        <v>183.53</v>
      </c>
      <c r="E8188" s="2">
        <f>IFERROR(__xludf.DUMMYFUNCTION("""COMPUTED_VALUE"""),185.83)</f>
        <v>185.83</v>
      </c>
      <c r="F8188" s="2">
        <f>IFERROR(__xludf.DUMMYFUNCTION("""COMPUTED_VALUE"""),3023630.0)</f>
        <v>3023630</v>
      </c>
    </row>
    <row r="8189">
      <c r="A8189" s="3">
        <f>IFERROR(__xludf.DUMMYFUNCTION("""COMPUTED_VALUE"""),41073.666666666664)</f>
        <v>41073.66667</v>
      </c>
      <c r="B8189" s="2">
        <f>IFERROR(__xludf.DUMMYFUNCTION("""COMPUTED_VALUE"""),185.65)</f>
        <v>185.65</v>
      </c>
      <c r="C8189" s="2">
        <f>IFERROR(__xludf.DUMMYFUNCTION("""COMPUTED_VALUE"""),186.44)</f>
        <v>186.44</v>
      </c>
      <c r="D8189" s="2">
        <f>IFERROR(__xludf.DUMMYFUNCTION("""COMPUTED_VALUE"""),183.72)</f>
        <v>183.72</v>
      </c>
      <c r="E8189" s="2">
        <f>IFERROR(__xludf.DUMMYFUNCTION("""COMPUTED_VALUE"""),184.44)</f>
        <v>184.44</v>
      </c>
      <c r="F8189" s="2">
        <f>IFERROR(__xludf.DUMMYFUNCTION("""COMPUTED_VALUE"""),3247653.0)</f>
        <v>3247653</v>
      </c>
    </row>
    <row r="8190">
      <c r="A8190" s="3">
        <f>IFERROR(__xludf.DUMMYFUNCTION("""COMPUTED_VALUE"""),41074.666666666664)</f>
        <v>41074.66667</v>
      </c>
      <c r="B8190" s="2">
        <f>IFERROR(__xludf.DUMMYFUNCTION("""COMPUTED_VALUE"""),184.35)</f>
        <v>184.35</v>
      </c>
      <c r="C8190" s="2">
        <f>IFERROR(__xludf.DUMMYFUNCTION("""COMPUTED_VALUE"""),187.05)</f>
        <v>187.05</v>
      </c>
      <c r="D8190" s="2">
        <f>IFERROR(__xludf.DUMMYFUNCTION("""COMPUTED_VALUE"""),184.1)</f>
        <v>184.1</v>
      </c>
      <c r="E8190" s="2">
        <f>IFERROR(__xludf.DUMMYFUNCTION("""COMPUTED_VALUE"""),186.35)</f>
        <v>186.35</v>
      </c>
      <c r="F8190" s="2">
        <f>IFERROR(__xludf.DUMMYFUNCTION("""COMPUTED_VALUE"""),3584945.0)</f>
        <v>3584945</v>
      </c>
    </row>
    <row r="8191">
      <c r="A8191" s="3">
        <f>IFERROR(__xludf.DUMMYFUNCTION("""COMPUTED_VALUE"""),41075.666666666664)</f>
        <v>41075.66667</v>
      </c>
      <c r="B8191" s="2">
        <f>IFERROR(__xludf.DUMMYFUNCTION("""COMPUTED_VALUE"""),187.29)</f>
        <v>187.29</v>
      </c>
      <c r="C8191" s="2">
        <f>IFERROR(__xludf.DUMMYFUNCTION("""COMPUTED_VALUE"""),190.34)</f>
        <v>190.34</v>
      </c>
      <c r="D8191" s="2">
        <f>IFERROR(__xludf.DUMMYFUNCTION("""COMPUTED_VALUE"""),186.64)</f>
        <v>186.64</v>
      </c>
      <c r="E8191" s="2">
        <f>IFERROR(__xludf.DUMMYFUNCTION("""COMPUTED_VALUE"""),190.17)</f>
        <v>190.17</v>
      </c>
      <c r="F8191" s="2">
        <f>IFERROR(__xludf.DUMMYFUNCTION("""COMPUTED_VALUE"""),6390633.0)</f>
        <v>6390633</v>
      </c>
    </row>
    <row r="8192">
      <c r="A8192" s="3">
        <f>IFERROR(__xludf.DUMMYFUNCTION("""COMPUTED_VALUE"""),41078.666666666664)</f>
        <v>41078.66667</v>
      </c>
      <c r="B8192" s="2">
        <f>IFERROR(__xludf.DUMMYFUNCTION("""COMPUTED_VALUE"""),188.71)</f>
        <v>188.71</v>
      </c>
      <c r="C8192" s="2">
        <f>IFERROR(__xludf.DUMMYFUNCTION("""COMPUTED_VALUE"""),190.69)</f>
        <v>190.69</v>
      </c>
      <c r="D8192" s="2">
        <f>IFERROR(__xludf.DUMMYFUNCTION("""COMPUTED_VALUE"""),188.33)</f>
        <v>188.33</v>
      </c>
      <c r="E8192" s="2">
        <f>IFERROR(__xludf.DUMMYFUNCTION("""COMPUTED_VALUE"""),189.4)</f>
        <v>189.4</v>
      </c>
      <c r="F8192" s="2">
        <f>IFERROR(__xludf.DUMMYFUNCTION("""COMPUTED_VALUE"""),3378912.0)</f>
        <v>3378912</v>
      </c>
    </row>
    <row r="8193">
      <c r="A8193" s="3">
        <f>IFERROR(__xludf.DUMMYFUNCTION("""COMPUTED_VALUE"""),41079.666666666664)</f>
        <v>41079.66667</v>
      </c>
      <c r="B8193" s="2">
        <f>IFERROR(__xludf.DUMMYFUNCTION("""COMPUTED_VALUE"""),189.92)</f>
        <v>189.92</v>
      </c>
      <c r="C8193" s="2">
        <f>IFERROR(__xludf.DUMMYFUNCTION("""COMPUTED_VALUE"""),191.02)</f>
        <v>191.02</v>
      </c>
      <c r="D8193" s="2">
        <f>IFERROR(__xludf.DUMMYFUNCTION("""COMPUTED_VALUE"""),189.89)</f>
        <v>189.89</v>
      </c>
      <c r="E8193" s="2">
        <f>IFERROR(__xludf.DUMMYFUNCTION("""COMPUTED_VALUE"""),190.01)</f>
        <v>190.01</v>
      </c>
      <c r="F8193" s="2">
        <f>IFERROR(__xludf.DUMMYFUNCTION("""COMPUTED_VALUE"""),3297517.0)</f>
        <v>3297517</v>
      </c>
    </row>
    <row r="8194">
      <c r="A8194" s="3">
        <f>IFERROR(__xludf.DUMMYFUNCTION("""COMPUTED_VALUE"""),41080.666666666664)</f>
        <v>41080.66667</v>
      </c>
      <c r="B8194" s="2">
        <f>IFERROR(__xludf.DUMMYFUNCTION("""COMPUTED_VALUE"""),189.79)</f>
        <v>189.79</v>
      </c>
      <c r="C8194" s="2">
        <f>IFERROR(__xludf.DUMMYFUNCTION("""COMPUTED_VALUE"""),190.78)</f>
        <v>190.78</v>
      </c>
      <c r="D8194" s="2">
        <f>IFERROR(__xludf.DUMMYFUNCTION("""COMPUTED_VALUE"""),188.64)</f>
        <v>188.64</v>
      </c>
      <c r="E8194" s="2">
        <f>IFERROR(__xludf.DUMMYFUNCTION("""COMPUTED_VALUE"""),189.87)</f>
        <v>189.87</v>
      </c>
      <c r="F8194" s="2">
        <f>IFERROR(__xludf.DUMMYFUNCTION("""COMPUTED_VALUE"""),3378824.0)</f>
        <v>3378824</v>
      </c>
    </row>
    <row r="8195">
      <c r="A8195" s="3">
        <f>IFERROR(__xludf.DUMMYFUNCTION("""COMPUTED_VALUE"""),41081.666666666664)</f>
        <v>41081.66667</v>
      </c>
      <c r="B8195" s="2">
        <f>IFERROR(__xludf.DUMMYFUNCTION("""COMPUTED_VALUE"""),190.14)</f>
        <v>190.14</v>
      </c>
      <c r="C8195" s="2">
        <f>IFERROR(__xludf.DUMMYFUNCTION("""COMPUTED_VALUE"""),190.51)</f>
        <v>190.51</v>
      </c>
      <c r="D8195" s="2">
        <f>IFERROR(__xludf.DUMMYFUNCTION("""COMPUTED_VALUE"""),184.53)</f>
        <v>184.53</v>
      </c>
      <c r="E8195" s="2">
        <f>IFERROR(__xludf.DUMMYFUNCTION("""COMPUTED_VALUE"""),184.72)</f>
        <v>184.72</v>
      </c>
      <c r="F8195" s="2">
        <f>IFERROR(__xludf.DUMMYFUNCTION("""COMPUTED_VALUE"""),4316544.0)</f>
        <v>4316544</v>
      </c>
    </row>
    <row r="8196">
      <c r="A8196" s="3">
        <f>IFERROR(__xludf.DUMMYFUNCTION("""COMPUTED_VALUE"""),41082.666666666664)</f>
        <v>41082.66667</v>
      </c>
      <c r="B8196" s="2">
        <f>IFERROR(__xludf.DUMMYFUNCTION("""COMPUTED_VALUE"""),185.18)</f>
        <v>185.18</v>
      </c>
      <c r="C8196" s="2">
        <f>IFERROR(__xludf.DUMMYFUNCTION("""COMPUTED_VALUE"""),186.14)</f>
        <v>186.14</v>
      </c>
      <c r="D8196" s="2">
        <f>IFERROR(__xludf.DUMMYFUNCTION("""COMPUTED_VALUE"""),184.56)</f>
        <v>184.56</v>
      </c>
      <c r="E8196" s="2">
        <f>IFERROR(__xludf.DUMMYFUNCTION("""COMPUTED_VALUE"""),185.02)</f>
        <v>185.02</v>
      </c>
      <c r="F8196" s="2">
        <f>IFERROR(__xludf.DUMMYFUNCTION("""COMPUTED_VALUE"""),8833353.0)</f>
        <v>8833353</v>
      </c>
    </row>
    <row r="8197">
      <c r="A8197" s="3">
        <f>IFERROR(__xludf.DUMMYFUNCTION("""COMPUTED_VALUE"""),41085.666666666664)</f>
        <v>41085.66667</v>
      </c>
      <c r="B8197" s="2">
        <f>IFERROR(__xludf.DUMMYFUNCTION("""COMPUTED_VALUE"""),183.85)</f>
        <v>183.85</v>
      </c>
      <c r="C8197" s="2">
        <f>IFERROR(__xludf.DUMMYFUNCTION("""COMPUTED_VALUE"""),184.72)</f>
        <v>184.72</v>
      </c>
      <c r="D8197" s="2">
        <f>IFERROR(__xludf.DUMMYFUNCTION("""COMPUTED_VALUE"""),183.09)</f>
        <v>183.09</v>
      </c>
      <c r="E8197" s="2">
        <f>IFERROR(__xludf.DUMMYFUNCTION("""COMPUTED_VALUE"""),184.21)</f>
        <v>184.21</v>
      </c>
      <c r="F8197" s="2">
        <f>IFERROR(__xludf.DUMMYFUNCTION("""COMPUTED_VALUE"""),3211529.0)</f>
        <v>3211529</v>
      </c>
    </row>
    <row r="8198">
      <c r="A8198" s="3">
        <f>IFERROR(__xludf.DUMMYFUNCTION("""COMPUTED_VALUE"""),41086.666666666664)</f>
        <v>41086.66667</v>
      </c>
      <c r="B8198" s="2">
        <f>IFERROR(__xludf.DUMMYFUNCTION("""COMPUTED_VALUE"""),184.86)</f>
        <v>184.86</v>
      </c>
      <c r="C8198" s="2">
        <f>IFERROR(__xludf.DUMMYFUNCTION("""COMPUTED_VALUE"""),185.0)</f>
        <v>185</v>
      </c>
      <c r="D8198" s="2">
        <f>IFERROR(__xludf.DUMMYFUNCTION("""COMPUTED_VALUE"""),182.2)</f>
        <v>182.2</v>
      </c>
      <c r="E8198" s="2">
        <f>IFERROR(__xludf.DUMMYFUNCTION("""COMPUTED_VALUE"""),183.34)</f>
        <v>183.34</v>
      </c>
      <c r="F8198" s="2">
        <f>IFERROR(__xludf.DUMMYFUNCTION("""COMPUTED_VALUE"""),3436150.0)</f>
        <v>3436150</v>
      </c>
    </row>
    <row r="8199">
      <c r="A8199" s="3">
        <f>IFERROR(__xludf.DUMMYFUNCTION("""COMPUTED_VALUE"""),41087.666666666664)</f>
        <v>41087.66667</v>
      </c>
      <c r="B8199" s="2">
        <f>IFERROR(__xludf.DUMMYFUNCTION("""COMPUTED_VALUE"""),183.53)</f>
        <v>183.53</v>
      </c>
      <c r="C8199" s="2">
        <f>IFERROR(__xludf.DUMMYFUNCTION("""COMPUTED_VALUE"""),185.02)</f>
        <v>185.02</v>
      </c>
      <c r="D8199" s="2">
        <f>IFERROR(__xludf.DUMMYFUNCTION("""COMPUTED_VALUE"""),182.34)</f>
        <v>182.34</v>
      </c>
      <c r="E8199" s="2">
        <f>IFERROR(__xludf.DUMMYFUNCTION("""COMPUTED_VALUE"""),184.35)</f>
        <v>184.35</v>
      </c>
      <c r="F8199" s="2">
        <f>IFERROR(__xludf.DUMMYFUNCTION("""COMPUTED_VALUE"""),2762612.0)</f>
        <v>2762612</v>
      </c>
    </row>
    <row r="8200">
      <c r="A8200" s="3">
        <f>IFERROR(__xludf.DUMMYFUNCTION("""COMPUTED_VALUE"""),41088.666666666664)</f>
        <v>41088.66667</v>
      </c>
      <c r="B8200" s="2">
        <f>IFERROR(__xludf.DUMMYFUNCTION("""COMPUTED_VALUE"""),182.66)</f>
        <v>182.66</v>
      </c>
      <c r="C8200" s="2">
        <f>IFERROR(__xludf.DUMMYFUNCTION("""COMPUTED_VALUE"""),183.47)</f>
        <v>183.47</v>
      </c>
      <c r="D8200" s="2">
        <f>IFERROR(__xludf.DUMMYFUNCTION("""COMPUTED_VALUE"""),180.43)</f>
        <v>180.43</v>
      </c>
      <c r="E8200" s="2">
        <f>IFERROR(__xludf.DUMMYFUNCTION("""COMPUTED_VALUE"""),182.82)</f>
        <v>182.82</v>
      </c>
      <c r="F8200" s="2">
        <f>IFERROR(__xludf.DUMMYFUNCTION("""COMPUTED_VALUE"""),3967265.0)</f>
        <v>3967265</v>
      </c>
    </row>
    <row r="8201">
      <c r="A8201" s="3">
        <f>IFERROR(__xludf.DUMMYFUNCTION("""COMPUTED_VALUE"""),41089.666666666664)</f>
        <v>41089.66667</v>
      </c>
      <c r="B8201" s="2">
        <f>IFERROR(__xludf.DUMMYFUNCTION("""COMPUTED_VALUE"""),185.83)</f>
        <v>185.83</v>
      </c>
      <c r="C8201" s="2">
        <f>IFERROR(__xludf.DUMMYFUNCTION("""COMPUTED_VALUE"""),187.03)</f>
        <v>187.03</v>
      </c>
      <c r="D8201" s="2">
        <f>IFERROR(__xludf.DUMMYFUNCTION("""COMPUTED_VALUE"""),183.78)</f>
        <v>183.78</v>
      </c>
      <c r="E8201" s="2">
        <f>IFERROR(__xludf.DUMMYFUNCTION("""COMPUTED_VALUE"""),186.81)</f>
        <v>186.81</v>
      </c>
      <c r="F8201" s="2">
        <f>IFERROR(__xludf.DUMMYFUNCTION("""COMPUTED_VALUE"""),5262273.0)</f>
        <v>5262273</v>
      </c>
    </row>
    <row r="8202">
      <c r="A8202" s="3">
        <f>IFERROR(__xludf.DUMMYFUNCTION("""COMPUTED_VALUE"""),41092.666666666664)</f>
        <v>41092.66667</v>
      </c>
      <c r="B8202" s="2">
        <f>IFERROR(__xludf.DUMMYFUNCTION("""COMPUTED_VALUE"""),187.56)</f>
        <v>187.56</v>
      </c>
      <c r="C8202" s="2">
        <f>IFERROR(__xludf.DUMMYFUNCTION("""COMPUTED_VALUE"""),188.36)</f>
        <v>188.36</v>
      </c>
      <c r="D8202" s="2">
        <f>IFERROR(__xludf.DUMMYFUNCTION("""COMPUTED_VALUE"""),186.11)</f>
        <v>186.11</v>
      </c>
      <c r="E8202" s="2">
        <f>IFERROR(__xludf.DUMMYFUNCTION("""COMPUTED_VALUE"""),187.05)</f>
        <v>187.05</v>
      </c>
      <c r="F8202" s="2">
        <f>IFERROR(__xludf.DUMMYFUNCTION("""COMPUTED_VALUE"""),2831680.0)</f>
        <v>2831680</v>
      </c>
    </row>
    <row r="8203">
      <c r="A8203" s="3">
        <f>IFERROR(__xludf.DUMMYFUNCTION("""COMPUTED_VALUE"""),41093.666666666664)</f>
        <v>41093.66667</v>
      </c>
      <c r="B8203" s="2">
        <f>IFERROR(__xludf.DUMMYFUNCTION("""COMPUTED_VALUE"""),186.7)</f>
        <v>186.7</v>
      </c>
      <c r="C8203" s="2">
        <f>IFERROR(__xludf.DUMMYFUNCTION("""COMPUTED_VALUE"""),187.54)</f>
        <v>187.54</v>
      </c>
      <c r="D8203" s="2">
        <f>IFERROR(__xludf.DUMMYFUNCTION("""COMPUTED_VALUE"""),186.17)</f>
        <v>186.17</v>
      </c>
      <c r="E8203" s="2">
        <f>IFERROR(__xludf.DUMMYFUNCTION("""COMPUTED_VALUE"""),187.15)</f>
        <v>187.15</v>
      </c>
      <c r="F8203" s="2">
        <f>IFERROR(__xludf.DUMMYFUNCTION("""COMPUTED_VALUE"""),1451425.0)</f>
        <v>1451425</v>
      </c>
    </row>
    <row r="8204">
      <c r="A8204" s="3">
        <f>IFERROR(__xludf.DUMMYFUNCTION("""COMPUTED_VALUE"""),41095.666666666664)</f>
        <v>41095.66667</v>
      </c>
      <c r="B8204" s="2">
        <f>IFERROR(__xludf.DUMMYFUNCTION("""COMPUTED_VALUE"""),186.14)</f>
        <v>186.14</v>
      </c>
      <c r="C8204" s="2">
        <f>IFERROR(__xludf.DUMMYFUNCTION("""COMPUTED_VALUE"""),188.02)</f>
        <v>188.02</v>
      </c>
      <c r="D8204" s="2">
        <f>IFERROR(__xludf.DUMMYFUNCTION("""COMPUTED_VALUE"""),184.95)</f>
        <v>184.95</v>
      </c>
      <c r="E8204" s="2">
        <f>IFERROR(__xludf.DUMMYFUNCTION("""COMPUTED_VALUE"""),186.53)</f>
        <v>186.53</v>
      </c>
      <c r="F8204" s="2">
        <f>IFERROR(__xludf.DUMMYFUNCTION("""COMPUTED_VALUE"""),2690781.0)</f>
        <v>2690781</v>
      </c>
    </row>
    <row r="8205">
      <c r="A8205" s="3">
        <f>IFERROR(__xludf.DUMMYFUNCTION("""COMPUTED_VALUE"""),41096.666666666664)</f>
        <v>41096.66667</v>
      </c>
      <c r="B8205" s="2">
        <f>IFERROR(__xludf.DUMMYFUNCTION("""COMPUTED_VALUE"""),185.23)</f>
        <v>185.23</v>
      </c>
      <c r="C8205" s="2">
        <f>IFERROR(__xludf.DUMMYFUNCTION("""COMPUTED_VALUE"""),185.24)</f>
        <v>185.24</v>
      </c>
      <c r="D8205" s="2">
        <f>IFERROR(__xludf.DUMMYFUNCTION("""COMPUTED_VALUE"""),181.23)</f>
        <v>181.23</v>
      </c>
      <c r="E8205" s="2">
        <f>IFERROR(__xludf.DUMMYFUNCTION("""COMPUTED_VALUE"""),182.83)</f>
        <v>182.83</v>
      </c>
      <c r="F8205" s="2">
        <f>IFERROR(__xludf.DUMMYFUNCTION("""COMPUTED_VALUE"""),4952950.0)</f>
        <v>4952950</v>
      </c>
    </row>
    <row r="8206">
      <c r="A8206" s="3">
        <f>IFERROR(__xludf.DUMMYFUNCTION("""COMPUTED_VALUE"""),41099.666666666664)</f>
        <v>41099.66667</v>
      </c>
      <c r="B8206" s="2">
        <f>IFERROR(__xludf.DUMMYFUNCTION("""COMPUTED_VALUE"""),182.21)</f>
        <v>182.21</v>
      </c>
      <c r="C8206" s="2">
        <f>IFERROR(__xludf.DUMMYFUNCTION("""COMPUTED_VALUE"""),182.44)</f>
        <v>182.44</v>
      </c>
      <c r="D8206" s="2">
        <f>IFERROR(__xludf.DUMMYFUNCTION("""COMPUTED_VALUE"""),179.62)</f>
        <v>179.62</v>
      </c>
      <c r="E8206" s="2">
        <f>IFERROR(__xludf.DUMMYFUNCTION("""COMPUTED_VALUE"""),181.17)</f>
        <v>181.17</v>
      </c>
      <c r="F8206" s="2">
        <f>IFERROR(__xludf.DUMMYFUNCTION("""COMPUTED_VALUE"""),3988256.0)</f>
        <v>3988256</v>
      </c>
    </row>
    <row r="8207">
      <c r="A8207" s="3">
        <f>IFERROR(__xludf.DUMMYFUNCTION("""COMPUTED_VALUE"""),41100.666666666664)</f>
        <v>41100.66667</v>
      </c>
      <c r="B8207" s="2">
        <f>IFERROR(__xludf.DUMMYFUNCTION("""COMPUTED_VALUE"""),181.77)</f>
        <v>181.77</v>
      </c>
      <c r="C8207" s="2">
        <f>IFERROR(__xludf.DUMMYFUNCTION("""COMPUTED_VALUE"""),182.57)</f>
        <v>182.57</v>
      </c>
      <c r="D8207" s="2">
        <f>IFERROR(__xludf.DUMMYFUNCTION("""COMPUTED_VALUE"""),177.28)</f>
        <v>177.28</v>
      </c>
      <c r="E8207" s="2">
        <f>IFERROR(__xludf.DUMMYFUNCTION("""COMPUTED_VALUE"""),177.91)</f>
        <v>177.91</v>
      </c>
      <c r="F8207" s="2">
        <f>IFERROR(__xludf.DUMMYFUNCTION("""COMPUTED_VALUE"""),4690312.0)</f>
        <v>4690312</v>
      </c>
    </row>
    <row r="8208">
      <c r="A8208" s="3">
        <f>IFERROR(__xludf.DUMMYFUNCTION("""COMPUTED_VALUE"""),41101.666666666664)</f>
        <v>41101.66667</v>
      </c>
      <c r="B8208" s="2">
        <f>IFERROR(__xludf.DUMMYFUNCTION("""COMPUTED_VALUE"""),177.87)</f>
        <v>177.87</v>
      </c>
      <c r="C8208" s="2">
        <f>IFERROR(__xludf.DUMMYFUNCTION("""COMPUTED_VALUE"""),178.96)</f>
        <v>178.96</v>
      </c>
      <c r="D8208" s="2">
        <f>IFERROR(__xludf.DUMMYFUNCTION("""COMPUTED_VALUE"""),175.28)</f>
        <v>175.28</v>
      </c>
      <c r="E8208" s="2">
        <f>IFERROR(__xludf.DUMMYFUNCTION("""COMPUTED_VALUE"""),176.94)</f>
        <v>176.94</v>
      </c>
      <c r="F8208" s="2">
        <f>IFERROR(__xludf.DUMMYFUNCTION("""COMPUTED_VALUE"""),5456169.0)</f>
        <v>5456169</v>
      </c>
    </row>
    <row r="8209">
      <c r="A8209" s="3">
        <f>IFERROR(__xludf.DUMMYFUNCTION("""COMPUTED_VALUE"""),41102.666666666664)</f>
        <v>41102.66667</v>
      </c>
      <c r="B8209" s="2">
        <f>IFERROR(__xludf.DUMMYFUNCTION("""COMPUTED_VALUE"""),175.99)</f>
        <v>175.99</v>
      </c>
      <c r="C8209" s="2">
        <f>IFERROR(__xludf.DUMMYFUNCTION("""COMPUTED_VALUE"""),176.12)</f>
        <v>176.12</v>
      </c>
      <c r="D8209" s="2">
        <f>IFERROR(__xludf.DUMMYFUNCTION("""COMPUTED_VALUE"""),173.7)</f>
        <v>173.7</v>
      </c>
      <c r="E8209" s="2">
        <f>IFERROR(__xludf.DUMMYFUNCTION("""COMPUTED_VALUE"""),174.88)</f>
        <v>174.88</v>
      </c>
      <c r="F8209" s="2">
        <f>IFERROR(__xludf.DUMMYFUNCTION("""COMPUTED_VALUE"""),4931203.0)</f>
        <v>4931203</v>
      </c>
    </row>
    <row r="8210">
      <c r="A8210" s="3">
        <f>IFERROR(__xludf.DUMMYFUNCTION("""COMPUTED_VALUE"""),41103.666666666664)</f>
        <v>41103.66667</v>
      </c>
      <c r="B8210" s="2">
        <f>IFERROR(__xludf.DUMMYFUNCTION("""COMPUTED_VALUE"""),175.23)</f>
        <v>175.23</v>
      </c>
      <c r="C8210" s="2">
        <f>IFERROR(__xludf.DUMMYFUNCTION("""COMPUTED_VALUE"""),177.98)</f>
        <v>177.98</v>
      </c>
      <c r="D8210" s="2">
        <f>IFERROR(__xludf.DUMMYFUNCTION("""COMPUTED_VALUE"""),174.82)</f>
        <v>174.82</v>
      </c>
      <c r="E8210" s="2">
        <f>IFERROR(__xludf.DUMMYFUNCTION("""COMPUTED_VALUE"""),177.67)</f>
        <v>177.67</v>
      </c>
      <c r="F8210" s="2">
        <f>IFERROR(__xludf.DUMMYFUNCTION("""COMPUTED_VALUE"""),3933365.0)</f>
        <v>3933365</v>
      </c>
    </row>
    <row r="8211">
      <c r="A8211" s="3">
        <f>IFERROR(__xludf.DUMMYFUNCTION("""COMPUTED_VALUE"""),41106.666666666664)</f>
        <v>41106.66667</v>
      </c>
      <c r="B8211" s="2">
        <f>IFERROR(__xludf.DUMMYFUNCTION("""COMPUTED_VALUE"""),177.26)</f>
        <v>177.26</v>
      </c>
      <c r="C8211" s="2">
        <f>IFERROR(__xludf.DUMMYFUNCTION("""COMPUTED_VALUE"""),177.76)</f>
        <v>177.76</v>
      </c>
      <c r="D8211" s="2">
        <f>IFERROR(__xludf.DUMMYFUNCTION("""COMPUTED_VALUE"""),176.3)</f>
        <v>176.3</v>
      </c>
      <c r="E8211" s="2">
        <f>IFERROR(__xludf.DUMMYFUNCTION("""COMPUTED_VALUE"""),176.5)</f>
        <v>176.5</v>
      </c>
      <c r="F8211" s="2">
        <f>IFERROR(__xludf.DUMMYFUNCTION("""COMPUTED_VALUE"""),3144328.0)</f>
        <v>3144328</v>
      </c>
    </row>
    <row r="8212">
      <c r="A8212" s="3">
        <f>IFERROR(__xludf.DUMMYFUNCTION("""COMPUTED_VALUE"""),41107.666666666664)</f>
        <v>41107.66667</v>
      </c>
      <c r="B8212" s="2">
        <f>IFERROR(__xludf.DUMMYFUNCTION("""COMPUTED_VALUE"""),177.4)</f>
        <v>177.4</v>
      </c>
      <c r="C8212" s="2">
        <f>IFERROR(__xludf.DUMMYFUNCTION("""COMPUTED_VALUE"""),177.94)</f>
        <v>177.94</v>
      </c>
      <c r="D8212" s="2">
        <f>IFERROR(__xludf.DUMMYFUNCTION("""COMPUTED_VALUE"""),174.99)</f>
        <v>174.99</v>
      </c>
      <c r="E8212" s="2">
        <f>IFERROR(__xludf.DUMMYFUNCTION("""COMPUTED_VALUE"""),175.42)</f>
        <v>175.42</v>
      </c>
      <c r="F8212" s="2">
        <f>IFERROR(__xludf.DUMMYFUNCTION("""COMPUTED_VALUE"""),5159538.0)</f>
        <v>5159538</v>
      </c>
    </row>
    <row r="8213">
      <c r="A8213" s="3">
        <f>IFERROR(__xludf.DUMMYFUNCTION("""COMPUTED_VALUE"""),41108.666666666664)</f>
        <v>41108.66667</v>
      </c>
      <c r="B8213" s="2">
        <f>IFERROR(__xludf.DUMMYFUNCTION("""COMPUTED_VALUE"""),175.89)</f>
        <v>175.89</v>
      </c>
      <c r="C8213" s="2">
        <f>IFERROR(__xludf.DUMMYFUNCTION("""COMPUTED_VALUE"""),180.13)</f>
        <v>180.13</v>
      </c>
      <c r="D8213" s="2">
        <f>IFERROR(__xludf.DUMMYFUNCTION("""COMPUTED_VALUE"""),175.32)</f>
        <v>175.32</v>
      </c>
      <c r="E8213" s="2">
        <f>IFERROR(__xludf.DUMMYFUNCTION("""COMPUTED_VALUE"""),179.81)</f>
        <v>179.81</v>
      </c>
      <c r="F8213" s="2">
        <f>IFERROR(__xludf.DUMMYFUNCTION("""COMPUTED_VALUE"""),8019423.0)</f>
        <v>8019423</v>
      </c>
    </row>
    <row r="8214">
      <c r="A8214" s="3">
        <f>IFERROR(__xludf.DUMMYFUNCTION("""COMPUTED_VALUE"""),41109.666666666664)</f>
        <v>41109.66667</v>
      </c>
      <c r="B8214" s="2">
        <f>IFERROR(__xludf.DUMMYFUNCTION("""COMPUTED_VALUE"""),184.73)</f>
        <v>184.73</v>
      </c>
      <c r="C8214" s="2">
        <f>IFERROR(__xludf.DUMMYFUNCTION("""COMPUTED_VALUE"""),188.02)</f>
        <v>188.02</v>
      </c>
      <c r="D8214" s="2">
        <f>IFERROR(__xludf.DUMMYFUNCTION("""COMPUTED_VALUE"""),184.32)</f>
        <v>184.32</v>
      </c>
      <c r="E8214" s="2">
        <f>IFERROR(__xludf.DUMMYFUNCTION("""COMPUTED_VALUE"""),186.58)</f>
        <v>186.58</v>
      </c>
      <c r="F8214" s="2">
        <f>IFERROR(__xludf.DUMMYFUNCTION("""COMPUTED_VALUE"""),1.0396143E7)</f>
        <v>10396143</v>
      </c>
    </row>
    <row r="8215">
      <c r="A8215" s="3">
        <f>IFERROR(__xludf.DUMMYFUNCTION("""COMPUTED_VALUE"""),41110.666666666664)</f>
        <v>41110.66667</v>
      </c>
      <c r="B8215" s="2">
        <f>IFERROR(__xludf.DUMMYFUNCTION("""COMPUTED_VALUE"""),185.39)</f>
        <v>185.39</v>
      </c>
      <c r="C8215" s="2">
        <f>IFERROR(__xludf.DUMMYFUNCTION("""COMPUTED_VALUE"""),186.16)</f>
        <v>186.16</v>
      </c>
      <c r="D8215" s="2">
        <f>IFERROR(__xludf.DUMMYFUNCTION("""COMPUTED_VALUE"""),183.55)</f>
        <v>183.55</v>
      </c>
      <c r="E8215" s="2">
        <f>IFERROR(__xludf.DUMMYFUNCTION("""COMPUTED_VALUE"""),183.82)</f>
        <v>183.82</v>
      </c>
      <c r="F8215" s="2">
        <f>IFERROR(__xludf.DUMMYFUNCTION("""COMPUTED_VALUE"""),4789672.0)</f>
        <v>4789672</v>
      </c>
    </row>
    <row r="8216">
      <c r="A8216" s="3">
        <f>IFERROR(__xludf.DUMMYFUNCTION("""COMPUTED_VALUE"""),41113.666666666664)</f>
        <v>41113.66667</v>
      </c>
      <c r="B8216" s="2">
        <f>IFERROR(__xludf.DUMMYFUNCTION("""COMPUTED_VALUE"""),181.27)</f>
        <v>181.27</v>
      </c>
      <c r="C8216" s="2">
        <f>IFERROR(__xludf.DUMMYFUNCTION("""COMPUTED_VALUE"""),182.72)</f>
        <v>182.72</v>
      </c>
      <c r="D8216" s="2">
        <f>IFERROR(__xludf.DUMMYFUNCTION("""COMPUTED_VALUE"""),179.76)</f>
        <v>179.76</v>
      </c>
      <c r="E8216" s="2">
        <f>IFERROR(__xludf.DUMMYFUNCTION("""COMPUTED_VALUE"""),182.27)</f>
        <v>182.27</v>
      </c>
      <c r="F8216" s="2">
        <f>IFERROR(__xludf.DUMMYFUNCTION("""COMPUTED_VALUE"""),3905145.0)</f>
        <v>3905145</v>
      </c>
    </row>
    <row r="8217">
      <c r="A8217" s="3">
        <f>IFERROR(__xludf.DUMMYFUNCTION("""COMPUTED_VALUE"""),41114.666666666664)</f>
        <v>41114.66667</v>
      </c>
      <c r="B8217" s="2">
        <f>IFERROR(__xludf.DUMMYFUNCTION("""COMPUTED_VALUE"""),182.36)</f>
        <v>182.36</v>
      </c>
      <c r="C8217" s="2">
        <f>IFERROR(__xludf.DUMMYFUNCTION("""COMPUTED_VALUE"""),182.74)</f>
        <v>182.74</v>
      </c>
      <c r="D8217" s="2">
        <f>IFERROR(__xludf.DUMMYFUNCTION("""COMPUTED_VALUE"""),180.11)</f>
        <v>180.11</v>
      </c>
      <c r="E8217" s="2">
        <f>IFERROR(__xludf.DUMMYFUNCTION("""COMPUTED_VALUE"""),181.81)</f>
        <v>181.81</v>
      </c>
      <c r="F8217" s="2">
        <f>IFERROR(__xludf.DUMMYFUNCTION("""COMPUTED_VALUE"""),3597193.0)</f>
        <v>3597193</v>
      </c>
    </row>
    <row r="8218">
      <c r="A8218" s="3">
        <f>IFERROR(__xludf.DUMMYFUNCTION("""COMPUTED_VALUE"""),41115.666666666664)</f>
        <v>41115.66667</v>
      </c>
      <c r="B8218" s="2">
        <f>IFERROR(__xludf.DUMMYFUNCTION("""COMPUTED_VALUE"""),181.78)</f>
        <v>181.78</v>
      </c>
      <c r="C8218" s="2">
        <f>IFERROR(__xludf.DUMMYFUNCTION("""COMPUTED_VALUE"""),184.13)</f>
        <v>184.13</v>
      </c>
      <c r="D8218" s="2">
        <f>IFERROR(__xludf.DUMMYFUNCTION("""COMPUTED_VALUE"""),180.83)</f>
        <v>180.83</v>
      </c>
      <c r="E8218" s="2">
        <f>IFERROR(__xludf.DUMMYFUNCTION("""COMPUTED_VALUE"""),182.51)</f>
        <v>182.51</v>
      </c>
      <c r="F8218" s="2">
        <f>IFERROR(__xludf.DUMMYFUNCTION("""COMPUTED_VALUE"""),3833753.0)</f>
        <v>3833753</v>
      </c>
    </row>
    <row r="8219">
      <c r="A8219" s="3">
        <f>IFERROR(__xludf.DUMMYFUNCTION("""COMPUTED_VALUE"""),41116.666666666664)</f>
        <v>41116.66667</v>
      </c>
      <c r="B8219" s="2">
        <f>IFERROR(__xludf.DUMMYFUNCTION("""COMPUTED_VALUE"""),184.81)</f>
        <v>184.81</v>
      </c>
      <c r="C8219" s="2">
        <f>IFERROR(__xludf.DUMMYFUNCTION("""COMPUTED_VALUE"""),186.21)</f>
        <v>186.21</v>
      </c>
      <c r="D8219" s="2">
        <f>IFERROR(__xludf.DUMMYFUNCTION("""COMPUTED_VALUE"""),183.94)</f>
        <v>183.94</v>
      </c>
      <c r="E8219" s="2">
        <f>IFERROR(__xludf.DUMMYFUNCTION("""COMPUTED_VALUE"""),185.25)</f>
        <v>185.25</v>
      </c>
      <c r="F8219" s="2">
        <f>IFERROR(__xludf.DUMMYFUNCTION("""COMPUTED_VALUE"""),3284332.0)</f>
        <v>3284332</v>
      </c>
    </row>
    <row r="8220">
      <c r="A8220" s="3">
        <f>IFERROR(__xludf.DUMMYFUNCTION("""COMPUTED_VALUE"""),41117.666666666664)</f>
        <v>41117.66667</v>
      </c>
      <c r="B8220" s="2">
        <f>IFERROR(__xludf.DUMMYFUNCTION("""COMPUTED_VALUE"""),186.35)</f>
        <v>186.35</v>
      </c>
      <c r="C8220" s="2">
        <f>IFERROR(__xludf.DUMMYFUNCTION("""COMPUTED_VALUE"""),188.56)</f>
        <v>188.56</v>
      </c>
      <c r="D8220" s="2">
        <f>IFERROR(__xludf.DUMMYFUNCTION("""COMPUTED_VALUE"""),185.25)</f>
        <v>185.25</v>
      </c>
      <c r="E8220" s="2">
        <f>IFERROR(__xludf.DUMMYFUNCTION("""COMPUTED_VALUE"""),187.58)</f>
        <v>187.58</v>
      </c>
      <c r="F8220" s="2">
        <f>IFERROR(__xludf.DUMMYFUNCTION("""COMPUTED_VALUE"""),4177285.0)</f>
        <v>4177285</v>
      </c>
    </row>
    <row r="8221">
      <c r="A8221" s="3">
        <f>IFERROR(__xludf.DUMMYFUNCTION("""COMPUTED_VALUE"""),41120.666666666664)</f>
        <v>41120.66667</v>
      </c>
      <c r="B8221" s="2">
        <f>IFERROR(__xludf.DUMMYFUNCTION("""COMPUTED_VALUE"""),187.52)</f>
        <v>187.52</v>
      </c>
      <c r="C8221" s="2">
        <f>IFERROR(__xludf.DUMMYFUNCTION("""COMPUTED_VALUE"""),188.97)</f>
        <v>188.97</v>
      </c>
      <c r="D8221" s="2">
        <f>IFERROR(__xludf.DUMMYFUNCTION("""COMPUTED_VALUE"""),187.14)</f>
        <v>187.14</v>
      </c>
      <c r="E8221" s="2">
        <f>IFERROR(__xludf.DUMMYFUNCTION("""COMPUTED_VALUE"""),187.86)</f>
        <v>187.86</v>
      </c>
      <c r="F8221" s="2">
        <f>IFERROR(__xludf.DUMMYFUNCTION("""COMPUTED_VALUE"""),2787953.0)</f>
        <v>2787953</v>
      </c>
    </row>
    <row r="8222">
      <c r="A8222" s="3">
        <f>IFERROR(__xludf.DUMMYFUNCTION("""COMPUTED_VALUE"""),41121.666666666664)</f>
        <v>41121.66667</v>
      </c>
      <c r="B8222" s="2">
        <f>IFERROR(__xludf.DUMMYFUNCTION("""COMPUTED_VALUE"""),187.69)</f>
        <v>187.69</v>
      </c>
      <c r="C8222" s="2">
        <f>IFERROR(__xludf.DUMMYFUNCTION("""COMPUTED_VALUE"""),188.72)</f>
        <v>188.72</v>
      </c>
      <c r="D8222" s="2">
        <f>IFERROR(__xludf.DUMMYFUNCTION("""COMPUTED_VALUE"""),187.1)</f>
        <v>187.1</v>
      </c>
      <c r="E8222" s="2">
        <f>IFERROR(__xludf.DUMMYFUNCTION("""COMPUTED_VALUE"""),187.19)</f>
        <v>187.19</v>
      </c>
      <c r="F8222" s="2">
        <f>IFERROR(__xludf.DUMMYFUNCTION("""COMPUTED_VALUE"""),3507163.0)</f>
        <v>3507163</v>
      </c>
    </row>
    <row r="8223">
      <c r="A8223" s="3">
        <f>IFERROR(__xludf.DUMMYFUNCTION("""COMPUTED_VALUE"""),41122.666666666664)</f>
        <v>41122.66667</v>
      </c>
      <c r="B8223" s="2">
        <f>IFERROR(__xludf.DUMMYFUNCTION("""COMPUTED_VALUE"""),188.13)</f>
        <v>188.13</v>
      </c>
      <c r="C8223" s="2">
        <f>IFERROR(__xludf.DUMMYFUNCTION("""COMPUTED_VALUE"""),188.98)</f>
        <v>188.98</v>
      </c>
      <c r="D8223" s="2">
        <f>IFERROR(__xludf.DUMMYFUNCTION("""COMPUTED_VALUE"""),185.99)</f>
        <v>185.99</v>
      </c>
      <c r="E8223" s="2">
        <f>IFERROR(__xludf.DUMMYFUNCTION("""COMPUTED_VALUE"""),186.43)</f>
        <v>186.43</v>
      </c>
      <c r="F8223" s="2">
        <f>IFERROR(__xludf.DUMMYFUNCTION("""COMPUTED_VALUE"""),2559365.0)</f>
        <v>2559365</v>
      </c>
    </row>
    <row r="8224">
      <c r="A8224" s="3">
        <f>IFERROR(__xludf.DUMMYFUNCTION("""COMPUTED_VALUE"""),41123.666666666664)</f>
        <v>41123.66667</v>
      </c>
      <c r="B8224" s="2">
        <f>IFERROR(__xludf.DUMMYFUNCTION("""COMPUTED_VALUE"""),185.45)</f>
        <v>185.45</v>
      </c>
      <c r="C8224" s="2">
        <f>IFERROR(__xludf.DUMMYFUNCTION("""COMPUTED_VALUE"""),187.79)</f>
        <v>187.79</v>
      </c>
      <c r="D8224" s="2">
        <f>IFERROR(__xludf.DUMMYFUNCTION("""COMPUTED_VALUE"""),184.37)</f>
        <v>184.37</v>
      </c>
      <c r="E8224" s="2">
        <f>IFERROR(__xludf.DUMMYFUNCTION("""COMPUTED_VALUE"""),185.73)</f>
        <v>185.73</v>
      </c>
      <c r="F8224" s="2">
        <f>IFERROR(__xludf.DUMMYFUNCTION("""COMPUTED_VALUE"""),2812511.0)</f>
        <v>2812511</v>
      </c>
    </row>
    <row r="8225">
      <c r="A8225" s="3">
        <f>IFERROR(__xludf.DUMMYFUNCTION("""COMPUTED_VALUE"""),41124.666666666664)</f>
        <v>41124.66667</v>
      </c>
      <c r="B8225" s="2">
        <f>IFERROR(__xludf.DUMMYFUNCTION("""COMPUTED_VALUE"""),187.67)</f>
        <v>187.67</v>
      </c>
      <c r="C8225" s="2">
        <f>IFERROR(__xludf.DUMMYFUNCTION("""COMPUTED_VALUE"""),190.03)</f>
        <v>190.03</v>
      </c>
      <c r="D8225" s="2">
        <f>IFERROR(__xludf.DUMMYFUNCTION("""COMPUTED_VALUE"""),187.36)</f>
        <v>187.36</v>
      </c>
      <c r="E8225" s="2">
        <f>IFERROR(__xludf.DUMMYFUNCTION("""COMPUTED_VALUE"""),189.62)</f>
        <v>189.62</v>
      </c>
      <c r="F8225" s="2">
        <f>IFERROR(__xludf.DUMMYFUNCTION("""COMPUTED_VALUE"""),3278231.0)</f>
        <v>3278231</v>
      </c>
    </row>
    <row r="8226">
      <c r="A8226" s="3">
        <f>IFERROR(__xludf.DUMMYFUNCTION("""COMPUTED_VALUE"""),41127.666666666664)</f>
        <v>41127.66667</v>
      </c>
      <c r="B8226" s="2">
        <f>IFERROR(__xludf.DUMMYFUNCTION("""COMPUTED_VALUE"""),189.85)</f>
        <v>189.85</v>
      </c>
      <c r="C8226" s="2">
        <f>IFERROR(__xludf.DUMMYFUNCTION("""COMPUTED_VALUE"""),190.98)</f>
        <v>190.98</v>
      </c>
      <c r="D8226" s="2">
        <f>IFERROR(__xludf.DUMMYFUNCTION("""COMPUTED_VALUE"""),189.62)</f>
        <v>189.62</v>
      </c>
      <c r="E8226" s="2">
        <f>IFERROR(__xludf.DUMMYFUNCTION("""COMPUTED_VALUE"""),189.85)</f>
        <v>189.85</v>
      </c>
      <c r="F8226" s="2">
        <f>IFERROR(__xludf.DUMMYFUNCTION("""COMPUTED_VALUE"""),2337738.0)</f>
        <v>2337738</v>
      </c>
    </row>
    <row r="8227">
      <c r="A8227" s="3">
        <f>IFERROR(__xludf.DUMMYFUNCTION("""COMPUTED_VALUE"""),41128.666666666664)</f>
        <v>41128.66667</v>
      </c>
      <c r="B8227" s="2">
        <f>IFERROR(__xludf.DUMMYFUNCTION("""COMPUTED_VALUE"""),190.49)</f>
        <v>190.49</v>
      </c>
      <c r="C8227" s="2">
        <f>IFERROR(__xludf.DUMMYFUNCTION("""COMPUTED_VALUE"""),191.87)</f>
        <v>191.87</v>
      </c>
      <c r="D8227" s="2">
        <f>IFERROR(__xludf.DUMMYFUNCTION("""COMPUTED_VALUE"""),189.89)</f>
        <v>189.89</v>
      </c>
      <c r="E8227" s="2">
        <f>IFERROR(__xludf.DUMMYFUNCTION("""COMPUTED_VALUE"""),190.97)</f>
        <v>190.97</v>
      </c>
      <c r="F8227" s="2">
        <f>IFERROR(__xludf.DUMMYFUNCTION("""COMPUTED_VALUE"""),3209644.0)</f>
        <v>3209644</v>
      </c>
    </row>
    <row r="8228">
      <c r="A8228" s="3">
        <f>IFERROR(__xludf.DUMMYFUNCTION("""COMPUTED_VALUE"""),41129.666666666664)</f>
        <v>41129.66667</v>
      </c>
      <c r="B8228" s="2">
        <f>IFERROR(__xludf.DUMMYFUNCTION("""COMPUTED_VALUE"""),189.38)</f>
        <v>189.38</v>
      </c>
      <c r="C8228" s="2">
        <f>IFERROR(__xludf.DUMMYFUNCTION("""COMPUTED_VALUE"""),190.74)</f>
        <v>190.74</v>
      </c>
      <c r="D8228" s="2">
        <f>IFERROR(__xludf.DUMMYFUNCTION("""COMPUTED_VALUE"""),189.28)</f>
        <v>189.28</v>
      </c>
      <c r="E8228" s="2">
        <f>IFERROR(__xludf.DUMMYFUNCTION("""COMPUTED_VALUE"""),190.11)</f>
        <v>190.11</v>
      </c>
      <c r="F8228" s="2">
        <f>IFERROR(__xludf.DUMMYFUNCTION("""COMPUTED_VALUE"""),2068250.0)</f>
        <v>2068250</v>
      </c>
    </row>
    <row r="8229">
      <c r="A8229" s="3">
        <f>IFERROR(__xludf.DUMMYFUNCTION("""COMPUTED_VALUE"""),41130.666666666664)</f>
        <v>41130.66667</v>
      </c>
      <c r="B8229" s="2">
        <f>IFERROR(__xludf.DUMMYFUNCTION("""COMPUTED_VALUE"""),189.71)</f>
        <v>189.71</v>
      </c>
      <c r="C8229" s="2">
        <f>IFERROR(__xludf.DUMMYFUNCTION("""COMPUTED_VALUE"""),190.52)</f>
        <v>190.52</v>
      </c>
      <c r="D8229" s="2">
        <f>IFERROR(__xludf.DUMMYFUNCTION("""COMPUTED_VALUE"""),189.02)</f>
        <v>189.02</v>
      </c>
      <c r="E8229" s="2">
        <f>IFERROR(__xludf.DUMMYFUNCTION("""COMPUTED_VALUE"""),189.52)</f>
        <v>189.52</v>
      </c>
      <c r="F8229" s="2">
        <f>IFERROR(__xludf.DUMMYFUNCTION("""COMPUTED_VALUE"""),2160095.0)</f>
        <v>2160095</v>
      </c>
    </row>
    <row r="8230">
      <c r="A8230" s="3">
        <f>IFERROR(__xludf.DUMMYFUNCTION("""COMPUTED_VALUE"""),41131.666666666664)</f>
        <v>41131.66667</v>
      </c>
      <c r="B8230" s="2">
        <f>IFERROR(__xludf.DUMMYFUNCTION("""COMPUTED_VALUE"""),189.0)</f>
        <v>189</v>
      </c>
      <c r="C8230" s="2">
        <f>IFERROR(__xludf.DUMMYFUNCTION("""COMPUTED_VALUE"""),190.43)</f>
        <v>190.43</v>
      </c>
      <c r="D8230" s="2">
        <f>IFERROR(__xludf.DUMMYFUNCTION("""COMPUTED_VALUE"""),188.4)</f>
        <v>188.4</v>
      </c>
      <c r="E8230" s="2">
        <f>IFERROR(__xludf.DUMMYFUNCTION("""COMPUTED_VALUE"""),190.35)</f>
        <v>190.35</v>
      </c>
      <c r="F8230" s="2">
        <f>IFERROR(__xludf.DUMMYFUNCTION("""COMPUTED_VALUE"""),2600724.0)</f>
        <v>2600724</v>
      </c>
    </row>
    <row r="8231">
      <c r="A8231" s="3">
        <f>IFERROR(__xludf.DUMMYFUNCTION("""COMPUTED_VALUE"""),41134.666666666664)</f>
        <v>41134.66667</v>
      </c>
      <c r="B8231" s="2">
        <f>IFERROR(__xludf.DUMMYFUNCTION("""COMPUTED_VALUE"""),189.96)</f>
        <v>189.96</v>
      </c>
      <c r="C8231" s="2">
        <f>IFERROR(__xludf.DUMMYFUNCTION("""COMPUTED_VALUE"""),191.01)</f>
        <v>191.01</v>
      </c>
      <c r="D8231" s="2">
        <f>IFERROR(__xludf.DUMMYFUNCTION("""COMPUTED_VALUE"""),188.92)</f>
        <v>188.92</v>
      </c>
      <c r="E8231" s="2">
        <f>IFERROR(__xludf.DUMMYFUNCTION("""COMPUTED_VALUE"""),190.09)</f>
        <v>190.09</v>
      </c>
      <c r="F8231" s="2">
        <f>IFERROR(__xludf.DUMMYFUNCTION("""COMPUTED_VALUE"""),2418289.0)</f>
        <v>2418289</v>
      </c>
    </row>
    <row r="8232">
      <c r="A8232" s="3">
        <f>IFERROR(__xludf.DUMMYFUNCTION("""COMPUTED_VALUE"""),41135.666666666664)</f>
        <v>41135.66667</v>
      </c>
      <c r="B8232" s="2">
        <f>IFERROR(__xludf.DUMMYFUNCTION("""COMPUTED_VALUE"""),189.96)</f>
        <v>189.96</v>
      </c>
      <c r="C8232" s="2">
        <f>IFERROR(__xludf.DUMMYFUNCTION("""COMPUTED_VALUE"""),190.39)</f>
        <v>190.39</v>
      </c>
      <c r="D8232" s="2">
        <f>IFERROR(__xludf.DUMMYFUNCTION("""COMPUTED_VALUE"""),188.86)</f>
        <v>188.86</v>
      </c>
      <c r="E8232" s="2">
        <f>IFERROR(__xludf.DUMMYFUNCTION("""COMPUTED_VALUE"""),189.4)</f>
        <v>189.4</v>
      </c>
      <c r="F8232" s="2">
        <f>IFERROR(__xludf.DUMMYFUNCTION("""COMPUTED_VALUE"""),2562255.0)</f>
        <v>2562255</v>
      </c>
    </row>
    <row r="8233">
      <c r="A8233" s="3">
        <f>IFERROR(__xludf.DUMMYFUNCTION("""COMPUTED_VALUE"""),41136.666666666664)</f>
        <v>41136.66667</v>
      </c>
      <c r="B8233" s="2">
        <f>IFERROR(__xludf.DUMMYFUNCTION("""COMPUTED_VALUE"""),189.98)</f>
        <v>189.98</v>
      </c>
      <c r="C8233" s="2">
        <f>IFERROR(__xludf.DUMMYFUNCTION("""COMPUTED_VALUE"""),190.39)</f>
        <v>190.39</v>
      </c>
      <c r="D8233" s="2">
        <f>IFERROR(__xludf.DUMMYFUNCTION("""COMPUTED_VALUE"""),189.05)</f>
        <v>189.05</v>
      </c>
      <c r="E8233" s="2">
        <f>IFERROR(__xludf.DUMMYFUNCTION("""COMPUTED_VALUE"""),189.5)</f>
        <v>189.5</v>
      </c>
      <c r="F8233" s="2">
        <f>IFERROR(__xludf.DUMMYFUNCTION("""COMPUTED_VALUE"""),2111828.0)</f>
        <v>2111828</v>
      </c>
    </row>
    <row r="8234">
      <c r="A8234" s="3">
        <f>IFERROR(__xludf.DUMMYFUNCTION("""COMPUTED_VALUE"""),41137.666666666664)</f>
        <v>41137.66667</v>
      </c>
      <c r="B8234" s="2">
        <f>IFERROR(__xludf.DUMMYFUNCTION("""COMPUTED_VALUE"""),189.86)</f>
        <v>189.86</v>
      </c>
      <c r="C8234" s="2">
        <f>IFERROR(__xludf.DUMMYFUNCTION("""COMPUTED_VALUE"""),192.3)</f>
        <v>192.3</v>
      </c>
      <c r="D8234" s="2">
        <f>IFERROR(__xludf.DUMMYFUNCTION("""COMPUTED_VALUE"""),189.24)</f>
        <v>189.24</v>
      </c>
      <c r="E8234" s="2">
        <f>IFERROR(__xludf.DUMMYFUNCTION("""COMPUTED_VALUE"""),191.84)</f>
        <v>191.84</v>
      </c>
      <c r="F8234" s="2">
        <f>IFERROR(__xludf.DUMMYFUNCTION("""COMPUTED_VALUE"""),2729453.0)</f>
        <v>2729453</v>
      </c>
    </row>
    <row r="8235">
      <c r="A8235" s="3">
        <f>IFERROR(__xludf.DUMMYFUNCTION("""COMPUTED_VALUE"""),41138.666666666664)</f>
        <v>41138.66667</v>
      </c>
      <c r="B8235" s="2">
        <f>IFERROR(__xludf.DUMMYFUNCTION("""COMPUTED_VALUE"""),192.06)</f>
        <v>192.06</v>
      </c>
      <c r="C8235" s="2">
        <f>IFERROR(__xludf.DUMMYFUNCTION("""COMPUTED_VALUE"""),192.94)</f>
        <v>192.94</v>
      </c>
      <c r="D8235" s="2">
        <f>IFERROR(__xludf.DUMMYFUNCTION("""COMPUTED_VALUE"""),191.66)</f>
        <v>191.66</v>
      </c>
      <c r="E8235" s="2">
        <f>IFERROR(__xludf.DUMMYFUNCTION("""COMPUTED_VALUE"""),192.2)</f>
        <v>192.2</v>
      </c>
      <c r="F8235" s="2">
        <f>IFERROR(__xludf.DUMMYFUNCTION("""COMPUTED_VALUE"""),2551732.0)</f>
        <v>2551732</v>
      </c>
    </row>
    <row r="8236">
      <c r="A8236" s="3">
        <f>IFERROR(__xludf.DUMMYFUNCTION("""COMPUTED_VALUE"""),41141.666666666664)</f>
        <v>41141.66667</v>
      </c>
      <c r="B8236" s="2">
        <f>IFERROR(__xludf.DUMMYFUNCTION("""COMPUTED_VALUE"""),191.69)</f>
        <v>191.69</v>
      </c>
      <c r="C8236" s="2">
        <f>IFERROR(__xludf.DUMMYFUNCTION("""COMPUTED_VALUE"""),192.11)</f>
        <v>192.11</v>
      </c>
      <c r="D8236" s="2">
        <f>IFERROR(__xludf.DUMMYFUNCTION("""COMPUTED_VALUE"""),191.06)</f>
        <v>191.06</v>
      </c>
      <c r="E8236" s="2">
        <f>IFERROR(__xludf.DUMMYFUNCTION("""COMPUTED_VALUE"""),191.51)</f>
        <v>191.51</v>
      </c>
      <c r="F8236" s="2">
        <f>IFERROR(__xludf.DUMMYFUNCTION("""COMPUTED_VALUE"""),2335987.0)</f>
        <v>2335987</v>
      </c>
    </row>
    <row r="8237">
      <c r="A8237" s="3">
        <f>IFERROR(__xludf.DUMMYFUNCTION("""COMPUTED_VALUE"""),41142.666666666664)</f>
        <v>41142.66667</v>
      </c>
      <c r="B8237" s="2">
        <f>IFERROR(__xludf.DUMMYFUNCTION("""COMPUTED_VALUE"""),191.98)</f>
        <v>191.98</v>
      </c>
      <c r="C8237" s="2">
        <f>IFERROR(__xludf.DUMMYFUNCTION("""COMPUTED_VALUE"""),191.99)</f>
        <v>191.99</v>
      </c>
      <c r="D8237" s="2">
        <f>IFERROR(__xludf.DUMMYFUNCTION("""COMPUTED_VALUE"""),189.48)</f>
        <v>189.48</v>
      </c>
      <c r="E8237" s="2">
        <f>IFERROR(__xludf.DUMMYFUNCTION("""COMPUTED_VALUE"""),189.74)</f>
        <v>189.74</v>
      </c>
      <c r="F8237" s="2">
        <f>IFERROR(__xludf.DUMMYFUNCTION("""COMPUTED_VALUE"""),3111357.0)</f>
        <v>3111357</v>
      </c>
    </row>
    <row r="8238">
      <c r="A8238" s="3">
        <f>IFERROR(__xludf.DUMMYFUNCTION("""COMPUTED_VALUE"""),41143.666666666664)</f>
        <v>41143.66667</v>
      </c>
      <c r="B8238" s="2">
        <f>IFERROR(__xludf.DUMMYFUNCTION("""COMPUTED_VALUE"""),189.73)</f>
        <v>189.73</v>
      </c>
      <c r="C8238" s="2">
        <f>IFERROR(__xludf.DUMMYFUNCTION("""COMPUTED_VALUE"""),189.74)</f>
        <v>189.74</v>
      </c>
      <c r="D8238" s="2">
        <f>IFERROR(__xludf.DUMMYFUNCTION("""COMPUTED_VALUE"""),188.08)</f>
        <v>188.08</v>
      </c>
      <c r="E8238" s="2">
        <f>IFERROR(__xludf.DUMMYFUNCTION("""COMPUTED_VALUE"""),188.41)</f>
        <v>188.41</v>
      </c>
      <c r="F8238" s="2">
        <f>IFERROR(__xludf.DUMMYFUNCTION("""COMPUTED_VALUE"""),3296070.0)</f>
        <v>3296070</v>
      </c>
    </row>
    <row r="8239">
      <c r="A8239" s="3">
        <f>IFERROR(__xludf.DUMMYFUNCTION("""COMPUTED_VALUE"""),41144.666666666664)</f>
        <v>41144.66667</v>
      </c>
      <c r="B8239" s="2">
        <f>IFERROR(__xludf.DUMMYFUNCTION("""COMPUTED_VALUE"""),188.21)</f>
        <v>188.21</v>
      </c>
      <c r="C8239" s="2">
        <f>IFERROR(__xludf.DUMMYFUNCTION("""COMPUTED_VALUE"""),188.52)</f>
        <v>188.52</v>
      </c>
      <c r="D8239" s="2">
        <f>IFERROR(__xludf.DUMMYFUNCTION("""COMPUTED_VALUE"""),186.68)</f>
        <v>186.68</v>
      </c>
      <c r="E8239" s="2">
        <f>IFERROR(__xludf.DUMMYFUNCTION("""COMPUTED_VALUE"""),186.93)</f>
        <v>186.93</v>
      </c>
      <c r="F8239" s="2">
        <f>IFERROR(__xludf.DUMMYFUNCTION("""COMPUTED_VALUE"""),2758497.0)</f>
        <v>2758497</v>
      </c>
    </row>
    <row r="8240">
      <c r="A8240" s="3">
        <f>IFERROR(__xludf.DUMMYFUNCTION("""COMPUTED_VALUE"""),41145.666666666664)</f>
        <v>41145.66667</v>
      </c>
      <c r="B8240" s="2">
        <f>IFERROR(__xludf.DUMMYFUNCTION("""COMPUTED_VALUE"""),186.22)</f>
        <v>186.22</v>
      </c>
      <c r="C8240" s="2">
        <f>IFERROR(__xludf.DUMMYFUNCTION("""COMPUTED_VALUE"""),189.23)</f>
        <v>189.23</v>
      </c>
      <c r="D8240" s="2">
        <f>IFERROR(__xludf.DUMMYFUNCTION("""COMPUTED_VALUE"""),185.49)</f>
        <v>185.49</v>
      </c>
      <c r="E8240" s="2">
        <f>IFERROR(__xludf.DUMMYFUNCTION("""COMPUTED_VALUE"""),188.9)</f>
        <v>188.9</v>
      </c>
      <c r="F8240" s="2">
        <f>IFERROR(__xludf.DUMMYFUNCTION("""COMPUTED_VALUE"""),2639463.0)</f>
        <v>2639463</v>
      </c>
    </row>
    <row r="8241">
      <c r="A8241" s="3">
        <f>IFERROR(__xludf.DUMMYFUNCTION("""COMPUTED_VALUE"""),41148.666666666664)</f>
        <v>41148.66667</v>
      </c>
      <c r="B8241" s="2">
        <f>IFERROR(__xludf.DUMMYFUNCTION("""COMPUTED_VALUE"""),189.08)</f>
        <v>189.08</v>
      </c>
      <c r="C8241" s="2">
        <f>IFERROR(__xludf.DUMMYFUNCTION("""COMPUTED_VALUE"""),189.41)</f>
        <v>189.41</v>
      </c>
      <c r="D8241" s="2">
        <f>IFERROR(__xludf.DUMMYFUNCTION("""COMPUTED_VALUE"""),186.84)</f>
        <v>186.84</v>
      </c>
      <c r="E8241" s="2">
        <f>IFERROR(__xludf.DUMMYFUNCTION("""COMPUTED_VALUE"""),186.92)</f>
        <v>186.92</v>
      </c>
      <c r="F8241" s="2">
        <f>IFERROR(__xludf.DUMMYFUNCTION("""COMPUTED_VALUE"""),2498722.0)</f>
        <v>2498722</v>
      </c>
    </row>
    <row r="8242">
      <c r="A8242" s="3">
        <f>IFERROR(__xludf.DUMMYFUNCTION("""COMPUTED_VALUE"""),41149.666666666664)</f>
        <v>41149.66667</v>
      </c>
      <c r="B8242" s="2">
        <f>IFERROR(__xludf.DUMMYFUNCTION("""COMPUTED_VALUE"""),186.79)</f>
        <v>186.79</v>
      </c>
      <c r="C8242" s="2">
        <f>IFERROR(__xludf.DUMMYFUNCTION("""COMPUTED_VALUE"""),187.32)</f>
        <v>187.32</v>
      </c>
      <c r="D8242" s="2">
        <f>IFERROR(__xludf.DUMMYFUNCTION("""COMPUTED_VALUE"""),185.78)</f>
        <v>185.78</v>
      </c>
      <c r="E8242" s="2">
        <f>IFERROR(__xludf.DUMMYFUNCTION("""COMPUTED_VALUE"""),186.13)</f>
        <v>186.13</v>
      </c>
      <c r="F8242" s="2">
        <f>IFERROR(__xludf.DUMMYFUNCTION("""COMPUTED_VALUE"""),2539110.0)</f>
        <v>2539110</v>
      </c>
    </row>
    <row r="8243">
      <c r="A8243" s="3">
        <f>IFERROR(__xludf.DUMMYFUNCTION("""COMPUTED_VALUE"""),41150.666666666664)</f>
        <v>41150.66667</v>
      </c>
      <c r="B8243" s="2">
        <f>IFERROR(__xludf.DUMMYFUNCTION("""COMPUTED_VALUE"""),186.38)</f>
        <v>186.38</v>
      </c>
      <c r="C8243" s="2">
        <f>IFERROR(__xludf.DUMMYFUNCTION("""COMPUTED_VALUE"""),187.25)</f>
        <v>187.25</v>
      </c>
      <c r="D8243" s="2">
        <f>IFERROR(__xludf.DUMMYFUNCTION("""COMPUTED_VALUE"""),186.16)</f>
        <v>186.16</v>
      </c>
      <c r="E8243" s="2">
        <f>IFERROR(__xludf.DUMMYFUNCTION("""COMPUTED_VALUE"""),186.33)</f>
        <v>186.33</v>
      </c>
      <c r="F8243" s="2">
        <f>IFERROR(__xludf.DUMMYFUNCTION("""COMPUTED_VALUE"""),2141398.0)</f>
        <v>2141398</v>
      </c>
    </row>
    <row r="8244">
      <c r="A8244" s="3">
        <f>IFERROR(__xludf.DUMMYFUNCTION("""COMPUTED_VALUE"""),41151.666666666664)</f>
        <v>41151.66667</v>
      </c>
      <c r="B8244" s="2">
        <f>IFERROR(__xludf.DUMMYFUNCTION("""COMPUTED_VALUE"""),186.04)</f>
        <v>186.04</v>
      </c>
      <c r="C8244" s="2">
        <f>IFERROR(__xludf.DUMMYFUNCTION("""COMPUTED_VALUE"""),186.71)</f>
        <v>186.71</v>
      </c>
      <c r="D8244" s="2">
        <f>IFERROR(__xludf.DUMMYFUNCTION("""COMPUTED_VALUE"""),184.52)</f>
        <v>184.52</v>
      </c>
      <c r="E8244" s="2">
        <f>IFERROR(__xludf.DUMMYFUNCTION("""COMPUTED_VALUE"""),184.7)</f>
        <v>184.7</v>
      </c>
      <c r="F8244" s="2">
        <f>IFERROR(__xludf.DUMMYFUNCTION("""COMPUTED_VALUE"""),2740995.0)</f>
        <v>2740995</v>
      </c>
    </row>
    <row r="8245">
      <c r="A8245" s="3">
        <f>IFERROR(__xludf.DUMMYFUNCTION("""COMPUTED_VALUE"""),41152.666666666664)</f>
        <v>41152.66667</v>
      </c>
      <c r="B8245" s="2">
        <f>IFERROR(__xludf.DUMMYFUNCTION("""COMPUTED_VALUE"""),185.6)</f>
        <v>185.6</v>
      </c>
      <c r="C8245" s="2">
        <f>IFERROR(__xludf.DUMMYFUNCTION("""COMPUTED_VALUE"""),187.16)</f>
        <v>187.16</v>
      </c>
      <c r="D8245" s="2">
        <f>IFERROR(__xludf.DUMMYFUNCTION("""COMPUTED_VALUE"""),184.79)</f>
        <v>184.79</v>
      </c>
      <c r="E8245" s="2">
        <f>IFERROR(__xludf.DUMMYFUNCTION("""COMPUTED_VALUE"""),186.11)</f>
        <v>186.11</v>
      </c>
      <c r="F8245" s="2">
        <f>IFERROR(__xludf.DUMMYFUNCTION("""COMPUTED_VALUE"""),3193352.0)</f>
        <v>3193352</v>
      </c>
    </row>
    <row r="8246">
      <c r="A8246" s="3">
        <f>IFERROR(__xludf.DUMMYFUNCTION("""COMPUTED_VALUE"""),41156.666666666664)</f>
        <v>41156.66667</v>
      </c>
      <c r="B8246" s="2">
        <f>IFERROR(__xludf.DUMMYFUNCTION("""COMPUTED_VALUE"""),187.79)</f>
        <v>187.79</v>
      </c>
      <c r="C8246" s="2">
        <f>IFERROR(__xludf.DUMMYFUNCTION("""COMPUTED_VALUE"""),188.33)</f>
        <v>188.33</v>
      </c>
      <c r="D8246" s="2">
        <f>IFERROR(__xludf.DUMMYFUNCTION("""COMPUTED_VALUE"""),184.59)</f>
        <v>184.59</v>
      </c>
      <c r="E8246" s="2">
        <f>IFERROR(__xludf.DUMMYFUNCTION("""COMPUTED_VALUE"""),185.82)</f>
        <v>185.82</v>
      </c>
      <c r="F8246" s="2">
        <f>IFERROR(__xludf.DUMMYFUNCTION("""COMPUTED_VALUE"""),4514860.0)</f>
        <v>4514860</v>
      </c>
    </row>
    <row r="8247">
      <c r="A8247" s="3">
        <f>IFERROR(__xludf.DUMMYFUNCTION("""COMPUTED_VALUE"""),41157.666666666664)</f>
        <v>41157.66667</v>
      </c>
      <c r="B8247" s="2">
        <f>IFERROR(__xludf.DUMMYFUNCTION("""COMPUTED_VALUE"""),185.69)</f>
        <v>185.69</v>
      </c>
      <c r="C8247" s="2">
        <f>IFERROR(__xludf.DUMMYFUNCTION("""COMPUTED_VALUE"""),187.07)</f>
        <v>187.07</v>
      </c>
      <c r="D8247" s="2">
        <f>IFERROR(__xludf.DUMMYFUNCTION("""COMPUTED_VALUE"""),185.2)</f>
        <v>185.2</v>
      </c>
      <c r="E8247" s="2">
        <f>IFERROR(__xludf.DUMMYFUNCTION("""COMPUTED_VALUE"""),186.3)</f>
        <v>186.3</v>
      </c>
      <c r="F8247" s="2">
        <f>IFERROR(__xludf.DUMMYFUNCTION("""COMPUTED_VALUE"""),3312634.0)</f>
        <v>3312634</v>
      </c>
    </row>
    <row r="8248">
      <c r="A8248" s="3">
        <f>IFERROR(__xludf.DUMMYFUNCTION("""COMPUTED_VALUE"""),41158.666666666664)</f>
        <v>41158.66667</v>
      </c>
      <c r="B8248" s="2">
        <f>IFERROR(__xludf.DUMMYFUNCTION("""COMPUTED_VALUE"""),187.46)</f>
        <v>187.46</v>
      </c>
      <c r="C8248" s="2">
        <f>IFERROR(__xludf.DUMMYFUNCTION("""COMPUTED_VALUE"""),190.52)</f>
        <v>190.52</v>
      </c>
      <c r="D8248" s="2">
        <f>IFERROR(__xludf.DUMMYFUNCTION("""COMPUTED_VALUE"""),187.32)</f>
        <v>187.32</v>
      </c>
      <c r="E8248" s="2">
        <f>IFERROR(__xludf.DUMMYFUNCTION("""COMPUTED_VALUE"""),190.17)</f>
        <v>190.17</v>
      </c>
      <c r="F8248" s="2">
        <f>IFERROR(__xludf.DUMMYFUNCTION("""COMPUTED_VALUE"""),3931624.0)</f>
        <v>3931624</v>
      </c>
    </row>
    <row r="8249">
      <c r="A8249" s="3">
        <f>IFERROR(__xludf.DUMMYFUNCTION("""COMPUTED_VALUE"""),41159.666666666664)</f>
        <v>41159.66667</v>
      </c>
      <c r="B8249" s="2">
        <f>IFERROR(__xludf.DUMMYFUNCTION("""COMPUTED_VALUE"""),190.19)</f>
        <v>190.19</v>
      </c>
      <c r="C8249" s="2">
        <f>IFERROR(__xludf.DUMMYFUNCTION("""COMPUTED_VALUE"""),190.56)</f>
        <v>190.56</v>
      </c>
      <c r="D8249" s="2">
        <f>IFERROR(__xludf.DUMMYFUNCTION("""COMPUTED_VALUE"""),189.2)</f>
        <v>189.2</v>
      </c>
      <c r="E8249" s="2">
        <f>IFERROR(__xludf.DUMMYFUNCTION("""COMPUTED_VALUE"""),190.56)</f>
        <v>190.56</v>
      </c>
      <c r="F8249" s="2">
        <f>IFERROR(__xludf.DUMMYFUNCTION("""COMPUTED_VALUE"""),3414148.0)</f>
        <v>3414148</v>
      </c>
    </row>
    <row r="8250">
      <c r="A8250" s="3">
        <f>IFERROR(__xludf.DUMMYFUNCTION("""COMPUTED_VALUE"""),41162.666666666664)</f>
        <v>41162.66667</v>
      </c>
      <c r="B8250" s="2">
        <f>IFERROR(__xludf.DUMMYFUNCTION("""COMPUTED_VALUE"""),190.45)</f>
        <v>190.45</v>
      </c>
      <c r="C8250" s="2">
        <f>IFERROR(__xludf.DUMMYFUNCTION("""COMPUTED_VALUE"""),192.77)</f>
        <v>192.77</v>
      </c>
      <c r="D8250" s="2">
        <f>IFERROR(__xludf.DUMMYFUNCTION("""COMPUTED_VALUE"""),189.82)</f>
        <v>189.82</v>
      </c>
      <c r="E8250" s="2">
        <f>IFERROR(__xludf.DUMMYFUNCTION("""COMPUTED_VALUE"""),191.94)</f>
        <v>191.94</v>
      </c>
      <c r="F8250" s="2">
        <f>IFERROR(__xludf.DUMMYFUNCTION("""COMPUTED_VALUE"""),4208243.0)</f>
        <v>4208243</v>
      </c>
    </row>
    <row r="8251">
      <c r="A8251" s="3">
        <f>IFERROR(__xludf.DUMMYFUNCTION("""COMPUTED_VALUE"""),41163.666666666664)</f>
        <v>41163.66667</v>
      </c>
      <c r="B8251" s="2">
        <f>IFERROR(__xludf.DUMMYFUNCTION("""COMPUTED_VALUE"""),191.56)</f>
        <v>191.56</v>
      </c>
      <c r="C8251" s="2">
        <f>IFERROR(__xludf.DUMMYFUNCTION("""COMPUTED_VALUE"""),194.34)</f>
        <v>194.34</v>
      </c>
      <c r="D8251" s="2">
        <f>IFERROR(__xludf.DUMMYFUNCTION("""COMPUTED_VALUE"""),191.52)</f>
        <v>191.52</v>
      </c>
      <c r="E8251" s="2">
        <f>IFERROR(__xludf.DUMMYFUNCTION("""COMPUTED_VALUE"""),194.16)</f>
        <v>194.16</v>
      </c>
      <c r="F8251" s="2">
        <f>IFERROR(__xludf.DUMMYFUNCTION("""COMPUTED_VALUE"""),3910647.0)</f>
        <v>3910647</v>
      </c>
    </row>
    <row r="8252">
      <c r="A8252" s="3">
        <f>IFERROR(__xludf.DUMMYFUNCTION("""COMPUTED_VALUE"""),41164.666666666664)</f>
        <v>41164.66667</v>
      </c>
      <c r="B8252" s="2">
        <f>IFERROR(__xludf.DUMMYFUNCTION("""COMPUTED_VALUE"""),194.39)</f>
        <v>194.39</v>
      </c>
      <c r="C8252" s="2">
        <f>IFERROR(__xludf.DUMMYFUNCTION("""COMPUTED_VALUE"""),195.47)</f>
        <v>195.47</v>
      </c>
      <c r="D8252" s="2">
        <f>IFERROR(__xludf.DUMMYFUNCTION("""COMPUTED_VALUE"""),193.86)</f>
        <v>193.86</v>
      </c>
      <c r="E8252" s="2">
        <f>IFERROR(__xludf.DUMMYFUNCTION("""COMPUTED_VALUE"""),194.63)</f>
        <v>194.63</v>
      </c>
      <c r="F8252" s="2">
        <f>IFERROR(__xludf.DUMMYFUNCTION("""COMPUTED_VALUE"""),3283950.0)</f>
        <v>3283950</v>
      </c>
    </row>
    <row r="8253">
      <c r="A8253" s="3">
        <f>IFERROR(__xludf.DUMMYFUNCTION("""COMPUTED_VALUE"""),41165.666666666664)</f>
        <v>41165.66667</v>
      </c>
      <c r="B8253" s="2">
        <f>IFERROR(__xludf.DUMMYFUNCTION("""COMPUTED_VALUE"""),195.22)</f>
        <v>195.22</v>
      </c>
      <c r="C8253" s="2">
        <f>IFERROR(__xludf.DUMMYFUNCTION("""COMPUTED_VALUE"""),197.54)</f>
        <v>197.54</v>
      </c>
      <c r="D8253" s="2">
        <f>IFERROR(__xludf.DUMMYFUNCTION("""COMPUTED_VALUE"""),194.34)</f>
        <v>194.34</v>
      </c>
      <c r="E8253" s="2">
        <f>IFERROR(__xludf.DUMMYFUNCTION("""COMPUTED_VALUE"""),197.11)</f>
        <v>197.11</v>
      </c>
      <c r="F8253" s="2">
        <f>IFERROR(__xludf.DUMMYFUNCTION("""COMPUTED_VALUE"""),3880489.0)</f>
        <v>3880489</v>
      </c>
    </row>
    <row r="8254">
      <c r="A8254" s="3">
        <f>IFERROR(__xludf.DUMMYFUNCTION("""COMPUTED_VALUE"""),41166.666666666664)</f>
        <v>41166.66667</v>
      </c>
      <c r="B8254" s="2">
        <f>IFERROR(__xludf.DUMMYFUNCTION("""COMPUTED_VALUE"""),196.99)</f>
        <v>196.99</v>
      </c>
      <c r="C8254" s="2">
        <f>IFERROR(__xludf.DUMMYFUNCTION("""COMPUTED_VALUE"""),198.34)</f>
        <v>198.34</v>
      </c>
      <c r="D8254" s="2">
        <f>IFERROR(__xludf.DUMMYFUNCTION("""COMPUTED_VALUE"""),196.81)</f>
        <v>196.81</v>
      </c>
      <c r="E8254" s="2">
        <f>IFERROR(__xludf.DUMMYFUNCTION("""COMPUTED_VALUE"""),197.54)</f>
        <v>197.54</v>
      </c>
      <c r="F8254" s="2">
        <f>IFERROR(__xludf.DUMMYFUNCTION("""COMPUTED_VALUE"""),4057758.0)</f>
        <v>4057758</v>
      </c>
    </row>
    <row r="8255">
      <c r="A8255" s="3">
        <f>IFERROR(__xludf.DUMMYFUNCTION("""COMPUTED_VALUE"""),41169.666666666664)</f>
        <v>41169.66667</v>
      </c>
      <c r="B8255" s="2">
        <f>IFERROR(__xludf.DUMMYFUNCTION("""COMPUTED_VALUE"""),196.33)</f>
        <v>196.33</v>
      </c>
      <c r="C8255" s="2">
        <f>IFERROR(__xludf.DUMMYFUNCTION("""COMPUTED_VALUE"""),198.66)</f>
        <v>198.66</v>
      </c>
      <c r="D8255" s="2">
        <f>IFERROR(__xludf.DUMMYFUNCTION("""COMPUTED_VALUE"""),196.33)</f>
        <v>196.33</v>
      </c>
      <c r="E8255" s="2">
        <f>IFERROR(__xludf.DUMMYFUNCTION("""COMPUTED_VALUE"""),197.86)</f>
        <v>197.86</v>
      </c>
      <c r="F8255" s="2">
        <f>IFERROR(__xludf.DUMMYFUNCTION("""COMPUTED_VALUE"""),3276074.0)</f>
        <v>3276074</v>
      </c>
    </row>
    <row r="8256">
      <c r="A8256" s="3">
        <f>IFERROR(__xludf.DUMMYFUNCTION("""COMPUTED_VALUE"""),41170.666666666664)</f>
        <v>41170.66667</v>
      </c>
      <c r="B8256" s="2">
        <f>IFERROR(__xludf.DUMMYFUNCTION("""COMPUTED_VALUE"""),197.6)</f>
        <v>197.6</v>
      </c>
      <c r="C8256" s="2">
        <f>IFERROR(__xludf.DUMMYFUNCTION("""COMPUTED_VALUE"""),198.56)</f>
        <v>198.56</v>
      </c>
      <c r="D8256" s="2">
        <f>IFERROR(__xludf.DUMMYFUNCTION("""COMPUTED_VALUE"""),197.22)</f>
        <v>197.22</v>
      </c>
      <c r="E8256" s="2">
        <f>IFERROR(__xludf.DUMMYFUNCTION("""COMPUTED_VALUE"""),197.79)</f>
        <v>197.79</v>
      </c>
      <c r="F8256" s="2">
        <f>IFERROR(__xludf.DUMMYFUNCTION("""COMPUTED_VALUE"""),2476249.0)</f>
        <v>2476249</v>
      </c>
    </row>
    <row r="8257">
      <c r="A8257" s="3">
        <f>IFERROR(__xludf.DUMMYFUNCTION("""COMPUTED_VALUE"""),41171.666666666664)</f>
        <v>41171.66667</v>
      </c>
      <c r="B8257" s="2">
        <f>IFERROR(__xludf.DUMMYFUNCTION("""COMPUTED_VALUE"""),198.24)</f>
        <v>198.24</v>
      </c>
      <c r="C8257" s="2">
        <f>IFERROR(__xludf.DUMMYFUNCTION("""COMPUTED_VALUE"""),198.26)</f>
        <v>198.26</v>
      </c>
      <c r="D8257" s="2">
        <f>IFERROR(__xludf.DUMMYFUNCTION("""COMPUTED_VALUE"""),196.77)</f>
        <v>196.77</v>
      </c>
      <c r="E8257" s="2">
        <f>IFERROR(__xludf.DUMMYFUNCTION("""COMPUTED_VALUE"""),197.17)</f>
        <v>197.17</v>
      </c>
      <c r="F8257" s="2">
        <f>IFERROR(__xludf.DUMMYFUNCTION("""COMPUTED_VALUE"""),2605577.0)</f>
        <v>2605577</v>
      </c>
    </row>
    <row r="8258">
      <c r="A8258" s="3">
        <f>IFERROR(__xludf.DUMMYFUNCTION("""COMPUTED_VALUE"""),41172.666666666664)</f>
        <v>41172.66667</v>
      </c>
      <c r="B8258" s="2">
        <f>IFERROR(__xludf.DUMMYFUNCTION("""COMPUTED_VALUE"""),196.62)</f>
        <v>196.62</v>
      </c>
      <c r="C8258" s="2">
        <f>IFERROR(__xludf.DUMMYFUNCTION("""COMPUTED_VALUE"""),197.71)</f>
        <v>197.71</v>
      </c>
      <c r="D8258" s="2">
        <f>IFERROR(__xludf.DUMMYFUNCTION("""COMPUTED_VALUE"""),196.1)</f>
        <v>196.1</v>
      </c>
      <c r="E8258" s="2">
        <f>IFERROR(__xludf.DUMMYFUNCTION("""COMPUTED_VALUE"""),196.94)</f>
        <v>196.94</v>
      </c>
      <c r="F8258" s="2">
        <f>IFERROR(__xludf.DUMMYFUNCTION("""COMPUTED_VALUE"""),3740487.0)</f>
        <v>3740487</v>
      </c>
    </row>
    <row r="8259">
      <c r="A8259" s="3">
        <f>IFERROR(__xludf.DUMMYFUNCTION("""COMPUTED_VALUE"""),41173.666666666664)</f>
        <v>41173.66667</v>
      </c>
      <c r="B8259" s="2">
        <f>IFERROR(__xludf.DUMMYFUNCTION("""COMPUTED_VALUE"""),198.06)</f>
        <v>198.06</v>
      </c>
      <c r="C8259" s="2">
        <f>IFERROR(__xludf.DUMMYFUNCTION("""COMPUTED_VALUE"""),198.62)</f>
        <v>198.62</v>
      </c>
      <c r="D8259" s="2">
        <f>IFERROR(__xludf.DUMMYFUNCTION("""COMPUTED_VALUE"""),196.69)</f>
        <v>196.69</v>
      </c>
      <c r="E8259" s="2">
        <f>IFERROR(__xludf.DUMMYFUNCTION("""COMPUTED_VALUE"""),196.74)</f>
        <v>196.74</v>
      </c>
      <c r="F8259" s="2">
        <f>IFERROR(__xludf.DUMMYFUNCTION("""COMPUTED_VALUE"""),1.2772715E7)</f>
        <v>12772715</v>
      </c>
    </row>
    <row r="8260">
      <c r="A8260" s="3">
        <f>IFERROR(__xludf.DUMMYFUNCTION("""COMPUTED_VALUE"""),41176.666666666664)</f>
        <v>41176.66667</v>
      </c>
      <c r="B8260" s="2">
        <f>IFERROR(__xludf.DUMMYFUNCTION("""COMPUTED_VALUE"""),195.83)</f>
        <v>195.83</v>
      </c>
      <c r="C8260" s="2">
        <f>IFERROR(__xludf.DUMMYFUNCTION("""COMPUTED_VALUE"""),196.82)</f>
        <v>196.82</v>
      </c>
      <c r="D8260" s="2">
        <f>IFERROR(__xludf.DUMMYFUNCTION("""COMPUTED_VALUE"""),195.71)</f>
        <v>195.71</v>
      </c>
      <c r="E8260" s="2">
        <f>IFERROR(__xludf.DUMMYFUNCTION("""COMPUTED_VALUE"""),196.09)</f>
        <v>196.09</v>
      </c>
      <c r="F8260" s="2">
        <f>IFERROR(__xludf.DUMMYFUNCTION("""COMPUTED_VALUE"""),3511197.0)</f>
        <v>3511197</v>
      </c>
    </row>
    <row r="8261">
      <c r="A8261" s="3">
        <f>IFERROR(__xludf.DUMMYFUNCTION("""COMPUTED_VALUE"""),41177.666666666664)</f>
        <v>41177.66667</v>
      </c>
      <c r="B8261" s="2">
        <f>IFERROR(__xludf.DUMMYFUNCTION("""COMPUTED_VALUE"""),196.38)</f>
        <v>196.38</v>
      </c>
      <c r="C8261" s="2">
        <f>IFERROR(__xludf.DUMMYFUNCTION("""COMPUTED_VALUE"""),198.02)</f>
        <v>198.02</v>
      </c>
      <c r="D8261" s="2">
        <f>IFERROR(__xludf.DUMMYFUNCTION("""COMPUTED_VALUE"""),195.76)</f>
        <v>195.76</v>
      </c>
      <c r="E8261" s="2">
        <f>IFERROR(__xludf.DUMMYFUNCTION("""COMPUTED_VALUE"""),195.79)</f>
        <v>195.79</v>
      </c>
      <c r="F8261" s="2">
        <f>IFERROR(__xludf.DUMMYFUNCTION("""COMPUTED_VALUE"""),3346760.0)</f>
        <v>3346760</v>
      </c>
    </row>
    <row r="8262">
      <c r="A8262" s="3">
        <f>IFERROR(__xludf.DUMMYFUNCTION("""COMPUTED_VALUE"""),41178.666666666664)</f>
        <v>41178.66667</v>
      </c>
      <c r="B8262" s="2">
        <f>IFERROR(__xludf.DUMMYFUNCTION("""COMPUTED_VALUE"""),195.86)</f>
        <v>195.86</v>
      </c>
      <c r="C8262" s="2">
        <f>IFERROR(__xludf.DUMMYFUNCTION("""COMPUTED_VALUE"""),196.74)</f>
        <v>196.74</v>
      </c>
      <c r="D8262" s="2">
        <f>IFERROR(__xludf.DUMMYFUNCTION("""COMPUTED_VALUE"""),194.76)</f>
        <v>194.76</v>
      </c>
      <c r="E8262" s="2">
        <f>IFERROR(__xludf.DUMMYFUNCTION("""COMPUTED_VALUE"""),194.85)</f>
        <v>194.85</v>
      </c>
      <c r="F8262" s="2">
        <f>IFERROR(__xludf.DUMMYFUNCTION("""COMPUTED_VALUE"""),3423397.0)</f>
        <v>3423397</v>
      </c>
    </row>
    <row r="8263">
      <c r="A8263" s="3">
        <f>IFERROR(__xludf.DUMMYFUNCTION("""COMPUTED_VALUE"""),41179.666666666664)</f>
        <v>41179.66667</v>
      </c>
      <c r="B8263" s="2">
        <f>IFERROR(__xludf.DUMMYFUNCTION("""COMPUTED_VALUE"""),195.21)</f>
        <v>195.21</v>
      </c>
      <c r="C8263" s="2">
        <f>IFERROR(__xludf.DUMMYFUNCTION("""COMPUTED_VALUE"""),197.62)</f>
        <v>197.62</v>
      </c>
      <c r="D8263" s="2">
        <f>IFERROR(__xludf.DUMMYFUNCTION("""COMPUTED_VALUE"""),194.99)</f>
        <v>194.99</v>
      </c>
      <c r="E8263" s="2">
        <f>IFERROR(__xludf.DUMMYFUNCTION("""COMPUTED_VALUE"""),196.68)</f>
        <v>196.68</v>
      </c>
      <c r="F8263" s="2">
        <f>IFERROR(__xludf.DUMMYFUNCTION("""COMPUTED_VALUE"""),2771977.0)</f>
        <v>2771977</v>
      </c>
    </row>
    <row r="8264">
      <c r="A8264" s="3">
        <f>IFERROR(__xludf.DUMMYFUNCTION("""COMPUTED_VALUE"""),41180.666666666664)</f>
        <v>41180.66667</v>
      </c>
      <c r="B8264" s="2">
        <f>IFERROR(__xludf.DUMMYFUNCTION("""COMPUTED_VALUE"""),196.44)</f>
        <v>196.44</v>
      </c>
      <c r="C8264" s="2">
        <f>IFERROR(__xludf.DUMMYFUNCTION("""COMPUTED_VALUE"""),198.98)</f>
        <v>198.98</v>
      </c>
      <c r="D8264" s="2">
        <f>IFERROR(__xludf.DUMMYFUNCTION("""COMPUTED_VALUE"""),196.1)</f>
        <v>196.1</v>
      </c>
      <c r="E8264" s="2">
        <f>IFERROR(__xludf.DUMMYFUNCTION("""COMPUTED_VALUE"""),198.15)</f>
        <v>198.15</v>
      </c>
      <c r="F8264" s="2">
        <f>IFERROR(__xludf.DUMMYFUNCTION("""COMPUTED_VALUE"""),4910277.0)</f>
        <v>4910277</v>
      </c>
    </row>
    <row r="8265">
      <c r="A8265" s="3">
        <f>IFERROR(__xludf.DUMMYFUNCTION("""COMPUTED_VALUE"""),41183.666666666664)</f>
        <v>41183.66667</v>
      </c>
      <c r="B8265" s="2">
        <f>IFERROR(__xludf.DUMMYFUNCTION("""COMPUTED_VALUE"""),198.68)</f>
        <v>198.68</v>
      </c>
      <c r="C8265" s="2">
        <f>IFERROR(__xludf.DUMMYFUNCTION("""COMPUTED_VALUE"""),202.26)</f>
        <v>202.26</v>
      </c>
      <c r="D8265" s="2">
        <f>IFERROR(__xludf.DUMMYFUNCTION("""COMPUTED_VALUE"""),198.62)</f>
        <v>198.62</v>
      </c>
      <c r="E8265" s="2">
        <f>IFERROR(__xludf.DUMMYFUNCTION("""COMPUTED_VALUE"""),201.03)</f>
        <v>201.03</v>
      </c>
      <c r="F8265" s="2">
        <f>IFERROR(__xludf.DUMMYFUNCTION("""COMPUTED_VALUE"""),5457453.0)</f>
        <v>5457453</v>
      </c>
    </row>
    <row r="8266">
      <c r="A8266" s="3">
        <f>IFERROR(__xludf.DUMMYFUNCTION("""COMPUTED_VALUE"""),41184.666666666664)</f>
        <v>41184.66667</v>
      </c>
      <c r="B8266" s="2">
        <f>IFERROR(__xludf.DUMMYFUNCTION("""COMPUTED_VALUE"""),201.5)</f>
        <v>201.5</v>
      </c>
      <c r="C8266" s="2">
        <f>IFERROR(__xludf.DUMMYFUNCTION("""COMPUTED_VALUE"""),201.99)</f>
        <v>201.99</v>
      </c>
      <c r="D8266" s="2">
        <f>IFERROR(__xludf.DUMMYFUNCTION("""COMPUTED_VALUE"""),199.15)</f>
        <v>199.15</v>
      </c>
      <c r="E8266" s="2">
        <f>IFERROR(__xludf.DUMMYFUNCTION("""COMPUTED_VALUE"""),200.43)</f>
        <v>200.43</v>
      </c>
      <c r="F8266" s="2">
        <f>IFERROR(__xludf.DUMMYFUNCTION("""COMPUTED_VALUE"""),3320927.0)</f>
        <v>3320927</v>
      </c>
    </row>
    <row r="8267">
      <c r="A8267" s="3">
        <f>IFERROR(__xludf.DUMMYFUNCTION("""COMPUTED_VALUE"""),41185.666666666664)</f>
        <v>41185.66667</v>
      </c>
      <c r="B8267" s="2">
        <f>IFERROR(__xludf.DUMMYFUNCTION("""COMPUTED_VALUE"""),200.53)</f>
        <v>200.53</v>
      </c>
      <c r="C8267" s="2">
        <f>IFERROR(__xludf.DUMMYFUNCTION("""COMPUTED_VALUE"""),201.83)</f>
        <v>201.83</v>
      </c>
      <c r="D8267" s="2">
        <f>IFERROR(__xludf.DUMMYFUNCTION("""COMPUTED_VALUE"""),199.92)</f>
        <v>199.92</v>
      </c>
      <c r="E8267" s="2">
        <f>IFERROR(__xludf.DUMMYFUNCTION("""COMPUTED_VALUE"""),201.07)</f>
        <v>201.07</v>
      </c>
      <c r="F8267" s="2">
        <f>IFERROR(__xludf.DUMMYFUNCTION("""COMPUTED_VALUE"""),3192215.0)</f>
        <v>3192215</v>
      </c>
    </row>
    <row r="8268">
      <c r="A8268" s="3">
        <f>IFERROR(__xludf.DUMMYFUNCTION("""COMPUTED_VALUE"""),41186.666666666664)</f>
        <v>41186.66667</v>
      </c>
      <c r="B8268" s="2">
        <f>IFERROR(__xludf.DUMMYFUNCTION("""COMPUTED_VALUE"""),200.85)</f>
        <v>200.85</v>
      </c>
      <c r="C8268" s="2">
        <f>IFERROR(__xludf.DUMMYFUNCTION("""COMPUTED_VALUE"""),201.51)</f>
        <v>201.51</v>
      </c>
      <c r="D8268" s="2">
        <f>IFERROR(__xludf.DUMMYFUNCTION("""COMPUTED_VALUE"""),199.18)</f>
        <v>199.18</v>
      </c>
      <c r="E8268" s="2">
        <f>IFERROR(__xludf.DUMMYFUNCTION("""COMPUTED_VALUE"""),200.96)</f>
        <v>200.96</v>
      </c>
      <c r="F8268" s="2">
        <f>IFERROR(__xludf.DUMMYFUNCTION("""COMPUTED_VALUE"""),2957540.0)</f>
        <v>2957540</v>
      </c>
    </row>
    <row r="8269">
      <c r="A8269" s="3">
        <f>IFERROR(__xludf.DUMMYFUNCTION("""COMPUTED_VALUE"""),41187.666666666664)</f>
        <v>41187.66667</v>
      </c>
      <c r="B8269" s="2">
        <f>IFERROR(__xludf.DUMMYFUNCTION("""COMPUTED_VALUE"""),201.68)</f>
        <v>201.68</v>
      </c>
      <c r="C8269" s="2">
        <f>IFERROR(__xludf.DUMMYFUNCTION("""COMPUTED_VALUE"""),202.29)</f>
        <v>202.29</v>
      </c>
      <c r="D8269" s="2">
        <f>IFERROR(__xludf.DUMMYFUNCTION("""COMPUTED_VALUE"""),200.64)</f>
        <v>200.64</v>
      </c>
      <c r="E8269" s="2">
        <f>IFERROR(__xludf.DUMMYFUNCTION("""COMPUTED_VALUE"""),201.15)</f>
        <v>201.15</v>
      </c>
      <c r="F8269" s="2">
        <f>IFERROR(__xludf.DUMMYFUNCTION("""COMPUTED_VALUE"""),2858352.0)</f>
        <v>2858352</v>
      </c>
    </row>
    <row r="8270">
      <c r="A8270" s="3">
        <f>IFERROR(__xludf.DUMMYFUNCTION("""COMPUTED_VALUE"""),41190.666666666664)</f>
        <v>41190.66667</v>
      </c>
      <c r="B8270" s="2">
        <f>IFERROR(__xludf.DUMMYFUNCTION("""COMPUTED_VALUE"""),200.6)</f>
        <v>200.6</v>
      </c>
      <c r="C8270" s="2">
        <f>IFERROR(__xludf.DUMMYFUNCTION("""COMPUTED_VALUE"""),201.2)</f>
        <v>201.2</v>
      </c>
      <c r="D8270" s="2">
        <f>IFERROR(__xludf.DUMMYFUNCTION("""COMPUTED_VALUE"""),199.83)</f>
        <v>199.83</v>
      </c>
      <c r="E8270" s="2">
        <f>IFERROR(__xludf.DUMMYFUNCTION("""COMPUTED_VALUE"""),200.41)</f>
        <v>200.41</v>
      </c>
      <c r="F8270" s="2">
        <f>IFERROR(__xludf.DUMMYFUNCTION("""COMPUTED_VALUE"""),1982625.0)</f>
        <v>1982625</v>
      </c>
    </row>
    <row r="8271">
      <c r="A8271" s="3">
        <f>IFERROR(__xludf.DUMMYFUNCTION("""COMPUTED_VALUE"""),41191.666666666664)</f>
        <v>41191.66667</v>
      </c>
      <c r="B8271" s="2">
        <f>IFERROR(__xludf.DUMMYFUNCTION("""COMPUTED_VALUE"""),200.54)</f>
        <v>200.54</v>
      </c>
      <c r="C8271" s="2">
        <f>IFERROR(__xludf.DUMMYFUNCTION("""COMPUTED_VALUE"""),201.29)</f>
        <v>201.29</v>
      </c>
      <c r="D8271" s="2">
        <f>IFERROR(__xludf.DUMMYFUNCTION("""COMPUTED_VALUE"""),198.39)</f>
        <v>198.39</v>
      </c>
      <c r="E8271" s="2">
        <f>IFERROR(__xludf.DUMMYFUNCTION("""COMPUTED_VALUE"""),198.66)</f>
        <v>198.66</v>
      </c>
      <c r="F8271" s="2">
        <f>IFERROR(__xludf.DUMMYFUNCTION("""COMPUTED_VALUE"""),3580564.0)</f>
        <v>3580564</v>
      </c>
    </row>
    <row r="8272">
      <c r="A8272" s="3">
        <f>IFERROR(__xludf.DUMMYFUNCTION("""COMPUTED_VALUE"""),41192.666666666664)</f>
        <v>41192.66667</v>
      </c>
      <c r="B8272" s="2">
        <f>IFERROR(__xludf.DUMMYFUNCTION("""COMPUTED_VALUE"""),198.5)</f>
        <v>198.5</v>
      </c>
      <c r="C8272" s="2">
        <f>IFERROR(__xludf.DUMMYFUNCTION("""COMPUTED_VALUE"""),198.89)</f>
        <v>198.89</v>
      </c>
      <c r="D8272" s="2">
        <f>IFERROR(__xludf.DUMMYFUNCTION("""COMPUTED_VALUE"""),195.86)</f>
        <v>195.86</v>
      </c>
      <c r="E8272" s="2">
        <f>IFERROR(__xludf.DUMMYFUNCTION("""COMPUTED_VALUE"""),196.59)</f>
        <v>196.59</v>
      </c>
      <c r="F8272" s="2">
        <f>IFERROR(__xludf.DUMMYFUNCTION("""COMPUTED_VALUE"""),4025281.0)</f>
        <v>4025281</v>
      </c>
    </row>
    <row r="8273">
      <c r="A8273" s="3">
        <f>IFERROR(__xludf.DUMMYFUNCTION("""COMPUTED_VALUE"""),41193.666666666664)</f>
        <v>41193.66667</v>
      </c>
      <c r="B8273" s="2">
        <f>IFERROR(__xludf.DUMMYFUNCTION("""COMPUTED_VALUE"""),197.31)</f>
        <v>197.31</v>
      </c>
      <c r="C8273" s="2">
        <f>IFERROR(__xludf.DUMMYFUNCTION("""COMPUTED_VALUE"""),197.98)</f>
        <v>197.98</v>
      </c>
      <c r="D8273" s="2">
        <f>IFERROR(__xludf.DUMMYFUNCTION("""COMPUTED_VALUE"""),196.41)</f>
        <v>196.41</v>
      </c>
      <c r="E8273" s="2">
        <f>IFERROR(__xludf.DUMMYFUNCTION("""COMPUTED_VALUE"""),196.53)</f>
        <v>196.53</v>
      </c>
      <c r="F8273" s="2">
        <f>IFERROR(__xludf.DUMMYFUNCTION("""COMPUTED_VALUE"""),2910149.0)</f>
        <v>2910149</v>
      </c>
    </row>
    <row r="8274">
      <c r="A8274" s="3">
        <f>IFERROR(__xludf.DUMMYFUNCTION("""COMPUTED_VALUE"""),41194.666666666664)</f>
        <v>41194.66667</v>
      </c>
      <c r="B8274" s="2">
        <f>IFERROR(__xludf.DUMMYFUNCTION("""COMPUTED_VALUE"""),196.42)</f>
        <v>196.42</v>
      </c>
      <c r="C8274" s="2">
        <f>IFERROR(__xludf.DUMMYFUNCTION("""COMPUTED_VALUE"""),198.64)</f>
        <v>198.64</v>
      </c>
      <c r="D8274" s="2">
        <f>IFERROR(__xludf.DUMMYFUNCTION("""COMPUTED_VALUE"""),196.34)</f>
        <v>196.34</v>
      </c>
      <c r="E8274" s="2">
        <f>IFERROR(__xludf.DUMMYFUNCTION("""COMPUTED_VALUE"""),198.48)</f>
        <v>198.48</v>
      </c>
      <c r="F8274" s="2">
        <f>IFERROR(__xludf.DUMMYFUNCTION("""COMPUTED_VALUE"""),2711979.0)</f>
        <v>2711979</v>
      </c>
    </row>
    <row r="8275">
      <c r="A8275" s="3">
        <f>IFERROR(__xludf.DUMMYFUNCTION("""COMPUTED_VALUE"""),41197.666666666664)</f>
        <v>41197.66667</v>
      </c>
      <c r="B8275" s="2">
        <f>IFERROR(__xludf.DUMMYFUNCTION("""COMPUTED_VALUE"""),199.51)</f>
        <v>199.51</v>
      </c>
      <c r="C8275" s="2">
        <f>IFERROR(__xludf.DUMMYFUNCTION("""COMPUTED_VALUE"""),200.01)</f>
        <v>200.01</v>
      </c>
      <c r="D8275" s="2">
        <f>IFERROR(__xludf.DUMMYFUNCTION("""COMPUTED_VALUE"""),198.5)</f>
        <v>198.5</v>
      </c>
      <c r="E8275" s="2">
        <f>IFERROR(__xludf.DUMMYFUNCTION("""COMPUTED_VALUE"""),199.56)</f>
        <v>199.56</v>
      </c>
      <c r="F8275" s="2">
        <f>IFERROR(__xludf.DUMMYFUNCTION("""COMPUTED_VALUE"""),3062956.0)</f>
        <v>3062956</v>
      </c>
    </row>
    <row r="8276">
      <c r="A8276" s="3">
        <f>IFERROR(__xludf.DUMMYFUNCTION("""COMPUTED_VALUE"""),41198.666666666664)</f>
        <v>41198.66667</v>
      </c>
      <c r="B8276" s="2">
        <f>IFERROR(__xludf.DUMMYFUNCTION("""COMPUTED_VALUE"""),200.53)</f>
        <v>200.53</v>
      </c>
      <c r="C8276" s="2">
        <f>IFERROR(__xludf.DUMMYFUNCTION("""COMPUTED_VALUE"""),201.54)</f>
        <v>201.54</v>
      </c>
      <c r="D8276" s="2">
        <f>IFERROR(__xludf.DUMMYFUNCTION("""COMPUTED_VALUE"""),200.08)</f>
        <v>200.08</v>
      </c>
      <c r="E8276" s="2">
        <f>IFERROR(__xludf.DUMMYFUNCTION("""COMPUTED_VALUE"""),201.54)</f>
        <v>201.54</v>
      </c>
      <c r="F8276" s="2">
        <f>IFERROR(__xludf.DUMMYFUNCTION("""COMPUTED_VALUE"""),5632183.0)</f>
        <v>5632183</v>
      </c>
    </row>
    <row r="8277">
      <c r="A8277" s="3">
        <f>IFERROR(__xludf.DUMMYFUNCTION("""COMPUTED_VALUE"""),41199.666666666664)</f>
        <v>41199.66667</v>
      </c>
      <c r="B8277" s="2">
        <f>IFERROR(__xludf.DUMMYFUNCTION("""COMPUTED_VALUE"""),192.19)</f>
        <v>192.19</v>
      </c>
      <c r="C8277" s="2">
        <f>IFERROR(__xludf.DUMMYFUNCTION("""COMPUTED_VALUE"""),194.29)</f>
        <v>194.29</v>
      </c>
      <c r="D8277" s="2">
        <f>IFERROR(__xludf.DUMMYFUNCTION("""COMPUTED_VALUE"""),189.65)</f>
        <v>189.65</v>
      </c>
      <c r="E8277" s="2">
        <f>IFERROR(__xludf.DUMMYFUNCTION("""COMPUTED_VALUE"""),191.63)</f>
        <v>191.63</v>
      </c>
      <c r="F8277" s="2">
        <f>IFERROR(__xludf.DUMMYFUNCTION("""COMPUTED_VALUE"""),1.2675634E7)</f>
        <v>12675634</v>
      </c>
    </row>
    <row r="8278">
      <c r="A8278" s="3">
        <f>IFERROR(__xludf.DUMMYFUNCTION("""COMPUTED_VALUE"""),41200.666666666664)</f>
        <v>41200.66667</v>
      </c>
      <c r="B8278" s="2">
        <f>IFERROR(__xludf.DUMMYFUNCTION("""COMPUTED_VALUE"""),190.95)</f>
        <v>190.95</v>
      </c>
      <c r="C8278" s="2">
        <f>IFERROR(__xludf.DUMMYFUNCTION("""COMPUTED_VALUE"""),191.17)</f>
        <v>191.17</v>
      </c>
      <c r="D8278" s="2">
        <f>IFERROR(__xludf.DUMMYFUNCTION("""COMPUTED_VALUE"""),185.37)</f>
        <v>185.37</v>
      </c>
      <c r="E8278" s="2">
        <f>IFERROR(__xludf.DUMMYFUNCTION("""COMPUTED_VALUE"""),186.22)</f>
        <v>186.22</v>
      </c>
      <c r="F8278" s="2">
        <f>IFERROR(__xludf.DUMMYFUNCTION("""COMPUTED_VALUE"""),9296561.0)</f>
        <v>9296561</v>
      </c>
    </row>
    <row r="8279">
      <c r="A8279" s="3">
        <f>IFERROR(__xludf.DUMMYFUNCTION("""COMPUTED_VALUE"""),41201.666666666664)</f>
        <v>41201.66667</v>
      </c>
      <c r="B8279" s="2">
        <f>IFERROR(__xludf.DUMMYFUNCTION("""COMPUTED_VALUE"""),186.53)</f>
        <v>186.53</v>
      </c>
      <c r="C8279" s="2">
        <f>IFERROR(__xludf.DUMMYFUNCTION("""COMPUTED_VALUE"""),187.29)</f>
        <v>187.29</v>
      </c>
      <c r="D8279" s="2">
        <f>IFERROR(__xludf.DUMMYFUNCTION("""COMPUTED_VALUE"""),184.52)</f>
        <v>184.52</v>
      </c>
      <c r="E8279" s="2">
        <f>IFERROR(__xludf.DUMMYFUNCTION("""COMPUTED_VALUE"""),184.69)</f>
        <v>184.69</v>
      </c>
      <c r="F8279" s="2">
        <f>IFERROR(__xludf.DUMMYFUNCTION("""COMPUTED_VALUE"""),6621563.0)</f>
        <v>6621563</v>
      </c>
    </row>
    <row r="8280">
      <c r="A8280" s="3">
        <f>IFERROR(__xludf.DUMMYFUNCTION("""COMPUTED_VALUE"""),41204.666666666664)</f>
        <v>41204.66667</v>
      </c>
      <c r="B8280" s="2">
        <f>IFERROR(__xludf.DUMMYFUNCTION("""COMPUTED_VALUE"""),185.02)</f>
        <v>185.02</v>
      </c>
      <c r="C8280" s="2">
        <f>IFERROR(__xludf.DUMMYFUNCTION("""COMPUTED_VALUE"""),185.95)</f>
        <v>185.95</v>
      </c>
      <c r="D8280" s="2">
        <f>IFERROR(__xludf.DUMMYFUNCTION("""COMPUTED_VALUE"""),183.81)</f>
        <v>183.81</v>
      </c>
      <c r="E8280" s="2">
        <f>IFERROR(__xludf.DUMMYFUNCTION("""COMPUTED_VALUE"""),185.68)</f>
        <v>185.68</v>
      </c>
      <c r="F8280" s="2">
        <f>IFERROR(__xludf.DUMMYFUNCTION("""COMPUTED_VALUE"""),4404728.0)</f>
        <v>4404728</v>
      </c>
    </row>
    <row r="8281">
      <c r="A8281" s="3">
        <f>IFERROR(__xludf.DUMMYFUNCTION("""COMPUTED_VALUE"""),41205.666666666664)</f>
        <v>41205.66667</v>
      </c>
      <c r="B8281" s="2">
        <f>IFERROR(__xludf.DUMMYFUNCTION("""COMPUTED_VALUE"""),184.85)</f>
        <v>184.85</v>
      </c>
      <c r="C8281" s="2">
        <f>IFERROR(__xludf.DUMMYFUNCTION("""COMPUTED_VALUE"""),185.3)</f>
        <v>185.3</v>
      </c>
      <c r="D8281" s="2">
        <f>IFERROR(__xludf.DUMMYFUNCTION("""COMPUTED_VALUE"""),182.38)</f>
        <v>182.38</v>
      </c>
      <c r="E8281" s="2">
        <f>IFERROR(__xludf.DUMMYFUNCTION("""COMPUTED_VALUE"""),182.68)</f>
        <v>182.68</v>
      </c>
      <c r="F8281" s="2">
        <f>IFERROR(__xludf.DUMMYFUNCTION("""COMPUTED_VALUE"""),4427470.0)</f>
        <v>4427470</v>
      </c>
    </row>
    <row r="8282">
      <c r="A8282" s="3">
        <f>IFERROR(__xludf.DUMMYFUNCTION("""COMPUTED_VALUE"""),41206.666666666664)</f>
        <v>41206.66667</v>
      </c>
      <c r="B8282" s="2">
        <f>IFERROR(__xludf.DUMMYFUNCTION("""COMPUTED_VALUE"""),183.81)</f>
        <v>183.81</v>
      </c>
      <c r="C8282" s="2">
        <f>IFERROR(__xludf.DUMMYFUNCTION("""COMPUTED_VALUE"""),184.62)</f>
        <v>184.62</v>
      </c>
      <c r="D8282" s="2">
        <f>IFERROR(__xludf.DUMMYFUNCTION("""COMPUTED_VALUE"""),182.02)</f>
        <v>182.02</v>
      </c>
      <c r="E8282" s="2">
        <f>IFERROR(__xludf.DUMMYFUNCTION("""COMPUTED_VALUE"""),182.17)</f>
        <v>182.17</v>
      </c>
      <c r="F8282" s="2">
        <f>IFERROR(__xludf.DUMMYFUNCTION("""COMPUTED_VALUE"""),3738227.0)</f>
        <v>3738227</v>
      </c>
    </row>
    <row r="8283">
      <c r="A8283" s="3">
        <f>IFERROR(__xludf.DUMMYFUNCTION("""COMPUTED_VALUE"""),41207.666666666664)</f>
        <v>41207.66667</v>
      </c>
      <c r="B8283" s="2">
        <f>IFERROR(__xludf.DUMMYFUNCTION("""COMPUTED_VALUE"""),182.83)</f>
        <v>182.83</v>
      </c>
      <c r="C8283" s="2">
        <f>IFERROR(__xludf.DUMMYFUNCTION("""COMPUTED_VALUE"""),183.81)</f>
        <v>183.81</v>
      </c>
      <c r="D8283" s="2">
        <f>IFERROR(__xludf.DUMMYFUNCTION("""COMPUTED_VALUE"""),182.16)</f>
        <v>182.16</v>
      </c>
      <c r="E8283" s="2">
        <f>IFERROR(__xludf.DUMMYFUNCTION("""COMPUTED_VALUE"""),183.01)</f>
        <v>183.01</v>
      </c>
      <c r="F8283" s="2">
        <f>IFERROR(__xludf.DUMMYFUNCTION("""COMPUTED_VALUE"""),3250670.0)</f>
        <v>3250670</v>
      </c>
    </row>
    <row r="8284">
      <c r="A8284" s="3">
        <f>IFERROR(__xludf.DUMMYFUNCTION("""COMPUTED_VALUE"""),41208.666666666664)</f>
        <v>41208.66667</v>
      </c>
      <c r="B8284" s="2">
        <f>IFERROR(__xludf.DUMMYFUNCTION("""COMPUTED_VALUE"""),182.9)</f>
        <v>182.9</v>
      </c>
      <c r="C8284" s="2">
        <f>IFERROR(__xludf.DUMMYFUNCTION("""COMPUTED_VALUE"""),185.18)</f>
        <v>185.18</v>
      </c>
      <c r="D8284" s="2">
        <f>IFERROR(__xludf.DUMMYFUNCTION("""COMPUTED_VALUE"""),182.89)</f>
        <v>182.89</v>
      </c>
      <c r="E8284" s="2">
        <f>IFERROR(__xludf.DUMMYFUNCTION("""COMPUTED_VALUE"""),184.6)</f>
        <v>184.6</v>
      </c>
      <c r="F8284" s="2">
        <f>IFERROR(__xludf.DUMMYFUNCTION("""COMPUTED_VALUE"""),4006523.0)</f>
        <v>4006523</v>
      </c>
    </row>
    <row r="8285">
      <c r="A8285" s="3">
        <f>IFERROR(__xludf.DUMMYFUNCTION("""COMPUTED_VALUE"""),41213.666666666664)</f>
        <v>41213.66667</v>
      </c>
      <c r="B8285" s="2">
        <f>IFERROR(__xludf.DUMMYFUNCTION("""COMPUTED_VALUE"""),186.07)</f>
        <v>186.07</v>
      </c>
      <c r="C8285" s="2">
        <f>IFERROR(__xludf.DUMMYFUNCTION("""COMPUTED_VALUE"""),187.6)</f>
        <v>187.6</v>
      </c>
      <c r="D8285" s="2">
        <f>IFERROR(__xludf.DUMMYFUNCTION("""COMPUTED_VALUE"""),184.95)</f>
        <v>184.95</v>
      </c>
      <c r="E8285" s="2">
        <f>IFERROR(__xludf.DUMMYFUNCTION("""COMPUTED_VALUE"""),185.81)</f>
        <v>185.81</v>
      </c>
      <c r="F8285" s="2">
        <f>IFERROR(__xludf.DUMMYFUNCTION("""COMPUTED_VALUE"""),6052235.0)</f>
        <v>6052235</v>
      </c>
    </row>
    <row r="8286">
      <c r="A8286" s="3">
        <f>IFERROR(__xludf.DUMMYFUNCTION("""COMPUTED_VALUE"""),41214.666666666664)</f>
        <v>41214.66667</v>
      </c>
      <c r="B8286" s="2">
        <f>IFERROR(__xludf.DUMMYFUNCTION("""COMPUTED_VALUE"""),185.95)</f>
        <v>185.95</v>
      </c>
      <c r="C8286" s="2">
        <f>IFERROR(__xludf.DUMMYFUNCTION("""COMPUTED_VALUE"""),189.02)</f>
        <v>189.02</v>
      </c>
      <c r="D8286" s="2">
        <f>IFERROR(__xludf.DUMMYFUNCTION("""COMPUTED_VALUE"""),185.83)</f>
        <v>185.83</v>
      </c>
      <c r="E8286" s="2">
        <f>IFERROR(__xludf.DUMMYFUNCTION("""COMPUTED_VALUE"""),188.31)</f>
        <v>188.31</v>
      </c>
      <c r="F8286" s="2">
        <f>IFERROR(__xludf.DUMMYFUNCTION("""COMPUTED_VALUE"""),3758833.0)</f>
        <v>3758833</v>
      </c>
    </row>
    <row r="8287">
      <c r="A8287" s="3">
        <f>IFERROR(__xludf.DUMMYFUNCTION("""COMPUTED_VALUE"""),41215.666666666664)</f>
        <v>41215.66667</v>
      </c>
      <c r="B8287" s="2">
        <f>IFERROR(__xludf.DUMMYFUNCTION("""COMPUTED_VALUE"""),188.67)</f>
        <v>188.67</v>
      </c>
      <c r="C8287" s="2">
        <f>IFERROR(__xludf.DUMMYFUNCTION("""COMPUTED_VALUE"""),189.12)</f>
        <v>189.12</v>
      </c>
      <c r="D8287" s="2">
        <f>IFERROR(__xludf.DUMMYFUNCTION("""COMPUTED_VALUE"""),184.62)</f>
        <v>184.62</v>
      </c>
      <c r="E8287" s="2">
        <f>IFERROR(__xludf.DUMMYFUNCTION("""COMPUTED_VALUE"""),184.76)</f>
        <v>184.76</v>
      </c>
      <c r="F8287" s="2">
        <f>IFERROR(__xludf.DUMMYFUNCTION("""COMPUTED_VALUE"""),4260781.0)</f>
        <v>4260781</v>
      </c>
    </row>
    <row r="8288">
      <c r="A8288" s="3">
        <f>IFERROR(__xludf.DUMMYFUNCTION("""COMPUTED_VALUE"""),41218.666666666664)</f>
        <v>41218.66667</v>
      </c>
      <c r="B8288" s="2">
        <f>IFERROR(__xludf.DUMMYFUNCTION("""COMPUTED_VALUE"""),183.74)</f>
        <v>183.74</v>
      </c>
      <c r="C8288" s="2">
        <f>IFERROR(__xludf.DUMMYFUNCTION("""COMPUTED_VALUE"""),186.23)</f>
        <v>186.23</v>
      </c>
      <c r="D8288" s="2">
        <f>IFERROR(__xludf.DUMMYFUNCTION("""COMPUTED_VALUE"""),183.4)</f>
        <v>183.4</v>
      </c>
      <c r="E8288" s="2">
        <f>IFERROR(__xludf.DUMMYFUNCTION("""COMPUTED_VALUE"""),185.44)</f>
        <v>185.44</v>
      </c>
      <c r="F8288" s="2">
        <f>IFERROR(__xludf.DUMMYFUNCTION("""COMPUTED_VALUE"""),2736431.0)</f>
        <v>2736431</v>
      </c>
    </row>
    <row r="8289">
      <c r="A8289" s="3">
        <f>IFERROR(__xludf.DUMMYFUNCTION("""COMPUTED_VALUE"""),41219.666666666664)</f>
        <v>41219.66667</v>
      </c>
      <c r="B8289" s="2">
        <f>IFERROR(__xludf.DUMMYFUNCTION("""COMPUTED_VALUE"""),186.51)</f>
        <v>186.51</v>
      </c>
      <c r="C8289" s="2">
        <f>IFERROR(__xludf.DUMMYFUNCTION("""COMPUTED_VALUE"""),187.93)</f>
        <v>187.93</v>
      </c>
      <c r="D8289" s="2">
        <f>IFERROR(__xludf.DUMMYFUNCTION("""COMPUTED_VALUE"""),185.95)</f>
        <v>185.95</v>
      </c>
      <c r="E8289" s="2">
        <f>IFERROR(__xludf.DUMMYFUNCTION("""COMPUTED_VALUE"""),186.32)</f>
        <v>186.32</v>
      </c>
      <c r="F8289" s="2">
        <f>IFERROR(__xludf.DUMMYFUNCTION("""COMPUTED_VALUE"""),3281085.0)</f>
        <v>3281085</v>
      </c>
    </row>
    <row r="8290">
      <c r="A8290" s="3">
        <f>IFERROR(__xludf.DUMMYFUNCTION("""COMPUTED_VALUE"""),41220.666666666664)</f>
        <v>41220.66667</v>
      </c>
      <c r="B8290" s="2">
        <f>IFERROR(__xludf.DUMMYFUNCTION("""COMPUTED_VALUE"""),184.69)</f>
        <v>184.69</v>
      </c>
      <c r="C8290" s="2">
        <f>IFERROR(__xludf.DUMMYFUNCTION("""COMPUTED_VALUE"""),185.0)</f>
        <v>185</v>
      </c>
      <c r="D8290" s="2">
        <f>IFERROR(__xludf.DUMMYFUNCTION("""COMPUTED_VALUE"""),182.59)</f>
        <v>182.59</v>
      </c>
      <c r="E8290" s="2">
        <f>IFERROR(__xludf.DUMMYFUNCTION("""COMPUTED_VALUE"""),182.59)</f>
        <v>182.59</v>
      </c>
      <c r="F8290" s="2">
        <f>IFERROR(__xludf.DUMMYFUNCTION("""COMPUTED_VALUE"""),4746744.0)</f>
        <v>4746744</v>
      </c>
    </row>
    <row r="8291">
      <c r="A8291" s="3">
        <f>IFERROR(__xludf.DUMMYFUNCTION("""COMPUTED_VALUE"""),41221.666666666664)</f>
        <v>41221.66667</v>
      </c>
      <c r="B8291" s="2">
        <f>IFERROR(__xludf.DUMMYFUNCTION("""COMPUTED_VALUE"""),182.82)</f>
        <v>182.82</v>
      </c>
      <c r="C8291" s="2">
        <f>IFERROR(__xludf.DUMMYFUNCTION("""COMPUTED_VALUE"""),183.21)</f>
        <v>183.21</v>
      </c>
      <c r="D8291" s="2">
        <f>IFERROR(__xludf.DUMMYFUNCTION("""COMPUTED_VALUE"""),181.57)</f>
        <v>181.57</v>
      </c>
      <c r="E8291" s="2">
        <f>IFERROR(__xludf.DUMMYFUNCTION("""COMPUTED_VALUE"""),181.58)</f>
        <v>181.58</v>
      </c>
      <c r="F8291" s="2">
        <f>IFERROR(__xludf.DUMMYFUNCTION("""COMPUTED_VALUE"""),3542464.0)</f>
        <v>3542464</v>
      </c>
    </row>
    <row r="8292">
      <c r="A8292" s="3">
        <f>IFERROR(__xludf.DUMMYFUNCTION("""COMPUTED_VALUE"""),41222.666666666664)</f>
        <v>41222.66667</v>
      </c>
      <c r="B8292" s="2">
        <f>IFERROR(__xludf.DUMMYFUNCTION("""COMPUTED_VALUE"""),181.34)</f>
        <v>181.34</v>
      </c>
      <c r="C8292" s="2">
        <f>IFERROR(__xludf.DUMMYFUNCTION("""COMPUTED_VALUE"""),183.05)</f>
        <v>183.05</v>
      </c>
      <c r="D8292" s="2">
        <f>IFERROR(__xludf.DUMMYFUNCTION("""COMPUTED_VALUE"""),180.41)</f>
        <v>180.41</v>
      </c>
      <c r="E8292" s="2">
        <f>IFERROR(__xludf.DUMMYFUNCTION("""COMPUTED_VALUE"""),181.14)</f>
        <v>181.14</v>
      </c>
      <c r="F8292" s="2">
        <f>IFERROR(__xludf.DUMMYFUNCTION("""COMPUTED_VALUE"""),3671517.0)</f>
        <v>3671517</v>
      </c>
    </row>
    <row r="8293">
      <c r="A8293" s="3">
        <f>IFERROR(__xludf.DUMMYFUNCTION("""COMPUTED_VALUE"""),41225.666666666664)</f>
        <v>41225.66667</v>
      </c>
      <c r="B8293" s="2">
        <f>IFERROR(__xludf.DUMMYFUNCTION("""COMPUTED_VALUE"""),181.51)</f>
        <v>181.51</v>
      </c>
      <c r="C8293" s="2">
        <f>IFERROR(__xludf.DUMMYFUNCTION("""COMPUTED_VALUE"""),182.22)</f>
        <v>182.22</v>
      </c>
      <c r="D8293" s="2">
        <f>IFERROR(__xludf.DUMMYFUNCTION("""COMPUTED_VALUE"""),179.0)</f>
        <v>179</v>
      </c>
      <c r="E8293" s="2">
        <f>IFERROR(__xludf.DUMMYFUNCTION("""COMPUTED_VALUE"""),180.76)</f>
        <v>180.76</v>
      </c>
      <c r="F8293" s="2">
        <f>IFERROR(__xludf.DUMMYFUNCTION("""COMPUTED_VALUE"""),3067509.0)</f>
        <v>3067509</v>
      </c>
    </row>
    <row r="8294">
      <c r="A8294" s="3">
        <f>IFERROR(__xludf.DUMMYFUNCTION("""COMPUTED_VALUE"""),41226.666666666664)</f>
        <v>41226.66667</v>
      </c>
      <c r="B8294" s="2">
        <f>IFERROR(__xludf.DUMMYFUNCTION("""COMPUTED_VALUE"""),179.94)</f>
        <v>179.94</v>
      </c>
      <c r="C8294" s="2">
        <f>IFERROR(__xludf.DUMMYFUNCTION("""COMPUTED_VALUE"""),182.32)</f>
        <v>182.32</v>
      </c>
      <c r="D8294" s="2">
        <f>IFERROR(__xludf.DUMMYFUNCTION("""COMPUTED_VALUE"""),179.81)</f>
        <v>179.81</v>
      </c>
      <c r="E8294" s="2">
        <f>IFERROR(__xludf.DUMMYFUNCTION("""COMPUTED_VALUE"""),179.88)</f>
        <v>179.88</v>
      </c>
      <c r="F8294" s="2">
        <f>IFERROR(__xludf.DUMMYFUNCTION("""COMPUTED_VALUE"""),3407573.0)</f>
        <v>3407573</v>
      </c>
    </row>
    <row r="8295">
      <c r="A8295" s="3">
        <f>IFERROR(__xludf.DUMMYFUNCTION("""COMPUTED_VALUE"""),41227.666666666664)</f>
        <v>41227.66667</v>
      </c>
      <c r="B8295" s="2">
        <f>IFERROR(__xludf.DUMMYFUNCTION("""COMPUTED_VALUE"""),180.66)</f>
        <v>180.66</v>
      </c>
      <c r="C8295" s="2">
        <f>IFERROR(__xludf.DUMMYFUNCTION("""COMPUTED_VALUE"""),180.78)</f>
        <v>180.78</v>
      </c>
      <c r="D8295" s="2">
        <f>IFERROR(__xludf.DUMMYFUNCTION("""COMPUTED_VALUE"""),176.97)</f>
        <v>176.97</v>
      </c>
      <c r="E8295" s="2">
        <f>IFERROR(__xludf.DUMMYFUNCTION("""COMPUTED_VALUE"""),177.19)</f>
        <v>177.19</v>
      </c>
      <c r="F8295" s="2">
        <f>IFERROR(__xludf.DUMMYFUNCTION("""COMPUTED_VALUE"""),4404535.0)</f>
        <v>4404535</v>
      </c>
    </row>
    <row r="8296">
      <c r="A8296" s="3">
        <f>IFERROR(__xludf.DUMMYFUNCTION("""COMPUTED_VALUE"""),41228.666666666664)</f>
        <v>41228.66667</v>
      </c>
      <c r="B8296" s="2">
        <f>IFERROR(__xludf.DUMMYFUNCTION("""COMPUTED_VALUE"""),177.5)</f>
        <v>177.5</v>
      </c>
      <c r="C8296" s="2">
        <f>IFERROR(__xludf.DUMMYFUNCTION("""COMPUTED_VALUE"""),178.81)</f>
        <v>178.81</v>
      </c>
      <c r="D8296" s="2">
        <f>IFERROR(__xludf.DUMMYFUNCTION("""COMPUTED_VALUE"""),176.5)</f>
        <v>176.5</v>
      </c>
      <c r="E8296" s="2">
        <f>IFERROR(__xludf.DUMMYFUNCTION("""COMPUTED_VALUE"""),177.52)</f>
        <v>177.52</v>
      </c>
      <c r="F8296" s="2">
        <f>IFERROR(__xludf.DUMMYFUNCTION("""COMPUTED_VALUE"""),3412016.0)</f>
        <v>3412016</v>
      </c>
    </row>
    <row r="8297">
      <c r="A8297" s="3">
        <f>IFERROR(__xludf.DUMMYFUNCTION("""COMPUTED_VALUE"""),41229.666666666664)</f>
        <v>41229.66667</v>
      </c>
      <c r="B8297" s="2">
        <f>IFERROR(__xludf.DUMMYFUNCTION("""COMPUTED_VALUE"""),177.98)</f>
        <v>177.98</v>
      </c>
      <c r="C8297" s="2">
        <f>IFERROR(__xludf.DUMMYFUNCTION("""COMPUTED_VALUE"""),179.15)</f>
        <v>179.15</v>
      </c>
      <c r="D8297" s="2">
        <f>IFERROR(__xludf.DUMMYFUNCTION("""COMPUTED_VALUE"""),176.8)</f>
        <v>176.8</v>
      </c>
      <c r="E8297" s="2">
        <f>IFERROR(__xludf.DUMMYFUNCTION("""COMPUTED_VALUE"""),178.56)</f>
        <v>178.56</v>
      </c>
      <c r="F8297" s="2">
        <f>IFERROR(__xludf.DUMMYFUNCTION("""COMPUTED_VALUE"""),4660780.0)</f>
        <v>4660780</v>
      </c>
    </row>
    <row r="8298">
      <c r="A8298" s="3">
        <f>IFERROR(__xludf.DUMMYFUNCTION("""COMPUTED_VALUE"""),41232.666666666664)</f>
        <v>41232.66667</v>
      </c>
      <c r="B8298" s="2">
        <f>IFERROR(__xludf.DUMMYFUNCTION("""COMPUTED_VALUE"""),180.16)</f>
        <v>180.16</v>
      </c>
      <c r="C8298" s="2">
        <f>IFERROR(__xludf.DUMMYFUNCTION("""COMPUTED_VALUE"""),181.85)</f>
        <v>181.85</v>
      </c>
      <c r="D8298" s="2">
        <f>IFERROR(__xludf.DUMMYFUNCTION("""COMPUTED_VALUE"""),179.86)</f>
        <v>179.86</v>
      </c>
      <c r="E8298" s="2">
        <f>IFERROR(__xludf.DUMMYFUNCTION("""COMPUTED_VALUE"""),181.82)</f>
        <v>181.82</v>
      </c>
      <c r="F8298" s="2">
        <f>IFERROR(__xludf.DUMMYFUNCTION("""COMPUTED_VALUE"""),3588996.0)</f>
        <v>3588996</v>
      </c>
    </row>
    <row r="8299">
      <c r="A8299" s="3">
        <f>IFERROR(__xludf.DUMMYFUNCTION("""COMPUTED_VALUE"""),41233.666666666664)</f>
        <v>41233.66667</v>
      </c>
      <c r="B8299" s="2">
        <f>IFERROR(__xludf.DUMMYFUNCTION("""COMPUTED_VALUE"""),181.37)</f>
        <v>181.37</v>
      </c>
      <c r="C8299" s="2">
        <f>IFERROR(__xludf.DUMMYFUNCTION("""COMPUTED_VALUE"""),181.59)</f>
        <v>181.59</v>
      </c>
      <c r="D8299" s="2">
        <f>IFERROR(__xludf.DUMMYFUNCTION("""COMPUTED_VALUE"""),179.81)</f>
        <v>179.81</v>
      </c>
      <c r="E8299" s="2">
        <f>IFERROR(__xludf.DUMMYFUNCTION("""COMPUTED_VALUE"""),180.72)</f>
        <v>180.72</v>
      </c>
      <c r="F8299" s="2">
        <f>IFERROR(__xludf.DUMMYFUNCTION("""COMPUTED_VALUE"""),3170318.0)</f>
        <v>3170318</v>
      </c>
    </row>
    <row r="8300">
      <c r="A8300" s="3">
        <f>IFERROR(__xludf.DUMMYFUNCTION("""COMPUTED_VALUE"""),41234.666666666664)</f>
        <v>41234.66667</v>
      </c>
      <c r="B8300" s="2">
        <f>IFERROR(__xludf.DUMMYFUNCTION("""COMPUTED_VALUE"""),180.81)</f>
        <v>180.81</v>
      </c>
      <c r="C8300" s="2">
        <f>IFERROR(__xludf.DUMMYFUNCTION("""COMPUTED_VALUE"""),182.33)</f>
        <v>182.33</v>
      </c>
      <c r="D8300" s="2">
        <f>IFERROR(__xludf.DUMMYFUNCTION("""COMPUTED_VALUE"""),180.48)</f>
        <v>180.48</v>
      </c>
      <c r="E8300" s="2">
        <f>IFERROR(__xludf.DUMMYFUNCTION("""COMPUTED_VALUE"""),181.76)</f>
        <v>181.76</v>
      </c>
      <c r="F8300" s="2">
        <f>IFERROR(__xludf.DUMMYFUNCTION("""COMPUTED_VALUE"""),5189519.0)</f>
        <v>5189519</v>
      </c>
    </row>
    <row r="8301">
      <c r="A8301" s="3">
        <f>IFERROR(__xludf.DUMMYFUNCTION("""COMPUTED_VALUE"""),41236.666666666664)</f>
        <v>41236.66667</v>
      </c>
      <c r="B8301" s="2">
        <f>IFERROR(__xludf.DUMMYFUNCTION("""COMPUTED_VALUE"""),182.44)</f>
        <v>182.44</v>
      </c>
      <c r="C8301" s="2">
        <f>IFERROR(__xludf.DUMMYFUNCTION("""COMPUTED_VALUE"""),184.81)</f>
        <v>184.81</v>
      </c>
      <c r="D8301" s="2">
        <f>IFERROR(__xludf.DUMMYFUNCTION("""COMPUTED_VALUE"""),182.25)</f>
        <v>182.25</v>
      </c>
      <c r="E8301" s="2">
        <f>IFERROR(__xludf.DUMMYFUNCTION("""COMPUTED_VALUE"""),184.81)</f>
        <v>184.81</v>
      </c>
      <c r="F8301" s="2">
        <f>IFERROR(__xludf.DUMMYFUNCTION("""COMPUTED_VALUE"""),3877583.0)</f>
        <v>3877583</v>
      </c>
    </row>
    <row r="8302">
      <c r="A8302" s="3">
        <f>IFERROR(__xludf.DUMMYFUNCTION("""COMPUTED_VALUE"""),41239.666666666664)</f>
        <v>41239.66667</v>
      </c>
      <c r="B8302" s="2">
        <f>IFERROR(__xludf.DUMMYFUNCTION("""COMPUTED_VALUE"""),183.82)</f>
        <v>183.82</v>
      </c>
      <c r="C8302" s="2">
        <f>IFERROR(__xludf.DUMMYFUNCTION("""COMPUTED_VALUE"""),184.7)</f>
        <v>184.7</v>
      </c>
      <c r="D8302" s="2">
        <f>IFERROR(__xludf.DUMMYFUNCTION("""COMPUTED_VALUE"""),183.17)</f>
        <v>183.17</v>
      </c>
      <c r="E8302" s="2">
        <f>IFERROR(__xludf.DUMMYFUNCTION("""COMPUTED_VALUE"""),184.23)</f>
        <v>184.23</v>
      </c>
      <c r="F8302" s="2">
        <f>IFERROR(__xludf.DUMMYFUNCTION("""COMPUTED_VALUE"""),5211360.0)</f>
        <v>5211360</v>
      </c>
    </row>
    <row r="8303">
      <c r="A8303" s="3">
        <f>IFERROR(__xludf.DUMMYFUNCTION("""COMPUTED_VALUE"""),41240.666666666664)</f>
        <v>41240.66667</v>
      </c>
      <c r="B8303" s="2">
        <f>IFERROR(__xludf.DUMMYFUNCTION("""COMPUTED_VALUE"""),183.47)</f>
        <v>183.47</v>
      </c>
      <c r="C8303" s="2">
        <f>IFERROR(__xludf.DUMMYFUNCTION("""COMPUTED_VALUE"""),184.39)</f>
        <v>184.39</v>
      </c>
      <c r="D8303" s="2">
        <f>IFERROR(__xludf.DUMMYFUNCTION("""COMPUTED_VALUE"""),182.44)</f>
        <v>182.44</v>
      </c>
      <c r="E8303" s="2">
        <f>IFERROR(__xludf.DUMMYFUNCTION("""COMPUTED_VALUE"""),182.66)</f>
        <v>182.66</v>
      </c>
      <c r="F8303" s="2">
        <f>IFERROR(__xludf.DUMMYFUNCTION("""COMPUTED_VALUE"""),3291094.0)</f>
        <v>3291094</v>
      </c>
    </row>
    <row r="8304">
      <c r="A8304" s="3">
        <f>IFERROR(__xludf.DUMMYFUNCTION("""COMPUTED_VALUE"""),41241.666666666664)</f>
        <v>41241.66667</v>
      </c>
      <c r="B8304" s="2">
        <f>IFERROR(__xludf.DUMMYFUNCTION("""COMPUTED_VALUE"""),182.42)</f>
        <v>182.42</v>
      </c>
      <c r="C8304" s="2">
        <f>IFERROR(__xludf.DUMMYFUNCTION("""COMPUTED_VALUE"""),183.43)</f>
        <v>183.43</v>
      </c>
      <c r="D8304" s="2">
        <f>IFERROR(__xludf.DUMMYFUNCTION("""COMPUTED_VALUE"""),180.78)</f>
        <v>180.78</v>
      </c>
      <c r="E8304" s="2">
        <f>IFERROR(__xludf.DUMMYFUNCTION("""COMPUTED_VALUE"""),183.37)</f>
        <v>183.37</v>
      </c>
      <c r="F8304" s="2">
        <f>IFERROR(__xludf.DUMMYFUNCTION("""COMPUTED_VALUE"""),3603596.0)</f>
        <v>3603596</v>
      </c>
    </row>
    <row r="8305">
      <c r="A8305" s="3">
        <f>IFERROR(__xludf.DUMMYFUNCTION("""COMPUTED_VALUE"""),41242.666666666664)</f>
        <v>41242.66667</v>
      </c>
      <c r="B8305" s="2">
        <f>IFERROR(__xludf.DUMMYFUNCTION("""COMPUTED_VALUE"""),184.11)</f>
        <v>184.11</v>
      </c>
      <c r="C8305" s="2">
        <f>IFERROR(__xludf.DUMMYFUNCTION("""COMPUTED_VALUE"""),184.25)</f>
        <v>184.25</v>
      </c>
      <c r="D8305" s="2">
        <f>IFERROR(__xludf.DUMMYFUNCTION("""COMPUTED_VALUE"""),181.67)</f>
        <v>181.67</v>
      </c>
      <c r="E8305" s="2">
        <f>IFERROR(__xludf.DUMMYFUNCTION("""COMPUTED_VALUE"""),182.94)</f>
        <v>182.94</v>
      </c>
      <c r="F8305" s="2">
        <f>IFERROR(__xludf.DUMMYFUNCTION("""COMPUTED_VALUE"""),4077834.0)</f>
        <v>4077834</v>
      </c>
    </row>
    <row r="8306">
      <c r="A8306" s="3">
        <f>IFERROR(__xludf.DUMMYFUNCTION("""COMPUTED_VALUE"""),41243.666666666664)</f>
        <v>41243.66667</v>
      </c>
      <c r="B8306" s="2">
        <f>IFERROR(__xludf.DUMMYFUNCTION("""COMPUTED_VALUE"""),183.15)</f>
        <v>183.15</v>
      </c>
      <c r="C8306" s="2">
        <f>IFERROR(__xludf.DUMMYFUNCTION("""COMPUTED_VALUE"""),183.39)</f>
        <v>183.39</v>
      </c>
      <c r="D8306" s="2">
        <f>IFERROR(__xludf.DUMMYFUNCTION("""COMPUTED_VALUE"""),181.0)</f>
        <v>181</v>
      </c>
      <c r="E8306" s="2">
        <f>IFERROR(__xludf.DUMMYFUNCTION("""COMPUTED_VALUE"""),181.55)</f>
        <v>181.55</v>
      </c>
      <c r="F8306" s="2">
        <f>IFERROR(__xludf.DUMMYFUNCTION("""COMPUTED_VALUE"""),4936587.0)</f>
        <v>4936587</v>
      </c>
    </row>
    <row r="8307">
      <c r="A8307" s="3">
        <f>IFERROR(__xludf.DUMMYFUNCTION("""COMPUTED_VALUE"""),41246.666666666664)</f>
        <v>41246.66667</v>
      </c>
      <c r="B8307" s="2">
        <f>IFERROR(__xludf.DUMMYFUNCTION("""COMPUTED_VALUE"""),182.21)</f>
        <v>182.21</v>
      </c>
      <c r="C8307" s="2">
        <f>IFERROR(__xludf.DUMMYFUNCTION("""COMPUTED_VALUE"""),182.72)</f>
        <v>182.72</v>
      </c>
      <c r="D8307" s="2">
        <f>IFERROR(__xludf.DUMMYFUNCTION("""COMPUTED_VALUE"""),179.91)</f>
        <v>179.91</v>
      </c>
      <c r="E8307" s="2">
        <f>IFERROR(__xludf.DUMMYFUNCTION("""COMPUTED_VALUE"""),180.98)</f>
        <v>180.98</v>
      </c>
      <c r="F8307" s="2">
        <f>IFERROR(__xludf.DUMMYFUNCTION("""COMPUTED_VALUE"""),3349685.0)</f>
        <v>3349685</v>
      </c>
    </row>
    <row r="8308">
      <c r="A8308" s="3">
        <f>IFERROR(__xludf.DUMMYFUNCTION("""COMPUTED_VALUE"""),41247.666666666664)</f>
        <v>41247.66667</v>
      </c>
      <c r="B8308" s="2">
        <f>IFERROR(__xludf.DUMMYFUNCTION("""COMPUTED_VALUE"""),181.2)</f>
        <v>181.2</v>
      </c>
      <c r="C8308" s="2">
        <f>IFERROR(__xludf.DUMMYFUNCTION("""COMPUTED_VALUE"""),182.2)</f>
        <v>182.2</v>
      </c>
      <c r="D8308" s="2">
        <f>IFERROR(__xludf.DUMMYFUNCTION("""COMPUTED_VALUE"""),180.55)</f>
        <v>180.55</v>
      </c>
      <c r="E8308" s="2">
        <f>IFERROR(__xludf.DUMMYFUNCTION("""COMPUTED_VALUE"""),180.87)</f>
        <v>180.87</v>
      </c>
      <c r="F8308" s="2">
        <f>IFERROR(__xludf.DUMMYFUNCTION("""COMPUTED_VALUE"""),3990733.0)</f>
        <v>3990733</v>
      </c>
    </row>
    <row r="8309">
      <c r="A8309" s="3">
        <f>IFERROR(__xludf.DUMMYFUNCTION("""COMPUTED_VALUE"""),41248.666666666664)</f>
        <v>41248.66667</v>
      </c>
      <c r="B8309" s="2">
        <f>IFERROR(__xludf.DUMMYFUNCTION("""COMPUTED_VALUE"""),180.54)</f>
        <v>180.54</v>
      </c>
      <c r="C8309" s="2">
        <f>IFERROR(__xludf.DUMMYFUNCTION("""COMPUTED_VALUE"""),180.97)</f>
        <v>180.97</v>
      </c>
      <c r="D8309" s="2">
        <f>IFERROR(__xludf.DUMMYFUNCTION("""COMPUTED_VALUE"""),178.56)</f>
        <v>178.56</v>
      </c>
      <c r="E8309" s="2">
        <f>IFERROR(__xludf.DUMMYFUNCTION("""COMPUTED_VALUE"""),180.19)</f>
        <v>180.19</v>
      </c>
      <c r="F8309" s="2">
        <f>IFERROR(__xludf.DUMMYFUNCTION("""COMPUTED_VALUE"""),4202974.0)</f>
        <v>4202974</v>
      </c>
    </row>
    <row r="8310">
      <c r="A8310" s="3">
        <f>IFERROR(__xludf.DUMMYFUNCTION("""COMPUTED_VALUE"""),41249.666666666664)</f>
        <v>41249.66667</v>
      </c>
      <c r="B8310" s="2">
        <f>IFERROR(__xludf.DUMMYFUNCTION("""COMPUTED_VALUE"""),180.69)</f>
        <v>180.69</v>
      </c>
      <c r="C8310" s="2">
        <f>IFERROR(__xludf.DUMMYFUNCTION("""COMPUTED_VALUE"""),181.65)</f>
        <v>181.65</v>
      </c>
      <c r="D8310" s="2">
        <f>IFERROR(__xludf.DUMMYFUNCTION("""COMPUTED_VALUE"""),179.96)</f>
        <v>179.96</v>
      </c>
      <c r="E8310" s="2">
        <f>IFERROR(__xludf.DUMMYFUNCTION("""COMPUTED_VALUE"""),181.19)</f>
        <v>181.19</v>
      </c>
      <c r="F8310" s="2">
        <f>IFERROR(__xludf.DUMMYFUNCTION("""COMPUTED_VALUE"""),3216900.0)</f>
        <v>3216900</v>
      </c>
    </row>
    <row r="8311">
      <c r="A8311" s="3">
        <f>IFERROR(__xludf.DUMMYFUNCTION("""COMPUTED_VALUE"""),41250.666666666664)</f>
        <v>41250.66667</v>
      </c>
      <c r="B8311" s="2">
        <f>IFERROR(__xludf.DUMMYFUNCTION("""COMPUTED_VALUE"""),181.61)</f>
        <v>181.61</v>
      </c>
      <c r="C8311" s="2">
        <f>IFERROR(__xludf.DUMMYFUNCTION("""COMPUTED_VALUE"""),183.58)</f>
        <v>183.58</v>
      </c>
      <c r="D8311" s="2">
        <f>IFERROR(__xludf.DUMMYFUNCTION("""COMPUTED_VALUE"""),181.59)</f>
        <v>181.59</v>
      </c>
      <c r="E8311" s="2">
        <f>IFERROR(__xludf.DUMMYFUNCTION("""COMPUTED_VALUE"""),183.34)</f>
        <v>183.34</v>
      </c>
      <c r="F8311" s="2">
        <f>IFERROR(__xludf.DUMMYFUNCTION("""COMPUTED_VALUE"""),4091940.0)</f>
        <v>4091940</v>
      </c>
    </row>
    <row r="8312">
      <c r="A8312" s="3">
        <f>IFERROR(__xludf.DUMMYFUNCTION("""COMPUTED_VALUE"""),41253.666666666664)</f>
        <v>41253.66667</v>
      </c>
      <c r="B8312" s="2">
        <f>IFERROR(__xludf.DUMMYFUNCTION("""COMPUTED_VALUE"""),183.55)</f>
        <v>183.55</v>
      </c>
      <c r="C8312" s="2">
        <f>IFERROR(__xludf.DUMMYFUNCTION("""COMPUTED_VALUE"""),184.86)</f>
        <v>184.86</v>
      </c>
      <c r="D8312" s="2">
        <f>IFERROR(__xludf.DUMMYFUNCTION("""COMPUTED_VALUE"""),183.06)</f>
        <v>183.06</v>
      </c>
      <c r="E8312" s="2">
        <f>IFERROR(__xludf.DUMMYFUNCTION("""COMPUTED_VALUE"""),183.98)</f>
        <v>183.98</v>
      </c>
      <c r="F8312" s="2">
        <f>IFERROR(__xludf.DUMMYFUNCTION("""COMPUTED_VALUE"""),3438406.0)</f>
        <v>3438406</v>
      </c>
    </row>
    <row r="8313">
      <c r="A8313" s="3">
        <f>IFERROR(__xludf.DUMMYFUNCTION("""COMPUTED_VALUE"""),41254.666666666664)</f>
        <v>41254.66667</v>
      </c>
      <c r="B8313" s="2">
        <f>IFERROR(__xludf.DUMMYFUNCTION("""COMPUTED_VALUE"""),184.52)</f>
        <v>184.52</v>
      </c>
      <c r="C8313" s="2">
        <f>IFERROR(__xludf.DUMMYFUNCTION("""COMPUTED_VALUE"""),186.07)</f>
        <v>186.07</v>
      </c>
      <c r="D8313" s="2">
        <f>IFERROR(__xludf.DUMMYFUNCTION("""COMPUTED_VALUE"""),184.49)</f>
        <v>184.49</v>
      </c>
      <c r="E8313" s="2">
        <f>IFERROR(__xludf.DUMMYFUNCTION("""COMPUTED_VALUE"""),185.49)</f>
        <v>185.49</v>
      </c>
      <c r="F8313" s="2">
        <f>IFERROR(__xludf.DUMMYFUNCTION("""COMPUTED_VALUE"""),4143997.0)</f>
        <v>4143997</v>
      </c>
    </row>
    <row r="8314">
      <c r="A8314" s="3">
        <f>IFERROR(__xludf.DUMMYFUNCTION("""COMPUTED_VALUE"""),41255.666666666664)</f>
        <v>41255.66667</v>
      </c>
      <c r="B8314" s="2">
        <f>IFERROR(__xludf.DUMMYFUNCTION("""COMPUTED_VALUE"""),185.87)</f>
        <v>185.87</v>
      </c>
      <c r="C8314" s="2">
        <f>IFERROR(__xludf.DUMMYFUNCTION("""COMPUTED_VALUE"""),186.02)</f>
        <v>186.02</v>
      </c>
      <c r="D8314" s="2">
        <f>IFERROR(__xludf.DUMMYFUNCTION("""COMPUTED_VALUE"""),183.83)</f>
        <v>183.83</v>
      </c>
      <c r="E8314" s="2">
        <f>IFERROR(__xludf.DUMMYFUNCTION("""COMPUTED_VALUE"""),184.3)</f>
        <v>184.3</v>
      </c>
      <c r="F8314" s="2">
        <f>IFERROR(__xludf.DUMMYFUNCTION("""COMPUTED_VALUE"""),4241964.0)</f>
        <v>4241964</v>
      </c>
    </row>
    <row r="8315">
      <c r="A8315" s="3">
        <f>IFERROR(__xludf.DUMMYFUNCTION("""COMPUTED_VALUE"""),41256.666666666664)</f>
        <v>41256.66667</v>
      </c>
      <c r="B8315" s="2">
        <f>IFERROR(__xludf.DUMMYFUNCTION("""COMPUTED_VALUE"""),183.56)</f>
        <v>183.56</v>
      </c>
      <c r="C8315" s="2">
        <f>IFERROR(__xludf.DUMMYFUNCTION("""COMPUTED_VALUE"""),184.39)</f>
        <v>184.39</v>
      </c>
      <c r="D8315" s="2">
        <f>IFERROR(__xludf.DUMMYFUNCTION("""COMPUTED_VALUE"""),182.79)</f>
        <v>182.79</v>
      </c>
      <c r="E8315" s="2">
        <f>IFERROR(__xludf.DUMMYFUNCTION("""COMPUTED_VALUE"""),183.38)</f>
        <v>183.38</v>
      </c>
      <c r="F8315" s="2">
        <f>IFERROR(__xludf.DUMMYFUNCTION("""COMPUTED_VALUE"""),3623185.0)</f>
        <v>3623185</v>
      </c>
    </row>
    <row r="8316">
      <c r="A8316" s="3">
        <f>IFERROR(__xludf.DUMMYFUNCTION("""COMPUTED_VALUE"""),41257.666666666664)</f>
        <v>41257.66667</v>
      </c>
      <c r="B8316" s="2">
        <f>IFERROR(__xludf.DUMMYFUNCTION("""COMPUTED_VALUE"""),183.1)</f>
        <v>183.1</v>
      </c>
      <c r="C8316" s="2">
        <f>IFERROR(__xludf.DUMMYFUNCTION("""COMPUTED_VALUE"""),184.73)</f>
        <v>184.73</v>
      </c>
      <c r="D8316" s="2">
        <f>IFERROR(__xludf.DUMMYFUNCTION("""COMPUTED_VALUE"""),182.68)</f>
        <v>182.68</v>
      </c>
      <c r="E8316" s="2">
        <f>IFERROR(__xludf.DUMMYFUNCTION("""COMPUTED_VALUE"""),183.16)</f>
        <v>183.16</v>
      </c>
      <c r="F8316" s="2">
        <f>IFERROR(__xludf.DUMMYFUNCTION("""COMPUTED_VALUE"""),3826833.0)</f>
        <v>3826833</v>
      </c>
    </row>
    <row r="8317">
      <c r="A8317" s="3">
        <f>IFERROR(__xludf.DUMMYFUNCTION("""COMPUTED_VALUE"""),41260.666666666664)</f>
        <v>41260.66667</v>
      </c>
      <c r="B8317" s="2">
        <f>IFERROR(__xludf.DUMMYFUNCTION("""COMPUTED_VALUE"""),183.16)</f>
        <v>183.16</v>
      </c>
      <c r="C8317" s="2">
        <f>IFERROR(__xludf.DUMMYFUNCTION("""COMPUTED_VALUE"""),185.22)</f>
        <v>185.22</v>
      </c>
      <c r="D8317" s="2">
        <f>IFERROR(__xludf.DUMMYFUNCTION("""COMPUTED_VALUE"""),183.16)</f>
        <v>183.16</v>
      </c>
      <c r="E8317" s="2">
        <f>IFERROR(__xludf.DUMMYFUNCTION("""COMPUTED_VALUE"""),184.94)</f>
        <v>184.94</v>
      </c>
      <c r="F8317" s="2">
        <f>IFERROR(__xludf.DUMMYFUNCTION("""COMPUTED_VALUE"""),3792450.0)</f>
        <v>3792450</v>
      </c>
    </row>
    <row r="8318">
      <c r="A8318" s="3">
        <f>IFERROR(__xludf.DUMMYFUNCTION("""COMPUTED_VALUE"""),41261.666666666664)</f>
        <v>41261.66667</v>
      </c>
      <c r="B8318" s="2">
        <f>IFERROR(__xludf.DUMMYFUNCTION("""COMPUTED_VALUE"""),185.16)</f>
        <v>185.16</v>
      </c>
      <c r="C8318" s="2">
        <f>IFERROR(__xludf.DUMMYFUNCTION("""COMPUTED_VALUE"""),187.14)</f>
        <v>187.14</v>
      </c>
      <c r="D8318" s="2">
        <f>IFERROR(__xludf.DUMMYFUNCTION("""COMPUTED_VALUE"""),185.15)</f>
        <v>185.15</v>
      </c>
      <c r="E8318" s="2">
        <f>IFERROR(__xludf.DUMMYFUNCTION("""COMPUTED_VALUE"""),186.92)</f>
        <v>186.92</v>
      </c>
      <c r="F8318" s="2">
        <f>IFERROR(__xludf.DUMMYFUNCTION("""COMPUTED_VALUE"""),4125879.0)</f>
        <v>4125879</v>
      </c>
    </row>
    <row r="8319">
      <c r="A8319" s="3">
        <f>IFERROR(__xludf.DUMMYFUNCTION("""COMPUTED_VALUE"""),41262.666666666664)</f>
        <v>41262.66667</v>
      </c>
      <c r="B8319" s="2">
        <f>IFERROR(__xludf.DUMMYFUNCTION("""COMPUTED_VALUE"""),186.7)</f>
        <v>186.7</v>
      </c>
      <c r="C8319" s="2">
        <f>IFERROR(__xludf.DUMMYFUNCTION("""COMPUTED_VALUE"""),187.64)</f>
        <v>187.64</v>
      </c>
      <c r="D8319" s="2">
        <f>IFERROR(__xludf.DUMMYFUNCTION("""COMPUTED_VALUE"""),186.26)</f>
        <v>186.26</v>
      </c>
      <c r="E8319" s="2">
        <f>IFERROR(__xludf.DUMMYFUNCTION("""COMPUTED_VALUE"""),186.33)</f>
        <v>186.33</v>
      </c>
      <c r="F8319" s="2">
        <f>IFERROR(__xludf.DUMMYFUNCTION("""COMPUTED_VALUE"""),4270591.0)</f>
        <v>4270591</v>
      </c>
    </row>
    <row r="8320">
      <c r="A8320" s="3">
        <f>IFERROR(__xludf.DUMMYFUNCTION("""COMPUTED_VALUE"""),41263.666666666664)</f>
        <v>41263.66667</v>
      </c>
      <c r="B8320" s="2">
        <f>IFERROR(__xludf.DUMMYFUNCTION("""COMPUTED_VALUE"""),185.75)</f>
        <v>185.75</v>
      </c>
      <c r="C8320" s="2">
        <f>IFERROR(__xludf.DUMMYFUNCTION("""COMPUTED_VALUE"""),186.21)</f>
        <v>186.21</v>
      </c>
      <c r="D8320" s="2">
        <f>IFERROR(__xludf.DUMMYFUNCTION("""COMPUTED_VALUE"""),184.5)</f>
        <v>184.5</v>
      </c>
      <c r="E8320" s="2">
        <f>IFERROR(__xludf.DUMMYFUNCTION("""COMPUTED_VALUE"""),186.04)</f>
        <v>186.04</v>
      </c>
      <c r="F8320" s="2">
        <f>IFERROR(__xludf.DUMMYFUNCTION("""COMPUTED_VALUE"""),4184552.0)</f>
        <v>4184552</v>
      </c>
    </row>
    <row r="8321">
      <c r="A8321" s="3">
        <f>IFERROR(__xludf.DUMMYFUNCTION("""COMPUTED_VALUE"""),41264.666666666664)</f>
        <v>41264.66667</v>
      </c>
      <c r="B8321" s="2">
        <f>IFERROR(__xludf.DUMMYFUNCTION("""COMPUTED_VALUE"""),184.44)</f>
        <v>184.44</v>
      </c>
      <c r="C8321" s="2">
        <f>IFERROR(__xludf.DUMMYFUNCTION("""COMPUTED_VALUE"""),185.78)</f>
        <v>185.78</v>
      </c>
      <c r="D8321" s="2">
        <f>IFERROR(__xludf.DUMMYFUNCTION("""COMPUTED_VALUE"""),182.98)</f>
        <v>182.98</v>
      </c>
      <c r="E8321" s="2">
        <f>IFERROR(__xludf.DUMMYFUNCTION("""COMPUTED_VALUE"""),184.75)</f>
        <v>184.75</v>
      </c>
      <c r="F8321" s="2">
        <f>IFERROR(__xludf.DUMMYFUNCTION("""COMPUTED_VALUE"""),8226623.0)</f>
        <v>8226623</v>
      </c>
    </row>
    <row r="8322">
      <c r="A8322" s="3">
        <f>IFERROR(__xludf.DUMMYFUNCTION("""COMPUTED_VALUE"""),41267.666666666664)</f>
        <v>41267.66667</v>
      </c>
      <c r="B8322" s="2">
        <f>IFERROR(__xludf.DUMMYFUNCTION("""COMPUTED_VALUE"""),184.39)</f>
        <v>184.39</v>
      </c>
      <c r="C8322" s="2">
        <f>IFERROR(__xludf.DUMMYFUNCTION("""COMPUTED_VALUE"""),185.14)</f>
        <v>185.14</v>
      </c>
      <c r="D8322" s="2">
        <f>IFERROR(__xludf.DUMMYFUNCTION("""COMPUTED_VALUE"""),183.41)</f>
        <v>183.41</v>
      </c>
      <c r="E8322" s="2">
        <f>IFERROR(__xludf.DUMMYFUNCTION("""COMPUTED_VALUE"""),183.77)</f>
        <v>183.77</v>
      </c>
      <c r="F8322" s="2">
        <f>IFERROR(__xludf.DUMMYFUNCTION("""COMPUTED_VALUE"""),1631202.0)</f>
        <v>1631202</v>
      </c>
    </row>
    <row r="8323">
      <c r="A8323" s="3">
        <f>IFERROR(__xludf.DUMMYFUNCTION("""COMPUTED_VALUE"""),41269.666666666664)</f>
        <v>41269.66667</v>
      </c>
      <c r="B8323" s="2">
        <f>IFERROR(__xludf.DUMMYFUNCTION("""COMPUTED_VALUE"""),183.59)</f>
        <v>183.59</v>
      </c>
      <c r="C8323" s="2">
        <f>IFERROR(__xludf.DUMMYFUNCTION("""COMPUTED_VALUE"""),184.85)</f>
        <v>184.85</v>
      </c>
      <c r="D8323" s="2">
        <f>IFERROR(__xludf.DUMMYFUNCTION("""COMPUTED_VALUE"""),182.39)</f>
        <v>182.39</v>
      </c>
      <c r="E8323" s="2">
        <f>IFERROR(__xludf.DUMMYFUNCTION("""COMPUTED_VALUE"""),183.34)</f>
        <v>183.34</v>
      </c>
      <c r="F8323" s="2">
        <f>IFERROR(__xludf.DUMMYFUNCTION("""COMPUTED_VALUE"""),2776550.0)</f>
        <v>2776550</v>
      </c>
    </row>
    <row r="8324">
      <c r="A8324" s="3">
        <f>IFERROR(__xludf.DUMMYFUNCTION("""COMPUTED_VALUE"""),41270.666666666664)</f>
        <v>41270.66667</v>
      </c>
      <c r="B8324" s="2">
        <f>IFERROR(__xludf.DUMMYFUNCTION("""COMPUTED_VALUE"""),182.94)</f>
        <v>182.94</v>
      </c>
      <c r="C8324" s="2">
        <f>IFERROR(__xludf.DUMMYFUNCTION("""COMPUTED_VALUE"""),184.61)</f>
        <v>184.61</v>
      </c>
      <c r="D8324" s="2">
        <f>IFERROR(__xludf.DUMMYFUNCTION("""COMPUTED_VALUE"""),182.15)</f>
        <v>182.15</v>
      </c>
      <c r="E8324" s="2">
        <f>IFERROR(__xludf.DUMMYFUNCTION("""COMPUTED_VALUE"""),184.07)</f>
        <v>184.07</v>
      </c>
      <c r="F8324" s="2">
        <f>IFERROR(__xludf.DUMMYFUNCTION("""COMPUTED_VALUE"""),3967531.0)</f>
        <v>3967531</v>
      </c>
    </row>
    <row r="8325">
      <c r="A8325" s="3">
        <f>IFERROR(__xludf.DUMMYFUNCTION("""COMPUTED_VALUE"""),41271.666666666664)</f>
        <v>41271.66667</v>
      </c>
      <c r="B8325" s="2">
        <f>IFERROR(__xludf.DUMMYFUNCTION("""COMPUTED_VALUE"""),182.54)</f>
        <v>182.54</v>
      </c>
      <c r="C8325" s="2">
        <f>IFERROR(__xludf.DUMMYFUNCTION("""COMPUTED_VALUE"""),183.6)</f>
        <v>183.6</v>
      </c>
      <c r="D8325" s="2">
        <f>IFERROR(__xludf.DUMMYFUNCTION("""COMPUTED_VALUE"""),181.32)</f>
        <v>181.32</v>
      </c>
      <c r="E8325" s="2">
        <f>IFERROR(__xludf.DUMMYFUNCTION("""COMPUTED_VALUE"""),181.32)</f>
        <v>181.32</v>
      </c>
      <c r="F8325" s="2">
        <f>IFERROR(__xludf.DUMMYFUNCTION("""COMPUTED_VALUE"""),3539396.0)</f>
        <v>3539396</v>
      </c>
    </row>
    <row r="8326">
      <c r="A8326" s="3">
        <f>IFERROR(__xludf.DUMMYFUNCTION("""COMPUTED_VALUE"""),41274.666666666664)</f>
        <v>41274.66667</v>
      </c>
      <c r="B8326" s="2">
        <f>IFERROR(__xludf.DUMMYFUNCTION("""COMPUTED_VALUE"""),180.75)</f>
        <v>180.75</v>
      </c>
      <c r="C8326" s="2">
        <f>IFERROR(__xludf.DUMMYFUNCTION("""COMPUTED_VALUE"""),183.09)</f>
        <v>183.09</v>
      </c>
      <c r="D8326" s="2">
        <f>IFERROR(__xludf.DUMMYFUNCTION("""COMPUTED_VALUE"""),180.37)</f>
        <v>180.37</v>
      </c>
      <c r="E8326" s="2">
        <f>IFERROR(__xludf.DUMMYFUNCTION("""COMPUTED_VALUE"""),182.96)</f>
        <v>182.96</v>
      </c>
      <c r="F8326" s="2">
        <f>IFERROR(__xludf.DUMMYFUNCTION("""COMPUTED_VALUE"""),4685773.0)</f>
        <v>4685773</v>
      </c>
    </row>
    <row r="8327">
      <c r="A8327" s="3">
        <f>IFERROR(__xludf.DUMMYFUNCTION("""COMPUTED_VALUE"""),41276.666666666664)</f>
        <v>41276.66667</v>
      </c>
      <c r="B8327" s="2">
        <f>IFERROR(__xludf.DUMMYFUNCTION("""COMPUTED_VALUE"""),185.39)</f>
        <v>185.39</v>
      </c>
      <c r="C8327" s="2">
        <f>IFERROR(__xludf.DUMMYFUNCTION("""COMPUTED_VALUE"""),187.55)</f>
        <v>187.55</v>
      </c>
      <c r="D8327" s="2">
        <f>IFERROR(__xludf.DUMMYFUNCTION("""COMPUTED_VALUE"""),185.11)</f>
        <v>185.11</v>
      </c>
      <c r="E8327" s="2">
        <f>IFERROR(__xludf.DUMMYFUNCTION("""COMPUTED_VALUE"""),187.55)</f>
        <v>187.55</v>
      </c>
      <c r="F8327" s="2">
        <f>IFERROR(__xludf.DUMMYFUNCTION("""COMPUTED_VALUE"""),4234226.0)</f>
        <v>4234226</v>
      </c>
    </row>
    <row r="8328">
      <c r="A8328" s="3">
        <f>IFERROR(__xludf.DUMMYFUNCTION("""COMPUTED_VALUE"""),41277.666666666664)</f>
        <v>41277.66667</v>
      </c>
      <c r="B8328" s="2">
        <f>IFERROR(__xludf.DUMMYFUNCTION("""COMPUTED_VALUE"""),186.9)</f>
        <v>186.9</v>
      </c>
      <c r="C8328" s="2">
        <f>IFERROR(__xludf.DUMMYFUNCTION("""COMPUTED_VALUE"""),187.49)</f>
        <v>187.49</v>
      </c>
      <c r="D8328" s="2">
        <f>IFERROR(__xludf.DUMMYFUNCTION("""COMPUTED_VALUE"""),185.72)</f>
        <v>185.72</v>
      </c>
      <c r="E8328" s="2">
        <f>IFERROR(__xludf.DUMMYFUNCTION("""COMPUTED_VALUE"""),186.51)</f>
        <v>186.51</v>
      </c>
      <c r="F8328" s="2">
        <f>IFERROR(__xludf.DUMMYFUNCTION("""COMPUTED_VALUE"""),3645161.0)</f>
        <v>3645161</v>
      </c>
    </row>
    <row r="8329">
      <c r="A8329" s="3">
        <f>IFERROR(__xludf.DUMMYFUNCTION("""COMPUTED_VALUE"""),41278.666666666664)</f>
        <v>41278.66667</v>
      </c>
      <c r="B8329" s="2">
        <f>IFERROR(__xludf.DUMMYFUNCTION("""COMPUTED_VALUE"""),185.48)</f>
        <v>185.48</v>
      </c>
      <c r="C8329" s="2">
        <f>IFERROR(__xludf.DUMMYFUNCTION("""COMPUTED_VALUE"""),185.74)</f>
        <v>185.74</v>
      </c>
      <c r="D8329" s="2">
        <f>IFERROR(__xludf.DUMMYFUNCTION("""COMPUTED_VALUE"""),184.14)</f>
        <v>184.14</v>
      </c>
      <c r="E8329" s="2">
        <f>IFERROR(__xludf.DUMMYFUNCTION("""COMPUTED_VALUE"""),185.29)</f>
        <v>185.29</v>
      </c>
      <c r="F8329" s="2">
        <f>IFERROR(__xludf.DUMMYFUNCTION("""COMPUTED_VALUE"""),3380159.0)</f>
        <v>3380159</v>
      </c>
    </row>
    <row r="8330">
      <c r="A8330" s="3">
        <f>IFERROR(__xludf.DUMMYFUNCTION("""COMPUTED_VALUE"""),41281.666666666664)</f>
        <v>41281.66667</v>
      </c>
      <c r="B8330" s="2">
        <f>IFERROR(__xludf.DUMMYFUNCTION("""COMPUTED_VALUE"""),184.73)</f>
        <v>184.73</v>
      </c>
      <c r="C8330" s="2">
        <f>IFERROR(__xludf.DUMMYFUNCTION("""COMPUTED_VALUE"""),185.09)</f>
        <v>185.09</v>
      </c>
      <c r="D8330" s="2">
        <f>IFERROR(__xludf.DUMMYFUNCTION("""COMPUTED_VALUE"""),183.72)</f>
        <v>183.72</v>
      </c>
      <c r="E8330" s="2">
        <f>IFERROR(__xludf.DUMMYFUNCTION("""COMPUTED_VALUE"""),184.48)</f>
        <v>184.48</v>
      </c>
      <c r="F8330" s="2">
        <f>IFERROR(__xludf.DUMMYFUNCTION("""COMPUTED_VALUE"""),2862276.0)</f>
        <v>2862276</v>
      </c>
    </row>
    <row r="8331">
      <c r="A8331" s="3">
        <f>IFERROR(__xludf.DUMMYFUNCTION("""COMPUTED_VALUE"""),41282.666666666664)</f>
        <v>41282.66667</v>
      </c>
      <c r="B8331" s="2">
        <f>IFERROR(__xludf.DUMMYFUNCTION("""COMPUTED_VALUE"""),184.27)</f>
        <v>184.27</v>
      </c>
      <c r="C8331" s="2">
        <f>IFERROR(__xludf.DUMMYFUNCTION("""COMPUTED_VALUE"""),184.63)</f>
        <v>184.63</v>
      </c>
      <c r="D8331" s="2">
        <f>IFERROR(__xludf.DUMMYFUNCTION("""COMPUTED_VALUE"""),183.01)</f>
        <v>183.01</v>
      </c>
      <c r="E8331" s="2">
        <f>IFERROR(__xludf.DUMMYFUNCTION("""COMPUTED_VALUE"""),184.22)</f>
        <v>184.22</v>
      </c>
      <c r="F8331" s="2">
        <f>IFERROR(__xludf.DUMMYFUNCTION("""COMPUTED_VALUE"""),3028071.0)</f>
        <v>3028071</v>
      </c>
    </row>
    <row r="8332">
      <c r="A8332" s="3">
        <f>IFERROR(__xludf.DUMMYFUNCTION("""COMPUTED_VALUE"""),41283.666666666664)</f>
        <v>41283.66667</v>
      </c>
      <c r="B8332" s="2">
        <f>IFERROR(__xludf.DUMMYFUNCTION("""COMPUTED_VALUE"""),184.81)</f>
        <v>184.81</v>
      </c>
      <c r="C8332" s="2">
        <f>IFERROR(__xludf.DUMMYFUNCTION("""COMPUTED_VALUE"""),184.81)</f>
        <v>184.81</v>
      </c>
      <c r="D8332" s="2">
        <f>IFERROR(__xludf.DUMMYFUNCTION("""COMPUTED_VALUE"""),183.06)</f>
        <v>183.06</v>
      </c>
      <c r="E8332" s="2">
        <f>IFERROR(__xludf.DUMMYFUNCTION("""COMPUTED_VALUE"""),183.7)</f>
        <v>183.7</v>
      </c>
      <c r="F8332" s="2">
        <f>IFERROR(__xludf.DUMMYFUNCTION("""COMPUTED_VALUE"""),3212230.0)</f>
        <v>3212230</v>
      </c>
    </row>
    <row r="8333">
      <c r="A8333" s="3">
        <f>IFERROR(__xludf.DUMMYFUNCTION("""COMPUTED_VALUE"""),41284.666666666664)</f>
        <v>41284.66667</v>
      </c>
      <c r="B8333" s="2">
        <f>IFERROR(__xludf.DUMMYFUNCTION("""COMPUTED_VALUE"""),184.01)</f>
        <v>184.01</v>
      </c>
      <c r="C8333" s="2">
        <f>IFERROR(__xludf.DUMMYFUNCTION("""COMPUTED_VALUE"""),184.31)</f>
        <v>184.31</v>
      </c>
      <c r="D8333" s="2">
        <f>IFERROR(__xludf.DUMMYFUNCTION("""COMPUTED_VALUE"""),182.7)</f>
        <v>182.7</v>
      </c>
      <c r="E8333" s="2">
        <f>IFERROR(__xludf.DUMMYFUNCTION("""COMPUTED_VALUE"""),184.23)</f>
        <v>184.23</v>
      </c>
      <c r="F8333" s="2">
        <f>IFERROR(__xludf.DUMMYFUNCTION("""COMPUTED_VALUE"""),3608049.0)</f>
        <v>3608049</v>
      </c>
    </row>
    <row r="8334">
      <c r="A8334" s="3">
        <f>IFERROR(__xludf.DUMMYFUNCTION("""COMPUTED_VALUE"""),41285.666666666664)</f>
        <v>41285.66667</v>
      </c>
      <c r="B8334" s="2">
        <f>IFERROR(__xludf.DUMMYFUNCTION("""COMPUTED_VALUE"""),185.45)</f>
        <v>185.45</v>
      </c>
      <c r="C8334" s="2">
        <f>IFERROR(__xludf.DUMMYFUNCTION("""COMPUTED_VALUE"""),186.26)</f>
        <v>186.26</v>
      </c>
      <c r="D8334" s="2">
        <f>IFERROR(__xludf.DUMMYFUNCTION("""COMPUTED_VALUE"""),184.25)</f>
        <v>184.25</v>
      </c>
      <c r="E8334" s="2">
        <f>IFERROR(__xludf.DUMMYFUNCTION("""COMPUTED_VALUE"""),185.73)</f>
        <v>185.73</v>
      </c>
      <c r="F8334" s="2">
        <f>IFERROR(__xludf.DUMMYFUNCTION("""COMPUTED_VALUE"""),3880667.0)</f>
        <v>3880667</v>
      </c>
    </row>
    <row r="8335">
      <c r="A8335" s="3">
        <f>IFERROR(__xludf.DUMMYFUNCTION("""COMPUTED_VALUE"""),41288.666666666664)</f>
        <v>41288.66667</v>
      </c>
      <c r="B8335" s="2">
        <f>IFERROR(__xludf.DUMMYFUNCTION("""COMPUTED_VALUE"""),184.17)</f>
        <v>184.17</v>
      </c>
      <c r="C8335" s="2">
        <f>IFERROR(__xludf.DUMMYFUNCTION("""COMPUTED_VALUE"""),184.61)</f>
        <v>184.61</v>
      </c>
      <c r="D8335" s="2">
        <f>IFERROR(__xludf.DUMMYFUNCTION("""COMPUTED_VALUE"""),183.15)</f>
        <v>183.15</v>
      </c>
      <c r="E8335" s="2">
        <f>IFERROR(__xludf.DUMMYFUNCTION("""COMPUTED_VALUE"""),183.98)</f>
        <v>183.98</v>
      </c>
      <c r="F8335" s="2">
        <f>IFERROR(__xludf.DUMMYFUNCTION("""COMPUTED_VALUE"""),4174712.0)</f>
        <v>4174712</v>
      </c>
    </row>
    <row r="8336">
      <c r="A8336" s="3">
        <f>IFERROR(__xludf.DUMMYFUNCTION("""COMPUTED_VALUE"""),41289.666666666664)</f>
        <v>41289.66667</v>
      </c>
      <c r="B8336" s="2">
        <f>IFERROR(__xludf.DUMMYFUNCTION("""COMPUTED_VALUE"""),182.73)</f>
        <v>182.73</v>
      </c>
      <c r="C8336" s="2">
        <f>IFERROR(__xludf.DUMMYFUNCTION("""COMPUTED_VALUE"""),184.09)</f>
        <v>184.09</v>
      </c>
      <c r="D8336" s="2">
        <f>IFERROR(__xludf.DUMMYFUNCTION("""COMPUTED_VALUE"""),181.85)</f>
        <v>181.85</v>
      </c>
      <c r="E8336" s="2">
        <f>IFERROR(__xludf.DUMMYFUNCTION("""COMPUTED_VALUE"""),183.87)</f>
        <v>183.87</v>
      </c>
      <c r="F8336" s="2">
        <f>IFERROR(__xludf.DUMMYFUNCTION("""COMPUTED_VALUE"""),4172034.0)</f>
        <v>4172034</v>
      </c>
    </row>
    <row r="8337">
      <c r="A8337" s="3">
        <f>IFERROR(__xludf.DUMMYFUNCTION("""COMPUTED_VALUE"""),41290.666666666664)</f>
        <v>41290.66667</v>
      </c>
      <c r="B8337" s="2">
        <f>IFERROR(__xludf.DUMMYFUNCTION("""COMPUTED_VALUE"""),183.39)</f>
        <v>183.39</v>
      </c>
      <c r="C8337" s="2">
        <f>IFERROR(__xludf.DUMMYFUNCTION("""COMPUTED_VALUE"""),184.52)</f>
        <v>184.52</v>
      </c>
      <c r="D8337" s="2">
        <f>IFERROR(__xludf.DUMMYFUNCTION("""COMPUTED_VALUE"""),182.77)</f>
        <v>182.77</v>
      </c>
      <c r="E8337" s="2">
        <f>IFERROR(__xludf.DUMMYFUNCTION("""COMPUTED_VALUE"""),183.96)</f>
        <v>183.96</v>
      </c>
      <c r="F8337" s="2">
        <f>IFERROR(__xludf.DUMMYFUNCTION("""COMPUTED_VALUE"""),2963020.0)</f>
        <v>2963020</v>
      </c>
    </row>
    <row r="8338">
      <c r="A8338" s="3">
        <f>IFERROR(__xludf.DUMMYFUNCTION("""COMPUTED_VALUE"""),41291.666666666664)</f>
        <v>41291.66667</v>
      </c>
      <c r="B8338" s="2">
        <f>IFERROR(__xludf.DUMMYFUNCTION("""COMPUTED_VALUE"""),185.16)</f>
        <v>185.16</v>
      </c>
      <c r="C8338" s="2">
        <f>IFERROR(__xludf.DUMMYFUNCTION("""COMPUTED_VALUE"""),185.74)</f>
        <v>185.74</v>
      </c>
      <c r="D8338" s="2">
        <f>IFERROR(__xludf.DUMMYFUNCTION("""COMPUTED_VALUE"""),184.58)</f>
        <v>184.58</v>
      </c>
      <c r="E8338" s="2">
        <f>IFERROR(__xludf.DUMMYFUNCTION("""COMPUTED_VALUE"""),184.97)</f>
        <v>184.97</v>
      </c>
      <c r="F8338" s="2">
        <f>IFERROR(__xludf.DUMMYFUNCTION("""COMPUTED_VALUE"""),3893754.0)</f>
        <v>3893754</v>
      </c>
    </row>
    <row r="8339">
      <c r="A8339" s="3">
        <f>IFERROR(__xludf.DUMMYFUNCTION("""COMPUTED_VALUE"""),41292.666666666664)</f>
        <v>41292.66667</v>
      </c>
      <c r="B8339" s="2">
        <f>IFERROR(__xludf.DUMMYFUNCTION("""COMPUTED_VALUE"""),185.33)</f>
        <v>185.33</v>
      </c>
      <c r="C8339" s="2">
        <f>IFERROR(__xludf.DUMMYFUNCTION("""COMPUTED_VALUE"""),186.26)</f>
        <v>186.26</v>
      </c>
      <c r="D8339" s="2">
        <f>IFERROR(__xludf.DUMMYFUNCTION("""COMPUTED_VALUE"""),185.11)</f>
        <v>185.11</v>
      </c>
      <c r="E8339" s="2">
        <f>IFERROR(__xludf.DUMMYFUNCTION("""COMPUTED_VALUE"""),185.75)</f>
        <v>185.75</v>
      </c>
      <c r="F8339" s="2">
        <f>IFERROR(__xludf.DUMMYFUNCTION("""COMPUTED_VALUE"""),4560073.0)</f>
        <v>4560073</v>
      </c>
    </row>
    <row r="8340">
      <c r="A8340" s="3">
        <f>IFERROR(__xludf.DUMMYFUNCTION("""COMPUTED_VALUE"""),41296.666666666664)</f>
        <v>41296.66667</v>
      </c>
      <c r="B8340" s="2">
        <f>IFERROR(__xludf.DUMMYFUNCTION("""COMPUTED_VALUE"""),185.65)</f>
        <v>185.65</v>
      </c>
      <c r="C8340" s="2">
        <f>IFERROR(__xludf.DUMMYFUNCTION("""COMPUTED_VALUE"""),187.29)</f>
        <v>187.29</v>
      </c>
      <c r="D8340" s="2">
        <f>IFERROR(__xludf.DUMMYFUNCTION("""COMPUTED_VALUE"""),185.31)</f>
        <v>185.31</v>
      </c>
      <c r="E8340" s="2">
        <f>IFERROR(__xludf.DUMMYFUNCTION("""COMPUTED_VALUE"""),187.29)</f>
        <v>187.29</v>
      </c>
      <c r="F8340" s="2">
        <f>IFERROR(__xludf.DUMMYFUNCTION("""COMPUTED_VALUE"""),7172283.0)</f>
        <v>7172283</v>
      </c>
    </row>
    <row r="8341">
      <c r="A8341" s="3">
        <f>IFERROR(__xludf.DUMMYFUNCTION("""COMPUTED_VALUE"""),41297.666666666664)</f>
        <v>41297.66667</v>
      </c>
      <c r="B8341" s="2">
        <f>IFERROR(__xludf.DUMMYFUNCTION("""COMPUTED_VALUE"""),194.38)</f>
        <v>194.38</v>
      </c>
      <c r="C8341" s="2">
        <f>IFERROR(__xludf.DUMMYFUNCTION("""COMPUTED_VALUE"""),199.23)</f>
        <v>199.23</v>
      </c>
      <c r="D8341" s="2">
        <f>IFERROR(__xludf.DUMMYFUNCTION("""COMPUTED_VALUE"""),194.24)</f>
        <v>194.24</v>
      </c>
      <c r="E8341" s="2">
        <f>IFERROR(__xludf.DUMMYFUNCTION("""COMPUTED_VALUE"""),195.54)</f>
        <v>195.54</v>
      </c>
      <c r="F8341" s="2">
        <f>IFERROR(__xludf.DUMMYFUNCTION("""COMPUTED_VALUE"""),1.2531796E7)</f>
        <v>12531796</v>
      </c>
    </row>
    <row r="8342">
      <c r="A8342" s="3">
        <f>IFERROR(__xludf.DUMMYFUNCTION("""COMPUTED_VALUE"""),41298.666666666664)</f>
        <v>41298.66667</v>
      </c>
      <c r="B8342" s="2">
        <f>IFERROR(__xludf.DUMMYFUNCTION("""COMPUTED_VALUE"""),194.77)</f>
        <v>194.77</v>
      </c>
      <c r="C8342" s="2">
        <f>IFERROR(__xludf.DUMMYFUNCTION("""COMPUTED_VALUE"""),195.87)</f>
        <v>195.87</v>
      </c>
      <c r="D8342" s="2">
        <f>IFERROR(__xludf.DUMMYFUNCTION("""COMPUTED_VALUE"""),193.97)</f>
        <v>193.97</v>
      </c>
      <c r="E8342" s="2">
        <f>IFERROR(__xludf.DUMMYFUNCTION("""COMPUTED_VALUE"""),195.25)</f>
        <v>195.25</v>
      </c>
      <c r="F8342" s="2">
        <f>IFERROR(__xludf.DUMMYFUNCTION("""COMPUTED_VALUE"""),4447452.0)</f>
        <v>4447452</v>
      </c>
    </row>
    <row r="8343">
      <c r="A8343" s="3">
        <f>IFERROR(__xludf.DUMMYFUNCTION("""COMPUTED_VALUE"""),41299.666666666664)</f>
        <v>41299.66667</v>
      </c>
      <c r="B8343" s="2">
        <f>IFERROR(__xludf.DUMMYFUNCTION("""COMPUTED_VALUE"""),195.28)</f>
        <v>195.28</v>
      </c>
      <c r="C8343" s="2">
        <f>IFERROR(__xludf.DUMMYFUNCTION("""COMPUTED_VALUE"""),195.98)</f>
        <v>195.98</v>
      </c>
      <c r="D8343" s="2">
        <f>IFERROR(__xludf.DUMMYFUNCTION("""COMPUTED_VALUE"""),194.98)</f>
        <v>194.98</v>
      </c>
      <c r="E8343" s="2">
        <f>IFERROR(__xludf.DUMMYFUNCTION("""COMPUTED_VALUE"""),195.78)</f>
        <v>195.78</v>
      </c>
      <c r="F8343" s="2">
        <f>IFERROR(__xludf.DUMMYFUNCTION("""COMPUTED_VALUE"""),3359187.0)</f>
        <v>3359187</v>
      </c>
    </row>
    <row r="8344">
      <c r="A8344" s="3">
        <f>IFERROR(__xludf.DUMMYFUNCTION("""COMPUTED_VALUE"""),41302.666666666664)</f>
        <v>41302.66667</v>
      </c>
      <c r="B8344" s="2">
        <f>IFERROR(__xludf.DUMMYFUNCTION("""COMPUTED_VALUE"""),195.67)</f>
        <v>195.67</v>
      </c>
      <c r="C8344" s="2">
        <f>IFERROR(__xludf.DUMMYFUNCTION("""COMPUTED_VALUE"""),196.97)</f>
        <v>196.97</v>
      </c>
      <c r="D8344" s="2">
        <f>IFERROR(__xludf.DUMMYFUNCTION("""COMPUTED_VALUE"""),195.13)</f>
        <v>195.13</v>
      </c>
      <c r="E8344" s="2">
        <f>IFERROR(__xludf.DUMMYFUNCTION("""COMPUTED_VALUE"""),195.74)</f>
        <v>195.74</v>
      </c>
      <c r="F8344" s="2">
        <f>IFERROR(__xludf.DUMMYFUNCTION("""COMPUTED_VALUE"""),2823715.0)</f>
        <v>2823715</v>
      </c>
    </row>
    <row r="8345">
      <c r="A8345" s="3">
        <f>IFERROR(__xludf.DUMMYFUNCTION("""COMPUTED_VALUE"""),41303.666666666664)</f>
        <v>41303.66667</v>
      </c>
      <c r="B8345" s="2">
        <f>IFERROR(__xludf.DUMMYFUNCTION("""COMPUTED_VALUE"""),195.18)</f>
        <v>195.18</v>
      </c>
      <c r="C8345" s="2">
        <f>IFERROR(__xludf.DUMMYFUNCTION("""COMPUTED_VALUE"""),196.51)</f>
        <v>196.51</v>
      </c>
      <c r="D8345" s="2">
        <f>IFERROR(__xludf.DUMMYFUNCTION("""COMPUTED_VALUE"""),194.51)</f>
        <v>194.51</v>
      </c>
      <c r="E8345" s="2">
        <f>IFERROR(__xludf.DUMMYFUNCTION("""COMPUTED_VALUE"""),194.76)</f>
        <v>194.76</v>
      </c>
      <c r="F8345" s="2">
        <f>IFERROR(__xludf.DUMMYFUNCTION("""COMPUTED_VALUE"""),3617743.0)</f>
        <v>3617743</v>
      </c>
    </row>
    <row r="8346">
      <c r="A8346" s="3">
        <f>IFERROR(__xludf.DUMMYFUNCTION("""COMPUTED_VALUE"""),41304.666666666664)</f>
        <v>41304.66667</v>
      </c>
      <c r="B8346" s="2">
        <f>IFERROR(__xludf.DUMMYFUNCTION("""COMPUTED_VALUE"""),194.56)</f>
        <v>194.56</v>
      </c>
      <c r="C8346" s="2">
        <f>IFERROR(__xludf.DUMMYFUNCTION("""COMPUTED_VALUE"""),195.69)</f>
        <v>195.69</v>
      </c>
      <c r="D8346" s="2">
        <f>IFERROR(__xludf.DUMMYFUNCTION("""COMPUTED_VALUE"""),194.08)</f>
        <v>194.08</v>
      </c>
      <c r="E8346" s="2">
        <f>IFERROR(__xludf.DUMMYFUNCTION("""COMPUTED_VALUE"""),194.39)</f>
        <v>194.39</v>
      </c>
      <c r="F8346" s="2">
        <f>IFERROR(__xludf.DUMMYFUNCTION("""COMPUTED_VALUE"""),2998524.0)</f>
        <v>2998524</v>
      </c>
    </row>
    <row r="8347">
      <c r="A8347" s="3">
        <f>IFERROR(__xludf.DUMMYFUNCTION("""COMPUTED_VALUE"""),41305.666666666664)</f>
        <v>41305.66667</v>
      </c>
      <c r="B8347" s="2">
        <f>IFERROR(__xludf.DUMMYFUNCTION("""COMPUTED_VALUE"""),194.2)</f>
        <v>194.2</v>
      </c>
      <c r="C8347" s="2">
        <f>IFERROR(__xludf.DUMMYFUNCTION("""COMPUTED_VALUE"""),195.3)</f>
        <v>195.3</v>
      </c>
      <c r="D8347" s="2">
        <f>IFERROR(__xludf.DUMMYFUNCTION("""COMPUTED_VALUE"""),193.86)</f>
        <v>193.86</v>
      </c>
      <c r="E8347" s="2">
        <f>IFERROR(__xludf.DUMMYFUNCTION("""COMPUTED_VALUE"""),193.97)</f>
        <v>193.97</v>
      </c>
      <c r="F8347" s="2">
        <f>IFERROR(__xludf.DUMMYFUNCTION("""COMPUTED_VALUE"""),3091506.0)</f>
        <v>3091506</v>
      </c>
    </row>
    <row r="8348">
      <c r="A8348" s="3">
        <f>IFERROR(__xludf.DUMMYFUNCTION("""COMPUTED_VALUE"""),41306.666666666664)</f>
        <v>41306.66667</v>
      </c>
      <c r="B8348" s="2">
        <f>IFERROR(__xludf.DUMMYFUNCTION("""COMPUTED_VALUE"""),195.47)</f>
        <v>195.47</v>
      </c>
      <c r="C8348" s="2">
        <f>IFERROR(__xludf.DUMMYFUNCTION("""COMPUTED_VALUE"""),196.14)</f>
        <v>196.14</v>
      </c>
      <c r="D8348" s="2">
        <f>IFERROR(__xludf.DUMMYFUNCTION("""COMPUTED_VALUE"""),194.7)</f>
        <v>194.7</v>
      </c>
      <c r="E8348" s="2">
        <f>IFERROR(__xludf.DUMMYFUNCTION("""COMPUTED_VALUE"""),195.98)</f>
        <v>195.98</v>
      </c>
      <c r="F8348" s="2">
        <f>IFERROR(__xludf.DUMMYFUNCTION("""COMPUTED_VALUE"""),3371154.0)</f>
        <v>3371154</v>
      </c>
    </row>
    <row r="8349">
      <c r="A8349" s="3">
        <f>IFERROR(__xludf.DUMMYFUNCTION("""COMPUTED_VALUE"""),41309.666666666664)</f>
        <v>41309.66667</v>
      </c>
      <c r="B8349" s="2">
        <f>IFERROR(__xludf.DUMMYFUNCTION("""COMPUTED_VALUE"""),195.03)</f>
        <v>195.03</v>
      </c>
      <c r="C8349" s="2">
        <f>IFERROR(__xludf.DUMMYFUNCTION("""COMPUTED_VALUE"""),195.83)</f>
        <v>195.83</v>
      </c>
      <c r="D8349" s="2">
        <f>IFERROR(__xludf.DUMMYFUNCTION("""COMPUTED_VALUE"""),194.44)</f>
        <v>194.44</v>
      </c>
      <c r="E8349" s="2">
        <f>IFERROR(__xludf.DUMMYFUNCTION("""COMPUTED_VALUE"""),194.65)</f>
        <v>194.65</v>
      </c>
      <c r="F8349" s="2">
        <f>IFERROR(__xludf.DUMMYFUNCTION("""COMPUTED_VALUE"""),3188819.0)</f>
        <v>3188819</v>
      </c>
    </row>
    <row r="8350">
      <c r="A8350" s="3">
        <f>IFERROR(__xludf.DUMMYFUNCTION("""COMPUTED_VALUE"""),41310.666666666664)</f>
        <v>41310.66667</v>
      </c>
      <c r="B8350" s="2">
        <f>IFERROR(__xludf.DUMMYFUNCTION("""COMPUTED_VALUE"""),195.15)</f>
        <v>195.15</v>
      </c>
      <c r="C8350" s="2">
        <f>IFERROR(__xludf.DUMMYFUNCTION("""COMPUTED_VALUE"""),195.57)</f>
        <v>195.57</v>
      </c>
      <c r="D8350" s="2">
        <f>IFERROR(__xludf.DUMMYFUNCTION("""COMPUTED_VALUE"""),193.43)</f>
        <v>193.43</v>
      </c>
      <c r="E8350" s="2">
        <f>IFERROR(__xludf.DUMMYFUNCTION("""COMPUTED_VALUE"""),193.7)</f>
        <v>193.7</v>
      </c>
      <c r="F8350" s="2">
        <f>IFERROR(__xludf.DUMMYFUNCTION("""COMPUTED_VALUE"""),3636837.0)</f>
        <v>3636837</v>
      </c>
    </row>
    <row r="8351">
      <c r="A8351" s="3">
        <f>IFERROR(__xludf.DUMMYFUNCTION("""COMPUTED_VALUE"""),41311.666666666664)</f>
        <v>41311.66667</v>
      </c>
      <c r="B8351" s="2">
        <f>IFERROR(__xludf.DUMMYFUNCTION("""COMPUTED_VALUE"""),191.41)</f>
        <v>191.41</v>
      </c>
      <c r="C8351" s="2">
        <f>IFERROR(__xludf.DUMMYFUNCTION("""COMPUTED_VALUE"""),192.26)</f>
        <v>192.26</v>
      </c>
      <c r="D8351" s="2">
        <f>IFERROR(__xludf.DUMMYFUNCTION("""COMPUTED_VALUE"""),190.61)</f>
        <v>190.61</v>
      </c>
      <c r="E8351" s="2">
        <f>IFERROR(__xludf.DUMMYFUNCTION("""COMPUTED_VALUE"""),192.01)</f>
        <v>192.01</v>
      </c>
      <c r="F8351" s="2">
        <f>IFERROR(__xludf.DUMMYFUNCTION("""COMPUTED_VALUE"""),3624203.0)</f>
        <v>3624203</v>
      </c>
    </row>
    <row r="8352">
      <c r="A8352" s="3">
        <f>IFERROR(__xludf.DUMMYFUNCTION("""COMPUTED_VALUE"""),41312.666666666664)</f>
        <v>41312.66667</v>
      </c>
      <c r="B8352" s="2">
        <f>IFERROR(__xludf.DUMMYFUNCTION("""COMPUTED_VALUE"""),191.63)</f>
        <v>191.63</v>
      </c>
      <c r="C8352" s="2">
        <f>IFERROR(__xludf.DUMMYFUNCTION("""COMPUTED_VALUE"""),191.9)</f>
        <v>191.9</v>
      </c>
      <c r="D8352" s="2">
        <f>IFERROR(__xludf.DUMMYFUNCTION("""COMPUTED_VALUE"""),189.77)</f>
        <v>189.77</v>
      </c>
      <c r="E8352" s="2">
        <f>IFERROR(__xludf.DUMMYFUNCTION("""COMPUTED_VALUE"""),190.78)</f>
        <v>190.78</v>
      </c>
      <c r="F8352" s="2">
        <f>IFERROR(__xludf.DUMMYFUNCTION("""COMPUTED_VALUE"""),3076793.0)</f>
        <v>3076793</v>
      </c>
    </row>
    <row r="8353">
      <c r="A8353" s="3">
        <f>IFERROR(__xludf.DUMMYFUNCTION("""COMPUTED_VALUE"""),41313.666666666664)</f>
        <v>41313.66667</v>
      </c>
      <c r="B8353" s="2">
        <f>IFERROR(__xludf.DUMMYFUNCTION("""COMPUTED_VALUE"""),191.0)</f>
        <v>191</v>
      </c>
      <c r="C8353" s="2">
        <f>IFERROR(__xludf.DUMMYFUNCTION("""COMPUTED_VALUE"""),193.03)</f>
        <v>193.03</v>
      </c>
      <c r="D8353" s="2">
        <f>IFERROR(__xludf.DUMMYFUNCTION("""COMPUTED_VALUE"""),190.73)</f>
        <v>190.73</v>
      </c>
      <c r="E8353" s="2">
        <f>IFERROR(__xludf.DUMMYFUNCTION("""COMPUTED_VALUE"""),192.64)</f>
        <v>192.64</v>
      </c>
      <c r="F8353" s="2">
        <f>IFERROR(__xludf.DUMMYFUNCTION("""COMPUTED_VALUE"""),2893254.0)</f>
        <v>2893254</v>
      </c>
    </row>
    <row r="8354">
      <c r="A8354" s="3">
        <f>IFERROR(__xludf.DUMMYFUNCTION("""COMPUTED_VALUE"""),41316.666666666664)</f>
        <v>41316.66667</v>
      </c>
      <c r="B8354" s="2">
        <f>IFERROR(__xludf.DUMMYFUNCTION("""COMPUTED_VALUE"""),191.97)</f>
        <v>191.97</v>
      </c>
      <c r="C8354" s="2">
        <f>IFERROR(__xludf.DUMMYFUNCTION("""COMPUTED_VALUE"""),192.9)</f>
        <v>192.9</v>
      </c>
      <c r="D8354" s="2">
        <f>IFERROR(__xludf.DUMMYFUNCTION("""COMPUTED_VALUE"""),190.79)</f>
        <v>190.79</v>
      </c>
      <c r="E8354" s="2">
        <f>IFERROR(__xludf.DUMMYFUNCTION("""COMPUTED_VALUE"""),191.19)</f>
        <v>191.19</v>
      </c>
      <c r="F8354" s="2">
        <f>IFERROR(__xludf.DUMMYFUNCTION("""COMPUTED_VALUE"""),2944651.0)</f>
        <v>2944651</v>
      </c>
    </row>
    <row r="8355">
      <c r="A8355" s="3">
        <f>IFERROR(__xludf.DUMMYFUNCTION("""COMPUTED_VALUE"""),41317.666666666664)</f>
        <v>41317.66667</v>
      </c>
      <c r="B8355" s="2">
        <f>IFERROR(__xludf.DUMMYFUNCTION("""COMPUTED_VALUE"""),191.04)</f>
        <v>191.04</v>
      </c>
      <c r="C8355" s="2">
        <f>IFERROR(__xludf.DUMMYFUNCTION("""COMPUTED_VALUE"""),191.73)</f>
        <v>191.73</v>
      </c>
      <c r="D8355" s="2">
        <f>IFERROR(__xludf.DUMMYFUNCTION("""COMPUTED_VALUE"""),190.1)</f>
        <v>190.1</v>
      </c>
      <c r="E8355" s="2">
        <f>IFERROR(__xludf.DUMMYFUNCTION("""COMPUTED_VALUE"""),191.07)</f>
        <v>191.07</v>
      </c>
      <c r="F8355" s="2">
        <f>IFERROR(__xludf.DUMMYFUNCTION("""COMPUTED_VALUE"""),2461779.0)</f>
        <v>2461779</v>
      </c>
    </row>
    <row r="8356">
      <c r="A8356" s="3">
        <f>IFERROR(__xludf.DUMMYFUNCTION("""COMPUTED_VALUE"""),41318.666666666664)</f>
        <v>41318.66667</v>
      </c>
      <c r="B8356" s="2">
        <f>IFERROR(__xludf.DUMMYFUNCTION("""COMPUTED_VALUE"""),191.65)</f>
        <v>191.65</v>
      </c>
      <c r="C8356" s="2">
        <f>IFERROR(__xludf.DUMMYFUNCTION("""COMPUTED_VALUE"""),191.94)</f>
        <v>191.94</v>
      </c>
      <c r="D8356" s="2">
        <f>IFERROR(__xludf.DUMMYFUNCTION("""COMPUTED_VALUE"""),190.62)</f>
        <v>190.62</v>
      </c>
      <c r="E8356" s="2">
        <f>IFERROR(__xludf.DUMMYFUNCTION("""COMPUTED_VALUE"""),191.12)</f>
        <v>191.12</v>
      </c>
      <c r="F8356" s="2">
        <f>IFERROR(__xludf.DUMMYFUNCTION("""COMPUTED_VALUE"""),2169757.0)</f>
        <v>2169757</v>
      </c>
    </row>
    <row r="8357">
      <c r="A8357" s="3">
        <f>IFERROR(__xludf.DUMMYFUNCTION("""COMPUTED_VALUE"""),41319.666666666664)</f>
        <v>41319.66667</v>
      </c>
      <c r="B8357" s="2">
        <f>IFERROR(__xludf.DUMMYFUNCTION("""COMPUTED_VALUE"""),190.77)</f>
        <v>190.77</v>
      </c>
      <c r="C8357" s="2">
        <f>IFERROR(__xludf.DUMMYFUNCTION("""COMPUTED_VALUE"""),191.34)</f>
        <v>191.34</v>
      </c>
      <c r="D8357" s="2">
        <f>IFERROR(__xludf.DUMMYFUNCTION("""COMPUTED_VALUE"""),190.33)</f>
        <v>190.33</v>
      </c>
      <c r="E8357" s="2">
        <f>IFERROR(__xludf.DUMMYFUNCTION("""COMPUTED_VALUE"""),190.7)</f>
        <v>190.7</v>
      </c>
      <c r="F8357" s="2">
        <f>IFERROR(__xludf.DUMMYFUNCTION("""COMPUTED_VALUE"""),3294126.0)</f>
        <v>3294126</v>
      </c>
    </row>
    <row r="8358">
      <c r="A8358" s="3">
        <f>IFERROR(__xludf.DUMMYFUNCTION("""COMPUTED_VALUE"""),41320.666666666664)</f>
        <v>41320.66667</v>
      </c>
      <c r="B8358" s="2">
        <f>IFERROR(__xludf.DUMMYFUNCTION("""COMPUTED_VALUE"""),191.01)</f>
        <v>191.01</v>
      </c>
      <c r="C8358" s="2">
        <f>IFERROR(__xludf.DUMMYFUNCTION("""COMPUTED_VALUE"""),192.23)</f>
        <v>192.23</v>
      </c>
      <c r="D8358" s="2">
        <f>IFERROR(__xludf.DUMMYFUNCTION("""COMPUTED_VALUE"""),190.86)</f>
        <v>190.86</v>
      </c>
      <c r="E8358" s="2">
        <f>IFERROR(__xludf.DUMMYFUNCTION("""COMPUTED_VALUE"""),191.97)</f>
        <v>191.97</v>
      </c>
      <c r="F8358" s="2">
        <f>IFERROR(__xludf.DUMMYFUNCTION("""COMPUTED_VALUE"""),3627887.0)</f>
        <v>3627887</v>
      </c>
    </row>
    <row r="8359">
      <c r="A8359" s="3">
        <f>IFERROR(__xludf.DUMMYFUNCTION("""COMPUTED_VALUE"""),41324.666666666664)</f>
        <v>41324.66667</v>
      </c>
      <c r="B8359" s="2">
        <f>IFERROR(__xludf.DUMMYFUNCTION("""COMPUTED_VALUE"""),191.61)</f>
        <v>191.61</v>
      </c>
      <c r="C8359" s="2">
        <f>IFERROR(__xludf.DUMMYFUNCTION("""COMPUTED_VALUE"""),192.84)</f>
        <v>192.84</v>
      </c>
      <c r="D8359" s="2">
        <f>IFERROR(__xludf.DUMMYFUNCTION("""COMPUTED_VALUE"""),191.24)</f>
        <v>191.24</v>
      </c>
      <c r="E8359" s="2">
        <f>IFERROR(__xludf.DUMMYFUNCTION("""COMPUTED_VALUE"""),191.34)</f>
        <v>191.34</v>
      </c>
      <c r="F8359" s="2">
        <f>IFERROR(__xludf.DUMMYFUNCTION("""COMPUTED_VALUE"""),2998317.0)</f>
        <v>2998317</v>
      </c>
    </row>
    <row r="8360">
      <c r="A8360" s="3">
        <f>IFERROR(__xludf.DUMMYFUNCTION("""COMPUTED_VALUE"""),41325.666666666664)</f>
        <v>41325.66667</v>
      </c>
      <c r="B8360" s="2">
        <f>IFERROR(__xludf.DUMMYFUNCTION("""COMPUTED_VALUE"""),191.63)</f>
        <v>191.63</v>
      </c>
      <c r="C8360" s="2">
        <f>IFERROR(__xludf.DUMMYFUNCTION("""COMPUTED_VALUE"""),192.68)</f>
        <v>192.68</v>
      </c>
      <c r="D8360" s="2">
        <f>IFERROR(__xludf.DUMMYFUNCTION("""COMPUTED_VALUE"""),189.94)</f>
        <v>189.94</v>
      </c>
      <c r="E8360" s="2">
        <f>IFERROR(__xludf.DUMMYFUNCTION("""COMPUTED_VALUE"""),190.37)</f>
        <v>190.37</v>
      </c>
      <c r="F8360" s="2">
        <f>IFERROR(__xludf.DUMMYFUNCTION("""COMPUTED_VALUE"""),3715411.0)</f>
        <v>3715411</v>
      </c>
    </row>
    <row r="8361">
      <c r="A8361" s="3">
        <f>IFERROR(__xludf.DUMMYFUNCTION("""COMPUTED_VALUE"""),41326.666666666664)</f>
        <v>41326.66667</v>
      </c>
      <c r="B8361" s="2">
        <f>IFERROR(__xludf.DUMMYFUNCTION("""COMPUTED_VALUE"""),189.72)</f>
        <v>189.72</v>
      </c>
      <c r="C8361" s="2">
        <f>IFERROR(__xludf.DUMMYFUNCTION("""COMPUTED_VALUE"""),190.14)</f>
        <v>190.14</v>
      </c>
      <c r="D8361" s="2">
        <f>IFERROR(__xludf.DUMMYFUNCTION("""COMPUTED_VALUE"""),189.23)</f>
        <v>189.23</v>
      </c>
      <c r="E8361" s="2">
        <f>IFERROR(__xludf.DUMMYFUNCTION("""COMPUTED_VALUE"""),189.44)</f>
        <v>189.44</v>
      </c>
      <c r="F8361" s="2">
        <f>IFERROR(__xludf.DUMMYFUNCTION("""COMPUTED_VALUE"""),3923051.0)</f>
        <v>3923051</v>
      </c>
    </row>
    <row r="8362">
      <c r="A8362" s="3">
        <f>IFERROR(__xludf.DUMMYFUNCTION("""COMPUTED_VALUE"""),41327.666666666664)</f>
        <v>41327.66667</v>
      </c>
      <c r="B8362" s="2">
        <f>IFERROR(__xludf.DUMMYFUNCTION("""COMPUTED_VALUE"""),190.3)</f>
        <v>190.3</v>
      </c>
      <c r="C8362" s="2">
        <f>IFERROR(__xludf.DUMMYFUNCTION("""COMPUTED_VALUE"""),192.07)</f>
        <v>192.07</v>
      </c>
      <c r="D8362" s="2">
        <f>IFERROR(__xludf.DUMMYFUNCTION("""COMPUTED_VALUE"""),189.92)</f>
        <v>189.92</v>
      </c>
      <c r="E8362" s="2">
        <f>IFERROR(__xludf.DUMMYFUNCTION("""COMPUTED_VALUE"""),192.07)</f>
        <v>192.07</v>
      </c>
      <c r="F8362" s="2">
        <f>IFERROR(__xludf.DUMMYFUNCTION("""COMPUTED_VALUE"""),3107976.0)</f>
        <v>3107976</v>
      </c>
    </row>
    <row r="8363">
      <c r="A8363" s="3">
        <f>IFERROR(__xludf.DUMMYFUNCTION("""COMPUTED_VALUE"""),41330.666666666664)</f>
        <v>41330.66667</v>
      </c>
      <c r="B8363" s="2">
        <f>IFERROR(__xludf.DUMMYFUNCTION("""COMPUTED_VALUE"""),192.63)</f>
        <v>192.63</v>
      </c>
      <c r="C8363" s="2">
        <f>IFERROR(__xludf.DUMMYFUNCTION("""COMPUTED_VALUE"""),193.41)</f>
        <v>193.41</v>
      </c>
      <c r="D8363" s="2">
        <f>IFERROR(__xludf.DUMMYFUNCTION("""COMPUTED_VALUE"""),188.65)</f>
        <v>188.65</v>
      </c>
      <c r="E8363" s="2">
        <f>IFERROR(__xludf.DUMMYFUNCTION("""COMPUTED_VALUE"""),188.65)</f>
        <v>188.65</v>
      </c>
      <c r="F8363" s="2">
        <f>IFERROR(__xludf.DUMMYFUNCTION("""COMPUTED_VALUE"""),3847976.0)</f>
        <v>3847976</v>
      </c>
    </row>
    <row r="8364">
      <c r="A8364" s="3">
        <f>IFERROR(__xludf.DUMMYFUNCTION("""COMPUTED_VALUE"""),41331.666666666664)</f>
        <v>41331.66667</v>
      </c>
      <c r="B8364" s="2">
        <f>IFERROR(__xludf.DUMMYFUNCTION("""COMPUTED_VALUE"""),189.72)</f>
        <v>189.72</v>
      </c>
      <c r="C8364" s="2">
        <f>IFERROR(__xludf.DUMMYFUNCTION("""COMPUTED_VALUE"""),190.94)</f>
        <v>190.94</v>
      </c>
      <c r="D8364" s="2">
        <f>IFERROR(__xludf.DUMMYFUNCTION("""COMPUTED_VALUE"""),188.97)</f>
        <v>188.97</v>
      </c>
      <c r="E8364" s="2">
        <f>IFERROR(__xludf.DUMMYFUNCTION("""COMPUTED_VALUE"""),190.21)</f>
        <v>190.21</v>
      </c>
      <c r="F8364" s="2">
        <f>IFERROR(__xludf.DUMMYFUNCTION("""COMPUTED_VALUE"""),3391562.0)</f>
        <v>3391562</v>
      </c>
    </row>
    <row r="8365">
      <c r="A8365" s="3">
        <f>IFERROR(__xludf.DUMMYFUNCTION("""COMPUTED_VALUE"""),41332.666666666664)</f>
        <v>41332.66667</v>
      </c>
      <c r="B8365" s="2">
        <f>IFERROR(__xludf.DUMMYFUNCTION("""COMPUTED_VALUE"""),189.97)</f>
        <v>189.97</v>
      </c>
      <c r="C8365" s="2">
        <f>IFERROR(__xludf.DUMMYFUNCTION("""COMPUTED_VALUE"""),193.66)</f>
        <v>193.66</v>
      </c>
      <c r="D8365" s="2">
        <f>IFERROR(__xludf.DUMMYFUNCTION("""COMPUTED_VALUE"""),189.7)</f>
        <v>189.7</v>
      </c>
      <c r="E8365" s="2">
        <f>IFERROR(__xludf.DUMMYFUNCTION("""COMPUTED_VALUE"""),193.26)</f>
        <v>193.26</v>
      </c>
      <c r="F8365" s="2">
        <f>IFERROR(__xludf.DUMMYFUNCTION("""COMPUTED_VALUE"""),4185545.0)</f>
        <v>4185545</v>
      </c>
    </row>
    <row r="8366">
      <c r="A8366" s="3">
        <f>IFERROR(__xludf.DUMMYFUNCTION("""COMPUTED_VALUE"""),41333.666666666664)</f>
        <v>41333.66667</v>
      </c>
      <c r="B8366" s="2">
        <f>IFERROR(__xludf.DUMMYFUNCTION("""COMPUTED_VALUE"""),193.12)</f>
        <v>193.12</v>
      </c>
      <c r="C8366" s="2">
        <f>IFERROR(__xludf.DUMMYFUNCTION("""COMPUTED_VALUE"""),194.02)</f>
        <v>194.02</v>
      </c>
      <c r="D8366" s="2">
        <f>IFERROR(__xludf.DUMMYFUNCTION("""COMPUTED_VALUE"""),191.79)</f>
        <v>191.79</v>
      </c>
      <c r="E8366" s="2">
        <f>IFERROR(__xludf.DUMMYFUNCTION("""COMPUTED_VALUE"""),191.83)</f>
        <v>191.83</v>
      </c>
      <c r="F8366" s="2">
        <f>IFERROR(__xludf.DUMMYFUNCTION("""COMPUTED_VALUE"""),4689998.0)</f>
        <v>4689998</v>
      </c>
    </row>
    <row r="8367">
      <c r="A8367" s="3">
        <f>IFERROR(__xludf.DUMMYFUNCTION("""COMPUTED_VALUE"""),41334.666666666664)</f>
        <v>41334.66667</v>
      </c>
      <c r="B8367" s="2">
        <f>IFERROR(__xludf.DUMMYFUNCTION("""COMPUTED_VALUE"""),191.65)</f>
        <v>191.65</v>
      </c>
      <c r="C8367" s="2">
        <f>IFERROR(__xludf.DUMMYFUNCTION("""COMPUTED_VALUE"""),193.84)</f>
        <v>193.84</v>
      </c>
      <c r="D8367" s="2">
        <f>IFERROR(__xludf.DUMMYFUNCTION("""COMPUTED_VALUE"""),190.42)</f>
        <v>190.42</v>
      </c>
      <c r="E8367" s="2">
        <f>IFERROR(__xludf.DUMMYFUNCTION("""COMPUTED_VALUE"""),193.81)</f>
        <v>193.81</v>
      </c>
      <c r="F8367" s="2">
        <f>IFERROR(__xludf.DUMMYFUNCTION("""COMPUTED_VALUE"""),3309434.0)</f>
        <v>3309434</v>
      </c>
    </row>
    <row r="8368">
      <c r="A8368" s="3">
        <f>IFERROR(__xludf.DUMMYFUNCTION("""COMPUTED_VALUE"""),41337.666666666664)</f>
        <v>41337.66667</v>
      </c>
      <c r="B8368" s="2">
        <f>IFERROR(__xludf.DUMMYFUNCTION("""COMPUTED_VALUE"""),193.51)</f>
        <v>193.51</v>
      </c>
      <c r="C8368" s="2">
        <f>IFERROR(__xludf.DUMMYFUNCTION("""COMPUTED_VALUE"""),195.99)</f>
        <v>195.99</v>
      </c>
      <c r="D8368" s="2">
        <f>IFERROR(__xludf.DUMMYFUNCTION("""COMPUTED_VALUE"""),193.47)</f>
        <v>193.47</v>
      </c>
      <c r="E8368" s="2">
        <f>IFERROR(__xludf.DUMMYFUNCTION("""COMPUTED_VALUE"""),195.99)</f>
        <v>195.99</v>
      </c>
      <c r="F8368" s="2">
        <f>IFERROR(__xludf.DUMMYFUNCTION("""COMPUTED_VALUE"""),3693365.0)</f>
        <v>3693365</v>
      </c>
    </row>
    <row r="8369">
      <c r="A8369" s="3">
        <f>IFERROR(__xludf.DUMMYFUNCTION("""COMPUTED_VALUE"""),41338.666666666664)</f>
        <v>41338.66667</v>
      </c>
      <c r="B8369" s="2">
        <f>IFERROR(__xludf.DUMMYFUNCTION("""COMPUTED_VALUE"""),196.63)</f>
        <v>196.63</v>
      </c>
      <c r="C8369" s="2">
        <f>IFERROR(__xludf.DUMMYFUNCTION("""COMPUTED_VALUE"""),198.39)</f>
        <v>198.39</v>
      </c>
      <c r="D8369" s="2">
        <f>IFERROR(__xludf.DUMMYFUNCTION("""COMPUTED_VALUE"""),196.47)</f>
        <v>196.47</v>
      </c>
      <c r="E8369" s="2">
        <f>IFERROR(__xludf.DUMMYFUNCTION("""COMPUTED_VALUE"""),197.27)</f>
        <v>197.27</v>
      </c>
      <c r="F8369" s="2">
        <f>IFERROR(__xludf.DUMMYFUNCTION("""COMPUTED_VALUE"""),3807706.0)</f>
        <v>3807706</v>
      </c>
    </row>
    <row r="8370">
      <c r="A8370" s="3">
        <f>IFERROR(__xludf.DUMMYFUNCTION("""COMPUTED_VALUE"""),41339.666666666664)</f>
        <v>41339.66667</v>
      </c>
      <c r="B8370" s="2">
        <f>IFERROR(__xludf.DUMMYFUNCTION("""COMPUTED_VALUE"""),197.75)</f>
        <v>197.75</v>
      </c>
      <c r="C8370" s="2">
        <f>IFERROR(__xludf.DUMMYFUNCTION("""COMPUTED_VALUE"""),199.14)</f>
        <v>199.14</v>
      </c>
      <c r="D8370" s="2">
        <f>IFERROR(__xludf.DUMMYFUNCTION("""COMPUTED_VALUE"""),197.39)</f>
        <v>197.39</v>
      </c>
      <c r="E8370" s="2">
        <f>IFERROR(__xludf.DUMMYFUNCTION("""COMPUTED_VALUE"""),199.04)</f>
        <v>199.04</v>
      </c>
      <c r="F8370" s="2">
        <f>IFERROR(__xludf.DUMMYFUNCTION("""COMPUTED_VALUE"""),3594899.0)</f>
        <v>3594899</v>
      </c>
    </row>
    <row r="8371">
      <c r="A8371" s="3">
        <f>IFERROR(__xludf.DUMMYFUNCTION("""COMPUTED_VALUE"""),41340.666666666664)</f>
        <v>41340.66667</v>
      </c>
      <c r="B8371" s="2">
        <f>IFERROR(__xludf.DUMMYFUNCTION("""COMPUTED_VALUE"""),198.95)</f>
        <v>198.95</v>
      </c>
      <c r="C8371" s="2">
        <f>IFERROR(__xludf.DUMMYFUNCTION("""COMPUTED_VALUE"""),200.2)</f>
        <v>200.2</v>
      </c>
      <c r="D8371" s="2">
        <f>IFERROR(__xludf.DUMMYFUNCTION("""COMPUTED_VALUE"""),198.9)</f>
        <v>198.9</v>
      </c>
      <c r="E8371" s="2">
        <f>IFERROR(__xludf.DUMMYFUNCTION("""COMPUTED_VALUE"""),200.03)</f>
        <v>200.03</v>
      </c>
      <c r="F8371" s="2">
        <f>IFERROR(__xludf.DUMMYFUNCTION("""COMPUTED_VALUE"""),3884317.0)</f>
        <v>3884317</v>
      </c>
    </row>
    <row r="8372">
      <c r="A8372" s="3">
        <f>IFERROR(__xludf.DUMMYFUNCTION("""COMPUTED_VALUE"""),41341.666666666664)</f>
        <v>41341.66667</v>
      </c>
      <c r="B8372" s="2">
        <f>IFERROR(__xludf.DUMMYFUNCTION("""COMPUTED_VALUE"""),200.44)</f>
        <v>200.44</v>
      </c>
      <c r="C8372" s="2">
        <f>IFERROR(__xludf.DUMMYFUNCTION("""COMPUTED_VALUE"""),201.29)</f>
        <v>201.29</v>
      </c>
      <c r="D8372" s="2">
        <f>IFERROR(__xludf.DUMMYFUNCTION("""COMPUTED_VALUE"""),200.04)</f>
        <v>200.04</v>
      </c>
      <c r="E8372" s="2">
        <f>IFERROR(__xludf.DUMMYFUNCTION("""COMPUTED_VALUE"""),200.95)</f>
        <v>200.95</v>
      </c>
      <c r="F8372" s="2">
        <f>IFERROR(__xludf.DUMMYFUNCTION("""COMPUTED_VALUE"""),3700986.0)</f>
        <v>3700986</v>
      </c>
    </row>
    <row r="8373">
      <c r="A8373" s="3">
        <f>IFERROR(__xludf.DUMMYFUNCTION("""COMPUTED_VALUE"""),41344.666666666664)</f>
        <v>41344.66667</v>
      </c>
      <c r="B8373" s="2">
        <f>IFERROR(__xludf.DUMMYFUNCTION("""COMPUTED_VALUE"""),200.62)</f>
        <v>200.62</v>
      </c>
      <c r="C8373" s="2">
        <f>IFERROR(__xludf.DUMMYFUNCTION("""COMPUTED_VALUE"""),200.78)</f>
        <v>200.78</v>
      </c>
      <c r="D8373" s="2">
        <f>IFERROR(__xludf.DUMMYFUNCTION("""COMPUTED_VALUE"""),199.67)</f>
        <v>199.67</v>
      </c>
      <c r="E8373" s="2">
        <f>IFERROR(__xludf.DUMMYFUNCTION("""COMPUTED_VALUE"""),200.66)</f>
        <v>200.66</v>
      </c>
      <c r="F8373" s="2">
        <f>IFERROR(__xludf.DUMMYFUNCTION("""COMPUTED_VALUE"""),3049701.0)</f>
        <v>3049701</v>
      </c>
    </row>
    <row r="8374">
      <c r="A8374" s="3">
        <f>IFERROR(__xludf.DUMMYFUNCTION("""COMPUTED_VALUE"""),41345.666666666664)</f>
        <v>41345.66667</v>
      </c>
      <c r="B8374" s="2">
        <f>IFERROR(__xludf.DUMMYFUNCTION("""COMPUTED_VALUE"""),200.01)</f>
        <v>200.01</v>
      </c>
      <c r="C8374" s="2">
        <f>IFERROR(__xludf.DUMMYFUNCTION("""COMPUTED_VALUE"""),201.28)</f>
        <v>201.28</v>
      </c>
      <c r="D8374" s="2">
        <f>IFERROR(__xludf.DUMMYFUNCTION("""COMPUTED_VALUE"""),199.72)</f>
        <v>199.72</v>
      </c>
      <c r="E8374" s="2">
        <f>IFERROR(__xludf.DUMMYFUNCTION("""COMPUTED_VALUE"""),201.11)</f>
        <v>201.11</v>
      </c>
      <c r="F8374" s="2">
        <f>IFERROR(__xludf.DUMMYFUNCTION("""COMPUTED_VALUE"""),3592096.0)</f>
        <v>3592096</v>
      </c>
    </row>
    <row r="8375">
      <c r="A8375" s="3">
        <f>IFERROR(__xludf.DUMMYFUNCTION("""COMPUTED_VALUE"""),41346.666666666664)</f>
        <v>41346.66667</v>
      </c>
      <c r="B8375" s="2">
        <f>IFERROR(__xludf.DUMMYFUNCTION("""COMPUTED_VALUE"""),200.78)</f>
        <v>200.78</v>
      </c>
      <c r="C8375" s="2">
        <f>IFERROR(__xludf.DUMMYFUNCTION("""COMPUTED_VALUE"""),202.84)</f>
        <v>202.84</v>
      </c>
      <c r="D8375" s="2">
        <f>IFERROR(__xludf.DUMMYFUNCTION("""COMPUTED_VALUE"""),200.36)</f>
        <v>200.36</v>
      </c>
      <c r="E8375" s="2">
        <f>IFERROR(__xludf.DUMMYFUNCTION("""COMPUTED_VALUE"""),202.55)</f>
        <v>202.55</v>
      </c>
      <c r="F8375" s="2">
        <f>IFERROR(__xludf.DUMMYFUNCTION("""COMPUTED_VALUE"""),3357146.0)</f>
        <v>3357146</v>
      </c>
    </row>
    <row r="8376">
      <c r="A8376" s="3">
        <f>IFERROR(__xludf.DUMMYFUNCTION("""COMPUTED_VALUE"""),41347.666666666664)</f>
        <v>41347.66667</v>
      </c>
      <c r="B8376" s="2">
        <f>IFERROR(__xludf.DUMMYFUNCTION("""COMPUTED_VALUE"""),202.64)</f>
        <v>202.64</v>
      </c>
      <c r="C8376" s="2">
        <f>IFERROR(__xludf.DUMMYFUNCTION("""COMPUTED_VALUE"""),206.18)</f>
        <v>206.18</v>
      </c>
      <c r="D8376" s="2">
        <f>IFERROR(__xludf.DUMMYFUNCTION("""COMPUTED_VALUE"""),202.64)</f>
        <v>202.64</v>
      </c>
      <c r="E8376" s="2">
        <f>IFERROR(__xludf.DUMMYFUNCTION("""COMPUTED_VALUE"""),206.12)</f>
        <v>206.12</v>
      </c>
      <c r="F8376" s="2">
        <f>IFERROR(__xludf.DUMMYFUNCTION("""COMPUTED_VALUE"""),5506969.0)</f>
        <v>5506969</v>
      </c>
    </row>
    <row r="8377">
      <c r="A8377" s="3">
        <f>IFERROR(__xludf.DUMMYFUNCTION("""COMPUTED_VALUE"""),41348.666666666664)</f>
        <v>41348.66667</v>
      </c>
      <c r="B8377" s="2">
        <f>IFERROR(__xludf.DUMMYFUNCTION("""COMPUTED_VALUE"""),205.72)</f>
        <v>205.72</v>
      </c>
      <c r="C8377" s="2">
        <f>IFERROR(__xludf.DUMMYFUNCTION("""COMPUTED_VALUE"""),206.22)</f>
        <v>206.22</v>
      </c>
      <c r="D8377" s="2">
        <f>IFERROR(__xludf.DUMMYFUNCTION("""COMPUTED_VALUE"""),203.84)</f>
        <v>203.84</v>
      </c>
      <c r="E8377" s="2">
        <f>IFERROR(__xludf.DUMMYFUNCTION("""COMPUTED_VALUE"""),205.28)</f>
        <v>205.28</v>
      </c>
      <c r="F8377" s="2">
        <f>IFERROR(__xludf.DUMMYFUNCTION("""COMPUTED_VALUE"""),7937244.0)</f>
        <v>7937244</v>
      </c>
    </row>
    <row r="8378">
      <c r="A8378" s="3">
        <f>IFERROR(__xludf.DUMMYFUNCTION("""COMPUTED_VALUE"""),41351.666666666664)</f>
        <v>41351.66667</v>
      </c>
      <c r="B8378" s="2">
        <f>IFERROR(__xludf.DUMMYFUNCTION("""COMPUTED_VALUE"""),203.35)</f>
        <v>203.35</v>
      </c>
      <c r="C8378" s="2">
        <f>IFERROR(__xludf.DUMMYFUNCTION("""COMPUTED_VALUE"""),204.88)</f>
        <v>204.88</v>
      </c>
      <c r="D8378" s="2">
        <f>IFERROR(__xludf.DUMMYFUNCTION("""COMPUTED_VALUE"""),203.11)</f>
        <v>203.11</v>
      </c>
      <c r="E8378" s="2">
        <f>IFERROR(__xludf.DUMMYFUNCTION("""COMPUTED_VALUE"""),203.65)</f>
        <v>203.65</v>
      </c>
      <c r="F8378" s="2">
        <f>IFERROR(__xludf.DUMMYFUNCTION("""COMPUTED_VALUE"""),3006125.0)</f>
        <v>3006125</v>
      </c>
    </row>
    <row r="8379">
      <c r="A8379" s="3">
        <f>IFERROR(__xludf.DUMMYFUNCTION("""COMPUTED_VALUE"""),41352.666666666664)</f>
        <v>41352.66667</v>
      </c>
      <c r="B8379" s="2">
        <f>IFERROR(__xludf.DUMMYFUNCTION("""COMPUTED_VALUE"""),204.53)</f>
        <v>204.53</v>
      </c>
      <c r="C8379" s="2">
        <f>IFERROR(__xludf.DUMMYFUNCTION("""COMPUTED_VALUE"""),205.47)</f>
        <v>205.47</v>
      </c>
      <c r="D8379" s="2">
        <f>IFERROR(__xludf.DUMMYFUNCTION("""COMPUTED_VALUE"""),202.33)</f>
        <v>202.33</v>
      </c>
      <c r="E8379" s="2">
        <f>IFERROR(__xludf.DUMMYFUNCTION("""COMPUTED_VALUE"""),203.87)</f>
        <v>203.87</v>
      </c>
      <c r="F8379" s="2">
        <f>IFERROR(__xludf.DUMMYFUNCTION("""COMPUTED_VALUE"""),3198877.0)</f>
        <v>3198877</v>
      </c>
    </row>
    <row r="8380">
      <c r="A8380" s="3">
        <f>IFERROR(__xludf.DUMMYFUNCTION("""COMPUTED_VALUE"""),41353.666666666664)</f>
        <v>41353.66667</v>
      </c>
      <c r="B8380" s="2">
        <f>IFERROR(__xludf.DUMMYFUNCTION("""COMPUTED_VALUE"""),205.13)</f>
        <v>205.13</v>
      </c>
      <c r="C8380" s="2">
        <f>IFERROR(__xludf.DUMMYFUNCTION("""COMPUTED_VALUE"""),206.14)</f>
        <v>206.14</v>
      </c>
      <c r="D8380" s="2">
        <f>IFERROR(__xludf.DUMMYFUNCTION("""COMPUTED_VALUE"""),204.69)</f>
        <v>204.69</v>
      </c>
      <c r="E8380" s="2">
        <f>IFERROR(__xludf.DUMMYFUNCTION("""COMPUTED_VALUE"""),205.42)</f>
        <v>205.42</v>
      </c>
      <c r="F8380" s="2">
        <f>IFERROR(__xludf.DUMMYFUNCTION("""COMPUTED_VALUE"""),3020648.0)</f>
        <v>3020648</v>
      </c>
    </row>
    <row r="8381">
      <c r="A8381" s="3">
        <f>IFERROR(__xludf.DUMMYFUNCTION("""COMPUTED_VALUE"""),41354.666666666664)</f>
        <v>41354.66667</v>
      </c>
      <c r="B8381" s="2">
        <f>IFERROR(__xludf.DUMMYFUNCTION("""COMPUTED_VALUE"""),203.41)</f>
        <v>203.41</v>
      </c>
      <c r="C8381" s="2">
        <f>IFERROR(__xludf.DUMMYFUNCTION("""COMPUTED_VALUE"""),203.45)</f>
        <v>203.45</v>
      </c>
      <c r="D8381" s="2">
        <f>IFERROR(__xludf.DUMMYFUNCTION("""COMPUTED_VALUE"""),200.69)</f>
        <v>200.69</v>
      </c>
      <c r="E8381" s="2">
        <f>IFERROR(__xludf.DUMMYFUNCTION("""COMPUTED_VALUE"""),202.74)</f>
        <v>202.74</v>
      </c>
      <c r="F8381" s="2">
        <f>IFERROR(__xludf.DUMMYFUNCTION("""COMPUTED_VALUE"""),5830566.0)</f>
        <v>5830566</v>
      </c>
    </row>
    <row r="8382">
      <c r="A8382" s="3">
        <f>IFERROR(__xludf.DUMMYFUNCTION("""COMPUTED_VALUE"""),41355.666666666664)</f>
        <v>41355.66667</v>
      </c>
      <c r="B8382" s="2">
        <f>IFERROR(__xludf.DUMMYFUNCTION("""COMPUTED_VALUE"""),202.7)</f>
        <v>202.7</v>
      </c>
      <c r="C8382" s="2">
        <f>IFERROR(__xludf.DUMMYFUNCTION("""COMPUTED_VALUE"""),203.61)</f>
        <v>203.61</v>
      </c>
      <c r="D8382" s="2">
        <f>IFERROR(__xludf.DUMMYFUNCTION("""COMPUTED_VALUE"""),202.13)</f>
        <v>202.13</v>
      </c>
      <c r="E8382" s="2">
        <f>IFERROR(__xludf.DUMMYFUNCTION("""COMPUTED_VALUE"""),202.57)</f>
        <v>202.57</v>
      </c>
      <c r="F8382" s="2">
        <f>IFERROR(__xludf.DUMMYFUNCTION("""COMPUTED_VALUE"""),3031457.0)</f>
        <v>3031457</v>
      </c>
    </row>
    <row r="8383">
      <c r="A8383" s="3">
        <f>IFERROR(__xludf.DUMMYFUNCTION("""COMPUTED_VALUE"""),41358.666666666664)</f>
        <v>41358.66667</v>
      </c>
      <c r="B8383" s="2">
        <f>IFERROR(__xludf.DUMMYFUNCTION("""COMPUTED_VALUE"""),203.01)</f>
        <v>203.01</v>
      </c>
      <c r="C8383" s="2">
        <f>IFERROR(__xludf.DUMMYFUNCTION("""COMPUTED_VALUE"""),203.27)</f>
        <v>203.27</v>
      </c>
      <c r="D8383" s="2">
        <f>IFERROR(__xludf.DUMMYFUNCTION("""COMPUTED_VALUE"""),200.63)</f>
        <v>200.63</v>
      </c>
      <c r="E8383" s="2">
        <f>IFERROR(__xludf.DUMMYFUNCTION("""COMPUTED_VALUE"""),201.29)</f>
        <v>201.29</v>
      </c>
      <c r="F8383" s="2">
        <f>IFERROR(__xludf.DUMMYFUNCTION("""COMPUTED_VALUE"""),3242463.0)</f>
        <v>3242463</v>
      </c>
    </row>
    <row r="8384">
      <c r="A8384" s="3">
        <f>IFERROR(__xludf.DUMMYFUNCTION("""COMPUTED_VALUE"""),41359.666666666664)</f>
        <v>41359.66667</v>
      </c>
      <c r="B8384" s="2">
        <f>IFERROR(__xludf.DUMMYFUNCTION("""COMPUTED_VALUE"""),202.28)</f>
        <v>202.28</v>
      </c>
      <c r="C8384" s="2">
        <f>IFERROR(__xludf.DUMMYFUNCTION("""COMPUTED_VALUE"""),202.98)</f>
        <v>202.98</v>
      </c>
      <c r="D8384" s="2">
        <f>IFERROR(__xludf.DUMMYFUNCTION("""COMPUTED_VALUE"""),202.02)</f>
        <v>202.02</v>
      </c>
      <c r="E8384" s="2">
        <f>IFERROR(__xludf.DUMMYFUNCTION("""COMPUTED_VALUE"""),202.84)</f>
        <v>202.84</v>
      </c>
      <c r="F8384" s="2">
        <f>IFERROR(__xludf.DUMMYFUNCTION("""COMPUTED_VALUE"""),2300240.0)</f>
        <v>2300240</v>
      </c>
    </row>
    <row r="8385">
      <c r="A8385" s="3">
        <f>IFERROR(__xludf.DUMMYFUNCTION("""COMPUTED_VALUE"""),41360.666666666664)</f>
        <v>41360.66667</v>
      </c>
      <c r="B8385" s="2">
        <f>IFERROR(__xludf.DUMMYFUNCTION("""COMPUTED_VALUE"""),201.5)</f>
        <v>201.5</v>
      </c>
      <c r="C8385" s="2">
        <f>IFERROR(__xludf.DUMMYFUNCTION("""COMPUTED_VALUE"""),202.65)</f>
        <v>202.65</v>
      </c>
      <c r="D8385" s="2">
        <f>IFERROR(__xludf.DUMMYFUNCTION("""COMPUTED_VALUE"""),200.68)</f>
        <v>200.68</v>
      </c>
      <c r="E8385" s="2">
        <f>IFERROR(__xludf.DUMMYFUNCTION("""COMPUTED_VALUE"""),201.43)</f>
        <v>201.43</v>
      </c>
      <c r="F8385" s="2">
        <f>IFERROR(__xludf.DUMMYFUNCTION("""COMPUTED_VALUE"""),3223381.0)</f>
        <v>3223381</v>
      </c>
    </row>
    <row r="8386">
      <c r="A8386" s="3">
        <f>IFERROR(__xludf.DUMMYFUNCTION("""COMPUTED_VALUE"""),41361.666666666664)</f>
        <v>41361.66667</v>
      </c>
      <c r="B8386" s="2">
        <f>IFERROR(__xludf.DUMMYFUNCTION("""COMPUTED_VALUE"""),200.42)</f>
        <v>200.42</v>
      </c>
      <c r="C8386" s="2">
        <f>IFERROR(__xludf.DUMMYFUNCTION("""COMPUTED_VALUE"""),203.87)</f>
        <v>203.87</v>
      </c>
      <c r="D8386" s="2">
        <f>IFERROR(__xludf.DUMMYFUNCTION("""COMPUTED_VALUE"""),200.33)</f>
        <v>200.33</v>
      </c>
      <c r="E8386" s="2">
        <f>IFERROR(__xludf.DUMMYFUNCTION("""COMPUTED_VALUE"""),203.74)</f>
        <v>203.74</v>
      </c>
      <c r="F8386" s="2">
        <f>IFERROR(__xludf.DUMMYFUNCTION("""COMPUTED_VALUE"""),3752999.0)</f>
        <v>3752999</v>
      </c>
    </row>
    <row r="8387">
      <c r="A8387" s="3">
        <f>IFERROR(__xludf.DUMMYFUNCTION("""COMPUTED_VALUE"""),41365.666666666664)</f>
        <v>41365.66667</v>
      </c>
      <c r="B8387" s="2">
        <f>IFERROR(__xludf.DUMMYFUNCTION("""COMPUTED_VALUE"""),203.26)</f>
        <v>203.26</v>
      </c>
      <c r="C8387" s="2">
        <f>IFERROR(__xludf.DUMMYFUNCTION("""COMPUTED_VALUE"""),203.93)</f>
        <v>203.93</v>
      </c>
      <c r="D8387" s="2">
        <f>IFERROR(__xludf.DUMMYFUNCTION("""COMPUTED_VALUE"""),201.78)</f>
        <v>201.78</v>
      </c>
      <c r="E8387" s="2">
        <f>IFERROR(__xludf.DUMMYFUNCTION("""COMPUTED_VALUE"""),202.86)</f>
        <v>202.86</v>
      </c>
      <c r="F8387" s="2">
        <f>IFERROR(__xludf.DUMMYFUNCTION("""COMPUTED_VALUE"""),2144926.0)</f>
        <v>2144926</v>
      </c>
    </row>
    <row r="8388">
      <c r="A8388" s="3">
        <f>IFERROR(__xludf.DUMMYFUNCTION("""COMPUTED_VALUE"""),41366.666666666664)</f>
        <v>41366.66667</v>
      </c>
      <c r="B8388" s="2">
        <f>IFERROR(__xludf.DUMMYFUNCTION("""COMPUTED_VALUE"""),203.37)</f>
        <v>203.37</v>
      </c>
      <c r="C8388" s="2">
        <f>IFERROR(__xludf.DUMMYFUNCTION("""COMPUTED_VALUE"""),205.08)</f>
        <v>205.08</v>
      </c>
      <c r="D8388" s="2">
        <f>IFERROR(__xludf.DUMMYFUNCTION("""COMPUTED_VALUE"""),202.08)</f>
        <v>202.08</v>
      </c>
      <c r="E8388" s="2">
        <f>IFERROR(__xludf.DUMMYFUNCTION("""COMPUTED_VALUE"""),204.75)</f>
        <v>204.75</v>
      </c>
      <c r="F8388" s="2">
        <f>IFERROR(__xludf.DUMMYFUNCTION("""COMPUTED_VALUE"""),3117150.0)</f>
        <v>3117150</v>
      </c>
    </row>
    <row r="8389">
      <c r="A8389" s="3">
        <f>IFERROR(__xludf.DUMMYFUNCTION("""COMPUTED_VALUE"""),41367.666666666664)</f>
        <v>41367.66667</v>
      </c>
      <c r="B8389" s="2">
        <f>IFERROR(__xludf.DUMMYFUNCTION("""COMPUTED_VALUE"""),204.71)</f>
        <v>204.71</v>
      </c>
      <c r="C8389" s="2">
        <f>IFERROR(__xludf.DUMMYFUNCTION("""COMPUTED_VALUE"""),205.26)</f>
        <v>205.26</v>
      </c>
      <c r="D8389" s="2">
        <f>IFERROR(__xludf.DUMMYFUNCTION("""COMPUTED_VALUE"""),203.09)</f>
        <v>203.09</v>
      </c>
      <c r="E8389" s="2">
        <f>IFERROR(__xludf.DUMMYFUNCTION("""COMPUTED_VALUE"""),203.13)</f>
        <v>203.13</v>
      </c>
      <c r="F8389" s="2">
        <f>IFERROR(__xludf.DUMMYFUNCTION("""COMPUTED_VALUE"""),3128818.0)</f>
        <v>3128818</v>
      </c>
    </row>
    <row r="8390">
      <c r="A8390" s="3">
        <f>IFERROR(__xludf.DUMMYFUNCTION("""COMPUTED_VALUE"""),41368.666666666664)</f>
        <v>41368.66667</v>
      </c>
      <c r="B8390" s="2">
        <f>IFERROR(__xludf.DUMMYFUNCTION("""COMPUTED_VALUE"""),203.23)</f>
        <v>203.23</v>
      </c>
      <c r="C8390" s="2">
        <f>IFERROR(__xludf.DUMMYFUNCTION("""COMPUTED_VALUE"""),203.38)</f>
        <v>203.38</v>
      </c>
      <c r="D8390" s="2">
        <f>IFERROR(__xludf.DUMMYFUNCTION("""COMPUTED_VALUE"""),200.62)</f>
        <v>200.62</v>
      </c>
      <c r="E8390" s="2">
        <f>IFERROR(__xludf.DUMMYFUNCTION("""COMPUTED_VALUE"""),201.84)</f>
        <v>201.84</v>
      </c>
      <c r="F8390" s="2">
        <f>IFERROR(__xludf.DUMMYFUNCTION("""COMPUTED_VALUE"""),3709490.0)</f>
        <v>3709490</v>
      </c>
    </row>
    <row r="8391">
      <c r="A8391" s="3">
        <f>IFERROR(__xludf.DUMMYFUNCTION("""COMPUTED_VALUE"""),41369.666666666664)</f>
        <v>41369.66667</v>
      </c>
      <c r="B8391" s="2">
        <f>IFERROR(__xludf.DUMMYFUNCTION("""COMPUTED_VALUE"""),199.72)</f>
        <v>199.72</v>
      </c>
      <c r="C8391" s="2">
        <f>IFERROR(__xludf.DUMMYFUNCTION("""COMPUTED_VALUE"""),200.43)</f>
        <v>200.43</v>
      </c>
      <c r="D8391" s="2">
        <f>IFERROR(__xludf.DUMMYFUNCTION("""COMPUTED_VALUE"""),197.09)</f>
        <v>197.09</v>
      </c>
      <c r="E8391" s="2">
        <f>IFERROR(__xludf.DUMMYFUNCTION("""COMPUTED_VALUE"""),200.02)</f>
        <v>200.02</v>
      </c>
      <c r="F8391" s="2">
        <f>IFERROR(__xludf.DUMMYFUNCTION("""COMPUTED_VALUE"""),4148177.0)</f>
        <v>4148177</v>
      </c>
    </row>
    <row r="8392">
      <c r="A8392" s="3">
        <f>IFERROR(__xludf.DUMMYFUNCTION("""COMPUTED_VALUE"""),41372.666666666664)</f>
        <v>41372.66667</v>
      </c>
      <c r="B8392" s="2">
        <f>IFERROR(__xludf.DUMMYFUNCTION("""COMPUTED_VALUE"""),199.7)</f>
        <v>199.7</v>
      </c>
      <c r="C8392" s="2">
        <f>IFERROR(__xludf.DUMMYFUNCTION("""COMPUTED_VALUE"""),199.93)</f>
        <v>199.93</v>
      </c>
      <c r="D8392" s="2">
        <f>IFERROR(__xludf.DUMMYFUNCTION("""COMPUTED_VALUE"""),198.03)</f>
        <v>198.03</v>
      </c>
      <c r="E8392" s="2">
        <f>IFERROR(__xludf.DUMMYFUNCTION("""COMPUTED_VALUE"""),199.93)</f>
        <v>199.93</v>
      </c>
      <c r="F8392" s="2">
        <f>IFERROR(__xludf.DUMMYFUNCTION("""COMPUTED_VALUE"""),2351166.0)</f>
        <v>2351166</v>
      </c>
    </row>
    <row r="8393">
      <c r="A8393" s="3">
        <f>IFERROR(__xludf.DUMMYFUNCTION("""COMPUTED_VALUE"""),41373.666666666664)</f>
        <v>41373.66667</v>
      </c>
      <c r="B8393" s="2">
        <f>IFERROR(__xludf.DUMMYFUNCTION("""COMPUTED_VALUE"""),200.16)</f>
        <v>200.16</v>
      </c>
      <c r="C8393" s="2">
        <f>IFERROR(__xludf.DUMMYFUNCTION("""COMPUTED_VALUE"""),200.58)</f>
        <v>200.58</v>
      </c>
      <c r="D8393" s="2">
        <f>IFERROR(__xludf.DUMMYFUNCTION("""COMPUTED_VALUE"""),199.26)</f>
        <v>199.26</v>
      </c>
      <c r="E8393" s="2">
        <f>IFERROR(__xludf.DUMMYFUNCTION("""COMPUTED_VALUE"""),199.84)</f>
        <v>199.84</v>
      </c>
      <c r="F8393" s="2">
        <f>IFERROR(__xludf.DUMMYFUNCTION("""COMPUTED_VALUE"""),2577249.0)</f>
        <v>2577249</v>
      </c>
    </row>
    <row r="8394">
      <c r="A8394" s="3">
        <f>IFERROR(__xludf.DUMMYFUNCTION("""COMPUTED_VALUE"""),41374.666666666664)</f>
        <v>41374.66667</v>
      </c>
      <c r="B8394" s="2">
        <f>IFERROR(__xludf.DUMMYFUNCTION("""COMPUTED_VALUE"""),202.36)</f>
        <v>202.36</v>
      </c>
      <c r="C8394" s="2">
        <f>IFERROR(__xludf.DUMMYFUNCTION("""COMPUTED_VALUE"""),202.98)</f>
        <v>202.98</v>
      </c>
      <c r="D8394" s="2">
        <f>IFERROR(__xludf.DUMMYFUNCTION("""COMPUTED_VALUE"""),201.03)</f>
        <v>201.03</v>
      </c>
      <c r="E8394" s="2">
        <f>IFERROR(__xludf.DUMMYFUNCTION("""COMPUTED_VALUE"""),202.49)</f>
        <v>202.49</v>
      </c>
      <c r="F8394" s="2">
        <f>IFERROR(__xludf.DUMMYFUNCTION("""COMPUTED_VALUE"""),3524112.0)</f>
        <v>3524112</v>
      </c>
    </row>
    <row r="8395">
      <c r="A8395" s="3">
        <f>IFERROR(__xludf.DUMMYFUNCTION("""COMPUTED_VALUE"""),41375.666666666664)</f>
        <v>41375.66667</v>
      </c>
      <c r="B8395" s="2">
        <f>IFERROR(__xludf.DUMMYFUNCTION("""COMPUTED_VALUE"""),202.02)</f>
        <v>202.02</v>
      </c>
      <c r="C8395" s="2">
        <f>IFERROR(__xludf.DUMMYFUNCTION("""COMPUTED_VALUE"""),203.54)</f>
        <v>203.54</v>
      </c>
      <c r="D8395" s="2">
        <f>IFERROR(__xludf.DUMMYFUNCTION("""COMPUTED_VALUE"""),201.4)</f>
        <v>201.4</v>
      </c>
      <c r="E8395" s="2">
        <f>IFERROR(__xludf.DUMMYFUNCTION("""COMPUTED_VALUE"""),203.37)</f>
        <v>203.37</v>
      </c>
      <c r="F8395" s="2">
        <f>IFERROR(__xludf.DUMMYFUNCTION("""COMPUTED_VALUE"""),3655566.0)</f>
        <v>3655566</v>
      </c>
    </row>
    <row r="8396">
      <c r="A8396" s="3">
        <f>IFERROR(__xludf.DUMMYFUNCTION("""COMPUTED_VALUE"""),41376.666666666664)</f>
        <v>41376.66667</v>
      </c>
      <c r="B8396" s="2">
        <f>IFERROR(__xludf.DUMMYFUNCTION("""COMPUTED_VALUE"""),201.34)</f>
        <v>201.34</v>
      </c>
      <c r="C8396" s="2">
        <f>IFERROR(__xludf.DUMMYFUNCTION("""COMPUTED_VALUE"""),202.01)</f>
        <v>202.01</v>
      </c>
      <c r="D8396" s="2">
        <f>IFERROR(__xludf.DUMMYFUNCTION("""COMPUTED_VALUE"""),200.37)</f>
        <v>200.37</v>
      </c>
      <c r="E8396" s="2">
        <f>IFERROR(__xludf.DUMMYFUNCTION("""COMPUTED_VALUE"""),201.9)</f>
        <v>201.9</v>
      </c>
      <c r="F8396" s="2">
        <f>IFERROR(__xludf.DUMMYFUNCTION("""COMPUTED_VALUE"""),3165897.0)</f>
        <v>3165897</v>
      </c>
    </row>
    <row r="8397">
      <c r="A8397" s="3">
        <f>IFERROR(__xludf.DUMMYFUNCTION("""COMPUTED_VALUE"""),41379.666666666664)</f>
        <v>41379.66667</v>
      </c>
      <c r="B8397" s="2">
        <f>IFERROR(__xludf.DUMMYFUNCTION("""COMPUTED_VALUE"""),201.0)</f>
        <v>201</v>
      </c>
      <c r="C8397" s="2">
        <f>IFERROR(__xludf.DUMMYFUNCTION("""COMPUTED_VALUE"""),202.2)</f>
        <v>202.2</v>
      </c>
      <c r="D8397" s="2">
        <f>IFERROR(__xludf.DUMMYFUNCTION("""COMPUTED_VALUE"""),199.88)</f>
        <v>199.88</v>
      </c>
      <c r="E8397" s="2">
        <f>IFERROR(__xludf.DUMMYFUNCTION("""COMPUTED_VALUE"""),199.88)</f>
        <v>199.88</v>
      </c>
      <c r="F8397" s="2">
        <f>IFERROR(__xludf.DUMMYFUNCTION("""COMPUTED_VALUE"""),4218575.0)</f>
        <v>4218575</v>
      </c>
    </row>
    <row r="8398">
      <c r="A8398" s="3">
        <f>IFERROR(__xludf.DUMMYFUNCTION("""COMPUTED_VALUE"""),41380.666666666664)</f>
        <v>41380.66667</v>
      </c>
      <c r="B8398" s="2">
        <f>IFERROR(__xludf.DUMMYFUNCTION("""COMPUTED_VALUE"""),201.39)</f>
        <v>201.39</v>
      </c>
      <c r="C8398" s="2">
        <f>IFERROR(__xludf.DUMMYFUNCTION("""COMPUTED_VALUE"""),202.49)</f>
        <v>202.49</v>
      </c>
      <c r="D8398" s="2">
        <f>IFERROR(__xludf.DUMMYFUNCTION("""COMPUTED_VALUE"""),199.82)</f>
        <v>199.82</v>
      </c>
      <c r="E8398" s="2">
        <f>IFERROR(__xludf.DUMMYFUNCTION("""COMPUTED_VALUE"""),202.49)</f>
        <v>202.49</v>
      </c>
      <c r="F8398" s="2">
        <f>IFERROR(__xludf.DUMMYFUNCTION("""COMPUTED_VALUE"""),2860054.0)</f>
        <v>2860054</v>
      </c>
    </row>
    <row r="8399">
      <c r="A8399" s="3">
        <f>IFERROR(__xludf.DUMMYFUNCTION("""COMPUTED_VALUE"""),41381.666666666664)</f>
        <v>41381.66667</v>
      </c>
      <c r="B8399" s="2">
        <f>IFERROR(__xludf.DUMMYFUNCTION("""COMPUTED_VALUE"""),201.09)</f>
        <v>201.09</v>
      </c>
      <c r="C8399" s="2">
        <f>IFERROR(__xludf.DUMMYFUNCTION("""COMPUTED_VALUE"""),201.63)</f>
        <v>201.63</v>
      </c>
      <c r="D8399" s="2">
        <f>IFERROR(__xludf.DUMMYFUNCTION("""COMPUTED_VALUE"""),200.11)</f>
        <v>200.11</v>
      </c>
      <c r="E8399" s="2">
        <f>IFERROR(__xludf.DUMMYFUNCTION("""COMPUTED_VALUE"""),200.27)</f>
        <v>200.27</v>
      </c>
      <c r="F8399" s="2">
        <f>IFERROR(__xludf.DUMMYFUNCTION("""COMPUTED_VALUE"""),3269874.0)</f>
        <v>3269874</v>
      </c>
    </row>
    <row r="8400">
      <c r="A8400" s="3">
        <f>IFERROR(__xludf.DUMMYFUNCTION("""COMPUTED_VALUE"""),41382.666666666664)</f>
        <v>41382.66667</v>
      </c>
      <c r="B8400" s="2">
        <f>IFERROR(__xludf.DUMMYFUNCTION("""COMPUTED_VALUE"""),200.69)</f>
        <v>200.69</v>
      </c>
      <c r="C8400" s="2">
        <f>IFERROR(__xludf.DUMMYFUNCTION("""COMPUTED_VALUE"""),200.82)</f>
        <v>200.82</v>
      </c>
      <c r="D8400" s="2">
        <f>IFERROR(__xludf.DUMMYFUNCTION("""COMPUTED_VALUE"""),196.91)</f>
        <v>196.91</v>
      </c>
      <c r="E8400" s="2">
        <f>IFERROR(__xludf.DUMMYFUNCTION("""COMPUTED_VALUE"""),197.86)</f>
        <v>197.86</v>
      </c>
      <c r="F8400" s="2">
        <f>IFERROR(__xludf.DUMMYFUNCTION("""COMPUTED_VALUE"""),6501970.0)</f>
        <v>6501970</v>
      </c>
    </row>
    <row r="8401">
      <c r="A8401" s="3">
        <f>IFERROR(__xludf.DUMMYFUNCTION("""COMPUTED_VALUE"""),41383.666666666664)</f>
        <v>41383.66667</v>
      </c>
      <c r="B8401" s="2">
        <f>IFERROR(__xludf.DUMMYFUNCTION("""COMPUTED_VALUE"""),186.96)</f>
        <v>186.96</v>
      </c>
      <c r="C8401" s="2">
        <f>IFERROR(__xludf.DUMMYFUNCTION("""COMPUTED_VALUE"""),187.69)</f>
        <v>187.69</v>
      </c>
      <c r="D8401" s="2">
        <f>IFERROR(__xludf.DUMMYFUNCTION("""COMPUTED_VALUE"""),181.25)</f>
        <v>181.25</v>
      </c>
      <c r="E8401" s="2">
        <f>IFERROR(__xludf.DUMMYFUNCTION("""COMPUTED_VALUE"""),181.48)</f>
        <v>181.48</v>
      </c>
      <c r="F8401" s="2">
        <f>IFERROR(__xludf.DUMMYFUNCTION("""COMPUTED_VALUE"""),1.8848884E7)</f>
        <v>18848884</v>
      </c>
    </row>
    <row r="8402">
      <c r="A8402" s="3">
        <f>IFERROR(__xludf.DUMMYFUNCTION("""COMPUTED_VALUE"""),41386.666666666664)</f>
        <v>41386.66667</v>
      </c>
      <c r="B8402" s="2">
        <f>IFERROR(__xludf.DUMMYFUNCTION("""COMPUTED_VALUE"""),182.58)</f>
        <v>182.58</v>
      </c>
      <c r="C8402" s="2">
        <f>IFERROR(__xludf.DUMMYFUNCTION("""COMPUTED_VALUE"""),182.8)</f>
        <v>182.8</v>
      </c>
      <c r="D8402" s="2">
        <f>IFERROR(__xludf.DUMMYFUNCTION("""COMPUTED_VALUE"""),179.27)</f>
        <v>179.27</v>
      </c>
      <c r="E8402" s="2">
        <f>IFERROR(__xludf.DUMMYFUNCTION("""COMPUTED_VALUE"""),179.41)</f>
        <v>179.41</v>
      </c>
      <c r="F8402" s="2">
        <f>IFERROR(__xludf.DUMMYFUNCTION("""COMPUTED_VALUE"""),9847065.0)</f>
        <v>9847065</v>
      </c>
    </row>
    <row r="8403">
      <c r="A8403" s="3">
        <f>IFERROR(__xludf.DUMMYFUNCTION("""COMPUTED_VALUE"""),41387.666666666664)</f>
        <v>41387.66667</v>
      </c>
      <c r="B8403" s="2">
        <f>IFERROR(__xludf.DUMMYFUNCTION("""COMPUTED_VALUE"""),180.78)</f>
        <v>180.78</v>
      </c>
      <c r="C8403" s="2">
        <f>IFERROR(__xludf.DUMMYFUNCTION("""COMPUTED_VALUE"""),183.92)</f>
        <v>183.92</v>
      </c>
      <c r="D8403" s="2">
        <f>IFERROR(__xludf.DUMMYFUNCTION("""COMPUTED_VALUE"""),180.15)</f>
        <v>180.15</v>
      </c>
      <c r="E8403" s="2">
        <f>IFERROR(__xludf.DUMMYFUNCTION("""COMPUTED_VALUE"""),183.02)</f>
        <v>183.02</v>
      </c>
      <c r="F8403" s="2">
        <f>IFERROR(__xludf.DUMMYFUNCTION("""COMPUTED_VALUE"""),6301279.0)</f>
        <v>6301279</v>
      </c>
    </row>
    <row r="8404">
      <c r="A8404" s="3">
        <f>IFERROR(__xludf.DUMMYFUNCTION("""COMPUTED_VALUE"""),41388.666666666664)</f>
        <v>41388.66667</v>
      </c>
      <c r="B8404" s="2">
        <f>IFERROR(__xludf.DUMMYFUNCTION("""COMPUTED_VALUE"""),183.54)</f>
        <v>183.54</v>
      </c>
      <c r="C8404" s="2">
        <f>IFERROR(__xludf.DUMMYFUNCTION("""COMPUTED_VALUE"""),183.87)</f>
        <v>183.87</v>
      </c>
      <c r="D8404" s="2">
        <f>IFERROR(__xludf.DUMMYFUNCTION("""COMPUTED_VALUE"""),182.52)</f>
        <v>182.52</v>
      </c>
      <c r="E8404" s="2">
        <f>IFERROR(__xludf.DUMMYFUNCTION("""COMPUTED_VALUE"""),183.11)</f>
        <v>183.11</v>
      </c>
      <c r="F8404" s="2">
        <f>IFERROR(__xludf.DUMMYFUNCTION("""COMPUTED_VALUE"""),3694008.0)</f>
        <v>3694008</v>
      </c>
    </row>
    <row r="8405">
      <c r="A8405" s="3">
        <f>IFERROR(__xludf.DUMMYFUNCTION("""COMPUTED_VALUE"""),41389.666666666664)</f>
        <v>41389.66667</v>
      </c>
      <c r="B8405" s="2">
        <f>IFERROR(__xludf.DUMMYFUNCTION("""COMPUTED_VALUE"""),184.05)</f>
        <v>184.05</v>
      </c>
      <c r="C8405" s="2">
        <f>IFERROR(__xludf.DUMMYFUNCTION("""COMPUTED_VALUE"""),186.42)</f>
        <v>186.42</v>
      </c>
      <c r="D8405" s="2">
        <f>IFERROR(__xludf.DUMMYFUNCTION("""COMPUTED_VALUE"""),183.7)</f>
        <v>183.7</v>
      </c>
      <c r="E8405" s="2">
        <f>IFERROR(__xludf.DUMMYFUNCTION("""COMPUTED_VALUE"""),185.25)</f>
        <v>185.25</v>
      </c>
      <c r="F8405" s="2">
        <f>IFERROR(__xludf.DUMMYFUNCTION("""COMPUTED_VALUE"""),4651956.0)</f>
        <v>4651956</v>
      </c>
    </row>
    <row r="8406">
      <c r="A8406" s="3">
        <f>IFERROR(__xludf.DUMMYFUNCTION("""COMPUTED_VALUE"""),41390.666666666664)</f>
        <v>41390.66667</v>
      </c>
      <c r="B8406" s="2">
        <f>IFERROR(__xludf.DUMMYFUNCTION("""COMPUTED_VALUE"""),185.45)</f>
        <v>185.45</v>
      </c>
      <c r="C8406" s="2">
        <f>IFERROR(__xludf.DUMMYFUNCTION("""COMPUTED_VALUE"""),185.98)</f>
        <v>185.98</v>
      </c>
      <c r="D8406" s="2">
        <f>IFERROR(__xludf.DUMMYFUNCTION("""COMPUTED_VALUE"""),184.59)</f>
        <v>184.59</v>
      </c>
      <c r="E8406" s="2">
        <f>IFERROR(__xludf.DUMMYFUNCTION("""COMPUTED_VALUE"""),185.6)</f>
        <v>185.6</v>
      </c>
      <c r="F8406" s="2">
        <f>IFERROR(__xludf.DUMMYFUNCTION("""COMPUTED_VALUE"""),3490234.0)</f>
        <v>3490234</v>
      </c>
    </row>
    <row r="8407">
      <c r="A8407" s="3">
        <f>IFERROR(__xludf.DUMMYFUNCTION("""COMPUTED_VALUE"""),41393.666666666664)</f>
        <v>41393.66667</v>
      </c>
      <c r="B8407" s="2">
        <f>IFERROR(__xludf.DUMMYFUNCTION("""COMPUTED_VALUE"""),186.05)</f>
        <v>186.05</v>
      </c>
      <c r="C8407" s="2">
        <f>IFERROR(__xludf.DUMMYFUNCTION("""COMPUTED_VALUE"""),190.73)</f>
        <v>190.73</v>
      </c>
      <c r="D8407" s="2">
        <f>IFERROR(__xludf.DUMMYFUNCTION("""COMPUTED_VALUE"""),185.92)</f>
        <v>185.92</v>
      </c>
      <c r="E8407" s="2">
        <f>IFERROR(__xludf.DUMMYFUNCTION("""COMPUTED_VALUE"""),190.22)</f>
        <v>190.22</v>
      </c>
      <c r="F8407" s="2">
        <f>IFERROR(__xludf.DUMMYFUNCTION("""COMPUTED_VALUE"""),5937395.0)</f>
        <v>5937395</v>
      </c>
    </row>
    <row r="8408">
      <c r="A8408" s="3">
        <f>IFERROR(__xludf.DUMMYFUNCTION("""COMPUTED_VALUE"""),41394.666666666664)</f>
        <v>41394.66667</v>
      </c>
      <c r="B8408" s="2">
        <f>IFERROR(__xludf.DUMMYFUNCTION("""COMPUTED_VALUE"""),190.2)</f>
        <v>190.2</v>
      </c>
      <c r="C8408" s="2">
        <f>IFERROR(__xludf.DUMMYFUNCTION("""COMPUTED_VALUE"""),193.51)</f>
        <v>193.51</v>
      </c>
      <c r="D8408" s="2">
        <f>IFERROR(__xludf.DUMMYFUNCTION("""COMPUTED_VALUE"""),188.5)</f>
        <v>188.5</v>
      </c>
      <c r="E8408" s="2">
        <f>IFERROR(__xludf.DUMMYFUNCTION("""COMPUTED_VALUE"""),193.46)</f>
        <v>193.46</v>
      </c>
      <c r="F8408" s="2">
        <f>IFERROR(__xludf.DUMMYFUNCTION("""COMPUTED_VALUE"""),7540835.0)</f>
        <v>7540835</v>
      </c>
    </row>
    <row r="8409">
      <c r="A8409" s="3">
        <f>IFERROR(__xludf.DUMMYFUNCTION("""COMPUTED_VALUE"""),41395.666666666664)</f>
        <v>41395.66667</v>
      </c>
      <c r="B8409" s="2">
        <f>IFERROR(__xludf.DUMMYFUNCTION("""COMPUTED_VALUE"""),192.82)</f>
        <v>192.82</v>
      </c>
      <c r="C8409" s="2">
        <f>IFERROR(__xludf.DUMMYFUNCTION("""COMPUTED_VALUE"""),193.11)</f>
        <v>193.11</v>
      </c>
      <c r="D8409" s="2">
        <f>IFERROR(__xludf.DUMMYFUNCTION("""COMPUTED_VALUE"""),190.27)</f>
        <v>190.27</v>
      </c>
      <c r="E8409" s="2">
        <f>IFERROR(__xludf.DUMMYFUNCTION("""COMPUTED_VALUE"""),190.68)</f>
        <v>190.68</v>
      </c>
      <c r="F8409" s="2">
        <f>IFERROR(__xludf.DUMMYFUNCTION("""COMPUTED_VALUE"""),4899267.0)</f>
        <v>4899267</v>
      </c>
    </row>
    <row r="8410">
      <c r="A8410" s="3">
        <f>IFERROR(__xludf.DUMMYFUNCTION("""COMPUTED_VALUE"""),41396.666666666664)</f>
        <v>41396.66667</v>
      </c>
      <c r="B8410" s="2">
        <f>IFERROR(__xludf.DUMMYFUNCTION("""COMPUTED_VALUE"""),191.15)</f>
        <v>191.15</v>
      </c>
      <c r="C8410" s="2">
        <f>IFERROR(__xludf.DUMMYFUNCTION("""COMPUTED_VALUE"""),193.35)</f>
        <v>193.35</v>
      </c>
      <c r="D8410" s="2">
        <f>IFERROR(__xludf.DUMMYFUNCTION("""COMPUTED_VALUE"""),190.79)</f>
        <v>190.79</v>
      </c>
      <c r="E8410" s="2">
        <f>IFERROR(__xludf.DUMMYFUNCTION("""COMPUTED_VALUE"""),193.32)</f>
        <v>193.32</v>
      </c>
      <c r="F8410" s="2">
        <f>IFERROR(__xludf.DUMMYFUNCTION("""COMPUTED_VALUE"""),3946539.0)</f>
        <v>3946539</v>
      </c>
    </row>
    <row r="8411">
      <c r="A8411" s="3">
        <f>IFERROR(__xludf.DUMMYFUNCTION("""COMPUTED_VALUE"""),41397.666666666664)</f>
        <v>41397.66667</v>
      </c>
      <c r="B8411" s="2">
        <f>IFERROR(__xludf.DUMMYFUNCTION("""COMPUTED_VALUE"""),194.8)</f>
        <v>194.8</v>
      </c>
      <c r="C8411" s="2">
        <f>IFERROR(__xludf.DUMMYFUNCTION("""COMPUTED_VALUE"""),196.11)</f>
        <v>196.11</v>
      </c>
      <c r="D8411" s="2">
        <f>IFERROR(__xludf.DUMMYFUNCTION("""COMPUTED_VALUE"""),194.61)</f>
        <v>194.61</v>
      </c>
      <c r="E8411" s="2">
        <f>IFERROR(__xludf.DUMMYFUNCTION("""COMPUTED_VALUE"""),195.34)</f>
        <v>195.34</v>
      </c>
      <c r="F8411" s="2">
        <f>IFERROR(__xludf.DUMMYFUNCTION("""COMPUTED_VALUE"""),4494744.0)</f>
        <v>4494744</v>
      </c>
    </row>
    <row r="8412">
      <c r="A8412" s="3">
        <f>IFERROR(__xludf.DUMMYFUNCTION("""COMPUTED_VALUE"""),41400.666666666664)</f>
        <v>41400.66667</v>
      </c>
      <c r="B8412" s="2">
        <f>IFERROR(__xludf.DUMMYFUNCTION("""COMPUTED_VALUE"""),194.65)</f>
        <v>194.65</v>
      </c>
      <c r="C8412" s="2">
        <f>IFERROR(__xludf.DUMMYFUNCTION("""COMPUTED_VALUE"""),194.84)</f>
        <v>194.84</v>
      </c>
      <c r="D8412" s="2">
        <f>IFERROR(__xludf.DUMMYFUNCTION("""COMPUTED_VALUE"""),192.48)</f>
        <v>192.48</v>
      </c>
      <c r="E8412" s="2">
        <f>IFERROR(__xludf.DUMMYFUNCTION("""COMPUTED_VALUE"""),193.69)</f>
        <v>193.69</v>
      </c>
      <c r="F8412" s="2">
        <f>IFERROR(__xludf.DUMMYFUNCTION("""COMPUTED_VALUE"""),4827188.0)</f>
        <v>4827188</v>
      </c>
    </row>
    <row r="8413">
      <c r="A8413" s="3">
        <f>IFERROR(__xludf.DUMMYFUNCTION("""COMPUTED_VALUE"""),41401.666666666664)</f>
        <v>41401.66667</v>
      </c>
      <c r="B8413" s="2">
        <f>IFERROR(__xludf.DUMMYFUNCTION("""COMPUTED_VALUE"""),193.72)</f>
        <v>193.72</v>
      </c>
      <c r="C8413" s="2">
        <f>IFERROR(__xludf.DUMMYFUNCTION("""COMPUTED_VALUE"""),194.6)</f>
        <v>194.6</v>
      </c>
      <c r="D8413" s="2">
        <f>IFERROR(__xludf.DUMMYFUNCTION("""COMPUTED_VALUE"""),192.61)</f>
        <v>192.61</v>
      </c>
      <c r="E8413" s="2">
        <f>IFERROR(__xludf.DUMMYFUNCTION("""COMPUTED_VALUE"""),194.5)</f>
        <v>194.5</v>
      </c>
      <c r="F8413" s="2">
        <f>IFERROR(__xludf.DUMMYFUNCTION("""COMPUTED_VALUE"""),3450976.0)</f>
        <v>3450976</v>
      </c>
    </row>
    <row r="8414">
      <c r="A8414" s="3">
        <f>IFERROR(__xludf.DUMMYFUNCTION("""COMPUTED_VALUE"""),41402.666666666664)</f>
        <v>41402.66667</v>
      </c>
      <c r="B8414" s="2">
        <f>IFERROR(__xludf.DUMMYFUNCTION("""COMPUTED_VALUE"""),193.84)</f>
        <v>193.84</v>
      </c>
      <c r="C8414" s="2">
        <f>IFERROR(__xludf.DUMMYFUNCTION("""COMPUTED_VALUE"""),195.67)</f>
        <v>195.67</v>
      </c>
      <c r="D8414" s="2">
        <f>IFERROR(__xludf.DUMMYFUNCTION("""COMPUTED_VALUE"""),193.43)</f>
        <v>193.43</v>
      </c>
      <c r="E8414" s="2">
        <f>IFERROR(__xludf.DUMMYFUNCTION("""COMPUTED_VALUE"""),195.64)</f>
        <v>195.64</v>
      </c>
      <c r="F8414" s="2">
        <f>IFERROR(__xludf.DUMMYFUNCTION("""COMPUTED_VALUE"""),3602292.0)</f>
        <v>3602292</v>
      </c>
    </row>
    <row r="8415">
      <c r="A8415" s="3">
        <f>IFERROR(__xludf.DUMMYFUNCTION("""COMPUTED_VALUE"""),41403.666666666664)</f>
        <v>41403.66667</v>
      </c>
      <c r="B8415" s="2">
        <f>IFERROR(__xludf.DUMMYFUNCTION("""COMPUTED_VALUE"""),195.51)</f>
        <v>195.51</v>
      </c>
      <c r="C8415" s="2">
        <f>IFERROR(__xludf.DUMMYFUNCTION("""COMPUTED_VALUE"""),195.81)</f>
        <v>195.81</v>
      </c>
      <c r="D8415" s="2">
        <f>IFERROR(__xludf.DUMMYFUNCTION("""COMPUTED_VALUE"""),193.63)</f>
        <v>193.63</v>
      </c>
      <c r="E8415" s="2">
        <f>IFERROR(__xludf.DUMMYFUNCTION("""COMPUTED_VALUE"""),194.13)</f>
        <v>194.13</v>
      </c>
      <c r="F8415" s="2">
        <f>IFERROR(__xludf.DUMMYFUNCTION("""COMPUTED_VALUE"""),3542923.0)</f>
        <v>3542923</v>
      </c>
    </row>
    <row r="8416">
      <c r="A8416" s="3">
        <f>IFERROR(__xludf.DUMMYFUNCTION("""COMPUTED_VALUE"""),41404.666666666664)</f>
        <v>41404.66667</v>
      </c>
      <c r="B8416" s="2">
        <f>IFERROR(__xludf.DUMMYFUNCTION("""COMPUTED_VALUE"""),194.25)</f>
        <v>194.25</v>
      </c>
      <c r="C8416" s="2">
        <f>IFERROR(__xludf.DUMMYFUNCTION("""COMPUTED_VALUE"""),195.36)</f>
        <v>195.36</v>
      </c>
      <c r="D8416" s="2">
        <f>IFERROR(__xludf.DUMMYFUNCTION("""COMPUTED_VALUE"""),193.73)</f>
        <v>193.73</v>
      </c>
      <c r="E8416" s="2">
        <f>IFERROR(__xludf.DUMMYFUNCTION("""COMPUTED_VALUE"""),195.3)</f>
        <v>195.3</v>
      </c>
      <c r="F8416" s="2">
        <f>IFERROR(__xludf.DUMMYFUNCTION("""COMPUTED_VALUE"""),3279558.0)</f>
        <v>3279558</v>
      </c>
    </row>
    <row r="8417">
      <c r="A8417" s="3">
        <f>IFERROR(__xludf.DUMMYFUNCTION("""COMPUTED_VALUE"""),41407.666666666664)</f>
        <v>41407.66667</v>
      </c>
      <c r="B8417" s="2">
        <f>IFERROR(__xludf.DUMMYFUNCTION("""COMPUTED_VALUE"""),195.03)</f>
        <v>195.03</v>
      </c>
      <c r="C8417" s="2">
        <f>IFERROR(__xludf.DUMMYFUNCTION("""COMPUTED_VALUE"""),195.3)</f>
        <v>195.3</v>
      </c>
      <c r="D8417" s="2">
        <f>IFERROR(__xludf.DUMMYFUNCTION("""COMPUTED_VALUE"""),193.15)</f>
        <v>193.15</v>
      </c>
      <c r="E8417" s="2">
        <f>IFERROR(__xludf.DUMMYFUNCTION("""COMPUTED_VALUE"""),193.39)</f>
        <v>193.39</v>
      </c>
      <c r="F8417" s="2">
        <f>IFERROR(__xludf.DUMMYFUNCTION("""COMPUTED_VALUE"""),3651831.0)</f>
        <v>3651831</v>
      </c>
    </row>
    <row r="8418">
      <c r="A8418" s="3">
        <f>IFERROR(__xludf.DUMMYFUNCTION("""COMPUTED_VALUE"""),41408.666666666664)</f>
        <v>41408.66667</v>
      </c>
      <c r="B8418" s="2">
        <f>IFERROR(__xludf.DUMMYFUNCTION("""COMPUTED_VALUE"""),193.03)</f>
        <v>193.03</v>
      </c>
      <c r="C8418" s="2">
        <f>IFERROR(__xludf.DUMMYFUNCTION("""COMPUTED_VALUE"""),194.54)</f>
        <v>194.54</v>
      </c>
      <c r="D8418" s="2">
        <f>IFERROR(__xludf.DUMMYFUNCTION("""COMPUTED_VALUE"""),193.02)</f>
        <v>193.02</v>
      </c>
      <c r="E8418" s="2">
        <f>IFERROR(__xludf.DUMMYFUNCTION("""COMPUTED_VALUE"""),194.1)</f>
        <v>194.1</v>
      </c>
      <c r="F8418" s="2">
        <f>IFERROR(__xludf.DUMMYFUNCTION("""COMPUTED_VALUE"""),3701203.0)</f>
        <v>3701203</v>
      </c>
    </row>
    <row r="8419">
      <c r="A8419" s="3">
        <f>IFERROR(__xludf.DUMMYFUNCTION("""COMPUTED_VALUE"""),41409.666666666664)</f>
        <v>41409.66667</v>
      </c>
      <c r="B8419" s="2">
        <f>IFERROR(__xludf.DUMMYFUNCTION("""COMPUTED_VALUE"""),193.18)</f>
        <v>193.18</v>
      </c>
      <c r="C8419" s="2">
        <f>IFERROR(__xludf.DUMMYFUNCTION("""COMPUTED_VALUE"""),194.55)</f>
        <v>194.55</v>
      </c>
      <c r="D8419" s="2">
        <f>IFERROR(__xludf.DUMMYFUNCTION("""COMPUTED_VALUE"""),192.98)</f>
        <v>192.98</v>
      </c>
      <c r="E8419" s="2">
        <f>IFERROR(__xludf.DUMMYFUNCTION("""COMPUTED_VALUE"""),194.2)</f>
        <v>194.2</v>
      </c>
      <c r="F8419" s="2">
        <f>IFERROR(__xludf.DUMMYFUNCTION("""COMPUTED_VALUE"""),4030080.0)</f>
        <v>4030080</v>
      </c>
    </row>
    <row r="8420">
      <c r="A8420" s="3">
        <f>IFERROR(__xludf.DUMMYFUNCTION("""COMPUTED_VALUE"""),41410.666666666664)</f>
        <v>41410.66667</v>
      </c>
      <c r="B8420" s="2">
        <f>IFERROR(__xludf.DUMMYFUNCTION("""COMPUTED_VALUE"""),194.85)</f>
        <v>194.85</v>
      </c>
      <c r="C8420" s="2">
        <f>IFERROR(__xludf.DUMMYFUNCTION("""COMPUTED_VALUE"""),197.33)</f>
        <v>197.33</v>
      </c>
      <c r="D8420" s="2">
        <f>IFERROR(__xludf.DUMMYFUNCTION("""COMPUTED_VALUE"""),194.85)</f>
        <v>194.85</v>
      </c>
      <c r="E8420" s="2">
        <f>IFERROR(__xludf.DUMMYFUNCTION("""COMPUTED_VALUE"""),195.51)</f>
        <v>195.51</v>
      </c>
      <c r="F8420" s="2">
        <f>IFERROR(__xludf.DUMMYFUNCTION("""COMPUTED_VALUE"""),4506972.0)</f>
        <v>4506972</v>
      </c>
    </row>
    <row r="8421">
      <c r="A8421" s="3">
        <f>IFERROR(__xludf.DUMMYFUNCTION("""COMPUTED_VALUE"""),41411.666666666664)</f>
        <v>41411.66667</v>
      </c>
      <c r="B8421" s="2">
        <f>IFERROR(__xludf.DUMMYFUNCTION("""COMPUTED_VALUE"""),196.05)</f>
        <v>196.05</v>
      </c>
      <c r="C8421" s="2">
        <f>IFERROR(__xludf.DUMMYFUNCTION("""COMPUTED_VALUE"""),200.11)</f>
        <v>200.11</v>
      </c>
      <c r="D8421" s="2">
        <f>IFERROR(__xludf.DUMMYFUNCTION("""COMPUTED_VALUE"""),195.8)</f>
        <v>195.8</v>
      </c>
      <c r="E8421" s="2">
        <f>IFERROR(__xludf.DUMMYFUNCTION("""COMPUTED_VALUE"""),199.09)</f>
        <v>199.09</v>
      </c>
      <c r="F8421" s="2">
        <f>IFERROR(__xludf.DUMMYFUNCTION("""COMPUTED_VALUE"""),5704295.0)</f>
        <v>5704295</v>
      </c>
    </row>
    <row r="8422">
      <c r="A8422" s="3">
        <f>IFERROR(__xludf.DUMMYFUNCTION("""COMPUTED_VALUE"""),41414.666666666664)</f>
        <v>41414.66667</v>
      </c>
      <c r="B8422" s="2">
        <f>IFERROR(__xludf.DUMMYFUNCTION("""COMPUTED_VALUE"""),198.69)</f>
        <v>198.69</v>
      </c>
      <c r="C8422" s="2">
        <f>IFERROR(__xludf.DUMMYFUNCTION("""COMPUTED_VALUE"""),199.77)</f>
        <v>199.77</v>
      </c>
      <c r="D8422" s="2">
        <f>IFERROR(__xludf.DUMMYFUNCTION("""COMPUTED_VALUE"""),198.12)</f>
        <v>198.12</v>
      </c>
      <c r="E8422" s="2">
        <f>IFERROR(__xludf.DUMMYFUNCTION("""COMPUTED_VALUE"""),198.29)</f>
        <v>198.29</v>
      </c>
      <c r="F8422" s="2">
        <f>IFERROR(__xludf.DUMMYFUNCTION("""COMPUTED_VALUE"""),3614453.0)</f>
        <v>3614453</v>
      </c>
    </row>
    <row r="8423">
      <c r="A8423" s="3">
        <f>IFERROR(__xludf.DUMMYFUNCTION("""COMPUTED_VALUE"""),41415.666666666664)</f>
        <v>41415.66667</v>
      </c>
      <c r="B8423" s="2">
        <f>IFERROR(__xludf.DUMMYFUNCTION("""COMPUTED_VALUE"""),197.95)</f>
        <v>197.95</v>
      </c>
      <c r="C8423" s="2">
        <f>IFERROR(__xludf.DUMMYFUNCTION("""COMPUTED_VALUE"""),200.09)</f>
        <v>200.09</v>
      </c>
      <c r="D8423" s="2">
        <f>IFERROR(__xludf.DUMMYFUNCTION("""COMPUTED_VALUE"""),197.72)</f>
        <v>197.72</v>
      </c>
      <c r="E8423" s="2">
        <f>IFERROR(__xludf.DUMMYFUNCTION("""COMPUTED_VALUE"""),199.29)</f>
        <v>199.29</v>
      </c>
      <c r="F8423" s="2">
        <f>IFERROR(__xludf.DUMMYFUNCTION("""COMPUTED_VALUE"""),2982927.0)</f>
        <v>2982927</v>
      </c>
    </row>
    <row r="8424">
      <c r="A8424" s="3">
        <f>IFERROR(__xludf.DUMMYFUNCTION("""COMPUTED_VALUE"""),41416.666666666664)</f>
        <v>41416.66667</v>
      </c>
      <c r="B8424" s="2">
        <f>IFERROR(__xludf.DUMMYFUNCTION("""COMPUTED_VALUE"""),199.15)</f>
        <v>199.15</v>
      </c>
      <c r="C8424" s="2">
        <f>IFERROR(__xludf.DUMMYFUNCTION("""COMPUTED_VALUE"""),200.73)</f>
        <v>200.73</v>
      </c>
      <c r="D8424" s="2">
        <f>IFERROR(__xludf.DUMMYFUNCTION("""COMPUTED_VALUE"""),196.88)</f>
        <v>196.88</v>
      </c>
      <c r="E8424" s="2">
        <f>IFERROR(__xludf.DUMMYFUNCTION("""COMPUTED_VALUE"""),197.71)</f>
        <v>197.71</v>
      </c>
      <c r="F8424" s="2">
        <f>IFERROR(__xludf.DUMMYFUNCTION("""COMPUTED_VALUE"""),5187131.0)</f>
        <v>5187131</v>
      </c>
    </row>
    <row r="8425">
      <c r="A8425" s="3">
        <f>IFERROR(__xludf.DUMMYFUNCTION("""COMPUTED_VALUE"""),41417.666666666664)</f>
        <v>41417.66667</v>
      </c>
      <c r="B8425" s="2">
        <f>IFERROR(__xludf.DUMMYFUNCTION("""COMPUTED_VALUE"""),196.27)</f>
        <v>196.27</v>
      </c>
      <c r="C8425" s="2">
        <f>IFERROR(__xludf.DUMMYFUNCTION("""COMPUTED_VALUE"""),199.26)</f>
        <v>199.26</v>
      </c>
      <c r="D8425" s="2">
        <f>IFERROR(__xludf.DUMMYFUNCTION("""COMPUTED_VALUE"""),195.93)</f>
        <v>195.93</v>
      </c>
      <c r="E8425" s="2">
        <f>IFERROR(__xludf.DUMMYFUNCTION("""COMPUTED_VALUE"""),196.92)</f>
        <v>196.92</v>
      </c>
      <c r="F8425" s="2">
        <f>IFERROR(__xludf.DUMMYFUNCTION("""COMPUTED_VALUE"""),5180440.0)</f>
        <v>5180440</v>
      </c>
    </row>
    <row r="8426">
      <c r="A8426" s="3">
        <f>IFERROR(__xludf.DUMMYFUNCTION("""COMPUTED_VALUE"""),41418.666666666664)</f>
        <v>41418.66667</v>
      </c>
      <c r="B8426" s="2">
        <f>IFERROR(__xludf.DUMMYFUNCTION("""COMPUTED_VALUE"""),195.51)</f>
        <v>195.51</v>
      </c>
      <c r="C8426" s="2">
        <f>IFERROR(__xludf.DUMMYFUNCTION("""COMPUTED_VALUE"""),197.17)</f>
        <v>197.17</v>
      </c>
      <c r="D8426" s="2">
        <f>IFERROR(__xludf.DUMMYFUNCTION("""COMPUTED_VALUE"""),195.25)</f>
        <v>195.25</v>
      </c>
      <c r="E8426" s="2">
        <f>IFERROR(__xludf.DUMMYFUNCTION("""COMPUTED_VALUE"""),196.5)</f>
        <v>196.5</v>
      </c>
      <c r="F8426" s="2">
        <f>IFERROR(__xludf.DUMMYFUNCTION("""COMPUTED_VALUE"""),3295737.0)</f>
        <v>3295737</v>
      </c>
    </row>
    <row r="8427">
      <c r="A8427" s="3">
        <f>IFERROR(__xludf.DUMMYFUNCTION("""COMPUTED_VALUE"""),41422.666666666664)</f>
        <v>41422.66667</v>
      </c>
      <c r="B8427" s="2">
        <f>IFERROR(__xludf.DUMMYFUNCTION("""COMPUTED_VALUE"""),198.14)</f>
        <v>198.14</v>
      </c>
      <c r="C8427" s="2">
        <f>IFERROR(__xludf.DUMMYFUNCTION("""COMPUTED_VALUE"""),199.24)</f>
        <v>199.24</v>
      </c>
      <c r="D8427" s="2">
        <f>IFERROR(__xludf.DUMMYFUNCTION("""COMPUTED_VALUE"""),197.87)</f>
        <v>197.87</v>
      </c>
      <c r="E8427" s="2">
        <f>IFERROR(__xludf.DUMMYFUNCTION("""COMPUTED_VALUE"""),198.46)</f>
        <v>198.46</v>
      </c>
      <c r="F8427" s="2">
        <f>IFERROR(__xludf.DUMMYFUNCTION("""COMPUTED_VALUE"""),4011700.0)</f>
        <v>4011700</v>
      </c>
    </row>
    <row r="8428">
      <c r="A8428" s="3">
        <f>IFERROR(__xludf.DUMMYFUNCTION("""COMPUTED_VALUE"""),41423.666666666664)</f>
        <v>41423.66667</v>
      </c>
      <c r="B8428" s="2">
        <f>IFERROR(__xludf.DUMMYFUNCTION("""COMPUTED_VALUE"""),196.97)</f>
        <v>196.97</v>
      </c>
      <c r="C8428" s="2">
        <f>IFERROR(__xludf.DUMMYFUNCTION("""COMPUTED_VALUE"""),199.08)</f>
        <v>199.08</v>
      </c>
      <c r="D8428" s="2">
        <f>IFERROR(__xludf.DUMMYFUNCTION("""COMPUTED_VALUE"""),196.8)</f>
        <v>196.8</v>
      </c>
      <c r="E8428" s="2">
        <f>IFERROR(__xludf.DUMMYFUNCTION("""COMPUTED_VALUE"""),198.6)</f>
        <v>198.6</v>
      </c>
      <c r="F8428" s="2">
        <f>IFERROR(__xludf.DUMMYFUNCTION("""COMPUTED_VALUE"""),3439413.0)</f>
        <v>3439413</v>
      </c>
    </row>
    <row r="8429">
      <c r="A8429" s="3">
        <f>IFERROR(__xludf.DUMMYFUNCTION("""COMPUTED_VALUE"""),41424.666666666664)</f>
        <v>41424.66667</v>
      </c>
      <c r="B8429" s="2">
        <f>IFERROR(__xludf.DUMMYFUNCTION("""COMPUTED_VALUE"""),197.69)</f>
        <v>197.69</v>
      </c>
      <c r="C8429" s="2">
        <f>IFERROR(__xludf.DUMMYFUNCTION("""COMPUTED_VALUE"""),201.53)</f>
        <v>201.53</v>
      </c>
      <c r="D8429" s="2">
        <f>IFERROR(__xludf.DUMMYFUNCTION("""COMPUTED_VALUE"""),197.69)</f>
        <v>197.69</v>
      </c>
      <c r="E8429" s="2">
        <f>IFERROR(__xludf.DUMMYFUNCTION("""COMPUTED_VALUE"""),199.97)</f>
        <v>199.97</v>
      </c>
      <c r="F8429" s="2">
        <f>IFERROR(__xludf.DUMMYFUNCTION("""COMPUTED_VALUE"""),4400197.0)</f>
        <v>4400197</v>
      </c>
    </row>
    <row r="8430">
      <c r="A8430" s="3">
        <f>IFERROR(__xludf.DUMMYFUNCTION("""COMPUTED_VALUE"""),41425.666666666664)</f>
        <v>41425.66667</v>
      </c>
      <c r="B8430" s="2">
        <f>IFERROR(__xludf.DUMMYFUNCTION("""COMPUTED_VALUE"""),199.24)</f>
        <v>199.24</v>
      </c>
      <c r="C8430" s="2">
        <f>IFERROR(__xludf.DUMMYFUNCTION("""COMPUTED_VALUE"""),202.48)</f>
        <v>202.48</v>
      </c>
      <c r="D8430" s="2">
        <f>IFERROR(__xludf.DUMMYFUNCTION("""COMPUTED_VALUE"""),198.69)</f>
        <v>198.69</v>
      </c>
      <c r="E8430" s="2">
        <f>IFERROR(__xludf.DUMMYFUNCTION("""COMPUTED_VALUE"""),198.69)</f>
        <v>198.69</v>
      </c>
      <c r="F8430" s="2">
        <f>IFERROR(__xludf.DUMMYFUNCTION("""COMPUTED_VALUE"""),4950406.0)</f>
        <v>4950406</v>
      </c>
    </row>
    <row r="8431">
      <c r="A8431" s="3">
        <f>IFERROR(__xludf.DUMMYFUNCTION("""COMPUTED_VALUE"""),41428.666666666664)</f>
        <v>41428.66667</v>
      </c>
      <c r="B8431" s="2">
        <f>IFERROR(__xludf.DUMMYFUNCTION("""COMPUTED_VALUE"""),198.91)</f>
        <v>198.91</v>
      </c>
      <c r="C8431" s="2">
        <f>IFERROR(__xludf.DUMMYFUNCTION("""COMPUTED_VALUE"""),200.63)</f>
        <v>200.63</v>
      </c>
      <c r="D8431" s="2">
        <f>IFERROR(__xludf.DUMMYFUNCTION("""COMPUTED_VALUE"""),198.03)</f>
        <v>198.03</v>
      </c>
      <c r="E8431" s="2">
        <f>IFERROR(__xludf.DUMMYFUNCTION("""COMPUTED_VALUE"""),199.58)</f>
        <v>199.58</v>
      </c>
      <c r="F8431" s="2">
        <f>IFERROR(__xludf.DUMMYFUNCTION("""COMPUTED_VALUE"""),3323648.0)</f>
        <v>3323648</v>
      </c>
    </row>
    <row r="8432">
      <c r="A8432" s="3">
        <f>IFERROR(__xludf.DUMMYFUNCTION("""COMPUTED_VALUE"""),41429.666666666664)</f>
        <v>41429.66667</v>
      </c>
      <c r="B8432" s="2">
        <f>IFERROR(__xludf.DUMMYFUNCTION("""COMPUTED_VALUE"""),199.25)</f>
        <v>199.25</v>
      </c>
      <c r="C8432" s="2">
        <f>IFERROR(__xludf.DUMMYFUNCTION("""COMPUTED_VALUE"""),199.63)</f>
        <v>199.63</v>
      </c>
      <c r="D8432" s="2">
        <f>IFERROR(__xludf.DUMMYFUNCTION("""COMPUTED_VALUE"""),195.89)</f>
        <v>195.89</v>
      </c>
      <c r="E8432" s="2">
        <f>IFERROR(__xludf.DUMMYFUNCTION("""COMPUTED_VALUE"""),196.95)</f>
        <v>196.95</v>
      </c>
      <c r="F8432" s="2">
        <f>IFERROR(__xludf.DUMMYFUNCTION("""COMPUTED_VALUE"""),3598659.0)</f>
        <v>3598659</v>
      </c>
    </row>
    <row r="8433">
      <c r="A8433" s="3">
        <f>IFERROR(__xludf.DUMMYFUNCTION("""COMPUTED_VALUE"""),41430.666666666664)</f>
        <v>41430.66667</v>
      </c>
      <c r="B8433" s="2">
        <f>IFERROR(__xludf.DUMMYFUNCTION("""COMPUTED_VALUE"""),195.96)</f>
        <v>195.96</v>
      </c>
      <c r="C8433" s="2">
        <f>IFERROR(__xludf.DUMMYFUNCTION("""COMPUTED_VALUE"""),197.04)</f>
        <v>197.04</v>
      </c>
      <c r="D8433" s="2">
        <f>IFERROR(__xludf.DUMMYFUNCTION("""COMPUTED_VALUE"""),193.33)</f>
        <v>193.33</v>
      </c>
      <c r="E8433" s="2">
        <f>IFERROR(__xludf.DUMMYFUNCTION("""COMPUTED_VALUE"""),193.65)</f>
        <v>193.65</v>
      </c>
      <c r="F8433" s="2">
        <f>IFERROR(__xludf.DUMMYFUNCTION("""COMPUTED_VALUE"""),4215365.0)</f>
        <v>4215365</v>
      </c>
    </row>
    <row r="8434">
      <c r="A8434" s="3">
        <f>IFERROR(__xludf.DUMMYFUNCTION("""COMPUTED_VALUE"""),41431.666666666664)</f>
        <v>41431.66667</v>
      </c>
      <c r="B8434" s="2">
        <f>IFERROR(__xludf.DUMMYFUNCTION("""COMPUTED_VALUE"""),193.9)</f>
        <v>193.9</v>
      </c>
      <c r="C8434" s="2">
        <f>IFERROR(__xludf.DUMMYFUNCTION("""COMPUTED_VALUE"""),195.04)</f>
        <v>195.04</v>
      </c>
      <c r="D8434" s="2">
        <f>IFERROR(__xludf.DUMMYFUNCTION("""COMPUTED_VALUE"""),192.44)</f>
        <v>192.44</v>
      </c>
      <c r="E8434" s="2">
        <f>IFERROR(__xludf.DUMMYFUNCTION("""COMPUTED_VALUE"""),194.66)</f>
        <v>194.66</v>
      </c>
      <c r="F8434" s="2">
        <f>IFERROR(__xludf.DUMMYFUNCTION("""COMPUTED_VALUE"""),3679532.0)</f>
        <v>3679532</v>
      </c>
    </row>
    <row r="8435">
      <c r="A8435" s="3">
        <f>IFERROR(__xludf.DUMMYFUNCTION("""COMPUTED_VALUE"""),41432.666666666664)</f>
        <v>41432.66667</v>
      </c>
      <c r="B8435" s="2">
        <f>IFERROR(__xludf.DUMMYFUNCTION("""COMPUTED_VALUE"""),195.67)</f>
        <v>195.67</v>
      </c>
      <c r="C8435" s="2">
        <f>IFERROR(__xludf.DUMMYFUNCTION("""COMPUTED_VALUE"""),197.1)</f>
        <v>197.1</v>
      </c>
      <c r="D8435" s="2">
        <f>IFERROR(__xludf.DUMMYFUNCTION("""COMPUTED_VALUE"""),194.96)</f>
        <v>194.96</v>
      </c>
      <c r="E8435" s="2">
        <f>IFERROR(__xludf.DUMMYFUNCTION("""COMPUTED_VALUE"""),197.1)</f>
        <v>197.1</v>
      </c>
      <c r="F8435" s="2">
        <f>IFERROR(__xludf.DUMMYFUNCTION("""COMPUTED_VALUE"""),2953540.0)</f>
        <v>2953540</v>
      </c>
    </row>
    <row r="8436">
      <c r="A8436" s="3">
        <f>IFERROR(__xludf.DUMMYFUNCTION("""COMPUTED_VALUE"""),41435.666666666664)</f>
        <v>41435.66667</v>
      </c>
      <c r="B8436" s="2">
        <f>IFERROR(__xludf.DUMMYFUNCTION("""COMPUTED_VALUE"""),197.69)</f>
        <v>197.69</v>
      </c>
      <c r="C8436" s="2">
        <f>IFERROR(__xludf.DUMMYFUNCTION("""COMPUTED_VALUE"""),197.7)</f>
        <v>197.7</v>
      </c>
      <c r="D8436" s="2">
        <f>IFERROR(__xludf.DUMMYFUNCTION("""COMPUTED_VALUE"""),195.71)</f>
        <v>195.71</v>
      </c>
      <c r="E8436" s="2">
        <f>IFERROR(__xludf.DUMMYFUNCTION("""COMPUTED_VALUE"""),195.83)</f>
        <v>195.83</v>
      </c>
      <c r="F8436" s="2">
        <f>IFERROR(__xludf.DUMMYFUNCTION("""COMPUTED_VALUE"""),2652420.0)</f>
        <v>2652420</v>
      </c>
    </row>
    <row r="8437">
      <c r="A8437" s="3">
        <f>IFERROR(__xludf.DUMMYFUNCTION("""COMPUTED_VALUE"""),41436.666666666664)</f>
        <v>41436.66667</v>
      </c>
      <c r="B8437" s="2">
        <f>IFERROR(__xludf.DUMMYFUNCTION("""COMPUTED_VALUE"""),194.06)</f>
        <v>194.06</v>
      </c>
      <c r="C8437" s="2">
        <f>IFERROR(__xludf.DUMMYFUNCTION("""COMPUTED_VALUE"""),196.72)</f>
        <v>196.72</v>
      </c>
      <c r="D8437" s="2">
        <f>IFERROR(__xludf.DUMMYFUNCTION("""COMPUTED_VALUE"""),193.43)</f>
        <v>193.43</v>
      </c>
      <c r="E8437" s="2">
        <f>IFERROR(__xludf.DUMMYFUNCTION("""COMPUTED_VALUE"""),194.83)</f>
        <v>194.83</v>
      </c>
      <c r="F8437" s="2">
        <f>IFERROR(__xludf.DUMMYFUNCTION("""COMPUTED_VALUE"""),2814520.0)</f>
        <v>2814520</v>
      </c>
    </row>
    <row r="8438">
      <c r="A8438" s="3">
        <f>IFERROR(__xludf.DUMMYFUNCTION("""COMPUTED_VALUE"""),41437.666666666664)</f>
        <v>41437.66667</v>
      </c>
      <c r="B8438" s="2">
        <f>IFERROR(__xludf.DUMMYFUNCTION("""COMPUTED_VALUE"""),195.42)</f>
        <v>195.42</v>
      </c>
      <c r="C8438" s="2">
        <f>IFERROR(__xludf.DUMMYFUNCTION("""COMPUTED_VALUE"""),196.03)</f>
        <v>196.03</v>
      </c>
      <c r="D8438" s="2">
        <f>IFERROR(__xludf.DUMMYFUNCTION("""COMPUTED_VALUE"""),191.52)</f>
        <v>191.52</v>
      </c>
      <c r="E8438" s="2">
        <f>IFERROR(__xludf.DUMMYFUNCTION("""COMPUTED_VALUE"""),192.18)</f>
        <v>192.18</v>
      </c>
      <c r="F8438" s="2">
        <f>IFERROR(__xludf.DUMMYFUNCTION("""COMPUTED_VALUE"""),3409855.0)</f>
        <v>3409855</v>
      </c>
    </row>
    <row r="8439">
      <c r="A8439" s="3">
        <f>IFERROR(__xludf.DUMMYFUNCTION("""COMPUTED_VALUE"""),41438.666666666664)</f>
        <v>41438.66667</v>
      </c>
      <c r="B8439" s="2">
        <f>IFERROR(__xludf.DUMMYFUNCTION("""COMPUTED_VALUE"""),192.0)</f>
        <v>192</v>
      </c>
      <c r="C8439" s="2">
        <f>IFERROR(__xludf.DUMMYFUNCTION("""COMPUTED_VALUE"""),195.24)</f>
        <v>195.24</v>
      </c>
      <c r="D8439" s="2">
        <f>IFERROR(__xludf.DUMMYFUNCTION("""COMPUTED_VALUE"""),191.36)</f>
        <v>191.36</v>
      </c>
      <c r="E8439" s="2">
        <f>IFERROR(__xludf.DUMMYFUNCTION("""COMPUTED_VALUE"""),194.63)</f>
        <v>194.63</v>
      </c>
      <c r="F8439" s="2">
        <f>IFERROR(__xludf.DUMMYFUNCTION("""COMPUTED_VALUE"""),2899698.0)</f>
        <v>2899698</v>
      </c>
    </row>
    <row r="8440">
      <c r="A8440" s="3">
        <f>IFERROR(__xludf.DUMMYFUNCTION("""COMPUTED_VALUE"""),41439.666666666664)</f>
        <v>41439.66667</v>
      </c>
      <c r="B8440" s="2">
        <f>IFERROR(__xludf.DUMMYFUNCTION("""COMPUTED_VALUE"""),194.82)</f>
        <v>194.82</v>
      </c>
      <c r="C8440" s="2">
        <f>IFERROR(__xludf.DUMMYFUNCTION("""COMPUTED_VALUE"""),195.57)</f>
        <v>195.57</v>
      </c>
      <c r="D8440" s="2">
        <f>IFERROR(__xludf.DUMMYFUNCTION("""COMPUTED_VALUE"""),192.76)</f>
        <v>192.76</v>
      </c>
      <c r="E8440" s="2">
        <f>IFERROR(__xludf.DUMMYFUNCTION("""COMPUTED_VALUE"""),193.13)</f>
        <v>193.13</v>
      </c>
      <c r="F8440" s="2">
        <f>IFERROR(__xludf.DUMMYFUNCTION("""COMPUTED_VALUE"""),2804859.0)</f>
        <v>2804859</v>
      </c>
    </row>
    <row r="8441">
      <c r="A8441" s="3">
        <f>IFERROR(__xludf.DUMMYFUNCTION("""COMPUTED_VALUE"""),41442.666666666664)</f>
        <v>41442.66667</v>
      </c>
      <c r="B8441" s="2">
        <f>IFERROR(__xludf.DUMMYFUNCTION("""COMPUTED_VALUE"""),194.32)</f>
        <v>194.32</v>
      </c>
      <c r="C8441" s="2">
        <f>IFERROR(__xludf.DUMMYFUNCTION("""COMPUTED_VALUE"""),195.97)</f>
        <v>195.97</v>
      </c>
      <c r="D8441" s="2">
        <f>IFERROR(__xludf.DUMMYFUNCTION("""COMPUTED_VALUE"""),193.47)</f>
        <v>193.47</v>
      </c>
      <c r="E8441" s="2">
        <f>IFERROR(__xludf.DUMMYFUNCTION("""COMPUTED_VALUE"""),193.94)</f>
        <v>193.94</v>
      </c>
      <c r="F8441" s="2">
        <f>IFERROR(__xludf.DUMMYFUNCTION("""COMPUTED_VALUE"""),3220009.0)</f>
        <v>3220009</v>
      </c>
    </row>
    <row r="8442">
      <c r="A8442" s="3">
        <f>IFERROR(__xludf.DUMMYFUNCTION("""COMPUTED_VALUE"""),41443.666666666664)</f>
        <v>41443.66667</v>
      </c>
      <c r="B8442" s="2">
        <f>IFERROR(__xludf.DUMMYFUNCTION("""COMPUTED_VALUE"""),193.92)</f>
        <v>193.92</v>
      </c>
      <c r="C8442" s="2">
        <f>IFERROR(__xludf.DUMMYFUNCTION("""COMPUTED_VALUE"""),196.85)</f>
        <v>196.85</v>
      </c>
      <c r="D8442" s="2">
        <f>IFERROR(__xludf.DUMMYFUNCTION("""COMPUTED_VALUE"""),193.77)</f>
        <v>193.77</v>
      </c>
      <c r="E8442" s="2">
        <f>IFERROR(__xludf.DUMMYFUNCTION("""COMPUTED_VALUE"""),195.68)</f>
        <v>195.68</v>
      </c>
      <c r="F8442" s="2">
        <f>IFERROR(__xludf.DUMMYFUNCTION("""COMPUTED_VALUE"""),3278151.0)</f>
        <v>3278151</v>
      </c>
    </row>
    <row r="8443">
      <c r="A8443" s="3">
        <f>IFERROR(__xludf.DUMMYFUNCTION("""COMPUTED_VALUE"""),41444.666666666664)</f>
        <v>41444.66667</v>
      </c>
      <c r="B8443" s="2">
        <f>IFERROR(__xludf.DUMMYFUNCTION("""COMPUTED_VALUE"""),195.27)</f>
        <v>195.27</v>
      </c>
      <c r="C8443" s="2">
        <f>IFERROR(__xludf.DUMMYFUNCTION("""COMPUTED_VALUE"""),195.84)</f>
        <v>195.84</v>
      </c>
      <c r="D8443" s="2">
        <f>IFERROR(__xludf.DUMMYFUNCTION("""COMPUTED_VALUE"""),192.88)</f>
        <v>192.88</v>
      </c>
      <c r="E8443" s="2">
        <f>IFERROR(__xludf.DUMMYFUNCTION("""COMPUTED_VALUE"""),192.89)</f>
        <v>192.89</v>
      </c>
      <c r="F8443" s="2">
        <f>IFERROR(__xludf.DUMMYFUNCTION("""COMPUTED_VALUE"""),2846204.0)</f>
        <v>2846204</v>
      </c>
    </row>
    <row r="8444">
      <c r="A8444" s="3">
        <f>IFERROR(__xludf.DUMMYFUNCTION("""COMPUTED_VALUE"""),41445.666666666664)</f>
        <v>41445.66667</v>
      </c>
      <c r="B8444" s="2">
        <f>IFERROR(__xludf.DUMMYFUNCTION("""COMPUTED_VALUE"""),191.67)</f>
        <v>191.67</v>
      </c>
      <c r="C8444" s="2">
        <f>IFERROR(__xludf.DUMMYFUNCTION("""COMPUTED_VALUE"""),192.66)</f>
        <v>192.66</v>
      </c>
      <c r="D8444" s="2">
        <f>IFERROR(__xludf.DUMMYFUNCTION("""COMPUTED_VALUE"""),188.43)</f>
        <v>188.43</v>
      </c>
      <c r="E8444" s="2">
        <f>IFERROR(__xludf.DUMMYFUNCTION("""COMPUTED_VALUE"""),188.5)</f>
        <v>188.5</v>
      </c>
      <c r="F8444" s="2">
        <f>IFERROR(__xludf.DUMMYFUNCTION("""COMPUTED_VALUE"""),4516329.0)</f>
        <v>4516329</v>
      </c>
    </row>
    <row r="8445">
      <c r="A8445" s="3">
        <f>IFERROR(__xludf.DUMMYFUNCTION("""COMPUTED_VALUE"""),41446.666666666664)</f>
        <v>41446.66667</v>
      </c>
      <c r="B8445" s="2">
        <f>IFERROR(__xludf.DUMMYFUNCTION("""COMPUTED_VALUE"""),189.6)</f>
        <v>189.6</v>
      </c>
      <c r="C8445" s="2">
        <f>IFERROR(__xludf.DUMMYFUNCTION("""COMPUTED_VALUE"""),189.62)</f>
        <v>189.62</v>
      </c>
      <c r="D8445" s="2">
        <f>IFERROR(__xludf.DUMMYFUNCTION("""COMPUTED_VALUE"""),184.86)</f>
        <v>184.86</v>
      </c>
      <c r="E8445" s="2">
        <f>IFERROR(__xludf.DUMMYFUNCTION("""COMPUTED_VALUE"""),186.7)</f>
        <v>186.7</v>
      </c>
      <c r="F8445" s="2">
        <f>IFERROR(__xludf.DUMMYFUNCTION("""COMPUTED_VALUE"""),8919218.0)</f>
        <v>8919218</v>
      </c>
    </row>
    <row r="8446">
      <c r="A8446" s="3">
        <f>IFERROR(__xludf.DUMMYFUNCTION("""COMPUTED_VALUE"""),41449.666666666664)</f>
        <v>41449.66667</v>
      </c>
      <c r="B8446" s="2">
        <f>IFERROR(__xludf.DUMMYFUNCTION("""COMPUTED_VALUE"""),185.29)</f>
        <v>185.29</v>
      </c>
      <c r="C8446" s="2">
        <f>IFERROR(__xludf.DUMMYFUNCTION("""COMPUTED_VALUE"""),186.17)</f>
        <v>186.17</v>
      </c>
      <c r="D8446" s="2">
        <f>IFERROR(__xludf.DUMMYFUNCTION("""COMPUTED_VALUE"""),182.76)</f>
        <v>182.76</v>
      </c>
      <c r="E8446" s="2">
        <f>IFERROR(__xludf.DUMMYFUNCTION("""COMPUTED_VALUE"""),184.86)</f>
        <v>184.86</v>
      </c>
      <c r="F8446" s="2">
        <f>IFERROR(__xludf.DUMMYFUNCTION("""COMPUTED_VALUE"""),4356153.0)</f>
        <v>4356153</v>
      </c>
    </row>
    <row r="8447">
      <c r="A8447" s="3">
        <f>IFERROR(__xludf.DUMMYFUNCTION("""COMPUTED_VALUE"""),41450.666666666664)</f>
        <v>41450.66667</v>
      </c>
      <c r="B8447" s="2">
        <f>IFERROR(__xludf.DUMMYFUNCTION("""COMPUTED_VALUE"""),186.55)</f>
        <v>186.55</v>
      </c>
      <c r="C8447" s="2">
        <f>IFERROR(__xludf.DUMMYFUNCTION("""COMPUTED_VALUE"""),186.82)</f>
        <v>186.82</v>
      </c>
      <c r="D8447" s="2">
        <f>IFERROR(__xludf.DUMMYFUNCTION("""COMPUTED_VALUE"""),184.49)</f>
        <v>184.49</v>
      </c>
      <c r="E8447" s="2">
        <f>IFERROR(__xludf.DUMMYFUNCTION("""COMPUTED_VALUE"""),186.24)</f>
        <v>186.24</v>
      </c>
      <c r="F8447" s="2">
        <f>IFERROR(__xludf.DUMMYFUNCTION("""COMPUTED_VALUE"""),3848021.0)</f>
        <v>3848021</v>
      </c>
    </row>
    <row r="8448">
      <c r="A8448" s="3">
        <f>IFERROR(__xludf.DUMMYFUNCTION("""COMPUTED_VALUE"""),41451.666666666664)</f>
        <v>41451.66667</v>
      </c>
      <c r="B8448" s="2">
        <f>IFERROR(__xludf.DUMMYFUNCTION("""COMPUTED_VALUE"""),187.18)</f>
        <v>187.18</v>
      </c>
      <c r="C8448" s="2">
        <f>IFERROR(__xludf.DUMMYFUNCTION("""COMPUTED_VALUE"""),187.43)</f>
        <v>187.43</v>
      </c>
      <c r="D8448" s="2">
        <f>IFERROR(__xludf.DUMMYFUNCTION("""COMPUTED_VALUE"""),185.78)</f>
        <v>185.78</v>
      </c>
      <c r="E8448" s="2">
        <f>IFERROR(__xludf.DUMMYFUNCTION("""COMPUTED_VALUE"""),186.12)</f>
        <v>186.12</v>
      </c>
      <c r="F8448" s="2">
        <f>IFERROR(__xludf.DUMMYFUNCTION("""COMPUTED_VALUE"""),3320202.0)</f>
        <v>3320202</v>
      </c>
    </row>
    <row r="8449">
      <c r="A8449" s="3">
        <f>IFERROR(__xludf.DUMMYFUNCTION("""COMPUTED_VALUE"""),41452.666666666664)</f>
        <v>41452.66667</v>
      </c>
      <c r="B8449" s="2">
        <f>IFERROR(__xludf.DUMMYFUNCTION("""COMPUTED_VALUE"""),187.26)</f>
        <v>187.26</v>
      </c>
      <c r="C8449" s="2">
        <f>IFERROR(__xludf.DUMMYFUNCTION("""COMPUTED_VALUE"""),188.07)</f>
        <v>188.07</v>
      </c>
      <c r="D8449" s="2">
        <f>IFERROR(__xludf.DUMMYFUNCTION("""COMPUTED_VALUE"""),186.53)</f>
        <v>186.53</v>
      </c>
      <c r="E8449" s="2">
        <f>IFERROR(__xludf.DUMMYFUNCTION("""COMPUTED_VALUE"""),186.88)</f>
        <v>186.88</v>
      </c>
      <c r="F8449" s="2">
        <f>IFERROR(__xludf.DUMMYFUNCTION("""COMPUTED_VALUE"""),3519332.0)</f>
        <v>3519332</v>
      </c>
    </row>
    <row r="8450">
      <c r="A8450" s="3">
        <f>IFERROR(__xludf.DUMMYFUNCTION("""COMPUTED_VALUE"""),41453.666666666664)</f>
        <v>41453.66667</v>
      </c>
      <c r="B8450" s="2">
        <f>IFERROR(__xludf.DUMMYFUNCTION("""COMPUTED_VALUE"""),183.13)</f>
        <v>183.13</v>
      </c>
      <c r="C8450" s="2">
        <f>IFERROR(__xludf.DUMMYFUNCTION("""COMPUTED_VALUE"""),184.02)</f>
        <v>184.02</v>
      </c>
      <c r="D8450" s="2">
        <f>IFERROR(__xludf.DUMMYFUNCTION("""COMPUTED_VALUE"""),179.96)</f>
        <v>179.96</v>
      </c>
      <c r="E8450" s="2">
        <f>IFERROR(__xludf.DUMMYFUNCTION("""COMPUTED_VALUE"""),182.54)</f>
        <v>182.54</v>
      </c>
      <c r="F8450" s="2">
        <f>IFERROR(__xludf.DUMMYFUNCTION("""COMPUTED_VALUE"""),1.0056856E7)</f>
        <v>10056856</v>
      </c>
    </row>
    <row r="8451">
      <c r="A8451" s="3">
        <f>IFERROR(__xludf.DUMMYFUNCTION("""COMPUTED_VALUE"""),41456.666666666664)</f>
        <v>41456.66667</v>
      </c>
      <c r="B8451" s="2">
        <f>IFERROR(__xludf.DUMMYFUNCTION("""COMPUTED_VALUE"""),183.53)</f>
        <v>183.53</v>
      </c>
      <c r="C8451" s="2">
        <f>IFERROR(__xludf.DUMMYFUNCTION("""COMPUTED_VALUE"""),185.11)</f>
        <v>185.11</v>
      </c>
      <c r="D8451" s="2">
        <f>IFERROR(__xludf.DUMMYFUNCTION("""COMPUTED_VALUE"""),182.55)</f>
        <v>182.55</v>
      </c>
      <c r="E8451" s="2">
        <f>IFERROR(__xludf.DUMMYFUNCTION("""COMPUTED_VALUE"""),182.7)</f>
        <v>182.7</v>
      </c>
      <c r="F8451" s="2">
        <f>IFERROR(__xludf.DUMMYFUNCTION("""COMPUTED_VALUE"""),4442422.0)</f>
        <v>4442422</v>
      </c>
    </row>
    <row r="8452">
      <c r="A8452" s="3">
        <f>IFERROR(__xludf.DUMMYFUNCTION("""COMPUTED_VALUE"""),41457.666666666664)</f>
        <v>41457.66667</v>
      </c>
      <c r="B8452" s="2">
        <f>IFERROR(__xludf.DUMMYFUNCTION("""COMPUTED_VALUE"""),182.23)</f>
        <v>182.23</v>
      </c>
      <c r="C8452" s="2">
        <f>IFERROR(__xludf.DUMMYFUNCTION("""COMPUTED_VALUE"""),184.57)</f>
        <v>184.57</v>
      </c>
      <c r="D8452" s="2">
        <f>IFERROR(__xludf.DUMMYFUNCTION("""COMPUTED_VALUE"""),181.73)</f>
        <v>181.73</v>
      </c>
      <c r="E8452" s="2">
        <f>IFERROR(__xludf.DUMMYFUNCTION("""COMPUTED_VALUE"""),182.91)</f>
        <v>182.91</v>
      </c>
      <c r="F8452" s="2">
        <f>IFERROR(__xludf.DUMMYFUNCTION("""COMPUTED_VALUE"""),3657855.0)</f>
        <v>3657855</v>
      </c>
    </row>
    <row r="8453">
      <c r="A8453" s="3">
        <f>IFERROR(__xludf.DUMMYFUNCTION("""COMPUTED_VALUE"""),41458.666666666664)</f>
        <v>41458.66667</v>
      </c>
      <c r="B8453" s="2">
        <f>IFERROR(__xludf.DUMMYFUNCTION("""COMPUTED_VALUE"""),182.42)</f>
        <v>182.42</v>
      </c>
      <c r="C8453" s="2">
        <f>IFERROR(__xludf.DUMMYFUNCTION("""COMPUTED_VALUE"""),185.51)</f>
        <v>185.51</v>
      </c>
      <c r="D8453" s="2">
        <f>IFERROR(__xludf.DUMMYFUNCTION("""COMPUTED_VALUE"""),181.97)</f>
        <v>181.97</v>
      </c>
      <c r="E8453" s="2">
        <f>IFERROR(__xludf.DUMMYFUNCTION("""COMPUTED_VALUE"""),184.59)</f>
        <v>184.59</v>
      </c>
      <c r="F8453" s="2">
        <f>IFERROR(__xludf.DUMMYFUNCTION("""COMPUTED_VALUE"""),1878313.0)</f>
        <v>1878313</v>
      </c>
    </row>
    <row r="8454">
      <c r="A8454" s="3">
        <f>IFERROR(__xludf.DUMMYFUNCTION("""COMPUTED_VALUE"""),41460.666666666664)</f>
        <v>41460.66667</v>
      </c>
      <c r="B8454" s="2">
        <f>IFERROR(__xludf.DUMMYFUNCTION("""COMPUTED_VALUE"""),185.77)</f>
        <v>185.77</v>
      </c>
      <c r="C8454" s="2">
        <f>IFERROR(__xludf.DUMMYFUNCTION("""COMPUTED_VALUE"""),186.41)</f>
        <v>186.41</v>
      </c>
      <c r="D8454" s="2">
        <f>IFERROR(__xludf.DUMMYFUNCTION("""COMPUTED_VALUE"""),183.73)</f>
        <v>183.73</v>
      </c>
      <c r="E8454" s="2">
        <f>IFERROR(__xludf.DUMMYFUNCTION("""COMPUTED_VALUE"""),186.19)</f>
        <v>186.19</v>
      </c>
      <c r="F8454" s="2">
        <f>IFERROR(__xludf.DUMMYFUNCTION("""COMPUTED_VALUE"""),2407971.0)</f>
        <v>2407971</v>
      </c>
    </row>
    <row r="8455">
      <c r="A8455" s="3">
        <f>IFERROR(__xludf.DUMMYFUNCTION("""COMPUTED_VALUE"""),41463.666666666664)</f>
        <v>41463.66667</v>
      </c>
      <c r="B8455" s="2">
        <f>IFERROR(__xludf.DUMMYFUNCTION("""COMPUTED_VALUE"""),186.83)</f>
        <v>186.83</v>
      </c>
      <c r="C8455" s="2">
        <f>IFERROR(__xludf.DUMMYFUNCTION("""COMPUTED_VALUE"""),187.0)</f>
        <v>187</v>
      </c>
      <c r="D8455" s="2">
        <f>IFERROR(__xludf.DUMMYFUNCTION("""COMPUTED_VALUE"""),185.88)</f>
        <v>185.88</v>
      </c>
      <c r="E8455" s="2">
        <f>IFERROR(__xludf.DUMMYFUNCTION("""COMPUTED_VALUE"""),186.24)</f>
        <v>186.24</v>
      </c>
      <c r="F8455" s="2">
        <f>IFERROR(__xludf.DUMMYFUNCTION("""COMPUTED_VALUE"""),2948458.0)</f>
        <v>2948458</v>
      </c>
    </row>
    <row r="8456">
      <c r="A8456" s="3">
        <f>IFERROR(__xludf.DUMMYFUNCTION("""COMPUTED_VALUE"""),41464.666666666664)</f>
        <v>41464.66667</v>
      </c>
      <c r="B8456" s="2">
        <f>IFERROR(__xludf.DUMMYFUNCTION("""COMPUTED_VALUE"""),183.28)</f>
        <v>183.28</v>
      </c>
      <c r="C8456" s="2">
        <f>IFERROR(__xludf.DUMMYFUNCTION("""COMPUTED_VALUE"""),184.16)</f>
        <v>184.16</v>
      </c>
      <c r="D8456" s="2">
        <f>IFERROR(__xludf.DUMMYFUNCTION("""COMPUTED_VALUE"""),182.23)</f>
        <v>182.23</v>
      </c>
      <c r="E8456" s="2">
        <f>IFERROR(__xludf.DUMMYFUNCTION("""COMPUTED_VALUE"""),182.72)</f>
        <v>182.72</v>
      </c>
      <c r="F8456" s="2">
        <f>IFERROR(__xludf.DUMMYFUNCTION("""COMPUTED_VALUE"""),5204685.0)</f>
        <v>5204685</v>
      </c>
    </row>
    <row r="8457">
      <c r="A8457" s="3">
        <f>IFERROR(__xludf.DUMMYFUNCTION("""COMPUTED_VALUE"""),41465.666666666664)</f>
        <v>41465.66667</v>
      </c>
      <c r="B8457" s="2">
        <f>IFERROR(__xludf.DUMMYFUNCTION("""COMPUTED_VALUE"""),182.92)</f>
        <v>182.92</v>
      </c>
      <c r="C8457" s="2">
        <f>IFERROR(__xludf.DUMMYFUNCTION("""COMPUTED_VALUE"""),184.76)</f>
        <v>184.76</v>
      </c>
      <c r="D8457" s="2">
        <f>IFERROR(__xludf.DUMMYFUNCTION("""COMPUTED_VALUE"""),182.7)</f>
        <v>182.7</v>
      </c>
      <c r="E8457" s="2">
        <f>IFERROR(__xludf.DUMMYFUNCTION("""COMPUTED_VALUE"""),183.63)</f>
        <v>183.63</v>
      </c>
      <c r="F8457" s="2">
        <f>IFERROR(__xludf.DUMMYFUNCTION("""COMPUTED_VALUE"""),3891960.0)</f>
        <v>3891960</v>
      </c>
    </row>
    <row r="8458">
      <c r="A8458" s="3">
        <f>IFERROR(__xludf.DUMMYFUNCTION("""COMPUTED_VALUE"""),41466.666666666664)</f>
        <v>41466.66667</v>
      </c>
      <c r="B8458" s="2">
        <f>IFERROR(__xludf.DUMMYFUNCTION("""COMPUTED_VALUE"""),185.09)</f>
        <v>185.09</v>
      </c>
      <c r="C8458" s="2">
        <f>IFERROR(__xludf.DUMMYFUNCTION("""COMPUTED_VALUE"""),185.41)</f>
        <v>185.41</v>
      </c>
      <c r="D8458" s="2">
        <f>IFERROR(__xludf.DUMMYFUNCTION("""COMPUTED_VALUE"""),183.97)</f>
        <v>183.97</v>
      </c>
      <c r="E8458" s="2">
        <f>IFERROR(__xludf.DUMMYFUNCTION("""COMPUTED_VALUE"""),184.16)</f>
        <v>184.16</v>
      </c>
      <c r="F8458" s="2">
        <f>IFERROR(__xludf.DUMMYFUNCTION("""COMPUTED_VALUE"""),4179123.0)</f>
        <v>4179123</v>
      </c>
    </row>
    <row r="8459">
      <c r="A8459" s="3">
        <f>IFERROR(__xludf.DUMMYFUNCTION("""COMPUTED_VALUE"""),41467.666666666664)</f>
        <v>41467.66667</v>
      </c>
      <c r="B8459" s="2">
        <f>IFERROR(__xludf.DUMMYFUNCTION("""COMPUTED_VALUE"""),184.41)</f>
        <v>184.41</v>
      </c>
      <c r="C8459" s="2">
        <f>IFERROR(__xludf.DUMMYFUNCTION("""COMPUTED_VALUE"""),185.02)</f>
        <v>185.02</v>
      </c>
      <c r="D8459" s="2">
        <f>IFERROR(__xludf.DUMMYFUNCTION("""COMPUTED_VALUE"""),183.0)</f>
        <v>183</v>
      </c>
      <c r="E8459" s="2">
        <f>IFERROR(__xludf.DUMMYFUNCTION("""COMPUTED_VALUE"""),183.46)</f>
        <v>183.46</v>
      </c>
      <c r="F8459" s="2">
        <f>IFERROR(__xludf.DUMMYFUNCTION("""COMPUTED_VALUE"""),4495892.0)</f>
        <v>4495892</v>
      </c>
    </row>
    <row r="8460">
      <c r="A8460" s="3">
        <f>IFERROR(__xludf.DUMMYFUNCTION("""COMPUTED_VALUE"""),41470.666666666664)</f>
        <v>41470.66667</v>
      </c>
      <c r="B8460" s="2">
        <f>IFERROR(__xludf.DUMMYFUNCTION("""COMPUTED_VALUE"""),183.79)</f>
        <v>183.79</v>
      </c>
      <c r="C8460" s="2">
        <f>IFERROR(__xludf.DUMMYFUNCTION("""COMPUTED_VALUE"""),186.15)</f>
        <v>186.15</v>
      </c>
      <c r="D8460" s="2">
        <f>IFERROR(__xludf.DUMMYFUNCTION("""COMPUTED_VALUE"""),183.09)</f>
        <v>183.09</v>
      </c>
      <c r="E8460" s="2">
        <f>IFERROR(__xludf.DUMMYFUNCTION("""COMPUTED_VALUE"""),185.3)</f>
        <v>185.3</v>
      </c>
      <c r="F8460" s="2">
        <f>IFERROR(__xludf.DUMMYFUNCTION("""COMPUTED_VALUE"""),5678238.0)</f>
        <v>5678238</v>
      </c>
    </row>
    <row r="8461">
      <c r="A8461" s="3">
        <f>IFERROR(__xludf.DUMMYFUNCTION("""COMPUTED_VALUE"""),41471.666666666664)</f>
        <v>41471.66667</v>
      </c>
      <c r="B8461" s="2">
        <f>IFERROR(__xludf.DUMMYFUNCTION("""COMPUTED_VALUE"""),185.34)</f>
        <v>185.34</v>
      </c>
      <c r="C8461" s="2">
        <f>IFERROR(__xludf.DUMMYFUNCTION("""COMPUTED_VALUE"""),185.86)</f>
        <v>185.86</v>
      </c>
      <c r="D8461" s="2">
        <f>IFERROR(__xludf.DUMMYFUNCTION("""COMPUTED_VALUE"""),184.05)</f>
        <v>184.05</v>
      </c>
      <c r="E8461" s="2">
        <f>IFERROR(__xludf.DUMMYFUNCTION("""COMPUTED_VALUE"""),185.16)</f>
        <v>185.16</v>
      </c>
      <c r="F8461" s="2">
        <f>IFERROR(__xludf.DUMMYFUNCTION("""COMPUTED_VALUE"""),3747394.0)</f>
        <v>3747394</v>
      </c>
    </row>
    <row r="8462">
      <c r="A8462" s="3">
        <f>IFERROR(__xludf.DUMMYFUNCTION("""COMPUTED_VALUE"""),41472.666666666664)</f>
        <v>41472.66667</v>
      </c>
      <c r="B8462" s="2">
        <f>IFERROR(__xludf.DUMMYFUNCTION("""COMPUTED_VALUE"""),185.99)</f>
        <v>185.99</v>
      </c>
      <c r="C8462" s="2">
        <f>IFERROR(__xludf.DUMMYFUNCTION("""COMPUTED_VALUE"""),186.15)</f>
        <v>186.15</v>
      </c>
      <c r="D8462" s="2">
        <f>IFERROR(__xludf.DUMMYFUNCTION("""COMPUTED_VALUE"""),184.38)</f>
        <v>184.38</v>
      </c>
      <c r="E8462" s="2">
        <f>IFERROR(__xludf.DUMMYFUNCTION("""COMPUTED_VALUE"""),185.83)</f>
        <v>185.83</v>
      </c>
      <c r="F8462" s="2">
        <f>IFERROR(__xludf.DUMMYFUNCTION("""COMPUTED_VALUE"""),6868411.0)</f>
        <v>6868411</v>
      </c>
    </row>
    <row r="8463">
      <c r="A8463" s="3">
        <f>IFERROR(__xludf.DUMMYFUNCTION("""COMPUTED_VALUE"""),41473.666666666664)</f>
        <v>41473.66667</v>
      </c>
      <c r="B8463" s="2">
        <f>IFERROR(__xludf.DUMMYFUNCTION("""COMPUTED_VALUE"""),189.38)</f>
        <v>189.38</v>
      </c>
      <c r="C8463" s="2">
        <f>IFERROR(__xludf.DUMMYFUNCTION("""COMPUTED_VALUE"""),191.93)</f>
        <v>191.93</v>
      </c>
      <c r="D8463" s="2">
        <f>IFERROR(__xludf.DUMMYFUNCTION("""COMPUTED_VALUE"""),187.2)</f>
        <v>187.2</v>
      </c>
      <c r="E8463" s="2">
        <f>IFERROR(__xludf.DUMMYFUNCTION("""COMPUTED_VALUE"""),189.11)</f>
        <v>189.11</v>
      </c>
      <c r="F8463" s="2">
        <f>IFERROR(__xludf.DUMMYFUNCTION("""COMPUTED_VALUE"""),8394310.0)</f>
        <v>8394310</v>
      </c>
    </row>
    <row r="8464">
      <c r="A8464" s="3">
        <f>IFERROR(__xludf.DUMMYFUNCTION("""COMPUTED_VALUE"""),41474.666666666664)</f>
        <v>41474.66667</v>
      </c>
      <c r="B8464" s="2">
        <f>IFERROR(__xludf.DUMMYFUNCTION("""COMPUTED_VALUE"""),189.04)</f>
        <v>189.04</v>
      </c>
      <c r="C8464" s="2">
        <f>IFERROR(__xludf.DUMMYFUNCTION("""COMPUTED_VALUE"""),189.11)</f>
        <v>189.11</v>
      </c>
      <c r="D8464" s="2">
        <f>IFERROR(__xludf.DUMMYFUNCTION("""COMPUTED_VALUE"""),184.58)</f>
        <v>184.58</v>
      </c>
      <c r="E8464" s="2">
        <f>IFERROR(__xludf.DUMMYFUNCTION("""COMPUTED_VALUE"""),184.86)</f>
        <v>184.86</v>
      </c>
      <c r="F8464" s="2">
        <f>IFERROR(__xludf.DUMMYFUNCTION("""COMPUTED_VALUE"""),6998591.0)</f>
        <v>6998591</v>
      </c>
    </row>
    <row r="8465">
      <c r="A8465" s="3">
        <f>IFERROR(__xludf.DUMMYFUNCTION("""COMPUTED_VALUE"""),41477.666666666664)</f>
        <v>41477.66667</v>
      </c>
      <c r="B8465" s="2">
        <f>IFERROR(__xludf.DUMMYFUNCTION("""COMPUTED_VALUE"""),184.73)</f>
        <v>184.73</v>
      </c>
      <c r="C8465" s="2">
        <f>IFERROR(__xludf.DUMMYFUNCTION("""COMPUTED_VALUE"""),187.01)</f>
        <v>187.01</v>
      </c>
      <c r="D8465" s="2">
        <f>IFERROR(__xludf.DUMMYFUNCTION("""COMPUTED_VALUE"""),184.61)</f>
        <v>184.61</v>
      </c>
      <c r="E8465" s="2">
        <f>IFERROR(__xludf.DUMMYFUNCTION("""COMPUTED_VALUE"""),185.39)</f>
        <v>185.39</v>
      </c>
      <c r="F8465" s="2">
        <f>IFERROR(__xludf.DUMMYFUNCTION("""COMPUTED_VALUE"""),3399461.0)</f>
        <v>3399461</v>
      </c>
    </row>
    <row r="8466">
      <c r="A8466" s="3">
        <f>IFERROR(__xludf.DUMMYFUNCTION("""COMPUTED_VALUE"""),41478.666666666664)</f>
        <v>41478.66667</v>
      </c>
      <c r="B8466" s="2">
        <f>IFERROR(__xludf.DUMMYFUNCTION("""COMPUTED_VALUE"""),185.5)</f>
        <v>185.5</v>
      </c>
      <c r="C8466" s="2">
        <f>IFERROR(__xludf.DUMMYFUNCTION("""COMPUTED_VALUE"""),187.62)</f>
        <v>187.62</v>
      </c>
      <c r="D8466" s="2">
        <f>IFERROR(__xludf.DUMMYFUNCTION("""COMPUTED_VALUE"""),185.4)</f>
        <v>185.4</v>
      </c>
      <c r="E8466" s="2">
        <f>IFERROR(__xludf.DUMMYFUNCTION("""COMPUTED_VALUE"""),186.24)</f>
        <v>186.24</v>
      </c>
      <c r="F8466" s="2">
        <f>IFERROR(__xludf.DUMMYFUNCTION("""COMPUTED_VALUE"""),2864114.0)</f>
        <v>2864114</v>
      </c>
    </row>
    <row r="8467">
      <c r="A8467" s="3">
        <f>IFERROR(__xludf.DUMMYFUNCTION("""COMPUTED_VALUE"""),41479.666666666664)</f>
        <v>41479.66667</v>
      </c>
      <c r="B8467" s="2">
        <f>IFERROR(__xludf.DUMMYFUNCTION("""COMPUTED_VALUE"""),187.16)</f>
        <v>187.16</v>
      </c>
      <c r="C8467" s="2">
        <f>IFERROR(__xludf.DUMMYFUNCTION("""COMPUTED_VALUE"""),188.45)</f>
        <v>188.45</v>
      </c>
      <c r="D8467" s="2">
        <f>IFERROR(__xludf.DUMMYFUNCTION("""COMPUTED_VALUE"""),187.08)</f>
        <v>187.08</v>
      </c>
      <c r="E8467" s="2">
        <f>IFERROR(__xludf.DUMMYFUNCTION("""COMPUTED_VALUE"""),187.79)</f>
        <v>187.79</v>
      </c>
      <c r="F8467" s="2">
        <f>IFERROR(__xludf.DUMMYFUNCTION("""COMPUTED_VALUE"""),2958239.0)</f>
        <v>2958239</v>
      </c>
    </row>
    <row r="8468">
      <c r="A8468" s="3">
        <f>IFERROR(__xludf.DUMMYFUNCTION("""COMPUTED_VALUE"""),41480.666666666664)</f>
        <v>41480.66667</v>
      </c>
      <c r="B8468" s="2">
        <f>IFERROR(__xludf.DUMMYFUNCTION("""COMPUTED_VALUE"""),187.5)</f>
        <v>187.5</v>
      </c>
      <c r="C8468" s="2">
        <f>IFERROR(__xludf.DUMMYFUNCTION("""COMPUTED_VALUE"""),188.96)</f>
        <v>188.96</v>
      </c>
      <c r="D8468" s="2">
        <f>IFERROR(__xludf.DUMMYFUNCTION("""COMPUTED_VALUE"""),186.89)</f>
        <v>186.89</v>
      </c>
      <c r="E8468" s="2">
        <f>IFERROR(__xludf.DUMMYFUNCTION("""COMPUTED_VALUE"""),188.38)</f>
        <v>188.38</v>
      </c>
      <c r="F8468" s="2">
        <f>IFERROR(__xludf.DUMMYFUNCTION("""COMPUTED_VALUE"""),3014255.0)</f>
        <v>3014255</v>
      </c>
    </row>
    <row r="8469">
      <c r="A8469" s="3">
        <f>IFERROR(__xludf.DUMMYFUNCTION("""COMPUTED_VALUE"""),41481.666666666664)</f>
        <v>41481.66667</v>
      </c>
      <c r="B8469" s="2">
        <f>IFERROR(__xludf.DUMMYFUNCTION("""COMPUTED_VALUE"""),187.78)</f>
        <v>187.78</v>
      </c>
      <c r="C8469" s="2">
        <f>IFERROR(__xludf.DUMMYFUNCTION("""COMPUTED_VALUE"""),188.52)</f>
        <v>188.52</v>
      </c>
      <c r="D8469" s="2">
        <f>IFERROR(__xludf.DUMMYFUNCTION("""COMPUTED_VALUE"""),186.26)</f>
        <v>186.26</v>
      </c>
      <c r="E8469" s="2">
        <f>IFERROR(__xludf.DUMMYFUNCTION("""COMPUTED_VALUE"""),188.5)</f>
        <v>188.5</v>
      </c>
      <c r="F8469" s="2">
        <f>IFERROR(__xludf.DUMMYFUNCTION("""COMPUTED_VALUE"""),2485006.0)</f>
        <v>2485006</v>
      </c>
    </row>
    <row r="8470">
      <c r="A8470" s="3">
        <f>IFERROR(__xludf.DUMMYFUNCTION("""COMPUTED_VALUE"""),41484.666666666664)</f>
        <v>41484.66667</v>
      </c>
      <c r="B8470" s="2">
        <f>IFERROR(__xludf.DUMMYFUNCTION("""COMPUTED_VALUE"""),188.0)</f>
        <v>188</v>
      </c>
      <c r="C8470" s="2">
        <f>IFERROR(__xludf.DUMMYFUNCTION("""COMPUTED_VALUE"""),188.35)</f>
        <v>188.35</v>
      </c>
      <c r="D8470" s="2">
        <f>IFERROR(__xludf.DUMMYFUNCTION("""COMPUTED_VALUE"""),186.76)</f>
        <v>186.76</v>
      </c>
      <c r="E8470" s="2">
        <f>IFERROR(__xludf.DUMMYFUNCTION("""COMPUTED_VALUE"""),187.41)</f>
        <v>187.41</v>
      </c>
      <c r="F8470" s="2">
        <f>IFERROR(__xludf.DUMMYFUNCTION("""COMPUTED_VALUE"""),2113754.0)</f>
        <v>2113754</v>
      </c>
    </row>
    <row r="8471">
      <c r="A8471" s="3">
        <f>IFERROR(__xludf.DUMMYFUNCTION("""COMPUTED_VALUE"""),41485.666666666664)</f>
        <v>41485.66667</v>
      </c>
      <c r="B8471" s="2">
        <f>IFERROR(__xludf.DUMMYFUNCTION("""COMPUTED_VALUE"""),188.16)</f>
        <v>188.16</v>
      </c>
      <c r="C8471" s="2">
        <f>IFERROR(__xludf.DUMMYFUNCTION("""COMPUTED_VALUE"""),188.96)</f>
        <v>188.96</v>
      </c>
      <c r="D8471" s="2">
        <f>IFERROR(__xludf.DUMMYFUNCTION("""COMPUTED_VALUE"""),187.03)</f>
        <v>187.03</v>
      </c>
      <c r="E8471" s="2">
        <f>IFERROR(__xludf.DUMMYFUNCTION("""COMPUTED_VALUE"""),187.22)</f>
        <v>187.22</v>
      </c>
      <c r="F8471" s="2">
        <f>IFERROR(__xludf.DUMMYFUNCTION("""COMPUTED_VALUE"""),2663216.0)</f>
        <v>2663216</v>
      </c>
    </row>
    <row r="8472">
      <c r="A8472" s="3">
        <f>IFERROR(__xludf.DUMMYFUNCTION("""COMPUTED_VALUE"""),41486.666666666664)</f>
        <v>41486.66667</v>
      </c>
      <c r="B8472" s="2">
        <f>IFERROR(__xludf.DUMMYFUNCTION("""COMPUTED_VALUE"""),185.77)</f>
        <v>185.77</v>
      </c>
      <c r="C8472" s="2">
        <f>IFERROR(__xludf.DUMMYFUNCTION("""COMPUTED_VALUE"""),188.08)</f>
        <v>188.08</v>
      </c>
      <c r="D8472" s="2">
        <f>IFERROR(__xludf.DUMMYFUNCTION("""COMPUTED_VALUE"""),185.77)</f>
        <v>185.77</v>
      </c>
      <c r="E8472" s="2">
        <f>IFERROR(__xludf.DUMMYFUNCTION("""COMPUTED_VALUE"""),186.3)</f>
        <v>186.3</v>
      </c>
      <c r="F8472" s="2">
        <f>IFERROR(__xludf.DUMMYFUNCTION("""COMPUTED_VALUE"""),3809982.0)</f>
        <v>3809982</v>
      </c>
    </row>
    <row r="8473">
      <c r="A8473" s="3">
        <f>IFERROR(__xludf.DUMMYFUNCTION("""COMPUTED_VALUE"""),41487.666666666664)</f>
        <v>41487.66667</v>
      </c>
      <c r="B8473" s="2">
        <f>IFERROR(__xludf.DUMMYFUNCTION("""COMPUTED_VALUE"""),187.83)</f>
        <v>187.83</v>
      </c>
      <c r="C8473" s="2">
        <f>IFERROR(__xludf.DUMMYFUNCTION("""COMPUTED_VALUE"""),188.33)</f>
        <v>188.33</v>
      </c>
      <c r="D8473" s="2">
        <f>IFERROR(__xludf.DUMMYFUNCTION("""COMPUTED_VALUE"""),186.65)</f>
        <v>186.65</v>
      </c>
      <c r="E8473" s="2">
        <f>IFERROR(__xludf.DUMMYFUNCTION("""COMPUTED_VALUE"""),187.03)</f>
        <v>187.03</v>
      </c>
      <c r="F8473" s="2">
        <f>IFERROR(__xludf.DUMMYFUNCTION("""COMPUTED_VALUE"""),2877770.0)</f>
        <v>2877770</v>
      </c>
    </row>
    <row r="8474">
      <c r="A8474" s="3">
        <f>IFERROR(__xludf.DUMMYFUNCTION("""COMPUTED_VALUE"""),41488.666666666664)</f>
        <v>41488.66667</v>
      </c>
      <c r="B8474" s="2">
        <f>IFERROR(__xludf.DUMMYFUNCTION("""COMPUTED_VALUE"""),186.73)</f>
        <v>186.73</v>
      </c>
      <c r="C8474" s="2">
        <f>IFERROR(__xludf.DUMMYFUNCTION("""COMPUTED_VALUE"""),186.73)</f>
        <v>186.73</v>
      </c>
      <c r="D8474" s="2">
        <f>IFERROR(__xludf.DUMMYFUNCTION("""COMPUTED_VALUE"""),184.56)</f>
        <v>184.56</v>
      </c>
      <c r="E8474" s="2">
        <f>IFERROR(__xludf.DUMMYFUNCTION("""COMPUTED_VALUE"""),186.41)</f>
        <v>186.41</v>
      </c>
      <c r="F8474" s="2">
        <f>IFERROR(__xludf.DUMMYFUNCTION("""COMPUTED_VALUE"""),3873908.0)</f>
        <v>3873908</v>
      </c>
    </row>
    <row r="8475">
      <c r="A8475" s="3">
        <f>IFERROR(__xludf.DUMMYFUNCTION("""COMPUTED_VALUE"""),41491.666666666664)</f>
        <v>41491.66667</v>
      </c>
      <c r="B8475" s="2">
        <f>IFERROR(__xludf.DUMMYFUNCTION("""COMPUTED_VALUE"""),186.41)</f>
        <v>186.41</v>
      </c>
      <c r="C8475" s="2">
        <f>IFERROR(__xludf.DUMMYFUNCTION("""COMPUTED_VALUE"""),187.1)</f>
        <v>187.1</v>
      </c>
      <c r="D8475" s="2">
        <f>IFERROR(__xludf.DUMMYFUNCTION("""COMPUTED_VALUE"""),185.64)</f>
        <v>185.64</v>
      </c>
      <c r="E8475" s="2">
        <f>IFERROR(__xludf.DUMMYFUNCTION("""COMPUTED_VALUE"""),186.73)</f>
        <v>186.73</v>
      </c>
      <c r="F8475" s="2">
        <f>IFERROR(__xludf.DUMMYFUNCTION("""COMPUTED_VALUE"""),2492663.0)</f>
        <v>2492663</v>
      </c>
    </row>
    <row r="8476">
      <c r="A8476" s="3">
        <f>IFERROR(__xludf.DUMMYFUNCTION("""COMPUTED_VALUE"""),41492.666666666664)</f>
        <v>41492.66667</v>
      </c>
      <c r="B8476" s="2">
        <f>IFERROR(__xludf.DUMMYFUNCTION("""COMPUTED_VALUE"""),183.64)</f>
        <v>183.64</v>
      </c>
      <c r="C8476" s="2">
        <f>IFERROR(__xludf.DUMMYFUNCTION("""COMPUTED_VALUE"""),183.88)</f>
        <v>183.88</v>
      </c>
      <c r="D8476" s="2">
        <f>IFERROR(__xludf.DUMMYFUNCTION("""COMPUTED_VALUE"""),181.74)</f>
        <v>181.74</v>
      </c>
      <c r="E8476" s="2">
        <f>IFERROR(__xludf.DUMMYFUNCTION("""COMPUTED_VALUE"""),182.43)</f>
        <v>182.43</v>
      </c>
      <c r="F8476" s="2">
        <f>IFERROR(__xludf.DUMMYFUNCTION("""COMPUTED_VALUE"""),5939557.0)</f>
        <v>5939557</v>
      </c>
    </row>
    <row r="8477">
      <c r="A8477" s="3">
        <f>IFERROR(__xludf.DUMMYFUNCTION("""COMPUTED_VALUE"""),41493.666666666664)</f>
        <v>41493.66667</v>
      </c>
      <c r="B8477" s="2">
        <f>IFERROR(__xludf.DUMMYFUNCTION("""COMPUTED_VALUE"""),181.1)</f>
        <v>181.1</v>
      </c>
      <c r="C8477" s="2">
        <f>IFERROR(__xludf.DUMMYFUNCTION("""COMPUTED_VALUE"""),181.41)</f>
        <v>181.41</v>
      </c>
      <c r="D8477" s="2">
        <f>IFERROR(__xludf.DUMMYFUNCTION("""COMPUTED_VALUE"""),179.62)</f>
        <v>179.62</v>
      </c>
      <c r="E8477" s="2">
        <f>IFERROR(__xludf.DUMMYFUNCTION("""COMPUTED_VALUE"""),180.11)</f>
        <v>180.11</v>
      </c>
      <c r="F8477" s="2">
        <f>IFERROR(__xludf.DUMMYFUNCTION("""COMPUTED_VALUE"""),3901716.0)</f>
        <v>3901716</v>
      </c>
    </row>
    <row r="8478">
      <c r="A8478" s="3">
        <f>IFERROR(__xludf.DUMMYFUNCTION("""COMPUTED_VALUE"""),41494.666666666664)</f>
        <v>41494.66667</v>
      </c>
      <c r="B8478" s="2">
        <f>IFERROR(__xludf.DUMMYFUNCTION("""COMPUTED_VALUE"""),180.96)</f>
        <v>180.96</v>
      </c>
      <c r="C8478" s="2">
        <f>IFERROR(__xludf.DUMMYFUNCTION("""COMPUTED_VALUE"""),181.36)</f>
        <v>181.36</v>
      </c>
      <c r="D8478" s="2">
        <f>IFERROR(__xludf.DUMMYFUNCTION("""COMPUTED_VALUE"""),178.42)</f>
        <v>178.42</v>
      </c>
      <c r="E8478" s="2">
        <f>IFERROR(__xludf.DUMMYFUNCTION("""COMPUTED_VALUE"""),179.5)</f>
        <v>179.5</v>
      </c>
      <c r="F8478" s="2">
        <f>IFERROR(__xludf.DUMMYFUNCTION("""COMPUTED_VALUE"""),4547756.0)</f>
        <v>4547756</v>
      </c>
    </row>
    <row r="8479">
      <c r="A8479" s="3">
        <f>IFERROR(__xludf.DUMMYFUNCTION("""COMPUTED_VALUE"""),41495.666666666664)</f>
        <v>41495.66667</v>
      </c>
      <c r="B8479" s="2">
        <f>IFERROR(__xludf.DUMMYFUNCTION("""COMPUTED_VALUE"""),179.57)</f>
        <v>179.57</v>
      </c>
      <c r="C8479" s="2">
        <f>IFERROR(__xludf.DUMMYFUNCTION("""COMPUTED_VALUE"""),180.68)</f>
        <v>180.68</v>
      </c>
      <c r="D8479" s="2">
        <f>IFERROR(__xludf.DUMMYFUNCTION("""COMPUTED_VALUE"""),178.62)</f>
        <v>178.62</v>
      </c>
      <c r="E8479" s="2">
        <f>IFERROR(__xludf.DUMMYFUNCTION("""COMPUTED_VALUE"""),179.4)</f>
        <v>179.4</v>
      </c>
      <c r="F8479" s="2">
        <f>IFERROR(__xludf.DUMMYFUNCTION("""COMPUTED_VALUE"""),3250000.0)</f>
        <v>3250000</v>
      </c>
    </row>
    <row r="8480">
      <c r="A8480" s="3">
        <f>IFERROR(__xludf.DUMMYFUNCTION("""COMPUTED_VALUE"""),41498.666666666664)</f>
        <v>41498.66667</v>
      </c>
      <c r="B8480" s="2">
        <f>IFERROR(__xludf.DUMMYFUNCTION("""COMPUTED_VALUE"""),178.59)</f>
        <v>178.59</v>
      </c>
      <c r="C8480" s="2">
        <f>IFERROR(__xludf.DUMMYFUNCTION("""COMPUTED_VALUE"""),181.06)</f>
        <v>181.06</v>
      </c>
      <c r="D8480" s="2">
        <f>IFERROR(__xludf.DUMMYFUNCTION("""COMPUTED_VALUE"""),178.51)</f>
        <v>178.51</v>
      </c>
      <c r="E8480" s="2">
        <f>IFERROR(__xludf.DUMMYFUNCTION("""COMPUTED_VALUE"""),180.61)</f>
        <v>180.61</v>
      </c>
      <c r="F8480" s="2">
        <f>IFERROR(__xludf.DUMMYFUNCTION("""COMPUTED_VALUE"""),3026839.0)</f>
        <v>3026839</v>
      </c>
    </row>
    <row r="8481">
      <c r="A8481" s="3">
        <f>IFERROR(__xludf.DUMMYFUNCTION("""COMPUTED_VALUE"""),41499.666666666664)</f>
        <v>41499.66667</v>
      </c>
      <c r="B8481" s="2">
        <f>IFERROR(__xludf.DUMMYFUNCTION("""COMPUTED_VALUE"""),181.04)</f>
        <v>181.04</v>
      </c>
      <c r="C8481" s="2">
        <f>IFERROR(__xludf.DUMMYFUNCTION("""COMPUTED_VALUE"""),181.47)</f>
        <v>181.47</v>
      </c>
      <c r="D8481" s="2">
        <f>IFERROR(__xludf.DUMMYFUNCTION("""COMPUTED_VALUE"""),179.15)</f>
        <v>179.15</v>
      </c>
      <c r="E8481" s="2">
        <f>IFERROR(__xludf.DUMMYFUNCTION("""COMPUTED_VALUE"""),179.97)</f>
        <v>179.97</v>
      </c>
      <c r="F8481" s="2">
        <f>IFERROR(__xludf.DUMMYFUNCTION("""COMPUTED_VALUE"""),3542932.0)</f>
        <v>3542932</v>
      </c>
    </row>
    <row r="8482">
      <c r="A8482" s="3">
        <f>IFERROR(__xludf.DUMMYFUNCTION("""COMPUTED_VALUE"""),41500.666666666664)</f>
        <v>41500.66667</v>
      </c>
      <c r="B8482" s="2">
        <f>IFERROR(__xludf.DUMMYFUNCTION("""COMPUTED_VALUE"""),180.12)</f>
        <v>180.12</v>
      </c>
      <c r="C8482" s="2">
        <f>IFERROR(__xludf.DUMMYFUNCTION("""COMPUTED_VALUE"""),180.46)</f>
        <v>180.46</v>
      </c>
      <c r="D8482" s="2">
        <f>IFERROR(__xludf.DUMMYFUNCTION("""COMPUTED_VALUE"""),178.9)</f>
        <v>178.9</v>
      </c>
      <c r="E8482" s="2">
        <f>IFERROR(__xludf.DUMMYFUNCTION("""COMPUTED_VALUE"""),179.12)</f>
        <v>179.12</v>
      </c>
      <c r="F8482" s="2">
        <f>IFERROR(__xludf.DUMMYFUNCTION("""COMPUTED_VALUE"""),2899115.0)</f>
        <v>2899115</v>
      </c>
    </row>
    <row r="8483">
      <c r="A8483" s="3">
        <f>IFERROR(__xludf.DUMMYFUNCTION("""COMPUTED_VALUE"""),41501.666666666664)</f>
        <v>41501.66667</v>
      </c>
      <c r="B8483" s="2">
        <f>IFERROR(__xludf.DUMMYFUNCTION("""COMPUTED_VALUE"""),177.88)</f>
        <v>177.88</v>
      </c>
      <c r="C8483" s="2">
        <f>IFERROR(__xludf.DUMMYFUNCTION("""COMPUTED_VALUE"""),178.62)</f>
        <v>178.62</v>
      </c>
      <c r="D8483" s="2">
        <f>IFERROR(__xludf.DUMMYFUNCTION("""COMPUTED_VALUE"""),177.14)</f>
        <v>177.14</v>
      </c>
      <c r="E8483" s="2">
        <f>IFERROR(__xludf.DUMMYFUNCTION("""COMPUTED_VALUE"""),177.46)</f>
        <v>177.46</v>
      </c>
      <c r="F8483" s="2">
        <f>IFERROR(__xludf.DUMMYFUNCTION("""COMPUTED_VALUE"""),3692360.0)</f>
        <v>3692360</v>
      </c>
    </row>
    <row r="8484">
      <c r="A8484" s="3">
        <f>IFERROR(__xludf.DUMMYFUNCTION("""COMPUTED_VALUE"""),41502.666666666664)</f>
        <v>41502.66667</v>
      </c>
      <c r="B8484" s="2">
        <f>IFERROR(__xludf.DUMMYFUNCTION("""COMPUTED_VALUE"""),177.22)</f>
        <v>177.22</v>
      </c>
      <c r="C8484" s="2">
        <f>IFERROR(__xludf.DUMMYFUNCTION("""COMPUTED_VALUE"""),178.1)</f>
        <v>178.1</v>
      </c>
      <c r="D8484" s="2">
        <f>IFERROR(__xludf.DUMMYFUNCTION("""COMPUTED_VALUE"""),177.03)</f>
        <v>177.03</v>
      </c>
      <c r="E8484" s="2">
        <f>IFERROR(__xludf.DUMMYFUNCTION("""COMPUTED_VALUE"""),177.03)</f>
        <v>177.03</v>
      </c>
      <c r="F8484" s="2">
        <f>IFERROR(__xludf.DUMMYFUNCTION("""COMPUTED_VALUE"""),3427964.0)</f>
        <v>3427964</v>
      </c>
    </row>
    <row r="8485">
      <c r="A8485" s="3">
        <f>IFERROR(__xludf.DUMMYFUNCTION("""COMPUTED_VALUE"""),41505.666666666664)</f>
        <v>41505.66667</v>
      </c>
      <c r="B8485" s="2">
        <f>IFERROR(__xludf.DUMMYFUNCTION("""COMPUTED_VALUE"""),176.99)</f>
        <v>176.99</v>
      </c>
      <c r="C8485" s="2">
        <f>IFERROR(__xludf.DUMMYFUNCTION("""COMPUTED_VALUE"""),178.14)</f>
        <v>178.14</v>
      </c>
      <c r="D8485" s="2">
        <f>IFERROR(__xludf.DUMMYFUNCTION("""COMPUTED_VALUE"""),175.73)</f>
        <v>175.73</v>
      </c>
      <c r="E8485" s="2">
        <f>IFERROR(__xludf.DUMMYFUNCTION("""COMPUTED_VALUE"""),175.97)</f>
        <v>175.97</v>
      </c>
      <c r="F8485" s="2">
        <f>IFERROR(__xludf.DUMMYFUNCTION("""COMPUTED_VALUE"""),3251127.0)</f>
        <v>3251127</v>
      </c>
    </row>
    <row r="8486">
      <c r="A8486" s="3">
        <f>IFERROR(__xludf.DUMMYFUNCTION("""COMPUTED_VALUE"""),41506.666666666664)</f>
        <v>41506.66667</v>
      </c>
      <c r="B8486" s="2">
        <f>IFERROR(__xludf.DUMMYFUNCTION("""COMPUTED_VALUE"""),176.1)</f>
        <v>176.1</v>
      </c>
      <c r="C8486" s="2">
        <f>IFERROR(__xludf.DUMMYFUNCTION("""COMPUTED_VALUE"""),177.31)</f>
        <v>177.31</v>
      </c>
      <c r="D8486" s="2">
        <f>IFERROR(__xludf.DUMMYFUNCTION("""COMPUTED_VALUE"""),174.96)</f>
        <v>174.96</v>
      </c>
      <c r="E8486" s="2">
        <f>IFERROR(__xludf.DUMMYFUNCTION("""COMPUTED_VALUE"""),176.29)</f>
        <v>176.29</v>
      </c>
      <c r="F8486" s="2">
        <f>IFERROR(__xludf.DUMMYFUNCTION("""COMPUTED_VALUE"""),3122098.0)</f>
        <v>3122098</v>
      </c>
    </row>
    <row r="8487">
      <c r="A8487" s="3">
        <f>IFERROR(__xludf.DUMMYFUNCTION("""COMPUTED_VALUE"""),41507.666666666664)</f>
        <v>41507.66667</v>
      </c>
      <c r="B8487" s="2">
        <f>IFERROR(__xludf.DUMMYFUNCTION("""COMPUTED_VALUE"""),176.39)</f>
        <v>176.39</v>
      </c>
      <c r="C8487" s="2">
        <f>IFERROR(__xludf.DUMMYFUNCTION("""COMPUTED_VALUE"""),178.2)</f>
        <v>178.2</v>
      </c>
      <c r="D8487" s="2">
        <f>IFERROR(__xludf.DUMMYFUNCTION("""COMPUTED_VALUE"""),176.02)</f>
        <v>176.02</v>
      </c>
      <c r="E8487" s="2">
        <f>IFERROR(__xludf.DUMMYFUNCTION("""COMPUTED_VALUE"""),176.57)</f>
        <v>176.57</v>
      </c>
      <c r="F8487" s="2">
        <f>IFERROR(__xludf.DUMMYFUNCTION("""COMPUTED_VALUE"""),3551207.0)</f>
        <v>3551207</v>
      </c>
    </row>
    <row r="8488">
      <c r="A8488" s="3">
        <f>IFERROR(__xludf.DUMMYFUNCTION("""COMPUTED_VALUE"""),41508.666666666664)</f>
        <v>41508.66667</v>
      </c>
      <c r="B8488" s="2">
        <f>IFERROR(__xludf.DUMMYFUNCTION("""COMPUTED_VALUE"""),177.33)</f>
        <v>177.33</v>
      </c>
      <c r="C8488" s="2">
        <f>IFERROR(__xludf.DUMMYFUNCTION("""COMPUTED_VALUE"""),177.9)</f>
        <v>177.9</v>
      </c>
      <c r="D8488" s="2">
        <f>IFERROR(__xludf.DUMMYFUNCTION("""COMPUTED_VALUE"""),175.99)</f>
        <v>175.99</v>
      </c>
      <c r="E8488" s="2">
        <f>IFERROR(__xludf.DUMMYFUNCTION("""COMPUTED_VALUE"""),176.89)</f>
        <v>176.89</v>
      </c>
      <c r="F8488" s="2">
        <f>IFERROR(__xludf.DUMMYFUNCTION("""COMPUTED_VALUE"""),2354836.0)</f>
        <v>2354836</v>
      </c>
    </row>
    <row r="8489">
      <c r="A8489" s="3">
        <f>IFERROR(__xludf.DUMMYFUNCTION("""COMPUTED_VALUE"""),41509.666666666664)</f>
        <v>41509.66667</v>
      </c>
      <c r="B8489" s="2">
        <f>IFERROR(__xludf.DUMMYFUNCTION("""COMPUTED_VALUE"""),177.03)</f>
        <v>177.03</v>
      </c>
      <c r="C8489" s="2">
        <f>IFERROR(__xludf.DUMMYFUNCTION("""COMPUTED_VALUE"""),177.41)</f>
        <v>177.41</v>
      </c>
      <c r="D8489" s="2">
        <f>IFERROR(__xludf.DUMMYFUNCTION("""COMPUTED_VALUE"""),176.29)</f>
        <v>176.29</v>
      </c>
      <c r="E8489" s="2">
        <f>IFERROR(__xludf.DUMMYFUNCTION("""COMPUTED_VALUE"""),177.11)</f>
        <v>177.11</v>
      </c>
      <c r="F8489" s="2">
        <f>IFERROR(__xludf.DUMMYFUNCTION("""COMPUTED_VALUE"""),2295092.0)</f>
        <v>2295092</v>
      </c>
    </row>
    <row r="8490">
      <c r="A8490" s="3">
        <f>IFERROR(__xludf.DUMMYFUNCTION("""COMPUTED_VALUE"""),41512.666666666664)</f>
        <v>41512.66667</v>
      </c>
      <c r="B8490" s="2">
        <f>IFERROR(__xludf.DUMMYFUNCTION("""COMPUTED_VALUE"""),176.96)</f>
        <v>176.96</v>
      </c>
      <c r="C8490" s="2">
        <f>IFERROR(__xludf.DUMMYFUNCTION("""COMPUTED_VALUE"""),178.62)</f>
        <v>178.62</v>
      </c>
      <c r="D8490" s="2">
        <f>IFERROR(__xludf.DUMMYFUNCTION("""COMPUTED_VALUE"""),176.4)</f>
        <v>176.4</v>
      </c>
      <c r="E8490" s="2">
        <f>IFERROR(__xludf.DUMMYFUNCTION("""COMPUTED_VALUE"""),176.46)</f>
        <v>176.46</v>
      </c>
      <c r="F8490" s="2">
        <f>IFERROR(__xludf.DUMMYFUNCTION("""COMPUTED_VALUE"""),2174908.0)</f>
        <v>2174908</v>
      </c>
    </row>
    <row r="8491">
      <c r="A8491" s="3">
        <f>IFERROR(__xludf.DUMMYFUNCTION("""COMPUTED_VALUE"""),41513.666666666664)</f>
        <v>41513.66667</v>
      </c>
      <c r="B8491" s="2">
        <f>IFERROR(__xludf.DUMMYFUNCTION("""COMPUTED_VALUE"""),175.4)</f>
        <v>175.4</v>
      </c>
      <c r="C8491" s="2">
        <f>IFERROR(__xludf.DUMMYFUNCTION("""COMPUTED_VALUE"""),176.23)</f>
        <v>176.23</v>
      </c>
      <c r="D8491" s="2">
        <f>IFERROR(__xludf.DUMMYFUNCTION("""COMPUTED_VALUE"""),174.38)</f>
        <v>174.38</v>
      </c>
      <c r="E8491" s="2">
        <f>IFERROR(__xludf.DUMMYFUNCTION("""COMPUTED_VALUE"""),174.55)</f>
        <v>174.55</v>
      </c>
      <c r="F8491" s="2">
        <f>IFERROR(__xludf.DUMMYFUNCTION("""COMPUTED_VALUE"""),3190642.0)</f>
        <v>3190642</v>
      </c>
    </row>
    <row r="8492">
      <c r="A8492" s="3">
        <f>IFERROR(__xludf.DUMMYFUNCTION("""COMPUTED_VALUE"""),41514.666666666664)</f>
        <v>41514.66667</v>
      </c>
      <c r="B8492" s="2">
        <f>IFERROR(__xludf.DUMMYFUNCTION("""COMPUTED_VALUE"""),174.49)</f>
        <v>174.49</v>
      </c>
      <c r="C8492" s="2">
        <f>IFERROR(__xludf.DUMMYFUNCTION("""COMPUTED_VALUE"""),175.24)</f>
        <v>175.24</v>
      </c>
      <c r="D8492" s="2">
        <f>IFERROR(__xludf.DUMMYFUNCTION("""COMPUTED_VALUE"""),172.98)</f>
        <v>172.98</v>
      </c>
      <c r="E8492" s="2">
        <f>IFERROR(__xludf.DUMMYFUNCTION("""COMPUTED_VALUE"""),173.99)</f>
        <v>173.99</v>
      </c>
      <c r="F8492" s="2">
        <f>IFERROR(__xludf.DUMMYFUNCTION("""COMPUTED_VALUE"""),3979196.0)</f>
        <v>3979196</v>
      </c>
    </row>
    <row r="8493">
      <c r="A8493" s="3">
        <f>IFERROR(__xludf.DUMMYFUNCTION("""COMPUTED_VALUE"""),41515.666666666664)</f>
        <v>41515.66667</v>
      </c>
      <c r="B8493" s="2">
        <f>IFERROR(__xludf.DUMMYFUNCTION("""COMPUTED_VALUE"""),173.8)</f>
        <v>173.8</v>
      </c>
      <c r="C8493" s="2">
        <f>IFERROR(__xludf.DUMMYFUNCTION("""COMPUTED_VALUE"""),175.46)</f>
        <v>175.46</v>
      </c>
      <c r="D8493" s="2">
        <f>IFERROR(__xludf.DUMMYFUNCTION("""COMPUTED_VALUE"""),173.3)</f>
        <v>173.3</v>
      </c>
      <c r="E8493" s="2">
        <f>IFERROR(__xludf.DUMMYFUNCTION("""COMPUTED_VALUE"""),174.45)</f>
        <v>174.45</v>
      </c>
      <c r="F8493" s="2">
        <f>IFERROR(__xludf.DUMMYFUNCTION("""COMPUTED_VALUE"""),2981180.0)</f>
        <v>2981180</v>
      </c>
    </row>
    <row r="8494">
      <c r="A8494" s="3">
        <f>IFERROR(__xludf.DUMMYFUNCTION("""COMPUTED_VALUE"""),41516.666666666664)</f>
        <v>41516.66667</v>
      </c>
      <c r="B8494" s="2">
        <f>IFERROR(__xludf.DUMMYFUNCTION("""COMPUTED_VALUE"""),174.56)</f>
        <v>174.56</v>
      </c>
      <c r="C8494" s="2">
        <f>IFERROR(__xludf.DUMMYFUNCTION("""COMPUTED_VALUE"""),174.79)</f>
        <v>174.79</v>
      </c>
      <c r="D8494" s="2">
        <f>IFERROR(__xludf.DUMMYFUNCTION("""COMPUTED_VALUE"""),173.37)</f>
        <v>173.37</v>
      </c>
      <c r="E8494" s="2">
        <f>IFERROR(__xludf.DUMMYFUNCTION("""COMPUTED_VALUE"""),174.1)</f>
        <v>174.1</v>
      </c>
      <c r="F8494" s="2">
        <f>IFERROR(__xludf.DUMMYFUNCTION("""COMPUTED_VALUE"""),2731141.0)</f>
        <v>2731141</v>
      </c>
    </row>
    <row r="8495">
      <c r="A8495" s="3">
        <f>IFERROR(__xludf.DUMMYFUNCTION("""COMPUTED_VALUE"""),41520.666666666664)</f>
        <v>41520.66667</v>
      </c>
      <c r="B8495" s="2">
        <f>IFERROR(__xludf.DUMMYFUNCTION("""COMPUTED_VALUE"""),175.4)</f>
        <v>175.4</v>
      </c>
      <c r="C8495" s="2">
        <f>IFERROR(__xludf.DUMMYFUNCTION("""COMPUTED_VALUE"""),176.06)</f>
        <v>176.06</v>
      </c>
      <c r="D8495" s="2">
        <f>IFERROR(__xludf.DUMMYFUNCTION("""COMPUTED_VALUE"""),174.33)</f>
        <v>174.33</v>
      </c>
      <c r="E8495" s="2">
        <f>IFERROR(__xludf.DUMMYFUNCTION("""COMPUTED_VALUE"""),175.71)</f>
        <v>175.71</v>
      </c>
      <c r="F8495" s="2">
        <f>IFERROR(__xludf.DUMMYFUNCTION("""COMPUTED_VALUE"""),3487469.0)</f>
        <v>3487469</v>
      </c>
    </row>
    <row r="8496">
      <c r="A8496" s="3">
        <f>IFERROR(__xludf.DUMMYFUNCTION("""COMPUTED_VALUE"""),41521.666666666664)</f>
        <v>41521.66667</v>
      </c>
      <c r="B8496" s="2">
        <f>IFERROR(__xludf.DUMMYFUNCTION("""COMPUTED_VALUE"""),175.35)</f>
        <v>175.35</v>
      </c>
      <c r="C8496" s="2">
        <f>IFERROR(__xludf.DUMMYFUNCTION("""COMPUTED_VALUE"""),175.93)</f>
        <v>175.93</v>
      </c>
      <c r="D8496" s="2">
        <f>IFERROR(__xludf.DUMMYFUNCTION("""COMPUTED_VALUE"""),174.14)</f>
        <v>174.14</v>
      </c>
      <c r="E8496" s="2">
        <f>IFERROR(__xludf.DUMMYFUNCTION("""COMPUTED_VALUE"""),174.92)</f>
        <v>174.92</v>
      </c>
      <c r="F8496" s="2">
        <f>IFERROR(__xludf.DUMMYFUNCTION("""COMPUTED_VALUE"""),2601909.0)</f>
        <v>2601909</v>
      </c>
    </row>
    <row r="8497">
      <c r="A8497" s="3">
        <f>IFERROR(__xludf.DUMMYFUNCTION("""COMPUTED_VALUE"""),41522.666666666664)</f>
        <v>41522.66667</v>
      </c>
      <c r="B8497" s="2">
        <f>IFERROR(__xludf.DUMMYFUNCTION("""COMPUTED_VALUE"""),175.13)</f>
        <v>175.13</v>
      </c>
      <c r="C8497" s="2">
        <f>IFERROR(__xludf.DUMMYFUNCTION("""COMPUTED_VALUE"""),176.71)</f>
        <v>176.71</v>
      </c>
      <c r="D8497" s="2">
        <f>IFERROR(__xludf.DUMMYFUNCTION("""COMPUTED_VALUE"""),174.86)</f>
        <v>174.86</v>
      </c>
      <c r="E8497" s="2">
        <f>IFERROR(__xludf.DUMMYFUNCTION("""COMPUTED_VALUE"""),175.89)</f>
        <v>175.89</v>
      </c>
      <c r="F8497" s="2">
        <f>IFERROR(__xludf.DUMMYFUNCTION("""COMPUTED_VALUE"""),2869883.0)</f>
        <v>2869883</v>
      </c>
    </row>
    <row r="8498">
      <c r="A8498" s="3">
        <f>IFERROR(__xludf.DUMMYFUNCTION("""COMPUTED_VALUE"""),41523.666666666664)</f>
        <v>41523.66667</v>
      </c>
      <c r="B8498" s="2">
        <f>IFERROR(__xludf.DUMMYFUNCTION("""COMPUTED_VALUE"""),176.37)</f>
        <v>176.37</v>
      </c>
      <c r="C8498" s="2">
        <f>IFERROR(__xludf.DUMMYFUNCTION("""COMPUTED_VALUE"""),176.7)</f>
        <v>176.7</v>
      </c>
      <c r="D8498" s="2">
        <f>IFERROR(__xludf.DUMMYFUNCTION("""COMPUTED_VALUE"""),174.46)</f>
        <v>174.46</v>
      </c>
      <c r="E8498" s="2">
        <f>IFERROR(__xludf.DUMMYFUNCTION("""COMPUTED_VALUE"""),174.82)</f>
        <v>174.82</v>
      </c>
      <c r="F8498" s="2">
        <f>IFERROR(__xludf.DUMMYFUNCTION("""COMPUTED_VALUE"""),2903717.0)</f>
        <v>2903717</v>
      </c>
    </row>
    <row r="8499">
      <c r="A8499" s="3">
        <f>IFERROR(__xludf.DUMMYFUNCTION("""COMPUTED_VALUE"""),41526.666666666664)</f>
        <v>41526.66667</v>
      </c>
      <c r="B8499" s="2">
        <f>IFERROR(__xludf.DUMMYFUNCTION("""COMPUTED_VALUE"""),175.44)</f>
        <v>175.44</v>
      </c>
      <c r="C8499" s="2">
        <f>IFERROR(__xludf.DUMMYFUNCTION("""COMPUTED_VALUE"""),177.17)</f>
        <v>177.17</v>
      </c>
      <c r="D8499" s="2">
        <f>IFERROR(__xludf.DUMMYFUNCTION("""COMPUTED_VALUE"""),175.09)</f>
        <v>175.09</v>
      </c>
      <c r="E8499" s="2">
        <f>IFERROR(__xludf.DUMMYFUNCTION("""COMPUTED_VALUE"""),176.69)</f>
        <v>176.69</v>
      </c>
      <c r="F8499" s="2">
        <f>IFERROR(__xludf.DUMMYFUNCTION("""COMPUTED_VALUE"""),3017439.0)</f>
        <v>3017439</v>
      </c>
    </row>
    <row r="8500">
      <c r="A8500" s="3">
        <f>IFERROR(__xludf.DUMMYFUNCTION("""COMPUTED_VALUE"""),41527.666666666664)</f>
        <v>41527.66667</v>
      </c>
      <c r="B8500" s="2">
        <f>IFERROR(__xludf.DUMMYFUNCTION("""COMPUTED_VALUE"""),178.81)</f>
        <v>178.81</v>
      </c>
      <c r="C8500" s="2">
        <f>IFERROR(__xludf.DUMMYFUNCTION("""COMPUTED_VALUE"""),179.24)</f>
        <v>179.24</v>
      </c>
      <c r="D8500" s="2">
        <f>IFERROR(__xludf.DUMMYFUNCTION("""COMPUTED_VALUE"""),178.01)</f>
        <v>178.01</v>
      </c>
      <c r="E8500" s="2">
        <f>IFERROR(__xludf.DUMMYFUNCTION("""COMPUTED_VALUE"""),178.23)</f>
        <v>178.23</v>
      </c>
      <c r="F8500" s="2">
        <f>IFERROR(__xludf.DUMMYFUNCTION("""COMPUTED_VALUE"""),3149830.0)</f>
        <v>3149830</v>
      </c>
    </row>
    <row r="8501">
      <c r="A8501" s="3">
        <f>IFERROR(__xludf.DUMMYFUNCTION("""COMPUTED_VALUE"""),41528.666666666664)</f>
        <v>41528.66667</v>
      </c>
      <c r="B8501" s="2">
        <f>IFERROR(__xludf.DUMMYFUNCTION("""COMPUTED_VALUE"""),178.45)</f>
        <v>178.45</v>
      </c>
      <c r="C8501" s="2">
        <f>IFERROR(__xludf.DUMMYFUNCTION("""COMPUTED_VALUE"""),182.31)</f>
        <v>182.31</v>
      </c>
      <c r="D8501" s="2">
        <f>IFERROR(__xludf.DUMMYFUNCTION("""COMPUTED_VALUE"""),178.44)</f>
        <v>178.44</v>
      </c>
      <c r="E8501" s="2">
        <f>IFERROR(__xludf.DUMMYFUNCTION("""COMPUTED_VALUE"""),182.15)</f>
        <v>182.15</v>
      </c>
      <c r="F8501" s="2">
        <f>IFERROR(__xludf.DUMMYFUNCTION("""COMPUTED_VALUE"""),4963022.0)</f>
        <v>4963022</v>
      </c>
    </row>
    <row r="8502">
      <c r="A8502" s="3">
        <f>IFERROR(__xludf.DUMMYFUNCTION("""COMPUTED_VALUE"""),41529.666666666664)</f>
        <v>41529.66667</v>
      </c>
      <c r="B8502" s="2">
        <f>IFERROR(__xludf.DUMMYFUNCTION("""COMPUTED_VALUE"""),182.4)</f>
        <v>182.4</v>
      </c>
      <c r="C8502" s="2">
        <f>IFERROR(__xludf.DUMMYFUNCTION("""COMPUTED_VALUE"""),182.74)</f>
        <v>182.74</v>
      </c>
      <c r="D8502" s="2">
        <f>IFERROR(__xludf.DUMMYFUNCTION("""COMPUTED_VALUE"""),181.34)</f>
        <v>181.34</v>
      </c>
      <c r="E8502" s="2">
        <f>IFERROR(__xludf.DUMMYFUNCTION("""COMPUTED_VALUE"""),182.18)</f>
        <v>182.18</v>
      </c>
      <c r="F8502" s="2">
        <f>IFERROR(__xludf.DUMMYFUNCTION("""COMPUTED_VALUE"""),3354845.0)</f>
        <v>3354845</v>
      </c>
    </row>
    <row r="8503">
      <c r="A8503" s="3">
        <f>IFERROR(__xludf.DUMMYFUNCTION("""COMPUTED_VALUE"""),41530.666666666664)</f>
        <v>41530.66667</v>
      </c>
      <c r="B8503" s="2">
        <f>IFERROR(__xludf.DUMMYFUNCTION("""COMPUTED_VALUE"""),182.64)</f>
        <v>182.64</v>
      </c>
      <c r="C8503" s="2">
        <f>IFERROR(__xludf.DUMMYFUNCTION("""COMPUTED_VALUE"""),184.44)</f>
        <v>184.44</v>
      </c>
      <c r="D8503" s="2">
        <f>IFERROR(__xludf.DUMMYFUNCTION("""COMPUTED_VALUE"""),182.44)</f>
        <v>182.44</v>
      </c>
      <c r="E8503" s="2">
        <f>IFERROR(__xludf.DUMMYFUNCTION("""COMPUTED_VALUE"""),183.55)</f>
        <v>183.55</v>
      </c>
      <c r="F8503" s="2">
        <f>IFERROR(__xludf.DUMMYFUNCTION("""COMPUTED_VALUE"""),3710354.0)</f>
        <v>3710354</v>
      </c>
    </row>
    <row r="8504">
      <c r="A8504" s="3">
        <f>IFERROR(__xludf.DUMMYFUNCTION("""COMPUTED_VALUE"""),41533.666666666664)</f>
        <v>41533.66667</v>
      </c>
      <c r="B8504" s="2">
        <f>IFERROR(__xludf.DUMMYFUNCTION("""COMPUTED_VALUE"""),185.02)</f>
        <v>185.02</v>
      </c>
      <c r="C8504" s="2">
        <f>IFERROR(__xludf.DUMMYFUNCTION("""COMPUTED_VALUE"""),186.08)</f>
        <v>186.08</v>
      </c>
      <c r="D8504" s="2">
        <f>IFERROR(__xludf.DUMMYFUNCTION("""COMPUTED_VALUE"""),183.97)</f>
        <v>183.97</v>
      </c>
      <c r="E8504" s="2">
        <f>IFERROR(__xludf.DUMMYFUNCTION("""COMPUTED_VALUE"""),184.49)</f>
        <v>184.49</v>
      </c>
      <c r="F8504" s="2">
        <f>IFERROR(__xludf.DUMMYFUNCTION("""COMPUTED_VALUE"""),3907186.0)</f>
        <v>3907186</v>
      </c>
    </row>
    <row r="8505">
      <c r="A8505" s="3">
        <f>IFERROR(__xludf.DUMMYFUNCTION("""COMPUTED_VALUE"""),41534.666666666664)</f>
        <v>41534.66667</v>
      </c>
      <c r="B8505" s="2">
        <f>IFERROR(__xludf.DUMMYFUNCTION("""COMPUTED_VALUE"""),184.75)</f>
        <v>184.75</v>
      </c>
      <c r="C8505" s="2">
        <f>IFERROR(__xludf.DUMMYFUNCTION("""COMPUTED_VALUE"""),185.45)</f>
        <v>185.45</v>
      </c>
      <c r="D8505" s="2">
        <f>IFERROR(__xludf.DUMMYFUNCTION("""COMPUTED_VALUE"""),183.23)</f>
        <v>183.23</v>
      </c>
      <c r="E8505" s="2">
        <f>IFERROR(__xludf.DUMMYFUNCTION("""COMPUTED_VALUE"""),183.54)</f>
        <v>183.54</v>
      </c>
      <c r="F8505" s="2">
        <f>IFERROR(__xludf.DUMMYFUNCTION("""COMPUTED_VALUE"""),2931728.0)</f>
        <v>2931728</v>
      </c>
    </row>
    <row r="8506">
      <c r="A8506" s="3">
        <f>IFERROR(__xludf.DUMMYFUNCTION("""COMPUTED_VALUE"""),41535.666666666664)</f>
        <v>41535.66667</v>
      </c>
      <c r="B8506" s="2">
        <f>IFERROR(__xludf.DUMMYFUNCTION("""COMPUTED_VALUE"""),183.96)</f>
        <v>183.96</v>
      </c>
      <c r="C8506" s="2">
        <f>IFERROR(__xludf.DUMMYFUNCTION("""COMPUTED_VALUE"""),186.15)</f>
        <v>186.15</v>
      </c>
      <c r="D8506" s="2">
        <f>IFERROR(__xludf.DUMMYFUNCTION("""COMPUTED_VALUE"""),183.39)</f>
        <v>183.39</v>
      </c>
      <c r="E8506" s="2">
        <f>IFERROR(__xludf.DUMMYFUNCTION("""COMPUTED_VALUE"""),185.7)</f>
        <v>185.7</v>
      </c>
      <c r="F8506" s="2">
        <f>IFERROR(__xludf.DUMMYFUNCTION("""COMPUTED_VALUE"""),3841926.0)</f>
        <v>3841926</v>
      </c>
    </row>
    <row r="8507">
      <c r="A8507" s="3">
        <f>IFERROR(__xludf.DUMMYFUNCTION("""COMPUTED_VALUE"""),41536.666666666664)</f>
        <v>41536.66667</v>
      </c>
      <c r="B8507" s="2">
        <f>IFERROR(__xludf.DUMMYFUNCTION("""COMPUTED_VALUE"""),185.47)</f>
        <v>185.47</v>
      </c>
      <c r="C8507" s="2">
        <f>IFERROR(__xludf.DUMMYFUNCTION("""COMPUTED_VALUE"""),186.15)</f>
        <v>186.15</v>
      </c>
      <c r="D8507" s="2">
        <f>IFERROR(__xludf.DUMMYFUNCTION("""COMPUTED_VALUE"""),184.56)</f>
        <v>184.56</v>
      </c>
      <c r="E8507" s="2">
        <f>IFERROR(__xludf.DUMMYFUNCTION("""COMPUTED_VALUE"""),184.72)</f>
        <v>184.72</v>
      </c>
      <c r="F8507" s="2">
        <f>IFERROR(__xludf.DUMMYFUNCTION("""COMPUTED_VALUE"""),3178067.0)</f>
        <v>3178067</v>
      </c>
    </row>
    <row r="8508">
      <c r="A8508" s="3">
        <f>IFERROR(__xludf.DUMMYFUNCTION("""COMPUTED_VALUE"""),41537.666666666664)</f>
        <v>41537.66667</v>
      </c>
      <c r="B8508" s="2">
        <f>IFERROR(__xludf.DUMMYFUNCTION("""COMPUTED_VALUE"""),185.26)</f>
        <v>185.26</v>
      </c>
      <c r="C8508" s="2">
        <f>IFERROR(__xludf.DUMMYFUNCTION("""COMPUTED_VALUE"""),185.71)</f>
        <v>185.71</v>
      </c>
      <c r="D8508" s="2">
        <f>IFERROR(__xludf.DUMMYFUNCTION("""COMPUTED_VALUE"""),181.5)</f>
        <v>181.5</v>
      </c>
      <c r="E8508" s="2">
        <f>IFERROR(__xludf.DUMMYFUNCTION("""COMPUTED_VALUE"""),181.5)</f>
        <v>181.5</v>
      </c>
      <c r="F8508" s="2">
        <f>IFERROR(__xludf.DUMMYFUNCTION("""COMPUTED_VALUE"""),8531193.0)</f>
        <v>8531193</v>
      </c>
    </row>
    <row r="8509">
      <c r="A8509" s="3">
        <f>IFERROR(__xludf.DUMMYFUNCTION("""COMPUTED_VALUE"""),41540.666666666664)</f>
        <v>41540.66667</v>
      </c>
      <c r="B8509" s="2">
        <f>IFERROR(__xludf.DUMMYFUNCTION("""COMPUTED_VALUE"""),181.54)</f>
        <v>181.54</v>
      </c>
      <c r="C8509" s="2">
        <f>IFERROR(__xludf.DUMMYFUNCTION("""COMPUTED_VALUE"""),183.78)</f>
        <v>183.78</v>
      </c>
      <c r="D8509" s="2">
        <f>IFERROR(__xludf.DUMMYFUNCTION("""COMPUTED_VALUE"""),180.84)</f>
        <v>180.84</v>
      </c>
      <c r="E8509" s="2">
        <f>IFERROR(__xludf.DUMMYFUNCTION("""COMPUTED_VALUE"""),182.43)</f>
        <v>182.43</v>
      </c>
      <c r="F8509" s="2">
        <f>IFERROR(__xludf.DUMMYFUNCTION("""COMPUTED_VALUE"""),3340891.0)</f>
        <v>3340891</v>
      </c>
    </row>
    <row r="8510">
      <c r="A8510" s="3">
        <f>IFERROR(__xludf.DUMMYFUNCTION("""COMPUTED_VALUE"""),41541.666666666664)</f>
        <v>41541.66667</v>
      </c>
      <c r="B8510" s="2">
        <f>IFERROR(__xludf.DUMMYFUNCTION("""COMPUTED_VALUE"""),182.37)</f>
        <v>182.37</v>
      </c>
      <c r="C8510" s="2">
        <f>IFERROR(__xludf.DUMMYFUNCTION("""COMPUTED_VALUE"""),182.97)</f>
        <v>182.97</v>
      </c>
      <c r="D8510" s="2">
        <f>IFERROR(__xludf.DUMMYFUNCTION("""COMPUTED_VALUE"""),181.16)</f>
        <v>181.16</v>
      </c>
      <c r="E8510" s="2">
        <f>IFERROR(__xludf.DUMMYFUNCTION("""COMPUTED_VALUE"""),181.45)</f>
        <v>181.45</v>
      </c>
      <c r="F8510" s="2">
        <f>IFERROR(__xludf.DUMMYFUNCTION("""COMPUTED_VALUE"""),3085242.0)</f>
        <v>3085242</v>
      </c>
    </row>
    <row r="8511">
      <c r="A8511" s="3">
        <f>IFERROR(__xludf.DUMMYFUNCTION("""COMPUTED_VALUE"""),41542.666666666664)</f>
        <v>41542.66667</v>
      </c>
      <c r="B8511" s="2">
        <f>IFERROR(__xludf.DUMMYFUNCTION("""COMPUTED_VALUE"""),181.61)</f>
        <v>181.61</v>
      </c>
      <c r="C8511" s="2">
        <f>IFERROR(__xludf.DUMMYFUNCTION("""COMPUTED_VALUE"""),182.07)</f>
        <v>182.07</v>
      </c>
      <c r="D8511" s="2">
        <f>IFERROR(__xludf.DUMMYFUNCTION("""COMPUTED_VALUE"""),180.05)</f>
        <v>180.05</v>
      </c>
      <c r="E8511" s="2">
        <f>IFERROR(__xludf.DUMMYFUNCTION("""COMPUTED_VALUE"""),180.97)</f>
        <v>180.97</v>
      </c>
      <c r="F8511" s="2">
        <f>IFERROR(__xludf.DUMMYFUNCTION("""COMPUTED_VALUE"""),2654833.0)</f>
        <v>2654833</v>
      </c>
    </row>
    <row r="8512">
      <c r="A8512" s="3">
        <f>IFERROR(__xludf.DUMMYFUNCTION("""COMPUTED_VALUE"""),41543.666666666664)</f>
        <v>41543.66667</v>
      </c>
      <c r="B8512" s="2">
        <f>IFERROR(__xludf.DUMMYFUNCTION("""COMPUTED_VALUE"""),181.58)</f>
        <v>181.58</v>
      </c>
      <c r="C8512" s="2">
        <f>IFERROR(__xludf.DUMMYFUNCTION("""COMPUTED_VALUE"""),183.16)</f>
        <v>183.16</v>
      </c>
      <c r="D8512" s="2">
        <f>IFERROR(__xludf.DUMMYFUNCTION("""COMPUTED_VALUE"""),180.96)</f>
        <v>180.96</v>
      </c>
      <c r="E8512" s="2">
        <f>IFERROR(__xludf.DUMMYFUNCTION("""COMPUTED_VALUE"""),181.69)</f>
        <v>181.69</v>
      </c>
      <c r="F8512" s="2">
        <f>IFERROR(__xludf.DUMMYFUNCTION("""COMPUTED_VALUE"""),2093584.0)</f>
        <v>2093584</v>
      </c>
    </row>
    <row r="8513">
      <c r="A8513" s="3">
        <f>IFERROR(__xludf.DUMMYFUNCTION("""COMPUTED_VALUE"""),41544.666666666664)</f>
        <v>41544.66667</v>
      </c>
      <c r="B8513" s="2">
        <f>IFERROR(__xludf.DUMMYFUNCTION("""COMPUTED_VALUE"""),180.4)</f>
        <v>180.4</v>
      </c>
      <c r="C8513" s="2">
        <f>IFERROR(__xludf.DUMMYFUNCTION("""COMPUTED_VALUE"""),180.47)</f>
        <v>180.47</v>
      </c>
      <c r="D8513" s="2">
        <f>IFERROR(__xludf.DUMMYFUNCTION("""COMPUTED_VALUE"""),178.09)</f>
        <v>178.09</v>
      </c>
      <c r="E8513" s="2">
        <f>IFERROR(__xludf.DUMMYFUNCTION("""COMPUTED_VALUE"""),178.54)</f>
        <v>178.54</v>
      </c>
      <c r="F8513" s="2">
        <f>IFERROR(__xludf.DUMMYFUNCTION("""COMPUTED_VALUE"""),3907904.0)</f>
        <v>3907904</v>
      </c>
    </row>
    <row r="8514">
      <c r="A8514" s="3">
        <f>IFERROR(__xludf.DUMMYFUNCTION("""COMPUTED_VALUE"""),41547.666666666664)</f>
        <v>41547.66667</v>
      </c>
      <c r="B8514" s="2">
        <f>IFERROR(__xludf.DUMMYFUNCTION("""COMPUTED_VALUE"""),177.24)</f>
        <v>177.24</v>
      </c>
      <c r="C8514" s="2">
        <f>IFERROR(__xludf.DUMMYFUNCTION("""COMPUTED_VALUE"""),178.37)</f>
        <v>178.37</v>
      </c>
      <c r="D8514" s="2">
        <f>IFERROR(__xludf.DUMMYFUNCTION("""COMPUTED_VALUE"""),176.07)</f>
        <v>176.07</v>
      </c>
      <c r="E8514" s="2">
        <f>IFERROR(__xludf.DUMMYFUNCTION("""COMPUTED_VALUE"""),176.88)</f>
        <v>176.88</v>
      </c>
      <c r="F8514" s="2">
        <f>IFERROR(__xludf.DUMMYFUNCTION("""COMPUTED_VALUE"""),3978234.0)</f>
        <v>3978234</v>
      </c>
    </row>
    <row r="8515">
      <c r="A8515" s="3">
        <f>IFERROR(__xludf.DUMMYFUNCTION("""COMPUTED_VALUE"""),41548.666666666664)</f>
        <v>41548.66667</v>
      </c>
      <c r="B8515" s="2">
        <f>IFERROR(__xludf.DUMMYFUNCTION("""COMPUTED_VALUE"""),177.03)</f>
        <v>177.03</v>
      </c>
      <c r="C8515" s="2">
        <f>IFERROR(__xludf.DUMMYFUNCTION("""COMPUTED_VALUE"""),178.28)</f>
        <v>178.28</v>
      </c>
      <c r="D8515" s="2">
        <f>IFERROR(__xludf.DUMMYFUNCTION("""COMPUTED_VALUE"""),176.37)</f>
        <v>176.37</v>
      </c>
      <c r="E8515" s="2">
        <f>IFERROR(__xludf.DUMMYFUNCTION("""COMPUTED_VALUE"""),178.02)</f>
        <v>178.02</v>
      </c>
      <c r="F8515" s="2">
        <f>IFERROR(__xludf.DUMMYFUNCTION("""COMPUTED_VALUE"""),2682184.0)</f>
        <v>2682184</v>
      </c>
    </row>
    <row r="8516">
      <c r="A8516" s="3">
        <f>IFERROR(__xludf.DUMMYFUNCTION("""COMPUTED_VALUE"""),41549.666666666664)</f>
        <v>41549.66667</v>
      </c>
      <c r="B8516" s="2">
        <f>IFERROR(__xludf.DUMMYFUNCTION("""COMPUTED_VALUE"""),177.22)</f>
        <v>177.22</v>
      </c>
      <c r="C8516" s="2">
        <f>IFERROR(__xludf.DUMMYFUNCTION("""COMPUTED_VALUE"""),177.96)</f>
        <v>177.96</v>
      </c>
      <c r="D8516" s="2">
        <f>IFERROR(__xludf.DUMMYFUNCTION("""COMPUTED_VALUE"""),176.14)</f>
        <v>176.14</v>
      </c>
      <c r="E8516" s="2">
        <f>IFERROR(__xludf.DUMMYFUNCTION("""COMPUTED_VALUE"""),176.67)</f>
        <v>176.67</v>
      </c>
      <c r="F8516" s="2">
        <f>IFERROR(__xludf.DUMMYFUNCTION("""COMPUTED_VALUE"""),3618459.0)</f>
        <v>3618459</v>
      </c>
    </row>
    <row r="8517">
      <c r="A8517" s="3">
        <f>IFERROR(__xludf.DUMMYFUNCTION("""COMPUTED_VALUE"""),41550.666666666664)</f>
        <v>41550.66667</v>
      </c>
      <c r="B8517" s="2">
        <f>IFERROR(__xludf.DUMMYFUNCTION("""COMPUTED_VALUE"""),176.42)</f>
        <v>176.42</v>
      </c>
      <c r="C8517" s="2">
        <f>IFERROR(__xludf.DUMMYFUNCTION("""COMPUTED_VALUE"""),176.67)</f>
        <v>176.67</v>
      </c>
      <c r="D8517" s="2">
        <f>IFERROR(__xludf.DUMMYFUNCTION("""COMPUTED_VALUE"""),174.8)</f>
        <v>174.8</v>
      </c>
      <c r="E8517" s="2">
        <f>IFERROR(__xludf.DUMMYFUNCTION("""COMPUTED_VALUE"""),175.62)</f>
        <v>175.62</v>
      </c>
      <c r="F8517" s="2">
        <f>IFERROR(__xludf.DUMMYFUNCTION("""COMPUTED_VALUE"""),3212240.0)</f>
        <v>3212240</v>
      </c>
    </row>
    <row r="8518">
      <c r="A8518" s="3">
        <f>IFERROR(__xludf.DUMMYFUNCTION("""COMPUTED_VALUE"""),41551.666666666664)</f>
        <v>41551.66667</v>
      </c>
      <c r="B8518" s="2">
        <f>IFERROR(__xludf.DUMMYFUNCTION("""COMPUTED_VALUE"""),175.91)</f>
        <v>175.91</v>
      </c>
      <c r="C8518" s="2">
        <f>IFERROR(__xludf.DUMMYFUNCTION("""COMPUTED_VALUE"""),176.83)</f>
        <v>176.83</v>
      </c>
      <c r="D8518" s="2">
        <f>IFERROR(__xludf.DUMMYFUNCTION("""COMPUTED_VALUE"""),175.35)</f>
        <v>175.35</v>
      </c>
      <c r="E8518" s="2">
        <f>IFERROR(__xludf.DUMMYFUNCTION("""COMPUTED_VALUE"""),175.85)</f>
        <v>175.85</v>
      </c>
      <c r="F8518" s="2">
        <f>IFERROR(__xludf.DUMMYFUNCTION("""COMPUTED_VALUE"""),2864163.0)</f>
        <v>2864163</v>
      </c>
    </row>
    <row r="8519">
      <c r="A8519" s="3">
        <f>IFERROR(__xludf.DUMMYFUNCTION("""COMPUTED_VALUE"""),41554.666666666664)</f>
        <v>41554.66667</v>
      </c>
      <c r="B8519" s="2">
        <f>IFERROR(__xludf.DUMMYFUNCTION("""COMPUTED_VALUE"""),173.7)</f>
        <v>173.7</v>
      </c>
      <c r="C8519" s="2">
        <f>IFERROR(__xludf.DUMMYFUNCTION("""COMPUTED_VALUE"""),175.09)</f>
        <v>175.09</v>
      </c>
      <c r="D8519" s="2">
        <f>IFERROR(__xludf.DUMMYFUNCTION("""COMPUTED_VALUE"""),173.7)</f>
        <v>173.7</v>
      </c>
      <c r="E8519" s="2">
        <f>IFERROR(__xludf.DUMMYFUNCTION("""COMPUTED_VALUE"""),173.85)</f>
        <v>173.85</v>
      </c>
      <c r="F8519" s="2">
        <f>IFERROR(__xludf.DUMMYFUNCTION("""COMPUTED_VALUE"""),3968362.0)</f>
        <v>3968362</v>
      </c>
    </row>
    <row r="8520">
      <c r="A8520" s="3">
        <f>IFERROR(__xludf.DUMMYFUNCTION("""COMPUTED_VALUE"""),41555.666666666664)</f>
        <v>41555.66667</v>
      </c>
      <c r="B8520" s="2">
        <f>IFERROR(__xludf.DUMMYFUNCTION("""COMPUTED_VALUE"""),173.73)</f>
        <v>173.73</v>
      </c>
      <c r="C8520" s="2">
        <f>IFERROR(__xludf.DUMMYFUNCTION("""COMPUTED_VALUE"""),173.83)</f>
        <v>173.83</v>
      </c>
      <c r="D8520" s="2">
        <f>IFERROR(__xludf.DUMMYFUNCTION("""COMPUTED_VALUE"""),170.7)</f>
        <v>170.7</v>
      </c>
      <c r="E8520" s="2">
        <f>IFERROR(__xludf.DUMMYFUNCTION("""COMPUTED_VALUE"""),170.71)</f>
        <v>170.71</v>
      </c>
      <c r="F8520" s="2">
        <f>IFERROR(__xludf.DUMMYFUNCTION("""COMPUTED_VALUE"""),5579833.0)</f>
        <v>5579833</v>
      </c>
    </row>
    <row r="8521">
      <c r="A8521" s="3">
        <f>IFERROR(__xludf.DUMMYFUNCTION("""COMPUTED_VALUE"""),41556.666666666664)</f>
        <v>41556.66667</v>
      </c>
      <c r="B8521" s="2">
        <f>IFERROR(__xludf.DUMMYFUNCTION("""COMPUTED_VALUE"""),171.33)</f>
        <v>171.33</v>
      </c>
      <c r="C8521" s="2">
        <f>IFERROR(__xludf.DUMMYFUNCTION("""COMPUTED_VALUE"""),173.52)</f>
        <v>173.52</v>
      </c>
      <c r="D8521" s="2">
        <f>IFERROR(__xludf.DUMMYFUNCTION("""COMPUTED_VALUE"""),171.07)</f>
        <v>171.07</v>
      </c>
      <c r="E8521" s="2">
        <f>IFERROR(__xludf.DUMMYFUNCTION("""COMPUTED_VALUE"""),173.19)</f>
        <v>173.19</v>
      </c>
      <c r="F8521" s="2">
        <f>IFERROR(__xludf.DUMMYFUNCTION("""COMPUTED_VALUE"""),4424359.0)</f>
        <v>4424359</v>
      </c>
    </row>
    <row r="8522">
      <c r="A8522" s="3">
        <f>IFERROR(__xludf.DUMMYFUNCTION("""COMPUTED_VALUE"""),41557.666666666664)</f>
        <v>41557.66667</v>
      </c>
      <c r="B8522" s="2">
        <f>IFERROR(__xludf.DUMMYFUNCTION("""COMPUTED_VALUE"""),174.96)</f>
        <v>174.96</v>
      </c>
      <c r="C8522" s="2">
        <f>IFERROR(__xludf.DUMMYFUNCTION("""COMPUTED_VALUE"""),176.49)</f>
        <v>176.49</v>
      </c>
      <c r="D8522" s="2">
        <f>IFERROR(__xludf.DUMMYFUNCTION("""COMPUTED_VALUE"""),174.18)</f>
        <v>174.18</v>
      </c>
      <c r="E8522" s="2">
        <f>IFERROR(__xludf.DUMMYFUNCTION("""COMPUTED_VALUE"""),176.49)</f>
        <v>176.49</v>
      </c>
      <c r="F8522" s="2">
        <f>IFERROR(__xludf.DUMMYFUNCTION("""COMPUTED_VALUE"""),3659606.0)</f>
        <v>3659606</v>
      </c>
    </row>
    <row r="8523">
      <c r="A8523" s="3">
        <f>IFERROR(__xludf.DUMMYFUNCTION("""COMPUTED_VALUE"""),41558.666666666664)</f>
        <v>41558.66667</v>
      </c>
      <c r="B8523" s="2">
        <f>IFERROR(__xludf.DUMMYFUNCTION("""COMPUTED_VALUE"""),176.94)</f>
        <v>176.94</v>
      </c>
      <c r="C8523" s="2">
        <f>IFERROR(__xludf.DUMMYFUNCTION("""COMPUTED_VALUE"""),177.88)</f>
        <v>177.88</v>
      </c>
      <c r="D8523" s="2">
        <f>IFERROR(__xludf.DUMMYFUNCTION("""COMPUTED_VALUE"""),175.86)</f>
        <v>175.86</v>
      </c>
      <c r="E8523" s="2">
        <f>IFERROR(__xludf.DUMMYFUNCTION("""COMPUTED_VALUE"""),177.81)</f>
        <v>177.81</v>
      </c>
      <c r="F8523" s="2">
        <f>IFERROR(__xludf.DUMMYFUNCTION("""COMPUTED_VALUE"""),3232828.0)</f>
        <v>3232828</v>
      </c>
    </row>
    <row r="8524">
      <c r="A8524" s="3">
        <f>IFERROR(__xludf.DUMMYFUNCTION("""COMPUTED_VALUE"""),41561.666666666664)</f>
        <v>41561.66667</v>
      </c>
      <c r="B8524" s="2">
        <f>IFERROR(__xludf.DUMMYFUNCTION("""COMPUTED_VALUE"""),177.1)</f>
        <v>177.1</v>
      </c>
      <c r="C8524" s="2">
        <f>IFERROR(__xludf.DUMMYFUNCTION("""COMPUTED_VALUE"""),178.61)</f>
        <v>178.61</v>
      </c>
      <c r="D8524" s="2">
        <f>IFERROR(__xludf.DUMMYFUNCTION("""COMPUTED_VALUE"""),176.15)</f>
        <v>176.15</v>
      </c>
      <c r="E8524" s="2">
        <f>IFERROR(__xludf.DUMMYFUNCTION("""COMPUTED_VALUE"""),178.59)</f>
        <v>178.59</v>
      </c>
      <c r="F8524" s="2">
        <f>IFERROR(__xludf.DUMMYFUNCTION("""COMPUTED_VALUE"""),2663207.0)</f>
        <v>2663207</v>
      </c>
    </row>
    <row r="8525">
      <c r="A8525" s="3">
        <f>IFERROR(__xludf.DUMMYFUNCTION("""COMPUTED_VALUE"""),41562.666666666664)</f>
        <v>41562.66667</v>
      </c>
      <c r="B8525" s="2">
        <f>IFERROR(__xludf.DUMMYFUNCTION("""COMPUTED_VALUE"""),177.41)</f>
        <v>177.41</v>
      </c>
      <c r="C8525" s="2">
        <f>IFERROR(__xludf.DUMMYFUNCTION("""COMPUTED_VALUE"""),177.6)</f>
        <v>177.6</v>
      </c>
      <c r="D8525" s="2">
        <f>IFERROR(__xludf.DUMMYFUNCTION("""COMPUTED_VALUE"""),175.96)</f>
        <v>175.96</v>
      </c>
      <c r="E8525" s="2">
        <f>IFERROR(__xludf.DUMMYFUNCTION("""COMPUTED_VALUE"""),176.38)</f>
        <v>176.38</v>
      </c>
      <c r="F8525" s="2">
        <f>IFERROR(__xludf.DUMMYFUNCTION("""COMPUTED_VALUE"""),3367275.0)</f>
        <v>3367275</v>
      </c>
    </row>
    <row r="8526">
      <c r="A8526" s="3">
        <f>IFERROR(__xludf.DUMMYFUNCTION("""COMPUTED_VALUE"""),41563.666666666664)</f>
        <v>41563.66667</v>
      </c>
      <c r="B8526" s="2">
        <f>IFERROR(__xludf.DUMMYFUNCTION("""COMPUTED_VALUE"""),177.11)</f>
        <v>177.11</v>
      </c>
      <c r="C8526" s="2">
        <f>IFERROR(__xludf.DUMMYFUNCTION("""COMPUTED_VALUE"""),178.36)</f>
        <v>178.36</v>
      </c>
      <c r="D8526" s="2">
        <f>IFERROR(__xludf.DUMMYFUNCTION("""COMPUTED_VALUE"""),176.7)</f>
        <v>176.7</v>
      </c>
      <c r="E8526" s="2">
        <f>IFERROR(__xludf.DUMMYFUNCTION("""COMPUTED_VALUE"""),178.36)</f>
        <v>178.36</v>
      </c>
      <c r="F8526" s="2">
        <f>IFERROR(__xludf.DUMMYFUNCTION("""COMPUTED_VALUE"""),6717979.0)</f>
        <v>6717979</v>
      </c>
    </row>
    <row r="8527">
      <c r="A8527" s="3">
        <f>IFERROR(__xludf.DUMMYFUNCTION("""COMPUTED_VALUE"""),41564.666666666664)</f>
        <v>41564.66667</v>
      </c>
      <c r="B8527" s="2">
        <f>IFERROR(__xludf.DUMMYFUNCTION("""COMPUTED_VALUE"""),166.05)</f>
        <v>166.05</v>
      </c>
      <c r="C8527" s="2">
        <f>IFERROR(__xludf.DUMMYFUNCTION("""COMPUTED_VALUE"""),169.06)</f>
        <v>169.06</v>
      </c>
      <c r="D8527" s="2">
        <f>IFERROR(__xludf.DUMMYFUNCTION("""COMPUTED_VALUE"""),164.83)</f>
        <v>164.83</v>
      </c>
      <c r="E8527" s="2">
        <f>IFERROR(__xludf.DUMMYFUNCTION("""COMPUTED_VALUE"""),166.99)</f>
        <v>166.99</v>
      </c>
      <c r="F8527" s="2">
        <f>IFERROR(__xludf.DUMMYFUNCTION("""COMPUTED_VALUE"""),2.236894E7)</f>
        <v>22368940</v>
      </c>
    </row>
    <row r="8528">
      <c r="A8528" s="3">
        <f>IFERROR(__xludf.DUMMYFUNCTION("""COMPUTED_VALUE"""),41565.666666666664)</f>
        <v>41565.66667</v>
      </c>
      <c r="B8528" s="2">
        <f>IFERROR(__xludf.DUMMYFUNCTION("""COMPUTED_VALUE"""),166.96)</f>
        <v>166.96</v>
      </c>
      <c r="C8528" s="2">
        <f>IFERROR(__xludf.DUMMYFUNCTION("""COMPUTED_VALUE"""),167.15)</f>
        <v>167.15</v>
      </c>
      <c r="D8528" s="2">
        <f>IFERROR(__xludf.DUMMYFUNCTION("""COMPUTED_VALUE"""),165.48)</f>
        <v>165.48</v>
      </c>
      <c r="E8528" s="2">
        <f>IFERROR(__xludf.DUMMYFUNCTION("""COMPUTED_VALUE"""),165.99)</f>
        <v>165.99</v>
      </c>
      <c r="F8528" s="2">
        <f>IFERROR(__xludf.DUMMYFUNCTION("""COMPUTED_VALUE"""),1.0552466E7)</f>
        <v>10552466</v>
      </c>
    </row>
    <row r="8529">
      <c r="A8529" s="3">
        <f>IFERROR(__xludf.DUMMYFUNCTION("""COMPUTED_VALUE"""),41568.666666666664)</f>
        <v>41568.66667</v>
      </c>
      <c r="B8529" s="2">
        <f>IFERROR(__xludf.DUMMYFUNCTION("""COMPUTED_VALUE"""),166.6)</f>
        <v>166.6</v>
      </c>
      <c r="C8529" s="2">
        <f>IFERROR(__xludf.DUMMYFUNCTION("""COMPUTED_VALUE"""),166.91)</f>
        <v>166.91</v>
      </c>
      <c r="D8529" s="2">
        <f>IFERROR(__xludf.DUMMYFUNCTION("""COMPUTED_VALUE"""),164.89)</f>
        <v>164.89</v>
      </c>
      <c r="E8529" s="2">
        <f>IFERROR(__xludf.DUMMYFUNCTION("""COMPUTED_VALUE"""),165.11)</f>
        <v>165.11</v>
      </c>
      <c r="F8529" s="2">
        <f>IFERROR(__xludf.DUMMYFUNCTION("""COMPUTED_VALUE"""),7098685.0)</f>
        <v>7098685</v>
      </c>
    </row>
    <row r="8530">
      <c r="A8530" s="3">
        <f>IFERROR(__xludf.DUMMYFUNCTION("""COMPUTED_VALUE"""),41569.666666666664)</f>
        <v>41569.66667</v>
      </c>
      <c r="B8530" s="2">
        <f>IFERROR(__xludf.DUMMYFUNCTION("""COMPUTED_VALUE"""),165.58)</f>
        <v>165.58</v>
      </c>
      <c r="C8530" s="2">
        <f>IFERROR(__xludf.DUMMYFUNCTION("""COMPUTED_VALUE"""),167.7)</f>
        <v>167.7</v>
      </c>
      <c r="D8530" s="2">
        <f>IFERROR(__xludf.DUMMYFUNCTION("""COMPUTED_VALUE"""),165.2)</f>
        <v>165.2</v>
      </c>
      <c r="E8530" s="2">
        <f>IFERROR(__xludf.DUMMYFUNCTION("""COMPUTED_VALUE"""),167.13)</f>
        <v>167.13</v>
      </c>
      <c r="F8530" s="2">
        <f>IFERROR(__xludf.DUMMYFUNCTION("""COMPUTED_VALUE"""),6980623.0)</f>
        <v>6980623</v>
      </c>
    </row>
    <row r="8531">
      <c r="A8531" s="3">
        <f>IFERROR(__xludf.DUMMYFUNCTION("""COMPUTED_VALUE"""),41570.666666666664)</f>
        <v>41570.66667</v>
      </c>
      <c r="B8531" s="2">
        <f>IFERROR(__xludf.DUMMYFUNCTION("""COMPUTED_VALUE"""),167.24)</f>
        <v>167.24</v>
      </c>
      <c r="C8531" s="2">
        <f>IFERROR(__xludf.DUMMYFUNCTION("""COMPUTED_VALUE"""),168.1)</f>
        <v>168.1</v>
      </c>
      <c r="D8531" s="2">
        <f>IFERROR(__xludf.DUMMYFUNCTION("""COMPUTED_VALUE"""),166.58)</f>
        <v>166.58</v>
      </c>
      <c r="E8531" s="2">
        <f>IFERROR(__xludf.DUMMYFUNCTION("""COMPUTED_VALUE"""),167.89)</f>
        <v>167.89</v>
      </c>
      <c r="F8531" s="2">
        <f>IFERROR(__xludf.DUMMYFUNCTION("""COMPUTED_VALUE"""),5416339.0)</f>
        <v>5416339</v>
      </c>
    </row>
    <row r="8532">
      <c r="A8532" s="3">
        <f>IFERROR(__xludf.DUMMYFUNCTION("""COMPUTED_VALUE"""),41571.666666666664)</f>
        <v>41571.66667</v>
      </c>
      <c r="B8532" s="2">
        <f>IFERROR(__xludf.DUMMYFUNCTION("""COMPUTED_VALUE"""),168.52)</f>
        <v>168.52</v>
      </c>
      <c r="C8532" s="2">
        <f>IFERROR(__xludf.DUMMYFUNCTION("""COMPUTED_VALUE"""),169.91)</f>
        <v>169.91</v>
      </c>
      <c r="D8532" s="2">
        <f>IFERROR(__xludf.DUMMYFUNCTION("""COMPUTED_VALUE"""),168.35)</f>
        <v>168.35</v>
      </c>
      <c r="E8532" s="2">
        <f>IFERROR(__xludf.DUMMYFUNCTION("""COMPUTED_VALUE"""),169.83)</f>
        <v>169.83</v>
      </c>
      <c r="F8532" s="2">
        <f>IFERROR(__xludf.DUMMYFUNCTION("""COMPUTED_VALUE"""),5534885.0)</f>
        <v>5534885</v>
      </c>
    </row>
    <row r="8533">
      <c r="A8533" s="3">
        <f>IFERROR(__xludf.DUMMYFUNCTION("""COMPUTED_VALUE"""),41572.666666666664)</f>
        <v>41572.66667</v>
      </c>
      <c r="B8533" s="2">
        <f>IFERROR(__xludf.DUMMYFUNCTION("""COMPUTED_VALUE"""),170.43)</f>
        <v>170.43</v>
      </c>
      <c r="C8533" s="2">
        <f>IFERROR(__xludf.DUMMYFUNCTION("""COMPUTED_VALUE"""),171.07)</f>
        <v>171.07</v>
      </c>
      <c r="D8533" s="2">
        <f>IFERROR(__xludf.DUMMYFUNCTION("""COMPUTED_VALUE"""),168.36)</f>
        <v>168.36</v>
      </c>
      <c r="E8533" s="2">
        <f>IFERROR(__xludf.DUMMYFUNCTION("""COMPUTED_VALUE"""),168.92)</f>
        <v>168.92</v>
      </c>
      <c r="F8533" s="2">
        <f>IFERROR(__xludf.DUMMYFUNCTION("""COMPUTED_VALUE"""),4844399.0)</f>
        <v>4844399</v>
      </c>
    </row>
    <row r="8534">
      <c r="A8534" s="3">
        <f>IFERROR(__xludf.DUMMYFUNCTION("""COMPUTED_VALUE"""),41575.666666666664)</f>
        <v>41575.66667</v>
      </c>
      <c r="B8534" s="2">
        <f>IFERROR(__xludf.DUMMYFUNCTION("""COMPUTED_VALUE"""),169.1)</f>
        <v>169.1</v>
      </c>
      <c r="C8534" s="2">
        <f>IFERROR(__xludf.DUMMYFUNCTION("""COMPUTED_VALUE"""),169.91)</f>
        <v>169.91</v>
      </c>
      <c r="D8534" s="2">
        <f>IFERROR(__xludf.DUMMYFUNCTION("""COMPUTED_VALUE"""),168.3)</f>
        <v>168.3</v>
      </c>
      <c r="E8534" s="2">
        <f>IFERROR(__xludf.DUMMYFUNCTION("""COMPUTED_VALUE"""),169.4)</f>
        <v>169.4</v>
      </c>
      <c r="F8534" s="2">
        <f>IFERROR(__xludf.DUMMYFUNCTION("""COMPUTED_VALUE"""),3712733.0)</f>
        <v>3712733</v>
      </c>
    </row>
    <row r="8535">
      <c r="A8535" s="3">
        <f>IFERROR(__xludf.DUMMYFUNCTION("""COMPUTED_VALUE"""),41576.666666666664)</f>
        <v>41576.66667</v>
      </c>
      <c r="B8535" s="2">
        <f>IFERROR(__xludf.DUMMYFUNCTION("""COMPUTED_VALUE"""),169.66)</f>
        <v>169.66</v>
      </c>
      <c r="C8535" s="2">
        <f>IFERROR(__xludf.DUMMYFUNCTION("""COMPUTED_VALUE"""),174.15)</f>
        <v>174.15</v>
      </c>
      <c r="D8535" s="2">
        <f>IFERROR(__xludf.DUMMYFUNCTION("""COMPUTED_VALUE"""),169.54)</f>
        <v>169.54</v>
      </c>
      <c r="E8535" s="2">
        <f>IFERROR(__xludf.DUMMYFUNCTION("""COMPUTED_VALUE"""),173.95)</f>
        <v>173.95</v>
      </c>
      <c r="F8535" s="2">
        <f>IFERROR(__xludf.DUMMYFUNCTION("""COMPUTED_VALUE"""),8909330.0)</f>
        <v>8909330</v>
      </c>
    </row>
    <row r="8536">
      <c r="A8536" s="3">
        <f>IFERROR(__xludf.DUMMYFUNCTION("""COMPUTED_VALUE"""),41577.666666666664)</f>
        <v>41577.66667</v>
      </c>
      <c r="B8536" s="2">
        <f>IFERROR(__xludf.DUMMYFUNCTION("""COMPUTED_VALUE"""),173.54)</f>
        <v>173.54</v>
      </c>
      <c r="C8536" s="2">
        <f>IFERROR(__xludf.DUMMYFUNCTION("""COMPUTED_VALUE"""),174.01)</f>
        <v>174.01</v>
      </c>
      <c r="D8536" s="2">
        <f>IFERROR(__xludf.DUMMYFUNCTION("""COMPUTED_VALUE"""),171.8)</f>
        <v>171.8</v>
      </c>
      <c r="E8536" s="2">
        <f>IFERROR(__xludf.DUMMYFUNCTION("""COMPUTED_VALUE"""),172.07)</f>
        <v>172.07</v>
      </c>
      <c r="F8536" s="2">
        <f>IFERROR(__xludf.DUMMYFUNCTION("""COMPUTED_VALUE"""),5275922.0)</f>
        <v>5275922</v>
      </c>
    </row>
    <row r="8537">
      <c r="A8537" s="3">
        <f>IFERROR(__xludf.DUMMYFUNCTION("""COMPUTED_VALUE"""),41578.666666666664)</f>
        <v>41578.66667</v>
      </c>
      <c r="B8537" s="2">
        <f>IFERROR(__xludf.DUMMYFUNCTION("""COMPUTED_VALUE"""),171.6)</f>
        <v>171.6</v>
      </c>
      <c r="C8537" s="2">
        <f>IFERROR(__xludf.DUMMYFUNCTION("""COMPUTED_VALUE"""),173.52)</f>
        <v>173.52</v>
      </c>
      <c r="D8537" s="2">
        <f>IFERROR(__xludf.DUMMYFUNCTION("""COMPUTED_VALUE"""),171.01)</f>
        <v>171.01</v>
      </c>
      <c r="E8537" s="2">
        <f>IFERROR(__xludf.DUMMYFUNCTION("""COMPUTED_VALUE"""),171.17)</f>
        <v>171.17</v>
      </c>
      <c r="F8537" s="2">
        <f>IFERROR(__xludf.DUMMYFUNCTION("""COMPUTED_VALUE"""),4318185.0)</f>
        <v>4318185</v>
      </c>
    </row>
    <row r="8538">
      <c r="A8538" s="3">
        <f>IFERROR(__xludf.DUMMYFUNCTION("""COMPUTED_VALUE"""),41579.666666666664)</f>
        <v>41579.66667</v>
      </c>
      <c r="B8538" s="2">
        <f>IFERROR(__xludf.DUMMYFUNCTION("""COMPUTED_VALUE"""),171.75)</f>
        <v>171.75</v>
      </c>
      <c r="C8538" s="2">
        <f>IFERROR(__xludf.DUMMYFUNCTION("""COMPUTED_VALUE"""),172.25)</f>
        <v>172.25</v>
      </c>
      <c r="D8538" s="2">
        <f>IFERROR(__xludf.DUMMYFUNCTION("""COMPUTED_VALUE"""),170.86)</f>
        <v>170.86</v>
      </c>
      <c r="E8538" s="2">
        <f>IFERROR(__xludf.DUMMYFUNCTION("""COMPUTED_VALUE"""),171.19)</f>
        <v>171.19</v>
      </c>
      <c r="F8538" s="2">
        <f>IFERROR(__xludf.DUMMYFUNCTION("""COMPUTED_VALUE"""),3644628.0)</f>
        <v>3644628</v>
      </c>
    </row>
    <row r="8539">
      <c r="A8539" s="3">
        <f>IFERROR(__xludf.DUMMYFUNCTION("""COMPUTED_VALUE"""),41582.666666666664)</f>
        <v>41582.66667</v>
      </c>
      <c r="B8539" s="2">
        <f>IFERROR(__xludf.DUMMYFUNCTION("""COMPUTED_VALUE"""),171.83)</f>
        <v>171.83</v>
      </c>
      <c r="C8539" s="2">
        <f>IFERROR(__xludf.DUMMYFUNCTION("""COMPUTED_VALUE"""),172.69)</f>
        <v>172.69</v>
      </c>
      <c r="D8539" s="2">
        <f>IFERROR(__xludf.DUMMYFUNCTION("""COMPUTED_VALUE"""),171.3)</f>
        <v>171.3</v>
      </c>
      <c r="E8539" s="2">
        <f>IFERROR(__xludf.DUMMYFUNCTION("""COMPUTED_VALUE"""),172.19)</f>
        <v>172.19</v>
      </c>
      <c r="F8539" s="2">
        <f>IFERROR(__xludf.DUMMYFUNCTION("""COMPUTED_VALUE"""),3484345.0)</f>
        <v>3484345</v>
      </c>
    </row>
    <row r="8540">
      <c r="A8540" s="3">
        <f>IFERROR(__xludf.DUMMYFUNCTION("""COMPUTED_VALUE"""),41583.666666666664)</f>
        <v>41583.66667</v>
      </c>
      <c r="B8540" s="2">
        <f>IFERROR(__xludf.DUMMYFUNCTION("""COMPUTED_VALUE"""),171.49)</f>
        <v>171.49</v>
      </c>
      <c r="C8540" s="2">
        <f>IFERROR(__xludf.DUMMYFUNCTION("""COMPUTED_VALUE"""),171.74)</f>
        <v>171.74</v>
      </c>
      <c r="D8540" s="2">
        <f>IFERROR(__xludf.DUMMYFUNCTION("""COMPUTED_VALUE"""),169.74)</f>
        <v>169.74</v>
      </c>
      <c r="E8540" s="2">
        <f>IFERROR(__xludf.DUMMYFUNCTION("""COMPUTED_VALUE"""),169.88)</f>
        <v>169.88</v>
      </c>
      <c r="F8540" s="2">
        <f>IFERROR(__xludf.DUMMYFUNCTION("""COMPUTED_VALUE"""),6103386.0)</f>
        <v>6103386</v>
      </c>
    </row>
    <row r="8541">
      <c r="A8541" s="3">
        <f>IFERROR(__xludf.DUMMYFUNCTION("""COMPUTED_VALUE"""),41584.666666666664)</f>
        <v>41584.66667</v>
      </c>
      <c r="B8541" s="2">
        <f>IFERROR(__xludf.DUMMYFUNCTION("""COMPUTED_VALUE"""),169.93)</f>
        <v>169.93</v>
      </c>
      <c r="C8541" s="2">
        <f>IFERROR(__xludf.DUMMYFUNCTION("""COMPUTED_VALUE"""),171.69)</f>
        <v>171.69</v>
      </c>
      <c r="D8541" s="2">
        <f>IFERROR(__xludf.DUMMYFUNCTION("""COMPUTED_VALUE"""),169.81)</f>
        <v>169.81</v>
      </c>
      <c r="E8541" s="2">
        <f>IFERROR(__xludf.DUMMYFUNCTION("""COMPUTED_VALUE"""),171.16)</f>
        <v>171.16</v>
      </c>
      <c r="F8541" s="2">
        <f>IFERROR(__xludf.DUMMYFUNCTION("""COMPUTED_VALUE"""),4560659.0)</f>
        <v>4560659</v>
      </c>
    </row>
    <row r="8542">
      <c r="A8542" s="3">
        <f>IFERROR(__xludf.DUMMYFUNCTION("""COMPUTED_VALUE"""),41585.666666666664)</f>
        <v>41585.66667</v>
      </c>
      <c r="B8542" s="2">
        <f>IFERROR(__xludf.DUMMYFUNCTION("""COMPUTED_VALUE"""),171.55)</f>
        <v>171.55</v>
      </c>
      <c r="C8542" s="2">
        <f>IFERROR(__xludf.DUMMYFUNCTION("""COMPUTED_VALUE"""),173.26)</f>
        <v>173.26</v>
      </c>
      <c r="D8542" s="2">
        <f>IFERROR(__xludf.DUMMYFUNCTION("""COMPUTED_VALUE"""),171.55)</f>
        <v>171.55</v>
      </c>
      <c r="E8542" s="2">
        <f>IFERROR(__xludf.DUMMYFUNCTION("""COMPUTED_VALUE"""),171.93)</f>
        <v>171.93</v>
      </c>
      <c r="F8542" s="2">
        <f>IFERROR(__xludf.DUMMYFUNCTION("""COMPUTED_VALUE"""),5221281.0)</f>
        <v>5221281</v>
      </c>
    </row>
    <row r="8543">
      <c r="A8543" s="3">
        <f>IFERROR(__xludf.DUMMYFUNCTION("""COMPUTED_VALUE"""),41586.666666666664)</f>
        <v>41586.66667</v>
      </c>
      <c r="B8543" s="2">
        <f>IFERROR(__xludf.DUMMYFUNCTION("""COMPUTED_VALUE"""),170.81)</f>
        <v>170.81</v>
      </c>
      <c r="C8543" s="2">
        <f>IFERROR(__xludf.DUMMYFUNCTION("""COMPUTED_VALUE"""),172.01)</f>
        <v>172.01</v>
      </c>
      <c r="D8543" s="2">
        <f>IFERROR(__xludf.DUMMYFUNCTION("""COMPUTED_VALUE"""),169.4)</f>
        <v>169.4</v>
      </c>
      <c r="E8543" s="2">
        <f>IFERROR(__xludf.DUMMYFUNCTION("""COMPUTED_VALUE"""),171.92)</f>
        <v>171.92</v>
      </c>
      <c r="F8543" s="2">
        <f>IFERROR(__xludf.DUMMYFUNCTION("""COMPUTED_VALUE"""),6275035.0)</f>
        <v>6275035</v>
      </c>
    </row>
    <row r="8544">
      <c r="A8544" s="3">
        <f>IFERROR(__xludf.DUMMYFUNCTION("""COMPUTED_VALUE"""),41589.666666666664)</f>
        <v>41589.66667</v>
      </c>
      <c r="B8544" s="2">
        <f>IFERROR(__xludf.DUMMYFUNCTION("""COMPUTED_VALUE"""),172.11)</f>
        <v>172.11</v>
      </c>
      <c r="C8544" s="2">
        <f>IFERROR(__xludf.DUMMYFUNCTION("""COMPUTED_VALUE"""),175.17)</f>
        <v>175.17</v>
      </c>
      <c r="D8544" s="2">
        <f>IFERROR(__xludf.DUMMYFUNCTION("""COMPUTED_VALUE"""),171.97)</f>
        <v>171.97</v>
      </c>
      <c r="E8544" s="2">
        <f>IFERROR(__xludf.DUMMYFUNCTION("""COMPUTED_VALUE"""),174.68)</f>
        <v>174.68</v>
      </c>
      <c r="F8544" s="2">
        <f>IFERROR(__xludf.DUMMYFUNCTION("""COMPUTED_VALUE"""),5222299.0)</f>
        <v>5222299</v>
      </c>
    </row>
    <row r="8545">
      <c r="A8545" s="3">
        <f>IFERROR(__xludf.DUMMYFUNCTION("""COMPUTED_VALUE"""),41590.666666666664)</f>
        <v>41590.66667</v>
      </c>
      <c r="B8545" s="2">
        <f>IFERROR(__xludf.DUMMYFUNCTION("""COMPUTED_VALUE"""),174.35)</f>
        <v>174.35</v>
      </c>
      <c r="C8545" s="2">
        <f>IFERROR(__xludf.DUMMYFUNCTION("""COMPUTED_VALUE"""),175.8)</f>
        <v>175.8</v>
      </c>
      <c r="D8545" s="2">
        <f>IFERROR(__xludf.DUMMYFUNCTION("""COMPUTED_VALUE"""),174.09)</f>
        <v>174.09</v>
      </c>
      <c r="E8545" s="2">
        <f>IFERROR(__xludf.DUMMYFUNCTION("""COMPUTED_VALUE"""),174.86)</f>
        <v>174.86</v>
      </c>
      <c r="F8545" s="2">
        <f>IFERROR(__xludf.DUMMYFUNCTION("""COMPUTED_VALUE"""),4258623.0)</f>
        <v>4258623</v>
      </c>
    </row>
    <row r="8546">
      <c r="A8546" s="3">
        <f>IFERROR(__xludf.DUMMYFUNCTION("""COMPUTED_VALUE"""),41591.666666666664)</f>
        <v>41591.66667</v>
      </c>
      <c r="B8546" s="2">
        <f>IFERROR(__xludf.DUMMYFUNCTION("""COMPUTED_VALUE"""),174.1)</f>
        <v>174.1</v>
      </c>
      <c r="C8546" s="2">
        <f>IFERROR(__xludf.DUMMYFUNCTION("""COMPUTED_VALUE"""),175.32)</f>
        <v>175.32</v>
      </c>
      <c r="D8546" s="2">
        <f>IFERROR(__xludf.DUMMYFUNCTION("""COMPUTED_VALUE"""),173.45)</f>
        <v>173.45</v>
      </c>
      <c r="E8546" s="2">
        <f>IFERROR(__xludf.DUMMYFUNCTION("""COMPUTED_VALUE"""),175.32)</f>
        <v>175.32</v>
      </c>
      <c r="F8546" s="2">
        <f>IFERROR(__xludf.DUMMYFUNCTION("""COMPUTED_VALUE"""),4711276.0)</f>
        <v>4711276</v>
      </c>
    </row>
    <row r="8547">
      <c r="A8547" s="3">
        <f>IFERROR(__xludf.DUMMYFUNCTION("""COMPUTED_VALUE"""),41592.666666666664)</f>
        <v>41592.66667</v>
      </c>
      <c r="B8547" s="2">
        <f>IFERROR(__xludf.DUMMYFUNCTION("""COMPUTED_VALUE"""),172.39)</f>
        <v>172.39</v>
      </c>
      <c r="C8547" s="2">
        <f>IFERROR(__xludf.DUMMYFUNCTION("""COMPUTED_VALUE"""),174.99)</f>
        <v>174.99</v>
      </c>
      <c r="D8547" s="2">
        <f>IFERROR(__xludf.DUMMYFUNCTION("""COMPUTED_VALUE"""),171.6)</f>
        <v>171.6</v>
      </c>
      <c r="E8547" s="2">
        <f>IFERROR(__xludf.DUMMYFUNCTION("""COMPUTED_VALUE"""),174.04)</f>
        <v>174.04</v>
      </c>
      <c r="F8547" s="2">
        <f>IFERROR(__xludf.DUMMYFUNCTION("""COMPUTED_VALUE"""),6322676.0)</f>
        <v>6322676</v>
      </c>
    </row>
    <row r="8548">
      <c r="A8548" s="3">
        <f>IFERROR(__xludf.DUMMYFUNCTION("""COMPUTED_VALUE"""),41593.666666666664)</f>
        <v>41593.66667</v>
      </c>
      <c r="B8548" s="2">
        <f>IFERROR(__xludf.DUMMYFUNCTION("""COMPUTED_VALUE"""),174.2)</f>
        <v>174.2</v>
      </c>
      <c r="C8548" s="2">
        <f>IFERROR(__xludf.DUMMYFUNCTION("""COMPUTED_VALUE"""),175.06)</f>
        <v>175.06</v>
      </c>
      <c r="D8548" s="2">
        <f>IFERROR(__xludf.DUMMYFUNCTION("""COMPUTED_VALUE"""),173.04)</f>
        <v>173.04</v>
      </c>
      <c r="E8548" s="2">
        <f>IFERROR(__xludf.DUMMYFUNCTION("""COMPUTED_VALUE"""),174.98)</f>
        <v>174.98</v>
      </c>
      <c r="F8548" s="2">
        <f>IFERROR(__xludf.DUMMYFUNCTION("""COMPUTED_VALUE"""),5179511.0)</f>
        <v>5179511</v>
      </c>
    </row>
    <row r="8549">
      <c r="A8549" s="3">
        <f>IFERROR(__xludf.DUMMYFUNCTION("""COMPUTED_VALUE"""),41596.666666666664)</f>
        <v>41596.66667</v>
      </c>
      <c r="B8549" s="2">
        <f>IFERROR(__xludf.DUMMYFUNCTION("""COMPUTED_VALUE"""),175.29)</f>
        <v>175.29</v>
      </c>
      <c r="C8549" s="2">
        <f>IFERROR(__xludf.DUMMYFUNCTION("""COMPUTED_VALUE"""),176.7)</f>
        <v>176.7</v>
      </c>
      <c r="D8549" s="2">
        <f>IFERROR(__xludf.DUMMYFUNCTION("""COMPUTED_VALUE"""),175.05)</f>
        <v>175.05</v>
      </c>
      <c r="E8549" s="2">
        <f>IFERROR(__xludf.DUMMYFUNCTION("""COMPUTED_VALUE"""),176.2)</f>
        <v>176.2</v>
      </c>
      <c r="F8549" s="2">
        <f>IFERROR(__xludf.DUMMYFUNCTION("""COMPUTED_VALUE"""),5344864.0)</f>
        <v>5344864</v>
      </c>
    </row>
    <row r="8550">
      <c r="A8550" s="3">
        <f>IFERROR(__xludf.DUMMYFUNCTION("""COMPUTED_VALUE"""),41597.666666666664)</f>
        <v>41597.66667</v>
      </c>
      <c r="B8550" s="2">
        <f>IFERROR(__xludf.DUMMYFUNCTION("""COMPUTED_VALUE"""),176.35)</f>
        <v>176.35</v>
      </c>
      <c r="C8550" s="2">
        <f>IFERROR(__xludf.DUMMYFUNCTION("""COMPUTED_VALUE"""),177.85)</f>
        <v>177.85</v>
      </c>
      <c r="D8550" s="2">
        <f>IFERROR(__xludf.DUMMYFUNCTION("""COMPUTED_VALUE"""),175.89)</f>
        <v>175.89</v>
      </c>
      <c r="E8550" s="2">
        <f>IFERROR(__xludf.DUMMYFUNCTION("""COMPUTED_VALUE"""),176.94)</f>
        <v>176.94</v>
      </c>
      <c r="F8550" s="2">
        <f>IFERROR(__xludf.DUMMYFUNCTION("""COMPUTED_VALUE"""),4577037.0)</f>
        <v>4577037</v>
      </c>
    </row>
    <row r="8551">
      <c r="A8551" s="3">
        <f>IFERROR(__xludf.DUMMYFUNCTION("""COMPUTED_VALUE"""),41598.666666666664)</f>
        <v>41598.66667</v>
      </c>
      <c r="B8551" s="2">
        <f>IFERROR(__xludf.DUMMYFUNCTION("""COMPUTED_VALUE"""),176.92)</f>
        <v>176.92</v>
      </c>
      <c r="C8551" s="2">
        <f>IFERROR(__xludf.DUMMYFUNCTION("""COMPUTED_VALUE"""),177.89)</f>
        <v>177.89</v>
      </c>
      <c r="D8551" s="2">
        <f>IFERROR(__xludf.DUMMYFUNCTION("""COMPUTED_VALUE"""),176.37)</f>
        <v>176.37</v>
      </c>
      <c r="E8551" s="2">
        <f>IFERROR(__xludf.DUMMYFUNCTION("""COMPUTED_VALUE"""),176.89)</f>
        <v>176.89</v>
      </c>
      <c r="F8551" s="2">
        <f>IFERROR(__xludf.DUMMYFUNCTION("""COMPUTED_VALUE"""),3646117.0)</f>
        <v>3646117</v>
      </c>
    </row>
    <row r="8552">
      <c r="A8552" s="3">
        <f>IFERROR(__xludf.DUMMYFUNCTION("""COMPUTED_VALUE"""),41599.666666666664)</f>
        <v>41599.66667</v>
      </c>
      <c r="B8552" s="2">
        <f>IFERROR(__xludf.DUMMYFUNCTION("""COMPUTED_VALUE"""),177.22)</f>
        <v>177.22</v>
      </c>
      <c r="C8552" s="2">
        <f>IFERROR(__xludf.DUMMYFUNCTION("""COMPUTED_VALUE"""),177.42)</f>
        <v>177.42</v>
      </c>
      <c r="D8552" s="2">
        <f>IFERROR(__xludf.DUMMYFUNCTION("""COMPUTED_VALUE"""),175.19)</f>
        <v>175.19</v>
      </c>
      <c r="E8552" s="2">
        <f>IFERROR(__xludf.DUMMYFUNCTION("""COMPUTED_VALUE"""),175.87)</f>
        <v>175.87</v>
      </c>
      <c r="F8552" s="2">
        <f>IFERROR(__xludf.DUMMYFUNCTION("""COMPUTED_VALUE"""),4459451.0)</f>
        <v>4459451</v>
      </c>
    </row>
    <row r="8553">
      <c r="A8553" s="3">
        <f>IFERROR(__xludf.DUMMYFUNCTION("""COMPUTED_VALUE"""),41600.666666666664)</f>
        <v>41600.66667</v>
      </c>
      <c r="B8553" s="2">
        <f>IFERROR(__xludf.DUMMYFUNCTION("""COMPUTED_VALUE"""),175.27)</f>
        <v>175.27</v>
      </c>
      <c r="C8553" s="2">
        <f>IFERROR(__xludf.DUMMYFUNCTION("""COMPUTED_VALUE"""),176.7)</f>
        <v>176.7</v>
      </c>
      <c r="D8553" s="2">
        <f>IFERROR(__xludf.DUMMYFUNCTION("""COMPUTED_VALUE"""),171.85)</f>
        <v>171.85</v>
      </c>
      <c r="E8553" s="2">
        <f>IFERROR(__xludf.DUMMYFUNCTION("""COMPUTED_VALUE"""),173.17)</f>
        <v>173.17</v>
      </c>
      <c r="F8553" s="2">
        <f>IFERROR(__xludf.DUMMYFUNCTION("""COMPUTED_VALUE"""),7610518.0)</f>
        <v>7610518</v>
      </c>
    </row>
    <row r="8554">
      <c r="A8554" s="3">
        <f>IFERROR(__xludf.DUMMYFUNCTION("""COMPUTED_VALUE"""),41603.666666666664)</f>
        <v>41603.66667</v>
      </c>
      <c r="B8554" s="2">
        <f>IFERROR(__xludf.DUMMYFUNCTION("""COMPUTED_VALUE"""),172.17)</f>
        <v>172.17</v>
      </c>
      <c r="C8554" s="2">
        <f>IFERROR(__xludf.DUMMYFUNCTION("""COMPUTED_VALUE"""),172.65)</f>
        <v>172.65</v>
      </c>
      <c r="D8554" s="2">
        <f>IFERROR(__xludf.DUMMYFUNCTION("""COMPUTED_VALUE"""),169.85)</f>
        <v>169.85</v>
      </c>
      <c r="E8554" s="2">
        <f>IFERROR(__xludf.DUMMYFUNCTION("""COMPUTED_VALUE"""),170.92)</f>
        <v>170.92</v>
      </c>
      <c r="F8554" s="2">
        <f>IFERROR(__xludf.DUMMYFUNCTION("""COMPUTED_VALUE"""),7162374.0)</f>
        <v>7162374</v>
      </c>
    </row>
    <row r="8555">
      <c r="A8555" s="3">
        <f>IFERROR(__xludf.DUMMYFUNCTION("""COMPUTED_VALUE"""),41604.666666666664)</f>
        <v>41604.66667</v>
      </c>
      <c r="B8555" s="2">
        <f>IFERROR(__xludf.DUMMYFUNCTION("""COMPUTED_VALUE"""),170.66)</f>
        <v>170.66</v>
      </c>
      <c r="C8555" s="2">
        <f>IFERROR(__xludf.DUMMYFUNCTION("""COMPUTED_VALUE"""),170.92)</f>
        <v>170.92</v>
      </c>
      <c r="D8555" s="2">
        <f>IFERROR(__xludf.DUMMYFUNCTION("""COMPUTED_VALUE"""),169.36)</f>
        <v>169.36</v>
      </c>
      <c r="E8555" s="2">
        <f>IFERROR(__xludf.DUMMYFUNCTION("""COMPUTED_VALUE"""),169.36)</f>
        <v>169.36</v>
      </c>
      <c r="F8555" s="2">
        <f>IFERROR(__xludf.DUMMYFUNCTION("""COMPUTED_VALUE"""),5756174.0)</f>
        <v>5756174</v>
      </c>
    </row>
    <row r="8556">
      <c r="A8556" s="3">
        <f>IFERROR(__xludf.DUMMYFUNCTION("""COMPUTED_VALUE"""),41605.666666666664)</f>
        <v>41605.66667</v>
      </c>
      <c r="B8556" s="2">
        <f>IFERROR(__xludf.DUMMYFUNCTION("""COMPUTED_VALUE"""),169.86)</f>
        <v>169.86</v>
      </c>
      <c r="C8556" s="2">
        <f>IFERROR(__xludf.DUMMYFUNCTION("""COMPUTED_VALUE"""),172.1)</f>
        <v>172.1</v>
      </c>
      <c r="D8556" s="2">
        <f>IFERROR(__xludf.DUMMYFUNCTION("""COMPUTED_VALUE"""),169.85)</f>
        <v>169.85</v>
      </c>
      <c r="E8556" s="2">
        <f>IFERROR(__xludf.DUMMYFUNCTION("""COMPUTED_VALUE"""),170.95)</f>
        <v>170.95</v>
      </c>
      <c r="F8556" s="2">
        <f>IFERROR(__xludf.DUMMYFUNCTION("""COMPUTED_VALUE"""),4596474.0)</f>
        <v>4596474</v>
      </c>
    </row>
    <row r="8557">
      <c r="A8557" s="3">
        <f>IFERROR(__xludf.DUMMYFUNCTION("""COMPUTED_VALUE"""),41607.666666666664)</f>
        <v>41607.66667</v>
      </c>
      <c r="B8557" s="2">
        <f>IFERROR(__xludf.DUMMYFUNCTION("""COMPUTED_VALUE"""),171.17)</f>
        <v>171.17</v>
      </c>
      <c r="C8557" s="2">
        <f>IFERROR(__xludf.DUMMYFUNCTION("""COMPUTED_VALUE"""),172.66)</f>
        <v>172.66</v>
      </c>
      <c r="D8557" s="2">
        <f>IFERROR(__xludf.DUMMYFUNCTION("""COMPUTED_VALUE"""),170.97)</f>
        <v>170.97</v>
      </c>
      <c r="E8557" s="2">
        <f>IFERROR(__xludf.DUMMYFUNCTION("""COMPUTED_VALUE"""),171.62)</f>
        <v>171.62</v>
      </c>
      <c r="F8557" s="2">
        <f>IFERROR(__xludf.DUMMYFUNCTION("""COMPUTED_VALUE"""),2870500.0)</f>
        <v>2870500</v>
      </c>
    </row>
    <row r="8558">
      <c r="A8558" s="3">
        <f>IFERROR(__xludf.DUMMYFUNCTION("""COMPUTED_VALUE"""),41610.666666666664)</f>
        <v>41610.66667</v>
      </c>
      <c r="B8558" s="2">
        <f>IFERROR(__xludf.DUMMYFUNCTION("""COMPUTED_VALUE"""),171.41)</f>
        <v>171.41</v>
      </c>
      <c r="C8558" s="2">
        <f>IFERROR(__xludf.DUMMYFUNCTION("""COMPUTED_VALUE"""),171.54)</f>
        <v>171.54</v>
      </c>
      <c r="D8558" s="2">
        <f>IFERROR(__xludf.DUMMYFUNCTION("""COMPUTED_VALUE"""),169.18)</f>
        <v>169.18</v>
      </c>
      <c r="E8558" s="2">
        <f>IFERROR(__xludf.DUMMYFUNCTION("""COMPUTED_VALUE"""),169.52)</f>
        <v>169.52</v>
      </c>
      <c r="F8558" s="2">
        <f>IFERROR(__xludf.DUMMYFUNCTION("""COMPUTED_VALUE"""),4561577.0)</f>
        <v>4561577</v>
      </c>
    </row>
    <row r="8559">
      <c r="A8559" s="3">
        <f>IFERROR(__xludf.DUMMYFUNCTION("""COMPUTED_VALUE"""),41611.666666666664)</f>
        <v>41611.66667</v>
      </c>
      <c r="B8559" s="2">
        <f>IFERROR(__xludf.DUMMYFUNCTION("""COMPUTED_VALUE"""),169.06)</f>
        <v>169.06</v>
      </c>
      <c r="C8559" s="2">
        <f>IFERROR(__xludf.DUMMYFUNCTION("""COMPUTED_VALUE"""),170.24)</f>
        <v>170.24</v>
      </c>
      <c r="D8559" s="2">
        <f>IFERROR(__xludf.DUMMYFUNCTION("""COMPUTED_VALUE"""),167.77)</f>
        <v>167.77</v>
      </c>
      <c r="E8559" s="2">
        <f>IFERROR(__xludf.DUMMYFUNCTION("""COMPUTED_VALUE"""),168.19)</f>
        <v>168.19</v>
      </c>
      <c r="F8559" s="2">
        <f>IFERROR(__xludf.DUMMYFUNCTION("""COMPUTED_VALUE"""),5864045.0)</f>
        <v>5864045</v>
      </c>
    </row>
    <row r="8560">
      <c r="A8560" s="3">
        <f>IFERROR(__xludf.DUMMYFUNCTION("""COMPUTED_VALUE"""),41612.666666666664)</f>
        <v>41612.66667</v>
      </c>
      <c r="B8560" s="2">
        <f>IFERROR(__xludf.DUMMYFUNCTION("""COMPUTED_VALUE"""),167.51)</f>
        <v>167.51</v>
      </c>
      <c r="C8560" s="2">
        <f>IFERROR(__xludf.DUMMYFUNCTION("""COMPUTED_VALUE"""),169.54)</f>
        <v>169.54</v>
      </c>
      <c r="D8560" s="2">
        <f>IFERROR(__xludf.DUMMYFUNCTION("""COMPUTED_VALUE"""),167.31)</f>
        <v>167.31</v>
      </c>
      <c r="E8560" s="2">
        <f>IFERROR(__xludf.DUMMYFUNCTION("""COMPUTED_VALUE"""),167.86)</f>
        <v>167.86</v>
      </c>
      <c r="F8560" s="2">
        <f>IFERROR(__xludf.DUMMYFUNCTION("""COMPUTED_VALUE"""),5267364.0)</f>
        <v>5267364</v>
      </c>
    </row>
    <row r="8561">
      <c r="A8561" s="3">
        <f>IFERROR(__xludf.DUMMYFUNCTION("""COMPUTED_VALUE"""),41613.666666666664)</f>
        <v>41613.66667</v>
      </c>
      <c r="B8561" s="2">
        <f>IFERROR(__xludf.DUMMYFUNCTION("""COMPUTED_VALUE"""),168.25)</f>
        <v>168.25</v>
      </c>
      <c r="C8561" s="2">
        <f>IFERROR(__xludf.DUMMYFUNCTION("""COMPUTED_VALUE"""),168.93)</f>
        <v>168.93</v>
      </c>
      <c r="D8561" s="2">
        <f>IFERROR(__xludf.DUMMYFUNCTION("""COMPUTED_VALUE"""),167.42)</f>
        <v>167.42</v>
      </c>
      <c r="E8561" s="2">
        <f>IFERROR(__xludf.DUMMYFUNCTION("""COMPUTED_VALUE"""),168.19)</f>
        <v>168.19</v>
      </c>
      <c r="F8561" s="2">
        <f>IFERROR(__xludf.DUMMYFUNCTION("""COMPUTED_VALUE"""),4385041.0)</f>
        <v>4385041</v>
      </c>
    </row>
    <row r="8562">
      <c r="A8562" s="3">
        <f>IFERROR(__xludf.DUMMYFUNCTION("""COMPUTED_VALUE"""),41614.666666666664)</f>
        <v>41614.66667</v>
      </c>
      <c r="B8562" s="2">
        <f>IFERROR(__xludf.DUMMYFUNCTION("""COMPUTED_VALUE"""),168.78)</f>
        <v>168.78</v>
      </c>
      <c r="C8562" s="2">
        <f>IFERROR(__xludf.DUMMYFUNCTION("""COMPUTED_VALUE"""),170.02)</f>
        <v>170.02</v>
      </c>
      <c r="D8562" s="2">
        <f>IFERROR(__xludf.DUMMYFUNCTION("""COMPUTED_VALUE"""),168.12)</f>
        <v>168.12</v>
      </c>
      <c r="E8562" s="2">
        <f>IFERROR(__xludf.DUMMYFUNCTION("""COMPUTED_VALUE"""),169.7)</f>
        <v>169.7</v>
      </c>
      <c r="F8562" s="2">
        <f>IFERROR(__xludf.DUMMYFUNCTION("""COMPUTED_VALUE"""),4741119.0)</f>
        <v>4741119</v>
      </c>
    </row>
    <row r="8563">
      <c r="A8563" s="3">
        <f>IFERROR(__xludf.DUMMYFUNCTION("""COMPUTED_VALUE"""),41617.666666666664)</f>
        <v>41617.66667</v>
      </c>
      <c r="B8563" s="2">
        <f>IFERROR(__xludf.DUMMYFUNCTION("""COMPUTED_VALUE"""),170.01)</f>
        <v>170.01</v>
      </c>
      <c r="C8563" s="2">
        <f>IFERROR(__xludf.DUMMYFUNCTION("""COMPUTED_VALUE"""),170.16)</f>
        <v>170.16</v>
      </c>
      <c r="D8563" s="2">
        <f>IFERROR(__xludf.DUMMYFUNCTION("""COMPUTED_VALUE"""),168.9)</f>
        <v>168.9</v>
      </c>
      <c r="E8563" s="2">
        <f>IFERROR(__xludf.DUMMYFUNCTION("""COMPUTED_VALUE"""),169.5)</f>
        <v>169.5</v>
      </c>
      <c r="F8563" s="2">
        <f>IFERROR(__xludf.DUMMYFUNCTION("""COMPUTED_VALUE"""),3796620.0)</f>
        <v>3796620</v>
      </c>
    </row>
    <row r="8564">
      <c r="A8564" s="3">
        <f>IFERROR(__xludf.DUMMYFUNCTION("""COMPUTED_VALUE"""),41618.666666666664)</f>
        <v>41618.66667</v>
      </c>
      <c r="B8564" s="2">
        <f>IFERROR(__xludf.DUMMYFUNCTION("""COMPUTED_VALUE"""),168.97)</f>
        <v>168.97</v>
      </c>
      <c r="C8564" s="2">
        <f>IFERROR(__xludf.DUMMYFUNCTION("""COMPUTED_VALUE"""),169.7)</f>
        <v>169.7</v>
      </c>
      <c r="D8564" s="2">
        <f>IFERROR(__xludf.DUMMYFUNCTION("""COMPUTED_VALUE"""),168.17)</f>
        <v>168.17</v>
      </c>
      <c r="E8564" s="2">
        <f>IFERROR(__xludf.DUMMYFUNCTION("""COMPUTED_VALUE"""),169.18)</f>
        <v>169.18</v>
      </c>
      <c r="F8564" s="2">
        <f>IFERROR(__xludf.DUMMYFUNCTION("""COMPUTED_VALUE"""),4128386.0)</f>
        <v>4128386</v>
      </c>
    </row>
    <row r="8565">
      <c r="A8565" s="3">
        <f>IFERROR(__xludf.DUMMYFUNCTION("""COMPUTED_VALUE"""),41619.666666666664)</f>
        <v>41619.66667</v>
      </c>
      <c r="B8565" s="2">
        <f>IFERROR(__xludf.DUMMYFUNCTION("""COMPUTED_VALUE"""),169.06)</f>
        <v>169.06</v>
      </c>
      <c r="C8565" s="2">
        <f>IFERROR(__xludf.DUMMYFUNCTION("""COMPUTED_VALUE"""),169.79)</f>
        <v>169.79</v>
      </c>
      <c r="D8565" s="2">
        <f>IFERROR(__xludf.DUMMYFUNCTION("""COMPUTED_VALUE"""),167.25)</f>
        <v>167.25</v>
      </c>
      <c r="E8565" s="2">
        <f>IFERROR(__xludf.DUMMYFUNCTION("""COMPUTED_VALUE"""),167.34)</f>
        <v>167.34</v>
      </c>
      <c r="F8565" s="2">
        <f>IFERROR(__xludf.DUMMYFUNCTION("""COMPUTED_VALUE"""),4090438.0)</f>
        <v>4090438</v>
      </c>
    </row>
    <row r="8566">
      <c r="A8566" s="3">
        <f>IFERROR(__xludf.DUMMYFUNCTION("""COMPUTED_VALUE"""),41620.666666666664)</f>
        <v>41620.66667</v>
      </c>
      <c r="B8566" s="2">
        <f>IFERROR(__xludf.DUMMYFUNCTION("""COMPUTED_VALUE"""),167.21)</f>
        <v>167.21</v>
      </c>
      <c r="C8566" s="2">
        <f>IFERROR(__xludf.DUMMYFUNCTION("""COMPUTED_VALUE"""),167.92)</f>
        <v>167.92</v>
      </c>
      <c r="D8566" s="2">
        <f>IFERROR(__xludf.DUMMYFUNCTION("""COMPUTED_VALUE"""),165.53)</f>
        <v>165.53</v>
      </c>
      <c r="E8566" s="2">
        <f>IFERROR(__xludf.DUMMYFUNCTION("""COMPUTED_VALUE"""),165.6)</f>
        <v>165.6</v>
      </c>
      <c r="F8566" s="2">
        <f>IFERROR(__xludf.DUMMYFUNCTION("""COMPUTED_VALUE"""),5671649.0)</f>
        <v>5671649</v>
      </c>
    </row>
    <row r="8567">
      <c r="A8567" s="3">
        <f>IFERROR(__xludf.DUMMYFUNCTION("""COMPUTED_VALUE"""),41621.666666666664)</f>
        <v>41621.66667</v>
      </c>
      <c r="B8567" s="2">
        <f>IFERROR(__xludf.DUMMYFUNCTION("""COMPUTED_VALUE"""),165.74)</f>
        <v>165.74</v>
      </c>
      <c r="C8567" s="2">
        <f>IFERROR(__xludf.DUMMYFUNCTION("""COMPUTED_VALUE"""),166.56)</f>
        <v>166.56</v>
      </c>
      <c r="D8567" s="2">
        <f>IFERROR(__xludf.DUMMYFUNCTION("""COMPUTED_VALUE"""),164.99)</f>
        <v>164.99</v>
      </c>
      <c r="E8567" s="2">
        <f>IFERROR(__xludf.DUMMYFUNCTION("""COMPUTED_VALUE"""),165.05)</f>
        <v>165.05</v>
      </c>
      <c r="F8567" s="2">
        <f>IFERROR(__xludf.DUMMYFUNCTION("""COMPUTED_VALUE"""),4184836.0)</f>
        <v>4184836</v>
      </c>
    </row>
    <row r="8568">
      <c r="A8568" s="3">
        <f>IFERROR(__xludf.DUMMYFUNCTION("""COMPUTED_VALUE"""),41624.666666666664)</f>
        <v>41624.66667</v>
      </c>
      <c r="B8568" s="2">
        <f>IFERROR(__xludf.DUMMYFUNCTION("""COMPUTED_VALUE"""),165.45)</f>
        <v>165.45</v>
      </c>
      <c r="C8568" s="2">
        <f>IFERROR(__xludf.DUMMYFUNCTION("""COMPUTED_VALUE"""),170.35)</f>
        <v>170.35</v>
      </c>
      <c r="D8568" s="2">
        <f>IFERROR(__xludf.DUMMYFUNCTION("""COMPUTED_VALUE"""),164.99)</f>
        <v>164.99</v>
      </c>
      <c r="E8568" s="2">
        <f>IFERROR(__xludf.DUMMYFUNCTION("""COMPUTED_VALUE"""),169.88)</f>
        <v>169.88</v>
      </c>
      <c r="F8568" s="2">
        <f>IFERROR(__xludf.DUMMYFUNCTION("""COMPUTED_VALUE"""),7521001.0)</f>
        <v>7521001</v>
      </c>
    </row>
    <row r="8569">
      <c r="A8569" s="3">
        <f>IFERROR(__xludf.DUMMYFUNCTION("""COMPUTED_VALUE"""),41625.666666666664)</f>
        <v>41625.66667</v>
      </c>
      <c r="B8569" s="2">
        <f>IFERROR(__xludf.DUMMYFUNCTION("""COMPUTED_VALUE"""),169.41)</f>
        <v>169.41</v>
      </c>
      <c r="C8569" s="2">
        <f>IFERROR(__xludf.DUMMYFUNCTION("""COMPUTED_VALUE"""),169.53)</f>
        <v>169.53</v>
      </c>
      <c r="D8569" s="2">
        <f>IFERROR(__xludf.DUMMYFUNCTION("""COMPUTED_VALUE"""),167.27)</f>
        <v>167.27</v>
      </c>
      <c r="E8569" s="2">
        <f>IFERROR(__xludf.DUMMYFUNCTION("""COMPUTED_VALUE"""),167.88)</f>
        <v>167.88</v>
      </c>
      <c r="F8569" s="2">
        <f>IFERROR(__xludf.DUMMYFUNCTION("""COMPUTED_VALUE"""),5476405.0)</f>
        <v>5476405</v>
      </c>
    </row>
    <row r="8570">
      <c r="A8570" s="3">
        <f>IFERROR(__xludf.DUMMYFUNCTION("""COMPUTED_VALUE"""),41626.666666666664)</f>
        <v>41626.66667</v>
      </c>
      <c r="B8570" s="2">
        <f>IFERROR(__xludf.DUMMYFUNCTION("""COMPUTED_VALUE"""),168.54)</f>
        <v>168.54</v>
      </c>
      <c r="C8570" s="2">
        <f>IFERROR(__xludf.DUMMYFUNCTION("""COMPUTED_VALUE"""),170.73)</f>
        <v>170.73</v>
      </c>
      <c r="D8570" s="2">
        <f>IFERROR(__xludf.DUMMYFUNCTION("""COMPUTED_VALUE"""),167.01)</f>
        <v>167.01</v>
      </c>
      <c r="E8570" s="2">
        <f>IFERROR(__xludf.DUMMYFUNCTION("""COMPUTED_VALUE"""),170.69)</f>
        <v>170.69</v>
      </c>
      <c r="F8570" s="2">
        <f>IFERROR(__xludf.DUMMYFUNCTION("""COMPUTED_VALUE"""),5698437.0)</f>
        <v>5698437</v>
      </c>
    </row>
    <row r="8571">
      <c r="A8571" s="3">
        <f>IFERROR(__xludf.DUMMYFUNCTION("""COMPUTED_VALUE"""),41627.666666666664)</f>
        <v>41627.66667</v>
      </c>
      <c r="B8571" s="2">
        <f>IFERROR(__xludf.DUMMYFUNCTION("""COMPUTED_VALUE"""),169.9)</f>
        <v>169.9</v>
      </c>
      <c r="C8571" s="2">
        <f>IFERROR(__xludf.DUMMYFUNCTION("""COMPUTED_VALUE"""),172.45)</f>
        <v>172.45</v>
      </c>
      <c r="D8571" s="2">
        <f>IFERROR(__xludf.DUMMYFUNCTION("""COMPUTED_VALUE"""),169.9)</f>
        <v>169.9</v>
      </c>
      <c r="E8571" s="2">
        <f>IFERROR(__xludf.DUMMYFUNCTION("""COMPUTED_VALUE"""),172.14)</f>
        <v>172.14</v>
      </c>
      <c r="F8571" s="2">
        <f>IFERROR(__xludf.DUMMYFUNCTION("""COMPUTED_VALUE"""),5929584.0)</f>
        <v>5929584</v>
      </c>
    </row>
    <row r="8572">
      <c r="A8572" s="3">
        <f>IFERROR(__xludf.DUMMYFUNCTION("""COMPUTED_VALUE"""),41628.666666666664)</f>
        <v>41628.66667</v>
      </c>
      <c r="B8572" s="2">
        <f>IFERROR(__xludf.DUMMYFUNCTION("""COMPUTED_VALUE"""),172.04)</f>
        <v>172.04</v>
      </c>
      <c r="C8572" s="2">
        <f>IFERROR(__xludf.DUMMYFUNCTION("""COMPUTED_VALUE"""),173.84)</f>
        <v>173.84</v>
      </c>
      <c r="D8572" s="2">
        <f>IFERROR(__xludf.DUMMYFUNCTION("""COMPUTED_VALUE"""),171.95)</f>
        <v>171.95</v>
      </c>
      <c r="E8572" s="2">
        <f>IFERROR(__xludf.DUMMYFUNCTION("""COMPUTED_VALUE"""),171.95)</f>
        <v>171.95</v>
      </c>
      <c r="F8572" s="2">
        <f>IFERROR(__xludf.DUMMYFUNCTION("""COMPUTED_VALUE"""),7655998.0)</f>
        <v>7655998</v>
      </c>
    </row>
    <row r="8573">
      <c r="A8573" s="3">
        <f>IFERROR(__xludf.DUMMYFUNCTION("""COMPUTED_VALUE"""),41631.666666666664)</f>
        <v>41631.66667</v>
      </c>
      <c r="B8573" s="2">
        <f>IFERROR(__xludf.DUMMYFUNCTION("""COMPUTED_VALUE"""),172.93)</f>
        <v>172.93</v>
      </c>
      <c r="C8573" s="2">
        <f>IFERROR(__xludf.DUMMYFUNCTION("""COMPUTED_VALUE"""),174.73)</f>
        <v>174.73</v>
      </c>
      <c r="D8573" s="2">
        <f>IFERROR(__xludf.DUMMYFUNCTION("""COMPUTED_VALUE"""),172.51)</f>
        <v>172.51</v>
      </c>
      <c r="E8573" s="2">
        <f>IFERROR(__xludf.DUMMYFUNCTION("""COMPUTED_VALUE"""),174.06)</f>
        <v>174.06</v>
      </c>
      <c r="F8573" s="2">
        <f>IFERROR(__xludf.DUMMYFUNCTION("""COMPUTED_VALUE"""),4082821.0)</f>
        <v>4082821</v>
      </c>
    </row>
    <row r="8574">
      <c r="A8574" s="3">
        <f>IFERROR(__xludf.DUMMYFUNCTION("""COMPUTED_VALUE"""),41632.666666666664)</f>
        <v>41632.66667</v>
      </c>
      <c r="B8574" s="2">
        <f>IFERROR(__xludf.DUMMYFUNCTION("""COMPUTED_VALUE"""),173.8)</f>
        <v>173.8</v>
      </c>
      <c r="C8574" s="2">
        <f>IFERROR(__xludf.DUMMYFUNCTION("""COMPUTED_VALUE"""),175.27)</f>
        <v>175.27</v>
      </c>
      <c r="D8574" s="2">
        <f>IFERROR(__xludf.DUMMYFUNCTION("""COMPUTED_VALUE"""),173.75)</f>
        <v>173.75</v>
      </c>
      <c r="E8574" s="2">
        <f>IFERROR(__xludf.DUMMYFUNCTION("""COMPUTED_VALUE"""),175.01)</f>
        <v>175.01</v>
      </c>
      <c r="F8574" s="2">
        <f>IFERROR(__xludf.DUMMYFUNCTION("""COMPUTED_VALUE"""),1613614.0)</f>
        <v>1613614</v>
      </c>
    </row>
    <row r="8575">
      <c r="A8575" s="3">
        <f>IFERROR(__xludf.DUMMYFUNCTION("""COMPUTED_VALUE"""),41634.666666666664)</f>
        <v>41634.66667</v>
      </c>
      <c r="B8575" s="2">
        <f>IFERROR(__xludf.DUMMYFUNCTION("""COMPUTED_VALUE"""),175.33)</f>
        <v>175.33</v>
      </c>
      <c r="C8575" s="2">
        <f>IFERROR(__xludf.DUMMYFUNCTION("""COMPUTED_VALUE"""),177.24)</f>
        <v>177.24</v>
      </c>
      <c r="D8575" s="2">
        <f>IFERROR(__xludf.DUMMYFUNCTION("""COMPUTED_VALUE"""),175.28)</f>
        <v>175.28</v>
      </c>
      <c r="E8575" s="2">
        <f>IFERROR(__xludf.DUMMYFUNCTION("""COMPUTED_VALUE"""),177.04)</f>
        <v>177.04</v>
      </c>
      <c r="F8575" s="2">
        <f>IFERROR(__xludf.DUMMYFUNCTION("""COMPUTED_VALUE"""),3325841.0)</f>
        <v>3325841</v>
      </c>
    </row>
    <row r="8576">
      <c r="A8576" s="3">
        <f>IFERROR(__xludf.DUMMYFUNCTION("""COMPUTED_VALUE"""),41635.666666666664)</f>
        <v>41635.66667</v>
      </c>
      <c r="B8576" s="2">
        <f>IFERROR(__xludf.DUMMYFUNCTION("""COMPUTED_VALUE"""),177.51)</f>
        <v>177.51</v>
      </c>
      <c r="C8576" s="2">
        <f>IFERROR(__xludf.DUMMYFUNCTION("""COMPUTED_VALUE"""),178.14)</f>
        <v>178.14</v>
      </c>
      <c r="D8576" s="2">
        <f>IFERROR(__xludf.DUMMYFUNCTION("""COMPUTED_VALUE"""),176.29)</f>
        <v>176.29</v>
      </c>
      <c r="E8576" s="2">
        <f>IFERROR(__xludf.DUMMYFUNCTION("""COMPUTED_VALUE"""),176.78)</f>
        <v>176.78</v>
      </c>
      <c r="F8576" s="2">
        <f>IFERROR(__xludf.DUMMYFUNCTION("""COMPUTED_VALUE"""),3382117.0)</f>
        <v>3382117</v>
      </c>
    </row>
    <row r="8577">
      <c r="A8577" s="3">
        <f>IFERROR(__xludf.DUMMYFUNCTION("""COMPUTED_VALUE"""),41638.666666666664)</f>
        <v>41638.66667</v>
      </c>
      <c r="B8577" s="2">
        <f>IFERROR(__xludf.DUMMYFUNCTION("""COMPUTED_VALUE"""),177.01)</f>
        <v>177.01</v>
      </c>
      <c r="C8577" s="2">
        <f>IFERROR(__xludf.DUMMYFUNCTION("""COMPUTED_VALUE"""),178.33)</f>
        <v>178.33</v>
      </c>
      <c r="D8577" s="2">
        <f>IFERROR(__xludf.DUMMYFUNCTION("""COMPUTED_VALUE"""),176.39)</f>
        <v>176.39</v>
      </c>
      <c r="E8577" s="2">
        <f>IFERROR(__xludf.DUMMYFUNCTION("""COMPUTED_VALUE"""),178.05)</f>
        <v>178.05</v>
      </c>
      <c r="F8577" s="2">
        <f>IFERROR(__xludf.DUMMYFUNCTION("""COMPUTED_VALUE"""),3018594.0)</f>
        <v>3018594</v>
      </c>
    </row>
    <row r="8578">
      <c r="A8578" s="3">
        <f>IFERROR(__xludf.DUMMYFUNCTION("""COMPUTED_VALUE"""),41639.666666666664)</f>
        <v>41639.66667</v>
      </c>
      <c r="B8578" s="2">
        <f>IFERROR(__xludf.DUMMYFUNCTION("""COMPUTED_VALUE"""),178.13)</f>
        <v>178.13</v>
      </c>
      <c r="C8578" s="2">
        <f>IFERROR(__xludf.DUMMYFUNCTION("""COMPUTED_VALUE"""),179.37)</f>
        <v>179.37</v>
      </c>
      <c r="D8578" s="2">
        <f>IFERROR(__xludf.DUMMYFUNCTION("""COMPUTED_VALUE"""),177.95)</f>
        <v>177.95</v>
      </c>
      <c r="E8578" s="2">
        <f>IFERROR(__xludf.DUMMYFUNCTION("""COMPUTED_VALUE"""),179.16)</f>
        <v>179.16</v>
      </c>
      <c r="F8578" s="2">
        <f>IFERROR(__xludf.DUMMYFUNCTION("""COMPUTED_VALUE"""),3620413.0)</f>
        <v>3620413</v>
      </c>
    </row>
    <row r="8579">
      <c r="A8579" s="3">
        <f>IFERROR(__xludf.DUMMYFUNCTION("""COMPUTED_VALUE"""),41641.666666666664)</f>
        <v>41641.66667</v>
      </c>
      <c r="B8579" s="2">
        <f>IFERROR(__xludf.DUMMYFUNCTION("""COMPUTED_VALUE"""),178.82)</f>
        <v>178.82</v>
      </c>
      <c r="C8579" s="2">
        <f>IFERROR(__xludf.DUMMYFUNCTION("""COMPUTED_VALUE"""),179.0)</f>
        <v>179</v>
      </c>
      <c r="D8579" s="2">
        <f>IFERROR(__xludf.DUMMYFUNCTION("""COMPUTED_VALUE"""),176.9)</f>
        <v>176.9</v>
      </c>
      <c r="E8579" s="2">
        <f>IFERROR(__xludf.DUMMYFUNCTION("""COMPUTED_VALUE"""),177.21)</f>
        <v>177.21</v>
      </c>
      <c r="F8579" s="2">
        <f>IFERROR(__xludf.DUMMYFUNCTION("""COMPUTED_VALUE"""),4546809.0)</f>
        <v>4546809</v>
      </c>
    </row>
    <row r="8580">
      <c r="A8580" s="3">
        <f>IFERROR(__xludf.DUMMYFUNCTION("""COMPUTED_VALUE"""),41642.666666666664)</f>
        <v>41642.66667</v>
      </c>
      <c r="B8580" s="2">
        <f>IFERROR(__xludf.DUMMYFUNCTION("""COMPUTED_VALUE"""),177.5)</f>
        <v>177.5</v>
      </c>
      <c r="C8580" s="2">
        <f>IFERROR(__xludf.DUMMYFUNCTION("""COMPUTED_VALUE"""),178.95)</f>
        <v>178.95</v>
      </c>
      <c r="D8580" s="2">
        <f>IFERROR(__xludf.DUMMYFUNCTION("""COMPUTED_VALUE"""),176.99)</f>
        <v>176.99</v>
      </c>
      <c r="E8580" s="2">
        <f>IFERROR(__xludf.DUMMYFUNCTION("""COMPUTED_VALUE"""),178.27)</f>
        <v>178.27</v>
      </c>
      <c r="F8580" s="2">
        <f>IFERROR(__xludf.DUMMYFUNCTION("""COMPUTED_VALUE"""),4064095.0)</f>
        <v>4064095</v>
      </c>
    </row>
    <row r="8581">
      <c r="A8581" s="3">
        <f>IFERROR(__xludf.DUMMYFUNCTION("""COMPUTED_VALUE"""),41645.666666666664)</f>
        <v>41645.66667</v>
      </c>
      <c r="B8581" s="2">
        <f>IFERROR(__xludf.DUMMYFUNCTION("""COMPUTED_VALUE"""),178.76)</f>
        <v>178.76</v>
      </c>
      <c r="C8581" s="2">
        <f>IFERROR(__xludf.DUMMYFUNCTION("""COMPUTED_VALUE"""),178.95)</f>
        <v>178.95</v>
      </c>
      <c r="D8581" s="2">
        <f>IFERROR(__xludf.DUMMYFUNCTION("""COMPUTED_VALUE"""),176.99)</f>
        <v>176.99</v>
      </c>
      <c r="E8581" s="2">
        <f>IFERROR(__xludf.DUMMYFUNCTION("""COMPUTED_VALUE"""),177.66)</f>
        <v>177.66</v>
      </c>
      <c r="F8581" s="2">
        <f>IFERROR(__xludf.DUMMYFUNCTION("""COMPUTED_VALUE"""),4068105.0)</f>
        <v>4068105</v>
      </c>
    </row>
    <row r="8582">
      <c r="A8582" s="3">
        <f>IFERROR(__xludf.DUMMYFUNCTION("""COMPUTED_VALUE"""),41646.666666666664)</f>
        <v>41646.66667</v>
      </c>
      <c r="B8582" s="2">
        <f>IFERROR(__xludf.DUMMYFUNCTION("""COMPUTED_VALUE"""),178.03)</f>
        <v>178.03</v>
      </c>
      <c r="C8582" s="2">
        <f>IFERROR(__xludf.DUMMYFUNCTION("""COMPUTED_VALUE"""),181.82)</f>
        <v>181.82</v>
      </c>
      <c r="D8582" s="2">
        <f>IFERROR(__xludf.DUMMYFUNCTION("""COMPUTED_VALUE"""),178.02)</f>
        <v>178.02</v>
      </c>
      <c r="E8582" s="2">
        <f>IFERROR(__xludf.DUMMYFUNCTION("""COMPUTED_VALUE"""),181.2)</f>
        <v>181.2</v>
      </c>
      <c r="F8582" s="2">
        <f>IFERROR(__xludf.DUMMYFUNCTION("""COMPUTED_VALUE"""),5934322.0)</f>
        <v>5934322</v>
      </c>
    </row>
    <row r="8583">
      <c r="A8583" s="3">
        <f>IFERROR(__xludf.DUMMYFUNCTION("""COMPUTED_VALUE"""),41647.666666666664)</f>
        <v>41647.66667</v>
      </c>
      <c r="B8583" s="2">
        <f>IFERROR(__xludf.DUMMYFUNCTION("""COMPUTED_VALUE"""),180.84)</f>
        <v>180.84</v>
      </c>
      <c r="C8583" s="2">
        <f>IFERROR(__xludf.DUMMYFUNCTION("""COMPUTED_VALUE"""),180.92)</f>
        <v>180.92</v>
      </c>
      <c r="D8583" s="2">
        <f>IFERROR(__xludf.DUMMYFUNCTION("""COMPUTED_VALUE"""),178.86)</f>
        <v>178.86</v>
      </c>
      <c r="E8583" s="2">
        <f>IFERROR(__xludf.DUMMYFUNCTION("""COMPUTED_VALUE"""),179.54)</f>
        <v>179.54</v>
      </c>
      <c r="F8583" s="2">
        <f>IFERROR(__xludf.DUMMYFUNCTION("""COMPUTED_VALUE"""),4604105.0)</f>
        <v>4604105</v>
      </c>
    </row>
    <row r="8584">
      <c r="A8584" s="3">
        <f>IFERROR(__xludf.DUMMYFUNCTION("""COMPUTED_VALUE"""),41648.666666666664)</f>
        <v>41648.66667</v>
      </c>
      <c r="B8584" s="2">
        <f>IFERROR(__xludf.DUMMYFUNCTION("""COMPUTED_VALUE"""),180.55)</f>
        <v>180.55</v>
      </c>
      <c r="C8584" s="2">
        <f>IFERROR(__xludf.DUMMYFUNCTION("""COMPUTED_VALUE"""),181.0)</f>
        <v>181</v>
      </c>
      <c r="D8584" s="2">
        <f>IFERROR(__xludf.DUMMYFUNCTION("""COMPUTED_VALUE"""),178.19)</f>
        <v>178.19</v>
      </c>
      <c r="E8584" s="2">
        <f>IFERROR(__xludf.DUMMYFUNCTION("""COMPUTED_VALUE"""),178.98)</f>
        <v>178.98</v>
      </c>
      <c r="F8584" s="2">
        <f>IFERROR(__xludf.DUMMYFUNCTION("""COMPUTED_VALUE"""),4322284.0)</f>
        <v>4322284</v>
      </c>
    </row>
    <row r="8585">
      <c r="A8585" s="3">
        <f>IFERROR(__xludf.DUMMYFUNCTION("""COMPUTED_VALUE"""),41649.666666666664)</f>
        <v>41649.66667</v>
      </c>
      <c r="B8585" s="2">
        <f>IFERROR(__xludf.DUMMYFUNCTION("""COMPUTED_VALUE"""),179.87)</f>
        <v>179.87</v>
      </c>
      <c r="C8585" s="2">
        <f>IFERROR(__xludf.DUMMYFUNCTION("""COMPUTED_VALUE"""),180.12)</f>
        <v>180.12</v>
      </c>
      <c r="D8585" s="2">
        <f>IFERROR(__xludf.DUMMYFUNCTION("""COMPUTED_VALUE"""),177.93)</f>
        <v>177.93</v>
      </c>
      <c r="E8585" s="2">
        <f>IFERROR(__xludf.DUMMYFUNCTION("""COMPUTED_VALUE"""),178.86)</f>
        <v>178.86</v>
      </c>
      <c r="F8585" s="2">
        <f>IFERROR(__xludf.DUMMYFUNCTION("""COMPUTED_VALUE"""),4023089.0)</f>
        <v>4023089</v>
      </c>
    </row>
    <row r="8586">
      <c r="A8586" s="3">
        <f>IFERROR(__xludf.DUMMYFUNCTION("""COMPUTED_VALUE"""),41652.666666666664)</f>
        <v>41652.66667</v>
      </c>
      <c r="B8586" s="2">
        <f>IFERROR(__xludf.DUMMYFUNCTION("""COMPUTED_VALUE"""),177.91)</f>
        <v>177.91</v>
      </c>
      <c r="C8586" s="2">
        <f>IFERROR(__xludf.DUMMYFUNCTION("""COMPUTED_VALUE"""),178.57)</f>
        <v>178.57</v>
      </c>
      <c r="D8586" s="2">
        <f>IFERROR(__xludf.DUMMYFUNCTION("""COMPUTED_VALUE"""),175.62)</f>
        <v>175.62</v>
      </c>
      <c r="E8586" s="2">
        <f>IFERROR(__xludf.DUMMYFUNCTION("""COMPUTED_VALUE"""),175.9)</f>
        <v>175.9</v>
      </c>
      <c r="F8586" s="2">
        <f>IFERROR(__xludf.DUMMYFUNCTION("""COMPUTED_VALUE"""),5789107.0)</f>
        <v>5789107</v>
      </c>
    </row>
    <row r="8587">
      <c r="A8587" s="3">
        <f>IFERROR(__xludf.DUMMYFUNCTION("""COMPUTED_VALUE"""),41653.666666666664)</f>
        <v>41653.66667</v>
      </c>
      <c r="B8587" s="2">
        <f>IFERROR(__xludf.DUMMYFUNCTION("""COMPUTED_VALUE"""),176.76)</f>
        <v>176.76</v>
      </c>
      <c r="C8587" s="2">
        <f>IFERROR(__xludf.DUMMYFUNCTION("""COMPUTED_VALUE"""),178.07)</f>
        <v>178.07</v>
      </c>
      <c r="D8587" s="2">
        <f>IFERROR(__xludf.DUMMYFUNCTION("""COMPUTED_VALUE"""),175.64)</f>
        <v>175.64</v>
      </c>
      <c r="E8587" s="2">
        <f>IFERROR(__xludf.DUMMYFUNCTION("""COMPUTED_VALUE"""),177.58)</f>
        <v>177.58</v>
      </c>
      <c r="F8587" s="2">
        <f>IFERROR(__xludf.DUMMYFUNCTION("""COMPUTED_VALUE"""),4619509.0)</f>
        <v>4619509</v>
      </c>
    </row>
    <row r="8588">
      <c r="A8588" s="3">
        <f>IFERROR(__xludf.DUMMYFUNCTION("""COMPUTED_VALUE"""),41654.666666666664)</f>
        <v>41654.66667</v>
      </c>
      <c r="B8588" s="2">
        <f>IFERROR(__xludf.DUMMYFUNCTION("""COMPUTED_VALUE"""),177.49)</f>
        <v>177.49</v>
      </c>
      <c r="C8588" s="2">
        <f>IFERROR(__xludf.DUMMYFUNCTION("""COMPUTED_VALUE"""),180.19)</f>
        <v>180.19</v>
      </c>
      <c r="D8588" s="2">
        <f>IFERROR(__xludf.DUMMYFUNCTION("""COMPUTED_VALUE"""),177.17)</f>
        <v>177.17</v>
      </c>
      <c r="E8588" s="2">
        <f>IFERROR(__xludf.DUMMYFUNCTION("""COMPUTED_VALUE"""),179.32)</f>
        <v>179.32</v>
      </c>
      <c r="F8588" s="2">
        <f>IFERROR(__xludf.DUMMYFUNCTION("""COMPUTED_VALUE"""),4829291.0)</f>
        <v>4829291</v>
      </c>
    </row>
    <row r="8589">
      <c r="A8589" s="3">
        <f>IFERROR(__xludf.DUMMYFUNCTION("""COMPUTED_VALUE"""),41655.666666666664)</f>
        <v>41655.66667</v>
      </c>
      <c r="B8589" s="2">
        <f>IFERROR(__xludf.DUMMYFUNCTION("""COMPUTED_VALUE"""),179.12)</f>
        <v>179.12</v>
      </c>
      <c r="C8589" s="2">
        <f>IFERROR(__xludf.DUMMYFUNCTION("""COMPUTED_VALUE"""),180.52)</f>
        <v>180.52</v>
      </c>
      <c r="D8589" s="2">
        <f>IFERROR(__xludf.DUMMYFUNCTION("""COMPUTED_VALUE"""),178.42)</f>
        <v>178.42</v>
      </c>
      <c r="E8589" s="2">
        <f>IFERROR(__xludf.DUMMYFUNCTION("""COMPUTED_VALUE"""),180.3)</f>
        <v>180.3</v>
      </c>
      <c r="F8589" s="2">
        <f>IFERROR(__xludf.DUMMYFUNCTION("""COMPUTED_VALUE"""),4775167.0)</f>
        <v>4775167</v>
      </c>
    </row>
    <row r="8590">
      <c r="A8590" s="3">
        <f>IFERROR(__xludf.DUMMYFUNCTION("""COMPUTED_VALUE"""),41656.666666666664)</f>
        <v>41656.66667</v>
      </c>
      <c r="B8590" s="2">
        <f>IFERROR(__xludf.DUMMYFUNCTION("""COMPUTED_VALUE"""),179.61)</f>
        <v>179.61</v>
      </c>
      <c r="C8590" s="2">
        <f>IFERROR(__xludf.DUMMYFUNCTION("""COMPUTED_VALUE"""),182.25)</f>
        <v>182.25</v>
      </c>
      <c r="D8590" s="2">
        <f>IFERROR(__xludf.DUMMYFUNCTION("""COMPUTED_VALUE"""),179.44)</f>
        <v>179.44</v>
      </c>
      <c r="E8590" s="2">
        <f>IFERROR(__xludf.DUMMYFUNCTION("""COMPUTED_VALUE"""),181.57)</f>
        <v>181.57</v>
      </c>
      <c r="F8590" s="2">
        <f>IFERROR(__xludf.DUMMYFUNCTION("""COMPUTED_VALUE"""),7671146.0)</f>
        <v>7671146</v>
      </c>
    </row>
    <row r="8591">
      <c r="A8591" s="3">
        <f>IFERROR(__xludf.DUMMYFUNCTION("""COMPUTED_VALUE"""),41660.666666666664)</f>
        <v>41660.66667</v>
      </c>
      <c r="B8591" s="2">
        <f>IFERROR(__xludf.DUMMYFUNCTION("""COMPUTED_VALUE"""),181.7)</f>
        <v>181.7</v>
      </c>
      <c r="C8591" s="2">
        <f>IFERROR(__xludf.DUMMYFUNCTION("""COMPUTED_VALUE"""),181.85)</f>
        <v>181.85</v>
      </c>
      <c r="D8591" s="2">
        <f>IFERROR(__xludf.DUMMYFUNCTION("""COMPUTED_VALUE"""),178.42)</f>
        <v>178.42</v>
      </c>
      <c r="E8591" s="2">
        <f>IFERROR(__xludf.DUMMYFUNCTION("""COMPUTED_VALUE"""),179.98)</f>
        <v>179.98</v>
      </c>
      <c r="F8591" s="2">
        <f>IFERROR(__xludf.DUMMYFUNCTION("""COMPUTED_VALUE"""),1.112141E7)</f>
        <v>11121410</v>
      </c>
    </row>
    <row r="8592">
      <c r="A8592" s="3">
        <f>IFERROR(__xludf.DUMMYFUNCTION("""COMPUTED_VALUE"""),41661.666666666664)</f>
        <v>41661.66667</v>
      </c>
      <c r="B8592" s="2">
        <f>IFERROR(__xludf.DUMMYFUNCTION("""COMPUTED_VALUE"""),173.15)</f>
        <v>173.15</v>
      </c>
      <c r="C8592" s="2">
        <f>IFERROR(__xludf.DUMMYFUNCTION("""COMPUTED_VALUE"""),175.27)</f>
        <v>175.27</v>
      </c>
      <c r="D8592" s="2">
        <f>IFERROR(__xludf.DUMMYFUNCTION("""COMPUTED_VALUE"""),171.61)</f>
        <v>171.61</v>
      </c>
      <c r="E8592" s="2">
        <f>IFERROR(__xludf.DUMMYFUNCTION("""COMPUTED_VALUE"""),174.08)</f>
        <v>174.08</v>
      </c>
      <c r="F8592" s="2">
        <f>IFERROR(__xludf.DUMMYFUNCTION("""COMPUTED_VALUE"""),1.3800586E7)</f>
        <v>13800586</v>
      </c>
    </row>
    <row r="8593">
      <c r="A8593" s="3">
        <f>IFERROR(__xludf.DUMMYFUNCTION("""COMPUTED_VALUE"""),41662.666666666664)</f>
        <v>41662.66667</v>
      </c>
      <c r="B8593" s="2">
        <f>IFERROR(__xludf.DUMMYFUNCTION("""COMPUTED_VALUE"""),173.3)</f>
        <v>173.3</v>
      </c>
      <c r="C8593" s="2">
        <f>IFERROR(__xludf.DUMMYFUNCTION("""COMPUTED_VALUE"""),175.48)</f>
        <v>175.48</v>
      </c>
      <c r="D8593" s="2">
        <f>IFERROR(__xludf.DUMMYFUNCTION("""COMPUTED_VALUE"""),172.61)</f>
        <v>172.61</v>
      </c>
      <c r="E8593" s="2">
        <f>IFERROR(__xludf.DUMMYFUNCTION("""COMPUTED_VALUE"""),174.54)</f>
        <v>174.54</v>
      </c>
      <c r="F8593" s="2">
        <f>IFERROR(__xludf.DUMMYFUNCTION("""COMPUTED_VALUE"""),6974334.0)</f>
        <v>6974334</v>
      </c>
    </row>
    <row r="8594">
      <c r="A8594" s="3">
        <f>IFERROR(__xludf.DUMMYFUNCTION("""COMPUTED_VALUE"""),41663.666666666664)</f>
        <v>41663.66667</v>
      </c>
      <c r="B8594" s="2">
        <f>IFERROR(__xludf.DUMMYFUNCTION("""COMPUTED_VALUE"""),173.12)</f>
        <v>173.12</v>
      </c>
      <c r="C8594" s="2">
        <f>IFERROR(__xludf.DUMMYFUNCTION("""COMPUTED_VALUE"""),174.62)</f>
        <v>174.62</v>
      </c>
      <c r="D8594" s="2">
        <f>IFERROR(__xludf.DUMMYFUNCTION("""COMPUTED_VALUE"""),171.59)</f>
        <v>171.59</v>
      </c>
      <c r="E8594" s="2">
        <f>IFERROR(__xludf.DUMMYFUNCTION("""COMPUTED_VALUE"""),171.59)</f>
        <v>171.59</v>
      </c>
      <c r="F8594" s="2">
        <f>IFERROR(__xludf.DUMMYFUNCTION("""COMPUTED_VALUE"""),6938768.0)</f>
        <v>6938768</v>
      </c>
    </row>
    <row r="8595">
      <c r="A8595" s="3">
        <f>IFERROR(__xludf.DUMMYFUNCTION("""COMPUTED_VALUE"""),41666.666666666664)</f>
        <v>41666.66667</v>
      </c>
      <c r="B8595" s="2">
        <f>IFERROR(__xludf.DUMMYFUNCTION("""COMPUTED_VALUE"""),171.55)</f>
        <v>171.55</v>
      </c>
      <c r="C8595" s="2">
        <f>IFERROR(__xludf.DUMMYFUNCTION("""COMPUTED_VALUE"""),171.6)</f>
        <v>171.6</v>
      </c>
      <c r="D8595" s="2">
        <f>IFERROR(__xludf.DUMMYFUNCTION("""COMPUTED_VALUE"""),169.69)</f>
        <v>169.69</v>
      </c>
      <c r="E8595" s="2">
        <f>IFERROR(__xludf.DUMMYFUNCTION("""COMPUTED_VALUE"""),169.92)</f>
        <v>169.92</v>
      </c>
      <c r="F8595" s="2">
        <f>IFERROR(__xludf.DUMMYFUNCTION("""COMPUTED_VALUE"""),5209244.0)</f>
        <v>5209244</v>
      </c>
    </row>
    <row r="8596">
      <c r="A8596" s="3">
        <f>IFERROR(__xludf.DUMMYFUNCTION("""COMPUTED_VALUE"""),41667.666666666664)</f>
        <v>41667.66667</v>
      </c>
      <c r="B8596" s="2">
        <f>IFERROR(__xludf.DUMMYFUNCTION("""COMPUTED_VALUE"""),170.07)</f>
        <v>170.07</v>
      </c>
      <c r="C8596" s="2">
        <f>IFERROR(__xludf.DUMMYFUNCTION("""COMPUTED_VALUE"""),170.45)</f>
        <v>170.45</v>
      </c>
      <c r="D8596" s="2">
        <f>IFERROR(__xludf.DUMMYFUNCTION("""COMPUTED_VALUE"""),168.26)</f>
        <v>168.26</v>
      </c>
      <c r="E8596" s="2">
        <f>IFERROR(__xludf.DUMMYFUNCTION("""COMPUTED_VALUE"""),168.92)</f>
        <v>168.92</v>
      </c>
      <c r="F8596" s="2">
        <f>IFERROR(__xludf.DUMMYFUNCTION("""COMPUTED_VALUE"""),5336989.0)</f>
        <v>5336989</v>
      </c>
    </row>
    <row r="8597">
      <c r="A8597" s="3">
        <f>IFERROR(__xludf.DUMMYFUNCTION("""COMPUTED_VALUE"""),41668.666666666664)</f>
        <v>41668.66667</v>
      </c>
      <c r="B8597" s="2">
        <f>IFERROR(__xludf.DUMMYFUNCTION("""COMPUTED_VALUE"""),168.09)</f>
        <v>168.09</v>
      </c>
      <c r="C8597" s="2">
        <f>IFERROR(__xludf.DUMMYFUNCTION("""COMPUTED_VALUE"""),170.53)</f>
        <v>170.53</v>
      </c>
      <c r="D8597" s="2">
        <f>IFERROR(__xludf.DUMMYFUNCTION("""COMPUTED_VALUE"""),168.0)</f>
        <v>168</v>
      </c>
      <c r="E8597" s="2">
        <f>IFERROR(__xludf.DUMMYFUNCTION("""COMPUTED_VALUE"""),168.49)</f>
        <v>168.49</v>
      </c>
      <c r="F8597" s="2">
        <f>IFERROR(__xludf.DUMMYFUNCTION("""COMPUTED_VALUE"""),4971142.0)</f>
        <v>4971142</v>
      </c>
    </row>
    <row r="8598">
      <c r="A8598" s="3">
        <f>IFERROR(__xludf.DUMMYFUNCTION("""COMPUTED_VALUE"""),41669.666666666664)</f>
        <v>41669.66667</v>
      </c>
      <c r="B8598" s="2">
        <f>IFERROR(__xludf.DUMMYFUNCTION("""COMPUTED_VALUE"""),169.23)</f>
        <v>169.23</v>
      </c>
      <c r="C8598" s="2">
        <f>IFERROR(__xludf.DUMMYFUNCTION("""COMPUTED_VALUE"""),169.89)</f>
        <v>169.89</v>
      </c>
      <c r="D8598" s="2">
        <f>IFERROR(__xludf.DUMMYFUNCTION("""COMPUTED_VALUE"""),168.45)</f>
        <v>168.45</v>
      </c>
      <c r="E8598" s="2">
        <f>IFERROR(__xludf.DUMMYFUNCTION("""COMPUTED_VALUE"""),169.41)</f>
        <v>169.41</v>
      </c>
      <c r="F8598" s="2">
        <f>IFERROR(__xludf.DUMMYFUNCTION("""COMPUTED_VALUE"""),4854397.0)</f>
        <v>4854397</v>
      </c>
    </row>
    <row r="8599">
      <c r="A8599" s="3">
        <f>IFERROR(__xludf.DUMMYFUNCTION("""COMPUTED_VALUE"""),41670.666666666664)</f>
        <v>41670.66667</v>
      </c>
      <c r="B8599" s="2">
        <f>IFERROR(__xludf.DUMMYFUNCTION("""COMPUTED_VALUE"""),168.21)</f>
        <v>168.21</v>
      </c>
      <c r="C8599" s="2">
        <f>IFERROR(__xludf.DUMMYFUNCTION("""COMPUTED_VALUE"""),169.86)</f>
        <v>169.86</v>
      </c>
      <c r="D8599" s="2">
        <f>IFERROR(__xludf.DUMMYFUNCTION("""COMPUTED_VALUE"""),167.48)</f>
        <v>167.48</v>
      </c>
      <c r="E8599" s="2">
        <f>IFERROR(__xludf.DUMMYFUNCTION("""COMPUTED_VALUE"""),168.76)</f>
        <v>168.76</v>
      </c>
      <c r="F8599" s="2">
        <f>IFERROR(__xludf.DUMMYFUNCTION("""COMPUTED_VALUE"""),5195381.0)</f>
        <v>5195381</v>
      </c>
    </row>
    <row r="8600">
      <c r="A8600" s="3">
        <f>IFERROR(__xludf.DUMMYFUNCTION("""COMPUTED_VALUE"""),41673.666666666664)</f>
        <v>41673.66667</v>
      </c>
      <c r="B8600" s="2">
        <f>IFERROR(__xludf.DUMMYFUNCTION("""COMPUTED_VALUE"""),168.13)</f>
        <v>168.13</v>
      </c>
      <c r="C8600" s="2">
        <f>IFERROR(__xludf.DUMMYFUNCTION("""COMPUTED_VALUE"""),168.13)</f>
        <v>168.13</v>
      </c>
      <c r="D8600" s="2">
        <f>IFERROR(__xludf.DUMMYFUNCTION("""COMPUTED_VALUE"""),164.98)</f>
        <v>164.98</v>
      </c>
      <c r="E8600" s="2">
        <f>IFERROR(__xludf.DUMMYFUNCTION("""COMPUTED_VALUE"""),165.15)</f>
        <v>165.15</v>
      </c>
      <c r="F8600" s="2">
        <f>IFERROR(__xludf.DUMMYFUNCTION("""COMPUTED_VALUE"""),7187767.0)</f>
        <v>7187767</v>
      </c>
    </row>
    <row r="8601">
      <c r="A8601" s="3">
        <f>IFERROR(__xludf.DUMMYFUNCTION("""COMPUTED_VALUE"""),41674.666666666664)</f>
        <v>41674.66667</v>
      </c>
      <c r="B8601" s="2">
        <f>IFERROR(__xludf.DUMMYFUNCTION("""COMPUTED_VALUE"""),165.75)</f>
        <v>165.75</v>
      </c>
      <c r="C8601" s="2">
        <f>IFERROR(__xludf.DUMMYFUNCTION("""COMPUTED_VALUE"""),165.96)</f>
        <v>165.96</v>
      </c>
      <c r="D8601" s="2">
        <f>IFERROR(__xludf.DUMMYFUNCTION("""COMPUTED_VALUE"""),164.63)</f>
        <v>164.63</v>
      </c>
      <c r="E8601" s="2">
        <f>IFERROR(__xludf.DUMMYFUNCTION("""COMPUTED_VALUE"""),165.09)</f>
        <v>165.09</v>
      </c>
      <c r="F8601" s="2">
        <f>IFERROR(__xludf.DUMMYFUNCTION("""COMPUTED_VALUE"""),4351180.0)</f>
        <v>4351180</v>
      </c>
    </row>
    <row r="8602">
      <c r="A8602" s="3">
        <f>IFERROR(__xludf.DUMMYFUNCTION("""COMPUTED_VALUE"""),41675.666666666664)</f>
        <v>41675.66667</v>
      </c>
      <c r="B8602" s="2">
        <f>IFERROR(__xludf.DUMMYFUNCTION("""COMPUTED_VALUE"""),164.47)</f>
        <v>164.47</v>
      </c>
      <c r="C8602" s="2">
        <f>IFERROR(__xludf.DUMMYFUNCTION("""COMPUTED_VALUE"""),167.13)</f>
        <v>167.13</v>
      </c>
      <c r="D8602" s="2">
        <f>IFERROR(__xludf.DUMMYFUNCTION("""COMPUTED_VALUE"""),164.47)</f>
        <v>164.47</v>
      </c>
      <c r="E8602" s="2">
        <f>IFERROR(__xludf.DUMMYFUNCTION("""COMPUTED_VALUE"""),166.43)</f>
        <v>166.43</v>
      </c>
      <c r="F8602" s="2">
        <f>IFERROR(__xludf.DUMMYFUNCTION("""COMPUTED_VALUE"""),4714375.0)</f>
        <v>4714375</v>
      </c>
    </row>
    <row r="8603">
      <c r="A8603" s="3">
        <f>IFERROR(__xludf.DUMMYFUNCTION("""COMPUTED_VALUE"""),41676.666666666664)</f>
        <v>41676.66667</v>
      </c>
      <c r="B8603" s="2">
        <f>IFERROR(__xludf.DUMMYFUNCTION("""COMPUTED_VALUE"""),166.17)</f>
        <v>166.17</v>
      </c>
      <c r="C8603" s="2">
        <f>IFERROR(__xludf.DUMMYFUNCTION("""COMPUTED_VALUE"""),167.01)</f>
        <v>167.01</v>
      </c>
      <c r="D8603" s="2">
        <f>IFERROR(__xludf.DUMMYFUNCTION("""COMPUTED_VALUE"""),166.0)</f>
        <v>166</v>
      </c>
      <c r="E8603" s="2">
        <f>IFERROR(__xludf.DUMMYFUNCTION("""COMPUTED_VALUE"""),166.84)</f>
        <v>166.84</v>
      </c>
      <c r="F8603" s="2">
        <f>IFERROR(__xludf.DUMMYFUNCTION("""COMPUTED_VALUE"""),4292478.0)</f>
        <v>4292478</v>
      </c>
    </row>
    <row r="8604">
      <c r="A8604" s="3">
        <f>IFERROR(__xludf.DUMMYFUNCTION("""COMPUTED_VALUE"""),41677.666666666664)</f>
        <v>41677.66667</v>
      </c>
      <c r="B8604" s="2">
        <f>IFERROR(__xludf.DUMMYFUNCTION("""COMPUTED_VALUE"""),167.77)</f>
        <v>167.77</v>
      </c>
      <c r="C8604" s="2">
        <f>IFERROR(__xludf.DUMMYFUNCTION("""COMPUTED_VALUE"""),169.6)</f>
        <v>169.6</v>
      </c>
      <c r="D8604" s="2">
        <f>IFERROR(__xludf.DUMMYFUNCTION("""COMPUTED_VALUE"""),167.22)</f>
        <v>167.22</v>
      </c>
      <c r="E8604" s="2">
        <f>IFERROR(__xludf.DUMMYFUNCTION("""COMPUTED_VALUE"""),169.3)</f>
        <v>169.3</v>
      </c>
      <c r="F8604" s="2">
        <f>IFERROR(__xludf.DUMMYFUNCTION("""COMPUTED_VALUE"""),4725647.0)</f>
        <v>4725647</v>
      </c>
    </row>
    <row r="8605">
      <c r="A8605" s="3">
        <f>IFERROR(__xludf.DUMMYFUNCTION("""COMPUTED_VALUE"""),41680.666666666664)</f>
        <v>41680.66667</v>
      </c>
      <c r="B8605" s="2">
        <f>IFERROR(__xludf.DUMMYFUNCTION("""COMPUTED_VALUE"""),169.04)</f>
        <v>169.04</v>
      </c>
      <c r="C8605" s="2">
        <f>IFERROR(__xludf.DUMMYFUNCTION("""COMPUTED_VALUE"""),169.68)</f>
        <v>169.68</v>
      </c>
      <c r="D8605" s="2">
        <f>IFERROR(__xludf.DUMMYFUNCTION("""COMPUTED_VALUE"""),168.35)</f>
        <v>168.35</v>
      </c>
      <c r="E8605" s="2">
        <f>IFERROR(__xludf.DUMMYFUNCTION("""COMPUTED_VALUE"""),169.2)</f>
        <v>169.2</v>
      </c>
      <c r="F8605" s="2">
        <f>IFERROR(__xludf.DUMMYFUNCTION("""COMPUTED_VALUE"""),3544486.0)</f>
        <v>3544486</v>
      </c>
    </row>
    <row r="8606">
      <c r="A8606" s="3">
        <f>IFERROR(__xludf.DUMMYFUNCTION("""COMPUTED_VALUE"""),41681.666666666664)</f>
        <v>41681.66667</v>
      </c>
      <c r="B8606" s="2">
        <f>IFERROR(__xludf.DUMMYFUNCTION("""COMPUTED_VALUE"""),168.88)</f>
        <v>168.88</v>
      </c>
      <c r="C8606" s="2">
        <f>IFERROR(__xludf.DUMMYFUNCTION("""COMPUTED_VALUE"""),172.3)</f>
        <v>172.3</v>
      </c>
      <c r="D8606" s="2">
        <f>IFERROR(__xludf.DUMMYFUNCTION("""COMPUTED_VALUE"""),168.87)</f>
        <v>168.87</v>
      </c>
      <c r="E8606" s="2">
        <f>IFERROR(__xludf.DUMMYFUNCTION("""COMPUTED_VALUE"""),171.64)</f>
        <v>171.64</v>
      </c>
      <c r="F8606" s="2">
        <f>IFERROR(__xludf.DUMMYFUNCTION("""COMPUTED_VALUE"""),4654207.0)</f>
        <v>4654207</v>
      </c>
    </row>
    <row r="8607">
      <c r="A8607" s="3">
        <f>IFERROR(__xludf.DUMMYFUNCTION("""COMPUTED_VALUE"""),41682.666666666664)</f>
        <v>41682.66667</v>
      </c>
      <c r="B8607" s="2">
        <f>IFERROR(__xludf.DUMMYFUNCTION("""COMPUTED_VALUE"""),171.47)</f>
        <v>171.47</v>
      </c>
      <c r="C8607" s="2">
        <f>IFERROR(__xludf.DUMMYFUNCTION("""COMPUTED_VALUE"""),173.12)</f>
        <v>173.12</v>
      </c>
      <c r="D8607" s="2">
        <f>IFERROR(__xludf.DUMMYFUNCTION("""COMPUTED_VALUE"""),171.22)</f>
        <v>171.22</v>
      </c>
      <c r="E8607" s="2">
        <f>IFERROR(__xludf.DUMMYFUNCTION("""COMPUTED_VALUE"""),172.16)</f>
        <v>172.16</v>
      </c>
      <c r="F8607" s="2">
        <f>IFERROR(__xludf.DUMMYFUNCTION("""COMPUTED_VALUE"""),3984148.0)</f>
        <v>3984148</v>
      </c>
    </row>
    <row r="8608">
      <c r="A8608" s="3">
        <f>IFERROR(__xludf.DUMMYFUNCTION("""COMPUTED_VALUE"""),41683.666666666664)</f>
        <v>41683.66667</v>
      </c>
      <c r="B8608" s="2">
        <f>IFERROR(__xludf.DUMMYFUNCTION("""COMPUTED_VALUE"""),170.23)</f>
        <v>170.23</v>
      </c>
      <c r="C8608" s="2">
        <f>IFERROR(__xludf.DUMMYFUNCTION("""COMPUTED_VALUE"""),174.18)</f>
        <v>174.18</v>
      </c>
      <c r="D8608" s="2">
        <f>IFERROR(__xludf.DUMMYFUNCTION("""COMPUTED_VALUE"""),169.89)</f>
        <v>169.89</v>
      </c>
      <c r="E8608" s="2">
        <f>IFERROR(__xludf.DUMMYFUNCTION("""COMPUTED_VALUE"""),173.69)</f>
        <v>173.69</v>
      </c>
      <c r="F8608" s="2">
        <f>IFERROR(__xludf.DUMMYFUNCTION("""COMPUTED_VALUE"""),4482761.0)</f>
        <v>4482761</v>
      </c>
    </row>
    <row r="8609">
      <c r="A8609" s="3">
        <f>IFERROR(__xludf.DUMMYFUNCTION("""COMPUTED_VALUE"""),41684.666666666664)</f>
        <v>41684.66667</v>
      </c>
      <c r="B8609" s="2">
        <f>IFERROR(__xludf.DUMMYFUNCTION("""COMPUTED_VALUE"""),173.13)</f>
        <v>173.13</v>
      </c>
      <c r="C8609" s="2">
        <f>IFERROR(__xludf.DUMMYFUNCTION("""COMPUTED_VALUE"""),176.16)</f>
        <v>176.16</v>
      </c>
      <c r="D8609" s="2">
        <f>IFERROR(__xludf.DUMMYFUNCTION("""COMPUTED_VALUE"""),172.88)</f>
        <v>172.88</v>
      </c>
      <c r="E8609" s="2">
        <f>IFERROR(__xludf.DUMMYFUNCTION("""COMPUTED_VALUE"""),175.45)</f>
        <v>175.45</v>
      </c>
      <c r="F8609" s="2">
        <f>IFERROR(__xludf.DUMMYFUNCTION("""COMPUTED_VALUE"""),4665873.0)</f>
        <v>4665873</v>
      </c>
    </row>
    <row r="8610">
      <c r="A8610" s="3">
        <f>IFERROR(__xludf.DUMMYFUNCTION("""COMPUTED_VALUE"""),41688.666666666664)</f>
        <v>41688.66667</v>
      </c>
      <c r="B8610" s="2">
        <f>IFERROR(__xludf.DUMMYFUNCTION("""COMPUTED_VALUE"""),174.97)</f>
        <v>174.97</v>
      </c>
      <c r="C8610" s="2">
        <f>IFERROR(__xludf.DUMMYFUNCTION("""COMPUTED_VALUE"""),175.75)</f>
        <v>175.75</v>
      </c>
      <c r="D8610" s="2">
        <f>IFERROR(__xludf.DUMMYFUNCTION("""COMPUTED_VALUE"""),174.15)</f>
        <v>174.15</v>
      </c>
      <c r="E8610" s="2">
        <f>IFERROR(__xludf.DUMMYFUNCTION("""COMPUTED_VALUE"""),174.98)</f>
        <v>174.98</v>
      </c>
      <c r="F8610" s="2">
        <f>IFERROR(__xludf.DUMMYFUNCTION("""COMPUTED_VALUE"""),4435484.0)</f>
        <v>4435484</v>
      </c>
    </row>
    <row r="8611">
      <c r="A8611" s="3">
        <f>IFERROR(__xludf.DUMMYFUNCTION("""COMPUTED_VALUE"""),41689.666666666664)</f>
        <v>41689.66667</v>
      </c>
      <c r="B8611" s="2">
        <f>IFERROR(__xludf.DUMMYFUNCTION("""COMPUTED_VALUE"""),174.55)</f>
        <v>174.55</v>
      </c>
      <c r="C8611" s="2">
        <f>IFERROR(__xludf.DUMMYFUNCTION("""COMPUTED_VALUE"""),177.33)</f>
        <v>177.33</v>
      </c>
      <c r="D8611" s="2">
        <f>IFERROR(__xludf.DUMMYFUNCTION("""COMPUTED_VALUE"""),174.23)</f>
        <v>174.23</v>
      </c>
      <c r="E8611" s="2">
        <f>IFERROR(__xludf.DUMMYFUNCTION("""COMPUTED_VALUE"""),174.75)</f>
        <v>174.75</v>
      </c>
      <c r="F8611" s="2">
        <f>IFERROR(__xludf.DUMMYFUNCTION("""COMPUTED_VALUE"""),4671705.0)</f>
        <v>4671705</v>
      </c>
    </row>
    <row r="8612">
      <c r="A8612" s="3">
        <f>IFERROR(__xludf.DUMMYFUNCTION("""COMPUTED_VALUE"""),41690.666666666664)</f>
        <v>41690.66667</v>
      </c>
      <c r="B8612" s="2">
        <f>IFERROR(__xludf.DUMMYFUNCTION("""COMPUTED_VALUE"""),174.76)</f>
        <v>174.76</v>
      </c>
      <c r="C8612" s="2">
        <f>IFERROR(__xludf.DUMMYFUNCTION("""COMPUTED_VALUE"""),176.57)</f>
        <v>176.57</v>
      </c>
      <c r="D8612" s="2">
        <f>IFERROR(__xludf.DUMMYFUNCTION("""COMPUTED_VALUE"""),174.59)</f>
        <v>174.59</v>
      </c>
      <c r="E8612" s="2">
        <f>IFERROR(__xludf.DUMMYFUNCTION("""COMPUTED_VALUE"""),176.0)</f>
        <v>176</v>
      </c>
      <c r="F8612" s="2">
        <f>IFERROR(__xludf.DUMMYFUNCTION("""COMPUTED_VALUE"""),4968267.0)</f>
        <v>4968267</v>
      </c>
    </row>
    <row r="8613">
      <c r="A8613" s="3">
        <f>IFERROR(__xludf.DUMMYFUNCTION("""COMPUTED_VALUE"""),41691.666666666664)</f>
        <v>41691.66667</v>
      </c>
      <c r="B8613" s="2">
        <f>IFERROR(__xludf.DUMMYFUNCTION("""COMPUTED_VALUE"""),175.99)</f>
        <v>175.99</v>
      </c>
      <c r="C8613" s="2">
        <f>IFERROR(__xludf.DUMMYFUNCTION("""COMPUTED_VALUE"""),177.38)</f>
        <v>177.38</v>
      </c>
      <c r="D8613" s="2">
        <f>IFERROR(__xludf.DUMMYFUNCTION("""COMPUTED_VALUE"""),174.43)</f>
        <v>174.43</v>
      </c>
      <c r="E8613" s="2">
        <f>IFERROR(__xludf.DUMMYFUNCTION("""COMPUTED_VALUE"""),174.59)</f>
        <v>174.59</v>
      </c>
      <c r="F8613" s="2">
        <f>IFERROR(__xludf.DUMMYFUNCTION("""COMPUTED_VALUE"""),5699331.0)</f>
        <v>5699331</v>
      </c>
    </row>
    <row r="8614">
      <c r="A8614" s="3">
        <f>IFERROR(__xludf.DUMMYFUNCTION("""COMPUTED_VALUE"""),41694.666666666664)</f>
        <v>41694.66667</v>
      </c>
      <c r="B8614" s="2">
        <f>IFERROR(__xludf.DUMMYFUNCTION("""COMPUTED_VALUE"""),174.62)</f>
        <v>174.62</v>
      </c>
      <c r="C8614" s="2">
        <f>IFERROR(__xludf.DUMMYFUNCTION("""COMPUTED_VALUE"""),176.86)</f>
        <v>176.86</v>
      </c>
      <c r="D8614" s="2">
        <f>IFERROR(__xludf.DUMMYFUNCTION("""COMPUTED_VALUE"""),174.62)</f>
        <v>174.62</v>
      </c>
      <c r="E8614" s="2">
        <f>IFERROR(__xludf.DUMMYFUNCTION("""COMPUTED_VALUE"""),175.22)</f>
        <v>175.22</v>
      </c>
      <c r="F8614" s="2">
        <f>IFERROR(__xludf.DUMMYFUNCTION("""COMPUTED_VALUE"""),4595312.0)</f>
        <v>4595312</v>
      </c>
    </row>
    <row r="8615">
      <c r="A8615" s="3">
        <f>IFERROR(__xludf.DUMMYFUNCTION("""COMPUTED_VALUE"""),41695.666666666664)</f>
        <v>41695.66667</v>
      </c>
      <c r="B8615" s="2">
        <f>IFERROR(__xludf.DUMMYFUNCTION("""COMPUTED_VALUE"""),175.29)</f>
        <v>175.29</v>
      </c>
      <c r="C8615" s="2">
        <f>IFERROR(__xludf.DUMMYFUNCTION("""COMPUTED_VALUE"""),176.32)</f>
        <v>176.32</v>
      </c>
      <c r="D8615" s="2">
        <f>IFERROR(__xludf.DUMMYFUNCTION("""COMPUTED_VALUE"""),174.68)</f>
        <v>174.68</v>
      </c>
      <c r="E8615" s="2">
        <f>IFERROR(__xludf.DUMMYFUNCTION("""COMPUTED_VALUE"""),175.01)</f>
        <v>175.01</v>
      </c>
      <c r="F8615" s="2">
        <f>IFERROR(__xludf.DUMMYFUNCTION("""COMPUTED_VALUE"""),3902332.0)</f>
        <v>3902332</v>
      </c>
    </row>
    <row r="8616">
      <c r="A8616" s="3">
        <f>IFERROR(__xludf.DUMMYFUNCTION("""COMPUTED_VALUE"""),41696.666666666664)</f>
        <v>41696.66667</v>
      </c>
      <c r="B8616" s="2">
        <f>IFERROR(__xludf.DUMMYFUNCTION("""COMPUTED_VALUE"""),175.69)</f>
        <v>175.69</v>
      </c>
      <c r="C8616" s="2">
        <f>IFERROR(__xludf.DUMMYFUNCTION("""COMPUTED_VALUE"""),176.97)</f>
        <v>176.97</v>
      </c>
      <c r="D8616" s="2">
        <f>IFERROR(__xludf.DUMMYFUNCTION("""COMPUTED_VALUE"""),175.33)</f>
        <v>175.33</v>
      </c>
      <c r="E8616" s="2">
        <f>IFERROR(__xludf.DUMMYFUNCTION("""COMPUTED_VALUE"""),175.81)</f>
        <v>175.81</v>
      </c>
      <c r="F8616" s="2">
        <f>IFERROR(__xludf.DUMMYFUNCTION("""COMPUTED_VALUE"""),3740884.0)</f>
        <v>3740884</v>
      </c>
    </row>
    <row r="8617">
      <c r="A8617" s="3">
        <f>IFERROR(__xludf.DUMMYFUNCTION("""COMPUTED_VALUE"""),41697.666666666664)</f>
        <v>41697.66667</v>
      </c>
      <c r="B8617" s="2">
        <f>IFERROR(__xludf.DUMMYFUNCTION("""COMPUTED_VALUE"""),175.59)</f>
        <v>175.59</v>
      </c>
      <c r="C8617" s="2">
        <f>IFERROR(__xludf.DUMMYFUNCTION("""COMPUTED_VALUE"""),177.61)</f>
        <v>177.61</v>
      </c>
      <c r="D8617" s="2">
        <f>IFERROR(__xludf.DUMMYFUNCTION("""COMPUTED_VALUE"""),175.57)</f>
        <v>175.57</v>
      </c>
      <c r="E8617" s="2">
        <f>IFERROR(__xludf.DUMMYFUNCTION("""COMPUTED_VALUE"""),176.96)</f>
        <v>176.96</v>
      </c>
      <c r="F8617" s="2">
        <f>IFERROR(__xludf.DUMMYFUNCTION("""COMPUTED_VALUE"""),3827965.0)</f>
        <v>3827965</v>
      </c>
    </row>
    <row r="8618">
      <c r="A8618" s="3">
        <f>IFERROR(__xludf.DUMMYFUNCTION("""COMPUTED_VALUE"""),41698.666666666664)</f>
        <v>41698.66667</v>
      </c>
      <c r="B8618" s="2">
        <f>IFERROR(__xludf.DUMMYFUNCTION("""COMPUTED_VALUE"""),177.07)</f>
        <v>177.07</v>
      </c>
      <c r="C8618" s="2">
        <f>IFERROR(__xludf.DUMMYFUNCTION("""COMPUTED_VALUE"""),177.78)</f>
        <v>177.78</v>
      </c>
      <c r="D8618" s="2">
        <f>IFERROR(__xludf.DUMMYFUNCTION("""COMPUTED_VALUE"""),175.42)</f>
        <v>175.42</v>
      </c>
      <c r="E8618" s="2">
        <f>IFERROR(__xludf.DUMMYFUNCTION("""COMPUTED_VALUE"""),176.87)</f>
        <v>176.87</v>
      </c>
      <c r="F8618" s="2">
        <f>IFERROR(__xludf.DUMMYFUNCTION("""COMPUTED_VALUE"""),4668452.0)</f>
        <v>4668452</v>
      </c>
    </row>
    <row r="8619">
      <c r="A8619" s="3">
        <f>IFERROR(__xludf.DUMMYFUNCTION("""COMPUTED_VALUE"""),41701.666666666664)</f>
        <v>41701.66667</v>
      </c>
      <c r="B8619" s="2">
        <f>IFERROR(__xludf.DUMMYFUNCTION("""COMPUTED_VALUE"""),175.11)</f>
        <v>175.11</v>
      </c>
      <c r="C8619" s="2">
        <f>IFERROR(__xludf.DUMMYFUNCTION("""COMPUTED_VALUE"""),176.36)</f>
        <v>176.36</v>
      </c>
      <c r="D8619" s="2">
        <f>IFERROR(__xludf.DUMMYFUNCTION("""COMPUTED_VALUE"""),174.62)</f>
        <v>174.62</v>
      </c>
      <c r="E8619" s="2">
        <f>IFERROR(__xludf.DUMMYFUNCTION("""COMPUTED_VALUE"""),176.0)</f>
        <v>176</v>
      </c>
      <c r="F8619" s="2">
        <f>IFERROR(__xludf.DUMMYFUNCTION("""COMPUTED_VALUE"""),3952704.0)</f>
        <v>3952704</v>
      </c>
    </row>
    <row r="8620">
      <c r="A8620" s="3">
        <f>IFERROR(__xludf.DUMMYFUNCTION("""COMPUTED_VALUE"""),41702.666666666664)</f>
        <v>41702.66667</v>
      </c>
      <c r="B8620" s="2">
        <f>IFERROR(__xludf.DUMMYFUNCTION("""COMPUTED_VALUE"""),177.48)</f>
        <v>177.48</v>
      </c>
      <c r="C8620" s="2">
        <f>IFERROR(__xludf.DUMMYFUNCTION("""COMPUTED_VALUE"""),178.77)</f>
        <v>178.77</v>
      </c>
      <c r="D8620" s="2">
        <f>IFERROR(__xludf.DUMMYFUNCTION("""COMPUTED_VALUE"""),177.35)</f>
        <v>177.35</v>
      </c>
      <c r="E8620" s="2">
        <f>IFERROR(__xludf.DUMMYFUNCTION("""COMPUTED_VALUE"""),178.08)</f>
        <v>178.08</v>
      </c>
      <c r="F8620" s="2">
        <f>IFERROR(__xludf.DUMMYFUNCTION("""COMPUTED_VALUE"""),4734235.0)</f>
        <v>4734235</v>
      </c>
    </row>
    <row r="8621">
      <c r="A8621" s="3">
        <f>IFERROR(__xludf.DUMMYFUNCTION("""COMPUTED_VALUE"""),41703.666666666664)</f>
        <v>41703.66667</v>
      </c>
      <c r="B8621" s="2">
        <f>IFERROR(__xludf.DUMMYFUNCTION("""COMPUTED_VALUE"""),178.2)</f>
        <v>178.2</v>
      </c>
      <c r="C8621" s="2">
        <f>IFERROR(__xludf.DUMMYFUNCTION("""COMPUTED_VALUE"""),179.52)</f>
        <v>179.52</v>
      </c>
      <c r="D8621" s="2">
        <f>IFERROR(__xludf.DUMMYFUNCTION("""COMPUTED_VALUE"""),178.04)</f>
        <v>178.04</v>
      </c>
      <c r="E8621" s="2">
        <f>IFERROR(__xludf.DUMMYFUNCTION("""COMPUTED_VALUE"""),178.75)</f>
        <v>178.75</v>
      </c>
      <c r="F8621" s="2">
        <f>IFERROR(__xludf.DUMMYFUNCTION("""COMPUTED_VALUE"""),3487359.0)</f>
        <v>3487359</v>
      </c>
    </row>
    <row r="8622">
      <c r="A8622" s="3">
        <f>IFERROR(__xludf.DUMMYFUNCTION("""COMPUTED_VALUE"""),41704.666666666664)</f>
        <v>41704.66667</v>
      </c>
      <c r="B8622" s="2">
        <f>IFERROR(__xludf.DUMMYFUNCTION("""COMPUTED_VALUE"""),178.97)</f>
        <v>178.97</v>
      </c>
      <c r="C8622" s="2">
        <f>IFERROR(__xludf.DUMMYFUNCTION("""COMPUTED_VALUE"""),179.94)</f>
        <v>179.94</v>
      </c>
      <c r="D8622" s="2">
        <f>IFERROR(__xludf.DUMMYFUNCTION("""COMPUTED_VALUE"""),178.52)</f>
        <v>178.52</v>
      </c>
      <c r="E8622" s="2">
        <f>IFERROR(__xludf.DUMMYFUNCTION("""COMPUTED_VALUE"""),179.23)</f>
        <v>179.23</v>
      </c>
      <c r="F8622" s="2">
        <f>IFERROR(__xludf.DUMMYFUNCTION("""COMPUTED_VALUE"""),3817529.0)</f>
        <v>3817529</v>
      </c>
    </row>
    <row r="8623">
      <c r="A8623" s="3">
        <f>IFERROR(__xludf.DUMMYFUNCTION("""COMPUTED_VALUE"""),41705.666666666664)</f>
        <v>41705.66667</v>
      </c>
      <c r="B8623" s="2">
        <f>IFERROR(__xludf.DUMMYFUNCTION("""COMPUTED_VALUE"""),179.91)</f>
        <v>179.91</v>
      </c>
      <c r="C8623" s="2">
        <f>IFERROR(__xludf.DUMMYFUNCTION("""COMPUTED_VALUE"""),180.45)</f>
        <v>180.45</v>
      </c>
      <c r="D8623" s="2">
        <f>IFERROR(__xludf.DUMMYFUNCTION("""COMPUTED_VALUE"""),178.79)</f>
        <v>178.79</v>
      </c>
      <c r="E8623" s="2">
        <f>IFERROR(__xludf.DUMMYFUNCTION("""COMPUTED_VALUE"""),179.27)</f>
        <v>179.27</v>
      </c>
      <c r="F8623" s="2">
        <f>IFERROR(__xludf.DUMMYFUNCTION("""COMPUTED_VALUE"""),4117826.0)</f>
        <v>4117826</v>
      </c>
    </row>
    <row r="8624">
      <c r="A8624" s="3">
        <f>IFERROR(__xludf.DUMMYFUNCTION("""COMPUTED_VALUE"""),41708.666666666664)</f>
        <v>41708.66667</v>
      </c>
      <c r="B8624" s="2">
        <f>IFERROR(__xludf.DUMMYFUNCTION("""COMPUTED_VALUE"""),179.14)</f>
        <v>179.14</v>
      </c>
      <c r="C8624" s="2">
        <f>IFERROR(__xludf.DUMMYFUNCTION("""COMPUTED_VALUE"""),179.92)</f>
        <v>179.92</v>
      </c>
      <c r="D8624" s="2">
        <f>IFERROR(__xludf.DUMMYFUNCTION("""COMPUTED_VALUE"""),177.52)</f>
        <v>177.52</v>
      </c>
      <c r="E8624" s="2">
        <f>IFERROR(__xludf.DUMMYFUNCTION("""COMPUTED_VALUE"""),178.03)</f>
        <v>178.03</v>
      </c>
      <c r="F8624" s="2">
        <f>IFERROR(__xludf.DUMMYFUNCTION("""COMPUTED_VALUE"""),4594054.0)</f>
        <v>4594054</v>
      </c>
    </row>
    <row r="8625">
      <c r="A8625" s="3">
        <f>IFERROR(__xludf.DUMMYFUNCTION("""COMPUTED_VALUE"""),41709.666666666664)</f>
        <v>41709.66667</v>
      </c>
      <c r="B8625" s="2">
        <f>IFERROR(__xludf.DUMMYFUNCTION("""COMPUTED_VALUE"""),179.01)</f>
        <v>179.01</v>
      </c>
      <c r="C8625" s="2">
        <f>IFERROR(__xludf.DUMMYFUNCTION("""COMPUTED_VALUE"""),180.0)</f>
        <v>180</v>
      </c>
      <c r="D8625" s="2">
        <f>IFERROR(__xludf.DUMMYFUNCTION("""COMPUTED_VALUE"""),177.7)</f>
        <v>177.7</v>
      </c>
      <c r="E8625" s="2">
        <f>IFERROR(__xludf.DUMMYFUNCTION("""COMPUTED_VALUE"""),178.39)</f>
        <v>178.39</v>
      </c>
      <c r="F8625" s="2">
        <f>IFERROR(__xludf.DUMMYFUNCTION("""COMPUTED_VALUE"""),4229679.0)</f>
        <v>4229679</v>
      </c>
    </row>
    <row r="8626">
      <c r="A8626" s="3">
        <f>IFERROR(__xludf.DUMMYFUNCTION("""COMPUTED_VALUE"""),41710.666666666664)</f>
        <v>41710.66667</v>
      </c>
      <c r="B8626" s="2">
        <f>IFERROR(__xludf.DUMMYFUNCTION("""COMPUTED_VALUE"""),177.67)</f>
        <v>177.67</v>
      </c>
      <c r="C8626" s="2">
        <f>IFERROR(__xludf.DUMMYFUNCTION("""COMPUTED_VALUE"""),179.05)</f>
        <v>179.05</v>
      </c>
      <c r="D8626" s="2">
        <f>IFERROR(__xludf.DUMMYFUNCTION("""COMPUTED_VALUE"""),177.56)</f>
        <v>177.56</v>
      </c>
      <c r="E8626" s="2">
        <f>IFERROR(__xludf.DUMMYFUNCTION("""COMPUTED_VALUE"""),177.87)</f>
        <v>177.87</v>
      </c>
      <c r="F8626" s="2">
        <f>IFERROR(__xludf.DUMMYFUNCTION("""COMPUTED_VALUE"""),4833158.0)</f>
        <v>4833158</v>
      </c>
    </row>
    <row r="8627">
      <c r="A8627" s="3">
        <f>IFERROR(__xludf.DUMMYFUNCTION("""COMPUTED_VALUE"""),41711.666666666664)</f>
        <v>41711.66667</v>
      </c>
      <c r="B8627" s="2">
        <f>IFERROR(__xludf.DUMMYFUNCTION("""COMPUTED_VALUE"""),178.05)</f>
        <v>178.05</v>
      </c>
      <c r="C8627" s="2">
        <f>IFERROR(__xludf.DUMMYFUNCTION("""COMPUTED_VALUE"""),178.62)</f>
        <v>178.62</v>
      </c>
      <c r="D8627" s="2">
        <f>IFERROR(__xludf.DUMMYFUNCTION("""COMPUTED_VALUE"""),175.47)</f>
        <v>175.47</v>
      </c>
      <c r="E8627" s="2">
        <f>IFERROR(__xludf.DUMMYFUNCTION("""COMPUTED_VALUE"""),175.65)</f>
        <v>175.65</v>
      </c>
      <c r="F8627" s="2">
        <f>IFERROR(__xludf.DUMMYFUNCTION("""COMPUTED_VALUE"""),4913208.0)</f>
        <v>4913208</v>
      </c>
    </row>
    <row r="8628">
      <c r="A8628" s="3">
        <f>IFERROR(__xludf.DUMMYFUNCTION("""COMPUTED_VALUE"""),41712.666666666664)</f>
        <v>41712.66667</v>
      </c>
      <c r="B8628" s="2">
        <f>IFERROR(__xludf.DUMMYFUNCTION("""COMPUTED_VALUE"""),175.65)</f>
        <v>175.65</v>
      </c>
      <c r="C8628" s="2">
        <f>IFERROR(__xludf.DUMMYFUNCTION("""COMPUTED_VALUE"""),176.03)</f>
        <v>176.03</v>
      </c>
      <c r="D8628" s="2">
        <f>IFERROR(__xludf.DUMMYFUNCTION("""COMPUTED_VALUE"""),174.04)</f>
        <v>174.04</v>
      </c>
      <c r="E8628" s="2">
        <f>IFERROR(__xludf.DUMMYFUNCTION("""COMPUTED_VALUE"""),174.04)</f>
        <v>174.04</v>
      </c>
      <c r="F8628" s="2">
        <f>IFERROR(__xludf.DUMMYFUNCTION("""COMPUTED_VALUE"""),5490326.0)</f>
        <v>5490326</v>
      </c>
    </row>
    <row r="8629">
      <c r="A8629" s="3">
        <f>IFERROR(__xludf.DUMMYFUNCTION("""COMPUTED_VALUE"""),41715.666666666664)</f>
        <v>41715.66667</v>
      </c>
      <c r="B8629" s="2">
        <f>IFERROR(__xludf.DUMMYFUNCTION("""COMPUTED_VALUE"""),174.47)</f>
        <v>174.47</v>
      </c>
      <c r="C8629" s="2">
        <f>IFERROR(__xludf.DUMMYFUNCTION("""COMPUTED_VALUE"""),177.99)</f>
        <v>177.99</v>
      </c>
      <c r="D8629" s="2">
        <f>IFERROR(__xludf.DUMMYFUNCTION("""COMPUTED_VALUE"""),174.47)</f>
        <v>174.47</v>
      </c>
      <c r="E8629" s="2">
        <f>IFERROR(__xludf.DUMMYFUNCTION("""COMPUTED_VALUE"""),177.48)</f>
        <v>177.48</v>
      </c>
      <c r="F8629" s="2">
        <f>IFERROR(__xludf.DUMMYFUNCTION("""COMPUTED_VALUE"""),4938754.0)</f>
        <v>4938754</v>
      </c>
    </row>
    <row r="8630">
      <c r="A8630" s="3">
        <f>IFERROR(__xludf.DUMMYFUNCTION("""COMPUTED_VALUE"""),41716.666666666664)</f>
        <v>41716.66667</v>
      </c>
      <c r="B8630" s="2">
        <f>IFERROR(__xludf.DUMMYFUNCTION("""COMPUTED_VALUE"""),177.65)</f>
        <v>177.65</v>
      </c>
      <c r="C8630" s="2">
        <f>IFERROR(__xludf.DUMMYFUNCTION("""COMPUTED_VALUE"""),179.48)</f>
        <v>179.48</v>
      </c>
      <c r="D8630" s="2">
        <f>IFERROR(__xludf.DUMMYFUNCTION("""COMPUTED_VALUE"""),177.22)</f>
        <v>177.22</v>
      </c>
      <c r="E8630" s="2">
        <f>IFERROR(__xludf.DUMMYFUNCTION("""COMPUTED_VALUE"""),178.43)</f>
        <v>178.43</v>
      </c>
      <c r="F8630" s="2">
        <f>IFERROR(__xludf.DUMMYFUNCTION("""COMPUTED_VALUE"""),3961319.0)</f>
        <v>3961319</v>
      </c>
    </row>
    <row r="8631">
      <c r="A8631" s="3">
        <f>IFERROR(__xludf.DUMMYFUNCTION("""COMPUTED_VALUE"""),41717.666666666664)</f>
        <v>41717.66667</v>
      </c>
      <c r="B8631" s="2">
        <f>IFERROR(__xludf.DUMMYFUNCTION("""COMPUTED_VALUE"""),177.28)</f>
        <v>177.28</v>
      </c>
      <c r="C8631" s="2">
        <f>IFERROR(__xludf.DUMMYFUNCTION("""COMPUTED_VALUE"""),178.33)</f>
        <v>178.33</v>
      </c>
      <c r="D8631" s="2">
        <f>IFERROR(__xludf.DUMMYFUNCTION("""COMPUTED_VALUE"""),175.27)</f>
        <v>175.27</v>
      </c>
      <c r="E8631" s="2">
        <f>IFERROR(__xludf.DUMMYFUNCTION("""COMPUTED_VALUE"""),176.43)</f>
        <v>176.43</v>
      </c>
      <c r="F8631" s="2">
        <f>IFERROR(__xludf.DUMMYFUNCTION("""COMPUTED_VALUE"""),4323930.0)</f>
        <v>4323930</v>
      </c>
    </row>
    <row r="8632">
      <c r="A8632" s="3">
        <f>IFERROR(__xludf.DUMMYFUNCTION("""COMPUTED_VALUE"""),41718.666666666664)</f>
        <v>41718.66667</v>
      </c>
      <c r="B8632" s="2">
        <f>IFERROR(__xludf.DUMMYFUNCTION("""COMPUTED_VALUE"""),176.2)</f>
        <v>176.2</v>
      </c>
      <c r="C8632" s="2">
        <f>IFERROR(__xludf.DUMMYFUNCTION("""COMPUTED_VALUE"""),179.82)</f>
        <v>179.82</v>
      </c>
      <c r="D8632" s="2">
        <f>IFERROR(__xludf.DUMMYFUNCTION("""COMPUTED_VALUE"""),175.91)</f>
        <v>175.91</v>
      </c>
      <c r="E8632" s="2">
        <f>IFERROR(__xludf.DUMMYFUNCTION("""COMPUTED_VALUE"""),179.48)</f>
        <v>179.48</v>
      </c>
      <c r="F8632" s="2">
        <f>IFERROR(__xludf.DUMMYFUNCTION("""COMPUTED_VALUE"""),5062629.0)</f>
        <v>5062629</v>
      </c>
    </row>
    <row r="8633">
      <c r="A8633" s="3">
        <f>IFERROR(__xludf.DUMMYFUNCTION("""COMPUTED_VALUE"""),41719.666666666664)</f>
        <v>41719.66667</v>
      </c>
      <c r="B8633" s="2">
        <f>IFERROR(__xludf.DUMMYFUNCTION("""COMPUTED_VALUE"""),180.05)</f>
        <v>180.05</v>
      </c>
      <c r="C8633" s="2">
        <f>IFERROR(__xludf.DUMMYFUNCTION("""COMPUTED_VALUE"""),180.24)</f>
        <v>180.24</v>
      </c>
      <c r="D8633" s="2">
        <f>IFERROR(__xludf.DUMMYFUNCTION("""COMPUTED_VALUE"""),178.04)</f>
        <v>178.04</v>
      </c>
      <c r="E8633" s="2">
        <f>IFERROR(__xludf.DUMMYFUNCTION("""COMPUTED_VALUE"""),178.3)</f>
        <v>178.3</v>
      </c>
      <c r="F8633" s="2">
        <f>IFERROR(__xludf.DUMMYFUNCTION("""COMPUTED_VALUE"""),1.2535281E7)</f>
        <v>12535281</v>
      </c>
    </row>
    <row r="8634">
      <c r="A8634" s="3">
        <f>IFERROR(__xludf.DUMMYFUNCTION("""COMPUTED_VALUE"""),41722.666666666664)</f>
        <v>41722.66667</v>
      </c>
      <c r="B8634" s="2">
        <f>IFERROR(__xludf.DUMMYFUNCTION("""COMPUTED_VALUE"""),179.03)</f>
        <v>179.03</v>
      </c>
      <c r="C8634" s="2">
        <f>IFERROR(__xludf.DUMMYFUNCTION("""COMPUTED_VALUE"""),180.95)</f>
        <v>180.95</v>
      </c>
      <c r="D8634" s="2">
        <f>IFERROR(__xludf.DUMMYFUNCTION("""COMPUTED_VALUE"""),178.97)</f>
        <v>178.97</v>
      </c>
      <c r="E8634" s="2">
        <f>IFERROR(__xludf.DUMMYFUNCTION("""COMPUTED_VALUE"""),179.81)</f>
        <v>179.81</v>
      </c>
      <c r="F8634" s="2">
        <f>IFERROR(__xludf.DUMMYFUNCTION("""COMPUTED_VALUE"""),5738492.0)</f>
        <v>5738492</v>
      </c>
    </row>
    <row r="8635">
      <c r="A8635" s="3">
        <f>IFERROR(__xludf.DUMMYFUNCTION("""COMPUTED_VALUE"""),41723.666666666664)</f>
        <v>41723.66667</v>
      </c>
      <c r="B8635" s="2">
        <f>IFERROR(__xludf.DUMMYFUNCTION("""COMPUTED_VALUE"""),180.3)</f>
        <v>180.3</v>
      </c>
      <c r="C8635" s="2">
        <f>IFERROR(__xludf.DUMMYFUNCTION("""COMPUTED_VALUE"""),186.63)</f>
        <v>186.63</v>
      </c>
      <c r="D8635" s="2">
        <f>IFERROR(__xludf.DUMMYFUNCTION("""COMPUTED_VALUE"""),180.24)</f>
        <v>180.24</v>
      </c>
      <c r="E8635" s="2">
        <f>IFERROR(__xludf.DUMMYFUNCTION("""COMPUTED_VALUE"""),186.3)</f>
        <v>186.3</v>
      </c>
      <c r="F8635" s="2">
        <f>IFERROR(__xludf.DUMMYFUNCTION("""COMPUTED_VALUE"""),1.0912699E7)</f>
        <v>10912699</v>
      </c>
    </row>
    <row r="8636">
      <c r="A8636" s="3">
        <f>IFERROR(__xludf.DUMMYFUNCTION("""COMPUTED_VALUE"""),41724.666666666664)</f>
        <v>41724.66667</v>
      </c>
      <c r="B8636" s="2">
        <f>IFERROR(__xludf.DUMMYFUNCTION("""COMPUTED_VALUE"""),186.24)</f>
        <v>186.24</v>
      </c>
      <c r="C8636" s="2">
        <f>IFERROR(__xludf.DUMMYFUNCTION("""COMPUTED_VALUE"""),186.86)</f>
        <v>186.86</v>
      </c>
      <c r="D8636" s="2">
        <f>IFERROR(__xludf.DUMMYFUNCTION("""COMPUTED_VALUE"""),183.35)</f>
        <v>183.35</v>
      </c>
      <c r="E8636" s="2">
        <f>IFERROR(__xludf.DUMMYFUNCTION("""COMPUTED_VALUE"""),183.98)</f>
        <v>183.98</v>
      </c>
      <c r="F8636" s="2">
        <f>IFERROR(__xludf.DUMMYFUNCTION("""COMPUTED_VALUE"""),6851772.0)</f>
        <v>6851772</v>
      </c>
    </row>
    <row r="8637">
      <c r="A8637" s="3">
        <f>IFERROR(__xludf.DUMMYFUNCTION("""COMPUTED_VALUE"""),41725.666666666664)</f>
        <v>41725.66667</v>
      </c>
      <c r="B8637" s="2">
        <f>IFERROR(__xludf.DUMMYFUNCTION("""COMPUTED_VALUE"""),183.31)</f>
        <v>183.31</v>
      </c>
      <c r="C8637" s="2">
        <f>IFERROR(__xludf.DUMMYFUNCTION("""COMPUTED_VALUE"""),184.03)</f>
        <v>184.03</v>
      </c>
      <c r="D8637" s="2">
        <f>IFERROR(__xludf.DUMMYFUNCTION("""COMPUTED_VALUE"""),180.83)</f>
        <v>180.83</v>
      </c>
      <c r="E8637" s="2">
        <f>IFERROR(__xludf.DUMMYFUNCTION("""COMPUTED_VALUE"""),181.32)</f>
        <v>181.32</v>
      </c>
      <c r="F8637" s="2">
        <f>IFERROR(__xludf.DUMMYFUNCTION("""COMPUTED_VALUE"""),6767653.0)</f>
        <v>6767653</v>
      </c>
    </row>
    <row r="8638">
      <c r="A8638" s="3">
        <f>IFERROR(__xludf.DUMMYFUNCTION("""COMPUTED_VALUE"""),41726.666666666664)</f>
        <v>41726.66667</v>
      </c>
      <c r="B8638" s="2">
        <f>IFERROR(__xludf.DUMMYFUNCTION("""COMPUTED_VALUE"""),181.42)</f>
        <v>181.42</v>
      </c>
      <c r="C8638" s="2">
        <f>IFERROR(__xludf.DUMMYFUNCTION("""COMPUTED_VALUE"""),183.98)</f>
        <v>183.98</v>
      </c>
      <c r="D8638" s="2">
        <f>IFERROR(__xludf.DUMMYFUNCTION("""COMPUTED_VALUE"""),180.63)</f>
        <v>180.63</v>
      </c>
      <c r="E8638" s="2">
        <f>IFERROR(__xludf.DUMMYFUNCTION("""COMPUTED_VALUE"""),181.91)</f>
        <v>181.91</v>
      </c>
      <c r="F8638" s="2">
        <f>IFERROR(__xludf.DUMMYFUNCTION("""COMPUTED_VALUE"""),5194443.0)</f>
        <v>5194443</v>
      </c>
    </row>
    <row r="8639">
      <c r="A8639" s="3">
        <f>IFERROR(__xludf.DUMMYFUNCTION("""COMPUTED_VALUE"""),41729.666666666664)</f>
        <v>41729.66667</v>
      </c>
      <c r="B8639" s="2">
        <f>IFERROR(__xludf.DUMMYFUNCTION("""COMPUTED_VALUE"""),183.05)</f>
        <v>183.05</v>
      </c>
      <c r="C8639" s="2">
        <f>IFERROR(__xludf.DUMMYFUNCTION("""COMPUTED_VALUE"""),185.08)</f>
        <v>185.08</v>
      </c>
      <c r="D8639" s="2">
        <f>IFERROR(__xludf.DUMMYFUNCTION("""COMPUTED_VALUE"""),182.82)</f>
        <v>182.82</v>
      </c>
      <c r="E8639" s="2">
        <f>IFERROR(__xludf.DUMMYFUNCTION("""COMPUTED_VALUE"""),183.86)</f>
        <v>183.86</v>
      </c>
      <c r="F8639" s="2">
        <f>IFERROR(__xludf.DUMMYFUNCTION("""COMPUTED_VALUE"""),8537746.0)</f>
        <v>8537746</v>
      </c>
    </row>
    <row r="8640">
      <c r="A8640" s="3">
        <f>IFERROR(__xludf.DUMMYFUNCTION("""COMPUTED_VALUE"""),41730.666666666664)</f>
        <v>41730.66667</v>
      </c>
      <c r="B8640" s="2">
        <f>IFERROR(__xludf.DUMMYFUNCTION("""COMPUTED_VALUE"""),184.46)</f>
        <v>184.46</v>
      </c>
      <c r="C8640" s="2">
        <f>IFERROR(__xludf.DUMMYFUNCTION("""COMPUTED_VALUE"""),186.38)</f>
        <v>186.38</v>
      </c>
      <c r="D8640" s="2">
        <f>IFERROR(__xludf.DUMMYFUNCTION("""COMPUTED_VALUE"""),184.14)</f>
        <v>184.14</v>
      </c>
      <c r="E8640" s="2">
        <f>IFERROR(__xludf.DUMMYFUNCTION("""COMPUTED_VALUE"""),185.78)</f>
        <v>185.78</v>
      </c>
      <c r="F8640" s="2">
        <f>IFERROR(__xludf.DUMMYFUNCTION("""COMPUTED_VALUE"""),5395346.0)</f>
        <v>5395346</v>
      </c>
    </row>
    <row r="8641">
      <c r="A8641" s="3">
        <f>IFERROR(__xludf.DUMMYFUNCTION("""COMPUTED_VALUE"""),41731.666666666664)</f>
        <v>41731.66667</v>
      </c>
      <c r="B8641" s="2">
        <f>IFERROR(__xludf.DUMMYFUNCTION("""COMPUTED_VALUE"""),185.53)</f>
        <v>185.53</v>
      </c>
      <c r="C8641" s="2">
        <f>IFERROR(__xludf.DUMMYFUNCTION("""COMPUTED_VALUE"""),185.78)</f>
        <v>185.78</v>
      </c>
      <c r="D8641" s="2">
        <f>IFERROR(__xludf.DUMMYFUNCTION("""COMPUTED_VALUE"""),183.86)</f>
        <v>183.86</v>
      </c>
      <c r="E8641" s="2">
        <f>IFERROR(__xludf.DUMMYFUNCTION("""COMPUTED_VALUE"""),184.87)</f>
        <v>184.87</v>
      </c>
      <c r="F8641" s="2">
        <f>IFERROR(__xludf.DUMMYFUNCTION("""COMPUTED_VALUE"""),4924133.0)</f>
        <v>4924133</v>
      </c>
    </row>
    <row r="8642">
      <c r="A8642" s="3">
        <f>IFERROR(__xludf.DUMMYFUNCTION("""COMPUTED_VALUE"""),41732.666666666664)</f>
        <v>41732.66667</v>
      </c>
      <c r="B8642" s="2">
        <f>IFERROR(__xludf.DUMMYFUNCTION("""COMPUTED_VALUE"""),184.54)</f>
        <v>184.54</v>
      </c>
      <c r="C8642" s="2">
        <f>IFERROR(__xludf.DUMMYFUNCTION("""COMPUTED_VALUE"""),184.71)</f>
        <v>184.71</v>
      </c>
      <c r="D8642" s="2">
        <f>IFERROR(__xludf.DUMMYFUNCTION("""COMPUTED_VALUE"""),183.73)</f>
        <v>183.73</v>
      </c>
      <c r="E8642" s="2">
        <f>IFERROR(__xludf.DUMMYFUNCTION("""COMPUTED_VALUE"""),184.05)</f>
        <v>184.05</v>
      </c>
      <c r="F8642" s="2">
        <f>IFERROR(__xludf.DUMMYFUNCTION("""COMPUTED_VALUE"""),4091060.0)</f>
        <v>4091060</v>
      </c>
    </row>
    <row r="8643">
      <c r="A8643" s="3">
        <f>IFERROR(__xludf.DUMMYFUNCTION("""COMPUTED_VALUE"""),41733.666666666664)</f>
        <v>41733.66667</v>
      </c>
      <c r="B8643" s="2">
        <f>IFERROR(__xludf.DUMMYFUNCTION("""COMPUTED_VALUE"""),184.46)</f>
        <v>184.46</v>
      </c>
      <c r="C8643" s="2">
        <f>IFERROR(__xludf.DUMMYFUNCTION("""COMPUTED_VALUE"""),185.27)</f>
        <v>185.27</v>
      </c>
      <c r="D8643" s="2">
        <f>IFERROR(__xludf.DUMMYFUNCTION("""COMPUTED_VALUE"""),182.7)</f>
        <v>182.7</v>
      </c>
      <c r="E8643" s="2">
        <f>IFERROR(__xludf.DUMMYFUNCTION("""COMPUTED_VALUE"""),183.17)</f>
        <v>183.17</v>
      </c>
      <c r="F8643" s="2">
        <f>IFERROR(__xludf.DUMMYFUNCTION("""COMPUTED_VALUE"""),6090863.0)</f>
        <v>6090863</v>
      </c>
    </row>
    <row r="8644">
      <c r="A8644" s="3">
        <f>IFERROR(__xludf.DUMMYFUNCTION("""COMPUTED_VALUE"""),41736.666666666664)</f>
        <v>41736.66667</v>
      </c>
      <c r="B8644" s="2">
        <f>IFERROR(__xludf.DUMMYFUNCTION("""COMPUTED_VALUE"""),183.12)</f>
        <v>183.12</v>
      </c>
      <c r="C8644" s="2">
        <f>IFERROR(__xludf.DUMMYFUNCTION("""COMPUTED_VALUE"""),186.55)</f>
        <v>186.55</v>
      </c>
      <c r="D8644" s="2">
        <f>IFERROR(__xludf.DUMMYFUNCTION("""COMPUTED_VALUE"""),182.98)</f>
        <v>182.98</v>
      </c>
      <c r="E8644" s="2">
        <f>IFERROR(__xludf.DUMMYFUNCTION("""COMPUTED_VALUE"""),185.8)</f>
        <v>185.8</v>
      </c>
      <c r="F8644" s="2">
        <f>IFERROR(__xludf.DUMMYFUNCTION("""COMPUTED_VALUE"""),6747080.0)</f>
        <v>6747080</v>
      </c>
    </row>
    <row r="8645">
      <c r="A8645" s="3">
        <f>IFERROR(__xludf.DUMMYFUNCTION("""COMPUTED_VALUE"""),41737.666666666664)</f>
        <v>41737.66667</v>
      </c>
      <c r="B8645" s="2">
        <f>IFERROR(__xludf.DUMMYFUNCTION("""COMPUTED_VALUE"""),185.2)</f>
        <v>185.2</v>
      </c>
      <c r="C8645" s="2">
        <f>IFERROR(__xludf.DUMMYFUNCTION("""COMPUTED_VALUE"""),185.46)</f>
        <v>185.46</v>
      </c>
      <c r="D8645" s="2">
        <f>IFERROR(__xludf.DUMMYFUNCTION("""COMPUTED_VALUE"""),184.05)</f>
        <v>184.05</v>
      </c>
      <c r="E8645" s="2">
        <f>IFERROR(__xludf.DUMMYFUNCTION("""COMPUTED_VALUE"""),184.62)</f>
        <v>184.62</v>
      </c>
      <c r="F8645" s="2">
        <f>IFERROR(__xludf.DUMMYFUNCTION("""COMPUTED_VALUE"""),5125001.0)</f>
        <v>5125001</v>
      </c>
    </row>
    <row r="8646">
      <c r="A8646" s="3">
        <f>IFERROR(__xludf.DUMMYFUNCTION("""COMPUTED_VALUE"""),41738.666666666664)</f>
        <v>41738.66667</v>
      </c>
      <c r="B8646" s="2">
        <f>IFERROR(__xludf.DUMMYFUNCTION("""COMPUTED_VALUE"""),185.19)</f>
        <v>185.19</v>
      </c>
      <c r="C8646" s="2">
        <f>IFERROR(__xludf.DUMMYFUNCTION("""COMPUTED_VALUE"""),188.17)</f>
        <v>188.17</v>
      </c>
      <c r="D8646" s="2">
        <f>IFERROR(__xludf.DUMMYFUNCTION("""COMPUTED_VALUE"""),184.92)</f>
        <v>184.92</v>
      </c>
      <c r="E8646" s="2">
        <f>IFERROR(__xludf.DUMMYFUNCTION("""COMPUTED_VALUE"""),187.82)</f>
        <v>187.82</v>
      </c>
      <c r="F8646" s="2">
        <f>IFERROR(__xludf.DUMMYFUNCTION("""COMPUTED_VALUE"""),5485124.0)</f>
        <v>5485124</v>
      </c>
    </row>
    <row r="8647">
      <c r="A8647" s="3">
        <f>IFERROR(__xludf.DUMMYFUNCTION("""COMPUTED_VALUE"""),41739.666666666664)</f>
        <v>41739.66667</v>
      </c>
      <c r="B8647" s="2">
        <f>IFERROR(__xludf.DUMMYFUNCTION("""COMPUTED_VALUE"""),187.27)</f>
        <v>187.27</v>
      </c>
      <c r="C8647" s="2">
        <f>IFERROR(__xludf.DUMMYFUNCTION("""COMPUTED_VALUE"""),190.28)</f>
        <v>190.28</v>
      </c>
      <c r="D8647" s="2">
        <f>IFERROR(__xludf.DUMMYFUNCTION("""COMPUTED_VALUE"""),186.89)</f>
        <v>186.89</v>
      </c>
      <c r="E8647" s="2">
        <f>IFERROR(__xludf.DUMMYFUNCTION("""COMPUTED_VALUE"""),186.91)</f>
        <v>186.91</v>
      </c>
      <c r="F8647" s="2">
        <f>IFERROR(__xludf.DUMMYFUNCTION("""COMPUTED_VALUE"""),8425601.0)</f>
        <v>8425601</v>
      </c>
    </row>
    <row r="8648">
      <c r="A8648" s="3">
        <f>IFERROR(__xludf.DUMMYFUNCTION("""COMPUTED_VALUE"""),41740.666666666664)</f>
        <v>41740.66667</v>
      </c>
      <c r="B8648" s="2">
        <f>IFERROR(__xludf.DUMMYFUNCTION("""COMPUTED_VALUE"""),186.3)</f>
        <v>186.3</v>
      </c>
      <c r="C8648" s="2">
        <f>IFERROR(__xludf.DUMMYFUNCTION("""COMPUTED_VALUE"""),188.17)</f>
        <v>188.17</v>
      </c>
      <c r="D8648" s="2">
        <f>IFERROR(__xludf.DUMMYFUNCTION("""COMPUTED_VALUE"""),185.56)</f>
        <v>185.56</v>
      </c>
      <c r="E8648" s="2">
        <f>IFERROR(__xludf.DUMMYFUNCTION("""COMPUTED_VALUE"""),186.44)</f>
        <v>186.44</v>
      </c>
      <c r="F8648" s="2">
        <f>IFERROR(__xludf.DUMMYFUNCTION("""COMPUTED_VALUE"""),4835214.0)</f>
        <v>4835214</v>
      </c>
    </row>
    <row r="8649">
      <c r="A8649" s="3">
        <f>IFERROR(__xludf.DUMMYFUNCTION("""COMPUTED_VALUE"""),41743.666666666664)</f>
        <v>41743.66667</v>
      </c>
      <c r="B8649" s="2">
        <f>IFERROR(__xludf.DUMMYFUNCTION("""COMPUTED_VALUE"""),187.44)</f>
        <v>187.44</v>
      </c>
      <c r="C8649" s="2">
        <f>IFERROR(__xludf.DUMMYFUNCTION("""COMPUTED_VALUE"""),189.35)</f>
        <v>189.35</v>
      </c>
      <c r="D8649" s="2">
        <f>IFERROR(__xludf.DUMMYFUNCTION("""COMPUTED_VALUE"""),187.1)</f>
        <v>187.1</v>
      </c>
      <c r="E8649" s="2">
        <f>IFERROR(__xludf.DUMMYFUNCTION("""COMPUTED_VALUE"""),188.9)</f>
        <v>188.9</v>
      </c>
      <c r="F8649" s="2">
        <f>IFERROR(__xludf.DUMMYFUNCTION("""COMPUTED_VALUE"""),5433621.0)</f>
        <v>5433621</v>
      </c>
    </row>
    <row r="8650">
      <c r="A8650" s="3">
        <f>IFERROR(__xludf.DUMMYFUNCTION("""COMPUTED_VALUE"""),41744.666666666664)</f>
        <v>41744.66667</v>
      </c>
      <c r="B8650" s="2">
        <f>IFERROR(__xludf.DUMMYFUNCTION("""COMPUTED_VALUE"""),187.19)</f>
        <v>187.19</v>
      </c>
      <c r="C8650" s="2">
        <f>IFERROR(__xludf.DUMMYFUNCTION("""COMPUTED_VALUE"""),188.56)</f>
        <v>188.56</v>
      </c>
      <c r="D8650" s="2">
        <f>IFERROR(__xludf.DUMMYFUNCTION("""COMPUTED_VALUE"""),186.66)</f>
        <v>186.66</v>
      </c>
      <c r="E8650" s="2">
        <f>IFERROR(__xludf.DUMMYFUNCTION("""COMPUTED_VALUE"""),188.19)</f>
        <v>188.19</v>
      </c>
      <c r="F8650" s="2">
        <f>IFERROR(__xludf.DUMMYFUNCTION("""COMPUTED_VALUE"""),5353177.0)</f>
        <v>5353177</v>
      </c>
    </row>
    <row r="8651">
      <c r="A8651" s="3">
        <f>IFERROR(__xludf.DUMMYFUNCTION("""COMPUTED_VALUE"""),41745.666666666664)</f>
        <v>41745.66667</v>
      </c>
      <c r="B8651" s="2">
        <f>IFERROR(__xludf.DUMMYFUNCTION("""COMPUTED_VALUE"""),189.17)</f>
        <v>189.17</v>
      </c>
      <c r="C8651" s="2">
        <f>IFERROR(__xludf.DUMMYFUNCTION("""COMPUTED_VALUE"""),189.8)</f>
        <v>189.8</v>
      </c>
      <c r="D8651" s="2">
        <f>IFERROR(__xludf.DUMMYFUNCTION("""COMPUTED_VALUE"""),186.26)</f>
        <v>186.26</v>
      </c>
      <c r="E8651" s="2">
        <f>IFERROR(__xludf.DUMMYFUNCTION("""COMPUTED_VALUE"""),187.59)</f>
        <v>187.59</v>
      </c>
      <c r="F8651" s="2">
        <f>IFERROR(__xludf.DUMMYFUNCTION("""COMPUTED_VALUE"""),8527295.0)</f>
        <v>8527295</v>
      </c>
    </row>
    <row r="8652">
      <c r="A8652" s="3">
        <f>IFERROR(__xludf.DUMMYFUNCTION("""COMPUTED_VALUE"""),41746.666666666664)</f>
        <v>41746.66667</v>
      </c>
      <c r="B8652" s="2">
        <f>IFERROR(__xludf.DUMMYFUNCTION("""COMPUTED_VALUE"""),178.85)</f>
        <v>178.85</v>
      </c>
      <c r="C8652" s="2">
        <f>IFERROR(__xludf.DUMMYFUNCTION("""COMPUTED_VALUE"""),182.15)</f>
        <v>182.15</v>
      </c>
      <c r="D8652" s="2">
        <f>IFERROR(__xludf.DUMMYFUNCTION("""COMPUTED_VALUE"""),178.63)</f>
        <v>178.63</v>
      </c>
      <c r="E8652" s="2">
        <f>IFERROR(__xludf.DUMMYFUNCTION("""COMPUTED_VALUE"""),181.49)</f>
        <v>181.49</v>
      </c>
      <c r="F8652" s="2">
        <f>IFERROR(__xludf.DUMMYFUNCTION("""COMPUTED_VALUE"""),1.1255493E7)</f>
        <v>11255493</v>
      </c>
    </row>
    <row r="8653">
      <c r="A8653" s="3">
        <f>IFERROR(__xludf.DUMMYFUNCTION("""COMPUTED_VALUE"""),41750.666666666664)</f>
        <v>41750.66667</v>
      </c>
      <c r="B8653" s="2">
        <f>IFERROR(__xludf.DUMMYFUNCTION("""COMPUTED_VALUE"""),181.29)</f>
        <v>181.29</v>
      </c>
      <c r="C8653" s="2">
        <f>IFERROR(__xludf.DUMMYFUNCTION("""COMPUTED_VALUE"""),184.16)</f>
        <v>184.16</v>
      </c>
      <c r="D8653" s="2">
        <f>IFERROR(__xludf.DUMMYFUNCTION("""COMPUTED_VALUE"""),181.23)</f>
        <v>181.23</v>
      </c>
      <c r="E8653" s="2">
        <f>IFERROR(__xludf.DUMMYFUNCTION("""COMPUTED_VALUE"""),183.65)</f>
        <v>183.65</v>
      </c>
      <c r="F8653" s="2">
        <f>IFERROR(__xludf.DUMMYFUNCTION("""COMPUTED_VALUE"""),5425283.0)</f>
        <v>5425283</v>
      </c>
    </row>
    <row r="8654">
      <c r="A8654" s="3">
        <f>IFERROR(__xludf.DUMMYFUNCTION("""COMPUTED_VALUE"""),41751.666666666664)</f>
        <v>41751.66667</v>
      </c>
      <c r="B8654" s="2">
        <f>IFERROR(__xludf.DUMMYFUNCTION("""COMPUTED_VALUE"""),183.4)</f>
        <v>183.4</v>
      </c>
      <c r="C8654" s="2">
        <f>IFERROR(__xludf.DUMMYFUNCTION("""COMPUTED_VALUE"""),184.35)</f>
        <v>184.35</v>
      </c>
      <c r="D8654" s="2">
        <f>IFERROR(__xludf.DUMMYFUNCTION("""COMPUTED_VALUE"""),182.63)</f>
        <v>182.63</v>
      </c>
      <c r="E8654" s="2">
        <f>IFERROR(__xludf.DUMMYFUNCTION("""COMPUTED_VALUE"""),183.53)</f>
        <v>183.53</v>
      </c>
      <c r="F8654" s="2">
        <f>IFERROR(__xludf.DUMMYFUNCTION("""COMPUTED_VALUE"""),3878619.0)</f>
        <v>3878619</v>
      </c>
    </row>
    <row r="8655">
      <c r="A8655" s="3">
        <f>IFERROR(__xludf.DUMMYFUNCTION("""COMPUTED_VALUE"""),41752.666666666664)</f>
        <v>41752.66667</v>
      </c>
      <c r="B8655" s="2">
        <f>IFERROR(__xludf.DUMMYFUNCTION("""COMPUTED_VALUE"""),183.19)</f>
        <v>183.19</v>
      </c>
      <c r="C8655" s="2">
        <f>IFERROR(__xludf.DUMMYFUNCTION("""COMPUTED_VALUE"""),183.78)</f>
        <v>183.78</v>
      </c>
      <c r="D8655" s="2">
        <f>IFERROR(__xludf.DUMMYFUNCTION("""COMPUTED_VALUE"""),181.59)</f>
        <v>181.59</v>
      </c>
      <c r="E8655" s="2">
        <f>IFERROR(__xludf.DUMMYFUNCTION("""COMPUTED_VALUE"""),183.13)</f>
        <v>183.13</v>
      </c>
      <c r="F8655" s="2">
        <f>IFERROR(__xludf.DUMMYFUNCTION("""COMPUTED_VALUE"""),4736919.0)</f>
        <v>4736919</v>
      </c>
    </row>
    <row r="8656">
      <c r="A8656" s="3">
        <f>IFERROR(__xludf.DUMMYFUNCTION("""COMPUTED_VALUE"""),41753.666666666664)</f>
        <v>41753.66667</v>
      </c>
      <c r="B8656" s="2">
        <f>IFERROR(__xludf.DUMMYFUNCTION("""COMPUTED_VALUE"""),183.6)</f>
        <v>183.6</v>
      </c>
      <c r="C8656" s="2">
        <f>IFERROR(__xludf.DUMMYFUNCTION("""COMPUTED_VALUE"""),183.6)</f>
        <v>183.6</v>
      </c>
      <c r="D8656" s="2">
        <f>IFERROR(__xludf.DUMMYFUNCTION("""COMPUTED_VALUE"""),181.51)</f>
        <v>181.51</v>
      </c>
      <c r="E8656" s="2">
        <f>IFERROR(__xludf.DUMMYFUNCTION("""COMPUTED_VALUE"""),181.69)</f>
        <v>181.69</v>
      </c>
      <c r="F8656" s="2">
        <f>IFERROR(__xludf.DUMMYFUNCTION("""COMPUTED_VALUE"""),4407352.0)</f>
        <v>4407352</v>
      </c>
    </row>
    <row r="8657">
      <c r="A8657" s="3">
        <f>IFERROR(__xludf.DUMMYFUNCTION("""COMPUTED_VALUE"""),41754.666666666664)</f>
        <v>41754.66667</v>
      </c>
      <c r="B8657" s="2">
        <f>IFERROR(__xludf.DUMMYFUNCTION("""COMPUTED_VALUE"""),182.0)</f>
        <v>182</v>
      </c>
      <c r="C8657" s="2">
        <f>IFERROR(__xludf.DUMMYFUNCTION("""COMPUTED_VALUE"""),182.12)</f>
        <v>182.12</v>
      </c>
      <c r="D8657" s="2">
        <f>IFERROR(__xludf.DUMMYFUNCTION("""COMPUTED_VALUE"""),180.63)</f>
        <v>180.63</v>
      </c>
      <c r="E8657" s="2">
        <f>IFERROR(__xludf.DUMMYFUNCTION("""COMPUTED_VALUE"""),181.13)</f>
        <v>181.13</v>
      </c>
      <c r="F8657" s="2">
        <f>IFERROR(__xludf.DUMMYFUNCTION("""COMPUTED_VALUE"""),3871407.0)</f>
        <v>3871407</v>
      </c>
    </row>
    <row r="8658">
      <c r="A8658" s="3">
        <f>IFERROR(__xludf.DUMMYFUNCTION("""COMPUTED_VALUE"""),41757.666666666664)</f>
        <v>41757.66667</v>
      </c>
      <c r="B8658" s="2">
        <f>IFERROR(__xludf.DUMMYFUNCTION("""COMPUTED_VALUE"""),182.57)</f>
        <v>182.57</v>
      </c>
      <c r="C8658" s="2">
        <f>IFERROR(__xludf.DUMMYFUNCTION("""COMPUTED_VALUE"""),185.29)</f>
        <v>185.29</v>
      </c>
      <c r="D8658" s="2">
        <f>IFERROR(__xludf.DUMMYFUNCTION("""COMPUTED_VALUE"""),182.04)</f>
        <v>182.04</v>
      </c>
      <c r="E8658" s="2">
        <f>IFERROR(__xludf.DUMMYFUNCTION("""COMPUTED_VALUE"""),184.48)</f>
        <v>184.48</v>
      </c>
      <c r="F8658" s="2">
        <f>IFERROR(__xludf.DUMMYFUNCTION("""COMPUTED_VALUE"""),5638334.0)</f>
        <v>5638334</v>
      </c>
    </row>
    <row r="8659">
      <c r="A8659" s="3">
        <f>IFERROR(__xludf.DUMMYFUNCTION("""COMPUTED_VALUE"""),41758.666666666664)</f>
        <v>41758.66667</v>
      </c>
      <c r="B8659" s="2">
        <f>IFERROR(__xludf.DUMMYFUNCTION("""COMPUTED_VALUE"""),184.91)</f>
        <v>184.91</v>
      </c>
      <c r="C8659" s="2">
        <f>IFERROR(__xludf.DUMMYFUNCTION("""COMPUTED_VALUE"""),187.15)</f>
        <v>187.15</v>
      </c>
      <c r="D8659" s="2">
        <f>IFERROR(__xludf.DUMMYFUNCTION("""COMPUTED_VALUE"""),184.74)</f>
        <v>184.74</v>
      </c>
      <c r="E8659" s="2">
        <f>IFERROR(__xludf.DUMMYFUNCTION("""COMPUTED_VALUE"""),186.36)</f>
        <v>186.36</v>
      </c>
      <c r="F8659" s="2">
        <f>IFERROR(__xludf.DUMMYFUNCTION("""COMPUTED_VALUE"""),4626352.0)</f>
        <v>4626352</v>
      </c>
    </row>
    <row r="8660">
      <c r="A8660" s="3">
        <f>IFERROR(__xludf.DUMMYFUNCTION("""COMPUTED_VALUE"""),41759.666666666664)</f>
        <v>41759.66667</v>
      </c>
      <c r="B8660" s="2">
        <f>IFERROR(__xludf.DUMMYFUNCTION("""COMPUTED_VALUE"""),185.66)</f>
        <v>185.66</v>
      </c>
      <c r="C8660" s="2">
        <f>IFERROR(__xludf.DUMMYFUNCTION("""COMPUTED_VALUE"""),188.03)</f>
        <v>188.03</v>
      </c>
      <c r="D8660" s="2">
        <f>IFERROR(__xludf.DUMMYFUNCTION("""COMPUTED_VALUE"""),185.64)</f>
        <v>185.64</v>
      </c>
      <c r="E8660" s="2">
        <f>IFERROR(__xludf.DUMMYFUNCTION("""COMPUTED_VALUE"""),187.66)</f>
        <v>187.66</v>
      </c>
      <c r="F8660" s="2">
        <f>IFERROR(__xludf.DUMMYFUNCTION("""COMPUTED_VALUE"""),4211284.0)</f>
        <v>4211284</v>
      </c>
    </row>
    <row r="8661">
      <c r="A8661" s="3">
        <f>IFERROR(__xludf.DUMMYFUNCTION("""COMPUTED_VALUE"""),41760.666666666664)</f>
        <v>41760.66667</v>
      </c>
      <c r="B8661" s="2">
        <f>IFERROR(__xludf.DUMMYFUNCTION("""COMPUTED_VALUE"""),187.51)</f>
        <v>187.51</v>
      </c>
      <c r="C8661" s="2">
        <f>IFERROR(__xludf.DUMMYFUNCTION("""COMPUTED_VALUE"""),187.92)</f>
        <v>187.92</v>
      </c>
      <c r="D8661" s="2">
        <f>IFERROR(__xludf.DUMMYFUNCTION("""COMPUTED_VALUE"""),184.49)</f>
        <v>184.49</v>
      </c>
      <c r="E8661" s="2">
        <f>IFERROR(__xludf.DUMMYFUNCTION("""COMPUTED_VALUE"""),184.85)</f>
        <v>184.85</v>
      </c>
      <c r="F8661" s="2">
        <f>IFERROR(__xludf.DUMMYFUNCTION("""COMPUTED_VALUE"""),3675823.0)</f>
        <v>3675823</v>
      </c>
    </row>
    <row r="8662">
      <c r="A8662" s="3">
        <f>IFERROR(__xludf.DUMMYFUNCTION("""COMPUTED_VALUE"""),41761.666666666664)</f>
        <v>41761.66667</v>
      </c>
      <c r="B8662" s="2">
        <f>IFERROR(__xludf.DUMMYFUNCTION("""COMPUTED_VALUE"""),185.06)</f>
        <v>185.06</v>
      </c>
      <c r="C8662" s="2">
        <f>IFERROR(__xludf.DUMMYFUNCTION("""COMPUTED_VALUE"""),185.15)</f>
        <v>185.15</v>
      </c>
      <c r="D8662" s="2">
        <f>IFERROR(__xludf.DUMMYFUNCTION("""COMPUTED_VALUE"""),182.68)</f>
        <v>182.68</v>
      </c>
      <c r="E8662" s="2">
        <f>IFERROR(__xludf.DUMMYFUNCTION("""COMPUTED_VALUE"""),182.86)</f>
        <v>182.86</v>
      </c>
      <c r="F8662" s="2">
        <f>IFERROR(__xludf.DUMMYFUNCTION("""COMPUTED_VALUE"""),3052953.0)</f>
        <v>3052953</v>
      </c>
    </row>
    <row r="8663">
      <c r="A8663" s="3">
        <f>IFERROR(__xludf.DUMMYFUNCTION("""COMPUTED_VALUE"""),41764.666666666664)</f>
        <v>41764.66667</v>
      </c>
      <c r="B8663" s="2">
        <f>IFERROR(__xludf.DUMMYFUNCTION("""COMPUTED_VALUE"""),182.48)</f>
        <v>182.48</v>
      </c>
      <c r="C8663" s="2">
        <f>IFERROR(__xludf.DUMMYFUNCTION("""COMPUTED_VALUE"""),182.9)</f>
        <v>182.9</v>
      </c>
      <c r="D8663" s="2">
        <f>IFERROR(__xludf.DUMMYFUNCTION("""COMPUTED_VALUE"""),181.29)</f>
        <v>181.29</v>
      </c>
      <c r="E8663" s="2">
        <f>IFERROR(__xludf.DUMMYFUNCTION("""COMPUTED_VALUE"""),182.68)</f>
        <v>182.68</v>
      </c>
      <c r="F8663" s="2">
        <f>IFERROR(__xludf.DUMMYFUNCTION("""COMPUTED_VALUE"""),2222168.0)</f>
        <v>2222168</v>
      </c>
    </row>
    <row r="8664">
      <c r="A8664" s="3">
        <f>IFERROR(__xludf.DUMMYFUNCTION("""COMPUTED_VALUE"""),41765.666666666664)</f>
        <v>41765.66667</v>
      </c>
      <c r="B8664" s="2">
        <f>IFERROR(__xludf.DUMMYFUNCTION("""COMPUTED_VALUE"""),182.37)</f>
        <v>182.37</v>
      </c>
      <c r="C8664" s="2">
        <f>IFERROR(__xludf.DUMMYFUNCTION("""COMPUTED_VALUE"""),182.39)</f>
        <v>182.39</v>
      </c>
      <c r="D8664" s="2">
        <f>IFERROR(__xludf.DUMMYFUNCTION("""COMPUTED_VALUE"""),180.76)</f>
        <v>180.76</v>
      </c>
      <c r="E8664" s="2">
        <f>IFERROR(__xludf.DUMMYFUNCTION("""COMPUTED_VALUE"""),181.51)</f>
        <v>181.51</v>
      </c>
      <c r="F8664" s="2">
        <f>IFERROR(__xludf.DUMMYFUNCTION("""COMPUTED_VALUE"""),3188706.0)</f>
        <v>3188706</v>
      </c>
    </row>
    <row r="8665">
      <c r="A8665" s="3">
        <f>IFERROR(__xludf.DUMMYFUNCTION("""COMPUTED_VALUE"""),41766.666666666664)</f>
        <v>41766.66667</v>
      </c>
      <c r="B8665" s="2">
        <f>IFERROR(__xludf.DUMMYFUNCTION("""COMPUTED_VALUE"""),180.85)</f>
        <v>180.85</v>
      </c>
      <c r="C8665" s="2">
        <f>IFERROR(__xludf.DUMMYFUNCTION("""COMPUTED_VALUE"""),181.77)</f>
        <v>181.77</v>
      </c>
      <c r="D8665" s="2">
        <f>IFERROR(__xludf.DUMMYFUNCTION("""COMPUTED_VALUE"""),178.55)</f>
        <v>178.55</v>
      </c>
      <c r="E8665" s="2">
        <f>IFERROR(__xludf.DUMMYFUNCTION("""COMPUTED_VALUE"""),180.81)</f>
        <v>180.81</v>
      </c>
      <c r="F8665" s="2">
        <f>IFERROR(__xludf.DUMMYFUNCTION("""COMPUTED_VALUE"""),3821023.0)</f>
        <v>3821023</v>
      </c>
    </row>
    <row r="8666">
      <c r="A8666" s="3">
        <f>IFERROR(__xludf.DUMMYFUNCTION("""COMPUTED_VALUE"""),41767.666666666664)</f>
        <v>41767.66667</v>
      </c>
      <c r="B8666" s="2">
        <f>IFERROR(__xludf.DUMMYFUNCTION("""COMPUTED_VALUE"""),180.68)</f>
        <v>180.68</v>
      </c>
      <c r="C8666" s="2">
        <f>IFERROR(__xludf.DUMMYFUNCTION("""COMPUTED_VALUE"""),182.03)</f>
        <v>182.03</v>
      </c>
      <c r="D8666" s="2">
        <f>IFERROR(__xludf.DUMMYFUNCTION("""COMPUTED_VALUE"""),179.79)</f>
        <v>179.79</v>
      </c>
      <c r="E8666" s="2">
        <f>IFERROR(__xludf.DUMMYFUNCTION("""COMPUTED_VALUE"""),180.44)</f>
        <v>180.44</v>
      </c>
      <c r="F8666" s="2">
        <f>IFERROR(__xludf.DUMMYFUNCTION("""COMPUTED_VALUE"""),2431945.0)</f>
        <v>2431945</v>
      </c>
    </row>
    <row r="8667">
      <c r="A8667" s="3">
        <f>IFERROR(__xludf.DUMMYFUNCTION("""COMPUTED_VALUE"""),41768.666666666664)</f>
        <v>41768.66667</v>
      </c>
      <c r="B8667" s="2">
        <f>IFERROR(__xludf.DUMMYFUNCTION("""COMPUTED_VALUE"""),180.51)</f>
        <v>180.51</v>
      </c>
      <c r="C8667" s="2">
        <f>IFERROR(__xludf.DUMMYFUNCTION("""COMPUTED_VALUE"""),182.04)</f>
        <v>182.04</v>
      </c>
      <c r="D8667" s="2">
        <f>IFERROR(__xludf.DUMMYFUNCTION("""COMPUTED_VALUE"""),179.92)</f>
        <v>179.92</v>
      </c>
      <c r="E8667" s="2">
        <f>IFERROR(__xludf.DUMMYFUNCTION("""COMPUTED_VALUE"""),181.56)</f>
        <v>181.56</v>
      </c>
      <c r="F8667" s="2">
        <f>IFERROR(__xludf.DUMMYFUNCTION("""COMPUTED_VALUE"""),2261739.0)</f>
        <v>2261739</v>
      </c>
    </row>
    <row r="8668">
      <c r="A8668" s="3">
        <f>IFERROR(__xludf.DUMMYFUNCTION("""COMPUTED_VALUE"""),41771.666666666664)</f>
        <v>41771.66667</v>
      </c>
      <c r="B8668" s="2">
        <f>IFERROR(__xludf.DUMMYFUNCTION("""COMPUTED_VALUE"""),182.55)</f>
        <v>182.55</v>
      </c>
      <c r="C8668" s="2">
        <f>IFERROR(__xludf.DUMMYFUNCTION("""COMPUTED_VALUE"""),184.37)</f>
        <v>184.37</v>
      </c>
      <c r="D8668" s="2">
        <f>IFERROR(__xludf.DUMMYFUNCTION("""COMPUTED_VALUE"""),182.38)</f>
        <v>182.38</v>
      </c>
      <c r="E8668" s="2">
        <f>IFERROR(__xludf.DUMMYFUNCTION("""COMPUTED_VALUE"""),183.94)</f>
        <v>183.94</v>
      </c>
      <c r="F8668" s="2">
        <f>IFERROR(__xludf.DUMMYFUNCTION("""COMPUTED_VALUE"""),3778611.0)</f>
        <v>3778611</v>
      </c>
    </row>
    <row r="8669">
      <c r="A8669" s="3">
        <f>IFERROR(__xludf.DUMMYFUNCTION("""COMPUTED_VALUE"""),41772.666666666664)</f>
        <v>41772.66667</v>
      </c>
      <c r="B8669" s="2">
        <f>IFERROR(__xludf.DUMMYFUNCTION("""COMPUTED_VALUE"""),184.15)</f>
        <v>184.15</v>
      </c>
      <c r="C8669" s="2">
        <f>IFERROR(__xludf.DUMMYFUNCTION("""COMPUTED_VALUE"""),184.38)</f>
        <v>184.38</v>
      </c>
      <c r="D8669" s="2">
        <f>IFERROR(__xludf.DUMMYFUNCTION("""COMPUTED_VALUE"""),183.16)</f>
        <v>183.16</v>
      </c>
      <c r="E8669" s="2">
        <f>IFERROR(__xludf.DUMMYFUNCTION("""COMPUTED_VALUE"""),183.57)</f>
        <v>183.57</v>
      </c>
      <c r="F8669" s="2">
        <f>IFERROR(__xludf.DUMMYFUNCTION("""COMPUTED_VALUE"""),2226997.0)</f>
        <v>2226997</v>
      </c>
    </row>
    <row r="8670">
      <c r="A8670" s="3">
        <f>IFERROR(__xludf.DUMMYFUNCTION("""COMPUTED_VALUE"""),41773.666666666664)</f>
        <v>41773.66667</v>
      </c>
      <c r="B8670" s="2">
        <f>IFERROR(__xludf.DUMMYFUNCTION("""COMPUTED_VALUE"""),183.31)</f>
        <v>183.31</v>
      </c>
      <c r="C8670" s="2">
        <f>IFERROR(__xludf.DUMMYFUNCTION("""COMPUTED_VALUE"""),183.38)</f>
        <v>183.38</v>
      </c>
      <c r="D8670" s="2">
        <f>IFERROR(__xludf.DUMMYFUNCTION("""COMPUTED_VALUE"""),179.73)</f>
        <v>179.73</v>
      </c>
      <c r="E8670" s="2">
        <f>IFERROR(__xludf.DUMMYFUNCTION("""COMPUTED_VALUE"""),180.26)</f>
        <v>180.26</v>
      </c>
      <c r="F8670" s="2">
        <f>IFERROR(__xludf.DUMMYFUNCTION("""COMPUTED_VALUE"""),5255970.0)</f>
        <v>5255970</v>
      </c>
    </row>
    <row r="8671">
      <c r="A8671" s="3">
        <f>IFERROR(__xludf.DUMMYFUNCTION("""COMPUTED_VALUE"""),41774.666666666664)</f>
        <v>41774.66667</v>
      </c>
      <c r="B8671" s="2">
        <f>IFERROR(__xludf.DUMMYFUNCTION("""COMPUTED_VALUE"""),180.59)</f>
        <v>180.59</v>
      </c>
      <c r="C8671" s="2">
        <f>IFERROR(__xludf.DUMMYFUNCTION("""COMPUTED_VALUE"""),180.6)</f>
        <v>180.6</v>
      </c>
      <c r="D8671" s="2">
        <f>IFERROR(__xludf.DUMMYFUNCTION("""COMPUTED_VALUE"""),177.83)</f>
        <v>177.83</v>
      </c>
      <c r="E8671" s="2">
        <f>IFERROR(__xludf.DUMMYFUNCTION("""COMPUTED_VALUE"""),178.1)</f>
        <v>178.1</v>
      </c>
      <c r="F8671" s="2">
        <f>IFERROR(__xludf.DUMMYFUNCTION("""COMPUTED_VALUE"""),4202556.0)</f>
        <v>4202556</v>
      </c>
    </row>
    <row r="8672">
      <c r="A8672" s="3">
        <f>IFERROR(__xludf.DUMMYFUNCTION("""COMPUTED_VALUE"""),41775.666666666664)</f>
        <v>41775.66667</v>
      </c>
      <c r="B8672" s="2">
        <f>IFERROR(__xludf.DUMMYFUNCTION("""COMPUTED_VALUE"""),177.92)</f>
        <v>177.92</v>
      </c>
      <c r="C8672" s="2">
        <f>IFERROR(__xludf.DUMMYFUNCTION("""COMPUTED_VALUE"""),179.01)</f>
        <v>179.01</v>
      </c>
      <c r="D8672" s="2">
        <f>IFERROR(__xludf.DUMMYFUNCTION("""COMPUTED_VALUE"""),177.59)</f>
        <v>177.59</v>
      </c>
      <c r="E8672" s="2">
        <f>IFERROR(__xludf.DUMMYFUNCTION("""COMPUTED_VALUE"""),178.67)</f>
        <v>178.67</v>
      </c>
      <c r="F8672" s="2">
        <f>IFERROR(__xludf.DUMMYFUNCTION("""COMPUTED_VALUE"""),3949644.0)</f>
        <v>3949644</v>
      </c>
    </row>
    <row r="8673">
      <c r="A8673" s="3">
        <f>IFERROR(__xludf.DUMMYFUNCTION("""COMPUTED_VALUE"""),41778.666666666664)</f>
        <v>41778.66667</v>
      </c>
      <c r="B8673" s="2">
        <f>IFERROR(__xludf.DUMMYFUNCTION("""COMPUTED_VALUE"""),178.24)</f>
        <v>178.24</v>
      </c>
      <c r="C8673" s="2">
        <f>IFERROR(__xludf.DUMMYFUNCTION("""COMPUTED_VALUE"""),178.74)</f>
        <v>178.74</v>
      </c>
      <c r="D8673" s="2">
        <f>IFERROR(__xludf.DUMMYFUNCTION("""COMPUTED_VALUE"""),177.7)</f>
        <v>177.7</v>
      </c>
      <c r="E8673" s="2">
        <f>IFERROR(__xludf.DUMMYFUNCTION("""COMPUTED_VALUE"""),178.62)</f>
        <v>178.62</v>
      </c>
      <c r="F8673" s="2">
        <f>IFERROR(__xludf.DUMMYFUNCTION("""COMPUTED_VALUE"""),3270670.0)</f>
        <v>3270670</v>
      </c>
    </row>
    <row r="8674">
      <c r="A8674" s="3">
        <f>IFERROR(__xludf.DUMMYFUNCTION("""COMPUTED_VALUE"""),41779.666666666664)</f>
        <v>41779.66667</v>
      </c>
      <c r="B8674" s="2">
        <f>IFERROR(__xludf.DUMMYFUNCTION("""COMPUTED_VALUE"""),177.9)</f>
        <v>177.9</v>
      </c>
      <c r="C8674" s="2">
        <f>IFERROR(__xludf.DUMMYFUNCTION("""COMPUTED_VALUE"""),178.33)</f>
        <v>178.33</v>
      </c>
      <c r="D8674" s="2">
        <f>IFERROR(__xludf.DUMMYFUNCTION("""COMPUTED_VALUE"""),176.42)</f>
        <v>176.42</v>
      </c>
      <c r="E8674" s="2">
        <f>IFERROR(__xludf.DUMMYFUNCTION("""COMPUTED_VALUE"""),176.6)</f>
        <v>176.6</v>
      </c>
      <c r="F8674" s="2">
        <f>IFERROR(__xludf.DUMMYFUNCTION("""COMPUTED_VALUE"""),3032896.0)</f>
        <v>3032896</v>
      </c>
    </row>
    <row r="8675">
      <c r="A8675" s="3">
        <f>IFERROR(__xludf.DUMMYFUNCTION("""COMPUTED_VALUE"""),41780.666666666664)</f>
        <v>41780.66667</v>
      </c>
      <c r="B8675" s="2">
        <f>IFERROR(__xludf.DUMMYFUNCTION("""COMPUTED_VALUE"""),177.52)</f>
        <v>177.52</v>
      </c>
      <c r="C8675" s="2">
        <f>IFERROR(__xludf.DUMMYFUNCTION("""COMPUTED_VALUE"""),178.77)</f>
        <v>178.77</v>
      </c>
      <c r="D8675" s="2">
        <f>IFERROR(__xludf.DUMMYFUNCTION("""COMPUTED_VALUE"""),176.66)</f>
        <v>176.66</v>
      </c>
      <c r="E8675" s="2">
        <f>IFERROR(__xludf.DUMMYFUNCTION("""COMPUTED_VALUE"""),178.03)</f>
        <v>178.03</v>
      </c>
      <c r="F8675" s="2">
        <f>IFERROR(__xludf.DUMMYFUNCTION("""COMPUTED_VALUE"""),2988348.0)</f>
        <v>2988348</v>
      </c>
    </row>
    <row r="8676">
      <c r="A8676" s="3">
        <f>IFERROR(__xludf.DUMMYFUNCTION("""COMPUTED_VALUE"""),41781.666666666664)</f>
        <v>41781.66667</v>
      </c>
      <c r="B8676" s="2">
        <f>IFERROR(__xludf.DUMMYFUNCTION("""COMPUTED_VALUE"""),178.09)</f>
        <v>178.09</v>
      </c>
      <c r="C8676" s="2">
        <f>IFERROR(__xludf.DUMMYFUNCTION("""COMPUTED_VALUE"""),178.09)</f>
        <v>178.09</v>
      </c>
      <c r="D8676" s="2">
        <f>IFERROR(__xludf.DUMMYFUNCTION("""COMPUTED_VALUE"""),176.73)</f>
        <v>176.73</v>
      </c>
      <c r="E8676" s="2">
        <f>IFERROR(__xludf.DUMMYFUNCTION("""COMPUTED_VALUE"""),177.35)</f>
        <v>177.35</v>
      </c>
      <c r="F8676" s="2">
        <f>IFERROR(__xludf.DUMMYFUNCTION("""COMPUTED_VALUE"""),2218149.0)</f>
        <v>2218149</v>
      </c>
    </row>
    <row r="8677">
      <c r="A8677" s="3">
        <f>IFERROR(__xludf.DUMMYFUNCTION("""COMPUTED_VALUE"""),41782.666666666664)</f>
        <v>41782.66667</v>
      </c>
      <c r="B8677" s="2">
        <f>IFERROR(__xludf.DUMMYFUNCTION("""COMPUTED_VALUE"""),177.51)</f>
        <v>177.51</v>
      </c>
      <c r="C8677" s="2">
        <f>IFERROR(__xludf.DUMMYFUNCTION("""COMPUTED_VALUE"""),177.79)</f>
        <v>177.79</v>
      </c>
      <c r="D8677" s="2">
        <f>IFERROR(__xludf.DUMMYFUNCTION("""COMPUTED_VALUE"""),177.0)</f>
        <v>177</v>
      </c>
      <c r="E8677" s="2">
        <f>IFERROR(__xludf.DUMMYFUNCTION("""COMPUTED_VALUE"""),177.6)</f>
        <v>177.6</v>
      </c>
      <c r="F8677" s="2">
        <f>IFERROR(__xludf.DUMMYFUNCTION("""COMPUTED_VALUE"""),2563424.0)</f>
        <v>2563424</v>
      </c>
    </row>
    <row r="8678">
      <c r="A8678" s="3">
        <f>IFERROR(__xludf.DUMMYFUNCTION("""COMPUTED_VALUE"""),41786.666666666664)</f>
        <v>41786.66667</v>
      </c>
      <c r="B8678" s="2">
        <f>IFERROR(__xludf.DUMMYFUNCTION("""COMPUTED_VALUE"""),176.51)</f>
        <v>176.51</v>
      </c>
      <c r="C8678" s="2">
        <f>IFERROR(__xludf.DUMMYFUNCTION("""COMPUTED_VALUE"""),177.33)</f>
        <v>177.33</v>
      </c>
      <c r="D8678" s="2">
        <f>IFERROR(__xludf.DUMMYFUNCTION("""COMPUTED_VALUE"""),175.68)</f>
        <v>175.68</v>
      </c>
      <c r="E8678" s="2">
        <f>IFERROR(__xludf.DUMMYFUNCTION("""COMPUTED_VALUE"""),176.5)</f>
        <v>176.5</v>
      </c>
      <c r="F8678" s="2">
        <f>IFERROR(__xludf.DUMMYFUNCTION("""COMPUTED_VALUE"""),4794501.0)</f>
        <v>4794501</v>
      </c>
    </row>
    <row r="8679">
      <c r="A8679" s="3">
        <f>IFERROR(__xludf.DUMMYFUNCTION("""COMPUTED_VALUE"""),41787.666666666664)</f>
        <v>41787.66667</v>
      </c>
      <c r="B8679" s="2">
        <f>IFERROR(__xludf.DUMMYFUNCTION("""COMPUTED_VALUE"""),176.21)</f>
        <v>176.21</v>
      </c>
      <c r="C8679" s="2">
        <f>IFERROR(__xludf.DUMMYFUNCTION("""COMPUTED_VALUE"""),176.59)</f>
        <v>176.59</v>
      </c>
      <c r="D8679" s="2">
        <f>IFERROR(__xludf.DUMMYFUNCTION("""COMPUTED_VALUE"""),174.74)</f>
        <v>174.74</v>
      </c>
      <c r="E8679" s="2">
        <f>IFERROR(__xludf.DUMMYFUNCTION("""COMPUTED_VALUE"""),174.87)</f>
        <v>174.87</v>
      </c>
      <c r="F8679" s="2">
        <f>IFERROR(__xludf.DUMMYFUNCTION("""COMPUTED_VALUE"""),3724124.0)</f>
        <v>3724124</v>
      </c>
    </row>
    <row r="8680">
      <c r="A8680" s="3">
        <f>IFERROR(__xludf.DUMMYFUNCTION("""COMPUTED_VALUE"""),41788.666666666664)</f>
        <v>41788.66667</v>
      </c>
      <c r="B8680" s="2">
        <f>IFERROR(__xludf.DUMMYFUNCTION("""COMPUTED_VALUE"""),175.41)</f>
        <v>175.41</v>
      </c>
      <c r="C8680" s="2">
        <f>IFERROR(__xludf.DUMMYFUNCTION("""COMPUTED_VALUE"""),175.54)</f>
        <v>175.54</v>
      </c>
      <c r="D8680" s="2">
        <f>IFERROR(__xludf.DUMMYFUNCTION("""COMPUTED_VALUE"""),174.16)</f>
        <v>174.16</v>
      </c>
      <c r="E8680" s="2">
        <f>IFERROR(__xludf.DUMMYFUNCTION("""COMPUTED_VALUE"""),175.52)</f>
        <v>175.52</v>
      </c>
      <c r="F8680" s="2">
        <f>IFERROR(__xludf.DUMMYFUNCTION("""COMPUTED_VALUE"""),2759978.0)</f>
        <v>2759978</v>
      </c>
    </row>
    <row r="8681">
      <c r="A8681" s="3">
        <f>IFERROR(__xludf.DUMMYFUNCTION("""COMPUTED_VALUE"""),41789.666666666664)</f>
        <v>41789.66667</v>
      </c>
      <c r="B8681" s="2">
        <f>IFERROR(__xludf.DUMMYFUNCTION("""COMPUTED_VALUE"""),175.16)</f>
        <v>175.16</v>
      </c>
      <c r="C8681" s="2">
        <f>IFERROR(__xludf.DUMMYFUNCTION("""COMPUTED_VALUE"""),176.29)</f>
        <v>176.29</v>
      </c>
      <c r="D8681" s="2">
        <f>IFERROR(__xludf.DUMMYFUNCTION("""COMPUTED_VALUE"""),174.31)</f>
        <v>174.31</v>
      </c>
      <c r="E8681" s="2">
        <f>IFERROR(__xludf.DUMMYFUNCTION("""COMPUTED_VALUE"""),176.09)</f>
        <v>176.09</v>
      </c>
      <c r="F8681" s="2">
        <f>IFERROR(__xludf.DUMMYFUNCTION("""COMPUTED_VALUE"""),4620207.0)</f>
        <v>4620207</v>
      </c>
    </row>
    <row r="8682">
      <c r="A8682" s="3">
        <f>IFERROR(__xludf.DUMMYFUNCTION("""COMPUTED_VALUE"""),41792.666666666664)</f>
        <v>41792.66667</v>
      </c>
      <c r="B8682" s="2">
        <f>IFERROR(__xludf.DUMMYFUNCTION("""COMPUTED_VALUE"""),176.48)</f>
        <v>176.48</v>
      </c>
      <c r="C8682" s="2">
        <f>IFERROR(__xludf.DUMMYFUNCTION("""COMPUTED_VALUE"""),177.93)</f>
        <v>177.93</v>
      </c>
      <c r="D8682" s="2">
        <f>IFERROR(__xludf.DUMMYFUNCTION("""COMPUTED_VALUE"""),176.39)</f>
        <v>176.39</v>
      </c>
      <c r="E8682" s="2">
        <f>IFERROR(__xludf.DUMMYFUNCTION("""COMPUTED_VALUE"""),177.36)</f>
        <v>177.36</v>
      </c>
      <c r="F8682" s="2">
        <f>IFERROR(__xludf.DUMMYFUNCTION("""COMPUTED_VALUE"""),3204034.0)</f>
        <v>3204034</v>
      </c>
    </row>
    <row r="8683">
      <c r="A8683" s="3">
        <f>IFERROR(__xludf.DUMMYFUNCTION("""COMPUTED_VALUE"""),41793.666666666664)</f>
        <v>41793.66667</v>
      </c>
      <c r="B8683" s="2">
        <f>IFERROR(__xludf.DUMMYFUNCTION("""COMPUTED_VALUE"""),177.23)</f>
        <v>177.23</v>
      </c>
      <c r="C8683" s="2">
        <f>IFERROR(__xludf.DUMMYFUNCTION("""COMPUTED_VALUE"""),177.43)</f>
        <v>177.43</v>
      </c>
      <c r="D8683" s="2">
        <f>IFERROR(__xludf.DUMMYFUNCTION("""COMPUTED_VALUE"""),175.86)</f>
        <v>175.86</v>
      </c>
      <c r="E8683" s="2">
        <f>IFERROR(__xludf.DUMMYFUNCTION("""COMPUTED_VALUE"""),176.1)</f>
        <v>176.1</v>
      </c>
      <c r="F8683" s="2">
        <f>IFERROR(__xludf.DUMMYFUNCTION("""COMPUTED_VALUE"""),2517123.0)</f>
        <v>2517123</v>
      </c>
    </row>
    <row r="8684">
      <c r="A8684" s="3">
        <f>IFERROR(__xludf.DUMMYFUNCTION("""COMPUTED_VALUE"""),41794.666666666664)</f>
        <v>41794.66667</v>
      </c>
      <c r="B8684" s="2">
        <f>IFERROR(__xludf.DUMMYFUNCTION("""COMPUTED_VALUE"""),176.43)</f>
        <v>176.43</v>
      </c>
      <c r="C8684" s="2">
        <f>IFERROR(__xludf.DUMMYFUNCTION("""COMPUTED_VALUE"""),177.14)</f>
        <v>177.14</v>
      </c>
      <c r="D8684" s="2">
        <f>IFERROR(__xludf.DUMMYFUNCTION("""COMPUTED_VALUE"""),175.94)</f>
        <v>175.94</v>
      </c>
      <c r="E8684" s="2">
        <f>IFERROR(__xludf.DUMMYFUNCTION("""COMPUTED_VALUE"""),176.24)</f>
        <v>176.24</v>
      </c>
      <c r="F8684" s="2">
        <f>IFERROR(__xludf.DUMMYFUNCTION("""COMPUTED_VALUE"""),2376981.0)</f>
        <v>2376981</v>
      </c>
    </row>
    <row r="8685">
      <c r="A8685" s="3">
        <f>IFERROR(__xludf.DUMMYFUNCTION("""COMPUTED_VALUE"""),41795.666666666664)</f>
        <v>41795.66667</v>
      </c>
      <c r="B8685" s="2">
        <f>IFERROR(__xludf.DUMMYFUNCTION("""COMPUTED_VALUE"""),176.38)</f>
        <v>176.38</v>
      </c>
      <c r="C8685" s="2">
        <f>IFERROR(__xludf.DUMMYFUNCTION("""COMPUTED_VALUE"""),177.75)</f>
        <v>177.75</v>
      </c>
      <c r="D8685" s="2">
        <f>IFERROR(__xludf.DUMMYFUNCTION("""COMPUTED_VALUE"""),175.67)</f>
        <v>175.67</v>
      </c>
      <c r="E8685" s="2">
        <f>IFERROR(__xludf.DUMMYFUNCTION("""COMPUTED_VALUE"""),177.64)</f>
        <v>177.64</v>
      </c>
      <c r="F8685" s="2">
        <f>IFERROR(__xludf.DUMMYFUNCTION("""COMPUTED_VALUE"""),2861974.0)</f>
        <v>2861974</v>
      </c>
    </row>
    <row r="8686">
      <c r="A8686" s="3">
        <f>IFERROR(__xludf.DUMMYFUNCTION("""COMPUTED_VALUE"""),41796.666666666664)</f>
        <v>41796.66667</v>
      </c>
      <c r="B8686" s="2">
        <f>IFERROR(__xludf.DUMMYFUNCTION("""COMPUTED_VALUE"""),178.11)</f>
        <v>178.11</v>
      </c>
      <c r="C8686" s="2">
        <f>IFERROR(__xludf.DUMMYFUNCTION("""COMPUTED_VALUE"""),179.24)</f>
        <v>179.24</v>
      </c>
      <c r="D8686" s="2">
        <f>IFERROR(__xludf.DUMMYFUNCTION("""COMPUTED_VALUE"""),177.56)</f>
        <v>177.56</v>
      </c>
      <c r="E8686" s="2">
        <f>IFERROR(__xludf.DUMMYFUNCTION("""COMPUTED_VALUE"""),178.01)</f>
        <v>178.01</v>
      </c>
      <c r="F8686" s="2">
        <f>IFERROR(__xludf.DUMMYFUNCTION("""COMPUTED_VALUE"""),3296900.0)</f>
        <v>3296900</v>
      </c>
    </row>
    <row r="8687">
      <c r="A8687" s="3">
        <f>IFERROR(__xludf.DUMMYFUNCTION("""COMPUTED_VALUE"""),41799.666666666664)</f>
        <v>41799.66667</v>
      </c>
      <c r="B8687" s="2">
        <f>IFERROR(__xludf.DUMMYFUNCTION("""COMPUTED_VALUE"""),177.87)</f>
        <v>177.87</v>
      </c>
      <c r="C8687" s="2">
        <f>IFERROR(__xludf.DUMMYFUNCTION("""COMPUTED_VALUE"""),179.23)</f>
        <v>179.23</v>
      </c>
      <c r="D8687" s="2">
        <f>IFERROR(__xludf.DUMMYFUNCTION("""COMPUTED_VALUE"""),177.62)</f>
        <v>177.62</v>
      </c>
      <c r="E8687" s="2">
        <f>IFERROR(__xludf.DUMMYFUNCTION("""COMPUTED_VALUE"""),177.87)</f>
        <v>177.87</v>
      </c>
      <c r="F8687" s="2">
        <f>IFERROR(__xludf.DUMMYFUNCTION("""COMPUTED_VALUE"""),2728403.0)</f>
        <v>2728403</v>
      </c>
    </row>
    <row r="8688">
      <c r="A8688" s="3">
        <f>IFERROR(__xludf.DUMMYFUNCTION("""COMPUTED_VALUE"""),41800.666666666664)</f>
        <v>41800.66667</v>
      </c>
      <c r="B8688" s="2">
        <f>IFERROR(__xludf.DUMMYFUNCTION("""COMPUTED_VALUE"""),177.85)</f>
        <v>177.85</v>
      </c>
      <c r="C8688" s="2">
        <f>IFERROR(__xludf.DUMMYFUNCTION("""COMPUTED_VALUE"""),177.87)</f>
        <v>177.87</v>
      </c>
      <c r="D8688" s="2">
        <f>IFERROR(__xludf.DUMMYFUNCTION("""COMPUTED_VALUE"""),175.58)</f>
        <v>175.58</v>
      </c>
      <c r="E8688" s="2">
        <f>IFERROR(__xludf.DUMMYFUNCTION("""COMPUTED_VALUE"""),176.03)</f>
        <v>176.03</v>
      </c>
      <c r="F8688" s="2">
        <f>IFERROR(__xludf.DUMMYFUNCTION("""COMPUTED_VALUE"""),4157062.0)</f>
        <v>4157062</v>
      </c>
    </row>
    <row r="8689">
      <c r="A8689" s="3">
        <f>IFERROR(__xludf.DUMMYFUNCTION("""COMPUTED_VALUE"""),41801.666666666664)</f>
        <v>41801.66667</v>
      </c>
      <c r="B8689" s="2">
        <f>IFERROR(__xludf.DUMMYFUNCTION("""COMPUTED_VALUE"""),175.38)</f>
        <v>175.38</v>
      </c>
      <c r="C8689" s="2">
        <f>IFERROR(__xludf.DUMMYFUNCTION("""COMPUTED_VALUE"""),175.94)</f>
        <v>175.94</v>
      </c>
      <c r="D8689" s="2">
        <f>IFERROR(__xludf.DUMMYFUNCTION("""COMPUTED_VALUE"""),173.85)</f>
        <v>173.85</v>
      </c>
      <c r="E8689" s="2">
        <f>IFERROR(__xludf.DUMMYFUNCTION("""COMPUTED_VALUE"""),174.08)</f>
        <v>174.08</v>
      </c>
      <c r="F8689" s="2">
        <f>IFERROR(__xludf.DUMMYFUNCTION("""COMPUTED_VALUE"""),4065310.0)</f>
        <v>4065310</v>
      </c>
    </row>
    <row r="8690">
      <c r="A8690" s="3">
        <f>IFERROR(__xludf.DUMMYFUNCTION("""COMPUTED_VALUE"""),41802.666666666664)</f>
        <v>41802.66667</v>
      </c>
      <c r="B8690" s="2">
        <f>IFERROR(__xludf.DUMMYFUNCTION("""COMPUTED_VALUE"""),174.3)</f>
        <v>174.3</v>
      </c>
      <c r="C8690" s="2">
        <f>IFERROR(__xludf.DUMMYFUNCTION("""COMPUTED_VALUE"""),174.37)</f>
        <v>174.37</v>
      </c>
      <c r="D8690" s="2">
        <f>IFERROR(__xludf.DUMMYFUNCTION("""COMPUTED_VALUE"""),172.8)</f>
        <v>172.8</v>
      </c>
      <c r="E8690" s="2">
        <f>IFERROR(__xludf.DUMMYFUNCTION("""COMPUTED_VALUE"""),173.09)</f>
        <v>173.09</v>
      </c>
      <c r="F8690" s="2">
        <f>IFERROR(__xludf.DUMMYFUNCTION("""COMPUTED_VALUE"""),4425491.0)</f>
        <v>4425491</v>
      </c>
    </row>
    <row r="8691">
      <c r="A8691" s="3">
        <f>IFERROR(__xludf.DUMMYFUNCTION("""COMPUTED_VALUE"""),41803.666666666664)</f>
        <v>41803.66667</v>
      </c>
      <c r="B8691" s="2">
        <f>IFERROR(__xludf.DUMMYFUNCTION("""COMPUTED_VALUE"""),173.84)</f>
        <v>173.84</v>
      </c>
      <c r="C8691" s="2">
        <f>IFERROR(__xludf.DUMMYFUNCTION("""COMPUTED_VALUE"""),174.8)</f>
        <v>174.8</v>
      </c>
      <c r="D8691" s="2">
        <f>IFERROR(__xludf.DUMMYFUNCTION("""COMPUTED_VALUE"""),173.38)</f>
        <v>173.38</v>
      </c>
      <c r="E8691" s="2">
        <f>IFERROR(__xludf.DUMMYFUNCTION("""COMPUTED_VALUE"""),174.37)</f>
        <v>174.37</v>
      </c>
      <c r="F8691" s="2">
        <f>IFERROR(__xludf.DUMMYFUNCTION("""COMPUTED_VALUE"""),2778984.0)</f>
        <v>2778984</v>
      </c>
    </row>
    <row r="8692">
      <c r="A8692" s="3">
        <f>IFERROR(__xludf.DUMMYFUNCTION("""COMPUTED_VALUE"""),41806.666666666664)</f>
        <v>41806.66667</v>
      </c>
      <c r="B8692" s="2">
        <f>IFERROR(__xludf.DUMMYFUNCTION("""COMPUTED_VALUE"""),174.22)</f>
        <v>174.22</v>
      </c>
      <c r="C8692" s="2">
        <f>IFERROR(__xludf.DUMMYFUNCTION("""COMPUTED_VALUE"""),174.52)</f>
        <v>174.52</v>
      </c>
      <c r="D8692" s="2">
        <f>IFERROR(__xludf.DUMMYFUNCTION("""COMPUTED_VALUE"""),173.11)</f>
        <v>173.11</v>
      </c>
      <c r="E8692" s="2">
        <f>IFERROR(__xludf.DUMMYFUNCTION("""COMPUTED_VALUE"""),174.17)</f>
        <v>174.17</v>
      </c>
      <c r="F8692" s="2">
        <f>IFERROR(__xludf.DUMMYFUNCTION("""COMPUTED_VALUE"""),3556218.0)</f>
        <v>3556218</v>
      </c>
    </row>
    <row r="8693">
      <c r="A8693" s="3">
        <f>IFERROR(__xludf.DUMMYFUNCTION("""COMPUTED_VALUE"""),41807.666666666664)</f>
        <v>41807.66667</v>
      </c>
      <c r="B8693" s="2">
        <f>IFERROR(__xludf.DUMMYFUNCTION("""COMPUTED_VALUE"""),173.74)</f>
        <v>173.74</v>
      </c>
      <c r="C8693" s="2">
        <f>IFERROR(__xludf.DUMMYFUNCTION("""COMPUTED_VALUE"""),174.61)</f>
        <v>174.61</v>
      </c>
      <c r="D8693" s="2">
        <f>IFERROR(__xludf.DUMMYFUNCTION("""COMPUTED_VALUE"""),173.42)</f>
        <v>173.42</v>
      </c>
      <c r="E8693" s="2">
        <f>IFERROR(__xludf.DUMMYFUNCTION("""COMPUTED_VALUE"""),174.09)</f>
        <v>174.09</v>
      </c>
      <c r="F8693" s="2">
        <f>IFERROR(__xludf.DUMMYFUNCTION("""COMPUTED_VALUE"""),2460857.0)</f>
        <v>2460857</v>
      </c>
    </row>
    <row r="8694">
      <c r="A8694" s="3">
        <f>IFERROR(__xludf.DUMMYFUNCTION("""COMPUTED_VALUE"""),41808.666666666664)</f>
        <v>41808.66667</v>
      </c>
      <c r="B8694" s="2">
        <f>IFERROR(__xludf.DUMMYFUNCTION("""COMPUTED_VALUE"""),173.88)</f>
        <v>173.88</v>
      </c>
      <c r="C8694" s="2">
        <f>IFERROR(__xludf.DUMMYFUNCTION("""COMPUTED_VALUE"""),175.38)</f>
        <v>175.38</v>
      </c>
      <c r="D8694" s="2">
        <f>IFERROR(__xludf.DUMMYFUNCTION("""COMPUTED_VALUE"""),173.64)</f>
        <v>173.64</v>
      </c>
      <c r="E8694" s="2">
        <f>IFERROR(__xludf.DUMMYFUNCTION("""COMPUTED_VALUE"""),175.37)</f>
        <v>175.37</v>
      </c>
      <c r="F8694" s="2">
        <f>IFERROR(__xludf.DUMMYFUNCTION("""COMPUTED_VALUE"""),3935653.0)</f>
        <v>3935653</v>
      </c>
    </row>
    <row r="8695">
      <c r="A8695" s="3">
        <f>IFERROR(__xludf.DUMMYFUNCTION("""COMPUTED_VALUE"""),41809.666666666664)</f>
        <v>41809.66667</v>
      </c>
      <c r="B8695" s="2">
        <f>IFERROR(__xludf.DUMMYFUNCTION("""COMPUTED_VALUE"""),175.86)</f>
        <v>175.86</v>
      </c>
      <c r="C8695" s="2">
        <f>IFERROR(__xludf.DUMMYFUNCTION("""COMPUTED_VALUE"""),176.2)</f>
        <v>176.2</v>
      </c>
      <c r="D8695" s="2">
        <f>IFERROR(__xludf.DUMMYFUNCTION("""COMPUTED_VALUE"""),174.18)</f>
        <v>174.18</v>
      </c>
      <c r="E8695" s="2">
        <f>IFERROR(__xludf.DUMMYFUNCTION("""COMPUTED_VALUE"""),174.62)</f>
        <v>174.62</v>
      </c>
      <c r="F8695" s="2">
        <f>IFERROR(__xludf.DUMMYFUNCTION("""COMPUTED_VALUE"""),3551276.0)</f>
        <v>3551276</v>
      </c>
    </row>
    <row r="8696">
      <c r="A8696" s="3">
        <f>IFERROR(__xludf.DUMMYFUNCTION("""COMPUTED_VALUE"""),41810.666666666664)</f>
        <v>41810.66667</v>
      </c>
      <c r="B8696" s="2">
        <f>IFERROR(__xludf.DUMMYFUNCTION("""COMPUTED_VALUE"""),174.4)</f>
        <v>174.4</v>
      </c>
      <c r="C8696" s="2">
        <f>IFERROR(__xludf.DUMMYFUNCTION("""COMPUTED_VALUE"""),174.48)</f>
        <v>174.48</v>
      </c>
      <c r="D8696" s="2">
        <f>IFERROR(__xludf.DUMMYFUNCTION("""COMPUTED_VALUE"""),173.27)</f>
        <v>173.27</v>
      </c>
      <c r="E8696" s="2">
        <f>IFERROR(__xludf.DUMMYFUNCTION("""COMPUTED_VALUE"""),173.41)</f>
        <v>173.41</v>
      </c>
      <c r="F8696" s="2">
        <f>IFERROR(__xludf.DUMMYFUNCTION("""COMPUTED_VALUE"""),1.0686834E7)</f>
        <v>10686834</v>
      </c>
    </row>
    <row r="8697">
      <c r="A8697" s="3">
        <f>IFERROR(__xludf.DUMMYFUNCTION("""COMPUTED_VALUE"""),41813.666666666664)</f>
        <v>41813.66667</v>
      </c>
      <c r="B8697" s="2">
        <f>IFERROR(__xludf.DUMMYFUNCTION("""COMPUTED_VALUE"""),173.76)</f>
        <v>173.76</v>
      </c>
      <c r="C8697" s="2">
        <f>IFERROR(__xludf.DUMMYFUNCTION("""COMPUTED_VALUE"""),174.08)</f>
        <v>174.08</v>
      </c>
      <c r="D8697" s="2">
        <f>IFERROR(__xludf.DUMMYFUNCTION("""COMPUTED_VALUE"""),172.88)</f>
        <v>172.88</v>
      </c>
      <c r="E8697" s="2">
        <f>IFERROR(__xludf.DUMMYFUNCTION("""COMPUTED_VALUE"""),173.97)</f>
        <v>173.97</v>
      </c>
      <c r="F8697" s="2">
        <f>IFERROR(__xludf.DUMMYFUNCTION("""COMPUTED_VALUE"""),3231699.0)</f>
        <v>3231699</v>
      </c>
    </row>
    <row r="8698">
      <c r="A8698" s="3">
        <f>IFERROR(__xludf.DUMMYFUNCTION("""COMPUTED_VALUE"""),41814.666666666664)</f>
        <v>41814.66667</v>
      </c>
      <c r="B8698" s="2">
        <f>IFERROR(__xludf.DUMMYFUNCTION("""COMPUTED_VALUE"""),173.36)</f>
        <v>173.36</v>
      </c>
      <c r="C8698" s="2">
        <f>IFERROR(__xludf.DUMMYFUNCTION("""COMPUTED_VALUE"""),174.8)</f>
        <v>174.8</v>
      </c>
      <c r="D8698" s="2">
        <f>IFERROR(__xludf.DUMMYFUNCTION("""COMPUTED_VALUE"""),172.55)</f>
        <v>172.55</v>
      </c>
      <c r="E8698" s="2">
        <f>IFERROR(__xludf.DUMMYFUNCTION("""COMPUTED_VALUE"""),172.77)</f>
        <v>172.77</v>
      </c>
      <c r="F8698" s="2">
        <f>IFERROR(__xludf.DUMMYFUNCTION("""COMPUTED_VALUE"""),3875453.0)</f>
        <v>3875453</v>
      </c>
    </row>
    <row r="8699">
      <c r="A8699" s="3">
        <f>IFERROR(__xludf.DUMMYFUNCTION("""COMPUTED_VALUE"""),41815.666666666664)</f>
        <v>41815.66667</v>
      </c>
      <c r="B8699" s="2">
        <f>IFERROR(__xludf.DUMMYFUNCTION("""COMPUTED_VALUE"""),172.17)</f>
        <v>172.17</v>
      </c>
      <c r="C8699" s="2">
        <f>IFERROR(__xludf.DUMMYFUNCTION("""COMPUTED_VALUE"""),172.86)</f>
        <v>172.86</v>
      </c>
      <c r="D8699" s="2">
        <f>IFERROR(__xludf.DUMMYFUNCTION("""COMPUTED_VALUE"""),171.99)</f>
        <v>171.99</v>
      </c>
      <c r="E8699" s="2">
        <f>IFERROR(__xludf.DUMMYFUNCTION("""COMPUTED_VALUE"""),172.62)</f>
        <v>172.62</v>
      </c>
      <c r="F8699" s="2">
        <f>IFERROR(__xludf.DUMMYFUNCTION("""COMPUTED_VALUE"""),2763020.0)</f>
        <v>2763020</v>
      </c>
    </row>
    <row r="8700">
      <c r="A8700" s="3">
        <f>IFERROR(__xludf.DUMMYFUNCTION("""COMPUTED_VALUE"""),41816.666666666664)</f>
        <v>41816.66667</v>
      </c>
      <c r="B8700" s="2">
        <f>IFERROR(__xludf.DUMMYFUNCTION("""COMPUTED_VALUE"""),172.76)</f>
        <v>172.76</v>
      </c>
      <c r="C8700" s="2">
        <f>IFERROR(__xludf.DUMMYFUNCTION("""COMPUTED_VALUE"""),173.24)</f>
        <v>173.24</v>
      </c>
      <c r="D8700" s="2">
        <f>IFERROR(__xludf.DUMMYFUNCTION("""COMPUTED_VALUE"""),171.23)</f>
        <v>171.23</v>
      </c>
      <c r="E8700" s="2">
        <f>IFERROR(__xludf.DUMMYFUNCTION("""COMPUTED_VALUE"""),172.28)</f>
        <v>172.28</v>
      </c>
      <c r="F8700" s="2">
        <f>IFERROR(__xludf.DUMMYFUNCTION("""COMPUTED_VALUE"""),3258470.0)</f>
        <v>3258470</v>
      </c>
    </row>
    <row r="8701">
      <c r="A8701" s="3">
        <f>IFERROR(__xludf.DUMMYFUNCTION("""COMPUTED_VALUE"""),41817.666666666664)</f>
        <v>41817.66667</v>
      </c>
      <c r="B8701" s="2">
        <f>IFERROR(__xludf.DUMMYFUNCTION("""COMPUTED_VALUE"""),171.71)</f>
        <v>171.71</v>
      </c>
      <c r="C8701" s="2">
        <f>IFERROR(__xludf.DUMMYFUNCTION("""COMPUTED_VALUE"""),174.28)</f>
        <v>174.28</v>
      </c>
      <c r="D8701" s="2">
        <f>IFERROR(__xludf.DUMMYFUNCTION("""COMPUTED_VALUE"""),171.6)</f>
        <v>171.6</v>
      </c>
      <c r="E8701" s="2">
        <f>IFERROR(__xludf.DUMMYFUNCTION("""COMPUTED_VALUE"""),173.56)</f>
        <v>173.56</v>
      </c>
      <c r="F8701" s="2">
        <f>IFERROR(__xludf.DUMMYFUNCTION("""COMPUTED_VALUE"""),4575680.0)</f>
        <v>4575680</v>
      </c>
    </row>
    <row r="8702">
      <c r="A8702" s="3">
        <f>IFERROR(__xludf.DUMMYFUNCTION("""COMPUTED_VALUE"""),41820.666666666664)</f>
        <v>41820.66667</v>
      </c>
      <c r="B8702" s="2">
        <f>IFERROR(__xludf.DUMMYFUNCTION("""COMPUTED_VALUE"""),173.2)</f>
        <v>173.2</v>
      </c>
      <c r="C8702" s="2">
        <f>IFERROR(__xludf.DUMMYFUNCTION("""COMPUTED_VALUE"""),173.77)</f>
        <v>173.77</v>
      </c>
      <c r="D8702" s="2">
        <f>IFERROR(__xludf.DUMMYFUNCTION("""COMPUTED_VALUE"""),172.18)</f>
        <v>172.18</v>
      </c>
      <c r="E8702" s="2">
        <f>IFERROR(__xludf.DUMMYFUNCTION("""COMPUTED_VALUE"""),173.14)</f>
        <v>173.14</v>
      </c>
      <c r="F8702" s="2">
        <f>IFERROR(__xludf.DUMMYFUNCTION("""COMPUTED_VALUE"""),4228836.0)</f>
        <v>4228836</v>
      </c>
    </row>
    <row r="8703">
      <c r="A8703" s="3">
        <f>IFERROR(__xludf.DUMMYFUNCTION("""COMPUTED_VALUE"""),41821.666666666664)</f>
        <v>41821.66667</v>
      </c>
      <c r="B8703" s="2">
        <f>IFERROR(__xludf.DUMMYFUNCTION("""COMPUTED_VALUE"""),173.55)</f>
        <v>173.55</v>
      </c>
      <c r="C8703" s="2">
        <f>IFERROR(__xludf.DUMMYFUNCTION("""COMPUTED_VALUE"""),178.87)</f>
        <v>178.87</v>
      </c>
      <c r="D8703" s="2">
        <f>IFERROR(__xludf.DUMMYFUNCTION("""COMPUTED_VALUE"""),173.55)</f>
        <v>173.55</v>
      </c>
      <c r="E8703" s="2">
        <f>IFERROR(__xludf.DUMMYFUNCTION("""COMPUTED_VALUE"""),177.99)</f>
        <v>177.99</v>
      </c>
      <c r="F8703" s="2">
        <f>IFERROR(__xludf.DUMMYFUNCTION("""COMPUTED_VALUE"""),6644363.0)</f>
        <v>6644363</v>
      </c>
    </row>
    <row r="8704">
      <c r="A8704" s="3">
        <f>IFERROR(__xludf.DUMMYFUNCTION("""COMPUTED_VALUE"""),41822.666666666664)</f>
        <v>41822.66667</v>
      </c>
      <c r="B8704" s="2">
        <f>IFERROR(__xludf.DUMMYFUNCTION("""COMPUTED_VALUE"""),177.99)</f>
        <v>177.99</v>
      </c>
      <c r="C8704" s="2">
        <f>IFERROR(__xludf.DUMMYFUNCTION("""COMPUTED_VALUE"""),180.52)</f>
        <v>180.52</v>
      </c>
      <c r="D8704" s="2">
        <f>IFERROR(__xludf.DUMMYFUNCTION("""COMPUTED_VALUE"""),177.82)</f>
        <v>177.82</v>
      </c>
      <c r="E8704" s="2">
        <f>IFERROR(__xludf.DUMMYFUNCTION("""COMPUTED_VALUE"""),179.94)</f>
        <v>179.94</v>
      </c>
      <c r="F8704" s="2">
        <f>IFERROR(__xludf.DUMMYFUNCTION("""COMPUTED_VALUE"""),5097199.0)</f>
        <v>5097199</v>
      </c>
    </row>
    <row r="8705">
      <c r="A8705" s="3">
        <f>IFERROR(__xludf.DUMMYFUNCTION("""COMPUTED_VALUE"""),41823.666666666664)</f>
        <v>41823.66667</v>
      </c>
      <c r="B8705" s="2">
        <f>IFERROR(__xludf.DUMMYFUNCTION("""COMPUTED_VALUE"""),179.94)</f>
        <v>179.94</v>
      </c>
      <c r="C8705" s="2">
        <f>IFERROR(__xludf.DUMMYFUNCTION("""COMPUTED_VALUE"""),180.34)</f>
        <v>180.34</v>
      </c>
      <c r="D8705" s="2">
        <f>IFERROR(__xludf.DUMMYFUNCTION("""COMPUTED_VALUE"""),178.95)</f>
        <v>178.95</v>
      </c>
      <c r="E8705" s="2">
        <f>IFERROR(__xludf.DUMMYFUNCTION("""COMPUTED_VALUE"""),180.08)</f>
        <v>180.08</v>
      </c>
      <c r="F8705" s="2">
        <f>IFERROR(__xludf.DUMMYFUNCTION("""COMPUTED_VALUE"""),2422363.0)</f>
        <v>2422363</v>
      </c>
    </row>
    <row r="8706">
      <c r="A8706" s="3">
        <f>IFERROR(__xludf.DUMMYFUNCTION("""COMPUTED_VALUE"""),41827.666666666664)</f>
        <v>41827.66667</v>
      </c>
      <c r="B8706" s="2">
        <f>IFERROR(__xludf.DUMMYFUNCTION("""COMPUTED_VALUE"""),179.2)</f>
        <v>179.2</v>
      </c>
      <c r="C8706" s="2">
        <f>IFERROR(__xludf.DUMMYFUNCTION("""COMPUTED_VALUE"""),179.83)</f>
        <v>179.83</v>
      </c>
      <c r="D8706" s="2">
        <f>IFERROR(__xludf.DUMMYFUNCTION("""COMPUTED_VALUE"""),179.04)</f>
        <v>179.04</v>
      </c>
      <c r="E8706" s="2">
        <f>IFERROR(__xludf.DUMMYFUNCTION("""COMPUTED_VALUE"""),179.61)</f>
        <v>179.61</v>
      </c>
      <c r="F8706" s="2">
        <f>IFERROR(__xludf.DUMMYFUNCTION("""COMPUTED_VALUE"""),2958947.0)</f>
        <v>2958947</v>
      </c>
    </row>
    <row r="8707">
      <c r="A8707" s="3">
        <f>IFERROR(__xludf.DUMMYFUNCTION("""COMPUTED_VALUE"""),41828.666666666664)</f>
        <v>41828.66667</v>
      </c>
      <c r="B8707" s="2">
        <f>IFERROR(__xludf.DUMMYFUNCTION("""COMPUTED_VALUE"""),179.24)</f>
        <v>179.24</v>
      </c>
      <c r="C8707" s="2">
        <f>IFERROR(__xludf.DUMMYFUNCTION("""COMPUTED_VALUE"""),179.65)</f>
        <v>179.65</v>
      </c>
      <c r="D8707" s="2">
        <f>IFERROR(__xludf.DUMMYFUNCTION("""COMPUTED_VALUE"""),178.01)</f>
        <v>178.01</v>
      </c>
      <c r="E8707" s="2">
        <f>IFERROR(__xludf.DUMMYFUNCTION("""COMPUTED_VALUE"""),178.83)</f>
        <v>178.83</v>
      </c>
      <c r="F8707" s="2">
        <f>IFERROR(__xludf.DUMMYFUNCTION("""COMPUTED_VALUE"""),3135115.0)</f>
        <v>3135115</v>
      </c>
    </row>
    <row r="8708">
      <c r="A8708" s="3">
        <f>IFERROR(__xludf.DUMMYFUNCTION("""COMPUTED_VALUE"""),41829.666666666664)</f>
        <v>41829.66667</v>
      </c>
      <c r="B8708" s="2">
        <f>IFERROR(__xludf.DUMMYFUNCTION("""COMPUTED_VALUE"""),179.27)</f>
        <v>179.27</v>
      </c>
      <c r="C8708" s="2">
        <f>IFERROR(__xludf.DUMMYFUNCTION("""COMPUTED_VALUE"""),180.43)</f>
        <v>180.43</v>
      </c>
      <c r="D8708" s="2">
        <f>IFERROR(__xludf.DUMMYFUNCTION("""COMPUTED_VALUE"""),178.51)</f>
        <v>178.51</v>
      </c>
      <c r="E8708" s="2">
        <f>IFERROR(__xludf.DUMMYFUNCTION("""COMPUTED_VALUE"""),179.97)</f>
        <v>179.97</v>
      </c>
      <c r="F8708" s="2">
        <f>IFERROR(__xludf.DUMMYFUNCTION("""COMPUTED_VALUE"""),3309559.0)</f>
        <v>3309559</v>
      </c>
    </row>
    <row r="8709">
      <c r="A8709" s="3">
        <f>IFERROR(__xludf.DUMMYFUNCTION("""COMPUTED_VALUE"""),41830.666666666664)</f>
        <v>41830.66667</v>
      </c>
      <c r="B8709" s="2">
        <f>IFERROR(__xludf.DUMMYFUNCTION("""COMPUTED_VALUE"""),178.08)</f>
        <v>178.08</v>
      </c>
      <c r="C8709" s="2">
        <f>IFERROR(__xludf.DUMMYFUNCTION("""COMPUTED_VALUE"""),179.62)</f>
        <v>179.62</v>
      </c>
      <c r="D8709" s="2">
        <f>IFERROR(__xludf.DUMMYFUNCTION("""COMPUTED_VALUE"""),177.86)</f>
        <v>177.86</v>
      </c>
      <c r="E8709" s="2">
        <f>IFERROR(__xludf.DUMMYFUNCTION("""COMPUTED_VALUE"""),179.28)</f>
        <v>179.28</v>
      </c>
      <c r="F8709" s="2">
        <f>IFERROR(__xludf.DUMMYFUNCTION("""COMPUTED_VALUE"""),3177816.0)</f>
        <v>3177816</v>
      </c>
    </row>
    <row r="8710">
      <c r="A8710" s="3">
        <f>IFERROR(__xludf.DUMMYFUNCTION("""COMPUTED_VALUE"""),41831.666666666664)</f>
        <v>41831.66667</v>
      </c>
      <c r="B8710" s="2">
        <f>IFERROR(__xludf.DUMMYFUNCTION("""COMPUTED_VALUE"""),179.31)</f>
        <v>179.31</v>
      </c>
      <c r="C8710" s="2">
        <f>IFERROR(__xludf.DUMMYFUNCTION("""COMPUTED_VALUE"""),179.91)</f>
        <v>179.91</v>
      </c>
      <c r="D8710" s="2">
        <f>IFERROR(__xludf.DUMMYFUNCTION("""COMPUTED_VALUE"""),178.33)</f>
        <v>178.33</v>
      </c>
      <c r="E8710" s="2">
        <f>IFERROR(__xludf.DUMMYFUNCTION("""COMPUTED_VALUE"""),179.57)</f>
        <v>179.57</v>
      </c>
      <c r="F8710" s="2">
        <f>IFERROR(__xludf.DUMMYFUNCTION("""COMPUTED_VALUE"""),2403840.0)</f>
        <v>2403840</v>
      </c>
    </row>
    <row r="8711">
      <c r="A8711" s="3">
        <f>IFERROR(__xludf.DUMMYFUNCTION("""COMPUTED_VALUE"""),41834.666666666664)</f>
        <v>41834.66667</v>
      </c>
      <c r="B8711" s="2">
        <f>IFERROR(__xludf.DUMMYFUNCTION("""COMPUTED_VALUE"""),180.1)</f>
        <v>180.1</v>
      </c>
      <c r="C8711" s="2">
        <f>IFERROR(__xludf.DUMMYFUNCTION("""COMPUTED_VALUE"""),181.9)</f>
        <v>181.9</v>
      </c>
      <c r="D8711" s="2">
        <f>IFERROR(__xludf.DUMMYFUNCTION("""COMPUTED_VALUE"""),180.08)</f>
        <v>180.08</v>
      </c>
      <c r="E8711" s="2">
        <f>IFERROR(__xludf.DUMMYFUNCTION("""COMPUTED_VALUE"""),181.35)</f>
        <v>181.35</v>
      </c>
      <c r="F8711" s="2">
        <f>IFERROR(__xludf.DUMMYFUNCTION("""COMPUTED_VALUE"""),4502202.0)</f>
        <v>4502202</v>
      </c>
    </row>
    <row r="8712">
      <c r="A8712" s="3">
        <f>IFERROR(__xludf.DUMMYFUNCTION("""COMPUTED_VALUE"""),41835.666666666664)</f>
        <v>41835.66667</v>
      </c>
      <c r="B8712" s="2">
        <f>IFERROR(__xludf.DUMMYFUNCTION("""COMPUTED_VALUE"""),181.04)</f>
        <v>181.04</v>
      </c>
      <c r="C8712" s="2">
        <f>IFERROR(__xludf.DUMMYFUNCTION("""COMPUTED_VALUE"""),181.56)</f>
        <v>181.56</v>
      </c>
      <c r="D8712" s="2">
        <f>IFERROR(__xludf.DUMMYFUNCTION("""COMPUTED_VALUE"""),179.77)</f>
        <v>179.77</v>
      </c>
      <c r="E8712" s="2">
        <f>IFERROR(__xludf.DUMMYFUNCTION("""COMPUTED_VALUE"""),180.04)</f>
        <v>180.04</v>
      </c>
      <c r="F8712" s="2">
        <f>IFERROR(__xludf.DUMMYFUNCTION("""COMPUTED_VALUE"""),4873452.0)</f>
        <v>4873452</v>
      </c>
    </row>
    <row r="8713">
      <c r="A8713" s="3">
        <f>IFERROR(__xludf.DUMMYFUNCTION("""COMPUTED_VALUE"""),41836.666666666664)</f>
        <v>41836.66667</v>
      </c>
      <c r="B8713" s="2">
        <f>IFERROR(__xludf.DUMMYFUNCTION("""COMPUTED_VALUE"""),183.62)</f>
        <v>183.62</v>
      </c>
      <c r="C8713" s="2">
        <f>IFERROR(__xludf.DUMMYFUNCTION("""COMPUTED_VALUE"""),184.69)</f>
        <v>184.69</v>
      </c>
      <c r="D8713" s="2">
        <f>IFERROR(__xludf.DUMMYFUNCTION("""COMPUTED_VALUE"""),182.21)</f>
        <v>182.21</v>
      </c>
      <c r="E8713" s="2">
        <f>IFERROR(__xludf.DUMMYFUNCTION("""COMPUTED_VALUE"""),183.74)</f>
        <v>183.74</v>
      </c>
      <c r="F8713" s="2">
        <f>IFERROR(__xludf.DUMMYFUNCTION("""COMPUTED_VALUE"""),7815648.0)</f>
        <v>7815648</v>
      </c>
    </row>
    <row r="8714">
      <c r="A8714" s="3">
        <f>IFERROR(__xludf.DUMMYFUNCTION("""COMPUTED_VALUE"""),41837.666666666664)</f>
        <v>41837.66667</v>
      </c>
      <c r="B8714" s="2">
        <f>IFERROR(__xludf.DUMMYFUNCTION("""COMPUTED_VALUE"""),183.74)</f>
        <v>183.74</v>
      </c>
      <c r="C8714" s="2">
        <f>IFERROR(__xludf.DUMMYFUNCTION("""COMPUTED_VALUE"""),187.16)</f>
        <v>187.16</v>
      </c>
      <c r="D8714" s="2">
        <f>IFERROR(__xludf.DUMMYFUNCTION("""COMPUTED_VALUE"""),183.39)</f>
        <v>183.39</v>
      </c>
      <c r="E8714" s="2">
        <f>IFERROR(__xludf.DUMMYFUNCTION("""COMPUTED_VALUE"""),183.86)</f>
        <v>183.86</v>
      </c>
      <c r="F8714" s="2">
        <f>IFERROR(__xludf.DUMMYFUNCTION("""COMPUTED_VALUE"""),8872269.0)</f>
        <v>8872269</v>
      </c>
    </row>
    <row r="8715">
      <c r="A8715" s="3">
        <f>IFERROR(__xludf.DUMMYFUNCTION("""COMPUTED_VALUE"""),41838.666666666664)</f>
        <v>41838.66667</v>
      </c>
      <c r="B8715" s="2">
        <f>IFERROR(__xludf.DUMMYFUNCTION("""COMPUTED_VALUE"""),183.35)</f>
        <v>183.35</v>
      </c>
      <c r="C8715" s="2">
        <f>IFERROR(__xludf.DUMMYFUNCTION("""COMPUTED_VALUE"""),184.77)</f>
        <v>184.77</v>
      </c>
      <c r="D8715" s="2">
        <f>IFERROR(__xludf.DUMMYFUNCTION("""COMPUTED_VALUE"""),181.48)</f>
        <v>181.48</v>
      </c>
      <c r="E8715" s="2">
        <f>IFERROR(__xludf.DUMMYFUNCTION("""COMPUTED_VALUE"""),183.87)</f>
        <v>183.87</v>
      </c>
      <c r="F8715" s="2">
        <f>IFERROR(__xludf.DUMMYFUNCTION("""COMPUTED_VALUE"""),8169325.0)</f>
        <v>8169325</v>
      </c>
    </row>
    <row r="8716">
      <c r="A8716" s="3">
        <f>IFERROR(__xludf.DUMMYFUNCTION("""COMPUTED_VALUE"""),41841.666666666664)</f>
        <v>41841.66667</v>
      </c>
      <c r="B8716" s="2">
        <f>IFERROR(__xludf.DUMMYFUNCTION("""COMPUTED_VALUE"""),182.72)</f>
        <v>182.72</v>
      </c>
      <c r="C8716" s="2">
        <f>IFERROR(__xludf.DUMMYFUNCTION("""COMPUTED_VALUE"""),183.1)</f>
        <v>183.1</v>
      </c>
      <c r="D8716" s="2">
        <f>IFERROR(__xludf.DUMMYFUNCTION("""COMPUTED_VALUE"""),180.76)</f>
        <v>180.76</v>
      </c>
      <c r="E8716" s="2">
        <f>IFERROR(__xludf.DUMMYFUNCTION("""COMPUTED_VALUE"""),182.29)</f>
        <v>182.29</v>
      </c>
      <c r="F8716" s="2">
        <f>IFERROR(__xludf.DUMMYFUNCTION("""COMPUTED_VALUE"""),4154740.0)</f>
        <v>4154740</v>
      </c>
    </row>
    <row r="8717">
      <c r="A8717" s="3">
        <f>IFERROR(__xludf.DUMMYFUNCTION("""COMPUTED_VALUE"""),41842.666666666664)</f>
        <v>41842.66667</v>
      </c>
      <c r="B8717" s="2">
        <f>IFERROR(__xludf.DUMMYFUNCTION("""COMPUTED_VALUE"""),183.0)</f>
        <v>183</v>
      </c>
      <c r="C8717" s="2">
        <f>IFERROR(__xludf.DUMMYFUNCTION("""COMPUTED_VALUE"""),185.99)</f>
        <v>185.99</v>
      </c>
      <c r="D8717" s="2">
        <f>IFERROR(__xludf.DUMMYFUNCTION("""COMPUTED_VALUE"""),182.97)</f>
        <v>182.97</v>
      </c>
      <c r="E8717" s="2">
        <f>IFERROR(__xludf.DUMMYFUNCTION("""COMPUTED_VALUE"""),185.39)</f>
        <v>185.39</v>
      </c>
      <c r="F8717" s="2">
        <f>IFERROR(__xludf.DUMMYFUNCTION("""COMPUTED_VALUE"""),4853041.0)</f>
        <v>4853041</v>
      </c>
    </row>
    <row r="8718">
      <c r="A8718" s="3">
        <f>IFERROR(__xludf.DUMMYFUNCTION("""COMPUTED_VALUE"""),41843.666666666664)</f>
        <v>41843.66667</v>
      </c>
      <c r="B8718" s="2">
        <f>IFERROR(__xludf.DUMMYFUNCTION("""COMPUTED_VALUE"""),185.41)</f>
        <v>185.41</v>
      </c>
      <c r="C8718" s="2">
        <f>IFERROR(__xludf.DUMMYFUNCTION("""COMPUTED_VALUE"""),186.16)</f>
        <v>186.16</v>
      </c>
      <c r="D8718" s="2">
        <f>IFERROR(__xludf.DUMMYFUNCTION("""COMPUTED_VALUE"""),184.89)</f>
        <v>184.89</v>
      </c>
      <c r="E8718" s="2">
        <f>IFERROR(__xludf.DUMMYFUNCTION("""COMPUTED_VALUE"""),184.95)</f>
        <v>184.95</v>
      </c>
      <c r="F8718" s="2">
        <f>IFERROR(__xludf.DUMMYFUNCTION("""COMPUTED_VALUE"""),3584465.0)</f>
        <v>3584465</v>
      </c>
    </row>
    <row r="8719">
      <c r="A8719" s="3">
        <f>IFERROR(__xludf.DUMMYFUNCTION("""COMPUTED_VALUE"""),41844.666666666664)</f>
        <v>41844.66667</v>
      </c>
      <c r="B8719" s="2">
        <f>IFERROR(__xludf.DUMMYFUNCTION("""COMPUTED_VALUE"""),185.25)</f>
        <v>185.25</v>
      </c>
      <c r="C8719" s="2">
        <f>IFERROR(__xludf.DUMMYFUNCTION("""COMPUTED_VALUE"""),186.85)</f>
        <v>186.85</v>
      </c>
      <c r="D8719" s="2">
        <f>IFERROR(__xludf.DUMMYFUNCTION("""COMPUTED_VALUE"""),185.06)</f>
        <v>185.06</v>
      </c>
      <c r="E8719" s="2">
        <f>IFERROR(__xludf.DUMMYFUNCTION("""COMPUTED_VALUE"""),186.49)</f>
        <v>186.49</v>
      </c>
      <c r="F8719" s="2">
        <f>IFERROR(__xludf.DUMMYFUNCTION("""COMPUTED_VALUE"""),3612656.0)</f>
        <v>3612656</v>
      </c>
    </row>
    <row r="8720">
      <c r="A8720" s="3">
        <f>IFERROR(__xludf.DUMMYFUNCTION("""COMPUTED_VALUE"""),41845.666666666664)</f>
        <v>41845.66667</v>
      </c>
      <c r="B8720" s="2">
        <f>IFERROR(__xludf.DUMMYFUNCTION("""COMPUTED_VALUE"""),186.54)</f>
        <v>186.54</v>
      </c>
      <c r="C8720" s="2">
        <f>IFERROR(__xludf.DUMMYFUNCTION("""COMPUTED_VALUE"""),187.12)</f>
        <v>187.12</v>
      </c>
      <c r="D8720" s="2">
        <f>IFERROR(__xludf.DUMMYFUNCTION("""COMPUTED_VALUE"""),185.1)</f>
        <v>185.1</v>
      </c>
      <c r="E8720" s="2">
        <f>IFERROR(__xludf.DUMMYFUNCTION("""COMPUTED_VALUE"""),185.68)</f>
        <v>185.68</v>
      </c>
      <c r="F8720" s="2">
        <f>IFERROR(__xludf.DUMMYFUNCTION("""COMPUTED_VALUE"""),3376455.0)</f>
        <v>3376455</v>
      </c>
    </row>
    <row r="8721">
      <c r="A8721" s="3">
        <f>IFERROR(__xludf.DUMMYFUNCTION("""COMPUTED_VALUE"""),41848.666666666664)</f>
        <v>41848.66667</v>
      </c>
      <c r="B8721" s="2">
        <f>IFERROR(__xludf.DUMMYFUNCTION("""COMPUTED_VALUE"""),185.59)</f>
        <v>185.59</v>
      </c>
      <c r="C8721" s="2">
        <f>IFERROR(__xludf.DUMMYFUNCTION("""COMPUTED_VALUE"""),187.59)</f>
        <v>187.59</v>
      </c>
      <c r="D8721" s="2">
        <f>IFERROR(__xludf.DUMMYFUNCTION("""COMPUTED_VALUE"""),184.97)</f>
        <v>184.97</v>
      </c>
      <c r="E8721" s="2">
        <f>IFERROR(__xludf.DUMMYFUNCTION("""COMPUTED_VALUE"""),187.0)</f>
        <v>187</v>
      </c>
      <c r="F8721" s="2">
        <f>IFERROR(__xludf.DUMMYFUNCTION("""COMPUTED_VALUE"""),3242443.0)</f>
        <v>3242443</v>
      </c>
    </row>
    <row r="8722">
      <c r="A8722" s="3">
        <f>IFERROR(__xludf.DUMMYFUNCTION("""COMPUTED_VALUE"""),41849.666666666664)</f>
        <v>41849.66667</v>
      </c>
      <c r="B8722" s="2">
        <f>IFERROR(__xludf.DUMMYFUNCTION("""COMPUTED_VALUE"""),186.54)</f>
        <v>186.54</v>
      </c>
      <c r="C8722" s="2">
        <f>IFERROR(__xludf.DUMMYFUNCTION("""COMPUTED_VALUE"""),187.11)</f>
        <v>187.11</v>
      </c>
      <c r="D8722" s="2">
        <f>IFERROR(__xludf.DUMMYFUNCTION("""COMPUTED_VALUE"""),185.82)</f>
        <v>185.82</v>
      </c>
      <c r="E8722" s="2">
        <f>IFERROR(__xludf.DUMMYFUNCTION("""COMPUTED_VALUE"""),185.85)</f>
        <v>185.85</v>
      </c>
      <c r="F8722" s="2">
        <f>IFERROR(__xludf.DUMMYFUNCTION("""COMPUTED_VALUE"""),3264409.0)</f>
        <v>3264409</v>
      </c>
    </row>
    <row r="8723">
      <c r="A8723" s="3">
        <f>IFERROR(__xludf.DUMMYFUNCTION("""COMPUTED_VALUE"""),41850.666666666664)</f>
        <v>41850.66667</v>
      </c>
      <c r="B8723" s="2">
        <f>IFERROR(__xludf.DUMMYFUNCTION("""COMPUTED_VALUE"""),186.45)</f>
        <v>186.45</v>
      </c>
      <c r="C8723" s="2">
        <f>IFERROR(__xludf.DUMMYFUNCTION("""COMPUTED_VALUE"""),187.2)</f>
        <v>187.2</v>
      </c>
      <c r="D8723" s="2">
        <f>IFERROR(__xludf.DUMMYFUNCTION("""COMPUTED_VALUE"""),184.25)</f>
        <v>184.25</v>
      </c>
      <c r="E8723" s="2">
        <f>IFERROR(__xludf.DUMMYFUNCTION("""COMPUTED_VALUE"""),185.3)</f>
        <v>185.3</v>
      </c>
      <c r="F8723" s="2">
        <f>IFERROR(__xludf.DUMMYFUNCTION("""COMPUTED_VALUE"""),3945601.0)</f>
        <v>3945601</v>
      </c>
    </row>
    <row r="8724">
      <c r="A8724" s="3">
        <f>IFERROR(__xludf.DUMMYFUNCTION("""COMPUTED_VALUE"""),41851.666666666664)</f>
        <v>41851.66667</v>
      </c>
      <c r="B8724" s="2">
        <f>IFERROR(__xludf.DUMMYFUNCTION("""COMPUTED_VALUE"""),184.19)</f>
        <v>184.19</v>
      </c>
      <c r="C8724" s="2">
        <f>IFERROR(__xludf.DUMMYFUNCTION("""COMPUTED_VALUE"""),185.58)</f>
        <v>185.58</v>
      </c>
      <c r="D8724" s="2">
        <f>IFERROR(__xludf.DUMMYFUNCTION("""COMPUTED_VALUE"""),182.95)</f>
        <v>182.95</v>
      </c>
      <c r="E8724" s="2">
        <f>IFERROR(__xludf.DUMMYFUNCTION("""COMPUTED_VALUE"""),183.08)</f>
        <v>183.08</v>
      </c>
      <c r="F8724" s="2">
        <f>IFERROR(__xludf.DUMMYFUNCTION("""COMPUTED_VALUE"""),4208005.0)</f>
        <v>4208005</v>
      </c>
    </row>
    <row r="8725">
      <c r="A8725" s="3">
        <f>IFERROR(__xludf.DUMMYFUNCTION("""COMPUTED_VALUE"""),41852.666666666664)</f>
        <v>41852.66667</v>
      </c>
      <c r="B8725" s="2">
        <f>IFERROR(__xludf.DUMMYFUNCTION("""COMPUTED_VALUE"""),181.96)</f>
        <v>181.96</v>
      </c>
      <c r="C8725" s="2">
        <f>IFERROR(__xludf.DUMMYFUNCTION("""COMPUTED_VALUE"""),182.91)</f>
        <v>182.91</v>
      </c>
      <c r="D8725" s="2">
        <f>IFERROR(__xludf.DUMMYFUNCTION("""COMPUTED_VALUE"""),180.39)</f>
        <v>180.39</v>
      </c>
      <c r="E8725" s="2">
        <f>IFERROR(__xludf.DUMMYFUNCTION("""COMPUTED_VALUE"""),180.67)</f>
        <v>180.67</v>
      </c>
      <c r="F8725" s="2">
        <f>IFERROR(__xludf.DUMMYFUNCTION("""COMPUTED_VALUE"""),5181080.0)</f>
        <v>5181080</v>
      </c>
    </row>
    <row r="8726">
      <c r="A8726" s="3">
        <f>IFERROR(__xludf.DUMMYFUNCTION("""COMPUTED_VALUE"""),41855.666666666664)</f>
        <v>41855.66667</v>
      </c>
      <c r="B8726" s="2">
        <f>IFERROR(__xludf.DUMMYFUNCTION("""COMPUTED_VALUE"""),180.86)</f>
        <v>180.86</v>
      </c>
      <c r="C8726" s="2">
        <f>IFERROR(__xludf.DUMMYFUNCTION("""COMPUTED_VALUE"""),181.43)</f>
        <v>181.43</v>
      </c>
      <c r="D8726" s="2">
        <f>IFERROR(__xludf.DUMMYFUNCTION("""COMPUTED_VALUE"""),180.14)</f>
        <v>180.14</v>
      </c>
      <c r="E8726" s="2">
        <f>IFERROR(__xludf.DUMMYFUNCTION("""COMPUTED_VALUE"""),181.14)</f>
        <v>181.14</v>
      </c>
      <c r="F8726" s="2">
        <f>IFERROR(__xludf.DUMMYFUNCTION("""COMPUTED_VALUE"""),2125935.0)</f>
        <v>2125935</v>
      </c>
    </row>
    <row r="8727">
      <c r="A8727" s="3">
        <f>IFERROR(__xludf.DUMMYFUNCTION("""COMPUTED_VALUE"""),41856.666666666664)</f>
        <v>41856.66667</v>
      </c>
      <c r="B8727" s="2">
        <f>IFERROR(__xludf.DUMMYFUNCTION("""COMPUTED_VALUE"""),180.29)</f>
        <v>180.29</v>
      </c>
      <c r="C8727" s="2">
        <f>IFERROR(__xludf.DUMMYFUNCTION("""COMPUTED_VALUE"""),180.71)</f>
        <v>180.71</v>
      </c>
      <c r="D8727" s="2">
        <f>IFERROR(__xludf.DUMMYFUNCTION("""COMPUTED_VALUE"""),178.08)</f>
        <v>178.08</v>
      </c>
      <c r="E8727" s="2">
        <f>IFERROR(__xludf.DUMMYFUNCTION("""COMPUTED_VALUE"""),178.71)</f>
        <v>178.71</v>
      </c>
      <c r="F8727" s="2">
        <f>IFERROR(__xludf.DUMMYFUNCTION("""COMPUTED_VALUE"""),3307945.0)</f>
        <v>3307945</v>
      </c>
    </row>
    <row r="8728">
      <c r="A8728" s="3">
        <f>IFERROR(__xludf.DUMMYFUNCTION("""COMPUTED_VALUE"""),41857.666666666664)</f>
        <v>41857.66667</v>
      </c>
      <c r="B8728" s="2">
        <f>IFERROR(__xludf.DUMMYFUNCTION("""COMPUTED_VALUE"""),177.05)</f>
        <v>177.05</v>
      </c>
      <c r="C8728" s="2">
        <f>IFERROR(__xludf.DUMMYFUNCTION("""COMPUTED_VALUE"""),178.5)</f>
        <v>178.5</v>
      </c>
      <c r="D8728" s="2">
        <f>IFERROR(__xludf.DUMMYFUNCTION("""COMPUTED_VALUE"""),176.17)</f>
        <v>176.17</v>
      </c>
      <c r="E8728" s="2">
        <f>IFERROR(__xludf.DUMMYFUNCTION("""COMPUTED_VALUE"""),177.63)</f>
        <v>177.63</v>
      </c>
      <c r="F8728" s="2">
        <f>IFERROR(__xludf.DUMMYFUNCTION("""COMPUTED_VALUE"""),3847046.0)</f>
        <v>3847046</v>
      </c>
    </row>
    <row r="8729">
      <c r="A8729" s="3">
        <f>IFERROR(__xludf.DUMMYFUNCTION("""COMPUTED_VALUE"""),41858.666666666664)</f>
        <v>41858.66667</v>
      </c>
      <c r="B8729" s="2">
        <f>IFERROR(__xludf.DUMMYFUNCTION("""COMPUTED_VALUE"""),178.27)</f>
        <v>178.27</v>
      </c>
      <c r="C8729" s="2">
        <f>IFERROR(__xludf.DUMMYFUNCTION("""COMPUTED_VALUE"""),178.31)</f>
        <v>178.31</v>
      </c>
      <c r="D8729" s="2">
        <f>IFERROR(__xludf.DUMMYFUNCTION("""COMPUTED_VALUE"""),175.35)</f>
        <v>175.35</v>
      </c>
      <c r="E8729" s="2">
        <f>IFERROR(__xludf.DUMMYFUNCTION("""COMPUTED_VALUE"""),176.04)</f>
        <v>176.04</v>
      </c>
      <c r="F8729" s="2">
        <f>IFERROR(__xludf.DUMMYFUNCTION("""COMPUTED_VALUE"""),2708935.0)</f>
        <v>2708935</v>
      </c>
    </row>
    <row r="8730">
      <c r="A8730" s="3">
        <f>IFERROR(__xludf.DUMMYFUNCTION("""COMPUTED_VALUE"""),41859.666666666664)</f>
        <v>41859.66667</v>
      </c>
      <c r="B8730" s="2">
        <f>IFERROR(__xludf.DUMMYFUNCTION("""COMPUTED_VALUE"""),176.13)</f>
        <v>176.13</v>
      </c>
      <c r="C8730" s="2">
        <f>IFERROR(__xludf.DUMMYFUNCTION("""COMPUTED_VALUE"""),178.3)</f>
        <v>178.3</v>
      </c>
      <c r="D8730" s="2">
        <f>IFERROR(__xludf.DUMMYFUNCTION("""COMPUTED_VALUE"""),175.35)</f>
        <v>175.35</v>
      </c>
      <c r="E8730" s="2">
        <f>IFERROR(__xludf.DUMMYFUNCTION("""COMPUTED_VALUE"""),178.26)</f>
        <v>178.26</v>
      </c>
      <c r="F8730" s="2">
        <f>IFERROR(__xludf.DUMMYFUNCTION("""COMPUTED_VALUE"""),2781936.0)</f>
        <v>2781936</v>
      </c>
    </row>
    <row r="8731">
      <c r="A8731" s="3">
        <f>IFERROR(__xludf.DUMMYFUNCTION("""COMPUTED_VALUE"""),41862.666666666664)</f>
        <v>41862.66667</v>
      </c>
      <c r="B8731" s="2">
        <f>IFERROR(__xludf.DUMMYFUNCTION("""COMPUTED_VALUE"""),179.39)</f>
        <v>179.39</v>
      </c>
      <c r="C8731" s="2">
        <f>IFERROR(__xludf.DUMMYFUNCTION("""COMPUTED_VALUE"""),179.91)</f>
        <v>179.91</v>
      </c>
      <c r="D8731" s="2">
        <f>IFERROR(__xludf.DUMMYFUNCTION("""COMPUTED_VALUE"""),177.93)</f>
        <v>177.93</v>
      </c>
      <c r="E8731" s="2">
        <f>IFERROR(__xludf.DUMMYFUNCTION("""COMPUTED_VALUE"""),179.06)</f>
        <v>179.06</v>
      </c>
      <c r="F8731" s="2">
        <f>IFERROR(__xludf.DUMMYFUNCTION("""COMPUTED_VALUE"""),2527208.0)</f>
        <v>2527208</v>
      </c>
    </row>
    <row r="8732">
      <c r="A8732" s="3">
        <f>IFERROR(__xludf.DUMMYFUNCTION("""COMPUTED_VALUE"""),41863.666666666664)</f>
        <v>41863.66667</v>
      </c>
      <c r="B8732" s="2">
        <f>IFERROR(__xludf.DUMMYFUNCTION("""COMPUTED_VALUE"""),179.05)</f>
        <v>179.05</v>
      </c>
      <c r="C8732" s="2">
        <f>IFERROR(__xludf.DUMMYFUNCTION("""COMPUTED_VALUE"""),180.23)</f>
        <v>180.23</v>
      </c>
      <c r="D8732" s="2">
        <f>IFERROR(__xludf.DUMMYFUNCTION("""COMPUTED_VALUE"""),178.43)</f>
        <v>178.43</v>
      </c>
      <c r="E8732" s="2">
        <f>IFERROR(__xludf.DUMMYFUNCTION("""COMPUTED_VALUE"""),178.94)</f>
        <v>178.94</v>
      </c>
      <c r="F8732" s="2">
        <f>IFERROR(__xludf.DUMMYFUNCTION("""COMPUTED_VALUE"""),1858635.0)</f>
        <v>1858635</v>
      </c>
    </row>
    <row r="8733">
      <c r="A8733" s="3">
        <f>IFERROR(__xludf.DUMMYFUNCTION("""COMPUTED_VALUE"""),41864.666666666664)</f>
        <v>41864.66667</v>
      </c>
      <c r="B8733" s="2">
        <f>IFERROR(__xludf.DUMMYFUNCTION("""COMPUTED_VALUE"""),179.57)</f>
        <v>179.57</v>
      </c>
      <c r="C8733" s="2">
        <f>IFERROR(__xludf.DUMMYFUNCTION("""COMPUTED_VALUE"""),180.03)</f>
        <v>180.03</v>
      </c>
      <c r="D8733" s="2">
        <f>IFERROR(__xludf.DUMMYFUNCTION("""COMPUTED_VALUE"""),178.97)</f>
        <v>178.97</v>
      </c>
      <c r="E8733" s="2">
        <f>IFERROR(__xludf.DUMMYFUNCTION("""COMPUTED_VALUE"""),179.52)</f>
        <v>179.52</v>
      </c>
      <c r="F8733" s="2">
        <f>IFERROR(__xludf.DUMMYFUNCTION("""COMPUTED_VALUE"""),1797016.0)</f>
        <v>1797016</v>
      </c>
    </row>
    <row r="8734">
      <c r="A8734" s="3">
        <f>IFERROR(__xludf.DUMMYFUNCTION("""COMPUTED_VALUE"""),41865.666666666664)</f>
        <v>41865.66667</v>
      </c>
      <c r="B8734" s="2">
        <f>IFERROR(__xludf.DUMMYFUNCTION("""COMPUTED_VALUE"""),179.16)</f>
        <v>179.16</v>
      </c>
      <c r="C8734" s="2">
        <f>IFERROR(__xludf.DUMMYFUNCTION("""COMPUTED_VALUE"""),179.73)</f>
        <v>179.73</v>
      </c>
      <c r="D8734" s="2">
        <f>IFERROR(__xludf.DUMMYFUNCTION("""COMPUTED_VALUE"""),178.55)</f>
        <v>178.55</v>
      </c>
      <c r="E8734" s="2">
        <f>IFERROR(__xludf.DUMMYFUNCTION("""COMPUTED_VALUE"""),179.46)</f>
        <v>179.46</v>
      </c>
      <c r="F8734" s="2">
        <f>IFERROR(__xludf.DUMMYFUNCTION("""COMPUTED_VALUE"""),1929581.0)</f>
        <v>1929581</v>
      </c>
    </row>
    <row r="8735">
      <c r="A8735" s="3">
        <f>IFERROR(__xludf.DUMMYFUNCTION("""COMPUTED_VALUE"""),41866.666666666664)</f>
        <v>41866.66667</v>
      </c>
      <c r="B8735" s="2">
        <f>IFERROR(__xludf.DUMMYFUNCTION("""COMPUTED_VALUE"""),179.43)</f>
        <v>179.43</v>
      </c>
      <c r="C8735" s="2">
        <f>IFERROR(__xludf.DUMMYFUNCTION("""COMPUTED_VALUE"""),180.41)</f>
        <v>180.41</v>
      </c>
      <c r="D8735" s="2">
        <f>IFERROR(__xludf.DUMMYFUNCTION("""COMPUTED_VALUE"""),178.42)</f>
        <v>178.42</v>
      </c>
      <c r="E8735" s="2">
        <f>IFERROR(__xludf.DUMMYFUNCTION("""COMPUTED_VALUE"""),178.98)</f>
        <v>178.98</v>
      </c>
      <c r="F8735" s="2">
        <f>IFERROR(__xludf.DUMMYFUNCTION("""COMPUTED_VALUE"""),2815822.0)</f>
        <v>2815822</v>
      </c>
    </row>
    <row r="8736">
      <c r="A8736" s="3">
        <f>IFERROR(__xludf.DUMMYFUNCTION("""COMPUTED_VALUE"""),41869.666666666664)</f>
        <v>41869.66667</v>
      </c>
      <c r="B8736" s="2">
        <f>IFERROR(__xludf.DUMMYFUNCTION("""COMPUTED_VALUE"""),179.67)</f>
        <v>179.67</v>
      </c>
      <c r="C8736" s="2">
        <f>IFERROR(__xludf.DUMMYFUNCTION("""COMPUTED_VALUE"""),181.3)</f>
        <v>181.3</v>
      </c>
      <c r="D8736" s="2">
        <f>IFERROR(__xludf.DUMMYFUNCTION("""COMPUTED_VALUE"""),179.34)</f>
        <v>179.34</v>
      </c>
      <c r="E8736" s="2">
        <f>IFERROR(__xludf.DUMMYFUNCTION("""COMPUTED_VALUE"""),180.87)</f>
        <v>180.87</v>
      </c>
      <c r="F8736" s="2">
        <f>IFERROR(__xludf.DUMMYFUNCTION("""COMPUTED_VALUE"""),2420398.0)</f>
        <v>2420398</v>
      </c>
    </row>
    <row r="8737">
      <c r="A8737" s="3">
        <f>IFERROR(__xludf.DUMMYFUNCTION("""COMPUTED_VALUE"""),41870.666666666664)</f>
        <v>41870.66667</v>
      </c>
      <c r="B8737" s="2">
        <f>IFERROR(__xludf.DUMMYFUNCTION("""COMPUTED_VALUE"""),181.52)</f>
        <v>181.52</v>
      </c>
      <c r="C8737" s="2">
        <f>IFERROR(__xludf.DUMMYFUNCTION("""COMPUTED_VALUE"""),181.72)</f>
        <v>181.72</v>
      </c>
      <c r="D8737" s="2">
        <f>IFERROR(__xludf.DUMMYFUNCTION("""COMPUTED_VALUE"""),180.87)</f>
        <v>180.87</v>
      </c>
      <c r="E8737" s="2">
        <f>IFERROR(__xludf.DUMMYFUNCTION("""COMPUTED_VALUE"""),181.55)</f>
        <v>181.55</v>
      </c>
      <c r="F8737" s="2">
        <f>IFERROR(__xludf.DUMMYFUNCTION("""COMPUTED_VALUE"""),2040117.0)</f>
        <v>2040117</v>
      </c>
    </row>
    <row r="8738">
      <c r="A8738" s="3">
        <f>IFERROR(__xludf.DUMMYFUNCTION("""COMPUTED_VALUE"""),41871.666666666664)</f>
        <v>41871.66667</v>
      </c>
      <c r="B8738" s="2">
        <f>IFERROR(__xludf.DUMMYFUNCTION("""COMPUTED_VALUE"""),181.35)</f>
        <v>181.35</v>
      </c>
      <c r="C8738" s="2">
        <f>IFERROR(__xludf.DUMMYFUNCTION("""COMPUTED_VALUE"""),181.85)</f>
        <v>181.85</v>
      </c>
      <c r="D8738" s="2">
        <f>IFERROR(__xludf.DUMMYFUNCTION("""COMPUTED_VALUE"""),180.76)</f>
        <v>180.76</v>
      </c>
      <c r="E8738" s="2">
        <f>IFERROR(__xludf.DUMMYFUNCTION("""COMPUTED_VALUE"""),181.58)</f>
        <v>181.58</v>
      </c>
      <c r="F8738" s="2">
        <f>IFERROR(__xludf.DUMMYFUNCTION("""COMPUTED_VALUE"""),2177702.0)</f>
        <v>2177702</v>
      </c>
    </row>
    <row r="8739">
      <c r="A8739" s="3">
        <f>IFERROR(__xludf.DUMMYFUNCTION("""COMPUTED_VALUE"""),41872.666666666664)</f>
        <v>41872.66667</v>
      </c>
      <c r="B8739" s="2">
        <f>IFERROR(__xludf.DUMMYFUNCTION("""COMPUTED_VALUE"""),182.34)</f>
        <v>182.34</v>
      </c>
      <c r="C8739" s="2">
        <f>IFERROR(__xludf.DUMMYFUNCTION("""COMPUTED_VALUE"""),183.46)</f>
        <v>183.46</v>
      </c>
      <c r="D8739" s="2">
        <f>IFERROR(__xludf.DUMMYFUNCTION("""COMPUTED_VALUE"""),181.96)</f>
        <v>181.96</v>
      </c>
      <c r="E8739" s="2">
        <f>IFERROR(__xludf.DUMMYFUNCTION("""COMPUTED_VALUE"""),182.66)</f>
        <v>182.66</v>
      </c>
      <c r="F8739" s="2">
        <f>IFERROR(__xludf.DUMMYFUNCTION("""COMPUTED_VALUE"""),2497985.0)</f>
        <v>2497985</v>
      </c>
    </row>
    <row r="8740">
      <c r="A8740" s="3">
        <f>IFERROR(__xludf.DUMMYFUNCTION("""COMPUTED_VALUE"""),41873.666666666664)</f>
        <v>41873.66667</v>
      </c>
      <c r="B8740" s="2">
        <f>IFERROR(__xludf.DUMMYFUNCTION("""COMPUTED_VALUE"""),182.22)</f>
        <v>182.22</v>
      </c>
      <c r="C8740" s="2">
        <f>IFERROR(__xludf.DUMMYFUNCTION("""COMPUTED_VALUE"""),183.28)</f>
        <v>183.28</v>
      </c>
      <c r="D8740" s="2">
        <f>IFERROR(__xludf.DUMMYFUNCTION("""COMPUTED_VALUE"""),181.76)</f>
        <v>181.76</v>
      </c>
      <c r="E8740" s="2">
        <f>IFERROR(__xludf.DUMMYFUNCTION("""COMPUTED_VALUE"""),181.87)</f>
        <v>181.87</v>
      </c>
      <c r="F8740" s="2">
        <f>IFERROR(__xludf.DUMMYFUNCTION("""COMPUTED_VALUE"""),1940434.0)</f>
        <v>1940434</v>
      </c>
    </row>
    <row r="8741">
      <c r="A8741" s="3">
        <f>IFERROR(__xludf.DUMMYFUNCTION("""COMPUTED_VALUE"""),41876.666666666664)</f>
        <v>41876.66667</v>
      </c>
      <c r="B8741" s="2">
        <f>IFERROR(__xludf.DUMMYFUNCTION("""COMPUTED_VALUE"""),182.81)</f>
        <v>182.81</v>
      </c>
      <c r="C8741" s="2">
        <f>IFERROR(__xludf.DUMMYFUNCTION("""COMPUTED_VALUE"""),183.21)</f>
        <v>183.21</v>
      </c>
      <c r="D8741" s="2">
        <f>IFERROR(__xludf.DUMMYFUNCTION("""COMPUTED_VALUE"""),182.16)</f>
        <v>182.16</v>
      </c>
      <c r="E8741" s="2">
        <f>IFERROR(__xludf.DUMMYFUNCTION("""COMPUTED_VALUE"""),182.59)</f>
        <v>182.59</v>
      </c>
      <c r="F8741" s="2">
        <f>IFERROR(__xludf.DUMMYFUNCTION("""COMPUTED_VALUE"""),1726100.0)</f>
        <v>1726100</v>
      </c>
    </row>
    <row r="8742">
      <c r="A8742" s="3">
        <f>IFERROR(__xludf.DUMMYFUNCTION("""COMPUTED_VALUE"""),41877.666666666664)</f>
        <v>41877.66667</v>
      </c>
      <c r="B8742" s="2">
        <f>IFERROR(__xludf.DUMMYFUNCTION("""COMPUTED_VALUE"""),182.46)</f>
        <v>182.46</v>
      </c>
      <c r="C8742" s="2">
        <f>IFERROR(__xludf.DUMMYFUNCTION("""COMPUTED_VALUE"""),184.85)</f>
        <v>184.85</v>
      </c>
      <c r="D8742" s="2">
        <f>IFERROR(__xludf.DUMMYFUNCTION("""COMPUTED_VALUE"""),182.46)</f>
        <v>182.46</v>
      </c>
      <c r="E8742" s="2">
        <f>IFERROR(__xludf.DUMMYFUNCTION("""COMPUTED_VALUE"""),184.34)</f>
        <v>184.34</v>
      </c>
      <c r="F8742" s="2">
        <f>IFERROR(__xludf.DUMMYFUNCTION("""COMPUTED_VALUE"""),3175399.0)</f>
        <v>3175399</v>
      </c>
    </row>
    <row r="8743">
      <c r="A8743" s="3">
        <f>IFERROR(__xludf.DUMMYFUNCTION("""COMPUTED_VALUE"""),41878.666666666664)</f>
        <v>41878.66667</v>
      </c>
      <c r="B8743" s="2">
        <f>IFERROR(__xludf.DUMMYFUNCTION("""COMPUTED_VALUE"""),184.38)</f>
        <v>184.38</v>
      </c>
      <c r="C8743" s="2">
        <f>IFERROR(__xludf.DUMMYFUNCTION("""COMPUTED_VALUE"""),185.43)</f>
        <v>185.43</v>
      </c>
      <c r="D8743" s="2">
        <f>IFERROR(__xludf.DUMMYFUNCTION("""COMPUTED_VALUE"""),182.97)</f>
        <v>182.97</v>
      </c>
      <c r="E8743" s="2">
        <f>IFERROR(__xludf.DUMMYFUNCTION("""COMPUTED_VALUE"""),183.63)</f>
        <v>183.63</v>
      </c>
      <c r="F8743" s="2">
        <f>IFERROR(__xludf.DUMMYFUNCTION("""COMPUTED_VALUE"""),2190285.0)</f>
        <v>2190285</v>
      </c>
    </row>
    <row r="8744">
      <c r="A8744" s="3">
        <f>IFERROR(__xludf.DUMMYFUNCTION("""COMPUTED_VALUE"""),41879.666666666664)</f>
        <v>41879.66667</v>
      </c>
      <c r="B8744" s="2">
        <f>IFERROR(__xludf.DUMMYFUNCTION("""COMPUTED_VALUE"""),182.89)</f>
        <v>182.89</v>
      </c>
      <c r="C8744" s="2">
        <f>IFERROR(__xludf.DUMMYFUNCTION("""COMPUTED_VALUE"""),183.68)</f>
        <v>183.68</v>
      </c>
      <c r="D8744" s="2">
        <f>IFERROR(__xludf.DUMMYFUNCTION("""COMPUTED_VALUE"""),182.11)</f>
        <v>182.11</v>
      </c>
      <c r="E8744" s="2">
        <f>IFERROR(__xludf.DUMMYFUNCTION("""COMPUTED_VALUE"""),183.39)</f>
        <v>183.39</v>
      </c>
      <c r="F8744" s="2">
        <f>IFERROR(__xludf.DUMMYFUNCTION("""COMPUTED_VALUE"""),1503582.0)</f>
        <v>1503582</v>
      </c>
    </row>
    <row r="8745">
      <c r="A8745" s="3">
        <f>IFERROR(__xludf.DUMMYFUNCTION("""COMPUTED_VALUE"""),41880.666666666664)</f>
        <v>41880.66667</v>
      </c>
      <c r="B8745" s="2">
        <f>IFERROR(__xludf.DUMMYFUNCTION("""COMPUTED_VALUE"""),183.66)</f>
        <v>183.66</v>
      </c>
      <c r="C8745" s="2">
        <f>IFERROR(__xludf.DUMMYFUNCTION("""COMPUTED_VALUE"""),184.11)</f>
        <v>184.11</v>
      </c>
      <c r="D8745" s="2">
        <f>IFERROR(__xludf.DUMMYFUNCTION("""COMPUTED_VALUE"""),182.57)</f>
        <v>182.57</v>
      </c>
      <c r="E8745" s="2">
        <f>IFERROR(__xludf.DUMMYFUNCTION("""COMPUTED_VALUE"""),183.68)</f>
        <v>183.68</v>
      </c>
      <c r="F8745" s="2">
        <f>IFERROR(__xludf.DUMMYFUNCTION("""COMPUTED_VALUE"""),2911097.0)</f>
        <v>2911097</v>
      </c>
    </row>
    <row r="8746">
      <c r="A8746" s="3">
        <f>IFERROR(__xludf.DUMMYFUNCTION("""COMPUTED_VALUE"""),41884.666666666664)</f>
        <v>41884.66667</v>
      </c>
      <c r="B8746" s="2">
        <f>IFERROR(__xludf.DUMMYFUNCTION("""COMPUTED_VALUE"""),184.04)</f>
        <v>184.04</v>
      </c>
      <c r="C8746" s="2">
        <f>IFERROR(__xludf.DUMMYFUNCTION("""COMPUTED_VALUE"""),184.32)</f>
        <v>184.32</v>
      </c>
      <c r="D8746" s="2">
        <f>IFERROR(__xludf.DUMMYFUNCTION("""COMPUTED_VALUE"""),182.37)</f>
        <v>182.37</v>
      </c>
      <c r="E8746" s="2">
        <f>IFERROR(__xludf.DUMMYFUNCTION("""COMPUTED_VALUE"""),182.97)</f>
        <v>182.97</v>
      </c>
      <c r="F8746" s="2">
        <f>IFERROR(__xludf.DUMMYFUNCTION("""COMPUTED_VALUE"""),2679659.0)</f>
        <v>2679659</v>
      </c>
    </row>
    <row r="8747">
      <c r="A8747" s="3">
        <f>IFERROR(__xludf.DUMMYFUNCTION("""COMPUTED_VALUE"""),41885.666666666664)</f>
        <v>41885.66667</v>
      </c>
      <c r="B8747" s="2">
        <f>IFERROR(__xludf.DUMMYFUNCTION("""COMPUTED_VALUE"""),183.76)</f>
        <v>183.76</v>
      </c>
      <c r="C8747" s="2">
        <f>IFERROR(__xludf.DUMMYFUNCTION("""COMPUTED_VALUE"""),184.3)</f>
        <v>184.3</v>
      </c>
      <c r="D8747" s="2">
        <f>IFERROR(__xludf.DUMMYFUNCTION("""COMPUTED_VALUE"""),183.26)</f>
        <v>183.26</v>
      </c>
      <c r="E8747" s="2">
        <f>IFERROR(__xludf.DUMMYFUNCTION("""COMPUTED_VALUE"""),183.34)</f>
        <v>183.34</v>
      </c>
      <c r="F8747" s="2">
        <f>IFERROR(__xludf.DUMMYFUNCTION("""COMPUTED_VALUE"""),1824378.0)</f>
        <v>1824378</v>
      </c>
    </row>
    <row r="8748">
      <c r="A8748" s="3">
        <f>IFERROR(__xludf.DUMMYFUNCTION("""COMPUTED_VALUE"""),41886.666666666664)</f>
        <v>41886.66667</v>
      </c>
      <c r="B8748" s="2">
        <f>IFERROR(__xludf.DUMMYFUNCTION("""COMPUTED_VALUE"""),183.1)</f>
        <v>183.1</v>
      </c>
      <c r="C8748" s="2">
        <f>IFERROR(__xludf.DUMMYFUNCTION("""COMPUTED_VALUE"""),184.05)</f>
        <v>184.05</v>
      </c>
      <c r="D8748" s="2">
        <f>IFERROR(__xludf.DUMMYFUNCTION("""COMPUTED_VALUE"""),181.54)</f>
        <v>181.54</v>
      </c>
      <c r="E8748" s="2">
        <f>IFERROR(__xludf.DUMMYFUNCTION("""COMPUTED_VALUE"""),182.13)</f>
        <v>182.13</v>
      </c>
      <c r="F8748" s="2">
        <f>IFERROR(__xludf.DUMMYFUNCTION("""COMPUTED_VALUE"""),2868754.0)</f>
        <v>2868754</v>
      </c>
    </row>
    <row r="8749">
      <c r="A8749" s="3">
        <f>IFERROR(__xludf.DUMMYFUNCTION("""COMPUTED_VALUE"""),41887.666666666664)</f>
        <v>41887.66667</v>
      </c>
      <c r="B8749" s="2">
        <f>IFERROR(__xludf.DUMMYFUNCTION("""COMPUTED_VALUE"""),181.99)</f>
        <v>181.99</v>
      </c>
      <c r="C8749" s="2">
        <f>IFERROR(__xludf.DUMMYFUNCTION("""COMPUTED_VALUE"""),183.15)</f>
        <v>183.15</v>
      </c>
      <c r="D8749" s="2">
        <f>IFERROR(__xludf.DUMMYFUNCTION("""COMPUTED_VALUE"""),181.57)</f>
        <v>181.57</v>
      </c>
      <c r="E8749" s="2">
        <f>IFERROR(__xludf.DUMMYFUNCTION("""COMPUTED_VALUE"""),182.63)</f>
        <v>182.63</v>
      </c>
      <c r="F8749" s="2">
        <f>IFERROR(__xludf.DUMMYFUNCTION("""COMPUTED_VALUE"""),2261215.0)</f>
        <v>2261215</v>
      </c>
    </row>
    <row r="8750">
      <c r="A8750" s="3">
        <f>IFERROR(__xludf.DUMMYFUNCTION("""COMPUTED_VALUE"""),41890.666666666664)</f>
        <v>41890.66667</v>
      </c>
      <c r="B8750" s="2">
        <f>IFERROR(__xludf.DUMMYFUNCTION("""COMPUTED_VALUE"""),182.2)</f>
        <v>182.2</v>
      </c>
      <c r="C8750" s="2">
        <f>IFERROR(__xludf.DUMMYFUNCTION("""COMPUTED_VALUE"""),182.63)</f>
        <v>182.63</v>
      </c>
      <c r="D8750" s="2">
        <f>IFERROR(__xludf.DUMMYFUNCTION("""COMPUTED_VALUE"""),181.01)</f>
        <v>181.01</v>
      </c>
      <c r="E8750" s="2">
        <f>IFERROR(__xludf.DUMMYFUNCTION("""COMPUTED_VALUE"""),181.61)</f>
        <v>181.61</v>
      </c>
      <c r="F8750" s="2">
        <f>IFERROR(__xludf.DUMMYFUNCTION("""COMPUTED_VALUE"""),2525626.0)</f>
        <v>2525626</v>
      </c>
    </row>
    <row r="8751">
      <c r="A8751" s="3">
        <f>IFERROR(__xludf.DUMMYFUNCTION("""COMPUTED_VALUE"""),41891.666666666664)</f>
        <v>41891.66667</v>
      </c>
      <c r="B8751" s="2">
        <f>IFERROR(__xludf.DUMMYFUNCTION("""COMPUTED_VALUE"""),181.81)</f>
        <v>181.81</v>
      </c>
      <c r="C8751" s="2">
        <f>IFERROR(__xludf.DUMMYFUNCTION("""COMPUTED_VALUE"""),182.19)</f>
        <v>182.19</v>
      </c>
      <c r="D8751" s="2">
        <f>IFERROR(__xludf.DUMMYFUNCTION("""COMPUTED_VALUE"""),181.27)</f>
        <v>181.27</v>
      </c>
      <c r="E8751" s="2">
        <f>IFERROR(__xludf.DUMMYFUNCTION("""COMPUTED_VALUE"""),181.47)</f>
        <v>181.47</v>
      </c>
      <c r="F8751" s="2">
        <f>IFERROR(__xludf.DUMMYFUNCTION("""COMPUTED_VALUE"""),2403631.0)</f>
        <v>2403631</v>
      </c>
    </row>
    <row r="8752">
      <c r="A8752" s="3">
        <f>IFERROR(__xludf.DUMMYFUNCTION("""COMPUTED_VALUE"""),41892.666666666664)</f>
        <v>41892.66667</v>
      </c>
      <c r="B8752" s="2">
        <f>IFERROR(__xludf.DUMMYFUNCTION("""COMPUTED_VALUE"""),181.6)</f>
        <v>181.6</v>
      </c>
      <c r="C8752" s="2">
        <f>IFERROR(__xludf.DUMMYFUNCTION("""COMPUTED_VALUE"""),183.53)</f>
        <v>183.53</v>
      </c>
      <c r="D8752" s="2">
        <f>IFERROR(__xludf.DUMMYFUNCTION("""COMPUTED_VALUE"""),181.58)</f>
        <v>181.58</v>
      </c>
      <c r="E8752" s="2">
        <f>IFERROR(__xludf.DUMMYFUNCTION("""COMPUTED_VALUE"""),182.95)</f>
        <v>182.95</v>
      </c>
      <c r="F8752" s="2">
        <f>IFERROR(__xludf.DUMMYFUNCTION("""COMPUTED_VALUE"""),2765324.0)</f>
        <v>2765324</v>
      </c>
    </row>
    <row r="8753">
      <c r="A8753" s="3">
        <f>IFERROR(__xludf.DUMMYFUNCTION("""COMPUTED_VALUE"""),41893.666666666664)</f>
        <v>41893.66667</v>
      </c>
      <c r="B8753" s="2">
        <f>IFERROR(__xludf.DUMMYFUNCTION("""COMPUTED_VALUE"""),182.51)</f>
        <v>182.51</v>
      </c>
      <c r="C8753" s="2">
        <f>IFERROR(__xludf.DUMMYFUNCTION("""COMPUTED_VALUE"""),184.14)</f>
        <v>184.14</v>
      </c>
      <c r="D8753" s="2">
        <f>IFERROR(__xludf.DUMMYFUNCTION("""COMPUTED_VALUE"""),181.6)</f>
        <v>181.6</v>
      </c>
      <c r="E8753" s="2">
        <f>IFERROR(__xludf.DUMMYFUNCTION("""COMPUTED_VALUE"""),183.12)</f>
        <v>183.12</v>
      </c>
      <c r="F8753" s="2">
        <f>IFERROR(__xludf.DUMMYFUNCTION("""COMPUTED_VALUE"""),2299390.0)</f>
        <v>2299390</v>
      </c>
    </row>
    <row r="8754">
      <c r="A8754" s="3">
        <f>IFERROR(__xludf.DUMMYFUNCTION("""COMPUTED_VALUE"""),41894.666666666664)</f>
        <v>41894.66667</v>
      </c>
      <c r="B8754" s="2">
        <f>IFERROR(__xludf.DUMMYFUNCTION("""COMPUTED_VALUE"""),182.89)</f>
        <v>182.89</v>
      </c>
      <c r="C8754" s="2">
        <f>IFERROR(__xludf.DUMMYFUNCTION("""COMPUTED_VALUE"""),183.01)</f>
        <v>183.01</v>
      </c>
      <c r="D8754" s="2">
        <f>IFERROR(__xludf.DUMMYFUNCTION("""COMPUTED_VALUE"""),182.03)</f>
        <v>182.03</v>
      </c>
      <c r="E8754" s="2">
        <f>IFERROR(__xludf.DUMMYFUNCTION("""COMPUTED_VALUE"""),182.7)</f>
        <v>182.7</v>
      </c>
      <c r="F8754" s="2">
        <f>IFERROR(__xludf.DUMMYFUNCTION("""COMPUTED_VALUE"""),2900967.0)</f>
        <v>2900967</v>
      </c>
    </row>
    <row r="8755">
      <c r="A8755" s="3">
        <f>IFERROR(__xludf.DUMMYFUNCTION("""COMPUTED_VALUE"""),41897.666666666664)</f>
        <v>41897.66667</v>
      </c>
      <c r="B8755" s="2">
        <f>IFERROR(__xludf.DUMMYFUNCTION("""COMPUTED_VALUE"""),182.84)</f>
        <v>182.84</v>
      </c>
      <c r="C8755" s="2">
        <f>IFERROR(__xludf.DUMMYFUNCTION("""COMPUTED_VALUE"""),183.86)</f>
        <v>183.86</v>
      </c>
      <c r="D8755" s="2">
        <f>IFERROR(__xludf.DUMMYFUNCTION("""COMPUTED_VALUE"""),182.04)</f>
        <v>182.04</v>
      </c>
      <c r="E8755" s="2">
        <f>IFERROR(__xludf.DUMMYFUNCTION("""COMPUTED_VALUE"""),183.21)</f>
        <v>183.21</v>
      </c>
      <c r="F8755" s="2">
        <f>IFERROR(__xludf.DUMMYFUNCTION("""COMPUTED_VALUE"""),2457803.0)</f>
        <v>2457803</v>
      </c>
    </row>
    <row r="8756">
      <c r="A8756" s="3">
        <f>IFERROR(__xludf.DUMMYFUNCTION("""COMPUTED_VALUE"""),41898.666666666664)</f>
        <v>41898.66667</v>
      </c>
      <c r="B8756" s="2">
        <f>IFERROR(__xludf.DUMMYFUNCTION("""COMPUTED_VALUE"""),182.68)</f>
        <v>182.68</v>
      </c>
      <c r="C8756" s="2">
        <f>IFERROR(__xludf.DUMMYFUNCTION("""COMPUTED_VALUE"""),184.89)</f>
        <v>184.89</v>
      </c>
      <c r="D8756" s="2">
        <f>IFERROR(__xludf.DUMMYFUNCTION("""COMPUTED_VALUE"""),182.26)</f>
        <v>182.26</v>
      </c>
      <c r="E8756" s="2">
        <f>IFERROR(__xludf.DUMMYFUNCTION("""COMPUTED_VALUE"""),184.31)</f>
        <v>184.31</v>
      </c>
      <c r="F8756" s="2">
        <f>IFERROR(__xludf.DUMMYFUNCTION("""COMPUTED_VALUE"""),2561528.0)</f>
        <v>2561528</v>
      </c>
    </row>
    <row r="8757">
      <c r="A8757" s="3">
        <f>IFERROR(__xludf.DUMMYFUNCTION("""COMPUTED_VALUE"""),41899.666666666664)</f>
        <v>41899.66667</v>
      </c>
      <c r="B8757" s="2">
        <f>IFERROR(__xludf.DUMMYFUNCTION("""COMPUTED_VALUE"""),184.56)</f>
        <v>184.56</v>
      </c>
      <c r="C8757" s="2">
        <f>IFERROR(__xludf.DUMMYFUNCTION("""COMPUTED_VALUE"""),184.96)</f>
        <v>184.96</v>
      </c>
      <c r="D8757" s="2">
        <f>IFERROR(__xludf.DUMMYFUNCTION("""COMPUTED_VALUE"""),183.68)</f>
        <v>183.68</v>
      </c>
      <c r="E8757" s="2">
        <f>IFERROR(__xludf.DUMMYFUNCTION("""COMPUTED_VALUE"""),184.16)</f>
        <v>184.16</v>
      </c>
      <c r="F8757" s="2">
        <f>IFERROR(__xludf.DUMMYFUNCTION("""COMPUTED_VALUE"""),3214117.0)</f>
        <v>3214117</v>
      </c>
    </row>
    <row r="8758">
      <c r="A8758" s="3">
        <f>IFERROR(__xludf.DUMMYFUNCTION("""COMPUTED_VALUE"""),41900.666666666664)</f>
        <v>41900.66667</v>
      </c>
      <c r="B8758" s="2">
        <f>IFERROR(__xludf.DUMMYFUNCTION("""COMPUTED_VALUE"""),184.15)</f>
        <v>184.15</v>
      </c>
      <c r="C8758" s="2">
        <f>IFERROR(__xludf.DUMMYFUNCTION("""COMPUTED_VALUE"""),185.43)</f>
        <v>185.43</v>
      </c>
      <c r="D8758" s="2">
        <f>IFERROR(__xludf.DUMMYFUNCTION("""COMPUTED_VALUE"""),184.07)</f>
        <v>184.07</v>
      </c>
      <c r="E8758" s="2">
        <f>IFERROR(__xludf.DUMMYFUNCTION("""COMPUTED_VALUE"""),185.06)</f>
        <v>185.06</v>
      </c>
      <c r="F8758" s="2">
        <f>IFERROR(__xludf.DUMMYFUNCTION("""COMPUTED_VALUE"""),2963446.0)</f>
        <v>2963446</v>
      </c>
    </row>
    <row r="8759">
      <c r="A8759" s="3">
        <f>IFERROR(__xludf.DUMMYFUNCTION("""COMPUTED_VALUE"""),41901.666666666664)</f>
        <v>41901.66667</v>
      </c>
      <c r="B8759" s="2">
        <f>IFERROR(__xludf.DUMMYFUNCTION("""COMPUTED_VALUE"""),185.82)</f>
        <v>185.82</v>
      </c>
      <c r="C8759" s="2">
        <f>IFERROR(__xludf.DUMMYFUNCTION("""COMPUTED_VALUE"""),186.26)</f>
        <v>186.26</v>
      </c>
      <c r="D8759" s="2">
        <f>IFERROR(__xludf.DUMMYFUNCTION("""COMPUTED_VALUE"""),184.53)</f>
        <v>184.53</v>
      </c>
      <c r="E8759" s="2">
        <f>IFERROR(__xludf.DUMMYFUNCTION("""COMPUTED_VALUE"""),185.3)</f>
        <v>185.3</v>
      </c>
      <c r="F8759" s="2">
        <f>IFERROR(__xludf.DUMMYFUNCTION("""COMPUTED_VALUE"""),8854514.0)</f>
        <v>8854514</v>
      </c>
    </row>
    <row r="8760">
      <c r="A8760" s="3">
        <f>IFERROR(__xludf.DUMMYFUNCTION("""COMPUTED_VALUE"""),41904.666666666664)</f>
        <v>41904.66667</v>
      </c>
      <c r="B8760" s="2">
        <f>IFERROR(__xludf.DUMMYFUNCTION("""COMPUTED_VALUE"""),185.03)</f>
        <v>185.03</v>
      </c>
      <c r="C8760" s="2">
        <f>IFERROR(__xludf.DUMMYFUNCTION("""COMPUTED_VALUE"""),185.44)</f>
        <v>185.44</v>
      </c>
      <c r="D8760" s="2">
        <f>IFERROR(__xludf.DUMMYFUNCTION("""COMPUTED_VALUE"""),183.99)</f>
        <v>183.99</v>
      </c>
      <c r="E8760" s="2">
        <f>IFERROR(__xludf.DUMMYFUNCTION("""COMPUTED_VALUE"""),184.45)</f>
        <v>184.45</v>
      </c>
      <c r="F8760" s="2">
        <f>IFERROR(__xludf.DUMMYFUNCTION("""COMPUTED_VALUE"""),3317962.0)</f>
        <v>3317962</v>
      </c>
    </row>
    <row r="8761">
      <c r="A8761" s="3">
        <f>IFERROR(__xludf.DUMMYFUNCTION("""COMPUTED_VALUE"""),41905.666666666664)</f>
        <v>41905.66667</v>
      </c>
      <c r="B8761" s="2">
        <f>IFERROR(__xludf.DUMMYFUNCTION("""COMPUTED_VALUE"""),184.11)</f>
        <v>184.11</v>
      </c>
      <c r="C8761" s="2">
        <f>IFERROR(__xludf.DUMMYFUNCTION("""COMPUTED_VALUE"""),184.41)</f>
        <v>184.41</v>
      </c>
      <c r="D8761" s="2">
        <f>IFERROR(__xludf.DUMMYFUNCTION("""COMPUTED_VALUE"""),182.93)</f>
        <v>182.93</v>
      </c>
      <c r="E8761" s="2">
        <f>IFERROR(__xludf.DUMMYFUNCTION("""COMPUTED_VALUE"""),183.03)</f>
        <v>183.03</v>
      </c>
      <c r="F8761" s="2">
        <f>IFERROR(__xludf.DUMMYFUNCTION("""COMPUTED_VALUE"""),3301797.0)</f>
        <v>3301797</v>
      </c>
    </row>
    <row r="8762">
      <c r="A8762" s="3">
        <f>IFERROR(__xludf.DUMMYFUNCTION("""COMPUTED_VALUE"""),41906.666666666664)</f>
        <v>41906.66667</v>
      </c>
      <c r="B8762" s="2">
        <f>IFERROR(__xludf.DUMMYFUNCTION("""COMPUTED_VALUE"""),182.44)</f>
        <v>182.44</v>
      </c>
      <c r="C8762" s="2">
        <f>IFERROR(__xludf.DUMMYFUNCTION("""COMPUTED_VALUE"""),183.82)</f>
        <v>183.82</v>
      </c>
      <c r="D8762" s="2">
        <f>IFERROR(__xludf.DUMMYFUNCTION("""COMPUTED_VALUE"""),181.37)</f>
        <v>181.37</v>
      </c>
      <c r="E8762" s="2">
        <f>IFERROR(__xludf.DUMMYFUNCTION("""COMPUTED_VALUE"""),183.69)</f>
        <v>183.69</v>
      </c>
      <c r="F8762" s="2">
        <f>IFERROR(__xludf.DUMMYFUNCTION("""COMPUTED_VALUE"""),3082594.0)</f>
        <v>3082594</v>
      </c>
    </row>
    <row r="8763">
      <c r="A8763" s="3">
        <f>IFERROR(__xludf.DUMMYFUNCTION("""COMPUTED_VALUE"""),41907.666666666664)</f>
        <v>41907.66667</v>
      </c>
      <c r="B8763" s="2">
        <f>IFERROR(__xludf.DUMMYFUNCTION("""COMPUTED_VALUE"""),183.44)</f>
        <v>183.44</v>
      </c>
      <c r="C8763" s="2">
        <f>IFERROR(__xludf.DUMMYFUNCTION("""COMPUTED_VALUE"""),183.87)</f>
        <v>183.87</v>
      </c>
      <c r="D8763" s="2">
        <f>IFERROR(__xludf.DUMMYFUNCTION("""COMPUTED_VALUE"""),180.5)</f>
        <v>180.5</v>
      </c>
      <c r="E8763" s="2">
        <f>IFERROR(__xludf.DUMMYFUNCTION("""COMPUTED_VALUE"""),180.54)</f>
        <v>180.54</v>
      </c>
      <c r="F8763" s="2">
        <f>IFERROR(__xludf.DUMMYFUNCTION("""COMPUTED_VALUE"""),4158816.0)</f>
        <v>4158816</v>
      </c>
    </row>
    <row r="8764">
      <c r="A8764" s="3">
        <f>IFERROR(__xludf.DUMMYFUNCTION("""COMPUTED_VALUE"""),41908.666666666664)</f>
        <v>41908.66667</v>
      </c>
      <c r="B8764" s="2">
        <f>IFERROR(__xludf.DUMMYFUNCTION("""COMPUTED_VALUE"""),180.46)</f>
        <v>180.46</v>
      </c>
      <c r="C8764" s="2">
        <f>IFERROR(__xludf.DUMMYFUNCTION("""COMPUTED_VALUE"""),181.8)</f>
        <v>181.8</v>
      </c>
      <c r="D8764" s="2">
        <f>IFERROR(__xludf.DUMMYFUNCTION("""COMPUTED_VALUE"""),180.15)</f>
        <v>180.15</v>
      </c>
      <c r="E8764" s="2">
        <f>IFERROR(__xludf.DUMMYFUNCTION("""COMPUTED_VALUE"""),181.54)</f>
        <v>181.54</v>
      </c>
      <c r="F8764" s="2">
        <f>IFERROR(__xludf.DUMMYFUNCTION("""COMPUTED_VALUE"""),2494024.0)</f>
        <v>2494024</v>
      </c>
    </row>
    <row r="8765">
      <c r="A8765" s="3">
        <f>IFERROR(__xludf.DUMMYFUNCTION("""COMPUTED_VALUE"""),41911.666666666664)</f>
        <v>41911.66667</v>
      </c>
      <c r="B8765" s="2">
        <f>IFERROR(__xludf.DUMMYFUNCTION("""COMPUTED_VALUE"""),180.06)</f>
        <v>180.06</v>
      </c>
      <c r="C8765" s="2">
        <f>IFERROR(__xludf.DUMMYFUNCTION("""COMPUTED_VALUE"""),181.44)</f>
        <v>181.44</v>
      </c>
      <c r="D8765" s="2">
        <f>IFERROR(__xludf.DUMMYFUNCTION("""COMPUTED_VALUE"""),179.69)</f>
        <v>179.69</v>
      </c>
      <c r="E8765" s="2">
        <f>IFERROR(__xludf.DUMMYFUNCTION("""COMPUTED_VALUE"""),181.14)</f>
        <v>181.14</v>
      </c>
      <c r="F8765" s="2">
        <f>IFERROR(__xludf.DUMMYFUNCTION("""COMPUTED_VALUE"""),2344723.0)</f>
        <v>2344723</v>
      </c>
    </row>
    <row r="8766">
      <c r="A8766" s="3">
        <f>IFERROR(__xludf.DUMMYFUNCTION("""COMPUTED_VALUE"""),41912.666666666664)</f>
        <v>41912.66667</v>
      </c>
      <c r="B8766" s="2">
        <f>IFERROR(__xludf.DUMMYFUNCTION("""COMPUTED_VALUE"""),181.14)</f>
        <v>181.14</v>
      </c>
      <c r="C8766" s="2">
        <f>IFERROR(__xludf.DUMMYFUNCTION("""COMPUTED_VALUE"""),182.29)</f>
        <v>182.29</v>
      </c>
      <c r="D8766" s="2">
        <f>IFERROR(__xludf.DUMMYFUNCTION("""COMPUTED_VALUE"""),180.67)</f>
        <v>180.67</v>
      </c>
      <c r="E8766" s="2">
        <f>IFERROR(__xludf.DUMMYFUNCTION("""COMPUTED_VALUE"""),181.32)</f>
        <v>181.32</v>
      </c>
      <c r="F8766" s="2">
        <f>IFERROR(__xludf.DUMMYFUNCTION("""COMPUTED_VALUE"""),2932556.0)</f>
        <v>2932556</v>
      </c>
    </row>
    <row r="8767">
      <c r="A8767" s="3">
        <f>IFERROR(__xludf.DUMMYFUNCTION("""COMPUTED_VALUE"""),41913.666666666664)</f>
        <v>41913.66667</v>
      </c>
      <c r="B8767" s="2">
        <f>IFERROR(__xludf.DUMMYFUNCTION("""COMPUTED_VALUE"""),181.4)</f>
        <v>181.4</v>
      </c>
      <c r="C8767" s="2">
        <f>IFERROR(__xludf.DUMMYFUNCTION("""COMPUTED_VALUE"""),181.86)</f>
        <v>181.86</v>
      </c>
      <c r="D8767" s="2">
        <f>IFERROR(__xludf.DUMMYFUNCTION("""COMPUTED_VALUE"""),178.42)</f>
        <v>178.42</v>
      </c>
      <c r="E8767" s="2">
        <f>IFERROR(__xludf.DUMMYFUNCTION("""COMPUTED_VALUE"""),178.78)</f>
        <v>178.78</v>
      </c>
      <c r="F8767" s="2">
        <f>IFERROR(__xludf.DUMMYFUNCTION("""COMPUTED_VALUE"""),3723192.0)</f>
        <v>3723192</v>
      </c>
    </row>
    <row r="8768">
      <c r="A8768" s="3">
        <f>IFERROR(__xludf.DUMMYFUNCTION("""COMPUTED_VALUE"""),41914.666666666664)</f>
        <v>41914.66667</v>
      </c>
      <c r="B8768" s="2">
        <f>IFERROR(__xludf.DUMMYFUNCTION("""COMPUTED_VALUE"""),179.25)</f>
        <v>179.25</v>
      </c>
      <c r="C8768" s="2">
        <f>IFERROR(__xludf.DUMMYFUNCTION("""COMPUTED_VALUE"""),179.36)</f>
        <v>179.36</v>
      </c>
      <c r="D8768" s="2">
        <f>IFERROR(__xludf.DUMMYFUNCTION("""COMPUTED_VALUE"""),177.89)</f>
        <v>177.89</v>
      </c>
      <c r="E8768" s="2">
        <f>IFERROR(__xludf.DUMMYFUNCTION("""COMPUTED_VALUE"""),178.53)</f>
        <v>178.53</v>
      </c>
      <c r="F8768" s="2">
        <f>IFERROR(__xludf.DUMMYFUNCTION("""COMPUTED_VALUE"""),2283619.0)</f>
        <v>2283619</v>
      </c>
    </row>
    <row r="8769">
      <c r="A8769" s="3">
        <f>IFERROR(__xludf.DUMMYFUNCTION("""COMPUTED_VALUE"""),41915.666666666664)</f>
        <v>41915.66667</v>
      </c>
      <c r="B8769" s="2">
        <f>IFERROR(__xludf.DUMMYFUNCTION("""COMPUTED_VALUE"""),179.68)</f>
        <v>179.68</v>
      </c>
      <c r="C8769" s="2">
        <f>IFERROR(__xludf.DUMMYFUNCTION("""COMPUTED_VALUE"""),180.88)</f>
        <v>180.88</v>
      </c>
      <c r="D8769" s="2">
        <f>IFERROR(__xludf.DUMMYFUNCTION("""COMPUTED_VALUE"""),179.15)</f>
        <v>179.15</v>
      </c>
      <c r="E8769" s="2">
        <f>IFERROR(__xludf.DUMMYFUNCTION("""COMPUTED_VALUE"""),180.21)</f>
        <v>180.21</v>
      </c>
      <c r="F8769" s="2">
        <f>IFERROR(__xludf.DUMMYFUNCTION("""COMPUTED_VALUE"""),3071521.0)</f>
        <v>3071521</v>
      </c>
    </row>
    <row r="8770">
      <c r="A8770" s="3">
        <f>IFERROR(__xludf.DUMMYFUNCTION("""COMPUTED_VALUE"""),41918.666666666664)</f>
        <v>41918.66667</v>
      </c>
      <c r="B8770" s="2">
        <f>IFERROR(__xludf.DUMMYFUNCTION("""COMPUTED_VALUE"""),181.19)</f>
        <v>181.19</v>
      </c>
      <c r="C8770" s="2">
        <f>IFERROR(__xludf.DUMMYFUNCTION("""COMPUTED_VALUE"""),182.33)</f>
        <v>182.33</v>
      </c>
      <c r="D8770" s="2">
        <f>IFERROR(__xludf.DUMMYFUNCTION("""COMPUTED_VALUE"""),180.25)</f>
        <v>180.25</v>
      </c>
      <c r="E8770" s="2">
        <f>IFERROR(__xludf.DUMMYFUNCTION("""COMPUTED_VALUE"""),180.56)</f>
        <v>180.56</v>
      </c>
      <c r="F8770" s="2">
        <f>IFERROR(__xludf.DUMMYFUNCTION("""COMPUTED_VALUE"""),2100191.0)</f>
        <v>2100191</v>
      </c>
    </row>
    <row r="8771">
      <c r="A8771" s="3">
        <f>IFERROR(__xludf.DUMMYFUNCTION("""COMPUTED_VALUE"""),41919.666666666664)</f>
        <v>41919.66667</v>
      </c>
      <c r="B8771" s="2">
        <f>IFERROR(__xludf.DUMMYFUNCTION("""COMPUTED_VALUE"""),179.35)</f>
        <v>179.35</v>
      </c>
      <c r="C8771" s="2">
        <f>IFERROR(__xludf.DUMMYFUNCTION("""COMPUTED_VALUE"""),179.69)</f>
        <v>179.69</v>
      </c>
      <c r="D8771" s="2">
        <f>IFERROR(__xludf.DUMMYFUNCTION("""COMPUTED_VALUE"""),177.22)</f>
        <v>177.22</v>
      </c>
      <c r="E8771" s="2">
        <f>IFERROR(__xludf.DUMMYFUNCTION("""COMPUTED_VALUE"""),177.38)</f>
        <v>177.38</v>
      </c>
      <c r="F8771" s="2">
        <f>IFERROR(__xludf.DUMMYFUNCTION("""COMPUTED_VALUE"""),2994065.0)</f>
        <v>2994065</v>
      </c>
    </row>
    <row r="8772">
      <c r="A8772" s="3">
        <f>IFERROR(__xludf.DUMMYFUNCTION("""COMPUTED_VALUE"""),41920.666666666664)</f>
        <v>41920.66667</v>
      </c>
      <c r="B8772" s="2">
        <f>IFERROR(__xludf.DUMMYFUNCTION("""COMPUTED_VALUE"""),177.63)</f>
        <v>177.63</v>
      </c>
      <c r="C8772" s="2">
        <f>IFERROR(__xludf.DUMMYFUNCTION("""COMPUTED_VALUE"""),181.1)</f>
        <v>181.1</v>
      </c>
      <c r="D8772" s="2">
        <f>IFERROR(__xludf.DUMMYFUNCTION("""COMPUTED_VALUE"""),177.29)</f>
        <v>177.29</v>
      </c>
      <c r="E8772" s="2">
        <f>IFERROR(__xludf.DUMMYFUNCTION("""COMPUTED_VALUE"""),180.87)</f>
        <v>180.87</v>
      </c>
      <c r="F8772" s="2">
        <f>IFERROR(__xludf.DUMMYFUNCTION("""COMPUTED_VALUE"""),2985329.0)</f>
        <v>2985329</v>
      </c>
    </row>
    <row r="8773">
      <c r="A8773" s="3">
        <f>IFERROR(__xludf.DUMMYFUNCTION("""COMPUTED_VALUE"""),41921.666666666664)</f>
        <v>41921.66667</v>
      </c>
      <c r="B8773" s="2">
        <f>IFERROR(__xludf.DUMMYFUNCTION("""COMPUTED_VALUE"""),180.64)</f>
        <v>180.64</v>
      </c>
      <c r="C8773" s="2">
        <f>IFERROR(__xludf.DUMMYFUNCTION("""COMPUTED_VALUE"""),181.0)</f>
        <v>181</v>
      </c>
      <c r="D8773" s="2">
        <f>IFERROR(__xludf.DUMMYFUNCTION("""COMPUTED_VALUE"""),177.75)</f>
        <v>177.75</v>
      </c>
      <c r="E8773" s="2">
        <f>IFERROR(__xludf.DUMMYFUNCTION("""COMPUTED_VALUE"""),178.06)</f>
        <v>178.06</v>
      </c>
      <c r="F8773" s="2">
        <f>IFERROR(__xludf.DUMMYFUNCTION("""COMPUTED_VALUE"""),2625609.0)</f>
        <v>2625609</v>
      </c>
    </row>
    <row r="8774">
      <c r="A8774" s="3">
        <f>IFERROR(__xludf.DUMMYFUNCTION("""COMPUTED_VALUE"""),41922.666666666664)</f>
        <v>41922.66667</v>
      </c>
      <c r="B8774" s="2">
        <f>IFERROR(__xludf.DUMMYFUNCTION("""COMPUTED_VALUE"""),177.53)</f>
        <v>177.53</v>
      </c>
      <c r="C8774" s="2">
        <f>IFERROR(__xludf.DUMMYFUNCTION("""COMPUTED_VALUE"""),179.32)</f>
        <v>179.32</v>
      </c>
      <c r="D8774" s="2">
        <f>IFERROR(__xludf.DUMMYFUNCTION("""COMPUTED_VALUE"""),176.8)</f>
        <v>176.8</v>
      </c>
      <c r="E8774" s="2">
        <f>IFERROR(__xludf.DUMMYFUNCTION("""COMPUTED_VALUE"""),177.59)</f>
        <v>177.59</v>
      </c>
      <c r="F8774" s="2">
        <f>IFERROR(__xludf.DUMMYFUNCTION("""COMPUTED_VALUE"""),5090345.0)</f>
        <v>5090345</v>
      </c>
    </row>
    <row r="8775">
      <c r="A8775" s="3">
        <f>IFERROR(__xludf.DUMMYFUNCTION("""COMPUTED_VALUE"""),41925.666666666664)</f>
        <v>41925.66667</v>
      </c>
      <c r="B8775" s="2">
        <f>IFERROR(__xludf.DUMMYFUNCTION("""COMPUTED_VALUE"""),177.17)</f>
        <v>177.17</v>
      </c>
      <c r="C8775" s="2">
        <f>IFERROR(__xludf.DUMMYFUNCTION("""COMPUTED_VALUE"""),178.28)</f>
        <v>178.28</v>
      </c>
      <c r="D8775" s="2">
        <f>IFERROR(__xludf.DUMMYFUNCTION("""COMPUTED_VALUE"""),175.2)</f>
        <v>175.2</v>
      </c>
      <c r="E8775" s="2">
        <f>IFERROR(__xludf.DUMMYFUNCTION("""COMPUTED_VALUE"""),175.29)</f>
        <v>175.29</v>
      </c>
      <c r="F8775" s="2">
        <f>IFERROR(__xludf.DUMMYFUNCTION("""COMPUTED_VALUE"""),3599924.0)</f>
        <v>3599924</v>
      </c>
    </row>
    <row r="8776">
      <c r="A8776" s="3">
        <f>IFERROR(__xludf.DUMMYFUNCTION("""COMPUTED_VALUE"""),41926.666666666664)</f>
        <v>41926.66667</v>
      </c>
      <c r="B8776" s="2">
        <f>IFERROR(__xludf.DUMMYFUNCTION("""COMPUTED_VALUE"""),176.6)</f>
        <v>176.6</v>
      </c>
      <c r="C8776" s="2">
        <f>IFERROR(__xludf.DUMMYFUNCTION("""COMPUTED_VALUE"""),177.39)</f>
        <v>177.39</v>
      </c>
      <c r="D8776" s="2">
        <f>IFERROR(__xludf.DUMMYFUNCTION("""COMPUTED_VALUE"""),175.36)</f>
        <v>175.36</v>
      </c>
      <c r="E8776" s="2">
        <f>IFERROR(__xludf.DUMMYFUNCTION("""COMPUTED_VALUE"""),175.56)</f>
        <v>175.56</v>
      </c>
      <c r="F8776" s="2">
        <f>IFERROR(__xludf.DUMMYFUNCTION("""COMPUTED_VALUE"""),3924974.0)</f>
        <v>3924974</v>
      </c>
    </row>
    <row r="8777">
      <c r="A8777" s="3">
        <f>IFERROR(__xludf.DUMMYFUNCTION("""COMPUTED_VALUE"""),41927.666666666664)</f>
        <v>41927.66667</v>
      </c>
      <c r="B8777" s="2">
        <f>IFERROR(__xludf.DUMMYFUNCTION("""COMPUTED_VALUE"""),174.28)</f>
        <v>174.28</v>
      </c>
      <c r="C8777" s="2">
        <f>IFERROR(__xludf.DUMMYFUNCTION("""COMPUTED_VALUE"""),175.55)</f>
        <v>175.55</v>
      </c>
      <c r="D8777" s="2">
        <f>IFERROR(__xludf.DUMMYFUNCTION("""COMPUTED_VALUE"""),170.73)</f>
        <v>170.73</v>
      </c>
      <c r="E8777" s="2">
        <f>IFERROR(__xludf.DUMMYFUNCTION("""COMPUTED_VALUE"""),173.6)</f>
        <v>173.6</v>
      </c>
      <c r="F8777" s="2">
        <f>IFERROR(__xludf.DUMMYFUNCTION("""COMPUTED_VALUE"""),6897656.0)</f>
        <v>6897656</v>
      </c>
    </row>
    <row r="8778">
      <c r="A8778" s="3">
        <f>IFERROR(__xludf.DUMMYFUNCTION("""COMPUTED_VALUE"""),41928.666666666664)</f>
        <v>41928.66667</v>
      </c>
      <c r="B8778" s="2">
        <f>IFERROR(__xludf.DUMMYFUNCTION("""COMPUTED_VALUE"""),171.74)</f>
        <v>171.74</v>
      </c>
      <c r="C8778" s="2">
        <f>IFERROR(__xludf.DUMMYFUNCTION("""COMPUTED_VALUE"""),173.34)</f>
        <v>173.34</v>
      </c>
      <c r="D8778" s="2">
        <f>IFERROR(__xludf.DUMMYFUNCTION("""COMPUTED_VALUE"""),170.68)</f>
        <v>170.68</v>
      </c>
      <c r="E8778" s="2">
        <f>IFERROR(__xludf.DUMMYFUNCTION("""COMPUTED_VALUE"""),171.78)</f>
        <v>171.78</v>
      </c>
      <c r="F8778" s="2">
        <f>IFERROR(__xludf.DUMMYFUNCTION("""COMPUTED_VALUE"""),5578683.0)</f>
        <v>5578683</v>
      </c>
    </row>
    <row r="8779">
      <c r="A8779" s="3">
        <f>IFERROR(__xludf.DUMMYFUNCTION("""COMPUTED_VALUE"""),41929.666666666664)</f>
        <v>41929.66667</v>
      </c>
      <c r="B8779" s="2">
        <f>IFERROR(__xludf.DUMMYFUNCTION("""COMPUTED_VALUE"""),173.11)</f>
        <v>173.11</v>
      </c>
      <c r="C8779" s="2">
        <f>IFERROR(__xludf.DUMMYFUNCTION("""COMPUTED_VALUE"""),174.64)</f>
        <v>174.64</v>
      </c>
      <c r="D8779" s="2">
        <f>IFERROR(__xludf.DUMMYFUNCTION("""COMPUTED_VALUE"""),172.14)</f>
        <v>172.14</v>
      </c>
      <c r="E8779" s="2">
        <f>IFERROR(__xludf.DUMMYFUNCTION("""COMPUTED_VALUE"""),173.89)</f>
        <v>173.89</v>
      </c>
      <c r="F8779" s="2">
        <f>IFERROR(__xludf.DUMMYFUNCTION("""COMPUTED_VALUE"""),4354442.0)</f>
        <v>4354442</v>
      </c>
    </row>
    <row r="8780">
      <c r="A8780" s="3">
        <f>IFERROR(__xludf.DUMMYFUNCTION("""COMPUTED_VALUE"""),41932.666666666664)</f>
        <v>41932.66667</v>
      </c>
      <c r="B8780" s="2">
        <f>IFERROR(__xludf.DUMMYFUNCTION("""COMPUTED_VALUE"""),159.36)</f>
        <v>159.36</v>
      </c>
      <c r="C8780" s="2">
        <f>IFERROR(__xludf.DUMMYFUNCTION("""COMPUTED_VALUE"""),162.69)</f>
        <v>162.69</v>
      </c>
      <c r="D8780" s="2">
        <f>IFERROR(__xludf.DUMMYFUNCTION("""COMPUTED_VALUE"""),159.22)</f>
        <v>159.22</v>
      </c>
      <c r="E8780" s="2">
        <f>IFERROR(__xludf.DUMMYFUNCTION("""COMPUTED_VALUE"""),161.52)</f>
        <v>161.52</v>
      </c>
      <c r="F8780" s="2">
        <f>IFERROR(__xludf.DUMMYFUNCTION("""COMPUTED_VALUE"""),2.3416511E7)</f>
        <v>23416511</v>
      </c>
    </row>
    <row r="8781">
      <c r="A8781" s="3">
        <f>IFERROR(__xludf.DUMMYFUNCTION("""COMPUTED_VALUE"""),41933.666666666664)</f>
        <v>41933.66667</v>
      </c>
      <c r="B8781" s="2">
        <f>IFERROR(__xludf.DUMMYFUNCTION("""COMPUTED_VALUE"""),158.94)</f>
        <v>158.94</v>
      </c>
      <c r="C8781" s="2">
        <f>IFERROR(__xludf.DUMMYFUNCTION("""COMPUTED_VALUE"""),159.21)</f>
        <v>159.21</v>
      </c>
      <c r="D8781" s="2">
        <f>IFERROR(__xludf.DUMMYFUNCTION("""COMPUTED_VALUE"""),154.43)</f>
        <v>154.43</v>
      </c>
      <c r="E8781" s="2">
        <f>IFERROR(__xludf.DUMMYFUNCTION("""COMPUTED_VALUE"""),155.91)</f>
        <v>155.91</v>
      </c>
      <c r="F8781" s="2">
        <f>IFERROR(__xludf.DUMMYFUNCTION("""COMPUTED_VALUE"""),2.0953605E7)</f>
        <v>20953605</v>
      </c>
    </row>
    <row r="8782">
      <c r="A8782" s="3">
        <f>IFERROR(__xludf.DUMMYFUNCTION("""COMPUTED_VALUE"""),41934.666666666664)</f>
        <v>41934.66667</v>
      </c>
      <c r="B8782" s="2">
        <f>IFERROR(__xludf.DUMMYFUNCTION("""COMPUTED_VALUE"""),155.13)</f>
        <v>155.13</v>
      </c>
      <c r="C8782" s="2">
        <f>IFERROR(__xludf.DUMMYFUNCTION("""COMPUTED_VALUE"""),157.99)</f>
        <v>157.99</v>
      </c>
      <c r="D8782" s="2">
        <f>IFERROR(__xludf.DUMMYFUNCTION("""COMPUTED_VALUE"""),153.88)</f>
        <v>153.88</v>
      </c>
      <c r="E8782" s="2">
        <f>IFERROR(__xludf.DUMMYFUNCTION("""COMPUTED_VALUE"""),154.54)</f>
        <v>154.54</v>
      </c>
      <c r="F8782" s="2">
        <f>IFERROR(__xludf.DUMMYFUNCTION("""COMPUTED_VALUE"""),1.1091424E7)</f>
        <v>11091424</v>
      </c>
    </row>
    <row r="8783">
      <c r="A8783" s="3">
        <f>IFERROR(__xludf.DUMMYFUNCTION("""COMPUTED_VALUE"""),41935.666666666664)</f>
        <v>41935.66667</v>
      </c>
      <c r="B8783" s="2">
        <f>IFERROR(__xludf.DUMMYFUNCTION("""COMPUTED_VALUE"""),154.85)</f>
        <v>154.85</v>
      </c>
      <c r="C8783" s="2">
        <f>IFERROR(__xludf.DUMMYFUNCTION("""COMPUTED_VALUE"""),155.53)</f>
        <v>155.53</v>
      </c>
      <c r="D8783" s="2">
        <f>IFERROR(__xludf.DUMMYFUNCTION("""COMPUTED_VALUE"""),154.3)</f>
        <v>154.3</v>
      </c>
      <c r="E8783" s="2">
        <f>IFERROR(__xludf.DUMMYFUNCTION("""COMPUTED_VALUE"""),154.91)</f>
        <v>154.91</v>
      </c>
      <c r="F8783" s="2">
        <f>IFERROR(__xludf.DUMMYFUNCTION("""COMPUTED_VALUE"""),7600270.0)</f>
        <v>7600270</v>
      </c>
    </row>
    <row r="8784">
      <c r="A8784" s="3">
        <f>IFERROR(__xludf.DUMMYFUNCTION("""COMPUTED_VALUE"""),41936.666666666664)</f>
        <v>41936.66667</v>
      </c>
      <c r="B8784" s="2">
        <f>IFERROR(__xludf.DUMMYFUNCTION("""COMPUTED_VALUE"""),154.81)</f>
        <v>154.81</v>
      </c>
      <c r="C8784" s="2">
        <f>IFERROR(__xludf.DUMMYFUNCTION("""COMPUTED_VALUE"""),155.16)</f>
        <v>155.16</v>
      </c>
      <c r="D8784" s="2">
        <f>IFERROR(__xludf.DUMMYFUNCTION("""COMPUTED_VALUE"""),154.21)</f>
        <v>154.21</v>
      </c>
      <c r="E8784" s="2">
        <f>IFERROR(__xludf.DUMMYFUNCTION("""COMPUTED_VALUE"""),154.81)</f>
        <v>154.81</v>
      </c>
      <c r="F8784" s="2">
        <f>IFERROR(__xludf.DUMMYFUNCTION("""COMPUTED_VALUE"""),6652379.0)</f>
        <v>6652379</v>
      </c>
    </row>
    <row r="8785">
      <c r="A8785" s="3">
        <f>IFERROR(__xludf.DUMMYFUNCTION("""COMPUTED_VALUE"""),41939.666666666664)</f>
        <v>41939.66667</v>
      </c>
      <c r="B8785" s="2">
        <f>IFERROR(__xludf.DUMMYFUNCTION("""COMPUTED_VALUE"""),154.74)</f>
        <v>154.74</v>
      </c>
      <c r="C8785" s="2">
        <f>IFERROR(__xludf.DUMMYFUNCTION("""COMPUTED_VALUE"""),155.61)</f>
        <v>155.61</v>
      </c>
      <c r="D8785" s="2">
        <f>IFERROR(__xludf.DUMMYFUNCTION("""COMPUTED_VALUE"""),154.56)</f>
        <v>154.56</v>
      </c>
      <c r="E8785" s="2">
        <f>IFERROR(__xludf.DUMMYFUNCTION("""COMPUTED_VALUE"""),154.61)</f>
        <v>154.61</v>
      </c>
      <c r="F8785" s="2">
        <f>IFERROR(__xludf.DUMMYFUNCTION("""COMPUTED_VALUE"""),4989437.0)</f>
        <v>4989437</v>
      </c>
    </row>
    <row r="8786">
      <c r="A8786" s="3">
        <f>IFERROR(__xludf.DUMMYFUNCTION("""COMPUTED_VALUE"""),41940.666666666664)</f>
        <v>41940.66667</v>
      </c>
      <c r="B8786" s="2">
        <f>IFERROR(__xludf.DUMMYFUNCTION("""COMPUTED_VALUE"""),154.74)</f>
        <v>154.74</v>
      </c>
      <c r="C8786" s="2">
        <f>IFERROR(__xludf.DUMMYFUNCTION("""COMPUTED_VALUE"""),156.26)</f>
        <v>156.26</v>
      </c>
      <c r="D8786" s="2">
        <f>IFERROR(__xludf.DUMMYFUNCTION("""COMPUTED_VALUE"""),154.55)</f>
        <v>154.55</v>
      </c>
      <c r="E8786" s="2">
        <f>IFERROR(__xludf.DUMMYFUNCTION("""COMPUTED_VALUE"""),156.26)</f>
        <v>156.26</v>
      </c>
      <c r="F8786" s="2">
        <f>IFERROR(__xludf.DUMMYFUNCTION("""COMPUTED_VALUE"""),7896863.0)</f>
        <v>7896863</v>
      </c>
    </row>
    <row r="8787">
      <c r="A8787" s="3">
        <f>IFERROR(__xludf.DUMMYFUNCTION("""COMPUTED_VALUE"""),41941.666666666664)</f>
        <v>41941.66667</v>
      </c>
      <c r="B8787" s="2">
        <f>IFERROR(__xludf.DUMMYFUNCTION("""COMPUTED_VALUE"""),156.96)</f>
        <v>156.96</v>
      </c>
      <c r="C8787" s="2">
        <f>IFERROR(__xludf.DUMMYFUNCTION("""COMPUTED_VALUE"""),157.23)</f>
        <v>157.23</v>
      </c>
      <c r="D8787" s="2">
        <f>IFERROR(__xludf.DUMMYFUNCTION("""COMPUTED_VALUE"""),155.46)</f>
        <v>155.46</v>
      </c>
      <c r="E8787" s="2">
        <f>IFERROR(__xludf.DUMMYFUNCTION("""COMPUTED_VALUE"""),156.13)</f>
        <v>156.13</v>
      </c>
      <c r="F8787" s="2">
        <f>IFERROR(__xludf.DUMMYFUNCTION("""COMPUTED_VALUE"""),4741689.0)</f>
        <v>4741689</v>
      </c>
    </row>
    <row r="8788">
      <c r="A8788" s="3">
        <f>IFERROR(__xludf.DUMMYFUNCTION("""COMPUTED_VALUE"""),41942.666666666664)</f>
        <v>41942.66667</v>
      </c>
      <c r="B8788" s="2">
        <f>IFERROR(__xludf.DUMMYFUNCTION("""COMPUTED_VALUE"""),156.17)</f>
        <v>156.17</v>
      </c>
      <c r="C8788" s="2">
        <f>IFERROR(__xludf.DUMMYFUNCTION("""COMPUTED_VALUE"""),157.24)</f>
        <v>157.24</v>
      </c>
      <c r="D8788" s="2">
        <f>IFERROR(__xludf.DUMMYFUNCTION("""COMPUTED_VALUE"""),155.71)</f>
        <v>155.71</v>
      </c>
      <c r="E8788" s="2">
        <f>IFERROR(__xludf.DUMMYFUNCTION("""COMPUTED_VALUE"""),156.98)</f>
        <v>156.98</v>
      </c>
      <c r="F8788" s="2">
        <f>IFERROR(__xludf.DUMMYFUNCTION("""COMPUTED_VALUE"""),3895979.0)</f>
        <v>3895979</v>
      </c>
    </row>
    <row r="8789">
      <c r="A8789" s="3">
        <f>IFERROR(__xludf.DUMMYFUNCTION("""COMPUTED_VALUE"""),41943.666666666664)</f>
        <v>41943.66667</v>
      </c>
      <c r="B8789" s="2">
        <f>IFERROR(__xludf.DUMMYFUNCTION("""COMPUTED_VALUE"""),158.06)</f>
        <v>158.06</v>
      </c>
      <c r="C8789" s="2">
        <f>IFERROR(__xludf.DUMMYFUNCTION("""COMPUTED_VALUE"""),158.17)</f>
        <v>158.17</v>
      </c>
      <c r="D8789" s="2">
        <f>IFERROR(__xludf.DUMMYFUNCTION("""COMPUTED_VALUE"""),156.28)</f>
        <v>156.28</v>
      </c>
      <c r="E8789" s="2">
        <f>IFERROR(__xludf.DUMMYFUNCTION("""COMPUTED_VALUE"""),157.03)</f>
        <v>157.03</v>
      </c>
      <c r="F8789" s="2">
        <f>IFERROR(__xludf.DUMMYFUNCTION("""COMPUTED_VALUE"""),5818375.0)</f>
        <v>5818375</v>
      </c>
    </row>
    <row r="8790">
      <c r="A8790" s="3">
        <f>IFERROR(__xludf.DUMMYFUNCTION("""COMPUTED_VALUE"""),41946.666666666664)</f>
        <v>41946.66667</v>
      </c>
      <c r="B8790" s="2">
        <f>IFERROR(__xludf.DUMMYFUNCTION("""COMPUTED_VALUE"""),156.89)</f>
        <v>156.89</v>
      </c>
      <c r="C8790" s="2">
        <f>IFERROR(__xludf.DUMMYFUNCTION("""COMPUTED_VALUE"""),157.16)</f>
        <v>157.16</v>
      </c>
      <c r="D8790" s="2">
        <f>IFERROR(__xludf.DUMMYFUNCTION("""COMPUTED_VALUE"""),156.05)</f>
        <v>156.05</v>
      </c>
      <c r="E8790" s="2">
        <f>IFERROR(__xludf.DUMMYFUNCTION("""COMPUTED_VALUE"""),156.99)</f>
        <v>156.99</v>
      </c>
      <c r="F8790" s="2">
        <f>IFERROR(__xludf.DUMMYFUNCTION("""COMPUTED_VALUE"""),4691074.0)</f>
        <v>4691074</v>
      </c>
    </row>
    <row r="8791">
      <c r="A8791" s="3">
        <f>IFERROR(__xludf.DUMMYFUNCTION("""COMPUTED_VALUE"""),41947.666666666664)</f>
        <v>41947.66667</v>
      </c>
      <c r="B8791" s="2">
        <f>IFERROR(__xludf.DUMMYFUNCTION("""COMPUTED_VALUE"""),156.97)</f>
        <v>156.97</v>
      </c>
      <c r="C8791" s="2">
        <f>IFERROR(__xludf.DUMMYFUNCTION("""COMPUTED_VALUE"""),156.99)</f>
        <v>156.99</v>
      </c>
      <c r="D8791" s="2">
        <f>IFERROR(__xludf.DUMMYFUNCTION("""COMPUTED_VALUE"""),154.97)</f>
        <v>154.97</v>
      </c>
      <c r="E8791" s="2">
        <f>IFERROR(__xludf.DUMMYFUNCTION("""COMPUTED_VALUE"""),155.36)</f>
        <v>155.36</v>
      </c>
      <c r="F8791" s="2">
        <f>IFERROR(__xludf.DUMMYFUNCTION("""COMPUTED_VALUE"""),4247079.0)</f>
        <v>4247079</v>
      </c>
    </row>
    <row r="8792">
      <c r="A8792" s="3">
        <f>IFERROR(__xludf.DUMMYFUNCTION("""COMPUTED_VALUE"""),41948.666666666664)</f>
        <v>41948.66667</v>
      </c>
      <c r="B8792" s="2">
        <f>IFERROR(__xludf.DUMMYFUNCTION("""COMPUTED_VALUE"""),155.82)</f>
        <v>155.82</v>
      </c>
      <c r="C8792" s="2">
        <f>IFERROR(__xludf.DUMMYFUNCTION("""COMPUTED_VALUE"""),156.21)</f>
        <v>156.21</v>
      </c>
      <c r="D8792" s="2">
        <f>IFERROR(__xludf.DUMMYFUNCTION("""COMPUTED_VALUE"""),154.32)</f>
        <v>154.32</v>
      </c>
      <c r="E8792" s="2">
        <f>IFERROR(__xludf.DUMMYFUNCTION("""COMPUTED_VALUE"""),154.56)</f>
        <v>154.56</v>
      </c>
      <c r="F8792" s="2">
        <f>IFERROR(__xludf.DUMMYFUNCTION("""COMPUTED_VALUE"""),4104747.0)</f>
        <v>4104747</v>
      </c>
    </row>
    <row r="8793">
      <c r="A8793" s="3">
        <f>IFERROR(__xludf.DUMMYFUNCTION("""COMPUTED_VALUE"""),41949.666666666664)</f>
        <v>41949.66667</v>
      </c>
      <c r="B8793" s="2">
        <f>IFERROR(__xludf.DUMMYFUNCTION("""COMPUTED_VALUE"""),154.05)</f>
        <v>154.05</v>
      </c>
      <c r="C8793" s="2">
        <f>IFERROR(__xludf.DUMMYFUNCTION("""COMPUTED_VALUE"""),154.29)</f>
        <v>154.29</v>
      </c>
      <c r="D8793" s="2">
        <f>IFERROR(__xludf.DUMMYFUNCTION("""COMPUTED_VALUE"""),152.87)</f>
        <v>152.87</v>
      </c>
      <c r="E8793" s="2">
        <f>IFERROR(__xludf.DUMMYFUNCTION("""COMPUTED_VALUE"""),154.22)</f>
        <v>154.22</v>
      </c>
      <c r="F8793" s="2">
        <f>IFERROR(__xludf.DUMMYFUNCTION("""COMPUTED_VALUE"""),4067641.0)</f>
        <v>4067641</v>
      </c>
    </row>
    <row r="8794">
      <c r="A8794" s="3">
        <f>IFERROR(__xludf.DUMMYFUNCTION("""COMPUTED_VALUE"""),41950.666666666664)</f>
        <v>41950.66667</v>
      </c>
      <c r="B8794" s="2">
        <f>IFERROR(__xludf.DUMMYFUNCTION("""COMPUTED_VALUE"""),154.18)</f>
        <v>154.18</v>
      </c>
      <c r="C8794" s="2">
        <f>IFERROR(__xludf.DUMMYFUNCTION("""COMPUTED_VALUE"""),154.93)</f>
        <v>154.93</v>
      </c>
      <c r="D8794" s="2">
        <f>IFERROR(__xludf.DUMMYFUNCTION("""COMPUTED_VALUE"""),153.64)</f>
        <v>153.64</v>
      </c>
      <c r="E8794" s="2">
        <f>IFERROR(__xludf.DUMMYFUNCTION("""COMPUTED_VALUE"""),154.8)</f>
        <v>154.8</v>
      </c>
      <c r="F8794" s="2">
        <f>IFERROR(__xludf.DUMMYFUNCTION("""COMPUTED_VALUE"""),3494803.0)</f>
        <v>3494803</v>
      </c>
    </row>
    <row r="8795">
      <c r="A8795" s="3">
        <f>IFERROR(__xludf.DUMMYFUNCTION("""COMPUTED_VALUE"""),41953.66666666667)</f>
        <v>41953.66667</v>
      </c>
      <c r="B8795" s="2">
        <f>IFERROR(__xludf.DUMMYFUNCTION("""COMPUTED_VALUE"""),154.64)</f>
        <v>154.64</v>
      </c>
      <c r="C8795" s="2">
        <f>IFERROR(__xludf.DUMMYFUNCTION("""COMPUTED_VALUE"""),157.1)</f>
        <v>157.1</v>
      </c>
      <c r="D8795" s="2">
        <f>IFERROR(__xludf.DUMMYFUNCTION("""COMPUTED_VALUE"""),154.36)</f>
        <v>154.36</v>
      </c>
      <c r="E8795" s="2">
        <f>IFERROR(__xludf.DUMMYFUNCTION("""COMPUTED_VALUE"""),156.16)</f>
        <v>156.16</v>
      </c>
      <c r="F8795" s="2">
        <f>IFERROR(__xludf.DUMMYFUNCTION("""COMPUTED_VALUE"""),4958236.0)</f>
        <v>4958236</v>
      </c>
    </row>
    <row r="8796">
      <c r="A8796" s="3">
        <f>IFERROR(__xludf.DUMMYFUNCTION("""COMPUTED_VALUE"""),41954.66666666667)</f>
        <v>41954.66667</v>
      </c>
      <c r="B8796" s="2">
        <f>IFERROR(__xludf.DUMMYFUNCTION("""COMPUTED_VALUE"""),156.36)</f>
        <v>156.36</v>
      </c>
      <c r="C8796" s="2">
        <f>IFERROR(__xludf.DUMMYFUNCTION("""COMPUTED_VALUE"""),156.55)</f>
        <v>156.55</v>
      </c>
      <c r="D8796" s="2">
        <f>IFERROR(__xludf.DUMMYFUNCTION("""COMPUTED_VALUE"""),155.31)</f>
        <v>155.31</v>
      </c>
      <c r="E8796" s="2">
        <f>IFERROR(__xludf.DUMMYFUNCTION("""COMPUTED_VALUE"""),155.98)</f>
        <v>155.98</v>
      </c>
      <c r="F8796" s="2">
        <f>IFERROR(__xludf.DUMMYFUNCTION("""COMPUTED_VALUE"""),3535694.0)</f>
        <v>3535694</v>
      </c>
    </row>
    <row r="8797">
      <c r="A8797" s="3">
        <f>IFERROR(__xludf.DUMMYFUNCTION("""COMPUTED_VALUE"""),41955.66666666667)</f>
        <v>41955.66667</v>
      </c>
      <c r="B8797" s="2">
        <f>IFERROR(__xludf.DUMMYFUNCTION("""COMPUTED_VALUE"""),155.0)</f>
        <v>155</v>
      </c>
      <c r="C8797" s="2">
        <f>IFERROR(__xludf.DUMMYFUNCTION("""COMPUTED_VALUE"""),155.69)</f>
        <v>155.69</v>
      </c>
      <c r="D8797" s="2">
        <f>IFERROR(__xludf.DUMMYFUNCTION("""COMPUTED_VALUE"""),154.51)</f>
        <v>154.51</v>
      </c>
      <c r="E8797" s="2">
        <f>IFERROR(__xludf.DUMMYFUNCTION("""COMPUTED_VALUE"""),154.66)</f>
        <v>154.66</v>
      </c>
      <c r="F8797" s="2">
        <f>IFERROR(__xludf.DUMMYFUNCTION("""COMPUTED_VALUE"""),3378229.0)</f>
        <v>3378229</v>
      </c>
    </row>
    <row r="8798">
      <c r="A8798" s="3">
        <f>IFERROR(__xludf.DUMMYFUNCTION("""COMPUTED_VALUE"""),41956.66666666667)</f>
        <v>41956.66667</v>
      </c>
      <c r="B8798" s="2">
        <f>IFERROR(__xludf.DUMMYFUNCTION("""COMPUTED_VALUE"""),154.74)</f>
        <v>154.74</v>
      </c>
      <c r="C8798" s="2">
        <f>IFERROR(__xludf.DUMMYFUNCTION("""COMPUTED_VALUE"""),155.5)</f>
        <v>155.5</v>
      </c>
      <c r="D8798" s="2">
        <f>IFERROR(__xludf.DUMMYFUNCTION("""COMPUTED_VALUE"""),154.55)</f>
        <v>154.55</v>
      </c>
      <c r="E8798" s="2">
        <f>IFERROR(__xludf.DUMMYFUNCTION("""COMPUTED_VALUE"""),155.49)</f>
        <v>155.49</v>
      </c>
      <c r="F8798" s="2">
        <f>IFERROR(__xludf.DUMMYFUNCTION("""COMPUTED_VALUE"""),3239726.0)</f>
        <v>3239726</v>
      </c>
    </row>
    <row r="8799">
      <c r="A8799" s="3">
        <f>IFERROR(__xludf.DUMMYFUNCTION("""COMPUTED_VALUE"""),41957.66666666667)</f>
        <v>41957.66667</v>
      </c>
      <c r="B8799" s="2">
        <f>IFERROR(__xludf.DUMMYFUNCTION("""COMPUTED_VALUE"""),154.83)</f>
        <v>154.83</v>
      </c>
      <c r="C8799" s="2">
        <f>IFERROR(__xludf.DUMMYFUNCTION("""COMPUTED_VALUE"""),157.11)</f>
        <v>157.11</v>
      </c>
      <c r="D8799" s="2">
        <f>IFERROR(__xludf.DUMMYFUNCTION("""COMPUTED_VALUE"""),154.44)</f>
        <v>154.44</v>
      </c>
      <c r="E8799" s="2">
        <f>IFERROR(__xludf.DUMMYFUNCTION("""COMPUTED_VALUE"""),156.8)</f>
        <v>156.8</v>
      </c>
      <c r="F8799" s="2">
        <f>IFERROR(__xludf.DUMMYFUNCTION("""COMPUTED_VALUE"""),4978415.0)</f>
        <v>4978415</v>
      </c>
    </row>
    <row r="8800">
      <c r="A8800" s="3">
        <f>IFERROR(__xludf.DUMMYFUNCTION("""COMPUTED_VALUE"""),41960.66666666667)</f>
        <v>41960.66667</v>
      </c>
      <c r="B8800" s="2">
        <f>IFERROR(__xludf.DUMMYFUNCTION("""COMPUTED_VALUE"""),156.8)</f>
        <v>156.8</v>
      </c>
      <c r="C8800" s="2">
        <f>IFERROR(__xludf.DUMMYFUNCTION("""COMPUTED_VALUE"""),157.57)</f>
        <v>157.57</v>
      </c>
      <c r="D8800" s="2">
        <f>IFERROR(__xludf.DUMMYFUNCTION("""COMPUTED_VALUE"""),156.38)</f>
        <v>156.38</v>
      </c>
      <c r="E8800" s="2">
        <f>IFERROR(__xludf.DUMMYFUNCTION("""COMPUTED_VALUE"""),156.8)</f>
        <v>156.8</v>
      </c>
      <c r="F8800" s="2">
        <f>IFERROR(__xludf.DUMMYFUNCTION("""COMPUTED_VALUE"""),4798933.0)</f>
        <v>4798933</v>
      </c>
    </row>
    <row r="8801">
      <c r="A8801" s="3">
        <f>IFERROR(__xludf.DUMMYFUNCTION("""COMPUTED_VALUE"""),41961.66666666667)</f>
        <v>41961.66667</v>
      </c>
      <c r="B8801" s="2">
        <f>IFERROR(__xludf.DUMMYFUNCTION("""COMPUTED_VALUE"""),157.34)</f>
        <v>157.34</v>
      </c>
      <c r="C8801" s="2">
        <f>IFERROR(__xludf.DUMMYFUNCTION("""COMPUTED_VALUE"""),157.36)</f>
        <v>157.36</v>
      </c>
      <c r="D8801" s="2">
        <f>IFERROR(__xludf.DUMMYFUNCTION("""COMPUTED_VALUE"""),154.63)</f>
        <v>154.63</v>
      </c>
      <c r="E8801" s="2">
        <f>IFERROR(__xludf.DUMMYFUNCTION("""COMPUTED_VALUE"""),154.63)</f>
        <v>154.63</v>
      </c>
      <c r="F8801" s="2">
        <f>IFERROR(__xludf.DUMMYFUNCTION("""COMPUTED_VALUE"""),5412495.0)</f>
        <v>5412495</v>
      </c>
    </row>
    <row r="8802">
      <c r="A8802" s="3">
        <f>IFERROR(__xludf.DUMMYFUNCTION("""COMPUTED_VALUE"""),41962.66666666667)</f>
        <v>41962.66667</v>
      </c>
      <c r="B8802" s="2">
        <f>IFERROR(__xludf.DUMMYFUNCTION("""COMPUTED_VALUE"""),154.78)</f>
        <v>154.78</v>
      </c>
      <c r="C8802" s="2">
        <f>IFERROR(__xludf.DUMMYFUNCTION("""COMPUTED_VALUE"""),154.83)</f>
        <v>154.83</v>
      </c>
      <c r="D8802" s="2">
        <f>IFERROR(__xludf.DUMMYFUNCTION("""COMPUTED_VALUE"""),153.74)</f>
        <v>153.74</v>
      </c>
      <c r="E8802" s="2">
        <f>IFERROR(__xludf.DUMMYFUNCTION("""COMPUTED_VALUE"""),154.19)</f>
        <v>154.19</v>
      </c>
      <c r="F8802" s="2">
        <f>IFERROR(__xludf.DUMMYFUNCTION("""COMPUTED_VALUE"""),3802631.0)</f>
        <v>3802631</v>
      </c>
    </row>
    <row r="8803">
      <c r="A8803" s="3">
        <f>IFERROR(__xludf.DUMMYFUNCTION("""COMPUTED_VALUE"""),41963.66666666667)</f>
        <v>41963.66667</v>
      </c>
      <c r="B8803" s="2">
        <f>IFERROR(__xludf.DUMMYFUNCTION("""COMPUTED_VALUE"""),153.73)</f>
        <v>153.73</v>
      </c>
      <c r="C8803" s="2">
        <f>IFERROR(__xludf.DUMMYFUNCTION("""COMPUTED_VALUE"""),154.26)</f>
        <v>154.26</v>
      </c>
      <c r="D8803" s="2">
        <f>IFERROR(__xludf.DUMMYFUNCTION("""COMPUTED_VALUE"""),152.64)</f>
        <v>152.64</v>
      </c>
      <c r="E8803" s="2">
        <f>IFERROR(__xludf.DUMMYFUNCTION("""COMPUTED_VALUE"""),153.44)</f>
        <v>153.44</v>
      </c>
      <c r="F8803" s="2">
        <f>IFERROR(__xludf.DUMMYFUNCTION("""COMPUTED_VALUE"""),4183102.0)</f>
        <v>4183102</v>
      </c>
    </row>
    <row r="8804">
      <c r="A8804" s="3">
        <f>IFERROR(__xludf.DUMMYFUNCTION("""COMPUTED_VALUE"""),41964.66666666667)</f>
        <v>41964.66667</v>
      </c>
      <c r="B8804" s="2">
        <f>IFERROR(__xludf.DUMMYFUNCTION("""COMPUTED_VALUE"""),154.57)</f>
        <v>154.57</v>
      </c>
      <c r="C8804" s="2">
        <f>IFERROR(__xludf.DUMMYFUNCTION("""COMPUTED_VALUE"""),154.69)</f>
        <v>154.69</v>
      </c>
      <c r="D8804" s="2">
        <f>IFERROR(__xludf.DUMMYFUNCTION("""COMPUTED_VALUE"""),153.54)</f>
        <v>153.54</v>
      </c>
      <c r="E8804" s="2">
        <f>IFERROR(__xludf.DUMMYFUNCTION("""COMPUTED_VALUE"""),153.7)</f>
        <v>153.7</v>
      </c>
      <c r="F8804" s="2">
        <f>IFERROR(__xludf.DUMMYFUNCTION("""COMPUTED_VALUE"""),4076875.0)</f>
        <v>4076875</v>
      </c>
    </row>
    <row r="8805">
      <c r="A8805" s="3">
        <f>IFERROR(__xludf.DUMMYFUNCTION("""COMPUTED_VALUE"""),41967.66666666667)</f>
        <v>41967.66667</v>
      </c>
      <c r="B8805" s="2">
        <f>IFERROR(__xludf.DUMMYFUNCTION("""COMPUTED_VALUE"""),154.3)</f>
        <v>154.3</v>
      </c>
      <c r="C8805" s="2">
        <f>IFERROR(__xludf.DUMMYFUNCTION("""COMPUTED_VALUE"""),156.51)</f>
        <v>156.51</v>
      </c>
      <c r="D8805" s="2">
        <f>IFERROR(__xludf.DUMMYFUNCTION("""COMPUTED_VALUE"""),153.84)</f>
        <v>153.84</v>
      </c>
      <c r="E8805" s="2">
        <f>IFERROR(__xludf.DUMMYFUNCTION("""COMPUTED_VALUE"""),154.88)</f>
        <v>154.88</v>
      </c>
      <c r="F8805" s="2">
        <f>IFERROR(__xludf.DUMMYFUNCTION("""COMPUTED_VALUE"""),6619032.0)</f>
        <v>6619032</v>
      </c>
    </row>
    <row r="8806">
      <c r="A8806" s="3">
        <f>IFERROR(__xludf.DUMMYFUNCTION("""COMPUTED_VALUE"""),41968.66666666667)</f>
        <v>41968.66667</v>
      </c>
      <c r="B8806" s="2">
        <f>IFERROR(__xludf.DUMMYFUNCTION("""COMPUTED_VALUE"""),155.36)</f>
        <v>155.36</v>
      </c>
      <c r="C8806" s="2">
        <f>IFERROR(__xludf.DUMMYFUNCTION("""COMPUTED_VALUE"""),156.17)</f>
        <v>156.17</v>
      </c>
      <c r="D8806" s="2">
        <f>IFERROR(__xludf.DUMMYFUNCTION("""COMPUTED_VALUE"""),154.32)</f>
        <v>154.32</v>
      </c>
      <c r="E8806" s="2">
        <f>IFERROR(__xludf.DUMMYFUNCTION("""COMPUTED_VALUE"""),154.51)</f>
        <v>154.51</v>
      </c>
      <c r="F8806" s="2">
        <f>IFERROR(__xludf.DUMMYFUNCTION("""COMPUTED_VALUE"""),4062378.0)</f>
        <v>4062378</v>
      </c>
    </row>
    <row r="8807">
      <c r="A8807" s="3">
        <f>IFERROR(__xludf.DUMMYFUNCTION("""COMPUTED_VALUE"""),41969.66666666667)</f>
        <v>41969.66667</v>
      </c>
      <c r="B8807" s="2">
        <f>IFERROR(__xludf.DUMMYFUNCTION("""COMPUTED_VALUE"""),154.67)</f>
        <v>154.67</v>
      </c>
      <c r="C8807" s="2">
        <f>IFERROR(__xludf.DUMMYFUNCTION("""COMPUTED_VALUE"""),154.83)</f>
        <v>154.83</v>
      </c>
      <c r="D8807" s="2">
        <f>IFERROR(__xludf.DUMMYFUNCTION("""COMPUTED_VALUE"""),153.79)</f>
        <v>153.79</v>
      </c>
      <c r="E8807" s="2">
        <f>IFERROR(__xludf.DUMMYFUNCTION("""COMPUTED_VALUE"""),154.69)</f>
        <v>154.69</v>
      </c>
      <c r="F8807" s="2">
        <f>IFERROR(__xludf.DUMMYFUNCTION("""COMPUTED_VALUE"""),3967223.0)</f>
        <v>3967223</v>
      </c>
    </row>
    <row r="8808">
      <c r="A8808" s="3">
        <f>IFERROR(__xludf.DUMMYFUNCTION("""COMPUTED_VALUE"""),41971.66666666667)</f>
        <v>41971.66667</v>
      </c>
      <c r="B8808" s="2">
        <f>IFERROR(__xludf.DUMMYFUNCTION("""COMPUTED_VALUE"""),155.45)</f>
        <v>155.45</v>
      </c>
      <c r="C8808" s="2">
        <f>IFERROR(__xludf.DUMMYFUNCTION("""COMPUTED_VALUE"""),156.05)</f>
        <v>156.05</v>
      </c>
      <c r="D8808" s="2">
        <f>IFERROR(__xludf.DUMMYFUNCTION("""COMPUTED_VALUE"""),154.2)</f>
        <v>154.2</v>
      </c>
      <c r="E8808" s="2">
        <f>IFERROR(__xludf.DUMMYFUNCTION("""COMPUTED_VALUE"""),154.9)</f>
        <v>154.9</v>
      </c>
      <c r="F8808" s="2">
        <f>IFERROR(__xludf.DUMMYFUNCTION("""COMPUTED_VALUE"""),2405512.0)</f>
        <v>2405512</v>
      </c>
    </row>
    <row r="8809">
      <c r="A8809" s="3">
        <f>IFERROR(__xludf.DUMMYFUNCTION("""COMPUTED_VALUE"""),41974.66666666667)</f>
        <v>41974.66667</v>
      </c>
      <c r="B8809" s="2">
        <f>IFERROR(__xludf.DUMMYFUNCTION("""COMPUTED_VALUE"""),154.39)</f>
        <v>154.39</v>
      </c>
      <c r="C8809" s="2">
        <f>IFERROR(__xludf.DUMMYFUNCTION("""COMPUTED_VALUE"""),155.99)</f>
        <v>155.99</v>
      </c>
      <c r="D8809" s="2">
        <f>IFERROR(__xludf.DUMMYFUNCTION("""COMPUTED_VALUE"""),154.12)</f>
        <v>154.12</v>
      </c>
      <c r="E8809" s="2">
        <f>IFERROR(__xludf.DUMMYFUNCTION("""COMPUTED_VALUE"""),154.3)</f>
        <v>154.3</v>
      </c>
      <c r="F8809" s="2">
        <f>IFERROR(__xludf.DUMMYFUNCTION("""COMPUTED_VALUE"""),4168384.0)</f>
        <v>4168384</v>
      </c>
    </row>
    <row r="8810">
      <c r="A8810" s="3">
        <f>IFERROR(__xludf.DUMMYFUNCTION("""COMPUTED_VALUE"""),41975.66666666667)</f>
        <v>41975.66667</v>
      </c>
      <c r="B8810" s="2">
        <f>IFERROR(__xludf.DUMMYFUNCTION("""COMPUTED_VALUE"""),155.19)</f>
        <v>155.19</v>
      </c>
      <c r="C8810" s="2">
        <f>IFERROR(__xludf.DUMMYFUNCTION("""COMPUTED_VALUE"""),155.43)</f>
        <v>155.43</v>
      </c>
      <c r="D8810" s="2">
        <f>IFERROR(__xludf.DUMMYFUNCTION("""COMPUTED_VALUE"""),154.39)</f>
        <v>154.39</v>
      </c>
      <c r="E8810" s="2">
        <f>IFERROR(__xludf.DUMMYFUNCTION("""COMPUTED_VALUE"""),155.38)</f>
        <v>155.38</v>
      </c>
      <c r="F8810" s="2">
        <f>IFERROR(__xludf.DUMMYFUNCTION("""COMPUTED_VALUE"""),3465747.0)</f>
        <v>3465747</v>
      </c>
    </row>
    <row r="8811">
      <c r="A8811" s="3">
        <f>IFERROR(__xludf.DUMMYFUNCTION("""COMPUTED_VALUE"""),41976.66666666667)</f>
        <v>41976.66667</v>
      </c>
      <c r="B8811" s="2">
        <f>IFERROR(__xludf.DUMMYFUNCTION("""COMPUTED_VALUE"""),155.19)</f>
        <v>155.19</v>
      </c>
      <c r="C8811" s="2">
        <f>IFERROR(__xludf.DUMMYFUNCTION("""COMPUTED_VALUE"""),157.14)</f>
        <v>157.14</v>
      </c>
      <c r="D8811" s="2">
        <f>IFERROR(__xludf.DUMMYFUNCTION("""COMPUTED_VALUE"""),154.74)</f>
        <v>154.74</v>
      </c>
      <c r="E8811" s="2">
        <f>IFERROR(__xludf.DUMMYFUNCTION("""COMPUTED_VALUE"""),157.14)</f>
        <v>157.14</v>
      </c>
      <c r="F8811" s="2">
        <f>IFERROR(__xludf.DUMMYFUNCTION("""COMPUTED_VALUE"""),6434994.0)</f>
        <v>6434994</v>
      </c>
    </row>
    <row r="8812">
      <c r="A8812" s="3">
        <f>IFERROR(__xludf.DUMMYFUNCTION("""COMPUTED_VALUE"""),41977.66666666667)</f>
        <v>41977.66667</v>
      </c>
      <c r="B8812" s="2">
        <f>IFERROR(__xludf.DUMMYFUNCTION("""COMPUTED_VALUE"""),156.66)</f>
        <v>156.66</v>
      </c>
      <c r="C8812" s="2">
        <f>IFERROR(__xludf.DUMMYFUNCTION("""COMPUTED_VALUE"""),157.12)</f>
        <v>157.12</v>
      </c>
      <c r="D8812" s="2">
        <f>IFERROR(__xludf.DUMMYFUNCTION("""COMPUTED_VALUE"""),155.7)</f>
        <v>155.7</v>
      </c>
      <c r="E8812" s="2">
        <f>IFERROR(__xludf.DUMMYFUNCTION("""COMPUTED_VALUE"""),156.69)</f>
        <v>156.69</v>
      </c>
      <c r="F8812" s="2">
        <f>IFERROR(__xludf.DUMMYFUNCTION("""COMPUTED_VALUE"""),3862916.0)</f>
        <v>3862916</v>
      </c>
    </row>
    <row r="8813">
      <c r="A8813" s="3">
        <f>IFERROR(__xludf.DUMMYFUNCTION("""COMPUTED_VALUE"""),41978.66666666667)</f>
        <v>41978.66667</v>
      </c>
      <c r="B8813" s="2">
        <f>IFERROR(__xludf.DUMMYFUNCTION("""COMPUTED_VALUE"""),156.27)</f>
        <v>156.27</v>
      </c>
      <c r="C8813" s="2">
        <f>IFERROR(__xludf.DUMMYFUNCTION("""COMPUTED_VALUE"""),157.12)</f>
        <v>157.12</v>
      </c>
      <c r="D8813" s="2">
        <f>IFERROR(__xludf.DUMMYFUNCTION("""COMPUTED_VALUE"""),155.61)</f>
        <v>155.61</v>
      </c>
      <c r="E8813" s="2">
        <f>IFERROR(__xludf.DUMMYFUNCTION("""COMPUTED_VALUE"""),155.95)</f>
        <v>155.95</v>
      </c>
      <c r="F8813" s="2">
        <f>IFERROR(__xludf.DUMMYFUNCTION("""COMPUTED_VALUE"""),3013500.0)</f>
        <v>3013500</v>
      </c>
    </row>
    <row r="8814">
      <c r="A8814" s="3">
        <f>IFERROR(__xludf.DUMMYFUNCTION("""COMPUTED_VALUE"""),41981.66666666667)</f>
        <v>41981.66667</v>
      </c>
      <c r="B8814" s="2">
        <f>IFERROR(__xludf.DUMMYFUNCTION("""COMPUTED_VALUE"""),155.97)</f>
        <v>155.97</v>
      </c>
      <c r="C8814" s="2">
        <f>IFERROR(__xludf.DUMMYFUNCTION("""COMPUTED_VALUE"""),155.97)</f>
        <v>155.97</v>
      </c>
      <c r="D8814" s="2">
        <f>IFERROR(__xludf.DUMMYFUNCTION("""COMPUTED_VALUE"""),154.3)</f>
        <v>154.3</v>
      </c>
      <c r="E8814" s="2">
        <f>IFERROR(__xludf.DUMMYFUNCTION("""COMPUTED_VALUE"""),154.6)</f>
        <v>154.6</v>
      </c>
      <c r="F8814" s="2">
        <f>IFERROR(__xludf.DUMMYFUNCTION("""COMPUTED_VALUE"""),2851383.0)</f>
        <v>2851383</v>
      </c>
    </row>
    <row r="8815">
      <c r="A8815" s="3">
        <f>IFERROR(__xludf.DUMMYFUNCTION("""COMPUTED_VALUE"""),41982.66666666667)</f>
        <v>41982.66667</v>
      </c>
      <c r="B8815" s="2">
        <f>IFERROR(__xludf.DUMMYFUNCTION("""COMPUTED_VALUE"""),153.63)</f>
        <v>153.63</v>
      </c>
      <c r="C8815" s="2">
        <f>IFERROR(__xludf.DUMMYFUNCTION("""COMPUTED_VALUE"""),155.71)</f>
        <v>155.71</v>
      </c>
      <c r="D8815" s="2">
        <f>IFERROR(__xludf.DUMMYFUNCTION("""COMPUTED_VALUE"""),153.59)</f>
        <v>153.59</v>
      </c>
      <c r="E8815" s="2">
        <f>IFERROR(__xludf.DUMMYFUNCTION("""COMPUTED_VALUE"""),155.68)</f>
        <v>155.68</v>
      </c>
      <c r="F8815" s="2">
        <f>IFERROR(__xludf.DUMMYFUNCTION("""COMPUTED_VALUE"""),3865905.0)</f>
        <v>3865905</v>
      </c>
    </row>
    <row r="8816">
      <c r="A8816" s="3">
        <f>IFERROR(__xludf.DUMMYFUNCTION("""COMPUTED_VALUE"""),41983.66666666667)</f>
        <v>41983.66667</v>
      </c>
      <c r="B8816" s="2">
        <f>IFERROR(__xludf.DUMMYFUNCTION("""COMPUTED_VALUE"""),155.7)</f>
        <v>155.7</v>
      </c>
      <c r="C8816" s="2">
        <f>IFERROR(__xludf.DUMMYFUNCTION("""COMPUTED_VALUE"""),156.01)</f>
        <v>156.01</v>
      </c>
      <c r="D8816" s="2">
        <f>IFERROR(__xludf.DUMMYFUNCTION("""COMPUTED_VALUE"""),152.85)</f>
        <v>152.85</v>
      </c>
      <c r="E8816" s="2">
        <f>IFERROR(__xludf.DUMMYFUNCTION("""COMPUTED_VALUE"""),153.31)</f>
        <v>153.31</v>
      </c>
      <c r="F8816" s="2">
        <f>IFERROR(__xludf.DUMMYFUNCTION("""COMPUTED_VALUE"""),4082384.0)</f>
        <v>4082384</v>
      </c>
    </row>
    <row r="8817">
      <c r="A8817" s="3">
        <f>IFERROR(__xludf.DUMMYFUNCTION("""COMPUTED_VALUE"""),41984.66666666667)</f>
        <v>41984.66667</v>
      </c>
      <c r="B8817" s="2">
        <f>IFERROR(__xludf.DUMMYFUNCTION("""COMPUTED_VALUE"""),153.61)</f>
        <v>153.61</v>
      </c>
      <c r="C8817" s="2">
        <f>IFERROR(__xludf.DUMMYFUNCTION("""COMPUTED_VALUE"""),155.62)</f>
        <v>155.62</v>
      </c>
      <c r="D8817" s="2">
        <f>IFERROR(__xludf.DUMMYFUNCTION("""COMPUTED_VALUE"""),153.32)</f>
        <v>153.32</v>
      </c>
      <c r="E8817" s="2">
        <f>IFERROR(__xludf.DUMMYFUNCTION("""COMPUTED_VALUE"""),153.85)</f>
        <v>153.85</v>
      </c>
      <c r="F8817" s="2">
        <f>IFERROR(__xludf.DUMMYFUNCTION("""COMPUTED_VALUE"""),3989571.0)</f>
        <v>3989571</v>
      </c>
    </row>
    <row r="8818">
      <c r="A8818" s="3">
        <f>IFERROR(__xludf.DUMMYFUNCTION("""COMPUTED_VALUE"""),41985.66666666667)</f>
        <v>41985.66667</v>
      </c>
      <c r="B8818" s="2">
        <f>IFERROR(__xludf.DUMMYFUNCTION("""COMPUTED_VALUE"""),153.07)</f>
        <v>153.07</v>
      </c>
      <c r="C8818" s="2">
        <f>IFERROR(__xludf.DUMMYFUNCTION("""COMPUTED_VALUE"""),153.3)</f>
        <v>153.3</v>
      </c>
      <c r="D8818" s="2">
        <f>IFERROR(__xludf.DUMMYFUNCTION("""COMPUTED_VALUE"""),148.37)</f>
        <v>148.37</v>
      </c>
      <c r="E8818" s="2">
        <f>IFERROR(__xludf.DUMMYFUNCTION("""COMPUTED_VALUE"""),148.41)</f>
        <v>148.41</v>
      </c>
      <c r="F8818" s="2">
        <f>IFERROR(__xludf.DUMMYFUNCTION("""COMPUTED_VALUE"""),8611748.0)</f>
        <v>8611748</v>
      </c>
    </row>
    <row r="8819">
      <c r="A8819" s="3">
        <f>IFERROR(__xludf.DUMMYFUNCTION("""COMPUTED_VALUE"""),41988.66666666667)</f>
        <v>41988.66667</v>
      </c>
      <c r="B8819" s="2">
        <f>IFERROR(__xludf.DUMMYFUNCTION("""COMPUTED_VALUE"""),148.94)</f>
        <v>148.94</v>
      </c>
      <c r="C8819" s="2">
        <f>IFERROR(__xludf.DUMMYFUNCTION("""COMPUTED_VALUE"""),149.71)</f>
        <v>149.71</v>
      </c>
      <c r="D8819" s="2">
        <f>IFERROR(__xludf.DUMMYFUNCTION("""COMPUTED_VALUE"""),145.99)</f>
        <v>145.99</v>
      </c>
      <c r="E8819" s="2">
        <f>IFERROR(__xludf.DUMMYFUNCTION("""COMPUTED_VALUE"""),146.2)</f>
        <v>146.2</v>
      </c>
      <c r="F8819" s="2">
        <f>IFERROR(__xludf.DUMMYFUNCTION("""COMPUTED_VALUE"""),6500311.0)</f>
        <v>6500311</v>
      </c>
    </row>
    <row r="8820">
      <c r="A8820" s="3">
        <f>IFERROR(__xludf.DUMMYFUNCTION("""COMPUTED_VALUE"""),41989.66666666667)</f>
        <v>41989.66667</v>
      </c>
      <c r="B8820" s="2">
        <f>IFERROR(__xludf.DUMMYFUNCTION("""COMPUTED_VALUE"""),145.21)</f>
        <v>145.21</v>
      </c>
      <c r="C8820" s="2">
        <f>IFERROR(__xludf.DUMMYFUNCTION("""COMPUTED_VALUE"""),147.95)</f>
        <v>147.95</v>
      </c>
      <c r="D8820" s="2">
        <f>IFERROR(__xludf.DUMMYFUNCTION("""COMPUTED_VALUE"""),143.75)</f>
        <v>143.75</v>
      </c>
      <c r="E8820" s="2">
        <f>IFERROR(__xludf.DUMMYFUNCTION("""COMPUTED_VALUE"""),144.62)</f>
        <v>144.62</v>
      </c>
      <c r="F8820" s="2">
        <f>IFERROR(__xludf.DUMMYFUNCTION("""COMPUTED_VALUE"""),6782593.0)</f>
        <v>6782593</v>
      </c>
    </row>
    <row r="8821">
      <c r="A8821" s="3">
        <f>IFERROR(__xludf.DUMMYFUNCTION("""COMPUTED_VALUE"""),41990.66666666667)</f>
        <v>41990.66667</v>
      </c>
      <c r="B8821" s="2">
        <f>IFERROR(__xludf.DUMMYFUNCTION("""COMPUTED_VALUE"""),144.73)</f>
        <v>144.73</v>
      </c>
      <c r="C8821" s="2">
        <f>IFERROR(__xludf.DUMMYFUNCTION("""COMPUTED_VALUE"""),146.43)</f>
        <v>146.43</v>
      </c>
      <c r="D8821" s="2">
        <f>IFERROR(__xludf.DUMMYFUNCTION("""COMPUTED_VALUE"""),144.33)</f>
        <v>144.33</v>
      </c>
      <c r="E8821" s="2">
        <f>IFERROR(__xludf.DUMMYFUNCTION("""COMPUTED_VALUE"""),145.12)</f>
        <v>145.12</v>
      </c>
      <c r="F8821" s="2">
        <f>IFERROR(__xludf.DUMMYFUNCTION("""COMPUTED_VALUE"""),5139465.0)</f>
        <v>5139465</v>
      </c>
    </row>
    <row r="8822">
      <c r="A8822" s="3">
        <f>IFERROR(__xludf.DUMMYFUNCTION("""COMPUTED_VALUE"""),41991.66666666667)</f>
        <v>41991.66667</v>
      </c>
      <c r="B8822" s="2">
        <f>IFERROR(__xludf.DUMMYFUNCTION("""COMPUTED_VALUE"""),146.69)</f>
        <v>146.69</v>
      </c>
      <c r="C8822" s="2">
        <f>IFERROR(__xludf.DUMMYFUNCTION("""COMPUTED_VALUE"""),150.61)</f>
        <v>150.61</v>
      </c>
      <c r="D8822" s="2">
        <f>IFERROR(__xludf.DUMMYFUNCTION("""COMPUTED_VALUE"""),146.43)</f>
        <v>146.43</v>
      </c>
      <c r="E8822" s="2">
        <f>IFERROR(__xludf.DUMMYFUNCTION("""COMPUTED_VALUE"""),150.61)</f>
        <v>150.61</v>
      </c>
      <c r="F8822" s="2">
        <f>IFERROR(__xludf.DUMMYFUNCTION("""COMPUTED_VALUE"""),7302356.0)</f>
        <v>7302356</v>
      </c>
    </row>
    <row r="8823">
      <c r="A8823" s="3">
        <f>IFERROR(__xludf.DUMMYFUNCTION("""COMPUTED_VALUE"""),41992.66666666667)</f>
        <v>41992.66667</v>
      </c>
      <c r="B8823" s="2">
        <f>IFERROR(__xludf.DUMMYFUNCTION("""COMPUTED_VALUE"""),150.43)</f>
        <v>150.43</v>
      </c>
      <c r="C8823" s="2">
        <f>IFERROR(__xludf.DUMMYFUNCTION("""COMPUTED_VALUE"""),153.22)</f>
        <v>153.22</v>
      </c>
      <c r="D8823" s="2">
        <f>IFERROR(__xludf.DUMMYFUNCTION("""COMPUTED_VALUE"""),150.43)</f>
        <v>150.43</v>
      </c>
      <c r="E8823" s="2">
        <f>IFERROR(__xludf.DUMMYFUNCTION("""COMPUTED_VALUE"""),151.4)</f>
        <v>151.4</v>
      </c>
      <c r="F8823" s="2">
        <f>IFERROR(__xludf.DUMMYFUNCTION("""COMPUTED_VALUE"""),8864850.0)</f>
        <v>8864850</v>
      </c>
    </row>
    <row r="8824">
      <c r="A8824" s="3">
        <f>IFERROR(__xludf.DUMMYFUNCTION("""COMPUTED_VALUE"""),41995.66666666667)</f>
        <v>41995.66667</v>
      </c>
      <c r="B8824" s="2">
        <f>IFERROR(__xludf.DUMMYFUNCTION("""COMPUTED_VALUE"""),151.23)</f>
        <v>151.23</v>
      </c>
      <c r="C8824" s="2">
        <f>IFERROR(__xludf.DUMMYFUNCTION("""COMPUTED_VALUE"""),154.65)</f>
        <v>154.65</v>
      </c>
      <c r="D8824" s="2">
        <f>IFERROR(__xludf.DUMMYFUNCTION("""COMPUTED_VALUE"""),151.23)</f>
        <v>151.23</v>
      </c>
      <c r="E8824" s="2">
        <f>IFERROR(__xludf.DUMMYFUNCTION("""COMPUTED_VALUE"""),154.2)</f>
        <v>154.2</v>
      </c>
      <c r="F8824" s="2">
        <f>IFERROR(__xludf.DUMMYFUNCTION("""COMPUTED_VALUE"""),4682509.0)</f>
        <v>4682509</v>
      </c>
    </row>
    <row r="8825">
      <c r="A8825" s="3">
        <f>IFERROR(__xludf.DUMMYFUNCTION("""COMPUTED_VALUE"""),41996.66666666667)</f>
        <v>41996.66667</v>
      </c>
      <c r="B8825" s="2">
        <f>IFERROR(__xludf.DUMMYFUNCTION("""COMPUTED_VALUE"""),154.96)</f>
        <v>154.96</v>
      </c>
      <c r="C8825" s="2">
        <f>IFERROR(__xludf.DUMMYFUNCTION("""COMPUTED_VALUE"""),155.6)</f>
        <v>155.6</v>
      </c>
      <c r="D8825" s="2">
        <f>IFERROR(__xludf.DUMMYFUNCTION("""COMPUTED_VALUE"""),154.36)</f>
        <v>154.36</v>
      </c>
      <c r="E8825" s="2">
        <f>IFERROR(__xludf.DUMMYFUNCTION("""COMPUTED_VALUE"""),154.97)</f>
        <v>154.97</v>
      </c>
      <c r="F8825" s="2">
        <f>IFERROR(__xludf.DUMMYFUNCTION("""COMPUTED_VALUE"""),4044220.0)</f>
        <v>4044220</v>
      </c>
    </row>
    <row r="8826">
      <c r="A8826" s="3">
        <f>IFERROR(__xludf.DUMMYFUNCTION("""COMPUTED_VALUE"""),41997.66666666667)</f>
        <v>41997.66667</v>
      </c>
      <c r="B8826" s="2">
        <f>IFERROR(__xludf.DUMMYFUNCTION("""COMPUTED_VALUE"""),155.58)</f>
        <v>155.58</v>
      </c>
      <c r="C8826" s="2">
        <f>IFERROR(__xludf.DUMMYFUNCTION("""COMPUTED_VALUE"""),155.68)</f>
        <v>155.68</v>
      </c>
      <c r="D8826" s="2">
        <f>IFERROR(__xludf.DUMMYFUNCTION("""COMPUTED_VALUE"""),154.36)</f>
        <v>154.36</v>
      </c>
      <c r="E8826" s="2">
        <f>IFERROR(__xludf.DUMMYFUNCTION("""COMPUTED_VALUE"""),154.56)</f>
        <v>154.56</v>
      </c>
      <c r="F8826" s="2">
        <f>IFERROR(__xludf.DUMMYFUNCTION("""COMPUTED_VALUE"""),1869977.0)</f>
        <v>1869977</v>
      </c>
    </row>
    <row r="8827">
      <c r="A8827" s="3">
        <f>IFERROR(__xludf.DUMMYFUNCTION("""COMPUTED_VALUE"""),41999.66666666667)</f>
        <v>41999.66667</v>
      </c>
      <c r="B8827" s="2">
        <f>IFERROR(__xludf.DUMMYFUNCTION("""COMPUTED_VALUE"""),154.99)</f>
        <v>154.99</v>
      </c>
      <c r="C8827" s="2">
        <f>IFERROR(__xludf.DUMMYFUNCTION("""COMPUTED_VALUE"""),155.78)</f>
        <v>155.78</v>
      </c>
      <c r="D8827" s="2">
        <f>IFERROR(__xludf.DUMMYFUNCTION("""COMPUTED_VALUE"""),154.75)</f>
        <v>154.75</v>
      </c>
      <c r="E8827" s="2">
        <f>IFERROR(__xludf.DUMMYFUNCTION("""COMPUTED_VALUE"""),155.06)</f>
        <v>155.06</v>
      </c>
      <c r="F8827" s="2">
        <f>IFERROR(__xludf.DUMMYFUNCTION("""COMPUTED_VALUE"""),1912310.0)</f>
        <v>1912310</v>
      </c>
    </row>
    <row r="8828">
      <c r="A8828" s="3">
        <f>IFERROR(__xludf.DUMMYFUNCTION("""COMPUTED_VALUE"""),42002.66666666667)</f>
        <v>42002.66667</v>
      </c>
      <c r="B8828" s="2">
        <f>IFERROR(__xludf.DUMMYFUNCTION("""COMPUTED_VALUE"""),154.74)</f>
        <v>154.74</v>
      </c>
      <c r="C8828" s="2">
        <f>IFERROR(__xludf.DUMMYFUNCTION("""COMPUTED_VALUE"""),155.06)</f>
        <v>155.06</v>
      </c>
      <c r="D8828" s="2">
        <f>IFERROR(__xludf.DUMMYFUNCTION("""COMPUTED_VALUE"""),152.3)</f>
        <v>152.3</v>
      </c>
      <c r="E8828" s="2">
        <f>IFERROR(__xludf.DUMMYFUNCTION("""COMPUTED_VALUE"""),153.31)</f>
        <v>153.31</v>
      </c>
      <c r="F8828" s="2">
        <f>IFERROR(__xludf.DUMMYFUNCTION("""COMPUTED_VALUE"""),3331833.0)</f>
        <v>3331833</v>
      </c>
    </row>
    <row r="8829">
      <c r="A8829" s="3">
        <f>IFERROR(__xludf.DUMMYFUNCTION("""COMPUTED_VALUE"""),42003.66666666667)</f>
        <v>42003.66667</v>
      </c>
      <c r="B8829" s="2">
        <f>IFERROR(__xludf.DUMMYFUNCTION("""COMPUTED_VALUE"""),152.85)</f>
        <v>152.85</v>
      </c>
      <c r="C8829" s="2">
        <f>IFERROR(__xludf.DUMMYFUNCTION("""COMPUTED_VALUE"""),153.61)</f>
        <v>153.61</v>
      </c>
      <c r="D8829" s="2">
        <f>IFERROR(__xludf.DUMMYFUNCTION("""COMPUTED_VALUE"""),152.63)</f>
        <v>152.63</v>
      </c>
      <c r="E8829" s="2">
        <f>IFERROR(__xludf.DUMMYFUNCTION("""COMPUTED_VALUE"""),152.87)</f>
        <v>152.87</v>
      </c>
      <c r="F8829" s="2">
        <f>IFERROR(__xludf.DUMMYFUNCTION("""COMPUTED_VALUE"""),2829904.0)</f>
        <v>2829904</v>
      </c>
    </row>
    <row r="8830">
      <c r="A8830" s="3">
        <f>IFERROR(__xludf.DUMMYFUNCTION("""COMPUTED_VALUE"""),42004.66666666667)</f>
        <v>42004.66667</v>
      </c>
      <c r="B8830" s="2">
        <f>IFERROR(__xludf.DUMMYFUNCTION("""COMPUTED_VALUE"""),153.22)</f>
        <v>153.22</v>
      </c>
      <c r="C8830" s="2">
        <f>IFERROR(__xludf.DUMMYFUNCTION("""COMPUTED_VALUE"""),154.26)</f>
        <v>154.26</v>
      </c>
      <c r="D8830" s="2">
        <f>IFERROR(__xludf.DUMMYFUNCTION("""COMPUTED_VALUE"""),153.19)</f>
        <v>153.19</v>
      </c>
      <c r="E8830" s="2">
        <f>IFERROR(__xludf.DUMMYFUNCTION("""COMPUTED_VALUE"""),153.25)</f>
        <v>153.25</v>
      </c>
      <c r="F8830" s="2">
        <f>IFERROR(__xludf.DUMMYFUNCTION("""COMPUTED_VALUE"""),4011909.0)</f>
        <v>4011909</v>
      </c>
    </row>
    <row r="8831">
      <c r="A8831" s="3">
        <f>IFERROR(__xludf.DUMMYFUNCTION("""COMPUTED_VALUE"""),42006.66666666667)</f>
        <v>42006.66667</v>
      </c>
      <c r="B8831" s="2">
        <f>IFERROR(__xludf.DUMMYFUNCTION("""COMPUTED_VALUE"""),154.08)</f>
        <v>154.08</v>
      </c>
      <c r="C8831" s="2">
        <f>IFERROR(__xludf.DUMMYFUNCTION("""COMPUTED_VALUE"""),155.99)</f>
        <v>155.99</v>
      </c>
      <c r="D8831" s="2">
        <f>IFERROR(__xludf.DUMMYFUNCTION("""COMPUTED_VALUE"""),153.78)</f>
        <v>153.78</v>
      </c>
      <c r="E8831" s="2">
        <f>IFERROR(__xludf.DUMMYFUNCTION("""COMPUTED_VALUE"""),154.79)</f>
        <v>154.79</v>
      </c>
      <c r="F8831" s="2">
        <f>IFERROR(__xludf.DUMMYFUNCTION("""COMPUTED_VALUE"""),5525466.0)</f>
        <v>5525466</v>
      </c>
    </row>
    <row r="8832">
      <c r="A8832" s="3">
        <f>IFERROR(__xludf.DUMMYFUNCTION("""COMPUTED_VALUE"""),42009.66666666667)</f>
        <v>42009.66667</v>
      </c>
      <c r="B8832" s="2">
        <f>IFERROR(__xludf.DUMMYFUNCTION("""COMPUTED_VALUE"""),154.04)</f>
        <v>154.04</v>
      </c>
      <c r="C8832" s="2">
        <f>IFERROR(__xludf.DUMMYFUNCTION("""COMPUTED_VALUE"""),154.04)</f>
        <v>154.04</v>
      </c>
      <c r="D8832" s="2">
        <f>IFERROR(__xludf.DUMMYFUNCTION("""COMPUTED_VALUE"""),152.05)</f>
        <v>152.05</v>
      </c>
      <c r="E8832" s="2">
        <f>IFERROR(__xludf.DUMMYFUNCTION("""COMPUTED_VALUE"""),152.36)</f>
        <v>152.36</v>
      </c>
      <c r="F8832" s="2">
        <f>IFERROR(__xludf.DUMMYFUNCTION("""COMPUTED_VALUE"""),4880389.0)</f>
        <v>4880389</v>
      </c>
    </row>
    <row r="8833">
      <c r="A8833" s="3">
        <f>IFERROR(__xludf.DUMMYFUNCTION("""COMPUTED_VALUE"""),42010.66666666667)</f>
        <v>42010.66667</v>
      </c>
      <c r="B8833" s="2">
        <f>IFERROR(__xludf.DUMMYFUNCTION("""COMPUTED_VALUE"""),152.51)</f>
        <v>152.51</v>
      </c>
      <c r="C8833" s="2">
        <f>IFERROR(__xludf.DUMMYFUNCTION("""COMPUTED_VALUE"""),152.79)</f>
        <v>152.79</v>
      </c>
      <c r="D8833" s="2">
        <f>IFERROR(__xludf.DUMMYFUNCTION("""COMPUTED_VALUE"""),148.21)</f>
        <v>148.21</v>
      </c>
      <c r="E8833" s="2">
        <f>IFERROR(__xludf.DUMMYFUNCTION("""COMPUTED_VALUE"""),149.07)</f>
        <v>149.07</v>
      </c>
      <c r="F8833" s="2">
        <f>IFERROR(__xludf.DUMMYFUNCTION("""COMPUTED_VALUE"""),6146712.0)</f>
        <v>6146712</v>
      </c>
    </row>
    <row r="8834">
      <c r="A8834" s="3">
        <f>IFERROR(__xludf.DUMMYFUNCTION("""COMPUTED_VALUE"""),42011.66666666667)</f>
        <v>42011.66667</v>
      </c>
      <c r="B8834" s="2">
        <f>IFERROR(__xludf.DUMMYFUNCTION("""COMPUTED_VALUE"""),150.15)</f>
        <v>150.15</v>
      </c>
      <c r="C8834" s="2">
        <f>IFERROR(__xludf.DUMMYFUNCTION("""COMPUTED_VALUE"""),150.15)</f>
        <v>150.15</v>
      </c>
      <c r="D8834" s="2">
        <f>IFERROR(__xludf.DUMMYFUNCTION("""COMPUTED_VALUE"""),147.12)</f>
        <v>147.12</v>
      </c>
      <c r="E8834" s="2">
        <f>IFERROR(__xludf.DUMMYFUNCTION("""COMPUTED_VALUE"""),148.1)</f>
        <v>148.1</v>
      </c>
      <c r="F8834" s="2">
        <f>IFERROR(__xludf.DUMMYFUNCTION("""COMPUTED_VALUE"""),4701839.0)</f>
        <v>4701839</v>
      </c>
    </row>
    <row r="8835">
      <c r="A8835" s="3">
        <f>IFERROR(__xludf.DUMMYFUNCTION("""COMPUTED_VALUE"""),42012.66666666667)</f>
        <v>42012.66667</v>
      </c>
      <c r="B8835" s="2">
        <f>IFERROR(__xludf.DUMMYFUNCTION("""COMPUTED_VALUE"""),149.23)</f>
        <v>149.23</v>
      </c>
      <c r="C8835" s="2">
        <f>IFERROR(__xludf.DUMMYFUNCTION("""COMPUTED_VALUE"""),151.91)</f>
        <v>151.91</v>
      </c>
      <c r="D8835" s="2">
        <f>IFERROR(__xludf.DUMMYFUNCTION("""COMPUTED_VALUE"""),148.58)</f>
        <v>148.58</v>
      </c>
      <c r="E8835" s="2">
        <f>IFERROR(__xludf.DUMMYFUNCTION("""COMPUTED_VALUE"""),151.32)</f>
        <v>151.32</v>
      </c>
      <c r="F8835" s="2">
        <f>IFERROR(__xludf.DUMMYFUNCTION("""COMPUTED_VALUE"""),4241113.0)</f>
        <v>4241113</v>
      </c>
    </row>
    <row r="8836">
      <c r="A8836" s="3">
        <f>IFERROR(__xludf.DUMMYFUNCTION("""COMPUTED_VALUE"""),42013.66666666667)</f>
        <v>42013.66667</v>
      </c>
      <c r="B8836" s="2">
        <f>IFERROR(__xludf.DUMMYFUNCTION("""COMPUTED_VALUE"""),151.32)</f>
        <v>151.32</v>
      </c>
      <c r="C8836" s="2">
        <f>IFERROR(__xludf.DUMMYFUNCTION("""COMPUTED_VALUE"""),153.15)</f>
        <v>153.15</v>
      </c>
      <c r="D8836" s="2">
        <f>IFERROR(__xludf.DUMMYFUNCTION("""COMPUTED_VALUE"""),150.2)</f>
        <v>150.2</v>
      </c>
      <c r="E8836" s="2">
        <f>IFERROR(__xludf.DUMMYFUNCTION("""COMPUTED_VALUE"""),151.98)</f>
        <v>151.98</v>
      </c>
      <c r="F8836" s="2">
        <f>IFERROR(__xludf.DUMMYFUNCTION("""COMPUTED_VALUE"""),4488347.0)</f>
        <v>4488347</v>
      </c>
    </row>
    <row r="8837">
      <c r="A8837" s="3">
        <f>IFERROR(__xludf.DUMMYFUNCTION("""COMPUTED_VALUE"""),42016.66666666667)</f>
        <v>42016.66667</v>
      </c>
      <c r="B8837" s="2">
        <f>IFERROR(__xludf.DUMMYFUNCTION("""COMPUTED_VALUE"""),151.87)</f>
        <v>151.87</v>
      </c>
      <c r="C8837" s="2">
        <f>IFERROR(__xludf.DUMMYFUNCTION("""COMPUTED_VALUE"""),152.11)</f>
        <v>152.11</v>
      </c>
      <c r="D8837" s="2">
        <f>IFERROR(__xludf.DUMMYFUNCTION("""COMPUTED_VALUE"""),148.78)</f>
        <v>148.78</v>
      </c>
      <c r="E8837" s="2">
        <f>IFERROR(__xludf.DUMMYFUNCTION("""COMPUTED_VALUE"""),149.43)</f>
        <v>149.43</v>
      </c>
      <c r="F8837" s="2">
        <f>IFERROR(__xludf.DUMMYFUNCTION("""COMPUTED_VALUE"""),4187638.0)</f>
        <v>4187638</v>
      </c>
    </row>
    <row r="8838">
      <c r="A8838" s="3">
        <f>IFERROR(__xludf.DUMMYFUNCTION("""COMPUTED_VALUE"""),42017.66666666667)</f>
        <v>42017.66667</v>
      </c>
      <c r="B8838" s="2">
        <f>IFERROR(__xludf.DUMMYFUNCTION("""COMPUTED_VALUE"""),150.21)</f>
        <v>150.21</v>
      </c>
      <c r="C8838" s="2">
        <f>IFERROR(__xludf.DUMMYFUNCTION("""COMPUTED_VALUE"""),152.8)</f>
        <v>152.8</v>
      </c>
      <c r="D8838" s="2">
        <f>IFERROR(__xludf.DUMMYFUNCTION("""COMPUTED_VALUE"""),148.7)</f>
        <v>148.7</v>
      </c>
      <c r="E8838" s="2">
        <f>IFERROR(__xludf.DUMMYFUNCTION("""COMPUTED_VALUE"""),149.78)</f>
        <v>149.78</v>
      </c>
      <c r="F8838" s="2">
        <f>IFERROR(__xludf.DUMMYFUNCTION("""COMPUTED_VALUE"""),4377510.0)</f>
        <v>4377510</v>
      </c>
    </row>
    <row r="8839">
      <c r="A8839" s="3">
        <f>IFERROR(__xludf.DUMMYFUNCTION("""COMPUTED_VALUE"""),42018.66666666667)</f>
        <v>42018.66667</v>
      </c>
      <c r="B8839" s="2">
        <f>IFERROR(__xludf.DUMMYFUNCTION("""COMPUTED_VALUE"""),147.92)</f>
        <v>147.92</v>
      </c>
      <c r="C8839" s="2">
        <f>IFERROR(__xludf.DUMMYFUNCTION("""COMPUTED_VALUE"""),149.47)</f>
        <v>149.47</v>
      </c>
      <c r="D8839" s="2">
        <f>IFERROR(__xludf.DUMMYFUNCTION("""COMPUTED_VALUE"""),146.85)</f>
        <v>146.85</v>
      </c>
      <c r="E8839" s="2">
        <f>IFERROR(__xludf.DUMMYFUNCTION("""COMPUTED_VALUE"""),148.81)</f>
        <v>148.81</v>
      </c>
      <c r="F8839" s="2">
        <f>IFERROR(__xludf.DUMMYFUNCTION("""COMPUTED_VALUE"""),4690294.0)</f>
        <v>4690294</v>
      </c>
    </row>
    <row r="8840">
      <c r="A8840" s="3">
        <f>IFERROR(__xludf.DUMMYFUNCTION("""COMPUTED_VALUE"""),42019.66666666667)</f>
        <v>42019.66667</v>
      </c>
      <c r="B8840" s="2">
        <f>IFERROR(__xludf.DUMMYFUNCTION("""COMPUTED_VALUE"""),149.66)</f>
        <v>149.66</v>
      </c>
      <c r="C8840" s="2">
        <f>IFERROR(__xludf.DUMMYFUNCTION("""COMPUTED_VALUE"""),149.93)</f>
        <v>149.93</v>
      </c>
      <c r="D8840" s="2">
        <f>IFERROR(__xludf.DUMMYFUNCTION("""COMPUTED_VALUE"""),147.25)</f>
        <v>147.25</v>
      </c>
      <c r="E8840" s="2">
        <f>IFERROR(__xludf.DUMMYFUNCTION("""COMPUTED_VALUE"""),147.64)</f>
        <v>147.64</v>
      </c>
      <c r="F8840" s="2">
        <f>IFERROR(__xludf.DUMMYFUNCTION("""COMPUTED_VALUE"""),4251723.0)</f>
        <v>4251723</v>
      </c>
    </row>
    <row r="8841">
      <c r="A8841" s="3">
        <f>IFERROR(__xludf.DUMMYFUNCTION("""COMPUTED_VALUE"""),42020.66666666667)</f>
        <v>42020.66667</v>
      </c>
      <c r="B8841" s="2">
        <f>IFERROR(__xludf.DUMMYFUNCTION("""COMPUTED_VALUE"""),146.92)</f>
        <v>146.92</v>
      </c>
      <c r="C8841" s="2">
        <f>IFERROR(__xludf.DUMMYFUNCTION("""COMPUTED_VALUE"""),150.56)</f>
        <v>150.56</v>
      </c>
      <c r="D8841" s="2">
        <f>IFERROR(__xludf.DUMMYFUNCTION("""COMPUTED_VALUE"""),146.92)</f>
        <v>146.92</v>
      </c>
      <c r="E8841" s="2">
        <f>IFERROR(__xludf.DUMMYFUNCTION("""COMPUTED_VALUE"""),150.09)</f>
        <v>150.09</v>
      </c>
      <c r="F8841" s="2">
        <f>IFERROR(__xludf.DUMMYFUNCTION("""COMPUTED_VALUE"""),5756041.0)</f>
        <v>5756041</v>
      </c>
    </row>
    <row r="8842">
      <c r="A8842" s="3">
        <f>IFERROR(__xludf.DUMMYFUNCTION("""COMPUTED_VALUE"""),42024.66666666667)</f>
        <v>42024.66667</v>
      </c>
      <c r="B8842" s="2">
        <f>IFERROR(__xludf.DUMMYFUNCTION("""COMPUTED_VALUE"""),149.67)</f>
        <v>149.67</v>
      </c>
      <c r="C8842" s="2">
        <f>IFERROR(__xludf.DUMMYFUNCTION("""COMPUTED_VALUE"""),150.28)</f>
        <v>150.28</v>
      </c>
      <c r="D8842" s="2">
        <f>IFERROR(__xludf.DUMMYFUNCTION("""COMPUTED_VALUE"""),147.12)</f>
        <v>147.12</v>
      </c>
      <c r="E8842" s="2">
        <f>IFERROR(__xludf.DUMMYFUNCTION("""COMPUTED_VALUE"""),149.91)</f>
        <v>149.91</v>
      </c>
      <c r="F8842" s="2">
        <f>IFERROR(__xludf.DUMMYFUNCTION("""COMPUTED_VALUE"""),8392773.0)</f>
        <v>8392773</v>
      </c>
    </row>
    <row r="8843">
      <c r="A8843" s="3">
        <f>IFERROR(__xludf.DUMMYFUNCTION("""COMPUTED_VALUE"""),42025.66666666667)</f>
        <v>42025.66667</v>
      </c>
      <c r="B8843" s="2">
        <f>IFERROR(__xludf.DUMMYFUNCTION("""COMPUTED_VALUE"""),146.17)</f>
        <v>146.17</v>
      </c>
      <c r="C8843" s="2">
        <f>IFERROR(__xludf.DUMMYFUNCTION("""COMPUTED_VALUE"""),147.57)</f>
        <v>147.57</v>
      </c>
      <c r="D8843" s="2">
        <f>IFERROR(__xludf.DUMMYFUNCTION("""COMPUTED_VALUE"""),144.3)</f>
        <v>144.3</v>
      </c>
      <c r="E8843" s="2">
        <f>IFERROR(__xludf.DUMMYFUNCTION("""COMPUTED_VALUE"""),145.27)</f>
        <v>145.27</v>
      </c>
      <c r="F8843" s="2">
        <f>IFERROR(__xludf.DUMMYFUNCTION("""COMPUTED_VALUE"""),1.1897123E7)</f>
        <v>11897123</v>
      </c>
    </row>
    <row r="8844">
      <c r="A8844" s="3">
        <f>IFERROR(__xludf.DUMMYFUNCTION("""COMPUTED_VALUE"""),42026.66666666667)</f>
        <v>42026.66667</v>
      </c>
      <c r="B8844" s="2">
        <f>IFERROR(__xludf.DUMMYFUNCTION("""COMPUTED_VALUE"""),145.13)</f>
        <v>145.13</v>
      </c>
      <c r="C8844" s="2">
        <f>IFERROR(__xludf.DUMMYFUNCTION("""COMPUTED_VALUE"""),148.74)</f>
        <v>148.74</v>
      </c>
      <c r="D8844" s="2">
        <f>IFERROR(__xludf.DUMMYFUNCTION("""COMPUTED_VALUE"""),144.96)</f>
        <v>144.96</v>
      </c>
      <c r="E8844" s="2">
        <f>IFERROR(__xludf.DUMMYFUNCTION("""COMPUTED_VALUE"""),148.42)</f>
        <v>148.42</v>
      </c>
      <c r="F8844" s="2">
        <f>IFERROR(__xludf.DUMMYFUNCTION("""COMPUTED_VALUE"""),6120113.0)</f>
        <v>6120113</v>
      </c>
    </row>
    <row r="8845">
      <c r="A8845" s="3">
        <f>IFERROR(__xludf.DUMMYFUNCTION("""COMPUTED_VALUE"""),42027.66666666667)</f>
        <v>42027.66667</v>
      </c>
      <c r="B8845" s="2">
        <f>IFERROR(__xludf.DUMMYFUNCTION("""COMPUTED_VALUE"""),148.08)</f>
        <v>148.08</v>
      </c>
      <c r="C8845" s="2">
        <f>IFERROR(__xludf.DUMMYFUNCTION("""COMPUTED_VALUE"""),150.53)</f>
        <v>150.53</v>
      </c>
      <c r="D8845" s="2">
        <f>IFERROR(__xludf.DUMMYFUNCTION("""COMPUTED_VALUE"""),147.95)</f>
        <v>147.95</v>
      </c>
      <c r="E8845" s="2">
        <f>IFERROR(__xludf.DUMMYFUNCTION("""COMPUTED_VALUE"""),148.88)</f>
        <v>148.88</v>
      </c>
      <c r="F8845" s="2">
        <f>IFERROR(__xludf.DUMMYFUNCTION("""COMPUTED_VALUE"""),4834847.0)</f>
        <v>4834847</v>
      </c>
    </row>
    <row r="8846">
      <c r="A8846" s="3">
        <f>IFERROR(__xludf.DUMMYFUNCTION("""COMPUTED_VALUE"""),42030.66666666667)</f>
        <v>42030.66667</v>
      </c>
      <c r="B8846" s="2">
        <f>IFERROR(__xludf.DUMMYFUNCTION("""COMPUTED_VALUE"""),151.16)</f>
        <v>151.16</v>
      </c>
      <c r="C8846" s="2">
        <f>IFERROR(__xludf.DUMMYFUNCTION("""COMPUTED_VALUE"""),152.31)</f>
        <v>152.31</v>
      </c>
      <c r="D8846" s="2">
        <f>IFERROR(__xludf.DUMMYFUNCTION("""COMPUTED_VALUE"""),148.79)</f>
        <v>148.79</v>
      </c>
      <c r="E8846" s="2">
        <f>IFERROR(__xludf.DUMMYFUNCTION("""COMPUTED_VALUE"""),149.35)</f>
        <v>149.35</v>
      </c>
      <c r="F8846" s="2">
        <f>IFERROR(__xludf.DUMMYFUNCTION("""COMPUTED_VALUE"""),7888143.0)</f>
        <v>7888143</v>
      </c>
    </row>
    <row r="8847">
      <c r="A8847" s="3">
        <f>IFERROR(__xludf.DUMMYFUNCTION("""COMPUTED_VALUE"""),42031.66666666667)</f>
        <v>42031.66667</v>
      </c>
      <c r="B8847" s="2">
        <f>IFERROR(__xludf.DUMMYFUNCTION("""COMPUTED_VALUE"""),147.99)</f>
        <v>147.99</v>
      </c>
      <c r="C8847" s="2">
        <f>IFERROR(__xludf.DUMMYFUNCTION("""COMPUTED_VALUE"""),148.14)</f>
        <v>148.14</v>
      </c>
      <c r="D8847" s="2">
        <f>IFERROR(__xludf.DUMMYFUNCTION("""COMPUTED_VALUE"""),145.75)</f>
        <v>145.75</v>
      </c>
      <c r="E8847" s="2">
        <f>IFERROR(__xludf.DUMMYFUNCTION("""COMPUTED_VALUE"""),146.78)</f>
        <v>146.78</v>
      </c>
      <c r="F8847" s="2">
        <f>IFERROR(__xludf.DUMMYFUNCTION("""COMPUTED_VALUE"""),5659568.0)</f>
        <v>5659568</v>
      </c>
    </row>
    <row r="8848">
      <c r="A8848" s="3">
        <f>IFERROR(__xludf.DUMMYFUNCTION("""COMPUTED_VALUE"""),42032.66666666667)</f>
        <v>42032.66667</v>
      </c>
      <c r="B8848" s="2">
        <f>IFERROR(__xludf.DUMMYFUNCTION("""COMPUTED_VALUE"""),147.1)</f>
        <v>147.1</v>
      </c>
      <c r="C8848" s="2">
        <f>IFERROR(__xludf.DUMMYFUNCTION("""COMPUTED_VALUE"""),147.6)</f>
        <v>147.6</v>
      </c>
      <c r="D8848" s="2">
        <f>IFERROR(__xludf.DUMMYFUNCTION("""COMPUTED_VALUE"""),144.76)</f>
        <v>144.76</v>
      </c>
      <c r="E8848" s="2">
        <f>IFERROR(__xludf.DUMMYFUNCTION("""COMPUTED_VALUE"""),144.76)</f>
        <v>144.76</v>
      </c>
      <c r="F8848" s="2">
        <f>IFERROR(__xludf.DUMMYFUNCTION("""COMPUTED_VALUE"""),4495933.0)</f>
        <v>4495933</v>
      </c>
    </row>
    <row r="8849">
      <c r="A8849" s="3">
        <f>IFERROR(__xludf.DUMMYFUNCTION("""COMPUTED_VALUE"""),42033.66666666667)</f>
        <v>42033.66667</v>
      </c>
      <c r="B8849" s="2">
        <f>IFERROR(__xludf.DUMMYFUNCTION("""COMPUTED_VALUE"""),144.59)</f>
        <v>144.59</v>
      </c>
      <c r="C8849" s="2">
        <f>IFERROR(__xludf.DUMMYFUNCTION("""COMPUTED_VALUE"""),148.6)</f>
        <v>148.6</v>
      </c>
      <c r="D8849" s="2">
        <f>IFERROR(__xludf.DUMMYFUNCTION("""COMPUTED_VALUE"""),142.82)</f>
        <v>142.82</v>
      </c>
      <c r="E8849" s="2">
        <f>IFERROR(__xludf.DUMMYFUNCTION("""COMPUTED_VALUE"""),148.51)</f>
        <v>148.51</v>
      </c>
      <c r="F8849" s="2">
        <f>IFERROR(__xludf.DUMMYFUNCTION("""COMPUTED_VALUE"""),8320847.0)</f>
        <v>8320847</v>
      </c>
    </row>
    <row r="8850">
      <c r="A8850" s="3">
        <f>IFERROR(__xludf.DUMMYFUNCTION("""COMPUTED_VALUE"""),42034.66666666667)</f>
        <v>42034.66667</v>
      </c>
      <c r="B8850" s="2">
        <f>IFERROR(__xludf.DUMMYFUNCTION("""COMPUTED_VALUE"""),147.01)</f>
        <v>147.01</v>
      </c>
      <c r="C8850" s="2">
        <f>IFERROR(__xludf.DUMMYFUNCTION("""COMPUTED_VALUE"""),148.28)</f>
        <v>148.28</v>
      </c>
      <c r="D8850" s="2">
        <f>IFERROR(__xludf.DUMMYFUNCTION("""COMPUTED_VALUE"""),146.18)</f>
        <v>146.18</v>
      </c>
      <c r="E8850" s="2">
        <f>IFERROR(__xludf.DUMMYFUNCTION("""COMPUTED_VALUE"""),146.44)</f>
        <v>146.44</v>
      </c>
      <c r="F8850" s="2">
        <f>IFERROR(__xludf.DUMMYFUNCTION("""COMPUTED_VALUE"""),6563570.0)</f>
        <v>6563570</v>
      </c>
    </row>
    <row r="8851">
      <c r="A8851" s="3">
        <f>IFERROR(__xludf.DUMMYFUNCTION("""COMPUTED_VALUE"""),42037.66666666667)</f>
        <v>42037.66667</v>
      </c>
      <c r="B8851" s="2">
        <f>IFERROR(__xludf.DUMMYFUNCTION("""COMPUTED_VALUE"""),147.1)</f>
        <v>147.1</v>
      </c>
      <c r="C8851" s="2">
        <f>IFERROR(__xludf.DUMMYFUNCTION("""COMPUTED_VALUE"""),147.73)</f>
        <v>147.73</v>
      </c>
      <c r="D8851" s="2">
        <f>IFERROR(__xludf.DUMMYFUNCTION("""COMPUTED_VALUE"""),144.72)</f>
        <v>144.72</v>
      </c>
      <c r="E8851" s="2">
        <f>IFERROR(__xludf.DUMMYFUNCTION("""COMPUTED_VALUE"""),147.73)</f>
        <v>147.73</v>
      </c>
      <c r="F8851" s="2">
        <f>IFERROR(__xludf.DUMMYFUNCTION("""COMPUTED_VALUE"""),4712247.0)</f>
        <v>4712247</v>
      </c>
    </row>
    <row r="8852">
      <c r="A8852" s="3">
        <f>IFERROR(__xludf.DUMMYFUNCTION("""COMPUTED_VALUE"""),42038.66666666667)</f>
        <v>42038.66667</v>
      </c>
      <c r="B8852" s="2">
        <f>IFERROR(__xludf.DUMMYFUNCTION("""COMPUTED_VALUE"""),147.81)</f>
        <v>147.81</v>
      </c>
      <c r="C8852" s="2">
        <f>IFERROR(__xludf.DUMMYFUNCTION("""COMPUTED_VALUE"""),151.49)</f>
        <v>151.49</v>
      </c>
      <c r="D8852" s="2">
        <f>IFERROR(__xludf.DUMMYFUNCTION("""COMPUTED_VALUE"""),147.81)</f>
        <v>147.81</v>
      </c>
      <c r="E8852" s="2">
        <f>IFERROR(__xludf.DUMMYFUNCTION("""COMPUTED_VALUE"""),151.36)</f>
        <v>151.36</v>
      </c>
      <c r="F8852" s="2">
        <f>IFERROR(__xludf.DUMMYFUNCTION("""COMPUTED_VALUE"""),5539406.0)</f>
        <v>5539406</v>
      </c>
    </row>
    <row r="8853">
      <c r="A8853" s="3">
        <f>IFERROR(__xludf.DUMMYFUNCTION("""COMPUTED_VALUE"""),42039.66666666667)</f>
        <v>42039.66667</v>
      </c>
      <c r="B8853" s="2">
        <f>IFERROR(__xludf.DUMMYFUNCTION("""COMPUTED_VALUE"""),150.16)</f>
        <v>150.16</v>
      </c>
      <c r="C8853" s="2">
        <f>IFERROR(__xludf.DUMMYFUNCTION("""COMPUTED_VALUE"""),151.59)</f>
        <v>151.59</v>
      </c>
      <c r="D8853" s="2">
        <f>IFERROR(__xludf.DUMMYFUNCTION("""COMPUTED_VALUE"""),149.67)</f>
        <v>149.67</v>
      </c>
      <c r="E8853" s="2">
        <f>IFERROR(__xludf.DUMMYFUNCTION("""COMPUTED_VALUE"""),149.92)</f>
        <v>149.92</v>
      </c>
      <c r="F8853" s="2">
        <f>IFERROR(__xludf.DUMMYFUNCTION("""COMPUTED_VALUE"""),3678459.0)</f>
        <v>3678459</v>
      </c>
    </row>
    <row r="8854">
      <c r="A8854" s="3">
        <f>IFERROR(__xludf.DUMMYFUNCTION("""COMPUTED_VALUE"""),42040.66666666667)</f>
        <v>42040.66667</v>
      </c>
      <c r="B8854" s="2">
        <f>IFERROR(__xludf.DUMMYFUNCTION("""COMPUTED_VALUE"""),150.24)</f>
        <v>150.24</v>
      </c>
      <c r="C8854" s="2">
        <f>IFERROR(__xludf.DUMMYFUNCTION("""COMPUTED_VALUE"""),151.48)</f>
        <v>151.48</v>
      </c>
      <c r="D8854" s="2">
        <f>IFERROR(__xludf.DUMMYFUNCTION("""COMPUTED_VALUE"""),150.1)</f>
        <v>150.1</v>
      </c>
      <c r="E8854" s="2">
        <f>IFERROR(__xludf.DUMMYFUNCTION("""COMPUTED_VALUE"""),150.83)</f>
        <v>150.83</v>
      </c>
      <c r="F8854" s="2">
        <f>IFERROR(__xludf.DUMMYFUNCTION("""COMPUTED_VALUE"""),5253637.0)</f>
        <v>5253637</v>
      </c>
    </row>
    <row r="8855">
      <c r="A8855" s="3">
        <f>IFERROR(__xludf.DUMMYFUNCTION("""COMPUTED_VALUE"""),42041.66666666667)</f>
        <v>42041.66667</v>
      </c>
      <c r="B8855" s="2">
        <f>IFERROR(__xludf.DUMMYFUNCTION("""COMPUTED_VALUE"""),150.29)</f>
        <v>150.29</v>
      </c>
      <c r="C8855" s="2">
        <f>IFERROR(__xludf.DUMMYFUNCTION("""COMPUTED_VALUE"""),150.99)</f>
        <v>150.99</v>
      </c>
      <c r="D8855" s="2">
        <f>IFERROR(__xludf.DUMMYFUNCTION("""COMPUTED_VALUE"""),149.23)</f>
        <v>149.23</v>
      </c>
      <c r="E8855" s="2">
        <f>IFERROR(__xludf.DUMMYFUNCTION("""COMPUTED_VALUE"""),149.69)</f>
        <v>149.69</v>
      </c>
      <c r="F8855" s="2">
        <f>IFERROR(__xludf.DUMMYFUNCTION("""COMPUTED_VALUE"""),3256452.0)</f>
        <v>3256452</v>
      </c>
    </row>
    <row r="8856">
      <c r="A8856" s="3">
        <f>IFERROR(__xludf.DUMMYFUNCTION("""COMPUTED_VALUE"""),42044.66666666667)</f>
        <v>42044.66667</v>
      </c>
      <c r="B8856" s="2">
        <f>IFERROR(__xludf.DUMMYFUNCTION("""COMPUTED_VALUE"""),149.01)</f>
        <v>149.01</v>
      </c>
      <c r="C8856" s="2">
        <f>IFERROR(__xludf.DUMMYFUNCTION("""COMPUTED_VALUE"""),150.44)</f>
        <v>150.44</v>
      </c>
      <c r="D8856" s="2">
        <f>IFERROR(__xludf.DUMMYFUNCTION("""COMPUTED_VALUE"""),148.43)</f>
        <v>148.43</v>
      </c>
      <c r="E8856" s="2">
        <f>IFERROR(__xludf.DUMMYFUNCTION("""COMPUTED_VALUE"""),148.77)</f>
        <v>148.77</v>
      </c>
      <c r="F8856" s="2">
        <f>IFERROR(__xludf.DUMMYFUNCTION("""COMPUTED_VALUE"""),3057726.0)</f>
        <v>3057726</v>
      </c>
    </row>
    <row r="8857">
      <c r="A8857" s="3">
        <f>IFERROR(__xludf.DUMMYFUNCTION("""COMPUTED_VALUE"""),42045.66666666667)</f>
        <v>42045.66667</v>
      </c>
      <c r="B8857" s="2">
        <f>IFERROR(__xludf.DUMMYFUNCTION("""COMPUTED_VALUE"""),149.71)</f>
        <v>149.71</v>
      </c>
      <c r="C8857" s="2">
        <f>IFERROR(__xludf.DUMMYFUNCTION("""COMPUTED_VALUE"""),151.45)</f>
        <v>151.45</v>
      </c>
      <c r="D8857" s="2">
        <f>IFERROR(__xludf.DUMMYFUNCTION("""COMPUTED_VALUE"""),148.13)</f>
        <v>148.13</v>
      </c>
      <c r="E8857" s="2">
        <f>IFERROR(__xludf.DUMMYFUNCTION("""COMPUTED_VALUE"""),151.45)</f>
        <v>151.45</v>
      </c>
      <c r="F8857" s="2">
        <f>IFERROR(__xludf.DUMMYFUNCTION("""COMPUTED_VALUE"""),4440614.0)</f>
        <v>4440614</v>
      </c>
    </row>
    <row r="8858">
      <c r="A8858" s="3">
        <f>IFERROR(__xludf.DUMMYFUNCTION("""COMPUTED_VALUE"""),42046.66666666667)</f>
        <v>42046.66667</v>
      </c>
      <c r="B8858" s="2">
        <f>IFERROR(__xludf.DUMMYFUNCTION("""COMPUTED_VALUE"""),150.69)</f>
        <v>150.69</v>
      </c>
      <c r="C8858" s="2">
        <f>IFERROR(__xludf.DUMMYFUNCTION("""COMPUTED_VALUE"""),151.96)</f>
        <v>151.96</v>
      </c>
      <c r="D8858" s="2">
        <f>IFERROR(__xludf.DUMMYFUNCTION("""COMPUTED_VALUE"""),150.12)</f>
        <v>150.12</v>
      </c>
      <c r="E8858" s="2">
        <f>IFERROR(__xludf.DUMMYFUNCTION("""COMPUTED_VALUE"""),151.11)</f>
        <v>151.11</v>
      </c>
      <c r="F8858" s="2">
        <f>IFERROR(__xludf.DUMMYFUNCTION("""COMPUTED_VALUE"""),3626658.0)</f>
        <v>3626658</v>
      </c>
    </row>
    <row r="8859">
      <c r="A8859" s="3">
        <f>IFERROR(__xludf.DUMMYFUNCTION("""COMPUTED_VALUE"""),42047.66666666667)</f>
        <v>42047.66667</v>
      </c>
      <c r="B8859" s="2">
        <f>IFERROR(__xludf.DUMMYFUNCTION("""COMPUTED_VALUE"""),151.6)</f>
        <v>151.6</v>
      </c>
      <c r="C8859" s="2">
        <f>IFERROR(__xludf.DUMMYFUNCTION("""COMPUTED_VALUE"""),152.35)</f>
        <v>152.35</v>
      </c>
      <c r="D8859" s="2">
        <f>IFERROR(__xludf.DUMMYFUNCTION("""COMPUTED_VALUE"""),151.0)</f>
        <v>151</v>
      </c>
      <c r="E8859" s="2">
        <f>IFERROR(__xludf.DUMMYFUNCTION("""COMPUTED_VALUE"""),151.41)</f>
        <v>151.41</v>
      </c>
      <c r="F8859" s="2">
        <f>IFERROR(__xludf.DUMMYFUNCTION("""COMPUTED_VALUE"""),3333063.0)</f>
        <v>3333063</v>
      </c>
    </row>
    <row r="8860">
      <c r="A8860" s="3">
        <f>IFERROR(__xludf.DUMMYFUNCTION("""COMPUTED_VALUE"""),42048.66666666667)</f>
        <v>42048.66667</v>
      </c>
      <c r="B8860" s="2">
        <f>IFERROR(__xludf.DUMMYFUNCTION("""COMPUTED_VALUE"""),151.66)</f>
        <v>151.66</v>
      </c>
      <c r="C8860" s="2">
        <f>IFERROR(__xludf.DUMMYFUNCTION("""COMPUTED_VALUE"""),153.59)</f>
        <v>153.59</v>
      </c>
      <c r="D8860" s="2">
        <f>IFERROR(__xludf.DUMMYFUNCTION("""COMPUTED_VALUE"""),151.53)</f>
        <v>151.53</v>
      </c>
      <c r="E8860" s="2">
        <f>IFERROR(__xludf.DUMMYFUNCTION("""COMPUTED_VALUE"""),153.21)</f>
        <v>153.21</v>
      </c>
      <c r="F8860" s="2">
        <f>IFERROR(__xludf.DUMMYFUNCTION("""COMPUTED_VALUE"""),3706919.0)</f>
        <v>3706919</v>
      </c>
    </row>
    <row r="8861">
      <c r="A8861" s="3">
        <f>IFERROR(__xludf.DUMMYFUNCTION("""COMPUTED_VALUE"""),42052.66666666667)</f>
        <v>42052.66667</v>
      </c>
      <c r="B8861" s="2">
        <f>IFERROR(__xludf.DUMMYFUNCTION("""COMPUTED_VALUE"""),152.59)</f>
        <v>152.59</v>
      </c>
      <c r="C8861" s="2">
        <f>IFERROR(__xludf.DUMMYFUNCTION("""COMPUTED_VALUE"""),154.17)</f>
        <v>154.17</v>
      </c>
      <c r="D8861" s="2">
        <f>IFERROR(__xludf.DUMMYFUNCTION("""COMPUTED_VALUE"""),152.57)</f>
        <v>152.57</v>
      </c>
      <c r="E8861" s="2">
        <f>IFERROR(__xludf.DUMMYFUNCTION("""COMPUTED_VALUE"""),153.74)</f>
        <v>153.74</v>
      </c>
      <c r="F8861" s="2">
        <f>IFERROR(__xludf.DUMMYFUNCTION("""COMPUTED_VALUE"""),2894508.0)</f>
        <v>2894508</v>
      </c>
    </row>
    <row r="8862">
      <c r="A8862" s="3">
        <f>IFERROR(__xludf.DUMMYFUNCTION("""COMPUTED_VALUE"""),42053.66666666667)</f>
        <v>42053.66667</v>
      </c>
      <c r="B8862" s="2">
        <f>IFERROR(__xludf.DUMMYFUNCTION("""COMPUTED_VALUE"""),154.6)</f>
        <v>154.6</v>
      </c>
      <c r="C8862" s="2">
        <f>IFERROR(__xludf.DUMMYFUNCTION("""COMPUTED_VALUE"""),155.19)</f>
        <v>155.19</v>
      </c>
      <c r="D8862" s="2">
        <f>IFERROR(__xludf.DUMMYFUNCTION("""COMPUTED_VALUE"""),153.44)</f>
        <v>153.44</v>
      </c>
      <c r="E8862" s="2">
        <f>IFERROR(__xludf.DUMMYFUNCTION("""COMPUTED_VALUE"""),154.92)</f>
        <v>154.92</v>
      </c>
      <c r="F8862" s="2">
        <f>IFERROR(__xludf.DUMMYFUNCTION("""COMPUTED_VALUE"""),4358385.0)</f>
        <v>4358385</v>
      </c>
    </row>
    <row r="8863">
      <c r="A8863" s="3">
        <f>IFERROR(__xludf.DUMMYFUNCTION("""COMPUTED_VALUE"""),42054.66666666667)</f>
        <v>42054.66667</v>
      </c>
      <c r="B8863" s="2">
        <f>IFERROR(__xludf.DUMMYFUNCTION("""COMPUTED_VALUE"""),154.78)</f>
        <v>154.78</v>
      </c>
      <c r="C8863" s="2">
        <f>IFERROR(__xludf.DUMMYFUNCTION("""COMPUTED_VALUE"""),157.11)</f>
        <v>157.11</v>
      </c>
      <c r="D8863" s="2">
        <f>IFERROR(__xludf.DUMMYFUNCTION("""COMPUTED_VALUE"""),154.2)</f>
        <v>154.2</v>
      </c>
      <c r="E8863" s="2">
        <f>IFERROR(__xludf.DUMMYFUNCTION("""COMPUTED_VALUE"""),156.54)</f>
        <v>156.54</v>
      </c>
      <c r="F8863" s="2">
        <f>IFERROR(__xludf.DUMMYFUNCTION("""COMPUTED_VALUE"""),3504380.0)</f>
        <v>3504380</v>
      </c>
    </row>
    <row r="8864">
      <c r="A8864" s="3">
        <f>IFERROR(__xludf.DUMMYFUNCTION("""COMPUTED_VALUE"""),42055.66666666667)</f>
        <v>42055.66667</v>
      </c>
      <c r="B8864" s="2">
        <f>IFERROR(__xludf.DUMMYFUNCTION("""COMPUTED_VALUE"""),156.3)</f>
        <v>156.3</v>
      </c>
      <c r="C8864" s="2">
        <f>IFERROR(__xludf.DUMMYFUNCTION("""COMPUTED_VALUE"""),156.97)</f>
        <v>156.97</v>
      </c>
      <c r="D8864" s="2">
        <f>IFERROR(__xludf.DUMMYFUNCTION("""COMPUTED_VALUE"""),154.82)</f>
        <v>154.82</v>
      </c>
      <c r="E8864" s="2">
        <f>IFERROR(__xludf.DUMMYFUNCTION("""COMPUTED_VALUE"""),156.31)</f>
        <v>156.31</v>
      </c>
      <c r="F8864" s="2">
        <f>IFERROR(__xludf.DUMMYFUNCTION("""COMPUTED_VALUE"""),3352982.0)</f>
        <v>3352982</v>
      </c>
    </row>
    <row r="8865">
      <c r="A8865" s="3">
        <f>IFERROR(__xludf.DUMMYFUNCTION("""COMPUTED_VALUE"""),42058.66666666667)</f>
        <v>42058.66667</v>
      </c>
      <c r="B8865" s="2">
        <f>IFERROR(__xludf.DUMMYFUNCTION("""COMPUTED_VALUE"""),156.87)</f>
        <v>156.87</v>
      </c>
      <c r="C8865" s="2">
        <f>IFERROR(__xludf.DUMMYFUNCTION("""COMPUTED_VALUE"""),157.03)</f>
        <v>157.03</v>
      </c>
      <c r="D8865" s="2">
        <f>IFERROR(__xludf.DUMMYFUNCTION("""COMPUTED_VALUE"""),155.21)</f>
        <v>155.21</v>
      </c>
      <c r="E8865" s="2">
        <f>IFERROR(__xludf.DUMMYFUNCTION("""COMPUTED_VALUE"""),155.61)</f>
        <v>155.61</v>
      </c>
      <c r="F8865" s="2">
        <f>IFERROR(__xludf.DUMMYFUNCTION("""COMPUTED_VALUE"""),2714434.0)</f>
        <v>2714434</v>
      </c>
    </row>
    <row r="8866">
      <c r="A8866" s="3">
        <f>IFERROR(__xludf.DUMMYFUNCTION("""COMPUTED_VALUE"""),42059.66666666667)</f>
        <v>42059.66667</v>
      </c>
      <c r="B8866" s="2">
        <f>IFERROR(__xludf.DUMMYFUNCTION("""COMPUTED_VALUE"""),155.2)</f>
        <v>155.2</v>
      </c>
      <c r="C8866" s="2">
        <f>IFERROR(__xludf.DUMMYFUNCTION("""COMPUTED_VALUE"""),157.59)</f>
        <v>157.59</v>
      </c>
      <c r="D8866" s="2">
        <f>IFERROR(__xludf.DUMMYFUNCTION("""COMPUTED_VALUE"""),154.27)</f>
        <v>154.27</v>
      </c>
      <c r="E8866" s="2">
        <f>IFERROR(__xludf.DUMMYFUNCTION("""COMPUTED_VALUE"""),157.44)</f>
        <v>157.44</v>
      </c>
      <c r="F8866" s="2">
        <f>IFERROR(__xludf.DUMMYFUNCTION("""COMPUTED_VALUE"""),4701626.0)</f>
        <v>4701626</v>
      </c>
    </row>
    <row r="8867">
      <c r="A8867" s="3">
        <f>IFERROR(__xludf.DUMMYFUNCTION("""COMPUTED_VALUE"""),42060.66666666667)</f>
        <v>42060.66667</v>
      </c>
      <c r="B8867" s="2">
        <f>IFERROR(__xludf.DUMMYFUNCTION("""COMPUTED_VALUE"""),157.54)</f>
        <v>157.54</v>
      </c>
      <c r="C8867" s="2">
        <f>IFERROR(__xludf.DUMMYFUNCTION("""COMPUTED_VALUE"""),157.56)</f>
        <v>157.56</v>
      </c>
      <c r="D8867" s="2">
        <f>IFERROR(__xludf.DUMMYFUNCTION("""COMPUTED_VALUE"""),155.29)</f>
        <v>155.29</v>
      </c>
      <c r="E8867" s="2">
        <f>IFERROR(__xludf.DUMMYFUNCTION("""COMPUTED_VALUE"""),155.51)</f>
        <v>155.51</v>
      </c>
      <c r="F8867" s="2">
        <f>IFERROR(__xludf.DUMMYFUNCTION("""COMPUTED_VALUE"""),4004559.0)</f>
        <v>4004559</v>
      </c>
    </row>
    <row r="8868">
      <c r="A8868" s="3">
        <f>IFERROR(__xludf.DUMMYFUNCTION("""COMPUTED_VALUE"""),42061.66666666667)</f>
        <v>42061.66667</v>
      </c>
      <c r="B8868" s="2">
        <f>IFERROR(__xludf.DUMMYFUNCTION("""COMPUTED_VALUE"""),156.4)</f>
        <v>156.4</v>
      </c>
      <c r="C8868" s="2">
        <f>IFERROR(__xludf.DUMMYFUNCTION("""COMPUTED_VALUE"""),156.78)</f>
        <v>156.78</v>
      </c>
      <c r="D8868" s="2">
        <f>IFERROR(__xludf.DUMMYFUNCTION("""COMPUTED_VALUE"""),152.61)</f>
        <v>152.61</v>
      </c>
      <c r="E8868" s="2">
        <f>IFERROR(__xludf.DUMMYFUNCTION("""COMPUTED_VALUE"""),153.66)</f>
        <v>153.66</v>
      </c>
      <c r="F8868" s="2">
        <f>IFERROR(__xludf.DUMMYFUNCTION("""COMPUTED_VALUE"""),7110772.0)</f>
        <v>7110772</v>
      </c>
    </row>
    <row r="8869">
      <c r="A8869" s="3">
        <f>IFERROR(__xludf.DUMMYFUNCTION("""COMPUTED_VALUE"""),42062.66666666667)</f>
        <v>42062.66667</v>
      </c>
      <c r="B8869" s="2">
        <f>IFERROR(__xludf.DUMMYFUNCTION("""COMPUTED_VALUE"""),153.83)</f>
        <v>153.83</v>
      </c>
      <c r="C8869" s="2">
        <f>IFERROR(__xludf.DUMMYFUNCTION("""COMPUTED_VALUE"""),155.01)</f>
        <v>155.01</v>
      </c>
      <c r="D8869" s="2">
        <f>IFERROR(__xludf.DUMMYFUNCTION("""COMPUTED_VALUE"""),152.98)</f>
        <v>152.98</v>
      </c>
      <c r="E8869" s="2">
        <f>IFERROR(__xludf.DUMMYFUNCTION("""COMPUTED_VALUE"""),154.68)</f>
        <v>154.68</v>
      </c>
      <c r="F8869" s="2">
        <f>IFERROR(__xludf.DUMMYFUNCTION("""COMPUTED_VALUE"""),4410037.0)</f>
        <v>4410037</v>
      </c>
    </row>
    <row r="8870">
      <c r="A8870" s="3">
        <f>IFERROR(__xludf.DUMMYFUNCTION("""COMPUTED_VALUE"""),42065.66666666667)</f>
        <v>42065.66667</v>
      </c>
      <c r="B8870" s="2">
        <f>IFERROR(__xludf.DUMMYFUNCTION("""COMPUTED_VALUE"""),154.43)</f>
        <v>154.43</v>
      </c>
      <c r="C8870" s="2">
        <f>IFERROR(__xludf.DUMMYFUNCTION("""COMPUTED_VALUE"""),154.63)</f>
        <v>154.63</v>
      </c>
      <c r="D8870" s="2">
        <f>IFERROR(__xludf.DUMMYFUNCTION("""COMPUTED_VALUE"""),152.64)</f>
        <v>152.64</v>
      </c>
      <c r="E8870" s="2">
        <f>IFERROR(__xludf.DUMMYFUNCTION("""COMPUTED_VALUE"""),153.28)</f>
        <v>153.28</v>
      </c>
      <c r="F8870" s="2">
        <f>IFERROR(__xludf.DUMMYFUNCTION("""COMPUTED_VALUE"""),5917862.0)</f>
        <v>5917862</v>
      </c>
    </row>
    <row r="8871">
      <c r="A8871" s="3">
        <f>IFERROR(__xludf.DUMMYFUNCTION("""COMPUTED_VALUE"""),42066.66666666667)</f>
        <v>42066.66667</v>
      </c>
      <c r="B8871" s="2">
        <f>IFERROR(__xludf.DUMMYFUNCTION("""COMPUTED_VALUE"""),153.08)</f>
        <v>153.08</v>
      </c>
      <c r="C8871" s="2">
        <f>IFERROR(__xludf.DUMMYFUNCTION("""COMPUTED_VALUE"""),154.5)</f>
        <v>154.5</v>
      </c>
      <c r="D8871" s="2">
        <f>IFERROR(__xludf.DUMMYFUNCTION("""COMPUTED_VALUE"""),152.83)</f>
        <v>152.83</v>
      </c>
      <c r="E8871" s="2">
        <f>IFERROR(__xludf.DUMMYFUNCTION("""COMPUTED_VALUE"""),153.81)</f>
        <v>153.81</v>
      </c>
      <c r="F8871" s="2">
        <f>IFERROR(__xludf.DUMMYFUNCTION("""COMPUTED_VALUE"""),3234401.0)</f>
        <v>3234401</v>
      </c>
    </row>
    <row r="8872">
      <c r="A8872" s="3">
        <f>IFERROR(__xludf.DUMMYFUNCTION("""COMPUTED_VALUE"""),42067.66666666667)</f>
        <v>42067.66667</v>
      </c>
      <c r="B8872" s="2">
        <f>IFERROR(__xludf.DUMMYFUNCTION("""COMPUTED_VALUE"""),153.34)</f>
        <v>153.34</v>
      </c>
      <c r="C8872" s="2">
        <f>IFERROR(__xludf.DUMMYFUNCTION("""COMPUTED_VALUE"""),153.36)</f>
        <v>153.36</v>
      </c>
      <c r="D8872" s="2">
        <f>IFERROR(__xludf.DUMMYFUNCTION("""COMPUTED_VALUE"""),151.6)</f>
        <v>151.6</v>
      </c>
      <c r="E8872" s="2">
        <f>IFERROR(__xludf.DUMMYFUNCTION("""COMPUTED_VALUE"""),152.27)</f>
        <v>152.27</v>
      </c>
      <c r="F8872" s="2">
        <f>IFERROR(__xludf.DUMMYFUNCTION("""COMPUTED_VALUE"""),3633635.0)</f>
        <v>3633635</v>
      </c>
    </row>
    <row r="8873">
      <c r="A8873" s="3">
        <f>IFERROR(__xludf.DUMMYFUNCTION("""COMPUTED_VALUE"""),42068.66666666667)</f>
        <v>42068.66667</v>
      </c>
      <c r="B8873" s="2">
        <f>IFERROR(__xludf.DUMMYFUNCTION("""COMPUTED_VALUE"""),152.69)</f>
        <v>152.69</v>
      </c>
      <c r="C8873" s="2">
        <f>IFERROR(__xludf.DUMMYFUNCTION("""COMPUTED_VALUE"""),154.26)</f>
        <v>154.26</v>
      </c>
      <c r="D8873" s="2">
        <f>IFERROR(__xludf.DUMMYFUNCTION("""COMPUTED_VALUE"""),152.54)</f>
        <v>152.54</v>
      </c>
      <c r="E8873" s="2">
        <f>IFERROR(__xludf.DUMMYFUNCTION("""COMPUTED_VALUE"""),153.95)</f>
        <v>153.95</v>
      </c>
      <c r="F8873" s="2">
        <f>IFERROR(__xludf.DUMMYFUNCTION("""COMPUTED_VALUE"""),3791660.0)</f>
        <v>3791660</v>
      </c>
    </row>
    <row r="8874">
      <c r="A8874" s="3">
        <f>IFERROR(__xludf.DUMMYFUNCTION("""COMPUTED_VALUE"""),42069.66666666667)</f>
        <v>42069.66667</v>
      </c>
      <c r="B8874" s="2">
        <f>IFERROR(__xludf.DUMMYFUNCTION("""COMPUTED_VALUE"""),153.01)</f>
        <v>153.01</v>
      </c>
      <c r="C8874" s="2">
        <f>IFERROR(__xludf.DUMMYFUNCTION("""COMPUTED_VALUE"""),154.2)</f>
        <v>154.2</v>
      </c>
      <c r="D8874" s="2">
        <f>IFERROR(__xludf.DUMMYFUNCTION("""COMPUTED_VALUE"""),150.97)</f>
        <v>150.97</v>
      </c>
      <c r="E8874" s="2">
        <f>IFERROR(__xludf.DUMMYFUNCTION("""COMPUTED_VALUE"""),151.39)</f>
        <v>151.39</v>
      </c>
      <c r="F8874" s="2">
        <f>IFERROR(__xludf.DUMMYFUNCTION("""COMPUTED_VALUE"""),4540174.0)</f>
        <v>4540174</v>
      </c>
    </row>
    <row r="8875">
      <c r="A8875" s="3">
        <f>IFERROR(__xludf.DUMMYFUNCTION("""COMPUTED_VALUE"""),42072.66666666667)</f>
        <v>42072.66667</v>
      </c>
      <c r="B8875" s="2">
        <f>IFERROR(__xludf.DUMMYFUNCTION("""COMPUTED_VALUE"""),151.11)</f>
        <v>151.11</v>
      </c>
      <c r="C8875" s="2">
        <f>IFERROR(__xludf.DUMMYFUNCTION("""COMPUTED_VALUE"""),153.92)</f>
        <v>153.92</v>
      </c>
      <c r="D8875" s="2">
        <f>IFERROR(__xludf.DUMMYFUNCTION("""COMPUTED_VALUE"""),151.11)</f>
        <v>151.11</v>
      </c>
      <c r="E8875" s="2">
        <f>IFERROR(__xludf.DUMMYFUNCTION("""COMPUTED_VALUE"""),153.56)</f>
        <v>153.56</v>
      </c>
      <c r="F8875" s="2">
        <f>IFERROR(__xludf.DUMMYFUNCTION("""COMPUTED_VALUE"""),5193874.0)</f>
        <v>5193874</v>
      </c>
    </row>
    <row r="8876">
      <c r="A8876" s="3">
        <f>IFERROR(__xludf.DUMMYFUNCTION("""COMPUTED_VALUE"""),42073.66666666667)</f>
        <v>42073.66667</v>
      </c>
      <c r="B8876" s="2">
        <f>IFERROR(__xludf.DUMMYFUNCTION("""COMPUTED_VALUE"""),152.44)</f>
        <v>152.44</v>
      </c>
      <c r="C8876" s="2">
        <f>IFERROR(__xludf.DUMMYFUNCTION("""COMPUTED_VALUE"""),153.05)</f>
        <v>153.05</v>
      </c>
      <c r="D8876" s="2">
        <f>IFERROR(__xludf.DUMMYFUNCTION("""COMPUTED_VALUE"""),150.73)</f>
        <v>150.73</v>
      </c>
      <c r="E8876" s="2">
        <f>IFERROR(__xludf.DUMMYFUNCTION("""COMPUTED_VALUE"""),150.73)</f>
        <v>150.73</v>
      </c>
      <c r="F8876" s="2">
        <f>IFERROR(__xludf.DUMMYFUNCTION("""COMPUTED_VALUE"""),4600803.0)</f>
        <v>4600803</v>
      </c>
    </row>
    <row r="8877">
      <c r="A8877" s="3">
        <f>IFERROR(__xludf.DUMMYFUNCTION("""COMPUTED_VALUE"""),42074.66666666667)</f>
        <v>42074.66667</v>
      </c>
      <c r="B8877" s="2">
        <f>IFERROR(__xludf.DUMMYFUNCTION("""COMPUTED_VALUE"""),151.46)</f>
        <v>151.46</v>
      </c>
      <c r="C8877" s="2">
        <f>IFERROR(__xludf.DUMMYFUNCTION("""COMPUTED_VALUE"""),152.0)</f>
        <v>152</v>
      </c>
      <c r="D8877" s="2">
        <f>IFERROR(__xludf.DUMMYFUNCTION("""COMPUTED_VALUE"""),148.94)</f>
        <v>148.94</v>
      </c>
      <c r="E8877" s="2">
        <f>IFERROR(__xludf.DUMMYFUNCTION("""COMPUTED_VALUE"""),149.77)</f>
        <v>149.77</v>
      </c>
      <c r="F8877" s="2">
        <f>IFERROR(__xludf.DUMMYFUNCTION("""COMPUTED_VALUE"""),5709290.0)</f>
        <v>5709290</v>
      </c>
    </row>
    <row r="8878">
      <c r="A8878" s="3">
        <f>IFERROR(__xludf.DUMMYFUNCTION("""COMPUTED_VALUE"""),42075.66666666667)</f>
        <v>42075.66667</v>
      </c>
      <c r="B8878" s="2">
        <f>IFERROR(__xludf.DUMMYFUNCTION("""COMPUTED_VALUE"""),149.26)</f>
        <v>149.26</v>
      </c>
      <c r="C8878" s="2">
        <f>IFERROR(__xludf.DUMMYFUNCTION("""COMPUTED_VALUE"""),151.6)</f>
        <v>151.6</v>
      </c>
      <c r="D8878" s="2">
        <f>IFERROR(__xludf.DUMMYFUNCTION("""COMPUTED_VALUE"""),149.26)</f>
        <v>149.26</v>
      </c>
      <c r="E8878" s="2">
        <f>IFERROR(__xludf.DUMMYFUNCTION("""COMPUTED_VALUE"""),150.9)</f>
        <v>150.9</v>
      </c>
      <c r="F8878" s="2">
        <f>IFERROR(__xludf.DUMMYFUNCTION("""COMPUTED_VALUE"""),4566611.0)</f>
        <v>4566611</v>
      </c>
    </row>
    <row r="8879">
      <c r="A8879" s="3">
        <f>IFERROR(__xludf.DUMMYFUNCTION("""COMPUTED_VALUE"""),42076.66666666667)</f>
        <v>42076.66667</v>
      </c>
      <c r="B8879" s="2">
        <f>IFERROR(__xludf.DUMMYFUNCTION("""COMPUTED_VALUE"""),150.4)</f>
        <v>150.4</v>
      </c>
      <c r="C8879" s="2">
        <f>IFERROR(__xludf.DUMMYFUNCTION("""COMPUTED_VALUE"""),150.46)</f>
        <v>150.46</v>
      </c>
      <c r="D8879" s="2">
        <f>IFERROR(__xludf.DUMMYFUNCTION("""COMPUTED_VALUE"""),146.52)</f>
        <v>146.52</v>
      </c>
      <c r="E8879" s="2">
        <f>IFERROR(__xludf.DUMMYFUNCTION("""COMPUTED_VALUE"""),147.36)</f>
        <v>147.36</v>
      </c>
      <c r="F8879" s="2">
        <f>IFERROR(__xludf.DUMMYFUNCTION("""COMPUTED_VALUE"""),6063970.0)</f>
        <v>6063970</v>
      </c>
    </row>
    <row r="8880">
      <c r="A8880" s="3">
        <f>IFERROR(__xludf.DUMMYFUNCTION("""COMPUTED_VALUE"""),42079.66666666667)</f>
        <v>42079.66667</v>
      </c>
      <c r="B8880" s="2">
        <f>IFERROR(__xludf.DUMMYFUNCTION("""COMPUTED_VALUE"""),148.1)</f>
        <v>148.1</v>
      </c>
      <c r="C8880" s="2">
        <f>IFERROR(__xludf.DUMMYFUNCTION("""COMPUTED_VALUE"""),150.05)</f>
        <v>150.05</v>
      </c>
      <c r="D8880" s="2">
        <f>IFERROR(__xludf.DUMMYFUNCTION("""COMPUTED_VALUE"""),147.86)</f>
        <v>147.86</v>
      </c>
      <c r="E8880" s="2">
        <f>IFERROR(__xludf.DUMMYFUNCTION("""COMPUTED_VALUE"""),150.04)</f>
        <v>150.04</v>
      </c>
      <c r="F8880" s="2">
        <f>IFERROR(__xludf.DUMMYFUNCTION("""COMPUTED_VALUE"""),3749638.0)</f>
        <v>3749638</v>
      </c>
    </row>
    <row r="8881">
      <c r="A8881" s="3">
        <f>IFERROR(__xludf.DUMMYFUNCTION("""COMPUTED_VALUE"""),42080.66666666667)</f>
        <v>42080.66667</v>
      </c>
      <c r="B8881" s="2">
        <f>IFERROR(__xludf.DUMMYFUNCTION("""COMPUTED_VALUE"""),149.2)</f>
        <v>149.2</v>
      </c>
      <c r="C8881" s="2">
        <f>IFERROR(__xludf.DUMMYFUNCTION("""COMPUTED_VALUE"""),150.24)</f>
        <v>150.24</v>
      </c>
      <c r="D8881" s="2">
        <f>IFERROR(__xludf.DUMMYFUNCTION("""COMPUTED_VALUE"""),148.4)</f>
        <v>148.4</v>
      </c>
      <c r="E8881" s="2">
        <f>IFERROR(__xludf.DUMMYFUNCTION("""COMPUTED_VALUE"""),149.92)</f>
        <v>149.92</v>
      </c>
      <c r="F8881" s="2">
        <f>IFERROR(__xludf.DUMMYFUNCTION("""COMPUTED_VALUE"""),3311864.0)</f>
        <v>3311864</v>
      </c>
    </row>
    <row r="8882">
      <c r="A8882" s="3">
        <f>IFERROR(__xludf.DUMMYFUNCTION("""COMPUTED_VALUE"""),42081.66666666667)</f>
        <v>42081.66667</v>
      </c>
      <c r="B8882" s="2">
        <f>IFERROR(__xludf.DUMMYFUNCTION("""COMPUTED_VALUE"""),149.82)</f>
        <v>149.82</v>
      </c>
      <c r="C8882" s="2">
        <f>IFERROR(__xludf.DUMMYFUNCTION("""COMPUTED_VALUE"""),153.49)</f>
        <v>153.49</v>
      </c>
      <c r="D8882" s="2">
        <f>IFERROR(__xludf.DUMMYFUNCTION("""COMPUTED_VALUE"""),148.81)</f>
        <v>148.81</v>
      </c>
      <c r="E8882" s="2">
        <f>IFERROR(__xludf.DUMMYFUNCTION("""COMPUTED_VALUE"""),152.64)</f>
        <v>152.64</v>
      </c>
      <c r="F8882" s="2">
        <f>IFERROR(__xludf.DUMMYFUNCTION("""COMPUTED_VALUE"""),5738517.0)</f>
        <v>5738517</v>
      </c>
    </row>
    <row r="8883">
      <c r="A8883" s="3">
        <f>IFERROR(__xludf.DUMMYFUNCTION("""COMPUTED_VALUE"""),42082.66666666667)</f>
        <v>42082.66667</v>
      </c>
      <c r="B8883" s="2">
        <f>IFERROR(__xludf.DUMMYFUNCTION("""COMPUTED_VALUE"""),152.54)</f>
        <v>152.54</v>
      </c>
      <c r="C8883" s="2">
        <f>IFERROR(__xludf.DUMMYFUNCTION("""COMPUTED_VALUE"""),153.7)</f>
        <v>153.7</v>
      </c>
      <c r="D8883" s="2">
        <f>IFERROR(__xludf.DUMMYFUNCTION("""COMPUTED_VALUE"""),151.69)</f>
        <v>151.69</v>
      </c>
      <c r="E8883" s="2">
        <f>IFERROR(__xludf.DUMMYFUNCTION("""COMPUTED_VALUE"""),152.64)</f>
        <v>152.64</v>
      </c>
      <c r="F8883" s="2">
        <f>IFERROR(__xludf.DUMMYFUNCTION("""COMPUTED_VALUE"""),3878559.0)</f>
        <v>3878559</v>
      </c>
    </row>
    <row r="8884">
      <c r="A8884" s="3">
        <f>IFERROR(__xludf.DUMMYFUNCTION("""COMPUTED_VALUE"""),42083.66666666667)</f>
        <v>42083.66667</v>
      </c>
      <c r="B8884" s="2">
        <f>IFERROR(__xludf.DUMMYFUNCTION("""COMPUTED_VALUE"""),153.73)</f>
        <v>153.73</v>
      </c>
      <c r="C8884" s="2">
        <f>IFERROR(__xludf.DUMMYFUNCTION("""COMPUTED_VALUE"""),155.69)</f>
        <v>155.69</v>
      </c>
      <c r="D8884" s="2">
        <f>IFERROR(__xludf.DUMMYFUNCTION("""COMPUTED_VALUE"""),153.16)</f>
        <v>153.16</v>
      </c>
      <c r="E8884" s="2">
        <f>IFERROR(__xludf.DUMMYFUNCTION("""COMPUTED_VALUE"""),155.58)</f>
        <v>155.58</v>
      </c>
      <c r="F8884" s="2">
        <f>IFERROR(__xludf.DUMMYFUNCTION("""COMPUTED_VALUE"""),9005029.0)</f>
        <v>9005029</v>
      </c>
    </row>
    <row r="8885">
      <c r="A8885" s="3">
        <f>IFERROR(__xludf.DUMMYFUNCTION("""COMPUTED_VALUE"""),42086.66666666667)</f>
        <v>42086.66667</v>
      </c>
      <c r="B8885" s="2">
        <f>IFERROR(__xludf.DUMMYFUNCTION("""COMPUTED_VALUE"""),155.47)</f>
        <v>155.47</v>
      </c>
      <c r="C8885" s="2">
        <f>IFERROR(__xludf.DUMMYFUNCTION("""COMPUTED_VALUE"""),157.94)</f>
        <v>157.94</v>
      </c>
      <c r="D8885" s="2">
        <f>IFERROR(__xludf.DUMMYFUNCTION("""COMPUTED_VALUE"""),155.43)</f>
        <v>155.43</v>
      </c>
      <c r="E8885" s="2">
        <f>IFERROR(__xludf.DUMMYFUNCTION("""COMPUTED_VALUE"""),157.25)</f>
        <v>157.25</v>
      </c>
      <c r="F8885" s="2">
        <f>IFERROR(__xludf.DUMMYFUNCTION("""COMPUTED_VALUE"""),5929927.0)</f>
        <v>5929927</v>
      </c>
    </row>
    <row r="8886">
      <c r="A8886" s="3">
        <f>IFERROR(__xludf.DUMMYFUNCTION("""COMPUTED_VALUE"""),42087.66666666667)</f>
        <v>42087.66667</v>
      </c>
      <c r="B8886" s="2">
        <f>IFERROR(__xludf.DUMMYFUNCTION("""COMPUTED_VALUE"""),157.4)</f>
        <v>157.4</v>
      </c>
      <c r="C8886" s="2">
        <f>IFERROR(__xludf.DUMMYFUNCTION("""COMPUTED_VALUE"""),157.5)</f>
        <v>157.5</v>
      </c>
      <c r="D8886" s="2">
        <f>IFERROR(__xludf.DUMMYFUNCTION("""COMPUTED_VALUE"""),155.6)</f>
        <v>155.6</v>
      </c>
      <c r="E8886" s="2">
        <f>IFERROR(__xludf.DUMMYFUNCTION("""COMPUTED_VALUE"""),155.69)</f>
        <v>155.69</v>
      </c>
      <c r="F8886" s="2">
        <f>IFERROR(__xludf.DUMMYFUNCTION("""COMPUTED_VALUE"""),4346145.0)</f>
        <v>4346145</v>
      </c>
    </row>
    <row r="8887">
      <c r="A8887" s="3">
        <f>IFERROR(__xludf.DUMMYFUNCTION("""COMPUTED_VALUE"""),42088.66666666667)</f>
        <v>42088.66667</v>
      </c>
      <c r="B8887" s="2">
        <f>IFERROR(__xludf.DUMMYFUNCTION("""COMPUTED_VALUE"""),155.77)</f>
        <v>155.77</v>
      </c>
      <c r="C8887" s="2">
        <f>IFERROR(__xludf.DUMMYFUNCTION("""COMPUTED_VALUE"""),155.77)</f>
        <v>155.77</v>
      </c>
      <c r="D8887" s="2">
        <f>IFERROR(__xludf.DUMMYFUNCTION("""COMPUTED_VALUE"""),152.06)</f>
        <v>152.06</v>
      </c>
      <c r="E8887" s="2">
        <f>IFERROR(__xludf.DUMMYFUNCTION("""COMPUTED_VALUE"""),152.06)</f>
        <v>152.06</v>
      </c>
      <c r="F8887" s="2">
        <f>IFERROR(__xludf.DUMMYFUNCTION("""COMPUTED_VALUE"""),5428730.0)</f>
        <v>5428730</v>
      </c>
    </row>
    <row r="8888">
      <c r="A8888" s="3">
        <f>IFERROR(__xludf.DUMMYFUNCTION("""COMPUTED_VALUE"""),42089.66666666667)</f>
        <v>42089.66667</v>
      </c>
      <c r="B8888" s="2">
        <f>IFERROR(__xludf.DUMMYFUNCTION("""COMPUTED_VALUE"""),152.13)</f>
        <v>152.13</v>
      </c>
      <c r="C8888" s="2">
        <f>IFERROR(__xludf.DUMMYFUNCTION("""COMPUTED_VALUE"""),154.02)</f>
        <v>154.02</v>
      </c>
      <c r="D8888" s="2">
        <f>IFERROR(__xludf.DUMMYFUNCTION("""COMPUTED_VALUE"""),151.79)</f>
        <v>151.79</v>
      </c>
      <c r="E8888" s="2">
        <f>IFERROR(__xludf.DUMMYFUNCTION("""COMPUTED_VALUE"""),153.39)</f>
        <v>153.39</v>
      </c>
      <c r="F8888" s="2">
        <f>IFERROR(__xludf.DUMMYFUNCTION("""COMPUTED_VALUE"""),4396024.0)</f>
        <v>4396024</v>
      </c>
    </row>
    <row r="8889">
      <c r="A8889" s="3">
        <f>IFERROR(__xludf.DUMMYFUNCTION("""COMPUTED_VALUE"""),42090.66666666667)</f>
        <v>42090.66667</v>
      </c>
      <c r="B8889" s="2">
        <f>IFERROR(__xludf.DUMMYFUNCTION("""COMPUTED_VALUE"""),153.58)</f>
        <v>153.58</v>
      </c>
      <c r="C8889" s="2">
        <f>IFERROR(__xludf.DUMMYFUNCTION("""COMPUTED_VALUE"""),153.69)</f>
        <v>153.69</v>
      </c>
      <c r="D8889" s="2">
        <f>IFERROR(__xludf.DUMMYFUNCTION("""COMPUTED_VALUE"""),152.09)</f>
        <v>152.09</v>
      </c>
      <c r="E8889" s="2">
        <f>IFERROR(__xludf.DUMMYFUNCTION("""COMPUTED_VALUE"""),153.21)</f>
        <v>153.21</v>
      </c>
      <c r="F8889" s="2">
        <f>IFERROR(__xludf.DUMMYFUNCTION("""COMPUTED_VALUE"""),3477921.0)</f>
        <v>3477921</v>
      </c>
    </row>
    <row r="8890">
      <c r="A8890" s="3">
        <f>IFERROR(__xludf.DUMMYFUNCTION("""COMPUTED_VALUE"""),42093.66666666667)</f>
        <v>42093.66667</v>
      </c>
      <c r="B8890" s="2">
        <f>IFERROR(__xludf.DUMMYFUNCTION("""COMPUTED_VALUE"""),154.74)</f>
        <v>154.74</v>
      </c>
      <c r="C8890" s="2">
        <f>IFERROR(__xludf.DUMMYFUNCTION("""COMPUTED_VALUE"""),156.26)</f>
        <v>156.26</v>
      </c>
      <c r="D8890" s="2">
        <f>IFERROR(__xludf.DUMMYFUNCTION("""COMPUTED_VALUE"""),154.02)</f>
        <v>154.02</v>
      </c>
      <c r="E8890" s="2">
        <f>IFERROR(__xludf.DUMMYFUNCTION("""COMPUTED_VALUE"""),155.38)</f>
        <v>155.38</v>
      </c>
      <c r="F8890" s="2">
        <f>IFERROR(__xludf.DUMMYFUNCTION("""COMPUTED_VALUE"""),4138018.0)</f>
        <v>4138018</v>
      </c>
    </row>
    <row r="8891">
      <c r="A8891" s="3">
        <f>IFERROR(__xludf.DUMMYFUNCTION("""COMPUTED_VALUE"""),42094.66666666667)</f>
        <v>42094.66667</v>
      </c>
      <c r="B8891" s="2">
        <f>IFERROR(__xludf.DUMMYFUNCTION("""COMPUTED_VALUE"""),153.86)</f>
        <v>153.86</v>
      </c>
      <c r="C8891" s="2">
        <f>IFERROR(__xludf.DUMMYFUNCTION("""COMPUTED_VALUE"""),155.05)</f>
        <v>155.05</v>
      </c>
      <c r="D8891" s="2">
        <f>IFERROR(__xludf.DUMMYFUNCTION("""COMPUTED_VALUE"""),153.21)</f>
        <v>153.21</v>
      </c>
      <c r="E8891" s="2">
        <f>IFERROR(__xludf.DUMMYFUNCTION("""COMPUTED_VALUE"""),153.3)</f>
        <v>153.3</v>
      </c>
      <c r="F8891" s="2">
        <f>IFERROR(__xludf.DUMMYFUNCTION("""COMPUTED_VALUE"""),4255158.0)</f>
        <v>4255158</v>
      </c>
    </row>
    <row r="8892">
      <c r="A8892" s="3">
        <f>IFERROR(__xludf.DUMMYFUNCTION("""COMPUTED_VALUE"""),42095.66666666667)</f>
        <v>42095.66667</v>
      </c>
      <c r="B8892" s="2">
        <f>IFERROR(__xludf.DUMMYFUNCTION("""COMPUTED_VALUE"""),153.05)</f>
        <v>153.05</v>
      </c>
      <c r="C8892" s="2">
        <f>IFERROR(__xludf.DUMMYFUNCTION("""COMPUTED_VALUE"""),153.42)</f>
        <v>153.42</v>
      </c>
      <c r="D8892" s="2">
        <f>IFERROR(__xludf.DUMMYFUNCTION("""COMPUTED_VALUE"""),151.29)</f>
        <v>151.29</v>
      </c>
      <c r="E8892" s="2">
        <f>IFERROR(__xludf.DUMMYFUNCTION("""COMPUTED_VALUE"""),152.04)</f>
        <v>152.04</v>
      </c>
      <c r="F8892" s="2">
        <f>IFERROR(__xludf.DUMMYFUNCTION("""COMPUTED_VALUE"""),3700541.0)</f>
        <v>3700541</v>
      </c>
    </row>
    <row r="8893">
      <c r="A8893" s="3">
        <f>IFERROR(__xludf.DUMMYFUNCTION("""COMPUTED_VALUE"""),42096.66666666667)</f>
        <v>42096.66667</v>
      </c>
      <c r="B8893" s="2">
        <f>IFERROR(__xludf.DUMMYFUNCTION("""COMPUTED_VALUE"""),152.37)</f>
        <v>152.37</v>
      </c>
      <c r="C8893" s="2">
        <f>IFERROR(__xludf.DUMMYFUNCTION("""COMPUTED_VALUE"""),155.25)</f>
        <v>155.25</v>
      </c>
      <c r="D8893" s="2">
        <f>IFERROR(__xludf.DUMMYFUNCTION("""COMPUTED_VALUE"""),151.77)</f>
        <v>151.77</v>
      </c>
      <c r="E8893" s="2">
        <f>IFERROR(__xludf.DUMMYFUNCTION("""COMPUTED_VALUE"""),153.26)</f>
        <v>153.26</v>
      </c>
      <c r="F8893" s="2">
        <f>IFERROR(__xludf.DUMMYFUNCTION("""COMPUTED_VALUE"""),4671478.0)</f>
        <v>4671478</v>
      </c>
    </row>
    <row r="8894">
      <c r="A8894" s="3">
        <f>IFERROR(__xludf.DUMMYFUNCTION("""COMPUTED_VALUE"""),42100.66666666667)</f>
        <v>42100.66667</v>
      </c>
      <c r="B8894" s="2">
        <f>IFERROR(__xludf.DUMMYFUNCTION("""COMPUTED_VALUE"""),152.53)</f>
        <v>152.53</v>
      </c>
      <c r="C8894" s="2">
        <f>IFERROR(__xludf.DUMMYFUNCTION("""COMPUTED_VALUE"""),155.5)</f>
        <v>155.5</v>
      </c>
      <c r="D8894" s="2">
        <f>IFERROR(__xludf.DUMMYFUNCTION("""COMPUTED_VALUE"""),151.59)</f>
        <v>151.59</v>
      </c>
      <c r="E8894" s="2">
        <f>IFERROR(__xludf.DUMMYFUNCTION("""COMPUTED_VALUE"""),154.77)</f>
        <v>154.77</v>
      </c>
      <c r="F8894" s="2">
        <f>IFERROR(__xludf.DUMMYFUNCTION("""COMPUTED_VALUE"""),3465681.0)</f>
        <v>3465681</v>
      </c>
    </row>
    <row r="8895">
      <c r="A8895" s="3">
        <f>IFERROR(__xludf.DUMMYFUNCTION("""COMPUTED_VALUE"""),42101.66666666667)</f>
        <v>42101.66667</v>
      </c>
      <c r="B8895" s="2">
        <f>IFERROR(__xludf.DUMMYFUNCTION("""COMPUTED_VALUE"""),154.42)</f>
        <v>154.42</v>
      </c>
      <c r="C8895" s="2">
        <f>IFERROR(__xludf.DUMMYFUNCTION("""COMPUTED_VALUE"""),156.49)</f>
        <v>156.49</v>
      </c>
      <c r="D8895" s="2">
        <f>IFERROR(__xludf.DUMMYFUNCTION("""COMPUTED_VALUE"""),154.37)</f>
        <v>154.37</v>
      </c>
      <c r="E8895" s="2">
        <f>IFERROR(__xludf.DUMMYFUNCTION("""COMPUTED_VALUE"""),154.8)</f>
        <v>154.8</v>
      </c>
      <c r="F8895" s="2">
        <f>IFERROR(__xludf.DUMMYFUNCTION("""COMPUTED_VALUE"""),3147966.0)</f>
        <v>3147966</v>
      </c>
    </row>
    <row r="8896">
      <c r="A8896" s="3">
        <f>IFERROR(__xludf.DUMMYFUNCTION("""COMPUTED_VALUE"""),42102.66666666667)</f>
        <v>42102.66667</v>
      </c>
      <c r="B8896" s="2">
        <f>IFERROR(__xludf.DUMMYFUNCTION("""COMPUTED_VALUE"""),154.47)</f>
        <v>154.47</v>
      </c>
      <c r="C8896" s="2">
        <f>IFERROR(__xludf.DUMMYFUNCTION("""COMPUTED_VALUE"""),156.22)</f>
        <v>156.22</v>
      </c>
      <c r="D8896" s="2">
        <f>IFERROR(__xludf.DUMMYFUNCTION("""COMPUTED_VALUE"""),153.79)</f>
        <v>153.79</v>
      </c>
      <c r="E8896" s="2">
        <f>IFERROR(__xludf.DUMMYFUNCTION("""COMPUTED_VALUE"""),154.59)</f>
        <v>154.59</v>
      </c>
      <c r="F8896" s="2">
        <f>IFERROR(__xludf.DUMMYFUNCTION("""COMPUTED_VALUE"""),2524323.0)</f>
        <v>2524323</v>
      </c>
    </row>
    <row r="8897">
      <c r="A8897" s="3">
        <f>IFERROR(__xludf.DUMMYFUNCTION("""COMPUTED_VALUE"""),42103.66666666667)</f>
        <v>42103.66667</v>
      </c>
      <c r="B8897" s="2">
        <f>IFERROR(__xludf.DUMMYFUNCTION("""COMPUTED_VALUE"""),154.45)</f>
        <v>154.45</v>
      </c>
      <c r="C8897" s="2">
        <f>IFERROR(__xludf.DUMMYFUNCTION("""COMPUTED_VALUE"""),155.19)</f>
        <v>155.19</v>
      </c>
      <c r="D8897" s="2">
        <f>IFERROR(__xludf.DUMMYFUNCTION("""COMPUTED_VALUE"""),153.51)</f>
        <v>153.51</v>
      </c>
      <c r="E8897" s="2">
        <f>IFERROR(__xludf.DUMMYFUNCTION("""COMPUTED_VALUE"""),155.06)</f>
        <v>155.06</v>
      </c>
      <c r="F8897" s="2">
        <f>IFERROR(__xludf.DUMMYFUNCTION("""COMPUTED_VALUE"""),2263490.0)</f>
        <v>2263490</v>
      </c>
    </row>
    <row r="8898">
      <c r="A8898" s="3">
        <f>IFERROR(__xludf.DUMMYFUNCTION("""COMPUTED_VALUE"""),42104.66666666667)</f>
        <v>42104.66667</v>
      </c>
      <c r="B8898" s="2">
        <f>IFERROR(__xludf.DUMMYFUNCTION("""COMPUTED_VALUE"""),155.06)</f>
        <v>155.06</v>
      </c>
      <c r="C8898" s="2">
        <f>IFERROR(__xludf.DUMMYFUNCTION("""COMPUTED_VALUE"""),156.01)</f>
        <v>156.01</v>
      </c>
      <c r="D8898" s="2">
        <f>IFERROR(__xludf.DUMMYFUNCTION("""COMPUTED_VALUE"""),154.02)</f>
        <v>154.02</v>
      </c>
      <c r="E8898" s="2">
        <f>IFERROR(__xludf.DUMMYFUNCTION("""COMPUTED_VALUE"""),155.56)</f>
        <v>155.56</v>
      </c>
      <c r="F8898" s="2">
        <f>IFERROR(__xludf.DUMMYFUNCTION("""COMPUTED_VALUE"""),2515603.0)</f>
        <v>2515603</v>
      </c>
    </row>
    <row r="8899">
      <c r="A8899" s="3">
        <f>IFERROR(__xludf.DUMMYFUNCTION("""COMPUTED_VALUE"""),42107.66666666667)</f>
        <v>42107.66667</v>
      </c>
      <c r="B8899" s="2">
        <f>IFERROR(__xludf.DUMMYFUNCTION("""COMPUTED_VALUE"""),155.09)</f>
        <v>155.09</v>
      </c>
      <c r="C8899" s="2">
        <f>IFERROR(__xludf.DUMMYFUNCTION("""COMPUTED_VALUE"""),156.65)</f>
        <v>156.65</v>
      </c>
      <c r="D8899" s="2">
        <f>IFERROR(__xludf.DUMMYFUNCTION("""COMPUTED_VALUE"""),155.08)</f>
        <v>155.08</v>
      </c>
      <c r="E8899" s="2">
        <f>IFERROR(__xludf.DUMMYFUNCTION("""COMPUTED_VALUE"""),155.1)</f>
        <v>155.1</v>
      </c>
      <c r="F8899" s="2">
        <f>IFERROR(__xludf.DUMMYFUNCTION("""COMPUTED_VALUE"""),3868091.0)</f>
        <v>3868091</v>
      </c>
    </row>
    <row r="8900">
      <c r="A8900" s="3">
        <f>IFERROR(__xludf.DUMMYFUNCTION("""COMPUTED_VALUE"""),42108.66666666667)</f>
        <v>42108.66667</v>
      </c>
      <c r="B8900" s="2">
        <f>IFERROR(__xludf.DUMMYFUNCTION("""COMPUTED_VALUE"""),155.14)</f>
        <v>155.14</v>
      </c>
      <c r="C8900" s="2">
        <f>IFERROR(__xludf.DUMMYFUNCTION("""COMPUTED_VALUE"""),155.44)</f>
        <v>155.44</v>
      </c>
      <c r="D8900" s="2">
        <f>IFERROR(__xludf.DUMMYFUNCTION("""COMPUTED_VALUE"""),153.58)</f>
        <v>153.58</v>
      </c>
      <c r="E8900" s="2">
        <f>IFERROR(__xludf.DUMMYFUNCTION("""COMPUTED_VALUE"""),155.02)</f>
        <v>155.02</v>
      </c>
      <c r="F8900" s="2">
        <f>IFERROR(__xludf.DUMMYFUNCTION("""COMPUTED_VALUE"""),2719287.0)</f>
        <v>2719287</v>
      </c>
    </row>
    <row r="8901">
      <c r="A8901" s="3">
        <f>IFERROR(__xludf.DUMMYFUNCTION("""COMPUTED_VALUE"""),42109.66666666667)</f>
        <v>42109.66667</v>
      </c>
      <c r="B8901" s="2">
        <f>IFERROR(__xludf.DUMMYFUNCTION("""COMPUTED_VALUE"""),155.34)</f>
        <v>155.34</v>
      </c>
      <c r="C8901" s="2">
        <f>IFERROR(__xludf.DUMMYFUNCTION("""COMPUTED_VALUE"""),157.56)</f>
        <v>157.56</v>
      </c>
      <c r="D8901" s="2">
        <f>IFERROR(__xludf.DUMMYFUNCTION("""COMPUTED_VALUE"""),155.21)</f>
        <v>155.21</v>
      </c>
      <c r="E8901" s="2">
        <f>IFERROR(__xludf.DUMMYFUNCTION("""COMPUTED_VALUE"""),156.77)</f>
        <v>156.77</v>
      </c>
      <c r="F8901" s="2">
        <f>IFERROR(__xludf.DUMMYFUNCTION("""COMPUTED_VALUE"""),3498456.0)</f>
        <v>3498456</v>
      </c>
    </row>
    <row r="8902">
      <c r="A8902" s="3">
        <f>IFERROR(__xludf.DUMMYFUNCTION("""COMPUTED_VALUE"""),42110.66666666667)</f>
        <v>42110.66667</v>
      </c>
      <c r="B8902" s="2">
        <f>IFERROR(__xludf.DUMMYFUNCTION("""COMPUTED_VALUE"""),155.99)</f>
        <v>155.99</v>
      </c>
      <c r="C8902" s="2">
        <f>IFERROR(__xludf.DUMMYFUNCTION("""COMPUTED_VALUE"""),156.63)</f>
        <v>156.63</v>
      </c>
      <c r="D8902" s="2">
        <f>IFERROR(__xludf.DUMMYFUNCTION("""COMPUTED_VALUE"""),155.25)</f>
        <v>155.25</v>
      </c>
      <c r="E8902" s="2">
        <f>IFERROR(__xludf.DUMMYFUNCTION("""COMPUTED_VALUE"""),155.82)</f>
        <v>155.82</v>
      </c>
      <c r="F8902" s="2">
        <f>IFERROR(__xludf.DUMMYFUNCTION("""COMPUTED_VALUE"""),3136945.0)</f>
        <v>3136945</v>
      </c>
    </row>
    <row r="8903">
      <c r="A8903" s="3">
        <f>IFERROR(__xludf.DUMMYFUNCTION("""COMPUTED_VALUE"""),42111.66666666667)</f>
        <v>42111.66667</v>
      </c>
      <c r="B8903" s="2">
        <f>IFERROR(__xludf.DUMMYFUNCTION("""COMPUTED_VALUE"""),154.5)</f>
        <v>154.5</v>
      </c>
      <c r="C8903" s="2">
        <f>IFERROR(__xludf.DUMMYFUNCTION("""COMPUTED_VALUE"""),154.6)</f>
        <v>154.6</v>
      </c>
      <c r="D8903" s="2">
        <f>IFERROR(__xludf.DUMMYFUNCTION("""COMPUTED_VALUE"""),152.85)</f>
        <v>152.85</v>
      </c>
      <c r="E8903" s="2">
        <f>IFERROR(__xludf.DUMMYFUNCTION("""COMPUTED_VALUE"""),153.47)</f>
        <v>153.47</v>
      </c>
      <c r="F8903" s="2">
        <f>IFERROR(__xludf.DUMMYFUNCTION("""COMPUTED_VALUE"""),4313182.0)</f>
        <v>4313182</v>
      </c>
    </row>
    <row r="8904">
      <c r="A8904" s="3">
        <f>IFERROR(__xludf.DUMMYFUNCTION("""COMPUTED_VALUE"""),42114.66666666667)</f>
        <v>42114.66667</v>
      </c>
      <c r="B8904" s="2">
        <f>IFERROR(__xludf.DUMMYFUNCTION("""COMPUTED_VALUE"""),154.83)</f>
        <v>154.83</v>
      </c>
      <c r="C8904" s="2">
        <f>IFERROR(__xludf.DUMMYFUNCTION("""COMPUTED_VALUE"""),159.17)</f>
        <v>159.17</v>
      </c>
      <c r="D8904" s="2">
        <f>IFERROR(__xludf.DUMMYFUNCTION("""COMPUTED_VALUE"""),154.64)</f>
        <v>154.64</v>
      </c>
      <c r="E8904" s="2">
        <f>IFERROR(__xludf.DUMMYFUNCTION("""COMPUTED_VALUE"""),158.71)</f>
        <v>158.71</v>
      </c>
      <c r="F8904" s="2">
        <f>IFERROR(__xludf.DUMMYFUNCTION("""COMPUTED_VALUE"""),9597308.0)</f>
        <v>9597308</v>
      </c>
    </row>
    <row r="8905">
      <c r="A8905" s="3">
        <f>IFERROR(__xludf.DUMMYFUNCTION("""COMPUTED_VALUE"""),42115.66666666667)</f>
        <v>42115.66667</v>
      </c>
      <c r="B8905" s="2">
        <f>IFERROR(__xludf.DUMMYFUNCTION("""COMPUTED_VALUE"""),158.62)</f>
        <v>158.62</v>
      </c>
      <c r="C8905" s="2">
        <f>IFERROR(__xludf.DUMMYFUNCTION("""COMPUTED_VALUE"""),159.88)</f>
        <v>159.88</v>
      </c>
      <c r="D8905" s="2">
        <f>IFERROR(__xludf.DUMMYFUNCTION("""COMPUTED_VALUE"""),156.69)</f>
        <v>156.69</v>
      </c>
      <c r="E8905" s="2">
        <f>IFERROR(__xludf.DUMMYFUNCTION("""COMPUTED_VALUE"""),156.9)</f>
        <v>156.9</v>
      </c>
      <c r="F8905" s="2">
        <f>IFERROR(__xludf.DUMMYFUNCTION("""COMPUTED_VALUE"""),9682207.0)</f>
        <v>9682207</v>
      </c>
    </row>
    <row r="8906">
      <c r="A8906" s="3">
        <f>IFERROR(__xludf.DUMMYFUNCTION("""COMPUTED_VALUE"""),42116.66666666667)</f>
        <v>42116.66667</v>
      </c>
      <c r="B8906" s="2">
        <f>IFERROR(__xludf.DUMMYFUNCTION("""COMPUTED_VALUE"""),157.02)</f>
        <v>157.02</v>
      </c>
      <c r="C8906" s="2">
        <f>IFERROR(__xludf.DUMMYFUNCTION("""COMPUTED_VALUE"""),158.56)</f>
        <v>158.56</v>
      </c>
      <c r="D8906" s="2">
        <f>IFERROR(__xludf.DUMMYFUNCTION("""COMPUTED_VALUE"""),155.59)</f>
        <v>155.59</v>
      </c>
      <c r="E8906" s="2">
        <f>IFERROR(__xludf.DUMMYFUNCTION("""COMPUTED_VALUE"""),157.95)</f>
        <v>157.95</v>
      </c>
      <c r="F8906" s="2">
        <f>IFERROR(__xludf.DUMMYFUNCTION("""COMPUTED_VALUE"""),4024674.0)</f>
        <v>4024674</v>
      </c>
    </row>
    <row r="8907">
      <c r="A8907" s="3">
        <f>IFERROR(__xludf.DUMMYFUNCTION("""COMPUTED_VALUE"""),42117.66666666667)</f>
        <v>42117.66667</v>
      </c>
      <c r="B8907" s="2">
        <f>IFERROR(__xludf.DUMMYFUNCTION("""COMPUTED_VALUE"""),157.82)</f>
        <v>157.82</v>
      </c>
      <c r="C8907" s="2">
        <f>IFERROR(__xludf.DUMMYFUNCTION("""COMPUTED_VALUE"""),164.2)</f>
        <v>164.2</v>
      </c>
      <c r="D8907" s="2">
        <f>IFERROR(__xludf.DUMMYFUNCTION("""COMPUTED_VALUE"""),157.74)</f>
        <v>157.74</v>
      </c>
      <c r="E8907" s="2">
        <f>IFERROR(__xludf.DUMMYFUNCTION("""COMPUTED_VALUE"""),162.61)</f>
        <v>162.61</v>
      </c>
      <c r="F8907" s="2">
        <f>IFERROR(__xludf.DUMMYFUNCTION("""COMPUTED_VALUE"""),8235417.0)</f>
        <v>8235417</v>
      </c>
    </row>
    <row r="8908">
      <c r="A8908" s="3">
        <f>IFERROR(__xludf.DUMMYFUNCTION("""COMPUTED_VALUE"""),42118.66666666667)</f>
        <v>42118.66667</v>
      </c>
      <c r="B8908" s="2">
        <f>IFERROR(__xludf.DUMMYFUNCTION("""COMPUTED_VALUE"""),162.6)</f>
        <v>162.6</v>
      </c>
      <c r="C8908" s="2">
        <f>IFERROR(__xludf.DUMMYFUNCTION("""COMPUTED_VALUE"""),163.19)</f>
        <v>163.19</v>
      </c>
      <c r="D8908" s="2">
        <f>IFERROR(__xludf.DUMMYFUNCTION("""COMPUTED_VALUE"""),161.17)</f>
        <v>161.17</v>
      </c>
      <c r="E8908" s="2">
        <f>IFERROR(__xludf.DUMMYFUNCTION("""COMPUTED_VALUE"""),162.17)</f>
        <v>162.17</v>
      </c>
      <c r="F8908" s="2">
        <f>IFERROR(__xludf.DUMMYFUNCTION("""COMPUTED_VALUE"""),3888009.0)</f>
        <v>3888009</v>
      </c>
    </row>
    <row r="8909">
      <c r="A8909" s="3">
        <f>IFERROR(__xludf.DUMMYFUNCTION("""COMPUTED_VALUE"""),42121.66666666667)</f>
        <v>42121.66667</v>
      </c>
      <c r="B8909" s="2">
        <f>IFERROR(__xludf.DUMMYFUNCTION("""COMPUTED_VALUE"""),163.23)</f>
        <v>163.23</v>
      </c>
      <c r="C8909" s="2">
        <f>IFERROR(__xludf.DUMMYFUNCTION("""COMPUTED_VALUE"""),163.8)</f>
        <v>163.8</v>
      </c>
      <c r="D8909" s="2">
        <f>IFERROR(__xludf.DUMMYFUNCTION("""COMPUTED_VALUE"""),162.66)</f>
        <v>162.66</v>
      </c>
      <c r="E8909" s="2">
        <f>IFERROR(__xludf.DUMMYFUNCTION("""COMPUTED_VALUE"""),163.08)</f>
        <v>163.08</v>
      </c>
      <c r="F8909" s="2">
        <f>IFERROR(__xludf.DUMMYFUNCTION("""COMPUTED_VALUE"""),3168435.0)</f>
        <v>3168435</v>
      </c>
    </row>
    <row r="8910">
      <c r="A8910" s="3">
        <f>IFERROR(__xludf.DUMMYFUNCTION("""COMPUTED_VALUE"""),42122.66666666667)</f>
        <v>42122.66667</v>
      </c>
      <c r="B8910" s="2">
        <f>IFERROR(__xludf.DUMMYFUNCTION("""COMPUTED_VALUE"""),163.17)</f>
        <v>163.17</v>
      </c>
      <c r="C8910" s="2">
        <f>IFERROR(__xludf.DUMMYFUNCTION("""COMPUTED_VALUE"""),166.86)</f>
        <v>166.86</v>
      </c>
      <c r="D8910" s="2">
        <f>IFERROR(__xludf.DUMMYFUNCTION("""COMPUTED_VALUE"""),162.4)</f>
        <v>162.4</v>
      </c>
      <c r="E8910" s="2">
        <f>IFERROR(__xludf.DUMMYFUNCTION("""COMPUTED_VALUE"""),166.12)</f>
        <v>166.12</v>
      </c>
      <c r="F8910" s="2">
        <f>IFERROR(__xludf.DUMMYFUNCTION("""COMPUTED_VALUE"""),5816408.0)</f>
        <v>5816408</v>
      </c>
    </row>
    <row r="8911">
      <c r="A8911" s="3">
        <f>IFERROR(__xludf.DUMMYFUNCTION("""COMPUTED_VALUE"""),42123.66666666667)</f>
        <v>42123.66667</v>
      </c>
      <c r="B8911" s="2">
        <f>IFERROR(__xludf.DUMMYFUNCTION("""COMPUTED_VALUE"""),165.63)</f>
        <v>165.63</v>
      </c>
      <c r="C8911" s="2">
        <f>IFERROR(__xludf.DUMMYFUNCTION("""COMPUTED_VALUE"""),167.28)</f>
        <v>167.28</v>
      </c>
      <c r="D8911" s="2">
        <f>IFERROR(__xludf.DUMMYFUNCTION("""COMPUTED_VALUE"""),165.05)</f>
        <v>165.05</v>
      </c>
      <c r="E8911" s="2">
        <f>IFERROR(__xludf.DUMMYFUNCTION("""COMPUTED_VALUE"""),166.58)</f>
        <v>166.58</v>
      </c>
      <c r="F8911" s="2">
        <f>IFERROR(__xludf.DUMMYFUNCTION("""COMPUTED_VALUE"""),4517195.0)</f>
        <v>4517195</v>
      </c>
    </row>
    <row r="8912">
      <c r="A8912" s="3">
        <f>IFERROR(__xludf.DUMMYFUNCTION("""COMPUTED_VALUE"""),42124.66666666667)</f>
        <v>42124.66667</v>
      </c>
      <c r="B8912" s="2">
        <f>IFERROR(__xludf.DUMMYFUNCTION("""COMPUTED_VALUE"""),165.98)</f>
        <v>165.98</v>
      </c>
      <c r="C8912" s="2">
        <f>IFERROR(__xludf.DUMMYFUNCTION("""COMPUTED_VALUE"""),166.47)</f>
        <v>166.47</v>
      </c>
      <c r="D8912" s="2">
        <f>IFERROR(__xludf.DUMMYFUNCTION("""COMPUTED_VALUE"""),162.66)</f>
        <v>162.66</v>
      </c>
      <c r="E8912" s="2">
        <f>IFERROR(__xludf.DUMMYFUNCTION("""COMPUTED_VALUE"""),163.61)</f>
        <v>163.61</v>
      </c>
      <c r="F8912" s="2">
        <f>IFERROR(__xludf.DUMMYFUNCTION("""COMPUTED_VALUE"""),5062913.0)</f>
        <v>5062913</v>
      </c>
    </row>
    <row r="8913">
      <c r="A8913" s="3">
        <f>IFERROR(__xludf.DUMMYFUNCTION("""COMPUTED_VALUE"""),42125.66666666667)</f>
        <v>42125.66667</v>
      </c>
      <c r="B8913" s="2">
        <f>IFERROR(__xludf.DUMMYFUNCTION("""COMPUTED_VALUE"""),165.43)</f>
        <v>165.43</v>
      </c>
      <c r="C8913" s="2">
        <f>IFERROR(__xludf.DUMMYFUNCTION("""COMPUTED_VALUE"""),166.2)</f>
        <v>166.2</v>
      </c>
      <c r="D8913" s="2">
        <f>IFERROR(__xludf.DUMMYFUNCTION("""COMPUTED_VALUE"""),164.69)</f>
        <v>164.69</v>
      </c>
      <c r="E8913" s="2">
        <f>IFERROR(__xludf.DUMMYFUNCTION("""COMPUTED_VALUE"""),165.88)</f>
        <v>165.88</v>
      </c>
      <c r="F8913" s="2">
        <f>IFERROR(__xludf.DUMMYFUNCTION("""COMPUTED_VALUE"""),3311952.0)</f>
        <v>3311952</v>
      </c>
    </row>
    <row r="8914">
      <c r="A8914" s="3">
        <f>IFERROR(__xludf.DUMMYFUNCTION("""COMPUTED_VALUE"""),42128.66666666667)</f>
        <v>42128.66667</v>
      </c>
      <c r="B8914" s="2">
        <f>IFERROR(__xludf.DUMMYFUNCTION("""COMPUTED_VALUE"""),166.65)</f>
        <v>166.65</v>
      </c>
      <c r="C8914" s="2">
        <f>IFERROR(__xludf.DUMMYFUNCTION("""COMPUTED_VALUE"""),168.4)</f>
        <v>168.4</v>
      </c>
      <c r="D8914" s="2">
        <f>IFERROR(__xludf.DUMMYFUNCTION("""COMPUTED_VALUE"""),165.91)</f>
        <v>165.91</v>
      </c>
      <c r="E8914" s="2">
        <f>IFERROR(__xludf.DUMMYFUNCTION("""COMPUTED_VALUE"""),166.17)</f>
        <v>166.17</v>
      </c>
      <c r="F8914" s="2">
        <f>IFERROR(__xludf.DUMMYFUNCTION("""COMPUTED_VALUE"""),4023850.0)</f>
        <v>4023850</v>
      </c>
    </row>
    <row r="8915">
      <c r="A8915" s="3">
        <f>IFERROR(__xludf.DUMMYFUNCTION("""COMPUTED_VALUE"""),42129.66666666667)</f>
        <v>42129.66667</v>
      </c>
      <c r="B8915" s="2">
        <f>IFERROR(__xludf.DUMMYFUNCTION("""COMPUTED_VALUE"""),165.73)</f>
        <v>165.73</v>
      </c>
      <c r="C8915" s="2">
        <f>IFERROR(__xludf.DUMMYFUNCTION("""COMPUTED_VALUE"""),166.42)</f>
        <v>166.42</v>
      </c>
      <c r="D8915" s="2">
        <f>IFERROR(__xludf.DUMMYFUNCTION("""COMPUTED_VALUE"""),164.25)</f>
        <v>164.25</v>
      </c>
      <c r="E8915" s="2">
        <f>IFERROR(__xludf.DUMMYFUNCTION("""COMPUTED_VALUE"""),165.32)</f>
        <v>165.32</v>
      </c>
      <c r="F8915" s="2">
        <f>IFERROR(__xludf.DUMMYFUNCTION("""COMPUTED_VALUE"""),3593465.0)</f>
        <v>3593465</v>
      </c>
    </row>
    <row r="8916">
      <c r="A8916" s="3">
        <f>IFERROR(__xludf.DUMMYFUNCTION("""COMPUTED_VALUE"""),42130.66666666667)</f>
        <v>42130.66667</v>
      </c>
      <c r="B8916" s="2">
        <f>IFERROR(__xludf.DUMMYFUNCTION("""COMPUTED_VALUE"""),165.15)</f>
        <v>165.15</v>
      </c>
      <c r="C8916" s="2">
        <f>IFERROR(__xludf.DUMMYFUNCTION("""COMPUTED_VALUE"""),166.25)</f>
        <v>166.25</v>
      </c>
      <c r="D8916" s="2">
        <f>IFERROR(__xludf.DUMMYFUNCTION("""COMPUTED_VALUE"""),161.29)</f>
        <v>161.29</v>
      </c>
      <c r="E8916" s="2">
        <f>IFERROR(__xludf.DUMMYFUNCTION("""COMPUTED_VALUE"""),162.43)</f>
        <v>162.43</v>
      </c>
      <c r="F8916" s="2">
        <f>IFERROR(__xludf.DUMMYFUNCTION("""COMPUTED_VALUE"""),3610931.0)</f>
        <v>3610931</v>
      </c>
    </row>
    <row r="8917">
      <c r="A8917" s="3">
        <f>IFERROR(__xludf.DUMMYFUNCTION("""COMPUTED_VALUE"""),42131.66666666667)</f>
        <v>42131.66667</v>
      </c>
      <c r="B8917" s="2">
        <f>IFERROR(__xludf.DUMMYFUNCTION("""COMPUTED_VALUE"""),162.02)</f>
        <v>162.02</v>
      </c>
      <c r="C8917" s="2">
        <f>IFERROR(__xludf.DUMMYFUNCTION("""COMPUTED_VALUE"""),164.27)</f>
        <v>164.27</v>
      </c>
      <c r="D8917" s="2">
        <f>IFERROR(__xludf.DUMMYFUNCTION("""COMPUTED_VALUE"""),161.46)</f>
        <v>161.46</v>
      </c>
      <c r="E8917" s="2">
        <f>IFERROR(__xludf.DUMMYFUNCTION("""COMPUTED_VALUE"""),163.32)</f>
        <v>163.32</v>
      </c>
      <c r="F8917" s="2">
        <f>IFERROR(__xludf.DUMMYFUNCTION("""COMPUTED_VALUE"""),2472627.0)</f>
        <v>2472627</v>
      </c>
    </row>
    <row r="8918">
      <c r="A8918" s="3">
        <f>IFERROR(__xludf.DUMMYFUNCTION("""COMPUTED_VALUE"""),42132.66666666667)</f>
        <v>42132.66667</v>
      </c>
      <c r="B8918" s="2">
        <f>IFERROR(__xludf.DUMMYFUNCTION("""COMPUTED_VALUE"""),165.19)</f>
        <v>165.19</v>
      </c>
      <c r="C8918" s="2">
        <f>IFERROR(__xludf.DUMMYFUNCTION("""COMPUTED_VALUE"""),165.56)</f>
        <v>165.56</v>
      </c>
      <c r="D8918" s="2">
        <f>IFERROR(__xludf.DUMMYFUNCTION("""COMPUTED_VALUE"""),164.52)</f>
        <v>164.52</v>
      </c>
      <c r="E8918" s="2">
        <f>IFERROR(__xludf.DUMMYFUNCTION("""COMPUTED_VALUE"""),164.94)</f>
        <v>164.94</v>
      </c>
      <c r="F8918" s="2">
        <f>IFERROR(__xludf.DUMMYFUNCTION("""COMPUTED_VALUE"""),3092599.0)</f>
        <v>3092599</v>
      </c>
    </row>
    <row r="8919">
      <c r="A8919" s="3">
        <f>IFERROR(__xludf.DUMMYFUNCTION("""COMPUTED_VALUE"""),42135.66666666667)</f>
        <v>42135.66667</v>
      </c>
      <c r="B8919" s="2">
        <f>IFERROR(__xludf.DUMMYFUNCTION("""COMPUTED_VALUE"""),164.91)</f>
        <v>164.91</v>
      </c>
      <c r="C8919" s="2">
        <f>IFERROR(__xludf.DUMMYFUNCTION("""COMPUTED_VALUE"""),165.23)</f>
        <v>165.23</v>
      </c>
      <c r="D8919" s="2">
        <f>IFERROR(__xludf.DUMMYFUNCTION("""COMPUTED_VALUE"""),163.2)</f>
        <v>163.2</v>
      </c>
      <c r="E8919" s="2">
        <f>IFERROR(__xludf.DUMMYFUNCTION("""COMPUTED_VALUE"""),163.45)</f>
        <v>163.45</v>
      </c>
      <c r="F8919" s="2">
        <f>IFERROR(__xludf.DUMMYFUNCTION("""COMPUTED_VALUE"""),2661030.0)</f>
        <v>2661030</v>
      </c>
    </row>
    <row r="8920">
      <c r="A8920" s="3">
        <f>IFERROR(__xludf.DUMMYFUNCTION("""COMPUTED_VALUE"""),42136.66666666667)</f>
        <v>42136.66667</v>
      </c>
      <c r="B8920" s="2">
        <f>IFERROR(__xludf.DUMMYFUNCTION("""COMPUTED_VALUE"""),162.9)</f>
        <v>162.9</v>
      </c>
      <c r="C8920" s="2">
        <f>IFERROR(__xludf.DUMMYFUNCTION("""COMPUTED_VALUE"""),163.8)</f>
        <v>163.8</v>
      </c>
      <c r="D8920" s="2">
        <f>IFERROR(__xludf.DUMMYFUNCTION("""COMPUTED_VALUE"""),161.27)</f>
        <v>161.27</v>
      </c>
      <c r="E8920" s="2">
        <f>IFERROR(__xludf.DUMMYFUNCTION("""COMPUTED_VALUE"""),162.9)</f>
        <v>162.9</v>
      </c>
      <c r="F8920" s="2">
        <f>IFERROR(__xludf.DUMMYFUNCTION("""COMPUTED_VALUE"""),2962107.0)</f>
        <v>2962107</v>
      </c>
    </row>
    <row r="8921">
      <c r="A8921" s="3">
        <f>IFERROR(__xludf.DUMMYFUNCTION("""COMPUTED_VALUE"""),42137.66666666667)</f>
        <v>42137.66667</v>
      </c>
      <c r="B8921" s="2">
        <f>IFERROR(__xludf.DUMMYFUNCTION("""COMPUTED_VALUE"""),163.56)</f>
        <v>163.56</v>
      </c>
      <c r="C8921" s="2">
        <f>IFERROR(__xludf.DUMMYFUNCTION("""COMPUTED_VALUE"""),165.0)</f>
        <v>165</v>
      </c>
      <c r="D8921" s="2">
        <f>IFERROR(__xludf.DUMMYFUNCTION("""COMPUTED_VALUE"""),163.09)</f>
        <v>163.09</v>
      </c>
      <c r="E8921" s="2">
        <f>IFERROR(__xludf.DUMMYFUNCTION("""COMPUTED_VALUE"""),164.56)</f>
        <v>164.56</v>
      </c>
      <c r="F8921" s="2">
        <f>IFERROR(__xludf.DUMMYFUNCTION("""COMPUTED_VALUE"""),2457451.0)</f>
        <v>2457451</v>
      </c>
    </row>
    <row r="8922">
      <c r="A8922" s="3">
        <f>IFERROR(__xludf.DUMMYFUNCTION("""COMPUTED_VALUE"""),42138.66666666667)</f>
        <v>42138.66667</v>
      </c>
      <c r="B8922" s="2">
        <f>IFERROR(__xludf.DUMMYFUNCTION("""COMPUTED_VALUE"""),165.72)</f>
        <v>165.72</v>
      </c>
      <c r="C8922" s="2">
        <f>IFERROR(__xludf.DUMMYFUNCTION("""COMPUTED_VALUE"""),166.58)</f>
        <v>166.58</v>
      </c>
      <c r="D8922" s="2">
        <f>IFERROR(__xludf.DUMMYFUNCTION("""COMPUTED_VALUE"""),165.45)</f>
        <v>165.45</v>
      </c>
      <c r="E8922" s="2">
        <f>IFERROR(__xludf.DUMMYFUNCTION("""COMPUTED_VALUE"""),166.25)</f>
        <v>166.25</v>
      </c>
      <c r="F8922" s="2">
        <f>IFERROR(__xludf.DUMMYFUNCTION("""COMPUTED_VALUE"""),2439070.0)</f>
        <v>2439070</v>
      </c>
    </row>
    <row r="8923">
      <c r="A8923" s="3">
        <f>IFERROR(__xludf.DUMMYFUNCTION("""COMPUTED_VALUE"""),42139.66666666667)</f>
        <v>42139.66667</v>
      </c>
      <c r="B8923" s="2">
        <f>IFERROR(__xludf.DUMMYFUNCTION("""COMPUTED_VALUE"""),166.11)</f>
        <v>166.11</v>
      </c>
      <c r="C8923" s="2">
        <f>IFERROR(__xludf.DUMMYFUNCTION("""COMPUTED_VALUE"""),166.59)</f>
        <v>166.59</v>
      </c>
      <c r="D8923" s="2">
        <f>IFERROR(__xludf.DUMMYFUNCTION("""COMPUTED_VALUE"""),164.86)</f>
        <v>164.86</v>
      </c>
      <c r="E8923" s="2">
        <f>IFERROR(__xludf.DUMMYFUNCTION("""COMPUTED_VALUE"""),165.49)</f>
        <v>165.49</v>
      </c>
      <c r="F8923" s="2">
        <f>IFERROR(__xludf.DUMMYFUNCTION("""COMPUTED_VALUE"""),2916115.0)</f>
        <v>2916115</v>
      </c>
    </row>
    <row r="8924">
      <c r="A8924" s="3">
        <f>IFERROR(__xludf.DUMMYFUNCTION("""COMPUTED_VALUE"""),42142.66666666667)</f>
        <v>42142.66667</v>
      </c>
      <c r="B8924" s="2">
        <f>IFERROR(__xludf.DUMMYFUNCTION("""COMPUTED_VALUE"""),165.66)</f>
        <v>165.66</v>
      </c>
      <c r="C8924" s="2">
        <f>IFERROR(__xludf.DUMMYFUNCTION("""COMPUTED_VALUE"""),165.71)</f>
        <v>165.71</v>
      </c>
      <c r="D8924" s="2">
        <f>IFERROR(__xludf.DUMMYFUNCTION("""COMPUTED_VALUE"""),164.57)</f>
        <v>164.57</v>
      </c>
      <c r="E8924" s="2">
        <f>IFERROR(__xludf.DUMMYFUNCTION("""COMPUTED_VALUE"""),165.3)</f>
        <v>165.3</v>
      </c>
      <c r="F8924" s="2">
        <f>IFERROR(__xludf.DUMMYFUNCTION("""COMPUTED_VALUE"""),1970630.0)</f>
        <v>1970630</v>
      </c>
    </row>
    <row r="8925">
      <c r="A8925" s="3">
        <f>IFERROR(__xludf.DUMMYFUNCTION("""COMPUTED_VALUE"""),42143.66666666667)</f>
        <v>42143.66667</v>
      </c>
      <c r="B8925" s="2">
        <f>IFERROR(__xludf.DUMMYFUNCTION("""COMPUTED_VALUE"""),165.21)</f>
        <v>165.21</v>
      </c>
      <c r="C8925" s="2">
        <f>IFERROR(__xludf.DUMMYFUNCTION("""COMPUTED_VALUE"""),165.96)</f>
        <v>165.96</v>
      </c>
      <c r="D8925" s="2">
        <f>IFERROR(__xludf.DUMMYFUNCTION("""COMPUTED_VALUE"""),164.22)</f>
        <v>164.22</v>
      </c>
      <c r="E8925" s="2">
        <f>IFERROR(__xludf.DUMMYFUNCTION("""COMPUTED_VALUE"""),165.7)</f>
        <v>165.7</v>
      </c>
      <c r="F8925" s="2">
        <f>IFERROR(__xludf.DUMMYFUNCTION("""COMPUTED_VALUE"""),2523002.0)</f>
        <v>2523002</v>
      </c>
    </row>
    <row r="8926">
      <c r="A8926" s="3">
        <f>IFERROR(__xludf.DUMMYFUNCTION("""COMPUTED_VALUE"""),42144.66666666667)</f>
        <v>42144.66667</v>
      </c>
      <c r="B8926" s="2">
        <f>IFERROR(__xludf.DUMMYFUNCTION("""COMPUTED_VALUE"""),165.56)</f>
        <v>165.56</v>
      </c>
      <c r="C8926" s="2">
        <f>IFERROR(__xludf.DUMMYFUNCTION("""COMPUTED_VALUE"""),166.62)</f>
        <v>166.62</v>
      </c>
      <c r="D8926" s="2">
        <f>IFERROR(__xludf.DUMMYFUNCTION("""COMPUTED_VALUE"""),164.73)</f>
        <v>164.73</v>
      </c>
      <c r="E8926" s="2">
        <f>IFERROR(__xludf.DUMMYFUNCTION("""COMPUTED_VALUE"""),165.97)</f>
        <v>165.97</v>
      </c>
      <c r="F8926" s="2">
        <f>IFERROR(__xludf.DUMMYFUNCTION("""COMPUTED_VALUE"""),2300693.0)</f>
        <v>2300693</v>
      </c>
    </row>
    <row r="8927">
      <c r="A8927" s="3">
        <f>IFERROR(__xludf.DUMMYFUNCTION("""COMPUTED_VALUE"""),42145.66666666667)</f>
        <v>42145.66667</v>
      </c>
      <c r="B8927" s="2">
        <f>IFERROR(__xludf.DUMMYFUNCTION("""COMPUTED_VALUE"""),165.55)</f>
        <v>165.55</v>
      </c>
      <c r="C8927" s="2">
        <f>IFERROR(__xludf.DUMMYFUNCTION("""COMPUTED_VALUE"""),166.33)</f>
        <v>166.33</v>
      </c>
      <c r="D8927" s="2">
        <f>IFERROR(__xludf.DUMMYFUNCTION("""COMPUTED_VALUE"""),165.28)</f>
        <v>165.28</v>
      </c>
      <c r="E8927" s="2">
        <f>IFERROR(__xludf.DUMMYFUNCTION("""COMPUTED_VALUE"""),165.57)</f>
        <v>165.57</v>
      </c>
      <c r="F8927" s="2">
        <f>IFERROR(__xludf.DUMMYFUNCTION("""COMPUTED_VALUE"""),2295596.0)</f>
        <v>2295596</v>
      </c>
    </row>
    <row r="8928">
      <c r="A8928" s="3">
        <f>IFERROR(__xludf.DUMMYFUNCTION("""COMPUTED_VALUE"""),42146.66666666667)</f>
        <v>42146.66667</v>
      </c>
      <c r="B8928" s="2">
        <f>IFERROR(__xludf.DUMMYFUNCTION("""COMPUTED_VALUE"""),165.28)</f>
        <v>165.28</v>
      </c>
      <c r="C8928" s="2">
        <f>IFERROR(__xludf.DUMMYFUNCTION("""COMPUTED_VALUE"""),165.62)</f>
        <v>165.62</v>
      </c>
      <c r="D8928" s="2">
        <f>IFERROR(__xludf.DUMMYFUNCTION("""COMPUTED_VALUE"""),164.47)</f>
        <v>164.47</v>
      </c>
      <c r="E8928" s="2">
        <f>IFERROR(__xludf.DUMMYFUNCTION("""COMPUTED_VALUE"""),164.5)</f>
        <v>164.5</v>
      </c>
      <c r="F8928" s="2">
        <f>IFERROR(__xludf.DUMMYFUNCTION("""COMPUTED_VALUE"""),2849192.0)</f>
        <v>2849192</v>
      </c>
    </row>
    <row r="8929">
      <c r="A8929" s="3">
        <f>IFERROR(__xludf.DUMMYFUNCTION("""COMPUTED_VALUE"""),42150.66666666667)</f>
        <v>42150.66667</v>
      </c>
      <c r="B8929" s="2">
        <f>IFERROR(__xludf.DUMMYFUNCTION("""COMPUTED_VALUE"""),164.39)</f>
        <v>164.39</v>
      </c>
      <c r="C8929" s="2">
        <f>IFERROR(__xludf.DUMMYFUNCTION("""COMPUTED_VALUE"""),164.4)</f>
        <v>164.4</v>
      </c>
      <c r="D8929" s="2">
        <f>IFERROR(__xludf.DUMMYFUNCTION("""COMPUTED_VALUE"""),161.55)</f>
        <v>161.55</v>
      </c>
      <c r="E8929" s="2">
        <f>IFERROR(__xludf.DUMMYFUNCTION("""COMPUTED_VALUE"""),162.5)</f>
        <v>162.5</v>
      </c>
      <c r="F8929" s="2">
        <f>IFERROR(__xludf.DUMMYFUNCTION("""COMPUTED_VALUE"""),3854065.0)</f>
        <v>3854065</v>
      </c>
    </row>
    <row r="8930">
      <c r="A8930" s="3">
        <f>IFERROR(__xludf.DUMMYFUNCTION("""COMPUTED_VALUE"""),42151.66666666667)</f>
        <v>42151.66667</v>
      </c>
      <c r="B8930" s="2">
        <f>IFERROR(__xludf.DUMMYFUNCTION("""COMPUTED_VALUE"""),163.49)</f>
        <v>163.49</v>
      </c>
      <c r="C8930" s="2">
        <f>IFERROR(__xludf.DUMMYFUNCTION("""COMPUTED_VALUE"""),164.75)</f>
        <v>164.75</v>
      </c>
      <c r="D8930" s="2">
        <f>IFERROR(__xludf.DUMMYFUNCTION("""COMPUTED_VALUE"""),162.85)</f>
        <v>162.85</v>
      </c>
      <c r="E8930" s="2">
        <f>IFERROR(__xludf.DUMMYFUNCTION("""COMPUTED_VALUE"""),164.29)</f>
        <v>164.29</v>
      </c>
      <c r="F8930" s="2">
        <f>IFERROR(__xludf.DUMMYFUNCTION("""COMPUTED_VALUE"""),2764378.0)</f>
        <v>2764378</v>
      </c>
    </row>
    <row r="8931">
      <c r="A8931" s="3">
        <f>IFERROR(__xludf.DUMMYFUNCTION("""COMPUTED_VALUE"""),42152.66666666667)</f>
        <v>42152.66667</v>
      </c>
      <c r="B8931" s="2">
        <f>IFERROR(__xludf.DUMMYFUNCTION("""COMPUTED_VALUE"""),163.76)</f>
        <v>163.76</v>
      </c>
      <c r="C8931" s="2">
        <f>IFERROR(__xludf.DUMMYFUNCTION("""COMPUTED_VALUE"""),164.14)</f>
        <v>164.14</v>
      </c>
      <c r="D8931" s="2">
        <f>IFERROR(__xludf.DUMMYFUNCTION("""COMPUTED_VALUE"""),163.01)</f>
        <v>163.01</v>
      </c>
      <c r="E8931" s="2">
        <f>IFERROR(__xludf.DUMMYFUNCTION("""COMPUTED_VALUE"""),164.01)</f>
        <v>164.01</v>
      </c>
      <c r="F8931" s="2">
        <f>IFERROR(__xludf.DUMMYFUNCTION("""COMPUTED_VALUE"""),1731347.0)</f>
        <v>1731347</v>
      </c>
    </row>
    <row r="8932">
      <c r="A8932" s="3">
        <f>IFERROR(__xludf.DUMMYFUNCTION("""COMPUTED_VALUE"""),42153.66666666667)</f>
        <v>42153.66667</v>
      </c>
      <c r="B8932" s="2">
        <f>IFERROR(__xludf.DUMMYFUNCTION("""COMPUTED_VALUE"""),163.67)</f>
        <v>163.67</v>
      </c>
      <c r="C8932" s="2">
        <f>IFERROR(__xludf.DUMMYFUNCTION("""COMPUTED_VALUE"""),163.67)</f>
        <v>163.67</v>
      </c>
      <c r="D8932" s="2">
        <f>IFERROR(__xludf.DUMMYFUNCTION("""COMPUTED_VALUE"""),162.04)</f>
        <v>162.04</v>
      </c>
      <c r="E8932" s="2">
        <f>IFERROR(__xludf.DUMMYFUNCTION("""COMPUTED_VALUE"""),162.04)</f>
        <v>162.04</v>
      </c>
      <c r="F8932" s="2">
        <f>IFERROR(__xludf.DUMMYFUNCTION("""COMPUTED_VALUE"""),4091581.0)</f>
        <v>4091581</v>
      </c>
    </row>
    <row r="8933">
      <c r="A8933" s="3">
        <f>IFERROR(__xludf.DUMMYFUNCTION("""COMPUTED_VALUE"""),42156.66666666667)</f>
        <v>42156.66667</v>
      </c>
      <c r="B8933" s="2">
        <f>IFERROR(__xludf.DUMMYFUNCTION("""COMPUTED_VALUE"""),162.58)</f>
        <v>162.58</v>
      </c>
      <c r="C8933" s="2">
        <f>IFERROR(__xludf.DUMMYFUNCTION("""COMPUTED_VALUE"""),163.37)</f>
        <v>163.37</v>
      </c>
      <c r="D8933" s="2">
        <f>IFERROR(__xludf.DUMMYFUNCTION("""COMPUTED_VALUE"""),161.45)</f>
        <v>161.45</v>
      </c>
      <c r="E8933" s="2">
        <f>IFERROR(__xludf.DUMMYFUNCTION("""COMPUTED_VALUE"""),162.55)</f>
        <v>162.55</v>
      </c>
      <c r="F8933" s="2">
        <f>IFERROR(__xludf.DUMMYFUNCTION("""COMPUTED_VALUE"""),2985479.0)</f>
        <v>2985479</v>
      </c>
    </row>
    <row r="8934">
      <c r="A8934" s="3">
        <f>IFERROR(__xludf.DUMMYFUNCTION("""COMPUTED_VALUE"""),42157.66666666667)</f>
        <v>42157.66667</v>
      </c>
      <c r="B8934" s="2">
        <f>IFERROR(__xludf.DUMMYFUNCTION("""COMPUTED_VALUE"""),162.05)</f>
        <v>162.05</v>
      </c>
      <c r="C8934" s="2">
        <f>IFERROR(__xludf.DUMMYFUNCTION("""COMPUTED_VALUE"""),162.81)</f>
        <v>162.81</v>
      </c>
      <c r="D8934" s="2">
        <f>IFERROR(__xludf.DUMMYFUNCTION("""COMPUTED_VALUE"""),160.88)</f>
        <v>160.88</v>
      </c>
      <c r="E8934" s="2">
        <f>IFERROR(__xludf.DUMMYFUNCTION("""COMPUTED_VALUE"""),162.04)</f>
        <v>162.04</v>
      </c>
      <c r="F8934" s="2">
        <f>IFERROR(__xludf.DUMMYFUNCTION("""COMPUTED_VALUE"""),2571762.0)</f>
        <v>2571762</v>
      </c>
    </row>
    <row r="8935">
      <c r="A8935" s="3">
        <f>IFERROR(__xludf.DUMMYFUNCTION("""COMPUTED_VALUE"""),42158.66666666667)</f>
        <v>42158.66667</v>
      </c>
      <c r="B8935" s="2">
        <f>IFERROR(__xludf.DUMMYFUNCTION("""COMPUTED_VALUE"""),162.86)</f>
        <v>162.86</v>
      </c>
      <c r="C8935" s="2">
        <f>IFERROR(__xludf.DUMMYFUNCTION("""COMPUTED_VALUE"""),163.87)</f>
        <v>163.87</v>
      </c>
      <c r="D8935" s="2">
        <f>IFERROR(__xludf.DUMMYFUNCTION("""COMPUTED_VALUE"""),162.02)</f>
        <v>162.02</v>
      </c>
      <c r="E8935" s="2">
        <f>IFERROR(__xludf.DUMMYFUNCTION("""COMPUTED_VALUE"""),162.3)</f>
        <v>162.3</v>
      </c>
      <c r="F8935" s="2">
        <f>IFERROR(__xludf.DUMMYFUNCTION("""COMPUTED_VALUE"""),2131031.0)</f>
        <v>2131031</v>
      </c>
    </row>
    <row r="8936">
      <c r="A8936" s="3">
        <f>IFERROR(__xludf.DUMMYFUNCTION("""COMPUTED_VALUE"""),42159.66666666667)</f>
        <v>42159.66667</v>
      </c>
      <c r="B8936" s="2">
        <f>IFERROR(__xludf.DUMMYFUNCTION("""COMPUTED_VALUE"""),161.93)</f>
        <v>161.93</v>
      </c>
      <c r="C8936" s="2">
        <f>IFERROR(__xludf.DUMMYFUNCTION("""COMPUTED_VALUE"""),162.95)</f>
        <v>162.95</v>
      </c>
      <c r="D8936" s="2">
        <f>IFERROR(__xludf.DUMMYFUNCTION("""COMPUTED_VALUE"""),160.4)</f>
        <v>160.4</v>
      </c>
      <c r="E8936" s="2">
        <f>IFERROR(__xludf.DUMMYFUNCTION("""COMPUTED_VALUE"""),160.83)</f>
        <v>160.83</v>
      </c>
      <c r="F8936" s="2">
        <f>IFERROR(__xludf.DUMMYFUNCTION("""COMPUTED_VALUE"""),3079334.0)</f>
        <v>3079334</v>
      </c>
    </row>
    <row r="8937">
      <c r="A8937" s="3">
        <f>IFERROR(__xludf.DUMMYFUNCTION("""COMPUTED_VALUE"""),42160.66666666667)</f>
        <v>42160.66667</v>
      </c>
      <c r="B8937" s="2">
        <f>IFERROR(__xludf.DUMMYFUNCTION("""COMPUTED_VALUE"""),160.71)</f>
        <v>160.71</v>
      </c>
      <c r="C8937" s="2">
        <f>IFERROR(__xludf.DUMMYFUNCTION("""COMPUTED_VALUE"""),161.34)</f>
        <v>161.34</v>
      </c>
      <c r="D8937" s="2">
        <f>IFERROR(__xludf.DUMMYFUNCTION("""COMPUTED_VALUE"""),159.7)</f>
        <v>159.7</v>
      </c>
      <c r="E8937" s="2">
        <f>IFERROR(__xludf.DUMMYFUNCTION("""COMPUTED_VALUE"""),159.89)</f>
        <v>159.89</v>
      </c>
      <c r="F8937" s="2">
        <f>IFERROR(__xludf.DUMMYFUNCTION("""COMPUTED_VALUE"""),3100501.0)</f>
        <v>3100501</v>
      </c>
    </row>
    <row r="8938">
      <c r="A8938" s="3">
        <f>IFERROR(__xludf.DUMMYFUNCTION("""COMPUTED_VALUE"""),42163.66666666667)</f>
        <v>42163.66667</v>
      </c>
      <c r="B8938" s="2">
        <f>IFERROR(__xludf.DUMMYFUNCTION("""COMPUTED_VALUE"""),159.67)</f>
        <v>159.67</v>
      </c>
      <c r="C8938" s="2">
        <f>IFERROR(__xludf.DUMMYFUNCTION("""COMPUTED_VALUE"""),159.78)</f>
        <v>159.78</v>
      </c>
      <c r="D8938" s="2">
        <f>IFERROR(__xludf.DUMMYFUNCTION("""COMPUTED_VALUE"""),157.62)</f>
        <v>157.62</v>
      </c>
      <c r="E8938" s="2">
        <f>IFERROR(__xludf.DUMMYFUNCTION("""COMPUTED_VALUE"""),157.93)</f>
        <v>157.93</v>
      </c>
      <c r="F8938" s="2">
        <f>IFERROR(__xludf.DUMMYFUNCTION("""COMPUTED_VALUE"""),3758676.0)</f>
        <v>3758676</v>
      </c>
    </row>
    <row r="8939">
      <c r="A8939" s="3">
        <f>IFERROR(__xludf.DUMMYFUNCTION("""COMPUTED_VALUE"""),42164.66666666667)</f>
        <v>42164.66667</v>
      </c>
      <c r="B8939" s="2">
        <f>IFERROR(__xludf.DUMMYFUNCTION("""COMPUTED_VALUE"""),157.93)</f>
        <v>157.93</v>
      </c>
      <c r="C8939" s="2">
        <f>IFERROR(__xludf.DUMMYFUNCTION("""COMPUTED_VALUE"""),158.58)</f>
        <v>158.58</v>
      </c>
      <c r="D8939" s="2">
        <f>IFERROR(__xludf.DUMMYFUNCTION("""COMPUTED_VALUE"""),156.05)</f>
        <v>156.05</v>
      </c>
      <c r="E8939" s="2">
        <f>IFERROR(__xludf.DUMMYFUNCTION("""COMPUTED_VALUE"""),158.25)</f>
        <v>158.25</v>
      </c>
      <c r="F8939" s="2">
        <f>IFERROR(__xludf.DUMMYFUNCTION("""COMPUTED_VALUE"""),3395901.0)</f>
        <v>3395901</v>
      </c>
    </row>
    <row r="8940">
      <c r="A8940" s="3">
        <f>IFERROR(__xludf.DUMMYFUNCTION("""COMPUTED_VALUE"""),42165.66666666667)</f>
        <v>42165.66667</v>
      </c>
      <c r="B8940" s="2">
        <f>IFERROR(__xludf.DUMMYFUNCTION("""COMPUTED_VALUE"""),159.03)</f>
        <v>159.03</v>
      </c>
      <c r="C8940" s="2">
        <f>IFERROR(__xludf.DUMMYFUNCTION("""COMPUTED_VALUE"""),161.8)</f>
        <v>161.8</v>
      </c>
      <c r="D8940" s="2">
        <f>IFERROR(__xludf.DUMMYFUNCTION("""COMPUTED_VALUE"""),158.61)</f>
        <v>158.61</v>
      </c>
      <c r="E8940" s="2">
        <f>IFERROR(__xludf.DUMMYFUNCTION("""COMPUTED_VALUE"""),161.35)</f>
        <v>161.35</v>
      </c>
      <c r="F8940" s="2">
        <f>IFERROR(__xludf.DUMMYFUNCTION("""COMPUTED_VALUE"""),4680100.0)</f>
        <v>4680100</v>
      </c>
    </row>
    <row r="8941">
      <c r="A8941" s="3">
        <f>IFERROR(__xludf.DUMMYFUNCTION("""COMPUTED_VALUE"""),42166.66666666667)</f>
        <v>42166.66667</v>
      </c>
      <c r="B8941" s="2">
        <f>IFERROR(__xludf.DUMMYFUNCTION("""COMPUTED_VALUE"""),161.67)</f>
        <v>161.67</v>
      </c>
      <c r="C8941" s="2">
        <f>IFERROR(__xludf.DUMMYFUNCTION("""COMPUTED_VALUE"""),162.8)</f>
        <v>162.8</v>
      </c>
      <c r="D8941" s="2">
        <f>IFERROR(__xludf.DUMMYFUNCTION("""COMPUTED_VALUE"""),160.98)</f>
        <v>160.98</v>
      </c>
      <c r="E8941" s="2">
        <f>IFERROR(__xludf.DUMMYFUNCTION("""COMPUTED_VALUE"""),161.21)</f>
        <v>161.21</v>
      </c>
      <c r="F8941" s="2">
        <f>IFERROR(__xludf.DUMMYFUNCTION("""COMPUTED_VALUE"""),3464013.0)</f>
        <v>3464013</v>
      </c>
    </row>
    <row r="8942">
      <c r="A8942" s="3">
        <f>IFERROR(__xludf.DUMMYFUNCTION("""COMPUTED_VALUE"""),42167.66666666667)</f>
        <v>42167.66667</v>
      </c>
      <c r="B8942" s="2">
        <f>IFERROR(__xludf.DUMMYFUNCTION("""COMPUTED_VALUE"""),160.69)</f>
        <v>160.69</v>
      </c>
      <c r="C8942" s="2">
        <f>IFERROR(__xludf.DUMMYFUNCTION("""COMPUTED_VALUE"""),160.75)</f>
        <v>160.75</v>
      </c>
      <c r="D8942" s="2">
        <f>IFERROR(__xludf.DUMMYFUNCTION("""COMPUTED_VALUE"""),159.22)</f>
        <v>159.22</v>
      </c>
      <c r="E8942" s="2">
        <f>IFERROR(__xludf.DUMMYFUNCTION("""COMPUTED_VALUE"""),159.5)</f>
        <v>159.5</v>
      </c>
      <c r="F8942" s="2">
        <f>IFERROR(__xludf.DUMMYFUNCTION("""COMPUTED_VALUE"""),3065085.0)</f>
        <v>3065085</v>
      </c>
    </row>
    <row r="8943">
      <c r="A8943" s="3">
        <f>IFERROR(__xludf.DUMMYFUNCTION("""COMPUTED_VALUE"""),42170.66666666667)</f>
        <v>42170.66667</v>
      </c>
      <c r="B8943" s="2">
        <f>IFERROR(__xludf.DUMMYFUNCTION("""COMPUTED_VALUE"""),157.92)</f>
        <v>157.92</v>
      </c>
      <c r="C8943" s="2">
        <f>IFERROR(__xludf.DUMMYFUNCTION("""COMPUTED_VALUE"""),158.98)</f>
        <v>158.98</v>
      </c>
      <c r="D8943" s="2">
        <f>IFERROR(__xludf.DUMMYFUNCTION("""COMPUTED_VALUE"""),156.89)</f>
        <v>156.89</v>
      </c>
      <c r="E8943" s="2">
        <f>IFERROR(__xludf.DUMMYFUNCTION("""COMPUTED_VALUE"""),158.81)</f>
        <v>158.81</v>
      </c>
      <c r="F8943" s="2">
        <f>IFERROR(__xludf.DUMMYFUNCTION("""COMPUTED_VALUE"""),4245557.0)</f>
        <v>4245557</v>
      </c>
    </row>
    <row r="8944">
      <c r="A8944" s="3">
        <f>IFERROR(__xludf.DUMMYFUNCTION("""COMPUTED_VALUE"""),42171.66666666667)</f>
        <v>42171.66667</v>
      </c>
      <c r="B8944" s="2">
        <f>IFERROR(__xludf.DUMMYFUNCTION("""COMPUTED_VALUE"""),158.87)</f>
        <v>158.87</v>
      </c>
      <c r="C8944" s="2">
        <f>IFERROR(__xludf.DUMMYFUNCTION("""COMPUTED_VALUE"""),159.89)</f>
        <v>159.89</v>
      </c>
      <c r="D8944" s="2">
        <f>IFERROR(__xludf.DUMMYFUNCTION("""COMPUTED_VALUE"""),158.47)</f>
        <v>158.47</v>
      </c>
      <c r="E8944" s="2">
        <f>IFERROR(__xludf.DUMMYFUNCTION("""COMPUTED_VALUE"""),159.36)</f>
        <v>159.36</v>
      </c>
      <c r="F8944" s="2">
        <f>IFERROR(__xludf.DUMMYFUNCTION("""COMPUTED_VALUE"""),3249842.0)</f>
        <v>3249842</v>
      </c>
    </row>
    <row r="8945">
      <c r="A8945" s="3">
        <f>IFERROR(__xludf.DUMMYFUNCTION("""COMPUTED_VALUE"""),42172.66666666667)</f>
        <v>42172.66667</v>
      </c>
      <c r="B8945" s="2">
        <f>IFERROR(__xludf.DUMMYFUNCTION("""COMPUTED_VALUE"""),159.51)</f>
        <v>159.51</v>
      </c>
      <c r="C8945" s="2">
        <f>IFERROR(__xludf.DUMMYFUNCTION("""COMPUTED_VALUE"""),160.32)</f>
        <v>160.32</v>
      </c>
      <c r="D8945" s="2">
        <f>IFERROR(__xludf.DUMMYFUNCTION("""COMPUTED_VALUE"""),158.65)</f>
        <v>158.65</v>
      </c>
      <c r="E8945" s="2">
        <f>IFERROR(__xludf.DUMMYFUNCTION("""COMPUTED_VALUE"""),159.67)</f>
        <v>159.67</v>
      </c>
      <c r="F8945" s="2">
        <f>IFERROR(__xludf.DUMMYFUNCTION("""COMPUTED_VALUE"""),2862993.0)</f>
        <v>2862993</v>
      </c>
    </row>
    <row r="8946">
      <c r="A8946" s="3">
        <f>IFERROR(__xludf.DUMMYFUNCTION("""COMPUTED_VALUE"""),42173.66666666667)</f>
        <v>42173.66667</v>
      </c>
      <c r="B8946" s="2">
        <f>IFERROR(__xludf.DUMMYFUNCTION("""COMPUTED_VALUE"""),159.56)</f>
        <v>159.56</v>
      </c>
      <c r="C8946" s="2">
        <f>IFERROR(__xludf.DUMMYFUNCTION("""COMPUTED_VALUE"""),161.16)</f>
        <v>161.16</v>
      </c>
      <c r="D8946" s="2">
        <f>IFERROR(__xludf.DUMMYFUNCTION("""COMPUTED_VALUE"""),159.56)</f>
        <v>159.56</v>
      </c>
      <c r="E8946" s="2">
        <f>IFERROR(__xludf.DUMMYFUNCTION("""COMPUTED_VALUE"""),160.71)</f>
        <v>160.71</v>
      </c>
      <c r="F8946" s="2">
        <f>IFERROR(__xludf.DUMMYFUNCTION("""COMPUTED_VALUE"""),3330864.0)</f>
        <v>3330864</v>
      </c>
    </row>
    <row r="8947">
      <c r="A8947" s="3">
        <f>IFERROR(__xludf.DUMMYFUNCTION("""COMPUTED_VALUE"""),42174.66666666667)</f>
        <v>42174.66667</v>
      </c>
      <c r="B8947" s="2">
        <f>IFERROR(__xludf.DUMMYFUNCTION("""COMPUTED_VALUE"""),160.1)</f>
        <v>160.1</v>
      </c>
      <c r="C8947" s="2">
        <f>IFERROR(__xludf.DUMMYFUNCTION("""COMPUTED_VALUE"""),160.87)</f>
        <v>160.87</v>
      </c>
      <c r="D8947" s="2">
        <f>IFERROR(__xludf.DUMMYFUNCTION("""COMPUTED_VALUE"""),159.29)</f>
        <v>159.29</v>
      </c>
      <c r="E8947" s="2">
        <f>IFERROR(__xludf.DUMMYFUNCTION("""COMPUTED_VALUE"""),159.5)</f>
        <v>159.5</v>
      </c>
      <c r="F8947" s="2">
        <f>IFERROR(__xludf.DUMMYFUNCTION("""COMPUTED_VALUE"""),7072220.0)</f>
        <v>7072220</v>
      </c>
    </row>
    <row r="8948">
      <c r="A8948" s="3">
        <f>IFERROR(__xludf.DUMMYFUNCTION("""COMPUTED_VALUE"""),42177.66666666667)</f>
        <v>42177.66667</v>
      </c>
      <c r="B8948" s="2">
        <f>IFERROR(__xludf.DUMMYFUNCTION("""COMPUTED_VALUE"""),160.13)</f>
        <v>160.13</v>
      </c>
      <c r="C8948" s="2">
        <f>IFERROR(__xludf.DUMMYFUNCTION("""COMPUTED_VALUE"""),160.79)</f>
        <v>160.79</v>
      </c>
      <c r="D8948" s="2">
        <f>IFERROR(__xludf.DUMMYFUNCTION("""COMPUTED_VALUE"""),159.7)</f>
        <v>159.7</v>
      </c>
      <c r="E8948" s="2">
        <f>IFERROR(__xludf.DUMMYFUNCTION("""COMPUTED_VALUE"""),160.21)</f>
        <v>160.21</v>
      </c>
      <c r="F8948" s="2">
        <f>IFERROR(__xludf.DUMMYFUNCTION("""COMPUTED_VALUE"""),2335796.0)</f>
        <v>2335796</v>
      </c>
    </row>
    <row r="8949">
      <c r="A8949" s="3">
        <f>IFERROR(__xludf.DUMMYFUNCTION("""COMPUTED_VALUE"""),42178.66666666667)</f>
        <v>42178.66667</v>
      </c>
      <c r="B8949" s="2">
        <f>IFERROR(__xludf.DUMMYFUNCTION("""COMPUTED_VALUE"""),160.83)</f>
        <v>160.83</v>
      </c>
      <c r="C8949" s="2">
        <f>IFERROR(__xludf.DUMMYFUNCTION("""COMPUTED_VALUE"""),162.35)</f>
        <v>162.35</v>
      </c>
      <c r="D8949" s="2">
        <f>IFERROR(__xludf.DUMMYFUNCTION("""COMPUTED_VALUE"""),160.06)</f>
        <v>160.06</v>
      </c>
      <c r="E8949" s="2">
        <f>IFERROR(__xludf.DUMMYFUNCTION("""COMPUTED_VALUE"""),161.06)</f>
        <v>161.06</v>
      </c>
      <c r="F8949" s="2">
        <f>IFERROR(__xludf.DUMMYFUNCTION("""COMPUTED_VALUE"""),3701109.0)</f>
        <v>3701109</v>
      </c>
    </row>
    <row r="8950">
      <c r="A8950" s="3">
        <f>IFERROR(__xludf.DUMMYFUNCTION("""COMPUTED_VALUE"""),42179.66666666667)</f>
        <v>42179.66667</v>
      </c>
      <c r="B8950" s="2">
        <f>IFERROR(__xludf.DUMMYFUNCTION("""COMPUTED_VALUE"""),161.15)</f>
        <v>161.15</v>
      </c>
      <c r="C8950" s="2">
        <f>IFERROR(__xludf.DUMMYFUNCTION("""COMPUTED_VALUE"""),161.27)</f>
        <v>161.27</v>
      </c>
      <c r="D8950" s="2">
        <f>IFERROR(__xludf.DUMMYFUNCTION("""COMPUTED_VALUE"""),159.35)</f>
        <v>159.35</v>
      </c>
      <c r="E8950" s="2">
        <f>IFERROR(__xludf.DUMMYFUNCTION("""COMPUTED_VALUE"""),159.48)</f>
        <v>159.48</v>
      </c>
      <c r="F8950" s="2">
        <f>IFERROR(__xludf.DUMMYFUNCTION("""COMPUTED_VALUE"""),3548079.0)</f>
        <v>3548079</v>
      </c>
    </row>
    <row r="8951">
      <c r="A8951" s="3">
        <f>IFERROR(__xludf.DUMMYFUNCTION("""COMPUTED_VALUE"""),42180.66666666667)</f>
        <v>42180.66667</v>
      </c>
      <c r="B8951" s="2">
        <f>IFERROR(__xludf.DUMMYFUNCTION("""COMPUTED_VALUE"""),160.28)</f>
        <v>160.28</v>
      </c>
      <c r="C8951" s="2">
        <f>IFERROR(__xludf.DUMMYFUNCTION("""COMPUTED_VALUE"""),160.59)</f>
        <v>160.59</v>
      </c>
      <c r="D8951" s="2">
        <f>IFERROR(__xludf.DUMMYFUNCTION("""COMPUTED_VALUE"""),158.63)</f>
        <v>158.63</v>
      </c>
      <c r="E8951" s="2">
        <f>IFERROR(__xludf.DUMMYFUNCTION("""COMPUTED_VALUE"""),158.63)</f>
        <v>158.63</v>
      </c>
      <c r="F8951" s="2">
        <f>IFERROR(__xludf.DUMMYFUNCTION("""COMPUTED_VALUE"""),2408885.0)</f>
        <v>2408885</v>
      </c>
    </row>
    <row r="8952">
      <c r="A8952" s="3">
        <f>IFERROR(__xludf.DUMMYFUNCTION("""COMPUTED_VALUE"""),42181.66666666667)</f>
        <v>42181.66667</v>
      </c>
      <c r="B8952" s="2">
        <f>IFERROR(__xludf.DUMMYFUNCTION("""COMPUTED_VALUE"""),158.78)</f>
        <v>158.78</v>
      </c>
      <c r="C8952" s="2">
        <f>IFERROR(__xludf.DUMMYFUNCTION("""COMPUTED_VALUE"""),159.33)</f>
        <v>159.33</v>
      </c>
      <c r="D8952" s="2">
        <f>IFERROR(__xludf.DUMMYFUNCTION("""COMPUTED_VALUE"""),157.82)</f>
        <v>157.82</v>
      </c>
      <c r="E8952" s="2">
        <f>IFERROR(__xludf.DUMMYFUNCTION("""COMPUTED_VALUE"""),158.04)</f>
        <v>158.04</v>
      </c>
      <c r="F8952" s="2">
        <f>IFERROR(__xludf.DUMMYFUNCTION("""COMPUTED_VALUE"""),8945485.0)</f>
        <v>8945485</v>
      </c>
    </row>
    <row r="8953">
      <c r="A8953" s="3">
        <f>IFERROR(__xludf.DUMMYFUNCTION("""COMPUTED_VALUE"""),42184.66666666667)</f>
        <v>42184.66667</v>
      </c>
      <c r="B8953" s="2">
        <f>IFERROR(__xludf.DUMMYFUNCTION("""COMPUTED_VALUE"""),156.57)</f>
        <v>156.57</v>
      </c>
      <c r="C8953" s="2">
        <f>IFERROR(__xludf.DUMMYFUNCTION("""COMPUTED_VALUE"""),157.94)</f>
        <v>157.94</v>
      </c>
      <c r="D8953" s="2">
        <f>IFERROR(__xludf.DUMMYFUNCTION("""COMPUTED_VALUE"""),155.59)</f>
        <v>155.59</v>
      </c>
      <c r="E8953" s="2">
        <f>IFERROR(__xludf.DUMMYFUNCTION("""COMPUTED_VALUE"""),155.66)</f>
        <v>155.66</v>
      </c>
      <c r="F8953" s="2">
        <f>IFERROR(__xludf.DUMMYFUNCTION("""COMPUTED_VALUE"""),3314679.0)</f>
        <v>3314679</v>
      </c>
    </row>
    <row r="8954">
      <c r="A8954" s="3">
        <f>IFERROR(__xludf.DUMMYFUNCTION("""COMPUTED_VALUE"""),42185.66666666667)</f>
        <v>42185.66667</v>
      </c>
      <c r="B8954" s="2">
        <f>IFERROR(__xludf.DUMMYFUNCTION("""COMPUTED_VALUE"""),156.64)</f>
        <v>156.64</v>
      </c>
      <c r="C8954" s="2">
        <f>IFERROR(__xludf.DUMMYFUNCTION("""COMPUTED_VALUE"""),156.65)</f>
        <v>156.65</v>
      </c>
      <c r="D8954" s="2">
        <f>IFERROR(__xludf.DUMMYFUNCTION("""COMPUTED_VALUE"""),154.85)</f>
        <v>154.85</v>
      </c>
      <c r="E8954" s="2">
        <f>IFERROR(__xludf.DUMMYFUNCTION("""COMPUTED_VALUE"""),155.37)</f>
        <v>155.37</v>
      </c>
      <c r="F8954" s="2">
        <f>IFERROR(__xludf.DUMMYFUNCTION("""COMPUTED_VALUE"""),3597288.0)</f>
        <v>3597288</v>
      </c>
    </row>
    <row r="8955">
      <c r="A8955" s="3">
        <f>IFERROR(__xludf.DUMMYFUNCTION("""COMPUTED_VALUE"""),42186.66666666667)</f>
        <v>42186.66667</v>
      </c>
      <c r="B8955" s="2">
        <f>IFERROR(__xludf.DUMMYFUNCTION("""COMPUTED_VALUE"""),156.62)</f>
        <v>156.62</v>
      </c>
      <c r="C8955" s="2">
        <f>IFERROR(__xludf.DUMMYFUNCTION("""COMPUTED_VALUE"""),158.18)</f>
        <v>158.18</v>
      </c>
      <c r="D8955" s="2">
        <f>IFERROR(__xludf.DUMMYFUNCTION("""COMPUTED_VALUE"""),156.26)</f>
        <v>156.26</v>
      </c>
      <c r="E8955" s="2">
        <f>IFERROR(__xludf.DUMMYFUNCTION("""COMPUTED_VALUE"""),157.11)</f>
        <v>157.11</v>
      </c>
      <c r="F8955" s="2">
        <f>IFERROR(__xludf.DUMMYFUNCTION("""COMPUTED_VALUE"""),3214547.0)</f>
        <v>3214547</v>
      </c>
    </row>
    <row r="8956">
      <c r="A8956" s="3">
        <f>IFERROR(__xludf.DUMMYFUNCTION("""COMPUTED_VALUE"""),42187.66666666667)</f>
        <v>42187.66667</v>
      </c>
      <c r="B8956" s="2">
        <f>IFERROR(__xludf.DUMMYFUNCTION("""COMPUTED_VALUE"""),157.65)</f>
        <v>157.65</v>
      </c>
      <c r="C8956" s="2">
        <f>IFERROR(__xludf.DUMMYFUNCTION("""COMPUTED_VALUE"""),157.91)</f>
        <v>157.91</v>
      </c>
      <c r="D8956" s="2">
        <f>IFERROR(__xludf.DUMMYFUNCTION("""COMPUTED_VALUE"""),157.05)</f>
        <v>157.05</v>
      </c>
      <c r="E8956" s="2">
        <f>IFERROR(__xludf.DUMMYFUNCTION("""COMPUTED_VALUE"""),157.69)</f>
        <v>157.69</v>
      </c>
      <c r="F8956" s="2">
        <f>IFERROR(__xludf.DUMMYFUNCTION("""COMPUTED_VALUE"""),2851566.0)</f>
        <v>2851566</v>
      </c>
    </row>
    <row r="8957">
      <c r="A8957" s="3">
        <f>IFERROR(__xludf.DUMMYFUNCTION("""COMPUTED_VALUE"""),42191.66666666667)</f>
        <v>42191.66667</v>
      </c>
      <c r="B8957" s="2">
        <f>IFERROR(__xludf.DUMMYFUNCTION("""COMPUTED_VALUE"""),156.48)</f>
        <v>156.48</v>
      </c>
      <c r="C8957" s="2">
        <f>IFERROR(__xludf.DUMMYFUNCTION("""COMPUTED_VALUE"""),157.82)</f>
        <v>157.82</v>
      </c>
      <c r="D8957" s="2">
        <f>IFERROR(__xludf.DUMMYFUNCTION("""COMPUTED_VALUE"""),156.19)</f>
        <v>156.19</v>
      </c>
      <c r="E8957" s="2">
        <f>IFERROR(__xludf.DUMMYFUNCTION("""COMPUTED_VALUE"""),157.34)</f>
        <v>157.34</v>
      </c>
      <c r="F8957" s="2">
        <f>IFERROR(__xludf.DUMMYFUNCTION("""COMPUTED_VALUE"""),3079833.0)</f>
        <v>3079833</v>
      </c>
    </row>
    <row r="8958">
      <c r="A8958" s="3">
        <f>IFERROR(__xludf.DUMMYFUNCTION("""COMPUTED_VALUE"""),42192.66666666667)</f>
        <v>42192.66667</v>
      </c>
      <c r="B8958" s="2">
        <f>IFERROR(__xludf.DUMMYFUNCTION("""COMPUTED_VALUE"""),157.54)</f>
        <v>157.54</v>
      </c>
      <c r="C8958" s="2">
        <f>IFERROR(__xludf.DUMMYFUNCTION("""COMPUTED_VALUE"""),157.94)</f>
        <v>157.94</v>
      </c>
      <c r="D8958" s="2">
        <f>IFERROR(__xludf.DUMMYFUNCTION("""COMPUTED_VALUE"""),154.96)</f>
        <v>154.96</v>
      </c>
      <c r="E8958" s="2">
        <f>IFERROR(__xludf.DUMMYFUNCTION("""COMPUTED_VALUE"""),157.6)</f>
        <v>157.6</v>
      </c>
      <c r="F8958" s="2">
        <f>IFERROR(__xludf.DUMMYFUNCTION("""COMPUTED_VALUE"""),3549861.0)</f>
        <v>3549861</v>
      </c>
    </row>
    <row r="8959">
      <c r="A8959" s="3">
        <f>IFERROR(__xludf.DUMMYFUNCTION("""COMPUTED_VALUE"""),42193.66666666667)</f>
        <v>42193.66667</v>
      </c>
      <c r="B8959" s="2">
        <f>IFERROR(__xludf.DUMMYFUNCTION("""COMPUTED_VALUE"""),156.65)</f>
        <v>156.65</v>
      </c>
      <c r="C8959" s="2">
        <f>IFERROR(__xludf.DUMMYFUNCTION("""COMPUTED_VALUE"""),157.54)</f>
        <v>157.54</v>
      </c>
      <c r="D8959" s="2">
        <f>IFERROR(__xludf.DUMMYFUNCTION("""COMPUTED_VALUE"""),155.39)</f>
        <v>155.39</v>
      </c>
      <c r="E8959" s="2">
        <f>IFERROR(__xludf.DUMMYFUNCTION("""COMPUTED_VALUE"""),155.84)</f>
        <v>155.84</v>
      </c>
      <c r="F8959" s="2">
        <f>IFERROR(__xludf.DUMMYFUNCTION("""COMPUTED_VALUE"""),2776276.0)</f>
        <v>2776276</v>
      </c>
    </row>
    <row r="8960">
      <c r="A8960" s="3">
        <f>IFERROR(__xludf.DUMMYFUNCTION("""COMPUTED_VALUE"""),42194.66666666667)</f>
        <v>42194.66667</v>
      </c>
      <c r="B8960" s="2">
        <f>IFERROR(__xludf.DUMMYFUNCTION("""COMPUTED_VALUE"""),157.93)</f>
        <v>157.93</v>
      </c>
      <c r="C8960" s="2">
        <f>IFERROR(__xludf.DUMMYFUNCTION("""COMPUTED_VALUE"""),158.09)</f>
        <v>158.09</v>
      </c>
      <c r="D8960" s="2">
        <f>IFERROR(__xludf.DUMMYFUNCTION("""COMPUTED_VALUE"""),156.36)</f>
        <v>156.36</v>
      </c>
      <c r="E8960" s="2">
        <f>IFERROR(__xludf.DUMMYFUNCTION("""COMPUTED_VALUE"""),156.5)</f>
        <v>156.5</v>
      </c>
      <c r="F8960" s="2">
        <f>IFERROR(__xludf.DUMMYFUNCTION("""COMPUTED_VALUE"""),4199688.0)</f>
        <v>4199688</v>
      </c>
    </row>
    <row r="8961">
      <c r="A8961" s="3">
        <f>IFERROR(__xludf.DUMMYFUNCTION("""COMPUTED_VALUE"""),42195.66666666667)</f>
        <v>42195.66667</v>
      </c>
      <c r="B8961" s="2">
        <f>IFERROR(__xludf.DUMMYFUNCTION("""COMPUTED_VALUE"""),158.23)</f>
        <v>158.23</v>
      </c>
      <c r="C8961" s="2">
        <f>IFERROR(__xludf.DUMMYFUNCTION("""COMPUTED_VALUE"""),159.89)</f>
        <v>159.89</v>
      </c>
      <c r="D8961" s="2">
        <f>IFERROR(__xludf.DUMMYFUNCTION("""COMPUTED_VALUE"""),158.09)</f>
        <v>158.09</v>
      </c>
      <c r="E8961" s="2">
        <f>IFERROR(__xludf.DUMMYFUNCTION("""COMPUTED_VALUE"""),159.46)</f>
        <v>159.46</v>
      </c>
      <c r="F8961" s="2">
        <f>IFERROR(__xludf.DUMMYFUNCTION("""COMPUTED_VALUE"""),4538349.0)</f>
        <v>4538349</v>
      </c>
    </row>
    <row r="8962">
      <c r="A8962" s="3">
        <f>IFERROR(__xludf.DUMMYFUNCTION("""COMPUTED_VALUE"""),42198.66666666667)</f>
        <v>42198.66667</v>
      </c>
      <c r="B8962" s="2">
        <f>IFERROR(__xludf.DUMMYFUNCTION("""COMPUTED_VALUE"""),160.4)</f>
        <v>160.4</v>
      </c>
      <c r="C8962" s="2">
        <f>IFERROR(__xludf.DUMMYFUNCTION("""COMPUTED_VALUE"""),162.27)</f>
        <v>162.27</v>
      </c>
      <c r="D8962" s="2">
        <f>IFERROR(__xludf.DUMMYFUNCTION("""COMPUTED_VALUE"""),160.01)</f>
        <v>160.01</v>
      </c>
      <c r="E8962" s="2">
        <f>IFERROR(__xludf.DUMMYFUNCTION("""COMPUTED_VALUE"""),161.79)</f>
        <v>161.79</v>
      </c>
      <c r="F8962" s="2">
        <f>IFERROR(__xludf.DUMMYFUNCTION("""COMPUTED_VALUE"""),4228963.0)</f>
        <v>4228963</v>
      </c>
    </row>
    <row r="8963">
      <c r="A8963" s="3">
        <f>IFERROR(__xludf.DUMMYFUNCTION("""COMPUTED_VALUE"""),42199.66666666667)</f>
        <v>42199.66667</v>
      </c>
      <c r="B8963" s="2">
        <f>IFERROR(__xludf.DUMMYFUNCTION("""COMPUTED_VALUE"""),161.83)</f>
        <v>161.83</v>
      </c>
      <c r="C8963" s="2">
        <f>IFERROR(__xludf.DUMMYFUNCTION("""COMPUTED_VALUE"""),161.94)</f>
        <v>161.94</v>
      </c>
      <c r="D8963" s="2">
        <f>IFERROR(__xludf.DUMMYFUNCTION("""COMPUTED_VALUE"""),160.7)</f>
        <v>160.7</v>
      </c>
      <c r="E8963" s="2">
        <f>IFERROR(__xludf.DUMMYFUNCTION("""COMPUTED_VALUE"""),161.05)</f>
        <v>161.05</v>
      </c>
      <c r="F8963" s="2">
        <f>IFERROR(__xludf.DUMMYFUNCTION("""COMPUTED_VALUE"""),3025263.0)</f>
        <v>3025263</v>
      </c>
    </row>
    <row r="8964">
      <c r="A8964" s="3">
        <f>IFERROR(__xludf.DUMMYFUNCTION("""COMPUTED_VALUE"""),42200.66666666667)</f>
        <v>42200.66667</v>
      </c>
      <c r="B8964" s="2">
        <f>IFERROR(__xludf.DUMMYFUNCTION("""COMPUTED_VALUE"""),160.93)</f>
        <v>160.93</v>
      </c>
      <c r="C8964" s="2">
        <f>IFERROR(__xludf.DUMMYFUNCTION("""COMPUTED_VALUE"""),161.68)</f>
        <v>161.68</v>
      </c>
      <c r="D8964" s="2">
        <f>IFERROR(__xludf.DUMMYFUNCTION("""COMPUTED_VALUE"""),160.47)</f>
        <v>160.47</v>
      </c>
      <c r="E8964" s="2">
        <f>IFERROR(__xludf.DUMMYFUNCTION("""COMPUTED_VALUE"""),160.97)</f>
        <v>160.97</v>
      </c>
      <c r="F8964" s="2">
        <f>IFERROR(__xludf.DUMMYFUNCTION("""COMPUTED_VALUE"""),1997829.0)</f>
        <v>1997829</v>
      </c>
    </row>
    <row r="8965">
      <c r="A8965" s="3">
        <f>IFERROR(__xludf.DUMMYFUNCTION("""COMPUTED_VALUE"""),42201.66666666667)</f>
        <v>42201.66667</v>
      </c>
      <c r="B8965" s="2">
        <f>IFERROR(__xludf.DUMMYFUNCTION("""COMPUTED_VALUE"""),161.87)</f>
        <v>161.87</v>
      </c>
      <c r="C8965" s="2">
        <f>IFERROR(__xludf.DUMMYFUNCTION("""COMPUTED_VALUE"""),163.42)</f>
        <v>163.42</v>
      </c>
      <c r="D8965" s="2">
        <f>IFERROR(__xludf.DUMMYFUNCTION("""COMPUTED_VALUE"""),161.58)</f>
        <v>161.58</v>
      </c>
      <c r="E8965" s="2">
        <f>IFERROR(__xludf.DUMMYFUNCTION("""COMPUTED_VALUE"""),163.33)</f>
        <v>163.33</v>
      </c>
      <c r="F8965" s="2">
        <f>IFERROR(__xludf.DUMMYFUNCTION("""COMPUTED_VALUE"""),3529851.0)</f>
        <v>3529851</v>
      </c>
    </row>
    <row r="8966">
      <c r="A8966" s="3">
        <f>IFERROR(__xludf.DUMMYFUNCTION("""COMPUTED_VALUE"""),42202.66666666667)</f>
        <v>42202.66667</v>
      </c>
      <c r="B8966" s="2">
        <f>IFERROR(__xludf.DUMMYFUNCTION("""COMPUTED_VALUE"""),162.69)</f>
        <v>162.69</v>
      </c>
      <c r="C8966" s="2">
        <f>IFERROR(__xludf.DUMMYFUNCTION("""COMPUTED_VALUE"""),164.78)</f>
        <v>164.78</v>
      </c>
      <c r="D8966" s="2">
        <f>IFERROR(__xludf.DUMMYFUNCTION("""COMPUTED_VALUE"""),162.47)</f>
        <v>162.47</v>
      </c>
      <c r="E8966" s="2">
        <f>IFERROR(__xludf.DUMMYFUNCTION("""COMPUTED_VALUE"""),164.78)</f>
        <v>164.78</v>
      </c>
      <c r="F8966" s="2">
        <f>IFERROR(__xludf.DUMMYFUNCTION("""COMPUTED_VALUE"""),4356399.0)</f>
        <v>4356399</v>
      </c>
    </row>
    <row r="8967">
      <c r="A8967" s="3">
        <f>IFERROR(__xludf.DUMMYFUNCTION("""COMPUTED_VALUE"""),42205.66666666667)</f>
        <v>42205.66667</v>
      </c>
      <c r="B8967" s="2">
        <f>IFERROR(__xludf.DUMMYFUNCTION("""COMPUTED_VALUE"""),165.04)</f>
        <v>165.04</v>
      </c>
      <c r="C8967" s="2">
        <f>IFERROR(__xludf.DUMMYFUNCTION("""COMPUTED_VALUE"""),165.99)</f>
        <v>165.99</v>
      </c>
      <c r="D8967" s="2">
        <f>IFERROR(__xludf.DUMMYFUNCTION("""COMPUTED_VALUE"""),164.42)</f>
        <v>164.42</v>
      </c>
      <c r="E8967" s="2">
        <f>IFERROR(__xludf.DUMMYFUNCTION("""COMPUTED_VALUE"""),165.45)</f>
        <v>165.45</v>
      </c>
      <c r="F8967" s="2">
        <f>IFERROR(__xludf.DUMMYFUNCTION("""COMPUTED_VALUE"""),7340702.0)</f>
        <v>7340702</v>
      </c>
    </row>
    <row r="8968">
      <c r="A8968" s="3">
        <f>IFERROR(__xludf.DUMMYFUNCTION("""COMPUTED_VALUE"""),42206.66666666667)</f>
        <v>42206.66667</v>
      </c>
      <c r="B8968" s="2">
        <f>IFERROR(__xludf.DUMMYFUNCTION("""COMPUTED_VALUE"""),156.97)</f>
        <v>156.97</v>
      </c>
      <c r="C8968" s="2">
        <f>IFERROR(__xludf.DUMMYFUNCTION("""COMPUTED_VALUE"""),158.89)</f>
        <v>158.89</v>
      </c>
      <c r="D8968" s="2">
        <f>IFERROR(__xludf.DUMMYFUNCTION("""COMPUTED_VALUE"""),154.76)</f>
        <v>154.76</v>
      </c>
      <c r="E8968" s="2">
        <f>IFERROR(__xludf.DUMMYFUNCTION("""COMPUTED_VALUE"""),155.76)</f>
        <v>155.76</v>
      </c>
      <c r="F8968" s="2">
        <f>IFERROR(__xludf.DUMMYFUNCTION("""COMPUTED_VALUE"""),1.3749901E7)</f>
        <v>13749901</v>
      </c>
    </row>
    <row r="8969">
      <c r="A8969" s="3">
        <f>IFERROR(__xludf.DUMMYFUNCTION("""COMPUTED_VALUE"""),42207.66666666667)</f>
        <v>42207.66667</v>
      </c>
      <c r="B8969" s="2">
        <f>IFERROR(__xludf.DUMMYFUNCTION("""COMPUTED_VALUE"""),155.43)</f>
        <v>155.43</v>
      </c>
      <c r="C8969" s="2">
        <f>IFERROR(__xludf.DUMMYFUNCTION("""COMPUTED_VALUE"""),155.76)</f>
        <v>155.76</v>
      </c>
      <c r="D8969" s="2">
        <f>IFERROR(__xludf.DUMMYFUNCTION("""COMPUTED_VALUE"""),152.54)</f>
        <v>152.54</v>
      </c>
      <c r="E8969" s="2">
        <f>IFERROR(__xludf.DUMMYFUNCTION("""COMPUTED_VALUE"""),153.16)</f>
        <v>153.16</v>
      </c>
      <c r="F8969" s="2">
        <f>IFERROR(__xludf.DUMMYFUNCTION("""COMPUTED_VALUE"""),7180390.0)</f>
        <v>7180390</v>
      </c>
    </row>
    <row r="8970">
      <c r="A8970" s="3">
        <f>IFERROR(__xludf.DUMMYFUNCTION("""COMPUTED_VALUE"""),42208.66666666667)</f>
        <v>42208.66667</v>
      </c>
      <c r="B8970" s="2">
        <f>IFERROR(__xludf.DUMMYFUNCTION("""COMPUTED_VALUE"""),153.08)</f>
        <v>153.08</v>
      </c>
      <c r="C8970" s="2">
        <f>IFERROR(__xludf.DUMMYFUNCTION("""COMPUTED_VALUE"""),155.45)</f>
        <v>155.45</v>
      </c>
      <c r="D8970" s="2">
        <f>IFERROR(__xludf.DUMMYFUNCTION("""COMPUTED_VALUE"""),152.66)</f>
        <v>152.66</v>
      </c>
      <c r="E8970" s="2">
        <f>IFERROR(__xludf.DUMMYFUNCTION("""COMPUTED_VALUE"""),154.48)</f>
        <v>154.48</v>
      </c>
      <c r="F8970" s="2">
        <f>IFERROR(__xludf.DUMMYFUNCTION("""COMPUTED_VALUE"""),5032440.0)</f>
        <v>5032440</v>
      </c>
    </row>
    <row r="8971">
      <c r="A8971" s="3">
        <f>IFERROR(__xludf.DUMMYFUNCTION("""COMPUTED_VALUE"""),42209.66666666667)</f>
        <v>42209.66667</v>
      </c>
      <c r="B8971" s="2">
        <f>IFERROR(__xludf.DUMMYFUNCTION("""COMPUTED_VALUE"""),154.06)</f>
        <v>154.06</v>
      </c>
      <c r="C8971" s="2">
        <f>IFERROR(__xludf.DUMMYFUNCTION("""COMPUTED_VALUE"""),154.67)</f>
        <v>154.67</v>
      </c>
      <c r="D8971" s="2">
        <f>IFERROR(__xludf.DUMMYFUNCTION("""COMPUTED_VALUE"""),152.26)</f>
        <v>152.26</v>
      </c>
      <c r="E8971" s="2">
        <f>IFERROR(__xludf.DUMMYFUNCTION("""COMPUTED_VALUE"""),152.59)</f>
        <v>152.59</v>
      </c>
      <c r="F8971" s="2">
        <f>IFERROR(__xludf.DUMMYFUNCTION("""COMPUTED_VALUE"""),3777831.0)</f>
        <v>3777831</v>
      </c>
    </row>
    <row r="8972">
      <c r="A8972" s="3">
        <f>IFERROR(__xludf.DUMMYFUNCTION("""COMPUTED_VALUE"""),42212.66666666667)</f>
        <v>42212.66667</v>
      </c>
      <c r="B8972" s="2">
        <f>IFERROR(__xludf.DUMMYFUNCTION("""COMPUTED_VALUE"""),151.87)</f>
        <v>151.87</v>
      </c>
      <c r="C8972" s="2">
        <f>IFERROR(__xludf.DUMMYFUNCTION("""COMPUTED_VALUE"""),153.0)</f>
        <v>153</v>
      </c>
      <c r="D8972" s="2">
        <f>IFERROR(__xludf.DUMMYFUNCTION("""COMPUTED_VALUE"""),151.49)</f>
        <v>151.49</v>
      </c>
      <c r="E8972" s="2">
        <f>IFERROR(__xludf.DUMMYFUNCTION("""COMPUTED_VALUE"""),151.94)</f>
        <v>151.94</v>
      </c>
      <c r="F8972" s="2">
        <f>IFERROR(__xludf.DUMMYFUNCTION("""COMPUTED_VALUE"""),3705576.0)</f>
        <v>3705576</v>
      </c>
    </row>
    <row r="8973">
      <c r="A8973" s="3">
        <f>IFERROR(__xludf.DUMMYFUNCTION("""COMPUTED_VALUE"""),42213.66666666667)</f>
        <v>42213.66667</v>
      </c>
      <c r="B8973" s="2">
        <f>IFERROR(__xludf.DUMMYFUNCTION("""COMPUTED_VALUE"""),152.74)</f>
        <v>152.74</v>
      </c>
      <c r="C8973" s="2">
        <f>IFERROR(__xludf.DUMMYFUNCTION("""COMPUTED_VALUE"""),153.01)</f>
        <v>153.01</v>
      </c>
      <c r="D8973" s="2">
        <f>IFERROR(__xludf.DUMMYFUNCTION("""COMPUTED_VALUE"""),151.39)</f>
        <v>151.39</v>
      </c>
      <c r="E8973" s="2">
        <f>IFERROR(__xludf.DUMMYFUNCTION("""COMPUTED_VALUE"""),152.87)</f>
        <v>152.87</v>
      </c>
      <c r="F8973" s="2">
        <f>IFERROR(__xludf.DUMMYFUNCTION("""COMPUTED_VALUE"""),2720890.0)</f>
        <v>2720890</v>
      </c>
    </row>
    <row r="8974">
      <c r="A8974" s="3">
        <f>IFERROR(__xludf.DUMMYFUNCTION("""COMPUTED_VALUE"""),42214.66666666667)</f>
        <v>42214.66667</v>
      </c>
      <c r="B8974" s="2">
        <f>IFERROR(__xludf.DUMMYFUNCTION("""COMPUTED_VALUE"""),152.83)</f>
        <v>152.83</v>
      </c>
      <c r="C8974" s="2">
        <f>IFERROR(__xludf.DUMMYFUNCTION("""COMPUTED_VALUE"""),154.26)</f>
        <v>154.26</v>
      </c>
      <c r="D8974" s="2">
        <f>IFERROR(__xludf.DUMMYFUNCTION("""COMPUTED_VALUE"""),152.24)</f>
        <v>152.24</v>
      </c>
      <c r="E8974" s="2">
        <f>IFERROR(__xludf.DUMMYFUNCTION("""COMPUTED_VALUE"""),153.87)</f>
        <v>153.87</v>
      </c>
      <c r="F8974" s="2">
        <f>IFERROR(__xludf.DUMMYFUNCTION("""COMPUTED_VALUE"""),3378396.0)</f>
        <v>3378396</v>
      </c>
    </row>
    <row r="8975">
      <c r="A8975" s="3">
        <f>IFERROR(__xludf.DUMMYFUNCTION("""COMPUTED_VALUE"""),42215.66666666667)</f>
        <v>42215.66667</v>
      </c>
      <c r="B8975" s="2">
        <f>IFERROR(__xludf.DUMMYFUNCTION("""COMPUTED_VALUE"""),153.3)</f>
        <v>153.3</v>
      </c>
      <c r="C8975" s="2">
        <f>IFERROR(__xludf.DUMMYFUNCTION("""COMPUTED_VALUE"""),154.16)</f>
        <v>154.16</v>
      </c>
      <c r="D8975" s="2">
        <f>IFERROR(__xludf.DUMMYFUNCTION("""COMPUTED_VALUE"""),152.59)</f>
        <v>152.59</v>
      </c>
      <c r="E8975" s="2">
        <f>IFERROR(__xludf.DUMMYFUNCTION("""COMPUTED_VALUE"""),153.74)</f>
        <v>153.74</v>
      </c>
      <c r="F8975" s="2">
        <f>IFERROR(__xludf.DUMMYFUNCTION("""COMPUTED_VALUE"""),1994660.0)</f>
        <v>1994660</v>
      </c>
    </row>
    <row r="8976">
      <c r="A8976" s="3">
        <f>IFERROR(__xludf.DUMMYFUNCTION("""COMPUTED_VALUE"""),42216.66666666667)</f>
        <v>42216.66667</v>
      </c>
      <c r="B8976" s="2">
        <f>IFERROR(__xludf.DUMMYFUNCTION("""COMPUTED_VALUE"""),154.16)</f>
        <v>154.16</v>
      </c>
      <c r="C8976" s="2">
        <f>IFERROR(__xludf.DUMMYFUNCTION("""COMPUTED_VALUE"""),154.79)</f>
        <v>154.79</v>
      </c>
      <c r="D8976" s="2">
        <f>IFERROR(__xludf.DUMMYFUNCTION("""COMPUTED_VALUE"""),153.43)</f>
        <v>153.43</v>
      </c>
      <c r="E8976" s="2">
        <f>IFERROR(__xludf.DUMMYFUNCTION("""COMPUTED_VALUE"""),154.73)</f>
        <v>154.73</v>
      </c>
      <c r="F8976" s="2">
        <f>IFERROR(__xludf.DUMMYFUNCTION("""COMPUTED_VALUE"""),3580225.0)</f>
        <v>3580225</v>
      </c>
    </row>
    <row r="8977">
      <c r="A8977" s="3">
        <f>IFERROR(__xludf.DUMMYFUNCTION("""COMPUTED_VALUE"""),42219.66666666667)</f>
        <v>42219.66667</v>
      </c>
      <c r="B8977" s="2">
        <f>IFERROR(__xludf.DUMMYFUNCTION("""COMPUTED_VALUE"""),154.45)</f>
        <v>154.45</v>
      </c>
      <c r="C8977" s="2">
        <f>IFERROR(__xludf.DUMMYFUNCTION("""COMPUTED_VALUE"""),154.59)</f>
        <v>154.59</v>
      </c>
      <c r="D8977" s="2">
        <f>IFERROR(__xludf.DUMMYFUNCTION("""COMPUTED_VALUE"""),150.82)</f>
        <v>150.82</v>
      </c>
      <c r="E8977" s="2">
        <f>IFERROR(__xludf.DUMMYFUNCTION("""COMPUTED_VALUE"""),151.59)</f>
        <v>151.59</v>
      </c>
      <c r="F8977" s="2">
        <f>IFERROR(__xludf.DUMMYFUNCTION("""COMPUTED_VALUE"""),4615511.0)</f>
        <v>4615511</v>
      </c>
    </row>
    <row r="8978">
      <c r="A8978" s="3">
        <f>IFERROR(__xludf.DUMMYFUNCTION("""COMPUTED_VALUE"""),42220.66666666667)</f>
        <v>42220.66667</v>
      </c>
      <c r="B8978" s="2">
        <f>IFERROR(__xludf.DUMMYFUNCTION("""COMPUTED_VALUE"""),151.3)</f>
        <v>151.3</v>
      </c>
      <c r="C8978" s="2">
        <f>IFERROR(__xludf.DUMMYFUNCTION("""COMPUTED_VALUE"""),151.7)</f>
        <v>151.7</v>
      </c>
      <c r="D8978" s="2">
        <f>IFERROR(__xludf.DUMMYFUNCTION("""COMPUTED_VALUE"""),149.84)</f>
        <v>149.84</v>
      </c>
      <c r="E8978" s="2">
        <f>IFERROR(__xludf.DUMMYFUNCTION("""COMPUTED_VALUE"""),150.53)</f>
        <v>150.53</v>
      </c>
      <c r="F8978" s="2">
        <f>IFERROR(__xludf.DUMMYFUNCTION("""COMPUTED_VALUE"""),5260241.0)</f>
        <v>5260241</v>
      </c>
    </row>
    <row r="8979">
      <c r="A8979" s="3">
        <f>IFERROR(__xludf.DUMMYFUNCTION("""COMPUTED_VALUE"""),42221.66666666667)</f>
        <v>42221.66667</v>
      </c>
      <c r="B8979" s="2">
        <f>IFERROR(__xludf.DUMMYFUNCTION("""COMPUTED_VALUE"""),151.97)</f>
        <v>151.97</v>
      </c>
      <c r="C8979" s="2">
        <f>IFERROR(__xludf.DUMMYFUNCTION("""COMPUTED_VALUE"""),152.39)</f>
        <v>152.39</v>
      </c>
      <c r="D8979" s="2">
        <f>IFERROR(__xludf.DUMMYFUNCTION("""COMPUTED_VALUE"""),150.42)</f>
        <v>150.42</v>
      </c>
      <c r="E8979" s="2">
        <f>IFERROR(__xludf.DUMMYFUNCTION("""COMPUTED_VALUE"""),150.82)</f>
        <v>150.82</v>
      </c>
      <c r="F8979" s="2">
        <f>IFERROR(__xludf.DUMMYFUNCTION("""COMPUTED_VALUE"""),3472210.0)</f>
        <v>3472210</v>
      </c>
    </row>
    <row r="8980">
      <c r="A8980" s="3">
        <f>IFERROR(__xludf.DUMMYFUNCTION("""COMPUTED_VALUE"""),42222.66666666667)</f>
        <v>42222.66667</v>
      </c>
      <c r="B8980" s="2">
        <f>IFERROR(__xludf.DUMMYFUNCTION("""COMPUTED_VALUE"""),150.08)</f>
        <v>150.08</v>
      </c>
      <c r="C8980" s="2">
        <f>IFERROR(__xludf.DUMMYFUNCTION("""COMPUTED_VALUE"""),150.48)</f>
        <v>150.48</v>
      </c>
      <c r="D8980" s="2">
        <f>IFERROR(__xludf.DUMMYFUNCTION("""COMPUTED_VALUE"""),149.18)</f>
        <v>149.18</v>
      </c>
      <c r="E8980" s="2">
        <f>IFERROR(__xludf.DUMMYFUNCTION("""COMPUTED_VALUE"""),149.31)</f>
        <v>149.31</v>
      </c>
      <c r="F8980" s="2">
        <f>IFERROR(__xludf.DUMMYFUNCTION("""COMPUTED_VALUE"""),3004487.0)</f>
        <v>3004487</v>
      </c>
    </row>
    <row r="8981">
      <c r="A8981" s="3">
        <f>IFERROR(__xludf.DUMMYFUNCTION("""COMPUTED_VALUE"""),42223.66666666667)</f>
        <v>42223.66667</v>
      </c>
      <c r="B8981" s="2">
        <f>IFERROR(__xludf.DUMMYFUNCTION("""COMPUTED_VALUE"""),148.9)</f>
        <v>148.9</v>
      </c>
      <c r="C8981" s="2">
        <f>IFERROR(__xludf.DUMMYFUNCTION("""COMPUTED_VALUE"""),149.24)</f>
        <v>149.24</v>
      </c>
      <c r="D8981" s="2">
        <f>IFERROR(__xludf.DUMMYFUNCTION("""COMPUTED_VALUE"""),147.42)</f>
        <v>147.42</v>
      </c>
      <c r="E8981" s="2">
        <f>IFERROR(__xludf.DUMMYFUNCTION("""COMPUTED_VALUE"""),148.17)</f>
        <v>148.17</v>
      </c>
      <c r="F8981" s="2">
        <f>IFERROR(__xludf.DUMMYFUNCTION("""COMPUTED_VALUE"""),3794652.0)</f>
        <v>3794652</v>
      </c>
    </row>
    <row r="8982">
      <c r="A8982" s="3">
        <f>IFERROR(__xludf.DUMMYFUNCTION("""COMPUTED_VALUE"""),42226.66666666667)</f>
        <v>42226.66667</v>
      </c>
      <c r="B8982" s="2">
        <f>IFERROR(__xludf.DUMMYFUNCTION("""COMPUTED_VALUE"""),149.74)</f>
        <v>149.74</v>
      </c>
      <c r="C8982" s="2">
        <f>IFERROR(__xludf.DUMMYFUNCTION("""COMPUTED_VALUE"""),150.41)</f>
        <v>150.41</v>
      </c>
      <c r="D8982" s="2">
        <f>IFERROR(__xludf.DUMMYFUNCTION("""COMPUTED_VALUE"""),149.12)</f>
        <v>149.12</v>
      </c>
      <c r="E8982" s="2">
        <f>IFERROR(__xludf.DUMMYFUNCTION("""COMPUTED_VALUE"""),149.72)</f>
        <v>149.72</v>
      </c>
      <c r="F8982" s="2">
        <f>IFERROR(__xludf.DUMMYFUNCTION("""COMPUTED_VALUE"""),4613371.0)</f>
        <v>4613371</v>
      </c>
    </row>
    <row r="8983">
      <c r="A8983" s="3">
        <f>IFERROR(__xludf.DUMMYFUNCTION("""COMPUTED_VALUE"""),42227.66666666667)</f>
        <v>42227.66667</v>
      </c>
      <c r="B8983" s="2">
        <f>IFERROR(__xludf.DUMMYFUNCTION("""COMPUTED_VALUE"""),148.97)</f>
        <v>148.97</v>
      </c>
      <c r="C8983" s="2">
        <f>IFERROR(__xludf.DUMMYFUNCTION("""COMPUTED_VALUE"""),149.0)</f>
        <v>149</v>
      </c>
      <c r="D8983" s="2">
        <f>IFERROR(__xludf.DUMMYFUNCTION("""COMPUTED_VALUE"""),147.92)</f>
        <v>147.92</v>
      </c>
      <c r="E8983" s="2">
        <f>IFERROR(__xludf.DUMMYFUNCTION("""COMPUTED_VALUE"""),148.54)</f>
        <v>148.54</v>
      </c>
      <c r="F8983" s="2">
        <f>IFERROR(__xludf.DUMMYFUNCTION("""COMPUTED_VALUE"""),3167051.0)</f>
        <v>3167051</v>
      </c>
    </row>
    <row r="8984">
      <c r="A8984" s="3">
        <f>IFERROR(__xludf.DUMMYFUNCTION("""COMPUTED_VALUE"""),42228.66666666667)</f>
        <v>42228.66667</v>
      </c>
      <c r="B8984" s="2">
        <f>IFERROR(__xludf.DUMMYFUNCTION("""COMPUTED_VALUE"""),147.34)</f>
        <v>147.34</v>
      </c>
      <c r="C8984" s="2">
        <f>IFERROR(__xludf.DUMMYFUNCTION("""COMPUTED_VALUE"""),149.5)</f>
        <v>149.5</v>
      </c>
      <c r="D8984" s="2">
        <f>IFERROR(__xludf.DUMMYFUNCTION("""COMPUTED_VALUE"""),147.05)</f>
        <v>147.05</v>
      </c>
      <c r="E8984" s="2">
        <f>IFERROR(__xludf.DUMMYFUNCTION("""COMPUTED_VALUE"""),149.16)</f>
        <v>149.16</v>
      </c>
      <c r="F8984" s="2">
        <f>IFERROR(__xludf.DUMMYFUNCTION("""COMPUTED_VALUE"""),3624842.0)</f>
        <v>3624842</v>
      </c>
    </row>
    <row r="8985">
      <c r="A8985" s="3">
        <f>IFERROR(__xludf.DUMMYFUNCTION("""COMPUTED_VALUE"""),42229.66666666667)</f>
        <v>42229.66667</v>
      </c>
      <c r="B8985" s="2">
        <f>IFERROR(__xludf.DUMMYFUNCTION("""COMPUTED_VALUE"""),149.06)</f>
        <v>149.06</v>
      </c>
      <c r="C8985" s="2">
        <f>IFERROR(__xludf.DUMMYFUNCTION("""COMPUTED_VALUE"""),149.09)</f>
        <v>149.09</v>
      </c>
      <c r="D8985" s="2">
        <f>IFERROR(__xludf.DUMMYFUNCTION("""COMPUTED_VALUE"""),147.4)</f>
        <v>147.4</v>
      </c>
      <c r="E8985" s="2">
        <f>IFERROR(__xludf.DUMMYFUNCTION("""COMPUTED_VALUE"""),148.12)</f>
        <v>148.12</v>
      </c>
      <c r="F8985" s="2">
        <f>IFERROR(__xludf.DUMMYFUNCTION("""COMPUTED_VALUE"""),2533318.0)</f>
        <v>2533318</v>
      </c>
    </row>
    <row r="8986">
      <c r="A8986" s="3">
        <f>IFERROR(__xludf.DUMMYFUNCTION("""COMPUTED_VALUE"""),42230.66666666667)</f>
        <v>42230.66667</v>
      </c>
      <c r="B8986" s="2">
        <f>IFERROR(__xludf.DUMMYFUNCTION("""COMPUTED_VALUE"""),148.05)</f>
        <v>148.05</v>
      </c>
      <c r="C8986" s="2">
        <f>IFERROR(__xludf.DUMMYFUNCTION("""COMPUTED_VALUE"""),149.21)</f>
        <v>149.21</v>
      </c>
      <c r="D8986" s="2">
        <f>IFERROR(__xludf.DUMMYFUNCTION("""COMPUTED_VALUE"""),147.65)</f>
        <v>147.65</v>
      </c>
      <c r="E8986" s="2">
        <f>IFERROR(__xludf.DUMMYFUNCTION("""COMPUTED_VALUE"""),148.77)</f>
        <v>148.77</v>
      </c>
      <c r="F8986" s="2">
        <f>IFERROR(__xludf.DUMMYFUNCTION("""COMPUTED_VALUE"""),3223734.0)</f>
        <v>3223734</v>
      </c>
    </row>
    <row r="8987">
      <c r="A8987" s="3">
        <f>IFERROR(__xludf.DUMMYFUNCTION("""COMPUTED_VALUE"""),42233.66666666667)</f>
        <v>42233.66667</v>
      </c>
      <c r="B8987" s="2">
        <f>IFERROR(__xludf.DUMMYFUNCTION("""COMPUTED_VALUE"""),148.24)</f>
        <v>148.24</v>
      </c>
      <c r="C8987" s="2">
        <f>IFERROR(__xludf.DUMMYFUNCTION("""COMPUTED_VALUE"""),149.66)</f>
        <v>149.66</v>
      </c>
      <c r="D8987" s="2">
        <f>IFERROR(__xludf.DUMMYFUNCTION("""COMPUTED_VALUE"""),147.76)</f>
        <v>147.76</v>
      </c>
      <c r="E8987" s="2">
        <f>IFERROR(__xludf.DUMMYFUNCTION("""COMPUTED_VALUE"""),149.3)</f>
        <v>149.3</v>
      </c>
      <c r="F8987" s="2">
        <f>IFERROR(__xludf.DUMMYFUNCTION("""COMPUTED_VALUE"""),2249424.0)</f>
        <v>2249424</v>
      </c>
    </row>
    <row r="8988">
      <c r="A8988" s="3">
        <f>IFERROR(__xludf.DUMMYFUNCTION("""COMPUTED_VALUE"""),42234.66666666667)</f>
        <v>42234.66667</v>
      </c>
      <c r="B8988" s="2">
        <f>IFERROR(__xludf.DUMMYFUNCTION("""COMPUTED_VALUE"""),148.54)</f>
        <v>148.54</v>
      </c>
      <c r="C8988" s="2">
        <f>IFERROR(__xludf.DUMMYFUNCTION("""COMPUTED_VALUE"""),149.5)</f>
        <v>149.5</v>
      </c>
      <c r="D8988" s="2">
        <f>IFERROR(__xludf.DUMMYFUNCTION("""COMPUTED_VALUE"""),148.29)</f>
        <v>148.29</v>
      </c>
      <c r="E8988" s="2">
        <f>IFERROR(__xludf.DUMMYFUNCTION("""COMPUTED_VALUE"""),149.02)</f>
        <v>149.02</v>
      </c>
      <c r="F8988" s="2">
        <f>IFERROR(__xludf.DUMMYFUNCTION("""COMPUTED_VALUE"""),2018337.0)</f>
        <v>2018337</v>
      </c>
    </row>
    <row r="8989">
      <c r="A8989" s="3">
        <f>IFERROR(__xludf.DUMMYFUNCTION("""COMPUTED_VALUE"""),42235.66666666667)</f>
        <v>42235.66667</v>
      </c>
      <c r="B8989" s="2">
        <f>IFERROR(__xludf.DUMMYFUNCTION("""COMPUTED_VALUE"""),148.19)</f>
        <v>148.19</v>
      </c>
      <c r="C8989" s="2">
        <f>IFERROR(__xludf.DUMMYFUNCTION("""COMPUTED_VALUE"""),148.69)</f>
        <v>148.69</v>
      </c>
      <c r="D8989" s="2">
        <f>IFERROR(__xludf.DUMMYFUNCTION("""COMPUTED_VALUE"""),146.53)</f>
        <v>146.53</v>
      </c>
      <c r="E8989" s="2">
        <f>IFERROR(__xludf.DUMMYFUNCTION("""COMPUTED_VALUE"""),147.04)</f>
        <v>147.04</v>
      </c>
      <c r="F8989" s="2">
        <f>IFERROR(__xludf.DUMMYFUNCTION("""COMPUTED_VALUE"""),4206005.0)</f>
        <v>4206005</v>
      </c>
    </row>
    <row r="8990">
      <c r="A8990" s="3">
        <f>IFERROR(__xludf.DUMMYFUNCTION("""COMPUTED_VALUE"""),42236.66666666667)</f>
        <v>42236.66667</v>
      </c>
      <c r="B8990" s="2">
        <f>IFERROR(__xludf.DUMMYFUNCTION("""COMPUTED_VALUE"""),145.89)</f>
        <v>145.89</v>
      </c>
      <c r="C8990" s="2">
        <f>IFERROR(__xludf.DUMMYFUNCTION("""COMPUTED_VALUE"""),147.01)</f>
        <v>147.01</v>
      </c>
      <c r="D8990" s="2">
        <f>IFERROR(__xludf.DUMMYFUNCTION("""COMPUTED_VALUE"""),145.66)</f>
        <v>145.66</v>
      </c>
      <c r="E8990" s="2">
        <f>IFERROR(__xludf.DUMMYFUNCTION("""COMPUTED_VALUE"""),145.82)</f>
        <v>145.82</v>
      </c>
      <c r="F8990" s="2">
        <f>IFERROR(__xludf.DUMMYFUNCTION("""COMPUTED_VALUE"""),3988485.0)</f>
        <v>3988485</v>
      </c>
    </row>
    <row r="8991">
      <c r="A8991" s="3">
        <f>IFERROR(__xludf.DUMMYFUNCTION("""COMPUTED_VALUE"""),42237.66666666667)</f>
        <v>42237.66667</v>
      </c>
      <c r="B8991" s="2">
        <f>IFERROR(__xludf.DUMMYFUNCTION("""COMPUTED_VALUE"""),144.71)</f>
        <v>144.71</v>
      </c>
      <c r="C8991" s="2">
        <f>IFERROR(__xludf.DUMMYFUNCTION("""COMPUTED_VALUE"""),146.32)</f>
        <v>146.32</v>
      </c>
      <c r="D8991" s="2">
        <f>IFERROR(__xludf.DUMMYFUNCTION("""COMPUTED_VALUE"""),142.03)</f>
        <v>142.03</v>
      </c>
      <c r="E8991" s="2">
        <f>IFERROR(__xludf.DUMMYFUNCTION("""COMPUTED_VALUE"""),142.18)</f>
        <v>142.18</v>
      </c>
      <c r="F8991" s="2">
        <f>IFERROR(__xludf.DUMMYFUNCTION("""COMPUTED_VALUE"""),7360972.0)</f>
        <v>7360972</v>
      </c>
    </row>
    <row r="8992">
      <c r="A8992" s="3">
        <f>IFERROR(__xludf.DUMMYFUNCTION("""COMPUTED_VALUE"""),42240.66666666667)</f>
        <v>42240.66667</v>
      </c>
      <c r="B8992" s="2">
        <f>IFERROR(__xludf.DUMMYFUNCTION("""COMPUTED_VALUE"""),137.04)</f>
        <v>137.04</v>
      </c>
      <c r="C8992" s="2">
        <f>IFERROR(__xludf.DUMMYFUNCTION("""COMPUTED_VALUE"""),141.14)</f>
        <v>141.14</v>
      </c>
      <c r="D8992" s="2">
        <f>IFERROR(__xludf.DUMMYFUNCTION("""COMPUTED_VALUE"""),135.94)</f>
        <v>135.94</v>
      </c>
      <c r="E8992" s="2">
        <f>IFERROR(__xludf.DUMMYFUNCTION("""COMPUTED_VALUE"""),137.04)</f>
        <v>137.04</v>
      </c>
      <c r="F8992" s="2">
        <f>IFERROR(__xludf.DUMMYFUNCTION("""COMPUTED_VALUE"""),1.0187493E7)</f>
        <v>10187493</v>
      </c>
    </row>
    <row r="8993">
      <c r="A8993" s="3">
        <f>IFERROR(__xludf.DUMMYFUNCTION("""COMPUTED_VALUE"""),42241.66666666667)</f>
        <v>42241.66667</v>
      </c>
      <c r="B8993" s="2">
        <f>IFERROR(__xludf.DUMMYFUNCTION("""COMPUTED_VALUE"""),140.35)</f>
        <v>140.35</v>
      </c>
      <c r="C8993" s="2">
        <f>IFERROR(__xludf.DUMMYFUNCTION("""COMPUTED_VALUE"""),140.51)</f>
        <v>140.51</v>
      </c>
      <c r="D8993" s="2">
        <f>IFERROR(__xludf.DUMMYFUNCTION("""COMPUTED_VALUE"""),134.32)</f>
        <v>134.32</v>
      </c>
      <c r="E8993" s="2">
        <f>IFERROR(__xludf.DUMMYFUNCTION("""COMPUTED_VALUE"""),134.64)</f>
        <v>134.64</v>
      </c>
      <c r="F8993" s="2">
        <f>IFERROR(__xludf.DUMMYFUNCTION("""COMPUTED_VALUE"""),7072279.0)</f>
        <v>7072279</v>
      </c>
    </row>
    <row r="8994">
      <c r="A8994" s="3">
        <f>IFERROR(__xludf.DUMMYFUNCTION("""COMPUTED_VALUE"""),42242.66666666667)</f>
        <v>42242.66667</v>
      </c>
      <c r="B8994" s="2">
        <f>IFERROR(__xludf.DUMMYFUNCTION("""COMPUTED_VALUE"""),137.63)</f>
        <v>137.63</v>
      </c>
      <c r="C8994" s="2">
        <f>IFERROR(__xludf.DUMMYFUNCTION("""COMPUTED_VALUE"""),140.39)</f>
        <v>140.39</v>
      </c>
      <c r="D8994" s="2">
        <f>IFERROR(__xludf.DUMMYFUNCTION("""COMPUTED_VALUE"""),135.77)</f>
        <v>135.77</v>
      </c>
      <c r="E8994" s="2">
        <f>IFERROR(__xludf.DUMMYFUNCTION("""COMPUTED_VALUE"""),140.12)</f>
        <v>140.12</v>
      </c>
      <c r="F8994" s="2">
        <f>IFERROR(__xludf.DUMMYFUNCTION("""COMPUTED_VALUE"""),6221097.0)</f>
        <v>6221097</v>
      </c>
    </row>
    <row r="8995">
      <c r="A8995" s="3">
        <f>IFERROR(__xludf.DUMMYFUNCTION("""COMPUTED_VALUE"""),42243.66666666667)</f>
        <v>42243.66667</v>
      </c>
      <c r="B8995" s="2">
        <f>IFERROR(__xludf.DUMMYFUNCTION("""COMPUTED_VALUE"""),141.84)</f>
        <v>141.84</v>
      </c>
      <c r="C8995" s="2">
        <f>IFERROR(__xludf.DUMMYFUNCTION("""COMPUTED_VALUE"""),142.29)</f>
        <v>142.29</v>
      </c>
      <c r="D8995" s="2">
        <f>IFERROR(__xludf.DUMMYFUNCTION("""COMPUTED_VALUE"""),139.13)</f>
        <v>139.13</v>
      </c>
      <c r="E8995" s="2">
        <f>IFERROR(__xludf.DUMMYFUNCTION("""COMPUTED_VALUE"""),141.88)</f>
        <v>141.88</v>
      </c>
      <c r="F8995" s="2">
        <f>IFERROR(__xludf.DUMMYFUNCTION("""COMPUTED_VALUE"""),4975966.0)</f>
        <v>4975966</v>
      </c>
    </row>
    <row r="8996">
      <c r="A8996" s="3">
        <f>IFERROR(__xludf.DUMMYFUNCTION("""COMPUTED_VALUE"""),42244.66666666667)</f>
        <v>42244.66667</v>
      </c>
      <c r="B8996" s="2">
        <f>IFERROR(__xludf.DUMMYFUNCTION("""COMPUTED_VALUE"""),141.13)</f>
        <v>141.13</v>
      </c>
      <c r="C8996" s="2">
        <f>IFERROR(__xludf.DUMMYFUNCTION("""COMPUTED_VALUE"""),141.56)</f>
        <v>141.56</v>
      </c>
      <c r="D8996" s="2">
        <f>IFERROR(__xludf.DUMMYFUNCTION("""COMPUTED_VALUE"""),140.58)</f>
        <v>140.58</v>
      </c>
      <c r="E8996" s="2">
        <f>IFERROR(__xludf.DUMMYFUNCTION("""COMPUTED_VALUE"""),141.35)</f>
        <v>141.35</v>
      </c>
      <c r="F8996" s="2">
        <f>IFERROR(__xludf.DUMMYFUNCTION("""COMPUTED_VALUE"""),4076211.0)</f>
        <v>4076211</v>
      </c>
    </row>
    <row r="8997">
      <c r="A8997" s="3">
        <f>IFERROR(__xludf.DUMMYFUNCTION("""COMPUTED_VALUE"""),42247.66666666667)</f>
        <v>42247.66667</v>
      </c>
      <c r="B8997" s="2">
        <f>IFERROR(__xludf.DUMMYFUNCTION("""COMPUTED_VALUE"""),140.77)</f>
        <v>140.77</v>
      </c>
      <c r="C8997" s="2">
        <f>IFERROR(__xludf.DUMMYFUNCTION("""COMPUTED_VALUE"""),141.75)</f>
        <v>141.75</v>
      </c>
      <c r="D8997" s="2">
        <f>IFERROR(__xludf.DUMMYFUNCTION("""COMPUTED_VALUE"""),139.7)</f>
        <v>139.7</v>
      </c>
      <c r="E8997" s="2">
        <f>IFERROR(__xludf.DUMMYFUNCTION("""COMPUTED_VALUE"""),141.26)</f>
        <v>141.26</v>
      </c>
      <c r="F8997" s="2">
        <f>IFERROR(__xludf.DUMMYFUNCTION("""COMPUTED_VALUE"""),4093078.0)</f>
        <v>4093078</v>
      </c>
    </row>
    <row r="8998">
      <c r="A8998" s="3">
        <f>IFERROR(__xludf.DUMMYFUNCTION("""COMPUTED_VALUE"""),42248.66666666667)</f>
        <v>42248.66667</v>
      </c>
      <c r="B8998" s="2">
        <f>IFERROR(__xludf.DUMMYFUNCTION("""COMPUTED_VALUE"""),138.41)</f>
        <v>138.41</v>
      </c>
      <c r="C8998" s="2">
        <f>IFERROR(__xludf.DUMMYFUNCTION("""COMPUTED_VALUE"""),138.48)</f>
        <v>138.48</v>
      </c>
      <c r="D8998" s="2">
        <f>IFERROR(__xludf.DUMMYFUNCTION("""COMPUTED_VALUE"""),135.49)</f>
        <v>135.49</v>
      </c>
      <c r="E8998" s="2">
        <f>IFERROR(__xludf.DUMMYFUNCTION("""COMPUTED_VALUE"""),136.28)</f>
        <v>136.28</v>
      </c>
      <c r="F8998" s="2">
        <f>IFERROR(__xludf.DUMMYFUNCTION("""COMPUTED_VALUE"""),5271786.0)</f>
        <v>5271786</v>
      </c>
    </row>
    <row r="8999">
      <c r="A8999" s="3">
        <f>IFERROR(__xludf.DUMMYFUNCTION("""COMPUTED_VALUE"""),42249.66666666667)</f>
        <v>42249.66667</v>
      </c>
      <c r="B8999" s="2">
        <f>IFERROR(__xludf.DUMMYFUNCTION("""COMPUTED_VALUE"""),138.25)</f>
        <v>138.25</v>
      </c>
      <c r="C8999" s="2">
        <f>IFERROR(__xludf.DUMMYFUNCTION("""COMPUTED_VALUE"""),138.58)</f>
        <v>138.58</v>
      </c>
      <c r="D8999" s="2">
        <f>IFERROR(__xludf.DUMMYFUNCTION("""COMPUTED_VALUE"""),136.76)</f>
        <v>136.76</v>
      </c>
      <c r="E8999" s="2">
        <f>IFERROR(__xludf.DUMMYFUNCTION("""COMPUTED_VALUE"""),138.55)</f>
        <v>138.55</v>
      </c>
      <c r="F8999" s="2">
        <f>IFERROR(__xludf.DUMMYFUNCTION("""COMPUTED_VALUE"""),4251878.0)</f>
        <v>4251878</v>
      </c>
    </row>
    <row r="9000">
      <c r="A9000" s="3">
        <f>IFERROR(__xludf.DUMMYFUNCTION("""COMPUTED_VALUE"""),42250.66666666667)</f>
        <v>42250.66667</v>
      </c>
      <c r="B9000" s="2">
        <f>IFERROR(__xludf.DUMMYFUNCTION("""COMPUTED_VALUE"""),139.5)</f>
        <v>139.5</v>
      </c>
      <c r="C9000" s="2">
        <f>IFERROR(__xludf.DUMMYFUNCTION("""COMPUTED_VALUE"""),141.39)</f>
        <v>141.39</v>
      </c>
      <c r="D9000" s="2">
        <f>IFERROR(__xludf.DUMMYFUNCTION("""COMPUTED_VALUE"""),139.23)</f>
        <v>139.23</v>
      </c>
      <c r="E9000" s="2">
        <f>IFERROR(__xludf.DUMMYFUNCTION("""COMPUTED_VALUE"""),140.2)</f>
        <v>140.2</v>
      </c>
      <c r="F9000" s="2">
        <f>IFERROR(__xludf.DUMMYFUNCTION("""COMPUTED_VALUE"""),3603468.0)</f>
        <v>3603468</v>
      </c>
    </row>
    <row r="9001">
      <c r="A9001" s="3">
        <f>IFERROR(__xludf.DUMMYFUNCTION("""COMPUTED_VALUE"""),42251.66666666667)</f>
        <v>42251.66667</v>
      </c>
      <c r="B9001" s="2">
        <f>IFERROR(__xludf.DUMMYFUNCTION("""COMPUTED_VALUE"""),138.09)</f>
        <v>138.09</v>
      </c>
      <c r="C9001" s="2">
        <f>IFERROR(__xludf.DUMMYFUNCTION("""COMPUTED_VALUE"""),138.88)</f>
        <v>138.88</v>
      </c>
      <c r="D9001" s="2">
        <f>IFERROR(__xludf.DUMMYFUNCTION("""COMPUTED_VALUE"""),136.89)</f>
        <v>136.89</v>
      </c>
      <c r="E9001" s="2">
        <f>IFERROR(__xludf.DUMMYFUNCTION("""COMPUTED_VALUE"""),137.26)</f>
        <v>137.26</v>
      </c>
      <c r="F9001" s="2">
        <f>IFERROR(__xludf.DUMMYFUNCTION("""COMPUTED_VALUE"""),4200698.0)</f>
        <v>4200698</v>
      </c>
    </row>
    <row r="9002">
      <c r="A9002" s="3">
        <f>IFERROR(__xludf.DUMMYFUNCTION("""COMPUTED_VALUE"""),42255.66666666667)</f>
        <v>42255.66667</v>
      </c>
      <c r="B9002" s="2">
        <f>IFERROR(__xludf.DUMMYFUNCTION("""COMPUTED_VALUE"""),139.32)</f>
        <v>139.32</v>
      </c>
      <c r="C9002" s="2">
        <f>IFERROR(__xludf.DUMMYFUNCTION("""COMPUTED_VALUE"""),140.73)</f>
        <v>140.73</v>
      </c>
      <c r="D9002" s="2">
        <f>IFERROR(__xludf.DUMMYFUNCTION("""COMPUTED_VALUE"""),139.13)</f>
        <v>139.13</v>
      </c>
      <c r="E9002" s="2">
        <f>IFERROR(__xludf.DUMMYFUNCTION("""COMPUTED_VALUE"""),140.63)</f>
        <v>140.63</v>
      </c>
      <c r="F9002" s="2">
        <f>IFERROR(__xludf.DUMMYFUNCTION("""COMPUTED_VALUE"""),3933010.0)</f>
        <v>3933010</v>
      </c>
    </row>
    <row r="9003">
      <c r="A9003" s="3">
        <f>IFERROR(__xludf.DUMMYFUNCTION("""COMPUTED_VALUE"""),42256.66666666667)</f>
        <v>42256.66667</v>
      </c>
      <c r="B9003" s="2">
        <f>IFERROR(__xludf.DUMMYFUNCTION("""COMPUTED_VALUE"""),142.07)</f>
        <v>142.07</v>
      </c>
      <c r="C9003" s="2">
        <f>IFERROR(__xludf.DUMMYFUNCTION("""COMPUTED_VALUE"""),142.36)</f>
        <v>142.36</v>
      </c>
      <c r="D9003" s="2">
        <f>IFERROR(__xludf.DUMMYFUNCTION("""COMPUTED_VALUE"""),138.36)</f>
        <v>138.36</v>
      </c>
      <c r="E9003" s="2">
        <f>IFERROR(__xludf.DUMMYFUNCTION("""COMPUTED_VALUE"""),138.55)</f>
        <v>138.55</v>
      </c>
      <c r="F9003" s="2">
        <f>IFERROR(__xludf.DUMMYFUNCTION("""COMPUTED_VALUE"""),3407733.0)</f>
        <v>3407733</v>
      </c>
    </row>
    <row r="9004">
      <c r="A9004" s="3">
        <f>IFERROR(__xludf.DUMMYFUNCTION("""COMPUTED_VALUE"""),42257.66666666667)</f>
        <v>42257.66667</v>
      </c>
      <c r="B9004" s="2">
        <f>IFERROR(__xludf.DUMMYFUNCTION("""COMPUTED_VALUE"""),139.31)</f>
        <v>139.31</v>
      </c>
      <c r="C9004" s="2">
        <f>IFERROR(__xludf.DUMMYFUNCTION("""COMPUTED_VALUE"""),140.56)</f>
        <v>140.56</v>
      </c>
      <c r="D9004" s="2">
        <f>IFERROR(__xludf.DUMMYFUNCTION("""COMPUTED_VALUE"""),138.03)</f>
        <v>138.03</v>
      </c>
      <c r="E9004" s="2">
        <f>IFERROR(__xludf.DUMMYFUNCTION("""COMPUTED_VALUE"""),139.64)</f>
        <v>139.64</v>
      </c>
      <c r="F9004" s="2">
        <f>IFERROR(__xludf.DUMMYFUNCTION("""COMPUTED_VALUE"""),3461658.0)</f>
        <v>3461658</v>
      </c>
    </row>
    <row r="9005">
      <c r="A9005" s="3">
        <f>IFERROR(__xludf.DUMMYFUNCTION("""COMPUTED_VALUE"""),42258.66666666667)</f>
        <v>42258.66667</v>
      </c>
      <c r="B9005" s="2">
        <f>IFERROR(__xludf.DUMMYFUNCTION("""COMPUTED_VALUE"""),139.37)</f>
        <v>139.37</v>
      </c>
      <c r="C9005" s="2">
        <f>IFERROR(__xludf.DUMMYFUNCTION("""COMPUTED_VALUE"""),140.89)</f>
        <v>140.89</v>
      </c>
      <c r="D9005" s="2">
        <f>IFERROR(__xludf.DUMMYFUNCTION("""COMPUTED_VALUE"""),139.14)</f>
        <v>139.14</v>
      </c>
      <c r="E9005" s="2">
        <f>IFERROR(__xludf.DUMMYFUNCTION("""COMPUTED_VALUE"""),140.76)</f>
        <v>140.76</v>
      </c>
      <c r="F9005" s="2">
        <f>IFERROR(__xludf.DUMMYFUNCTION("""COMPUTED_VALUE"""),3113953.0)</f>
        <v>3113953</v>
      </c>
    </row>
    <row r="9006">
      <c r="A9006" s="3">
        <f>IFERROR(__xludf.DUMMYFUNCTION("""COMPUTED_VALUE"""),42261.66666666667)</f>
        <v>42261.66667</v>
      </c>
      <c r="B9006" s="2">
        <f>IFERROR(__xludf.DUMMYFUNCTION("""COMPUTED_VALUE"""),140.76)</f>
        <v>140.76</v>
      </c>
      <c r="C9006" s="2">
        <f>IFERROR(__xludf.DUMMYFUNCTION("""COMPUTED_VALUE"""),140.76)</f>
        <v>140.76</v>
      </c>
      <c r="D9006" s="2">
        <f>IFERROR(__xludf.DUMMYFUNCTION("""COMPUTED_VALUE"""),138.89)</f>
        <v>138.89</v>
      </c>
      <c r="E9006" s="2">
        <f>IFERROR(__xludf.DUMMYFUNCTION("""COMPUTED_VALUE"""),139.12)</f>
        <v>139.12</v>
      </c>
      <c r="F9006" s="2">
        <f>IFERROR(__xludf.DUMMYFUNCTION("""COMPUTED_VALUE"""),3226737.0)</f>
        <v>3226737</v>
      </c>
    </row>
    <row r="9007">
      <c r="A9007" s="3">
        <f>IFERROR(__xludf.DUMMYFUNCTION("""COMPUTED_VALUE"""),42262.66666666667)</f>
        <v>42262.66667</v>
      </c>
      <c r="B9007" s="2">
        <f>IFERROR(__xludf.DUMMYFUNCTION("""COMPUTED_VALUE"""),140.03)</f>
        <v>140.03</v>
      </c>
      <c r="C9007" s="2">
        <f>IFERROR(__xludf.DUMMYFUNCTION("""COMPUTED_VALUE"""),141.3)</f>
        <v>141.3</v>
      </c>
      <c r="D9007" s="2">
        <f>IFERROR(__xludf.DUMMYFUNCTION("""COMPUTED_VALUE"""),139.22)</f>
        <v>139.22</v>
      </c>
      <c r="E9007" s="2">
        <f>IFERROR(__xludf.DUMMYFUNCTION("""COMPUTED_VALUE"""),140.92)</f>
        <v>140.92</v>
      </c>
      <c r="F9007" s="2">
        <f>IFERROR(__xludf.DUMMYFUNCTION("""COMPUTED_VALUE"""),2717035.0)</f>
        <v>2717035</v>
      </c>
    </row>
    <row r="9008">
      <c r="A9008" s="3">
        <f>IFERROR(__xludf.DUMMYFUNCTION("""COMPUTED_VALUE"""),42263.66666666667)</f>
        <v>42263.66667</v>
      </c>
      <c r="B9008" s="2">
        <f>IFERROR(__xludf.DUMMYFUNCTION("""COMPUTED_VALUE"""),141.21)</f>
        <v>141.21</v>
      </c>
      <c r="C9008" s="2">
        <f>IFERROR(__xludf.DUMMYFUNCTION("""COMPUTED_VALUE"""),142.21)</f>
        <v>142.21</v>
      </c>
      <c r="D9008" s="2">
        <f>IFERROR(__xludf.DUMMYFUNCTION("""COMPUTED_VALUE"""),140.92)</f>
        <v>140.92</v>
      </c>
      <c r="E9008" s="2">
        <f>IFERROR(__xludf.DUMMYFUNCTION("""COMPUTED_VALUE"""),141.76)</f>
        <v>141.76</v>
      </c>
      <c r="F9008" s="2">
        <f>IFERROR(__xludf.DUMMYFUNCTION("""COMPUTED_VALUE"""),2799233.0)</f>
        <v>2799233</v>
      </c>
    </row>
    <row r="9009">
      <c r="A9009" s="3">
        <f>IFERROR(__xludf.DUMMYFUNCTION("""COMPUTED_VALUE"""),42264.66666666667)</f>
        <v>42264.66667</v>
      </c>
      <c r="B9009" s="2">
        <f>IFERROR(__xludf.DUMMYFUNCTION("""COMPUTED_VALUE"""),141.46)</f>
        <v>141.46</v>
      </c>
      <c r="C9009" s="2">
        <f>IFERROR(__xludf.DUMMYFUNCTION("""COMPUTED_VALUE"""),142.97)</f>
        <v>142.97</v>
      </c>
      <c r="D9009" s="2">
        <f>IFERROR(__xludf.DUMMYFUNCTION("""COMPUTED_VALUE"""),140.7)</f>
        <v>140.7</v>
      </c>
      <c r="E9009" s="2">
        <f>IFERROR(__xludf.DUMMYFUNCTION("""COMPUTED_VALUE"""),141.5)</f>
        <v>141.5</v>
      </c>
      <c r="F9009" s="2">
        <f>IFERROR(__xludf.DUMMYFUNCTION("""COMPUTED_VALUE"""),4002844.0)</f>
        <v>4002844</v>
      </c>
    </row>
    <row r="9010">
      <c r="A9010" s="3">
        <f>IFERROR(__xludf.DUMMYFUNCTION("""COMPUTED_VALUE"""),42265.66666666667)</f>
        <v>42265.66667</v>
      </c>
      <c r="B9010" s="2">
        <f>IFERROR(__xludf.DUMMYFUNCTION("""COMPUTED_VALUE"""),139.5)</f>
        <v>139.5</v>
      </c>
      <c r="C9010" s="2">
        <f>IFERROR(__xludf.DUMMYFUNCTION("""COMPUTED_VALUE"""),139.82)</f>
        <v>139.82</v>
      </c>
      <c r="D9010" s="2">
        <f>IFERROR(__xludf.DUMMYFUNCTION("""COMPUTED_VALUE"""),137.52)</f>
        <v>137.52</v>
      </c>
      <c r="E9010" s="2">
        <f>IFERROR(__xludf.DUMMYFUNCTION("""COMPUTED_VALUE"""),138.03)</f>
        <v>138.03</v>
      </c>
      <c r="F9010" s="2">
        <f>IFERROR(__xludf.DUMMYFUNCTION("""COMPUTED_VALUE"""),7961845.0)</f>
        <v>7961845</v>
      </c>
    </row>
    <row r="9011">
      <c r="A9011" s="3">
        <f>IFERROR(__xludf.DUMMYFUNCTION("""COMPUTED_VALUE"""),42268.66666666667)</f>
        <v>42268.66667</v>
      </c>
      <c r="B9011" s="2">
        <f>IFERROR(__xludf.DUMMYFUNCTION("""COMPUTED_VALUE"""),138.87)</f>
        <v>138.87</v>
      </c>
      <c r="C9011" s="2">
        <f>IFERROR(__xludf.DUMMYFUNCTION("""COMPUTED_VALUE"""),140.39)</f>
        <v>140.39</v>
      </c>
      <c r="D9011" s="2">
        <f>IFERROR(__xludf.DUMMYFUNCTION("""COMPUTED_VALUE"""),138.42)</f>
        <v>138.42</v>
      </c>
      <c r="E9011" s="2">
        <f>IFERROR(__xludf.DUMMYFUNCTION("""COMPUTED_VALUE"""),139.91)</f>
        <v>139.91</v>
      </c>
      <c r="F9011" s="2">
        <f>IFERROR(__xludf.DUMMYFUNCTION("""COMPUTED_VALUE"""),3824861.0)</f>
        <v>3824861</v>
      </c>
    </row>
    <row r="9012">
      <c r="A9012" s="3">
        <f>IFERROR(__xludf.DUMMYFUNCTION("""COMPUTED_VALUE"""),42269.66666666667)</f>
        <v>42269.66667</v>
      </c>
      <c r="B9012" s="2">
        <f>IFERROR(__xludf.DUMMYFUNCTION("""COMPUTED_VALUE"""),138.14)</f>
        <v>138.14</v>
      </c>
      <c r="C9012" s="2">
        <f>IFERROR(__xludf.DUMMYFUNCTION("""COMPUTED_VALUE"""),138.56)</f>
        <v>138.56</v>
      </c>
      <c r="D9012" s="2">
        <f>IFERROR(__xludf.DUMMYFUNCTION("""COMPUTED_VALUE"""),137.32)</f>
        <v>137.32</v>
      </c>
      <c r="E9012" s="2">
        <f>IFERROR(__xludf.DUMMYFUNCTION("""COMPUTED_VALUE"""),137.95)</f>
        <v>137.95</v>
      </c>
      <c r="F9012" s="2">
        <f>IFERROR(__xludf.DUMMYFUNCTION("""COMPUTED_VALUE"""),3564015.0)</f>
        <v>3564015</v>
      </c>
    </row>
    <row r="9013">
      <c r="A9013" s="3">
        <f>IFERROR(__xludf.DUMMYFUNCTION("""COMPUTED_VALUE"""),42270.66666666667)</f>
        <v>42270.66667</v>
      </c>
      <c r="B9013" s="2">
        <f>IFERROR(__xludf.DUMMYFUNCTION("""COMPUTED_VALUE"""),137.74)</f>
        <v>137.74</v>
      </c>
      <c r="C9013" s="2">
        <f>IFERROR(__xludf.DUMMYFUNCTION("""COMPUTED_VALUE"""),138.09)</f>
        <v>138.09</v>
      </c>
      <c r="D9013" s="2">
        <f>IFERROR(__xludf.DUMMYFUNCTION("""COMPUTED_VALUE"""),136.35)</f>
        <v>136.35</v>
      </c>
      <c r="E9013" s="2">
        <f>IFERROR(__xludf.DUMMYFUNCTION("""COMPUTED_VALUE"""),137.22)</f>
        <v>137.22</v>
      </c>
      <c r="F9013" s="2">
        <f>IFERROR(__xludf.DUMMYFUNCTION("""COMPUTED_VALUE"""),2674225.0)</f>
        <v>2674225</v>
      </c>
    </row>
    <row r="9014">
      <c r="A9014" s="3">
        <f>IFERROR(__xludf.DUMMYFUNCTION("""COMPUTED_VALUE"""),42271.66666666667)</f>
        <v>42271.66667</v>
      </c>
      <c r="B9014" s="2">
        <f>IFERROR(__xludf.DUMMYFUNCTION("""COMPUTED_VALUE"""),136.21)</f>
        <v>136.21</v>
      </c>
      <c r="C9014" s="2">
        <f>IFERROR(__xludf.DUMMYFUNCTION("""COMPUTED_VALUE"""),138.57)</f>
        <v>138.57</v>
      </c>
      <c r="D9014" s="2">
        <f>IFERROR(__xludf.DUMMYFUNCTION("""COMPUTED_VALUE"""),135.59)</f>
        <v>135.59</v>
      </c>
      <c r="E9014" s="2">
        <f>IFERROR(__xludf.DUMMYFUNCTION("""COMPUTED_VALUE"""),137.94)</f>
        <v>137.94</v>
      </c>
      <c r="F9014" s="2">
        <f>IFERROR(__xludf.DUMMYFUNCTION("""COMPUTED_VALUE"""),3279338.0)</f>
        <v>3279338</v>
      </c>
    </row>
    <row r="9015">
      <c r="A9015" s="3">
        <f>IFERROR(__xludf.DUMMYFUNCTION("""COMPUTED_VALUE"""),42272.66666666667)</f>
        <v>42272.66667</v>
      </c>
      <c r="B9015" s="2">
        <f>IFERROR(__xludf.DUMMYFUNCTION("""COMPUTED_VALUE"""),139.02)</f>
        <v>139.02</v>
      </c>
      <c r="C9015" s="2">
        <f>IFERROR(__xludf.DUMMYFUNCTION("""COMPUTED_VALUE"""),139.71)</f>
        <v>139.71</v>
      </c>
      <c r="D9015" s="2">
        <f>IFERROR(__xludf.DUMMYFUNCTION("""COMPUTED_VALUE"""),138.05)</f>
        <v>138.05</v>
      </c>
      <c r="E9015" s="2">
        <f>IFERROR(__xludf.DUMMYFUNCTION("""COMPUTED_VALUE"""),138.9)</f>
        <v>138.9</v>
      </c>
      <c r="F9015" s="2">
        <f>IFERROR(__xludf.DUMMYFUNCTION("""COMPUTED_VALUE"""),3474279.0)</f>
        <v>3474279</v>
      </c>
    </row>
    <row r="9016">
      <c r="A9016" s="3">
        <f>IFERROR(__xludf.DUMMYFUNCTION("""COMPUTED_VALUE"""),42275.66666666667)</f>
        <v>42275.66667</v>
      </c>
      <c r="B9016" s="2">
        <f>IFERROR(__xludf.DUMMYFUNCTION("""COMPUTED_VALUE"""),137.94)</f>
        <v>137.94</v>
      </c>
      <c r="C9016" s="2">
        <f>IFERROR(__xludf.DUMMYFUNCTION("""COMPUTED_VALUE"""),138.86)</f>
        <v>138.86</v>
      </c>
      <c r="D9016" s="2">
        <f>IFERROR(__xludf.DUMMYFUNCTION("""COMPUTED_VALUE"""),136.08)</f>
        <v>136.08</v>
      </c>
      <c r="E9016" s="2">
        <f>IFERROR(__xludf.DUMMYFUNCTION("""COMPUTED_VALUE"""),136.13)</f>
        <v>136.13</v>
      </c>
      <c r="F9016" s="2">
        <f>IFERROR(__xludf.DUMMYFUNCTION("""COMPUTED_VALUE"""),4317014.0)</f>
        <v>4317014</v>
      </c>
    </row>
    <row r="9017">
      <c r="A9017" s="3">
        <f>IFERROR(__xludf.DUMMYFUNCTION("""COMPUTED_VALUE"""),42276.66666666667)</f>
        <v>42276.66667</v>
      </c>
      <c r="B9017" s="2">
        <f>IFERROR(__xludf.DUMMYFUNCTION("""COMPUTED_VALUE"""),135.62)</f>
        <v>135.62</v>
      </c>
      <c r="C9017" s="2">
        <f>IFERROR(__xludf.DUMMYFUNCTION("""COMPUTED_VALUE"""),136.26)</f>
        <v>136.26</v>
      </c>
      <c r="D9017" s="2">
        <f>IFERROR(__xludf.DUMMYFUNCTION("""COMPUTED_VALUE"""),134.82)</f>
        <v>134.82</v>
      </c>
      <c r="E9017" s="2">
        <f>IFERROR(__xludf.DUMMYFUNCTION("""COMPUTED_VALUE"""),136.08)</f>
        <v>136.08</v>
      </c>
      <c r="F9017" s="2">
        <f>IFERROR(__xludf.DUMMYFUNCTION("""COMPUTED_VALUE"""),4763509.0)</f>
        <v>4763509</v>
      </c>
    </row>
    <row r="9018">
      <c r="A9018" s="3">
        <f>IFERROR(__xludf.DUMMYFUNCTION("""COMPUTED_VALUE"""),42277.66666666667)</f>
        <v>42277.66667</v>
      </c>
      <c r="B9018" s="2">
        <f>IFERROR(__xludf.DUMMYFUNCTION("""COMPUTED_VALUE"""),137.25)</f>
        <v>137.25</v>
      </c>
      <c r="C9018" s="2">
        <f>IFERROR(__xludf.DUMMYFUNCTION("""COMPUTED_VALUE"""),139.18)</f>
        <v>139.18</v>
      </c>
      <c r="D9018" s="2">
        <f>IFERROR(__xludf.DUMMYFUNCTION("""COMPUTED_VALUE"""),137.22)</f>
        <v>137.22</v>
      </c>
      <c r="E9018" s="2">
        <f>IFERROR(__xludf.DUMMYFUNCTION("""COMPUTED_VALUE"""),138.47)</f>
        <v>138.47</v>
      </c>
      <c r="F9018" s="2">
        <f>IFERROR(__xludf.DUMMYFUNCTION("""COMPUTED_VALUE"""),3946153.0)</f>
        <v>3946153</v>
      </c>
    </row>
    <row r="9019">
      <c r="A9019" s="3">
        <f>IFERROR(__xludf.DUMMYFUNCTION("""COMPUTED_VALUE"""),42278.66666666667)</f>
        <v>42278.66667</v>
      </c>
      <c r="B9019" s="2">
        <f>IFERROR(__xludf.DUMMYFUNCTION("""COMPUTED_VALUE"""),138.79)</f>
        <v>138.79</v>
      </c>
      <c r="C9019" s="2">
        <f>IFERROR(__xludf.DUMMYFUNCTION("""COMPUTED_VALUE"""),139.14)</f>
        <v>139.14</v>
      </c>
      <c r="D9019" s="2">
        <f>IFERROR(__xludf.DUMMYFUNCTION("""COMPUTED_VALUE"""),135.24)</f>
        <v>135.24</v>
      </c>
      <c r="E9019" s="2">
        <f>IFERROR(__xludf.DUMMYFUNCTION("""COMPUTED_VALUE"""),137.15)</f>
        <v>137.15</v>
      </c>
      <c r="F9019" s="2">
        <f>IFERROR(__xludf.DUMMYFUNCTION("""COMPUTED_VALUE"""),3880747.0)</f>
        <v>3880747</v>
      </c>
    </row>
    <row r="9020">
      <c r="A9020" s="3">
        <f>IFERROR(__xludf.DUMMYFUNCTION("""COMPUTED_VALUE"""),42279.66666666667)</f>
        <v>42279.66667</v>
      </c>
      <c r="B9020" s="2">
        <f>IFERROR(__xludf.DUMMYFUNCTION("""COMPUTED_VALUE"""),134.73)</f>
        <v>134.73</v>
      </c>
      <c r="C9020" s="2">
        <f>IFERROR(__xludf.DUMMYFUNCTION("""COMPUTED_VALUE"""),138.11)</f>
        <v>138.11</v>
      </c>
      <c r="D9020" s="2">
        <f>IFERROR(__xludf.DUMMYFUNCTION("""COMPUTED_VALUE"""),134.26)</f>
        <v>134.26</v>
      </c>
      <c r="E9020" s="2">
        <f>IFERROR(__xludf.DUMMYFUNCTION("""COMPUTED_VALUE"""),138.1)</f>
        <v>138.1</v>
      </c>
      <c r="F9020" s="2">
        <f>IFERROR(__xludf.DUMMYFUNCTION("""COMPUTED_VALUE"""),3054028.0)</f>
        <v>3054028</v>
      </c>
    </row>
    <row r="9021">
      <c r="A9021" s="3">
        <f>IFERROR(__xludf.DUMMYFUNCTION("""COMPUTED_VALUE"""),42282.66666666667)</f>
        <v>42282.66667</v>
      </c>
      <c r="B9021" s="2">
        <f>IFERROR(__xludf.DUMMYFUNCTION("""COMPUTED_VALUE"""),139.28)</f>
        <v>139.28</v>
      </c>
      <c r="C9021" s="2">
        <f>IFERROR(__xludf.DUMMYFUNCTION("""COMPUTED_VALUE"""),143.17)</f>
        <v>143.17</v>
      </c>
      <c r="D9021" s="2">
        <f>IFERROR(__xludf.DUMMYFUNCTION("""COMPUTED_VALUE"""),139.28)</f>
        <v>139.28</v>
      </c>
      <c r="E9021" s="2">
        <f>IFERROR(__xludf.DUMMYFUNCTION("""COMPUTED_VALUE"""),142.36)</f>
        <v>142.36</v>
      </c>
      <c r="F9021" s="2">
        <f>IFERROR(__xludf.DUMMYFUNCTION("""COMPUTED_VALUE"""),5131669.0)</f>
        <v>5131669</v>
      </c>
    </row>
    <row r="9022">
      <c r="A9022" s="3">
        <f>IFERROR(__xludf.DUMMYFUNCTION("""COMPUTED_VALUE"""),42283.66666666667)</f>
        <v>42283.66667</v>
      </c>
      <c r="B9022" s="2">
        <f>IFERROR(__xludf.DUMMYFUNCTION("""COMPUTED_VALUE"""),142.38)</f>
        <v>142.38</v>
      </c>
      <c r="C9022" s="2">
        <f>IFERROR(__xludf.DUMMYFUNCTION("""COMPUTED_VALUE"""),143.42)</f>
        <v>143.42</v>
      </c>
      <c r="D9022" s="2">
        <f>IFERROR(__xludf.DUMMYFUNCTION("""COMPUTED_VALUE"""),141.83)</f>
        <v>141.83</v>
      </c>
      <c r="E9022" s="2">
        <f>IFERROR(__xludf.DUMMYFUNCTION("""COMPUTED_VALUE"""),142.11)</f>
        <v>142.11</v>
      </c>
      <c r="F9022" s="2">
        <f>IFERROR(__xludf.DUMMYFUNCTION("""COMPUTED_VALUE"""),3018074.0)</f>
        <v>3018074</v>
      </c>
    </row>
    <row r="9023">
      <c r="A9023" s="3">
        <f>IFERROR(__xludf.DUMMYFUNCTION("""COMPUTED_VALUE"""),42284.66666666667)</f>
        <v>42284.66667</v>
      </c>
      <c r="B9023" s="2">
        <f>IFERROR(__xludf.DUMMYFUNCTION("""COMPUTED_VALUE"""),143.31)</f>
        <v>143.31</v>
      </c>
      <c r="C9023" s="2">
        <f>IFERROR(__xludf.DUMMYFUNCTION("""COMPUTED_VALUE"""),143.97)</f>
        <v>143.97</v>
      </c>
      <c r="D9023" s="2">
        <f>IFERROR(__xludf.DUMMYFUNCTION("""COMPUTED_VALUE"""),142.18)</f>
        <v>142.18</v>
      </c>
      <c r="E9023" s="2">
        <f>IFERROR(__xludf.DUMMYFUNCTION("""COMPUTED_VALUE"""),143.36)</f>
        <v>143.36</v>
      </c>
      <c r="F9023" s="2">
        <f>IFERROR(__xludf.DUMMYFUNCTION("""COMPUTED_VALUE"""),2989915.0)</f>
        <v>2989915</v>
      </c>
    </row>
    <row r="9024">
      <c r="A9024" s="3">
        <f>IFERROR(__xludf.DUMMYFUNCTION("""COMPUTED_VALUE"""),42285.66666666667)</f>
        <v>42285.66667</v>
      </c>
      <c r="B9024" s="2">
        <f>IFERROR(__xludf.DUMMYFUNCTION("""COMPUTED_VALUE"""),142.98)</f>
        <v>142.98</v>
      </c>
      <c r="C9024" s="2">
        <f>IFERROR(__xludf.DUMMYFUNCTION("""COMPUTED_VALUE"""),146.16)</f>
        <v>146.16</v>
      </c>
      <c r="D9024" s="2">
        <f>IFERROR(__xludf.DUMMYFUNCTION("""COMPUTED_VALUE"""),142.6)</f>
        <v>142.6</v>
      </c>
      <c r="E9024" s="2">
        <f>IFERROR(__xludf.DUMMYFUNCTION("""COMPUTED_VALUE"""),145.45)</f>
        <v>145.45</v>
      </c>
      <c r="F9024" s="2">
        <f>IFERROR(__xludf.DUMMYFUNCTION("""COMPUTED_VALUE"""),4794300.0)</f>
        <v>4794300</v>
      </c>
    </row>
    <row r="9025">
      <c r="A9025" s="3">
        <f>IFERROR(__xludf.DUMMYFUNCTION("""COMPUTED_VALUE"""),42286.66666666667)</f>
        <v>42286.66667</v>
      </c>
      <c r="B9025" s="2">
        <f>IFERROR(__xludf.DUMMYFUNCTION("""COMPUTED_VALUE"""),145.62)</f>
        <v>145.62</v>
      </c>
      <c r="C9025" s="2">
        <f>IFERROR(__xludf.DUMMYFUNCTION("""COMPUTED_VALUE"""),146.28)</f>
        <v>146.28</v>
      </c>
      <c r="D9025" s="2">
        <f>IFERROR(__xludf.DUMMYFUNCTION("""COMPUTED_VALUE"""),144.49)</f>
        <v>144.49</v>
      </c>
      <c r="E9025" s="2">
        <f>IFERROR(__xludf.DUMMYFUNCTION("""COMPUTED_VALUE"""),145.56)</f>
        <v>145.56</v>
      </c>
      <c r="F9025" s="2">
        <f>IFERROR(__xludf.DUMMYFUNCTION("""COMPUTED_VALUE"""),3531007.0)</f>
        <v>3531007</v>
      </c>
    </row>
    <row r="9026">
      <c r="A9026" s="3">
        <f>IFERROR(__xludf.DUMMYFUNCTION("""COMPUTED_VALUE"""),42289.66666666667)</f>
        <v>42289.66667</v>
      </c>
      <c r="B9026" s="2">
        <f>IFERROR(__xludf.DUMMYFUNCTION("""COMPUTED_VALUE"""),145.57)</f>
        <v>145.57</v>
      </c>
      <c r="C9026" s="2">
        <f>IFERROR(__xludf.DUMMYFUNCTION("""COMPUTED_VALUE"""),145.74)</f>
        <v>145.74</v>
      </c>
      <c r="D9026" s="2">
        <f>IFERROR(__xludf.DUMMYFUNCTION("""COMPUTED_VALUE"""),144.09)</f>
        <v>144.09</v>
      </c>
      <c r="E9026" s="2">
        <f>IFERROR(__xludf.DUMMYFUNCTION("""COMPUTED_VALUE"""),144.36)</f>
        <v>144.36</v>
      </c>
      <c r="F9026" s="2">
        <f>IFERROR(__xludf.DUMMYFUNCTION("""COMPUTED_VALUE"""),3227636.0)</f>
        <v>3227636</v>
      </c>
    </row>
    <row r="9027">
      <c r="A9027" s="3">
        <f>IFERROR(__xludf.DUMMYFUNCTION("""COMPUTED_VALUE"""),42290.66666666667)</f>
        <v>42290.66667</v>
      </c>
      <c r="B9027" s="2">
        <f>IFERROR(__xludf.DUMMYFUNCTION("""COMPUTED_VALUE"""),144.02)</f>
        <v>144.02</v>
      </c>
      <c r="C9027" s="2">
        <f>IFERROR(__xludf.DUMMYFUNCTION("""COMPUTED_VALUE"""),144.02)</f>
        <v>144.02</v>
      </c>
      <c r="D9027" s="2">
        <f>IFERROR(__xludf.DUMMYFUNCTION("""COMPUTED_VALUE"""),142.49)</f>
        <v>142.49</v>
      </c>
      <c r="E9027" s="2">
        <f>IFERROR(__xludf.DUMMYFUNCTION("""COMPUTED_VALUE"""),142.91)</f>
        <v>142.91</v>
      </c>
      <c r="F9027" s="2">
        <f>IFERROR(__xludf.DUMMYFUNCTION("""COMPUTED_VALUE"""),3915707.0)</f>
        <v>3915707</v>
      </c>
    </row>
    <row r="9028">
      <c r="A9028" s="3">
        <f>IFERROR(__xludf.DUMMYFUNCTION("""COMPUTED_VALUE"""),42291.66666666667)</f>
        <v>42291.66667</v>
      </c>
      <c r="B9028" s="2">
        <f>IFERROR(__xludf.DUMMYFUNCTION("""COMPUTED_VALUE"""),142.89)</f>
        <v>142.89</v>
      </c>
      <c r="C9028" s="2">
        <f>IFERROR(__xludf.DUMMYFUNCTION("""COMPUTED_VALUE"""),143.9)</f>
        <v>143.9</v>
      </c>
      <c r="D9028" s="2">
        <f>IFERROR(__xludf.DUMMYFUNCTION("""COMPUTED_VALUE"""),142.34)</f>
        <v>142.34</v>
      </c>
      <c r="E9028" s="2">
        <f>IFERROR(__xludf.DUMMYFUNCTION("""COMPUTED_VALUE"""),143.28)</f>
        <v>143.28</v>
      </c>
      <c r="F9028" s="2">
        <f>IFERROR(__xludf.DUMMYFUNCTION("""COMPUTED_VALUE"""),3352507.0)</f>
        <v>3352507</v>
      </c>
    </row>
    <row r="9029">
      <c r="A9029" s="3">
        <f>IFERROR(__xludf.DUMMYFUNCTION("""COMPUTED_VALUE"""),42292.66666666667)</f>
        <v>42292.66667</v>
      </c>
      <c r="B9029" s="2">
        <f>IFERROR(__xludf.DUMMYFUNCTION("""COMPUTED_VALUE"""),144.14)</f>
        <v>144.14</v>
      </c>
      <c r="C9029" s="2">
        <f>IFERROR(__xludf.DUMMYFUNCTION("""COMPUTED_VALUE"""),144.46)</f>
        <v>144.46</v>
      </c>
      <c r="D9029" s="2">
        <f>IFERROR(__xludf.DUMMYFUNCTION("""COMPUTED_VALUE"""),141.92)</f>
        <v>141.92</v>
      </c>
      <c r="E9029" s="2">
        <f>IFERROR(__xludf.DUMMYFUNCTION("""COMPUTED_VALUE"""),143.36)</f>
        <v>143.36</v>
      </c>
      <c r="F9029" s="2">
        <f>IFERROR(__xludf.DUMMYFUNCTION("""COMPUTED_VALUE"""),3476219.0)</f>
        <v>3476219</v>
      </c>
    </row>
    <row r="9030">
      <c r="A9030" s="3">
        <f>IFERROR(__xludf.DUMMYFUNCTION("""COMPUTED_VALUE"""),42293.66666666667)</f>
        <v>42293.66667</v>
      </c>
      <c r="B9030" s="2">
        <f>IFERROR(__xludf.DUMMYFUNCTION("""COMPUTED_VALUE"""),143.7)</f>
        <v>143.7</v>
      </c>
      <c r="C9030" s="2">
        <f>IFERROR(__xludf.DUMMYFUNCTION("""COMPUTED_VALUE"""),144.42)</f>
        <v>144.42</v>
      </c>
      <c r="D9030" s="2">
        <f>IFERROR(__xludf.DUMMYFUNCTION("""COMPUTED_VALUE"""),142.57)</f>
        <v>142.57</v>
      </c>
      <c r="E9030" s="2">
        <f>IFERROR(__xludf.DUMMYFUNCTION("""COMPUTED_VALUE"""),143.65)</f>
        <v>143.65</v>
      </c>
      <c r="F9030" s="2">
        <f>IFERROR(__xludf.DUMMYFUNCTION("""COMPUTED_VALUE"""),3483599.0)</f>
        <v>3483599</v>
      </c>
    </row>
    <row r="9031">
      <c r="A9031" s="3">
        <f>IFERROR(__xludf.DUMMYFUNCTION("""COMPUTED_VALUE"""),42296.66666666667)</f>
        <v>42296.66667</v>
      </c>
      <c r="B9031" s="2">
        <f>IFERROR(__xludf.DUMMYFUNCTION("""COMPUTED_VALUE"""),143.13)</f>
        <v>143.13</v>
      </c>
      <c r="C9031" s="2">
        <f>IFERROR(__xludf.DUMMYFUNCTION("""COMPUTED_VALUE"""),143.25)</f>
        <v>143.25</v>
      </c>
      <c r="D9031" s="2">
        <f>IFERROR(__xludf.DUMMYFUNCTION("""COMPUTED_VALUE"""),141.73)</f>
        <v>141.73</v>
      </c>
      <c r="E9031" s="2">
        <f>IFERROR(__xludf.DUMMYFUNCTION("""COMPUTED_VALUE"""),142.53)</f>
        <v>142.53</v>
      </c>
      <c r="F9031" s="2">
        <f>IFERROR(__xludf.DUMMYFUNCTION("""COMPUTED_VALUE"""),7928606.0)</f>
        <v>7928606</v>
      </c>
    </row>
    <row r="9032">
      <c r="A9032" s="3">
        <f>IFERROR(__xludf.DUMMYFUNCTION("""COMPUTED_VALUE"""),42297.66666666667)</f>
        <v>42297.66667</v>
      </c>
      <c r="B9032" s="2">
        <f>IFERROR(__xludf.DUMMYFUNCTION("""COMPUTED_VALUE"""),136.1)</f>
        <v>136.1</v>
      </c>
      <c r="C9032" s="2">
        <f>IFERROR(__xludf.DUMMYFUNCTION("""COMPUTED_VALUE"""),136.47)</f>
        <v>136.47</v>
      </c>
      <c r="D9032" s="2">
        <f>IFERROR(__xludf.DUMMYFUNCTION("""COMPUTED_VALUE"""),133.98)</f>
        <v>133.98</v>
      </c>
      <c r="E9032" s="2">
        <f>IFERROR(__xludf.DUMMYFUNCTION("""COMPUTED_VALUE"""),134.33)</f>
        <v>134.33</v>
      </c>
      <c r="F9032" s="2">
        <f>IFERROR(__xludf.DUMMYFUNCTION("""COMPUTED_VALUE"""),1.6000818E7)</f>
        <v>16000818</v>
      </c>
    </row>
    <row r="9033">
      <c r="A9033" s="3">
        <f>IFERROR(__xludf.DUMMYFUNCTION("""COMPUTED_VALUE"""),42298.66666666667)</f>
        <v>42298.66667</v>
      </c>
      <c r="B9033" s="2">
        <f>IFERROR(__xludf.DUMMYFUNCTION("""COMPUTED_VALUE"""),133.96)</f>
        <v>133.96</v>
      </c>
      <c r="C9033" s="2">
        <f>IFERROR(__xludf.DUMMYFUNCTION("""COMPUTED_VALUE"""),136.26)</f>
        <v>136.26</v>
      </c>
      <c r="D9033" s="2">
        <f>IFERROR(__xludf.DUMMYFUNCTION("""COMPUTED_VALUE"""),133.05)</f>
        <v>133.05</v>
      </c>
      <c r="E9033" s="2">
        <f>IFERROR(__xludf.DUMMYFUNCTION("""COMPUTED_VALUE"""),134.6)</f>
        <v>134.6</v>
      </c>
      <c r="F9033" s="2">
        <f>IFERROR(__xludf.DUMMYFUNCTION("""COMPUTED_VALUE"""),7134626.0)</f>
        <v>7134626</v>
      </c>
    </row>
    <row r="9034">
      <c r="A9034" s="3">
        <f>IFERROR(__xludf.DUMMYFUNCTION("""COMPUTED_VALUE"""),42299.66666666667)</f>
        <v>42299.66667</v>
      </c>
      <c r="B9034" s="2">
        <f>IFERROR(__xludf.DUMMYFUNCTION("""COMPUTED_VALUE"""),135.38)</f>
        <v>135.38</v>
      </c>
      <c r="C9034" s="2">
        <f>IFERROR(__xludf.DUMMYFUNCTION("""COMPUTED_VALUE"""),138.57)</f>
        <v>138.57</v>
      </c>
      <c r="D9034" s="2">
        <f>IFERROR(__xludf.DUMMYFUNCTION("""COMPUTED_VALUE"""),135.27)</f>
        <v>135.27</v>
      </c>
      <c r="E9034" s="2">
        <f>IFERROR(__xludf.DUMMYFUNCTION("""COMPUTED_VALUE"""),137.63)</f>
        <v>137.63</v>
      </c>
      <c r="F9034" s="2">
        <f>IFERROR(__xludf.DUMMYFUNCTION("""COMPUTED_VALUE"""),5583085.0)</f>
        <v>5583085</v>
      </c>
    </row>
    <row r="9035">
      <c r="A9035" s="3">
        <f>IFERROR(__xludf.DUMMYFUNCTION("""COMPUTED_VALUE"""),42300.66666666667)</f>
        <v>42300.66667</v>
      </c>
      <c r="B9035" s="2">
        <f>IFERROR(__xludf.DUMMYFUNCTION("""COMPUTED_VALUE"""),138.13)</f>
        <v>138.13</v>
      </c>
      <c r="C9035" s="2">
        <f>IFERROR(__xludf.DUMMYFUNCTION("""COMPUTED_VALUE"""),138.97)</f>
        <v>138.97</v>
      </c>
      <c r="D9035" s="2">
        <f>IFERROR(__xludf.DUMMYFUNCTION("""COMPUTED_VALUE"""),137.26)</f>
        <v>137.26</v>
      </c>
      <c r="E9035" s="2">
        <f>IFERROR(__xludf.DUMMYFUNCTION("""COMPUTED_VALUE"""),138.19)</f>
        <v>138.19</v>
      </c>
      <c r="F9035" s="2">
        <f>IFERROR(__xludf.DUMMYFUNCTION("""COMPUTED_VALUE"""),5369804.0)</f>
        <v>5369804</v>
      </c>
    </row>
    <row r="9036">
      <c r="A9036" s="3">
        <f>IFERROR(__xludf.DUMMYFUNCTION("""COMPUTED_VALUE"""),42303.66666666667)</f>
        <v>42303.66667</v>
      </c>
      <c r="B9036" s="2">
        <f>IFERROR(__xludf.DUMMYFUNCTION("""COMPUTED_VALUE"""),138.26)</f>
        <v>138.26</v>
      </c>
      <c r="C9036" s="2">
        <f>IFERROR(__xludf.DUMMYFUNCTION("""COMPUTED_VALUE"""),138.5)</f>
        <v>138.5</v>
      </c>
      <c r="D9036" s="2">
        <f>IFERROR(__xludf.DUMMYFUNCTION("""COMPUTED_VALUE"""),136.79)</f>
        <v>136.79</v>
      </c>
      <c r="E9036" s="2">
        <f>IFERROR(__xludf.DUMMYFUNCTION("""COMPUTED_VALUE"""),137.22)</f>
        <v>137.22</v>
      </c>
      <c r="F9036" s="2">
        <f>IFERROR(__xludf.DUMMYFUNCTION("""COMPUTED_VALUE"""),3489428.0)</f>
        <v>3489428</v>
      </c>
    </row>
    <row r="9037">
      <c r="A9037" s="3">
        <f>IFERROR(__xludf.DUMMYFUNCTION("""COMPUTED_VALUE"""),42304.66666666667)</f>
        <v>42304.66667</v>
      </c>
      <c r="B9037" s="2">
        <f>IFERROR(__xludf.DUMMYFUNCTION("""COMPUTED_VALUE"""),137.08)</f>
        <v>137.08</v>
      </c>
      <c r="C9037" s="2">
        <f>IFERROR(__xludf.DUMMYFUNCTION("""COMPUTED_VALUE"""),137.38)</f>
        <v>137.38</v>
      </c>
      <c r="D9037" s="2">
        <f>IFERROR(__xludf.DUMMYFUNCTION("""COMPUTED_VALUE"""),131.17)</f>
        <v>131.17</v>
      </c>
      <c r="E9037" s="2">
        <f>IFERROR(__xludf.DUMMYFUNCTION("""COMPUTED_VALUE"""),131.68)</f>
        <v>131.68</v>
      </c>
      <c r="F9037" s="2">
        <f>IFERROR(__xludf.DUMMYFUNCTION("""COMPUTED_VALUE"""),1.5006351E7)</f>
        <v>15006351</v>
      </c>
    </row>
    <row r="9038">
      <c r="A9038" s="3">
        <f>IFERROR(__xludf.DUMMYFUNCTION("""COMPUTED_VALUE"""),42305.66666666667)</f>
        <v>42305.66667</v>
      </c>
      <c r="B9038" s="2">
        <f>IFERROR(__xludf.DUMMYFUNCTION("""COMPUTED_VALUE"""),131.74)</f>
        <v>131.74</v>
      </c>
      <c r="C9038" s="2">
        <f>IFERROR(__xludf.DUMMYFUNCTION("""COMPUTED_VALUE"""),134.9)</f>
        <v>134.9</v>
      </c>
      <c r="D9038" s="2">
        <f>IFERROR(__xludf.DUMMYFUNCTION("""COMPUTED_VALUE"""),131.34)</f>
        <v>131.34</v>
      </c>
      <c r="E9038" s="2">
        <f>IFERROR(__xludf.DUMMYFUNCTION("""COMPUTED_VALUE"""),134.52)</f>
        <v>134.52</v>
      </c>
      <c r="F9038" s="2">
        <f>IFERROR(__xludf.DUMMYFUNCTION("""COMPUTED_VALUE"""),8510027.0)</f>
        <v>8510027</v>
      </c>
    </row>
    <row r="9039">
      <c r="A9039" s="3">
        <f>IFERROR(__xludf.DUMMYFUNCTION("""COMPUTED_VALUE"""),42306.66666666667)</f>
        <v>42306.66667</v>
      </c>
      <c r="B9039" s="2">
        <f>IFERROR(__xludf.DUMMYFUNCTION("""COMPUTED_VALUE"""),134.07)</f>
        <v>134.07</v>
      </c>
      <c r="C9039" s="2">
        <f>IFERROR(__xludf.DUMMYFUNCTION("""COMPUTED_VALUE"""),134.51)</f>
        <v>134.51</v>
      </c>
      <c r="D9039" s="2">
        <f>IFERROR(__xludf.DUMMYFUNCTION("""COMPUTED_VALUE"""),132.79)</f>
        <v>132.79</v>
      </c>
      <c r="E9039" s="2">
        <f>IFERROR(__xludf.DUMMYFUNCTION("""COMPUTED_VALUE"""),134.25)</f>
        <v>134.25</v>
      </c>
      <c r="F9039" s="2">
        <f>IFERROR(__xludf.DUMMYFUNCTION("""COMPUTED_VALUE"""),3710345.0)</f>
        <v>3710345</v>
      </c>
    </row>
    <row r="9040">
      <c r="A9040" s="3">
        <f>IFERROR(__xludf.DUMMYFUNCTION("""COMPUTED_VALUE"""),42307.66666666667)</f>
        <v>42307.66667</v>
      </c>
      <c r="B9040" s="2">
        <f>IFERROR(__xludf.DUMMYFUNCTION("""COMPUTED_VALUE"""),134.14)</f>
        <v>134.14</v>
      </c>
      <c r="C9040" s="2">
        <f>IFERROR(__xludf.DUMMYFUNCTION("""COMPUTED_VALUE"""),134.99)</f>
        <v>134.99</v>
      </c>
      <c r="D9040" s="2">
        <f>IFERROR(__xludf.DUMMYFUNCTION("""COMPUTED_VALUE"""),133.63)</f>
        <v>133.63</v>
      </c>
      <c r="E9040" s="2">
        <f>IFERROR(__xludf.DUMMYFUNCTION("""COMPUTED_VALUE"""),133.8)</f>
        <v>133.8</v>
      </c>
      <c r="F9040" s="2">
        <f>IFERROR(__xludf.DUMMYFUNCTION("""COMPUTED_VALUE"""),3983980.0)</f>
        <v>3983980</v>
      </c>
    </row>
    <row r="9041">
      <c r="A9041" s="3">
        <f>IFERROR(__xludf.DUMMYFUNCTION("""COMPUTED_VALUE"""),42310.66666666667)</f>
        <v>42310.66667</v>
      </c>
      <c r="B9041" s="2">
        <f>IFERROR(__xludf.DUMMYFUNCTION("""COMPUTED_VALUE"""),134.2)</f>
        <v>134.2</v>
      </c>
      <c r="C9041" s="2">
        <f>IFERROR(__xludf.DUMMYFUNCTION("""COMPUTED_VALUE"""),134.22)</f>
        <v>134.22</v>
      </c>
      <c r="D9041" s="2">
        <f>IFERROR(__xludf.DUMMYFUNCTION("""COMPUTED_VALUE"""),133.31)</f>
        <v>133.31</v>
      </c>
      <c r="E9041" s="2">
        <f>IFERROR(__xludf.DUMMYFUNCTION("""COMPUTED_VALUE"""),134.08)</f>
        <v>134.08</v>
      </c>
      <c r="F9041" s="2">
        <f>IFERROR(__xludf.DUMMYFUNCTION("""COMPUTED_VALUE"""),3822212.0)</f>
        <v>3822212</v>
      </c>
    </row>
    <row r="9042">
      <c r="A9042" s="3">
        <f>IFERROR(__xludf.DUMMYFUNCTION("""COMPUTED_VALUE"""),42311.66666666667)</f>
        <v>42311.66667</v>
      </c>
      <c r="B9042" s="2">
        <f>IFERROR(__xludf.DUMMYFUNCTION("""COMPUTED_VALUE"""),133.74)</f>
        <v>133.74</v>
      </c>
      <c r="C9042" s="2">
        <f>IFERROR(__xludf.DUMMYFUNCTION("""COMPUTED_VALUE"""),136.4)</f>
        <v>136.4</v>
      </c>
      <c r="D9042" s="2">
        <f>IFERROR(__xludf.DUMMYFUNCTION("""COMPUTED_VALUE"""),133.63)</f>
        <v>133.63</v>
      </c>
      <c r="E9042" s="2">
        <f>IFERROR(__xludf.DUMMYFUNCTION("""COMPUTED_VALUE"""),135.52)</f>
        <v>135.52</v>
      </c>
      <c r="F9042" s="2">
        <f>IFERROR(__xludf.DUMMYFUNCTION("""COMPUTED_VALUE"""),4349317.0)</f>
        <v>4349317</v>
      </c>
    </row>
    <row r="9043">
      <c r="A9043" s="3">
        <f>IFERROR(__xludf.DUMMYFUNCTION("""COMPUTED_VALUE"""),42312.66666666667)</f>
        <v>42312.66667</v>
      </c>
      <c r="B9043" s="2">
        <f>IFERROR(__xludf.DUMMYFUNCTION("""COMPUTED_VALUE"""),136.16)</f>
        <v>136.16</v>
      </c>
      <c r="C9043" s="2">
        <f>IFERROR(__xludf.DUMMYFUNCTION("""COMPUTED_VALUE"""),136.25)</f>
        <v>136.25</v>
      </c>
      <c r="D9043" s="2">
        <f>IFERROR(__xludf.DUMMYFUNCTION("""COMPUTED_VALUE"""),134.96)</f>
        <v>134.96</v>
      </c>
      <c r="E9043" s="2">
        <f>IFERROR(__xludf.DUMMYFUNCTION("""COMPUTED_VALUE"""),135.28)</f>
        <v>135.28</v>
      </c>
      <c r="F9043" s="2">
        <f>IFERROR(__xludf.DUMMYFUNCTION("""COMPUTED_VALUE"""),3516890.0)</f>
        <v>3516890</v>
      </c>
    </row>
    <row r="9044">
      <c r="A9044" s="3">
        <f>IFERROR(__xludf.DUMMYFUNCTION("""COMPUTED_VALUE"""),42313.66666666667)</f>
        <v>42313.66667</v>
      </c>
      <c r="B9044" s="2">
        <f>IFERROR(__xludf.DUMMYFUNCTION("""COMPUTED_VALUE"""),135.26)</f>
        <v>135.26</v>
      </c>
      <c r="C9044" s="2">
        <f>IFERROR(__xludf.DUMMYFUNCTION("""COMPUTED_VALUE"""),136.0)</f>
        <v>136</v>
      </c>
      <c r="D9044" s="2">
        <f>IFERROR(__xludf.DUMMYFUNCTION("""COMPUTED_VALUE"""),133.37)</f>
        <v>133.37</v>
      </c>
      <c r="E9044" s="2">
        <f>IFERROR(__xludf.DUMMYFUNCTION("""COMPUTED_VALUE"""),133.62)</f>
        <v>133.62</v>
      </c>
      <c r="F9044" s="2">
        <f>IFERROR(__xludf.DUMMYFUNCTION("""COMPUTED_VALUE"""),5096447.0)</f>
        <v>5096447</v>
      </c>
    </row>
    <row r="9045">
      <c r="A9045" s="3">
        <f>IFERROR(__xludf.DUMMYFUNCTION("""COMPUTED_VALUE"""),42314.66666666667)</f>
        <v>42314.66667</v>
      </c>
      <c r="B9045" s="2">
        <f>IFERROR(__xludf.DUMMYFUNCTION("""COMPUTED_VALUE"""),132.39)</f>
        <v>132.39</v>
      </c>
      <c r="C9045" s="2">
        <f>IFERROR(__xludf.DUMMYFUNCTION("""COMPUTED_VALUE"""),133.29)</f>
        <v>133.29</v>
      </c>
      <c r="D9045" s="2">
        <f>IFERROR(__xludf.DUMMYFUNCTION("""COMPUTED_VALUE"""),131.69)</f>
        <v>131.69</v>
      </c>
      <c r="E9045" s="2">
        <f>IFERROR(__xludf.DUMMYFUNCTION("""COMPUTED_VALUE"""),132.05)</f>
        <v>132.05</v>
      </c>
      <c r="F9045" s="2">
        <f>IFERROR(__xludf.DUMMYFUNCTION("""COMPUTED_VALUE"""),4744648.0)</f>
        <v>4744648</v>
      </c>
    </row>
    <row r="9046">
      <c r="A9046" s="3">
        <f>IFERROR(__xludf.DUMMYFUNCTION("""COMPUTED_VALUE"""),42317.66666666667)</f>
        <v>42317.66667</v>
      </c>
      <c r="B9046" s="2">
        <f>IFERROR(__xludf.DUMMYFUNCTION("""COMPUTED_VALUE"""),130.97)</f>
        <v>130.97</v>
      </c>
      <c r="C9046" s="2">
        <f>IFERROR(__xludf.DUMMYFUNCTION("""COMPUTED_VALUE"""),131.89)</f>
        <v>131.89</v>
      </c>
      <c r="D9046" s="2">
        <f>IFERROR(__xludf.DUMMYFUNCTION("""COMPUTED_VALUE"""),128.83)</f>
        <v>128.83</v>
      </c>
      <c r="E9046" s="2">
        <f>IFERROR(__xludf.DUMMYFUNCTION("""COMPUTED_VALUE"""),129.24)</f>
        <v>129.24</v>
      </c>
      <c r="F9046" s="2">
        <f>IFERROR(__xludf.DUMMYFUNCTION("""COMPUTED_VALUE"""),8074676.0)</f>
        <v>8074676</v>
      </c>
    </row>
    <row r="9047">
      <c r="A9047" s="3">
        <f>IFERROR(__xludf.DUMMYFUNCTION("""COMPUTED_VALUE"""),42318.66666666667)</f>
        <v>42318.66667</v>
      </c>
      <c r="B9047" s="2">
        <f>IFERROR(__xludf.DUMMYFUNCTION("""COMPUTED_VALUE"""),129.29)</f>
        <v>129.29</v>
      </c>
      <c r="C9047" s="2">
        <f>IFERROR(__xludf.DUMMYFUNCTION("""COMPUTED_VALUE"""),129.65)</f>
        <v>129.65</v>
      </c>
      <c r="D9047" s="2">
        <f>IFERROR(__xludf.DUMMYFUNCTION("""COMPUTED_VALUE"""),128.11)</f>
        <v>128.11</v>
      </c>
      <c r="E9047" s="2">
        <f>IFERROR(__xludf.DUMMYFUNCTION("""COMPUTED_VALUE"""),129.4)</f>
        <v>129.4</v>
      </c>
      <c r="F9047" s="2">
        <f>IFERROR(__xludf.DUMMYFUNCTION("""COMPUTED_VALUE"""),4520387.0)</f>
        <v>4520387</v>
      </c>
    </row>
    <row r="9048">
      <c r="A9048" s="3">
        <f>IFERROR(__xludf.DUMMYFUNCTION("""COMPUTED_VALUE"""),42319.66666666667)</f>
        <v>42319.66667</v>
      </c>
      <c r="B9048" s="2">
        <f>IFERROR(__xludf.DUMMYFUNCTION("""COMPUTED_VALUE"""),129.99)</f>
        <v>129.99</v>
      </c>
      <c r="C9048" s="2">
        <f>IFERROR(__xludf.DUMMYFUNCTION("""COMPUTED_VALUE"""),130.09)</f>
        <v>130.09</v>
      </c>
      <c r="D9048" s="2">
        <f>IFERROR(__xludf.DUMMYFUNCTION("""COMPUTED_VALUE"""),128.47)</f>
        <v>128.47</v>
      </c>
      <c r="E9048" s="2">
        <f>IFERROR(__xludf.DUMMYFUNCTION("""COMPUTED_VALUE"""),128.97)</f>
        <v>128.97</v>
      </c>
      <c r="F9048" s="2">
        <f>IFERROR(__xludf.DUMMYFUNCTION("""COMPUTED_VALUE"""),3164206.0)</f>
        <v>3164206</v>
      </c>
    </row>
    <row r="9049">
      <c r="A9049" s="3">
        <f>IFERROR(__xludf.DUMMYFUNCTION("""COMPUTED_VALUE"""),42320.66666666667)</f>
        <v>42320.66667</v>
      </c>
      <c r="B9049" s="2">
        <f>IFERROR(__xludf.DUMMYFUNCTION("""COMPUTED_VALUE"""),128.66)</f>
        <v>128.66</v>
      </c>
      <c r="C9049" s="2">
        <f>IFERROR(__xludf.DUMMYFUNCTION("""COMPUTED_VALUE"""),128.66)</f>
        <v>128.66</v>
      </c>
      <c r="D9049" s="2">
        <f>IFERROR(__xludf.DUMMYFUNCTION("""COMPUTED_VALUE"""),127.05)</f>
        <v>127.05</v>
      </c>
      <c r="E9049" s="2">
        <f>IFERROR(__xludf.DUMMYFUNCTION("""COMPUTED_VALUE"""),127.08)</f>
        <v>127.08</v>
      </c>
      <c r="F9049" s="2">
        <f>IFERROR(__xludf.DUMMYFUNCTION("""COMPUTED_VALUE"""),4700965.0)</f>
        <v>4700965</v>
      </c>
    </row>
    <row r="9050">
      <c r="A9050" s="3">
        <f>IFERROR(__xludf.DUMMYFUNCTION("""COMPUTED_VALUE"""),42321.66666666667)</f>
        <v>42321.66667</v>
      </c>
      <c r="B9050" s="2">
        <f>IFERROR(__xludf.DUMMYFUNCTION("""COMPUTED_VALUE"""),126.99)</f>
        <v>126.99</v>
      </c>
      <c r="C9050" s="2">
        <f>IFERROR(__xludf.DUMMYFUNCTION("""COMPUTED_VALUE"""),127.04)</f>
        <v>127.04</v>
      </c>
      <c r="D9050" s="2">
        <f>IFERROR(__xludf.DUMMYFUNCTION("""COMPUTED_VALUE"""),125.75)</f>
        <v>125.75</v>
      </c>
      <c r="E9050" s="2">
        <f>IFERROR(__xludf.DUMMYFUNCTION("""COMPUTED_VALUE"""),125.84)</f>
        <v>125.84</v>
      </c>
      <c r="F9050" s="2">
        <f>IFERROR(__xludf.DUMMYFUNCTION("""COMPUTED_VALUE"""),4609721.0)</f>
        <v>4609721</v>
      </c>
    </row>
    <row r="9051">
      <c r="A9051" s="3">
        <f>IFERROR(__xludf.DUMMYFUNCTION("""COMPUTED_VALUE"""),42324.66666666667)</f>
        <v>42324.66667</v>
      </c>
      <c r="B9051" s="2">
        <f>IFERROR(__xludf.DUMMYFUNCTION("""COMPUTED_VALUE"""),125.88)</f>
        <v>125.88</v>
      </c>
      <c r="C9051" s="2">
        <f>IFERROR(__xludf.DUMMYFUNCTION("""COMPUTED_VALUE"""),128.08)</f>
        <v>128.08</v>
      </c>
      <c r="D9051" s="2">
        <f>IFERROR(__xludf.DUMMYFUNCTION("""COMPUTED_VALUE"""),125.88)</f>
        <v>125.88</v>
      </c>
      <c r="E9051" s="2">
        <f>IFERROR(__xludf.DUMMYFUNCTION("""COMPUTED_VALUE"""),127.71)</f>
        <v>127.71</v>
      </c>
      <c r="F9051" s="2">
        <f>IFERROR(__xludf.DUMMYFUNCTION("""COMPUTED_VALUE"""),4190777.0)</f>
        <v>4190777</v>
      </c>
    </row>
    <row r="9052">
      <c r="A9052" s="3">
        <f>IFERROR(__xludf.DUMMYFUNCTION("""COMPUTED_VALUE"""),42325.66666666667)</f>
        <v>42325.66667</v>
      </c>
      <c r="B9052" s="2">
        <f>IFERROR(__xludf.DUMMYFUNCTION("""COMPUTED_VALUE"""),128.2)</f>
        <v>128.2</v>
      </c>
      <c r="C9052" s="2">
        <f>IFERROR(__xludf.DUMMYFUNCTION("""COMPUTED_VALUE"""),128.78)</f>
        <v>128.78</v>
      </c>
      <c r="D9052" s="2">
        <f>IFERROR(__xludf.DUMMYFUNCTION("""COMPUTED_VALUE"""),127.33)</f>
        <v>127.33</v>
      </c>
      <c r="E9052" s="2">
        <f>IFERROR(__xludf.DUMMYFUNCTION("""COMPUTED_VALUE"""),127.82)</f>
        <v>127.82</v>
      </c>
      <c r="F9052" s="2">
        <f>IFERROR(__xludf.DUMMYFUNCTION("""COMPUTED_VALUE"""),2814687.0)</f>
        <v>2814687</v>
      </c>
    </row>
    <row r="9053">
      <c r="A9053" s="3">
        <f>IFERROR(__xludf.DUMMYFUNCTION("""COMPUTED_VALUE"""),42326.66666666667)</f>
        <v>42326.66667</v>
      </c>
      <c r="B9053" s="2">
        <f>IFERROR(__xludf.DUMMYFUNCTION("""COMPUTED_VALUE"""),128.75)</f>
        <v>128.75</v>
      </c>
      <c r="C9053" s="2">
        <f>IFERROR(__xludf.DUMMYFUNCTION("""COMPUTED_VALUE"""),129.82)</f>
        <v>129.82</v>
      </c>
      <c r="D9053" s="2">
        <f>IFERROR(__xludf.DUMMYFUNCTION("""COMPUTED_VALUE"""),128.24)</f>
        <v>128.24</v>
      </c>
      <c r="E9053" s="2">
        <f>IFERROR(__xludf.DUMMYFUNCTION("""COMPUTED_VALUE"""),129.73)</f>
        <v>129.73</v>
      </c>
      <c r="F9053" s="2">
        <f>IFERROR(__xludf.DUMMYFUNCTION("""COMPUTED_VALUE"""),4148781.0)</f>
        <v>4148781</v>
      </c>
    </row>
    <row r="9054">
      <c r="A9054" s="3">
        <f>IFERROR(__xludf.DUMMYFUNCTION("""COMPUTED_VALUE"""),42327.66666666667)</f>
        <v>42327.66667</v>
      </c>
      <c r="B9054" s="2">
        <f>IFERROR(__xludf.DUMMYFUNCTION("""COMPUTED_VALUE"""),130.1)</f>
        <v>130.1</v>
      </c>
      <c r="C9054" s="2">
        <f>IFERROR(__xludf.DUMMYFUNCTION("""COMPUTED_VALUE"""),131.56)</f>
        <v>131.56</v>
      </c>
      <c r="D9054" s="2">
        <f>IFERROR(__xludf.DUMMYFUNCTION("""COMPUTED_VALUE"""),129.91)</f>
        <v>129.91</v>
      </c>
      <c r="E9054" s="2">
        <f>IFERROR(__xludf.DUMMYFUNCTION("""COMPUTED_VALUE"""),130.61)</f>
        <v>130.61</v>
      </c>
      <c r="F9054" s="2">
        <f>IFERROR(__xludf.DUMMYFUNCTION("""COMPUTED_VALUE"""),4753503.0)</f>
        <v>4753503</v>
      </c>
    </row>
    <row r="9055">
      <c r="A9055" s="3">
        <f>IFERROR(__xludf.DUMMYFUNCTION("""COMPUTED_VALUE"""),42328.66666666667)</f>
        <v>42328.66667</v>
      </c>
      <c r="B9055" s="2">
        <f>IFERROR(__xludf.DUMMYFUNCTION("""COMPUTED_VALUE"""),131.21)</f>
        <v>131.21</v>
      </c>
      <c r="C9055" s="2">
        <f>IFERROR(__xludf.DUMMYFUNCTION("""COMPUTED_VALUE"""),132.69)</f>
        <v>132.69</v>
      </c>
      <c r="D9055" s="2">
        <f>IFERROR(__xludf.DUMMYFUNCTION("""COMPUTED_VALUE"""),131.1)</f>
        <v>131.1</v>
      </c>
      <c r="E9055" s="2">
        <f>IFERROR(__xludf.DUMMYFUNCTION("""COMPUTED_VALUE"""),132.29)</f>
        <v>132.29</v>
      </c>
      <c r="F9055" s="2">
        <f>IFERROR(__xludf.DUMMYFUNCTION("""COMPUTED_VALUE"""),5176355.0)</f>
        <v>5176355</v>
      </c>
    </row>
    <row r="9056">
      <c r="A9056" s="3">
        <f>IFERROR(__xludf.DUMMYFUNCTION("""COMPUTED_VALUE"""),42331.66666666667)</f>
        <v>42331.66667</v>
      </c>
      <c r="B9056" s="2">
        <f>IFERROR(__xludf.DUMMYFUNCTION("""COMPUTED_VALUE"""),132.32)</f>
        <v>132.32</v>
      </c>
      <c r="C9056" s="2">
        <f>IFERROR(__xludf.DUMMYFUNCTION("""COMPUTED_VALUE"""),132.64)</f>
        <v>132.64</v>
      </c>
      <c r="D9056" s="2">
        <f>IFERROR(__xludf.DUMMYFUNCTION("""COMPUTED_VALUE"""),130.97)</f>
        <v>130.97</v>
      </c>
      <c r="E9056" s="2">
        <f>IFERROR(__xludf.DUMMYFUNCTION("""COMPUTED_VALUE"""),132.25)</f>
        <v>132.25</v>
      </c>
      <c r="F9056" s="2">
        <f>IFERROR(__xludf.DUMMYFUNCTION("""COMPUTED_VALUE"""),5137922.0)</f>
        <v>5137922</v>
      </c>
    </row>
    <row r="9057">
      <c r="A9057" s="3">
        <f>IFERROR(__xludf.DUMMYFUNCTION("""COMPUTED_VALUE"""),42332.66666666667)</f>
        <v>42332.66667</v>
      </c>
      <c r="B9057" s="2">
        <f>IFERROR(__xludf.DUMMYFUNCTION("""COMPUTED_VALUE"""),131.48)</f>
        <v>131.48</v>
      </c>
      <c r="C9057" s="2">
        <f>IFERROR(__xludf.DUMMYFUNCTION("""COMPUTED_VALUE"""),133.09)</f>
        <v>133.09</v>
      </c>
      <c r="D9057" s="2">
        <f>IFERROR(__xludf.DUMMYFUNCTION("""COMPUTED_VALUE"""),131.15)</f>
        <v>131.15</v>
      </c>
      <c r="E9057" s="2">
        <f>IFERROR(__xludf.DUMMYFUNCTION("""COMPUTED_VALUE"""),132.39)</f>
        <v>132.39</v>
      </c>
      <c r="F9057" s="2">
        <f>IFERROR(__xludf.DUMMYFUNCTION("""COMPUTED_VALUE"""),3407623.0)</f>
        <v>3407623</v>
      </c>
    </row>
    <row r="9058">
      <c r="A9058" s="3">
        <f>IFERROR(__xludf.DUMMYFUNCTION("""COMPUTED_VALUE"""),42333.66666666667)</f>
        <v>42333.66667</v>
      </c>
      <c r="B9058" s="2">
        <f>IFERROR(__xludf.DUMMYFUNCTION("""COMPUTED_VALUE"""),132.17)</f>
        <v>132.17</v>
      </c>
      <c r="C9058" s="2">
        <f>IFERROR(__xludf.DUMMYFUNCTION("""COMPUTED_VALUE"""),132.22)</f>
        <v>132.22</v>
      </c>
      <c r="D9058" s="2">
        <f>IFERROR(__xludf.DUMMYFUNCTION("""COMPUTED_VALUE"""),131.22)</f>
        <v>131.22</v>
      </c>
      <c r="E9058" s="2">
        <f>IFERROR(__xludf.DUMMYFUNCTION("""COMPUTED_VALUE"""),131.81)</f>
        <v>131.81</v>
      </c>
      <c r="F9058" s="2">
        <f>IFERROR(__xludf.DUMMYFUNCTION("""COMPUTED_VALUE"""),3238166.0)</f>
        <v>3238166</v>
      </c>
    </row>
    <row r="9059">
      <c r="A9059" s="3">
        <f>IFERROR(__xludf.DUMMYFUNCTION("""COMPUTED_VALUE"""),42335.66666666667)</f>
        <v>42335.66667</v>
      </c>
      <c r="B9059" s="2">
        <f>IFERROR(__xludf.DUMMYFUNCTION("""COMPUTED_VALUE"""),131.81)</f>
        <v>131.81</v>
      </c>
      <c r="C9059" s="2">
        <f>IFERROR(__xludf.DUMMYFUNCTION("""COMPUTED_VALUE"""),132.59)</f>
        <v>132.59</v>
      </c>
      <c r="D9059" s="2">
        <f>IFERROR(__xludf.DUMMYFUNCTION("""COMPUTED_VALUE"""),131.06)</f>
        <v>131.06</v>
      </c>
      <c r="E9059" s="2">
        <f>IFERROR(__xludf.DUMMYFUNCTION("""COMPUTED_VALUE"""),132.25)</f>
        <v>132.25</v>
      </c>
      <c r="F9059" s="2">
        <f>IFERROR(__xludf.DUMMYFUNCTION("""COMPUTED_VALUE"""),1415840.0)</f>
        <v>1415840</v>
      </c>
    </row>
    <row r="9060">
      <c r="A9060" s="3">
        <f>IFERROR(__xludf.DUMMYFUNCTION("""COMPUTED_VALUE"""),42338.66666666667)</f>
        <v>42338.66667</v>
      </c>
      <c r="B9060" s="2">
        <f>IFERROR(__xludf.DUMMYFUNCTION("""COMPUTED_VALUE"""),132.4)</f>
        <v>132.4</v>
      </c>
      <c r="C9060" s="2">
        <f>IFERROR(__xludf.DUMMYFUNCTION("""COMPUTED_VALUE"""),133.63)</f>
        <v>133.63</v>
      </c>
      <c r="D9060" s="2">
        <f>IFERROR(__xludf.DUMMYFUNCTION("""COMPUTED_VALUE"""),132.31)</f>
        <v>132.31</v>
      </c>
      <c r="E9060" s="2">
        <f>IFERROR(__xludf.DUMMYFUNCTION("""COMPUTED_VALUE"""),133.17)</f>
        <v>133.17</v>
      </c>
      <c r="F9060" s="2">
        <f>IFERROR(__xludf.DUMMYFUNCTION("""COMPUTED_VALUE"""),4545587.0)</f>
        <v>4545587</v>
      </c>
    </row>
    <row r="9061">
      <c r="A9061" s="3">
        <f>IFERROR(__xludf.DUMMYFUNCTION("""COMPUTED_VALUE"""),42339.66666666667)</f>
        <v>42339.66667</v>
      </c>
      <c r="B9061" s="2">
        <f>IFERROR(__xludf.DUMMYFUNCTION("""COMPUTED_VALUE"""),133.32)</f>
        <v>133.32</v>
      </c>
      <c r="C9061" s="2">
        <f>IFERROR(__xludf.DUMMYFUNCTION("""COMPUTED_VALUE"""),135.06)</f>
        <v>135.06</v>
      </c>
      <c r="D9061" s="2">
        <f>IFERROR(__xludf.DUMMYFUNCTION("""COMPUTED_VALUE"""),133.32)</f>
        <v>133.32</v>
      </c>
      <c r="E9061" s="2">
        <f>IFERROR(__xludf.DUMMYFUNCTION("""COMPUTED_VALUE"""),134.95)</f>
        <v>134.95</v>
      </c>
      <c r="F9061" s="2">
        <f>IFERROR(__xludf.DUMMYFUNCTION("""COMPUTED_VALUE"""),4195119.0)</f>
        <v>4195119</v>
      </c>
    </row>
    <row r="9062">
      <c r="A9062" s="3">
        <f>IFERROR(__xludf.DUMMYFUNCTION("""COMPUTED_VALUE"""),42340.66666666667)</f>
        <v>42340.66667</v>
      </c>
      <c r="B9062" s="2">
        <f>IFERROR(__xludf.DUMMYFUNCTION("""COMPUTED_VALUE"""),134.61)</f>
        <v>134.61</v>
      </c>
      <c r="C9062" s="2">
        <f>IFERROR(__xludf.DUMMYFUNCTION("""COMPUTED_VALUE"""),134.88)</f>
        <v>134.88</v>
      </c>
      <c r="D9062" s="2">
        <f>IFERROR(__xludf.DUMMYFUNCTION("""COMPUTED_VALUE"""),133.25)</f>
        <v>133.25</v>
      </c>
      <c r="E9062" s="2">
        <f>IFERROR(__xludf.DUMMYFUNCTION("""COMPUTED_VALUE"""),133.44)</f>
        <v>133.44</v>
      </c>
      <c r="F9062" s="2">
        <f>IFERROR(__xludf.DUMMYFUNCTION("""COMPUTED_VALUE"""),3725343.0)</f>
        <v>3725343</v>
      </c>
    </row>
    <row r="9063">
      <c r="A9063" s="3">
        <f>IFERROR(__xludf.DUMMYFUNCTION("""COMPUTED_VALUE"""),42341.66666666667)</f>
        <v>42341.66667</v>
      </c>
      <c r="B9063" s="2">
        <f>IFERROR(__xludf.DUMMYFUNCTION("""COMPUTED_VALUE"""),133.82)</f>
        <v>133.82</v>
      </c>
      <c r="C9063" s="2">
        <f>IFERROR(__xludf.DUMMYFUNCTION("""COMPUTED_VALUE"""),134.42)</f>
        <v>134.42</v>
      </c>
      <c r="D9063" s="2">
        <f>IFERROR(__xludf.DUMMYFUNCTION("""COMPUTED_VALUE"""),131.99)</f>
        <v>131.99</v>
      </c>
      <c r="E9063" s="2">
        <f>IFERROR(__xludf.DUMMYFUNCTION("""COMPUTED_VALUE"""),132.69)</f>
        <v>132.69</v>
      </c>
      <c r="F9063" s="2">
        <f>IFERROR(__xludf.DUMMYFUNCTION("""COMPUTED_VALUE"""),5906763.0)</f>
        <v>5906763</v>
      </c>
    </row>
    <row r="9064">
      <c r="A9064" s="3">
        <f>IFERROR(__xludf.DUMMYFUNCTION("""COMPUTED_VALUE"""),42342.66666666667)</f>
        <v>42342.66667</v>
      </c>
      <c r="B9064" s="2">
        <f>IFERROR(__xludf.DUMMYFUNCTION("""COMPUTED_VALUE"""),131.9)</f>
        <v>131.9</v>
      </c>
      <c r="C9064" s="2">
        <f>IFERROR(__xludf.DUMMYFUNCTION("""COMPUTED_VALUE"""),134.7)</f>
        <v>134.7</v>
      </c>
      <c r="D9064" s="2">
        <f>IFERROR(__xludf.DUMMYFUNCTION("""COMPUTED_VALUE"""),131.8)</f>
        <v>131.8</v>
      </c>
      <c r="E9064" s="2">
        <f>IFERROR(__xludf.DUMMYFUNCTION("""COMPUTED_VALUE"""),134.13)</f>
        <v>134.13</v>
      </c>
      <c r="F9064" s="2">
        <f>IFERROR(__xludf.DUMMYFUNCTION("""COMPUTED_VALUE"""),4567820.0)</f>
        <v>4567820</v>
      </c>
    </row>
    <row r="9065">
      <c r="A9065" s="3">
        <f>IFERROR(__xludf.DUMMYFUNCTION("""COMPUTED_VALUE"""),42345.66666666667)</f>
        <v>42345.66667</v>
      </c>
      <c r="B9065" s="2">
        <f>IFERROR(__xludf.DUMMYFUNCTION("""COMPUTED_VALUE"""),133.88)</f>
        <v>133.88</v>
      </c>
      <c r="C9065" s="2">
        <f>IFERROR(__xludf.DUMMYFUNCTION("""COMPUTED_VALUE"""),134.11)</f>
        <v>134.11</v>
      </c>
      <c r="D9065" s="2">
        <f>IFERROR(__xludf.DUMMYFUNCTION("""COMPUTED_VALUE"""),132.59)</f>
        <v>132.59</v>
      </c>
      <c r="E9065" s="2">
        <f>IFERROR(__xludf.DUMMYFUNCTION("""COMPUTED_VALUE"""),133.29)</f>
        <v>133.29</v>
      </c>
      <c r="F9065" s="2">
        <f>IFERROR(__xludf.DUMMYFUNCTION("""COMPUTED_VALUE"""),3279300.0)</f>
        <v>3279300</v>
      </c>
    </row>
    <row r="9066">
      <c r="A9066" s="3">
        <f>IFERROR(__xludf.DUMMYFUNCTION("""COMPUTED_VALUE"""),42346.66666666667)</f>
        <v>42346.66667</v>
      </c>
      <c r="B9066" s="2">
        <f>IFERROR(__xludf.DUMMYFUNCTION("""COMPUTED_VALUE"""),132.08)</f>
        <v>132.08</v>
      </c>
      <c r="C9066" s="2">
        <f>IFERROR(__xludf.DUMMYFUNCTION("""COMPUTED_VALUE"""),132.83)</f>
        <v>132.83</v>
      </c>
      <c r="D9066" s="2">
        <f>IFERROR(__xludf.DUMMYFUNCTION("""COMPUTED_VALUE"""),131.36)</f>
        <v>131.36</v>
      </c>
      <c r="E9066" s="2">
        <f>IFERROR(__xludf.DUMMYFUNCTION("""COMPUTED_VALUE"""),131.86)</f>
        <v>131.86</v>
      </c>
      <c r="F9066" s="2">
        <f>IFERROR(__xludf.DUMMYFUNCTION("""COMPUTED_VALUE"""),3904755.0)</f>
        <v>3904755</v>
      </c>
    </row>
    <row r="9067">
      <c r="A9067" s="3">
        <f>IFERROR(__xludf.DUMMYFUNCTION("""COMPUTED_VALUE"""),42347.66666666667)</f>
        <v>42347.66667</v>
      </c>
      <c r="B9067" s="2">
        <f>IFERROR(__xludf.DUMMYFUNCTION("""COMPUTED_VALUE"""),131.22)</f>
        <v>131.22</v>
      </c>
      <c r="C9067" s="2">
        <f>IFERROR(__xludf.DUMMYFUNCTION("""COMPUTED_VALUE"""),133.57)</f>
        <v>133.57</v>
      </c>
      <c r="D9067" s="2">
        <f>IFERROR(__xludf.DUMMYFUNCTION("""COMPUTED_VALUE"""),130.12)</f>
        <v>130.12</v>
      </c>
      <c r="E9067" s="2">
        <f>IFERROR(__xludf.DUMMYFUNCTION("""COMPUTED_VALUE"""),130.48)</f>
        <v>130.48</v>
      </c>
      <c r="F9067" s="2">
        <f>IFERROR(__xludf.DUMMYFUNCTION("""COMPUTED_VALUE"""),4614973.0)</f>
        <v>4614973</v>
      </c>
    </row>
    <row r="9068">
      <c r="A9068" s="3">
        <f>IFERROR(__xludf.DUMMYFUNCTION("""COMPUTED_VALUE"""),42348.66666666667)</f>
        <v>42348.66667</v>
      </c>
      <c r="B9068" s="2">
        <f>IFERROR(__xludf.DUMMYFUNCTION("""COMPUTED_VALUE"""),130.89)</f>
        <v>130.89</v>
      </c>
      <c r="C9068" s="2">
        <f>IFERROR(__xludf.DUMMYFUNCTION("""COMPUTED_VALUE"""),131.67)</f>
        <v>131.67</v>
      </c>
      <c r="D9068" s="2">
        <f>IFERROR(__xludf.DUMMYFUNCTION("""COMPUTED_VALUE"""),129.63)</f>
        <v>129.63</v>
      </c>
      <c r="E9068" s="2">
        <f>IFERROR(__xludf.DUMMYFUNCTION("""COMPUTED_VALUE"""),130.65)</f>
        <v>130.65</v>
      </c>
      <c r="F9068" s="2">
        <f>IFERROR(__xludf.DUMMYFUNCTION("""COMPUTED_VALUE"""),4221948.0)</f>
        <v>4221948</v>
      </c>
    </row>
    <row r="9069">
      <c r="A9069" s="3">
        <f>IFERROR(__xludf.DUMMYFUNCTION("""COMPUTED_VALUE"""),42349.66666666667)</f>
        <v>42349.66667</v>
      </c>
      <c r="B9069" s="2">
        <f>IFERROR(__xludf.DUMMYFUNCTION("""COMPUTED_VALUE"""),129.17)</f>
        <v>129.17</v>
      </c>
      <c r="C9069" s="2">
        <f>IFERROR(__xludf.DUMMYFUNCTION("""COMPUTED_VALUE"""),129.37)</f>
        <v>129.37</v>
      </c>
      <c r="D9069" s="2">
        <f>IFERROR(__xludf.DUMMYFUNCTION("""COMPUTED_VALUE"""),127.91)</f>
        <v>127.91</v>
      </c>
      <c r="E9069" s="2">
        <f>IFERROR(__xludf.DUMMYFUNCTION("""COMPUTED_VALUE"""),128.54)</f>
        <v>128.54</v>
      </c>
      <c r="F9069" s="2">
        <f>IFERROR(__xludf.DUMMYFUNCTION("""COMPUTED_VALUE"""),5333667.0)</f>
        <v>5333667</v>
      </c>
    </row>
    <row r="9070">
      <c r="A9070" s="3">
        <f>IFERROR(__xludf.DUMMYFUNCTION("""COMPUTED_VALUE"""),42352.66666666667)</f>
        <v>42352.66667</v>
      </c>
      <c r="B9070" s="2">
        <f>IFERROR(__xludf.DUMMYFUNCTION("""COMPUTED_VALUE"""),129.24)</f>
        <v>129.24</v>
      </c>
      <c r="C9070" s="2">
        <f>IFERROR(__xludf.DUMMYFUNCTION("""COMPUTED_VALUE"""),130.04)</f>
        <v>130.04</v>
      </c>
      <c r="D9070" s="2">
        <f>IFERROR(__xludf.DUMMYFUNCTION("""COMPUTED_VALUE"""),128.01)</f>
        <v>128.01</v>
      </c>
      <c r="E9070" s="2">
        <f>IFERROR(__xludf.DUMMYFUNCTION("""COMPUTED_VALUE"""),129.84)</f>
        <v>129.84</v>
      </c>
      <c r="F9070" s="2">
        <f>IFERROR(__xludf.DUMMYFUNCTION("""COMPUTED_VALUE"""),5141549.0)</f>
        <v>5141549</v>
      </c>
    </row>
    <row r="9071">
      <c r="A9071" s="3">
        <f>IFERROR(__xludf.DUMMYFUNCTION("""COMPUTED_VALUE"""),42353.66666666667)</f>
        <v>42353.66667</v>
      </c>
      <c r="B9071" s="2">
        <f>IFERROR(__xludf.DUMMYFUNCTION("""COMPUTED_VALUE"""),131.24)</f>
        <v>131.24</v>
      </c>
      <c r="C9071" s="2">
        <f>IFERROR(__xludf.DUMMYFUNCTION("""COMPUTED_VALUE"""),132.74)</f>
        <v>132.74</v>
      </c>
      <c r="D9071" s="2">
        <f>IFERROR(__xludf.DUMMYFUNCTION("""COMPUTED_VALUE"""),131.12)</f>
        <v>131.12</v>
      </c>
      <c r="E9071" s="2">
        <f>IFERROR(__xludf.DUMMYFUNCTION("""COMPUTED_VALUE"""),131.61)</f>
        <v>131.61</v>
      </c>
      <c r="F9071" s="2">
        <f>IFERROR(__xludf.DUMMYFUNCTION("""COMPUTED_VALUE"""),4238516.0)</f>
        <v>4238516</v>
      </c>
    </row>
    <row r="9072">
      <c r="A9072" s="3">
        <f>IFERROR(__xludf.DUMMYFUNCTION("""COMPUTED_VALUE"""),42354.66666666667)</f>
        <v>42354.66667</v>
      </c>
      <c r="B9072" s="2">
        <f>IFERROR(__xludf.DUMMYFUNCTION("""COMPUTED_VALUE"""),132.88)</f>
        <v>132.88</v>
      </c>
      <c r="C9072" s="2">
        <f>IFERROR(__xludf.DUMMYFUNCTION("""COMPUTED_VALUE"""),133.39)</f>
        <v>133.39</v>
      </c>
      <c r="D9072" s="2">
        <f>IFERROR(__xludf.DUMMYFUNCTION("""COMPUTED_VALUE"""),131.61)</f>
        <v>131.61</v>
      </c>
      <c r="E9072" s="2">
        <f>IFERROR(__xludf.DUMMYFUNCTION("""COMPUTED_VALUE"""),133.04)</f>
        <v>133.04</v>
      </c>
      <c r="F9072" s="2">
        <f>IFERROR(__xludf.DUMMYFUNCTION("""COMPUTED_VALUE"""),4345474.0)</f>
        <v>4345474</v>
      </c>
    </row>
    <row r="9073">
      <c r="A9073" s="3">
        <f>IFERROR(__xludf.DUMMYFUNCTION("""COMPUTED_VALUE"""),42355.66666666667)</f>
        <v>42355.66667</v>
      </c>
      <c r="B9073" s="2">
        <f>IFERROR(__xludf.DUMMYFUNCTION("""COMPUTED_VALUE"""),133.1)</f>
        <v>133.1</v>
      </c>
      <c r="C9073" s="2">
        <f>IFERROR(__xludf.DUMMYFUNCTION("""COMPUTED_VALUE"""),133.25)</f>
        <v>133.25</v>
      </c>
      <c r="D9073" s="2">
        <f>IFERROR(__xludf.DUMMYFUNCTION("""COMPUTED_VALUE"""),130.2)</f>
        <v>130.2</v>
      </c>
      <c r="E9073" s="2">
        <f>IFERROR(__xludf.DUMMYFUNCTION("""COMPUTED_VALUE"""),130.62)</f>
        <v>130.62</v>
      </c>
      <c r="F9073" s="2">
        <f>IFERROR(__xludf.DUMMYFUNCTION("""COMPUTED_VALUE"""),4088923.0)</f>
        <v>4088923</v>
      </c>
    </row>
    <row r="9074">
      <c r="A9074" s="3">
        <f>IFERROR(__xludf.DUMMYFUNCTION("""COMPUTED_VALUE"""),42356.66666666667)</f>
        <v>42356.66667</v>
      </c>
      <c r="B9074" s="2">
        <f>IFERROR(__xludf.DUMMYFUNCTION("""COMPUTED_VALUE"""),130.29)</f>
        <v>130.29</v>
      </c>
      <c r="C9074" s="2">
        <f>IFERROR(__xludf.DUMMYFUNCTION("""COMPUTED_VALUE"""),130.82)</f>
        <v>130.82</v>
      </c>
      <c r="D9074" s="2">
        <f>IFERROR(__xludf.DUMMYFUNCTION("""COMPUTED_VALUE"""),128.25)</f>
        <v>128.25</v>
      </c>
      <c r="E9074" s="2">
        <f>IFERROR(__xludf.DUMMYFUNCTION("""COMPUTED_VALUE"""),128.85)</f>
        <v>128.85</v>
      </c>
      <c r="F9074" s="2">
        <f>IFERROR(__xludf.DUMMYFUNCTION("""COMPUTED_VALUE"""),1.000829E7)</f>
        <v>10008290</v>
      </c>
    </row>
    <row r="9075">
      <c r="A9075" s="3">
        <f>IFERROR(__xludf.DUMMYFUNCTION("""COMPUTED_VALUE"""),42359.66666666667)</f>
        <v>42359.66667</v>
      </c>
      <c r="B9075" s="2">
        <f>IFERROR(__xludf.DUMMYFUNCTION("""COMPUTED_VALUE"""),129.74)</f>
        <v>129.74</v>
      </c>
      <c r="C9075" s="2">
        <f>IFERROR(__xludf.DUMMYFUNCTION("""COMPUTED_VALUE"""),129.74)</f>
        <v>129.74</v>
      </c>
      <c r="D9075" s="2">
        <f>IFERROR(__xludf.DUMMYFUNCTION("""COMPUTED_VALUE"""),128.01)</f>
        <v>128.01</v>
      </c>
      <c r="E9075" s="2">
        <f>IFERROR(__xludf.DUMMYFUNCTION("""COMPUTED_VALUE"""),129.42)</f>
        <v>129.42</v>
      </c>
      <c r="F9075" s="2">
        <f>IFERROR(__xludf.DUMMYFUNCTION("""COMPUTED_VALUE"""),5616745.0)</f>
        <v>5616745</v>
      </c>
    </row>
    <row r="9076">
      <c r="A9076" s="3">
        <f>IFERROR(__xludf.DUMMYFUNCTION("""COMPUTED_VALUE"""),42360.66666666667)</f>
        <v>42360.66667</v>
      </c>
      <c r="B9076" s="2">
        <f>IFERROR(__xludf.DUMMYFUNCTION("""COMPUTED_VALUE"""),129.79)</f>
        <v>129.79</v>
      </c>
      <c r="C9076" s="2">
        <f>IFERROR(__xludf.DUMMYFUNCTION("""COMPUTED_VALUE"""),131.99)</f>
        <v>131.99</v>
      </c>
      <c r="D9076" s="2">
        <f>IFERROR(__xludf.DUMMYFUNCTION("""COMPUTED_VALUE"""),129.57)</f>
        <v>129.57</v>
      </c>
      <c r="E9076" s="2">
        <f>IFERROR(__xludf.DUMMYFUNCTION("""COMPUTED_VALUE"""),131.75)</f>
        <v>131.75</v>
      </c>
      <c r="F9076" s="2">
        <f>IFERROR(__xludf.DUMMYFUNCTION("""COMPUTED_VALUE"""),4263688.0)</f>
        <v>4263688</v>
      </c>
    </row>
    <row r="9077">
      <c r="A9077" s="3">
        <f>IFERROR(__xludf.DUMMYFUNCTION("""COMPUTED_VALUE"""),42361.66666666667)</f>
        <v>42361.66667</v>
      </c>
      <c r="B9077" s="2">
        <f>IFERROR(__xludf.DUMMYFUNCTION("""COMPUTED_VALUE"""),132.1)</f>
        <v>132.1</v>
      </c>
      <c r="C9077" s="2">
        <f>IFERROR(__xludf.DUMMYFUNCTION("""COMPUTED_VALUE"""),133.06)</f>
        <v>133.06</v>
      </c>
      <c r="D9077" s="2">
        <f>IFERROR(__xludf.DUMMYFUNCTION("""COMPUTED_VALUE"""),131.92)</f>
        <v>131.92</v>
      </c>
      <c r="E9077" s="2">
        <f>IFERROR(__xludf.DUMMYFUNCTION("""COMPUTED_VALUE"""),132.33)</f>
        <v>132.33</v>
      </c>
      <c r="F9077" s="2">
        <f>IFERROR(__xludf.DUMMYFUNCTION("""COMPUTED_VALUE"""),5164909.0)</f>
        <v>5164909</v>
      </c>
    </row>
    <row r="9078">
      <c r="A9078" s="3">
        <f>IFERROR(__xludf.DUMMYFUNCTION("""COMPUTED_VALUE"""),42362.66666666667)</f>
        <v>42362.66667</v>
      </c>
      <c r="B9078" s="2">
        <f>IFERROR(__xludf.DUMMYFUNCTION("""COMPUTED_VALUE"""),132.22)</f>
        <v>132.22</v>
      </c>
      <c r="C9078" s="2">
        <f>IFERROR(__xludf.DUMMYFUNCTION("""COMPUTED_VALUE"""),132.65)</f>
        <v>132.65</v>
      </c>
      <c r="D9078" s="2">
        <f>IFERROR(__xludf.DUMMYFUNCTION("""COMPUTED_VALUE"""),131.92)</f>
        <v>131.92</v>
      </c>
      <c r="E9078" s="2">
        <f>IFERROR(__xludf.DUMMYFUNCTION("""COMPUTED_VALUE"""),132.05)</f>
        <v>132.05</v>
      </c>
      <c r="F9078" s="2">
        <f>IFERROR(__xludf.DUMMYFUNCTION("""COMPUTED_VALUE"""),1495226.0)</f>
        <v>1495226</v>
      </c>
    </row>
    <row r="9079">
      <c r="A9079" s="3">
        <f>IFERROR(__xludf.DUMMYFUNCTION("""COMPUTED_VALUE"""),42366.66666666667)</f>
        <v>42366.66667</v>
      </c>
      <c r="B9079" s="2">
        <f>IFERROR(__xludf.DUMMYFUNCTION("""COMPUTED_VALUE"""),131.56)</f>
        <v>131.56</v>
      </c>
      <c r="C9079" s="2">
        <f>IFERROR(__xludf.DUMMYFUNCTION("""COMPUTED_VALUE"""),131.86)</f>
        <v>131.86</v>
      </c>
      <c r="D9079" s="2">
        <f>IFERROR(__xludf.DUMMYFUNCTION("""COMPUTED_VALUE"""),130.42)</f>
        <v>130.42</v>
      </c>
      <c r="E9079" s="2">
        <f>IFERROR(__xludf.DUMMYFUNCTION("""COMPUTED_VALUE"""),131.44)</f>
        <v>131.44</v>
      </c>
      <c r="F9079" s="2">
        <f>IFERROR(__xludf.DUMMYFUNCTION("""COMPUTED_VALUE"""),3143412.0)</f>
        <v>3143412</v>
      </c>
    </row>
    <row r="9080">
      <c r="A9080" s="3">
        <f>IFERROR(__xludf.DUMMYFUNCTION("""COMPUTED_VALUE"""),42367.66666666667)</f>
        <v>42367.66667</v>
      </c>
      <c r="B9080" s="2">
        <f>IFERROR(__xludf.DUMMYFUNCTION("""COMPUTED_VALUE"""),132.05)</f>
        <v>132.05</v>
      </c>
      <c r="C9080" s="2">
        <f>IFERROR(__xludf.DUMMYFUNCTION("""COMPUTED_VALUE"""),133.78)</f>
        <v>133.78</v>
      </c>
      <c r="D9080" s="2">
        <f>IFERROR(__xludf.DUMMYFUNCTION("""COMPUTED_VALUE"""),132.0)</f>
        <v>132</v>
      </c>
      <c r="E9080" s="2">
        <f>IFERROR(__xludf.DUMMYFUNCTION("""COMPUTED_VALUE"""),133.51)</f>
        <v>133.51</v>
      </c>
      <c r="F9080" s="2">
        <f>IFERROR(__xludf.DUMMYFUNCTION("""COMPUTED_VALUE"""),3943691.0)</f>
        <v>3943691</v>
      </c>
    </row>
    <row r="9081">
      <c r="A9081" s="3">
        <f>IFERROR(__xludf.DUMMYFUNCTION("""COMPUTED_VALUE"""),42368.66666666667)</f>
        <v>42368.66667</v>
      </c>
      <c r="B9081" s="2">
        <f>IFERROR(__xludf.DUMMYFUNCTION("""COMPUTED_VALUE"""),133.32)</f>
        <v>133.32</v>
      </c>
      <c r="C9081" s="2">
        <f>IFERROR(__xludf.DUMMYFUNCTION("""COMPUTED_VALUE"""),134.14)</f>
        <v>134.14</v>
      </c>
      <c r="D9081" s="2">
        <f>IFERROR(__xludf.DUMMYFUNCTION("""COMPUTED_VALUE"""),132.98)</f>
        <v>132.98</v>
      </c>
      <c r="E9081" s="2">
        <f>IFERROR(__xludf.DUMMYFUNCTION("""COMPUTED_VALUE"""),133.09)</f>
        <v>133.09</v>
      </c>
      <c r="F9081" s="2">
        <f>IFERROR(__xludf.DUMMYFUNCTION("""COMPUTED_VALUE"""),2989367.0)</f>
        <v>2989367</v>
      </c>
    </row>
    <row r="9082">
      <c r="A9082" s="3">
        <f>IFERROR(__xludf.DUMMYFUNCTION("""COMPUTED_VALUE"""),42369.66666666667)</f>
        <v>42369.66667</v>
      </c>
      <c r="B9082" s="2">
        <f>IFERROR(__xludf.DUMMYFUNCTION("""COMPUTED_VALUE"""),132.83)</f>
        <v>132.83</v>
      </c>
      <c r="C9082" s="2">
        <f>IFERROR(__xludf.DUMMYFUNCTION("""COMPUTED_VALUE"""),132.86)</f>
        <v>132.86</v>
      </c>
      <c r="D9082" s="2">
        <f>IFERROR(__xludf.DUMMYFUNCTION("""COMPUTED_VALUE"""),131.4)</f>
        <v>131.4</v>
      </c>
      <c r="E9082" s="2">
        <f>IFERROR(__xludf.DUMMYFUNCTION("""COMPUTED_VALUE"""),131.45)</f>
        <v>131.45</v>
      </c>
      <c r="F9082" s="2">
        <f>IFERROR(__xludf.DUMMYFUNCTION("""COMPUTED_VALUE"""),3462037.0)</f>
        <v>3462037</v>
      </c>
    </row>
    <row r="9083">
      <c r="A9083" s="3">
        <f>IFERROR(__xludf.DUMMYFUNCTION("""COMPUTED_VALUE"""),42373.66666666667)</f>
        <v>42373.66667</v>
      </c>
      <c r="B9083" s="2">
        <f>IFERROR(__xludf.DUMMYFUNCTION("""COMPUTED_VALUE"""),129.52)</f>
        <v>129.52</v>
      </c>
      <c r="C9083" s="2">
        <f>IFERROR(__xludf.DUMMYFUNCTION("""COMPUTED_VALUE"""),129.87)</f>
        <v>129.87</v>
      </c>
      <c r="D9083" s="2">
        <f>IFERROR(__xludf.DUMMYFUNCTION("""COMPUTED_VALUE"""),128.22)</f>
        <v>128.22</v>
      </c>
      <c r="E9083" s="2">
        <f>IFERROR(__xludf.DUMMYFUNCTION("""COMPUTED_VALUE"""),129.85)</f>
        <v>129.85</v>
      </c>
      <c r="F9083" s="2">
        <f>IFERROR(__xludf.DUMMYFUNCTION("""COMPUTED_VALUE"""),5229331.0)</f>
        <v>5229331</v>
      </c>
    </row>
    <row r="9084">
      <c r="A9084" s="3">
        <f>IFERROR(__xludf.DUMMYFUNCTION("""COMPUTED_VALUE"""),42374.66666666667)</f>
        <v>42374.66667</v>
      </c>
      <c r="B9084" s="2">
        <f>IFERROR(__xludf.DUMMYFUNCTION("""COMPUTED_VALUE"""),130.63)</f>
        <v>130.63</v>
      </c>
      <c r="C9084" s="2">
        <f>IFERROR(__xludf.DUMMYFUNCTION("""COMPUTED_VALUE"""),130.75)</f>
        <v>130.75</v>
      </c>
      <c r="D9084" s="2">
        <f>IFERROR(__xludf.DUMMYFUNCTION("""COMPUTED_VALUE"""),128.8)</f>
        <v>128.8</v>
      </c>
      <c r="E9084" s="2">
        <f>IFERROR(__xludf.DUMMYFUNCTION("""COMPUTED_VALUE"""),129.76)</f>
        <v>129.76</v>
      </c>
      <c r="F9084" s="2">
        <f>IFERROR(__xludf.DUMMYFUNCTION("""COMPUTED_VALUE"""),3924793.0)</f>
        <v>3924793</v>
      </c>
    </row>
    <row r="9085">
      <c r="A9085" s="3">
        <f>IFERROR(__xludf.DUMMYFUNCTION("""COMPUTED_VALUE"""),42375.66666666667)</f>
        <v>42375.66667</v>
      </c>
      <c r="B9085" s="2">
        <f>IFERROR(__xludf.DUMMYFUNCTION("""COMPUTED_VALUE"""),128.35)</f>
        <v>128.35</v>
      </c>
      <c r="C9085" s="2">
        <f>IFERROR(__xludf.DUMMYFUNCTION("""COMPUTED_VALUE"""),129.5)</f>
        <v>129.5</v>
      </c>
      <c r="D9085" s="2">
        <f>IFERROR(__xludf.DUMMYFUNCTION("""COMPUTED_VALUE"""),127.63)</f>
        <v>127.63</v>
      </c>
      <c r="E9085" s="2">
        <f>IFERROR(__xludf.DUMMYFUNCTION("""COMPUTED_VALUE"""),129.11)</f>
        <v>129.11</v>
      </c>
      <c r="F9085" s="2">
        <f>IFERROR(__xludf.DUMMYFUNCTION("""COMPUTED_VALUE"""),4310774.0)</f>
        <v>4310774</v>
      </c>
    </row>
    <row r="9086">
      <c r="A9086" s="3">
        <f>IFERROR(__xludf.DUMMYFUNCTION("""COMPUTED_VALUE"""),42376.66666666667)</f>
        <v>42376.66667</v>
      </c>
      <c r="B9086" s="2">
        <f>IFERROR(__xludf.DUMMYFUNCTION("""COMPUTED_VALUE"""),127.71)</f>
        <v>127.71</v>
      </c>
      <c r="C9086" s="2">
        <f>IFERROR(__xludf.DUMMYFUNCTION("""COMPUTED_VALUE"""),128.97)</f>
        <v>128.97</v>
      </c>
      <c r="D9086" s="2">
        <f>IFERROR(__xludf.DUMMYFUNCTION("""COMPUTED_VALUE"""),126.49)</f>
        <v>126.49</v>
      </c>
      <c r="E9086" s="2">
        <f>IFERROR(__xludf.DUMMYFUNCTION("""COMPUTED_VALUE"""),126.9)</f>
        <v>126.9</v>
      </c>
      <c r="F9086" s="2">
        <f>IFERROR(__xludf.DUMMYFUNCTION("""COMPUTED_VALUE"""),7025500.0)</f>
        <v>7025500</v>
      </c>
    </row>
    <row r="9087">
      <c r="A9087" s="3">
        <f>IFERROR(__xludf.DUMMYFUNCTION("""COMPUTED_VALUE"""),42377.66666666667)</f>
        <v>42377.66667</v>
      </c>
      <c r="B9087" s="2">
        <f>IFERROR(__xludf.DUMMYFUNCTION("""COMPUTED_VALUE"""),127.21)</f>
        <v>127.21</v>
      </c>
      <c r="C9087" s="2">
        <f>IFERROR(__xludf.DUMMYFUNCTION("""COMPUTED_VALUE"""),127.82)</f>
        <v>127.82</v>
      </c>
      <c r="D9087" s="2">
        <f>IFERROR(__xludf.DUMMYFUNCTION("""COMPUTED_VALUE"""),125.43)</f>
        <v>125.43</v>
      </c>
      <c r="E9087" s="2">
        <f>IFERROR(__xludf.DUMMYFUNCTION("""COMPUTED_VALUE"""),125.73)</f>
        <v>125.73</v>
      </c>
      <c r="F9087" s="2">
        <f>IFERROR(__xludf.DUMMYFUNCTION("""COMPUTED_VALUE"""),4762583.0)</f>
        <v>4762583</v>
      </c>
    </row>
    <row r="9088">
      <c r="A9088" s="3">
        <f>IFERROR(__xludf.DUMMYFUNCTION("""COMPUTED_VALUE"""),42380.66666666667)</f>
        <v>42380.66667</v>
      </c>
      <c r="B9088" s="2">
        <f>IFERROR(__xludf.DUMMYFUNCTION("""COMPUTED_VALUE"""),125.9)</f>
        <v>125.9</v>
      </c>
      <c r="C9088" s="2">
        <f>IFERROR(__xludf.DUMMYFUNCTION("""COMPUTED_VALUE"""),127.82)</f>
        <v>127.82</v>
      </c>
      <c r="D9088" s="2">
        <f>IFERROR(__xludf.DUMMYFUNCTION("""COMPUTED_VALUE"""),125.85)</f>
        <v>125.85</v>
      </c>
      <c r="E9088" s="2">
        <f>IFERROR(__xludf.DUMMYFUNCTION("""COMPUTED_VALUE"""),127.26)</f>
        <v>127.26</v>
      </c>
      <c r="F9088" s="2">
        <f>IFERROR(__xludf.DUMMYFUNCTION("""COMPUTED_VALUE"""),4974236.0)</f>
        <v>4974236</v>
      </c>
    </row>
    <row r="9089">
      <c r="A9089" s="3">
        <f>IFERROR(__xludf.DUMMYFUNCTION("""COMPUTED_VALUE"""),42381.66666666667)</f>
        <v>42381.66667</v>
      </c>
      <c r="B9089" s="2">
        <f>IFERROR(__xludf.DUMMYFUNCTION("""COMPUTED_VALUE"""),127.66)</f>
        <v>127.66</v>
      </c>
      <c r="C9089" s="2">
        <f>IFERROR(__xludf.DUMMYFUNCTION("""COMPUTED_VALUE"""),127.78)</f>
        <v>127.78</v>
      </c>
      <c r="D9089" s="2">
        <f>IFERROR(__xludf.DUMMYFUNCTION("""COMPUTED_VALUE"""),125.25)</f>
        <v>125.25</v>
      </c>
      <c r="E9089" s="2">
        <f>IFERROR(__xludf.DUMMYFUNCTION("""COMPUTED_VALUE"""),126.94)</f>
        <v>126.94</v>
      </c>
      <c r="F9089" s="2">
        <f>IFERROR(__xludf.DUMMYFUNCTION("""COMPUTED_VALUE"""),5078360.0)</f>
        <v>5078360</v>
      </c>
    </row>
    <row r="9090">
      <c r="A9090" s="3">
        <f>IFERROR(__xludf.DUMMYFUNCTION("""COMPUTED_VALUE"""),42382.66666666667)</f>
        <v>42382.66667</v>
      </c>
      <c r="B9090" s="2">
        <f>IFERROR(__xludf.DUMMYFUNCTION("""COMPUTED_VALUE"""),127.51)</f>
        <v>127.51</v>
      </c>
      <c r="C9090" s="2">
        <f>IFERROR(__xludf.DUMMYFUNCTION("""COMPUTED_VALUE"""),128.26)</f>
        <v>128.26</v>
      </c>
      <c r="D9090" s="2">
        <f>IFERROR(__xludf.DUMMYFUNCTION("""COMPUTED_VALUE"""),125.22)</f>
        <v>125.22</v>
      </c>
      <c r="E9090" s="2">
        <f>IFERROR(__xludf.DUMMYFUNCTION("""COMPUTED_VALUE"""),125.29)</f>
        <v>125.29</v>
      </c>
      <c r="F9090" s="2">
        <f>IFERROR(__xludf.DUMMYFUNCTION("""COMPUTED_VALUE"""),4699338.0)</f>
        <v>4699338</v>
      </c>
    </row>
    <row r="9091">
      <c r="A9091" s="3">
        <f>IFERROR(__xludf.DUMMYFUNCTION("""COMPUTED_VALUE"""),42383.66666666667)</f>
        <v>42383.66667</v>
      </c>
      <c r="B9091" s="2">
        <f>IFERROR(__xludf.DUMMYFUNCTION("""COMPUTED_VALUE"""),126.01)</f>
        <v>126.01</v>
      </c>
      <c r="C9091" s="2">
        <f>IFERROR(__xludf.DUMMYFUNCTION("""COMPUTED_VALUE"""),127.79)</f>
        <v>127.79</v>
      </c>
      <c r="D9091" s="2">
        <f>IFERROR(__xludf.DUMMYFUNCTION("""COMPUTED_VALUE"""),125.34)</f>
        <v>125.34</v>
      </c>
      <c r="E9091" s="2">
        <f>IFERROR(__xludf.DUMMYFUNCTION("""COMPUTED_VALUE"""),126.95)</f>
        <v>126.95</v>
      </c>
      <c r="F9091" s="2">
        <f>IFERROR(__xludf.DUMMYFUNCTION("""COMPUTED_VALUE"""),5709466.0)</f>
        <v>5709466</v>
      </c>
    </row>
    <row r="9092">
      <c r="A9092" s="3">
        <f>IFERROR(__xludf.DUMMYFUNCTION("""COMPUTED_VALUE"""),42384.66666666667)</f>
        <v>42384.66667</v>
      </c>
      <c r="B9092" s="2">
        <f>IFERROR(__xludf.DUMMYFUNCTION("""COMPUTED_VALUE"""),124.18)</f>
        <v>124.18</v>
      </c>
      <c r="C9092" s="2">
        <f>IFERROR(__xludf.DUMMYFUNCTION("""COMPUTED_VALUE"""),125.01)</f>
        <v>125.01</v>
      </c>
      <c r="D9092" s="2">
        <f>IFERROR(__xludf.DUMMYFUNCTION("""COMPUTED_VALUE"""),123.09)</f>
        <v>123.09</v>
      </c>
      <c r="E9092" s="2">
        <f>IFERROR(__xludf.DUMMYFUNCTION("""COMPUTED_VALUE"""),124.2)</f>
        <v>124.2</v>
      </c>
      <c r="F9092" s="2">
        <f>IFERROR(__xludf.DUMMYFUNCTION("""COMPUTED_VALUE"""),9008047.0)</f>
        <v>9008047</v>
      </c>
    </row>
    <row r="9093">
      <c r="A9093" s="3">
        <f>IFERROR(__xludf.DUMMYFUNCTION("""COMPUTED_VALUE"""),42388.66666666667)</f>
        <v>42388.66667</v>
      </c>
      <c r="B9093" s="2">
        <f>IFERROR(__xludf.DUMMYFUNCTION("""COMPUTED_VALUE"""),124.28)</f>
        <v>124.28</v>
      </c>
      <c r="C9093" s="2">
        <f>IFERROR(__xludf.DUMMYFUNCTION("""COMPUTED_VALUE"""),126.18)</f>
        <v>126.18</v>
      </c>
      <c r="D9093" s="2">
        <f>IFERROR(__xludf.DUMMYFUNCTION("""COMPUTED_VALUE"""),122.32)</f>
        <v>122.32</v>
      </c>
      <c r="E9093" s="2">
        <f>IFERROR(__xludf.DUMMYFUNCTION("""COMPUTED_VALUE"""),122.37)</f>
        <v>122.37</v>
      </c>
      <c r="F9093" s="2">
        <f>IFERROR(__xludf.DUMMYFUNCTION("""COMPUTED_VALUE"""),9960287.0)</f>
        <v>9960287</v>
      </c>
    </row>
    <row r="9094">
      <c r="A9094" s="3">
        <f>IFERROR(__xludf.DUMMYFUNCTION("""COMPUTED_VALUE"""),42389.66666666667)</f>
        <v>42389.66667</v>
      </c>
      <c r="B9094" s="2">
        <f>IFERROR(__xludf.DUMMYFUNCTION("""COMPUTED_VALUE"""),113.15)</f>
        <v>113.15</v>
      </c>
      <c r="C9094" s="2">
        <f>IFERROR(__xludf.DUMMYFUNCTION("""COMPUTED_VALUE"""),118.43)</f>
        <v>118.43</v>
      </c>
      <c r="D9094" s="2">
        <f>IFERROR(__xludf.DUMMYFUNCTION("""COMPUTED_VALUE"""),112.71)</f>
        <v>112.71</v>
      </c>
      <c r="E9094" s="2">
        <f>IFERROR(__xludf.DUMMYFUNCTION("""COMPUTED_VALUE"""),116.4)</f>
        <v>116.4</v>
      </c>
      <c r="F9094" s="2">
        <f>IFERROR(__xludf.DUMMYFUNCTION("""COMPUTED_VALUE"""),1.6157794E7)</f>
        <v>16157794</v>
      </c>
    </row>
    <row r="9095">
      <c r="A9095" s="3">
        <f>IFERROR(__xludf.DUMMYFUNCTION("""COMPUTED_VALUE"""),42390.66666666667)</f>
        <v>42390.66667</v>
      </c>
      <c r="B9095" s="2">
        <f>IFERROR(__xludf.DUMMYFUNCTION("""COMPUTED_VALUE"""),115.86)</f>
        <v>115.86</v>
      </c>
      <c r="C9095" s="2">
        <f>IFERROR(__xludf.DUMMYFUNCTION("""COMPUTED_VALUE"""),119.49)</f>
        <v>119.49</v>
      </c>
      <c r="D9095" s="2">
        <f>IFERROR(__xludf.DUMMYFUNCTION("""COMPUTED_VALUE"""),115.17)</f>
        <v>115.17</v>
      </c>
      <c r="E9095" s="2">
        <f>IFERROR(__xludf.DUMMYFUNCTION("""COMPUTED_VALUE"""),117.4)</f>
        <v>117.4</v>
      </c>
      <c r="F9095" s="2">
        <f>IFERROR(__xludf.DUMMYFUNCTION("""COMPUTED_VALUE"""),8851531.0)</f>
        <v>8851531</v>
      </c>
    </row>
    <row r="9096">
      <c r="A9096" s="3">
        <f>IFERROR(__xludf.DUMMYFUNCTION("""COMPUTED_VALUE"""),42391.66666666667)</f>
        <v>42391.66667</v>
      </c>
      <c r="B9096" s="2">
        <f>IFERROR(__xludf.DUMMYFUNCTION("""COMPUTED_VALUE"""),119.08)</f>
        <v>119.08</v>
      </c>
      <c r="C9096" s="2">
        <f>IFERROR(__xludf.DUMMYFUNCTION("""COMPUTED_VALUE"""),119.15)</f>
        <v>119.15</v>
      </c>
      <c r="D9096" s="2">
        <f>IFERROR(__xludf.DUMMYFUNCTION("""COMPUTED_VALUE"""),116.31)</f>
        <v>116.31</v>
      </c>
      <c r="E9096" s="2">
        <f>IFERROR(__xludf.DUMMYFUNCTION("""COMPUTED_VALUE"""),117.01)</f>
        <v>117.01</v>
      </c>
      <c r="F9096" s="2">
        <f>IFERROR(__xludf.DUMMYFUNCTION("""COMPUTED_VALUE"""),9238339.0)</f>
        <v>9238339</v>
      </c>
    </row>
    <row r="9097">
      <c r="A9097" s="3">
        <f>IFERROR(__xludf.DUMMYFUNCTION("""COMPUTED_VALUE"""),42394.66666666667)</f>
        <v>42394.66667</v>
      </c>
      <c r="B9097" s="2">
        <f>IFERROR(__xludf.DUMMYFUNCTION("""COMPUTED_VALUE"""),116.63)</f>
        <v>116.63</v>
      </c>
      <c r="C9097" s="2">
        <f>IFERROR(__xludf.DUMMYFUNCTION("""COMPUTED_VALUE"""),118.66)</f>
        <v>118.66</v>
      </c>
      <c r="D9097" s="2">
        <f>IFERROR(__xludf.DUMMYFUNCTION("""COMPUTED_VALUE"""),116.19)</f>
        <v>116.19</v>
      </c>
      <c r="E9097" s="2">
        <f>IFERROR(__xludf.DUMMYFUNCTION("""COMPUTED_VALUE"""),116.61)</f>
        <v>116.61</v>
      </c>
      <c r="F9097" s="2">
        <f>IFERROR(__xludf.DUMMYFUNCTION("""COMPUTED_VALUE"""),5445660.0)</f>
        <v>5445660</v>
      </c>
    </row>
    <row r="9098">
      <c r="A9098" s="3">
        <f>IFERROR(__xludf.DUMMYFUNCTION("""COMPUTED_VALUE"""),42395.66666666667)</f>
        <v>42395.66667</v>
      </c>
      <c r="B9098" s="2">
        <f>IFERROR(__xludf.DUMMYFUNCTION("""COMPUTED_VALUE"""),116.77)</f>
        <v>116.77</v>
      </c>
      <c r="C9098" s="2">
        <f>IFERROR(__xludf.DUMMYFUNCTION("""COMPUTED_VALUE"""),118.07)</f>
        <v>118.07</v>
      </c>
      <c r="D9098" s="2">
        <f>IFERROR(__xludf.DUMMYFUNCTION("""COMPUTED_VALUE"""),116.76)</f>
        <v>116.76</v>
      </c>
      <c r="E9098" s="2">
        <f>IFERROR(__xludf.DUMMYFUNCTION("""COMPUTED_VALUE"""),117.09)</f>
        <v>117.09</v>
      </c>
      <c r="F9098" s="2">
        <f>IFERROR(__xludf.DUMMYFUNCTION("""COMPUTED_VALUE"""),4617414.0)</f>
        <v>4617414</v>
      </c>
    </row>
    <row r="9099">
      <c r="A9099" s="3">
        <f>IFERROR(__xludf.DUMMYFUNCTION("""COMPUTED_VALUE"""),42396.66666666667)</f>
        <v>42396.66667</v>
      </c>
      <c r="B9099" s="2">
        <f>IFERROR(__xludf.DUMMYFUNCTION("""COMPUTED_VALUE"""),117.23)</f>
        <v>117.23</v>
      </c>
      <c r="C9099" s="2">
        <f>IFERROR(__xludf.DUMMYFUNCTION("""COMPUTED_VALUE"""),117.84)</f>
        <v>117.84</v>
      </c>
      <c r="D9099" s="2">
        <f>IFERROR(__xludf.DUMMYFUNCTION("""COMPUTED_VALUE"""),115.24)</f>
        <v>115.24</v>
      </c>
      <c r="E9099" s="2">
        <f>IFERROR(__xludf.DUMMYFUNCTION("""COMPUTED_VALUE"""),115.54)</f>
        <v>115.54</v>
      </c>
      <c r="F9099" s="2">
        <f>IFERROR(__xludf.DUMMYFUNCTION("""COMPUTED_VALUE"""),5025561.0)</f>
        <v>5025561</v>
      </c>
    </row>
    <row r="9100">
      <c r="A9100" s="3">
        <f>IFERROR(__xludf.DUMMYFUNCTION("""COMPUTED_VALUE"""),42397.66666666667)</f>
        <v>42397.66667</v>
      </c>
      <c r="B9100" s="2">
        <f>IFERROR(__xludf.DUMMYFUNCTION("""COMPUTED_VALUE"""),115.82)</f>
        <v>115.82</v>
      </c>
      <c r="C9100" s="2">
        <f>IFERROR(__xludf.DUMMYFUNCTION("""COMPUTED_VALUE"""),117.32)</f>
        <v>117.32</v>
      </c>
      <c r="D9100" s="2">
        <f>IFERROR(__xludf.DUMMYFUNCTION("""COMPUTED_VALUE"""),115.58)</f>
        <v>115.58</v>
      </c>
      <c r="E9100" s="2">
        <f>IFERROR(__xludf.DUMMYFUNCTION("""COMPUTED_VALUE"""),116.74)</f>
        <v>116.74</v>
      </c>
      <c r="F9100" s="2">
        <f>IFERROR(__xludf.DUMMYFUNCTION("""COMPUTED_VALUE"""),3942537.0)</f>
        <v>3942537</v>
      </c>
    </row>
    <row r="9101">
      <c r="A9101" s="3">
        <f>IFERROR(__xludf.DUMMYFUNCTION("""COMPUTED_VALUE"""),42398.66666666667)</f>
        <v>42398.66667</v>
      </c>
      <c r="B9101" s="2">
        <f>IFERROR(__xludf.DUMMYFUNCTION("""COMPUTED_VALUE"""),117.75)</f>
        <v>117.75</v>
      </c>
      <c r="C9101" s="2">
        <f>IFERROR(__xludf.DUMMYFUNCTION("""COMPUTED_VALUE"""),119.19)</f>
        <v>119.19</v>
      </c>
      <c r="D9101" s="2">
        <f>IFERROR(__xludf.DUMMYFUNCTION("""COMPUTED_VALUE"""),117.45)</f>
        <v>117.45</v>
      </c>
      <c r="E9101" s="2">
        <f>IFERROR(__xludf.DUMMYFUNCTION("""COMPUTED_VALUE"""),119.19)</f>
        <v>119.19</v>
      </c>
      <c r="F9101" s="2">
        <f>IFERROR(__xludf.DUMMYFUNCTION("""COMPUTED_VALUE"""),8248087.0)</f>
        <v>8248087</v>
      </c>
    </row>
    <row r="9102">
      <c r="A9102" s="3">
        <f>IFERROR(__xludf.DUMMYFUNCTION("""COMPUTED_VALUE"""),42401.66666666667)</f>
        <v>42401.66667</v>
      </c>
      <c r="B9102" s="2">
        <f>IFERROR(__xludf.DUMMYFUNCTION("""COMPUTED_VALUE"""),118.82)</f>
        <v>118.82</v>
      </c>
      <c r="C9102" s="2">
        <f>IFERROR(__xludf.DUMMYFUNCTION("""COMPUTED_VALUE"""),119.67)</f>
        <v>119.67</v>
      </c>
      <c r="D9102" s="2">
        <f>IFERROR(__xludf.DUMMYFUNCTION("""COMPUTED_VALUE"""),118.16)</f>
        <v>118.16</v>
      </c>
      <c r="E9102" s="2">
        <f>IFERROR(__xludf.DUMMYFUNCTION("""COMPUTED_VALUE"""),119.23)</f>
        <v>119.23</v>
      </c>
      <c r="F9102" s="2">
        <f>IFERROR(__xludf.DUMMYFUNCTION("""COMPUTED_VALUE"""),3574884.0)</f>
        <v>3574884</v>
      </c>
    </row>
    <row r="9103">
      <c r="A9103" s="3">
        <f>IFERROR(__xludf.DUMMYFUNCTION("""COMPUTED_VALUE"""),42402.66666666667)</f>
        <v>42402.66667</v>
      </c>
      <c r="B9103" s="2">
        <f>IFERROR(__xludf.DUMMYFUNCTION("""COMPUTED_VALUE"""),118.13)</f>
        <v>118.13</v>
      </c>
      <c r="C9103" s="2">
        <f>IFERROR(__xludf.DUMMYFUNCTION("""COMPUTED_VALUE"""),118.57)</f>
        <v>118.57</v>
      </c>
      <c r="D9103" s="2">
        <f>IFERROR(__xludf.DUMMYFUNCTION("""COMPUTED_VALUE"""),117.14)</f>
        <v>117.14</v>
      </c>
      <c r="E9103" s="2">
        <f>IFERROR(__xludf.DUMMYFUNCTION("""COMPUTED_VALUE"""),117.43)</f>
        <v>117.43</v>
      </c>
      <c r="F9103" s="2">
        <f>IFERROR(__xludf.DUMMYFUNCTION("""COMPUTED_VALUE"""),3287218.0)</f>
        <v>3287218</v>
      </c>
    </row>
    <row r="9104">
      <c r="A9104" s="3">
        <f>IFERROR(__xludf.DUMMYFUNCTION("""COMPUTED_VALUE"""),42403.66666666667)</f>
        <v>42403.66667</v>
      </c>
      <c r="B9104" s="2">
        <f>IFERROR(__xludf.DUMMYFUNCTION("""COMPUTED_VALUE"""),118.43)</f>
        <v>118.43</v>
      </c>
      <c r="C9104" s="2">
        <f>IFERROR(__xludf.DUMMYFUNCTION("""COMPUTED_VALUE"""),119.83)</f>
        <v>119.83</v>
      </c>
      <c r="D9104" s="2">
        <f>IFERROR(__xludf.DUMMYFUNCTION("""COMPUTED_VALUE"""),116.81)</f>
        <v>116.81</v>
      </c>
      <c r="E9104" s="2">
        <f>IFERROR(__xludf.DUMMYFUNCTION("""COMPUTED_VALUE"""),119.13)</f>
        <v>119.13</v>
      </c>
      <c r="F9104" s="2">
        <f>IFERROR(__xludf.DUMMYFUNCTION("""COMPUTED_VALUE"""),6223424.0)</f>
        <v>6223424</v>
      </c>
    </row>
    <row r="9105">
      <c r="A9105" s="3">
        <f>IFERROR(__xludf.DUMMYFUNCTION("""COMPUTED_VALUE"""),42404.66666666667)</f>
        <v>42404.66667</v>
      </c>
      <c r="B9105" s="2">
        <f>IFERROR(__xludf.DUMMYFUNCTION("""COMPUTED_VALUE"""),119.47)</f>
        <v>119.47</v>
      </c>
      <c r="C9105" s="2">
        <f>IFERROR(__xludf.DUMMYFUNCTION("""COMPUTED_VALUE"""),122.74)</f>
        <v>122.74</v>
      </c>
      <c r="D9105" s="2">
        <f>IFERROR(__xludf.DUMMYFUNCTION("""COMPUTED_VALUE"""),119.4)</f>
        <v>119.4</v>
      </c>
      <c r="E9105" s="2">
        <f>IFERROR(__xludf.DUMMYFUNCTION("""COMPUTED_VALUE"""),121.93)</f>
        <v>121.93</v>
      </c>
      <c r="F9105" s="2">
        <f>IFERROR(__xludf.DUMMYFUNCTION("""COMPUTED_VALUE"""),5265957.0)</f>
        <v>5265957</v>
      </c>
    </row>
    <row r="9106">
      <c r="A9106" s="3">
        <f>IFERROR(__xludf.DUMMYFUNCTION("""COMPUTED_VALUE"""),42405.66666666667)</f>
        <v>42405.66667</v>
      </c>
      <c r="B9106" s="2">
        <f>IFERROR(__xludf.DUMMYFUNCTION("""COMPUTED_VALUE"""),121.52)</f>
        <v>121.52</v>
      </c>
      <c r="C9106" s="2">
        <f>IFERROR(__xludf.DUMMYFUNCTION("""COMPUTED_VALUE"""),122.87)</f>
        <v>122.87</v>
      </c>
      <c r="D9106" s="2">
        <f>IFERROR(__xludf.DUMMYFUNCTION("""COMPUTED_VALUE"""),120.21)</f>
        <v>120.21</v>
      </c>
      <c r="E9106" s="2">
        <f>IFERROR(__xludf.DUMMYFUNCTION("""COMPUTED_VALUE"""),122.81)</f>
        <v>122.81</v>
      </c>
      <c r="F9106" s="2">
        <f>IFERROR(__xludf.DUMMYFUNCTION("""COMPUTED_VALUE"""),7176995.0)</f>
        <v>7176995</v>
      </c>
    </row>
    <row r="9107">
      <c r="A9107" s="3">
        <f>IFERROR(__xludf.DUMMYFUNCTION("""COMPUTED_VALUE"""),42408.66666666667)</f>
        <v>42408.66667</v>
      </c>
      <c r="B9107" s="2">
        <f>IFERROR(__xludf.DUMMYFUNCTION("""COMPUTED_VALUE"""),120.35)</f>
        <v>120.35</v>
      </c>
      <c r="C9107" s="2">
        <f>IFERROR(__xludf.DUMMYFUNCTION("""COMPUTED_VALUE"""),121.79)</f>
        <v>121.79</v>
      </c>
      <c r="D9107" s="2">
        <f>IFERROR(__xludf.DUMMYFUNCTION("""COMPUTED_VALUE"""),118.56)</f>
        <v>118.56</v>
      </c>
      <c r="E9107" s="2">
        <f>IFERROR(__xludf.DUMMYFUNCTION("""COMPUTED_VALUE"""),121.29)</f>
        <v>121.29</v>
      </c>
      <c r="F9107" s="2">
        <f>IFERROR(__xludf.DUMMYFUNCTION("""COMPUTED_VALUE"""),7363893.0)</f>
        <v>7363893</v>
      </c>
    </row>
    <row r="9108">
      <c r="A9108" s="3">
        <f>IFERROR(__xludf.DUMMYFUNCTION("""COMPUTED_VALUE"""),42409.66666666667)</f>
        <v>42409.66667</v>
      </c>
      <c r="B9108" s="2">
        <f>IFERROR(__xludf.DUMMYFUNCTION("""COMPUTED_VALUE"""),120.47)</f>
        <v>120.47</v>
      </c>
      <c r="C9108" s="2">
        <f>IFERROR(__xludf.DUMMYFUNCTION("""COMPUTED_VALUE"""),121.24)</f>
        <v>121.24</v>
      </c>
      <c r="D9108" s="2">
        <f>IFERROR(__xludf.DUMMYFUNCTION("""COMPUTED_VALUE"""),118.22)</f>
        <v>118.22</v>
      </c>
      <c r="E9108" s="2">
        <f>IFERROR(__xludf.DUMMYFUNCTION("""COMPUTED_VALUE"""),118.51)</f>
        <v>118.51</v>
      </c>
      <c r="F9108" s="2">
        <f>IFERROR(__xludf.DUMMYFUNCTION("""COMPUTED_VALUE"""),5956738.0)</f>
        <v>5956738</v>
      </c>
    </row>
    <row r="9109">
      <c r="A9109" s="3">
        <f>IFERROR(__xludf.DUMMYFUNCTION("""COMPUTED_VALUE"""),42410.66666666667)</f>
        <v>42410.66667</v>
      </c>
      <c r="B9109" s="2">
        <f>IFERROR(__xludf.DUMMYFUNCTION("""COMPUTED_VALUE"""),119.4)</f>
        <v>119.4</v>
      </c>
      <c r="C9109" s="2">
        <f>IFERROR(__xludf.DUMMYFUNCTION("""COMPUTED_VALUE"""),119.67)</f>
        <v>119.67</v>
      </c>
      <c r="D9109" s="2">
        <f>IFERROR(__xludf.DUMMYFUNCTION("""COMPUTED_VALUE"""),114.47)</f>
        <v>114.47</v>
      </c>
      <c r="E9109" s="2">
        <f>IFERROR(__xludf.DUMMYFUNCTION("""COMPUTED_VALUE"""),114.8)</f>
        <v>114.8</v>
      </c>
      <c r="F9109" s="2">
        <f>IFERROR(__xludf.DUMMYFUNCTION("""COMPUTED_VALUE"""),6462513.0)</f>
        <v>6462513</v>
      </c>
    </row>
    <row r="9110">
      <c r="A9110" s="3">
        <f>IFERROR(__xludf.DUMMYFUNCTION("""COMPUTED_VALUE"""),42411.66666666667)</f>
        <v>42411.66667</v>
      </c>
      <c r="B9110" s="2">
        <f>IFERROR(__xludf.DUMMYFUNCTION("""COMPUTED_VALUE"""),113.45)</f>
        <v>113.45</v>
      </c>
      <c r="C9110" s="2">
        <f>IFERROR(__xludf.DUMMYFUNCTION("""COMPUTED_VALUE"""),114.29)</f>
        <v>114.29</v>
      </c>
      <c r="D9110" s="2">
        <f>IFERROR(__xludf.DUMMYFUNCTION("""COMPUTED_VALUE"""),111.66)</f>
        <v>111.66</v>
      </c>
      <c r="E9110" s="2">
        <f>IFERROR(__xludf.DUMMYFUNCTION("""COMPUTED_VALUE"""),112.57)</f>
        <v>112.57</v>
      </c>
      <c r="F9110" s="2">
        <f>IFERROR(__xludf.DUMMYFUNCTION("""COMPUTED_VALUE"""),7307503.0)</f>
        <v>7307503</v>
      </c>
    </row>
    <row r="9111">
      <c r="A9111" s="3">
        <f>IFERROR(__xludf.DUMMYFUNCTION("""COMPUTED_VALUE"""),42412.66666666667)</f>
        <v>42412.66667</v>
      </c>
      <c r="B9111" s="2">
        <f>IFERROR(__xludf.DUMMYFUNCTION("""COMPUTED_VALUE"""),113.91)</f>
        <v>113.91</v>
      </c>
      <c r="C9111" s="2">
        <f>IFERROR(__xludf.DUMMYFUNCTION("""COMPUTED_VALUE"""),115.62)</f>
        <v>115.62</v>
      </c>
      <c r="D9111" s="2">
        <f>IFERROR(__xludf.DUMMYFUNCTION("""COMPUTED_VALUE"""),113.04)</f>
        <v>113.04</v>
      </c>
      <c r="E9111" s="2">
        <f>IFERROR(__xludf.DUMMYFUNCTION("""COMPUTED_VALUE"""),115.61)</f>
        <v>115.61</v>
      </c>
      <c r="F9111" s="2">
        <f>IFERROR(__xludf.DUMMYFUNCTION("""COMPUTED_VALUE"""),4935770.0)</f>
        <v>4935770</v>
      </c>
    </row>
    <row r="9112">
      <c r="A9112" s="3">
        <f>IFERROR(__xludf.DUMMYFUNCTION("""COMPUTED_VALUE"""),42416.66666666667)</f>
        <v>42416.66667</v>
      </c>
      <c r="B9112" s="2">
        <f>IFERROR(__xludf.DUMMYFUNCTION("""COMPUTED_VALUE"""),116.37)</f>
        <v>116.37</v>
      </c>
      <c r="C9112" s="2">
        <f>IFERROR(__xludf.DUMMYFUNCTION("""COMPUTED_VALUE"""),117.57)</f>
        <v>117.57</v>
      </c>
      <c r="D9112" s="2">
        <f>IFERROR(__xludf.DUMMYFUNCTION("""COMPUTED_VALUE"""),115.9)</f>
        <v>115.9</v>
      </c>
      <c r="E9112" s="2">
        <f>IFERROR(__xludf.DUMMYFUNCTION("""COMPUTED_VALUE"""),117.24)</f>
        <v>117.24</v>
      </c>
      <c r="F9112" s="2">
        <f>IFERROR(__xludf.DUMMYFUNCTION("""COMPUTED_VALUE"""),4061066.0)</f>
        <v>4061066</v>
      </c>
    </row>
    <row r="9113">
      <c r="A9113" s="3">
        <f>IFERROR(__xludf.DUMMYFUNCTION("""COMPUTED_VALUE"""),42417.66666666667)</f>
        <v>42417.66667</v>
      </c>
      <c r="B9113" s="2">
        <f>IFERROR(__xludf.DUMMYFUNCTION("""COMPUTED_VALUE"""),118.16)</f>
        <v>118.16</v>
      </c>
      <c r="C9113" s="2">
        <f>IFERROR(__xludf.DUMMYFUNCTION("""COMPUTED_VALUE"""),120.9)</f>
        <v>120.9</v>
      </c>
      <c r="D9113" s="2">
        <f>IFERROR(__xludf.DUMMYFUNCTION("""COMPUTED_VALUE"""),117.72)</f>
        <v>117.72</v>
      </c>
      <c r="E9113" s="2">
        <f>IFERROR(__xludf.DUMMYFUNCTION("""COMPUTED_VALUE"""),120.45)</f>
        <v>120.45</v>
      </c>
      <c r="F9113" s="2">
        <f>IFERROR(__xludf.DUMMYFUNCTION("""COMPUTED_VALUE"""),4820982.0)</f>
        <v>4820982</v>
      </c>
    </row>
    <row r="9114">
      <c r="A9114" s="3">
        <f>IFERROR(__xludf.DUMMYFUNCTION("""COMPUTED_VALUE"""),42418.66666666667)</f>
        <v>42418.66667</v>
      </c>
      <c r="B9114" s="2">
        <f>IFERROR(__xludf.DUMMYFUNCTION("""COMPUTED_VALUE"""),124.17)</f>
        <v>124.17</v>
      </c>
      <c r="C9114" s="2">
        <f>IFERROR(__xludf.DUMMYFUNCTION("""COMPUTED_VALUE"""),127.99)</f>
        <v>127.99</v>
      </c>
      <c r="D9114" s="2">
        <f>IFERROR(__xludf.DUMMYFUNCTION("""COMPUTED_VALUE"""),123.93)</f>
        <v>123.93</v>
      </c>
      <c r="E9114" s="2">
        <f>IFERROR(__xludf.DUMMYFUNCTION("""COMPUTED_VALUE"""),126.51)</f>
        <v>126.51</v>
      </c>
      <c r="F9114" s="2">
        <f>IFERROR(__xludf.DUMMYFUNCTION("""COMPUTED_VALUE"""),9951438.0)</f>
        <v>9951438</v>
      </c>
    </row>
    <row r="9115">
      <c r="A9115" s="3">
        <f>IFERROR(__xludf.DUMMYFUNCTION("""COMPUTED_VALUE"""),42419.66666666667)</f>
        <v>42419.66667</v>
      </c>
      <c r="B9115" s="2">
        <f>IFERROR(__xludf.DUMMYFUNCTION("""COMPUTED_VALUE"""),126.43)</f>
        <v>126.43</v>
      </c>
      <c r="C9115" s="2">
        <f>IFERROR(__xludf.DUMMYFUNCTION("""COMPUTED_VALUE"""),127.66)</f>
        <v>127.66</v>
      </c>
      <c r="D9115" s="2">
        <f>IFERROR(__xludf.DUMMYFUNCTION("""COMPUTED_VALUE"""),124.97)</f>
        <v>124.97</v>
      </c>
      <c r="E9115" s="2">
        <f>IFERROR(__xludf.DUMMYFUNCTION("""COMPUTED_VALUE"""),127.11)</f>
        <v>127.11</v>
      </c>
      <c r="F9115" s="2">
        <f>IFERROR(__xludf.DUMMYFUNCTION("""COMPUTED_VALUE"""),5125276.0)</f>
        <v>5125276</v>
      </c>
    </row>
    <row r="9116">
      <c r="A9116" s="3">
        <f>IFERROR(__xludf.DUMMYFUNCTION("""COMPUTED_VALUE"""),42422.66666666667)</f>
        <v>42422.66667</v>
      </c>
      <c r="B9116" s="2">
        <f>IFERROR(__xludf.DUMMYFUNCTION("""COMPUTED_VALUE"""),127.84)</f>
        <v>127.84</v>
      </c>
      <c r="C9116" s="2">
        <f>IFERROR(__xludf.DUMMYFUNCTION("""COMPUTED_VALUE"""),128.29)</f>
        <v>128.29</v>
      </c>
      <c r="D9116" s="2">
        <f>IFERROR(__xludf.DUMMYFUNCTION("""COMPUTED_VALUE"""),126.47)</f>
        <v>126.47</v>
      </c>
      <c r="E9116" s="2">
        <f>IFERROR(__xludf.DUMMYFUNCTION("""COMPUTED_VALUE"""),127.77)</f>
        <v>127.77</v>
      </c>
      <c r="F9116" s="2">
        <f>IFERROR(__xludf.DUMMYFUNCTION("""COMPUTED_VALUE"""),4457444.0)</f>
        <v>4457444</v>
      </c>
    </row>
    <row r="9117">
      <c r="A9117" s="3">
        <f>IFERROR(__xludf.DUMMYFUNCTION("""COMPUTED_VALUE"""),42423.66666666667)</f>
        <v>42423.66667</v>
      </c>
      <c r="B9117" s="2">
        <f>IFERROR(__xludf.DUMMYFUNCTION("""COMPUTED_VALUE"""),127.17)</f>
        <v>127.17</v>
      </c>
      <c r="C9117" s="2">
        <f>IFERROR(__xludf.DUMMYFUNCTION("""COMPUTED_VALUE"""),127.43)</f>
        <v>127.43</v>
      </c>
      <c r="D9117" s="2">
        <f>IFERROR(__xludf.DUMMYFUNCTION("""COMPUTED_VALUE"""),126.09)</f>
        <v>126.09</v>
      </c>
      <c r="E9117" s="2">
        <f>IFERROR(__xludf.DUMMYFUNCTION("""COMPUTED_VALUE"""),126.46)</f>
        <v>126.46</v>
      </c>
      <c r="F9117" s="2">
        <f>IFERROR(__xludf.DUMMYFUNCTION("""COMPUTED_VALUE"""),3439631.0)</f>
        <v>3439631</v>
      </c>
    </row>
    <row r="9118">
      <c r="A9118" s="3">
        <f>IFERROR(__xludf.DUMMYFUNCTION("""COMPUTED_VALUE"""),42424.66666666667)</f>
        <v>42424.66667</v>
      </c>
      <c r="B9118" s="2">
        <f>IFERROR(__xludf.DUMMYFUNCTION("""COMPUTED_VALUE"""),125.65)</f>
        <v>125.65</v>
      </c>
      <c r="C9118" s="2">
        <f>IFERROR(__xludf.DUMMYFUNCTION("""COMPUTED_VALUE"""),127.5)</f>
        <v>127.5</v>
      </c>
      <c r="D9118" s="2">
        <f>IFERROR(__xludf.DUMMYFUNCTION("""COMPUTED_VALUE"""),123.87)</f>
        <v>123.87</v>
      </c>
      <c r="E9118" s="2">
        <f>IFERROR(__xludf.DUMMYFUNCTION("""COMPUTED_VALUE"""),126.85)</f>
        <v>126.85</v>
      </c>
      <c r="F9118" s="2">
        <f>IFERROR(__xludf.DUMMYFUNCTION("""COMPUTED_VALUE"""),4122421.0)</f>
        <v>4122421</v>
      </c>
    </row>
    <row r="9119">
      <c r="A9119" s="3">
        <f>IFERROR(__xludf.DUMMYFUNCTION("""COMPUTED_VALUE"""),42425.66666666667)</f>
        <v>42425.66667</v>
      </c>
      <c r="B9119" s="2">
        <f>IFERROR(__xludf.DUMMYFUNCTION("""COMPUTED_VALUE"""),127.31)</f>
        <v>127.31</v>
      </c>
      <c r="C9119" s="2">
        <f>IFERROR(__xludf.DUMMYFUNCTION("""COMPUTED_VALUE"""),128.48)</f>
        <v>128.48</v>
      </c>
      <c r="D9119" s="2">
        <f>IFERROR(__xludf.DUMMYFUNCTION("""COMPUTED_VALUE"""),125.01)</f>
        <v>125.01</v>
      </c>
      <c r="E9119" s="2">
        <f>IFERROR(__xludf.DUMMYFUNCTION("""COMPUTED_VALUE"""),128.47)</f>
        <v>128.47</v>
      </c>
      <c r="F9119" s="2">
        <f>IFERROR(__xludf.DUMMYFUNCTION("""COMPUTED_VALUE"""),4358305.0)</f>
        <v>4358305</v>
      </c>
    </row>
    <row r="9120">
      <c r="A9120" s="3">
        <f>IFERROR(__xludf.DUMMYFUNCTION("""COMPUTED_VALUE"""),42426.66666666667)</f>
        <v>42426.66667</v>
      </c>
      <c r="B9120" s="2">
        <f>IFERROR(__xludf.DUMMYFUNCTION("""COMPUTED_VALUE"""),128.48)</f>
        <v>128.48</v>
      </c>
      <c r="C9120" s="2">
        <f>IFERROR(__xludf.DUMMYFUNCTION("""COMPUTED_VALUE"""),128.87)</f>
        <v>128.87</v>
      </c>
      <c r="D9120" s="2">
        <f>IFERROR(__xludf.DUMMYFUNCTION("""COMPUTED_VALUE"""),126.03)</f>
        <v>126.03</v>
      </c>
      <c r="E9120" s="2">
        <f>IFERROR(__xludf.DUMMYFUNCTION("""COMPUTED_VALUE"""),126.11)</f>
        <v>126.11</v>
      </c>
      <c r="F9120" s="2">
        <f>IFERROR(__xludf.DUMMYFUNCTION("""COMPUTED_VALUE"""),4385699.0)</f>
        <v>4385699</v>
      </c>
    </row>
    <row r="9121">
      <c r="A9121" s="3">
        <f>IFERROR(__xludf.DUMMYFUNCTION("""COMPUTED_VALUE"""),42429.66666666667)</f>
        <v>42429.66667</v>
      </c>
      <c r="B9121" s="2">
        <f>IFERROR(__xludf.DUMMYFUNCTION("""COMPUTED_VALUE"""),126.08)</f>
        <v>126.08</v>
      </c>
      <c r="C9121" s="2">
        <f>IFERROR(__xludf.DUMMYFUNCTION("""COMPUTED_VALUE"""),127.38)</f>
        <v>127.38</v>
      </c>
      <c r="D9121" s="2">
        <f>IFERROR(__xludf.DUMMYFUNCTION("""COMPUTED_VALUE"""),125.03)</f>
        <v>125.03</v>
      </c>
      <c r="E9121" s="2">
        <f>IFERROR(__xludf.DUMMYFUNCTION("""COMPUTED_VALUE"""),125.16)</f>
        <v>125.16</v>
      </c>
      <c r="F9121" s="2">
        <f>IFERROR(__xludf.DUMMYFUNCTION("""COMPUTED_VALUE"""),4427472.0)</f>
        <v>4427472</v>
      </c>
    </row>
    <row r="9122">
      <c r="A9122" s="3">
        <f>IFERROR(__xludf.DUMMYFUNCTION("""COMPUTED_VALUE"""),42430.66666666667)</f>
        <v>42430.66667</v>
      </c>
      <c r="B9122" s="2">
        <f>IFERROR(__xludf.DUMMYFUNCTION("""COMPUTED_VALUE"""),126.31)</f>
        <v>126.31</v>
      </c>
      <c r="C9122" s="2">
        <f>IFERROR(__xludf.DUMMYFUNCTION("""COMPUTED_VALUE"""),128.6)</f>
        <v>128.6</v>
      </c>
      <c r="D9122" s="2">
        <f>IFERROR(__xludf.DUMMYFUNCTION("""COMPUTED_VALUE"""),126.11)</f>
        <v>126.11</v>
      </c>
      <c r="E9122" s="2">
        <f>IFERROR(__xludf.DUMMYFUNCTION("""COMPUTED_VALUE"""),128.35)</f>
        <v>128.35</v>
      </c>
      <c r="F9122" s="2">
        <f>IFERROR(__xludf.DUMMYFUNCTION("""COMPUTED_VALUE"""),3788094.0)</f>
        <v>3788094</v>
      </c>
    </row>
    <row r="9123">
      <c r="A9123" s="3">
        <f>IFERROR(__xludf.DUMMYFUNCTION("""COMPUTED_VALUE"""),42431.66666666667)</f>
        <v>42431.66667</v>
      </c>
      <c r="B9123" s="2">
        <f>IFERROR(__xludf.DUMMYFUNCTION("""COMPUTED_VALUE"""),127.71)</f>
        <v>127.71</v>
      </c>
      <c r="C9123" s="2">
        <f>IFERROR(__xludf.DUMMYFUNCTION("""COMPUTED_VALUE"""),131.28)</f>
        <v>131.28</v>
      </c>
      <c r="D9123" s="2">
        <f>IFERROR(__xludf.DUMMYFUNCTION("""COMPUTED_VALUE"""),127.25)</f>
        <v>127.25</v>
      </c>
      <c r="E9123" s="2">
        <f>IFERROR(__xludf.DUMMYFUNCTION("""COMPUTED_VALUE"""),130.19)</f>
        <v>130.19</v>
      </c>
      <c r="F9123" s="2">
        <f>IFERROR(__xludf.DUMMYFUNCTION("""COMPUTED_VALUE"""),5217230.0)</f>
        <v>5217230</v>
      </c>
    </row>
    <row r="9124">
      <c r="A9124" s="3">
        <f>IFERROR(__xludf.DUMMYFUNCTION("""COMPUTED_VALUE"""),42432.66666666667)</f>
        <v>42432.66667</v>
      </c>
      <c r="B9124" s="2">
        <f>IFERROR(__xludf.DUMMYFUNCTION("""COMPUTED_VALUE"""),131.07)</f>
        <v>131.07</v>
      </c>
      <c r="C9124" s="2">
        <f>IFERROR(__xludf.DUMMYFUNCTION("""COMPUTED_VALUE"""),131.77)</f>
        <v>131.77</v>
      </c>
      <c r="D9124" s="2">
        <f>IFERROR(__xludf.DUMMYFUNCTION("""COMPUTED_VALUE"""),129.97)</f>
        <v>129.97</v>
      </c>
      <c r="E9124" s="2">
        <f>IFERROR(__xludf.DUMMYFUNCTION("""COMPUTED_VALUE"""),131.62)</f>
        <v>131.62</v>
      </c>
      <c r="F9124" s="2">
        <f>IFERROR(__xludf.DUMMYFUNCTION("""COMPUTED_VALUE"""),5156228.0)</f>
        <v>5156228</v>
      </c>
    </row>
    <row r="9125">
      <c r="A9125" s="3">
        <f>IFERROR(__xludf.DUMMYFUNCTION("""COMPUTED_VALUE"""),42433.66666666667)</f>
        <v>42433.66667</v>
      </c>
      <c r="B9125" s="2">
        <f>IFERROR(__xludf.DUMMYFUNCTION("""COMPUTED_VALUE"""),131.37)</f>
        <v>131.37</v>
      </c>
      <c r="C9125" s="2">
        <f>IFERROR(__xludf.DUMMYFUNCTION("""COMPUTED_VALUE"""),133.17)</f>
        <v>133.17</v>
      </c>
      <c r="D9125" s="2">
        <f>IFERROR(__xludf.DUMMYFUNCTION("""COMPUTED_VALUE"""),130.88)</f>
        <v>130.88</v>
      </c>
      <c r="E9125" s="2">
        <f>IFERROR(__xludf.DUMMYFUNCTION("""COMPUTED_VALUE"""),131.62)</f>
        <v>131.62</v>
      </c>
      <c r="F9125" s="2">
        <f>IFERROR(__xludf.DUMMYFUNCTION("""COMPUTED_VALUE"""),3968423.0)</f>
        <v>3968423</v>
      </c>
    </row>
    <row r="9126">
      <c r="A9126" s="3">
        <f>IFERROR(__xludf.DUMMYFUNCTION("""COMPUTED_VALUE"""),42436.66666666667)</f>
        <v>42436.66667</v>
      </c>
      <c r="B9126" s="2">
        <f>IFERROR(__xludf.DUMMYFUNCTION("""COMPUTED_VALUE"""),131.12)</f>
        <v>131.12</v>
      </c>
      <c r="C9126" s="2">
        <f>IFERROR(__xludf.DUMMYFUNCTION("""COMPUTED_VALUE"""),134.21)</f>
        <v>134.21</v>
      </c>
      <c r="D9126" s="2">
        <f>IFERROR(__xludf.DUMMYFUNCTION("""COMPUTED_VALUE"""),130.74)</f>
        <v>130.74</v>
      </c>
      <c r="E9126" s="2">
        <f>IFERROR(__xludf.DUMMYFUNCTION("""COMPUTED_VALUE"""),133.87)</f>
        <v>133.87</v>
      </c>
      <c r="F9126" s="2">
        <f>IFERROR(__xludf.DUMMYFUNCTION("""COMPUTED_VALUE"""),5170233.0)</f>
        <v>5170233</v>
      </c>
    </row>
    <row r="9127">
      <c r="A9127" s="3">
        <f>IFERROR(__xludf.DUMMYFUNCTION("""COMPUTED_VALUE"""),42437.66666666667)</f>
        <v>42437.66667</v>
      </c>
      <c r="B9127" s="2">
        <f>IFERROR(__xludf.DUMMYFUNCTION("""COMPUTED_VALUE"""),133.45)</f>
        <v>133.45</v>
      </c>
      <c r="C9127" s="2">
        <f>IFERROR(__xludf.DUMMYFUNCTION("""COMPUTED_VALUE"""),134.06)</f>
        <v>134.06</v>
      </c>
      <c r="D9127" s="2">
        <f>IFERROR(__xludf.DUMMYFUNCTION("""COMPUTED_VALUE"""),131.26)</f>
        <v>131.26</v>
      </c>
      <c r="E9127" s="2">
        <f>IFERROR(__xludf.DUMMYFUNCTION("""COMPUTED_VALUE"""),132.83)</f>
        <v>132.83</v>
      </c>
      <c r="F9127" s="2">
        <f>IFERROR(__xludf.DUMMYFUNCTION("""COMPUTED_VALUE"""),5579031.0)</f>
        <v>5579031</v>
      </c>
    </row>
    <row r="9128">
      <c r="A9128" s="3">
        <f>IFERROR(__xludf.DUMMYFUNCTION("""COMPUTED_VALUE"""),42438.66666666667)</f>
        <v>42438.66667</v>
      </c>
      <c r="B9128" s="2">
        <f>IFERROR(__xludf.DUMMYFUNCTION("""COMPUTED_VALUE"""),133.06)</f>
        <v>133.06</v>
      </c>
      <c r="C9128" s="2">
        <f>IFERROR(__xludf.DUMMYFUNCTION("""COMPUTED_VALUE"""),135.8)</f>
        <v>135.8</v>
      </c>
      <c r="D9128" s="2">
        <f>IFERROR(__xludf.DUMMYFUNCTION("""COMPUTED_VALUE"""),132.99)</f>
        <v>132.99</v>
      </c>
      <c r="E9128" s="2">
        <f>IFERROR(__xludf.DUMMYFUNCTION("""COMPUTED_VALUE"""),134.11)</f>
        <v>134.11</v>
      </c>
      <c r="F9128" s="2">
        <f>IFERROR(__xludf.DUMMYFUNCTION("""COMPUTED_VALUE"""),4406304.0)</f>
        <v>4406304</v>
      </c>
    </row>
    <row r="9129">
      <c r="A9129" s="3">
        <f>IFERROR(__xludf.DUMMYFUNCTION("""COMPUTED_VALUE"""),42439.66666666667)</f>
        <v>42439.66667</v>
      </c>
      <c r="B9129" s="2">
        <f>IFERROR(__xludf.DUMMYFUNCTION("""COMPUTED_VALUE"""),134.91)</f>
        <v>134.91</v>
      </c>
      <c r="C9129" s="2">
        <f>IFERROR(__xludf.DUMMYFUNCTION("""COMPUTED_VALUE"""),135.13)</f>
        <v>135.13</v>
      </c>
      <c r="D9129" s="2">
        <f>IFERROR(__xludf.DUMMYFUNCTION("""COMPUTED_VALUE"""),131.9)</f>
        <v>131.9</v>
      </c>
      <c r="E9129" s="2">
        <f>IFERROR(__xludf.DUMMYFUNCTION("""COMPUTED_VALUE"""),133.9)</f>
        <v>133.9</v>
      </c>
      <c r="F9129" s="2">
        <f>IFERROR(__xludf.DUMMYFUNCTION("""COMPUTED_VALUE"""),4020554.0)</f>
        <v>4020554</v>
      </c>
    </row>
    <row r="9130">
      <c r="A9130" s="3">
        <f>IFERROR(__xludf.DUMMYFUNCTION("""COMPUTED_VALUE"""),42440.66666666667)</f>
        <v>42440.66667</v>
      </c>
      <c r="B9130" s="2">
        <f>IFERROR(__xludf.DUMMYFUNCTION("""COMPUTED_VALUE"""),135.38)</f>
        <v>135.38</v>
      </c>
      <c r="C9130" s="2">
        <f>IFERROR(__xludf.DUMMYFUNCTION("""COMPUTED_VALUE"""),136.52)</f>
        <v>136.52</v>
      </c>
      <c r="D9130" s="2">
        <f>IFERROR(__xludf.DUMMYFUNCTION("""COMPUTED_VALUE"""),134.21)</f>
        <v>134.21</v>
      </c>
      <c r="E9130" s="2">
        <f>IFERROR(__xludf.DUMMYFUNCTION("""COMPUTED_VALUE"""),135.98)</f>
        <v>135.98</v>
      </c>
      <c r="F9130" s="2">
        <f>IFERROR(__xludf.DUMMYFUNCTION("""COMPUTED_VALUE"""),4421748.0)</f>
        <v>4421748</v>
      </c>
    </row>
    <row r="9131">
      <c r="A9131" s="3">
        <f>IFERROR(__xludf.DUMMYFUNCTION("""COMPUTED_VALUE"""),42443.66666666667)</f>
        <v>42443.66667</v>
      </c>
      <c r="B9131" s="2">
        <f>IFERROR(__xludf.DUMMYFUNCTION("""COMPUTED_VALUE"""),135.64)</f>
        <v>135.64</v>
      </c>
      <c r="C9131" s="2">
        <f>IFERROR(__xludf.DUMMYFUNCTION("""COMPUTED_VALUE"""),136.77)</f>
        <v>136.77</v>
      </c>
      <c r="D9131" s="2">
        <f>IFERROR(__xludf.DUMMYFUNCTION("""COMPUTED_VALUE"""),134.72)</f>
        <v>134.72</v>
      </c>
      <c r="E9131" s="2">
        <f>IFERROR(__xludf.DUMMYFUNCTION("""COMPUTED_VALUE"""),136.38)</f>
        <v>136.38</v>
      </c>
      <c r="F9131" s="2">
        <f>IFERROR(__xludf.DUMMYFUNCTION("""COMPUTED_VALUE"""),4048637.0)</f>
        <v>4048637</v>
      </c>
    </row>
    <row r="9132">
      <c r="A9132" s="3">
        <f>IFERROR(__xludf.DUMMYFUNCTION("""COMPUTED_VALUE"""),42444.66666666667)</f>
        <v>42444.66667</v>
      </c>
      <c r="B9132" s="2">
        <f>IFERROR(__xludf.DUMMYFUNCTION("""COMPUTED_VALUE"""),135.38)</f>
        <v>135.38</v>
      </c>
      <c r="C9132" s="2">
        <f>IFERROR(__xludf.DUMMYFUNCTION("""COMPUTED_VALUE"""),136.9)</f>
        <v>136.9</v>
      </c>
      <c r="D9132" s="2">
        <f>IFERROR(__xludf.DUMMYFUNCTION("""COMPUTED_VALUE"""),135.19)</f>
        <v>135.19</v>
      </c>
      <c r="E9132" s="2">
        <f>IFERROR(__xludf.DUMMYFUNCTION("""COMPUTED_VALUE"""),136.55)</f>
        <v>136.55</v>
      </c>
      <c r="F9132" s="2">
        <f>IFERROR(__xludf.DUMMYFUNCTION("""COMPUTED_VALUE"""),3707538.0)</f>
        <v>3707538</v>
      </c>
    </row>
    <row r="9133">
      <c r="A9133" s="3">
        <f>IFERROR(__xludf.DUMMYFUNCTION("""COMPUTED_VALUE"""),42445.66666666667)</f>
        <v>42445.66667</v>
      </c>
      <c r="B9133" s="2">
        <f>IFERROR(__xludf.DUMMYFUNCTION("""COMPUTED_VALUE"""),136.23)</f>
        <v>136.23</v>
      </c>
      <c r="C9133" s="2">
        <f>IFERROR(__xludf.DUMMYFUNCTION("""COMPUTED_VALUE"""),138.38)</f>
        <v>138.38</v>
      </c>
      <c r="D9133" s="2">
        <f>IFERROR(__xludf.DUMMYFUNCTION("""COMPUTED_VALUE"""),135.74)</f>
        <v>135.74</v>
      </c>
      <c r="E9133" s="2">
        <f>IFERROR(__xludf.DUMMYFUNCTION("""COMPUTED_VALUE"""),138.3)</f>
        <v>138.3</v>
      </c>
      <c r="F9133" s="2">
        <f>IFERROR(__xludf.DUMMYFUNCTION("""COMPUTED_VALUE"""),4221604.0)</f>
        <v>4221604</v>
      </c>
    </row>
    <row r="9134">
      <c r="A9134" s="3">
        <f>IFERROR(__xludf.DUMMYFUNCTION("""COMPUTED_VALUE"""),42446.66666666667)</f>
        <v>42446.66667</v>
      </c>
      <c r="B9134" s="2">
        <f>IFERROR(__xludf.DUMMYFUNCTION("""COMPUTED_VALUE"""),138.29)</f>
        <v>138.29</v>
      </c>
      <c r="C9134" s="2">
        <f>IFERROR(__xludf.DUMMYFUNCTION("""COMPUTED_VALUE"""),140.71)</f>
        <v>140.71</v>
      </c>
      <c r="D9134" s="2">
        <f>IFERROR(__xludf.DUMMYFUNCTION("""COMPUTED_VALUE"""),137.97)</f>
        <v>137.97</v>
      </c>
      <c r="E9134" s="2">
        <f>IFERROR(__xludf.DUMMYFUNCTION("""COMPUTED_VALUE"""),140.45)</f>
        <v>140.45</v>
      </c>
      <c r="F9134" s="2">
        <f>IFERROR(__xludf.DUMMYFUNCTION("""COMPUTED_VALUE"""),1987596.0)</f>
        <v>1987596</v>
      </c>
    </row>
    <row r="9135">
      <c r="A9135" s="3">
        <f>IFERROR(__xludf.DUMMYFUNCTION("""COMPUTED_VALUE"""),42447.66666666667)</f>
        <v>42447.66667</v>
      </c>
      <c r="B9135" s="2">
        <f>IFERROR(__xludf.DUMMYFUNCTION("""COMPUTED_VALUE"""),140.79)</f>
        <v>140.79</v>
      </c>
      <c r="C9135" s="2">
        <f>IFERROR(__xludf.DUMMYFUNCTION("""COMPUTED_VALUE"""),140.9)</f>
        <v>140.9</v>
      </c>
      <c r="D9135" s="2">
        <f>IFERROR(__xludf.DUMMYFUNCTION("""COMPUTED_VALUE"""),138.99)</f>
        <v>138.99</v>
      </c>
      <c r="E9135" s="2">
        <f>IFERROR(__xludf.DUMMYFUNCTION("""COMPUTED_VALUE"""),140.5)</f>
        <v>140.5</v>
      </c>
      <c r="F9135" s="2">
        <f>IFERROR(__xludf.DUMMYFUNCTION("""COMPUTED_VALUE"""),1.2089526E7)</f>
        <v>12089526</v>
      </c>
    </row>
    <row r="9136">
      <c r="A9136" s="3">
        <f>IFERROR(__xludf.DUMMYFUNCTION("""COMPUTED_VALUE"""),42450.66666666667)</f>
        <v>42450.66667</v>
      </c>
      <c r="B9136" s="2">
        <f>IFERROR(__xludf.DUMMYFUNCTION("""COMPUTED_VALUE"""),140.7)</f>
        <v>140.7</v>
      </c>
      <c r="C9136" s="2">
        <f>IFERROR(__xludf.DUMMYFUNCTION("""COMPUTED_VALUE"""),142.04)</f>
        <v>142.04</v>
      </c>
      <c r="D9136" s="2">
        <f>IFERROR(__xludf.DUMMYFUNCTION("""COMPUTED_VALUE"""),140.14)</f>
        <v>140.14</v>
      </c>
      <c r="E9136" s="2">
        <f>IFERROR(__xludf.DUMMYFUNCTION("""COMPUTED_VALUE"""),141.97)</f>
        <v>141.97</v>
      </c>
      <c r="F9136" s="2">
        <f>IFERROR(__xludf.DUMMYFUNCTION("""COMPUTED_VALUE"""),3721463.0)</f>
        <v>3721463</v>
      </c>
    </row>
    <row r="9137">
      <c r="A9137" s="3">
        <f>IFERROR(__xludf.DUMMYFUNCTION("""COMPUTED_VALUE"""),42451.66666666667)</f>
        <v>42451.66667</v>
      </c>
      <c r="B9137" s="2">
        <f>IFERROR(__xludf.DUMMYFUNCTION("""COMPUTED_VALUE"""),141.42)</f>
        <v>141.42</v>
      </c>
      <c r="C9137" s="2">
        <f>IFERROR(__xludf.DUMMYFUNCTION("""COMPUTED_VALUE"""),142.59)</f>
        <v>142.59</v>
      </c>
      <c r="D9137" s="2">
        <f>IFERROR(__xludf.DUMMYFUNCTION("""COMPUTED_VALUE"""),141.21)</f>
        <v>141.21</v>
      </c>
      <c r="E9137" s="2">
        <f>IFERROR(__xludf.DUMMYFUNCTION("""COMPUTED_VALUE"""),141.46)</f>
        <v>141.46</v>
      </c>
      <c r="F9137" s="2">
        <f>IFERROR(__xludf.DUMMYFUNCTION("""COMPUTED_VALUE"""),4081924.0)</f>
        <v>4081924</v>
      </c>
    </row>
    <row r="9138">
      <c r="A9138" s="3">
        <f>IFERROR(__xludf.DUMMYFUNCTION("""COMPUTED_VALUE"""),42452.66666666667)</f>
        <v>42452.66667</v>
      </c>
      <c r="B9138" s="2">
        <f>IFERROR(__xludf.DUMMYFUNCTION("""COMPUTED_VALUE"""),141.36)</f>
        <v>141.36</v>
      </c>
      <c r="C9138" s="2">
        <f>IFERROR(__xludf.DUMMYFUNCTION("""COMPUTED_VALUE"""),141.39)</f>
        <v>141.39</v>
      </c>
      <c r="D9138" s="2">
        <f>IFERROR(__xludf.DUMMYFUNCTION("""COMPUTED_VALUE"""),138.62)</f>
        <v>138.62</v>
      </c>
      <c r="E9138" s="2">
        <f>IFERROR(__xludf.DUMMYFUNCTION("""COMPUTED_VALUE"""),138.88)</f>
        <v>138.88</v>
      </c>
      <c r="F9138" s="2">
        <f>IFERROR(__xludf.DUMMYFUNCTION("""COMPUTED_VALUE"""),4763992.0)</f>
        <v>4763992</v>
      </c>
    </row>
    <row r="9139">
      <c r="A9139" s="3">
        <f>IFERROR(__xludf.DUMMYFUNCTION("""COMPUTED_VALUE"""),42453.66666666667)</f>
        <v>42453.66667</v>
      </c>
      <c r="B9139" s="2">
        <f>IFERROR(__xludf.DUMMYFUNCTION("""COMPUTED_VALUE"""),138.48)</f>
        <v>138.48</v>
      </c>
      <c r="C9139" s="2">
        <f>IFERROR(__xludf.DUMMYFUNCTION("""COMPUTED_VALUE"""),141.57)</f>
        <v>141.57</v>
      </c>
      <c r="D9139" s="2">
        <f>IFERROR(__xludf.DUMMYFUNCTION("""COMPUTED_VALUE"""),138.01)</f>
        <v>138.01</v>
      </c>
      <c r="E9139" s="2">
        <f>IFERROR(__xludf.DUMMYFUNCTION("""COMPUTED_VALUE"""),141.32)</f>
        <v>141.32</v>
      </c>
      <c r="F9139" s="2">
        <f>IFERROR(__xludf.DUMMYFUNCTION("""COMPUTED_VALUE"""),5044535.0)</f>
        <v>5044535</v>
      </c>
    </row>
    <row r="9140">
      <c r="A9140" s="3">
        <f>IFERROR(__xludf.DUMMYFUNCTION("""COMPUTED_VALUE"""),42457.66666666667)</f>
        <v>42457.66667</v>
      </c>
      <c r="B9140" s="2">
        <f>IFERROR(__xludf.DUMMYFUNCTION("""COMPUTED_VALUE"""),141.13)</f>
        <v>141.13</v>
      </c>
      <c r="C9140" s="2">
        <f>IFERROR(__xludf.DUMMYFUNCTION("""COMPUTED_VALUE"""),141.99)</f>
        <v>141.99</v>
      </c>
      <c r="D9140" s="2">
        <f>IFERROR(__xludf.DUMMYFUNCTION("""COMPUTED_VALUE"""),140.63)</f>
        <v>140.63</v>
      </c>
      <c r="E9140" s="2">
        <f>IFERROR(__xludf.DUMMYFUNCTION("""COMPUTED_VALUE"""),141.75)</f>
        <v>141.75</v>
      </c>
      <c r="F9140" s="2">
        <f>IFERROR(__xludf.DUMMYFUNCTION("""COMPUTED_VALUE"""),3265084.0)</f>
        <v>3265084</v>
      </c>
    </row>
    <row r="9141">
      <c r="A9141" s="3">
        <f>IFERROR(__xludf.DUMMYFUNCTION("""COMPUTED_VALUE"""),42458.66666666667)</f>
        <v>42458.66667</v>
      </c>
      <c r="B9141" s="2">
        <f>IFERROR(__xludf.DUMMYFUNCTION("""COMPUTED_VALUE"""),140.97)</f>
        <v>140.97</v>
      </c>
      <c r="C9141" s="2">
        <f>IFERROR(__xludf.DUMMYFUNCTION("""COMPUTED_VALUE"""),143.05)</f>
        <v>143.05</v>
      </c>
      <c r="D9141" s="2">
        <f>IFERROR(__xludf.DUMMYFUNCTION("""COMPUTED_VALUE"""),140.89)</f>
        <v>140.89</v>
      </c>
      <c r="E9141" s="2">
        <f>IFERROR(__xludf.DUMMYFUNCTION("""COMPUTED_VALUE"""),142.63)</f>
        <v>142.63</v>
      </c>
      <c r="F9141" s="2">
        <f>IFERROR(__xludf.DUMMYFUNCTION("""COMPUTED_VALUE"""),3138438.0)</f>
        <v>3138438</v>
      </c>
    </row>
    <row r="9142">
      <c r="A9142" s="3">
        <f>IFERROR(__xludf.DUMMYFUNCTION("""COMPUTED_VALUE"""),42459.66666666667)</f>
        <v>42459.66667</v>
      </c>
      <c r="B9142" s="2">
        <f>IFERROR(__xludf.DUMMYFUNCTION("""COMPUTED_VALUE"""),143.23)</f>
        <v>143.23</v>
      </c>
      <c r="C9142" s="2">
        <f>IFERROR(__xludf.DUMMYFUNCTION("""COMPUTED_VALUE"""),143.67)</f>
        <v>143.67</v>
      </c>
      <c r="D9142" s="2">
        <f>IFERROR(__xludf.DUMMYFUNCTION("""COMPUTED_VALUE"""),141.67)</f>
        <v>141.67</v>
      </c>
      <c r="E9142" s="2">
        <f>IFERROR(__xludf.DUMMYFUNCTION("""COMPUTED_VALUE"""),141.76)</f>
        <v>141.76</v>
      </c>
      <c r="F9142" s="2">
        <f>IFERROR(__xludf.DUMMYFUNCTION("""COMPUTED_VALUE"""),3330891.0)</f>
        <v>3330891</v>
      </c>
    </row>
    <row r="9143">
      <c r="A9143" s="3">
        <f>IFERROR(__xludf.DUMMYFUNCTION("""COMPUTED_VALUE"""),42460.66666666667)</f>
        <v>42460.66667</v>
      </c>
      <c r="B9143" s="2">
        <f>IFERROR(__xludf.DUMMYFUNCTION("""COMPUTED_VALUE"""),143.07)</f>
        <v>143.07</v>
      </c>
      <c r="C9143" s="2">
        <f>IFERROR(__xludf.DUMMYFUNCTION("""COMPUTED_VALUE"""),146.24)</f>
        <v>146.24</v>
      </c>
      <c r="D9143" s="2">
        <f>IFERROR(__xludf.DUMMYFUNCTION("""COMPUTED_VALUE"""),142.66)</f>
        <v>142.66</v>
      </c>
      <c r="E9143" s="2">
        <f>IFERROR(__xludf.DUMMYFUNCTION("""COMPUTED_VALUE"""),144.66)</f>
        <v>144.66</v>
      </c>
      <c r="F9143" s="2">
        <f>IFERROR(__xludf.DUMMYFUNCTION("""COMPUTED_VALUE"""),6780132.0)</f>
        <v>6780132</v>
      </c>
    </row>
    <row r="9144">
      <c r="A9144" s="3">
        <f>IFERROR(__xludf.DUMMYFUNCTION("""COMPUTED_VALUE"""),42461.66666666667)</f>
        <v>42461.66667</v>
      </c>
      <c r="B9144" s="2">
        <f>IFERROR(__xludf.DUMMYFUNCTION("""COMPUTED_VALUE"""),143.76)</f>
        <v>143.76</v>
      </c>
      <c r="C9144" s="2">
        <f>IFERROR(__xludf.DUMMYFUNCTION("""COMPUTED_VALUE"""),146.1)</f>
        <v>146.1</v>
      </c>
      <c r="D9144" s="2">
        <f>IFERROR(__xludf.DUMMYFUNCTION("""COMPUTED_VALUE"""),143.51)</f>
        <v>143.51</v>
      </c>
      <c r="E9144" s="2">
        <f>IFERROR(__xludf.DUMMYFUNCTION("""COMPUTED_VALUE"""),145.68)</f>
        <v>145.68</v>
      </c>
      <c r="F9144" s="2">
        <f>IFERROR(__xludf.DUMMYFUNCTION("""COMPUTED_VALUE"""),3925181.0)</f>
        <v>3925181</v>
      </c>
    </row>
    <row r="9145">
      <c r="A9145" s="3">
        <f>IFERROR(__xludf.DUMMYFUNCTION("""COMPUTED_VALUE"""),42464.66666666667)</f>
        <v>42464.66667</v>
      </c>
      <c r="B9145" s="2">
        <f>IFERROR(__xludf.DUMMYFUNCTION("""COMPUTED_VALUE"""),145.51)</f>
        <v>145.51</v>
      </c>
      <c r="C9145" s="2">
        <f>IFERROR(__xludf.DUMMYFUNCTION("""COMPUTED_VALUE"""),146.64)</f>
        <v>146.64</v>
      </c>
      <c r="D9145" s="2">
        <f>IFERROR(__xludf.DUMMYFUNCTION("""COMPUTED_VALUE"""),145.1)</f>
        <v>145.1</v>
      </c>
      <c r="E9145" s="2">
        <f>IFERROR(__xludf.DUMMYFUNCTION("""COMPUTED_VALUE"""),145.25)</f>
        <v>145.25</v>
      </c>
      <c r="F9145" s="2">
        <f>IFERROR(__xludf.DUMMYFUNCTION("""COMPUTED_VALUE"""),3930319.0)</f>
        <v>3930319</v>
      </c>
    </row>
    <row r="9146">
      <c r="A9146" s="3">
        <f>IFERROR(__xludf.DUMMYFUNCTION("""COMPUTED_VALUE"""),42465.66666666667)</f>
        <v>42465.66667</v>
      </c>
      <c r="B9146" s="2">
        <f>IFERROR(__xludf.DUMMYFUNCTION("""COMPUTED_VALUE"""),144.64)</f>
        <v>144.64</v>
      </c>
      <c r="C9146" s="2">
        <f>IFERROR(__xludf.DUMMYFUNCTION("""COMPUTED_VALUE"""),144.8)</f>
        <v>144.8</v>
      </c>
      <c r="D9146" s="2">
        <f>IFERROR(__xludf.DUMMYFUNCTION("""COMPUTED_VALUE"""),142.94)</f>
        <v>142.94</v>
      </c>
      <c r="E9146" s="2">
        <f>IFERROR(__xludf.DUMMYFUNCTION("""COMPUTED_VALUE"""),143.27)</f>
        <v>143.27</v>
      </c>
      <c r="F9146" s="2">
        <f>IFERROR(__xludf.DUMMYFUNCTION("""COMPUTED_VALUE"""),3336952.0)</f>
        <v>3336952</v>
      </c>
    </row>
    <row r="9147">
      <c r="A9147" s="3">
        <f>IFERROR(__xludf.DUMMYFUNCTION("""COMPUTED_VALUE"""),42466.66666666667)</f>
        <v>42466.66667</v>
      </c>
      <c r="B9147" s="2">
        <f>IFERROR(__xludf.DUMMYFUNCTION("""COMPUTED_VALUE"""),143.18)</f>
        <v>143.18</v>
      </c>
      <c r="C9147" s="2">
        <f>IFERROR(__xludf.DUMMYFUNCTION("""COMPUTED_VALUE"""),143.42)</f>
        <v>143.42</v>
      </c>
      <c r="D9147" s="2">
        <f>IFERROR(__xludf.DUMMYFUNCTION("""COMPUTED_VALUE"""),141.18)</f>
        <v>141.18</v>
      </c>
      <c r="E9147" s="2">
        <f>IFERROR(__xludf.DUMMYFUNCTION("""COMPUTED_VALUE"""),143.29)</f>
        <v>143.29</v>
      </c>
      <c r="F9147" s="2">
        <f>IFERROR(__xludf.DUMMYFUNCTION("""COMPUTED_VALUE"""),4194379.0)</f>
        <v>4194379</v>
      </c>
    </row>
    <row r="9148">
      <c r="A9148" s="3">
        <f>IFERROR(__xludf.DUMMYFUNCTION("""COMPUTED_VALUE"""),42467.66666666667)</f>
        <v>42467.66667</v>
      </c>
      <c r="B9148" s="2">
        <f>IFERROR(__xludf.DUMMYFUNCTION("""COMPUTED_VALUE"""),142.39)</f>
        <v>142.39</v>
      </c>
      <c r="C9148" s="2">
        <f>IFERROR(__xludf.DUMMYFUNCTION("""COMPUTED_VALUE"""),142.89)</f>
        <v>142.89</v>
      </c>
      <c r="D9148" s="2">
        <f>IFERROR(__xludf.DUMMYFUNCTION("""COMPUTED_VALUE"""),141.36)</f>
        <v>141.36</v>
      </c>
      <c r="E9148" s="2">
        <f>IFERROR(__xludf.DUMMYFUNCTION("""COMPUTED_VALUE"""),141.6)</f>
        <v>141.6</v>
      </c>
      <c r="F9148" s="2">
        <f>IFERROR(__xludf.DUMMYFUNCTION("""COMPUTED_VALUE"""),3662668.0)</f>
        <v>3662668</v>
      </c>
    </row>
    <row r="9149">
      <c r="A9149" s="3">
        <f>IFERROR(__xludf.DUMMYFUNCTION("""COMPUTED_VALUE"""),42468.66666666667)</f>
        <v>42468.66667</v>
      </c>
      <c r="B9149" s="2">
        <f>IFERROR(__xludf.DUMMYFUNCTION("""COMPUTED_VALUE"""),142.38)</f>
        <v>142.38</v>
      </c>
      <c r="C9149" s="2">
        <f>IFERROR(__xludf.DUMMYFUNCTION("""COMPUTED_VALUE"""),143.27)</f>
        <v>143.27</v>
      </c>
      <c r="D9149" s="2">
        <f>IFERROR(__xludf.DUMMYFUNCTION("""COMPUTED_VALUE"""),141.48)</f>
        <v>141.48</v>
      </c>
      <c r="E9149" s="2">
        <f>IFERROR(__xludf.DUMMYFUNCTION("""COMPUTED_VALUE"""),142.65)</f>
        <v>142.65</v>
      </c>
      <c r="F9149" s="2">
        <f>IFERROR(__xludf.DUMMYFUNCTION("""COMPUTED_VALUE"""),3293512.0)</f>
        <v>3293512</v>
      </c>
    </row>
    <row r="9150">
      <c r="A9150" s="3">
        <f>IFERROR(__xludf.DUMMYFUNCTION("""COMPUTED_VALUE"""),42471.66666666667)</f>
        <v>42471.66667</v>
      </c>
      <c r="B9150" s="2">
        <f>IFERROR(__xludf.DUMMYFUNCTION("""COMPUTED_VALUE"""),143.52)</f>
        <v>143.52</v>
      </c>
      <c r="C9150" s="2">
        <f>IFERROR(__xludf.DUMMYFUNCTION("""COMPUTED_VALUE"""),145.14)</f>
        <v>145.14</v>
      </c>
      <c r="D9150" s="2">
        <f>IFERROR(__xludf.DUMMYFUNCTION("""COMPUTED_VALUE"""),142.53)</f>
        <v>142.53</v>
      </c>
      <c r="E9150" s="2">
        <f>IFERROR(__xludf.DUMMYFUNCTION("""COMPUTED_VALUE"""),142.56)</f>
        <v>142.56</v>
      </c>
      <c r="F9150" s="2">
        <f>IFERROR(__xludf.DUMMYFUNCTION("""COMPUTED_VALUE"""),3845918.0)</f>
        <v>3845918</v>
      </c>
    </row>
    <row r="9151">
      <c r="A9151" s="3">
        <f>IFERROR(__xludf.DUMMYFUNCTION("""COMPUTED_VALUE"""),42472.66666666667)</f>
        <v>42472.66667</v>
      </c>
      <c r="B9151" s="2">
        <f>IFERROR(__xludf.DUMMYFUNCTION("""COMPUTED_VALUE"""),142.9)</f>
        <v>142.9</v>
      </c>
      <c r="C9151" s="2">
        <f>IFERROR(__xludf.DUMMYFUNCTION("""COMPUTED_VALUE"""),143.38)</f>
        <v>143.38</v>
      </c>
      <c r="D9151" s="2">
        <f>IFERROR(__xludf.DUMMYFUNCTION("""COMPUTED_VALUE"""),141.92)</f>
        <v>141.92</v>
      </c>
      <c r="E9151" s="2">
        <f>IFERROR(__xludf.DUMMYFUNCTION("""COMPUTED_VALUE"""),142.92)</f>
        <v>142.92</v>
      </c>
      <c r="F9151" s="2">
        <f>IFERROR(__xludf.DUMMYFUNCTION("""COMPUTED_VALUE"""),3595549.0)</f>
        <v>3595549</v>
      </c>
    </row>
    <row r="9152">
      <c r="A9152" s="3">
        <f>IFERROR(__xludf.DUMMYFUNCTION("""COMPUTED_VALUE"""),42473.66666666667)</f>
        <v>42473.66667</v>
      </c>
      <c r="B9152" s="2">
        <f>IFERROR(__xludf.DUMMYFUNCTION("""COMPUTED_VALUE"""),143.99)</f>
        <v>143.99</v>
      </c>
      <c r="C9152" s="2">
        <f>IFERROR(__xludf.DUMMYFUNCTION("""COMPUTED_VALUE"""),144.45)</f>
        <v>144.45</v>
      </c>
      <c r="D9152" s="2">
        <f>IFERROR(__xludf.DUMMYFUNCTION("""COMPUTED_VALUE"""),142.92)</f>
        <v>142.92</v>
      </c>
      <c r="E9152" s="2">
        <f>IFERROR(__xludf.DUMMYFUNCTION("""COMPUTED_VALUE"""),144.45)</f>
        <v>144.45</v>
      </c>
      <c r="F9152" s="2">
        <f>IFERROR(__xludf.DUMMYFUNCTION("""COMPUTED_VALUE"""),3168030.0)</f>
        <v>3168030</v>
      </c>
    </row>
    <row r="9153">
      <c r="A9153" s="3">
        <f>IFERROR(__xludf.DUMMYFUNCTION("""COMPUTED_VALUE"""),42474.66666666667)</f>
        <v>42474.66667</v>
      </c>
      <c r="B9153" s="2">
        <f>IFERROR(__xludf.DUMMYFUNCTION("""COMPUTED_VALUE"""),144.71)</f>
        <v>144.71</v>
      </c>
      <c r="C9153" s="2">
        <f>IFERROR(__xludf.DUMMYFUNCTION("""COMPUTED_VALUE"""),145.91)</f>
        <v>145.91</v>
      </c>
      <c r="D9153" s="2">
        <f>IFERROR(__xludf.DUMMYFUNCTION("""COMPUTED_VALUE"""),143.64)</f>
        <v>143.64</v>
      </c>
      <c r="E9153" s="2">
        <f>IFERROR(__xludf.DUMMYFUNCTION("""COMPUTED_VALUE"""),144.38)</f>
        <v>144.38</v>
      </c>
      <c r="F9153" s="2">
        <f>IFERROR(__xludf.DUMMYFUNCTION("""COMPUTED_VALUE"""),3176300.0)</f>
        <v>3176300</v>
      </c>
    </row>
    <row r="9154">
      <c r="A9154" s="3">
        <f>IFERROR(__xludf.DUMMYFUNCTION("""COMPUTED_VALUE"""),42475.66666666667)</f>
        <v>42475.66667</v>
      </c>
      <c r="B9154" s="2">
        <f>IFERROR(__xludf.DUMMYFUNCTION("""COMPUTED_VALUE"""),144.27)</f>
        <v>144.27</v>
      </c>
      <c r="C9154" s="2">
        <f>IFERROR(__xludf.DUMMYFUNCTION("""COMPUTED_VALUE"""),145.28)</f>
        <v>145.28</v>
      </c>
      <c r="D9154" s="2">
        <f>IFERROR(__xludf.DUMMYFUNCTION("""COMPUTED_VALUE"""),144.19)</f>
        <v>144.19</v>
      </c>
      <c r="E9154" s="2">
        <f>IFERROR(__xludf.DUMMYFUNCTION("""COMPUTED_VALUE"""),144.92)</f>
        <v>144.92</v>
      </c>
      <c r="F9154" s="2">
        <f>IFERROR(__xludf.DUMMYFUNCTION("""COMPUTED_VALUE"""),3657466.0)</f>
        <v>3657466</v>
      </c>
    </row>
    <row r="9155">
      <c r="A9155" s="3">
        <f>IFERROR(__xludf.DUMMYFUNCTION("""COMPUTED_VALUE"""),42478.66666666667)</f>
        <v>42478.66667</v>
      </c>
      <c r="B9155" s="2">
        <f>IFERROR(__xludf.DUMMYFUNCTION("""COMPUTED_VALUE"""),144.95)</f>
        <v>144.95</v>
      </c>
      <c r="C9155" s="2">
        <f>IFERROR(__xludf.DUMMYFUNCTION("""COMPUTED_VALUE"""),146.27)</f>
        <v>146.27</v>
      </c>
      <c r="D9155" s="2">
        <f>IFERROR(__xludf.DUMMYFUNCTION("""COMPUTED_VALUE"""),144.7)</f>
        <v>144.7</v>
      </c>
      <c r="E9155" s="2">
        <f>IFERROR(__xludf.DUMMYFUNCTION("""COMPUTED_VALUE"""),145.69)</f>
        <v>145.69</v>
      </c>
      <c r="F9155" s="2">
        <f>IFERROR(__xludf.DUMMYFUNCTION("""COMPUTED_VALUE"""),6550389.0)</f>
        <v>6550389</v>
      </c>
    </row>
    <row r="9156">
      <c r="A9156" s="3">
        <f>IFERROR(__xludf.DUMMYFUNCTION("""COMPUTED_VALUE"""),42479.66666666667)</f>
        <v>42479.66667</v>
      </c>
      <c r="B9156" s="2">
        <f>IFERROR(__xludf.DUMMYFUNCTION("""COMPUTED_VALUE"""),139.9)</f>
        <v>139.9</v>
      </c>
      <c r="C9156" s="2">
        <f>IFERROR(__xludf.DUMMYFUNCTION("""COMPUTED_VALUE"""),140.36)</f>
        <v>140.36</v>
      </c>
      <c r="D9156" s="2">
        <f>IFERROR(__xludf.DUMMYFUNCTION("""COMPUTED_VALUE"""),136.22)</f>
        <v>136.22</v>
      </c>
      <c r="E9156" s="2">
        <f>IFERROR(__xludf.DUMMYFUNCTION("""COMPUTED_VALUE"""),137.54)</f>
        <v>137.54</v>
      </c>
      <c r="F9156" s="2">
        <f>IFERROR(__xludf.DUMMYFUNCTION("""COMPUTED_VALUE"""),1.3188353E7)</f>
        <v>13188353</v>
      </c>
    </row>
    <row r="9157">
      <c r="A9157" s="3">
        <f>IFERROR(__xludf.DUMMYFUNCTION("""COMPUTED_VALUE"""),42480.66666666667)</f>
        <v>42480.66667</v>
      </c>
      <c r="B9157" s="2">
        <f>IFERROR(__xludf.DUMMYFUNCTION("""COMPUTED_VALUE"""),137.77)</f>
        <v>137.77</v>
      </c>
      <c r="C9157" s="2">
        <f>IFERROR(__xludf.DUMMYFUNCTION("""COMPUTED_VALUE"""),140.6)</f>
        <v>140.6</v>
      </c>
      <c r="D9157" s="2">
        <f>IFERROR(__xludf.DUMMYFUNCTION("""COMPUTED_VALUE"""),137.54)</f>
        <v>137.54</v>
      </c>
      <c r="E9157" s="2">
        <f>IFERROR(__xludf.DUMMYFUNCTION("""COMPUTED_VALUE"""),139.56)</f>
        <v>139.56</v>
      </c>
      <c r="F9157" s="2">
        <f>IFERROR(__xludf.DUMMYFUNCTION("""COMPUTED_VALUE"""),6754189.0)</f>
        <v>6754189</v>
      </c>
    </row>
    <row r="9158">
      <c r="A9158" s="3">
        <f>IFERROR(__xludf.DUMMYFUNCTION("""COMPUTED_VALUE"""),42481.66666666667)</f>
        <v>42481.66667</v>
      </c>
      <c r="B9158" s="2">
        <f>IFERROR(__xludf.DUMMYFUNCTION("""COMPUTED_VALUE"""),140.01)</f>
        <v>140.01</v>
      </c>
      <c r="C9158" s="2">
        <f>IFERROR(__xludf.DUMMYFUNCTION("""COMPUTED_VALUE"""),143.39)</f>
        <v>143.39</v>
      </c>
      <c r="D9158" s="2">
        <f>IFERROR(__xludf.DUMMYFUNCTION("""COMPUTED_VALUE"""),139.89)</f>
        <v>139.89</v>
      </c>
      <c r="E9158" s="2">
        <f>IFERROR(__xludf.DUMMYFUNCTION("""COMPUTED_VALUE"""),142.61)</f>
        <v>142.61</v>
      </c>
      <c r="F9158" s="2">
        <f>IFERROR(__xludf.DUMMYFUNCTION("""COMPUTED_VALUE"""),6015826.0)</f>
        <v>6015826</v>
      </c>
    </row>
    <row r="9159">
      <c r="A9159" s="3">
        <f>IFERROR(__xludf.DUMMYFUNCTION("""COMPUTED_VALUE"""),42482.66666666667)</f>
        <v>42482.66667</v>
      </c>
      <c r="B9159" s="2">
        <f>IFERROR(__xludf.DUMMYFUNCTION("""COMPUTED_VALUE"""),142.74)</f>
        <v>142.74</v>
      </c>
      <c r="C9159" s="2">
        <f>IFERROR(__xludf.DUMMYFUNCTION("""COMPUTED_VALUE"""),144.23)</f>
        <v>144.23</v>
      </c>
      <c r="D9159" s="2">
        <f>IFERROR(__xludf.DUMMYFUNCTION("""COMPUTED_VALUE"""),140.89)</f>
        <v>140.89</v>
      </c>
      <c r="E9159" s="2">
        <f>IFERROR(__xludf.DUMMYFUNCTION("""COMPUTED_VALUE"""),141.84)</f>
        <v>141.84</v>
      </c>
      <c r="F9159" s="2">
        <f>IFERROR(__xludf.DUMMYFUNCTION("""COMPUTED_VALUE"""),5191802.0)</f>
        <v>5191802</v>
      </c>
    </row>
    <row r="9160">
      <c r="A9160" s="3">
        <f>IFERROR(__xludf.DUMMYFUNCTION("""COMPUTED_VALUE"""),42485.66666666667)</f>
        <v>42485.66667</v>
      </c>
      <c r="B9160" s="2">
        <f>IFERROR(__xludf.DUMMYFUNCTION("""COMPUTED_VALUE"""),141.52)</f>
        <v>141.52</v>
      </c>
      <c r="C9160" s="2">
        <f>IFERROR(__xludf.DUMMYFUNCTION("""COMPUTED_VALUE"""),142.22)</f>
        <v>142.22</v>
      </c>
      <c r="D9160" s="2">
        <f>IFERROR(__xludf.DUMMYFUNCTION("""COMPUTED_VALUE"""),140.51)</f>
        <v>140.51</v>
      </c>
      <c r="E9160" s="2">
        <f>IFERROR(__xludf.DUMMYFUNCTION("""COMPUTED_VALUE"""),142.14)</f>
        <v>142.14</v>
      </c>
      <c r="F9160" s="2">
        <f>IFERROR(__xludf.DUMMYFUNCTION("""COMPUTED_VALUE"""),2848835.0)</f>
        <v>2848835</v>
      </c>
    </row>
    <row r="9161">
      <c r="A9161" s="3">
        <f>IFERROR(__xludf.DUMMYFUNCTION("""COMPUTED_VALUE"""),42486.66666666667)</f>
        <v>42486.66667</v>
      </c>
      <c r="B9161" s="2">
        <f>IFERROR(__xludf.DUMMYFUNCTION("""COMPUTED_VALUE"""),141.99)</f>
        <v>141.99</v>
      </c>
      <c r="C9161" s="2">
        <f>IFERROR(__xludf.DUMMYFUNCTION("""COMPUTED_VALUE"""),143.07)</f>
        <v>143.07</v>
      </c>
      <c r="D9161" s="2">
        <f>IFERROR(__xludf.DUMMYFUNCTION("""COMPUTED_VALUE"""),141.27)</f>
        <v>141.27</v>
      </c>
      <c r="E9161" s="2">
        <f>IFERROR(__xludf.DUMMYFUNCTION("""COMPUTED_VALUE"""),142.4)</f>
        <v>142.4</v>
      </c>
      <c r="F9161" s="2">
        <f>IFERROR(__xludf.DUMMYFUNCTION("""COMPUTED_VALUE"""),2979800.0)</f>
        <v>2979800</v>
      </c>
    </row>
    <row r="9162">
      <c r="A9162" s="3">
        <f>IFERROR(__xludf.DUMMYFUNCTION("""COMPUTED_VALUE"""),42487.66666666667)</f>
        <v>42487.66667</v>
      </c>
      <c r="B9162" s="2">
        <f>IFERROR(__xludf.DUMMYFUNCTION("""COMPUTED_VALUE"""),142.65)</f>
        <v>142.65</v>
      </c>
      <c r="C9162" s="2">
        <f>IFERROR(__xludf.DUMMYFUNCTION("""COMPUTED_VALUE"""),144.02)</f>
        <v>144.02</v>
      </c>
      <c r="D9162" s="2">
        <f>IFERROR(__xludf.DUMMYFUNCTION("""COMPUTED_VALUE"""),142.29)</f>
        <v>142.29</v>
      </c>
      <c r="E9162" s="2">
        <f>IFERROR(__xludf.DUMMYFUNCTION("""COMPUTED_VALUE"""),143.72)</f>
        <v>143.72</v>
      </c>
      <c r="F9162" s="2">
        <f>IFERROR(__xludf.DUMMYFUNCTION("""COMPUTED_VALUE"""),3110889.0)</f>
        <v>3110889</v>
      </c>
    </row>
    <row r="9163">
      <c r="A9163" s="3">
        <f>IFERROR(__xludf.DUMMYFUNCTION("""COMPUTED_VALUE"""),42488.66666666667)</f>
        <v>42488.66667</v>
      </c>
      <c r="B9163" s="2">
        <f>IFERROR(__xludf.DUMMYFUNCTION("""COMPUTED_VALUE"""),143.04)</f>
        <v>143.04</v>
      </c>
      <c r="C9163" s="2">
        <f>IFERROR(__xludf.DUMMYFUNCTION("""COMPUTED_VALUE"""),143.45)</f>
        <v>143.45</v>
      </c>
      <c r="D9163" s="2">
        <f>IFERROR(__xludf.DUMMYFUNCTION("""COMPUTED_VALUE"""),140.15)</f>
        <v>140.15</v>
      </c>
      <c r="E9163" s="2">
        <f>IFERROR(__xludf.DUMMYFUNCTION("""COMPUTED_VALUE"""),140.48)</f>
        <v>140.48</v>
      </c>
      <c r="F9163" s="2">
        <f>IFERROR(__xludf.DUMMYFUNCTION("""COMPUTED_VALUE"""),3791337.0)</f>
        <v>3791337</v>
      </c>
    </row>
    <row r="9164">
      <c r="A9164" s="3">
        <f>IFERROR(__xludf.DUMMYFUNCTION("""COMPUTED_VALUE"""),42489.66666666667)</f>
        <v>42489.66667</v>
      </c>
      <c r="B9164" s="2">
        <f>IFERROR(__xludf.DUMMYFUNCTION("""COMPUTED_VALUE"""),139.92)</f>
        <v>139.92</v>
      </c>
      <c r="C9164" s="2">
        <f>IFERROR(__xludf.DUMMYFUNCTION("""COMPUTED_VALUE"""),140.73)</f>
        <v>140.73</v>
      </c>
      <c r="D9164" s="2">
        <f>IFERROR(__xludf.DUMMYFUNCTION("""COMPUTED_VALUE"""),137.73)</f>
        <v>137.73</v>
      </c>
      <c r="E9164" s="2">
        <f>IFERROR(__xludf.DUMMYFUNCTION("""COMPUTED_VALUE"""),139.4)</f>
        <v>139.4</v>
      </c>
      <c r="F9164" s="2">
        <f>IFERROR(__xludf.DUMMYFUNCTION("""COMPUTED_VALUE"""),4225790.0)</f>
        <v>4225790</v>
      </c>
    </row>
    <row r="9165">
      <c r="A9165" s="3">
        <f>IFERROR(__xludf.DUMMYFUNCTION("""COMPUTED_VALUE"""),42492.66666666667)</f>
        <v>42492.66667</v>
      </c>
      <c r="B9165" s="2">
        <f>IFERROR(__xludf.DUMMYFUNCTION("""COMPUTED_VALUE"""),139.99)</f>
        <v>139.99</v>
      </c>
      <c r="C9165" s="2">
        <f>IFERROR(__xludf.DUMMYFUNCTION("""COMPUTED_VALUE"""),140.41)</f>
        <v>140.41</v>
      </c>
      <c r="D9165" s="2">
        <f>IFERROR(__xludf.DUMMYFUNCTION("""COMPUTED_VALUE"""),137.95)</f>
        <v>137.95</v>
      </c>
      <c r="E9165" s="2">
        <f>IFERROR(__xludf.DUMMYFUNCTION("""COMPUTED_VALUE"""),138.76)</f>
        <v>138.76</v>
      </c>
      <c r="F9165" s="2">
        <f>IFERROR(__xludf.DUMMYFUNCTION("""COMPUTED_VALUE"""),3502438.0)</f>
        <v>3502438</v>
      </c>
    </row>
    <row r="9166">
      <c r="A9166" s="3">
        <f>IFERROR(__xludf.DUMMYFUNCTION("""COMPUTED_VALUE"""),42493.66666666667)</f>
        <v>42493.66667</v>
      </c>
      <c r="B9166" s="2">
        <f>IFERROR(__xludf.DUMMYFUNCTION("""COMPUTED_VALUE"""),138.16)</f>
        <v>138.16</v>
      </c>
      <c r="C9166" s="2">
        <f>IFERROR(__xludf.DUMMYFUNCTION("""COMPUTED_VALUE"""),138.4)</f>
        <v>138.4</v>
      </c>
      <c r="D9166" s="2">
        <f>IFERROR(__xludf.DUMMYFUNCTION("""COMPUTED_VALUE"""),136.49)</f>
        <v>136.49</v>
      </c>
      <c r="E9166" s="2">
        <f>IFERROR(__xludf.DUMMYFUNCTION("""COMPUTED_VALUE"""),137.67)</f>
        <v>137.67</v>
      </c>
      <c r="F9166" s="2">
        <f>IFERROR(__xludf.DUMMYFUNCTION("""COMPUTED_VALUE"""),3584261.0)</f>
        <v>3584261</v>
      </c>
    </row>
    <row r="9167">
      <c r="A9167" s="3">
        <f>IFERROR(__xludf.DUMMYFUNCTION("""COMPUTED_VALUE"""),42494.66666666667)</f>
        <v>42494.66667</v>
      </c>
      <c r="B9167" s="2">
        <f>IFERROR(__xludf.DUMMYFUNCTION("""COMPUTED_VALUE"""),136.93)</f>
        <v>136.93</v>
      </c>
      <c r="C9167" s="2">
        <f>IFERROR(__xludf.DUMMYFUNCTION("""COMPUTED_VALUE"""),138.5)</f>
        <v>138.5</v>
      </c>
      <c r="D9167" s="2">
        <f>IFERROR(__xludf.DUMMYFUNCTION("""COMPUTED_VALUE"""),136.88)</f>
        <v>136.88</v>
      </c>
      <c r="E9167" s="2">
        <f>IFERROR(__xludf.DUMMYFUNCTION("""COMPUTED_VALUE"""),137.78)</f>
        <v>137.78</v>
      </c>
      <c r="F9167" s="2">
        <f>IFERROR(__xludf.DUMMYFUNCTION("""COMPUTED_VALUE"""),2576786.0)</f>
        <v>2576786</v>
      </c>
    </row>
    <row r="9168">
      <c r="A9168" s="3">
        <f>IFERROR(__xludf.DUMMYFUNCTION("""COMPUTED_VALUE"""),42495.66666666667)</f>
        <v>42495.66667</v>
      </c>
      <c r="B9168" s="2">
        <f>IFERROR(__xludf.DUMMYFUNCTION("""COMPUTED_VALUE"""),139.41)</f>
        <v>139.41</v>
      </c>
      <c r="C9168" s="2">
        <f>IFERROR(__xludf.DUMMYFUNCTION("""COMPUTED_VALUE"""),140.7)</f>
        <v>140.7</v>
      </c>
      <c r="D9168" s="2">
        <f>IFERROR(__xludf.DUMMYFUNCTION("""COMPUTED_VALUE"""),138.93)</f>
        <v>138.93</v>
      </c>
      <c r="E9168" s="2">
        <f>IFERROR(__xludf.DUMMYFUNCTION("""COMPUTED_VALUE"""),139.9)</f>
        <v>139.9</v>
      </c>
      <c r="F9168" s="2">
        <f>IFERROR(__xludf.DUMMYFUNCTION("""COMPUTED_VALUE"""),6500898.0)</f>
        <v>6500898</v>
      </c>
    </row>
    <row r="9169">
      <c r="A9169" s="3">
        <f>IFERROR(__xludf.DUMMYFUNCTION("""COMPUTED_VALUE"""),42496.66666666667)</f>
        <v>42496.66667</v>
      </c>
      <c r="B9169" s="2">
        <f>IFERROR(__xludf.DUMMYFUNCTION("""COMPUTED_VALUE"""),138.37)</f>
        <v>138.37</v>
      </c>
      <c r="C9169" s="2">
        <f>IFERROR(__xludf.DUMMYFUNCTION("""COMPUTED_VALUE"""),141.34)</f>
        <v>141.34</v>
      </c>
      <c r="D9169" s="2">
        <f>IFERROR(__xludf.DUMMYFUNCTION("""COMPUTED_VALUE"""),137.99)</f>
        <v>137.99</v>
      </c>
      <c r="E9169" s="2">
        <f>IFERROR(__xludf.DUMMYFUNCTION("""COMPUTED_VALUE"""),140.69)</f>
        <v>140.69</v>
      </c>
      <c r="F9169" s="2">
        <f>IFERROR(__xludf.DUMMYFUNCTION("""COMPUTED_VALUE"""),4895684.0)</f>
        <v>4895684</v>
      </c>
    </row>
    <row r="9170">
      <c r="A9170" s="3">
        <f>IFERROR(__xludf.DUMMYFUNCTION("""COMPUTED_VALUE"""),42499.66666666667)</f>
        <v>42499.66667</v>
      </c>
      <c r="B9170" s="2">
        <f>IFERROR(__xludf.DUMMYFUNCTION("""COMPUTED_VALUE"""),141.08)</f>
        <v>141.08</v>
      </c>
      <c r="C9170" s="2">
        <f>IFERROR(__xludf.DUMMYFUNCTION("""COMPUTED_VALUE"""),141.56)</f>
        <v>141.56</v>
      </c>
      <c r="D9170" s="2">
        <f>IFERROR(__xludf.DUMMYFUNCTION("""COMPUTED_VALUE"""),140.42)</f>
        <v>140.42</v>
      </c>
      <c r="E9170" s="2">
        <f>IFERROR(__xludf.DUMMYFUNCTION("""COMPUTED_VALUE"""),140.73)</f>
        <v>140.73</v>
      </c>
      <c r="F9170" s="2">
        <f>IFERROR(__xludf.DUMMYFUNCTION("""COMPUTED_VALUE"""),4302425.0)</f>
        <v>4302425</v>
      </c>
    </row>
    <row r="9171">
      <c r="A9171" s="3">
        <f>IFERROR(__xludf.DUMMYFUNCTION("""COMPUTED_VALUE"""),42500.66666666667)</f>
        <v>42500.66667</v>
      </c>
      <c r="B9171" s="2">
        <f>IFERROR(__xludf.DUMMYFUNCTION("""COMPUTED_VALUE"""),141.59)</f>
        <v>141.59</v>
      </c>
      <c r="C9171" s="2">
        <f>IFERROR(__xludf.DUMMYFUNCTION("""COMPUTED_VALUE"""),143.31)</f>
        <v>143.31</v>
      </c>
      <c r="D9171" s="2">
        <f>IFERROR(__xludf.DUMMYFUNCTION("""COMPUTED_VALUE"""),141.12)</f>
        <v>141.12</v>
      </c>
      <c r="E9171" s="2">
        <f>IFERROR(__xludf.DUMMYFUNCTION("""COMPUTED_VALUE"""),143.25)</f>
        <v>143.25</v>
      </c>
      <c r="F9171" s="2">
        <f>IFERROR(__xludf.DUMMYFUNCTION("""COMPUTED_VALUE"""),3992636.0)</f>
        <v>3992636</v>
      </c>
    </row>
    <row r="9172">
      <c r="A9172" s="3">
        <f>IFERROR(__xludf.DUMMYFUNCTION("""COMPUTED_VALUE"""),42501.66666666667)</f>
        <v>42501.66667</v>
      </c>
      <c r="B9172" s="2">
        <f>IFERROR(__xludf.DUMMYFUNCTION("""COMPUTED_VALUE"""),143.0)</f>
        <v>143</v>
      </c>
      <c r="C9172" s="2">
        <f>IFERROR(__xludf.DUMMYFUNCTION("""COMPUTED_VALUE"""),144.32)</f>
        <v>144.32</v>
      </c>
      <c r="D9172" s="2">
        <f>IFERROR(__xludf.DUMMYFUNCTION("""COMPUTED_VALUE"""),142.07)</f>
        <v>142.07</v>
      </c>
      <c r="E9172" s="2">
        <f>IFERROR(__xludf.DUMMYFUNCTION("""COMPUTED_VALUE"""),142.27)</f>
        <v>142.27</v>
      </c>
      <c r="F9172" s="2">
        <f>IFERROR(__xludf.DUMMYFUNCTION("""COMPUTED_VALUE"""),3092908.0)</f>
        <v>3092908</v>
      </c>
    </row>
    <row r="9173">
      <c r="A9173" s="3">
        <f>IFERROR(__xludf.DUMMYFUNCTION("""COMPUTED_VALUE"""),42502.66666666667)</f>
        <v>42502.66667</v>
      </c>
      <c r="B9173" s="2">
        <f>IFERROR(__xludf.DUMMYFUNCTION("""COMPUTED_VALUE"""),142.52)</f>
        <v>142.52</v>
      </c>
      <c r="C9173" s="2">
        <f>IFERROR(__xludf.DUMMYFUNCTION("""COMPUTED_VALUE"""),142.69)</f>
        <v>142.69</v>
      </c>
      <c r="D9173" s="2">
        <f>IFERROR(__xludf.DUMMYFUNCTION("""COMPUTED_VALUE"""),140.51)</f>
        <v>140.51</v>
      </c>
      <c r="E9173" s="2">
        <f>IFERROR(__xludf.DUMMYFUNCTION("""COMPUTED_VALUE"""),142.17)</f>
        <v>142.17</v>
      </c>
      <c r="F9173" s="2">
        <f>IFERROR(__xludf.DUMMYFUNCTION("""COMPUTED_VALUE"""),3249032.0)</f>
        <v>3249032</v>
      </c>
    </row>
    <row r="9174">
      <c r="A9174" s="3">
        <f>IFERROR(__xludf.DUMMYFUNCTION("""COMPUTED_VALUE"""),42503.66666666667)</f>
        <v>42503.66667</v>
      </c>
      <c r="B9174" s="2">
        <f>IFERROR(__xludf.DUMMYFUNCTION("""COMPUTED_VALUE"""),142.12)</f>
        <v>142.12</v>
      </c>
      <c r="C9174" s="2">
        <f>IFERROR(__xludf.DUMMYFUNCTION("""COMPUTED_VALUE"""),143.14)</f>
        <v>143.14</v>
      </c>
      <c r="D9174" s="2">
        <f>IFERROR(__xludf.DUMMYFUNCTION("""COMPUTED_VALUE"""),140.81)</f>
        <v>140.81</v>
      </c>
      <c r="E9174" s="2">
        <f>IFERROR(__xludf.DUMMYFUNCTION("""COMPUTED_VALUE"""),141.1)</f>
        <v>141.1</v>
      </c>
      <c r="F9174" s="2">
        <f>IFERROR(__xludf.DUMMYFUNCTION("""COMPUTED_VALUE"""),2397902.0)</f>
        <v>2397902</v>
      </c>
    </row>
    <row r="9175">
      <c r="A9175" s="3">
        <f>IFERROR(__xludf.DUMMYFUNCTION("""COMPUTED_VALUE"""),42506.66666666667)</f>
        <v>42506.66667</v>
      </c>
      <c r="B9175" s="2">
        <f>IFERROR(__xludf.DUMMYFUNCTION("""COMPUTED_VALUE"""),141.03)</f>
        <v>141.03</v>
      </c>
      <c r="C9175" s="2">
        <f>IFERROR(__xludf.DUMMYFUNCTION("""COMPUTED_VALUE"""),143.27)</f>
        <v>143.27</v>
      </c>
      <c r="D9175" s="2">
        <f>IFERROR(__xludf.DUMMYFUNCTION("""COMPUTED_VALUE"""),140.83)</f>
        <v>140.83</v>
      </c>
      <c r="E9175" s="2">
        <f>IFERROR(__xludf.DUMMYFUNCTION("""COMPUTED_VALUE"""),142.76)</f>
        <v>142.76</v>
      </c>
      <c r="F9175" s="2">
        <f>IFERROR(__xludf.DUMMYFUNCTION("""COMPUTED_VALUE"""),3069051.0)</f>
        <v>3069051</v>
      </c>
    </row>
    <row r="9176">
      <c r="A9176" s="3">
        <f>IFERROR(__xludf.DUMMYFUNCTION("""COMPUTED_VALUE"""),42507.66666666667)</f>
        <v>42507.66667</v>
      </c>
      <c r="B9176" s="2">
        <f>IFERROR(__xludf.DUMMYFUNCTION("""COMPUTED_VALUE"""),142.52)</f>
        <v>142.52</v>
      </c>
      <c r="C9176" s="2">
        <f>IFERROR(__xludf.DUMMYFUNCTION("""COMPUTED_VALUE"""),142.8)</f>
        <v>142.8</v>
      </c>
      <c r="D9176" s="2">
        <f>IFERROR(__xludf.DUMMYFUNCTION("""COMPUTED_VALUE"""),140.69)</f>
        <v>140.69</v>
      </c>
      <c r="E9176" s="2">
        <f>IFERROR(__xludf.DUMMYFUNCTION("""COMPUTED_VALUE"""),141.36)</f>
        <v>141.36</v>
      </c>
      <c r="F9176" s="2">
        <f>IFERROR(__xludf.DUMMYFUNCTION("""COMPUTED_VALUE"""),3490574.0)</f>
        <v>3490574</v>
      </c>
    </row>
    <row r="9177">
      <c r="A9177" s="3">
        <f>IFERROR(__xludf.DUMMYFUNCTION("""COMPUTED_VALUE"""),42508.66666666667)</f>
        <v>42508.66667</v>
      </c>
      <c r="B9177" s="2">
        <f>IFERROR(__xludf.DUMMYFUNCTION("""COMPUTED_VALUE"""),141.35)</f>
        <v>141.35</v>
      </c>
      <c r="C9177" s="2">
        <f>IFERROR(__xludf.DUMMYFUNCTION("""COMPUTED_VALUE"""),141.86)</f>
        <v>141.86</v>
      </c>
      <c r="D9177" s="2">
        <f>IFERROR(__xludf.DUMMYFUNCTION("""COMPUTED_VALUE"""),139.8)</f>
        <v>139.8</v>
      </c>
      <c r="E9177" s="2">
        <f>IFERROR(__xludf.DUMMYFUNCTION("""COMPUTED_VALUE"""),140.73)</f>
        <v>140.73</v>
      </c>
      <c r="F9177" s="2">
        <f>IFERROR(__xludf.DUMMYFUNCTION("""COMPUTED_VALUE"""),2490991.0)</f>
        <v>2490991</v>
      </c>
    </row>
    <row r="9178">
      <c r="A9178" s="3">
        <f>IFERROR(__xludf.DUMMYFUNCTION("""COMPUTED_VALUE"""),42509.66666666667)</f>
        <v>42509.66667</v>
      </c>
      <c r="B9178" s="2">
        <f>IFERROR(__xludf.DUMMYFUNCTION("""COMPUTED_VALUE"""),139.91)</f>
        <v>139.91</v>
      </c>
      <c r="C9178" s="2">
        <f>IFERROR(__xludf.DUMMYFUNCTION("""COMPUTED_VALUE"""),140.34)</f>
        <v>140.34</v>
      </c>
      <c r="D9178" s="2">
        <f>IFERROR(__xludf.DUMMYFUNCTION("""COMPUTED_VALUE"""),137.5)</f>
        <v>137.5</v>
      </c>
      <c r="E9178" s="2">
        <f>IFERROR(__xludf.DUMMYFUNCTION("""COMPUTED_VALUE"""),138.43)</f>
        <v>138.43</v>
      </c>
      <c r="F9178" s="2">
        <f>IFERROR(__xludf.DUMMYFUNCTION("""COMPUTED_VALUE"""),3684875.0)</f>
        <v>3684875</v>
      </c>
    </row>
    <row r="9179">
      <c r="A9179" s="3">
        <f>IFERROR(__xludf.DUMMYFUNCTION("""COMPUTED_VALUE"""),42510.66666666667)</f>
        <v>42510.66667</v>
      </c>
      <c r="B9179" s="2">
        <f>IFERROR(__xludf.DUMMYFUNCTION("""COMPUTED_VALUE"""),139.18)</f>
        <v>139.18</v>
      </c>
      <c r="C9179" s="2">
        <f>IFERROR(__xludf.DUMMYFUNCTION("""COMPUTED_VALUE"""),140.9)</f>
        <v>140.9</v>
      </c>
      <c r="D9179" s="2">
        <f>IFERROR(__xludf.DUMMYFUNCTION("""COMPUTED_VALUE"""),139.02)</f>
        <v>139.02</v>
      </c>
      <c r="E9179" s="2">
        <f>IFERROR(__xludf.DUMMYFUNCTION("""COMPUTED_VALUE"""),140.65)</f>
        <v>140.65</v>
      </c>
      <c r="F9179" s="2">
        <f>IFERROR(__xludf.DUMMYFUNCTION("""COMPUTED_VALUE"""),3670262.0)</f>
        <v>3670262</v>
      </c>
    </row>
    <row r="9180">
      <c r="A9180" s="3">
        <f>IFERROR(__xludf.DUMMYFUNCTION("""COMPUTED_VALUE"""),42513.66666666667)</f>
        <v>42513.66667</v>
      </c>
      <c r="B9180" s="2">
        <f>IFERROR(__xludf.DUMMYFUNCTION("""COMPUTED_VALUE"""),140.99)</f>
        <v>140.99</v>
      </c>
      <c r="C9180" s="2">
        <f>IFERROR(__xludf.DUMMYFUNCTION("""COMPUTED_VALUE"""),141.32)</f>
        <v>141.32</v>
      </c>
      <c r="D9180" s="2">
        <f>IFERROR(__xludf.DUMMYFUNCTION("""COMPUTED_VALUE"""),140.08)</f>
        <v>140.08</v>
      </c>
      <c r="E9180" s="2">
        <f>IFERROR(__xludf.DUMMYFUNCTION("""COMPUTED_VALUE"""),140.19)</f>
        <v>140.19</v>
      </c>
      <c r="F9180" s="2">
        <f>IFERROR(__xludf.DUMMYFUNCTION("""COMPUTED_VALUE"""),2103733.0)</f>
        <v>2103733</v>
      </c>
    </row>
    <row r="9181">
      <c r="A9181" s="3">
        <f>IFERROR(__xludf.DUMMYFUNCTION("""COMPUTED_VALUE"""),42514.66666666667)</f>
        <v>42514.66667</v>
      </c>
      <c r="B9181" s="2">
        <f>IFERROR(__xludf.DUMMYFUNCTION("""COMPUTED_VALUE"""),140.29)</f>
        <v>140.29</v>
      </c>
      <c r="C9181" s="2">
        <f>IFERROR(__xludf.DUMMYFUNCTION("""COMPUTED_VALUE"""),142.08)</f>
        <v>142.08</v>
      </c>
      <c r="D9181" s="2">
        <f>IFERROR(__xludf.DUMMYFUNCTION("""COMPUTED_VALUE"""),140.29)</f>
        <v>140.29</v>
      </c>
      <c r="E9181" s="2">
        <f>IFERROR(__xludf.DUMMYFUNCTION("""COMPUTED_VALUE"""),141.66)</f>
        <v>141.66</v>
      </c>
      <c r="F9181" s="2">
        <f>IFERROR(__xludf.DUMMYFUNCTION("""COMPUTED_VALUE"""),2929132.0)</f>
        <v>2929132</v>
      </c>
    </row>
    <row r="9182">
      <c r="A9182" s="3">
        <f>IFERROR(__xludf.DUMMYFUNCTION("""COMPUTED_VALUE"""),42515.66666666667)</f>
        <v>42515.66667</v>
      </c>
      <c r="B9182" s="2">
        <f>IFERROR(__xludf.DUMMYFUNCTION("""COMPUTED_VALUE"""),142.25)</f>
        <v>142.25</v>
      </c>
      <c r="C9182" s="2">
        <f>IFERROR(__xludf.DUMMYFUNCTION("""COMPUTED_VALUE"""),145.27)</f>
        <v>145.27</v>
      </c>
      <c r="D9182" s="2">
        <f>IFERROR(__xludf.DUMMYFUNCTION("""COMPUTED_VALUE"""),141.84)</f>
        <v>141.84</v>
      </c>
      <c r="E9182" s="2">
        <f>IFERROR(__xludf.DUMMYFUNCTION("""COMPUTED_VALUE"""),144.89)</f>
        <v>144.89</v>
      </c>
      <c r="F9182" s="2">
        <f>IFERROR(__xludf.DUMMYFUNCTION("""COMPUTED_VALUE"""),4358029.0)</f>
        <v>4358029</v>
      </c>
    </row>
    <row r="9183">
      <c r="A9183" s="3">
        <f>IFERROR(__xludf.DUMMYFUNCTION("""COMPUTED_VALUE"""),42516.66666666667)</f>
        <v>42516.66667</v>
      </c>
      <c r="B9183" s="2">
        <f>IFERROR(__xludf.DUMMYFUNCTION("""COMPUTED_VALUE"""),144.76)</f>
        <v>144.76</v>
      </c>
      <c r="C9183" s="2">
        <f>IFERROR(__xludf.DUMMYFUNCTION("""COMPUTED_VALUE"""),145.67)</f>
        <v>145.67</v>
      </c>
      <c r="D9183" s="2">
        <f>IFERROR(__xludf.DUMMYFUNCTION("""COMPUTED_VALUE"""),144.28)</f>
        <v>144.28</v>
      </c>
      <c r="E9183" s="2">
        <f>IFERROR(__xludf.DUMMYFUNCTION("""COMPUTED_VALUE"""),145.61)</f>
        <v>145.61</v>
      </c>
      <c r="F9183" s="2">
        <f>IFERROR(__xludf.DUMMYFUNCTION("""COMPUTED_VALUE"""),3062934.0)</f>
        <v>3062934</v>
      </c>
    </row>
    <row r="9184">
      <c r="A9184" s="3">
        <f>IFERROR(__xludf.DUMMYFUNCTION("""COMPUTED_VALUE"""),42517.66666666667)</f>
        <v>42517.66667</v>
      </c>
      <c r="B9184" s="2">
        <f>IFERROR(__xludf.DUMMYFUNCTION("""COMPUTED_VALUE"""),145.52)</f>
        <v>145.52</v>
      </c>
      <c r="C9184" s="2">
        <f>IFERROR(__xludf.DUMMYFUNCTION("""COMPUTED_VALUE"""),146.07)</f>
        <v>146.07</v>
      </c>
      <c r="D9184" s="2">
        <f>IFERROR(__xludf.DUMMYFUNCTION("""COMPUTED_VALUE"""),145.33)</f>
        <v>145.33</v>
      </c>
      <c r="E9184" s="2">
        <f>IFERROR(__xludf.DUMMYFUNCTION("""COMPUTED_VALUE"""),145.99)</f>
        <v>145.99</v>
      </c>
      <c r="F9184" s="2">
        <f>IFERROR(__xludf.DUMMYFUNCTION("""COMPUTED_VALUE"""),2457112.0)</f>
        <v>2457112</v>
      </c>
    </row>
    <row r="9185">
      <c r="A9185" s="3">
        <f>IFERROR(__xludf.DUMMYFUNCTION("""COMPUTED_VALUE"""),42521.66666666667)</f>
        <v>42521.66667</v>
      </c>
      <c r="B9185" s="2">
        <f>IFERROR(__xludf.DUMMYFUNCTION("""COMPUTED_VALUE"""),145.72)</f>
        <v>145.72</v>
      </c>
      <c r="C9185" s="2">
        <f>IFERROR(__xludf.DUMMYFUNCTION("""COMPUTED_VALUE"""),146.91)</f>
        <v>146.91</v>
      </c>
      <c r="D9185" s="2">
        <f>IFERROR(__xludf.DUMMYFUNCTION("""COMPUTED_VALUE"""),145.44)</f>
        <v>145.44</v>
      </c>
      <c r="E9185" s="2">
        <f>IFERROR(__xludf.DUMMYFUNCTION("""COMPUTED_VALUE"""),146.85)</f>
        <v>146.85</v>
      </c>
      <c r="F9185" s="2">
        <f>IFERROR(__xludf.DUMMYFUNCTION("""COMPUTED_VALUE"""),5836645.0)</f>
        <v>5836645</v>
      </c>
    </row>
    <row r="9186">
      <c r="A9186" s="3">
        <f>IFERROR(__xludf.DUMMYFUNCTION("""COMPUTED_VALUE"""),42522.66666666667)</f>
        <v>42522.66667</v>
      </c>
      <c r="B9186" s="2">
        <f>IFERROR(__xludf.DUMMYFUNCTION("""COMPUTED_VALUE"""),146.14)</f>
        <v>146.14</v>
      </c>
      <c r="C9186" s="2">
        <f>IFERROR(__xludf.DUMMYFUNCTION("""COMPUTED_VALUE"""),146.4)</f>
        <v>146.4</v>
      </c>
      <c r="D9186" s="2">
        <f>IFERROR(__xludf.DUMMYFUNCTION("""COMPUTED_VALUE"""),144.75)</f>
        <v>144.75</v>
      </c>
      <c r="E9186" s="2">
        <f>IFERROR(__xludf.DUMMYFUNCTION("""COMPUTED_VALUE"""),145.67)</f>
        <v>145.67</v>
      </c>
      <c r="F9186" s="2">
        <f>IFERROR(__xludf.DUMMYFUNCTION("""COMPUTED_VALUE"""),2663337.0)</f>
        <v>2663337</v>
      </c>
    </row>
    <row r="9187">
      <c r="A9187" s="3">
        <f>IFERROR(__xludf.DUMMYFUNCTION("""COMPUTED_VALUE"""),42523.66666666667)</f>
        <v>42523.66667</v>
      </c>
      <c r="B9187" s="2">
        <f>IFERROR(__xludf.DUMMYFUNCTION("""COMPUTED_VALUE"""),145.75)</f>
        <v>145.75</v>
      </c>
      <c r="C9187" s="2">
        <f>IFERROR(__xludf.DUMMYFUNCTION("""COMPUTED_VALUE"""),146.62)</f>
        <v>146.62</v>
      </c>
      <c r="D9187" s="2">
        <f>IFERROR(__xludf.DUMMYFUNCTION("""COMPUTED_VALUE"""),145.3)</f>
        <v>145.3</v>
      </c>
      <c r="E9187" s="2">
        <f>IFERROR(__xludf.DUMMYFUNCTION("""COMPUTED_VALUE"""),146.62)</f>
        <v>146.62</v>
      </c>
      <c r="F9187" s="2">
        <f>IFERROR(__xludf.DUMMYFUNCTION("""COMPUTED_VALUE"""),2642401.0)</f>
        <v>2642401</v>
      </c>
    </row>
    <row r="9188">
      <c r="A9188" s="3">
        <f>IFERROR(__xludf.DUMMYFUNCTION("""COMPUTED_VALUE"""),42524.66666666667)</f>
        <v>42524.66667</v>
      </c>
      <c r="B9188" s="2">
        <f>IFERROR(__xludf.DUMMYFUNCTION("""COMPUTED_VALUE"""),145.57)</f>
        <v>145.57</v>
      </c>
      <c r="C9188" s="2">
        <f>IFERROR(__xludf.DUMMYFUNCTION("""COMPUTED_VALUE"""),146.18)</f>
        <v>146.18</v>
      </c>
      <c r="D9188" s="2">
        <f>IFERROR(__xludf.DUMMYFUNCTION("""COMPUTED_VALUE"""),144.9)</f>
        <v>144.9</v>
      </c>
      <c r="E9188" s="2">
        <f>IFERROR(__xludf.DUMMYFUNCTION("""COMPUTED_VALUE"""),146.04)</f>
        <v>146.04</v>
      </c>
      <c r="F9188" s="2">
        <f>IFERROR(__xludf.DUMMYFUNCTION("""COMPUTED_VALUE"""),2328056.0)</f>
        <v>2328056</v>
      </c>
    </row>
    <row r="9189">
      <c r="A9189" s="3">
        <f>IFERROR(__xludf.DUMMYFUNCTION("""COMPUTED_VALUE"""),42527.66666666667)</f>
        <v>42527.66667</v>
      </c>
      <c r="B9189" s="2">
        <f>IFERROR(__xludf.DUMMYFUNCTION("""COMPUTED_VALUE"""),146.23)</f>
        <v>146.23</v>
      </c>
      <c r="C9189" s="2">
        <f>IFERROR(__xludf.DUMMYFUNCTION("""COMPUTED_VALUE"""),147.05)</f>
        <v>147.05</v>
      </c>
      <c r="D9189" s="2">
        <f>IFERROR(__xludf.DUMMYFUNCTION("""COMPUTED_VALUE"""),145.51)</f>
        <v>145.51</v>
      </c>
      <c r="E9189" s="2">
        <f>IFERROR(__xludf.DUMMYFUNCTION("""COMPUTED_VALUE"""),145.88)</f>
        <v>145.88</v>
      </c>
      <c r="F9189" s="2">
        <f>IFERROR(__xludf.DUMMYFUNCTION("""COMPUTED_VALUE"""),2378662.0)</f>
        <v>2378662</v>
      </c>
    </row>
    <row r="9190">
      <c r="A9190" s="3">
        <f>IFERROR(__xludf.DUMMYFUNCTION("""COMPUTED_VALUE"""),42528.66666666667)</f>
        <v>42528.66667</v>
      </c>
      <c r="B9190" s="2">
        <f>IFERROR(__xludf.DUMMYFUNCTION("""COMPUTED_VALUE"""),146.44)</f>
        <v>146.44</v>
      </c>
      <c r="C9190" s="2">
        <f>IFERROR(__xludf.DUMMYFUNCTION("""COMPUTED_VALUE"""),147.03)</f>
        <v>147.03</v>
      </c>
      <c r="D9190" s="2">
        <f>IFERROR(__xludf.DUMMYFUNCTION("""COMPUTED_VALUE"""),145.82)</f>
        <v>145.82</v>
      </c>
      <c r="E9190" s="2">
        <f>IFERROR(__xludf.DUMMYFUNCTION("""COMPUTED_VALUE"""),146.46)</f>
        <v>146.46</v>
      </c>
      <c r="F9190" s="2">
        <f>IFERROR(__xludf.DUMMYFUNCTION("""COMPUTED_VALUE"""),4464985.0)</f>
        <v>4464985</v>
      </c>
    </row>
    <row r="9191">
      <c r="A9191" s="3">
        <f>IFERROR(__xludf.DUMMYFUNCTION("""COMPUTED_VALUE"""),42529.66666666667)</f>
        <v>42529.66667</v>
      </c>
      <c r="B9191" s="2">
        <f>IFERROR(__xludf.DUMMYFUNCTION("""COMPUTED_VALUE"""),146.65)</f>
        <v>146.65</v>
      </c>
      <c r="C9191" s="2">
        <f>IFERROR(__xludf.DUMMYFUNCTION("""COMPUTED_VALUE"""),147.18)</f>
        <v>147.18</v>
      </c>
      <c r="D9191" s="2">
        <f>IFERROR(__xludf.DUMMYFUNCTION("""COMPUTED_VALUE"""),146.18)</f>
        <v>146.18</v>
      </c>
      <c r="E9191" s="2">
        <f>IFERROR(__xludf.DUMMYFUNCTION("""COMPUTED_VALUE"""),147.1)</f>
        <v>147.1</v>
      </c>
      <c r="F9191" s="2">
        <f>IFERROR(__xludf.DUMMYFUNCTION("""COMPUTED_VALUE"""),2935026.0)</f>
        <v>2935026</v>
      </c>
    </row>
    <row r="9192">
      <c r="A9192" s="3">
        <f>IFERROR(__xludf.DUMMYFUNCTION("""COMPUTED_VALUE"""),42530.66666666667)</f>
        <v>42530.66667</v>
      </c>
      <c r="B9192" s="2">
        <f>IFERROR(__xludf.DUMMYFUNCTION("""COMPUTED_VALUE"""),146.06)</f>
        <v>146.06</v>
      </c>
      <c r="C9192" s="2">
        <f>IFERROR(__xludf.DUMMYFUNCTION("""COMPUTED_VALUE"""),146.87)</f>
        <v>146.87</v>
      </c>
      <c r="D9192" s="2">
        <f>IFERROR(__xludf.DUMMYFUNCTION("""COMPUTED_VALUE"""),145.88)</f>
        <v>145.88</v>
      </c>
      <c r="E9192" s="2">
        <f>IFERROR(__xludf.DUMMYFUNCTION("""COMPUTED_VALUE"""),146.54)</f>
        <v>146.54</v>
      </c>
      <c r="F9192" s="2">
        <f>IFERROR(__xludf.DUMMYFUNCTION("""COMPUTED_VALUE"""),2021796.0)</f>
        <v>2021796</v>
      </c>
    </row>
    <row r="9193">
      <c r="A9193" s="3">
        <f>IFERROR(__xludf.DUMMYFUNCTION("""COMPUTED_VALUE"""),42531.66666666667)</f>
        <v>42531.66667</v>
      </c>
      <c r="B9193" s="2">
        <f>IFERROR(__xludf.DUMMYFUNCTION("""COMPUTED_VALUE"""),145.94)</f>
        <v>145.94</v>
      </c>
      <c r="C9193" s="2">
        <f>IFERROR(__xludf.DUMMYFUNCTION("""COMPUTED_VALUE"""),146.46)</f>
        <v>146.46</v>
      </c>
      <c r="D9193" s="2">
        <f>IFERROR(__xludf.DUMMYFUNCTION("""COMPUTED_VALUE"""),145.05)</f>
        <v>145.05</v>
      </c>
      <c r="E9193" s="2">
        <f>IFERROR(__xludf.DUMMYFUNCTION("""COMPUTED_VALUE"""),145.54)</f>
        <v>145.54</v>
      </c>
      <c r="F9193" s="2">
        <f>IFERROR(__xludf.DUMMYFUNCTION("""COMPUTED_VALUE"""),3120295.0)</f>
        <v>3120295</v>
      </c>
    </row>
    <row r="9194">
      <c r="A9194" s="3">
        <f>IFERROR(__xludf.DUMMYFUNCTION("""COMPUTED_VALUE"""),42534.66666666667)</f>
        <v>42534.66667</v>
      </c>
      <c r="B9194" s="2">
        <f>IFERROR(__xludf.DUMMYFUNCTION("""COMPUTED_VALUE"""),144.83)</f>
        <v>144.83</v>
      </c>
      <c r="C9194" s="2">
        <f>IFERROR(__xludf.DUMMYFUNCTION("""COMPUTED_VALUE"""),145.66)</f>
        <v>145.66</v>
      </c>
      <c r="D9194" s="2">
        <f>IFERROR(__xludf.DUMMYFUNCTION("""COMPUTED_VALUE"""),143.54)</f>
        <v>143.54</v>
      </c>
      <c r="E9194" s="2">
        <f>IFERROR(__xludf.DUMMYFUNCTION("""COMPUTED_VALUE"""),144.5)</f>
        <v>144.5</v>
      </c>
      <c r="F9194" s="2">
        <f>IFERROR(__xludf.DUMMYFUNCTION("""COMPUTED_VALUE"""),3610407.0)</f>
        <v>3610407</v>
      </c>
    </row>
    <row r="9195">
      <c r="A9195" s="3">
        <f>IFERROR(__xludf.DUMMYFUNCTION("""COMPUTED_VALUE"""),42535.66666666667)</f>
        <v>42535.66667</v>
      </c>
      <c r="B9195" s="2">
        <f>IFERROR(__xludf.DUMMYFUNCTION("""COMPUTED_VALUE"""),144.5)</f>
        <v>144.5</v>
      </c>
      <c r="C9195" s="2">
        <f>IFERROR(__xludf.DUMMYFUNCTION("""COMPUTED_VALUE"""),144.98)</f>
        <v>144.98</v>
      </c>
      <c r="D9195" s="2">
        <f>IFERROR(__xludf.DUMMYFUNCTION("""COMPUTED_VALUE"""),143.66)</f>
        <v>143.66</v>
      </c>
      <c r="E9195" s="2">
        <f>IFERROR(__xludf.DUMMYFUNCTION("""COMPUTED_VALUE"""),144.29)</f>
        <v>144.29</v>
      </c>
      <c r="F9195" s="2">
        <f>IFERROR(__xludf.DUMMYFUNCTION("""COMPUTED_VALUE"""),2865833.0)</f>
        <v>2865833</v>
      </c>
    </row>
    <row r="9196">
      <c r="A9196" s="3">
        <f>IFERROR(__xludf.DUMMYFUNCTION("""COMPUTED_VALUE"""),42536.66666666667)</f>
        <v>42536.66667</v>
      </c>
      <c r="B9196" s="2">
        <f>IFERROR(__xludf.DUMMYFUNCTION("""COMPUTED_VALUE"""),144.67)</f>
        <v>144.67</v>
      </c>
      <c r="C9196" s="2">
        <f>IFERROR(__xludf.DUMMYFUNCTION("""COMPUTED_VALUE"""),144.99)</f>
        <v>144.99</v>
      </c>
      <c r="D9196" s="2">
        <f>IFERROR(__xludf.DUMMYFUNCTION("""COMPUTED_VALUE"""),143.85)</f>
        <v>143.85</v>
      </c>
      <c r="E9196" s="2">
        <f>IFERROR(__xludf.DUMMYFUNCTION("""COMPUTED_VALUE"""),143.92)</f>
        <v>143.92</v>
      </c>
      <c r="F9196" s="2">
        <f>IFERROR(__xludf.DUMMYFUNCTION("""COMPUTED_VALUE"""),2260406.0)</f>
        <v>2260406</v>
      </c>
    </row>
    <row r="9197">
      <c r="A9197" s="3">
        <f>IFERROR(__xludf.DUMMYFUNCTION("""COMPUTED_VALUE"""),42537.66666666667)</f>
        <v>42537.66667</v>
      </c>
      <c r="B9197" s="2">
        <f>IFERROR(__xludf.DUMMYFUNCTION("""COMPUTED_VALUE"""),143.46)</f>
        <v>143.46</v>
      </c>
      <c r="C9197" s="2">
        <f>IFERROR(__xludf.DUMMYFUNCTION("""COMPUTED_VALUE"""),144.51)</f>
        <v>144.51</v>
      </c>
      <c r="D9197" s="2">
        <f>IFERROR(__xludf.DUMMYFUNCTION("""COMPUTED_VALUE"""),142.32)</f>
        <v>142.32</v>
      </c>
      <c r="E9197" s="2">
        <f>IFERROR(__xludf.DUMMYFUNCTION("""COMPUTED_VALUE"""),144.29)</f>
        <v>144.29</v>
      </c>
      <c r="F9197" s="2">
        <f>IFERROR(__xludf.DUMMYFUNCTION("""COMPUTED_VALUE"""),2449064.0)</f>
        <v>2449064</v>
      </c>
    </row>
    <row r="9198">
      <c r="A9198" s="3">
        <f>IFERROR(__xludf.DUMMYFUNCTION("""COMPUTED_VALUE"""),42538.66666666667)</f>
        <v>42538.66667</v>
      </c>
      <c r="B9198" s="2">
        <f>IFERROR(__xludf.DUMMYFUNCTION("""COMPUTED_VALUE"""),144.19)</f>
        <v>144.19</v>
      </c>
      <c r="C9198" s="2">
        <f>IFERROR(__xludf.DUMMYFUNCTION("""COMPUTED_VALUE"""),145.87)</f>
        <v>145.87</v>
      </c>
      <c r="D9198" s="2">
        <f>IFERROR(__xludf.DUMMYFUNCTION("""COMPUTED_VALUE"""),143.85)</f>
        <v>143.85</v>
      </c>
      <c r="E9198" s="2">
        <f>IFERROR(__xludf.DUMMYFUNCTION("""COMPUTED_VALUE"""),145.18)</f>
        <v>145.18</v>
      </c>
      <c r="F9198" s="2">
        <f>IFERROR(__xludf.DUMMYFUNCTION("""COMPUTED_VALUE"""),4663870.0)</f>
        <v>4663870</v>
      </c>
    </row>
    <row r="9199">
      <c r="A9199" s="3">
        <f>IFERROR(__xludf.DUMMYFUNCTION("""COMPUTED_VALUE"""),42541.66666666667)</f>
        <v>42541.66667</v>
      </c>
      <c r="B9199" s="2">
        <f>IFERROR(__xludf.DUMMYFUNCTION("""COMPUTED_VALUE"""),145.76)</f>
        <v>145.76</v>
      </c>
      <c r="C9199" s="2">
        <f>IFERROR(__xludf.DUMMYFUNCTION("""COMPUTED_VALUE"""),147.74)</f>
        <v>147.74</v>
      </c>
      <c r="D9199" s="2">
        <f>IFERROR(__xludf.DUMMYFUNCTION("""COMPUTED_VALUE"""),145.68)</f>
        <v>145.68</v>
      </c>
      <c r="E9199" s="2">
        <f>IFERROR(__xludf.DUMMYFUNCTION("""COMPUTED_VALUE"""),146.72)</f>
        <v>146.72</v>
      </c>
      <c r="F9199" s="2">
        <f>IFERROR(__xludf.DUMMYFUNCTION("""COMPUTED_VALUE"""),3572048.0)</f>
        <v>3572048</v>
      </c>
    </row>
    <row r="9200">
      <c r="A9200" s="3">
        <f>IFERROR(__xludf.DUMMYFUNCTION("""COMPUTED_VALUE"""),42542.66666666667)</f>
        <v>42542.66667</v>
      </c>
      <c r="B9200" s="2">
        <f>IFERROR(__xludf.DUMMYFUNCTION("""COMPUTED_VALUE"""),147.25)</f>
        <v>147.25</v>
      </c>
      <c r="C9200" s="2">
        <f>IFERROR(__xludf.DUMMYFUNCTION("""COMPUTED_VALUE"""),147.64)</f>
        <v>147.64</v>
      </c>
      <c r="D9200" s="2">
        <f>IFERROR(__xludf.DUMMYFUNCTION("""COMPUTED_VALUE"""),146.8)</f>
        <v>146.8</v>
      </c>
      <c r="E9200" s="2">
        <f>IFERROR(__xludf.DUMMYFUNCTION("""COMPUTED_VALUE"""),147.14)</f>
        <v>147.14</v>
      </c>
      <c r="F9200" s="2">
        <f>IFERROR(__xludf.DUMMYFUNCTION("""COMPUTED_VALUE"""),2760344.0)</f>
        <v>2760344</v>
      </c>
    </row>
    <row r="9201">
      <c r="A9201" s="3">
        <f>IFERROR(__xludf.DUMMYFUNCTION("""COMPUTED_VALUE"""),42543.66666666667)</f>
        <v>42543.66667</v>
      </c>
      <c r="B9201" s="2">
        <f>IFERROR(__xludf.DUMMYFUNCTION("""COMPUTED_VALUE"""),146.86)</f>
        <v>146.86</v>
      </c>
      <c r="C9201" s="2">
        <f>IFERROR(__xludf.DUMMYFUNCTION("""COMPUTED_VALUE"""),147.77)</f>
        <v>147.77</v>
      </c>
      <c r="D9201" s="2">
        <f>IFERROR(__xludf.DUMMYFUNCTION("""COMPUTED_VALUE"""),145.44)</f>
        <v>145.44</v>
      </c>
      <c r="E9201" s="2">
        <f>IFERROR(__xludf.DUMMYFUNCTION("""COMPUTED_VALUE"""),146.06)</f>
        <v>146.06</v>
      </c>
      <c r="F9201" s="2">
        <f>IFERROR(__xludf.DUMMYFUNCTION("""COMPUTED_VALUE"""),2833364.0)</f>
        <v>2833364</v>
      </c>
    </row>
    <row r="9202">
      <c r="A9202" s="3">
        <f>IFERROR(__xludf.DUMMYFUNCTION("""COMPUTED_VALUE"""),42544.66666666667)</f>
        <v>42544.66667</v>
      </c>
      <c r="B9202" s="2">
        <f>IFERROR(__xludf.DUMMYFUNCTION("""COMPUTED_VALUE"""),146.57)</f>
        <v>146.57</v>
      </c>
      <c r="C9202" s="2">
        <f>IFERROR(__xludf.DUMMYFUNCTION("""COMPUTED_VALUE"""),148.51)</f>
        <v>148.51</v>
      </c>
      <c r="D9202" s="2">
        <f>IFERROR(__xludf.DUMMYFUNCTION("""COMPUTED_VALUE"""),145.76)</f>
        <v>145.76</v>
      </c>
      <c r="E9202" s="2">
        <f>IFERROR(__xludf.DUMMYFUNCTION("""COMPUTED_VALUE"""),148.38)</f>
        <v>148.38</v>
      </c>
      <c r="F9202" s="2">
        <f>IFERROR(__xludf.DUMMYFUNCTION("""COMPUTED_VALUE"""),3967419.0)</f>
        <v>3967419</v>
      </c>
    </row>
    <row r="9203">
      <c r="A9203" s="3">
        <f>IFERROR(__xludf.DUMMYFUNCTION("""COMPUTED_VALUE"""),42545.66666666667)</f>
        <v>42545.66667</v>
      </c>
      <c r="B9203" s="2">
        <f>IFERROR(__xludf.DUMMYFUNCTION("""COMPUTED_VALUE"""),143.25)</f>
        <v>143.25</v>
      </c>
      <c r="C9203" s="2">
        <f>IFERROR(__xludf.DUMMYFUNCTION("""COMPUTED_VALUE"""),143.86)</f>
        <v>143.86</v>
      </c>
      <c r="D9203" s="2">
        <f>IFERROR(__xludf.DUMMYFUNCTION("""COMPUTED_VALUE"""),139.63)</f>
        <v>139.63</v>
      </c>
      <c r="E9203" s="2">
        <f>IFERROR(__xludf.DUMMYFUNCTION("""COMPUTED_VALUE"""),140.02)</f>
        <v>140.02</v>
      </c>
      <c r="F9203" s="2">
        <f>IFERROR(__xludf.DUMMYFUNCTION("""COMPUTED_VALUE"""),9081442.0)</f>
        <v>9081442</v>
      </c>
    </row>
    <row r="9204">
      <c r="A9204" s="3">
        <f>IFERROR(__xludf.DUMMYFUNCTION("""COMPUTED_VALUE"""),42548.66666666667)</f>
        <v>42548.66667</v>
      </c>
      <c r="B9204" s="2">
        <f>IFERROR(__xludf.DUMMYFUNCTION("""COMPUTED_VALUE"""),139.63)</f>
        <v>139.63</v>
      </c>
      <c r="C9204" s="2">
        <f>IFERROR(__xludf.DUMMYFUNCTION("""COMPUTED_VALUE"""),140.03)</f>
        <v>140.03</v>
      </c>
      <c r="D9204" s="2">
        <f>IFERROR(__xludf.DUMMYFUNCTION("""COMPUTED_VALUE"""),136.11)</f>
        <v>136.11</v>
      </c>
      <c r="E9204" s="2">
        <f>IFERROR(__xludf.DUMMYFUNCTION("""COMPUTED_VALUE"""),137.07)</f>
        <v>137.07</v>
      </c>
      <c r="F9204" s="2">
        <f>IFERROR(__xludf.DUMMYFUNCTION("""COMPUTED_VALUE"""),5165300.0)</f>
        <v>5165300</v>
      </c>
    </row>
    <row r="9205">
      <c r="A9205" s="3">
        <f>IFERROR(__xludf.DUMMYFUNCTION("""COMPUTED_VALUE"""),42549.66666666667)</f>
        <v>42549.66667</v>
      </c>
      <c r="B9205" s="2">
        <f>IFERROR(__xludf.DUMMYFUNCTION("""COMPUTED_VALUE"""),138.29)</f>
        <v>138.29</v>
      </c>
      <c r="C9205" s="2">
        <f>IFERROR(__xludf.DUMMYFUNCTION("""COMPUTED_VALUE"""),139.2)</f>
        <v>139.2</v>
      </c>
      <c r="D9205" s="2">
        <f>IFERROR(__xludf.DUMMYFUNCTION("""COMPUTED_VALUE"""),137.75)</f>
        <v>137.75</v>
      </c>
      <c r="E9205" s="2">
        <f>IFERROR(__xludf.DUMMYFUNCTION("""COMPUTED_VALUE"""),139.17)</f>
        <v>139.17</v>
      </c>
      <c r="F9205" s="2">
        <f>IFERROR(__xludf.DUMMYFUNCTION("""COMPUTED_VALUE"""),3996007.0)</f>
        <v>3996007</v>
      </c>
    </row>
    <row r="9206">
      <c r="A9206" s="3">
        <f>IFERROR(__xludf.DUMMYFUNCTION("""COMPUTED_VALUE"""),42550.66666666667)</f>
        <v>42550.66667</v>
      </c>
      <c r="B9206" s="2">
        <f>IFERROR(__xludf.DUMMYFUNCTION("""COMPUTED_VALUE"""),139.93)</f>
        <v>139.93</v>
      </c>
      <c r="C9206" s="2">
        <f>IFERROR(__xludf.DUMMYFUNCTION("""COMPUTED_VALUE"""),141.82)</f>
        <v>141.82</v>
      </c>
      <c r="D9206" s="2">
        <f>IFERROR(__xludf.DUMMYFUNCTION("""COMPUTED_VALUE"""),139.88)</f>
        <v>139.88</v>
      </c>
      <c r="E9206" s="2">
        <f>IFERROR(__xludf.DUMMYFUNCTION("""COMPUTED_VALUE"""),141.8)</f>
        <v>141.8</v>
      </c>
      <c r="F9206" s="2">
        <f>IFERROR(__xludf.DUMMYFUNCTION("""COMPUTED_VALUE"""),3367719.0)</f>
        <v>3367719</v>
      </c>
    </row>
    <row r="9207">
      <c r="A9207" s="3">
        <f>IFERROR(__xludf.DUMMYFUNCTION("""COMPUTED_VALUE"""),42551.66666666667)</f>
        <v>42551.66667</v>
      </c>
      <c r="B9207" s="2">
        <f>IFERROR(__xludf.DUMMYFUNCTION("""COMPUTED_VALUE"""),142.19)</f>
        <v>142.19</v>
      </c>
      <c r="C9207" s="2">
        <f>IFERROR(__xludf.DUMMYFUNCTION("""COMPUTED_VALUE"""),145.1)</f>
        <v>145.1</v>
      </c>
      <c r="D9207" s="2">
        <f>IFERROR(__xludf.DUMMYFUNCTION("""COMPUTED_VALUE"""),142.0)</f>
        <v>142</v>
      </c>
      <c r="E9207" s="2">
        <f>IFERROR(__xludf.DUMMYFUNCTION("""COMPUTED_VALUE"""),144.97)</f>
        <v>144.97</v>
      </c>
      <c r="F9207" s="2">
        <f>IFERROR(__xludf.DUMMYFUNCTION("""COMPUTED_VALUE"""),3966975.0)</f>
        <v>3966975</v>
      </c>
    </row>
    <row r="9208">
      <c r="A9208" s="3">
        <f>IFERROR(__xludf.DUMMYFUNCTION("""COMPUTED_VALUE"""),42552.66666666667)</f>
        <v>42552.66667</v>
      </c>
      <c r="B9208" s="2">
        <f>IFERROR(__xludf.DUMMYFUNCTION("""COMPUTED_VALUE"""),145.37)</f>
        <v>145.37</v>
      </c>
      <c r="C9208" s="2">
        <f>IFERROR(__xludf.DUMMYFUNCTION("""COMPUTED_VALUE"""),146.11)</f>
        <v>146.11</v>
      </c>
      <c r="D9208" s="2">
        <f>IFERROR(__xludf.DUMMYFUNCTION("""COMPUTED_VALUE"""),144.61)</f>
        <v>144.61</v>
      </c>
      <c r="E9208" s="2">
        <f>IFERROR(__xludf.DUMMYFUNCTION("""COMPUTED_VALUE"""),145.52)</f>
        <v>145.52</v>
      </c>
      <c r="F9208" s="2">
        <f>IFERROR(__xludf.DUMMYFUNCTION("""COMPUTED_VALUE"""),2658280.0)</f>
        <v>2658280</v>
      </c>
    </row>
    <row r="9209">
      <c r="A9209" s="3">
        <f>IFERROR(__xludf.DUMMYFUNCTION("""COMPUTED_VALUE"""),42556.66666666667)</f>
        <v>42556.66667</v>
      </c>
      <c r="B9209" s="2">
        <f>IFERROR(__xludf.DUMMYFUNCTION("""COMPUTED_VALUE"""),144.41)</f>
        <v>144.41</v>
      </c>
      <c r="C9209" s="2">
        <f>IFERROR(__xludf.DUMMYFUNCTION("""COMPUTED_VALUE"""),145.18)</f>
        <v>145.18</v>
      </c>
      <c r="D9209" s="2">
        <f>IFERROR(__xludf.DUMMYFUNCTION("""COMPUTED_VALUE"""),144.0)</f>
        <v>144</v>
      </c>
      <c r="E9209" s="2">
        <f>IFERROR(__xludf.DUMMYFUNCTION("""COMPUTED_VALUE"""),144.88)</f>
        <v>144.88</v>
      </c>
      <c r="F9209" s="2">
        <f>IFERROR(__xludf.DUMMYFUNCTION("""COMPUTED_VALUE"""),2464820.0)</f>
        <v>2464820</v>
      </c>
    </row>
    <row r="9210">
      <c r="A9210" s="3">
        <f>IFERROR(__xludf.DUMMYFUNCTION("""COMPUTED_VALUE"""),42557.66666666667)</f>
        <v>42557.66667</v>
      </c>
      <c r="B9210" s="2">
        <f>IFERROR(__xludf.DUMMYFUNCTION("""COMPUTED_VALUE"""),145.04)</f>
        <v>145.04</v>
      </c>
      <c r="C9210" s="2">
        <f>IFERROR(__xludf.DUMMYFUNCTION("""COMPUTED_VALUE"""),145.58)</f>
        <v>145.58</v>
      </c>
      <c r="D9210" s="2">
        <f>IFERROR(__xludf.DUMMYFUNCTION("""COMPUTED_VALUE"""),143.2)</f>
        <v>143.2</v>
      </c>
      <c r="E9210" s="2">
        <f>IFERROR(__xludf.DUMMYFUNCTION("""COMPUTED_VALUE"""),145.54)</f>
        <v>145.54</v>
      </c>
      <c r="F9210" s="2">
        <f>IFERROR(__xludf.DUMMYFUNCTION("""COMPUTED_VALUE"""),2569393.0)</f>
        <v>2569393</v>
      </c>
    </row>
    <row r="9211">
      <c r="A9211" s="3">
        <f>IFERROR(__xludf.DUMMYFUNCTION("""COMPUTED_VALUE"""),42558.66666666667)</f>
        <v>42558.66667</v>
      </c>
      <c r="B9211" s="2">
        <f>IFERROR(__xludf.DUMMYFUNCTION("""COMPUTED_VALUE"""),145.9)</f>
        <v>145.9</v>
      </c>
      <c r="C9211" s="2">
        <f>IFERROR(__xludf.DUMMYFUNCTION("""COMPUTED_VALUE"""),146.8)</f>
        <v>146.8</v>
      </c>
      <c r="D9211" s="2">
        <f>IFERROR(__xludf.DUMMYFUNCTION("""COMPUTED_VALUE"""),145.08)</f>
        <v>145.08</v>
      </c>
      <c r="E9211" s="2">
        <f>IFERROR(__xludf.DUMMYFUNCTION("""COMPUTED_VALUE"""),145.76)</f>
        <v>145.76</v>
      </c>
      <c r="F9211" s="2">
        <f>IFERROR(__xludf.DUMMYFUNCTION("""COMPUTED_VALUE"""),2138421.0)</f>
        <v>2138421</v>
      </c>
    </row>
    <row r="9212">
      <c r="A9212" s="3">
        <f>IFERROR(__xludf.DUMMYFUNCTION("""COMPUTED_VALUE"""),42559.66666666667)</f>
        <v>42559.66667</v>
      </c>
      <c r="B9212" s="2">
        <f>IFERROR(__xludf.DUMMYFUNCTION("""COMPUTED_VALUE"""),147.1)</f>
        <v>147.1</v>
      </c>
      <c r="C9212" s="2">
        <f>IFERROR(__xludf.DUMMYFUNCTION("""COMPUTED_VALUE"""),147.67)</f>
        <v>147.67</v>
      </c>
      <c r="D9212" s="2">
        <f>IFERROR(__xludf.DUMMYFUNCTION("""COMPUTED_VALUE"""),146.22)</f>
        <v>146.22</v>
      </c>
      <c r="E9212" s="2">
        <f>IFERROR(__xludf.DUMMYFUNCTION("""COMPUTED_VALUE"""),147.53)</f>
        <v>147.53</v>
      </c>
      <c r="F9212" s="2">
        <f>IFERROR(__xludf.DUMMYFUNCTION("""COMPUTED_VALUE"""),3040505.0)</f>
        <v>3040505</v>
      </c>
    </row>
    <row r="9213">
      <c r="A9213" s="3">
        <f>IFERROR(__xludf.DUMMYFUNCTION("""COMPUTED_VALUE"""),42562.66666666667)</f>
        <v>42562.66667</v>
      </c>
      <c r="B9213" s="2">
        <f>IFERROR(__xludf.DUMMYFUNCTION("""COMPUTED_VALUE"""),147.67)</f>
        <v>147.67</v>
      </c>
      <c r="C9213" s="2">
        <f>IFERROR(__xludf.DUMMYFUNCTION("""COMPUTED_VALUE"""),149.04)</f>
        <v>149.04</v>
      </c>
      <c r="D9213" s="2">
        <f>IFERROR(__xludf.DUMMYFUNCTION("""COMPUTED_VALUE"""),147.57)</f>
        <v>147.57</v>
      </c>
      <c r="E9213" s="2">
        <f>IFERROR(__xludf.DUMMYFUNCTION("""COMPUTED_VALUE"""),148.37)</f>
        <v>148.37</v>
      </c>
      <c r="F9213" s="2">
        <f>IFERROR(__xludf.DUMMYFUNCTION("""COMPUTED_VALUE"""),2833712.0)</f>
        <v>2833712</v>
      </c>
    </row>
    <row r="9214">
      <c r="A9214" s="3">
        <f>IFERROR(__xludf.DUMMYFUNCTION("""COMPUTED_VALUE"""),42563.66666666667)</f>
        <v>42563.66667</v>
      </c>
      <c r="B9214" s="2">
        <f>IFERROR(__xludf.DUMMYFUNCTION("""COMPUTED_VALUE"""),149.01)</f>
        <v>149.01</v>
      </c>
      <c r="C9214" s="2">
        <f>IFERROR(__xludf.DUMMYFUNCTION("""COMPUTED_VALUE"""),150.08)</f>
        <v>150.08</v>
      </c>
      <c r="D9214" s="2">
        <f>IFERROR(__xludf.DUMMYFUNCTION("""COMPUTED_VALUE"""),148.55)</f>
        <v>148.55</v>
      </c>
      <c r="E9214" s="2">
        <f>IFERROR(__xludf.DUMMYFUNCTION("""COMPUTED_VALUE"""),150.0)</f>
        <v>150</v>
      </c>
      <c r="F9214" s="2">
        <f>IFERROR(__xludf.DUMMYFUNCTION("""COMPUTED_VALUE"""),3843773.0)</f>
        <v>3843773</v>
      </c>
    </row>
    <row r="9215">
      <c r="A9215" s="3">
        <f>IFERROR(__xludf.DUMMYFUNCTION("""COMPUTED_VALUE"""),42564.66666666667)</f>
        <v>42564.66667</v>
      </c>
      <c r="B9215" s="2">
        <f>IFERROR(__xludf.DUMMYFUNCTION("""COMPUTED_VALUE"""),150.68)</f>
        <v>150.68</v>
      </c>
      <c r="C9215" s="2">
        <f>IFERROR(__xludf.DUMMYFUNCTION("""COMPUTED_VALUE"""),151.24)</f>
        <v>151.24</v>
      </c>
      <c r="D9215" s="2">
        <f>IFERROR(__xludf.DUMMYFUNCTION("""COMPUTED_VALUE"""),150.02)</f>
        <v>150.02</v>
      </c>
      <c r="E9215" s="2">
        <f>IFERROR(__xludf.DUMMYFUNCTION("""COMPUTED_VALUE"""),150.94)</f>
        <v>150.94</v>
      </c>
      <c r="F9215" s="2">
        <f>IFERROR(__xludf.DUMMYFUNCTION("""COMPUTED_VALUE"""),2746239.0)</f>
        <v>2746239</v>
      </c>
    </row>
    <row r="9216">
      <c r="A9216" s="3">
        <f>IFERROR(__xludf.DUMMYFUNCTION("""COMPUTED_VALUE"""),42565.66666666667)</f>
        <v>42565.66667</v>
      </c>
      <c r="B9216" s="2">
        <f>IFERROR(__xludf.DUMMYFUNCTION("""COMPUTED_VALUE"""),151.69)</f>
        <v>151.69</v>
      </c>
      <c r="C9216" s="2">
        <f>IFERROR(__xludf.DUMMYFUNCTION("""COMPUTED_VALUE"""),154.16)</f>
        <v>154.16</v>
      </c>
      <c r="D9216" s="2">
        <f>IFERROR(__xludf.DUMMYFUNCTION("""COMPUTED_VALUE"""),151.47)</f>
        <v>151.47</v>
      </c>
      <c r="E9216" s="2">
        <f>IFERROR(__xludf.DUMMYFUNCTION("""COMPUTED_VALUE"""),153.09)</f>
        <v>153.09</v>
      </c>
      <c r="F9216" s="2">
        <f>IFERROR(__xludf.DUMMYFUNCTION("""COMPUTED_VALUE"""),4637624.0)</f>
        <v>4637624</v>
      </c>
    </row>
    <row r="9217">
      <c r="A9217" s="3">
        <f>IFERROR(__xludf.DUMMYFUNCTION("""COMPUTED_VALUE"""),42566.66666666667)</f>
        <v>42566.66667</v>
      </c>
      <c r="B9217" s="2">
        <f>IFERROR(__xludf.DUMMYFUNCTION("""COMPUTED_VALUE"""),152.73)</f>
        <v>152.73</v>
      </c>
      <c r="C9217" s="2">
        <f>IFERROR(__xludf.DUMMYFUNCTION("""COMPUTED_VALUE"""),152.81)</f>
        <v>152.81</v>
      </c>
      <c r="D9217" s="2">
        <f>IFERROR(__xludf.DUMMYFUNCTION("""COMPUTED_VALUE"""),151.39)</f>
        <v>151.39</v>
      </c>
      <c r="E9217" s="2">
        <f>IFERROR(__xludf.DUMMYFUNCTION("""COMPUTED_VALUE"""),152.62)</f>
        <v>152.62</v>
      </c>
      <c r="F9217" s="2">
        <f>IFERROR(__xludf.DUMMYFUNCTION("""COMPUTED_VALUE"""),4475458.0)</f>
        <v>4475458</v>
      </c>
    </row>
    <row r="9218">
      <c r="A9218" s="3">
        <f>IFERROR(__xludf.DUMMYFUNCTION("""COMPUTED_VALUE"""),42569.66666666667)</f>
        <v>42569.66667</v>
      </c>
      <c r="B9218" s="2">
        <f>IFERROR(__xludf.DUMMYFUNCTION("""COMPUTED_VALUE"""),152.16)</f>
        <v>152.16</v>
      </c>
      <c r="C9218" s="2">
        <f>IFERROR(__xludf.DUMMYFUNCTION("""COMPUTED_VALUE"""),153.54)</f>
        <v>153.54</v>
      </c>
      <c r="D9218" s="2">
        <f>IFERROR(__xludf.DUMMYFUNCTION("""COMPUTED_VALUE"""),151.61)</f>
        <v>151.61</v>
      </c>
      <c r="E9218" s="2">
        <f>IFERROR(__xludf.DUMMYFUNCTION("""COMPUTED_VALUE"""),152.69)</f>
        <v>152.69</v>
      </c>
      <c r="F9218" s="2">
        <f>IFERROR(__xludf.DUMMYFUNCTION("""COMPUTED_VALUE"""),6718567.0)</f>
        <v>6718567</v>
      </c>
    </row>
    <row r="9219">
      <c r="A9219" s="3">
        <f>IFERROR(__xludf.DUMMYFUNCTION("""COMPUTED_VALUE"""),42570.66666666667)</f>
        <v>42570.66667</v>
      </c>
      <c r="B9219" s="2">
        <f>IFERROR(__xludf.DUMMYFUNCTION("""COMPUTED_VALUE"""),154.53)</f>
        <v>154.53</v>
      </c>
      <c r="C9219" s="2">
        <f>IFERROR(__xludf.DUMMYFUNCTION("""COMPUTED_VALUE"""),154.87)</f>
        <v>154.87</v>
      </c>
      <c r="D9219" s="2">
        <f>IFERROR(__xludf.DUMMYFUNCTION("""COMPUTED_VALUE"""),150.81)</f>
        <v>150.81</v>
      </c>
      <c r="E9219" s="2">
        <f>IFERROR(__xludf.DUMMYFUNCTION("""COMPUTED_VALUE"""),152.43)</f>
        <v>152.43</v>
      </c>
      <c r="F9219" s="2">
        <f>IFERROR(__xludf.DUMMYFUNCTION("""COMPUTED_VALUE"""),7119917.0)</f>
        <v>7119917</v>
      </c>
    </row>
    <row r="9220">
      <c r="A9220" s="3">
        <f>IFERROR(__xludf.DUMMYFUNCTION("""COMPUTED_VALUE"""),42571.66666666667)</f>
        <v>42571.66667</v>
      </c>
      <c r="B9220" s="2">
        <f>IFERROR(__xludf.DUMMYFUNCTION("""COMPUTED_VALUE"""),152.8)</f>
        <v>152.8</v>
      </c>
      <c r="C9220" s="2">
        <f>IFERROR(__xludf.DUMMYFUNCTION("""COMPUTED_VALUE"""),154.46)</f>
        <v>154.46</v>
      </c>
      <c r="D9220" s="2">
        <f>IFERROR(__xludf.DUMMYFUNCTION("""COMPUTED_VALUE"""),152.44)</f>
        <v>152.44</v>
      </c>
      <c r="E9220" s="2">
        <f>IFERROR(__xludf.DUMMYFUNCTION("""COMPUTED_VALUE"""),154.13)</f>
        <v>154.13</v>
      </c>
      <c r="F9220" s="2">
        <f>IFERROR(__xludf.DUMMYFUNCTION("""COMPUTED_VALUE"""),4376186.0)</f>
        <v>4376186</v>
      </c>
    </row>
    <row r="9221">
      <c r="A9221" s="3">
        <f>IFERROR(__xludf.DUMMYFUNCTION("""COMPUTED_VALUE"""),42572.66666666667)</f>
        <v>42572.66667</v>
      </c>
      <c r="B9221" s="2">
        <f>IFERROR(__xludf.DUMMYFUNCTION("""COMPUTED_VALUE"""),153.54)</f>
        <v>153.54</v>
      </c>
      <c r="C9221" s="2">
        <f>IFERROR(__xludf.DUMMYFUNCTION("""COMPUTED_VALUE"""),154.59)</f>
        <v>154.59</v>
      </c>
      <c r="D9221" s="2">
        <f>IFERROR(__xludf.DUMMYFUNCTION("""COMPUTED_VALUE"""),152.72)</f>
        <v>152.72</v>
      </c>
      <c r="E9221" s="2">
        <f>IFERROR(__xludf.DUMMYFUNCTION("""COMPUTED_VALUE"""),153.26)</f>
        <v>153.26</v>
      </c>
      <c r="F9221" s="2">
        <f>IFERROR(__xludf.DUMMYFUNCTION("""COMPUTED_VALUE"""),4048867.0)</f>
        <v>4048867</v>
      </c>
    </row>
    <row r="9222">
      <c r="A9222" s="3">
        <f>IFERROR(__xludf.DUMMYFUNCTION("""COMPUTED_VALUE"""),42573.66666666667)</f>
        <v>42573.66667</v>
      </c>
      <c r="B9222" s="2">
        <f>IFERROR(__xludf.DUMMYFUNCTION("""COMPUTED_VALUE"""),153.57)</f>
        <v>153.57</v>
      </c>
      <c r="C9222" s="2">
        <f>IFERROR(__xludf.DUMMYFUNCTION("""COMPUTED_VALUE"""),154.9)</f>
        <v>154.9</v>
      </c>
      <c r="D9222" s="2">
        <f>IFERROR(__xludf.DUMMYFUNCTION("""COMPUTED_VALUE"""),153.28)</f>
        <v>153.28</v>
      </c>
      <c r="E9222" s="2">
        <f>IFERROR(__xludf.DUMMYFUNCTION("""COMPUTED_VALUE"""),154.8)</f>
        <v>154.8</v>
      </c>
      <c r="F9222" s="2">
        <f>IFERROR(__xludf.DUMMYFUNCTION("""COMPUTED_VALUE"""),2519777.0)</f>
        <v>2519777</v>
      </c>
    </row>
    <row r="9223">
      <c r="A9223" s="3">
        <f>IFERROR(__xludf.DUMMYFUNCTION("""COMPUTED_VALUE"""),42576.66666666667)</f>
        <v>42576.66667</v>
      </c>
      <c r="B9223" s="2">
        <f>IFERROR(__xludf.DUMMYFUNCTION("""COMPUTED_VALUE"""),154.74)</f>
        <v>154.74</v>
      </c>
      <c r="C9223" s="2">
        <f>IFERROR(__xludf.DUMMYFUNCTION("""COMPUTED_VALUE"""),155.58)</f>
        <v>155.58</v>
      </c>
      <c r="D9223" s="2">
        <f>IFERROR(__xludf.DUMMYFUNCTION("""COMPUTED_VALUE"""),154.5)</f>
        <v>154.5</v>
      </c>
      <c r="E9223" s="2">
        <f>IFERROR(__xludf.DUMMYFUNCTION("""COMPUTED_VALUE"""),155.36)</f>
        <v>155.36</v>
      </c>
      <c r="F9223" s="2">
        <f>IFERROR(__xludf.DUMMYFUNCTION("""COMPUTED_VALUE"""),2804578.0)</f>
        <v>2804578</v>
      </c>
    </row>
    <row r="9224">
      <c r="A9224" s="3">
        <f>IFERROR(__xludf.DUMMYFUNCTION("""COMPUTED_VALUE"""),42577.66666666667)</f>
        <v>42577.66667</v>
      </c>
      <c r="B9224" s="2">
        <f>IFERROR(__xludf.DUMMYFUNCTION("""COMPUTED_VALUE"""),155.36)</f>
        <v>155.36</v>
      </c>
      <c r="C9224" s="2">
        <f>IFERROR(__xludf.DUMMYFUNCTION("""COMPUTED_VALUE"""),156.26)</f>
        <v>156.26</v>
      </c>
      <c r="D9224" s="2">
        <f>IFERROR(__xludf.DUMMYFUNCTION("""COMPUTED_VALUE"""),154.13)</f>
        <v>154.13</v>
      </c>
      <c r="E9224" s="2">
        <f>IFERROR(__xludf.DUMMYFUNCTION("""COMPUTED_VALUE"""),154.85)</f>
        <v>154.85</v>
      </c>
      <c r="F9224" s="2">
        <f>IFERROR(__xludf.DUMMYFUNCTION("""COMPUTED_VALUE"""),2892969.0)</f>
        <v>2892969</v>
      </c>
    </row>
    <row r="9225">
      <c r="A9225" s="3">
        <f>IFERROR(__xludf.DUMMYFUNCTION("""COMPUTED_VALUE"""),42578.66666666667)</f>
        <v>42578.66667</v>
      </c>
      <c r="B9225" s="2">
        <f>IFERROR(__xludf.DUMMYFUNCTION("""COMPUTED_VALUE"""),154.85)</f>
        <v>154.85</v>
      </c>
      <c r="C9225" s="2">
        <f>IFERROR(__xludf.DUMMYFUNCTION("""COMPUTED_VALUE"""),155.28)</f>
        <v>155.28</v>
      </c>
      <c r="D9225" s="2">
        <f>IFERROR(__xludf.DUMMYFUNCTION("""COMPUTED_VALUE"""),153.95)</f>
        <v>153.95</v>
      </c>
      <c r="E9225" s="2">
        <f>IFERROR(__xludf.DUMMYFUNCTION("""COMPUTED_VALUE"""),154.57)</f>
        <v>154.57</v>
      </c>
      <c r="F9225" s="2">
        <f>IFERROR(__xludf.DUMMYFUNCTION("""COMPUTED_VALUE"""),2162680.0)</f>
        <v>2162680</v>
      </c>
    </row>
    <row r="9226">
      <c r="A9226" s="3">
        <f>IFERROR(__xludf.DUMMYFUNCTION("""COMPUTED_VALUE"""),42579.66666666667)</f>
        <v>42579.66667</v>
      </c>
      <c r="B9226" s="2">
        <f>IFERROR(__xludf.DUMMYFUNCTION("""COMPUTED_VALUE"""),154.14)</f>
        <v>154.14</v>
      </c>
      <c r="C9226" s="2">
        <f>IFERROR(__xludf.DUMMYFUNCTION("""COMPUTED_VALUE"""),154.56)</f>
        <v>154.56</v>
      </c>
      <c r="D9226" s="2">
        <f>IFERROR(__xludf.DUMMYFUNCTION("""COMPUTED_VALUE"""),153.5)</f>
        <v>153.5</v>
      </c>
      <c r="E9226" s="2">
        <f>IFERROR(__xludf.DUMMYFUNCTION("""COMPUTED_VALUE"""),154.13)</f>
        <v>154.13</v>
      </c>
      <c r="F9226" s="2">
        <f>IFERROR(__xludf.DUMMYFUNCTION("""COMPUTED_VALUE"""),2340369.0)</f>
        <v>2340369</v>
      </c>
    </row>
    <row r="9227">
      <c r="A9227" s="3">
        <f>IFERROR(__xludf.DUMMYFUNCTION("""COMPUTED_VALUE"""),42580.66666666667)</f>
        <v>42580.66667</v>
      </c>
      <c r="B9227" s="2">
        <f>IFERROR(__xludf.DUMMYFUNCTION("""COMPUTED_VALUE"""),154.13)</f>
        <v>154.13</v>
      </c>
      <c r="C9227" s="2">
        <f>IFERROR(__xludf.DUMMYFUNCTION("""COMPUTED_VALUE"""),154.42)</f>
        <v>154.42</v>
      </c>
      <c r="D9227" s="2">
        <f>IFERROR(__xludf.DUMMYFUNCTION("""COMPUTED_VALUE"""),152.85)</f>
        <v>152.85</v>
      </c>
      <c r="E9227" s="2">
        <f>IFERROR(__xludf.DUMMYFUNCTION("""COMPUTED_VALUE"""),153.42)</f>
        <v>153.42</v>
      </c>
      <c r="F9227" s="2">
        <f>IFERROR(__xludf.DUMMYFUNCTION("""COMPUTED_VALUE"""),3547395.0)</f>
        <v>3547395</v>
      </c>
    </row>
    <row r="9228">
      <c r="A9228" s="3">
        <f>IFERROR(__xludf.DUMMYFUNCTION("""COMPUTED_VALUE"""),42583.66666666667)</f>
        <v>42583.66667</v>
      </c>
      <c r="B9228" s="2">
        <f>IFERROR(__xludf.DUMMYFUNCTION("""COMPUTED_VALUE"""),153.45)</f>
        <v>153.45</v>
      </c>
      <c r="C9228" s="2">
        <f>IFERROR(__xludf.DUMMYFUNCTION("""COMPUTED_VALUE"""),154.4)</f>
        <v>154.4</v>
      </c>
      <c r="D9228" s="2">
        <f>IFERROR(__xludf.DUMMYFUNCTION("""COMPUTED_VALUE"""),152.67)</f>
        <v>152.67</v>
      </c>
      <c r="E9228" s="2">
        <f>IFERROR(__xludf.DUMMYFUNCTION("""COMPUTED_VALUE"""),154.21)</f>
        <v>154.21</v>
      </c>
      <c r="F9228" s="2">
        <f>IFERROR(__xludf.DUMMYFUNCTION("""COMPUTED_VALUE"""),2823578.0)</f>
        <v>2823578</v>
      </c>
    </row>
    <row r="9229">
      <c r="A9229" s="3">
        <f>IFERROR(__xludf.DUMMYFUNCTION("""COMPUTED_VALUE"""),42584.66666666667)</f>
        <v>42584.66667</v>
      </c>
      <c r="B9229" s="2">
        <f>IFERROR(__xludf.DUMMYFUNCTION("""COMPUTED_VALUE"""),154.04)</f>
        <v>154.04</v>
      </c>
      <c r="C9229" s="2">
        <f>IFERROR(__xludf.DUMMYFUNCTION("""COMPUTED_VALUE"""),154.21)</f>
        <v>154.21</v>
      </c>
      <c r="D9229" s="2">
        <f>IFERROR(__xludf.DUMMYFUNCTION("""COMPUTED_VALUE"""),153.17)</f>
        <v>153.17</v>
      </c>
      <c r="E9229" s="2">
        <f>IFERROR(__xludf.DUMMYFUNCTION("""COMPUTED_VALUE"""),153.38)</f>
        <v>153.38</v>
      </c>
      <c r="F9229" s="2">
        <f>IFERROR(__xludf.DUMMYFUNCTION("""COMPUTED_VALUE"""),3080699.0)</f>
        <v>3080699</v>
      </c>
    </row>
    <row r="9230">
      <c r="A9230" s="3">
        <f>IFERROR(__xludf.DUMMYFUNCTION("""COMPUTED_VALUE"""),42585.66666666667)</f>
        <v>42585.66667</v>
      </c>
      <c r="B9230" s="2">
        <f>IFERROR(__xludf.DUMMYFUNCTION("""COMPUTED_VALUE"""),152.95)</f>
        <v>152.95</v>
      </c>
      <c r="C9230" s="2">
        <f>IFERROR(__xludf.DUMMYFUNCTION("""COMPUTED_VALUE"""),153.65)</f>
        <v>153.65</v>
      </c>
      <c r="D9230" s="2">
        <f>IFERROR(__xludf.DUMMYFUNCTION("""COMPUTED_VALUE"""),152.64)</f>
        <v>152.64</v>
      </c>
      <c r="E9230" s="2">
        <f>IFERROR(__xludf.DUMMYFUNCTION("""COMPUTED_VALUE"""),153.47)</f>
        <v>153.47</v>
      </c>
      <c r="F9230" s="2">
        <f>IFERROR(__xludf.DUMMYFUNCTION("""COMPUTED_VALUE"""),2861565.0)</f>
        <v>2861565</v>
      </c>
    </row>
    <row r="9231">
      <c r="A9231" s="3">
        <f>IFERROR(__xludf.DUMMYFUNCTION("""COMPUTED_VALUE"""),42586.66666666667)</f>
        <v>42586.66667</v>
      </c>
      <c r="B9231" s="2">
        <f>IFERROR(__xludf.DUMMYFUNCTION("""COMPUTED_VALUE"""),153.65)</f>
        <v>153.65</v>
      </c>
      <c r="C9231" s="2">
        <f>IFERROR(__xludf.DUMMYFUNCTION("""COMPUTED_VALUE"""),154.45)</f>
        <v>154.45</v>
      </c>
      <c r="D9231" s="2">
        <f>IFERROR(__xludf.DUMMYFUNCTION("""COMPUTED_VALUE"""),152.94)</f>
        <v>152.94</v>
      </c>
      <c r="E9231" s="2">
        <f>IFERROR(__xludf.DUMMYFUNCTION("""COMPUTED_VALUE"""),154.31)</f>
        <v>154.31</v>
      </c>
      <c r="F9231" s="2">
        <f>IFERROR(__xludf.DUMMYFUNCTION("""COMPUTED_VALUE"""),2489003.0)</f>
        <v>2489003</v>
      </c>
    </row>
    <row r="9232">
      <c r="A9232" s="3">
        <f>IFERROR(__xludf.DUMMYFUNCTION("""COMPUTED_VALUE"""),42587.66666666667)</f>
        <v>42587.66667</v>
      </c>
      <c r="B9232" s="2">
        <f>IFERROR(__xludf.DUMMYFUNCTION("""COMPUTED_VALUE"""),154.74)</f>
        <v>154.74</v>
      </c>
      <c r="C9232" s="2">
        <f>IFERROR(__xludf.DUMMYFUNCTION("""COMPUTED_VALUE"""),156.18)</f>
        <v>156.18</v>
      </c>
      <c r="D9232" s="2">
        <f>IFERROR(__xludf.DUMMYFUNCTION("""COMPUTED_VALUE"""),154.33)</f>
        <v>154.33</v>
      </c>
      <c r="E9232" s="2">
        <f>IFERROR(__xludf.DUMMYFUNCTION("""COMPUTED_VALUE"""),156.17)</f>
        <v>156.17</v>
      </c>
      <c r="F9232" s="2">
        <f>IFERROR(__xludf.DUMMYFUNCTION("""COMPUTED_VALUE"""),3812345.0)</f>
        <v>3812345</v>
      </c>
    </row>
    <row r="9233">
      <c r="A9233" s="3">
        <f>IFERROR(__xludf.DUMMYFUNCTION("""COMPUTED_VALUE"""),42590.66666666667)</f>
        <v>42590.66667</v>
      </c>
      <c r="B9233" s="2">
        <f>IFERROR(__xludf.DUMMYFUNCTION("""COMPUTED_VALUE"""),155.43)</f>
        <v>155.43</v>
      </c>
      <c r="C9233" s="2">
        <f>IFERROR(__xludf.DUMMYFUNCTION("""COMPUTED_VALUE"""),155.95)</f>
        <v>155.95</v>
      </c>
      <c r="D9233" s="2">
        <f>IFERROR(__xludf.DUMMYFUNCTION("""COMPUTED_VALUE"""),154.34)</f>
        <v>154.34</v>
      </c>
      <c r="E9233" s="2">
        <f>IFERROR(__xludf.DUMMYFUNCTION("""COMPUTED_VALUE"""),154.77)</f>
        <v>154.77</v>
      </c>
      <c r="F9233" s="2">
        <f>IFERROR(__xludf.DUMMYFUNCTION("""COMPUTED_VALUE"""),3039109.0)</f>
        <v>3039109</v>
      </c>
    </row>
    <row r="9234">
      <c r="A9234" s="3">
        <f>IFERROR(__xludf.DUMMYFUNCTION("""COMPUTED_VALUE"""),42591.66666666667)</f>
        <v>42591.66667</v>
      </c>
      <c r="B9234" s="2">
        <f>IFERROR(__xludf.DUMMYFUNCTION("""COMPUTED_VALUE"""),154.95)</f>
        <v>154.95</v>
      </c>
      <c r="C9234" s="2">
        <f>IFERROR(__xludf.DUMMYFUNCTION("""COMPUTED_VALUE"""),155.47)</f>
        <v>155.47</v>
      </c>
      <c r="D9234" s="2">
        <f>IFERROR(__xludf.DUMMYFUNCTION("""COMPUTED_VALUE"""),154.4)</f>
        <v>154.4</v>
      </c>
      <c r="E9234" s="2">
        <f>IFERROR(__xludf.DUMMYFUNCTION("""COMPUTED_VALUE"""),154.52)</f>
        <v>154.52</v>
      </c>
      <c r="F9234" s="2">
        <f>IFERROR(__xludf.DUMMYFUNCTION("""COMPUTED_VALUE"""),2737530.0)</f>
        <v>2737530</v>
      </c>
    </row>
    <row r="9235">
      <c r="A9235" s="3">
        <f>IFERROR(__xludf.DUMMYFUNCTION("""COMPUTED_VALUE"""),42592.66666666667)</f>
        <v>42592.66667</v>
      </c>
      <c r="B9235" s="2">
        <f>IFERROR(__xludf.DUMMYFUNCTION("""COMPUTED_VALUE"""),154.92)</f>
        <v>154.92</v>
      </c>
      <c r="C9235" s="2">
        <f>IFERROR(__xludf.DUMMYFUNCTION("""COMPUTED_VALUE"""),155.37)</f>
        <v>155.37</v>
      </c>
      <c r="D9235" s="2">
        <f>IFERROR(__xludf.DUMMYFUNCTION("""COMPUTED_VALUE"""),154.69)</f>
        <v>154.69</v>
      </c>
      <c r="E9235" s="2">
        <f>IFERROR(__xludf.DUMMYFUNCTION("""COMPUTED_VALUE"""),154.81)</f>
        <v>154.81</v>
      </c>
      <c r="F9235" s="2">
        <f>IFERROR(__xludf.DUMMYFUNCTION("""COMPUTED_VALUE"""),2466525.0)</f>
        <v>2466525</v>
      </c>
    </row>
    <row r="9236">
      <c r="A9236" s="3">
        <f>IFERROR(__xludf.DUMMYFUNCTION("""COMPUTED_VALUE"""),42593.66666666667)</f>
        <v>42593.66667</v>
      </c>
      <c r="B9236" s="2">
        <f>IFERROR(__xludf.DUMMYFUNCTION("""COMPUTED_VALUE"""),154.98)</f>
        <v>154.98</v>
      </c>
      <c r="C9236" s="2">
        <f>IFERROR(__xludf.DUMMYFUNCTION("""COMPUTED_VALUE"""),157.55)</f>
        <v>157.55</v>
      </c>
      <c r="D9236" s="2">
        <f>IFERROR(__xludf.DUMMYFUNCTION("""COMPUTED_VALUE"""),154.91)</f>
        <v>154.91</v>
      </c>
      <c r="E9236" s="2">
        <f>IFERROR(__xludf.DUMMYFUNCTION("""COMPUTED_VALUE"""),156.2)</f>
        <v>156.2</v>
      </c>
      <c r="F9236" s="2">
        <f>IFERROR(__xludf.DUMMYFUNCTION("""COMPUTED_VALUE"""),8768582.0)</f>
        <v>8768582</v>
      </c>
    </row>
    <row r="9237">
      <c r="A9237" s="3">
        <f>IFERROR(__xludf.DUMMYFUNCTION("""COMPUTED_VALUE"""),42594.66666666667)</f>
        <v>42594.66667</v>
      </c>
      <c r="B9237" s="2">
        <f>IFERROR(__xludf.DUMMYFUNCTION("""COMPUTED_VALUE"""),155.87)</f>
        <v>155.87</v>
      </c>
      <c r="C9237" s="2">
        <f>IFERROR(__xludf.DUMMYFUNCTION("""COMPUTED_VALUE"""),156.13)</f>
        <v>156.13</v>
      </c>
      <c r="D9237" s="2">
        <f>IFERROR(__xludf.DUMMYFUNCTION("""COMPUTED_VALUE"""),154.28)</f>
        <v>154.28</v>
      </c>
      <c r="E9237" s="2">
        <f>IFERROR(__xludf.DUMMYFUNCTION("""COMPUTED_VALUE"""),154.69)</f>
        <v>154.69</v>
      </c>
      <c r="F9237" s="2">
        <f>IFERROR(__xludf.DUMMYFUNCTION("""COMPUTED_VALUE"""),2543079.0)</f>
        <v>2543079</v>
      </c>
    </row>
    <row r="9238">
      <c r="A9238" s="3">
        <f>IFERROR(__xludf.DUMMYFUNCTION("""COMPUTED_VALUE"""),42597.66666666667)</f>
        <v>42597.66667</v>
      </c>
      <c r="B9238" s="2">
        <f>IFERROR(__xludf.DUMMYFUNCTION("""COMPUTED_VALUE"""),155.12)</f>
        <v>155.12</v>
      </c>
      <c r="C9238" s="2">
        <f>IFERROR(__xludf.DUMMYFUNCTION("""COMPUTED_VALUE"""),155.66)</f>
        <v>155.66</v>
      </c>
      <c r="D9238" s="2">
        <f>IFERROR(__xludf.DUMMYFUNCTION("""COMPUTED_VALUE"""),154.53)</f>
        <v>154.53</v>
      </c>
      <c r="E9238" s="2">
        <f>IFERROR(__xludf.DUMMYFUNCTION("""COMPUTED_VALUE"""),154.62)</f>
        <v>154.62</v>
      </c>
      <c r="F9238" s="2">
        <f>IFERROR(__xludf.DUMMYFUNCTION("""COMPUTED_VALUE"""),2970215.0)</f>
        <v>2970215</v>
      </c>
    </row>
    <row r="9239">
      <c r="A9239" s="3">
        <f>IFERROR(__xludf.DUMMYFUNCTION("""COMPUTED_VALUE"""),42598.66666666667)</f>
        <v>42598.66667</v>
      </c>
      <c r="B9239" s="2">
        <f>IFERROR(__xludf.DUMMYFUNCTION("""COMPUTED_VALUE"""),153.89)</f>
        <v>153.89</v>
      </c>
      <c r="C9239" s="2">
        <f>IFERROR(__xludf.DUMMYFUNCTION("""COMPUTED_VALUE"""),154.67)</f>
        <v>154.67</v>
      </c>
      <c r="D9239" s="2">
        <f>IFERROR(__xludf.DUMMYFUNCTION("""COMPUTED_VALUE"""),153.49)</f>
        <v>153.49</v>
      </c>
      <c r="E9239" s="2">
        <f>IFERROR(__xludf.DUMMYFUNCTION("""COMPUTED_VALUE"""),153.49)</f>
        <v>153.49</v>
      </c>
      <c r="F9239" s="2">
        <f>IFERROR(__xludf.DUMMYFUNCTION("""COMPUTED_VALUE"""),2210229.0)</f>
        <v>2210229</v>
      </c>
    </row>
    <row r="9240">
      <c r="A9240" s="3">
        <f>IFERROR(__xludf.DUMMYFUNCTION("""COMPUTED_VALUE"""),42599.66666666667)</f>
        <v>42599.66667</v>
      </c>
      <c r="B9240" s="2">
        <f>IFERROR(__xludf.DUMMYFUNCTION("""COMPUTED_VALUE"""),153.75)</f>
        <v>153.75</v>
      </c>
      <c r="C9240" s="2">
        <f>IFERROR(__xludf.DUMMYFUNCTION("""COMPUTED_VALUE"""),153.93)</f>
        <v>153.93</v>
      </c>
      <c r="D9240" s="2">
        <f>IFERROR(__xludf.DUMMYFUNCTION("""COMPUTED_VALUE"""),152.67)</f>
        <v>152.67</v>
      </c>
      <c r="E9240" s="2">
        <f>IFERROR(__xludf.DUMMYFUNCTION("""COMPUTED_VALUE"""),153.25)</f>
        <v>153.25</v>
      </c>
      <c r="F9240" s="2">
        <f>IFERROR(__xludf.DUMMYFUNCTION("""COMPUTED_VALUE"""),3225919.0)</f>
        <v>3225919</v>
      </c>
    </row>
    <row r="9241">
      <c r="A9241" s="3">
        <f>IFERROR(__xludf.DUMMYFUNCTION("""COMPUTED_VALUE"""),42600.66666666667)</f>
        <v>42600.66667</v>
      </c>
      <c r="B9241" s="2">
        <f>IFERROR(__xludf.DUMMYFUNCTION("""COMPUTED_VALUE"""),153.68)</f>
        <v>153.68</v>
      </c>
      <c r="C9241" s="2">
        <f>IFERROR(__xludf.DUMMYFUNCTION("""COMPUTED_VALUE"""),154.74)</f>
        <v>154.74</v>
      </c>
      <c r="D9241" s="2">
        <f>IFERROR(__xludf.DUMMYFUNCTION("""COMPUTED_VALUE"""),153.25)</f>
        <v>153.25</v>
      </c>
      <c r="E9241" s="2">
        <f>IFERROR(__xludf.DUMMYFUNCTION("""COMPUTED_VALUE"""),154.13)</f>
        <v>154.13</v>
      </c>
      <c r="F9241" s="2">
        <f>IFERROR(__xludf.DUMMYFUNCTION("""COMPUTED_VALUE"""),3652013.0)</f>
        <v>3652013</v>
      </c>
    </row>
    <row r="9242">
      <c r="A9242" s="3">
        <f>IFERROR(__xludf.DUMMYFUNCTION("""COMPUTED_VALUE"""),42601.66666666667)</f>
        <v>42601.66667</v>
      </c>
      <c r="B9242" s="2">
        <f>IFERROR(__xludf.DUMMYFUNCTION("""COMPUTED_VALUE"""),153.63)</f>
        <v>153.63</v>
      </c>
      <c r="C9242" s="2">
        <f>IFERROR(__xludf.DUMMYFUNCTION("""COMPUTED_VALUE"""),153.7)</f>
        <v>153.7</v>
      </c>
      <c r="D9242" s="2">
        <f>IFERROR(__xludf.DUMMYFUNCTION("""COMPUTED_VALUE"""),152.37)</f>
        <v>152.37</v>
      </c>
      <c r="E9242" s="2">
        <f>IFERROR(__xludf.DUMMYFUNCTION("""COMPUTED_VALUE"""),152.86)</f>
        <v>152.86</v>
      </c>
      <c r="F9242" s="2">
        <f>IFERROR(__xludf.DUMMYFUNCTION("""COMPUTED_VALUE"""),2815163.0)</f>
        <v>2815163</v>
      </c>
    </row>
    <row r="9243">
      <c r="A9243" s="3">
        <f>IFERROR(__xludf.DUMMYFUNCTION("""COMPUTED_VALUE"""),42604.66666666667)</f>
        <v>42604.66667</v>
      </c>
      <c r="B9243" s="2">
        <f>IFERROR(__xludf.DUMMYFUNCTION("""COMPUTED_VALUE"""),152.83)</f>
        <v>152.83</v>
      </c>
      <c r="C9243" s="2">
        <f>IFERROR(__xludf.DUMMYFUNCTION("""COMPUTED_VALUE"""),153.37)</f>
        <v>153.37</v>
      </c>
      <c r="D9243" s="2">
        <f>IFERROR(__xludf.DUMMYFUNCTION("""COMPUTED_VALUE"""),152.0)</f>
        <v>152</v>
      </c>
      <c r="E9243" s="2">
        <f>IFERROR(__xludf.DUMMYFUNCTION("""COMPUTED_VALUE"""),152.83)</f>
        <v>152.83</v>
      </c>
      <c r="F9243" s="2">
        <f>IFERROR(__xludf.DUMMYFUNCTION("""COMPUTED_VALUE"""),2039326.0)</f>
        <v>2039326</v>
      </c>
    </row>
    <row r="9244">
      <c r="A9244" s="3">
        <f>IFERROR(__xludf.DUMMYFUNCTION("""COMPUTED_VALUE"""),42605.66666666667)</f>
        <v>42605.66667</v>
      </c>
      <c r="B9244" s="2">
        <f>IFERROR(__xludf.DUMMYFUNCTION("""COMPUTED_VALUE"""),153.14)</f>
        <v>153.14</v>
      </c>
      <c r="C9244" s="2">
        <f>IFERROR(__xludf.DUMMYFUNCTION("""COMPUTED_VALUE"""),154.11)</f>
        <v>154.11</v>
      </c>
      <c r="D9244" s="2">
        <f>IFERROR(__xludf.DUMMYFUNCTION("""COMPUTED_VALUE"""),153.05)</f>
        <v>153.05</v>
      </c>
      <c r="E9244" s="2">
        <f>IFERROR(__xludf.DUMMYFUNCTION("""COMPUTED_VALUE"""),153.07)</f>
        <v>153.07</v>
      </c>
      <c r="F9244" s="2">
        <f>IFERROR(__xludf.DUMMYFUNCTION("""COMPUTED_VALUE"""),2838137.0)</f>
        <v>2838137</v>
      </c>
    </row>
    <row r="9245">
      <c r="A9245" s="3">
        <f>IFERROR(__xludf.DUMMYFUNCTION("""COMPUTED_VALUE"""),42606.66666666667)</f>
        <v>42606.66667</v>
      </c>
      <c r="B9245" s="2">
        <f>IFERROR(__xludf.DUMMYFUNCTION("""COMPUTED_VALUE"""),152.72)</f>
        <v>152.72</v>
      </c>
      <c r="C9245" s="2">
        <f>IFERROR(__xludf.DUMMYFUNCTION("""COMPUTED_VALUE"""),153.0)</f>
        <v>153</v>
      </c>
      <c r="D9245" s="2">
        <f>IFERROR(__xludf.DUMMYFUNCTION("""COMPUTED_VALUE"""),151.22)</f>
        <v>151.22</v>
      </c>
      <c r="E9245" s="2">
        <f>IFERROR(__xludf.DUMMYFUNCTION("""COMPUTED_VALUE"""),151.92)</f>
        <v>151.92</v>
      </c>
      <c r="F9245" s="2">
        <f>IFERROR(__xludf.DUMMYFUNCTION("""COMPUTED_VALUE"""),3645826.0)</f>
        <v>3645826</v>
      </c>
    </row>
    <row r="9246">
      <c r="A9246" s="3">
        <f>IFERROR(__xludf.DUMMYFUNCTION("""COMPUTED_VALUE"""),42607.66666666667)</f>
        <v>42607.66667</v>
      </c>
      <c r="B9246" s="2">
        <f>IFERROR(__xludf.DUMMYFUNCTION("""COMPUTED_VALUE"""),151.87)</f>
        <v>151.87</v>
      </c>
      <c r="C9246" s="2">
        <f>IFERROR(__xludf.DUMMYFUNCTION("""COMPUTED_VALUE"""),152.39)</f>
        <v>152.39</v>
      </c>
      <c r="D9246" s="2">
        <f>IFERROR(__xludf.DUMMYFUNCTION("""COMPUTED_VALUE"""),151.32)</f>
        <v>151.32</v>
      </c>
      <c r="E9246" s="2">
        <f>IFERROR(__xludf.DUMMYFUNCTION("""COMPUTED_VALUE"""),151.52)</f>
        <v>151.52</v>
      </c>
      <c r="F9246" s="2">
        <f>IFERROR(__xludf.DUMMYFUNCTION("""COMPUTED_VALUE"""),2575023.0)</f>
        <v>2575023</v>
      </c>
    </row>
    <row r="9247">
      <c r="A9247" s="3">
        <f>IFERROR(__xludf.DUMMYFUNCTION("""COMPUTED_VALUE"""),42608.66666666667)</f>
        <v>42608.66667</v>
      </c>
      <c r="B9247" s="2">
        <f>IFERROR(__xludf.DUMMYFUNCTION("""COMPUTED_VALUE"""),151.76)</f>
        <v>151.76</v>
      </c>
      <c r="C9247" s="2">
        <f>IFERROR(__xludf.DUMMYFUNCTION("""COMPUTED_VALUE"""),153.25)</f>
        <v>153.25</v>
      </c>
      <c r="D9247" s="2">
        <f>IFERROR(__xludf.DUMMYFUNCTION("""COMPUTED_VALUE"""),150.77)</f>
        <v>150.77</v>
      </c>
      <c r="E9247" s="2">
        <f>IFERROR(__xludf.DUMMYFUNCTION("""COMPUTED_VALUE"""),151.22)</f>
        <v>151.22</v>
      </c>
      <c r="F9247" s="2">
        <f>IFERROR(__xludf.DUMMYFUNCTION("""COMPUTED_VALUE"""),2498908.0)</f>
        <v>2498908</v>
      </c>
    </row>
    <row r="9248">
      <c r="A9248" s="3">
        <f>IFERROR(__xludf.DUMMYFUNCTION("""COMPUTED_VALUE"""),42611.66666666667)</f>
        <v>42611.66667</v>
      </c>
      <c r="B9248" s="2">
        <f>IFERROR(__xludf.DUMMYFUNCTION("""COMPUTED_VALUE"""),151.71)</f>
        <v>151.71</v>
      </c>
      <c r="C9248" s="2">
        <f>IFERROR(__xludf.DUMMYFUNCTION("""COMPUTED_VALUE"""),153.03)</f>
        <v>153.03</v>
      </c>
      <c r="D9248" s="2">
        <f>IFERROR(__xludf.DUMMYFUNCTION("""COMPUTED_VALUE"""),151.39)</f>
        <v>151.39</v>
      </c>
      <c r="E9248" s="2">
        <f>IFERROR(__xludf.DUMMYFUNCTION("""COMPUTED_VALUE"""),152.56)</f>
        <v>152.56</v>
      </c>
      <c r="F9248" s="2">
        <f>IFERROR(__xludf.DUMMYFUNCTION("""COMPUTED_VALUE"""),2475853.0)</f>
        <v>2475853</v>
      </c>
    </row>
    <row r="9249">
      <c r="A9249" s="3">
        <f>IFERROR(__xludf.DUMMYFUNCTION("""COMPUTED_VALUE"""),42612.66666666667)</f>
        <v>42612.66667</v>
      </c>
      <c r="B9249" s="2">
        <f>IFERROR(__xludf.DUMMYFUNCTION("""COMPUTED_VALUE"""),152.6)</f>
        <v>152.6</v>
      </c>
      <c r="C9249" s="2">
        <f>IFERROR(__xludf.DUMMYFUNCTION("""COMPUTED_VALUE"""),152.97)</f>
        <v>152.97</v>
      </c>
      <c r="D9249" s="2">
        <f>IFERROR(__xludf.DUMMYFUNCTION("""COMPUTED_VALUE"""),151.69)</f>
        <v>151.69</v>
      </c>
      <c r="E9249" s="2">
        <f>IFERROR(__xludf.DUMMYFUNCTION("""COMPUTED_VALUE"""),152.25)</f>
        <v>152.25</v>
      </c>
      <c r="F9249" s="2">
        <f>IFERROR(__xludf.DUMMYFUNCTION("""COMPUTED_VALUE"""),1813343.0)</f>
        <v>1813343</v>
      </c>
    </row>
    <row r="9250">
      <c r="A9250" s="3">
        <f>IFERROR(__xludf.DUMMYFUNCTION("""COMPUTED_VALUE"""),42613.66666666667)</f>
        <v>42613.66667</v>
      </c>
      <c r="B9250" s="2">
        <f>IFERROR(__xludf.DUMMYFUNCTION("""COMPUTED_VALUE"""),152.5)</f>
        <v>152.5</v>
      </c>
      <c r="C9250" s="2">
        <f>IFERROR(__xludf.DUMMYFUNCTION("""COMPUTED_VALUE"""),152.5)</f>
        <v>152.5</v>
      </c>
      <c r="D9250" s="2">
        <f>IFERROR(__xludf.DUMMYFUNCTION("""COMPUTED_VALUE"""),151.16)</f>
        <v>151.16</v>
      </c>
      <c r="E9250" s="2">
        <f>IFERROR(__xludf.DUMMYFUNCTION("""COMPUTED_VALUE"""),151.76)</f>
        <v>151.76</v>
      </c>
      <c r="F9250" s="2">
        <f>IFERROR(__xludf.DUMMYFUNCTION("""COMPUTED_VALUE"""),2323649.0)</f>
        <v>2323649</v>
      </c>
    </row>
    <row r="9251">
      <c r="A9251" s="3">
        <f>IFERROR(__xludf.DUMMYFUNCTION("""COMPUTED_VALUE"""),42614.66666666667)</f>
        <v>42614.66667</v>
      </c>
      <c r="B9251" s="2">
        <f>IFERROR(__xludf.DUMMYFUNCTION("""COMPUTED_VALUE"""),151.22)</f>
        <v>151.22</v>
      </c>
      <c r="C9251" s="2">
        <f>IFERROR(__xludf.DUMMYFUNCTION("""COMPUTED_VALUE"""),152.46)</f>
        <v>152.46</v>
      </c>
      <c r="D9251" s="2">
        <f>IFERROR(__xludf.DUMMYFUNCTION("""COMPUTED_VALUE"""),151.01)</f>
        <v>151.01</v>
      </c>
      <c r="E9251" s="2">
        <f>IFERROR(__xludf.DUMMYFUNCTION("""COMPUTED_VALUE"""),152.39)</f>
        <v>152.39</v>
      </c>
      <c r="F9251" s="2">
        <f>IFERROR(__xludf.DUMMYFUNCTION("""COMPUTED_VALUE"""),2358185.0)</f>
        <v>2358185</v>
      </c>
    </row>
    <row r="9252">
      <c r="A9252" s="3">
        <f>IFERROR(__xludf.DUMMYFUNCTION("""COMPUTED_VALUE"""),42615.66666666667)</f>
        <v>42615.66667</v>
      </c>
      <c r="B9252" s="2">
        <f>IFERROR(__xludf.DUMMYFUNCTION("""COMPUTED_VALUE"""),152.71)</f>
        <v>152.71</v>
      </c>
      <c r="C9252" s="2">
        <f>IFERROR(__xludf.DUMMYFUNCTION("""COMPUTED_VALUE"""),153.37)</f>
        <v>153.37</v>
      </c>
      <c r="D9252" s="2">
        <f>IFERROR(__xludf.DUMMYFUNCTION("""COMPUTED_VALUE"""),152.01)</f>
        <v>152.01</v>
      </c>
      <c r="E9252" s="2">
        <f>IFERROR(__xludf.DUMMYFUNCTION("""COMPUTED_VALUE"""),152.4)</f>
        <v>152.4</v>
      </c>
      <c r="F9252" s="2">
        <f>IFERROR(__xludf.DUMMYFUNCTION("""COMPUTED_VALUE"""),2315366.0)</f>
        <v>2315366</v>
      </c>
    </row>
    <row r="9253">
      <c r="A9253" s="3">
        <f>IFERROR(__xludf.DUMMYFUNCTION("""COMPUTED_VALUE"""),42619.66666666667)</f>
        <v>42619.66667</v>
      </c>
      <c r="B9253" s="2">
        <f>IFERROR(__xludf.DUMMYFUNCTION("""COMPUTED_VALUE"""),152.71)</f>
        <v>152.71</v>
      </c>
      <c r="C9253" s="2">
        <f>IFERROR(__xludf.DUMMYFUNCTION("""COMPUTED_VALUE"""),153.65)</f>
        <v>153.65</v>
      </c>
      <c r="D9253" s="2">
        <f>IFERROR(__xludf.DUMMYFUNCTION("""COMPUTED_VALUE"""),151.98)</f>
        <v>151.98</v>
      </c>
      <c r="E9253" s="2">
        <f>IFERROR(__xludf.DUMMYFUNCTION("""COMPUTED_VALUE"""),153.16)</f>
        <v>153.16</v>
      </c>
      <c r="F9253" s="2">
        <f>IFERROR(__xludf.DUMMYFUNCTION("""COMPUTED_VALUE"""),2994056.0)</f>
        <v>2994056</v>
      </c>
    </row>
    <row r="9254">
      <c r="A9254" s="3">
        <f>IFERROR(__xludf.DUMMYFUNCTION("""COMPUTED_VALUE"""),42620.66666666667)</f>
        <v>42620.66667</v>
      </c>
      <c r="B9254" s="2">
        <f>IFERROR(__xludf.DUMMYFUNCTION("""COMPUTED_VALUE"""),153.01)</f>
        <v>153.01</v>
      </c>
      <c r="C9254" s="2">
        <f>IFERROR(__xludf.DUMMYFUNCTION("""COMPUTED_VALUE"""),154.51)</f>
        <v>154.51</v>
      </c>
      <c r="D9254" s="2">
        <f>IFERROR(__xludf.DUMMYFUNCTION("""COMPUTED_VALUE"""),152.83)</f>
        <v>152.83</v>
      </c>
      <c r="E9254" s="2">
        <f>IFERROR(__xludf.DUMMYFUNCTION("""COMPUTED_VALUE"""),154.39)</f>
        <v>154.39</v>
      </c>
      <c r="F9254" s="2">
        <f>IFERROR(__xludf.DUMMYFUNCTION("""COMPUTED_VALUE"""),2866237.0)</f>
        <v>2866237</v>
      </c>
    </row>
    <row r="9255">
      <c r="A9255" s="3">
        <f>IFERROR(__xludf.DUMMYFUNCTION("""COMPUTED_VALUE"""),42621.66666666667)</f>
        <v>42621.66667</v>
      </c>
      <c r="B9255" s="2">
        <f>IFERROR(__xludf.DUMMYFUNCTION("""COMPUTED_VALUE"""),153.35)</f>
        <v>153.35</v>
      </c>
      <c r="C9255" s="2">
        <f>IFERROR(__xludf.DUMMYFUNCTION("""COMPUTED_VALUE"""),153.98)</f>
        <v>153.98</v>
      </c>
      <c r="D9255" s="2">
        <f>IFERROR(__xludf.DUMMYFUNCTION("""COMPUTED_VALUE"""),151.64)</f>
        <v>151.64</v>
      </c>
      <c r="E9255" s="2">
        <f>IFERROR(__xludf.DUMMYFUNCTION("""COMPUTED_VALUE"""),151.87)</f>
        <v>151.87</v>
      </c>
      <c r="F9255" s="2">
        <f>IFERROR(__xludf.DUMMYFUNCTION("""COMPUTED_VALUE"""),3963164.0)</f>
        <v>3963164</v>
      </c>
    </row>
    <row r="9256">
      <c r="A9256" s="3">
        <f>IFERROR(__xludf.DUMMYFUNCTION("""COMPUTED_VALUE"""),42622.66666666667)</f>
        <v>42622.66667</v>
      </c>
      <c r="B9256" s="2">
        <f>IFERROR(__xludf.DUMMYFUNCTION("""COMPUTED_VALUE"""),150.94)</f>
        <v>150.94</v>
      </c>
      <c r="C9256" s="2">
        <f>IFERROR(__xludf.DUMMYFUNCTION("""COMPUTED_VALUE"""),151.3)</f>
        <v>151.3</v>
      </c>
      <c r="D9256" s="2">
        <f>IFERROR(__xludf.DUMMYFUNCTION("""COMPUTED_VALUE"""),148.67)</f>
        <v>148.67</v>
      </c>
      <c r="E9256" s="2">
        <f>IFERROR(__xludf.DUMMYFUNCTION("""COMPUTED_VALUE"""),148.71)</f>
        <v>148.71</v>
      </c>
      <c r="F9256" s="2">
        <f>IFERROR(__xludf.DUMMYFUNCTION("""COMPUTED_VALUE"""),5185772.0)</f>
        <v>5185772</v>
      </c>
    </row>
    <row r="9257">
      <c r="A9257" s="3">
        <f>IFERROR(__xludf.DUMMYFUNCTION("""COMPUTED_VALUE"""),42625.66666666667)</f>
        <v>42625.66667</v>
      </c>
      <c r="B9257" s="2">
        <f>IFERROR(__xludf.DUMMYFUNCTION("""COMPUTED_VALUE"""),148.3)</f>
        <v>148.3</v>
      </c>
      <c r="C9257" s="2">
        <f>IFERROR(__xludf.DUMMYFUNCTION("""COMPUTED_VALUE"""),151.42)</f>
        <v>151.42</v>
      </c>
      <c r="D9257" s="2">
        <f>IFERROR(__xludf.DUMMYFUNCTION("""COMPUTED_VALUE"""),147.9)</f>
        <v>147.9</v>
      </c>
      <c r="E9257" s="2">
        <f>IFERROR(__xludf.DUMMYFUNCTION("""COMPUTED_VALUE"""),151.19)</f>
        <v>151.19</v>
      </c>
      <c r="F9257" s="2">
        <f>IFERROR(__xludf.DUMMYFUNCTION("""COMPUTED_VALUE"""),4367064.0)</f>
        <v>4367064</v>
      </c>
    </row>
    <row r="9258">
      <c r="A9258" s="3">
        <f>IFERROR(__xludf.DUMMYFUNCTION("""COMPUTED_VALUE"""),42626.66666666667)</f>
        <v>42626.66667</v>
      </c>
      <c r="B9258" s="2">
        <f>IFERROR(__xludf.DUMMYFUNCTION("""COMPUTED_VALUE"""),150.56)</f>
        <v>150.56</v>
      </c>
      <c r="C9258" s="2">
        <f>IFERROR(__xludf.DUMMYFUNCTION("""COMPUTED_VALUE"""),150.85)</f>
        <v>150.85</v>
      </c>
      <c r="D9258" s="2">
        <f>IFERROR(__xludf.DUMMYFUNCTION("""COMPUTED_VALUE"""),148.53)</f>
        <v>148.53</v>
      </c>
      <c r="E9258" s="2">
        <f>IFERROR(__xludf.DUMMYFUNCTION("""COMPUTED_VALUE"""),148.82)</f>
        <v>148.82</v>
      </c>
      <c r="F9258" s="2">
        <f>IFERROR(__xludf.DUMMYFUNCTION("""COMPUTED_VALUE"""),3636708.0)</f>
        <v>3636708</v>
      </c>
    </row>
    <row r="9259">
      <c r="A9259" s="3">
        <f>IFERROR(__xludf.DUMMYFUNCTION("""COMPUTED_VALUE"""),42627.66666666667)</f>
        <v>42627.66667</v>
      </c>
      <c r="B9259" s="2">
        <f>IFERROR(__xludf.DUMMYFUNCTION("""COMPUTED_VALUE"""),148.72)</f>
        <v>148.72</v>
      </c>
      <c r="C9259" s="2">
        <f>IFERROR(__xludf.DUMMYFUNCTION("""COMPUTED_VALUE"""),148.88)</f>
        <v>148.88</v>
      </c>
      <c r="D9259" s="2">
        <f>IFERROR(__xludf.DUMMYFUNCTION("""COMPUTED_VALUE"""),146.51)</f>
        <v>146.51</v>
      </c>
      <c r="E9259" s="2">
        <f>IFERROR(__xludf.DUMMYFUNCTION("""COMPUTED_VALUE"""),147.14)</f>
        <v>147.14</v>
      </c>
      <c r="F9259" s="2">
        <f>IFERROR(__xludf.DUMMYFUNCTION("""COMPUTED_VALUE"""),3860553.0)</f>
        <v>3860553</v>
      </c>
    </row>
    <row r="9260">
      <c r="A9260" s="3">
        <f>IFERROR(__xludf.DUMMYFUNCTION("""COMPUTED_VALUE"""),42628.66666666667)</f>
        <v>42628.66667</v>
      </c>
      <c r="B9260" s="2">
        <f>IFERROR(__xludf.DUMMYFUNCTION("""COMPUTED_VALUE"""),147.38)</f>
        <v>147.38</v>
      </c>
      <c r="C9260" s="2">
        <f>IFERROR(__xludf.DUMMYFUNCTION("""COMPUTED_VALUE"""),149.32)</f>
        <v>149.32</v>
      </c>
      <c r="D9260" s="2">
        <f>IFERROR(__xludf.DUMMYFUNCTION("""COMPUTED_VALUE"""),146.34)</f>
        <v>146.34</v>
      </c>
      <c r="E9260" s="2">
        <f>IFERROR(__xludf.DUMMYFUNCTION("""COMPUTED_VALUE"""),148.68)</f>
        <v>148.68</v>
      </c>
      <c r="F9260" s="2">
        <f>IFERROR(__xludf.DUMMYFUNCTION("""COMPUTED_VALUE"""),3662573.0)</f>
        <v>3662573</v>
      </c>
    </row>
    <row r="9261">
      <c r="A9261" s="3">
        <f>IFERROR(__xludf.DUMMYFUNCTION("""COMPUTED_VALUE"""),42629.66666666667)</f>
        <v>42629.66667</v>
      </c>
      <c r="B9261" s="2">
        <f>IFERROR(__xludf.DUMMYFUNCTION("""COMPUTED_VALUE"""),148.09)</f>
        <v>148.09</v>
      </c>
      <c r="C9261" s="2">
        <f>IFERROR(__xludf.DUMMYFUNCTION("""COMPUTED_VALUE"""),148.43)</f>
        <v>148.43</v>
      </c>
      <c r="D9261" s="2">
        <f>IFERROR(__xludf.DUMMYFUNCTION("""COMPUTED_VALUE"""),146.59)</f>
        <v>146.59</v>
      </c>
      <c r="E9261" s="2">
        <f>IFERROR(__xludf.DUMMYFUNCTION("""COMPUTED_VALUE"""),146.94)</f>
        <v>146.94</v>
      </c>
      <c r="F9261" s="2">
        <f>IFERROR(__xludf.DUMMYFUNCTION("""COMPUTED_VALUE"""),6463413.0)</f>
        <v>6463413</v>
      </c>
    </row>
    <row r="9262">
      <c r="A9262" s="3">
        <f>IFERROR(__xludf.DUMMYFUNCTION("""COMPUTED_VALUE"""),42632.66666666667)</f>
        <v>42632.66667</v>
      </c>
      <c r="B9262" s="2">
        <f>IFERROR(__xludf.DUMMYFUNCTION("""COMPUTED_VALUE"""),147.93)</f>
        <v>147.93</v>
      </c>
      <c r="C9262" s="2">
        <f>IFERROR(__xludf.DUMMYFUNCTION("""COMPUTED_VALUE"""),149.19)</f>
        <v>149.19</v>
      </c>
      <c r="D9262" s="2">
        <f>IFERROR(__xludf.DUMMYFUNCTION("""COMPUTED_VALUE"""),147.62)</f>
        <v>147.62</v>
      </c>
      <c r="E9262" s="2">
        <f>IFERROR(__xludf.DUMMYFUNCTION("""COMPUTED_VALUE"""),147.93)</f>
        <v>147.93</v>
      </c>
      <c r="F9262" s="2">
        <f>IFERROR(__xludf.DUMMYFUNCTION("""COMPUTED_VALUE"""),2450117.0)</f>
        <v>2450117</v>
      </c>
    </row>
    <row r="9263">
      <c r="A9263" s="3">
        <f>IFERROR(__xludf.DUMMYFUNCTION("""COMPUTED_VALUE"""),42633.66666666667)</f>
        <v>42633.66667</v>
      </c>
      <c r="B9263" s="2">
        <f>IFERROR(__xludf.DUMMYFUNCTION("""COMPUTED_VALUE"""),148.88)</f>
        <v>148.88</v>
      </c>
      <c r="C9263" s="2">
        <f>IFERROR(__xludf.DUMMYFUNCTION("""COMPUTED_VALUE"""),149.55)</f>
        <v>149.55</v>
      </c>
      <c r="D9263" s="2">
        <f>IFERROR(__xludf.DUMMYFUNCTION("""COMPUTED_VALUE"""),147.53)</f>
        <v>147.53</v>
      </c>
      <c r="E9263" s="2">
        <f>IFERROR(__xludf.DUMMYFUNCTION("""COMPUTED_VALUE"""),147.53)</f>
        <v>147.53</v>
      </c>
      <c r="F9263" s="2">
        <f>IFERROR(__xludf.DUMMYFUNCTION("""COMPUTED_VALUE"""),2159092.0)</f>
        <v>2159092</v>
      </c>
    </row>
    <row r="9264">
      <c r="A9264" s="3">
        <f>IFERROR(__xludf.DUMMYFUNCTION("""COMPUTED_VALUE"""),42634.66666666667)</f>
        <v>42634.66667</v>
      </c>
      <c r="B9264" s="2">
        <f>IFERROR(__xludf.DUMMYFUNCTION("""COMPUTED_VALUE"""),147.96)</f>
        <v>147.96</v>
      </c>
      <c r="C9264" s="2">
        <f>IFERROR(__xludf.DUMMYFUNCTION("""COMPUTED_VALUE"""),148.7)</f>
        <v>148.7</v>
      </c>
      <c r="D9264" s="2">
        <f>IFERROR(__xludf.DUMMYFUNCTION("""COMPUTED_VALUE"""),146.97)</f>
        <v>146.97</v>
      </c>
      <c r="E9264" s="2">
        <f>IFERROR(__xludf.DUMMYFUNCTION("""COMPUTED_VALUE"""),148.56)</f>
        <v>148.56</v>
      </c>
      <c r="F9264" s="2">
        <f>IFERROR(__xludf.DUMMYFUNCTION("""COMPUTED_VALUE"""),2473895.0)</f>
        <v>2473895</v>
      </c>
    </row>
    <row r="9265">
      <c r="A9265" s="3">
        <f>IFERROR(__xludf.DUMMYFUNCTION("""COMPUTED_VALUE"""),42635.66666666667)</f>
        <v>42635.66667</v>
      </c>
      <c r="B9265" s="2">
        <f>IFERROR(__xludf.DUMMYFUNCTION("""COMPUTED_VALUE"""),149.15)</f>
        <v>149.15</v>
      </c>
      <c r="C9265" s="2">
        <f>IFERROR(__xludf.DUMMYFUNCTION("""COMPUTED_VALUE"""),150.17)</f>
        <v>150.17</v>
      </c>
      <c r="D9265" s="2">
        <f>IFERROR(__xludf.DUMMYFUNCTION("""COMPUTED_VALUE"""),148.71)</f>
        <v>148.71</v>
      </c>
      <c r="E9265" s="2">
        <f>IFERROR(__xludf.DUMMYFUNCTION("""COMPUTED_VALUE"""),149.11)</f>
        <v>149.11</v>
      </c>
      <c r="F9265" s="2">
        <f>IFERROR(__xludf.DUMMYFUNCTION("""COMPUTED_VALUE"""),2690915.0)</f>
        <v>2690915</v>
      </c>
    </row>
    <row r="9266">
      <c r="A9266" s="3">
        <f>IFERROR(__xludf.DUMMYFUNCTION("""COMPUTED_VALUE"""),42636.66666666667)</f>
        <v>42636.66667</v>
      </c>
      <c r="B9266" s="2">
        <f>IFERROR(__xludf.DUMMYFUNCTION("""COMPUTED_VALUE"""),148.64)</f>
        <v>148.64</v>
      </c>
      <c r="C9266" s="2">
        <f>IFERROR(__xludf.DUMMYFUNCTION("""COMPUTED_VALUE"""),149.04)</f>
        <v>149.04</v>
      </c>
      <c r="D9266" s="2">
        <f>IFERROR(__xludf.DUMMYFUNCTION("""COMPUTED_VALUE"""),147.77)</f>
        <v>147.77</v>
      </c>
      <c r="E9266" s="2">
        <f>IFERROR(__xludf.DUMMYFUNCTION("""COMPUTED_VALUE"""),148.03)</f>
        <v>148.03</v>
      </c>
      <c r="F9266" s="2">
        <f>IFERROR(__xludf.DUMMYFUNCTION("""COMPUTED_VALUE"""),2702143.0)</f>
        <v>2702143</v>
      </c>
    </row>
    <row r="9267">
      <c r="A9267" s="3">
        <f>IFERROR(__xludf.DUMMYFUNCTION("""COMPUTED_VALUE"""),42639.66666666667)</f>
        <v>42639.66667</v>
      </c>
      <c r="B9267" s="2">
        <f>IFERROR(__xludf.DUMMYFUNCTION("""COMPUTED_VALUE"""),147.53)</f>
        <v>147.53</v>
      </c>
      <c r="C9267" s="2">
        <f>IFERROR(__xludf.DUMMYFUNCTION("""COMPUTED_VALUE"""),147.53)</f>
        <v>147.53</v>
      </c>
      <c r="D9267" s="2">
        <f>IFERROR(__xludf.DUMMYFUNCTION("""COMPUTED_VALUE"""),146.58)</f>
        <v>146.58</v>
      </c>
      <c r="E9267" s="2">
        <f>IFERROR(__xludf.DUMMYFUNCTION("""COMPUTED_VALUE"""),147.08)</f>
        <v>147.08</v>
      </c>
      <c r="F9267" s="2">
        <f>IFERROR(__xludf.DUMMYFUNCTION("""COMPUTED_VALUE"""),2533325.0)</f>
        <v>2533325</v>
      </c>
    </row>
    <row r="9268">
      <c r="A9268" s="3">
        <f>IFERROR(__xludf.DUMMYFUNCTION("""COMPUTED_VALUE"""),42640.66666666667)</f>
        <v>42640.66667</v>
      </c>
      <c r="B9268" s="2">
        <f>IFERROR(__xludf.DUMMYFUNCTION("""COMPUTED_VALUE"""),147.4)</f>
        <v>147.4</v>
      </c>
      <c r="C9268" s="2">
        <f>IFERROR(__xludf.DUMMYFUNCTION("""COMPUTED_VALUE"""),149.74)</f>
        <v>149.74</v>
      </c>
      <c r="D9268" s="2">
        <f>IFERROR(__xludf.DUMMYFUNCTION("""COMPUTED_VALUE"""),146.91)</f>
        <v>146.91</v>
      </c>
      <c r="E9268" s="2">
        <f>IFERROR(__xludf.DUMMYFUNCTION("""COMPUTED_VALUE"""),149.74)</f>
        <v>149.74</v>
      </c>
      <c r="F9268" s="2">
        <f>IFERROR(__xludf.DUMMYFUNCTION("""COMPUTED_VALUE"""),2987116.0)</f>
        <v>2987116</v>
      </c>
    </row>
    <row r="9269">
      <c r="A9269" s="3">
        <f>IFERROR(__xludf.DUMMYFUNCTION("""COMPUTED_VALUE"""),42641.66666666667)</f>
        <v>42641.66667</v>
      </c>
      <c r="B9269" s="2">
        <f>IFERROR(__xludf.DUMMYFUNCTION("""COMPUTED_VALUE"""),149.95)</f>
        <v>149.95</v>
      </c>
      <c r="C9269" s="2">
        <f>IFERROR(__xludf.DUMMYFUNCTION("""COMPUTED_VALUE"""),151.51)</f>
        <v>151.51</v>
      </c>
      <c r="D9269" s="2">
        <f>IFERROR(__xludf.DUMMYFUNCTION("""COMPUTED_VALUE"""),149.23)</f>
        <v>149.23</v>
      </c>
      <c r="E9269" s="2">
        <f>IFERROR(__xludf.DUMMYFUNCTION("""COMPUTED_VALUE"""),151.19)</f>
        <v>151.19</v>
      </c>
      <c r="F9269" s="2">
        <f>IFERROR(__xludf.DUMMYFUNCTION("""COMPUTED_VALUE"""),3309808.0)</f>
        <v>3309808</v>
      </c>
    </row>
    <row r="9270">
      <c r="A9270" s="3">
        <f>IFERROR(__xludf.DUMMYFUNCTION("""COMPUTED_VALUE"""),42642.66666666667)</f>
        <v>42642.66667</v>
      </c>
      <c r="B9270" s="2">
        <f>IFERROR(__xludf.DUMMYFUNCTION("""COMPUTED_VALUE"""),151.52)</f>
        <v>151.52</v>
      </c>
      <c r="C9270" s="2">
        <f>IFERROR(__xludf.DUMMYFUNCTION("""COMPUTED_VALUE"""),157.6)</f>
        <v>157.6</v>
      </c>
      <c r="D9270" s="2">
        <f>IFERROR(__xludf.DUMMYFUNCTION("""COMPUTED_VALUE"""),150.4)</f>
        <v>150.4</v>
      </c>
      <c r="E9270" s="2">
        <f>IFERROR(__xludf.DUMMYFUNCTION("""COMPUTED_VALUE"""),151.02)</f>
        <v>151.02</v>
      </c>
      <c r="F9270" s="2">
        <f>IFERROR(__xludf.DUMMYFUNCTION("""COMPUTED_VALUE"""),3374838.0)</f>
        <v>3374838</v>
      </c>
    </row>
    <row r="9271">
      <c r="A9271" s="3">
        <f>IFERROR(__xludf.DUMMYFUNCTION("""COMPUTED_VALUE"""),42643.66666666667)</f>
        <v>42643.66667</v>
      </c>
      <c r="B9271" s="2">
        <f>IFERROR(__xludf.DUMMYFUNCTION("""COMPUTED_VALUE"""),151.78)</f>
        <v>151.78</v>
      </c>
      <c r="C9271" s="2">
        <f>IFERROR(__xludf.DUMMYFUNCTION("""COMPUTED_VALUE"""),152.67)</f>
        <v>152.67</v>
      </c>
      <c r="D9271" s="2">
        <f>IFERROR(__xludf.DUMMYFUNCTION("""COMPUTED_VALUE"""),150.97)</f>
        <v>150.97</v>
      </c>
      <c r="E9271" s="2">
        <f>IFERROR(__xludf.DUMMYFUNCTION("""COMPUTED_VALUE"""),151.73)</f>
        <v>151.73</v>
      </c>
      <c r="F9271" s="2">
        <f>IFERROR(__xludf.DUMMYFUNCTION("""COMPUTED_VALUE"""),3596878.0)</f>
        <v>3596878</v>
      </c>
    </row>
    <row r="9272">
      <c r="A9272" s="3">
        <f>IFERROR(__xludf.DUMMYFUNCTION("""COMPUTED_VALUE"""),42646.66666666667)</f>
        <v>42646.66667</v>
      </c>
      <c r="B9272" s="2">
        <f>IFERROR(__xludf.DUMMYFUNCTION("""COMPUTED_VALUE"""),150.97)</f>
        <v>150.97</v>
      </c>
      <c r="C9272" s="2">
        <f>IFERROR(__xludf.DUMMYFUNCTION("""COMPUTED_VALUE"""),151.27)</f>
        <v>151.27</v>
      </c>
      <c r="D9272" s="2">
        <f>IFERROR(__xludf.DUMMYFUNCTION("""COMPUTED_VALUE"""),149.98)</f>
        <v>149.98</v>
      </c>
      <c r="E9272" s="2">
        <f>IFERROR(__xludf.DUMMYFUNCTION("""COMPUTED_VALUE"""),150.54)</f>
        <v>150.54</v>
      </c>
      <c r="F9272" s="2">
        <f>IFERROR(__xludf.DUMMYFUNCTION("""COMPUTED_VALUE"""),2227800.0)</f>
        <v>2227800</v>
      </c>
    </row>
    <row r="9273">
      <c r="A9273" s="3">
        <f>IFERROR(__xludf.DUMMYFUNCTION("""COMPUTED_VALUE"""),42647.66666666667)</f>
        <v>42647.66667</v>
      </c>
      <c r="B9273" s="2">
        <f>IFERROR(__xludf.DUMMYFUNCTION("""COMPUTED_VALUE"""),150.6)</f>
        <v>150.6</v>
      </c>
      <c r="C9273" s="2">
        <f>IFERROR(__xludf.DUMMYFUNCTION("""COMPUTED_VALUE"""),151.42)</f>
        <v>151.42</v>
      </c>
      <c r="D9273" s="2">
        <f>IFERROR(__xludf.DUMMYFUNCTION("""COMPUTED_VALUE"""),148.83)</f>
        <v>148.83</v>
      </c>
      <c r="E9273" s="2">
        <f>IFERROR(__xludf.DUMMYFUNCTION("""COMPUTED_VALUE"""),149.44)</f>
        <v>149.44</v>
      </c>
      <c r="F9273" s="2">
        <f>IFERROR(__xludf.DUMMYFUNCTION("""COMPUTED_VALUE"""),2884146.0)</f>
        <v>2884146</v>
      </c>
    </row>
    <row r="9274">
      <c r="A9274" s="3">
        <f>IFERROR(__xludf.DUMMYFUNCTION("""COMPUTED_VALUE"""),42648.66666666667)</f>
        <v>42648.66667</v>
      </c>
      <c r="B9274" s="2">
        <f>IFERROR(__xludf.DUMMYFUNCTION("""COMPUTED_VALUE"""),150.03)</f>
        <v>150.03</v>
      </c>
      <c r="C9274" s="2">
        <f>IFERROR(__xludf.DUMMYFUNCTION("""COMPUTED_VALUE"""),150.75)</f>
        <v>150.75</v>
      </c>
      <c r="D9274" s="2">
        <f>IFERROR(__xludf.DUMMYFUNCTION("""COMPUTED_VALUE"""),149.69)</f>
        <v>149.69</v>
      </c>
      <c r="E9274" s="2">
        <f>IFERROR(__xludf.DUMMYFUNCTION("""COMPUTED_VALUE"""),150.04)</f>
        <v>150.04</v>
      </c>
      <c r="F9274" s="2">
        <f>IFERROR(__xludf.DUMMYFUNCTION("""COMPUTED_VALUE"""),1684448.0)</f>
        <v>1684448</v>
      </c>
    </row>
    <row r="9275">
      <c r="A9275" s="3">
        <f>IFERROR(__xludf.DUMMYFUNCTION("""COMPUTED_VALUE"""),42649.66666666667)</f>
        <v>42649.66667</v>
      </c>
      <c r="B9275" s="2">
        <f>IFERROR(__xludf.DUMMYFUNCTION("""COMPUTED_VALUE"""),149.81)</f>
        <v>149.81</v>
      </c>
      <c r="C9275" s="2">
        <f>IFERROR(__xludf.DUMMYFUNCTION("""COMPUTED_VALUE"""),150.37)</f>
        <v>150.37</v>
      </c>
      <c r="D9275" s="2">
        <f>IFERROR(__xludf.DUMMYFUNCTION("""COMPUTED_VALUE"""),148.9)</f>
        <v>148.9</v>
      </c>
      <c r="E9275" s="2">
        <f>IFERROR(__xludf.DUMMYFUNCTION("""COMPUTED_VALUE"""),149.85)</f>
        <v>149.85</v>
      </c>
      <c r="F9275" s="2">
        <f>IFERROR(__xludf.DUMMYFUNCTION("""COMPUTED_VALUE"""),1950106.0)</f>
        <v>1950106</v>
      </c>
    </row>
    <row r="9276">
      <c r="A9276" s="3">
        <f>IFERROR(__xludf.DUMMYFUNCTION("""COMPUTED_VALUE"""),42650.66666666667)</f>
        <v>42650.66667</v>
      </c>
      <c r="B9276" s="2">
        <f>IFERROR(__xludf.DUMMYFUNCTION("""COMPUTED_VALUE"""),150.09)</f>
        <v>150.09</v>
      </c>
      <c r="C9276" s="2">
        <f>IFERROR(__xludf.DUMMYFUNCTION("""COMPUTED_VALUE"""),150.63)</f>
        <v>150.63</v>
      </c>
      <c r="D9276" s="2">
        <f>IFERROR(__xludf.DUMMYFUNCTION("""COMPUTED_VALUE"""),147.92)</f>
        <v>147.92</v>
      </c>
      <c r="E9276" s="2">
        <f>IFERROR(__xludf.DUMMYFUNCTION("""COMPUTED_VALUE"""),148.69)</f>
        <v>148.69</v>
      </c>
      <c r="F9276" s="2">
        <f>IFERROR(__xludf.DUMMYFUNCTION("""COMPUTED_VALUE"""),2671256.0)</f>
        <v>2671256</v>
      </c>
    </row>
    <row r="9277">
      <c r="A9277" s="3">
        <f>IFERROR(__xludf.DUMMYFUNCTION("""COMPUTED_VALUE"""),42653.66666666667)</f>
        <v>42653.66667</v>
      </c>
      <c r="B9277" s="2">
        <f>IFERROR(__xludf.DUMMYFUNCTION("""COMPUTED_VALUE"""),149.68)</f>
        <v>149.68</v>
      </c>
      <c r="C9277" s="2">
        <f>IFERROR(__xludf.DUMMYFUNCTION("""COMPUTED_VALUE"""),151.38)</f>
        <v>151.38</v>
      </c>
      <c r="D9277" s="2">
        <f>IFERROR(__xludf.DUMMYFUNCTION("""COMPUTED_VALUE"""),149.63)</f>
        <v>149.63</v>
      </c>
      <c r="E9277" s="2">
        <f>IFERROR(__xludf.DUMMYFUNCTION("""COMPUTED_VALUE"""),149.98)</f>
        <v>149.98</v>
      </c>
      <c r="F9277" s="2">
        <f>IFERROR(__xludf.DUMMYFUNCTION("""COMPUTED_VALUE"""),2481288.0)</f>
        <v>2481288</v>
      </c>
    </row>
    <row r="9278">
      <c r="A9278" s="3">
        <f>IFERROR(__xludf.DUMMYFUNCTION("""COMPUTED_VALUE"""),42654.66666666667)</f>
        <v>42654.66667</v>
      </c>
      <c r="B9278" s="2">
        <f>IFERROR(__xludf.DUMMYFUNCTION("""COMPUTED_VALUE"""),149.7)</f>
        <v>149.7</v>
      </c>
      <c r="C9278" s="2">
        <f>IFERROR(__xludf.DUMMYFUNCTION("""COMPUTED_VALUE"""),149.91)</f>
        <v>149.91</v>
      </c>
      <c r="D9278" s="2">
        <f>IFERROR(__xludf.DUMMYFUNCTION("""COMPUTED_VALUE"""),146.99)</f>
        <v>146.99</v>
      </c>
      <c r="E9278" s="2">
        <f>IFERROR(__xludf.DUMMYFUNCTION("""COMPUTED_VALUE"""),147.85)</f>
        <v>147.85</v>
      </c>
      <c r="F9278" s="2">
        <f>IFERROR(__xludf.DUMMYFUNCTION("""COMPUTED_VALUE"""),2901226.0)</f>
        <v>2901226</v>
      </c>
    </row>
    <row r="9279">
      <c r="A9279" s="3">
        <f>IFERROR(__xludf.DUMMYFUNCTION("""COMPUTED_VALUE"""),42655.66666666667)</f>
        <v>42655.66667</v>
      </c>
      <c r="B9279" s="2">
        <f>IFERROR(__xludf.DUMMYFUNCTION("""COMPUTED_VALUE"""),148.02)</f>
        <v>148.02</v>
      </c>
      <c r="C9279" s="2">
        <f>IFERROR(__xludf.DUMMYFUNCTION("""COMPUTED_VALUE"""),148.02)</f>
        <v>148.02</v>
      </c>
      <c r="D9279" s="2">
        <f>IFERROR(__xludf.DUMMYFUNCTION("""COMPUTED_VALUE"""),146.22)</f>
        <v>146.22</v>
      </c>
      <c r="E9279" s="2">
        <f>IFERROR(__xludf.DUMMYFUNCTION("""COMPUTED_VALUE"""),147.37)</f>
        <v>147.37</v>
      </c>
      <c r="F9279" s="2">
        <f>IFERROR(__xludf.DUMMYFUNCTION("""COMPUTED_VALUE"""),2963843.0)</f>
        <v>2963843</v>
      </c>
    </row>
    <row r="9280">
      <c r="A9280" s="3">
        <f>IFERROR(__xludf.DUMMYFUNCTION("""COMPUTED_VALUE"""),42656.66666666667)</f>
        <v>42656.66667</v>
      </c>
      <c r="B9280" s="2">
        <f>IFERROR(__xludf.DUMMYFUNCTION("""COMPUTED_VALUE"""),146.81)</f>
        <v>146.81</v>
      </c>
      <c r="C9280" s="2">
        <f>IFERROR(__xludf.DUMMYFUNCTION("""COMPUTED_VALUE"""),147.31)</f>
        <v>147.31</v>
      </c>
      <c r="D9280" s="2">
        <f>IFERROR(__xludf.DUMMYFUNCTION("""COMPUTED_VALUE"""),145.44)</f>
        <v>145.44</v>
      </c>
      <c r="E9280" s="2">
        <f>IFERROR(__xludf.DUMMYFUNCTION("""COMPUTED_VALUE"""),146.83)</f>
        <v>146.83</v>
      </c>
      <c r="F9280" s="2">
        <f>IFERROR(__xludf.DUMMYFUNCTION("""COMPUTED_VALUE"""),2909948.0)</f>
        <v>2909948</v>
      </c>
    </row>
    <row r="9281">
      <c r="A9281" s="3">
        <f>IFERROR(__xludf.DUMMYFUNCTION("""COMPUTED_VALUE"""),42657.66666666667)</f>
        <v>42657.66667</v>
      </c>
      <c r="B9281" s="2">
        <f>IFERROR(__xludf.DUMMYFUNCTION("""COMPUTED_VALUE"""),147.54)</f>
        <v>147.54</v>
      </c>
      <c r="C9281" s="2">
        <f>IFERROR(__xludf.DUMMYFUNCTION("""COMPUTED_VALUE"""),148.56)</f>
        <v>148.56</v>
      </c>
      <c r="D9281" s="2">
        <f>IFERROR(__xludf.DUMMYFUNCTION("""COMPUTED_VALUE"""),147.18)</f>
        <v>147.18</v>
      </c>
      <c r="E9281" s="2">
        <f>IFERROR(__xludf.DUMMYFUNCTION("""COMPUTED_VALUE"""),147.53)</f>
        <v>147.53</v>
      </c>
      <c r="F9281" s="2">
        <f>IFERROR(__xludf.DUMMYFUNCTION("""COMPUTED_VALUE"""),4358147.0)</f>
        <v>4358147</v>
      </c>
    </row>
    <row r="9282">
      <c r="A9282" s="3">
        <f>IFERROR(__xludf.DUMMYFUNCTION("""COMPUTED_VALUE"""),42660.66666666667)</f>
        <v>42660.66667</v>
      </c>
      <c r="B9282" s="2">
        <f>IFERROR(__xludf.DUMMYFUNCTION("""COMPUTED_VALUE"""),147.53)</f>
        <v>147.53</v>
      </c>
      <c r="C9282" s="2">
        <f>IFERROR(__xludf.DUMMYFUNCTION("""COMPUTED_VALUE"""),148.9)</f>
        <v>148.9</v>
      </c>
      <c r="D9282" s="2">
        <f>IFERROR(__xludf.DUMMYFUNCTION("""COMPUTED_VALUE"""),147.42)</f>
        <v>147.42</v>
      </c>
      <c r="E9282" s="2">
        <f>IFERROR(__xludf.DUMMYFUNCTION("""COMPUTED_VALUE"""),147.83)</f>
        <v>147.83</v>
      </c>
      <c r="F9282" s="2">
        <f>IFERROR(__xludf.DUMMYFUNCTION("""COMPUTED_VALUE"""),5876647.0)</f>
        <v>5876647</v>
      </c>
    </row>
    <row r="9283">
      <c r="A9283" s="3">
        <f>IFERROR(__xludf.DUMMYFUNCTION("""COMPUTED_VALUE"""),42661.66666666667)</f>
        <v>42661.66667</v>
      </c>
      <c r="B9283" s="2">
        <f>IFERROR(__xludf.DUMMYFUNCTION("""COMPUTED_VALUE"""),143.29)</f>
        <v>143.29</v>
      </c>
      <c r="C9283" s="2">
        <f>IFERROR(__xludf.DUMMYFUNCTION("""COMPUTED_VALUE"""),144.23)</f>
        <v>144.23</v>
      </c>
      <c r="D9283" s="2">
        <f>IFERROR(__xludf.DUMMYFUNCTION("""COMPUTED_VALUE"""),141.16)</f>
        <v>141.16</v>
      </c>
      <c r="E9283" s="2">
        <f>IFERROR(__xludf.DUMMYFUNCTION("""COMPUTED_VALUE"""),143.96)</f>
        <v>143.96</v>
      </c>
      <c r="F9283" s="2">
        <f>IFERROR(__xludf.DUMMYFUNCTION("""COMPUTED_VALUE"""),1.277055E7)</f>
        <v>12770550</v>
      </c>
    </row>
    <row r="9284">
      <c r="A9284" s="3">
        <f>IFERROR(__xludf.DUMMYFUNCTION("""COMPUTED_VALUE"""),42662.66666666667)</f>
        <v>42662.66667</v>
      </c>
      <c r="B9284" s="2">
        <f>IFERROR(__xludf.DUMMYFUNCTION("""COMPUTED_VALUE"""),144.49)</f>
        <v>144.49</v>
      </c>
      <c r="C9284" s="2">
        <f>IFERROR(__xludf.DUMMYFUNCTION("""COMPUTED_VALUE"""),145.61)</f>
        <v>145.61</v>
      </c>
      <c r="D9284" s="2">
        <f>IFERROR(__xludf.DUMMYFUNCTION("""COMPUTED_VALUE"""),144.07)</f>
        <v>144.07</v>
      </c>
      <c r="E9284" s="2">
        <f>IFERROR(__xludf.DUMMYFUNCTION("""COMPUTED_VALUE"""),144.48)</f>
        <v>144.48</v>
      </c>
      <c r="F9284" s="2">
        <f>IFERROR(__xludf.DUMMYFUNCTION("""COMPUTED_VALUE"""),4632854.0)</f>
        <v>4632854</v>
      </c>
    </row>
    <row r="9285">
      <c r="A9285" s="3">
        <f>IFERROR(__xludf.DUMMYFUNCTION("""COMPUTED_VALUE"""),42663.66666666667)</f>
        <v>42663.66667</v>
      </c>
      <c r="B9285" s="2">
        <f>IFERROR(__xludf.DUMMYFUNCTION("""COMPUTED_VALUE"""),144.5)</f>
        <v>144.5</v>
      </c>
      <c r="C9285" s="2">
        <f>IFERROR(__xludf.DUMMYFUNCTION("""COMPUTED_VALUE"""),146.04)</f>
        <v>146.04</v>
      </c>
      <c r="D9285" s="2">
        <f>IFERROR(__xludf.DUMMYFUNCTION("""COMPUTED_VALUE"""),144.25)</f>
        <v>144.25</v>
      </c>
      <c r="E9285" s="2">
        <f>IFERROR(__xludf.DUMMYFUNCTION("""COMPUTED_VALUE"""),144.73)</f>
        <v>144.73</v>
      </c>
      <c r="F9285" s="2">
        <f>IFERROR(__xludf.DUMMYFUNCTION("""COMPUTED_VALUE"""),4023103.0)</f>
        <v>4023103</v>
      </c>
    </row>
    <row r="9286">
      <c r="A9286" s="3">
        <f>IFERROR(__xludf.DUMMYFUNCTION("""COMPUTED_VALUE"""),42664.66666666667)</f>
        <v>42664.66667</v>
      </c>
      <c r="B9286" s="2">
        <f>IFERROR(__xludf.DUMMYFUNCTION("""COMPUTED_VALUE"""),143.83)</f>
        <v>143.83</v>
      </c>
      <c r="C9286" s="2">
        <f>IFERROR(__xludf.DUMMYFUNCTION("""COMPUTED_VALUE"""),144.37)</f>
        <v>144.37</v>
      </c>
      <c r="D9286" s="2">
        <f>IFERROR(__xludf.DUMMYFUNCTION("""COMPUTED_VALUE"""),142.85)</f>
        <v>142.85</v>
      </c>
      <c r="E9286" s="2">
        <f>IFERROR(__xludf.DUMMYFUNCTION("""COMPUTED_VALUE"""),142.92)</f>
        <v>142.92</v>
      </c>
      <c r="F9286" s="2">
        <f>IFERROR(__xludf.DUMMYFUNCTION("""COMPUTED_VALUE"""),4414181.0)</f>
        <v>4414181</v>
      </c>
    </row>
    <row r="9287">
      <c r="A9287" s="3">
        <f>IFERROR(__xludf.DUMMYFUNCTION("""COMPUTED_VALUE"""),42667.66666666667)</f>
        <v>42667.66667</v>
      </c>
      <c r="B9287" s="2">
        <f>IFERROR(__xludf.DUMMYFUNCTION("""COMPUTED_VALUE"""),143.66)</f>
        <v>143.66</v>
      </c>
      <c r="C9287" s="2">
        <f>IFERROR(__xludf.DUMMYFUNCTION("""COMPUTED_VALUE"""),144.73)</f>
        <v>144.73</v>
      </c>
      <c r="D9287" s="2">
        <f>IFERROR(__xludf.DUMMYFUNCTION("""COMPUTED_VALUE"""),143.66)</f>
        <v>143.66</v>
      </c>
      <c r="E9287" s="2">
        <f>IFERROR(__xludf.DUMMYFUNCTION("""COMPUTED_VALUE"""),143.82)</f>
        <v>143.82</v>
      </c>
      <c r="F9287" s="2">
        <f>IFERROR(__xludf.DUMMYFUNCTION("""COMPUTED_VALUE"""),2666740.0)</f>
        <v>2666740</v>
      </c>
    </row>
    <row r="9288">
      <c r="A9288" s="3">
        <f>IFERROR(__xludf.DUMMYFUNCTION("""COMPUTED_VALUE"""),42668.66666666667)</f>
        <v>42668.66667</v>
      </c>
      <c r="B9288" s="2">
        <f>IFERROR(__xludf.DUMMYFUNCTION("""COMPUTED_VALUE"""),143.93)</f>
        <v>143.93</v>
      </c>
      <c r="C9288" s="2">
        <f>IFERROR(__xludf.DUMMYFUNCTION("""COMPUTED_VALUE"""),144.38)</f>
        <v>144.38</v>
      </c>
      <c r="D9288" s="2">
        <f>IFERROR(__xludf.DUMMYFUNCTION("""COMPUTED_VALUE"""),143.11)</f>
        <v>143.11</v>
      </c>
      <c r="E9288" s="2">
        <f>IFERROR(__xludf.DUMMYFUNCTION("""COMPUTED_VALUE"""),144.12)</f>
        <v>144.12</v>
      </c>
      <c r="F9288" s="2">
        <f>IFERROR(__xludf.DUMMYFUNCTION("""COMPUTED_VALUE"""),2647416.0)</f>
        <v>2647416</v>
      </c>
    </row>
    <row r="9289">
      <c r="A9289" s="3">
        <f>IFERROR(__xludf.DUMMYFUNCTION("""COMPUTED_VALUE"""),42669.66666666667)</f>
        <v>42669.66667</v>
      </c>
      <c r="B9289" s="2">
        <f>IFERROR(__xludf.DUMMYFUNCTION("""COMPUTED_VALUE"""),143.95)</f>
        <v>143.95</v>
      </c>
      <c r="C9289" s="2">
        <f>IFERROR(__xludf.DUMMYFUNCTION("""COMPUTED_VALUE"""),146.08)</f>
        <v>146.08</v>
      </c>
      <c r="D9289" s="2">
        <f>IFERROR(__xludf.DUMMYFUNCTION("""COMPUTED_VALUE"""),143.52)</f>
        <v>143.52</v>
      </c>
      <c r="E9289" s="2">
        <f>IFERROR(__xludf.DUMMYFUNCTION("""COMPUTED_VALUE"""),145.0)</f>
        <v>145</v>
      </c>
      <c r="F9289" s="2">
        <f>IFERROR(__xludf.DUMMYFUNCTION("""COMPUTED_VALUE"""),2811728.0)</f>
        <v>2811728</v>
      </c>
    </row>
    <row r="9290">
      <c r="A9290" s="3">
        <f>IFERROR(__xludf.DUMMYFUNCTION("""COMPUTED_VALUE"""),42670.66666666667)</f>
        <v>42670.66667</v>
      </c>
      <c r="B9290" s="2">
        <f>IFERROR(__xludf.DUMMYFUNCTION("""COMPUTED_VALUE"""),145.97)</f>
        <v>145.97</v>
      </c>
      <c r="C9290" s="2">
        <f>IFERROR(__xludf.DUMMYFUNCTION("""COMPUTED_VALUE"""),147.15)</f>
        <v>147.15</v>
      </c>
      <c r="D9290" s="2">
        <f>IFERROR(__xludf.DUMMYFUNCTION("""COMPUTED_VALUE"""),145.2)</f>
        <v>145.2</v>
      </c>
      <c r="E9290" s="2">
        <f>IFERROR(__xludf.DUMMYFUNCTION("""COMPUTED_VALUE"""),146.47)</f>
        <v>146.47</v>
      </c>
      <c r="F9290" s="2">
        <f>IFERROR(__xludf.DUMMYFUNCTION("""COMPUTED_VALUE"""),4229226.0)</f>
        <v>4229226</v>
      </c>
    </row>
    <row r="9291">
      <c r="A9291" s="3">
        <f>IFERROR(__xludf.DUMMYFUNCTION("""COMPUTED_VALUE"""),42671.66666666667)</f>
        <v>42671.66667</v>
      </c>
      <c r="B9291" s="2">
        <f>IFERROR(__xludf.DUMMYFUNCTION("""COMPUTED_VALUE"""),147.14)</f>
        <v>147.14</v>
      </c>
      <c r="C9291" s="2">
        <f>IFERROR(__xludf.DUMMYFUNCTION("""COMPUTED_VALUE"""),147.52)</f>
        <v>147.52</v>
      </c>
      <c r="D9291" s="2">
        <f>IFERROR(__xludf.DUMMYFUNCTION("""COMPUTED_VALUE"""),145.36)</f>
        <v>145.36</v>
      </c>
      <c r="E9291" s="2">
        <f>IFERROR(__xludf.DUMMYFUNCTION("""COMPUTED_VALUE"""),145.77)</f>
        <v>145.77</v>
      </c>
      <c r="F9291" s="2">
        <f>IFERROR(__xludf.DUMMYFUNCTION("""COMPUTED_VALUE"""),3654446.0)</f>
        <v>3654446</v>
      </c>
    </row>
    <row r="9292">
      <c r="A9292" s="3">
        <f>IFERROR(__xludf.DUMMYFUNCTION("""COMPUTED_VALUE"""),42674.66666666667)</f>
        <v>42674.66667</v>
      </c>
      <c r="B9292" s="2">
        <f>IFERROR(__xludf.DUMMYFUNCTION("""COMPUTED_VALUE"""),145.91)</f>
        <v>145.91</v>
      </c>
      <c r="C9292" s="2">
        <f>IFERROR(__xludf.DUMMYFUNCTION("""COMPUTED_VALUE"""),147.41)</f>
        <v>147.41</v>
      </c>
      <c r="D9292" s="2">
        <f>IFERROR(__xludf.DUMMYFUNCTION("""COMPUTED_VALUE"""),145.91)</f>
        <v>145.91</v>
      </c>
      <c r="E9292" s="2">
        <f>IFERROR(__xludf.DUMMYFUNCTION("""COMPUTED_VALUE"""),146.8)</f>
        <v>146.8</v>
      </c>
      <c r="F9292" s="2">
        <f>IFERROR(__xludf.DUMMYFUNCTION("""COMPUTED_VALUE"""),3553172.0)</f>
        <v>3553172</v>
      </c>
    </row>
    <row r="9293">
      <c r="A9293" s="3">
        <f>IFERROR(__xludf.DUMMYFUNCTION("""COMPUTED_VALUE"""),42675.66666666667)</f>
        <v>42675.66667</v>
      </c>
      <c r="B9293" s="2">
        <f>IFERROR(__xludf.DUMMYFUNCTION("""COMPUTED_VALUE"""),146.62)</f>
        <v>146.62</v>
      </c>
      <c r="C9293" s="2">
        <f>IFERROR(__xludf.DUMMYFUNCTION("""COMPUTED_VALUE"""),147.01)</f>
        <v>147.01</v>
      </c>
      <c r="D9293" s="2">
        <f>IFERROR(__xludf.DUMMYFUNCTION("""COMPUTED_VALUE"""),144.94)</f>
        <v>144.94</v>
      </c>
      <c r="E9293" s="2">
        <f>IFERROR(__xludf.DUMMYFUNCTION("""COMPUTED_VALUE"""),145.94)</f>
        <v>145.94</v>
      </c>
      <c r="F9293" s="2">
        <f>IFERROR(__xludf.DUMMYFUNCTION("""COMPUTED_VALUE"""),3191924.0)</f>
        <v>3191924</v>
      </c>
    </row>
    <row r="9294">
      <c r="A9294" s="3">
        <f>IFERROR(__xludf.DUMMYFUNCTION("""COMPUTED_VALUE"""),42676.66666666667)</f>
        <v>42676.66667</v>
      </c>
      <c r="B9294" s="2">
        <f>IFERROR(__xludf.DUMMYFUNCTION("""COMPUTED_VALUE"""),145.64)</f>
        <v>145.64</v>
      </c>
      <c r="C9294" s="2">
        <f>IFERROR(__xludf.DUMMYFUNCTION("""COMPUTED_VALUE"""),146.47)</f>
        <v>146.47</v>
      </c>
      <c r="D9294" s="2">
        <f>IFERROR(__xludf.DUMMYFUNCTION("""COMPUTED_VALUE"""),144.87)</f>
        <v>144.87</v>
      </c>
      <c r="E9294" s="2">
        <f>IFERROR(__xludf.DUMMYFUNCTION("""COMPUTED_VALUE"""),145.14)</f>
        <v>145.14</v>
      </c>
      <c r="F9294" s="2">
        <f>IFERROR(__xludf.DUMMYFUNCTION("""COMPUTED_VALUE"""),3074438.0)</f>
        <v>3074438</v>
      </c>
    </row>
    <row r="9295">
      <c r="A9295" s="3">
        <f>IFERROR(__xludf.DUMMYFUNCTION("""COMPUTED_VALUE"""),42677.66666666667)</f>
        <v>42677.66667</v>
      </c>
      <c r="B9295" s="2">
        <f>IFERROR(__xludf.DUMMYFUNCTION("""COMPUTED_VALUE"""),145.67)</f>
        <v>145.67</v>
      </c>
      <c r="C9295" s="2">
        <f>IFERROR(__xludf.DUMMYFUNCTION("""COMPUTED_VALUE"""),146.85)</f>
        <v>146.85</v>
      </c>
      <c r="D9295" s="2">
        <f>IFERROR(__xludf.DUMMYFUNCTION("""COMPUTED_VALUE"""),144.99)</f>
        <v>144.99</v>
      </c>
      <c r="E9295" s="2">
        <f>IFERROR(__xludf.DUMMYFUNCTION("""COMPUTED_VALUE"""),145.54)</f>
        <v>145.54</v>
      </c>
      <c r="F9295" s="2">
        <f>IFERROR(__xludf.DUMMYFUNCTION("""COMPUTED_VALUE"""),2878728.0)</f>
        <v>2878728</v>
      </c>
    </row>
    <row r="9296">
      <c r="A9296" s="3">
        <f>IFERROR(__xludf.DUMMYFUNCTION("""COMPUTED_VALUE"""),42678.66666666667)</f>
        <v>42678.66667</v>
      </c>
      <c r="B9296" s="2">
        <f>IFERROR(__xludf.DUMMYFUNCTION("""COMPUTED_VALUE"""),145.57)</f>
        <v>145.57</v>
      </c>
      <c r="C9296" s="2">
        <f>IFERROR(__xludf.DUMMYFUNCTION("""COMPUTED_VALUE"""),146.75)</f>
        <v>146.75</v>
      </c>
      <c r="D9296" s="2">
        <f>IFERROR(__xludf.DUMMYFUNCTION("""COMPUTED_VALUE"""),145.06)</f>
        <v>145.06</v>
      </c>
      <c r="E9296" s="2">
        <f>IFERROR(__xludf.DUMMYFUNCTION("""COMPUTED_VALUE"""),145.6)</f>
        <v>145.6</v>
      </c>
      <c r="F9296" s="2">
        <f>IFERROR(__xludf.DUMMYFUNCTION("""COMPUTED_VALUE"""),2470353.0)</f>
        <v>2470353</v>
      </c>
    </row>
    <row r="9297">
      <c r="A9297" s="3">
        <f>IFERROR(__xludf.DUMMYFUNCTION("""COMPUTED_VALUE"""),42681.66666666667)</f>
        <v>42681.66667</v>
      </c>
      <c r="B9297" s="2">
        <f>IFERROR(__xludf.DUMMYFUNCTION("""COMPUTED_VALUE"""),147.09)</f>
        <v>147.09</v>
      </c>
      <c r="C9297" s="2">
        <f>IFERROR(__xludf.DUMMYFUNCTION("""COMPUTED_VALUE"""),149.11)</f>
        <v>149.11</v>
      </c>
      <c r="D9297" s="2">
        <f>IFERROR(__xludf.DUMMYFUNCTION("""COMPUTED_VALUE"""),146.94)</f>
        <v>146.94</v>
      </c>
      <c r="E9297" s="2">
        <f>IFERROR(__xludf.DUMMYFUNCTION("""COMPUTED_VALUE"""),148.74)</f>
        <v>148.74</v>
      </c>
      <c r="F9297" s="2">
        <f>IFERROR(__xludf.DUMMYFUNCTION("""COMPUTED_VALUE"""),3804529.0)</f>
        <v>3804529</v>
      </c>
    </row>
    <row r="9298">
      <c r="A9298" s="3">
        <f>IFERROR(__xludf.DUMMYFUNCTION("""COMPUTED_VALUE"""),42682.66666666667)</f>
        <v>42682.66667</v>
      </c>
      <c r="B9298" s="2">
        <f>IFERROR(__xludf.DUMMYFUNCTION("""COMPUTED_VALUE"""),147.63)</f>
        <v>147.63</v>
      </c>
      <c r="C9298" s="2">
        <f>IFERROR(__xludf.DUMMYFUNCTION("""COMPUTED_VALUE"""),148.94)</f>
        <v>148.94</v>
      </c>
      <c r="D9298" s="2">
        <f>IFERROR(__xludf.DUMMYFUNCTION("""COMPUTED_VALUE"""),146.2)</f>
        <v>146.2</v>
      </c>
      <c r="E9298" s="2">
        <f>IFERROR(__xludf.DUMMYFUNCTION("""COMPUTED_VALUE"""),148.21)</f>
        <v>148.21</v>
      </c>
      <c r="F9298" s="2">
        <f>IFERROR(__xludf.DUMMYFUNCTION("""COMPUTED_VALUE"""),3921044.0)</f>
        <v>3921044</v>
      </c>
    </row>
    <row r="9299">
      <c r="A9299" s="3">
        <f>IFERROR(__xludf.DUMMYFUNCTION("""COMPUTED_VALUE"""),42683.66666666667)</f>
        <v>42683.66667</v>
      </c>
      <c r="B9299" s="2">
        <f>IFERROR(__xludf.DUMMYFUNCTION("""COMPUTED_VALUE"""),146.1)</f>
        <v>146.1</v>
      </c>
      <c r="C9299" s="2">
        <f>IFERROR(__xludf.DUMMYFUNCTION("""COMPUTED_VALUE"""),148.59)</f>
        <v>148.59</v>
      </c>
      <c r="D9299" s="2">
        <f>IFERROR(__xludf.DUMMYFUNCTION("""COMPUTED_VALUE"""),144.23)</f>
        <v>144.23</v>
      </c>
      <c r="E9299" s="2">
        <f>IFERROR(__xludf.DUMMYFUNCTION("""COMPUTED_VALUE"""),147.87)</f>
        <v>147.87</v>
      </c>
      <c r="F9299" s="2">
        <f>IFERROR(__xludf.DUMMYFUNCTION("""COMPUTED_VALUE"""),5403688.0)</f>
        <v>5403688</v>
      </c>
    </row>
    <row r="9300">
      <c r="A9300" s="3">
        <f>IFERROR(__xludf.DUMMYFUNCTION("""COMPUTED_VALUE"""),42684.66666666667)</f>
        <v>42684.66667</v>
      </c>
      <c r="B9300" s="2">
        <f>IFERROR(__xludf.DUMMYFUNCTION("""COMPUTED_VALUE"""),150.59)</f>
        <v>150.59</v>
      </c>
      <c r="C9300" s="2">
        <f>IFERROR(__xludf.DUMMYFUNCTION("""COMPUTED_VALUE"""),153.93)</f>
        <v>153.93</v>
      </c>
      <c r="D9300" s="2">
        <f>IFERROR(__xludf.DUMMYFUNCTION("""COMPUTED_VALUE"""),150.52)</f>
        <v>150.52</v>
      </c>
      <c r="E9300" s="2">
        <f>IFERROR(__xludf.DUMMYFUNCTION("""COMPUTED_VALUE"""),153.04)</f>
        <v>153.04</v>
      </c>
      <c r="F9300" s="2">
        <f>IFERROR(__xludf.DUMMYFUNCTION("""COMPUTED_VALUE"""),7715807.0)</f>
        <v>7715807</v>
      </c>
    </row>
    <row r="9301">
      <c r="A9301" s="3">
        <f>IFERROR(__xludf.DUMMYFUNCTION("""COMPUTED_VALUE"""),42685.66666666667)</f>
        <v>42685.66667</v>
      </c>
      <c r="B9301" s="2">
        <f>IFERROR(__xludf.DUMMYFUNCTION("""COMPUTED_VALUE"""),152.8)</f>
        <v>152.8</v>
      </c>
      <c r="C9301" s="2">
        <f>IFERROR(__xludf.DUMMYFUNCTION("""COMPUTED_VALUE"""),154.11)</f>
        <v>154.11</v>
      </c>
      <c r="D9301" s="2">
        <f>IFERROR(__xludf.DUMMYFUNCTION("""COMPUTED_VALUE"""),152.19)</f>
        <v>152.19</v>
      </c>
      <c r="E9301" s="2">
        <f>IFERROR(__xludf.DUMMYFUNCTION("""COMPUTED_VALUE"""),154.04)</f>
        <v>154.04</v>
      </c>
      <c r="F9301" s="2">
        <f>IFERROR(__xludf.DUMMYFUNCTION("""COMPUTED_VALUE"""),4446530.0)</f>
        <v>4446530</v>
      </c>
    </row>
    <row r="9302">
      <c r="A9302" s="3">
        <f>IFERROR(__xludf.DUMMYFUNCTION("""COMPUTED_VALUE"""),42688.66666666667)</f>
        <v>42688.66667</v>
      </c>
      <c r="B9302" s="2">
        <f>IFERROR(__xludf.DUMMYFUNCTION("""COMPUTED_VALUE"""),154.02)</f>
        <v>154.02</v>
      </c>
      <c r="C9302" s="2">
        <f>IFERROR(__xludf.DUMMYFUNCTION("""COMPUTED_VALUE"""),154.6)</f>
        <v>154.6</v>
      </c>
      <c r="D9302" s="2">
        <f>IFERROR(__xludf.DUMMYFUNCTION("""COMPUTED_VALUE"""),150.51)</f>
        <v>150.51</v>
      </c>
      <c r="E9302" s="2">
        <f>IFERROR(__xludf.DUMMYFUNCTION("""COMPUTED_VALUE"""),151.12)</f>
        <v>151.12</v>
      </c>
      <c r="F9302" s="2">
        <f>IFERROR(__xludf.DUMMYFUNCTION("""COMPUTED_VALUE"""),5196498.0)</f>
        <v>5196498</v>
      </c>
    </row>
    <row r="9303">
      <c r="A9303" s="3">
        <f>IFERROR(__xludf.DUMMYFUNCTION("""COMPUTED_VALUE"""),42689.66666666667)</f>
        <v>42689.66667</v>
      </c>
      <c r="B9303" s="2">
        <f>IFERROR(__xludf.DUMMYFUNCTION("""COMPUTED_VALUE"""),151.32)</f>
        <v>151.32</v>
      </c>
      <c r="C9303" s="2">
        <f>IFERROR(__xludf.DUMMYFUNCTION("""COMPUTED_VALUE"""),152.01)</f>
        <v>152.01</v>
      </c>
      <c r="D9303" s="2">
        <f>IFERROR(__xludf.DUMMYFUNCTION("""COMPUTED_VALUE"""),150.49)</f>
        <v>150.49</v>
      </c>
      <c r="E9303" s="2">
        <f>IFERROR(__xludf.DUMMYFUNCTION("""COMPUTED_VALUE"""),151.56)</f>
        <v>151.56</v>
      </c>
      <c r="F9303" s="2">
        <f>IFERROR(__xludf.DUMMYFUNCTION("""COMPUTED_VALUE"""),3476996.0)</f>
        <v>3476996</v>
      </c>
    </row>
    <row r="9304">
      <c r="A9304" s="3">
        <f>IFERROR(__xludf.DUMMYFUNCTION("""COMPUTED_VALUE"""),42690.66666666667)</f>
        <v>42690.66667</v>
      </c>
      <c r="B9304" s="2">
        <f>IFERROR(__xludf.DUMMYFUNCTION("""COMPUTED_VALUE"""),151.36)</f>
        <v>151.36</v>
      </c>
      <c r="C9304" s="2">
        <f>IFERROR(__xludf.DUMMYFUNCTION("""COMPUTED_VALUE"""),152.4)</f>
        <v>152.4</v>
      </c>
      <c r="D9304" s="2">
        <f>IFERROR(__xludf.DUMMYFUNCTION("""COMPUTED_VALUE"""),150.94)</f>
        <v>150.94</v>
      </c>
      <c r="E9304" s="2">
        <f>IFERROR(__xludf.DUMMYFUNCTION("""COMPUTED_VALUE"""),152.15)</f>
        <v>152.15</v>
      </c>
      <c r="F9304" s="2">
        <f>IFERROR(__xludf.DUMMYFUNCTION("""COMPUTED_VALUE"""),2252806.0)</f>
        <v>2252806</v>
      </c>
    </row>
    <row r="9305">
      <c r="A9305" s="3">
        <f>IFERROR(__xludf.DUMMYFUNCTION("""COMPUTED_VALUE"""),42691.66666666667)</f>
        <v>42691.66667</v>
      </c>
      <c r="B9305" s="2">
        <f>IFERROR(__xludf.DUMMYFUNCTION("""COMPUTED_VALUE"""),152.08)</f>
        <v>152.08</v>
      </c>
      <c r="C9305" s="2">
        <f>IFERROR(__xludf.DUMMYFUNCTION("""COMPUTED_VALUE"""),152.76)</f>
        <v>152.76</v>
      </c>
      <c r="D9305" s="2">
        <f>IFERROR(__xludf.DUMMYFUNCTION("""COMPUTED_VALUE"""),151.73)</f>
        <v>151.73</v>
      </c>
      <c r="E9305" s="2">
        <f>IFERROR(__xludf.DUMMYFUNCTION("""COMPUTED_VALUE"""),152.64)</f>
        <v>152.64</v>
      </c>
      <c r="F9305" s="2">
        <f>IFERROR(__xludf.DUMMYFUNCTION("""COMPUTED_VALUE"""),2260997.0)</f>
        <v>2260997</v>
      </c>
    </row>
    <row r="9306">
      <c r="A9306" s="3">
        <f>IFERROR(__xludf.DUMMYFUNCTION("""COMPUTED_VALUE"""),42692.66666666667)</f>
        <v>42692.66667</v>
      </c>
      <c r="B9306" s="2">
        <f>IFERROR(__xludf.DUMMYFUNCTION("""COMPUTED_VALUE"""),152.64)</f>
        <v>152.64</v>
      </c>
      <c r="C9306" s="2">
        <f>IFERROR(__xludf.DUMMYFUNCTION("""COMPUTED_VALUE"""),153.51)</f>
        <v>153.51</v>
      </c>
      <c r="D9306" s="2">
        <f>IFERROR(__xludf.DUMMYFUNCTION("""COMPUTED_VALUE"""),152.07)</f>
        <v>152.07</v>
      </c>
      <c r="E9306" s="2">
        <f>IFERROR(__xludf.DUMMYFUNCTION("""COMPUTED_VALUE"""),153.2)</f>
        <v>153.2</v>
      </c>
      <c r="F9306" s="2">
        <f>IFERROR(__xludf.DUMMYFUNCTION("""COMPUTED_VALUE"""),2981633.0)</f>
        <v>2981633</v>
      </c>
    </row>
    <row r="9307">
      <c r="A9307" s="3">
        <f>IFERROR(__xludf.DUMMYFUNCTION("""COMPUTED_VALUE"""),42695.66666666667)</f>
        <v>42695.66667</v>
      </c>
      <c r="B9307" s="2">
        <f>IFERROR(__xludf.DUMMYFUNCTION("""COMPUTED_VALUE"""),153.49)</f>
        <v>153.49</v>
      </c>
      <c r="C9307" s="2">
        <f>IFERROR(__xludf.DUMMYFUNCTION("""COMPUTED_VALUE"""),155.69)</f>
        <v>155.69</v>
      </c>
      <c r="D9307" s="2">
        <f>IFERROR(__xludf.DUMMYFUNCTION("""COMPUTED_VALUE"""),153.18)</f>
        <v>153.18</v>
      </c>
      <c r="E9307" s="2">
        <f>IFERROR(__xludf.DUMMYFUNCTION("""COMPUTED_VALUE"""),155.47)</f>
        <v>155.47</v>
      </c>
      <c r="F9307" s="2">
        <f>IFERROR(__xludf.DUMMYFUNCTION("""COMPUTED_VALUE"""),4637027.0)</f>
        <v>4637027</v>
      </c>
    </row>
    <row r="9308">
      <c r="A9308" s="3">
        <f>IFERROR(__xludf.DUMMYFUNCTION("""COMPUTED_VALUE"""),42696.66666666667)</f>
        <v>42696.66667</v>
      </c>
      <c r="B9308" s="2">
        <f>IFERROR(__xludf.DUMMYFUNCTION("""COMPUTED_VALUE"""),155.69)</f>
        <v>155.69</v>
      </c>
      <c r="C9308" s="2">
        <f>IFERROR(__xludf.DUMMYFUNCTION("""COMPUTED_VALUE"""),155.69)</f>
        <v>155.69</v>
      </c>
      <c r="D9308" s="2">
        <f>IFERROR(__xludf.DUMMYFUNCTION("""COMPUTED_VALUE"""),154.69)</f>
        <v>154.69</v>
      </c>
      <c r="E9308" s="2">
        <f>IFERROR(__xludf.DUMMYFUNCTION("""COMPUTED_VALUE"""),155.38)</f>
        <v>155.38</v>
      </c>
      <c r="F9308" s="2">
        <f>IFERROR(__xludf.DUMMYFUNCTION("""COMPUTED_VALUE"""),2770789.0)</f>
        <v>2770789</v>
      </c>
    </row>
    <row r="9309">
      <c r="A9309" s="3">
        <f>IFERROR(__xludf.DUMMYFUNCTION("""COMPUTED_VALUE"""),42697.66666666667)</f>
        <v>42697.66667</v>
      </c>
      <c r="B9309" s="2">
        <f>IFERROR(__xludf.DUMMYFUNCTION("""COMPUTED_VALUE"""),154.68)</f>
        <v>154.68</v>
      </c>
      <c r="C9309" s="2">
        <f>IFERROR(__xludf.DUMMYFUNCTION("""COMPUTED_VALUE"""),155.1)</f>
        <v>155.1</v>
      </c>
      <c r="D9309" s="2">
        <f>IFERROR(__xludf.DUMMYFUNCTION("""COMPUTED_VALUE"""),154.12)</f>
        <v>154.12</v>
      </c>
      <c r="E9309" s="2">
        <f>IFERROR(__xludf.DUMMYFUNCTION("""COMPUTED_VALUE"""),154.72)</f>
        <v>154.72</v>
      </c>
      <c r="F9309" s="2">
        <f>IFERROR(__xludf.DUMMYFUNCTION("""COMPUTED_VALUE"""),2256135.0)</f>
        <v>2256135</v>
      </c>
    </row>
    <row r="9310">
      <c r="A9310" s="3">
        <f>IFERROR(__xludf.DUMMYFUNCTION("""COMPUTED_VALUE"""),42699.66666666667)</f>
        <v>42699.66667</v>
      </c>
      <c r="B9310" s="2">
        <f>IFERROR(__xludf.DUMMYFUNCTION("""COMPUTED_VALUE"""),154.57)</f>
        <v>154.57</v>
      </c>
      <c r="C9310" s="2">
        <f>IFERROR(__xludf.DUMMYFUNCTION("""COMPUTED_VALUE"""),155.87)</f>
        <v>155.87</v>
      </c>
      <c r="D9310" s="2">
        <f>IFERROR(__xludf.DUMMYFUNCTION("""COMPUTED_VALUE"""),154.57)</f>
        <v>154.57</v>
      </c>
      <c r="E9310" s="2">
        <f>IFERROR(__xludf.DUMMYFUNCTION("""COMPUTED_VALUE"""),155.83)</f>
        <v>155.83</v>
      </c>
      <c r="F9310" s="2">
        <f>IFERROR(__xludf.DUMMYFUNCTION("""COMPUTED_VALUE"""),1605344.0)</f>
        <v>1605344</v>
      </c>
    </row>
    <row r="9311">
      <c r="A9311" s="3">
        <f>IFERROR(__xludf.DUMMYFUNCTION("""COMPUTED_VALUE"""),42702.66666666667)</f>
        <v>42702.66667</v>
      </c>
      <c r="B9311" s="2">
        <f>IFERROR(__xludf.DUMMYFUNCTION("""COMPUTED_VALUE"""),155.88)</f>
        <v>155.88</v>
      </c>
      <c r="C9311" s="2">
        <f>IFERROR(__xludf.DUMMYFUNCTION("""COMPUTED_VALUE"""),157.28)</f>
        <v>157.28</v>
      </c>
      <c r="D9311" s="2">
        <f>IFERROR(__xludf.DUMMYFUNCTION("""COMPUTED_VALUE"""),155.41)</f>
        <v>155.41</v>
      </c>
      <c r="E9311" s="2">
        <f>IFERROR(__xludf.DUMMYFUNCTION("""COMPUTED_VALUE"""),157.14)</f>
        <v>157.14</v>
      </c>
      <c r="F9311" s="2">
        <f>IFERROR(__xludf.DUMMYFUNCTION("""COMPUTED_VALUE"""),4449345.0)</f>
        <v>4449345</v>
      </c>
    </row>
    <row r="9312">
      <c r="A9312" s="3">
        <f>IFERROR(__xludf.DUMMYFUNCTION("""COMPUTED_VALUE"""),42703.66666666667)</f>
        <v>42703.66667</v>
      </c>
      <c r="B9312" s="2">
        <f>IFERROR(__xludf.DUMMYFUNCTION("""COMPUTED_VALUE"""),156.65)</f>
        <v>156.65</v>
      </c>
      <c r="C9312" s="2">
        <f>IFERROR(__xludf.DUMMYFUNCTION("""COMPUTED_VALUE"""),157.04)</f>
        <v>157.04</v>
      </c>
      <c r="D9312" s="2">
        <f>IFERROR(__xludf.DUMMYFUNCTION("""COMPUTED_VALUE"""),155.72)</f>
        <v>155.72</v>
      </c>
      <c r="E9312" s="2">
        <f>IFERROR(__xludf.DUMMYFUNCTION("""COMPUTED_VALUE"""),156.2)</f>
        <v>156.2</v>
      </c>
      <c r="F9312" s="2">
        <f>IFERROR(__xludf.DUMMYFUNCTION("""COMPUTED_VALUE"""),3148196.0)</f>
        <v>3148196</v>
      </c>
    </row>
    <row r="9313">
      <c r="A9313" s="3">
        <f>IFERROR(__xludf.DUMMYFUNCTION("""COMPUTED_VALUE"""),42704.66666666667)</f>
        <v>42704.66667</v>
      </c>
      <c r="B9313" s="2">
        <f>IFERROR(__xludf.DUMMYFUNCTION("""COMPUTED_VALUE"""),156.03)</f>
        <v>156.03</v>
      </c>
      <c r="C9313" s="2">
        <f>IFERROR(__xludf.DUMMYFUNCTION("""COMPUTED_VALUE"""),156.46)</f>
        <v>156.46</v>
      </c>
      <c r="D9313" s="2">
        <f>IFERROR(__xludf.DUMMYFUNCTION("""COMPUTED_VALUE"""),154.94)</f>
        <v>154.94</v>
      </c>
      <c r="E9313" s="2">
        <f>IFERROR(__xludf.DUMMYFUNCTION("""COMPUTED_VALUE"""),154.95)</f>
        <v>154.95</v>
      </c>
      <c r="F9313" s="2">
        <f>IFERROR(__xludf.DUMMYFUNCTION("""COMPUTED_VALUE"""),4397777.0)</f>
        <v>4397777</v>
      </c>
    </row>
    <row r="9314">
      <c r="A9314" s="3">
        <f>IFERROR(__xludf.DUMMYFUNCTION("""COMPUTED_VALUE"""),42705.66666666667)</f>
        <v>42705.66667</v>
      </c>
      <c r="B9314" s="2">
        <f>IFERROR(__xludf.DUMMYFUNCTION("""COMPUTED_VALUE"""),154.69)</f>
        <v>154.69</v>
      </c>
      <c r="C9314" s="2">
        <f>IFERROR(__xludf.DUMMYFUNCTION("""COMPUTED_VALUE"""),154.92)</f>
        <v>154.92</v>
      </c>
      <c r="D9314" s="2">
        <f>IFERROR(__xludf.DUMMYFUNCTION("""COMPUTED_VALUE"""),151.2)</f>
        <v>151.2</v>
      </c>
      <c r="E9314" s="2">
        <f>IFERROR(__xludf.DUMMYFUNCTION("""COMPUTED_VALUE"""),152.65)</f>
        <v>152.65</v>
      </c>
      <c r="F9314" s="2">
        <f>IFERROR(__xludf.DUMMYFUNCTION("""COMPUTED_VALUE"""),4635215.0)</f>
        <v>4635215</v>
      </c>
    </row>
    <row r="9315">
      <c r="A9315" s="3">
        <f>IFERROR(__xludf.DUMMYFUNCTION("""COMPUTED_VALUE"""),42706.66666666667)</f>
        <v>42706.66667</v>
      </c>
      <c r="B9315" s="2">
        <f>IFERROR(__xludf.DUMMYFUNCTION("""COMPUTED_VALUE"""),151.87)</f>
        <v>151.87</v>
      </c>
      <c r="C9315" s="2">
        <f>IFERROR(__xludf.DUMMYFUNCTION("""COMPUTED_VALUE"""),153.1)</f>
        <v>153.1</v>
      </c>
      <c r="D9315" s="2">
        <f>IFERROR(__xludf.DUMMYFUNCTION("""COMPUTED_VALUE"""),151.31)</f>
        <v>151.31</v>
      </c>
      <c r="E9315" s="2">
        <f>IFERROR(__xludf.DUMMYFUNCTION("""COMPUTED_VALUE"""),152.85)</f>
        <v>152.85</v>
      </c>
      <c r="F9315" s="2">
        <f>IFERROR(__xludf.DUMMYFUNCTION("""COMPUTED_VALUE"""),2740857.0)</f>
        <v>2740857</v>
      </c>
    </row>
    <row r="9316">
      <c r="A9316" s="3">
        <f>IFERROR(__xludf.DUMMYFUNCTION("""COMPUTED_VALUE"""),42709.66666666667)</f>
        <v>42709.66667</v>
      </c>
      <c r="B9316" s="2">
        <f>IFERROR(__xludf.DUMMYFUNCTION("""COMPUTED_VALUE"""),153.64)</f>
        <v>153.64</v>
      </c>
      <c r="C9316" s="2">
        <f>IFERROR(__xludf.DUMMYFUNCTION("""COMPUTED_VALUE"""),153.92)</f>
        <v>153.92</v>
      </c>
      <c r="D9316" s="2">
        <f>IFERROR(__xludf.DUMMYFUNCTION("""COMPUTED_VALUE"""),152.43)</f>
        <v>152.43</v>
      </c>
      <c r="E9316" s="2">
        <f>IFERROR(__xludf.DUMMYFUNCTION("""COMPUTED_VALUE"""),152.67)</f>
        <v>152.67</v>
      </c>
      <c r="F9316" s="2">
        <f>IFERROR(__xludf.DUMMYFUNCTION("""COMPUTED_VALUE"""),3447052.0)</f>
        <v>3447052</v>
      </c>
    </row>
    <row r="9317">
      <c r="A9317" s="3">
        <f>IFERROR(__xludf.DUMMYFUNCTION("""COMPUTED_VALUE"""),42710.66666666667)</f>
        <v>42710.66667</v>
      </c>
      <c r="B9317" s="2">
        <f>IFERROR(__xludf.DUMMYFUNCTION("""COMPUTED_VALUE"""),152.95)</f>
        <v>152.95</v>
      </c>
      <c r="C9317" s="2">
        <f>IFERROR(__xludf.DUMMYFUNCTION("""COMPUTED_VALUE"""),153.58)</f>
        <v>153.58</v>
      </c>
      <c r="D9317" s="2">
        <f>IFERROR(__xludf.DUMMYFUNCTION("""COMPUTED_VALUE"""),151.8)</f>
        <v>151.8</v>
      </c>
      <c r="E9317" s="2">
        <f>IFERROR(__xludf.DUMMYFUNCTION("""COMPUTED_VALUE"""),153.16)</f>
        <v>153.16</v>
      </c>
      <c r="F9317" s="2">
        <f>IFERROR(__xludf.DUMMYFUNCTION("""COMPUTED_VALUE"""),2858766.0)</f>
        <v>2858766</v>
      </c>
    </row>
    <row r="9318">
      <c r="A9318" s="3">
        <f>IFERROR(__xludf.DUMMYFUNCTION("""COMPUTED_VALUE"""),42711.66666666667)</f>
        <v>42711.66667</v>
      </c>
      <c r="B9318" s="2">
        <f>IFERROR(__xludf.DUMMYFUNCTION("""COMPUTED_VALUE"""),153.4)</f>
        <v>153.4</v>
      </c>
      <c r="C9318" s="2">
        <f>IFERROR(__xludf.DUMMYFUNCTION("""COMPUTED_VALUE"""),157.77)</f>
        <v>157.77</v>
      </c>
      <c r="D9318" s="2">
        <f>IFERROR(__xludf.DUMMYFUNCTION("""COMPUTED_VALUE"""),153.2)</f>
        <v>153.2</v>
      </c>
      <c r="E9318" s="2">
        <f>IFERROR(__xludf.DUMMYFUNCTION("""COMPUTED_VALUE"""),157.4)</f>
        <v>157.4</v>
      </c>
      <c r="F9318" s="2">
        <f>IFERROR(__xludf.DUMMYFUNCTION("""COMPUTED_VALUE"""),4434863.0)</f>
        <v>4434863</v>
      </c>
    </row>
    <row r="9319">
      <c r="A9319" s="3">
        <f>IFERROR(__xludf.DUMMYFUNCTION("""COMPUTED_VALUE"""),42712.66666666667)</f>
        <v>42712.66667</v>
      </c>
      <c r="B9319" s="2">
        <f>IFERROR(__xludf.DUMMYFUNCTION("""COMPUTED_VALUE"""),157.48)</f>
        <v>157.48</v>
      </c>
      <c r="C9319" s="2">
        <f>IFERROR(__xludf.DUMMYFUNCTION("""COMPUTED_VALUE"""),158.56)</f>
        <v>158.56</v>
      </c>
      <c r="D9319" s="2">
        <f>IFERROR(__xludf.DUMMYFUNCTION("""COMPUTED_VALUE"""),156.86)</f>
        <v>156.86</v>
      </c>
      <c r="E9319" s="2">
        <f>IFERROR(__xludf.DUMMYFUNCTION("""COMPUTED_VALUE"""),157.95)</f>
        <v>157.95</v>
      </c>
      <c r="F9319" s="2">
        <f>IFERROR(__xludf.DUMMYFUNCTION("""COMPUTED_VALUE"""),3266336.0)</f>
        <v>3266336</v>
      </c>
    </row>
    <row r="9320">
      <c r="A9320" s="3">
        <f>IFERROR(__xludf.DUMMYFUNCTION("""COMPUTED_VALUE"""),42713.66666666667)</f>
        <v>42713.66667</v>
      </c>
      <c r="B9320" s="2">
        <f>IFERROR(__xludf.DUMMYFUNCTION("""COMPUTED_VALUE"""),157.77)</f>
        <v>157.77</v>
      </c>
      <c r="C9320" s="2">
        <f>IFERROR(__xludf.DUMMYFUNCTION("""COMPUTED_VALUE"""),159.24)</f>
        <v>159.24</v>
      </c>
      <c r="D9320" s="2">
        <f>IFERROR(__xludf.DUMMYFUNCTION("""COMPUTED_VALUE"""),157.22)</f>
        <v>157.22</v>
      </c>
      <c r="E9320" s="2">
        <f>IFERROR(__xludf.DUMMYFUNCTION("""COMPUTED_VALUE"""),159.05)</f>
        <v>159.05</v>
      </c>
      <c r="F9320" s="2">
        <f>IFERROR(__xludf.DUMMYFUNCTION("""COMPUTED_VALUE"""),3146830.0)</f>
        <v>3146830</v>
      </c>
    </row>
    <row r="9321">
      <c r="A9321" s="3">
        <f>IFERROR(__xludf.DUMMYFUNCTION("""COMPUTED_VALUE"""),42716.66666666667)</f>
        <v>42716.66667</v>
      </c>
      <c r="B9321" s="2">
        <f>IFERROR(__xludf.DUMMYFUNCTION("""COMPUTED_VALUE"""),159.24)</f>
        <v>159.24</v>
      </c>
      <c r="C9321" s="2">
        <f>IFERROR(__xludf.DUMMYFUNCTION("""COMPUTED_VALUE"""),159.31)</f>
        <v>159.31</v>
      </c>
      <c r="D9321" s="2">
        <f>IFERROR(__xludf.DUMMYFUNCTION("""COMPUTED_VALUE"""),157.67)</f>
        <v>157.67</v>
      </c>
      <c r="E9321" s="2">
        <f>IFERROR(__xludf.DUMMYFUNCTION("""COMPUTED_VALUE"""),158.08)</f>
        <v>158.08</v>
      </c>
      <c r="F9321" s="2">
        <f>IFERROR(__xludf.DUMMYFUNCTION("""COMPUTED_VALUE"""),3392330.0)</f>
        <v>3392330</v>
      </c>
    </row>
    <row r="9322">
      <c r="A9322" s="3">
        <f>IFERROR(__xludf.DUMMYFUNCTION("""COMPUTED_VALUE"""),42717.66666666667)</f>
        <v>42717.66667</v>
      </c>
      <c r="B9322" s="2">
        <f>IFERROR(__xludf.DUMMYFUNCTION("""COMPUTED_VALUE"""),158.25)</f>
        <v>158.25</v>
      </c>
      <c r="C9322" s="2">
        <f>IFERROR(__xludf.DUMMYFUNCTION("""COMPUTED_VALUE"""),162.33)</f>
        <v>162.33</v>
      </c>
      <c r="D9322" s="2">
        <f>IFERROR(__xludf.DUMMYFUNCTION("""COMPUTED_VALUE"""),158.25)</f>
        <v>158.25</v>
      </c>
      <c r="E9322" s="2">
        <f>IFERROR(__xludf.DUMMYFUNCTION("""COMPUTED_VALUE"""),160.74)</f>
        <v>160.74</v>
      </c>
      <c r="F9322" s="2">
        <f>IFERROR(__xludf.DUMMYFUNCTION("""COMPUTED_VALUE"""),5930857.0)</f>
        <v>5930857</v>
      </c>
    </row>
    <row r="9323">
      <c r="A9323" s="3">
        <f>IFERROR(__xludf.DUMMYFUNCTION("""COMPUTED_VALUE"""),42718.66666666667)</f>
        <v>42718.66667</v>
      </c>
      <c r="B9323" s="2">
        <f>IFERROR(__xludf.DUMMYFUNCTION("""COMPUTED_VALUE"""),160.82)</f>
        <v>160.82</v>
      </c>
      <c r="C9323" s="2">
        <f>IFERROR(__xludf.DUMMYFUNCTION("""COMPUTED_VALUE"""),162.27)</f>
        <v>162.27</v>
      </c>
      <c r="D9323" s="2">
        <f>IFERROR(__xludf.DUMMYFUNCTION("""COMPUTED_VALUE"""),159.94)</f>
        <v>159.94</v>
      </c>
      <c r="E9323" s="2">
        <f>IFERROR(__xludf.DUMMYFUNCTION("""COMPUTED_VALUE"""),160.95)</f>
        <v>160.95</v>
      </c>
      <c r="F9323" s="2">
        <f>IFERROR(__xludf.DUMMYFUNCTION("""COMPUTED_VALUE"""),4123821.0)</f>
        <v>4123821</v>
      </c>
    </row>
    <row r="9324">
      <c r="A9324" s="3">
        <f>IFERROR(__xludf.DUMMYFUNCTION("""COMPUTED_VALUE"""),42719.66666666667)</f>
        <v>42719.66667</v>
      </c>
      <c r="B9324" s="2">
        <f>IFERROR(__xludf.DUMMYFUNCTION("""COMPUTED_VALUE"""),160.48)</f>
        <v>160.48</v>
      </c>
      <c r="C9324" s="2">
        <f>IFERROR(__xludf.DUMMYFUNCTION("""COMPUTED_VALUE"""),162.23)</f>
        <v>162.23</v>
      </c>
      <c r="D9324" s="2">
        <f>IFERROR(__xludf.DUMMYFUNCTION("""COMPUTED_VALUE"""),160.26)</f>
        <v>160.26</v>
      </c>
      <c r="E9324" s="2">
        <f>IFERROR(__xludf.DUMMYFUNCTION("""COMPUTED_VALUE"""),160.49)</f>
        <v>160.49</v>
      </c>
      <c r="F9324" s="2">
        <f>IFERROR(__xludf.DUMMYFUNCTION("""COMPUTED_VALUE"""),3387535.0)</f>
        <v>3387535</v>
      </c>
    </row>
    <row r="9325">
      <c r="A9325" s="3">
        <f>IFERROR(__xludf.DUMMYFUNCTION("""COMPUTED_VALUE"""),42720.66666666667)</f>
        <v>42720.66667</v>
      </c>
      <c r="B9325" s="2">
        <f>IFERROR(__xludf.DUMMYFUNCTION("""COMPUTED_VALUE"""),161.39)</f>
        <v>161.39</v>
      </c>
      <c r="C9325" s="2">
        <f>IFERROR(__xludf.DUMMYFUNCTION("""COMPUTED_VALUE"""),161.53)</f>
        <v>161.53</v>
      </c>
      <c r="D9325" s="2">
        <f>IFERROR(__xludf.DUMMYFUNCTION("""COMPUTED_VALUE"""),158.61)</f>
        <v>158.61</v>
      </c>
      <c r="E9325" s="2">
        <f>IFERROR(__xludf.DUMMYFUNCTION("""COMPUTED_VALUE"""),159.25)</f>
        <v>159.25</v>
      </c>
      <c r="F9325" s="2">
        <f>IFERROR(__xludf.DUMMYFUNCTION("""COMPUTED_VALUE"""),7117050.0)</f>
        <v>7117050</v>
      </c>
    </row>
    <row r="9326">
      <c r="A9326" s="3">
        <f>IFERROR(__xludf.DUMMYFUNCTION("""COMPUTED_VALUE"""),42723.66666666667)</f>
        <v>42723.66667</v>
      </c>
      <c r="B9326" s="2">
        <f>IFERROR(__xludf.DUMMYFUNCTION("""COMPUTED_VALUE"""),159.35)</f>
        <v>159.35</v>
      </c>
      <c r="C9326" s="2">
        <f>IFERROR(__xludf.DUMMYFUNCTION("""COMPUTED_VALUE"""),159.76)</f>
        <v>159.76</v>
      </c>
      <c r="D9326" s="2">
        <f>IFERROR(__xludf.DUMMYFUNCTION("""COMPUTED_VALUE"""),158.56)</f>
        <v>158.56</v>
      </c>
      <c r="E9326" s="2">
        <f>IFERROR(__xludf.DUMMYFUNCTION("""COMPUTED_VALUE"""),159.21)</f>
        <v>159.21</v>
      </c>
      <c r="F9326" s="2">
        <f>IFERROR(__xludf.DUMMYFUNCTION("""COMPUTED_VALUE"""),2955864.0)</f>
        <v>2955864</v>
      </c>
    </row>
    <row r="9327">
      <c r="A9327" s="3">
        <f>IFERROR(__xludf.DUMMYFUNCTION("""COMPUTED_VALUE"""),42724.66666666667)</f>
        <v>42724.66667</v>
      </c>
      <c r="B9327" s="2">
        <f>IFERROR(__xludf.DUMMYFUNCTION("""COMPUTED_VALUE"""),159.98)</f>
        <v>159.98</v>
      </c>
      <c r="C9327" s="2">
        <f>IFERROR(__xludf.DUMMYFUNCTION("""COMPUTED_VALUE"""),160.71)</f>
        <v>160.71</v>
      </c>
      <c r="D9327" s="2">
        <f>IFERROR(__xludf.DUMMYFUNCTION("""COMPUTED_VALUE"""),158.99)</f>
        <v>158.99</v>
      </c>
      <c r="E9327" s="2">
        <f>IFERROR(__xludf.DUMMYFUNCTION("""COMPUTED_VALUE"""),160.09)</f>
        <v>160.09</v>
      </c>
      <c r="F9327" s="2">
        <f>IFERROR(__xludf.DUMMYFUNCTION("""COMPUTED_VALUE"""),2174509.0)</f>
        <v>2174509</v>
      </c>
    </row>
    <row r="9328">
      <c r="A9328" s="3">
        <f>IFERROR(__xludf.DUMMYFUNCTION("""COMPUTED_VALUE"""),42725.66666666667)</f>
        <v>42725.66667</v>
      </c>
      <c r="B9328" s="2">
        <f>IFERROR(__xludf.DUMMYFUNCTION("""COMPUTED_VALUE"""),158.8)</f>
        <v>158.8</v>
      </c>
      <c r="C9328" s="2">
        <f>IFERROR(__xludf.DUMMYFUNCTION("""COMPUTED_VALUE"""),160.41)</f>
        <v>160.41</v>
      </c>
      <c r="D9328" s="2">
        <f>IFERROR(__xludf.DUMMYFUNCTION("""COMPUTED_VALUE"""),157.84)</f>
        <v>157.84</v>
      </c>
      <c r="E9328" s="2">
        <f>IFERROR(__xludf.DUMMYFUNCTION("""COMPUTED_VALUE"""),159.83)</f>
        <v>159.83</v>
      </c>
      <c r="F9328" s="2">
        <f>IFERROR(__xludf.DUMMYFUNCTION("""COMPUTED_VALUE"""),3575310.0)</f>
        <v>3575310</v>
      </c>
    </row>
    <row r="9329">
      <c r="A9329" s="3">
        <f>IFERROR(__xludf.DUMMYFUNCTION("""COMPUTED_VALUE"""),42726.66666666667)</f>
        <v>42726.66667</v>
      </c>
      <c r="B9329" s="2">
        <f>IFERROR(__xludf.DUMMYFUNCTION("""COMPUTED_VALUE"""),159.86)</f>
        <v>159.86</v>
      </c>
      <c r="C9329" s="2">
        <f>IFERROR(__xludf.DUMMYFUNCTION("""COMPUTED_VALUE"""),160.69)</f>
        <v>160.69</v>
      </c>
      <c r="D9329" s="2">
        <f>IFERROR(__xludf.DUMMYFUNCTION("""COMPUTED_VALUE"""),159.11)</f>
        <v>159.11</v>
      </c>
      <c r="E9329" s="2">
        <f>IFERROR(__xludf.DUMMYFUNCTION("""COMPUTED_VALUE"""),159.57)</f>
        <v>159.57</v>
      </c>
      <c r="F9329" s="2">
        <f>IFERROR(__xludf.DUMMYFUNCTION("""COMPUTED_VALUE"""),2802631.0)</f>
        <v>2802631</v>
      </c>
    </row>
    <row r="9330">
      <c r="A9330" s="3">
        <f>IFERROR(__xludf.DUMMYFUNCTION("""COMPUTED_VALUE"""),42727.66666666667)</f>
        <v>42727.66667</v>
      </c>
      <c r="B9330" s="2">
        <f>IFERROR(__xludf.DUMMYFUNCTION("""COMPUTED_VALUE"""),159.51)</f>
        <v>159.51</v>
      </c>
      <c r="C9330" s="2">
        <f>IFERROR(__xludf.DUMMYFUNCTION("""COMPUTED_VALUE"""),159.98)</f>
        <v>159.98</v>
      </c>
      <c r="D9330" s="2">
        <f>IFERROR(__xludf.DUMMYFUNCTION("""COMPUTED_VALUE"""),158.99)</f>
        <v>158.99</v>
      </c>
      <c r="E9330" s="2">
        <f>IFERROR(__xludf.DUMMYFUNCTION("""COMPUTED_VALUE"""),159.24)</f>
        <v>159.24</v>
      </c>
      <c r="F9330" s="2">
        <f>IFERROR(__xludf.DUMMYFUNCTION("""COMPUTED_VALUE"""),1701228.0)</f>
        <v>1701228</v>
      </c>
    </row>
    <row r="9331">
      <c r="A9331" s="3">
        <f>IFERROR(__xludf.DUMMYFUNCTION("""COMPUTED_VALUE"""),42731.66666666667)</f>
        <v>42731.66667</v>
      </c>
      <c r="B9331" s="2">
        <f>IFERROR(__xludf.DUMMYFUNCTION("""COMPUTED_VALUE"""),159.49)</f>
        <v>159.49</v>
      </c>
      <c r="C9331" s="2">
        <f>IFERROR(__xludf.DUMMYFUNCTION("""COMPUTED_VALUE"""),160.45)</f>
        <v>160.45</v>
      </c>
      <c r="D9331" s="2">
        <f>IFERROR(__xludf.DUMMYFUNCTION("""COMPUTED_VALUE"""),159.37)</f>
        <v>159.37</v>
      </c>
      <c r="E9331" s="2">
        <f>IFERROR(__xludf.DUMMYFUNCTION("""COMPUTED_VALUE"""),159.65)</f>
        <v>159.65</v>
      </c>
      <c r="F9331" s="2">
        <f>IFERROR(__xludf.DUMMYFUNCTION("""COMPUTED_VALUE"""),1397455.0)</f>
        <v>1397455</v>
      </c>
    </row>
    <row r="9332">
      <c r="A9332" s="3">
        <f>IFERROR(__xludf.DUMMYFUNCTION("""COMPUTED_VALUE"""),42732.66666666667)</f>
        <v>42732.66667</v>
      </c>
      <c r="B9332" s="2">
        <f>IFERROR(__xludf.DUMMYFUNCTION("""COMPUTED_VALUE"""),159.79)</f>
        <v>159.79</v>
      </c>
      <c r="C9332" s="2">
        <f>IFERROR(__xludf.DUMMYFUNCTION("""COMPUTED_VALUE"""),160.22)</f>
        <v>160.22</v>
      </c>
      <c r="D9332" s="2">
        <f>IFERROR(__xludf.DUMMYFUNCTION("""COMPUTED_VALUE"""),158.56)</f>
        <v>158.56</v>
      </c>
      <c r="E9332" s="2">
        <f>IFERROR(__xludf.DUMMYFUNCTION("""COMPUTED_VALUE"""),158.74)</f>
        <v>158.74</v>
      </c>
      <c r="F9332" s="2">
        <f>IFERROR(__xludf.DUMMYFUNCTION("""COMPUTED_VALUE"""),1757500.0)</f>
        <v>1757500</v>
      </c>
    </row>
    <row r="9333">
      <c r="A9333" s="3">
        <f>IFERROR(__xludf.DUMMYFUNCTION("""COMPUTED_VALUE"""),42733.66666666667)</f>
        <v>42733.66667</v>
      </c>
      <c r="B9333" s="2">
        <f>IFERROR(__xludf.DUMMYFUNCTION("""COMPUTED_VALUE"""),158.58)</f>
        <v>158.58</v>
      </c>
      <c r="C9333" s="2">
        <f>IFERROR(__xludf.DUMMYFUNCTION("""COMPUTED_VALUE"""),159.5)</f>
        <v>159.5</v>
      </c>
      <c r="D9333" s="2">
        <f>IFERROR(__xludf.DUMMYFUNCTION("""COMPUTED_VALUE"""),158.56)</f>
        <v>158.56</v>
      </c>
      <c r="E9333" s="2">
        <f>IFERROR(__xludf.DUMMYFUNCTION("""COMPUTED_VALUE"""),159.13)</f>
        <v>159.13</v>
      </c>
      <c r="F9333" s="2">
        <f>IFERROR(__xludf.DUMMYFUNCTION("""COMPUTED_VALUE"""),1663142.0)</f>
        <v>1663142</v>
      </c>
    </row>
    <row r="9334">
      <c r="A9334" s="3">
        <f>IFERROR(__xludf.DUMMYFUNCTION("""COMPUTED_VALUE"""),42734.66666666667)</f>
        <v>42734.66667</v>
      </c>
      <c r="B9334" s="2">
        <f>IFERROR(__xludf.DUMMYFUNCTION("""COMPUTED_VALUE"""),158.98)</f>
        <v>158.98</v>
      </c>
      <c r="C9334" s="2">
        <f>IFERROR(__xludf.DUMMYFUNCTION("""COMPUTED_VALUE"""),159.23)</f>
        <v>159.23</v>
      </c>
      <c r="D9334" s="2">
        <f>IFERROR(__xludf.DUMMYFUNCTION("""COMPUTED_VALUE"""),158.08)</f>
        <v>158.08</v>
      </c>
      <c r="E9334" s="2">
        <f>IFERROR(__xludf.DUMMYFUNCTION("""COMPUTED_VALUE"""),158.55)</f>
        <v>158.55</v>
      </c>
      <c r="F9334" s="2">
        <f>IFERROR(__xludf.DUMMYFUNCTION("""COMPUTED_VALUE"""),2952750.0)</f>
        <v>2952750</v>
      </c>
    </row>
    <row r="9335">
      <c r="A9335" s="3">
        <f>IFERROR(__xludf.DUMMYFUNCTION("""COMPUTED_VALUE"""),42738.66666666667)</f>
        <v>42738.66667</v>
      </c>
      <c r="B9335" s="2">
        <f>IFERROR(__xludf.DUMMYFUNCTION("""COMPUTED_VALUE"""),159.51)</f>
        <v>159.51</v>
      </c>
      <c r="C9335" s="2">
        <f>IFERROR(__xludf.DUMMYFUNCTION("""COMPUTED_VALUE"""),160.34)</f>
        <v>160.34</v>
      </c>
      <c r="D9335" s="2">
        <f>IFERROR(__xludf.DUMMYFUNCTION("""COMPUTED_VALUE"""),158.57)</f>
        <v>158.57</v>
      </c>
      <c r="E9335" s="2">
        <f>IFERROR(__xludf.DUMMYFUNCTION("""COMPUTED_VALUE"""),159.69)</f>
        <v>159.69</v>
      </c>
      <c r="F9335" s="2">
        <f>IFERROR(__xludf.DUMMYFUNCTION("""COMPUTED_VALUE"""),2934119.0)</f>
        <v>2934119</v>
      </c>
    </row>
    <row r="9336">
      <c r="A9336" s="3">
        <f>IFERROR(__xludf.DUMMYFUNCTION("""COMPUTED_VALUE"""),42739.66666666667)</f>
        <v>42739.66667</v>
      </c>
      <c r="B9336" s="2">
        <f>IFERROR(__xludf.DUMMYFUNCTION("""COMPUTED_VALUE"""),160.25)</f>
        <v>160.25</v>
      </c>
      <c r="C9336" s="2">
        <f>IFERROR(__xludf.DUMMYFUNCTION("""COMPUTED_VALUE"""),162.25)</f>
        <v>162.25</v>
      </c>
      <c r="D9336" s="2">
        <f>IFERROR(__xludf.DUMMYFUNCTION("""COMPUTED_VALUE"""),159.86)</f>
        <v>159.86</v>
      </c>
      <c r="E9336" s="2">
        <f>IFERROR(__xludf.DUMMYFUNCTION("""COMPUTED_VALUE"""),161.67)</f>
        <v>161.67</v>
      </c>
      <c r="F9336" s="2">
        <f>IFERROR(__xludf.DUMMYFUNCTION("""COMPUTED_VALUE"""),3381432.0)</f>
        <v>3381432</v>
      </c>
    </row>
    <row r="9337">
      <c r="A9337" s="3">
        <f>IFERROR(__xludf.DUMMYFUNCTION("""COMPUTED_VALUE"""),42740.66666666667)</f>
        <v>42740.66667</v>
      </c>
      <c r="B9337" s="2">
        <f>IFERROR(__xludf.DUMMYFUNCTION("""COMPUTED_VALUE"""),161.66)</f>
        <v>161.66</v>
      </c>
      <c r="C9337" s="2">
        <f>IFERROR(__xludf.DUMMYFUNCTION("""COMPUTED_VALUE"""),161.8)</f>
        <v>161.8</v>
      </c>
      <c r="D9337" s="2">
        <f>IFERROR(__xludf.DUMMYFUNCTION("""COMPUTED_VALUE"""),159.76)</f>
        <v>159.76</v>
      </c>
      <c r="E9337" s="2">
        <f>IFERROR(__xludf.DUMMYFUNCTION("""COMPUTED_VALUE"""),161.14)</f>
        <v>161.14</v>
      </c>
      <c r="F9337" s="2">
        <f>IFERROR(__xludf.DUMMYFUNCTION("""COMPUTED_VALUE"""),2682181.0)</f>
        <v>2682181</v>
      </c>
    </row>
    <row r="9338">
      <c r="A9338" s="3">
        <f>IFERROR(__xludf.DUMMYFUNCTION("""COMPUTED_VALUE"""),42741.66666666667)</f>
        <v>42741.66667</v>
      </c>
      <c r="B9338" s="2">
        <f>IFERROR(__xludf.DUMMYFUNCTION("""COMPUTED_VALUE"""),161.13)</f>
        <v>161.13</v>
      </c>
      <c r="C9338" s="2">
        <f>IFERROR(__xludf.DUMMYFUNCTION("""COMPUTED_VALUE"""),162.3)</f>
        <v>162.3</v>
      </c>
      <c r="D9338" s="2">
        <f>IFERROR(__xludf.DUMMYFUNCTION("""COMPUTED_VALUE"""),160.01)</f>
        <v>160.01</v>
      </c>
      <c r="E9338" s="2">
        <f>IFERROR(__xludf.DUMMYFUNCTION("""COMPUTED_VALUE"""),161.93)</f>
        <v>161.93</v>
      </c>
      <c r="F9338" s="2">
        <f>IFERROR(__xludf.DUMMYFUNCTION("""COMPUTED_VALUE"""),2945536.0)</f>
        <v>2945536</v>
      </c>
    </row>
    <row r="9339">
      <c r="A9339" s="3">
        <f>IFERROR(__xludf.DUMMYFUNCTION("""COMPUTED_VALUE"""),42744.66666666667)</f>
        <v>42744.66667</v>
      </c>
      <c r="B9339" s="2">
        <f>IFERROR(__xludf.DUMMYFUNCTION("""COMPUTED_VALUE"""),161.87)</f>
        <v>161.87</v>
      </c>
      <c r="C9339" s="2">
        <f>IFERROR(__xludf.DUMMYFUNCTION("""COMPUTED_VALUE"""),162.19)</f>
        <v>162.19</v>
      </c>
      <c r="D9339" s="2">
        <f>IFERROR(__xludf.DUMMYFUNCTION("""COMPUTED_VALUE"""),160.1)</f>
        <v>160.1</v>
      </c>
      <c r="E9339" s="2">
        <f>IFERROR(__xludf.DUMMYFUNCTION("""COMPUTED_VALUE"""),160.13)</f>
        <v>160.13</v>
      </c>
      <c r="F9339" s="2">
        <f>IFERROR(__xludf.DUMMYFUNCTION("""COMPUTED_VALUE"""),3189413.0)</f>
        <v>3189413</v>
      </c>
    </row>
    <row r="9340">
      <c r="A9340" s="3">
        <f>IFERROR(__xludf.DUMMYFUNCTION("""COMPUTED_VALUE"""),42745.66666666667)</f>
        <v>42745.66667</v>
      </c>
      <c r="B9340" s="2">
        <f>IFERROR(__xludf.DUMMYFUNCTION("""COMPUTED_VALUE"""),160.45)</f>
        <v>160.45</v>
      </c>
      <c r="C9340" s="2">
        <f>IFERROR(__xludf.DUMMYFUNCTION("""COMPUTED_VALUE"""),160.55)</f>
        <v>160.55</v>
      </c>
      <c r="D9340" s="2">
        <f>IFERROR(__xludf.DUMMYFUNCTION("""COMPUTED_VALUE"""),157.93)</f>
        <v>157.93</v>
      </c>
      <c r="E9340" s="2">
        <f>IFERROR(__xludf.DUMMYFUNCTION("""COMPUTED_VALUE"""),158.1)</f>
        <v>158.1</v>
      </c>
      <c r="F9340" s="2">
        <f>IFERROR(__xludf.DUMMYFUNCTION("""COMPUTED_VALUE"""),4118194.0)</f>
        <v>4118194</v>
      </c>
    </row>
    <row r="9341">
      <c r="A9341" s="3">
        <f>IFERROR(__xludf.DUMMYFUNCTION("""COMPUTED_VALUE"""),42746.66666666667)</f>
        <v>42746.66667</v>
      </c>
      <c r="B9341" s="2">
        <f>IFERROR(__xludf.DUMMYFUNCTION("""COMPUTED_VALUE"""),158.6)</f>
        <v>158.6</v>
      </c>
      <c r="C9341" s="2">
        <f>IFERROR(__xludf.DUMMYFUNCTION("""COMPUTED_VALUE"""),160.24)</f>
        <v>160.24</v>
      </c>
      <c r="D9341" s="2">
        <f>IFERROR(__xludf.DUMMYFUNCTION("""COMPUTED_VALUE"""),158.18)</f>
        <v>158.18</v>
      </c>
      <c r="E9341" s="2">
        <f>IFERROR(__xludf.DUMMYFUNCTION("""COMPUTED_VALUE"""),160.23)</f>
        <v>160.23</v>
      </c>
      <c r="F9341" s="2">
        <f>IFERROR(__xludf.DUMMYFUNCTION("""COMPUTED_VALUE"""),3599464.0)</f>
        <v>3599464</v>
      </c>
    </row>
    <row r="9342">
      <c r="A9342" s="3">
        <f>IFERROR(__xludf.DUMMYFUNCTION("""COMPUTED_VALUE"""),42747.66666666667)</f>
        <v>42747.66667</v>
      </c>
      <c r="B9342" s="2">
        <f>IFERROR(__xludf.DUMMYFUNCTION("""COMPUTED_VALUE"""),160.25)</f>
        <v>160.25</v>
      </c>
      <c r="C9342" s="2">
        <f>IFERROR(__xludf.DUMMYFUNCTION("""COMPUTED_VALUE"""),160.48)</f>
        <v>160.48</v>
      </c>
      <c r="D9342" s="2">
        <f>IFERROR(__xludf.DUMMYFUNCTION("""COMPUTED_VALUE"""),158.14)</f>
        <v>158.14</v>
      </c>
      <c r="E9342" s="2">
        <f>IFERROR(__xludf.DUMMYFUNCTION("""COMPUTED_VALUE"""),160.42)</f>
        <v>160.42</v>
      </c>
      <c r="F9342" s="2">
        <f>IFERROR(__xludf.DUMMYFUNCTION("""COMPUTED_VALUE"""),2927953.0)</f>
        <v>2927953</v>
      </c>
    </row>
    <row r="9343">
      <c r="A9343" s="3">
        <f>IFERROR(__xludf.DUMMYFUNCTION("""COMPUTED_VALUE"""),42748.66666666667)</f>
        <v>42748.66667</v>
      </c>
      <c r="B9343" s="2">
        <f>IFERROR(__xludf.DUMMYFUNCTION("""COMPUTED_VALUE"""),160.44)</f>
        <v>160.44</v>
      </c>
      <c r="C9343" s="2">
        <f>IFERROR(__xludf.DUMMYFUNCTION("""COMPUTED_VALUE"""),160.93)</f>
        <v>160.93</v>
      </c>
      <c r="D9343" s="2">
        <f>IFERROR(__xludf.DUMMYFUNCTION("""COMPUTED_VALUE"""),159.39)</f>
        <v>159.39</v>
      </c>
      <c r="E9343" s="2">
        <f>IFERROR(__xludf.DUMMYFUNCTION("""COMPUTED_VALUE"""),159.84)</f>
        <v>159.84</v>
      </c>
      <c r="F9343" s="2">
        <f>IFERROR(__xludf.DUMMYFUNCTION("""COMPUTED_VALUE"""),2875319.0)</f>
        <v>2875319</v>
      </c>
    </row>
    <row r="9344">
      <c r="A9344" s="3">
        <f>IFERROR(__xludf.DUMMYFUNCTION("""COMPUTED_VALUE"""),42752.66666666667)</f>
        <v>42752.66667</v>
      </c>
      <c r="B9344" s="2">
        <f>IFERROR(__xludf.DUMMYFUNCTION("""COMPUTED_VALUE"""),159.22)</f>
        <v>159.22</v>
      </c>
      <c r="C9344" s="2">
        <f>IFERROR(__xludf.DUMMYFUNCTION("""COMPUTED_VALUE"""),160.64)</f>
        <v>160.64</v>
      </c>
      <c r="D9344" s="2">
        <f>IFERROR(__xludf.DUMMYFUNCTION("""COMPUTED_VALUE"""),158.67)</f>
        <v>158.67</v>
      </c>
      <c r="E9344" s="2">
        <f>IFERROR(__xludf.DUMMYFUNCTION("""COMPUTED_VALUE"""),160.36)</f>
        <v>160.36</v>
      </c>
      <c r="F9344" s="2">
        <f>IFERROR(__xludf.DUMMYFUNCTION("""COMPUTED_VALUE"""),3315305.0)</f>
        <v>3315305</v>
      </c>
    </row>
    <row r="9345">
      <c r="A9345" s="3">
        <f>IFERROR(__xludf.DUMMYFUNCTION("""COMPUTED_VALUE"""),42753.66666666667)</f>
        <v>42753.66667</v>
      </c>
      <c r="B9345" s="2">
        <f>IFERROR(__xludf.DUMMYFUNCTION("""COMPUTED_VALUE"""),159.94)</f>
        <v>159.94</v>
      </c>
      <c r="C9345" s="2">
        <f>IFERROR(__xludf.DUMMYFUNCTION("""COMPUTED_VALUE"""),161.03)</f>
        <v>161.03</v>
      </c>
      <c r="D9345" s="2">
        <f>IFERROR(__xludf.DUMMYFUNCTION("""COMPUTED_VALUE"""),159.22)</f>
        <v>159.22</v>
      </c>
      <c r="E9345" s="2">
        <f>IFERROR(__xludf.DUMMYFUNCTION("""COMPUTED_VALUE"""),159.32)</f>
        <v>159.32</v>
      </c>
      <c r="F9345" s="2">
        <f>IFERROR(__xludf.DUMMYFUNCTION("""COMPUTED_VALUE"""),4005776.0)</f>
        <v>4005776</v>
      </c>
    </row>
    <row r="9346">
      <c r="A9346" s="3">
        <f>IFERROR(__xludf.DUMMYFUNCTION("""COMPUTED_VALUE"""),42754.66666666667)</f>
        <v>42754.66667</v>
      </c>
      <c r="B9346" s="2">
        <f>IFERROR(__xludf.DUMMYFUNCTION("""COMPUTED_VALUE"""),159.47)</f>
        <v>159.47</v>
      </c>
      <c r="C9346" s="2">
        <f>IFERROR(__xludf.DUMMYFUNCTION("""COMPUTED_VALUE"""),159.94)</f>
        <v>159.94</v>
      </c>
      <c r="D9346" s="2">
        <f>IFERROR(__xludf.DUMMYFUNCTION("""COMPUTED_VALUE"""),158.37)</f>
        <v>158.37</v>
      </c>
      <c r="E9346" s="2">
        <f>IFERROR(__xludf.DUMMYFUNCTION("""COMPUTED_VALUE"""),159.33)</f>
        <v>159.33</v>
      </c>
      <c r="F9346" s="2">
        <f>IFERROR(__xludf.DUMMYFUNCTION("""COMPUTED_VALUE"""),6947882.0)</f>
        <v>6947882</v>
      </c>
    </row>
    <row r="9347">
      <c r="A9347" s="3">
        <f>IFERROR(__xludf.DUMMYFUNCTION("""COMPUTED_VALUE"""),42755.66666666667)</f>
        <v>42755.66667</v>
      </c>
      <c r="B9347" s="2">
        <f>IFERROR(__xludf.DUMMYFUNCTION("""COMPUTED_VALUE"""),160.29)</f>
        <v>160.29</v>
      </c>
      <c r="C9347" s="2">
        <f>IFERROR(__xludf.DUMMYFUNCTION("""COMPUTED_VALUE"""),162.99)</f>
        <v>162.99</v>
      </c>
      <c r="D9347" s="2">
        <f>IFERROR(__xludf.DUMMYFUNCTION("""COMPUTED_VALUE"""),158.56)</f>
        <v>158.56</v>
      </c>
      <c r="E9347" s="2">
        <f>IFERROR(__xludf.DUMMYFUNCTION("""COMPUTED_VALUE"""),162.9)</f>
        <v>162.9</v>
      </c>
      <c r="F9347" s="2">
        <f>IFERROR(__xludf.DUMMYFUNCTION("""COMPUTED_VALUE"""),1.2607197E7)</f>
        <v>12607197</v>
      </c>
    </row>
    <row r="9348">
      <c r="A9348" s="3">
        <f>IFERROR(__xludf.DUMMYFUNCTION("""COMPUTED_VALUE"""),42758.66666666667)</f>
        <v>42758.66667</v>
      </c>
      <c r="B9348" s="2">
        <f>IFERROR(__xludf.DUMMYFUNCTION("""COMPUTED_VALUE"""),162.45)</f>
        <v>162.45</v>
      </c>
      <c r="C9348" s="2">
        <f>IFERROR(__xludf.DUMMYFUNCTION("""COMPUTED_VALUE"""),163.57)</f>
        <v>163.57</v>
      </c>
      <c r="D9348" s="2">
        <f>IFERROR(__xludf.DUMMYFUNCTION("""COMPUTED_VALUE"""),162.39)</f>
        <v>162.39</v>
      </c>
      <c r="E9348" s="2">
        <f>IFERROR(__xludf.DUMMYFUNCTION("""COMPUTED_VALUE"""),163.36)</f>
        <v>163.36</v>
      </c>
      <c r="F9348" s="2">
        <f>IFERROR(__xludf.DUMMYFUNCTION("""COMPUTED_VALUE"""),5477519.0)</f>
        <v>5477519</v>
      </c>
    </row>
    <row r="9349">
      <c r="A9349" s="3">
        <f>IFERROR(__xludf.DUMMYFUNCTION("""COMPUTED_VALUE"""),42759.66666666667)</f>
        <v>42759.66667</v>
      </c>
      <c r="B9349" s="2">
        <f>IFERROR(__xludf.DUMMYFUNCTION("""COMPUTED_VALUE"""),163.68)</f>
        <v>163.68</v>
      </c>
      <c r="C9349" s="2">
        <f>IFERROR(__xludf.DUMMYFUNCTION("""COMPUTED_VALUE"""),168.11)</f>
        <v>168.11</v>
      </c>
      <c r="D9349" s="2">
        <f>IFERROR(__xludf.DUMMYFUNCTION("""COMPUTED_VALUE"""),163.49)</f>
        <v>163.49</v>
      </c>
      <c r="E9349" s="2">
        <f>IFERROR(__xludf.DUMMYFUNCTION("""COMPUTED_VALUE"""),168.01)</f>
        <v>168.01</v>
      </c>
      <c r="F9349" s="2">
        <f>IFERROR(__xludf.DUMMYFUNCTION("""COMPUTED_VALUE"""),6951386.0)</f>
        <v>6951386</v>
      </c>
    </row>
    <row r="9350">
      <c r="A9350" s="3">
        <f>IFERROR(__xludf.DUMMYFUNCTION("""COMPUTED_VALUE"""),42760.66666666667)</f>
        <v>42760.66667</v>
      </c>
      <c r="B9350" s="2">
        <f>IFERROR(__xludf.DUMMYFUNCTION("""COMPUTED_VALUE"""),168.36)</f>
        <v>168.36</v>
      </c>
      <c r="C9350" s="2">
        <f>IFERROR(__xludf.DUMMYFUNCTION("""COMPUTED_VALUE"""),171.21)</f>
        <v>171.21</v>
      </c>
      <c r="D9350" s="2">
        <f>IFERROR(__xludf.DUMMYFUNCTION("""COMPUTED_VALUE"""),168.23)</f>
        <v>168.23</v>
      </c>
      <c r="E9350" s="2">
        <f>IFERROR(__xludf.DUMMYFUNCTION("""COMPUTED_VALUE"""),170.3)</f>
        <v>170.3</v>
      </c>
      <c r="F9350" s="2">
        <f>IFERROR(__xludf.DUMMYFUNCTION("""COMPUTED_VALUE"""),5922462.0)</f>
        <v>5922462</v>
      </c>
    </row>
    <row r="9351">
      <c r="A9351" s="3">
        <f>IFERROR(__xludf.DUMMYFUNCTION("""COMPUTED_VALUE"""),42761.66666666667)</f>
        <v>42761.66667</v>
      </c>
      <c r="B9351" s="2">
        <f>IFERROR(__xludf.DUMMYFUNCTION("""COMPUTED_VALUE"""),170.08)</f>
        <v>170.08</v>
      </c>
      <c r="C9351" s="2">
        <f>IFERROR(__xludf.DUMMYFUNCTION("""COMPUTED_VALUE"""),170.86)</f>
        <v>170.86</v>
      </c>
      <c r="D9351" s="2">
        <f>IFERROR(__xludf.DUMMYFUNCTION("""COMPUTED_VALUE"""),169.55)</f>
        <v>169.55</v>
      </c>
      <c r="E9351" s="2">
        <f>IFERROR(__xludf.DUMMYFUNCTION("""COMPUTED_VALUE"""),170.65)</f>
        <v>170.65</v>
      </c>
      <c r="F9351" s="2">
        <f>IFERROR(__xludf.DUMMYFUNCTION("""COMPUTED_VALUE"""),3063924.0)</f>
        <v>3063924</v>
      </c>
    </row>
    <row r="9352">
      <c r="A9352" s="3">
        <f>IFERROR(__xludf.DUMMYFUNCTION("""COMPUTED_VALUE"""),42762.66666666667)</f>
        <v>42762.66667</v>
      </c>
      <c r="B9352" s="2">
        <f>IFERROR(__xludf.DUMMYFUNCTION("""COMPUTED_VALUE"""),170.47)</f>
        <v>170.47</v>
      </c>
      <c r="C9352" s="2">
        <f>IFERROR(__xludf.DUMMYFUNCTION("""COMPUTED_VALUE"""),171.17)</f>
        <v>171.17</v>
      </c>
      <c r="D9352" s="2">
        <f>IFERROR(__xludf.DUMMYFUNCTION("""COMPUTED_VALUE"""),169.35)</f>
        <v>169.35</v>
      </c>
      <c r="E9352" s="2">
        <f>IFERROR(__xludf.DUMMYFUNCTION("""COMPUTED_VALUE"""),169.35)</f>
        <v>169.35</v>
      </c>
      <c r="F9352" s="2">
        <f>IFERROR(__xludf.DUMMYFUNCTION("""COMPUTED_VALUE"""),3482110.0)</f>
        <v>3482110</v>
      </c>
    </row>
    <row r="9353">
      <c r="A9353" s="3">
        <f>IFERROR(__xludf.DUMMYFUNCTION("""COMPUTED_VALUE"""),42765.66666666667)</f>
        <v>42765.66667</v>
      </c>
      <c r="B9353" s="2">
        <f>IFERROR(__xludf.DUMMYFUNCTION("""COMPUTED_VALUE"""),169.04)</f>
        <v>169.04</v>
      </c>
      <c r="C9353" s="2">
        <f>IFERROR(__xludf.DUMMYFUNCTION("""COMPUTED_VALUE"""),169.13)</f>
        <v>169.13</v>
      </c>
      <c r="D9353" s="2">
        <f>IFERROR(__xludf.DUMMYFUNCTION("""COMPUTED_VALUE"""),166.75)</f>
        <v>166.75</v>
      </c>
      <c r="E9353" s="2">
        <f>IFERROR(__xludf.DUMMYFUNCTION("""COMPUTED_VALUE"""),167.92)</f>
        <v>167.92</v>
      </c>
      <c r="F9353" s="2">
        <f>IFERROR(__xludf.DUMMYFUNCTION("""COMPUTED_VALUE"""),4093755.0)</f>
        <v>4093755</v>
      </c>
    </row>
    <row r="9354">
      <c r="A9354" s="3">
        <f>IFERROR(__xludf.DUMMYFUNCTION("""COMPUTED_VALUE"""),42766.66666666667)</f>
        <v>42766.66667</v>
      </c>
      <c r="B9354" s="2">
        <f>IFERROR(__xludf.DUMMYFUNCTION("""COMPUTED_VALUE"""),167.2)</f>
        <v>167.2</v>
      </c>
      <c r="C9354" s="2">
        <f>IFERROR(__xludf.DUMMYFUNCTION("""COMPUTED_VALUE"""),167.71)</f>
        <v>167.71</v>
      </c>
      <c r="D9354" s="2">
        <f>IFERROR(__xludf.DUMMYFUNCTION("""COMPUTED_VALUE"""),165.83)</f>
        <v>165.83</v>
      </c>
      <c r="E9354" s="2">
        <f>IFERROR(__xludf.DUMMYFUNCTION("""COMPUTED_VALUE"""),166.7)</f>
        <v>166.7</v>
      </c>
      <c r="F9354" s="2">
        <f>IFERROR(__xludf.DUMMYFUNCTION("""COMPUTED_VALUE"""),4134574.0)</f>
        <v>4134574</v>
      </c>
    </row>
    <row r="9355">
      <c r="A9355" s="3">
        <f>IFERROR(__xludf.DUMMYFUNCTION("""COMPUTED_VALUE"""),42767.66666666667)</f>
        <v>42767.66667</v>
      </c>
      <c r="B9355" s="2">
        <f>IFERROR(__xludf.DUMMYFUNCTION("""COMPUTED_VALUE"""),167.15)</f>
        <v>167.15</v>
      </c>
      <c r="C9355" s="2">
        <f>IFERROR(__xludf.DUMMYFUNCTION("""COMPUTED_VALUE"""),167.82)</f>
        <v>167.82</v>
      </c>
      <c r="D9355" s="2">
        <f>IFERROR(__xludf.DUMMYFUNCTION("""COMPUTED_VALUE"""),165.14)</f>
        <v>165.14</v>
      </c>
      <c r="E9355" s="2">
        <f>IFERROR(__xludf.DUMMYFUNCTION("""COMPUTED_VALUE"""),166.48)</f>
        <v>166.48</v>
      </c>
      <c r="F9355" s="2">
        <f>IFERROR(__xludf.DUMMYFUNCTION("""COMPUTED_VALUE"""),2795445.0)</f>
        <v>2795445</v>
      </c>
    </row>
    <row r="9356">
      <c r="A9356" s="3">
        <f>IFERROR(__xludf.DUMMYFUNCTION("""COMPUTED_VALUE"""),42768.66666666667)</f>
        <v>42768.66667</v>
      </c>
      <c r="B9356" s="2">
        <f>IFERROR(__xludf.DUMMYFUNCTION("""COMPUTED_VALUE"""),166.42)</f>
        <v>166.42</v>
      </c>
      <c r="C9356" s="2">
        <f>IFERROR(__xludf.DUMMYFUNCTION("""COMPUTED_VALUE"""),167.13)</f>
        <v>167.13</v>
      </c>
      <c r="D9356" s="2">
        <f>IFERROR(__xludf.DUMMYFUNCTION("""COMPUTED_VALUE"""),165.77)</f>
        <v>165.77</v>
      </c>
      <c r="E9356" s="2">
        <f>IFERROR(__xludf.DUMMYFUNCTION("""COMPUTED_VALUE"""),166.75)</f>
        <v>166.75</v>
      </c>
      <c r="F9356" s="2">
        <f>IFERROR(__xludf.DUMMYFUNCTION("""COMPUTED_VALUE"""),2620386.0)</f>
        <v>2620386</v>
      </c>
    </row>
    <row r="9357">
      <c r="A9357" s="3">
        <f>IFERROR(__xludf.DUMMYFUNCTION("""COMPUTED_VALUE"""),42769.66666666667)</f>
        <v>42769.66667</v>
      </c>
      <c r="B9357" s="2">
        <f>IFERROR(__xludf.DUMMYFUNCTION("""COMPUTED_VALUE"""),167.15)</f>
        <v>167.15</v>
      </c>
      <c r="C9357" s="2">
        <f>IFERROR(__xludf.DUMMYFUNCTION("""COMPUTED_VALUE"""),168.43)</f>
        <v>168.43</v>
      </c>
      <c r="D9357" s="2">
        <f>IFERROR(__xludf.DUMMYFUNCTION("""COMPUTED_VALUE"""),167.05)</f>
        <v>167.05</v>
      </c>
      <c r="E9357" s="2">
        <f>IFERROR(__xludf.DUMMYFUNCTION("""COMPUTED_VALUE"""),167.94)</f>
        <v>167.94</v>
      </c>
      <c r="F9357" s="2">
        <f>IFERROR(__xludf.DUMMYFUNCTION("""COMPUTED_VALUE"""),3309258.0)</f>
        <v>3309258</v>
      </c>
    </row>
    <row r="9358">
      <c r="A9358" s="3">
        <f>IFERROR(__xludf.DUMMYFUNCTION("""COMPUTED_VALUE"""),42772.66666666667)</f>
        <v>42772.66667</v>
      </c>
      <c r="B9358" s="2">
        <f>IFERROR(__xludf.DUMMYFUNCTION("""COMPUTED_VALUE"""),167.45)</f>
        <v>167.45</v>
      </c>
      <c r="C9358" s="2">
        <f>IFERROR(__xludf.DUMMYFUNCTION("""COMPUTED_VALUE"""),168.09)</f>
        <v>168.09</v>
      </c>
      <c r="D9358" s="2">
        <f>IFERROR(__xludf.DUMMYFUNCTION("""COMPUTED_VALUE"""),166.56)</f>
        <v>166.56</v>
      </c>
      <c r="E9358" s="2">
        <f>IFERROR(__xludf.DUMMYFUNCTION("""COMPUTED_VALUE"""),167.98)</f>
        <v>167.98</v>
      </c>
      <c r="F9358" s="2">
        <f>IFERROR(__xludf.DUMMYFUNCTION("""COMPUTED_VALUE"""),2650535.0)</f>
        <v>2650535</v>
      </c>
    </row>
    <row r="9359">
      <c r="A9359" s="3">
        <f>IFERROR(__xludf.DUMMYFUNCTION("""COMPUTED_VALUE"""),42773.66666666667)</f>
        <v>42773.66667</v>
      </c>
      <c r="B9359" s="2">
        <f>IFERROR(__xludf.DUMMYFUNCTION("""COMPUTED_VALUE"""),168.11)</f>
        <v>168.11</v>
      </c>
      <c r="C9359" s="2">
        <f>IFERROR(__xludf.DUMMYFUNCTION("""COMPUTED_VALUE"""),170.61)</f>
        <v>170.61</v>
      </c>
      <c r="D9359" s="2">
        <f>IFERROR(__xludf.DUMMYFUNCTION("""COMPUTED_VALUE"""),168.01)</f>
        <v>168.01</v>
      </c>
      <c r="E9359" s="2">
        <f>IFERROR(__xludf.DUMMYFUNCTION("""COMPUTED_VALUE"""),170.46)</f>
        <v>170.46</v>
      </c>
      <c r="F9359" s="2">
        <f>IFERROR(__xludf.DUMMYFUNCTION("""COMPUTED_VALUE"""),3873250.0)</f>
        <v>3873250</v>
      </c>
    </row>
    <row r="9360">
      <c r="A9360" s="3">
        <f>IFERROR(__xludf.DUMMYFUNCTION("""COMPUTED_VALUE"""),42774.66666666667)</f>
        <v>42774.66667</v>
      </c>
      <c r="B9360" s="2">
        <f>IFERROR(__xludf.DUMMYFUNCTION("""COMPUTED_VALUE"""),169.54)</f>
        <v>169.54</v>
      </c>
      <c r="C9360" s="2">
        <f>IFERROR(__xludf.DUMMYFUNCTION("""COMPUTED_VALUE"""),169.54)</f>
        <v>169.54</v>
      </c>
      <c r="D9360" s="2">
        <f>IFERROR(__xludf.DUMMYFUNCTION("""COMPUTED_VALUE"""),167.99)</f>
        <v>167.99</v>
      </c>
      <c r="E9360" s="2">
        <f>IFERROR(__xludf.DUMMYFUNCTION("""COMPUTED_VALUE"""),168.27)</f>
        <v>168.27</v>
      </c>
      <c r="F9360" s="2">
        <f>IFERROR(__xludf.DUMMYFUNCTION("""COMPUTED_VALUE"""),2913126.0)</f>
        <v>2913126</v>
      </c>
    </row>
    <row r="9361">
      <c r="A9361" s="3">
        <f>IFERROR(__xludf.DUMMYFUNCTION("""COMPUTED_VALUE"""),42775.66666666667)</f>
        <v>42775.66667</v>
      </c>
      <c r="B9361" s="2">
        <f>IFERROR(__xludf.DUMMYFUNCTION("""COMPUTED_VALUE"""),168.27)</f>
        <v>168.27</v>
      </c>
      <c r="C9361" s="2">
        <f>IFERROR(__xludf.DUMMYFUNCTION("""COMPUTED_VALUE"""),169.83)</f>
        <v>169.83</v>
      </c>
      <c r="D9361" s="2">
        <f>IFERROR(__xludf.DUMMYFUNCTION("""COMPUTED_VALUE"""),168.02)</f>
        <v>168.02</v>
      </c>
      <c r="E9361" s="2">
        <f>IFERROR(__xludf.DUMMYFUNCTION("""COMPUTED_VALUE"""),169.26)</f>
        <v>169.26</v>
      </c>
      <c r="F9361" s="2">
        <f>IFERROR(__xludf.DUMMYFUNCTION("""COMPUTED_VALUE"""),3090710.0)</f>
        <v>3090710</v>
      </c>
    </row>
    <row r="9362">
      <c r="A9362" s="3">
        <f>IFERROR(__xludf.DUMMYFUNCTION("""COMPUTED_VALUE"""),42776.66666666667)</f>
        <v>42776.66667</v>
      </c>
      <c r="B9362" s="2">
        <f>IFERROR(__xludf.DUMMYFUNCTION("""COMPUTED_VALUE"""),169.42)</f>
        <v>169.42</v>
      </c>
      <c r="C9362" s="2">
        <f>IFERROR(__xludf.DUMMYFUNCTION("""COMPUTED_VALUE"""),170.85)</f>
        <v>170.85</v>
      </c>
      <c r="D9362" s="2">
        <f>IFERROR(__xludf.DUMMYFUNCTION("""COMPUTED_VALUE"""),168.83)</f>
        <v>168.83</v>
      </c>
      <c r="E9362" s="2">
        <f>IFERROR(__xludf.DUMMYFUNCTION("""COMPUTED_VALUE"""),170.67)</f>
        <v>170.67</v>
      </c>
      <c r="F9362" s="2">
        <f>IFERROR(__xludf.DUMMYFUNCTION("""COMPUTED_VALUE"""),2930510.0)</f>
        <v>2930510</v>
      </c>
    </row>
    <row r="9363">
      <c r="A9363" s="3">
        <f>IFERROR(__xludf.DUMMYFUNCTION("""COMPUTED_VALUE"""),42779.66666666667)</f>
        <v>42779.66667</v>
      </c>
      <c r="B9363" s="2">
        <f>IFERROR(__xludf.DUMMYFUNCTION("""COMPUTED_VALUE"""),171.2)</f>
        <v>171.2</v>
      </c>
      <c r="C9363" s="2">
        <f>IFERROR(__xludf.DUMMYFUNCTION("""COMPUTED_VALUE"""),171.83)</f>
        <v>171.83</v>
      </c>
      <c r="D9363" s="2">
        <f>IFERROR(__xludf.DUMMYFUNCTION("""COMPUTED_VALUE"""),170.82)</f>
        <v>170.82</v>
      </c>
      <c r="E9363" s="2">
        <f>IFERROR(__xludf.DUMMYFUNCTION("""COMPUTED_VALUE"""),171.32)</f>
        <v>171.32</v>
      </c>
      <c r="F9363" s="2">
        <f>IFERROR(__xludf.DUMMYFUNCTION("""COMPUTED_VALUE"""),3093261.0)</f>
        <v>3093261</v>
      </c>
    </row>
    <row r="9364">
      <c r="A9364" s="3">
        <f>IFERROR(__xludf.DUMMYFUNCTION("""COMPUTED_VALUE"""),42780.66666666667)</f>
        <v>42780.66667</v>
      </c>
      <c r="B9364" s="2">
        <f>IFERROR(__xludf.DUMMYFUNCTION("""COMPUTED_VALUE"""),170.56)</f>
        <v>170.56</v>
      </c>
      <c r="C9364" s="2">
        <f>IFERROR(__xludf.DUMMYFUNCTION("""COMPUTED_VALUE"""),172.05)</f>
        <v>172.05</v>
      </c>
      <c r="D9364" s="2">
        <f>IFERROR(__xludf.DUMMYFUNCTION("""COMPUTED_VALUE"""),170.35)</f>
        <v>170.35</v>
      </c>
      <c r="E9364" s="2">
        <f>IFERROR(__xludf.DUMMYFUNCTION("""COMPUTED_VALUE"""),172.05)</f>
        <v>172.05</v>
      </c>
      <c r="F9364" s="2">
        <f>IFERROR(__xludf.DUMMYFUNCTION("""COMPUTED_VALUE"""),2775858.0)</f>
        <v>2775858</v>
      </c>
    </row>
    <row r="9365">
      <c r="A9365" s="3">
        <f>IFERROR(__xludf.DUMMYFUNCTION("""COMPUTED_VALUE"""),42781.66666666667)</f>
        <v>42781.66667</v>
      </c>
      <c r="B9365" s="2">
        <f>IFERROR(__xludf.DUMMYFUNCTION("""COMPUTED_VALUE"""),172.12)</f>
        <v>172.12</v>
      </c>
      <c r="C9365" s="2">
        <f>IFERROR(__xludf.DUMMYFUNCTION("""COMPUTED_VALUE"""),173.76)</f>
        <v>173.76</v>
      </c>
      <c r="D9365" s="2">
        <f>IFERROR(__xludf.DUMMYFUNCTION("""COMPUTED_VALUE"""),171.75)</f>
        <v>171.75</v>
      </c>
      <c r="E9365" s="2">
        <f>IFERROR(__xludf.DUMMYFUNCTION("""COMPUTED_VALUE"""),173.53)</f>
        <v>173.53</v>
      </c>
      <c r="F9365" s="2">
        <f>IFERROR(__xludf.DUMMYFUNCTION("""COMPUTED_VALUE"""),2914240.0)</f>
        <v>2914240</v>
      </c>
    </row>
    <row r="9366">
      <c r="A9366" s="3">
        <f>IFERROR(__xludf.DUMMYFUNCTION("""COMPUTED_VALUE"""),42782.66666666667)</f>
        <v>42782.66667</v>
      </c>
      <c r="B9366" s="2">
        <f>IFERROR(__xludf.DUMMYFUNCTION("""COMPUTED_VALUE"""),173.31)</f>
        <v>173.31</v>
      </c>
      <c r="C9366" s="2">
        <f>IFERROR(__xludf.DUMMYFUNCTION("""COMPUTED_VALUE"""),174.59)</f>
        <v>174.59</v>
      </c>
      <c r="D9366" s="2">
        <f>IFERROR(__xludf.DUMMYFUNCTION("""COMPUTED_VALUE"""),172.76)</f>
        <v>172.76</v>
      </c>
      <c r="E9366" s="2">
        <f>IFERROR(__xludf.DUMMYFUNCTION("""COMPUTED_VALUE"""),173.3)</f>
        <v>173.3</v>
      </c>
      <c r="F9366" s="2">
        <f>IFERROR(__xludf.DUMMYFUNCTION("""COMPUTED_VALUE"""),3251547.0)</f>
        <v>3251547</v>
      </c>
    </row>
    <row r="9367">
      <c r="A9367" s="3">
        <f>IFERROR(__xludf.DUMMYFUNCTION("""COMPUTED_VALUE"""),42783.66666666667)</f>
        <v>42783.66667</v>
      </c>
      <c r="B9367" s="2">
        <f>IFERROR(__xludf.DUMMYFUNCTION("""COMPUTED_VALUE"""),173.12)</f>
        <v>173.12</v>
      </c>
      <c r="C9367" s="2">
        <f>IFERROR(__xludf.DUMMYFUNCTION("""COMPUTED_VALUE"""),173.43)</f>
        <v>173.43</v>
      </c>
      <c r="D9367" s="2">
        <f>IFERROR(__xludf.DUMMYFUNCTION("""COMPUTED_VALUE"""),171.93)</f>
        <v>171.93</v>
      </c>
      <c r="E9367" s="2">
        <f>IFERROR(__xludf.DUMMYFUNCTION("""COMPUTED_VALUE"""),172.57)</f>
        <v>172.57</v>
      </c>
      <c r="F9367" s="2">
        <f>IFERROR(__xludf.DUMMYFUNCTION("""COMPUTED_VALUE"""),3552305.0)</f>
        <v>3552305</v>
      </c>
    </row>
    <row r="9368">
      <c r="A9368" s="3">
        <f>IFERROR(__xludf.DUMMYFUNCTION("""COMPUTED_VALUE"""),42787.66666666667)</f>
        <v>42787.66667</v>
      </c>
      <c r="B9368" s="2">
        <f>IFERROR(__xludf.DUMMYFUNCTION("""COMPUTED_VALUE"""),172.5)</f>
        <v>172.5</v>
      </c>
      <c r="C9368" s="2">
        <f>IFERROR(__xludf.DUMMYFUNCTION("""COMPUTED_VALUE"""),172.68)</f>
        <v>172.68</v>
      </c>
      <c r="D9368" s="2">
        <f>IFERROR(__xludf.DUMMYFUNCTION("""COMPUTED_VALUE"""),171.09)</f>
        <v>171.09</v>
      </c>
      <c r="E9368" s="2">
        <f>IFERROR(__xludf.DUMMYFUNCTION("""COMPUTED_VALUE"""),172.18)</f>
        <v>172.18</v>
      </c>
      <c r="F9368" s="2">
        <f>IFERROR(__xludf.DUMMYFUNCTION("""COMPUTED_VALUE"""),4480199.0)</f>
        <v>4480199</v>
      </c>
    </row>
    <row r="9369">
      <c r="A9369" s="3">
        <f>IFERROR(__xludf.DUMMYFUNCTION("""COMPUTED_VALUE"""),42788.66666666667)</f>
        <v>42788.66667</v>
      </c>
      <c r="B9369" s="2">
        <f>IFERROR(__xludf.DUMMYFUNCTION("""COMPUTED_VALUE"""),172.02)</f>
        <v>172.02</v>
      </c>
      <c r="C9369" s="2">
        <f>IFERROR(__xludf.DUMMYFUNCTION("""COMPUTED_VALUE"""),173.21)</f>
        <v>173.21</v>
      </c>
      <c r="D9369" s="2">
        <f>IFERROR(__xludf.DUMMYFUNCTION("""COMPUTED_VALUE"""),172.02)</f>
        <v>172.02</v>
      </c>
      <c r="E9369" s="2">
        <f>IFERROR(__xludf.DUMMYFUNCTION("""COMPUTED_VALUE"""),173.03)</f>
        <v>173.03</v>
      </c>
      <c r="F9369" s="2">
        <f>IFERROR(__xludf.DUMMYFUNCTION("""COMPUTED_VALUE"""),3020540.0)</f>
        <v>3020540</v>
      </c>
    </row>
    <row r="9370">
      <c r="A9370" s="3">
        <f>IFERROR(__xludf.DUMMYFUNCTION("""COMPUTED_VALUE"""),42789.66666666667)</f>
        <v>42789.66667</v>
      </c>
      <c r="B9370" s="2">
        <f>IFERROR(__xludf.DUMMYFUNCTION("""COMPUTED_VALUE"""),173.84)</f>
        <v>173.84</v>
      </c>
      <c r="C9370" s="2">
        <f>IFERROR(__xludf.DUMMYFUNCTION("""COMPUTED_VALUE"""),174.32)</f>
        <v>174.32</v>
      </c>
      <c r="D9370" s="2">
        <f>IFERROR(__xludf.DUMMYFUNCTION("""COMPUTED_VALUE"""),172.81)</f>
        <v>172.81</v>
      </c>
      <c r="E9370" s="2">
        <f>IFERROR(__xludf.DUMMYFUNCTION("""COMPUTED_VALUE"""),173.51)</f>
        <v>173.51</v>
      </c>
      <c r="F9370" s="2">
        <f>IFERROR(__xludf.DUMMYFUNCTION("""COMPUTED_VALUE"""),2282526.0)</f>
        <v>2282526</v>
      </c>
    </row>
    <row r="9371">
      <c r="A9371" s="3">
        <f>IFERROR(__xludf.DUMMYFUNCTION("""COMPUTED_VALUE"""),42790.66666666667)</f>
        <v>42790.66667</v>
      </c>
      <c r="B9371" s="2">
        <f>IFERROR(__xludf.DUMMYFUNCTION("""COMPUTED_VALUE"""),172.13)</f>
        <v>172.13</v>
      </c>
      <c r="C9371" s="2">
        <f>IFERROR(__xludf.DUMMYFUNCTION("""COMPUTED_VALUE"""),173.35)</f>
        <v>173.35</v>
      </c>
      <c r="D9371" s="2">
        <f>IFERROR(__xludf.DUMMYFUNCTION("""COMPUTED_VALUE"""),171.82)</f>
        <v>171.82</v>
      </c>
      <c r="E9371" s="2">
        <f>IFERROR(__xludf.DUMMYFUNCTION("""COMPUTED_VALUE"""),173.22)</f>
        <v>173.22</v>
      </c>
      <c r="F9371" s="2">
        <f>IFERROR(__xludf.DUMMYFUNCTION("""COMPUTED_VALUE"""),3299093.0)</f>
        <v>3299093</v>
      </c>
    </row>
    <row r="9372">
      <c r="A9372" s="3">
        <f>IFERROR(__xludf.DUMMYFUNCTION("""COMPUTED_VALUE"""),42793.66666666667)</f>
        <v>42793.66667</v>
      </c>
      <c r="B9372" s="2">
        <f>IFERROR(__xludf.DUMMYFUNCTION("""COMPUTED_VALUE"""),173.07)</f>
        <v>173.07</v>
      </c>
      <c r="C9372" s="2">
        <f>IFERROR(__xludf.DUMMYFUNCTION("""COMPUTED_VALUE"""),173.12)</f>
        <v>173.12</v>
      </c>
      <c r="D9372" s="2">
        <f>IFERROR(__xludf.DUMMYFUNCTION("""COMPUTED_VALUE"""),171.24)</f>
        <v>171.24</v>
      </c>
      <c r="E9372" s="2">
        <f>IFERROR(__xludf.DUMMYFUNCTION("""COMPUTED_VALUE"""),171.36)</f>
        <v>171.36</v>
      </c>
      <c r="F9372" s="2">
        <f>IFERROR(__xludf.DUMMYFUNCTION("""COMPUTED_VALUE"""),3691317.0)</f>
        <v>3691317</v>
      </c>
    </row>
    <row r="9373">
      <c r="A9373" s="3">
        <f>IFERROR(__xludf.DUMMYFUNCTION("""COMPUTED_VALUE"""),42794.66666666667)</f>
        <v>42794.66667</v>
      </c>
      <c r="B9373" s="2">
        <f>IFERROR(__xludf.DUMMYFUNCTION("""COMPUTED_VALUE"""),171.34)</f>
        <v>171.34</v>
      </c>
      <c r="C9373" s="2">
        <f>IFERROR(__xludf.DUMMYFUNCTION("""COMPUTED_VALUE"""),172.53)</f>
        <v>172.53</v>
      </c>
      <c r="D9373" s="2">
        <f>IFERROR(__xludf.DUMMYFUNCTION("""COMPUTED_VALUE"""),171.31)</f>
        <v>171.31</v>
      </c>
      <c r="E9373" s="2">
        <f>IFERROR(__xludf.DUMMYFUNCTION("""COMPUTED_VALUE"""),171.76)</f>
        <v>171.76</v>
      </c>
      <c r="F9373" s="2">
        <f>IFERROR(__xludf.DUMMYFUNCTION("""COMPUTED_VALUE"""),3273420.0)</f>
        <v>3273420</v>
      </c>
    </row>
    <row r="9374">
      <c r="A9374" s="3">
        <f>IFERROR(__xludf.DUMMYFUNCTION("""COMPUTED_VALUE"""),42795.66666666667)</f>
        <v>42795.66667</v>
      </c>
      <c r="B9374" s="2">
        <f>IFERROR(__xludf.DUMMYFUNCTION("""COMPUTED_VALUE"""),172.39)</f>
        <v>172.39</v>
      </c>
      <c r="C9374" s="2">
        <f>IFERROR(__xludf.DUMMYFUNCTION("""COMPUTED_VALUE"""),174.37)</f>
        <v>174.37</v>
      </c>
      <c r="D9374" s="2">
        <f>IFERROR(__xludf.DUMMYFUNCTION("""COMPUTED_VALUE"""),171.96)</f>
        <v>171.96</v>
      </c>
      <c r="E9374" s="2">
        <f>IFERROR(__xludf.DUMMYFUNCTION("""COMPUTED_VALUE"""),173.79)</f>
        <v>173.79</v>
      </c>
      <c r="F9374" s="2">
        <f>IFERROR(__xludf.DUMMYFUNCTION("""COMPUTED_VALUE"""),3005248.0)</f>
        <v>3005248</v>
      </c>
    </row>
    <row r="9375">
      <c r="A9375" s="3">
        <f>IFERROR(__xludf.DUMMYFUNCTION("""COMPUTED_VALUE"""),42796.66666666667)</f>
        <v>42796.66667</v>
      </c>
      <c r="B9375" s="2">
        <f>IFERROR(__xludf.DUMMYFUNCTION("""COMPUTED_VALUE"""),173.73)</f>
        <v>173.73</v>
      </c>
      <c r="C9375" s="2">
        <f>IFERROR(__xludf.DUMMYFUNCTION("""COMPUTED_VALUE"""),173.73)</f>
        <v>173.73</v>
      </c>
      <c r="D9375" s="2">
        <f>IFERROR(__xludf.DUMMYFUNCTION("""COMPUTED_VALUE"""),172.34)</f>
        <v>172.34</v>
      </c>
      <c r="E9375" s="2">
        <f>IFERROR(__xludf.DUMMYFUNCTION("""COMPUTED_VALUE"""),172.44)</f>
        <v>172.44</v>
      </c>
      <c r="F9375" s="2">
        <f>IFERROR(__xludf.DUMMYFUNCTION("""COMPUTED_VALUE"""),2918153.0)</f>
        <v>2918153</v>
      </c>
    </row>
    <row r="9376">
      <c r="A9376" s="3">
        <f>IFERROR(__xludf.DUMMYFUNCTION("""COMPUTED_VALUE"""),42797.66666666667)</f>
        <v>42797.66667</v>
      </c>
      <c r="B9376" s="2">
        <f>IFERROR(__xludf.DUMMYFUNCTION("""COMPUTED_VALUE"""),171.97)</f>
        <v>171.97</v>
      </c>
      <c r="C9376" s="2">
        <f>IFERROR(__xludf.DUMMYFUNCTION("""COMPUTED_VALUE"""),173.19)</f>
        <v>173.19</v>
      </c>
      <c r="D9376" s="2">
        <f>IFERROR(__xludf.DUMMYFUNCTION("""COMPUTED_VALUE"""),171.7)</f>
        <v>171.7</v>
      </c>
      <c r="E9376" s="2">
        <f>IFERROR(__xludf.DUMMYFUNCTION("""COMPUTED_VALUE"""),171.98)</f>
        <v>171.98</v>
      </c>
      <c r="F9376" s="2">
        <f>IFERROR(__xludf.DUMMYFUNCTION("""COMPUTED_VALUE"""),1825013.0)</f>
        <v>1825013</v>
      </c>
    </row>
    <row r="9377">
      <c r="A9377" s="3">
        <f>IFERROR(__xludf.DUMMYFUNCTION("""COMPUTED_VALUE"""),42800.66666666667)</f>
        <v>42800.66667</v>
      </c>
      <c r="B9377" s="2">
        <f>IFERROR(__xludf.DUMMYFUNCTION("""COMPUTED_VALUE"""),171.66)</f>
        <v>171.66</v>
      </c>
      <c r="C9377" s="2">
        <f>IFERROR(__xludf.DUMMYFUNCTION("""COMPUTED_VALUE"""),172.88)</f>
        <v>172.88</v>
      </c>
      <c r="D9377" s="2">
        <f>IFERROR(__xludf.DUMMYFUNCTION("""COMPUTED_VALUE"""),171.52)</f>
        <v>171.52</v>
      </c>
      <c r="E9377" s="2">
        <f>IFERROR(__xludf.DUMMYFUNCTION("""COMPUTED_VALUE"""),172.38)</f>
        <v>172.38</v>
      </c>
      <c r="F9377" s="2">
        <f>IFERROR(__xludf.DUMMYFUNCTION("""COMPUTED_VALUE"""),3203804.0)</f>
        <v>3203804</v>
      </c>
    </row>
    <row r="9378">
      <c r="A9378" s="3">
        <f>IFERROR(__xludf.DUMMYFUNCTION("""COMPUTED_VALUE"""),42801.66666666667)</f>
        <v>42801.66667</v>
      </c>
      <c r="B9378" s="2">
        <f>IFERROR(__xludf.DUMMYFUNCTION("""COMPUTED_VALUE"""),172.61)</f>
        <v>172.61</v>
      </c>
      <c r="C9378" s="2">
        <f>IFERROR(__xludf.DUMMYFUNCTION("""COMPUTED_VALUE"""),173.16)</f>
        <v>173.16</v>
      </c>
      <c r="D9378" s="2">
        <f>IFERROR(__xludf.DUMMYFUNCTION("""COMPUTED_VALUE"""),172.12)</f>
        <v>172.12</v>
      </c>
      <c r="E9378" s="2">
        <f>IFERROR(__xludf.DUMMYFUNCTION("""COMPUTED_VALUE"""),172.29)</f>
        <v>172.29</v>
      </c>
      <c r="F9378" s="2">
        <f>IFERROR(__xludf.DUMMYFUNCTION("""COMPUTED_VALUE"""),2977626.0)</f>
        <v>2977626</v>
      </c>
    </row>
    <row r="9379">
      <c r="A9379" s="3">
        <f>IFERROR(__xludf.DUMMYFUNCTION("""COMPUTED_VALUE"""),42802.66666666667)</f>
        <v>42802.66667</v>
      </c>
      <c r="B9379" s="2">
        <f>IFERROR(__xludf.DUMMYFUNCTION("""COMPUTED_VALUE"""),172.65)</f>
        <v>172.65</v>
      </c>
      <c r="C9379" s="2">
        <f>IFERROR(__xludf.DUMMYFUNCTION("""COMPUTED_VALUE"""),172.84)</f>
        <v>172.84</v>
      </c>
      <c r="D9379" s="2">
        <f>IFERROR(__xludf.DUMMYFUNCTION("""COMPUTED_VALUE"""),171.26)</f>
        <v>171.26</v>
      </c>
      <c r="E9379" s="2">
        <f>IFERROR(__xludf.DUMMYFUNCTION("""COMPUTED_VALUE"""),171.4)</f>
        <v>171.4</v>
      </c>
      <c r="F9379" s="2">
        <f>IFERROR(__xludf.DUMMYFUNCTION("""COMPUTED_VALUE"""),3557396.0)</f>
        <v>3557396</v>
      </c>
    </row>
    <row r="9380">
      <c r="A9380" s="3">
        <f>IFERROR(__xludf.DUMMYFUNCTION("""COMPUTED_VALUE"""),42803.66666666667)</f>
        <v>42803.66667</v>
      </c>
      <c r="B9380" s="2">
        <f>IFERROR(__xludf.DUMMYFUNCTION("""COMPUTED_VALUE"""),171.12)</f>
        <v>171.12</v>
      </c>
      <c r="C9380" s="2">
        <f>IFERROR(__xludf.DUMMYFUNCTION("""COMPUTED_VALUE"""),171.21)</f>
        <v>171.21</v>
      </c>
      <c r="D9380" s="2">
        <f>IFERROR(__xludf.DUMMYFUNCTION("""COMPUTED_VALUE"""),167.99)</f>
        <v>167.99</v>
      </c>
      <c r="E9380" s="2">
        <f>IFERROR(__xludf.DUMMYFUNCTION("""COMPUTED_VALUE"""),169.24)</f>
        <v>169.24</v>
      </c>
      <c r="F9380" s="2">
        <f>IFERROR(__xludf.DUMMYFUNCTION("""COMPUTED_VALUE"""),5443882.0)</f>
        <v>5443882</v>
      </c>
    </row>
    <row r="9381">
      <c r="A9381" s="3">
        <f>IFERROR(__xludf.DUMMYFUNCTION("""COMPUTED_VALUE"""),42804.66666666667)</f>
        <v>42804.66667</v>
      </c>
      <c r="B9381" s="2">
        <f>IFERROR(__xludf.DUMMYFUNCTION("""COMPUTED_VALUE"""),170.22)</f>
        <v>170.22</v>
      </c>
      <c r="C9381" s="2">
        <f>IFERROR(__xludf.DUMMYFUNCTION("""COMPUTED_VALUE"""),171.44)</f>
        <v>171.44</v>
      </c>
      <c r="D9381" s="2">
        <f>IFERROR(__xludf.DUMMYFUNCTION("""COMPUTED_VALUE"""),169.47)</f>
        <v>169.47</v>
      </c>
      <c r="E9381" s="2">
        <f>IFERROR(__xludf.DUMMYFUNCTION("""COMPUTED_VALUE"""),169.86)</f>
        <v>169.86</v>
      </c>
      <c r="F9381" s="2">
        <f>IFERROR(__xludf.DUMMYFUNCTION("""COMPUTED_VALUE"""),3100316.0)</f>
        <v>3100316</v>
      </c>
    </row>
    <row r="9382">
      <c r="A9382" s="3">
        <f>IFERROR(__xludf.DUMMYFUNCTION("""COMPUTED_VALUE"""),42807.66666666667)</f>
        <v>42807.66667</v>
      </c>
      <c r="B9382" s="2">
        <f>IFERROR(__xludf.DUMMYFUNCTION("""COMPUTED_VALUE"""),169.88)</f>
        <v>169.88</v>
      </c>
      <c r="C9382" s="2">
        <f>IFERROR(__xludf.DUMMYFUNCTION("""COMPUTED_VALUE"""),170.08)</f>
        <v>170.08</v>
      </c>
      <c r="D9382" s="2">
        <f>IFERROR(__xludf.DUMMYFUNCTION("""COMPUTED_VALUE"""),168.51)</f>
        <v>168.51</v>
      </c>
      <c r="E9382" s="2">
        <f>IFERROR(__xludf.DUMMYFUNCTION("""COMPUTED_VALUE"""),168.55)</f>
        <v>168.55</v>
      </c>
      <c r="F9382" s="2">
        <f>IFERROR(__xludf.DUMMYFUNCTION("""COMPUTED_VALUE"""),3482189.0)</f>
        <v>3482189</v>
      </c>
    </row>
    <row r="9383">
      <c r="A9383" s="3">
        <f>IFERROR(__xludf.DUMMYFUNCTION("""COMPUTED_VALUE"""),42808.66666666667)</f>
        <v>42808.66667</v>
      </c>
      <c r="B9383" s="2">
        <f>IFERROR(__xludf.DUMMYFUNCTION("""COMPUTED_VALUE"""),168.28)</f>
        <v>168.28</v>
      </c>
      <c r="C9383" s="2">
        <f>IFERROR(__xludf.DUMMYFUNCTION("""COMPUTED_VALUE"""),168.89)</f>
        <v>168.89</v>
      </c>
      <c r="D9383" s="2">
        <f>IFERROR(__xludf.DUMMYFUNCTION("""COMPUTED_VALUE"""),167.36)</f>
        <v>167.36</v>
      </c>
      <c r="E9383" s="2">
        <f>IFERROR(__xludf.DUMMYFUNCTION("""COMPUTED_VALUE"""),167.84)</f>
        <v>167.84</v>
      </c>
      <c r="F9383" s="2">
        <f>IFERROR(__xludf.DUMMYFUNCTION("""COMPUTED_VALUE"""),3147497.0)</f>
        <v>3147497</v>
      </c>
    </row>
    <row r="9384">
      <c r="A9384" s="3">
        <f>IFERROR(__xludf.DUMMYFUNCTION("""COMPUTED_VALUE"""),42809.66666666667)</f>
        <v>42809.66667</v>
      </c>
      <c r="B9384" s="2">
        <f>IFERROR(__xludf.DUMMYFUNCTION("""COMPUTED_VALUE"""),167.83)</f>
        <v>167.83</v>
      </c>
      <c r="C9384" s="2">
        <f>IFERROR(__xludf.DUMMYFUNCTION("""COMPUTED_VALUE"""),168.38)</f>
        <v>168.38</v>
      </c>
      <c r="D9384" s="2">
        <f>IFERROR(__xludf.DUMMYFUNCTION("""COMPUTED_VALUE"""),166.91)</f>
        <v>166.91</v>
      </c>
      <c r="E9384" s="2">
        <f>IFERROR(__xludf.DUMMYFUNCTION("""COMPUTED_VALUE"""),167.93)</f>
        <v>167.93</v>
      </c>
      <c r="F9384" s="2">
        <f>IFERROR(__xludf.DUMMYFUNCTION("""COMPUTED_VALUE"""),3813810.0)</f>
        <v>3813810</v>
      </c>
    </row>
    <row r="9385">
      <c r="A9385" s="3">
        <f>IFERROR(__xludf.DUMMYFUNCTION("""COMPUTED_VALUE"""),42810.66666666667)</f>
        <v>42810.66667</v>
      </c>
      <c r="B9385" s="2">
        <f>IFERROR(__xludf.DUMMYFUNCTION("""COMPUTED_VALUE"""),170.46)</f>
        <v>170.46</v>
      </c>
      <c r="C9385" s="2">
        <f>IFERROR(__xludf.DUMMYFUNCTION("""COMPUTED_VALUE"""),170.97)</f>
        <v>170.97</v>
      </c>
      <c r="D9385" s="2">
        <f>IFERROR(__xludf.DUMMYFUNCTION("""COMPUTED_VALUE"""),168.89)</f>
        <v>168.89</v>
      </c>
      <c r="E9385" s="2">
        <f>IFERROR(__xludf.DUMMYFUNCTION("""COMPUTED_VALUE"""),169.29)</f>
        <v>169.29</v>
      </c>
      <c r="F9385" s="2">
        <f>IFERROR(__xludf.DUMMYFUNCTION("""COMPUTED_VALUE"""),4311838.0)</f>
        <v>4311838</v>
      </c>
    </row>
    <row r="9386">
      <c r="A9386" s="3">
        <f>IFERROR(__xludf.DUMMYFUNCTION("""COMPUTED_VALUE"""),42811.66666666667)</f>
        <v>42811.66667</v>
      </c>
      <c r="B9386" s="2">
        <f>IFERROR(__xludf.DUMMYFUNCTION("""COMPUTED_VALUE"""),168.39)</f>
        <v>168.39</v>
      </c>
      <c r="C9386" s="2">
        <f>IFERROR(__xludf.DUMMYFUNCTION("""COMPUTED_VALUE"""),168.86)</f>
        <v>168.86</v>
      </c>
      <c r="D9386" s="2">
        <f>IFERROR(__xludf.DUMMYFUNCTION("""COMPUTED_VALUE"""),167.77)</f>
        <v>167.77</v>
      </c>
      <c r="E9386" s="2">
        <f>IFERROR(__xludf.DUMMYFUNCTION("""COMPUTED_VALUE"""),167.77)</f>
        <v>167.77</v>
      </c>
      <c r="F9386" s="2">
        <f>IFERROR(__xludf.DUMMYFUNCTION("""COMPUTED_VALUE"""),5920267.0)</f>
        <v>5920267</v>
      </c>
    </row>
    <row r="9387">
      <c r="A9387" s="3">
        <f>IFERROR(__xludf.DUMMYFUNCTION("""COMPUTED_VALUE"""),42814.66666666667)</f>
        <v>42814.66667</v>
      </c>
      <c r="B9387" s="2">
        <f>IFERROR(__xludf.DUMMYFUNCTION("""COMPUTED_VALUE"""),167.77)</f>
        <v>167.77</v>
      </c>
      <c r="C9387" s="2">
        <f>IFERROR(__xludf.DUMMYFUNCTION("""COMPUTED_VALUE"""),168.28)</f>
        <v>168.28</v>
      </c>
      <c r="D9387" s="2">
        <f>IFERROR(__xludf.DUMMYFUNCTION("""COMPUTED_VALUE"""),167.29)</f>
        <v>167.29</v>
      </c>
      <c r="E9387" s="2">
        <f>IFERROR(__xludf.DUMMYFUNCTION("""COMPUTED_VALUE"""),167.82)</f>
        <v>167.82</v>
      </c>
      <c r="F9387" s="2">
        <f>IFERROR(__xludf.DUMMYFUNCTION("""COMPUTED_VALUE"""),2475875.0)</f>
        <v>2475875</v>
      </c>
    </row>
    <row r="9388">
      <c r="A9388" s="3">
        <f>IFERROR(__xludf.DUMMYFUNCTION("""COMPUTED_VALUE"""),42815.66666666667)</f>
        <v>42815.66667</v>
      </c>
      <c r="B9388" s="2">
        <f>IFERROR(__xludf.DUMMYFUNCTION("""COMPUTED_VALUE"""),168.12)</f>
        <v>168.12</v>
      </c>
      <c r="C9388" s="2">
        <f>IFERROR(__xludf.DUMMYFUNCTION("""COMPUTED_VALUE"""),168.33)</f>
        <v>168.33</v>
      </c>
      <c r="D9388" s="2">
        <f>IFERROR(__xludf.DUMMYFUNCTION("""COMPUTED_VALUE"""),166.05)</f>
        <v>166.05</v>
      </c>
      <c r="E9388" s="2">
        <f>IFERROR(__xludf.DUMMYFUNCTION("""COMPUTED_VALUE"""),166.08)</f>
        <v>166.08</v>
      </c>
      <c r="F9388" s="2">
        <f>IFERROR(__xludf.DUMMYFUNCTION("""COMPUTED_VALUE"""),3927541.0)</f>
        <v>3927541</v>
      </c>
    </row>
    <row r="9389">
      <c r="A9389" s="3">
        <f>IFERROR(__xludf.DUMMYFUNCTION("""COMPUTED_VALUE"""),42816.66666666667)</f>
        <v>42816.66667</v>
      </c>
      <c r="B9389" s="2">
        <f>IFERROR(__xludf.DUMMYFUNCTION("""COMPUTED_VALUE"""),166.24)</f>
        <v>166.24</v>
      </c>
      <c r="C9389" s="2">
        <f>IFERROR(__xludf.DUMMYFUNCTION("""COMPUTED_VALUE"""),167.21)</f>
        <v>167.21</v>
      </c>
      <c r="D9389" s="2">
        <f>IFERROR(__xludf.DUMMYFUNCTION("""COMPUTED_VALUE"""),165.05)</f>
        <v>165.05</v>
      </c>
      <c r="E9389" s="2">
        <f>IFERROR(__xludf.DUMMYFUNCTION("""COMPUTED_VALUE"""),166.94)</f>
        <v>166.94</v>
      </c>
      <c r="F9389" s="2">
        <f>IFERROR(__xludf.DUMMYFUNCTION("""COMPUTED_VALUE"""),3450362.0)</f>
        <v>3450362</v>
      </c>
    </row>
    <row r="9390">
      <c r="A9390" s="3">
        <f>IFERROR(__xludf.DUMMYFUNCTION("""COMPUTED_VALUE"""),42817.66666666667)</f>
        <v>42817.66667</v>
      </c>
      <c r="B9390" s="2">
        <f>IFERROR(__xludf.DUMMYFUNCTION("""COMPUTED_VALUE"""),166.61)</f>
        <v>166.61</v>
      </c>
      <c r="C9390" s="2">
        <f>IFERROR(__xludf.DUMMYFUNCTION("""COMPUTED_VALUE"""),167.79)</f>
        <v>167.79</v>
      </c>
      <c r="D9390" s="2">
        <f>IFERROR(__xludf.DUMMYFUNCTION("""COMPUTED_VALUE"""),165.78)</f>
        <v>165.78</v>
      </c>
      <c r="E9390" s="2">
        <f>IFERROR(__xludf.DUMMYFUNCTION("""COMPUTED_VALUE"""),166.98)</f>
        <v>166.98</v>
      </c>
      <c r="F9390" s="2">
        <f>IFERROR(__xludf.DUMMYFUNCTION("""COMPUTED_VALUE"""),3739976.0)</f>
        <v>3739976</v>
      </c>
    </row>
    <row r="9391">
      <c r="A9391" s="3">
        <f>IFERROR(__xludf.DUMMYFUNCTION("""COMPUTED_VALUE"""),42818.66666666667)</f>
        <v>42818.66667</v>
      </c>
      <c r="B9391" s="2">
        <f>IFERROR(__xludf.DUMMYFUNCTION("""COMPUTED_VALUE"""),167.27)</f>
        <v>167.27</v>
      </c>
      <c r="C9391" s="2">
        <f>IFERROR(__xludf.DUMMYFUNCTION("""COMPUTED_VALUE"""),167.63)</f>
        <v>167.63</v>
      </c>
      <c r="D9391" s="2">
        <f>IFERROR(__xludf.DUMMYFUNCTION("""COMPUTED_VALUE"""),165.62)</f>
        <v>165.62</v>
      </c>
      <c r="E9391" s="2">
        <f>IFERROR(__xludf.DUMMYFUNCTION("""COMPUTED_VALUE"""),166.04)</f>
        <v>166.04</v>
      </c>
      <c r="F9391" s="2">
        <f>IFERROR(__xludf.DUMMYFUNCTION("""COMPUTED_VALUE"""),3221672.0)</f>
        <v>3221672</v>
      </c>
    </row>
    <row r="9392">
      <c r="A9392" s="3">
        <f>IFERROR(__xludf.DUMMYFUNCTION("""COMPUTED_VALUE"""),42821.66666666667)</f>
        <v>42821.66667</v>
      </c>
      <c r="B9392" s="2">
        <f>IFERROR(__xludf.DUMMYFUNCTION("""COMPUTED_VALUE"""),164.95)</f>
        <v>164.95</v>
      </c>
      <c r="C9392" s="2">
        <f>IFERROR(__xludf.DUMMYFUNCTION("""COMPUTED_VALUE"""),166.35)</f>
        <v>166.35</v>
      </c>
      <c r="D9392" s="2">
        <f>IFERROR(__xludf.DUMMYFUNCTION("""COMPUTED_VALUE"""),164.38)</f>
        <v>164.38</v>
      </c>
      <c r="E9392" s="2">
        <f>IFERROR(__xludf.DUMMYFUNCTION("""COMPUTED_VALUE"""),165.98)</f>
        <v>165.98</v>
      </c>
      <c r="F9392" s="2">
        <f>IFERROR(__xludf.DUMMYFUNCTION("""COMPUTED_VALUE"""),3259023.0)</f>
        <v>3259023</v>
      </c>
    </row>
    <row r="9393">
      <c r="A9393" s="3">
        <f>IFERROR(__xludf.DUMMYFUNCTION("""COMPUTED_VALUE"""),42822.66666666667)</f>
        <v>42822.66667</v>
      </c>
      <c r="B9393" s="2">
        <f>IFERROR(__xludf.DUMMYFUNCTION("""COMPUTED_VALUE"""),166.14)</f>
        <v>166.14</v>
      </c>
      <c r="C9393" s="2">
        <f>IFERROR(__xludf.DUMMYFUNCTION("""COMPUTED_VALUE"""),167.15)</f>
        <v>167.15</v>
      </c>
      <c r="D9393" s="2">
        <f>IFERROR(__xludf.DUMMYFUNCTION("""COMPUTED_VALUE"""),165.24)</f>
        <v>165.24</v>
      </c>
      <c r="E9393" s="2">
        <f>IFERROR(__xludf.DUMMYFUNCTION("""COMPUTED_VALUE"""),166.69)</f>
        <v>166.69</v>
      </c>
      <c r="F9393" s="2">
        <f>IFERROR(__xludf.DUMMYFUNCTION("""COMPUTED_VALUE"""),3523370.0)</f>
        <v>3523370</v>
      </c>
    </row>
    <row r="9394">
      <c r="A9394" s="3">
        <f>IFERROR(__xludf.DUMMYFUNCTION("""COMPUTED_VALUE"""),42823.66666666667)</f>
        <v>42823.66667</v>
      </c>
      <c r="B9394" s="2">
        <f>IFERROR(__xludf.DUMMYFUNCTION("""COMPUTED_VALUE"""),166.49)</f>
        <v>166.49</v>
      </c>
      <c r="C9394" s="2">
        <f>IFERROR(__xludf.DUMMYFUNCTION("""COMPUTED_VALUE"""),166.67)</f>
        <v>166.67</v>
      </c>
      <c r="D9394" s="2">
        <f>IFERROR(__xludf.DUMMYFUNCTION("""COMPUTED_VALUE"""),165.68)</f>
        <v>165.68</v>
      </c>
      <c r="E9394" s="2">
        <f>IFERROR(__xludf.DUMMYFUNCTION("""COMPUTED_VALUE"""),166.14)</f>
        <v>166.14</v>
      </c>
      <c r="F9394" s="2">
        <f>IFERROR(__xludf.DUMMYFUNCTION("""COMPUTED_VALUE"""),3084865.0)</f>
        <v>3084865</v>
      </c>
    </row>
    <row r="9395">
      <c r="A9395" s="3">
        <f>IFERROR(__xludf.DUMMYFUNCTION("""COMPUTED_VALUE"""),42824.66666666667)</f>
        <v>42824.66667</v>
      </c>
      <c r="B9395" s="2">
        <f>IFERROR(__xludf.DUMMYFUNCTION("""COMPUTED_VALUE"""),166.06)</f>
        <v>166.06</v>
      </c>
      <c r="C9395" s="2">
        <f>IFERROR(__xludf.DUMMYFUNCTION("""COMPUTED_VALUE"""),166.76)</f>
        <v>166.76</v>
      </c>
      <c r="D9395" s="2">
        <f>IFERROR(__xludf.DUMMYFUNCTION("""COMPUTED_VALUE"""),165.9)</f>
        <v>165.9</v>
      </c>
      <c r="E9395" s="2">
        <f>IFERROR(__xludf.DUMMYFUNCTION("""COMPUTED_VALUE"""),166.06)</f>
        <v>166.06</v>
      </c>
      <c r="F9395" s="2">
        <f>IFERROR(__xludf.DUMMYFUNCTION("""COMPUTED_VALUE"""),3168254.0)</f>
        <v>3168254</v>
      </c>
    </row>
    <row r="9396">
      <c r="A9396" s="3">
        <f>IFERROR(__xludf.DUMMYFUNCTION("""COMPUTED_VALUE"""),42825.66666666667)</f>
        <v>42825.66667</v>
      </c>
      <c r="B9396" s="2">
        <f>IFERROR(__xludf.DUMMYFUNCTION("""COMPUTED_VALUE"""),166.18)</f>
        <v>166.18</v>
      </c>
      <c r="C9396" s="2">
        <f>IFERROR(__xludf.DUMMYFUNCTION("""COMPUTED_VALUE"""),167.11)</f>
        <v>167.11</v>
      </c>
      <c r="D9396" s="2">
        <f>IFERROR(__xludf.DUMMYFUNCTION("""COMPUTED_VALUE"""),165.9)</f>
        <v>165.9</v>
      </c>
      <c r="E9396" s="2">
        <f>IFERROR(__xludf.DUMMYFUNCTION("""COMPUTED_VALUE"""),166.33)</f>
        <v>166.33</v>
      </c>
      <c r="F9396" s="2">
        <f>IFERROR(__xludf.DUMMYFUNCTION("""COMPUTED_VALUE"""),2913509.0)</f>
        <v>2913509</v>
      </c>
    </row>
    <row r="9397">
      <c r="A9397" s="3">
        <f>IFERROR(__xludf.DUMMYFUNCTION("""COMPUTED_VALUE"""),42828.66666666667)</f>
        <v>42828.66667</v>
      </c>
      <c r="B9397" s="2">
        <f>IFERROR(__xludf.DUMMYFUNCTION("""COMPUTED_VALUE"""),166.03)</f>
        <v>166.03</v>
      </c>
      <c r="C9397" s="2">
        <f>IFERROR(__xludf.DUMMYFUNCTION("""COMPUTED_VALUE"""),167.03)</f>
        <v>167.03</v>
      </c>
      <c r="D9397" s="2">
        <f>IFERROR(__xludf.DUMMYFUNCTION("""COMPUTED_VALUE"""),165.61)</f>
        <v>165.61</v>
      </c>
      <c r="E9397" s="2">
        <f>IFERROR(__xludf.DUMMYFUNCTION("""COMPUTED_VALUE"""),166.68)</f>
        <v>166.68</v>
      </c>
      <c r="F9397" s="2">
        <f>IFERROR(__xludf.DUMMYFUNCTION("""COMPUTED_VALUE"""),4286498.0)</f>
        <v>4286498</v>
      </c>
    </row>
    <row r="9398">
      <c r="A9398" s="3">
        <f>IFERROR(__xludf.DUMMYFUNCTION("""COMPUTED_VALUE"""),42829.66666666667)</f>
        <v>42829.66667</v>
      </c>
      <c r="B9398" s="2">
        <f>IFERROR(__xludf.DUMMYFUNCTION("""COMPUTED_VALUE"""),165.74)</f>
        <v>165.74</v>
      </c>
      <c r="C9398" s="2">
        <f>IFERROR(__xludf.DUMMYFUNCTION("""COMPUTED_VALUE"""),167.12)</f>
        <v>167.12</v>
      </c>
      <c r="D9398" s="2">
        <f>IFERROR(__xludf.DUMMYFUNCTION("""COMPUTED_VALUE"""),165.49)</f>
        <v>165.49</v>
      </c>
      <c r="E9398" s="2">
        <f>IFERROR(__xludf.DUMMYFUNCTION("""COMPUTED_VALUE"""),166.7)</f>
        <v>166.7</v>
      </c>
      <c r="F9398" s="2">
        <f>IFERROR(__xludf.DUMMYFUNCTION("""COMPUTED_VALUE"""),3108870.0)</f>
        <v>3108870</v>
      </c>
    </row>
    <row r="9399">
      <c r="A9399" s="3">
        <f>IFERROR(__xludf.DUMMYFUNCTION("""COMPUTED_VALUE"""),42830.66666666667)</f>
        <v>42830.66667</v>
      </c>
      <c r="B9399" s="2">
        <f>IFERROR(__xludf.DUMMYFUNCTION("""COMPUTED_VALUE"""),166.87)</f>
        <v>166.87</v>
      </c>
      <c r="C9399" s="2">
        <f>IFERROR(__xludf.DUMMYFUNCTION("""COMPUTED_VALUE"""),168.42)</f>
        <v>168.42</v>
      </c>
      <c r="D9399" s="2">
        <f>IFERROR(__xludf.DUMMYFUNCTION("""COMPUTED_VALUE"""),165.06)</f>
        <v>165.06</v>
      </c>
      <c r="E9399" s="2">
        <f>IFERROR(__xludf.DUMMYFUNCTION("""COMPUTED_VALUE"""),165.13)</f>
        <v>165.13</v>
      </c>
      <c r="F9399" s="2">
        <f>IFERROR(__xludf.DUMMYFUNCTION("""COMPUTED_VALUE"""),6238854.0)</f>
        <v>6238854</v>
      </c>
    </row>
    <row r="9400">
      <c r="A9400" s="3">
        <f>IFERROR(__xludf.DUMMYFUNCTION("""COMPUTED_VALUE"""),42831.66666666667)</f>
        <v>42831.66667</v>
      </c>
      <c r="B9400" s="2">
        <f>IFERROR(__xludf.DUMMYFUNCTION("""COMPUTED_VALUE"""),165.69)</f>
        <v>165.69</v>
      </c>
      <c r="C9400" s="2">
        <f>IFERROR(__xludf.DUMMYFUNCTION("""COMPUTED_VALUE"""),165.69)</f>
        <v>165.69</v>
      </c>
      <c r="D9400" s="2">
        <f>IFERROR(__xludf.DUMMYFUNCTION("""COMPUTED_VALUE"""),164.53)</f>
        <v>164.53</v>
      </c>
      <c r="E9400" s="2">
        <f>IFERROR(__xludf.DUMMYFUNCTION("""COMPUTED_VALUE"""),164.72)</f>
        <v>164.72</v>
      </c>
      <c r="F9400" s="2">
        <f>IFERROR(__xludf.DUMMYFUNCTION("""COMPUTED_VALUE"""),3435363.0)</f>
        <v>3435363</v>
      </c>
    </row>
    <row r="9401">
      <c r="A9401" s="3">
        <f>IFERROR(__xludf.DUMMYFUNCTION("""COMPUTED_VALUE"""),42832.66666666667)</f>
        <v>42832.66667</v>
      </c>
      <c r="B9401" s="2">
        <f>IFERROR(__xludf.DUMMYFUNCTION("""COMPUTED_VALUE"""),164.36)</f>
        <v>164.36</v>
      </c>
      <c r="C9401" s="2">
        <f>IFERROR(__xludf.DUMMYFUNCTION("""COMPUTED_VALUE"""),165.18)</f>
        <v>165.18</v>
      </c>
      <c r="D9401" s="2">
        <f>IFERROR(__xludf.DUMMYFUNCTION("""COMPUTED_VALUE"""),163.6)</f>
        <v>163.6</v>
      </c>
      <c r="E9401" s="2">
        <f>IFERROR(__xludf.DUMMYFUNCTION("""COMPUTED_VALUE"""),164.42)</f>
        <v>164.42</v>
      </c>
      <c r="F9401" s="2">
        <f>IFERROR(__xludf.DUMMYFUNCTION("""COMPUTED_VALUE"""),3588302.0)</f>
        <v>3588302</v>
      </c>
    </row>
    <row r="9402">
      <c r="A9402" s="3">
        <f>IFERROR(__xludf.DUMMYFUNCTION("""COMPUTED_VALUE"""),42835.66666666667)</f>
        <v>42835.66667</v>
      </c>
      <c r="B9402" s="2">
        <f>IFERROR(__xludf.DUMMYFUNCTION("""COMPUTED_VALUE"""),164.79)</f>
        <v>164.79</v>
      </c>
      <c r="C9402" s="2">
        <f>IFERROR(__xludf.DUMMYFUNCTION("""COMPUTED_VALUE"""),164.82)</f>
        <v>164.82</v>
      </c>
      <c r="D9402" s="2">
        <f>IFERROR(__xludf.DUMMYFUNCTION("""COMPUTED_VALUE"""),163.33)</f>
        <v>163.33</v>
      </c>
      <c r="E9402" s="2">
        <f>IFERROR(__xludf.DUMMYFUNCTION("""COMPUTED_VALUE"""),163.52)</f>
        <v>163.52</v>
      </c>
      <c r="F9402" s="2">
        <f>IFERROR(__xludf.DUMMYFUNCTION("""COMPUTED_VALUE"""),3789786.0)</f>
        <v>3789786</v>
      </c>
    </row>
    <row r="9403">
      <c r="A9403" s="3">
        <f>IFERROR(__xludf.DUMMYFUNCTION("""COMPUTED_VALUE"""),42836.66666666667)</f>
        <v>42836.66667</v>
      </c>
      <c r="B9403" s="2">
        <f>IFERROR(__xludf.DUMMYFUNCTION("""COMPUTED_VALUE"""),163.0)</f>
        <v>163</v>
      </c>
      <c r="C9403" s="2">
        <f>IFERROR(__xludf.DUMMYFUNCTION("""COMPUTED_VALUE"""),163.55)</f>
        <v>163.55</v>
      </c>
      <c r="D9403" s="2">
        <f>IFERROR(__xludf.DUMMYFUNCTION("""COMPUTED_VALUE"""),161.4)</f>
        <v>161.4</v>
      </c>
      <c r="E9403" s="2">
        <f>IFERROR(__xludf.DUMMYFUNCTION("""COMPUTED_VALUE"""),162.93)</f>
        <v>162.93</v>
      </c>
      <c r="F9403" s="2">
        <f>IFERROR(__xludf.DUMMYFUNCTION("""COMPUTED_VALUE"""),4891871.0)</f>
        <v>4891871</v>
      </c>
    </row>
    <row r="9404">
      <c r="A9404" s="3">
        <f>IFERROR(__xludf.DUMMYFUNCTION("""COMPUTED_VALUE"""),42837.66666666667)</f>
        <v>42837.66667</v>
      </c>
      <c r="B9404" s="2">
        <f>IFERROR(__xludf.DUMMYFUNCTION("""COMPUTED_VALUE"""),163.37)</f>
        <v>163.37</v>
      </c>
      <c r="C9404" s="2">
        <f>IFERROR(__xludf.DUMMYFUNCTION("""COMPUTED_VALUE"""),163.52)</f>
        <v>163.52</v>
      </c>
      <c r="D9404" s="2">
        <f>IFERROR(__xludf.DUMMYFUNCTION("""COMPUTED_VALUE"""),162.4)</f>
        <v>162.4</v>
      </c>
      <c r="E9404" s="2">
        <f>IFERROR(__xludf.DUMMYFUNCTION("""COMPUTED_VALUE"""),163.01)</f>
        <v>163.01</v>
      </c>
      <c r="F9404" s="2">
        <f>IFERROR(__xludf.DUMMYFUNCTION("""COMPUTED_VALUE"""),3276921.0)</f>
        <v>3276921</v>
      </c>
    </row>
    <row r="9405">
      <c r="A9405" s="3">
        <f>IFERROR(__xludf.DUMMYFUNCTION("""COMPUTED_VALUE"""),42838.66666666667)</f>
        <v>42838.66667</v>
      </c>
      <c r="B9405" s="2">
        <f>IFERROR(__xludf.DUMMYFUNCTION("""COMPUTED_VALUE"""),162.3)</f>
        <v>162.3</v>
      </c>
      <c r="C9405" s="2">
        <f>IFERROR(__xludf.DUMMYFUNCTION("""COMPUTED_VALUE"""),163.68)</f>
        <v>163.68</v>
      </c>
      <c r="D9405" s="2">
        <f>IFERROR(__xludf.DUMMYFUNCTION("""COMPUTED_VALUE"""),161.93)</f>
        <v>161.93</v>
      </c>
      <c r="E9405" s="2">
        <f>IFERROR(__xludf.DUMMYFUNCTION("""COMPUTED_VALUE"""),161.93)</f>
        <v>161.93</v>
      </c>
      <c r="F9405" s="2">
        <f>IFERROR(__xludf.DUMMYFUNCTION("""COMPUTED_VALUE"""),3205462.0)</f>
        <v>3205462</v>
      </c>
    </row>
    <row r="9406">
      <c r="A9406" s="3">
        <f>IFERROR(__xludf.DUMMYFUNCTION("""COMPUTED_VALUE"""),42842.66666666667)</f>
        <v>42842.66667</v>
      </c>
      <c r="B9406" s="2">
        <f>IFERROR(__xludf.DUMMYFUNCTION("""COMPUTED_VALUE"""),162.14)</f>
        <v>162.14</v>
      </c>
      <c r="C9406" s="2">
        <f>IFERROR(__xludf.DUMMYFUNCTION("""COMPUTED_VALUE"""),163.62)</f>
        <v>163.62</v>
      </c>
      <c r="D9406" s="2">
        <f>IFERROR(__xludf.DUMMYFUNCTION("""COMPUTED_VALUE"""),162.01)</f>
        <v>162.01</v>
      </c>
      <c r="E9406" s="2">
        <f>IFERROR(__xludf.DUMMYFUNCTION("""COMPUTED_VALUE"""),163.43)</f>
        <v>163.43</v>
      </c>
      <c r="F9406" s="2">
        <f>IFERROR(__xludf.DUMMYFUNCTION("""COMPUTED_VALUE"""),3719605.0)</f>
        <v>3719605</v>
      </c>
    </row>
    <row r="9407">
      <c r="A9407" s="3">
        <f>IFERROR(__xludf.DUMMYFUNCTION("""COMPUTED_VALUE"""),42843.66666666667)</f>
        <v>42843.66667</v>
      </c>
      <c r="B9407" s="2">
        <f>IFERROR(__xludf.DUMMYFUNCTION("""COMPUTED_VALUE"""),163.13)</f>
        <v>163.13</v>
      </c>
      <c r="C9407" s="2">
        <f>IFERROR(__xludf.DUMMYFUNCTION("""COMPUTED_VALUE"""),163.99)</f>
        <v>163.99</v>
      </c>
      <c r="D9407" s="2">
        <f>IFERROR(__xludf.DUMMYFUNCTION("""COMPUTED_VALUE"""),162.22)</f>
        <v>162.22</v>
      </c>
      <c r="E9407" s="2">
        <f>IFERROR(__xludf.DUMMYFUNCTION("""COMPUTED_VALUE"""),162.43)</f>
        <v>162.43</v>
      </c>
      <c r="F9407" s="2">
        <f>IFERROR(__xludf.DUMMYFUNCTION("""COMPUTED_VALUE"""),6305863.0)</f>
        <v>6305863</v>
      </c>
    </row>
    <row r="9408">
      <c r="A9408" s="3">
        <f>IFERROR(__xludf.DUMMYFUNCTION("""COMPUTED_VALUE"""),42844.66666666667)</f>
        <v>42844.66667</v>
      </c>
      <c r="B9408" s="2">
        <f>IFERROR(__xludf.DUMMYFUNCTION("""COMPUTED_VALUE"""),154.51)</f>
        <v>154.51</v>
      </c>
      <c r="C9408" s="2">
        <f>IFERROR(__xludf.DUMMYFUNCTION("""COMPUTED_VALUE"""),155.35)</f>
        <v>155.35</v>
      </c>
      <c r="D9408" s="2">
        <f>IFERROR(__xludf.DUMMYFUNCTION("""COMPUTED_VALUE"""),152.44)</f>
        <v>152.44</v>
      </c>
      <c r="E9408" s="2">
        <f>IFERROR(__xludf.DUMMYFUNCTION("""COMPUTED_VALUE"""),154.44)</f>
        <v>154.44</v>
      </c>
      <c r="F9408" s="2">
        <f>IFERROR(__xludf.DUMMYFUNCTION("""COMPUTED_VALUE"""),1.9283389E7)</f>
        <v>19283389</v>
      </c>
    </row>
    <row r="9409">
      <c r="A9409" s="3">
        <f>IFERROR(__xludf.DUMMYFUNCTION("""COMPUTED_VALUE"""),42845.66666666667)</f>
        <v>42845.66667</v>
      </c>
      <c r="B9409" s="2">
        <f>IFERROR(__xludf.DUMMYFUNCTION("""COMPUTED_VALUE"""),154.09)</f>
        <v>154.09</v>
      </c>
      <c r="C9409" s="2">
        <f>IFERROR(__xludf.DUMMYFUNCTION("""COMPUTED_VALUE"""),155.12)</f>
        <v>155.12</v>
      </c>
      <c r="D9409" s="2">
        <f>IFERROR(__xludf.DUMMYFUNCTION("""COMPUTED_VALUE"""),153.3)</f>
        <v>153.3</v>
      </c>
      <c r="E9409" s="2">
        <f>IFERROR(__xludf.DUMMYFUNCTION("""COMPUTED_VALUE"""),155.02)</f>
        <v>155.02</v>
      </c>
      <c r="F9409" s="2">
        <f>IFERROR(__xludf.DUMMYFUNCTION("""COMPUTED_VALUE"""),6486809.0)</f>
        <v>6486809</v>
      </c>
    </row>
    <row r="9410">
      <c r="A9410" s="3">
        <f>IFERROR(__xludf.DUMMYFUNCTION("""COMPUTED_VALUE"""),42846.66666666667)</f>
        <v>42846.66667</v>
      </c>
      <c r="B9410" s="2">
        <f>IFERROR(__xludf.DUMMYFUNCTION("""COMPUTED_VALUE"""),154.78)</f>
        <v>154.78</v>
      </c>
      <c r="C9410" s="2">
        <f>IFERROR(__xludf.DUMMYFUNCTION("""COMPUTED_VALUE"""),154.84)</f>
        <v>154.84</v>
      </c>
      <c r="D9410" s="2">
        <f>IFERROR(__xludf.DUMMYFUNCTION("""COMPUTED_VALUE"""),153.19)</f>
        <v>153.19</v>
      </c>
      <c r="E9410" s="2">
        <f>IFERROR(__xludf.DUMMYFUNCTION("""COMPUTED_VALUE"""),153.19)</f>
        <v>153.19</v>
      </c>
      <c r="F9410" s="2">
        <f>IFERROR(__xludf.DUMMYFUNCTION("""COMPUTED_VALUE"""),5606940.0)</f>
        <v>5606940</v>
      </c>
    </row>
    <row r="9411">
      <c r="A9411" s="3">
        <f>IFERROR(__xludf.DUMMYFUNCTION("""COMPUTED_VALUE"""),42849.66666666667)</f>
        <v>42849.66667</v>
      </c>
      <c r="B9411" s="2">
        <f>IFERROR(__xludf.DUMMYFUNCTION("""COMPUTED_VALUE"""),154.06)</f>
        <v>154.06</v>
      </c>
      <c r="C9411" s="2">
        <f>IFERROR(__xludf.DUMMYFUNCTION("""COMPUTED_VALUE"""),154.33)</f>
        <v>154.33</v>
      </c>
      <c r="D9411" s="2">
        <f>IFERROR(__xludf.DUMMYFUNCTION("""COMPUTED_VALUE"""),153.23)</f>
        <v>153.23</v>
      </c>
      <c r="E9411" s="2">
        <f>IFERROR(__xludf.DUMMYFUNCTION("""COMPUTED_VALUE"""),153.54)</f>
        <v>153.54</v>
      </c>
      <c r="F9411" s="2">
        <f>IFERROR(__xludf.DUMMYFUNCTION("""COMPUTED_VALUE"""),5320608.0)</f>
        <v>5320608</v>
      </c>
    </row>
    <row r="9412">
      <c r="A9412" s="3">
        <f>IFERROR(__xludf.DUMMYFUNCTION("""COMPUTED_VALUE"""),42850.66666666667)</f>
        <v>42850.66667</v>
      </c>
      <c r="B9412" s="2">
        <f>IFERROR(__xludf.DUMMYFUNCTION("""COMPUTED_VALUE"""),154.53)</f>
        <v>154.53</v>
      </c>
      <c r="C9412" s="2">
        <f>IFERROR(__xludf.DUMMYFUNCTION("""COMPUTED_VALUE"""),154.77)</f>
        <v>154.77</v>
      </c>
      <c r="D9412" s="2">
        <f>IFERROR(__xludf.DUMMYFUNCTION("""COMPUTED_VALUE"""),153.19)</f>
        <v>153.19</v>
      </c>
      <c r="E9412" s="2">
        <f>IFERROR(__xludf.DUMMYFUNCTION("""COMPUTED_VALUE"""),153.2)</f>
        <v>153.2</v>
      </c>
      <c r="F9412" s="2">
        <f>IFERROR(__xludf.DUMMYFUNCTION("""COMPUTED_VALUE"""),4858329.0)</f>
        <v>4858329</v>
      </c>
    </row>
    <row r="9413">
      <c r="A9413" s="3">
        <f>IFERROR(__xludf.DUMMYFUNCTION("""COMPUTED_VALUE"""),42851.66666666667)</f>
        <v>42851.66667</v>
      </c>
      <c r="B9413" s="2">
        <f>IFERROR(__xludf.DUMMYFUNCTION("""COMPUTED_VALUE"""),153.33)</f>
        <v>153.33</v>
      </c>
      <c r="C9413" s="2">
        <f>IFERROR(__xludf.DUMMYFUNCTION("""COMPUTED_VALUE"""),153.88)</f>
        <v>153.88</v>
      </c>
      <c r="D9413" s="2">
        <f>IFERROR(__xludf.DUMMYFUNCTION("""COMPUTED_VALUE"""),152.72)</f>
        <v>152.72</v>
      </c>
      <c r="E9413" s="2">
        <f>IFERROR(__xludf.DUMMYFUNCTION("""COMPUTED_VALUE"""),152.88)</f>
        <v>152.88</v>
      </c>
      <c r="F9413" s="2">
        <f>IFERROR(__xludf.DUMMYFUNCTION("""COMPUTED_VALUE"""),4327991.0)</f>
        <v>4327991</v>
      </c>
    </row>
    <row r="9414">
      <c r="A9414" s="3">
        <f>IFERROR(__xludf.DUMMYFUNCTION("""COMPUTED_VALUE"""),42852.66666666667)</f>
        <v>42852.66667</v>
      </c>
      <c r="B9414" s="2">
        <f>IFERROR(__xludf.DUMMYFUNCTION("""COMPUTED_VALUE"""),153.1)</f>
        <v>153.1</v>
      </c>
      <c r="C9414" s="2">
        <f>IFERROR(__xludf.DUMMYFUNCTION("""COMPUTED_VALUE"""),153.28)</f>
        <v>153.28</v>
      </c>
      <c r="D9414" s="2">
        <f>IFERROR(__xludf.DUMMYFUNCTION("""COMPUTED_VALUE"""),152.47)</f>
        <v>152.47</v>
      </c>
      <c r="E9414" s="2">
        <f>IFERROR(__xludf.DUMMYFUNCTION("""COMPUTED_VALUE"""),153.13)</f>
        <v>153.13</v>
      </c>
      <c r="F9414" s="2">
        <f>IFERROR(__xludf.DUMMYFUNCTION("""COMPUTED_VALUE"""),4122908.0)</f>
        <v>4122908</v>
      </c>
    </row>
    <row r="9415">
      <c r="A9415" s="3">
        <f>IFERROR(__xludf.DUMMYFUNCTION("""COMPUTED_VALUE"""),42853.66666666667)</f>
        <v>42853.66667</v>
      </c>
      <c r="B9415" s="2">
        <f>IFERROR(__xludf.DUMMYFUNCTION("""COMPUTED_VALUE"""),153.3)</f>
        <v>153.3</v>
      </c>
      <c r="C9415" s="2">
        <f>IFERROR(__xludf.DUMMYFUNCTION("""COMPUTED_VALUE"""),153.39)</f>
        <v>153.39</v>
      </c>
      <c r="D9415" s="2">
        <f>IFERROR(__xludf.DUMMYFUNCTION("""COMPUTED_VALUE"""),152.54)</f>
        <v>152.54</v>
      </c>
      <c r="E9415" s="2">
        <f>IFERROR(__xludf.DUMMYFUNCTION("""COMPUTED_VALUE"""),153.1)</f>
        <v>153.1</v>
      </c>
      <c r="F9415" s="2">
        <f>IFERROR(__xludf.DUMMYFUNCTION("""COMPUTED_VALUE"""),4154109.0)</f>
        <v>4154109</v>
      </c>
    </row>
    <row r="9416">
      <c r="A9416" s="3">
        <f>IFERROR(__xludf.DUMMYFUNCTION("""COMPUTED_VALUE"""),42856.66666666667)</f>
        <v>42856.66667</v>
      </c>
      <c r="B9416" s="2">
        <f>IFERROR(__xludf.DUMMYFUNCTION("""COMPUTED_VALUE"""),152.87)</f>
        <v>152.87</v>
      </c>
      <c r="C9416" s="2">
        <f>IFERROR(__xludf.DUMMYFUNCTION("""COMPUTED_VALUE"""),153.23)</f>
        <v>153.23</v>
      </c>
      <c r="D9416" s="2">
        <f>IFERROR(__xludf.DUMMYFUNCTION("""COMPUTED_VALUE"""),151.58)</f>
        <v>151.58</v>
      </c>
      <c r="E9416" s="2">
        <f>IFERROR(__xludf.DUMMYFUNCTION("""COMPUTED_VALUE"""),151.72)</f>
        <v>151.72</v>
      </c>
      <c r="F9416" s="2">
        <f>IFERROR(__xludf.DUMMYFUNCTION("""COMPUTED_VALUE"""),4934859.0)</f>
        <v>4934859</v>
      </c>
    </row>
    <row r="9417">
      <c r="A9417" s="3">
        <f>IFERROR(__xludf.DUMMYFUNCTION("""COMPUTED_VALUE"""),42857.66666666667)</f>
        <v>42857.66667</v>
      </c>
      <c r="B9417" s="2">
        <f>IFERROR(__xludf.DUMMYFUNCTION("""COMPUTED_VALUE"""),152.29)</f>
        <v>152.29</v>
      </c>
      <c r="C9417" s="2">
        <f>IFERROR(__xludf.DUMMYFUNCTION("""COMPUTED_VALUE"""),152.34)</f>
        <v>152.34</v>
      </c>
      <c r="D9417" s="2">
        <f>IFERROR(__xludf.DUMMYFUNCTION("""COMPUTED_VALUE"""),151.53)</f>
        <v>151.53</v>
      </c>
      <c r="E9417" s="2">
        <f>IFERROR(__xludf.DUMMYFUNCTION("""COMPUTED_VALUE"""),151.97)</f>
        <v>151.97</v>
      </c>
      <c r="F9417" s="2">
        <f>IFERROR(__xludf.DUMMYFUNCTION("""COMPUTED_VALUE"""),3208234.0)</f>
        <v>3208234</v>
      </c>
    </row>
    <row r="9418">
      <c r="A9418" s="3">
        <f>IFERROR(__xludf.DUMMYFUNCTION("""COMPUTED_VALUE"""),42858.66666666667)</f>
        <v>42858.66667</v>
      </c>
      <c r="B9418" s="2">
        <f>IFERROR(__xludf.DUMMYFUNCTION("""COMPUTED_VALUE"""),151.62)</f>
        <v>151.62</v>
      </c>
      <c r="C9418" s="2">
        <f>IFERROR(__xludf.DUMMYFUNCTION("""COMPUTED_VALUE"""),152.3)</f>
        <v>152.3</v>
      </c>
      <c r="D9418" s="2">
        <f>IFERROR(__xludf.DUMMYFUNCTION("""COMPUTED_VALUE"""),151.41)</f>
        <v>151.41</v>
      </c>
      <c r="E9418" s="2">
        <f>IFERROR(__xludf.DUMMYFUNCTION("""COMPUTED_VALUE"""),151.52)</f>
        <v>151.52</v>
      </c>
      <c r="F9418" s="2">
        <f>IFERROR(__xludf.DUMMYFUNCTION("""COMPUTED_VALUE"""),3993292.0)</f>
        <v>3993292</v>
      </c>
    </row>
    <row r="9419">
      <c r="A9419" s="3">
        <f>IFERROR(__xludf.DUMMYFUNCTION("""COMPUTED_VALUE"""),42859.66666666667)</f>
        <v>42859.66667</v>
      </c>
      <c r="B9419" s="2">
        <f>IFERROR(__xludf.DUMMYFUNCTION("""COMPUTED_VALUE"""),151.77)</f>
        <v>151.77</v>
      </c>
      <c r="C9419" s="2">
        <f>IFERROR(__xludf.DUMMYFUNCTION("""COMPUTED_VALUE"""),152.0)</f>
        <v>152</v>
      </c>
      <c r="D9419" s="2">
        <f>IFERROR(__xludf.DUMMYFUNCTION("""COMPUTED_VALUE"""),151.26)</f>
        <v>151.26</v>
      </c>
      <c r="E9419" s="2">
        <f>IFERROR(__xludf.DUMMYFUNCTION("""COMPUTED_VALUE"""),151.92)</f>
        <v>151.92</v>
      </c>
      <c r="F9419" s="2">
        <f>IFERROR(__xludf.DUMMYFUNCTION("""COMPUTED_VALUE"""),4280613.0)</f>
        <v>4280613</v>
      </c>
    </row>
    <row r="9420">
      <c r="A9420" s="3">
        <f>IFERROR(__xludf.DUMMYFUNCTION("""COMPUTED_VALUE"""),42860.66666666667)</f>
        <v>42860.66667</v>
      </c>
      <c r="B9420" s="2">
        <f>IFERROR(__xludf.DUMMYFUNCTION("""COMPUTED_VALUE"""),146.64)</f>
        <v>146.64</v>
      </c>
      <c r="C9420" s="2">
        <f>IFERROR(__xludf.DUMMYFUNCTION("""COMPUTED_VALUE"""),148.8)</f>
        <v>148.8</v>
      </c>
      <c r="D9420" s="2">
        <f>IFERROR(__xludf.DUMMYFUNCTION("""COMPUTED_VALUE"""),146.14)</f>
        <v>146.14</v>
      </c>
      <c r="E9420" s="2">
        <f>IFERROR(__xludf.DUMMYFUNCTION("""COMPUTED_VALUE"""),148.1)</f>
        <v>148.1</v>
      </c>
      <c r="F9420" s="2">
        <f>IFERROR(__xludf.DUMMYFUNCTION("""COMPUTED_VALUE"""),1.251719E7)</f>
        <v>12517190</v>
      </c>
    </row>
    <row r="9421">
      <c r="A9421" s="3">
        <f>IFERROR(__xludf.DUMMYFUNCTION("""COMPUTED_VALUE"""),42863.66666666667)</f>
        <v>42863.66667</v>
      </c>
      <c r="B9421" s="2">
        <f>IFERROR(__xludf.DUMMYFUNCTION("""COMPUTED_VALUE"""),145.95)</f>
        <v>145.95</v>
      </c>
      <c r="C9421" s="2">
        <f>IFERROR(__xludf.DUMMYFUNCTION("""COMPUTED_VALUE"""),146.59)</f>
        <v>146.59</v>
      </c>
      <c r="D9421" s="2">
        <f>IFERROR(__xludf.DUMMYFUNCTION("""COMPUTED_VALUE"""),145.38)</f>
        <v>145.38</v>
      </c>
      <c r="E9421" s="2">
        <f>IFERROR(__xludf.DUMMYFUNCTION("""COMPUTED_VALUE"""),146.17)</f>
        <v>146.17</v>
      </c>
      <c r="F9421" s="2">
        <f>IFERROR(__xludf.DUMMYFUNCTION("""COMPUTED_VALUE"""),7491055.0)</f>
        <v>7491055</v>
      </c>
    </row>
    <row r="9422">
      <c r="A9422" s="3">
        <f>IFERROR(__xludf.DUMMYFUNCTION("""COMPUTED_VALUE"""),42864.66666666667)</f>
        <v>42864.66667</v>
      </c>
      <c r="B9422" s="2">
        <f>IFERROR(__xludf.DUMMYFUNCTION("""COMPUTED_VALUE"""),145.76)</f>
        <v>145.76</v>
      </c>
      <c r="C9422" s="2">
        <f>IFERROR(__xludf.DUMMYFUNCTION("""COMPUTED_VALUE"""),146.24)</f>
        <v>146.24</v>
      </c>
      <c r="D9422" s="2">
        <f>IFERROR(__xludf.DUMMYFUNCTION("""COMPUTED_VALUE"""),144.76)</f>
        <v>144.76</v>
      </c>
      <c r="E9422" s="2">
        <f>IFERROR(__xludf.DUMMYFUNCTION("""COMPUTED_VALUE"""),145.29)</f>
        <v>145.29</v>
      </c>
      <c r="F9422" s="2">
        <f>IFERROR(__xludf.DUMMYFUNCTION("""COMPUTED_VALUE"""),6851963.0)</f>
        <v>6851963</v>
      </c>
    </row>
    <row r="9423">
      <c r="A9423" s="3">
        <f>IFERROR(__xludf.DUMMYFUNCTION("""COMPUTED_VALUE"""),42865.66666666667)</f>
        <v>42865.66667</v>
      </c>
      <c r="B9423" s="2">
        <f>IFERROR(__xludf.DUMMYFUNCTION("""COMPUTED_VALUE"""),144.85)</f>
        <v>144.85</v>
      </c>
      <c r="C9423" s="2">
        <f>IFERROR(__xludf.DUMMYFUNCTION("""COMPUTED_VALUE"""),145.54)</f>
        <v>145.54</v>
      </c>
      <c r="D9423" s="2">
        <f>IFERROR(__xludf.DUMMYFUNCTION("""COMPUTED_VALUE"""),144.35)</f>
        <v>144.35</v>
      </c>
      <c r="E9423" s="2">
        <f>IFERROR(__xludf.DUMMYFUNCTION("""COMPUTED_VALUE"""),144.47)</f>
        <v>144.47</v>
      </c>
      <c r="F9423" s="2">
        <f>IFERROR(__xludf.DUMMYFUNCTION("""COMPUTED_VALUE"""),4999811.0)</f>
        <v>4999811</v>
      </c>
    </row>
    <row r="9424">
      <c r="A9424" s="3">
        <f>IFERROR(__xludf.DUMMYFUNCTION("""COMPUTED_VALUE"""),42866.66666666667)</f>
        <v>42866.66667</v>
      </c>
      <c r="B9424" s="2">
        <f>IFERROR(__xludf.DUMMYFUNCTION("""COMPUTED_VALUE"""),144.28)</f>
        <v>144.28</v>
      </c>
      <c r="C9424" s="2">
        <f>IFERROR(__xludf.DUMMYFUNCTION("""COMPUTED_VALUE"""),144.37)</f>
        <v>144.37</v>
      </c>
      <c r="D9424" s="2">
        <f>IFERROR(__xludf.DUMMYFUNCTION("""COMPUTED_VALUE"""),143.07)</f>
        <v>143.07</v>
      </c>
      <c r="E9424" s="2">
        <f>IFERROR(__xludf.DUMMYFUNCTION("""COMPUTED_VALUE"""),143.9)</f>
        <v>143.9</v>
      </c>
      <c r="F9424" s="2">
        <f>IFERROR(__xludf.DUMMYFUNCTION("""COMPUTED_VALUE"""),5627962.0)</f>
        <v>5627962</v>
      </c>
    </row>
    <row r="9425">
      <c r="A9425" s="3">
        <f>IFERROR(__xludf.DUMMYFUNCTION("""COMPUTED_VALUE"""),42867.66666666667)</f>
        <v>42867.66667</v>
      </c>
      <c r="B9425" s="2">
        <f>IFERROR(__xludf.DUMMYFUNCTION("""COMPUTED_VALUE"""),143.56)</f>
        <v>143.56</v>
      </c>
      <c r="C9425" s="2">
        <f>IFERROR(__xludf.DUMMYFUNCTION("""COMPUTED_VALUE"""),144.48)</f>
        <v>144.48</v>
      </c>
      <c r="D9425" s="2">
        <f>IFERROR(__xludf.DUMMYFUNCTION("""COMPUTED_VALUE"""),143.27)</f>
        <v>143.27</v>
      </c>
      <c r="E9425" s="2">
        <f>IFERROR(__xludf.DUMMYFUNCTION("""COMPUTED_VALUE"""),143.63)</f>
        <v>143.63</v>
      </c>
      <c r="F9425" s="2">
        <f>IFERROR(__xludf.DUMMYFUNCTION("""COMPUTED_VALUE"""),3715302.0)</f>
        <v>3715302</v>
      </c>
    </row>
    <row r="9426">
      <c r="A9426" s="3">
        <f>IFERROR(__xludf.DUMMYFUNCTION("""COMPUTED_VALUE"""),42870.66666666667)</f>
        <v>42870.66667</v>
      </c>
      <c r="B9426" s="2">
        <f>IFERROR(__xludf.DUMMYFUNCTION("""COMPUTED_VALUE"""),143.87)</f>
        <v>143.87</v>
      </c>
      <c r="C9426" s="2">
        <f>IFERROR(__xludf.DUMMYFUNCTION("""COMPUTED_VALUE"""),145.02)</f>
        <v>145.02</v>
      </c>
      <c r="D9426" s="2">
        <f>IFERROR(__xludf.DUMMYFUNCTION("""COMPUTED_VALUE"""),143.7)</f>
        <v>143.7</v>
      </c>
      <c r="E9426" s="2">
        <f>IFERROR(__xludf.DUMMYFUNCTION("""COMPUTED_VALUE"""),144.72)</f>
        <v>144.72</v>
      </c>
      <c r="F9426" s="2">
        <f>IFERROR(__xludf.DUMMYFUNCTION("""COMPUTED_VALUE"""),4233971.0)</f>
        <v>4233971</v>
      </c>
    </row>
    <row r="9427">
      <c r="A9427" s="3">
        <f>IFERROR(__xludf.DUMMYFUNCTION("""COMPUTED_VALUE"""),42871.66666666667)</f>
        <v>42871.66667</v>
      </c>
      <c r="B9427" s="2">
        <f>IFERROR(__xludf.DUMMYFUNCTION("""COMPUTED_VALUE"""),144.86)</f>
        <v>144.86</v>
      </c>
      <c r="C9427" s="2">
        <f>IFERROR(__xludf.DUMMYFUNCTION("""COMPUTED_VALUE"""),147.09)</f>
        <v>147.09</v>
      </c>
      <c r="D9427" s="2">
        <f>IFERROR(__xludf.DUMMYFUNCTION("""COMPUTED_VALUE"""),144.86)</f>
        <v>144.86</v>
      </c>
      <c r="E9427" s="2">
        <f>IFERROR(__xludf.DUMMYFUNCTION("""COMPUTED_VALUE"""),146.79)</f>
        <v>146.79</v>
      </c>
      <c r="F9427" s="2">
        <f>IFERROR(__xludf.DUMMYFUNCTION("""COMPUTED_VALUE"""),5513690.0)</f>
        <v>5513690</v>
      </c>
    </row>
    <row r="9428">
      <c r="A9428" s="3">
        <f>IFERROR(__xludf.DUMMYFUNCTION("""COMPUTED_VALUE"""),42872.66666666667)</f>
        <v>42872.66667</v>
      </c>
      <c r="B9428" s="2">
        <f>IFERROR(__xludf.DUMMYFUNCTION("""COMPUTED_VALUE"""),146.43)</f>
        <v>146.43</v>
      </c>
      <c r="C9428" s="2">
        <f>IFERROR(__xludf.DUMMYFUNCTION("""COMPUTED_VALUE"""),147.23)</f>
        <v>147.23</v>
      </c>
      <c r="D9428" s="2">
        <f>IFERROR(__xludf.DUMMYFUNCTION("""COMPUTED_VALUE"""),144.12)</f>
        <v>144.12</v>
      </c>
      <c r="E9428" s="2">
        <f>IFERROR(__xludf.DUMMYFUNCTION("""COMPUTED_VALUE"""),144.16)</f>
        <v>144.16</v>
      </c>
      <c r="F9428" s="2">
        <f>IFERROR(__xludf.DUMMYFUNCTION("""COMPUTED_VALUE"""),5189344.0)</f>
        <v>5189344</v>
      </c>
    </row>
    <row r="9429">
      <c r="A9429" s="3">
        <f>IFERROR(__xludf.DUMMYFUNCTION("""COMPUTED_VALUE"""),42873.66666666667)</f>
        <v>42873.66667</v>
      </c>
      <c r="B9429" s="2">
        <f>IFERROR(__xludf.DUMMYFUNCTION("""COMPUTED_VALUE"""),144.1)</f>
        <v>144.1</v>
      </c>
      <c r="C9429" s="2">
        <f>IFERROR(__xludf.DUMMYFUNCTION("""COMPUTED_VALUE"""),144.54)</f>
        <v>144.54</v>
      </c>
      <c r="D9429" s="2">
        <f>IFERROR(__xludf.DUMMYFUNCTION("""COMPUTED_VALUE"""),143.38)</f>
        <v>143.38</v>
      </c>
      <c r="E9429" s="2">
        <f>IFERROR(__xludf.DUMMYFUNCTION("""COMPUTED_VALUE"""),144.02)</f>
        <v>144.02</v>
      </c>
      <c r="F9429" s="2">
        <f>IFERROR(__xludf.DUMMYFUNCTION("""COMPUTED_VALUE"""),3274371.0)</f>
        <v>3274371</v>
      </c>
    </row>
    <row r="9430">
      <c r="A9430" s="3">
        <f>IFERROR(__xludf.DUMMYFUNCTION("""COMPUTED_VALUE"""),42874.66666666667)</f>
        <v>42874.66667</v>
      </c>
      <c r="B9430" s="2">
        <f>IFERROR(__xludf.DUMMYFUNCTION("""COMPUTED_VALUE"""),144.24)</f>
        <v>144.24</v>
      </c>
      <c r="C9430" s="2">
        <f>IFERROR(__xludf.DUMMYFUNCTION("""COMPUTED_VALUE"""),145.62)</f>
        <v>145.62</v>
      </c>
      <c r="D9430" s="2">
        <f>IFERROR(__xludf.DUMMYFUNCTION("""COMPUTED_VALUE"""),144.12)</f>
        <v>144.12</v>
      </c>
      <c r="E9430" s="2">
        <f>IFERROR(__xludf.DUMMYFUNCTION("""COMPUTED_VALUE"""),145.17)</f>
        <v>145.17</v>
      </c>
      <c r="F9430" s="2">
        <f>IFERROR(__xludf.DUMMYFUNCTION("""COMPUTED_VALUE"""),5643263.0)</f>
        <v>5643263</v>
      </c>
    </row>
    <row r="9431">
      <c r="A9431" s="3">
        <f>IFERROR(__xludf.DUMMYFUNCTION("""COMPUTED_VALUE"""),42877.66666666667)</f>
        <v>42877.66667</v>
      </c>
      <c r="B9431" s="2">
        <f>IFERROR(__xludf.DUMMYFUNCTION("""COMPUTED_VALUE"""),145.28)</f>
        <v>145.28</v>
      </c>
      <c r="C9431" s="2">
        <f>IFERROR(__xludf.DUMMYFUNCTION("""COMPUTED_VALUE"""),145.99)</f>
        <v>145.99</v>
      </c>
      <c r="D9431" s="2">
        <f>IFERROR(__xludf.DUMMYFUNCTION("""COMPUTED_VALUE"""),144.8)</f>
        <v>144.8</v>
      </c>
      <c r="E9431" s="2">
        <f>IFERROR(__xludf.DUMMYFUNCTION("""COMPUTED_VALUE"""),145.8)</f>
        <v>145.8</v>
      </c>
      <c r="F9431" s="2">
        <f>IFERROR(__xludf.DUMMYFUNCTION("""COMPUTED_VALUE"""),3302139.0)</f>
        <v>3302139</v>
      </c>
    </row>
    <row r="9432">
      <c r="A9432" s="3">
        <f>IFERROR(__xludf.DUMMYFUNCTION("""COMPUTED_VALUE"""),42878.66666666667)</f>
        <v>42878.66667</v>
      </c>
      <c r="B9432" s="2">
        <f>IFERROR(__xludf.DUMMYFUNCTION("""COMPUTED_VALUE"""),145.73)</f>
        <v>145.73</v>
      </c>
      <c r="C9432" s="2">
        <f>IFERROR(__xludf.DUMMYFUNCTION("""COMPUTED_VALUE"""),146.79)</f>
        <v>146.79</v>
      </c>
      <c r="D9432" s="2">
        <f>IFERROR(__xludf.DUMMYFUNCTION("""COMPUTED_VALUE"""),145.11)</f>
        <v>145.11</v>
      </c>
      <c r="E9432" s="2">
        <f>IFERROR(__xludf.DUMMYFUNCTION("""COMPUTED_VALUE"""),145.21)</f>
        <v>145.21</v>
      </c>
      <c r="F9432" s="2">
        <f>IFERROR(__xludf.DUMMYFUNCTION("""COMPUTED_VALUE"""),2564503.0)</f>
        <v>2564503</v>
      </c>
    </row>
    <row r="9433">
      <c r="A9433" s="3">
        <f>IFERROR(__xludf.DUMMYFUNCTION("""COMPUTED_VALUE"""),42879.66666666667)</f>
        <v>42879.66667</v>
      </c>
      <c r="B9433" s="2">
        <f>IFERROR(__xludf.DUMMYFUNCTION("""COMPUTED_VALUE"""),145.39)</f>
        <v>145.39</v>
      </c>
      <c r="C9433" s="2">
        <f>IFERROR(__xludf.DUMMYFUNCTION("""COMPUTED_VALUE"""),145.91)</f>
        <v>145.91</v>
      </c>
      <c r="D9433" s="2">
        <f>IFERROR(__xludf.DUMMYFUNCTION("""COMPUTED_VALUE"""),144.45)</f>
        <v>144.45</v>
      </c>
      <c r="E9433" s="2">
        <f>IFERROR(__xludf.DUMMYFUNCTION("""COMPUTED_VALUE"""),145.67)</f>
        <v>145.67</v>
      </c>
      <c r="F9433" s="2">
        <f>IFERROR(__xludf.DUMMYFUNCTION("""COMPUTED_VALUE"""),3732399.0)</f>
        <v>3732399</v>
      </c>
    </row>
    <row r="9434">
      <c r="A9434" s="3">
        <f>IFERROR(__xludf.DUMMYFUNCTION("""COMPUTED_VALUE"""),42880.66666666667)</f>
        <v>42880.66667</v>
      </c>
      <c r="B9434" s="2">
        <f>IFERROR(__xludf.DUMMYFUNCTION("""COMPUTED_VALUE"""),146.38)</f>
        <v>146.38</v>
      </c>
      <c r="C9434" s="2">
        <f>IFERROR(__xludf.DUMMYFUNCTION("""COMPUTED_VALUE"""),146.84)</f>
        <v>146.84</v>
      </c>
      <c r="D9434" s="2">
        <f>IFERROR(__xludf.DUMMYFUNCTION("""COMPUTED_VALUE"""),146.09)</f>
        <v>146.09</v>
      </c>
      <c r="E9434" s="2">
        <f>IFERROR(__xludf.DUMMYFUNCTION("""COMPUTED_VALUE"""),146.33)</f>
        <v>146.33</v>
      </c>
      <c r="F9434" s="2">
        <f>IFERROR(__xludf.DUMMYFUNCTION("""COMPUTED_VALUE"""),2582814.0)</f>
        <v>2582814</v>
      </c>
    </row>
    <row r="9435">
      <c r="A9435" s="3">
        <f>IFERROR(__xludf.DUMMYFUNCTION("""COMPUTED_VALUE"""),42881.66666666667)</f>
        <v>42881.66667</v>
      </c>
      <c r="B9435" s="2">
        <f>IFERROR(__xludf.DUMMYFUNCTION("""COMPUTED_VALUE"""),146.0)</f>
        <v>146</v>
      </c>
      <c r="C9435" s="2">
        <f>IFERROR(__xludf.DUMMYFUNCTION("""COMPUTED_VALUE"""),146.14)</f>
        <v>146.14</v>
      </c>
      <c r="D9435" s="2">
        <f>IFERROR(__xludf.DUMMYFUNCTION("""COMPUTED_VALUE"""),145.24)</f>
        <v>145.24</v>
      </c>
      <c r="E9435" s="2">
        <f>IFERROR(__xludf.DUMMYFUNCTION("""COMPUTED_VALUE"""),145.65)</f>
        <v>145.65</v>
      </c>
      <c r="F9435" s="2">
        <f>IFERROR(__xludf.DUMMYFUNCTION("""COMPUTED_VALUE"""),2443363.0)</f>
        <v>2443363</v>
      </c>
    </row>
    <row r="9436">
      <c r="A9436" s="3">
        <f>IFERROR(__xludf.DUMMYFUNCTION("""COMPUTED_VALUE"""),42885.66666666667)</f>
        <v>42885.66667</v>
      </c>
      <c r="B9436" s="2">
        <f>IFERROR(__xludf.DUMMYFUNCTION("""COMPUTED_VALUE"""),145.14)</f>
        <v>145.14</v>
      </c>
      <c r="C9436" s="2">
        <f>IFERROR(__xludf.DUMMYFUNCTION("""COMPUTED_VALUE"""),145.82)</f>
        <v>145.82</v>
      </c>
      <c r="D9436" s="2">
        <f>IFERROR(__xludf.DUMMYFUNCTION("""COMPUTED_VALUE"""),144.79)</f>
        <v>144.79</v>
      </c>
      <c r="E9436" s="2">
        <f>IFERROR(__xludf.DUMMYFUNCTION("""COMPUTED_VALUE"""),144.93)</f>
        <v>144.93</v>
      </c>
      <c r="F9436" s="2">
        <f>IFERROR(__xludf.DUMMYFUNCTION("""COMPUTED_VALUE"""),3666032.0)</f>
        <v>3666032</v>
      </c>
    </row>
    <row r="9437">
      <c r="A9437" s="3">
        <f>IFERROR(__xludf.DUMMYFUNCTION("""COMPUTED_VALUE"""),42886.66666666667)</f>
        <v>42886.66667</v>
      </c>
      <c r="B9437" s="2">
        <f>IFERROR(__xludf.DUMMYFUNCTION("""COMPUTED_VALUE"""),145.21)</f>
        <v>145.21</v>
      </c>
      <c r="C9437" s="2">
        <f>IFERROR(__xludf.DUMMYFUNCTION("""COMPUTED_VALUE"""),145.95)</f>
        <v>145.95</v>
      </c>
      <c r="D9437" s="2">
        <f>IFERROR(__xludf.DUMMYFUNCTION("""COMPUTED_VALUE"""),144.85)</f>
        <v>144.85</v>
      </c>
      <c r="E9437" s="2">
        <f>IFERROR(__xludf.DUMMYFUNCTION("""COMPUTED_VALUE"""),145.79)</f>
        <v>145.79</v>
      </c>
      <c r="F9437" s="2">
        <f>IFERROR(__xludf.DUMMYFUNCTION("""COMPUTED_VALUE"""),3543404.0)</f>
        <v>3543404</v>
      </c>
    </row>
    <row r="9438">
      <c r="A9438" s="3">
        <f>IFERROR(__xludf.DUMMYFUNCTION("""COMPUTED_VALUE"""),42887.66666666667)</f>
        <v>42887.66667</v>
      </c>
      <c r="B9438" s="2">
        <f>IFERROR(__xludf.DUMMYFUNCTION("""COMPUTED_VALUE"""),145.95)</f>
        <v>145.95</v>
      </c>
      <c r="C9438" s="2">
        <f>IFERROR(__xludf.DUMMYFUNCTION("""COMPUTED_VALUE"""),146.02)</f>
        <v>146.02</v>
      </c>
      <c r="D9438" s="2">
        <f>IFERROR(__xludf.DUMMYFUNCTION("""COMPUTED_VALUE"""),144.83)</f>
        <v>144.83</v>
      </c>
      <c r="E9438" s="2">
        <f>IFERROR(__xludf.DUMMYFUNCTION("""COMPUTED_VALUE"""),145.82)</f>
        <v>145.82</v>
      </c>
      <c r="F9438" s="2">
        <f>IFERROR(__xludf.DUMMYFUNCTION("""COMPUTED_VALUE"""),2918122.0)</f>
        <v>2918122</v>
      </c>
    </row>
    <row r="9439">
      <c r="A9439" s="3">
        <f>IFERROR(__xludf.DUMMYFUNCTION("""COMPUTED_VALUE"""),42888.66666666667)</f>
        <v>42888.66667</v>
      </c>
      <c r="B9439" s="2">
        <f>IFERROR(__xludf.DUMMYFUNCTION("""COMPUTED_VALUE"""),146.21)</f>
        <v>146.21</v>
      </c>
      <c r="C9439" s="2">
        <f>IFERROR(__xludf.DUMMYFUNCTION("""COMPUTED_VALUE"""),146.33)</f>
        <v>146.33</v>
      </c>
      <c r="D9439" s="2">
        <f>IFERROR(__xludf.DUMMYFUNCTION("""COMPUTED_VALUE"""),144.99)</f>
        <v>144.99</v>
      </c>
      <c r="E9439" s="2">
        <f>IFERROR(__xludf.DUMMYFUNCTION("""COMPUTED_VALUE"""),145.23)</f>
        <v>145.23</v>
      </c>
      <c r="F9439" s="2">
        <f>IFERROR(__xludf.DUMMYFUNCTION("""COMPUTED_VALUE"""),3585701.0)</f>
        <v>3585701</v>
      </c>
    </row>
    <row r="9440">
      <c r="A9440" s="3">
        <f>IFERROR(__xludf.DUMMYFUNCTION("""COMPUTED_VALUE"""),42891.66666666667)</f>
        <v>42891.66667</v>
      </c>
      <c r="B9440" s="2">
        <f>IFERROR(__xludf.DUMMYFUNCTION("""COMPUTED_VALUE"""),145.01)</f>
        <v>145.01</v>
      </c>
      <c r="C9440" s="2">
        <f>IFERROR(__xludf.DUMMYFUNCTION("""COMPUTED_VALUE"""),146.07)</f>
        <v>146.07</v>
      </c>
      <c r="D9440" s="2">
        <f>IFERROR(__xludf.DUMMYFUNCTION("""COMPUTED_VALUE"""),144.88)</f>
        <v>144.88</v>
      </c>
      <c r="E9440" s="2">
        <f>IFERROR(__xludf.DUMMYFUNCTION("""COMPUTED_VALUE"""),145.58)</f>
        <v>145.58</v>
      </c>
      <c r="F9440" s="2">
        <f>IFERROR(__xludf.DUMMYFUNCTION("""COMPUTED_VALUE"""),3975068.0)</f>
        <v>3975068</v>
      </c>
    </row>
    <row r="9441">
      <c r="A9441" s="3">
        <f>IFERROR(__xludf.DUMMYFUNCTION("""COMPUTED_VALUE"""),42892.66666666667)</f>
        <v>42892.66667</v>
      </c>
      <c r="B9441" s="2">
        <f>IFERROR(__xludf.DUMMYFUNCTION("""COMPUTED_VALUE"""),145.18)</f>
        <v>145.18</v>
      </c>
      <c r="C9441" s="2">
        <f>IFERROR(__xludf.DUMMYFUNCTION("""COMPUTED_VALUE"""),146.04)</f>
        <v>146.04</v>
      </c>
      <c r="D9441" s="2">
        <f>IFERROR(__xludf.DUMMYFUNCTION("""COMPUTED_VALUE"""),145.18)</f>
        <v>145.18</v>
      </c>
      <c r="E9441" s="2">
        <f>IFERROR(__xludf.DUMMYFUNCTION("""COMPUTED_VALUE"""),145.54)</f>
        <v>145.54</v>
      </c>
      <c r="F9441" s="2">
        <f>IFERROR(__xludf.DUMMYFUNCTION("""COMPUTED_VALUE"""),3797173.0)</f>
        <v>3797173</v>
      </c>
    </row>
    <row r="9442">
      <c r="A9442" s="3">
        <f>IFERROR(__xludf.DUMMYFUNCTION("""COMPUTED_VALUE"""),42893.66666666667)</f>
        <v>42893.66667</v>
      </c>
      <c r="B9442" s="2">
        <f>IFERROR(__xludf.DUMMYFUNCTION("""COMPUTED_VALUE"""),146.19)</f>
        <v>146.19</v>
      </c>
      <c r="C9442" s="2">
        <f>IFERROR(__xludf.DUMMYFUNCTION("""COMPUTED_VALUE"""),147.29)</f>
        <v>147.29</v>
      </c>
      <c r="D9442" s="2">
        <f>IFERROR(__xludf.DUMMYFUNCTION("""COMPUTED_VALUE"""),144.04)</f>
        <v>144.04</v>
      </c>
      <c r="E9442" s="2">
        <f>IFERROR(__xludf.DUMMYFUNCTION("""COMPUTED_VALUE"""),144.21)</f>
        <v>144.21</v>
      </c>
      <c r="F9442" s="2">
        <f>IFERROR(__xludf.DUMMYFUNCTION("""COMPUTED_VALUE"""),4862960.0)</f>
        <v>4862960</v>
      </c>
    </row>
    <row r="9443">
      <c r="A9443" s="3">
        <f>IFERROR(__xludf.DUMMYFUNCTION("""COMPUTED_VALUE"""),42894.66666666667)</f>
        <v>42894.66667</v>
      </c>
      <c r="B9443" s="2">
        <f>IFERROR(__xludf.DUMMYFUNCTION("""COMPUTED_VALUE"""),144.23)</f>
        <v>144.23</v>
      </c>
      <c r="C9443" s="2">
        <f>IFERROR(__xludf.DUMMYFUNCTION("""COMPUTED_VALUE"""),145.97)</f>
        <v>145.97</v>
      </c>
      <c r="D9443" s="2">
        <f>IFERROR(__xludf.DUMMYFUNCTION("""COMPUTED_VALUE"""),144.15)</f>
        <v>144.15</v>
      </c>
      <c r="E9443" s="2">
        <f>IFERROR(__xludf.DUMMYFUNCTION("""COMPUTED_VALUE"""),145.28)</f>
        <v>145.28</v>
      </c>
      <c r="F9443" s="2">
        <f>IFERROR(__xludf.DUMMYFUNCTION("""COMPUTED_VALUE"""),3708962.0)</f>
        <v>3708962</v>
      </c>
    </row>
    <row r="9444">
      <c r="A9444" s="3">
        <f>IFERROR(__xludf.DUMMYFUNCTION("""COMPUTED_VALUE"""),42895.66666666667)</f>
        <v>42895.66667</v>
      </c>
      <c r="B9444" s="2">
        <f>IFERROR(__xludf.DUMMYFUNCTION("""COMPUTED_VALUE"""),145.18)</f>
        <v>145.18</v>
      </c>
      <c r="C9444" s="2">
        <f>IFERROR(__xludf.DUMMYFUNCTION("""COMPUTED_VALUE"""),147.35)</f>
        <v>147.35</v>
      </c>
      <c r="D9444" s="2">
        <f>IFERROR(__xludf.DUMMYFUNCTION("""COMPUTED_VALUE"""),145.07)</f>
        <v>145.07</v>
      </c>
      <c r="E9444" s="2">
        <f>IFERROR(__xludf.DUMMYFUNCTION("""COMPUTED_VALUE"""),147.19)</f>
        <v>147.19</v>
      </c>
      <c r="F9444" s="2">
        <f>IFERROR(__xludf.DUMMYFUNCTION("""COMPUTED_VALUE"""),4361174.0)</f>
        <v>4361174</v>
      </c>
    </row>
    <row r="9445">
      <c r="A9445" s="3">
        <f>IFERROR(__xludf.DUMMYFUNCTION("""COMPUTED_VALUE"""),42898.66666666667)</f>
        <v>42898.66667</v>
      </c>
      <c r="B9445" s="2">
        <f>IFERROR(__xludf.DUMMYFUNCTION("""COMPUTED_VALUE"""),147.28)</f>
        <v>147.28</v>
      </c>
      <c r="C9445" s="2">
        <f>IFERROR(__xludf.DUMMYFUNCTION("""COMPUTED_VALUE"""),150.15)</f>
        <v>150.15</v>
      </c>
      <c r="D9445" s="2">
        <f>IFERROR(__xludf.DUMMYFUNCTION("""COMPUTED_VALUE"""),147.11)</f>
        <v>147.11</v>
      </c>
      <c r="E9445" s="2">
        <f>IFERROR(__xludf.DUMMYFUNCTION("""COMPUTED_VALUE"""),148.22)</f>
        <v>148.22</v>
      </c>
      <c r="F9445" s="2">
        <f>IFERROR(__xludf.DUMMYFUNCTION("""COMPUTED_VALUE"""),6470545.0)</f>
        <v>6470545</v>
      </c>
    </row>
    <row r="9446">
      <c r="A9446" s="3">
        <f>IFERROR(__xludf.DUMMYFUNCTION("""COMPUTED_VALUE"""),42899.66666666667)</f>
        <v>42899.66667</v>
      </c>
      <c r="B9446" s="2">
        <f>IFERROR(__xludf.DUMMYFUNCTION("""COMPUTED_VALUE"""),148.47)</f>
        <v>148.47</v>
      </c>
      <c r="C9446" s="2">
        <f>IFERROR(__xludf.DUMMYFUNCTION("""COMPUTED_VALUE"""),148.51)</f>
        <v>148.51</v>
      </c>
      <c r="D9446" s="2">
        <f>IFERROR(__xludf.DUMMYFUNCTION("""COMPUTED_VALUE"""),147.24)</f>
        <v>147.24</v>
      </c>
      <c r="E9446" s="2">
        <f>IFERROR(__xludf.DUMMYFUNCTION("""COMPUTED_VALUE"""),147.33)</f>
        <v>147.33</v>
      </c>
      <c r="F9446" s="2">
        <f>IFERROR(__xludf.DUMMYFUNCTION("""COMPUTED_VALUE"""),3523529.0)</f>
        <v>3523529</v>
      </c>
    </row>
    <row r="9447">
      <c r="A9447" s="3">
        <f>IFERROR(__xludf.DUMMYFUNCTION("""COMPUTED_VALUE"""),42900.66666666667)</f>
        <v>42900.66667</v>
      </c>
      <c r="B9447" s="2">
        <f>IFERROR(__xludf.DUMMYFUNCTION("""COMPUTED_VALUE"""),147.07)</f>
        <v>147.07</v>
      </c>
      <c r="C9447" s="2">
        <f>IFERROR(__xludf.DUMMYFUNCTION("""COMPUTED_VALUE"""),147.99)</f>
        <v>147.99</v>
      </c>
      <c r="D9447" s="2">
        <f>IFERROR(__xludf.DUMMYFUNCTION("""COMPUTED_VALUE"""),146.08)</f>
        <v>146.08</v>
      </c>
      <c r="E9447" s="2">
        <f>IFERROR(__xludf.DUMMYFUNCTION("""COMPUTED_VALUE"""),146.91)</f>
        <v>146.91</v>
      </c>
      <c r="F9447" s="2">
        <f>IFERROR(__xludf.DUMMYFUNCTION("""COMPUTED_VALUE"""),3049724.0)</f>
        <v>3049724</v>
      </c>
    </row>
    <row r="9448">
      <c r="A9448" s="3">
        <f>IFERROR(__xludf.DUMMYFUNCTION("""COMPUTED_VALUE"""),42901.66666666667)</f>
        <v>42901.66667</v>
      </c>
      <c r="B9448" s="2">
        <f>IFERROR(__xludf.DUMMYFUNCTION("""COMPUTED_VALUE"""),146.42)</f>
        <v>146.42</v>
      </c>
      <c r="C9448" s="2">
        <f>IFERROR(__xludf.DUMMYFUNCTION("""COMPUTED_VALUE"""),147.75)</f>
        <v>147.75</v>
      </c>
      <c r="D9448" s="2">
        <f>IFERROR(__xludf.DUMMYFUNCTION("""COMPUTED_VALUE"""),146.42)</f>
        <v>146.42</v>
      </c>
      <c r="E9448" s="2">
        <f>IFERROR(__xludf.DUMMYFUNCTION("""COMPUTED_VALUE"""),147.31)</f>
        <v>147.31</v>
      </c>
      <c r="F9448" s="2">
        <f>IFERROR(__xludf.DUMMYFUNCTION("""COMPUTED_VALUE"""),4654197.0)</f>
        <v>4654197</v>
      </c>
    </row>
    <row r="9449">
      <c r="A9449" s="3">
        <f>IFERROR(__xludf.DUMMYFUNCTION("""COMPUTED_VALUE"""),42902.66666666667)</f>
        <v>42902.66667</v>
      </c>
      <c r="B9449" s="2">
        <f>IFERROR(__xludf.DUMMYFUNCTION("""COMPUTED_VALUE"""),147.31)</f>
        <v>147.31</v>
      </c>
      <c r="C9449" s="2">
        <f>IFERROR(__xludf.DUMMYFUNCTION("""COMPUTED_VALUE"""),148.45)</f>
        <v>148.45</v>
      </c>
      <c r="D9449" s="2">
        <f>IFERROR(__xludf.DUMMYFUNCTION("""COMPUTED_VALUE"""),146.11)</f>
        <v>146.11</v>
      </c>
      <c r="E9449" s="2">
        <f>IFERROR(__xludf.DUMMYFUNCTION("""COMPUTED_VALUE"""),148.41)</f>
        <v>148.41</v>
      </c>
      <c r="F9449" s="2">
        <f>IFERROR(__xludf.DUMMYFUNCTION("""COMPUTED_VALUE"""),6741763.0)</f>
        <v>6741763</v>
      </c>
    </row>
    <row r="9450">
      <c r="A9450" s="3">
        <f>IFERROR(__xludf.DUMMYFUNCTION("""COMPUTED_VALUE"""),42905.66666666667)</f>
        <v>42905.66667</v>
      </c>
      <c r="B9450" s="2">
        <f>IFERROR(__xludf.DUMMYFUNCTION("""COMPUTED_VALUE"""),148.54)</f>
        <v>148.54</v>
      </c>
      <c r="C9450" s="2">
        <f>IFERROR(__xludf.DUMMYFUNCTION("""COMPUTED_VALUE"""),148.87)</f>
        <v>148.87</v>
      </c>
      <c r="D9450" s="2">
        <f>IFERROR(__xludf.DUMMYFUNCTION("""COMPUTED_VALUE"""),147.61)</f>
        <v>147.61</v>
      </c>
      <c r="E9450" s="2">
        <f>IFERROR(__xludf.DUMMYFUNCTION("""COMPUTED_VALUE"""),147.9)</f>
        <v>147.9</v>
      </c>
      <c r="F9450" s="2">
        <f>IFERROR(__xludf.DUMMYFUNCTION("""COMPUTED_VALUE"""),4629492.0)</f>
        <v>4629492</v>
      </c>
    </row>
    <row r="9451">
      <c r="A9451" s="3">
        <f>IFERROR(__xludf.DUMMYFUNCTION("""COMPUTED_VALUE"""),42906.66666666667)</f>
        <v>42906.66667</v>
      </c>
      <c r="B9451" s="2">
        <f>IFERROR(__xludf.DUMMYFUNCTION("""COMPUTED_VALUE"""),147.55)</f>
        <v>147.55</v>
      </c>
      <c r="C9451" s="2">
        <f>IFERROR(__xludf.DUMMYFUNCTION("""COMPUTED_VALUE"""),148.42)</f>
        <v>148.42</v>
      </c>
      <c r="D9451" s="2">
        <f>IFERROR(__xludf.DUMMYFUNCTION("""COMPUTED_VALUE"""),147.33)</f>
        <v>147.33</v>
      </c>
      <c r="E9451" s="2">
        <f>IFERROR(__xludf.DUMMYFUNCTION("""COMPUTED_VALUE"""),148.0)</f>
        <v>148</v>
      </c>
      <c r="F9451" s="2">
        <f>IFERROR(__xludf.DUMMYFUNCTION("""COMPUTED_VALUE"""),4481805.0)</f>
        <v>4481805</v>
      </c>
    </row>
    <row r="9452">
      <c r="A9452" s="3">
        <f>IFERROR(__xludf.DUMMYFUNCTION("""COMPUTED_VALUE"""),42907.66666666667)</f>
        <v>42907.66667</v>
      </c>
      <c r="B9452" s="2">
        <f>IFERROR(__xludf.DUMMYFUNCTION("""COMPUTED_VALUE"""),148.81)</f>
        <v>148.81</v>
      </c>
      <c r="C9452" s="2">
        <f>IFERROR(__xludf.DUMMYFUNCTION("""COMPUTED_VALUE"""),148.81)</f>
        <v>148.81</v>
      </c>
      <c r="D9452" s="2">
        <f>IFERROR(__xludf.DUMMYFUNCTION("""COMPUTED_VALUE"""),146.51)</f>
        <v>146.51</v>
      </c>
      <c r="E9452" s="2">
        <f>IFERROR(__xludf.DUMMYFUNCTION("""COMPUTED_VALUE"""),146.89)</f>
        <v>146.89</v>
      </c>
      <c r="F9452" s="2">
        <f>IFERROR(__xludf.DUMMYFUNCTION("""COMPUTED_VALUE"""),3959414.0)</f>
        <v>3959414</v>
      </c>
    </row>
    <row r="9453">
      <c r="A9453" s="3">
        <f>IFERROR(__xludf.DUMMYFUNCTION("""COMPUTED_VALUE"""),42908.66666666667)</f>
        <v>42908.66667</v>
      </c>
      <c r="B9453" s="2">
        <f>IFERROR(__xludf.DUMMYFUNCTION("""COMPUTED_VALUE"""),147.62)</f>
        <v>147.62</v>
      </c>
      <c r="C9453" s="2">
        <f>IFERROR(__xludf.DUMMYFUNCTION("""COMPUTED_VALUE"""),148.04)</f>
        <v>148.04</v>
      </c>
      <c r="D9453" s="2">
        <f>IFERROR(__xludf.DUMMYFUNCTION("""COMPUTED_VALUE"""),146.8)</f>
        <v>146.8</v>
      </c>
      <c r="E9453" s="2">
        <f>IFERROR(__xludf.DUMMYFUNCTION("""COMPUTED_VALUE"""),147.48)</f>
        <v>147.48</v>
      </c>
      <c r="F9453" s="2">
        <f>IFERROR(__xludf.DUMMYFUNCTION("""COMPUTED_VALUE"""),2376481.0)</f>
        <v>2376481</v>
      </c>
    </row>
    <row r="9454">
      <c r="A9454" s="3">
        <f>IFERROR(__xludf.DUMMYFUNCTION("""COMPUTED_VALUE"""),42909.66666666667)</f>
        <v>42909.66667</v>
      </c>
      <c r="B9454" s="2">
        <f>IFERROR(__xludf.DUMMYFUNCTION("""COMPUTED_VALUE"""),147.42)</f>
        <v>147.42</v>
      </c>
      <c r="C9454" s="2">
        <f>IFERROR(__xludf.DUMMYFUNCTION("""COMPUTED_VALUE"""),147.74)</f>
        <v>147.74</v>
      </c>
      <c r="D9454" s="2">
        <f>IFERROR(__xludf.DUMMYFUNCTION("""COMPUTED_VALUE"""),146.9)</f>
        <v>146.9</v>
      </c>
      <c r="E9454" s="2">
        <f>IFERROR(__xludf.DUMMYFUNCTION("""COMPUTED_VALUE"""),147.2)</f>
        <v>147.2</v>
      </c>
      <c r="F9454" s="2">
        <f>IFERROR(__xludf.DUMMYFUNCTION("""COMPUTED_VALUE"""),3282201.0)</f>
        <v>3282201</v>
      </c>
    </row>
    <row r="9455">
      <c r="A9455" s="3">
        <f>IFERROR(__xludf.DUMMYFUNCTION("""COMPUTED_VALUE"""),42912.66666666667)</f>
        <v>42912.66667</v>
      </c>
      <c r="B9455" s="2">
        <f>IFERROR(__xludf.DUMMYFUNCTION("""COMPUTED_VALUE"""),147.77)</f>
        <v>147.77</v>
      </c>
      <c r="C9455" s="2">
        <f>IFERROR(__xludf.DUMMYFUNCTION("""COMPUTED_VALUE"""),148.77)</f>
        <v>148.77</v>
      </c>
      <c r="D9455" s="2">
        <f>IFERROR(__xludf.DUMMYFUNCTION("""COMPUTED_VALUE"""),147.7)</f>
        <v>147.7</v>
      </c>
      <c r="E9455" s="2">
        <f>IFERROR(__xludf.DUMMYFUNCTION("""COMPUTED_VALUE"""),148.27)</f>
        <v>148.27</v>
      </c>
      <c r="F9455" s="2">
        <f>IFERROR(__xludf.DUMMYFUNCTION("""COMPUTED_VALUE"""),2153343.0)</f>
        <v>2153343</v>
      </c>
    </row>
    <row r="9456">
      <c r="A9456" s="3">
        <f>IFERROR(__xludf.DUMMYFUNCTION("""COMPUTED_VALUE"""),42913.66666666667)</f>
        <v>42913.66667</v>
      </c>
      <c r="B9456" s="2">
        <f>IFERROR(__xludf.DUMMYFUNCTION("""COMPUTED_VALUE"""),148.05)</f>
        <v>148.05</v>
      </c>
      <c r="C9456" s="2">
        <f>IFERROR(__xludf.DUMMYFUNCTION("""COMPUTED_VALUE"""),148.38)</f>
        <v>148.38</v>
      </c>
      <c r="D9456" s="2">
        <f>IFERROR(__xludf.DUMMYFUNCTION("""COMPUTED_VALUE"""),147.57)</f>
        <v>147.57</v>
      </c>
      <c r="E9456" s="2">
        <f>IFERROR(__xludf.DUMMYFUNCTION("""COMPUTED_VALUE"""),147.81)</f>
        <v>147.81</v>
      </c>
      <c r="F9456" s="2">
        <f>IFERROR(__xludf.DUMMYFUNCTION("""COMPUTED_VALUE"""),2386491.0)</f>
        <v>2386491</v>
      </c>
    </row>
    <row r="9457">
      <c r="A9457" s="3">
        <f>IFERROR(__xludf.DUMMYFUNCTION("""COMPUTED_VALUE"""),42914.66666666667)</f>
        <v>42914.66667</v>
      </c>
      <c r="B9457" s="2">
        <f>IFERROR(__xludf.DUMMYFUNCTION("""COMPUTED_VALUE"""),148.19)</f>
        <v>148.19</v>
      </c>
      <c r="C9457" s="2">
        <f>IFERROR(__xludf.DUMMYFUNCTION("""COMPUTED_VALUE"""),148.58)</f>
        <v>148.58</v>
      </c>
      <c r="D9457" s="2">
        <f>IFERROR(__xludf.DUMMYFUNCTION("""COMPUTED_VALUE"""),147.84)</f>
        <v>147.84</v>
      </c>
      <c r="E9457" s="2">
        <f>IFERROR(__xludf.DUMMYFUNCTION("""COMPUTED_VALUE"""),148.36)</f>
        <v>148.36</v>
      </c>
      <c r="F9457" s="2">
        <f>IFERROR(__xludf.DUMMYFUNCTION("""COMPUTED_VALUE"""),2217329.0)</f>
        <v>2217329</v>
      </c>
    </row>
    <row r="9458">
      <c r="A9458" s="3">
        <f>IFERROR(__xludf.DUMMYFUNCTION("""COMPUTED_VALUE"""),42915.66666666667)</f>
        <v>42915.66667</v>
      </c>
      <c r="B9458" s="2">
        <f>IFERROR(__xludf.DUMMYFUNCTION("""COMPUTED_VALUE"""),148.38)</f>
        <v>148.38</v>
      </c>
      <c r="C9458" s="2">
        <f>IFERROR(__xludf.DUMMYFUNCTION("""COMPUTED_VALUE"""),148.76)</f>
        <v>148.76</v>
      </c>
      <c r="D9458" s="2">
        <f>IFERROR(__xludf.DUMMYFUNCTION("""COMPUTED_VALUE"""),146.73)</f>
        <v>146.73</v>
      </c>
      <c r="E9458" s="2">
        <f>IFERROR(__xludf.DUMMYFUNCTION("""COMPUTED_VALUE"""),147.22)</f>
        <v>147.22</v>
      </c>
      <c r="F9458" s="2">
        <f>IFERROR(__xludf.DUMMYFUNCTION("""COMPUTED_VALUE"""),3262159.0)</f>
        <v>3262159</v>
      </c>
    </row>
    <row r="9459">
      <c r="A9459" s="3">
        <f>IFERROR(__xludf.DUMMYFUNCTION("""COMPUTED_VALUE"""),42916.66666666667)</f>
        <v>42916.66667</v>
      </c>
      <c r="B9459" s="2">
        <f>IFERROR(__xludf.DUMMYFUNCTION("""COMPUTED_VALUE"""),147.36)</f>
        <v>147.36</v>
      </c>
      <c r="C9459" s="2">
        <f>IFERROR(__xludf.DUMMYFUNCTION("""COMPUTED_VALUE"""),147.57)</f>
        <v>147.57</v>
      </c>
      <c r="D9459" s="2">
        <f>IFERROR(__xludf.DUMMYFUNCTION("""COMPUTED_VALUE"""),146.27)</f>
        <v>146.27</v>
      </c>
      <c r="E9459" s="2">
        <f>IFERROR(__xludf.DUMMYFUNCTION("""COMPUTED_VALUE"""),146.93)</f>
        <v>146.93</v>
      </c>
      <c r="F9459" s="2">
        <f>IFERROR(__xludf.DUMMYFUNCTION("""COMPUTED_VALUE"""),3571536.0)</f>
        <v>3571536</v>
      </c>
    </row>
    <row r="9460">
      <c r="A9460" s="3">
        <f>IFERROR(__xludf.DUMMYFUNCTION("""COMPUTED_VALUE"""),42919.66666666667)</f>
        <v>42919.66667</v>
      </c>
      <c r="B9460" s="2">
        <f>IFERROR(__xludf.DUMMYFUNCTION("""COMPUTED_VALUE"""),146.69)</f>
        <v>146.69</v>
      </c>
      <c r="C9460" s="2">
        <f>IFERROR(__xludf.DUMMYFUNCTION("""COMPUTED_VALUE"""),149.03)</f>
        <v>149.03</v>
      </c>
      <c r="D9460" s="2">
        <f>IFERROR(__xludf.DUMMYFUNCTION("""COMPUTED_VALUE"""),146.64)</f>
        <v>146.64</v>
      </c>
      <c r="E9460" s="2">
        <f>IFERROR(__xludf.DUMMYFUNCTION("""COMPUTED_VALUE"""),148.6)</f>
        <v>148.6</v>
      </c>
      <c r="F9460" s="2">
        <f>IFERROR(__xludf.DUMMYFUNCTION("""COMPUTED_VALUE"""),2822651.0)</f>
        <v>2822651</v>
      </c>
    </row>
    <row r="9461">
      <c r="A9461" s="3">
        <f>IFERROR(__xludf.DUMMYFUNCTION("""COMPUTED_VALUE"""),42921.66666666667)</f>
        <v>42921.66667</v>
      </c>
      <c r="B9461" s="2">
        <f>IFERROR(__xludf.DUMMYFUNCTION("""COMPUTED_VALUE"""),148.79)</f>
        <v>148.79</v>
      </c>
      <c r="C9461" s="2">
        <f>IFERROR(__xludf.DUMMYFUNCTION("""COMPUTED_VALUE"""),148.9)</f>
        <v>148.9</v>
      </c>
      <c r="D9461" s="2">
        <f>IFERROR(__xludf.DUMMYFUNCTION("""COMPUTED_VALUE"""),146.74)</f>
        <v>146.74</v>
      </c>
      <c r="E9461" s="2">
        <f>IFERROR(__xludf.DUMMYFUNCTION("""COMPUTED_VALUE"""),146.78)</f>
        <v>146.78</v>
      </c>
      <c r="F9461" s="2">
        <f>IFERROR(__xludf.DUMMYFUNCTION("""COMPUTED_VALUE"""),3564354.0)</f>
        <v>3564354</v>
      </c>
    </row>
    <row r="9462">
      <c r="A9462" s="3">
        <f>IFERROR(__xludf.DUMMYFUNCTION("""COMPUTED_VALUE"""),42922.66666666667)</f>
        <v>42922.66667</v>
      </c>
      <c r="B9462" s="2">
        <f>IFERROR(__xludf.DUMMYFUNCTION("""COMPUTED_VALUE"""),146.48)</f>
        <v>146.48</v>
      </c>
      <c r="C9462" s="2">
        <f>IFERROR(__xludf.DUMMYFUNCTION("""COMPUTED_VALUE"""),146.93)</f>
        <v>146.93</v>
      </c>
      <c r="D9462" s="2">
        <f>IFERROR(__xludf.DUMMYFUNCTION("""COMPUTED_VALUE"""),145.4)</f>
        <v>145.4</v>
      </c>
      <c r="E9462" s="2">
        <f>IFERROR(__xludf.DUMMYFUNCTION("""COMPUTED_VALUE"""),145.53)</f>
        <v>145.53</v>
      </c>
      <c r="F9462" s="2">
        <f>IFERROR(__xludf.DUMMYFUNCTION("""COMPUTED_VALUE"""),2757522.0)</f>
        <v>2757522</v>
      </c>
    </row>
    <row r="9463">
      <c r="A9463" s="3">
        <f>IFERROR(__xludf.DUMMYFUNCTION("""COMPUTED_VALUE"""),42923.66666666667)</f>
        <v>42923.66667</v>
      </c>
      <c r="B9463" s="2">
        <f>IFERROR(__xludf.DUMMYFUNCTION("""COMPUTED_VALUE"""),145.78)</f>
        <v>145.78</v>
      </c>
      <c r="C9463" s="2">
        <f>IFERROR(__xludf.DUMMYFUNCTION("""COMPUTED_VALUE"""),146.61)</f>
        <v>146.61</v>
      </c>
      <c r="D9463" s="2">
        <f>IFERROR(__xludf.DUMMYFUNCTION("""COMPUTED_VALUE"""),145.32)</f>
        <v>145.32</v>
      </c>
      <c r="E9463" s="2">
        <f>IFERROR(__xludf.DUMMYFUNCTION("""COMPUTED_VALUE"""),146.08)</f>
        <v>146.08</v>
      </c>
      <c r="F9463" s="2">
        <f>IFERROR(__xludf.DUMMYFUNCTION("""COMPUTED_VALUE"""),2460060.0)</f>
        <v>2460060</v>
      </c>
    </row>
    <row r="9464">
      <c r="A9464" s="3">
        <f>IFERROR(__xludf.DUMMYFUNCTION("""COMPUTED_VALUE"""),42926.66666666667)</f>
        <v>42926.66667</v>
      </c>
      <c r="B9464" s="2">
        <f>IFERROR(__xludf.DUMMYFUNCTION("""COMPUTED_VALUE"""),146.05)</f>
        <v>146.05</v>
      </c>
      <c r="C9464" s="2">
        <f>IFERROR(__xludf.DUMMYFUNCTION("""COMPUTED_VALUE"""),146.99)</f>
        <v>146.99</v>
      </c>
      <c r="D9464" s="2">
        <f>IFERROR(__xludf.DUMMYFUNCTION("""COMPUTED_VALUE"""),145.79)</f>
        <v>145.79</v>
      </c>
      <c r="E9464" s="2">
        <f>IFERROR(__xludf.DUMMYFUNCTION("""COMPUTED_VALUE"""),146.54)</f>
        <v>146.54</v>
      </c>
      <c r="F9464" s="2">
        <f>IFERROR(__xludf.DUMMYFUNCTION("""COMPUTED_VALUE"""),3206209.0)</f>
        <v>3206209</v>
      </c>
    </row>
    <row r="9465">
      <c r="A9465" s="3">
        <f>IFERROR(__xludf.DUMMYFUNCTION("""COMPUTED_VALUE"""),42927.66666666667)</f>
        <v>42927.66667</v>
      </c>
      <c r="B9465" s="2">
        <f>IFERROR(__xludf.DUMMYFUNCTION("""COMPUTED_VALUE"""),146.39)</f>
        <v>146.39</v>
      </c>
      <c r="C9465" s="2">
        <f>IFERROR(__xludf.DUMMYFUNCTION("""COMPUTED_VALUE"""),146.76)</f>
        <v>146.76</v>
      </c>
      <c r="D9465" s="2">
        <f>IFERROR(__xludf.DUMMYFUNCTION("""COMPUTED_VALUE"""),145.23)</f>
        <v>145.23</v>
      </c>
      <c r="E9465" s="2">
        <f>IFERROR(__xludf.DUMMYFUNCTION("""COMPUTED_VALUE"""),146.32)</f>
        <v>146.32</v>
      </c>
      <c r="F9465" s="2">
        <f>IFERROR(__xludf.DUMMYFUNCTION("""COMPUTED_VALUE"""),3447509.0)</f>
        <v>3447509</v>
      </c>
    </row>
    <row r="9466">
      <c r="A9466" s="3">
        <f>IFERROR(__xludf.DUMMYFUNCTION("""COMPUTED_VALUE"""),42928.66666666667)</f>
        <v>42928.66667</v>
      </c>
      <c r="B9466" s="2">
        <f>IFERROR(__xludf.DUMMYFUNCTION("""COMPUTED_VALUE"""),146.6)</f>
        <v>146.6</v>
      </c>
      <c r="C9466" s="2">
        <f>IFERROR(__xludf.DUMMYFUNCTION("""COMPUTED_VALUE"""),147.32)</f>
        <v>147.32</v>
      </c>
      <c r="D9466" s="2">
        <f>IFERROR(__xludf.DUMMYFUNCTION("""COMPUTED_VALUE"""),146.19)</f>
        <v>146.19</v>
      </c>
      <c r="E9466" s="2">
        <f>IFERROR(__xludf.DUMMYFUNCTION("""COMPUTED_VALUE"""),146.81)</f>
        <v>146.81</v>
      </c>
      <c r="F9466" s="2">
        <f>IFERROR(__xludf.DUMMYFUNCTION("""COMPUTED_VALUE"""),3097850.0)</f>
        <v>3097850</v>
      </c>
    </row>
    <row r="9467">
      <c r="A9467" s="3">
        <f>IFERROR(__xludf.DUMMYFUNCTION("""COMPUTED_VALUE"""),42929.66666666667)</f>
        <v>42929.66667</v>
      </c>
      <c r="B9467" s="2">
        <f>IFERROR(__xludf.DUMMYFUNCTION("""COMPUTED_VALUE"""),146.81)</f>
        <v>146.81</v>
      </c>
      <c r="C9467" s="2">
        <f>IFERROR(__xludf.DUMMYFUNCTION("""COMPUTED_VALUE"""),147.28)</f>
        <v>147.28</v>
      </c>
      <c r="D9467" s="2">
        <f>IFERROR(__xludf.DUMMYFUNCTION("""COMPUTED_VALUE"""),146.32)</f>
        <v>146.32</v>
      </c>
      <c r="E9467" s="2">
        <f>IFERROR(__xludf.DUMMYFUNCTION("""COMPUTED_VALUE"""),146.74)</f>
        <v>146.74</v>
      </c>
      <c r="F9467" s="2">
        <f>IFERROR(__xludf.DUMMYFUNCTION("""COMPUTED_VALUE"""),2476112.0)</f>
        <v>2476112</v>
      </c>
    </row>
    <row r="9468">
      <c r="A9468" s="3">
        <f>IFERROR(__xludf.DUMMYFUNCTION("""COMPUTED_VALUE"""),42930.66666666667)</f>
        <v>42930.66667</v>
      </c>
      <c r="B9468" s="2">
        <f>IFERROR(__xludf.DUMMYFUNCTION("""COMPUTED_VALUE"""),147.1)</f>
        <v>147.1</v>
      </c>
      <c r="C9468" s="2">
        <f>IFERROR(__xludf.DUMMYFUNCTION("""COMPUTED_VALUE"""),147.68)</f>
        <v>147.68</v>
      </c>
      <c r="D9468" s="2">
        <f>IFERROR(__xludf.DUMMYFUNCTION("""COMPUTED_VALUE"""),146.52)</f>
        <v>146.52</v>
      </c>
      <c r="E9468" s="2">
        <f>IFERROR(__xludf.DUMMYFUNCTION("""COMPUTED_VALUE"""),147.32)</f>
        <v>147.32</v>
      </c>
      <c r="F9468" s="2">
        <f>IFERROR(__xludf.DUMMYFUNCTION("""COMPUTED_VALUE"""),3256218.0)</f>
        <v>3256218</v>
      </c>
    </row>
    <row r="9469">
      <c r="A9469" s="3">
        <f>IFERROR(__xludf.DUMMYFUNCTION("""COMPUTED_VALUE"""),42933.66666666667)</f>
        <v>42933.66667</v>
      </c>
      <c r="B9469" s="2">
        <f>IFERROR(__xludf.DUMMYFUNCTION("""COMPUTED_VALUE"""),146.7)</f>
        <v>146.7</v>
      </c>
      <c r="C9469" s="2">
        <f>IFERROR(__xludf.DUMMYFUNCTION("""COMPUTED_VALUE"""),146.98)</f>
        <v>146.98</v>
      </c>
      <c r="D9469" s="2">
        <f>IFERROR(__xludf.DUMMYFUNCTION("""COMPUTED_VALUE"""),145.41)</f>
        <v>145.41</v>
      </c>
      <c r="E9469" s="2">
        <f>IFERROR(__xludf.DUMMYFUNCTION("""COMPUTED_VALUE"""),146.15)</f>
        <v>146.15</v>
      </c>
      <c r="F9469" s="2">
        <f>IFERROR(__xludf.DUMMYFUNCTION("""COMPUTED_VALUE"""),4761245.0)</f>
        <v>4761245</v>
      </c>
    </row>
    <row r="9470">
      <c r="A9470" s="3">
        <f>IFERROR(__xludf.DUMMYFUNCTION("""COMPUTED_VALUE"""),42934.66666666667)</f>
        <v>42934.66667</v>
      </c>
      <c r="B9470" s="2">
        <f>IFERROR(__xludf.DUMMYFUNCTION("""COMPUTED_VALUE"""),145.53)</f>
        <v>145.53</v>
      </c>
      <c r="C9470" s="2">
        <f>IFERROR(__xludf.DUMMYFUNCTION("""COMPUTED_VALUE"""),147.37)</f>
        <v>147.37</v>
      </c>
      <c r="D9470" s="2">
        <f>IFERROR(__xludf.DUMMYFUNCTION("""COMPUTED_VALUE"""),145.18)</f>
        <v>145.18</v>
      </c>
      <c r="E9470" s="2">
        <f>IFERROR(__xludf.DUMMYFUNCTION("""COMPUTED_VALUE"""),147.1)</f>
        <v>147.1</v>
      </c>
      <c r="F9470" s="2">
        <f>IFERROR(__xludf.DUMMYFUNCTION("""COMPUTED_VALUE"""),7524443.0)</f>
        <v>7524443</v>
      </c>
    </row>
    <row r="9471">
      <c r="A9471" s="3">
        <f>IFERROR(__xludf.DUMMYFUNCTION("""COMPUTED_VALUE"""),42935.66666666667)</f>
        <v>42935.66667</v>
      </c>
      <c r="B9471" s="2">
        <f>IFERROR(__xludf.DUMMYFUNCTION("""COMPUTED_VALUE"""),143.29)</f>
        <v>143.29</v>
      </c>
      <c r="C9471" s="2">
        <f>IFERROR(__xludf.DUMMYFUNCTION("""COMPUTED_VALUE"""),143.51)</f>
        <v>143.51</v>
      </c>
      <c r="D9471" s="2">
        <f>IFERROR(__xludf.DUMMYFUNCTION("""COMPUTED_VALUE"""),140.13)</f>
        <v>140.13</v>
      </c>
      <c r="E9471" s="2">
        <f>IFERROR(__xludf.DUMMYFUNCTION("""COMPUTED_VALUE"""),140.92)</f>
        <v>140.92</v>
      </c>
      <c r="F9471" s="2">
        <f>IFERROR(__xludf.DUMMYFUNCTION("""COMPUTED_VALUE"""),1.4292355E7)</f>
        <v>14292355</v>
      </c>
    </row>
    <row r="9472">
      <c r="A9472" s="3">
        <f>IFERROR(__xludf.DUMMYFUNCTION("""COMPUTED_VALUE"""),42936.66666666667)</f>
        <v>42936.66667</v>
      </c>
      <c r="B9472" s="2">
        <f>IFERROR(__xludf.DUMMYFUNCTION("""COMPUTED_VALUE"""),140.92)</f>
        <v>140.92</v>
      </c>
      <c r="C9472" s="2">
        <f>IFERROR(__xludf.DUMMYFUNCTION("""COMPUTED_VALUE"""),142.16)</f>
        <v>142.16</v>
      </c>
      <c r="D9472" s="2">
        <f>IFERROR(__xludf.DUMMYFUNCTION("""COMPUTED_VALUE"""),140.44)</f>
        <v>140.44</v>
      </c>
      <c r="E9472" s="2">
        <f>IFERROR(__xludf.DUMMYFUNCTION("""COMPUTED_VALUE"""),141.04)</f>
        <v>141.04</v>
      </c>
      <c r="F9472" s="2">
        <f>IFERROR(__xludf.DUMMYFUNCTION("""COMPUTED_VALUE"""),7211974.0)</f>
        <v>7211974</v>
      </c>
    </row>
    <row r="9473">
      <c r="A9473" s="3">
        <f>IFERROR(__xludf.DUMMYFUNCTION("""COMPUTED_VALUE"""),42937.66666666667)</f>
        <v>42937.66667</v>
      </c>
      <c r="B9473" s="2">
        <f>IFERROR(__xludf.DUMMYFUNCTION("""COMPUTED_VALUE"""),140.97)</f>
        <v>140.97</v>
      </c>
      <c r="C9473" s="2">
        <f>IFERROR(__xludf.DUMMYFUNCTION("""COMPUTED_VALUE"""),141.24)</f>
        <v>141.24</v>
      </c>
      <c r="D9473" s="2">
        <f>IFERROR(__xludf.DUMMYFUNCTION("""COMPUTED_VALUE"""),139.94)</f>
        <v>139.94</v>
      </c>
      <c r="E9473" s="2">
        <f>IFERROR(__xludf.DUMMYFUNCTION("""COMPUTED_VALUE"""),140.49)</f>
        <v>140.49</v>
      </c>
      <c r="F9473" s="2">
        <f>IFERROR(__xludf.DUMMYFUNCTION("""COMPUTED_VALUE"""),6509459.0)</f>
        <v>6509459</v>
      </c>
    </row>
    <row r="9474">
      <c r="A9474" s="3">
        <f>IFERROR(__xludf.DUMMYFUNCTION("""COMPUTED_VALUE"""),42940.66666666667)</f>
        <v>42940.66667</v>
      </c>
      <c r="B9474" s="2">
        <f>IFERROR(__xludf.DUMMYFUNCTION("""COMPUTED_VALUE"""),140.41)</f>
        <v>140.41</v>
      </c>
      <c r="C9474" s="2">
        <f>IFERROR(__xludf.DUMMYFUNCTION("""COMPUTED_VALUE"""),140.45)</f>
        <v>140.45</v>
      </c>
      <c r="D9474" s="2">
        <f>IFERROR(__xludf.DUMMYFUNCTION("""COMPUTED_VALUE"""),139.26)</f>
        <v>139.26</v>
      </c>
      <c r="E9474" s="2">
        <f>IFERROR(__xludf.DUMMYFUNCTION("""COMPUTED_VALUE"""),139.44)</f>
        <v>139.44</v>
      </c>
      <c r="F9474" s="2">
        <f>IFERROR(__xludf.DUMMYFUNCTION("""COMPUTED_VALUE"""),3877310.0)</f>
        <v>3877310</v>
      </c>
    </row>
    <row r="9475">
      <c r="A9475" s="3">
        <f>IFERROR(__xludf.DUMMYFUNCTION("""COMPUTED_VALUE"""),42941.66666666667)</f>
        <v>42941.66667</v>
      </c>
      <c r="B9475" s="2">
        <f>IFERROR(__xludf.DUMMYFUNCTION("""COMPUTED_VALUE"""),140.0)</f>
        <v>140</v>
      </c>
      <c r="C9475" s="2">
        <f>IFERROR(__xludf.DUMMYFUNCTION("""COMPUTED_VALUE"""),140.88)</f>
        <v>140.88</v>
      </c>
      <c r="D9475" s="2">
        <f>IFERROR(__xludf.DUMMYFUNCTION("""COMPUTED_VALUE"""),139.48)</f>
        <v>139.48</v>
      </c>
      <c r="E9475" s="2">
        <f>IFERROR(__xludf.DUMMYFUNCTION("""COMPUTED_VALUE"""),139.64)</f>
        <v>139.64</v>
      </c>
      <c r="F9475" s="2">
        <f>IFERROR(__xludf.DUMMYFUNCTION("""COMPUTED_VALUE"""),4208850.0)</f>
        <v>4208850</v>
      </c>
    </row>
    <row r="9476">
      <c r="A9476" s="3">
        <f>IFERROR(__xludf.DUMMYFUNCTION("""COMPUTED_VALUE"""),42942.66666666667)</f>
        <v>42942.66667</v>
      </c>
      <c r="B9476" s="2">
        <f>IFERROR(__xludf.DUMMYFUNCTION("""COMPUTED_VALUE"""),139.71)</f>
        <v>139.71</v>
      </c>
      <c r="C9476" s="2">
        <f>IFERROR(__xludf.DUMMYFUNCTION("""COMPUTED_VALUE"""),139.89)</f>
        <v>139.89</v>
      </c>
      <c r="D9476" s="2">
        <f>IFERROR(__xludf.DUMMYFUNCTION("""COMPUTED_VALUE"""),137.99)</f>
        <v>137.99</v>
      </c>
      <c r="E9476" s="2">
        <f>IFERROR(__xludf.DUMMYFUNCTION("""COMPUTED_VALUE"""),138.84)</f>
        <v>138.84</v>
      </c>
      <c r="F9476" s="2">
        <f>IFERROR(__xludf.DUMMYFUNCTION("""COMPUTED_VALUE"""),3932331.0)</f>
        <v>3932331</v>
      </c>
    </row>
    <row r="9477">
      <c r="A9477" s="3">
        <f>IFERROR(__xludf.DUMMYFUNCTION("""COMPUTED_VALUE"""),42943.66666666667)</f>
        <v>42943.66667</v>
      </c>
      <c r="B9477" s="2">
        <f>IFERROR(__xludf.DUMMYFUNCTION("""COMPUTED_VALUE"""),138.5)</f>
        <v>138.5</v>
      </c>
      <c r="C9477" s="2">
        <f>IFERROR(__xludf.DUMMYFUNCTION("""COMPUTED_VALUE"""),138.88)</f>
        <v>138.88</v>
      </c>
      <c r="D9477" s="2">
        <f>IFERROR(__xludf.DUMMYFUNCTION("""COMPUTED_VALUE"""),137.2)</f>
        <v>137.2</v>
      </c>
      <c r="E9477" s="2">
        <f>IFERROR(__xludf.DUMMYFUNCTION("""COMPUTED_VALUE"""),138.57)</f>
        <v>138.57</v>
      </c>
      <c r="F9477" s="2">
        <f>IFERROR(__xludf.DUMMYFUNCTION("""COMPUTED_VALUE"""),6430508.0)</f>
        <v>6430508</v>
      </c>
    </row>
    <row r="9478">
      <c r="A9478" s="3">
        <f>IFERROR(__xludf.DUMMYFUNCTION("""COMPUTED_VALUE"""),42944.66666666667)</f>
        <v>42944.66667</v>
      </c>
      <c r="B9478" s="2">
        <f>IFERROR(__xludf.DUMMYFUNCTION("""COMPUTED_VALUE"""),138.32)</f>
        <v>138.32</v>
      </c>
      <c r="C9478" s="2">
        <f>IFERROR(__xludf.DUMMYFUNCTION("""COMPUTED_VALUE"""),138.54)</f>
        <v>138.54</v>
      </c>
      <c r="D9478" s="2">
        <f>IFERROR(__xludf.DUMMYFUNCTION("""COMPUTED_VALUE"""),137.39)</f>
        <v>137.39</v>
      </c>
      <c r="E9478" s="2">
        <f>IFERROR(__xludf.DUMMYFUNCTION("""COMPUTED_VALUE"""),137.82)</f>
        <v>137.82</v>
      </c>
      <c r="F9478" s="2">
        <f>IFERROR(__xludf.DUMMYFUNCTION("""COMPUTED_VALUE"""),3054710.0)</f>
        <v>3054710</v>
      </c>
    </row>
    <row r="9479">
      <c r="A9479" s="3">
        <f>IFERROR(__xludf.DUMMYFUNCTION("""COMPUTED_VALUE"""),42947.66666666667)</f>
        <v>42947.66667</v>
      </c>
      <c r="B9479" s="2">
        <f>IFERROR(__xludf.DUMMYFUNCTION("""COMPUTED_VALUE"""),137.91)</f>
        <v>137.91</v>
      </c>
      <c r="C9479" s="2">
        <f>IFERROR(__xludf.DUMMYFUNCTION("""COMPUTED_VALUE"""),138.43)</f>
        <v>138.43</v>
      </c>
      <c r="D9479" s="2">
        <f>IFERROR(__xludf.DUMMYFUNCTION("""COMPUTED_VALUE"""),137.71)</f>
        <v>137.71</v>
      </c>
      <c r="E9479" s="2">
        <f>IFERROR(__xludf.DUMMYFUNCTION("""COMPUTED_VALUE"""),138.18)</f>
        <v>138.18</v>
      </c>
      <c r="F9479" s="2">
        <f>IFERROR(__xludf.DUMMYFUNCTION("""COMPUTED_VALUE"""),4355507.0)</f>
        <v>4355507</v>
      </c>
    </row>
    <row r="9480">
      <c r="A9480" s="3">
        <f>IFERROR(__xludf.DUMMYFUNCTION("""COMPUTED_VALUE"""),42948.66666666667)</f>
        <v>42948.66667</v>
      </c>
      <c r="B9480" s="2">
        <f>IFERROR(__xludf.DUMMYFUNCTION("""COMPUTED_VALUE"""),138.5)</f>
        <v>138.5</v>
      </c>
      <c r="C9480" s="2">
        <f>IFERROR(__xludf.DUMMYFUNCTION("""COMPUTED_VALUE"""),139.14)</f>
        <v>139.14</v>
      </c>
      <c r="D9480" s="2">
        <f>IFERROR(__xludf.DUMMYFUNCTION("""COMPUTED_VALUE"""),138.23)</f>
        <v>138.23</v>
      </c>
      <c r="E9480" s="2">
        <f>IFERROR(__xludf.DUMMYFUNCTION("""COMPUTED_VALUE"""),138.79)</f>
        <v>138.79</v>
      </c>
      <c r="F9480" s="2">
        <f>IFERROR(__xludf.DUMMYFUNCTION("""COMPUTED_VALUE"""),3219325.0)</f>
        <v>3219325</v>
      </c>
    </row>
    <row r="9481">
      <c r="A9481" s="3">
        <f>IFERROR(__xludf.DUMMYFUNCTION("""COMPUTED_VALUE"""),42949.66666666667)</f>
        <v>42949.66667</v>
      </c>
      <c r="B9481" s="2">
        <f>IFERROR(__xludf.DUMMYFUNCTION("""COMPUTED_VALUE"""),138.61)</f>
        <v>138.61</v>
      </c>
      <c r="C9481" s="2">
        <f>IFERROR(__xludf.DUMMYFUNCTION("""COMPUTED_VALUE"""),138.78)</f>
        <v>138.78</v>
      </c>
      <c r="D9481" s="2">
        <f>IFERROR(__xludf.DUMMYFUNCTION("""COMPUTED_VALUE"""),137.75)</f>
        <v>137.75</v>
      </c>
      <c r="E9481" s="2">
        <f>IFERROR(__xludf.DUMMYFUNCTION("""COMPUTED_VALUE"""),137.97)</f>
        <v>137.97</v>
      </c>
      <c r="F9481" s="2">
        <f>IFERROR(__xludf.DUMMYFUNCTION("""COMPUTED_VALUE"""),3539739.0)</f>
        <v>3539739</v>
      </c>
    </row>
    <row r="9482">
      <c r="A9482" s="3">
        <f>IFERROR(__xludf.DUMMYFUNCTION("""COMPUTED_VALUE"""),42950.66666666667)</f>
        <v>42950.66667</v>
      </c>
      <c r="B9482" s="2">
        <f>IFERROR(__xludf.DUMMYFUNCTION("""COMPUTED_VALUE"""),137.95)</f>
        <v>137.95</v>
      </c>
      <c r="C9482" s="2">
        <f>IFERROR(__xludf.DUMMYFUNCTION("""COMPUTED_VALUE"""),138.82)</f>
        <v>138.82</v>
      </c>
      <c r="D9482" s="2">
        <f>IFERROR(__xludf.DUMMYFUNCTION("""COMPUTED_VALUE"""),137.95)</f>
        <v>137.95</v>
      </c>
      <c r="E9482" s="2">
        <f>IFERROR(__xludf.DUMMYFUNCTION("""COMPUTED_VALUE"""),138.44)</f>
        <v>138.44</v>
      </c>
      <c r="F9482" s="2">
        <f>IFERROR(__xludf.DUMMYFUNCTION("""COMPUTED_VALUE"""),3035213.0)</f>
        <v>3035213</v>
      </c>
    </row>
    <row r="9483">
      <c r="A9483" s="3">
        <f>IFERROR(__xludf.DUMMYFUNCTION("""COMPUTED_VALUE"""),42951.66666666667)</f>
        <v>42951.66667</v>
      </c>
      <c r="B9483" s="2">
        <f>IFERROR(__xludf.DUMMYFUNCTION("""COMPUTED_VALUE"""),138.5)</f>
        <v>138.5</v>
      </c>
      <c r="C9483" s="2">
        <f>IFERROR(__xludf.DUMMYFUNCTION("""COMPUTED_VALUE"""),138.87)</f>
        <v>138.87</v>
      </c>
      <c r="D9483" s="2">
        <f>IFERROR(__xludf.DUMMYFUNCTION("""COMPUTED_VALUE"""),137.93)</f>
        <v>137.93</v>
      </c>
      <c r="E9483" s="2">
        <f>IFERROR(__xludf.DUMMYFUNCTION("""COMPUTED_VALUE"""),138.65)</f>
        <v>138.65</v>
      </c>
      <c r="F9483" s="2">
        <f>IFERROR(__xludf.DUMMYFUNCTION("""COMPUTED_VALUE"""),2549397.0)</f>
        <v>2549397</v>
      </c>
    </row>
    <row r="9484">
      <c r="A9484" s="3">
        <f>IFERROR(__xludf.DUMMYFUNCTION("""COMPUTED_VALUE"""),42954.66666666667)</f>
        <v>42954.66667</v>
      </c>
      <c r="B9484" s="2">
        <f>IFERROR(__xludf.DUMMYFUNCTION("""COMPUTED_VALUE"""),138.5)</f>
        <v>138.5</v>
      </c>
      <c r="C9484" s="2">
        <f>IFERROR(__xludf.DUMMYFUNCTION("""COMPUTED_VALUE"""),138.58)</f>
        <v>138.58</v>
      </c>
      <c r="D9484" s="2">
        <f>IFERROR(__xludf.DUMMYFUNCTION("""COMPUTED_VALUE"""),136.35)</f>
        <v>136.35</v>
      </c>
      <c r="E9484" s="2">
        <f>IFERROR(__xludf.DUMMYFUNCTION("""COMPUTED_VALUE"""),137.04)</f>
        <v>137.04</v>
      </c>
      <c r="F9484" s="2">
        <f>IFERROR(__xludf.DUMMYFUNCTION("""COMPUTED_VALUE"""),4617942.0)</f>
        <v>4617942</v>
      </c>
    </row>
    <row r="9485">
      <c r="A9485" s="3">
        <f>IFERROR(__xludf.DUMMYFUNCTION("""COMPUTED_VALUE"""),42955.66666666667)</f>
        <v>42955.66667</v>
      </c>
      <c r="B9485" s="2">
        <f>IFERROR(__xludf.DUMMYFUNCTION("""COMPUTED_VALUE"""),135.63)</f>
        <v>135.63</v>
      </c>
      <c r="C9485" s="2">
        <f>IFERROR(__xludf.DUMMYFUNCTION("""COMPUTED_VALUE"""),136.36)</f>
        <v>136.36</v>
      </c>
      <c r="D9485" s="2">
        <f>IFERROR(__xludf.DUMMYFUNCTION("""COMPUTED_VALUE"""),135.63)</f>
        <v>135.63</v>
      </c>
      <c r="E9485" s="2">
        <f>IFERROR(__xludf.DUMMYFUNCTION("""COMPUTED_VALUE"""),135.74)</f>
        <v>135.74</v>
      </c>
      <c r="F9485" s="2">
        <f>IFERROR(__xludf.DUMMYFUNCTION("""COMPUTED_VALUE"""),3297788.0)</f>
        <v>3297788</v>
      </c>
    </row>
    <row r="9486">
      <c r="A9486" s="3">
        <f>IFERROR(__xludf.DUMMYFUNCTION("""COMPUTED_VALUE"""),42956.66666666667)</f>
        <v>42956.66667</v>
      </c>
      <c r="B9486" s="2">
        <f>IFERROR(__xludf.DUMMYFUNCTION("""COMPUTED_VALUE"""),135.39)</f>
        <v>135.39</v>
      </c>
      <c r="C9486" s="2">
        <f>IFERROR(__xludf.DUMMYFUNCTION("""COMPUTED_VALUE"""),135.66)</f>
        <v>135.66</v>
      </c>
      <c r="D9486" s="2">
        <f>IFERROR(__xludf.DUMMYFUNCTION("""COMPUTED_VALUE"""),134.86)</f>
        <v>134.86</v>
      </c>
      <c r="E9486" s="2">
        <f>IFERROR(__xludf.DUMMYFUNCTION("""COMPUTED_VALUE"""),135.41)</f>
        <v>135.41</v>
      </c>
      <c r="F9486" s="2">
        <f>IFERROR(__xludf.DUMMYFUNCTION("""COMPUTED_VALUE"""),2925706.0)</f>
        <v>2925706</v>
      </c>
    </row>
    <row r="9487">
      <c r="A9487" s="3">
        <f>IFERROR(__xludf.DUMMYFUNCTION("""COMPUTED_VALUE"""),42957.66666666667)</f>
        <v>42957.66667</v>
      </c>
      <c r="B9487" s="2">
        <f>IFERROR(__xludf.DUMMYFUNCTION("""COMPUTED_VALUE"""),135.29)</f>
        <v>135.29</v>
      </c>
      <c r="C9487" s="2">
        <f>IFERROR(__xludf.DUMMYFUNCTION("""COMPUTED_VALUE"""),136.03)</f>
        <v>136.03</v>
      </c>
      <c r="D9487" s="2">
        <f>IFERROR(__xludf.DUMMYFUNCTION("""COMPUTED_VALUE"""),134.9)</f>
        <v>134.9</v>
      </c>
      <c r="E9487" s="2">
        <f>IFERROR(__xludf.DUMMYFUNCTION("""COMPUTED_VALUE"""),135.48)</f>
        <v>135.48</v>
      </c>
      <c r="F9487" s="2">
        <f>IFERROR(__xludf.DUMMYFUNCTION("""COMPUTED_VALUE"""),4525159.0)</f>
        <v>4525159</v>
      </c>
    </row>
    <row r="9488">
      <c r="A9488" s="3">
        <f>IFERROR(__xludf.DUMMYFUNCTION("""COMPUTED_VALUE"""),42958.66666666667)</f>
        <v>42958.66667</v>
      </c>
      <c r="B9488" s="2">
        <f>IFERROR(__xludf.DUMMYFUNCTION("""COMPUTED_VALUE"""),136.06)</f>
        <v>136.06</v>
      </c>
      <c r="C9488" s="2">
        <f>IFERROR(__xludf.DUMMYFUNCTION("""COMPUTED_VALUE"""),136.2)</f>
        <v>136.2</v>
      </c>
      <c r="D9488" s="2">
        <f>IFERROR(__xludf.DUMMYFUNCTION("""COMPUTED_VALUE"""),135.17)</f>
        <v>135.17</v>
      </c>
      <c r="E9488" s="2">
        <f>IFERROR(__xludf.DUMMYFUNCTION("""COMPUTED_VALUE"""),135.48)</f>
        <v>135.48</v>
      </c>
      <c r="F9488" s="2">
        <f>IFERROR(__xludf.DUMMYFUNCTION("""COMPUTED_VALUE"""),3004210.0)</f>
        <v>3004210</v>
      </c>
    </row>
    <row r="9489">
      <c r="A9489" s="3">
        <f>IFERROR(__xludf.DUMMYFUNCTION("""COMPUTED_VALUE"""),42961.66666666667)</f>
        <v>42961.66667</v>
      </c>
      <c r="B9489" s="2">
        <f>IFERROR(__xludf.DUMMYFUNCTION("""COMPUTED_VALUE"""),135.63)</f>
        <v>135.63</v>
      </c>
      <c r="C9489" s="2">
        <f>IFERROR(__xludf.DUMMYFUNCTION("""COMPUTED_VALUE"""),136.36)</f>
        <v>136.36</v>
      </c>
      <c r="D9489" s="2">
        <f>IFERROR(__xludf.DUMMYFUNCTION("""COMPUTED_VALUE"""),135.58)</f>
        <v>135.58</v>
      </c>
      <c r="E9489" s="2">
        <f>IFERROR(__xludf.DUMMYFUNCTION("""COMPUTED_VALUE"""),135.94)</f>
        <v>135.94</v>
      </c>
      <c r="F9489" s="2">
        <f>IFERROR(__xludf.DUMMYFUNCTION("""COMPUTED_VALUE"""),2248107.0)</f>
        <v>2248107</v>
      </c>
    </row>
    <row r="9490">
      <c r="A9490" s="3">
        <f>IFERROR(__xludf.DUMMYFUNCTION("""COMPUTED_VALUE"""),42962.66666666667)</f>
        <v>42962.66667</v>
      </c>
      <c r="B9490" s="2">
        <f>IFERROR(__xludf.DUMMYFUNCTION("""COMPUTED_VALUE"""),136.16)</f>
        <v>136.16</v>
      </c>
      <c r="C9490" s="2">
        <f>IFERROR(__xludf.DUMMYFUNCTION("""COMPUTED_VALUE"""),136.91)</f>
        <v>136.91</v>
      </c>
      <c r="D9490" s="2">
        <f>IFERROR(__xludf.DUMMYFUNCTION("""COMPUTED_VALUE"""),134.28)</f>
        <v>134.28</v>
      </c>
      <c r="E9490" s="2">
        <f>IFERROR(__xludf.DUMMYFUNCTION("""COMPUTED_VALUE"""),135.7)</f>
        <v>135.7</v>
      </c>
      <c r="F9490" s="2">
        <f>IFERROR(__xludf.DUMMYFUNCTION("""COMPUTED_VALUE"""),4681545.0)</f>
        <v>4681545</v>
      </c>
    </row>
    <row r="9491">
      <c r="A9491" s="3">
        <f>IFERROR(__xludf.DUMMYFUNCTION("""COMPUTED_VALUE"""),42963.66666666667)</f>
        <v>42963.66667</v>
      </c>
      <c r="B9491" s="2">
        <f>IFERROR(__xludf.DUMMYFUNCTION("""COMPUTED_VALUE"""),135.43)</f>
        <v>135.43</v>
      </c>
      <c r="C9491" s="2">
        <f>IFERROR(__xludf.DUMMYFUNCTION("""COMPUTED_VALUE"""),136.5)</f>
        <v>136.5</v>
      </c>
      <c r="D9491" s="2">
        <f>IFERROR(__xludf.DUMMYFUNCTION("""COMPUTED_VALUE"""),135.26)</f>
        <v>135.26</v>
      </c>
      <c r="E9491" s="2">
        <f>IFERROR(__xludf.DUMMYFUNCTION("""COMPUTED_VALUE"""),136.11)</f>
        <v>136.11</v>
      </c>
      <c r="F9491" s="2">
        <f>IFERROR(__xludf.DUMMYFUNCTION("""COMPUTED_VALUE"""),3287556.0)</f>
        <v>3287556</v>
      </c>
    </row>
    <row r="9492">
      <c r="A9492" s="3">
        <f>IFERROR(__xludf.DUMMYFUNCTION("""COMPUTED_VALUE"""),42964.66666666667)</f>
        <v>42964.66667</v>
      </c>
      <c r="B9492" s="2">
        <f>IFERROR(__xludf.DUMMYFUNCTION("""COMPUTED_VALUE"""),136.13)</f>
        <v>136.13</v>
      </c>
      <c r="C9492" s="2">
        <f>IFERROR(__xludf.DUMMYFUNCTION("""COMPUTED_VALUE"""),136.48)</f>
        <v>136.48</v>
      </c>
      <c r="D9492" s="2">
        <f>IFERROR(__xludf.DUMMYFUNCTION("""COMPUTED_VALUE"""),134.39)</f>
        <v>134.39</v>
      </c>
      <c r="E9492" s="2">
        <f>IFERROR(__xludf.DUMMYFUNCTION("""COMPUTED_VALUE"""),134.39)</f>
        <v>134.39</v>
      </c>
      <c r="F9492" s="2">
        <f>IFERROR(__xludf.DUMMYFUNCTION("""COMPUTED_VALUE"""),4421762.0)</f>
        <v>4421762</v>
      </c>
    </row>
    <row r="9493">
      <c r="A9493" s="3">
        <f>IFERROR(__xludf.DUMMYFUNCTION("""COMPUTED_VALUE"""),42965.66666666667)</f>
        <v>42965.66667</v>
      </c>
      <c r="B9493" s="2">
        <f>IFERROR(__xludf.DUMMYFUNCTION("""COMPUTED_VALUE"""),134.55)</f>
        <v>134.55</v>
      </c>
      <c r="C9493" s="2">
        <f>IFERROR(__xludf.DUMMYFUNCTION("""COMPUTED_VALUE"""),134.82)</f>
        <v>134.82</v>
      </c>
      <c r="D9493" s="2">
        <f>IFERROR(__xludf.DUMMYFUNCTION("""COMPUTED_VALUE"""),133.32)</f>
        <v>133.32</v>
      </c>
      <c r="E9493" s="2">
        <f>IFERROR(__xludf.DUMMYFUNCTION("""COMPUTED_VALUE"""),133.44)</f>
        <v>133.44</v>
      </c>
      <c r="F9493" s="2">
        <f>IFERROR(__xludf.DUMMYFUNCTION("""COMPUTED_VALUE"""),4152549.0)</f>
        <v>4152549</v>
      </c>
    </row>
    <row r="9494">
      <c r="A9494" s="3">
        <f>IFERROR(__xludf.DUMMYFUNCTION("""COMPUTED_VALUE"""),42968.66666666667)</f>
        <v>42968.66667</v>
      </c>
      <c r="B9494" s="2">
        <f>IFERROR(__xludf.DUMMYFUNCTION("""COMPUTED_VALUE"""),133.33)</f>
        <v>133.33</v>
      </c>
      <c r="C9494" s="2">
        <f>IFERROR(__xludf.DUMMYFUNCTION("""COMPUTED_VALUE"""),134.12)</f>
        <v>134.12</v>
      </c>
      <c r="D9494" s="2">
        <f>IFERROR(__xludf.DUMMYFUNCTION("""COMPUTED_VALUE"""),132.89)</f>
        <v>132.89</v>
      </c>
      <c r="E9494" s="2">
        <f>IFERROR(__xludf.DUMMYFUNCTION("""COMPUTED_VALUE"""),134.04)</f>
        <v>134.04</v>
      </c>
      <c r="F9494" s="2">
        <f>IFERROR(__xludf.DUMMYFUNCTION("""COMPUTED_VALUE"""),3190691.0)</f>
        <v>3190691</v>
      </c>
    </row>
    <row r="9495">
      <c r="A9495" s="3">
        <f>IFERROR(__xludf.DUMMYFUNCTION("""COMPUTED_VALUE"""),42969.66666666667)</f>
        <v>42969.66667</v>
      </c>
      <c r="B9495" s="2">
        <f>IFERROR(__xludf.DUMMYFUNCTION("""COMPUTED_VALUE"""),134.33)</f>
        <v>134.33</v>
      </c>
      <c r="C9495" s="2">
        <f>IFERROR(__xludf.DUMMYFUNCTION("""COMPUTED_VALUE"""),134.82)</f>
        <v>134.82</v>
      </c>
      <c r="D9495" s="2">
        <f>IFERROR(__xludf.DUMMYFUNCTION("""COMPUTED_VALUE"""),134.09)</f>
        <v>134.09</v>
      </c>
      <c r="E9495" s="2">
        <f>IFERROR(__xludf.DUMMYFUNCTION("""COMPUTED_VALUE"""),134.69)</f>
        <v>134.69</v>
      </c>
      <c r="F9495" s="2">
        <f>IFERROR(__xludf.DUMMYFUNCTION("""COMPUTED_VALUE"""),2544346.0)</f>
        <v>2544346</v>
      </c>
    </row>
    <row r="9496">
      <c r="A9496" s="3">
        <f>IFERROR(__xludf.DUMMYFUNCTION("""COMPUTED_VALUE"""),42970.66666666667)</f>
        <v>42970.66667</v>
      </c>
      <c r="B9496" s="2">
        <f>IFERROR(__xludf.DUMMYFUNCTION("""COMPUTED_VALUE"""),134.39)</f>
        <v>134.39</v>
      </c>
      <c r="C9496" s="2">
        <f>IFERROR(__xludf.DUMMYFUNCTION("""COMPUTED_VALUE"""),136.64)</f>
        <v>136.64</v>
      </c>
      <c r="D9496" s="2">
        <f>IFERROR(__xludf.DUMMYFUNCTION("""COMPUTED_VALUE"""),134.37)</f>
        <v>134.37</v>
      </c>
      <c r="E9496" s="2">
        <f>IFERROR(__xludf.DUMMYFUNCTION("""COMPUTED_VALUE"""),135.77)</f>
        <v>135.77</v>
      </c>
      <c r="F9496" s="2">
        <f>IFERROR(__xludf.DUMMYFUNCTION("""COMPUTED_VALUE"""),4048017.0)</f>
        <v>4048017</v>
      </c>
    </row>
    <row r="9497">
      <c r="A9497" s="3">
        <f>IFERROR(__xludf.DUMMYFUNCTION("""COMPUTED_VALUE"""),42971.66666666667)</f>
        <v>42971.66667</v>
      </c>
      <c r="B9497" s="2">
        <f>IFERROR(__xludf.DUMMYFUNCTION("""COMPUTED_VALUE"""),136.11)</f>
        <v>136.11</v>
      </c>
      <c r="C9497" s="2">
        <f>IFERROR(__xludf.DUMMYFUNCTION("""COMPUTED_VALUE"""),137.24)</f>
        <v>137.24</v>
      </c>
      <c r="D9497" s="2">
        <f>IFERROR(__xludf.DUMMYFUNCTION("""COMPUTED_VALUE"""),135.87)</f>
        <v>135.87</v>
      </c>
      <c r="E9497" s="2">
        <f>IFERROR(__xludf.DUMMYFUNCTION("""COMPUTED_VALUE"""),136.53)</f>
        <v>136.53</v>
      </c>
      <c r="F9497" s="2">
        <f>IFERROR(__xludf.DUMMYFUNCTION("""COMPUTED_VALUE"""),3591673.0)</f>
        <v>3591673</v>
      </c>
    </row>
    <row r="9498">
      <c r="A9498" s="3">
        <f>IFERROR(__xludf.DUMMYFUNCTION("""COMPUTED_VALUE"""),42972.66666666667)</f>
        <v>42972.66667</v>
      </c>
      <c r="B9498" s="2">
        <f>IFERROR(__xludf.DUMMYFUNCTION("""COMPUTED_VALUE"""),136.88)</f>
        <v>136.88</v>
      </c>
      <c r="C9498" s="2">
        <f>IFERROR(__xludf.DUMMYFUNCTION("""COMPUTED_VALUE"""),137.73)</f>
        <v>137.73</v>
      </c>
      <c r="D9498" s="2">
        <f>IFERROR(__xludf.DUMMYFUNCTION("""COMPUTED_VALUE"""),136.83)</f>
        <v>136.83</v>
      </c>
      <c r="E9498" s="2">
        <f>IFERROR(__xludf.DUMMYFUNCTION("""COMPUTED_VALUE"""),137.3)</f>
        <v>137.3</v>
      </c>
      <c r="F9498" s="2">
        <f>IFERROR(__xludf.DUMMYFUNCTION("""COMPUTED_VALUE"""),2872893.0)</f>
        <v>2872893</v>
      </c>
    </row>
    <row r="9499">
      <c r="A9499" s="3">
        <f>IFERROR(__xludf.DUMMYFUNCTION("""COMPUTED_VALUE"""),42975.66666666667)</f>
        <v>42975.66667</v>
      </c>
      <c r="B9499" s="2">
        <f>IFERROR(__xludf.DUMMYFUNCTION("""COMPUTED_VALUE"""),137.65)</f>
        <v>137.65</v>
      </c>
      <c r="C9499" s="2">
        <f>IFERROR(__xludf.DUMMYFUNCTION("""COMPUTED_VALUE"""),138.08)</f>
        <v>138.08</v>
      </c>
      <c r="D9499" s="2">
        <f>IFERROR(__xludf.DUMMYFUNCTION("""COMPUTED_VALUE"""),136.01)</f>
        <v>136.01</v>
      </c>
      <c r="E9499" s="2">
        <f>IFERROR(__xludf.DUMMYFUNCTION("""COMPUTED_VALUE"""),136.12)</f>
        <v>136.12</v>
      </c>
      <c r="F9499" s="2">
        <f>IFERROR(__xludf.DUMMYFUNCTION("""COMPUTED_VALUE"""),5133981.0)</f>
        <v>5133981</v>
      </c>
    </row>
    <row r="9500">
      <c r="A9500" s="3">
        <f>IFERROR(__xludf.DUMMYFUNCTION("""COMPUTED_VALUE"""),42976.66666666667)</f>
        <v>42976.66667</v>
      </c>
      <c r="B9500" s="2">
        <f>IFERROR(__xludf.DUMMYFUNCTION("""COMPUTED_VALUE"""),135.73)</f>
        <v>135.73</v>
      </c>
      <c r="C9500" s="2">
        <f>IFERROR(__xludf.DUMMYFUNCTION("""COMPUTED_VALUE"""),136.99)</f>
        <v>136.99</v>
      </c>
      <c r="D9500" s="2">
        <f>IFERROR(__xludf.DUMMYFUNCTION("""COMPUTED_VALUE"""),135.54)</f>
        <v>135.54</v>
      </c>
      <c r="E9500" s="2">
        <f>IFERROR(__xludf.DUMMYFUNCTION("""COMPUTED_VALUE"""),136.72)</f>
        <v>136.72</v>
      </c>
      <c r="F9500" s="2">
        <f>IFERROR(__xludf.DUMMYFUNCTION("""COMPUTED_VALUE"""),3008020.0)</f>
        <v>3008020</v>
      </c>
    </row>
    <row r="9501">
      <c r="A9501" s="3">
        <f>IFERROR(__xludf.DUMMYFUNCTION("""COMPUTED_VALUE"""),42977.66666666667)</f>
        <v>42977.66667</v>
      </c>
      <c r="B9501" s="2">
        <f>IFERROR(__xludf.DUMMYFUNCTION("""COMPUTED_VALUE"""),136.84)</f>
        <v>136.84</v>
      </c>
      <c r="C9501" s="2">
        <f>IFERROR(__xludf.DUMMYFUNCTION("""COMPUTED_VALUE"""),136.86)</f>
        <v>136.86</v>
      </c>
      <c r="D9501" s="2">
        <f>IFERROR(__xludf.DUMMYFUNCTION("""COMPUTED_VALUE"""),136.02)</f>
        <v>136.02</v>
      </c>
      <c r="E9501" s="2">
        <f>IFERROR(__xludf.DUMMYFUNCTION("""COMPUTED_VALUE"""),136.17)</f>
        <v>136.17</v>
      </c>
      <c r="F9501" s="2">
        <f>IFERROR(__xludf.DUMMYFUNCTION("""COMPUTED_VALUE"""),2735966.0)</f>
        <v>2735966</v>
      </c>
    </row>
    <row r="9502">
      <c r="A9502" s="3">
        <f>IFERROR(__xludf.DUMMYFUNCTION("""COMPUTED_VALUE"""),42978.66666666667)</f>
        <v>42978.66667</v>
      </c>
      <c r="B9502" s="2">
        <f>IFERROR(__xludf.DUMMYFUNCTION("""COMPUTED_VALUE"""),136.61)</f>
        <v>136.61</v>
      </c>
      <c r="C9502" s="2">
        <f>IFERROR(__xludf.DUMMYFUNCTION("""COMPUTED_VALUE"""),137.22)</f>
        <v>137.22</v>
      </c>
      <c r="D9502" s="2">
        <f>IFERROR(__xludf.DUMMYFUNCTION("""COMPUTED_VALUE"""),136.24)</f>
        <v>136.24</v>
      </c>
      <c r="E9502" s="2">
        <f>IFERROR(__xludf.DUMMYFUNCTION("""COMPUTED_VALUE"""),136.62)</f>
        <v>136.62</v>
      </c>
      <c r="F9502" s="2">
        <f>IFERROR(__xludf.DUMMYFUNCTION("""COMPUTED_VALUE"""),3656428.0)</f>
        <v>3656428</v>
      </c>
    </row>
    <row r="9503">
      <c r="A9503" s="3">
        <f>IFERROR(__xludf.DUMMYFUNCTION("""COMPUTED_VALUE"""),42979.66666666667)</f>
        <v>42979.66667</v>
      </c>
      <c r="B9503" s="2">
        <f>IFERROR(__xludf.DUMMYFUNCTION("""COMPUTED_VALUE"""),136.57)</f>
        <v>136.57</v>
      </c>
      <c r="C9503" s="2">
        <f>IFERROR(__xludf.DUMMYFUNCTION("""COMPUTED_VALUE"""),138.02)</f>
        <v>138.02</v>
      </c>
      <c r="D9503" s="2">
        <f>IFERROR(__xludf.DUMMYFUNCTION("""COMPUTED_VALUE"""),136.57)</f>
        <v>136.57</v>
      </c>
      <c r="E9503" s="2">
        <f>IFERROR(__xludf.DUMMYFUNCTION("""COMPUTED_VALUE"""),137.62)</f>
        <v>137.62</v>
      </c>
      <c r="F9503" s="2">
        <f>IFERROR(__xludf.DUMMYFUNCTION("""COMPUTED_VALUE"""),3351705.0)</f>
        <v>3351705</v>
      </c>
    </row>
    <row r="9504">
      <c r="A9504" s="3">
        <f>IFERROR(__xludf.DUMMYFUNCTION("""COMPUTED_VALUE"""),42983.66666666667)</f>
        <v>42983.66667</v>
      </c>
      <c r="B9504" s="2">
        <f>IFERROR(__xludf.DUMMYFUNCTION("""COMPUTED_VALUE"""),137.07)</f>
        <v>137.07</v>
      </c>
      <c r="C9504" s="2">
        <f>IFERROR(__xludf.DUMMYFUNCTION("""COMPUTED_VALUE"""),137.89)</f>
        <v>137.89</v>
      </c>
      <c r="D9504" s="2">
        <f>IFERROR(__xludf.DUMMYFUNCTION("""COMPUTED_VALUE"""),136.3)</f>
        <v>136.3</v>
      </c>
      <c r="E9504" s="2">
        <f>IFERROR(__xludf.DUMMYFUNCTION("""COMPUTED_VALUE"""),136.63)</f>
        <v>136.63</v>
      </c>
      <c r="F9504" s="2">
        <f>IFERROR(__xludf.DUMMYFUNCTION("""COMPUTED_VALUE"""),3098700.0)</f>
        <v>3098700</v>
      </c>
    </row>
    <row r="9505">
      <c r="A9505" s="3">
        <f>IFERROR(__xludf.DUMMYFUNCTION("""COMPUTED_VALUE"""),42984.66666666667)</f>
        <v>42984.66667</v>
      </c>
      <c r="B9505" s="2">
        <f>IFERROR(__xludf.DUMMYFUNCTION("""COMPUTED_VALUE"""),137.43)</f>
        <v>137.43</v>
      </c>
      <c r="C9505" s="2">
        <f>IFERROR(__xludf.DUMMYFUNCTION("""COMPUTED_VALUE"""),137.99)</f>
        <v>137.99</v>
      </c>
      <c r="D9505" s="2">
        <f>IFERROR(__xludf.DUMMYFUNCTION("""COMPUTED_VALUE"""),137.07)</f>
        <v>137.07</v>
      </c>
      <c r="E9505" s="2">
        <f>IFERROR(__xludf.DUMMYFUNCTION("""COMPUTED_VALUE"""),137.37)</f>
        <v>137.37</v>
      </c>
      <c r="F9505" s="2">
        <f>IFERROR(__xludf.DUMMYFUNCTION("""COMPUTED_VALUE"""),3271344.0)</f>
        <v>3271344</v>
      </c>
    </row>
    <row r="9506">
      <c r="A9506" s="3">
        <f>IFERROR(__xludf.DUMMYFUNCTION("""COMPUTED_VALUE"""),42985.66666666667)</f>
        <v>42985.66667</v>
      </c>
      <c r="B9506" s="2">
        <f>IFERROR(__xludf.DUMMYFUNCTION("""COMPUTED_VALUE"""),137.64)</f>
        <v>137.64</v>
      </c>
      <c r="C9506" s="2">
        <f>IFERROR(__xludf.DUMMYFUNCTION("""COMPUTED_VALUE"""),138.15)</f>
        <v>138.15</v>
      </c>
      <c r="D9506" s="2">
        <f>IFERROR(__xludf.DUMMYFUNCTION("""COMPUTED_VALUE"""),136.02)</f>
        <v>136.02</v>
      </c>
      <c r="E9506" s="2">
        <f>IFERROR(__xludf.DUMMYFUNCTION("""COMPUTED_VALUE"""),136.49)</f>
        <v>136.49</v>
      </c>
      <c r="F9506" s="2">
        <f>IFERROR(__xludf.DUMMYFUNCTION("""COMPUTED_VALUE"""),4188154.0)</f>
        <v>4188154</v>
      </c>
    </row>
    <row r="9507">
      <c r="A9507" s="3">
        <f>IFERROR(__xludf.DUMMYFUNCTION("""COMPUTED_VALUE"""),42986.66666666667)</f>
        <v>42986.66667</v>
      </c>
      <c r="B9507" s="2">
        <f>IFERROR(__xludf.DUMMYFUNCTION("""COMPUTED_VALUE"""),136.73)</f>
        <v>136.73</v>
      </c>
      <c r="C9507" s="2">
        <f>IFERROR(__xludf.DUMMYFUNCTION("""COMPUTED_VALUE"""),136.73)</f>
        <v>136.73</v>
      </c>
      <c r="D9507" s="2">
        <f>IFERROR(__xludf.DUMMYFUNCTION("""COMPUTED_VALUE"""),135.29)</f>
        <v>135.29</v>
      </c>
      <c r="E9507" s="2">
        <f>IFERROR(__xludf.DUMMYFUNCTION("""COMPUTED_VALUE"""),136.06)</f>
        <v>136.06</v>
      </c>
      <c r="F9507" s="2">
        <f>IFERROR(__xludf.DUMMYFUNCTION("""COMPUTED_VALUE"""),3366144.0)</f>
        <v>3366144</v>
      </c>
    </row>
    <row r="9508">
      <c r="A9508" s="3">
        <f>IFERROR(__xludf.DUMMYFUNCTION("""COMPUTED_VALUE"""),42989.66666666667)</f>
        <v>42989.66667</v>
      </c>
      <c r="B9508" s="2">
        <f>IFERROR(__xludf.DUMMYFUNCTION("""COMPUTED_VALUE"""),137.1)</f>
        <v>137.1</v>
      </c>
      <c r="C9508" s="2">
        <f>IFERROR(__xludf.DUMMYFUNCTION("""COMPUTED_VALUE"""),138.62)</f>
        <v>138.62</v>
      </c>
      <c r="D9508" s="2">
        <f>IFERROR(__xludf.DUMMYFUNCTION("""COMPUTED_VALUE"""),136.6)</f>
        <v>136.6</v>
      </c>
      <c r="E9508" s="2">
        <f>IFERROR(__xludf.DUMMYFUNCTION("""COMPUTED_VALUE"""),138.37)</f>
        <v>138.37</v>
      </c>
      <c r="F9508" s="2">
        <f>IFERROR(__xludf.DUMMYFUNCTION("""COMPUTED_VALUE"""),4613381.0)</f>
        <v>4613381</v>
      </c>
    </row>
    <row r="9509">
      <c r="A9509" s="3">
        <f>IFERROR(__xludf.DUMMYFUNCTION("""COMPUTED_VALUE"""),42990.66666666667)</f>
        <v>42990.66667</v>
      </c>
      <c r="B9509" s="2">
        <f>IFERROR(__xludf.DUMMYFUNCTION("""COMPUTED_VALUE"""),138.6)</f>
        <v>138.6</v>
      </c>
      <c r="C9509" s="2">
        <f>IFERROR(__xludf.DUMMYFUNCTION("""COMPUTED_VALUE"""),139.81)</f>
        <v>139.81</v>
      </c>
      <c r="D9509" s="2">
        <f>IFERROR(__xludf.DUMMYFUNCTION("""COMPUTED_VALUE"""),138.03)</f>
        <v>138.03</v>
      </c>
      <c r="E9509" s="2">
        <f>IFERROR(__xludf.DUMMYFUNCTION("""COMPUTED_VALUE"""),139.22)</f>
        <v>139.22</v>
      </c>
      <c r="F9509" s="2">
        <f>IFERROR(__xludf.DUMMYFUNCTION("""COMPUTED_VALUE"""),5237848.0)</f>
        <v>5237848</v>
      </c>
    </row>
    <row r="9510">
      <c r="A9510" s="3">
        <f>IFERROR(__xludf.DUMMYFUNCTION("""COMPUTED_VALUE"""),42991.66666666667)</f>
        <v>42991.66667</v>
      </c>
      <c r="B9510" s="2">
        <f>IFERROR(__xludf.DUMMYFUNCTION("""COMPUTED_VALUE"""),138.83)</f>
        <v>138.83</v>
      </c>
      <c r="C9510" s="2">
        <f>IFERROR(__xludf.DUMMYFUNCTION("""COMPUTED_VALUE"""),139.73)</f>
        <v>139.73</v>
      </c>
      <c r="D9510" s="2">
        <f>IFERROR(__xludf.DUMMYFUNCTION("""COMPUTED_VALUE"""),138.82)</f>
        <v>138.82</v>
      </c>
      <c r="E9510" s="2">
        <f>IFERROR(__xludf.DUMMYFUNCTION("""COMPUTED_VALUE"""),139.44)</f>
        <v>139.44</v>
      </c>
      <c r="F9510" s="2">
        <f>IFERROR(__xludf.DUMMYFUNCTION("""COMPUTED_VALUE"""),4100980.0)</f>
        <v>4100980</v>
      </c>
    </row>
    <row r="9511">
      <c r="A9511" s="3">
        <f>IFERROR(__xludf.DUMMYFUNCTION("""COMPUTED_VALUE"""),42992.66666666667)</f>
        <v>42992.66667</v>
      </c>
      <c r="B9511" s="2">
        <f>IFERROR(__xludf.DUMMYFUNCTION("""COMPUTED_VALUE"""),139.32)</f>
        <v>139.32</v>
      </c>
      <c r="C9511" s="2">
        <f>IFERROR(__xludf.DUMMYFUNCTION("""COMPUTED_VALUE"""),139.82)</f>
        <v>139.82</v>
      </c>
      <c r="D9511" s="2">
        <f>IFERROR(__xludf.DUMMYFUNCTION("""COMPUTED_VALUE"""),138.99)</f>
        <v>138.99</v>
      </c>
      <c r="E9511" s="2">
        <f>IFERROR(__xludf.DUMMYFUNCTION("""COMPUTED_VALUE"""),139.01)</f>
        <v>139.01</v>
      </c>
      <c r="F9511" s="2">
        <f>IFERROR(__xludf.DUMMYFUNCTION("""COMPUTED_VALUE"""),3756699.0)</f>
        <v>3756699</v>
      </c>
    </row>
    <row r="9512">
      <c r="A9512" s="3">
        <f>IFERROR(__xludf.DUMMYFUNCTION("""COMPUTED_VALUE"""),42993.66666666667)</f>
        <v>42993.66667</v>
      </c>
      <c r="B9512" s="2">
        <f>IFERROR(__xludf.DUMMYFUNCTION("""COMPUTED_VALUE"""),138.33)</f>
        <v>138.33</v>
      </c>
      <c r="C9512" s="2">
        <f>IFERROR(__xludf.DUMMYFUNCTION("""COMPUTED_VALUE"""),138.66)</f>
        <v>138.66</v>
      </c>
      <c r="D9512" s="2">
        <f>IFERROR(__xludf.DUMMYFUNCTION("""COMPUTED_VALUE"""),137.62)</f>
        <v>137.62</v>
      </c>
      <c r="E9512" s="2">
        <f>IFERROR(__xludf.DUMMYFUNCTION("""COMPUTED_VALUE"""),138.33)</f>
        <v>138.33</v>
      </c>
      <c r="F9512" s="2">
        <f>IFERROR(__xludf.DUMMYFUNCTION("""COMPUTED_VALUE"""),7397233.0)</f>
        <v>7397233</v>
      </c>
    </row>
    <row r="9513">
      <c r="A9513" s="3">
        <f>IFERROR(__xludf.DUMMYFUNCTION("""COMPUTED_VALUE"""),42996.66666666667)</f>
        <v>42996.66667</v>
      </c>
      <c r="B9513" s="2">
        <f>IFERROR(__xludf.DUMMYFUNCTION("""COMPUTED_VALUE"""),138.32)</f>
        <v>138.32</v>
      </c>
      <c r="C9513" s="2">
        <f>IFERROR(__xludf.DUMMYFUNCTION("""COMPUTED_VALUE"""),138.96)</f>
        <v>138.96</v>
      </c>
      <c r="D9513" s="2">
        <f>IFERROR(__xludf.DUMMYFUNCTION("""COMPUTED_VALUE"""),137.8)</f>
        <v>137.8</v>
      </c>
      <c r="E9513" s="2">
        <f>IFERROR(__xludf.DUMMYFUNCTION("""COMPUTED_VALUE"""),138.07)</f>
        <v>138.07</v>
      </c>
      <c r="F9513" s="2">
        <f>IFERROR(__xludf.DUMMYFUNCTION("""COMPUTED_VALUE"""),3019514.0)</f>
        <v>3019514</v>
      </c>
    </row>
    <row r="9514">
      <c r="A9514" s="3">
        <f>IFERROR(__xludf.DUMMYFUNCTION("""COMPUTED_VALUE"""),42997.66666666667)</f>
        <v>42997.66667</v>
      </c>
      <c r="B9514" s="2">
        <f>IFERROR(__xludf.DUMMYFUNCTION("""COMPUTED_VALUE"""),138.3)</f>
        <v>138.3</v>
      </c>
      <c r="C9514" s="2">
        <f>IFERROR(__xludf.DUMMYFUNCTION("""COMPUTED_VALUE"""),138.48)</f>
        <v>138.48</v>
      </c>
      <c r="D9514" s="2">
        <f>IFERROR(__xludf.DUMMYFUNCTION("""COMPUTED_VALUE"""),137.75)</f>
        <v>137.75</v>
      </c>
      <c r="E9514" s="2">
        <f>IFERROR(__xludf.DUMMYFUNCTION("""COMPUTED_VALUE"""),137.92)</f>
        <v>137.92</v>
      </c>
      <c r="F9514" s="2">
        <f>IFERROR(__xludf.DUMMYFUNCTION("""COMPUTED_VALUE"""),3464383.0)</f>
        <v>3464383</v>
      </c>
    </row>
    <row r="9515">
      <c r="A9515" s="3">
        <f>IFERROR(__xludf.DUMMYFUNCTION("""COMPUTED_VALUE"""),42998.66666666667)</f>
        <v>42998.66667</v>
      </c>
      <c r="B9515" s="2">
        <f>IFERROR(__xludf.DUMMYFUNCTION("""COMPUTED_VALUE"""),138.43)</f>
        <v>138.43</v>
      </c>
      <c r="C9515" s="2">
        <f>IFERROR(__xludf.DUMMYFUNCTION("""COMPUTED_VALUE"""),139.34)</f>
        <v>139.34</v>
      </c>
      <c r="D9515" s="2">
        <f>IFERROR(__xludf.DUMMYFUNCTION("""COMPUTED_VALUE"""),137.94)</f>
        <v>137.94</v>
      </c>
      <c r="E9515" s="2">
        <f>IFERROR(__xludf.DUMMYFUNCTION("""COMPUTED_VALUE"""),139.34)</f>
        <v>139.34</v>
      </c>
      <c r="F9515" s="2">
        <f>IFERROR(__xludf.DUMMYFUNCTION("""COMPUTED_VALUE"""),5447519.0)</f>
        <v>5447519</v>
      </c>
    </row>
    <row r="9516">
      <c r="A9516" s="3">
        <f>IFERROR(__xludf.DUMMYFUNCTION("""COMPUTED_VALUE"""),42999.66666666667)</f>
        <v>42999.66667</v>
      </c>
      <c r="B9516" s="2">
        <f>IFERROR(__xludf.DUMMYFUNCTION("""COMPUTED_VALUE"""),139.12)</f>
        <v>139.12</v>
      </c>
      <c r="C9516" s="2">
        <f>IFERROR(__xludf.DUMMYFUNCTION("""COMPUTED_VALUE"""),139.35)</f>
        <v>139.35</v>
      </c>
      <c r="D9516" s="2">
        <f>IFERROR(__xludf.DUMMYFUNCTION("""COMPUTED_VALUE"""),138.59)</f>
        <v>138.59</v>
      </c>
      <c r="E9516" s="2">
        <f>IFERROR(__xludf.DUMMYFUNCTION("""COMPUTED_VALUE"""),138.75)</f>
        <v>138.75</v>
      </c>
      <c r="F9516" s="2">
        <f>IFERROR(__xludf.DUMMYFUNCTION("""COMPUTED_VALUE"""),2554596.0)</f>
        <v>2554596</v>
      </c>
    </row>
    <row r="9517">
      <c r="A9517" s="3">
        <f>IFERROR(__xludf.DUMMYFUNCTION("""COMPUTED_VALUE"""),43000.66666666667)</f>
        <v>43000.66667</v>
      </c>
      <c r="B9517" s="2">
        <f>IFERROR(__xludf.DUMMYFUNCTION("""COMPUTED_VALUE"""),139.06)</f>
        <v>139.06</v>
      </c>
      <c r="C9517" s="2">
        <f>IFERROR(__xludf.DUMMYFUNCTION("""COMPUTED_VALUE"""),139.06)</f>
        <v>139.06</v>
      </c>
      <c r="D9517" s="2">
        <f>IFERROR(__xludf.DUMMYFUNCTION("""COMPUTED_VALUE"""),138.11)</f>
        <v>138.11</v>
      </c>
      <c r="E9517" s="2">
        <f>IFERROR(__xludf.DUMMYFUNCTION("""COMPUTED_VALUE"""),138.62)</f>
        <v>138.62</v>
      </c>
      <c r="F9517" s="2">
        <f>IFERROR(__xludf.DUMMYFUNCTION("""COMPUTED_VALUE"""),2792200.0)</f>
        <v>2792200</v>
      </c>
    </row>
    <row r="9518">
      <c r="A9518" s="3">
        <f>IFERROR(__xludf.DUMMYFUNCTION("""COMPUTED_VALUE"""),43003.66666666667)</f>
        <v>43003.66667</v>
      </c>
      <c r="B9518" s="2">
        <f>IFERROR(__xludf.DUMMYFUNCTION("""COMPUTED_VALUE"""),138.61)</f>
        <v>138.61</v>
      </c>
      <c r="C9518" s="2">
        <f>IFERROR(__xludf.DUMMYFUNCTION("""COMPUTED_VALUE"""),139.48)</f>
        <v>139.48</v>
      </c>
      <c r="D9518" s="2">
        <f>IFERROR(__xludf.DUMMYFUNCTION("""COMPUTED_VALUE"""),138.41)</f>
        <v>138.41</v>
      </c>
      <c r="E9518" s="2">
        <f>IFERROR(__xludf.DUMMYFUNCTION("""COMPUTED_VALUE"""),139.33)</f>
        <v>139.33</v>
      </c>
      <c r="F9518" s="2">
        <f>IFERROR(__xludf.DUMMYFUNCTION("""COMPUTED_VALUE"""),5213144.0)</f>
        <v>5213144</v>
      </c>
    </row>
    <row r="9519">
      <c r="A9519" s="3">
        <f>IFERROR(__xludf.DUMMYFUNCTION("""COMPUTED_VALUE"""),43004.66666666667)</f>
        <v>43004.66667</v>
      </c>
      <c r="B9519" s="2">
        <f>IFERROR(__xludf.DUMMYFUNCTION("""COMPUTED_VALUE"""),139.8)</f>
        <v>139.8</v>
      </c>
      <c r="C9519" s="2">
        <f>IFERROR(__xludf.DUMMYFUNCTION("""COMPUTED_VALUE"""),140.81)</f>
        <v>140.81</v>
      </c>
      <c r="D9519" s="2">
        <f>IFERROR(__xludf.DUMMYFUNCTION("""COMPUTED_VALUE"""),139.4)</f>
        <v>139.4</v>
      </c>
      <c r="E9519" s="2">
        <f>IFERROR(__xludf.DUMMYFUNCTION("""COMPUTED_VALUE"""),139.99)</f>
        <v>139.99</v>
      </c>
      <c r="F9519" s="2">
        <f>IFERROR(__xludf.DUMMYFUNCTION("""COMPUTED_VALUE"""),4487620.0)</f>
        <v>4487620</v>
      </c>
    </row>
    <row r="9520">
      <c r="A9520" s="3">
        <f>IFERROR(__xludf.DUMMYFUNCTION("""COMPUTED_VALUE"""),43005.66666666667)</f>
        <v>43005.66667</v>
      </c>
      <c r="B9520" s="2">
        <f>IFERROR(__xludf.DUMMYFUNCTION("""COMPUTED_VALUE"""),140.1)</f>
        <v>140.1</v>
      </c>
      <c r="C9520" s="2">
        <f>IFERROR(__xludf.DUMMYFUNCTION("""COMPUTED_VALUE"""),140.31)</f>
        <v>140.31</v>
      </c>
      <c r="D9520" s="2">
        <f>IFERROR(__xludf.DUMMYFUNCTION("""COMPUTED_VALUE"""),138.53)</f>
        <v>138.53</v>
      </c>
      <c r="E9520" s="2">
        <f>IFERROR(__xludf.DUMMYFUNCTION("""COMPUTED_VALUE"""),139.13)</f>
        <v>139.13</v>
      </c>
      <c r="F9520" s="2">
        <f>IFERROR(__xludf.DUMMYFUNCTION("""COMPUTED_VALUE"""),3501906.0)</f>
        <v>3501906</v>
      </c>
    </row>
    <row r="9521">
      <c r="A9521" s="3">
        <f>IFERROR(__xludf.DUMMYFUNCTION("""COMPUTED_VALUE"""),43006.66666666667)</f>
        <v>43006.66667</v>
      </c>
      <c r="B9521" s="2">
        <f>IFERROR(__xludf.DUMMYFUNCTION("""COMPUTED_VALUE"""),138.81)</f>
        <v>138.81</v>
      </c>
      <c r="C9521" s="2">
        <f>IFERROR(__xludf.DUMMYFUNCTION("""COMPUTED_VALUE"""),139.32)</f>
        <v>139.32</v>
      </c>
      <c r="D9521" s="2">
        <f>IFERROR(__xludf.DUMMYFUNCTION("""COMPUTED_VALUE"""),137.74)</f>
        <v>137.74</v>
      </c>
      <c r="E9521" s="2">
        <f>IFERROR(__xludf.DUMMYFUNCTION("""COMPUTED_VALUE"""),139.13)</f>
        <v>139.13</v>
      </c>
      <c r="F9521" s="2">
        <f>IFERROR(__xludf.DUMMYFUNCTION("""COMPUTED_VALUE"""),2774775.0)</f>
        <v>2774775</v>
      </c>
    </row>
    <row r="9522">
      <c r="A9522" s="3">
        <f>IFERROR(__xludf.DUMMYFUNCTION("""COMPUTED_VALUE"""),43007.66666666667)</f>
        <v>43007.66667</v>
      </c>
      <c r="B9522" s="2">
        <f>IFERROR(__xludf.DUMMYFUNCTION("""COMPUTED_VALUE"""),138.93)</f>
        <v>138.93</v>
      </c>
      <c r="C9522" s="2">
        <f>IFERROR(__xludf.DUMMYFUNCTION("""COMPUTED_VALUE"""),139.16)</f>
        <v>139.16</v>
      </c>
      <c r="D9522" s="2">
        <f>IFERROR(__xludf.DUMMYFUNCTION("""COMPUTED_VALUE"""),138.42)</f>
        <v>138.42</v>
      </c>
      <c r="E9522" s="2">
        <f>IFERROR(__xludf.DUMMYFUNCTION("""COMPUTED_VALUE"""),138.58)</f>
        <v>138.58</v>
      </c>
      <c r="F9522" s="2">
        <f>IFERROR(__xludf.DUMMYFUNCTION("""COMPUTED_VALUE"""),2654321.0)</f>
        <v>2654321</v>
      </c>
    </row>
    <row r="9523">
      <c r="A9523" s="3">
        <f>IFERROR(__xludf.DUMMYFUNCTION("""COMPUTED_VALUE"""),43010.66666666667)</f>
        <v>43010.66667</v>
      </c>
      <c r="B9523" s="2">
        <f>IFERROR(__xludf.DUMMYFUNCTION("""COMPUTED_VALUE"""),138.83)</f>
        <v>138.83</v>
      </c>
      <c r="C9523" s="2">
        <f>IFERROR(__xludf.DUMMYFUNCTION("""COMPUTED_VALUE"""),140.28)</f>
        <v>140.28</v>
      </c>
      <c r="D9523" s="2">
        <f>IFERROR(__xludf.DUMMYFUNCTION("""COMPUTED_VALUE"""),138.7)</f>
        <v>138.7</v>
      </c>
      <c r="E9523" s="2">
        <f>IFERROR(__xludf.DUMMYFUNCTION("""COMPUTED_VALUE"""),140.08)</f>
        <v>140.08</v>
      </c>
      <c r="F9523" s="2">
        <f>IFERROR(__xludf.DUMMYFUNCTION("""COMPUTED_VALUE"""),2973073.0)</f>
        <v>2973073</v>
      </c>
    </row>
    <row r="9524">
      <c r="A9524" s="3">
        <f>IFERROR(__xludf.DUMMYFUNCTION("""COMPUTED_VALUE"""),43011.66666666667)</f>
        <v>43011.66667</v>
      </c>
      <c r="B9524" s="2">
        <f>IFERROR(__xludf.DUMMYFUNCTION("""COMPUTED_VALUE"""),140.11)</f>
        <v>140.11</v>
      </c>
      <c r="C9524" s="2">
        <f>IFERROR(__xludf.DUMMYFUNCTION("""COMPUTED_VALUE"""),140.6)</f>
        <v>140.6</v>
      </c>
      <c r="D9524" s="2">
        <f>IFERROR(__xludf.DUMMYFUNCTION("""COMPUTED_VALUE"""),139.78)</f>
        <v>139.78</v>
      </c>
      <c r="E9524" s="2">
        <f>IFERROR(__xludf.DUMMYFUNCTION("""COMPUTED_VALUE"""),140.2)</f>
        <v>140.2</v>
      </c>
      <c r="F9524" s="2">
        <f>IFERROR(__xludf.DUMMYFUNCTION("""COMPUTED_VALUE"""),2302699.0)</f>
        <v>2302699</v>
      </c>
    </row>
    <row r="9525">
      <c r="A9525" s="3">
        <f>IFERROR(__xludf.DUMMYFUNCTION("""COMPUTED_VALUE"""),43012.66666666667)</f>
        <v>43012.66667</v>
      </c>
      <c r="B9525" s="2">
        <f>IFERROR(__xludf.DUMMYFUNCTION("""COMPUTED_VALUE"""),140.41)</f>
        <v>140.41</v>
      </c>
      <c r="C9525" s="2">
        <f>IFERROR(__xludf.DUMMYFUNCTION("""COMPUTED_VALUE"""),140.43)</f>
        <v>140.43</v>
      </c>
      <c r="D9525" s="2">
        <f>IFERROR(__xludf.DUMMYFUNCTION("""COMPUTED_VALUE"""),139.56)</f>
        <v>139.56</v>
      </c>
      <c r="E9525" s="2">
        <f>IFERROR(__xludf.DUMMYFUNCTION("""COMPUTED_VALUE"""),139.91)</f>
        <v>139.91</v>
      </c>
      <c r="F9525" s="2">
        <f>IFERROR(__xludf.DUMMYFUNCTION("""COMPUTED_VALUE"""),2244033.0)</f>
        <v>2244033</v>
      </c>
    </row>
    <row r="9526">
      <c r="A9526" s="3">
        <f>IFERROR(__xludf.DUMMYFUNCTION("""COMPUTED_VALUE"""),43013.66666666667)</f>
        <v>43013.66667</v>
      </c>
      <c r="B9526" s="2">
        <f>IFERROR(__xludf.DUMMYFUNCTION("""COMPUTED_VALUE"""),140.1)</f>
        <v>140.1</v>
      </c>
      <c r="C9526" s="2">
        <f>IFERROR(__xludf.DUMMYFUNCTION("""COMPUTED_VALUE"""),140.92)</f>
        <v>140.92</v>
      </c>
      <c r="D9526" s="2">
        <f>IFERROR(__xludf.DUMMYFUNCTION("""COMPUTED_VALUE"""),139.91)</f>
        <v>139.91</v>
      </c>
      <c r="E9526" s="2">
        <f>IFERROR(__xludf.DUMMYFUNCTION("""COMPUTED_VALUE"""),140.14)</f>
        <v>140.14</v>
      </c>
      <c r="F9526" s="2">
        <f>IFERROR(__xludf.DUMMYFUNCTION("""COMPUTED_VALUE"""),2686539.0)</f>
        <v>2686539</v>
      </c>
    </row>
    <row r="9527">
      <c r="A9527" s="3">
        <f>IFERROR(__xludf.DUMMYFUNCTION("""COMPUTED_VALUE"""),43014.66666666667)</f>
        <v>43014.66667</v>
      </c>
      <c r="B9527" s="2">
        <f>IFERROR(__xludf.DUMMYFUNCTION("""COMPUTED_VALUE"""),140.07)</f>
        <v>140.07</v>
      </c>
      <c r="C9527" s="2">
        <f>IFERROR(__xludf.DUMMYFUNCTION("""COMPUTED_VALUE"""),140.27)</f>
        <v>140.27</v>
      </c>
      <c r="D9527" s="2">
        <f>IFERROR(__xludf.DUMMYFUNCTION("""COMPUTED_VALUE"""),139.76)</f>
        <v>139.76</v>
      </c>
      <c r="E9527" s="2">
        <f>IFERROR(__xludf.DUMMYFUNCTION("""COMPUTED_VALUE"""),139.91)</f>
        <v>139.91</v>
      </c>
      <c r="F9527" s="2">
        <f>IFERROR(__xludf.DUMMYFUNCTION("""COMPUTED_VALUE"""),2623174.0)</f>
        <v>2623174</v>
      </c>
    </row>
    <row r="9528">
      <c r="A9528" s="3">
        <f>IFERROR(__xludf.DUMMYFUNCTION("""COMPUTED_VALUE"""),43017.66666666667)</f>
        <v>43017.66667</v>
      </c>
      <c r="B9528" s="2">
        <f>IFERROR(__xludf.DUMMYFUNCTION("""COMPUTED_VALUE"""),139.93)</f>
        <v>139.93</v>
      </c>
      <c r="C9528" s="2">
        <f>IFERROR(__xludf.DUMMYFUNCTION("""COMPUTED_VALUE"""),141.16)</f>
        <v>141.16</v>
      </c>
      <c r="D9528" s="2">
        <f>IFERROR(__xludf.DUMMYFUNCTION("""COMPUTED_VALUE"""),139.79)</f>
        <v>139.79</v>
      </c>
      <c r="E9528" s="2">
        <f>IFERROR(__xludf.DUMMYFUNCTION("""COMPUTED_VALUE"""),140.78)</f>
        <v>140.78</v>
      </c>
      <c r="F9528" s="2">
        <f>IFERROR(__xludf.DUMMYFUNCTION("""COMPUTED_VALUE"""),2682556.0)</f>
        <v>2682556</v>
      </c>
    </row>
    <row r="9529">
      <c r="A9529" s="3">
        <f>IFERROR(__xludf.DUMMYFUNCTION("""COMPUTED_VALUE"""),43018.66666666667)</f>
        <v>43018.66667</v>
      </c>
      <c r="B9529" s="2">
        <f>IFERROR(__xludf.DUMMYFUNCTION("""COMPUTED_VALUE"""),141.09)</f>
        <v>141.09</v>
      </c>
      <c r="C9529" s="2">
        <f>IFERROR(__xludf.DUMMYFUNCTION("""COMPUTED_VALUE"""),142.27)</f>
        <v>142.27</v>
      </c>
      <c r="D9529" s="2">
        <f>IFERROR(__xludf.DUMMYFUNCTION("""COMPUTED_VALUE"""),141.03)</f>
        <v>141.03</v>
      </c>
      <c r="E9529" s="2">
        <f>IFERROR(__xludf.DUMMYFUNCTION("""COMPUTED_VALUE"""),141.84)</f>
        <v>141.84</v>
      </c>
      <c r="F9529" s="2">
        <f>IFERROR(__xludf.DUMMYFUNCTION("""COMPUTED_VALUE"""),4032601.0)</f>
        <v>4032601</v>
      </c>
    </row>
    <row r="9530">
      <c r="A9530" s="3">
        <f>IFERROR(__xludf.DUMMYFUNCTION("""COMPUTED_VALUE"""),43019.66666666667)</f>
        <v>43019.66667</v>
      </c>
      <c r="B9530" s="2">
        <f>IFERROR(__xludf.DUMMYFUNCTION("""COMPUTED_VALUE"""),141.75)</f>
        <v>141.75</v>
      </c>
      <c r="C9530" s="2">
        <f>IFERROR(__xludf.DUMMYFUNCTION("""COMPUTED_VALUE"""),141.81)</f>
        <v>141.81</v>
      </c>
      <c r="D9530" s="2">
        <f>IFERROR(__xludf.DUMMYFUNCTION("""COMPUTED_VALUE"""),140.68)</f>
        <v>140.68</v>
      </c>
      <c r="E9530" s="2">
        <f>IFERROR(__xludf.DUMMYFUNCTION("""COMPUTED_VALUE"""),141.0)</f>
        <v>141</v>
      </c>
      <c r="F9530" s="2">
        <f>IFERROR(__xludf.DUMMYFUNCTION("""COMPUTED_VALUE"""),3702238.0)</f>
        <v>3702238</v>
      </c>
    </row>
    <row r="9531">
      <c r="A9531" s="3">
        <f>IFERROR(__xludf.DUMMYFUNCTION("""COMPUTED_VALUE"""),43020.66666666667)</f>
        <v>43020.66667</v>
      </c>
      <c r="B9531" s="2">
        <f>IFERROR(__xludf.DUMMYFUNCTION("""COMPUTED_VALUE"""),140.94)</f>
        <v>140.94</v>
      </c>
      <c r="C9531" s="2">
        <f>IFERROR(__xludf.DUMMYFUNCTION("""COMPUTED_VALUE"""),141.26)</f>
        <v>141.26</v>
      </c>
      <c r="D9531" s="2">
        <f>IFERROR(__xludf.DUMMYFUNCTION("""COMPUTED_VALUE"""),140.19)</f>
        <v>140.19</v>
      </c>
      <c r="E9531" s="2">
        <f>IFERROR(__xludf.DUMMYFUNCTION("""COMPUTED_VALUE"""),140.44)</f>
        <v>140.44</v>
      </c>
      <c r="F9531" s="2">
        <f>IFERROR(__xludf.DUMMYFUNCTION("""COMPUTED_VALUE"""),3264344.0)</f>
        <v>3264344</v>
      </c>
    </row>
    <row r="9532">
      <c r="A9532" s="3">
        <f>IFERROR(__xludf.DUMMYFUNCTION("""COMPUTED_VALUE"""),43021.66666666667)</f>
        <v>43021.66667</v>
      </c>
      <c r="B9532" s="2">
        <f>IFERROR(__xludf.DUMMYFUNCTION("""COMPUTED_VALUE"""),140.87)</f>
        <v>140.87</v>
      </c>
      <c r="C9532" s="2">
        <f>IFERROR(__xludf.DUMMYFUNCTION("""COMPUTED_VALUE"""),141.22)</f>
        <v>141.22</v>
      </c>
      <c r="D9532" s="2">
        <f>IFERROR(__xludf.DUMMYFUNCTION("""COMPUTED_VALUE"""),140.35)</f>
        <v>140.35</v>
      </c>
      <c r="E9532" s="2">
        <f>IFERROR(__xludf.DUMMYFUNCTION("""COMPUTED_VALUE"""),140.5)</f>
        <v>140.5</v>
      </c>
      <c r="F9532" s="2">
        <f>IFERROR(__xludf.DUMMYFUNCTION("""COMPUTED_VALUE"""),2506584.0)</f>
        <v>2506584</v>
      </c>
    </row>
    <row r="9533">
      <c r="A9533" s="3">
        <f>IFERROR(__xludf.DUMMYFUNCTION("""COMPUTED_VALUE"""),43024.66666666667)</f>
        <v>43024.66667</v>
      </c>
      <c r="B9533" s="2">
        <f>IFERROR(__xludf.DUMMYFUNCTION("""COMPUTED_VALUE"""),140.62)</f>
        <v>140.62</v>
      </c>
      <c r="C9533" s="2">
        <f>IFERROR(__xludf.DUMMYFUNCTION("""COMPUTED_VALUE"""),141.05)</f>
        <v>141.05</v>
      </c>
      <c r="D9533" s="2">
        <f>IFERROR(__xludf.DUMMYFUNCTION("""COMPUTED_VALUE"""),139.94)</f>
        <v>139.94</v>
      </c>
      <c r="E9533" s="2">
        <f>IFERROR(__xludf.DUMMYFUNCTION("""COMPUTED_VALUE"""),140.25)</f>
        <v>140.25</v>
      </c>
      <c r="F9533" s="2">
        <f>IFERROR(__xludf.DUMMYFUNCTION("""COMPUTED_VALUE"""),3052091.0)</f>
        <v>3052091</v>
      </c>
    </row>
    <row r="9534">
      <c r="A9534" s="3">
        <f>IFERROR(__xludf.DUMMYFUNCTION("""COMPUTED_VALUE"""),43025.66666666667)</f>
        <v>43025.66667</v>
      </c>
      <c r="B9534" s="2">
        <f>IFERROR(__xludf.DUMMYFUNCTION("""COMPUTED_VALUE"""),140.06)</f>
        <v>140.06</v>
      </c>
      <c r="C9534" s="2">
        <f>IFERROR(__xludf.DUMMYFUNCTION("""COMPUTED_VALUE"""),140.52)</f>
        <v>140.52</v>
      </c>
      <c r="D9534" s="2">
        <f>IFERROR(__xludf.DUMMYFUNCTION("""COMPUTED_VALUE"""),139.63)</f>
        <v>139.63</v>
      </c>
      <c r="E9534" s="2">
        <f>IFERROR(__xludf.DUMMYFUNCTION("""COMPUTED_VALUE"""),139.97)</f>
        <v>139.97</v>
      </c>
      <c r="F9534" s="2">
        <f>IFERROR(__xludf.DUMMYFUNCTION("""COMPUTED_VALUE"""),6372393.0)</f>
        <v>6372393</v>
      </c>
    </row>
    <row r="9535">
      <c r="A9535" s="3">
        <f>IFERROR(__xludf.DUMMYFUNCTION("""COMPUTED_VALUE"""),43026.66666666667)</f>
        <v>43026.66667</v>
      </c>
      <c r="B9535" s="2">
        <f>IFERROR(__xludf.DUMMYFUNCTION("""COMPUTED_VALUE"""),150.08)</f>
        <v>150.08</v>
      </c>
      <c r="C9535" s="2">
        <f>IFERROR(__xludf.DUMMYFUNCTION("""COMPUTED_VALUE"""),154.0)</f>
        <v>154</v>
      </c>
      <c r="D9535" s="2">
        <f>IFERROR(__xludf.DUMMYFUNCTION("""COMPUTED_VALUE"""),149.91)</f>
        <v>149.91</v>
      </c>
      <c r="E9535" s="2">
        <f>IFERROR(__xludf.DUMMYFUNCTION("""COMPUTED_VALUE"""),152.38)</f>
        <v>152.38</v>
      </c>
      <c r="F9535" s="2">
        <f>IFERROR(__xludf.DUMMYFUNCTION("""COMPUTED_VALUE"""),3.0490192E7)</f>
        <v>30490192</v>
      </c>
    </row>
    <row r="9536">
      <c r="A9536" s="3">
        <f>IFERROR(__xludf.DUMMYFUNCTION("""COMPUTED_VALUE"""),43027.66666666667)</f>
        <v>43027.66667</v>
      </c>
      <c r="B9536" s="2">
        <f>IFERROR(__xludf.DUMMYFUNCTION("""COMPUTED_VALUE"""),152.64)</f>
        <v>152.64</v>
      </c>
      <c r="C9536" s="2">
        <f>IFERROR(__xludf.DUMMYFUNCTION("""COMPUTED_VALUE"""),153.74)</f>
        <v>153.74</v>
      </c>
      <c r="D9536" s="2">
        <f>IFERROR(__xludf.DUMMYFUNCTION("""COMPUTED_VALUE"""),151.95)</f>
        <v>151.95</v>
      </c>
      <c r="E9536" s="2">
        <f>IFERROR(__xludf.DUMMYFUNCTION("""COMPUTED_VALUE"""),153.69)</f>
        <v>153.69</v>
      </c>
      <c r="F9536" s="2">
        <f>IFERROR(__xludf.DUMMYFUNCTION("""COMPUTED_VALUE"""),9914169.0)</f>
        <v>9914169</v>
      </c>
    </row>
    <row r="9537">
      <c r="A9537" s="3">
        <f>IFERROR(__xludf.DUMMYFUNCTION("""COMPUTED_VALUE"""),43028.66666666667)</f>
        <v>43028.66667</v>
      </c>
      <c r="B9537" s="2">
        <f>IFERROR(__xludf.DUMMYFUNCTION("""COMPUTED_VALUE"""),153.85)</f>
        <v>153.85</v>
      </c>
      <c r="C9537" s="2">
        <f>IFERROR(__xludf.DUMMYFUNCTION("""COMPUTED_VALUE"""),155.2)</f>
        <v>155.2</v>
      </c>
      <c r="D9537" s="2">
        <f>IFERROR(__xludf.DUMMYFUNCTION("""COMPUTED_VALUE"""),152.61)</f>
        <v>152.61</v>
      </c>
      <c r="E9537" s="2">
        <f>IFERROR(__xludf.DUMMYFUNCTION("""COMPUTED_VALUE"""),154.8)</f>
        <v>154.8</v>
      </c>
      <c r="F9537" s="2">
        <f>IFERROR(__xludf.DUMMYFUNCTION("""COMPUTED_VALUE"""),7868803.0)</f>
        <v>7868803</v>
      </c>
    </row>
    <row r="9538">
      <c r="A9538" s="3">
        <f>IFERROR(__xludf.DUMMYFUNCTION("""COMPUTED_VALUE"""),43031.66666666667)</f>
        <v>43031.66667</v>
      </c>
      <c r="B9538" s="2">
        <f>IFERROR(__xludf.DUMMYFUNCTION("""COMPUTED_VALUE"""),154.78)</f>
        <v>154.78</v>
      </c>
      <c r="C9538" s="2">
        <f>IFERROR(__xludf.DUMMYFUNCTION("""COMPUTED_VALUE"""),155.22)</f>
        <v>155.22</v>
      </c>
      <c r="D9538" s="2">
        <f>IFERROR(__xludf.DUMMYFUNCTION("""COMPUTED_VALUE"""),152.39)</f>
        <v>152.39</v>
      </c>
      <c r="E9538" s="2">
        <f>IFERROR(__xludf.DUMMYFUNCTION("""COMPUTED_VALUE"""),152.4)</f>
        <v>152.4</v>
      </c>
      <c r="F9538" s="2">
        <f>IFERROR(__xludf.DUMMYFUNCTION("""COMPUTED_VALUE"""),5779378.0)</f>
        <v>5779378</v>
      </c>
    </row>
    <row r="9539">
      <c r="A9539" s="3">
        <f>IFERROR(__xludf.DUMMYFUNCTION("""COMPUTED_VALUE"""),43032.66666666667)</f>
        <v>43032.66667</v>
      </c>
      <c r="B9539" s="2">
        <f>IFERROR(__xludf.DUMMYFUNCTION("""COMPUTED_VALUE"""),152.49)</f>
        <v>152.49</v>
      </c>
      <c r="C9539" s="2">
        <f>IFERROR(__xludf.DUMMYFUNCTION("""COMPUTED_VALUE"""),152.54)</f>
        <v>152.54</v>
      </c>
      <c r="D9539" s="2">
        <f>IFERROR(__xludf.DUMMYFUNCTION("""COMPUTED_VALUE"""),148.21)</f>
        <v>148.21</v>
      </c>
      <c r="E9539" s="2">
        <f>IFERROR(__xludf.DUMMYFUNCTION("""COMPUTED_VALUE"""),148.89)</f>
        <v>148.89</v>
      </c>
      <c r="F9539" s="2">
        <f>IFERROR(__xludf.DUMMYFUNCTION("""COMPUTED_VALUE"""),8194690.0)</f>
        <v>8194690</v>
      </c>
    </row>
    <row r="9540">
      <c r="A9540" s="3">
        <f>IFERROR(__xludf.DUMMYFUNCTION("""COMPUTED_VALUE"""),43033.66666666667)</f>
        <v>43033.66667</v>
      </c>
      <c r="B9540" s="2">
        <f>IFERROR(__xludf.DUMMYFUNCTION("""COMPUTED_VALUE"""),149.02)</f>
        <v>149.02</v>
      </c>
      <c r="C9540" s="2">
        <f>IFERROR(__xludf.DUMMYFUNCTION("""COMPUTED_VALUE"""),149.36)</f>
        <v>149.36</v>
      </c>
      <c r="D9540" s="2">
        <f>IFERROR(__xludf.DUMMYFUNCTION("""COMPUTED_VALUE"""),146.2)</f>
        <v>146.2</v>
      </c>
      <c r="E9540" s="2">
        <f>IFERROR(__xludf.DUMMYFUNCTION("""COMPUTED_VALUE"""),146.62)</f>
        <v>146.62</v>
      </c>
      <c r="F9540" s="2">
        <f>IFERROR(__xludf.DUMMYFUNCTION("""COMPUTED_VALUE"""),6921137.0)</f>
        <v>6921137</v>
      </c>
    </row>
    <row r="9541">
      <c r="A9541" s="3">
        <f>IFERROR(__xludf.DUMMYFUNCTION("""COMPUTED_VALUE"""),43034.66666666667)</f>
        <v>43034.66667</v>
      </c>
      <c r="B9541" s="2">
        <f>IFERROR(__xludf.DUMMYFUNCTION("""COMPUTED_VALUE"""),147.39)</f>
        <v>147.39</v>
      </c>
      <c r="C9541" s="2">
        <f>IFERROR(__xludf.DUMMYFUNCTION("""COMPUTED_VALUE"""),148.17)</f>
        <v>148.17</v>
      </c>
      <c r="D9541" s="2">
        <f>IFERROR(__xludf.DUMMYFUNCTION("""COMPUTED_VALUE"""),146.66)</f>
        <v>146.66</v>
      </c>
      <c r="E9541" s="2">
        <f>IFERROR(__xludf.DUMMYFUNCTION("""COMPUTED_VALUE"""),146.71)</f>
        <v>146.71</v>
      </c>
      <c r="F9541" s="2">
        <f>IFERROR(__xludf.DUMMYFUNCTION("""COMPUTED_VALUE"""),4300543.0)</f>
        <v>4300543</v>
      </c>
    </row>
    <row r="9542">
      <c r="A9542" s="3">
        <f>IFERROR(__xludf.DUMMYFUNCTION("""COMPUTED_VALUE"""),43035.66666666667)</f>
        <v>43035.66667</v>
      </c>
      <c r="B9542" s="2">
        <f>IFERROR(__xludf.DUMMYFUNCTION("""COMPUTED_VALUE"""),147.61)</f>
        <v>147.61</v>
      </c>
      <c r="C9542" s="2">
        <f>IFERROR(__xludf.DUMMYFUNCTION("""COMPUTED_VALUE"""),147.7)</f>
        <v>147.7</v>
      </c>
      <c r="D9542" s="2">
        <f>IFERROR(__xludf.DUMMYFUNCTION("""COMPUTED_VALUE"""),146.06)</f>
        <v>146.06</v>
      </c>
      <c r="E9542" s="2">
        <f>IFERROR(__xludf.DUMMYFUNCTION("""COMPUTED_VALUE"""),146.79)</f>
        <v>146.79</v>
      </c>
      <c r="F9542" s="2">
        <f>IFERROR(__xludf.DUMMYFUNCTION("""COMPUTED_VALUE"""),4895186.0)</f>
        <v>4895186</v>
      </c>
    </row>
    <row r="9543">
      <c r="A9543" s="3">
        <f>IFERROR(__xludf.DUMMYFUNCTION("""COMPUTED_VALUE"""),43038.66666666667)</f>
        <v>43038.66667</v>
      </c>
      <c r="B9543" s="2">
        <f>IFERROR(__xludf.DUMMYFUNCTION("""COMPUTED_VALUE"""),146.87)</f>
        <v>146.87</v>
      </c>
      <c r="C9543" s="2">
        <f>IFERROR(__xludf.DUMMYFUNCTION("""COMPUTED_VALUE"""),147.66)</f>
        <v>147.66</v>
      </c>
      <c r="D9543" s="2">
        <f>IFERROR(__xludf.DUMMYFUNCTION("""COMPUTED_VALUE"""),145.86)</f>
        <v>145.86</v>
      </c>
      <c r="E9543" s="2">
        <f>IFERROR(__xludf.DUMMYFUNCTION("""COMPUTED_VALUE"""),147.44)</f>
        <v>147.44</v>
      </c>
      <c r="F9543" s="2">
        <f>IFERROR(__xludf.DUMMYFUNCTION("""COMPUTED_VALUE"""),4210402.0)</f>
        <v>4210402</v>
      </c>
    </row>
    <row r="9544">
      <c r="A9544" s="3">
        <f>IFERROR(__xludf.DUMMYFUNCTION("""COMPUTED_VALUE"""),43039.66666666667)</f>
        <v>43039.66667</v>
      </c>
      <c r="B9544" s="2">
        <f>IFERROR(__xludf.DUMMYFUNCTION("""COMPUTED_VALUE"""),147.41)</f>
        <v>147.41</v>
      </c>
      <c r="C9544" s="2">
        <f>IFERROR(__xludf.DUMMYFUNCTION("""COMPUTED_VALUE"""),147.98)</f>
        <v>147.98</v>
      </c>
      <c r="D9544" s="2">
        <f>IFERROR(__xludf.DUMMYFUNCTION("""COMPUTED_VALUE"""),146.07)</f>
        <v>146.07</v>
      </c>
      <c r="E9544" s="2">
        <f>IFERROR(__xludf.DUMMYFUNCTION("""COMPUTED_VALUE"""),147.15)</f>
        <v>147.15</v>
      </c>
      <c r="F9544" s="2">
        <f>IFERROR(__xludf.DUMMYFUNCTION("""COMPUTED_VALUE"""),4328258.0)</f>
        <v>4328258</v>
      </c>
    </row>
    <row r="9545">
      <c r="A9545" s="3">
        <f>IFERROR(__xludf.DUMMYFUNCTION("""COMPUTED_VALUE"""),43040.66666666667)</f>
        <v>43040.66667</v>
      </c>
      <c r="B9545" s="2">
        <f>IFERROR(__xludf.DUMMYFUNCTION("""COMPUTED_VALUE"""),147.19)</f>
        <v>147.19</v>
      </c>
      <c r="C9545" s="2">
        <f>IFERROR(__xludf.DUMMYFUNCTION("""COMPUTED_VALUE"""),147.95)</f>
        <v>147.95</v>
      </c>
      <c r="D9545" s="2">
        <f>IFERROR(__xludf.DUMMYFUNCTION("""COMPUTED_VALUE"""),146.93)</f>
        <v>146.93</v>
      </c>
      <c r="E9545" s="2">
        <f>IFERROR(__xludf.DUMMYFUNCTION("""COMPUTED_VALUE"""),147.12)</f>
        <v>147.12</v>
      </c>
      <c r="F9545" s="2">
        <f>IFERROR(__xludf.DUMMYFUNCTION("""COMPUTED_VALUE"""),3240246.0)</f>
        <v>3240246</v>
      </c>
    </row>
    <row r="9546">
      <c r="A9546" s="3">
        <f>IFERROR(__xludf.DUMMYFUNCTION("""COMPUTED_VALUE"""),43041.66666666667)</f>
        <v>43041.66667</v>
      </c>
      <c r="B9546" s="2">
        <f>IFERROR(__xludf.DUMMYFUNCTION("""COMPUTED_VALUE"""),147.27)</f>
        <v>147.27</v>
      </c>
      <c r="C9546" s="2">
        <f>IFERROR(__xludf.DUMMYFUNCTION("""COMPUTED_VALUE"""),147.56)</f>
        <v>147.56</v>
      </c>
      <c r="D9546" s="2">
        <f>IFERROR(__xludf.DUMMYFUNCTION("""COMPUTED_VALUE"""),146.05)</f>
        <v>146.05</v>
      </c>
      <c r="E9546" s="2">
        <f>IFERROR(__xludf.DUMMYFUNCTION("""COMPUTED_VALUE"""),146.47)</f>
        <v>146.47</v>
      </c>
      <c r="F9546" s="2">
        <f>IFERROR(__xludf.DUMMYFUNCTION("""COMPUTED_VALUE"""),3397628.0)</f>
        <v>3397628</v>
      </c>
    </row>
    <row r="9547">
      <c r="A9547" s="3">
        <f>IFERROR(__xludf.DUMMYFUNCTION("""COMPUTED_VALUE"""),43042.66666666667)</f>
        <v>43042.66667</v>
      </c>
      <c r="B9547" s="2">
        <f>IFERROR(__xludf.DUMMYFUNCTION("""COMPUTED_VALUE"""),146.54)</f>
        <v>146.54</v>
      </c>
      <c r="C9547" s="2">
        <f>IFERROR(__xludf.DUMMYFUNCTION("""COMPUTED_VALUE"""),146.59)</f>
        <v>146.59</v>
      </c>
      <c r="D9547" s="2">
        <f>IFERROR(__xludf.DUMMYFUNCTION("""COMPUTED_VALUE"""),144.7)</f>
        <v>144.7</v>
      </c>
      <c r="E9547" s="2">
        <f>IFERROR(__xludf.DUMMYFUNCTION("""COMPUTED_VALUE"""),144.78)</f>
        <v>144.78</v>
      </c>
      <c r="F9547" s="2">
        <f>IFERROR(__xludf.DUMMYFUNCTION("""COMPUTED_VALUE"""),4431825.0)</f>
        <v>4431825</v>
      </c>
    </row>
    <row r="9548">
      <c r="A9548" s="3">
        <f>IFERROR(__xludf.DUMMYFUNCTION("""COMPUTED_VALUE"""),43045.66666666667)</f>
        <v>43045.66667</v>
      </c>
      <c r="B9548" s="2">
        <f>IFERROR(__xludf.DUMMYFUNCTION("""COMPUTED_VALUE"""),144.97)</f>
        <v>144.97</v>
      </c>
      <c r="C9548" s="2">
        <f>IFERROR(__xludf.DUMMYFUNCTION("""COMPUTED_VALUE"""),145.01)</f>
        <v>145.01</v>
      </c>
      <c r="D9548" s="2">
        <f>IFERROR(__xludf.DUMMYFUNCTION("""COMPUTED_VALUE"""),143.54)</f>
        <v>143.54</v>
      </c>
      <c r="E9548" s="2">
        <f>IFERROR(__xludf.DUMMYFUNCTION("""COMPUTED_VALUE"""),144.08)</f>
        <v>144.08</v>
      </c>
      <c r="F9548" s="2">
        <f>IFERROR(__xludf.DUMMYFUNCTION("""COMPUTED_VALUE"""),4498871.0)</f>
        <v>4498871</v>
      </c>
    </row>
    <row r="9549">
      <c r="A9549" s="3">
        <f>IFERROR(__xludf.DUMMYFUNCTION("""COMPUTED_VALUE"""),43046.66666666667)</f>
        <v>43046.66667</v>
      </c>
      <c r="B9549" s="2">
        <f>IFERROR(__xludf.DUMMYFUNCTION("""COMPUTED_VALUE"""),144.58)</f>
        <v>144.58</v>
      </c>
      <c r="C9549" s="2">
        <f>IFERROR(__xludf.DUMMYFUNCTION("""COMPUTED_VALUE"""),144.72)</f>
        <v>144.72</v>
      </c>
      <c r="D9549" s="2">
        <f>IFERROR(__xludf.DUMMYFUNCTION("""COMPUTED_VALUE"""),143.75)</f>
        <v>143.75</v>
      </c>
      <c r="E9549" s="2">
        <f>IFERROR(__xludf.DUMMYFUNCTION("""COMPUTED_VALUE"""),144.56)</f>
        <v>144.56</v>
      </c>
      <c r="F9549" s="2">
        <f>IFERROR(__xludf.DUMMYFUNCTION("""COMPUTED_VALUE"""),3701052.0)</f>
        <v>3701052</v>
      </c>
    </row>
    <row r="9550">
      <c r="A9550" s="3">
        <f>IFERROR(__xludf.DUMMYFUNCTION("""COMPUTED_VALUE"""),43047.66666666667)</f>
        <v>43047.66667</v>
      </c>
      <c r="B9550" s="2">
        <f>IFERROR(__xludf.DUMMYFUNCTION("""COMPUTED_VALUE"""),144.8)</f>
        <v>144.8</v>
      </c>
      <c r="C9550" s="2">
        <f>IFERROR(__xludf.DUMMYFUNCTION("""COMPUTED_VALUE"""),144.99)</f>
        <v>144.99</v>
      </c>
      <c r="D9550" s="2">
        <f>IFERROR(__xludf.DUMMYFUNCTION("""COMPUTED_VALUE"""),143.54)</f>
        <v>143.54</v>
      </c>
      <c r="E9550" s="2">
        <f>IFERROR(__xludf.DUMMYFUNCTION("""COMPUTED_VALUE"""),144.77)</f>
        <v>144.77</v>
      </c>
      <c r="F9550" s="2">
        <f>IFERROR(__xludf.DUMMYFUNCTION("""COMPUTED_VALUE"""),4634439.0)</f>
        <v>4634439</v>
      </c>
    </row>
    <row r="9551">
      <c r="A9551" s="3">
        <f>IFERROR(__xludf.DUMMYFUNCTION("""COMPUTED_VALUE"""),43048.66666666667)</f>
        <v>43048.66667</v>
      </c>
      <c r="B9551" s="2">
        <f>IFERROR(__xludf.DUMMYFUNCTION("""COMPUTED_VALUE"""),143.21)</f>
        <v>143.21</v>
      </c>
      <c r="C9551" s="2">
        <f>IFERROR(__xludf.DUMMYFUNCTION("""COMPUTED_VALUE"""),144.99)</f>
        <v>144.99</v>
      </c>
      <c r="D9551" s="2">
        <f>IFERROR(__xludf.DUMMYFUNCTION("""COMPUTED_VALUE"""),143.14)</f>
        <v>143.14</v>
      </c>
      <c r="E9551" s="2">
        <f>IFERROR(__xludf.DUMMYFUNCTION("""COMPUTED_VALUE"""),143.56)</f>
        <v>143.56</v>
      </c>
      <c r="F9551" s="2">
        <f>IFERROR(__xludf.DUMMYFUNCTION("""COMPUTED_VALUE"""),4776532.0)</f>
        <v>4776532</v>
      </c>
    </row>
    <row r="9552">
      <c r="A9552" s="3">
        <f>IFERROR(__xludf.DUMMYFUNCTION("""COMPUTED_VALUE"""),43049.66666666667)</f>
        <v>43049.66667</v>
      </c>
      <c r="B9552" s="2">
        <f>IFERROR(__xludf.DUMMYFUNCTION("""COMPUTED_VALUE"""),143.9)</f>
        <v>143.9</v>
      </c>
      <c r="C9552" s="2">
        <f>IFERROR(__xludf.DUMMYFUNCTION("""COMPUTED_VALUE"""),144.12)</f>
        <v>144.12</v>
      </c>
      <c r="D9552" s="2">
        <f>IFERROR(__xludf.DUMMYFUNCTION("""COMPUTED_VALUE"""),142.45)</f>
        <v>142.45</v>
      </c>
      <c r="E9552" s="2">
        <f>IFERROR(__xludf.DUMMYFUNCTION("""COMPUTED_VALUE"""),142.47)</f>
        <v>142.47</v>
      </c>
      <c r="F9552" s="2">
        <f>IFERROR(__xludf.DUMMYFUNCTION("""COMPUTED_VALUE"""),4307276.0)</f>
        <v>4307276</v>
      </c>
    </row>
    <row r="9553">
      <c r="A9553" s="3">
        <f>IFERROR(__xludf.DUMMYFUNCTION("""COMPUTED_VALUE"""),43052.66666666667)</f>
        <v>43052.66667</v>
      </c>
      <c r="B9553" s="2">
        <f>IFERROR(__xludf.DUMMYFUNCTION("""COMPUTED_VALUE"""),142.2)</f>
        <v>142.2</v>
      </c>
      <c r="C9553" s="2">
        <f>IFERROR(__xludf.DUMMYFUNCTION("""COMPUTED_VALUE"""),142.32)</f>
        <v>142.32</v>
      </c>
      <c r="D9553" s="2">
        <f>IFERROR(__xludf.DUMMYFUNCTION("""COMPUTED_VALUE"""),141.29)</f>
        <v>141.29</v>
      </c>
      <c r="E9553" s="2">
        <f>IFERROR(__xludf.DUMMYFUNCTION("""COMPUTED_VALUE"""),141.75)</f>
        <v>141.75</v>
      </c>
      <c r="F9553" s="2">
        <f>IFERROR(__xludf.DUMMYFUNCTION("""COMPUTED_VALUE"""),5107546.0)</f>
        <v>5107546</v>
      </c>
    </row>
    <row r="9554">
      <c r="A9554" s="3">
        <f>IFERROR(__xludf.DUMMYFUNCTION("""COMPUTED_VALUE"""),43053.66666666667)</f>
        <v>43053.66667</v>
      </c>
      <c r="B9554" s="2">
        <f>IFERROR(__xludf.DUMMYFUNCTION("""COMPUTED_VALUE"""),141.32)</f>
        <v>141.32</v>
      </c>
      <c r="C9554" s="2">
        <f>IFERROR(__xludf.DUMMYFUNCTION("""COMPUTED_VALUE"""),142.29)</f>
        <v>142.29</v>
      </c>
      <c r="D9554" s="2">
        <f>IFERROR(__xludf.DUMMYFUNCTION("""COMPUTED_VALUE"""),140.88)</f>
        <v>140.88</v>
      </c>
      <c r="E9554" s="2">
        <f>IFERROR(__xludf.DUMMYFUNCTION("""COMPUTED_VALUE"""),142.21)</f>
        <v>142.21</v>
      </c>
      <c r="F9554" s="2">
        <f>IFERROR(__xludf.DUMMYFUNCTION("""COMPUTED_VALUE"""),3757951.0)</f>
        <v>3757951</v>
      </c>
    </row>
    <row r="9555">
      <c r="A9555" s="3">
        <f>IFERROR(__xludf.DUMMYFUNCTION("""COMPUTED_VALUE"""),43054.66666666667)</f>
        <v>43054.66667</v>
      </c>
      <c r="B9555" s="2">
        <f>IFERROR(__xludf.DUMMYFUNCTION("""COMPUTED_VALUE"""),141.36)</f>
        <v>141.36</v>
      </c>
      <c r="C9555" s="2">
        <f>IFERROR(__xludf.DUMMYFUNCTION("""COMPUTED_VALUE"""),142.04)</f>
        <v>142.04</v>
      </c>
      <c r="D9555" s="2">
        <f>IFERROR(__xludf.DUMMYFUNCTION("""COMPUTED_VALUE"""),139.66)</f>
        <v>139.66</v>
      </c>
      <c r="E9555" s="2">
        <f>IFERROR(__xludf.DUMMYFUNCTION("""COMPUTED_VALUE"""),140.5)</f>
        <v>140.5</v>
      </c>
      <c r="F9555" s="2">
        <f>IFERROR(__xludf.DUMMYFUNCTION("""COMPUTED_VALUE"""),4773328.0)</f>
        <v>4773328</v>
      </c>
    </row>
    <row r="9556">
      <c r="A9556" s="3">
        <f>IFERROR(__xludf.DUMMYFUNCTION("""COMPUTED_VALUE"""),43055.66666666667)</f>
        <v>43055.66667</v>
      </c>
      <c r="B9556" s="2">
        <f>IFERROR(__xludf.DUMMYFUNCTION("""COMPUTED_VALUE"""),141.11)</f>
        <v>141.11</v>
      </c>
      <c r="C9556" s="2">
        <f>IFERROR(__xludf.DUMMYFUNCTION("""COMPUTED_VALUE"""),142.94)</f>
        <v>142.94</v>
      </c>
      <c r="D9556" s="2">
        <f>IFERROR(__xludf.DUMMYFUNCTION("""COMPUTED_VALUE"""),140.89)</f>
        <v>140.89</v>
      </c>
      <c r="E9556" s="2">
        <f>IFERROR(__xludf.DUMMYFUNCTION("""COMPUTED_VALUE"""),142.43)</f>
        <v>142.43</v>
      </c>
      <c r="F9556" s="2">
        <f>IFERROR(__xludf.DUMMYFUNCTION("""COMPUTED_VALUE"""),5446453.0)</f>
        <v>5446453</v>
      </c>
    </row>
    <row r="9557">
      <c r="A9557" s="3">
        <f>IFERROR(__xludf.DUMMYFUNCTION("""COMPUTED_VALUE"""),43056.66666666667)</f>
        <v>43056.66667</v>
      </c>
      <c r="B9557" s="2">
        <f>IFERROR(__xludf.DUMMYFUNCTION("""COMPUTED_VALUE"""),142.64)</f>
        <v>142.64</v>
      </c>
      <c r="C9557" s="2">
        <f>IFERROR(__xludf.DUMMYFUNCTION("""COMPUTED_VALUE"""),143.42)</f>
        <v>143.42</v>
      </c>
      <c r="D9557" s="2">
        <f>IFERROR(__xludf.DUMMYFUNCTION("""COMPUTED_VALUE"""),142.16)</f>
        <v>142.16</v>
      </c>
      <c r="E9557" s="2">
        <f>IFERROR(__xludf.DUMMYFUNCTION("""COMPUTED_VALUE"""),142.29)</f>
        <v>142.29</v>
      </c>
      <c r="F9557" s="2">
        <f>IFERROR(__xludf.DUMMYFUNCTION("""COMPUTED_VALUE"""),4916500.0)</f>
        <v>4916500</v>
      </c>
    </row>
    <row r="9558">
      <c r="A9558" s="3">
        <f>IFERROR(__xludf.DUMMYFUNCTION("""COMPUTED_VALUE"""),43059.66666666667)</f>
        <v>43059.66667</v>
      </c>
      <c r="B9558" s="2">
        <f>IFERROR(__xludf.DUMMYFUNCTION("""COMPUTED_VALUE"""),143.89)</f>
        <v>143.89</v>
      </c>
      <c r="C9558" s="2">
        <f>IFERROR(__xludf.DUMMYFUNCTION("""COMPUTED_VALUE"""),145.14)</f>
        <v>145.14</v>
      </c>
      <c r="D9558" s="2">
        <f>IFERROR(__xludf.DUMMYFUNCTION("""COMPUTED_VALUE"""),143.18)</f>
        <v>143.18</v>
      </c>
      <c r="E9558" s="2">
        <f>IFERROR(__xludf.DUMMYFUNCTION("""COMPUTED_VALUE"""),143.76)</f>
        <v>143.76</v>
      </c>
      <c r="F9558" s="2">
        <f>IFERROR(__xludf.DUMMYFUNCTION("""COMPUTED_VALUE"""),5676495.0)</f>
        <v>5676495</v>
      </c>
    </row>
    <row r="9559">
      <c r="A9559" s="3">
        <f>IFERROR(__xludf.DUMMYFUNCTION("""COMPUTED_VALUE"""),43060.66666666667)</f>
        <v>43060.66667</v>
      </c>
      <c r="B9559" s="2">
        <f>IFERROR(__xludf.DUMMYFUNCTION("""COMPUTED_VALUE"""),144.52)</f>
        <v>144.52</v>
      </c>
      <c r="C9559" s="2">
        <f>IFERROR(__xludf.DUMMYFUNCTION("""COMPUTED_VALUE"""),145.61)</f>
        <v>145.61</v>
      </c>
      <c r="D9559" s="2">
        <f>IFERROR(__xludf.DUMMYFUNCTION("""COMPUTED_VALUE"""),144.42)</f>
        <v>144.42</v>
      </c>
      <c r="E9559" s="2">
        <f>IFERROR(__xludf.DUMMYFUNCTION("""COMPUTED_VALUE"""),145.14)</f>
        <v>145.14</v>
      </c>
      <c r="F9559" s="2">
        <f>IFERROR(__xludf.DUMMYFUNCTION("""COMPUTED_VALUE"""),3756184.0)</f>
        <v>3756184</v>
      </c>
    </row>
    <row r="9560">
      <c r="A9560" s="3">
        <f>IFERROR(__xludf.DUMMYFUNCTION("""COMPUTED_VALUE"""),43061.66666666667)</f>
        <v>43061.66667</v>
      </c>
      <c r="B9560" s="2">
        <f>IFERROR(__xludf.DUMMYFUNCTION("""COMPUTED_VALUE"""),145.18)</f>
        <v>145.18</v>
      </c>
      <c r="C9560" s="2">
        <f>IFERROR(__xludf.DUMMYFUNCTION("""COMPUTED_VALUE"""),145.56)</f>
        <v>145.56</v>
      </c>
      <c r="D9560" s="2">
        <f>IFERROR(__xludf.DUMMYFUNCTION("""COMPUTED_VALUE"""),144.54)</f>
        <v>144.54</v>
      </c>
      <c r="E9560" s="2">
        <f>IFERROR(__xludf.DUMMYFUNCTION("""COMPUTED_VALUE"""),144.97)</f>
        <v>144.97</v>
      </c>
      <c r="F9560" s="2">
        <f>IFERROR(__xludf.DUMMYFUNCTION("""COMPUTED_VALUE"""),3213596.0)</f>
        <v>3213596</v>
      </c>
    </row>
    <row r="9561">
      <c r="A9561" s="3">
        <f>IFERROR(__xludf.DUMMYFUNCTION("""COMPUTED_VALUE"""),43063.54166666667)</f>
        <v>43063.54167</v>
      </c>
      <c r="B9561" s="2">
        <f>IFERROR(__xludf.DUMMYFUNCTION("""COMPUTED_VALUE"""),145.14)</f>
        <v>145.14</v>
      </c>
      <c r="C9561" s="2">
        <f>IFERROR(__xludf.DUMMYFUNCTION("""COMPUTED_VALUE"""),145.38)</f>
        <v>145.38</v>
      </c>
      <c r="D9561" s="2">
        <f>IFERROR(__xludf.DUMMYFUNCTION("""COMPUTED_VALUE"""),144.54)</f>
        <v>144.54</v>
      </c>
      <c r="E9561" s="2">
        <f>IFERROR(__xludf.DUMMYFUNCTION("""COMPUTED_VALUE"""),145.03)</f>
        <v>145.03</v>
      </c>
      <c r="F9561" s="2">
        <f>IFERROR(__xludf.DUMMYFUNCTION("""COMPUTED_VALUE"""),1193025.0)</f>
        <v>1193025</v>
      </c>
    </row>
    <row r="9562">
      <c r="A9562" s="3">
        <f>IFERROR(__xludf.DUMMYFUNCTION("""COMPUTED_VALUE"""),43066.66666666667)</f>
        <v>43066.66667</v>
      </c>
      <c r="B9562" s="2">
        <f>IFERROR(__xludf.DUMMYFUNCTION("""COMPUTED_VALUE"""),145.24)</f>
        <v>145.24</v>
      </c>
      <c r="C9562" s="2">
        <f>IFERROR(__xludf.DUMMYFUNCTION("""COMPUTED_VALUE"""),145.65)</f>
        <v>145.65</v>
      </c>
      <c r="D9562" s="2">
        <f>IFERROR(__xludf.DUMMYFUNCTION("""COMPUTED_VALUE"""),144.82)</f>
        <v>144.82</v>
      </c>
      <c r="E9562" s="2">
        <f>IFERROR(__xludf.DUMMYFUNCTION("""COMPUTED_VALUE"""),145.17)</f>
        <v>145.17</v>
      </c>
      <c r="F9562" s="2">
        <f>IFERROR(__xludf.DUMMYFUNCTION("""COMPUTED_VALUE"""),3374042.0)</f>
        <v>3374042</v>
      </c>
    </row>
    <row r="9563">
      <c r="A9563" s="3">
        <f>IFERROR(__xludf.DUMMYFUNCTION("""COMPUTED_VALUE"""),43067.66666666667)</f>
        <v>43067.66667</v>
      </c>
      <c r="B9563" s="2">
        <f>IFERROR(__xludf.DUMMYFUNCTION("""COMPUTED_VALUE"""),145.52)</f>
        <v>145.52</v>
      </c>
      <c r="C9563" s="2">
        <f>IFERROR(__xludf.DUMMYFUNCTION("""COMPUTED_VALUE"""),146.07)</f>
        <v>146.07</v>
      </c>
      <c r="D9563" s="2">
        <f>IFERROR(__xludf.DUMMYFUNCTION("""COMPUTED_VALUE"""),144.9)</f>
        <v>144.9</v>
      </c>
      <c r="E9563" s="2">
        <f>IFERROR(__xludf.DUMMYFUNCTION("""COMPUTED_VALUE"""),145.63)</f>
        <v>145.63</v>
      </c>
      <c r="F9563" s="2">
        <f>IFERROR(__xludf.DUMMYFUNCTION("""COMPUTED_VALUE"""),3973670.0)</f>
        <v>3973670</v>
      </c>
    </row>
    <row r="9564">
      <c r="A9564" s="3">
        <f>IFERROR(__xludf.DUMMYFUNCTION("""COMPUTED_VALUE"""),43068.66666666667)</f>
        <v>43068.66667</v>
      </c>
      <c r="B9564" s="2">
        <f>IFERROR(__xludf.DUMMYFUNCTION("""COMPUTED_VALUE"""),145.96)</f>
        <v>145.96</v>
      </c>
      <c r="C9564" s="2">
        <f>IFERROR(__xludf.DUMMYFUNCTION("""COMPUTED_VALUE"""),146.72)</f>
        <v>146.72</v>
      </c>
      <c r="D9564" s="2">
        <f>IFERROR(__xludf.DUMMYFUNCTION("""COMPUTED_VALUE"""),145.35)</f>
        <v>145.35</v>
      </c>
      <c r="E9564" s="2">
        <f>IFERROR(__xludf.DUMMYFUNCTION("""COMPUTED_VALUE"""),146.67)</f>
        <v>146.67</v>
      </c>
      <c r="F9564" s="2">
        <f>IFERROR(__xludf.DUMMYFUNCTION("""COMPUTED_VALUE"""),5098702.0)</f>
        <v>5098702</v>
      </c>
    </row>
    <row r="9565">
      <c r="A9565" s="3">
        <f>IFERROR(__xludf.DUMMYFUNCTION("""COMPUTED_VALUE"""),43069.66666666667)</f>
        <v>43069.66667</v>
      </c>
      <c r="B9565" s="2">
        <f>IFERROR(__xludf.DUMMYFUNCTION("""COMPUTED_VALUE"""),146.76)</f>
        <v>146.76</v>
      </c>
      <c r="C9565" s="2">
        <f>IFERROR(__xludf.DUMMYFUNCTION("""COMPUTED_VALUE"""),147.49)</f>
        <v>147.49</v>
      </c>
      <c r="D9565" s="2">
        <f>IFERROR(__xludf.DUMMYFUNCTION("""COMPUTED_VALUE"""),146.22)</f>
        <v>146.22</v>
      </c>
      <c r="E9565" s="2">
        <f>IFERROR(__xludf.DUMMYFUNCTION("""COMPUTED_VALUE"""),147.07)</f>
        <v>147.07</v>
      </c>
      <c r="F9565" s="2">
        <f>IFERROR(__xludf.DUMMYFUNCTION("""COMPUTED_VALUE"""),6500769.0)</f>
        <v>6500769</v>
      </c>
    </row>
    <row r="9566">
      <c r="A9566" s="3">
        <f>IFERROR(__xludf.DUMMYFUNCTION("""COMPUTED_VALUE"""),43070.66666666667)</f>
        <v>43070.66667</v>
      </c>
      <c r="B9566" s="2">
        <f>IFERROR(__xludf.DUMMYFUNCTION("""COMPUTED_VALUE"""),147.48)</f>
        <v>147.48</v>
      </c>
      <c r="C9566" s="2">
        <f>IFERROR(__xludf.DUMMYFUNCTION("""COMPUTED_VALUE"""),148.07)</f>
        <v>148.07</v>
      </c>
      <c r="D9566" s="2">
        <f>IFERROR(__xludf.DUMMYFUNCTION("""COMPUTED_VALUE"""),146.06)</f>
        <v>146.06</v>
      </c>
      <c r="E9566" s="2">
        <f>IFERROR(__xludf.DUMMYFUNCTION("""COMPUTED_VALUE"""),147.82)</f>
        <v>147.82</v>
      </c>
      <c r="F9566" s="2">
        <f>IFERROR(__xludf.DUMMYFUNCTION("""COMPUTED_VALUE"""),5567852.0)</f>
        <v>5567852</v>
      </c>
    </row>
    <row r="9567">
      <c r="A9567" s="3">
        <f>IFERROR(__xludf.DUMMYFUNCTION("""COMPUTED_VALUE"""),43073.66666666667)</f>
        <v>43073.66667</v>
      </c>
      <c r="B9567" s="2">
        <f>IFERROR(__xludf.DUMMYFUNCTION("""COMPUTED_VALUE"""),148.69)</f>
        <v>148.69</v>
      </c>
      <c r="C9567" s="2">
        <f>IFERROR(__xludf.DUMMYFUNCTION("""COMPUTED_VALUE"""),149.77)</f>
        <v>149.77</v>
      </c>
      <c r="D9567" s="2">
        <f>IFERROR(__xludf.DUMMYFUNCTION("""COMPUTED_VALUE"""),148.12)</f>
        <v>148.12</v>
      </c>
      <c r="E9567" s="2">
        <f>IFERROR(__xludf.DUMMYFUNCTION("""COMPUTED_VALUE"""),149.44)</f>
        <v>149.44</v>
      </c>
      <c r="F9567" s="2">
        <f>IFERROR(__xludf.DUMMYFUNCTION("""COMPUTED_VALUE"""),4664316.0)</f>
        <v>4664316</v>
      </c>
    </row>
    <row r="9568">
      <c r="A9568" s="3">
        <f>IFERROR(__xludf.DUMMYFUNCTION("""COMPUTED_VALUE"""),43074.66666666667)</f>
        <v>43074.66667</v>
      </c>
      <c r="B9568" s="2">
        <f>IFERROR(__xludf.DUMMYFUNCTION("""COMPUTED_VALUE"""),149.44)</f>
        <v>149.44</v>
      </c>
      <c r="C9568" s="2">
        <f>IFERROR(__xludf.DUMMYFUNCTION("""COMPUTED_VALUE"""),149.71)</f>
        <v>149.71</v>
      </c>
      <c r="D9568" s="2">
        <f>IFERROR(__xludf.DUMMYFUNCTION("""COMPUTED_VALUE"""),147.74)</f>
        <v>147.74</v>
      </c>
      <c r="E9568" s="2">
        <f>IFERROR(__xludf.DUMMYFUNCTION("""COMPUTED_VALUE"""),148.38)</f>
        <v>148.38</v>
      </c>
      <c r="F9568" s="2">
        <f>IFERROR(__xludf.DUMMYFUNCTION("""COMPUTED_VALUE"""),5068043.0)</f>
        <v>5068043</v>
      </c>
    </row>
    <row r="9569">
      <c r="A9569" s="3">
        <f>IFERROR(__xludf.DUMMYFUNCTION("""COMPUTED_VALUE"""),43075.66666666667)</f>
        <v>43075.66667</v>
      </c>
      <c r="B9569" s="2">
        <f>IFERROR(__xludf.DUMMYFUNCTION("""COMPUTED_VALUE"""),148.71)</f>
        <v>148.71</v>
      </c>
      <c r="C9569" s="2">
        <f>IFERROR(__xludf.DUMMYFUNCTION("""COMPUTED_VALUE"""),149.22)</f>
        <v>149.22</v>
      </c>
      <c r="D9569" s="2">
        <f>IFERROR(__xludf.DUMMYFUNCTION("""COMPUTED_VALUE"""),147.18)</f>
        <v>147.18</v>
      </c>
      <c r="E9569" s="2">
        <f>IFERROR(__xludf.DUMMYFUNCTION("""COMPUTED_VALUE"""),147.19)</f>
        <v>147.19</v>
      </c>
      <c r="F9569" s="2">
        <f>IFERROR(__xludf.DUMMYFUNCTION("""COMPUTED_VALUE"""),3410728.0)</f>
        <v>3410728</v>
      </c>
    </row>
    <row r="9570">
      <c r="A9570" s="3">
        <f>IFERROR(__xludf.DUMMYFUNCTION("""COMPUTED_VALUE"""),43076.66666666667)</f>
        <v>43076.66667</v>
      </c>
      <c r="B9570" s="2">
        <f>IFERROR(__xludf.DUMMYFUNCTION("""COMPUTED_VALUE"""),147.12)</f>
        <v>147.12</v>
      </c>
      <c r="C9570" s="2">
        <f>IFERROR(__xludf.DUMMYFUNCTION("""COMPUTED_VALUE"""),147.53)</f>
        <v>147.53</v>
      </c>
      <c r="D9570" s="2">
        <f>IFERROR(__xludf.DUMMYFUNCTION("""COMPUTED_VALUE"""),146.39)</f>
        <v>146.39</v>
      </c>
      <c r="E9570" s="2">
        <f>IFERROR(__xludf.DUMMYFUNCTION("""COMPUTED_VALUE"""),146.68)</f>
        <v>146.68</v>
      </c>
      <c r="F9570" s="2">
        <f>IFERROR(__xludf.DUMMYFUNCTION("""COMPUTED_VALUE"""),3771429.0)</f>
        <v>3771429</v>
      </c>
    </row>
    <row r="9571">
      <c r="A9571" s="3">
        <f>IFERROR(__xludf.DUMMYFUNCTION("""COMPUTED_VALUE"""),43077.66666666667)</f>
        <v>43077.66667</v>
      </c>
      <c r="B9571" s="2">
        <f>IFERROR(__xludf.DUMMYFUNCTION("""COMPUTED_VALUE"""),147.04)</f>
        <v>147.04</v>
      </c>
      <c r="C9571" s="2">
        <f>IFERROR(__xludf.DUMMYFUNCTION("""COMPUTED_VALUE"""),148.08)</f>
        <v>148.08</v>
      </c>
      <c r="D9571" s="2">
        <f>IFERROR(__xludf.DUMMYFUNCTION("""COMPUTED_VALUE"""),146.67)</f>
        <v>146.67</v>
      </c>
      <c r="E9571" s="2">
        <f>IFERROR(__xludf.DUMMYFUNCTION("""COMPUTED_VALUE"""),147.87)</f>
        <v>147.87</v>
      </c>
      <c r="F9571" s="2">
        <f>IFERROR(__xludf.DUMMYFUNCTION("""COMPUTED_VALUE"""),3520281.0)</f>
        <v>3520281</v>
      </c>
    </row>
    <row r="9572">
      <c r="A9572" s="3">
        <f>IFERROR(__xludf.DUMMYFUNCTION("""COMPUTED_VALUE"""),43080.66666666667)</f>
        <v>43080.66667</v>
      </c>
      <c r="B9572" s="2">
        <f>IFERROR(__xludf.DUMMYFUNCTION("""COMPUTED_VALUE"""),148.02)</f>
        <v>148.02</v>
      </c>
      <c r="C9572" s="2">
        <f>IFERROR(__xludf.DUMMYFUNCTION("""COMPUTED_VALUE"""),148.9)</f>
        <v>148.9</v>
      </c>
      <c r="D9572" s="2">
        <f>IFERROR(__xludf.DUMMYFUNCTION("""COMPUTED_VALUE"""),147.64)</f>
        <v>147.64</v>
      </c>
      <c r="E9572" s="2">
        <f>IFERROR(__xludf.DUMMYFUNCTION("""COMPUTED_VALUE"""),148.44)</f>
        <v>148.44</v>
      </c>
      <c r="F9572" s="2">
        <f>IFERROR(__xludf.DUMMYFUNCTION("""COMPUTED_VALUE"""),4102719.0)</f>
        <v>4102719</v>
      </c>
    </row>
    <row r="9573">
      <c r="A9573" s="3">
        <f>IFERROR(__xludf.DUMMYFUNCTION("""COMPUTED_VALUE"""),43081.66666666667)</f>
        <v>43081.66667</v>
      </c>
      <c r="B9573" s="2">
        <f>IFERROR(__xludf.DUMMYFUNCTION("""COMPUTED_VALUE"""),148.24)</f>
        <v>148.24</v>
      </c>
      <c r="C9573" s="2">
        <f>IFERROR(__xludf.DUMMYFUNCTION("""COMPUTED_VALUE"""),150.77)</f>
        <v>150.77</v>
      </c>
      <c r="D9573" s="2">
        <f>IFERROR(__xludf.DUMMYFUNCTION("""COMPUTED_VALUE"""),148.2)</f>
        <v>148.2</v>
      </c>
      <c r="E9573" s="2">
        <f>IFERROR(__xludf.DUMMYFUNCTION("""COMPUTED_VALUE"""),149.71)</f>
        <v>149.71</v>
      </c>
      <c r="F9573" s="2">
        <f>IFERROR(__xludf.DUMMYFUNCTION("""COMPUTED_VALUE"""),6321801.0)</f>
        <v>6321801</v>
      </c>
    </row>
    <row r="9574">
      <c r="A9574" s="3">
        <f>IFERROR(__xludf.DUMMYFUNCTION("""COMPUTED_VALUE"""),43082.66666666667)</f>
        <v>43082.66667</v>
      </c>
      <c r="B9574" s="2">
        <f>IFERROR(__xludf.DUMMYFUNCTION("""COMPUTED_VALUE"""),149.58)</f>
        <v>149.58</v>
      </c>
      <c r="C9574" s="2">
        <f>IFERROR(__xludf.DUMMYFUNCTION("""COMPUTED_VALUE"""),149.7)</f>
        <v>149.7</v>
      </c>
      <c r="D9574" s="2">
        <f>IFERROR(__xludf.DUMMYFUNCTION("""COMPUTED_VALUE"""),146.99)</f>
        <v>146.99</v>
      </c>
      <c r="E9574" s="2">
        <f>IFERROR(__xludf.DUMMYFUNCTION("""COMPUTED_VALUE"""),147.01)</f>
        <v>147.01</v>
      </c>
      <c r="F9574" s="2">
        <f>IFERROR(__xludf.DUMMYFUNCTION("""COMPUTED_VALUE"""),5661618.0)</f>
        <v>5661618</v>
      </c>
    </row>
    <row r="9575">
      <c r="A9575" s="3">
        <f>IFERROR(__xludf.DUMMYFUNCTION("""COMPUTED_VALUE"""),43083.66666666667)</f>
        <v>43083.66667</v>
      </c>
      <c r="B9575" s="2">
        <f>IFERROR(__xludf.DUMMYFUNCTION("""COMPUTED_VALUE"""),147.67)</f>
        <v>147.67</v>
      </c>
      <c r="C9575" s="2">
        <f>IFERROR(__xludf.DUMMYFUNCTION("""COMPUTED_VALUE"""),148.16)</f>
        <v>148.16</v>
      </c>
      <c r="D9575" s="2">
        <f>IFERROR(__xludf.DUMMYFUNCTION("""COMPUTED_VALUE"""),146.81)</f>
        <v>146.81</v>
      </c>
      <c r="E9575" s="2">
        <f>IFERROR(__xludf.DUMMYFUNCTION("""COMPUTED_VALUE"""),147.1)</f>
        <v>147.1</v>
      </c>
      <c r="F9575" s="2">
        <f>IFERROR(__xludf.DUMMYFUNCTION("""COMPUTED_VALUE"""),4637440.0)</f>
        <v>4637440</v>
      </c>
    </row>
    <row r="9576">
      <c r="A9576" s="3">
        <f>IFERROR(__xludf.DUMMYFUNCTION("""COMPUTED_VALUE"""),43084.66666666667)</f>
        <v>43084.66667</v>
      </c>
      <c r="B9576" s="2">
        <f>IFERROR(__xludf.DUMMYFUNCTION("""COMPUTED_VALUE"""),146.72)</f>
        <v>146.72</v>
      </c>
      <c r="C9576" s="2">
        <f>IFERROR(__xludf.DUMMYFUNCTION("""COMPUTED_VALUE"""),146.9)</f>
        <v>146.9</v>
      </c>
      <c r="D9576" s="2">
        <f>IFERROR(__xludf.DUMMYFUNCTION("""COMPUTED_VALUE"""),145.21)</f>
        <v>145.21</v>
      </c>
      <c r="E9576" s="2">
        <f>IFERROR(__xludf.DUMMYFUNCTION("""COMPUTED_VALUE"""),145.66)</f>
        <v>145.66</v>
      </c>
      <c r="F9576" s="2">
        <f>IFERROR(__xludf.DUMMYFUNCTION("""COMPUTED_VALUE"""),1.1279854E7)</f>
        <v>11279854</v>
      </c>
    </row>
    <row r="9577">
      <c r="A9577" s="3">
        <f>IFERROR(__xludf.DUMMYFUNCTION("""COMPUTED_VALUE"""),43087.66666666667)</f>
        <v>43087.66667</v>
      </c>
      <c r="B9577" s="2">
        <f>IFERROR(__xludf.DUMMYFUNCTION("""COMPUTED_VALUE"""),146.7)</f>
        <v>146.7</v>
      </c>
      <c r="C9577" s="2">
        <f>IFERROR(__xludf.DUMMYFUNCTION("""COMPUTED_VALUE"""),147.27)</f>
        <v>147.27</v>
      </c>
      <c r="D9577" s="2">
        <f>IFERROR(__xludf.DUMMYFUNCTION("""COMPUTED_VALUE"""),146.34)</f>
        <v>146.34</v>
      </c>
      <c r="E9577" s="2">
        <f>IFERROR(__xludf.DUMMYFUNCTION("""COMPUTED_VALUE"""),146.46)</f>
        <v>146.46</v>
      </c>
      <c r="F9577" s="2">
        <f>IFERROR(__xludf.DUMMYFUNCTION("""COMPUTED_VALUE"""),5092838.0)</f>
        <v>5092838</v>
      </c>
    </row>
    <row r="9578">
      <c r="A9578" s="3">
        <f>IFERROR(__xludf.DUMMYFUNCTION("""COMPUTED_VALUE"""),43088.66666666667)</f>
        <v>43088.66667</v>
      </c>
      <c r="B9578" s="2">
        <f>IFERROR(__xludf.DUMMYFUNCTION("""COMPUTED_VALUE"""),147.14)</f>
        <v>147.14</v>
      </c>
      <c r="C9578" s="2">
        <f>IFERROR(__xludf.DUMMYFUNCTION("""COMPUTED_VALUE"""),147.26)</f>
        <v>147.26</v>
      </c>
      <c r="D9578" s="2">
        <f>IFERROR(__xludf.DUMMYFUNCTION("""COMPUTED_VALUE"""),146.23)</f>
        <v>146.23</v>
      </c>
      <c r="E9578" s="2">
        <f>IFERROR(__xludf.DUMMYFUNCTION("""COMPUTED_VALUE"""),146.36)</f>
        <v>146.36</v>
      </c>
      <c r="F9578" s="2">
        <f>IFERROR(__xludf.DUMMYFUNCTION("""COMPUTED_VALUE"""),4116449.0)</f>
        <v>4116449</v>
      </c>
    </row>
    <row r="9579">
      <c r="A9579" s="3">
        <f>IFERROR(__xludf.DUMMYFUNCTION("""COMPUTED_VALUE"""),43089.66666666667)</f>
        <v>43089.66667</v>
      </c>
      <c r="B9579" s="2">
        <f>IFERROR(__xludf.DUMMYFUNCTION("""COMPUTED_VALUE"""),146.76)</f>
        <v>146.76</v>
      </c>
      <c r="C9579" s="2">
        <f>IFERROR(__xludf.DUMMYFUNCTION("""COMPUTED_VALUE"""),146.99)</f>
        <v>146.99</v>
      </c>
      <c r="D9579" s="2">
        <f>IFERROR(__xludf.DUMMYFUNCTION("""COMPUTED_VALUE"""),145.93)</f>
        <v>145.93</v>
      </c>
      <c r="E9579" s="2">
        <f>IFERROR(__xludf.DUMMYFUNCTION("""COMPUTED_VALUE"""),146.09)</f>
        <v>146.09</v>
      </c>
      <c r="F9579" s="2">
        <f>IFERROR(__xludf.DUMMYFUNCTION("""COMPUTED_VALUE"""),3785667.0)</f>
        <v>3785667</v>
      </c>
    </row>
    <row r="9580">
      <c r="A9580" s="3">
        <f>IFERROR(__xludf.DUMMYFUNCTION("""COMPUTED_VALUE"""),43090.66666666667)</f>
        <v>43090.66667</v>
      </c>
      <c r="B9580" s="2">
        <f>IFERROR(__xludf.DUMMYFUNCTION("""COMPUTED_VALUE"""),146.3)</f>
        <v>146.3</v>
      </c>
      <c r="C9580" s="2">
        <f>IFERROR(__xludf.DUMMYFUNCTION("""COMPUTED_VALUE"""),146.58)</f>
        <v>146.58</v>
      </c>
      <c r="D9580" s="2">
        <f>IFERROR(__xludf.DUMMYFUNCTION("""COMPUTED_VALUE"""),144.7)</f>
        <v>144.7</v>
      </c>
      <c r="E9580" s="2">
        <f>IFERROR(__xludf.DUMMYFUNCTION("""COMPUTED_VALUE"""),144.71)</f>
        <v>144.71</v>
      </c>
      <c r="F9580" s="2">
        <f>IFERROR(__xludf.DUMMYFUNCTION("""COMPUTED_VALUE"""),4153935.0)</f>
        <v>4153935</v>
      </c>
    </row>
    <row r="9581">
      <c r="A9581" s="3">
        <f>IFERROR(__xludf.DUMMYFUNCTION("""COMPUTED_VALUE"""),43091.66666666667)</f>
        <v>43091.66667</v>
      </c>
      <c r="B9581" s="2">
        <f>IFERROR(__xludf.DUMMYFUNCTION("""COMPUTED_VALUE"""),145.01)</f>
        <v>145.01</v>
      </c>
      <c r="C9581" s="2">
        <f>IFERROR(__xludf.DUMMYFUNCTION("""COMPUTED_VALUE"""),146.14)</f>
        <v>146.14</v>
      </c>
      <c r="D9581" s="2">
        <f>IFERROR(__xludf.DUMMYFUNCTION("""COMPUTED_VALUE"""),144.71)</f>
        <v>144.71</v>
      </c>
      <c r="E9581" s="2">
        <f>IFERROR(__xludf.DUMMYFUNCTION("""COMPUTED_VALUE"""),145.66)</f>
        <v>145.66</v>
      </c>
      <c r="F9581" s="2">
        <f>IFERROR(__xludf.DUMMYFUNCTION("""COMPUTED_VALUE"""),2990583.0)</f>
        <v>2990583</v>
      </c>
    </row>
    <row r="9582">
      <c r="A9582" s="3">
        <f>IFERROR(__xludf.DUMMYFUNCTION("""COMPUTED_VALUE"""),43095.66666666667)</f>
        <v>43095.66667</v>
      </c>
      <c r="B9582" s="2">
        <f>IFERROR(__xludf.DUMMYFUNCTION("""COMPUTED_VALUE"""),145.67)</f>
        <v>145.67</v>
      </c>
      <c r="C9582" s="2">
        <f>IFERROR(__xludf.DUMMYFUNCTION("""COMPUTED_VALUE"""),146.96)</f>
        <v>146.96</v>
      </c>
      <c r="D9582" s="2">
        <f>IFERROR(__xludf.DUMMYFUNCTION("""COMPUTED_VALUE"""),145.66)</f>
        <v>145.66</v>
      </c>
      <c r="E9582" s="2">
        <f>IFERROR(__xludf.DUMMYFUNCTION("""COMPUTED_VALUE"""),145.98)</f>
        <v>145.98</v>
      </c>
      <c r="F9582" s="2">
        <f>IFERROR(__xludf.DUMMYFUNCTION("""COMPUTED_VALUE"""),2479017.0)</f>
        <v>2479017</v>
      </c>
    </row>
    <row r="9583">
      <c r="A9583" s="3">
        <f>IFERROR(__xludf.DUMMYFUNCTION("""COMPUTED_VALUE"""),43096.66666666667)</f>
        <v>43096.66667</v>
      </c>
      <c r="B9583" s="2">
        <f>IFERROR(__xludf.DUMMYFUNCTION("""COMPUTED_VALUE"""),146.09)</f>
        <v>146.09</v>
      </c>
      <c r="C9583" s="2">
        <f>IFERROR(__xludf.DUMMYFUNCTION("""COMPUTED_VALUE"""),146.31)</f>
        <v>146.31</v>
      </c>
      <c r="D9583" s="2">
        <f>IFERROR(__xludf.DUMMYFUNCTION("""COMPUTED_VALUE"""),145.77)</f>
        <v>145.77</v>
      </c>
      <c r="E9583" s="2">
        <f>IFERROR(__xludf.DUMMYFUNCTION("""COMPUTED_VALUE"""),146.26)</f>
        <v>146.26</v>
      </c>
      <c r="F9583" s="2">
        <f>IFERROR(__xludf.DUMMYFUNCTION("""COMPUTED_VALUE"""),2149257.0)</f>
        <v>2149257</v>
      </c>
    </row>
    <row r="9584">
      <c r="A9584" s="3">
        <f>IFERROR(__xludf.DUMMYFUNCTION("""COMPUTED_VALUE"""),43097.66666666667)</f>
        <v>43097.66667</v>
      </c>
      <c r="B9584" s="2">
        <f>IFERROR(__xludf.DUMMYFUNCTION("""COMPUTED_VALUE"""),146.33)</f>
        <v>146.33</v>
      </c>
      <c r="C9584" s="2">
        <f>IFERROR(__xludf.DUMMYFUNCTION("""COMPUTED_VALUE"""),147.21)</f>
        <v>147.21</v>
      </c>
      <c r="D9584" s="2">
        <f>IFERROR(__xludf.DUMMYFUNCTION("""COMPUTED_VALUE"""),146.33)</f>
        <v>146.33</v>
      </c>
      <c r="E9584" s="2">
        <f>IFERROR(__xludf.DUMMYFUNCTION("""COMPUTED_VALUE"""),147.13)</f>
        <v>147.13</v>
      </c>
      <c r="F9584" s="2">
        <f>IFERROR(__xludf.DUMMYFUNCTION("""COMPUTED_VALUE"""),2687624.0)</f>
        <v>2687624</v>
      </c>
    </row>
    <row r="9585">
      <c r="A9585" s="3">
        <f>IFERROR(__xludf.DUMMYFUNCTION("""COMPUTED_VALUE"""),43098.66666666667)</f>
        <v>43098.66667</v>
      </c>
      <c r="B9585" s="2">
        <f>IFERROR(__xludf.DUMMYFUNCTION("""COMPUTED_VALUE"""),147.26)</f>
        <v>147.26</v>
      </c>
      <c r="C9585" s="2">
        <f>IFERROR(__xludf.DUMMYFUNCTION("""COMPUTED_VALUE"""),147.78)</f>
        <v>147.78</v>
      </c>
      <c r="D9585" s="2">
        <f>IFERROR(__xludf.DUMMYFUNCTION("""COMPUTED_VALUE"""),146.54)</f>
        <v>146.54</v>
      </c>
      <c r="E9585" s="2">
        <f>IFERROR(__xludf.DUMMYFUNCTION("""COMPUTED_VALUE"""),146.54)</f>
        <v>146.54</v>
      </c>
      <c r="F9585" s="2">
        <f>IFERROR(__xludf.DUMMYFUNCTION("""COMPUTED_VALUE"""),3327087.0)</f>
        <v>3327087</v>
      </c>
    </row>
    <row r="9586">
      <c r="A9586" s="3">
        <f>IFERROR(__xludf.DUMMYFUNCTION("""COMPUTED_VALUE"""),43102.66666666667)</f>
        <v>43102.66667</v>
      </c>
      <c r="B9586" s="2">
        <f>IFERROR(__xludf.DUMMYFUNCTION("""COMPUTED_VALUE"""),147.57)</f>
        <v>147.57</v>
      </c>
      <c r="C9586" s="2">
        <f>IFERROR(__xludf.DUMMYFUNCTION("""COMPUTED_VALUE"""),147.87)</f>
        <v>147.87</v>
      </c>
      <c r="D9586" s="2">
        <f>IFERROR(__xludf.DUMMYFUNCTION("""COMPUTED_VALUE"""),146.66)</f>
        <v>146.66</v>
      </c>
      <c r="E9586" s="2">
        <f>IFERROR(__xludf.DUMMYFUNCTION("""COMPUTED_VALUE"""),147.33)</f>
        <v>147.33</v>
      </c>
      <c r="F9586" s="2">
        <f>IFERROR(__xludf.DUMMYFUNCTION("""COMPUTED_VALUE"""),4202503.0)</f>
        <v>4202503</v>
      </c>
    </row>
    <row r="9587">
      <c r="A9587" s="3">
        <f>IFERROR(__xludf.DUMMYFUNCTION("""COMPUTED_VALUE"""),43103.66666666667)</f>
        <v>43103.66667</v>
      </c>
      <c r="B9587" s="2">
        <f>IFERROR(__xludf.DUMMYFUNCTION("""COMPUTED_VALUE"""),150.29)</f>
        <v>150.29</v>
      </c>
      <c r="C9587" s="2">
        <f>IFERROR(__xludf.DUMMYFUNCTION("""COMPUTED_VALUE"""),152.64)</f>
        <v>152.64</v>
      </c>
      <c r="D9587" s="2">
        <f>IFERROR(__xludf.DUMMYFUNCTION("""COMPUTED_VALUE"""),149.32)</f>
        <v>149.32</v>
      </c>
      <c r="E9587" s="2">
        <f>IFERROR(__xludf.DUMMYFUNCTION("""COMPUTED_VALUE"""),151.38)</f>
        <v>151.38</v>
      </c>
      <c r="F9587" s="2">
        <f>IFERROR(__xludf.DUMMYFUNCTION("""COMPUTED_VALUE"""),9441567.0)</f>
        <v>9441567</v>
      </c>
    </row>
    <row r="9588">
      <c r="A9588" s="3">
        <f>IFERROR(__xludf.DUMMYFUNCTION("""COMPUTED_VALUE"""),43104.66666666667)</f>
        <v>43104.66667</v>
      </c>
      <c r="B9588" s="2">
        <f>IFERROR(__xludf.DUMMYFUNCTION("""COMPUTED_VALUE"""),152.49)</f>
        <v>152.49</v>
      </c>
      <c r="C9588" s="2">
        <f>IFERROR(__xludf.DUMMYFUNCTION("""COMPUTED_VALUE"""),155.05)</f>
        <v>155.05</v>
      </c>
      <c r="D9588" s="2">
        <f>IFERROR(__xludf.DUMMYFUNCTION("""COMPUTED_VALUE"""),152.22)</f>
        <v>152.22</v>
      </c>
      <c r="E9588" s="2">
        <f>IFERROR(__xludf.DUMMYFUNCTION("""COMPUTED_VALUE"""),154.45)</f>
        <v>154.45</v>
      </c>
      <c r="F9588" s="2">
        <f>IFERROR(__xludf.DUMMYFUNCTION("""COMPUTED_VALUE"""),7556249.0)</f>
        <v>7556249</v>
      </c>
    </row>
    <row r="9589">
      <c r="A9589" s="3">
        <f>IFERROR(__xludf.DUMMYFUNCTION("""COMPUTED_VALUE"""),43105.66666666667)</f>
        <v>43105.66667</v>
      </c>
      <c r="B9589" s="2">
        <f>IFERROR(__xludf.DUMMYFUNCTION("""COMPUTED_VALUE"""),155.16)</f>
        <v>155.16</v>
      </c>
      <c r="C9589" s="2">
        <f>IFERROR(__xludf.DUMMYFUNCTION("""COMPUTED_VALUE"""),155.6)</f>
        <v>155.6</v>
      </c>
      <c r="D9589" s="2">
        <f>IFERROR(__xludf.DUMMYFUNCTION("""COMPUTED_VALUE"""),153.88)</f>
        <v>153.88</v>
      </c>
      <c r="E9589" s="2">
        <f>IFERROR(__xludf.DUMMYFUNCTION("""COMPUTED_VALUE"""),155.2)</f>
        <v>155.2</v>
      </c>
      <c r="F9589" s="2">
        <f>IFERROR(__xludf.DUMMYFUNCTION("""COMPUTED_VALUE"""),5195764.0)</f>
        <v>5195764</v>
      </c>
    </row>
    <row r="9590">
      <c r="A9590" s="3">
        <f>IFERROR(__xludf.DUMMYFUNCTION("""COMPUTED_VALUE"""),43108.66666666667)</f>
        <v>43108.66667</v>
      </c>
      <c r="B9590" s="2">
        <f>IFERROR(__xludf.DUMMYFUNCTION("""COMPUTED_VALUE"""),155.37)</f>
        <v>155.37</v>
      </c>
      <c r="C9590" s="2">
        <f>IFERROR(__xludf.DUMMYFUNCTION("""COMPUTED_VALUE"""),156.56)</f>
        <v>156.56</v>
      </c>
      <c r="D9590" s="2">
        <f>IFERROR(__xludf.DUMMYFUNCTION("""COMPUTED_VALUE"""),154.45)</f>
        <v>154.45</v>
      </c>
      <c r="E9590" s="2">
        <f>IFERROR(__xludf.DUMMYFUNCTION("""COMPUTED_VALUE"""),156.14)</f>
        <v>156.14</v>
      </c>
      <c r="F9590" s="2">
        <f>IFERROR(__xludf.DUMMYFUNCTION("""COMPUTED_VALUE"""),5237523.0)</f>
        <v>5237523</v>
      </c>
    </row>
    <row r="9591">
      <c r="A9591" s="3">
        <f>IFERROR(__xludf.DUMMYFUNCTION("""COMPUTED_VALUE"""),43109.66666666667)</f>
        <v>43109.66667</v>
      </c>
      <c r="B9591" s="2">
        <f>IFERROR(__xludf.DUMMYFUNCTION("""COMPUTED_VALUE"""),156.55)</f>
        <v>156.55</v>
      </c>
      <c r="C9591" s="2">
        <f>IFERROR(__xludf.DUMMYFUNCTION("""COMPUTED_VALUE"""),157.15)</f>
        <v>157.15</v>
      </c>
      <c r="D9591" s="2">
        <f>IFERROR(__xludf.DUMMYFUNCTION("""COMPUTED_VALUE"""),155.75)</f>
        <v>155.75</v>
      </c>
      <c r="E9591" s="2">
        <f>IFERROR(__xludf.DUMMYFUNCTION("""COMPUTED_VALUE"""),156.48)</f>
        <v>156.48</v>
      </c>
      <c r="F9591" s="2">
        <f>IFERROR(__xludf.DUMMYFUNCTION("""COMPUTED_VALUE"""),4341810.0)</f>
        <v>4341810</v>
      </c>
    </row>
    <row r="9592">
      <c r="A9592" s="3">
        <f>IFERROR(__xludf.DUMMYFUNCTION("""COMPUTED_VALUE"""),43110.66666666667)</f>
        <v>43110.66667</v>
      </c>
      <c r="B9592" s="2">
        <f>IFERROR(__xludf.DUMMYFUNCTION("""COMPUTED_VALUE"""),155.61)</f>
        <v>155.61</v>
      </c>
      <c r="C9592" s="2">
        <f>IFERROR(__xludf.DUMMYFUNCTION("""COMPUTED_VALUE"""),156.96)</f>
        <v>156.96</v>
      </c>
      <c r="D9592" s="2">
        <f>IFERROR(__xludf.DUMMYFUNCTION("""COMPUTED_VALUE"""),155.21)</f>
        <v>155.21</v>
      </c>
      <c r="E9592" s="2">
        <f>IFERROR(__xludf.DUMMYFUNCTION("""COMPUTED_VALUE"""),156.82)</f>
        <v>156.82</v>
      </c>
      <c r="F9592" s="2">
        <f>IFERROR(__xludf.DUMMYFUNCTION("""COMPUTED_VALUE"""),4174105.0)</f>
        <v>4174105</v>
      </c>
    </row>
    <row r="9593">
      <c r="A9593" s="3">
        <f>IFERROR(__xludf.DUMMYFUNCTION("""COMPUTED_VALUE"""),43111.66666666667)</f>
        <v>43111.66667</v>
      </c>
      <c r="B9593" s="2">
        <f>IFERROR(__xludf.DUMMYFUNCTION("""COMPUTED_VALUE"""),157.41)</f>
        <v>157.41</v>
      </c>
      <c r="C9593" s="2">
        <f>IFERROR(__xludf.DUMMYFUNCTION("""COMPUTED_VALUE"""),157.54)</f>
        <v>157.54</v>
      </c>
      <c r="D9593" s="2">
        <f>IFERROR(__xludf.DUMMYFUNCTION("""COMPUTED_VALUE"""),155.98)</f>
        <v>155.98</v>
      </c>
      <c r="E9593" s="2">
        <f>IFERROR(__xludf.DUMMYFUNCTION("""COMPUTED_VALUE"""),156.84)</f>
        <v>156.84</v>
      </c>
      <c r="F9593" s="2">
        <f>IFERROR(__xludf.DUMMYFUNCTION("""COMPUTED_VALUE"""),3794453.0)</f>
        <v>3794453</v>
      </c>
    </row>
    <row r="9594">
      <c r="A9594" s="3">
        <f>IFERROR(__xludf.DUMMYFUNCTION("""COMPUTED_VALUE"""),43112.66666666667)</f>
        <v>43112.66667</v>
      </c>
      <c r="B9594" s="2">
        <f>IFERROR(__xludf.DUMMYFUNCTION("""COMPUTED_VALUE"""),156.67)</f>
        <v>156.67</v>
      </c>
      <c r="C9594" s="2">
        <f>IFERROR(__xludf.DUMMYFUNCTION("""COMPUTED_VALUE"""),157.35)</f>
        <v>157.35</v>
      </c>
      <c r="D9594" s="2">
        <f>IFERROR(__xludf.DUMMYFUNCTION("""COMPUTED_VALUE"""),155.72)</f>
        <v>155.72</v>
      </c>
      <c r="E9594" s="2">
        <f>IFERROR(__xludf.DUMMYFUNCTION("""COMPUTED_VALUE"""),155.83)</f>
        <v>155.83</v>
      </c>
      <c r="F9594" s="2">
        <f>IFERROR(__xludf.DUMMYFUNCTION("""COMPUTED_VALUE"""),5031886.0)</f>
        <v>5031886</v>
      </c>
    </row>
    <row r="9595">
      <c r="A9595" s="3">
        <f>IFERROR(__xludf.DUMMYFUNCTION("""COMPUTED_VALUE"""),43116.66666666667)</f>
        <v>43116.66667</v>
      </c>
      <c r="B9595" s="2">
        <f>IFERROR(__xludf.DUMMYFUNCTION("""COMPUTED_VALUE"""),157.7)</f>
        <v>157.7</v>
      </c>
      <c r="C9595" s="2">
        <f>IFERROR(__xludf.DUMMYFUNCTION("""COMPUTED_VALUE"""),157.88)</f>
        <v>157.88</v>
      </c>
      <c r="D9595" s="2">
        <f>IFERROR(__xludf.DUMMYFUNCTION("""COMPUTED_VALUE"""),156.03)</f>
        <v>156.03</v>
      </c>
      <c r="E9595" s="2">
        <f>IFERROR(__xludf.DUMMYFUNCTION("""COMPUTED_VALUE"""),156.5)</f>
        <v>156.5</v>
      </c>
      <c r="F9595" s="2">
        <f>IFERROR(__xludf.DUMMYFUNCTION("""COMPUTED_VALUE"""),7794195.0)</f>
        <v>7794195</v>
      </c>
    </row>
    <row r="9596">
      <c r="A9596" s="3">
        <f>IFERROR(__xludf.DUMMYFUNCTION("""COMPUTED_VALUE"""),43117.66666666667)</f>
        <v>43117.66667</v>
      </c>
      <c r="B9596" s="2">
        <f>IFERROR(__xludf.DUMMYFUNCTION("""COMPUTED_VALUE"""),160.48)</f>
        <v>160.48</v>
      </c>
      <c r="C9596" s="2">
        <f>IFERROR(__xludf.DUMMYFUNCTION("""COMPUTED_VALUE"""),161.54)</f>
        <v>161.54</v>
      </c>
      <c r="D9596" s="2">
        <f>IFERROR(__xludf.DUMMYFUNCTION("""COMPUTED_VALUE"""),159.76)</f>
        <v>159.76</v>
      </c>
      <c r="E9596" s="2">
        <f>IFERROR(__xludf.DUMMYFUNCTION("""COMPUTED_VALUE"""),161.09)</f>
        <v>161.09</v>
      </c>
      <c r="F9596" s="2">
        <f>IFERROR(__xludf.DUMMYFUNCTION("""COMPUTED_VALUE"""),1.1710033E7)</f>
        <v>11710033</v>
      </c>
    </row>
    <row r="9597">
      <c r="A9597" s="3">
        <f>IFERROR(__xludf.DUMMYFUNCTION("""COMPUTED_VALUE"""),43118.66666666667)</f>
        <v>43118.66667</v>
      </c>
      <c r="B9597" s="2">
        <f>IFERROR(__xludf.DUMMYFUNCTION("""COMPUTED_VALUE"""),162.38)</f>
        <v>162.38</v>
      </c>
      <c r="C9597" s="2">
        <f>IFERROR(__xludf.DUMMYFUNCTION("""COMPUTED_VALUE"""),163.46)</f>
        <v>163.46</v>
      </c>
      <c r="D9597" s="2">
        <f>IFERROR(__xludf.DUMMYFUNCTION("""COMPUTED_VALUE"""),160.61)</f>
        <v>160.61</v>
      </c>
      <c r="E9597" s="2">
        <f>IFERROR(__xludf.DUMMYFUNCTION("""COMPUTED_VALUE"""),161.54)</f>
        <v>161.54</v>
      </c>
      <c r="F9597" s="2">
        <f>IFERROR(__xludf.DUMMYFUNCTION("""COMPUTED_VALUE"""),1.4259345E7)</f>
        <v>14259345</v>
      </c>
    </row>
    <row r="9598">
      <c r="A9598" s="3">
        <f>IFERROR(__xludf.DUMMYFUNCTION("""COMPUTED_VALUE"""),43119.66666666667)</f>
        <v>43119.66667</v>
      </c>
      <c r="B9598" s="2">
        <f>IFERROR(__xludf.DUMMYFUNCTION("""COMPUTED_VALUE"""),157.09)</f>
        <v>157.09</v>
      </c>
      <c r="C9598" s="2">
        <f>IFERROR(__xludf.DUMMYFUNCTION("""COMPUTED_VALUE"""),157.98)</f>
        <v>157.98</v>
      </c>
      <c r="D9598" s="2">
        <f>IFERROR(__xludf.DUMMYFUNCTION("""COMPUTED_VALUE"""),154.07)</f>
        <v>154.07</v>
      </c>
      <c r="E9598" s="2">
        <f>IFERROR(__xludf.DUMMYFUNCTION("""COMPUTED_VALUE"""),155.09)</f>
        <v>155.09</v>
      </c>
      <c r="F9598" s="2">
        <f>IFERROR(__xludf.DUMMYFUNCTION("""COMPUTED_VALUE"""),2.1172488E7)</f>
        <v>21172488</v>
      </c>
    </row>
    <row r="9599">
      <c r="A9599" s="3">
        <f>IFERROR(__xludf.DUMMYFUNCTION("""COMPUTED_VALUE"""),43122.66666666667)</f>
        <v>43122.66667</v>
      </c>
      <c r="B9599" s="2">
        <f>IFERROR(__xludf.DUMMYFUNCTION("""COMPUTED_VALUE"""),154.27)</f>
        <v>154.27</v>
      </c>
      <c r="C9599" s="2">
        <f>IFERROR(__xludf.DUMMYFUNCTION("""COMPUTED_VALUE"""),156.63)</f>
        <v>156.63</v>
      </c>
      <c r="D9599" s="2">
        <f>IFERROR(__xludf.DUMMYFUNCTION("""COMPUTED_VALUE"""),153.89)</f>
        <v>153.89</v>
      </c>
      <c r="E9599" s="2">
        <f>IFERROR(__xludf.DUMMYFUNCTION("""COMPUTED_VALUE"""),155.31)</f>
        <v>155.31</v>
      </c>
      <c r="F9599" s="2">
        <f>IFERROR(__xludf.DUMMYFUNCTION("""COMPUTED_VALUE"""),8480795.0)</f>
        <v>8480795</v>
      </c>
    </row>
    <row r="9600">
      <c r="A9600" s="3">
        <f>IFERROR(__xludf.DUMMYFUNCTION("""COMPUTED_VALUE"""),43123.66666666667)</f>
        <v>43123.66667</v>
      </c>
      <c r="B9600" s="2">
        <f>IFERROR(__xludf.DUMMYFUNCTION("""COMPUTED_VALUE"""),155.52)</f>
        <v>155.52</v>
      </c>
      <c r="C9600" s="2">
        <f>IFERROR(__xludf.DUMMYFUNCTION("""COMPUTED_VALUE"""),158.81)</f>
        <v>158.81</v>
      </c>
      <c r="D9600" s="2">
        <f>IFERROR(__xludf.DUMMYFUNCTION("""COMPUTED_VALUE"""),155.22)</f>
        <v>155.22</v>
      </c>
      <c r="E9600" s="2">
        <f>IFERROR(__xludf.DUMMYFUNCTION("""COMPUTED_VALUE"""),158.8)</f>
        <v>158.8</v>
      </c>
      <c r="F9600" s="2">
        <f>IFERROR(__xludf.DUMMYFUNCTION("""COMPUTED_VALUE"""),7466232.0)</f>
        <v>7466232</v>
      </c>
    </row>
    <row r="9601">
      <c r="A9601" s="3">
        <f>IFERROR(__xludf.DUMMYFUNCTION("""COMPUTED_VALUE"""),43124.66666666667)</f>
        <v>43124.66667</v>
      </c>
      <c r="B9601" s="2">
        <f>IFERROR(__xludf.DUMMYFUNCTION("""COMPUTED_VALUE"""),159.27)</f>
        <v>159.27</v>
      </c>
      <c r="C9601" s="2">
        <f>IFERROR(__xludf.DUMMYFUNCTION("""COMPUTED_VALUE"""),161.16)</f>
        <v>161.16</v>
      </c>
      <c r="D9601" s="2">
        <f>IFERROR(__xludf.DUMMYFUNCTION("""COMPUTED_VALUE"""),157.43)</f>
        <v>157.43</v>
      </c>
      <c r="E9601" s="2">
        <f>IFERROR(__xludf.DUMMYFUNCTION("""COMPUTED_VALUE"""),157.96)</f>
        <v>157.96</v>
      </c>
      <c r="F9601" s="2">
        <f>IFERROR(__xludf.DUMMYFUNCTION("""COMPUTED_VALUE"""),5645003.0)</f>
        <v>5645003</v>
      </c>
    </row>
    <row r="9602">
      <c r="A9602" s="3">
        <f>IFERROR(__xludf.DUMMYFUNCTION("""COMPUTED_VALUE"""),43125.66666666667)</f>
        <v>43125.66667</v>
      </c>
      <c r="B9602" s="2">
        <f>IFERROR(__xludf.DUMMYFUNCTION("""COMPUTED_VALUE"""),158.47)</f>
        <v>158.47</v>
      </c>
      <c r="C9602" s="2">
        <f>IFERROR(__xludf.DUMMYFUNCTION("""COMPUTED_VALUE"""),159.3)</f>
        <v>159.3</v>
      </c>
      <c r="D9602" s="2">
        <f>IFERROR(__xludf.DUMMYFUNCTION("""COMPUTED_VALUE"""),157.78)</f>
        <v>157.78</v>
      </c>
      <c r="E9602" s="2">
        <f>IFERROR(__xludf.DUMMYFUNCTION("""COMPUTED_VALUE"""),158.05)</f>
        <v>158.05</v>
      </c>
      <c r="F9602" s="2">
        <f>IFERROR(__xludf.DUMMYFUNCTION("""COMPUTED_VALUE"""),3302520.0)</f>
        <v>3302520</v>
      </c>
    </row>
    <row r="9603">
      <c r="A9603" s="3">
        <f>IFERROR(__xludf.DUMMYFUNCTION("""COMPUTED_VALUE"""),43126.66666666667)</f>
        <v>43126.66667</v>
      </c>
      <c r="B9603" s="2">
        <f>IFERROR(__xludf.DUMMYFUNCTION("""COMPUTED_VALUE"""),158.67)</f>
        <v>158.67</v>
      </c>
      <c r="C9603" s="2">
        <f>IFERROR(__xludf.DUMMYFUNCTION("""COMPUTED_VALUE"""),159.91)</f>
        <v>159.91</v>
      </c>
      <c r="D9603" s="2">
        <f>IFERROR(__xludf.DUMMYFUNCTION("""COMPUTED_VALUE"""),158.36)</f>
        <v>158.36</v>
      </c>
      <c r="E9603" s="2">
        <f>IFERROR(__xludf.DUMMYFUNCTION("""COMPUTED_VALUE"""),159.84)</f>
        <v>159.84</v>
      </c>
      <c r="F9603" s="2">
        <f>IFERROR(__xludf.DUMMYFUNCTION("""COMPUTED_VALUE"""),3787913.0)</f>
        <v>3787913</v>
      </c>
    </row>
    <row r="9604">
      <c r="A9604" s="3">
        <f>IFERROR(__xludf.DUMMYFUNCTION("""COMPUTED_VALUE"""),43129.66666666667)</f>
        <v>43129.66667</v>
      </c>
      <c r="B9604" s="2">
        <f>IFERROR(__xludf.DUMMYFUNCTION("""COMPUTED_VALUE"""),159.94)</f>
        <v>159.94</v>
      </c>
      <c r="C9604" s="2">
        <f>IFERROR(__xludf.DUMMYFUNCTION("""COMPUTED_VALUE"""),160.84)</f>
        <v>160.84</v>
      </c>
      <c r="D9604" s="2">
        <f>IFERROR(__xludf.DUMMYFUNCTION("""COMPUTED_VALUE"""),158.57)</f>
        <v>158.57</v>
      </c>
      <c r="E9604" s="2">
        <f>IFERROR(__xludf.DUMMYFUNCTION("""COMPUTED_VALUE"""),159.32)</f>
        <v>159.32</v>
      </c>
      <c r="F9604" s="2">
        <f>IFERROR(__xludf.DUMMYFUNCTION("""COMPUTED_VALUE"""),3516995.0)</f>
        <v>3516995</v>
      </c>
    </row>
    <row r="9605">
      <c r="A9605" s="3">
        <f>IFERROR(__xludf.DUMMYFUNCTION("""COMPUTED_VALUE"""),43130.66666666667)</f>
        <v>43130.66667</v>
      </c>
      <c r="B9605" s="2">
        <f>IFERROR(__xludf.DUMMYFUNCTION("""COMPUTED_VALUE"""),158.76)</f>
        <v>158.76</v>
      </c>
      <c r="C9605" s="2">
        <f>IFERROR(__xludf.DUMMYFUNCTION("""COMPUTED_VALUE"""),159.29)</f>
        <v>159.29</v>
      </c>
      <c r="D9605" s="2">
        <f>IFERROR(__xludf.DUMMYFUNCTION("""COMPUTED_VALUE"""),155.84)</f>
        <v>155.84</v>
      </c>
      <c r="E9605" s="2">
        <f>IFERROR(__xludf.DUMMYFUNCTION("""COMPUTED_VALUE"""),156.28)</f>
        <v>156.28</v>
      </c>
      <c r="F9605" s="2">
        <f>IFERROR(__xludf.DUMMYFUNCTION("""COMPUTED_VALUE"""),4902341.0)</f>
        <v>4902341</v>
      </c>
    </row>
    <row r="9606">
      <c r="A9606" s="3">
        <f>IFERROR(__xludf.DUMMYFUNCTION("""COMPUTED_VALUE"""),43131.66666666667)</f>
        <v>43131.66667</v>
      </c>
      <c r="B9606" s="2">
        <f>IFERROR(__xludf.DUMMYFUNCTION("""COMPUTED_VALUE"""),156.41)</f>
        <v>156.41</v>
      </c>
      <c r="C9606" s="2">
        <f>IFERROR(__xludf.DUMMYFUNCTION("""COMPUTED_VALUE"""),157.59)</f>
        <v>157.59</v>
      </c>
      <c r="D9606" s="2">
        <f>IFERROR(__xludf.DUMMYFUNCTION("""COMPUTED_VALUE"""),155.46)</f>
        <v>155.46</v>
      </c>
      <c r="E9606" s="2">
        <f>IFERROR(__xludf.DUMMYFUNCTION("""COMPUTED_VALUE"""),156.36)</f>
        <v>156.36</v>
      </c>
      <c r="F9606" s="2">
        <f>IFERROR(__xludf.DUMMYFUNCTION("""COMPUTED_VALUE"""),4072830.0)</f>
        <v>4072830</v>
      </c>
    </row>
    <row r="9607">
      <c r="A9607" s="3">
        <f>IFERROR(__xludf.DUMMYFUNCTION("""COMPUTED_VALUE"""),43132.66666666667)</f>
        <v>43132.66667</v>
      </c>
      <c r="B9607" s="2">
        <f>IFERROR(__xludf.DUMMYFUNCTION("""COMPUTED_VALUE"""),155.87)</f>
        <v>155.87</v>
      </c>
      <c r="C9607" s="2">
        <f>IFERROR(__xludf.DUMMYFUNCTION("""COMPUTED_VALUE"""),156.77)</f>
        <v>156.77</v>
      </c>
      <c r="D9607" s="2">
        <f>IFERROR(__xludf.DUMMYFUNCTION("""COMPUTED_VALUE"""),154.64)</f>
        <v>154.64</v>
      </c>
      <c r="E9607" s="2">
        <f>IFERROR(__xludf.DUMMYFUNCTION("""COMPUTED_VALUE"""),155.12)</f>
        <v>155.12</v>
      </c>
      <c r="F9607" s="2">
        <f>IFERROR(__xludf.DUMMYFUNCTION("""COMPUTED_VALUE"""),4434242.0)</f>
        <v>4434242</v>
      </c>
    </row>
    <row r="9608">
      <c r="A9608" s="3">
        <f>IFERROR(__xludf.DUMMYFUNCTION("""COMPUTED_VALUE"""),43133.66666666667)</f>
        <v>43133.66667</v>
      </c>
      <c r="B9608" s="2">
        <f>IFERROR(__xludf.DUMMYFUNCTION("""COMPUTED_VALUE"""),154.45)</f>
        <v>154.45</v>
      </c>
      <c r="C9608" s="2">
        <f>IFERROR(__xludf.DUMMYFUNCTION("""COMPUTED_VALUE"""),154.74)</f>
        <v>154.74</v>
      </c>
      <c r="D9608" s="2">
        <f>IFERROR(__xludf.DUMMYFUNCTION("""COMPUTED_VALUE"""),151.74)</f>
        <v>151.74</v>
      </c>
      <c r="E9608" s="2">
        <f>IFERROR(__xludf.DUMMYFUNCTION("""COMPUTED_VALUE"""),151.9)</f>
        <v>151.9</v>
      </c>
      <c r="F9608" s="2">
        <f>IFERROR(__xludf.DUMMYFUNCTION("""COMPUTED_VALUE"""),5251938.0)</f>
        <v>5251938</v>
      </c>
    </row>
    <row r="9609">
      <c r="A9609" s="3">
        <f>IFERROR(__xludf.DUMMYFUNCTION("""COMPUTED_VALUE"""),43136.66666666667)</f>
        <v>43136.66667</v>
      </c>
      <c r="B9609" s="2">
        <f>IFERROR(__xludf.DUMMYFUNCTION("""COMPUTED_VALUE"""),150.81)</f>
        <v>150.81</v>
      </c>
      <c r="C9609" s="2">
        <f>IFERROR(__xludf.DUMMYFUNCTION("""COMPUTED_VALUE"""),151.39)</f>
        <v>151.39</v>
      </c>
      <c r="D9609" s="2">
        <f>IFERROR(__xludf.DUMMYFUNCTION("""COMPUTED_VALUE"""),143.27)</f>
        <v>143.27</v>
      </c>
      <c r="E9609" s="2">
        <f>IFERROR(__xludf.DUMMYFUNCTION("""COMPUTED_VALUE"""),145.69)</f>
        <v>145.69</v>
      </c>
      <c r="F9609" s="2">
        <f>IFERROR(__xludf.DUMMYFUNCTION("""COMPUTED_VALUE"""),8746599.0)</f>
        <v>8746599</v>
      </c>
    </row>
    <row r="9610">
      <c r="A9610" s="3">
        <f>IFERROR(__xludf.DUMMYFUNCTION("""COMPUTED_VALUE"""),43137.66666666667)</f>
        <v>43137.66667</v>
      </c>
      <c r="B9610" s="2">
        <f>IFERROR(__xludf.DUMMYFUNCTION("""COMPUTED_VALUE"""),143.55)</f>
        <v>143.55</v>
      </c>
      <c r="C9610" s="2">
        <f>IFERROR(__xludf.DUMMYFUNCTION("""COMPUTED_VALUE"""),148.52)</f>
        <v>148.52</v>
      </c>
      <c r="D9610" s="2">
        <f>IFERROR(__xludf.DUMMYFUNCTION("""COMPUTED_VALUE"""),142.42)</f>
        <v>142.42</v>
      </c>
      <c r="E9610" s="2">
        <f>IFERROR(__xludf.DUMMYFUNCTION("""COMPUTED_VALUE"""),148.38)</f>
        <v>148.38</v>
      </c>
      <c r="F9610" s="2">
        <f>IFERROR(__xludf.DUMMYFUNCTION("""COMPUTED_VALUE"""),9867678.0)</f>
        <v>9867678</v>
      </c>
    </row>
    <row r="9611">
      <c r="A9611" s="3">
        <f>IFERROR(__xludf.DUMMYFUNCTION("""COMPUTED_VALUE"""),43138.66666666667)</f>
        <v>43138.66667</v>
      </c>
      <c r="B9611" s="2">
        <f>IFERROR(__xludf.DUMMYFUNCTION("""COMPUTED_VALUE"""),147.26)</f>
        <v>147.26</v>
      </c>
      <c r="C9611" s="2">
        <f>IFERROR(__xludf.DUMMYFUNCTION("""COMPUTED_VALUE"""),148.38)</f>
        <v>148.38</v>
      </c>
      <c r="D9611" s="2">
        <f>IFERROR(__xludf.DUMMYFUNCTION("""COMPUTED_VALUE"""),146.41)</f>
        <v>146.41</v>
      </c>
      <c r="E9611" s="2">
        <f>IFERROR(__xludf.DUMMYFUNCTION("""COMPUTED_VALUE"""),146.95)</f>
        <v>146.95</v>
      </c>
      <c r="F9611" s="2">
        <f>IFERROR(__xludf.DUMMYFUNCTION("""COMPUTED_VALUE"""),6149207.0)</f>
        <v>6149207</v>
      </c>
    </row>
    <row r="9612">
      <c r="A9612" s="3">
        <f>IFERROR(__xludf.DUMMYFUNCTION("""COMPUTED_VALUE"""),43139.66666666667)</f>
        <v>43139.66667</v>
      </c>
      <c r="B9612" s="2">
        <f>IFERROR(__xludf.DUMMYFUNCTION("""COMPUTED_VALUE"""),145.64)</f>
        <v>145.64</v>
      </c>
      <c r="C9612" s="2">
        <f>IFERROR(__xludf.DUMMYFUNCTION("""COMPUTED_VALUE"""),146.29)</f>
        <v>146.29</v>
      </c>
      <c r="D9612" s="2">
        <f>IFERROR(__xludf.DUMMYFUNCTION("""COMPUTED_VALUE"""),140.89)</f>
        <v>140.89</v>
      </c>
      <c r="E9612" s="2">
        <f>IFERROR(__xludf.DUMMYFUNCTION("""COMPUTED_VALUE"""),140.97)</f>
        <v>140.97</v>
      </c>
      <c r="F9612" s="2">
        <f>IFERROR(__xludf.DUMMYFUNCTION("""COMPUTED_VALUE"""),6779095.0)</f>
        <v>6779095</v>
      </c>
    </row>
    <row r="9613">
      <c r="A9613" s="3">
        <f>IFERROR(__xludf.DUMMYFUNCTION("""COMPUTED_VALUE"""),43140.66666666667)</f>
        <v>43140.66667</v>
      </c>
      <c r="B9613" s="2">
        <f>IFERROR(__xludf.DUMMYFUNCTION("""COMPUTED_VALUE"""),141.94)</f>
        <v>141.94</v>
      </c>
      <c r="C9613" s="2">
        <f>IFERROR(__xludf.DUMMYFUNCTION("""COMPUTED_VALUE"""),143.79)</f>
        <v>143.79</v>
      </c>
      <c r="D9613" s="2">
        <f>IFERROR(__xludf.DUMMYFUNCTION("""COMPUTED_VALUE"""),137.92)</f>
        <v>137.92</v>
      </c>
      <c r="E9613" s="2">
        <f>IFERROR(__xludf.DUMMYFUNCTION("""COMPUTED_VALUE"""),142.81)</f>
        <v>142.81</v>
      </c>
      <c r="F9613" s="2">
        <f>IFERROR(__xludf.DUMMYFUNCTION("""COMPUTED_VALUE"""),7828290.0)</f>
        <v>7828290</v>
      </c>
    </row>
    <row r="9614">
      <c r="A9614" s="3">
        <f>IFERROR(__xludf.DUMMYFUNCTION("""COMPUTED_VALUE"""),43143.66666666667)</f>
        <v>43143.66667</v>
      </c>
      <c r="B9614" s="2">
        <f>IFERROR(__xludf.DUMMYFUNCTION("""COMPUTED_VALUE"""),144.13)</f>
        <v>144.13</v>
      </c>
      <c r="C9614" s="2">
        <f>IFERROR(__xludf.DUMMYFUNCTION("""COMPUTED_VALUE"""),145.57)</f>
        <v>145.57</v>
      </c>
      <c r="D9614" s="2">
        <f>IFERROR(__xludf.DUMMYFUNCTION("""COMPUTED_VALUE"""),143.56)</f>
        <v>143.56</v>
      </c>
      <c r="E9614" s="2">
        <f>IFERROR(__xludf.DUMMYFUNCTION("""COMPUTED_VALUE"""),144.61)</f>
        <v>144.61</v>
      </c>
      <c r="F9614" s="2">
        <f>IFERROR(__xludf.DUMMYFUNCTION("""COMPUTED_VALUE"""),5881377.0)</f>
        <v>5881377</v>
      </c>
    </row>
    <row r="9615">
      <c r="A9615" s="3">
        <f>IFERROR(__xludf.DUMMYFUNCTION("""COMPUTED_VALUE"""),43144.66666666667)</f>
        <v>43144.66667</v>
      </c>
      <c r="B9615" s="2">
        <f>IFERROR(__xludf.DUMMYFUNCTION("""COMPUTED_VALUE"""),144.13)</f>
        <v>144.13</v>
      </c>
      <c r="C9615" s="2">
        <f>IFERROR(__xludf.DUMMYFUNCTION("""COMPUTED_VALUE"""),144.4)</f>
        <v>144.4</v>
      </c>
      <c r="D9615" s="2">
        <f>IFERROR(__xludf.DUMMYFUNCTION("""COMPUTED_VALUE"""),142.93)</f>
        <v>142.93</v>
      </c>
      <c r="E9615" s="2">
        <f>IFERROR(__xludf.DUMMYFUNCTION("""COMPUTED_VALUE"""),143.99)</f>
        <v>143.99</v>
      </c>
      <c r="F9615" s="2">
        <f>IFERROR(__xludf.DUMMYFUNCTION("""COMPUTED_VALUE"""),4891010.0)</f>
        <v>4891010</v>
      </c>
    </row>
    <row r="9616">
      <c r="A9616" s="3">
        <f>IFERROR(__xludf.DUMMYFUNCTION("""COMPUTED_VALUE"""),43145.66666666667)</f>
        <v>43145.66667</v>
      </c>
      <c r="B9616" s="2">
        <f>IFERROR(__xludf.DUMMYFUNCTION("""COMPUTED_VALUE"""),143.46)</f>
        <v>143.46</v>
      </c>
      <c r="C9616" s="2">
        <f>IFERROR(__xludf.DUMMYFUNCTION("""COMPUTED_VALUE"""),148.05)</f>
        <v>148.05</v>
      </c>
      <c r="D9616" s="2">
        <f>IFERROR(__xludf.DUMMYFUNCTION("""COMPUTED_VALUE"""),143.27)</f>
        <v>143.27</v>
      </c>
      <c r="E9616" s="2">
        <f>IFERROR(__xludf.DUMMYFUNCTION("""COMPUTED_VALUE"""),147.82)</f>
        <v>147.82</v>
      </c>
      <c r="F9616" s="2">
        <f>IFERROR(__xludf.DUMMYFUNCTION("""COMPUTED_VALUE"""),5479033.0)</f>
        <v>5479033</v>
      </c>
    </row>
    <row r="9617">
      <c r="A9617" s="3">
        <f>IFERROR(__xludf.DUMMYFUNCTION("""COMPUTED_VALUE"""),43146.66666666667)</f>
        <v>43146.66667</v>
      </c>
      <c r="B9617" s="2">
        <f>IFERROR(__xludf.DUMMYFUNCTION("""COMPUTED_VALUE"""),148.53)</f>
        <v>148.53</v>
      </c>
      <c r="C9617" s="2">
        <f>IFERROR(__xludf.DUMMYFUNCTION("""COMPUTED_VALUE"""),149.83)</f>
        <v>149.83</v>
      </c>
      <c r="D9617" s="2">
        <f>IFERROR(__xludf.DUMMYFUNCTION("""COMPUTED_VALUE"""),146.81)</f>
        <v>146.81</v>
      </c>
      <c r="E9617" s="2">
        <f>IFERROR(__xludf.DUMMYFUNCTION("""COMPUTED_VALUE"""),149.02)</f>
        <v>149.02</v>
      </c>
      <c r="F9617" s="2">
        <f>IFERROR(__xludf.DUMMYFUNCTION("""COMPUTED_VALUE"""),5623581.0)</f>
        <v>5623581</v>
      </c>
    </row>
    <row r="9618">
      <c r="A9618" s="3">
        <f>IFERROR(__xludf.DUMMYFUNCTION("""COMPUTED_VALUE"""),43147.66666666667)</f>
        <v>43147.66667</v>
      </c>
      <c r="B9618" s="2">
        <f>IFERROR(__xludf.DUMMYFUNCTION("""COMPUTED_VALUE"""),148.73)</f>
        <v>148.73</v>
      </c>
      <c r="C9618" s="2">
        <f>IFERROR(__xludf.DUMMYFUNCTION("""COMPUTED_VALUE"""),150.72)</f>
        <v>150.72</v>
      </c>
      <c r="D9618" s="2">
        <f>IFERROR(__xludf.DUMMYFUNCTION("""COMPUTED_VALUE"""),148.71)</f>
        <v>148.71</v>
      </c>
      <c r="E9618" s="2">
        <f>IFERROR(__xludf.DUMMYFUNCTION("""COMPUTED_VALUE"""),149.18)</f>
        <v>149.18</v>
      </c>
      <c r="F9618" s="2">
        <f>IFERROR(__xludf.DUMMYFUNCTION("""COMPUTED_VALUE"""),4282908.0)</f>
        <v>4282908</v>
      </c>
    </row>
    <row r="9619">
      <c r="A9619" s="3">
        <f>IFERROR(__xludf.DUMMYFUNCTION("""COMPUTED_VALUE"""),43151.66666666667)</f>
        <v>43151.66667</v>
      </c>
      <c r="B9619" s="2">
        <f>IFERROR(__xludf.DUMMYFUNCTION("""COMPUTED_VALUE"""),148.81)</f>
        <v>148.81</v>
      </c>
      <c r="C9619" s="2">
        <f>IFERROR(__xludf.DUMMYFUNCTION("""COMPUTED_VALUE"""),148.97)</f>
        <v>148.97</v>
      </c>
      <c r="D9619" s="2">
        <f>IFERROR(__xludf.DUMMYFUNCTION("""COMPUTED_VALUE"""),146.97)</f>
        <v>146.97</v>
      </c>
      <c r="E9619" s="2">
        <f>IFERROR(__xludf.DUMMYFUNCTION("""COMPUTED_VALUE"""),148.2)</f>
        <v>148.2</v>
      </c>
      <c r="F9619" s="2">
        <f>IFERROR(__xludf.DUMMYFUNCTION("""COMPUTED_VALUE"""),4489604.0)</f>
        <v>4489604</v>
      </c>
    </row>
    <row r="9620">
      <c r="A9620" s="3">
        <f>IFERROR(__xludf.DUMMYFUNCTION("""COMPUTED_VALUE"""),43152.66666666667)</f>
        <v>43152.66667</v>
      </c>
      <c r="B9620" s="2">
        <f>IFERROR(__xludf.DUMMYFUNCTION("""COMPUTED_VALUE"""),148.46)</f>
        <v>148.46</v>
      </c>
      <c r="C9620" s="2">
        <f>IFERROR(__xludf.DUMMYFUNCTION("""COMPUTED_VALUE"""),149.76)</f>
        <v>149.76</v>
      </c>
      <c r="D9620" s="2">
        <f>IFERROR(__xludf.DUMMYFUNCTION("""COMPUTED_VALUE"""),147.0)</f>
        <v>147</v>
      </c>
      <c r="E9620" s="2">
        <f>IFERROR(__xludf.DUMMYFUNCTION("""COMPUTED_VALUE"""),147.06)</f>
        <v>147.06</v>
      </c>
      <c r="F9620" s="2">
        <f>IFERROR(__xludf.DUMMYFUNCTION("""COMPUTED_VALUE"""),3728571.0)</f>
        <v>3728571</v>
      </c>
    </row>
    <row r="9621">
      <c r="A9621" s="3">
        <f>IFERROR(__xludf.DUMMYFUNCTION("""COMPUTED_VALUE"""),43153.66666666667)</f>
        <v>43153.66667</v>
      </c>
      <c r="B9621" s="2">
        <f>IFERROR(__xludf.DUMMYFUNCTION("""COMPUTED_VALUE"""),147.57)</f>
        <v>147.57</v>
      </c>
      <c r="C9621" s="2">
        <f>IFERROR(__xludf.DUMMYFUNCTION("""COMPUTED_VALUE"""),148.09)</f>
        <v>148.09</v>
      </c>
      <c r="D9621" s="2">
        <f>IFERROR(__xludf.DUMMYFUNCTION("""COMPUTED_VALUE"""),145.94)</f>
        <v>145.94</v>
      </c>
      <c r="E9621" s="2">
        <f>IFERROR(__xludf.DUMMYFUNCTION("""COMPUTED_VALUE"""),146.31)</f>
        <v>146.31</v>
      </c>
      <c r="F9621" s="2">
        <f>IFERROR(__xludf.DUMMYFUNCTION("""COMPUTED_VALUE"""),4024627.0)</f>
        <v>4024627</v>
      </c>
    </row>
    <row r="9622">
      <c r="A9622" s="3">
        <f>IFERROR(__xludf.DUMMYFUNCTION("""COMPUTED_VALUE"""),43154.66666666667)</f>
        <v>43154.66667</v>
      </c>
      <c r="B9622" s="2">
        <f>IFERROR(__xludf.DUMMYFUNCTION("""COMPUTED_VALUE"""),147.38)</f>
        <v>147.38</v>
      </c>
      <c r="C9622" s="2">
        <f>IFERROR(__xludf.DUMMYFUNCTION("""COMPUTED_VALUE"""),148.87)</f>
        <v>148.87</v>
      </c>
      <c r="D9622" s="2">
        <f>IFERROR(__xludf.DUMMYFUNCTION("""COMPUTED_VALUE"""),147.16)</f>
        <v>147.16</v>
      </c>
      <c r="E9622" s="2">
        <f>IFERROR(__xludf.DUMMYFUNCTION("""COMPUTED_VALUE"""),148.55)</f>
        <v>148.55</v>
      </c>
      <c r="F9622" s="2">
        <f>IFERROR(__xludf.DUMMYFUNCTION("""COMPUTED_VALUE"""),3256074.0)</f>
        <v>3256074</v>
      </c>
    </row>
    <row r="9623">
      <c r="A9623" s="3">
        <f>IFERROR(__xludf.DUMMYFUNCTION("""COMPUTED_VALUE"""),43157.66666666667)</f>
        <v>43157.66667</v>
      </c>
      <c r="B9623" s="2">
        <f>IFERROR(__xludf.DUMMYFUNCTION("""COMPUTED_VALUE"""),148.82)</f>
        <v>148.82</v>
      </c>
      <c r="C9623" s="2">
        <f>IFERROR(__xludf.DUMMYFUNCTION("""COMPUTED_VALUE"""),151.76)</f>
        <v>151.76</v>
      </c>
      <c r="D9623" s="2">
        <f>IFERROR(__xludf.DUMMYFUNCTION("""COMPUTED_VALUE"""),148.54)</f>
        <v>148.54</v>
      </c>
      <c r="E9623" s="2">
        <f>IFERROR(__xludf.DUMMYFUNCTION("""COMPUTED_VALUE"""),151.47)</f>
        <v>151.47</v>
      </c>
      <c r="F9623" s="2">
        <f>IFERROR(__xludf.DUMMYFUNCTION("""COMPUTED_VALUE"""),3610292.0)</f>
        <v>3610292</v>
      </c>
    </row>
    <row r="9624">
      <c r="A9624" s="3">
        <f>IFERROR(__xludf.DUMMYFUNCTION("""COMPUTED_VALUE"""),43158.66666666667)</f>
        <v>43158.66667</v>
      </c>
      <c r="B9624" s="2">
        <f>IFERROR(__xludf.DUMMYFUNCTION("""COMPUTED_VALUE"""),151.36)</f>
        <v>151.36</v>
      </c>
      <c r="C9624" s="2">
        <f>IFERROR(__xludf.DUMMYFUNCTION("""COMPUTED_VALUE"""),152.62)</f>
        <v>152.62</v>
      </c>
      <c r="D9624" s="2">
        <f>IFERROR(__xludf.DUMMYFUNCTION("""COMPUTED_VALUE"""),149.51)</f>
        <v>149.51</v>
      </c>
      <c r="E9624" s="2">
        <f>IFERROR(__xludf.DUMMYFUNCTION("""COMPUTED_VALUE"""),149.53)</f>
        <v>149.53</v>
      </c>
      <c r="F9624" s="2">
        <f>IFERROR(__xludf.DUMMYFUNCTION("""COMPUTED_VALUE"""),4237283.0)</f>
        <v>4237283</v>
      </c>
    </row>
    <row r="9625">
      <c r="A9625" s="3">
        <f>IFERROR(__xludf.DUMMYFUNCTION("""COMPUTED_VALUE"""),43159.66666666667)</f>
        <v>43159.66667</v>
      </c>
      <c r="B9625" s="2">
        <f>IFERROR(__xludf.DUMMYFUNCTION("""COMPUTED_VALUE"""),150.44)</f>
        <v>150.44</v>
      </c>
      <c r="C9625" s="2">
        <f>IFERROR(__xludf.DUMMYFUNCTION("""COMPUTED_VALUE"""),151.05)</f>
        <v>151.05</v>
      </c>
      <c r="D9625" s="2">
        <f>IFERROR(__xludf.DUMMYFUNCTION("""COMPUTED_VALUE"""),148.81)</f>
        <v>148.81</v>
      </c>
      <c r="E9625" s="2">
        <f>IFERROR(__xludf.DUMMYFUNCTION("""COMPUTED_VALUE"""),148.84)</f>
        <v>148.84</v>
      </c>
      <c r="F9625" s="2">
        <f>IFERROR(__xludf.DUMMYFUNCTION("""COMPUTED_VALUE"""),3803512.0)</f>
        <v>3803512</v>
      </c>
    </row>
    <row r="9626">
      <c r="A9626" s="3">
        <f>IFERROR(__xludf.DUMMYFUNCTION("""COMPUTED_VALUE"""),43160.66666666667)</f>
        <v>43160.66667</v>
      </c>
      <c r="B9626" s="2">
        <f>IFERROR(__xludf.DUMMYFUNCTION("""COMPUTED_VALUE"""),148.56)</f>
        <v>148.56</v>
      </c>
      <c r="C9626" s="2">
        <f>IFERROR(__xludf.DUMMYFUNCTION("""COMPUTED_VALUE"""),149.94)</f>
        <v>149.94</v>
      </c>
      <c r="D9626" s="2">
        <f>IFERROR(__xludf.DUMMYFUNCTION("""COMPUTED_VALUE"""),145.94)</f>
        <v>145.94</v>
      </c>
      <c r="E9626" s="2">
        <f>IFERROR(__xludf.DUMMYFUNCTION("""COMPUTED_VALUE"""),146.91)</f>
        <v>146.91</v>
      </c>
      <c r="F9626" s="2">
        <f>IFERROR(__xludf.DUMMYFUNCTION("""COMPUTED_VALUE"""),4039339.0)</f>
        <v>4039339</v>
      </c>
    </row>
    <row r="9627">
      <c r="A9627" s="3">
        <f>IFERROR(__xludf.DUMMYFUNCTION("""COMPUTED_VALUE"""),43161.66666666667)</f>
        <v>43161.66667</v>
      </c>
      <c r="B9627" s="2">
        <f>IFERROR(__xludf.DUMMYFUNCTION("""COMPUTED_VALUE"""),145.94)</f>
        <v>145.94</v>
      </c>
      <c r="C9627" s="2">
        <f>IFERROR(__xludf.DUMMYFUNCTION("""COMPUTED_VALUE"""),147.82)</f>
        <v>147.82</v>
      </c>
      <c r="D9627" s="2">
        <f>IFERROR(__xludf.DUMMYFUNCTION("""COMPUTED_VALUE"""),145.07)</f>
        <v>145.07</v>
      </c>
      <c r="E9627" s="2">
        <f>IFERROR(__xludf.DUMMYFUNCTION("""COMPUTED_VALUE"""),147.56)</f>
        <v>147.56</v>
      </c>
      <c r="F9627" s="2">
        <f>IFERROR(__xludf.DUMMYFUNCTION("""COMPUTED_VALUE"""),3261141.0)</f>
        <v>3261141</v>
      </c>
    </row>
    <row r="9628">
      <c r="A9628" s="3">
        <f>IFERROR(__xludf.DUMMYFUNCTION("""COMPUTED_VALUE"""),43164.66666666667)</f>
        <v>43164.66667</v>
      </c>
      <c r="B9628" s="2">
        <f>IFERROR(__xludf.DUMMYFUNCTION("""COMPUTED_VALUE"""),147.21)</f>
        <v>147.21</v>
      </c>
      <c r="C9628" s="2">
        <f>IFERROR(__xludf.DUMMYFUNCTION("""COMPUTED_VALUE"""),150.43)</f>
        <v>150.43</v>
      </c>
      <c r="D9628" s="2">
        <f>IFERROR(__xludf.DUMMYFUNCTION("""COMPUTED_VALUE"""),146.86)</f>
        <v>146.86</v>
      </c>
      <c r="E9628" s="2">
        <f>IFERROR(__xludf.DUMMYFUNCTION("""COMPUTED_VALUE"""),149.91)</f>
        <v>149.91</v>
      </c>
      <c r="F9628" s="2">
        <f>IFERROR(__xludf.DUMMYFUNCTION("""COMPUTED_VALUE"""),3670630.0)</f>
        <v>3670630</v>
      </c>
    </row>
    <row r="9629">
      <c r="A9629" s="3">
        <f>IFERROR(__xludf.DUMMYFUNCTION("""COMPUTED_VALUE"""),43165.66666666667)</f>
        <v>43165.66667</v>
      </c>
      <c r="B9629" s="2">
        <f>IFERROR(__xludf.DUMMYFUNCTION("""COMPUTED_VALUE"""),150.23)</f>
        <v>150.23</v>
      </c>
      <c r="C9629" s="2">
        <f>IFERROR(__xludf.DUMMYFUNCTION("""COMPUTED_VALUE"""),150.81)</f>
        <v>150.81</v>
      </c>
      <c r="D9629" s="2">
        <f>IFERROR(__xludf.DUMMYFUNCTION("""COMPUTED_VALUE"""),148.2)</f>
        <v>148.2</v>
      </c>
      <c r="E9629" s="2">
        <f>IFERROR(__xludf.DUMMYFUNCTION("""COMPUTED_VALUE"""),148.74)</f>
        <v>148.74</v>
      </c>
      <c r="F9629" s="2">
        <f>IFERROR(__xludf.DUMMYFUNCTION("""COMPUTED_VALUE"""),3685736.0)</f>
        <v>3685736</v>
      </c>
    </row>
    <row r="9630">
      <c r="A9630" s="3">
        <f>IFERROR(__xludf.DUMMYFUNCTION("""COMPUTED_VALUE"""),43166.66666666667)</f>
        <v>43166.66667</v>
      </c>
      <c r="B9630" s="2">
        <f>IFERROR(__xludf.DUMMYFUNCTION("""COMPUTED_VALUE"""),148.05)</f>
        <v>148.05</v>
      </c>
      <c r="C9630" s="2">
        <f>IFERROR(__xludf.DUMMYFUNCTION("""COMPUTED_VALUE"""),151.71)</f>
        <v>151.71</v>
      </c>
      <c r="D9630" s="2">
        <f>IFERROR(__xludf.DUMMYFUNCTION("""COMPUTED_VALUE"""),147.79)</f>
        <v>147.79</v>
      </c>
      <c r="E9630" s="2">
        <f>IFERROR(__xludf.DUMMYFUNCTION("""COMPUTED_VALUE"""),151.22)</f>
        <v>151.22</v>
      </c>
      <c r="F9630" s="2">
        <f>IFERROR(__xludf.DUMMYFUNCTION("""COMPUTED_VALUE"""),4607677.0)</f>
        <v>4607677</v>
      </c>
    </row>
    <row r="9631">
      <c r="A9631" s="3">
        <f>IFERROR(__xludf.DUMMYFUNCTION("""COMPUTED_VALUE"""),43167.66666666667)</f>
        <v>43167.66667</v>
      </c>
      <c r="B9631" s="2">
        <f>IFERROR(__xludf.DUMMYFUNCTION("""COMPUTED_VALUE"""),151.87)</f>
        <v>151.87</v>
      </c>
      <c r="C9631" s="2">
        <f>IFERROR(__xludf.DUMMYFUNCTION("""COMPUTED_VALUE"""),152.42)</f>
        <v>152.42</v>
      </c>
      <c r="D9631" s="2">
        <f>IFERROR(__xludf.DUMMYFUNCTION("""COMPUTED_VALUE"""),148.12)</f>
        <v>148.12</v>
      </c>
      <c r="E9631" s="2">
        <f>IFERROR(__xludf.DUMMYFUNCTION("""COMPUTED_VALUE"""),149.21)</f>
        <v>149.21</v>
      </c>
      <c r="F9631" s="2">
        <f>IFERROR(__xludf.DUMMYFUNCTION("""COMPUTED_VALUE"""),6455612.0)</f>
        <v>6455612</v>
      </c>
    </row>
    <row r="9632">
      <c r="A9632" s="3">
        <f>IFERROR(__xludf.DUMMYFUNCTION("""COMPUTED_VALUE"""),43168.66666666667)</f>
        <v>43168.66667</v>
      </c>
      <c r="B9632" s="2">
        <f>IFERROR(__xludf.DUMMYFUNCTION("""COMPUTED_VALUE"""),150.41)</f>
        <v>150.41</v>
      </c>
      <c r="C9632" s="2">
        <f>IFERROR(__xludf.DUMMYFUNCTION("""COMPUTED_VALUE"""),152.43)</f>
        <v>152.43</v>
      </c>
      <c r="D9632" s="2">
        <f>IFERROR(__xludf.DUMMYFUNCTION("""COMPUTED_VALUE"""),150.25)</f>
        <v>150.25</v>
      </c>
      <c r="E9632" s="2">
        <f>IFERROR(__xludf.DUMMYFUNCTION("""COMPUTED_VALUE"""),152.17)</f>
        <v>152.17</v>
      </c>
      <c r="F9632" s="2">
        <f>IFERROR(__xludf.DUMMYFUNCTION("""COMPUTED_VALUE"""),5022238.0)</f>
        <v>5022238</v>
      </c>
    </row>
    <row r="9633">
      <c r="A9633" s="3">
        <f>IFERROR(__xludf.DUMMYFUNCTION("""COMPUTED_VALUE"""),43171.66666666667)</f>
        <v>43171.66667</v>
      </c>
      <c r="B9633" s="2">
        <f>IFERROR(__xludf.DUMMYFUNCTION("""COMPUTED_VALUE"""),152.48)</f>
        <v>152.48</v>
      </c>
      <c r="C9633" s="2">
        <f>IFERROR(__xludf.DUMMYFUNCTION("""COMPUTED_VALUE"""),153.8)</f>
        <v>153.8</v>
      </c>
      <c r="D9633" s="2">
        <f>IFERROR(__xludf.DUMMYFUNCTION("""COMPUTED_VALUE"""),151.75)</f>
        <v>151.75</v>
      </c>
      <c r="E9633" s="2">
        <f>IFERROR(__xludf.DUMMYFUNCTION("""COMPUTED_VALUE"""),153.07)</f>
        <v>153.07</v>
      </c>
      <c r="F9633" s="2">
        <f>IFERROR(__xludf.DUMMYFUNCTION("""COMPUTED_VALUE"""),5063497.0)</f>
        <v>5063497</v>
      </c>
    </row>
    <row r="9634">
      <c r="A9634" s="3">
        <f>IFERROR(__xludf.DUMMYFUNCTION("""COMPUTED_VALUE"""),43172.66666666667)</f>
        <v>43172.66667</v>
      </c>
      <c r="B9634" s="2">
        <f>IFERROR(__xludf.DUMMYFUNCTION("""COMPUTED_VALUE"""),152.91)</f>
        <v>152.91</v>
      </c>
      <c r="C9634" s="2">
        <f>IFERROR(__xludf.DUMMYFUNCTION("""COMPUTED_VALUE"""),154.84)</f>
        <v>154.84</v>
      </c>
      <c r="D9634" s="2">
        <f>IFERROR(__xludf.DUMMYFUNCTION("""COMPUTED_VALUE"""),151.69)</f>
        <v>151.69</v>
      </c>
      <c r="E9634" s="2">
        <f>IFERROR(__xludf.DUMMYFUNCTION("""COMPUTED_VALUE"""),152.18)</f>
        <v>152.18</v>
      </c>
      <c r="F9634" s="2">
        <f>IFERROR(__xludf.DUMMYFUNCTION("""COMPUTED_VALUE"""),4185590.0)</f>
        <v>4185590</v>
      </c>
    </row>
    <row r="9635">
      <c r="A9635" s="3">
        <f>IFERROR(__xludf.DUMMYFUNCTION("""COMPUTED_VALUE"""),43173.66666666667)</f>
        <v>43173.66667</v>
      </c>
      <c r="B9635" s="2">
        <f>IFERROR(__xludf.DUMMYFUNCTION("""COMPUTED_VALUE"""),152.99)</f>
        <v>152.99</v>
      </c>
      <c r="C9635" s="2">
        <f>IFERROR(__xludf.DUMMYFUNCTION("""COMPUTED_VALUE"""),153.48)</f>
        <v>153.48</v>
      </c>
      <c r="D9635" s="2">
        <f>IFERROR(__xludf.DUMMYFUNCTION("""COMPUTED_VALUE"""),150.67)</f>
        <v>150.67</v>
      </c>
      <c r="E9635" s="2">
        <f>IFERROR(__xludf.DUMMYFUNCTION("""COMPUTED_VALUE"""),151.03)</f>
        <v>151.03</v>
      </c>
      <c r="F9635" s="2">
        <f>IFERROR(__xludf.DUMMYFUNCTION("""COMPUTED_VALUE"""),3631825.0)</f>
        <v>3631825</v>
      </c>
    </row>
    <row r="9636">
      <c r="A9636" s="3">
        <f>IFERROR(__xludf.DUMMYFUNCTION("""COMPUTED_VALUE"""),43174.66666666667)</f>
        <v>43174.66667</v>
      </c>
      <c r="B9636" s="2">
        <f>IFERROR(__xludf.DUMMYFUNCTION("""COMPUTED_VALUE"""),151.59)</f>
        <v>151.59</v>
      </c>
      <c r="C9636" s="2">
        <f>IFERROR(__xludf.DUMMYFUNCTION("""COMPUTED_VALUE"""),154.02)</f>
        <v>154.02</v>
      </c>
      <c r="D9636" s="2">
        <f>IFERROR(__xludf.DUMMYFUNCTION("""COMPUTED_VALUE"""),151.41)</f>
        <v>151.41</v>
      </c>
      <c r="E9636" s="2">
        <f>IFERROR(__xludf.DUMMYFUNCTION("""COMPUTED_VALUE"""),152.45)</f>
        <v>152.45</v>
      </c>
      <c r="F9636" s="2">
        <f>IFERROR(__xludf.DUMMYFUNCTION("""COMPUTED_VALUE"""),3870595.0)</f>
        <v>3870595</v>
      </c>
    </row>
    <row r="9637">
      <c r="A9637" s="3">
        <f>IFERROR(__xludf.DUMMYFUNCTION("""COMPUTED_VALUE"""),43175.66666666667)</f>
        <v>43175.66667</v>
      </c>
      <c r="B9637" s="2">
        <f>IFERROR(__xludf.DUMMYFUNCTION("""COMPUTED_VALUE"""),152.88)</f>
        <v>152.88</v>
      </c>
      <c r="C9637" s="2">
        <f>IFERROR(__xludf.DUMMYFUNCTION("""COMPUTED_VALUE"""),154.72)</f>
        <v>154.72</v>
      </c>
      <c r="D9637" s="2">
        <f>IFERROR(__xludf.DUMMYFUNCTION("""COMPUTED_VALUE"""),152.48)</f>
        <v>152.48</v>
      </c>
      <c r="E9637" s="2">
        <f>IFERROR(__xludf.DUMMYFUNCTION("""COMPUTED_VALUE"""),153.07)</f>
        <v>153.07</v>
      </c>
      <c r="F9637" s="2">
        <f>IFERROR(__xludf.DUMMYFUNCTION("""COMPUTED_VALUE"""),9262656.0)</f>
        <v>9262656</v>
      </c>
    </row>
    <row r="9638">
      <c r="A9638" s="3">
        <f>IFERROR(__xludf.DUMMYFUNCTION("""COMPUTED_VALUE"""),43178.66666666667)</f>
        <v>43178.66667</v>
      </c>
      <c r="B9638" s="2">
        <f>IFERROR(__xludf.DUMMYFUNCTION("""COMPUTED_VALUE"""),152.55)</f>
        <v>152.55</v>
      </c>
      <c r="C9638" s="2">
        <f>IFERROR(__xludf.DUMMYFUNCTION("""COMPUTED_VALUE"""),152.72)</f>
        <v>152.72</v>
      </c>
      <c r="D9638" s="2">
        <f>IFERROR(__xludf.DUMMYFUNCTION("""COMPUTED_VALUE"""),149.44)</f>
        <v>149.44</v>
      </c>
      <c r="E9638" s="2">
        <f>IFERROR(__xludf.DUMMYFUNCTION("""COMPUTED_VALUE"""),150.3)</f>
        <v>150.3</v>
      </c>
      <c r="F9638" s="2">
        <f>IFERROR(__xludf.DUMMYFUNCTION("""COMPUTED_VALUE"""),5481983.0)</f>
        <v>5481983</v>
      </c>
    </row>
    <row r="9639">
      <c r="A9639" s="3">
        <f>IFERROR(__xludf.DUMMYFUNCTION("""COMPUTED_VALUE"""),43179.66666666667)</f>
        <v>43179.66667</v>
      </c>
      <c r="B9639" s="2">
        <f>IFERROR(__xludf.DUMMYFUNCTION("""COMPUTED_VALUE"""),150.46)</f>
        <v>150.46</v>
      </c>
      <c r="C9639" s="2">
        <f>IFERROR(__xludf.DUMMYFUNCTION("""COMPUTED_VALUE"""),150.85)</f>
        <v>150.85</v>
      </c>
      <c r="D9639" s="2">
        <f>IFERROR(__xludf.DUMMYFUNCTION("""COMPUTED_VALUE"""),148.33)</f>
        <v>148.33</v>
      </c>
      <c r="E9639" s="2">
        <f>IFERROR(__xludf.DUMMYFUNCTION("""COMPUTED_VALUE"""),149.2)</f>
        <v>149.2</v>
      </c>
      <c r="F9639" s="2">
        <f>IFERROR(__xludf.DUMMYFUNCTION("""COMPUTED_VALUE"""),4336738.0)</f>
        <v>4336738</v>
      </c>
    </row>
    <row r="9640">
      <c r="A9640" s="3">
        <f>IFERROR(__xludf.DUMMYFUNCTION("""COMPUTED_VALUE"""),43180.66666666667)</f>
        <v>43180.66667</v>
      </c>
      <c r="B9640" s="2">
        <f>IFERROR(__xludf.DUMMYFUNCTION("""COMPUTED_VALUE"""),149.55)</f>
        <v>149.55</v>
      </c>
      <c r="C9640" s="2">
        <f>IFERROR(__xludf.DUMMYFUNCTION("""COMPUTED_VALUE"""),151.11)</f>
        <v>151.11</v>
      </c>
      <c r="D9640" s="2">
        <f>IFERROR(__xludf.DUMMYFUNCTION("""COMPUTED_VALUE"""),148.93)</f>
        <v>148.93</v>
      </c>
      <c r="E9640" s="2">
        <f>IFERROR(__xludf.DUMMYFUNCTION("""COMPUTED_VALUE"""),149.66)</f>
        <v>149.66</v>
      </c>
      <c r="F9640" s="2">
        <f>IFERROR(__xludf.DUMMYFUNCTION("""COMPUTED_VALUE"""),3482184.0)</f>
        <v>3482184</v>
      </c>
    </row>
    <row r="9641">
      <c r="A9641" s="3">
        <f>IFERROR(__xludf.DUMMYFUNCTION("""COMPUTED_VALUE"""),43181.66666666667)</f>
        <v>43181.66667</v>
      </c>
      <c r="B9641" s="2">
        <f>IFERROR(__xludf.DUMMYFUNCTION("""COMPUTED_VALUE"""),148.05)</f>
        <v>148.05</v>
      </c>
      <c r="C9641" s="2">
        <f>IFERROR(__xludf.DUMMYFUNCTION("""COMPUTED_VALUE"""),148.29)</f>
        <v>148.29</v>
      </c>
      <c r="D9641" s="2">
        <f>IFERROR(__xludf.DUMMYFUNCTION("""COMPUTED_VALUE"""),145.18)</f>
        <v>145.18</v>
      </c>
      <c r="E9641" s="2">
        <f>IFERROR(__xludf.DUMMYFUNCTION("""COMPUTED_VALUE"""),145.27)</f>
        <v>145.27</v>
      </c>
      <c r="F9641" s="2">
        <f>IFERROR(__xludf.DUMMYFUNCTION("""COMPUTED_VALUE"""),4746349.0)</f>
        <v>4746349</v>
      </c>
    </row>
    <row r="9642">
      <c r="A9642" s="3">
        <f>IFERROR(__xludf.DUMMYFUNCTION("""COMPUTED_VALUE"""),43182.66666666667)</f>
        <v>43182.66667</v>
      </c>
      <c r="B9642" s="2">
        <f>IFERROR(__xludf.DUMMYFUNCTION("""COMPUTED_VALUE"""),145.42)</f>
        <v>145.42</v>
      </c>
      <c r="C9642" s="2">
        <f>IFERROR(__xludf.DUMMYFUNCTION("""COMPUTED_VALUE"""),145.74)</f>
        <v>145.74</v>
      </c>
      <c r="D9642" s="2">
        <f>IFERROR(__xludf.DUMMYFUNCTION("""COMPUTED_VALUE"""),141.88)</f>
        <v>141.88</v>
      </c>
      <c r="E9642" s="2">
        <f>IFERROR(__xludf.DUMMYFUNCTION("""COMPUTED_VALUE"""),142.21)</f>
        <v>142.21</v>
      </c>
      <c r="F9642" s="2">
        <f>IFERROR(__xludf.DUMMYFUNCTION("""COMPUTED_VALUE"""),4440883.0)</f>
        <v>4440883</v>
      </c>
    </row>
    <row r="9643">
      <c r="A9643" s="3">
        <f>IFERROR(__xludf.DUMMYFUNCTION("""COMPUTED_VALUE"""),43185.66666666667)</f>
        <v>43185.66667</v>
      </c>
      <c r="B9643" s="2">
        <f>IFERROR(__xludf.DUMMYFUNCTION("""COMPUTED_VALUE"""),144.43)</f>
        <v>144.43</v>
      </c>
      <c r="C9643" s="2">
        <f>IFERROR(__xludf.DUMMYFUNCTION("""COMPUTED_VALUE"""),146.77)</f>
        <v>146.77</v>
      </c>
      <c r="D9643" s="2">
        <f>IFERROR(__xludf.DUMMYFUNCTION("""COMPUTED_VALUE"""),143.54)</f>
        <v>143.54</v>
      </c>
      <c r="E9643" s="2">
        <f>IFERROR(__xludf.DUMMYFUNCTION("""COMPUTED_VALUE"""),146.49)</f>
        <v>146.49</v>
      </c>
      <c r="F9643" s="2">
        <f>IFERROR(__xludf.DUMMYFUNCTION("""COMPUTED_VALUE"""),4103904.0)</f>
        <v>4103904</v>
      </c>
    </row>
    <row r="9644">
      <c r="A9644" s="3">
        <f>IFERROR(__xludf.DUMMYFUNCTION("""COMPUTED_VALUE"""),43186.66666666667)</f>
        <v>43186.66667</v>
      </c>
      <c r="B9644" s="2">
        <f>IFERROR(__xludf.DUMMYFUNCTION("""COMPUTED_VALUE"""),147.05)</f>
        <v>147.05</v>
      </c>
      <c r="C9644" s="2">
        <f>IFERROR(__xludf.DUMMYFUNCTION("""COMPUTED_VALUE"""),147.93)</f>
        <v>147.93</v>
      </c>
      <c r="D9644" s="2">
        <f>IFERROR(__xludf.DUMMYFUNCTION("""COMPUTED_VALUE"""),144.38)</f>
        <v>144.38</v>
      </c>
      <c r="E9644" s="2">
        <f>IFERROR(__xludf.DUMMYFUNCTION("""COMPUTED_VALUE"""),145.1)</f>
        <v>145.1</v>
      </c>
      <c r="F9644" s="2">
        <f>IFERROR(__xludf.DUMMYFUNCTION("""COMPUTED_VALUE"""),3883745.0)</f>
        <v>3883745</v>
      </c>
    </row>
    <row r="9645">
      <c r="A9645" s="3">
        <f>IFERROR(__xludf.DUMMYFUNCTION("""COMPUTED_VALUE"""),43187.66666666667)</f>
        <v>43187.66667</v>
      </c>
      <c r="B9645" s="2">
        <f>IFERROR(__xludf.DUMMYFUNCTION("""COMPUTED_VALUE"""),145.25)</f>
        <v>145.25</v>
      </c>
      <c r="C9645" s="2">
        <f>IFERROR(__xludf.DUMMYFUNCTION("""COMPUTED_VALUE"""),146.96)</f>
        <v>146.96</v>
      </c>
      <c r="D9645" s="2">
        <f>IFERROR(__xludf.DUMMYFUNCTION("""COMPUTED_VALUE"""),145.08)</f>
        <v>145.08</v>
      </c>
      <c r="E9645" s="2">
        <f>IFERROR(__xludf.DUMMYFUNCTION("""COMPUTED_VALUE"""),145.68)</f>
        <v>145.68</v>
      </c>
      <c r="F9645" s="2">
        <f>IFERROR(__xludf.DUMMYFUNCTION("""COMPUTED_VALUE"""),3664826.0)</f>
        <v>3664826</v>
      </c>
    </row>
    <row r="9646">
      <c r="A9646" s="3">
        <f>IFERROR(__xludf.DUMMYFUNCTION("""COMPUTED_VALUE"""),43188.66666666667)</f>
        <v>43188.66667</v>
      </c>
      <c r="B9646" s="2">
        <f>IFERROR(__xludf.DUMMYFUNCTION("""COMPUTED_VALUE"""),146.21)</f>
        <v>146.21</v>
      </c>
      <c r="C9646" s="2">
        <f>IFERROR(__xludf.DUMMYFUNCTION("""COMPUTED_VALUE"""),146.99)</f>
        <v>146.99</v>
      </c>
      <c r="D9646" s="2">
        <f>IFERROR(__xludf.DUMMYFUNCTION("""COMPUTED_VALUE"""),144.31)</f>
        <v>144.31</v>
      </c>
      <c r="E9646" s="2">
        <f>IFERROR(__xludf.DUMMYFUNCTION("""COMPUTED_VALUE"""),146.55)</f>
        <v>146.55</v>
      </c>
      <c r="F9646" s="2">
        <f>IFERROR(__xludf.DUMMYFUNCTION("""COMPUTED_VALUE"""),3419959.0)</f>
        <v>3419959</v>
      </c>
    </row>
    <row r="9647">
      <c r="A9647" s="3">
        <f>IFERROR(__xludf.DUMMYFUNCTION("""COMPUTED_VALUE"""),43192.66666666667)</f>
        <v>43192.66667</v>
      </c>
      <c r="B9647" s="2">
        <f>IFERROR(__xludf.DUMMYFUNCTION("""COMPUTED_VALUE"""),146.46)</f>
        <v>146.46</v>
      </c>
      <c r="C9647" s="2">
        <f>IFERROR(__xludf.DUMMYFUNCTION("""COMPUTED_VALUE"""),146.5)</f>
        <v>146.5</v>
      </c>
      <c r="D9647" s="2">
        <f>IFERROR(__xludf.DUMMYFUNCTION("""COMPUTED_VALUE"""),141.77)</f>
        <v>141.77</v>
      </c>
      <c r="E9647" s="2">
        <f>IFERROR(__xludf.DUMMYFUNCTION("""COMPUTED_VALUE"""),143.34)</f>
        <v>143.34</v>
      </c>
      <c r="F9647" s="2">
        <f>IFERROR(__xludf.DUMMYFUNCTION("""COMPUTED_VALUE"""),5150435.0)</f>
        <v>5150435</v>
      </c>
    </row>
    <row r="9648">
      <c r="A9648" s="3">
        <f>IFERROR(__xludf.DUMMYFUNCTION("""COMPUTED_VALUE"""),43193.66666666667)</f>
        <v>43193.66667</v>
      </c>
      <c r="B9648" s="2">
        <f>IFERROR(__xludf.DUMMYFUNCTION("""COMPUTED_VALUE"""),144.04)</f>
        <v>144.04</v>
      </c>
      <c r="C9648" s="2">
        <f>IFERROR(__xludf.DUMMYFUNCTION("""COMPUTED_VALUE"""),144.23)</f>
        <v>144.23</v>
      </c>
      <c r="D9648" s="2">
        <f>IFERROR(__xludf.DUMMYFUNCTION("""COMPUTED_VALUE"""),141.65)</f>
        <v>141.65</v>
      </c>
      <c r="E9648" s="2">
        <f>IFERROR(__xludf.DUMMYFUNCTION("""COMPUTED_VALUE"""),143.13)</f>
        <v>143.13</v>
      </c>
      <c r="F9648" s="2">
        <f>IFERROR(__xludf.DUMMYFUNCTION("""COMPUTED_VALUE"""),4135696.0)</f>
        <v>4135696</v>
      </c>
    </row>
    <row r="9649">
      <c r="A9649" s="3">
        <f>IFERROR(__xludf.DUMMYFUNCTION("""COMPUTED_VALUE"""),43194.66666666667)</f>
        <v>43194.66667</v>
      </c>
      <c r="B9649" s="2">
        <f>IFERROR(__xludf.DUMMYFUNCTION("""COMPUTED_VALUE"""),141.26)</f>
        <v>141.26</v>
      </c>
      <c r="C9649" s="2">
        <f>IFERROR(__xludf.DUMMYFUNCTION("""COMPUTED_VALUE"""),147.54)</f>
        <v>147.54</v>
      </c>
      <c r="D9649" s="2">
        <f>IFERROR(__xludf.DUMMYFUNCTION("""COMPUTED_VALUE"""),140.84)</f>
        <v>140.84</v>
      </c>
      <c r="E9649" s="2">
        <f>IFERROR(__xludf.DUMMYFUNCTION("""COMPUTED_VALUE"""),147.21)</f>
        <v>147.21</v>
      </c>
      <c r="F9649" s="2">
        <f>IFERROR(__xludf.DUMMYFUNCTION("""COMPUTED_VALUE"""),4805261.0)</f>
        <v>4805261</v>
      </c>
    </row>
    <row r="9650">
      <c r="A9650" s="3">
        <f>IFERROR(__xludf.DUMMYFUNCTION("""COMPUTED_VALUE"""),43195.66666666667)</f>
        <v>43195.66667</v>
      </c>
      <c r="B9650" s="2">
        <f>IFERROR(__xludf.DUMMYFUNCTION("""COMPUTED_VALUE"""),147.52)</f>
        <v>147.52</v>
      </c>
      <c r="C9650" s="2">
        <f>IFERROR(__xludf.DUMMYFUNCTION("""COMPUTED_VALUE"""),147.97)</f>
        <v>147.97</v>
      </c>
      <c r="D9650" s="2">
        <f>IFERROR(__xludf.DUMMYFUNCTION("""COMPUTED_VALUE"""),146.46)</f>
        <v>146.46</v>
      </c>
      <c r="E9650" s="2">
        <f>IFERROR(__xludf.DUMMYFUNCTION("""COMPUTED_VALUE"""),147.12)</f>
        <v>147.12</v>
      </c>
      <c r="F9650" s="2">
        <f>IFERROR(__xludf.DUMMYFUNCTION("""COMPUTED_VALUE"""),3185388.0)</f>
        <v>3185388</v>
      </c>
    </row>
    <row r="9651">
      <c r="A9651" s="3">
        <f>IFERROR(__xludf.DUMMYFUNCTION("""COMPUTED_VALUE"""),43196.66666666667)</f>
        <v>43196.66667</v>
      </c>
      <c r="B9651" s="2">
        <f>IFERROR(__xludf.DUMMYFUNCTION("""COMPUTED_VALUE"""),146.58)</f>
        <v>146.58</v>
      </c>
      <c r="C9651" s="2">
        <f>IFERROR(__xludf.DUMMYFUNCTION("""COMPUTED_VALUE"""),147.05)</f>
        <v>147.05</v>
      </c>
      <c r="D9651" s="2">
        <f>IFERROR(__xludf.DUMMYFUNCTION("""COMPUTED_VALUE"""),142.84)</f>
        <v>142.84</v>
      </c>
      <c r="E9651" s="2">
        <f>IFERROR(__xludf.DUMMYFUNCTION("""COMPUTED_VALUE"""),143.82)</f>
        <v>143.82</v>
      </c>
      <c r="F9651" s="2">
        <f>IFERROR(__xludf.DUMMYFUNCTION("""COMPUTED_VALUE"""),3672919.0)</f>
        <v>3672919</v>
      </c>
    </row>
    <row r="9652">
      <c r="A9652" s="3">
        <f>IFERROR(__xludf.DUMMYFUNCTION("""COMPUTED_VALUE"""),43199.66666666667)</f>
        <v>43199.66667</v>
      </c>
      <c r="B9652" s="2">
        <f>IFERROR(__xludf.DUMMYFUNCTION("""COMPUTED_VALUE"""),144.99)</f>
        <v>144.99</v>
      </c>
      <c r="C9652" s="2">
        <f>IFERROR(__xludf.DUMMYFUNCTION("""COMPUTED_VALUE"""),147.73)</f>
        <v>147.73</v>
      </c>
      <c r="D9652" s="2">
        <f>IFERROR(__xludf.DUMMYFUNCTION("""COMPUTED_VALUE"""),144.94)</f>
        <v>144.94</v>
      </c>
      <c r="E9652" s="2">
        <f>IFERROR(__xludf.DUMMYFUNCTION("""COMPUTED_VALUE"""),145.84)</f>
        <v>145.84</v>
      </c>
      <c r="F9652" s="2">
        <f>IFERROR(__xludf.DUMMYFUNCTION("""COMPUTED_VALUE"""),4413178.0)</f>
        <v>4413178</v>
      </c>
    </row>
    <row r="9653">
      <c r="A9653" s="3">
        <f>IFERROR(__xludf.DUMMYFUNCTION("""COMPUTED_VALUE"""),43200.66666666667)</f>
        <v>43200.66667</v>
      </c>
      <c r="B9653" s="2">
        <f>IFERROR(__xludf.DUMMYFUNCTION("""COMPUTED_VALUE"""),148.08)</f>
        <v>148.08</v>
      </c>
      <c r="C9653" s="2">
        <f>IFERROR(__xludf.DUMMYFUNCTION("""COMPUTED_VALUE"""),149.58)</f>
        <v>149.58</v>
      </c>
      <c r="D9653" s="2">
        <f>IFERROR(__xludf.DUMMYFUNCTION("""COMPUTED_VALUE"""),147.81)</f>
        <v>147.81</v>
      </c>
      <c r="E9653" s="2">
        <f>IFERROR(__xludf.DUMMYFUNCTION("""COMPUTED_VALUE"""),148.42)</f>
        <v>148.42</v>
      </c>
      <c r="F9653" s="2">
        <f>IFERROR(__xludf.DUMMYFUNCTION("""COMPUTED_VALUE"""),3955952.0)</f>
        <v>3955952</v>
      </c>
    </row>
    <row r="9654">
      <c r="A9654" s="3">
        <f>IFERROR(__xludf.DUMMYFUNCTION("""COMPUTED_VALUE"""),43201.66666666667)</f>
        <v>43201.66667</v>
      </c>
      <c r="B9654" s="2">
        <f>IFERROR(__xludf.DUMMYFUNCTION("""COMPUTED_VALUE"""),147.45)</f>
        <v>147.45</v>
      </c>
      <c r="C9654" s="2">
        <f>IFERROR(__xludf.DUMMYFUNCTION("""COMPUTED_VALUE"""),148.8)</f>
        <v>148.8</v>
      </c>
      <c r="D9654" s="2">
        <f>IFERROR(__xludf.DUMMYFUNCTION("""COMPUTED_VALUE"""),146.98)</f>
        <v>146.98</v>
      </c>
      <c r="E9654" s="2">
        <f>IFERROR(__xludf.DUMMYFUNCTION("""COMPUTED_VALUE"""),148.39)</f>
        <v>148.39</v>
      </c>
      <c r="F9654" s="2">
        <f>IFERROR(__xludf.DUMMYFUNCTION("""COMPUTED_VALUE"""),3306539.0)</f>
        <v>3306539</v>
      </c>
    </row>
    <row r="9655">
      <c r="A9655" s="3">
        <f>IFERROR(__xludf.DUMMYFUNCTION("""COMPUTED_VALUE"""),43202.66666666667)</f>
        <v>43202.66667</v>
      </c>
      <c r="B9655" s="2">
        <f>IFERROR(__xludf.DUMMYFUNCTION("""COMPUTED_VALUE"""),149.72)</f>
        <v>149.72</v>
      </c>
      <c r="C9655" s="2">
        <f>IFERROR(__xludf.DUMMYFUNCTION("""COMPUTED_VALUE"""),151.85)</f>
        <v>151.85</v>
      </c>
      <c r="D9655" s="2">
        <f>IFERROR(__xludf.DUMMYFUNCTION("""COMPUTED_VALUE"""),149.65)</f>
        <v>149.65</v>
      </c>
      <c r="E9655" s="2">
        <f>IFERROR(__xludf.DUMMYFUNCTION("""COMPUTED_VALUE"""),150.98)</f>
        <v>150.98</v>
      </c>
      <c r="F9655" s="2">
        <f>IFERROR(__xludf.DUMMYFUNCTION("""COMPUTED_VALUE"""),5639444.0)</f>
        <v>5639444</v>
      </c>
    </row>
    <row r="9656">
      <c r="A9656" s="3">
        <f>IFERROR(__xludf.DUMMYFUNCTION("""COMPUTED_VALUE"""),43203.66666666667)</f>
        <v>43203.66667</v>
      </c>
      <c r="B9656" s="2">
        <f>IFERROR(__xludf.DUMMYFUNCTION("""COMPUTED_VALUE"""),151.56)</f>
        <v>151.56</v>
      </c>
      <c r="C9656" s="2">
        <f>IFERROR(__xludf.DUMMYFUNCTION("""COMPUTED_VALUE"""),152.08)</f>
        <v>152.08</v>
      </c>
      <c r="D9656" s="2">
        <f>IFERROR(__xludf.DUMMYFUNCTION("""COMPUTED_VALUE"""),148.92)</f>
        <v>148.92</v>
      </c>
      <c r="E9656" s="2">
        <f>IFERROR(__xludf.DUMMYFUNCTION("""COMPUTED_VALUE"""),149.68)</f>
        <v>149.68</v>
      </c>
      <c r="F9656" s="2">
        <f>IFERROR(__xludf.DUMMYFUNCTION("""COMPUTED_VALUE"""),4057058.0)</f>
        <v>4057058</v>
      </c>
    </row>
    <row r="9657">
      <c r="A9657" s="3">
        <f>IFERROR(__xludf.DUMMYFUNCTION("""COMPUTED_VALUE"""),43206.66666666667)</f>
        <v>43206.66667</v>
      </c>
      <c r="B9657" s="2">
        <f>IFERROR(__xludf.DUMMYFUNCTION("""COMPUTED_VALUE"""),150.91)</f>
        <v>150.91</v>
      </c>
      <c r="C9657" s="2">
        <f>IFERROR(__xludf.DUMMYFUNCTION("""COMPUTED_VALUE"""),152.0)</f>
        <v>152</v>
      </c>
      <c r="D9657" s="2">
        <f>IFERROR(__xludf.DUMMYFUNCTION("""COMPUTED_VALUE"""),150.6)</f>
        <v>150.6</v>
      </c>
      <c r="E9657" s="2">
        <f>IFERROR(__xludf.DUMMYFUNCTION("""COMPUTED_VALUE"""),150.81)</f>
        <v>150.81</v>
      </c>
      <c r="F9657" s="2">
        <f>IFERROR(__xludf.DUMMYFUNCTION("""COMPUTED_VALUE"""),4186755.0)</f>
        <v>4186755</v>
      </c>
    </row>
    <row r="9658">
      <c r="A9658" s="3">
        <f>IFERROR(__xludf.DUMMYFUNCTION("""COMPUTED_VALUE"""),43207.66666666667)</f>
        <v>43207.66667</v>
      </c>
      <c r="B9658" s="2">
        <f>IFERROR(__xludf.DUMMYFUNCTION("""COMPUTED_VALUE"""),151.7)</f>
        <v>151.7</v>
      </c>
      <c r="C9658" s="2">
        <f>IFERROR(__xludf.DUMMYFUNCTION("""COMPUTED_VALUE"""),154.74)</f>
        <v>154.74</v>
      </c>
      <c r="D9658" s="2">
        <f>IFERROR(__xludf.DUMMYFUNCTION("""COMPUTED_VALUE"""),151.4)</f>
        <v>151.4</v>
      </c>
      <c r="E9658" s="2">
        <f>IFERROR(__xludf.DUMMYFUNCTION("""COMPUTED_VALUE"""),153.7)</f>
        <v>153.7</v>
      </c>
      <c r="F9658" s="2">
        <f>IFERROR(__xludf.DUMMYFUNCTION("""COMPUTED_VALUE"""),1.0207534E7)</f>
        <v>10207534</v>
      </c>
    </row>
    <row r="9659">
      <c r="A9659" s="3">
        <f>IFERROR(__xludf.DUMMYFUNCTION("""COMPUTED_VALUE"""),43208.66666666667)</f>
        <v>43208.66667</v>
      </c>
      <c r="B9659" s="2">
        <f>IFERROR(__xludf.DUMMYFUNCTION("""COMPUTED_VALUE"""),145.32)</f>
        <v>145.32</v>
      </c>
      <c r="C9659" s="2">
        <f>IFERROR(__xludf.DUMMYFUNCTION("""COMPUTED_VALUE"""),145.79)</f>
        <v>145.79</v>
      </c>
      <c r="D9659" s="2">
        <f>IFERROR(__xludf.DUMMYFUNCTION("""COMPUTED_VALUE"""),141.61)</f>
        <v>141.61</v>
      </c>
      <c r="E9659" s="2">
        <f>IFERROR(__xludf.DUMMYFUNCTION("""COMPUTED_VALUE"""),142.12)</f>
        <v>142.12</v>
      </c>
      <c r="F9659" s="2">
        <f>IFERROR(__xludf.DUMMYFUNCTION("""COMPUTED_VALUE"""),2.0381695E7)</f>
        <v>20381695</v>
      </c>
    </row>
    <row r="9660">
      <c r="A9660" s="3">
        <f>IFERROR(__xludf.DUMMYFUNCTION("""COMPUTED_VALUE"""),43209.66666666667)</f>
        <v>43209.66667</v>
      </c>
      <c r="B9660" s="2">
        <f>IFERROR(__xludf.DUMMYFUNCTION("""COMPUTED_VALUE"""),142.5)</f>
        <v>142.5</v>
      </c>
      <c r="C9660" s="2">
        <f>IFERROR(__xludf.DUMMYFUNCTION("""COMPUTED_VALUE"""),142.52)</f>
        <v>142.52</v>
      </c>
      <c r="D9660" s="2">
        <f>IFERROR(__xludf.DUMMYFUNCTION("""COMPUTED_VALUE"""),140.05)</f>
        <v>140.05</v>
      </c>
      <c r="E9660" s="2">
        <f>IFERROR(__xludf.DUMMYFUNCTION("""COMPUTED_VALUE"""),141.08)</f>
        <v>141.08</v>
      </c>
      <c r="F9660" s="2">
        <f>IFERROR(__xludf.DUMMYFUNCTION("""COMPUTED_VALUE"""),8086056.0)</f>
        <v>8086056</v>
      </c>
    </row>
    <row r="9661">
      <c r="A9661" s="3">
        <f>IFERROR(__xludf.DUMMYFUNCTION("""COMPUTED_VALUE"""),43210.66666666667)</f>
        <v>43210.66667</v>
      </c>
      <c r="B9661" s="2">
        <f>IFERROR(__xludf.DUMMYFUNCTION("""COMPUTED_VALUE"""),141.27)</f>
        <v>141.27</v>
      </c>
      <c r="C9661" s="2">
        <f>IFERROR(__xludf.DUMMYFUNCTION("""COMPUTED_VALUE"""),141.34)</f>
        <v>141.34</v>
      </c>
      <c r="D9661" s="2">
        <f>IFERROR(__xludf.DUMMYFUNCTION("""COMPUTED_VALUE"""),138.03)</f>
        <v>138.03</v>
      </c>
      <c r="E9661" s="2">
        <f>IFERROR(__xludf.DUMMYFUNCTION("""COMPUTED_VALUE"""),138.4)</f>
        <v>138.4</v>
      </c>
      <c r="F9661" s="2">
        <f>IFERROR(__xludf.DUMMYFUNCTION("""COMPUTED_VALUE"""),8265643.0)</f>
        <v>8265643</v>
      </c>
    </row>
    <row r="9662">
      <c r="A9662" s="3">
        <f>IFERROR(__xludf.DUMMYFUNCTION("""COMPUTED_VALUE"""),43213.66666666667)</f>
        <v>43213.66667</v>
      </c>
      <c r="B9662" s="2">
        <f>IFERROR(__xludf.DUMMYFUNCTION("""COMPUTED_VALUE"""),138.53)</f>
        <v>138.53</v>
      </c>
      <c r="C9662" s="2">
        <f>IFERROR(__xludf.DUMMYFUNCTION("""COMPUTED_VALUE"""),139.42)</f>
        <v>139.42</v>
      </c>
      <c r="D9662" s="2">
        <f>IFERROR(__xludf.DUMMYFUNCTION("""COMPUTED_VALUE"""),137.86)</f>
        <v>137.86</v>
      </c>
      <c r="E9662" s="2">
        <f>IFERROR(__xludf.DUMMYFUNCTION("""COMPUTED_VALUE"""),139.32)</f>
        <v>139.32</v>
      </c>
      <c r="F9662" s="2">
        <f>IFERROR(__xludf.DUMMYFUNCTION("""COMPUTED_VALUE"""),5315625.0)</f>
        <v>5315625</v>
      </c>
    </row>
    <row r="9663">
      <c r="A9663" s="3">
        <f>IFERROR(__xludf.DUMMYFUNCTION("""COMPUTED_VALUE"""),43214.66666666667)</f>
        <v>43214.66667</v>
      </c>
      <c r="B9663" s="2">
        <f>IFERROR(__xludf.DUMMYFUNCTION("""COMPUTED_VALUE"""),139.94)</f>
        <v>139.94</v>
      </c>
      <c r="C9663" s="2">
        <f>IFERROR(__xludf.DUMMYFUNCTION("""COMPUTED_VALUE"""),140.7)</f>
        <v>140.7</v>
      </c>
      <c r="D9663" s="2">
        <f>IFERROR(__xludf.DUMMYFUNCTION("""COMPUTED_VALUE"""),138.05)</f>
        <v>138.05</v>
      </c>
      <c r="E9663" s="2">
        <f>IFERROR(__xludf.DUMMYFUNCTION("""COMPUTED_VALUE"""),139.03)</f>
        <v>139.03</v>
      </c>
      <c r="F9663" s="2">
        <f>IFERROR(__xludf.DUMMYFUNCTION("""COMPUTED_VALUE"""),4916476.0)</f>
        <v>4916476</v>
      </c>
    </row>
    <row r="9664">
      <c r="A9664" s="3">
        <f>IFERROR(__xludf.DUMMYFUNCTION("""COMPUTED_VALUE"""),43215.66666666667)</f>
        <v>43215.66667</v>
      </c>
      <c r="B9664" s="2">
        <f>IFERROR(__xludf.DUMMYFUNCTION("""COMPUTED_VALUE"""),139.25)</f>
        <v>139.25</v>
      </c>
      <c r="C9664" s="2">
        <f>IFERROR(__xludf.DUMMYFUNCTION("""COMPUTED_VALUE"""),139.84)</f>
        <v>139.84</v>
      </c>
      <c r="D9664" s="2">
        <f>IFERROR(__xludf.DUMMYFUNCTION("""COMPUTED_VALUE"""),137.65)</f>
        <v>137.65</v>
      </c>
      <c r="E9664" s="2">
        <f>IFERROR(__xludf.DUMMYFUNCTION("""COMPUTED_VALUE"""),139.4)</f>
        <v>139.4</v>
      </c>
      <c r="F9664" s="2">
        <f>IFERROR(__xludf.DUMMYFUNCTION("""COMPUTED_VALUE"""),7326379.0)</f>
        <v>7326379</v>
      </c>
    </row>
    <row r="9665">
      <c r="A9665" s="3">
        <f>IFERROR(__xludf.DUMMYFUNCTION("""COMPUTED_VALUE"""),43216.66666666667)</f>
        <v>43216.66667</v>
      </c>
      <c r="B9665" s="2">
        <f>IFERROR(__xludf.DUMMYFUNCTION("""COMPUTED_VALUE"""),140.03)</f>
        <v>140.03</v>
      </c>
      <c r="C9665" s="2">
        <f>IFERROR(__xludf.DUMMYFUNCTION("""COMPUTED_VALUE"""),140.75)</f>
        <v>140.75</v>
      </c>
      <c r="D9665" s="2">
        <f>IFERROR(__xludf.DUMMYFUNCTION("""COMPUTED_VALUE"""),139.64)</f>
        <v>139.64</v>
      </c>
      <c r="E9665" s="2">
        <f>IFERROR(__xludf.DUMMYFUNCTION("""COMPUTED_VALUE"""),140.14)</f>
        <v>140.14</v>
      </c>
      <c r="F9665" s="2">
        <f>IFERROR(__xludf.DUMMYFUNCTION("""COMPUTED_VALUE"""),4265812.0)</f>
        <v>4265812</v>
      </c>
    </row>
    <row r="9666">
      <c r="A9666" s="3">
        <f>IFERROR(__xludf.DUMMYFUNCTION("""COMPUTED_VALUE"""),43217.66666666667)</f>
        <v>43217.66667</v>
      </c>
      <c r="B9666" s="2">
        <f>IFERROR(__xludf.DUMMYFUNCTION("""COMPUTED_VALUE"""),140.26)</f>
        <v>140.26</v>
      </c>
      <c r="C9666" s="2">
        <f>IFERROR(__xludf.DUMMYFUNCTION("""COMPUTED_VALUE"""),140.65)</f>
        <v>140.65</v>
      </c>
      <c r="D9666" s="2">
        <f>IFERROR(__xludf.DUMMYFUNCTION("""COMPUTED_VALUE"""),139.13)</f>
        <v>139.13</v>
      </c>
      <c r="E9666" s="2">
        <f>IFERROR(__xludf.DUMMYFUNCTION("""COMPUTED_VALUE"""),139.91)</f>
        <v>139.91</v>
      </c>
      <c r="F9666" s="2">
        <f>IFERROR(__xludf.DUMMYFUNCTION("""COMPUTED_VALUE"""),3205482.0)</f>
        <v>3205482</v>
      </c>
    </row>
    <row r="9667">
      <c r="A9667" s="3">
        <f>IFERROR(__xludf.DUMMYFUNCTION("""COMPUTED_VALUE"""),43220.66666666667)</f>
        <v>43220.66667</v>
      </c>
      <c r="B9667" s="2">
        <f>IFERROR(__xludf.DUMMYFUNCTION("""COMPUTED_VALUE"""),140.28)</f>
        <v>140.28</v>
      </c>
      <c r="C9667" s="2">
        <f>IFERROR(__xludf.DUMMYFUNCTION("""COMPUTED_VALUE"""),140.77)</f>
        <v>140.77</v>
      </c>
      <c r="D9667" s="2">
        <f>IFERROR(__xludf.DUMMYFUNCTION("""COMPUTED_VALUE"""),138.46)</f>
        <v>138.46</v>
      </c>
      <c r="E9667" s="2">
        <f>IFERROR(__xludf.DUMMYFUNCTION("""COMPUTED_VALUE"""),138.46)</f>
        <v>138.46</v>
      </c>
      <c r="F9667" s="2">
        <f>IFERROR(__xludf.DUMMYFUNCTION("""COMPUTED_VALUE"""),4415533.0)</f>
        <v>4415533</v>
      </c>
    </row>
    <row r="9668">
      <c r="A9668" s="3">
        <f>IFERROR(__xludf.DUMMYFUNCTION("""COMPUTED_VALUE"""),43221.66666666667)</f>
        <v>43221.66667</v>
      </c>
      <c r="B9668" s="2">
        <f>IFERROR(__xludf.DUMMYFUNCTION("""COMPUTED_VALUE"""),138.16)</f>
        <v>138.16</v>
      </c>
      <c r="C9668" s="2">
        <f>IFERROR(__xludf.DUMMYFUNCTION("""COMPUTED_VALUE"""),138.52)</f>
        <v>138.52</v>
      </c>
      <c r="D9668" s="2">
        <f>IFERROR(__xludf.DUMMYFUNCTION("""COMPUTED_VALUE"""),137.04)</f>
        <v>137.04</v>
      </c>
      <c r="E9668" s="2">
        <f>IFERROR(__xludf.DUMMYFUNCTION("""COMPUTED_VALUE"""),138.5)</f>
        <v>138.5</v>
      </c>
      <c r="F9668" s="2">
        <f>IFERROR(__xludf.DUMMYFUNCTION("""COMPUTED_VALUE"""),4433393.0)</f>
        <v>4433393</v>
      </c>
    </row>
    <row r="9669">
      <c r="A9669" s="3">
        <f>IFERROR(__xludf.DUMMYFUNCTION("""COMPUTED_VALUE"""),43222.66666666667)</f>
        <v>43222.66667</v>
      </c>
      <c r="B9669" s="2">
        <f>IFERROR(__xludf.DUMMYFUNCTION("""COMPUTED_VALUE"""),137.98)</f>
        <v>137.98</v>
      </c>
      <c r="C9669" s="2">
        <f>IFERROR(__xludf.DUMMYFUNCTION("""COMPUTED_VALUE"""),138.33)</f>
        <v>138.33</v>
      </c>
      <c r="D9669" s="2">
        <f>IFERROR(__xludf.DUMMYFUNCTION("""COMPUTED_VALUE"""),135.7)</f>
        <v>135.7</v>
      </c>
      <c r="E9669" s="2">
        <f>IFERROR(__xludf.DUMMYFUNCTION("""COMPUTED_VALUE"""),136.06)</f>
        <v>136.06</v>
      </c>
      <c r="F9669" s="2">
        <f>IFERROR(__xludf.DUMMYFUNCTION("""COMPUTED_VALUE"""),5194917.0)</f>
        <v>5194917</v>
      </c>
    </row>
    <row r="9670">
      <c r="A9670" s="3">
        <f>IFERROR(__xludf.DUMMYFUNCTION("""COMPUTED_VALUE"""),43223.66666666667)</f>
        <v>43223.66667</v>
      </c>
      <c r="B9670" s="2">
        <f>IFERROR(__xludf.DUMMYFUNCTION("""COMPUTED_VALUE"""),135.76)</f>
        <v>135.76</v>
      </c>
      <c r="C9670" s="2">
        <f>IFERROR(__xludf.DUMMYFUNCTION("""COMPUTED_VALUE"""),135.85)</f>
        <v>135.85</v>
      </c>
      <c r="D9670" s="2">
        <f>IFERROR(__xludf.DUMMYFUNCTION("""COMPUTED_VALUE"""),133.63)</f>
        <v>133.63</v>
      </c>
      <c r="E9670" s="2">
        <f>IFERROR(__xludf.DUMMYFUNCTION("""COMPUTED_VALUE"""),135.62)</f>
        <v>135.62</v>
      </c>
      <c r="F9670" s="2">
        <f>IFERROR(__xludf.DUMMYFUNCTION("""COMPUTED_VALUE"""),5018592.0)</f>
        <v>5018592</v>
      </c>
    </row>
    <row r="9671">
      <c r="A9671" s="3">
        <f>IFERROR(__xludf.DUMMYFUNCTION("""COMPUTED_VALUE"""),43224.66666666667)</f>
        <v>43224.66667</v>
      </c>
      <c r="B9671" s="2">
        <f>IFERROR(__xludf.DUMMYFUNCTION("""COMPUTED_VALUE"""),134.77)</f>
        <v>134.77</v>
      </c>
      <c r="C9671" s="2">
        <f>IFERROR(__xludf.DUMMYFUNCTION("""COMPUTED_VALUE"""),137.88)</f>
        <v>137.88</v>
      </c>
      <c r="D9671" s="2">
        <f>IFERROR(__xludf.DUMMYFUNCTION("""COMPUTED_VALUE"""),133.99)</f>
        <v>133.99</v>
      </c>
      <c r="E9671" s="2">
        <f>IFERROR(__xludf.DUMMYFUNCTION("""COMPUTED_VALUE"""),137.46)</f>
        <v>137.46</v>
      </c>
      <c r="F9671" s="2">
        <f>IFERROR(__xludf.DUMMYFUNCTION("""COMPUTED_VALUE"""),4402170.0)</f>
        <v>4402170</v>
      </c>
    </row>
    <row r="9672">
      <c r="A9672" s="3">
        <f>IFERROR(__xludf.DUMMYFUNCTION("""COMPUTED_VALUE"""),43227.66666666667)</f>
        <v>43227.66667</v>
      </c>
      <c r="B9672" s="2">
        <f>IFERROR(__xludf.DUMMYFUNCTION("""COMPUTED_VALUE"""),137.54)</f>
        <v>137.54</v>
      </c>
      <c r="C9672" s="2">
        <f>IFERROR(__xludf.DUMMYFUNCTION("""COMPUTED_VALUE"""),137.85)</f>
        <v>137.85</v>
      </c>
      <c r="D9672" s="2">
        <f>IFERROR(__xludf.DUMMYFUNCTION("""COMPUTED_VALUE"""),136.24)</f>
        <v>136.24</v>
      </c>
      <c r="E9672" s="2">
        <f>IFERROR(__xludf.DUMMYFUNCTION("""COMPUTED_VALUE"""),136.8)</f>
        <v>136.8</v>
      </c>
      <c r="F9672" s="2">
        <f>IFERROR(__xludf.DUMMYFUNCTION("""COMPUTED_VALUE"""),3657009.0)</f>
        <v>3657009</v>
      </c>
    </row>
    <row r="9673">
      <c r="A9673" s="3">
        <f>IFERROR(__xludf.DUMMYFUNCTION("""COMPUTED_VALUE"""),43228.66666666667)</f>
        <v>43228.66667</v>
      </c>
      <c r="B9673" s="2">
        <f>IFERROR(__xludf.DUMMYFUNCTION("""COMPUTED_VALUE"""),136.59)</f>
        <v>136.59</v>
      </c>
      <c r="C9673" s="2">
        <f>IFERROR(__xludf.DUMMYFUNCTION("""COMPUTED_VALUE"""),137.07)</f>
        <v>137.07</v>
      </c>
      <c r="D9673" s="2">
        <f>IFERROR(__xludf.DUMMYFUNCTION("""COMPUTED_VALUE"""),135.69)</f>
        <v>135.69</v>
      </c>
      <c r="E9673" s="2">
        <f>IFERROR(__xludf.DUMMYFUNCTION("""COMPUTED_VALUE"""),136.59)</f>
        <v>136.59</v>
      </c>
      <c r="F9673" s="2">
        <f>IFERROR(__xludf.DUMMYFUNCTION("""COMPUTED_VALUE"""),5369119.0)</f>
        <v>5369119</v>
      </c>
    </row>
    <row r="9674">
      <c r="A9674" s="3">
        <f>IFERROR(__xludf.DUMMYFUNCTION("""COMPUTED_VALUE"""),43229.66666666667)</f>
        <v>43229.66667</v>
      </c>
      <c r="B9674" s="2">
        <f>IFERROR(__xludf.DUMMYFUNCTION("""COMPUTED_VALUE"""),135.54)</f>
        <v>135.54</v>
      </c>
      <c r="C9674" s="2">
        <f>IFERROR(__xludf.DUMMYFUNCTION("""COMPUTED_VALUE"""),136.61)</f>
        <v>136.61</v>
      </c>
      <c r="D9674" s="2">
        <f>IFERROR(__xludf.DUMMYFUNCTION("""COMPUTED_VALUE"""),134.95)</f>
        <v>134.95</v>
      </c>
      <c r="E9674" s="2">
        <f>IFERROR(__xludf.DUMMYFUNCTION("""COMPUTED_VALUE"""),136.22)</f>
        <v>136.22</v>
      </c>
      <c r="F9674" s="2">
        <f>IFERROR(__xludf.DUMMYFUNCTION("""COMPUTED_VALUE"""),4195953.0)</f>
        <v>4195953</v>
      </c>
    </row>
    <row r="9675">
      <c r="A9675" s="3">
        <f>IFERROR(__xludf.DUMMYFUNCTION("""COMPUTED_VALUE"""),43230.66666666667)</f>
        <v>43230.66667</v>
      </c>
      <c r="B9675" s="2">
        <f>IFERROR(__xludf.DUMMYFUNCTION("""COMPUTED_VALUE"""),136.73)</f>
        <v>136.73</v>
      </c>
      <c r="C9675" s="2">
        <f>IFERROR(__xludf.DUMMYFUNCTION("""COMPUTED_VALUE"""),137.86)</f>
        <v>137.86</v>
      </c>
      <c r="D9675" s="2">
        <f>IFERROR(__xludf.DUMMYFUNCTION("""COMPUTED_VALUE"""),136.6)</f>
        <v>136.6</v>
      </c>
      <c r="E9675" s="2">
        <f>IFERROR(__xludf.DUMMYFUNCTION("""COMPUTED_VALUE"""),137.77)</f>
        <v>137.77</v>
      </c>
      <c r="F9675" s="2">
        <f>IFERROR(__xludf.DUMMYFUNCTION("""COMPUTED_VALUE"""),3726608.0)</f>
        <v>3726608</v>
      </c>
    </row>
    <row r="9676">
      <c r="A9676" s="3">
        <f>IFERROR(__xludf.DUMMYFUNCTION("""COMPUTED_VALUE"""),43231.66666666667)</f>
        <v>43231.66667</v>
      </c>
      <c r="B9676" s="2">
        <f>IFERROR(__xludf.DUMMYFUNCTION("""COMPUTED_VALUE"""),137.65)</f>
        <v>137.65</v>
      </c>
      <c r="C9676" s="2">
        <f>IFERROR(__xludf.DUMMYFUNCTION("""COMPUTED_VALUE"""),138.36)</f>
        <v>138.36</v>
      </c>
      <c r="D9676" s="2">
        <f>IFERROR(__xludf.DUMMYFUNCTION("""COMPUTED_VALUE"""),137.14)</f>
        <v>137.14</v>
      </c>
      <c r="E9676" s="2">
        <f>IFERROR(__xludf.DUMMYFUNCTION("""COMPUTED_VALUE"""),137.68)</f>
        <v>137.68</v>
      </c>
      <c r="F9676" s="2">
        <f>IFERROR(__xludf.DUMMYFUNCTION("""COMPUTED_VALUE"""),3073167.0)</f>
        <v>3073167</v>
      </c>
    </row>
    <row r="9677">
      <c r="A9677" s="3">
        <f>IFERROR(__xludf.DUMMYFUNCTION("""COMPUTED_VALUE"""),43234.66666666667)</f>
        <v>43234.66667</v>
      </c>
      <c r="B9677" s="2">
        <f>IFERROR(__xludf.DUMMYFUNCTION("""COMPUTED_VALUE"""),137.99)</f>
        <v>137.99</v>
      </c>
      <c r="C9677" s="2">
        <f>IFERROR(__xludf.DUMMYFUNCTION("""COMPUTED_VALUE"""),138.61)</f>
        <v>138.61</v>
      </c>
      <c r="D9677" s="2">
        <f>IFERROR(__xludf.DUMMYFUNCTION("""COMPUTED_VALUE"""),137.68)</f>
        <v>137.68</v>
      </c>
      <c r="E9677" s="2">
        <f>IFERROR(__xludf.DUMMYFUNCTION("""COMPUTED_VALUE"""),137.83)</f>
        <v>137.83</v>
      </c>
      <c r="F9677" s="2">
        <f>IFERROR(__xludf.DUMMYFUNCTION("""COMPUTED_VALUE"""),3216062.0)</f>
        <v>3216062</v>
      </c>
    </row>
    <row r="9678">
      <c r="A9678" s="3">
        <f>IFERROR(__xludf.DUMMYFUNCTION("""COMPUTED_VALUE"""),43235.66666666667)</f>
        <v>43235.66667</v>
      </c>
      <c r="B9678" s="2">
        <f>IFERROR(__xludf.DUMMYFUNCTION("""COMPUTED_VALUE"""),137.07)</f>
        <v>137.07</v>
      </c>
      <c r="C9678" s="2">
        <f>IFERROR(__xludf.DUMMYFUNCTION("""COMPUTED_VALUE"""),137.53)</f>
        <v>137.53</v>
      </c>
      <c r="D9678" s="2">
        <f>IFERROR(__xludf.DUMMYFUNCTION("""COMPUTED_VALUE"""),136.51)</f>
        <v>136.51</v>
      </c>
      <c r="E9678" s="2">
        <f>IFERROR(__xludf.DUMMYFUNCTION("""COMPUTED_VALUE"""),137.3)</f>
        <v>137.3</v>
      </c>
      <c r="F9678" s="2">
        <f>IFERROR(__xludf.DUMMYFUNCTION("""COMPUTED_VALUE"""),4089397.0)</f>
        <v>4089397</v>
      </c>
    </row>
    <row r="9679">
      <c r="A9679" s="3">
        <f>IFERROR(__xludf.DUMMYFUNCTION("""COMPUTED_VALUE"""),43236.66666666667)</f>
        <v>43236.66667</v>
      </c>
      <c r="B9679" s="2">
        <f>IFERROR(__xludf.DUMMYFUNCTION("""COMPUTED_VALUE"""),137.26)</f>
        <v>137.26</v>
      </c>
      <c r="C9679" s="2">
        <f>IFERROR(__xludf.DUMMYFUNCTION("""COMPUTED_VALUE"""),138.53)</f>
        <v>138.53</v>
      </c>
      <c r="D9679" s="2">
        <f>IFERROR(__xludf.DUMMYFUNCTION("""COMPUTED_VALUE"""),136.85)</f>
        <v>136.85</v>
      </c>
      <c r="E9679" s="2">
        <f>IFERROR(__xludf.DUMMYFUNCTION("""COMPUTED_VALUE"""),138.15)</f>
        <v>138.15</v>
      </c>
      <c r="F9679" s="2">
        <f>IFERROR(__xludf.DUMMYFUNCTION("""COMPUTED_VALUE"""),3168659.0)</f>
        <v>3168659</v>
      </c>
    </row>
    <row r="9680">
      <c r="A9680" s="3">
        <f>IFERROR(__xludf.DUMMYFUNCTION("""COMPUTED_VALUE"""),43237.66666666667)</f>
        <v>43237.66667</v>
      </c>
      <c r="B9680" s="2">
        <f>IFERROR(__xludf.DUMMYFUNCTION("""COMPUTED_VALUE"""),138.02)</f>
        <v>138.02</v>
      </c>
      <c r="C9680" s="2">
        <f>IFERROR(__xludf.DUMMYFUNCTION("""COMPUTED_VALUE"""),138.68)</f>
        <v>138.68</v>
      </c>
      <c r="D9680" s="2">
        <f>IFERROR(__xludf.DUMMYFUNCTION("""COMPUTED_VALUE"""),137.32)</f>
        <v>137.32</v>
      </c>
      <c r="E9680" s="2">
        <f>IFERROR(__xludf.DUMMYFUNCTION("""COMPUTED_VALUE"""),138.02)</f>
        <v>138.02</v>
      </c>
      <c r="F9680" s="2">
        <f>IFERROR(__xludf.DUMMYFUNCTION("""COMPUTED_VALUE"""),3147659.0)</f>
        <v>3147659</v>
      </c>
    </row>
    <row r="9681">
      <c r="A9681" s="3">
        <f>IFERROR(__xludf.DUMMYFUNCTION("""COMPUTED_VALUE"""),43238.66666666667)</f>
        <v>43238.66667</v>
      </c>
      <c r="B9681" s="2">
        <f>IFERROR(__xludf.DUMMYFUNCTION("""COMPUTED_VALUE"""),138.02)</f>
        <v>138.02</v>
      </c>
      <c r="C9681" s="2">
        <f>IFERROR(__xludf.DUMMYFUNCTION("""COMPUTED_VALUE"""),138.68)</f>
        <v>138.68</v>
      </c>
      <c r="D9681" s="2">
        <f>IFERROR(__xludf.DUMMYFUNCTION("""COMPUTED_VALUE"""),137.32)</f>
        <v>137.32</v>
      </c>
      <c r="E9681" s="2">
        <f>IFERROR(__xludf.DUMMYFUNCTION("""COMPUTED_VALUE"""),138.02)</f>
        <v>138.02</v>
      </c>
      <c r="F9681" s="2">
        <f>IFERROR(__xludf.DUMMYFUNCTION("""COMPUTED_VALUE"""),1818.0)</f>
        <v>1818</v>
      </c>
    </row>
    <row r="9682">
      <c r="A9682" s="3">
        <f>IFERROR(__xludf.DUMMYFUNCTION("""COMPUTED_VALUE"""),43241.66666666667)</f>
        <v>43241.66667</v>
      </c>
      <c r="B9682" s="2">
        <f>IFERROR(__xludf.DUMMYFUNCTION("""COMPUTED_VALUE"""),138.45)</f>
        <v>138.45</v>
      </c>
      <c r="C9682" s="2">
        <f>IFERROR(__xludf.DUMMYFUNCTION("""COMPUTED_VALUE"""),139.49)</f>
        <v>139.49</v>
      </c>
      <c r="D9682" s="2">
        <f>IFERROR(__xludf.DUMMYFUNCTION("""COMPUTED_VALUE"""),138.19)</f>
        <v>138.19</v>
      </c>
      <c r="E9682" s="2">
        <f>IFERROR(__xludf.DUMMYFUNCTION("""COMPUTED_VALUE"""),138.97)</f>
        <v>138.97</v>
      </c>
      <c r="F9682" s="2">
        <f>IFERROR(__xludf.DUMMYFUNCTION("""COMPUTED_VALUE"""),2894698.0)</f>
        <v>2894698</v>
      </c>
    </row>
    <row r="9683">
      <c r="A9683" s="3">
        <f>IFERROR(__xludf.DUMMYFUNCTION("""COMPUTED_VALUE"""),43242.66666666667)</f>
        <v>43242.66667</v>
      </c>
      <c r="B9683" s="2">
        <f>IFERROR(__xludf.DUMMYFUNCTION("""COMPUTED_VALUE"""),139.0)</f>
        <v>139</v>
      </c>
      <c r="C9683" s="2">
        <f>IFERROR(__xludf.DUMMYFUNCTION("""COMPUTED_VALUE"""),139.65)</f>
        <v>139.65</v>
      </c>
      <c r="D9683" s="2">
        <f>IFERROR(__xludf.DUMMYFUNCTION("""COMPUTED_VALUE"""),138.5)</f>
        <v>138.5</v>
      </c>
      <c r="E9683" s="2">
        <f>IFERROR(__xludf.DUMMYFUNCTION("""COMPUTED_VALUE"""),138.58)</f>
        <v>138.58</v>
      </c>
      <c r="F9683" s="2">
        <f>IFERROR(__xludf.DUMMYFUNCTION("""COMPUTED_VALUE"""),2284020.0)</f>
        <v>2284020</v>
      </c>
    </row>
    <row r="9684">
      <c r="A9684" s="3">
        <f>IFERROR(__xludf.DUMMYFUNCTION("""COMPUTED_VALUE"""),43243.66666666667)</f>
        <v>43243.66667</v>
      </c>
      <c r="B9684" s="2">
        <f>IFERROR(__xludf.DUMMYFUNCTION("""COMPUTED_VALUE"""),137.88)</f>
        <v>137.88</v>
      </c>
      <c r="C9684" s="2">
        <f>IFERROR(__xludf.DUMMYFUNCTION("""COMPUTED_VALUE"""),138.21)</f>
        <v>138.21</v>
      </c>
      <c r="D9684" s="2">
        <f>IFERROR(__xludf.DUMMYFUNCTION("""COMPUTED_VALUE"""),137.05)</f>
        <v>137.05</v>
      </c>
      <c r="E9684" s="2">
        <f>IFERROR(__xludf.DUMMYFUNCTION("""COMPUTED_VALUE"""),138.18)</f>
        <v>138.18</v>
      </c>
      <c r="F9684" s="2">
        <f>IFERROR(__xludf.DUMMYFUNCTION("""COMPUTED_VALUE"""),3459747.0)</f>
        <v>3459747</v>
      </c>
    </row>
    <row r="9685">
      <c r="A9685" s="3">
        <f>IFERROR(__xludf.DUMMYFUNCTION("""COMPUTED_VALUE"""),43244.66666666667)</f>
        <v>43244.66667</v>
      </c>
      <c r="B9685" s="2">
        <f>IFERROR(__xludf.DUMMYFUNCTION("""COMPUTED_VALUE"""),137.92)</f>
        <v>137.92</v>
      </c>
      <c r="C9685" s="2">
        <f>IFERROR(__xludf.DUMMYFUNCTION("""COMPUTED_VALUE"""),138.0)</f>
        <v>138</v>
      </c>
      <c r="D9685" s="2">
        <f>IFERROR(__xludf.DUMMYFUNCTION("""COMPUTED_VALUE"""),136.54)</f>
        <v>136.54</v>
      </c>
      <c r="E9685" s="2">
        <f>IFERROR(__xludf.DUMMYFUNCTION("""COMPUTED_VALUE"""),137.61)</f>
        <v>137.61</v>
      </c>
      <c r="F9685" s="2">
        <f>IFERROR(__xludf.DUMMYFUNCTION("""COMPUTED_VALUE"""),3398701.0)</f>
        <v>3398701</v>
      </c>
    </row>
    <row r="9686">
      <c r="A9686" s="3">
        <f>IFERROR(__xludf.DUMMYFUNCTION("""COMPUTED_VALUE"""),43245.66666666667)</f>
        <v>43245.66667</v>
      </c>
      <c r="B9686" s="2">
        <f>IFERROR(__xludf.DUMMYFUNCTION("""COMPUTED_VALUE"""),137.45)</f>
        <v>137.45</v>
      </c>
      <c r="C9686" s="2">
        <f>IFERROR(__xludf.DUMMYFUNCTION("""COMPUTED_VALUE"""),138.09)</f>
        <v>138.09</v>
      </c>
      <c r="D9686" s="2">
        <f>IFERROR(__xludf.DUMMYFUNCTION("""COMPUTED_VALUE"""),137.03)</f>
        <v>137.03</v>
      </c>
      <c r="E9686" s="2">
        <f>IFERROR(__xludf.DUMMYFUNCTION("""COMPUTED_VALUE"""),137.2)</f>
        <v>137.2</v>
      </c>
      <c r="F9686" s="2">
        <f>IFERROR(__xludf.DUMMYFUNCTION("""COMPUTED_VALUE"""),4914294.0)</f>
        <v>4914294</v>
      </c>
    </row>
    <row r="9687">
      <c r="A9687" s="3">
        <f>IFERROR(__xludf.DUMMYFUNCTION("""COMPUTED_VALUE"""),43249.66666666667)</f>
        <v>43249.66667</v>
      </c>
      <c r="B9687" s="2">
        <f>IFERROR(__xludf.DUMMYFUNCTION("""COMPUTED_VALUE"""),136.14)</f>
        <v>136.14</v>
      </c>
      <c r="C9687" s="2">
        <f>IFERROR(__xludf.DUMMYFUNCTION("""COMPUTED_VALUE"""),136.48)</f>
        <v>136.48</v>
      </c>
      <c r="D9687" s="2">
        <f>IFERROR(__xludf.DUMMYFUNCTION("""COMPUTED_VALUE"""),133.92)</f>
        <v>133.92</v>
      </c>
      <c r="E9687" s="2">
        <f>IFERROR(__xludf.DUMMYFUNCTION("""COMPUTED_VALUE"""),134.89)</f>
        <v>134.89</v>
      </c>
      <c r="F9687" s="2">
        <f>IFERROR(__xludf.DUMMYFUNCTION("""COMPUTED_VALUE"""),4537638.0)</f>
        <v>4537638</v>
      </c>
    </row>
    <row r="9688">
      <c r="A9688" s="3">
        <f>IFERROR(__xludf.DUMMYFUNCTION("""COMPUTED_VALUE"""),43250.66666666667)</f>
        <v>43250.66667</v>
      </c>
      <c r="B9688" s="2">
        <f>IFERROR(__xludf.DUMMYFUNCTION("""COMPUTED_VALUE"""),135.54)</f>
        <v>135.54</v>
      </c>
      <c r="C9688" s="2">
        <f>IFERROR(__xludf.DUMMYFUNCTION("""COMPUTED_VALUE"""),136.68)</f>
        <v>136.68</v>
      </c>
      <c r="D9688" s="2">
        <f>IFERROR(__xludf.DUMMYFUNCTION("""COMPUTED_VALUE"""),135.46)</f>
        <v>135.46</v>
      </c>
      <c r="E9688" s="2">
        <f>IFERROR(__xludf.DUMMYFUNCTION("""COMPUTED_VALUE"""),136.23)</f>
        <v>136.23</v>
      </c>
      <c r="F9688" s="2">
        <f>IFERROR(__xludf.DUMMYFUNCTION("""COMPUTED_VALUE"""),5118530.0)</f>
        <v>5118530</v>
      </c>
    </row>
    <row r="9689">
      <c r="A9689" s="3">
        <f>IFERROR(__xludf.DUMMYFUNCTION("""COMPUTED_VALUE"""),43251.66666666667)</f>
        <v>43251.66667</v>
      </c>
      <c r="B9689" s="2">
        <f>IFERROR(__xludf.DUMMYFUNCTION("""COMPUTED_VALUE"""),136.41)</f>
        <v>136.41</v>
      </c>
      <c r="C9689" s="2">
        <f>IFERROR(__xludf.DUMMYFUNCTION("""COMPUTED_VALUE"""),136.41)</f>
        <v>136.41</v>
      </c>
      <c r="D9689" s="2">
        <f>IFERROR(__xludf.DUMMYFUNCTION("""COMPUTED_VALUE"""),134.73)</f>
        <v>134.73</v>
      </c>
      <c r="E9689" s="2">
        <f>IFERROR(__xludf.DUMMYFUNCTION("""COMPUTED_VALUE"""),134.97)</f>
        <v>134.97</v>
      </c>
      <c r="F9689" s="2">
        <f>IFERROR(__xludf.DUMMYFUNCTION("""COMPUTED_VALUE"""),6830256.0)</f>
        <v>6830256</v>
      </c>
    </row>
    <row r="9690">
      <c r="A9690" s="3">
        <f>IFERROR(__xludf.DUMMYFUNCTION("""COMPUTED_VALUE"""),43252.66666666667)</f>
        <v>43252.66667</v>
      </c>
      <c r="B9690" s="2">
        <f>IFERROR(__xludf.DUMMYFUNCTION("""COMPUTED_VALUE"""),136.04)</f>
        <v>136.04</v>
      </c>
      <c r="C9690" s="2">
        <f>IFERROR(__xludf.DUMMYFUNCTION("""COMPUTED_VALUE"""),136.44)</f>
        <v>136.44</v>
      </c>
      <c r="D9690" s="2">
        <f>IFERROR(__xludf.DUMMYFUNCTION("""COMPUTED_VALUE"""),135.27)</f>
        <v>135.27</v>
      </c>
      <c r="E9690" s="2">
        <f>IFERROR(__xludf.DUMMYFUNCTION("""COMPUTED_VALUE"""),135.59)</f>
        <v>135.59</v>
      </c>
      <c r="F9690" s="2">
        <f>IFERROR(__xludf.DUMMYFUNCTION("""COMPUTED_VALUE"""),3857530.0)</f>
        <v>3857530</v>
      </c>
    </row>
    <row r="9691">
      <c r="A9691" s="3">
        <f>IFERROR(__xludf.DUMMYFUNCTION("""COMPUTED_VALUE"""),43255.66666666667)</f>
        <v>43255.66667</v>
      </c>
      <c r="B9691" s="2">
        <f>IFERROR(__xludf.DUMMYFUNCTION("""COMPUTED_VALUE"""),135.92)</f>
        <v>135.92</v>
      </c>
      <c r="C9691" s="2">
        <f>IFERROR(__xludf.DUMMYFUNCTION("""COMPUTED_VALUE"""),136.75)</f>
        <v>136.75</v>
      </c>
      <c r="D9691" s="2">
        <f>IFERROR(__xludf.DUMMYFUNCTION("""COMPUTED_VALUE"""),135.81)</f>
        <v>135.81</v>
      </c>
      <c r="E9691" s="2">
        <f>IFERROR(__xludf.DUMMYFUNCTION("""COMPUTED_VALUE"""),136.63)</f>
        <v>136.63</v>
      </c>
      <c r="F9691" s="2">
        <f>IFERROR(__xludf.DUMMYFUNCTION("""COMPUTED_VALUE"""),3035257.0)</f>
        <v>3035257</v>
      </c>
    </row>
    <row r="9692">
      <c r="A9692" s="3">
        <f>IFERROR(__xludf.DUMMYFUNCTION("""COMPUTED_VALUE"""),43256.66666666667)</f>
        <v>43256.66667</v>
      </c>
      <c r="B9692" s="2">
        <f>IFERROR(__xludf.DUMMYFUNCTION("""COMPUTED_VALUE"""),136.64)</f>
        <v>136.64</v>
      </c>
      <c r="C9692" s="2">
        <f>IFERROR(__xludf.DUMMYFUNCTION("""COMPUTED_VALUE"""),137.62)</f>
        <v>137.62</v>
      </c>
      <c r="D9692" s="2">
        <f>IFERROR(__xludf.DUMMYFUNCTION("""COMPUTED_VALUE"""),136.63)</f>
        <v>136.63</v>
      </c>
      <c r="E9692" s="2">
        <f>IFERROR(__xludf.DUMMYFUNCTION("""COMPUTED_VALUE"""),137.26)</f>
        <v>137.26</v>
      </c>
      <c r="F9692" s="2">
        <f>IFERROR(__xludf.DUMMYFUNCTION("""COMPUTED_VALUE"""),2836017.0)</f>
        <v>2836017</v>
      </c>
    </row>
    <row r="9693">
      <c r="A9693" s="3">
        <f>IFERROR(__xludf.DUMMYFUNCTION("""COMPUTED_VALUE"""),43257.66666666667)</f>
        <v>43257.66667</v>
      </c>
      <c r="B9693" s="2">
        <f>IFERROR(__xludf.DUMMYFUNCTION("""COMPUTED_VALUE"""),137.87)</f>
        <v>137.87</v>
      </c>
      <c r="C9693" s="2">
        <f>IFERROR(__xludf.DUMMYFUNCTION("""COMPUTED_VALUE"""),138.23)</f>
        <v>138.23</v>
      </c>
      <c r="D9693" s="2">
        <f>IFERROR(__xludf.DUMMYFUNCTION("""COMPUTED_VALUE"""),137.1)</f>
        <v>137.1</v>
      </c>
      <c r="E9693" s="2">
        <f>IFERROR(__xludf.DUMMYFUNCTION("""COMPUTED_VALUE"""),138.22)</f>
        <v>138.22</v>
      </c>
      <c r="F9693" s="2">
        <f>IFERROR(__xludf.DUMMYFUNCTION("""COMPUTED_VALUE"""),3220139.0)</f>
        <v>3220139</v>
      </c>
    </row>
    <row r="9694">
      <c r="A9694" s="3">
        <f>IFERROR(__xludf.DUMMYFUNCTION("""COMPUTED_VALUE"""),43258.66666666667)</f>
        <v>43258.66667</v>
      </c>
      <c r="B9694" s="2">
        <f>IFERROR(__xludf.DUMMYFUNCTION("""COMPUTED_VALUE"""),138.5)</f>
        <v>138.5</v>
      </c>
      <c r="C9694" s="2">
        <f>IFERROR(__xludf.DUMMYFUNCTION("""COMPUTED_VALUE"""),140.12)</f>
        <v>140.12</v>
      </c>
      <c r="D9694" s="2">
        <f>IFERROR(__xludf.DUMMYFUNCTION("""COMPUTED_VALUE"""),138.43)</f>
        <v>138.43</v>
      </c>
      <c r="E9694" s="2">
        <f>IFERROR(__xludf.DUMMYFUNCTION("""COMPUTED_VALUE"""),138.84)</f>
        <v>138.84</v>
      </c>
      <c r="F9694" s="2">
        <f>IFERROR(__xludf.DUMMYFUNCTION("""COMPUTED_VALUE"""),4316484.0)</f>
        <v>4316484</v>
      </c>
    </row>
    <row r="9695">
      <c r="A9695" s="3">
        <f>IFERROR(__xludf.DUMMYFUNCTION("""COMPUTED_VALUE"""),43259.66666666667)</f>
        <v>43259.66667</v>
      </c>
      <c r="B9695" s="2">
        <f>IFERROR(__xludf.DUMMYFUNCTION("""COMPUTED_VALUE"""),138.5)</f>
        <v>138.5</v>
      </c>
      <c r="C9695" s="2">
        <f>IFERROR(__xludf.DUMMYFUNCTION("""COMPUTED_VALUE"""),139.86)</f>
        <v>139.86</v>
      </c>
      <c r="D9695" s="2">
        <f>IFERROR(__xludf.DUMMYFUNCTION("""COMPUTED_VALUE"""),137.9)</f>
        <v>137.9</v>
      </c>
      <c r="E9695" s="2">
        <f>IFERROR(__xludf.DUMMYFUNCTION("""COMPUTED_VALUE"""),139.59)</f>
        <v>139.59</v>
      </c>
      <c r="F9695" s="2">
        <f>IFERROR(__xludf.DUMMYFUNCTION("""COMPUTED_VALUE"""),5210468.0)</f>
        <v>5210468</v>
      </c>
    </row>
    <row r="9696">
      <c r="A9696" s="3">
        <f>IFERROR(__xludf.DUMMYFUNCTION("""COMPUTED_VALUE"""),43262.66666666667)</f>
        <v>43262.66667</v>
      </c>
      <c r="B9696" s="2">
        <f>IFERROR(__xludf.DUMMYFUNCTION("""COMPUTED_VALUE"""),140.05)</f>
        <v>140.05</v>
      </c>
      <c r="C9696" s="2">
        <f>IFERROR(__xludf.DUMMYFUNCTION("""COMPUTED_VALUE"""),140.8)</f>
        <v>140.8</v>
      </c>
      <c r="D9696" s="2">
        <f>IFERROR(__xludf.DUMMYFUNCTION("""COMPUTED_VALUE"""),139.59)</f>
        <v>139.59</v>
      </c>
      <c r="E9696" s="2">
        <f>IFERROR(__xludf.DUMMYFUNCTION("""COMPUTED_VALUE"""),140.01)</f>
        <v>140.01</v>
      </c>
      <c r="F9696" s="2">
        <f>IFERROR(__xludf.DUMMYFUNCTION("""COMPUTED_VALUE"""),3259986.0)</f>
        <v>3259986</v>
      </c>
    </row>
    <row r="9697">
      <c r="A9697" s="3">
        <f>IFERROR(__xludf.DUMMYFUNCTION("""COMPUTED_VALUE"""),43263.66666666667)</f>
        <v>43263.66667</v>
      </c>
      <c r="B9697" s="2">
        <f>IFERROR(__xludf.DUMMYFUNCTION("""COMPUTED_VALUE"""),140.5)</f>
        <v>140.5</v>
      </c>
      <c r="C9697" s="2">
        <f>IFERROR(__xludf.DUMMYFUNCTION("""COMPUTED_VALUE"""),140.91)</f>
        <v>140.91</v>
      </c>
      <c r="D9697" s="2">
        <f>IFERROR(__xludf.DUMMYFUNCTION("""COMPUTED_VALUE"""),140.05)</f>
        <v>140.05</v>
      </c>
      <c r="E9697" s="2">
        <f>IFERROR(__xludf.DUMMYFUNCTION("""COMPUTED_VALUE"""),140.28)</f>
        <v>140.28</v>
      </c>
      <c r="F9697" s="2">
        <f>IFERROR(__xludf.DUMMYFUNCTION("""COMPUTED_VALUE"""),2640515.0)</f>
        <v>2640515</v>
      </c>
    </row>
    <row r="9698">
      <c r="A9698" s="3">
        <f>IFERROR(__xludf.DUMMYFUNCTION("""COMPUTED_VALUE"""),43264.66666666667)</f>
        <v>43264.66667</v>
      </c>
      <c r="B9698" s="2">
        <f>IFERROR(__xludf.DUMMYFUNCTION("""COMPUTED_VALUE"""),140.21)</f>
        <v>140.21</v>
      </c>
      <c r="C9698" s="2">
        <f>IFERROR(__xludf.DUMMYFUNCTION("""COMPUTED_VALUE"""),140.86)</f>
        <v>140.86</v>
      </c>
      <c r="D9698" s="2">
        <f>IFERROR(__xludf.DUMMYFUNCTION("""COMPUTED_VALUE"""),139.64)</f>
        <v>139.64</v>
      </c>
      <c r="E9698" s="2">
        <f>IFERROR(__xludf.DUMMYFUNCTION("""COMPUTED_VALUE"""),139.79)</f>
        <v>139.79</v>
      </c>
      <c r="F9698" s="2">
        <f>IFERROR(__xludf.DUMMYFUNCTION("""COMPUTED_VALUE"""),2968180.0)</f>
        <v>2968180</v>
      </c>
    </row>
    <row r="9699">
      <c r="A9699" s="3">
        <f>IFERROR(__xludf.DUMMYFUNCTION("""COMPUTED_VALUE"""),43265.66666666667)</f>
        <v>43265.66667</v>
      </c>
      <c r="B9699" s="2">
        <f>IFERROR(__xludf.DUMMYFUNCTION("""COMPUTED_VALUE"""),140.07)</f>
        <v>140.07</v>
      </c>
      <c r="C9699" s="2">
        <f>IFERROR(__xludf.DUMMYFUNCTION("""COMPUTED_VALUE"""),140.39)</f>
        <v>140.39</v>
      </c>
      <c r="D9699" s="2">
        <f>IFERROR(__xludf.DUMMYFUNCTION("""COMPUTED_VALUE"""),138.58)</f>
        <v>138.58</v>
      </c>
      <c r="E9699" s="2">
        <f>IFERROR(__xludf.DUMMYFUNCTION("""COMPUTED_VALUE"""),138.69)</f>
        <v>138.69</v>
      </c>
      <c r="F9699" s="2">
        <f>IFERROR(__xludf.DUMMYFUNCTION("""COMPUTED_VALUE"""),3326343.0)</f>
        <v>3326343</v>
      </c>
    </row>
    <row r="9700">
      <c r="A9700" s="3">
        <f>IFERROR(__xludf.DUMMYFUNCTION("""COMPUTED_VALUE"""),43266.66666666667)</f>
        <v>43266.66667</v>
      </c>
      <c r="B9700" s="2">
        <f>IFERROR(__xludf.DUMMYFUNCTION("""COMPUTED_VALUE"""),138.4)</f>
        <v>138.4</v>
      </c>
      <c r="C9700" s="2">
        <f>IFERROR(__xludf.DUMMYFUNCTION("""COMPUTED_VALUE"""),138.95)</f>
        <v>138.95</v>
      </c>
      <c r="D9700" s="2">
        <f>IFERROR(__xludf.DUMMYFUNCTION("""COMPUTED_VALUE"""),137.26)</f>
        <v>137.26</v>
      </c>
      <c r="E9700" s="2">
        <f>IFERROR(__xludf.DUMMYFUNCTION("""COMPUTED_VALUE"""),138.87)</f>
        <v>138.87</v>
      </c>
      <c r="F9700" s="2">
        <f>IFERROR(__xludf.DUMMYFUNCTION("""COMPUTED_VALUE"""),9116048.0)</f>
        <v>9116048</v>
      </c>
    </row>
    <row r="9701">
      <c r="A9701" s="3">
        <f>IFERROR(__xludf.DUMMYFUNCTION("""COMPUTED_VALUE"""),43269.66666666667)</f>
        <v>43269.66667</v>
      </c>
      <c r="B9701" s="2">
        <f>IFERROR(__xludf.DUMMYFUNCTION("""COMPUTED_VALUE"""),137.72)</f>
        <v>137.72</v>
      </c>
      <c r="C9701" s="2">
        <f>IFERROR(__xludf.DUMMYFUNCTION("""COMPUTED_VALUE"""),138.04)</f>
        <v>138.04</v>
      </c>
      <c r="D9701" s="2">
        <f>IFERROR(__xludf.DUMMYFUNCTION("""COMPUTED_VALUE"""),136.72)</f>
        <v>136.72</v>
      </c>
      <c r="E9701" s="2">
        <f>IFERROR(__xludf.DUMMYFUNCTION("""COMPUTED_VALUE"""),138.0)</f>
        <v>138</v>
      </c>
      <c r="F9701" s="2">
        <f>IFERROR(__xludf.DUMMYFUNCTION("""COMPUTED_VALUE"""),4286406.0)</f>
        <v>4286406</v>
      </c>
    </row>
    <row r="9702">
      <c r="A9702" s="3">
        <f>IFERROR(__xludf.DUMMYFUNCTION("""COMPUTED_VALUE"""),43270.66666666667)</f>
        <v>43270.66667</v>
      </c>
      <c r="B9702" s="2">
        <f>IFERROR(__xludf.DUMMYFUNCTION("""COMPUTED_VALUE"""),136.7)</f>
        <v>136.7</v>
      </c>
      <c r="C9702" s="2">
        <f>IFERROR(__xludf.DUMMYFUNCTION("""COMPUTED_VALUE"""),137.75)</f>
        <v>137.75</v>
      </c>
      <c r="D9702" s="2">
        <f>IFERROR(__xludf.DUMMYFUNCTION("""COMPUTED_VALUE"""),136.54)</f>
        <v>136.54</v>
      </c>
      <c r="E9702" s="2">
        <f>IFERROR(__xludf.DUMMYFUNCTION("""COMPUTED_VALUE"""),137.45)</f>
        <v>137.45</v>
      </c>
      <c r="F9702" s="2">
        <f>IFERROR(__xludf.DUMMYFUNCTION("""COMPUTED_VALUE"""),3487015.0)</f>
        <v>3487015</v>
      </c>
    </row>
    <row r="9703">
      <c r="A9703" s="3">
        <f>IFERROR(__xludf.DUMMYFUNCTION("""COMPUTED_VALUE"""),43271.66666666667)</f>
        <v>43271.66667</v>
      </c>
      <c r="B9703" s="2">
        <f>IFERROR(__xludf.DUMMYFUNCTION("""COMPUTED_VALUE"""),137.75)</f>
        <v>137.75</v>
      </c>
      <c r="C9703" s="2">
        <f>IFERROR(__xludf.DUMMYFUNCTION("""COMPUTED_VALUE"""),138.04)</f>
        <v>138.04</v>
      </c>
      <c r="D9703" s="2">
        <f>IFERROR(__xludf.DUMMYFUNCTION("""COMPUTED_VALUE"""),136.02)</f>
        <v>136.02</v>
      </c>
      <c r="E9703" s="2">
        <f>IFERROR(__xludf.DUMMYFUNCTION("""COMPUTED_VALUE"""),136.24)</f>
        <v>136.24</v>
      </c>
      <c r="F9703" s="2">
        <f>IFERROR(__xludf.DUMMYFUNCTION("""COMPUTED_VALUE"""),3329917.0)</f>
        <v>3329917</v>
      </c>
    </row>
    <row r="9704">
      <c r="A9704" s="3">
        <f>IFERROR(__xludf.DUMMYFUNCTION("""COMPUTED_VALUE"""),43272.66666666667)</f>
        <v>43272.66667</v>
      </c>
      <c r="B9704" s="2">
        <f>IFERROR(__xludf.DUMMYFUNCTION("""COMPUTED_VALUE"""),136.2)</f>
        <v>136.2</v>
      </c>
      <c r="C9704" s="2">
        <f>IFERROR(__xludf.DUMMYFUNCTION("""COMPUTED_VALUE"""),136.72)</f>
        <v>136.72</v>
      </c>
      <c r="D9704" s="2">
        <f>IFERROR(__xludf.DUMMYFUNCTION("""COMPUTED_VALUE"""),134.52)</f>
        <v>134.52</v>
      </c>
      <c r="E9704" s="2">
        <f>IFERROR(__xludf.DUMMYFUNCTION("""COMPUTED_VALUE"""),134.92)</f>
        <v>134.92</v>
      </c>
      <c r="F9704" s="2">
        <f>IFERROR(__xludf.DUMMYFUNCTION("""COMPUTED_VALUE"""),3887650.0)</f>
        <v>3887650</v>
      </c>
    </row>
    <row r="9705">
      <c r="A9705" s="3">
        <f>IFERROR(__xludf.DUMMYFUNCTION("""COMPUTED_VALUE"""),43273.66666666667)</f>
        <v>43273.66667</v>
      </c>
      <c r="B9705" s="2">
        <f>IFERROR(__xludf.DUMMYFUNCTION("""COMPUTED_VALUE"""),135.29)</f>
        <v>135.29</v>
      </c>
      <c r="C9705" s="2">
        <f>IFERROR(__xludf.DUMMYFUNCTION("""COMPUTED_VALUE"""),135.45)</f>
        <v>135.45</v>
      </c>
      <c r="D9705" s="2">
        <f>IFERROR(__xludf.DUMMYFUNCTION("""COMPUTED_VALUE"""),134.47)</f>
        <v>134.47</v>
      </c>
      <c r="E9705" s="2">
        <f>IFERROR(__xludf.DUMMYFUNCTION("""COMPUTED_VALUE"""),134.95)</f>
        <v>134.95</v>
      </c>
      <c r="F9705" s="2">
        <f>IFERROR(__xludf.DUMMYFUNCTION("""COMPUTED_VALUE"""),6013678.0)</f>
        <v>6013678</v>
      </c>
    </row>
    <row r="9706">
      <c r="A9706" s="3">
        <f>IFERROR(__xludf.DUMMYFUNCTION("""COMPUTED_VALUE"""),43276.66666666667)</f>
        <v>43276.66667</v>
      </c>
      <c r="B9706" s="2">
        <f>IFERROR(__xludf.DUMMYFUNCTION("""COMPUTED_VALUE"""),134.11)</f>
        <v>134.11</v>
      </c>
      <c r="C9706" s="2">
        <f>IFERROR(__xludf.DUMMYFUNCTION("""COMPUTED_VALUE"""),134.11)</f>
        <v>134.11</v>
      </c>
      <c r="D9706" s="2">
        <f>IFERROR(__xludf.DUMMYFUNCTION("""COMPUTED_VALUE"""),132.08)</f>
        <v>132.08</v>
      </c>
      <c r="E9706" s="2">
        <f>IFERROR(__xludf.DUMMYFUNCTION("""COMPUTED_VALUE"""),132.57)</f>
        <v>132.57</v>
      </c>
      <c r="F9706" s="2">
        <f>IFERROR(__xludf.DUMMYFUNCTION("""COMPUTED_VALUE"""),8937085.0)</f>
        <v>8937085</v>
      </c>
    </row>
    <row r="9707">
      <c r="A9707" s="3">
        <f>IFERROR(__xludf.DUMMYFUNCTION("""COMPUTED_VALUE"""),43277.66666666667)</f>
        <v>43277.66667</v>
      </c>
      <c r="B9707" s="2">
        <f>IFERROR(__xludf.DUMMYFUNCTION("""COMPUTED_VALUE"""),133.11)</f>
        <v>133.11</v>
      </c>
      <c r="C9707" s="2">
        <f>IFERROR(__xludf.DUMMYFUNCTION("""COMPUTED_VALUE"""),133.58)</f>
        <v>133.58</v>
      </c>
      <c r="D9707" s="2">
        <f>IFERROR(__xludf.DUMMYFUNCTION("""COMPUTED_VALUE"""),132.13)</f>
        <v>132.13</v>
      </c>
      <c r="E9707" s="2">
        <f>IFERROR(__xludf.DUMMYFUNCTION("""COMPUTED_VALUE"""),132.84)</f>
        <v>132.84</v>
      </c>
      <c r="F9707" s="2">
        <f>IFERROR(__xludf.DUMMYFUNCTION("""COMPUTED_VALUE"""),4139455.0)</f>
        <v>4139455</v>
      </c>
    </row>
    <row r="9708">
      <c r="A9708" s="3">
        <f>IFERROR(__xludf.DUMMYFUNCTION("""COMPUTED_VALUE"""),43278.66666666667)</f>
        <v>43278.66667</v>
      </c>
      <c r="B9708" s="2">
        <f>IFERROR(__xludf.DUMMYFUNCTION("""COMPUTED_VALUE"""),132.87)</f>
        <v>132.87</v>
      </c>
      <c r="C9708" s="2">
        <f>IFERROR(__xludf.DUMMYFUNCTION("""COMPUTED_VALUE"""),133.51)</f>
        <v>133.51</v>
      </c>
      <c r="D9708" s="2">
        <f>IFERROR(__xludf.DUMMYFUNCTION("""COMPUTED_VALUE"""),131.29)</f>
        <v>131.29</v>
      </c>
      <c r="E9708" s="2">
        <f>IFERROR(__xludf.DUMMYFUNCTION("""COMPUTED_VALUE"""),131.32)</f>
        <v>131.32</v>
      </c>
      <c r="F9708" s="2">
        <f>IFERROR(__xludf.DUMMYFUNCTION("""COMPUTED_VALUE"""),4101828.0)</f>
        <v>4101828</v>
      </c>
    </row>
    <row r="9709">
      <c r="A9709" s="3">
        <f>IFERROR(__xludf.DUMMYFUNCTION("""COMPUTED_VALUE"""),43279.66666666667)</f>
        <v>43279.66667</v>
      </c>
      <c r="B9709" s="2">
        <f>IFERROR(__xludf.DUMMYFUNCTION("""COMPUTED_VALUE"""),131.91)</f>
        <v>131.91</v>
      </c>
      <c r="C9709" s="2">
        <f>IFERROR(__xludf.DUMMYFUNCTION("""COMPUTED_VALUE"""),134.24)</f>
        <v>134.24</v>
      </c>
      <c r="D9709" s="2">
        <f>IFERROR(__xludf.DUMMYFUNCTION("""COMPUTED_VALUE"""),131.76)</f>
        <v>131.76</v>
      </c>
      <c r="E9709" s="2">
        <f>IFERROR(__xludf.DUMMYFUNCTION("""COMPUTED_VALUE"""),133.76)</f>
        <v>133.76</v>
      </c>
      <c r="F9709" s="2">
        <f>IFERROR(__xludf.DUMMYFUNCTION("""COMPUTED_VALUE"""),4523666.0)</f>
        <v>4523666</v>
      </c>
    </row>
    <row r="9710">
      <c r="A9710" s="3">
        <f>IFERROR(__xludf.DUMMYFUNCTION("""COMPUTED_VALUE"""),43280.66666666667)</f>
        <v>43280.66667</v>
      </c>
      <c r="B9710" s="2">
        <f>IFERROR(__xludf.DUMMYFUNCTION("""COMPUTED_VALUE"""),134.03)</f>
        <v>134.03</v>
      </c>
      <c r="C9710" s="2">
        <f>IFERROR(__xludf.DUMMYFUNCTION("""COMPUTED_VALUE"""),135.02)</f>
        <v>135.02</v>
      </c>
      <c r="D9710" s="2">
        <f>IFERROR(__xludf.DUMMYFUNCTION("""COMPUTED_VALUE"""),133.35)</f>
        <v>133.35</v>
      </c>
      <c r="E9710" s="2">
        <f>IFERROR(__xludf.DUMMYFUNCTION("""COMPUTED_VALUE"""),133.44)</f>
        <v>133.44</v>
      </c>
      <c r="F9710" s="2">
        <f>IFERROR(__xludf.DUMMYFUNCTION("""COMPUTED_VALUE"""),3753684.0)</f>
        <v>3753684</v>
      </c>
    </row>
    <row r="9711">
      <c r="A9711" s="3">
        <f>IFERROR(__xludf.DUMMYFUNCTION("""COMPUTED_VALUE"""),43283.66666666667)</f>
        <v>43283.66667</v>
      </c>
      <c r="B9711" s="2">
        <f>IFERROR(__xludf.DUMMYFUNCTION("""COMPUTED_VALUE"""),132.08)</f>
        <v>132.08</v>
      </c>
      <c r="C9711" s="2">
        <f>IFERROR(__xludf.DUMMYFUNCTION("""COMPUTED_VALUE"""),133.93)</f>
        <v>133.93</v>
      </c>
      <c r="D9711" s="2">
        <f>IFERROR(__xludf.DUMMYFUNCTION("""COMPUTED_VALUE"""),132.0)</f>
        <v>132</v>
      </c>
      <c r="E9711" s="2">
        <f>IFERROR(__xludf.DUMMYFUNCTION("""COMPUTED_VALUE"""),133.59)</f>
        <v>133.59</v>
      </c>
      <c r="F9711" s="2">
        <f>IFERROR(__xludf.DUMMYFUNCTION("""COMPUTED_VALUE"""),3405642.0)</f>
        <v>3405642</v>
      </c>
    </row>
    <row r="9712">
      <c r="A9712" s="3">
        <f>IFERROR(__xludf.DUMMYFUNCTION("""COMPUTED_VALUE"""),43284.54166666667)</f>
        <v>43284.54167</v>
      </c>
      <c r="B9712" s="2">
        <f>IFERROR(__xludf.DUMMYFUNCTION("""COMPUTED_VALUE"""),134.34)</f>
        <v>134.34</v>
      </c>
      <c r="C9712" s="2">
        <f>IFERROR(__xludf.DUMMYFUNCTION("""COMPUTED_VALUE"""),134.62)</f>
        <v>134.62</v>
      </c>
      <c r="D9712" s="2">
        <f>IFERROR(__xludf.DUMMYFUNCTION("""COMPUTED_VALUE"""),133.12)</f>
        <v>133.12</v>
      </c>
      <c r="E9712" s="2">
        <f>IFERROR(__xludf.DUMMYFUNCTION("""COMPUTED_VALUE"""),133.31)</f>
        <v>133.31</v>
      </c>
      <c r="F9712" s="2">
        <f>IFERROR(__xludf.DUMMYFUNCTION("""COMPUTED_VALUE"""),1963232.0)</f>
        <v>1963232</v>
      </c>
    </row>
    <row r="9713">
      <c r="A9713" s="3">
        <f>IFERROR(__xludf.DUMMYFUNCTION("""COMPUTED_VALUE"""),43286.66666666667)</f>
        <v>43286.66667</v>
      </c>
      <c r="B9713" s="2">
        <f>IFERROR(__xludf.DUMMYFUNCTION("""COMPUTED_VALUE"""),134.18)</f>
        <v>134.18</v>
      </c>
      <c r="C9713" s="2">
        <f>IFERROR(__xludf.DUMMYFUNCTION("""COMPUTED_VALUE"""),135.09)</f>
        <v>135.09</v>
      </c>
      <c r="D9713" s="2">
        <f>IFERROR(__xludf.DUMMYFUNCTION("""COMPUTED_VALUE"""),133.66)</f>
        <v>133.66</v>
      </c>
      <c r="E9713" s="2">
        <f>IFERROR(__xludf.DUMMYFUNCTION("""COMPUTED_VALUE"""),135.09)</f>
        <v>135.09</v>
      </c>
      <c r="F9713" s="2">
        <f>IFERROR(__xludf.DUMMYFUNCTION("""COMPUTED_VALUE"""),3744730.0)</f>
        <v>3744730</v>
      </c>
    </row>
    <row r="9714">
      <c r="A9714" s="3">
        <f>IFERROR(__xludf.DUMMYFUNCTION("""COMPUTED_VALUE"""),43287.66666666667)</f>
        <v>43287.66667</v>
      </c>
      <c r="B9714" s="2">
        <f>IFERROR(__xludf.DUMMYFUNCTION("""COMPUTED_VALUE"""),135.18)</f>
        <v>135.18</v>
      </c>
      <c r="C9714" s="2">
        <f>IFERROR(__xludf.DUMMYFUNCTION("""COMPUTED_VALUE"""),136.53)</f>
        <v>136.53</v>
      </c>
      <c r="D9714" s="2">
        <f>IFERROR(__xludf.DUMMYFUNCTION("""COMPUTED_VALUE"""),134.84)</f>
        <v>134.84</v>
      </c>
      <c r="E9714" s="2">
        <f>IFERROR(__xludf.DUMMYFUNCTION("""COMPUTED_VALUE"""),136.09)</f>
        <v>136.09</v>
      </c>
      <c r="F9714" s="2">
        <f>IFERROR(__xludf.DUMMYFUNCTION("""COMPUTED_VALUE"""),2910426.0)</f>
        <v>2910426</v>
      </c>
    </row>
    <row r="9715">
      <c r="A9715" s="3">
        <f>IFERROR(__xludf.DUMMYFUNCTION("""COMPUTED_VALUE"""),43290.66666666667)</f>
        <v>43290.66667</v>
      </c>
      <c r="B9715" s="2">
        <f>IFERROR(__xludf.DUMMYFUNCTION("""COMPUTED_VALUE"""),136.2)</f>
        <v>136.2</v>
      </c>
      <c r="C9715" s="2">
        <f>IFERROR(__xludf.DUMMYFUNCTION("""COMPUTED_VALUE"""),138.23)</f>
        <v>138.23</v>
      </c>
      <c r="D9715" s="2">
        <f>IFERROR(__xludf.DUMMYFUNCTION("""COMPUTED_VALUE"""),136.08)</f>
        <v>136.08</v>
      </c>
      <c r="E9715" s="2">
        <f>IFERROR(__xludf.DUMMYFUNCTION("""COMPUTED_VALUE"""),137.92)</f>
        <v>137.92</v>
      </c>
      <c r="F9715" s="2">
        <f>IFERROR(__xludf.DUMMYFUNCTION("""COMPUTED_VALUE"""),3904652.0)</f>
        <v>3904652</v>
      </c>
    </row>
    <row r="9716">
      <c r="A9716" s="3">
        <f>IFERROR(__xludf.DUMMYFUNCTION("""COMPUTED_VALUE"""),43291.66666666667)</f>
        <v>43291.66667</v>
      </c>
      <c r="B9716" s="2">
        <f>IFERROR(__xludf.DUMMYFUNCTION("""COMPUTED_VALUE"""),138.03)</f>
        <v>138.03</v>
      </c>
      <c r="C9716" s="2">
        <f>IFERROR(__xludf.DUMMYFUNCTION("""COMPUTED_VALUE"""),139.06)</f>
        <v>139.06</v>
      </c>
      <c r="D9716" s="2">
        <f>IFERROR(__xludf.DUMMYFUNCTION("""COMPUTED_VALUE"""),137.79)</f>
        <v>137.79</v>
      </c>
      <c r="E9716" s="2">
        <f>IFERROR(__xludf.DUMMYFUNCTION("""COMPUTED_VALUE"""),138.22)</f>
        <v>138.22</v>
      </c>
      <c r="F9716" s="2">
        <f>IFERROR(__xludf.DUMMYFUNCTION("""COMPUTED_VALUE"""),3776991.0)</f>
        <v>3776991</v>
      </c>
    </row>
    <row r="9717">
      <c r="A9717" s="3">
        <f>IFERROR(__xludf.DUMMYFUNCTION("""COMPUTED_VALUE"""),43292.66666666667)</f>
        <v>43292.66667</v>
      </c>
      <c r="B9717" s="2">
        <f>IFERROR(__xludf.DUMMYFUNCTION("""COMPUTED_VALUE"""),137.54)</f>
        <v>137.54</v>
      </c>
      <c r="C9717" s="2">
        <f>IFERROR(__xludf.DUMMYFUNCTION("""COMPUTED_VALUE"""),139.64)</f>
        <v>139.64</v>
      </c>
      <c r="D9717" s="2">
        <f>IFERROR(__xludf.DUMMYFUNCTION("""COMPUTED_VALUE"""),137.54)</f>
        <v>137.54</v>
      </c>
      <c r="E9717" s="2">
        <f>IFERROR(__xludf.DUMMYFUNCTION("""COMPUTED_VALUE"""),138.44)</f>
        <v>138.44</v>
      </c>
      <c r="F9717" s="2">
        <f>IFERROR(__xludf.DUMMYFUNCTION("""COMPUTED_VALUE"""),3526565.0)</f>
        <v>3526565</v>
      </c>
    </row>
    <row r="9718">
      <c r="A9718" s="3">
        <f>IFERROR(__xludf.DUMMYFUNCTION("""COMPUTED_VALUE"""),43293.66666666667)</f>
        <v>43293.66667</v>
      </c>
      <c r="B9718" s="2">
        <f>IFERROR(__xludf.DUMMYFUNCTION("""COMPUTED_VALUE"""),139.31)</f>
        <v>139.31</v>
      </c>
      <c r="C9718" s="2">
        <f>IFERROR(__xludf.DUMMYFUNCTION("""COMPUTED_VALUE"""),140.25)</f>
        <v>140.25</v>
      </c>
      <c r="D9718" s="2">
        <f>IFERROR(__xludf.DUMMYFUNCTION("""COMPUTED_VALUE"""),139.21)</f>
        <v>139.21</v>
      </c>
      <c r="E9718" s="2">
        <f>IFERROR(__xludf.DUMMYFUNCTION("""COMPUTED_VALUE"""),139.88)</f>
        <v>139.88</v>
      </c>
      <c r="F9718" s="2">
        <f>IFERROR(__xludf.DUMMYFUNCTION("""COMPUTED_VALUE"""),3119505.0)</f>
        <v>3119505</v>
      </c>
    </row>
    <row r="9719">
      <c r="A9719" s="3">
        <f>IFERROR(__xludf.DUMMYFUNCTION("""COMPUTED_VALUE"""),43294.66666666667)</f>
        <v>43294.66667</v>
      </c>
      <c r="B9719" s="2">
        <f>IFERROR(__xludf.DUMMYFUNCTION("""COMPUTED_VALUE"""),139.88)</f>
        <v>139.88</v>
      </c>
      <c r="C9719" s="2">
        <f>IFERROR(__xludf.DUMMYFUNCTION("""COMPUTED_VALUE"""),140.39)</f>
        <v>140.39</v>
      </c>
      <c r="D9719" s="2">
        <f>IFERROR(__xludf.DUMMYFUNCTION("""COMPUTED_VALUE"""),139.26)</f>
        <v>139.26</v>
      </c>
      <c r="E9719" s="2">
        <f>IFERROR(__xludf.DUMMYFUNCTION("""COMPUTED_VALUE"""),139.36)</f>
        <v>139.36</v>
      </c>
      <c r="F9719" s="2">
        <f>IFERROR(__xludf.DUMMYFUNCTION("""COMPUTED_VALUE"""),3067638.0)</f>
        <v>3067638</v>
      </c>
    </row>
    <row r="9720">
      <c r="A9720" s="3">
        <f>IFERROR(__xludf.DUMMYFUNCTION("""COMPUTED_VALUE"""),43297.66666666667)</f>
        <v>43297.66667</v>
      </c>
      <c r="B9720" s="2">
        <f>IFERROR(__xludf.DUMMYFUNCTION("""COMPUTED_VALUE"""),139.14)</f>
        <v>139.14</v>
      </c>
      <c r="C9720" s="2">
        <f>IFERROR(__xludf.DUMMYFUNCTION("""COMPUTED_VALUE"""),139.25)</f>
        <v>139.25</v>
      </c>
      <c r="D9720" s="2">
        <f>IFERROR(__xludf.DUMMYFUNCTION("""COMPUTED_VALUE"""),137.74)</f>
        <v>137.74</v>
      </c>
      <c r="E9720" s="2">
        <f>IFERROR(__xludf.DUMMYFUNCTION("""COMPUTED_VALUE"""),138.94)</f>
        <v>138.94</v>
      </c>
      <c r="F9720" s="2">
        <f>IFERROR(__xludf.DUMMYFUNCTION("""COMPUTED_VALUE"""),3468817.0)</f>
        <v>3468817</v>
      </c>
    </row>
    <row r="9721">
      <c r="A9721" s="3">
        <f>IFERROR(__xludf.DUMMYFUNCTION("""COMPUTED_VALUE"""),43298.66666666667)</f>
        <v>43298.66667</v>
      </c>
      <c r="B9721" s="2">
        <f>IFERROR(__xludf.DUMMYFUNCTION("""COMPUTED_VALUE"""),138.26)</f>
        <v>138.26</v>
      </c>
      <c r="C9721" s="2">
        <f>IFERROR(__xludf.DUMMYFUNCTION("""COMPUTED_VALUE"""),138.5)</f>
        <v>138.5</v>
      </c>
      <c r="D9721" s="2">
        <f>IFERROR(__xludf.DUMMYFUNCTION("""COMPUTED_VALUE"""),136.91)</f>
        <v>136.91</v>
      </c>
      <c r="E9721" s="2">
        <f>IFERROR(__xludf.DUMMYFUNCTION("""COMPUTED_VALUE"""),137.06)</f>
        <v>137.06</v>
      </c>
      <c r="F9721" s="2">
        <f>IFERROR(__xludf.DUMMYFUNCTION("""COMPUTED_VALUE"""),5096741.0)</f>
        <v>5096741</v>
      </c>
    </row>
    <row r="9722">
      <c r="A9722" s="3">
        <f>IFERROR(__xludf.DUMMYFUNCTION("""COMPUTED_VALUE"""),43299.66666666667)</f>
        <v>43299.66667</v>
      </c>
      <c r="B9722" s="2">
        <f>IFERROR(__xludf.DUMMYFUNCTION("""COMPUTED_VALUE"""),137.08)</f>
        <v>137.08</v>
      </c>
      <c r="C9722" s="2">
        <f>IFERROR(__xludf.DUMMYFUNCTION("""COMPUTED_VALUE"""),138.31)</f>
        <v>138.31</v>
      </c>
      <c r="D9722" s="2">
        <f>IFERROR(__xludf.DUMMYFUNCTION("""COMPUTED_VALUE"""),136.34)</f>
        <v>136.34</v>
      </c>
      <c r="E9722" s="2">
        <f>IFERROR(__xludf.DUMMYFUNCTION("""COMPUTED_VALUE"""),138.04)</f>
        <v>138.04</v>
      </c>
      <c r="F9722" s="2">
        <f>IFERROR(__xludf.DUMMYFUNCTION("""COMPUTED_VALUE"""),6935288.0)</f>
        <v>6935288</v>
      </c>
    </row>
    <row r="9723">
      <c r="A9723" s="3">
        <f>IFERROR(__xludf.DUMMYFUNCTION("""COMPUTED_VALUE"""),43300.66666666667)</f>
        <v>43300.66667</v>
      </c>
      <c r="B9723" s="2">
        <f>IFERROR(__xludf.DUMMYFUNCTION("""COMPUTED_VALUE"""),141.22)</f>
        <v>141.22</v>
      </c>
      <c r="C9723" s="2">
        <f>IFERROR(__xludf.DUMMYFUNCTION("""COMPUTED_VALUE"""),143.79)</f>
        <v>143.79</v>
      </c>
      <c r="D9723" s="2">
        <f>IFERROR(__xludf.DUMMYFUNCTION("""COMPUTED_VALUE"""),140.65)</f>
        <v>140.65</v>
      </c>
      <c r="E9723" s="2">
        <f>IFERROR(__xludf.DUMMYFUNCTION("""COMPUTED_VALUE"""),142.55)</f>
        <v>142.55</v>
      </c>
      <c r="F9723" s="2">
        <f>IFERROR(__xludf.DUMMYFUNCTION("""COMPUTED_VALUE"""),1.4655804E7)</f>
        <v>14655804</v>
      </c>
    </row>
    <row r="9724">
      <c r="A9724" s="3">
        <f>IFERROR(__xludf.DUMMYFUNCTION("""COMPUTED_VALUE"""),43301.66666666667)</f>
        <v>43301.66667</v>
      </c>
      <c r="B9724" s="2">
        <f>IFERROR(__xludf.DUMMYFUNCTION("""COMPUTED_VALUE"""),141.92)</f>
        <v>141.92</v>
      </c>
      <c r="C9724" s="2">
        <f>IFERROR(__xludf.DUMMYFUNCTION("""COMPUTED_VALUE"""),142.19)</f>
        <v>142.19</v>
      </c>
      <c r="D9724" s="2">
        <f>IFERROR(__xludf.DUMMYFUNCTION("""COMPUTED_VALUE"""),139.7)</f>
        <v>139.7</v>
      </c>
      <c r="E9724" s="2">
        <f>IFERROR(__xludf.DUMMYFUNCTION("""COMPUTED_VALUE"""),139.79)</f>
        <v>139.79</v>
      </c>
      <c r="F9724" s="2">
        <f>IFERROR(__xludf.DUMMYFUNCTION("""COMPUTED_VALUE"""),6415972.0)</f>
        <v>6415972</v>
      </c>
    </row>
    <row r="9725">
      <c r="A9725" s="3">
        <f>IFERROR(__xludf.DUMMYFUNCTION("""COMPUTED_VALUE"""),43304.66666666667)</f>
        <v>43304.66667</v>
      </c>
      <c r="B9725" s="2">
        <f>IFERROR(__xludf.DUMMYFUNCTION("""COMPUTED_VALUE"""),139.79)</f>
        <v>139.79</v>
      </c>
      <c r="C9725" s="2">
        <f>IFERROR(__xludf.DUMMYFUNCTION("""COMPUTED_VALUE"""),140.12)</f>
        <v>140.12</v>
      </c>
      <c r="D9725" s="2">
        <f>IFERROR(__xludf.DUMMYFUNCTION("""COMPUTED_VALUE"""),138.51)</f>
        <v>138.51</v>
      </c>
      <c r="E9725" s="2">
        <f>IFERROR(__xludf.DUMMYFUNCTION("""COMPUTED_VALUE"""),139.17)</f>
        <v>139.17</v>
      </c>
      <c r="F9725" s="2">
        <f>IFERROR(__xludf.DUMMYFUNCTION("""COMPUTED_VALUE"""),3897892.0)</f>
        <v>3897892</v>
      </c>
    </row>
    <row r="9726">
      <c r="A9726" s="3">
        <f>IFERROR(__xludf.DUMMYFUNCTION("""COMPUTED_VALUE"""),43305.66666666667)</f>
        <v>43305.66667</v>
      </c>
      <c r="B9726" s="2">
        <f>IFERROR(__xludf.DUMMYFUNCTION("""COMPUTED_VALUE"""),140.12)</f>
        <v>140.12</v>
      </c>
      <c r="C9726" s="2">
        <f>IFERROR(__xludf.DUMMYFUNCTION("""COMPUTED_VALUE"""),140.45)</f>
        <v>140.45</v>
      </c>
      <c r="D9726" s="2">
        <f>IFERROR(__xludf.DUMMYFUNCTION("""COMPUTED_VALUE"""),139.38)</f>
        <v>139.38</v>
      </c>
      <c r="E9726" s="2">
        <f>IFERROR(__xludf.DUMMYFUNCTION("""COMPUTED_VALUE"""),139.82)</f>
        <v>139.82</v>
      </c>
      <c r="F9726" s="2">
        <f>IFERROR(__xludf.DUMMYFUNCTION("""COMPUTED_VALUE"""),3891625.0)</f>
        <v>3891625</v>
      </c>
    </row>
    <row r="9727">
      <c r="A9727" s="3">
        <f>IFERROR(__xludf.DUMMYFUNCTION("""COMPUTED_VALUE"""),43306.66666666667)</f>
        <v>43306.66667</v>
      </c>
      <c r="B9727" s="2">
        <f>IFERROR(__xludf.DUMMYFUNCTION("""COMPUTED_VALUE"""),139.46)</f>
        <v>139.46</v>
      </c>
      <c r="C9727" s="2">
        <f>IFERROR(__xludf.DUMMYFUNCTION("""COMPUTED_VALUE"""),140.07)</f>
        <v>140.07</v>
      </c>
      <c r="D9727" s="2">
        <f>IFERROR(__xludf.DUMMYFUNCTION("""COMPUTED_VALUE"""),138.98)</f>
        <v>138.98</v>
      </c>
      <c r="E9727" s="2">
        <f>IFERROR(__xludf.DUMMYFUNCTION("""COMPUTED_VALUE"""),140.05)</f>
        <v>140.05</v>
      </c>
      <c r="F9727" s="2">
        <f>IFERROR(__xludf.DUMMYFUNCTION("""COMPUTED_VALUE"""),3623182.0)</f>
        <v>3623182</v>
      </c>
    </row>
    <row r="9728">
      <c r="A9728" s="3">
        <f>IFERROR(__xludf.DUMMYFUNCTION("""COMPUTED_VALUE"""),43307.66666666667)</f>
        <v>43307.66667</v>
      </c>
      <c r="B9728" s="2">
        <f>IFERROR(__xludf.DUMMYFUNCTION("""COMPUTED_VALUE"""),140.82)</f>
        <v>140.82</v>
      </c>
      <c r="C9728" s="2">
        <f>IFERROR(__xludf.DUMMYFUNCTION("""COMPUTED_VALUE"""),142.58)</f>
        <v>142.58</v>
      </c>
      <c r="D9728" s="2">
        <f>IFERROR(__xludf.DUMMYFUNCTION("""COMPUTED_VALUE"""),140.06)</f>
        <v>140.06</v>
      </c>
      <c r="E9728" s="2">
        <f>IFERROR(__xludf.DUMMYFUNCTION("""COMPUTED_VALUE"""),140.13)</f>
        <v>140.13</v>
      </c>
      <c r="F9728" s="2">
        <f>IFERROR(__xludf.DUMMYFUNCTION("""COMPUTED_VALUE"""),4778022.0)</f>
        <v>4778022</v>
      </c>
    </row>
    <row r="9729">
      <c r="A9729" s="3">
        <f>IFERROR(__xludf.DUMMYFUNCTION("""COMPUTED_VALUE"""),43308.66666666667)</f>
        <v>43308.66667</v>
      </c>
      <c r="B9729" s="2">
        <f>IFERROR(__xludf.DUMMYFUNCTION("""COMPUTED_VALUE"""),140.3)</f>
        <v>140.3</v>
      </c>
      <c r="C9729" s="2">
        <f>IFERROR(__xludf.DUMMYFUNCTION("""COMPUTED_VALUE"""),140.54)</f>
        <v>140.54</v>
      </c>
      <c r="D9729" s="2">
        <f>IFERROR(__xludf.DUMMYFUNCTION("""COMPUTED_VALUE"""),138.17)</f>
        <v>138.17</v>
      </c>
      <c r="E9729" s="2">
        <f>IFERROR(__xludf.DUMMYFUNCTION("""COMPUTED_VALUE"""),138.64)</f>
        <v>138.64</v>
      </c>
      <c r="F9729" s="2">
        <f>IFERROR(__xludf.DUMMYFUNCTION("""COMPUTED_VALUE"""),3749642.0)</f>
        <v>3749642</v>
      </c>
    </row>
    <row r="9730">
      <c r="A9730" s="3">
        <f>IFERROR(__xludf.DUMMYFUNCTION("""COMPUTED_VALUE"""),43311.66666666667)</f>
        <v>43311.66667</v>
      </c>
      <c r="B9730" s="2">
        <f>IFERROR(__xludf.DUMMYFUNCTION("""COMPUTED_VALUE"""),138.31)</f>
        <v>138.31</v>
      </c>
      <c r="C9730" s="2">
        <f>IFERROR(__xludf.DUMMYFUNCTION("""COMPUTED_VALUE"""),139.68)</f>
        <v>139.68</v>
      </c>
      <c r="D9730" s="2">
        <f>IFERROR(__xludf.DUMMYFUNCTION("""COMPUTED_VALUE"""),138.2)</f>
        <v>138.2</v>
      </c>
      <c r="E9730" s="2">
        <f>IFERROR(__xludf.DUMMYFUNCTION("""COMPUTED_VALUE"""),138.97)</f>
        <v>138.97</v>
      </c>
      <c r="F9730" s="2">
        <f>IFERROR(__xludf.DUMMYFUNCTION("""COMPUTED_VALUE"""),3608283.0)</f>
        <v>3608283</v>
      </c>
    </row>
    <row r="9731">
      <c r="A9731" s="3">
        <f>IFERROR(__xludf.DUMMYFUNCTION("""COMPUTED_VALUE"""),43312.66666666667)</f>
        <v>43312.66667</v>
      </c>
      <c r="B9731" s="2">
        <f>IFERROR(__xludf.DUMMYFUNCTION("""COMPUTED_VALUE"""),139.21)</f>
        <v>139.21</v>
      </c>
      <c r="C9731" s="2">
        <f>IFERROR(__xludf.DUMMYFUNCTION("""COMPUTED_VALUE"""),139.26)</f>
        <v>139.26</v>
      </c>
      <c r="D9731" s="2">
        <f>IFERROR(__xludf.DUMMYFUNCTION("""COMPUTED_VALUE"""),137.7)</f>
        <v>137.7</v>
      </c>
      <c r="E9731" s="2">
        <f>IFERROR(__xludf.DUMMYFUNCTION("""COMPUTED_VALUE"""),138.43)</f>
        <v>138.43</v>
      </c>
      <c r="F9731" s="2">
        <f>IFERROR(__xludf.DUMMYFUNCTION("""COMPUTED_VALUE"""),5474478.0)</f>
        <v>5474478</v>
      </c>
    </row>
    <row r="9732">
      <c r="A9732" s="3">
        <f>IFERROR(__xludf.DUMMYFUNCTION("""COMPUTED_VALUE"""),43313.66666666667)</f>
        <v>43313.66667</v>
      </c>
      <c r="B9732" s="2">
        <f>IFERROR(__xludf.DUMMYFUNCTION("""COMPUTED_VALUE"""),138.27)</f>
        <v>138.27</v>
      </c>
      <c r="C9732" s="2">
        <f>IFERROR(__xludf.DUMMYFUNCTION("""COMPUTED_VALUE"""),138.68)</f>
        <v>138.68</v>
      </c>
      <c r="D9732" s="2">
        <f>IFERROR(__xludf.DUMMYFUNCTION("""COMPUTED_VALUE"""),136.91)</f>
        <v>136.91</v>
      </c>
      <c r="E9732" s="2">
        <f>IFERROR(__xludf.DUMMYFUNCTION("""COMPUTED_VALUE"""),137.07)</f>
        <v>137.07</v>
      </c>
      <c r="F9732" s="2">
        <f>IFERROR(__xludf.DUMMYFUNCTION("""COMPUTED_VALUE"""),3388386.0)</f>
        <v>3388386</v>
      </c>
    </row>
    <row r="9733">
      <c r="A9733" s="3">
        <f>IFERROR(__xludf.DUMMYFUNCTION("""COMPUTED_VALUE"""),43314.66666666667)</f>
        <v>43314.66667</v>
      </c>
      <c r="B9733" s="2">
        <f>IFERROR(__xludf.DUMMYFUNCTION("""COMPUTED_VALUE"""),136.45)</f>
        <v>136.45</v>
      </c>
      <c r="C9733" s="2">
        <f>IFERROR(__xludf.DUMMYFUNCTION("""COMPUTED_VALUE"""),136.93)</f>
        <v>136.93</v>
      </c>
      <c r="D9733" s="2">
        <f>IFERROR(__xludf.DUMMYFUNCTION("""COMPUTED_VALUE"""),135.95)</f>
        <v>135.95</v>
      </c>
      <c r="E9733" s="2">
        <f>IFERROR(__xludf.DUMMYFUNCTION("""COMPUTED_VALUE"""),136.55)</f>
        <v>136.55</v>
      </c>
      <c r="F9733" s="2">
        <f>IFERROR(__xludf.DUMMYFUNCTION("""COMPUTED_VALUE"""),3841447.0)</f>
        <v>3841447</v>
      </c>
    </row>
    <row r="9734">
      <c r="A9734" s="3">
        <f>IFERROR(__xludf.DUMMYFUNCTION("""COMPUTED_VALUE"""),43315.66666666667)</f>
        <v>43315.66667</v>
      </c>
      <c r="B9734" s="2">
        <f>IFERROR(__xludf.DUMMYFUNCTION("""COMPUTED_VALUE"""),136.82)</f>
        <v>136.82</v>
      </c>
      <c r="C9734" s="2">
        <f>IFERROR(__xludf.DUMMYFUNCTION("""COMPUTED_VALUE"""),141.29)</f>
        <v>141.29</v>
      </c>
      <c r="D9734" s="2">
        <f>IFERROR(__xludf.DUMMYFUNCTION("""COMPUTED_VALUE"""),136.59)</f>
        <v>136.59</v>
      </c>
      <c r="E9734" s="2">
        <f>IFERROR(__xludf.DUMMYFUNCTION("""COMPUTED_VALUE"""),141.08)</f>
        <v>141.08</v>
      </c>
      <c r="F9734" s="2">
        <f>IFERROR(__xludf.DUMMYFUNCTION("""COMPUTED_VALUE"""),8053567.0)</f>
        <v>8053567</v>
      </c>
    </row>
    <row r="9735">
      <c r="A9735" s="3">
        <f>IFERROR(__xludf.DUMMYFUNCTION("""COMPUTED_VALUE"""),43318.66666666667)</f>
        <v>43318.66667</v>
      </c>
      <c r="B9735" s="2">
        <f>IFERROR(__xludf.DUMMYFUNCTION("""COMPUTED_VALUE"""),140.36)</f>
        <v>140.36</v>
      </c>
      <c r="C9735" s="2">
        <f>IFERROR(__xludf.DUMMYFUNCTION("""COMPUTED_VALUE"""),140.6)</f>
        <v>140.6</v>
      </c>
      <c r="D9735" s="2">
        <f>IFERROR(__xludf.DUMMYFUNCTION("""COMPUTED_VALUE"""),139.04)</f>
        <v>139.04</v>
      </c>
      <c r="E9735" s="2">
        <f>IFERROR(__xludf.DUMMYFUNCTION("""COMPUTED_VALUE"""),139.48)</f>
        <v>139.48</v>
      </c>
      <c r="F9735" s="2">
        <f>IFERROR(__xludf.DUMMYFUNCTION("""COMPUTED_VALUE"""),3913743.0)</f>
        <v>3913743</v>
      </c>
    </row>
    <row r="9736">
      <c r="A9736" s="3">
        <f>IFERROR(__xludf.DUMMYFUNCTION("""COMPUTED_VALUE"""),43319.66666666667)</f>
        <v>43319.66667</v>
      </c>
      <c r="B9736" s="2">
        <f>IFERROR(__xludf.DUMMYFUNCTION("""COMPUTED_VALUE"""),140.07)</f>
        <v>140.07</v>
      </c>
      <c r="C9736" s="2">
        <f>IFERROR(__xludf.DUMMYFUNCTION("""COMPUTED_VALUE"""),141.02)</f>
        <v>141.02</v>
      </c>
      <c r="D9736" s="2">
        <f>IFERROR(__xludf.DUMMYFUNCTION("""COMPUTED_VALUE"""),139.79)</f>
        <v>139.79</v>
      </c>
      <c r="E9736" s="2">
        <f>IFERROR(__xludf.DUMMYFUNCTION("""COMPUTED_VALUE"""),140.42)</f>
        <v>140.42</v>
      </c>
      <c r="F9736" s="2">
        <f>IFERROR(__xludf.DUMMYFUNCTION("""COMPUTED_VALUE"""),3508758.0)</f>
        <v>3508758</v>
      </c>
    </row>
    <row r="9737">
      <c r="A9737" s="3">
        <f>IFERROR(__xludf.DUMMYFUNCTION("""COMPUTED_VALUE"""),43320.66666666667)</f>
        <v>43320.66667</v>
      </c>
      <c r="B9737" s="2">
        <f>IFERROR(__xludf.DUMMYFUNCTION("""COMPUTED_VALUE"""),140.72)</f>
        <v>140.72</v>
      </c>
      <c r="C9737" s="2">
        <f>IFERROR(__xludf.DUMMYFUNCTION("""COMPUTED_VALUE"""),140.82)</f>
        <v>140.82</v>
      </c>
      <c r="D9737" s="2">
        <f>IFERROR(__xludf.DUMMYFUNCTION("""COMPUTED_VALUE"""),139.68)</f>
        <v>139.68</v>
      </c>
      <c r="E9737" s="2">
        <f>IFERROR(__xludf.DUMMYFUNCTION("""COMPUTED_VALUE"""),140.3)</f>
        <v>140.3</v>
      </c>
      <c r="F9737" s="2">
        <f>IFERROR(__xludf.DUMMYFUNCTION("""COMPUTED_VALUE"""),3581746.0)</f>
        <v>3581746</v>
      </c>
    </row>
    <row r="9738">
      <c r="A9738" s="3">
        <f>IFERROR(__xludf.DUMMYFUNCTION("""COMPUTED_VALUE"""),43321.66666666667)</f>
        <v>43321.66667</v>
      </c>
      <c r="B9738" s="2">
        <f>IFERROR(__xludf.DUMMYFUNCTION("""COMPUTED_VALUE"""),139.01)</f>
        <v>139.01</v>
      </c>
      <c r="C9738" s="2">
        <f>IFERROR(__xludf.DUMMYFUNCTION("""COMPUTED_VALUE"""),139.4)</f>
        <v>139.4</v>
      </c>
      <c r="D9738" s="2">
        <f>IFERROR(__xludf.DUMMYFUNCTION("""COMPUTED_VALUE"""),138.24)</f>
        <v>138.24</v>
      </c>
      <c r="E9738" s="2">
        <f>IFERROR(__xludf.DUMMYFUNCTION("""COMPUTED_VALUE"""),138.28)</f>
        <v>138.28</v>
      </c>
      <c r="F9738" s="2">
        <f>IFERROR(__xludf.DUMMYFUNCTION("""COMPUTED_VALUE"""),3093504.0)</f>
        <v>3093504</v>
      </c>
    </row>
    <row r="9739">
      <c r="A9739" s="3">
        <f>IFERROR(__xludf.DUMMYFUNCTION("""COMPUTED_VALUE"""),43322.66666666667)</f>
        <v>43322.66667</v>
      </c>
      <c r="B9739" s="2">
        <f>IFERROR(__xludf.DUMMYFUNCTION("""COMPUTED_VALUE"""),138.02)</f>
        <v>138.02</v>
      </c>
      <c r="C9739" s="2">
        <f>IFERROR(__xludf.DUMMYFUNCTION("""COMPUTED_VALUE"""),138.57)</f>
        <v>138.57</v>
      </c>
      <c r="D9739" s="2">
        <f>IFERROR(__xludf.DUMMYFUNCTION("""COMPUTED_VALUE"""),137.43)</f>
        <v>137.43</v>
      </c>
      <c r="E9739" s="2">
        <f>IFERROR(__xludf.DUMMYFUNCTION("""COMPUTED_VALUE"""),138.0)</f>
        <v>138</v>
      </c>
      <c r="F9739" s="2">
        <f>IFERROR(__xludf.DUMMYFUNCTION("""COMPUTED_VALUE"""),3003158.0)</f>
        <v>3003158</v>
      </c>
    </row>
    <row r="9740">
      <c r="A9740" s="3">
        <f>IFERROR(__xludf.DUMMYFUNCTION("""COMPUTED_VALUE"""),43325.66666666667)</f>
        <v>43325.66667</v>
      </c>
      <c r="B9740" s="2">
        <f>IFERROR(__xludf.DUMMYFUNCTION("""COMPUTED_VALUE"""),137.69)</f>
        <v>137.69</v>
      </c>
      <c r="C9740" s="2">
        <f>IFERROR(__xludf.DUMMYFUNCTION("""COMPUTED_VALUE"""),137.83)</f>
        <v>137.83</v>
      </c>
      <c r="D9740" s="2">
        <f>IFERROR(__xludf.DUMMYFUNCTION("""COMPUTED_VALUE"""),136.14)</f>
        <v>136.14</v>
      </c>
      <c r="E9740" s="2">
        <f>IFERROR(__xludf.DUMMYFUNCTION("""COMPUTED_VALUE"""),136.31)</f>
        <v>136.31</v>
      </c>
      <c r="F9740" s="2">
        <f>IFERROR(__xludf.DUMMYFUNCTION("""COMPUTED_VALUE"""),2858842.0)</f>
        <v>2858842</v>
      </c>
    </row>
    <row r="9741">
      <c r="A9741" s="3">
        <f>IFERROR(__xludf.DUMMYFUNCTION("""COMPUTED_VALUE"""),43326.66666666667)</f>
        <v>43326.66667</v>
      </c>
      <c r="B9741" s="2">
        <f>IFERROR(__xludf.DUMMYFUNCTION("""COMPUTED_VALUE"""),136.59)</f>
        <v>136.59</v>
      </c>
      <c r="C9741" s="2">
        <f>IFERROR(__xludf.DUMMYFUNCTION("""COMPUTED_VALUE"""),137.37)</f>
        <v>137.37</v>
      </c>
      <c r="D9741" s="2">
        <f>IFERROR(__xludf.DUMMYFUNCTION("""COMPUTED_VALUE"""),136.52)</f>
        <v>136.52</v>
      </c>
      <c r="E9741" s="2">
        <f>IFERROR(__xludf.DUMMYFUNCTION("""COMPUTED_VALUE"""),136.93)</f>
        <v>136.93</v>
      </c>
      <c r="F9741" s="2">
        <f>IFERROR(__xludf.DUMMYFUNCTION("""COMPUTED_VALUE"""),2860041.0)</f>
        <v>2860041</v>
      </c>
    </row>
    <row r="9742">
      <c r="A9742" s="3">
        <f>IFERROR(__xludf.DUMMYFUNCTION("""COMPUTED_VALUE"""),43327.66666666667)</f>
        <v>43327.66667</v>
      </c>
      <c r="B9742" s="2">
        <f>IFERROR(__xludf.DUMMYFUNCTION("""COMPUTED_VALUE"""),136.16)</f>
        <v>136.16</v>
      </c>
      <c r="C9742" s="2">
        <f>IFERROR(__xludf.DUMMYFUNCTION("""COMPUTED_VALUE"""),137.54)</f>
        <v>137.54</v>
      </c>
      <c r="D9742" s="2">
        <f>IFERROR(__xludf.DUMMYFUNCTION("""COMPUTED_VALUE"""),135.63)</f>
        <v>135.63</v>
      </c>
      <c r="E9742" s="2">
        <f>IFERROR(__xludf.DUMMYFUNCTION("""COMPUTED_VALUE"""),137.46)</f>
        <v>137.46</v>
      </c>
      <c r="F9742" s="2">
        <f>IFERROR(__xludf.DUMMYFUNCTION("""COMPUTED_VALUE"""),4241496.0)</f>
        <v>4241496</v>
      </c>
    </row>
    <row r="9743">
      <c r="A9743" s="3">
        <f>IFERROR(__xludf.DUMMYFUNCTION("""COMPUTED_VALUE"""),43328.66666666667)</f>
        <v>43328.66667</v>
      </c>
      <c r="B9743" s="2">
        <f>IFERROR(__xludf.DUMMYFUNCTION("""COMPUTED_VALUE"""),137.9)</f>
        <v>137.9</v>
      </c>
      <c r="C9743" s="2">
        <f>IFERROR(__xludf.DUMMYFUNCTION("""COMPUTED_VALUE"""),139.15)</f>
        <v>139.15</v>
      </c>
      <c r="D9743" s="2">
        <f>IFERROR(__xludf.DUMMYFUNCTION("""COMPUTED_VALUE"""),137.9)</f>
        <v>137.9</v>
      </c>
      <c r="E9743" s="2">
        <f>IFERROR(__xludf.DUMMYFUNCTION("""COMPUTED_VALUE"""),138.82)</f>
        <v>138.82</v>
      </c>
      <c r="F9743" s="2">
        <f>IFERROR(__xludf.DUMMYFUNCTION("""COMPUTED_VALUE"""),5250878.0)</f>
        <v>5250878</v>
      </c>
    </row>
    <row r="9744">
      <c r="A9744" s="3">
        <f>IFERROR(__xludf.DUMMYFUNCTION("""COMPUTED_VALUE"""),43329.66666666667)</f>
        <v>43329.66667</v>
      </c>
      <c r="B9744" s="2">
        <f>IFERROR(__xludf.DUMMYFUNCTION("""COMPUTED_VALUE"""),138.3)</f>
        <v>138.3</v>
      </c>
      <c r="C9744" s="2">
        <f>IFERROR(__xludf.DUMMYFUNCTION("""COMPUTED_VALUE"""),139.83)</f>
        <v>139.83</v>
      </c>
      <c r="D9744" s="2">
        <f>IFERROR(__xludf.DUMMYFUNCTION("""COMPUTED_VALUE"""),138.2)</f>
        <v>138.2</v>
      </c>
      <c r="E9744" s="2">
        <f>IFERROR(__xludf.DUMMYFUNCTION("""COMPUTED_VALUE"""),139.51)</f>
        <v>139.51</v>
      </c>
      <c r="F9744" s="2">
        <f>IFERROR(__xludf.DUMMYFUNCTION("""COMPUTED_VALUE"""),2678820.0)</f>
        <v>2678820</v>
      </c>
    </row>
    <row r="9745">
      <c r="A9745" s="3">
        <f>IFERROR(__xludf.DUMMYFUNCTION("""COMPUTED_VALUE"""),43332.66666666667)</f>
        <v>43332.66667</v>
      </c>
      <c r="B9745" s="2">
        <f>IFERROR(__xludf.DUMMYFUNCTION("""COMPUTED_VALUE"""),139.81)</f>
        <v>139.81</v>
      </c>
      <c r="C9745" s="2">
        <f>IFERROR(__xludf.DUMMYFUNCTION("""COMPUTED_VALUE"""),140.56)</f>
        <v>140.56</v>
      </c>
      <c r="D9745" s="2">
        <f>IFERROR(__xludf.DUMMYFUNCTION("""COMPUTED_VALUE"""),139.6)</f>
        <v>139.6</v>
      </c>
      <c r="E9745" s="2">
        <f>IFERROR(__xludf.DUMMYFUNCTION("""COMPUTED_VALUE"""),139.94)</f>
        <v>139.94</v>
      </c>
      <c r="F9745" s="2">
        <f>IFERROR(__xludf.DUMMYFUNCTION("""COMPUTED_VALUE"""),2499654.0)</f>
        <v>2499654</v>
      </c>
    </row>
    <row r="9746">
      <c r="A9746" s="3">
        <f>IFERROR(__xludf.DUMMYFUNCTION("""COMPUTED_VALUE"""),43333.66666666667)</f>
        <v>43333.66667</v>
      </c>
      <c r="B9746" s="2">
        <f>IFERROR(__xludf.DUMMYFUNCTION("""COMPUTED_VALUE"""),140.41)</f>
        <v>140.41</v>
      </c>
      <c r="C9746" s="2">
        <f>IFERROR(__xludf.DUMMYFUNCTION("""COMPUTED_VALUE"""),140.52)</f>
        <v>140.52</v>
      </c>
      <c r="D9746" s="2">
        <f>IFERROR(__xludf.DUMMYFUNCTION("""COMPUTED_VALUE"""),139.35)</f>
        <v>139.35</v>
      </c>
      <c r="E9746" s="2">
        <f>IFERROR(__xludf.DUMMYFUNCTION("""COMPUTED_VALUE"""),139.43)</f>
        <v>139.43</v>
      </c>
      <c r="F9746" s="2">
        <f>IFERROR(__xludf.DUMMYFUNCTION("""COMPUTED_VALUE"""),3106876.0)</f>
        <v>3106876</v>
      </c>
    </row>
    <row r="9747">
      <c r="A9747" s="3">
        <f>IFERROR(__xludf.DUMMYFUNCTION("""COMPUTED_VALUE"""),43334.66666666667)</f>
        <v>43334.66667</v>
      </c>
      <c r="B9747" s="2">
        <f>IFERROR(__xludf.DUMMYFUNCTION("""COMPUTED_VALUE"""),139.46)</f>
        <v>139.46</v>
      </c>
      <c r="C9747" s="2">
        <f>IFERROR(__xludf.DUMMYFUNCTION("""COMPUTED_VALUE"""),139.61)</f>
        <v>139.61</v>
      </c>
      <c r="D9747" s="2">
        <f>IFERROR(__xludf.DUMMYFUNCTION("""COMPUTED_VALUE"""),138.68)</f>
        <v>138.68</v>
      </c>
      <c r="E9747" s="2">
        <f>IFERROR(__xludf.DUMMYFUNCTION("""COMPUTED_VALUE"""),138.73)</f>
        <v>138.73</v>
      </c>
      <c r="F9747" s="2">
        <f>IFERROR(__xludf.DUMMYFUNCTION("""COMPUTED_VALUE"""),2388961.0)</f>
        <v>2388961</v>
      </c>
    </row>
    <row r="9748">
      <c r="A9748" s="3">
        <f>IFERROR(__xludf.DUMMYFUNCTION("""COMPUTED_VALUE"""),43335.66666666667)</f>
        <v>43335.66667</v>
      </c>
      <c r="B9748" s="2">
        <f>IFERROR(__xludf.DUMMYFUNCTION("""COMPUTED_VALUE"""),138.54)</f>
        <v>138.54</v>
      </c>
      <c r="C9748" s="2">
        <f>IFERROR(__xludf.DUMMYFUNCTION("""COMPUTED_VALUE"""),139.0)</f>
        <v>139</v>
      </c>
      <c r="D9748" s="2">
        <f>IFERROR(__xludf.DUMMYFUNCTION("""COMPUTED_VALUE"""),138.26)</f>
        <v>138.26</v>
      </c>
      <c r="E9748" s="2">
        <f>IFERROR(__xludf.DUMMYFUNCTION("""COMPUTED_VALUE"""),138.85)</f>
        <v>138.85</v>
      </c>
      <c r="F9748" s="2">
        <f>IFERROR(__xludf.DUMMYFUNCTION("""COMPUTED_VALUE"""),2220603.0)</f>
        <v>2220603</v>
      </c>
    </row>
    <row r="9749">
      <c r="A9749" s="3">
        <f>IFERROR(__xludf.DUMMYFUNCTION("""COMPUTED_VALUE"""),43336.66666666667)</f>
        <v>43336.66667</v>
      </c>
      <c r="B9749" s="2">
        <f>IFERROR(__xludf.DUMMYFUNCTION("""COMPUTED_VALUE"""),138.94)</f>
        <v>138.94</v>
      </c>
      <c r="C9749" s="2">
        <f>IFERROR(__xludf.DUMMYFUNCTION("""COMPUTED_VALUE"""),139.54)</f>
        <v>139.54</v>
      </c>
      <c r="D9749" s="2">
        <f>IFERROR(__xludf.DUMMYFUNCTION("""COMPUTED_VALUE"""),138.37)</f>
        <v>138.37</v>
      </c>
      <c r="E9749" s="2">
        <f>IFERROR(__xludf.DUMMYFUNCTION("""COMPUTED_VALUE"""),139.49)</f>
        <v>139.49</v>
      </c>
      <c r="F9749" s="2">
        <f>IFERROR(__xludf.DUMMYFUNCTION("""COMPUTED_VALUE"""),2776813.0)</f>
        <v>2776813</v>
      </c>
    </row>
    <row r="9750">
      <c r="A9750" s="3">
        <f>IFERROR(__xludf.DUMMYFUNCTION("""COMPUTED_VALUE"""),43339.66666666667)</f>
        <v>43339.66667</v>
      </c>
      <c r="B9750" s="2">
        <f>IFERROR(__xludf.DUMMYFUNCTION("""COMPUTED_VALUE"""),140.35)</f>
        <v>140.35</v>
      </c>
      <c r="C9750" s="2">
        <f>IFERROR(__xludf.DUMMYFUNCTION("""COMPUTED_VALUE"""),141.0)</f>
        <v>141</v>
      </c>
      <c r="D9750" s="2">
        <f>IFERROR(__xludf.DUMMYFUNCTION("""COMPUTED_VALUE"""),139.95)</f>
        <v>139.95</v>
      </c>
      <c r="E9750" s="2">
        <f>IFERROR(__xludf.DUMMYFUNCTION("""COMPUTED_VALUE"""),140.11)</f>
        <v>140.11</v>
      </c>
      <c r="F9750" s="2">
        <f>IFERROR(__xludf.DUMMYFUNCTION("""COMPUTED_VALUE"""),3491565.0)</f>
        <v>3491565</v>
      </c>
    </row>
    <row r="9751">
      <c r="A9751" s="3">
        <f>IFERROR(__xludf.DUMMYFUNCTION("""COMPUTED_VALUE"""),43340.66666666667)</f>
        <v>43340.66667</v>
      </c>
      <c r="B9751" s="2">
        <f>IFERROR(__xludf.DUMMYFUNCTION("""COMPUTED_VALUE"""),140.36)</f>
        <v>140.36</v>
      </c>
      <c r="C9751" s="2">
        <f>IFERROR(__xludf.DUMMYFUNCTION("""COMPUTED_VALUE"""),140.4)</f>
        <v>140.4</v>
      </c>
      <c r="D9751" s="2">
        <f>IFERROR(__xludf.DUMMYFUNCTION("""COMPUTED_VALUE"""),139.64)</f>
        <v>139.64</v>
      </c>
      <c r="E9751" s="2">
        <f>IFERROR(__xludf.DUMMYFUNCTION("""COMPUTED_VALUE"""),140.02)</f>
        <v>140.02</v>
      </c>
      <c r="F9751" s="2">
        <f>IFERROR(__xludf.DUMMYFUNCTION("""COMPUTED_VALUE"""),2455328.0)</f>
        <v>2455328</v>
      </c>
    </row>
    <row r="9752">
      <c r="A9752" s="3">
        <f>IFERROR(__xludf.DUMMYFUNCTION("""COMPUTED_VALUE"""),43341.66666666667)</f>
        <v>43341.66667</v>
      </c>
      <c r="B9752" s="2">
        <f>IFERROR(__xludf.DUMMYFUNCTION("""COMPUTED_VALUE"""),140.28)</f>
        <v>140.28</v>
      </c>
      <c r="C9752" s="2">
        <f>IFERROR(__xludf.DUMMYFUNCTION("""COMPUTED_VALUE"""),141.3)</f>
        <v>141.3</v>
      </c>
      <c r="D9752" s="2">
        <f>IFERROR(__xludf.DUMMYFUNCTION("""COMPUTED_VALUE"""),140.03)</f>
        <v>140.03</v>
      </c>
      <c r="E9752" s="2">
        <f>IFERROR(__xludf.DUMMYFUNCTION("""COMPUTED_VALUE"""),140.92)</f>
        <v>140.92</v>
      </c>
      <c r="F9752" s="2">
        <f>IFERROR(__xludf.DUMMYFUNCTION("""COMPUTED_VALUE"""),3153845.0)</f>
        <v>3153845</v>
      </c>
    </row>
    <row r="9753">
      <c r="A9753" s="3">
        <f>IFERROR(__xludf.DUMMYFUNCTION("""COMPUTED_VALUE"""),43342.66666666667)</f>
        <v>43342.66667</v>
      </c>
      <c r="B9753" s="2">
        <f>IFERROR(__xludf.DUMMYFUNCTION("""COMPUTED_VALUE"""),140.44)</f>
        <v>140.44</v>
      </c>
      <c r="C9753" s="2">
        <f>IFERROR(__xludf.DUMMYFUNCTION("""COMPUTED_VALUE"""),140.7)</f>
        <v>140.7</v>
      </c>
      <c r="D9753" s="2">
        <f>IFERROR(__xludf.DUMMYFUNCTION("""COMPUTED_VALUE"""),138.74)</f>
        <v>138.74</v>
      </c>
      <c r="E9753" s="2">
        <f>IFERROR(__xludf.DUMMYFUNCTION("""COMPUTED_VALUE"""),139.39)</f>
        <v>139.39</v>
      </c>
      <c r="F9753" s="2">
        <f>IFERROR(__xludf.DUMMYFUNCTION("""COMPUTED_VALUE"""),3340369.0)</f>
        <v>3340369</v>
      </c>
    </row>
    <row r="9754">
      <c r="A9754" s="3">
        <f>IFERROR(__xludf.DUMMYFUNCTION("""COMPUTED_VALUE"""),43343.66666666667)</f>
        <v>43343.66667</v>
      </c>
      <c r="B9754" s="2">
        <f>IFERROR(__xludf.DUMMYFUNCTION("""COMPUTED_VALUE"""),139.19)</f>
        <v>139.19</v>
      </c>
      <c r="C9754" s="2">
        <f>IFERROR(__xludf.DUMMYFUNCTION("""COMPUTED_VALUE"""),140.2)</f>
        <v>140.2</v>
      </c>
      <c r="D9754" s="2">
        <f>IFERROR(__xludf.DUMMYFUNCTION("""COMPUTED_VALUE"""),139.01)</f>
        <v>139.01</v>
      </c>
      <c r="E9754" s="2">
        <f>IFERROR(__xludf.DUMMYFUNCTION("""COMPUTED_VALUE"""),139.91)</f>
        <v>139.91</v>
      </c>
      <c r="F9754" s="2">
        <f>IFERROR(__xludf.DUMMYFUNCTION("""COMPUTED_VALUE"""),3488476.0)</f>
        <v>3488476</v>
      </c>
    </row>
    <row r="9755">
      <c r="A9755" s="3">
        <f>IFERROR(__xludf.DUMMYFUNCTION("""COMPUTED_VALUE"""),43347.66666666667)</f>
        <v>43347.66667</v>
      </c>
      <c r="B9755" s="2">
        <f>IFERROR(__xludf.DUMMYFUNCTION("""COMPUTED_VALUE"""),139.43)</f>
        <v>139.43</v>
      </c>
      <c r="C9755" s="2">
        <f>IFERROR(__xludf.DUMMYFUNCTION("""COMPUTED_VALUE"""),139.64)</f>
        <v>139.64</v>
      </c>
      <c r="D9755" s="2">
        <f>IFERROR(__xludf.DUMMYFUNCTION("""COMPUTED_VALUE"""),138.32)</f>
        <v>138.32</v>
      </c>
      <c r="E9755" s="2">
        <f>IFERROR(__xludf.DUMMYFUNCTION("""COMPUTED_VALUE"""),139.15)</f>
        <v>139.15</v>
      </c>
      <c r="F9755" s="2">
        <f>IFERROR(__xludf.DUMMYFUNCTION("""COMPUTED_VALUE"""),3326153.0)</f>
        <v>3326153</v>
      </c>
    </row>
    <row r="9756">
      <c r="A9756" s="3">
        <f>IFERROR(__xludf.DUMMYFUNCTION("""COMPUTED_VALUE"""),43348.66666666667)</f>
        <v>43348.66667</v>
      </c>
      <c r="B9756" s="2">
        <f>IFERROR(__xludf.DUMMYFUNCTION("""COMPUTED_VALUE"""),138.68)</f>
        <v>138.68</v>
      </c>
      <c r="C9756" s="2">
        <f>IFERROR(__xludf.DUMMYFUNCTION("""COMPUTED_VALUE"""),140.17)</f>
        <v>140.17</v>
      </c>
      <c r="D9756" s="2">
        <f>IFERROR(__xludf.DUMMYFUNCTION("""COMPUTED_VALUE"""),138.55)</f>
        <v>138.55</v>
      </c>
      <c r="E9756" s="2">
        <f>IFERROR(__xludf.DUMMYFUNCTION("""COMPUTED_VALUE"""),140.08)</f>
        <v>140.08</v>
      </c>
      <c r="F9756" s="2">
        <f>IFERROR(__xludf.DUMMYFUNCTION("""COMPUTED_VALUE"""),3126540.0)</f>
        <v>3126540</v>
      </c>
    </row>
    <row r="9757">
      <c r="A9757" s="3">
        <f>IFERROR(__xludf.DUMMYFUNCTION("""COMPUTED_VALUE"""),43349.66666666667)</f>
        <v>43349.66667</v>
      </c>
      <c r="B9757" s="2">
        <f>IFERROR(__xludf.DUMMYFUNCTION("""COMPUTED_VALUE"""),140.29)</f>
        <v>140.29</v>
      </c>
      <c r="C9757" s="2">
        <f>IFERROR(__xludf.DUMMYFUNCTION("""COMPUTED_VALUE"""),141.04)</f>
        <v>141.04</v>
      </c>
      <c r="D9757" s="2">
        <f>IFERROR(__xludf.DUMMYFUNCTION("""COMPUTED_VALUE"""),139.01)</f>
        <v>139.01</v>
      </c>
      <c r="E9757" s="2">
        <f>IFERROR(__xludf.DUMMYFUNCTION("""COMPUTED_VALUE"""),139.83)</f>
        <v>139.83</v>
      </c>
      <c r="F9757" s="2">
        <f>IFERROR(__xludf.DUMMYFUNCTION("""COMPUTED_VALUE"""),4248831.0)</f>
        <v>4248831</v>
      </c>
    </row>
    <row r="9758">
      <c r="A9758" s="3">
        <f>IFERROR(__xludf.DUMMYFUNCTION("""COMPUTED_VALUE"""),43350.66666666667)</f>
        <v>43350.66667</v>
      </c>
      <c r="B9758" s="2">
        <f>IFERROR(__xludf.DUMMYFUNCTION("""COMPUTED_VALUE"""),139.4)</f>
        <v>139.4</v>
      </c>
      <c r="C9758" s="2">
        <f>IFERROR(__xludf.DUMMYFUNCTION("""COMPUTED_VALUE"""),139.93)</f>
        <v>139.93</v>
      </c>
      <c r="D9758" s="2">
        <f>IFERROR(__xludf.DUMMYFUNCTION("""COMPUTED_VALUE"""),138.61)</f>
        <v>138.61</v>
      </c>
      <c r="E9758" s="2">
        <f>IFERROR(__xludf.DUMMYFUNCTION("""COMPUTED_VALUE"""),138.93)</f>
        <v>138.93</v>
      </c>
      <c r="F9758" s="2">
        <f>IFERROR(__xludf.DUMMYFUNCTION("""COMPUTED_VALUE"""),4693127.0)</f>
        <v>4693127</v>
      </c>
    </row>
    <row r="9759">
      <c r="A9759" s="3">
        <f>IFERROR(__xludf.DUMMYFUNCTION("""COMPUTED_VALUE"""),43353.66666666667)</f>
        <v>43353.66667</v>
      </c>
      <c r="B9759" s="2">
        <f>IFERROR(__xludf.DUMMYFUNCTION("""COMPUTED_VALUE"""),140.03)</f>
        <v>140.03</v>
      </c>
      <c r="C9759" s="2">
        <f>IFERROR(__xludf.DUMMYFUNCTION("""COMPUTED_VALUE"""),140.7)</f>
        <v>140.7</v>
      </c>
      <c r="D9759" s="2">
        <f>IFERROR(__xludf.DUMMYFUNCTION("""COMPUTED_VALUE"""),139.03)</f>
        <v>139.03</v>
      </c>
      <c r="E9759" s="2">
        <f>IFERROR(__xludf.DUMMYFUNCTION("""COMPUTED_VALUE"""),139.12)</f>
        <v>139.12</v>
      </c>
      <c r="F9759" s="2">
        <f>IFERROR(__xludf.DUMMYFUNCTION("""COMPUTED_VALUE"""),3618292.0)</f>
        <v>3618292</v>
      </c>
    </row>
    <row r="9760">
      <c r="A9760" s="3">
        <f>IFERROR(__xludf.DUMMYFUNCTION("""COMPUTED_VALUE"""),43354.66666666667)</f>
        <v>43354.66667</v>
      </c>
      <c r="B9760" s="2">
        <f>IFERROR(__xludf.DUMMYFUNCTION("""COMPUTED_VALUE"""),139.45)</f>
        <v>139.45</v>
      </c>
      <c r="C9760" s="2">
        <f>IFERROR(__xludf.DUMMYFUNCTION("""COMPUTED_VALUE"""),140.4)</f>
        <v>140.4</v>
      </c>
      <c r="D9760" s="2">
        <f>IFERROR(__xludf.DUMMYFUNCTION("""COMPUTED_VALUE"""),138.74)</f>
        <v>138.74</v>
      </c>
      <c r="E9760" s="2">
        <f>IFERROR(__xludf.DUMMYFUNCTION("""COMPUTED_VALUE"""),139.92)</f>
        <v>139.92</v>
      </c>
      <c r="F9760" s="2">
        <f>IFERROR(__xludf.DUMMYFUNCTION("""COMPUTED_VALUE"""),3374774.0)</f>
        <v>3374774</v>
      </c>
    </row>
    <row r="9761">
      <c r="A9761" s="3">
        <f>IFERROR(__xludf.DUMMYFUNCTION("""COMPUTED_VALUE"""),43355.66666666667)</f>
        <v>43355.66667</v>
      </c>
      <c r="B9761" s="2">
        <f>IFERROR(__xludf.DUMMYFUNCTION("""COMPUTED_VALUE"""),139.81)</f>
        <v>139.81</v>
      </c>
      <c r="C9761" s="2">
        <f>IFERROR(__xludf.DUMMYFUNCTION("""COMPUTED_VALUE"""),141.35)</f>
        <v>141.35</v>
      </c>
      <c r="D9761" s="2">
        <f>IFERROR(__xludf.DUMMYFUNCTION("""COMPUTED_VALUE"""),139.48)</f>
        <v>139.48</v>
      </c>
      <c r="E9761" s="2">
        <f>IFERROR(__xludf.DUMMYFUNCTION("""COMPUTED_VALUE"""),140.0)</f>
        <v>140</v>
      </c>
      <c r="F9761" s="2">
        <f>IFERROR(__xludf.DUMMYFUNCTION("""COMPUTED_VALUE"""),4506679.0)</f>
        <v>4506679</v>
      </c>
    </row>
    <row r="9762">
      <c r="A9762" s="3">
        <f>IFERROR(__xludf.DUMMYFUNCTION("""COMPUTED_VALUE"""),43356.66666666667)</f>
        <v>43356.66667</v>
      </c>
      <c r="B9762" s="2">
        <f>IFERROR(__xludf.DUMMYFUNCTION("""COMPUTED_VALUE"""),140.74)</f>
        <v>140.74</v>
      </c>
      <c r="C9762" s="2">
        <f>IFERROR(__xludf.DUMMYFUNCTION("""COMPUTED_VALUE"""),142.32)</f>
        <v>142.32</v>
      </c>
      <c r="D9762" s="2">
        <f>IFERROR(__xludf.DUMMYFUNCTION("""COMPUTED_VALUE"""),140.52)</f>
        <v>140.52</v>
      </c>
      <c r="E9762" s="2">
        <f>IFERROR(__xludf.DUMMYFUNCTION("""COMPUTED_VALUE"""),142.27)</f>
        <v>142.27</v>
      </c>
      <c r="F9762" s="2">
        <f>IFERROR(__xludf.DUMMYFUNCTION("""COMPUTED_VALUE"""),5346540.0)</f>
        <v>5346540</v>
      </c>
    </row>
    <row r="9763">
      <c r="A9763" s="3">
        <f>IFERROR(__xludf.DUMMYFUNCTION("""COMPUTED_VALUE"""),43357.66666666667)</f>
        <v>43357.66667</v>
      </c>
      <c r="B9763" s="2">
        <f>IFERROR(__xludf.DUMMYFUNCTION("""COMPUTED_VALUE"""),142.18)</f>
        <v>142.18</v>
      </c>
      <c r="C9763" s="2">
        <f>IFERROR(__xludf.DUMMYFUNCTION("""COMPUTED_VALUE"""),142.61)</f>
        <v>142.61</v>
      </c>
      <c r="D9763" s="2">
        <f>IFERROR(__xludf.DUMMYFUNCTION("""COMPUTED_VALUE"""),141.15)</f>
        <v>141.15</v>
      </c>
      <c r="E9763" s="2">
        <f>IFERROR(__xludf.DUMMYFUNCTION("""COMPUTED_VALUE"""),141.68)</f>
        <v>141.68</v>
      </c>
      <c r="F9763" s="2">
        <f>IFERROR(__xludf.DUMMYFUNCTION("""COMPUTED_VALUE"""),3452144.0)</f>
        <v>3452144</v>
      </c>
    </row>
    <row r="9764">
      <c r="A9764" s="3">
        <f>IFERROR(__xludf.DUMMYFUNCTION("""COMPUTED_VALUE"""),43360.66666666667)</f>
        <v>43360.66667</v>
      </c>
      <c r="B9764" s="2">
        <f>IFERROR(__xludf.DUMMYFUNCTION("""COMPUTED_VALUE"""),141.78)</f>
        <v>141.78</v>
      </c>
      <c r="C9764" s="2">
        <f>IFERROR(__xludf.DUMMYFUNCTION("""COMPUTED_VALUE"""),142.39)</f>
        <v>142.39</v>
      </c>
      <c r="D9764" s="2">
        <f>IFERROR(__xludf.DUMMYFUNCTION("""COMPUTED_VALUE"""),141.14)</f>
        <v>141.14</v>
      </c>
      <c r="E9764" s="2">
        <f>IFERROR(__xludf.DUMMYFUNCTION("""COMPUTED_VALUE"""),141.31)</f>
        <v>141.31</v>
      </c>
      <c r="F9764" s="2">
        <f>IFERROR(__xludf.DUMMYFUNCTION("""COMPUTED_VALUE"""),3551882.0)</f>
        <v>3551882</v>
      </c>
    </row>
    <row r="9765">
      <c r="A9765" s="3">
        <f>IFERROR(__xludf.DUMMYFUNCTION("""COMPUTED_VALUE"""),43361.66666666667)</f>
        <v>43361.66667</v>
      </c>
      <c r="B9765" s="2">
        <f>IFERROR(__xludf.DUMMYFUNCTION("""COMPUTED_VALUE"""),141.14)</f>
        <v>141.14</v>
      </c>
      <c r="C9765" s="2">
        <f>IFERROR(__xludf.DUMMYFUNCTION("""COMPUTED_VALUE"""),142.31)</f>
        <v>142.31</v>
      </c>
      <c r="D9765" s="2">
        <f>IFERROR(__xludf.DUMMYFUNCTION("""COMPUTED_VALUE"""),140.86)</f>
        <v>140.86</v>
      </c>
      <c r="E9765" s="2">
        <f>IFERROR(__xludf.DUMMYFUNCTION("""COMPUTED_VALUE"""),141.9)</f>
        <v>141.9</v>
      </c>
      <c r="F9765" s="2">
        <f>IFERROR(__xludf.DUMMYFUNCTION("""COMPUTED_VALUE"""),3629596.0)</f>
        <v>3629596</v>
      </c>
    </row>
    <row r="9766">
      <c r="A9766" s="3">
        <f>IFERROR(__xludf.DUMMYFUNCTION("""COMPUTED_VALUE"""),43362.66666666667)</f>
        <v>43362.66667</v>
      </c>
      <c r="B9766" s="2">
        <f>IFERROR(__xludf.DUMMYFUNCTION("""COMPUTED_VALUE"""),141.97)</f>
        <v>141.97</v>
      </c>
      <c r="C9766" s="2">
        <f>IFERROR(__xludf.DUMMYFUNCTION("""COMPUTED_VALUE"""),143.24)</f>
        <v>143.24</v>
      </c>
      <c r="D9766" s="2">
        <f>IFERROR(__xludf.DUMMYFUNCTION("""COMPUTED_VALUE"""),141.58)</f>
        <v>141.58</v>
      </c>
      <c r="E9766" s="2">
        <f>IFERROR(__xludf.DUMMYFUNCTION("""COMPUTED_VALUE"""),142.38)</f>
        <v>142.38</v>
      </c>
      <c r="F9766" s="2">
        <f>IFERROR(__xludf.DUMMYFUNCTION("""COMPUTED_VALUE"""),4246382.0)</f>
        <v>4246382</v>
      </c>
    </row>
    <row r="9767">
      <c r="A9767" s="3">
        <f>IFERROR(__xludf.DUMMYFUNCTION("""COMPUTED_VALUE"""),43363.66666666667)</f>
        <v>43363.66667</v>
      </c>
      <c r="B9767" s="2">
        <f>IFERROR(__xludf.DUMMYFUNCTION("""COMPUTED_VALUE"""),142.87)</f>
        <v>142.87</v>
      </c>
      <c r="C9767" s="2">
        <f>IFERROR(__xludf.DUMMYFUNCTION("""COMPUTED_VALUE"""),144.59)</f>
        <v>144.59</v>
      </c>
      <c r="D9767" s="2">
        <f>IFERROR(__xludf.DUMMYFUNCTION("""COMPUTED_VALUE"""),142.74)</f>
        <v>142.74</v>
      </c>
      <c r="E9767" s="2">
        <f>IFERROR(__xludf.DUMMYFUNCTION("""COMPUTED_VALUE"""),144.37)</f>
        <v>144.37</v>
      </c>
      <c r="F9767" s="2">
        <f>IFERROR(__xludf.DUMMYFUNCTION("""COMPUTED_VALUE"""),5952223.0)</f>
        <v>5952223</v>
      </c>
    </row>
    <row r="9768">
      <c r="A9768" s="3">
        <f>IFERROR(__xludf.DUMMYFUNCTION("""COMPUTED_VALUE"""),43364.66666666667)</f>
        <v>43364.66667</v>
      </c>
      <c r="B9768" s="2">
        <f>IFERROR(__xludf.DUMMYFUNCTION("""COMPUTED_VALUE"""),144.69)</f>
        <v>144.69</v>
      </c>
      <c r="C9768" s="2">
        <f>IFERROR(__xludf.DUMMYFUNCTION("""COMPUTED_VALUE"""),145.76)</f>
        <v>145.76</v>
      </c>
      <c r="D9768" s="2">
        <f>IFERROR(__xludf.DUMMYFUNCTION("""COMPUTED_VALUE"""),143.98)</f>
        <v>143.98</v>
      </c>
      <c r="E9768" s="2">
        <f>IFERROR(__xludf.DUMMYFUNCTION("""COMPUTED_VALUE"""),144.56)</f>
        <v>144.56</v>
      </c>
      <c r="F9768" s="2">
        <f>IFERROR(__xludf.DUMMYFUNCTION("""COMPUTED_VALUE"""),1.9947878E7)</f>
        <v>19947878</v>
      </c>
    </row>
    <row r="9769">
      <c r="A9769" s="3">
        <f>IFERROR(__xludf.DUMMYFUNCTION("""COMPUTED_VALUE"""),43367.66666666667)</f>
        <v>43367.66667</v>
      </c>
      <c r="B9769" s="2">
        <f>IFERROR(__xludf.DUMMYFUNCTION("""COMPUTED_VALUE"""),144.33)</f>
        <v>144.33</v>
      </c>
      <c r="C9769" s="2">
        <f>IFERROR(__xludf.DUMMYFUNCTION("""COMPUTED_VALUE"""),144.42)</f>
        <v>144.42</v>
      </c>
      <c r="D9769" s="2">
        <f>IFERROR(__xludf.DUMMYFUNCTION("""COMPUTED_VALUE"""),142.76)</f>
        <v>142.76</v>
      </c>
      <c r="E9769" s="2">
        <f>IFERROR(__xludf.DUMMYFUNCTION("""COMPUTED_VALUE"""),143.3)</f>
        <v>143.3</v>
      </c>
      <c r="F9769" s="2">
        <f>IFERROR(__xludf.DUMMYFUNCTION("""COMPUTED_VALUE"""),4264984.0)</f>
        <v>4264984</v>
      </c>
    </row>
    <row r="9770">
      <c r="A9770" s="3">
        <f>IFERROR(__xludf.DUMMYFUNCTION("""COMPUTED_VALUE"""),43368.66666666667)</f>
        <v>43368.66667</v>
      </c>
      <c r="B9770" s="2">
        <f>IFERROR(__xludf.DUMMYFUNCTION("""COMPUTED_VALUE"""),143.19)</f>
        <v>143.19</v>
      </c>
      <c r="C9770" s="2">
        <f>IFERROR(__xludf.DUMMYFUNCTION("""COMPUTED_VALUE"""),143.67)</f>
        <v>143.67</v>
      </c>
      <c r="D9770" s="2">
        <f>IFERROR(__xludf.DUMMYFUNCTION("""COMPUTED_VALUE"""),141.71)</f>
        <v>141.71</v>
      </c>
      <c r="E9770" s="2">
        <f>IFERROR(__xludf.DUMMYFUNCTION("""COMPUTED_VALUE"""),142.23)</f>
        <v>142.23</v>
      </c>
      <c r="F9770" s="2">
        <f>IFERROR(__xludf.DUMMYFUNCTION("""COMPUTED_VALUE"""),4397457.0)</f>
        <v>4397457</v>
      </c>
    </row>
    <row r="9771">
      <c r="A9771" s="3">
        <f>IFERROR(__xludf.DUMMYFUNCTION("""COMPUTED_VALUE"""),43369.66666666667)</f>
        <v>43369.66667</v>
      </c>
      <c r="B9771" s="2">
        <f>IFERROR(__xludf.DUMMYFUNCTION("""COMPUTED_VALUE"""),145.57)</f>
        <v>145.57</v>
      </c>
      <c r="C9771" s="2">
        <f>IFERROR(__xludf.DUMMYFUNCTION("""COMPUTED_VALUE"""),146.47)</f>
        <v>146.47</v>
      </c>
      <c r="D9771" s="2">
        <f>IFERROR(__xludf.DUMMYFUNCTION("""COMPUTED_VALUE"""),144.55)</f>
        <v>144.55</v>
      </c>
      <c r="E9771" s="2">
        <f>IFERROR(__xludf.DUMMYFUNCTION("""COMPUTED_VALUE"""),144.81)</f>
        <v>144.81</v>
      </c>
      <c r="F9771" s="2">
        <f>IFERROR(__xludf.DUMMYFUNCTION("""COMPUTED_VALUE"""),7401862.0)</f>
        <v>7401862</v>
      </c>
    </row>
    <row r="9772">
      <c r="A9772" s="3">
        <f>IFERROR(__xludf.DUMMYFUNCTION("""COMPUTED_VALUE"""),43370.66666666667)</f>
        <v>43370.66667</v>
      </c>
      <c r="B9772" s="2">
        <f>IFERROR(__xludf.DUMMYFUNCTION("""COMPUTED_VALUE"""),145.19)</f>
        <v>145.19</v>
      </c>
      <c r="C9772" s="2">
        <f>IFERROR(__xludf.DUMMYFUNCTION("""COMPUTED_VALUE"""),145.56)</f>
        <v>145.56</v>
      </c>
      <c r="D9772" s="2">
        <f>IFERROR(__xludf.DUMMYFUNCTION("""COMPUTED_VALUE"""),144.38)</f>
        <v>144.38</v>
      </c>
      <c r="E9772" s="2">
        <f>IFERROR(__xludf.DUMMYFUNCTION("""COMPUTED_VALUE"""),144.71)</f>
        <v>144.71</v>
      </c>
      <c r="F9772" s="2">
        <f>IFERROR(__xludf.DUMMYFUNCTION("""COMPUTED_VALUE"""),3477643.0)</f>
        <v>3477643</v>
      </c>
    </row>
    <row r="9773">
      <c r="A9773" s="3">
        <f>IFERROR(__xludf.DUMMYFUNCTION("""COMPUTED_VALUE"""),43371.66666666667)</f>
        <v>43371.66667</v>
      </c>
      <c r="B9773" s="2">
        <f>IFERROR(__xludf.DUMMYFUNCTION("""COMPUTED_VALUE"""),144.38)</f>
        <v>144.38</v>
      </c>
      <c r="C9773" s="2">
        <f>IFERROR(__xludf.DUMMYFUNCTION("""COMPUTED_VALUE"""),144.83)</f>
        <v>144.83</v>
      </c>
      <c r="D9773" s="2">
        <f>IFERROR(__xludf.DUMMYFUNCTION("""COMPUTED_VALUE"""),144.03)</f>
        <v>144.03</v>
      </c>
      <c r="E9773" s="2">
        <f>IFERROR(__xludf.DUMMYFUNCTION("""COMPUTED_VALUE"""),144.43)</f>
        <v>144.43</v>
      </c>
      <c r="F9773" s="2">
        <f>IFERROR(__xludf.DUMMYFUNCTION("""COMPUTED_VALUE"""),3305798.0)</f>
        <v>3305798</v>
      </c>
    </row>
    <row r="9774">
      <c r="A9774" s="3">
        <f>IFERROR(__xludf.DUMMYFUNCTION("""COMPUTED_VALUE"""),43374.66666666667)</f>
        <v>43374.66667</v>
      </c>
      <c r="B9774" s="2">
        <f>IFERROR(__xludf.DUMMYFUNCTION("""COMPUTED_VALUE"""),144.91)</f>
        <v>144.91</v>
      </c>
      <c r="C9774" s="2">
        <f>IFERROR(__xludf.DUMMYFUNCTION("""COMPUTED_VALUE"""),146.54)</f>
        <v>146.54</v>
      </c>
      <c r="D9774" s="2">
        <f>IFERROR(__xludf.DUMMYFUNCTION("""COMPUTED_VALUE"""),144.91)</f>
        <v>144.91</v>
      </c>
      <c r="E9774" s="2">
        <f>IFERROR(__xludf.DUMMYFUNCTION("""COMPUTED_VALUE"""),146.14)</f>
        <v>146.14</v>
      </c>
      <c r="F9774" s="2">
        <f>IFERROR(__xludf.DUMMYFUNCTION("""COMPUTED_VALUE"""),3757419.0)</f>
        <v>3757419</v>
      </c>
    </row>
    <row r="9775">
      <c r="A9775" s="3">
        <f>IFERROR(__xludf.DUMMYFUNCTION("""COMPUTED_VALUE"""),43375.66666666667)</f>
        <v>43375.66667</v>
      </c>
      <c r="B9775" s="2">
        <f>IFERROR(__xludf.DUMMYFUNCTION("""COMPUTED_VALUE"""),146.13)</f>
        <v>146.13</v>
      </c>
      <c r="C9775" s="2">
        <f>IFERROR(__xludf.DUMMYFUNCTION("""COMPUTED_VALUE"""),146.94)</f>
        <v>146.94</v>
      </c>
      <c r="D9775" s="2">
        <f>IFERROR(__xludf.DUMMYFUNCTION("""COMPUTED_VALUE"""),145.66)</f>
        <v>145.66</v>
      </c>
      <c r="E9775" s="2">
        <f>IFERROR(__xludf.DUMMYFUNCTION("""COMPUTED_VALUE"""),146.86)</f>
        <v>146.86</v>
      </c>
      <c r="F9775" s="2">
        <f>IFERROR(__xludf.DUMMYFUNCTION("""COMPUTED_VALUE"""),3030125.0)</f>
        <v>3030125</v>
      </c>
    </row>
    <row r="9776">
      <c r="A9776" s="3">
        <f>IFERROR(__xludf.DUMMYFUNCTION("""COMPUTED_VALUE"""),43376.66666666667)</f>
        <v>43376.66667</v>
      </c>
      <c r="B9776" s="2">
        <f>IFERROR(__xludf.DUMMYFUNCTION("""COMPUTED_VALUE"""),147.1)</f>
        <v>147.1</v>
      </c>
      <c r="C9776" s="2">
        <f>IFERROR(__xludf.DUMMYFUNCTION("""COMPUTED_VALUE"""),147.44)</f>
        <v>147.44</v>
      </c>
      <c r="D9776" s="2">
        <f>IFERROR(__xludf.DUMMYFUNCTION("""COMPUTED_VALUE"""),145.95)</f>
        <v>145.95</v>
      </c>
      <c r="E9776" s="2">
        <f>IFERROR(__xludf.DUMMYFUNCTION("""COMPUTED_VALUE"""),146.35)</f>
        <v>146.35</v>
      </c>
      <c r="F9776" s="2">
        <f>IFERROR(__xludf.DUMMYFUNCTION("""COMPUTED_VALUE"""),3315298.0)</f>
        <v>3315298</v>
      </c>
    </row>
    <row r="9777">
      <c r="A9777" s="3">
        <f>IFERROR(__xludf.DUMMYFUNCTION("""COMPUTED_VALUE"""),43377.66666666667)</f>
        <v>43377.66667</v>
      </c>
      <c r="B9777" s="2">
        <f>IFERROR(__xludf.DUMMYFUNCTION("""COMPUTED_VALUE"""),144.89)</f>
        <v>144.89</v>
      </c>
      <c r="C9777" s="2">
        <f>IFERROR(__xludf.DUMMYFUNCTION("""COMPUTED_VALUE"""),145.95)</f>
        <v>145.95</v>
      </c>
      <c r="D9777" s="2">
        <f>IFERROR(__xludf.DUMMYFUNCTION("""COMPUTED_VALUE"""),143.62)</f>
        <v>143.62</v>
      </c>
      <c r="E9777" s="2">
        <f>IFERROR(__xludf.DUMMYFUNCTION("""COMPUTED_VALUE"""),144.53)</f>
        <v>144.53</v>
      </c>
      <c r="F9777" s="2">
        <f>IFERROR(__xludf.DUMMYFUNCTION("""COMPUTED_VALUE"""),4238143.0)</f>
        <v>4238143</v>
      </c>
    </row>
    <row r="9778">
      <c r="A9778" s="3">
        <f>IFERROR(__xludf.DUMMYFUNCTION("""COMPUTED_VALUE"""),43378.66666666667)</f>
        <v>43378.66667</v>
      </c>
      <c r="B9778" s="2">
        <f>IFERROR(__xludf.DUMMYFUNCTION("""COMPUTED_VALUE"""),144.13)</f>
        <v>144.13</v>
      </c>
      <c r="C9778" s="2">
        <f>IFERROR(__xludf.DUMMYFUNCTION("""COMPUTED_VALUE"""),144.98)</f>
        <v>144.98</v>
      </c>
      <c r="D9778" s="2">
        <f>IFERROR(__xludf.DUMMYFUNCTION("""COMPUTED_VALUE"""),141.24)</f>
        <v>141.24</v>
      </c>
      <c r="E9778" s="2">
        <f>IFERROR(__xludf.DUMMYFUNCTION("""COMPUTED_VALUE"""),142.35)</f>
        <v>142.35</v>
      </c>
      <c r="F9778" s="2">
        <f>IFERROR(__xludf.DUMMYFUNCTION("""COMPUTED_VALUE"""),4602252.0)</f>
        <v>4602252</v>
      </c>
    </row>
    <row r="9779">
      <c r="A9779" s="3">
        <f>IFERROR(__xludf.DUMMYFUNCTION("""COMPUTED_VALUE"""),43381.66666666667)</f>
        <v>43381.66667</v>
      </c>
      <c r="B9779" s="2">
        <f>IFERROR(__xludf.DUMMYFUNCTION("""COMPUTED_VALUE"""),141.84)</f>
        <v>141.84</v>
      </c>
      <c r="C9779" s="2">
        <f>IFERROR(__xludf.DUMMYFUNCTION("""COMPUTED_VALUE"""),142.39)</f>
        <v>142.39</v>
      </c>
      <c r="D9779" s="2">
        <f>IFERROR(__xludf.DUMMYFUNCTION("""COMPUTED_VALUE"""),140.58)</f>
        <v>140.58</v>
      </c>
      <c r="E9779" s="2">
        <f>IFERROR(__xludf.DUMMYFUNCTION("""COMPUTED_VALUE"""),141.74)</f>
        <v>141.74</v>
      </c>
      <c r="F9779" s="2">
        <f>IFERROR(__xludf.DUMMYFUNCTION("""COMPUTED_VALUE"""),3239347.0)</f>
        <v>3239347</v>
      </c>
    </row>
    <row r="9780">
      <c r="A9780" s="3">
        <f>IFERROR(__xludf.DUMMYFUNCTION("""COMPUTED_VALUE"""),43382.66666666667)</f>
        <v>43382.66667</v>
      </c>
      <c r="B9780" s="2">
        <f>IFERROR(__xludf.DUMMYFUNCTION("""COMPUTED_VALUE"""),141.44)</f>
        <v>141.44</v>
      </c>
      <c r="C9780" s="2">
        <f>IFERROR(__xludf.DUMMYFUNCTION("""COMPUTED_VALUE"""),141.71)</f>
        <v>141.71</v>
      </c>
      <c r="D9780" s="2">
        <f>IFERROR(__xludf.DUMMYFUNCTION("""COMPUTED_VALUE"""),140.34)</f>
        <v>140.34</v>
      </c>
      <c r="E9780" s="2">
        <f>IFERROR(__xludf.DUMMYFUNCTION("""COMPUTED_VALUE"""),140.64)</f>
        <v>140.64</v>
      </c>
      <c r="F9780" s="2">
        <f>IFERROR(__xludf.DUMMYFUNCTION("""COMPUTED_VALUE"""),3642496.0)</f>
        <v>3642496</v>
      </c>
    </row>
    <row r="9781">
      <c r="A9781" s="3">
        <f>IFERROR(__xludf.DUMMYFUNCTION("""COMPUTED_VALUE"""),43383.66666666667)</f>
        <v>43383.66667</v>
      </c>
      <c r="B9781" s="2">
        <f>IFERROR(__xludf.DUMMYFUNCTION("""COMPUTED_VALUE"""),140.89)</f>
        <v>140.89</v>
      </c>
      <c r="C9781" s="2">
        <f>IFERROR(__xludf.DUMMYFUNCTION("""COMPUTED_VALUE"""),141.07)</f>
        <v>141.07</v>
      </c>
      <c r="D9781" s="2">
        <f>IFERROR(__xludf.DUMMYFUNCTION("""COMPUTED_VALUE"""),136.11)</f>
        <v>136.11</v>
      </c>
      <c r="E9781" s="2">
        <f>IFERROR(__xludf.DUMMYFUNCTION("""COMPUTED_VALUE"""),136.29)</f>
        <v>136.29</v>
      </c>
      <c r="F9781" s="2">
        <f>IFERROR(__xludf.DUMMYFUNCTION("""COMPUTED_VALUE"""),5547697.0)</f>
        <v>5547697</v>
      </c>
    </row>
    <row r="9782">
      <c r="A9782" s="3">
        <f>IFERROR(__xludf.DUMMYFUNCTION("""COMPUTED_VALUE"""),43384.66666666667)</f>
        <v>43384.66667</v>
      </c>
      <c r="B9782" s="2">
        <f>IFERROR(__xludf.DUMMYFUNCTION("""COMPUTED_VALUE"""),136.23)</f>
        <v>136.23</v>
      </c>
      <c r="C9782" s="2">
        <f>IFERROR(__xludf.DUMMYFUNCTION("""COMPUTED_VALUE"""),137.73)</f>
        <v>137.73</v>
      </c>
      <c r="D9782" s="2">
        <f>IFERROR(__xludf.DUMMYFUNCTION("""COMPUTED_VALUE"""),132.56)</f>
        <v>132.56</v>
      </c>
      <c r="E9782" s="2">
        <f>IFERROR(__xludf.DUMMYFUNCTION("""COMPUTED_VALUE"""),132.79)</f>
        <v>132.79</v>
      </c>
      <c r="F9782" s="2">
        <f>IFERROR(__xludf.DUMMYFUNCTION("""COMPUTED_VALUE"""),8710491.0)</f>
        <v>8710491</v>
      </c>
    </row>
    <row r="9783">
      <c r="A9783" s="3">
        <f>IFERROR(__xludf.DUMMYFUNCTION("""COMPUTED_VALUE"""),43385.66666666667)</f>
        <v>43385.66667</v>
      </c>
      <c r="B9783" s="2">
        <f>IFERROR(__xludf.DUMMYFUNCTION("""COMPUTED_VALUE"""),134.79)</f>
        <v>134.79</v>
      </c>
      <c r="C9783" s="2">
        <f>IFERROR(__xludf.DUMMYFUNCTION("""COMPUTED_VALUE"""),135.19)</f>
        <v>135.19</v>
      </c>
      <c r="D9783" s="2">
        <f>IFERROR(__xludf.DUMMYFUNCTION("""COMPUTED_VALUE"""),132.84)</f>
        <v>132.84</v>
      </c>
      <c r="E9783" s="2">
        <f>IFERROR(__xludf.DUMMYFUNCTION("""COMPUTED_VALUE"""),134.53)</f>
        <v>134.53</v>
      </c>
      <c r="F9783" s="2">
        <f>IFERROR(__xludf.DUMMYFUNCTION("""COMPUTED_VALUE"""),6563403.0)</f>
        <v>6563403</v>
      </c>
    </row>
    <row r="9784">
      <c r="A9784" s="3">
        <f>IFERROR(__xludf.DUMMYFUNCTION("""COMPUTED_VALUE"""),43388.66666666667)</f>
        <v>43388.66667</v>
      </c>
      <c r="B9784" s="2">
        <f>IFERROR(__xludf.DUMMYFUNCTION("""COMPUTED_VALUE"""),134.09)</f>
        <v>134.09</v>
      </c>
      <c r="C9784" s="2">
        <f>IFERROR(__xludf.DUMMYFUNCTION("""COMPUTED_VALUE"""),135.88)</f>
        <v>135.88</v>
      </c>
      <c r="D9784" s="2">
        <f>IFERROR(__xludf.DUMMYFUNCTION("""COMPUTED_VALUE"""),133.86)</f>
        <v>133.86</v>
      </c>
      <c r="E9784" s="2">
        <f>IFERROR(__xludf.DUMMYFUNCTION("""COMPUTED_VALUE"""),134.8)</f>
        <v>134.8</v>
      </c>
      <c r="F9784" s="2">
        <f>IFERROR(__xludf.DUMMYFUNCTION("""COMPUTED_VALUE"""),4965533.0)</f>
        <v>4965533</v>
      </c>
    </row>
    <row r="9785">
      <c r="A9785" s="3">
        <f>IFERROR(__xludf.DUMMYFUNCTION("""COMPUTED_VALUE"""),43389.66666666667)</f>
        <v>43389.66667</v>
      </c>
      <c r="B9785" s="2">
        <f>IFERROR(__xludf.DUMMYFUNCTION("""COMPUTED_VALUE"""),136.52)</f>
        <v>136.52</v>
      </c>
      <c r="C9785" s="2">
        <f>IFERROR(__xludf.DUMMYFUNCTION("""COMPUTED_VALUE"""),138.93)</f>
        <v>138.93</v>
      </c>
      <c r="D9785" s="2">
        <f>IFERROR(__xludf.DUMMYFUNCTION("""COMPUTED_VALUE"""),135.23)</f>
        <v>135.23</v>
      </c>
      <c r="E9785" s="2">
        <f>IFERROR(__xludf.DUMMYFUNCTION("""COMPUTED_VALUE"""),138.61)</f>
        <v>138.61</v>
      </c>
      <c r="F9785" s="2">
        <f>IFERROR(__xludf.DUMMYFUNCTION("""COMPUTED_VALUE"""),8695489.0)</f>
        <v>8695489</v>
      </c>
    </row>
    <row r="9786">
      <c r="A9786" s="3">
        <f>IFERROR(__xludf.DUMMYFUNCTION("""COMPUTED_VALUE"""),43390.66666666667)</f>
        <v>43390.66667</v>
      </c>
      <c r="B9786" s="2">
        <f>IFERROR(__xludf.DUMMYFUNCTION("""COMPUTED_VALUE"""),129.8)</f>
        <v>129.8</v>
      </c>
      <c r="C9786" s="2">
        <f>IFERROR(__xludf.DUMMYFUNCTION("""COMPUTED_VALUE"""),131.0)</f>
        <v>131</v>
      </c>
      <c r="D9786" s="2">
        <f>IFERROR(__xludf.DUMMYFUNCTION("""COMPUTED_VALUE"""),127.44)</f>
        <v>127.44</v>
      </c>
      <c r="E9786" s="2">
        <f>IFERROR(__xludf.DUMMYFUNCTION("""COMPUTED_VALUE"""),128.04)</f>
        <v>128.04</v>
      </c>
      <c r="F9786" s="2">
        <f>IFERROR(__xludf.DUMMYFUNCTION("""COMPUTED_VALUE"""),1.9463962E7)</f>
        <v>19463962</v>
      </c>
    </row>
    <row r="9787">
      <c r="A9787" s="3">
        <f>IFERROR(__xludf.DUMMYFUNCTION("""COMPUTED_VALUE"""),43391.66666666667)</f>
        <v>43391.66667</v>
      </c>
      <c r="B9787" s="2">
        <f>IFERROR(__xludf.DUMMYFUNCTION("""COMPUTED_VALUE"""),126.78)</f>
        <v>126.78</v>
      </c>
      <c r="C9787" s="2">
        <f>IFERROR(__xludf.DUMMYFUNCTION("""COMPUTED_VALUE"""),127.42)</f>
        <v>127.42</v>
      </c>
      <c r="D9787" s="2">
        <f>IFERROR(__xludf.DUMMYFUNCTION("""COMPUTED_VALUE"""),124.21)</f>
        <v>124.21</v>
      </c>
      <c r="E9787" s="2">
        <f>IFERROR(__xludf.DUMMYFUNCTION("""COMPUTED_VALUE"""),124.7)</f>
        <v>124.7</v>
      </c>
      <c r="F9787" s="2">
        <f>IFERROR(__xludf.DUMMYFUNCTION("""COMPUTED_VALUE"""),1.0011678E7)</f>
        <v>10011678</v>
      </c>
    </row>
    <row r="9788">
      <c r="A9788" s="3">
        <f>IFERROR(__xludf.DUMMYFUNCTION("""COMPUTED_VALUE"""),43392.66666666667)</f>
        <v>43392.66667</v>
      </c>
      <c r="B9788" s="2">
        <f>IFERROR(__xludf.DUMMYFUNCTION("""COMPUTED_VALUE"""),124.79)</f>
        <v>124.79</v>
      </c>
      <c r="C9788" s="2">
        <f>IFERROR(__xludf.DUMMYFUNCTION("""COMPUTED_VALUE"""),125.98)</f>
        <v>125.98</v>
      </c>
      <c r="D9788" s="2">
        <f>IFERROR(__xludf.DUMMYFUNCTION("""COMPUTED_VALUE"""),122.22)</f>
        <v>122.22</v>
      </c>
      <c r="E9788" s="2">
        <f>IFERROR(__xludf.DUMMYFUNCTION("""COMPUTED_VALUE"""),123.31)</f>
        <v>123.31</v>
      </c>
      <c r="F9788" s="2">
        <f>IFERROR(__xludf.DUMMYFUNCTION("""COMPUTED_VALUE"""),7791636.0)</f>
        <v>7791636</v>
      </c>
    </row>
    <row r="9789">
      <c r="A9789" s="3">
        <f>IFERROR(__xludf.DUMMYFUNCTION("""COMPUTED_VALUE"""),43395.66666666667)</f>
        <v>43395.66667</v>
      </c>
      <c r="B9789" s="2">
        <f>IFERROR(__xludf.DUMMYFUNCTION("""COMPUTED_VALUE"""),123.77)</f>
        <v>123.77</v>
      </c>
      <c r="C9789" s="2">
        <f>IFERROR(__xludf.DUMMYFUNCTION("""COMPUTED_VALUE"""),124.59)</f>
        <v>124.59</v>
      </c>
      <c r="D9789" s="2">
        <f>IFERROR(__xludf.DUMMYFUNCTION("""COMPUTED_VALUE"""),122.64)</f>
        <v>122.64</v>
      </c>
      <c r="E9789" s="2">
        <f>IFERROR(__xludf.DUMMYFUNCTION("""COMPUTED_VALUE"""),124.19)</f>
        <v>124.19</v>
      </c>
      <c r="F9789" s="2">
        <f>IFERROR(__xludf.DUMMYFUNCTION("""COMPUTED_VALUE"""),5719518.0)</f>
        <v>5719518</v>
      </c>
    </row>
    <row r="9790">
      <c r="A9790" s="3">
        <f>IFERROR(__xludf.DUMMYFUNCTION("""COMPUTED_VALUE"""),43396.66666666667)</f>
        <v>43396.66667</v>
      </c>
      <c r="B9790" s="2">
        <f>IFERROR(__xludf.DUMMYFUNCTION("""COMPUTED_VALUE"""),123.24)</f>
        <v>123.24</v>
      </c>
      <c r="C9790" s="2">
        <f>IFERROR(__xludf.DUMMYFUNCTION("""COMPUTED_VALUE"""),125.99)</f>
        <v>125.99</v>
      </c>
      <c r="D9790" s="2">
        <f>IFERROR(__xludf.DUMMYFUNCTION("""COMPUTED_VALUE"""),122.65)</f>
        <v>122.65</v>
      </c>
      <c r="E9790" s="2">
        <f>IFERROR(__xludf.DUMMYFUNCTION("""COMPUTED_VALUE"""),125.33)</f>
        <v>125.33</v>
      </c>
      <c r="F9790" s="2">
        <f>IFERROR(__xludf.DUMMYFUNCTION("""COMPUTED_VALUE"""),6463580.0)</f>
        <v>6463580</v>
      </c>
    </row>
    <row r="9791">
      <c r="A9791" s="3">
        <f>IFERROR(__xludf.DUMMYFUNCTION("""COMPUTED_VALUE"""),43397.66666666667)</f>
        <v>43397.66667</v>
      </c>
      <c r="B9791" s="2">
        <f>IFERROR(__xludf.DUMMYFUNCTION("""COMPUTED_VALUE"""),125.29)</f>
        <v>125.29</v>
      </c>
      <c r="C9791" s="2">
        <f>IFERROR(__xludf.DUMMYFUNCTION("""COMPUTED_VALUE"""),125.79)</f>
        <v>125.79</v>
      </c>
      <c r="D9791" s="2">
        <f>IFERROR(__xludf.DUMMYFUNCTION("""COMPUTED_VALUE"""),121.31)</f>
        <v>121.31</v>
      </c>
      <c r="E9791" s="2">
        <f>IFERROR(__xludf.DUMMYFUNCTION("""COMPUTED_VALUE"""),121.51)</f>
        <v>121.51</v>
      </c>
      <c r="F9791" s="2">
        <f>IFERROR(__xludf.DUMMYFUNCTION("""COMPUTED_VALUE"""),5710320.0)</f>
        <v>5710320</v>
      </c>
    </row>
    <row r="9792">
      <c r="A9792" s="3">
        <f>IFERROR(__xludf.DUMMYFUNCTION("""COMPUTED_VALUE"""),43398.66666666667)</f>
        <v>43398.66667</v>
      </c>
      <c r="B9792" s="2">
        <f>IFERROR(__xludf.DUMMYFUNCTION("""COMPUTED_VALUE"""),121.54)</f>
        <v>121.54</v>
      </c>
      <c r="C9792" s="2">
        <f>IFERROR(__xludf.DUMMYFUNCTION("""COMPUTED_VALUE"""),122.06)</f>
        <v>122.06</v>
      </c>
      <c r="D9792" s="2">
        <f>IFERROR(__xludf.DUMMYFUNCTION("""COMPUTED_VALUE"""),119.53)</f>
        <v>119.53</v>
      </c>
      <c r="E9792" s="2">
        <f>IFERROR(__xludf.DUMMYFUNCTION("""COMPUTED_VALUE"""),120.78)</f>
        <v>120.78</v>
      </c>
      <c r="F9792" s="2">
        <f>IFERROR(__xludf.DUMMYFUNCTION("""COMPUTED_VALUE"""),1.0304327E7)</f>
        <v>10304327</v>
      </c>
    </row>
    <row r="9793">
      <c r="A9793" s="3">
        <f>IFERROR(__xludf.DUMMYFUNCTION("""COMPUTED_VALUE"""),43399.66666666667)</f>
        <v>43399.66667</v>
      </c>
      <c r="B9793" s="2">
        <f>IFERROR(__xludf.DUMMYFUNCTION("""COMPUTED_VALUE"""),119.6)</f>
        <v>119.6</v>
      </c>
      <c r="C9793" s="2">
        <f>IFERROR(__xludf.DUMMYFUNCTION("""COMPUTED_VALUE"""),120.14)</f>
        <v>120.14</v>
      </c>
      <c r="D9793" s="2">
        <f>IFERROR(__xludf.DUMMYFUNCTION("""COMPUTED_VALUE"""),118.16)</f>
        <v>118.16</v>
      </c>
      <c r="E9793" s="2">
        <f>IFERROR(__xludf.DUMMYFUNCTION("""COMPUTED_VALUE"""),119.19)</f>
        <v>119.19</v>
      </c>
      <c r="F9793" s="2">
        <f>IFERROR(__xludf.DUMMYFUNCTION("""COMPUTED_VALUE"""),8767029.0)</f>
        <v>8767029</v>
      </c>
    </row>
    <row r="9794">
      <c r="A9794" s="3">
        <f>IFERROR(__xludf.DUMMYFUNCTION("""COMPUTED_VALUE"""),43402.66666666667)</f>
        <v>43402.66667</v>
      </c>
      <c r="B9794" s="2">
        <f>IFERROR(__xludf.DUMMYFUNCTION("""COMPUTED_VALUE"""),113.99)</f>
        <v>113.99</v>
      </c>
      <c r="C9794" s="2">
        <f>IFERROR(__xludf.DUMMYFUNCTION("""COMPUTED_VALUE"""),118.39)</f>
        <v>118.39</v>
      </c>
      <c r="D9794" s="2">
        <f>IFERROR(__xludf.DUMMYFUNCTION("""COMPUTED_VALUE"""),113.0)</f>
        <v>113</v>
      </c>
      <c r="E9794" s="2">
        <f>IFERROR(__xludf.DUMMYFUNCTION("""COMPUTED_VALUE"""),114.28)</f>
        <v>114.28</v>
      </c>
      <c r="F9794" s="2">
        <f>IFERROR(__xludf.DUMMYFUNCTION("""COMPUTED_VALUE"""),2.0450448E7)</f>
        <v>20450448</v>
      </c>
    </row>
    <row r="9795">
      <c r="A9795" s="3">
        <f>IFERROR(__xludf.DUMMYFUNCTION("""COMPUTED_VALUE"""),43403.66666666667)</f>
        <v>43403.66667</v>
      </c>
      <c r="B9795" s="2">
        <f>IFERROR(__xludf.DUMMYFUNCTION("""COMPUTED_VALUE"""),115.08)</f>
        <v>115.08</v>
      </c>
      <c r="C9795" s="2">
        <f>IFERROR(__xludf.DUMMYFUNCTION("""COMPUTED_VALUE"""),116.05)</f>
        <v>116.05</v>
      </c>
      <c r="D9795" s="2">
        <f>IFERROR(__xludf.DUMMYFUNCTION("""COMPUTED_VALUE"""),109.99)</f>
        <v>109.99</v>
      </c>
      <c r="E9795" s="2">
        <f>IFERROR(__xludf.DUMMYFUNCTION("""COMPUTED_VALUE"""),110.23)</f>
        <v>110.23</v>
      </c>
      <c r="F9795" s="2">
        <f>IFERROR(__xludf.DUMMYFUNCTION("""COMPUTED_VALUE"""),2.1458594E7)</f>
        <v>21458594</v>
      </c>
    </row>
    <row r="9796">
      <c r="A9796" s="3">
        <f>IFERROR(__xludf.DUMMYFUNCTION("""COMPUTED_VALUE"""),43404.66666666667)</f>
        <v>43404.66667</v>
      </c>
      <c r="B9796" s="2">
        <f>IFERROR(__xludf.DUMMYFUNCTION("""COMPUTED_VALUE"""),111.27)</f>
        <v>111.27</v>
      </c>
      <c r="C9796" s="2">
        <f>IFERROR(__xludf.DUMMYFUNCTION("""COMPUTED_VALUE"""),111.28)</f>
        <v>111.28</v>
      </c>
      <c r="D9796" s="2">
        <f>IFERROR(__xludf.DUMMYFUNCTION("""COMPUTED_VALUE"""),108.97)</f>
        <v>108.97</v>
      </c>
      <c r="E9796" s="2">
        <f>IFERROR(__xludf.DUMMYFUNCTION("""COMPUTED_VALUE"""),110.25)</f>
        <v>110.25</v>
      </c>
      <c r="F9796" s="2">
        <f>IFERROR(__xludf.DUMMYFUNCTION("""COMPUTED_VALUE"""),2.1644978E7)</f>
        <v>21644978</v>
      </c>
    </row>
    <row r="9797">
      <c r="A9797" s="3">
        <f>IFERROR(__xludf.DUMMYFUNCTION("""COMPUTED_VALUE"""),43405.66666666667)</f>
        <v>43405.66667</v>
      </c>
      <c r="B9797" s="2">
        <f>IFERROR(__xludf.DUMMYFUNCTION("""COMPUTED_VALUE"""),110.32)</f>
        <v>110.32</v>
      </c>
      <c r="C9797" s="2">
        <f>IFERROR(__xludf.DUMMYFUNCTION("""COMPUTED_VALUE"""),111.75)</f>
        <v>111.75</v>
      </c>
      <c r="D9797" s="2">
        <f>IFERROR(__xludf.DUMMYFUNCTION("""COMPUTED_VALUE"""),109.95)</f>
        <v>109.95</v>
      </c>
      <c r="E9797" s="2">
        <f>IFERROR(__xludf.DUMMYFUNCTION("""COMPUTED_VALUE"""),111.59)</f>
        <v>111.59</v>
      </c>
      <c r="F9797" s="2">
        <f>IFERROR(__xludf.DUMMYFUNCTION("""COMPUTED_VALUE"""),1.362673E7)</f>
        <v>13626730</v>
      </c>
    </row>
    <row r="9798">
      <c r="A9798" s="3">
        <f>IFERROR(__xludf.DUMMYFUNCTION("""COMPUTED_VALUE"""),43406.66666666667)</f>
        <v>43406.66667</v>
      </c>
      <c r="B9798" s="2">
        <f>IFERROR(__xludf.DUMMYFUNCTION("""COMPUTED_VALUE"""),112.24)</f>
        <v>112.24</v>
      </c>
      <c r="C9798" s="2">
        <f>IFERROR(__xludf.DUMMYFUNCTION("""COMPUTED_VALUE"""),112.47)</f>
        <v>112.47</v>
      </c>
      <c r="D9798" s="2">
        <f>IFERROR(__xludf.DUMMYFUNCTION("""COMPUTED_VALUE"""),109.4)</f>
        <v>109.4</v>
      </c>
      <c r="E9798" s="2">
        <f>IFERROR(__xludf.DUMMYFUNCTION("""COMPUTED_VALUE"""),110.48)</f>
        <v>110.48</v>
      </c>
      <c r="F9798" s="2">
        <f>IFERROR(__xludf.DUMMYFUNCTION("""COMPUTED_VALUE"""),1.0592681E7)</f>
        <v>10592681</v>
      </c>
    </row>
    <row r="9799">
      <c r="A9799" s="3">
        <f>IFERROR(__xludf.DUMMYFUNCTION("""COMPUTED_VALUE"""),43409.66666666667)</f>
        <v>43409.66667</v>
      </c>
      <c r="B9799" s="2">
        <f>IFERROR(__xludf.DUMMYFUNCTION("""COMPUTED_VALUE"""),110.89)</f>
        <v>110.89</v>
      </c>
      <c r="C9799" s="2">
        <f>IFERROR(__xludf.DUMMYFUNCTION("""COMPUTED_VALUE"""),115.36)</f>
        <v>115.36</v>
      </c>
      <c r="D9799" s="2">
        <f>IFERROR(__xludf.DUMMYFUNCTION("""COMPUTED_VALUE"""),110.8)</f>
        <v>110.8</v>
      </c>
      <c r="E9799" s="2">
        <f>IFERROR(__xludf.DUMMYFUNCTION("""COMPUTED_VALUE"""),114.68)</f>
        <v>114.68</v>
      </c>
      <c r="F9799" s="2">
        <f>IFERROR(__xludf.DUMMYFUNCTION("""COMPUTED_VALUE"""),9144598.0)</f>
        <v>9144598</v>
      </c>
    </row>
    <row r="9800">
      <c r="A9800" s="3">
        <f>IFERROR(__xludf.DUMMYFUNCTION("""COMPUTED_VALUE"""),43410.66666666667)</f>
        <v>43410.66667</v>
      </c>
      <c r="B9800" s="2">
        <f>IFERROR(__xludf.DUMMYFUNCTION("""COMPUTED_VALUE"""),115.29)</f>
        <v>115.29</v>
      </c>
      <c r="C9800" s="2">
        <f>IFERROR(__xludf.DUMMYFUNCTION("""COMPUTED_VALUE"""),118.26)</f>
        <v>118.26</v>
      </c>
      <c r="D9800" s="2">
        <f>IFERROR(__xludf.DUMMYFUNCTION("""COMPUTED_VALUE"""),114.92)</f>
        <v>114.92</v>
      </c>
      <c r="E9800" s="2">
        <f>IFERROR(__xludf.DUMMYFUNCTION("""COMPUTED_VALUE"""),117.6)</f>
        <v>117.6</v>
      </c>
      <c r="F9800" s="2">
        <f>IFERROR(__xludf.DUMMYFUNCTION("""COMPUTED_VALUE"""),9597392.0)</f>
        <v>9597392</v>
      </c>
    </row>
    <row r="9801">
      <c r="A9801" s="3">
        <f>IFERROR(__xludf.DUMMYFUNCTION("""COMPUTED_VALUE"""),43411.66666666667)</f>
        <v>43411.66667</v>
      </c>
      <c r="B9801" s="2">
        <f>IFERROR(__xludf.DUMMYFUNCTION("""COMPUTED_VALUE"""),118.24)</f>
        <v>118.24</v>
      </c>
      <c r="C9801" s="2">
        <f>IFERROR(__xludf.DUMMYFUNCTION("""COMPUTED_VALUE"""),119.45)</f>
        <v>119.45</v>
      </c>
      <c r="D9801" s="2">
        <f>IFERROR(__xludf.DUMMYFUNCTION("""COMPUTED_VALUE"""),116.85)</f>
        <v>116.85</v>
      </c>
      <c r="E9801" s="2">
        <f>IFERROR(__xludf.DUMMYFUNCTION("""COMPUTED_VALUE"""),119.24)</f>
        <v>119.24</v>
      </c>
      <c r="F9801" s="2">
        <f>IFERROR(__xludf.DUMMYFUNCTION("""COMPUTED_VALUE"""),1.2382666E7)</f>
        <v>12382666</v>
      </c>
    </row>
    <row r="9802">
      <c r="A9802" s="3">
        <f>IFERROR(__xludf.DUMMYFUNCTION("""COMPUTED_VALUE"""),43412.66666666667)</f>
        <v>43412.66667</v>
      </c>
      <c r="B9802" s="2">
        <f>IFERROR(__xludf.DUMMYFUNCTION("""COMPUTED_VALUE"""),117.16)</f>
        <v>117.16</v>
      </c>
      <c r="C9802" s="2">
        <f>IFERROR(__xludf.DUMMYFUNCTION("""COMPUTED_VALUE"""),118.83)</f>
        <v>118.83</v>
      </c>
      <c r="D9802" s="2">
        <f>IFERROR(__xludf.DUMMYFUNCTION("""COMPUTED_VALUE"""),117.13)</f>
        <v>117.13</v>
      </c>
      <c r="E9802" s="2">
        <f>IFERROR(__xludf.DUMMYFUNCTION("""COMPUTED_VALUE"""),117.85)</f>
        <v>117.85</v>
      </c>
      <c r="F9802" s="2">
        <f>IFERROR(__xludf.DUMMYFUNCTION("""COMPUTED_VALUE"""),1.0396439E7)</f>
        <v>10396439</v>
      </c>
    </row>
    <row r="9803">
      <c r="A9803" s="3">
        <f>IFERROR(__xludf.DUMMYFUNCTION("""COMPUTED_VALUE"""),43413.66666666667)</f>
        <v>43413.66667</v>
      </c>
      <c r="B9803" s="2">
        <f>IFERROR(__xludf.DUMMYFUNCTION("""COMPUTED_VALUE"""),118.07)</f>
        <v>118.07</v>
      </c>
      <c r="C9803" s="2">
        <f>IFERROR(__xludf.DUMMYFUNCTION("""COMPUTED_VALUE"""),118.98)</f>
        <v>118.98</v>
      </c>
      <c r="D9803" s="2">
        <f>IFERROR(__xludf.DUMMYFUNCTION("""COMPUTED_VALUE"""),116.49)</f>
        <v>116.49</v>
      </c>
      <c r="E9803" s="2">
        <f>IFERROR(__xludf.DUMMYFUNCTION("""COMPUTED_VALUE"""),118.0)</f>
        <v>118</v>
      </c>
      <c r="F9803" s="2">
        <f>IFERROR(__xludf.DUMMYFUNCTION("""COMPUTED_VALUE"""),6961902.0)</f>
        <v>6961902</v>
      </c>
    </row>
    <row r="9804">
      <c r="A9804" s="3">
        <f>IFERROR(__xludf.DUMMYFUNCTION("""COMPUTED_VALUE"""),43416.66666666667)</f>
        <v>43416.66667</v>
      </c>
      <c r="B9804" s="2">
        <f>IFERROR(__xludf.DUMMYFUNCTION("""COMPUTED_VALUE"""),117.96)</f>
        <v>117.96</v>
      </c>
      <c r="C9804" s="2">
        <f>IFERROR(__xludf.DUMMYFUNCTION("""COMPUTED_VALUE"""),118.03)</f>
        <v>118.03</v>
      </c>
      <c r="D9804" s="2">
        <f>IFERROR(__xludf.DUMMYFUNCTION("""COMPUTED_VALUE"""),115.24)</f>
        <v>115.24</v>
      </c>
      <c r="E9804" s="2">
        <f>IFERROR(__xludf.DUMMYFUNCTION("""COMPUTED_VALUE"""),115.48)</f>
        <v>115.48</v>
      </c>
      <c r="F9804" s="2">
        <f>IFERROR(__xludf.DUMMYFUNCTION("""COMPUTED_VALUE"""),5379113.0)</f>
        <v>5379113</v>
      </c>
    </row>
    <row r="9805">
      <c r="A9805" s="3">
        <f>IFERROR(__xludf.DUMMYFUNCTION("""COMPUTED_VALUE"""),43417.66666666667)</f>
        <v>43417.66667</v>
      </c>
      <c r="B9805" s="2">
        <f>IFERROR(__xludf.DUMMYFUNCTION("""COMPUTED_VALUE"""),115.76)</f>
        <v>115.76</v>
      </c>
      <c r="C9805" s="2">
        <f>IFERROR(__xludf.DUMMYFUNCTION("""COMPUTED_VALUE"""),116.77)</f>
        <v>116.77</v>
      </c>
      <c r="D9805" s="2">
        <f>IFERROR(__xludf.DUMMYFUNCTION("""COMPUTED_VALUE"""),114.52)</f>
        <v>114.52</v>
      </c>
      <c r="E9805" s="2">
        <f>IFERROR(__xludf.DUMMYFUNCTION("""COMPUTED_VALUE"""),115.42)</f>
        <v>115.42</v>
      </c>
      <c r="F9805" s="2">
        <f>IFERROR(__xludf.DUMMYFUNCTION("""COMPUTED_VALUE"""),4084385.0)</f>
        <v>4084385</v>
      </c>
    </row>
    <row r="9806">
      <c r="A9806" s="3">
        <f>IFERROR(__xludf.DUMMYFUNCTION("""COMPUTED_VALUE"""),43418.66666666667)</f>
        <v>43418.66667</v>
      </c>
      <c r="B9806" s="2">
        <f>IFERROR(__xludf.DUMMYFUNCTION("""COMPUTED_VALUE"""),115.68)</f>
        <v>115.68</v>
      </c>
      <c r="C9806" s="2">
        <f>IFERROR(__xludf.DUMMYFUNCTION("""COMPUTED_VALUE"""),116.46)</f>
        <v>116.46</v>
      </c>
      <c r="D9806" s="2">
        <f>IFERROR(__xludf.DUMMYFUNCTION("""COMPUTED_VALUE"""),114.4)</f>
        <v>114.4</v>
      </c>
      <c r="E9806" s="2">
        <f>IFERROR(__xludf.DUMMYFUNCTION("""COMPUTED_VALUE"""),114.81)</f>
        <v>114.81</v>
      </c>
      <c r="F9806" s="2">
        <f>IFERROR(__xludf.DUMMYFUNCTION("""COMPUTED_VALUE"""),4762275.0)</f>
        <v>4762275</v>
      </c>
    </row>
    <row r="9807">
      <c r="A9807" s="3">
        <f>IFERROR(__xludf.DUMMYFUNCTION("""COMPUTED_VALUE"""),43419.66666666667)</f>
        <v>43419.66667</v>
      </c>
      <c r="B9807" s="2">
        <f>IFERROR(__xludf.DUMMYFUNCTION("""COMPUTED_VALUE"""),114.29)</f>
        <v>114.29</v>
      </c>
      <c r="C9807" s="2">
        <f>IFERROR(__xludf.DUMMYFUNCTION("""COMPUTED_VALUE"""),116.0)</f>
        <v>116</v>
      </c>
      <c r="D9807" s="2">
        <f>IFERROR(__xludf.DUMMYFUNCTION("""COMPUTED_VALUE"""),114.15)</f>
        <v>114.15</v>
      </c>
      <c r="E9807" s="2">
        <f>IFERROR(__xludf.DUMMYFUNCTION("""COMPUTED_VALUE"""),116.0)</f>
        <v>116</v>
      </c>
      <c r="F9807" s="2">
        <f>IFERROR(__xludf.DUMMYFUNCTION("""COMPUTED_VALUE"""),5207973.0)</f>
        <v>5207973</v>
      </c>
    </row>
    <row r="9808">
      <c r="A9808" s="3">
        <f>IFERROR(__xludf.DUMMYFUNCTION("""COMPUTED_VALUE"""),43420.66666666667)</f>
        <v>43420.66667</v>
      </c>
      <c r="B9808" s="2">
        <f>IFERROR(__xludf.DUMMYFUNCTION("""COMPUTED_VALUE"""),115.47)</f>
        <v>115.47</v>
      </c>
      <c r="C9808" s="2">
        <f>IFERROR(__xludf.DUMMYFUNCTION("""COMPUTED_VALUE"""),116.39)</f>
        <v>116.39</v>
      </c>
      <c r="D9808" s="2">
        <f>IFERROR(__xludf.DUMMYFUNCTION("""COMPUTED_VALUE"""),115.14)</f>
        <v>115.14</v>
      </c>
      <c r="E9808" s="2">
        <f>IFERROR(__xludf.DUMMYFUNCTION("""COMPUTED_VALUE"""),116.12)</f>
        <v>116.12</v>
      </c>
      <c r="F9808" s="2">
        <f>IFERROR(__xludf.DUMMYFUNCTION("""COMPUTED_VALUE"""),4076315.0)</f>
        <v>4076315</v>
      </c>
    </row>
    <row r="9809">
      <c r="A9809" s="3">
        <f>IFERROR(__xludf.DUMMYFUNCTION("""COMPUTED_VALUE"""),43423.66666666667)</f>
        <v>43423.66667</v>
      </c>
      <c r="B9809" s="2">
        <f>IFERROR(__xludf.DUMMYFUNCTION("""COMPUTED_VALUE"""),116.18)</f>
        <v>116.18</v>
      </c>
      <c r="C9809" s="2">
        <f>IFERROR(__xludf.DUMMYFUNCTION("""COMPUTED_VALUE"""),116.7)</f>
        <v>116.7</v>
      </c>
      <c r="D9809" s="2">
        <f>IFERROR(__xludf.DUMMYFUNCTION("""COMPUTED_VALUE"""),114.4)</f>
        <v>114.4</v>
      </c>
      <c r="E9809" s="2">
        <f>IFERROR(__xludf.DUMMYFUNCTION("""COMPUTED_VALUE"""),114.92)</f>
        <v>114.92</v>
      </c>
      <c r="F9809" s="2">
        <f>IFERROR(__xludf.DUMMYFUNCTION("""COMPUTED_VALUE"""),4131238.0)</f>
        <v>4131238</v>
      </c>
    </row>
    <row r="9810">
      <c r="A9810" s="3">
        <f>IFERROR(__xludf.DUMMYFUNCTION("""COMPUTED_VALUE"""),43424.66666666667)</f>
        <v>43424.66667</v>
      </c>
      <c r="B9810" s="2">
        <f>IFERROR(__xludf.DUMMYFUNCTION("""COMPUTED_VALUE"""),113.18)</f>
        <v>113.18</v>
      </c>
      <c r="C9810" s="2">
        <f>IFERROR(__xludf.DUMMYFUNCTION("""COMPUTED_VALUE"""),114.13)</f>
        <v>114.13</v>
      </c>
      <c r="D9810" s="2">
        <f>IFERROR(__xludf.DUMMYFUNCTION("""COMPUTED_VALUE"""),111.46)</f>
        <v>111.46</v>
      </c>
      <c r="E9810" s="2">
        <f>IFERROR(__xludf.DUMMYFUNCTION("""COMPUTED_VALUE"""),111.95)</f>
        <v>111.95</v>
      </c>
      <c r="F9810" s="2">
        <f>IFERROR(__xludf.DUMMYFUNCTION("""COMPUTED_VALUE"""),6233777.0)</f>
        <v>6233777</v>
      </c>
    </row>
    <row r="9811">
      <c r="A9811" s="3">
        <f>IFERROR(__xludf.DUMMYFUNCTION("""COMPUTED_VALUE"""),43425.66666666667)</f>
        <v>43425.66667</v>
      </c>
      <c r="B9811" s="2">
        <f>IFERROR(__xludf.DUMMYFUNCTION("""COMPUTED_VALUE"""),112.34)</f>
        <v>112.34</v>
      </c>
      <c r="C9811" s="2">
        <f>IFERROR(__xludf.DUMMYFUNCTION("""COMPUTED_VALUE"""),114.15)</f>
        <v>114.15</v>
      </c>
      <c r="D9811" s="2">
        <f>IFERROR(__xludf.DUMMYFUNCTION("""COMPUTED_VALUE"""),112.13)</f>
        <v>112.13</v>
      </c>
      <c r="E9811" s="2">
        <f>IFERROR(__xludf.DUMMYFUNCTION("""COMPUTED_VALUE"""),113.25)</f>
        <v>113.25</v>
      </c>
      <c r="F9811" s="2">
        <f>IFERROR(__xludf.DUMMYFUNCTION("""COMPUTED_VALUE"""),5335842.0)</f>
        <v>5335842</v>
      </c>
    </row>
    <row r="9812">
      <c r="A9812" s="3">
        <f>IFERROR(__xludf.DUMMYFUNCTION("""COMPUTED_VALUE"""),43427.54166666667)</f>
        <v>43427.54167</v>
      </c>
      <c r="B9812" s="2">
        <f>IFERROR(__xludf.DUMMYFUNCTION("""COMPUTED_VALUE"""),112.8)</f>
        <v>112.8</v>
      </c>
      <c r="C9812" s="2">
        <f>IFERROR(__xludf.DUMMYFUNCTION("""COMPUTED_VALUE"""),113.03)</f>
        <v>113.03</v>
      </c>
      <c r="D9812" s="2">
        <f>IFERROR(__xludf.DUMMYFUNCTION("""COMPUTED_VALUE"""),111.67)</f>
        <v>111.67</v>
      </c>
      <c r="E9812" s="2">
        <f>IFERROR(__xludf.DUMMYFUNCTION("""COMPUTED_VALUE"""),111.94)</f>
        <v>111.94</v>
      </c>
      <c r="F9812" s="2">
        <f>IFERROR(__xludf.DUMMYFUNCTION("""COMPUTED_VALUE"""),2334730.0)</f>
        <v>2334730</v>
      </c>
    </row>
    <row r="9813">
      <c r="A9813" s="3">
        <f>IFERROR(__xludf.DUMMYFUNCTION("""COMPUTED_VALUE"""),43430.66666666667)</f>
        <v>43430.66667</v>
      </c>
      <c r="B9813" s="2">
        <f>IFERROR(__xludf.DUMMYFUNCTION("""COMPUTED_VALUE"""),113.06)</f>
        <v>113.06</v>
      </c>
      <c r="C9813" s="2">
        <f>IFERROR(__xludf.DUMMYFUNCTION("""COMPUTED_VALUE"""),114.86)</f>
        <v>114.86</v>
      </c>
      <c r="D9813" s="2">
        <f>IFERROR(__xludf.DUMMYFUNCTION("""COMPUTED_VALUE"""),112.77)</f>
        <v>112.77</v>
      </c>
      <c r="E9813" s="2">
        <f>IFERROR(__xludf.DUMMYFUNCTION("""COMPUTED_VALUE"""),114.2)</f>
        <v>114.2</v>
      </c>
      <c r="F9813" s="2">
        <f>IFERROR(__xludf.DUMMYFUNCTION("""COMPUTED_VALUE"""),5011130.0)</f>
        <v>5011130</v>
      </c>
    </row>
    <row r="9814">
      <c r="A9814" s="3">
        <f>IFERROR(__xludf.DUMMYFUNCTION("""COMPUTED_VALUE"""),43431.66666666667)</f>
        <v>43431.66667</v>
      </c>
      <c r="B9814" s="2">
        <f>IFERROR(__xludf.DUMMYFUNCTION("""COMPUTED_VALUE"""),113.07)</f>
        <v>113.07</v>
      </c>
      <c r="C9814" s="2">
        <f>IFERROR(__xludf.DUMMYFUNCTION("""COMPUTED_VALUE"""),114.66)</f>
        <v>114.66</v>
      </c>
      <c r="D9814" s="2">
        <f>IFERROR(__xludf.DUMMYFUNCTION("""COMPUTED_VALUE"""),113.06)</f>
        <v>113.06</v>
      </c>
      <c r="E9814" s="2">
        <f>IFERROR(__xludf.DUMMYFUNCTION("""COMPUTED_VALUE"""),114.65)</f>
        <v>114.65</v>
      </c>
      <c r="F9814" s="2">
        <f>IFERROR(__xludf.DUMMYFUNCTION("""COMPUTED_VALUE"""),4903771.0)</f>
        <v>4903771</v>
      </c>
    </row>
    <row r="9815">
      <c r="A9815" s="3">
        <f>IFERROR(__xludf.DUMMYFUNCTION("""COMPUTED_VALUE"""),43432.66666666667)</f>
        <v>43432.66667</v>
      </c>
      <c r="B9815" s="2">
        <f>IFERROR(__xludf.DUMMYFUNCTION("""COMPUTED_VALUE"""),115.58)</f>
        <v>115.58</v>
      </c>
      <c r="C9815" s="2">
        <f>IFERROR(__xludf.DUMMYFUNCTION("""COMPUTED_VALUE"""),117.57)</f>
        <v>117.57</v>
      </c>
      <c r="D9815" s="2">
        <f>IFERROR(__xludf.DUMMYFUNCTION("""COMPUTED_VALUE"""),114.83)</f>
        <v>114.83</v>
      </c>
      <c r="E9815" s="2">
        <f>IFERROR(__xludf.DUMMYFUNCTION("""COMPUTED_VALUE"""),117.49)</f>
        <v>117.49</v>
      </c>
      <c r="F9815" s="2">
        <f>IFERROR(__xludf.DUMMYFUNCTION("""COMPUTED_VALUE"""),5104520.0)</f>
        <v>5104520</v>
      </c>
    </row>
    <row r="9816">
      <c r="A9816" s="3">
        <f>IFERROR(__xludf.DUMMYFUNCTION("""COMPUTED_VALUE"""),43433.66666666667)</f>
        <v>43433.66667</v>
      </c>
      <c r="B9816" s="2">
        <f>IFERROR(__xludf.DUMMYFUNCTION("""COMPUTED_VALUE"""),116.95)</f>
        <v>116.95</v>
      </c>
      <c r="C9816" s="2">
        <f>IFERROR(__xludf.DUMMYFUNCTION("""COMPUTED_VALUE"""),117.6)</f>
        <v>117.6</v>
      </c>
      <c r="D9816" s="2">
        <f>IFERROR(__xludf.DUMMYFUNCTION("""COMPUTED_VALUE"""),115.96)</f>
        <v>115.96</v>
      </c>
      <c r="E9816" s="2">
        <f>IFERROR(__xludf.DUMMYFUNCTION("""COMPUTED_VALUE"""),116.03)</f>
        <v>116.03</v>
      </c>
      <c r="F9816" s="2">
        <f>IFERROR(__xludf.DUMMYFUNCTION("""COMPUTED_VALUE"""),5200113.0)</f>
        <v>5200113</v>
      </c>
    </row>
    <row r="9817">
      <c r="A9817" s="3">
        <f>IFERROR(__xludf.DUMMYFUNCTION("""COMPUTED_VALUE"""),43434.66666666667)</f>
        <v>43434.66667</v>
      </c>
      <c r="B9817" s="2">
        <f>IFERROR(__xludf.DUMMYFUNCTION("""COMPUTED_VALUE"""),116.21)</f>
        <v>116.21</v>
      </c>
      <c r="C9817" s="2">
        <f>IFERROR(__xludf.DUMMYFUNCTION("""COMPUTED_VALUE"""),119.1)</f>
        <v>119.1</v>
      </c>
      <c r="D9817" s="2">
        <f>IFERROR(__xludf.DUMMYFUNCTION("""COMPUTED_VALUE"""),116.03)</f>
        <v>116.03</v>
      </c>
      <c r="E9817" s="2">
        <f>IFERROR(__xludf.DUMMYFUNCTION("""COMPUTED_VALUE"""),118.7)</f>
        <v>118.7</v>
      </c>
      <c r="F9817" s="2">
        <f>IFERROR(__xludf.DUMMYFUNCTION("""COMPUTED_VALUE"""),7251590.0)</f>
        <v>7251590</v>
      </c>
    </row>
    <row r="9818">
      <c r="A9818" s="3">
        <f>IFERROR(__xludf.DUMMYFUNCTION("""COMPUTED_VALUE"""),43437.66666666667)</f>
        <v>43437.66667</v>
      </c>
      <c r="B9818" s="2">
        <f>IFERROR(__xludf.DUMMYFUNCTION("""COMPUTED_VALUE"""),120.04)</f>
        <v>120.04</v>
      </c>
      <c r="C9818" s="2">
        <f>IFERROR(__xludf.DUMMYFUNCTION("""COMPUTED_VALUE"""),120.91)</f>
        <v>120.91</v>
      </c>
      <c r="D9818" s="2">
        <f>IFERROR(__xludf.DUMMYFUNCTION("""COMPUTED_VALUE"""),118.78)</f>
        <v>118.78</v>
      </c>
      <c r="E9818" s="2">
        <f>IFERROR(__xludf.DUMMYFUNCTION("""COMPUTED_VALUE"""),119.69)</f>
        <v>119.69</v>
      </c>
      <c r="F9818" s="2">
        <f>IFERROR(__xludf.DUMMYFUNCTION("""COMPUTED_VALUE"""),5843112.0)</f>
        <v>5843112</v>
      </c>
    </row>
    <row r="9819">
      <c r="A9819" s="3">
        <f>IFERROR(__xludf.DUMMYFUNCTION("""COMPUTED_VALUE"""),43438.66666666667)</f>
        <v>43438.66667</v>
      </c>
      <c r="B9819" s="2">
        <f>IFERROR(__xludf.DUMMYFUNCTION("""COMPUTED_VALUE"""),118.91)</f>
        <v>118.91</v>
      </c>
      <c r="C9819" s="2">
        <f>IFERROR(__xludf.DUMMYFUNCTION("""COMPUTED_VALUE"""),119.32)</f>
        <v>119.32</v>
      </c>
      <c r="D9819" s="2">
        <f>IFERROR(__xludf.DUMMYFUNCTION("""COMPUTED_VALUE"""),115.89)</f>
        <v>115.89</v>
      </c>
      <c r="E9819" s="2">
        <f>IFERROR(__xludf.DUMMYFUNCTION("""COMPUTED_VALUE"""),116.15)</f>
        <v>116.15</v>
      </c>
      <c r="F9819" s="2">
        <f>IFERROR(__xludf.DUMMYFUNCTION("""COMPUTED_VALUE"""),6000697.0)</f>
        <v>6000697</v>
      </c>
    </row>
    <row r="9820">
      <c r="A9820" s="3">
        <f>IFERROR(__xludf.DUMMYFUNCTION("""COMPUTED_VALUE"""),43440.66666666667)</f>
        <v>43440.66667</v>
      </c>
      <c r="B9820" s="2">
        <f>IFERROR(__xludf.DUMMYFUNCTION("""COMPUTED_VALUE"""),114.35)</f>
        <v>114.35</v>
      </c>
      <c r="C9820" s="2">
        <f>IFERROR(__xludf.DUMMYFUNCTION("""COMPUTED_VALUE"""),118.35)</f>
        <v>118.35</v>
      </c>
      <c r="D9820" s="2">
        <f>IFERROR(__xludf.DUMMYFUNCTION("""COMPUTED_VALUE"""),113.95)</f>
        <v>113.95</v>
      </c>
      <c r="E9820" s="2">
        <f>IFERROR(__xludf.DUMMYFUNCTION("""COMPUTED_VALUE"""),118.35)</f>
        <v>118.35</v>
      </c>
      <c r="F9820" s="2">
        <f>IFERROR(__xludf.DUMMYFUNCTION("""COMPUTED_VALUE"""),6938049.0)</f>
        <v>6938049</v>
      </c>
    </row>
    <row r="9821">
      <c r="A9821" s="3">
        <f>IFERROR(__xludf.DUMMYFUNCTION("""COMPUTED_VALUE"""),43441.66666666667)</f>
        <v>43441.66667</v>
      </c>
      <c r="B9821" s="2">
        <f>IFERROR(__xludf.DUMMYFUNCTION("""COMPUTED_VALUE"""),118.34)</f>
        <v>118.34</v>
      </c>
      <c r="C9821" s="2">
        <f>IFERROR(__xludf.DUMMYFUNCTION("""COMPUTED_VALUE"""),118.49)</f>
        <v>118.49</v>
      </c>
      <c r="D9821" s="2">
        <f>IFERROR(__xludf.DUMMYFUNCTION("""COMPUTED_VALUE"""),113.54)</f>
        <v>113.54</v>
      </c>
      <c r="E9821" s="2">
        <f>IFERROR(__xludf.DUMMYFUNCTION("""COMPUTED_VALUE"""),113.99)</f>
        <v>113.99</v>
      </c>
      <c r="F9821" s="2">
        <f>IFERROR(__xludf.DUMMYFUNCTION("""COMPUTED_VALUE"""),7019616.0)</f>
        <v>7019616</v>
      </c>
    </row>
    <row r="9822">
      <c r="A9822" s="3">
        <f>IFERROR(__xludf.DUMMYFUNCTION("""COMPUTED_VALUE"""),43444.66666666667)</f>
        <v>43444.66667</v>
      </c>
      <c r="B9822" s="2">
        <f>IFERROR(__xludf.DUMMYFUNCTION("""COMPUTED_VALUE"""),114.37)</f>
        <v>114.37</v>
      </c>
      <c r="C9822" s="2">
        <f>IFERROR(__xludf.DUMMYFUNCTION("""COMPUTED_VALUE"""),116.23)</f>
        <v>116.23</v>
      </c>
      <c r="D9822" s="2">
        <f>IFERROR(__xludf.DUMMYFUNCTION("""COMPUTED_VALUE"""),113.21)</f>
        <v>113.21</v>
      </c>
      <c r="E9822" s="2">
        <f>IFERROR(__xludf.DUMMYFUNCTION("""COMPUTED_VALUE"""),115.7)</f>
        <v>115.7</v>
      </c>
      <c r="F9822" s="2">
        <f>IFERROR(__xludf.DUMMYFUNCTION("""COMPUTED_VALUE"""),6549506.0)</f>
        <v>6549506</v>
      </c>
    </row>
    <row r="9823">
      <c r="A9823" s="3">
        <f>IFERROR(__xludf.DUMMYFUNCTION("""COMPUTED_VALUE"""),43445.66666666667)</f>
        <v>43445.66667</v>
      </c>
      <c r="B9823" s="2">
        <f>IFERROR(__xludf.DUMMYFUNCTION("""COMPUTED_VALUE"""),117.72)</f>
        <v>117.72</v>
      </c>
      <c r="C9823" s="2">
        <f>IFERROR(__xludf.DUMMYFUNCTION("""COMPUTED_VALUE"""),118.26)</f>
        <v>118.26</v>
      </c>
      <c r="D9823" s="2">
        <f>IFERROR(__xludf.DUMMYFUNCTION("""COMPUTED_VALUE"""),114.62)</f>
        <v>114.62</v>
      </c>
      <c r="E9823" s="2">
        <f>IFERROR(__xludf.DUMMYFUNCTION("""COMPUTED_VALUE"""),115.47)</f>
        <v>115.47</v>
      </c>
      <c r="F9823" s="2">
        <f>IFERROR(__xludf.DUMMYFUNCTION("""COMPUTED_VALUE"""),5043081.0)</f>
        <v>5043081</v>
      </c>
    </row>
    <row r="9824">
      <c r="A9824" s="3">
        <f>IFERROR(__xludf.DUMMYFUNCTION("""COMPUTED_VALUE"""),43446.66666666667)</f>
        <v>43446.66667</v>
      </c>
      <c r="B9824" s="2">
        <f>IFERROR(__xludf.DUMMYFUNCTION("""COMPUTED_VALUE"""),117.02)</f>
        <v>117.02</v>
      </c>
      <c r="C9824" s="2">
        <f>IFERROR(__xludf.DUMMYFUNCTION("""COMPUTED_VALUE"""),117.37)</f>
        <v>117.37</v>
      </c>
      <c r="D9824" s="2">
        <f>IFERROR(__xludf.DUMMYFUNCTION("""COMPUTED_VALUE"""),115.57)</f>
        <v>115.57</v>
      </c>
      <c r="E9824" s="2">
        <f>IFERROR(__xludf.DUMMYFUNCTION("""COMPUTED_VALUE"""),115.73)</f>
        <v>115.73</v>
      </c>
      <c r="F9824" s="2">
        <f>IFERROR(__xludf.DUMMYFUNCTION("""COMPUTED_VALUE"""),3560790.0)</f>
        <v>3560790</v>
      </c>
    </row>
    <row r="9825">
      <c r="A9825" s="3">
        <f>IFERROR(__xludf.DUMMYFUNCTION("""COMPUTED_VALUE"""),43447.66666666667)</f>
        <v>43447.66667</v>
      </c>
      <c r="B9825" s="2">
        <f>IFERROR(__xludf.DUMMYFUNCTION("""COMPUTED_VALUE"""),115.82)</f>
        <v>115.82</v>
      </c>
      <c r="C9825" s="2">
        <f>IFERROR(__xludf.DUMMYFUNCTION("""COMPUTED_VALUE"""),116.33)</f>
        <v>116.33</v>
      </c>
      <c r="D9825" s="2">
        <f>IFERROR(__xludf.DUMMYFUNCTION("""COMPUTED_VALUE"""),114.78)</f>
        <v>114.78</v>
      </c>
      <c r="E9825" s="2">
        <f>IFERROR(__xludf.DUMMYFUNCTION("""COMPUTED_VALUE"""),115.32)</f>
        <v>115.32</v>
      </c>
      <c r="F9825" s="2">
        <f>IFERROR(__xludf.DUMMYFUNCTION("""COMPUTED_VALUE"""),3993597.0)</f>
        <v>3993597</v>
      </c>
    </row>
    <row r="9826">
      <c r="A9826" s="3">
        <f>IFERROR(__xludf.DUMMYFUNCTION("""COMPUTED_VALUE"""),43448.66666666667)</f>
        <v>43448.66667</v>
      </c>
      <c r="B9826" s="2">
        <f>IFERROR(__xludf.DUMMYFUNCTION("""COMPUTED_VALUE"""),114.14)</f>
        <v>114.14</v>
      </c>
      <c r="C9826" s="2">
        <f>IFERROR(__xludf.DUMMYFUNCTION("""COMPUTED_VALUE"""),115.68)</f>
        <v>115.68</v>
      </c>
      <c r="D9826" s="2">
        <f>IFERROR(__xludf.DUMMYFUNCTION("""COMPUTED_VALUE"""),114.08)</f>
        <v>114.08</v>
      </c>
      <c r="E9826" s="2">
        <f>IFERROR(__xludf.DUMMYFUNCTION("""COMPUTED_VALUE"""),114.52)</f>
        <v>114.52</v>
      </c>
      <c r="F9826" s="2">
        <f>IFERROR(__xludf.DUMMYFUNCTION("""COMPUTED_VALUE"""),4554204.0)</f>
        <v>4554204</v>
      </c>
    </row>
    <row r="9827">
      <c r="A9827" s="3">
        <f>IFERROR(__xludf.DUMMYFUNCTION("""COMPUTED_VALUE"""),43451.66666666667)</f>
        <v>43451.66667</v>
      </c>
      <c r="B9827" s="2">
        <f>IFERROR(__xludf.DUMMYFUNCTION("""COMPUTED_VALUE"""),113.73)</f>
        <v>113.73</v>
      </c>
      <c r="C9827" s="2">
        <f>IFERROR(__xludf.DUMMYFUNCTION("""COMPUTED_VALUE"""),114.41)</f>
        <v>114.41</v>
      </c>
      <c r="D9827" s="2">
        <f>IFERROR(__xludf.DUMMYFUNCTION("""COMPUTED_VALUE"""),109.91)</f>
        <v>109.91</v>
      </c>
      <c r="E9827" s="2">
        <f>IFERROR(__xludf.DUMMYFUNCTION("""COMPUTED_VALUE"""),110.89)</f>
        <v>110.89</v>
      </c>
      <c r="F9827" s="2">
        <f>IFERROR(__xludf.DUMMYFUNCTION("""COMPUTED_VALUE"""),7374476.0)</f>
        <v>7374476</v>
      </c>
    </row>
    <row r="9828">
      <c r="A9828" s="3">
        <f>IFERROR(__xludf.DUMMYFUNCTION("""COMPUTED_VALUE"""),43452.66666666667)</f>
        <v>43452.66667</v>
      </c>
      <c r="B9828" s="2">
        <f>IFERROR(__xludf.DUMMYFUNCTION("""COMPUTED_VALUE"""),111.66)</f>
        <v>111.66</v>
      </c>
      <c r="C9828" s="2">
        <f>IFERROR(__xludf.DUMMYFUNCTION("""COMPUTED_VALUE"""),112.93)</f>
        <v>112.93</v>
      </c>
      <c r="D9828" s="2">
        <f>IFERROR(__xludf.DUMMYFUNCTION("""COMPUTED_VALUE"""),110.82)</f>
        <v>110.82</v>
      </c>
      <c r="E9828" s="2">
        <f>IFERROR(__xludf.DUMMYFUNCTION("""COMPUTED_VALUE"""),111.42)</f>
        <v>111.42</v>
      </c>
      <c r="F9828" s="2">
        <f>IFERROR(__xludf.DUMMYFUNCTION("""COMPUTED_VALUE"""),6290186.0)</f>
        <v>6290186</v>
      </c>
    </row>
    <row r="9829">
      <c r="A9829" s="3">
        <f>IFERROR(__xludf.DUMMYFUNCTION("""COMPUTED_VALUE"""),43453.66666666667)</f>
        <v>43453.66667</v>
      </c>
      <c r="B9829" s="2">
        <f>IFERROR(__xludf.DUMMYFUNCTION("""COMPUTED_VALUE"""),111.9)</f>
        <v>111.9</v>
      </c>
      <c r="C9829" s="2">
        <f>IFERROR(__xludf.DUMMYFUNCTION("""COMPUTED_VALUE"""),114.88)</f>
        <v>114.88</v>
      </c>
      <c r="D9829" s="2">
        <f>IFERROR(__xludf.DUMMYFUNCTION("""COMPUTED_VALUE"""),110.77)</f>
        <v>110.77</v>
      </c>
      <c r="E9829" s="2">
        <f>IFERROR(__xludf.DUMMYFUNCTION("""COMPUTED_VALUE"""),111.21)</f>
        <v>111.21</v>
      </c>
      <c r="F9829" s="2">
        <f>IFERROR(__xludf.DUMMYFUNCTION("""COMPUTED_VALUE"""),6979823.0)</f>
        <v>6979823</v>
      </c>
    </row>
    <row r="9830">
      <c r="A9830" s="3">
        <f>IFERROR(__xludf.DUMMYFUNCTION("""COMPUTED_VALUE"""),43454.66666666667)</f>
        <v>43454.66667</v>
      </c>
      <c r="B9830" s="2">
        <f>IFERROR(__xludf.DUMMYFUNCTION("""COMPUTED_VALUE"""),110.51)</f>
        <v>110.51</v>
      </c>
      <c r="C9830" s="2">
        <f>IFERROR(__xludf.DUMMYFUNCTION("""COMPUTED_VALUE"""),111.23)</f>
        <v>111.23</v>
      </c>
      <c r="D9830" s="2">
        <f>IFERROR(__xludf.DUMMYFUNCTION("""COMPUTED_VALUE"""),106.69)</f>
        <v>106.69</v>
      </c>
      <c r="E9830" s="2">
        <f>IFERROR(__xludf.DUMMYFUNCTION("""COMPUTED_VALUE"""),107.95)</f>
        <v>107.95</v>
      </c>
      <c r="F9830" s="2">
        <f>IFERROR(__xludf.DUMMYFUNCTION("""COMPUTED_VALUE"""),8454350.0)</f>
        <v>8454350</v>
      </c>
    </row>
    <row r="9831">
      <c r="A9831" s="3">
        <f>IFERROR(__xludf.DUMMYFUNCTION("""COMPUTED_VALUE"""),43455.66666666667)</f>
        <v>43455.66667</v>
      </c>
      <c r="B9831" s="2">
        <f>IFERROR(__xludf.DUMMYFUNCTION("""COMPUTED_VALUE"""),107.46)</f>
        <v>107.46</v>
      </c>
      <c r="C9831" s="2">
        <f>IFERROR(__xludf.DUMMYFUNCTION("""COMPUTED_VALUE"""),110.11)</f>
        <v>110.11</v>
      </c>
      <c r="D9831" s="2">
        <f>IFERROR(__xludf.DUMMYFUNCTION("""COMPUTED_VALUE"""),105.49)</f>
        <v>105.49</v>
      </c>
      <c r="E9831" s="2">
        <f>IFERROR(__xludf.DUMMYFUNCTION("""COMPUTED_VALUE"""),105.97)</f>
        <v>105.97</v>
      </c>
      <c r="F9831" s="2">
        <f>IFERROR(__xludf.DUMMYFUNCTION("""COMPUTED_VALUE"""),1.0386453E7)</f>
        <v>10386453</v>
      </c>
    </row>
    <row r="9832">
      <c r="A9832" s="3">
        <f>IFERROR(__xludf.DUMMYFUNCTION("""COMPUTED_VALUE"""),43458.54166666667)</f>
        <v>43458.54167</v>
      </c>
      <c r="B9832" s="2">
        <f>IFERROR(__xludf.DUMMYFUNCTION("""COMPUTED_VALUE"""),104.97)</f>
        <v>104.97</v>
      </c>
      <c r="C9832" s="2">
        <f>IFERROR(__xludf.DUMMYFUNCTION("""COMPUTED_VALUE"""),106.02)</f>
        <v>106.02</v>
      </c>
      <c r="D9832" s="2">
        <f>IFERROR(__xludf.DUMMYFUNCTION("""COMPUTED_VALUE"""),102.68)</f>
        <v>102.68</v>
      </c>
      <c r="E9832" s="2">
        <f>IFERROR(__xludf.DUMMYFUNCTION("""COMPUTED_VALUE"""),102.75)</f>
        <v>102.75</v>
      </c>
      <c r="F9832" s="2">
        <f>IFERROR(__xludf.DUMMYFUNCTION("""COMPUTED_VALUE"""),3821376.0)</f>
        <v>3821376</v>
      </c>
    </row>
    <row r="9833">
      <c r="A9833" s="3">
        <f>IFERROR(__xludf.DUMMYFUNCTION("""COMPUTED_VALUE"""),43460.66666666667)</f>
        <v>43460.66667</v>
      </c>
      <c r="B9833" s="2">
        <f>IFERROR(__xludf.DUMMYFUNCTION("""COMPUTED_VALUE"""),103.16)</f>
        <v>103.16</v>
      </c>
      <c r="C9833" s="2">
        <f>IFERROR(__xludf.DUMMYFUNCTION("""COMPUTED_VALUE"""),106.4)</f>
        <v>106.4</v>
      </c>
      <c r="D9833" s="2">
        <f>IFERROR(__xludf.DUMMYFUNCTION("""COMPUTED_VALUE"""),101.19)</f>
        <v>101.19</v>
      </c>
      <c r="E9833" s="2">
        <f>IFERROR(__xludf.DUMMYFUNCTION("""COMPUTED_VALUE"""),106.4)</f>
        <v>106.4</v>
      </c>
      <c r="F9833" s="2">
        <f>IFERROR(__xludf.DUMMYFUNCTION("""COMPUTED_VALUE"""),6645794.0)</f>
        <v>6645794</v>
      </c>
    </row>
    <row r="9834">
      <c r="A9834" s="3">
        <f>IFERROR(__xludf.DUMMYFUNCTION("""COMPUTED_VALUE"""),43461.66666666667)</f>
        <v>43461.66667</v>
      </c>
      <c r="B9834" s="2">
        <f>IFERROR(__xludf.DUMMYFUNCTION("""COMPUTED_VALUE"""),105.06)</f>
        <v>105.06</v>
      </c>
      <c r="C9834" s="2">
        <f>IFERROR(__xludf.DUMMYFUNCTION("""COMPUTED_VALUE"""),108.68)</f>
        <v>108.68</v>
      </c>
      <c r="D9834" s="2">
        <f>IFERROR(__xludf.DUMMYFUNCTION("""COMPUTED_VALUE"""),104.56)</f>
        <v>104.56</v>
      </c>
      <c r="E9834" s="2">
        <f>IFERROR(__xludf.DUMMYFUNCTION("""COMPUTED_VALUE"""),108.68)</f>
        <v>108.68</v>
      </c>
      <c r="F9834" s="2">
        <f>IFERROR(__xludf.DUMMYFUNCTION("""COMPUTED_VALUE"""),6045590.0)</f>
        <v>6045590</v>
      </c>
    </row>
    <row r="9835">
      <c r="A9835" s="3">
        <f>IFERROR(__xludf.DUMMYFUNCTION("""COMPUTED_VALUE"""),43462.66666666667)</f>
        <v>43462.66667</v>
      </c>
      <c r="B9835" s="2">
        <f>IFERROR(__xludf.DUMMYFUNCTION("""COMPUTED_VALUE"""),109.1)</f>
        <v>109.1</v>
      </c>
      <c r="C9835" s="2">
        <f>IFERROR(__xludf.DUMMYFUNCTION("""COMPUTED_VALUE"""),109.65)</f>
        <v>109.65</v>
      </c>
      <c r="D9835" s="2">
        <f>IFERROR(__xludf.DUMMYFUNCTION("""COMPUTED_VALUE"""),107.46)</f>
        <v>107.46</v>
      </c>
      <c r="E9835" s="2">
        <f>IFERROR(__xludf.DUMMYFUNCTION("""COMPUTED_VALUE"""),107.96)</f>
        <v>107.96</v>
      </c>
      <c r="F9835" s="2">
        <f>IFERROR(__xludf.DUMMYFUNCTION("""COMPUTED_VALUE"""),5117533.0)</f>
        <v>5117533</v>
      </c>
    </row>
    <row r="9836">
      <c r="A9836" s="3">
        <f>IFERROR(__xludf.DUMMYFUNCTION("""COMPUTED_VALUE"""),43465.66666666667)</f>
        <v>43465.66667</v>
      </c>
      <c r="B9836" s="2">
        <f>IFERROR(__xludf.DUMMYFUNCTION("""COMPUTED_VALUE"""),108.25)</f>
        <v>108.25</v>
      </c>
      <c r="C9836" s="2">
        <f>IFERROR(__xludf.DUMMYFUNCTION("""COMPUTED_VALUE"""),109.22)</f>
        <v>109.22</v>
      </c>
      <c r="D9836" s="2">
        <f>IFERROR(__xludf.DUMMYFUNCTION("""COMPUTED_VALUE"""),107.38)</f>
        <v>107.38</v>
      </c>
      <c r="E9836" s="2">
        <f>IFERROR(__xludf.DUMMYFUNCTION("""COMPUTED_VALUE"""),108.57)</f>
        <v>108.57</v>
      </c>
      <c r="F9836" s="2">
        <f>IFERROR(__xludf.DUMMYFUNCTION("""COMPUTED_VALUE"""),4982755.0)</f>
        <v>4982755</v>
      </c>
    </row>
    <row r="9837">
      <c r="A9837" s="3">
        <f>IFERROR(__xludf.DUMMYFUNCTION("""COMPUTED_VALUE"""),43467.66666666667)</f>
        <v>43467.66667</v>
      </c>
      <c r="B9837" s="2">
        <f>IFERROR(__xludf.DUMMYFUNCTION("""COMPUTED_VALUE"""),106.99)</f>
        <v>106.99</v>
      </c>
      <c r="C9837" s="2">
        <f>IFERROR(__xludf.DUMMYFUNCTION("""COMPUTED_VALUE"""),110.78)</f>
        <v>110.78</v>
      </c>
      <c r="D9837" s="2">
        <f>IFERROR(__xludf.DUMMYFUNCTION("""COMPUTED_VALUE"""),106.68)</f>
        <v>106.68</v>
      </c>
      <c r="E9837" s="2">
        <f>IFERROR(__xludf.DUMMYFUNCTION("""COMPUTED_VALUE"""),110.04)</f>
        <v>110.04</v>
      </c>
      <c r="F9837" s="2">
        <f>IFERROR(__xludf.DUMMYFUNCTION("""COMPUTED_VALUE"""),4239924.0)</f>
        <v>4239924</v>
      </c>
    </row>
    <row r="9838">
      <c r="A9838" s="3">
        <f>IFERROR(__xludf.DUMMYFUNCTION("""COMPUTED_VALUE"""),43468.66666666667)</f>
        <v>43468.66667</v>
      </c>
      <c r="B9838" s="2">
        <f>IFERROR(__xludf.DUMMYFUNCTION("""COMPUTED_VALUE"""),109.39)</f>
        <v>109.39</v>
      </c>
      <c r="C9838" s="2">
        <f>IFERROR(__xludf.DUMMYFUNCTION("""COMPUTED_VALUE"""),109.73)</f>
        <v>109.73</v>
      </c>
      <c r="D9838" s="2">
        <f>IFERROR(__xludf.DUMMYFUNCTION("""COMPUTED_VALUE"""),107.64)</f>
        <v>107.64</v>
      </c>
      <c r="E9838" s="2">
        <f>IFERROR(__xludf.DUMMYFUNCTION("""COMPUTED_VALUE"""),107.85)</f>
        <v>107.85</v>
      </c>
      <c r="F9838" s="2">
        <f>IFERROR(__xludf.DUMMYFUNCTION("""COMPUTED_VALUE"""),4346659.0)</f>
        <v>4346659</v>
      </c>
    </row>
    <row r="9839">
      <c r="A9839" s="3">
        <f>IFERROR(__xludf.DUMMYFUNCTION("""COMPUTED_VALUE"""),43469.66666666667)</f>
        <v>43469.66667</v>
      </c>
      <c r="B9839" s="2">
        <f>IFERROR(__xludf.DUMMYFUNCTION("""COMPUTED_VALUE"""),109.76)</f>
        <v>109.76</v>
      </c>
      <c r="C9839" s="2">
        <f>IFERROR(__xludf.DUMMYFUNCTION("""COMPUTED_VALUE"""),112.22)</f>
        <v>112.22</v>
      </c>
      <c r="D9839" s="2">
        <f>IFERROR(__xludf.DUMMYFUNCTION("""COMPUTED_VALUE"""),109.31)</f>
        <v>109.31</v>
      </c>
      <c r="E9839" s="2">
        <f>IFERROR(__xludf.DUMMYFUNCTION("""COMPUTED_VALUE"""),112.06)</f>
        <v>112.06</v>
      </c>
      <c r="F9839" s="2">
        <f>IFERROR(__xludf.DUMMYFUNCTION("""COMPUTED_VALUE"""),4477755.0)</f>
        <v>4477755</v>
      </c>
    </row>
    <row r="9840">
      <c r="A9840" s="3">
        <f>IFERROR(__xludf.DUMMYFUNCTION("""COMPUTED_VALUE"""),43472.66666666667)</f>
        <v>43472.66667</v>
      </c>
      <c r="B9840" s="2">
        <f>IFERROR(__xludf.DUMMYFUNCTION("""COMPUTED_VALUE"""),112.23)</f>
        <v>112.23</v>
      </c>
      <c r="C9840" s="2">
        <f>IFERROR(__xludf.DUMMYFUNCTION("""COMPUTED_VALUE"""),113.5)</f>
        <v>113.5</v>
      </c>
      <c r="D9840" s="2">
        <f>IFERROR(__xludf.DUMMYFUNCTION("""COMPUTED_VALUE"""),111.44)</f>
        <v>111.44</v>
      </c>
      <c r="E9840" s="2">
        <f>IFERROR(__xludf.DUMMYFUNCTION("""COMPUTED_VALUE"""),112.85)</f>
        <v>112.85</v>
      </c>
      <c r="F9840" s="2">
        <f>IFERROR(__xludf.DUMMYFUNCTION("""COMPUTED_VALUE"""),3751204.0)</f>
        <v>3751204</v>
      </c>
    </row>
    <row r="9841">
      <c r="A9841" s="3">
        <f>IFERROR(__xludf.DUMMYFUNCTION("""COMPUTED_VALUE"""),43473.66666666667)</f>
        <v>43473.66667</v>
      </c>
      <c r="B9841" s="2">
        <f>IFERROR(__xludf.DUMMYFUNCTION("""COMPUTED_VALUE"""),114.29)</f>
        <v>114.29</v>
      </c>
      <c r="C9841" s="2">
        <f>IFERROR(__xludf.DUMMYFUNCTION("""COMPUTED_VALUE"""),115.16)</f>
        <v>115.16</v>
      </c>
      <c r="D9841" s="2">
        <f>IFERROR(__xludf.DUMMYFUNCTION("""COMPUTED_VALUE"""),113.65)</f>
        <v>113.65</v>
      </c>
      <c r="E9841" s="2">
        <f>IFERROR(__xludf.DUMMYFUNCTION("""COMPUTED_VALUE"""),114.46)</f>
        <v>114.46</v>
      </c>
      <c r="F9841" s="2">
        <f>IFERROR(__xludf.DUMMYFUNCTION("""COMPUTED_VALUE"""),4763636.0)</f>
        <v>4763636</v>
      </c>
    </row>
    <row r="9842">
      <c r="A9842" s="3">
        <f>IFERROR(__xludf.DUMMYFUNCTION("""COMPUTED_VALUE"""),43474.66666666667)</f>
        <v>43474.66667</v>
      </c>
      <c r="B9842" s="2">
        <f>IFERROR(__xludf.DUMMYFUNCTION("""COMPUTED_VALUE"""),115.49)</f>
        <v>115.49</v>
      </c>
      <c r="C9842" s="2">
        <f>IFERROR(__xludf.DUMMYFUNCTION("""COMPUTED_VALUE"""),115.96)</f>
        <v>115.96</v>
      </c>
      <c r="D9842" s="2">
        <f>IFERROR(__xludf.DUMMYFUNCTION("""COMPUTED_VALUE"""),114.5)</f>
        <v>114.5</v>
      </c>
      <c r="E9842" s="2">
        <f>IFERROR(__xludf.DUMMYFUNCTION("""COMPUTED_VALUE"""),115.28)</f>
        <v>115.28</v>
      </c>
      <c r="F9842" s="2">
        <f>IFERROR(__xludf.DUMMYFUNCTION("""COMPUTED_VALUE"""),3633663.0)</f>
        <v>3633663</v>
      </c>
    </row>
    <row r="9843">
      <c r="A9843" s="3">
        <f>IFERROR(__xludf.DUMMYFUNCTION("""COMPUTED_VALUE"""),43475.66666666667)</f>
        <v>43475.66667</v>
      </c>
      <c r="B9843" s="2">
        <f>IFERROR(__xludf.DUMMYFUNCTION("""COMPUTED_VALUE"""),114.7)</f>
        <v>114.7</v>
      </c>
      <c r="C9843" s="2">
        <f>IFERROR(__xludf.DUMMYFUNCTION("""COMPUTED_VALUE"""),116.4)</f>
        <v>116.4</v>
      </c>
      <c r="D9843" s="2">
        <f>IFERROR(__xludf.DUMMYFUNCTION("""COMPUTED_VALUE"""),114.57)</f>
        <v>114.57</v>
      </c>
      <c r="E9843" s="2">
        <f>IFERROR(__xludf.DUMMYFUNCTION("""COMPUTED_VALUE"""),116.33)</f>
        <v>116.33</v>
      </c>
      <c r="F9843" s="2">
        <f>IFERROR(__xludf.DUMMYFUNCTION("""COMPUTED_VALUE"""),3909971.0)</f>
        <v>3909971</v>
      </c>
    </row>
    <row r="9844">
      <c r="A9844" s="3">
        <f>IFERROR(__xludf.DUMMYFUNCTION("""COMPUTED_VALUE"""),43476.66666666667)</f>
        <v>43476.66667</v>
      </c>
      <c r="B9844" s="2">
        <f>IFERROR(__xludf.DUMMYFUNCTION("""COMPUTED_VALUE"""),116.13)</f>
        <v>116.13</v>
      </c>
      <c r="C9844" s="2">
        <f>IFERROR(__xludf.DUMMYFUNCTION("""COMPUTED_VALUE"""),116.16)</f>
        <v>116.16</v>
      </c>
      <c r="D9844" s="2">
        <f>IFERROR(__xludf.DUMMYFUNCTION("""COMPUTED_VALUE"""),114.81)</f>
        <v>114.81</v>
      </c>
      <c r="E9844" s="2">
        <f>IFERROR(__xludf.DUMMYFUNCTION("""COMPUTED_VALUE"""),116.01)</f>
        <v>116.01</v>
      </c>
      <c r="F9844" s="2">
        <f>IFERROR(__xludf.DUMMYFUNCTION("""COMPUTED_VALUE"""),3722370.0)</f>
        <v>3722370</v>
      </c>
    </row>
    <row r="9845">
      <c r="A9845" s="3">
        <f>IFERROR(__xludf.DUMMYFUNCTION("""COMPUTED_VALUE"""),43479.66666666667)</f>
        <v>43479.66667</v>
      </c>
      <c r="B9845" s="2">
        <f>IFERROR(__xludf.DUMMYFUNCTION("""COMPUTED_VALUE"""),115.11)</f>
        <v>115.11</v>
      </c>
      <c r="C9845" s="2">
        <f>IFERROR(__xludf.DUMMYFUNCTION("""COMPUTED_VALUE"""),115.25)</f>
        <v>115.25</v>
      </c>
      <c r="D9845" s="2">
        <f>IFERROR(__xludf.DUMMYFUNCTION("""COMPUTED_VALUE"""),114.39)</f>
        <v>114.39</v>
      </c>
      <c r="E9845" s="2">
        <f>IFERROR(__xludf.DUMMYFUNCTION("""COMPUTED_VALUE"""),114.99)</f>
        <v>114.99</v>
      </c>
      <c r="F9845" s="2">
        <f>IFERROR(__xludf.DUMMYFUNCTION("""COMPUTED_VALUE"""),5228909.0)</f>
        <v>5228909</v>
      </c>
    </row>
    <row r="9846">
      <c r="A9846" s="3">
        <f>IFERROR(__xludf.DUMMYFUNCTION("""COMPUTED_VALUE"""),43480.66666666667)</f>
        <v>43480.66667</v>
      </c>
      <c r="B9846" s="2">
        <f>IFERROR(__xludf.DUMMYFUNCTION("""COMPUTED_VALUE"""),115.54)</f>
        <v>115.54</v>
      </c>
      <c r="C9846" s="2">
        <f>IFERROR(__xludf.DUMMYFUNCTION("""COMPUTED_VALUE"""),116.46)</f>
        <v>116.46</v>
      </c>
      <c r="D9846" s="2">
        <f>IFERROR(__xludf.DUMMYFUNCTION("""COMPUTED_VALUE"""),115.4)</f>
        <v>115.4</v>
      </c>
      <c r="E9846" s="2">
        <f>IFERROR(__xludf.DUMMYFUNCTION("""COMPUTED_VALUE"""),116.27)</f>
        <v>116.27</v>
      </c>
      <c r="F9846" s="2">
        <f>IFERROR(__xludf.DUMMYFUNCTION("""COMPUTED_VALUE"""),3507719.0)</f>
        <v>3507719</v>
      </c>
    </row>
    <row r="9847">
      <c r="A9847" s="3">
        <f>IFERROR(__xludf.DUMMYFUNCTION("""COMPUTED_VALUE"""),43481.66666666667)</f>
        <v>43481.66667</v>
      </c>
      <c r="B9847" s="2">
        <f>IFERROR(__xludf.DUMMYFUNCTION("""COMPUTED_VALUE"""),116.13)</f>
        <v>116.13</v>
      </c>
      <c r="C9847" s="2">
        <f>IFERROR(__xludf.DUMMYFUNCTION("""COMPUTED_VALUE"""),116.53)</f>
        <v>116.53</v>
      </c>
      <c r="D9847" s="2">
        <f>IFERROR(__xludf.DUMMYFUNCTION("""COMPUTED_VALUE"""),115.41)</f>
        <v>115.41</v>
      </c>
      <c r="E9847" s="2">
        <f>IFERROR(__xludf.DUMMYFUNCTION("""COMPUTED_VALUE"""),116.17)</f>
        <v>116.17</v>
      </c>
      <c r="F9847" s="2">
        <f>IFERROR(__xludf.DUMMYFUNCTION("""COMPUTED_VALUE"""),3841100.0)</f>
        <v>3841100</v>
      </c>
    </row>
    <row r="9848">
      <c r="A9848" s="3">
        <f>IFERROR(__xludf.DUMMYFUNCTION("""COMPUTED_VALUE"""),43482.66666666667)</f>
        <v>43482.66667</v>
      </c>
      <c r="B9848" s="2">
        <f>IFERROR(__xludf.DUMMYFUNCTION("""COMPUTED_VALUE"""),115.15)</f>
        <v>115.15</v>
      </c>
      <c r="C9848" s="2">
        <f>IFERROR(__xludf.DUMMYFUNCTION("""COMPUTED_VALUE"""),116.92)</f>
        <v>116.92</v>
      </c>
      <c r="D9848" s="2">
        <f>IFERROR(__xludf.DUMMYFUNCTION("""COMPUTED_VALUE"""),115.15)</f>
        <v>115.15</v>
      </c>
      <c r="E9848" s="2">
        <f>IFERROR(__xludf.DUMMYFUNCTION("""COMPUTED_VALUE"""),116.71)</f>
        <v>116.71</v>
      </c>
      <c r="F9848" s="2">
        <f>IFERROR(__xludf.DUMMYFUNCTION("""COMPUTED_VALUE"""),5029871.0)</f>
        <v>5029871</v>
      </c>
    </row>
    <row r="9849">
      <c r="A9849" s="3">
        <f>IFERROR(__xludf.DUMMYFUNCTION("""COMPUTED_VALUE"""),43483.66666666667)</f>
        <v>43483.66667</v>
      </c>
      <c r="B9849" s="2">
        <f>IFERROR(__xludf.DUMMYFUNCTION("""COMPUTED_VALUE"""),117.74)</f>
        <v>117.74</v>
      </c>
      <c r="C9849" s="2">
        <f>IFERROR(__xludf.DUMMYFUNCTION("""COMPUTED_VALUE"""),119.13)</f>
        <v>119.13</v>
      </c>
      <c r="D9849" s="2">
        <f>IFERROR(__xludf.DUMMYFUNCTION("""COMPUTED_VALUE"""),117.21)</f>
        <v>117.21</v>
      </c>
      <c r="E9849" s="2">
        <f>IFERROR(__xludf.DUMMYFUNCTION("""COMPUTED_VALUE"""),118.27)</f>
        <v>118.27</v>
      </c>
      <c r="F9849" s="2">
        <f>IFERROR(__xludf.DUMMYFUNCTION("""COMPUTED_VALUE"""),6008509.0)</f>
        <v>6008509</v>
      </c>
    </row>
    <row r="9850">
      <c r="A9850" s="3">
        <f>IFERROR(__xludf.DUMMYFUNCTION("""COMPUTED_VALUE"""),43487.66666666667)</f>
        <v>43487.66667</v>
      </c>
      <c r="B9850" s="2">
        <f>IFERROR(__xludf.DUMMYFUNCTION("""COMPUTED_VALUE"""),117.77)</f>
        <v>117.77</v>
      </c>
      <c r="C9850" s="2">
        <f>IFERROR(__xludf.DUMMYFUNCTION("""COMPUTED_VALUE"""),118.25)</f>
        <v>118.25</v>
      </c>
      <c r="D9850" s="2">
        <f>IFERROR(__xludf.DUMMYFUNCTION("""COMPUTED_VALUE"""),116.09)</f>
        <v>116.09</v>
      </c>
      <c r="E9850" s="2">
        <f>IFERROR(__xludf.DUMMYFUNCTION("""COMPUTED_VALUE"""),117.03)</f>
        <v>117.03</v>
      </c>
      <c r="F9850" s="2">
        <f>IFERROR(__xludf.DUMMYFUNCTION("""COMPUTED_VALUE"""),1.0052384E7)</f>
        <v>10052384</v>
      </c>
    </row>
    <row r="9851">
      <c r="A9851" s="3">
        <f>IFERROR(__xludf.DUMMYFUNCTION("""COMPUTED_VALUE"""),43488.66666666667)</f>
        <v>43488.66667</v>
      </c>
      <c r="B9851" s="2">
        <f>IFERROR(__xludf.DUMMYFUNCTION("""COMPUTED_VALUE"""),125.48)</f>
        <v>125.48</v>
      </c>
      <c r="C9851" s="2">
        <f>IFERROR(__xludf.DUMMYFUNCTION("""COMPUTED_VALUE"""),128.95)</f>
        <v>128.95</v>
      </c>
      <c r="D9851" s="2">
        <f>IFERROR(__xludf.DUMMYFUNCTION("""COMPUTED_VALUE"""),124.47)</f>
        <v>124.47</v>
      </c>
      <c r="E9851" s="2">
        <f>IFERROR(__xludf.DUMMYFUNCTION("""COMPUTED_VALUE"""),126.93)</f>
        <v>126.93</v>
      </c>
      <c r="F9851" s="2">
        <f>IFERROR(__xludf.DUMMYFUNCTION("""COMPUTED_VALUE"""),2.2063666E7)</f>
        <v>22063666</v>
      </c>
    </row>
    <row r="9852">
      <c r="A9852" s="3">
        <f>IFERROR(__xludf.DUMMYFUNCTION("""COMPUTED_VALUE"""),43489.66666666667)</f>
        <v>43489.66667</v>
      </c>
      <c r="B9852" s="2">
        <f>IFERROR(__xludf.DUMMYFUNCTION("""COMPUTED_VALUE"""),126.68)</f>
        <v>126.68</v>
      </c>
      <c r="C9852" s="2">
        <f>IFERROR(__xludf.DUMMYFUNCTION("""COMPUTED_VALUE"""),127.23)</f>
        <v>127.23</v>
      </c>
      <c r="D9852" s="2">
        <f>IFERROR(__xludf.DUMMYFUNCTION("""COMPUTED_VALUE"""),125.54)</f>
        <v>125.54</v>
      </c>
      <c r="E9852" s="2">
        <f>IFERROR(__xludf.DUMMYFUNCTION("""COMPUTED_VALUE"""),126.59)</f>
        <v>126.59</v>
      </c>
      <c r="F9852" s="2">
        <f>IFERROR(__xludf.DUMMYFUNCTION("""COMPUTED_VALUE"""),6322928.0)</f>
        <v>6322928</v>
      </c>
    </row>
    <row r="9853">
      <c r="A9853" s="3">
        <f>IFERROR(__xludf.DUMMYFUNCTION("""COMPUTED_VALUE"""),43490.66666666667)</f>
        <v>43490.66667</v>
      </c>
      <c r="B9853" s="2">
        <f>IFERROR(__xludf.DUMMYFUNCTION("""COMPUTED_VALUE"""),126.91)</f>
        <v>126.91</v>
      </c>
      <c r="C9853" s="2">
        <f>IFERROR(__xludf.DUMMYFUNCTION("""COMPUTED_VALUE"""),128.41)</f>
        <v>128.41</v>
      </c>
      <c r="D9853" s="2">
        <f>IFERROR(__xludf.DUMMYFUNCTION("""COMPUTED_VALUE"""),126.49)</f>
        <v>126.49</v>
      </c>
      <c r="E9853" s="2">
        <f>IFERROR(__xludf.DUMMYFUNCTION("""COMPUTED_VALUE"""),127.96)</f>
        <v>127.96</v>
      </c>
      <c r="F9853" s="2">
        <f>IFERROR(__xludf.DUMMYFUNCTION("""COMPUTED_VALUE"""),5708500.0)</f>
        <v>5708500</v>
      </c>
    </row>
    <row r="9854">
      <c r="A9854" s="3">
        <f>IFERROR(__xludf.DUMMYFUNCTION("""COMPUTED_VALUE"""),43493.66666666667)</f>
        <v>43493.66667</v>
      </c>
      <c r="B9854" s="2">
        <f>IFERROR(__xludf.DUMMYFUNCTION("""COMPUTED_VALUE"""),127.13)</f>
        <v>127.13</v>
      </c>
      <c r="C9854" s="2">
        <f>IFERROR(__xludf.DUMMYFUNCTION("""COMPUTED_VALUE"""),128.76)</f>
        <v>128.76</v>
      </c>
      <c r="D9854" s="2">
        <f>IFERROR(__xludf.DUMMYFUNCTION("""COMPUTED_VALUE"""),126.64)</f>
        <v>126.64</v>
      </c>
      <c r="E9854" s="2">
        <f>IFERROR(__xludf.DUMMYFUNCTION("""COMPUTED_VALUE"""),128.25)</f>
        <v>128.25</v>
      </c>
      <c r="F9854" s="2">
        <f>IFERROR(__xludf.DUMMYFUNCTION("""COMPUTED_VALUE"""),5357736.0)</f>
        <v>5357736</v>
      </c>
    </row>
    <row r="9855">
      <c r="A9855" s="3">
        <f>IFERROR(__xludf.DUMMYFUNCTION("""COMPUTED_VALUE"""),43494.66666666667)</f>
        <v>43494.66667</v>
      </c>
      <c r="B9855" s="2">
        <f>IFERROR(__xludf.DUMMYFUNCTION("""COMPUTED_VALUE"""),128.27)</f>
        <v>128.27</v>
      </c>
      <c r="C9855" s="2">
        <f>IFERROR(__xludf.DUMMYFUNCTION("""COMPUTED_VALUE"""),129.34)</f>
        <v>129.34</v>
      </c>
      <c r="D9855" s="2">
        <f>IFERROR(__xludf.DUMMYFUNCTION("""COMPUTED_VALUE"""),127.61)</f>
        <v>127.61</v>
      </c>
      <c r="E9855" s="2">
        <f>IFERROR(__xludf.DUMMYFUNCTION("""COMPUTED_VALUE"""),128.31)</f>
        <v>128.31</v>
      </c>
      <c r="F9855" s="2">
        <f>IFERROR(__xludf.DUMMYFUNCTION("""COMPUTED_VALUE"""),5037129.0)</f>
        <v>5037129</v>
      </c>
    </row>
    <row r="9856">
      <c r="A9856" s="3">
        <f>IFERROR(__xludf.DUMMYFUNCTION("""COMPUTED_VALUE"""),43495.66666666667)</f>
        <v>43495.66667</v>
      </c>
      <c r="B9856" s="2">
        <f>IFERROR(__xludf.DUMMYFUNCTION("""COMPUTED_VALUE"""),127.99)</f>
        <v>127.99</v>
      </c>
      <c r="C9856" s="2">
        <f>IFERROR(__xludf.DUMMYFUNCTION("""COMPUTED_VALUE"""),128.98)</f>
        <v>128.98</v>
      </c>
      <c r="D9856" s="2">
        <f>IFERROR(__xludf.DUMMYFUNCTION("""COMPUTED_VALUE"""),127.28)</f>
        <v>127.28</v>
      </c>
      <c r="E9856" s="2">
        <f>IFERROR(__xludf.DUMMYFUNCTION("""COMPUTED_VALUE"""),128.35)</f>
        <v>128.35</v>
      </c>
      <c r="F9856" s="2">
        <f>IFERROR(__xludf.DUMMYFUNCTION("""COMPUTED_VALUE"""),4500919.0)</f>
        <v>4500919</v>
      </c>
    </row>
    <row r="9857">
      <c r="A9857" s="3">
        <f>IFERROR(__xludf.DUMMYFUNCTION("""COMPUTED_VALUE"""),43496.66666666667)</f>
        <v>43496.66667</v>
      </c>
      <c r="B9857" s="2">
        <f>IFERROR(__xludf.DUMMYFUNCTION("""COMPUTED_VALUE"""),128.42)</f>
        <v>128.42</v>
      </c>
      <c r="C9857" s="2">
        <f>IFERROR(__xludf.DUMMYFUNCTION("""COMPUTED_VALUE"""),128.68)</f>
        <v>128.68</v>
      </c>
      <c r="D9857" s="2">
        <f>IFERROR(__xludf.DUMMYFUNCTION("""COMPUTED_VALUE"""),127.74)</f>
        <v>127.74</v>
      </c>
      <c r="E9857" s="2">
        <f>IFERROR(__xludf.DUMMYFUNCTION("""COMPUTED_VALUE"""),128.39)</f>
        <v>128.39</v>
      </c>
      <c r="F9857" s="2">
        <f>IFERROR(__xludf.DUMMYFUNCTION("""COMPUTED_VALUE"""),4884031.0)</f>
        <v>4884031</v>
      </c>
    </row>
    <row r="9858">
      <c r="A9858" s="3">
        <f>IFERROR(__xludf.DUMMYFUNCTION("""COMPUTED_VALUE"""),43497.66666666667)</f>
        <v>43497.66667</v>
      </c>
      <c r="B9858" s="2">
        <f>IFERROR(__xludf.DUMMYFUNCTION("""COMPUTED_VALUE"""),128.92)</f>
        <v>128.92</v>
      </c>
      <c r="C9858" s="2">
        <f>IFERROR(__xludf.DUMMYFUNCTION("""COMPUTED_VALUE"""),129.14)</f>
        <v>129.14</v>
      </c>
      <c r="D9858" s="2">
        <f>IFERROR(__xludf.DUMMYFUNCTION("""COMPUTED_VALUE"""),127.37)</f>
        <v>127.37</v>
      </c>
      <c r="E9858" s="2">
        <f>IFERROR(__xludf.DUMMYFUNCTION("""COMPUTED_VALUE"""),128.09)</f>
        <v>128.09</v>
      </c>
      <c r="F9858" s="2">
        <f>IFERROR(__xludf.DUMMYFUNCTION("""COMPUTED_VALUE"""),3806047.0)</f>
        <v>3806047</v>
      </c>
    </row>
    <row r="9859">
      <c r="A9859" s="3">
        <f>IFERROR(__xludf.DUMMYFUNCTION("""COMPUTED_VALUE"""),43500.66666666667)</f>
        <v>43500.66667</v>
      </c>
      <c r="B9859" s="2">
        <f>IFERROR(__xludf.DUMMYFUNCTION("""COMPUTED_VALUE"""),128.01)</f>
        <v>128.01</v>
      </c>
      <c r="C9859" s="2">
        <f>IFERROR(__xludf.DUMMYFUNCTION("""COMPUTED_VALUE"""),129.14)</f>
        <v>129.14</v>
      </c>
      <c r="D9859" s="2">
        <f>IFERROR(__xludf.DUMMYFUNCTION("""COMPUTED_VALUE"""),127.03)</f>
        <v>127.03</v>
      </c>
      <c r="E9859" s="2">
        <f>IFERROR(__xludf.DUMMYFUNCTION("""COMPUTED_VALUE"""),129.13)</f>
        <v>129.13</v>
      </c>
      <c r="F9859" s="2">
        <f>IFERROR(__xludf.DUMMYFUNCTION("""COMPUTED_VALUE"""),3966597.0)</f>
        <v>3966597</v>
      </c>
    </row>
    <row r="9860">
      <c r="A9860" s="3">
        <f>IFERROR(__xludf.DUMMYFUNCTION("""COMPUTED_VALUE"""),43501.66666666667)</f>
        <v>43501.66667</v>
      </c>
      <c r="B9860" s="2">
        <f>IFERROR(__xludf.DUMMYFUNCTION("""COMPUTED_VALUE"""),129.21)</f>
        <v>129.21</v>
      </c>
      <c r="C9860" s="2">
        <f>IFERROR(__xludf.DUMMYFUNCTION("""COMPUTED_VALUE"""),129.73)</f>
        <v>129.73</v>
      </c>
      <c r="D9860" s="2">
        <f>IFERROR(__xludf.DUMMYFUNCTION("""COMPUTED_VALUE"""),128.87)</f>
        <v>128.87</v>
      </c>
      <c r="E9860" s="2">
        <f>IFERROR(__xludf.DUMMYFUNCTION("""COMPUTED_VALUE"""),129.47)</f>
        <v>129.47</v>
      </c>
      <c r="F9860" s="2">
        <f>IFERROR(__xludf.DUMMYFUNCTION("""COMPUTED_VALUE"""),5398907.0)</f>
        <v>5398907</v>
      </c>
    </row>
    <row r="9861">
      <c r="A9861" s="3">
        <f>IFERROR(__xludf.DUMMYFUNCTION("""COMPUTED_VALUE"""),43502.66666666667)</f>
        <v>43502.66667</v>
      </c>
      <c r="B9861" s="2">
        <f>IFERROR(__xludf.DUMMYFUNCTION("""COMPUTED_VALUE"""),129.16)</f>
        <v>129.16</v>
      </c>
      <c r="C9861" s="2">
        <f>IFERROR(__xludf.DUMMYFUNCTION("""COMPUTED_VALUE"""),130.52)</f>
        <v>130.52</v>
      </c>
      <c r="D9861" s="2">
        <f>IFERROR(__xludf.DUMMYFUNCTION("""COMPUTED_VALUE"""),129.11)</f>
        <v>129.11</v>
      </c>
      <c r="E9861" s="2">
        <f>IFERROR(__xludf.DUMMYFUNCTION("""COMPUTED_VALUE"""),130.21)</f>
        <v>130.21</v>
      </c>
      <c r="F9861" s="2">
        <f>IFERROR(__xludf.DUMMYFUNCTION("""COMPUTED_VALUE"""),4879670.0)</f>
        <v>4879670</v>
      </c>
    </row>
    <row r="9862">
      <c r="A9862" s="3">
        <f>IFERROR(__xludf.DUMMYFUNCTION("""COMPUTED_VALUE"""),43503.66666666667)</f>
        <v>43503.66667</v>
      </c>
      <c r="B9862" s="2">
        <f>IFERROR(__xludf.DUMMYFUNCTION("""COMPUTED_VALUE"""),127.56)</f>
        <v>127.56</v>
      </c>
      <c r="C9862" s="2">
        <f>IFERROR(__xludf.DUMMYFUNCTION("""COMPUTED_VALUE"""),128.44)</f>
        <v>128.44</v>
      </c>
      <c r="D9862" s="2">
        <f>IFERROR(__xludf.DUMMYFUNCTION("""COMPUTED_VALUE"""),126.2)</f>
        <v>126.2</v>
      </c>
      <c r="E9862" s="2">
        <f>IFERROR(__xludf.DUMMYFUNCTION("""COMPUTED_VALUE"""),127.22)</f>
        <v>127.22</v>
      </c>
      <c r="F9862" s="2">
        <f>IFERROR(__xludf.DUMMYFUNCTION("""COMPUTED_VALUE"""),4379439.0)</f>
        <v>4379439</v>
      </c>
    </row>
    <row r="9863">
      <c r="A9863" s="3">
        <f>IFERROR(__xludf.DUMMYFUNCTION("""COMPUTED_VALUE"""),43504.66666666667)</f>
        <v>43504.66667</v>
      </c>
      <c r="B9863" s="2">
        <f>IFERROR(__xludf.DUMMYFUNCTION("""COMPUTED_VALUE"""),126.41)</f>
        <v>126.41</v>
      </c>
      <c r="C9863" s="2">
        <f>IFERROR(__xludf.DUMMYFUNCTION("""COMPUTED_VALUE"""),127.71)</f>
        <v>127.71</v>
      </c>
      <c r="D9863" s="2">
        <f>IFERROR(__xludf.DUMMYFUNCTION("""COMPUTED_VALUE"""),126.26)</f>
        <v>126.26</v>
      </c>
      <c r="E9863" s="2">
        <f>IFERROR(__xludf.DUMMYFUNCTION("""COMPUTED_VALUE"""),127.71)</f>
        <v>127.71</v>
      </c>
      <c r="F9863" s="2">
        <f>IFERROR(__xludf.DUMMYFUNCTION("""COMPUTED_VALUE"""),3250074.0)</f>
        <v>3250074</v>
      </c>
    </row>
    <row r="9864">
      <c r="A9864" s="3">
        <f>IFERROR(__xludf.DUMMYFUNCTION("""COMPUTED_VALUE"""),43507.66666666667)</f>
        <v>43507.66667</v>
      </c>
      <c r="B9864" s="2">
        <f>IFERROR(__xludf.DUMMYFUNCTION("""COMPUTED_VALUE"""),128.27)</f>
        <v>128.27</v>
      </c>
      <c r="C9864" s="2">
        <f>IFERROR(__xludf.DUMMYFUNCTION("""COMPUTED_VALUE"""),129.09)</f>
        <v>129.09</v>
      </c>
      <c r="D9864" s="2">
        <f>IFERROR(__xludf.DUMMYFUNCTION("""COMPUTED_VALUE"""),127.91)</f>
        <v>127.91</v>
      </c>
      <c r="E9864" s="2">
        <f>IFERROR(__xludf.DUMMYFUNCTION("""COMPUTED_VALUE"""),127.98)</f>
        <v>127.98</v>
      </c>
      <c r="F9864" s="2">
        <f>IFERROR(__xludf.DUMMYFUNCTION("""COMPUTED_VALUE"""),3095069.0)</f>
        <v>3095069</v>
      </c>
    </row>
    <row r="9865">
      <c r="A9865" s="3">
        <f>IFERROR(__xludf.DUMMYFUNCTION("""COMPUTED_VALUE"""),43508.66666666667)</f>
        <v>43508.66667</v>
      </c>
      <c r="B9865" s="2">
        <f>IFERROR(__xludf.DUMMYFUNCTION("""COMPUTED_VALUE"""),129.09)</f>
        <v>129.09</v>
      </c>
      <c r="C9865" s="2">
        <f>IFERROR(__xludf.DUMMYFUNCTION("""COMPUTED_VALUE"""),130.09)</f>
        <v>130.09</v>
      </c>
      <c r="D9865" s="2">
        <f>IFERROR(__xludf.DUMMYFUNCTION("""COMPUTED_VALUE"""),128.81)</f>
        <v>128.81</v>
      </c>
      <c r="E9865" s="2">
        <f>IFERROR(__xludf.DUMMYFUNCTION("""COMPUTED_VALUE"""),129.95)</f>
        <v>129.95</v>
      </c>
      <c r="F9865" s="2">
        <f>IFERROR(__xludf.DUMMYFUNCTION("""COMPUTED_VALUE"""),3317161.0)</f>
        <v>3317161</v>
      </c>
    </row>
    <row r="9866">
      <c r="A9866" s="3">
        <f>IFERROR(__xludf.DUMMYFUNCTION("""COMPUTED_VALUE"""),43509.66666666667)</f>
        <v>43509.66667</v>
      </c>
      <c r="B9866" s="2">
        <f>IFERROR(__xludf.DUMMYFUNCTION("""COMPUTED_VALUE"""),130.78)</f>
        <v>130.78</v>
      </c>
      <c r="C9866" s="2">
        <f>IFERROR(__xludf.DUMMYFUNCTION("""COMPUTED_VALUE"""),131.74)</f>
        <v>131.74</v>
      </c>
      <c r="D9866" s="2">
        <f>IFERROR(__xludf.DUMMYFUNCTION("""COMPUTED_VALUE"""),130.29)</f>
        <v>130.29</v>
      </c>
      <c r="E9866" s="2">
        <f>IFERROR(__xludf.DUMMYFUNCTION("""COMPUTED_VALUE"""),131.35)</f>
        <v>131.35</v>
      </c>
      <c r="F9866" s="2">
        <f>IFERROR(__xludf.DUMMYFUNCTION("""COMPUTED_VALUE"""),4253042.0)</f>
        <v>4253042</v>
      </c>
    </row>
    <row r="9867">
      <c r="A9867" s="3">
        <f>IFERROR(__xludf.DUMMYFUNCTION("""COMPUTED_VALUE"""),43510.66666666667)</f>
        <v>43510.66667</v>
      </c>
      <c r="B9867" s="2">
        <f>IFERROR(__xludf.DUMMYFUNCTION("""COMPUTED_VALUE"""),131.02)</f>
        <v>131.02</v>
      </c>
      <c r="C9867" s="2">
        <f>IFERROR(__xludf.DUMMYFUNCTION("""COMPUTED_VALUE"""),131.43)</f>
        <v>131.43</v>
      </c>
      <c r="D9867" s="2">
        <f>IFERROR(__xludf.DUMMYFUNCTION("""COMPUTED_VALUE"""),130.1)</f>
        <v>130.1</v>
      </c>
      <c r="E9867" s="2">
        <f>IFERROR(__xludf.DUMMYFUNCTION("""COMPUTED_VALUE"""),130.36)</f>
        <v>130.36</v>
      </c>
      <c r="F9867" s="2">
        <f>IFERROR(__xludf.DUMMYFUNCTION("""COMPUTED_VALUE"""),2789839.0)</f>
        <v>2789839</v>
      </c>
    </row>
    <row r="9868">
      <c r="A9868" s="3">
        <f>IFERROR(__xludf.DUMMYFUNCTION("""COMPUTED_VALUE"""),43511.66666666667)</f>
        <v>43511.66667</v>
      </c>
      <c r="B9868" s="2">
        <f>IFERROR(__xludf.DUMMYFUNCTION("""COMPUTED_VALUE"""),131.41)</f>
        <v>131.41</v>
      </c>
      <c r="C9868" s="2">
        <f>IFERROR(__xludf.DUMMYFUNCTION("""COMPUTED_VALUE"""),131.99)</f>
        <v>131.99</v>
      </c>
      <c r="D9868" s="2">
        <f>IFERROR(__xludf.DUMMYFUNCTION("""COMPUTED_VALUE"""),131.23)</f>
        <v>131.23</v>
      </c>
      <c r="E9868" s="2">
        <f>IFERROR(__xludf.DUMMYFUNCTION("""COMPUTED_VALUE"""),131.84)</f>
        <v>131.84</v>
      </c>
      <c r="F9868" s="2">
        <f>IFERROR(__xludf.DUMMYFUNCTION("""COMPUTED_VALUE"""),3844062.0)</f>
        <v>3844062</v>
      </c>
    </row>
    <row r="9869">
      <c r="A9869" s="3">
        <f>IFERROR(__xludf.DUMMYFUNCTION("""COMPUTED_VALUE"""),43515.66666666667)</f>
        <v>43515.66667</v>
      </c>
      <c r="B9869" s="2">
        <f>IFERROR(__xludf.DUMMYFUNCTION("""COMPUTED_VALUE"""),131.63)</f>
        <v>131.63</v>
      </c>
      <c r="C9869" s="2">
        <f>IFERROR(__xludf.DUMMYFUNCTION("""COMPUTED_VALUE"""),132.48)</f>
        <v>132.48</v>
      </c>
      <c r="D9869" s="2">
        <f>IFERROR(__xludf.DUMMYFUNCTION("""COMPUTED_VALUE"""),131.2)</f>
        <v>131.2</v>
      </c>
      <c r="E9869" s="2">
        <f>IFERROR(__xludf.DUMMYFUNCTION("""COMPUTED_VALUE"""),132.48)</f>
        <v>132.48</v>
      </c>
      <c r="F9869" s="2">
        <f>IFERROR(__xludf.DUMMYFUNCTION("""COMPUTED_VALUE"""),3385675.0)</f>
        <v>3385675</v>
      </c>
    </row>
    <row r="9870">
      <c r="A9870" s="3">
        <f>IFERROR(__xludf.DUMMYFUNCTION("""COMPUTED_VALUE"""),43516.66666666667)</f>
        <v>43516.66667</v>
      </c>
      <c r="B9870" s="2">
        <f>IFERROR(__xludf.DUMMYFUNCTION("""COMPUTED_VALUE"""),132.54)</f>
        <v>132.54</v>
      </c>
      <c r="C9870" s="2">
        <f>IFERROR(__xludf.DUMMYFUNCTION("""COMPUTED_VALUE"""),133.0)</f>
        <v>133</v>
      </c>
      <c r="D9870" s="2">
        <f>IFERROR(__xludf.DUMMYFUNCTION("""COMPUTED_VALUE"""),131.07)</f>
        <v>131.07</v>
      </c>
      <c r="E9870" s="2">
        <f>IFERROR(__xludf.DUMMYFUNCTION("""COMPUTED_VALUE"""),131.81)</f>
        <v>131.81</v>
      </c>
      <c r="F9870" s="2">
        <f>IFERROR(__xludf.DUMMYFUNCTION("""COMPUTED_VALUE"""),3801979.0)</f>
        <v>3801979</v>
      </c>
    </row>
    <row r="9871">
      <c r="A9871" s="3">
        <f>IFERROR(__xludf.DUMMYFUNCTION("""COMPUTED_VALUE"""),43517.66666666667)</f>
        <v>43517.66667</v>
      </c>
      <c r="B9871" s="2">
        <f>IFERROR(__xludf.DUMMYFUNCTION("""COMPUTED_VALUE"""),131.64)</f>
        <v>131.64</v>
      </c>
      <c r="C9871" s="2">
        <f>IFERROR(__xludf.DUMMYFUNCTION("""COMPUTED_VALUE"""),132.15)</f>
        <v>132.15</v>
      </c>
      <c r="D9871" s="2">
        <f>IFERROR(__xludf.DUMMYFUNCTION("""COMPUTED_VALUE"""),131.19)</f>
        <v>131.19</v>
      </c>
      <c r="E9871" s="2">
        <f>IFERROR(__xludf.DUMMYFUNCTION("""COMPUTED_VALUE"""),131.66)</f>
        <v>131.66</v>
      </c>
      <c r="F9871" s="2">
        <f>IFERROR(__xludf.DUMMYFUNCTION("""COMPUTED_VALUE"""),2937467.0)</f>
        <v>2937467</v>
      </c>
    </row>
    <row r="9872">
      <c r="A9872" s="3">
        <f>IFERROR(__xludf.DUMMYFUNCTION("""COMPUTED_VALUE"""),43518.66666666667)</f>
        <v>43518.66667</v>
      </c>
      <c r="B9872" s="2">
        <f>IFERROR(__xludf.DUMMYFUNCTION("""COMPUTED_VALUE"""),132.51)</f>
        <v>132.51</v>
      </c>
      <c r="C9872" s="2">
        <f>IFERROR(__xludf.DUMMYFUNCTION("""COMPUTED_VALUE"""),133.13)</f>
        <v>133.13</v>
      </c>
      <c r="D9872" s="2">
        <f>IFERROR(__xludf.DUMMYFUNCTION("""COMPUTED_VALUE"""),132.22)</f>
        <v>132.22</v>
      </c>
      <c r="E9872" s="2">
        <f>IFERROR(__xludf.DUMMYFUNCTION("""COMPUTED_VALUE"""),133.01)</f>
        <v>133.01</v>
      </c>
      <c r="F9872" s="2">
        <f>IFERROR(__xludf.DUMMYFUNCTION("""COMPUTED_VALUE"""),3113698.0)</f>
        <v>3113698</v>
      </c>
    </row>
    <row r="9873">
      <c r="A9873" s="3">
        <f>IFERROR(__xludf.DUMMYFUNCTION("""COMPUTED_VALUE"""),43521.66666666667)</f>
        <v>43521.66667</v>
      </c>
      <c r="B9873" s="2">
        <f>IFERROR(__xludf.DUMMYFUNCTION("""COMPUTED_VALUE"""),133.72)</f>
        <v>133.72</v>
      </c>
      <c r="C9873" s="2">
        <f>IFERROR(__xludf.DUMMYFUNCTION("""COMPUTED_VALUE"""),134.17)</f>
        <v>134.17</v>
      </c>
      <c r="D9873" s="2">
        <f>IFERROR(__xludf.DUMMYFUNCTION("""COMPUTED_VALUE"""),133.07)</f>
        <v>133.07</v>
      </c>
      <c r="E9873" s="2">
        <f>IFERROR(__xludf.DUMMYFUNCTION("""COMPUTED_VALUE"""),133.21)</f>
        <v>133.21</v>
      </c>
      <c r="F9873" s="2">
        <f>IFERROR(__xludf.DUMMYFUNCTION("""COMPUTED_VALUE"""),3194161.0)</f>
        <v>3194161</v>
      </c>
    </row>
    <row r="9874">
      <c r="A9874" s="3">
        <f>IFERROR(__xludf.DUMMYFUNCTION("""COMPUTED_VALUE"""),43522.66666666667)</f>
        <v>43522.66667</v>
      </c>
      <c r="B9874" s="2">
        <f>IFERROR(__xludf.DUMMYFUNCTION("""COMPUTED_VALUE"""),133.41)</f>
        <v>133.41</v>
      </c>
      <c r="C9874" s="2">
        <f>IFERROR(__xludf.DUMMYFUNCTION("""COMPUTED_VALUE"""),134.19)</f>
        <v>134.19</v>
      </c>
      <c r="D9874" s="2">
        <f>IFERROR(__xludf.DUMMYFUNCTION("""COMPUTED_VALUE"""),133.22)</f>
        <v>133.22</v>
      </c>
      <c r="E9874" s="2">
        <f>IFERROR(__xludf.DUMMYFUNCTION("""COMPUTED_VALUE"""),133.46)</f>
        <v>133.46</v>
      </c>
      <c r="F9874" s="2">
        <f>IFERROR(__xludf.DUMMYFUNCTION("""COMPUTED_VALUE"""),3060381.0)</f>
        <v>3060381</v>
      </c>
    </row>
    <row r="9875">
      <c r="A9875" s="3">
        <f>IFERROR(__xludf.DUMMYFUNCTION("""COMPUTED_VALUE"""),43523.66666666667)</f>
        <v>43523.66667</v>
      </c>
      <c r="B9875" s="2">
        <f>IFERROR(__xludf.DUMMYFUNCTION("""COMPUTED_VALUE"""),133.01)</f>
        <v>133.01</v>
      </c>
      <c r="C9875" s="2">
        <f>IFERROR(__xludf.DUMMYFUNCTION("""COMPUTED_VALUE"""),133.31)</f>
        <v>133.31</v>
      </c>
      <c r="D9875" s="2">
        <f>IFERROR(__xludf.DUMMYFUNCTION("""COMPUTED_VALUE"""),132.2)</f>
        <v>132.2</v>
      </c>
      <c r="E9875" s="2">
        <f>IFERROR(__xludf.DUMMYFUNCTION("""COMPUTED_VALUE"""),132.93)</f>
        <v>132.93</v>
      </c>
      <c r="F9875" s="2">
        <f>IFERROR(__xludf.DUMMYFUNCTION("""COMPUTED_VALUE"""),2530968.0)</f>
        <v>2530968</v>
      </c>
    </row>
    <row r="9876">
      <c r="A9876" s="3">
        <f>IFERROR(__xludf.DUMMYFUNCTION("""COMPUTED_VALUE"""),43524.66666666667)</f>
        <v>43524.66667</v>
      </c>
      <c r="B9876" s="2">
        <f>IFERROR(__xludf.DUMMYFUNCTION("""COMPUTED_VALUE"""),132.55)</f>
        <v>132.55</v>
      </c>
      <c r="C9876" s="2">
        <f>IFERROR(__xludf.DUMMYFUNCTION("""COMPUTED_VALUE"""),132.82)</f>
        <v>132.82</v>
      </c>
      <c r="D9876" s="2">
        <f>IFERROR(__xludf.DUMMYFUNCTION("""COMPUTED_VALUE"""),131.55)</f>
        <v>131.55</v>
      </c>
      <c r="E9876" s="2">
        <f>IFERROR(__xludf.DUMMYFUNCTION("""COMPUTED_VALUE"""),131.94)</f>
        <v>131.94</v>
      </c>
      <c r="F9876" s="2">
        <f>IFERROR(__xludf.DUMMYFUNCTION("""COMPUTED_VALUE"""),3457788.0)</f>
        <v>3457788</v>
      </c>
    </row>
    <row r="9877">
      <c r="A9877" s="3">
        <f>IFERROR(__xludf.DUMMYFUNCTION("""COMPUTED_VALUE"""),43525.66666666667)</f>
        <v>43525.66667</v>
      </c>
      <c r="B9877" s="2">
        <f>IFERROR(__xludf.DUMMYFUNCTION("""COMPUTED_VALUE"""),133.06)</f>
        <v>133.06</v>
      </c>
      <c r="C9877" s="2">
        <f>IFERROR(__xludf.DUMMYFUNCTION("""COMPUTED_VALUE"""),133.76)</f>
        <v>133.76</v>
      </c>
      <c r="D9877" s="2">
        <f>IFERROR(__xludf.DUMMYFUNCTION("""COMPUTED_VALUE"""),132.42)</f>
        <v>132.42</v>
      </c>
      <c r="E9877" s="2">
        <f>IFERROR(__xludf.DUMMYFUNCTION("""COMPUTED_VALUE"""),132.96)</f>
        <v>132.96</v>
      </c>
      <c r="F9877" s="2">
        <f>IFERROR(__xludf.DUMMYFUNCTION("""COMPUTED_VALUE"""),3030044.0)</f>
        <v>3030044</v>
      </c>
    </row>
    <row r="9878">
      <c r="A9878" s="3">
        <f>IFERROR(__xludf.DUMMYFUNCTION("""COMPUTED_VALUE"""),43528.66666666667)</f>
        <v>43528.66667</v>
      </c>
      <c r="B9878" s="2">
        <f>IFERROR(__xludf.DUMMYFUNCTION("""COMPUTED_VALUE"""),133.71)</f>
        <v>133.71</v>
      </c>
      <c r="C9878" s="2">
        <f>IFERROR(__xludf.DUMMYFUNCTION("""COMPUTED_VALUE"""),133.8)</f>
        <v>133.8</v>
      </c>
      <c r="D9878" s="2">
        <f>IFERROR(__xludf.DUMMYFUNCTION("""COMPUTED_VALUE"""),131.02)</f>
        <v>131.02</v>
      </c>
      <c r="E9878" s="2">
        <f>IFERROR(__xludf.DUMMYFUNCTION("""COMPUTED_VALUE"""),132.22)</f>
        <v>132.22</v>
      </c>
      <c r="F9878" s="2">
        <f>IFERROR(__xludf.DUMMYFUNCTION("""COMPUTED_VALUE"""),3407217.0)</f>
        <v>3407217</v>
      </c>
    </row>
    <row r="9879">
      <c r="A9879" s="3">
        <f>IFERROR(__xludf.DUMMYFUNCTION("""COMPUTED_VALUE"""),43529.66666666667)</f>
        <v>43529.66667</v>
      </c>
      <c r="B9879" s="2">
        <f>IFERROR(__xludf.DUMMYFUNCTION("""COMPUTED_VALUE"""),132.17)</f>
        <v>132.17</v>
      </c>
      <c r="C9879" s="2">
        <f>IFERROR(__xludf.DUMMYFUNCTION("""COMPUTED_VALUE"""),132.52)</f>
        <v>132.52</v>
      </c>
      <c r="D9879" s="2">
        <f>IFERROR(__xludf.DUMMYFUNCTION("""COMPUTED_VALUE"""),131.39)</f>
        <v>131.39</v>
      </c>
      <c r="E9879" s="2">
        <f>IFERROR(__xludf.DUMMYFUNCTION("""COMPUTED_VALUE"""),131.7)</f>
        <v>131.7</v>
      </c>
      <c r="F9879" s="2">
        <f>IFERROR(__xludf.DUMMYFUNCTION("""COMPUTED_VALUE"""),4250650.0)</f>
        <v>4250650</v>
      </c>
    </row>
    <row r="9880">
      <c r="A9880" s="3">
        <f>IFERROR(__xludf.DUMMYFUNCTION("""COMPUTED_VALUE"""),43530.66666666667)</f>
        <v>43530.66667</v>
      </c>
      <c r="B9880" s="2">
        <f>IFERROR(__xludf.DUMMYFUNCTION("""COMPUTED_VALUE"""),131.93)</f>
        <v>131.93</v>
      </c>
      <c r="C9880" s="2">
        <f>IFERROR(__xludf.DUMMYFUNCTION("""COMPUTED_VALUE"""),132.18)</f>
        <v>132.18</v>
      </c>
      <c r="D9880" s="2">
        <f>IFERROR(__xludf.DUMMYFUNCTION("""COMPUTED_VALUE"""),130.59)</f>
        <v>130.59</v>
      </c>
      <c r="E9880" s="2">
        <f>IFERROR(__xludf.DUMMYFUNCTION("""COMPUTED_VALUE"""),130.84)</f>
        <v>130.84</v>
      </c>
      <c r="F9880" s="2">
        <f>IFERROR(__xludf.DUMMYFUNCTION("""COMPUTED_VALUE"""),2768256.0)</f>
        <v>2768256</v>
      </c>
    </row>
    <row r="9881">
      <c r="A9881" s="3">
        <f>IFERROR(__xludf.DUMMYFUNCTION("""COMPUTED_VALUE"""),43531.66666666667)</f>
        <v>43531.66667</v>
      </c>
      <c r="B9881" s="2">
        <f>IFERROR(__xludf.DUMMYFUNCTION("""COMPUTED_VALUE"""),130.48)</f>
        <v>130.48</v>
      </c>
      <c r="C9881" s="2">
        <f>IFERROR(__xludf.DUMMYFUNCTION("""COMPUTED_VALUE"""),130.75)</f>
        <v>130.75</v>
      </c>
      <c r="D9881" s="2">
        <f>IFERROR(__xludf.DUMMYFUNCTION("""COMPUTED_VALUE"""),128.6)</f>
        <v>128.6</v>
      </c>
      <c r="E9881" s="2">
        <f>IFERROR(__xludf.DUMMYFUNCTION("""COMPUTED_VALUE"""),129.29)</f>
        <v>129.29</v>
      </c>
      <c r="F9881" s="2">
        <f>IFERROR(__xludf.DUMMYFUNCTION("""COMPUTED_VALUE"""),4358802.0)</f>
        <v>4358802</v>
      </c>
    </row>
    <row r="9882">
      <c r="A9882" s="3">
        <f>IFERROR(__xludf.DUMMYFUNCTION("""COMPUTED_VALUE"""),43532.66666666667)</f>
        <v>43532.66667</v>
      </c>
      <c r="B9882" s="2">
        <f>IFERROR(__xludf.DUMMYFUNCTION("""COMPUTED_VALUE"""),128.19)</f>
        <v>128.19</v>
      </c>
      <c r="C9882" s="2">
        <f>IFERROR(__xludf.DUMMYFUNCTION("""COMPUTED_VALUE"""),129.18)</f>
        <v>129.18</v>
      </c>
      <c r="D9882" s="2">
        <f>IFERROR(__xludf.DUMMYFUNCTION("""COMPUTED_VALUE"""),127.59)</f>
        <v>127.59</v>
      </c>
      <c r="E9882" s="2">
        <f>IFERROR(__xludf.DUMMYFUNCTION("""COMPUTED_VALUE"""),129.03)</f>
        <v>129.03</v>
      </c>
      <c r="F9882" s="2">
        <f>IFERROR(__xludf.DUMMYFUNCTION("""COMPUTED_VALUE"""),3773722.0)</f>
        <v>3773722</v>
      </c>
    </row>
    <row r="9883">
      <c r="A9883" s="3">
        <f>IFERROR(__xludf.DUMMYFUNCTION("""COMPUTED_VALUE"""),43535.66666666667)</f>
        <v>43535.66667</v>
      </c>
      <c r="B9883" s="2">
        <f>IFERROR(__xludf.DUMMYFUNCTION("""COMPUTED_VALUE"""),129.93)</f>
        <v>129.93</v>
      </c>
      <c r="C9883" s="2">
        <f>IFERROR(__xludf.DUMMYFUNCTION("""COMPUTED_VALUE"""),131.55)</f>
        <v>131.55</v>
      </c>
      <c r="D9883" s="2">
        <f>IFERROR(__xludf.DUMMYFUNCTION("""COMPUTED_VALUE"""),129.75)</f>
        <v>129.75</v>
      </c>
      <c r="E9883" s="2">
        <f>IFERROR(__xludf.DUMMYFUNCTION("""COMPUTED_VALUE"""),131.54)</f>
        <v>131.54</v>
      </c>
      <c r="F9883" s="2">
        <f>IFERROR(__xludf.DUMMYFUNCTION("""COMPUTED_VALUE"""),3939517.0)</f>
        <v>3939517</v>
      </c>
    </row>
    <row r="9884">
      <c r="A9884" s="3">
        <f>IFERROR(__xludf.DUMMYFUNCTION("""COMPUTED_VALUE"""),43536.66666666667)</f>
        <v>43536.66667</v>
      </c>
      <c r="B9884" s="2">
        <f>IFERROR(__xludf.DUMMYFUNCTION("""COMPUTED_VALUE"""),132.31)</f>
        <v>132.31</v>
      </c>
      <c r="C9884" s="2">
        <f>IFERROR(__xludf.DUMMYFUNCTION("""COMPUTED_VALUE"""),133.43)</f>
        <v>133.43</v>
      </c>
      <c r="D9884" s="2">
        <f>IFERROR(__xludf.DUMMYFUNCTION("""COMPUTED_VALUE"""),131.68)</f>
        <v>131.68</v>
      </c>
      <c r="E9884" s="2">
        <f>IFERROR(__xludf.DUMMYFUNCTION("""COMPUTED_VALUE"""),132.08)</f>
        <v>132.08</v>
      </c>
      <c r="F9884" s="2">
        <f>IFERROR(__xludf.DUMMYFUNCTION("""COMPUTED_VALUE"""),3954653.0)</f>
        <v>3954653</v>
      </c>
    </row>
    <row r="9885">
      <c r="A9885" s="3">
        <f>IFERROR(__xludf.DUMMYFUNCTION("""COMPUTED_VALUE"""),43537.66666666667)</f>
        <v>43537.66667</v>
      </c>
      <c r="B9885" s="2">
        <f>IFERROR(__xludf.DUMMYFUNCTION("""COMPUTED_VALUE"""),131.86)</f>
        <v>131.86</v>
      </c>
      <c r="C9885" s="2">
        <f>IFERROR(__xludf.DUMMYFUNCTION("""COMPUTED_VALUE"""),133.08)</f>
        <v>133.08</v>
      </c>
      <c r="D9885" s="2">
        <f>IFERROR(__xludf.DUMMYFUNCTION("""COMPUTED_VALUE"""),131.67)</f>
        <v>131.67</v>
      </c>
      <c r="E9885" s="2">
        <f>IFERROR(__xludf.DUMMYFUNCTION("""COMPUTED_VALUE"""),132.35)</f>
        <v>132.35</v>
      </c>
      <c r="F9885" s="2">
        <f>IFERROR(__xludf.DUMMYFUNCTION("""COMPUTED_VALUE"""),3173179.0)</f>
        <v>3173179</v>
      </c>
    </row>
    <row r="9886">
      <c r="A9886" s="3">
        <f>IFERROR(__xludf.DUMMYFUNCTION("""COMPUTED_VALUE"""),43538.66666666667)</f>
        <v>43538.66667</v>
      </c>
      <c r="B9886" s="2">
        <f>IFERROR(__xludf.DUMMYFUNCTION("""COMPUTED_VALUE"""),132.3)</f>
        <v>132.3</v>
      </c>
      <c r="C9886" s="2">
        <f>IFERROR(__xludf.DUMMYFUNCTION("""COMPUTED_VALUE"""),132.71)</f>
        <v>132.71</v>
      </c>
      <c r="D9886" s="2">
        <f>IFERROR(__xludf.DUMMYFUNCTION("""COMPUTED_VALUE"""),131.87)</f>
        <v>131.87</v>
      </c>
      <c r="E9886" s="2">
        <f>IFERROR(__xludf.DUMMYFUNCTION("""COMPUTED_VALUE"""),132.57)</f>
        <v>132.57</v>
      </c>
      <c r="F9886" s="2">
        <f>IFERROR(__xludf.DUMMYFUNCTION("""COMPUTED_VALUE"""),2738790.0)</f>
        <v>2738790</v>
      </c>
    </row>
    <row r="9887">
      <c r="A9887" s="3">
        <f>IFERROR(__xludf.DUMMYFUNCTION("""COMPUTED_VALUE"""),43539.66666666667)</f>
        <v>43539.66667</v>
      </c>
      <c r="B9887" s="2">
        <f>IFERROR(__xludf.DUMMYFUNCTION("""COMPUTED_VALUE"""),133.12)</f>
        <v>133.12</v>
      </c>
      <c r="C9887" s="2">
        <f>IFERROR(__xludf.DUMMYFUNCTION("""COMPUTED_VALUE"""),134.04)</f>
        <v>134.04</v>
      </c>
      <c r="D9887" s="2">
        <f>IFERROR(__xludf.DUMMYFUNCTION("""COMPUTED_VALUE"""),132.99)</f>
        <v>132.99</v>
      </c>
      <c r="E9887" s="2">
        <f>IFERROR(__xludf.DUMMYFUNCTION("""COMPUTED_VALUE"""),133.18)</f>
        <v>133.18</v>
      </c>
      <c r="F9887" s="2">
        <f>IFERROR(__xludf.DUMMYFUNCTION("""COMPUTED_VALUE"""),7153687.0)</f>
        <v>7153687</v>
      </c>
    </row>
    <row r="9888">
      <c r="A9888" s="3">
        <f>IFERROR(__xludf.DUMMYFUNCTION("""COMPUTED_VALUE"""),43542.66666666667)</f>
        <v>43542.66667</v>
      </c>
      <c r="B9888" s="2">
        <f>IFERROR(__xludf.DUMMYFUNCTION("""COMPUTED_VALUE"""),133.56)</f>
        <v>133.56</v>
      </c>
      <c r="C9888" s="2">
        <f>IFERROR(__xludf.DUMMYFUNCTION("""COMPUTED_VALUE"""),134.07)</f>
        <v>134.07</v>
      </c>
      <c r="D9888" s="2">
        <f>IFERROR(__xludf.DUMMYFUNCTION("""COMPUTED_VALUE"""),132.5)</f>
        <v>132.5</v>
      </c>
      <c r="E9888" s="2">
        <f>IFERROR(__xludf.DUMMYFUNCTION("""COMPUTED_VALUE"""),133.92)</f>
        <v>133.92</v>
      </c>
      <c r="F9888" s="2">
        <f>IFERROR(__xludf.DUMMYFUNCTION("""COMPUTED_VALUE"""),3268510.0)</f>
        <v>3268510</v>
      </c>
    </row>
    <row r="9889">
      <c r="A9889" s="3">
        <f>IFERROR(__xludf.DUMMYFUNCTION("""COMPUTED_VALUE"""),43543.66666666667)</f>
        <v>43543.66667</v>
      </c>
      <c r="B9889" s="2">
        <f>IFERROR(__xludf.DUMMYFUNCTION("""COMPUTED_VALUE"""),134.64)</f>
        <v>134.64</v>
      </c>
      <c r="C9889" s="2">
        <f>IFERROR(__xludf.DUMMYFUNCTION("""COMPUTED_VALUE"""),135.35)</f>
        <v>135.35</v>
      </c>
      <c r="D9889" s="2">
        <f>IFERROR(__xludf.DUMMYFUNCTION("""COMPUTED_VALUE"""),133.72)</f>
        <v>133.72</v>
      </c>
      <c r="E9889" s="2">
        <f>IFERROR(__xludf.DUMMYFUNCTION("""COMPUTED_VALUE"""),134.19)</f>
        <v>134.19</v>
      </c>
      <c r="F9889" s="2">
        <f>IFERROR(__xludf.DUMMYFUNCTION("""COMPUTED_VALUE"""),3482336.0)</f>
        <v>3482336</v>
      </c>
    </row>
    <row r="9890">
      <c r="A9890" s="3">
        <f>IFERROR(__xludf.DUMMYFUNCTION("""COMPUTED_VALUE"""),43544.66666666667)</f>
        <v>43544.66667</v>
      </c>
      <c r="B9890" s="2">
        <f>IFERROR(__xludf.DUMMYFUNCTION("""COMPUTED_VALUE"""),134.23)</f>
        <v>134.23</v>
      </c>
      <c r="C9890" s="2">
        <f>IFERROR(__xludf.DUMMYFUNCTION("""COMPUTED_VALUE"""),134.39)</f>
        <v>134.39</v>
      </c>
      <c r="D9890" s="2">
        <f>IFERROR(__xludf.DUMMYFUNCTION("""COMPUTED_VALUE"""),132.75)</f>
        <v>132.75</v>
      </c>
      <c r="E9890" s="2">
        <f>IFERROR(__xludf.DUMMYFUNCTION("""COMPUTED_VALUE"""),133.34)</f>
        <v>133.34</v>
      </c>
      <c r="F9890" s="2">
        <f>IFERROR(__xludf.DUMMYFUNCTION("""COMPUTED_VALUE"""),3649455.0)</f>
        <v>3649455</v>
      </c>
    </row>
    <row r="9891">
      <c r="A9891" s="3">
        <f>IFERROR(__xludf.DUMMYFUNCTION("""COMPUTED_VALUE"""),43545.66666666667)</f>
        <v>43545.66667</v>
      </c>
      <c r="B9891" s="2">
        <f>IFERROR(__xludf.DUMMYFUNCTION("""COMPUTED_VALUE"""),132.86)</f>
        <v>132.86</v>
      </c>
      <c r="C9891" s="2">
        <f>IFERROR(__xludf.DUMMYFUNCTION("""COMPUTED_VALUE"""),135.75)</f>
        <v>135.75</v>
      </c>
      <c r="D9891" s="2">
        <f>IFERROR(__xludf.DUMMYFUNCTION("""COMPUTED_VALUE"""),132.65)</f>
        <v>132.65</v>
      </c>
      <c r="E9891" s="2">
        <f>IFERROR(__xludf.DUMMYFUNCTION("""COMPUTED_VALUE"""),135.1)</f>
        <v>135.1</v>
      </c>
      <c r="F9891" s="2">
        <f>IFERROR(__xludf.DUMMYFUNCTION("""COMPUTED_VALUE"""),3605420.0)</f>
        <v>3605420</v>
      </c>
    </row>
    <row r="9892">
      <c r="A9892" s="3">
        <f>IFERROR(__xludf.DUMMYFUNCTION("""COMPUTED_VALUE"""),43546.66666666667)</f>
        <v>43546.66667</v>
      </c>
      <c r="B9892" s="2">
        <f>IFERROR(__xludf.DUMMYFUNCTION("""COMPUTED_VALUE"""),134.65)</f>
        <v>134.65</v>
      </c>
      <c r="C9892" s="2">
        <f>IFERROR(__xludf.DUMMYFUNCTION("""COMPUTED_VALUE"""),135.1)</f>
        <v>135.1</v>
      </c>
      <c r="D9892" s="2">
        <f>IFERROR(__xludf.DUMMYFUNCTION("""COMPUTED_VALUE"""),132.67)</f>
        <v>132.67</v>
      </c>
      <c r="E9892" s="2">
        <f>IFERROR(__xludf.DUMMYFUNCTION("""COMPUTED_VALUE"""),133.2)</f>
        <v>133.2</v>
      </c>
      <c r="F9892" s="2">
        <f>IFERROR(__xludf.DUMMYFUNCTION("""COMPUTED_VALUE"""),3877616.0)</f>
        <v>3877616</v>
      </c>
    </row>
    <row r="9893">
      <c r="A9893" s="3">
        <f>IFERROR(__xludf.DUMMYFUNCTION("""COMPUTED_VALUE"""),43549.66666666667)</f>
        <v>43549.66667</v>
      </c>
      <c r="B9893" s="2">
        <f>IFERROR(__xludf.DUMMYFUNCTION("""COMPUTED_VALUE"""),132.83)</f>
        <v>132.83</v>
      </c>
      <c r="C9893" s="2">
        <f>IFERROR(__xludf.DUMMYFUNCTION("""COMPUTED_VALUE"""),133.64)</f>
        <v>133.64</v>
      </c>
      <c r="D9893" s="2">
        <f>IFERROR(__xludf.DUMMYFUNCTION("""COMPUTED_VALUE"""),132.15)</f>
        <v>132.15</v>
      </c>
      <c r="E9893" s="2">
        <f>IFERROR(__xludf.DUMMYFUNCTION("""COMPUTED_VALUE"""),132.94)</f>
        <v>132.94</v>
      </c>
      <c r="F9893" s="2">
        <f>IFERROR(__xludf.DUMMYFUNCTION("""COMPUTED_VALUE"""),2839766.0)</f>
        <v>2839766</v>
      </c>
    </row>
    <row r="9894">
      <c r="A9894" s="3">
        <f>IFERROR(__xludf.DUMMYFUNCTION("""COMPUTED_VALUE"""),43550.66666666667)</f>
        <v>43550.66667</v>
      </c>
      <c r="B9894" s="2">
        <f>IFERROR(__xludf.DUMMYFUNCTION("""COMPUTED_VALUE"""),133.66)</f>
        <v>133.66</v>
      </c>
      <c r="C9894" s="2">
        <f>IFERROR(__xludf.DUMMYFUNCTION("""COMPUTED_VALUE"""),134.7)</f>
        <v>134.7</v>
      </c>
      <c r="D9894" s="2">
        <f>IFERROR(__xludf.DUMMYFUNCTION("""COMPUTED_VALUE"""),133.17)</f>
        <v>133.17</v>
      </c>
      <c r="E9894" s="2">
        <f>IFERROR(__xludf.DUMMYFUNCTION("""COMPUTED_VALUE"""),133.93)</f>
        <v>133.93</v>
      </c>
      <c r="F9894" s="2">
        <f>IFERROR(__xludf.DUMMYFUNCTION("""COMPUTED_VALUE"""),2553708.0)</f>
        <v>2553708</v>
      </c>
    </row>
    <row r="9895">
      <c r="A9895" s="3">
        <f>IFERROR(__xludf.DUMMYFUNCTION("""COMPUTED_VALUE"""),43551.66666666667)</f>
        <v>43551.66667</v>
      </c>
      <c r="B9895" s="2">
        <f>IFERROR(__xludf.DUMMYFUNCTION("""COMPUTED_VALUE"""),134.11)</f>
        <v>134.11</v>
      </c>
      <c r="C9895" s="2">
        <f>IFERROR(__xludf.DUMMYFUNCTION("""COMPUTED_VALUE"""),134.19)</f>
        <v>134.19</v>
      </c>
      <c r="D9895" s="2">
        <f>IFERROR(__xludf.DUMMYFUNCTION("""COMPUTED_VALUE"""),132.19)</f>
        <v>132.19</v>
      </c>
      <c r="E9895" s="2">
        <f>IFERROR(__xludf.DUMMYFUNCTION("""COMPUTED_VALUE"""),133.0)</f>
        <v>133</v>
      </c>
      <c r="F9895" s="2">
        <f>IFERROR(__xludf.DUMMYFUNCTION("""COMPUTED_VALUE"""),3098233.0)</f>
        <v>3098233</v>
      </c>
    </row>
    <row r="9896">
      <c r="A9896" s="3">
        <f>IFERROR(__xludf.DUMMYFUNCTION("""COMPUTED_VALUE"""),43552.66666666667)</f>
        <v>43552.66667</v>
      </c>
      <c r="B9896" s="2">
        <f>IFERROR(__xludf.DUMMYFUNCTION("""COMPUTED_VALUE"""),133.64)</f>
        <v>133.64</v>
      </c>
      <c r="C9896" s="2">
        <f>IFERROR(__xludf.DUMMYFUNCTION("""COMPUTED_VALUE"""),134.14)</f>
        <v>134.14</v>
      </c>
      <c r="D9896" s="2">
        <f>IFERROR(__xludf.DUMMYFUNCTION("""COMPUTED_VALUE"""),132.86)</f>
        <v>132.86</v>
      </c>
      <c r="E9896" s="2">
        <f>IFERROR(__xludf.DUMMYFUNCTION("""COMPUTED_VALUE"""),133.65)</f>
        <v>133.65</v>
      </c>
      <c r="F9896" s="2">
        <f>IFERROR(__xludf.DUMMYFUNCTION("""COMPUTED_VALUE"""),2663884.0)</f>
        <v>2663884</v>
      </c>
    </row>
    <row r="9897">
      <c r="A9897" s="3">
        <f>IFERROR(__xludf.DUMMYFUNCTION("""COMPUTED_VALUE"""),43553.66666666667)</f>
        <v>43553.66667</v>
      </c>
      <c r="B9897" s="2">
        <f>IFERROR(__xludf.DUMMYFUNCTION("""COMPUTED_VALUE"""),134.2)</f>
        <v>134.2</v>
      </c>
      <c r="C9897" s="2">
        <f>IFERROR(__xludf.DUMMYFUNCTION("""COMPUTED_VALUE"""),134.89)</f>
        <v>134.89</v>
      </c>
      <c r="D9897" s="2">
        <f>IFERROR(__xludf.DUMMYFUNCTION("""COMPUTED_VALUE"""),133.87)</f>
        <v>133.87</v>
      </c>
      <c r="E9897" s="2">
        <f>IFERROR(__xludf.DUMMYFUNCTION("""COMPUTED_VALUE"""),134.77)</f>
        <v>134.77</v>
      </c>
      <c r="F9897" s="2">
        <f>IFERROR(__xludf.DUMMYFUNCTION("""COMPUTED_VALUE"""),3101454.0)</f>
        <v>3101454</v>
      </c>
    </row>
    <row r="9898">
      <c r="A9898" s="3">
        <f>IFERROR(__xludf.DUMMYFUNCTION("""COMPUTED_VALUE"""),43556.66666666667)</f>
        <v>43556.66667</v>
      </c>
      <c r="B9898" s="2">
        <f>IFERROR(__xludf.DUMMYFUNCTION("""COMPUTED_VALUE"""),135.17)</f>
        <v>135.17</v>
      </c>
      <c r="C9898" s="2">
        <f>IFERROR(__xludf.DUMMYFUNCTION("""COMPUTED_VALUE"""),136.98)</f>
        <v>136.98</v>
      </c>
      <c r="D9898" s="2">
        <f>IFERROR(__xludf.DUMMYFUNCTION("""COMPUTED_VALUE"""),135.17)</f>
        <v>135.17</v>
      </c>
      <c r="E9898" s="2">
        <f>IFERROR(__xludf.DUMMYFUNCTION("""COMPUTED_VALUE"""),136.88)</f>
        <v>136.88</v>
      </c>
      <c r="F9898" s="2">
        <f>IFERROR(__xludf.DUMMYFUNCTION("""COMPUTED_VALUE"""),3984250.0)</f>
        <v>3984250</v>
      </c>
    </row>
    <row r="9899">
      <c r="A9899" s="3">
        <f>IFERROR(__xludf.DUMMYFUNCTION("""COMPUTED_VALUE"""),43557.66666666667)</f>
        <v>43557.66667</v>
      </c>
      <c r="B9899" s="2">
        <f>IFERROR(__xludf.DUMMYFUNCTION("""COMPUTED_VALUE"""),136.92)</f>
        <v>136.92</v>
      </c>
      <c r="C9899" s="2">
        <f>IFERROR(__xludf.DUMMYFUNCTION("""COMPUTED_VALUE"""),137.5)</f>
        <v>137.5</v>
      </c>
      <c r="D9899" s="2">
        <f>IFERROR(__xludf.DUMMYFUNCTION("""COMPUTED_VALUE"""),136.21)</f>
        <v>136.21</v>
      </c>
      <c r="E9899" s="2">
        <f>IFERROR(__xludf.DUMMYFUNCTION("""COMPUTED_VALUE"""),136.59)</f>
        <v>136.59</v>
      </c>
      <c r="F9899" s="2">
        <f>IFERROR(__xludf.DUMMYFUNCTION("""COMPUTED_VALUE"""),2404920.0)</f>
        <v>2404920</v>
      </c>
    </row>
    <row r="9900">
      <c r="A9900" s="3">
        <f>IFERROR(__xludf.DUMMYFUNCTION("""COMPUTED_VALUE"""),43558.66666666667)</f>
        <v>43558.66667</v>
      </c>
      <c r="B9900" s="2">
        <f>IFERROR(__xludf.DUMMYFUNCTION("""COMPUTED_VALUE"""),137.21)</f>
        <v>137.21</v>
      </c>
      <c r="C9900" s="2">
        <f>IFERROR(__xludf.DUMMYFUNCTION("""COMPUTED_VALUE"""),137.75)</f>
        <v>137.75</v>
      </c>
      <c r="D9900" s="2">
        <f>IFERROR(__xludf.DUMMYFUNCTION("""COMPUTED_VALUE"""),136.6)</f>
        <v>136.6</v>
      </c>
      <c r="E9900" s="2">
        <f>IFERROR(__xludf.DUMMYFUNCTION("""COMPUTED_VALUE"""),137.19)</f>
        <v>137.19</v>
      </c>
      <c r="F9900" s="2">
        <f>IFERROR(__xludf.DUMMYFUNCTION("""COMPUTED_VALUE"""),2681645.0)</f>
        <v>2681645</v>
      </c>
    </row>
    <row r="9901">
      <c r="A9901" s="3">
        <f>IFERROR(__xludf.DUMMYFUNCTION("""COMPUTED_VALUE"""),43559.66666666667)</f>
        <v>43559.66667</v>
      </c>
      <c r="B9901" s="2">
        <f>IFERROR(__xludf.DUMMYFUNCTION("""COMPUTED_VALUE"""),137.18)</f>
        <v>137.18</v>
      </c>
      <c r="C9901" s="2">
        <f>IFERROR(__xludf.DUMMYFUNCTION("""COMPUTED_VALUE"""),137.68)</f>
        <v>137.68</v>
      </c>
      <c r="D9901" s="2">
        <f>IFERROR(__xludf.DUMMYFUNCTION("""COMPUTED_VALUE"""),136.15)</f>
        <v>136.15</v>
      </c>
      <c r="E9901" s="2">
        <f>IFERROR(__xludf.DUMMYFUNCTION("""COMPUTED_VALUE"""),136.38)</f>
        <v>136.38</v>
      </c>
      <c r="F9901" s="2">
        <f>IFERROR(__xludf.DUMMYFUNCTION("""COMPUTED_VALUE"""),2771462.0)</f>
        <v>2771462</v>
      </c>
    </row>
    <row r="9902">
      <c r="A9902" s="3">
        <f>IFERROR(__xludf.DUMMYFUNCTION("""COMPUTED_VALUE"""),43560.66666666667)</f>
        <v>43560.66667</v>
      </c>
      <c r="B9902" s="2">
        <f>IFERROR(__xludf.DUMMYFUNCTION("""COMPUTED_VALUE"""),136.87)</f>
        <v>136.87</v>
      </c>
      <c r="C9902" s="2">
        <f>IFERROR(__xludf.DUMMYFUNCTION("""COMPUTED_VALUE"""),137.07)</f>
        <v>137.07</v>
      </c>
      <c r="D9902" s="2">
        <f>IFERROR(__xludf.DUMMYFUNCTION("""COMPUTED_VALUE"""),136.07)</f>
        <v>136.07</v>
      </c>
      <c r="E9902" s="2">
        <f>IFERROR(__xludf.DUMMYFUNCTION("""COMPUTED_VALUE"""),136.86)</f>
        <v>136.86</v>
      </c>
      <c r="F9902" s="2">
        <f>IFERROR(__xludf.DUMMYFUNCTION("""COMPUTED_VALUE"""),2731985.0)</f>
        <v>2731985</v>
      </c>
    </row>
    <row r="9903">
      <c r="A9903" s="3">
        <f>IFERROR(__xludf.DUMMYFUNCTION("""COMPUTED_VALUE"""),43563.66666666667)</f>
        <v>43563.66667</v>
      </c>
      <c r="B9903" s="2">
        <f>IFERROR(__xludf.DUMMYFUNCTION("""COMPUTED_VALUE"""),136.61)</f>
        <v>136.61</v>
      </c>
      <c r="C9903" s="2">
        <f>IFERROR(__xludf.DUMMYFUNCTION("""COMPUTED_VALUE"""),136.99)</f>
        <v>136.99</v>
      </c>
      <c r="D9903" s="2">
        <f>IFERROR(__xludf.DUMMYFUNCTION("""COMPUTED_VALUE"""),136.46)</f>
        <v>136.46</v>
      </c>
      <c r="E9903" s="2">
        <f>IFERROR(__xludf.DUMMYFUNCTION("""COMPUTED_VALUE"""),136.96)</f>
        <v>136.96</v>
      </c>
      <c r="F9903" s="2">
        <f>IFERROR(__xludf.DUMMYFUNCTION("""COMPUTED_VALUE"""),2118228.0)</f>
        <v>2118228</v>
      </c>
    </row>
    <row r="9904">
      <c r="A9904" s="3">
        <f>IFERROR(__xludf.DUMMYFUNCTION("""COMPUTED_VALUE"""),43564.66666666667)</f>
        <v>43564.66667</v>
      </c>
      <c r="B9904" s="2">
        <f>IFERROR(__xludf.DUMMYFUNCTION("""COMPUTED_VALUE"""),136.26)</f>
        <v>136.26</v>
      </c>
      <c r="C9904" s="2">
        <f>IFERROR(__xludf.DUMMYFUNCTION("""COMPUTED_VALUE"""),136.54)</f>
        <v>136.54</v>
      </c>
      <c r="D9904" s="2">
        <f>IFERROR(__xludf.DUMMYFUNCTION("""COMPUTED_VALUE"""),135.48)</f>
        <v>135.48</v>
      </c>
      <c r="E9904" s="2">
        <f>IFERROR(__xludf.DUMMYFUNCTION("""COMPUTED_VALUE"""),135.74)</f>
        <v>135.74</v>
      </c>
      <c r="F9904" s="2">
        <f>IFERROR(__xludf.DUMMYFUNCTION("""COMPUTED_VALUE"""),3038460.0)</f>
        <v>3038460</v>
      </c>
    </row>
    <row r="9905">
      <c r="A9905" s="3">
        <f>IFERROR(__xludf.DUMMYFUNCTION("""COMPUTED_VALUE"""),43565.66666666667)</f>
        <v>43565.66667</v>
      </c>
      <c r="B9905" s="2">
        <f>IFERROR(__xludf.DUMMYFUNCTION("""COMPUTED_VALUE"""),135.82)</f>
        <v>135.82</v>
      </c>
      <c r="C9905" s="2">
        <f>IFERROR(__xludf.DUMMYFUNCTION("""COMPUTED_VALUE"""),137.06)</f>
        <v>137.06</v>
      </c>
      <c r="D9905" s="2">
        <f>IFERROR(__xludf.DUMMYFUNCTION("""COMPUTED_VALUE"""),135.61)</f>
        <v>135.61</v>
      </c>
      <c r="E9905" s="2">
        <f>IFERROR(__xludf.DUMMYFUNCTION("""COMPUTED_VALUE"""),136.61)</f>
        <v>136.61</v>
      </c>
      <c r="F9905" s="2">
        <f>IFERROR(__xludf.DUMMYFUNCTION("""COMPUTED_VALUE"""),2678310.0)</f>
        <v>2678310</v>
      </c>
    </row>
    <row r="9906">
      <c r="A9906" s="3">
        <f>IFERROR(__xludf.DUMMYFUNCTION("""COMPUTED_VALUE"""),43566.66666666667)</f>
        <v>43566.66667</v>
      </c>
      <c r="B9906" s="2">
        <f>IFERROR(__xludf.DUMMYFUNCTION("""COMPUTED_VALUE"""),137.35)</f>
        <v>137.35</v>
      </c>
      <c r="C9906" s="2">
        <f>IFERROR(__xludf.DUMMYFUNCTION("""COMPUTED_VALUE"""),137.65)</f>
        <v>137.65</v>
      </c>
      <c r="D9906" s="2">
        <f>IFERROR(__xludf.DUMMYFUNCTION("""COMPUTED_VALUE"""),136.62)</f>
        <v>136.62</v>
      </c>
      <c r="E9906" s="2">
        <f>IFERROR(__xludf.DUMMYFUNCTION("""COMPUTED_VALUE"""),137.33)</f>
        <v>137.33</v>
      </c>
      <c r="F9906" s="2">
        <f>IFERROR(__xludf.DUMMYFUNCTION("""COMPUTED_VALUE"""),2941985.0)</f>
        <v>2941985</v>
      </c>
    </row>
    <row r="9907">
      <c r="A9907" s="3">
        <f>IFERROR(__xludf.DUMMYFUNCTION("""COMPUTED_VALUE"""),43567.66666666667)</f>
        <v>43567.66667</v>
      </c>
      <c r="B9907" s="2">
        <f>IFERROR(__xludf.DUMMYFUNCTION("""COMPUTED_VALUE"""),137.79)</f>
        <v>137.79</v>
      </c>
      <c r="C9907" s="2">
        <f>IFERROR(__xludf.DUMMYFUNCTION("""COMPUTED_VALUE"""),137.96)</f>
        <v>137.96</v>
      </c>
      <c r="D9907" s="2">
        <f>IFERROR(__xludf.DUMMYFUNCTION("""COMPUTED_VALUE"""),137.26)</f>
        <v>137.26</v>
      </c>
      <c r="E9907" s="2">
        <f>IFERROR(__xludf.DUMMYFUNCTION("""COMPUTED_VALUE"""),137.88)</f>
        <v>137.88</v>
      </c>
      <c r="F9907" s="2">
        <f>IFERROR(__xludf.DUMMYFUNCTION("""COMPUTED_VALUE"""),2898899.0)</f>
        <v>2898899</v>
      </c>
    </row>
    <row r="9908">
      <c r="A9908" s="3">
        <f>IFERROR(__xludf.DUMMYFUNCTION("""COMPUTED_VALUE"""),43570.66666666667)</f>
        <v>43570.66667</v>
      </c>
      <c r="B9908" s="2">
        <f>IFERROR(__xludf.DUMMYFUNCTION("""COMPUTED_VALUE"""),137.93)</f>
        <v>137.93</v>
      </c>
      <c r="C9908" s="2">
        <f>IFERROR(__xludf.DUMMYFUNCTION("""COMPUTED_VALUE"""),137.98)</f>
        <v>137.98</v>
      </c>
      <c r="D9908" s="2">
        <f>IFERROR(__xludf.DUMMYFUNCTION("""COMPUTED_VALUE"""),136.85)</f>
        <v>136.85</v>
      </c>
      <c r="E9908" s="2">
        <f>IFERROR(__xludf.DUMMYFUNCTION("""COMPUTED_VALUE"""),137.45)</f>
        <v>137.45</v>
      </c>
      <c r="F9908" s="2">
        <f>IFERROR(__xludf.DUMMYFUNCTION("""COMPUTED_VALUE"""),3603158.0)</f>
        <v>3603158</v>
      </c>
    </row>
    <row r="9909">
      <c r="A9909" s="3">
        <f>IFERROR(__xludf.DUMMYFUNCTION("""COMPUTED_VALUE"""),43571.66666666667)</f>
        <v>43571.66667</v>
      </c>
      <c r="B9909" s="2">
        <f>IFERROR(__xludf.DUMMYFUNCTION("""COMPUTED_VALUE"""),137.93)</f>
        <v>137.93</v>
      </c>
      <c r="C9909" s="2">
        <f>IFERROR(__xludf.DUMMYFUNCTION("""COMPUTED_VALUE"""),138.87)</f>
        <v>138.87</v>
      </c>
      <c r="D9909" s="2">
        <f>IFERROR(__xludf.DUMMYFUNCTION("""COMPUTED_VALUE"""),137.56)</f>
        <v>137.56</v>
      </c>
      <c r="E9909" s="2">
        <f>IFERROR(__xludf.DUMMYFUNCTION("""COMPUTED_VALUE"""),138.63)</f>
        <v>138.63</v>
      </c>
      <c r="F9909" s="2">
        <f>IFERROR(__xludf.DUMMYFUNCTION("""COMPUTED_VALUE"""),6301671.0)</f>
        <v>6301671</v>
      </c>
    </row>
    <row r="9910">
      <c r="A9910" s="3">
        <f>IFERROR(__xludf.DUMMYFUNCTION("""COMPUTED_VALUE"""),43572.66666666667)</f>
        <v>43572.66667</v>
      </c>
      <c r="B9910" s="2">
        <f>IFERROR(__xludf.DUMMYFUNCTION("""COMPUTED_VALUE"""),131.21)</f>
        <v>131.21</v>
      </c>
      <c r="C9910" s="2">
        <f>IFERROR(__xludf.DUMMYFUNCTION("""COMPUTED_VALUE"""),135.61)</f>
        <v>135.61</v>
      </c>
      <c r="D9910" s="2">
        <f>IFERROR(__xludf.DUMMYFUNCTION("""COMPUTED_VALUE"""),130.15)</f>
        <v>130.15</v>
      </c>
      <c r="E9910" s="2">
        <f>IFERROR(__xludf.DUMMYFUNCTION("""COMPUTED_VALUE"""),132.87)</f>
        <v>132.87</v>
      </c>
      <c r="F9910" s="2">
        <f>IFERROR(__xludf.DUMMYFUNCTION("""COMPUTED_VALUE"""),1.2525693E7)</f>
        <v>12525693</v>
      </c>
    </row>
    <row r="9911">
      <c r="A9911" s="3">
        <f>IFERROR(__xludf.DUMMYFUNCTION("""COMPUTED_VALUE"""),43573.66666666667)</f>
        <v>43573.66667</v>
      </c>
      <c r="B9911" s="2">
        <f>IFERROR(__xludf.DUMMYFUNCTION("""COMPUTED_VALUE"""),132.77)</f>
        <v>132.77</v>
      </c>
      <c r="C9911" s="2">
        <f>IFERROR(__xludf.DUMMYFUNCTION("""COMPUTED_VALUE"""),134.19)</f>
        <v>134.19</v>
      </c>
      <c r="D9911" s="2">
        <f>IFERROR(__xludf.DUMMYFUNCTION("""COMPUTED_VALUE"""),132.48)</f>
        <v>132.48</v>
      </c>
      <c r="E9911" s="2">
        <f>IFERROR(__xludf.DUMMYFUNCTION("""COMPUTED_VALUE"""),134.04)</f>
        <v>134.04</v>
      </c>
      <c r="F9911" s="2">
        <f>IFERROR(__xludf.DUMMYFUNCTION("""COMPUTED_VALUE"""),4960015.0)</f>
        <v>4960015</v>
      </c>
    </row>
    <row r="9912">
      <c r="A9912" s="3">
        <f>IFERROR(__xludf.DUMMYFUNCTION("""COMPUTED_VALUE"""),43577.66666666667)</f>
        <v>43577.66667</v>
      </c>
      <c r="B9912" s="2">
        <f>IFERROR(__xludf.DUMMYFUNCTION("""COMPUTED_VALUE"""),133.17)</f>
        <v>133.17</v>
      </c>
      <c r="C9912" s="2">
        <f>IFERROR(__xludf.DUMMYFUNCTION("""COMPUTED_VALUE"""),134.26)</f>
        <v>134.26</v>
      </c>
      <c r="D9912" s="2">
        <f>IFERROR(__xludf.DUMMYFUNCTION("""COMPUTED_VALUE"""),132.27)</f>
        <v>132.27</v>
      </c>
      <c r="E9912" s="2">
        <f>IFERROR(__xludf.DUMMYFUNCTION("""COMPUTED_VALUE"""),132.66)</f>
        <v>132.66</v>
      </c>
      <c r="F9912" s="2">
        <f>IFERROR(__xludf.DUMMYFUNCTION("""COMPUTED_VALUE"""),4494333.0)</f>
        <v>4494333</v>
      </c>
    </row>
    <row r="9913">
      <c r="A9913" s="3">
        <f>IFERROR(__xludf.DUMMYFUNCTION("""COMPUTED_VALUE"""),43578.66666666667)</f>
        <v>43578.66667</v>
      </c>
      <c r="B9913" s="2">
        <f>IFERROR(__xludf.DUMMYFUNCTION("""COMPUTED_VALUE"""),132.91)</f>
        <v>132.91</v>
      </c>
      <c r="C9913" s="2">
        <f>IFERROR(__xludf.DUMMYFUNCTION("""COMPUTED_VALUE"""),134.6)</f>
        <v>134.6</v>
      </c>
      <c r="D9913" s="2">
        <f>IFERROR(__xludf.DUMMYFUNCTION("""COMPUTED_VALUE"""),132.71)</f>
        <v>132.71</v>
      </c>
      <c r="E9913" s="2">
        <f>IFERROR(__xludf.DUMMYFUNCTION("""COMPUTED_VALUE"""),134.14)</f>
        <v>134.14</v>
      </c>
      <c r="F9913" s="2">
        <f>IFERROR(__xludf.DUMMYFUNCTION("""COMPUTED_VALUE"""),4462240.0)</f>
        <v>4462240</v>
      </c>
    </row>
    <row r="9914">
      <c r="A9914" s="3">
        <f>IFERROR(__xludf.DUMMYFUNCTION("""COMPUTED_VALUE"""),43579.66666666667)</f>
        <v>43579.66667</v>
      </c>
      <c r="B9914" s="2">
        <f>IFERROR(__xludf.DUMMYFUNCTION("""COMPUTED_VALUE"""),134.3)</f>
        <v>134.3</v>
      </c>
      <c r="C9914" s="2">
        <f>IFERROR(__xludf.DUMMYFUNCTION("""COMPUTED_VALUE"""),134.97)</f>
        <v>134.97</v>
      </c>
      <c r="D9914" s="2">
        <f>IFERROR(__xludf.DUMMYFUNCTION("""COMPUTED_VALUE"""),133.51)</f>
        <v>133.51</v>
      </c>
      <c r="E9914" s="2">
        <f>IFERROR(__xludf.DUMMYFUNCTION("""COMPUTED_VALUE"""),133.68)</f>
        <v>133.68</v>
      </c>
      <c r="F9914" s="2">
        <f>IFERROR(__xludf.DUMMYFUNCTION("""COMPUTED_VALUE"""),2774867.0)</f>
        <v>2774867</v>
      </c>
    </row>
    <row r="9915">
      <c r="A9915" s="3">
        <f>IFERROR(__xludf.DUMMYFUNCTION("""COMPUTED_VALUE"""),43580.66666666667)</f>
        <v>43580.66667</v>
      </c>
      <c r="B9915" s="2">
        <f>IFERROR(__xludf.DUMMYFUNCTION("""COMPUTED_VALUE"""),133.44)</f>
        <v>133.44</v>
      </c>
      <c r="C9915" s="2">
        <f>IFERROR(__xludf.DUMMYFUNCTION("""COMPUTED_VALUE"""),133.48)</f>
        <v>133.48</v>
      </c>
      <c r="D9915" s="2">
        <f>IFERROR(__xludf.DUMMYFUNCTION("""COMPUTED_VALUE"""),131.54)</f>
        <v>131.54</v>
      </c>
      <c r="E9915" s="2">
        <f>IFERROR(__xludf.DUMMYFUNCTION("""COMPUTED_VALUE"""),132.41)</f>
        <v>132.41</v>
      </c>
      <c r="F9915" s="2">
        <f>IFERROR(__xludf.DUMMYFUNCTION("""COMPUTED_VALUE"""),2910113.0)</f>
        <v>2910113</v>
      </c>
    </row>
    <row r="9916">
      <c r="A9916" s="3">
        <f>IFERROR(__xludf.DUMMYFUNCTION("""COMPUTED_VALUE"""),43581.66666666667)</f>
        <v>43581.66667</v>
      </c>
      <c r="B9916" s="2">
        <f>IFERROR(__xludf.DUMMYFUNCTION("""COMPUTED_VALUE"""),133.09)</f>
        <v>133.09</v>
      </c>
      <c r="C9916" s="2">
        <f>IFERROR(__xludf.DUMMYFUNCTION("""COMPUTED_VALUE"""),133.62)</f>
        <v>133.62</v>
      </c>
      <c r="D9916" s="2">
        <f>IFERROR(__xludf.DUMMYFUNCTION("""COMPUTED_VALUE"""),132.59)</f>
        <v>132.59</v>
      </c>
      <c r="E9916" s="2">
        <f>IFERROR(__xludf.DUMMYFUNCTION("""COMPUTED_VALUE"""),133.19)</f>
        <v>133.19</v>
      </c>
      <c r="F9916" s="2">
        <f>IFERROR(__xludf.DUMMYFUNCTION("""COMPUTED_VALUE"""),2319834.0)</f>
        <v>2319834</v>
      </c>
    </row>
    <row r="9917">
      <c r="A9917" s="3">
        <f>IFERROR(__xludf.DUMMYFUNCTION("""COMPUTED_VALUE"""),43584.66666666667)</f>
        <v>43584.66667</v>
      </c>
      <c r="B9917" s="2">
        <f>IFERROR(__xludf.DUMMYFUNCTION("""COMPUTED_VALUE"""),132.91)</f>
        <v>132.91</v>
      </c>
      <c r="C9917" s="2">
        <f>IFERROR(__xludf.DUMMYFUNCTION("""COMPUTED_VALUE"""),133.37)</f>
        <v>133.37</v>
      </c>
      <c r="D9917" s="2">
        <f>IFERROR(__xludf.DUMMYFUNCTION("""COMPUTED_VALUE"""),132.59)</f>
        <v>132.59</v>
      </c>
      <c r="E9917" s="2">
        <f>IFERROR(__xludf.DUMMYFUNCTION("""COMPUTED_VALUE"""),132.82)</f>
        <v>132.82</v>
      </c>
      <c r="F9917" s="2">
        <f>IFERROR(__xludf.DUMMYFUNCTION("""COMPUTED_VALUE"""),2958333.0)</f>
        <v>2958333</v>
      </c>
    </row>
    <row r="9918">
      <c r="A9918" s="3">
        <f>IFERROR(__xludf.DUMMYFUNCTION("""COMPUTED_VALUE"""),43585.66666666667)</f>
        <v>43585.66667</v>
      </c>
      <c r="B9918" s="2">
        <f>IFERROR(__xludf.DUMMYFUNCTION("""COMPUTED_VALUE"""),132.87)</f>
        <v>132.87</v>
      </c>
      <c r="C9918" s="2">
        <f>IFERROR(__xludf.DUMMYFUNCTION("""COMPUTED_VALUE"""),134.14)</f>
        <v>134.14</v>
      </c>
      <c r="D9918" s="2">
        <f>IFERROR(__xludf.DUMMYFUNCTION("""COMPUTED_VALUE"""),132.46)</f>
        <v>132.46</v>
      </c>
      <c r="E9918" s="2">
        <f>IFERROR(__xludf.DUMMYFUNCTION("""COMPUTED_VALUE"""),133.98)</f>
        <v>133.98</v>
      </c>
      <c r="F9918" s="2">
        <f>IFERROR(__xludf.DUMMYFUNCTION("""COMPUTED_VALUE"""),4638828.0)</f>
        <v>4638828</v>
      </c>
    </row>
    <row r="9919">
      <c r="A9919" s="3">
        <f>IFERROR(__xludf.DUMMYFUNCTION("""COMPUTED_VALUE"""),43586.66666666667)</f>
        <v>43586.66667</v>
      </c>
      <c r="B9919" s="2">
        <f>IFERROR(__xludf.DUMMYFUNCTION("""COMPUTED_VALUE"""),134.25)</f>
        <v>134.25</v>
      </c>
      <c r="C9919" s="2">
        <f>IFERROR(__xludf.DUMMYFUNCTION("""COMPUTED_VALUE"""),135.45)</f>
        <v>135.45</v>
      </c>
      <c r="D9919" s="2">
        <f>IFERROR(__xludf.DUMMYFUNCTION("""COMPUTED_VALUE"""),133.89)</f>
        <v>133.89</v>
      </c>
      <c r="E9919" s="2">
        <f>IFERROR(__xludf.DUMMYFUNCTION("""COMPUTED_VALUE"""),134.26)</f>
        <v>134.26</v>
      </c>
      <c r="F9919" s="2">
        <f>IFERROR(__xludf.DUMMYFUNCTION("""COMPUTED_VALUE"""),3053683.0)</f>
        <v>3053683</v>
      </c>
    </row>
    <row r="9920">
      <c r="A9920" s="3">
        <f>IFERROR(__xludf.DUMMYFUNCTION("""COMPUTED_VALUE"""),43587.66666666667)</f>
        <v>43587.66667</v>
      </c>
      <c r="B9920" s="2">
        <f>IFERROR(__xludf.DUMMYFUNCTION("""COMPUTED_VALUE"""),134.2)</f>
        <v>134.2</v>
      </c>
      <c r="C9920" s="2">
        <f>IFERROR(__xludf.DUMMYFUNCTION("""COMPUTED_VALUE"""),134.95)</f>
        <v>134.95</v>
      </c>
      <c r="D9920" s="2">
        <f>IFERROR(__xludf.DUMMYFUNCTION("""COMPUTED_VALUE"""),133.16)</f>
        <v>133.16</v>
      </c>
      <c r="E9920" s="2">
        <f>IFERROR(__xludf.DUMMYFUNCTION("""COMPUTED_VALUE"""),133.33)</f>
        <v>133.33</v>
      </c>
      <c r="F9920" s="2">
        <f>IFERROR(__xludf.DUMMYFUNCTION("""COMPUTED_VALUE"""),3541352.0)</f>
        <v>3541352</v>
      </c>
    </row>
    <row r="9921">
      <c r="A9921" s="3">
        <f>IFERROR(__xludf.DUMMYFUNCTION("""COMPUTED_VALUE"""),43588.66666666667)</f>
        <v>43588.66667</v>
      </c>
      <c r="B9921" s="2">
        <f>IFERROR(__xludf.DUMMYFUNCTION("""COMPUTED_VALUE"""),133.44)</f>
        <v>133.44</v>
      </c>
      <c r="C9921" s="2">
        <f>IFERROR(__xludf.DUMMYFUNCTION("""COMPUTED_VALUE"""),134.68)</f>
        <v>134.68</v>
      </c>
      <c r="D9921" s="2">
        <f>IFERROR(__xludf.DUMMYFUNCTION("""COMPUTED_VALUE"""),133.37)</f>
        <v>133.37</v>
      </c>
      <c r="E9921" s="2">
        <f>IFERROR(__xludf.DUMMYFUNCTION("""COMPUTED_VALUE"""),133.96)</f>
        <v>133.96</v>
      </c>
      <c r="F9921" s="2">
        <f>IFERROR(__xludf.DUMMYFUNCTION("""COMPUTED_VALUE"""),2580034.0)</f>
        <v>2580034</v>
      </c>
    </row>
    <row r="9922">
      <c r="A9922" s="3">
        <f>IFERROR(__xludf.DUMMYFUNCTION("""COMPUTED_VALUE"""),43591.66666666667)</f>
        <v>43591.66667</v>
      </c>
      <c r="B9922" s="2">
        <f>IFERROR(__xludf.DUMMYFUNCTION("""COMPUTED_VALUE"""),132.1)</f>
        <v>132.1</v>
      </c>
      <c r="C9922" s="2">
        <f>IFERROR(__xludf.DUMMYFUNCTION("""COMPUTED_VALUE"""),134.38)</f>
        <v>134.38</v>
      </c>
      <c r="D9922" s="2">
        <f>IFERROR(__xludf.DUMMYFUNCTION("""COMPUTED_VALUE"""),131.72)</f>
        <v>131.72</v>
      </c>
      <c r="E9922" s="2">
        <f>IFERROR(__xludf.DUMMYFUNCTION("""COMPUTED_VALUE"""),134.09)</f>
        <v>134.09</v>
      </c>
      <c r="F9922" s="2">
        <f>IFERROR(__xludf.DUMMYFUNCTION("""COMPUTED_VALUE"""),2793655.0)</f>
        <v>2793655</v>
      </c>
    </row>
    <row r="9923">
      <c r="A9923" s="3">
        <f>IFERROR(__xludf.DUMMYFUNCTION("""COMPUTED_VALUE"""),43592.66666666667)</f>
        <v>43592.66667</v>
      </c>
      <c r="B9923" s="2">
        <f>IFERROR(__xludf.DUMMYFUNCTION("""COMPUTED_VALUE"""),132.91)</f>
        <v>132.91</v>
      </c>
      <c r="C9923" s="2">
        <f>IFERROR(__xludf.DUMMYFUNCTION("""COMPUTED_VALUE"""),133.25)</f>
        <v>133.25</v>
      </c>
      <c r="D9923" s="2">
        <f>IFERROR(__xludf.DUMMYFUNCTION("""COMPUTED_VALUE"""),130.08)</f>
        <v>130.08</v>
      </c>
      <c r="E9923" s="2">
        <f>IFERROR(__xludf.DUMMYFUNCTION("""COMPUTED_VALUE"""),131.47)</f>
        <v>131.47</v>
      </c>
      <c r="F9923" s="2">
        <f>IFERROR(__xludf.DUMMYFUNCTION("""COMPUTED_VALUE"""),4726771.0)</f>
        <v>4726771</v>
      </c>
    </row>
    <row r="9924">
      <c r="A9924" s="3">
        <f>IFERROR(__xludf.DUMMYFUNCTION("""COMPUTED_VALUE"""),43593.66666666667)</f>
        <v>43593.66667</v>
      </c>
      <c r="B9924" s="2">
        <f>IFERROR(__xludf.DUMMYFUNCTION("""COMPUTED_VALUE"""),131.59)</f>
        <v>131.59</v>
      </c>
      <c r="C9924" s="2">
        <f>IFERROR(__xludf.DUMMYFUNCTION("""COMPUTED_VALUE"""),132.48)</f>
        <v>132.48</v>
      </c>
      <c r="D9924" s="2">
        <f>IFERROR(__xludf.DUMMYFUNCTION("""COMPUTED_VALUE"""),130.98)</f>
        <v>130.98</v>
      </c>
      <c r="E9924" s="2">
        <f>IFERROR(__xludf.DUMMYFUNCTION("""COMPUTED_VALUE"""),131.81)</f>
        <v>131.81</v>
      </c>
      <c r="F9924" s="2">
        <f>IFERROR(__xludf.DUMMYFUNCTION("""COMPUTED_VALUE"""),3818909.0)</f>
        <v>3818909</v>
      </c>
    </row>
    <row r="9925">
      <c r="A9925" s="3">
        <f>IFERROR(__xludf.DUMMYFUNCTION("""COMPUTED_VALUE"""),43594.66666666667)</f>
        <v>43594.66667</v>
      </c>
      <c r="B9925" s="2">
        <f>IFERROR(__xludf.DUMMYFUNCTION("""COMPUTED_VALUE"""),128.84)</f>
        <v>128.84</v>
      </c>
      <c r="C9925" s="2">
        <f>IFERROR(__xludf.DUMMYFUNCTION("""COMPUTED_VALUE"""),129.51)</f>
        <v>129.51</v>
      </c>
      <c r="D9925" s="2">
        <f>IFERROR(__xludf.DUMMYFUNCTION("""COMPUTED_VALUE"""),127.07)</f>
        <v>127.07</v>
      </c>
      <c r="E9925" s="2">
        <f>IFERROR(__xludf.DUMMYFUNCTION("""COMPUTED_VALUE"""),129.27)</f>
        <v>129.27</v>
      </c>
      <c r="F9925" s="2">
        <f>IFERROR(__xludf.DUMMYFUNCTION("""COMPUTED_VALUE"""),4192942.0)</f>
        <v>4192942</v>
      </c>
    </row>
    <row r="9926">
      <c r="A9926" s="3">
        <f>IFERROR(__xludf.DUMMYFUNCTION("""COMPUTED_VALUE"""),43595.66666666667)</f>
        <v>43595.66667</v>
      </c>
      <c r="B9926" s="2">
        <f>IFERROR(__xludf.DUMMYFUNCTION("""COMPUTED_VALUE"""),128.83)</f>
        <v>128.83</v>
      </c>
      <c r="C9926" s="2">
        <f>IFERROR(__xludf.DUMMYFUNCTION("""COMPUTED_VALUE"""),129.66)</f>
        <v>129.66</v>
      </c>
      <c r="D9926" s="2">
        <f>IFERROR(__xludf.DUMMYFUNCTION("""COMPUTED_VALUE"""),126.48)</f>
        <v>126.48</v>
      </c>
      <c r="E9926" s="2">
        <f>IFERROR(__xludf.DUMMYFUNCTION("""COMPUTED_VALUE"""),129.25)</f>
        <v>129.25</v>
      </c>
      <c r="F9926" s="2">
        <f>IFERROR(__xludf.DUMMYFUNCTION("""COMPUTED_VALUE"""),3977686.0)</f>
        <v>3977686</v>
      </c>
    </row>
    <row r="9927">
      <c r="A9927" s="3">
        <f>IFERROR(__xludf.DUMMYFUNCTION("""COMPUTED_VALUE"""),43598.66666666667)</f>
        <v>43598.66667</v>
      </c>
      <c r="B9927" s="2">
        <f>IFERROR(__xludf.DUMMYFUNCTION("""COMPUTED_VALUE"""),127.3)</f>
        <v>127.3</v>
      </c>
      <c r="C9927" s="2">
        <f>IFERROR(__xludf.DUMMYFUNCTION("""COMPUTED_VALUE"""),127.58)</f>
        <v>127.58</v>
      </c>
      <c r="D9927" s="2">
        <f>IFERROR(__xludf.DUMMYFUNCTION("""COMPUTED_VALUE"""),125.09)</f>
        <v>125.09</v>
      </c>
      <c r="E9927" s="2">
        <f>IFERROR(__xludf.DUMMYFUNCTION("""COMPUTED_VALUE"""),125.53)</f>
        <v>125.53</v>
      </c>
      <c r="F9927" s="2">
        <f>IFERROR(__xludf.DUMMYFUNCTION("""COMPUTED_VALUE"""),4958021.0)</f>
        <v>4958021</v>
      </c>
    </row>
    <row r="9928">
      <c r="A9928" s="3">
        <f>IFERROR(__xludf.DUMMYFUNCTION("""COMPUTED_VALUE"""),43599.66666666667)</f>
        <v>43599.66667</v>
      </c>
      <c r="B9928" s="2">
        <f>IFERROR(__xludf.DUMMYFUNCTION("""COMPUTED_VALUE"""),125.91)</f>
        <v>125.91</v>
      </c>
      <c r="C9928" s="2">
        <f>IFERROR(__xludf.DUMMYFUNCTION("""COMPUTED_VALUE"""),128.3)</f>
        <v>128.3</v>
      </c>
      <c r="D9928" s="2">
        <f>IFERROR(__xludf.DUMMYFUNCTION("""COMPUTED_VALUE"""),125.78)</f>
        <v>125.78</v>
      </c>
      <c r="E9928" s="2">
        <f>IFERROR(__xludf.DUMMYFUNCTION("""COMPUTED_VALUE"""),127.33)</f>
        <v>127.33</v>
      </c>
      <c r="F9928" s="2">
        <f>IFERROR(__xludf.DUMMYFUNCTION("""COMPUTED_VALUE"""),3280374.0)</f>
        <v>3280374</v>
      </c>
    </row>
    <row r="9929">
      <c r="A9929" s="3">
        <f>IFERROR(__xludf.DUMMYFUNCTION("""COMPUTED_VALUE"""),43600.66666666667)</f>
        <v>43600.66667</v>
      </c>
      <c r="B9929" s="2">
        <f>IFERROR(__xludf.DUMMYFUNCTION("""COMPUTED_VALUE"""),126.65)</f>
        <v>126.65</v>
      </c>
      <c r="C9929" s="2">
        <f>IFERROR(__xludf.DUMMYFUNCTION("""COMPUTED_VALUE"""),128.56)</f>
        <v>128.56</v>
      </c>
      <c r="D9929" s="2">
        <f>IFERROR(__xludf.DUMMYFUNCTION("""COMPUTED_VALUE"""),126.44)</f>
        <v>126.44</v>
      </c>
      <c r="E9929" s="2">
        <f>IFERROR(__xludf.DUMMYFUNCTION("""COMPUTED_VALUE"""),128.37)</f>
        <v>128.37</v>
      </c>
      <c r="F9929" s="2">
        <f>IFERROR(__xludf.DUMMYFUNCTION("""COMPUTED_VALUE"""),2551009.0)</f>
        <v>2551009</v>
      </c>
    </row>
    <row r="9930">
      <c r="A9930" s="3">
        <f>IFERROR(__xludf.DUMMYFUNCTION("""COMPUTED_VALUE"""),43601.66666666667)</f>
        <v>43601.66667</v>
      </c>
      <c r="B9930" s="2">
        <f>IFERROR(__xludf.DUMMYFUNCTION("""COMPUTED_VALUE"""),128.7)</f>
        <v>128.7</v>
      </c>
      <c r="C9930" s="2">
        <f>IFERROR(__xludf.DUMMYFUNCTION("""COMPUTED_VALUE"""),130.01)</f>
        <v>130.01</v>
      </c>
      <c r="D9930" s="2">
        <f>IFERROR(__xludf.DUMMYFUNCTION("""COMPUTED_VALUE"""),128.6)</f>
        <v>128.6</v>
      </c>
      <c r="E9930" s="2">
        <f>IFERROR(__xludf.DUMMYFUNCTION("""COMPUTED_VALUE"""),129.79)</f>
        <v>129.79</v>
      </c>
      <c r="F9930" s="2">
        <f>IFERROR(__xludf.DUMMYFUNCTION("""COMPUTED_VALUE"""),3017472.0)</f>
        <v>3017472</v>
      </c>
    </row>
    <row r="9931">
      <c r="A9931" s="3">
        <f>IFERROR(__xludf.DUMMYFUNCTION("""COMPUTED_VALUE"""),43602.66666666667)</f>
        <v>43602.66667</v>
      </c>
      <c r="B9931" s="2">
        <f>IFERROR(__xludf.DUMMYFUNCTION("""COMPUTED_VALUE"""),128.64)</f>
        <v>128.64</v>
      </c>
      <c r="C9931" s="2">
        <f>IFERROR(__xludf.DUMMYFUNCTION("""COMPUTED_VALUE"""),129.34)</f>
        <v>129.34</v>
      </c>
      <c r="D9931" s="2">
        <f>IFERROR(__xludf.DUMMYFUNCTION("""COMPUTED_VALUE"""),127.93)</f>
        <v>127.93</v>
      </c>
      <c r="E9931" s="2">
        <f>IFERROR(__xludf.DUMMYFUNCTION("""COMPUTED_VALUE"""),128.3)</f>
        <v>128.3</v>
      </c>
      <c r="F9931" s="2">
        <f>IFERROR(__xludf.DUMMYFUNCTION("""COMPUTED_VALUE"""),2619135.0)</f>
        <v>2619135</v>
      </c>
    </row>
    <row r="9932">
      <c r="A9932" s="3">
        <f>IFERROR(__xludf.DUMMYFUNCTION("""COMPUTED_VALUE"""),43605.66666666667)</f>
        <v>43605.66667</v>
      </c>
      <c r="B9932" s="2">
        <f>IFERROR(__xludf.DUMMYFUNCTION("""COMPUTED_VALUE"""),127.54)</f>
        <v>127.54</v>
      </c>
      <c r="C9932" s="2">
        <f>IFERROR(__xludf.DUMMYFUNCTION("""COMPUTED_VALUE"""),129.36)</f>
        <v>129.36</v>
      </c>
      <c r="D9932" s="2">
        <f>IFERROR(__xludf.DUMMYFUNCTION("""COMPUTED_VALUE"""),126.97)</f>
        <v>126.97</v>
      </c>
      <c r="E9932" s="2">
        <f>IFERROR(__xludf.DUMMYFUNCTION("""COMPUTED_VALUE"""),129.06)</f>
        <v>129.06</v>
      </c>
      <c r="F9932" s="2">
        <f>IFERROR(__xludf.DUMMYFUNCTION("""COMPUTED_VALUE"""),3264649.0)</f>
        <v>3264649</v>
      </c>
    </row>
    <row r="9933">
      <c r="A9933" s="3">
        <f>IFERROR(__xludf.DUMMYFUNCTION("""COMPUTED_VALUE"""),43606.66666666667)</f>
        <v>43606.66667</v>
      </c>
      <c r="B9933" s="2">
        <f>IFERROR(__xludf.DUMMYFUNCTION("""COMPUTED_VALUE"""),130.02)</f>
        <v>130.02</v>
      </c>
      <c r="C9933" s="2">
        <f>IFERROR(__xludf.DUMMYFUNCTION("""COMPUTED_VALUE"""),130.91)</f>
        <v>130.91</v>
      </c>
      <c r="D9933" s="2">
        <f>IFERROR(__xludf.DUMMYFUNCTION("""COMPUTED_VALUE"""),129.7)</f>
        <v>129.7</v>
      </c>
      <c r="E9933" s="2">
        <f>IFERROR(__xludf.DUMMYFUNCTION("""COMPUTED_VALUE"""),130.33)</f>
        <v>130.33</v>
      </c>
      <c r="F9933" s="2">
        <f>IFERROR(__xludf.DUMMYFUNCTION("""COMPUTED_VALUE"""),2503504.0)</f>
        <v>2503504</v>
      </c>
    </row>
    <row r="9934">
      <c r="A9934" s="3">
        <f>IFERROR(__xludf.DUMMYFUNCTION("""COMPUTED_VALUE"""),43607.66666666667)</f>
        <v>43607.66667</v>
      </c>
      <c r="B9934" s="2">
        <f>IFERROR(__xludf.DUMMYFUNCTION("""COMPUTED_VALUE"""),129.9)</f>
        <v>129.9</v>
      </c>
      <c r="C9934" s="2">
        <f>IFERROR(__xludf.DUMMYFUNCTION("""COMPUTED_VALUE"""),130.62)</f>
        <v>130.62</v>
      </c>
      <c r="D9934" s="2">
        <f>IFERROR(__xludf.DUMMYFUNCTION("""COMPUTED_VALUE"""),129.63)</f>
        <v>129.63</v>
      </c>
      <c r="E9934" s="2">
        <f>IFERROR(__xludf.DUMMYFUNCTION("""COMPUTED_VALUE"""),130.24)</f>
        <v>130.24</v>
      </c>
      <c r="F9934" s="2">
        <f>IFERROR(__xludf.DUMMYFUNCTION("""COMPUTED_VALUE"""),1849821.0)</f>
        <v>1849821</v>
      </c>
    </row>
    <row r="9935">
      <c r="A9935" s="3">
        <f>IFERROR(__xludf.DUMMYFUNCTION("""COMPUTED_VALUE"""),43608.66666666667)</f>
        <v>43608.66667</v>
      </c>
      <c r="B9935" s="2">
        <f>IFERROR(__xludf.DUMMYFUNCTION("""COMPUTED_VALUE"""),129.07)</f>
        <v>129.07</v>
      </c>
      <c r="C9935" s="2">
        <f>IFERROR(__xludf.DUMMYFUNCTION("""COMPUTED_VALUE"""),129.07)</f>
        <v>129.07</v>
      </c>
      <c r="D9935" s="2">
        <f>IFERROR(__xludf.DUMMYFUNCTION("""COMPUTED_VALUE"""),124.59)</f>
        <v>124.59</v>
      </c>
      <c r="E9935" s="2">
        <f>IFERROR(__xludf.DUMMYFUNCTION("""COMPUTED_VALUE"""),126.45)</f>
        <v>126.45</v>
      </c>
      <c r="F9935" s="2">
        <f>IFERROR(__xludf.DUMMYFUNCTION("""COMPUTED_VALUE"""),5343437.0)</f>
        <v>5343437</v>
      </c>
    </row>
    <row r="9936">
      <c r="A9936" s="3">
        <f>IFERROR(__xludf.DUMMYFUNCTION("""COMPUTED_VALUE"""),43609.66666666667)</f>
        <v>43609.66667</v>
      </c>
      <c r="B9936" s="2">
        <f>IFERROR(__xludf.DUMMYFUNCTION("""COMPUTED_VALUE"""),127.54)</f>
        <v>127.54</v>
      </c>
      <c r="C9936" s="2">
        <f>IFERROR(__xludf.DUMMYFUNCTION("""COMPUTED_VALUE"""),128.23)</f>
        <v>128.23</v>
      </c>
      <c r="D9936" s="2">
        <f>IFERROR(__xludf.DUMMYFUNCTION("""COMPUTED_VALUE"""),125.69)</f>
        <v>125.69</v>
      </c>
      <c r="E9936" s="2">
        <f>IFERROR(__xludf.DUMMYFUNCTION("""COMPUTED_VALUE"""),126.35)</f>
        <v>126.35</v>
      </c>
      <c r="F9936" s="2">
        <f>IFERROR(__xludf.DUMMYFUNCTION("""COMPUTED_VALUE"""),2596121.0)</f>
        <v>2596121</v>
      </c>
    </row>
    <row r="9937">
      <c r="A9937" s="3">
        <f>IFERROR(__xludf.DUMMYFUNCTION("""COMPUTED_VALUE"""),43613.66666666667)</f>
        <v>43613.66667</v>
      </c>
      <c r="B9937" s="2">
        <f>IFERROR(__xludf.DUMMYFUNCTION("""COMPUTED_VALUE"""),126.21)</f>
        <v>126.21</v>
      </c>
      <c r="C9937" s="2">
        <f>IFERROR(__xludf.DUMMYFUNCTION("""COMPUTED_VALUE"""),126.69)</f>
        <v>126.69</v>
      </c>
      <c r="D9937" s="2">
        <f>IFERROR(__xludf.DUMMYFUNCTION("""COMPUTED_VALUE"""),124.43)</f>
        <v>124.43</v>
      </c>
      <c r="E9937" s="2">
        <f>IFERROR(__xludf.DUMMYFUNCTION("""COMPUTED_VALUE"""),124.61)</f>
        <v>124.61</v>
      </c>
      <c r="F9937" s="2">
        <f>IFERROR(__xludf.DUMMYFUNCTION("""COMPUTED_VALUE"""),4909121.0)</f>
        <v>4909121</v>
      </c>
    </row>
    <row r="9938">
      <c r="A9938" s="3">
        <f>IFERROR(__xludf.DUMMYFUNCTION("""COMPUTED_VALUE"""),43614.66666666667)</f>
        <v>43614.66667</v>
      </c>
      <c r="B9938" s="2">
        <f>IFERROR(__xludf.DUMMYFUNCTION("""COMPUTED_VALUE"""),124.17)</f>
        <v>124.17</v>
      </c>
      <c r="C9938" s="2">
        <f>IFERROR(__xludf.DUMMYFUNCTION("""COMPUTED_VALUE"""),124.44)</f>
        <v>124.44</v>
      </c>
      <c r="D9938" s="2">
        <f>IFERROR(__xludf.DUMMYFUNCTION("""COMPUTED_VALUE"""),122.57)</f>
        <v>122.57</v>
      </c>
      <c r="E9938" s="2">
        <f>IFERROR(__xludf.DUMMYFUNCTION("""COMPUTED_VALUE"""),123.88)</f>
        <v>123.88</v>
      </c>
      <c r="F9938" s="2">
        <f>IFERROR(__xludf.DUMMYFUNCTION("""COMPUTED_VALUE"""),3678978.0)</f>
        <v>3678978</v>
      </c>
    </row>
    <row r="9939">
      <c r="A9939" s="3">
        <f>IFERROR(__xludf.DUMMYFUNCTION("""COMPUTED_VALUE"""),43615.66666666667)</f>
        <v>43615.66667</v>
      </c>
      <c r="B9939" s="2">
        <f>IFERROR(__xludf.DUMMYFUNCTION("""COMPUTED_VALUE"""),123.92)</f>
        <v>123.92</v>
      </c>
      <c r="C9939" s="2">
        <f>IFERROR(__xludf.DUMMYFUNCTION("""COMPUTED_VALUE"""),124.14)</f>
        <v>124.14</v>
      </c>
      <c r="D9939" s="2">
        <f>IFERROR(__xludf.DUMMYFUNCTION("""COMPUTED_VALUE"""),123.15)</f>
        <v>123.15</v>
      </c>
      <c r="E9939" s="2">
        <f>IFERROR(__xludf.DUMMYFUNCTION("""COMPUTED_VALUE"""),123.76)</f>
        <v>123.76</v>
      </c>
      <c r="F9939" s="2">
        <f>IFERROR(__xludf.DUMMYFUNCTION("""COMPUTED_VALUE"""),2741880.0)</f>
        <v>2741880</v>
      </c>
    </row>
    <row r="9940">
      <c r="A9940" s="3">
        <f>IFERROR(__xludf.DUMMYFUNCTION("""COMPUTED_VALUE"""),43616.66666666667)</f>
        <v>43616.66667</v>
      </c>
      <c r="B9940" s="2">
        <f>IFERROR(__xludf.DUMMYFUNCTION("""COMPUTED_VALUE"""),122.68)</f>
        <v>122.68</v>
      </c>
      <c r="C9940" s="2">
        <f>IFERROR(__xludf.DUMMYFUNCTION("""COMPUTED_VALUE"""),122.68)</f>
        <v>122.68</v>
      </c>
      <c r="D9940" s="2">
        <f>IFERROR(__xludf.DUMMYFUNCTION("""COMPUTED_VALUE"""),121.16)</f>
        <v>121.16</v>
      </c>
      <c r="E9940" s="2">
        <f>IFERROR(__xludf.DUMMYFUNCTION("""COMPUTED_VALUE"""),121.3)</f>
        <v>121.3</v>
      </c>
      <c r="F9940" s="2">
        <f>IFERROR(__xludf.DUMMYFUNCTION("""COMPUTED_VALUE"""),3539343.0)</f>
        <v>3539343</v>
      </c>
    </row>
    <row r="9941">
      <c r="A9941" s="3">
        <f>IFERROR(__xludf.DUMMYFUNCTION("""COMPUTED_VALUE"""),43619.66666666667)</f>
        <v>43619.66667</v>
      </c>
      <c r="B9941" s="2">
        <f>IFERROR(__xludf.DUMMYFUNCTION("""COMPUTED_VALUE"""),121.4)</f>
        <v>121.4</v>
      </c>
      <c r="C9941" s="2">
        <f>IFERROR(__xludf.DUMMYFUNCTION("""COMPUTED_VALUE"""),122.8)</f>
        <v>122.8</v>
      </c>
      <c r="D9941" s="2">
        <f>IFERROR(__xludf.DUMMYFUNCTION("""COMPUTED_VALUE"""),121.36)</f>
        <v>121.36</v>
      </c>
      <c r="E9941" s="2">
        <f>IFERROR(__xludf.DUMMYFUNCTION("""COMPUTED_VALUE"""),122.52)</f>
        <v>122.52</v>
      </c>
      <c r="F9941" s="2">
        <f>IFERROR(__xludf.DUMMYFUNCTION("""COMPUTED_VALUE"""),4267080.0)</f>
        <v>4267080</v>
      </c>
    </row>
    <row r="9942">
      <c r="A9942" s="3">
        <f>IFERROR(__xludf.DUMMYFUNCTION("""COMPUTED_VALUE"""),43620.66666666667)</f>
        <v>43620.66667</v>
      </c>
      <c r="B9942" s="2">
        <f>IFERROR(__xludf.DUMMYFUNCTION("""COMPUTED_VALUE"""),123.75)</f>
        <v>123.75</v>
      </c>
      <c r="C9942" s="2">
        <f>IFERROR(__xludf.DUMMYFUNCTION("""COMPUTED_VALUE"""),126.79)</f>
        <v>126.79</v>
      </c>
      <c r="D9942" s="2">
        <f>IFERROR(__xludf.DUMMYFUNCTION("""COMPUTED_VALUE"""),123.3)</f>
        <v>123.3</v>
      </c>
      <c r="E9942" s="2">
        <f>IFERROR(__xludf.DUMMYFUNCTION("""COMPUTED_VALUE"""),126.74)</f>
        <v>126.74</v>
      </c>
      <c r="F9942" s="2">
        <f>IFERROR(__xludf.DUMMYFUNCTION("""COMPUTED_VALUE"""),3913535.0)</f>
        <v>3913535</v>
      </c>
    </row>
    <row r="9943">
      <c r="A9943" s="3">
        <f>IFERROR(__xludf.DUMMYFUNCTION("""COMPUTED_VALUE"""),43621.66666666667)</f>
        <v>43621.66667</v>
      </c>
      <c r="B9943" s="2">
        <f>IFERROR(__xludf.DUMMYFUNCTION("""COMPUTED_VALUE"""),127.4)</f>
        <v>127.4</v>
      </c>
      <c r="C9943" s="2">
        <f>IFERROR(__xludf.DUMMYFUNCTION("""COMPUTED_VALUE"""),127.62)</f>
        <v>127.62</v>
      </c>
      <c r="D9943" s="2">
        <f>IFERROR(__xludf.DUMMYFUNCTION("""COMPUTED_VALUE"""),124.62)</f>
        <v>124.62</v>
      </c>
      <c r="E9943" s="2">
        <f>IFERROR(__xludf.DUMMYFUNCTION("""COMPUTED_VALUE"""),125.59)</f>
        <v>125.59</v>
      </c>
      <c r="F9943" s="2">
        <f>IFERROR(__xludf.DUMMYFUNCTION("""COMPUTED_VALUE"""),3161584.0)</f>
        <v>3161584</v>
      </c>
    </row>
    <row r="9944">
      <c r="A9944" s="3">
        <f>IFERROR(__xludf.DUMMYFUNCTION("""COMPUTED_VALUE"""),43622.66666666667)</f>
        <v>43622.66667</v>
      </c>
      <c r="B9944" s="2">
        <f>IFERROR(__xludf.DUMMYFUNCTION("""COMPUTED_VALUE"""),126.26)</f>
        <v>126.26</v>
      </c>
      <c r="C9944" s="2">
        <f>IFERROR(__xludf.DUMMYFUNCTION("""COMPUTED_VALUE"""),126.7)</f>
        <v>126.7</v>
      </c>
      <c r="D9944" s="2">
        <f>IFERROR(__xludf.DUMMYFUNCTION("""COMPUTED_VALUE"""),125.03)</f>
        <v>125.03</v>
      </c>
      <c r="E9944" s="2">
        <f>IFERROR(__xludf.DUMMYFUNCTION("""COMPUTED_VALUE"""),126.29)</f>
        <v>126.29</v>
      </c>
      <c r="F9944" s="2">
        <f>IFERROR(__xludf.DUMMYFUNCTION("""COMPUTED_VALUE"""),2298248.0)</f>
        <v>2298248</v>
      </c>
    </row>
    <row r="9945">
      <c r="A9945" s="3">
        <f>IFERROR(__xludf.DUMMYFUNCTION("""COMPUTED_VALUE"""),43623.66666666667)</f>
        <v>43623.66667</v>
      </c>
      <c r="B9945" s="2">
        <f>IFERROR(__xludf.DUMMYFUNCTION("""COMPUTED_VALUE"""),126.53)</f>
        <v>126.53</v>
      </c>
      <c r="C9945" s="2">
        <f>IFERROR(__xludf.DUMMYFUNCTION("""COMPUTED_VALUE"""),128.68)</f>
        <v>128.68</v>
      </c>
      <c r="D9945" s="2">
        <f>IFERROR(__xludf.DUMMYFUNCTION("""COMPUTED_VALUE"""),126.28)</f>
        <v>126.28</v>
      </c>
      <c r="E9945" s="2">
        <f>IFERROR(__xludf.DUMMYFUNCTION("""COMPUTED_VALUE"""),127.33)</f>
        <v>127.33</v>
      </c>
      <c r="F9945" s="2">
        <f>IFERROR(__xludf.DUMMYFUNCTION("""COMPUTED_VALUE"""),2553398.0)</f>
        <v>2553398</v>
      </c>
    </row>
    <row r="9946">
      <c r="A9946" s="3">
        <f>IFERROR(__xludf.DUMMYFUNCTION("""COMPUTED_VALUE"""),43626.66666666667)</f>
        <v>43626.66667</v>
      </c>
      <c r="B9946" s="2">
        <f>IFERROR(__xludf.DUMMYFUNCTION("""COMPUTED_VALUE"""),128.35)</f>
        <v>128.35</v>
      </c>
      <c r="C9946" s="2">
        <f>IFERROR(__xludf.DUMMYFUNCTION("""COMPUTED_VALUE"""),129.28)</f>
        <v>129.28</v>
      </c>
      <c r="D9946" s="2">
        <f>IFERROR(__xludf.DUMMYFUNCTION("""COMPUTED_VALUE"""),127.91)</f>
        <v>127.91</v>
      </c>
      <c r="E9946" s="2">
        <f>IFERROR(__xludf.DUMMYFUNCTION("""COMPUTED_VALUE"""),128.7)</f>
        <v>128.7</v>
      </c>
      <c r="F9946" s="2">
        <f>IFERROR(__xludf.DUMMYFUNCTION("""COMPUTED_VALUE"""),2911327.0)</f>
        <v>2911327</v>
      </c>
    </row>
    <row r="9947">
      <c r="A9947" s="3">
        <f>IFERROR(__xludf.DUMMYFUNCTION("""COMPUTED_VALUE"""),43627.66666666667)</f>
        <v>43627.66667</v>
      </c>
      <c r="B9947" s="2">
        <f>IFERROR(__xludf.DUMMYFUNCTION("""COMPUTED_VALUE"""),129.25)</f>
        <v>129.25</v>
      </c>
      <c r="C9947" s="2">
        <f>IFERROR(__xludf.DUMMYFUNCTION("""COMPUTED_VALUE"""),130.34)</f>
        <v>130.34</v>
      </c>
      <c r="D9947" s="2">
        <f>IFERROR(__xludf.DUMMYFUNCTION("""COMPUTED_VALUE"""),128.99)</f>
        <v>128.99</v>
      </c>
      <c r="E9947" s="2">
        <f>IFERROR(__xludf.DUMMYFUNCTION("""COMPUTED_VALUE"""),129.85)</f>
        <v>129.85</v>
      </c>
      <c r="F9947" s="2">
        <f>IFERROR(__xludf.DUMMYFUNCTION("""COMPUTED_VALUE"""),3407345.0)</f>
        <v>3407345</v>
      </c>
    </row>
    <row r="9948">
      <c r="A9948" s="3">
        <f>IFERROR(__xludf.DUMMYFUNCTION("""COMPUTED_VALUE"""),43628.66666666667)</f>
        <v>43628.66667</v>
      </c>
      <c r="B9948" s="2">
        <f>IFERROR(__xludf.DUMMYFUNCTION("""COMPUTED_VALUE"""),129.48)</f>
        <v>129.48</v>
      </c>
      <c r="C9948" s="2">
        <f>IFERROR(__xludf.DUMMYFUNCTION("""COMPUTED_VALUE"""),129.84)</f>
        <v>129.84</v>
      </c>
      <c r="D9948" s="2">
        <f>IFERROR(__xludf.DUMMYFUNCTION("""COMPUTED_VALUE"""),128.38)</f>
        <v>128.38</v>
      </c>
      <c r="E9948" s="2">
        <f>IFERROR(__xludf.DUMMYFUNCTION("""COMPUTED_VALUE"""),128.82)</f>
        <v>128.82</v>
      </c>
      <c r="F9948" s="2">
        <f>IFERROR(__xludf.DUMMYFUNCTION("""COMPUTED_VALUE"""),2254741.0)</f>
        <v>2254741</v>
      </c>
    </row>
    <row r="9949">
      <c r="A9949" s="3">
        <f>IFERROR(__xludf.DUMMYFUNCTION("""COMPUTED_VALUE"""),43629.66666666667)</f>
        <v>43629.66667</v>
      </c>
      <c r="B9949" s="2">
        <f>IFERROR(__xludf.DUMMYFUNCTION("""COMPUTED_VALUE"""),129.07)</f>
        <v>129.07</v>
      </c>
      <c r="C9949" s="2">
        <f>IFERROR(__xludf.DUMMYFUNCTION("""COMPUTED_VALUE"""),130.16)</f>
        <v>130.16</v>
      </c>
      <c r="D9949" s="2">
        <f>IFERROR(__xludf.DUMMYFUNCTION("""COMPUTED_VALUE"""),129.03)</f>
        <v>129.03</v>
      </c>
      <c r="E9949" s="2">
        <f>IFERROR(__xludf.DUMMYFUNCTION("""COMPUTED_VALUE"""),129.67)</f>
        <v>129.67</v>
      </c>
      <c r="F9949" s="2">
        <f>IFERROR(__xludf.DUMMYFUNCTION("""COMPUTED_VALUE"""),2955419.0)</f>
        <v>2955419</v>
      </c>
    </row>
    <row r="9950">
      <c r="A9950" s="3">
        <f>IFERROR(__xludf.DUMMYFUNCTION("""COMPUTED_VALUE"""),43630.66666666667)</f>
        <v>43630.66667</v>
      </c>
      <c r="B9950" s="2">
        <f>IFERROR(__xludf.DUMMYFUNCTION("""COMPUTED_VALUE"""),129.37)</f>
        <v>129.37</v>
      </c>
      <c r="C9950" s="2">
        <f>IFERROR(__xludf.DUMMYFUNCTION("""COMPUTED_VALUE"""),129.79)</f>
        <v>129.79</v>
      </c>
      <c r="D9950" s="2">
        <f>IFERROR(__xludf.DUMMYFUNCTION("""COMPUTED_VALUE"""),128.4)</f>
        <v>128.4</v>
      </c>
      <c r="E9950" s="2">
        <f>IFERROR(__xludf.DUMMYFUNCTION("""COMPUTED_VALUE"""),129.09)</f>
        <v>129.09</v>
      </c>
      <c r="F9950" s="2">
        <f>IFERROR(__xludf.DUMMYFUNCTION("""COMPUTED_VALUE"""),2193367.0)</f>
        <v>2193367</v>
      </c>
    </row>
    <row r="9951">
      <c r="A9951" s="3">
        <f>IFERROR(__xludf.DUMMYFUNCTION("""COMPUTED_VALUE"""),43633.66666666667)</f>
        <v>43633.66667</v>
      </c>
      <c r="B9951" s="2">
        <f>IFERROR(__xludf.DUMMYFUNCTION("""COMPUTED_VALUE"""),129.32)</f>
        <v>129.32</v>
      </c>
      <c r="C9951" s="2">
        <f>IFERROR(__xludf.DUMMYFUNCTION("""COMPUTED_VALUE"""),129.93)</f>
        <v>129.93</v>
      </c>
      <c r="D9951" s="2">
        <f>IFERROR(__xludf.DUMMYFUNCTION("""COMPUTED_VALUE"""),128.66)</f>
        <v>128.66</v>
      </c>
      <c r="E9951" s="2">
        <f>IFERROR(__xludf.DUMMYFUNCTION("""COMPUTED_VALUE"""),128.9)</f>
        <v>128.9</v>
      </c>
      <c r="F9951" s="2">
        <f>IFERROR(__xludf.DUMMYFUNCTION("""COMPUTED_VALUE"""),2194129.0)</f>
        <v>2194129</v>
      </c>
    </row>
    <row r="9952">
      <c r="A9952" s="3">
        <f>IFERROR(__xludf.DUMMYFUNCTION("""COMPUTED_VALUE"""),43634.66666666667)</f>
        <v>43634.66667</v>
      </c>
      <c r="B9952" s="2">
        <f>IFERROR(__xludf.DUMMYFUNCTION("""COMPUTED_VALUE"""),129.14)</f>
        <v>129.14</v>
      </c>
      <c r="C9952" s="2">
        <f>IFERROR(__xludf.DUMMYFUNCTION("""COMPUTED_VALUE"""),131.04)</f>
        <v>131.04</v>
      </c>
      <c r="D9952" s="2">
        <f>IFERROR(__xludf.DUMMYFUNCTION("""COMPUTED_VALUE"""),129.14)</f>
        <v>129.14</v>
      </c>
      <c r="E9952" s="2">
        <f>IFERROR(__xludf.DUMMYFUNCTION("""COMPUTED_VALUE"""),130.27)</f>
        <v>130.27</v>
      </c>
      <c r="F9952" s="2">
        <f>IFERROR(__xludf.DUMMYFUNCTION("""COMPUTED_VALUE"""),2914698.0)</f>
        <v>2914698</v>
      </c>
    </row>
    <row r="9953">
      <c r="A9953" s="3">
        <f>IFERROR(__xludf.DUMMYFUNCTION("""COMPUTED_VALUE"""),43635.66666666667)</f>
        <v>43635.66667</v>
      </c>
      <c r="B9953" s="2">
        <f>IFERROR(__xludf.DUMMYFUNCTION("""COMPUTED_VALUE"""),130.31)</f>
        <v>130.31</v>
      </c>
      <c r="C9953" s="2">
        <f>IFERROR(__xludf.DUMMYFUNCTION("""COMPUTED_VALUE"""),132.16)</f>
        <v>132.16</v>
      </c>
      <c r="D9953" s="2">
        <f>IFERROR(__xludf.DUMMYFUNCTION("""COMPUTED_VALUE"""),130.13)</f>
        <v>130.13</v>
      </c>
      <c r="E9953" s="2">
        <f>IFERROR(__xludf.DUMMYFUNCTION("""COMPUTED_VALUE"""),130.93)</f>
        <v>130.93</v>
      </c>
      <c r="F9953" s="2">
        <f>IFERROR(__xludf.DUMMYFUNCTION("""COMPUTED_VALUE"""),2382520.0)</f>
        <v>2382520</v>
      </c>
    </row>
    <row r="9954">
      <c r="A9954" s="3">
        <f>IFERROR(__xludf.DUMMYFUNCTION("""COMPUTED_VALUE"""),43636.66666666667)</f>
        <v>43636.66667</v>
      </c>
      <c r="B9954" s="2">
        <f>IFERROR(__xludf.DUMMYFUNCTION("""COMPUTED_VALUE"""),132.7)</f>
        <v>132.7</v>
      </c>
      <c r="C9954" s="2">
        <f>IFERROR(__xludf.DUMMYFUNCTION("""COMPUTED_VALUE"""),133.28)</f>
        <v>133.28</v>
      </c>
      <c r="D9954" s="2">
        <f>IFERROR(__xludf.DUMMYFUNCTION("""COMPUTED_VALUE"""),132.0)</f>
        <v>132</v>
      </c>
      <c r="E9954" s="2">
        <f>IFERROR(__xludf.DUMMYFUNCTION("""COMPUTED_VALUE"""),132.62)</f>
        <v>132.62</v>
      </c>
      <c r="F9954" s="2">
        <f>IFERROR(__xludf.DUMMYFUNCTION("""COMPUTED_VALUE"""),3071017.0)</f>
        <v>3071017</v>
      </c>
    </row>
    <row r="9955">
      <c r="A9955" s="3">
        <f>IFERROR(__xludf.DUMMYFUNCTION("""COMPUTED_VALUE"""),43637.66666666667)</f>
        <v>43637.66667</v>
      </c>
      <c r="B9955" s="2">
        <f>IFERROR(__xludf.DUMMYFUNCTION("""COMPUTED_VALUE"""),132.23)</f>
        <v>132.23</v>
      </c>
      <c r="C9955" s="2">
        <f>IFERROR(__xludf.DUMMYFUNCTION("""COMPUTED_VALUE"""),133.28)</f>
        <v>133.28</v>
      </c>
      <c r="D9955" s="2">
        <f>IFERROR(__xludf.DUMMYFUNCTION("""COMPUTED_VALUE"""),132.19)</f>
        <v>132.19</v>
      </c>
      <c r="E9955" s="2">
        <f>IFERROR(__xludf.DUMMYFUNCTION("""COMPUTED_VALUE"""),132.96)</f>
        <v>132.96</v>
      </c>
      <c r="F9955" s="2">
        <f>IFERROR(__xludf.DUMMYFUNCTION("""COMPUTED_VALUE"""),5288759.0)</f>
        <v>5288759</v>
      </c>
    </row>
    <row r="9956">
      <c r="A9956" s="3">
        <f>IFERROR(__xludf.DUMMYFUNCTION("""COMPUTED_VALUE"""),43640.66666666667)</f>
        <v>43640.66667</v>
      </c>
      <c r="B9956" s="2">
        <f>IFERROR(__xludf.DUMMYFUNCTION("""COMPUTED_VALUE"""),132.96)</f>
        <v>132.96</v>
      </c>
      <c r="C9956" s="2">
        <f>IFERROR(__xludf.DUMMYFUNCTION("""COMPUTED_VALUE"""),133.87)</f>
        <v>133.87</v>
      </c>
      <c r="D9956" s="2">
        <f>IFERROR(__xludf.DUMMYFUNCTION("""COMPUTED_VALUE"""),132.82)</f>
        <v>132.82</v>
      </c>
      <c r="E9956" s="2">
        <f>IFERROR(__xludf.DUMMYFUNCTION("""COMPUTED_VALUE"""),133.1)</f>
        <v>133.1</v>
      </c>
      <c r="F9956" s="2">
        <f>IFERROR(__xludf.DUMMYFUNCTION("""COMPUTED_VALUE"""),2186137.0)</f>
        <v>2186137</v>
      </c>
    </row>
    <row r="9957">
      <c r="A9957" s="3">
        <f>IFERROR(__xludf.DUMMYFUNCTION("""COMPUTED_VALUE"""),43641.66666666667)</f>
        <v>43641.66667</v>
      </c>
      <c r="B9957" s="2">
        <f>IFERROR(__xludf.DUMMYFUNCTION("""COMPUTED_VALUE"""),133.21)</f>
        <v>133.21</v>
      </c>
      <c r="C9957" s="2">
        <f>IFERROR(__xludf.DUMMYFUNCTION("""COMPUTED_VALUE"""),133.29)</f>
        <v>133.29</v>
      </c>
      <c r="D9957" s="2">
        <f>IFERROR(__xludf.DUMMYFUNCTION("""COMPUTED_VALUE"""),131.94)</f>
        <v>131.94</v>
      </c>
      <c r="E9957" s="2">
        <f>IFERROR(__xludf.DUMMYFUNCTION("""COMPUTED_VALUE"""),132.16)</f>
        <v>132.16</v>
      </c>
      <c r="F9957" s="2">
        <f>IFERROR(__xludf.DUMMYFUNCTION("""COMPUTED_VALUE"""),2801251.0)</f>
        <v>2801251</v>
      </c>
    </row>
    <row r="9958">
      <c r="A9958" s="3">
        <f>IFERROR(__xludf.DUMMYFUNCTION("""COMPUTED_VALUE"""),43642.66666666667)</f>
        <v>43642.66667</v>
      </c>
      <c r="B9958" s="2">
        <f>IFERROR(__xludf.DUMMYFUNCTION("""COMPUTED_VALUE"""),132.64)</f>
        <v>132.64</v>
      </c>
      <c r="C9958" s="2">
        <f>IFERROR(__xludf.DUMMYFUNCTION("""COMPUTED_VALUE"""),133.42)</f>
        <v>133.42</v>
      </c>
      <c r="D9958" s="2">
        <f>IFERROR(__xludf.DUMMYFUNCTION("""COMPUTED_VALUE"""),132.2)</f>
        <v>132.2</v>
      </c>
      <c r="E9958" s="2">
        <f>IFERROR(__xludf.DUMMYFUNCTION("""COMPUTED_VALUE"""),132.31)</f>
        <v>132.31</v>
      </c>
      <c r="F9958" s="2">
        <f>IFERROR(__xludf.DUMMYFUNCTION("""COMPUTED_VALUE"""),2284567.0)</f>
        <v>2284567</v>
      </c>
    </row>
    <row r="9959">
      <c r="A9959" s="3">
        <f>IFERROR(__xludf.DUMMYFUNCTION("""COMPUTED_VALUE"""),43643.66666666667)</f>
        <v>43643.66667</v>
      </c>
      <c r="B9959" s="2">
        <f>IFERROR(__xludf.DUMMYFUNCTION("""COMPUTED_VALUE"""),132.5)</f>
        <v>132.5</v>
      </c>
      <c r="C9959" s="2">
        <f>IFERROR(__xludf.DUMMYFUNCTION("""COMPUTED_VALUE"""),133.05)</f>
        <v>133.05</v>
      </c>
      <c r="D9959" s="2">
        <f>IFERROR(__xludf.DUMMYFUNCTION("""COMPUTED_VALUE"""),131.76)</f>
        <v>131.76</v>
      </c>
      <c r="E9959" s="2">
        <f>IFERROR(__xludf.DUMMYFUNCTION("""COMPUTED_VALUE"""),132.31)</f>
        <v>132.31</v>
      </c>
      <c r="F9959" s="2">
        <f>IFERROR(__xludf.DUMMYFUNCTION("""COMPUTED_VALUE"""),2149824.0)</f>
        <v>2149824</v>
      </c>
    </row>
    <row r="9960">
      <c r="A9960" s="3">
        <f>IFERROR(__xludf.DUMMYFUNCTION("""COMPUTED_VALUE"""),43644.66666666667)</f>
        <v>43644.66667</v>
      </c>
      <c r="B9960" s="2">
        <f>IFERROR(__xludf.DUMMYFUNCTION("""COMPUTED_VALUE"""),132.36)</f>
        <v>132.36</v>
      </c>
      <c r="C9960" s="2">
        <f>IFERROR(__xludf.DUMMYFUNCTION("""COMPUTED_VALUE"""),132.9)</f>
        <v>132.9</v>
      </c>
      <c r="D9960" s="2">
        <f>IFERROR(__xludf.DUMMYFUNCTION("""COMPUTED_VALUE"""),131.66)</f>
        <v>131.66</v>
      </c>
      <c r="E9960" s="2">
        <f>IFERROR(__xludf.DUMMYFUNCTION("""COMPUTED_VALUE"""),131.72)</f>
        <v>131.72</v>
      </c>
      <c r="F9960" s="2">
        <f>IFERROR(__xludf.DUMMYFUNCTION("""COMPUTED_VALUE"""),6154039.0)</f>
        <v>6154039</v>
      </c>
    </row>
    <row r="9961">
      <c r="A9961" s="3">
        <f>IFERROR(__xludf.DUMMYFUNCTION("""COMPUTED_VALUE"""),43647.66666666667)</f>
        <v>43647.66667</v>
      </c>
      <c r="B9961" s="2">
        <f>IFERROR(__xludf.DUMMYFUNCTION("""COMPUTED_VALUE"""),133.34)</f>
        <v>133.34</v>
      </c>
      <c r="C9961" s="2">
        <f>IFERROR(__xludf.DUMMYFUNCTION("""COMPUTED_VALUE"""),135.15)</f>
        <v>135.15</v>
      </c>
      <c r="D9961" s="2">
        <f>IFERROR(__xludf.DUMMYFUNCTION("""COMPUTED_VALUE"""),133.04)</f>
        <v>133.04</v>
      </c>
      <c r="E9961" s="2">
        <f>IFERROR(__xludf.DUMMYFUNCTION("""COMPUTED_VALUE"""),133.61)</f>
        <v>133.61</v>
      </c>
      <c r="F9961" s="2">
        <f>IFERROR(__xludf.DUMMYFUNCTION("""COMPUTED_VALUE"""),3387184.0)</f>
        <v>3387184</v>
      </c>
    </row>
    <row r="9962">
      <c r="A9962" s="3">
        <f>IFERROR(__xludf.DUMMYFUNCTION("""COMPUTED_VALUE"""),43648.66666666667)</f>
        <v>43648.66667</v>
      </c>
      <c r="B9962" s="2">
        <f>IFERROR(__xludf.DUMMYFUNCTION("""COMPUTED_VALUE"""),133.48)</f>
        <v>133.48</v>
      </c>
      <c r="C9962" s="2">
        <f>IFERROR(__xludf.DUMMYFUNCTION("""COMPUTED_VALUE"""),134.13)</f>
        <v>134.13</v>
      </c>
      <c r="D9962" s="2">
        <f>IFERROR(__xludf.DUMMYFUNCTION("""COMPUTED_VALUE"""),133.22)</f>
        <v>133.22</v>
      </c>
      <c r="E9962" s="2">
        <f>IFERROR(__xludf.DUMMYFUNCTION("""COMPUTED_VALUE"""),133.93)</f>
        <v>133.93</v>
      </c>
      <c r="F9962" s="2">
        <f>IFERROR(__xludf.DUMMYFUNCTION("""COMPUTED_VALUE"""),2410092.0)</f>
        <v>2410092</v>
      </c>
    </row>
    <row r="9963">
      <c r="A9963" s="3">
        <f>IFERROR(__xludf.DUMMYFUNCTION("""COMPUTED_VALUE"""),43649.54166666667)</f>
        <v>43649.54167</v>
      </c>
      <c r="B9963" s="2">
        <f>IFERROR(__xludf.DUMMYFUNCTION("""COMPUTED_VALUE"""),134.41)</f>
        <v>134.41</v>
      </c>
      <c r="C9963" s="2">
        <f>IFERROR(__xludf.DUMMYFUNCTION("""COMPUTED_VALUE"""),135.46)</f>
        <v>135.46</v>
      </c>
      <c r="D9963" s="2">
        <f>IFERROR(__xludf.DUMMYFUNCTION("""COMPUTED_VALUE"""),134.13)</f>
        <v>134.13</v>
      </c>
      <c r="E9963" s="2">
        <f>IFERROR(__xludf.DUMMYFUNCTION("""COMPUTED_VALUE"""),135.19)</f>
        <v>135.19</v>
      </c>
      <c r="F9963" s="2">
        <f>IFERROR(__xludf.DUMMYFUNCTION("""COMPUTED_VALUE"""),1930361.0)</f>
        <v>1930361</v>
      </c>
    </row>
    <row r="9964">
      <c r="A9964" s="3">
        <f>IFERROR(__xludf.DUMMYFUNCTION("""COMPUTED_VALUE"""),43651.66666666667)</f>
        <v>43651.66667</v>
      </c>
      <c r="B9964" s="2">
        <f>IFERROR(__xludf.DUMMYFUNCTION("""COMPUTED_VALUE"""),134.55)</f>
        <v>134.55</v>
      </c>
      <c r="C9964" s="2">
        <f>IFERROR(__xludf.DUMMYFUNCTION("""COMPUTED_VALUE"""),135.15)</f>
        <v>135.15</v>
      </c>
      <c r="D9964" s="2">
        <f>IFERROR(__xludf.DUMMYFUNCTION("""COMPUTED_VALUE"""),133.64)</f>
        <v>133.64</v>
      </c>
      <c r="E9964" s="2">
        <f>IFERROR(__xludf.DUMMYFUNCTION("""COMPUTED_VALUE"""),135.04)</f>
        <v>135.04</v>
      </c>
      <c r="F9964" s="2">
        <f>IFERROR(__xludf.DUMMYFUNCTION("""COMPUTED_VALUE"""),2135085.0)</f>
        <v>2135085</v>
      </c>
    </row>
    <row r="9965">
      <c r="A9965" s="3">
        <f>IFERROR(__xludf.DUMMYFUNCTION("""COMPUTED_VALUE"""),43654.66666666667)</f>
        <v>43654.66667</v>
      </c>
      <c r="B9965" s="2">
        <f>IFERROR(__xludf.DUMMYFUNCTION("""COMPUTED_VALUE"""),134.73)</f>
        <v>134.73</v>
      </c>
      <c r="C9965" s="2">
        <f>IFERROR(__xludf.DUMMYFUNCTION("""COMPUTED_VALUE"""),134.95)</f>
        <v>134.95</v>
      </c>
      <c r="D9965" s="2">
        <f>IFERROR(__xludf.DUMMYFUNCTION("""COMPUTED_VALUE"""),133.98)</f>
        <v>133.98</v>
      </c>
      <c r="E9965" s="2">
        <f>IFERROR(__xludf.DUMMYFUNCTION("""COMPUTED_VALUE"""),134.27)</f>
        <v>134.27</v>
      </c>
      <c r="F9965" s="2">
        <f>IFERROR(__xludf.DUMMYFUNCTION("""COMPUTED_VALUE"""),2395487.0)</f>
        <v>2395487</v>
      </c>
    </row>
    <row r="9966">
      <c r="A9966" s="3">
        <f>IFERROR(__xludf.DUMMYFUNCTION("""COMPUTED_VALUE"""),43655.66666666667)</f>
        <v>43655.66667</v>
      </c>
      <c r="B9966" s="2">
        <f>IFERROR(__xludf.DUMMYFUNCTION("""COMPUTED_VALUE"""),134.31)</f>
        <v>134.31</v>
      </c>
      <c r="C9966" s="2">
        <f>IFERROR(__xludf.DUMMYFUNCTION("""COMPUTED_VALUE"""),134.67)</f>
        <v>134.67</v>
      </c>
      <c r="D9966" s="2">
        <f>IFERROR(__xludf.DUMMYFUNCTION("""COMPUTED_VALUE"""),132.89)</f>
        <v>132.89</v>
      </c>
      <c r="E9966" s="2">
        <f>IFERROR(__xludf.DUMMYFUNCTION("""COMPUTED_VALUE"""),133.08)</f>
        <v>133.08</v>
      </c>
      <c r="F9966" s="2">
        <f>IFERROR(__xludf.DUMMYFUNCTION("""COMPUTED_VALUE"""),3365227.0)</f>
        <v>3365227</v>
      </c>
    </row>
    <row r="9967">
      <c r="A9967" s="3">
        <f>IFERROR(__xludf.DUMMYFUNCTION("""COMPUTED_VALUE"""),43656.66666666667)</f>
        <v>43656.66667</v>
      </c>
      <c r="B9967" s="2">
        <f>IFERROR(__xludf.DUMMYFUNCTION("""COMPUTED_VALUE"""),133.72)</f>
        <v>133.72</v>
      </c>
      <c r="C9967" s="2">
        <f>IFERROR(__xludf.DUMMYFUNCTION("""COMPUTED_VALUE"""),135.55)</f>
        <v>135.55</v>
      </c>
      <c r="D9967" s="2">
        <f>IFERROR(__xludf.DUMMYFUNCTION("""COMPUTED_VALUE"""),133.52)</f>
        <v>133.52</v>
      </c>
      <c r="E9967" s="2">
        <f>IFERROR(__xludf.DUMMYFUNCTION("""COMPUTED_VALUE"""),134.17)</f>
        <v>134.17</v>
      </c>
      <c r="F9967" s="2">
        <f>IFERROR(__xludf.DUMMYFUNCTION("""COMPUTED_VALUE"""),2513931.0)</f>
        <v>2513931</v>
      </c>
    </row>
    <row r="9968">
      <c r="A9968" s="3">
        <f>IFERROR(__xludf.DUMMYFUNCTION("""COMPUTED_VALUE"""),43657.66666666667)</f>
        <v>43657.66667</v>
      </c>
      <c r="B9968" s="2">
        <f>IFERROR(__xludf.DUMMYFUNCTION("""COMPUTED_VALUE"""),134.48)</f>
        <v>134.48</v>
      </c>
      <c r="C9968" s="2">
        <f>IFERROR(__xludf.DUMMYFUNCTION("""COMPUTED_VALUE"""),135.23)</f>
        <v>135.23</v>
      </c>
      <c r="D9968" s="2">
        <f>IFERROR(__xludf.DUMMYFUNCTION("""COMPUTED_VALUE"""),134.01)</f>
        <v>134.01</v>
      </c>
      <c r="E9968" s="2">
        <f>IFERROR(__xludf.DUMMYFUNCTION("""COMPUTED_VALUE"""),134.91)</f>
        <v>134.91</v>
      </c>
      <c r="F9968" s="2">
        <f>IFERROR(__xludf.DUMMYFUNCTION("""COMPUTED_VALUE"""),2133327.0)</f>
        <v>2133327</v>
      </c>
    </row>
    <row r="9969">
      <c r="A9969" s="3">
        <f>IFERROR(__xludf.DUMMYFUNCTION("""COMPUTED_VALUE"""),43658.66666666667)</f>
        <v>43658.66667</v>
      </c>
      <c r="B9969" s="2">
        <f>IFERROR(__xludf.DUMMYFUNCTION("""COMPUTED_VALUE"""),135.56)</f>
        <v>135.56</v>
      </c>
      <c r="C9969" s="2">
        <f>IFERROR(__xludf.DUMMYFUNCTION("""COMPUTED_VALUE"""),136.51)</f>
        <v>136.51</v>
      </c>
      <c r="D9969" s="2">
        <f>IFERROR(__xludf.DUMMYFUNCTION("""COMPUTED_VALUE"""),135.31)</f>
        <v>135.31</v>
      </c>
      <c r="E9969" s="2">
        <f>IFERROR(__xludf.DUMMYFUNCTION("""COMPUTED_VALUE"""),136.34)</f>
        <v>136.34</v>
      </c>
      <c r="F9969" s="2">
        <f>IFERROR(__xludf.DUMMYFUNCTION("""COMPUTED_VALUE"""),2786276.0)</f>
        <v>2786276</v>
      </c>
    </row>
    <row r="9970">
      <c r="A9970" s="3">
        <f>IFERROR(__xludf.DUMMYFUNCTION("""COMPUTED_VALUE"""),43661.66666666667)</f>
        <v>43661.66667</v>
      </c>
      <c r="B9970" s="2">
        <f>IFERROR(__xludf.DUMMYFUNCTION("""COMPUTED_VALUE"""),136.48)</f>
        <v>136.48</v>
      </c>
      <c r="C9970" s="2">
        <f>IFERROR(__xludf.DUMMYFUNCTION("""COMPUTED_VALUE"""),137.08)</f>
        <v>137.08</v>
      </c>
      <c r="D9970" s="2">
        <f>IFERROR(__xludf.DUMMYFUNCTION("""COMPUTED_VALUE"""),135.75)</f>
        <v>135.75</v>
      </c>
      <c r="E9970" s="2">
        <f>IFERROR(__xludf.DUMMYFUNCTION("""COMPUTED_VALUE"""),136.89)</f>
        <v>136.89</v>
      </c>
      <c r="F9970" s="2">
        <f>IFERROR(__xludf.DUMMYFUNCTION("""COMPUTED_VALUE"""),2368309.0)</f>
        <v>2368309</v>
      </c>
    </row>
    <row r="9971">
      <c r="A9971" s="3">
        <f>IFERROR(__xludf.DUMMYFUNCTION("""COMPUTED_VALUE"""),43662.66666666667)</f>
        <v>43662.66667</v>
      </c>
      <c r="B9971" s="2">
        <f>IFERROR(__xludf.DUMMYFUNCTION("""COMPUTED_VALUE"""),136.75)</f>
        <v>136.75</v>
      </c>
      <c r="C9971" s="2">
        <f>IFERROR(__xludf.DUMMYFUNCTION("""COMPUTED_VALUE"""),137.58)</f>
        <v>137.58</v>
      </c>
      <c r="D9971" s="2">
        <f>IFERROR(__xludf.DUMMYFUNCTION("""COMPUTED_VALUE"""),136.61)</f>
        <v>136.61</v>
      </c>
      <c r="E9971" s="2">
        <f>IFERROR(__xludf.DUMMYFUNCTION("""COMPUTED_VALUE"""),137.09)</f>
        <v>137.09</v>
      </c>
      <c r="F9971" s="2">
        <f>IFERROR(__xludf.DUMMYFUNCTION("""COMPUTED_VALUE"""),3474688.0)</f>
        <v>3474688</v>
      </c>
    </row>
    <row r="9972">
      <c r="A9972" s="3">
        <f>IFERROR(__xludf.DUMMYFUNCTION("""COMPUTED_VALUE"""),43663.66666666667)</f>
        <v>43663.66667</v>
      </c>
      <c r="B9972" s="2">
        <f>IFERROR(__xludf.DUMMYFUNCTION("""COMPUTED_VALUE"""),137.17)</f>
        <v>137.17</v>
      </c>
      <c r="C9972" s="2">
        <f>IFERROR(__xludf.DUMMYFUNCTION("""COMPUTED_VALUE"""),137.35)</f>
        <v>137.35</v>
      </c>
      <c r="D9972" s="2">
        <f>IFERROR(__xludf.DUMMYFUNCTION("""COMPUTED_VALUE"""),135.59)</f>
        <v>135.59</v>
      </c>
      <c r="E9972" s="2">
        <f>IFERROR(__xludf.DUMMYFUNCTION("""COMPUTED_VALUE"""),136.66)</f>
        <v>136.66</v>
      </c>
      <c r="F9972" s="2">
        <f>IFERROR(__xludf.DUMMYFUNCTION("""COMPUTED_VALUE"""),6064265.0)</f>
        <v>6064265</v>
      </c>
    </row>
    <row r="9973">
      <c r="A9973" s="3">
        <f>IFERROR(__xludf.DUMMYFUNCTION("""COMPUTED_VALUE"""),43664.66666666667)</f>
        <v>43664.66667</v>
      </c>
      <c r="B9973" s="2">
        <f>IFERROR(__xludf.DUMMYFUNCTION("""COMPUTED_VALUE"""),136.11)</f>
        <v>136.11</v>
      </c>
      <c r="C9973" s="2">
        <f>IFERROR(__xludf.DUMMYFUNCTION("""COMPUTED_VALUE"""),143.57)</f>
        <v>143.57</v>
      </c>
      <c r="D9973" s="2">
        <f>IFERROR(__xludf.DUMMYFUNCTION("""COMPUTED_VALUE"""),135.82)</f>
        <v>135.82</v>
      </c>
      <c r="E9973" s="2">
        <f>IFERROR(__xludf.DUMMYFUNCTION("""COMPUTED_VALUE"""),142.92)</f>
        <v>142.92</v>
      </c>
      <c r="F9973" s="2">
        <f>IFERROR(__xludf.DUMMYFUNCTION("""COMPUTED_VALUE"""),1.2695387E7)</f>
        <v>12695387</v>
      </c>
    </row>
    <row r="9974">
      <c r="A9974" s="3">
        <f>IFERROR(__xludf.DUMMYFUNCTION("""COMPUTED_VALUE"""),43665.66666666667)</f>
        <v>43665.66667</v>
      </c>
      <c r="B9974" s="2">
        <f>IFERROR(__xludf.DUMMYFUNCTION("""COMPUTED_VALUE"""),143.24)</f>
        <v>143.24</v>
      </c>
      <c r="C9974" s="2">
        <f>IFERROR(__xludf.DUMMYFUNCTION("""COMPUTED_VALUE"""),144.78)</f>
        <v>144.78</v>
      </c>
      <c r="D9974" s="2">
        <f>IFERROR(__xludf.DUMMYFUNCTION("""COMPUTED_VALUE"""),142.84)</f>
        <v>142.84</v>
      </c>
      <c r="E9974" s="2">
        <f>IFERROR(__xludf.DUMMYFUNCTION("""COMPUTED_VALUE"""),142.97)</f>
        <v>142.97</v>
      </c>
      <c r="F9974" s="2">
        <f>IFERROR(__xludf.DUMMYFUNCTION("""COMPUTED_VALUE"""),7290678.0)</f>
        <v>7290678</v>
      </c>
    </row>
    <row r="9975">
      <c r="A9975" s="3">
        <f>IFERROR(__xludf.DUMMYFUNCTION("""COMPUTED_VALUE"""),43668.66666666667)</f>
        <v>43668.66667</v>
      </c>
      <c r="B9975" s="2">
        <f>IFERROR(__xludf.DUMMYFUNCTION("""COMPUTED_VALUE"""),143.43)</f>
        <v>143.43</v>
      </c>
      <c r="C9975" s="2">
        <f>IFERROR(__xludf.DUMMYFUNCTION("""COMPUTED_VALUE"""),145.13)</f>
        <v>145.13</v>
      </c>
      <c r="D9975" s="2">
        <f>IFERROR(__xludf.DUMMYFUNCTION("""COMPUTED_VALUE"""),142.99)</f>
        <v>142.99</v>
      </c>
      <c r="E9975" s="2">
        <f>IFERROR(__xludf.DUMMYFUNCTION("""COMPUTED_VALUE"""),143.03)</f>
        <v>143.03</v>
      </c>
      <c r="F9975" s="2">
        <f>IFERROR(__xludf.DUMMYFUNCTION("""COMPUTED_VALUE"""),4093239.0)</f>
        <v>4093239</v>
      </c>
    </row>
    <row r="9976">
      <c r="A9976" s="3">
        <f>IFERROR(__xludf.DUMMYFUNCTION("""COMPUTED_VALUE"""),43669.66666666667)</f>
        <v>43669.66667</v>
      </c>
      <c r="B9976" s="2">
        <f>IFERROR(__xludf.DUMMYFUNCTION("""COMPUTED_VALUE"""),143.82)</f>
        <v>143.82</v>
      </c>
      <c r="C9976" s="2">
        <f>IFERROR(__xludf.DUMMYFUNCTION("""COMPUTED_VALUE"""),143.96)</f>
        <v>143.96</v>
      </c>
      <c r="D9976" s="2">
        <f>IFERROR(__xludf.DUMMYFUNCTION("""COMPUTED_VALUE"""),141.73)</f>
        <v>141.73</v>
      </c>
      <c r="E9976" s="2">
        <f>IFERROR(__xludf.DUMMYFUNCTION("""COMPUTED_VALUE"""),143.64)</f>
        <v>143.64</v>
      </c>
      <c r="F9976" s="2">
        <f>IFERROR(__xludf.DUMMYFUNCTION("""COMPUTED_VALUE"""),3742204.0)</f>
        <v>3742204</v>
      </c>
    </row>
    <row r="9977">
      <c r="A9977" s="3">
        <f>IFERROR(__xludf.DUMMYFUNCTION("""COMPUTED_VALUE"""),43670.66666666667)</f>
        <v>43670.66667</v>
      </c>
      <c r="B9977" s="2">
        <f>IFERROR(__xludf.DUMMYFUNCTION("""COMPUTED_VALUE"""),143.39)</f>
        <v>143.39</v>
      </c>
      <c r="C9977" s="2">
        <f>IFERROR(__xludf.DUMMYFUNCTION("""COMPUTED_VALUE"""),144.66)</f>
        <v>144.66</v>
      </c>
      <c r="D9977" s="2">
        <f>IFERROR(__xludf.DUMMYFUNCTION("""COMPUTED_VALUE"""),142.51)</f>
        <v>142.51</v>
      </c>
      <c r="E9977" s="2">
        <f>IFERROR(__xludf.DUMMYFUNCTION("""COMPUTED_VALUE"""),143.3)</f>
        <v>143.3</v>
      </c>
      <c r="F9977" s="2">
        <f>IFERROR(__xludf.DUMMYFUNCTION("""COMPUTED_VALUE"""),2952435.0)</f>
        <v>2952435</v>
      </c>
    </row>
    <row r="9978">
      <c r="A9978" s="3">
        <f>IFERROR(__xludf.DUMMYFUNCTION("""COMPUTED_VALUE"""),43671.66666666667)</f>
        <v>43671.66667</v>
      </c>
      <c r="B9978" s="2">
        <f>IFERROR(__xludf.DUMMYFUNCTION("""COMPUTED_VALUE"""),143.1)</f>
        <v>143.1</v>
      </c>
      <c r="C9978" s="2">
        <f>IFERROR(__xludf.DUMMYFUNCTION("""COMPUTED_VALUE"""),143.87)</f>
        <v>143.87</v>
      </c>
      <c r="D9978" s="2">
        <f>IFERROR(__xludf.DUMMYFUNCTION("""COMPUTED_VALUE"""),141.95)</f>
        <v>141.95</v>
      </c>
      <c r="E9978" s="2">
        <f>IFERROR(__xludf.DUMMYFUNCTION("""COMPUTED_VALUE"""),143.65)</f>
        <v>143.65</v>
      </c>
      <c r="F9978" s="2">
        <f>IFERROR(__xludf.DUMMYFUNCTION("""COMPUTED_VALUE"""),3102113.0)</f>
        <v>3102113</v>
      </c>
    </row>
    <row r="9979">
      <c r="A9979" s="3">
        <f>IFERROR(__xludf.DUMMYFUNCTION("""COMPUTED_VALUE"""),43672.66666666667)</f>
        <v>43672.66667</v>
      </c>
      <c r="B9979" s="2">
        <f>IFERROR(__xludf.DUMMYFUNCTION("""COMPUTED_VALUE"""),144.23)</f>
        <v>144.23</v>
      </c>
      <c r="C9979" s="2">
        <f>IFERROR(__xludf.DUMMYFUNCTION("""COMPUTED_VALUE"""),144.62)</f>
        <v>144.62</v>
      </c>
      <c r="D9979" s="2">
        <f>IFERROR(__xludf.DUMMYFUNCTION("""COMPUTED_VALUE"""),143.37)</f>
        <v>143.37</v>
      </c>
      <c r="E9979" s="2">
        <f>IFERROR(__xludf.DUMMYFUNCTION("""COMPUTED_VALUE"""),144.57)</f>
        <v>144.57</v>
      </c>
      <c r="F9979" s="2">
        <f>IFERROR(__xludf.DUMMYFUNCTION("""COMPUTED_VALUE"""),2904494.0)</f>
        <v>2904494</v>
      </c>
    </row>
    <row r="9980">
      <c r="A9980" s="3">
        <f>IFERROR(__xludf.DUMMYFUNCTION("""COMPUTED_VALUE"""),43675.66666666667)</f>
        <v>43675.66667</v>
      </c>
      <c r="B9980" s="2">
        <f>IFERROR(__xludf.DUMMYFUNCTION("""COMPUTED_VALUE"""),144.33)</f>
        <v>144.33</v>
      </c>
      <c r="C9980" s="2">
        <f>IFERROR(__xludf.DUMMYFUNCTION("""COMPUTED_VALUE"""),144.69)</f>
        <v>144.69</v>
      </c>
      <c r="D9980" s="2">
        <f>IFERROR(__xludf.DUMMYFUNCTION("""COMPUTED_VALUE"""),143.58)</f>
        <v>143.58</v>
      </c>
      <c r="E9980" s="2">
        <f>IFERROR(__xludf.DUMMYFUNCTION("""COMPUTED_VALUE"""),144.12)</f>
        <v>144.12</v>
      </c>
      <c r="F9980" s="2">
        <f>IFERROR(__xludf.DUMMYFUNCTION("""COMPUTED_VALUE"""),2075528.0)</f>
        <v>2075528</v>
      </c>
    </row>
    <row r="9981">
      <c r="A9981" s="3">
        <f>IFERROR(__xludf.DUMMYFUNCTION("""COMPUTED_VALUE"""),43676.66666666667)</f>
        <v>43676.66667</v>
      </c>
      <c r="B9981" s="2">
        <f>IFERROR(__xludf.DUMMYFUNCTION("""COMPUTED_VALUE"""),143.27)</f>
        <v>143.27</v>
      </c>
      <c r="C9981" s="2">
        <f>IFERROR(__xludf.DUMMYFUNCTION("""COMPUTED_VALUE"""),143.66)</f>
        <v>143.66</v>
      </c>
      <c r="D9981" s="2">
        <f>IFERROR(__xludf.DUMMYFUNCTION("""COMPUTED_VALUE"""),142.53)</f>
        <v>142.53</v>
      </c>
      <c r="E9981" s="2">
        <f>IFERROR(__xludf.DUMMYFUNCTION("""COMPUTED_VALUE"""),143.05)</f>
        <v>143.05</v>
      </c>
      <c r="F9981" s="2">
        <f>IFERROR(__xludf.DUMMYFUNCTION("""COMPUTED_VALUE"""),2632726.0)</f>
        <v>2632726</v>
      </c>
    </row>
    <row r="9982">
      <c r="A9982" s="3">
        <f>IFERROR(__xludf.DUMMYFUNCTION("""COMPUTED_VALUE"""),43677.66666666667)</f>
        <v>43677.66667</v>
      </c>
      <c r="B9982" s="2">
        <f>IFERROR(__xludf.DUMMYFUNCTION("""COMPUTED_VALUE"""),142.99)</f>
        <v>142.99</v>
      </c>
      <c r="C9982" s="2">
        <f>IFERROR(__xludf.DUMMYFUNCTION("""COMPUTED_VALUE"""),143.45)</f>
        <v>143.45</v>
      </c>
      <c r="D9982" s="2">
        <f>IFERROR(__xludf.DUMMYFUNCTION("""COMPUTED_VALUE"""),139.83)</f>
        <v>139.83</v>
      </c>
      <c r="E9982" s="2">
        <f>IFERROR(__xludf.DUMMYFUNCTION("""COMPUTED_VALUE"""),141.59)</f>
        <v>141.59</v>
      </c>
      <c r="F9982" s="2">
        <f>IFERROR(__xludf.DUMMYFUNCTION("""COMPUTED_VALUE"""),3722907.0)</f>
        <v>3722907</v>
      </c>
    </row>
    <row r="9983">
      <c r="A9983" s="3">
        <f>IFERROR(__xludf.DUMMYFUNCTION("""COMPUTED_VALUE"""),43678.66666666667)</f>
        <v>43678.66667</v>
      </c>
      <c r="B9983" s="2">
        <f>IFERROR(__xludf.DUMMYFUNCTION("""COMPUTED_VALUE"""),142.22)</f>
        <v>142.22</v>
      </c>
      <c r="C9983" s="2">
        <f>IFERROR(__xludf.DUMMYFUNCTION("""COMPUTED_VALUE"""),145.97)</f>
        <v>145.97</v>
      </c>
      <c r="D9983" s="2">
        <f>IFERROR(__xludf.DUMMYFUNCTION("""COMPUTED_VALUE"""),141.84)</f>
        <v>141.84</v>
      </c>
      <c r="E9983" s="2">
        <f>IFERROR(__xludf.DUMMYFUNCTION("""COMPUTED_VALUE"""),143.58)</f>
        <v>143.58</v>
      </c>
      <c r="F9983" s="2">
        <f>IFERROR(__xludf.DUMMYFUNCTION("""COMPUTED_VALUE"""),6344006.0)</f>
        <v>6344006</v>
      </c>
    </row>
    <row r="9984">
      <c r="A9984" s="3">
        <f>IFERROR(__xludf.DUMMYFUNCTION("""COMPUTED_VALUE"""),43679.66666666667)</f>
        <v>43679.66667</v>
      </c>
      <c r="B9984" s="2">
        <f>IFERROR(__xludf.DUMMYFUNCTION("""COMPUTED_VALUE"""),142.35)</f>
        <v>142.35</v>
      </c>
      <c r="C9984" s="2">
        <f>IFERROR(__xludf.DUMMYFUNCTION("""COMPUTED_VALUE"""),146.09)</f>
        <v>146.09</v>
      </c>
      <c r="D9984" s="2">
        <f>IFERROR(__xludf.DUMMYFUNCTION("""COMPUTED_VALUE"""),139.06)</f>
        <v>139.06</v>
      </c>
      <c r="E9984" s="2">
        <f>IFERROR(__xludf.DUMMYFUNCTION("""COMPUTED_VALUE"""),140.65)</f>
        <v>140.65</v>
      </c>
      <c r="F9984" s="2">
        <f>IFERROR(__xludf.DUMMYFUNCTION("""COMPUTED_VALUE"""),8101720.0)</f>
        <v>8101720</v>
      </c>
    </row>
    <row r="9985">
      <c r="A9985" s="3">
        <f>IFERROR(__xludf.DUMMYFUNCTION("""COMPUTED_VALUE"""),43682.66666666667)</f>
        <v>43682.66667</v>
      </c>
      <c r="B9985" s="2">
        <f>IFERROR(__xludf.DUMMYFUNCTION("""COMPUTED_VALUE"""),138.48)</f>
        <v>138.48</v>
      </c>
      <c r="C9985" s="2">
        <f>IFERROR(__xludf.DUMMYFUNCTION("""COMPUTED_VALUE"""),138.59)</f>
        <v>138.59</v>
      </c>
      <c r="D9985" s="2">
        <f>IFERROR(__xludf.DUMMYFUNCTION("""COMPUTED_VALUE"""),132.91)</f>
        <v>132.91</v>
      </c>
      <c r="E9985" s="2">
        <f>IFERROR(__xludf.DUMMYFUNCTION("""COMPUTED_VALUE"""),134.45)</f>
        <v>134.45</v>
      </c>
      <c r="F9985" s="2">
        <f>IFERROR(__xludf.DUMMYFUNCTION("""COMPUTED_VALUE"""),7114871.0)</f>
        <v>7114871</v>
      </c>
    </row>
    <row r="9986">
      <c r="A9986" s="3">
        <f>IFERROR(__xludf.DUMMYFUNCTION("""COMPUTED_VALUE"""),43683.66666666667)</f>
        <v>43683.66667</v>
      </c>
      <c r="B9986" s="2">
        <f>IFERROR(__xludf.DUMMYFUNCTION("""COMPUTED_VALUE"""),135.66)</f>
        <v>135.66</v>
      </c>
      <c r="C9986" s="2">
        <f>IFERROR(__xludf.DUMMYFUNCTION("""COMPUTED_VALUE"""),136.08)</f>
        <v>136.08</v>
      </c>
      <c r="D9986" s="2">
        <f>IFERROR(__xludf.DUMMYFUNCTION("""COMPUTED_VALUE"""),133.06)</f>
        <v>133.06</v>
      </c>
      <c r="E9986" s="2">
        <f>IFERROR(__xludf.DUMMYFUNCTION("""COMPUTED_VALUE"""),134.42)</f>
        <v>134.42</v>
      </c>
      <c r="F9986" s="2">
        <f>IFERROR(__xludf.DUMMYFUNCTION("""COMPUTED_VALUE"""),5070650.0)</f>
        <v>5070650</v>
      </c>
    </row>
    <row r="9987">
      <c r="A9987" s="3">
        <f>IFERROR(__xludf.DUMMYFUNCTION("""COMPUTED_VALUE"""),43684.66666666667)</f>
        <v>43684.66667</v>
      </c>
      <c r="B9987" s="2">
        <f>IFERROR(__xludf.DUMMYFUNCTION("""COMPUTED_VALUE"""),132.52)</f>
        <v>132.52</v>
      </c>
      <c r="C9987" s="2">
        <f>IFERROR(__xludf.DUMMYFUNCTION("""COMPUTED_VALUE"""),133.32)</f>
        <v>133.32</v>
      </c>
      <c r="D9987" s="2">
        <f>IFERROR(__xludf.DUMMYFUNCTION("""COMPUTED_VALUE"""),130.3)</f>
        <v>130.3</v>
      </c>
      <c r="E9987" s="2">
        <f>IFERROR(__xludf.DUMMYFUNCTION("""COMPUTED_VALUE"""),132.87)</f>
        <v>132.87</v>
      </c>
      <c r="F9987" s="2">
        <f>IFERROR(__xludf.DUMMYFUNCTION("""COMPUTED_VALUE"""),5931883.0)</f>
        <v>5931883</v>
      </c>
    </row>
    <row r="9988">
      <c r="A9988" s="3">
        <f>IFERROR(__xludf.DUMMYFUNCTION("""COMPUTED_VALUE"""),43685.66666666667)</f>
        <v>43685.66667</v>
      </c>
      <c r="B9988" s="2">
        <f>IFERROR(__xludf.DUMMYFUNCTION("""COMPUTED_VALUE"""),132.24)</f>
        <v>132.24</v>
      </c>
      <c r="C9988" s="2">
        <f>IFERROR(__xludf.DUMMYFUNCTION("""COMPUTED_VALUE"""),134.12)</f>
        <v>134.12</v>
      </c>
      <c r="D9988" s="2">
        <f>IFERROR(__xludf.DUMMYFUNCTION("""COMPUTED_VALUE"""),131.58)</f>
        <v>131.58</v>
      </c>
      <c r="E9988" s="2">
        <f>IFERROR(__xludf.DUMMYFUNCTION("""COMPUTED_VALUE"""),133.82)</f>
        <v>133.82</v>
      </c>
      <c r="F9988" s="2">
        <f>IFERROR(__xludf.DUMMYFUNCTION("""COMPUTED_VALUE"""),5261444.0)</f>
        <v>5261444</v>
      </c>
    </row>
    <row r="9989">
      <c r="A9989" s="3">
        <f>IFERROR(__xludf.DUMMYFUNCTION("""COMPUTED_VALUE"""),43686.66666666667)</f>
        <v>43686.66667</v>
      </c>
      <c r="B9989" s="2">
        <f>IFERROR(__xludf.DUMMYFUNCTION("""COMPUTED_VALUE"""),133.03)</f>
        <v>133.03</v>
      </c>
      <c r="C9989" s="2">
        <f>IFERROR(__xludf.DUMMYFUNCTION("""COMPUTED_VALUE"""),133.06)</f>
        <v>133.06</v>
      </c>
      <c r="D9989" s="2">
        <f>IFERROR(__xludf.DUMMYFUNCTION("""COMPUTED_VALUE"""),129.28)</f>
        <v>129.28</v>
      </c>
      <c r="E9989" s="2">
        <f>IFERROR(__xludf.DUMMYFUNCTION("""COMPUTED_VALUE"""),130.03)</f>
        <v>130.03</v>
      </c>
      <c r="F9989" s="2">
        <f>IFERROR(__xludf.DUMMYFUNCTION("""COMPUTED_VALUE"""),5244594.0)</f>
        <v>5244594</v>
      </c>
    </row>
    <row r="9990">
      <c r="A9990" s="3">
        <f>IFERROR(__xludf.DUMMYFUNCTION("""COMPUTED_VALUE"""),43689.66666666667)</f>
        <v>43689.66667</v>
      </c>
      <c r="B9990" s="2">
        <f>IFERROR(__xludf.DUMMYFUNCTION("""COMPUTED_VALUE"""),129.58)</f>
        <v>129.58</v>
      </c>
      <c r="C9990" s="2">
        <f>IFERROR(__xludf.DUMMYFUNCTION("""COMPUTED_VALUE"""),129.78)</f>
        <v>129.78</v>
      </c>
      <c r="D9990" s="2">
        <f>IFERROR(__xludf.DUMMYFUNCTION("""COMPUTED_VALUE"""),127.21)</f>
        <v>127.21</v>
      </c>
      <c r="E9990" s="2">
        <f>IFERROR(__xludf.DUMMYFUNCTION("""COMPUTED_VALUE"""),127.68)</f>
        <v>127.68</v>
      </c>
      <c r="F9990" s="2">
        <f>IFERROR(__xludf.DUMMYFUNCTION("""COMPUTED_VALUE"""),4083850.0)</f>
        <v>4083850</v>
      </c>
    </row>
    <row r="9991">
      <c r="A9991" s="3">
        <f>IFERROR(__xludf.DUMMYFUNCTION("""COMPUTED_VALUE"""),43690.66666666667)</f>
        <v>43690.66667</v>
      </c>
      <c r="B9991" s="2">
        <f>IFERROR(__xludf.DUMMYFUNCTION("""COMPUTED_VALUE"""),127.8)</f>
        <v>127.8</v>
      </c>
      <c r="C9991" s="2">
        <f>IFERROR(__xludf.DUMMYFUNCTION("""COMPUTED_VALUE"""),130.45)</f>
        <v>130.45</v>
      </c>
      <c r="D9991" s="2">
        <f>IFERROR(__xludf.DUMMYFUNCTION("""COMPUTED_VALUE"""),126.85)</f>
        <v>126.85</v>
      </c>
      <c r="E9991" s="2">
        <f>IFERROR(__xludf.DUMMYFUNCTION("""COMPUTED_VALUE"""),129.7)</f>
        <v>129.7</v>
      </c>
      <c r="F9991" s="2">
        <f>IFERROR(__xludf.DUMMYFUNCTION("""COMPUTED_VALUE"""),4551170.0)</f>
        <v>4551170</v>
      </c>
    </row>
    <row r="9992">
      <c r="A9992" s="3">
        <f>IFERROR(__xludf.DUMMYFUNCTION("""COMPUTED_VALUE"""),43691.66666666667)</f>
        <v>43691.66667</v>
      </c>
      <c r="B9992" s="2">
        <f>IFERROR(__xludf.DUMMYFUNCTION("""COMPUTED_VALUE"""),127.91)</f>
        <v>127.91</v>
      </c>
      <c r="C9992" s="2">
        <f>IFERROR(__xludf.DUMMYFUNCTION("""COMPUTED_VALUE"""),128.14)</f>
        <v>128.14</v>
      </c>
      <c r="D9992" s="2">
        <f>IFERROR(__xludf.DUMMYFUNCTION("""COMPUTED_VALUE"""),125.11)</f>
        <v>125.11</v>
      </c>
      <c r="E9992" s="2">
        <f>IFERROR(__xludf.DUMMYFUNCTION("""COMPUTED_VALUE"""),125.37)</f>
        <v>125.37</v>
      </c>
      <c r="F9992" s="2">
        <f>IFERROR(__xludf.DUMMYFUNCTION("""COMPUTED_VALUE"""),5114159.0)</f>
        <v>5114159</v>
      </c>
    </row>
    <row r="9993">
      <c r="A9993" s="3">
        <f>IFERROR(__xludf.DUMMYFUNCTION("""COMPUTED_VALUE"""),43692.66666666667)</f>
        <v>43692.66667</v>
      </c>
      <c r="B9993" s="2">
        <f>IFERROR(__xludf.DUMMYFUNCTION("""COMPUTED_VALUE"""),125.34)</f>
        <v>125.34</v>
      </c>
      <c r="C9993" s="2">
        <f>IFERROR(__xludf.DUMMYFUNCTION("""COMPUTED_VALUE"""),126.44)</f>
        <v>126.44</v>
      </c>
      <c r="D9993" s="2">
        <f>IFERROR(__xludf.DUMMYFUNCTION("""COMPUTED_VALUE"""),124.41)</f>
        <v>124.41</v>
      </c>
      <c r="E9993" s="2">
        <f>IFERROR(__xludf.DUMMYFUNCTION("""COMPUTED_VALUE"""),126.01)</f>
        <v>126.01</v>
      </c>
      <c r="F9993" s="2">
        <f>IFERROR(__xludf.DUMMYFUNCTION("""COMPUTED_VALUE"""),3738945.0)</f>
        <v>3738945</v>
      </c>
    </row>
    <row r="9994">
      <c r="A9994" s="3">
        <f>IFERROR(__xludf.DUMMYFUNCTION("""COMPUTED_VALUE"""),43693.66666666667)</f>
        <v>43693.66667</v>
      </c>
      <c r="B9994" s="2">
        <f>IFERROR(__xludf.DUMMYFUNCTION("""COMPUTED_VALUE"""),127.08)</f>
        <v>127.08</v>
      </c>
      <c r="C9994" s="2">
        <f>IFERROR(__xludf.DUMMYFUNCTION("""COMPUTED_VALUE"""),128.56)</f>
        <v>128.56</v>
      </c>
      <c r="D9994" s="2">
        <f>IFERROR(__xludf.DUMMYFUNCTION("""COMPUTED_VALUE"""),126.99)</f>
        <v>126.99</v>
      </c>
      <c r="E9994" s="2">
        <f>IFERROR(__xludf.DUMMYFUNCTION("""COMPUTED_VALUE"""),127.76)</f>
        <v>127.76</v>
      </c>
      <c r="F9994" s="2">
        <f>IFERROR(__xludf.DUMMYFUNCTION("""COMPUTED_VALUE"""),3011993.0)</f>
        <v>3011993</v>
      </c>
    </row>
    <row r="9995">
      <c r="A9995" s="3">
        <f>IFERROR(__xludf.DUMMYFUNCTION("""COMPUTED_VALUE"""),43696.66666666667)</f>
        <v>43696.66667</v>
      </c>
      <c r="B9995" s="2">
        <f>IFERROR(__xludf.DUMMYFUNCTION("""COMPUTED_VALUE"""),128.83)</f>
        <v>128.83</v>
      </c>
      <c r="C9995" s="2">
        <f>IFERROR(__xludf.DUMMYFUNCTION("""COMPUTED_VALUE"""),130.22)</f>
        <v>130.22</v>
      </c>
      <c r="D9995" s="2">
        <f>IFERROR(__xludf.DUMMYFUNCTION("""COMPUTED_VALUE"""),128.83)</f>
        <v>128.83</v>
      </c>
      <c r="E9995" s="2">
        <f>IFERROR(__xludf.DUMMYFUNCTION("""COMPUTED_VALUE"""),128.99)</f>
        <v>128.99</v>
      </c>
      <c r="F9995" s="2">
        <f>IFERROR(__xludf.DUMMYFUNCTION("""COMPUTED_VALUE"""),3165436.0)</f>
        <v>3165436</v>
      </c>
    </row>
    <row r="9996">
      <c r="A9996" s="3">
        <f>IFERROR(__xludf.DUMMYFUNCTION("""COMPUTED_VALUE"""),43697.66666666667)</f>
        <v>43697.66667</v>
      </c>
      <c r="B9996" s="2">
        <f>IFERROR(__xludf.DUMMYFUNCTION("""COMPUTED_VALUE"""),129.18)</f>
        <v>129.18</v>
      </c>
      <c r="C9996" s="2">
        <f>IFERROR(__xludf.DUMMYFUNCTION("""COMPUTED_VALUE"""),129.21)</f>
        <v>129.21</v>
      </c>
      <c r="D9996" s="2">
        <f>IFERROR(__xludf.DUMMYFUNCTION("""COMPUTED_VALUE"""),126.86)</f>
        <v>126.86</v>
      </c>
      <c r="E9996" s="2">
        <f>IFERROR(__xludf.DUMMYFUNCTION("""COMPUTED_VALUE"""),127.04)</f>
        <v>127.04</v>
      </c>
      <c r="F9996" s="2">
        <f>IFERROR(__xludf.DUMMYFUNCTION("""COMPUTED_VALUE"""),3018934.0)</f>
        <v>3018934</v>
      </c>
    </row>
    <row r="9997">
      <c r="A9997" s="3">
        <f>IFERROR(__xludf.DUMMYFUNCTION("""COMPUTED_VALUE"""),43698.66666666667)</f>
        <v>43698.66667</v>
      </c>
      <c r="B9997" s="2">
        <f>IFERROR(__xludf.DUMMYFUNCTION("""COMPUTED_VALUE"""),128.91)</f>
        <v>128.91</v>
      </c>
      <c r="C9997" s="2">
        <f>IFERROR(__xludf.DUMMYFUNCTION("""COMPUTED_VALUE"""),129.84)</f>
        <v>129.84</v>
      </c>
      <c r="D9997" s="2">
        <f>IFERROR(__xludf.DUMMYFUNCTION("""COMPUTED_VALUE"""),127.8)</f>
        <v>127.8</v>
      </c>
      <c r="E9997" s="2">
        <f>IFERROR(__xludf.DUMMYFUNCTION("""COMPUTED_VALUE"""),128.23)</f>
        <v>128.23</v>
      </c>
      <c r="F9997" s="2">
        <f>IFERROR(__xludf.DUMMYFUNCTION("""COMPUTED_VALUE"""),2806774.0)</f>
        <v>2806774</v>
      </c>
    </row>
    <row r="9998">
      <c r="A9998" s="3">
        <f>IFERROR(__xludf.DUMMYFUNCTION("""COMPUTED_VALUE"""),43699.66666666667)</f>
        <v>43699.66667</v>
      </c>
      <c r="B9998" s="2">
        <f>IFERROR(__xludf.DUMMYFUNCTION("""COMPUTED_VALUE"""),128.65)</f>
        <v>128.65</v>
      </c>
      <c r="C9998" s="2">
        <f>IFERROR(__xludf.DUMMYFUNCTION("""COMPUTED_VALUE"""),129.6)</f>
        <v>129.6</v>
      </c>
      <c r="D9998" s="2">
        <f>IFERROR(__xludf.DUMMYFUNCTION("""COMPUTED_VALUE"""),127.81)</f>
        <v>127.81</v>
      </c>
      <c r="E9998" s="2">
        <f>IFERROR(__xludf.DUMMYFUNCTION("""COMPUTED_VALUE"""),128.3)</f>
        <v>128.3</v>
      </c>
      <c r="F9998" s="2">
        <f>IFERROR(__xludf.DUMMYFUNCTION("""COMPUTED_VALUE"""),2695009.0)</f>
        <v>2695009</v>
      </c>
    </row>
    <row r="9999">
      <c r="A9999" s="3">
        <f>IFERROR(__xludf.DUMMYFUNCTION("""COMPUTED_VALUE"""),43700.66666666667)</f>
        <v>43700.66667</v>
      </c>
      <c r="B9999" s="2">
        <f>IFERROR(__xludf.DUMMYFUNCTION("""COMPUTED_VALUE"""),127.64)</f>
        <v>127.64</v>
      </c>
      <c r="C9999" s="2">
        <f>IFERROR(__xludf.DUMMYFUNCTION("""COMPUTED_VALUE"""),128.24)</f>
        <v>128.24</v>
      </c>
      <c r="D9999" s="2">
        <f>IFERROR(__xludf.DUMMYFUNCTION("""COMPUTED_VALUE"""),123.05)</f>
        <v>123.05</v>
      </c>
      <c r="E9999" s="2">
        <f>IFERROR(__xludf.DUMMYFUNCTION("""COMPUTED_VALUE"""),123.76)</f>
        <v>123.76</v>
      </c>
      <c r="F9999" s="2">
        <f>IFERROR(__xludf.DUMMYFUNCTION("""COMPUTED_VALUE"""),4818759.0)</f>
        <v>4818759</v>
      </c>
    </row>
    <row r="10000">
      <c r="A10000" s="3">
        <f>IFERROR(__xludf.DUMMYFUNCTION("""COMPUTED_VALUE"""),43703.66666666667)</f>
        <v>43703.66667</v>
      </c>
      <c r="B10000" s="2">
        <f>IFERROR(__xludf.DUMMYFUNCTION("""COMPUTED_VALUE"""),125.17)</f>
        <v>125.17</v>
      </c>
      <c r="C10000" s="2">
        <f>IFERROR(__xludf.DUMMYFUNCTION("""COMPUTED_VALUE"""),125.41)</f>
        <v>125.41</v>
      </c>
      <c r="D10000" s="2">
        <f>IFERROR(__xludf.DUMMYFUNCTION("""COMPUTED_VALUE"""),123.37)</f>
        <v>123.37</v>
      </c>
      <c r="E10000" s="2">
        <f>IFERROR(__xludf.DUMMYFUNCTION("""COMPUTED_VALUE"""),124.16)</f>
        <v>124.16</v>
      </c>
      <c r="F10000" s="2">
        <f>IFERROR(__xludf.DUMMYFUNCTION("""COMPUTED_VALUE"""),2836837.0)</f>
        <v>2836837</v>
      </c>
    </row>
    <row r="10001">
      <c r="A10001" s="3">
        <f>IFERROR(__xludf.DUMMYFUNCTION("""COMPUTED_VALUE"""),43704.66666666667)</f>
        <v>43704.66667</v>
      </c>
      <c r="B10001" s="2">
        <f>IFERROR(__xludf.DUMMYFUNCTION("""COMPUTED_VALUE"""),125.32)</f>
        <v>125.32</v>
      </c>
      <c r="C10001" s="2">
        <f>IFERROR(__xludf.DUMMYFUNCTION("""COMPUTED_VALUE"""),125.79)</f>
        <v>125.79</v>
      </c>
      <c r="D10001" s="2">
        <f>IFERROR(__xludf.DUMMYFUNCTION("""COMPUTED_VALUE"""),124.47)</f>
        <v>124.47</v>
      </c>
      <c r="E10001" s="2">
        <f>IFERROR(__xludf.DUMMYFUNCTION("""COMPUTED_VALUE"""),125.29)</f>
        <v>125.29</v>
      </c>
      <c r="F10001" s="2">
        <f>IFERROR(__xludf.DUMMYFUNCTION("""COMPUTED_VALUE"""),4728392.0)</f>
        <v>4728392</v>
      </c>
    </row>
    <row r="10002">
      <c r="A10002" s="3">
        <f>IFERROR(__xludf.DUMMYFUNCTION("""COMPUTED_VALUE"""),43705.66666666667)</f>
        <v>43705.66667</v>
      </c>
      <c r="B10002" s="2">
        <f>IFERROR(__xludf.DUMMYFUNCTION("""COMPUTED_VALUE"""),124.59)</f>
        <v>124.59</v>
      </c>
      <c r="C10002" s="2">
        <f>IFERROR(__xludf.DUMMYFUNCTION("""COMPUTED_VALUE"""),126.93)</f>
        <v>126.93</v>
      </c>
      <c r="D10002" s="2">
        <f>IFERROR(__xludf.DUMMYFUNCTION("""COMPUTED_VALUE"""),124.21)</f>
        <v>124.21</v>
      </c>
      <c r="E10002" s="2">
        <f>IFERROR(__xludf.DUMMYFUNCTION("""COMPUTED_VALUE"""),126.81)</f>
        <v>126.81</v>
      </c>
      <c r="F10002" s="2">
        <f>IFERROR(__xludf.DUMMYFUNCTION("""COMPUTED_VALUE"""),2720362.0)</f>
        <v>2720362</v>
      </c>
    </row>
    <row r="10003">
      <c r="A10003" s="3">
        <f>IFERROR(__xludf.DUMMYFUNCTION("""COMPUTED_VALUE"""),43706.66666666667)</f>
        <v>43706.66667</v>
      </c>
      <c r="B10003" s="2">
        <f>IFERROR(__xludf.DUMMYFUNCTION("""COMPUTED_VALUE"""),128.16)</f>
        <v>128.16</v>
      </c>
      <c r="C10003" s="2">
        <f>IFERROR(__xludf.DUMMYFUNCTION("""COMPUTED_VALUE"""),129.61)</f>
        <v>129.61</v>
      </c>
      <c r="D10003" s="2">
        <f>IFERROR(__xludf.DUMMYFUNCTION("""COMPUTED_VALUE"""),128.03)</f>
        <v>128.03</v>
      </c>
      <c r="E10003" s="2">
        <f>IFERROR(__xludf.DUMMYFUNCTION("""COMPUTED_VALUE"""),128.83)</f>
        <v>128.83</v>
      </c>
      <c r="F10003" s="2">
        <f>IFERROR(__xludf.DUMMYFUNCTION("""COMPUTED_VALUE"""),2972842.0)</f>
        <v>2972842</v>
      </c>
    </row>
    <row r="10004">
      <c r="A10004" s="3">
        <f>IFERROR(__xludf.DUMMYFUNCTION("""COMPUTED_VALUE"""),43707.66666666667)</f>
        <v>43707.66667</v>
      </c>
      <c r="B10004" s="2">
        <f>IFERROR(__xludf.DUMMYFUNCTION("""COMPUTED_VALUE"""),129.5)</f>
        <v>129.5</v>
      </c>
      <c r="C10004" s="2">
        <f>IFERROR(__xludf.DUMMYFUNCTION("""COMPUTED_VALUE"""),129.97)</f>
        <v>129.97</v>
      </c>
      <c r="D10004" s="2">
        <f>IFERROR(__xludf.DUMMYFUNCTION("""COMPUTED_VALUE"""),128.34)</f>
        <v>128.34</v>
      </c>
      <c r="E10004" s="2">
        <f>IFERROR(__xludf.DUMMYFUNCTION("""COMPUTED_VALUE"""),129.45)</f>
        <v>129.45</v>
      </c>
      <c r="F10004" s="2">
        <f>IFERROR(__xludf.DUMMYFUNCTION("""COMPUTED_VALUE"""),2960594.0)</f>
        <v>2960594</v>
      </c>
    </row>
    <row r="10005">
      <c r="A10005" s="3">
        <f>IFERROR(__xludf.DUMMYFUNCTION("""COMPUTED_VALUE"""),43711.66666666667)</f>
        <v>43711.66667</v>
      </c>
      <c r="B10005" s="2">
        <f>IFERROR(__xludf.DUMMYFUNCTION("""COMPUTED_VALUE"""),128.8)</f>
        <v>128.8</v>
      </c>
      <c r="C10005" s="2">
        <f>IFERROR(__xludf.DUMMYFUNCTION("""COMPUTED_VALUE"""),128.85)</f>
        <v>128.85</v>
      </c>
      <c r="D10005" s="2">
        <f>IFERROR(__xludf.DUMMYFUNCTION("""COMPUTED_VALUE"""),127.35)</f>
        <v>127.35</v>
      </c>
      <c r="E10005" s="2">
        <f>IFERROR(__xludf.DUMMYFUNCTION("""COMPUTED_VALUE"""),128.09)</f>
        <v>128.09</v>
      </c>
      <c r="F10005" s="2">
        <f>IFERROR(__xludf.DUMMYFUNCTION("""COMPUTED_VALUE"""),2828242.0)</f>
        <v>2828242</v>
      </c>
    </row>
    <row r="10006">
      <c r="A10006" s="3">
        <f>IFERROR(__xludf.DUMMYFUNCTION("""COMPUTED_VALUE"""),43712.66666666667)</f>
        <v>43712.66667</v>
      </c>
      <c r="B10006" s="2">
        <f>IFERROR(__xludf.DUMMYFUNCTION("""COMPUTED_VALUE"""),129.63)</f>
        <v>129.63</v>
      </c>
      <c r="C10006" s="2">
        <f>IFERROR(__xludf.DUMMYFUNCTION("""COMPUTED_VALUE"""),130.31)</f>
        <v>130.31</v>
      </c>
      <c r="D10006" s="2">
        <f>IFERROR(__xludf.DUMMYFUNCTION("""COMPUTED_VALUE"""),129.09)</f>
        <v>129.09</v>
      </c>
      <c r="E10006" s="2">
        <f>IFERROR(__xludf.DUMMYFUNCTION("""COMPUTED_VALUE"""),130.21)</f>
        <v>130.21</v>
      </c>
      <c r="F10006" s="2">
        <f>IFERROR(__xludf.DUMMYFUNCTION("""COMPUTED_VALUE"""),2262081.0)</f>
        <v>2262081</v>
      </c>
    </row>
    <row r="10007">
      <c r="A10007" s="3">
        <f>IFERROR(__xludf.DUMMYFUNCTION("""COMPUTED_VALUE"""),43713.66666666667)</f>
        <v>43713.66667</v>
      </c>
      <c r="B10007" s="2">
        <f>IFERROR(__xludf.DUMMYFUNCTION("""COMPUTED_VALUE"""),132.1)</f>
        <v>132.1</v>
      </c>
      <c r="C10007" s="2">
        <f>IFERROR(__xludf.DUMMYFUNCTION("""COMPUTED_VALUE"""),135.34)</f>
        <v>135.34</v>
      </c>
      <c r="D10007" s="2">
        <f>IFERROR(__xludf.DUMMYFUNCTION("""COMPUTED_VALUE"""),131.86)</f>
        <v>131.86</v>
      </c>
      <c r="E10007" s="2">
        <f>IFERROR(__xludf.DUMMYFUNCTION("""COMPUTED_VALUE"""),134.65)</f>
        <v>134.65</v>
      </c>
      <c r="F10007" s="2">
        <f>IFERROR(__xludf.DUMMYFUNCTION("""COMPUTED_VALUE"""),5012914.0)</f>
        <v>5012914</v>
      </c>
    </row>
    <row r="10008">
      <c r="A10008" s="3">
        <f>IFERROR(__xludf.DUMMYFUNCTION("""COMPUTED_VALUE"""),43714.66666666667)</f>
        <v>43714.66667</v>
      </c>
      <c r="B10008" s="2">
        <f>IFERROR(__xludf.DUMMYFUNCTION("""COMPUTED_VALUE"""),135.17)</f>
        <v>135.17</v>
      </c>
      <c r="C10008" s="2">
        <f>IFERROR(__xludf.DUMMYFUNCTION("""COMPUTED_VALUE"""),135.18)</f>
        <v>135.18</v>
      </c>
      <c r="D10008" s="2">
        <f>IFERROR(__xludf.DUMMYFUNCTION("""COMPUTED_VALUE"""),134.16)</f>
        <v>134.16</v>
      </c>
      <c r="E10008" s="2">
        <f>IFERROR(__xludf.DUMMYFUNCTION("""COMPUTED_VALUE"""),134.27)</f>
        <v>134.27</v>
      </c>
      <c r="F10008" s="2">
        <f>IFERROR(__xludf.DUMMYFUNCTION("""COMPUTED_VALUE"""),2577200.0)</f>
        <v>2577200</v>
      </c>
    </row>
    <row r="10009">
      <c r="A10009" s="3">
        <f>IFERROR(__xludf.DUMMYFUNCTION("""COMPUTED_VALUE"""),43717.66666666667)</f>
        <v>43717.66667</v>
      </c>
      <c r="B10009" s="2">
        <f>IFERROR(__xludf.DUMMYFUNCTION("""COMPUTED_VALUE"""),134.29)</f>
        <v>134.29</v>
      </c>
      <c r="C10009" s="2">
        <f>IFERROR(__xludf.DUMMYFUNCTION("""COMPUTED_VALUE"""),136.61)</f>
        <v>136.61</v>
      </c>
      <c r="D10009" s="2">
        <f>IFERROR(__xludf.DUMMYFUNCTION("""COMPUTED_VALUE"""),134.16)</f>
        <v>134.16</v>
      </c>
      <c r="E10009" s="2">
        <f>IFERROR(__xludf.DUMMYFUNCTION("""COMPUTED_VALUE"""),136.21)</f>
        <v>136.21</v>
      </c>
      <c r="F10009" s="2">
        <f>IFERROR(__xludf.DUMMYFUNCTION("""COMPUTED_VALUE"""),4226944.0)</f>
        <v>4226944</v>
      </c>
    </row>
    <row r="10010">
      <c r="A10010" s="3">
        <f>IFERROR(__xludf.DUMMYFUNCTION("""COMPUTED_VALUE"""),43718.66666666667)</f>
        <v>43718.66667</v>
      </c>
      <c r="B10010" s="2">
        <f>IFERROR(__xludf.DUMMYFUNCTION("""COMPUTED_VALUE"""),136.59)</f>
        <v>136.59</v>
      </c>
      <c r="C10010" s="2">
        <f>IFERROR(__xludf.DUMMYFUNCTION("""COMPUTED_VALUE"""),138.94)</f>
        <v>138.94</v>
      </c>
      <c r="D10010" s="2">
        <f>IFERROR(__xludf.DUMMYFUNCTION("""COMPUTED_VALUE"""),136.55)</f>
        <v>136.55</v>
      </c>
      <c r="E10010" s="2">
        <f>IFERROR(__xludf.DUMMYFUNCTION("""COMPUTED_VALUE"""),138.55)</f>
        <v>138.55</v>
      </c>
      <c r="F10010" s="2">
        <f>IFERROR(__xludf.DUMMYFUNCTION("""COMPUTED_VALUE"""),4979741.0)</f>
        <v>4979741</v>
      </c>
    </row>
    <row r="10011">
      <c r="A10011" s="3">
        <f>IFERROR(__xludf.DUMMYFUNCTION("""COMPUTED_VALUE"""),43719.66666666667)</f>
        <v>43719.66667</v>
      </c>
      <c r="B10011" s="2">
        <f>IFERROR(__xludf.DUMMYFUNCTION("""COMPUTED_VALUE"""),138.36)</f>
        <v>138.36</v>
      </c>
      <c r="C10011" s="2">
        <f>IFERROR(__xludf.DUMMYFUNCTION("""COMPUTED_VALUE"""),138.61)</f>
        <v>138.61</v>
      </c>
      <c r="D10011" s="2">
        <f>IFERROR(__xludf.DUMMYFUNCTION("""COMPUTED_VALUE"""),136.31)</f>
        <v>136.31</v>
      </c>
      <c r="E10011" s="2">
        <f>IFERROR(__xludf.DUMMYFUNCTION("""COMPUTED_VALUE"""),137.16)</f>
        <v>137.16</v>
      </c>
      <c r="F10011" s="2">
        <f>IFERROR(__xludf.DUMMYFUNCTION("""COMPUTED_VALUE"""),3869731.0)</f>
        <v>3869731</v>
      </c>
    </row>
    <row r="10012">
      <c r="A10012" s="3">
        <f>IFERROR(__xludf.DUMMYFUNCTION("""COMPUTED_VALUE"""),43720.66666666667)</f>
        <v>43720.66667</v>
      </c>
      <c r="B10012" s="2">
        <f>IFERROR(__xludf.DUMMYFUNCTION("""COMPUTED_VALUE"""),137.57)</f>
        <v>137.57</v>
      </c>
      <c r="C10012" s="2">
        <f>IFERROR(__xludf.DUMMYFUNCTION("""COMPUTED_VALUE"""),137.58)</f>
        <v>137.58</v>
      </c>
      <c r="D10012" s="2">
        <f>IFERROR(__xludf.DUMMYFUNCTION("""COMPUTED_VALUE"""),135.52)</f>
        <v>135.52</v>
      </c>
      <c r="E10012" s="2">
        <f>IFERROR(__xludf.DUMMYFUNCTION("""COMPUTED_VALUE"""),137.18)</f>
        <v>137.18</v>
      </c>
      <c r="F10012" s="2">
        <f>IFERROR(__xludf.DUMMYFUNCTION("""COMPUTED_VALUE"""),2505432.0)</f>
        <v>2505432</v>
      </c>
    </row>
    <row r="10013">
      <c r="A10013" s="3">
        <f>IFERROR(__xludf.DUMMYFUNCTION("""COMPUTED_VALUE"""),43721.66666666667)</f>
        <v>43721.66667</v>
      </c>
      <c r="B10013" s="2">
        <f>IFERROR(__xludf.DUMMYFUNCTION("""COMPUTED_VALUE"""),137.85)</f>
        <v>137.85</v>
      </c>
      <c r="C10013" s="2">
        <f>IFERROR(__xludf.DUMMYFUNCTION("""COMPUTED_VALUE"""),138.16)</f>
        <v>138.16</v>
      </c>
      <c r="D10013" s="2">
        <f>IFERROR(__xludf.DUMMYFUNCTION("""COMPUTED_VALUE"""),136.84)</f>
        <v>136.84</v>
      </c>
      <c r="E10013" s="2">
        <f>IFERROR(__xludf.DUMMYFUNCTION("""COMPUTED_VALUE"""),137.23)</f>
        <v>137.23</v>
      </c>
      <c r="F10013" s="2">
        <f>IFERROR(__xludf.DUMMYFUNCTION("""COMPUTED_VALUE"""),2206612.0)</f>
        <v>2206612</v>
      </c>
    </row>
    <row r="10014">
      <c r="A10014" s="3">
        <f>IFERROR(__xludf.DUMMYFUNCTION("""COMPUTED_VALUE"""),43724.66666666667)</f>
        <v>43724.66667</v>
      </c>
      <c r="B10014" s="2">
        <f>IFERROR(__xludf.DUMMYFUNCTION("""COMPUTED_VALUE"""),136.17)</f>
        <v>136.17</v>
      </c>
      <c r="C10014" s="2">
        <f>IFERROR(__xludf.DUMMYFUNCTION("""COMPUTED_VALUE"""),137.2)</f>
        <v>137.2</v>
      </c>
      <c r="D10014" s="2">
        <f>IFERROR(__xludf.DUMMYFUNCTION("""COMPUTED_VALUE"""),135.89)</f>
        <v>135.89</v>
      </c>
      <c r="E10014" s="2">
        <f>IFERROR(__xludf.DUMMYFUNCTION("""COMPUTED_VALUE"""),136.09)</f>
        <v>136.09</v>
      </c>
      <c r="F10014" s="2">
        <f>IFERROR(__xludf.DUMMYFUNCTION("""COMPUTED_VALUE"""),1928500.0)</f>
        <v>1928500</v>
      </c>
    </row>
    <row r="10015">
      <c r="A10015" s="3">
        <f>IFERROR(__xludf.DUMMYFUNCTION("""COMPUTED_VALUE"""),43725.66666666667)</f>
        <v>43725.66667</v>
      </c>
      <c r="B10015" s="2">
        <f>IFERROR(__xludf.DUMMYFUNCTION("""COMPUTED_VALUE"""),136.09)</f>
        <v>136.09</v>
      </c>
      <c r="C10015" s="2">
        <f>IFERROR(__xludf.DUMMYFUNCTION("""COMPUTED_VALUE"""),136.09)</f>
        <v>136.09</v>
      </c>
      <c r="D10015" s="2">
        <f>IFERROR(__xludf.DUMMYFUNCTION("""COMPUTED_VALUE"""),134.35)</f>
        <v>134.35</v>
      </c>
      <c r="E10015" s="2">
        <f>IFERROR(__xludf.DUMMYFUNCTION("""COMPUTED_VALUE"""),135.82)</f>
        <v>135.82</v>
      </c>
      <c r="F10015" s="2">
        <f>IFERROR(__xludf.DUMMYFUNCTION("""COMPUTED_VALUE"""),2940494.0)</f>
        <v>2940494</v>
      </c>
    </row>
    <row r="10016">
      <c r="A10016" s="3">
        <f>IFERROR(__xludf.DUMMYFUNCTION("""COMPUTED_VALUE"""),43726.66666666667)</f>
        <v>43726.66667</v>
      </c>
      <c r="B10016" s="2">
        <f>IFERROR(__xludf.DUMMYFUNCTION("""COMPUTED_VALUE"""),135.68)</f>
        <v>135.68</v>
      </c>
      <c r="C10016" s="2">
        <f>IFERROR(__xludf.DUMMYFUNCTION("""COMPUTED_VALUE"""),135.92)</f>
        <v>135.92</v>
      </c>
      <c r="D10016" s="2">
        <f>IFERROR(__xludf.DUMMYFUNCTION("""COMPUTED_VALUE"""),134.21)</f>
        <v>134.21</v>
      </c>
      <c r="E10016" s="2">
        <f>IFERROR(__xludf.DUMMYFUNCTION("""COMPUTED_VALUE"""),135.84)</f>
        <v>135.84</v>
      </c>
      <c r="F10016" s="2">
        <f>IFERROR(__xludf.DUMMYFUNCTION("""COMPUTED_VALUE"""),1995159.0)</f>
        <v>1995159</v>
      </c>
    </row>
    <row r="10017">
      <c r="A10017" s="3">
        <f>IFERROR(__xludf.DUMMYFUNCTION("""COMPUTED_VALUE"""),43727.66666666667)</f>
        <v>43727.66667</v>
      </c>
      <c r="B10017" s="2">
        <f>IFERROR(__xludf.DUMMYFUNCTION("""COMPUTED_VALUE"""),136.07)</f>
        <v>136.07</v>
      </c>
      <c r="C10017" s="2">
        <f>IFERROR(__xludf.DUMMYFUNCTION("""COMPUTED_VALUE"""),138.53)</f>
        <v>138.53</v>
      </c>
      <c r="D10017" s="2">
        <f>IFERROR(__xludf.DUMMYFUNCTION("""COMPUTED_VALUE"""),136.06)</f>
        <v>136.06</v>
      </c>
      <c r="E10017" s="2">
        <f>IFERROR(__xludf.DUMMYFUNCTION("""COMPUTED_VALUE"""),136.56)</f>
        <v>136.56</v>
      </c>
      <c r="F10017" s="2">
        <f>IFERROR(__xludf.DUMMYFUNCTION("""COMPUTED_VALUE"""),3182092.0)</f>
        <v>3182092</v>
      </c>
    </row>
    <row r="10018">
      <c r="A10018" s="3">
        <f>IFERROR(__xludf.DUMMYFUNCTION("""COMPUTED_VALUE"""),43728.66666666667)</f>
        <v>43728.66667</v>
      </c>
      <c r="B10018" s="2">
        <f>IFERROR(__xludf.DUMMYFUNCTION("""COMPUTED_VALUE"""),136.83)</f>
        <v>136.83</v>
      </c>
      <c r="C10018" s="2">
        <f>IFERROR(__xludf.DUMMYFUNCTION("""COMPUTED_VALUE"""),137.38)</f>
        <v>137.38</v>
      </c>
      <c r="D10018" s="2">
        <f>IFERROR(__xludf.DUMMYFUNCTION("""COMPUTED_VALUE"""),135.46)</f>
        <v>135.46</v>
      </c>
      <c r="E10018" s="2">
        <f>IFERROR(__xludf.DUMMYFUNCTION("""COMPUTED_VALUE"""),135.52)</f>
        <v>135.52</v>
      </c>
      <c r="F10018" s="2">
        <f>IFERROR(__xludf.DUMMYFUNCTION("""COMPUTED_VALUE"""),5217881.0)</f>
        <v>5217881</v>
      </c>
    </row>
    <row r="10019">
      <c r="A10019" s="3">
        <f>IFERROR(__xludf.DUMMYFUNCTION("""COMPUTED_VALUE"""),43731.66666666667)</f>
        <v>43731.66667</v>
      </c>
      <c r="B10019" s="2">
        <f>IFERROR(__xludf.DUMMYFUNCTION("""COMPUTED_VALUE"""),134.86)</f>
        <v>134.86</v>
      </c>
      <c r="C10019" s="2">
        <f>IFERROR(__xludf.DUMMYFUNCTION("""COMPUTED_VALUE"""),135.84)</f>
        <v>135.84</v>
      </c>
      <c r="D10019" s="2">
        <f>IFERROR(__xludf.DUMMYFUNCTION("""COMPUTED_VALUE"""),134.26)</f>
        <v>134.26</v>
      </c>
      <c r="E10019" s="2">
        <f>IFERROR(__xludf.DUMMYFUNCTION("""COMPUTED_VALUE"""),135.7)</f>
        <v>135.7</v>
      </c>
      <c r="F10019" s="2">
        <f>IFERROR(__xludf.DUMMYFUNCTION("""COMPUTED_VALUE"""),1850061.0)</f>
        <v>1850061</v>
      </c>
    </row>
    <row r="10020">
      <c r="A10020" s="3">
        <f>IFERROR(__xludf.DUMMYFUNCTION("""COMPUTED_VALUE"""),43732.66666666667)</f>
        <v>43732.66667</v>
      </c>
      <c r="B10020" s="2">
        <f>IFERROR(__xludf.DUMMYFUNCTION("""COMPUTED_VALUE"""),136.11)</f>
        <v>136.11</v>
      </c>
      <c r="C10020" s="2">
        <f>IFERROR(__xludf.DUMMYFUNCTION("""COMPUTED_VALUE"""),136.48)</f>
        <v>136.48</v>
      </c>
      <c r="D10020" s="2">
        <f>IFERROR(__xludf.DUMMYFUNCTION("""COMPUTED_VALUE"""),134.74)</f>
        <v>134.74</v>
      </c>
      <c r="E10020" s="2">
        <f>IFERROR(__xludf.DUMMYFUNCTION("""COMPUTED_VALUE"""),135.33)</f>
        <v>135.33</v>
      </c>
      <c r="F10020" s="2">
        <f>IFERROR(__xludf.DUMMYFUNCTION("""COMPUTED_VALUE"""),3311171.0)</f>
        <v>3311171</v>
      </c>
    </row>
    <row r="10021">
      <c r="A10021" s="3">
        <f>IFERROR(__xludf.DUMMYFUNCTION("""COMPUTED_VALUE"""),43733.66666666667)</f>
        <v>43733.66667</v>
      </c>
      <c r="B10021" s="2">
        <f>IFERROR(__xludf.DUMMYFUNCTION("""COMPUTED_VALUE"""),135.38)</f>
        <v>135.38</v>
      </c>
      <c r="C10021" s="2">
        <f>IFERROR(__xludf.DUMMYFUNCTION("""COMPUTED_VALUE"""),137.19)</f>
        <v>137.19</v>
      </c>
      <c r="D10021" s="2">
        <f>IFERROR(__xludf.DUMMYFUNCTION("""COMPUTED_VALUE"""),134.54)</f>
        <v>134.54</v>
      </c>
      <c r="E10021" s="2">
        <f>IFERROR(__xludf.DUMMYFUNCTION("""COMPUTED_VALUE"""),136.74)</f>
        <v>136.74</v>
      </c>
      <c r="F10021" s="2">
        <f>IFERROR(__xludf.DUMMYFUNCTION("""COMPUTED_VALUE"""),2546205.0)</f>
        <v>2546205</v>
      </c>
    </row>
    <row r="10022">
      <c r="A10022" s="3">
        <f>IFERROR(__xludf.DUMMYFUNCTION("""COMPUTED_VALUE"""),43734.66666666667)</f>
        <v>43734.66667</v>
      </c>
      <c r="B10022" s="2">
        <f>IFERROR(__xludf.DUMMYFUNCTION("""COMPUTED_VALUE"""),136.75)</f>
        <v>136.75</v>
      </c>
      <c r="C10022" s="2">
        <f>IFERROR(__xludf.DUMMYFUNCTION("""COMPUTED_VALUE"""),137.43)</f>
        <v>137.43</v>
      </c>
      <c r="D10022" s="2">
        <f>IFERROR(__xludf.DUMMYFUNCTION("""COMPUTED_VALUE"""),135.07)</f>
        <v>135.07</v>
      </c>
      <c r="E10022" s="2">
        <f>IFERROR(__xludf.DUMMYFUNCTION("""COMPUTED_VALUE"""),137.11)</f>
        <v>137.11</v>
      </c>
      <c r="F10022" s="2">
        <f>IFERROR(__xludf.DUMMYFUNCTION("""COMPUTED_VALUE"""),2314542.0)</f>
        <v>2314542</v>
      </c>
    </row>
    <row r="10023">
      <c r="A10023" s="3">
        <f>IFERROR(__xludf.DUMMYFUNCTION("""COMPUTED_VALUE"""),43735.66666666667)</f>
        <v>43735.66667</v>
      </c>
      <c r="B10023" s="2">
        <f>IFERROR(__xludf.DUMMYFUNCTION("""COMPUTED_VALUE"""),137.94)</f>
        <v>137.94</v>
      </c>
      <c r="C10023" s="2">
        <f>IFERROR(__xludf.DUMMYFUNCTION("""COMPUTED_VALUE"""),138.58)</f>
        <v>138.58</v>
      </c>
      <c r="D10023" s="2">
        <f>IFERROR(__xludf.DUMMYFUNCTION("""COMPUTED_VALUE"""),136.0)</f>
        <v>136</v>
      </c>
      <c r="E10023" s="2">
        <f>IFERROR(__xludf.DUMMYFUNCTION("""COMPUTED_VALUE"""),136.82)</f>
        <v>136.82</v>
      </c>
      <c r="F10023" s="2">
        <f>IFERROR(__xludf.DUMMYFUNCTION("""COMPUTED_VALUE"""),2357082.0)</f>
        <v>2357082</v>
      </c>
    </row>
    <row r="10024">
      <c r="A10024" s="3">
        <f>IFERROR(__xludf.DUMMYFUNCTION("""COMPUTED_VALUE"""),43738.66666666667)</f>
        <v>43738.66667</v>
      </c>
      <c r="B10024" s="2">
        <f>IFERROR(__xludf.DUMMYFUNCTION("""COMPUTED_VALUE"""),137.29)</f>
        <v>137.29</v>
      </c>
      <c r="C10024" s="2">
        <f>IFERROR(__xludf.DUMMYFUNCTION("""COMPUTED_VALUE"""),140.0)</f>
        <v>140</v>
      </c>
      <c r="D10024" s="2">
        <f>IFERROR(__xludf.DUMMYFUNCTION("""COMPUTED_VALUE"""),137.29)</f>
        <v>137.29</v>
      </c>
      <c r="E10024" s="2">
        <f>IFERROR(__xludf.DUMMYFUNCTION("""COMPUTED_VALUE"""),138.9)</f>
        <v>138.9</v>
      </c>
      <c r="F10024" s="2">
        <f>IFERROR(__xludf.DUMMYFUNCTION("""COMPUTED_VALUE"""),4004429.0)</f>
        <v>4004429</v>
      </c>
    </row>
    <row r="10025">
      <c r="A10025" s="3">
        <f>IFERROR(__xludf.DUMMYFUNCTION("""COMPUTED_VALUE"""),43739.66666666667)</f>
        <v>43739.66667</v>
      </c>
      <c r="B10025" s="2">
        <f>IFERROR(__xludf.DUMMYFUNCTION("""COMPUTED_VALUE"""),139.06)</f>
        <v>139.06</v>
      </c>
      <c r="C10025" s="2">
        <f>IFERROR(__xludf.DUMMYFUNCTION("""COMPUTED_VALUE"""),140.74)</f>
        <v>140.74</v>
      </c>
      <c r="D10025" s="2">
        <f>IFERROR(__xludf.DUMMYFUNCTION("""COMPUTED_VALUE"""),137.1)</f>
        <v>137.1</v>
      </c>
      <c r="E10025" s="2">
        <f>IFERROR(__xludf.DUMMYFUNCTION("""COMPUTED_VALUE"""),137.22)</f>
        <v>137.22</v>
      </c>
      <c r="F10025" s="2">
        <f>IFERROR(__xludf.DUMMYFUNCTION("""COMPUTED_VALUE"""),2973714.0)</f>
        <v>2973714</v>
      </c>
    </row>
    <row r="10026">
      <c r="A10026" s="3">
        <f>IFERROR(__xludf.DUMMYFUNCTION("""COMPUTED_VALUE"""),43740.66666666667)</f>
        <v>43740.66667</v>
      </c>
      <c r="B10026" s="2">
        <f>IFERROR(__xludf.DUMMYFUNCTION("""COMPUTED_VALUE"""),135.81)</f>
        <v>135.81</v>
      </c>
      <c r="C10026" s="2">
        <f>IFERROR(__xludf.DUMMYFUNCTION("""COMPUTED_VALUE"""),135.89)</f>
        <v>135.89</v>
      </c>
      <c r="D10026" s="2">
        <f>IFERROR(__xludf.DUMMYFUNCTION("""COMPUTED_VALUE"""),134.27)</f>
        <v>134.27</v>
      </c>
      <c r="E10026" s="2">
        <f>IFERROR(__xludf.DUMMYFUNCTION("""COMPUTED_VALUE"""),135.34)</f>
        <v>135.34</v>
      </c>
      <c r="F10026" s="2">
        <f>IFERROR(__xludf.DUMMYFUNCTION("""COMPUTED_VALUE"""),3347276.0)</f>
        <v>3347276</v>
      </c>
    </row>
    <row r="10027">
      <c r="A10027" s="3">
        <f>IFERROR(__xludf.DUMMYFUNCTION("""COMPUTED_VALUE"""),43741.66666666667)</f>
        <v>43741.66667</v>
      </c>
      <c r="B10027" s="2">
        <f>IFERROR(__xludf.DUMMYFUNCTION("""COMPUTED_VALUE"""),135.27)</f>
        <v>135.27</v>
      </c>
      <c r="C10027" s="2">
        <f>IFERROR(__xludf.DUMMYFUNCTION("""COMPUTED_VALUE"""),135.7)</f>
        <v>135.7</v>
      </c>
      <c r="D10027" s="2">
        <f>IFERROR(__xludf.DUMMYFUNCTION("""COMPUTED_VALUE"""),132.94)</f>
        <v>132.94</v>
      </c>
      <c r="E10027" s="2">
        <f>IFERROR(__xludf.DUMMYFUNCTION("""COMPUTED_VALUE"""),135.65)</f>
        <v>135.65</v>
      </c>
      <c r="F10027" s="2">
        <f>IFERROR(__xludf.DUMMYFUNCTION("""COMPUTED_VALUE"""),3161718.0)</f>
        <v>3161718</v>
      </c>
    </row>
    <row r="10028">
      <c r="A10028" s="3">
        <f>IFERROR(__xludf.DUMMYFUNCTION("""COMPUTED_VALUE"""),43742.66666666667)</f>
        <v>43742.66667</v>
      </c>
      <c r="B10028" s="2">
        <f>IFERROR(__xludf.DUMMYFUNCTION("""COMPUTED_VALUE"""),135.69)</f>
        <v>135.69</v>
      </c>
      <c r="C10028" s="2">
        <f>IFERROR(__xludf.DUMMYFUNCTION("""COMPUTED_VALUE"""),136.65)</f>
        <v>136.65</v>
      </c>
      <c r="D10028" s="2">
        <f>IFERROR(__xludf.DUMMYFUNCTION("""COMPUTED_VALUE"""),134.71)</f>
        <v>134.71</v>
      </c>
      <c r="E10028" s="2">
        <f>IFERROR(__xludf.DUMMYFUNCTION("""COMPUTED_VALUE"""),136.58)</f>
        <v>136.58</v>
      </c>
      <c r="F10028" s="2">
        <f>IFERROR(__xludf.DUMMYFUNCTION("""COMPUTED_VALUE"""),2449483.0)</f>
        <v>2449483</v>
      </c>
    </row>
    <row r="10029">
      <c r="A10029" s="3">
        <f>IFERROR(__xludf.DUMMYFUNCTION("""COMPUTED_VALUE"""),43745.66666666667)</f>
        <v>43745.66667</v>
      </c>
      <c r="B10029" s="2">
        <f>IFERROR(__xludf.DUMMYFUNCTION("""COMPUTED_VALUE"""),135.88)</f>
        <v>135.88</v>
      </c>
      <c r="C10029" s="2">
        <f>IFERROR(__xludf.DUMMYFUNCTION("""COMPUTED_VALUE"""),136.3)</f>
        <v>136.3</v>
      </c>
      <c r="D10029" s="2">
        <f>IFERROR(__xludf.DUMMYFUNCTION("""COMPUTED_VALUE"""),134.89)</f>
        <v>134.89</v>
      </c>
      <c r="E10029" s="2">
        <f>IFERROR(__xludf.DUMMYFUNCTION("""COMPUTED_VALUE"""),134.95)</f>
        <v>134.95</v>
      </c>
      <c r="F10029" s="2">
        <f>IFERROR(__xludf.DUMMYFUNCTION("""COMPUTED_VALUE"""),2488799.0)</f>
        <v>2488799</v>
      </c>
    </row>
    <row r="10030">
      <c r="A10030" s="3">
        <f>IFERROR(__xludf.DUMMYFUNCTION("""COMPUTED_VALUE"""),43746.66666666667)</f>
        <v>43746.66667</v>
      </c>
      <c r="B10030" s="2">
        <f>IFERROR(__xludf.DUMMYFUNCTION("""COMPUTED_VALUE"""),133.95)</f>
        <v>133.95</v>
      </c>
      <c r="C10030" s="2">
        <f>IFERROR(__xludf.DUMMYFUNCTION("""COMPUTED_VALUE"""),134.18)</f>
        <v>134.18</v>
      </c>
      <c r="D10030" s="2">
        <f>IFERROR(__xludf.DUMMYFUNCTION("""COMPUTED_VALUE"""),132.05)</f>
        <v>132.05</v>
      </c>
      <c r="E10030" s="2">
        <f>IFERROR(__xludf.DUMMYFUNCTION("""COMPUTED_VALUE"""),132.18)</f>
        <v>132.18</v>
      </c>
      <c r="F10030" s="2">
        <f>IFERROR(__xludf.DUMMYFUNCTION("""COMPUTED_VALUE"""),3344083.0)</f>
        <v>3344083</v>
      </c>
    </row>
    <row r="10031">
      <c r="A10031" s="3">
        <f>IFERROR(__xludf.DUMMYFUNCTION("""COMPUTED_VALUE"""),43747.66666666667)</f>
        <v>43747.66667</v>
      </c>
      <c r="B10031" s="2">
        <f>IFERROR(__xludf.DUMMYFUNCTION("""COMPUTED_VALUE"""),133.5)</f>
        <v>133.5</v>
      </c>
      <c r="C10031" s="2">
        <f>IFERROR(__xludf.DUMMYFUNCTION("""COMPUTED_VALUE"""),134.04)</f>
        <v>134.04</v>
      </c>
      <c r="D10031" s="2">
        <f>IFERROR(__xludf.DUMMYFUNCTION("""COMPUTED_VALUE"""),132.57)</f>
        <v>132.57</v>
      </c>
      <c r="E10031" s="2">
        <f>IFERROR(__xludf.DUMMYFUNCTION("""COMPUTED_VALUE"""),133.41)</f>
        <v>133.41</v>
      </c>
      <c r="F10031" s="2">
        <f>IFERROR(__xludf.DUMMYFUNCTION("""COMPUTED_VALUE"""),2633472.0)</f>
        <v>2633472</v>
      </c>
    </row>
    <row r="10032">
      <c r="A10032" s="3">
        <f>IFERROR(__xludf.DUMMYFUNCTION("""COMPUTED_VALUE"""),43748.66666666667)</f>
        <v>43748.66667</v>
      </c>
      <c r="B10032" s="2">
        <f>IFERROR(__xludf.DUMMYFUNCTION("""COMPUTED_VALUE"""),133.5)</f>
        <v>133.5</v>
      </c>
      <c r="C10032" s="2">
        <f>IFERROR(__xludf.DUMMYFUNCTION("""COMPUTED_VALUE"""),135.42)</f>
        <v>135.42</v>
      </c>
      <c r="D10032" s="2">
        <f>IFERROR(__xludf.DUMMYFUNCTION("""COMPUTED_VALUE"""),133.3)</f>
        <v>133.3</v>
      </c>
      <c r="E10032" s="2">
        <f>IFERROR(__xludf.DUMMYFUNCTION("""COMPUTED_VALUE"""),134.8)</f>
        <v>134.8</v>
      </c>
      <c r="F10032" s="2">
        <f>IFERROR(__xludf.DUMMYFUNCTION("""COMPUTED_VALUE"""),2646693.0)</f>
        <v>2646693</v>
      </c>
    </row>
    <row r="10033">
      <c r="A10033" s="3">
        <f>IFERROR(__xludf.DUMMYFUNCTION("""COMPUTED_VALUE"""),43749.66666666667)</f>
        <v>43749.66667</v>
      </c>
      <c r="B10033" s="2">
        <f>IFERROR(__xludf.DUMMYFUNCTION("""COMPUTED_VALUE"""),136.37)</f>
        <v>136.37</v>
      </c>
      <c r="C10033" s="2">
        <f>IFERROR(__xludf.DUMMYFUNCTION("""COMPUTED_VALUE"""),138.02)</f>
        <v>138.02</v>
      </c>
      <c r="D10033" s="2">
        <f>IFERROR(__xludf.DUMMYFUNCTION("""COMPUTED_VALUE"""),136.22)</f>
        <v>136.22</v>
      </c>
      <c r="E10033" s="2">
        <f>IFERROR(__xludf.DUMMYFUNCTION("""COMPUTED_VALUE"""),136.36)</f>
        <v>136.36</v>
      </c>
      <c r="F10033" s="2">
        <f>IFERROR(__xludf.DUMMYFUNCTION("""COMPUTED_VALUE"""),3018669.0)</f>
        <v>3018669</v>
      </c>
    </row>
    <row r="10034">
      <c r="A10034" s="3">
        <f>IFERROR(__xludf.DUMMYFUNCTION("""COMPUTED_VALUE"""),43752.66666666667)</f>
        <v>43752.66667</v>
      </c>
      <c r="B10034" s="2">
        <f>IFERROR(__xludf.DUMMYFUNCTION("""COMPUTED_VALUE"""),135.93)</f>
        <v>135.93</v>
      </c>
      <c r="C10034" s="2">
        <f>IFERROR(__xludf.DUMMYFUNCTION("""COMPUTED_VALUE"""),136.04)</f>
        <v>136.04</v>
      </c>
      <c r="D10034" s="2">
        <f>IFERROR(__xludf.DUMMYFUNCTION("""COMPUTED_VALUE"""),134.98)</f>
        <v>134.98</v>
      </c>
      <c r="E10034" s="2">
        <f>IFERROR(__xludf.DUMMYFUNCTION("""COMPUTED_VALUE"""),135.67)</f>
        <v>135.67</v>
      </c>
      <c r="F10034" s="2">
        <f>IFERROR(__xludf.DUMMYFUNCTION("""COMPUTED_VALUE"""),2325609.0)</f>
        <v>2325609</v>
      </c>
    </row>
    <row r="10035">
      <c r="A10035" s="3">
        <f>IFERROR(__xludf.DUMMYFUNCTION("""COMPUTED_VALUE"""),43753.66666666667)</f>
        <v>43753.66667</v>
      </c>
      <c r="B10035" s="2">
        <f>IFERROR(__xludf.DUMMYFUNCTION("""COMPUTED_VALUE"""),136.15)</f>
        <v>136.15</v>
      </c>
      <c r="C10035" s="2">
        <f>IFERROR(__xludf.DUMMYFUNCTION("""COMPUTED_VALUE"""),137.28)</f>
        <v>137.28</v>
      </c>
      <c r="D10035" s="2">
        <f>IFERROR(__xludf.DUMMYFUNCTION("""COMPUTED_VALUE"""),135.45)</f>
        <v>135.45</v>
      </c>
      <c r="E10035" s="2">
        <f>IFERROR(__xludf.DUMMYFUNCTION("""COMPUTED_VALUE"""),136.59)</f>
        <v>136.59</v>
      </c>
      <c r="F10035" s="2">
        <f>IFERROR(__xludf.DUMMYFUNCTION("""COMPUTED_VALUE"""),3046999.0)</f>
        <v>3046999</v>
      </c>
    </row>
    <row r="10036">
      <c r="A10036" s="3">
        <f>IFERROR(__xludf.DUMMYFUNCTION("""COMPUTED_VALUE"""),43754.66666666667)</f>
        <v>43754.66667</v>
      </c>
      <c r="B10036" s="2">
        <f>IFERROR(__xludf.DUMMYFUNCTION("""COMPUTED_VALUE"""),136.1)</f>
        <v>136.1</v>
      </c>
      <c r="C10036" s="2">
        <f>IFERROR(__xludf.DUMMYFUNCTION("""COMPUTED_VALUE"""),136.54)</f>
        <v>136.54</v>
      </c>
      <c r="D10036" s="2">
        <f>IFERROR(__xludf.DUMMYFUNCTION("""COMPUTED_VALUE"""),135.05)</f>
        <v>135.05</v>
      </c>
      <c r="E10036" s="2">
        <f>IFERROR(__xludf.DUMMYFUNCTION("""COMPUTED_VALUE"""),135.74)</f>
        <v>135.74</v>
      </c>
      <c r="F10036" s="2">
        <f>IFERROR(__xludf.DUMMYFUNCTION("""COMPUTED_VALUE"""),5915705.0)</f>
        <v>5915705</v>
      </c>
    </row>
    <row r="10037">
      <c r="A10037" s="3">
        <f>IFERROR(__xludf.DUMMYFUNCTION("""COMPUTED_VALUE"""),43755.66666666667)</f>
        <v>43755.66667</v>
      </c>
      <c r="B10037" s="2">
        <f>IFERROR(__xludf.DUMMYFUNCTION("""COMPUTED_VALUE"""),128.95)</f>
        <v>128.95</v>
      </c>
      <c r="C10037" s="2">
        <f>IFERROR(__xludf.DUMMYFUNCTION("""COMPUTED_VALUE"""),129.9)</f>
        <v>129.9</v>
      </c>
      <c r="D10037" s="2">
        <f>IFERROR(__xludf.DUMMYFUNCTION("""COMPUTED_VALUE"""),126.95)</f>
        <v>126.95</v>
      </c>
      <c r="E10037" s="2">
        <f>IFERROR(__xludf.DUMMYFUNCTION("""COMPUTED_VALUE"""),128.24)</f>
        <v>128.24</v>
      </c>
      <c r="F10037" s="2">
        <f>IFERROR(__xludf.DUMMYFUNCTION("""COMPUTED_VALUE"""),1.583081E7)</f>
        <v>15830810</v>
      </c>
    </row>
    <row r="10038">
      <c r="A10038" s="3">
        <f>IFERROR(__xludf.DUMMYFUNCTION("""COMPUTED_VALUE"""),43756.66666666667)</f>
        <v>43756.66667</v>
      </c>
      <c r="B10038" s="2">
        <f>IFERROR(__xludf.DUMMYFUNCTION("""COMPUTED_VALUE"""),128.2)</f>
        <v>128.2</v>
      </c>
      <c r="C10038" s="2">
        <f>IFERROR(__xludf.DUMMYFUNCTION("""COMPUTED_VALUE"""),128.46)</f>
        <v>128.46</v>
      </c>
      <c r="D10038" s="2">
        <f>IFERROR(__xludf.DUMMYFUNCTION("""COMPUTED_VALUE"""),126.32)</f>
        <v>126.32</v>
      </c>
      <c r="E10038" s="2">
        <f>IFERROR(__xludf.DUMMYFUNCTION("""COMPUTED_VALUE"""),128.08)</f>
        <v>128.08</v>
      </c>
      <c r="F10038" s="2">
        <f>IFERROR(__xludf.DUMMYFUNCTION("""COMPUTED_VALUE"""),7178379.0)</f>
        <v>7178379</v>
      </c>
    </row>
    <row r="10039">
      <c r="A10039" s="3">
        <f>IFERROR(__xludf.DUMMYFUNCTION("""COMPUTED_VALUE"""),43759.66666666667)</f>
        <v>43759.66667</v>
      </c>
      <c r="B10039" s="2">
        <f>IFERROR(__xludf.DUMMYFUNCTION("""COMPUTED_VALUE"""),126.66)</f>
        <v>126.66</v>
      </c>
      <c r="C10039" s="2">
        <f>IFERROR(__xludf.DUMMYFUNCTION("""COMPUTED_VALUE"""),127.13)</f>
        <v>127.13</v>
      </c>
      <c r="D10039" s="2">
        <f>IFERROR(__xludf.DUMMYFUNCTION("""COMPUTED_VALUE"""),125.03)</f>
        <v>125.03</v>
      </c>
      <c r="E10039" s="2">
        <f>IFERROR(__xludf.DUMMYFUNCTION("""COMPUTED_VALUE"""),126.64)</f>
        <v>126.64</v>
      </c>
      <c r="F10039" s="2">
        <f>IFERROR(__xludf.DUMMYFUNCTION("""COMPUTED_VALUE"""),6372983.0)</f>
        <v>6372983</v>
      </c>
    </row>
    <row r="10040">
      <c r="A10040" s="3">
        <f>IFERROR(__xludf.DUMMYFUNCTION("""COMPUTED_VALUE"""),43760.66666666667)</f>
        <v>43760.66667</v>
      </c>
      <c r="B10040" s="2">
        <f>IFERROR(__xludf.DUMMYFUNCTION("""COMPUTED_VALUE"""),126.61)</f>
        <v>126.61</v>
      </c>
      <c r="C10040" s="2">
        <f>IFERROR(__xludf.DUMMYFUNCTION("""COMPUTED_VALUE"""),128.04)</f>
        <v>128.04</v>
      </c>
      <c r="D10040" s="2">
        <f>IFERROR(__xludf.DUMMYFUNCTION("""COMPUTED_VALUE"""),125.71)</f>
        <v>125.71</v>
      </c>
      <c r="E10040" s="2">
        <f>IFERROR(__xludf.DUMMYFUNCTION("""COMPUTED_VALUE"""),127.95)</f>
        <v>127.95</v>
      </c>
      <c r="F10040" s="2">
        <f>IFERROR(__xludf.DUMMYFUNCTION("""COMPUTED_VALUE"""),4195803.0)</f>
        <v>4195803</v>
      </c>
    </row>
    <row r="10041">
      <c r="A10041" s="3">
        <f>IFERROR(__xludf.DUMMYFUNCTION("""COMPUTED_VALUE"""),43761.66666666667)</f>
        <v>43761.66667</v>
      </c>
      <c r="B10041" s="2">
        <f>IFERROR(__xludf.DUMMYFUNCTION("""COMPUTED_VALUE"""),127.53)</f>
        <v>127.53</v>
      </c>
      <c r="C10041" s="2">
        <f>IFERROR(__xludf.DUMMYFUNCTION("""COMPUTED_VALUE"""),128.53)</f>
        <v>128.53</v>
      </c>
      <c r="D10041" s="2">
        <f>IFERROR(__xludf.DUMMYFUNCTION("""COMPUTED_VALUE"""),126.75)</f>
        <v>126.75</v>
      </c>
      <c r="E10041" s="2">
        <f>IFERROR(__xludf.DUMMYFUNCTION("""COMPUTED_VALUE"""),128.35)</f>
        <v>128.35</v>
      </c>
      <c r="F10041" s="2">
        <f>IFERROR(__xludf.DUMMYFUNCTION("""COMPUTED_VALUE"""),3627345.0)</f>
        <v>3627345</v>
      </c>
    </row>
    <row r="10042">
      <c r="A10042" s="3">
        <f>IFERROR(__xludf.DUMMYFUNCTION("""COMPUTED_VALUE"""),43762.66666666667)</f>
        <v>43762.66667</v>
      </c>
      <c r="B10042" s="2">
        <f>IFERROR(__xludf.DUMMYFUNCTION("""COMPUTED_VALUE"""),128.78)</f>
        <v>128.78</v>
      </c>
      <c r="C10042" s="2">
        <f>IFERROR(__xludf.DUMMYFUNCTION("""COMPUTED_VALUE"""),129.01)</f>
        <v>129.01</v>
      </c>
      <c r="D10042" s="2">
        <f>IFERROR(__xludf.DUMMYFUNCTION("""COMPUTED_VALUE"""),127.32)</f>
        <v>127.32</v>
      </c>
      <c r="E10042" s="2">
        <f>IFERROR(__xludf.DUMMYFUNCTION("""COMPUTED_VALUE"""),128.06)</f>
        <v>128.06</v>
      </c>
      <c r="F10042" s="2">
        <f>IFERROR(__xludf.DUMMYFUNCTION("""COMPUTED_VALUE"""),2619309.0)</f>
        <v>2619309</v>
      </c>
    </row>
    <row r="10043">
      <c r="A10043" s="3">
        <f>IFERROR(__xludf.DUMMYFUNCTION("""COMPUTED_VALUE"""),43763.66666666667)</f>
        <v>43763.66667</v>
      </c>
      <c r="B10043" s="2">
        <f>IFERROR(__xludf.DUMMYFUNCTION("""COMPUTED_VALUE"""),128.11)</f>
        <v>128.11</v>
      </c>
      <c r="C10043" s="2">
        <f>IFERROR(__xludf.DUMMYFUNCTION("""COMPUTED_VALUE"""),129.84)</f>
        <v>129.84</v>
      </c>
      <c r="D10043" s="2">
        <f>IFERROR(__xludf.DUMMYFUNCTION("""COMPUTED_VALUE"""),128.09)</f>
        <v>128.09</v>
      </c>
      <c r="E10043" s="2">
        <f>IFERROR(__xludf.DUMMYFUNCTION("""COMPUTED_VALUE"""),129.37)</f>
        <v>129.37</v>
      </c>
      <c r="F10043" s="2">
        <f>IFERROR(__xludf.DUMMYFUNCTION("""COMPUTED_VALUE"""),2579055.0)</f>
        <v>2579055</v>
      </c>
    </row>
    <row r="10044">
      <c r="A10044" s="3">
        <f>IFERROR(__xludf.DUMMYFUNCTION("""COMPUTED_VALUE"""),43766.66666666667)</f>
        <v>43766.66667</v>
      </c>
      <c r="B10044" s="2">
        <f>IFERROR(__xludf.DUMMYFUNCTION("""COMPUTED_VALUE"""),129.9)</f>
        <v>129.9</v>
      </c>
      <c r="C10044" s="2">
        <f>IFERROR(__xludf.DUMMYFUNCTION("""COMPUTED_VALUE"""),130.5)</f>
        <v>130.5</v>
      </c>
      <c r="D10044" s="2">
        <f>IFERROR(__xludf.DUMMYFUNCTION("""COMPUTED_VALUE"""),129.37)</f>
        <v>129.37</v>
      </c>
      <c r="E10044" s="2">
        <f>IFERROR(__xludf.DUMMYFUNCTION("""COMPUTED_VALUE"""),129.87)</f>
        <v>129.87</v>
      </c>
      <c r="F10044" s="2">
        <f>IFERROR(__xludf.DUMMYFUNCTION("""COMPUTED_VALUE"""),3226132.0)</f>
        <v>3226132</v>
      </c>
    </row>
    <row r="10045">
      <c r="A10045" s="3">
        <f>IFERROR(__xludf.DUMMYFUNCTION("""COMPUTED_VALUE"""),43767.66666666667)</f>
        <v>43767.66667</v>
      </c>
      <c r="B10045" s="2">
        <f>IFERROR(__xludf.DUMMYFUNCTION("""COMPUTED_VALUE"""),129.35)</f>
        <v>129.35</v>
      </c>
      <c r="C10045" s="2">
        <f>IFERROR(__xludf.DUMMYFUNCTION("""COMPUTED_VALUE"""),129.49)</f>
        <v>129.49</v>
      </c>
      <c r="D10045" s="2">
        <f>IFERROR(__xludf.DUMMYFUNCTION("""COMPUTED_VALUE"""),127.46)</f>
        <v>127.46</v>
      </c>
      <c r="E10045" s="2">
        <f>IFERROR(__xludf.DUMMYFUNCTION("""COMPUTED_VALUE"""),127.82)</f>
        <v>127.82</v>
      </c>
      <c r="F10045" s="2">
        <f>IFERROR(__xludf.DUMMYFUNCTION("""COMPUTED_VALUE"""),4160718.0)</f>
        <v>4160718</v>
      </c>
    </row>
    <row r="10046">
      <c r="A10046" s="3">
        <f>IFERROR(__xludf.DUMMYFUNCTION("""COMPUTED_VALUE"""),43768.66666666667)</f>
        <v>43768.66667</v>
      </c>
      <c r="B10046" s="2">
        <f>IFERROR(__xludf.DUMMYFUNCTION("""COMPUTED_VALUE"""),127.83)</f>
        <v>127.83</v>
      </c>
      <c r="C10046" s="2">
        <f>IFERROR(__xludf.DUMMYFUNCTION("""COMPUTED_VALUE"""),129.21)</f>
        <v>129.21</v>
      </c>
      <c r="D10046" s="2">
        <f>IFERROR(__xludf.DUMMYFUNCTION("""COMPUTED_VALUE"""),127.23)</f>
        <v>127.23</v>
      </c>
      <c r="E10046" s="2">
        <f>IFERROR(__xludf.DUMMYFUNCTION("""COMPUTED_VALUE"""),129.19)</f>
        <v>129.19</v>
      </c>
      <c r="F10046" s="2">
        <f>IFERROR(__xludf.DUMMYFUNCTION("""COMPUTED_VALUE"""),2252989.0)</f>
        <v>2252989</v>
      </c>
    </row>
    <row r="10047">
      <c r="A10047" s="3">
        <f>IFERROR(__xludf.DUMMYFUNCTION("""COMPUTED_VALUE"""),43769.66666666667)</f>
        <v>43769.66667</v>
      </c>
      <c r="B10047" s="2">
        <f>IFERROR(__xludf.DUMMYFUNCTION("""COMPUTED_VALUE"""),129.05)</f>
        <v>129.05</v>
      </c>
      <c r="C10047" s="2">
        <f>IFERROR(__xludf.DUMMYFUNCTION("""COMPUTED_VALUE"""),129.19)</f>
        <v>129.19</v>
      </c>
      <c r="D10047" s="2">
        <f>IFERROR(__xludf.DUMMYFUNCTION("""COMPUTED_VALUE"""),127.26)</f>
        <v>127.26</v>
      </c>
      <c r="E10047" s="2">
        <f>IFERROR(__xludf.DUMMYFUNCTION("""COMPUTED_VALUE"""),127.73)</f>
        <v>127.73</v>
      </c>
      <c r="F10047" s="2">
        <f>IFERROR(__xludf.DUMMYFUNCTION("""COMPUTED_VALUE"""),3412119.0)</f>
        <v>3412119</v>
      </c>
    </row>
    <row r="10048">
      <c r="A10048" s="3">
        <f>IFERROR(__xludf.DUMMYFUNCTION("""COMPUTED_VALUE"""),43770.66666666667)</f>
        <v>43770.66667</v>
      </c>
      <c r="B10048" s="2">
        <f>IFERROR(__xludf.DUMMYFUNCTION("""COMPUTED_VALUE"""),128.47)</f>
        <v>128.47</v>
      </c>
      <c r="C10048" s="2">
        <f>IFERROR(__xludf.DUMMYFUNCTION("""COMPUTED_VALUE"""),129.48)</f>
        <v>129.48</v>
      </c>
      <c r="D10048" s="2">
        <f>IFERROR(__xludf.DUMMYFUNCTION("""COMPUTED_VALUE"""),128.08)</f>
        <v>128.08</v>
      </c>
      <c r="E10048" s="2">
        <f>IFERROR(__xludf.DUMMYFUNCTION("""COMPUTED_VALUE"""),129.45)</f>
        <v>129.45</v>
      </c>
      <c r="F10048" s="2">
        <f>IFERROR(__xludf.DUMMYFUNCTION("""COMPUTED_VALUE"""),3089789.0)</f>
        <v>3089789</v>
      </c>
    </row>
    <row r="10049">
      <c r="A10049" s="3">
        <f>IFERROR(__xludf.DUMMYFUNCTION("""COMPUTED_VALUE"""),43773.66666666667)</f>
        <v>43773.66667</v>
      </c>
      <c r="B10049" s="2">
        <f>IFERROR(__xludf.DUMMYFUNCTION("""COMPUTED_VALUE"""),130.13)</f>
        <v>130.13</v>
      </c>
      <c r="C10049" s="2">
        <f>IFERROR(__xludf.DUMMYFUNCTION("""COMPUTED_VALUE"""),131.56)</f>
        <v>131.56</v>
      </c>
      <c r="D10049" s="2">
        <f>IFERROR(__xludf.DUMMYFUNCTION("""COMPUTED_VALUE"""),130.12)</f>
        <v>130.12</v>
      </c>
      <c r="E10049" s="2">
        <f>IFERROR(__xludf.DUMMYFUNCTION("""COMPUTED_VALUE"""),131.5)</f>
        <v>131.5</v>
      </c>
      <c r="F10049" s="2">
        <f>IFERROR(__xludf.DUMMYFUNCTION("""COMPUTED_VALUE"""),3335389.0)</f>
        <v>3335389</v>
      </c>
    </row>
    <row r="10050">
      <c r="A10050" s="3">
        <f>IFERROR(__xludf.DUMMYFUNCTION("""COMPUTED_VALUE"""),43774.66666666667)</f>
        <v>43774.66667</v>
      </c>
      <c r="B10050" s="2">
        <f>IFERROR(__xludf.DUMMYFUNCTION("""COMPUTED_VALUE"""),131.62)</f>
        <v>131.62</v>
      </c>
      <c r="C10050" s="2">
        <f>IFERROR(__xludf.DUMMYFUNCTION("""COMPUTED_VALUE"""),132.54)</f>
        <v>132.54</v>
      </c>
      <c r="D10050" s="2">
        <f>IFERROR(__xludf.DUMMYFUNCTION("""COMPUTED_VALUE"""),131.46)</f>
        <v>131.46</v>
      </c>
      <c r="E10050" s="2">
        <f>IFERROR(__xludf.DUMMYFUNCTION("""COMPUTED_VALUE"""),131.71)</f>
        <v>131.71</v>
      </c>
      <c r="F10050" s="2">
        <f>IFERROR(__xludf.DUMMYFUNCTION("""COMPUTED_VALUE"""),3014961.0)</f>
        <v>3014961</v>
      </c>
    </row>
    <row r="10051">
      <c r="A10051" s="3">
        <f>IFERROR(__xludf.DUMMYFUNCTION("""COMPUTED_VALUE"""),43775.66666666667)</f>
        <v>43775.66667</v>
      </c>
      <c r="B10051" s="2">
        <f>IFERROR(__xludf.DUMMYFUNCTION("""COMPUTED_VALUE"""),131.81)</f>
        <v>131.81</v>
      </c>
      <c r="C10051" s="2">
        <f>IFERROR(__xludf.DUMMYFUNCTION("""COMPUTED_VALUE"""),132.56)</f>
        <v>132.56</v>
      </c>
      <c r="D10051" s="2">
        <f>IFERROR(__xludf.DUMMYFUNCTION("""COMPUTED_VALUE"""),131.38)</f>
        <v>131.38</v>
      </c>
      <c r="E10051" s="2">
        <f>IFERROR(__xludf.DUMMYFUNCTION("""COMPUTED_VALUE"""),132.56)</f>
        <v>132.56</v>
      </c>
      <c r="F10051" s="2">
        <f>IFERROR(__xludf.DUMMYFUNCTION("""COMPUTED_VALUE"""),4477291.0)</f>
        <v>4477291</v>
      </c>
    </row>
    <row r="10052">
      <c r="A10052" s="3">
        <f>IFERROR(__xludf.DUMMYFUNCTION("""COMPUTED_VALUE"""),43776.66666666667)</f>
        <v>43776.66667</v>
      </c>
      <c r="B10052" s="2">
        <f>IFERROR(__xludf.DUMMYFUNCTION("""COMPUTED_VALUE"""),131.69)</f>
        <v>131.69</v>
      </c>
      <c r="C10052" s="2">
        <f>IFERROR(__xludf.DUMMYFUNCTION("""COMPUTED_VALUE"""),132.9)</f>
        <v>132.9</v>
      </c>
      <c r="D10052" s="2">
        <f>IFERROR(__xludf.DUMMYFUNCTION("""COMPUTED_VALUE"""),131.41)</f>
        <v>131.41</v>
      </c>
      <c r="E10052" s="2">
        <f>IFERROR(__xludf.DUMMYFUNCTION("""COMPUTED_VALUE"""),131.52)</f>
        <v>131.52</v>
      </c>
      <c r="F10052" s="2">
        <f>IFERROR(__xludf.DUMMYFUNCTION("""COMPUTED_VALUE"""),4073908.0)</f>
        <v>4073908</v>
      </c>
    </row>
    <row r="10053">
      <c r="A10053" s="3">
        <f>IFERROR(__xludf.DUMMYFUNCTION("""COMPUTED_VALUE"""),43777.66666666667)</f>
        <v>43777.66667</v>
      </c>
      <c r="B10053" s="2">
        <f>IFERROR(__xludf.DUMMYFUNCTION("""COMPUTED_VALUE"""),131.41)</f>
        <v>131.41</v>
      </c>
      <c r="C10053" s="2">
        <f>IFERROR(__xludf.DUMMYFUNCTION("""COMPUTED_VALUE"""),131.44)</f>
        <v>131.44</v>
      </c>
      <c r="D10053" s="2">
        <f>IFERROR(__xludf.DUMMYFUNCTION("""COMPUTED_VALUE"""),130.06)</f>
        <v>130.06</v>
      </c>
      <c r="E10053" s="2">
        <f>IFERROR(__xludf.DUMMYFUNCTION("""COMPUTED_VALUE"""),131.44)</f>
        <v>131.44</v>
      </c>
      <c r="F10053" s="2">
        <f>IFERROR(__xludf.DUMMYFUNCTION("""COMPUTED_VALUE"""),2278602.0)</f>
        <v>2278602</v>
      </c>
    </row>
    <row r="10054">
      <c r="A10054" s="3">
        <f>IFERROR(__xludf.DUMMYFUNCTION("""COMPUTED_VALUE"""),43780.66666666667)</f>
        <v>43780.66667</v>
      </c>
      <c r="B10054" s="2">
        <f>IFERROR(__xludf.DUMMYFUNCTION("""COMPUTED_VALUE"""),131.05)</f>
        <v>131.05</v>
      </c>
      <c r="C10054" s="2">
        <f>IFERROR(__xludf.DUMMYFUNCTION("""COMPUTED_VALUE"""),131.05)</f>
        <v>131.05</v>
      </c>
      <c r="D10054" s="2">
        <f>IFERROR(__xludf.DUMMYFUNCTION("""COMPUTED_VALUE"""),128.95)</f>
        <v>128.95</v>
      </c>
      <c r="E10054" s="2">
        <f>IFERROR(__xludf.DUMMYFUNCTION("""COMPUTED_VALUE"""),129.4)</f>
        <v>129.4</v>
      </c>
      <c r="F10054" s="2">
        <f>IFERROR(__xludf.DUMMYFUNCTION("""COMPUTED_VALUE"""),2568755.0)</f>
        <v>2568755</v>
      </c>
    </row>
    <row r="10055">
      <c r="A10055" s="3">
        <f>IFERROR(__xludf.DUMMYFUNCTION("""COMPUTED_VALUE"""),43781.66666666667)</f>
        <v>43781.66667</v>
      </c>
      <c r="B10055" s="2">
        <f>IFERROR(__xludf.DUMMYFUNCTION("""COMPUTED_VALUE"""),129.78)</f>
        <v>129.78</v>
      </c>
      <c r="C10055" s="2">
        <f>IFERROR(__xludf.DUMMYFUNCTION("""COMPUTED_VALUE"""),130.53)</f>
        <v>130.53</v>
      </c>
      <c r="D10055" s="2">
        <f>IFERROR(__xludf.DUMMYFUNCTION("""COMPUTED_VALUE"""),128.97)</f>
        <v>128.97</v>
      </c>
      <c r="E10055" s="2">
        <f>IFERROR(__xludf.DUMMYFUNCTION("""COMPUTED_VALUE"""),129.51)</f>
        <v>129.51</v>
      </c>
      <c r="F10055" s="2">
        <f>IFERROR(__xludf.DUMMYFUNCTION("""COMPUTED_VALUE"""),3046536.0)</f>
        <v>3046536</v>
      </c>
    </row>
    <row r="10056">
      <c r="A10056" s="3">
        <f>IFERROR(__xludf.DUMMYFUNCTION("""COMPUTED_VALUE"""),43782.66666666667)</f>
        <v>43782.66667</v>
      </c>
      <c r="B10056" s="2">
        <f>IFERROR(__xludf.DUMMYFUNCTION("""COMPUTED_VALUE"""),129.32)</f>
        <v>129.32</v>
      </c>
      <c r="C10056" s="2">
        <f>IFERROR(__xludf.DUMMYFUNCTION("""COMPUTED_VALUE"""),129.5)</f>
        <v>129.5</v>
      </c>
      <c r="D10056" s="2">
        <f>IFERROR(__xludf.DUMMYFUNCTION("""COMPUTED_VALUE"""),127.84)</f>
        <v>127.84</v>
      </c>
      <c r="E10056" s="2">
        <f>IFERROR(__xludf.DUMMYFUNCTION("""COMPUTED_VALUE"""),128.45)</f>
        <v>128.45</v>
      </c>
      <c r="F10056" s="2">
        <f>IFERROR(__xludf.DUMMYFUNCTION("""COMPUTED_VALUE"""),3060924.0)</f>
        <v>3060924</v>
      </c>
    </row>
    <row r="10057">
      <c r="A10057" s="3">
        <f>IFERROR(__xludf.DUMMYFUNCTION("""COMPUTED_VALUE"""),43783.66666666667)</f>
        <v>43783.66667</v>
      </c>
      <c r="B10057" s="2">
        <f>IFERROR(__xludf.DUMMYFUNCTION("""COMPUTED_VALUE"""),128.12)</f>
        <v>128.12</v>
      </c>
      <c r="C10057" s="2">
        <f>IFERROR(__xludf.DUMMYFUNCTION("""COMPUTED_VALUE"""),128.31)</f>
        <v>128.31</v>
      </c>
      <c r="D10057" s="2">
        <f>IFERROR(__xludf.DUMMYFUNCTION("""COMPUTED_VALUE"""),127.35)</f>
        <v>127.35</v>
      </c>
      <c r="E10057" s="2">
        <f>IFERROR(__xludf.DUMMYFUNCTION("""COMPUTED_VALUE"""),127.99)</f>
        <v>127.99</v>
      </c>
      <c r="F10057" s="2">
        <f>IFERROR(__xludf.DUMMYFUNCTION("""COMPUTED_VALUE"""),4231471.0)</f>
        <v>4231471</v>
      </c>
    </row>
    <row r="10058">
      <c r="A10058" s="3">
        <f>IFERROR(__xludf.DUMMYFUNCTION("""COMPUTED_VALUE"""),43784.66666666667)</f>
        <v>43784.66667</v>
      </c>
      <c r="B10058" s="2">
        <f>IFERROR(__xludf.DUMMYFUNCTION("""COMPUTED_VALUE"""),128.36)</f>
        <v>128.36</v>
      </c>
      <c r="C10058" s="2">
        <f>IFERROR(__xludf.DUMMYFUNCTION("""COMPUTED_VALUE"""),129.06)</f>
        <v>129.06</v>
      </c>
      <c r="D10058" s="2">
        <f>IFERROR(__xludf.DUMMYFUNCTION("""COMPUTED_VALUE"""),128.02)</f>
        <v>128.02</v>
      </c>
      <c r="E10058" s="2">
        <f>IFERROR(__xludf.DUMMYFUNCTION("""COMPUTED_VALUE"""),128.37)</f>
        <v>128.37</v>
      </c>
      <c r="F10058" s="2">
        <f>IFERROR(__xludf.DUMMYFUNCTION("""COMPUTED_VALUE"""),3262656.0)</f>
        <v>3262656</v>
      </c>
    </row>
    <row r="10059">
      <c r="A10059" s="3">
        <f>IFERROR(__xludf.DUMMYFUNCTION("""COMPUTED_VALUE"""),43787.66666666667)</f>
        <v>43787.66667</v>
      </c>
      <c r="B10059" s="2">
        <f>IFERROR(__xludf.DUMMYFUNCTION("""COMPUTED_VALUE"""),128.28)</f>
        <v>128.28</v>
      </c>
      <c r="C10059" s="2">
        <f>IFERROR(__xludf.DUMMYFUNCTION("""COMPUTED_VALUE"""),128.45)</f>
        <v>128.45</v>
      </c>
      <c r="D10059" s="2">
        <f>IFERROR(__xludf.DUMMYFUNCTION("""COMPUTED_VALUE"""),127.26)</f>
        <v>127.26</v>
      </c>
      <c r="E10059" s="2">
        <f>IFERROR(__xludf.DUMMYFUNCTION("""COMPUTED_VALUE"""),128.29)</f>
        <v>128.29</v>
      </c>
      <c r="F10059" s="2">
        <f>IFERROR(__xludf.DUMMYFUNCTION("""COMPUTED_VALUE"""),3210872.0)</f>
        <v>3210872</v>
      </c>
    </row>
    <row r="10060">
      <c r="A10060" s="3">
        <f>IFERROR(__xludf.DUMMYFUNCTION("""COMPUTED_VALUE"""),43788.66666666667)</f>
        <v>43788.66667</v>
      </c>
      <c r="B10060" s="2">
        <f>IFERROR(__xludf.DUMMYFUNCTION("""COMPUTED_VALUE"""),128.83)</f>
        <v>128.83</v>
      </c>
      <c r="C10060" s="2">
        <f>IFERROR(__xludf.DUMMYFUNCTION("""COMPUTED_VALUE"""),129.31)</f>
        <v>129.31</v>
      </c>
      <c r="D10060" s="2">
        <f>IFERROR(__xludf.DUMMYFUNCTION("""COMPUTED_VALUE"""),128.43)</f>
        <v>128.43</v>
      </c>
      <c r="E10060" s="2">
        <f>IFERROR(__xludf.DUMMYFUNCTION("""COMPUTED_VALUE"""),128.49)</f>
        <v>128.49</v>
      </c>
      <c r="F10060" s="2">
        <f>IFERROR(__xludf.DUMMYFUNCTION("""COMPUTED_VALUE"""),2995071.0)</f>
        <v>2995071</v>
      </c>
    </row>
    <row r="10061">
      <c r="A10061" s="3">
        <f>IFERROR(__xludf.DUMMYFUNCTION("""COMPUTED_VALUE"""),43789.66666666667)</f>
        <v>43789.66667</v>
      </c>
      <c r="B10061" s="2">
        <f>IFERROR(__xludf.DUMMYFUNCTION("""COMPUTED_VALUE"""),128.05)</f>
        <v>128.05</v>
      </c>
      <c r="C10061" s="2">
        <f>IFERROR(__xludf.DUMMYFUNCTION("""COMPUTED_VALUE"""),128.43)</f>
        <v>128.43</v>
      </c>
      <c r="D10061" s="2">
        <f>IFERROR(__xludf.DUMMYFUNCTION("""COMPUTED_VALUE"""),126.8)</f>
        <v>126.8</v>
      </c>
      <c r="E10061" s="2">
        <f>IFERROR(__xludf.DUMMYFUNCTION("""COMPUTED_VALUE"""),127.23)</f>
        <v>127.23</v>
      </c>
      <c r="F10061" s="2">
        <f>IFERROR(__xludf.DUMMYFUNCTION("""COMPUTED_VALUE"""),4140148.0)</f>
        <v>4140148</v>
      </c>
    </row>
    <row r="10062">
      <c r="A10062" s="3">
        <f>IFERROR(__xludf.DUMMYFUNCTION("""COMPUTED_VALUE"""),43790.66666666667)</f>
        <v>43790.66667</v>
      </c>
      <c r="B10062" s="2">
        <f>IFERROR(__xludf.DUMMYFUNCTION("""COMPUTED_VALUE"""),127.42)</f>
        <v>127.42</v>
      </c>
      <c r="C10062" s="2">
        <f>IFERROR(__xludf.DUMMYFUNCTION("""COMPUTED_VALUE"""),128.15)</f>
        <v>128.15</v>
      </c>
      <c r="D10062" s="2">
        <f>IFERROR(__xludf.DUMMYFUNCTION("""COMPUTED_VALUE"""),127.02)</f>
        <v>127.02</v>
      </c>
      <c r="E10062" s="2">
        <f>IFERROR(__xludf.DUMMYFUNCTION("""COMPUTED_VALUE"""),127.84)</f>
        <v>127.84</v>
      </c>
      <c r="F10062" s="2">
        <f>IFERROR(__xludf.DUMMYFUNCTION("""COMPUTED_VALUE"""),3345343.0)</f>
        <v>3345343</v>
      </c>
    </row>
    <row r="10063">
      <c r="A10063" s="3">
        <f>IFERROR(__xludf.DUMMYFUNCTION("""COMPUTED_VALUE"""),43791.66666666667)</f>
        <v>43791.66667</v>
      </c>
      <c r="B10063" s="2">
        <f>IFERROR(__xludf.DUMMYFUNCTION("""COMPUTED_VALUE"""),128.17)</f>
        <v>128.17</v>
      </c>
      <c r="C10063" s="2">
        <f>IFERROR(__xludf.DUMMYFUNCTION("""COMPUTED_VALUE"""),128.61)</f>
        <v>128.61</v>
      </c>
      <c r="D10063" s="2">
        <f>IFERROR(__xludf.DUMMYFUNCTION("""COMPUTED_VALUE"""),127.6)</f>
        <v>127.6</v>
      </c>
      <c r="E10063" s="2">
        <f>IFERROR(__xludf.DUMMYFUNCTION("""COMPUTED_VALUE"""),128.32)</f>
        <v>128.32</v>
      </c>
      <c r="F10063" s="2">
        <f>IFERROR(__xludf.DUMMYFUNCTION("""COMPUTED_VALUE"""),3297797.0)</f>
        <v>3297797</v>
      </c>
    </row>
    <row r="10064">
      <c r="A10064" s="3">
        <f>IFERROR(__xludf.DUMMYFUNCTION("""COMPUTED_VALUE"""),43794.66666666667)</f>
        <v>43794.66667</v>
      </c>
      <c r="B10064" s="2">
        <f>IFERROR(__xludf.DUMMYFUNCTION("""COMPUTED_VALUE"""),128.44)</f>
        <v>128.44</v>
      </c>
      <c r="C10064" s="2">
        <f>IFERROR(__xludf.DUMMYFUNCTION("""COMPUTED_VALUE"""),129.9)</f>
        <v>129.9</v>
      </c>
      <c r="D10064" s="2">
        <f>IFERROR(__xludf.DUMMYFUNCTION("""COMPUTED_VALUE"""),128.33)</f>
        <v>128.33</v>
      </c>
      <c r="E10064" s="2">
        <f>IFERROR(__xludf.DUMMYFUNCTION("""COMPUTED_VALUE"""),129.87)</f>
        <v>129.87</v>
      </c>
      <c r="F10064" s="2">
        <f>IFERROR(__xludf.DUMMYFUNCTION("""COMPUTED_VALUE"""),2590170.0)</f>
        <v>2590170</v>
      </c>
    </row>
    <row r="10065">
      <c r="A10065" s="3">
        <f>IFERROR(__xludf.DUMMYFUNCTION("""COMPUTED_VALUE"""),43795.66666666667)</f>
        <v>43795.66667</v>
      </c>
      <c r="B10065" s="2">
        <f>IFERROR(__xludf.DUMMYFUNCTION("""COMPUTED_VALUE"""),130.05)</f>
        <v>130.05</v>
      </c>
      <c r="C10065" s="2">
        <f>IFERROR(__xludf.DUMMYFUNCTION("""COMPUTED_VALUE"""),130.05)</f>
        <v>130.05</v>
      </c>
      <c r="D10065" s="2">
        <f>IFERROR(__xludf.DUMMYFUNCTION("""COMPUTED_VALUE"""),128.73)</f>
        <v>128.73</v>
      </c>
      <c r="E10065" s="2">
        <f>IFERROR(__xludf.DUMMYFUNCTION("""COMPUTED_VALUE"""),129.03)</f>
        <v>129.03</v>
      </c>
      <c r="F10065" s="2">
        <f>IFERROR(__xludf.DUMMYFUNCTION("""COMPUTED_VALUE"""),3793337.0)</f>
        <v>3793337</v>
      </c>
    </row>
    <row r="10066">
      <c r="A10066" s="3">
        <f>IFERROR(__xludf.DUMMYFUNCTION("""COMPUTED_VALUE"""),43796.66666666667)</f>
        <v>43796.66667</v>
      </c>
      <c r="B10066" s="2">
        <f>IFERROR(__xludf.DUMMYFUNCTION("""COMPUTED_VALUE"""),129.28)</f>
        <v>129.28</v>
      </c>
      <c r="C10066" s="2">
        <f>IFERROR(__xludf.DUMMYFUNCTION("""COMPUTED_VALUE"""),129.63)</f>
        <v>129.63</v>
      </c>
      <c r="D10066" s="2">
        <f>IFERROR(__xludf.DUMMYFUNCTION("""COMPUTED_VALUE"""),127.63)</f>
        <v>127.63</v>
      </c>
      <c r="E10066" s="2">
        <f>IFERROR(__xludf.DUMMYFUNCTION("""COMPUTED_VALUE"""),127.77)</f>
        <v>127.77</v>
      </c>
      <c r="F10066" s="2">
        <f>IFERROR(__xludf.DUMMYFUNCTION("""COMPUTED_VALUE"""),3282827.0)</f>
        <v>3282827</v>
      </c>
    </row>
    <row r="10067">
      <c r="A10067" s="3">
        <f>IFERROR(__xludf.DUMMYFUNCTION("""COMPUTED_VALUE"""),43798.54166666667)</f>
        <v>43798.54167</v>
      </c>
      <c r="B10067" s="2">
        <f>IFERROR(__xludf.DUMMYFUNCTION("""COMPUTED_VALUE"""),127.61)</f>
        <v>127.61</v>
      </c>
      <c r="C10067" s="2">
        <f>IFERROR(__xludf.DUMMYFUNCTION("""COMPUTED_VALUE"""),128.49)</f>
        <v>128.49</v>
      </c>
      <c r="D10067" s="2">
        <f>IFERROR(__xludf.DUMMYFUNCTION("""COMPUTED_VALUE"""),127.07)</f>
        <v>127.07</v>
      </c>
      <c r="E10067" s="2">
        <f>IFERROR(__xludf.DUMMYFUNCTION("""COMPUTED_VALUE"""),128.42)</f>
        <v>128.42</v>
      </c>
      <c r="F10067" s="2">
        <f>IFERROR(__xludf.DUMMYFUNCTION("""COMPUTED_VALUE"""),1825255.0)</f>
        <v>1825255</v>
      </c>
    </row>
    <row r="10068">
      <c r="A10068" s="3">
        <f>IFERROR(__xludf.DUMMYFUNCTION("""COMPUTED_VALUE"""),43801.66666666667)</f>
        <v>43801.66667</v>
      </c>
      <c r="B10068" s="2">
        <f>IFERROR(__xludf.DUMMYFUNCTION("""COMPUTED_VALUE"""),128.42)</f>
        <v>128.42</v>
      </c>
      <c r="C10068" s="2">
        <f>IFERROR(__xludf.DUMMYFUNCTION("""COMPUTED_VALUE"""),128.47)</f>
        <v>128.47</v>
      </c>
      <c r="D10068" s="2">
        <f>IFERROR(__xludf.DUMMYFUNCTION("""COMPUTED_VALUE"""),126.54)</f>
        <v>126.54</v>
      </c>
      <c r="E10068" s="2">
        <f>IFERROR(__xludf.DUMMYFUNCTION("""COMPUTED_VALUE"""),126.95)</f>
        <v>126.95</v>
      </c>
      <c r="F10068" s="2">
        <f>IFERROR(__xludf.DUMMYFUNCTION("""COMPUTED_VALUE"""),3067831.0)</f>
        <v>3067831</v>
      </c>
    </row>
    <row r="10069">
      <c r="A10069" s="3">
        <f>IFERROR(__xludf.DUMMYFUNCTION("""COMPUTED_VALUE"""),43802.66666666667)</f>
        <v>43802.66667</v>
      </c>
      <c r="B10069" s="2">
        <f>IFERROR(__xludf.DUMMYFUNCTION("""COMPUTED_VALUE"""),126.08)</f>
        <v>126.08</v>
      </c>
      <c r="C10069" s="2">
        <f>IFERROR(__xludf.DUMMYFUNCTION("""COMPUTED_VALUE"""),126.5)</f>
        <v>126.5</v>
      </c>
      <c r="D10069" s="2">
        <f>IFERROR(__xludf.DUMMYFUNCTION("""COMPUTED_VALUE"""),124.83)</f>
        <v>124.83</v>
      </c>
      <c r="E10069" s="2">
        <f>IFERROR(__xludf.DUMMYFUNCTION("""COMPUTED_VALUE"""),126.2)</f>
        <v>126.2</v>
      </c>
      <c r="F10069" s="2">
        <f>IFERROR(__xludf.DUMMYFUNCTION("""COMPUTED_VALUE"""),3711071.0)</f>
        <v>3711071</v>
      </c>
    </row>
    <row r="10070">
      <c r="A10070" s="3">
        <f>IFERROR(__xludf.DUMMYFUNCTION("""COMPUTED_VALUE"""),43803.66666666667)</f>
        <v>43803.66667</v>
      </c>
      <c r="B10070" s="2">
        <f>IFERROR(__xludf.DUMMYFUNCTION("""COMPUTED_VALUE"""),126.9)</f>
        <v>126.9</v>
      </c>
      <c r="C10070" s="2">
        <f>IFERROR(__xludf.DUMMYFUNCTION("""COMPUTED_VALUE"""),127.69)</f>
        <v>127.69</v>
      </c>
      <c r="D10070" s="2">
        <f>IFERROR(__xludf.DUMMYFUNCTION("""COMPUTED_VALUE"""),126.04)</f>
        <v>126.04</v>
      </c>
      <c r="E10070" s="2">
        <f>IFERROR(__xludf.DUMMYFUNCTION("""COMPUTED_VALUE"""),126.07)</f>
        <v>126.07</v>
      </c>
      <c r="F10070" s="2">
        <f>IFERROR(__xludf.DUMMYFUNCTION("""COMPUTED_VALUE"""),3530773.0)</f>
        <v>3530773</v>
      </c>
    </row>
    <row r="10071">
      <c r="A10071" s="3">
        <f>IFERROR(__xludf.DUMMYFUNCTION("""COMPUTED_VALUE"""),43804.66666666667)</f>
        <v>43804.66667</v>
      </c>
      <c r="B10071" s="2">
        <f>IFERROR(__xludf.DUMMYFUNCTION("""COMPUTED_VALUE"""),127.03)</f>
        <v>127.03</v>
      </c>
      <c r="C10071" s="2">
        <f>IFERROR(__xludf.DUMMYFUNCTION("""COMPUTED_VALUE"""),127.27)</f>
        <v>127.27</v>
      </c>
      <c r="D10071" s="2">
        <f>IFERROR(__xludf.DUMMYFUNCTION("""COMPUTED_VALUE"""),125.72)</f>
        <v>125.72</v>
      </c>
      <c r="E10071" s="2">
        <f>IFERROR(__xludf.DUMMYFUNCTION("""COMPUTED_VALUE"""),126.0)</f>
        <v>126</v>
      </c>
      <c r="F10071" s="2">
        <f>IFERROR(__xludf.DUMMYFUNCTION("""COMPUTED_VALUE"""),3598578.0)</f>
        <v>3598578</v>
      </c>
    </row>
    <row r="10072">
      <c r="A10072" s="3">
        <f>IFERROR(__xludf.DUMMYFUNCTION("""COMPUTED_VALUE"""),43805.66666666667)</f>
        <v>43805.66667</v>
      </c>
      <c r="B10072" s="2">
        <f>IFERROR(__xludf.DUMMYFUNCTION("""COMPUTED_VALUE"""),126.8)</f>
        <v>126.8</v>
      </c>
      <c r="C10072" s="2">
        <f>IFERROR(__xludf.DUMMYFUNCTION("""COMPUTED_VALUE"""),127.89)</f>
        <v>127.89</v>
      </c>
      <c r="D10072" s="2">
        <f>IFERROR(__xludf.DUMMYFUNCTION("""COMPUTED_VALUE"""),126.75)</f>
        <v>126.75</v>
      </c>
      <c r="E10072" s="2">
        <f>IFERROR(__xludf.DUMMYFUNCTION("""COMPUTED_VALUE"""),127.25)</f>
        <v>127.25</v>
      </c>
      <c r="F10072" s="2">
        <f>IFERROR(__xludf.DUMMYFUNCTION("""COMPUTED_VALUE"""),3437994.0)</f>
        <v>3437994</v>
      </c>
    </row>
    <row r="10073">
      <c r="A10073" s="3">
        <f>IFERROR(__xludf.DUMMYFUNCTION("""COMPUTED_VALUE"""),43808.66666666667)</f>
        <v>43808.66667</v>
      </c>
      <c r="B10073" s="2">
        <f>IFERROR(__xludf.DUMMYFUNCTION("""COMPUTED_VALUE"""),127.37)</f>
        <v>127.37</v>
      </c>
      <c r="C10073" s="2">
        <f>IFERROR(__xludf.DUMMYFUNCTION("""COMPUTED_VALUE"""),128.56)</f>
        <v>128.56</v>
      </c>
      <c r="D10073" s="2">
        <f>IFERROR(__xludf.DUMMYFUNCTION("""COMPUTED_VALUE"""),127.29)</f>
        <v>127.29</v>
      </c>
      <c r="E10073" s="2">
        <f>IFERROR(__xludf.DUMMYFUNCTION("""COMPUTED_VALUE"""),127.92)</f>
        <v>127.92</v>
      </c>
      <c r="F10073" s="2">
        <f>IFERROR(__xludf.DUMMYFUNCTION("""COMPUTED_VALUE"""),2978801.0)</f>
        <v>2978801</v>
      </c>
    </row>
    <row r="10074">
      <c r="A10074" s="3">
        <f>IFERROR(__xludf.DUMMYFUNCTION("""COMPUTED_VALUE"""),43809.66666666667)</f>
        <v>43809.66667</v>
      </c>
      <c r="B10074" s="2">
        <f>IFERROR(__xludf.DUMMYFUNCTION("""COMPUTED_VALUE"""),127.92)</f>
        <v>127.92</v>
      </c>
      <c r="C10074" s="2">
        <f>IFERROR(__xludf.DUMMYFUNCTION("""COMPUTED_VALUE"""),128.79)</f>
        <v>128.79</v>
      </c>
      <c r="D10074" s="2">
        <f>IFERROR(__xludf.DUMMYFUNCTION("""COMPUTED_VALUE"""),127.57)</f>
        <v>127.57</v>
      </c>
      <c r="E10074" s="2">
        <f>IFERROR(__xludf.DUMMYFUNCTION("""COMPUTED_VALUE"""),127.91)</f>
        <v>127.91</v>
      </c>
      <c r="F10074" s="2">
        <f>IFERROR(__xludf.DUMMYFUNCTION("""COMPUTED_VALUE"""),3480385.0)</f>
        <v>3480385</v>
      </c>
    </row>
    <row r="10075">
      <c r="A10075" s="3">
        <f>IFERROR(__xludf.DUMMYFUNCTION("""COMPUTED_VALUE"""),43810.66666666667)</f>
        <v>43810.66667</v>
      </c>
      <c r="B10075" s="2">
        <f>IFERROR(__xludf.DUMMYFUNCTION("""COMPUTED_VALUE"""),128.1)</f>
        <v>128.1</v>
      </c>
      <c r="C10075" s="2">
        <f>IFERROR(__xludf.DUMMYFUNCTION("""COMPUTED_VALUE"""),128.48)</f>
        <v>128.48</v>
      </c>
      <c r="D10075" s="2">
        <f>IFERROR(__xludf.DUMMYFUNCTION("""COMPUTED_VALUE"""),127.68)</f>
        <v>127.68</v>
      </c>
      <c r="E10075" s="2">
        <f>IFERROR(__xludf.DUMMYFUNCTION("""COMPUTED_VALUE"""),127.76)</f>
        <v>127.76</v>
      </c>
      <c r="F10075" s="2">
        <f>IFERROR(__xludf.DUMMYFUNCTION("""COMPUTED_VALUE"""),3953311.0)</f>
        <v>3953311</v>
      </c>
    </row>
    <row r="10076">
      <c r="A10076" s="3">
        <f>IFERROR(__xludf.DUMMYFUNCTION("""COMPUTED_VALUE"""),43811.66666666667)</f>
        <v>43811.66667</v>
      </c>
      <c r="B10076" s="2">
        <f>IFERROR(__xludf.DUMMYFUNCTION("""COMPUTED_VALUE"""),127.71)</f>
        <v>127.71</v>
      </c>
      <c r="C10076" s="2">
        <f>IFERROR(__xludf.DUMMYFUNCTION("""COMPUTED_VALUE"""),129.58)</f>
        <v>129.58</v>
      </c>
      <c r="D10076" s="2">
        <f>IFERROR(__xludf.DUMMYFUNCTION("""COMPUTED_VALUE"""),127.67)</f>
        <v>127.67</v>
      </c>
      <c r="E10076" s="2">
        <f>IFERROR(__xludf.DUMMYFUNCTION("""COMPUTED_VALUE"""),129.25)</f>
        <v>129.25</v>
      </c>
      <c r="F10076" s="2">
        <f>IFERROR(__xludf.DUMMYFUNCTION("""COMPUTED_VALUE"""),4824186.0)</f>
        <v>4824186</v>
      </c>
    </row>
    <row r="10077">
      <c r="A10077" s="3">
        <f>IFERROR(__xludf.DUMMYFUNCTION("""COMPUTED_VALUE"""),43812.66666666667)</f>
        <v>43812.66667</v>
      </c>
      <c r="B10077" s="2">
        <f>IFERROR(__xludf.DUMMYFUNCTION("""COMPUTED_VALUE"""),128.71)</f>
        <v>128.71</v>
      </c>
      <c r="C10077" s="2">
        <f>IFERROR(__xludf.DUMMYFUNCTION("""COMPUTED_VALUE"""),129.42)</f>
        <v>129.42</v>
      </c>
      <c r="D10077" s="2">
        <f>IFERROR(__xludf.DUMMYFUNCTION("""COMPUTED_VALUE"""),128.0)</f>
        <v>128</v>
      </c>
      <c r="E10077" s="2">
        <f>IFERROR(__xludf.DUMMYFUNCTION("""COMPUTED_VALUE"""),128.19)</f>
        <v>128.19</v>
      </c>
      <c r="F10077" s="2">
        <f>IFERROR(__xludf.DUMMYFUNCTION("""COMPUTED_VALUE"""),2534970.0)</f>
        <v>2534970</v>
      </c>
    </row>
    <row r="10078">
      <c r="A10078" s="3">
        <f>IFERROR(__xludf.DUMMYFUNCTION("""COMPUTED_VALUE"""),43815.66666666667)</f>
        <v>43815.66667</v>
      </c>
      <c r="B10078" s="2">
        <f>IFERROR(__xludf.DUMMYFUNCTION("""COMPUTED_VALUE"""),128.89)</f>
        <v>128.89</v>
      </c>
      <c r="C10078" s="2">
        <f>IFERROR(__xludf.DUMMYFUNCTION("""COMPUTED_VALUE"""),129.38)</f>
        <v>129.38</v>
      </c>
      <c r="D10078" s="2">
        <f>IFERROR(__xludf.DUMMYFUNCTION("""COMPUTED_VALUE"""),127.85)</f>
        <v>127.85</v>
      </c>
      <c r="E10078" s="2">
        <f>IFERROR(__xludf.DUMMYFUNCTION("""COMPUTED_VALUE"""),128.12)</f>
        <v>128.12</v>
      </c>
      <c r="F10078" s="2">
        <f>IFERROR(__xludf.DUMMYFUNCTION("""COMPUTED_VALUE"""),3049325.0)</f>
        <v>3049325</v>
      </c>
    </row>
    <row r="10079">
      <c r="A10079" s="3">
        <f>IFERROR(__xludf.DUMMYFUNCTION("""COMPUTED_VALUE"""),43816.66666666667)</f>
        <v>43816.66667</v>
      </c>
      <c r="B10079" s="2">
        <f>IFERROR(__xludf.DUMMYFUNCTION("""COMPUTED_VALUE"""),128.26)</f>
        <v>128.26</v>
      </c>
      <c r="C10079" s="2">
        <f>IFERROR(__xludf.DUMMYFUNCTION("""COMPUTED_VALUE"""),128.65)</f>
        <v>128.65</v>
      </c>
      <c r="D10079" s="2">
        <f>IFERROR(__xludf.DUMMYFUNCTION("""COMPUTED_VALUE"""),127.48)</f>
        <v>127.48</v>
      </c>
      <c r="E10079" s="2">
        <f>IFERROR(__xludf.DUMMYFUNCTION("""COMPUTED_VALUE"""),128.2)</f>
        <v>128.2</v>
      </c>
      <c r="F10079" s="2">
        <f>IFERROR(__xludf.DUMMYFUNCTION("""COMPUTED_VALUE"""),2907547.0)</f>
        <v>2907547</v>
      </c>
    </row>
    <row r="10080">
      <c r="A10080" s="3">
        <f>IFERROR(__xludf.DUMMYFUNCTION("""COMPUTED_VALUE"""),43817.66666666667)</f>
        <v>43817.66667</v>
      </c>
      <c r="B10080" s="2">
        <f>IFERROR(__xludf.DUMMYFUNCTION("""COMPUTED_VALUE"""),128.52)</f>
        <v>128.52</v>
      </c>
      <c r="C10080" s="2">
        <f>IFERROR(__xludf.DUMMYFUNCTION("""COMPUTED_VALUE"""),128.95)</f>
        <v>128.95</v>
      </c>
      <c r="D10080" s="2">
        <f>IFERROR(__xludf.DUMMYFUNCTION("""COMPUTED_VALUE"""),128.14)</f>
        <v>128.14</v>
      </c>
      <c r="E10080" s="2">
        <f>IFERROR(__xludf.DUMMYFUNCTION("""COMPUTED_VALUE"""),128.38)</f>
        <v>128.38</v>
      </c>
      <c r="F10080" s="2">
        <f>IFERROR(__xludf.DUMMYFUNCTION("""COMPUTED_VALUE"""),3102353.0)</f>
        <v>3102353</v>
      </c>
    </row>
    <row r="10081">
      <c r="A10081" s="3">
        <f>IFERROR(__xludf.DUMMYFUNCTION("""COMPUTED_VALUE"""),43818.66666666667)</f>
        <v>43818.66667</v>
      </c>
      <c r="B10081" s="2">
        <f>IFERROR(__xludf.DUMMYFUNCTION("""COMPUTED_VALUE"""),128.43)</f>
        <v>128.43</v>
      </c>
      <c r="C10081" s="2">
        <f>IFERROR(__xludf.DUMMYFUNCTION("""COMPUTED_VALUE"""),128.68)</f>
        <v>128.68</v>
      </c>
      <c r="D10081" s="2">
        <f>IFERROR(__xludf.DUMMYFUNCTION("""COMPUTED_VALUE"""),128.17)</f>
        <v>128.17</v>
      </c>
      <c r="E10081" s="2">
        <f>IFERROR(__xludf.DUMMYFUNCTION("""COMPUTED_VALUE"""),128.53)</f>
        <v>128.53</v>
      </c>
      <c r="F10081" s="2">
        <f>IFERROR(__xludf.DUMMYFUNCTION("""COMPUTED_VALUE"""),3866717.0)</f>
        <v>3866717</v>
      </c>
    </row>
    <row r="10082">
      <c r="A10082" s="3">
        <f>IFERROR(__xludf.DUMMYFUNCTION("""COMPUTED_VALUE"""),43819.66666666667)</f>
        <v>43819.66667</v>
      </c>
      <c r="B10082" s="2">
        <f>IFERROR(__xludf.DUMMYFUNCTION("""COMPUTED_VALUE"""),129.65)</f>
        <v>129.65</v>
      </c>
      <c r="C10082" s="2">
        <f>IFERROR(__xludf.DUMMYFUNCTION("""COMPUTED_VALUE"""),130.3)</f>
        <v>130.3</v>
      </c>
      <c r="D10082" s="2">
        <f>IFERROR(__xludf.DUMMYFUNCTION("""COMPUTED_VALUE"""),128.9)</f>
        <v>128.9</v>
      </c>
      <c r="E10082" s="2">
        <f>IFERROR(__xludf.DUMMYFUNCTION("""COMPUTED_VALUE"""),129.51)</f>
        <v>129.51</v>
      </c>
      <c r="F10082" s="2">
        <f>IFERROR(__xludf.DUMMYFUNCTION("""COMPUTED_VALUE"""),7112072.0)</f>
        <v>7112072</v>
      </c>
    </row>
    <row r="10083">
      <c r="A10083" s="3">
        <f>IFERROR(__xludf.DUMMYFUNCTION("""COMPUTED_VALUE"""),43822.66666666667)</f>
        <v>43822.66667</v>
      </c>
      <c r="B10083" s="2">
        <f>IFERROR(__xludf.DUMMYFUNCTION("""COMPUTED_VALUE"""),129.69)</f>
        <v>129.69</v>
      </c>
      <c r="C10083" s="2">
        <f>IFERROR(__xludf.DUMMYFUNCTION("""COMPUTED_VALUE"""),130.05)</f>
        <v>130.05</v>
      </c>
      <c r="D10083" s="2">
        <f>IFERROR(__xludf.DUMMYFUNCTION("""COMPUTED_VALUE"""),128.95)</f>
        <v>128.95</v>
      </c>
      <c r="E10083" s="2">
        <f>IFERROR(__xludf.DUMMYFUNCTION("""COMPUTED_VALUE"""),129.47)</f>
        <v>129.47</v>
      </c>
      <c r="F10083" s="2">
        <f>IFERROR(__xludf.DUMMYFUNCTION("""COMPUTED_VALUE"""),2803168.0)</f>
        <v>2803168</v>
      </c>
    </row>
    <row r="10084">
      <c r="A10084" s="3">
        <f>IFERROR(__xludf.DUMMYFUNCTION("""COMPUTED_VALUE"""),43823.54166666667)</f>
        <v>43823.54167</v>
      </c>
      <c r="B10084" s="2">
        <f>IFERROR(__xludf.DUMMYFUNCTION("""COMPUTED_VALUE"""),129.53)</f>
        <v>129.53</v>
      </c>
      <c r="C10084" s="2">
        <f>IFERROR(__xludf.DUMMYFUNCTION("""COMPUTED_VALUE"""),129.54)</f>
        <v>129.54</v>
      </c>
      <c r="D10084" s="2">
        <f>IFERROR(__xludf.DUMMYFUNCTION("""COMPUTED_VALUE"""),128.57)</f>
        <v>128.57</v>
      </c>
      <c r="E10084" s="2">
        <f>IFERROR(__xludf.DUMMYFUNCTION("""COMPUTED_VALUE"""),128.93)</f>
        <v>128.93</v>
      </c>
      <c r="F10084" s="2">
        <f>IFERROR(__xludf.DUMMYFUNCTION("""COMPUTED_VALUE"""),1202087.0)</f>
        <v>1202087</v>
      </c>
    </row>
    <row r="10085">
      <c r="A10085" s="3">
        <f>IFERROR(__xludf.DUMMYFUNCTION("""COMPUTED_VALUE"""),43825.66666666667)</f>
        <v>43825.66667</v>
      </c>
      <c r="B10085" s="2">
        <f>IFERROR(__xludf.DUMMYFUNCTION("""COMPUTED_VALUE"""),128.93)</f>
        <v>128.93</v>
      </c>
      <c r="C10085" s="2">
        <f>IFERROR(__xludf.DUMMYFUNCTION("""COMPUTED_VALUE"""),129.24)</f>
        <v>129.24</v>
      </c>
      <c r="D10085" s="2">
        <f>IFERROR(__xludf.DUMMYFUNCTION("""COMPUTED_VALUE"""),128.61)</f>
        <v>128.61</v>
      </c>
      <c r="E10085" s="2">
        <f>IFERROR(__xludf.DUMMYFUNCTION("""COMPUTED_VALUE"""),128.86)</f>
        <v>128.86</v>
      </c>
      <c r="F10085" s="2">
        <f>IFERROR(__xludf.DUMMYFUNCTION("""COMPUTED_VALUE"""),2130706.0)</f>
        <v>2130706</v>
      </c>
    </row>
    <row r="10086">
      <c r="A10086" s="3">
        <f>IFERROR(__xludf.DUMMYFUNCTION("""COMPUTED_VALUE"""),43826.66666666667)</f>
        <v>43826.66667</v>
      </c>
      <c r="B10086" s="2">
        <f>IFERROR(__xludf.DUMMYFUNCTION("""COMPUTED_VALUE"""),128.95)</f>
        <v>128.95</v>
      </c>
      <c r="C10086" s="2">
        <f>IFERROR(__xludf.DUMMYFUNCTION("""COMPUTED_VALUE"""),129.66)</f>
        <v>129.66</v>
      </c>
      <c r="D10086" s="2">
        <f>IFERROR(__xludf.DUMMYFUNCTION("""COMPUTED_VALUE"""),128.82)</f>
        <v>128.82</v>
      </c>
      <c r="E10086" s="2">
        <f>IFERROR(__xludf.DUMMYFUNCTION("""COMPUTED_VALUE"""),129.21)</f>
        <v>129.21</v>
      </c>
      <c r="F10086" s="2">
        <f>IFERROR(__xludf.DUMMYFUNCTION("""COMPUTED_VALUE"""),2752706.0)</f>
        <v>2752706</v>
      </c>
    </row>
    <row r="10087">
      <c r="A10087" s="3">
        <f>IFERROR(__xludf.DUMMYFUNCTION("""COMPUTED_VALUE"""),43829.66666666667)</f>
        <v>43829.66667</v>
      </c>
      <c r="B10087" s="2">
        <f>IFERROR(__xludf.DUMMYFUNCTION("""COMPUTED_VALUE"""),129.14)</f>
        <v>129.14</v>
      </c>
      <c r="C10087" s="2">
        <f>IFERROR(__xludf.DUMMYFUNCTION("""COMPUTED_VALUE"""),129.23)</f>
        <v>129.23</v>
      </c>
      <c r="D10087" s="2">
        <f>IFERROR(__xludf.DUMMYFUNCTION("""COMPUTED_VALUE"""),126.56)</f>
        <v>126.56</v>
      </c>
      <c r="E10087" s="2">
        <f>IFERROR(__xludf.DUMMYFUNCTION("""COMPUTED_VALUE"""),126.86)</f>
        <v>126.86</v>
      </c>
      <c r="F10087" s="2">
        <f>IFERROR(__xludf.DUMMYFUNCTION("""COMPUTED_VALUE"""),4118937.0)</f>
        <v>4118937</v>
      </c>
    </row>
    <row r="10088">
      <c r="A10088" s="3">
        <f>IFERROR(__xludf.DUMMYFUNCTION("""COMPUTED_VALUE"""),43830.66666666667)</f>
        <v>43830.66667</v>
      </c>
      <c r="B10088" s="2">
        <f>IFERROR(__xludf.DUMMYFUNCTION("""COMPUTED_VALUE"""),126.59)</f>
        <v>126.59</v>
      </c>
      <c r="C10088" s="2">
        <f>IFERROR(__xludf.DUMMYFUNCTION("""COMPUTED_VALUE"""),128.11)</f>
        <v>128.11</v>
      </c>
      <c r="D10088" s="2">
        <f>IFERROR(__xludf.DUMMYFUNCTION("""COMPUTED_VALUE"""),126.46)</f>
        <v>126.46</v>
      </c>
      <c r="E10088" s="2">
        <f>IFERROR(__xludf.DUMMYFUNCTION("""COMPUTED_VALUE"""),128.03)</f>
        <v>128.03</v>
      </c>
      <c r="F10088" s="2">
        <f>IFERROR(__xludf.DUMMYFUNCTION("""COMPUTED_VALUE"""),3778012.0)</f>
        <v>3778012</v>
      </c>
    </row>
    <row r="10089">
      <c r="A10089" s="3">
        <f>IFERROR(__xludf.DUMMYFUNCTION("""COMPUTED_VALUE"""),43832.66666666667)</f>
        <v>43832.66667</v>
      </c>
      <c r="B10089" s="2">
        <f>IFERROR(__xludf.DUMMYFUNCTION("""COMPUTED_VALUE"""),128.95)</f>
        <v>128.95</v>
      </c>
      <c r="C10089" s="2">
        <f>IFERROR(__xludf.DUMMYFUNCTION("""COMPUTED_VALUE"""),129.83)</f>
        <v>129.83</v>
      </c>
      <c r="D10089" s="2">
        <f>IFERROR(__xludf.DUMMYFUNCTION("""COMPUTED_VALUE"""),128.73)</f>
        <v>128.73</v>
      </c>
      <c r="E10089" s="2">
        <f>IFERROR(__xludf.DUMMYFUNCTION("""COMPUTED_VALUE"""),129.35)</f>
        <v>129.35</v>
      </c>
      <c r="F10089" s="2">
        <f>IFERROR(__xludf.DUMMYFUNCTION("""COMPUTED_VALUE"""),3148833.0)</f>
        <v>3148833</v>
      </c>
    </row>
    <row r="10090">
      <c r="A10090" s="3">
        <f>IFERROR(__xludf.DUMMYFUNCTION("""COMPUTED_VALUE"""),43833.66666666667)</f>
        <v>43833.66667</v>
      </c>
      <c r="B10090" s="2">
        <f>IFERROR(__xludf.DUMMYFUNCTION("""COMPUTED_VALUE"""),127.58)</f>
        <v>127.58</v>
      </c>
      <c r="C10090" s="2">
        <f>IFERROR(__xludf.DUMMYFUNCTION("""COMPUTED_VALUE"""),128.81)</f>
        <v>128.81</v>
      </c>
      <c r="D10090" s="2">
        <f>IFERROR(__xludf.DUMMYFUNCTION("""COMPUTED_VALUE"""),127.57)</f>
        <v>127.57</v>
      </c>
      <c r="E10090" s="2">
        <f>IFERROR(__xludf.DUMMYFUNCTION("""COMPUTED_VALUE"""),128.32)</f>
        <v>128.32</v>
      </c>
      <c r="F10090" s="2">
        <f>IFERROR(__xludf.DUMMYFUNCTION("""COMPUTED_VALUE"""),2373676.0)</f>
        <v>2373676</v>
      </c>
    </row>
    <row r="10091">
      <c r="A10091" s="3">
        <f>IFERROR(__xludf.DUMMYFUNCTION("""COMPUTED_VALUE"""),43836.66666666667)</f>
        <v>43836.66667</v>
      </c>
      <c r="B10091" s="2">
        <f>IFERROR(__xludf.DUMMYFUNCTION("""COMPUTED_VALUE"""),127.44)</f>
        <v>127.44</v>
      </c>
      <c r="C10091" s="2">
        <f>IFERROR(__xludf.DUMMYFUNCTION("""COMPUTED_VALUE"""),128.22)</f>
        <v>128.22</v>
      </c>
      <c r="D10091" s="2">
        <f>IFERROR(__xludf.DUMMYFUNCTION("""COMPUTED_VALUE"""),127.23)</f>
        <v>127.23</v>
      </c>
      <c r="E10091" s="2">
        <f>IFERROR(__xludf.DUMMYFUNCTION("""COMPUTED_VALUE"""),128.09)</f>
        <v>128.09</v>
      </c>
      <c r="F10091" s="2">
        <f>IFERROR(__xludf.DUMMYFUNCTION("""COMPUTED_VALUE"""),2426305.0)</f>
        <v>2426305</v>
      </c>
    </row>
    <row r="10092">
      <c r="A10092" s="3">
        <f>IFERROR(__xludf.DUMMYFUNCTION("""COMPUTED_VALUE"""),43837.66666666667)</f>
        <v>43837.66667</v>
      </c>
      <c r="B10092" s="2">
        <f>IFERROR(__xludf.DUMMYFUNCTION("""COMPUTED_VALUE"""),127.7)</f>
        <v>127.7</v>
      </c>
      <c r="C10092" s="2">
        <f>IFERROR(__xludf.DUMMYFUNCTION("""COMPUTED_VALUE"""),128.91)</f>
        <v>128.91</v>
      </c>
      <c r="D10092" s="2">
        <f>IFERROR(__xludf.DUMMYFUNCTION("""COMPUTED_VALUE"""),127.42)</f>
        <v>127.42</v>
      </c>
      <c r="E10092" s="2">
        <f>IFERROR(__xludf.DUMMYFUNCTION("""COMPUTED_VALUE"""),128.17)</f>
        <v>128.17</v>
      </c>
      <c r="F10092" s="2">
        <f>IFERROR(__xludf.DUMMYFUNCTION("""COMPUTED_VALUE"""),3275968.0)</f>
        <v>3275968</v>
      </c>
    </row>
    <row r="10093">
      <c r="A10093" s="3">
        <f>IFERROR(__xludf.DUMMYFUNCTION("""COMPUTED_VALUE"""),43838.66666666667)</f>
        <v>43838.66667</v>
      </c>
      <c r="B10093" s="2">
        <f>IFERROR(__xludf.DUMMYFUNCTION("""COMPUTED_VALUE"""),128.48)</f>
        <v>128.48</v>
      </c>
      <c r="C10093" s="2">
        <f>IFERROR(__xludf.DUMMYFUNCTION("""COMPUTED_VALUE"""),129.77)</f>
        <v>129.77</v>
      </c>
      <c r="D10093" s="2">
        <f>IFERROR(__xludf.DUMMYFUNCTION("""COMPUTED_VALUE"""),127.92)</f>
        <v>127.92</v>
      </c>
      <c r="E10093" s="2">
        <f>IFERROR(__xludf.DUMMYFUNCTION("""COMPUTED_VALUE"""),129.24)</f>
        <v>129.24</v>
      </c>
      <c r="F10093" s="2">
        <f>IFERROR(__xludf.DUMMYFUNCTION("""COMPUTED_VALUE"""),4346140.0)</f>
        <v>4346140</v>
      </c>
    </row>
    <row r="10094">
      <c r="A10094" s="3">
        <f>IFERROR(__xludf.DUMMYFUNCTION("""COMPUTED_VALUE"""),43839.66666666667)</f>
        <v>43839.66667</v>
      </c>
      <c r="B10094" s="2">
        <f>IFERROR(__xludf.DUMMYFUNCTION("""COMPUTED_VALUE"""),129.65)</f>
        <v>129.65</v>
      </c>
      <c r="C10094" s="2">
        <f>IFERROR(__xludf.DUMMYFUNCTION("""COMPUTED_VALUE"""),130.66)</f>
        <v>130.66</v>
      </c>
      <c r="D10094" s="2">
        <f>IFERROR(__xludf.DUMMYFUNCTION("""COMPUTED_VALUE"""),129.24)</f>
        <v>129.24</v>
      </c>
      <c r="E10094" s="2">
        <f>IFERROR(__xludf.DUMMYFUNCTION("""COMPUTED_VALUE"""),130.61)</f>
        <v>130.61</v>
      </c>
      <c r="F10094" s="2">
        <f>IFERROR(__xludf.DUMMYFUNCTION("""COMPUTED_VALUE"""),3732830.0)</f>
        <v>3732830</v>
      </c>
    </row>
    <row r="10095">
      <c r="A10095" s="3">
        <f>IFERROR(__xludf.DUMMYFUNCTION("""COMPUTED_VALUE"""),43840.66666666667)</f>
        <v>43840.66667</v>
      </c>
      <c r="B10095" s="2">
        <f>IFERROR(__xludf.DUMMYFUNCTION("""COMPUTED_VALUE"""),130.86)</f>
        <v>130.86</v>
      </c>
      <c r="C10095" s="2">
        <f>IFERROR(__xludf.DUMMYFUNCTION("""COMPUTED_VALUE"""),131.69)</f>
        <v>131.69</v>
      </c>
      <c r="D10095" s="2">
        <f>IFERROR(__xludf.DUMMYFUNCTION("""COMPUTED_VALUE"""),130.2)</f>
        <v>130.2</v>
      </c>
      <c r="E10095" s="2">
        <f>IFERROR(__xludf.DUMMYFUNCTION("""COMPUTED_VALUE"""),130.56)</f>
        <v>130.56</v>
      </c>
      <c r="F10095" s="2">
        <f>IFERROR(__xludf.DUMMYFUNCTION("""COMPUTED_VALUE"""),3255641.0)</f>
        <v>3255641</v>
      </c>
    </row>
    <row r="10096">
      <c r="A10096" s="3">
        <f>IFERROR(__xludf.DUMMYFUNCTION("""COMPUTED_VALUE"""),43843.66666666667)</f>
        <v>43843.66667</v>
      </c>
      <c r="B10096" s="2">
        <f>IFERROR(__xludf.DUMMYFUNCTION("""COMPUTED_VALUE"""),129.41)</f>
        <v>129.41</v>
      </c>
      <c r="C10096" s="2">
        <f>IFERROR(__xludf.DUMMYFUNCTION("""COMPUTED_VALUE"""),130.51)</f>
        <v>130.51</v>
      </c>
      <c r="D10096" s="2">
        <f>IFERROR(__xludf.DUMMYFUNCTION("""COMPUTED_VALUE"""),129.01)</f>
        <v>129.01</v>
      </c>
      <c r="E10096" s="2">
        <f>IFERROR(__xludf.DUMMYFUNCTION("""COMPUTED_VALUE"""),130.48)</f>
        <v>130.48</v>
      </c>
      <c r="F10096" s="2">
        <f>IFERROR(__xludf.DUMMYFUNCTION("""COMPUTED_VALUE"""),3531572.0)</f>
        <v>3531572</v>
      </c>
    </row>
    <row r="10097">
      <c r="A10097" s="3">
        <f>IFERROR(__xludf.DUMMYFUNCTION("""COMPUTED_VALUE"""),43844.66666666667)</f>
        <v>43844.66667</v>
      </c>
      <c r="B10097" s="2">
        <f>IFERROR(__xludf.DUMMYFUNCTION("""COMPUTED_VALUE"""),130.17)</f>
        <v>130.17</v>
      </c>
      <c r="C10097" s="2">
        <f>IFERROR(__xludf.DUMMYFUNCTION("""COMPUTED_VALUE"""),130.99)</f>
        <v>130.99</v>
      </c>
      <c r="D10097" s="2">
        <f>IFERROR(__xludf.DUMMYFUNCTION("""COMPUTED_VALUE"""),129.47)</f>
        <v>129.47</v>
      </c>
      <c r="E10097" s="2">
        <f>IFERROR(__xludf.DUMMYFUNCTION("""COMPUTED_VALUE"""),129.73)</f>
        <v>129.73</v>
      </c>
      <c r="F10097" s="2">
        <f>IFERROR(__xludf.DUMMYFUNCTION("""COMPUTED_VALUE"""),3683458.0)</f>
        <v>3683458</v>
      </c>
    </row>
    <row r="10098">
      <c r="A10098" s="3">
        <f>IFERROR(__xludf.DUMMYFUNCTION("""COMPUTED_VALUE"""),43845.66666666667)</f>
        <v>43845.66667</v>
      </c>
      <c r="B10098" s="2">
        <f>IFERROR(__xludf.DUMMYFUNCTION("""COMPUTED_VALUE"""),129.9)</f>
        <v>129.9</v>
      </c>
      <c r="C10098" s="2">
        <f>IFERROR(__xludf.DUMMYFUNCTION("""COMPUTED_VALUE"""),131.87)</f>
        <v>131.87</v>
      </c>
      <c r="D10098" s="2">
        <f>IFERROR(__xludf.DUMMYFUNCTION("""COMPUTED_VALUE"""),129.63)</f>
        <v>129.63</v>
      </c>
      <c r="E10098" s="2">
        <f>IFERROR(__xludf.DUMMYFUNCTION("""COMPUTED_VALUE"""),130.49)</f>
        <v>130.49</v>
      </c>
      <c r="F10098" s="2">
        <f>IFERROR(__xludf.DUMMYFUNCTION("""COMPUTED_VALUE"""),4045952.0)</f>
        <v>4045952</v>
      </c>
    </row>
    <row r="10099">
      <c r="A10099" s="3">
        <f>IFERROR(__xludf.DUMMYFUNCTION("""COMPUTED_VALUE"""),43846.66666666667)</f>
        <v>43846.66667</v>
      </c>
      <c r="B10099" s="2">
        <f>IFERROR(__xludf.DUMMYFUNCTION("""COMPUTED_VALUE"""),131.16)</f>
        <v>131.16</v>
      </c>
      <c r="C10099" s="2">
        <f>IFERROR(__xludf.DUMMYFUNCTION("""COMPUTED_VALUE"""),131.99)</f>
        <v>131.99</v>
      </c>
      <c r="D10099" s="2">
        <f>IFERROR(__xludf.DUMMYFUNCTION("""COMPUTED_VALUE"""),130.87)</f>
        <v>130.87</v>
      </c>
      <c r="E10099" s="2">
        <f>IFERROR(__xludf.DUMMYFUNCTION("""COMPUTED_VALUE"""),131.79)</f>
        <v>131.79</v>
      </c>
      <c r="F10099" s="2">
        <f>IFERROR(__xludf.DUMMYFUNCTION("""COMPUTED_VALUE"""),4320911.0)</f>
        <v>4320911</v>
      </c>
    </row>
    <row r="10100">
      <c r="A10100" s="3">
        <f>IFERROR(__xludf.DUMMYFUNCTION("""COMPUTED_VALUE"""),43847.66666666667)</f>
        <v>43847.66667</v>
      </c>
      <c r="B10100" s="2">
        <f>IFERROR(__xludf.DUMMYFUNCTION("""COMPUTED_VALUE"""),130.42)</f>
        <v>130.42</v>
      </c>
      <c r="C10100" s="2">
        <f>IFERROR(__xludf.DUMMYFUNCTION("""COMPUTED_VALUE"""),132.13)</f>
        <v>132.13</v>
      </c>
      <c r="D10100" s="2">
        <f>IFERROR(__xludf.DUMMYFUNCTION("""COMPUTED_VALUE"""),130.06)</f>
        <v>130.06</v>
      </c>
      <c r="E10100" s="2">
        <f>IFERROR(__xludf.DUMMYFUNCTION("""COMPUTED_VALUE"""),132.11)</f>
        <v>132.11</v>
      </c>
      <c r="F10100" s="2">
        <f>IFERROR(__xludf.DUMMYFUNCTION("""COMPUTED_VALUE"""),5623336.0)</f>
        <v>5623336</v>
      </c>
    </row>
    <row r="10101">
      <c r="A10101" s="3">
        <f>IFERROR(__xludf.DUMMYFUNCTION("""COMPUTED_VALUE"""),43851.66666666667)</f>
        <v>43851.66667</v>
      </c>
      <c r="B10101" s="2">
        <f>IFERROR(__xludf.DUMMYFUNCTION("""COMPUTED_VALUE"""),131.63)</f>
        <v>131.63</v>
      </c>
      <c r="C10101" s="2">
        <f>IFERROR(__xludf.DUMMYFUNCTION("""COMPUTED_VALUE"""),133.1)</f>
        <v>133.1</v>
      </c>
      <c r="D10101" s="2">
        <f>IFERROR(__xludf.DUMMYFUNCTION("""COMPUTED_VALUE"""),131.43)</f>
        <v>131.43</v>
      </c>
      <c r="E10101" s="2">
        <f>IFERROR(__xludf.DUMMYFUNCTION("""COMPUTED_VALUE"""),132.93)</f>
        <v>132.93</v>
      </c>
      <c r="F10101" s="2">
        <f>IFERROR(__xludf.DUMMYFUNCTION("""COMPUTED_VALUE"""),7244079.0)</f>
        <v>7244079</v>
      </c>
    </row>
    <row r="10102">
      <c r="A10102" s="3">
        <f>IFERROR(__xludf.DUMMYFUNCTION("""COMPUTED_VALUE"""),43852.66666666667)</f>
        <v>43852.66667</v>
      </c>
      <c r="B10102" s="2">
        <f>IFERROR(__xludf.DUMMYFUNCTION("""COMPUTED_VALUE"""),136.89)</f>
        <v>136.89</v>
      </c>
      <c r="C10102" s="2">
        <f>IFERROR(__xludf.DUMMYFUNCTION("""COMPUTED_VALUE"""),139.25)</f>
        <v>139.25</v>
      </c>
      <c r="D10102" s="2">
        <f>IFERROR(__xludf.DUMMYFUNCTION("""COMPUTED_VALUE"""),136.16)</f>
        <v>136.16</v>
      </c>
      <c r="E10102" s="2">
        <f>IFERROR(__xludf.DUMMYFUNCTION("""COMPUTED_VALUE"""),137.44)</f>
        <v>137.44</v>
      </c>
      <c r="F10102" s="2">
        <f>IFERROR(__xludf.DUMMYFUNCTION("""COMPUTED_VALUE"""),1.6470431E7)</f>
        <v>16470431</v>
      </c>
    </row>
    <row r="10103">
      <c r="A10103" s="3">
        <f>IFERROR(__xludf.DUMMYFUNCTION("""COMPUTED_VALUE"""),43853.66666666667)</f>
        <v>43853.66667</v>
      </c>
      <c r="B10103" s="2">
        <f>IFERROR(__xludf.DUMMYFUNCTION("""COMPUTED_VALUE"""),137.73)</f>
        <v>137.73</v>
      </c>
      <c r="C10103" s="2">
        <f>IFERROR(__xludf.DUMMYFUNCTION("""COMPUTED_VALUE"""),137.93)</f>
        <v>137.93</v>
      </c>
      <c r="D10103" s="2">
        <f>IFERROR(__xludf.DUMMYFUNCTION("""COMPUTED_VALUE"""),135.78)</f>
        <v>135.78</v>
      </c>
      <c r="E10103" s="2">
        <f>IFERROR(__xludf.DUMMYFUNCTION("""COMPUTED_VALUE"""),136.46)</f>
        <v>136.46</v>
      </c>
      <c r="F10103" s="2">
        <f>IFERROR(__xludf.DUMMYFUNCTION("""COMPUTED_VALUE"""),5657790.0)</f>
        <v>5657790</v>
      </c>
    </row>
    <row r="10104">
      <c r="A10104" s="3">
        <f>IFERROR(__xludf.DUMMYFUNCTION("""COMPUTED_VALUE"""),43854.66666666667)</f>
        <v>43854.66667</v>
      </c>
      <c r="B10104" s="2">
        <f>IFERROR(__xludf.DUMMYFUNCTION("""COMPUTED_VALUE"""),136.96)</f>
        <v>136.96</v>
      </c>
      <c r="C10104" s="2">
        <f>IFERROR(__xludf.DUMMYFUNCTION("""COMPUTED_VALUE"""),137.47)</f>
        <v>137.47</v>
      </c>
      <c r="D10104" s="2">
        <f>IFERROR(__xludf.DUMMYFUNCTION("""COMPUTED_VALUE"""),134.16)</f>
        <v>134.16</v>
      </c>
      <c r="E10104" s="2">
        <f>IFERROR(__xludf.DUMMYFUNCTION("""COMPUTED_VALUE"""),134.26)</f>
        <v>134.26</v>
      </c>
      <c r="F10104" s="2">
        <f>IFERROR(__xludf.DUMMYFUNCTION("""COMPUTED_VALUE"""),5580189.0)</f>
        <v>5580189</v>
      </c>
    </row>
    <row r="10105">
      <c r="A10105" s="3">
        <f>IFERROR(__xludf.DUMMYFUNCTION("""COMPUTED_VALUE"""),43857.66666666667)</f>
        <v>43857.66667</v>
      </c>
      <c r="B10105" s="2">
        <f>IFERROR(__xludf.DUMMYFUNCTION("""COMPUTED_VALUE"""),132.29)</f>
        <v>132.29</v>
      </c>
      <c r="C10105" s="2">
        <f>IFERROR(__xludf.DUMMYFUNCTION("""COMPUTED_VALUE"""),133.79)</f>
        <v>133.79</v>
      </c>
      <c r="D10105" s="2">
        <f>IFERROR(__xludf.DUMMYFUNCTION("""COMPUTED_VALUE"""),131.91)</f>
        <v>131.91</v>
      </c>
      <c r="E10105" s="2">
        <f>IFERROR(__xludf.DUMMYFUNCTION("""COMPUTED_VALUE"""),132.4)</f>
        <v>132.4</v>
      </c>
      <c r="F10105" s="2">
        <f>IFERROR(__xludf.DUMMYFUNCTION("""COMPUTED_VALUE"""),4166562.0)</f>
        <v>4166562</v>
      </c>
    </row>
    <row r="10106">
      <c r="A10106" s="3">
        <f>IFERROR(__xludf.DUMMYFUNCTION("""COMPUTED_VALUE"""),43858.66666666667)</f>
        <v>43858.66667</v>
      </c>
      <c r="B10106" s="2">
        <f>IFERROR(__xludf.DUMMYFUNCTION("""COMPUTED_VALUE"""),133.25)</f>
        <v>133.25</v>
      </c>
      <c r="C10106" s="2">
        <f>IFERROR(__xludf.DUMMYFUNCTION("""COMPUTED_VALUE"""),134.17)</f>
        <v>134.17</v>
      </c>
      <c r="D10106" s="2">
        <f>IFERROR(__xludf.DUMMYFUNCTION("""COMPUTED_VALUE"""),132.53)</f>
        <v>132.53</v>
      </c>
      <c r="E10106" s="2">
        <f>IFERROR(__xludf.DUMMYFUNCTION("""COMPUTED_VALUE"""),133.29)</f>
        <v>133.29</v>
      </c>
      <c r="F10106" s="2">
        <f>IFERROR(__xludf.DUMMYFUNCTION("""COMPUTED_VALUE"""),3451557.0)</f>
        <v>3451557</v>
      </c>
    </row>
    <row r="10107">
      <c r="A10107" s="3">
        <f>IFERROR(__xludf.DUMMYFUNCTION("""COMPUTED_VALUE"""),43859.66666666667)</f>
        <v>43859.66667</v>
      </c>
      <c r="B10107" s="2">
        <f>IFERROR(__xludf.DUMMYFUNCTION("""COMPUTED_VALUE"""),132.93)</f>
        <v>132.93</v>
      </c>
      <c r="C10107" s="2">
        <f>IFERROR(__xludf.DUMMYFUNCTION("""COMPUTED_VALUE"""),133.32)</f>
        <v>133.32</v>
      </c>
      <c r="D10107" s="2">
        <f>IFERROR(__xludf.DUMMYFUNCTION("""COMPUTED_VALUE"""),131.43)</f>
        <v>131.43</v>
      </c>
      <c r="E10107" s="2">
        <f>IFERROR(__xludf.DUMMYFUNCTION("""COMPUTED_VALUE"""),131.52)</f>
        <v>131.52</v>
      </c>
      <c r="F10107" s="2">
        <f>IFERROR(__xludf.DUMMYFUNCTION("""COMPUTED_VALUE"""),3054714.0)</f>
        <v>3054714</v>
      </c>
    </row>
    <row r="10108">
      <c r="A10108" s="3">
        <f>IFERROR(__xludf.DUMMYFUNCTION("""COMPUTED_VALUE"""),43860.66666666667)</f>
        <v>43860.66667</v>
      </c>
      <c r="B10108" s="2">
        <f>IFERROR(__xludf.DUMMYFUNCTION("""COMPUTED_VALUE"""),130.63)</f>
        <v>130.63</v>
      </c>
      <c r="C10108" s="2">
        <f>IFERROR(__xludf.DUMMYFUNCTION("""COMPUTED_VALUE"""),130.83)</f>
        <v>130.83</v>
      </c>
      <c r="D10108" s="2">
        <f>IFERROR(__xludf.DUMMYFUNCTION("""COMPUTED_VALUE"""),128.92)</f>
        <v>128.92</v>
      </c>
      <c r="E10108" s="2">
        <f>IFERROR(__xludf.DUMMYFUNCTION("""COMPUTED_VALUE"""),130.64)</f>
        <v>130.64</v>
      </c>
      <c r="F10108" s="2">
        <f>IFERROR(__xludf.DUMMYFUNCTION("""COMPUTED_VALUE"""),5057906.0)</f>
        <v>5057906</v>
      </c>
    </row>
    <row r="10109">
      <c r="A10109" s="3">
        <f>IFERROR(__xludf.DUMMYFUNCTION("""COMPUTED_VALUE"""),43861.66666666667)</f>
        <v>43861.66667</v>
      </c>
      <c r="B10109" s="2">
        <f>IFERROR(__xludf.DUMMYFUNCTION("""COMPUTED_VALUE"""),136.49)</f>
        <v>136.49</v>
      </c>
      <c r="C10109" s="2">
        <f>IFERROR(__xludf.DUMMYFUNCTION("""COMPUTED_VALUE"""),137.59)</f>
        <v>137.59</v>
      </c>
      <c r="D10109" s="2">
        <f>IFERROR(__xludf.DUMMYFUNCTION("""COMPUTED_VALUE"""),134.48)</f>
        <v>134.48</v>
      </c>
      <c r="E10109" s="2">
        <f>IFERROR(__xludf.DUMMYFUNCTION("""COMPUTED_VALUE"""),137.29)</f>
        <v>137.29</v>
      </c>
      <c r="F10109" s="2">
        <f>IFERROR(__xludf.DUMMYFUNCTION("""COMPUTED_VALUE"""),1.899456E7)</f>
        <v>18994560</v>
      </c>
    </row>
    <row r="10110">
      <c r="A10110" s="3">
        <f>IFERROR(__xludf.DUMMYFUNCTION("""COMPUTED_VALUE"""),43864.66666666667)</f>
        <v>43864.66667</v>
      </c>
      <c r="B10110" s="2">
        <f>IFERROR(__xludf.DUMMYFUNCTION("""COMPUTED_VALUE"""),137.78)</f>
        <v>137.78</v>
      </c>
      <c r="C10110" s="2">
        <f>IFERROR(__xludf.DUMMYFUNCTION("""COMPUTED_VALUE"""),140.68)</f>
        <v>140.68</v>
      </c>
      <c r="D10110" s="2">
        <f>IFERROR(__xludf.DUMMYFUNCTION("""COMPUTED_VALUE"""),137.45)</f>
        <v>137.45</v>
      </c>
      <c r="E10110" s="2">
        <f>IFERROR(__xludf.DUMMYFUNCTION("""COMPUTED_VALUE"""),139.71)</f>
        <v>139.71</v>
      </c>
      <c r="F10110" s="2">
        <f>IFERROR(__xludf.DUMMYFUNCTION("""COMPUTED_VALUE"""),8887502.0)</f>
        <v>8887502</v>
      </c>
    </row>
    <row r="10111">
      <c r="A10111" s="3">
        <f>IFERROR(__xludf.DUMMYFUNCTION("""COMPUTED_VALUE"""),43865.66666666667)</f>
        <v>43865.66667</v>
      </c>
      <c r="B10111" s="2">
        <f>IFERROR(__xludf.DUMMYFUNCTION("""COMPUTED_VALUE"""),141.15)</f>
        <v>141.15</v>
      </c>
      <c r="C10111" s="2">
        <f>IFERROR(__xludf.DUMMYFUNCTION("""COMPUTED_VALUE"""),142.68)</f>
        <v>142.68</v>
      </c>
      <c r="D10111" s="2">
        <f>IFERROR(__xludf.DUMMYFUNCTION("""COMPUTED_VALUE"""),140.29)</f>
        <v>140.29</v>
      </c>
      <c r="E10111" s="2">
        <f>IFERROR(__xludf.DUMMYFUNCTION("""COMPUTED_VALUE"""),142.42)</f>
        <v>142.42</v>
      </c>
      <c r="F10111" s="2">
        <f>IFERROR(__xludf.DUMMYFUNCTION("""COMPUTED_VALUE"""),5620966.0)</f>
        <v>5620966</v>
      </c>
    </row>
    <row r="10112">
      <c r="A10112" s="3">
        <f>IFERROR(__xludf.DUMMYFUNCTION("""COMPUTED_VALUE"""),43866.66666666667)</f>
        <v>43866.66667</v>
      </c>
      <c r="B10112" s="2">
        <f>IFERROR(__xludf.DUMMYFUNCTION("""COMPUTED_VALUE"""),143.48)</f>
        <v>143.48</v>
      </c>
      <c r="C10112" s="2">
        <f>IFERROR(__xludf.DUMMYFUNCTION("""COMPUTED_VALUE"""),150.38)</f>
        <v>150.38</v>
      </c>
      <c r="D10112" s="2">
        <f>IFERROR(__xludf.DUMMYFUNCTION("""COMPUTED_VALUE"""),143.42)</f>
        <v>143.42</v>
      </c>
      <c r="E10112" s="2">
        <f>IFERROR(__xludf.DUMMYFUNCTION("""COMPUTED_VALUE"""),149.32)</f>
        <v>149.32</v>
      </c>
      <c r="F10112" s="2">
        <f>IFERROR(__xludf.DUMMYFUNCTION("""COMPUTED_VALUE"""),1.4386823E7)</f>
        <v>14386823</v>
      </c>
    </row>
    <row r="10113">
      <c r="A10113" s="3">
        <f>IFERROR(__xludf.DUMMYFUNCTION("""COMPUTED_VALUE"""),43867.66666666667)</f>
        <v>43867.66667</v>
      </c>
      <c r="B10113" s="2">
        <f>IFERROR(__xludf.DUMMYFUNCTION("""COMPUTED_VALUE"""),149.79)</f>
        <v>149.79</v>
      </c>
      <c r="C10113" s="2">
        <f>IFERROR(__xludf.DUMMYFUNCTION("""COMPUTED_VALUE"""),151.63)</f>
        <v>151.63</v>
      </c>
      <c r="D10113" s="2">
        <f>IFERROR(__xludf.DUMMYFUNCTION("""COMPUTED_VALUE"""),148.45)</f>
        <v>148.45</v>
      </c>
      <c r="E10113" s="2">
        <f>IFERROR(__xludf.DUMMYFUNCTION("""COMPUTED_VALUE"""),149.73)</f>
        <v>149.73</v>
      </c>
      <c r="F10113" s="2">
        <f>IFERROR(__xludf.DUMMYFUNCTION("""COMPUTED_VALUE"""),8400545.0)</f>
        <v>8400545</v>
      </c>
    </row>
    <row r="10114">
      <c r="A10114" s="3">
        <f>IFERROR(__xludf.DUMMYFUNCTION("""COMPUTED_VALUE"""),43868.66666666667)</f>
        <v>43868.66667</v>
      </c>
      <c r="B10114" s="2">
        <f>IFERROR(__xludf.DUMMYFUNCTION("""COMPUTED_VALUE"""),147.62)</f>
        <v>147.62</v>
      </c>
      <c r="C10114" s="2">
        <f>IFERROR(__xludf.DUMMYFUNCTION("""COMPUTED_VALUE"""),148.57)</f>
        <v>148.57</v>
      </c>
      <c r="D10114" s="2">
        <f>IFERROR(__xludf.DUMMYFUNCTION("""COMPUTED_VALUE"""),146.06)</f>
        <v>146.06</v>
      </c>
      <c r="E10114" s="2">
        <f>IFERROR(__xludf.DUMMYFUNCTION("""COMPUTED_VALUE"""),146.53)</f>
        <v>146.53</v>
      </c>
      <c r="F10114" s="2">
        <f>IFERROR(__xludf.DUMMYFUNCTION("""COMPUTED_VALUE"""),6423429.0)</f>
        <v>6423429</v>
      </c>
    </row>
    <row r="10115">
      <c r="A10115" s="3">
        <f>IFERROR(__xludf.DUMMYFUNCTION("""COMPUTED_VALUE"""),43871.66666666667)</f>
        <v>43871.66667</v>
      </c>
      <c r="B10115" s="2">
        <f>IFERROR(__xludf.DUMMYFUNCTION("""COMPUTED_VALUE"""),146.11)</f>
        <v>146.11</v>
      </c>
      <c r="C10115" s="2">
        <f>IFERROR(__xludf.DUMMYFUNCTION("""COMPUTED_VALUE"""),147.52)</f>
        <v>147.52</v>
      </c>
      <c r="D10115" s="2">
        <f>IFERROR(__xludf.DUMMYFUNCTION("""COMPUTED_VALUE"""),144.78)</f>
        <v>144.78</v>
      </c>
      <c r="E10115" s="2">
        <f>IFERROR(__xludf.DUMMYFUNCTION("""COMPUTED_VALUE"""),147.51)</f>
        <v>147.51</v>
      </c>
      <c r="F10115" s="2">
        <f>IFERROR(__xludf.DUMMYFUNCTION("""COMPUTED_VALUE"""),5239807.0)</f>
        <v>5239807</v>
      </c>
    </row>
    <row r="10116">
      <c r="A10116" s="3">
        <f>IFERROR(__xludf.DUMMYFUNCTION("""COMPUTED_VALUE"""),43872.66666666667)</f>
        <v>43872.66667</v>
      </c>
      <c r="B10116" s="2">
        <f>IFERROR(__xludf.DUMMYFUNCTION("""COMPUTED_VALUE"""),148.17)</f>
        <v>148.17</v>
      </c>
      <c r="C10116" s="2">
        <f>IFERROR(__xludf.DUMMYFUNCTION("""COMPUTED_VALUE"""),148.26)</f>
        <v>148.26</v>
      </c>
      <c r="D10116" s="2">
        <f>IFERROR(__xludf.DUMMYFUNCTION("""COMPUTED_VALUE"""),145.88)</f>
        <v>145.88</v>
      </c>
      <c r="E10116" s="2">
        <f>IFERROR(__xludf.DUMMYFUNCTION("""COMPUTED_VALUE"""),146.6)</f>
        <v>146.6</v>
      </c>
      <c r="F10116" s="2">
        <f>IFERROR(__xludf.DUMMYFUNCTION("""COMPUTED_VALUE"""),3835112.0)</f>
        <v>3835112</v>
      </c>
    </row>
    <row r="10117">
      <c r="A10117" s="3">
        <f>IFERROR(__xludf.DUMMYFUNCTION("""COMPUTED_VALUE"""),43873.66666666667)</f>
        <v>43873.66667</v>
      </c>
      <c r="B10117" s="2">
        <f>IFERROR(__xludf.DUMMYFUNCTION("""COMPUTED_VALUE"""),146.86)</f>
        <v>146.86</v>
      </c>
      <c r="C10117" s="2">
        <f>IFERROR(__xludf.DUMMYFUNCTION("""COMPUTED_VALUE"""),148.62)</f>
        <v>148.62</v>
      </c>
      <c r="D10117" s="2">
        <f>IFERROR(__xludf.DUMMYFUNCTION("""COMPUTED_VALUE"""),146.64)</f>
        <v>146.64</v>
      </c>
      <c r="E10117" s="2">
        <f>IFERROR(__xludf.DUMMYFUNCTION("""COMPUTED_VALUE"""),148.35)</f>
        <v>148.35</v>
      </c>
      <c r="F10117" s="2">
        <f>IFERROR(__xludf.DUMMYFUNCTION("""COMPUTED_VALUE"""),4438007.0)</f>
        <v>4438007</v>
      </c>
    </row>
    <row r="10118">
      <c r="A10118" s="3">
        <f>IFERROR(__xludf.DUMMYFUNCTION("""COMPUTED_VALUE"""),43874.66666666667)</f>
        <v>43874.66667</v>
      </c>
      <c r="B10118" s="2">
        <f>IFERROR(__xludf.DUMMYFUNCTION("""COMPUTED_VALUE"""),147.45)</f>
        <v>147.45</v>
      </c>
      <c r="C10118" s="2">
        <f>IFERROR(__xludf.DUMMYFUNCTION("""COMPUTED_VALUE"""),147.89)</f>
        <v>147.89</v>
      </c>
      <c r="D10118" s="2">
        <f>IFERROR(__xludf.DUMMYFUNCTION("""COMPUTED_VALUE"""),146.53)</f>
        <v>146.53</v>
      </c>
      <c r="E10118" s="2">
        <f>IFERROR(__xludf.DUMMYFUNCTION("""COMPUTED_VALUE"""),147.39)</f>
        <v>147.39</v>
      </c>
      <c r="F10118" s="2">
        <f>IFERROR(__xludf.DUMMYFUNCTION("""COMPUTED_VALUE"""),3820697.0)</f>
        <v>3820697</v>
      </c>
    </row>
    <row r="10119">
      <c r="A10119" s="3">
        <f>IFERROR(__xludf.DUMMYFUNCTION("""COMPUTED_VALUE"""),43875.66666666667)</f>
        <v>43875.66667</v>
      </c>
      <c r="B10119" s="2">
        <f>IFERROR(__xludf.DUMMYFUNCTION("""COMPUTED_VALUE"""),147.5)</f>
        <v>147.5</v>
      </c>
      <c r="C10119" s="2">
        <f>IFERROR(__xludf.DUMMYFUNCTION("""COMPUTED_VALUE"""),147.63)</f>
        <v>147.63</v>
      </c>
      <c r="D10119" s="2">
        <f>IFERROR(__xludf.DUMMYFUNCTION("""COMPUTED_VALUE"""),143.05)</f>
        <v>143.05</v>
      </c>
      <c r="E10119" s="2">
        <f>IFERROR(__xludf.DUMMYFUNCTION("""COMPUTED_VALUE"""),143.94)</f>
        <v>143.94</v>
      </c>
      <c r="F10119" s="2">
        <f>IFERROR(__xludf.DUMMYFUNCTION("""COMPUTED_VALUE"""),6099244.0)</f>
        <v>6099244</v>
      </c>
    </row>
    <row r="10120">
      <c r="A10120" s="3">
        <f>IFERROR(__xludf.DUMMYFUNCTION("""COMPUTED_VALUE"""),43879.66666666667)</f>
        <v>43879.66667</v>
      </c>
      <c r="B10120" s="2">
        <f>IFERROR(__xludf.DUMMYFUNCTION("""COMPUTED_VALUE"""),143.07)</f>
        <v>143.07</v>
      </c>
      <c r="C10120" s="2">
        <f>IFERROR(__xludf.DUMMYFUNCTION("""COMPUTED_VALUE"""),144.59)</f>
        <v>144.59</v>
      </c>
      <c r="D10120" s="2">
        <f>IFERROR(__xludf.DUMMYFUNCTION("""COMPUTED_VALUE"""),142.93)</f>
        <v>142.93</v>
      </c>
      <c r="E10120" s="2">
        <f>IFERROR(__xludf.DUMMYFUNCTION("""COMPUTED_VALUE"""),144.33)</f>
        <v>144.33</v>
      </c>
      <c r="F10120" s="2">
        <f>IFERROR(__xludf.DUMMYFUNCTION("""COMPUTED_VALUE"""),3343514.0)</f>
        <v>3343514</v>
      </c>
    </row>
    <row r="10121">
      <c r="A10121" s="3">
        <f>IFERROR(__xludf.DUMMYFUNCTION("""COMPUTED_VALUE"""),43880.66666666667)</f>
        <v>43880.66667</v>
      </c>
      <c r="B10121" s="2">
        <f>IFERROR(__xludf.DUMMYFUNCTION("""COMPUTED_VALUE"""),144.75)</f>
        <v>144.75</v>
      </c>
      <c r="C10121" s="2">
        <f>IFERROR(__xludf.DUMMYFUNCTION("""COMPUTED_VALUE"""),145.08)</f>
        <v>145.08</v>
      </c>
      <c r="D10121" s="2">
        <f>IFERROR(__xludf.DUMMYFUNCTION("""COMPUTED_VALUE"""),143.57)</f>
        <v>143.57</v>
      </c>
      <c r="E10121" s="2">
        <f>IFERROR(__xludf.DUMMYFUNCTION("""COMPUTED_VALUE"""),144.1)</f>
        <v>144.1</v>
      </c>
      <c r="F10121" s="2">
        <f>IFERROR(__xludf.DUMMYFUNCTION("""COMPUTED_VALUE"""),2733277.0)</f>
        <v>2733277</v>
      </c>
    </row>
    <row r="10122">
      <c r="A10122" s="3">
        <f>IFERROR(__xludf.DUMMYFUNCTION("""COMPUTED_VALUE"""),43881.66666666667)</f>
        <v>43881.66667</v>
      </c>
      <c r="B10122" s="2">
        <f>IFERROR(__xludf.DUMMYFUNCTION("""COMPUTED_VALUE"""),144.05)</f>
        <v>144.05</v>
      </c>
      <c r="C10122" s="2">
        <f>IFERROR(__xludf.DUMMYFUNCTION("""COMPUTED_VALUE"""),144.82)</f>
        <v>144.82</v>
      </c>
      <c r="D10122" s="2">
        <f>IFERROR(__xludf.DUMMYFUNCTION("""COMPUTED_VALUE"""),142.81)</f>
        <v>142.81</v>
      </c>
      <c r="E10122" s="2">
        <f>IFERROR(__xludf.DUMMYFUNCTION("""COMPUTED_VALUE"""),144.44)</f>
        <v>144.44</v>
      </c>
      <c r="F10122" s="2">
        <f>IFERROR(__xludf.DUMMYFUNCTION("""COMPUTED_VALUE"""),2880709.0)</f>
        <v>2880709</v>
      </c>
    </row>
    <row r="10123">
      <c r="A10123" s="3">
        <f>IFERROR(__xludf.DUMMYFUNCTION("""COMPUTED_VALUE"""),43882.66666666667)</f>
        <v>43882.66667</v>
      </c>
      <c r="B10123" s="2">
        <f>IFERROR(__xludf.DUMMYFUNCTION("""COMPUTED_VALUE"""),144.27)</f>
        <v>144.27</v>
      </c>
      <c r="C10123" s="2">
        <f>IFERROR(__xludf.DUMMYFUNCTION("""COMPUTED_VALUE"""),144.27)</f>
        <v>144.27</v>
      </c>
      <c r="D10123" s="2">
        <f>IFERROR(__xludf.DUMMYFUNCTION("""COMPUTED_VALUE"""),142.17)</f>
        <v>142.17</v>
      </c>
      <c r="E10123" s="2">
        <f>IFERROR(__xludf.DUMMYFUNCTION("""COMPUTED_VALUE"""),143.12)</f>
        <v>143.12</v>
      </c>
      <c r="F10123" s="2">
        <f>IFERROR(__xludf.DUMMYFUNCTION("""COMPUTED_VALUE"""),3537258.0)</f>
        <v>3537258</v>
      </c>
    </row>
    <row r="10124">
      <c r="A10124" s="3">
        <f>IFERROR(__xludf.DUMMYFUNCTION("""COMPUTED_VALUE"""),43885.66666666667)</f>
        <v>43885.66667</v>
      </c>
      <c r="B10124" s="2">
        <f>IFERROR(__xludf.DUMMYFUNCTION("""COMPUTED_VALUE"""),138.99)</f>
        <v>138.99</v>
      </c>
      <c r="C10124" s="2">
        <f>IFERROR(__xludf.DUMMYFUNCTION("""COMPUTED_VALUE"""),141.41)</f>
        <v>141.41</v>
      </c>
      <c r="D10124" s="2">
        <f>IFERROR(__xludf.DUMMYFUNCTION("""COMPUTED_VALUE"""),138.86)</f>
        <v>138.86</v>
      </c>
      <c r="E10124" s="2">
        <f>IFERROR(__xludf.DUMMYFUNCTION("""COMPUTED_VALUE"""),139.86)</f>
        <v>139.86</v>
      </c>
      <c r="F10124" s="2">
        <f>IFERROR(__xludf.DUMMYFUNCTION("""COMPUTED_VALUE"""),5452408.0)</f>
        <v>5452408</v>
      </c>
    </row>
    <row r="10125">
      <c r="A10125" s="3">
        <f>IFERROR(__xludf.DUMMYFUNCTION("""COMPUTED_VALUE"""),43886.66666666667)</f>
        <v>43886.66667</v>
      </c>
      <c r="B10125" s="2">
        <f>IFERROR(__xludf.DUMMYFUNCTION("""COMPUTED_VALUE"""),139.94)</f>
        <v>139.94</v>
      </c>
      <c r="C10125" s="2">
        <f>IFERROR(__xludf.DUMMYFUNCTION("""COMPUTED_VALUE"""),140.48)</f>
        <v>140.48</v>
      </c>
      <c r="D10125" s="2">
        <f>IFERROR(__xludf.DUMMYFUNCTION("""COMPUTED_VALUE"""),134.93)</f>
        <v>134.93</v>
      </c>
      <c r="E10125" s="2">
        <f>IFERROR(__xludf.DUMMYFUNCTION("""COMPUTED_VALUE"""),135.36)</f>
        <v>135.36</v>
      </c>
      <c r="F10125" s="2">
        <f>IFERROR(__xludf.DUMMYFUNCTION("""COMPUTED_VALUE"""),6211547.0)</f>
        <v>6211547</v>
      </c>
    </row>
    <row r="10126">
      <c r="A10126" s="3">
        <f>IFERROR(__xludf.DUMMYFUNCTION("""COMPUTED_VALUE"""),43887.66666666667)</f>
        <v>43887.66667</v>
      </c>
      <c r="B10126" s="2">
        <f>IFERROR(__xludf.DUMMYFUNCTION("""COMPUTED_VALUE"""),136.49)</f>
        <v>136.49</v>
      </c>
      <c r="C10126" s="2">
        <f>IFERROR(__xludf.DUMMYFUNCTION("""COMPUTED_VALUE"""),137.6)</f>
        <v>137.6</v>
      </c>
      <c r="D10126" s="2">
        <f>IFERROR(__xludf.DUMMYFUNCTION("""COMPUTED_VALUE"""),133.34)</f>
        <v>133.34</v>
      </c>
      <c r="E10126" s="2">
        <f>IFERROR(__xludf.DUMMYFUNCTION("""COMPUTED_VALUE"""),133.48)</f>
        <v>133.48</v>
      </c>
      <c r="F10126" s="2">
        <f>IFERROR(__xludf.DUMMYFUNCTION("""COMPUTED_VALUE"""),5409537.0)</f>
        <v>5409537</v>
      </c>
    </row>
    <row r="10127">
      <c r="A10127" s="3">
        <f>IFERROR(__xludf.DUMMYFUNCTION("""COMPUTED_VALUE"""),43888.66666666667)</f>
        <v>43888.66667</v>
      </c>
      <c r="B10127" s="2">
        <f>IFERROR(__xludf.DUMMYFUNCTION("""COMPUTED_VALUE"""),131.09)</f>
        <v>131.09</v>
      </c>
      <c r="C10127" s="2">
        <f>IFERROR(__xludf.DUMMYFUNCTION("""COMPUTED_VALUE"""),132.47)</f>
        <v>132.47</v>
      </c>
      <c r="D10127" s="2">
        <f>IFERROR(__xludf.DUMMYFUNCTION("""COMPUTED_VALUE"""),127.05)</f>
        <v>127.05</v>
      </c>
      <c r="E10127" s="2">
        <f>IFERROR(__xludf.DUMMYFUNCTION("""COMPUTED_VALUE"""),127.14)</f>
        <v>127.14</v>
      </c>
      <c r="F10127" s="2">
        <f>IFERROR(__xludf.DUMMYFUNCTION("""COMPUTED_VALUE"""),8421125.0)</f>
        <v>8421125</v>
      </c>
    </row>
    <row r="10128">
      <c r="A10128" s="3">
        <f>IFERROR(__xludf.DUMMYFUNCTION("""COMPUTED_VALUE"""),43889.66666666667)</f>
        <v>43889.66667</v>
      </c>
      <c r="B10128" s="2">
        <f>IFERROR(__xludf.DUMMYFUNCTION("""COMPUTED_VALUE"""),124.15)</f>
        <v>124.15</v>
      </c>
      <c r="C10128" s="2">
        <f>IFERROR(__xludf.DUMMYFUNCTION("""COMPUTED_VALUE"""),125.21)</f>
        <v>125.21</v>
      </c>
      <c r="D10128" s="2">
        <f>IFERROR(__xludf.DUMMYFUNCTION("""COMPUTED_VALUE"""),120.69)</f>
        <v>120.69</v>
      </c>
      <c r="E10128" s="2">
        <f>IFERROR(__xludf.DUMMYFUNCTION("""COMPUTED_VALUE"""),124.31)</f>
        <v>124.31</v>
      </c>
      <c r="F10128" s="2">
        <f>IFERROR(__xludf.DUMMYFUNCTION("""COMPUTED_VALUE"""),1.3012228E7)</f>
        <v>13012228</v>
      </c>
    </row>
    <row r="10129">
      <c r="A10129" s="3">
        <f>IFERROR(__xludf.DUMMYFUNCTION("""COMPUTED_VALUE"""),43892.66666666667)</f>
        <v>43892.66667</v>
      </c>
      <c r="B10129" s="2">
        <f>IFERROR(__xludf.DUMMYFUNCTION("""COMPUTED_VALUE"""),124.89)</f>
        <v>124.89</v>
      </c>
      <c r="C10129" s="2">
        <f>IFERROR(__xludf.DUMMYFUNCTION("""COMPUTED_VALUE"""),128.41)</f>
        <v>128.41</v>
      </c>
      <c r="D10129" s="2">
        <f>IFERROR(__xludf.DUMMYFUNCTION("""COMPUTED_VALUE"""),122.21)</f>
        <v>122.21</v>
      </c>
      <c r="E10129" s="2">
        <f>IFERROR(__xludf.DUMMYFUNCTION("""COMPUTED_VALUE"""),128.28)</f>
        <v>128.28</v>
      </c>
      <c r="F10129" s="2">
        <f>IFERROR(__xludf.DUMMYFUNCTION("""COMPUTED_VALUE"""),8531415.0)</f>
        <v>8531415</v>
      </c>
    </row>
    <row r="10130">
      <c r="A10130" s="3">
        <f>IFERROR(__xludf.DUMMYFUNCTION("""COMPUTED_VALUE"""),43893.66666666667)</f>
        <v>43893.66667</v>
      </c>
      <c r="B10130" s="2">
        <f>IFERROR(__xludf.DUMMYFUNCTION("""COMPUTED_VALUE"""),128.45)</f>
        <v>128.45</v>
      </c>
      <c r="C10130" s="2">
        <f>IFERROR(__xludf.DUMMYFUNCTION("""COMPUTED_VALUE"""),129.99)</f>
        <v>129.99</v>
      </c>
      <c r="D10130" s="2">
        <f>IFERROR(__xludf.DUMMYFUNCTION("""COMPUTED_VALUE"""),122.07)</f>
        <v>122.07</v>
      </c>
      <c r="E10130" s="2">
        <f>IFERROR(__xludf.DUMMYFUNCTION("""COMPUTED_VALUE"""),123.12)</f>
        <v>123.12</v>
      </c>
      <c r="F10130" s="2">
        <f>IFERROR(__xludf.DUMMYFUNCTION("""COMPUTED_VALUE"""),7896068.0)</f>
        <v>7896068</v>
      </c>
    </row>
    <row r="10131">
      <c r="A10131" s="3">
        <f>IFERROR(__xludf.DUMMYFUNCTION("""COMPUTED_VALUE"""),43894.66666666667)</f>
        <v>43894.66667</v>
      </c>
      <c r="B10131" s="2">
        <f>IFERROR(__xludf.DUMMYFUNCTION("""COMPUTED_VALUE"""),125.68)</f>
        <v>125.68</v>
      </c>
      <c r="C10131" s="2">
        <f>IFERROR(__xludf.DUMMYFUNCTION("""COMPUTED_VALUE"""),128.26)</f>
        <v>128.26</v>
      </c>
      <c r="D10131" s="2">
        <f>IFERROR(__xludf.DUMMYFUNCTION("""COMPUTED_VALUE"""),123.22)</f>
        <v>123.22</v>
      </c>
      <c r="E10131" s="2">
        <f>IFERROR(__xludf.DUMMYFUNCTION("""COMPUTED_VALUE"""),128.2)</f>
        <v>128.2</v>
      </c>
      <c r="F10131" s="2">
        <f>IFERROR(__xludf.DUMMYFUNCTION("""COMPUTED_VALUE"""),4996370.0)</f>
        <v>4996370</v>
      </c>
    </row>
    <row r="10132">
      <c r="A10132" s="3">
        <f>IFERROR(__xludf.DUMMYFUNCTION("""COMPUTED_VALUE"""),43895.66666666667)</f>
        <v>43895.66667</v>
      </c>
      <c r="B10132" s="2">
        <f>IFERROR(__xludf.DUMMYFUNCTION("""COMPUTED_VALUE"""),124.65)</f>
        <v>124.65</v>
      </c>
      <c r="C10132" s="2">
        <f>IFERROR(__xludf.DUMMYFUNCTION("""COMPUTED_VALUE"""),126.36)</f>
        <v>126.36</v>
      </c>
      <c r="D10132" s="2">
        <f>IFERROR(__xludf.DUMMYFUNCTION("""COMPUTED_VALUE"""),122.69)</f>
        <v>122.69</v>
      </c>
      <c r="E10132" s="2">
        <f>IFERROR(__xludf.DUMMYFUNCTION("""COMPUTED_VALUE"""),123.74)</f>
        <v>123.74</v>
      </c>
      <c r="F10132" s="2">
        <f>IFERROR(__xludf.DUMMYFUNCTION("""COMPUTED_VALUE"""),5446227.0)</f>
        <v>5446227</v>
      </c>
    </row>
    <row r="10133">
      <c r="A10133" s="3">
        <f>IFERROR(__xludf.DUMMYFUNCTION("""COMPUTED_VALUE"""),43896.66666666667)</f>
        <v>43896.66667</v>
      </c>
      <c r="B10133" s="2">
        <f>IFERROR(__xludf.DUMMYFUNCTION("""COMPUTED_VALUE"""),121.02)</f>
        <v>121.02</v>
      </c>
      <c r="C10133" s="2">
        <f>IFERROR(__xludf.DUMMYFUNCTION("""COMPUTED_VALUE"""),122.58)</f>
        <v>122.58</v>
      </c>
      <c r="D10133" s="2">
        <f>IFERROR(__xludf.DUMMYFUNCTION("""COMPUTED_VALUE"""),118.94)</f>
        <v>118.94</v>
      </c>
      <c r="E10133" s="2">
        <f>IFERROR(__xludf.DUMMYFUNCTION("""COMPUTED_VALUE"""),122.0)</f>
        <v>122</v>
      </c>
      <c r="F10133" s="2">
        <f>IFERROR(__xludf.DUMMYFUNCTION("""COMPUTED_VALUE"""),8193257.0)</f>
        <v>8193257</v>
      </c>
    </row>
    <row r="10134">
      <c r="A10134" s="3">
        <f>IFERROR(__xludf.DUMMYFUNCTION("""COMPUTED_VALUE"""),43899.66666666667)</f>
        <v>43899.66667</v>
      </c>
      <c r="B10134" s="2">
        <f>IFERROR(__xludf.DUMMYFUNCTION("""COMPUTED_VALUE"""),114.77)</f>
        <v>114.77</v>
      </c>
      <c r="C10134" s="2">
        <f>IFERROR(__xludf.DUMMYFUNCTION("""COMPUTED_VALUE"""),116.92)</f>
        <v>116.92</v>
      </c>
      <c r="D10134" s="2">
        <f>IFERROR(__xludf.DUMMYFUNCTION("""COMPUTED_VALUE"""),112.02)</f>
        <v>112.02</v>
      </c>
      <c r="E10134" s="2">
        <f>IFERROR(__xludf.DUMMYFUNCTION("""COMPUTED_VALUE"""),112.53)</f>
        <v>112.53</v>
      </c>
      <c r="F10134" s="2">
        <f>IFERROR(__xludf.DUMMYFUNCTION("""COMPUTED_VALUE"""),1.0757487E7)</f>
        <v>10757487</v>
      </c>
    </row>
    <row r="10135">
      <c r="A10135" s="3">
        <f>IFERROR(__xludf.DUMMYFUNCTION("""COMPUTED_VALUE"""),43900.66666666667)</f>
        <v>43900.66667</v>
      </c>
      <c r="B10135" s="2">
        <f>IFERROR(__xludf.DUMMYFUNCTION("""COMPUTED_VALUE"""),117.28)</f>
        <v>117.28</v>
      </c>
      <c r="C10135" s="2">
        <f>IFERROR(__xludf.DUMMYFUNCTION("""COMPUTED_VALUE"""),119.28)</f>
        <v>119.28</v>
      </c>
      <c r="D10135" s="2">
        <f>IFERROR(__xludf.DUMMYFUNCTION("""COMPUTED_VALUE"""),110.57)</f>
        <v>110.57</v>
      </c>
      <c r="E10135" s="2">
        <f>IFERROR(__xludf.DUMMYFUNCTION("""COMPUTED_VALUE"""),119.18)</f>
        <v>119.18</v>
      </c>
      <c r="F10135" s="2">
        <f>IFERROR(__xludf.DUMMYFUNCTION("""COMPUTED_VALUE"""),1.1410688E7)</f>
        <v>11410688</v>
      </c>
    </row>
    <row r="10136">
      <c r="A10136" s="3">
        <f>IFERROR(__xludf.DUMMYFUNCTION("""COMPUTED_VALUE"""),43901.66666666667)</f>
        <v>43901.66667</v>
      </c>
      <c r="B10136" s="2">
        <f>IFERROR(__xludf.DUMMYFUNCTION("""COMPUTED_VALUE"""),115.58)</f>
        <v>115.58</v>
      </c>
      <c r="C10136" s="2">
        <f>IFERROR(__xludf.DUMMYFUNCTION("""COMPUTED_VALUE"""),117.08)</f>
        <v>117.08</v>
      </c>
      <c r="D10136" s="2">
        <f>IFERROR(__xludf.DUMMYFUNCTION("""COMPUTED_VALUE"""),111.17)</f>
        <v>111.17</v>
      </c>
      <c r="E10136" s="2">
        <f>IFERROR(__xludf.DUMMYFUNCTION("""COMPUTED_VALUE"""),112.68)</f>
        <v>112.68</v>
      </c>
      <c r="F10136" s="2">
        <f>IFERROR(__xludf.DUMMYFUNCTION("""COMPUTED_VALUE"""),8451038.0)</f>
        <v>8451038</v>
      </c>
    </row>
    <row r="10137">
      <c r="A10137" s="3">
        <f>IFERROR(__xludf.DUMMYFUNCTION("""COMPUTED_VALUE"""),43902.66666666667)</f>
        <v>43902.66667</v>
      </c>
      <c r="B10137" s="2">
        <f>IFERROR(__xludf.DUMMYFUNCTION("""COMPUTED_VALUE"""),104.73)</f>
        <v>104.73</v>
      </c>
      <c r="C10137" s="2">
        <f>IFERROR(__xludf.DUMMYFUNCTION("""COMPUTED_VALUE"""),104.88)</f>
        <v>104.88</v>
      </c>
      <c r="D10137" s="2">
        <f>IFERROR(__xludf.DUMMYFUNCTION("""COMPUTED_VALUE"""),97.69)</f>
        <v>97.69</v>
      </c>
      <c r="E10137" s="2">
        <f>IFERROR(__xludf.DUMMYFUNCTION("""COMPUTED_VALUE"""),98.2)</f>
        <v>98.2</v>
      </c>
      <c r="F10137" s="2">
        <f>IFERROR(__xludf.DUMMYFUNCTION("""COMPUTED_VALUE"""),1.2512655E7)</f>
        <v>12512655</v>
      </c>
    </row>
    <row r="10138">
      <c r="A10138" s="3">
        <f>IFERROR(__xludf.DUMMYFUNCTION("""COMPUTED_VALUE"""),43903.66666666667)</f>
        <v>43903.66667</v>
      </c>
      <c r="B10138" s="2">
        <f>IFERROR(__xludf.DUMMYFUNCTION("""COMPUTED_VALUE"""),103.81)</f>
        <v>103.81</v>
      </c>
      <c r="C10138" s="2">
        <f>IFERROR(__xludf.DUMMYFUNCTION("""COMPUTED_VALUE"""),104.27)</f>
        <v>104.27</v>
      </c>
      <c r="D10138" s="2">
        <f>IFERROR(__xludf.DUMMYFUNCTION("""COMPUTED_VALUE"""),96.29)</f>
        <v>96.29</v>
      </c>
      <c r="E10138" s="2">
        <f>IFERROR(__xludf.DUMMYFUNCTION("""COMPUTED_VALUE"""),103.11)</f>
        <v>103.11</v>
      </c>
      <c r="F10138" s="2">
        <f>IFERROR(__xludf.DUMMYFUNCTION("""COMPUTED_VALUE"""),1.2502113E7)</f>
        <v>12502113</v>
      </c>
    </row>
    <row r="10139">
      <c r="A10139" s="3">
        <f>IFERROR(__xludf.DUMMYFUNCTION("""COMPUTED_VALUE"""),43906.66666666667)</f>
        <v>43906.66667</v>
      </c>
      <c r="B10139" s="2">
        <f>IFERROR(__xludf.DUMMYFUNCTION("""COMPUTED_VALUE"""),93.61)</f>
        <v>93.61</v>
      </c>
      <c r="C10139" s="2">
        <f>IFERROR(__xludf.DUMMYFUNCTION("""COMPUTED_VALUE"""),102.59)</f>
        <v>102.59</v>
      </c>
      <c r="D10139" s="2">
        <f>IFERROR(__xludf.DUMMYFUNCTION("""COMPUTED_VALUE"""),90.74)</f>
        <v>90.74</v>
      </c>
      <c r="E10139" s="2">
        <f>IFERROR(__xludf.DUMMYFUNCTION("""COMPUTED_VALUE"""),94.64)</f>
        <v>94.64</v>
      </c>
      <c r="F10139" s="2">
        <f>IFERROR(__xludf.DUMMYFUNCTION("""COMPUTED_VALUE"""),1.056796E7)</f>
        <v>10567960</v>
      </c>
    </row>
    <row r="10140">
      <c r="A10140" s="3">
        <f>IFERROR(__xludf.DUMMYFUNCTION("""COMPUTED_VALUE"""),43907.66666666667)</f>
        <v>43907.66667</v>
      </c>
      <c r="B10140" s="2">
        <f>IFERROR(__xludf.DUMMYFUNCTION("""COMPUTED_VALUE"""),96.1)</f>
        <v>96.1</v>
      </c>
      <c r="C10140" s="2">
        <f>IFERROR(__xludf.DUMMYFUNCTION("""COMPUTED_VALUE"""),102.58)</f>
        <v>102.58</v>
      </c>
      <c r="D10140" s="2">
        <f>IFERROR(__xludf.DUMMYFUNCTION("""COMPUTED_VALUE"""),92.75)</f>
        <v>92.75</v>
      </c>
      <c r="E10140" s="2">
        <f>IFERROR(__xludf.DUMMYFUNCTION("""COMPUTED_VALUE"""),101.87)</f>
        <v>101.87</v>
      </c>
      <c r="F10140" s="2">
        <f>IFERROR(__xludf.DUMMYFUNCTION("""COMPUTED_VALUE"""),9258338.0)</f>
        <v>9258338</v>
      </c>
    </row>
    <row r="10141">
      <c r="A10141" s="3">
        <f>IFERROR(__xludf.DUMMYFUNCTION("""COMPUTED_VALUE"""),43908.66666666667)</f>
        <v>43908.66667</v>
      </c>
      <c r="B10141" s="2">
        <f>IFERROR(__xludf.DUMMYFUNCTION("""COMPUTED_VALUE"""),94.95)</f>
        <v>94.95</v>
      </c>
      <c r="C10141" s="2">
        <f>IFERROR(__xludf.DUMMYFUNCTION("""COMPUTED_VALUE"""),102.14)</f>
        <v>102.14</v>
      </c>
      <c r="D10141" s="2">
        <f>IFERROR(__xludf.DUMMYFUNCTION("""COMPUTED_VALUE"""),94.94)</f>
        <v>94.94</v>
      </c>
      <c r="E10141" s="2">
        <f>IFERROR(__xludf.DUMMYFUNCTION("""COMPUTED_VALUE"""),98.91)</f>
        <v>98.91</v>
      </c>
      <c r="F10141" s="2">
        <f>IFERROR(__xludf.DUMMYFUNCTION("""COMPUTED_VALUE"""),8772460.0)</f>
        <v>8772460</v>
      </c>
    </row>
    <row r="10142">
      <c r="A10142" s="3">
        <f>IFERROR(__xludf.DUMMYFUNCTION("""COMPUTED_VALUE"""),43909.66666666667)</f>
        <v>43909.66667</v>
      </c>
      <c r="B10142" s="2">
        <f>IFERROR(__xludf.DUMMYFUNCTION("""COMPUTED_VALUE"""),97.74)</f>
        <v>97.74</v>
      </c>
      <c r="C10142" s="2">
        <f>IFERROR(__xludf.DUMMYFUNCTION("""COMPUTED_VALUE"""),99.04)</f>
        <v>99.04</v>
      </c>
      <c r="D10142" s="2">
        <f>IFERROR(__xludf.DUMMYFUNCTION("""COMPUTED_VALUE"""),93.83)</f>
        <v>93.83</v>
      </c>
      <c r="E10142" s="2">
        <f>IFERROR(__xludf.DUMMYFUNCTION("""COMPUTED_VALUE"""),95.84)</f>
        <v>95.84</v>
      </c>
      <c r="F10142" s="2">
        <f>IFERROR(__xludf.DUMMYFUNCTION("""COMPUTED_VALUE"""),8396521.0)</f>
        <v>8396521</v>
      </c>
    </row>
    <row r="10143">
      <c r="A10143" s="3">
        <f>IFERROR(__xludf.DUMMYFUNCTION("""COMPUTED_VALUE"""),43910.66666666667)</f>
        <v>43910.66667</v>
      </c>
      <c r="B10143" s="2">
        <f>IFERROR(__xludf.DUMMYFUNCTION("""COMPUTED_VALUE"""),96.4)</f>
        <v>96.4</v>
      </c>
      <c r="C10143" s="2">
        <f>IFERROR(__xludf.DUMMYFUNCTION("""COMPUTED_VALUE"""),96.46)</f>
        <v>96.46</v>
      </c>
      <c r="D10143" s="2">
        <f>IFERROR(__xludf.DUMMYFUNCTION("""COMPUTED_VALUE"""),90.46)</f>
        <v>90.46</v>
      </c>
      <c r="E10143" s="2">
        <f>IFERROR(__xludf.DUMMYFUNCTION("""COMPUTED_VALUE"""),91.11)</f>
        <v>91.11</v>
      </c>
      <c r="F10143" s="2">
        <f>IFERROR(__xludf.DUMMYFUNCTION("""COMPUTED_VALUE"""),1.0546455E7)</f>
        <v>10546455</v>
      </c>
    </row>
    <row r="10144">
      <c r="A10144" s="3">
        <f>IFERROR(__xludf.DUMMYFUNCTION("""COMPUTED_VALUE"""),43913.66666666667)</f>
        <v>43913.66667</v>
      </c>
      <c r="B10144" s="2">
        <f>IFERROR(__xludf.DUMMYFUNCTION("""COMPUTED_VALUE"""),90.36)</f>
        <v>90.36</v>
      </c>
      <c r="C10144" s="2">
        <f>IFERROR(__xludf.DUMMYFUNCTION("""COMPUTED_VALUE"""),93.36)</f>
        <v>93.36</v>
      </c>
      <c r="D10144" s="2">
        <f>IFERROR(__xludf.DUMMYFUNCTION("""COMPUTED_VALUE"""),86.5)</f>
        <v>86.5</v>
      </c>
      <c r="E10144" s="2">
        <f>IFERROR(__xludf.DUMMYFUNCTION("""COMPUTED_VALUE"""),90.52)</f>
        <v>90.52</v>
      </c>
      <c r="F10144" s="2">
        <f>IFERROR(__xludf.DUMMYFUNCTION("""COMPUTED_VALUE"""),9729393.0)</f>
        <v>9729393</v>
      </c>
    </row>
    <row r="10145">
      <c r="A10145" s="3">
        <f>IFERROR(__xludf.DUMMYFUNCTION("""COMPUTED_VALUE"""),43914.66666666667)</f>
        <v>43914.66667</v>
      </c>
      <c r="B10145" s="2">
        <f>IFERROR(__xludf.DUMMYFUNCTION("""COMPUTED_VALUE"""),95.51)</f>
        <v>95.51</v>
      </c>
      <c r="C10145" s="2">
        <f>IFERROR(__xludf.DUMMYFUNCTION("""COMPUTED_VALUE"""),101.29)</f>
        <v>101.29</v>
      </c>
      <c r="D10145" s="2">
        <f>IFERROR(__xludf.DUMMYFUNCTION("""COMPUTED_VALUE"""),94.81)</f>
        <v>94.81</v>
      </c>
      <c r="E10145" s="2">
        <f>IFERROR(__xludf.DUMMYFUNCTION("""COMPUTED_VALUE"""),100.75)</f>
        <v>100.75</v>
      </c>
      <c r="F10145" s="2">
        <f>IFERROR(__xludf.DUMMYFUNCTION("""COMPUTED_VALUE"""),7973944.0)</f>
        <v>7973944</v>
      </c>
    </row>
    <row r="10146">
      <c r="A10146" s="3">
        <f>IFERROR(__xludf.DUMMYFUNCTION("""COMPUTED_VALUE"""),43915.66666666667)</f>
        <v>43915.66667</v>
      </c>
      <c r="B10146" s="2">
        <f>IFERROR(__xludf.DUMMYFUNCTION("""COMPUTED_VALUE"""),100.75)</f>
        <v>100.75</v>
      </c>
      <c r="C10146" s="2">
        <f>IFERROR(__xludf.DUMMYFUNCTION("""COMPUTED_VALUE"""),107.43)</f>
        <v>107.43</v>
      </c>
      <c r="D10146" s="2">
        <f>IFERROR(__xludf.DUMMYFUNCTION("""COMPUTED_VALUE"""),98.22)</f>
        <v>98.22</v>
      </c>
      <c r="E10146" s="2">
        <f>IFERROR(__xludf.DUMMYFUNCTION("""COMPUTED_VALUE"""),101.1)</f>
        <v>101.1</v>
      </c>
      <c r="F10146" s="2">
        <f>IFERROR(__xludf.DUMMYFUNCTION("""COMPUTED_VALUE"""),8654047.0)</f>
        <v>8654047</v>
      </c>
    </row>
    <row r="10147">
      <c r="A10147" s="3">
        <f>IFERROR(__xludf.DUMMYFUNCTION("""COMPUTED_VALUE"""),43916.66666666667)</f>
        <v>43916.66667</v>
      </c>
      <c r="B10147" s="2">
        <f>IFERROR(__xludf.DUMMYFUNCTION("""COMPUTED_VALUE"""),102.12)</f>
        <v>102.12</v>
      </c>
      <c r="C10147" s="2">
        <f>IFERROR(__xludf.DUMMYFUNCTION("""COMPUTED_VALUE"""),108.08)</f>
        <v>108.08</v>
      </c>
      <c r="D10147" s="2">
        <f>IFERROR(__xludf.DUMMYFUNCTION("""COMPUTED_VALUE"""),100.84)</f>
        <v>100.84</v>
      </c>
      <c r="E10147" s="2">
        <f>IFERROR(__xludf.DUMMYFUNCTION("""COMPUTED_VALUE"""),107.83)</f>
        <v>107.83</v>
      </c>
      <c r="F10147" s="2">
        <f>IFERROR(__xludf.DUMMYFUNCTION("""COMPUTED_VALUE"""),7158052.0)</f>
        <v>7158052</v>
      </c>
    </row>
    <row r="10148">
      <c r="A10148" s="3">
        <f>IFERROR(__xludf.DUMMYFUNCTION("""COMPUTED_VALUE"""),43917.66666666667)</f>
        <v>43917.66667</v>
      </c>
      <c r="B10148" s="2">
        <f>IFERROR(__xludf.DUMMYFUNCTION("""COMPUTED_VALUE"""),103.71)</f>
        <v>103.71</v>
      </c>
      <c r="C10148" s="2">
        <f>IFERROR(__xludf.DUMMYFUNCTION("""COMPUTED_VALUE"""),106.5)</f>
        <v>106.5</v>
      </c>
      <c r="D10148" s="2">
        <f>IFERROR(__xludf.DUMMYFUNCTION("""COMPUTED_VALUE"""),102.82)</f>
        <v>102.82</v>
      </c>
      <c r="E10148" s="2">
        <f>IFERROR(__xludf.DUMMYFUNCTION("""COMPUTED_VALUE"""),103.19)</f>
        <v>103.19</v>
      </c>
      <c r="F10148" s="2">
        <f>IFERROR(__xludf.DUMMYFUNCTION("""COMPUTED_VALUE"""),6423038.0)</f>
        <v>6423038</v>
      </c>
    </row>
    <row r="10149">
      <c r="A10149" s="3">
        <f>IFERROR(__xludf.DUMMYFUNCTION("""COMPUTED_VALUE"""),43920.66666666667)</f>
        <v>43920.66667</v>
      </c>
      <c r="B10149" s="2">
        <f>IFERROR(__xludf.DUMMYFUNCTION("""COMPUTED_VALUE"""),103.24)</f>
        <v>103.24</v>
      </c>
      <c r="C10149" s="2">
        <f>IFERROR(__xludf.DUMMYFUNCTION("""COMPUTED_VALUE"""),108.37)</f>
        <v>108.37</v>
      </c>
      <c r="D10149" s="2">
        <f>IFERROR(__xludf.DUMMYFUNCTION("""COMPUTED_VALUE"""),102.98)</f>
        <v>102.98</v>
      </c>
      <c r="E10149" s="2">
        <f>IFERROR(__xludf.DUMMYFUNCTION("""COMPUTED_VALUE"""),107.87)</f>
        <v>107.87</v>
      </c>
      <c r="F10149" s="2">
        <f>IFERROR(__xludf.DUMMYFUNCTION("""COMPUTED_VALUE"""),5564541.0)</f>
        <v>5564541</v>
      </c>
    </row>
    <row r="10150">
      <c r="A10150" s="3">
        <f>IFERROR(__xludf.DUMMYFUNCTION("""COMPUTED_VALUE"""),43921.66666666667)</f>
        <v>43921.66667</v>
      </c>
      <c r="B10150" s="2">
        <f>IFERROR(__xludf.DUMMYFUNCTION("""COMPUTED_VALUE"""),106.98)</f>
        <v>106.98</v>
      </c>
      <c r="C10150" s="2">
        <f>IFERROR(__xludf.DUMMYFUNCTION("""COMPUTED_VALUE"""),108.71)</f>
        <v>108.71</v>
      </c>
      <c r="D10150" s="2">
        <f>IFERROR(__xludf.DUMMYFUNCTION("""COMPUTED_VALUE"""),105.23)</f>
        <v>105.23</v>
      </c>
      <c r="E10150" s="2">
        <f>IFERROR(__xludf.DUMMYFUNCTION("""COMPUTED_VALUE"""),105.96)</f>
        <v>105.96</v>
      </c>
      <c r="F10150" s="2">
        <f>IFERROR(__xludf.DUMMYFUNCTION("""COMPUTED_VALUE"""),6346676.0)</f>
        <v>6346676</v>
      </c>
    </row>
    <row r="10151">
      <c r="A10151" s="3">
        <f>IFERROR(__xludf.DUMMYFUNCTION("""COMPUTED_VALUE"""),43922.66666666667)</f>
        <v>43922.66667</v>
      </c>
      <c r="B10151" s="2">
        <f>IFERROR(__xludf.DUMMYFUNCTION("""COMPUTED_VALUE"""),101.59)</f>
        <v>101.59</v>
      </c>
      <c r="C10151" s="2">
        <f>IFERROR(__xludf.DUMMYFUNCTION("""COMPUTED_VALUE"""),104.99)</f>
        <v>104.99</v>
      </c>
      <c r="D10151" s="2">
        <f>IFERROR(__xludf.DUMMYFUNCTION("""COMPUTED_VALUE"""),99.83)</f>
        <v>99.83</v>
      </c>
      <c r="E10151" s="2">
        <f>IFERROR(__xludf.DUMMYFUNCTION("""COMPUTED_VALUE"""),100.43)</f>
        <v>100.43</v>
      </c>
      <c r="F10151" s="2">
        <f>IFERROR(__xludf.DUMMYFUNCTION("""COMPUTED_VALUE"""),6112947.0)</f>
        <v>6112947</v>
      </c>
    </row>
    <row r="10152">
      <c r="A10152" s="3">
        <f>IFERROR(__xludf.DUMMYFUNCTION("""COMPUTED_VALUE"""),43923.66666666667)</f>
        <v>43923.66667</v>
      </c>
      <c r="B10152" s="2">
        <f>IFERROR(__xludf.DUMMYFUNCTION("""COMPUTED_VALUE"""),100.65)</f>
        <v>100.65</v>
      </c>
      <c r="C10152" s="2">
        <f>IFERROR(__xludf.DUMMYFUNCTION("""COMPUTED_VALUE"""),105.37)</f>
        <v>105.37</v>
      </c>
      <c r="D10152" s="2">
        <f>IFERROR(__xludf.DUMMYFUNCTION("""COMPUTED_VALUE"""),100.43)</f>
        <v>100.43</v>
      </c>
      <c r="E10152" s="2">
        <f>IFERROR(__xludf.DUMMYFUNCTION("""COMPUTED_VALUE"""),105.07)</f>
        <v>105.07</v>
      </c>
      <c r="F10152" s="2">
        <f>IFERROR(__xludf.DUMMYFUNCTION("""COMPUTED_VALUE"""),6328674.0)</f>
        <v>6328674</v>
      </c>
    </row>
    <row r="10153">
      <c r="A10153" s="3">
        <f>IFERROR(__xludf.DUMMYFUNCTION("""COMPUTED_VALUE"""),43924.66666666667)</f>
        <v>43924.66667</v>
      </c>
      <c r="B10153" s="2">
        <f>IFERROR(__xludf.DUMMYFUNCTION("""COMPUTED_VALUE"""),104.04)</f>
        <v>104.04</v>
      </c>
      <c r="C10153" s="2">
        <f>IFERROR(__xludf.DUMMYFUNCTION("""COMPUTED_VALUE"""),105.13)</f>
        <v>105.13</v>
      </c>
      <c r="D10153" s="2">
        <f>IFERROR(__xludf.DUMMYFUNCTION("""COMPUTED_VALUE"""),100.22)</f>
        <v>100.22</v>
      </c>
      <c r="E10153" s="2">
        <f>IFERROR(__xludf.DUMMYFUNCTION("""COMPUTED_VALUE"""),101.57)</f>
        <v>101.57</v>
      </c>
      <c r="F10153" s="2">
        <f>IFERROR(__xludf.DUMMYFUNCTION("""COMPUTED_VALUE"""),4538750.0)</f>
        <v>4538750</v>
      </c>
    </row>
    <row r="10154">
      <c r="A10154" s="3">
        <f>IFERROR(__xludf.DUMMYFUNCTION("""COMPUTED_VALUE"""),43927.66666666667)</f>
        <v>43927.66667</v>
      </c>
      <c r="B10154" s="2">
        <f>IFERROR(__xludf.DUMMYFUNCTION("""COMPUTED_VALUE"""),105.4)</f>
        <v>105.4</v>
      </c>
      <c r="C10154" s="2">
        <f>IFERROR(__xludf.DUMMYFUNCTION("""COMPUTED_VALUE"""),110.45)</f>
        <v>110.45</v>
      </c>
      <c r="D10154" s="2">
        <f>IFERROR(__xludf.DUMMYFUNCTION("""COMPUTED_VALUE"""),105.19)</f>
        <v>105.19</v>
      </c>
      <c r="E10154" s="2">
        <f>IFERROR(__xludf.DUMMYFUNCTION("""COMPUTED_VALUE"""),109.67)</f>
        <v>109.67</v>
      </c>
      <c r="F10154" s="2">
        <f>IFERROR(__xludf.DUMMYFUNCTION("""COMPUTED_VALUE"""),7034193.0)</f>
        <v>7034193</v>
      </c>
    </row>
    <row r="10155">
      <c r="A10155" s="3">
        <f>IFERROR(__xludf.DUMMYFUNCTION("""COMPUTED_VALUE"""),43928.66666666667)</f>
        <v>43928.66667</v>
      </c>
      <c r="B10155" s="2">
        <f>IFERROR(__xludf.DUMMYFUNCTION("""COMPUTED_VALUE"""),113.47)</f>
        <v>113.47</v>
      </c>
      <c r="C10155" s="2">
        <f>IFERROR(__xludf.DUMMYFUNCTION("""COMPUTED_VALUE"""),114.21)</f>
        <v>114.21</v>
      </c>
      <c r="D10155" s="2">
        <f>IFERROR(__xludf.DUMMYFUNCTION("""COMPUTED_VALUE"""),109.72)</f>
        <v>109.72</v>
      </c>
      <c r="E10155" s="2">
        <f>IFERROR(__xludf.DUMMYFUNCTION("""COMPUTED_VALUE"""),109.79)</f>
        <v>109.79</v>
      </c>
      <c r="F10155" s="2">
        <f>IFERROR(__xludf.DUMMYFUNCTION("""COMPUTED_VALUE"""),5595329.0)</f>
        <v>5595329</v>
      </c>
    </row>
    <row r="10156">
      <c r="A10156" s="3">
        <f>IFERROR(__xludf.DUMMYFUNCTION("""COMPUTED_VALUE"""),43929.66666666667)</f>
        <v>43929.66667</v>
      </c>
      <c r="B10156" s="2">
        <f>IFERROR(__xludf.DUMMYFUNCTION("""COMPUTED_VALUE"""),111.1)</f>
        <v>111.1</v>
      </c>
      <c r="C10156" s="2">
        <f>IFERROR(__xludf.DUMMYFUNCTION("""COMPUTED_VALUE"""),114.58)</f>
        <v>114.58</v>
      </c>
      <c r="D10156" s="2">
        <f>IFERROR(__xludf.DUMMYFUNCTION("""COMPUTED_VALUE"""),109.91)</f>
        <v>109.91</v>
      </c>
      <c r="E10156" s="2">
        <f>IFERROR(__xludf.DUMMYFUNCTION("""COMPUTED_VALUE"""),113.94)</f>
        <v>113.94</v>
      </c>
      <c r="F10156" s="2">
        <f>IFERROR(__xludf.DUMMYFUNCTION("""COMPUTED_VALUE"""),5158641.0)</f>
        <v>5158641</v>
      </c>
    </row>
    <row r="10157">
      <c r="A10157" s="3">
        <f>IFERROR(__xludf.DUMMYFUNCTION("""COMPUTED_VALUE"""),43930.66666666667)</f>
        <v>43930.66667</v>
      </c>
      <c r="B10157" s="2">
        <f>IFERROR(__xludf.DUMMYFUNCTION("""COMPUTED_VALUE"""),115.08)</f>
        <v>115.08</v>
      </c>
      <c r="C10157" s="2">
        <f>IFERROR(__xludf.DUMMYFUNCTION("""COMPUTED_VALUE"""),117.41)</f>
        <v>117.41</v>
      </c>
      <c r="D10157" s="2">
        <f>IFERROR(__xludf.DUMMYFUNCTION("""COMPUTED_VALUE"""),114.78)</f>
        <v>114.78</v>
      </c>
      <c r="E10157" s="2">
        <f>IFERROR(__xludf.DUMMYFUNCTION("""COMPUTED_VALUE"""),116.05)</f>
        <v>116.05</v>
      </c>
      <c r="F10157" s="2">
        <f>IFERROR(__xludf.DUMMYFUNCTION("""COMPUTED_VALUE"""),5576815.0)</f>
        <v>5576815</v>
      </c>
    </row>
    <row r="10158">
      <c r="A10158" s="3">
        <f>IFERROR(__xludf.DUMMYFUNCTION("""COMPUTED_VALUE"""),43934.66666666667)</f>
        <v>43934.66667</v>
      </c>
      <c r="B10158" s="2">
        <f>IFERROR(__xludf.DUMMYFUNCTION("""COMPUTED_VALUE"""),116.18)</f>
        <v>116.18</v>
      </c>
      <c r="C10158" s="2">
        <f>IFERROR(__xludf.DUMMYFUNCTION("""COMPUTED_VALUE"""),116.34)</f>
        <v>116.34</v>
      </c>
      <c r="D10158" s="2">
        <f>IFERROR(__xludf.DUMMYFUNCTION("""COMPUTED_VALUE"""),112.75)</f>
        <v>112.75</v>
      </c>
      <c r="E10158" s="2">
        <f>IFERROR(__xludf.DUMMYFUNCTION("""COMPUTED_VALUE"""),115.72)</f>
        <v>115.72</v>
      </c>
      <c r="F10158" s="2">
        <f>IFERROR(__xludf.DUMMYFUNCTION("""COMPUTED_VALUE"""),5119713.0)</f>
        <v>5119713</v>
      </c>
    </row>
    <row r="10159">
      <c r="A10159" s="3">
        <f>IFERROR(__xludf.DUMMYFUNCTION("""COMPUTED_VALUE"""),43935.66666666667)</f>
        <v>43935.66667</v>
      </c>
      <c r="B10159" s="2">
        <f>IFERROR(__xludf.DUMMYFUNCTION("""COMPUTED_VALUE"""),117.92)</f>
        <v>117.92</v>
      </c>
      <c r="C10159" s="2">
        <f>IFERROR(__xludf.DUMMYFUNCTION("""COMPUTED_VALUE"""),119.57)</f>
        <v>119.57</v>
      </c>
      <c r="D10159" s="2">
        <f>IFERROR(__xludf.DUMMYFUNCTION("""COMPUTED_VALUE"""),117.12)</f>
        <v>117.12</v>
      </c>
      <c r="E10159" s="2">
        <f>IFERROR(__xludf.DUMMYFUNCTION("""COMPUTED_VALUE"""),118.35)</f>
        <v>118.35</v>
      </c>
      <c r="F10159" s="2">
        <f>IFERROR(__xludf.DUMMYFUNCTION("""COMPUTED_VALUE"""),5088660.0)</f>
        <v>5088660</v>
      </c>
    </row>
    <row r="10160">
      <c r="A10160" s="3">
        <f>IFERROR(__xludf.DUMMYFUNCTION("""COMPUTED_VALUE"""),43936.66666666667)</f>
        <v>43936.66667</v>
      </c>
      <c r="B10160" s="2">
        <f>IFERROR(__xludf.DUMMYFUNCTION("""COMPUTED_VALUE"""),113.78)</f>
        <v>113.78</v>
      </c>
      <c r="C10160" s="2">
        <f>IFERROR(__xludf.DUMMYFUNCTION("""COMPUTED_VALUE"""),114.8)</f>
        <v>114.8</v>
      </c>
      <c r="D10160" s="2">
        <f>IFERROR(__xludf.DUMMYFUNCTION("""COMPUTED_VALUE"""),111.52)</f>
        <v>111.52</v>
      </c>
      <c r="E10160" s="2">
        <f>IFERROR(__xludf.DUMMYFUNCTION("""COMPUTED_VALUE"""),113.37)</f>
        <v>113.37</v>
      </c>
      <c r="F10160" s="2">
        <f>IFERROR(__xludf.DUMMYFUNCTION("""COMPUTED_VALUE"""),5637341.0)</f>
        <v>5637341</v>
      </c>
    </row>
    <row r="10161">
      <c r="A10161" s="3">
        <f>IFERROR(__xludf.DUMMYFUNCTION("""COMPUTED_VALUE"""),43937.66666666667)</f>
        <v>43937.66667</v>
      </c>
      <c r="B10161" s="2">
        <f>IFERROR(__xludf.DUMMYFUNCTION("""COMPUTED_VALUE"""),113.67)</f>
        <v>113.67</v>
      </c>
      <c r="C10161" s="2">
        <f>IFERROR(__xludf.DUMMYFUNCTION("""COMPUTED_VALUE"""),114.38)</f>
        <v>114.38</v>
      </c>
      <c r="D10161" s="2">
        <f>IFERROR(__xludf.DUMMYFUNCTION("""COMPUTED_VALUE"""),109.29)</f>
        <v>109.29</v>
      </c>
      <c r="E10161" s="2">
        <f>IFERROR(__xludf.DUMMYFUNCTION("""COMPUTED_VALUE"""),110.54)</f>
        <v>110.54</v>
      </c>
      <c r="F10161" s="2">
        <f>IFERROR(__xludf.DUMMYFUNCTION("""COMPUTED_VALUE"""),6457556.0)</f>
        <v>6457556</v>
      </c>
    </row>
    <row r="10162">
      <c r="A10162" s="3">
        <f>IFERROR(__xludf.DUMMYFUNCTION("""COMPUTED_VALUE"""),43938.66666666667)</f>
        <v>43938.66667</v>
      </c>
      <c r="B10162" s="2">
        <f>IFERROR(__xludf.DUMMYFUNCTION("""COMPUTED_VALUE"""),113.95)</f>
        <v>113.95</v>
      </c>
      <c r="C10162" s="2">
        <f>IFERROR(__xludf.DUMMYFUNCTION("""COMPUTED_VALUE"""),114.99)</f>
        <v>114.99</v>
      </c>
      <c r="D10162" s="2">
        <f>IFERROR(__xludf.DUMMYFUNCTION("""COMPUTED_VALUE"""),112.63)</f>
        <v>112.63</v>
      </c>
      <c r="E10162" s="2">
        <f>IFERROR(__xludf.DUMMYFUNCTION("""COMPUTED_VALUE"""),114.73)</f>
        <v>114.73</v>
      </c>
      <c r="F10162" s="2">
        <f>IFERROR(__xludf.DUMMYFUNCTION("""COMPUTED_VALUE"""),4965992.0)</f>
        <v>4965992</v>
      </c>
    </row>
    <row r="10163">
      <c r="A10163" s="3">
        <f>IFERROR(__xludf.DUMMYFUNCTION("""COMPUTED_VALUE"""),43941.66666666667)</f>
        <v>43941.66667</v>
      </c>
      <c r="B10163" s="2">
        <f>IFERROR(__xludf.DUMMYFUNCTION("""COMPUTED_VALUE"""),113.81)</f>
        <v>113.81</v>
      </c>
      <c r="C10163" s="2">
        <f>IFERROR(__xludf.DUMMYFUNCTION("""COMPUTED_VALUE"""),117.35)</f>
        <v>117.35</v>
      </c>
      <c r="D10163" s="2">
        <f>IFERROR(__xludf.DUMMYFUNCTION("""COMPUTED_VALUE"""),112.84)</f>
        <v>112.84</v>
      </c>
      <c r="E10163" s="2">
        <f>IFERROR(__xludf.DUMMYFUNCTION("""COMPUTED_VALUE"""),115.01)</f>
        <v>115.01</v>
      </c>
      <c r="F10163" s="2">
        <f>IFERROR(__xludf.DUMMYFUNCTION("""COMPUTED_VALUE"""),8181736.0)</f>
        <v>8181736</v>
      </c>
    </row>
    <row r="10164">
      <c r="A10164" s="3">
        <f>IFERROR(__xludf.DUMMYFUNCTION("""COMPUTED_VALUE"""),43942.66666666667)</f>
        <v>43942.66667</v>
      </c>
      <c r="B10164" s="2">
        <f>IFERROR(__xludf.DUMMYFUNCTION("""COMPUTED_VALUE"""),108.89)</f>
        <v>108.89</v>
      </c>
      <c r="C10164" s="2">
        <f>IFERROR(__xludf.DUMMYFUNCTION("""COMPUTED_VALUE"""),111.89)</f>
        <v>111.89</v>
      </c>
      <c r="D10164" s="2">
        <f>IFERROR(__xludf.DUMMYFUNCTION("""COMPUTED_VALUE"""),107.04)</f>
        <v>107.04</v>
      </c>
      <c r="E10164" s="2">
        <f>IFERROR(__xludf.DUMMYFUNCTION("""COMPUTED_VALUE"""),111.52)</f>
        <v>111.52</v>
      </c>
      <c r="F10164" s="2">
        <f>IFERROR(__xludf.DUMMYFUNCTION("""COMPUTED_VALUE"""),1.4349032E7)</f>
        <v>14349032</v>
      </c>
    </row>
    <row r="10165">
      <c r="A10165" s="3">
        <f>IFERROR(__xludf.DUMMYFUNCTION("""COMPUTED_VALUE"""),43943.66666666667)</f>
        <v>43943.66667</v>
      </c>
      <c r="B10165" s="2">
        <f>IFERROR(__xludf.DUMMYFUNCTION("""COMPUTED_VALUE"""),114.5)</f>
        <v>114.5</v>
      </c>
      <c r="C10165" s="2">
        <f>IFERROR(__xludf.DUMMYFUNCTION("""COMPUTED_VALUE"""),114.93)</f>
        <v>114.93</v>
      </c>
      <c r="D10165" s="2">
        <f>IFERROR(__xludf.DUMMYFUNCTION("""COMPUTED_VALUE"""),112.28)</f>
        <v>112.28</v>
      </c>
      <c r="E10165" s="2">
        <f>IFERROR(__xludf.DUMMYFUNCTION("""COMPUTED_VALUE"""),113.96)</f>
        <v>113.96</v>
      </c>
      <c r="F10165" s="2">
        <f>IFERROR(__xludf.DUMMYFUNCTION("""COMPUTED_VALUE"""),7087869.0)</f>
        <v>7087869</v>
      </c>
    </row>
    <row r="10166">
      <c r="A10166" s="3">
        <f>IFERROR(__xludf.DUMMYFUNCTION("""COMPUTED_VALUE"""),43944.66666666667)</f>
        <v>43944.66667</v>
      </c>
      <c r="B10166" s="2">
        <f>IFERROR(__xludf.DUMMYFUNCTION("""COMPUTED_VALUE"""),114.21)</f>
        <v>114.21</v>
      </c>
      <c r="C10166" s="2">
        <f>IFERROR(__xludf.DUMMYFUNCTION("""COMPUTED_VALUE"""),117.51)</f>
        <v>117.51</v>
      </c>
      <c r="D10166" s="2">
        <f>IFERROR(__xludf.DUMMYFUNCTION("""COMPUTED_VALUE"""),113.78)</f>
        <v>113.78</v>
      </c>
      <c r="E10166" s="2">
        <f>IFERROR(__xludf.DUMMYFUNCTION("""COMPUTED_VALUE"""),115.91)</f>
        <v>115.91</v>
      </c>
      <c r="F10166" s="2">
        <f>IFERROR(__xludf.DUMMYFUNCTION("""COMPUTED_VALUE"""),6881615.0)</f>
        <v>6881615</v>
      </c>
    </row>
    <row r="10167">
      <c r="A10167" s="3">
        <f>IFERROR(__xludf.DUMMYFUNCTION("""COMPUTED_VALUE"""),43945.66666666667)</f>
        <v>43945.66667</v>
      </c>
      <c r="B10167" s="2">
        <f>IFERROR(__xludf.DUMMYFUNCTION("""COMPUTED_VALUE"""),116.92)</f>
        <v>116.92</v>
      </c>
      <c r="C10167" s="2">
        <f>IFERROR(__xludf.DUMMYFUNCTION("""COMPUTED_VALUE"""),119.4)</f>
        <v>119.4</v>
      </c>
      <c r="D10167" s="2">
        <f>IFERROR(__xludf.DUMMYFUNCTION("""COMPUTED_VALUE"""),115.35)</f>
        <v>115.35</v>
      </c>
      <c r="E10167" s="2">
        <f>IFERROR(__xludf.DUMMYFUNCTION("""COMPUTED_VALUE"""),119.13)</f>
        <v>119.13</v>
      </c>
      <c r="F10167" s="2">
        <f>IFERROR(__xludf.DUMMYFUNCTION("""COMPUTED_VALUE"""),4987346.0)</f>
        <v>4987346</v>
      </c>
    </row>
    <row r="10168">
      <c r="A10168" s="3">
        <f>IFERROR(__xludf.DUMMYFUNCTION("""COMPUTED_VALUE"""),43948.66666666667)</f>
        <v>43948.66667</v>
      </c>
      <c r="B10168" s="2">
        <f>IFERROR(__xludf.DUMMYFUNCTION("""COMPUTED_VALUE"""),119.93)</f>
        <v>119.93</v>
      </c>
      <c r="C10168" s="2">
        <f>IFERROR(__xludf.DUMMYFUNCTION("""COMPUTED_VALUE"""),121.3)</f>
        <v>121.3</v>
      </c>
      <c r="D10168" s="2">
        <f>IFERROR(__xludf.DUMMYFUNCTION("""COMPUTED_VALUE"""),119.84)</f>
        <v>119.84</v>
      </c>
      <c r="E10168" s="2">
        <f>IFERROR(__xludf.DUMMYFUNCTION("""COMPUTED_VALUE"""),120.27)</f>
        <v>120.27</v>
      </c>
      <c r="F10168" s="2">
        <f>IFERROR(__xludf.DUMMYFUNCTION("""COMPUTED_VALUE"""),4923806.0)</f>
        <v>4923806</v>
      </c>
    </row>
    <row r="10169">
      <c r="A10169" s="3">
        <f>IFERROR(__xludf.DUMMYFUNCTION("""COMPUTED_VALUE"""),43949.66666666667)</f>
        <v>43949.66667</v>
      </c>
      <c r="B10169" s="2">
        <f>IFERROR(__xludf.DUMMYFUNCTION("""COMPUTED_VALUE"""),122.29)</f>
        <v>122.29</v>
      </c>
      <c r="C10169" s="2">
        <f>IFERROR(__xludf.DUMMYFUNCTION("""COMPUTED_VALUE"""),122.45)</f>
        <v>122.45</v>
      </c>
      <c r="D10169" s="2">
        <f>IFERROR(__xludf.DUMMYFUNCTION("""COMPUTED_VALUE"""),119.76)</f>
        <v>119.76</v>
      </c>
      <c r="E10169" s="2">
        <f>IFERROR(__xludf.DUMMYFUNCTION("""COMPUTED_VALUE"""),120.61)</f>
        <v>120.61</v>
      </c>
      <c r="F10169" s="2">
        <f>IFERROR(__xludf.DUMMYFUNCTION("""COMPUTED_VALUE"""),4778144.0)</f>
        <v>4778144</v>
      </c>
    </row>
    <row r="10170">
      <c r="A10170" s="3">
        <f>IFERROR(__xludf.DUMMYFUNCTION("""COMPUTED_VALUE"""),43950.66666666667)</f>
        <v>43950.66667</v>
      </c>
      <c r="B10170" s="2">
        <f>IFERROR(__xludf.DUMMYFUNCTION("""COMPUTED_VALUE"""),123.1)</f>
        <v>123.1</v>
      </c>
      <c r="C10170" s="2">
        <f>IFERROR(__xludf.DUMMYFUNCTION("""COMPUTED_VALUE"""),123.51)</f>
        <v>123.51</v>
      </c>
      <c r="D10170" s="2">
        <f>IFERROR(__xludf.DUMMYFUNCTION("""COMPUTED_VALUE"""),121.81)</f>
        <v>121.81</v>
      </c>
      <c r="E10170" s="2">
        <f>IFERROR(__xludf.DUMMYFUNCTION("""COMPUTED_VALUE"""),122.92)</f>
        <v>122.92</v>
      </c>
      <c r="F10170" s="2">
        <f>IFERROR(__xludf.DUMMYFUNCTION("""COMPUTED_VALUE"""),5257579.0)</f>
        <v>5257579</v>
      </c>
    </row>
    <row r="10171">
      <c r="A10171" s="3">
        <f>IFERROR(__xludf.DUMMYFUNCTION("""COMPUTED_VALUE"""),43951.66666666667)</f>
        <v>43951.66667</v>
      </c>
      <c r="B10171" s="2">
        <f>IFERROR(__xludf.DUMMYFUNCTION("""COMPUTED_VALUE"""),120.85)</f>
        <v>120.85</v>
      </c>
      <c r="C10171" s="2">
        <f>IFERROR(__xludf.DUMMYFUNCTION("""COMPUTED_VALUE"""),121.56)</f>
        <v>121.56</v>
      </c>
      <c r="D10171" s="2">
        <f>IFERROR(__xludf.DUMMYFUNCTION("""COMPUTED_VALUE"""),119.61)</f>
        <v>119.61</v>
      </c>
      <c r="E10171" s="2">
        <f>IFERROR(__xludf.DUMMYFUNCTION("""COMPUTED_VALUE"""),119.93)</f>
        <v>119.93</v>
      </c>
      <c r="F10171" s="2">
        <f>IFERROR(__xludf.DUMMYFUNCTION("""COMPUTED_VALUE"""),6635783.0)</f>
        <v>6635783</v>
      </c>
    </row>
    <row r="10172">
      <c r="A10172" s="3">
        <f>IFERROR(__xludf.DUMMYFUNCTION("""COMPUTED_VALUE"""),43952.66666666667)</f>
        <v>43952.66667</v>
      </c>
      <c r="B10172" s="2">
        <f>IFERROR(__xludf.DUMMYFUNCTION("""COMPUTED_VALUE"""),117.67)</f>
        <v>117.67</v>
      </c>
      <c r="C10172" s="2">
        <f>IFERROR(__xludf.DUMMYFUNCTION("""COMPUTED_VALUE"""),117.93)</f>
        <v>117.93</v>
      </c>
      <c r="D10172" s="2">
        <f>IFERROR(__xludf.DUMMYFUNCTION("""COMPUTED_VALUE"""),115.95)</f>
        <v>115.95</v>
      </c>
      <c r="E10172" s="2">
        <f>IFERROR(__xludf.DUMMYFUNCTION("""COMPUTED_VALUE"""),116.41)</f>
        <v>116.41</v>
      </c>
      <c r="F10172" s="2">
        <f>IFERROR(__xludf.DUMMYFUNCTION("""COMPUTED_VALUE"""),4925535.0)</f>
        <v>4925535</v>
      </c>
    </row>
    <row r="10173">
      <c r="A10173" s="3">
        <f>IFERROR(__xludf.DUMMYFUNCTION("""COMPUTED_VALUE"""),43955.66666666667)</f>
        <v>43955.66667</v>
      </c>
      <c r="B10173" s="2">
        <f>IFERROR(__xludf.DUMMYFUNCTION("""COMPUTED_VALUE"""),115.4)</f>
        <v>115.4</v>
      </c>
      <c r="C10173" s="2">
        <f>IFERROR(__xludf.DUMMYFUNCTION("""COMPUTED_VALUE"""),116.5)</f>
        <v>116.5</v>
      </c>
      <c r="D10173" s="2">
        <f>IFERROR(__xludf.DUMMYFUNCTION("""COMPUTED_VALUE"""),114.04)</f>
        <v>114.04</v>
      </c>
      <c r="E10173" s="2">
        <f>IFERROR(__xludf.DUMMYFUNCTION("""COMPUTED_VALUE"""),116.22)</f>
        <v>116.22</v>
      </c>
      <c r="F10173" s="2">
        <f>IFERROR(__xludf.DUMMYFUNCTION("""COMPUTED_VALUE"""),4017877.0)</f>
        <v>4017877</v>
      </c>
    </row>
    <row r="10174">
      <c r="A10174" s="3">
        <f>IFERROR(__xludf.DUMMYFUNCTION("""COMPUTED_VALUE"""),43956.66666666667)</f>
        <v>43956.66667</v>
      </c>
      <c r="B10174" s="2">
        <f>IFERROR(__xludf.DUMMYFUNCTION("""COMPUTED_VALUE"""),117.86)</f>
        <v>117.86</v>
      </c>
      <c r="C10174" s="2">
        <f>IFERROR(__xludf.DUMMYFUNCTION("""COMPUTED_VALUE"""),118.75)</f>
        <v>118.75</v>
      </c>
      <c r="D10174" s="2">
        <f>IFERROR(__xludf.DUMMYFUNCTION("""COMPUTED_VALUE"""),116.98)</f>
        <v>116.98</v>
      </c>
      <c r="E10174" s="2">
        <f>IFERROR(__xludf.DUMMYFUNCTION("""COMPUTED_VALUE"""),117.08)</f>
        <v>117.08</v>
      </c>
      <c r="F10174" s="2">
        <f>IFERROR(__xludf.DUMMYFUNCTION("""COMPUTED_VALUE"""),3899416.0)</f>
        <v>3899416</v>
      </c>
    </row>
    <row r="10175">
      <c r="A10175" s="3">
        <f>IFERROR(__xludf.DUMMYFUNCTION("""COMPUTED_VALUE"""),43957.66666666667)</f>
        <v>43957.66667</v>
      </c>
      <c r="B10175" s="2">
        <f>IFERROR(__xludf.DUMMYFUNCTION("""COMPUTED_VALUE"""),117.71)</f>
        <v>117.71</v>
      </c>
      <c r="C10175" s="2">
        <f>IFERROR(__xludf.DUMMYFUNCTION("""COMPUTED_VALUE"""),118.49)</f>
        <v>118.49</v>
      </c>
      <c r="D10175" s="2">
        <f>IFERROR(__xludf.DUMMYFUNCTION("""COMPUTED_VALUE"""),116.92)</f>
        <v>116.92</v>
      </c>
      <c r="E10175" s="2">
        <f>IFERROR(__xludf.DUMMYFUNCTION("""COMPUTED_VALUE"""),117.65)</f>
        <v>117.65</v>
      </c>
      <c r="F10175" s="2">
        <f>IFERROR(__xludf.DUMMYFUNCTION("""COMPUTED_VALUE"""),3864589.0)</f>
        <v>3864589</v>
      </c>
    </row>
    <row r="10176">
      <c r="A10176" s="3">
        <f>IFERROR(__xludf.DUMMYFUNCTION("""COMPUTED_VALUE"""),43958.66666666667)</f>
        <v>43958.66667</v>
      </c>
      <c r="B10176" s="2">
        <f>IFERROR(__xludf.DUMMYFUNCTION("""COMPUTED_VALUE"""),117.47)</f>
        <v>117.47</v>
      </c>
      <c r="C10176" s="2">
        <f>IFERROR(__xludf.DUMMYFUNCTION("""COMPUTED_VALUE"""),117.73)</f>
        <v>117.73</v>
      </c>
      <c r="D10176" s="2">
        <f>IFERROR(__xludf.DUMMYFUNCTION("""COMPUTED_VALUE"""),115.43)</f>
        <v>115.43</v>
      </c>
      <c r="E10176" s="2">
        <f>IFERROR(__xludf.DUMMYFUNCTION("""COMPUTED_VALUE"""),115.79)</f>
        <v>115.79</v>
      </c>
      <c r="F10176" s="2">
        <f>IFERROR(__xludf.DUMMYFUNCTION("""COMPUTED_VALUE"""),4414328.0)</f>
        <v>4414328</v>
      </c>
    </row>
    <row r="10177">
      <c r="A10177" s="3">
        <f>IFERROR(__xludf.DUMMYFUNCTION("""COMPUTED_VALUE"""),43959.66666666667)</f>
        <v>43959.66667</v>
      </c>
      <c r="B10177" s="2">
        <f>IFERROR(__xludf.DUMMYFUNCTION("""COMPUTED_VALUE"""),117.17)</f>
        <v>117.17</v>
      </c>
      <c r="C10177" s="2">
        <f>IFERROR(__xludf.DUMMYFUNCTION("""COMPUTED_VALUE"""),117.7)</f>
        <v>117.7</v>
      </c>
      <c r="D10177" s="2">
        <f>IFERROR(__xludf.DUMMYFUNCTION("""COMPUTED_VALUE"""),115.63)</f>
        <v>115.63</v>
      </c>
      <c r="E10177" s="2">
        <f>IFERROR(__xludf.DUMMYFUNCTION("""COMPUTED_VALUE"""),117.48)</f>
        <v>117.48</v>
      </c>
      <c r="F10177" s="2">
        <f>IFERROR(__xludf.DUMMYFUNCTION("""COMPUTED_VALUE"""),5003939.0)</f>
        <v>5003939</v>
      </c>
    </row>
    <row r="10178">
      <c r="A10178" s="3">
        <f>IFERROR(__xludf.DUMMYFUNCTION("""COMPUTED_VALUE"""),43962.66666666667)</f>
        <v>43962.66667</v>
      </c>
      <c r="B10178" s="2">
        <f>IFERROR(__xludf.DUMMYFUNCTION("""COMPUTED_VALUE"""),116.35)</f>
        <v>116.35</v>
      </c>
      <c r="C10178" s="2">
        <f>IFERROR(__xludf.DUMMYFUNCTION("""COMPUTED_VALUE"""),117.91)</f>
        <v>117.91</v>
      </c>
      <c r="D10178" s="2">
        <f>IFERROR(__xludf.DUMMYFUNCTION("""COMPUTED_VALUE"""),115.26)</f>
        <v>115.26</v>
      </c>
      <c r="E10178" s="2">
        <f>IFERROR(__xludf.DUMMYFUNCTION("""COMPUTED_VALUE"""),117.09)</f>
        <v>117.09</v>
      </c>
      <c r="F10178" s="2">
        <f>IFERROR(__xludf.DUMMYFUNCTION("""COMPUTED_VALUE"""),3535276.0)</f>
        <v>3535276</v>
      </c>
    </row>
    <row r="10179">
      <c r="A10179" s="3">
        <f>IFERROR(__xludf.DUMMYFUNCTION("""COMPUTED_VALUE"""),43963.66666666667)</f>
        <v>43963.66667</v>
      </c>
      <c r="B10179" s="2">
        <f>IFERROR(__xludf.DUMMYFUNCTION("""COMPUTED_VALUE"""),117.49)</f>
        <v>117.49</v>
      </c>
      <c r="C10179" s="2">
        <f>IFERROR(__xludf.DUMMYFUNCTION("""COMPUTED_VALUE"""),118.75)</f>
        <v>118.75</v>
      </c>
      <c r="D10179" s="2">
        <f>IFERROR(__xludf.DUMMYFUNCTION("""COMPUTED_VALUE"""),114.87)</f>
        <v>114.87</v>
      </c>
      <c r="E10179" s="2">
        <f>IFERROR(__xludf.DUMMYFUNCTION("""COMPUTED_VALUE"""),114.87)</f>
        <v>114.87</v>
      </c>
      <c r="F10179" s="2">
        <f>IFERROR(__xludf.DUMMYFUNCTION("""COMPUTED_VALUE"""),4784457.0)</f>
        <v>4784457</v>
      </c>
    </row>
    <row r="10180">
      <c r="A10180" s="3">
        <f>IFERROR(__xludf.DUMMYFUNCTION("""COMPUTED_VALUE"""),43964.66666666667)</f>
        <v>43964.66667</v>
      </c>
      <c r="B10180" s="2">
        <f>IFERROR(__xludf.DUMMYFUNCTION("""COMPUTED_VALUE"""),114.57)</f>
        <v>114.57</v>
      </c>
      <c r="C10180" s="2">
        <f>IFERROR(__xludf.DUMMYFUNCTION("""COMPUTED_VALUE"""),114.61)</f>
        <v>114.61</v>
      </c>
      <c r="D10180" s="2">
        <f>IFERROR(__xludf.DUMMYFUNCTION("""COMPUTED_VALUE"""),109.7)</f>
        <v>109.7</v>
      </c>
      <c r="E10180" s="2">
        <f>IFERROR(__xludf.DUMMYFUNCTION("""COMPUTED_VALUE"""),110.54)</f>
        <v>110.54</v>
      </c>
      <c r="F10180" s="2">
        <f>IFERROR(__xludf.DUMMYFUNCTION("""COMPUTED_VALUE"""),5882813.0)</f>
        <v>5882813</v>
      </c>
    </row>
    <row r="10181">
      <c r="A10181" s="3">
        <f>IFERROR(__xludf.DUMMYFUNCTION("""COMPUTED_VALUE"""),43965.66666666667)</f>
        <v>43965.66667</v>
      </c>
      <c r="B10181" s="2">
        <f>IFERROR(__xludf.DUMMYFUNCTION("""COMPUTED_VALUE"""),109.43)</f>
        <v>109.43</v>
      </c>
      <c r="C10181" s="2">
        <f>IFERROR(__xludf.DUMMYFUNCTION("""COMPUTED_VALUE"""),111.84)</f>
        <v>111.84</v>
      </c>
      <c r="D10181" s="2">
        <f>IFERROR(__xludf.DUMMYFUNCTION("""COMPUTED_VALUE"""),106.8)</f>
        <v>106.8</v>
      </c>
      <c r="E10181" s="2">
        <f>IFERROR(__xludf.DUMMYFUNCTION("""COMPUTED_VALUE"""),111.71)</f>
        <v>111.71</v>
      </c>
      <c r="F10181" s="2">
        <f>IFERROR(__xludf.DUMMYFUNCTION("""COMPUTED_VALUE"""),5259373.0)</f>
        <v>5259373</v>
      </c>
    </row>
    <row r="10182">
      <c r="A10182" s="3">
        <f>IFERROR(__xludf.DUMMYFUNCTION("""COMPUTED_VALUE"""),43966.66666666667)</f>
        <v>43966.66667</v>
      </c>
      <c r="B10182" s="2">
        <f>IFERROR(__xludf.DUMMYFUNCTION("""COMPUTED_VALUE"""),110.73)</f>
        <v>110.73</v>
      </c>
      <c r="C10182" s="2">
        <f>IFERROR(__xludf.DUMMYFUNCTION("""COMPUTED_VALUE"""),112.13)</f>
        <v>112.13</v>
      </c>
      <c r="D10182" s="2">
        <f>IFERROR(__xludf.DUMMYFUNCTION("""COMPUTED_VALUE"""),110.08)</f>
        <v>110.08</v>
      </c>
      <c r="E10182" s="2">
        <f>IFERROR(__xludf.DUMMYFUNCTION("""COMPUTED_VALUE"""),111.74)</f>
        <v>111.74</v>
      </c>
      <c r="F10182" s="2">
        <f>IFERROR(__xludf.DUMMYFUNCTION("""COMPUTED_VALUE"""),4786330.0)</f>
        <v>4786330</v>
      </c>
    </row>
    <row r="10183">
      <c r="A10183" s="3">
        <f>IFERROR(__xludf.DUMMYFUNCTION("""COMPUTED_VALUE"""),43969.66666666667)</f>
        <v>43969.66667</v>
      </c>
      <c r="B10183" s="2">
        <f>IFERROR(__xludf.DUMMYFUNCTION("""COMPUTED_VALUE"""),114.51)</f>
        <v>114.51</v>
      </c>
      <c r="C10183" s="2">
        <f>IFERROR(__xludf.DUMMYFUNCTION("""COMPUTED_VALUE"""),116.87)</f>
        <v>116.87</v>
      </c>
      <c r="D10183" s="2">
        <f>IFERROR(__xludf.DUMMYFUNCTION("""COMPUTED_VALUE"""),114.38)</f>
        <v>114.38</v>
      </c>
      <c r="E10183" s="2">
        <f>IFERROR(__xludf.DUMMYFUNCTION("""COMPUTED_VALUE"""),116.11)</f>
        <v>116.11</v>
      </c>
      <c r="F10183" s="2">
        <f>IFERROR(__xludf.DUMMYFUNCTION("""COMPUTED_VALUE"""),4207593.0)</f>
        <v>4207593</v>
      </c>
    </row>
    <row r="10184">
      <c r="A10184" s="3">
        <f>IFERROR(__xludf.DUMMYFUNCTION("""COMPUTED_VALUE"""),43970.66666666667)</f>
        <v>43970.66667</v>
      </c>
      <c r="B10184" s="2">
        <f>IFERROR(__xludf.DUMMYFUNCTION("""COMPUTED_VALUE"""),115.76)</f>
        <v>115.76</v>
      </c>
      <c r="C10184" s="2">
        <f>IFERROR(__xludf.DUMMYFUNCTION("""COMPUTED_VALUE"""),116.69)</f>
        <v>116.69</v>
      </c>
      <c r="D10184" s="2">
        <f>IFERROR(__xludf.DUMMYFUNCTION("""COMPUTED_VALUE"""),114.75)</f>
        <v>114.75</v>
      </c>
      <c r="E10184" s="2">
        <f>IFERROR(__xludf.DUMMYFUNCTION("""COMPUTED_VALUE"""),114.9)</f>
        <v>114.9</v>
      </c>
      <c r="F10184" s="2">
        <f>IFERROR(__xludf.DUMMYFUNCTION("""COMPUTED_VALUE"""),3241117.0)</f>
        <v>3241117</v>
      </c>
    </row>
    <row r="10185">
      <c r="A10185" s="3">
        <f>IFERROR(__xludf.DUMMYFUNCTION("""COMPUTED_VALUE"""),43971.66666666667)</f>
        <v>43971.66667</v>
      </c>
      <c r="B10185" s="2">
        <f>IFERROR(__xludf.DUMMYFUNCTION("""COMPUTED_VALUE"""),115.51)</f>
        <v>115.51</v>
      </c>
      <c r="C10185" s="2">
        <f>IFERROR(__xludf.DUMMYFUNCTION("""COMPUTED_VALUE"""),116.98)</f>
        <v>116.98</v>
      </c>
      <c r="D10185" s="2">
        <f>IFERROR(__xludf.DUMMYFUNCTION("""COMPUTED_VALUE"""),115.19)</f>
        <v>115.19</v>
      </c>
      <c r="E10185" s="2">
        <f>IFERROR(__xludf.DUMMYFUNCTION("""COMPUTED_VALUE"""),115.94)</f>
        <v>115.94</v>
      </c>
      <c r="F10185" s="2">
        <f>IFERROR(__xludf.DUMMYFUNCTION("""COMPUTED_VALUE"""),3840858.0)</f>
        <v>3840858</v>
      </c>
    </row>
    <row r="10186">
      <c r="A10186" s="3">
        <f>IFERROR(__xludf.DUMMYFUNCTION("""COMPUTED_VALUE"""),43972.66666666667)</f>
        <v>43972.66667</v>
      </c>
      <c r="B10186" s="2">
        <f>IFERROR(__xludf.DUMMYFUNCTION("""COMPUTED_VALUE"""),115.57)</f>
        <v>115.57</v>
      </c>
      <c r="C10186" s="2">
        <f>IFERROR(__xludf.DUMMYFUNCTION("""COMPUTED_VALUE"""),116.26)</f>
        <v>116.26</v>
      </c>
      <c r="D10186" s="2">
        <f>IFERROR(__xludf.DUMMYFUNCTION("""COMPUTED_VALUE"""),113.64)</f>
        <v>113.64</v>
      </c>
      <c r="E10186" s="2">
        <f>IFERROR(__xludf.DUMMYFUNCTION("""COMPUTED_VALUE"""),113.78)</f>
        <v>113.78</v>
      </c>
      <c r="F10186" s="2">
        <f>IFERROR(__xludf.DUMMYFUNCTION("""COMPUTED_VALUE"""),4000863.0)</f>
        <v>4000863</v>
      </c>
    </row>
    <row r="10187">
      <c r="A10187" s="3">
        <f>IFERROR(__xludf.DUMMYFUNCTION("""COMPUTED_VALUE"""),43973.66666666667)</f>
        <v>43973.66667</v>
      </c>
      <c r="B10187" s="2">
        <f>IFERROR(__xludf.DUMMYFUNCTION("""COMPUTED_VALUE"""),114.02)</f>
        <v>114.02</v>
      </c>
      <c r="C10187" s="2">
        <f>IFERROR(__xludf.DUMMYFUNCTION("""COMPUTED_VALUE"""),114.11)</f>
        <v>114.11</v>
      </c>
      <c r="D10187" s="2">
        <f>IFERROR(__xludf.DUMMYFUNCTION("""COMPUTED_VALUE"""),112.32)</f>
        <v>112.32</v>
      </c>
      <c r="E10187" s="2">
        <f>IFERROR(__xludf.DUMMYFUNCTION("""COMPUTED_VALUE"""),113.08)</f>
        <v>113.08</v>
      </c>
      <c r="F10187" s="2">
        <f>IFERROR(__xludf.DUMMYFUNCTION("""COMPUTED_VALUE"""),4180771.0)</f>
        <v>4180771</v>
      </c>
    </row>
    <row r="10188">
      <c r="A10188" s="3">
        <f>IFERROR(__xludf.DUMMYFUNCTION("""COMPUTED_VALUE"""),43977.66666666667)</f>
        <v>43977.66667</v>
      </c>
      <c r="B10188" s="2">
        <f>IFERROR(__xludf.DUMMYFUNCTION("""COMPUTED_VALUE"""),115.86)</f>
        <v>115.86</v>
      </c>
      <c r="C10188" s="2">
        <f>IFERROR(__xludf.DUMMYFUNCTION("""COMPUTED_VALUE"""),117.12)</f>
        <v>117.12</v>
      </c>
      <c r="D10188" s="2">
        <f>IFERROR(__xludf.DUMMYFUNCTION("""COMPUTED_VALUE"""),115.58)</f>
        <v>115.58</v>
      </c>
      <c r="E10188" s="2">
        <f>IFERROR(__xludf.DUMMYFUNCTION("""COMPUTED_VALUE"""),116.3)</f>
        <v>116.3</v>
      </c>
      <c r="F10188" s="2">
        <f>IFERROR(__xludf.DUMMYFUNCTION("""COMPUTED_VALUE"""),5469282.0)</f>
        <v>5469282</v>
      </c>
    </row>
    <row r="10189">
      <c r="A10189" s="3">
        <f>IFERROR(__xludf.DUMMYFUNCTION("""COMPUTED_VALUE"""),43978.66666666667)</f>
        <v>43978.66667</v>
      </c>
      <c r="B10189" s="2">
        <f>IFERROR(__xludf.DUMMYFUNCTION("""COMPUTED_VALUE"""),118.38)</f>
        <v>118.38</v>
      </c>
      <c r="C10189" s="2">
        <f>IFERROR(__xludf.DUMMYFUNCTION("""COMPUTED_VALUE"""),120.19)</f>
        <v>120.19</v>
      </c>
      <c r="D10189" s="2">
        <f>IFERROR(__xludf.DUMMYFUNCTION("""COMPUTED_VALUE"""),117.93)</f>
        <v>117.93</v>
      </c>
      <c r="E10189" s="2">
        <f>IFERROR(__xludf.DUMMYFUNCTION("""COMPUTED_VALUE"""),119.91)</f>
        <v>119.91</v>
      </c>
      <c r="F10189" s="2">
        <f>IFERROR(__xludf.DUMMYFUNCTION("""COMPUTED_VALUE"""),5727496.0)</f>
        <v>5727496</v>
      </c>
    </row>
    <row r="10190">
      <c r="A10190" s="3">
        <f>IFERROR(__xludf.DUMMYFUNCTION("""COMPUTED_VALUE"""),43979.66666666667)</f>
        <v>43979.66667</v>
      </c>
      <c r="B10190" s="2">
        <f>IFERROR(__xludf.DUMMYFUNCTION("""COMPUTED_VALUE"""),121.18)</f>
        <v>121.18</v>
      </c>
      <c r="C10190" s="2">
        <f>IFERROR(__xludf.DUMMYFUNCTION("""COMPUTED_VALUE"""),121.28)</f>
        <v>121.28</v>
      </c>
      <c r="D10190" s="2">
        <f>IFERROR(__xludf.DUMMYFUNCTION("""COMPUTED_VALUE"""),118.65)</f>
        <v>118.65</v>
      </c>
      <c r="E10190" s="2">
        <f>IFERROR(__xludf.DUMMYFUNCTION("""COMPUTED_VALUE"""),118.95)</f>
        <v>118.95</v>
      </c>
      <c r="F10190" s="2">
        <f>IFERROR(__xludf.DUMMYFUNCTION("""COMPUTED_VALUE"""),3916377.0)</f>
        <v>3916377</v>
      </c>
    </row>
    <row r="10191">
      <c r="A10191" s="3">
        <f>IFERROR(__xludf.DUMMYFUNCTION("""COMPUTED_VALUE"""),43980.66666666667)</f>
        <v>43980.66667</v>
      </c>
      <c r="B10191" s="2">
        <f>IFERROR(__xludf.DUMMYFUNCTION("""COMPUTED_VALUE"""),118.13)</f>
        <v>118.13</v>
      </c>
      <c r="C10191" s="2">
        <f>IFERROR(__xludf.DUMMYFUNCTION("""COMPUTED_VALUE"""),119.52)</f>
        <v>119.52</v>
      </c>
      <c r="D10191" s="2">
        <f>IFERROR(__xludf.DUMMYFUNCTION("""COMPUTED_VALUE"""),116.76)</f>
        <v>116.76</v>
      </c>
      <c r="E10191" s="2">
        <f>IFERROR(__xludf.DUMMYFUNCTION("""COMPUTED_VALUE"""),119.3)</f>
        <v>119.3</v>
      </c>
      <c r="F10191" s="2">
        <f>IFERROR(__xludf.DUMMYFUNCTION("""COMPUTED_VALUE"""),7930467.0)</f>
        <v>7930467</v>
      </c>
    </row>
    <row r="10192">
      <c r="A10192" s="3">
        <f>IFERROR(__xludf.DUMMYFUNCTION("""COMPUTED_VALUE"""),43983.66666666667)</f>
        <v>43983.66667</v>
      </c>
      <c r="B10192" s="2">
        <f>IFERROR(__xludf.DUMMYFUNCTION("""COMPUTED_VALUE"""),119.05)</f>
        <v>119.05</v>
      </c>
      <c r="C10192" s="2">
        <f>IFERROR(__xludf.DUMMYFUNCTION("""COMPUTED_VALUE"""),120.11)</f>
        <v>120.11</v>
      </c>
      <c r="D10192" s="2">
        <f>IFERROR(__xludf.DUMMYFUNCTION("""COMPUTED_VALUE"""),118.47)</f>
        <v>118.47</v>
      </c>
      <c r="E10192" s="2">
        <f>IFERROR(__xludf.DUMMYFUNCTION("""COMPUTED_VALUE"""),119.29)</f>
        <v>119.29</v>
      </c>
      <c r="F10192" s="2">
        <f>IFERROR(__xludf.DUMMYFUNCTION("""COMPUTED_VALUE"""),2883294.0)</f>
        <v>2883294</v>
      </c>
    </row>
    <row r="10193">
      <c r="A10193" s="3">
        <f>IFERROR(__xludf.DUMMYFUNCTION("""COMPUTED_VALUE"""),43984.66666666667)</f>
        <v>43984.66667</v>
      </c>
      <c r="B10193" s="2">
        <f>IFERROR(__xludf.DUMMYFUNCTION("""COMPUTED_VALUE"""),120.04)</f>
        <v>120.04</v>
      </c>
      <c r="C10193" s="2">
        <f>IFERROR(__xludf.DUMMYFUNCTION("""COMPUTED_VALUE"""),120.35)</f>
        <v>120.35</v>
      </c>
      <c r="D10193" s="2">
        <f>IFERROR(__xludf.DUMMYFUNCTION("""COMPUTED_VALUE"""),119.07)</f>
        <v>119.07</v>
      </c>
      <c r="E10193" s="2">
        <f>IFERROR(__xludf.DUMMYFUNCTION("""COMPUTED_VALUE"""),120.35)</f>
        <v>120.35</v>
      </c>
      <c r="F10193" s="2">
        <f>IFERROR(__xludf.DUMMYFUNCTION("""COMPUTED_VALUE"""),2978056.0)</f>
        <v>2978056</v>
      </c>
    </row>
    <row r="10194">
      <c r="A10194" s="3">
        <f>IFERROR(__xludf.DUMMYFUNCTION("""COMPUTED_VALUE"""),43985.66666666667)</f>
        <v>43985.66667</v>
      </c>
      <c r="B10194" s="2">
        <f>IFERROR(__xludf.DUMMYFUNCTION("""COMPUTED_VALUE"""),121.45)</f>
        <v>121.45</v>
      </c>
      <c r="C10194" s="2">
        <f>IFERROR(__xludf.DUMMYFUNCTION("""COMPUTED_VALUE"""),123.78)</f>
        <v>123.78</v>
      </c>
      <c r="D10194" s="2">
        <f>IFERROR(__xludf.DUMMYFUNCTION("""COMPUTED_VALUE"""),121.31)</f>
        <v>121.31</v>
      </c>
      <c r="E10194" s="2">
        <f>IFERROR(__xludf.DUMMYFUNCTION("""COMPUTED_VALUE"""),123.26)</f>
        <v>123.26</v>
      </c>
      <c r="F10194" s="2">
        <f>IFERROR(__xludf.DUMMYFUNCTION("""COMPUTED_VALUE"""),3917746.0)</f>
        <v>3917746</v>
      </c>
    </row>
    <row r="10195">
      <c r="A10195" s="3">
        <f>IFERROR(__xludf.DUMMYFUNCTION("""COMPUTED_VALUE"""),43986.66666666667)</f>
        <v>43986.66667</v>
      </c>
      <c r="B10195" s="2">
        <f>IFERROR(__xludf.DUMMYFUNCTION("""COMPUTED_VALUE"""),122.05)</f>
        <v>122.05</v>
      </c>
      <c r="C10195" s="2">
        <f>IFERROR(__xludf.DUMMYFUNCTION("""COMPUTED_VALUE"""),123.17)</f>
        <v>123.17</v>
      </c>
      <c r="D10195" s="2">
        <f>IFERROR(__xludf.DUMMYFUNCTION("""COMPUTED_VALUE"""),121.32)</f>
        <v>121.32</v>
      </c>
      <c r="E10195" s="2">
        <f>IFERROR(__xludf.DUMMYFUNCTION("""COMPUTED_VALUE"""),123.11)</f>
        <v>123.11</v>
      </c>
      <c r="F10195" s="2">
        <f>IFERROR(__xludf.DUMMYFUNCTION("""COMPUTED_VALUE"""),3864785.0)</f>
        <v>3864785</v>
      </c>
    </row>
    <row r="10196">
      <c r="A10196" s="3">
        <f>IFERROR(__xludf.DUMMYFUNCTION("""COMPUTED_VALUE"""),43987.66666666667)</f>
        <v>43987.66667</v>
      </c>
      <c r="B10196" s="2">
        <f>IFERROR(__xludf.DUMMYFUNCTION("""COMPUTED_VALUE"""),127.88)</f>
        <v>127.88</v>
      </c>
      <c r="C10196" s="2">
        <f>IFERROR(__xludf.DUMMYFUNCTION("""COMPUTED_VALUE"""),128.21)</f>
        <v>128.21</v>
      </c>
      <c r="D10196" s="2">
        <f>IFERROR(__xludf.DUMMYFUNCTION("""COMPUTED_VALUE"""),125.84)</f>
        <v>125.84</v>
      </c>
      <c r="E10196" s="2">
        <f>IFERROR(__xludf.DUMMYFUNCTION("""COMPUTED_VALUE"""),126.14)</f>
        <v>126.14</v>
      </c>
      <c r="F10196" s="2">
        <f>IFERROR(__xludf.DUMMYFUNCTION("""COMPUTED_VALUE"""),5892960.0)</f>
        <v>5892960</v>
      </c>
    </row>
    <row r="10197">
      <c r="A10197" s="3">
        <f>IFERROR(__xludf.DUMMYFUNCTION("""COMPUTED_VALUE"""),43990.66666666667)</f>
        <v>43990.66667</v>
      </c>
      <c r="B10197" s="2">
        <f>IFERROR(__xludf.DUMMYFUNCTION("""COMPUTED_VALUE"""),126.34)</f>
        <v>126.34</v>
      </c>
      <c r="C10197" s="2">
        <f>IFERROR(__xludf.DUMMYFUNCTION("""COMPUTED_VALUE"""),129.79)</f>
        <v>129.79</v>
      </c>
      <c r="D10197" s="2">
        <f>IFERROR(__xludf.DUMMYFUNCTION("""COMPUTED_VALUE"""),126.34)</f>
        <v>126.34</v>
      </c>
      <c r="E10197" s="2">
        <f>IFERROR(__xludf.DUMMYFUNCTION("""COMPUTED_VALUE"""),129.66)</f>
        <v>129.66</v>
      </c>
      <c r="F10197" s="2">
        <f>IFERROR(__xludf.DUMMYFUNCTION("""COMPUTED_VALUE"""),5370469.0)</f>
        <v>5370469</v>
      </c>
    </row>
    <row r="10198">
      <c r="A10198" s="3">
        <f>IFERROR(__xludf.DUMMYFUNCTION("""COMPUTED_VALUE"""),43991.66666666667)</f>
        <v>43991.66667</v>
      </c>
      <c r="B10198" s="2">
        <f>IFERROR(__xludf.DUMMYFUNCTION("""COMPUTED_VALUE"""),127.53)</f>
        <v>127.53</v>
      </c>
      <c r="C10198" s="2">
        <f>IFERROR(__xludf.DUMMYFUNCTION("""COMPUTED_VALUE"""),127.61)</f>
        <v>127.61</v>
      </c>
      <c r="D10198" s="2">
        <f>IFERROR(__xludf.DUMMYFUNCTION("""COMPUTED_VALUE"""),125.15)</f>
        <v>125.15</v>
      </c>
      <c r="E10198" s="2">
        <f>IFERROR(__xludf.DUMMYFUNCTION("""COMPUTED_VALUE"""),125.96)</f>
        <v>125.96</v>
      </c>
      <c r="F10198" s="2">
        <f>IFERROR(__xludf.DUMMYFUNCTION("""COMPUTED_VALUE"""),5393644.0)</f>
        <v>5393644</v>
      </c>
    </row>
    <row r="10199">
      <c r="A10199" s="3">
        <f>IFERROR(__xludf.DUMMYFUNCTION("""COMPUTED_VALUE"""),43992.66666666667)</f>
        <v>43992.66667</v>
      </c>
      <c r="B10199" s="2">
        <f>IFERROR(__xludf.DUMMYFUNCTION("""COMPUTED_VALUE"""),126.22)</f>
        <v>126.22</v>
      </c>
      <c r="C10199" s="2">
        <f>IFERROR(__xludf.DUMMYFUNCTION("""COMPUTED_VALUE"""),126.3)</f>
        <v>126.3</v>
      </c>
      <c r="D10199" s="2">
        <f>IFERROR(__xludf.DUMMYFUNCTION("""COMPUTED_VALUE"""),123.98)</f>
        <v>123.98</v>
      </c>
      <c r="E10199" s="2">
        <f>IFERROR(__xludf.DUMMYFUNCTION("""COMPUTED_VALUE"""),124.05)</f>
        <v>124.05</v>
      </c>
      <c r="F10199" s="2">
        <f>IFERROR(__xludf.DUMMYFUNCTION("""COMPUTED_VALUE"""),4734835.0)</f>
        <v>4734835</v>
      </c>
    </row>
    <row r="10200">
      <c r="A10200" s="3">
        <f>IFERROR(__xludf.DUMMYFUNCTION("""COMPUTED_VALUE"""),43993.66666666667)</f>
        <v>43993.66667</v>
      </c>
      <c r="B10200" s="2">
        <f>IFERROR(__xludf.DUMMYFUNCTION("""COMPUTED_VALUE"""),120.38)</f>
        <v>120.38</v>
      </c>
      <c r="C10200" s="2">
        <f>IFERROR(__xludf.DUMMYFUNCTION("""COMPUTED_VALUE"""),120.45)</f>
        <v>120.45</v>
      </c>
      <c r="D10200" s="2">
        <f>IFERROR(__xludf.DUMMYFUNCTION("""COMPUTED_VALUE"""),112.55)</f>
        <v>112.55</v>
      </c>
      <c r="E10200" s="2">
        <f>IFERROR(__xludf.DUMMYFUNCTION("""COMPUTED_VALUE"""),112.72)</f>
        <v>112.72</v>
      </c>
      <c r="F10200" s="2">
        <f>IFERROR(__xludf.DUMMYFUNCTION("""COMPUTED_VALUE"""),1.1763629E7)</f>
        <v>11763629</v>
      </c>
    </row>
    <row r="10201">
      <c r="A10201" s="3">
        <f>IFERROR(__xludf.DUMMYFUNCTION("""COMPUTED_VALUE"""),43994.66666666667)</f>
        <v>43994.66667</v>
      </c>
      <c r="B10201" s="2">
        <f>IFERROR(__xludf.DUMMYFUNCTION("""COMPUTED_VALUE"""),115.81)</f>
        <v>115.81</v>
      </c>
      <c r="C10201" s="2">
        <f>IFERROR(__xludf.DUMMYFUNCTION("""COMPUTED_VALUE"""),117.6)</f>
        <v>117.6</v>
      </c>
      <c r="D10201" s="2">
        <f>IFERROR(__xludf.DUMMYFUNCTION("""COMPUTED_VALUE"""),113.93)</f>
        <v>113.93</v>
      </c>
      <c r="E10201" s="2">
        <f>IFERROR(__xludf.DUMMYFUNCTION("""COMPUTED_VALUE"""),116.44)</f>
        <v>116.44</v>
      </c>
      <c r="F10201" s="2">
        <f>IFERROR(__xludf.DUMMYFUNCTION("""COMPUTED_VALUE"""),6220327.0)</f>
        <v>6220327</v>
      </c>
    </row>
    <row r="10202">
      <c r="A10202" s="3">
        <f>IFERROR(__xludf.DUMMYFUNCTION("""COMPUTED_VALUE"""),43997.66666666667)</f>
        <v>43997.66667</v>
      </c>
      <c r="B10202" s="2">
        <f>IFERROR(__xludf.DUMMYFUNCTION("""COMPUTED_VALUE"""),113.85)</f>
        <v>113.85</v>
      </c>
      <c r="C10202" s="2">
        <f>IFERROR(__xludf.DUMMYFUNCTION("""COMPUTED_VALUE"""),116.88)</f>
        <v>116.88</v>
      </c>
      <c r="D10202" s="2">
        <f>IFERROR(__xludf.DUMMYFUNCTION("""COMPUTED_VALUE"""),112.99)</f>
        <v>112.99</v>
      </c>
      <c r="E10202" s="2">
        <f>IFERROR(__xludf.DUMMYFUNCTION("""COMPUTED_VALUE"""),116.2)</f>
        <v>116.2</v>
      </c>
      <c r="F10202" s="2">
        <f>IFERROR(__xludf.DUMMYFUNCTION("""COMPUTED_VALUE"""),5151240.0)</f>
        <v>5151240</v>
      </c>
    </row>
    <row r="10203">
      <c r="A10203" s="3">
        <f>IFERROR(__xludf.DUMMYFUNCTION("""COMPUTED_VALUE"""),43998.66666666667)</f>
        <v>43998.66667</v>
      </c>
      <c r="B10203" s="2">
        <f>IFERROR(__xludf.DUMMYFUNCTION("""COMPUTED_VALUE"""),119.4)</f>
        <v>119.4</v>
      </c>
      <c r="C10203" s="2">
        <f>IFERROR(__xludf.DUMMYFUNCTION("""COMPUTED_VALUE"""),121.78)</f>
        <v>121.78</v>
      </c>
      <c r="D10203" s="2">
        <f>IFERROR(__xludf.DUMMYFUNCTION("""COMPUTED_VALUE"""),117.64)</f>
        <v>117.64</v>
      </c>
      <c r="E10203" s="2">
        <f>IFERROR(__xludf.DUMMYFUNCTION("""COMPUTED_VALUE"""),119.54)</f>
        <v>119.54</v>
      </c>
      <c r="F10203" s="2">
        <f>IFERROR(__xludf.DUMMYFUNCTION("""COMPUTED_VALUE"""),5609087.0)</f>
        <v>5609087</v>
      </c>
    </row>
    <row r="10204">
      <c r="A10204" s="3">
        <f>IFERROR(__xludf.DUMMYFUNCTION("""COMPUTED_VALUE"""),43999.66666666667)</f>
        <v>43999.66667</v>
      </c>
      <c r="B10204" s="2">
        <f>IFERROR(__xludf.DUMMYFUNCTION("""COMPUTED_VALUE"""),120.19)</f>
        <v>120.19</v>
      </c>
      <c r="C10204" s="2">
        <f>IFERROR(__xludf.DUMMYFUNCTION("""COMPUTED_VALUE"""),120.59)</f>
        <v>120.59</v>
      </c>
      <c r="D10204" s="2">
        <f>IFERROR(__xludf.DUMMYFUNCTION("""COMPUTED_VALUE"""),117.87)</f>
        <v>117.87</v>
      </c>
      <c r="E10204" s="2">
        <f>IFERROR(__xludf.DUMMYFUNCTION("""COMPUTED_VALUE"""),118.58)</f>
        <v>118.58</v>
      </c>
      <c r="F10204" s="2">
        <f>IFERROR(__xludf.DUMMYFUNCTION("""COMPUTED_VALUE"""),3156836.0)</f>
        <v>3156836</v>
      </c>
    </row>
    <row r="10205">
      <c r="A10205" s="3">
        <f>IFERROR(__xludf.DUMMYFUNCTION("""COMPUTED_VALUE"""),44000.66666666667)</f>
        <v>44000.66667</v>
      </c>
      <c r="B10205" s="2">
        <f>IFERROR(__xludf.DUMMYFUNCTION("""COMPUTED_VALUE"""),117.49)</f>
        <v>117.49</v>
      </c>
      <c r="C10205" s="2">
        <f>IFERROR(__xludf.DUMMYFUNCTION("""COMPUTED_VALUE"""),118.82)</f>
        <v>118.82</v>
      </c>
      <c r="D10205" s="2">
        <f>IFERROR(__xludf.DUMMYFUNCTION("""COMPUTED_VALUE"""),116.85)</f>
        <v>116.85</v>
      </c>
      <c r="E10205" s="2">
        <f>IFERROR(__xludf.DUMMYFUNCTION("""COMPUTED_VALUE"""),118.59)</f>
        <v>118.59</v>
      </c>
      <c r="F10205" s="2">
        <f>IFERROR(__xludf.DUMMYFUNCTION("""COMPUTED_VALUE"""),2865362.0)</f>
        <v>2865362</v>
      </c>
    </row>
    <row r="10206">
      <c r="A10206" s="3">
        <f>IFERROR(__xludf.DUMMYFUNCTION("""COMPUTED_VALUE"""),44001.66666666667)</f>
        <v>44001.66667</v>
      </c>
      <c r="B10206" s="2">
        <f>IFERROR(__xludf.DUMMYFUNCTION("""COMPUTED_VALUE"""),120.51)</f>
        <v>120.51</v>
      </c>
      <c r="C10206" s="2">
        <f>IFERROR(__xludf.DUMMYFUNCTION("""COMPUTED_VALUE"""),121.13)</f>
        <v>121.13</v>
      </c>
      <c r="D10206" s="2">
        <f>IFERROR(__xludf.DUMMYFUNCTION("""COMPUTED_VALUE"""),116.77)</f>
        <v>116.77</v>
      </c>
      <c r="E10206" s="2">
        <f>IFERROR(__xludf.DUMMYFUNCTION("""COMPUTED_VALUE"""),116.98)</f>
        <v>116.98</v>
      </c>
      <c r="F10206" s="2">
        <f>IFERROR(__xludf.DUMMYFUNCTION("""COMPUTED_VALUE"""),8092354.0)</f>
        <v>8092354</v>
      </c>
    </row>
    <row r="10207">
      <c r="A10207" s="3">
        <f>IFERROR(__xludf.DUMMYFUNCTION("""COMPUTED_VALUE"""),44004.66666666667)</f>
        <v>44004.66667</v>
      </c>
      <c r="B10207" s="2">
        <f>IFERROR(__xludf.DUMMYFUNCTION("""COMPUTED_VALUE"""),116.64)</f>
        <v>116.64</v>
      </c>
      <c r="C10207" s="2">
        <f>IFERROR(__xludf.DUMMYFUNCTION("""COMPUTED_VALUE"""),117.01)</f>
        <v>117.01</v>
      </c>
      <c r="D10207" s="2">
        <f>IFERROR(__xludf.DUMMYFUNCTION("""COMPUTED_VALUE"""),115.13)</f>
        <v>115.13</v>
      </c>
      <c r="E10207" s="2">
        <f>IFERROR(__xludf.DUMMYFUNCTION("""COMPUTED_VALUE"""),115.64)</f>
        <v>115.64</v>
      </c>
      <c r="F10207" s="2">
        <f>IFERROR(__xludf.DUMMYFUNCTION("""COMPUTED_VALUE"""),4773499.0)</f>
        <v>4773499</v>
      </c>
    </row>
    <row r="10208">
      <c r="A10208" s="3">
        <f>IFERROR(__xludf.DUMMYFUNCTION("""COMPUTED_VALUE"""),44005.66666666667)</f>
        <v>44005.66667</v>
      </c>
      <c r="B10208" s="2">
        <f>IFERROR(__xludf.DUMMYFUNCTION("""COMPUTED_VALUE"""),116.54)</f>
        <v>116.54</v>
      </c>
      <c r="C10208" s="2">
        <f>IFERROR(__xludf.DUMMYFUNCTION("""COMPUTED_VALUE"""),117.39)</f>
        <v>117.39</v>
      </c>
      <c r="D10208" s="2">
        <f>IFERROR(__xludf.DUMMYFUNCTION("""COMPUTED_VALUE"""),113.88)</f>
        <v>113.88</v>
      </c>
      <c r="E10208" s="2">
        <f>IFERROR(__xludf.DUMMYFUNCTION("""COMPUTED_VALUE"""),114.06)</f>
        <v>114.06</v>
      </c>
      <c r="F10208" s="2">
        <f>IFERROR(__xludf.DUMMYFUNCTION("""COMPUTED_VALUE"""),6632605.0)</f>
        <v>6632605</v>
      </c>
    </row>
    <row r="10209">
      <c r="A10209" s="3">
        <f>IFERROR(__xludf.DUMMYFUNCTION("""COMPUTED_VALUE"""),44006.66666666667)</f>
        <v>44006.66667</v>
      </c>
      <c r="B10209" s="2">
        <f>IFERROR(__xludf.DUMMYFUNCTION("""COMPUTED_VALUE"""),113.02)</f>
        <v>113.02</v>
      </c>
      <c r="C10209" s="2">
        <f>IFERROR(__xludf.DUMMYFUNCTION("""COMPUTED_VALUE"""),113.02)</f>
        <v>113.02</v>
      </c>
      <c r="D10209" s="2">
        <f>IFERROR(__xludf.DUMMYFUNCTION("""COMPUTED_VALUE"""),110.68)</f>
        <v>110.68</v>
      </c>
      <c r="E10209" s="2">
        <f>IFERROR(__xludf.DUMMYFUNCTION("""COMPUTED_VALUE"""),111.2)</f>
        <v>111.2</v>
      </c>
      <c r="F10209" s="2">
        <f>IFERROR(__xludf.DUMMYFUNCTION("""COMPUTED_VALUE"""),6750990.0)</f>
        <v>6750990</v>
      </c>
    </row>
    <row r="10210">
      <c r="A10210" s="3">
        <f>IFERROR(__xludf.DUMMYFUNCTION("""COMPUTED_VALUE"""),44007.66666666667)</f>
        <v>44007.66667</v>
      </c>
      <c r="B10210" s="2">
        <f>IFERROR(__xludf.DUMMYFUNCTION("""COMPUTED_VALUE"""),111.52)</f>
        <v>111.52</v>
      </c>
      <c r="C10210" s="2">
        <f>IFERROR(__xludf.DUMMYFUNCTION("""COMPUTED_VALUE"""),113.87)</f>
        <v>113.87</v>
      </c>
      <c r="D10210" s="2">
        <f>IFERROR(__xludf.DUMMYFUNCTION("""COMPUTED_VALUE"""),110.89)</f>
        <v>110.89</v>
      </c>
      <c r="E10210" s="2">
        <f>IFERROR(__xludf.DUMMYFUNCTION("""COMPUTED_VALUE"""),113.69)</f>
        <v>113.69</v>
      </c>
      <c r="F10210" s="2">
        <f>IFERROR(__xludf.DUMMYFUNCTION("""COMPUTED_VALUE"""),6130626.0)</f>
        <v>6130626</v>
      </c>
    </row>
    <row r="10211">
      <c r="A10211" s="3">
        <f>IFERROR(__xludf.DUMMYFUNCTION("""COMPUTED_VALUE"""),44008.66666666667)</f>
        <v>44008.66667</v>
      </c>
      <c r="B10211" s="2">
        <f>IFERROR(__xludf.DUMMYFUNCTION("""COMPUTED_VALUE"""),112.96)</f>
        <v>112.96</v>
      </c>
      <c r="C10211" s="2">
        <f>IFERROR(__xludf.DUMMYFUNCTION("""COMPUTED_VALUE"""),113.65)</f>
        <v>113.65</v>
      </c>
      <c r="D10211" s="2">
        <f>IFERROR(__xludf.DUMMYFUNCTION("""COMPUTED_VALUE"""),111.05)</f>
        <v>111.05</v>
      </c>
      <c r="E10211" s="2">
        <f>IFERROR(__xludf.DUMMYFUNCTION("""COMPUTED_VALUE"""),111.94)</f>
        <v>111.94</v>
      </c>
      <c r="F10211" s="2">
        <f>IFERROR(__xludf.DUMMYFUNCTION("""COMPUTED_VALUE"""),1.0750107E7)</f>
        <v>10750107</v>
      </c>
    </row>
    <row r="10212">
      <c r="A10212" s="3">
        <f>IFERROR(__xludf.DUMMYFUNCTION("""COMPUTED_VALUE"""),44011.66666666667)</f>
        <v>44011.66667</v>
      </c>
      <c r="B10212" s="2">
        <f>IFERROR(__xludf.DUMMYFUNCTION("""COMPUTED_VALUE"""),112.69)</f>
        <v>112.69</v>
      </c>
      <c r="C10212" s="2">
        <f>IFERROR(__xludf.DUMMYFUNCTION("""COMPUTED_VALUE"""),114.41)</f>
        <v>114.41</v>
      </c>
      <c r="D10212" s="2">
        <f>IFERROR(__xludf.DUMMYFUNCTION("""COMPUTED_VALUE"""),112.11)</f>
        <v>112.11</v>
      </c>
      <c r="E10212" s="2">
        <f>IFERROR(__xludf.DUMMYFUNCTION("""COMPUTED_VALUE"""),114.38)</f>
        <v>114.38</v>
      </c>
      <c r="F10212" s="2">
        <f>IFERROR(__xludf.DUMMYFUNCTION("""COMPUTED_VALUE"""),4159488.0)</f>
        <v>4159488</v>
      </c>
    </row>
    <row r="10213">
      <c r="A10213" s="3">
        <f>IFERROR(__xludf.DUMMYFUNCTION("""COMPUTED_VALUE"""),44012.66666666667)</f>
        <v>44012.66667</v>
      </c>
      <c r="B10213" s="2">
        <f>IFERROR(__xludf.DUMMYFUNCTION("""COMPUTED_VALUE"""),113.85)</f>
        <v>113.85</v>
      </c>
      <c r="C10213" s="2">
        <f>IFERROR(__xludf.DUMMYFUNCTION("""COMPUTED_VALUE"""),115.77)</f>
        <v>115.77</v>
      </c>
      <c r="D10213" s="2">
        <f>IFERROR(__xludf.DUMMYFUNCTION("""COMPUTED_VALUE"""),113.66)</f>
        <v>113.66</v>
      </c>
      <c r="E10213" s="2">
        <f>IFERROR(__xludf.DUMMYFUNCTION("""COMPUTED_VALUE"""),115.36)</f>
        <v>115.36</v>
      </c>
      <c r="F10213" s="2">
        <f>IFERROR(__xludf.DUMMYFUNCTION("""COMPUTED_VALUE"""),3919469.0)</f>
        <v>3919469</v>
      </c>
    </row>
    <row r="10214">
      <c r="A10214" s="3">
        <f>IFERROR(__xludf.DUMMYFUNCTION("""COMPUTED_VALUE"""),44013.66666666667)</f>
        <v>44013.66667</v>
      </c>
      <c r="B10214" s="2">
        <f>IFERROR(__xludf.DUMMYFUNCTION("""COMPUTED_VALUE"""),114.88)</f>
        <v>114.88</v>
      </c>
      <c r="C10214" s="2">
        <f>IFERROR(__xludf.DUMMYFUNCTION("""COMPUTED_VALUE"""),115.79)</f>
        <v>115.79</v>
      </c>
      <c r="D10214" s="2">
        <f>IFERROR(__xludf.DUMMYFUNCTION("""COMPUTED_VALUE"""),113.06)</f>
        <v>113.06</v>
      </c>
      <c r="E10214" s="2">
        <f>IFERROR(__xludf.DUMMYFUNCTION("""COMPUTED_VALUE"""),113.23)</f>
        <v>113.23</v>
      </c>
      <c r="F10214" s="2">
        <f>IFERROR(__xludf.DUMMYFUNCTION("""COMPUTED_VALUE"""),4655765.0)</f>
        <v>4655765</v>
      </c>
    </row>
    <row r="10215">
      <c r="A10215" s="3">
        <f>IFERROR(__xludf.DUMMYFUNCTION("""COMPUTED_VALUE"""),44014.66666666667)</f>
        <v>44014.66667</v>
      </c>
      <c r="B10215" s="2">
        <f>IFERROR(__xludf.DUMMYFUNCTION("""COMPUTED_VALUE"""),114.32)</f>
        <v>114.32</v>
      </c>
      <c r="C10215" s="2">
        <f>IFERROR(__xludf.DUMMYFUNCTION("""COMPUTED_VALUE"""),115.98)</f>
        <v>115.98</v>
      </c>
      <c r="D10215" s="2">
        <f>IFERROR(__xludf.DUMMYFUNCTION("""COMPUTED_VALUE"""),113.91)</f>
        <v>113.91</v>
      </c>
      <c r="E10215" s="2">
        <f>IFERROR(__xludf.DUMMYFUNCTION("""COMPUTED_VALUE"""),114.33)</f>
        <v>114.33</v>
      </c>
      <c r="F10215" s="2">
        <f>IFERROR(__xludf.DUMMYFUNCTION("""COMPUTED_VALUE"""),3746958.0)</f>
        <v>3746958</v>
      </c>
    </row>
    <row r="10216">
      <c r="A10216" s="3">
        <f>IFERROR(__xludf.DUMMYFUNCTION("""COMPUTED_VALUE"""),44018.66666666667)</f>
        <v>44018.66667</v>
      </c>
      <c r="B10216" s="2">
        <f>IFERROR(__xludf.DUMMYFUNCTION("""COMPUTED_VALUE"""),115.81)</f>
        <v>115.81</v>
      </c>
      <c r="C10216" s="2">
        <f>IFERROR(__xludf.DUMMYFUNCTION("""COMPUTED_VALUE"""),116.39)</f>
        <v>116.39</v>
      </c>
      <c r="D10216" s="2">
        <f>IFERROR(__xludf.DUMMYFUNCTION("""COMPUTED_VALUE"""),114.1)</f>
        <v>114.1</v>
      </c>
      <c r="E10216" s="2">
        <f>IFERROR(__xludf.DUMMYFUNCTION("""COMPUTED_VALUE"""),114.8)</f>
        <v>114.8</v>
      </c>
      <c r="F10216" s="2">
        <f>IFERROR(__xludf.DUMMYFUNCTION("""COMPUTED_VALUE"""),4045439.0)</f>
        <v>4045439</v>
      </c>
    </row>
    <row r="10217">
      <c r="A10217" s="3">
        <f>IFERROR(__xludf.DUMMYFUNCTION("""COMPUTED_VALUE"""),44019.66666666667)</f>
        <v>44019.66667</v>
      </c>
      <c r="B10217" s="2">
        <f>IFERROR(__xludf.DUMMYFUNCTION("""COMPUTED_VALUE"""),113.66)</f>
        <v>113.66</v>
      </c>
      <c r="C10217" s="2">
        <f>IFERROR(__xludf.DUMMYFUNCTION("""COMPUTED_VALUE"""),114.15)</f>
        <v>114.15</v>
      </c>
      <c r="D10217" s="2">
        <f>IFERROR(__xludf.DUMMYFUNCTION("""COMPUTED_VALUE"""),112.07)</f>
        <v>112.07</v>
      </c>
      <c r="E10217" s="2">
        <f>IFERROR(__xludf.DUMMYFUNCTION("""COMPUTED_VALUE"""),112.31)</f>
        <v>112.31</v>
      </c>
      <c r="F10217" s="2">
        <f>IFERROR(__xludf.DUMMYFUNCTION("""COMPUTED_VALUE"""),4278307.0)</f>
        <v>4278307</v>
      </c>
    </row>
    <row r="10218">
      <c r="A10218" s="3">
        <f>IFERROR(__xludf.DUMMYFUNCTION("""COMPUTED_VALUE"""),44020.66666666667)</f>
        <v>44020.66667</v>
      </c>
      <c r="B10218" s="2">
        <f>IFERROR(__xludf.DUMMYFUNCTION("""COMPUTED_VALUE"""),112.77)</f>
        <v>112.77</v>
      </c>
      <c r="C10218" s="2">
        <f>IFERROR(__xludf.DUMMYFUNCTION("""COMPUTED_VALUE"""),113.32)</f>
        <v>113.32</v>
      </c>
      <c r="D10218" s="2">
        <f>IFERROR(__xludf.DUMMYFUNCTION("""COMPUTED_VALUE"""),111.26)</f>
        <v>111.26</v>
      </c>
      <c r="E10218" s="2">
        <f>IFERROR(__xludf.DUMMYFUNCTION("""COMPUTED_VALUE"""),112.43)</f>
        <v>112.43</v>
      </c>
      <c r="F10218" s="2">
        <f>IFERROR(__xludf.DUMMYFUNCTION("""COMPUTED_VALUE"""),5192806.0)</f>
        <v>5192806</v>
      </c>
    </row>
    <row r="10219">
      <c r="A10219" s="3">
        <f>IFERROR(__xludf.DUMMYFUNCTION("""COMPUTED_VALUE"""),44021.66666666667)</f>
        <v>44021.66667</v>
      </c>
      <c r="B10219" s="2">
        <f>IFERROR(__xludf.DUMMYFUNCTION("""COMPUTED_VALUE"""),112.71)</f>
        <v>112.71</v>
      </c>
      <c r="C10219" s="2">
        <f>IFERROR(__xludf.DUMMYFUNCTION("""COMPUTED_VALUE"""),112.71)</f>
        <v>112.71</v>
      </c>
      <c r="D10219" s="2">
        <f>IFERROR(__xludf.DUMMYFUNCTION("""COMPUTED_VALUE"""),110.03)</f>
        <v>110.03</v>
      </c>
      <c r="E10219" s="2">
        <f>IFERROR(__xludf.DUMMYFUNCTION("""COMPUTED_VALUE"""),110.52)</f>
        <v>110.52</v>
      </c>
      <c r="F10219" s="2">
        <f>IFERROR(__xludf.DUMMYFUNCTION("""COMPUTED_VALUE"""),4762991.0)</f>
        <v>4762991</v>
      </c>
    </row>
    <row r="10220">
      <c r="A10220" s="3">
        <f>IFERROR(__xludf.DUMMYFUNCTION("""COMPUTED_VALUE"""),44022.66666666667)</f>
        <v>44022.66667</v>
      </c>
      <c r="B10220" s="2">
        <f>IFERROR(__xludf.DUMMYFUNCTION("""COMPUTED_VALUE"""),110.32)</f>
        <v>110.32</v>
      </c>
      <c r="C10220" s="2">
        <f>IFERROR(__xludf.DUMMYFUNCTION("""COMPUTED_VALUE"""),113.25)</f>
        <v>113.25</v>
      </c>
      <c r="D10220" s="2">
        <f>IFERROR(__xludf.DUMMYFUNCTION("""COMPUTED_VALUE"""),110.12)</f>
        <v>110.12</v>
      </c>
      <c r="E10220" s="2">
        <f>IFERROR(__xludf.DUMMYFUNCTION("""COMPUTED_VALUE"""),113.04)</f>
        <v>113.04</v>
      </c>
      <c r="F10220" s="2">
        <f>IFERROR(__xludf.DUMMYFUNCTION("""COMPUTED_VALUE"""),4285705.0)</f>
        <v>4285705</v>
      </c>
    </row>
    <row r="10221">
      <c r="A10221" s="3">
        <f>IFERROR(__xludf.DUMMYFUNCTION("""COMPUTED_VALUE"""),44025.66666666667)</f>
        <v>44025.66667</v>
      </c>
      <c r="B10221" s="2">
        <f>IFERROR(__xludf.DUMMYFUNCTION("""COMPUTED_VALUE"""),114.41)</f>
        <v>114.41</v>
      </c>
      <c r="C10221" s="2">
        <f>IFERROR(__xludf.DUMMYFUNCTION("""COMPUTED_VALUE"""),115.57)</f>
        <v>115.57</v>
      </c>
      <c r="D10221" s="2">
        <f>IFERROR(__xludf.DUMMYFUNCTION("""COMPUTED_VALUE"""),113.34)</f>
        <v>113.34</v>
      </c>
      <c r="E10221" s="2">
        <f>IFERROR(__xludf.DUMMYFUNCTION("""COMPUTED_VALUE"""),113.86)</f>
        <v>113.86</v>
      </c>
      <c r="F10221" s="2">
        <f>IFERROR(__xludf.DUMMYFUNCTION("""COMPUTED_VALUE"""),4650651.0)</f>
        <v>4650651</v>
      </c>
    </row>
    <row r="10222">
      <c r="A10222" s="3">
        <f>IFERROR(__xludf.DUMMYFUNCTION("""COMPUTED_VALUE"""),44026.66666666667)</f>
        <v>44026.66667</v>
      </c>
      <c r="B10222" s="2">
        <f>IFERROR(__xludf.DUMMYFUNCTION("""COMPUTED_VALUE"""),113.3)</f>
        <v>113.3</v>
      </c>
      <c r="C10222" s="2">
        <f>IFERROR(__xludf.DUMMYFUNCTION("""COMPUTED_VALUE"""),115.47)</f>
        <v>115.47</v>
      </c>
      <c r="D10222" s="2">
        <f>IFERROR(__xludf.DUMMYFUNCTION("""COMPUTED_VALUE"""),112.63)</f>
        <v>112.63</v>
      </c>
      <c r="E10222" s="2">
        <f>IFERROR(__xludf.DUMMYFUNCTION("""COMPUTED_VALUE"""),115.19)</f>
        <v>115.19</v>
      </c>
      <c r="F10222" s="2">
        <f>IFERROR(__xludf.DUMMYFUNCTION("""COMPUTED_VALUE"""),4534397.0)</f>
        <v>4534397</v>
      </c>
    </row>
    <row r="10223">
      <c r="A10223" s="3">
        <f>IFERROR(__xludf.DUMMYFUNCTION("""COMPUTED_VALUE"""),44027.66666666667)</f>
        <v>44027.66667</v>
      </c>
      <c r="B10223" s="2">
        <f>IFERROR(__xludf.DUMMYFUNCTION("""COMPUTED_VALUE"""),116.91)</f>
        <v>116.91</v>
      </c>
      <c r="C10223" s="2">
        <f>IFERROR(__xludf.DUMMYFUNCTION("""COMPUTED_VALUE"""),118.4)</f>
        <v>118.4</v>
      </c>
      <c r="D10223" s="2">
        <f>IFERROR(__xludf.DUMMYFUNCTION("""COMPUTED_VALUE"""),116.67)</f>
        <v>116.67</v>
      </c>
      <c r="E10223" s="2">
        <f>IFERROR(__xludf.DUMMYFUNCTION("""COMPUTED_VALUE"""),117.49)</f>
        <v>117.49</v>
      </c>
      <c r="F10223" s="2">
        <f>IFERROR(__xludf.DUMMYFUNCTION("""COMPUTED_VALUE"""),4473400.0)</f>
        <v>4473400</v>
      </c>
    </row>
    <row r="10224">
      <c r="A10224" s="3">
        <f>IFERROR(__xludf.DUMMYFUNCTION("""COMPUTED_VALUE"""),44028.66666666667)</f>
        <v>44028.66667</v>
      </c>
      <c r="B10224" s="2">
        <f>IFERROR(__xludf.DUMMYFUNCTION("""COMPUTED_VALUE"""),117.18)</f>
        <v>117.18</v>
      </c>
      <c r="C10224" s="2">
        <f>IFERROR(__xludf.DUMMYFUNCTION("""COMPUTED_VALUE"""),118.9)</f>
        <v>118.9</v>
      </c>
      <c r="D10224" s="2">
        <f>IFERROR(__xludf.DUMMYFUNCTION("""COMPUTED_VALUE"""),116.68)</f>
        <v>116.68</v>
      </c>
      <c r="E10224" s="2">
        <f>IFERROR(__xludf.DUMMYFUNCTION("""COMPUTED_VALUE"""),118.45)</f>
        <v>118.45</v>
      </c>
      <c r="F10224" s="2">
        <f>IFERROR(__xludf.DUMMYFUNCTION("""COMPUTED_VALUE"""),4330917.0)</f>
        <v>4330917</v>
      </c>
    </row>
    <row r="10225">
      <c r="A10225" s="3">
        <f>IFERROR(__xludf.DUMMYFUNCTION("""COMPUTED_VALUE"""),44029.66666666667)</f>
        <v>44029.66667</v>
      </c>
      <c r="B10225" s="2">
        <f>IFERROR(__xludf.DUMMYFUNCTION("""COMPUTED_VALUE"""),118.81)</f>
        <v>118.81</v>
      </c>
      <c r="C10225" s="2">
        <f>IFERROR(__xludf.DUMMYFUNCTION("""COMPUTED_VALUE"""),120.0)</f>
        <v>120</v>
      </c>
      <c r="D10225" s="2">
        <f>IFERROR(__xludf.DUMMYFUNCTION("""COMPUTED_VALUE"""),117.68)</f>
        <v>117.68</v>
      </c>
      <c r="E10225" s="2">
        <f>IFERROR(__xludf.DUMMYFUNCTION("""COMPUTED_VALUE"""),119.5)</f>
        <v>119.5</v>
      </c>
      <c r="F10225" s="2">
        <f>IFERROR(__xludf.DUMMYFUNCTION("""COMPUTED_VALUE"""),3988460.0)</f>
        <v>3988460</v>
      </c>
    </row>
    <row r="10226">
      <c r="A10226" s="3">
        <f>IFERROR(__xludf.DUMMYFUNCTION("""COMPUTED_VALUE"""),44032.66666666667)</f>
        <v>44032.66667</v>
      </c>
      <c r="B10226" s="2">
        <f>IFERROR(__xludf.DUMMYFUNCTION("""COMPUTED_VALUE"""),120.42)</f>
        <v>120.42</v>
      </c>
      <c r="C10226" s="2">
        <f>IFERROR(__xludf.DUMMYFUNCTION("""COMPUTED_VALUE"""),121.37)</f>
        <v>121.37</v>
      </c>
      <c r="D10226" s="2">
        <f>IFERROR(__xludf.DUMMYFUNCTION("""COMPUTED_VALUE"""),119.53)</f>
        <v>119.53</v>
      </c>
      <c r="E10226" s="2">
        <f>IFERROR(__xludf.DUMMYFUNCTION("""COMPUTED_VALUE"""),120.7)</f>
        <v>120.7</v>
      </c>
      <c r="F10226" s="2">
        <f>IFERROR(__xludf.DUMMYFUNCTION("""COMPUTED_VALUE"""),9927668.0)</f>
        <v>9927668</v>
      </c>
    </row>
    <row r="10227">
      <c r="A10227" s="3">
        <f>IFERROR(__xludf.DUMMYFUNCTION("""COMPUTED_VALUE"""),44033.66666666667)</f>
        <v>44033.66667</v>
      </c>
      <c r="B10227" s="2">
        <f>IFERROR(__xludf.DUMMYFUNCTION("""COMPUTED_VALUE"""),125.28)</f>
        <v>125.28</v>
      </c>
      <c r="C10227" s="2">
        <f>IFERROR(__xludf.DUMMYFUNCTION("""COMPUTED_VALUE"""),126.24)</f>
        <v>126.24</v>
      </c>
      <c r="D10227" s="2">
        <f>IFERROR(__xludf.DUMMYFUNCTION("""COMPUTED_VALUE"""),120.16)</f>
        <v>120.16</v>
      </c>
      <c r="E10227" s="2">
        <f>IFERROR(__xludf.DUMMYFUNCTION("""COMPUTED_VALUE"""),120.41)</f>
        <v>120.41</v>
      </c>
      <c r="F10227" s="2">
        <f>IFERROR(__xludf.DUMMYFUNCTION("""COMPUTED_VALUE"""),1.5364948E7)</f>
        <v>15364948</v>
      </c>
    </row>
    <row r="10228">
      <c r="A10228" s="3">
        <f>IFERROR(__xludf.DUMMYFUNCTION("""COMPUTED_VALUE"""),44034.66666666667)</f>
        <v>44034.66667</v>
      </c>
      <c r="B10228" s="2">
        <f>IFERROR(__xludf.DUMMYFUNCTION("""COMPUTED_VALUE"""),120.26)</f>
        <v>120.26</v>
      </c>
      <c r="C10228" s="2">
        <f>IFERROR(__xludf.DUMMYFUNCTION("""COMPUTED_VALUE"""),123.67)</f>
        <v>123.67</v>
      </c>
      <c r="D10228" s="2">
        <f>IFERROR(__xludf.DUMMYFUNCTION("""COMPUTED_VALUE"""),120.16)</f>
        <v>120.16</v>
      </c>
      <c r="E10228" s="2">
        <f>IFERROR(__xludf.DUMMYFUNCTION("""COMPUTED_VALUE"""),122.9)</f>
        <v>122.9</v>
      </c>
      <c r="F10228" s="2">
        <f>IFERROR(__xludf.DUMMYFUNCTION("""COMPUTED_VALUE"""),8195366.0)</f>
        <v>8195366</v>
      </c>
    </row>
    <row r="10229">
      <c r="A10229" s="3">
        <f>IFERROR(__xludf.DUMMYFUNCTION("""COMPUTED_VALUE"""),44035.66666666667)</f>
        <v>44035.66667</v>
      </c>
      <c r="B10229" s="2">
        <f>IFERROR(__xludf.DUMMYFUNCTION("""COMPUTED_VALUE"""),123.31)</f>
        <v>123.31</v>
      </c>
      <c r="C10229" s="2">
        <f>IFERROR(__xludf.DUMMYFUNCTION("""COMPUTED_VALUE"""),123.57)</f>
        <v>123.57</v>
      </c>
      <c r="D10229" s="2">
        <f>IFERROR(__xludf.DUMMYFUNCTION("""COMPUTED_VALUE"""),121.45)</f>
        <v>121.45</v>
      </c>
      <c r="E10229" s="2">
        <f>IFERROR(__xludf.DUMMYFUNCTION("""COMPUTED_VALUE"""),121.62)</f>
        <v>121.62</v>
      </c>
      <c r="F10229" s="2">
        <f>IFERROR(__xludf.DUMMYFUNCTION("""COMPUTED_VALUE"""),4220136.0)</f>
        <v>4220136</v>
      </c>
    </row>
    <row r="10230">
      <c r="A10230" s="3">
        <f>IFERROR(__xludf.DUMMYFUNCTION("""COMPUTED_VALUE"""),44036.66666666667)</f>
        <v>44036.66667</v>
      </c>
      <c r="B10230" s="2">
        <f>IFERROR(__xludf.DUMMYFUNCTION("""COMPUTED_VALUE"""),120.81)</f>
        <v>120.81</v>
      </c>
      <c r="C10230" s="2">
        <f>IFERROR(__xludf.DUMMYFUNCTION("""COMPUTED_VALUE"""),121.92)</f>
        <v>121.92</v>
      </c>
      <c r="D10230" s="2">
        <f>IFERROR(__xludf.DUMMYFUNCTION("""COMPUTED_VALUE"""),119.87)</f>
        <v>119.87</v>
      </c>
      <c r="E10230" s="2">
        <f>IFERROR(__xludf.DUMMYFUNCTION("""COMPUTED_VALUE"""),120.15)</f>
        <v>120.15</v>
      </c>
      <c r="F10230" s="2">
        <f>IFERROR(__xludf.DUMMYFUNCTION("""COMPUTED_VALUE"""),3531076.0)</f>
        <v>3531076</v>
      </c>
    </row>
    <row r="10231">
      <c r="A10231" s="3">
        <f>IFERROR(__xludf.DUMMYFUNCTION("""COMPUTED_VALUE"""),44039.66666666667)</f>
        <v>44039.66667</v>
      </c>
      <c r="B10231" s="2">
        <f>IFERROR(__xludf.DUMMYFUNCTION("""COMPUTED_VALUE"""),119.26)</f>
        <v>119.26</v>
      </c>
      <c r="C10231" s="2">
        <f>IFERROR(__xludf.DUMMYFUNCTION("""COMPUTED_VALUE"""),120.66)</f>
        <v>120.66</v>
      </c>
      <c r="D10231" s="2">
        <f>IFERROR(__xludf.DUMMYFUNCTION("""COMPUTED_VALUE"""),119.12)</f>
        <v>119.12</v>
      </c>
      <c r="E10231" s="2">
        <f>IFERROR(__xludf.DUMMYFUNCTION("""COMPUTED_VALUE"""),120.55)</f>
        <v>120.55</v>
      </c>
      <c r="F10231" s="2">
        <f>IFERROR(__xludf.DUMMYFUNCTION("""COMPUTED_VALUE"""),3733547.0)</f>
        <v>3733547</v>
      </c>
    </row>
    <row r="10232">
      <c r="A10232" s="3">
        <f>IFERROR(__xludf.DUMMYFUNCTION("""COMPUTED_VALUE"""),44040.66666666667)</f>
        <v>44040.66667</v>
      </c>
      <c r="B10232" s="2">
        <f>IFERROR(__xludf.DUMMYFUNCTION("""COMPUTED_VALUE"""),120.18)</f>
        <v>120.18</v>
      </c>
      <c r="C10232" s="2">
        <f>IFERROR(__xludf.DUMMYFUNCTION("""COMPUTED_VALUE"""),120.68)</f>
        <v>120.68</v>
      </c>
      <c r="D10232" s="2">
        <f>IFERROR(__xludf.DUMMYFUNCTION("""COMPUTED_VALUE"""),118.58)</f>
        <v>118.58</v>
      </c>
      <c r="E10232" s="2">
        <f>IFERROR(__xludf.DUMMYFUNCTION("""COMPUTED_VALUE"""),118.89)</f>
        <v>118.89</v>
      </c>
      <c r="F10232" s="2">
        <f>IFERROR(__xludf.DUMMYFUNCTION("""COMPUTED_VALUE"""),4178176.0)</f>
        <v>4178176</v>
      </c>
    </row>
    <row r="10233">
      <c r="A10233" s="3">
        <f>IFERROR(__xludf.DUMMYFUNCTION("""COMPUTED_VALUE"""),44041.66666666667)</f>
        <v>44041.66667</v>
      </c>
      <c r="B10233" s="2">
        <f>IFERROR(__xludf.DUMMYFUNCTION("""COMPUTED_VALUE"""),118.98)</f>
        <v>118.98</v>
      </c>
      <c r="C10233" s="2">
        <f>IFERROR(__xludf.DUMMYFUNCTION("""COMPUTED_VALUE"""),120.34)</f>
        <v>120.34</v>
      </c>
      <c r="D10233" s="2">
        <f>IFERROR(__xludf.DUMMYFUNCTION("""COMPUTED_VALUE"""),118.51)</f>
        <v>118.51</v>
      </c>
      <c r="E10233" s="2">
        <f>IFERROR(__xludf.DUMMYFUNCTION("""COMPUTED_VALUE"""),119.7)</f>
        <v>119.7</v>
      </c>
      <c r="F10233" s="2">
        <f>IFERROR(__xludf.DUMMYFUNCTION("""COMPUTED_VALUE"""),2833141.0)</f>
        <v>2833141</v>
      </c>
    </row>
    <row r="10234">
      <c r="A10234" s="3">
        <f>IFERROR(__xludf.DUMMYFUNCTION("""COMPUTED_VALUE"""),44042.66666666667)</f>
        <v>44042.66667</v>
      </c>
      <c r="B10234" s="2">
        <f>IFERROR(__xludf.DUMMYFUNCTION("""COMPUTED_VALUE"""),118.16)</f>
        <v>118.16</v>
      </c>
      <c r="C10234" s="2">
        <f>IFERROR(__xludf.DUMMYFUNCTION("""COMPUTED_VALUE"""),118.35)</f>
        <v>118.35</v>
      </c>
      <c r="D10234" s="2">
        <f>IFERROR(__xludf.DUMMYFUNCTION("""COMPUTED_VALUE"""),116.19)</f>
        <v>116.19</v>
      </c>
      <c r="E10234" s="2">
        <f>IFERROR(__xludf.DUMMYFUNCTION("""COMPUTED_VALUE"""),117.39)</f>
        <v>117.39</v>
      </c>
      <c r="F10234" s="2">
        <f>IFERROR(__xludf.DUMMYFUNCTION("""COMPUTED_VALUE"""),3988062.0)</f>
        <v>3988062</v>
      </c>
    </row>
    <row r="10235">
      <c r="A10235" s="3">
        <f>IFERROR(__xludf.DUMMYFUNCTION("""COMPUTED_VALUE"""),44043.66666666667)</f>
        <v>44043.66667</v>
      </c>
      <c r="B10235" s="2">
        <f>IFERROR(__xludf.DUMMYFUNCTION("""COMPUTED_VALUE"""),117.21)</f>
        <v>117.21</v>
      </c>
      <c r="C10235" s="2">
        <f>IFERROR(__xludf.DUMMYFUNCTION("""COMPUTED_VALUE"""),117.48)</f>
        <v>117.48</v>
      </c>
      <c r="D10235" s="2">
        <f>IFERROR(__xludf.DUMMYFUNCTION("""COMPUTED_VALUE"""),115.66)</f>
        <v>115.66</v>
      </c>
      <c r="E10235" s="2">
        <f>IFERROR(__xludf.DUMMYFUNCTION("""COMPUTED_VALUE"""),117.43)</f>
        <v>117.43</v>
      </c>
      <c r="F10235" s="2">
        <f>IFERROR(__xludf.DUMMYFUNCTION("""COMPUTED_VALUE"""),5277652.0)</f>
        <v>5277652</v>
      </c>
    </row>
    <row r="10236">
      <c r="A10236" s="3">
        <f>IFERROR(__xludf.DUMMYFUNCTION("""COMPUTED_VALUE"""),44046.66666666667)</f>
        <v>44046.66667</v>
      </c>
      <c r="B10236" s="2">
        <f>IFERROR(__xludf.DUMMYFUNCTION("""COMPUTED_VALUE"""),117.96)</f>
        <v>117.96</v>
      </c>
      <c r="C10236" s="2">
        <f>IFERROR(__xludf.DUMMYFUNCTION("""COMPUTED_VALUE"""),118.83)</f>
        <v>118.83</v>
      </c>
      <c r="D10236" s="2">
        <f>IFERROR(__xludf.DUMMYFUNCTION("""COMPUTED_VALUE"""),116.67)</f>
        <v>116.67</v>
      </c>
      <c r="E10236" s="2">
        <f>IFERROR(__xludf.DUMMYFUNCTION("""COMPUTED_VALUE"""),118.74)</f>
        <v>118.74</v>
      </c>
      <c r="F10236" s="2">
        <f>IFERROR(__xludf.DUMMYFUNCTION("""COMPUTED_VALUE"""),3526574.0)</f>
        <v>3526574</v>
      </c>
    </row>
    <row r="10237">
      <c r="A10237" s="3">
        <f>IFERROR(__xludf.DUMMYFUNCTION("""COMPUTED_VALUE"""),44047.66666666667)</f>
        <v>44047.66667</v>
      </c>
      <c r="B10237" s="2">
        <f>IFERROR(__xludf.DUMMYFUNCTION("""COMPUTED_VALUE"""),118.27)</f>
        <v>118.27</v>
      </c>
      <c r="C10237" s="2">
        <f>IFERROR(__xludf.DUMMYFUNCTION("""COMPUTED_VALUE"""),120.22)</f>
        <v>120.22</v>
      </c>
      <c r="D10237" s="2">
        <f>IFERROR(__xludf.DUMMYFUNCTION("""COMPUTED_VALUE"""),118.27)</f>
        <v>118.27</v>
      </c>
      <c r="E10237" s="2">
        <f>IFERROR(__xludf.DUMMYFUNCTION("""COMPUTED_VALUE"""),120.2)</f>
        <v>120.2</v>
      </c>
      <c r="F10237" s="2">
        <f>IFERROR(__xludf.DUMMYFUNCTION("""COMPUTED_VALUE"""),3431366.0)</f>
        <v>3431366</v>
      </c>
    </row>
    <row r="10238">
      <c r="A10238" s="3">
        <f>IFERROR(__xludf.DUMMYFUNCTION("""COMPUTED_VALUE"""),44048.66666666667)</f>
        <v>44048.66667</v>
      </c>
      <c r="B10238" s="2">
        <f>IFERROR(__xludf.DUMMYFUNCTION("""COMPUTED_VALUE"""),121.05)</f>
        <v>121.05</v>
      </c>
      <c r="C10238" s="2">
        <f>IFERROR(__xludf.DUMMYFUNCTION("""COMPUTED_VALUE"""),121.07)</f>
        <v>121.07</v>
      </c>
      <c r="D10238" s="2">
        <f>IFERROR(__xludf.DUMMYFUNCTION("""COMPUTED_VALUE"""),119.02)</f>
        <v>119.02</v>
      </c>
      <c r="E10238" s="2">
        <f>IFERROR(__xludf.DUMMYFUNCTION("""COMPUTED_VALUE"""),119.83)</f>
        <v>119.83</v>
      </c>
      <c r="F10238" s="2">
        <f>IFERROR(__xludf.DUMMYFUNCTION("""COMPUTED_VALUE"""),3675400.0)</f>
        <v>3675400</v>
      </c>
    </row>
    <row r="10239">
      <c r="A10239" s="3">
        <f>IFERROR(__xludf.DUMMYFUNCTION("""COMPUTED_VALUE"""),44049.66666666667)</f>
        <v>44049.66667</v>
      </c>
      <c r="B10239" s="2">
        <f>IFERROR(__xludf.DUMMYFUNCTION("""COMPUTED_VALUE"""),119.4)</f>
        <v>119.4</v>
      </c>
      <c r="C10239" s="2">
        <f>IFERROR(__xludf.DUMMYFUNCTION("""COMPUTED_VALUE"""),120.6)</f>
        <v>120.6</v>
      </c>
      <c r="D10239" s="2">
        <f>IFERROR(__xludf.DUMMYFUNCTION("""COMPUTED_VALUE"""),119.4)</f>
        <v>119.4</v>
      </c>
      <c r="E10239" s="2">
        <f>IFERROR(__xludf.DUMMYFUNCTION("""COMPUTED_VALUE"""),120.47)</f>
        <v>120.47</v>
      </c>
      <c r="F10239" s="2">
        <f>IFERROR(__xludf.DUMMYFUNCTION("""COMPUTED_VALUE"""),3417131.0)</f>
        <v>3417131</v>
      </c>
    </row>
    <row r="10240">
      <c r="A10240" s="3">
        <f>IFERROR(__xludf.DUMMYFUNCTION("""COMPUTED_VALUE"""),44050.66666666667)</f>
        <v>44050.66667</v>
      </c>
      <c r="B10240" s="2">
        <f>IFERROR(__xludf.DUMMYFUNCTION("""COMPUTED_VALUE"""),117.96)</f>
        <v>117.96</v>
      </c>
      <c r="C10240" s="2">
        <f>IFERROR(__xludf.DUMMYFUNCTION("""COMPUTED_VALUE"""),119.46)</f>
        <v>119.46</v>
      </c>
      <c r="D10240" s="2">
        <f>IFERROR(__xludf.DUMMYFUNCTION("""COMPUTED_VALUE"""),117.69)</f>
        <v>117.69</v>
      </c>
      <c r="E10240" s="2">
        <f>IFERROR(__xludf.DUMMYFUNCTION("""COMPUTED_VALUE"""),119.36)</f>
        <v>119.36</v>
      </c>
      <c r="F10240" s="2">
        <f>IFERROR(__xludf.DUMMYFUNCTION("""COMPUTED_VALUE"""),3651226.0)</f>
        <v>3651226</v>
      </c>
    </row>
    <row r="10241">
      <c r="A10241" s="3">
        <f>IFERROR(__xludf.DUMMYFUNCTION("""COMPUTED_VALUE"""),44053.66666666667)</f>
        <v>44053.66667</v>
      </c>
      <c r="B10241" s="2">
        <f>IFERROR(__xludf.DUMMYFUNCTION("""COMPUTED_VALUE"""),119.8)</f>
        <v>119.8</v>
      </c>
      <c r="C10241" s="2">
        <f>IFERROR(__xludf.DUMMYFUNCTION("""COMPUTED_VALUE"""),121.54)</f>
        <v>121.54</v>
      </c>
      <c r="D10241" s="2">
        <f>IFERROR(__xludf.DUMMYFUNCTION("""COMPUTED_VALUE"""),119.57)</f>
        <v>119.57</v>
      </c>
      <c r="E10241" s="2">
        <f>IFERROR(__xludf.DUMMYFUNCTION("""COMPUTED_VALUE"""),121.41)</f>
        <v>121.41</v>
      </c>
      <c r="F10241" s="2">
        <f>IFERROR(__xludf.DUMMYFUNCTION("""COMPUTED_VALUE"""),3968295.0)</f>
        <v>3968295</v>
      </c>
    </row>
    <row r="10242">
      <c r="A10242" s="3">
        <f>IFERROR(__xludf.DUMMYFUNCTION("""COMPUTED_VALUE"""),44054.66666666667)</f>
        <v>44054.66667</v>
      </c>
      <c r="B10242" s="2">
        <f>IFERROR(__xludf.DUMMYFUNCTION("""COMPUTED_VALUE"""),122.99)</f>
        <v>122.99</v>
      </c>
      <c r="C10242" s="2">
        <f>IFERROR(__xludf.DUMMYFUNCTION("""COMPUTED_VALUE"""),124.62)</f>
        <v>124.62</v>
      </c>
      <c r="D10242" s="2">
        <f>IFERROR(__xludf.DUMMYFUNCTION("""COMPUTED_VALUE"""),120.93)</f>
        <v>120.93</v>
      </c>
      <c r="E10242" s="2">
        <f>IFERROR(__xludf.DUMMYFUNCTION("""COMPUTED_VALUE"""),121.07)</f>
        <v>121.07</v>
      </c>
      <c r="F10242" s="2">
        <f>IFERROR(__xludf.DUMMYFUNCTION("""COMPUTED_VALUE"""),5001176.0)</f>
        <v>5001176</v>
      </c>
    </row>
    <row r="10243">
      <c r="A10243" s="3">
        <f>IFERROR(__xludf.DUMMYFUNCTION("""COMPUTED_VALUE"""),44055.66666666667)</f>
        <v>44055.66667</v>
      </c>
      <c r="B10243" s="2">
        <f>IFERROR(__xludf.DUMMYFUNCTION("""COMPUTED_VALUE"""),121.89)</f>
        <v>121.89</v>
      </c>
      <c r="C10243" s="2">
        <f>IFERROR(__xludf.DUMMYFUNCTION("""COMPUTED_VALUE"""),122.06)</f>
        <v>122.06</v>
      </c>
      <c r="D10243" s="2">
        <f>IFERROR(__xludf.DUMMYFUNCTION("""COMPUTED_VALUE"""),120.23)</f>
        <v>120.23</v>
      </c>
      <c r="E10243" s="2">
        <f>IFERROR(__xludf.DUMMYFUNCTION("""COMPUTED_VALUE"""),121.02)</f>
        <v>121.02</v>
      </c>
      <c r="F10243" s="2">
        <f>IFERROR(__xludf.DUMMYFUNCTION("""COMPUTED_VALUE"""),3530177.0)</f>
        <v>3530177</v>
      </c>
    </row>
    <row r="10244">
      <c r="A10244" s="3">
        <f>IFERROR(__xludf.DUMMYFUNCTION("""COMPUTED_VALUE"""),44056.66666666667)</f>
        <v>44056.66667</v>
      </c>
      <c r="B10244" s="2">
        <f>IFERROR(__xludf.DUMMYFUNCTION("""COMPUTED_VALUE"""),120.31)</f>
        <v>120.31</v>
      </c>
      <c r="C10244" s="2">
        <f>IFERROR(__xludf.DUMMYFUNCTION("""COMPUTED_VALUE"""),120.72)</f>
        <v>120.72</v>
      </c>
      <c r="D10244" s="2">
        <f>IFERROR(__xludf.DUMMYFUNCTION("""COMPUTED_VALUE"""),119.18)</f>
        <v>119.18</v>
      </c>
      <c r="E10244" s="2">
        <f>IFERROR(__xludf.DUMMYFUNCTION("""COMPUTED_VALUE"""),119.42)</f>
        <v>119.42</v>
      </c>
      <c r="F10244" s="2">
        <f>IFERROR(__xludf.DUMMYFUNCTION("""COMPUTED_VALUE"""),3171258.0)</f>
        <v>3171258</v>
      </c>
    </row>
    <row r="10245">
      <c r="A10245" s="3">
        <f>IFERROR(__xludf.DUMMYFUNCTION("""COMPUTED_VALUE"""),44057.66666666667)</f>
        <v>44057.66667</v>
      </c>
      <c r="B10245" s="2">
        <f>IFERROR(__xludf.DUMMYFUNCTION("""COMPUTED_VALUE"""),118.63)</f>
        <v>118.63</v>
      </c>
      <c r="C10245" s="2">
        <f>IFERROR(__xludf.DUMMYFUNCTION("""COMPUTED_VALUE"""),119.93)</f>
        <v>119.93</v>
      </c>
      <c r="D10245" s="2">
        <f>IFERROR(__xludf.DUMMYFUNCTION("""COMPUTED_VALUE"""),118.35)</f>
        <v>118.35</v>
      </c>
      <c r="E10245" s="2">
        <f>IFERROR(__xludf.DUMMYFUNCTION("""COMPUTED_VALUE"""),119.65)</f>
        <v>119.65</v>
      </c>
      <c r="F10245" s="2">
        <f>IFERROR(__xludf.DUMMYFUNCTION("""COMPUTED_VALUE"""),2963753.0)</f>
        <v>2963753</v>
      </c>
    </row>
    <row r="10246">
      <c r="A10246" s="3">
        <f>IFERROR(__xludf.DUMMYFUNCTION("""COMPUTED_VALUE"""),44060.66666666667)</f>
        <v>44060.66667</v>
      </c>
      <c r="B10246" s="2">
        <f>IFERROR(__xludf.DUMMYFUNCTION("""COMPUTED_VALUE"""),119.63)</f>
        <v>119.63</v>
      </c>
      <c r="C10246" s="2">
        <f>IFERROR(__xludf.DUMMYFUNCTION("""COMPUTED_VALUE"""),119.96)</f>
        <v>119.96</v>
      </c>
      <c r="D10246" s="2">
        <f>IFERROR(__xludf.DUMMYFUNCTION("""COMPUTED_VALUE"""),118.83)</f>
        <v>118.83</v>
      </c>
      <c r="E10246" s="2">
        <f>IFERROR(__xludf.DUMMYFUNCTION("""COMPUTED_VALUE"""),118.86)</f>
        <v>118.86</v>
      </c>
      <c r="F10246" s="2">
        <f>IFERROR(__xludf.DUMMYFUNCTION("""COMPUTED_VALUE"""),3360064.0)</f>
        <v>3360064</v>
      </c>
    </row>
    <row r="10247">
      <c r="A10247" s="3">
        <f>IFERROR(__xludf.DUMMYFUNCTION("""COMPUTED_VALUE"""),44061.66666666667)</f>
        <v>44061.66667</v>
      </c>
      <c r="B10247" s="2">
        <f>IFERROR(__xludf.DUMMYFUNCTION("""COMPUTED_VALUE"""),119.4)</f>
        <v>119.4</v>
      </c>
      <c r="C10247" s="2">
        <f>IFERROR(__xludf.DUMMYFUNCTION("""COMPUTED_VALUE"""),119.87)</f>
        <v>119.87</v>
      </c>
      <c r="D10247" s="2">
        <f>IFERROR(__xludf.DUMMYFUNCTION("""COMPUTED_VALUE"""),118.67)</f>
        <v>118.67</v>
      </c>
      <c r="E10247" s="2">
        <f>IFERROR(__xludf.DUMMYFUNCTION("""COMPUTED_VALUE"""),119.32)</f>
        <v>119.32</v>
      </c>
      <c r="F10247" s="2">
        <f>IFERROR(__xludf.DUMMYFUNCTION("""COMPUTED_VALUE"""),2882355.0)</f>
        <v>2882355</v>
      </c>
    </row>
    <row r="10248">
      <c r="A10248" s="3">
        <f>IFERROR(__xludf.DUMMYFUNCTION("""COMPUTED_VALUE"""),44062.66666666667)</f>
        <v>44062.66667</v>
      </c>
      <c r="B10248" s="2">
        <f>IFERROR(__xludf.DUMMYFUNCTION("""COMPUTED_VALUE"""),119.23)</f>
        <v>119.23</v>
      </c>
      <c r="C10248" s="2">
        <f>IFERROR(__xludf.DUMMYFUNCTION("""COMPUTED_VALUE"""),119.87)</f>
        <v>119.87</v>
      </c>
      <c r="D10248" s="2">
        <f>IFERROR(__xludf.DUMMYFUNCTION("""COMPUTED_VALUE"""),117.96)</f>
        <v>117.96</v>
      </c>
      <c r="E10248" s="2">
        <f>IFERROR(__xludf.DUMMYFUNCTION("""COMPUTED_VALUE"""),118.29)</f>
        <v>118.29</v>
      </c>
      <c r="F10248" s="2">
        <f>IFERROR(__xludf.DUMMYFUNCTION("""COMPUTED_VALUE"""),3743949.0)</f>
        <v>3743949</v>
      </c>
    </row>
    <row r="10249">
      <c r="A10249" s="3">
        <f>IFERROR(__xludf.DUMMYFUNCTION("""COMPUTED_VALUE"""),44063.66666666667)</f>
        <v>44063.66667</v>
      </c>
      <c r="B10249" s="2">
        <f>IFERROR(__xludf.DUMMYFUNCTION("""COMPUTED_VALUE"""),117.68)</f>
        <v>117.68</v>
      </c>
      <c r="C10249" s="2">
        <f>IFERROR(__xludf.DUMMYFUNCTION("""COMPUTED_VALUE"""),118.48)</f>
        <v>118.48</v>
      </c>
      <c r="D10249" s="2">
        <f>IFERROR(__xludf.DUMMYFUNCTION("""COMPUTED_VALUE"""),117.3)</f>
        <v>117.3</v>
      </c>
      <c r="E10249" s="2">
        <f>IFERROR(__xludf.DUMMYFUNCTION("""COMPUTED_VALUE"""),117.63)</f>
        <v>117.63</v>
      </c>
      <c r="F10249" s="2">
        <f>IFERROR(__xludf.DUMMYFUNCTION("""COMPUTED_VALUE"""),2561164.0)</f>
        <v>2561164</v>
      </c>
    </row>
    <row r="10250">
      <c r="A10250" s="3">
        <f>IFERROR(__xludf.DUMMYFUNCTION("""COMPUTED_VALUE"""),44064.66666666667)</f>
        <v>44064.66667</v>
      </c>
      <c r="B10250" s="2">
        <f>IFERROR(__xludf.DUMMYFUNCTION("""COMPUTED_VALUE"""),117.49)</f>
        <v>117.49</v>
      </c>
      <c r="C10250" s="2">
        <f>IFERROR(__xludf.DUMMYFUNCTION("""COMPUTED_VALUE"""),117.95)</f>
        <v>117.95</v>
      </c>
      <c r="D10250" s="2">
        <f>IFERROR(__xludf.DUMMYFUNCTION("""COMPUTED_VALUE"""),116.83)</f>
        <v>116.83</v>
      </c>
      <c r="E10250" s="2">
        <f>IFERROR(__xludf.DUMMYFUNCTION("""COMPUTED_VALUE"""),117.64)</f>
        <v>117.64</v>
      </c>
      <c r="F10250" s="2">
        <f>IFERROR(__xludf.DUMMYFUNCTION("""COMPUTED_VALUE"""),3385051.0)</f>
        <v>3385051</v>
      </c>
    </row>
    <row r="10251">
      <c r="A10251" s="3">
        <f>IFERROR(__xludf.DUMMYFUNCTION("""COMPUTED_VALUE"""),44067.66666666667)</f>
        <v>44067.66667</v>
      </c>
      <c r="B10251" s="2">
        <f>IFERROR(__xludf.DUMMYFUNCTION("""COMPUTED_VALUE"""),118.24)</f>
        <v>118.24</v>
      </c>
      <c r="C10251" s="2">
        <f>IFERROR(__xludf.DUMMYFUNCTION("""COMPUTED_VALUE"""),120.41)</f>
        <v>120.41</v>
      </c>
      <c r="D10251" s="2">
        <f>IFERROR(__xludf.DUMMYFUNCTION("""COMPUTED_VALUE"""),117.83)</f>
        <v>117.83</v>
      </c>
      <c r="E10251" s="2">
        <f>IFERROR(__xludf.DUMMYFUNCTION("""COMPUTED_VALUE"""),120.05)</f>
        <v>120.05</v>
      </c>
      <c r="F10251" s="2">
        <f>IFERROR(__xludf.DUMMYFUNCTION("""COMPUTED_VALUE"""),4070816.0)</f>
        <v>4070816</v>
      </c>
    </row>
    <row r="10252">
      <c r="A10252" s="3">
        <f>IFERROR(__xludf.DUMMYFUNCTION("""COMPUTED_VALUE"""),44068.66666666667)</f>
        <v>44068.66667</v>
      </c>
      <c r="B10252" s="2">
        <f>IFERROR(__xludf.DUMMYFUNCTION("""COMPUTED_VALUE"""),120.35)</f>
        <v>120.35</v>
      </c>
      <c r="C10252" s="2">
        <f>IFERROR(__xludf.DUMMYFUNCTION("""COMPUTED_VALUE"""),121.13)</f>
        <v>121.13</v>
      </c>
      <c r="D10252" s="2">
        <f>IFERROR(__xludf.DUMMYFUNCTION("""COMPUTED_VALUE"""),118.91)</f>
        <v>118.91</v>
      </c>
      <c r="E10252" s="2">
        <f>IFERROR(__xludf.DUMMYFUNCTION("""COMPUTED_VALUE"""),119.05)</f>
        <v>119.05</v>
      </c>
      <c r="F10252" s="2">
        <f>IFERROR(__xludf.DUMMYFUNCTION("""COMPUTED_VALUE"""),2977697.0)</f>
        <v>2977697</v>
      </c>
    </row>
    <row r="10253">
      <c r="A10253" s="3">
        <f>IFERROR(__xludf.DUMMYFUNCTION("""COMPUTED_VALUE"""),44069.66666666667)</f>
        <v>44069.66667</v>
      </c>
      <c r="B10253" s="2">
        <f>IFERROR(__xludf.DUMMYFUNCTION("""COMPUTED_VALUE"""),119.35)</f>
        <v>119.35</v>
      </c>
      <c r="C10253" s="2">
        <f>IFERROR(__xludf.DUMMYFUNCTION("""COMPUTED_VALUE"""),119.51)</f>
        <v>119.51</v>
      </c>
      <c r="D10253" s="2">
        <f>IFERROR(__xludf.DUMMYFUNCTION("""COMPUTED_VALUE"""),118.39)</f>
        <v>118.39</v>
      </c>
      <c r="E10253" s="2">
        <f>IFERROR(__xludf.DUMMYFUNCTION("""COMPUTED_VALUE"""),118.6)</f>
        <v>118.6</v>
      </c>
      <c r="F10253" s="2">
        <f>IFERROR(__xludf.DUMMYFUNCTION("""COMPUTED_VALUE"""),3388687.0)</f>
        <v>3388687</v>
      </c>
    </row>
    <row r="10254">
      <c r="A10254" s="3">
        <f>IFERROR(__xludf.DUMMYFUNCTION("""COMPUTED_VALUE"""),44070.66666666667)</f>
        <v>44070.66667</v>
      </c>
      <c r="B10254" s="2">
        <f>IFERROR(__xludf.DUMMYFUNCTION("""COMPUTED_VALUE"""),119.01)</f>
        <v>119.01</v>
      </c>
      <c r="C10254" s="2">
        <f>IFERROR(__xludf.DUMMYFUNCTION("""COMPUTED_VALUE"""),119.49)</f>
        <v>119.49</v>
      </c>
      <c r="D10254" s="2">
        <f>IFERROR(__xludf.DUMMYFUNCTION("""COMPUTED_VALUE"""),118.42)</f>
        <v>118.42</v>
      </c>
      <c r="E10254" s="2">
        <f>IFERROR(__xludf.DUMMYFUNCTION("""COMPUTED_VALUE"""),119.06)</f>
        <v>119.06</v>
      </c>
      <c r="F10254" s="2">
        <f>IFERROR(__xludf.DUMMYFUNCTION("""COMPUTED_VALUE"""),3422654.0)</f>
        <v>3422654</v>
      </c>
    </row>
    <row r="10255">
      <c r="A10255" s="3">
        <f>IFERROR(__xludf.DUMMYFUNCTION("""COMPUTED_VALUE"""),44071.66666666667)</f>
        <v>44071.66667</v>
      </c>
      <c r="B10255" s="2">
        <f>IFERROR(__xludf.DUMMYFUNCTION("""COMPUTED_VALUE"""),119.36)</f>
        <v>119.36</v>
      </c>
      <c r="C10255" s="2">
        <f>IFERROR(__xludf.DUMMYFUNCTION("""COMPUTED_VALUE"""),119.68)</f>
        <v>119.68</v>
      </c>
      <c r="D10255" s="2">
        <f>IFERROR(__xludf.DUMMYFUNCTION("""COMPUTED_VALUE"""),118.65)</f>
        <v>118.65</v>
      </c>
      <c r="E10255" s="2">
        <f>IFERROR(__xludf.DUMMYFUNCTION("""COMPUTED_VALUE"""),119.46)</f>
        <v>119.46</v>
      </c>
      <c r="F10255" s="2">
        <f>IFERROR(__xludf.DUMMYFUNCTION("""COMPUTED_VALUE"""),3099940.0)</f>
        <v>3099940</v>
      </c>
    </row>
    <row r="10256">
      <c r="A10256" s="3">
        <f>IFERROR(__xludf.DUMMYFUNCTION("""COMPUTED_VALUE"""),44074.66666666667)</f>
        <v>44074.66667</v>
      </c>
      <c r="B10256" s="2">
        <f>IFERROR(__xludf.DUMMYFUNCTION("""COMPUTED_VALUE"""),119.63)</f>
        <v>119.63</v>
      </c>
      <c r="C10256" s="2">
        <f>IFERROR(__xludf.DUMMYFUNCTION("""COMPUTED_VALUE"""),119.63)</f>
        <v>119.63</v>
      </c>
      <c r="D10256" s="2">
        <f>IFERROR(__xludf.DUMMYFUNCTION("""COMPUTED_VALUE"""),117.51)</f>
        <v>117.51</v>
      </c>
      <c r="E10256" s="2">
        <f>IFERROR(__xludf.DUMMYFUNCTION("""COMPUTED_VALUE"""),117.78)</f>
        <v>117.78</v>
      </c>
      <c r="F10256" s="2">
        <f>IFERROR(__xludf.DUMMYFUNCTION("""COMPUTED_VALUE"""),4827879.0)</f>
        <v>4827879</v>
      </c>
    </row>
    <row r="10257">
      <c r="A10257" s="3">
        <f>IFERROR(__xludf.DUMMYFUNCTION("""COMPUTED_VALUE"""),44075.66666666667)</f>
        <v>44075.66667</v>
      </c>
      <c r="B10257" s="2">
        <f>IFERROR(__xludf.DUMMYFUNCTION("""COMPUTED_VALUE"""),117.34)</f>
        <v>117.34</v>
      </c>
      <c r="C10257" s="2">
        <f>IFERROR(__xludf.DUMMYFUNCTION("""COMPUTED_VALUE"""),118.39)</f>
        <v>118.39</v>
      </c>
      <c r="D10257" s="2">
        <f>IFERROR(__xludf.DUMMYFUNCTION("""COMPUTED_VALUE"""),116.67)</f>
        <v>116.67</v>
      </c>
      <c r="E10257" s="2">
        <f>IFERROR(__xludf.DUMMYFUNCTION("""COMPUTED_VALUE"""),117.87)</f>
        <v>117.87</v>
      </c>
      <c r="F10257" s="2">
        <f>IFERROR(__xludf.DUMMYFUNCTION("""COMPUTED_VALUE"""),3155623.0)</f>
        <v>3155623</v>
      </c>
    </row>
    <row r="10258">
      <c r="A10258" s="3">
        <f>IFERROR(__xludf.DUMMYFUNCTION("""COMPUTED_VALUE"""),44076.66666666667)</f>
        <v>44076.66667</v>
      </c>
      <c r="B10258" s="2">
        <f>IFERROR(__xludf.DUMMYFUNCTION("""COMPUTED_VALUE"""),118.17)</f>
        <v>118.17</v>
      </c>
      <c r="C10258" s="2">
        <f>IFERROR(__xludf.DUMMYFUNCTION("""COMPUTED_VALUE"""),122.93)</f>
        <v>122.93</v>
      </c>
      <c r="D10258" s="2">
        <f>IFERROR(__xludf.DUMMYFUNCTION("""COMPUTED_VALUE"""),118.03)</f>
        <v>118.03</v>
      </c>
      <c r="E10258" s="2">
        <f>IFERROR(__xludf.DUMMYFUNCTION("""COMPUTED_VALUE"""),122.43)</f>
        <v>122.43</v>
      </c>
      <c r="F10258" s="2">
        <f>IFERROR(__xludf.DUMMYFUNCTION("""COMPUTED_VALUE"""),6592430.0)</f>
        <v>6592430</v>
      </c>
    </row>
    <row r="10259">
      <c r="A10259" s="3">
        <f>IFERROR(__xludf.DUMMYFUNCTION("""COMPUTED_VALUE"""),44077.66666666667)</f>
        <v>44077.66667</v>
      </c>
      <c r="B10259" s="2">
        <f>IFERROR(__xludf.DUMMYFUNCTION("""COMPUTED_VALUE"""),122.44)</f>
        <v>122.44</v>
      </c>
      <c r="C10259" s="2">
        <f>IFERROR(__xludf.DUMMYFUNCTION("""COMPUTED_VALUE"""),124.12)</f>
        <v>124.12</v>
      </c>
      <c r="D10259" s="2">
        <f>IFERROR(__xludf.DUMMYFUNCTION("""COMPUTED_VALUE"""),118.11)</f>
        <v>118.11</v>
      </c>
      <c r="E10259" s="2">
        <f>IFERROR(__xludf.DUMMYFUNCTION("""COMPUTED_VALUE"""),118.87)</f>
        <v>118.87</v>
      </c>
      <c r="F10259" s="2">
        <f>IFERROR(__xludf.DUMMYFUNCTION("""COMPUTED_VALUE"""),5716750.0)</f>
        <v>5716750</v>
      </c>
    </row>
    <row r="10260">
      <c r="A10260" s="3">
        <f>IFERROR(__xludf.DUMMYFUNCTION("""COMPUTED_VALUE"""),44078.66666666667)</f>
        <v>44078.66667</v>
      </c>
      <c r="B10260" s="2">
        <f>IFERROR(__xludf.DUMMYFUNCTION("""COMPUTED_VALUE"""),118.77)</f>
        <v>118.77</v>
      </c>
      <c r="C10260" s="2">
        <f>IFERROR(__xludf.DUMMYFUNCTION("""COMPUTED_VALUE"""),119.73)</f>
        <v>119.73</v>
      </c>
      <c r="D10260" s="2">
        <f>IFERROR(__xludf.DUMMYFUNCTION("""COMPUTED_VALUE"""),115.8)</f>
        <v>115.8</v>
      </c>
      <c r="E10260" s="2">
        <f>IFERROR(__xludf.DUMMYFUNCTION("""COMPUTED_VALUE"""),116.82)</f>
        <v>116.82</v>
      </c>
      <c r="F10260" s="2">
        <f>IFERROR(__xludf.DUMMYFUNCTION("""COMPUTED_VALUE"""),6018238.0)</f>
        <v>6018238</v>
      </c>
    </row>
    <row r="10261">
      <c r="A10261" s="3">
        <f>IFERROR(__xludf.DUMMYFUNCTION("""COMPUTED_VALUE"""),44082.66666666667)</f>
        <v>44082.66667</v>
      </c>
      <c r="B10261" s="2">
        <f>IFERROR(__xludf.DUMMYFUNCTION("""COMPUTED_VALUE"""),116.68)</f>
        <v>116.68</v>
      </c>
      <c r="C10261" s="2">
        <f>IFERROR(__xludf.DUMMYFUNCTION("""COMPUTED_VALUE"""),117.36)</f>
        <v>117.36</v>
      </c>
      <c r="D10261" s="2">
        <f>IFERROR(__xludf.DUMMYFUNCTION("""COMPUTED_VALUE"""),115.3)</f>
        <v>115.3</v>
      </c>
      <c r="E10261" s="2">
        <f>IFERROR(__xludf.DUMMYFUNCTION("""COMPUTED_VALUE"""),115.78)</f>
        <v>115.78</v>
      </c>
      <c r="F10261" s="2">
        <f>IFERROR(__xludf.DUMMYFUNCTION("""COMPUTED_VALUE"""),5210292.0)</f>
        <v>5210292</v>
      </c>
    </row>
    <row r="10262">
      <c r="A10262" s="3">
        <f>IFERROR(__xludf.DUMMYFUNCTION("""COMPUTED_VALUE"""),44083.66666666667)</f>
        <v>44083.66667</v>
      </c>
      <c r="B10262" s="2">
        <f>IFERROR(__xludf.DUMMYFUNCTION("""COMPUTED_VALUE"""),116.65)</f>
        <v>116.65</v>
      </c>
      <c r="C10262" s="2">
        <f>IFERROR(__xludf.DUMMYFUNCTION("""COMPUTED_VALUE"""),118.15)</f>
        <v>118.15</v>
      </c>
      <c r="D10262" s="2">
        <f>IFERROR(__xludf.DUMMYFUNCTION("""COMPUTED_VALUE"""),115.85)</f>
        <v>115.85</v>
      </c>
      <c r="E10262" s="2">
        <f>IFERROR(__xludf.DUMMYFUNCTION("""COMPUTED_VALUE"""),116.78)</f>
        <v>116.78</v>
      </c>
      <c r="F10262" s="2">
        <f>IFERROR(__xludf.DUMMYFUNCTION("""COMPUTED_VALUE"""),3770678.0)</f>
        <v>3770678</v>
      </c>
    </row>
    <row r="10263">
      <c r="A10263" s="3">
        <f>IFERROR(__xludf.DUMMYFUNCTION("""COMPUTED_VALUE"""),44084.66666666667)</f>
        <v>44084.66667</v>
      </c>
      <c r="B10263" s="2">
        <f>IFERROR(__xludf.DUMMYFUNCTION("""COMPUTED_VALUE"""),117.04)</f>
        <v>117.04</v>
      </c>
      <c r="C10263" s="2">
        <f>IFERROR(__xludf.DUMMYFUNCTION("""COMPUTED_VALUE"""),118.04)</f>
        <v>118.04</v>
      </c>
      <c r="D10263" s="2">
        <f>IFERROR(__xludf.DUMMYFUNCTION("""COMPUTED_VALUE"""),114.85)</f>
        <v>114.85</v>
      </c>
      <c r="E10263" s="2">
        <f>IFERROR(__xludf.DUMMYFUNCTION("""COMPUTED_VALUE"""),115.15)</f>
        <v>115.15</v>
      </c>
      <c r="F10263" s="2">
        <f>IFERROR(__xludf.DUMMYFUNCTION("""COMPUTED_VALUE"""),3978805.0)</f>
        <v>3978805</v>
      </c>
    </row>
    <row r="10264">
      <c r="A10264" s="3">
        <f>IFERROR(__xludf.DUMMYFUNCTION("""COMPUTED_VALUE"""),44085.66666666667)</f>
        <v>44085.66667</v>
      </c>
      <c r="B10264" s="2">
        <f>IFERROR(__xludf.DUMMYFUNCTION("""COMPUTED_VALUE"""),115.95)</f>
        <v>115.95</v>
      </c>
      <c r="C10264" s="2">
        <f>IFERROR(__xludf.DUMMYFUNCTION("""COMPUTED_VALUE"""),117.2)</f>
        <v>117.2</v>
      </c>
      <c r="D10264" s="2">
        <f>IFERROR(__xludf.DUMMYFUNCTION("""COMPUTED_VALUE"""),115.32)</f>
        <v>115.32</v>
      </c>
      <c r="E10264" s="2">
        <f>IFERROR(__xludf.DUMMYFUNCTION("""COMPUTED_VALUE"""),116.01)</f>
        <v>116.01</v>
      </c>
      <c r="F10264" s="2">
        <f>IFERROR(__xludf.DUMMYFUNCTION("""COMPUTED_VALUE"""),3548091.0)</f>
        <v>3548091</v>
      </c>
    </row>
    <row r="10265">
      <c r="A10265" s="3">
        <f>IFERROR(__xludf.DUMMYFUNCTION("""COMPUTED_VALUE"""),44088.66666666667)</f>
        <v>44088.66667</v>
      </c>
      <c r="B10265" s="2">
        <f>IFERROR(__xludf.DUMMYFUNCTION("""COMPUTED_VALUE"""),116.87)</f>
        <v>116.87</v>
      </c>
      <c r="C10265" s="2">
        <f>IFERROR(__xludf.DUMMYFUNCTION("""COMPUTED_VALUE"""),117.85)</f>
        <v>117.85</v>
      </c>
      <c r="D10265" s="2">
        <f>IFERROR(__xludf.DUMMYFUNCTION("""COMPUTED_VALUE"""),116.3)</f>
        <v>116.3</v>
      </c>
      <c r="E10265" s="2">
        <f>IFERROR(__xludf.DUMMYFUNCTION("""COMPUTED_VALUE"""),116.62)</f>
        <v>116.62</v>
      </c>
      <c r="F10265" s="2">
        <f>IFERROR(__xludf.DUMMYFUNCTION("""COMPUTED_VALUE"""),3641887.0)</f>
        <v>3641887</v>
      </c>
    </row>
    <row r="10266">
      <c r="A10266" s="3">
        <f>IFERROR(__xludf.DUMMYFUNCTION("""COMPUTED_VALUE"""),44089.66666666667)</f>
        <v>44089.66667</v>
      </c>
      <c r="B10266" s="2">
        <f>IFERROR(__xludf.DUMMYFUNCTION("""COMPUTED_VALUE"""),117.31)</f>
        <v>117.31</v>
      </c>
      <c r="C10266" s="2">
        <f>IFERROR(__xludf.DUMMYFUNCTION("""COMPUTED_VALUE"""),117.87)</f>
        <v>117.87</v>
      </c>
      <c r="D10266" s="2">
        <f>IFERROR(__xludf.DUMMYFUNCTION("""COMPUTED_VALUE"""),116.76)</f>
        <v>116.76</v>
      </c>
      <c r="E10266" s="2">
        <f>IFERROR(__xludf.DUMMYFUNCTION("""COMPUTED_VALUE"""),116.95)</f>
        <v>116.95</v>
      </c>
      <c r="F10266" s="2">
        <f>IFERROR(__xludf.DUMMYFUNCTION("""COMPUTED_VALUE"""),2915221.0)</f>
        <v>2915221</v>
      </c>
    </row>
    <row r="10267">
      <c r="A10267" s="3">
        <f>IFERROR(__xludf.DUMMYFUNCTION("""COMPUTED_VALUE"""),44090.66666666667)</f>
        <v>44090.66667</v>
      </c>
      <c r="B10267" s="2">
        <f>IFERROR(__xludf.DUMMYFUNCTION("""COMPUTED_VALUE"""),117.21)</f>
        <v>117.21</v>
      </c>
      <c r="C10267" s="2">
        <f>IFERROR(__xludf.DUMMYFUNCTION("""COMPUTED_VALUE"""),120.18)</f>
        <v>120.18</v>
      </c>
      <c r="D10267" s="2">
        <f>IFERROR(__xludf.DUMMYFUNCTION("""COMPUTED_VALUE"""),117.21)</f>
        <v>117.21</v>
      </c>
      <c r="E10267" s="2">
        <f>IFERROR(__xludf.DUMMYFUNCTION("""COMPUTED_VALUE"""),118.65)</f>
        <v>118.65</v>
      </c>
      <c r="F10267" s="2">
        <f>IFERROR(__xludf.DUMMYFUNCTION("""COMPUTED_VALUE"""),3789458.0)</f>
        <v>3789458</v>
      </c>
    </row>
    <row r="10268">
      <c r="A10268" s="3">
        <f>IFERROR(__xludf.DUMMYFUNCTION("""COMPUTED_VALUE"""),44091.66666666667)</f>
        <v>44091.66667</v>
      </c>
      <c r="B10268" s="2">
        <f>IFERROR(__xludf.DUMMYFUNCTION("""COMPUTED_VALUE"""),117.12)</f>
        <v>117.12</v>
      </c>
      <c r="C10268" s="2">
        <f>IFERROR(__xludf.DUMMYFUNCTION("""COMPUTED_VALUE"""),119.92)</f>
        <v>119.92</v>
      </c>
      <c r="D10268" s="2">
        <f>IFERROR(__xludf.DUMMYFUNCTION("""COMPUTED_VALUE"""),116.5)</f>
        <v>116.5</v>
      </c>
      <c r="E10268" s="2">
        <f>IFERROR(__xludf.DUMMYFUNCTION("""COMPUTED_VALUE"""),119.32)</f>
        <v>119.32</v>
      </c>
      <c r="F10268" s="2">
        <f>IFERROR(__xludf.DUMMYFUNCTION("""COMPUTED_VALUE"""),3171262.0)</f>
        <v>3171262</v>
      </c>
    </row>
    <row r="10269">
      <c r="A10269" s="3">
        <f>IFERROR(__xludf.DUMMYFUNCTION("""COMPUTED_VALUE"""),44092.66666666667)</f>
        <v>44092.66667</v>
      </c>
      <c r="B10269" s="2">
        <f>IFERROR(__xludf.DUMMYFUNCTION("""COMPUTED_VALUE"""),118.69)</f>
        <v>118.69</v>
      </c>
      <c r="C10269" s="2">
        <f>IFERROR(__xludf.DUMMYFUNCTION("""COMPUTED_VALUE"""),119.32)</f>
        <v>119.32</v>
      </c>
      <c r="D10269" s="2">
        <f>IFERROR(__xludf.DUMMYFUNCTION("""COMPUTED_VALUE"""),117.15)</f>
        <v>117.15</v>
      </c>
      <c r="E10269" s="2">
        <f>IFERROR(__xludf.DUMMYFUNCTION("""COMPUTED_VALUE"""),117.26)</f>
        <v>117.26</v>
      </c>
      <c r="F10269" s="2">
        <f>IFERROR(__xludf.DUMMYFUNCTION("""COMPUTED_VALUE"""),5391570.0)</f>
        <v>5391570</v>
      </c>
    </row>
    <row r="10270">
      <c r="A10270" s="3">
        <f>IFERROR(__xludf.DUMMYFUNCTION("""COMPUTED_VALUE"""),44095.66666666667)</f>
        <v>44095.66667</v>
      </c>
      <c r="B10270" s="2">
        <f>IFERROR(__xludf.DUMMYFUNCTION("""COMPUTED_VALUE"""),115.08)</f>
        <v>115.08</v>
      </c>
      <c r="C10270" s="2">
        <f>IFERROR(__xludf.DUMMYFUNCTION("""COMPUTED_VALUE"""),115.29)</f>
        <v>115.29</v>
      </c>
      <c r="D10270" s="2">
        <f>IFERROR(__xludf.DUMMYFUNCTION("""COMPUTED_VALUE"""),113.26)</f>
        <v>113.26</v>
      </c>
      <c r="E10270" s="2">
        <f>IFERROR(__xludf.DUMMYFUNCTION("""COMPUTED_VALUE"""),114.86)</f>
        <v>114.86</v>
      </c>
      <c r="F10270" s="2">
        <f>IFERROR(__xludf.DUMMYFUNCTION("""COMPUTED_VALUE"""),5311441.0)</f>
        <v>5311441</v>
      </c>
    </row>
    <row r="10271">
      <c r="A10271" s="3">
        <f>IFERROR(__xludf.DUMMYFUNCTION("""COMPUTED_VALUE"""),44096.66666666667)</f>
        <v>44096.66667</v>
      </c>
      <c r="B10271" s="2">
        <f>IFERROR(__xludf.DUMMYFUNCTION("""COMPUTED_VALUE"""),114.93)</f>
        <v>114.93</v>
      </c>
      <c r="C10271" s="2">
        <f>IFERROR(__xludf.DUMMYFUNCTION("""COMPUTED_VALUE"""),116.0)</f>
        <v>116</v>
      </c>
      <c r="D10271" s="2">
        <f>IFERROR(__xludf.DUMMYFUNCTION("""COMPUTED_VALUE"""),114.17)</f>
        <v>114.17</v>
      </c>
      <c r="E10271" s="2">
        <f>IFERROR(__xludf.DUMMYFUNCTION("""COMPUTED_VALUE"""),115.11)</f>
        <v>115.11</v>
      </c>
      <c r="F10271" s="2">
        <f>IFERROR(__xludf.DUMMYFUNCTION("""COMPUTED_VALUE"""),2957809.0)</f>
        <v>2957809</v>
      </c>
    </row>
    <row r="10272">
      <c r="A10272" s="3">
        <f>IFERROR(__xludf.DUMMYFUNCTION("""COMPUTED_VALUE"""),44097.66666666667)</f>
        <v>44097.66667</v>
      </c>
      <c r="B10272" s="2">
        <f>IFERROR(__xludf.DUMMYFUNCTION("""COMPUTED_VALUE"""),115.38)</f>
        <v>115.38</v>
      </c>
      <c r="C10272" s="2">
        <f>IFERROR(__xludf.DUMMYFUNCTION("""COMPUTED_VALUE"""),116.14)</f>
        <v>116.14</v>
      </c>
      <c r="D10272" s="2">
        <f>IFERROR(__xludf.DUMMYFUNCTION("""COMPUTED_VALUE"""),113.12)</f>
        <v>113.12</v>
      </c>
      <c r="E10272" s="2">
        <f>IFERROR(__xludf.DUMMYFUNCTION("""COMPUTED_VALUE"""),113.5)</f>
        <v>113.5</v>
      </c>
      <c r="F10272" s="2">
        <f>IFERROR(__xludf.DUMMYFUNCTION("""COMPUTED_VALUE"""),3939398.0)</f>
        <v>3939398</v>
      </c>
    </row>
    <row r="10273">
      <c r="A10273" s="3">
        <f>IFERROR(__xludf.DUMMYFUNCTION("""COMPUTED_VALUE"""),44098.66666666667)</f>
        <v>44098.66667</v>
      </c>
      <c r="B10273" s="2">
        <f>IFERROR(__xludf.DUMMYFUNCTION("""COMPUTED_VALUE"""),112.8)</f>
        <v>112.8</v>
      </c>
      <c r="C10273" s="2">
        <f>IFERROR(__xludf.DUMMYFUNCTION("""COMPUTED_VALUE"""),114.16)</f>
        <v>114.16</v>
      </c>
      <c r="D10273" s="2">
        <f>IFERROR(__xludf.DUMMYFUNCTION("""COMPUTED_VALUE"""),111.26)</f>
        <v>111.26</v>
      </c>
      <c r="E10273" s="2">
        <f>IFERROR(__xludf.DUMMYFUNCTION("""COMPUTED_VALUE"""),112.8)</f>
        <v>112.8</v>
      </c>
      <c r="F10273" s="2">
        <f>IFERROR(__xludf.DUMMYFUNCTION("""COMPUTED_VALUE"""),3546160.0)</f>
        <v>3546160</v>
      </c>
    </row>
    <row r="10274">
      <c r="A10274" s="3">
        <f>IFERROR(__xludf.DUMMYFUNCTION("""COMPUTED_VALUE"""),44099.66666666667)</f>
        <v>44099.66667</v>
      </c>
      <c r="B10274" s="2">
        <f>IFERROR(__xludf.DUMMYFUNCTION("""COMPUTED_VALUE"""),112.33)</f>
        <v>112.33</v>
      </c>
      <c r="C10274" s="2">
        <f>IFERROR(__xludf.DUMMYFUNCTION("""COMPUTED_VALUE"""),114.06)</f>
        <v>114.06</v>
      </c>
      <c r="D10274" s="2">
        <f>IFERROR(__xludf.DUMMYFUNCTION("""COMPUTED_VALUE"""),111.7)</f>
        <v>111.7</v>
      </c>
      <c r="E10274" s="2">
        <f>IFERROR(__xludf.DUMMYFUNCTION("""COMPUTED_VALUE"""),113.62)</f>
        <v>113.62</v>
      </c>
      <c r="F10274" s="2">
        <f>IFERROR(__xludf.DUMMYFUNCTION("""COMPUTED_VALUE"""),2953686.0)</f>
        <v>2953686</v>
      </c>
    </row>
    <row r="10275">
      <c r="A10275" s="3">
        <f>IFERROR(__xludf.DUMMYFUNCTION("""COMPUTED_VALUE"""),44102.66666666667)</f>
        <v>44102.66667</v>
      </c>
      <c r="B10275" s="2">
        <f>IFERROR(__xludf.DUMMYFUNCTION("""COMPUTED_VALUE"""),115.16)</f>
        <v>115.16</v>
      </c>
      <c r="C10275" s="2">
        <f>IFERROR(__xludf.DUMMYFUNCTION("""COMPUTED_VALUE"""),116.85)</f>
        <v>116.85</v>
      </c>
      <c r="D10275" s="2">
        <f>IFERROR(__xludf.DUMMYFUNCTION("""COMPUTED_VALUE"""),115.01)</f>
        <v>115.01</v>
      </c>
      <c r="E10275" s="2">
        <f>IFERROR(__xludf.DUMMYFUNCTION("""COMPUTED_VALUE"""),116.27)</f>
        <v>116.27</v>
      </c>
      <c r="F10275" s="2">
        <f>IFERROR(__xludf.DUMMYFUNCTION("""COMPUTED_VALUE"""),3509576.0)</f>
        <v>3509576</v>
      </c>
    </row>
    <row r="10276">
      <c r="A10276" s="3">
        <f>IFERROR(__xludf.DUMMYFUNCTION("""COMPUTED_VALUE"""),44103.66666666667)</f>
        <v>44103.66667</v>
      </c>
      <c r="B10276" s="2">
        <f>IFERROR(__xludf.DUMMYFUNCTION("""COMPUTED_VALUE"""),115.97)</f>
        <v>115.97</v>
      </c>
      <c r="C10276" s="2">
        <f>IFERROR(__xludf.DUMMYFUNCTION("""COMPUTED_VALUE"""),116.71)</f>
        <v>116.71</v>
      </c>
      <c r="D10276" s="2">
        <f>IFERROR(__xludf.DUMMYFUNCTION("""COMPUTED_VALUE"""),114.82)</f>
        <v>114.82</v>
      </c>
      <c r="E10276" s="2">
        <f>IFERROR(__xludf.DUMMYFUNCTION("""COMPUTED_VALUE"""),115.52)</f>
        <v>115.52</v>
      </c>
      <c r="F10276" s="2">
        <f>IFERROR(__xludf.DUMMYFUNCTION("""COMPUTED_VALUE"""),2130564.0)</f>
        <v>2130564</v>
      </c>
    </row>
    <row r="10277">
      <c r="A10277" s="3">
        <f>IFERROR(__xludf.DUMMYFUNCTION("""COMPUTED_VALUE"""),44104.66666666667)</f>
        <v>44104.66667</v>
      </c>
      <c r="B10277" s="2">
        <f>IFERROR(__xludf.DUMMYFUNCTION("""COMPUTED_VALUE"""),115.94)</f>
        <v>115.94</v>
      </c>
      <c r="C10277" s="2">
        <f>IFERROR(__xludf.DUMMYFUNCTION("""COMPUTED_VALUE"""),117.4)</f>
        <v>117.4</v>
      </c>
      <c r="D10277" s="2">
        <f>IFERROR(__xludf.DUMMYFUNCTION("""COMPUTED_VALUE"""),115.38)</f>
        <v>115.38</v>
      </c>
      <c r="E10277" s="2">
        <f>IFERROR(__xludf.DUMMYFUNCTION("""COMPUTED_VALUE"""),116.21)</f>
        <v>116.21</v>
      </c>
      <c r="F10277" s="2">
        <f>IFERROR(__xludf.DUMMYFUNCTION("""COMPUTED_VALUE"""),3261235.0)</f>
        <v>3261235</v>
      </c>
    </row>
    <row r="10278">
      <c r="A10278" s="3">
        <f>IFERROR(__xludf.DUMMYFUNCTION("""COMPUTED_VALUE"""),44105.66666666667)</f>
        <v>44105.66667</v>
      </c>
      <c r="B10278" s="2">
        <f>IFERROR(__xludf.DUMMYFUNCTION("""COMPUTED_VALUE"""),116.87)</f>
        <v>116.87</v>
      </c>
      <c r="C10278" s="2">
        <f>IFERROR(__xludf.DUMMYFUNCTION("""COMPUTED_VALUE"""),117.77)</f>
        <v>117.77</v>
      </c>
      <c r="D10278" s="2">
        <f>IFERROR(__xludf.DUMMYFUNCTION("""COMPUTED_VALUE"""),114.96)</f>
        <v>114.96</v>
      </c>
      <c r="E10278" s="2">
        <f>IFERROR(__xludf.DUMMYFUNCTION("""COMPUTED_VALUE"""),115.66)</f>
        <v>115.66</v>
      </c>
      <c r="F10278" s="2">
        <f>IFERROR(__xludf.DUMMYFUNCTION("""COMPUTED_VALUE"""),3211661.0)</f>
        <v>3211661</v>
      </c>
    </row>
    <row r="10279">
      <c r="A10279" s="3">
        <f>IFERROR(__xludf.DUMMYFUNCTION("""COMPUTED_VALUE"""),44106.66666666667)</f>
        <v>44106.66667</v>
      </c>
      <c r="B10279" s="2">
        <f>IFERROR(__xludf.DUMMYFUNCTION("""COMPUTED_VALUE"""),113.7)</f>
        <v>113.7</v>
      </c>
      <c r="C10279" s="2">
        <f>IFERROR(__xludf.DUMMYFUNCTION("""COMPUTED_VALUE"""),116.29)</f>
        <v>116.29</v>
      </c>
      <c r="D10279" s="2">
        <f>IFERROR(__xludf.DUMMYFUNCTION("""COMPUTED_VALUE"""),113.49)</f>
        <v>113.49</v>
      </c>
      <c r="E10279" s="2">
        <f>IFERROR(__xludf.DUMMYFUNCTION("""COMPUTED_VALUE"""),115.16)</f>
        <v>115.16</v>
      </c>
      <c r="F10279" s="2">
        <f>IFERROR(__xludf.DUMMYFUNCTION("""COMPUTED_VALUE"""),2925228.0)</f>
        <v>2925228</v>
      </c>
    </row>
    <row r="10280">
      <c r="A10280" s="3">
        <f>IFERROR(__xludf.DUMMYFUNCTION("""COMPUTED_VALUE"""),44109.66666666667)</f>
        <v>44109.66667</v>
      </c>
      <c r="B10280" s="2">
        <f>IFERROR(__xludf.DUMMYFUNCTION("""COMPUTED_VALUE"""),116.38)</f>
        <v>116.38</v>
      </c>
      <c r="C10280" s="2">
        <f>IFERROR(__xludf.DUMMYFUNCTION("""COMPUTED_VALUE"""),117.25)</f>
        <v>117.25</v>
      </c>
      <c r="D10280" s="2">
        <f>IFERROR(__xludf.DUMMYFUNCTION("""COMPUTED_VALUE"""),115.62)</f>
        <v>115.62</v>
      </c>
      <c r="E10280" s="2">
        <f>IFERROR(__xludf.DUMMYFUNCTION("""COMPUTED_VALUE"""),116.54)</f>
        <v>116.54</v>
      </c>
      <c r="F10280" s="2">
        <f>IFERROR(__xludf.DUMMYFUNCTION("""COMPUTED_VALUE"""),3050949.0)</f>
        <v>3050949</v>
      </c>
    </row>
    <row r="10281">
      <c r="A10281" s="3">
        <f>IFERROR(__xludf.DUMMYFUNCTION("""COMPUTED_VALUE"""),44110.66666666667)</f>
        <v>44110.66667</v>
      </c>
      <c r="B10281" s="2">
        <f>IFERROR(__xludf.DUMMYFUNCTION("""COMPUTED_VALUE"""),117.08)</f>
        <v>117.08</v>
      </c>
      <c r="C10281" s="2">
        <f>IFERROR(__xludf.DUMMYFUNCTION("""COMPUTED_VALUE"""),119.23)</f>
        <v>119.23</v>
      </c>
      <c r="D10281" s="2">
        <f>IFERROR(__xludf.DUMMYFUNCTION("""COMPUTED_VALUE"""),116.14)</f>
        <v>116.14</v>
      </c>
      <c r="E10281" s="2">
        <f>IFERROR(__xludf.DUMMYFUNCTION("""COMPUTED_VALUE"""),116.5)</f>
        <v>116.5</v>
      </c>
      <c r="F10281" s="2">
        <f>IFERROR(__xludf.DUMMYFUNCTION("""COMPUTED_VALUE"""),3872265.0)</f>
        <v>3872265</v>
      </c>
    </row>
    <row r="10282">
      <c r="A10282" s="3">
        <f>IFERROR(__xludf.DUMMYFUNCTION("""COMPUTED_VALUE"""),44111.66666666667)</f>
        <v>44111.66667</v>
      </c>
      <c r="B10282" s="2">
        <f>IFERROR(__xludf.DUMMYFUNCTION("""COMPUTED_VALUE"""),117.17)</f>
        <v>117.17</v>
      </c>
      <c r="C10282" s="2">
        <f>IFERROR(__xludf.DUMMYFUNCTION("""COMPUTED_VALUE"""),118.81)</f>
        <v>118.81</v>
      </c>
      <c r="D10282" s="2">
        <f>IFERROR(__xludf.DUMMYFUNCTION("""COMPUTED_VALUE"""),116.84)</f>
        <v>116.84</v>
      </c>
      <c r="E10282" s="2">
        <f>IFERROR(__xludf.DUMMYFUNCTION("""COMPUTED_VALUE"""),118.51)</f>
        <v>118.51</v>
      </c>
      <c r="F10282" s="2">
        <f>IFERROR(__xludf.DUMMYFUNCTION("""COMPUTED_VALUE"""),2815663.0)</f>
        <v>2815663</v>
      </c>
    </row>
    <row r="10283">
      <c r="A10283" s="3">
        <f>IFERROR(__xludf.DUMMYFUNCTION("""COMPUTED_VALUE"""),44112.66666666667)</f>
        <v>44112.66667</v>
      </c>
      <c r="B10283" s="2">
        <f>IFERROR(__xludf.DUMMYFUNCTION("""COMPUTED_VALUE"""),124.99)</f>
        <v>124.99</v>
      </c>
      <c r="C10283" s="2">
        <f>IFERROR(__xludf.DUMMYFUNCTION("""COMPUTED_VALUE"""),129.42)</f>
        <v>129.42</v>
      </c>
      <c r="D10283" s="2">
        <f>IFERROR(__xludf.DUMMYFUNCTION("""COMPUTED_VALUE"""),123.95)</f>
        <v>123.95</v>
      </c>
      <c r="E10283" s="2">
        <f>IFERROR(__xludf.DUMMYFUNCTION("""COMPUTED_VALUE"""),125.59)</f>
        <v>125.59</v>
      </c>
      <c r="F10283" s="2">
        <f>IFERROR(__xludf.DUMMYFUNCTION("""COMPUTED_VALUE"""),2.5288926E7)</f>
        <v>25288926</v>
      </c>
    </row>
    <row r="10284">
      <c r="A10284" s="3">
        <f>IFERROR(__xludf.DUMMYFUNCTION("""COMPUTED_VALUE"""),44113.66666666667)</f>
        <v>44113.66667</v>
      </c>
      <c r="B10284" s="2">
        <f>IFERROR(__xludf.DUMMYFUNCTION("""COMPUTED_VALUE"""),126.08)</f>
        <v>126.08</v>
      </c>
      <c r="C10284" s="2">
        <f>IFERROR(__xludf.DUMMYFUNCTION("""COMPUTED_VALUE"""),126.08)</f>
        <v>126.08</v>
      </c>
      <c r="D10284" s="2">
        <f>IFERROR(__xludf.DUMMYFUNCTION("""COMPUTED_VALUE"""),121.88)</f>
        <v>121.88</v>
      </c>
      <c r="E10284" s="2">
        <f>IFERROR(__xludf.DUMMYFUNCTION("""COMPUTED_VALUE"""),122.06)</f>
        <v>122.06</v>
      </c>
      <c r="F10284" s="2">
        <f>IFERROR(__xludf.DUMMYFUNCTION("""COMPUTED_VALUE"""),8353704.0)</f>
        <v>8353704</v>
      </c>
    </row>
    <row r="10285">
      <c r="A10285" s="3">
        <f>IFERROR(__xludf.DUMMYFUNCTION("""COMPUTED_VALUE"""),44116.66666666667)</f>
        <v>44116.66667</v>
      </c>
      <c r="B10285" s="2">
        <f>IFERROR(__xludf.DUMMYFUNCTION("""COMPUTED_VALUE"""),122.33)</f>
        <v>122.33</v>
      </c>
      <c r="C10285" s="2">
        <f>IFERROR(__xludf.DUMMYFUNCTION("""COMPUTED_VALUE"""),122.5)</f>
        <v>122.5</v>
      </c>
      <c r="D10285" s="2">
        <f>IFERROR(__xludf.DUMMYFUNCTION("""COMPUTED_VALUE"""),120.77)</f>
        <v>120.77</v>
      </c>
      <c r="E10285" s="2">
        <f>IFERROR(__xludf.DUMMYFUNCTION("""COMPUTED_VALUE"""),121.51)</f>
        <v>121.51</v>
      </c>
      <c r="F10285" s="2">
        <f>IFERROR(__xludf.DUMMYFUNCTION("""COMPUTED_VALUE"""),4635115.0)</f>
        <v>4635115</v>
      </c>
    </row>
    <row r="10286">
      <c r="A10286" s="3">
        <f>IFERROR(__xludf.DUMMYFUNCTION("""COMPUTED_VALUE"""),44117.66666666667)</f>
        <v>44117.66667</v>
      </c>
      <c r="B10286" s="2">
        <f>IFERROR(__xludf.DUMMYFUNCTION("""COMPUTED_VALUE"""),120.9)</f>
        <v>120.9</v>
      </c>
      <c r="C10286" s="2">
        <f>IFERROR(__xludf.DUMMYFUNCTION("""COMPUTED_VALUE"""),121.45)</f>
        <v>121.45</v>
      </c>
      <c r="D10286" s="2">
        <f>IFERROR(__xludf.DUMMYFUNCTION("""COMPUTED_VALUE"""),118.88)</f>
        <v>118.88</v>
      </c>
      <c r="E10286" s="2">
        <f>IFERROR(__xludf.DUMMYFUNCTION("""COMPUTED_VALUE"""),119.49)</f>
        <v>119.49</v>
      </c>
      <c r="F10286" s="2">
        <f>IFERROR(__xludf.DUMMYFUNCTION("""COMPUTED_VALUE"""),5406088.0)</f>
        <v>5406088</v>
      </c>
    </row>
    <row r="10287">
      <c r="A10287" s="3">
        <f>IFERROR(__xludf.DUMMYFUNCTION("""COMPUTED_VALUE"""),44118.66666666667)</f>
        <v>44118.66667</v>
      </c>
      <c r="B10287" s="2">
        <f>IFERROR(__xludf.DUMMYFUNCTION("""COMPUTED_VALUE"""),119.52)</f>
        <v>119.52</v>
      </c>
      <c r="C10287" s="2">
        <f>IFERROR(__xludf.DUMMYFUNCTION("""COMPUTED_VALUE"""),121.25)</f>
        <v>121.25</v>
      </c>
      <c r="D10287" s="2">
        <f>IFERROR(__xludf.DUMMYFUNCTION("""COMPUTED_VALUE"""),119.52)</f>
        <v>119.52</v>
      </c>
      <c r="E10287" s="2">
        <f>IFERROR(__xludf.DUMMYFUNCTION("""COMPUTED_VALUE"""),120.29)</f>
        <v>120.29</v>
      </c>
      <c r="F10287" s="2">
        <f>IFERROR(__xludf.DUMMYFUNCTION("""COMPUTED_VALUE"""),3730139.0)</f>
        <v>3730139</v>
      </c>
    </row>
    <row r="10288">
      <c r="A10288" s="3">
        <f>IFERROR(__xludf.DUMMYFUNCTION("""COMPUTED_VALUE"""),44119.66666666667)</f>
        <v>44119.66667</v>
      </c>
      <c r="B10288" s="2">
        <f>IFERROR(__xludf.DUMMYFUNCTION("""COMPUTED_VALUE"""),118.52)</f>
        <v>118.52</v>
      </c>
      <c r="C10288" s="2">
        <f>IFERROR(__xludf.DUMMYFUNCTION("""COMPUTED_VALUE"""),119.6)</f>
        <v>119.6</v>
      </c>
      <c r="D10288" s="2">
        <f>IFERROR(__xludf.DUMMYFUNCTION("""COMPUTED_VALUE"""),118.3)</f>
        <v>118.3</v>
      </c>
      <c r="E10288" s="2">
        <f>IFERROR(__xludf.DUMMYFUNCTION("""COMPUTED_VALUE"""),119.29)</f>
        <v>119.29</v>
      </c>
      <c r="F10288" s="2">
        <f>IFERROR(__xludf.DUMMYFUNCTION("""COMPUTED_VALUE"""),3389301.0)</f>
        <v>3389301</v>
      </c>
    </row>
    <row r="10289">
      <c r="A10289" s="3">
        <f>IFERROR(__xludf.DUMMYFUNCTION("""COMPUTED_VALUE"""),44120.66666666667)</f>
        <v>44120.66667</v>
      </c>
      <c r="B10289" s="2">
        <f>IFERROR(__xludf.DUMMYFUNCTION("""COMPUTED_VALUE"""),119.56)</f>
        <v>119.56</v>
      </c>
      <c r="C10289" s="2">
        <f>IFERROR(__xludf.DUMMYFUNCTION("""COMPUTED_VALUE"""),120.76)</f>
        <v>120.76</v>
      </c>
      <c r="D10289" s="2">
        <f>IFERROR(__xludf.DUMMYFUNCTION("""COMPUTED_VALUE"""),119.07)</f>
        <v>119.07</v>
      </c>
      <c r="E10289" s="2">
        <f>IFERROR(__xludf.DUMMYFUNCTION("""COMPUTED_VALUE"""),120.28)</f>
        <v>120.28</v>
      </c>
      <c r="F10289" s="2">
        <f>IFERROR(__xludf.DUMMYFUNCTION("""COMPUTED_VALUE"""),4714320.0)</f>
        <v>4714320</v>
      </c>
    </row>
    <row r="10290">
      <c r="A10290" s="3">
        <f>IFERROR(__xludf.DUMMYFUNCTION("""COMPUTED_VALUE"""),44123.66666666667)</f>
        <v>44123.66667</v>
      </c>
      <c r="B10290" s="2">
        <f>IFERROR(__xludf.DUMMYFUNCTION("""COMPUTED_VALUE"""),121.11)</f>
        <v>121.11</v>
      </c>
      <c r="C10290" s="2">
        <f>IFERROR(__xludf.DUMMYFUNCTION("""COMPUTED_VALUE"""),121.64)</f>
        <v>121.64</v>
      </c>
      <c r="D10290" s="2">
        <f>IFERROR(__xludf.DUMMYFUNCTION("""COMPUTED_VALUE"""),119.47)</f>
        <v>119.47</v>
      </c>
      <c r="E10290" s="2">
        <f>IFERROR(__xludf.DUMMYFUNCTION("""COMPUTED_VALUE"""),119.89)</f>
        <v>119.89</v>
      </c>
      <c r="F10290" s="2">
        <f>IFERROR(__xludf.DUMMYFUNCTION("""COMPUTED_VALUE"""),7478735.0)</f>
        <v>7478735</v>
      </c>
    </row>
    <row r="10291">
      <c r="A10291" s="3">
        <f>IFERROR(__xludf.DUMMYFUNCTION("""COMPUTED_VALUE"""),44124.66666666667)</f>
        <v>44124.66667</v>
      </c>
      <c r="B10291" s="2">
        <f>IFERROR(__xludf.DUMMYFUNCTION("""COMPUTED_VALUE"""),114.43)</f>
        <v>114.43</v>
      </c>
      <c r="C10291" s="2">
        <f>IFERROR(__xludf.DUMMYFUNCTION("""COMPUTED_VALUE"""),114.76)</f>
        <v>114.76</v>
      </c>
      <c r="D10291" s="2">
        <f>IFERROR(__xludf.DUMMYFUNCTION("""COMPUTED_VALUE"""),111.6)</f>
        <v>111.6</v>
      </c>
      <c r="E10291" s="2">
        <f>IFERROR(__xludf.DUMMYFUNCTION("""COMPUTED_VALUE"""),112.11)</f>
        <v>112.11</v>
      </c>
      <c r="F10291" s="2">
        <f>IFERROR(__xludf.DUMMYFUNCTION("""COMPUTED_VALUE"""),2.1501073E7)</f>
        <v>21501073</v>
      </c>
    </row>
    <row r="10292">
      <c r="A10292" s="3">
        <f>IFERROR(__xludf.DUMMYFUNCTION("""COMPUTED_VALUE"""),44125.66666666667)</f>
        <v>44125.66667</v>
      </c>
      <c r="B10292" s="2">
        <f>IFERROR(__xludf.DUMMYFUNCTION("""COMPUTED_VALUE"""),111.43)</f>
        <v>111.43</v>
      </c>
      <c r="C10292" s="2">
        <f>IFERROR(__xludf.DUMMYFUNCTION("""COMPUTED_VALUE"""),112.41)</f>
        <v>112.41</v>
      </c>
      <c r="D10292" s="2">
        <f>IFERROR(__xludf.DUMMYFUNCTION("""COMPUTED_VALUE"""),109.64)</f>
        <v>109.64</v>
      </c>
      <c r="E10292" s="2">
        <f>IFERROR(__xludf.DUMMYFUNCTION("""COMPUTED_VALUE"""),109.9)</f>
        <v>109.9</v>
      </c>
      <c r="F10292" s="2">
        <f>IFERROR(__xludf.DUMMYFUNCTION("""COMPUTED_VALUE"""),9755308.0)</f>
        <v>9755308</v>
      </c>
    </row>
    <row r="10293">
      <c r="A10293" s="3">
        <f>IFERROR(__xludf.DUMMYFUNCTION("""COMPUTED_VALUE"""),44126.66666666667)</f>
        <v>44126.66667</v>
      </c>
      <c r="B10293" s="2">
        <f>IFERROR(__xludf.DUMMYFUNCTION("""COMPUTED_VALUE"""),109.84)</f>
        <v>109.84</v>
      </c>
      <c r="C10293" s="2">
        <f>IFERROR(__xludf.DUMMYFUNCTION("""COMPUTED_VALUE"""),110.86)</f>
        <v>110.86</v>
      </c>
      <c r="D10293" s="2">
        <f>IFERROR(__xludf.DUMMYFUNCTION("""COMPUTED_VALUE"""),107.91)</f>
        <v>107.91</v>
      </c>
      <c r="E10293" s="2">
        <f>IFERROR(__xludf.DUMMYFUNCTION("""COMPUTED_VALUE"""),110.57)</f>
        <v>110.57</v>
      </c>
      <c r="F10293" s="2">
        <f>IFERROR(__xludf.DUMMYFUNCTION("""COMPUTED_VALUE"""),7858158.0)</f>
        <v>7858158</v>
      </c>
    </row>
    <row r="10294">
      <c r="A10294" s="3">
        <f>IFERROR(__xludf.DUMMYFUNCTION("""COMPUTED_VALUE"""),44127.66666666667)</f>
        <v>44127.66667</v>
      </c>
      <c r="B10294" s="2">
        <f>IFERROR(__xludf.DUMMYFUNCTION("""COMPUTED_VALUE"""),111.28)</f>
        <v>111.28</v>
      </c>
      <c r="C10294" s="2">
        <f>IFERROR(__xludf.DUMMYFUNCTION("""COMPUTED_VALUE"""),111.39)</f>
        <v>111.39</v>
      </c>
      <c r="D10294" s="2">
        <f>IFERROR(__xludf.DUMMYFUNCTION("""COMPUTED_VALUE"""),110.35)</f>
        <v>110.35</v>
      </c>
      <c r="E10294" s="2">
        <f>IFERROR(__xludf.DUMMYFUNCTION("""COMPUTED_VALUE"""),110.8)</f>
        <v>110.8</v>
      </c>
      <c r="F10294" s="2">
        <f>IFERROR(__xludf.DUMMYFUNCTION("""COMPUTED_VALUE"""),3893362.0)</f>
        <v>3893362</v>
      </c>
    </row>
    <row r="10295">
      <c r="A10295" s="3">
        <f>IFERROR(__xludf.DUMMYFUNCTION("""COMPUTED_VALUE"""),44130.66666666667)</f>
        <v>44130.66667</v>
      </c>
      <c r="B10295" s="2">
        <f>IFERROR(__xludf.DUMMYFUNCTION("""COMPUTED_VALUE"""),109.32)</f>
        <v>109.32</v>
      </c>
      <c r="C10295" s="2">
        <f>IFERROR(__xludf.DUMMYFUNCTION("""COMPUTED_VALUE"""),109.75)</f>
        <v>109.75</v>
      </c>
      <c r="D10295" s="2">
        <f>IFERROR(__xludf.DUMMYFUNCTION("""COMPUTED_VALUE"""),106.83)</f>
        <v>106.83</v>
      </c>
      <c r="E10295" s="2">
        <f>IFERROR(__xludf.DUMMYFUNCTION("""COMPUTED_VALUE"""),107.19)</f>
        <v>107.19</v>
      </c>
      <c r="F10295" s="2">
        <f>IFERROR(__xludf.DUMMYFUNCTION("""COMPUTED_VALUE"""),7203366.0)</f>
        <v>7203366</v>
      </c>
    </row>
    <row r="10296">
      <c r="A10296" s="3">
        <f>IFERROR(__xludf.DUMMYFUNCTION("""COMPUTED_VALUE"""),44131.66666666667)</f>
        <v>44131.66667</v>
      </c>
      <c r="B10296" s="2">
        <f>IFERROR(__xludf.DUMMYFUNCTION("""COMPUTED_VALUE"""),107.12)</f>
        <v>107.12</v>
      </c>
      <c r="C10296" s="2">
        <f>IFERROR(__xludf.DUMMYFUNCTION("""COMPUTED_VALUE"""),107.19)</f>
        <v>107.19</v>
      </c>
      <c r="D10296" s="2">
        <f>IFERROR(__xludf.DUMMYFUNCTION("""COMPUTED_VALUE"""),105.1)</f>
        <v>105.1</v>
      </c>
      <c r="E10296" s="2">
        <f>IFERROR(__xludf.DUMMYFUNCTION("""COMPUTED_VALUE"""),105.6)</f>
        <v>105.6</v>
      </c>
      <c r="F10296" s="2">
        <f>IFERROR(__xludf.DUMMYFUNCTION("""COMPUTED_VALUE"""),5936106.0)</f>
        <v>5936106</v>
      </c>
    </row>
    <row r="10297">
      <c r="A10297" s="3">
        <f>IFERROR(__xludf.DUMMYFUNCTION("""COMPUTED_VALUE"""),44132.66666666667)</f>
        <v>44132.66667</v>
      </c>
      <c r="B10297" s="2">
        <f>IFERROR(__xludf.DUMMYFUNCTION("""COMPUTED_VALUE"""),103.79)</f>
        <v>103.79</v>
      </c>
      <c r="C10297" s="2">
        <f>IFERROR(__xludf.DUMMYFUNCTION("""COMPUTED_VALUE"""),104.81)</f>
        <v>104.81</v>
      </c>
      <c r="D10297" s="2">
        <f>IFERROR(__xludf.DUMMYFUNCTION("""COMPUTED_VALUE"""),101.17)</f>
        <v>101.17</v>
      </c>
      <c r="E10297" s="2">
        <f>IFERROR(__xludf.DUMMYFUNCTION("""COMPUTED_VALUE"""),101.87)</f>
        <v>101.87</v>
      </c>
      <c r="F10297" s="2">
        <f>IFERROR(__xludf.DUMMYFUNCTION("""COMPUTED_VALUE"""),9427321.0)</f>
        <v>9427321</v>
      </c>
    </row>
    <row r="10298">
      <c r="A10298" s="3">
        <f>IFERROR(__xludf.DUMMYFUNCTION("""COMPUTED_VALUE"""),44133.66666666667)</f>
        <v>44133.66667</v>
      </c>
      <c r="B10298" s="2">
        <f>IFERROR(__xludf.DUMMYFUNCTION("""COMPUTED_VALUE"""),102.44)</f>
        <v>102.44</v>
      </c>
      <c r="C10298" s="2">
        <f>IFERROR(__xludf.DUMMYFUNCTION("""COMPUTED_VALUE"""),104.72)</f>
        <v>104.72</v>
      </c>
      <c r="D10298" s="2">
        <f>IFERROR(__xludf.DUMMYFUNCTION("""COMPUTED_VALUE"""),101.77)</f>
        <v>101.77</v>
      </c>
      <c r="E10298" s="2">
        <f>IFERROR(__xludf.DUMMYFUNCTION("""COMPUTED_VALUE"""),104.03)</f>
        <v>104.03</v>
      </c>
      <c r="F10298" s="2">
        <f>IFERROR(__xludf.DUMMYFUNCTION("""COMPUTED_VALUE"""),6760241.0)</f>
        <v>6760241</v>
      </c>
    </row>
    <row r="10299">
      <c r="A10299" s="3">
        <f>IFERROR(__xludf.DUMMYFUNCTION("""COMPUTED_VALUE"""),44134.66666666667)</f>
        <v>44134.66667</v>
      </c>
      <c r="B10299" s="2">
        <f>IFERROR(__xludf.DUMMYFUNCTION("""COMPUTED_VALUE"""),103.06)</f>
        <v>103.06</v>
      </c>
      <c r="C10299" s="2">
        <f>IFERROR(__xludf.DUMMYFUNCTION("""COMPUTED_VALUE"""),106.79)</f>
        <v>106.79</v>
      </c>
      <c r="D10299" s="2">
        <f>IFERROR(__xludf.DUMMYFUNCTION("""COMPUTED_VALUE"""),102.92)</f>
        <v>102.92</v>
      </c>
      <c r="E10299" s="2">
        <f>IFERROR(__xludf.DUMMYFUNCTION("""COMPUTED_VALUE"""),106.65)</f>
        <v>106.65</v>
      </c>
      <c r="F10299" s="2">
        <f>IFERROR(__xludf.DUMMYFUNCTION("""COMPUTED_VALUE"""),7923882.0)</f>
        <v>7923882</v>
      </c>
    </row>
    <row r="10300">
      <c r="A10300" s="3">
        <f>IFERROR(__xludf.DUMMYFUNCTION("""COMPUTED_VALUE"""),44137.66666666667)</f>
        <v>44137.66667</v>
      </c>
      <c r="B10300" s="2">
        <f>IFERROR(__xludf.DUMMYFUNCTION("""COMPUTED_VALUE"""),107.6)</f>
        <v>107.6</v>
      </c>
      <c r="C10300" s="2">
        <f>IFERROR(__xludf.DUMMYFUNCTION("""COMPUTED_VALUE"""),108.72)</f>
        <v>108.72</v>
      </c>
      <c r="D10300" s="2">
        <f>IFERROR(__xludf.DUMMYFUNCTION("""COMPUTED_VALUE"""),107.22)</f>
        <v>107.22</v>
      </c>
      <c r="E10300" s="2">
        <f>IFERROR(__xludf.DUMMYFUNCTION("""COMPUTED_VALUE"""),107.85)</f>
        <v>107.85</v>
      </c>
      <c r="F10300" s="2">
        <f>IFERROR(__xludf.DUMMYFUNCTION("""COMPUTED_VALUE"""),5311497.0)</f>
        <v>5311497</v>
      </c>
    </row>
    <row r="10301">
      <c r="A10301" s="3">
        <f>IFERROR(__xludf.DUMMYFUNCTION("""COMPUTED_VALUE"""),44138.66666666667)</f>
        <v>44138.66667</v>
      </c>
      <c r="B10301" s="2">
        <f>IFERROR(__xludf.DUMMYFUNCTION("""COMPUTED_VALUE"""),108.89)</f>
        <v>108.89</v>
      </c>
      <c r="C10301" s="2">
        <f>IFERROR(__xludf.DUMMYFUNCTION("""COMPUTED_VALUE"""),110.46)</f>
        <v>110.46</v>
      </c>
      <c r="D10301" s="2">
        <f>IFERROR(__xludf.DUMMYFUNCTION("""COMPUTED_VALUE"""),108.54)</f>
        <v>108.54</v>
      </c>
      <c r="E10301" s="2">
        <f>IFERROR(__xludf.DUMMYFUNCTION("""COMPUTED_VALUE"""),109.04)</f>
        <v>109.04</v>
      </c>
      <c r="F10301" s="2">
        <f>IFERROR(__xludf.DUMMYFUNCTION("""COMPUTED_VALUE"""),4204287.0)</f>
        <v>4204287</v>
      </c>
    </row>
    <row r="10302">
      <c r="A10302" s="3">
        <f>IFERROR(__xludf.DUMMYFUNCTION("""COMPUTED_VALUE"""),44139.66666666667)</f>
        <v>44139.66667</v>
      </c>
      <c r="B10302" s="2">
        <f>IFERROR(__xludf.DUMMYFUNCTION("""COMPUTED_VALUE"""),107.29)</f>
        <v>107.29</v>
      </c>
      <c r="C10302" s="2">
        <f>IFERROR(__xludf.DUMMYFUNCTION("""COMPUTED_VALUE"""),108.8)</f>
        <v>108.8</v>
      </c>
      <c r="D10302" s="2">
        <f>IFERROR(__xludf.DUMMYFUNCTION("""COMPUTED_VALUE"""),106.18)</f>
        <v>106.18</v>
      </c>
      <c r="E10302" s="2">
        <f>IFERROR(__xludf.DUMMYFUNCTION("""COMPUTED_VALUE"""),106.88)</f>
        <v>106.88</v>
      </c>
      <c r="F10302" s="2">
        <f>IFERROR(__xludf.DUMMYFUNCTION("""COMPUTED_VALUE"""),5800071.0)</f>
        <v>5800071</v>
      </c>
    </row>
    <row r="10303">
      <c r="A10303" s="3">
        <f>IFERROR(__xludf.DUMMYFUNCTION("""COMPUTED_VALUE"""),44140.66666666667)</f>
        <v>44140.66667</v>
      </c>
      <c r="B10303" s="2">
        <f>IFERROR(__xludf.DUMMYFUNCTION("""COMPUTED_VALUE"""),108.22)</f>
        <v>108.22</v>
      </c>
      <c r="C10303" s="2">
        <f>IFERROR(__xludf.DUMMYFUNCTION("""COMPUTED_VALUE"""),110.12)</f>
        <v>110.12</v>
      </c>
      <c r="D10303" s="2">
        <f>IFERROR(__xludf.DUMMYFUNCTION("""COMPUTED_VALUE"""),107.94)</f>
        <v>107.94</v>
      </c>
      <c r="E10303" s="2">
        <f>IFERROR(__xludf.DUMMYFUNCTION("""COMPUTED_VALUE"""),109.62)</f>
        <v>109.62</v>
      </c>
      <c r="F10303" s="2">
        <f>IFERROR(__xludf.DUMMYFUNCTION("""COMPUTED_VALUE"""),4902206.0)</f>
        <v>4902206</v>
      </c>
    </row>
    <row r="10304">
      <c r="A10304" s="3">
        <f>IFERROR(__xludf.DUMMYFUNCTION("""COMPUTED_VALUE"""),44141.66666666667)</f>
        <v>44141.66667</v>
      </c>
      <c r="B10304" s="2">
        <f>IFERROR(__xludf.DUMMYFUNCTION("""COMPUTED_VALUE"""),109.92)</f>
        <v>109.92</v>
      </c>
      <c r="C10304" s="2">
        <f>IFERROR(__xludf.DUMMYFUNCTION("""COMPUTED_VALUE"""),109.94)</f>
        <v>109.94</v>
      </c>
      <c r="D10304" s="2">
        <f>IFERROR(__xludf.DUMMYFUNCTION("""COMPUTED_VALUE"""),108.31)</f>
        <v>108.31</v>
      </c>
      <c r="E10304" s="2">
        <f>IFERROR(__xludf.DUMMYFUNCTION("""COMPUTED_VALUE"""),108.93)</f>
        <v>108.93</v>
      </c>
      <c r="F10304" s="2">
        <f>IFERROR(__xludf.DUMMYFUNCTION("""COMPUTED_VALUE"""),5249171.0)</f>
        <v>5249171</v>
      </c>
    </row>
    <row r="10305">
      <c r="A10305" s="3">
        <f>IFERROR(__xludf.DUMMYFUNCTION("""COMPUTED_VALUE"""),44144.66666666667)</f>
        <v>44144.66667</v>
      </c>
      <c r="B10305" s="2">
        <f>IFERROR(__xludf.DUMMYFUNCTION("""COMPUTED_VALUE"""),112.59)</f>
        <v>112.59</v>
      </c>
      <c r="C10305" s="2">
        <f>IFERROR(__xludf.DUMMYFUNCTION("""COMPUTED_VALUE"""),114.37)</f>
        <v>114.37</v>
      </c>
      <c r="D10305" s="2">
        <f>IFERROR(__xludf.DUMMYFUNCTION("""COMPUTED_VALUE"""),110.1)</f>
        <v>110.1</v>
      </c>
      <c r="E10305" s="2">
        <f>IFERROR(__xludf.DUMMYFUNCTION("""COMPUTED_VALUE"""),110.35)</f>
        <v>110.35</v>
      </c>
      <c r="F10305" s="2">
        <f>IFERROR(__xludf.DUMMYFUNCTION("""COMPUTED_VALUE"""),8992152.0)</f>
        <v>8992152</v>
      </c>
    </row>
    <row r="10306">
      <c r="A10306" s="3">
        <f>IFERROR(__xludf.DUMMYFUNCTION("""COMPUTED_VALUE"""),44145.66666666667)</f>
        <v>44145.66667</v>
      </c>
      <c r="B10306" s="2">
        <f>IFERROR(__xludf.DUMMYFUNCTION("""COMPUTED_VALUE"""),111.46)</f>
        <v>111.46</v>
      </c>
      <c r="C10306" s="2">
        <f>IFERROR(__xludf.DUMMYFUNCTION("""COMPUTED_VALUE"""),112.87)</f>
        <v>112.87</v>
      </c>
      <c r="D10306" s="2">
        <f>IFERROR(__xludf.DUMMYFUNCTION("""COMPUTED_VALUE"""),111.04)</f>
        <v>111.04</v>
      </c>
      <c r="E10306" s="2">
        <f>IFERROR(__xludf.DUMMYFUNCTION("""COMPUTED_VALUE"""),112.62)</f>
        <v>112.62</v>
      </c>
      <c r="F10306" s="2">
        <f>IFERROR(__xludf.DUMMYFUNCTION("""COMPUTED_VALUE"""),5622756.0)</f>
        <v>5622756</v>
      </c>
    </row>
    <row r="10307">
      <c r="A10307" s="3">
        <f>IFERROR(__xludf.DUMMYFUNCTION("""COMPUTED_VALUE"""),44146.66666666667)</f>
        <v>44146.66667</v>
      </c>
      <c r="B10307" s="2">
        <f>IFERROR(__xludf.DUMMYFUNCTION("""COMPUTED_VALUE"""),112.82)</f>
        <v>112.82</v>
      </c>
      <c r="C10307" s="2">
        <f>IFERROR(__xludf.DUMMYFUNCTION("""COMPUTED_VALUE"""),113.04)</f>
        <v>113.04</v>
      </c>
      <c r="D10307" s="2">
        <f>IFERROR(__xludf.DUMMYFUNCTION("""COMPUTED_VALUE"""),111.01)</f>
        <v>111.01</v>
      </c>
      <c r="E10307" s="2">
        <f>IFERROR(__xludf.DUMMYFUNCTION("""COMPUTED_VALUE"""),111.95)</f>
        <v>111.95</v>
      </c>
      <c r="F10307" s="2">
        <f>IFERROR(__xludf.DUMMYFUNCTION("""COMPUTED_VALUE"""),4289601.0)</f>
        <v>4289601</v>
      </c>
    </row>
    <row r="10308">
      <c r="A10308" s="3">
        <f>IFERROR(__xludf.DUMMYFUNCTION("""COMPUTED_VALUE"""),44147.66666666667)</f>
        <v>44147.66667</v>
      </c>
      <c r="B10308" s="2">
        <f>IFERROR(__xludf.DUMMYFUNCTION("""COMPUTED_VALUE"""),110.45)</f>
        <v>110.45</v>
      </c>
      <c r="C10308" s="2">
        <f>IFERROR(__xludf.DUMMYFUNCTION("""COMPUTED_VALUE"""),111.15)</f>
        <v>111.15</v>
      </c>
      <c r="D10308" s="2">
        <f>IFERROR(__xludf.DUMMYFUNCTION("""COMPUTED_VALUE"""),108.39)</f>
        <v>108.39</v>
      </c>
      <c r="E10308" s="2">
        <f>IFERROR(__xludf.DUMMYFUNCTION("""COMPUTED_VALUE"""),109.37)</f>
        <v>109.37</v>
      </c>
      <c r="F10308" s="2">
        <f>IFERROR(__xludf.DUMMYFUNCTION("""COMPUTED_VALUE"""),6500799.0)</f>
        <v>6500799</v>
      </c>
    </row>
    <row r="10309">
      <c r="A10309" s="3">
        <f>IFERROR(__xludf.DUMMYFUNCTION("""COMPUTED_VALUE"""),44148.66666666667)</f>
        <v>44148.66667</v>
      </c>
      <c r="B10309" s="2">
        <f>IFERROR(__xludf.DUMMYFUNCTION("""COMPUTED_VALUE"""),110.03)</f>
        <v>110.03</v>
      </c>
      <c r="C10309" s="2">
        <f>IFERROR(__xludf.DUMMYFUNCTION("""COMPUTED_VALUE"""),112.11)</f>
        <v>112.11</v>
      </c>
      <c r="D10309" s="2">
        <f>IFERROR(__xludf.DUMMYFUNCTION("""COMPUTED_VALUE"""),109.85)</f>
        <v>109.85</v>
      </c>
      <c r="E10309" s="2">
        <f>IFERROR(__xludf.DUMMYFUNCTION("""COMPUTED_VALUE"""),111.61)</f>
        <v>111.61</v>
      </c>
      <c r="F10309" s="2">
        <f>IFERROR(__xludf.DUMMYFUNCTION("""COMPUTED_VALUE"""),4683512.0)</f>
        <v>4683512</v>
      </c>
    </row>
    <row r="10310">
      <c r="A10310" s="3">
        <f>IFERROR(__xludf.DUMMYFUNCTION("""COMPUTED_VALUE"""),44151.66666666667)</f>
        <v>44151.66667</v>
      </c>
      <c r="B10310" s="2">
        <f>IFERROR(__xludf.DUMMYFUNCTION("""COMPUTED_VALUE"""),113.0)</f>
        <v>113</v>
      </c>
      <c r="C10310" s="2">
        <f>IFERROR(__xludf.DUMMYFUNCTION("""COMPUTED_VALUE"""),113.23)</f>
        <v>113.23</v>
      </c>
      <c r="D10310" s="2">
        <f>IFERROR(__xludf.DUMMYFUNCTION("""COMPUTED_VALUE"""),111.87)</f>
        <v>111.87</v>
      </c>
      <c r="E10310" s="2">
        <f>IFERROR(__xludf.DUMMYFUNCTION("""COMPUTED_VALUE"""),113.05)</f>
        <v>113.05</v>
      </c>
      <c r="F10310" s="2">
        <f>IFERROR(__xludf.DUMMYFUNCTION("""COMPUTED_VALUE"""),5293385.0)</f>
        <v>5293385</v>
      </c>
    </row>
    <row r="10311">
      <c r="A10311" s="3">
        <f>IFERROR(__xludf.DUMMYFUNCTION("""COMPUTED_VALUE"""),44152.66666666667)</f>
        <v>44152.66667</v>
      </c>
      <c r="B10311" s="2">
        <f>IFERROR(__xludf.DUMMYFUNCTION("""COMPUTED_VALUE"""),112.33)</f>
        <v>112.33</v>
      </c>
      <c r="C10311" s="2">
        <f>IFERROR(__xludf.DUMMYFUNCTION("""COMPUTED_VALUE"""),113.23)</f>
        <v>113.23</v>
      </c>
      <c r="D10311" s="2">
        <f>IFERROR(__xludf.DUMMYFUNCTION("""COMPUTED_VALUE"""),111.82)</f>
        <v>111.82</v>
      </c>
      <c r="E10311" s="2">
        <f>IFERROR(__xludf.DUMMYFUNCTION("""COMPUTED_VALUE"""),112.42)</f>
        <v>112.42</v>
      </c>
      <c r="F10311" s="2">
        <f>IFERROR(__xludf.DUMMYFUNCTION("""COMPUTED_VALUE"""),4134455.0)</f>
        <v>4134455</v>
      </c>
    </row>
    <row r="10312">
      <c r="A10312" s="3">
        <f>IFERROR(__xludf.DUMMYFUNCTION("""COMPUTED_VALUE"""),44153.66666666667)</f>
        <v>44153.66667</v>
      </c>
      <c r="B10312" s="2">
        <f>IFERROR(__xludf.DUMMYFUNCTION("""COMPUTED_VALUE"""),112.44)</f>
        <v>112.44</v>
      </c>
      <c r="C10312" s="2">
        <f>IFERROR(__xludf.DUMMYFUNCTION("""COMPUTED_VALUE"""),113.55)</f>
        <v>113.55</v>
      </c>
      <c r="D10312" s="2">
        <f>IFERROR(__xludf.DUMMYFUNCTION("""COMPUTED_VALUE"""),111.52)</f>
        <v>111.52</v>
      </c>
      <c r="E10312" s="2">
        <f>IFERROR(__xludf.DUMMYFUNCTION("""COMPUTED_VALUE"""),111.53)</f>
        <v>111.53</v>
      </c>
      <c r="F10312" s="2">
        <f>IFERROR(__xludf.DUMMYFUNCTION("""COMPUTED_VALUE"""),4606828.0)</f>
        <v>4606828</v>
      </c>
    </row>
    <row r="10313">
      <c r="A10313" s="3">
        <f>IFERROR(__xludf.DUMMYFUNCTION("""COMPUTED_VALUE"""),44154.66666666667)</f>
        <v>44154.66667</v>
      </c>
      <c r="B10313" s="2">
        <f>IFERROR(__xludf.DUMMYFUNCTION("""COMPUTED_VALUE"""),111.31)</f>
        <v>111.31</v>
      </c>
      <c r="C10313" s="2">
        <f>IFERROR(__xludf.DUMMYFUNCTION("""COMPUTED_VALUE"""),112.18)</f>
        <v>112.18</v>
      </c>
      <c r="D10313" s="2">
        <f>IFERROR(__xludf.DUMMYFUNCTION("""COMPUTED_VALUE"""),110.69)</f>
        <v>110.69</v>
      </c>
      <c r="E10313" s="2">
        <f>IFERROR(__xludf.DUMMYFUNCTION("""COMPUTED_VALUE"""),111.93)</f>
        <v>111.93</v>
      </c>
      <c r="F10313" s="2">
        <f>IFERROR(__xludf.DUMMYFUNCTION("""COMPUTED_VALUE"""),3439648.0)</f>
        <v>3439648</v>
      </c>
    </row>
    <row r="10314">
      <c r="A10314" s="3">
        <f>IFERROR(__xludf.DUMMYFUNCTION("""COMPUTED_VALUE"""),44155.66666666667)</f>
        <v>44155.66667</v>
      </c>
      <c r="B10314" s="2">
        <f>IFERROR(__xludf.DUMMYFUNCTION("""COMPUTED_VALUE"""),112.33)</f>
        <v>112.33</v>
      </c>
      <c r="C10314" s="2">
        <f>IFERROR(__xludf.DUMMYFUNCTION("""COMPUTED_VALUE"""),112.75)</f>
        <v>112.75</v>
      </c>
      <c r="D10314" s="2">
        <f>IFERROR(__xludf.DUMMYFUNCTION("""COMPUTED_VALUE"""),111.46)</f>
        <v>111.46</v>
      </c>
      <c r="E10314" s="2">
        <f>IFERROR(__xludf.DUMMYFUNCTION("""COMPUTED_VALUE"""),111.7)</f>
        <v>111.7</v>
      </c>
      <c r="F10314" s="2">
        <f>IFERROR(__xludf.DUMMYFUNCTION("""COMPUTED_VALUE"""),5024593.0)</f>
        <v>5024593</v>
      </c>
    </row>
    <row r="10315">
      <c r="A10315" s="3">
        <f>IFERROR(__xludf.DUMMYFUNCTION("""COMPUTED_VALUE"""),44158.66666666667)</f>
        <v>44158.66667</v>
      </c>
      <c r="B10315" s="2">
        <f>IFERROR(__xludf.DUMMYFUNCTION("""COMPUTED_VALUE"""),112.16)</f>
        <v>112.16</v>
      </c>
      <c r="C10315" s="2">
        <f>IFERROR(__xludf.DUMMYFUNCTION("""COMPUTED_VALUE"""),115.11)</f>
        <v>115.11</v>
      </c>
      <c r="D10315" s="2">
        <f>IFERROR(__xludf.DUMMYFUNCTION("""COMPUTED_VALUE"""),112.01)</f>
        <v>112.01</v>
      </c>
      <c r="E10315" s="2">
        <f>IFERROR(__xludf.DUMMYFUNCTION("""COMPUTED_VALUE"""),114.71)</f>
        <v>114.71</v>
      </c>
      <c r="F10315" s="2">
        <f>IFERROR(__xludf.DUMMYFUNCTION("""COMPUTED_VALUE"""),5655119.0)</f>
        <v>5655119</v>
      </c>
    </row>
    <row r="10316">
      <c r="A10316" s="3">
        <f>IFERROR(__xludf.DUMMYFUNCTION("""COMPUTED_VALUE"""),44159.66666666667)</f>
        <v>44159.66667</v>
      </c>
      <c r="B10316" s="2">
        <f>IFERROR(__xludf.DUMMYFUNCTION("""COMPUTED_VALUE"""),115.44)</f>
        <v>115.44</v>
      </c>
      <c r="C10316" s="2">
        <f>IFERROR(__xludf.DUMMYFUNCTION("""COMPUTED_VALUE"""),119.14)</f>
        <v>119.14</v>
      </c>
      <c r="D10316" s="2">
        <f>IFERROR(__xludf.DUMMYFUNCTION("""COMPUTED_VALUE"""),115.39)</f>
        <v>115.39</v>
      </c>
      <c r="E10316" s="2">
        <f>IFERROR(__xludf.DUMMYFUNCTION("""COMPUTED_VALUE"""),118.84)</f>
        <v>118.84</v>
      </c>
      <c r="F10316" s="2">
        <f>IFERROR(__xludf.DUMMYFUNCTION("""COMPUTED_VALUE"""),7759006.0)</f>
        <v>7759006</v>
      </c>
    </row>
    <row r="10317">
      <c r="A10317" s="3">
        <f>IFERROR(__xludf.DUMMYFUNCTION("""COMPUTED_VALUE"""),44160.66666666667)</f>
        <v>44160.66667</v>
      </c>
      <c r="B10317" s="2">
        <f>IFERROR(__xludf.DUMMYFUNCTION("""COMPUTED_VALUE"""),117.42)</f>
        <v>117.42</v>
      </c>
      <c r="C10317" s="2">
        <f>IFERROR(__xludf.DUMMYFUNCTION("""COMPUTED_VALUE"""),118.76)</f>
        <v>118.76</v>
      </c>
      <c r="D10317" s="2">
        <f>IFERROR(__xludf.DUMMYFUNCTION("""COMPUTED_VALUE"""),116.64)</f>
        <v>116.64</v>
      </c>
      <c r="E10317" s="2">
        <f>IFERROR(__xludf.DUMMYFUNCTION("""COMPUTED_VALUE"""),118.63)</f>
        <v>118.63</v>
      </c>
      <c r="F10317" s="2">
        <f>IFERROR(__xludf.DUMMYFUNCTION("""COMPUTED_VALUE"""),4135894.0)</f>
        <v>4135894</v>
      </c>
    </row>
    <row r="10318">
      <c r="A10318" s="3">
        <f>IFERROR(__xludf.DUMMYFUNCTION("""COMPUTED_VALUE"""),44162.54166666667)</f>
        <v>44162.54167</v>
      </c>
      <c r="B10318" s="2">
        <f>IFERROR(__xludf.DUMMYFUNCTION("""COMPUTED_VALUE"""),118.63)</f>
        <v>118.63</v>
      </c>
      <c r="C10318" s="2">
        <f>IFERROR(__xludf.DUMMYFUNCTION("""COMPUTED_VALUE"""),119.69)</f>
        <v>119.69</v>
      </c>
      <c r="D10318" s="2">
        <f>IFERROR(__xludf.DUMMYFUNCTION("""COMPUTED_VALUE"""),118.35)</f>
        <v>118.35</v>
      </c>
      <c r="E10318" s="2">
        <f>IFERROR(__xludf.DUMMYFUNCTION("""COMPUTED_VALUE"""),118.77)</f>
        <v>118.77</v>
      </c>
      <c r="F10318" s="2">
        <f>IFERROR(__xludf.DUMMYFUNCTION("""COMPUTED_VALUE"""),2091186.0)</f>
        <v>2091186</v>
      </c>
    </row>
    <row r="10319">
      <c r="A10319" s="3">
        <f>IFERROR(__xludf.DUMMYFUNCTION("""COMPUTED_VALUE"""),44165.66666666667)</f>
        <v>44165.66667</v>
      </c>
      <c r="B10319" s="2">
        <f>IFERROR(__xludf.DUMMYFUNCTION("""COMPUTED_VALUE"""),118.54)</f>
        <v>118.54</v>
      </c>
      <c r="C10319" s="2">
        <f>IFERROR(__xludf.DUMMYFUNCTION("""COMPUTED_VALUE"""),119.4)</f>
        <v>119.4</v>
      </c>
      <c r="D10319" s="2">
        <f>IFERROR(__xludf.DUMMYFUNCTION("""COMPUTED_VALUE"""),117.57)</f>
        <v>117.57</v>
      </c>
      <c r="E10319" s="2">
        <f>IFERROR(__xludf.DUMMYFUNCTION("""COMPUTED_VALUE"""),117.98)</f>
        <v>117.98</v>
      </c>
      <c r="F10319" s="2">
        <f>IFERROR(__xludf.DUMMYFUNCTION("""COMPUTED_VALUE"""),5987991.0)</f>
        <v>5987991</v>
      </c>
    </row>
    <row r="10320">
      <c r="A10320" s="3">
        <f>IFERROR(__xludf.DUMMYFUNCTION("""COMPUTED_VALUE"""),44166.66666666667)</f>
        <v>44166.66667</v>
      </c>
      <c r="B10320" s="2">
        <f>IFERROR(__xludf.DUMMYFUNCTION("""COMPUTED_VALUE"""),118.34)</f>
        <v>118.34</v>
      </c>
      <c r="C10320" s="2">
        <f>IFERROR(__xludf.DUMMYFUNCTION("""COMPUTED_VALUE"""),120.19)</f>
        <v>120.19</v>
      </c>
      <c r="D10320" s="2">
        <f>IFERROR(__xludf.DUMMYFUNCTION("""COMPUTED_VALUE"""),117.56)</f>
        <v>117.56</v>
      </c>
      <c r="E10320" s="2">
        <f>IFERROR(__xludf.DUMMYFUNCTION("""COMPUTED_VALUE"""),117.64)</f>
        <v>117.64</v>
      </c>
      <c r="F10320" s="2">
        <f>IFERROR(__xludf.DUMMYFUNCTION("""COMPUTED_VALUE"""),5312057.0)</f>
        <v>5312057</v>
      </c>
    </row>
    <row r="10321">
      <c r="A10321" s="3">
        <f>IFERROR(__xludf.DUMMYFUNCTION("""COMPUTED_VALUE"""),44167.66666666667)</f>
        <v>44167.66667</v>
      </c>
      <c r="B10321" s="2">
        <f>IFERROR(__xludf.DUMMYFUNCTION("""COMPUTED_VALUE"""),117.34)</f>
        <v>117.34</v>
      </c>
      <c r="C10321" s="2">
        <f>IFERROR(__xludf.DUMMYFUNCTION("""COMPUTED_VALUE"""),119.05)</f>
        <v>119.05</v>
      </c>
      <c r="D10321" s="2">
        <f>IFERROR(__xludf.DUMMYFUNCTION("""COMPUTED_VALUE"""),116.92)</f>
        <v>116.92</v>
      </c>
      <c r="E10321" s="2">
        <f>IFERROR(__xludf.DUMMYFUNCTION("""COMPUTED_VALUE"""),119.03)</f>
        <v>119.03</v>
      </c>
      <c r="F10321" s="2">
        <f>IFERROR(__xludf.DUMMYFUNCTION("""COMPUTED_VALUE"""),3690737.0)</f>
        <v>3690737</v>
      </c>
    </row>
    <row r="10322">
      <c r="A10322" s="3">
        <f>IFERROR(__xludf.DUMMYFUNCTION("""COMPUTED_VALUE"""),44168.66666666667)</f>
        <v>44168.66667</v>
      </c>
      <c r="B10322" s="2">
        <f>IFERROR(__xludf.DUMMYFUNCTION("""COMPUTED_VALUE"""),118.59)</f>
        <v>118.59</v>
      </c>
      <c r="C10322" s="2">
        <f>IFERROR(__xludf.DUMMYFUNCTION("""COMPUTED_VALUE"""),119.26)</f>
        <v>119.26</v>
      </c>
      <c r="D10322" s="2">
        <f>IFERROR(__xludf.DUMMYFUNCTION("""COMPUTED_VALUE"""),117.76)</f>
        <v>117.76</v>
      </c>
      <c r="E10322" s="2">
        <f>IFERROR(__xludf.DUMMYFUNCTION("""COMPUTED_VALUE"""),118.07)</f>
        <v>118.07</v>
      </c>
      <c r="F10322" s="2">
        <f>IFERROR(__xludf.DUMMYFUNCTION("""COMPUTED_VALUE"""),4548161.0)</f>
        <v>4548161</v>
      </c>
    </row>
    <row r="10323">
      <c r="A10323" s="3">
        <f>IFERROR(__xludf.DUMMYFUNCTION("""COMPUTED_VALUE"""),44169.66666666667)</f>
        <v>44169.66667</v>
      </c>
      <c r="B10323" s="2">
        <f>IFERROR(__xludf.DUMMYFUNCTION("""COMPUTED_VALUE"""),118.41)</f>
        <v>118.41</v>
      </c>
      <c r="C10323" s="2">
        <f>IFERROR(__xludf.DUMMYFUNCTION("""COMPUTED_VALUE"""),121.67)</f>
        <v>121.67</v>
      </c>
      <c r="D10323" s="2">
        <f>IFERROR(__xludf.DUMMYFUNCTION("""COMPUTED_VALUE"""),118.1)</f>
        <v>118.1</v>
      </c>
      <c r="E10323" s="2">
        <f>IFERROR(__xludf.DUMMYFUNCTION("""COMPUTED_VALUE"""),121.5)</f>
        <v>121.5</v>
      </c>
      <c r="F10323" s="2">
        <f>IFERROR(__xludf.DUMMYFUNCTION("""COMPUTED_VALUE"""),5522760.0)</f>
        <v>5522760</v>
      </c>
    </row>
    <row r="10324">
      <c r="A10324" s="3">
        <f>IFERROR(__xludf.DUMMYFUNCTION("""COMPUTED_VALUE"""),44172.66666666667)</f>
        <v>44172.66667</v>
      </c>
      <c r="B10324" s="2">
        <f>IFERROR(__xludf.DUMMYFUNCTION("""COMPUTED_VALUE"""),120.82)</f>
        <v>120.82</v>
      </c>
      <c r="C10324" s="2">
        <f>IFERROR(__xludf.DUMMYFUNCTION("""COMPUTED_VALUE"""),121.28)</f>
        <v>121.28</v>
      </c>
      <c r="D10324" s="2">
        <f>IFERROR(__xludf.DUMMYFUNCTION("""COMPUTED_VALUE"""),118.98)</f>
        <v>118.98</v>
      </c>
      <c r="E10324" s="2">
        <f>IFERROR(__xludf.DUMMYFUNCTION("""COMPUTED_VALUE"""),119.11)</f>
        <v>119.11</v>
      </c>
      <c r="F10324" s="2">
        <f>IFERROR(__xludf.DUMMYFUNCTION("""COMPUTED_VALUE"""),8318500.0)</f>
        <v>8318500</v>
      </c>
    </row>
    <row r="10325">
      <c r="A10325" s="3">
        <f>IFERROR(__xludf.DUMMYFUNCTION("""COMPUTED_VALUE"""),44173.66666666667)</f>
        <v>44173.66667</v>
      </c>
      <c r="B10325" s="2">
        <f>IFERROR(__xludf.DUMMYFUNCTION("""COMPUTED_VALUE"""),119.7)</f>
        <v>119.7</v>
      </c>
      <c r="C10325" s="2">
        <f>IFERROR(__xludf.DUMMYFUNCTION("""COMPUTED_VALUE"""),120.67)</f>
        <v>120.67</v>
      </c>
      <c r="D10325" s="2">
        <f>IFERROR(__xludf.DUMMYFUNCTION("""COMPUTED_VALUE"""),119.05)</f>
        <v>119.05</v>
      </c>
      <c r="E10325" s="2">
        <f>IFERROR(__xludf.DUMMYFUNCTION("""COMPUTED_VALUE"""),120.07)</f>
        <v>120.07</v>
      </c>
      <c r="F10325" s="2">
        <f>IFERROR(__xludf.DUMMYFUNCTION("""COMPUTED_VALUE"""),5395024.0)</f>
        <v>5395024</v>
      </c>
    </row>
    <row r="10326">
      <c r="A10326" s="3">
        <f>IFERROR(__xludf.DUMMYFUNCTION("""COMPUTED_VALUE"""),44174.66666666667)</f>
        <v>44174.66667</v>
      </c>
      <c r="B10326" s="2">
        <f>IFERROR(__xludf.DUMMYFUNCTION("""COMPUTED_VALUE"""),120.16)</f>
        <v>120.16</v>
      </c>
      <c r="C10326" s="2">
        <f>IFERROR(__xludf.DUMMYFUNCTION("""COMPUTED_VALUE"""),121.96)</f>
        <v>121.96</v>
      </c>
      <c r="D10326" s="2">
        <f>IFERROR(__xludf.DUMMYFUNCTION("""COMPUTED_VALUE"""),120.06)</f>
        <v>120.06</v>
      </c>
      <c r="E10326" s="2">
        <f>IFERROR(__xludf.DUMMYFUNCTION("""COMPUTED_VALUE"""),121.11)</f>
        <v>121.11</v>
      </c>
      <c r="F10326" s="2">
        <f>IFERROR(__xludf.DUMMYFUNCTION("""COMPUTED_VALUE"""),6513517.0)</f>
        <v>6513517</v>
      </c>
    </row>
    <row r="10327">
      <c r="A10327" s="3">
        <f>IFERROR(__xludf.DUMMYFUNCTION("""COMPUTED_VALUE"""),44175.66666666667)</f>
        <v>44175.66667</v>
      </c>
      <c r="B10327" s="2">
        <f>IFERROR(__xludf.DUMMYFUNCTION("""COMPUTED_VALUE"""),120.68)</f>
        <v>120.68</v>
      </c>
      <c r="C10327" s="2">
        <f>IFERROR(__xludf.DUMMYFUNCTION("""COMPUTED_VALUE"""),121.24)</f>
        <v>121.24</v>
      </c>
      <c r="D10327" s="2">
        <f>IFERROR(__xludf.DUMMYFUNCTION("""COMPUTED_VALUE"""),119.34)</f>
        <v>119.34</v>
      </c>
      <c r="E10327" s="2">
        <f>IFERROR(__xludf.DUMMYFUNCTION("""COMPUTED_VALUE"""),119.36)</f>
        <v>119.36</v>
      </c>
      <c r="F10327" s="2">
        <f>IFERROR(__xludf.DUMMYFUNCTION("""COMPUTED_VALUE"""),4803172.0)</f>
        <v>4803172</v>
      </c>
    </row>
    <row r="10328">
      <c r="A10328" s="3">
        <f>IFERROR(__xludf.DUMMYFUNCTION("""COMPUTED_VALUE"""),44176.66666666667)</f>
        <v>44176.66667</v>
      </c>
      <c r="B10328" s="2">
        <f>IFERROR(__xludf.DUMMYFUNCTION("""COMPUTED_VALUE"""),118.52)</f>
        <v>118.52</v>
      </c>
      <c r="C10328" s="2">
        <f>IFERROR(__xludf.DUMMYFUNCTION("""COMPUTED_VALUE"""),119.88)</f>
        <v>119.88</v>
      </c>
      <c r="D10328" s="2">
        <f>IFERROR(__xludf.DUMMYFUNCTION("""COMPUTED_VALUE"""),118.07)</f>
        <v>118.07</v>
      </c>
      <c r="E10328" s="2">
        <f>IFERROR(__xludf.DUMMYFUNCTION("""COMPUTED_VALUE"""),118.7)</f>
        <v>118.7</v>
      </c>
      <c r="F10328" s="2">
        <f>IFERROR(__xludf.DUMMYFUNCTION("""COMPUTED_VALUE"""),4481416.0)</f>
        <v>4481416</v>
      </c>
    </row>
    <row r="10329">
      <c r="A10329" s="3">
        <f>IFERROR(__xludf.DUMMYFUNCTION("""COMPUTED_VALUE"""),44179.66666666667)</f>
        <v>44179.66667</v>
      </c>
      <c r="B10329" s="2">
        <f>IFERROR(__xludf.DUMMYFUNCTION("""COMPUTED_VALUE"""),119.7)</f>
        <v>119.7</v>
      </c>
      <c r="C10329" s="2">
        <f>IFERROR(__xludf.DUMMYFUNCTION("""COMPUTED_VALUE"""),120.58)</f>
        <v>120.58</v>
      </c>
      <c r="D10329" s="2">
        <f>IFERROR(__xludf.DUMMYFUNCTION("""COMPUTED_VALUE"""),117.93)</f>
        <v>117.93</v>
      </c>
      <c r="E10329" s="2">
        <f>IFERROR(__xludf.DUMMYFUNCTION("""COMPUTED_VALUE"""),117.99)</f>
        <v>117.99</v>
      </c>
      <c r="F10329" s="2">
        <f>IFERROR(__xludf.DUMMYFUNCTION("""COMPUTED_VALUE"""),5050023.0)</f>
        <v>5050023</v>
      </c>
    </row>
    <row r="10330">
      <c r="A10330" s="3">
        <f>IFERROR(__xludf.DUMMYFUNCTION("""COMPUTED_VALUE"""),44180.66666666667)</f>
        <v>44180.66667</v>
      </c>
      <c r="B10330" s="2">
        <f>IFERROR(__xludf.DUMMYFUNCTION("""COMPUTED_VALUE"""),118.81)</f>
        <v>118.81</v>
      </c>
      <c r="C10330" s="2">
        <f>IFERROR(__xludf.DUMMYFUNCTION("""COMPUTED_VALUE"""),120.28)</f>
        <v>120.28</v>
      </c>
      <c r="D10330" s="2">
        <f>IFERROR(__xludf.DUMMYFUNCTION("""COMPUTED_VALUE"""),117.91)</f>
        <v>117.91</v>
      </c>
      <c r="E10330" s="2">
        <f>IFERROR(__xludf.DUMMYFUNCTION("""COMPUTED_VALUE"""),120.28)</f>
        <v>120.28</v>
      </c>
      <c r="F10330" s="2">
        <f>IFERROR(__xludf.DUMMYFUNCTION("""COMPUTED_VALUE"""),4359601.0)</f>
        <v>4359601</v>
      </c>
    </row>
    <row r="10331">
      <c r="A10331" s="3">
        <f>IFERROR(__xludf.DUMMYFUNCTION("""COMPUTED_VALUE"""),44181.66666666667)</f>
        <v>44181.66667</v>
      </c>
      <c r="B10331" s="2">
        <f>IFERROR(__xludf.DUMMYFUNCTION("""COMPUTED_VALUE"""),120.28)</f>
        <v>120.28</v>
      </c>
      <c r="C10331" s="2">
        <f>IFERROR(__xludf.DUMMYFUNCTION("""COMPUTED_VALUE"""),120.9)</f>
        <v>120.9</v>
      </c>
      <c r="D10331" s="2">
        <f>IFERROR(__xludf.DUMMYFUNCTION("""COMPUTED_VALUE"""),119.67)</f>
        <v>119.67</v>
      </c>
      <c r="E10331" s="2">
        <f>IFERROR(__xludf.DUMMYFUNCTION("""COMPUTED_VALUE"""),119.92)</f>
        <v>119.92</v>
      </c>
      <c r="F10331" s="2">
        <f>IFERROR(__xludf.DUMMYFUNCTION("""COMPUTED_VALUE"""),4530096.0)</f>
        <v>4530096</v>
      </c>
    </row>
    <row r="10332">
      <c r="A10332" s="3">
        <f>IFERROR(__xludf.DUMMYFUNCTION("""COMPUTED_VALUE"""),44182.66666666667)</f>
        <v>44182.66667</v>
      </c>
      <c r="B10332" s="2">
        <f>IFERROR(__xludf.DUMMYFUNCTION("""COMPUTED_VALUE"""),120.43)</f>
        <v>120.43</v>
      </c>
      <c r="C10332" s="2">
        <f>IFERROR(__xludf.DUMMYFUNCTION("""COMPUTED_VALUE"""),120.44)</f>
        <v>120.44</v>
      </c>
      <c r="D10332" s="2">
        <f>IFERROR(__xludf.DUMMYFUNCTION("""COMPUTED_VALUE"""),119.31)</f>
        <v>119.31</v>
      </c>
      <c r="E10332" s="2">
        <f>IFERROR(__xludf.DUMMYFUNCTION("""COMPUTED_VALUE"""),119.92)</f>
        <v>119.92</v>
      </c>
      <c r="F10332" s="2">
        <f>IFERROR(__xludf.DUMMYFUNCTION("""COMPUTED_VALUE"""),3787962.0)</f>
        <v>3787962</v>
      </c>
    </row>
    <row r="10333">
      <c r="A10333" s="3">
        <f>IFERROR(__xludf.DUMMYFUNCTION("""COMPUTED_VALUE"""),44183.66666666667)</f>
        <v>44183.66667</v>
      </c>
      <c r="B10333" s="2">
        <f>IFERROR(__xludf.DUMMYFUNCTION("""COMPUTED_VALUE"""),119.96)</f>
        <v>119.96</v>
      </c>
      <c r="C10333" s="2">
        <f>IFERROR(__xludf.DUMMYFUNCTION("""COMPUTED_VALUE"""),120.73)</f>
        <v>120.73</v>
      </c>
      <c r="D10333" s="2">
        <f>IFERROR(__xludf.DUMMYFUNCTION("""COMPUTED_VALUE"""),119.37)</f>
        <v>119.37</v>
      </c>
      <c r="E10333" s="2">
        <f>IFERROR(__xludf.DUMMYFUNCTION("""COMPUTED_VALUE"""),120.21)</f>
        <v>120.21</v>
      </c>
      <c r="F10333" s="2">
        <f>IFERROR(__xludf.DUMMYFUNCTION("""COMPUTED_VALUE"""),7552845.0)</f>
        <v>7552845</v>
      </c>
    </row>
    <row r="10334">
      <c r="A10334" s="3">
        <f>IFERROR(__xludf.DUMMYFUNCTION("""COMPUTED_VALUE"""),44186.66666666667)</f>
        <v>44186.66667</v>
      </c>
      <c r="B10334" s="2">
        <f>IFERROR(__xludf.DUMMYFUNCTION("""COMPUTED_VALUE"""),118.41)</f>
        <v>118.41</v>
      </c>
      <c r="C10334" s="2">
        <f>IFERROR(__xludf.DUMMYFUNCTION("""COMPUTED_VALUE"""),118.61)</f>
        <v>118.61</v>
      </c>
      <c r="D10334" s="2">
        <f>IFERROR(__xludf.DUMMYFUNCTION("""COMPUTED_VALUE"""),116.26)</f>
        <v>116.26</v>
      </c>
      <c r="E10334" s="2">
        <f>IFERROR(__xludf.DUMMYFUNCTION("""COMPUTED_VALUE"""),117.86)</f>
        <v>117.86</v>
      </c>
      <c r="F10334" s="2">
        <f>IFERROR(__xludf.DUMMYFUNCTION("""COMPUTED_VALUE"""),6115671.0)</f>
        <v>6115671</v>
      </c>
    </row>
    <row r="10335">
      <c r="A10335" s="3">
        <f>IFERROR(__xludf.DUMMYFUNCTION("""COMPUTED_VALUE"""),44187.66666666667)</f>
        <v>44187.66667</v>
      </c>
      <c r="B10335" s="2">
        <f>IFERROR(__xludf.DUMMYFUNCTION("""COMPUTED_VALUE"""),117.78)</f>
        <v>117.78</v>
      </c>
      <c r="C10335" s="2">
        <f>IFERROR(__xludf.DUMMYFUNCTION("""COMPUTED_VALUE"""),118.65)</f>
        <v>118.65</v>
      </c>
      <c r="D10335" s="2">
        <f>IFERROR(__xludf.DUMMYFUNCTION("""COMPUTED_VALUE"""),116.92)</f>
        <v>116.92</v>
      </c>
      <c r="E10335" s="2">
        <f>IFERROR(__xludf.DUMMYFUNCTION("""COMPUTED_VALUE"""),118.07)</f>
        <v>118.07</v>
      </c>
      <c r="F10335" s="2">
        <f>IFERROR(__xludf.DUMMYFUNCTION("""COMPUTED_VALUE"""),4337757.0)</f>
        <v>4337757</v>
      </c>
    </row>
    <row r="10336">
      <c r="A10336" s="3">
        <f>IFERROR(__xludf.DUMMYFUNCTION("""COMPUTED_VALUE"""),44188.66666666667)</f>
        <v>44188.66667</v>
      </c>
      <c r="B10336" s="2">
        <f>IFERROR(__xludf.DUMMYFUNCTION("""COMPUTED_VALUE"""),118.33)</f>
        <v>118.33</v>
      </c>
      <c r="C10336" s="2">
        <f>IFERROR(__xludf.DUMMYFUNCTION("""COMPUTED_VALUE"""),119.6)</f>
        <v>119.6</v>
      </c>
      <c r="D10336" s="2">
        <f>IFERROR(__xludf.DUMMYFUNCTION("""COMPUTED_VALUE"""),118.19)</f>
        <v>118.19</v>
      </c>
      <c r="E10336" s="2">
        <f>IFERROR(__xludf.DUMMYFUNCTION("""COMPUTED_VALUE"""),118.34)</f>
        <v>118.34</v>
      </c>
      <c r="F10336" s="2">
        <f>IFERROR(__xludf.DUMMYFUNCTION("""COMPUTED_VALUE"""),2693889.0)</f>
        <v>2693889</v>
      </c>
    </row>
    <row r="10337">
      <c r="A10337" s="3">
        <f>IFERROR(__xludf.DUMMYFUNCTION("""COMPUTED_VALUE"""),44189.54166666667)</f>
        <v>44189.54167</v>
      </c>
      <c r="B10337" s="2">
        <f>IFERROR(__xludf.DUMMYFUNCTION("""COMPUTED_VALUE"""),119.4)</f>
        <v>119.4</v>
      </c>
      <c r="C10337" s="2">
        <f>IFERROR(__xludf.DUMMYFUNCTION("""COMPUTED_VALUE"""),119.49)</f>
        <v>119.49</v>
      </c>
      <c r="D10337" s="2">
        <f>IFERROR(__xludf.DUMMYFUNCTION("""COMPUTED_VALUE"""),118.64)</f>
        <v>118.64</v>
      </c>
      <c r="E10337" s="2">
        <f>IFERROR(__xludf.DUMMYFUNCTION("""COMPUTED_VALUE"""),119.1)</f>
        <v>119.1</v>
      </c>
      <c r="F10337" s="2">
        <f>IFERROR(__xludf.DUMMYFUNCTION("""COMPUTED_VALUE"""),1761122.0)</f>
        <v>1761122</v>
      </c>
    </row>
    <row r="10338">
      <c r="A10338" s="3">
        <f>IFERROR(__xludf.DUMMYFUNCTION("""COMPUTED_VALUE"""),44193.66666666667)</f>
        <v>44193.66667</v>
      </c>
      <c r="B10338" s="2">
        <f>IFERROR(__xludf.DUMMYFUNCTION("""COMPUTED_VALUE"""),119.49)</f>
        <v>119.49</v>
      </c>
      <c r="C10338" s="2">
        <f>IFERROR(__xludf.DUMMYFUNCTION("""COMPUTED_VALUE"""),120.92)</f>
        <v>120.92</v>
      </c>
      <c r="D10338" s="2">
        <f>IFERROR(__xludf.DUMMYFUNCTION("""COMPUTED_VALUE"""),118.88)</f>
        <v>118.88</v>
      </c>
      <c r="E10338" s="2">
        <f>IFERROR(__xludf.DUMMYFUNCTION("""COMPUTED_VALUE"""),119.22)</f>
        <v>119.22</v>
      </c>
      <c r="F10338" s="2">
        <f>IFERROR(__xludf.DUMMYFUNCTION("""COMPUTED_VALUE"""),3615222.0)</f>
        <v>3615222</v>
      </c>
    </row>
    <row r="10339">
      <c r="A10339" s="3">
        <f>IFERROR(__xludf.DUMMYFUNCTION("""COMPUTED_VALUE"""),44194.66666666667)</f>
        <v>44194.66667</v>
      </c>
      <c r="B10339" s="2">
        <f>IFERROR(__xludf.DUMMYFUNCTION("""COMPUTED_VALUE"""),119.73)</f>
        <v>119.73</v>
      </c>
      <c r="C10339" s="2">
        <f>IFERROR(__xludf.DUMMYFUNCTION("""COMPUTED_VALUE"""),119.85)</f>
        <v>119.85</v>
      </c>
      <c r="D10339" s="2">
        <f>IFERROR(__xludf.DUMMYFUNCTION("""COMPUTED_VALUE"""),117.71)</f>
        <v>117.71</v>
      </c>
      <c r="E10339" s="2">
        <f>IFERROR(__xludf.DUMMYFUNCTION("""COMPUTED_VALUE"""),118.25)</f>
        <v>118.25</v>
      </c>
      <c r="F10339" s="2">
        <f>IFERROR(__xludf.DUMMYFUNCTION("""COMPUTED_VALUE"""),3487007.0)</f>
        <v>3487007</v>
      </c>
    </row>
    <row r="10340">
      <c r="A10340" s="3">
        <f>IFERROR(__xludf.DUMMYFUNCTION("""COMPUTED_VALUE"""),44195.66666666667)</f>
        <v>44195.66667</v>
      </c>
      <c r="B10340" s="2">
        <f>IFERROR(__xludf.DUMMYFUNCTION("""COMPUTED_VALUE"""),118.25)</f>
        <v>118.25</v>
      </c>
      <c r="C10340" s="2">
        <f>IFERROR(__xludf.DUMMYFUNCTION("""COMPUTED_VALUE"""),119.25)</f>
        <v>119.25</v>
      </c>
      <c r="D10340" s="2">
        <f>IFERROR(__xludf.DUMMYFUNCTION("""COMPUTED_VALUE"""),118.09)</f>
        <v>118.09</v>
      </c>
      <c r="E10340" s="2">
        <f>IFERROR(__xludf.DUMMYFUNCTION("""COMPUTED_VALUE"""),118.77)</f>
        <v>118.77</v>
      </c>
      <c r="F10340" s="2">
        <f>IFERROR(__xludf.DUMMYFUNCTION("""COMPUTED_VALUE"""),3380494.0)</f>
        <v>3380494</v>
      </c>
    </row>
    <row r="10341">
      <c r="A10341" s="3">
        <f>IFERROR(__xludf.DUMMYFUNCTION("""COMPUTED_VALUE"""),44196.66666666667)</f>
        <v>44196.66667</v>
      </c>
      <c r="B10341" s="2">
        <f>IFERROR(__xludf.DUMMYFUNCTION("""COMPUTED_VALUE"""),118.65)</f>
        <v>118.65</v>
      </c>
      <c r="C10341" s="2">
        <f>IFERROR(__xludf.DUMMYFUNCTION("""COMPUTED_VALUE"""),120.38)</f>
        <v>120.38</v>
      </c>
      <c r="D10341" s="2">
        <f>IFERROR(__xludf.DUMMYFUNCTION("""COMPUTED_VALUE"""),118.43)</f>
        <v>118.43</v>
      </c>
      <c r="E10341" s="2">
        <f>IFERROR(__xludf.DUMMYFUNCTION("""COMPUTED_VALUE"""),120.24)</f>
        <v>120.24</v>
      </c>
      <c r="F10341" s="2">
        <f>IFERROR(__xludf.DUMMYFUNCTION("""COMPUTED_VALUE"""),3574696.0)</f>
        <v>3574696</v>
      </c>
    </row>
    <row r="10342">
      <c r="A10342" s="3">
        <f>IFERROR(__xludf.DUMMYFUNCTION("""COMPUTED_VALUE"""),44200.66666666667)</f>
        <v>44200.66667</v>
      </c>
      <c r="B10342" s="2">
        <f>IFERROR(__xludf.DUMMYFUNCTION("""COMPUTED_VALUE"""),120.21)</f>
        <v>120.21</v>
      </c>
      <c r="C10342" s="2">
        <f>IFERROR(__xludf.DUMMYFUNCTION("""COMPUTED_VALUE"""),120.27)</f>
        <v>120.27</v>
      </c>
      <c r="D10342" s="2">
        <f>IFERROR(__xludf.DUMMYFUNCTION("""COMPUTED_VALUE"""),117.52)</f>
        <v>117.52</v>
      </c>
      <c r="E10342" s="2">
        <f>IFERROR(__xludf.DUMMYFUNCTION("""COMPUTED_VALUE"""),118.38)</f>
        <v>118.38</v>
      </c>
      <c r="F10342" s="2">
        <f>IFERROR(__xludf.DUMMYFUNCTION("""COMPUTED_VALUE"""),5179161.0)</f>
        <v>5179161</v>
      </c>
    </row>
    <row r="10343">
      <c r="A10343" s="3">
        <f>IFERROR(__xludf.DUMMYFUNCTION("""COMPUTED_VALUE"""),44201.66666666667)</f>
        <v>44201.66667</v>
      </c>
      <c r="B10343" s="2">
        <f>IFERROR(__xludf.DUMMYFUNCTION("""COMPUTED_VALUE"""),119.41)</f>
        <v>119.41</v>
      </c>
      <c r="C10343" s="2">
        <f>IFERROR(__xludf.DUMMYFUNCTION("""COMPUTED_VALUE"""),121.0)</f>
        <v>121</v>
      </c>
      <c r="D10343" s="2">
        <f>IFERROR(__xludf.DUMMYFUNCTION("""COMPUTED_VALUE"""),119.02)</f>
        <v>119.02</v>
      </c>
      <c r="E10343" s="2">
        <f>IFERROR(__xludf.DUMMYFUNCTION("""COMPUTED_VALUE"""),120.48)</f>
        <v>120.48</v>
      </c>
      <c r="F10343" s="2">
        <f>IFERROR(__xludf.DUMMYFUNCTION("""COMPUTED_VALUE"""),6114619.0)</f>
        <v>6114619</v>
      </c>
    </row>
    <row r="10344">
      <c r="A10344" s="3">
        <f>IFERROR(__xludf.DUMMYFUNCTION("""COMPUTED_VALUE"""),44202.66666666667)</f>
        <v>44202.66667</v>
      </c>
      <c r="B10344" s="2">
        <f>IFERROR(__xludf.DUMMYFUNCTION("""COMPUTED_VALUE"""),121.21)</f>
        <v>121.21</v>
      </c>
      <c r="C10344" s="2">
        <f>IFERROR(__xludf.DUMMYFUNCTION("""COMPUTED_VALUE"""),125.97)</f>
        <v>125.97</v>
      </c>
      <c r="D10344" s="2">
        <f>IFERROR(__xludf.DUMMYFUNCTION("""COMPUTED_VALUE"""),121.04)</f>
        <v>121.04</v>
      </c>
      <c r="E10344" s="2">
        <f>IFERROR(__xludf.DUMMYFUNCTION("""COMPUTED_VALUE"""),123.49)</f>
        <v>123.49</v>
      </c>
      <c r="F10344" s="2">
        <f>IFERROR(__xludf.DUMMYFUNCTION("""COMPUTED_VALUE"""),7956740.0)</f>
        <v>7956740</v>
      </c>
    </row>
    <row r="10345">
      <c r="A10345" s="3">
        <f>IFERROR(__xludf.DUMMYFUNCTION("""COMPUTED_VALUE"""),44203.66666666667)</f>
        <v>44203.66667</v>
      </c>
      <c r="B10345" s="2">
        <f>IFERROR(__xludf.DUMMYFUNCTION("""COMPUTED_VALUE"""),124.21)</f>
        <v>124.21</v>
      </c>
      <c r="C10345" s="2">
        <f>IFERROR(__xludf.DUMMYFUNCTION("""COMPUTED_VALUE"""),124.61)</f>
        <v>124.61</v>
      </c>
      <c r="D10345" s="2">
        <f>IFERROR(__xludf.DUMMYFUNCTION("""COMPUTED_VALUE"""),122.51)</f>
        <v>122.51</v>
      </c>
      <c r="E10345" s="2">
        <f>IFERROR(__xludf.DUMMYFUNCTION("""COMPUTED_VALUE"""),123.21)</f>
        <v>123.21</v>
      </c>
      <c r="F10345" s="2">
        <f>IFERROR(__xludf.DUMMYFUNCTION("""COMPUTED_VALUE"""),4507382.0)</f>
        <v>4507382</v>
      </c>
    </row>
    <row r="10346">
      <c r="A10346" s="3">
        <f>IFERROR(__xludf.DUMMYFUNCTION("""COMPUTED_VALUE"""),44204.66666666667)</f>
        <v>44204.66667</v>
      </c>
      <c r="B10346" s="2">
        <f>IFERROR(__xludf.DUMMYFUNCTION("""COMPUTED_VALUE"""),122.81)</f>
        <v>122.81</v>
      </c>
      <c r="C10346" s="2">
        <f>IFERROR(__xludf.DUMMYFUNCTION("""COMPUTED_VALUE"""),123.52)</f>
        <v>123.52</v>
      </c>
      <c r="D10346" s="2">
        <f>IFERROR(__xludf.DUMMYFUNCTION("""COMPUTED_VALUE"""),121.29)</f>
        <v>121.29</v>
      </c>
      <c r="E10346" s="2">
        <f>IFERROR(__xludf.DUMMYFUNCTION("""COMPUTED_VALUE"""),122.77)</f>
        <v>122.77</v>
      </c>
      <c r="F10346" s="2">
        <f>IFERROR(__xludf.DUMMYFUNCTION("""COMPUTED_VALUE"""),4676487.0)</f>
        <v>4676487</v>
      </c>
    </row>
    <row r="10347">
      <c r="A10347" s="3">
        <f>IFERROR(__xludf.DUMMYFUNCTION("""COMPUTED_VALUE"""),44207.66666666667)</f>
        <v>44207.66667</v>
      </c>
      <c r="B10347" s="2">
        <f>IFERROR(__xludf.DUMMYFUNCTION("""COMPUTED_VALUE"""),122.21)</f>
        <v>122.21</v>
      </c>
      <c r="C10347" s="2">
        <f>IFERROR(__xludf.DUMMYFUNCTION("""COMPUTED_VALUE"""),123.86)</f>
        <v>123.86</v>
      </c>
      <c r="D10347" s="2">
        <f>IFERROR(__xludf.DUMMYFUNCTION("""COMPUTED_VALUE"""),121.94)</f>
        <v>121.94</v>
      </c>
      <c r="E10347" s="2">
        <f>IFERROR(__xludf.DUMMYFUNCTION("""COMPUTED_VALUE"""),122.81)</f>
        <v>122.81</v>
      </c>
      <c r="F10347" s="2">
        <f>IFERROR(__xludf.DUMMYFUNCTION("""COMPUTED_VALUE"""),5602466.0)</f>
        <v>5602466</v>
      </c>
    </row>
    <row r="10348">
      <c r="A10348" s="3">
        <f>IFERROR(__xludf.DUMMYFUNCTION("""COMPUTED_VALUE"""),44208.66666666667)</f>
        <v>44208.66667</v>
      </c>
      <c r="B10348" s="2">
        <f>IFERROR(__xludf.DUMMYFUNCTION("""COMPUTED_VALUE"""),123.3)</f>
        <v>123.3</v>
      </c>
      <c r="C10348" s="2">
        <f>IFERROR(__xludf.DUMMYFUNCTION("""COMPUTED_VALUE"""),124.03)</f>
        <v>124.03</v>
      </c>
      <c r="D10348" s="2">
        <f>IFERROR(__xludf.DUMMYFUNCTION("""COMPUTED_VALUE"""),122.2)</f>
        <v>122.2</v>
      </c>
      <c r="E10348" s="2">
        <f>IFERROR(__xludf.DUMMYFUNCTION("""COMPUTED_VALUE"""),123.42)</f>
        <v>123.42</v>
      </c>
      <c r="F10348" s="2">
        <f>IFERROR(__xludf.DUMMYFUNCTION("""COMPUTED_VALUE"""),3749213.0)</f>
        <v>3749213</v>
      </c>
    </row>
    <row r="10349">
      <c r="A10349" s="3">
        <f>IFERROR(__xludf.DUMMYFUNCTION("""COMPUTED_VALUE"""),44209.66666666667)</f>
        <v>44209.66667</v>
      </c>
      <c r="B10349" s="2">
        <f>IFERROR(__xludf.DUMMYFUNCTION("""COMPUTED_VALUE"""),123.36)</f>
        <v>123.36</v>
      </c>
      <c r="C10349" s="2">
        <f>IFERROR(__xludf.DUMMYFUNCTION("""COMPUTED_VALUE"""),123.93)</f>
        <v>123.93</v>
      </c>
      <c r="D10349" s="2">
        <f>IFERROR(__xludf.DUMMYFUNCTION("""COMPUTED_VALUE"""),120.79)</f>
        <v>120.79</v>
      </c>
      <c r="E10349" s="2">
        <f>IFERROR(__xludf.DUMMYFUNCTION("""COMPUTED_VALUE"""),121.23)</f>
        <v>121.23</v>
      </c>
      <c r="F10349" s="2">
        <f>IFERROR(__xludf.DUMMYFUNCTION("""COMPUTED_VALUE"""),7677739.0)</f>
        <v>7677739</v>
      </c>
    </row>
    <row r="10350">
      <c r="A10350" s="3">
        <f>IFERROR(__xludf.DUMMYFUNCTION("""COMPUTED_VALUE"""),44210.66666666667)</f>
        <v>44210.66667</v>
      </c>
      <c r="B10350" s="2">
        <f>IFERROR(__xludf.DUMMYFUNCTION("""COMPUTED_VALUE"""),122.28)</f>
        <v>122.28</v>
      </c>
      <c r="C10350" s="2">
        <f>IFERROR(__xludf.DUMMYFUNCTION("""COMPUTED_VALUE"""),124.32)</f>
        <v>124.32</v>
      </c>
      <c r="D10350" s="2">
        <f>IFERROR(__xludf.DUMMYFUNCTION("""COMPUTED_VALUE"""),121.83)</f>
        <v>121.83</v>
      </c>
      <c r="E10350" s="2">
        <f>IFERROR(__xludf.DUMMYFUNCTION("""COMPUTED_VALUE"""),123.19)</f>
        <v>123.19</v>
      </c>
      <c r="F10350" s="2">
        <f>IFERROR(__xludf.DUMMYFUNCTION("""COMPUTED_VALUE"""),7503180.0)</f>
        <v>7503180</v>
      </c>
    </row>
    <row r="10351">
      <c r="A10351" s="3">
        <f>IFERROR(__xludf.DUMMYFUNCTION("""COMPUTED_VALUE"""),44211.66666666667)</f>
        <v>44211.66667</v>
      </c>
      <c r="B10351" s="2">
        <f>IFERROR(__xludf.DUMMYFUNCTION("""COMPUTED_VALUE"""),122.53)</f>
        <v>122.53</v>
      </c>
      <c r="C10351" s="2">
        <f>IFERROR(__xludf.DUMMYFUNCTION("""COMPUTED_VALUE"""),123.45)</f>
        <v>123.45</v>
      </c>
      <c r="D10351" s="2">
        <f>IFERROR(__xludf.DUMMYFUNCTION("""COMPUTED_VALUE"""),121.95)</f>
        <v>121.95</v>
      </c>
      <c r="E10351" s="2">
        <f>IFERROR(__xludf.DUMMYFUNCTION("""COMPUTED_VALUE"""),122.63)</f>
        <v>122.63</v>
      </c>
      <c r="F10351" s="2">
        <f>IFERROR(__xludf.DUMMYFUNCTION("""COMPUTED_VALUE"""),4905506.0)</f>
        <v>4905506</v>
      </c>
    </row>
    <row r="10352">
      <c r="A10352" s="3">
        <f>IFERROR(__xludf.DUMMYFUNCTION("""COMPUTED_VALUE"""),44215.66666666667)</f>
        <v>44215.66667</v>
      </c>
      <c r="B10352" s="2">
        <f>IFERROR(__xludf.DUMMYFUNCTION("""COMPUTED_VALUE"""),123.48)</f>
        <v>123.48</v>
      </c>
      <c r="C10352" s="2">
        <f>IFERROR(__xludf.DUMMYFUNCTION("""COMPUTED_VALUE"""),123.78)</f>
        <v>123.78</v>
      </c>
      <c r="D10352" s="2">
        <f>IFERROR(__xludf.DUMMYFUNCTION("""COMPUTED_VALUE"""),122.35)</f>
        <v>122.35</v>
      </c>
      <c r="E10352" s="2">
        <f>IFERROR(__xludf.DUMMYFUNCTION("""COMPUTED_VALUE"""),123.24)</f>
        <v>123.24</v>
      </c>
      <c r="F10352" s="2">
        <f>IFERROR(__xludf.DUMMYFUNCTION("""COMPUTED_VALUE"""),5397956.0)</f>
        <v>5397956</v>
      </c>
    </row>
    <row r="10353">
      <c r="A10353" s="3">
        <f>IFERROR(__xludf.DUMMYFUNCTION("""COMPUTED_VALUE"""),44216.66666666667)</f>
        <v>44216.66667</v>
      </c>
      <c r="B10353" s="2">
        <f>IFERROR(__xludf.DUMMYFUNCTION("""COMPUTED_VALUE"""),123.88)</f>
        <v>123.88</v>
      </c>
      <c r="C10353" s="2">
        <f>IFERROR(__xludf.DUMMYFUNCTION("""COMPUTED_VALUE"""),125.18)</f>
        <v>125.18</v>
      </c>
      <c r="D10353" s="2">
        <f>IFERROR(__xludf.DUMMYFUNCTION("""COMPUTED_VALUE"""),122.8)</f>
        <v>122.8</v>
      </c>
      <c r="E10353" s="2">
        <f>IFERROR(__xludf.DUMMYFUNCTION("""COMPUTED_VALUE"""),124.25)</f>
        <v>124.25</v>
      </c>
      <c r="F10353" s="2">
        <f>IFERROR(__xludf.DUMMYFUNCTION("""COMPUTED_VALUE"""),5598705.0)</f>
        <v>5598705</v>
      </c>
    </row>
    <row r="10354">
      <c r="A10354" s="3">
        <f>IFERROR(__xludf.DUMMYFUNCTION("""COMPUTED_VALUE"""),44217.66666666667)</f>
        <v>44217.66667</v>
      </c>
      <c r="B10354" s="2">
        <f>IFERROR(__xludf.DUMMYFUNCTION("""COMPUTED_VALUE"""),124.29)</f>
        <v>124.29</v>
      </c>
      <c r="C10354" s="2">
        <f>IFERROR(__xludf.DUMMYFUNCTION("""COMPUTED_VALUE"""),126.31)</f>
        <v>126.31</v>
      </c>
      <c r="D10354" s="2">
        <f>IFERROR(__xludf.DUMMYFUNCTION("""COMPUTED_VALUE"""),124.22)</f>
        <v>124.22</v>
      </c>
      <c r="E10354" s="2">
        <f>IFERROR(__xludf.DUMMYFUNCTION("""COMPUTED_VALUE"""),125.75)</f>
        <v>125.75</v>
      </c>
      <c r="F10354" s="2">
        <f>IFERROR(__xludf.DUMMYFUNCTION("""COMPUTED_VALUE"""),1.2819233E7)</f>
        <v>12819233</v>
      </c>
    </row>
    <row r="10355">
      <c r="A10355" s="3">
        <f>IFERROR(__xludf.DUMMYFUNCTION("""COMPUTED_VALUE"""),44218.66666666667)</f>
        <v>44218.66667</v>
      </c>
      <c r="B10355" s="2">
        <f>IFERROR(__xludf.DUMMYFUNCTION("""COMPUTED_VALUE"""),115.29)</f>
        <v>115.29</v>
      </c>
      <c r="C10355" s="2">
        <f>IFERROR(__xludf.DUMMYFUNCTION("""COMPUTED_VALUE"""),115.29)</f>
        <v>115.29</v>
      </c>
      <c r="D10355" s="2">
        <f>IFERROR(__xludf.DUMMYFUNCTION("""COMPUTED_VALUE"""),112.1)</f>
        <v>112.1</v>
      </c>
      <c r="E10355" s="2">
        <f>IFERROR(__xludf.DUMMYFUNCTION("""COMPUTED_VALUE"""),113.29)</f>
        <v>113.29</v>
      </c>
      <c r="F10355" s="2">
        <f>IFERROR(__xludf.DUMMYFUNCTION("""COMPUTED_VALUE"""),3.8063533E7)</f>
        <v>38063533</v>
      </c>
    </row>
    <row r="10356">
      <c r="A10356" s="3">
        <f>IFERROR(__xludf.DUMMYFUNCTION("""COMPUTED_VALUE"""),44221.66666666667)</f>
        <v>44221.66667</v>
      </c>
      <c r="B10356" s="2">
        <f>IFERROR(__xludf.DUMMYFUNCTION("""COMPUTED_VALUE"""),113.44)</f>
        <v>113.44</v>
      </c>
      <c r="C10356" s="2">
        <f>IFERROR(__xludf.DUMMYFUNCTION("""COMPUTED_VALUE"""),114.18)</f>
        <v>114.18</v>
      </c>
      <c r="D10356" s="2">
        <f>IFERROR(__xludf.DUMMYFUNCTION("""COMPUTED_VALUE"""),112.18)</f>
        <v>112.18</v>
      </c>
      <c r="E10356" s="2">
        <f>IFERROR(__xludf.DUMMYFUNCTION("""COMPUTED_VALUE"""),113.26)</f>
        <v>113.26</v>
      </c>
      <c r="F10356" s="2">
        <f>IFERROR(__xludf.DUMMYFUNCTION("""COMPUTED_VALUE"""),1.3686391E7)</f>
        <v>13686391</v>
      </c>
    </row>
    <row r="10357">
      <c r="A10357" s="3">
        <f>IFERROR(__xludf.DUMMYFUNCTION("""COMPUTED_VALUE"""),44222.66666666667)</f>
        <v>44222.66667</v>
      </c>
      <c r="B10357" s="2">
        <f>IFERROR(__xludf.DUMMYFUNCTION("""COMPUTED_VALUE"""),113.84)</f>
        <v>113.84</v>
      </c>
      <c r="C10357" s="2">
        <f>IFERROR(__xludf.DUMMYFUNCTION("""COMPUTED_VALUE"""),117.09)</f>
        <v>117.09</v>
      </c>
      <c r="D10357" s="2">
        <f>IFERROR(__xludf.DUMMYFUNCTION("""COMPUTED_VALUE"""),113.11)</f>
        <v>113.11</v>
      </c>
      <c r="E10357" s="2">
        <f>IFERROR(__xludf.DUMMYFUNCTION("""COMPUTED_VALUE"""),117.0)</f>
        <v>117</v>
      </c>
      <c r="F10357" s="2">
        <f>IFERROR(__xludf.DUMMYFUNCTION("""COMPUTED_VALUE"""),1.0694708E7)</f>
        <v>10694708</v>
      </c>
    </row>
    <row r="10358">
      <c r="A10358" s="3">
        <f>IFERROR(__xludf.DUMMYFUNCTION("""COMPUTED_VALUE"""),44223.66666666667)</f>
        <v>44223.66667</v>
      </c>
      <c r="B10358" s="2">
        <f>IFERROR(__xludf.DUMMYFUNCTION("""COMPUTED_VALUE"""),116.61)</f>
        <v>116.61</v>
      </c>
      <c r="C10358" s="2">
        <f>IFERROR(__xludf.DUMMYFUNCTION("""COMPUTED_VALUE"""),119.19)</f>
        <v>119.19</v>
      </c>
      <c r="D10358" s="2">
        <f>IFERROR(__xludf.DUMMYFUNCTION("""COMPUTED_VALUE"""),116.17)</f>
        <v>116.17</v>
      </c>
      <c r="E10358" s="2">
        <f>IFERROR(__xludf.DUMMYFUNCTION("""COMPUTED_VALUE"""),116.98)</f>
        <v>116.98</v>
      </c>
      <c r="F10358" s="2">
        <f>IFERROR(__xludf.DUMMYFUNCTION("""COMPUTED_VALUE"""),1.2146541E7)</f>
        <v>12146541</v>
      </c>
    </row>
    <row r="10359">
      <c r="A10359" s="3">
        <f>IFERROR(__xludf.DUMMYFUNCTION("""COMPUTED_VALUE"""),44224.66666666667)</f>
        <v>44224.66667</v>
      </c>
      <c r="B10359" s="2">
        <f>IFERROR(__xludf.DUMMYFUNCTION("""COMPUTED_VALUE"""),117.29)</f>
        <v>117.29</v>
      </c>
      <c r="C10359" s="2">
        <f>IFERROR(__xludf.DUMMYFUNCTION("""COMPUTED_VALUE"""),117.68)</f>
        <v>117.68</v>
      </c>
      <c r="D10359" s="2">
        <f>IFERROR(__xludf.DUMMYFUNCTION("""COMPUTED_VALUE"""),114.69)</f>
        <v>114.69</v>
      </c>
      <c r="E10359" s="2">
        <f>IFERROR(__xludf.DUMMYFUNCTION("""COMPUTED_VALUE"""),114.7)</f>
        <v>114.7</v>
      </c>
      <c r="F10359" s="2">
        <f>IFERROR(__xludf.DUMMYFUNCTION("""COMPUTED_VALUE"""),8084051.0)</f>
        <v>8084051</v>
      </c>
    </row>
    <row r="10360">
      <c r="A10360" s="3">
        <f>IFERROR(__xludf.DUMMYFUNCTION("""COMPUTED_VALUE"""),44225.66666666667)</f>
        <v>44225.66667</v>
      </c>
      <c r="B10360" s="2">
        <f>IFERROR(__xludf.DUMMYFUNCTION("""COMPUTED_VALUE"""),114.83)</f>
        <v>114.83</v>
      </c>
      <c r="C10360" s="2">
        <f>IFERROR(__xludf.DUMMYFUNCTION("""COMPUTED_VALUE"""),115.86)</f>
        <v>115.86</v>
      </c>
      <c r="D10360" s="2">
        <f>IFERROR(__xludf.DUMMYFUNCTION("""COMPUTED_VALUE"""),113.57)</f>
        <v>113.57</v>
      </c>
      <c r="E10360" s="2">
        <f>IFERROR(__xludf.DUMMYFUNCTION("""COMPUTED_VALUE"""),113.77)</f>
        <v>113.77</v>
      </c>
      <c r="F10360" s="2">
        <f>IFERROR(__xludf.DUMMYFUNCTION("""COMPUTED_VALUE"""),1.1825496E7)</f>
        <v>11825496</v>
      </c>
    </row>
    <row r="10361">
      <c r="A10361" s="3">
        <f>IFERROR(__xludf.DUMMYFUNCTION("""COMPUTED_VALUE"""),44228.66666666667)</f>
        <v>44228.66667</v>
      </c>
      <c r="B10361" s="2">
        <f>IFERROR(__xludf.DUMMYFUNCTION("""COMPUTED_VALUE"""),114.52)</f>
        <v>114.52</v>
      </c>
      <c r="C10361" s="2">
        <f>IFERROR(__xludf.DUMMYFUNCTION("""COMPUTED_VALUE"""),115.53)</f>
        <v>115.53</v>
      </c>
      <c r="D10361" s="2">
        <f>IFERROR(__xludf.DUMMYFUNCTION("""COMPUTED_VALUE"""),113.41)</f>
        <v>113.41</v>
      </c>
      <c r="E10361" s="2">
        <f>IFERROR(__xludf.DUMMYFUNCTION("""COMPUTED_VALUE"""),115.14)</f>
        <v>115.14</v>
      </c>
      <c r="F10361" s="2">
        <f>IFERROR(__xludf.DUMMYFUNCTION("""COMPUTED_VALUE"""),6250508.0)</f>
        <v>6250508</v>
      </c>
    </row>
    <row r="10362">
      <c r="A10362" s="3">
        <f>IFERROR(__xludf.DUMMYFUNCTION("""COMPUTED_VALUE"""),44229.66666666667)</f>
        <v>44229.66667</v>
      </c>
      <c r="B10362" s="2">
        <f>IFERROR(__xludf.DUMMYFUNCTION("""COMPUTED_VALUE"""),114.01)</f>
        <v>114.01</v>
      </c>
      <c r="C10362" s="2">
        <f>IFERROR(__xludf.DUMMYFUNCTION("""COMPUTED_VALUE"""),115.57)</f>
        <v>115.57</v>
      </c>
      <c r="D10362" s="2">
        <f>IFERROR(__xludf.DUMMYFUNCTION("""COMPUTED_VALUE"""),113.93)</f>
        <v>113.93</v>
      </c>
      <c r="E10362" s="2">
        <f>IFERROR(__xludf.DUMMYFUNCTION("""COMPUTED_VALUE"""),114.08)</f>
        <v>114.08</v>
      </c>
      <c r="F10362" s="2">
        <f>IFERROR(__xludf.DUMMYFUNCTION("""COMPUTED_VALUE"""),6341883.0)</f>
        <v>6341883</v>
      </c>
    </row>
    <row r="10363">
      <c r="A10363" s="3">
        <f>IFERROR(__xludf.DUMMYFUNCTION("""COMPUTED_VALUE"""),44230.66666666667)</f>
        <v>44230.66667</v>
      </c>
      <c r="B10363" s="2">
        <f>IFERROR(__xludf.DUMMYFUNCTION("""COMPUTED_VALUE"""),113.7)</f>
        <v>113.7</v>
      </c>
      <c r="C10363" s="2">
        <f>IFERROR(__xludf.DUMMYFUNCTION("""COMPUTED_VALUE"""),114.43)</f>
        <v>114.43</v>
      </c>
      <c r="D10363" s="2">
        <f>IFERROR(__xludf.DUMMYFUNCTION("""COMPUTED_VALUE"""),112.82)</f>
        <v>112.82</v>
      </c>
      <c r="E10363" s="2">
        <f>IFERROR(__xludf.DUMMYFUNCTION("""COMPUTED_VALUE"""),113.78)</f>
        <v>113.78</v>
      </c>
      <c r="F10363" s="2">
        <f>IFERROR(__xludf.DUMMYFUNCTION("""COMPUTED_VALUE"""),6715366.0)</f>
        <v>6715366</v>
      </c>
    </row>
    <row r="10364">
      <c r="A10364" s="3">
        <f>IFERROR(__xludf.DUMMYFUNCTION("""COMPUTED_VALUE"""),44231.66666666667)</f>
        <v>44231.66667</v>
      </c>
      <c r="B10364" s="2">
        <f>IFERROR(__xludf.DUMMYFUNCTION("""COMPUTED_VALUE"""),114.53)</f>
        <v>114.53</v>
      </c>
      <c r="C10364" s="2">
        <f>IFERROR(__xludf.DUMMYFUNCTION("""COMPUTED_VALUE"""),115.67)</f>
        <v>115.67</v>
      </c>
      <c r="D10364" s="2">
        <f>IFERROR(__xludf.DUMMYFUNCTION("""COMPUTED_VALUE"""),113.54)</f>
        <v>113.54</v>
      </c>
      <c r="E10364" s="2">
        <f>IFERROR(__xludf.DUMMYFUNCTION("""COMPUTED_VALUE"""),115.59)</f>
        <v>115.59</v>
      </c>
      <c r="F10364" s="2">
        <f>IFERROR(__xludf.DUMMYFUNCTION("""COMPUTED_VALUE"""),4562124.0)</f>
        <v>4562124</v>
      </c>
    </row>
    <row r="10365">
      <c r="A10365" s="3">
        <f>IFERROR(__xludf.DUMMYFUNCTION("""COMPUTED_VALUE"""),44232.66666666667)</f>
        <v>44232.66667</v>
      </c>
      <c r="B10365" s="2">
        <f>IFERROR(__xludf.DUMMYFUNCTION("""COMPUTED_VALUE"""),115.57)</f>
        <v>115.57</v>
      </c>
      <c r="C10365" s="2">
        <f>IFERROR(__xludf.DUMMYFUNCTION("""COMPUTED_VALUE"""),116.35)</f>
        <v>116.35</v>
      </c>
      <c r="D10365" s="2">
        <f>IFERROR(__xludf.DUMMYFUNCTION("""COMPUTED_VALUE"""),115.12)</f>
        <v>115.12</v>
      </c>
      <c r="E10365" s="2">
        <f>IFERROR(__xludf.DUMMYFUNCTION("""COMPUTED_VALUE"""),116.33)</f>
        <v>116.33</v>
      </c>
      <c r="F10365" s="2">
        <f>IFERROR(__xludf.DUMMYFUNCTION("""COMPUTED_VALUE"""),4565727.0)</f>
        <v>4565727</v>
      </c>
    </row>
    <row r="10366">
      <c r="A10366" s="3">
        <f>IFERROR(__xludf.DUMMYFUNCTION("""COMPUTED_VALUE"""),44235.66666666667)</f>
        <v>44235.66667</v>
      </c>
      <c r="B10366" s="2">
        <f>IFERROR(__xludf.DUMMYFUNCTION("""COMPUTED_VALUE"""),117.12)</f>
        <v>117.12</v>
      </c>
      <c r="C10366" s="2">
        <f>IFERROR(__xludf.DUMMYFUNCTION("""COMPUTED_VALUE"""),118.42)</f>
        <v>118.42</v>
      </c>
      <c r="D10366" s="2">
        <f>IFERROR(__xludf.DUMMYFUNCTION("""COMPUTED_VALUE"""),116.91)</f>
        <v>116.91</v>
      </c>
      <c r="E10366" s="2">
        <f>IFERROR(__xludf.DUMMYFUNCTION("""COMPUTED_VALUE"""),118.07)</f>
        <v>118.07</v>
      </c>
      <c r="F10366" s="2">
        <f>IFERROR(__xludf.DUMMYFUNCTION("""COMPUTED_VALUE"""),5887999.0)</f>
        <v>5887999</v>
      </c>
    </row>
    <row r="10367">
      <c r="A10367" s="3">
        <f>IFERROR(__xludf.DUMMYFUNCTION("""COMPUTED_VALUE"""),44236.66666666667)</f>
        <v>44236.66667</v>
      </c>
      <c r="B10367" s="2">
        <f>IFERROR(__xludf.DUMMYFUNCTION("""COMPUTED_VALUE"""),116.43)</f>
        <v>116.43</v>
      </c>
      <c r="C10367" s="2">
        <f>IFERROR(__xludf.DUMMYFUNCTION("""COMPUTED_VALUE"""),117.1)</f>
        <v>117.1</v>
      </c>
      <c r="D10367" s="2">
        <f>IFERROR(__xludf.DUMMYFUNCTION("""COMPUTED_VALUE"""),115.62)</f>
        <v>115.62</v>
      </c>
      <c r="E10367" s="2">
        <f>IFERROR(__xludf.DUMMYFUNCTION("""COMPUTED_VALUE"""),116.63)</f>
        <v>116.63</v>
      </c>
      <c r="F10367" s="2">
        <f>IFERROR(__xludf.DUMMYFUNCTION("""COMPUTED_VALUE"""),4717014.0)</f>
        <v>4717014</v>
      </c>
    </row>
    <row r="10368">
      <c r="A10368" s="3">
        <f>IFERROR(__xludf.DUMMYFUNCTION("""COMPUTED_VALUE"""),44237.66666666667)</f>
        <v>44237.66667</v>
      </c>
      <c r="B10368" s="2">
        <f>IFERROR(__xludf.DUMMYFUNCTION("""COMPUTED_VALUE"""),117.51)</f>
        <v>117.51</v>
      </c>
      <c r="C10368" s="2">
        <f>IFERROR(__xludf.DUMMYFUNCTION("""COMPUTED_VALUE"""),117.88)</f>
        <v>117.88</v>
      </c>
      <c r="D10368" s="2">
        <f>IFERROR(__xludf.DUMMYFUNCTION("""COMPUTED_VALUE"""),115.78)</f>
        <v>115.78</v>
      </c>
      <c r="E10368" s="2">
        <f>IFERROR(__xludf.DUMMYFUNCTION("""COMPUTED_VALUE"""),116.76)</f>
        <v>116.76</v>
      </c>
      <c r="F10368" s="2">
        <f>IFERROR(__xludf.DUMMYFUNCTION("""COMPUTED_VALUE"""),4866765.0)</f>
        <v>4866765</v>
      </c>
    </row>
    <row r="10369">
      <c r="A10369" s="3">
        <f>IFERROR(__xludf.DUMMYFUNCTION("""COMPUTED_VALUE"""),44238.66666666667)</f>
        <v>44238.66667</v>
      </c>
      <c r="B10369" s="2">
        <f>IFERROR(__xludf.DUMMYFUNCTION("""COMPUTED_VALUE"""),116.53)</f>
        <v>116.53</v>
      </c>
      <c r="C10369" s="2">
        <f>IFERROR(__xludf.DUMMYFUNCTION("""COMPUTED_VALUE"""),116.73)</f>
        <v>116.73</v>
      </c>
      <c r="D10369" s="2">
        <f>IFERROR(__xludf.DUMMYFUNCTION("""COMPUTED_VALUE"""),115.22)</f>
        <v>115.22</v>
      </c>
      <c r="E10369" s="2">
        <f>IFERROR(__xludf.DUMMYFUNCTION("""COMPUTED_VALUE"""),115.49)</f>
        <v>115.49</v>
      </c>
      <c r="F10369" s="2">
        <f>IFERROR(__xludf.DUMMYFUNCTION("""COMPUTED_VALUE"""),5381556.0)</f>
        <v>5381556</v>
      </c>
    </row>
    <row r="10370">
      <c r="A10370" s="3">
        <f>IFERROR(__xludf.DUMMYFUNCTION("""COMPUTED_VALUE"""),44239.66666666667)</f>
        <v>44239.66667</v>
      </c>
      <c r="B10370" s="2">
        <f>IFERROR(__xludf.DUMMYFUNCTION("""COMPUTED_VALUE"""),115.57)</f>
        <v>115.57</v>
      </c>
      <c r="C10370" s="2">
        <f>IFERROR(__xludf.DUMMYFUNCTION("""COMPUTED_VALUE"""),115.92)</f>
        <v>115.92</v>
      </c>
      <c r="D10370" s="2">
        <f>IFERROR(__xludf.DUMMYFUNCTION("""COMPUTED_VALUE"""),114.71)</f>
        <v>114.71</v>
      </c>
      <c r="E10370" s="2">
        <f>IFERROR(__xludf.DUMMYFUNCTION("""COMPUTED_VALUE"""),115.38)</f>
        <v>115.38</v>
      </c>
      <c r="F10370" s="2">
        <f>IFERROR(__xludf.DUMMYFUNCTION("""COMPUTED_VALUE"""),3871195.0)</f>
        <v>3871195</v>
      </c>
    </row>
    <row r="10371">
      <c r="A10371" s="3">
        <f>IFERROR(__xludf.DUMMYFUNCTION("""COMPUTED_VALUE"""),44243.66666666667)</f>
        <v>44243.66667</v>
      </c>
      <c r="B10371" s="2">
        <f>IFERROR(__xludf.DUMMYFUNCTION("""COMPUTED_VALUE"""),114.76)</f>
        <v>114.76</v>
      </c>
      <c r="C10371" s="2">
        <f>IFERROR(__xludf.DUMMYFUNCTION("""COMPUTED_VALUE"""),115.19)</f>
        <v>115.19</v>
      </c>
      <c r="D10371" s="2">
        <f>IFERROR(__xludf.DUMMYFUNCTION("""COMPUTED_VALUE"""),114.01)</f>
        <v>114.01</v>
      </c>
      <c r="E10371" s="2">
        <f>IFERROR(__xludf.DUMMYFUNCTION("""COMPUTED_VALUE"""),114.69)</f>
        <v>114.69</v>
      </c>
      <c r="F10371" s="2">
        <f>IFERROR(__xludf.DUMMYFUNCTION("""COMPUTED_VALUE"""),6639790.0)</f>
        <v>6639790</v>
      </c>
    </row>
    <row r="10372">
      <c r="A10372" s="3">
        <f>IFERROR(__xludf.DUMMYFUNCTION("""COMPUTED_VALUE"""),44244.66666666667)</f>
        <v>44244.66667</v>
      </c>
      <c r="B10372" s="2">
        <f>IFERROR(__xludf.DUMMYFUNCTION("""COMPUTED_VALUE"""),113.92)</f>
        <v>113.92</v>
      </c>
      <c r="C10372" s="2">
        <f>IFERROR(__xludf.DUMMYFUNCTION("""COMPUTED_VALUE"""),115.15)</f>
        <v>115.15</v>
      </c>
      <c r="D10372" s="2">
        <f>IFERROR(__xludf.DUMMYFUNCTION("""COMPUTED_VALUE"""),113.68)</f>
        <v>113.68</v>
      </c>
      <c r="E10372" s="2">
        <f>IFERROR(__xludf.DUMMYFUNCTION("""COMPUTED_VALUE"""),114.59)</f>
        <v>114.59</v>
      </c>
      <c r="F10372" s="2">
        <f>IFERROR(__xludf.DUMMYFUNCTION("""COMPUTED_VALUE"""),3975906.0)</f>
        <v>3975906</v>
      </c>
    </row>
    <row r="10373">
      <c r="A10373" s="3">
        <f>IFERROR(__xludf.DUMMYFUNCTION("""COMPUTED_VALUE"""),44245.66666666667)</f>
        <v>44245.66667</v>
      </c>
      <c r="B10373" s="2">
        <f>IFERROR(__xludf.DUMMYFUNCTION("""COMPUTED_VALUE"""),115.1)</f>
        <v>115.1</v>
      </c>
      <c r="C10373" s="2">
        <f>IFERROR(__xludf.DUMMYFUNCTION("""COMPUTED_VALUE"""),115.52)</f>
        <v>115.52</v>
      </c>
      <c r="D10373" s="2">
        <f>IFERROR(__xludf.DUMMYFUNCTION("""COMPUTED_VALUE"""),114.33)</f>
        <v>114.33</v>
      </c>
      <c r="E10373" s="2">
        <f>IFERROR(__xludf.DUMMYFUNCTION("""COMPUTED_VALUE"""),115.32)</f>
        <v>115.32</v>
      </c>
      <c r="F10373" s="2">
        <f>IFERROR(__xludf.DUMMYFUNCTION("""COMPUTED_VALUE"""),5399145.0)</f>
        <v>5399145</v>
      </c>
    </row>
    <row r="10374">
      <c r="A10374" s="3">
        <f>IFERROR(__xludf.DUMMYFUNCTION("""COMPUTED_VALUE"""),44246.66666666667)</f>
        <v>44246.66667</v>
      </c>
      <c r="B10374" s="2">
        <f>IFERROR(__xludf.DUMMYFUNCTION("""COMPUTED_VALUE"""),115.34)</f>
        <v>115.34</v>
      </c>
      <c r="C10374" s="2">
        <f>IFERROR(__xludf.DUMMYFUNCTION("""COMPUTED_VALUE"""),115.35)</f>
        <v>115.35</v>
      </c>
      <c r="D10374" s="2">
        <f>IFERROR(__xludf.DUMMYFUNCTION("""COMPUTED_VALUE"""),113.07)</f>
        <v>113.07</v>
      </c>
      <c r="E10374" s="2">
        <f>IFERROR(__xludf.DUMMYFUNCTION("""COMPUTED_VALUE"""),113.65)</f>
        <v>113.65</v>
      </c>
      <c r="F10374" s="2">
        <f>IFERROR(__xludf.DUMMYFUNCTION("""COMPUTED_VALUE"""),6578741.0)</f>
        <v>6578741</v>
      </c>
    </row>
    <row r="10375">
      <c r="A10375" s="3">
        <f>IFERROR(__xludf.DUMMYFUNCTION("""COMPUTED_VALUE"""),44249.66666666667)</f>
        <v>44249.66667</v>
      </c>
      <c r="B10375" s="2">
        <f>IFERROR(__xludf.DUMMYFUNCTION("""COMPUTED_VALUE"""),113.19)</f>
        <v>113.19</v>
      </c>
      <c r="C10375" s="2">
        <f>IFERROR(__xludf.DUMMYFUNCTION("""COMPUTED_VALUE"""),115.69)</f>
        <v>115.69</v>
      </c>
      <c r="D10375" s="2">
        <f>IFERROR(__xludf.DUMMYFUNCTION("""COMPUTED_VALUE"""),113.13)</f>
        <v>113.13</v>
      </c>
      <c r="E10375" s="2">
        <f>IFERROR(__xludf.DUMMYFUNCTION("""COMPUTED_VALUE"""),115.44)</f>
        <v>115.44</v>
      </c>
      <c r="F10375" s="2">
        <f>IFERROR(__xludf.DUMMYFUNCTION("""COMPUTED_VALUE"""),5879249.0)</f>
        <v>5879249</v>
      </c>
    </row>
    <row r="10376">
      <c r="A10376" s="3">
        <f>IFERROR(__xludf.DUMMYFUNCTION("""COMPUTED_VALUE"""),44250.66666666667)</f>
        <v>44250.66667</v>
      </c>
      <c r="B10376" s="2">
        <f>IFERROR(__xludf.DUMMYFUNCTION("""COMPUTED_VALUE"""),115.5)</f>
        <v>115.5</v>
      </c>
      <c r="C10376" s="2">
        <f>IFERROR(__xludf.DUMMYFUNCTION("""COMPUTED_VALUE"""),115.91)</f>
        <v>115.91</v>
      </c>
      <c r="D10376" s="2">
        <f>IFERROR(__xludf.DUMMYFUNCTION("""COMPUTED_VALUE"""),114.43)</f>
        <v>114.43</v>
      </c>
      <c r="E10376" s="2">
        <f>IFERROR(__xludf.DUMMYFUNCTION("""COMPUTED_VALUE"""),115.3)</f>
        <v>115.3</v>
      </c>
      <c r="F10376" s="2">
        <f>IFERROR(__xludf.DUMMYFUNCTION("""COMPUTED_VALUE"""),4531464.0)</f>
        <v>4531464</v>
      </c>
    </row>
    <row r="10377">
      <c r="A10377" s="3">
        <f>IFERROR(__xludf.DUMMYFUNCTION("""COMPUTED_VALUE"""),44251.66666666667)</f>
        <v>44251.66667</v>
      </c>
      <c r="B10377" s="2">
        <f>IFERROR(__xludf.DUMMYFUNCTION("""COMPUTED_VALUE"""),115.38)</f>
        <v>115.38</v>
      </c>
      <c r="C10377" s="2">
        <f>IFERROR(__xludf.DUMMYFUNCTION("""COMPUTED_VALUE"""),117.95)</f>
        <v>117.95</v>
      </c>
      <c r="D10377" s="2">
        <f>IFERROR(__xludf.DUMMYFUNCTION("""COMPUTED_VALUE"""),115.12)</f>
        <v>115.12</v>
      </c>
      <c r="E10377" s="2">
        <f>IFERROR(__xludf.DUMMYFUNCTION("""COMPUTED_VALUE"""),117.69)</f>
        <v>117.69</v>
      </c>
      <c r="F10377" s="2">
        <f>IFERROR(__xludf.DUMMYFUNCTION("""COMPUTED_VALUE"""),5819983.0)</f>
        <v>5819983</v>
      </c>
    </row>
    <row r="10378">
      <c r="A10378" s="3">
        <f>IFERROR(__xludf.DUMMYFUNCTION("""COMPUTED_VALUE"""),44252.66666666667)</f>
        <v>44252.66667</v>
      </c>
      <c r="B10378" s="2">
        <f>IFERROR(__xludf.DUMMYFUNCTION("""COMPUTED_VALUE"""),117.84)</f>
        <v>117.84</v>
      </c>
      <c r="C10378" s="2">
        <f>IFERROR(__xludf.DUMMYFUNCTION("""COMPUTED_VALUE"""),118.77)</f>
        <v>118.77</v>
      </c>
      <c r="D10378" s="2">
        <f>IFERROR(__xludf.DUMMYFUNCTION("""COMPUTED_VALUE"""),116.85)</f>
        <v>116.85</v>
      </c>
      <c r="E10378" s="2">
        <f>IFERROR(__xludf.DUMMYFUNCTION("""COMPUTED_VALUE"""),116.98)</f>
        <v>116.98</v>
      </c>
      <c r="F10378" s="2">
        <f>IFERROR(__xludf.DUMMYFUNCTION("""COMPUTED_VALUE"""),5691830.0)</f>
        <v>5691830</v>
      </c>
    </row>
    <row r="10379">
      <c r="A10379" s="3">
        <f>IFERROR(__xludf.DUMMYFUNCTION("""COMPUTED_VALUE"""),44253.66666666667)</f>
        <v>44253.66667</v>
      </c>
      <c r="B10379" s="2">
        <f>IFERROR(__xludf.DUMMYFUNCTION("""COMPUTED_VALUE"""),116.77)</f>
        <v>116.77</v>
      </c>
      <c r="C10379" s="2">
        <f>IFERROR(__xludf.DUMMYFUNCTION("""COMPUTED_VALUE"""),116.77)</f>
        <v>116.77</v>
      </c>
      <c r="D10379" s="2">
        <f>IFERROR(__xludf.DUMMYFUNCTION("""COMPUTED_VALUE"""),113.55)</f>
        <v>113.55</v>
      </c>
      <c r="E10379" s="2">
        <f>IFERROR(__xludf.DUMMYFUNCTION("""COMPUTED_VALUE"""),113.6)</f>
        <v>113.6</v>
      </c>
      <c r="F10379" s="2">
        <f>IFERROR(__xludf.DUMMYFUNCTION("""COMPUTED_VALUE"""),9050990.0)</f>
        <v>9050990</v>
      </c>
    </row>
    <row r="10380">
      <c r="A10380" s="3">
        <f>IFERROR(__xludf.DUMMYFUNCTION("""COMPUTED_VALUE"""),44256.66666666667)</f>
        <v>44256.66667</v>
      </c>
      <c r="B10380" s="2">
        <f>IFERROR(__xludf.DUMMYFUNCTION("""COMPUTED_VALUE"""),114.95)</f>
        <v>114.95</v>
      </c>
      <c r="C10380" s="2">
        <f>IFERROR(__xludf.DUMMYFUNCTION("""COMPUTED_VALUE"""),116.84)</f>
        <v>116.84</v>
      </c>
      <c r="D10380" s="2">
        <f>IFERROR(__xludf.DUMMYFUNCTION("""COMPUTED_VALUE"""),114.49)</f>
        <v>114.49</v>
      </c>
      <c r="E10380" s="2">
        <f>IFERROR(__xludf.DUMMYFUNCTION("""COMPUTED_VALUE"""),115.33)</f>
        <v>115.33</v>
      </c>
      <c r="F10380" s="2">
        <f>IFERROR(__xludf.DUMMYFUNCTION("""COMPUTED_VALUE"""),5715767.0)</f>
        <v>5715767</v>
      </c>
    </row>
    <row r="10381">
      <c r="A10381" s="3">
        <f>IFERROR(__xludf.DUMMYFUNCTION("""COMPUTED_VALUE"""),44257.66666666667)</f>
        <v>44257.66667</v>
      </c>
      <c r="B10381" s="2">
        <f>IFERROR(__xludf.DUMMYFUNCTION("""COMPUTED_VALUE"""),115.33)</f>
        <v>115.33</v>
      </c>
      <c r="C10381" s="2">
        <f>IFERROR(__xludf.DUMMYFUNCTION("""COMPUTED_VALUE"""),116.43)</f>
        <v>116.43</v>
      </c>
      <c r="D10381" s="2">
        <f>IFERROR(__xludf.DUMMYFUNCTION("""COMPUTED_VALUE"""),114.87)</f>
        <v>114.87</v>
      </c>
      <c r="E10381" s="2">
        <f>IFERROR(__xludf.DUMMYFUNCTION("""COMPUTED_VALUE"""),114.93)</f>
        <v>114.93</v>
      </c>
      <c r="F10381" s="2">
        <f>IFERROR(__xludf.DUMMYFUNCTION("""COMPUTED_VALUE"""),4524299.0)</f>
        <v>4524299</v>
      </c>
    </row>
    <row r="10382">
      <c r="A10382" s="3">
        <f>IFERROR(__xludf.DUMMYFUNCTION("""COMPUTED_VALUE"""),44258.66666666667)</f>
        <v>44258.66667</v>
      </c>
      <c r="B10382" s="2">
        <f>IFERROR(__xludf.DUMMYFUNCTION("""COMPUTED_VALUE"""),115.1)</f>
        <v>115.1</v>
      </c>
      <c r="C10382" s="2">
        <f>IFERROR(__xludf.DUMMYFUNCTION("""COMPUTED_VALUE"""),117.14)</f>
        <v>117.14</v>
      </c>
      <c r="D10382" s="2">
        <f>IFERROR(__xludf.DUMMYFUNCTION("""COMPUTED_VALUE"""),114.6)</f>
        <v>114.6</v>
      </c>
      <c r="E10382" s="2">
        <f>IFERROR(__xludf.DUMMYFUNCTION("""COMPUTED_VALUE"""),116.87)</f>
        <v>116.87</v>
      </c>
      <c r="F10382" s="2">
        <f>IFERROR(__xludf.DUMMYFUNCTION("""COMPUTED_VALUE"""),7404269.0)</f>
        <v>7404269</v>
      </c>
    </row>
    <row r="10383">
      <c r="A10383" s="3">
        <f>IFERROR(__xludf.DUMMYFUNCTION("""COMPUTED_VALUE"""),44259.66666666667)</f>
        <v>44259.66667</v>
      </c>
      <c r="B10383" s="2">
        <f>IFERROR(__xludf.DUMMYFUNCTION("""COMPUTED_VALUE"""),116.53)</f>
        <v>116.53</v>
      </c>
      <c r="C10383" s="2">
        <f>IFERROR(__xludf.DUMMYFUNCTION("""COMPUTED_VALUE"""),117.7)</f>
        <v>117.7</v>
      </c>
      <c r="D10383" s="2">
        <f>IFERROR(__xludf.DUMMYFUNCTION("""COMPUTED_VALUE"""),113.43)</f>
        <v>113.43</v>
      </c>
      <c r="E10383" s="2">
        <f>IFERROR(__xludf.DUMMYFUNCTION("""COMPUTED_VALUE"""),114.72)</f>
        <v>114.72</v>
      </c>
      <c r="F10383" s="2">
        <f>IFERROR(__xludf.DUMMYFUNCTION("""COMPUTED_VALUE"""),8068492.0)</f>
        <v>8068492</v>
      </c>
    </row>
    <row r="10384">
      <c r="A10384" s="3">
        <f>IFERROR(__xludf.DUMMYFUNCTION("""COMPUTED_VALUE"""),44260.66666666667)</f>
        <v>44260.66667</v>
      </c>
      <c r="B10384" s="2">
        <f>IFERROR(__xludf.DUMMYFUNCTION("""COMPUTED_VALUE"""),115.23)</f>
        <v>115.23</v>
      </c>
      <c r="C10384" s="2">
        <f>IFERROR(__xludf.DUMMYFUNCTION("""COMPUTED_VALUE"""),118.2)</f>
        <v>118.2</v>
      </c>
      <c r="D10384" s="2">
        <f>IFERROR(__xludf.DUMMYFUNCTION("""COMPUTED_VALUE"""),114.86)</f>
        <v>114.86</v>
      </c>
      <c r="E10384" s="2">
        <f>IFERROR(__xludf.DUMMYFUNCTION("""COMPUTED_VALUE"""),117.32)</f>
        <v>117.32</v>
      </c>
      <c r="F10384" s="2">
        <f>IFERROR(__xludf.DUMMYFUNCTION("""COMPUTED_VALUE"""),6949265.0)</f>
        <v>6949265</v>
      </c>
    </row>
    <row r="10385">
      <c r="A10385" s="3">
        <f>IFERROR(__xludf.DUMMYFUNCTION("""COMPUTED_VALUE"""),44263.66666666667)</f>
        <v>44263.66667</v>
      </c>
      <c r="B10385" s="2">
        <f>IFERROR(__xludf.DUMMYFUNCTION("""COMPUTED_VALUE"""),117.48)</f>
        <v>117.48</v>
      </c>
      <c r="C10385" s="2">
        <f>IFERROR(__xludf.DUMMYFUNCTION("""COMPUTED_VALUE"""),121.16)</f>
        <v>121.16</v>
      </c>
      <c r="D10385" s="2">
        <f>IFERROR(__xludf.DUMMYFUNCTION("""COMPUTED_VALUE"""),117.37)</f>
        <v>117.37</v>
      </c>
      <c r="E10385" s="2">
        <f>IFERROR(__xludf.DUMMYFUNCTION("""COMPUTED_VALUE"""),119.21)</f>
        <v>119.21</v>
      </c>
      <c r="F10385" s="2">
        <f>IFERROR(__xludf.DUMMYFUNCTION("""COMPUTED_VALUE"""),7239191.0)</f>
        <v>7239191</v>
      </c>
    </row>
    <row r="10386">
      <c r="A10386" s="3">
        <f>IFERROR(__xludf.DUMMYFUNCTION("""COMPUTED_VALUE"""),44264.66666666667)</f>
        <v>44264.66667</v>
      </c>
      <c r="B10386" s="2">
        <f>IFERROR(__xludf.DUMMYFUNCTION("""COMPUTED_VALUE"""),119.78)</f>
        <v>119.78</v>
      </c>
      <c r="C10386" s="2">
        <f>IFERROR(__xludf.DUMMYFUNCTION("""COMPUTED_VALUE"""),120.76)</f>
        <v>120.76</v>
      </c>
      <c r="D10386" s="2">
        <f>IFERROR(__xludf.DUMMYFUNCTION("""COMPUTED_VALUE"""),118.59)</f>
        <v>118.59</v>
      </c>
      <c r="E10386" s="2">
        <f>IFERROR(__xludf.DUMMYFUNCTION("""COMPUTED_VALUE"""),118.61)</f>
        <v>118.61</v>
      </c>
      <c r="F10386" s="2">
        <f>IFERROR(__xludf.DUMMYFUNCTION("""COMPUTED_VALUE"""),5609029.0)</f>
        <v>5609029</v>
      </c>
    </row>
    <row r="10387">
      <c r="A10387" s="3">
        <f>IFERROR(__xludf.DUMMYFUNCTION("""COMPUTED_VALUE"""),44265.66666666667)</f>
        <v>44265.66667</v>
      </c>
      <c r="B10387" s="2">
        <f>IFERROR(__xludf.DUMMYFUNCTION("""COMPUTED_VALUE"""),119.44)</f>
        <v>119.44</v>
      </c>
      <c r="C10387" s="2">
        <f>IFERROR(__xludf.DUMMYFUNCTION("""COMPUTED_VALUE"""),122.49)</f>
        <v>122.49</v>
      </c>
      <c r="D10387" s="2">
        <f>IFERROR(__xludf.DUMMYFUNCTION("""COMPUTED_VALUE"""),119.02)</f>
        <v>119.02</v>
      </c>
      <c r="E10387" s="2">
        <f>IFERROR(__xludf.DUMMYFUNCTION("""COMPUTED_VALUE"""),122.14)</f>
        <v>122.14</v>
      </c>
      <c r="F10387" s="2">
        <f>IFERROR(__xludf.DUMMYFUNCTION("""COMPUTED_VALUE"""),7247807.0)</f>
        <v>7247807</v>
      </c>
    </row>
    <row r="10388">
      <c r="A10388" s="3">
        <f>IFERROR(__xludf.DUMMYFUNCTION("""COMPUTED_VALUE"""),44266.66666666667)</f>
        <v>44266.66667</v>
      </c>
      <c r="B10388" s="2">
        <f>IFERROR(__xludf.DUMMYFUNCTION("""COMPUTED_VALUE"""),122.35)</f>
        <v>122.35</v>
      </c>
      <c r="C10388" s="2">
        <f>IFERROR(__xludf.DUMMYFUNCTION("""COMPUTED_VALUE"""),122.87)</f>
        <v>122.87</v>
      </c>
      <c r="D10388" s="2">
        <f>IFERROR(__xludf.DUMMYFUNCTION("""COMPUTED_VALUE"""),121.1)</f>
        <v>121.1</v>
      </c>
      <c r="E10388" s="2">
        <f>IFERROR(__xludf.DUMMYFUNCTION("""COMPUTED_VALUE"""),121.44)</f>
        <v>121.44</v>
      </c>
      <c r="F10388" s="2">
        <f>IFERROR(__xludf.DUMMYFUNCTION("""COMPUTED_VALUE"""),5146937.0)</f>
        <v>5146937</v>
      </c>
    </row>
    <row r="10389">
      <c r="A10389" s="3">
        <f>IFERROR(__xludf.DUMMYFUNCTION("""COMPUTED_VALUE"""),44267.66666666667)</f>
        <v>44267.66667</v>
      </c>
      <c r="B10389" s="2">
        <f>IFERROR(__xludf.DUMMYFUNCTION("""COMPUTED_VALUE"""),121.49)</f>
        <v>121.49</v>
      </c>
      <c r="C10389" s="2">
        <f>IFERROR(__xludf.DUMMYFUNCTION("""COMPUTED_VALUE"""),121.96)</f>
        <v>121.96</v>
      </c>
      <c r="D10389" s="2">
        <f>IFERROR(__xludf.DUMMYFUNCTION("""COMPUTED_VALUE"""),120.93)</f>
        <v>120.93</v>
      </c>
      <c r="E10389" s="2">
        <f>IFERROR(__xludf.DUMMYFUNCTION("""COMPUTED_VALUE"""),121.89)</f>
        <v>121.89</v>
      </c>
      <c r="F10389" s="2">
        <f>IFERROR(__xludf.DUMMYFUNCTION("""COMPUTED_VALUE"""),4010100.0)</f>
        <v>4010100</v>
      </c>
    </row>
    <row r="10390">
      <c r="A10390" s="3">
        <f>IFERROR(__xludf.DUMMYFUNCTION("""COMPUTED_VALUE"""),44270.66666666667)</f>
        <v>44270.66667</v>
      </c>
      <c r="B10390" s="2">
        <f>IFERROR(__xludf.DUMMYFUNCTION("""COMPUTED_VALUE"""),122.04)</f>
        <v>122.04</v>
      </c>
      <c r="C10390" s="2">
        <f>IFERROR(__xludf.DUMMYFUNCTION("""COMPUTED_VALUE"""),122.98)</f>
        <v>122.98</v>
      </c>
      <c r="D10390" s="2">
        <f>IFERROR(__xludf.DUMMYFUNCTION("""COMPUTED_VALUE"""),121.82)</f>
        <v>121.82</v>
      </c>
      <c r="E10390" s="2">
        <f>IFERROR(__xludf.DUMMYFUNCTION("""COMPUTED_VALUE"""),122.81)</f>
        <v>122.81</v>
      </c>
      <c r="F10390" s="2">
        <f>IFERROR(__xludf.DUMMYFUNCTION("""COMPUTED_VALUE"""),3421281.0)</f>
        <v>3421281</v>
      </c>
    </row>
    <row r="10391">
      <c r="A10391" s="3">
        <f>IFERROR(__xludf.DUMMYFUNCTION("""COMPUTED_VALUE"""),44271.66666666667)</f>
        <v>44271.66667</v>
      </c>
      <c r="B10391" s="2">
        <f>IFERROR(__xludf.DUMMYFUNCTION("""COMPUTED_VALUE"""),122.53)</f>
        <v>122.53</v>
      </c>
      <c r="C10391" s="2">
        <f>IFERROR(__xludf.DUMMYFUNCTION("""COMPUTED_VALUE"""),122.76)</f>
        <v>122.76</v>
      </c>
      <c r="D10391" s="2">
        <f>IFERROR(__xludf.DUMMYFUNCTION("""COMPUTED_VALUE"""),121.63)</f>
        <v>121.63</v>
      </c>
      <c r="E10391" s="2">
        <f>IFERROR(__xludf.DUMMYFUNCTION("""COMPUTED_VALUE"""),122.49)</f>
        <v>122.49</v>
      </c>
      <c r="F10391" s="2">
        <f>IFERROR(__xludf.DUMMYFUNCTION("""COMPUTED_VALUE"""),4653178.0)</f>
        <v>4653178</v>
      </c>
    </row>
    <row r="10392">
      <c r="A10392" s="3">
        <f>IFERROR(__xludf.DUMMYFUNCTION("""COMPUTED_VALUE"""),44272.66666666667)</f>
        <v>44272.66667</v>
      </c>
      <c r="B10392" s="2">
        <f>IFERROR(__xludf.DUMMYFUNCTION("""COMPUTED_VALUE"""),122.7)</f>
        <v>122.7</v>
      </c>
      <c r="C10392" s="2">
        <f>IFERROR(__xludf.DUMMYFUNCTION("""COMPUTED_VALUE"""),123.68)</f>
        <v>123.68</v>
      </c>
      <c r="D10392" s="2">
        <f>IFERROR(__xludf.DUMMYFUNCTION("""COMPUTED_VALUE"""),121.77)</f>
        <v>121.77</v>
      </c>
      <c r="E10392" s="2">
        <f>IFERROR(__xludf.DUMMYFUNCTION("""COMPUTED_VALUE"""),123.24)</f>
        <v>123.24</v>
      </c>
      <c r="F10392" s="2">
        <f>IFERROR(__xludf.DUMMYFUNCTION("""COMPUTED_VALUE"""),4291351.0)</f>
        <v>4291351</v>
      </c>
    </row>
    <row r="10393">
      <c r="A10393" s="3">
        <f>IFERROR(__xludf.DUMMYFUNCTION("""COMPUTED_VALUE"""),44273.66666666667)</f>
        <v>44273.66667</v>
      </c>
      <c r="B10393" s="2">
        <f>IFERROR(__xludf.DUMMYFUNCTION("""COMPUTED_VALUE"""),123.16)</f>
        <v>123.16</v>
      </c>
      <c r="C10393" s="2">
        <f>IFERROR(__xludf.DUMMYFUNCTION("""COMPUTED_VALUE"""),125.12)</f>
        <v>125.12</v>
      </c>
      <c r="D10393" s="2">
        <f>IFERROR(__xludf.DUMMYFUNCTION("""COMPUTED_VALUE"""),122.06)</f>
        <v>122.06</v>
      </c>
      <c r="E10393" s="2">
        <f>IFERROR(__xludf.DUMMYFUNCTION("""COMPUTED_VALUE"""),124.23)</f>
        <v>124.23</v>
      </c>
      <c r="F10393" s="2">
        <f>IFERROR(__xludf.DUMMYFUNCTION("""COMPUTED_VALUE"""),5835669.0)</f>
        <v>5835669</v>
      </c>
    </row>
    <row r="10394">
      <c r="A10394" s="3">
        <f>IFERROR(__xludf.DUMMYFUNCTION("""COMPUTED_VALUE"""),44274.66666666667)</f>
        <v>44274.66667</v>
      </c>
      <c r="B10394" s="2">
        <f>IFERROR(__xludf.DUMMYFUNCTION("""COMPUTED_VALUE"""),124.19)</f>
        <v>124.19</v>
      </c>
      <c r="C10394" s="2">
        <f>IFERROR(__xludf.DUMMYFUNCTION("""COMPUTED_VALUE"""),124.59)</f>
        <v>124.59</v>
      </c>
      <c r="D10394" s="2">
        <f>IFERROR(__xludf.DUMMYFUNCTION("""COMPUTED_VALUE"""),122.77)</f>
        <v>122.77</v>
      </c>
      <c r="E10394" s="2">
        <f>IFERROR(__xludf.DUMMYFUNCTION("""COMPUTED_VALUE"""),123.12)</f>
        <v>123.12</v>
      </c>
      <c r="F10394" s="2">
        <f>IFERROR(__xludf.DUMMYFUNCTION("""COMPUTED_VALUE"""),9844983.0)</f>
        <v>9844983</v>
      </c>
    </row>
    <row r="10395">
      <c r="A10395" s="3">
        <f>IFERROR(__xludf.DUMMYFUNCTION("""COMPUTED_VALUE"""),44277.66666666667)</f>
        <v>44277.66667</v>
      </c>
      <c r="B10395" s="2">
        <f>IFERROR(__xludf.DUMMYFUNCTION("""COMPUTED_VALUE"""),122.74)</f>
        <v>122.74</v>
      </c>
      <c r="C10395" s="2">
        <f>IFERROR(__xludf.DUMMYFUNCTION("""COMPUTED_VALUE"""),124.86)</f>
        <v>124.86</v>
      </c>
      <c r="D10395" s="2">
        <f>IFERROR(__xludf.DUMMYFUNCTION("""COMPUTED_VALUE"""),122.16)</f>
        <v>122.16</v>
      </c>
      <c r="E10395" s="2">
        <f>IFERROR(__xludf.DUMMYFUNCTION("""COMPUTED_VALUE"""),124.7)</f>
        <v>124.7</v>
      </c>
      <c r="F10395" s="2">
        <f>IFERROR(__xludf.DUMMYFUNCTION("""COMPUTED_VALUE"""),4164914.0)</f>
        <v>4164914</v>
      </c>
    </row>
    <row r="10396">
      <c r="A10396" s="3">
        <f>IFERROR(__xludf.DUMMYFUNCTION("""COMPUTED_VALUE"""),44278.66666666667)</f>
        <v>44278.66667</v>
      </c>
      <c r="B10396" s="2">
        <f>IFERROR(__xludf.DUMMYFUNCTION("""COMPUTED_VALUE"""),124.59)</f>
        <v>124.59</v>
      </c>
      <c r="C10396" s="2">
        <f>IFERROR(__xludf.DUMMYFUNCTION("""COMPUTED_VALUE"""),125.66)</f>
        <v>125.66</v>
      </c>
      <c r="D10396" s="2">
        <f>IFERROR(__xludf.DUMMYFUNCTION("""COMPUTED_VALUE"""),123.98)</f>
        <v>123.98</v>
      </c>
      <c r="E10396" s="2">
        <f>IFERROR(__xludf.DUMMYFUNCTION("""COMPUTED_VALUE"""),124.61)</f>
        <v>124.61</v>
      </c>
      <c r="F10396" s="2">
        <f>IFERROR(__xludf.DUMMYFUNCTION("""COMPUTED_VALUE"""),4356359.0)</f>
        <v>4356359</v>
      </c>
    </row>
    <row r="10397">
      <c r="A10397" s="3">
        <f>IFERROR(__xludf.DUMMYFUNCTION("""COMPUTED_VALUE"""),44279.66666666667)</f>
        <v>44279.66667</v>
      </c>
      <c r="B10397" s="2">
        <f>IFERROR(__xludf.DUMMYFUNCTION("""COMPUTED_VALUE"""),125.08)</f>
        <v>125.08</v>
      </c>
      <c r="C10397" s="2">
        <f>IFERROR(__xludf.DUMMYFUNCTION("""COMPUTED_VALUE"""),126.19)</f>
        <v>126.19</v>
      </c>
      <c r="D10397" s="2">
        <f>IFERROR(__xludf.DUMMYFUNCTION("""COMPUTED_VALUE"""),124.72)</f>
        <v>124.72</v>
      </c>
      <c r="E10397" s="2">
        <f>IFERROR(__xludf.DUMMYFUNCTION("""COMPUTED_VALUE"""),124.76)</f>
        <v>124.76</v>
      </c>
      <c r="F10397" s="2">
        <f>IFERROR(__xludf.DUMMYFUNCTION("""COMPUTED_VALUE"""),4005027.0)</f>
        <v>4005027</v>
      </c>
    </row>
    <row r="10398">
      <c r="A10398" s="3">
        <f>IFERROR(__xludf.DUMMYFUNCTION("""COMPUTED_VALUE"""),44280.66666666667)</f>
        <v>44280.66667</v>
      </c>
      <c r="B10398" s="2">
        <f>IFERROR(__xludf.DUMMYFUNCTION("""COMPUTED_VALUE"""),124.49)</f>
        <v>124.49</v>
      </c>
      <c r="C10398" s="2">
        <f>IFERROR(__xludf.DUMMYFUNCTION("""COMPUTED_VALUE"""),127.27)</f>
        <v>127.27</v>
      </c>
      <c r="D10398" s="2">
        <f>IFERROR(__xludf.DUMMYFUNCTION("""COMPUTED_VALUE"""),123.95)</f>
        <v>123.95</v>
      </c>
      <c r="E10398" s="2">
        <f>IFERROR(__xludf.DUMMYFUNCTION("""COMPUTED_VALUE"""),127.1)</f>
        <v>127.1</v>
      </c>
      <c r="F10398" s="2">
        <f>IFERROR(__xludf.DUMMYFUNCTION("""COMPUTED_VALUE"""),5553966.0)</f>
        <v>5553966</v>
      </c>
    </row>
    <row r="10399">
      <c r="A10399" s="3">
        <f>IFERROR(__xludf.DUMMYFUNCTION("""COMPUTED_VALUE"""),44281.66666666667)</f>
        <v>44281.66667</v>
      </c>
      <c r="B10399" s="2">
        <f>IFERROR(__xludf.DUMMYFUNCTION("""COMPUTED_VALUE"""),127.31)</f>
        <v>127.31</v>
      </c>
      <c r="C10399" s="2">
        <f>IFERROR(__xludf.DUMMYFUNCTION("""COMPUTED_VALUE"""),130.36)</f>
        <v>130.36</v>
      </c>
      <c r="D10399" s="2">
        <f>IFERROR(__xludf.DUMMYFUNCTION("""COMPUTED_VALUE"""),127.15)</f>
        <v>127.15</v>
      </c>
      <c r="E10399" s="2">
        <f>IFERROR(__xludf.DUMMYFUNCTION("""COMPUTED_VALUE"""),130.27)</f>
        <v>130.27</v>
      </c>
      <c r="F10399" s="2">
        <f>IFERROR(__xludf.DUMMYFUNCTION("""COMPUTED_VALUE"""),5567592.0)</f>
        <v>5567592</v>
      </c>
    </row>
    <row r="10400">
      <c r="A10400" s="3">
        <f>IFERROR(__xludf.DUMMYFUNCTION("""COMPUTED_VALUE"""),44284.66666666667)</f>
        <v>44284.66667</v>
      </c>
      <c r="B10400" s="2">
        <f>IFERROR(__xludf.DUMMYFUNCTION("""COMPUTED_VALUE"""),129.88)</f>
        <v>129.88</v>
      </c>
      <c r="C10400" s="2">
        <f>IFERROR(__xludf.DUMMYFUNCTION("""COMPUTED_VALUE"""),130.92)</f>
        <v>130.92</v>
      </c>
      <c r="D10400" s="2">
        <f>IFERROR(__xludf.DUMMYFUNCTION("""COMPUTED_VALUE"""),129.43)</f>
        <v>129.43</v>
      </c>
      <c r="E10400" s="2">
        <f>IFERROR(__xludf.DUMMYFUNCTION("""COMPUTED_VALUE"""),129.77)</f>
        <v>129.77</v>
      </c>
      <c r="F10400" s="2">
        <f>IFERROR(__xludf.DUMMYFUNCTION("""COMPUTED_VALUE"""),4622664.0)</f>
        <v>4622664</v>
      </c>
    </row>
    <row r="10401">
      <c r="A10401" s="3">
        <f>IFERROR(__xludf.DUMMYFUNCTION("""COMPUTED_VALUE"""),44285.66666666667)</f>
        <v>44285.66667</v>
      </c>
      <c r="B10401" s="2">
        <f>IFERROR(__xludf.DUMMYFUNCTION("""COMPUTED_VALUE"""),129.77)</f>
        <v>129.77</v>
      </c>
      <c r="C10401" s="2">
        <f>IFERROR(__xludf.DUMMYFUNCTION("""COMPUTED_VALUE"""),130.16)</f>
        <v>130.16</v>
      </c>
      <c r="D10401" s="2">
        <f>IFERROR(__xludf.DUMMYFUNCTION("""COMPUTED_VALUE"""),128.01)</f>
        <v>128.01</v>
      </c>
      <c r="E10401" s="2">
        <f>IFERROR(__xludf.DUMMYFUNCTION("""COMPUTED_VALUE"""),128.68)</f>
        <v>128.68</v>
      </c>
      <c r="F10401" s="2">
        <f>IFERROR(__xludf.DUMMYFUNCTION("""COMPUTED_VALUE"""),4790366.0)</f>
        <v>4790366</v>
      </c>
    </row>
    <row r="10402">
      <c r="A10402" s="3">
        <f>IFERROR(__xludf.DUMMYFUNCTION("""COMPUTED_VALUE"""),44286.66666666667)</f>
        <v>44286.66667</v>
      </c>
      <c r="B10402" s="2">
        <f>IFERROR(__xludf.DUMMYFUNCTION("""COMPUTED_VALUE"""),128.51)</f>
        <v>128.51</v>
      </c>
      <c r="C10402" s="2">
        <f>IFERROR(__xludf.DUMMYFUNCTION("""COMPUTED_VALUE"""),128.67)</f>
        <v>128.67</v>
      </c>
      <c r="D10402" s="2">
        <f>IFERROR(__xludf.DUMMYFUNCTION("""COMPUTED_VALUE"""),126.76)</f>
        <v>126.76</v>
      </c>
      <c r="E10402" s="2">
        <f>IFERROR(__xludf.DUMMYFUNCTION("""COMPUTED_VALUE"""),127.29)</f>
        <v>127.29</v>
      </c>
      <c r="F10402" s="2">
        <f>IFERROR(__xludf.DUMMYFUNCTION("""COMPUTED_VALUE"""),4945315.0)</f>
        <v>4945315</v>
      </c>
    </row>
    <row r="10403">
      <c r="A10403" s="3">
        <f>IFERROR(__xludf.DUMMYFUNCTION("""COMPUTED_VALUE"""),44287.66666666667)</f>
        <v>44287.66667</v>
      </c>
      <c r="B10403" s="2">
        <f>IFERROR(__xludf.DUMMYFUNCTION("""COMPUTED_VALUE"""),127.76)</f>
        <v>127.76</v>
      </c>
      <c r="C10403" s="2">
        <f>IFERROR(__xludf.DUMMYFUNCTION("""COMPUTED_VALUE"""),127.93)</f>
        <v>127.93</v>
      </c>
      <c r="D10403" s="2">
        <f>IFERROR(__xludf.DUMMYFUNCTION("""COMPUTED_VALUE"""),126.34)</f>
        <v>126.34</v>
      </c>
      <c r="E10403" s="2">
        <f>IFERROR(__xludf.DUMMYFUNCTION("""COMPUTED_VALUE"""),127.26)</f>
        <v>127.26</v>
      </c>
      <c r="F10403" s="2">
        <f>IFERROR(__xludf.DUMMYFUNCTION("""COMPUTED_VALUE"""),4074161.0)</f>
        <v>4074161</v>
      </c>
    </row>
    <row r="10404">
      <c r="A10404" s="3">
        <f>IFERROR(__xludf.DUMMYFUNCTION("""COMPUTED_VALUE"""),44291.66666666667)</f>
        <v>44291.66667</v>
      </c>
      <c r="B10404" s="2">
        <f>IFERROR(__xludf.DUMMYFUNCTION("""COMPUTED_VALUE"""),127.65)</f>
        <v>127.65</v>
      </c>
      <c r="C10404" s="2">
        <f>IFERROR(__xludf.DUMMYFUNCTION("""COMPUTED_VALUE"""),130.56)</f>
        <v>130.56</v>
      </c>
      <c r="D10404" s="2">
        <f>IFERROR(__xludf.DUMMYFUNCTION("""COMPUTED_VALUE"""),127.42)</f>
        <v>127.42</v>
      </c>
      <c r="E10404" s="2">
        <f>IFERROR(__xludf.DUMMYFUNCTION("""COMPUTED_VALUE"""),129.84)</f>
        <v>129.84</v>
      </c>
      <c r="F10404" s="2">
        <f>IFERROR(__xludf.DUMMYFUNCTION("""COMPUTED_VALUE"""),5471616.0)</f>
        <v>5471616</v>
      </c>
    </row>
    <row r="10405">
      <c r="A10405" s="3">
        <f>IFERROR(__xludf.DUMMYFUNCTION("""COMPUTED_VALUE"""),44292.66666666667)</f>
        <v>44292.66667</v>
      </c>
      <c r="B10405" s="2">
        <f>IFERROR(__xludf.DUMMYFUNCTION("""COMPUTED_VALUE"""),129.5)</f>
        <v>129.5</v>
      </c>
      <c r="C10405" s="2">
        <f>IFERROR(__xludf.DUMMYFUNCTION("""COMPUTED_VALUE"""),129.56)</f>
        <v>129.56</v>
      </c>
      <c r="D10405" s="2">
        <f>IFERROR(__xludf.DUMMYFUNCTION("""COMPUTED_VALUE"""),128.08)</f>
        <v>128.08</v>
      </c>
      <c r="E10405" s="2">
        <f>IFERROR(__xludf.DUMMYFUNCTION("""COMPUTED_VALUE"""),128.2)</f>
        <v>128.2</v>
      </c>
      <c r="F10405" s="2">
        <f>IFERROR(__xludf.DUMMYFUNCTION("""COMPUTED_VALUE"""),3620964.0)</f>
        <v>3620964</v>
      </c>
    </row>
    <row r="10406">
      <c r="A10406" s="3">
        <f>IFERROR(__xludf.DUMMYFUNCTION("""COMPUTED_VALUE"""),44293.66666666667)</f>
        <v>44293.66667</v>
      </c>
      <c r="B10406" s="2">
        <f>IFERROR(__xludf.DUMMYFUNCTION("""COMPUTED_VALUE"""),127.84)</f>
        <v>127.84</v>
      </c>
      <c r="C10406" s="2">
        <f>IFERROR(__xludf.DUMMYFUNCTION("""COMPUTED_VALUE"""),128.89)</f>
        <v>128.89</v>
      </c>
      <c r="D10406" s="2">
        <f>IFERROR(__xludf.DUMMYFUNCTION("""COMPUTED_VALUE"""),127.78)</f>
        <v>127.78</v>
      </c>
      <c r="E10406" s="2">
        <f>IFERROR(__xludf.DUMMYFUNCTION("""COMPUTED_VALUE"""),128.88)</f>
        <v>128.88</v>
      </c>
      <c r="F10406" s="2">
        <f>IFERROR(__xludf.DUMMYFUNCTION("""COMPUTED_VALUE"""),2976136.0)</f>
        <v>2976136</v>
      </c>
    </row>
    <row r="10407">
      <c r="A10407" s="3">
        <f>IFERROR(__xludf.DUMMYFUNCTION("""COMPUTED_VALUE"""),44294.66666666667)</f>
        <v>44294.66667</v>
      </c>
      <c r="B10407" s="2">
        <f>IFERROR(__xludf.DUMMYFUNCTION("""COMPUTED_VALUE"""),128.54)</f>
        <v>128.54</v>
      </c>
      <c r="C10407" s="2">
        <f>IFERROR(__xludf.DUMMYFUNCTION("""COMPUTED_VALUE"""),129.55)</f>
        <v>129.55</v>
      </c>
      <c r="D10407" s="2">
        <f>IFERROR(__xludf.DUMMYFUNCTION("""COMPUTED_VALUE"""),128.14)</f>
        <v>128.14</v>
      </c>
      <c r="E10407" s="2">
        <f>IFERROR(__xludf.DUMMYFUNCTION("""COMPUTED_VALUE"""),129.06)</f>
        <v>129.06</v>
      </c>
      <c r="F10407" s="2">
        <f>IFERROR(__xludf.DUMMYFUNCTION("""COMPUTED_VALUE"""),4087228.0)</f>
        <v>4087228</v>
      </c>
    </row>
    <row r="10408">
      <c r="A10408" s="3">
        <f>IFERROR(__xludf.DUMMYFUNCTION("""COMPUTED_VALUE"""),44295.66666666667)</f>
        <v>44295.66667</v>
      </c>
      <c r="B10408" s="2">
        <f>IFERROR(__xludf.DUMMYFUNCTION("""COMPUTED_VALUE"""),128.82)</f>
        <v>128.82</v>
      </c>
      <c r="C10408" s="2">
        <f>IFERROR(__xludf.DUMMYFUNCTION("""COMPUTED_VALUE"""),129.65)</f>
        <v>129.65</v>
      </c>
      <c r="D10408" s="2">
        <f>IFERROR(__xludf.DUMMYFUNCTION("""COMPUTED_VALUE"""),128.67)</f>
        <v>128.67</v>
      </c>
      <c r="E10408" s="2">
        <f>IFERROR(__xludf.DUMMYFUNCTION("""COMPUTED_VALUE"""),129.64)</f>
        <v>129.64</v>
      </c>
      <c r="F10408" s="2">
        <f>IFERROR(__xludf.DUMMYFUNCTION("""COMPUTED_VALUE"""),3023916.0)</f>
        <v>3023916</v>
      </c>
    </row>
    <row r="10409">
      <c r="A10409" s="3">
        <f>IFERROR(__xludf.DUMMYFUNCTION("""COMPUTED_VALUE"""),44298.66666666667)</f>
        <v>44298.66667</v>
      </c>
      <c r="B10409" s="2">
        <f>IFERROR(__xludf.DUMMYFUNCTION("""COMPUTED_VALUE"""),128.97)</f>
        <v>128.97</v>
      </c>
      <c r="C10409" s="2">
        <f>IFERROR(__xludf.DUMMYFUNCTION("""COMPUTED_VALUE"""),129.3)</f>
        <v>129.3</v>
      </c>
      <c r="D10409" s="2">
        <f>IFERROR(__xludf.DUMMYFUNCTION("""COMPUTED_VALUE"""),127.85)</f>
        <v>127.85</v>
      </c>
      <c r="E10409" s="2">
        <f>IFERROR(__xludf.DUMMYFUNCTION("""COMPUTED_VALUE"""),128.56)</f>
        <v>128.56</v>
      </c>
      <c r="F10409" s="2">
        <f>IFERROR(__xludf.DUMMYFUNCTION("""COMPUTED_VALUE"""),3753959.0)</f>
        <v>3753959</v>
      </c>
    </row>
    <row r="10410">
      <c r="A10410" s="3">
        <f>IFERROR(__xludf.DUMMYFUNCTION("""COMPUTED_VALUE"""),44299.66666666667)</f>
        <v>44299.66667</v>
      </c>
      <c r="B10410" s="2">
        <f>IFERROR(__xludf.DUMMYFUNCTION("""COMPUTED_VALUE"""),127.04)</f>
        <v>127.04</v>
      </c>
      <c r="C10410" s="2">
        <f>IFERROR(__xludf.DUMMYFUNCTION("""COMPUTED_VALUE"""),127.63)</f>
        <v>127.63</v>
      </c>
      <c r="D10410" s="2">
        <f>IFERROR(__xludf.DUMMYFUNCTION("""COMPUTED_VALUE"""),124.53)</f>
        <v>124.53</v>
      </c>
      <c r="E10410" s="2">
        <f>IFERROR(__xludf.DUMMYFUNCTION("""COMPUTED_VALUE"""),125.3)</f>
        <v>125.3</v>
      </c>
      <c r="F10410" s="2">
        <f>IFERROR(__xludf.DUMMYFUNCTION("""COMPUTED_VALUE"""),8033530.0)</f>
        <v>8033530</v>
      </c>
    </row>
    <row r="10411">
      <c r="A10411" s="3">
        <f>IFERROR(__xludf.DUMMYFUNCTION("""COMPUTED_VALUE"""),44300.66666666667)</f>
        <v>44300.66667</v>
      </c>
      <c r="B10411" s="2">
        <f>IFERROR(__xludf.DUMMYFUNCTION("""COMPUTED_VALUE"""),125.42)</f>
        <v>125.42</v>
      </c>
      <c r="C10411" s="2">
        <f>IFERROR(__xludf.DUMMYFUNCTION("""COMPUTED_VALUE"""),126.83)</f>
        <v>126.83</v>
      </c>
      <c r="D10411" s="2">
        <f>IFERROR(__xludf.DUMMYFUNCTION("""COMPUTED_VALUE"""),124.67)</f>
        <v>124.67</v>
      </c>
      <c r="E10411" s="2">
        <f>IFERROR(__xludf.DUMMYFUNCTION("""COMPUTED_VALUE"""),126.68)</f>
        <v>126.68</v>
      </c>
      <c r="F10411" s="2">
        <f>IFERROR(__xludf.DUMMYFUNCTION("""COMPUTED_VALUE"""),5868049.0)</f>
        <v>5868049</v>
      </c>
    </row>
    <row r="10412">
      <c r="A10412" s="3">
        <f>IFERROR(__xludf.DUMMYFUNCTION("""COMPUTED_VALUE"""),44301.66666666667)</f>
        <v>44301.66667</v>
      </c>
      <c r="B10412" s="2">
        <f>IFERROR(__xludf.DUMMYFUNCTION("""COMPUTED_VALUE"""),127.3)</f>
        <v>127.3</v>
      </c>
      <c r="C10412" s="2">
        <f>IFERROR(__xludf.DUMMYFUNCTION("""COMPUTED_VALUE"""),127.87)</f>
        <v>127.87</v>
      </c>
      <c r="D10412" s="2">
        <f>IFERROR(__xludf.DUMMYFUNCTION("""COMPUTED_VALUE"""),126.29)</f>
        <v>126.29</v>
      </c>
      <c r="E10412" s="2">
        <f>IFERROR(__xludf.DUMMYFUNCTION("""COMPUTED_VALUE"""),126.64)</f>
        <v>126.64</v>
      </c>
      <c r="F10412" s="2">
        <f>IFERROR(__xludf.DUMMYFUNCTION("""COMPUTED_VALUE"""),3883955.0)</f>
        <v>3883955</v>
      </c>
    </row>
    <row r="10413">
      <c r="A10413" s="3">
        <f>IFERROR(__xludf.DUMMYFUNCTION("""COMPUTED_VALUE"""),44302.66666666667)</f>
        <v>44302.66667</v>
      </c>
      <c r="B10413" s="2">
        <f>IFERROR(__xludf.DUMMYFUNCTION("""COMPUTED_VALUE"""),127.04)</f>
        <v>127.04</v>
      </c>
      <c r="C10413" s="2">
        <f>IFERROR(__xludf.DUMMYFUNCTION("""COMPUTED_VALUE"""),128.09)</f>
        <v>128.09</v>
      </c>
      <c r="D10413" s="2">
        <f>IFERROR(__xludf.DUMMYFUNCTION("""COMPUTED_VALUE"""),126.99)</f>
        <v>126.99</v>
      </c>
      <c r="E10413" s="2">
        <f>IFERROR(__xludf.DUMMYFUNCTION("""COMPUTED_VALUE"""),127.6)</f>
        <v>127.6</v>
      </c>
      <c r="F10413" s="2">
        <f>IFERROR(__xludf.DUMMYFUNCTION("""COMPUTED_VALUE"""),5291756.0)</f>
        <v>5291756</v>
      </c>
    </row>
    <row r="10414">
      <c r="A10414" s="3">
        <f>IFERROR(__xludf.DUMMYFUNCTION("""COMPUTED_VALUE"""),44305.66666666667)</f>
        <v>44305.66667</v>
      </c>
      <c r="B10414" s="2">
        <f>IFERROR(__xludf.DUMMYFUNCTION("""COMPUTED_VALUE"""),127.61)</f>
        <v>127.61</v>
      </c>
      <c r="C10414" s="2">
        <f>IFERROR(__xludf.DUMMYFUNCTION("""COMPUTED_VALUE"""),127.82)</f>
        <v>127.82</v>
      </c>
      <c r="D10414" s="2">
        <f>IFERROR(__xludf.DUMMYFUNCTION("""COMPUTED_VALUE"""),126.64)</f>
        <v>126.64</v>
      </c>
      <c r="E10414" s="2">
        <f>IFERROR(__xludf.DUMMYFUNCTION("""COMPUTED_VALUE"""),127.15)</f>
        <v>127.15</v>
      </c>
      <c r="F10414" s="2">
        <f>IFERROR(__xludf.DUMMYFUNCTION("""COMPUTED_VALUE"""),8198582.0)</f>
        <v>8198582</v>
      </c>
    </row>
    <row r="10415">
      <c r="A10415" s="3">
        <f>IFERROR(__xludf.DUMMYFUNCTION("""COMPUTED_VALUE"""),44306.66666666667)</f>
        <v>44306.66667</v>
      </c>
      <c r="B10415" s="2">
        <f>IFERROR(__xludf.DUMMYFUNCTION("""COMPUTED_VALUE"""),130.92)</f>
        <v>130.92</v>
      </c>
      <c r="C10415" s="2">
        <f>IFERROR(__xludf.DUMMYFUNCTION("""COMPUTED_VALUE"""),133.5)</f>
        <v>133.5</v>
      </c>
      <c r="D10415" s="2">
        <f>IFERROR(__xludf.DUMMYFUNCTION("""COMPUTED_VALUE"""),130.57)</f>
        <v>130.57</v>
      </c>
      <c r="E10415" s="2">
        <f>IFERROR(__xludf.DUMMYFUNCTION("""COMPUTED_VALUE"""),131.97)</f>
        <v>131.97</v>
      </c>
      <c r="F10415" s="2">
        <f>IFERROR(__xludf.DUMMYFUNCTION("""COMPUTED_VALUE"""),1.5480579E7)</f>
        <v>15480579</v>
      </c>
    </row>
    <row r="10416">
      <c r="A10416" s="3">
        <f>IFERROR(__xludf.DUMMYFUNCTION("""COMPUTED_VALUE"""),44307.66666666667)</f>
        <v>44307.66667</v>
      </c>
      <c r="B10416" s="2">
        <f>IFERROR(__xludf.DUMMYFUNCTION("""COMPUTED_VALUE"""),131.87)</f>
        <v>131.87</v>
      </c>
      <c r="C10416" s="2">
        <f>IFERROR(__xludf.DUMMYFUNCTION("""COMPUTED_VALUE"""),137.29)</f>
        <v>137.29</v>
      </c>
      <c r="D10416" s="2">
        <f>IFERROR(__xludf.DUMMYFUNCTION("""COMPUTED_VALUE"""),131.54)</f>
        <v>131.54</v>
      </c>
      <c r="E10416" s="2">
        <f>IFERROR(__xludf.DUMMYFUNCTION("""COMPUTED_VALUE"""),137.11)</f>
        <v>137.11</v>
      </c>
      <c r="F10416" s="2">
        <f>IFERROR(__xludf.DUMMYFUNCTION("""COMPUTED_VALUE"""),1.1909005E7)</f>
        <v>11909005</v>
      </c>
    </row>
    <row r="10417">
      <c r="A10417" s="3">
        <f>IFERROR(__xludf.DUMMYFUNCTION("""COMPUTED_VALUE"""),44308.66666666667)</f>
        <v>44308.66667</v>
      </c>
      <c r="B10417" s="2">
        <f>IFERROR(__xludf.DUMMYFUNCTION("""COMPUTED_VALUE"""),137.26)</f>
        <v>137.26</v>
      </c>
      <c r="C10417" s="2">
        <f>IFERROR(__xludf.DUMMYFUNCTION("""COMPUTED_VALUE"""),138.25)</f>
        <v>138.25</v>
      </c>
      <c r="D10417" s="2">
        <f>IFERROR(__xludf.DUMMYFUNCTION("""COMPUTED_VALUE"""),134.68)</f>
        <v>134.68</v>
      </c>
      <c r="E10417" s="2">
        <f>IFERROR(__xludf.DUMMYFUNCTION("""COMPUTED_VALUE"""),134.95)</f>
        <v>134.95</v>
      </c>
      <c r="F10417" s="2">
        <f>IFERROR(__xludf.DUMMYFUNCTION("""COMPUTED_VALUE"""),7101368.0)</f>
        <v>7101368</v>
      </c>
    </row>
    <row r="10418">
      <c r="A10418" s="3">
        <f>IFERROR(__xludf.DUMMYFUNCTION("""COMPUTED_VALUE"""),44309.66666666667)</f>
        <v>44309.66667</v>
      </c>
      <c r="B10418" s="2">
        <f>IFERROR(__xludf.DUMMYFUNCTION("""COMPUTED_VALUE"""),134.97)</f>
        <v>134.97</v>
      </c>
      <c r="C10418" s="2">
        <f>IFERROR(__xludf.DUMMYFUNCTION("""COMPUTED_VALUE"""),137.17)</f>
        <v>137.17</v>
      </c>
      <c r="D10418" s="2">
        <f>IFERROR(__xludf.DUMMYFUNCTION("""COMPUTED_VALUE"""),134.63)</f>
        <v>134.63</v>
      </c>
      <c r="E10418" s="2">
        <f>IFERROR(__xludf.DUMMYFUNCTION("""COMPUTED_VALUE"""),136.04)</f>
        <v>136.04</v>
      </c>
      <c r="F10418" s="2">
        <f>IFERROR(__xludf.DUMMYFUNCTION("""COMPUTED_VALUE"""),4556700.0)</f>
        <v>4556700</v>
      </c>
    </row>
    <row r="10419">
      <c r="A10419" s="3">
        <f>IFERROR(__xludf.DUMMYFUNCTION("""COMPUTED_VALUE"""),44312.66666666667)</f>
        <v>44312.66667</v>
      </c>
      <c r="B10419" s="2">
        <f>IFERROR(__xludf.DUMMYFUNCTION("""COMPUTED_VALUE"""),136.03)</f>
        <v>136.03</v>
      </c>
      <c r="C10419" s="2">
        <f>IFERROR(__xludf.DUMMYFUNCTION("""COMPUTED_VALUE"""),137.19)</f>
        <v>137.19</v>
      </c>
      <c r="D10419" s="2">
        <f>IFERROR(__xludf.DUMMYFUNCTION("""COMPUTED_VALUE"""),135.14)</f>
        <v>135.14</v>
      </c>
      <c r="E10419" s="2">
        <f>IFERROR(__xludf.DUMMYFUNCTION("""COMPUTED_VALUE"""),135.22)</f>
        <v>135.22</v>
      </c>
      <c r="F10419" s="2">
        <f>IFERROR(__xludf.DUMMYFUNCTION("""COMPUTED_VALUE"""),4710763.0)</f>
        <v>4710763</v>
      </c>
    </row>
    <row r="10420">
      <c r="A10420" s="3">
        <f>IFERROR(__xludf.DUMMYFUNCTION("""COMPUTED_VALUE"""),44313.66666666667)</f>
        <v>44313.66667</v>
      </c>
      <c r="B10420" s="2">
        <f>IFERROR(__xludf.DUMMYFUNCTION("""COMPUTED_VALUE"""),135.34)</f>
        <v>135.34</v>
      </c>
      <c r="C10420" s="2">
        <f>IFERROR(__xludf.DUMMYFUNCTION("""COMPUTED_VALUE"""),136.17)</f>
        <v>136.17</v>
      </c>
      <c r="D10420" s="2">
        <f>IFERROR(__xludf.DUMMYFUNCTION("""COMPUTED_VALUE"""),134.44)</f>
        <v>134.44</v>
      </c>
      <c r="E10420" s="2">
        <f>IFERROR(__xludf.DUMMYFUNCTION("""COMPUTED_VALUE"""),135.64)</f>
        <v>135.64</v>
      </c>
      <c r="F10420" s="2">
        <f>IFERROR(__xludf.DUMMYFUNCTION("""COMPUTED_VALUE"""),3884037.0)</f>
        <v>3884037</v>
      </c>
    </row>
    <row r="10421">
      <c r="A10421" s="3">
        <f>IFERROR(__xludf.DUMMYFUNCTION("""COMPUTED_VALUE"""),44314.66666666667)</f>
        <v>44314.66667</v>
      </c>
      <c r="B10421" s="2">
        <f>IFERROR(__xludf.DUMMYFUNCTION("""COMPUTED_VALUE"""),136.51)</f>
        <v>136.51</v>
      </c>
      <c r="C10421" s="2">
        <f>IFERROR(__xludf.DUMMYFUNCTION("""COMPUTED_VALUE"""),136.97)</f>
        <v>136.97</v>
      </c>
      <c r="D10421" s="2">
        <f>IFERROR(__xludf.DUMMYFUNCTION("""COMPUTED_VALUE"""),135.73)</f>
        <v>135.73</v>
      </c>
      <c r="E10421" s="2">
        <f>IFERROR(__xludf.DUMMYFUNCTION("""COMPUTED_VALUE"""),136.59)</f>
        <v>136.59</v>
      </c>
      <c r="F10421" s="2">
        <f>IFERROR(__xludf.DUMMYFUNCTION("""COMPUTED_VALUE"""),3768129.0)</f>
        <v>3768129</v>
      </c>
    </row>
    <row r="10422">
      <c r="A10422" s="3">
        <f>IFERROR(__xludf.DUMMYFUNCTION("""COMPUTED_VALUE"""),44315.66666666667)</f>
        <v>44315.66667</v>
      </c>
      <c r="B10422" s="2">
        <f>IFERROR(__xludf.DUMMYFUNCTION("""COMPUTED_VALUE"""),137.67)</f>
        <v>137.67</v>
      </c>
      <c r="C10422" s="2">
        <f>IFERROR(__xludf.DUMMYFUNCTION("""COMPUTED_VALUE"""),142.07)</f>
        <v>142.07</v>
      </c>
      <c r="D10422" s="2">
        <f>IFERROR(__xludf.DUMMYFUNCTION("""COMPUTED_VALUE"""),136.57)</f>
        <v>136.57</v>
      </c>
      <c r="E10422" s="2">
        <f>IFERROR(__xludf.DUMMYFUNCTION("""COMPUTED_VALUE"""),137.77)</f>
        <v>137.77</v>
      </c>
      <c r="F10422" s="2">
        <f>IFERROR(__xludf.DUMMYFUNCTION("""COMPUTED_VALUE"""),4353880.0)</f>
        <v>4353880</v>
      </c>
    </row>
    <row r="10423">
      <c r="A10423" s="3">
        <f>IFERROR(__xludf.DUMMYFUNCTION("""COMPUTED_VALUE"""),44316.66666666667)</f>
        <v>44316.66667</v>
      </c>
      <c r="B10423" s="2">
        <f>IFERROR(__xludf.DUMMYFUNCTION("""COMPUTED_VALUE"""),137.26)</f>
        <v>137.26</v>
      </c>
      <c r="C10423" s="2">
        <f>IFERROR(__xludf.DUMMYFUNCTION("""COMPUTED_VALUE"""),137.38)</f>
        <v>137.38</v>
      </c>
      <c r="D10423" s="2">
        <f>IFERROR(__xludf.DUMMYFUNCTION("""COMPUTED_VALUE"""),134.25)</f>
        <v>134.25</v>
      </c>
      <c r="E10423" s="2">
        <f>IFERROR(__xludf.DUMMYFUNCTION("""COMPUTED_VALUE"""),135.52)</f>
        <v>135.52</v>
      </c>
      <c r="F10423" s="2">
        <f>IFERROR(__xludf.DUMMYFUNCTION("""COMPUTED_VALUE"""),8872181.0)</f>
        <v>8872181</v>
      </c>
    </row>
    <row r="10424">
      <c r="A10424" s="3">
        <f>IFERROR(__xludf.DUMMYFUNCTION("""COMPUTED_VALUE"""),44319.66666666667)</f>
        <v>44319.66667</v>
      </c>
      <c r="B10424" s="2">
        <f>IFERROR(__xludf.DUMMYFUNCTION("""COMPUTED_VALUE"""),137.36)</f>
        <v>137.36</v>
      </c>
      <c r="C10424" s="2">
        <f>IFERROR(__xludf.DUMMYFUNCTION("""COMPUTED_VALUE"""),139.22)</f>
        <v>139.22</v>
      </c>
      <c r="D10424" s="2">
        <f>IFERROR(__xludf.DUMMYFUNCTION("""COMPUTED_VALUE"""),137.11)</f>
        <v>137.11</v>
      </c>
      <c r="E10424" s="2">
        <f>IFERROR(__xludf.DUMMYFUNCTION("""COMPUTED_VALUE"""),138.26)</f>
        <v>138.26</v>
      </c>
      <c r="F10424" s="2">
        <f>IFERROR(__xludf.DUMMYFUNCTION("""COMPUTED_VALUE"""),5733463.0)</f>
        <v>5733463</v>
      </c>
    </row>
    <row r="10425">
      <c r="A10425" s="3">
        <f>IFERROR(__xludf.DUMMYFUNCTION("""COMPUTED_VALUE"""),44320.66666666667)</f>
        <v>44320.66667</v>
      </c>
      <c r="B10425" s="2">
        <f>IFERROR(__xludf.DUMMYFUNCTION("""COMPUTED_VALUE"""),137.94)</f>
        <v>137.94</v>
      </c>
      <c r="C10425" s="2">
        <f>IFERROR(__xludf.DUMMYFUNCTION("""COMPUTED_VALUE"""),140.02)</f>
        <v>140.02</v>
      </c>
      <c r="D10425" s="2">
        <f>IFERROR(__xludf.DUMMYFUNCTION("""COMPUTED_VALUE"""),137.86)</f>
        <v>137.86</v>
      </c>
      <c r="E10425" s="2">
        <f>IFERROR(__xludf.DUMMYFUNCTION("""COMPUTED_VALUE"""),139.22)</f>
        <v>139.22</v>
      </c>
      <c r="F10425" s="2">
        <f>IFERROR(__xludf.DUMMYFUNCTION("""COMPUTED_VALUE"""),6350479.0)</f>
        <v>6350479</v>
      </c>
    </row>
    <row r="10426">
      <c r="A10426" s="3">
        <f>IFERROR(__xludf.DUMMYFUNCTION("""COMPUTED_VALUE"""),44321.66666666667)</f>
        <v>44321.66667</v>
      </c>
      <c r="B10426" s="2">
        <f>IFERROR(__xludf.DUMMYFUNCTION("""COMPUTED_VALUE"""),139.4)</f>
        <v>139.4</v>
      </c>
      <c r="C10426" s="2">
        <f>IFERROR(__xludf.DUMMYFUNCTION("""COMPUTED_VALUE"""),139.45)</f>
        <v>139.45</v>
      </c>
      <c r="D10426" s="2">
        <f>IFERROR(__xludf.DUMMYFUNCTION("""COMPUTED_VALUE"""),137.89)</f>
        <v>137.89</v>
      </c>
      <c r="E10426" s="2">
        <f>IFERROR(__xludf.DUMMYFUNCTION("""COMPUTED_VALUE"""),138.71)</f>
        <v>138.71</v>
      </c>
      <c r="F10426" s="2">
        <f>IFERROR(__xludf.DUMMYFUNCTION("""COMPUTED_VALUE"""),3622786.0)</f>
        <v>3622786</v>
      </c>
    </row>
    <row r="10427">
      <c r="A10427" s="3">
        <f>IFERROR(__xludf.DUMMYFUNCTION("""COMPUTED_VALUE"""),44322.66666666667)</f>
        <v>44322.66667</v>
      </c>
      <c r="B10427" s="2">
        <f>IFERROR(__xludf.DUMMYFUNCTION("""COMPUTED_VALUE"""),138.75)</f>
        <v>138.75</v>
      </c>
      <c r="C10427" s="2">
        <f>IFERROR(__xludf.DUMMYFUNCTION("""COMPUTED_VALUE"""),141.86)</f>
        <v>141.86</v>
      </c>
      <c r="D10427" s="2">
        <f>IFERROR(__xludf.DUMMYFUNCTION("""COMPUTED_VALUE"""),138.67)</f>
        <v>138.67</v>
      </c>
      <c r="E10427" s="2">
        <f>IFERROR(__xludf.DUMMYFUNCTION("""COMPUTED_VALUE"""),141.77)</f>
        <v>141.77</v>
      </c>
      <c r="F10427" s="2">
        <f>IFERROR(__xludf.DUMMYFUNCTION("""COMPUTED_VALUE"""),7503487.0)</f>
        <v>7503487</v>
      </c>
    </row>
    <row r="10428">
      <c r="A10428" s="3">
        <f>IFERROR(__xludf.DUMMYFUNCTION("""COMPUTED_VALUE"""),44323.66666666667)</f>
        <v>44323.66667</v>
      </c>
      <c r="B10428" s="2">
        <f>IFERROR(__xludf.DUMMYFUNCTION("""COMPUTED_VALUE"""),139.38)</f>
        <v>139.38</v>
      </c>
      <c r="C10428" s="2">
        <f>IFERROR(__xludf.DUMMYFUNCTION("""COMPUTED_VALUE"""),139.59)</f>
        <v>139.59</v>
      </c>
      <c r="D10428" s="2">
        <f>IFERROR(__xludf.DUMMYFUNCTION("""COMPUTED_VALUE"""),138.09)</f>
        <v>138.09</v>
      </c>
      <c r="E10428" s="2">
        <f>IFERROR(__xludf.DUMMYFUNCTION("""COMPUTED_VALUE"""),138.94)</f>
        <v>138.94</v>
      </c>
      <c r="F10428" s="2">
        <f>IFERROR(__xludf.DUMMYFUNCTION("""COMPUTED_VALUE"""),7003467.0)</f>
        <v>7003467</v>
      </c>
    </row>
    <row r="10429">
      <c r="A10429" s="3">
        <f>IFERROR(__xludf.DUMMYFUNCTION("""COMPUTED_VALUE"""),44326.66666666667)</f>
        <v>44326.66667</v>
      </c>
      <c r="B10429" s="2">
        <f>IFERROR(__xludf.DUMMYFUNCTION("""COMPUTED_VALUE"""),139.26)</f>
        <v>139.26</v>
      </c>
      <c r="C10429" s="2">
        <f>IFERROR(__xludf.DUMMYFUNCTION("""COMPUTED_VALUE"""),141.73)</f>
        <v>141.73</v>
      </c>
      <c r="D10429" s="2">
        <f>IFERROR(__xludf.DUMMYFUNCTION("""COMPUTED_VALUE"""),139.26)</f>
        <v>139.26</v>
      </c>
      <c r="E10429" s="2">
        <f>IFERROR(__xludf.DUMMYFUNCTION("""COMPUTED_VALUE"""),139.62)</f>
        <v>139.62</v>
      </c>
      <c r="F10429" s="2">
        <f>IFERROR(__xludf.DUMMYFUNCTION("""COMPUTED_VALUE"""),6983377.0)</f>
        <v>6983377</v>
      </c>
    </row>
    <row r="10430">
      <c r="A10430" s="3">
        <f>IFERROR(__xludf.DUMMYFUNCTION("""COMPUTED_VALUE"""),44327.66666666667)</f>
        <v>44327.66667</v>
      </c>
      <c r="B10430" s="2">
        <f>IFERROR(__xludf.DUMMYFUNCTION("""COMPUTED_VALUE"""),138.49)</f>
        <v>138.49</v>
      </c>
      <c r="C10430" s="2">
        <f>IFERROR(__xludf.DUMMYFUNCTION("""COMPUTED_VALUE"""),138.68)</f>
        <v>138.68</v>
      </c>
      <c r="D10430" s="2">
        <f>IFERROR(__xludf.DUMMYFUNCTION("""COMPUTED_VALUE"""),136.49)</f>
        <v>136.49</v>
      </c>
      <c r="E10430" s="2">
        <f>IFERROR(__xludf.DUMMYFUNCTION("""COMPUTED_VALUE"""),137.75)</f>
        <v>137.75</v>
      </c>
      <c r="F10430" s="2">
        <f>IFERROR(__xludf.DUMMYFUNCTION("""COMPUTED_VALUE"""),7126404.0)</f>
        <v>7126404</v>
      </c>
    </row>
    <row r="10431">
      <c r="A10431" s="3">
        <f>IFERROR(__xludf.DUMMYFUNCTION("""COMPUTED_VALUE"""),44328.66666666667)</f>
        <v>44328.66667</v>
      </c>
      <c r="B10431" s="2">
        <f>IFERROR(__xludf.DUMMYFUNCTION("""COMPUTED_VALUE"""),137.39)</f>
        <v>137.39</v>
      </c>
      <c r="C10431" s="2">
        <f>IFERROR(__xludf.DUMMYFUNCTION("""COMPUTED_VALUE"""),137.69)</f>
        <v>137.69</v>
      </c>
      <c r="D10431" s="2">
        <f>IFERROR(__xludf.DUMMYFUNCTION("""COMPUTED_VALUE"""),134.81)</f>
        <v>134.81</v>
      </c>
      <c r="E10431" s="2">
        <f>IFERROR(__xludf.DUMMYFUNCTION("""COMPUTED_VALUE"""),134.96)</f>
        <v>134.96</v>
      </c>
      <c r="F10431" s="2">
        <f>IFERROR(__xludf.DUMMYFUNCTION("""COMPUTED_VALUE"""),5959579.0)</f>
        <v>5959579</v>
      </c>
    </row>
    <row r="10432">
      <c r="A10432" s="3">
        <f>IFERROR(__xludf.DUMMYFUNCTION("""COMPUTED_VALUE"""),44329.66666666667)</f>
        <v>44329.66667</v>
      </c>
      <c r="B10432" s="2">
        <f>IFERROR(__xludf.DUMMYFUNCTION("""COMPUTED_VALUE"""),135.11)</f>
        <v>135.11</v>
      </c>
      <c r="C10432" s="2">
        <f>IFERROR(__xludf.DUMMYFUNCTION("""COMPUTED_VALUE"""),138.4)</f>
        <v>138.4</v>
      </c>
      <c r="D10432" s="2">
        <f>IFERROR(__xludf.DUMMYFUNCTION("""COMPUTED_VALUE"""),134.95)</f>
        <v>134.95</v>
      </c>
      <c r="E10432" s="2">
        <f>IFERROR(__xludf.DUMMYFUNCTION("""COMPUTED_VALUE"""),137.71)</f>
        <v>137.71</v>
      </c>
      <c r="F10432" s="2">
        <f>IFERROR(__xludf.DUMMYFUNCTION("""COMPUTED_VALUE"""),4598920.0)</f>
        <v>4598920</v>
      </c>
    </row>
    <row r="10433">
      <c r="A10433" s="3">
        <f>IFERROR(__xludf.DUMMYFUNCTION("""COMPUTED_VALUE"""),44330.66666666667)</f>
        <v>44330.66667</v>
      </c>
      <c r="B10433" s="2">
        <f>IFERROR(__xludf.DUMMYFUNCTION("""COMPUTED_VALUE"""),138.6)</f>
        <v>138.6</v>
      </c>
      <c r="C10433" s="2">
        <f>IFERROR(__xludf.DUMMYFUNCTION("""COMPUTED_VALUE"""),139.16)</f>
        <v>139.16</v>
      </c>
      <c r="D10433" s="2">
        <f>IFERROR(__xludf.DUMMYFUNCTION("""COMPUTED_VALUE"""),137.51)</f>
        <v>137.51</v>
      </c>
      <c r="E10433" s="2">
        <f>IFERROR(__xludf.DUMMYFUNCTION("""COMPUTED_VALUE"""),138.19)</f>
        <v>138.19</v>
      </c>
      <c r="F10433" s="2">
        <f>IFERROR(__xludf.DUMMYFUNCTION("""COMPUTED_VALUE"""),2747385.0)</f>
        <v>2747385</v>
      </c>
    </row>
    <row r="10434">
      <c r="A10434" s="3">
        <f>IFERROR(__xludf.DUMMYFUNCTION("""COMPUTED_VALUE"""),44333.66666666667)</f>
        <v>44333.66667</v>
      </c>
      <c r="B10434" s="2">
        <f>IFERROR(__xludf.DUMMYFUNCTION("""COMPUTED_VALUE"""),137.96)</f>
        <v>137.96</v>
      </c>
      <c r="C10434" s="2">
        <f>IFERROR(__xludf.DUMMYFUNCTION("""COMPUTED_VALUE"""),139.26)</f>
        <v>139.26</v>
      </c>
      <c r="D10434" s="2">
        <f>IFERROR(__xludf.DUMMYFUNCTION("""COMPUTED_VALUE"""),137.86)</f>
        <v>137.86</v>
      </c>
      <c r="E10434" s="2">
        <f>IFERROR(__xludf.DUMMYFUNCTION("""COMPUTED_VALUE"""),138.6)</f>
        <v>138.6</v>
      </c>
      <c r="F10434" s="2">
        <f>IFERROR(__xludf.DUMMYFUNCTION("""COMPUTED_VALUE"""),4275172.0)</f>
        <v>4275172</v>
      </c>
    </row>
    <row r="10435">
      <c r="A10435" s="3">
        <f>IFERROR(__xludf.DUMMYFUNCTION("""COMPUTED_VALUE"""),44334.66666666667)</f>
        <v>44334.66667</v>
      </c>
      <c r="B10435" s="2">
        <f>IFERROR(__xludf.DUMMYFUNCTION("""COMPUTED_VALUE"""),138.29)</f>
        <v>138.29</v>
      </c>
      <c r="C10435" s="2">
        <f>IFERROR(__xludf.DUMMYFUNCTION("""COMPUTED_VALUE"""),138.79)</f>
        <v>138.79</v>
      </c>
      <c r="D10435" s="2">
        <f>IFERROR(__xludf.DUMMYFUNCTION("""COMPUTED_VALUE"""),136.81)</f>
        <v>136.81</v>
      </c>
      <c r="E10435" s="2">
        <f>IFERROR(__xludf.DUMMYFUNCTION("""COMPUTED_VALUE"""),137.46)</f>
        <v>137.46</v>
      </c>
      <c r="F10435" s="2">
        <f>IFERROR(__xludf.DUMMYFUNCTION("""COMPUTED_VALUE"""),3824050.0)</f>
        <v>3824050</v>
      </c>
    </row>
    <row r="10436">
      <c r="A10436" s="3">
        <f>IFERROR(__xludf.DUMMYFUNCTION("""COMPUTED_VALUE"""),44335.66666666667)</f>
        <v>44335.66667</v>
      </c>
      <c r="B10436" s="2">
        <f>IFERROR(__xludf.DUMMYFUNCTION("""COMPUTED_VALUE"""),135.94)</f>
        <v>135.94</v>
      </c>
      <c r="C10436" s="2">
        <f>IFERROR(__xludf.DUMMYFUNCTION("""COMPUTED_VALUE"""),136.78)</f>
        <v>136.78</v>
      </c>
      <c r="D10436" s="2">
        <f>IFERROR(__xludf.DUMMYFUNCTION("""COMPUTED_VALUE"""),134.6)</f>
        <v>134.6</v>
      </c>
      <c r="E10436" s="2">
        <f>IFERROR(__xludf.DUMMYFUNCTION("""COMPUTED_VALUE"""),136.77)</f>
        <v>136.77</v>
      </c>
      <c r="F10436" s="2">
        <f>IFERROR(__xludf.DUMMYFUNCTION("""COMPUTED_VALUE"""),4300732.0)</f>
        <v>4300732</v>
      </c>
    </row>
    <row r="10437">
      <c r="A10437" s="3">
        <f>IFERROR(__xludf.DUMMYFUNCTION("""COMPUTED_VALUE"""),44336.66666666667)</f>
        <v>44336.66667</v>
      </c>
      <c r="B10437" s="2">
        <f>IFERROR(__xludf.DUMMYFUNCTION("""COMPUTED_VALUE"""),136.7)</f>
        <v>136.7</v>
      </c>
      <c r="C10437" s="2">
        <f>IFERROR(__xludf.DUMMYFUNCTION("""COMPUTED_VALUE"""),138.41)</f>
        <v>138.41</v>
      </c>
      <c r="D10437" s="2">
        <f>IFERROR(__xludf.DUMMYFUNCTION("""COMPUTED_VALUE"""),135.79)</f>
        <v>135.79</v>
      </c>
      <c r="E10437" s="2">
        <f>IFERROR(__xludf.DUMMYFUNCTION("""COMPUTED_VALUE"""),137.43)</f>
        <v>137.43</v>
      </c>
      <c r="F10437" s="2">
        <f>IFERROR(__xludf.DUMMYFUNCTION("""COMPUTED_VALUE"""),4112690.0)</f>
        <v>4112690</v>
      </c>
    </row>
    <row r="10438">
      <c r="A10438" s="3">
        <f>IFERROR(__xludf.DUMMYFUNCTION("""COMPUTED_VALUE"""),44337.66666666667)</f>
        <v>44337.66667</v>
      </c>
      <c r="B10438" s="2">
        <f>IFERROR(__xludf.DUMMYFUNCTION("""COMPUTED_VALUE"""),137.81)</f>
        <v>137.81</v>
      </c>
      <c r="C10438" s="2">
        <f>IFERROR(__xludf.DUMMYFUNCTION("""COMPUTED_VALUE"""),139.17)</f>
        <v>139.17</v>
      </c>
      <c r="D10438" s="2">
        <f>IFERROR(__xludf.DUMMYFUNCTION("""COMPUTED_VALUE"""),137.81)</f>
        <v>137.81</v>
      </c>
      <c r="E10438" s="2">
        <f>IFERROR(__xludf.DUMMYFUNCTION("""COMPUTED_VALUE"""),138.25)</f>
        <v>138.25</v>
      </c>
      <c r="F10438" s="2">
        <f>IFERROR(__xludf.DUMMYFUNCTION("""COMPUTED_VALUE"""),4033482.0)</f>
        <v>4033482</v>
      </c>
    </row>
    <row r="10439">
      <c r="A10439" s="3">
        <f>IFERROR(__xludf.DUMMYFUNCTION("""COMPUTED_VALUE"""),44340.66666666667)</f>
        <v>44340.66667</v>
      </c>
      <c r="B10439" s="2">
        <f>IFERROR(__xludf.DUMMYFUNCTION("""COMPUTED_VALUE"""),138.56)</f>
        <v>138.56</v>
      </c>
      <c r="C10439" s="2">
        <f>IFERROR(__xludf.DUMMYFUNCTION("""COMPUTED_VALUE"""),138.87)</f>
        <v>138.87</v>
      </c>
      <c r="D10439" s="2">
        <f>IFERROR(__xludf.DUMMYFUNCTION("""COMPUTED_VALUE"""),137.72)</f>
        <v>137.72</v>
      </c>
      <c r="E10439" s="2">
        <f>IFERROR(__xludf.DUMMYFUNCTION("""COMPUTED_VALUE"""),138.23)</f>
        <v>138.23</v>
      </c>
      <c r="F10439" s="2">
        <f>IFERROR(__xludf.DUMMYFUNCTION("""COMPUTED_VALUE"""),3297570.0)</f>
        <v>3297570</v>
      </c>
    </row>
    <row r="10440">
      <c r="A10440" s="3">
        <f>IFERROR(__xludf.DUMMYFUNCTION("""COMPUTED_VALUE"""),44341.66666666667)</f>
        <v>44341.66667</v>
      </c>
      <c r="B10440" s="2">
        <f>IFERROR(__xludf.DUMMYFUNCTION("""COMPUTED_VALUE"""),138.42)</f>
        <v>138.42</v>
      </c>
      <c r="C10440" s="2">
        <f>IFERROR(__xludf.DUMMYFUNCTION("""COMPUTED_VALUE"""),138.5)</f>
        <v>138.5</v>
      </c>
      <c r="D10440" s="2">
        <f>IFERROR(__xludf.DUMMYFUNCTION("""COMPUTED_VALUE"""),136.78)</f>
        <v>136.78</v>
      </c>
      <c r="E10440" s="2">
        <f>IFERROR(__xludf.DUMMYFUNCTION("""COMPUTED_VALUE"""),137.34)</f>
        <v>137.34</v>
      </c>
      <c r="F10440" s="2">
        <f>IFERROR(__xludf.DUMMYFUNCTION("""COMPUTED_VALUE"""),3937323.0)</f>
        <v>3937323</v>
      </c>
    </row>
    <row r="10441">
      <c r="A10441" s="3">
        <f>IFERROR(__xludf.DUMMYFUNCTION("""COMPUTED_VALUE"""),44342.66666666667)</f>
        <v>44342.66667</v>
      </c>
      <c r="B10441" s="2">
        <f>IFERROR(__xludf.DUMMYFUNCTION("""COMPUTED_VALUE"""),137.07)</f>
        <v>137.07</v>
      </c>
      <c r="C10441" s="2">
        <f>IFERROR(__xludf.DUMMYFUNCTION("""COMPUTED_VALUE"""),137.53)</f>
        <v>137.53</v>
      </c>
      <c r="D10441" s="2">
        <f>IFERROR(__xludf.DUMMYFUNCTION("""COMPUTED_VALUE"""),136.63)</f>
        <v>136.63</v>
      </c>
      <c r="E10441" s="2">
        <f>IFERROR(__xludf.DUMMYFUNCTION("""COMPUTED_VALUE"""),136.95)</f>
        <v>136.95</v>
      </c>
      <c r="F10441" s="2">
        <f>IFERROR(__xludf.DUMMYFUNCTION("""COMPUTED_VALUE"""),3083789.0)</f>
        <v>3083789</v>
      </c>
    </row>
    <row r="10442">
      <c r="A10442" s="3">
        <f>IFERROR(__xludf.DUMMYFUNCTION("""COMPUTED_VALUE"""),44343.66666666667)</f>
        <v>44343.66667</v>
      </c>
      <c r="B10442" s="2">
        <f>IFERROR(__xludf.DUMMYFUNCTION("""COMPUTED_VALUE"""),137.37)</f>
        <v>137.37</v>
      </c>
      <c r="C10442" s="2">
        <f>IFERROR(__xludf.DUMMYFUNCTION("""COMPUTED_VALUE"""),138.28)</f>
        <v>138.28</v>
      </c>
      <c r="D10442" s="2">
        <f>IFERROR(__xludf.DUMMYFUNCTION("""COMPUTED_VALUE"""),137.19)</f>
        <v>137.19</v>
      </c>
      <c r="E10442" s="2">
        <f>IFERROR(__xludf.DUMMYFUNCTION("""COMPUTED_VALUE"""),137.37)</f>
        <v>137.37</v>
      </c>
      <c r="F10442" s="2">
        <f>IFERROR(__xludf.DUMMYFUNCTION("""COMPUTED_VALUE"""),5630345.0)</f>
        <v>5630345</v>
      </c>
    </row>
    <row r="10443">
      <c r="A10443" s="3">
        <f>IFERROR(__xludf.DUMMYFUNCTION("""COMPUTED_VALUE"""),44344.66666666667)</f>
        <v>44344.66667</v>
      </c>
      <c r="B10443" s="2">
        <f>IFERROR(__xludf.DUMMYFUNCTION("""COMPUTED_VALUE"""),137.74)</f>
        <v>137.74</v>
      </c>
      <c r="C10443" s="2">
        <f>IFERROR(__xludf.DUMMYFUNCTION("""COMPUTED_VALUE"""),137.86)</f>
        <v>137.86</v>
      </c>
      <c r="D10443" s="2">
        <f>IFERROR(__xludf.DUMMYFUNCTION("""COMPUTED_VALUE"""),137.05)</f>
        <v>137.05</v>
      </c>
      <c r="E10443" s="2">
        <f>IFERROR(__xludf.DUMMYFUNCTION("""COMPUTED_VALUE"""),137.3)</f>
        <v>137.3</v>
      </c>
      <c r="F10443" s="2">
        <f>IFERROR(__xludf.DUMMYFUNCTION("""COMPUTED_VALUE"""),2534811.0)</f>
        <v>2534811</v>
      </c>
    </row>
    <row r="10444">
      <c r="A10444" s="3">
        <f>IFERROR(__xludf.DUMMYFUNCTION("""COMPUTED_VALUE"""),44348.66666666667)</f>
        <v>44348.66667</v>
      </c>
      <c r="B10444" s="2">
        <f>IFERROR(__xludf.DUMMYFUNCTION("""COMPUTED_VALUE"""),138.5)</f>
        <v>138.5</v>
      </c>
      <c r="C10444" s="2">
        <f>IFERROR(__xludf.DUMMYFUNCTION("""COMPUTED_VALUE"""),139.29)</f>
        <v>139.29</v>
      </c>
      <c r="D10444" s="2">
        <f>IFERROR(__xludf.DUMMYFUNCTION("""COMPUTED_VALUE"""),137.3)</f>
        <v>137.3</v>
      </c>
      <c r="E10444" s="2">
        <f>IFERROR(__xludf.DUMMYFUNCTION("""COMPUTED_VALUE"""),137.73)</f>
        <v>137.73</v>
      </c>
      <c r="F10444" s="2">
        <f>IFERROR(__xludf.DUMMYFUNCTION("""COMPUTED_VALUE"""),2417455.0)</f>
        <v>2417455</v>
      </c>
    </row>
    <row r="10445">
      <c r="A10445" s="3">
        <f>IFERROR(__xludf.DUMMYFUNCTION("""COMPUTED_VALUE"""),44349.66666666667)</f>
        <v>44349.66667</v>
      </c>
      <c r="B10445" s="2">
        <f>IFERROR(__xludf.DUMMYFUNCTION("""COMPUTED_VALUE"""),138.14)</f>
        <v>138.14</v>
      </c>
      <c r="C10445" s="2">
        <f>IFERROR(__xludf.DUMMYFUNCTION("""COMPUTED_VALUE"""),139.22)</f>
        <v>139.22</v>
      </c>
      <c r="D10445" s="2">
        <f>IFERROR(__xludf.DUMMYFUNCTION("""COMPUTED_VALUE"""),137.65)</f>
        <v>137.65</v>
      </c>
      <c r="E10445" s="2">
        <f>IFERROR(__xludf.DUMMYFUNCTION("""COMPUTED_VALUE"""),139.19)</f>
        <v>139.19</v>
      </c>
      <c r="F10445" s="2">
        <f>IFERROR(__xludf.DUMMYFUNCTION("""COMPUTED_VALUE"""),2786916.0)</f>
        <v>2786916</v>
      </c>
    </row>
    <row r="10446">
      <c r="A10446" s="3">
        <f>IFERROR(__xludf.DUMMYFUNCTION("""COMPUTED_VALUE"""),44350.66666666667)</f>
        <v>44350.66667</v>
      </c>
      <c r="B10446" s="2">
        <f>IFERROR(__xludf.DUMMYFUNCTION("""COMPUTED_VALUE"""),138.41)</f>
        <v>138.41</v>
      </c>
      <c r="C10446" s="2">
        <f>IFERROR(__xludf.DUMMYFUNCTION("""COMPUTED_VALUE"""),139.34)</f>
        <v>139.34</v>
      </c>
      <c r="D10446" s="2">
        <f>IFERROR(__xludf.DUMMYFUNCTION("""COMPUTED_VALUE"""),137.58)</f>
        <v>137.58</v>
      </c>
      <c r="E10446" s="2">
        <f>IFERROR(__xludf.DUMMYFUNCTION("""COMPUTED_VALUE"""),139.02)</f>
        <v>139.02</v>
      </c>
      <c r="F10446" s="2">
        <f>IFERROR(__xludf.DUMMYFUNCTION("""COMPUTED_VALUE"""),4130741.0)</f>
        <v>4130741</v>
      </c>
    </row>
    <row r="10447">
      <c r="A10447" s="3">
        <f>IFERROR(__xludf.DUMMYFUNCTION("""COMPUTED_VALUE"""),44351.66666666667)</f>
        <v>44351.66667</v>
      </c>
      <c r="B10447" s="2">
        <f>IFERROR(__xludf.DUMMYFUNCTION("""COMPUTED_VALUE"""),139.45)</f>
        <v>139.45</v>
      </c>
      <c r="C10447" s="2">
        <f>IFERROR(__xludf.DUMMYFUNCTION("""COMPUTED_VALUE"""),140.93)</f>
        <v>140.93</v>
      </c>
      <c r="D10447" s="2">
        <f>IFERROR(__xludf.DUMMYFUNCTION("""COMPUTED_VALUE"""),139.22)</f>
        <v>139.22</v>
      </c>
      <c r="E10447" s="2">
        <f>IFERROR(__xludf.DUMMYFUNCTION("""COMPUTED_VALUE"""),140.81)</f>
        <v>140.81</v>
      </c>
      <c r="F10447" s="2">
        <f>IFERROR(__xludf.DUMMYFUNCTION("""COMPUTED_VALUE"""),3117905.0)</f>
        <v>3117905</v>
      </c>
    </row>
    <row r="10448">
      <c r="A10448" s="3">
        <f>IFERROR(__xludf.DUMMYFUNCTION("""COMPUTED_VALUE"""),44354.66666666667)</f>
        <v>44354.66667</v>
      </c>
      <c r="B10448" s="2">
        <f>IFERROR(__xludf.DUMMYFUNCTION("""COMPUTED_VALUE"""),140.93)</f>
        <v>140.93</v>
      </c>
      <c r="C10448" s="2">
        <f>IFERROR(__xludf.DUMMYFUNCTION("""COMPUTED_VALUE"""),142.07)</f>
        <v>142.07</v>
      </c>
      <c r="D10448" s="2">
        <f>IFERROR(__xludf.DUMMYFUNCTION("""COMPUTED_VALUE"""),140.57)</f>
        <v>140.57</v>
      </c>
      <c r="E10448" s="2">
        <f>IFERROR(__xludf.DUMMYFUNCTION("""COMPUTED_VALUE"""),141.38)</f>
        <v>141.38</v>
      </c>
      <c r="F10448" s="2">
        <f>IFERROR(__xludf.DUMMYFUNCTION("""COMPUTED_VALUE"""),3462712.0)</f>
        <v>3462712</v>
      </c>
    </row>
    <row r="10449">
      <c r="A10449" s="3">
        <f>IFERROR(__xludf.DUMMYFUNCTION("""COMPUTED_VALUE"""),44355.66666666667)</f>
        <v>44355.66667</v>
      </c>
      <c r="B10449" s="2">
        <f>IFERROR(__xludf.DUMMYFUNCTION("""COMPUTED_VALUE"""),141.48)</f>
        <v>141.48</v>
      </c>
      <c r="C10449" s="2">
        <f>IFERROR(__xludf.DUMMYFUNCTION("""COMPUTED_VALUE"""),143.47)</f>
        <v>143.47</v>
      </c>
      <c r="D10449" s="2">
        <f>IFERROR(__xludf.DUMMYFUNCTION("""COMPUTED_VALUE"""),141.48)</f>
        <v>141.48</v>
      </c>
      <c r="E10449" s="2">
        <f>IFERROR(__xludf.DUMMYFUNCTION("""COMPUTED_VALUE"""),142.39)</f>
        <v>142.39</v>
      </c>
      <c r="F10449" s="2">
        <f>IFERROR(__xludf.DUMMYFUNCTION("""COMPUTED_VALUE"""),5080099.0)</f>
        <v>5080099</v>
      </c>
    </row>
    <row r="10450">
      <c r="A10450" s="3">
        <f>IFERROR(__xludf.DUMMYFUNCTION("""COMPUTED_VALUE"""),44356.66666666667)</f>
        <v>44356.66667</v>
      </c>
      <c r="B10450" s="2">
        <f>IFERROR(__xludf.DUMMYFUNCTION("""COMPUTED_VALUE"""),142.35)</f>
        <v>142.35</v>
      </c>
      <c r="C10450" s="2">
        <f>IFERROR(__xludf.DUMMYFUNCTION("""COMPUTED_VALUE"""),144.3)</f>
        <v>144.3</v>
      </c>
      <c r="D10450" s="2">
        <f>IFERROR(__xludf.DUMMYFUNCTION("""COMPUTED_VALUE"""),142.15)</f>
        <v>142.15</v>
      </c>
      <c r="E10450" s="2">
        <f>IFERROR(__xludf.DUMMYFUNCTION("""COMPUTED_VALUE"""),143.91)</f>
        <v>143.91</v>
      </c>
      <c r="F10450" s="2">
        <f>IFERROR(__xludf.DUMMYFUNCTION("""COMPUTED_VALUE"""),5303252.0)</f>
        <v>5303252</v>
      </c>
    </row>
    <row r="10451">
      <c r="A10451" s="3">
        <f>IFERROR(__xludf.DUMMYFUNCTION("""COMPUTED_VALUE"""),44357.66666666667)</f>
        <v>44357.66667</v>
      </c>
      <c r="B10451" s="2">
        <f>IFERROR(__xludf.DUMMYFUNCTION("""COMPUTED_VALUE"""),144.68)</f>
        <v>144.68</v>
      </c>
      <c r="C10451" s="2">
        <f>IFERROR(__xludf.DUMMYFUNCTION("""COMPUTED_VALUE"""),145.99)</f>
        <v>145.99</v>
      </c>
      <c r="D10451" s="2">
        <f>IFERROR(__xludf.DUMMYFUNCTION("""COMPUTED_VALUE"""),143.05)</f>
        <v>143.05</v>
      </c>
      <c r="E10451" s="2">
        <f>IFERROR(__xludf.DUMMYFUNCTION("""COMPUTED_VALUE"""),143.79)</f>
        <v>143.79</v>
      </c>
      <c r="F10451" s="2">
        <f>IFERROR(__xludf.DUMMYFUNCTION("""COMPUTED_VALUE"""),4758488.0)</f>
        <v>4758488</v>
      </c>
    </row>
    <row r="10452">
      <c r="A10452" s="3">
        <f>IFERROR(__xludf.DUMMYFUNCTION("""COMPUTED_VALUE"""),44358.66666666667)</f>
        <v>44358.66667</v>
      </c>
      <c r="B10452" s="2">
        <f>IFERROR(__xludf.DUMMYFUNCTION("""COMPUTED_VALUE"""),143.69)</f>
        <v>143.69</v>
      </c>
      <c r="C10452" s="2">
        <f>IFERROR(__xludf.DUMMYFUNCTION("""COMPUTED_VALUE"""),145.04)</f>
        <v>145.04</v>
      </c>
      <c r="D10452" s="2">
        <f>IFERROR(__xludf.DUMMYFUNCTION("""COMPUTED_VALUE"""),143.63)</f>
        <v>143.63</v>
      </c>
      <c r="E10452" s="2">
        <f>IFERROR(__xludf.DUMMYFUNCTION("""COMPUTED_VALUE"""),144.5)</f>
        <v>144.5</v>
      </c>
      <c r="F10452" s="2">
        <f>IFERROR(__xludf.DUMMYFUNCTION("""COMPUTED_VALUE"""),3438255.0)</f>
        <v>3438255</v>
      </c>
    </row>
    <row r="10453">
      <c r="A10453" s="3">
        <f>IFERROR(__xludf.DUMMYFUNCTION("""COMPUTED_VALUE"""),44361.66666666667)</f>
        <v>44361.66667</v>
      </c>
      <c r="B10453" s="2">
        <f>IFERROR(__xludf.DUMMYFUNCTION("""COMPUTED_VALUE"""),143.95)</f>
        <v>143.95</v>
      </c>
      <c r="C10453" s="2">
        <f>IFERROR(__xludf.DUMMYFUNCTION("""COMPUTED_VALUE"""),144.26)</f>
        <v>144.26</v>
      </c>
      <c r="D10453" s="2">
        <f>IFERROR(__xludf.DUMMYFUNCTION("""COMPUTED_VALUE"""),141.99)</f>
        <v>141.99</v>
      </c>
      <c r="E10453" s="2">
        <f>IFERROR(__xludf.DUMMYFUNCTION("""COMPUTED_VALUE"""),143.3)</f>
        <v>143.3</v>
      </c>
      <c r="F10453" s="2">
        <f>IFERROR(__xludf.DUMMYFUNCTION("""COMPUTED_VALUE"""),3344845.0)</f>
        <v>3344845</v>
      </c>
    </row>
    <row r="10454">
      <c r="A10454" s="3">
        <f>IFERROR(__xludf.DUMMYFUNCTION("""COMPUTED_VALUE"""),44362.66666666667)</f>
        <v>44362.66667</v>
      </c>
      <c r="B10454" s="2">
        <f>IFERROR(__xludf.DUMMYFUNCTION("""COMPUTED_VALUE"""),143.13)</f>
        <v>143.13</v>
      </c>
      <c r="C10454" s="2">
        <f>IFERROR(__xludf.DUMMYFUNCTION("""COMPUTED_VALUE"""),143.19)</f>
        <v>143.19</v>
      </c>
      <c r="D10454" s="2">
        <f>IFERROR(__xludf.DUMMYFUNCTION("""COMPUTED_VALUE"""),141.94)</f>
        <v>141.94</v>
      </c>
      <c r="E10454" s="2">
        <f>IFERROR(__xludf.DUMMYFUNCTION("""COMPUTED_VALUE"""),142.66)</f>
        <v>142.66</v>
      </c>
      <c r="F10454" s="2">
        <f>IFERROR(__xludf.DUMMYFUNCTION("""COMPUTED_VALUE"""),2513281.0)</f>
        <v>2513281</v>
      </c>
    </row>
    <row r="10455">
      <c r="A10455" s="3">
        <f>IFERROR(__xludf.DUMMYFUNCTION("""COMPUTED_VALUE"""),44363.66666666667)</f>
        <v>44363.66667</v>
      </c>
      <c r="B10455" s="2">
        <f>IFERROR(__xludf.DUMMYFUNCTION("""COMPUTED_VALUE"""),143.05)</f>
        <v>143.05</v>
      </c>
      <c r="C10455" s="2">
        <f>IFERROR(__xludf.DUMMYFUNCTION("""COMPUTED_VALUE"""),143.05)</f>
        <v>143.05</v>
      </c>
      <c r="D10455" s="2">
        <f>IFERROR(__xludf.DUMMYFUNCTION("""COMPUTED_VALUE"""),140.62)</f>
        <v>140.62</v>
      </c>
      <c r="E10455" s="2">
        <f>IFERROR(__xludf.DUMMYFUNCTION("""COMPUTED_VALUE"""),141.2)</f>
        <v>141.2</v>
      </c>
      <c r="F10455" s="2">
        <f>IFERROR(__xludf.DUMMYFUNCTION("""COMPUTED_VALUE"""),3879185.0)</f>
        <v>3879185</v>
      </c>
    </row>
    <row r="10456">
      <c r="A10456" s="3">
        <f>IFERROR(__xludf.DUMMYFUNCTION("""COMPUTED_VALUE"""),44364.66666666667)</f>
        <v>44364.66667</v>
      </c>
      <c r="B10456" s="2">
        <f>IFERROR(__xludf.DUMMYFUNCTION("""COMPUTED_VALUE"""),140.93)</f>
        <v>140.93</v>
      </c>
      <c r="C10456" s="2">
        <f>IFERROR(__xludf.DUMMYFUNCTION("""COMPUTED_VALUE"""),141.42)</f>
        <v>141.42</v>
      </c>
      <c r="D10456" s="2">
        <f>IFERROR(__xludf.DUMMYFUNCTION("""COMPUTED_VALUE"""),138.77)</f>
        <v>138.77</v>
      </c>
      <c r="E10456" s="2">
        <f>IFERROR(__xludf.DUMMYFUNCTION("""COMPUTED_VALUE"""),139.07)</f>
        <v>139.07</v>
      </c>
      <c r="F10456" s="2">
        <f>IFERROR(__xludf.DUMMYFUNCTION("""COMPUTED_VALUE"""),4367387.0)</f>
        <v>4367387</v>
      </c>
    </row>
    <row r="10457">
      <c r="A10457" s="3">
        <f>IFERROR(__xludf.DUMMYFUNCTION("""COMPUTED_VALUE"""),44365.66666666667)</f>
        <v>44365.66667</v>
      </c>
      <c r="B10457" s="2">
        <f>IFERROR(__xludf.DUMMYFUNCTION("""COMPUTED_VALUE"""),138.0)</f>
        <v>138</v>
      </c>
      <c r="C10457" s="2">
        <f>IFERROR(__xludf.DUMMYFUNCTION("""COMPUTED_VALUE"""),138.19)</f>
        <v>138.19</v>
      </c>
      <c r="D10457" s="2">
        <f>IFERROR(__xludf.DUMMYFUNCTION("""COMPUTED_VALUE"""),136.63)</f>
        <v>136.63</v>
      </c>
      <c r="E10457" s="2">
        <f>IFERROR(__xludf.DUMMYFUNCTION("""COMPUTED_VALUE"""),136.7)</f>
        <v>136.7</v>
      </c>
      <c r="F10457" s="2">
        <f>IFERROR(__xludf.DUMMYFUNCTION("""COMPUTED_VALUE"""),9156505.0)</f>
        <v>9156505</v>
      </c>
    </row>
    <row r="10458">
      <c r="A10458" s="3">
        <f>IFERROR(__xludf.DUMMYFUNCTION("""COMPUTED_VALUE"""),44368.66666666667)</f>
        <v>44368.66667</v>
      </c>
      <c r="B10458" s="2">
        <f>IFERROR(__xludf.DUMMYFUNCTION("""COMPUTED_VALUE"""),137.65)</f>
        <v>137.65</v>
      </c>
      <c r="C10458" s="2">
        <f>IFERROR(__xludf.DUMMYFUNCTION("""COMPUTED_VALUE"""),140.48)</f>
        <v>140.48</v>
      </c>
      <c r="D10458" s="2">
        <f>IFERROR(__xludf.DUMMYFUNCTION("""COMPUTED_VALUE"""),137.6)</f>
        <v>137.6</v>
      </c>
      <c r="E10458" s="2">
        <f>IFERROR(__xludf.DUMMYFUNCTION("""COMPUTED_VALUE"""),140.07)</f>
        <v>140.07</v>
      </c>
      <c r="F10458" s="2">
        <f>IFERROR(__xludf.DUMMYFUNCTION("""COMPUTED_VALUE"""),4285711.0)</f>
        <v>4285711</v>
      </c>
    </row>
    <row r="10459">
      <c r="A10459" s="3">
        <f>IFERROR(__xludf.DUMMYFUNCTION("""COMPUTED_VALUE"""),44369.66666666667)</f>
        <v>44369.66667</v>
      </c>
      <c r="B10459" s="2">
        <f>IFERROR(__xludf.DUMMYFUNCTION("""COMPUTED_VALUE"""),139.95)</f>
        <v>139.95</v>
      </c>
      <c r="C10459" s="2">
        <f>IFERROR(__xludf.DUMMYFUNCTION("""COMPUTED_VALUE"""),140.23)</f>
        <v>140.23</v>
      </c>
      <c r="D10459" s="2">
        <f>IFERROR(__xludf.DUMMYFUNCTION("""COMPUTED_VALUE"""),138.83)</f>
        <v>138.83</v>
      </c>
      <c r="E10459" s="2">
        <f>IFERROR(__xludf.DUMMYFUNCTION("""COMPUTED_VALUE"""),139.8)</f>
        <v>139.8</v>
      </c>
      <c r="F10459" s="2">
        <f>IFERROR(__xludf.DUMMYFUNCTION("""COMPUTED_VALUE"""),2437121.0)</f>
        <v>2437121</v>
      </c>
    </row>
    <row r="10460">
      <c r="A10460" s="3">
        <f>IFERROR(__xludf.DUMMYFUNCTION("""COMPUTED_VALUE"""),44370.66666666667)</f>
        <v>44370.66667</v>
      </c>
      <c r="B10460" s="2">
        <f>IFERROR(__xludf.DUMMYFUNCTION("""COMPUTED_VALUE"""),139.86)</f>
        <v>139.86</v>
      </c>
      <c r="C10460" s="2">
        <f>IFERROR(__xludf.DUMMYFUNCTION("""COMPUTED_VALUE"""),139.93)</f>
        <v>139.93</v>
      </c>
      <c r="D10460" s="2">
        <f>IFERROR(__xludf.DUMMYFUNCTION("""COMPUTED_VALUE"""),138.09)</f>
        <v>138.09</v>
      </c>
      <c r="E10460" s="2">
        <f>IFERROR(__xludf.DUMMYFUNCTION("""COMPUTED_VALUE"""),138.13)</f>
        <v>138.13</v>
      </c>
      <c r="F10460" s="2">
        <f>IFERROR(__xludf.DUMMYFUNCTION("""COMPUTED_VALUE"""),3202644.0)</f>
        <v>3202644</v>
      </c>
    </row>
    <row r="10461">
      <c r="A10461" s="3">
        <f>IFERROR(__xludf.DUMMYFUNCTION("""COMPUTED_VALUE"""),44371.66666666667)</f>
        <v>44371.66667</v>
      </c>
      <c r="B10461" s="2">
        <f>IFERROR(__xludf.DUMMYFUNCTION("""COMPUTED_VALUE"""),139.26)</f>
        <v>139.26</v>
      </c>
      <c r="C10461" s="2">
        <f>IFERROR(__xludf.DUMMYFUNCTION("""COMPUTED_VALUE"""),139.64)</f>
        <v>139.64</v>
      </c>
      <c r="D10461" s="2">
        <f>IFERROR(__xludf.DUMMYFUNCTION("""COMPUTED_VALUE"""),138.2)</f>
        <v>138.2</v>
      </c>
      <c r="E10461" s="2">
        <f>IFERROR(__xludf.DUMMYFUNCTION("""COMPUTED_VALUE"""),138.92)</f>
        <v>138.92</v>
      </c>
      <c r="F10461" s="2">
        <f>IFERROR(__xludf.DUMMYFUNCTION("""COMPUTED_VALUE"""),3609679.0)</f>
        <v>3609679</v>
      </c>
    </row>
    <row r="10462">
      <c r="A10462" s="3">
        <f>IFERROR(__xludf.DUMMYFUNCTION("""COMPUTED_VALUE"""),44372.66666666667)</f>
        <v>44372.66667</v>
      </c>
      <c r="B10462" s="2">
        <f>IFERROR(__xludf.DUMMYFUNCTION("""COMPUTED_VALUE"""),138.86)</f>
        <v>138.86</v>
      </c>
      <c r="C10462" s="2">
        <f>IFERROR(__xludf.DUMMYFUNCTION("""COMPUTED_VALUE"""),140.34)</f>
        <v>140.34</v>
      </c>
      <c r="D10462" s="2">
        <f>IFERROR(__xludf.DUMMYFUNCTION("""COMPUTED_VALUE"""),138.45)</f>
        <v>138.45</v>
      </c>
      <c r="E10462" s="2">
        <f>IFERROR(__xludf.DUMMYFUNCTION("""COMPUTED_VALUE"""),140.26)</f>
        <v>140.26</v>
      </c>
      <c r="F10462" s="2">
        <f>IFERROR(__xludf.DUMMYFUNCTION("""COMPUTED_VALUE"""),3594218.0)</f>
        <v>3594218</v>
      </c>
    </row>
    <row r="10463">
      <c r="A10463" s="3">
        <f>IFERROR(__xludf.DUMMYFUNCTION("""COMPUTED_VALUE"""),44375.66666666667)</f>
        <v>44375.66667</v>
      </c>
      <c r="B10463" s="2">
        <f>IFERROR(__xludf.DUMMYFUNCTION("""COMPUTED_VALUE"""),140.42)</f>
        <v>140.42</v>
      </c>
      <c r="C10463" s="2">
        <f>IFERROR(__xludf.DUMMYFUNCTION("""COMPUTED_VALUE"""),140.7)</f>
        <v>140.7</v>
      </c>
      <c r="D10463" s="2">
        <f>IFERROR(__xludf.DUMMYFUNCTION("""COMPUTED_VALUE"""),138.41)</f>
        <v>138.41</v>
      </c>
      <c r="E10463" s="2">
        <f>IFERROR(__xludf.DUMMYFUNCTION("""COMPUTED_VALUE"""),138.78)</f>
        <v>138.78</v>
      </c>
      <c r="F10463" s="2">
        <f>IFERROR(__xludf.DUMMYFUNCTION("""COMPUTED_VALUE"""),3888869.0)</f>
        <v>3888869</v>
      </c>
    </row>
    <row r="10464">
      <c r="A10464" s="3">
        <f>IFERROR(__xludf.DUMMYFUNCTION("""COMPUTED_VALUE"""),44376.66666666667)</f>
        <v>44376.66667</v>
      </c>
      <c r="B10464" s="2">
        <f>IFERROR(__xludf.DUMMYFUNCTION("""COMPUTED_VALUE"""),138.75)</f>
        <v>138.75</v>
      </c>
      <c r="C10464" s="2">
        <f>IFERROR(__xludf.DUMMYFUNCTION("""COMPUTED_VALUE"""),140.16)</f>
        <v>140.16</v>
      </c>
      <c r="D10464" s="2">
        <f>IFERROR(__xludf.DUMMYFUNCTION("""COMPUTED_VALUE"""),138.59)</f>
        <v>138.59</v>
      </c>
      <c r="E10464" s="2">
        <f>IFERROR(__xludf.DUMMYFUNCTION("""COMPUTED_VALUE"""),139.02)</f>
        <v>139.02</v>
      </c>
      <c r="F10464" s="2">
        <f>IFERROR(__xludf.DUMMYFUNCTION("""COMPUTED_VALUE"""),2428626.0)</f>
        <v>2428626</v>
      </c>
    </row>
    <row r="10465">
      <c r="A10465" s="3">
        <f>IFERROR(__xludf.DUMMYFUNCTION("""COMPUTED_VALUE"""),44377.66666666667)</f>
        <v>44377.66667</v>
      </c>
      <c r="B10465" s="2">
        <f>IFERROR(__xludf.DUMMYFUNCTION("""COMPUTED_VALUE"""),138.62)</f>
        <v>138.62</v>
      </c>
      <c r="C10465" s="2">
        <f>IFERROR(__xludf.DUMMYFUNCTION("""COMPUTED_VALUE"""),140.34)</f>
        <v>140.34</v>
      </c>
      <c r="D10465" s="2">
        <f>IFERROR(__xludf.DUMMYFUNCTION("""COMPUTED_VALUE"""),138.22)</f>
        <v>138.22</v>
      </c>
      <c r="E10465" s="2">
        <f>IFERROR(__xludf.DUMMYFUNCTION("""COMPUTED_VALUE"""),140.02)</f>
        <v>140.02</v>
      </c>
      <c r="F10465" s="2">
        <f>IFERROR(__xludf.DUMMYFUNCTION("""COMPUTED_VALUE"""),3245091.0)</f>
        <v>3245091</v>
      </c>
    </row>
    <row r="10466">
      <c r="A10466" s="3">
        <f>IFERROR(__xludf.DUMMYFUNCTION("""COMPUTED_VALUE"""),44378.66666666667)</f>
        <v>44378.66667</v>
      </c>
      <c r="B10466" s="2">
        <f>IFERROR(__xludf.DUMMYFUNCTION("""COMPUTED_VALUE"""),140.37)</f>
        <v>140.37</v>
      </c>
      <c r="C10466" s="2">
        <f>IFERROR(__xludf.DUMMYFUNCTION("""COMPUTED_VALUE"""),140.89)</f>
        <v>140.89</v>
      </c>
      <c r="D10466" s="2">
        <f>IFERROR(__xludf.DUMMYFUNCTION("""COMPUTED_VALUE"""),140.0)</f>
        <v>140</v>
      </c>
      <c r="E10466" s="2">
        <f>IFERROR(__xludf.DUMMYFUNCTION("""COMPUTED_VALUE"""),140.26)</f>
        <v>140.26</v>
      </c>
      <c r="F10466" s="2">
        <f>IFERROR(__xludf.DUMMYFUNCTION("""COMPUTED_VALUE"""),2686289.0)</f>
        <v>2686289</v>
      </c>
    </row>
    <row r="10467">
      <c r="A10467" s="3">
        <f>IFERROR(__xludf.DUMMYFUNCTION("""COMPUTED_VALUE"""),44379.66666666667)</f>
        <v>44379.66667</v>
      </c>
      <c r="B10467" s="2">
        <f>IFERROR(__xludf.DUMMYFUNCTION("""COMPUTED_VALUE"""),140.32)</f>
        <v>140.32</v>
      </c>
      <c r="C10467" s="2">
        <f>IFERROR(__xludf.DUMMYFUNCTION("""COMPUTED_VALUE"""),140.36)</f>
        <v>140.36</v>
      </c>
      <c r="D10467" s="2">
        <f>IFERROR(__xludf.DUMMYFUNCTION("""COMPUTED_VALUE"""),133.21)</f>
        <v>133.21</v>
      </c>
      <c r="E10467" s="2">
        <f>IFERROR(__xludf.DUMMYFUNCTION("""COMPUTED_VALUE"""),133.74)</f>
        <v>133.74</v>
      </c>
      <c r="F10467" s="2">
        <f>IFERROR(__xludf.DUMMYFUNCTION("""COMPUTED_VALUE"""),1.6828161E7)</f>
        <v>16828161</v>
      </c>
    </row>
    <row r="10468">
      <c r="A10468" s="3">
        <f>IFERROR(__xludf.DUMMYFUNCTION("""COMPUTED_VALUE"""),44383.66666666667)</f>
        <v>44383.66667</v>
      </c>
      <c r="B10468" s="2">
        <f>IFERROR(__xludf.DUMMYFUNCTION("""COMPUTED_VALUE"""),133.71)</f>
        <v>133.71</v>
      </c>
      <c r="C10468" s="2">
        <f>IFERROR(__xludf.DUMMYFUNCTION("""COMPUTED_VALUE"""),134.12)</f>
        <v>134.12</v>
      </c>
      <c r="D10468" s="2">
        <f>IFERROR(__xludf.DUMMYFUNCTION("""COMPUTED_VALUE"""),130.95)</f>
        <v>130.95</v>
      </c>
      <c r="E10468" s="2">
        <f>IFERROR(__xludf.DUMMYFUNCTION("""COMPUTED_VALUE"""),132.56)</f>
        <v>132.56</v>
      </c>
      <c r="F10468" s="2">
        <f>IFERROR(__xludf.DUMMYFUNCTION("""COMPUTED_VALUE"""),8093747.0)</f>
        <v>8093747</v>
      </c>
    </row>
    <row r="10469">
      <c r="A10469" s="3">
        <f>IFERROR(__xludf.DUMMYFUNCTION("""COMPUTED_VALUE"""),44384.66666666667)</f>
        <v>44384.66667</v>
      </c>
      <c r="B10469" s="2">
        <f>IFERROR(__xludf.DUMMYFUNCTION("""COMPUTED_VALUE"""),132.54)</f>
        <v>132.54</v>
      </c>
      <c r="C10469" s="2">
        <f>IFERROR(__xludf.DUMMYFUNCTION("""COMPUTED_VALUE"""),134.04)</f>
        <v>134.04</v>
      </c>
      <c r="D10469" s="2">
        <f>IFERROR(__xludf.DUMMYFUNCTION("""COMPUTED_VALUE"""),132.54)</f>
        <v>132.54</v>
      </c>
      <c r="E10469" s="2">
        <f>IFERROR(__xludf.DUMMYFUNCTION("""COMPUTED_VALUE"""),133.55)</f>
        <v>133.55</v>
      </c>
      <c r="F10469" s="2">
        <f>IFERROR(__xludf.DUMMYFUNCTION("""COMPUTED_VALUE"""),4059667.0)</f>
        <v>4059667</v>
      </c>
    </row>
    <row r="10470">
      <c r="A10470" s="3">
        <f>IFERROR(__xludf.DUMMYFUNCTION("""COMPUTED_VALUE"""),44385.66666666667)</f>
        <v>44385.66667</v>
      </c>
      <c r="B10470" s="2">
        <f>IFERROR(__xludf.DUMMYFUNCTION("""COMPUTED_VALUE"""),131.6)</f>
        <v>131.6</v>
      </c>
      <c r="C10470" s="2">
        <f>IFERROR(__xludf.DUMMYFUNCTION("""COMPUTED_VALUE"""),134.97)</f>
        <v>134.97</v>
      </c>
      <c r="D10470" s="2">
        <f>IFERROR(__xludf.DUMMYFUNCTION("""COMPUTED_VALUE"""),131.49)</f>
        <v>131.49</v>
      </c>
      <c r="E10470" s="2">
        <f>IFERROR(__xludf.DUMMYFUNCTION("""COMPUTED_VALUE"""),134.43)</f>
        <v>134.43</v>
      </c>
      <c r="F10470" s="2">
        <f>IFERROR(__xludf.DUMMYFUNCTION("""COMPUTED_VALUE"""),5487425.0)</f>
        <v>5487425</v>
      </c>
    </row>
    <row r="10471">
      <c r="A10471" s="3">
        <f>IFERROR(__xludf.DUMMYFUNCTION("""COMPUTED_VALUE"""),44386.66666666667)</f>
        <v>44386.66667</v>
      </c>
      <c r="B10471" s="2">
        <f>IFERROR(__xludf.DUMMYFUNCTION("""COMPUTED_VALUE"""),135.11)</f>
        <v>135.11</v>
      </c>
      <c r="C10471" s="2">
        <f>IFERROR(__xludf.DUMMYFUNCTION("""COMPUTED_VALUE"""),135.61)</f>
        <v>135.61</v>
      </c>
      <c r="D10471" s="2">
        <f>IFERROR(__xludf.DUMMYFUNCTION("""COMPUTED_VALUE"""),134.53)</f>
        <v>134.53</v>
      </c>
      <c r="E10471" s="2">
        <f>IFERROR(__xludf.DUMMYFUNCTION("""COMPUTED_VALUE"""),135.17)</f>
        <v>135.17</v>
      </c>
      <c r="F10471" s="2">
        <f>IFERROR(__xludf.DUMMYFUNCTION("""COMPUTED_VALUE"""),3904059.0)</f>
        <v>3904059</v>
      </c>
    </row>
    <row r="10472">
      <c r="A10472" s="3">
        <f>IFERROR(__xludf.DUMMYFUNCTION("""COMPUTED_VALUE"""),44389.66666666667)</f>
        <v>44389.66667</v>
      </c>
      <c r="B10472" s="2">
        <f>IFERROR(__xludf.DUMMYFUNCTION("""COMPUTED_VALUE"""),135.09)</f>
        <v>135.09</v>
      </c>
      <c r="C10472" s="2">
        <f>IFERROR(__xludf.DUMMYFUNCTION("""COMPUTED_VALUE"""),135.59)</f>
        <v>135.59</v>
      </c>
      <c r="D10472" s="2">
        <f>IFERROR(__xludf.DUMMYFUNCTION("""COMPUTED_VALUE"""),133.83)</f>
        <v>133.83</v>
      </c>
      <c r="E10472" s="2">
        <f>IFERROR(__xludf.DUMMYFUNCTION("""COMPUTED_VALUE"""),134.6)</f>
        <v>134.6</v>
      </c>
      <c r="F10472" s="2">
        <f>IFERROR(__xludf.DUMMYFUNCTION("""COMPUTED_VALUE"""),3342627.0)</f>
        <v>3342627</v>
      </c>
    </row>
    <row r="10473">
      <c r="A10473" s="3">
        <f>IFERROR(__xludf.DUMMYFUNCTION("""COMPUTED_VALUE"""),44390.66666666667)</f>
        <v>44390.66667</v>
      </c>
      <c r="B10473" s="2">
        <f>IFERROR(__xludf.DUMMYFUNCTION("""COMPUTED_VALUE"""),134.6)</f>
        <v>134.6</v>
      </c>
      <c r="C10473" s="2">
        <f>IFERROR(__xludf.DUMMYFUNCTION("""COMPUTED_VALUE"""),134.6)</f>
        <v>134.6</v>
      </c>
      <c r="D10473" s="2">
        <f>IFERROR(__xludf.DUMMYFUNCTION("""COMPUTED_VALUE"""),133.37)</f>
        <v>133.37</v>
      </c>
      <c r="E10473" s="2">
        <f>IFERROR(__xludf.DUMMYFUNCTION("""COMPUTED_VALUE"""),133.99)</f>
        <v>133.99</v>
      </c>
      <c r="F10473" s="2">
        <f>IFERROR(__xludf.DUMMYFUNCTION("""COMPUTED_VALUE"""),3164294.0)</f>
        <v>3164294</v>
      </c>
    </row>
    <row r="10474">
      <c r="A10474" s="3">
        <f>IFERROR(__xludf.DUMMYFUNCTION("""COMPUTED_VALUE"""),44391.66666666667)</f>
        <v>44391.66667</v>
      </c>
      <c r="B10474" s="2">
        <f>IFERROR(__xludf.DUMMYFUNCTION("""COMPUTED_VALUE"""),134.41)</f>
        <v>134.41</v>
      </c>
      <c r="C10474" s="2">
        <f>IFERROR(__xludf.DUMMYFUNCTION("""COMPUTED_VALUE"""),134.44)</f>
        <v>134.44</v>
      </c>
      <c r="D10474" s="2">
        <f>IFERROR(__xludf.DUMMYFUNCTION("""COMPUTED_VALUE"""),132.7)</f>
        <v>132.7</v>
      </c>
      <c r="E10474" s="2">
        <f>IFERROR(__xludf.DUMMYFUNCTION("""COMPUTED_VALUE"""),133.55)</f>
        <v>133.55</v>
      </c>
      <c r="F10474" s="2">
        <f>IFERROR(__xludf.DUMMYFUNCTION("""COMPUTED_VALUE"""),4403752.0)</f>
        <v>4403752</v>
      </c>
    </row>
    <row r="10475">
      <c r="A10475" s="3">
        <f>IFERROR(__xludf.DUMMYFUNCTION("""COMPUTED_VALUE"""),44392.66666666667)</f>
        <v>44392.66667</v>
      </c>
      <c r="B10475" s="2">
        <f>IFERROR(__xludf.DUMMYFUNCTION("""COMPUTED_VALUE"""),133.07)</f>
        <v>133.07</v>
      </c>
      <c r="C10475" s="2">
        <f>IFERROR(__xludf.DUMMYFUNCTION("""COMPUTED_VALUE"""),134.16)</f>
        <v>134.16</v>
      </c>
      <c r="D10475" s="2">
        <f>IFERROR(__xludf.DUMMYFUNCTION("""COMPUTED_VALUE"""),132.58)</f>
        <v>132.58</v>
      </c>
      <c r="E10475" s="2">
        <f>IFERROR(__xludf.DUMMYFUNCTION("""COMPUTED_VALUE"""),134.15)</f>
        <v>134.15</v>
      </c>
      <c r="F10475" s="2">
        <f>IFERROR(__xludf.DUMMYFUNCTION("""COMPUTED_VALUE"""),3639698.0)</f>
        <v>3639698</v>
      </c>
    </row>
    <row r="10476">
      <c r="A10476" s="3">
        <f>IFERROR(__xludf.DUMMYFUNCTION("""COMPUTED_VALUE"""),44393.66666666667)</f>
        <v>44393.66667</v>
      </c>
      <c r="B10476" s="2">
        <f>IFERROR(__xludf.DUMMYFUNCTION("""COMPUTED_VALUE"""),134.68)</f>
        <v>134.68</v>
      </c>
      <c r="C10476" s="2">
        <f>IFERROR(__xludf.DUMMYFUNCTION("""COMPUTED_VALUE"""),134.68)</f>
        <v>134.68</v>
      </c>
      <c r="D10476" s="2">
        <f>IFERROR(__xludf.DUMMYFUNCTION("""COMPUTED_VALUE"""),132.38)</f>
        <v>132.38</v>
      </c>
      <c r="E10476" s="2">
        <f>IFERROR(__xludf.DUMMYFUNCTION("""COMPUTED_VALUE"""),132.67)</f>
        <v>132.67</v>
      </c>
      <c r="F10476" s="2">
        <f>IFERROR(__xludf.DUMMYFUNCTION("""COMPUTED_VALUE"""),4109308.0)</f>
        <v>4109308</v>
      </c>
    </row>
    <row r="10477">
      <c r="A10477" s="3">
        <f>IFERROR(__xludf.DUMMYFUNCTION("""COMPUTED_VALUE"""),44396.66666666667)</f>
        <v>44396.66667</v>
      </c>
      <c r="B10477" s="2">
        <f>IFERROR(__xludf.DUMMYFUNCTION("""COMPUTED_VALUE"""),130.33)</f>
        <v>130.33</v>
      </c>
      <c r="C10477" s="2">
        <f>IFERROR(__xludf.DUMMYFUNCTION("""COMPUTED_VALUE"""),132.28)</f>
        <v>132.28</v>
      </c>
      <c r="D10477" s="2">
        <f>IFERROR(__xludf.DUMMYFUNCTION("""COMPUTED_VALUE"""),130.1)</f>
        <v>130.1</v>
      </c>
      <c r="E10477" s="2">
        <f>IFERROR(__xludf.DUMMYFUNCTION("""COMPUTED_VALUE"""),131.74)</f>
        <v>131.74</v>
      </c>
      <c r="F10477" s="2">
        <f>IFERROR(__xludf.DUMMYFUNCTION("""COMPUTED_VALUE"""),8582302.0)</f>
        <v>8582302</v>
      </c>
    </row>
    <row r="10478">
      <c r="A10478" s="3">
        <f>IFERROR(__xludf.DUMMYFUNCTION("""COMPUTED_VALUE"""),44397.66666666667)</f>
        <v>44397.66667</v>
      </c>
      <c r="B10478" s="2">
        <f>IFERROR(__xludf.DUMMYFUNCTION("""COMPUTED_VALUE"""),136.59)</f>
        <v>136.59</v>
      </c>
      <c r="C10478" s="2">
        <f>IFERROR(__xludf.DUMMYFUNCTION("""COMPUTED_VALUE"""),138.42)</f>
        <v>138.42</v>
      </c>
      <c r="D10478" s="2">
        <f>IFERROR(__xludf.DUMMYFUNCTION("""COMPUTED_VALUE"""),132.48)</f>
        <v>132.48</v>
      </c>
      <c r="E10478" s="2">
        <f>IFERROR(__xludf.DUMMYFUNCTION("""COMPUTED_VALUE"""),133.69)</f>
        <v>133.69</v>
      </c>
      <c r="F10478" s="2">
        <f>IFERROR(__xludf.DUMMYFUNCTION("""COMPUTED_VALUE"""),1.3611675E7)</f>
        <v>13611675</v>
      </c>
    </row>
    <row r="10479">
      <c r="A10479" s="3">
        <f>IFERROR(__xludf.DUMMYFUNCTION("""COMPUTED_VALUE"""),44398.66666666667)</f>
        <v>44398.66667</v>
      </c>
      <c r="B10479" s="2">
        <f>IFERROR(__xludf.DUMMYFUNCTION("""COMPUTED_VALUE"""),133.69)</f>
        <v>133.69</v>
      </c>
      <c r="C10479" s="2">
        <f>IFERROR(__xludf.DUMMYFUNCTION("""COMPUTED_VALUE"""),135.05)</f>
        <v>135.05</v>
      </c>
      <c r="D10479" s="2">
        <f>IFERROR(__xludf.DUMMYFUNCTION("""COMPUTED_VALUE"""),133.39)</f>
        <v>133.39</v>
      </c>
      <c r="E10479" s="2">
        <f>IFERROR(__xludf.DUMMYFUNCTION("""COMPUTED_VALUE"""),134.96)</f>
        <v>134.96</v>
      </c>
      <c r="F10479" s="2">
        <f>IFERROR(__xludf.DUMMYFUNCTION("""COMPUTED_VALUE"""),4803977.0)</f>
        <v>4803977</v>
      </c>
    </row>
    <row r="10480">
      <c r="A10480" s="3">
        <f>IFERROR(__xludf.DUMMYFUNCTION("""COMPUTED_VALUE"""),44399.66666666667)</f>
        <v>44399.66667</v>
      </c>
      <c r="B10480" s="2">
        <f>IFERROR(__xludf.DUMMYFUNCTION("""COMPUTED_VALUE"""),135.31)</f>
        <v>135.31</v>
      </c>
      <c r="C10480" s="2">
        <f>IFERROR(__xludf.DUMMYFUNCTION("""COMPUTED_VALUE"""),135.45)</f>
        <v>135.45</v>
      </c>
      <c r="D10480" s="2">
        <f>IFERROR(__xludf.DUMMYFUNCTION("""COMPUTED_VALUE"""),134.11)</f>
        <v>134.11</v>
      </c>
      <c r="E10480" s="2">
        <f>IFERROR(__xludf.DUMMYFUNCTION("""COMPUTED_VALUE"""),134.4)</f>
        <v>134.4</v>
      </c>
      <c r="F10480" s="2">
        <f>IFERROR(__xludf.DUMMYFUNCTION("""COMPUTED_VALUE"""),3314153.0)</f>
        <v>3314153</v>
      </c>
    </row>
    <row r="10481">
      <c r="A10481" s="3">
        <f>IFERROR(__xludf.DUMMYFUNCTION("""COMPUTED_VALUE"""),44400.66666666667)</f>
        <v>44400.66667</v>
      </c>
      <c r="B10481" s="2">
        <f>IFERROR(__xludf.DUMMYFUNCTION("""COMPUTED_VALUE"""),134.64)</f>
        <v>134.64</v>
      </c>
      <c r="C10481" s="2">
        <f>IFERROR(__xludf.DUMMYFUNCTION("""COMPUTED_VALUE"""),135.35)</f>
        <v>135.35</v>
      </c>
      <c r="D10481" s="2">
        <f>IFERROR(__xludf.DUMMYFUNCTION("""COMPUTED_VALUE"""),134.04)</f>
        <v>134.04</v>
      </c>
      <c r="E10481" s="2">
        <f>IFERROR(__xludf.DUMMYFUNCTION("""COMPUTED_VALUE"""),135.0)</f>
        <v>135</v>
      </c>
      <c r="F10481" s="2">
        <f>IFERROR(__xludf.DUMMYFUNCTION("""COMPUTED_VALUE"""),4474157.0)</f>
        <v>4474157</v>
      </c>
    </row>
    <row r="10482">
      <c r="A10482" s="3">
        <f>IFERROR(__xludf.DUMMYFUNCTION("""COMPUTED_VALUE"""),44403.66666666667)</f>
        <v>44403.66667</v>
      </c>
      <c r="B10482" s="2">
        <f>IFERROR(__xludf.DUMMYFUNCTION("""COMPUTED_VALUE"""),135.05)</f>
        <v>135.05</v>
      </c>
      <c r="C10482" s="2">
        <f>IFERROR(__xludf.DUMMYFUNCTION("""COMPUTED_VALUE"""),136.59)</f>
        <v>136.59</v>
      </c>
      <c r="D10482" s="2">
        <f>IFERROR(__xludf.DUMMYFUNCTION("""COMPUTED_VALUE"""),134.8)</f>
        <v>134.8</v>
      </c>
      <c r="E10482" s="2">
        <f>IFERROR(__xludf.DUMMYFUNCTION("""COMPUTED_VALUE"""),136.37)</f>
        <v>136.37</v>
      </c>
      <c r="F10482" s="2">
        <f>IFERROR(__xludf.DUMMYFUNCTION("""COMPUTED_VALUE"""),4246266.0)</f>
        <v>4246266</v>
      </c>
    </row>
    <row r="10483">
      <c r="A10483" s="3">
        <f>IFERROR(__xludf.DUMMYFUNCTION("""COMPUTED_VALUE"""),44404.66666666667)</f>
        <v>44404.66667</v>
      </c>
      <c r="B10483" s="2">
        <f>IFERROR(__xludf.DUMMYFUNCTION("""COMPUTED_VALUE"""),136.14)</f>
        <v>136.14</v>
      </c>
      <c r="C10483" s="2">
        <f>IFERROR(__xludf.DUMMYFUNCTION("""COMPUTED_VALUE"""),137.2)</f>
        <v>137.2</v>
      </c>
      <c r="D10483" s="2">
        <f>IFERROR(__xludf.DUMMYFUNCTION("""COMPUTED_VALUE"""),135.25)</f>
        <v>135.25</v>
      </c>
      <c r="E10483" s="2">
        <f>IFERROR(__xludf.DUMMYFUNCTION("""COMPUTED_VALUE"""),136.35)</f>
        <v>136.35</v>
      </c>
      <c r="F10483" s="2">
        <f>IFERROR(__xludf.DUMMYFUNCTION("""COMPUTED_VALUE"""),3137027.0)</f>
        <v>3137027</v>
      </c>
    </row>
    <row r="10484">
      <c r="A10484" s="3">
        <f>IFERROR(__xludf.DUMMYFUNCTION("""COMPUTED_VALUE"""),44405.66666666667)</f>
        <v>44405.66667</v>
      </c>
      <c r="B10484" s="2">
        <f>IFERROR(__xludf.DUMMYFUNCTION("""COMPUTED_VALUE"""),136.6)</f>
        <v>136.6</v>
      </c>
      <c r="C10484" s="2">
        <f>IFERROR(__xludf.DUMMYFUNCTION("""COMPUTED_VALUE"""),136.68)</f>
        <v>136.68</v>
      </c>
      <c r="D10484" s="2">
        <f>IFERROR(__xludf.DUMMYFUNCTION("""COMPUTED_VALUE"""),135.29)</f>
        <v>135.29</v>
      </c>
      <c r="E10484" s="2">
        <f>IFERROR(__xludf.DUMMYFUNCTION("""COMPUTED_VALUE"""),135.41)</f>
        <v>135.41</v>
      </c>
      <c r="F10484" s="2">
        <f>IFERROR(__xludf.DUMMYFUNCTION("""COMPUTED_VALUE"""),2544099.0)</f>
        <v>2544099</v>
      </c>
    </row>
    <row r="10485">
      <c r="A10485" s="3">
        <f>IFERROR(__xludf.DUMMYFUNCTION("""COMPUTED_VALUE"""),44406.66666666667)</f>
        <v>44406.66667</v>
      </c>
      <c r="B10485" s="2">
        <f>IFERROR(__xludf.DUMMYFUNCTION("""COMPUTED_VALUE"""),135.95)</f>
        <v>135.95</v>
      </c>
      <c r="C10485" s="2">
        <f>IFERROR(__xludf.DUMMYFUNCTION("""COMPUTED_VALUE"""),136.55)</f>
        <v>136.55</v>
      </c>
      <c r="D10485" s="2">
        <f>IFERROR(__xludf.DUMMYFUNCTION("""COMPUTED_VALUE"""),135.25)</f>
        <v>135.25</v>
      </c>
      <c r="E10485" s="2">
        <f>IFERROR(__xludf.DUMMYFUNCTION("""COMPUTED_VALUE"""),135.57)</f>
        <v>135.57</v>
      </c>
      <c r="F10485" s="2">
        <f>IFERROR(__xludf.DUMMYFUNCTION("""COMPUTED_VALUE"""),2670873.0)</f>
        <v>2670873</v>
      </c>
    </row>
    <row r="10486">
      <c r="A10486" s="3">
        <f>IFERROR(__xludf.DUMMYFUNCTION("""COMPUTED_VALUE"""),44407.66666666667)</f>
        <v>44407.66667</v>
      </c>
      <c r="B10486" s="2">
        <f>IFERROR(__xludf.DUMMYFUNCTION("""COMPUTED_VALUE"""),135.17)</f>
        <v>135.17</v>
      </c>
      <c r="C10486" s="2">
        <f>IFERROR(__xludf.DUMMYFUNCTION("""COMPUTED_VALUE"""),135.49)</f>
        <v>135.49</v>
      </c>
      <c r="D10486" s="2">
        <f>IFERROR(__xludf.DUMMYFUNCTION("""COMPUTED_VALUE"""),134.48)</f>
        <v>134.48</v>
      </c>
      <c r="E10486" s="2">
        <f>IFERROR(__xludf.DUMMYFUNCTION("""COMPUTED_VALUE"""),134.64)</f>
        <v>134.64</v>
      </c>
      <c r="F10486" s="2">
        <f>IFERROR(__xludf.DUMMYFUNCTION("""COMPUTED_VALUE"""),3535555.0)</f>
        <v>3535555</v>
      </c>
    </row>
    <row r="10487">
      <c r="A10487" s="3">
        <f>IFERROR(__xludf.DUMMYFUNCTION("""COMPUTED_VALUE"""),44410.66666666667)</f>
        <v>44410.66667</v>
      </c>
      <c r="B10487" s="2">
        <f>IFERROR(__xludf.DUMMYFUNCTION("""COMPUTED_VALUE"""),135.11)</f>
        <v>135.11</v>
      </c>
      <c r="C10487" s="2">
        <f>IFERROR(__xludf.DUMMYFUNCTION("""COMPUTED_VALUE"""),136.65)</f>
        <v>136.65</v>
      </c>
      <c r="D10487" s="2">
        <f>IFERROR(__xludf.DUMMYFUNCTION("""COMPUTED_VALUE"""),134.71)</f>
        <v>134.71</v>
      </c>
      <c r="E10487" s="2">
        <f>IFERROR(__xludf.DUMMYFUNCTION("""COMPUTED_VALUE"""),135.08)</f>
        <v>135.08</v>
      </c>
      <c r="F10487" s="2">
        <f>IFERROR(__xludf.DUMMYFUNCTION("""COMPUTED_VALUE"""),2929540.0)</f>
        <v>2929540</v>
      </c>
    </row>
    <row r="10488">
      <c r="A10488" s="3">
        <f>IFERROR(__xludf.DUMMYFUNCTION("""COMPUTED_VALUE"""),44411.66666666667)</f>
        <v>44411.66667</v>
      </c>
      <c r="B10488" s="2">
        <f>IFERROR(__xludf.DUMMYFUNCTION("""COMPUTED_VALUE"""),135.54)</f>
        <v>135.54</v>
      </c>
      <c r="C10488" s="2">
        <f>IFERROR(__xludf.DUMMYFUNCTION("""COMPUTED_VALUE"""),138.21)</f>
        <v>138.21</v>
      </c>
      <c r="D10488" s="2">
        <f>IFERROR(__xludf.DUMMYFUNCTION("""COMPUTED_VALUE"""),135.3)</f>
        <v>135.3</v>
      </c>
      <c r="E10488" s="2">
        <f>IFERROR(__xludf.DUMMYFUNCTION("""COMPUTED_VALUE"""),137.61)</f>
        <v>137.61</v>
      </c>
      <c r="F10488" s="2">
        <f>IFERROR(__xludf.DUMMYFUNCTION("""COMPUTED_VALUE"""),4084724.0)</f>
        <v>4084724</v>
      </c>
    </row>
    <row r="10489">
      <c r="A10489" s="3">
        <f>IFERROR(__xludf.DUMMYFUNCTION("""COMPUTED_VALUE"""),44412.66666666667)</f>
        <v>44412.66667</v>
      </c>
      <c r="B10489" s="2">
        <f>IFERROR(__xludf.DUMMYFUNCTION("""COMPUTED_VALUE"""),137.35)</f>
        <v>137.35</v>
      </c>
      <c r="C10489" s="2">
        <f>IFERROR(__xludf.DUMMYFUNCTION("""COMPUTED_VALUE"""),137.72)</f>
        <v>137.72</v>
      </c>
      <c r="D10489" s="2">
        <f>IFERROR(__xludf.DUMMYFUNCTION("""COMPUTED_VALUE"""),136.08)</f>
        <v>136.08</v>
      </c>
      <c r="E10489" s="2">
        <f>IFERROR(__xludf.DUMMYFUNCTION("""COMPUTED_VALUE"""),136.36)</f>
        <v>136.36</v>
      </c>
      <c r="F10489" s="2">
        <f>IFERROR(__xludf.DUMMYFUNCTION("""COMPUTED_VALUE"""),2830079.0)</f>
        <v>2830079</v>
      </c>
    </row>
    <row r="10490">
      <c r="A10490" s="3">
        <f>IFERROR(__xludf.DUMMYFUNCTION("""COMPUTED_VALUE"""),44413.66666666667)</f>
        <v>44413.66667</v>
      </c>
      <c r="B10490" s="2">
        <f>IFERROR(__xludf.DUMMYFUNCTION("""COMPUTED_VALUE"""),136.62)</f>
        <v>136.62</v>
      </c>
      <c r="C10490" s="2">
        <f>IFERROR(__xludf.DUMMYFUNCTION("""COMPUTED_VALUE"""),136.98)</f>
        <v>136.98</v>
      </c>
      <c r="D10490" s="2">
        <f>IFERROR(__xludf.DUMMYFUNCTION("""COMPUTED_VALUE"""),135.84)</f>
        <v>135.84</v>
      </c>
      <c r="E10490" s="2">
        <f>IFERROR(__xludf.DUMMYFUNCTION("""COMPUTED_VALUE"""),136.37)</f>
        <v>136.37</v>
      </c>
      <c r="F10490" s="2">
        <f>IFERROR(__xludf.DUMMYFUNCTION("""COMPUTED_VALUE"""),2757389.0)</f>
        <v>2757389</v>
      </c>
    </row>
    <row r="10491">
      <c r="A10491" s="3">
        <f>IFERROR(__xludf.DUMMYFUNCTION("""COMPUTED_VALUE"""),44414.66666666667)</f>
        <v>44414.66667</v>
      </c>
      <c r="B10491" s="2">
        <f>IFERROR(__xludf.DUMMYFUNCTION("""COMPUTED_VALUE"""),136.59)</f>
        <v>136.59</v>
      </c>
      <c r="C10491" s="2">
        <f>IFERROR(__xludf.DUMMYFUNCTION("""COMPUTED_VALUE"""),137.92)</f>
        <v>137.92</v>
      </c>
      <c r="D10491" s="2">
        <f>IFERROR(__xludf.DUMMYFUNCTION("""COMPUTED_VALUE"""),136.48)</f>
        <v>136.48</v>
      </c>
      <c r="E10491" s="2">
        <f>IFERROR(__xludf.DUMMYFUNCTION("""COMPUTED_VALUE"""),137.63)</f>
        <v>137.63</v>
      </c>
      <c r="F10491" s="2">
        <f>IFERROR(__xludf.DUMMYFUNCTION("""COMPUTED_VALUE"""),3826835.0)</f>
        <v>3826835</v>
      </c>
    </row>
    <row r="10492">
      <c r="A10492" s="3">
        <f>IFERROR(__xludf.DUMMYFUNCTION("""COMPUTED_VALUE"""),44417.66666666667)</f>
        <v>44417.66667</v>
      </c>
      <c r="B10492" s="2">
        <f>IFERROR(__xludf.DUMMYFUNCTION("""COMPUTED_VALUE"""),135.82)</f>
        <v>135.82</v>
      </c>
      <c r="C10492" s="2">
        <f>IFERROR(__xludf.DUMMYFUNCTION("""COMPUTED_VALUE"""),136.11)</f>
        <v>136.11</v>
      </c>
      <c r="D10492" s="2">
        <f>IFERROR(__xludf.DUMMYFUNCTION("""COMPUTED_VALUE"""),134.65)</f>
        <v>134.65</v>
      </c>
      <c r="E10492" s="2">
        <f>IFERROR(__xludf.DUMMYFUNCTION("""COMPUTED_VALUE"""),134.92)</f>
        <v>134.92</v>
      </c>
      <c r="F10492" s="2">
        <f>IFERROR(__xludf.DUMMYFUNCTION("""COMPUTED_VALUE"""),4904065.0)</f>
        <v>4904065</v>
      </c>
    </row>
    <row r="10493">
      <c r="A10493" s="3">
        <f>IFERROR(__xludf.DUMMYFUNCTION("""COMPUTED_VALUE"""),44418.66666666667)</f>
        <v>44418.66667</v>
      </c>
      <c r="B10493" s="2">
        <f>IFERROR(__xludf.DUMMYFUNCTION("""COMPUTED_VALUE"""),134.88)</f>
        <v>134.88</v>
      </c>
      <c r="C10493" s="2">
        <f>IFERROR(__xludf.DUMMYFUNCTION("""COMPUTED_VALUE"""),135.45)</f>
        <v>135.45</v>
      </c>
      <c r="D10493" s="2">
        <f>IFERROR(__xludf.DUMMYFUNCTION("""COMPUTED_VALUE"""),134.05)</f>
        <v>134.05</v>
      </c>
      <c r="E10493" s="2">
        <f>IFERROR(__xludf.DUMMYFUNCTION("""COMPUTED_VALUE"""),135.04)</f>
        <v>135.04</v>
      </c>
      <c r="F10493" s="2">
        <f>IFERROR(__xludf.DUMMYFUNCTION("""COMPUTED_VALUE"""),5299869.0)</f>
        <v>5299869</v>
      </c>
    </row>
    <row r="10494">
      <c r="A10494" s="3">
        <f>IFERROR(__xludf.DUMMYFUNCTION("""COMPUTED_VALUE"""),44419.66666666667)</f>
        <v>44419.66667</v>
      </c>
      <c r="B10494" s="2">
        <f>IFERROR(__xludf.DUMMYFUNCTION("""COMPUTED_VALUE"""),135.42)</f>
        <v>135.42</v>
      </c>
      <c r="C10494" s="2">
        <f>IFERROR(__xludf.DUMMYFUNCTION("""COMPUTED_VALUE"""),136.37)</f>
        <v>136.37</v>
      </c>
      <c r="D10494" s="2">
        <f>IFERROR(__xludf.DUMMYFUNCTION("""COMPUTED_VALUE"""),135.16)</f>
        <v>135.16</v>
      </c>
      <c r="E10494" s="2">
        <f>IFERROR(__xludf.DUMMYFUNCTION("""COMPUTED_VALUE"""),135.76)</f>
        <v>135.76</v>
      </c>
      <c r="F10494" s="2">
        <f>IFERROR(__xludf.DUMMYFUNCTION("""COMPUTED_VALUE"""),4259952.0)</f>
        <v>4259952</v>
      </c>
    </row>
    <row r="10495">
      <c r="A10495" s="3">
        <f>IFERROR(__xludf.DUMMYFUNCTION("""COMPUTED_VALUE"""),44420.66666666667)</f>
        <v>44420.66667</v>
      </c>
      <c r="B10495" s="2">
        <f>IFERROR(__xludf.DUMMYFUNCTION("""COMPUTED_VALUE"""),135.88)</f>
        <v>135.88</v>
      </c>
      <c r="C10495" s="2">
        <f>IFERROR(__xludf.DUMMYFUNCTION("""COMPUTED_VALUE"""),136.73)</f>
        <v>136.73</v>
      </c>
      <c r="D10495" s="2">
        <f>IFERROR(__xludf.DUMMYFUNCTION("""COMPUTED_VALUE"""),135.71)</f>
        <v>135.71</v>
      </c>
      <c r="E10495" s="2">
        <f>IFERROR(__xludf.DUMMYFUNCTION("""COMPUTED_VALUE"""),136.66)</f>
        <v>136.66</v>
      </c>
      <c r="F10495" s="2">
        <f>IFERROR(__xludf.DUMMYFUNCTION("""COMPUTED_VALUE"""),2089418.0)</f>
        <v>2089418</v>
      </c>
    </row>
    <row r="10496">
      <c r="A10496" s="3">
        <f>IFERROR(__xludf.DUMMYFUNCTION("""COMPUTED_VALUE"""),44421.66666666667)</f>
        <v>44421.66667</v>
      </c>
      <c r="B10496" s="2">
        <f>IFERROR(__xludf.DUMMYFUNCTION("""COMPUTED_VALUE"""),136.24)</f>
        <v>136.24</v>
      </c>
      <c r="C10496" s="2">
        <f>IFERROR(__xludf.DUMMYFUNCTION("""COMPUTED_VALUE"""),137.14)</f>
        <v>137.14</v>
      </c>
      <c r="D10496" s="2">
        <f>IFERROR(__xludf.DUMMYFUNCTION("""COMPUTED_VALUE"""),136.05)</f>
        <v>136.05</v>
      </c>
      <c r="E10496" s="2">
        <f>IFERROR(__xludf.DUMMYFUNCTION("""COMPUTED_VALUE"""),136.76)</f>
        <v>136.76</v>
      </c>
      <c r="F10496" s="2">
        <f>IFERROR(__xludf.DUMMYFUNCTION("""COMPUTED_VALUE"""),1910443.0)</f>
        <v>1910443</v>
      </c>
    </row>
    <row r="10497">
      <c r="A10497" s="3">
        <f>IFERROR(__xludf.DUMMYFUNCTION("""COMPUTED_VALUE"""),44424.66666666667)</f>
        <v>44424.66667</v>
      </c>
      <c r="B10497" s="2">
        <f>IFERROR(__xludf.DUMMYFUNCTION("""COMPUTED_VALUE"""),136.81)</f>
        <v>136.81</v>
      </c>
      <c r="C10497" s="2">
        <f>IFERROR(__xludf.DUMMYFUNCTION("""COMPUTED_VALUE"""),137.3)</f>
        <v>137.3</v>
      </c>
      <c r="D10497" s="2">
        <f>IFERROR(__xludf.DUMMYFUNCTION("""COMPUTED_VALUE"""),135.85)</f>
        <v>135.85</v>
      </c>
      <c r="E10497" s="2">
        <f>IFERROR(__xludf.DUMMYFUNCTION("""COMPUTED_VALUE"""),137.15)</f>
        <v>137.15</v>
      </c>
      <c r="F10497" s="2">
        <f>IFERROR(__xludf.DUMMYFUNCTION("""COMPUTED_VALUE"""),2786343.0)</f>
        <v>2786343</v>
      </c>
    </row>
    <row r="10498">
      <c r="A10498" s="3">
        <f>IFERROR(__xludf.DUMMYFUNCTION("""COMPUTED_VALUE"""),44425.66666666667)</f>
        <v>44425.66667</v>
      </c>
      <c r="B10498" s="2">
        <f>IFERROR(__xludf.DUMMYFUNCTION("""COMPUTED_VALUE"""),136.59)</f>
        <v>136.59</v>
      </c>
      <c r="C10498" s="2">
        <f>IFERROR(__xludf.DUMMYFUNCTION("""COMPUTED_VALUE"""),136.74)</f>
        <v>136.74</v>
      </c>
      <c r="D10498" s="2">
        <f>IFERROR(__xludf.DUMMYFUNCTION("""COMPUTED_VALUE"""),134.76)</f>
        <v>134.76</v>
      </c>
      <c r="E10498" s="2">
        <f>IFERROR(__xludf.DUMMYFUNCTION("""COMPUTED_VALUE"""),136.03)</f>
        <v>136.03</v>
      </c>
      <c r="F10498" s="2">
        <f>IFERROR(__xludf.DUMMYFUNCTION("""COMPUTED_VALUE"""),3074078.0)</f>
        <v>3074078</v>
      </c>
    </row>
    <row r="10499">
      <c r="A10499" s="3">
        <f>IFERROR(__xludf.DUMMYFUNCTION("""COMPUTED_VALUE"""),44426.66666666667)</f>
        <v>44426.66667</v>
      </c>
      <c r="B10499" s="2">
        <f>IFERROR(__xludf.DUMMYFUNCTION("""COMPUTED_VALUE"""),135.32)</f>
        <v>135.32</v>
      </c>
      <c r="C10499" s="2">
        <f>IFERROR(__xludf.DUMMYFUNCTION("""COMPUTED_VALUE"""),135.55)</f>
        <v>135.55</v>
      </c>
      <c r="D10499" s="2">
        <f>IFERROR(__xludf.DUMMYFUNCTION("""COMPUTED_VALUE"""),133.14)</f>
        <v>133.14</v>
      </c>
      <c r="E10499" s="2">
        <f>IFERROR(__xludf.DUMMYFUNCTION("""COMPUTED_VALUE"""),133.22)</f>
        <v>133.22</v>
      </c>
      <c r="F10499" s="2">
        <f>IFERROR(__xludf.DUMMYFUNCTION("""COMPUTED_VALUE"""),3510694.0)</f>
        <v>3510694</v>
      </c>
    </row>
    <row r="10500">
      <c r="A10500" s="3">
        <f>IFERROR(__xludf.DUMMYFUNCTION("""COMPUTED_VALUE"""),44427.66666666667)</f>
        <v>44427.66667</v>
      </c>
      <c r="B10500" s="2">
        <f>IFERROR(__xludf.DUMMYFUNCTION("""COMPUTED_VALUE"""),132.47)</f>
        <v>132.47</v>
      </c>
      <c r="C10500" s="2">
        <f>IFERROR(__xludf.DUMMYFUNCTION("""COMPUTED_VALUE"""),133.2)</f>
        <v>133.2</v>
      </c>
      <c r="D10500" s="2">
        <f>IFERROR(__xludf.DUMMYFUNCTION("""COMPUTED_VALUE"""),131.06)</f>
        <v>131.06</v>
      </c>
      <c r="E10500" s="2">
        <f>IFERROR(__xludf.DUMMYFUNCTION("""COMPUTED_VALUE"""),131.83)</f>
        <v>131.83</v>
      </c>
      <c r="F10500" s="2">
        <f>IFERROR(__xludf.DUMMYFUNCTION("""COMPUTED_VALUE"""),4160129.0)</f>
        <v>4160129</v>
      </c>
    </row>
    <row r="10501">
      <c r="A10501" s="3">
        <f>IFERROR(__xludf.DUMMYFUNCTION("""COMPUTED_VALUE"""),44428.66666666667)</f>
        <v>44428.66667</v>
      </c>
      <c r="B10501" s="2">
        <f>IFERROR(__xludf.DUMMYFUNCTION("""COMPUTED_VALUE"""),131.56)</f>
        <v>131.56</v>
      </c>
      <c r="C10501" s="2">
        <f>IFERROR(__xludf.DUMMYFUNCTION("""COMPUTED_VALUE"""),133.13)</f>
        <v>133.13</v>
      </c>
      <c r="D10501" s="2">
        <f>IFERROR(__xludf.DUMMYFUNCTION("""COMPUTED_VALUE"""),131.12)</f>
        <v>131.12</v>
      </c>
      <c r="E10501" s="2">
        <f>IFERROR(__xludf.DUMMYFUNCTION("""COMPUTED_VALUE"""),132.87)</f>
        <v>132.87</v>
      </c>
      <c r="F10501" s="2">
        <f>IFERROR(__xludf.DUMMYFUNCTION("""COMPUTED_VALUE"""),2657763.0)</f>
        <v>2657763</v>
      </c>
    </row>
    <row r="10502">
      <c r="A10502" s="3">
        <f>IFERROR(__xludf.DUMMYFUNCTION("""COMPUTED_VALUE"""),44431.66666666667)</f>
        <v>44431.66667</v>
      </c>
      <c r="B10502" s="2">
        <f>IFERROR(__xludf.DUMMYFUNCTION("""COMPUTED_VALUE"""),133.36)</f>
        <v>133.36</v>
      </c>
      <c r="C10502" s="2">
        <f>IFERROR(__xludf.DUMMYFUNCTION("""COMPUTED_VALUE"""),133.87)</f>
        <v>133.87</v>
      </c>
      <c r="D10502" s="2">
        <f>IFERROR(__xludf.DUMMYFUNCTION("""COMPUTED_VALUE"""),132.58)</f>
        <v>132.58</v>
      </c>
      <c r="E10502" s="2">
        <f>IFERROR(__xludf.DUMMYFUNCTION("""COMPUTED_VALUE"""),133.36)</f>
        <v>133.36</v>
      </c>
      <c r="F10502" s="2">
        <f>IFERROR(__xludf.DUMMYFUNCTION("""COMPUTED_VALUE"""),3039587.0)</f>
        <v>3039587</v>
      </c>
    </row>
    <row r="10503">
      <c r="A10503" s="3">
        <f>IFERROR(__xludf.DUMMYFUNCTION("""COMPUTED_VALUE"""),44432.66666666667)</f>
        <v>44432.66667</v>
      </c>
      <c r="B10503" s="2">
        <f>IFERROR(__xludf.DUMMYFUNCTION("""COMPUTED_VALUE"""),133.51)</f>
        <v>133.51</v>
      </c>
      <c r="C10503" s="2">
        <f>IFERROR(__xludf.DUMMYFUNCTION("""COMPUTED_VALUE"""),133.94)</f>
        <v>133.94</v>
      </c>
      <c r="D10503" s="2">
        <f>IFERROR(__xludf.DUMMYFUNCTION("""COMPUTED_VALUE"""),133.07)</f>
        <v>133.07</v>
      </c>
      <c r="E10503" s="2">
        <f>IFERROR(__xludf.DUMMYFUNCTION("""COMPUTED_VALUE"""),133.57)</f>
        <v>133.57</v>
      </c>
      <c r="F10503" s="2">
        <f>IFERROR(__xludf.DUMMYFUNCTION("""COMPUTED_VALUE"""),2365638.0)</f>
        <v>2365638</v>
      </c>
    </row>
    <row r="10504">
      <c r="A10504" s="3">
        <f>IFERROR(__xludf.DUMMYFUNCTION("""COMPUTED_VALUE"""),44433.66666666667)</f>
        <v>44433.66667</v>
      </c>
      <c r="B10504" s="2">
        <f>IFERROR(__xludf.DUMMYFUNCTION("""COMPUTED_VALUE"""),133.65)</f>
        <v>133.65</v>
      </c>
      <c r="C10504" s="2">
        <f>IFERROR(__xludf.DUMMYFUNCTION("""COMPUTED_VALUE"""),134.49)</f>
        <v>134.49</v>
      </c>
      <c r="D10504" s="2">
        <f>IFERROR(__xludf.DUMMYFUNCTION("""COMPUTED_VALUE"""),133.21)</f>
        <v>133.21</v>
      </c>
      <c r="E10504" s="2">
        <f>IFERROR(__xludf.DUMMYFUNCTION("""COMPUTED_VALUE"""),133.59)</f>
        <v>133.59</v>
      </c>
      <c r="F10504" s="2">
        <f>IFERROR(__xludf.DUMMYFUNCTION("""COMPUTED_VALUE"""),2012817.0)</f>
        <v>2012817</v>
      </c>
    </row>
    <row r="10505">
      <c r="A10505" s="3">
        <f>IFERROR(__xludf.DUMMYFUNCTION("""COMPUTED_VALUE"""),44434.66666666667)</f>
        <v>44434.66667</v>
      </c>
      <c r="B10505" s="2">
        <f>IFERROR(__xludf.DUMMYFUNCTION("""COMPUTED_VALUE"""),133.69)</f>
        <v>133.69</v>
      </c>
      <c r="C10505" s="2">
        <f>IFERROR(__xludf.DUMMYFUNCTION("""COMPUTED_VALUE"""),134.49)</f>
        <v>134.49</v>
      </c>
      <c r="D10505" s="2">
        <f>IFERROR(__xludf.DUMMYFUNCTION("""COMPUTED_VALUE"""),132.49)</f>
        <v>132.49</v>
      </c>
      <c r="E10505" s="2">
        <f>IFERROR(__xludf.DUMMYFUNCTION("""COMPUTED_VALUE"""),132.56)</f>
        <v>132.56</v>
      </c>
      <c r="F10505" s="2">
        <f>IFERROR(__xludf.DUMMYFUNCTION("""COMPUTED_VALUE"""),2498915.0)</f>
        <v>2498915</v>
      </c>
    </row>
    <row r="10506">
      <c r="A10506" s="3">
        <f>IFERROR(__xludf.DUMMYFUNCTION("""COMPUTED_VALUE"""),44435.66666666667)</f>
        <v>44435.66667</v>
      </c>
      <c r="B10506" s="2">
        <f>IFERROR(__xludf.DUMMYFUNCTION("""COMPUTED_VALUE"""),132.49)</f>
        <v>132.49</v>
      </c>
      <c r="C10506" s="2">
        <f>IFERROR(__xludf.DUMMYFUNCTION("""COMPUTED_VALUE"""),133.33)</f>
        <v>133.33</v>
      </c>
      <c r="D10506" s="2">
        <f>IFERROR(__xludf.DUMMYFUNCTION("""COMPUTED_VALUE"""),132.19)</f>
        <v>132.19</v>
      </c>
      <c r="E10506" s="2">
        <f>IFERROR(__xludf.DUMMYFUNCTION("""COMPUTED_VALUE"""),133.16)</f>
        <v>133.16</v>
      </c>
      <c r="F10506" s="2">
        <f>IFERROR(__xludf.DUMMYFUNCTION("""COMPUTED_VALUE"""),2459643.0)</f>
        <v>2459643</v>
      </c>
    </row>
    <row r="10507">
      <c r="A10507" s="3">
        <f>IFERROR(__xludf.DUMMYFUNCTION("""COMPUTED_VALUE"""),44438.66666666667)</f>
        <v>44438.66667</v>
      </c>
      <c r="B10507" s="2">
        <f>IFERROR(__xludf.DUMMYFUNCTION("""COMPUTED_VALUE"""),133.25)</f>
        <v>133.25</v>
      </c>
      <c r="C10507" s="2">
        <f>IFERROR(__xludf.DUMMYFUNCTION("""COMPUTED_VALUE"""),133.61)</f>
        <v>133.61</v>
      </c>
      <c r="D10507" s="2">
        <f>IFERROR(__xludf.DUMMYFUNCTION("""COMPUTED_VALUE"""),132.59)</f>
        <v>132.59</v>
      </c>
      <c r="E10507" s="2">
        <f>IFERROR(__xludf.DUMMYFUNCTION("""COMPUTED_VALUE"""),132.74)</f>
        <v>132.74</v>
      </c>
      <c r="F10507" s="2">
        <f>IFERROR(__xludf.DUMMYFUNCTION("""COMPUTED_VALUE"""),1995526.0)</f>
        <v>1995526</v>
      </c>
    </row>
    <row r="10508">
      <c r="A10508" s="3">
        <f>IFERROR(__xludf.DUMMYFUNCTION("""COMPUTED_VALUE"""),44439.66666666667)</f>
        <v>44439.66667</v>
      </c>
      <c r="B10508" s="2">
        <f>IFERROR(__xludf.DUMMYFUNCTION("""COMPUTED_VALUE"""),133.28)</f>
        <v>133.28</v>
      </c>
      <c r="C10508" s="2">
        <f>IFERROR(__xludf.DUMMYFUNCTION("""COMPUTED_VALUE"""),134.62)</f>
        <v>134.62</v>
      </c>
      <c r="D10508" s="2">
        <f>IFERROR(__xludf.DUMMYFUNCTION("""COMPUTED_VALUE"""),132.72)</f>
        <v>132.72</v>
      </c>
      <c r="E10508" s="2">
        <f>IFERROR(__xludf.DUMMYFUNCTION("""COMPUTED_VALUE"""),134.05)</f>
        <v>134.05</v>
      </c>
      <c r="F10508" s="2">
        <f>IFERROR(__xludf.DUMMYFUNCTION("""COMPUTED_VALUE"""),4235101.0)</f>
        <v>4235101</v>
      </c>
    </row>
    <row r="10509">
      <c r="A10509" s="3">
        <f>IFERROR(__xludf.DUMMYFUNCTION("""COMPUTED_VALUE"""),44440.66666666667)</f>
        <v>44440.66667</v>
      </c>
      <c r="B10509" s="2">
        <f>IFERROR(__xludf.DUMMYFUNCTION("""COMPUTED_VALUE"""),133.7)</f>
        <v>133.7</v>
      </c>
      <c r="C10509" s="2">
        <f>IFERROR(__xludf.DUMMYFUNCTION("""COMPUTED_VALUE"""),133.79)</f>
        <v>133.79</v>
      </c>
      <c r="D10509" s="2">
        <f>IFERROR(__xludf.DUMMYFUNCTION("""COMPUTED_VALUE"""),132.95)</f>
        <v>132.95</v>
      </c>
      <c r="E10509" s="2">
        <f>IFERROR(__xludf.DUMMYFUNCTION("""COMPUTED_VALUE"""),133.05)</f>
        <v>133.05</v>
      </c>
      <c r="F10509" s="2">
        <f>IFERROR(__xludf.DUMMYFUNCTION("""COMPUTED_VALUE"""),2474544.0)</f>
        <v>2474544</v>
      </c>
    </row>
    <row r="10510">
      <c r="A10510" s="3">
        <f>IFERROR(__xludf.DUMMYFUNCTION("""COMPUTED_VALUE"""),44441.66666666667)</f>
        <v>44441.66667</v>
      </c>
      <c r="B10510" s="2">
        <f>IFERROR(__xludf.DUMMYFUNCTION("""COMPUTED_VALUE"""),133.46)</f>
        <v>133.46</v>
      </c>
      <c r="C10510" s="2">
        <f>IFERROR(__xludf.DUMMYFUNCTION("""COMPUTED_VALUE"""),133.77)</f>
        <v>133.77</v>
      </c>
      <c r="D10510" s="2">
        <f>IFERROR(__xludf.DUMMYFUNCTION("""COMPUTED_VALUE"""),132.8)</f>
        <v>132.8</v>
      </c>
      <c r="E10510" s="2">
        <f>IFERROR(__xludf.DUMMYFUNCTION("""COMPUTED_VALUE"""),133.73)</f>
        <v>133.73</v>
      </c>
      <c r="F10510" s="2">
        <f>IFERROR(__xludf.DUMMYFUNCTION("""COMPUTED_VALUE"""),2715659.0)</f>
        <v>2715659</v>
      </c>
    </row>
    <row r="10511">
      <c r="A10511" s="3">
        <f>IFERROR(__xludf.DUMMYFUNCTION("""COMPUTED_VALUE"""),44442.66666666667)</f>
        <v>44442.66667</v>
      </c>
      <c r="B10511" s="2">
        <f>IFERROR(__xludf.DUMMYFUNCTION("""COMPUTED_VALUE"""),133.42)</f>
        <v>133.42</v>
      </c>
      <c r="C10511" s="2">
        <f>IFERROR(__xludf.DUMMYFUNCTION("""COMPUTED_VALUE"""),134.17)</f>
        <v>134.17</v>
      </c>
      <c r="D10511" s="2">
        <f>IFERROR(__xludf.DUMMYFUNCTION("""COMPUTED_VALUE"""),133.05)</f>
        <v>133.05</v>
      </c>
      <c r="E10511" s="2">
        <f>IFERROR(__xludf.DUMMYFUNCTION("""COMPUTED_VALUE"""),133.32)</f>
        <v>133.32</v>
      </c>
      <c r="F10511" s="2">
        <f>IFERROR(__xludf.DUMMYFUNCTION("""COMPUTED_VALUE"""),1924215.0)</f>
        <v>1924215</v>
      </c>
    </row>
    <row r="10512">
      <c r="A10512" s="3">
        <f>IFERROR(__xludf.DUMMYFUNCTION("""COMPUTED_VALUE"""),44446.66666666667)</f>
        <v>44446.66667</v>
      </c>
      <c r="B10512" s="2">
        <f>IFERROR(__xludf.DUMMYFUNCTION("""COMPUTED_VALUE"""),133.39)</f>
        <v>133.39</v>
      </c>
      <c r="C10512" s="2">
        <f>IFERROR(__xludf.DUMMYFUNCTION("""COMPUTED_VALUE"""),133.52)</f>
        <v>133.52</v>
      </c>
      <c r="D10512" s="2">
        <f>IFERROR(__xludf.DUMMYFUNCTION("""COMPUTED_VALUE"""),131.58)</f>
        <v>131.58</v>
      </c>
      <c r="E10512" s="2">
        <f>IFERROR(__xludf.DUMMYFUNCTION("""COMPUTED_VALUE"""),131.87)</f>
        <v>131.87</v>
      </c>
      <c r="F10512" s="2">
        <f>IFERROR(__xludf.DUMMYFUNCTION("""COMPUTED_VALUE"""),3285363.0)</f>
        <v>3285363</v>
      </c>
    </row>
    <row r="10513">
      <c r="A10513" s="3">
        <f>IFERROR(__xludf.DUMMYFUNCTION("""COMPUTED_VALUE"""),44447.66666666667)</f>
        <v>44447.66667</v>
      </c>
      <c r="B10513" s="2">
        <f>IFERROR(__xludf.DUMMYFUNCTION("""COMPUTED_VALUE"""),131.95)</f>
        <v>131.95</v>
      </c>
      <c r="C10513" s="2">
        <f>IFERROR(__xludf.DUMMYFUNCTION("""COMPUTED_VALUE"""),132.85)</f>
        <v>132.85</v>
      </c>
      <c r="D10513" s="2">
        <f>IFERROR(__xludf.DUMMYFUNCTION("""COMPUTED_VALUE"""),131.43)</f>
        <v>131.43</v>
      </c>
      <c r="E10513" s="2">
        <f>IFERROR(__xludf.DUMMYFUNCTION("""COMPUTED_VALUE"""),132.45)</f>
        <v>132.45</v>
      </c>
      <c r="F10513" s="2">
        <f>IFERROR(__xludf.DUMMYFUNCTION("""COMPUTED_VALUE"""),2985409.0)</f>
        <v>2985409</v>
      </c>
    </row>
    <row r="10514">
      <c r="A10514" s="3">
        <f>IFERROR(__xludf.DUMMYFUNCTION("""COMPUTED_VALUE"""),44448.66666666667)</f>
        <v>44448.66667</v>
      </c>
      <c r="B10514" s="2">
        <f>IFERROR(__xludf.DUMMYFUNCTION("""COMPUTED_VALUE"""),131.67)</f>
        <v>131.67</v>
      </c>
      <c r="C10514" s="2">
        <f>IFERROR(__xludf.DUMMYFUNCTION("""COMPUTED_VALUE"""),132.73)</f>
        <v>132.73</v>
      </c>
      <c r="D10514" s="2">
        <f>IFERROR(__xludf.DUMMYFUNCTION("""COMPUTED_VALUE"""),131.39)</f>
        <v>131.39</v>
      </c>
      <c r="E10514" s="2">
        <f>IFERROR(__xludf.DUMMYFUNCTION("""COMPUTED_VALUE"""),131.56)</f>
        <v>131.56</v>
      </c>
      <c r="F10514" s="2">
        <f>IFERROR(__xludf.DUMMYFUNCTION("""COMPUTED_VALUE"""),3508363.0)</f>
        <v>3508363</v>
      </c>
    </row>
    <row r="10515">
      <c r="A10515" s="3">
        <f>IFERROR(__xludf.DUMMYFUNCTION("""COMPUTED_VALUE"""),44449.66666666667)</f>
        <v>44449.66667</v>
      </c>
      <c r="B10515" s="2">
        <f>IFERROR(__xludf.DUMMYFUNCTION("""COMPUTED_VALUE"""),132.6)</f>
        <v>132.6</v>
      </c>
      <c r="C10515" s="2">
        <f>IFERROR(__xludf.DUMMYFUNCTION("""COMPUTED_VALUE"""),133.12)</f>
        <v>133.12</v>
      </c>
      <c r="D10515" s="2">
        <f>IFERROR(__xludf.DUMMYFUNCTION("""COMPUTED_VALUE"""),130.86)</f>
        <v>130.86</v>
      </c>
      <c r="E10515" s="2">
        <f>IFERROR(__xludf.DUMMYFUNCTION("""COMPUTED_VALUE"""),130.88)</f>
        <v>130.88</v>
      </c>
      <c r="F10515" s="2">
        <f>IFERROR(__xludf.DUMMYFUNCTION("""COMPUTED_VALUE"""),3975115.0)</f>
        <v>3975115</v>
      </c>
    </row>
    <row r="10516">
      <c r="A10516" s="3">
        <f>IFERROR(__xludf.DUMMYFUNCTION("""COMPUTED_VALUE"""),44452.66666666667)</f>
        <v>44452.66667</v>
      </c>
      <c r="B10516" s="2">
        <f>IFERROR(__xludf.DUMMYFUNCTION("""COMPUTED_VALUE"""),132.19)</f>
        <v>132.19</v>
      </c>
      <c r="C10516" s="2">
        <f>IFERROR(__xludf.DUMMYFUNCTION("""COMPUTED_VALUE"""),132.76)</f>
        <v>132.76</v>
      </c>
      <c r="D10516" s="2">
        <f>IFERROR(__xludf.DUMMYFUNCTION("""COMPUTED_VALUE"""),131.34)</f>
        <v>131.34</v>
      </c>
      <c r="E10516" s="2">
        <f>IFERROR(__xludf.DUMMYFUNCTION("""COMPUTED_VALUE"""),131.96)</f>
        <v>131.96</v>
      </c>
      <c r="F10516" s="2">
        <f>IFERROR(__xludf.DUMMYFUNCTION("""COMPUTED_VALUE"""),4144345.0)</f>
        <v>4144345</v>
      </c>
    </row>
    <row r="10517">
      <c r="A10517" s="3">
        <f>IFERROR(__xludf.DUMMYFUNCTION("""COMPUTED_VALUE"""),44453.66666666667)</f>
        <v>44453.66667</v>
      </c>
      <c r="B10517" s="2">
        <f>IFERROR(__xludf.DUMMYFUNCTION("""COMPUTED_VALUE"""),132.19)</f>
        <v>132.19</v>
      </c>
      <c r="C10517" s="2">
        <f>IFERROR(__xludf.DUMMYFUNCTION("""COMPUTED_VALUE"""),132.36)</f>
        <v>132.36</v>
      </c>
      <c r="D10517" s="2">
        <f>IFERROR(__xludf.DUMMYFUNCTION("""COMPUTED_VALUE"""),129.27)</f>
        <v>129.27</v>
      </c>
      <c r="E10517" s="2">
        <f>IFERROR(__xludf.DUMMYFUNCTION("""COMPUTED_VALUE"""),130.11)</f>
        <v>130.11</v>
      </c>
      <c r="F10517" s="2">
        <f>IFERROR(__xludf.DUMMYFUNCTION("""COMPUTED_VALUE"""),4454291.0)</f>
        <v>4454291</v>
      </c>
    </row>
    <row r="10518">
      <c r="A10518" s="3">
        <f>IFERROR(__xludf.DUMMYFUNCTION("""COMPUTED_VALUE"""),44454.66666666667)</f>
        <v>44454.66667</v>
      </c>
      <c r="B10518" s="2">
        <f>IFERROR(__xludf.DUMMYFUNCTION("""COMPUTED_VALUE"""),130.11)</f>
        <v>130.11</v>
      </c>
      <c r="C10518" s="2">
        <f>IFERROR(__xludf.DUMMYFUNCTION("""COMPUTED_VALUE"""),131.62)</f>
        <v>131.62</v>
      </c>
      <c r="D10518" s="2">
        <f>IFERROR(__xludf.DUMMYFUNCTION("""COMPUTED_VALUE"""),129.59)</f>
        <v>129.59</v>
      </c>
      <c r="E10518" s="2">
        <f>IFERROR(__xludf.DUMMYFUNCTION("""COMPUTED_VALUE"""),131.05)</f>
        <v>131.05</v>
      </c>
      <c r="F10518" s="2">
        <f>IFERROR(__xludf.DUMMYFUNCTION("""COMPUTED_VALUE"""),3254122.0)</f>
        <v>3254122</v>
      </c>
    </row>
    <row r="10519">
      <c r="A10519" s="3">
        <f>IFERROR(__xludf.DUMMYFUNCTION("""COMPUTED_VALUE"""),44455.66666666667)</f>
        <v>44455.66667</v>
      </c>
      <c r="B10519" s="2">
        <f>IFERROR(__xludf.DUMMYFUNCTION("""COMPUTED_VALUE"""),131.12)</f>
        <v>131.12</v>
      </c>
      <c r="C10519" s="2">
        <f>IFERROR(__xludf.DUMMYFUNCTION("""COMPUTED_VALUE"""),131.76)</f>
        <v>131.76</v>
      </c>
      <c r="D10519" s="2">
        <f>IFERROR(__xludf.DUMMYFUNCTION("""COMPUTED_VALUE"""),129.63)</f>
        <v>129.63</v>
      </c>
      <c r="E10519" s="2">
        <f>IFERROR(__xludf.DUMMYFUNCTION("""COMPUTED_VALUE"""),130.31)</f>
        <v>130.31</v>
      </c>
      <c r="F10519" s="2">
        <f>IFERROR(__xludf.DUMMYFUNCTION("""COMPUTED_VALUE"""),2643975.0)</f>
        <v>2643975</v>
      </c>
    </row>
    <row r="10520">
      <c r="A10520" s="3">
        <f>IFERROR(__xludf.DUMMYFUNCTION("""COMPUTED_VALUE"""),44456.66666666667)</f>
        <v>44456.66667</v>
      </c>
      <c r="B10520" s="2">
        <f>IFERROR(__xludf.DUMMYFUNCTION("""COMPUTED_VALUE"""),129.66)</f>
        <v>129.66</v>
      </c>
      <c r="C10520" s="2">
        <f>IFERROR(__xludf.DUMMYFUNCTION("""COMPUTED_VALUE"""),129.83)</f>
        <v>129.83</v>
      </c>
      <c r="D10520" s="2">
        <f>IFERROR(__xludf.DUMMYFUNCTION("""COMPUTED_VALUE"""),128.99)</f>
        <v>128.99</v>
      </c>
      <c r="E10520" s="2">
        <f>IFERROR(__xludf.DUMMYFUNCTION("""COMPUTED_VALUE"""),129.17)</f>
        <v>129.17</v>
      </c>
      <c r="F10520" s="2">
        <f>IFERROR(__xludf.DUMMYFUNCTION("""COMPUTED_VALUE"""),5633480.0)</f>
        <v>5633480</v>
      </c>
    </row>
    <row r="10521">
      <c r="A10521" s="3">
        <f>IFERROR(__xludf.DUMMYFUNCTION("""COMPUTED_VALUE"""),44459.66666666667)</f>
        <v>44459.66667</v>
      </c>
      <c r="B10521" s="2">
        <f>IFERROR(__xludf.DUMMYFUNCTION("""COMPUTED_VALUE"""),127.9)</f>
        <v>127.9</v>
      </c>
      <c r="C10521" s="2">
        <f>IFERROR(__xludf.DUMMYFUNCTION("""COMPUTED_VALUE"""),129.12)</f>
        <v>129.12</v>
      </c>
      <c r="D10521" s="2">
        <f>IFERROR(__xludf.DUMMYFUNCTION("""COMPUTED_VALUE"""),126.83)</f>
        <v>126.83</v>
      </c>
      <c r="E10521" s="2">
        <f>IFERROR(__xludf.DUMMYFUNCTION("""COMPUTED_VALUE"""),128.29)</f>
        <v>128.29</v>
      </c>
      <c r="F10521" s="2">
        <f>IFERROR(__xludf.DUMMYFUNCTION("""COMPUTED_VALUE"""),4770651.0)</f>
        <v>4770651</v>
      </c>
    </row>
    <row r="10522">
      <c r="A10522" s="3">
        <f>IFERROR(__xludf.DUMMYFUNCTION("""COMPUTED_VALUE"""),44460.66666666667)</f>
        <v>44460.66667</v>
      </c>
      <c r="B10522" s="2">
        <f>IFERROR(__xludf.DUMMYFUNCTION("""COMPUTED_VALUE"""),129.05)</f>
        <v>129.05</v>
      </c>
      <c r="C10522" s="2">
        <f>IFERROR(__xludf.DUMMYFUNCTION("""COMPUTED_VALUE"""),129.57)</f>
        <v>129.57</v>
      </c>
      <c r="D10522" s="2">
        <f>IFERROR(__xludf.DUMMYFUNCTION("""COMPUTED_VALUE"""),126.98)</f>
        <v>126.98</v>
      </c>
      <c r="E10522" s="2">
        <f>IFERROR(__xludf.DUMMYFUNCTION("""COMPUTED_VALUE"""),127.01)</f>
        <v>127.01</v>
      </c>
      <c r="F10522" s="2">
        <f>IFERROR(__xludf.DUMMYFUNCTION("""COMPUTED_VALUE"""),4074528.0)</f>
        <v>4074528</v>
      </c>
    </row>
    <row r="10523">
      <c r="A10523" s="3">
        <f>IFERROR(__xludf.DUMMYFUNCTION("""COMPUTED_VALUE"""),44461.66666666667)</f>
        <v>44461.66667</v>
      </c>
      <c r="B10523" s="2">
        <f>IFERROR(__xludf.DUMMYFUNCTION("""COMPUTED_VALUE"""),127.72)</f>
        <v>127.72</v>
      </c>
      <c r="C10523" s="2">
        <f>IFERROR(__xludf.DUMMYFUNCTION("""COMPUTED_VALUE"""),129.3)</f>
        <v>129.3</v>
      </c>
      <c r="D10523" s="2">
        <f>IFERROR(__xludf.DUMMYFUNCTION("""COMPUTED_VALUE"""),127.49)</f>
        <v>127.49</v>
      </c>
      <c r="E10523" s="2">
        <f>IFERROR(__xludf.DUMMYFUNCTION("""COMPUTED_VALUE"""),128.59)</f>
        <v>128.59</v>
      </c>
      <c r="F10523" s="2">
        <f>IFERROR(__xludf.DUMMYFUNCTION("""COMPUTED_VALUE"""),3602416.0)</f>
        <v>3602416</v>
      </c>
    </row>
    <row r="10524">
      <c r="A10524" s="3">
        <f>IFERROR(__xludf.DUMMYFUNCTION("""COMPUTED_VALUE"""),44462.66666666667)</f>
        <v>44462.66667</v>
      </c>
      <c r="B10524" s="2">
        <f>IFERROR(__xludf.DUMMYFUNCTION("""COMPUTED_VALUE"""),129.19)</f>
        <v>129.19</v>
      </c>
      <c r="C10524" s="2">
        <f>IFERROR(__xludf.DUMMYFUNCTION("""COMPUTED_VALUE"""),131.26)</f>
        <v>131.26</v>
      </c>
      <c r="D10524" s="2">
        <f>IFERROR(__xludf.DUMMYFUNCTION("""COMPUTED_VALUE"""),128.98)</f>
        <v>128.98</v>
      </c>
      <c r="E10524" s="2">
        <f>IFERROR(__xludf.DUMMYFUNCTION("""COMPUTED_VALUE"""),130.6)</f>
        <v>130.6</v>
      </c>
      <c r="F10524" s="2">
        <f>IFERROR(__xludf.DUMMYFUNCTION("""COMPUTED_VALUE"""),3013238.0)</f>
        <v>3013238</v>
      </c>
    </row>
    <row r="10525">
      <c r="A10525" s="3">
        <f>IFERROR(__xludf.DUMMYFUNCTION("""COMPUTED_VALUE"""),44463.66666666667)</f>
        <v>44463.66667</v>
      </c>
      <c r="B10525" s="2">
        <f>IFERROR(__xludf.DUMMYFUNCTION("""COMPUTED_VALUE"""),130.89)</f>
        <v>130.89</v>
      </c>
      <c r="C10525" s="2">
        <f>IFERROR(__xludf.DUMMYFUNCTION("""COMPUTED_VALUE"""),132.27)</f>
        <v>132.27</v>
      </c>
      <c r="D10525" s="2">
        <f>IFERROR(__xludf.DUMMYFUNCTION("""COMPUTED_VALUE"""),130.62)</f>
        <v>130.62</v>
      </c>
      <c r="E10525" s="2">
        <f>IFERROR(__xludf.DUMMYFUNCTION("""COMPUTED_VALUE"""),131.33)</f>
        <v>131.33</v>
      </c>
      <c r="F10525" s="2">
        <f>IFERROR(__xludf.DUMMYFUNCTION("""COMPUTED_VALUE"""),2964397.0)</f>
        <v>2964397</v>
      </c>
    </row>
    <row r="10526">
      <c r="A10526" s="3">
        <f>IFERROR(__xludf.DUMMYFUNCTION("""COMPUTED_VALUE"""),44466.66666666667)</f>
        <v>44466.66667</v>
      </c>
      <c r="B10526" s="2">
        <f>IFERROR(__xludf.DUMMYFUNCTION("""COMPUTED_VALUE"""),131.77)</f>
        <v>131.77</v>
      </c>
      <c r="C10526" s="2">
        <f>IFERROR(__xludf.DUMMYFUNCTION("""COMPUTED_VALUE"""),132.83)</f>
        <v>132.83</v>
      </c>
      <c r="D10526" s="2">
        <f>IFERROR(__xludf.DUMMYFUNCTION("""COMPUTED_VALUE"""),131.32)</f>
        <v>131.32</v>
      </c>
      <c r="E10526" s="2">
        <f>IFERROR(__xludf.DUMMYFUNCTION("""COMPUTED_VALUE"""),132.35)</f>
        <v>132.35</v>
      </c>
      <c r="F10526" s="2">
        <f>IFERROR(__xludf.DUMMYFUNCTION("""COMPUTED_VALUE"""),3306865.0)</f>
        <v>3306865</v>
      </c>
    </row>
    <row r="10527">
      <c r="A10527" s="3">
        <f>IFERROR(__xludf.DUMMYFUNCTION("""COMPUTED_VALUE"""),44467.66666666667)</f>
        <v>44467.66667</v>
      </c>
      <c r="B10527" s="2">
        <f>IFERROR(__xludf.DUMMYFUNCTION("""COMPUTED_VALUE"""),132.93)</f>
        <v>132.93</v>
      </c>
      <c r="C10527" s="2">
        <f>IFERROR(__xludf.DUMMYFUNCTION("""COMPUTED_VALUE"""),133.42)</f>
        <v>133.42</v>
      </c>
      <c r="D10527" s="2">
        <f>IFERROR(__xludf.DUMMYFUNCTION("""COMPUTED_VALUE"""),131.06)</f>
        <v>131.06</v>
      </c>
      <c r="E10527" s="2">
        <f>IFERROR(__xludf.DUMMYFUNCTION("""COMPUTED_VALUE"""),131.31)</f>
        <v>131.31</v>
      </c>
      <c r="F10527" s="2">
        <f>IFERROR(__xludf.DUMMYFUNCTION("""COMPUTED_VALUE"""),4314595.0)</f>
        <v>4314595</v>
      </c>
    </row>
    <row r="10528">
      <c r="A10528" s="3">
        <f>IFERROR(__xludf.DUMMYFUNCTION("""COMPUTED_VALUE"""),44468.66666666667)</f>
        <v>44468.66667</v>
      </c>
      <c r="B10528" s="2">
        <f>IFERROR(__xludf.DUMMYFUNCTION("""COMPUTED_VALUE"""),131.55)</f>
        <v>131.55</v>
      </c>
      <c r="C10528" s="2">
        <f>IFERROR(__xludf.DUMMYFUNCTION("""COMPUTED_VALUE"""),133.66)</f>
        <v>133.66</v>
      </c>
      <c r="D10528" s="2">
        <f>IFERROR(__xludf.DUMMYFUNCTION("""COMPUTED_VALUE"""),130.32)</f>
        <v>130.32</v>
      </c>
      <c r="E10528" s="2">
        <f>IFERROR(__xludf.DUMMYFUNCTION("""COMPUTED_VALUE"""),132.94)</f>
        <v>132.94</v>
      </c>
      <c r="F10528" s="2">
        <f>IFERROR(__xludf.DUMMYFUNCTION("""COMPUTED_VALUE"""),3774236.0)</f>
        <v>3774236</v>
      </c>
    </row>
    <row r="10529">
      <c r="A10529" s="3">
        <f>IFERROR(__xludf.DUMMYFUNCTION("""COMPUTED_VALUE"""),44469.66666666667)</f>
        <v>44469.66667</v>
      </c>
      <c r="B10529" s="2">
        <f>IFERROR(__xludf.DUMMYFUNCTION("""COMPUTED_VALUE"""),133.72)</f>
        <v>133.72</v>
      </c>
      <c r="C10529" s="2">
        <f>IFERROR(__xludf.DUMMYFUNCTION("""COMPUTED_VALUE"""),134.27)</f>
        <v>134.27</v>
      </c>
      <c r="D10529" s="2">
        <f>IFERROR(__xludf.DUMMYFUNCTION("""COMPUTED_VALUE"""),132.29)</f>
        <v>132.29</v>
      </c>
      <c r="E10529" s="2">
        <f>IFERROR(__xludf.DUMMYFUNCTION("""COMPUTED_VALUE"""),132.7)</f>
        <v>132.7</v>
      </c>
      <c r="F10529" s="2">
        <f>IFERROR(__xludf.DUMMYFUNCTION("""COMPUTED_VALUE"""),5824431.0)</f>
        <v>5824431</v>
      </c>
    </row>
    <row r="10530">
      <c r="A10530" s="3">
        <f>IFERROR(__xludf.DUMMYFUNCTION("""COMPUTED_VALUE"""),44470.66666666667)</f>
        <v>44470.66667</v>
      </c>
      <c r="B10530" s="2">
        <f>IFERROR(__xludf.DUMMYFUNCTION("""COMPUTED_VALUE"""),134.68)</f>
        <v>134.68</v>
      </c>
      <c r="C10530" s="2">
        <f>IFERROR(__xludf.DUMMYFUNCTION("""COMPUTED_VALUE"""),137.51)</f>
        <v>137.51</v>
      </c>
      <c r="D10530" s="2">
        <f>IFERROR(__xludf.DUMMYFUNCTION("""COMPUTED_VALUE"""),134.08)</f>
        <v>134.08</v>
      </c>
      <c r="E10530" s="2">
        <f>IFERROR(__xludf.DUMMYFUNCTION("""COMPUTED_VALUE"""),136.89)</f>
        <v>136.89</v>
      </c>
      <c r="F10530" s="2">
        <f>IFERROR(__xludf.DUMMYFUNCTION("""COMPUTED_VALUE"""),6604064.0)</f>
        <v>6604064</v>
      </c>
    </row>
    <row r="10531">
      <c r="A10531" s="3">
        <f>IFERROR(__xludf.DUMMYFUNCTION("""COMPUTED_VALUE"""),44473.66666666667)</f>
        <v>44473.66667</v>
      </c>
      <c r="B10531" s="2">
        <f>IFERROR(__xludf.DUMMYFUNCTION("""COMPUTED_VALUE"""),136.34)</f>
        <v>136.34</v>
      </c>
      <c r="C10531" s="2">
        <f>IFERROR(__xludf.DUMMYFUNCTION("""COMPUTED_VALUE"""),139.45)</f>
        <v>139.45</v>
      </c>
      <c r="D10531" s="2">
        <f>IFERROR(__xludf.DUMMYFUNCTION("""COMPUTED_VALUE"""),135.97)</f>
        <v>135.97</v>
      </c>
      <c r="E10531" s="2">
        <f>IFERROR(__xludf.DUMMYFUNCTION("""COMPUTED_VALUE"""),137.65)</f>
        <v>137.65</v>
      </c>
      <c r="F10531" s="2">
        <f>IFERROR(__xludf.DUMMYFUNCTION("""COMPUTED_VALUE"""),7351128.0)</f>
        <v>7351128</v>
      </c>
    </row>
    <row r="10532">
      <c r="A10532" s="3">
        <f>IFERROR(__xludf.DUMMYFUNCTION("""COMPUTED_VALUE"""),44474.66666666667)</f>
        <v>44474.66667</v>
      </c>
      <c r="B10532" s="2">
        <f>IFERROR(__xludf.DUMMYFUNCTION("""COMPUTED_VALUE"""),138.26)</f>
        <v>138.26</v>
      </c>
      <c r="C10532" s="2">
        <f>IFERROR(__xludf.DUMMYFUNCTION("""COMPUTED_VALUE"""),138.5)</f>
        <v>138.5</v>
      </c>
      <c r="D10532" s="2">
        <f>IFERROR(__xludf.DUMMYFUNCTION("""COMPUTED_VALUE"""),136.24)</f>
        <v>136.24</v>
      </c>
      <c r="E10532" s="2">
        <f>IFERROR(__xludf.DUMMYFUNCTION("""COMPUTED_VALUE"""),136.73)</f>
        <v>136.73</v>
      </c>
      <c r="F10532" s="2">
        <f>IFERROR(__xludf.DUMMYFUNCTION("""COMPUTED_VALUE"""),6976648.0)</f>
        <v>6976648</v>
      </c>
    </row>
    <row r="10533">
      <c r="A10533" s="3">
        <f>IFERROR(__xludf.DUMMYFUNCTION("""COMPUTED_VALUE"""),44475.66666666667)</f>
        <v>44475.66667</v>
      </c>
      <c r="B10533" s="2">
        <f>IFERROR(__xludf.DUMMYFUNCTION("""COMPUTED_VALUE"""),136.09)</f>
        <v>136.09</v>
      </c>
      <c r="C10533" s="2">
        <f>IFERROR(__xludf.DUMMYFUNCTION("""COMPUTED_VALUE"""),136.94)</f>
        <v>136.94</v>
      </c>
      <c r="D10533" s="2">
        <f>IFERROR(__xludf.DUMMYFUNCTION("""COMPUTED_VALUE"""),134.57)</f>
        <v>134.57</v>
      </c>
      <c r="E10533" s="2">
        <f>IFERROR(__xludf.DUMMYFUNCTION("""COMPUTED_VALUE"""),135.98)</f>
        <v>135.98</v>
      </c>
      <c r="F10533" s="2">
        <f>IFERROR(__xludf.DUMMYFUNCTION("""COMPUTED_VALUE"""),5328433.0)</f>
        <v>5328433</v>
      </c>
    </row>
    <row r="10534">
      <c r="A10534" s="3">
        <f>IFERROR(__xludf.DUMMYFUNCTION("""COMPUTED_VALUE"""),44476.66666666667)</f>
        <v>44476.66667</v>
      </c>
      <c r="B10534" s="2">
        <f>IFERROR(__xludf.DUMMYFUNCTION("""COMPUTED_VALUE"""),136.33)</f>
        <v>136.33</v>
      </c>
      <c r="C10534" s="2">
        <f>IFERROR(__xludf.DUMMYFUNCTION("""COMPUTED_VALUE"""),136.97)</f>
        <v>136.97</v>
      </c>
      <c r="D10534" s="2">
        <f>IFERROR(__xludf.DUMMYFUNCTION("""COMPUTED_VALUE"""),135.18)</f>
        <v>135.18</v>
      </c>
      <c r="E10534" s="2">
        <f>IFERROR(__xludf.DUMMYFUNCTION("""COMPUTED_VALUE"""),135.45)</f>
        <v>135.45</v>
      </c>
      <c r="F10534" s="2">
        <f>IFERROR(__xludf.DUMMYFUNCTION("""COMPUTED_VALUE"""),3823803.0)</f>
        <v>3823803</v>
      </c>
    </row>
    <row r="10535">
      <c r="A10535" s="3">
        <f>IFERROR(__xludf.DUMMYFUNCTION("""COMPUTED_VALUE"""),44477.66666666667)</f>
        <v>44477.66667</v>
      </c>
      <c r="B10535" s="2">
        <f>IFERROR(__xludf.DUMMYFUNCTION("""COMPUTED_VALUE"""),135.45)</f>
        <v>135.45</v>
      </c>
      <c r="C10535" s="2">
        <f>IFERROR(__xludf.DUMMYFUNCTION("""COMPUTED_VALUE"""),137.21)</f>
        <v>137.21</v>
      </c>
      <c r="D10535" s="2">
        <f>IFERROR(__xludf.DUMMYFUNCTION("""COMPUTED_VALUE"""),134.73)</f>
        <v>134.73</v>
      </c>
      <c r="E10535" s="2">
        <f>IFERROR(__xludf.DUMMYFUNCTION("""COMPUTED_VALUE"""),136.8)</f>
        <v>136.8</v>
      </c>
      <c r="F10535" s="2">
        <f>IFERROR(__xludf.DUMMYFUNCTION("""COMPUTED_VALUE"""),3731279.0)</f>
        <v>3731279</v>
      </c>
    </row>
    <row r="10536">
      <c r="A10536" s="3">
        <f>IFERROR(__xludf.DUMMYFUNCTION("""COMPUTED_VALUE"""),44480.66666666667)</f>
        <v>44480.66667</v>
      </c>
      <c r="B10536" s="2">
        <f>IFERROR(__xludf.DUMMYFUNCTION("""COMPUTED_VALUE"""),137.07)</f>
        <v>137.07</v>
      </c>
      <c r="C10536" s="2">
        <f>IFERROR(__xludf.DUMMYFUNCTION("""COMPUTED_VALUE"""),137.62)</f>
        <v>137.62</v>
      </c>
      <c r="D10536" s="2">
        <f>IFERROR(__xludf.DUMMYFUNCTION("""COMPUTED_VALUE"""),136.02)</f>
        <v>136.02</v>
      </c>
      <c r="E10536" s="2">
        <f>IFERROR(__xludf.DUMMYFUNCTION("""COMPUTED_VALUE"""),136.04)</f>
        <v>136.04</v>
      </c>
      <c r="F10536" s="2">
        <f>IFERROR(__xludf.DUMMYFUNCTION("""COMPUTED_VALUE"""),2793298.0)</f>
        <v>2793298</v>
      </c>
    </row>
    <row r="10537">
      <c r="A10537" s="3">
        <f>IFERROR(__xludf.DUMMYFUNCTION("""COMPUTED_VALUE"""),44481.66666666667)</f>
        <v>44481.66667</v>
      </c>
      <c r="B10537" s="2">
        <f>IFERROR(__xludf.DUMMYFUNCTION("""COMPUTED_VALUE"""),135.83)</f>
        <v>135.83</v>
      </c>
      <c r="C10537" s="2">
        <f>IFERROR(__xludf.DUMMYFUNCTION("""COMPUTED_VALUE"""),135.92)</f>
        <v>135.92</v>
      </c>
      <c r="D10537" s="2">
        <f>IFERROR(__xludf.DUMMYFUNCTION("""COMPUTED_VALUE"""),134.01)</f>
        <v>134.01</v>
      </c>
      <c r="E10537" s="2">
        <f>IFERROR(__xludf.DUMMYFUNCTION("""COMPUTED_VALUE"""),134.17)</f>
        <v>134.17</v>
      </c>
      <c r="F10537" s="2">
        <f>IFERROR(__xludf.DUMMYFUNCTION("""COMPUTED_VALUE"""),3148559.0)</f>
        <v>3148559</v>
      </c>
    </row>
    <row r="10538">
      <c r="A10538" s="3">
        <f>IFERROR(__xludf.DUMMYFUNCTION("""COMPUTED_VALUE"""),44482.66666666667)</f>
        <v>44482.66667</v>
      </c>
      <c r="B10538" s="2">
        <f>IFERROR(__xludf.DUMMYFUNCTION("""COMPUTED_VALUE"""),134.22)</f>
        <v>134.22</v>
      </c>
      <c r="C10538" s="2">
        <f>IFERROR(__xludf.DUMMYFUNCTION("""COMPUTED_VALUE"""),135.07)</f>
        <v>135.07</v>
      </c>
      <c r="D10538" s="2">
        <f>IFERROR(__xludf.DUMMYFUNCTION("""COMPUTED_VALUE"""),133.4)</f>
        <v>133.4</v>
      </c>
      <c r="E10538" s="2">
        <f>IFERROR(__xludf.DUMMYFUNCTION("""COMPUTED_VALUE"""),134.45)</f>
        <v>134.45</v>
      </c>
      <c r="F10538" s="2">
        <f>IFERROR(__xludf.DUMMYFUNCTION("""COMPUTED_VALUE"""),2880747.0)</f>
        <v>2880747</v>
      </c>
    </row>
    <row r="10539">
      <c r="A10539" s="3">
        <f>IFERROR(__xludf.DUMMYFUNCTION("""COMPUTED_VALUE"""),44483.66666666667)</f>
        <v>44483.66667</v>
      </c>
      <c r="B10539" s="2">
        <f>IFERROR(__xludf.DUMMYFUNCTION("""COMPUTED_VALUE"""),134.72)</f>
        <v>134.72</v>
      </c>
      <c r="C10539" s="2">
        <f>IFERROR(__xludf.DUMMYFUNCTION("""COMPUTED_VALUE"""),137.47)</f>
        <v>137.47</v>
      </c>
      <c r="D10539" s="2">
        <f>IFERROR(__xludf.DUMMYFUNCTION("""COMPUTED_VALUE"""),134.69)</f>
        <v>134.69</v>
      </c>
      <c r="E10539" s="2">
        <f>IFERROR(__xludf.DUMMYFUNCTION("""COMPUTED_VALUE"""),136.96)</f>
        <v>136.96</v>
      </c>
      <c r="F10539" s="2">
        <f>IFERROR(__xludf.DUMMYFUNCTION("""COMPUTED_VALUE"""),4217305.0)</f>
        <v>4217305</v>
      </c>
    </row>
    <row r="10540">
      <c r="A10540" s="3">
        <f>IFERROR(__xludf.DUMMYFUNCTION("""COMPUTED_VALUE"""),44484.66666666667)</f>
        <v>44484.66667</v>
      </c>
      <c r="B10540" s="2">
        <f>IFERROR(__xludf.DUMMYFUNCTION("""COMPUTED_VALUE"""),136.96)</f>
        <v>136.96</v>
      </c>
      <c r="C10540" s="2">
        <f>IFERROR(__xludf.DUMMYFUNCTION("""COMPUTED_VALUE"""),138.36)</f>
        <v>138.36</v>
      </c>
      <c r="D10540" s="2">
        <f>IFERROR(__xludf.DUMMYFUNCTION("""COMPUTED_VALUE"""),136.39)</f>
        <v>136.39</v>
      </c>
      <c r="E10540" s="2">
        <f>IFERROR(__xludf.DUMMYFUNCTION("""COMPUTED_VALUE"""),138.13)</f>
        <v>138.13</v>
      </c>
      <c r="F10540" s="2">
        <f>IFERROR(__xludf.DUMMYFUNCTION("""COMPUTED_VALUE"""),3222778.0)</f>
        <v>3222778</v>
      </c>
    </row>
    <row r="10541">
      <c r="A10541" s="3">
        <f>IFERROR(__xludf.DUMMYFUNCTION("""COMPUTED_VALUE"""),44487.66666666667)</f>
        <v>44487.66667</v>
      </c>
      <c r="B10541" s="2">
        <f>IFERROR(__xludf.DUMMYFUNCTION("""COMPUTED_VALUE"""),137.54)</f>
        <v>137.54</v>
      </c>
      <c r="C10541" s="2">
        <f>IFERROR(__xludf.DUMMYFUNCTION("""COMPUTED_VALUE"""),138.44)</f>
        <v>138.44</v>
      </c>
      <c r="D10541" s="2">
        <f>IFERROR(__xludf.DUMMYFUNCTION("""COMPUTED_VALUE"""),135.4)</f>
        <v>135.4</v>
      </c>
      <c r="E10541" s="2">
        <f>IFERROR(__xludf.DUMMYFUNCTION("""COMPUTED_VALUE"""),135.94)</f>
        <v>135.94</v>
      </c>
      <c r="F10541" s="2">
        <f>IFERROR(__xludf.DUMMYFUNCTION("""COMPUTED_VALUE"""),6154055.0)</f>
        <v>6154055</v>
      </c>
    </row>
    <row r="10542">
      <c r="A10542" s="3">
        <f>IFERROR(__xludf.DUMMYFUNCTION("""COMPUTED_VALUE"""),44488.66666666667)</f>
        <v>44488.66667</v>
      </c>
      <c r="B10542" s="2">
        <f>IFERROR(__xludf.DUMMYFUNCTION("""COMPUTED_VALUE"""),134.75)</f>
        <v>134.75</v>
      </c>
      <c r="C10542" s="2">
        <f>IFERROR(__xludf.DUMMYFUNCTION("""COMPUTED_VALUE"""),136.53)</f>
        <v>136.53</v>
      </c>
      <c r="D10542" s="2">
        <f>IFERROR(__xludf.DUMMYFUNCTION("""COMPUTED_VALUE"""),134.22)</f>
        <v>134.22</v>
      </c>
      <c r="E10542" s="2">
        <f>IFERROR(__xludf.DUMMYFUNCTION("""COMPUTED_VALUE"""),135.61)</f>
        <v>135.61</v>
      </c>
      <c r="F10542" s="2">
        <f>IFERROR(__xludf.DUMMYFUNCTION("""COMPUTED_VALUE"""),4339548.0)</f>
        <v>4339548</v>
      </c>
    </row>
    <row r="10543">
      <c r="A10543" s="3">
        <f>IFERROR(__xludf.DUMMYFUNCTION("""COMPUTED_VALUE"""),44489.66666666667)</f>
        <v>44489.66667</v>
      </c>
      <c r="B10543" s="2">
        <f>IFERROR(__xludf.DUMMYFUNCTION("""COMPUTED_VALUE"""),135.33)</f>
        <v>135.33</v>
      </c>
      <c r="C10543" s="2">
        <f>IFERROR(__xludf.DUMMYFUNCTION("""COMPUTED_VALUE"""),135.82)</f>
        <v>135.82</v>
      </c>
      <c r="D10543" s="2">
        <f>IFERROR(__xludf.DUMMYFUNCTION("""COMPUTED_VALUE"""),134.39)</f>
        <v>134.39</v>
      </c>
      <c r="E10543" s="2">
        <f>IFERROR(__xludf.DUMMYFUNCTION("""COMPUTED_VALUE"""),135.54)</f>
        <v>135.54</v>
      </c>
      <c r="F10543" s="2">
        <f>IFERROR(__xludf.DUMMYFUNCTION("""COMPUTED_VALUE"""),6189255.0)</f>
        <v>6189255</v>
      </c>
    </row>
    <row r="10544">
      <c r="A10544" s="3">
        <f>IFERROR(__xludf.DUMMYFUNCTION("""COMPUTED_VALUE"""),44490.66666666667)</f>
        <v>44490.66667</v>
      </c>
      <c r="B10544" s="2">
        <f>IFERROR(__xludf.DUMMYFUNCTION("""COMPUTED_VALUE"""),127.52)</f>
        <v>127.52</v>
      </c>
      <c r="C10544" s="2">
        <f>IFERROR(__xludf.DUMMYFUNCTION("""COMPUTED_VALUE"""),127.72)</f>
        <v>127.72</v>
      </c>
      <c r="D10544" s="2">
        <f>IFERROR(__xludf.DUMMYFUNCTION("""COMPUTED_VALUE"""),122.36)</f>
        <v>122.36</v>
      </c>
      <c r="E10544" s="2">
        <f>IFERROR(__xludf.DUMMYFUNCTION("""COMPUTED_VALUE"""),122.58)</f>
        <v>122.58</v>
      </c>
      <c r="F10544" s="2">
        <f>IFERROR(__xludf.DUMMYFUNCTION("""COMPUTED_VALUE"""),3.1466529E7)</f>
        <v>31466529</v>
      </c>
    </row>
    <row r="10545">
      <c r="A10545" s="3">
        <f>IFERROR(__xludf.DUMMYFUNCTION("""COMPUTED_VALUE"""),44491.66666666667)</f>
        <v>44491.66667</v>
      </c>
      <c r="B10545" s="2">
        <f>IFERROR(__xludf.DUMMYFUNCTION("""COMPUTED_VALUE"""),122.31)</f>
        <v>122.31</v>
      </c>
      <c r="C10545" s="2">
        <f>IFERROR(__xludf.DUMMYFUNCTION("""COMPUTED_VALUE"""),124.41)</f>
        <v>124.41</v>
      </c>
      <c r="D10545" s="2">
        <f>IFERROR(__xludf.DUMMYFUNCTION("""COMPUTED_VALUE"""),120.93)</f>
        <v>120.93</v>
      </c>
      <c r="E10545" s="2">
        <f>IFERROR(__xludf.DUMMYFUNCTION("""COMPUTED_VALUE"""),122.15)</f>
        <v>122.15</v>
      </c>
      <c r="F10545" s="2">
        <f>IFERROR(__xludf.DUMMYFUNCTION("""COMPUTED_VALUE"""),1.1582195E7)</f>
        <v>11582195</v>
      </c>
    </row>
    <row r="10546">
      <c r="A10546" s="3">
        <f>IFERROR(__xludf.DUMMYFUNCTION("""COMPUTED_VALUE"""),44494.66666666667)</f>
        <v>44494.66667</v>
      </c>
      <c r="B10546" s="2">
        <f>IFERROR(__xludf.DUMMYFUNCTION("""COMPUTED_VALUE"""),121.81)</f>
        <v>121.81</v>
      </c>
      <c r="C10546" s="2">
        <f>IFERROR(__xludf.DUMMYFUNCTION("""COMPUTED_VALUE"""),122.88)</f>
        <v>122.88</v>
      </c>
      <c r="D10546" s="2">
        <f>IFERROR(__xludf.DUMMYFUNCTION("""COMPUTED_VALUE"""),121.25)</f>
        <v>121.25</v>
      </c>
      <c r="E10546" s="2">
        <f>IFERROR(__xludf.DUMMYFUNCTION("""COMPUTED_VALUE"""),121.92)</f>
        <v>121.92</v>
      </c>
      <c r="F10546" s="2">
        <f>IFERROR(__xludf.DUMMYFUNCTION("""COMPUTED_VALUE"""),6374038.0)</f>
        <v>6374038</v>
      </c>
    </row>
    <row r="10547">
      <c r="A10547" s="3">
        <f>IFERROR(__xludf.DUMMYFUNCTION("""COMPUTED_VALUE"""),44495.66666666667)</f>
        <v>44495.66667</v>
      </c>
      <c r="B10547" s="2">
        <f>IFERROR(__xludf.DUMMYFUNCTION("""COMPUTED_VALUE"""),121.8)</f>
        <v>121.8</v>
      </c>
      <c r="C10547" s="2">
        <f>IFERROR(__xludf.DUMMYFUNCTION("""COMPUTED_VALUE"""),122.55)</f>
        <v>122.55</v>
      </c>
      <c r="D10547" s="2">
        <f>IFERROR(__xludf.DUMMYFUNCTION("""COMPUTED_VALUE"""),121.07)</f>
        <v>121.07</v>
      </c>
      <c r="E10547" s="2">
        <f>IFERROR(__xludf.DUMMYFUNCTION("""COMPUTED_VALUE"""),121.43)</f>
        <v>121.43</v>
      </c>
      <c r="F10547" s="2">
        <f>IFERROR(__xludf.DUMMYFUNCTION("""COMPUTED_VALUE"""),8520872.0)</f>
        <v>8520872</v>
      </c>
    </row>
    <row r="10548">
      <c r="A10548" s="3">
        <f>IFERROR(__xludf.DUMMYFUNCTION("""COMPUTED_VALUE"""),44496.66666666667)</f>
        <v>44496.66667</v>
      </c>
      <c r="B10548" s="2">
        <f>IFERROR(__xludf.DUMMYFUNCTION("""COMPUTED_VALUE"""),121.73)</f>
        <v>121.73</v>
      </c>
      <c r="C10548" s="2">
        <f>IFERROR(__xludf.DUMMYFUNCTION("""COMPUTED_VALUE"""),122.15)</f>
        <v>122.15</v>
      </c>
      <c r="D10548" s="2">
        <f>IFERROR(__xludf.DUMMYFUNCTION("""COMPUTED_VALUE"""),119.41)</f>
        <v>119.41</v>
      </c>
      <c r="E10548" s="2">
        <f>IFERROR(__xludf.DUMMYFUNCTION("""COMPUTED_VALUE"""),119.56)</f>
        <v>119.56</v>
      </c>
      <c r="F10548" s="2">
        <f>IFERROR(__xludf.DUMMYFUNCTION("""COMPUTED_VALUE"""),6973432.0)</f>
        <v>6973432</v>
      </c>
    </row>
    <row r="10549">
      <c r="A10549" s="3">
        <f>IFERROR(__xludf.DUMMYFUNCTION("""COMPUTED_VALUE"""),44497.66666666667)</f>
        <v>44497.66667</v>
      </c>
      <c r="B10549" s="2">
        <f>IFERROR(__xludf.DUMMYFUNCTION("""COMPUTED_VALUE"""),119.56)</f>
        <v>119.56</v>
      </c>
      <c r="C10549" s="2">
        <f>IFERROR(__xludf.DUMMYFUNCTION("""COMPUTED_VALUE"""),120.65)</f>
        <v>120.65</v>
      </c>
      <c r="D10549" s="2">
        <f>IFERROR(__xludf.DUMMYFUNCTION("""COMPUTED_VALUE"""),119.03)</f>
        <v>119.03</v>
      </c>
      <c r="E10549" s="2">
        <f>IFERROR(__xludf.DUMMYFUNCTION("""COMPUTED_VALUE"""),120.2)</f>
        <v>120.2</v>
      </c>
      <c r="F10549" s="2">
        <f>IFERROR(__xludf.DUMMYFUNCTION("""COMPUTED_VALUE"""),6503003.0)</f>
        <v>6503003</v>
      </c>
    </row>
    <row r="10550">
      <c r="A10550" s="3">
        <f>IFERROR(__xludf.DUMMYFUNCTION("""COMPUTED_VALUE"""),44498.66666666667)</f>
        <v>44498.66667</v>
      </c>
      <c r="B10550" s="2">
        <f>IFERROR(__xludf.DUMMYFUNCTION("""COMPUTED_VALUE"""),119.81)</f>
        <v>119.81</v>
      </c>
      <c r="C10550" s="2">
        <f>IFERROR(__xludf.DUMMYFUNCTION("""COMPUTED_VALUE"""),120.66)</f>
        <v>120.66</v>
      </c>
      <c r="D10550" s="2">
        <f>IFERROR(__xludf.DUMMYFUNCTION("""COMPUTED_VALUE"""),119.31)</f>
        <v>119.31</v>
      </c>
      <c r="E10550" s="2">
        <f>IFERROR(__xludf.DUMMYFUNCTION("""COMPUTED_VALUE"""),119.49)</f>
        <v>119.49</v>
      </c>
      <c r="F10550" s="2">
        <f>IFERROR(__xludf.DUMMYFUNCTION("""COMPUTED_VALUE"""),5916789.0)</f>
        <v>5916789</v>
      </c>
    </row>
    <row r="10551">
      <c r="A10551" s="3">
        <f>IFERROR(__xludf.DUMMYFUNCTION("""COMPUTED_VALUE"""),44501.66666666667)</f>
        <v>44501.66667</v>
      </c>
      <c r="B10551" s="2">
        <f>IFERROR(__xludf.DUMMYFUNCTION("""COMPUTED_VALUE"""),119.44)</f>
        <v>119.44</v>
      </c>
      <c r="C10551" s="2">
        <f>IFERROR(__xludf.DUMMYFUNCTION("""COMPUTED_VALUE"""),120.65)</f>
        <v>120.65</v>
      </c>
      <c r="D10551" s="2">
        <f>IFERROR(__xludf.DUMMYFUNCTION("""COMPUTED_VALUE"""),118.29)</f>
        <v>118.29</v>
      </c>
      <c r="E10551" s="2">
        <f>IFERROR(__xludf.DUMMYFUNCTION("""COMPUTED_VALUE"""),120.62)</f>
        <v>120.62</v>
      </c>
      <c r="F10551" s="2">
        <f>IFERROR(__xludf.DUMMYFUNCTION("""COMPUTED_VALUE"""),5905521.0)</f>
        <v>5905521</v>
      </c>
    </row>
    <row r="10552">
      <c r="A10552" s="3">
        <f>IFERROR(__xludf.DUMMYFUNCTION("""COMPUTED_VALUE"""),44502.66666666667)</f>
        <v>44502.66667</v>
      </c>
      <c r="B10552" s="2">
        <f>IFERROR(__xludf.DUMMYFUNCTION("""COMPUTED_VALUE"""),120.64)</f>
        <v>120.64</v>
      </c>
      <c r="C10552" s="2">
        <f>IFERROR(__xludf.DUMMYFUNCTION("""COMPUTED_VALUE"""),121.47)</f>
        <v>121.47</v>
      </c>
      <c r="D10552" s="2">
        <f>IFERROR(__xludf.DUMMYFUNCTION("""COMPUTED_VALUE"""),119.31)</f>
        <v>119.31</v>
      </c>
      <c r="E10552" s="2">
        <f>IFERROR(__xludf.DUMMYFUNCTION("""COMPUTED_VALUE"""),120.52)</f>
        <v>120.52</v>
      </c>
      <c r="F10552" s="2">
        <f>IFERROR(__xludf.DUMMYFUNCTION("""COMPUTED_VALUE"""),4514438.0)</f>
        <v>4514438</v>
      </c>
    </row>
    <row r="10553">
      <c r="A10553" s="3">
        <f>IFERROR(__xludf.DUMMYFUNCTION("""COMPUTED_VALUE"""),44503.66666666667)</f>
        <v>44503.66667</v>
      </c>
      <c r="B10553" s="2">
        <f>IFERROR(__xludf.DUMMYFUNCTION("""COMPUTED_VALUE"""),120.57)</f>
        <v>120.57</v>
      </c>
      <c r="C10553" s="2">
        <f>IFERROR(__xludf.DUMMYFUNCTION("""COMPUTED_VALUE"""),121.58)</f>
        <v>121.58</v>
      </c>
      <c r="D10553" s="2">
        <f>IFERROR(__xludf.DUMMYFUNCTION("""COMPUTED_VALUE"""),120.05)</f>
        <v>120.05</v>
      </c>
      <c r="E10553" s="2">
        <f>IFERROR(__xludf.DUMMYFUNCTION("""COMPUTED_VALUE"""),121.43)</f>
        <v>121.43</v>
      </c>
      <c r="F10553" s="2">
        <f>IFERROR(__xludf.DUMMYFUNCTION("""COMPUTED_VALUE"""),5421406.0)</f>
        <v>5421406</v>
      </c>
    </row>
    <row r="10554">
      <c r="A10554" s="3">
        <f>IFERROR(__xludf.DUMMYFUNCTION("""COMPUTED_VALUE"""),44504.66666666667)</f>
        <v>44504.66667</v>
      </c>
      <c r="B10554" s="2">
        <f>IFERROR(__xludf.DUMMYFUNCTION("""COMPUTED_VALUE"""),123.05)</f>
        <v>123.05</v>
      </c>
      <c r="C10554" s="2">
        <f>IFERROR(__xludf.DUMMYFUNCTION("""COMPUTED_VALUE"""),123.34)</f>
        <v>123.34</v>
      </c>
      <c r="D10554" s="2">
        <f>IFERROR(__xludf.DUMMYFUNCTION("""COMPUTED_VALUE"""),119.9)</f>
        <v>119.9</v>
      </c>
      <c r="E10554" s="2">
        <f>IFERROR(__xludf.DUMMYFUNCTION("""COMPUTED_VALUE"""),120.85)</f>
        <v>120.85</v>
      </c>
      <c r="F10554" s="2">
        <f>IFERROR(__xludf.DUMMYFUNCTION("""COMPUTED_VALUE"""),7208736.0)</f>
        <v>7208736</v>
      </c>
    </row>
    <row r="10555">
      <c r="A10555" s="3">
        <f>IFERROR(__xludf.DUMMYFUNCTION("""COMPUTED_VALUE"""),44505.66666666667)</f>
        <v>44505.66667</v>
      </c>
      <c r="B10555" s="2">
        <f>IFERROR(__xludf.DUMMYFUNCTION("""COMPUTED_VALUE"""),121.43)</f>
        <v>121.43</v>
      </c>
      <c r="C10555" s="2">
        <f>IFERROR(__xludf.DUMMYFUNCTION("""COMPUTED_VALUE"""),123.77)</f>
        <v>123.77</v>
      </c>
      <c r="D10555" s="2">
        <f>IFERROR(__xludf.DUMMYFUNCTION("""COMPUTED_VALUE"""),121.43)</f>
        <v>121.43</v>
      </c>
      <c r="E10555" s="2">
        <f>IFERROR(__xludf.DUMMYFUNCTION("""COMPUTED_VALUE"""),123.61)</f>
        <v>123.61</v>
      </c>
      <c r="F10555" s="2">
        <f>IFERROR(__xludf.DUMMYFUNCTION("""COMPUTED_VALUE"""),6790478.0)</f>
        <v>6790478</v>
      </c>
    </row>
    <row r="10556">
      <c r="A10556" s="3">
        <f>IFERROR(__xludf.DUMMYFUNCTION("""COMPUTED_VALUE"""),44508.66666666667)</f>
        <v>44508.66667</v>
      </c>
      <c r="B10556" s="2">
        <f>IFERROR(__xludf.DUMMYFUNCTION("""COMPUTED_VALUE"""),123.99)</f>
        <v>123.99</v>
      </c>
      <c r="C10556" s="2">
        <f>IFERROR(__xludf.DUMMYFUNCTION("""COMPUTED_VALUE"""),124.78)</f>
        <v>124.78</v>
      </c>
      <c r="D10556" s="2">
        <f>IFERROR(__xludf.DUMMYFUNCTION("""COMPUTED_VALUE"""),123.53)</f>
        <v>123.53</v>
      </c>
      <c r="E10556" s="2">
        <f>IFERROR(__xludf.DUMMYFUNCTION("""COMPUTED_VALUE"""),124.54)</f>
        <v>124.54</v>
      </c>
      <c r="F10556" s="2">
        <f>IFERROR(__xludf.DUMMYFUNCTION("""COMPUTED_VALUE"""),5625275.0)</f>
        <v>5625275</v>
      </c>
    </row>
    <row r="10557">
      <c r="A10557" s="3">
        <f>IFERROR(__xludf.DUMMYFUNCTION("""COMPUTED_VALUE"""),44509.66666666667)</f>
        <v>44509.66667</v>
      </c>
      <c r="B10557" s="2">
        <f>IFERROR(__xludf.DUMMYFUNCTION("""COMPUTED_VALUE"""),122.56)</f>
        <v>122.56</v>
      </c>
      <c r="C10557" s="2">
        <f>IFERROR(__xludf.DUMMYFUNCTION("""COMPUTED_VALUE"""),122.9)</f>
        <v>122.9</v>
      </c>
      <c r="D10557" s="2">
        <f>IFERROR(__xludf.DUMMYFUNCTION("""COMPUTED_VALUE"""),120.26)</f>
        <v>120.26</v>
      </c>
      <c r="E10557" s="2">
        <f>IFERROR(__xludf.DUMMYFUNCTION("""COMPUTED_VALUE"""),120.85)</f>
        <v>120.85</v>
      </c>
      <c r="F10557" s="2">
        <f>IFERROR(__xludf.DUMMYFUNCTION("""COMPUTED_VALUE"""),7236608.0)</f>
        <v>7236608</v>
      </c>
    </row>
    <row r="10558">
      <c r="A10558" s="3">
        <f>IFERROR(__xludf.DUMMYFUNCTION("""COMPUTED_VALUE"""),44510.66666666667)</f>
        <v>44510.66667</v>
      </c>
      <c r="B10558" s="2">
        <f>IFERROR(__xludf.DUMMYFUNCTION("""COMPUTED_VALUE"""),121.0)</f>
        <v>121</v>
      </c>
      <c r="C10558" s="2">
        <f>IFERROR(__xludf.DUMMYFUNCTION("""COMPUTED_VALUE"""),122.43)</f>
        <v>122.43</v>
      </c>
      <c r="D10558" s="2">
        <f>IFERROR(__xludf.DUMMYFUNCTION("""COMPUTED_VALUE"""),119.93)</f>
        <v>119.93</v>
      </c>
      <c r="E10558" s="2">
        <f>IFERROR(__xludf.DUMMYFUNCTION("""COMPUTED_VALUE"""),120.22)</f>
        <v>120.22</v>
      </c>
      <c r="F10558" s="2">
        <f>IFERROR(__xludf.DUMMYFUNCTION("""COMPUTED_VALUE"""),6268961.0)</f>
        <v>6268961</v>
      </c>
    </row>
    <row r="10559">
      <c r="A10559" s="3">
        <f>IFERROR(__xludf.DUMMYFUNCTION("""COMPUTED_VALUE"""),44511.66666666667)</f>
        <v>44511.66667</v>
      </c>
      <c r="B10559" s="2">
        <f>IFERROR(__xludf.DUMMYFUNCTION("""COMPUTED_VALUE"""),120.9)</f>
        <v>120.9</v>
      </c>
      <c r="C10559" s="2">
        <f>IFERROR(__xludf.DUMMYFUNCTION("""COMPUTED_VALUE"""),121.79)</f>
        <v>121.79</v>
      </c>
      <c r="D10559" s="2">
        <f>IFERROR(__xludf.DUMMYFUNCTION("""COMPUTED_VALUE"""),120.08)</f>
        <v>120.08</v>
      </c>
      <c r="E10559" s="2">
        <f>IFERROR(__xludf.DUMMYFUNCTION("""COMPUTED_VALUE"""),120.27)</f>
        <v>120.27</v>
      </c>
      <c r="F10559" s="2">
        <f>IFERROR(__xludf.DUMMYFUNCTION("""COMPUTED_VALUE"""),4643257.0)</f>
        <v>4643257</v>
      </c>
    </row>
    <row r="10560">
      <c r="A10560" s="3">
        <f>IFERROR(__xludf.DUMMYFUNCTION("""COMPUTED_VALUE"""),44512.66666666667)</f>
        <v>44512.66667</v>
      </c>
      <c r="B10560" s="2">
        <f>IFERROR(__xludf.DUMMYFUNCTION("""COMPUTED_VALUE"""),120.0)</f>
        <v>120</v>
      </c>
      <c r="C10560" s="2">
        <f>IFERROR(__xludf.DUMMYFUNCTION("""COMPUTED_VALUE"""),120.64)</f>
        <v>120.64</v>
      </c>
      <c r="D10560" s="2">
        <f>IFERROR(__xludf.DUMMYFUNCTION("""COMPUTED_VALUE"""),118.78)</f>
        <v>118.78</v>
      </c>
      <c r="E10560" s="2">
        <f>IFERROR(__xludf.DUMMYFUNCTION("""COMPUTED_VALUE"""),118.96)</f>
        <v>118.96</v>
      </c>
      <c r="F10560" s="2">
        <f>IFERROR(__xludf.DUMMYFUNCTION("""COMPUTED_VALUE"""),5418279.0)</f>
        <v>5418279</v>
      </c>
    </row>
    <row r="10561">
      <c r="A10561" s="3">
        <f>IFERROR(__xludf.DUMMYFUNCTION("""COMPUTED_VALUE"""),44515.66666666667)</f>
        <v>44515.66667</v>
      </c>
      <c r="B10561" s="2">
        <f>IFERROR(__xludf.DUMMYFUNCTION("""COMPUTED_VALUE"""),119.54)</f>
        <v>119.54</v>
      </c>
      <c r="C10561" s="2">
        <f>IFERROR(__xludf.DUMMYFUNCTION("""COMPUTED_VALUE"""),120.16)</f>
        <v>120.16</v>
      </c>
      <c r="D10561" s="2">
        <f>IFERROR(__xludf.DUMMYFUNCTION("""COMPUTED_VALUE"""),118.31)</f>
        <v>118.31</v>
      </c>
      <c r="E10561" s="2">
        <f>IFERROR(__xludf.DUMMYFUNCTION("""COMPUTED_VALUE"""),118.87)</f>
        <v>118.87</v>
      </c>
      <c r="F10561" s="2">
        <f>IFERROR(__xludf.DUMMYFUNCTION("""COMPUTED_VALUE"""),5046321.0)</f>
        <v>5046321</v>
      </c>
    </row>
    <row r="10562">
      <c r="A10562" s="3">
        <f>IFERROR(__xludf.DUMMYFUNCTION("""COMPUTED_VALUE"""),44516.66666666667)</f>
        <v>44516.66667</v>
      </c>
      <c r="B10562" s="2">
        <f>IFERROR(__xludf.DUMMYFUNCTION("""COMPUTED_VALUE"""),118.92)</f>
        <v>118.92</v>
      </c>
      <c r="C10562" s="2">
        <f>IFERROR(__xludf.DUMMYFUNCTION("""COMPUTED_VALUE"""),119.9)</f>
        <v>119.9</v>
      </c>
      <c r="D10562" s="2">
        <f>IFERROR(__xludf.DUMMYFUNCTION("""COMPUTED_VALUE"""),118.42)</f>
        <v>118.42</v>
      </c>
      <c r="E10562" s="2">
        <f>IFERROR(__xludf.DUMMYFUNCTION("""COMPUTED_VALUE"""),118.46)</f>
        <v>118.46</v>
      </c>
      <c r="F10562" s="2">
        <f>IFERROR(__xludf.DUMMYFUNCTION("""COMPUTED_VALUE"""),4750760.0)</f>
        <v>4750760</v>
      </c>
    </row>
    <row r="10563">
      <c r="A10563" s="3">
        <f>IFERROR(__xludf.DUMMYFUNCTION("""COMPUTED_VALUE"""),44517.66666666667)</f>
        <v>44517.66667</v>
      </c>
      <c r="B10563" s="2">
        <f>IFERROR(__xludf.DUMMYFUNCTION("""COMPUTED_VALUE"""),118.38)</f>
        <v>118.38</v>
      </c>
      <c r="C10563" s="2">
        <f>IFERROR(__xludf.DUMMYFUNCTION("""COMPUTED_VALUE"""),119.33)</f>
        <v>119.33</v>
      </c>
      <c r="D10563" s="2">
        <f>IFERROR(__xludf.DUMMYFUNCTION("""COMPUTED_VALUE"""),117.78)</f>
        <v>117.78</v>
      </c>
      <c r="E10563" s="2">
        <f>IFERROR(__xludf.DUMMYFUNCTION("""COMPUTED_VALUE"""),118.06)</f>
        <v>118.06</v>
      </c>
      <c r="F10563" s="2">
        <f>IFERROR(__xludf.DUMMYFUNCTION("""COMPUTED_VALUE"""),4043289.0)</f>
        <v>4043289</v>
      </c>
    </row>
    <row r="10564">
      <c r="A10564" s="3">
        <f>IFERROR(__xludf.DUMMYFUNCTION("""COMPUTED_VALUE"""),44518.66666666667)</f>
        <v>44518.66667</v>
      </c>
      <c r="B10564" s="2">
        <f>IFERROR(__xludf.DUMMYFUNCTION("""COMPUTED_VALUE"""),118.36)</f>
        <v>118.36</v>
      </c>
      <c r="C10564" s="2">
        <f>IFERROR(__xludf.DUMMYFUNCTION("""COMPUTED_VALUE"""),118.36)</f>
        <v>118.36</v>
      </c>
      <c r="D10564" s="2">
        <f>IFERROR(__xludf.DUMMYFUNCTION("""COMPUTED_VALUE"""),116.31)</f>
        <v>116.31</v>
      </c>
      <c r="E10564" s="2">
        <f>IFERROR(__xludf.DUMMYFUNCTION("""COMPUTED_VALUE"""),116.66)</f>
        <v>116.66</v>
      </c>
      <c r="F10564" s="2">
        <f>IFERROR(__xludf.DUMMYFUNCTION("""COMPUTED_VALUE"""),5047879.0)</f>
        <v>5047879</v>
      </c>
    </row>
    <row r="10565">
      <c r="A10565" s="3">
        <f>IFERROR(__xludf.DUMMYFUNCTION("""COMPUTED_VALUE"""),44519.66666666667)</f>
        <v>44519.66667</v>
      </c>
      <c r="B10565" s="2">
        <f>IFERROR(__xludf.DUMMYFUNCTION("""COMPUTED_VALUE"""),116.49)</f>
        <v>116.49</v>
      </c>
      <c r="C10565" s="2">
        <f>IFERROR(__xludf.DUMMYFUNCTION("""COMPUTED_VALUE"""),116.56)</f>
        <v>116.56</v>
      </c>
      <c r="D10565" s="2">
        <f>IFERROR(__xludf.DUMMYFUNCTION("""COMPUTED_VALUE"""),115.27)</f>
        <v>115.27</v>
      </c>
      <c r="E10565" s="2">
        <f>IFERROR(__xludf.DUMMYFUNCTION("""COMPUTED_VALUE"""),116.05)</f>
        <v>116.05</v>
      </c>
      <c r="F10565" s="2">
        <f>IFERROR(__xludf.DUMMYFUNCTION("""COMPUTED_VALUE"""),5384548.0)</f>
        <v>5384548</v>
      </c>
    </row>
    <row r="10566">
      <c r="A10566" s="3">
        <f>IFERROR(__xludf.DUMMYFUNCTION("""COMPUTED_VALUE"""),44522.66666666667)</f>
        <v>44522.66667</v>
      </c>
      <c r="B10566" s="2">
        <f>IFERROR(__xludf.DUMMYFUNCTION("""COMPUTED_VALUE"""),116.0)</f>
        <v>116</v>
      </c>
      <c r="C10566" s="2">
        <f>IFERROR(__xludf.DUMMYFUNCTION("""COMPUTED_VALUE"""),118.81)</f>
        <v>118.81</v>
      </c>
      <c r="D10566" s="2">
        <f>IFERROR(__xludf.DUMMYFUNCTION("""COMPUTED_VALUE"""),115.19)</f>
        <v>115.19</v>
      </c>
      <c r="E10566" s="2">
        <f>IFERROR(__xludf.DUMMYFUNCTION("""COMPUTED_VALUE"""),116.47)</f>
        <v>116.47</v>
      </c>
      <c r="F10566" s="2">
        <f>IFERROR(__xludf.DUMMYFUNCTION("""COMPUTED_VALUE"""),6417218.0)</f>
        <v>6417218</v>
      </c>
    </row>
    <row r="10567">
      <c r="A10567" s="3">
        <f>IFERROR(__xludf.DUMMYFUNCTION("""COMPUTED_VALUE"""),44523.66666666667)</f>
        <v>44523.66667</v>
      </c>
      <c r="B10567" s="2">
        <f>IFERROR(__xludf.DUMMYFUNCTION("""COMPUTED_VALUE"""),116.79)</f>
        <v>116.79</v>
      </c>
      <c r="C10567" s="2">
        <f>IFERROR(__xludf.DUMMYFUNCTION("""COMPUTED_VALUE"""),117.94)</f>
        <v>117.94</v>
      </c>
      <c r="D10567" s="2">
        <f>IFERROR(__xludf.DUMMYFUNCTION("""COMPUTED_VALUE"""),116.04)</f>
        <v>116.04</v>
      </c>
      <c r="E10567" s="2">
        <f>IFERROR(__xludf.DUMMYFUNCTION("""COMPUTED_VALUE"""),116.79)</f>
        <v>116.79</v>
      </c>
      <c r="F10567" s="2">
        <f>IFERROR(__xludf.DUMMYFUNCTION("""COMPUTED_VALUE"""),4914995.0)</f>
        <v>4914995</v>
      </c>
    </row>
    <row r="10568">
      <c r="A10568" s="3">
        <f>IFERROR(__xludf.DUMMYFUNCTION("""COMPUTED_VALUE"""),44524.66666666667)</f>
        <v>44524.66667</v>
      </c>
      <c r="B10568" s="2">
        <f>IFERROR(__xludf.DUMMYFUNCTION("""COMPUTED_VALUE"""),116.16)</f>
        <v>116.16</v>
      </c>
      <c r="C10568" s="2">
        <f>IFERROR(__xludf.DUMMYFUNCTION("""COMPUTED_VALUE"""),117.27)</f>
        <v>117.27</v>
      </c>
      <c r="D10568" s="2">
        <f>IFERROR(__xludf.DUMMYFUNCTION("""COMPUTED_VALUE"""),116.08)</f>
        <v>116.08</v>
      </c>
      <c r="E10568" s="2">
        <f>IFERROR(__xludf.DUMMYFUNCTION("""COMPUTED_VALUE"""),116.73)</f>
        <v>116.73</v>
      </c>
      <c r="F10568" s="2">
        <f>IFERROR(__xludf.DUMMYFUNCTION("""COMPUTED_VALUE"""),3220802.0)</f>
        <v>3220802</v>
      </c>
    </row>
    <row r="10569">
      <c r="A10569" s="3">
        <f>IFERROR(__xludf.DUMMYFUNCTION("""COMPUTED_VALUE"""),44526.54166666667)</f>
        <v>44526.54167</v>
      </c>
      <c r="B10569" s="2">
        <f>IFERROR(__xludf.DUMMYFUNCTION("""COMPUTED_VALUE"""),115.0)</f>
        <v>115</v>
      </c>
      <c r="C10569" s="2">
        <f>IFERROR(__xludf.DUMMYFUNCTION("""COMPUTED_VALUE"""),116.34)</f>
        <v>116.34</v>
      </c>
      <c r="D10569" s="2">
        <f>IFERROR(__xludf.DUMMYFUNCTION("""COMPUTED_VALUE"""),114.56)</f>
        <v>114.56</v>
      </c>
      <c r="E10569" s="2">
        <f>IFERROR(__xludf.DUMMYFUNCTION("""COMPUTED_VALUE"""),115.81)</f>
        <v>115.81</v>
      </c>
      <c r="F10569" s="2">
        <f>IFERROR(__xludf.DUMMYFUNCTION("""COMPUTED_VALUE"""),3322012.0)</f>
        <v>3322012</v>
      </c>
    </row>
    <row r="10570">
      <c r="A10570" s="3">
        <f>IFERROR(__xludf.DUMMYFUNCTION("""COMPUTED_VALUE"""),44529.66666666667)</f>
        <v>44529.66667</v>
      </c>
      <c r="B10570" s="2">
        <f>IFERROR(__xludf.DUMMYFUNCTION("""COMPUTED_VALUE"""),118.62)</f>
        <v>118.62</v>
      </c>
      <c r="C10570" s="2">
        <f>IFERROR(__xludf.DUMMYFUNCTION("""COMPUTED_VALUE"""),119.61)</f>
        <v>119.61</v>
      </c>
      <c r="D10570" s="2">
        <f>IFERROR(__xludf.DUMMYFUNCTION("""COMPUTED_VALUE"""),117.53)</f>
        <v>117.53</v>
      </c>
      <c r="E10570" s="2">
        <f>IFERROR(__xludf.DUMMYFUNCTION("""COMPUTED_VALUE"""),118.5)</f>
        <v>118.5</v>
      </c>
      <c r="F10570" s="2">
        <f>IFERROR(__xludf.DUMMYFUNCTION("""COMPUTED_VALUE"""),8949795.0)</f>
        <v>8949795</v>
      </c>
    </row>
    <row r="10571">
      <c r="A10571" s="3">
        <f>IFERROR(__xludf.DUMMYFUNCTION("""COMPUTED_VALUE"""),44530.66666666667)</f>
        <v>44530.66667</v>
      </c>
      <c r="B10571" s="2">
        <f>IFERROR(__xludf.DUMMYFUNCTION("""COMPUTED_VALUE"""),117.5)</f>
        <v>117.5</v>
      </c>
      <c r="C10571" s="2">
        <f>IFERROR(__xludf.DUMMYFUNCTION("""COMPUTED_VALUE"""),119.24)</f>
        <v>119.24</v>
      </c>
      <c r="D10571" s="2">
        <f>IFERROR(__xludf.DUMMYFUNCTION("""COMPUTED_VALUE"""),116.45)</f>
        <v>116.45</v>
      </c>
      <c r="E10571" s="2">
        <f>IFERROR(__xludf.DUMMYFUNCTION("""COMPUTED_VALUE"""),117.1)</f>
        <v>117.1</v>
      </c>
      <c r="F10571" s="2">
        <f>IFERROR(__xludf.DUMMYFUNCTION("""COMPUTED_VALUE"""),9252701.0)</f>
        <v>9252701</v>
      </c>
    </row>
    <row r="10572">
      <c r="A10572" s="3">
        <f>IFERROR(__xludf.DUMMYFUNCTION("""COMPUTED_VALUE"""),44531.66666666667)</f>
        <v>44531.66667</v>
      </c>
      <c r="B10572" s="2">
        <f>IFERROR(__xludf.DUMMYFUNCTION("""COMPUTED_VALUE"""),118.25)</f>
        <v>118.25</v>
      </c>
      <c r="C10572" s="2">
        <f>IFERROR(__xludf.DUMMYFUNCTION("""COMPUTED_VALUE"""),118.93)</f>
        <v>118.93</v>
      </c>
      <c r="D10572" s="2">
        <f>IFERROR(__xludf.DUMMYFUNCTION("""COMPUTED_VALUE"""),116.85)</f>
        <v>116.85</v>
      </c>
      <c r="E10572" s="2">
        <f>IFERROR(__xludf.DUMMYFUNCTION("""COMPUTED_VALUE"""),116.92)</f>
        <v>116.92</v>
      </c>
      <c r="F10572" s="2">
        <f>IFERROR(__xludf.DUMMYFUNCTION("""COMPUTED_VALUE"""),5959867.0)</f>
        <v>5959867</v>
      </c>
    </row>
    <row r="10573">
      <c r="A10573" s="3">
        <f>IFERROR(__xludf.DUMMYFUNCTION("""COMPUTED_VALUE"""),44532.66666666667)</f>
        <v>44532.66667</v>
      </c>
      <c r="B10573" s="2">
        <f>IFERROR(__xludf.DUMMYFUNCTION("""COMPUTED_VALUE"""),117.37)</f>
        <v>117.37</v>
      </c>
      <c r="C10573" s="2">
        <f>IFERROR(__xludf.DUMMYFUNCTION("""COMPUTED_VALUE"""),117.98)</f>
        <v>117.98</v>
      </c>
      <c r="D10573" s="2">
        <f>IFERROR(__xludf.DUMMYFUNCTION("""COMPUTED_VALUE"""),116.56)</f>
        <v>116.56</v>
      </c>
      <c r="E10573" s="2">
        <f>IFERROR(__xludf.DUMMYFUNCTION("""COMPUTED_VALUE"""),116.9)</f>
        <v>116.9</v>
      </c>
      <c r="F10573" s="2">
        <f>IFERROR(__xludf.DUMMYFUNCTION("""COMPUTED_VALUE"""),5267149.0)</f>
        <v>5267149</v>
      </c>
    </row>
    <row r="10574">
      <c r="A10574" s="3">
        <f>IFERROR(__xludf.DUMMYFUNCTION("""COMPUTED_VALUE"""),44533.66666666667)</f>
        <v>44533.66667</v>
      </c>
      <c r="B10574" s="2">
        <f>IFERROR(__xludf.DUMMYFUNCTION("""COMPUTED_VALUE"""),117.36)</f>
        <v>117.36</v>
      </c>
      <c r="C10574" s="2">
        <f>IFERROR(__xludf.DUMMYFUNCTION("""COMPUTED_VALUE"""),119.36)</f>
        <v>119.36</v>
      </c>
      <c r="D10574" s="2">
        <f>IFERROR(__xludf.DUMMYFUNCTION("""COMPUTED_VALUE"""),117.36)</f>
        <v>117.36</v>
      </c>
      <c r="E10574" s="2">
        <f>IFERROR(__xludf.DUMMYFUNCTION("""COMPUTED_VALUE"""),118.84)</f>
        <v>118.84</v>
      </c>
      <c r="F10574" s="2">
        <f>IFERROR(__xludf.DUMMYFUNCTION("""COMPUTED_VALUE"""),6630139.0)</f>
        <v>6630139</v>
      </c>
    </row>
    <row r="10575">
      <c r="A10575" s="3">
        <f>IFERROR(__xludf.DUMMYFUNCTION("""COMPUTED_VALUE"""),44536.66666666667)</f>
        <v>44536.66667</v>
      </c>
      <c r="B10575" s="2">
        <f>IFERROR(__xludf.DUMMYFUNCTION("""COMPUTED_VALUE"""),119.4)</f>
        <v>119.4</v>
      </c>
      <c r="C10575" s="2">
        <f>IFERROR(__xludf.DUMMYFUNCTION("""COMPUTED_VALUE"""),121.15)</f>
        <v>121.15</v>
      </c>
      <c r="D10575" s="2">
        <f>IFERROR(__xludf.DUMMYFUNCTION("""COMPUTED_VALUE"""),119.4)</f>
        <v>119.4</v>
      </c>
      <c r="E10575" s="2">
        <f>IFERROR(__xludf.DUMMYFUNCTION("""COMPUTED_VALUE"""),119.91)</f>
        <v>119.91</v>
      </c>
      <c r="F10575" s="2">
        <f>IFERROR(__xludf.DUMMYFUNCTION("""COMPUTED_VALUE"""),4785560.0)</f>
        <v>4785560</v>
      </c>
    </row>
    <row r="10576">
      <c r="A10576" s="3">
        <f>IFERROR(__xludf.DUMMYFUNCTION("""COMPUTED_VALUE"""),44537.66666666667)</f>
        <v>44537.66667</v>
      </c>
      <c r="B10576" s="2">
        <f>IFERROR(__xludf.DUMMYFUNCTION("""COMPUTED_VALUE"""),120.48)</f>
        <v>120.48</v>
      </c>
      <c r="C10576" s="2">
        <f>IFERROR(__xludf.DUMMYFUNCTION("""COMPUTED_VALUE"""),122.08)</f>
        <v>122.08</v>
      </c>
      <c r="D10576" s="2">
        <f>IFERROR(__xludf.DUMMYFUNCTION("""COMPUTED_VALUE"""),120.07)</f>
        <v>120.07</v>
      </c>
      <c r="E10576" s="2">
        <f>IFERROR(__xludf.DUMMYFUNCTION("""COMPUTED_VALUE"""),121.58)</f>
        <v>121.58</v>
      </c>
      <c r="F10576" s="2">
        <f>IFERROR(__xludf.DUMMYFUNCTION("""COMPUTED_VALUE"""),5193991.0)</f>
        <v>5193991</v>
      </c>
    </row>
    <row r="10577">
      <c r="A10577" s="3">
        <f>IFERROR(__xludf.DUMMYFUNCTION("""COMPUTED_VALUE"""),44538.66666666667)</f>
        <v>44538.66667</v>
      </c>
      <c r="B10577" s="2">
        <f>IFERROR(__xludf.DUMMYFUNCTION("""COMPUTED_VALUE"""),122.0)</f>
        <v>122</v>
      </c>
      <c r="C10577" s="2">
        <f>IFERROR(__xludf.DUMMYFUNCTION("""COMPUTED_VALUE"""),123.38)</f>
        <v>123.38</v>
      </c>
      <c r="D10577" s="2">
        <f>IFERROR(__xludf.DUMMYFUNCTION("""COMPUTED_VALUE"""),121.52)</f>
        <v>121.52</v>
      </c>
      <c r="E10577" s="2">
        <f>IFERROR(__xludf.DUMMYFUNCTION("""COMPUTED_VALUE"""),123.02)</f>
        <v>123.02</v>
      </c>
      <c r="F10577" s="2">
        <f>IFERROR(__xludf.DUMMYFUNCTION("""COMPUTED_VALUE"""),5483948.0)</f>
        <v>5483948</v>
      </c>
    </row>
    <row r="10578">
      <c r="A10578" s="3">
        <f>IFERROR(__xludf.DUMMYFUNCTION("""COMPUTED_VALUE"""),44539.66666666667)</f>
        <v>44539.66667</v>
      </c>
      <c r="B10578" s="2">
        <f>IFERROR(__xludf.DUMMYFUNCTION("""COMPUTED_VALUE"""),122.15)</f>
        <v>122.15</v>
      </c>
      <c r="C10578" s="2">
        <f>IFERROR(__xludf.DUMMYFUNCTION("""COMPUTED_VALUE"""),123.95)</f>
        <v>123.95</v>
      </c>
      <c r="D10578" s="2">
        <f>IFERROR(__xludf.DUMMYFUNCTION("""COMPUTED_VALUE"""),121.79)</f>
        <v>121.79</v>
      </c>
      <c r="E10578" s="2">
        <f>IFERROR(__xludf.DUMMYFUNCTION("""COMPUTED_VALUE"""),123.57)</f>
        <v>123.57</v>
      </c>
      <c r="F10578" s="2">
        <f>IFERROR(__xludf.DUMMYFUNCTION("""COMPUTED_VALUE"""),4601092.0)</f>
        <v>4601092</v>
      </c>
    </row>
    <row r="10579">
      <c r="A10579" s="3">
        <f>IFERROR(__xludf.DUMMYFUNCTION("""COMPUTED_VALUE"""),44540.66666666667)</f>
        <v>44540.66667</v>
      </c>
      <c r="B10579" s="2">
        <f>IFERROR(__xludf.DUMMYFUNCTION("""COMPUTED_VALUE"""),124.3)</f>
        <v>124.3</v>
      </c>
      <c r="C10579" s="2">
        <f>IFERROR(__xludf.DUMMYFUNCTION("""COMPUTED_VALUE"""),125.33)</f>
        <v>125.33</v>
      </c>
      <c r="D10579" s="2">
        <f>IFERROR(__xludf.DUMMYFUNCTION("""COMPUTED_VALUE"""),123.36)</f>
        <v>123.36</v>
      </c>
      <c r="E10579" s="2">
        <f>IFERROR(__xludf.DUMMYFUNCTION("""COMPUTED_VALUE"""),124.09)</f>
        <v>124.09</v>
      </c>
      <c r="F10579" s="2">
        <f>IFERROR(__xludf.DUMMYFUNCTION("""COMPUTED_VALUE"""),4966921.0)</f>
        <v>4966921</v>
      </c>
    </row>
    <row r="10580">
      <c r="A10580" s="3">
        <f>IFERROR(__xludf.DUMMYFUNCTION("""COMPUTED_VALUE"""),44543.66666666667)</f>
        <v>44543.66667</v>
      </c>
      <c r="B10580" s="2">
        <f>IFERROR(__xludf.DUMMYFUNCTION("""COMPUTED_VALUE"""),123.76)</f>
        <v>123.76</v>
      </c>
      <c r="C10580" s="2">
        <f>IFERROR(__xludf.DUMMYFUNCTION("""COMPUTED_VALUE"""),124.36)</f>
        <v>124.36</v>
      </c>
      <c r="D10580" s="2">
        <f>IFERROR(__xludf.DUMMYFUNCTION("""COMPUTED_VALUE"""),120.79)</f>
        <v>120.79</v>
      </c>
      <c r="E10580" s="2">
        <f>IFERROR(__xludf.DUMMYFUNCTION("""COMPUTED_VALUE"""),122.58)</f>
        <v>122.58</v>
      </c>
      <c r="F10580" s="2">
        <f>IFERROR(__xludf.DUMMYFUNCTION("""COMPUTED_VALUE"""),6847468.0)</f>
        <v>6847468</v>
      </c>
    </row>
    <row r="10581">
      <c r="A10581" s="3">
        <f>IFERROR(__xludf.DUMMYFUNCTION("""COMPUTED_VALUE"""),44544.66666666667)</f>
        <v>44544.66667</v>
      </c>
      <c r="B10581" s="2">
        <f>IFERROR(__xludf.DUMMYFUNCTION("""COMPUTED_VALUE"""),122.35)</f>
        <v>122.35</v>
      </c>
      <c r="C10581" s="2">
        <f>IFERROR(__xludf.DUMMYFUNCTION("""COMPUTED_VALUE"""),125.03)</f>
        <v>125.03</v>
      </c>
      <c r="D10581" s="2">
        <f>IFERROR(__xludf.DUMMYFUNCTION("""COMPUTED_VALUE"""),122.3)</f>
        <v>122.3</v>
      </c>
      <c r="E10581" s="2">
        <f>IFERROR(__xludf.DUMMYFUNCTION("""COMPUTED_VALUE"""),123.76)</f>
        <v>123.76</v>
      </c>
      <c r="F10581" s="2">
        <f>IFERROR(__xludf.DUMMYFUNCTION("""COMPUTED_VALUE"""),5716124.0)</f>
        <v>5716124</v>
      </c>
    </row>
    <row r="10582">
      <c r="A10582" s="3">
        <f>IFERROR(__xludf.DUMMYFUNCTION("""COMPUTED_VALUE"""),44545.66666666667)</f>
        <v>44545.66667</v>
      </c>
      <c r="B10582" s="2">
        <f>IFERROR(__xludf.DUMMYFUNCTION("""COMPUTED_VALUE"""),123.8)</f>
        <v>123.8</v>
      </c>
      <c r="C10582" s="2">
        <f>IFERROR(__xludf.DUMMYFUNCTION("""COMPUTED_VALUE"""),124.82)</f>
        <v>124.82</v>
      </c>
      <c r="D10582" s="2">
        <f>IFERROR(__xludf.DUMMYFUNCTION("""COMPUTED_VALUE"""),122.18)</f>
        <v>122.18</v>
      </c>
      <c r="E10582" s="2">
        <f>IFERROR(__xludf.DUMMYFUNCTION("""COMPUTED_VALUE"""),123.11)</f>
        <v>123.11</v>
      </c>
      <c r="F10582" s="2">
        <f>IFERROR(__xludf.DUMMYFUNCTION("""COMPUTED_VALUE"""),4990028.0)</f>
        <v>4990028</v>
      </c>
    </row>
    <row r="10583">
      <c r="A10583" s="3">
        <f>IFERROR(__xludf.DUMMYFUNCTION("""COMPUTED_VALUE"""),44546.66666666667)</f>
        <v>44546.66667</v>
      </c>
      <c r="B10583" s="2">
        <f>IFERROR(__xludf.DUMMYFUNCTION("""COMPUTED_VALUE"""),123.51)</f>
        <v>123.51</v>
      </c>
      <c r="C10583" s="2">
        <f>IFERROR(__xludf.DUMMYFUNCTION("""COMPUTED_VALUE"""),126.64)</f>
        <v>126.64</v>
      </c>
      <c r="D10583" s="2">
        <f>IFERROR(__xludf.DUMMYFUNCTION("""COMPUTED_VALUE"""),123.48)</f>
        <v>123.48</v>
      </c>
      <c r="E10583" s="2">
        <f>IFERROR(__xludf.DUMMYFUNCTION("""COMPUTED_VALUE"""),125.93)</f>
        <v>125.93</v>
      </c>
      <c r="F10583" s="2">
        <f>IFERROR(__xludf.DUMMYFUNCTION("""COMPUTED_VALUE"""),7280537.0)</f>
        <v>7280537</v>
      </c>
    </row>
    <row r="10584">
      <c r="A10584" s="3">
        <f>IFERROR(__xludf.DUMMYFUNCTION("""COMPUTED_VALUE"""),44547.66666666667)</f>
        <v>44547.66667</v>
      </c>
      <c r="B10584" s="2">
        <f>IFERROR(__xludf.DUMMYFUNCTION("""COMPUTED_VALUE"""),125.87)</f>
        <v>125.87</v>
      </c>
      <c r="C10584" s="2">
        <f>IFERROR(__xludf.DUMMYFUNCTION("""COMPUTED_VALUE"""),128.64)</f>
        <v>128.64</v>
      </c>
      <c r="D10584" s="2">
        <f>IFERROR(__xludf.DUMMYFUNCTION("""COMPUTED_VALUE"""),125.21)</f>
        <v>125.21</v>
      </c>
      <c r="E10584" s="2">
        <f>IFERROR(__xludf.DUMMYFUNCTION("""COMPUTED_VALUE"""),127.4)</f>
        <v>127.4</v>
      </c>
      <c r="F10584" s="2">
        <f>IFERROR(__xludf.DUMMYFUNCTION("""COMPUTED_VALUE"""),1.0382693E7)</f>
        <v>10382693</v>
      </c>
    </row>
    <row r="10585">
      <c r="A10585" s="3">
        <f>IFERROR(__xludf.DUMMYFUNCTION("""COMPUTED_VALUE"""),44550.66666666667)</f>
        <v>44550.66667</v>
      </c>
      <c r="B10585" s="2">
        <f>IFERROR(__xludf.DUMMYFUNCTION("""COMPUTED_VALUE"""),125.72)</f>
        <v>125.72</v>
      </c>
      <c r="C10585" s="2">
        <f>IFERROR(__xludf.DUMMYFUNCTION("""COMPUTED_VALUE"""),127.2)</f>
        <v>127.2</v>
      </c>
      <c r="D10585" s="2">
        <f>IFERROR(__xludf.DUMMYFUNCTION("""COMPUTED_VALUE"""),124.7)</f>
        <v>124.7</v>
      </c>
      <c r="E10585" s="2">
        <f>IFERROR(__xludf.DUMMYFUNCTION("""COMPUTED_VALUE"""),127.06)</f>
        <v>127.06</v>
      </c>
      <c r="F10585" s="2">
        <f>IFERROR(__xludf.DUMMYFUNCTION("""COMPUTED_VALUE"""),4941411.0)</f>
        <v>4941411</v>
      </c>
    </row>
    <row r="10586">
      <c r="A10586" s="3">
        <f>IFERROR(__xludf.DUMMYFUNCTION("""COMPUTED_VALUE"""),44551.66666666667)</f>
        <v>44551.66667</v>
      </c>
      <c r="B10586" s="2">
        <f>IFERROR(__xludf.DUMMYFUNCTION("""COMPUTED_VALUE"""),127.66)</f>
        <v>127.66</v>
      </c>
      <c r="C10586" s="2">
        <f>IFERROR(__xludf.DUMMYFUNCTION("""COMPUTED_VALUE"""),129.34)</f>
        <v>129.34</v>
      </c>
      <c r="D10586" s="2">
        <f>IFERROR(__xludf.DUMMYFUNCTION("""COMPUTED_VALUE"""),127.66)</f>
        <v>127.66</v>
      </c>
      <c r="E10586" s="2">
        <f>IFERROR(__xludf.DUMMYFUNCTION("""COMPUTED_VALUE"""),128.97)</f>
        <v>128.97</v>
      </c>
      <c r="F10586" s="2">
        <f>IFERROR(__xludf.DUMMYFUNCTION("""COMPUTED_VALUE"""),4855972.0)</f>
        <v>4855972</v>
      </c>
    </row>
    <row r="10587">
      <c r="A10587" s="3">
        <f>IFERROR(__xludf.DUMMYFUNCTION("""COMPUTED_VALUE"""),44552.66666666667)</f>
        <v>44552.66667</v>
      </c>
      <c r="B10587" s="2">
        <f>IFERROR(__xludf.DUMMYFUNCTION("""COMPUTED_VALUE"""),129.06)</f>
        <v>129.06</v>
      </c>
      <c r="C10587" s="2">
        <f>IFERROR(__xludf.DUMMYFUNCTION("""COMPUTED_VALUE"""),129.79)</f>
        <v>129.79</v>
      </c>
      <c r="D10587" s="2">
        <f>IFERROR(__xludf.DUMMYFUNCTION("""COMPUTED_VALUE"""),127.6)</f>
        <v>127.6</v>
      </c>
      <c r="E10587" s="2">
        <f>IFERROR(__xludf.DUMMYFUNCTION("""COMPUTED_VALUE"""),129.75)</f>
        <v>129.75</v>
      </c>
      <c r="F10587" s="2">
        <f>IFERROR(__xludf.DUMMYFUNCTION("""COMPUTED_VALUE"""),3923198.0)</f>
        <v>3923198</v>
      </c>
    </row>
    <row r="10588">
      <c r="A10588" s="3">
        <f>IFERROR(__xludf.DUMMYFUNCTION("""COMPUTED_VALUE"""),44553.66666666667)</f>
        <v>44553.66667</v>
      </c>
      <c r="B10588" s="2">
        <f>IFERROR(__xludf.DUMMYFUNCTION("""COMPUTED_VALUE"""),130.0)</f>
        <v>130</v>
      </c>
      <c r="C10588" s="2">
        <f>IFERROR(__xludf.DUMMYFUNCTION("""COMPUTED_VALUE"""),130.96)</f>
        <v>130.96</v>
      </c>
      <c r="D10588" s="2">
        <f>IFERROR(__xludf.DUMMYFUNCTION("""COMPUTED_VALUE"""),129.52)</f>
        <v>129.52</v>
      </c>
      <c r="E10588" s="2">
        <f>IFERROR(__xludf.DUMMYFUNCTION("""COMPUTED_VALUE"""),130.63)</f>
        <v>130.63</v>
      </c>
      <c r="F10588" s="2">
        <f>IFERROR(__xludf.DUMMYFUNCTION("""COMPUTED_VALUE"""),3649044.0)</f>
        <v>3649044</v>
      </c>
    </row>
    <row r="10589">
      <c r="A10589" s="3">
        <f>IFERROR(__xludf.DUMMYFUNCTION("""COMPUTED_VALUE"""),44557.66666666667)</f>
        <v>44557.66667</v>
      </c>
      <c r="B10589" s="2">
        <f>IFERROR(__xludf.DUMMYFUNCTION("""COMPUTED_VALUE"""),130.63)</f>
        <v>130.63</v>
      </c>
      <c r="C10589" s="2">
        <f>IFERROR(__xludf.DUMMYFUNCTION("""COMPUTED_VALUE"""),131.65)</f>
        <v>131.65</v>
      </c>
      <c r="D10589" s="2">
        <f>IFERROR(__xludf.DUMMYFUNCTION("""COMPUTED_VALUE"""),129.95)</f>
        <v>129.95</v>
      </c>
      <c r="E10589" s="2">
        <f>IFERROR(__xludf.DUMMYFUNCTION("""COMPUTED_VALUE"""),131.62)</f>
        <v>131.62</v>
      </c>
      <c r="F10589" s="2">
        <f>IFERROR(__xludf.DUMMYFUNCTION("""COMPUTED_VALUE"""),4294499.0)</f>
        <v>4294499</v>
      </c>
    </row>
    <row r="10590">
      <c r="A10590" s="3">
        <f>IFERROR(__xludf.DUMMYFUNCTION("""COMPUTED_VALUE"""),44558.66666666667)</f>
        <v>44558.66667</v>
      </c>
      <c r="B10590" s="2">
        <f>IFERROR(__xludf.DUMMYFUNCTION("""COMPUTED_VALUE"""),131.6)</f>
        <v>131.6</v>
      </c>
      <c r="C10590" s="2">
        <f>IFERROR(__xludf.DUMMYFUNCTION("""COMPUTED_VALUE"""),133.22)</f>
        <v>133.22</v>
      </c>
      <c r="D10590" s="2">
        <f>IFERROR(__xludf.DUMMYFUNCTION("""COMPUTED_VALUE"""),131.59)</f>
        <v>131.59</v>
      </c>
      <c r="E10590" s="2">
        <f>IFERROR(__xludf.DUMMYFUNCTION("""COMPUTED_VALUE"""),132.63)</f>
        <v>132.63</v>
      </c>
      <c r="F10590" s="2">
        <f>IFERROR(__xludf.DUMMYFUNCTION("""COMPUTED_VALUE"""),3447079.0)</f>
        <v>3447079</v>
      </c>
    </row>
    <row r="10591">
      <c r="A10591" s="3">
        <f>IFERROR(__xludf.DUMMYFUNCTION("""COMPUTED_VALUE"""),44559.66666666667)</f>
        <v>44559.66667</v>
      </c>
      <c r="B10591" s="2">
        <f>IFERROR(__xludf.DUMMYFUNCTION("""COMPUTED_VALUE"""),132.4)</f>
        <v>132.4</v>
      </c>
      <c r="C10591" s="2">
        <f>IFERROR(__xludf.DUMMYFUNCTION("""COMPUTED_VALUE"""),134.21)</f>
        <v>134.21</v>
      </c>
      <c r="D10591" s="2">
        <f>IFERROR(__xludf.DUMMYFUNCTION("""COMPUTED_VALUE"""),132.3)</f>
        <v>132.3</v>
      </c>
      <c r="E10591" s="2">
        <f>IFERROR(__xludf.DUMMYFUNCTION("""COMPUTED_VALUE"""),133.35)</f>
        <v>133.35</v>
      </c>
      <c r="F10591" s="2">
        <f>IFERROR(__xludf.DUMMYFUNCTION("""COMPUTED_VALUE"""),4239935.0)</f>
        <v>4239935</v>
      </c>
    </row>
    <row r="10592">
      <c r="A10592" s="3">
        <f>IFERROR(__xludf.DUMMYFUNCTION("""COMPUTED_VALUE"""),44560.66666666667)</f>
        <v>44560.66667</v>
      </c>
      <c r="B10592" s="2">
        <f>IFERROR(__xludf.DUMMYFUNCTION("""COMPUTED_VALUE"""),133.75)</f>
        <v>133.75</v>
      </c>
      <c r="C10592" s="2">
        <f>IFERROR(__xludf.DUMMYFUNCTION("""COMPUTED_VALUE"""),134.37)</f>
        <v>134.37</v>
      </c>
      <c r="D10592" s="2">
        <f>IFERROR(__xludf.DUMMYFUNCTION("""COMPUTED_VALUE"""),133.33)</f>
        <v>133.33</v>
      </c>
      <c r="E10592" s="2">
        <f>IFERROR(__xludf.DUMMYFUNCTION("""COMPUTED_VALUE"""),133.91)</f>
        <v>133.91</v>
      </c>
      <c r="F10592" s="2">
        <f>IFERROR(__xludf.DUMMYFUNCTION("""COMPUTED_VALUE"""),3158111.0)</f>
        <v>3158111</v>
      </c>
    </row>
    <row r="10593">
      <c r="A10593" s="3">
        <f>IFERROR(__xludf.DUMMYFUNCTION("""COMPUTED_VALUE"""),44561.66666666667)</f>
        <v>44561.66667</v>
      </c>
      <c r="B10593" s="2">
        <f>IFERROR(__xludf.DUMMYFUNCTION("""COMPUTED_VALUE"""),134.0)</f>
        <v>134</v>
      </c>
      <c r="C10593" s="2">
        <f>IFERROR(__xludf.DUMMYFUNCTION("""COMPUTED_VALUE"""),134.99)</f>
        <v>134.99</v>
      </c>
      <c r="D10593" s="2">
        <f>IFERROR(__xludf.DUMMYFUNCTION("""COMPUTED_VALUE"""),133.61)</f>
        <v>133.61</v>
      </c>
      <c r="E10593" s="2">
        <f>IFERROR(__xludf.DUMMYFUNCTION("""COMPUTED_VALUE"""),133.66)</f>
        <v>133.66</v>
      </c>
      <c r="F10593" s="2">
        <f>IFERROR(__xludf.DUMMYFUNCTION("""COMPUTED_VALUE"""),3362060.0)</f>
        <v>3362060</v>
      </c>
    </row>
    <row r="10594">
      <c r="A10594" s="3">
        <f>IFERROR(__xludf.DUMMYFUNCTION("""COMPUTED_VALUE"""),44564.66666666667)</f>
        <v>44564.66667</v>
      </c>
      <c r="B10594" s="2">
        <f>IFERROR(__xludf.DUMMYFUNCTION("""COMPUTED_VALUE"""),134.07)</f>
        <v>134.07</v>
      </c>
      <c r="C10594" s="2">
        <f>IFERROR(__xludf.DUMMYFUNCTION("""COMPUTED_VALUE"""),136.29)</f>
        <v>136.29</v>
      </c>
      <c r="D10594" s="2">
        <f>IFERROR(__xludf.DUMMYFUNCTION("""COMPUTED_VALUE"""),133.63)</f>
        <v>133.63</v>
      </c>
      <c r="E10594" s="2">
        <f>IFERROR(__xludf.DUMMYFUNCTION("""COMPUTED_VALUE"""),136.04)</f>
        <v>136.04</v>
      </c>
      <c r="F10594" s="2">
        <f>IFERROR(__xludf.DUMMYFUNCTION("""COMPUTED_VALUE"""),4610665.0)</f>
        <v>4610665</v>
      </c>
    </row>
    <row r="10595">
      <c r="A10595" s="3">
        <f>IFERROR(__xludf.DUMMYFUNCTION("""COMPUTED_VALUE"""),44565.66666666667)</f>
        <v>44565.66667</v>
      </c>
      <c r="B10595" s="2">
        <f>IFERROR(__xludf.DUMMYFUNCTION("""COMPUTED_VALUE"""),136.1)</f>
        <v>136.1</v>
      </c>
      <c r="C10595" s="2">
        <f>IFERROR(__xludf.DUMMYFUNCTION("""COMPUTED_VALUE"""),139.95)</f>
        <v>139.95</v>
      </c>
      <c r="D10595" s="2">
        <f>IFERROR(__xludf.DUMMYFUNCTION("""COMPUTED_VALUE"""),135.9)</f>
        <v>135.9</v>
      </c>
      <c r="E10595" s="2">
        <f>IFERROR(__xludf.DUMMYFUNCTION("""COMPUTED_VALUE"""),138.02)</f>
        <v>138.02</v>
      </c>
      <c r="F10595" s="2">
        <f>IFERROR(__xludf.DUMMYFUNCTION("""COMPUTED_VALUE"""),7300011.0)</f>
        <v>7300011</v>
      </c>
    </row>
    <row r="10596">
      <c r="A10596" s="3">
        <f>IFERROR(__xludf.DUMMYFUNCTION("""COMPUTED_VALUE"""),44566.66666666667)</f>
        <v>44566.66667</v>
      </c>
      <c r="B10596" s="2">
        <f>IFERROR(__xludf.DUMMYFUNCTION("""COMPUTED_VALUE"""),138.31)</f>
        <v>138.31</v>
      </c>
      <c r="C10596" s="2">
        <f>IFERROR(__xludf.DUMMYFUNCTION("""COMPUTED_VALUE"""),142.2)</f>
        <v>142.2</v>
      </c>
      <c r="D10596" s="2">
        <f>IFERROR(__xludf.DUMMYFUNCTION("""COMPUTED_VALUE"""),137.88)</f>
        <v>137.88</v>
      </c>
      <c r="E10596" s="2">
        <f>IFERROR(__xludf.DUMMYFUNCTION("""COMPUTED_VALUE"""),138.22)</f>
        <v>138.22</v>
      </c>
      <c r="F10596" s="2">
        <f>IFERROR(__xludf.DUMMYFUNCTION("""COMPUTED_VALUE"""),8956910.0)</f>
        <v>8956910</v>
      </c>
    </row>
    <row r="10597">
      <c r="A10597" s="3">
        <f>IFERROR(__xludf.DUMMYFUNCTION("""COMPUTED_VALUE"""),44567.66666666667)</f>
        <v>44567.66667</v>
      </c>
      <c r="B10597" s="2">
        <f>IFERROR(__xludf.DUMMYFUNCTION("""COMPUTED_VALUE"""),138.2)</f>
        <v>138.2</v>
      </c>
      <c r="C10597" s="2">
        <f>IFERROR(__xludf.DUMMYFUNCTION("""COMPUTED_VALUE"""),138.41)</f>
        <v>138.41</v>
      </c>
      <c r="D10597" s="2">
        <f>IFERROR(__xludf.DUMMYFUNCTION("""COMPUTED_VALUE"""),132.51)</f>
        <v>132.51</v>
      </c>
      <c r="E10597" s="2">
        <f>IFERROR(__xludf.DUMMYFUNCTION("""COMPUTED_VALUE"""),135.34)</f>
        <v>135.34</v>
      </c>
      <c r="F10597" s="2">
        <f>IFERROR(__xludf.DUMMYFUNCTION("""COMPUTED_VALUE"""),9908081.0)</f>
        <v>9908081</v>
      </c>
    </row>
    <row r="10598">
      <c r="A10598" s="3">
        <f>IFERROR(__xludf.DUMMYFUNCTION("""COMPUTED_VALUE"""),44568.66666666667)</f>
        <v>44568.66667</v>
      </c>
      <c r="B10598" s="2">
        <f>IFERROR(__xludf.DUMMYFUNCTION("""COMPUTED_VALUE"""),134.9)</f>
        <v>134.9</v>
      </c>
      <c r="C10598" s="2">
        <f>IFERROR(__xludf.DUMMYFUNCTION("""COMPUTED_VALUE"""),135.66)</f>
        <v>135.66</v>
      </c>
      <c r="D10598" s="2">
        <f>IFERROR(__xludf.DUMMYFUNCTION("""COMPUTED_VALUE"""),133.51)</f>
        <v>133.51</v>
      </c>
      <c r="E10598" s="2">
        <f>IFERROR(__xludf.DUMMYFUNCTION("""COMPUTED_VALUE"""),134.83)</f>
        <v>134.83</v>
      </c>
      <c r="F10598" s="2">
        <f>IFERROR(__xludf.DUMMYFUNCTION("""COMPUTED_VALUE"""),5238099.0)</f>
        <v>5238099</v>
      </c>
    </row>
    <row r="10599">
      <c r="A10599" s="3">
        <f>IFERROR(__xludf.DUMMYFUNCTION("""COMPUTED_VALUE"""),44571.66666666667)</f>
        <v>44571.66667</v>
      </c>
      <c r="B10599" s="2">
        <f>IFERROR(__xludf.DUMMYFUNCTION("""COMPUTED_VALUE"""),134.47)</f>
        <v>134.47</v>
      </c>
      <c r="C10599" s="2">
        <f>IFERROR(__xludf.DUMMYFUNCTION("""COMPUTED_VALUE"""),136.2)</f>
        <v>136.2</v>
      </c>
      <c r="D10599" s="2">
        <f>IFERROR(__xludf.DUMMYFUNCTION("""COMPUTED_VALUE"""),133.38)</f>
        <v>133.38</v>
      </c>
      <c r="E10599" s="2">
        <f>IFERROR(__xludf.DUMMYFUNCTION("""COMPUTED_VALUE"""),135.03)</f>
        <v>135.03</v>
      </c>
      <c r="F10599" s="2">
        <f>IFERROR(__xludf.DUMMYFUNCTION("""COMPUTED_VALUE"""),5432807.0)</f>
        <v>5432807</v>
      </c>
    </row>
    <row r="10600">
      <c r="A10600" s="3">
        <f>IFERROR(__xludf.DUMMYFUNCTION("""COMPUTED_VALUE"""),44572.66666666667)</f>
        <v>44572.66667</v>
      </c>
      <c r="B10600" s="2">
        <f>IFERROR(__xludf.DUMMYFUNCTION("""COMPUTED_VALUE"""),130.52)</f>
        <v>130.52</v>
      </c>
      <c r="C10600" s="2">
        <f>IFERROR(__xludf.DUMMYFUNCTION("""COMPUTED_VALUE"""),133.25)</f>
        <v>133.25</v>
      </c>
      <c r="D10600" s="2">
        <f>IFERROR(__xludf.DUMMYFUNCTION("""COMPUTED_VALUE"""),127.97)</f>
        <v>127.97</v>
      </c>
      <c r="E10600" s="2">
        <f>IFERROR(__xludf.DUMMYFUNCTION("""COMPUTED_VALUE"""),132.87)</f>
        <v>132.87</v>
      </c>
      <c r="F10600" s="2">
        <f>IFERROR(__xludf.DUMMYFUNCTION("""COMPUTED_VALUE"""),1.1105324E7)</f>
        <v>11105324</v>
      </c>
    </row>
    <row r="10601">
      <c r="A10601" s="3">
        <f>IFERROR(__xludf.DUMMYFUNCTION("""COMPUTED_VALUE"""),44573.66666666667)</f>
        <v>44573.66667</v>
      </c>
      <c r="B10601" s="2">
        <f>IFERROR(__xludf.DUMMYFUNCTION("""COMPUTED_VALUE"""),133.25)</f>
        <v>133.25</v>
      </c>
      <c r="C10601" s="2">
        <f>IFERROR(__xludf.DUMMYFUNCTION("""COMPUTED_VALUE"""),134.47)</f>
        <v>134.47</v>
      </c>
      <c r="D10601" s="2">
        <f>IFERROR(__xludf.DUMMYFUNCTION("""COMPUTED_VALUE"""),131.37)</f>
        <v>131.37</v>
      </c>
      <c r="E10601" s="2">
        <f>IFERROR(__xludf.DUMMYFUNCTION("""COMPUTED_VALUE"""),133.59)</f>
        <v>133.59</v>
      </c>
      <c r="F10601" s="2">
        <f>IFERROR(__xludf.DUMMYFUNCTION("""COMPUTED_VALUE"""),5352014.0)</f>
        <v>5352014</v>
      </c>
    </row>
    <row r="10602">
      <c r="A10602" s="3">
        <f>IFERROR(__xludf.DUMMYFUNCTION("""COMPUTED_VALUE"""),44574.66666666667)</f>
        <v>44574.66667</v>
      </c>
      <c r="B10602" s="2">
        <f>IFERROR(__xludf.DUMMYFUNCTION("""COMPUTED_VALUE"""),133.9)</f>
        <v>133.9</v>
      </c>
      <c r="C10602" s="2">
        <f>IFERROR(__xludf.DUMMYFUNCTION("""COMPUTED_VALUE"""),136.05)</f>
        <v>136.05</v>
      </c>
      <c r="D10602" s="2">
        <f>IFERROR(__xludf.DUMMYFUNCTION("""COMPUTED_VALUE"""),133.56)</f>
        <v>133.56</v>
      </c>
      <c r="E10602" s="2">
        <f>IFERROR(__xludf.DUMMYFUNCTION("""COMPUTED_VALUE"""),134.76)</f>
        <v>134.76</v>
      </c>
      <c r="F10602" s="2">
        <f>IFERROR(__xludf.DUMMYFUNCTION("""COMPUTED_VALUE"""),4868349.0)</f>
        <v>4868349</v>
      </c>
    </row>
    <row r="10603">
      <c r="A10603" s="3">
        <f>IFERROR(__xludf.DUMMYFUNCTION("""COMPUTED_VALUE"""),44575.66666666667)</f>
        <v>44575.66667</v>
      </c>
      <c r="B10603" s="2">
        <f>IFERROR(__xludf.DUMMYFUNCTION("""COMPUTED_VALUE"""),134.55)</f>
        <v>134.55</v>
      </c>
      <c r="C10603" s="2">
        <f>IFERROR(__xludf.DUMMYFUNCTION("""COMPUTED_VALUE"""),135.14)</f>
        <v>135.14</v>
      </c>
      <c r="D10603" s="2">
        <f>IFERROR(__xludf.DUMMYFUNCTION("""COMPUTED_VALUE"""),133.3)</f>
        <v>133.3</v>
      </c>
      <c r="E10603" s="2">
        <f>IFERROR(__xludf.DUMMYFUNCTION("""COMPUTED_VALUE"""),134.21)</f>
        <v>134.21</v>
      </c>
      <c r="F10603" s="2">
        <f>IFERROR(__xludf.DUMMYFUNCTION("""COMPUTED_VALUE"""),5310305.0)</f>
        <v>5310305</v>
      </c>
    </row>
    <row r="10604">
      <c r="A10604" s="3">
        <f>IFERROR(__xludf.DUMMYFUNCTION("""COMPUTED_VALUE"""),44579.66666666667)</f>
        <v>44579.66667</v>
      </c>
      <c r="B10604" s="2">
        <f>IFERROR(__xludf.DUMMYFUNCTION("""COMPUTED_VALUE"""),132.95)</f>
        <v>132.95</v>
      </c>
      <c r="C10604" s="2">
        <f>IFERROR(__xludf.DUMMYFUNCTION("""COMPUTED_VALUE"""),133.89)</f>
        <v>133.89</v>
      </c>
      <c r="D10604" s="2">
        <f>IFERROR(__xludf.DUMMYFUNCTION("""COMPUTED_VALUE"""),131.78)</f>
        <v>131.78</v>
      </c>
      <c r="E10604" s="2">
        <f>IFERROR(__xludf.DUMMYFUNCTION("""COMPUTED_VALUE"""),132.94)</f>
        <v>132.94</v>
      </c>
      <c r="F10604" s="2">
        <f>IFERROR(__xludf.DUMMYFUNCTION("""COMPUTED_VALUE"""),5247453.0)</f>
        <v>5247453</v>
      </c>
    </row>
    <row r="10605">
      <c r="A10605" s="3">
        <f>IFERROR(__xludf.DUMMYFUNCTION("""COMPUTED_VALUE"""),44580.66666666667)</f>
        <v>44580.66667</v>
      </c>
      <c r="B10605" s="2">
        <f>IFERROR(__xludf.DUMMYFUNCTION("""COMPUTED_VALUE"""),132.9)</f>
        <v>132.9</v>
      </c>
      <c r="C10605" s="2">
        <f>IFERROR(__xludf.DUMMYFUNCTION("""COMPUTED_VALUE"""),133.9)</f>
        <v>133.9</v>
      </c>
      <c r="D10605" s="2">
        <f>IFERROR(__xludf.DUMMYFUNCTION("""COMPUTED_VALUE"""),131.5)</f>
        <v>131.5</v>
      </c>
      <c r="E10605" s="2">
        <f>IFERROR(__xludf.DUMMYFUNCTION("""COMPUTED_VALUE"""),131.58)</f>
        <v>131.58</v>
      </c>
      <c r="F10605" s="2">
        <f>IFERROR(__xludf.DUMMYFUNCTION("""COMPUTED_VALUE"""),4103694.0)</f>
        <v>4103694</v>
      </c>
    </row>
    <row r="10606">
      <c r="A10606" s="3">
        <f>IFERROR(__xludf.DUMMYFUNCTION("""COMPUTED_VALUE"""),44581.66666666667)</f>
        <v>44581.66667</v>
      </c>
      <c r="B10606" s="2">
        <f>IFERROR(__xludf.DUMMYFUNCTION("""COMPUTED_VALUE"""),131.26)</f>
        <v>131.26</v>
      </c>
      <c r="C10606" s="2">
        <f>IFERROR(__xludf.DUMMYFUNCTION("""COMPUTED_VALUE"""),132.88)</f>
        <v>132.88</v>
      </c>
      <c r="D10606" s="2">
        <f>IFERROR(__xludf.DUMMYFUNCTION("""COMPUTED_VALUE"""),130.57)</f>
        <v>130.57</v>
      </c>
      <c r="E10606" s="2">
        <f>IFERROR(__xludf.DUMMYFUNCTION("""COMPUTED_VALUE"""),130.82)</f>
        <v>130.82</v>
      </c>
      <c r="F10606" s="2">
        <f>IFERROR(__xludf.DUMMYFUNCTION("""COMPUTED_VALUE"""),5278244.0)</f>
        <v>5278244</v>
      </c>
    </row>
    <row r="10607">
      <c r="A10607" s="3">
        <f>IFERROR(__xludf.DUMMYFUNCTION("""COMPUTED_VALUE"""),44582.66666666667)</f>
        <v>44582.66667</v>
      </c>
      <c r="B10607" s="2">
        <f>IFERROR(__xludf.DUMMYFUNCTION("""COMPUTED_VALUE"""),131.65)</f>
        <v>131.65</v>
      </c>
      <c r="C10607" s="2">
        <f>IFERROR(__xludf.DUMMYFUNCTION("""COMPUTED_VALUE"""),131.87)</f>
        <v>131.87</v>
      </c>
      <c r="D10607" s="2">
        <f>IFERROR(__xludf.DUMMYFUNCTION("""COMPUTED_VALUE"""),129.27)</f>
        <v>129.27</v>
      </c>
      <c r="E10607" s="2">
        <f>IFERROR(__xludf.DUMMYFUNCTION("""COMPUTED_VALUE"""),129.35)</f>
        <v>129.35</v>
      </c>
      <c r="F10607" s="2">
        <f>IFERROR(__xludf.DUMMYFUNCTION("""COMPUTED_VALUE"""),5906950.0)</f>
        <v>5906950</v>
      </c>
    </row>
    <row r="10608">
      <c r="A10608" s="3">
        <f>IFERROR(__xludf.DUMMYFUNCTION("""COMPUTED_VALUE"""),44585.66666666667)</f>
        <v>44585.66667</v>
      </c>
      <c r="B10608" s="2">
        <f>IFERROR(__xludf.DUMMYFUNCTION("""COMPUTED_VALUE"""),127.99)</f>
        <v>127.99</v>
      </c>
      <c r="C10608" s="2">
        <f>IFERROR(__xludf.DUMMYFUNCTION("""COMPUTED_VALUE"""),129.15)</f>
        <v>129.15</v>
      </c>
      <c r="D10608" s="2">
        <f>IFERROR(__xludf.DUMMYFUNCTION("""COMPUTED_VALUE"""),124.19)</f>
        <v>124.19</v>
      </c>
      <c r="E10608" s="2">
        <f>IFERROR(__xludf.DUMMYFUNCTION("""COMPUTED_VALUE"""),128.82)</f>
        <v>128.82</v>
      </c>
      <c r="F10608" s="2">
        <f>IFERROR(__xludf.DUMMYFUNCTION("""COMPUTED_VALUE"""),1.3777648E7)</f>
        <v>13777648</v>
      </c>
    </row>
    <row r="10609">
      <c r="A10609" s="3">
        <f>IFERROR(__xludf.DUMMYFUNCTION("""COMPUTED_VALUE"""),44586.66666666667)</f>
        <v>44586.66667</v>
      </c>
      <c r="B10609" s="2">
        <f>IFERROR(__xludf.DUMMYFUNCTION("""COMPUTED_VALUE"""),129.14)</f>
        <v>129.14</v>
      </c>
      <c r="C10609" s="2">
        <f>IFERROR(__xludf.DUMMYFUNCTION("""COMPUTED_VALUE"""),137.34)</f>
        <v>137.34</v>
      </c>
      <c r="D10609" s="2">
        <f>IFERROR(__xludf.DUMMYFUNCTION("""COMPUTED_VALUE"""),128.3)</f>
        <v>128.3</v>
      </c>
      <c r="E10609" s="2">
        <f>IFERROR(__xludf.DUMMYFUNCTION("""COMPUTED_VALUE"""),136.1)</f>
        <v>136.1</v>
      </c>
      <c r="F10609" s="2">
        <f>IFERROR(__xludf.DUMMYFUNCTION("""COMPUTED_VALUE"""),1.9715698E7)</f>
        <v>19715698</v>
      </c>
    </row>
    <row r="10610">
      <c r="A10610" s="3">
        <f>IFERROR(__xludf.DUMMYFUNCTION("""COMPUTED_VALUE"""),44587.66666666667)</f>
        <v>44587.66667</v>
      </c>
      <c r="B10610" s="2">
        <f>IFERROR(__xludf.DUMMYFUNCTION("""COMPUTED_VALUE"""),136.47)</f>
        <v>136.47</v>
      </c>
      <c r="C10610" s="2">
        <f>IFERROR(__xludf.DUMMYFUNCTION("""COMPUTED_VALUE"""),137.07)</f>
        <v>137.07</v>
      </c>
      <c r="D10610" s="2">
        <f>IFERROR(__xludf.DUMMYFUNCTION("""COMPUTED_VALUE"""),133.13)</f>
        <v>133.13</v>
      </c>
      <c r="E10610" s="2">
        <f>IFERROR(__xludf.DUMMYFUNCTION("""COMPUTED_VALUE"""),134.26)</f>
        <v>134.26</v>
      </c>
      <c r="F10610" s="2">
        <f>IFERROR(__xludf.DUMMYFUNCTION("""COMPUTED_VALUE"""),8335992.0)</f>
        <v>8335992</v>
      </c>
    </row>
    <row r="10611">
      <c r="A10611" s="3">
        <f>IFERROR(__xludf.DUMMYFUNCTION("""COMPUTED_VALUE"""),44588.66666666667)</f>
        <v>44588.66667</v>
      </c>
      <c r="B10611" s="2">
        <f>IFERROR(__xludf.DUMMYFUNCTION("""COMPUTED_VALUE"""),133.66)</f>
        <v>133.66</v>
      </c>
      <c r="C10611" s="2">
        <f>IFERROR(__xludf.DUMMYFUNCTION("""COMPUTED_VALUE"""),134.75)</f>
        <v>134.75</v>
      </c>
      <c r="D10611" s="2">
        <f>IFERROR(__xludf.DUMMYFUNCTION("""COMPUTED_VALUE"""),132.08)</f>
        <v>132.08</v>
      </c>
      <c r="E10611" s="2">
        <f>IFERROR(__xludf.DUMMYFUNCTION("""COMPUTED_VALUE"""),132.52)</f>
        <v>132.52</v>
      </c>
      <c r="F10611" s="2">
        <f>IFERROR(__xludf.DUMMYFUNCTION("""COMPUTED_VALUE"""),5499566.0)</f>
        <v>5499566</v>
      </c>
    </row>
    <row r="10612">
      <c r="A10612" s="3">
        <f>IFERROR(__xludf.DUMMYFUNCTION("""COMPUTED_VALUE"""),44589.66666666667)</f>
        <v>44589.66667</v>
      </c>
      <c r="B10612" s="2">
        <f>IFERROR(__xludf.DUMMYFUNCTION("""COMPUTED_VALUE"""),133.19)</f>
        <v>133.19</v>
      </c>
      <c r="C10612" s="2">
        <f>IFERROR(__xludf.DUMMYFUNCTION("""COMPUTED_VALUE"""),134.53)</f>
        <v>134.53</v>
      </c>
      <c r="D10612" s="2">
        <f>IFERROR(__xludf.DUMMYFUNCTION("""COMPUTED_VALUE"""),131.79)</f>
        <v>131.79</v>
      </c>
      <c r="E10612" s="2">
        <f>IFERROR(__xludf.DUMMYFUNCTION("""COMPUTED_VALUE"""),134.5)</f>
        <v>134.5</v>
      </c>
      <c r="F10612" s="2">
        <f>IFERROR(__xludf.DUMMYFUNCTION("""COMPUTED_VALUE"""),5471497.0)</f>
        <v>5471497</v>
      </c>
    </row>
    <row r="10613">
      <c r="A10613" s="3">
        <f>IFERROR(__xludf.DUMMYFUNCTION("""COMPUTED_VALUE"""),44592.66666666667)</f>
        <v>44592.66667</v>
      </c>
      <c r="B10613" s="2">
        <f>IFERROR(__xludf.DUMMYFUNCTION("""COMPUTED_VALUE"""),134.09)</f>
        <v>134.09</v>
      </c>
      <c r="C10613" s="2">
        <f>IFERROR(__xludf.DUMMYFUNCTION("""COMPUTED_VALUE"""),134.09)</f>
        <v>134.09</v>
      </c>
      <c r="D10613" s="2">
        <f>IFERROR(__xludf.DUMMYFUNCTION("""COMPUTED_VALUE"""),132.3)</f>
        <v>132.3</v>
      </c>
      <c r="E10613" s="2">
        <f>IFERROR(__xludf.DUMMYFUNCTION("""COMPUTED_VALUE"""),133.57)</f>
        <v>133.57</v>
      </c>
      <c r="F10613" s="2">
        <f>IFERROR(__xludf.DUMMYFUNCTION("""COMPUTED_VALUE"""),5859043.0)</f>
        <v>5859043</v>
      </c>
    </row>
    <row r="10614">
      <c r="A10614" s="3">
        <f>IFERROR(__xludf.DUMMYFUNCTION("""COMPUTED_VALUE"""),44593.66666666667)</f>
        <v>44593.66667</v>
      </c>
      <c r="B10614" s="2">
        <f>IFERROR(__xludf.DUMMYFUNCTION("""COMPUTED_VALUE"""),133.76)</f>
        <v>133.76</v>
      </c>
      <c r="C10614" s="2">
        <f>IFERROR(__xludf.DUMMYFUNCTION("""COMPUTED_VALUE"""),135.96)</f>
        <v>135.96</v>
      </c>
      <c r="D10614" s="2">
        <f>IFERROR(__xludf.DUMMYFUNCTION("""COMPUTED_VALUE"""),132.5)</f>
        <v>132.5</v>
      </c>
      <c r="E10614" s="2">
        <f>IFERROR(__xludf.DUMMYFUNCTION("""COMPUTED_VALUE"""),135.53)</f>
        <v>135.53</v>
      </c>
      <c r="F10614" s="2">
        <f>IFERROR(__xludf.DUMMYFUNCTION("""COMPUTED_VALUE"""),6206448.0)</f>
        <v>6206448</v>
      </c>
    </row>
    <row r="10615">
      <c r="A10615" s="3">
        <f>IFERROR(__xludf.DUMMYFUNCTION("""COMPUTED_VALUE"""),44594.66666666667)</f>
        <v>44594.66667</v>
      </c>
      <c r="B10615" s="2">
        <f>IFERROR(__xludf.DUMMYFUNCTION("""COMPUTED_VALUE"""),135.7)</f>
        <v>135.7</v>
      </c>
      <c r="C10615" s="2">
        <f>IFERROR(__xludf.DUMMYFUNCTION("""COMPUTED_VALUE"""),137.56)</f>
        <v>137.56</v>
      </c>
      <c r="D10615" s="2">
        <f>IFERROR(__xludf.DUMMYFUNCTION("""COMPUTED_VALUE"""),135.26)</f>
        <v>135.26</v>
      </c>
      <c r="E10615" s="2">
        <f>IFERROR(__xludf.DUMMYFUNCTION("""COMPUTED_VALUE"""),137.25)</f>
        <v>137.25</v>
      </c>
      <c r="F10615" s="2">
        <f>IFERROR(__xludf.DUMMYFUNCTION("""COMPUTED_VALUE"""),5357237.0)</f>
        <v>5357237</v>
      </c>
    </row>
    <row r="10616">
      <c r="A10616" s="3">
        <f>IFERROR(__xludf.DUMMYFUNCTION("""COMPUTED_VALUE"""),44595.66666666667)</f>
        <v>44595.66667</v>
      </c>
      <c r="B10616" s="2">
        <f>IFERROR(__xludf.DUMMYFUNCTION("""COMPUTED_VALUE"""),137.0)</f>
        <v>137</v>
      </c>
      <c r="C10616" s="2">
        <f>IFERROR(__xludf.DUMMYFUNCTION("""COMPUTED_VALUE"""),138.76)</f>
        <v>138.76</v>
      </c>
      <c r="D10616" s="2">
        <f>IFERROR(__xludf.DUMMYFUNCTION("""COMPUTED_VALUE"""),135.83)</f>
        <v>135.83</v>
      </c>
      <c r="E10616" s="2">
        <f>IFERROR(__xludf.DUMMYFUNCTION("""COMPUTED_VALUE"""),137.78)</f>
        <v>137.78</v>
      </c>
      <c r="F10616" s="2">
        <f>IFERROR(__xludf.DUMMYFUNCTION("""COMPUTED_VALUE"""),6100777.0)</f>
        <v>6100777</v>
      </c>
    </row>
    <row r="10617">
      <c r="A10617" s="3">
        <f>IFERROR(__xludf.DUMMYFUNCTION("""COMPUTED_VALUE"""),44596.66666666667)</f>
        <v>44596.66667</v>
      </c>
      <c r="B10617" s="2">
        <f>IFERROR(__xludf.DUMMYFUNCTION("""COMPUTED_VALUE"""),137.86)</f>
        <v>137.86</v>
      </c>
      <c r="C10617" s="2">
        <f>IFERROR(__xludf.DUMMYFUNCTION("""COMPUTED_VALUE"""),138.82)</f>
        <v>138.82</v>
      </c>
      <c r="D10617" s="2">
        <f>IFERROR(__xludf.DUMMYFUNCTION("""COMPUTED_VALUE"""),136.22)</f>
        <v>136.22</v>
      </c>
      <c r="E10617" s="2">
        <f>IFERROR(__xludf.DUMMYFUNCTION("""COMPUTED_VALUE"""),137.15)</f>
        <v>137.15</v>
      </c>
      <c r="F10617" s="2">
        <f>IFERROR(__xludf.DUMMYFUNCTION("""COMPUTED_VALUE"""),4142045.0)</f>
        <v>4142045</v>
      </c>
    </row>
    <row r="10618">
      <c r="A10618" s="3">
        <f>IFERROR(__xludf.DUMMYFUNCTION("""COMPUTED_VALUE"""),44599.66666666667)</f>
        <v>44599.66667</v>
      </c>
      <c r="B10618" s="2">
        <f>IFERROR(__xludf.DUMMYFUNCTION("""COMPUTED_VALUE"""),137.45)</f>
        <v>137.45</v>
      </c>
      <c r="C10618" s="2">
        <f>IFERROR(__xludf.DUMMYFUNCTION("""COMPUTED_VALUE"""),137.82)</f>
        <v>137.82</v>
      </c>
      <c r="D10618" s="2">
        <f>IFERROR(__xludf.DUMMYFUNCTION("""COMPUTED_VALUE"""),136.27)</f>
        <v>136.27</v>
      </c>
      <c r="E10618" s="2">
        <f>IFERROR(__xludf.DUMMYFUNCTION("""COMPUTED_VALUE"""),137.24)</f>
        <v>137.24</v>
      </c>
      <c r="F10618" s="2">
        <f>IFERROR(__xludf.DUMMYFUNCTION("""COMPUTED_VALUE"""),3759046.0)</f>
        <v>3759046</v>
      </c>
    </row>
    <row r="10619">
      <c r="A10619" s="3">
        <f>IFERROR(__xludf.DUMMYFUNCTION("""COMPUTED_VALUE"""),44600.66666666667)</f>
        <v>44600.66667</v>
      </c>
      <c r="B10619" s="2">
        <f>IFERROR(__xludf.DUMMYFUNCTION("""COMPUTED_VALUE"""),137.23)</f>
        <v>137.23</v>
      </c>
      <c r="C10619" s="2">
        <f>IFERROR(__xludf.DUMMYFUNCTION("""COMPUTED_VALUE"""),137.52)</f>
        <v>137.52</v>
      </c>
      <c r="D10619" s="2">
        <f>IFERROR(__xludf.DUMMYFUNCTION("""COMPUTED_VALUE"""),135.78)</f>
        <v>135.78</v>
      </c>
      <c r="E10619" s="2">
        <f>IFERROR(__xludf.DUMMYFUNCTION("""COMPUTED_VALUE"""),137.02)</f>
        <v>137.02</v>
      </c>
      <c r="F10619" s="2">
        <f>IFERROR(__xludf.DUMMYFUNCTION("""COMPUTED_VALUE"""),4181825.0)</f>
        <v>4181825</v>
      </c>
    </row>
    <row r="10620">
      <c r="A10620" s="3">
        <f>IFERROR(__xludf.DUMMYFUNCTION("""COMPUTED_VALUE"""),44601.66666666667)</f>
        <v>44601.66667</v>
      </c>
      <c r="B10620" s="2">
        <f>IFERROR(__xludf.DUMMYFUNCTION("""COMPUTED_VALUE"""),137.84)</f>
        <v>137.84</v>
      </c>
      <c r="C10620" s="2">
        <f>IFERROR(__xludf.DUMMYFUNCTION("""COMPUTED_VALUE"""),138.35)</f>
        <v>138.35</v>
      </c>
      <c r="D10620" s="2">
        <f>IFERROR(__xludf.DUMMYFUNCTION("""COMPUTED_VALUE"""),136.83)</f>
        <v>136.83</v>
      </c>
      <c r="E10620" s="2">
        <f>IFERROR(__xludf.DUMMYFUNCTION("""COMPUTED_VALUE"""),137.79)</f>
        <v>137.79</v>
      </c>
      <c r="F10620" s="2">
        <f>IFERROR(__xludf.DUMMYFUNCTION("""COMPUTED_VALUE"""),5393478.0)</f>
        <v>5393478</v>
      </c>
    </row>
    <row r="10621">
      <c r="A10621" s="3">
        <f>IFERROR(__xludf.DUMMYFUNCTION("""COMPUTED_VALUE"""),44602.66666666667)</f>
        <v>44602.66667</v>
      </c>
      <c r="B10621" s="2">
        <f>IFERROR(__xludf.DUMMYFUNCTION("""COMPUTED_VALUE"""),135.47)</f>
        <v>135.47</v>
      </c>
      <c r="C10621" s="2">
        <f>IFERROR(__xludf.DUMMYFUNCTION("""COMPUTED_VALUE"""),136.56)</f>
        <v>136.56</v>
      </c>
      <c r="D10621" s="2">
        <f>IFERROR(__xludf.DUMMYFUNCTION("""COMPUTED_VALUE"""),133.17)</f>
        <v>133.17</v>
      </c>
      <c r="E10621" s="2">
        <f>IFERROR(__xludf.DUMMYFUNCTION("""COMPUTED_VALUE"""),133.52)</f>
        <v>133.52</v>
      </c>
      <c r="F10621" s="2">
        <f>IFERROR(__xludf.DUMMYFUNCTION("""COMPUTED_VALUE"""),5978640.0)</f>
        <v>5978640</v>
      </c>
    </row>
    <row r="10622">
      <c r="A10622" s="3">
        <f>IFERROR(__xludf.DUMMYFUNCTION("""COMPUTED_VALUE"""),44603.66666666667)</f>
        <v>44603.66667</v>
      </c>
      <c r="B10622" s="2">
        <f>IFERROR(__xludf.DUMMYFUNCTION("""COMPUTED_VALUE"""),133.9)</f>
        <v>133.9</v>
      </c>
      <c r="C10622" s="2">
        <f>IFERROR(__xludf.DUMMYFUNCTION("""COMPUTED_VALUE"""),134.71)</f>
        <v>134.71</v>
      </c>
      <c r="D10622" s="2">
        <f>IFERROR(__xludf.DUMMYFUNCTION("""COMPUTED_VALUE"""),132.38)</f>
        <v>132.38</v>
      </c>
      <c r="E10622" s="2">
        <f>IFERROR(__xludf.DUMMYFUNCTION("""COMPUTED_VALUE"""),132.69)</f>
        <v>132.69</v>
      </c>
      <c r="F10622" s="2">
        <f>IFERROR(__xludf.DUMMYFUNCTION("""COMPUTED_VALUE"""),4176155.0)</f>
        <v>4176155</v>
      </c>
    </row>
    <row r="10623">
      <c r="A10623" s="3">
        <f>IFERROR(__xludf.DUMMYFUNCTION("""COMPUTED_VALUE"""),44606.66666666667)</f>
        <v>44606.66667</v>
      </c>
      <c r="B10623" s="2">
        <f>IFERROR(__xludf.DUMMYFUNCTION("""COMPUTED_VALUE"""),132.59)</f>
        <v>132.59</v>
      </c>
      <c r="C10623" s="2">
        <f>IFERROR(__xludf.DUMMYFUNCTION("""COMPUTED_VALUE"""),132.65)</f>
        <v>132.65</v>
      </c>
      <c r="D10623" s="2">
        <f>IFERROR(__xludf.DUMMYFUNCTION("""COMPUTED_VALUE"""),129.07)</f>
        <v>129.07</v>
      </c>
      <c r="E10623" s="2">
        <f>IFERROR(__xludf.DUMMYFUNCTION("""COMPUTED_VALUE"""),130.15)</f>
        <v>130.15</v>
      </c>
      <c r="F10623" s="2">
        <f>IFERROR(__xludf.DUMMYFUNCTION("""COMPUTED_VALUE"""),5345289.0)</f>
        <v>5345289</v>
      </c>
    </row>
    <row r="10624">
      <c r="A10624" s="3">
        <f>IFERROR(__xludf.DUMMYFUNCTION("""COMPUTED_VALUE"""),44607.66666666667)</f>
        <v>44607.66667</v>
      </c>
      <c r="B10624" s="2">
        <f>IFERROR(__xludf.DUMMYFUNCTION("""COMPUTED_VALUE"""),130.64)</f>
        <v>130.64</v>
      </c>
      <c r="C10624" s="2">
        <f>IFERROR(__xludf.DUMMYFUNCTION("""COMPUTED_VALUE"""),131.68)</f>
        <v>131.68</v>
      </c>
      <c r="D10624" s="2">
        <f>IFERROR(__xludf.DUMMYFUNCTION("""COMPUTED_VALUE"""),129.61)</f>
        <v>129.61</v>
      </c>
      <c r="E10624" s="2">
        <f>IFERROR(__xludf.DUMMYFUNCTION("""COMPUTED_VALUE"""),129.94)</f>
        <v>129.94</v>
      </c>
      <c r="F10624" s="2">
        <f>IFERROR(__xludf.DUMMYFUNCTION("""COMPUTED_VALUE"""),4395714.0)</f>
        <v>4395714</v>
      </c>
    </row>
    <row r="10625">
      <c r="A10625" s="3">
        <f>IFERROR(__xludf.DUMMYFUNCTION("""COMPUTED_VALUE"""),44608.66666666667)</f>
        <v>44608.66667</v>
      </c>
      <c r="B10625" s="2">
        <f>IFERROR(__xludf.DUMMYFUNCTION("""COMPUTED_VALUE"""),129.45)</f>
        <v>129.45</v>
      </c>
      <c r="C10625" s="2">
        <f>IFERROR(__xludf.DUMMYFUNCTION("""COMPUTED_VALUE"""),130.44)</f>
        <v>130.44</v>
      </c>
      <c r="D10625" s="2">
        <f>IFERROR(__xludf.DUMMYFUNCTION("""COMPUTED_VALUE"""),128.26)</f>
        <v>128.26</v>
      </c>
      <c r="E10625" s="2">
        <f>IFERROR(__xludf.DUMMYFUNCTION("""COMPUTED_VALUE"""),129.18)</f>
        <v>129.18</v>
      </c>
      <c r="F10625" s="2">
        <f>IFERROR(__xludf.DUMMYFUNCTION("""COMPUTED_VALUE"""),4875612.0)</f>
        <v>4875612</v>
      </c>
    </row>
    <row r="10626">
      <c r="A10626" s="3">
        <f>IFERROR(__xludf.DUMMYFUNCTION("""COMPUTED_VALUE"""),44609.66666666667)</f>
        <v>44609.66667</v>
      </c>
      <c r="B10626" s="2">
        <f>IFERROR(__xludf.DUMMYFUNCTION("""COMPUTED_VALUE"""),128.05)</f>
        <v>128.05</v>
      </c>
      <c r="C10626" s="2">
        <f>IFERROR(__xludf.DUMMYFUNCTION("""COMPUTED_VALUE"""),128.5)</f>
        <v>128.5</v>
      </c>
      <c r="D10626" s="2">
        <f>IFERROR(__xludf.DUMMYFUNCTION("""COMPUTED_VALUE"""),124.85)</f>
        <v>124.85</v>
      </c>
      <c r="E10626" s="2">
        <f>IFERROR(__xludf.DUMMYFUNCTION("""COMPUTED_VALUE"""),124.97)</f>
        <v>124.97</v>
      </c>
      <c r="F10626" s="2">
        <f>IFERROR(__xludf.DUMMYFUNCTION("""COMPUTED_VALUE"""),6796997.0)</f>
        <v>6796997</v>
      </c>
    </row>
    <row r="10627">
      <c r="A10627" s="3">
        <f>IFERROR(__xludf.DUMMYFUNCTION("""COMPUTED_VALUE"""),44610.66666666667)</f>
        <v>44610.66667</v>
      </c>
      <c r="B10627" s="2">
        <f>IFERROR(__xludf.DUMMYFUNCTION("""COMPUTED_VALUE"""),124.94)</f>
        <v>124.94</v>
      </c>
      <c r="C10627" s="2">
        <f>IFERROR(__xludf.DUMMYFUNCTION("""COMPUTED_VALUE"""),125.44)</f>
        <v>125.44</v>
      </c>
      <c r="D10627" s="2">
        <f>IFERROR(__xludf.DUMMYFUNCTION("""COMPUTED_VALUE"""),123.61)</f>
        <v>123.61</v>
      </c>
      <c r="E10627" s="2">
        <f>IFERROR(__xludf.DUMMYFUNCTION("""COMPUTED_VALUE"""),124.35)</f>
        <v>124.35</v>
      </c>
      <c r="F10627" s="2">
        <f>IFERROR(__xludf.DUMMYFUNCTION("""COMPUTED_VALUE"""),4609212.0)</f>
        <v>4609212</v>
      </c>
    </row>
    <row r="10628">
      <c r="A10628" s="3">
        <f>IFERROR(__xludf.DUMMYFUNCTION("""COMPUTED_VALUE"""),44614.66666666667)</f>
        <v>44614.66667</v>
      </c>
      <c r="B10628" s="2">
        <f>IFERROR(__xludf.DUMMYFUNCTION("""COMPUTED_VALUE"""),124.2)</f>
        <v>124.2</v>
      </c>
      <c r="C10628" s="2">
        <f>IFERROR(__xludf.DUMMYFUNCTION("""COMPUTED_VALUE"""),125.0)</f>
        <v>125</v>
      </c>
      <c r="D10628" s="2">
        <f>IFERROR(__xludf.DUMMYFUNCTION("""COMPUTED_VALUE"""),122.68)</f>
        <v>122.68</v>
      </c>
      <c r="E10628" s="2">
        <f>IFERROR(__xludf.DUMMYFUNCTION("""COMPUTED_VALUE"""),123.92)</f>
        <v>123.92</v>
      </c>
      <c r="F10628" s="2">
        <f>IFERROR(__xludf.DUMMYFUNCTION("""COMPUTED_VALUE"""),5349687.0)</f>
        <v>5349687</v>
      </c>
    </row>
    <row r="10629">
      <c r="A10629" s="3">
        <f>IFERROR(__xludf.DUMMYFUNCTION("""COMPUTED_VALUE"""),44615.66666666667)</f>
        <v>44615.66667</v>
      </c>
      <c r="B10629" s="2">
        <f>IFERROR(__xludf.DUMMYFUNCTION("""COMPUTED_VALUE"""),124.38)</f>
        <v>124.38</v>
      </c>
      <c r="C10629" s="2">
        <f>IFERROR(__xludf.DUMMYFUNCTION("""COMPUTED_VALUE"""),124.7)</f>
        <v>124.7</v>
      </c>
      <c r="D10629" s="2">
        <f>IFERROR(__xludf.DUMMYFUNCTION("""COMPUTED_VALUE"""),121.87)</f>
        <v>121.87</v>
      </c>
      <c r="E10629" s="2">
        <f>IFERROR(__xludf.DUMMYFUNCTION("""COMPUTED_VALUE"""),122.07)</f>
        <v>122.07</v>
      </c>
      <c r="F10629" s="2">
        <f>IFERROR(__xludf.DUMMYFUNCTION("""COMPUTED_VALUE"""),4086367.0)</f>
        <v>4086367</v>
      </c>
    </row>
    <row r="10630">
      <c r="A10630" s="3">
        <f>IFERROR(__xludf.DUMMYFUNCTION("""COMPUTED_VALUE"""),44616.66666666667)</f>
        <v>44616.66667</v>
      </c>
      <c r="B10630" s="2">
        <f>IFERROR(__xludf.DUMMYFUNCTION("""COMPUTED_VALUE"""),120.0)</f>
        <v>120</v>
      </c>
      <c r="C10630" s="2">
        <f>IFERROR(__xludf.DUMMYFUNCTION("""COMPUTED_VALUE"""),122.1)</f>
        <v>122.1</v>
      </c>
      <c r="D10630" s="2">
        <f>IFERROR(__xludf.DUMMYFUNCTION("""COMPUTED_VALUE"""),118.81)</f>
        <v>118.81</v>
      </c>
      <c r="E10630" s="2">
        <f>IFERROR(__xludf.DUMMYFUNCTION("""COMPUTED_VALUE"""),121.97)</f>
        <v>121.97</v>
      </c>
      <c r="F10630" s="2">
        <f>IFERROR(__xludf.DUMMYFUNCTION("""COMPUTED_VALUE"""),6563202.0)</f>
        <v>6563202</v>
      </c>
    </row>
    <row r="10631">
      <c r="A10631" s="3">
        <f>IFERROR(__xludf.DUMMYFUNCTION("""COMPUTED_VALUE"""),44617.66666666667)</f>
        <v>44617.66667</v>
      </c>
      <c r="B10631" s="2">
        <f>IFERROR(__xludf.DUMMYFUNCTION("""COMPUTED_VALUE"""),122.05)</f>
        <v>122.05</v>
      </c>
      <c r="C10631" s="2">
        <f>IFERROR(__xludf.DUMMYFUNCTION("""COMPUTED_VALUE"""),124.26)</f>
        <v>124.26</v>
      </c>
      <c r="D10631" s="2">
        <f>IFERROR(__xludf.DUMMYFUNCTION("""COMPUTED_VALUE"""),121.45)</f>
        <v>121.45</v>
      </c>
      <c r="E10631" s="2">
        <f>IFERROR(__xludf.DUMMYFUNCTION("""COMPUTED_VALUE"""),124.18)</f>
        <v>124.18</v>
      </c>
      <c r="F10631" s="2">
        <f>IFERROR(__xludf.DUMMYFUNCTION("""COMPUTED_VALUE"""),4460904.0)</f>
        <v>4460904</v>
      </c>
    </row>
    <row r="10632">
      <c r="A10632" s="3">
        <f>IFERROR(__xludf.DUMMYFUNCTION("""COMPUTED_VALUE"""),44620.66666666667)</f>
        <v>44620.66667</v>
      </c>
      <c r="B10632" s="2">
        <f>IFERROR(__xludf.DUMMYFUNCTION("""COMPUTED_VALUE"""),122.21)</f>
        <v>122.21</v>
      </c>
      <c r="C10632" s="2">
        <f>IFERROR(__xludf.DUMMYFUNCTION("""COMPUTED_VALUE"""),123.39)</f>
        <v>123.39</v>
      </c>
      <c r="D10632" s="2">
        <f>IFERROR(__xludf.DUMMYFUNCTION("""COMPUTED_VALUE"""),121.04)</f>
        <v>121.04</v>
      </c>
      <c r="E10632" s="2">
        <f>IFERROR(__xludf.DUMMYFUNCTION("""COMPUTED_VALUE"""),122.51)</f>
        <v>122.51</v>
      </c>
      <c r="F10632" s="2">
        <f>IFERROR(__xludf.DUMMYFUNCTION("""COMPUTED_VALUE"""),6757332.0)</f>
        <v>6757332</v>
      </c>
    </row>
    <row r="10633">
      <c r="A10633" s="3">
        <f>IFERROR(__xludf.DUMMYFUNCTION("""COMPUTED_VALUE"""),44621.66666666667)</f>
        <v>44621.66667</v>
      </c>
      <c r="B10633" s="2">
        <f>IFERROR(__xludf.DUMMYFUNCTION("""COMPUTED_VALUE"""),122.67)</f>
        <v>122.67</v>
      </c>
      <c r="C10633" s="2">
        <f>IFERROR(__xludf.DUMMYFUNCTION("""COMPUTED_VALUE"""),123.39)</f>
        <v>123.39</v>
      </c>
      <c r="D10633" s="2">
        <f>IFERROR(__xludf.DUMMYFUNCTION("""COMPUTED_VALUE"""),120.7)</f>
        <v>120.7</v>
      </c>
      <c r="E10633" s="2">
        <f>IFERROR(__xludf.DUMMYFUNCTION("""COMPUTED_VALUE"""),121.35)</f>
        <v>121.35</v>
      </c>
      <c r="F10633" s="2">
        <f>IFERROR(__xludf.DUMMYFUNCTION("""COMPUTED_VALUE"""),4873331.0)</f>
        <v>4873331</v>
      </c>
    </row>
    <row r="10634">
      <c r="A10634" s="3">
        <f>IFERROR(__xludf.DUMMYFUNCTION("""COMPUTED_VALUE"""),44622.66666666667)</f>
        <v>44622.66667</v>
      </c>
      <c r="B10634" s="2">
        <f>IFERROR(__xludf.DUMMYFUNCTION("""COMPUTED_VALUE"""),122.59)</f>
        <v>122.59</v>
      </c>
      <c r="C10634" s="2">
        <f>IFERROR(__xludf.DUMMYFUNCTION("""COMPUTED_VALUE"""),124.64)</f>
        <v>124.64</v>
      </c>
      <c r="D10634" s="2">
        <f>IFERROR(__xludf.DUMMYFUNCTION("""COMPUTED_VALUE"""),121.8)</f>
        <v>121.8</v>
      </c>
      <c r="E10634" s="2">
        <f>IFERROR(__xludf.DUMMYFUNCTION("""COMPUTED_VALUE"""),123.86)</f>
        <v>123.86</v>
      </c>
      <c r="F10634" s="2">
        <f>IFERROR(__xludf.DUMMYFUNCTION("""COMPUTED_VALUE"""),4891435.0)</f>
        <v>4891435</v>
      </c>
    </row>
    <row r="10635">
      <c r="A10635" s="3">
        <f>IFERROR(__xludf.DUMMYFUNCTION("""COMPUTED_VALUE"""),44623.66666666667)</f>
        <v>44623.66667</v>
      </c>
      <c r="B10635" s="2">
        <f>IFERROR(__xludf.DUMMYFUNCTION("""COMPUTED_VALUE"""),124.96)</f>
        <v>124.96</v>
      </c>
      <c r="C10635" s="2">
        <f>IFERROR(__xludf.DUMMYFUNCTION("""COMPUTED_VALUE"""),126.67)</f>
        <v>126.67</v>
      </c>
      <c r="D10635" s="2">
        <f>IFERROR(__xludf.DUMMYFUNCTION("""COMPUTED_VALUE"""),124.24)</f>
        <v>124.24</v>
      </c>
      <c r="E10635" s="2">
        <f>IFERROR(__xludf.DUMMYFUNCTION("""COMPUTED_VALUE"""),125.93)</f>
        <v>125.93</v>
      </c>
      <c r="F10635" s="2">
        <f>IFERROR(__xludf.DUMMYFUNCTION("""COMPUTED_VALUE"""),5206649.0)</f>
        <v>5206649</v>
      </c>
    </row>
    <row r="10636">
      <c r="A10636" s="3">
        <f>IFERROR(__xludf.DUMMYFUNCTION("""COMPUTED_VALUE"""),44624.66666666667)</f>
        <v>44624.66667</v>
      </c>
      <c r="B10636" s="2">
        <f>IFERROR(__xludf.DUMMYFUNCTION("""COMPUTED_VALUE"""),124.4)</f>
        <v>124.4</v>
      </c>
      <c r="C10636" s="2">
        <f>IFERROR(__xludf.DUMMYFUNCTION("""COMPUTED_VALUE"""),127.35)</f>
        <v>127.35</v>
      </c>
      <c r="D10636" s="2">
        <f>IFERROR(__xludf.DUMMYFUNCTION("""COMPUTED_VALUE"""),124.21)</f>
        <v>124.21</v>
      </c>
      <c r="E10636" s="2">
        <f>IFERROR(__xludf.DUMMYFUNCTION("""COMPUTED_VALUE"""),126.62)</f>
        <v>126.62</v>
      </c>
      <c r="F10636" s="2">
        <f>IFERROR(__xludf.DUMMYFUNCTION("""COMPUTED_VALUE"""),4402911.0)</f>
        <v>4402911</v>
      </c>
    </row>
    <row r="10637">
      <c r="A10637" s="3">
        <f>IFERROR(__xludf.DUMMYFUNCTION("""COMPUTED_VALUE"""),44627.66666666667)</f>
        <v>44627.66667</v>
      </c>
      <c r="B10637" s="2">
        <f>IFERROR(__xludf.DUMMYFUNCTION("""COMPUTED_VALUE"""),126.47)</f>
        <v>126.47</v>
      </c>
      <c r="C10637" s="2">
        <f>IFERROR(__xludf.DUMMYFUNCTION("""COMPUTED_VALUE"""),127.91)</f>
        <v>127.91</v>
      </c>
      <c r="D10637" s="2">
        <f>IFERROR(__xludf.DUMMYFUNCTION("""COMPUTED_VALUE"""),125.62)</f>
        <v>125.62</v>
      </c>
      <c r="E10637" s="2">
        <f>IFERROR(__xludf.DUMMYFUNCTION("""COMPUTED_VALUE"""),126.07)</f>
        <v>126.07</v>
      </c>
      <c r="F10637" s="2">
        <f>IFERROR(__xludf.DUMMYFUNCTION("""COMPUTED_VALUE"""),5047358.0)</f>
        <v>5047358</v>
      </c>
    </row>
    <row r="10638">
      <c r="A10638" s="3">
        <f>IFERROR(__xludf.DUMMYFUNCTION("""COMPUTED_VALUE"""),44628.66666666667)</f>
        <v>44628.66667</v>
      </c>
      <c r="B10638" s="2">
        <f>IFERROR(__xludf.DUMMYFUNCTION("""COMPUTED_VALUE"""),126.62)</f>
        <v>126.62</v>
      </c>
      <c r="C10638" s="2">
        <f>IFERROR(__xludf.DUMMYFUNCTION("""COMPUTED_VALUE"""),128.35)</f>
        <v>128.35</v>
      </c>
      <c r="D10638" s="2">
        <f>IFERROR(__xludf.DUMMYFUNCTION("""COMPUTED_VALUE"""),124.82)</f>
        <v>124.82</v>
      </c>
      <c r="E10638" s="2">
        <f>IFERROR(__xludf.DUMMYFUNCTION("""COMPUTED_VALUE"""),125.68)</f>
        <v>125.68</v>
      </c>
      <c r="F10638" s="2">
        <f>IFERROR(__xludf.DUMMYFUNCTION("""COMPUTED_VALUE"""),4887565.0)</f>
        <v>4887565</v>
      </c>
    </row>
    <row r="10639">
      <c r="A10639" s="3">
        <f>IFERROR(__xludf.DUMMYFUNCTION("""COMPUTED_VALUE"""),44629.66666666667)</f>
        <v>44629.66667</v>
      </c>
      <c r="B10639" s="2">
        <f>IFERROR(__xludf.DUMMYFUNCTION("""COMPUTED_VALUE"""),127.41)</f>
        <v>127.41</v>
      </c>
      <c r="C10639" s="2">
        <f>IFERROR(__xludf.DUMMYFUNCTION("""COMPUTED_VALUE"""),128.1)</f>
        <v>128.1</v>
      </c>
      <c r="D10639" s="2">
        <f>IFERROR(__xludf.DUMMYFUNCTION("""COMPUTED_VALUE"""),125.91)</f>
        <v>125.91</v>
      </c>
      <c r="E10639" s="2">
        <f>IFERROR(__xludf.DUMMYFUNCTION("""COMPUTED_VALUE"""),126.22)</f>
        <v>126.22</v>
      </c>
      <c r="F10639" s="2">
        <f>IFERROR(__xludf.DUMMYFUNCTION("""COMPUTED_VALUE"""),4403499.0)</f>
        <v>4403499</v>
      </c>
    </row>
    <row r="10640">
      <c r="A10640" s="3">
        <f>IFERROR(__xludf.DUMMYFUNCTION("""COMPUTED_VALUE"""),44630.66666666667)</f>
        <v>44630.66667</v>
      </c>
      <c r="B10640" s="2">
        <f>IFERROR(__xludf.DUMMYFUNCTION("""COMPUTED_VALUE"""),125.75)</f>
        <v>125.75</v>
      </c>
      <c r="C10640" s="2">
        <f>IFERROR(__xludf.DUMMYFUNCTION("""COMPUTED_VALUE"""),126.03)</f>
        <v>126.03</v>
      </c>
      <c r="D10640" s="2">
        <f>IFERROR(__xludf.DUMMYFUNCTION("""COMPUTED_VALUE"""),123.13)</f>
        <v>123.13</v>
      </c>
      <c r="E10640" s="2">
        <f>IFERROR(__xludf.DUMMYFUNCTION("""COMPUTED_VALUE"""),124.35)</f>
        <v>124.35</v>
      </c>
      <c r="F10640" s="2">
        <f>IFERROR(__xludf.DUMMYFUNCTION("""COMPUTED_VALUE"""),5326835.0)</f>
        <v>5326835</v>
      </c>
    </row>
    <row r="10641">
      <c r="A10641" s="3">
        <f>IFERROR(__xludf.DUMMYFUNCTION("""COMPUTED_VALUE"""),44631.66666666667)</f>
        <v>44631.66667</v>
      </c>
      <c r="B10641" s="2">
        <f>IFERROR(__xludf.DUMMYFUNCTION("""COMPUTED_VALUE"""),125.0)</f>
        <v>125</v>
      </c>
      <c r="C10641" s="2">
        <f>IFERROR(__xludf.DUMMYFUNCTION("""COMPUTED_VALUE"""),126.77)</f>
        <v>126.77</v>
      </c>
      <c r="D10641" s="2">
        <f>IFERROR(__xludf.DUMMYFUNCTION("""COMPUTED_VALUE"""),123.91)</f>
        <v>123.91</v>
      </c>
      <c r="E10641" s="2">
        <f>IFERROR(__xludf.DUMMYFUNCTION("""COMPUTED_VALUE"""),123.96)</f>
        <v>123.96</v>
      </c>
      <c r="F10641" s="2">
        <f>IFERROR(__xludf.DUMMYFUNCTION("""COMPUTED_VALUE"""),4119630.0)</f>
        <v>4119630</v>
      </c>
    </row>
    <row r="10642">
      <c r="A10642" s="3">
        <f>IFERROR(__xludf.DUMMYFUNCTION("""COMPUTED_VALUE"""),44634.66666666667)</f>
        <v>44634.66667</v>
      </c>
      <c r="B10642" s="2">
        <f>IFERROR(__xludf.DUMMYFUNCTION("""COMPUTED_VALUE"""),124.45)</f>
        <v>124.45</v>
      </c>
      <c r="C10642" s="2">
        <f>IFERROR(__xludf.DUMMYFUNCTION("""COMPUTED_VALUE"""),125.16)</f>
        <v>125.16</v>
      </c>
      <c r="D10642" s="2">
        <f>IFERROR(__xludf.DUMMYFUNCTION("""COMPUTED_VALUE"""),122.69)</f>
        <v>122.69</v>
      </c>
      <c r="E10642" s="2">
        <f>IFERROR(__xludf.DUMMYFUNCTION("""COMPUTED_VALUE"""),123.94)</f>
        <v>123.94</v>
      </c>
      <c r="F10642" s="2">
        <f>IFERROR(__xludf.DUMMYFUNCTION("""COMPUTED_VALUE"""),3289440.0)</f>
        <v>3289440</v>
      </c>
    </row>
    <row r="10643">
      <c r="A10643" s="3">
        <f>IFERROR(__xludf.DUMMYFUNCTION("""COMPUTED_VALUE"""),44635.66666666667)</f>
        <v>44635.66667</v>
      </c>
      <c r="B10643" s="2">
        <f>IFERROR(__xludf.DUMMYFUNCTION("""COMPUTED_VALUE"""),124.0)</f>
        <v>124</v>
      </c>
      <c r="C10643" s="2">
        <f>IFERROR(__xludf.DUMMYFUNCTION("""COMPUTED_VALUE"""),125.94)</f>
        <v>125.94</v>
      </c>
      <c r="D10643" s="2">
        <f>IFERROR(__xludf.DUMMYFUNCTION("""COMPUTED_VALUE"""),123.22)</f>
        <v>123.22</v>
      </c>
      <c r="E10643" s="2">
        <f>IFERROR(__xludf.DUMMYFUNCTION("""COMPUTED_VALUE"""),125.64)</f>
        <v>125.64</v>
      </c>
      <c r="F10643" s="2">
        <f>IFERROR(__xludf.DUMMYFUNCTION("""COMPUTED_VALUE"""),4021228.0)</f>
        <v>4021228</v>
      </c>
    </row>
    <row r="10644">
      <c r="A10644" s="3">
        <f>IFERROR(__xludf.DUMMYFUNCTION("""COMPUTED_VALUE"""),44636.66666666667)</f>
        <v>44636.66667</v>
      </c>
      <c r="B10644" s="2">
        <f>IFERROR(__xludf.DUMMYFUNCTION("""COMPUTED_VALUE"""),126.5)</f>
        <v>126.5</v>
      </c>
      <c r="C10644" s="2">
        <f>IFERROR(__xludf.DUMMYFUNCTION("""COMPUTED_VALUE"""),127.28)</f>
        <v>127.28</v>
      </c>
      <c r="D10644" s="2">
        <f>IFERROR(__xludf.DUMMYFUNCTION("""COMPUTED_VALUE"""),124.71)</f>
        <v>124.71</v>
      </c>
      <c r="E10644" s="2">
        <f>IFERROR(__xludf.DUMMYFUNCTION("""COMPUTED_VALUE"""),127.04)</f>
        <v>127.04</v>
      </c>
      <c r="F10644" s="2">
        <f>IFERROR(__xludf.DUMMYFUNCTION("""COMPUTED_VALUE"""),4292845.0)</f>
        <v>4292845</v>
      </c>
    </row>
    <row r="10645">
      <c r="A10645" s="3">
        <f>IFERROR(__xludf.DUMMYFUNCTION("""COMPUTED_VALUE"""),44637.66666666667)</f>
        <v>44637.66667</v>
      </c>
      <c r="B10645" s="2">
        <f>IFERROR(__xludf.DUMMYFUNCTION("""COMPUTED_VALUE"""),127.1)</f>
        <v>127.1</v>
      </c>
      <c r="C10645" s="2">
        <f>IFERROR(__xludf.DUMMYFUNCTION("""COMPUTED_VALUE"""),128.29)</f>
        <v>128.29</v>
      </c>
      <c r="D10645" s="2">
        <f>IFERROR(__xludf.DUMMYFUNCTION("""COMPUTED_VALUE"""),126.53)</f>
        <v>126.53</v>
      </c>
      <c r="E10645" s="2">
        <f>IFERROR(__xludf.DUMMYFUNCTION("""COMPUTED_VALUE"""),127.96)</f>
        <v>127.96</v>
      </c>
      <c r="F10645" s="2">
        <f>IFERROR(__xludf.DUMMYFUNCTION("""COMPUTED_VALUE"""),3671903.0)</f>
        <v>3671903</v>
      </c>
    </row>
    <row r="10646">
      <c r="A10646" s="3">
        <f>IFERROR(__xludf.DUMMYFUNCTION("""COMPUTED_VALUE"""),44638.66666666667)</f>
        <v>44638.66667</v>
      </c>
      <c r="B10646" s="2">
        <f>IFERROR(__xludf.DUMMYFUNCTION("""COMPUTED_VALUE"""),127.38)</f>
        <v>127.38</v>
      </c>
      <c r="C10646" s="2">
        <f>IFERROR(__xludf.DUMMYFUNCTION("""COMPUTED_VALUE"""),128.93)</f>
        <v>128.93</v>
      </c>
      <c r="D10646" s="2">
        <f>IFERROR(__xludf.DUMMYFUNCTION("""COMPUTED_VALUE"""),126.37)</f>
        <v>126.37</v>
      </c>
      <c r="E10646" s="2">
        <f>IFERROR(__xludf.DUMMYFUNCTION("""COMPUTED_VALUE"""),128.76)</f>
        <v>128.76</v>
      </c>
      <c r="F10646" s="2">
        <f>IFERROR(__xludf.DUMMYFUNCTION("""COMPUTED_VALUE"""),7466026.0)</f>
        <v>7466026</v>
      </c>
    </row>
    <row r="10647">
      <c r="A10647" s="3">
        <f>IFERROR(__xludf.DUMMYFUNCTION("""COMPUTED_VALUE"""),44641.66666666667)</f>
        <v>44641.66667</v>
      </c>
      <c r="B10647" s="2">
        <f>IFERROR(__xludf.DUMMYFUNCTION("""COMPUTED_VALUE"""),129.0)</f>
        <v>129</v>
      </c>
      <c r="C10647" s="2">
        <f>IFERROR(__xludf.DUMMYFUNCTION("""COMPUTED_VALUE"""),129.74)</f>
        <v>129.74</v>
      </c>
      <c r="D10647" s="2">
        <f>IFERROR(__xludf.DUMMYFUNCTION("""COMPUTED_VALUE"""),127.4)</f>
        <v>127.4</v>
      </c>
      <c r="E10647" s="2">
        <f>IFERROR(__xludf.DUMMYFUNCTION("""COMPUTED_VALUE"""),128.1)</f>
        <v>128.1</v>
      </c>
      <c r="F10647" s="2">
        <f>IFERROR(__xludf.DUMMYFUNCTION("""COMPUTED_VALUE"""),3384636.0)</f>
        <v>3384636</v>
      </c>
    </row>
    <row r="10648">
      <c r="A10648" s="3">
        <f>IFERROR(__xludf.DUMMYFUNCTION("""COMPUTED_VALUE"""),44642.66666666667)</f>
        <v>44642.66667</v>
      </c>
      <c r="B10648" s="2">
        <f>IFERROR(__xludf.DUMMYFUNCTION("""COMPUTED_VALUE"""),128.5)</f>
        <v>128.5</v>
      </c>
      <c r="C10648" s="2">
        <f>IFERROR(__xludf.DUMMYFUNCTION("""COMPUTED_VALUE"""),129.3)</f>
        <v>129.3</v>
      </c>
      <c r="D10648" s="2">
        <f>IFERROR(__xludf.DUMMYFUNCTION("""COMPUTED_VALUE"""),127.85)</f>
        <v>127.85</v>
      </c>
      <c r="E10648" s="2">
        <f>IFERROR(__xludf.DUMMYFUNCTION("""COMPUTED_VALUE"""),129.06)</f>
        <v>129.06</v>
      </c>
      <c r="F10648" s="2">
        <f>IFERROR(__xludf.DUMMYFUNCTION("""COMPUTED_VALUE"""),2690193.0)</f>
        <v>2690193</v>
      </c>
    </row>
    <row r="10649">
      <c r="A10649" s="3">
        <f>IFERROR(__xludf.DUMMYFUNCTION("""COMPUTED_VALUE"""),44643.66666666667)</f>
        <v>44643.66667</v>
      </c>
      <c r="B10649" s="2">
        <f>IFERROR(__xludf.DUMMYFUNCTION("""COMPUTED_VALUE"""),129.08)</f>
        <v>129.08</v>
      </c>
      <c r="C10649" s="2">
        <f>IFERROR(__xludf.DUMMYFUNCTION("""COMPUTED_VALUE"""),129.32)</f>
        <v>129.32</v>
      </c>
      <c r="D10649" s="2">
        <f>IFERROR(__xludf.DUMMYFUNCTION("""COMPUTED_VALUE"""),128.25)</f>
        <v>128.25</v>
      </c>
      <c r="E10649" s="2">
        <f>IFERROR(__xludf.DUMMYFUNCTION("""COMPUTED_VALUE"""),128.3)</f>
        <v>128.3</v>
      </c>
      <c r="F10649" s="2">
        <f>IFERROR(__xludf.DUMMYFUNCTION("""COMPUTED_VALUE"""),2924535.0)</f>
        <v>2924535</v>
      </c>
    </row>
    <row r="10650">
      <c r="A10650" s="3">
        <f>IFERROR(__xludf.DUMMYFUNCTION("""COMPUTED_VALUE"""),44644.66666666667)</f>
        <v>44644.66667</v>
      </c>
      <c r="B10650" s="2">
        <f>IFERROR(__xludf.DUMMYFUNCTION("""COMPUTED_VALUE"""),128.33)</f>
        <v>128.33</v>
      </c>
      <c r="C10650" s="2">
        <f>IFERROR(__xludf.DUMMYFUNCTION("""COMPUTED_VALUE"""),129.37)</f>
        <v>129.37</v>
      </c>
      <c r="D10650" s="2">
        <f>IFERROR(__xludf.DUMMYFUNCTION("""COMPUTED_VALUE"""),127.8)</f>
        <v>127.8</v>
      </c>
      <c r="E10650" s="2">
        <f>IFERROR(__xludf.DUMMYFUNCTION("""COMPUTED_VALUE"""),129.25)</f>
        <v>129.25</v>
      </c>
      <c r="F10650" s="2">
        <f>IFERROR(__xludf.DUMMYFUNCTION("""COMPUTED_VALUE"""),2971075.0)</f>
        <v>2971075</v>
      </c>
    </row>
    <row r="10651">
      <c r="A10651" s="3">
        <f>IFERROR(__xludf.DUMMYFUNCTION("""COMPUTED_VALUE"""),44645.66666666667)</f>
        <v>44645.66667</v>
      </c>
      <c r="B10651" s="2">
        <f>IFERROR(__xludf.DUMMYFUNCTION("""COMPUTED_VALUE"""),129.5)</f>
        <v>129.5</v>
      </c>
      <c r="C10651" s="2">
        <f>IFERROR(__xludf.DUMMYFUNCTION("""COMPUTED_VALUE"""),131.4)</f>
        <v>131.4</v>
      </c>
      <c r="D10651" s="2">
        <f>IFERROR(__xludf.DUMMYFUNCTION("""COMPUTED_VALUE"""),129.31)</f>
        <v>129.31</v>
      </c>
      <c r="E10651" s="2">
        <f>IFERROR(__xludf.DUMMYFUNCTION("""COMPUTED_VALUE"""),131.35)</f>
        <v>131.35</v>
      </c>
      <c r="F10651" s="2">
        <f>IFERROR(__xludf.DUMMYFUNCTION("""COMPUTED_VALUE"""),3531746.0)</f>
        <v>3531746</v>
      </c>
    </row>
    <row r="10652">
      <c r="A10652" s="3">
        <f>IFERROR(__xludf.DUMMYFUNCTION("""COMPUTED_VALUE"""),44648.66666666667)</f>
        <v>44648.66667</v>
      </c>
      <c r="B10652" s="2">
        <f>IFERROR(__xludf.DUMMYFUNCTION("""COMPUTED_VALUE"""),130.82)</f>
        <v>130.82</v>
      </c>
      <c r="C10652" s="2">
        <f>IFERROR(__xludf.DUMMYFUNCTION("""COMPUTED_VALUE"""),131.5)</f>
        <v>131.5</v>
      </c>
      <c r="D10652" s="2">
        <f>IFERROR(__xludf.DUMMYFUNCTION("""COMPUTED_VALUE"""),129.6)</f>
        <v>129.6</v>
      </c>
      <c r="E10652" s="2">
        <f>IFERROR(__xludf.DUMMYFUNCTION("""COMPUTED_VALUE"""),131.47)</f>
        <v>131.47</v>
      </c>
      <c r="F10652" s="2">
        <f>IFERROR(__xludf.DUMMYFUNCTION("""COMPUTED_VALUE"""),2483492.0)</f>
        <v>2483492</v>
      </c>
    </row>
    <row r="10653">
      <c r="A10653" s="3">
        <f>IFERROR(__xludf.DUMMYFUNCTION("""COMPUTED_VALUE"""),44649.66666666667)</f>
        <v>44649.66667</v>
      </c>
      <c r="B10653" s="2">
        <f>IFERROR(__xludf.DUMMYFUNCTION("""COMPUTED_VALUE"""),132.04)</f>
        <v>132.04</v>
      </c>
      <c r="C10653" s="2">
        <f>IFERROR(__xludf.DUMMYFUNCTION("""COMPUTED_VALUE"""),132.84)</f>
        <v>132.84</v>
      </c>
      <c r="D10653" s="2">
        <f>IFERROR(__xludf.DUMMYFUNCTION("""COMPUTED_VALUE"""),130.43)</f>
        <v>130.43</v>
      </c>
      <c r="E10653" s="2">
        <f>IFERROR(__xludf.DUMMYFUNCTION("""COMPUTED_VALUE"""),131.94)</f>
        <v>131.94</v>
      </c>
      <c r="F10653" s="2">
        <f>IFERROR(__xludf.DUMMYFUNCTION("""COMPUTED_VALUE"""),5791032.0)</f>
        <v>5791032</v>
      </c>
    </row>
    <row r="10654">
      <c r="A10654" s="3">
        <f>IFERROR(__xludf.DUMMYFUNCTION("""COMPUTED_VALUE"""),44650.66666666667)</f>
        <v>44650.66667</v>
      </c>
      <c r="B10654" s="2">
        <f>IFERROR(__xludf.DUMMYFUNCTION("""COMPUTED_VALUE"""),132.01)</f>
        <v>132.01</v>
      </c>
      <c r="C10654" s="2">
        <f>IFERROR(__xludf.DUMMYFUNCTION("""COMPUTED_VALUE"""),133.08)</f>
        <v>133.08</v>
      </c>
      <c r="D10654" s="2">
        <f>IFERROR(__xludf.DUMMYFUNCTION("""COMPUTED_VALUE"""),131.39)</f>
        <v>131.39</v>
      </c>
      <c r="E10654" s="2">
        <f>IFERROR(__xludf.DUMMYFUNCTION("""COMPUTED_VALUE"""),132.13)</f>
        <v>132.13</v>
      </c>
      <c r="F10654" s="2">
        <f>IFERROR(__xludf.DUMMYFUNCTION("""COMPUTED_VALUE"""),2622860.0)</f>
        <v>2622860</v>
      </c>
    </row>
    <row r="10655">
      <c r="A10655" s="3">
        <f>IFERROR(__xludf.DUMMYFUNCTION("""COMPUTED_VALUE"""),44651.66666666667)</f>
        <v>44651.66667</v>
      </c>
      <c r="B10655" s="2">
        <f>IFERROR(__xludf.DUMMYFUNCTION("""COMPUTED_VALUE"""),130.72)</f>
        <v>130.72</v>
      </c>
      <c r="C10655" s="2">
        <f>IFERROR(__xludf.DUMMYFUNCTION("""COMPUTED_VALUE"""),131.88)</f>
        <v>131.88</v>
      </c>
      <c r="D10655" s="2">
        <f>IFERROR(__xludf.DUMMYFUNCTION("""COMPUTED_VALUE"""),130.0)</f>
        <v>130</v>
      </c>
      <c r="E10655" s="2">
        <f>IFERROR(__xludf.DUMMYFUNCTION("""COMPUTED_VALUE"""),130.02)</f>
        <v>130.02</v>
      </c>
      <c r="F10655" s="2">
        <f>IFERROR(__xludf.DUMMYFUNCTION("""COMPUTED_VALUE"""),4274029.0)</f>
        <v>4274029</v>
      </c>
    </row>
    <row r="10656">
      <c r="A10656" s="3">
        <f>IFERROR(__xludf.DUMMYFUNCTION("""COMPUTED_VALUE"""),44652.66666666667)</f>
        <v>44652.66667</v>
      </c>
      <c r="B10656" s="2">
        <f>IFERROR(__xludf.DUMMYFUNCTION("""COMPUTED_VALUE"""),129.66)</f>
        <v>129.66</v>
      </c>
      <c r="C10656" s="2">
        <f>IFERROR(__xludf.DUMMYFUNCTION("""COMPUTED_VALUE"""),130.27)</f>
        <v>130.27</v>
      </c>
      <c r="D10656" s="2">
        <f>IFERROR(__xludf.DUMMYFUNCTION("""COMPUTED_VALUE"""),128.06)</f>
        <v>128.06</v>
      </c>
      <c r="E10656" s="2">
        <f>IFERROR(__xludf.DUMMYFUNCTION("""COMPUTED_VALUE"""),130.15)</f>
        <v>130.15</v>
      </c>
      <c r="F10656" s="2">
        <f>IFERROR(__xludf.DUMMYFUNCTION("""COMPUTED_VALUE"""),4012373.0)</f>
        <v>4012373</v>
      </c>
    </row>
    <row r="10657">
      <c r="A10657" s="3">
        <f>IFERROR(__xludf.DUMMYFUNCTION("""COMPUTED_VALUE"""),44655.66666666667)</f>
        <v>44655.66667</v>
      </c>
      <c r="B10657" s="2">
        <f>IFERROR(__xludf.DUMMYFUNCTION("""COMPUTED_VALUE"""),130.26)</f>
        <v>130.26</v>
      </c>
      <c r="C10657" s="2">
        <f>IFERROR(__xludf.DUMMYFUNCTION("""COMPUTED_VALUE"""),130.45)</f>
        <v>130.45</v>
      </c>
      <c r="D10657" s="2">
        <f>IFERROR(__xludf.DUMMYFUNCTION("""COMPUTED_VALUE"""),128.93)</f>
        <v>128.93</v>
      </c>
      <c r="E10657" s="2">
        <f>IFERROR(__xludf.DUMMYFUNCTION("""COMPUTED_VALUE"""),130.27)</f>
        <v>130.27</v>
      </c>
      <c r="F10657" s="2">
        <f>IFERROR(__xludf.DUMMYFUNCTION("""COMPUTED_VALUE"""),2811100.0)</f>
        <v>2811100</v>
      </c>
    </row>
    <row r="10658">
      <c r="A10658" s="3">
        <f>IFERROR(__xludf.DUMMYFUNCTION("""COMPUTED_VALUE"""),44656.66666666667)</f>
        <v>44656.66667</v>
      </c>
      <c r="B10658" s="2">
        <f>IFERROR(__xludf.DUMMYFUNCTION("""COMPUTED_VALUE"""),129.85)</f>
        <v>129.85</v>
      </c>
      <c r="C10658" s="2">
        <f>IFERROR(__xludf.DUMMYFUNCTION("""COMPUTED_VALUE"""),131.23)</f>
        <v>131.23</v>
      </c>
      <c r="D10658" s="2">
        <f>IFERROR(__xludf.DUMMYFUNCTION("""COMPUTED_VALUE"""),128.66)</f>
        <v>128.66</v>
      </c>
      <c r="E10658" s="2">
        <f>IFERROR(__xludf.DUMMYFUNCTION("""COMPUTED_VALUE"""),128.89)</f>
        <v>128.89</v>
      </c>
      <c r="F10658" s="2">
        <f>IFERROR(__xludf.DUMMYFUNCTION("""COMPUTED_VALUE"""),3107181.0)</f>
        <v>3107181</v>
      </c>
    </row>
    <row r="10659">
      <c r="A10659" s="3">
        <f>IFERROR(__xludf.DUMMYFUNCTION("""COMPUTED_VALUE"""),44657.66666666667)</f>
        <v>44657.66667</v>
      </c>
      <c r="B10659" s="2">
        <f>IFERROR(__xludf.DUMMYFUNCTION("""COMPUTED_VALUE"""),127.78)</f>
        <v>127.78</v>
      </c>
      <c r="C10659" s="2">
        <f>IFERROR(__xludf.DUMMYFUNCTION("""COMPUTED_VALUE"""),129.51)</f>
        <v>129.51</v>
      </c>
      <c r="D10659" s="2">
        <f>IFERROR(__xludf.DUMMYFUNCTION("""COMPUTED_VALUE"""),127.25)</f>
        <v>127.25</v>
      </c>
      <c r="E10659" s="2">
        <f>IFERROR(__xludf.DUMMYFUNCTION("""COMPUTED_VALUE"""),129.39)</f>
        <v>129.39</v>
      </c>
      <c r="F10659" s="2">
        <f>IFERROR(__xludf.DUMMYFUNCTION("""COMPUTED_VALUE"""),3958057.0)</f>
        <v>3958057</v>
      </c>
    </row>
    <row r="10660">
      <c r="A10660" s="3">
        <f>IFERROR(__xludf.DUMMYFUNCTION("""COMPUTED_VALUE"""),44658.66666666667)</f>
        <v>44658.66667</v>
      </c>
      <c r="B10660" s="2">
        <f>IFERROR(__xludf.DUMMYFUNCTION("""COMPUTED_VALUE"""),128.87)</f>
        <v>128.87</v>
      </c>
      <c r="C10660" s="2">
        <f>IFERROR(__xludf.DUMMYFUNCTION("""COMPUTED_VALUE"""),129.25)</f>
        <v>129.25</v>
      </c>
      <c r="D10660" s="2">
        <f>IFERROR(__xludf.DUMMYFUNCTION("""COMPUTED_VALUE"""),126.73)</f>
        <v>126.73</v>
      </c>
      <c r="E10660" s="2">
        <f>IFERROR(__xludf.DUMMYFUNCTION("""COMPUTED_VALUE"""),128.55)</f>
        <v>128.55</v>
      </c>
      <c r="F10660" s="2">
        <f>IFERROR(__xludf.DUMMYFUNCTION("""COMPUTED_VALUE"""),3538317.0)</f>
        <v>3538317</v>
      </c>
    </row>
    <row r="10661">
      <c r="A10661" s="3">
        <f>IFERROR(__xludf.DUMMYFUNCTION("""COMPUTED_VALUE"""),44659.66666666667)</f>
        <v>44659.66667</v>
      </c>
      <c r="B10661" s="2">
        <f>IFERROR(__xludf.DUMMYFUNCTION("""COMPUTED_VALUE"""),128.01)</f>
        <v>128.01</v>
      </c>
      <c r="C10661" s="2">
        <f>IFERROR(__xludf.DUMMYFUNCTION("""COMPUTED_VALUE"""),128.78)</f>
        <v>128.78</v>
      </c>
      <c r="D10661" s="2">
        <f>IFERROR(__xludf.DUMMYFUNCTION("""COMPUTED_VALUE"""),127.27)</f>
        <v>127.27</v>
      </c>
      <c r="E10661" s="2">
        <f>IFERROR(__xludf.DUMMYFUNCTION("""COMPUTED_VALUE"""),127.73)</f>
        <v>127.73</v>
      </c>
      <c r="F10661" s="2">
        <f>IFERROR(__xludf.DUMMYFUNCTION("""COMPUTED_VALUE"""),3143309.0)</f>
        <v>3143309</v>
      </c>
    </row>
    <row r="10662">
      <c r="A10662" s="3">
        <f>IFERROR(__xludf.DUMMYFUNCTION("""COMPUTED_VALUE"""),44662.66666666667)</f>
        <v>44662.66667</v>
      </c>
      <c r="B10662" s="2">
        <f>IFERROR(__xludf.DUMMYFUNCTION("""COMPUTED_VALUE"""),127.95)</f>
        <v>127.95</v>
      </c>
      <c r="C10662" s="2">
        <f>IFERROR(__xludf.DUMMYFUNCTION("""COMPUTED_VALUE"""),128.18)</f>
        <v>128.18</v>
      </c>
      <c r="D10662" s="2">
        <f>IFERROR(__xludf.DUMMYFUNCTION("""COMPUTED_VALUE"""),126.18)</f>
        <v>126.18</v>
      </c>
      <c r="E10662" s="2">
        <f>IFERROR(__xludf.DUMMYFUNCTION("""COMPUTED_VALUE"""),126.37)</f>
        <v>126.37</v>
      </c>
      <c r="F10662" s="2">
        <f>IFERROR(__xludf.DUMMYFUNCTION("""COMPUTED_VALUE"""),3202545.0)</f>
        <v>3202545</v>
      </c>
    </row>
    <row r="10663">
      <c r="A10663" s="3">
        <f>IFERROR(__xludf.DUMMYFUNCTION("""COMPUTED_VALUE"""),44663.66666666667)</f>
        <v>44663.66667</v>
      </c>
      <c r="B10663" s="2">
        <f>IFERROR(__xludf.DUMMYFUNCTION("""COMPUTED_VALUE"""),126.42)</f>
        <v>126.42</v>
      </c>
      <c r="C10663" s="2">
        <f>IFERROR(__xludf.DUMMYFUNCTION("""COMPUTED_VALUE"""),127.34)</f>
        <v>127.34</v>
      </c>
      <c r="D10663" s="2">
        <f>IFERROR(__xludf.DUMMYFUNCTION("""COMPUTED_VALUE"""),125.58)</f>
        <v>125.58</v>
      </c>
      <c r="E10663" s="2">
        <f>IFERROR(__xludf.DUMMYFUNCTION("""COMPUTED_VALUE"""),125.98)</f>
        <v>125.98</v>
      </c>
      <c r="F10663" s="2">
        <f>IFERROR(__xludf.DUMMYFUNCTION("""COMPUTED_VALUE"""),2690998.0)</f>
        <v>2690998</v>
      </c>
    </row>
    <row r="10664">
      <c r="A10664" s="3">
        <f>IFERROR(__xludf.DUMMYFUNCTION("""COMPUTED_VALUE"""),44664.66666666667)</f>
        <v>44664.66667</v>
      </c>
      <c r="B10664" s="2">
        <f>IFERROR(__xludf.DUMMYFUNCTION("""COMPUTED_VALUE"""),125.64)</f>
        <v>125.64</v>
      </c>
      <c r="C10664" s="2">
        <f>IFERROR(__xludf.DUMMYFUNCTION("""COMPUTED_VALUE"""),126.67)</f>
        <v>126.67</v>
      </c>
      <c r="D10664" s="2">
        <f>IFERROR(__xludf.DUMMYFUNCTION("""COMPUTED_VALUE"""),124.91)</f>
        <v>124.91</v>
      </c>
      <c r="E10664" s="2">
        <f>IFERROR(__xludf.DUMMYFUNCTION("""COMPUTED_VALUE"""),126.14)</f>
        <v>126.14</v>
      </c>
      <c r="F10664" s="2">
        <f>IFERROR(__xludf.DUMMYFUNCTION("""COMPUTED_VALUE"""),3064918.0)</f>
        <v>3064918</v>
      </c>
    </row>
    <row r="10665">
      <c r="A10665" s="3">
        <f>IFERROR(__xludf.DUMMYFUNCTION("""COMPUTED_VALUE"""),44665.66666666667)</f>
        <v>44665.66667</v>
      </c>
      <c r="B10665" s="2">
        <f>IFERROR(__xludf.DUMMYFUNCTION("""COMPUTED_VALUE"""),128.93)</f>
        <v>128.93</v>
      </c>
      <c r="C10665" s="2">
        <f>IFERROR(__xludf.DUMMYFUNCTION("""COMPUTED_VALUE"""),130.58)</f>
        <v>130.58</v>
      </c>
      <c r="D10665" s="2">
        <f>IFERROR(__xludf.DUMMYFUNCTION("""COMPUTED_VALUE"""),126.38)</f>
        <v>126.38</v>
      </c>
      <c r="E10665" s="2">
        <f>IFERROR(__xludf.DUMMYFUNCTION("""COMPUTED_VALUE"""),126.56)</f>
        <v>126.56</v>
      </c>
      <c r="F10665" s="2">
        <f>IFERROR(__xludf.DUMMYFUNCTION("""COMPUTED_VALUE"""),6384180.0)</f>
        <v>6384180</v>
      </c>
    </row>
    <row r="10666">
      <c r="A10666" s="3">
        <f>IFERROR(__xludf.DUMMYFUNCTION("""COMPUTED_VALUE"""),44669.66666666667)</f>
        <v>44669.66667</v>
      </c>
      <c r="B10666" s="2">
        <f>IFERROR(__xludf.DUMMYFUNCTION("""COMPUTED_VALUE"""),126.6)</f>
        <v>126.6</v>
      </c>
      <c r="C10666" s="2">
        <f>IFERROR(__xludf.DUMMYFUNCTION("""COMPUTED_VALUE"""),127.39)</f>
        <v>127.39</v>
      </c>
      <c r="D10666" s="2">
        <f>IFERROR(__xludf.DUMMYFUNCTION("""COMPUTED_VALUE"""),125.53)</f>
        <v>125.53</v>
      </c>
      <c r="E10666" s="2">
        <f>IFERROR(__xludf.DUMMYFUNCTION("""COMPUTED_VALUE"""),126.17)</f>
        <v>126.17</v>
      </c>
      <c r="F10666" s="2">
        <f>IFERROR(__xludf.DUMMYFUNCTION("""COMPUTED_VALUE"""),4884150.0)</f>
        <v>4884150</v>
      </c>
    </row>
    <row r="10667">
      <c r="A10667" s="3">
        <f>IFERROR(__xludf.DUMMYFUNCTION("""COMPUTED_VALUE"""),44670.66666666667)</f>
        <v>44670.66667</v>
      </c>
      <c r="B10667" s="2">
        <f>IFERROR(__xludf.DUMMYFUNCTION("""COMPUTED_VALUE"""),126.08)</f>
        <v>126.08</v>
      </c>
      <c r="C10667" s="2">
        <f>IFERROR(__xludf.DUMMYFUNCTION("""COMPUTED_VALUE"""),129.4)</f>
        <v>129.4</v>
      </c>
      <c r="D10667" s="2">
        <f>IFERROR(__xludf.DUMMYFUNCTION("""COMPUTED_VALUE"""),126.0)</f>
        <v>126</v>
      </c>
      <c r="E10667" s="2">
        <f>IFERROR(__xludf.DUMMYFUNCTION("""COMPUTED_VALUE"""),129.15)</f>
        <v>129.15</v>
      </c>
      <c r="F10667" s="2">
        <f>IFERROR(__xludf.DUMMYFUNCTION("""COMPUTED_VALUE"""),7971361.0)</f>
        <v>7971361</v>
      </c>
    </row>
    <row r="10668">
      <c r="A10668" s="3">
        <f>IFERROR(__xludf.DUMMYFUNCTION("""COMPUTED_VALUE"""),44671.66666666667)</f>
        <v>44671.66667</v>
      </c>
      <c r="B10668" s="2">
        <f>IFERROR(__xludf.DUMMYFUNCTION("""COMPUTED_VALUE"""),135.0)</f>
        <v>135</v>
      </c>
      <c r="C10668" s="2">
        <f>IFERROR(__xludf.DUMMYFUNCTION("""COMPUTED_VALUE"""),139.56)</f>
        <v>139.56</v>
      </c>
      <c r="D10668" s="2">
        <f>IFERROR(__xludf.DUMMYFUNCTION("""COMPUTED_VALUE"""),133.38)</f>
        <v>133.38</v>
      </c>
      <c r="E10668" s="2">
        <f>IFERROR(__xludf.DUMMYFUNCTION("""COMPUTED_VALUE"""),138.32)</f>
        <v>138.32</v>
      </c>
      <c r="F10668" s="2">
        <f>IFERROR(__xludf.DUMMYFUNCTION("""COMPUTED_VALUE"""),1.7859155E7)</f>
        <v>17859155</v>
      </c>
    </row>
    <row r="10669">
      <c r="A10669" s="3">
        <f>IFERROR(__xludf.DUMMYFUNCTION("""COMPUTED_VALUE"""),44672.66666666667)</f>
        <v>44672.66667</v>
      </c>
      <c r="B10669" s="2">
        <f>IFERROR(__xludf.DUMMYFUNCTION("""COMPUTED_VALUE"""),138.23)</f>
        <v>138.23</v>
      </c>
      <c r="C10669" s="2">
        <f>IFERROR(__xludf.DUMMYFUNCTION("""COMPUTED_VALUE"""),141.88)</f>
        <v>141.88</v>
      </c>
      <c r="D10669" s="2">
        <f>IFERROR(__xludf.DUMMYFUNCTION("""COMPUTED_VALUE"""),137.35)</f>
        <v>137.35</v>
      </c>
      <c r="E10669" s="2">
        <f>IFERROR(__xludf.DUMMYFUNCTION("""COMPUTED_VALUE"""),139.85)</f>
        <v>139.85</v>
      </c>
      <c r="F10669" s="2">
        <f>IFERROR(__xludf.DUMMYFUNCTION("""COMPUTED_VALUE"""),9922349.0)</f>
        <v>9922349</v>
      </c>
    </row>
    <row r="10670">
      <c r="A10670" s="3">
        <f>IFERROR(__xludf.DUMMYFUNCTION("""COMPUTED_VALUE"""),44673.66666666667)</f>
        <v>44673.66667</v>
      </c>
      <c r="B10670" s="2">
        <f>IFERROR(__xludf.DUMMYFUNCTION("""COMPUTED_VALUE"""),139.7)</f>
        <v>139.7</v>
      </c>
      <c r="C10670" s="2">
        <f>IFERROR(__xludf.DUMMYFUNCTION("""COMPUTED_VALUE"""),140.44)</f>
        <v>140.44</v>
      </c>
      <c r="D10670" s="2">
        <f>IFERROR(__xludf.DUMMYFUNCTION("""COMPUTED_VALUE"""),137.35)</f>
        <v>137.35</v>
      </c>
      <c r="E10670" s="2">
        <f>IFERROR(__xludf.DUMMYFUNCTION("""COMPUTED_VALUE"""),138.25)</f>
        <v>138.25</v>
      </c>
      <c r="F10670" s="2">
        <f>IFERROR(__xludf.DUMMYFUNCTION("""COMPUTED_VALUE"""),6508599.0)</f>
        <v>6508599</v>
      </c>
    </row>
    <row r="10671">
      <c r="A10671" s="3">
        <f>IFERROR(__xludf.DUMMYFUNCTION("""COMPUTED_VALUE"""),44676.66666666667)</f>
        <v>44676.66667</v>
      </c>
      <c r="B10671" s="2">
        <f>IFERROR(__xludf.DUMMYFUNCTION("""COMPUTED_VALUE"""),137.59)</f>
        <v>137.59</v>
      </c>
      <c r="C10671" s="2">
        <f>IFERROR(__xludf.DUMMYFUNCTION("""COMPUTED_VALUE"""),139.65)</f>
        <v>139.65</v>
      </c>
      <c r="D10671" s="2">
        <f>IFERROR(__xludf.DUMMYFUNCTION("""COMPUTED_VALUE"""),135.19)</f>
        <v>135.19</v>
      </c>
      <c r="E10671" s="2">
        <f>IFERROR(__xludf.DUMMYFUNCTION("""COMPUTED_VALUE"""),139.1)</f>
        <v>139.1</v>
      </c>
      <c r="F10671" s="2">
        <f>IFERROR(__xludf.DUMMYFUNCTION("""COMPUTED_VALUE"""),5748289.0)</f>
        <v>5748289</v>
      </c>
    </row>
    <row r="10672">
      <c r="A10672" s="3">
        <f>IFERROR(__xludf.DUMMYFUNCTION("""COMPUTED_VALUE"""),44677.66666666667)</f>
        <v>44677.66667</v>
      </c>
      <c r="B10672" s="2">
        <f>IFERROR(__xludf.DUMMYFUNCTION("""COMPUTED_VALUE"""),139.0)</f>
        <v>139</v>
      </c>
      <c r="C10672" s="2">
        <f>IFERROR(__xludf.DUMMYFUNCTION("""COMPUTED_VALUE"""),139.87)</f>
        <v>139.87</v>
      </c>
      <c r="D10672" s="2">
        <f>IFERROR(__xludf.DUMMYFUNCTION("""COMPUTED_VALUE"""),136.17)</f>
        <v>136.17</v>
      </c>
      <c r="E10672" s="2">
        <f>IFERROR(__xludf.DUMMYFUNCTION("""COMPUTED_VALUE"""),136.19)</f>
        <v>136.19</v>
      </c>
      <c r="F10672" s="2">
        <f>IFERROR(__xludf.DUMMYFUNCTION("""COMPUTED_VALUE"""),4956236.0)</f>
        <v>4956236</v>
      </c>
    </row>
    <row r="10673">
      <c r="A10673" s="3">
        <f>IFERROR(__xludf.DUMMYFUNCTION("""COMPUTED_VALUE"""),44678.66666666667)</f>
        <v>44678.66667</v>
      </c>
      <c r="B10673" s="2">
        <f>IFERROR(__xludf.DUMMYFUNCTION("""COMPUTED_VALUE"""),135.78)</f>
        <v>135.78</v>
      </c>
      <c r="C10673" s="2">
        <f>IFERROR(__xludf.DUMMYFUNCTION("""COMPUTED_VALUE"""),137.12)</f>
        <v>137.12</v>
      </c>
      <c r="D10673" s="2">
        <f>IFERROR(__xludf.DUMMYFUNCTION("""COMPUTED_VALUE"""),134.63)</f>
        <v>134.63</v>
      </c>
      <c r="E10673" s="2">
        <f>IFERROR(__xludf.DUMMYFUNCTION("""COMPUTED_VALUE"""),135.06)</f>
        <v>135.06</v>
      </c>
      <c r="F10673" s="2">
        <f>IFERROR(__xludf.DUMMYFUNCTION("""COMPUTED_VALUE"""),4369052.0)</f>
        <v>4369052</v>
      </c>
    </row>
    <row r="10674">
      <c r="A10674" s="3">
        <f>IFERROR(__xludf.DUMMYFUNCTION("""COMPUTED_VALUE"""),44679.66666666667)</f>
        <v>44679.66667</v>
      </c>
      <c r="B10674" s="2">
        <f>IFERROR(__xludf.DUMMYFUNCTION("""COMPUTED_VALUE"""),136.85)</f>
        <v>136.85</v>
      </c>
      <c r="C10674" s="2">
        <f>IFERROR(__xludf.DUMMYFUNCTION("""COMPUTED_VALUE"""),136.99)</f>
        <v>136.99</v>
      </c>
      <c r="D10674" s="2">
        <f>IFERROR(__xludf.DUMMYFUNCTION("""COMPUTED_VALUE"""),134.81)</f>
        <v>134.81</v>
      </c>
      <c r="E10674" s="2">
        <f>IFERROR(__xludf.DUMMYFUNCTION("""COMPUTED_VALUE"""),135.74)</f>
        <v>135.74</v>
      </c>
      <c r="F10674" s="2">
        <f>IFERROR(__xludf.DUMMYFUNCTION("""COMPUTED_VALUE"""),4477068.0)</f>
        <v>4477068</v>
      </c>
    </row>
    <row r="10675">
      <c r="A10675" s="3">
        <f>IFERROR(__xludf.DUMMYFUNCTION("""COMPUTED_VALUE"""),44680.66666666667)</f>
        <v>44680.66667</v>
      </c>
      <c r="B10675" s="2">
        <f>IFERROR(__xludf.DUMMYFUNCTION("""COMPUTED_VALUE"""),135.13)</f>
        <v>135.13</v>
      </c>
      <c r="C10675" s="2">
        <f>IFERROR(__xludf.DUMMYFUNCTION("""COMPUTED_VALUE"""),135.55)</f>
        <v>135.55</v>
      </c>
      <c r="D10675" s="2">
        <f>IFERROR(__xludf.DUMMYFUNCTION("""COMPUTED_VALUE"""),132.0)</f>
        <v>132</v>
      </c>
      <c r="E10675" s="2">
        <f>IFERROR(__xludf.DUMMYFUNCTION("""COMPUTED_VALUE"""),132.21)</f>
        <v>132.21</v>
      </c>
      <c r="F10675" s="2">
        <f>IFERROR(__xludf.DUMMYFUNCTION("""COMPUTED_VALUE"""),5078660.0)</f>
        <v>5078660</v>
      </c>
    </row>
    <row r="10676">
      <c r="A10676" s="3">
        <f>IFERROR(__xludf.DUMMYFUNCTION("""COMPUTED_VALUE"""),44683.66666666667)</f>
        <v>44683.66667</v>
      </c>
      <c r="B10676" s="2">
        <f>IFERROR(__xludf.DUMMYFUNCTION("""COMPUTED_VALUE"""),133.0)</f>
        <v>133</v>
      </c>
      <c r="C10676" s="2">
        <f>IFERROR(__xludf.DUMMYFUNCTION("""COMPUTED_VALUE"""),133.77)</f>
        <v>133.77</v>
      </c>
      <c r="D10676" s="2">
        <f>IFERROR(__xludf.DUMMYFUNCTION("""COMPUTED_VALUE"""),130.89)</f>
        <v>130.89</v>
      </c>
      <c r="E10676" s="2">
        <f>IFERROR(__xludf.DUMMYFUNCTION("""COMPUTED_VALUE"""),133.04)</f>
        <v>133.04</v>
      </c>
      <c r="F10676" s="2">
        <f>IFERROR(__xludf.DUMMYFUNCTION("""COMPUTED_VALUE"""),4213477.0)</f>
        <v>4213477</v>
      </c>
    </row>
    <row r="10677">
      <c r="A10677" s="3">
        <f>IFERROR(__xludf.DUMMYFUNCTION("""COMPUTED_VALUE"""),44684.66666666667)</f>
        <v>44684.66667</v>
      </c>
      <c r="B10677" s="2">
        <f>IFERROR(__xludf.DUMMYFUNCTION("""COMPUTED_VALUE"""),133.0)</f>
        <v>133</v>
      </c>
      <c r="C10677" s="2">
        <f>IFERROR(__xludf.DUMMYFUNCTION("""COMPUTED_VALUE"""),133.6)</f>
        <v>133.6</v>
      </c>
      <c r="D10677" s="2">
        <f>IFERROR(__xludf.DUMMYFUNCTION("""COMPUTED_VALUE"""),131.99)</f>
        <v>131.99</v>
      </c>
      <c r="E10677" s="2">
        <f>IFERROR(__xludf.DUMMYFUNCTION("""COMPUTED_VALUE"""),132.52)</f>
        <v>132.52</v>
      </c>
      <c r="F10677" s="2">
        <f>IFERROR(__xludf.DUMMYFUNCTION("""COMPUTED_VALUE"""),3688574.0)</f>
        <v>3688574</v>
      </c>
    </row>
    <row r="10678">
      <c r="A10678" s="3">
        <f>IFERROR(__xludf.DUMMYFUNCTION("""COMPUTED_VALUE"""),44685.66666666667)</f>
        <v>44685.66667</v>
      </c>
      <c r="B10678" s="2">
        <f>IFERROR(__xludf.DUMMYFUNCTION("""COMPUTED_VALUE"""),132.87)</f>
        <v>132.87</v>
      </c>
      <c r="C10678" s="2">
        <f>IFERROR(__xludf.DUMMYFUNCTION("""COMPUTED_VALUE"""),137.87)</f>
        <v>137.87</v>
      </c>
      <c r="D10678" s="2">
        <f>IFERROR(__xludf.DUMMYFUNCTION("""COMPUTED_VALUE"""),132.14)</f>
        <v>132.14</v>
      </c>
      <c r="E10678" s="2">
        <f>IFERROR(__xludf.DUMMYFUNCTION("""COMPUTED_VALUE"""),137.4)</f>
        <v>137.4</v>
      </c>
      <c r="F10678" s="2">
        <f>IFERROR(__xludf.DUMMYFUNCTION("""COMPUTED_VALUE"""),5932574.0)</f>
        <v>5932574</v>
      </c>
    </row>
    <row r="10679">
      <c r="A10679" s="3">
        <f>IFERROR(__xludf.DUMMYFUNCTION("""COMPUTED_VALUE"""),44686.66666666667)</f>
        <v>44686.66667</v>
      </c>
      <c r="B10679" s="2">
        <f>IFERROR(__xludf.DUMMYFUNCTION("""COMPUTED_VALUE"""),136.46)</f>
        <v>136.46</v>
      </c>
      <c r="C10679" s="2">
        <f>IFERROR(__xludf.DUMMYFUNCTION("""COMPUTED_VALUE"""),137.26)</f>
        <v>137.26</v>
      </c>
      <c r="D10679" s="2">
        <f>IFERROR(__xludf.DUMMYFUNCTION("""COMPUTED_VALUE"""),134.76)</f>
        <v>134.76</v>
      </c>
      <c r="E10679" s="2">
        <f>IFERROR(__xludf.DUMMYFUNCTION("""COMPUTED_VALUE"""),135.92)</f>
        <v>135.92</v>
      </c>
      <c r="F10679" s="2">
        <f>IFERROR(__xludf.DUMMYFUNCTION("""COMPUTED_VALUE"""),5957434.0)</f>
        <v>5957434</v>
      </c>
    </row>
    <row r="10680">
      <c r="A10680" s="3">
        <f>IFERROR(__xludf.DUMMYFUNCTION("""COMPUTED_VALUE"""),44687.66666666667)</f>
        <v>44687.66667</v>
      </c>
      <c r="B10680" s="2">
        <f>IFERROR(__xludf.DUMMYFUNCTION("""COMPUTED_VALUE"""),135.47)</f>
        <v>135.47</v>
      </c>
      <c r="C10680" s="2">
        <f>IFERROR(__xludf.DUMMYFUNCTION("""COMPUTED_VALUE"""),137.99)</f>
        <v>137.99</v>
      </c>
      <c r="D10680" s="2">
        <f>IFERROR(__xludf.DUMMYFUNCTION("""COMPUTED_VALUE"""),135.47)</f>
        <v>135.47</v>
      </c>
      <c r="E10680" s="2">
        <f>IFERROR(__xludf.DUMMYFUNCTION("""COMPUTED_VALUE"""),137.67)</f>
        <v>137.67</v>
      </c>
      <c r="F10680" s="2">
        <f>IFERROR(__xludf.DUMMYFUNCTION("""COMPUTED_VALUE"""),7306396.0)</f>
        <v>7306396</v>
      </c>
    </row>
    <row r="10681">
      <c r="A10681" s="3">
        <f>IFERROR(__xludf.DUMMYFUNCTION("""COMPUTED_VALUE"""),44690.66666666667)</f>
        <v>44690.66667</v>
      </c>
      <c r="B10681" s="2">
        <f>IFERROR(__xludf.DUMMYFUNCTION("""COMPUTED_VALUE"""),134.41)</f>
        <v>134.41</v>
      </c>
      <c r="C10681" s="2">
        <f>IFERROR(__xludf.DUMMYFUNCTION("""COMPUTED_VALUE"""),136.35)</f>
        <v>136.35</v>
      </c>
      <c r="D10681" s="2">
        <f>IFERROR(__xludf.DUMMYFUNCTION("""COMPUTED_VALUE"""),133.32)</f>
        <v>133.32</v>
      </c>
      <c r="E10681" s="2">
        <f>IFERROR(__xludf.DUMMYFUNCTION("""COMPUTED_VALUE"""),134.44)</f>
        <v>134.44</v>
      </c>
      <c r="F10681" s="2">
        <f>IFERROR(__xludf.DUMMYFUNCTION("""COMPUTED_VALUE"""),7647933.0)</f>
        <v>7647933</v>
      </c>
    </row>
    <row r="10682">
      <c r="A10682" s="3">
        <f>IFERROR(__xludf.DUMMYFUNCTION("""COMPUTED_VALUE"""),44691.66666666667)</f>
        <v>44691.66667</v>
      </c>
      <c r="B10682" s="2">
        <f>IFERROR(__xludf.DUMMYFUNCTION("""COMPUTED_VALUE"""),135.0)</f>
        <v>135</v>
      </c>
      <c r="C10682" s="2">
        <f>IFERROR(__xludf.DUMMYFUNCTION("""COMPUTED_VALUE"""),135.41)</f>
        <v>135.41</v>
      </c>
      <c r="D10682" s="2">
        <f>IFERROR(__xludf.DUMMYFUNCTION("""COMPUTED_VALUE"""),128.43)</f>
        <v>128.43</v>
      </c>
      <c r="E10682" s="2">
        <f>IFERROR(__xludf.DUMMYFUNCTION("""COMPUTED_VALUE"""),129.13)</f>
        <v>129.13</v>
      </c>
      <c r="F10682" s="2">
        <f>IFERROR(__xludf.DUMMYFUNCTION("""COMPUTED_VALUE"""),8642398.0)</f>
        <v>8642398</v>
      </c>
    </row>
    <row r="10683">
      <c r="A10683" s="3">
        <f>IFERROR(__xludf.DUMMYFUNCTION("""COMPUTED_VALUE"""),44692.66666666667)</f>
        <v>44692.66667</v>
      </c>
      <c r="B10683" s="2">
        <f>IFERROR(__xludf.DUMMYFUNCTION("""COMPUTED_VALUE"""),129.86)</f>
        <v>129.86</v>
      </c>
      <c r="C10683" s="2">
        <f>IFERROR(__xludf.DUMMYFUNCTION("""COMPUTED_VALUE"""),132.96)</f>
        <v>132.96</v>
      </c>
      <c r="D10683" s="2">
        <f>IFERROR(__xludf.DUMMYFUNCTION("""COMPUTED_VALUE"""),129.86)</f>
        <v>129.86</v>
      </c>
      <c r="E10683" s="2">
        <f>IFERROR(__xludf.DUMMYFUNCTION("""COMPUTED_VALUE"""),130.75)</f>
        <v>130.75</v>
      </c>
      <c r="F10683" s="2">
        <f>IFERROR(__xludf.DUMMYFUNCTION("""COMPUTED_VALUE"""),5301131.0)</f>
        <v>5301131</v>
      </c>
    </row>
    <row r="10684">
      <c r="A10684" s="3">
        <f>IFERROR(__xludf.DUMMYFUNCTION("""COMPUTED_VALUE"""),44693.66666666667)</f>
        <v>44693.66667</v>
      </c>
      <c r="B10684" s="2">
        <f>IFERROR(__xludf.DUMMYFUNCTION("""COMPUTED_VALUE"""),131.27)</f>
        <v>131.27</v>
      </c>
      <c r="C10684" s="2">
        <f>IFERROR(__xludf.DUMMYFUNCTION("""COMPUTED_VALUE"""),133.62)</f>
        <v>133.62</v>
      </c>
      <c r="D10684" s="2">
        <f>IFERROR(__xludf.DUMMYFUNCTION("""COMPUTED_VALUE"""),130.41)</f>
        <v>130.41</v>
      </c>
      <c r="E10684" s="2">
        <f>IFERROR(__xludf.DUMMYFUNCTION("""COMPUTED_VALUE"""),132.9)</f>
        <v>132.9</v>
      </c>
      <c r="F10684" s="2">
        <f>IFERROR(__xludf.DUMMYFUNCTION("""COMPUTED_VALUE"""),5384809.0)</f>
        <v>5384809</v>
      </c>
    </row>
    <row r="10685">
      <c r="A10685" s="3">
        <f>IFERROR(__xludf.DUMMYFUNCTION("""COMPUTED_VALUE"""),44694.66666666667)</f>
        <v>44694.66667</v>
      </c>
      <c r="B10685" s="2">
        <f>IFERROR(__xludf.DUMMYFUNCTION("""COMPUTED_VALUE"""),133.0)</f>
        <v>133</v>
      </c>
      <c r="C10685" s="2">
        <f>IFERROR(__xludf.DUMMYFUNCTION("""COMPUTED_VALUE"""),133.8)</f>
        <v>133.8</v>
      </c>
      <c r="D10685" s="2">
        <f>IFERROR(__xludf.DUMMYFUNCTION("""COMPUTED_VALUE"""),131.05)</f>
        <v>131.05</v>
      </c>
      <c r="E10685" s="2">
        <f>IFERROR(__xludf.DUMMYFUNCTION("""COMPUTED_VALUE"""),133.6)</f>
        <v>133.6</v>
      </c>
      <c r="F10685" s="2">
        <f>IFERROR(__xludf.DUMMYFUNCTION("""COMPUTED_VALUE"""),4195218.0)</f>
        <v>4195218</v>
      </c>
    </row>
    <row r="10686">
      <c r="A10686" s="3">
        <f>IFERROR(__xludf.DUMMYFUNCTION("""COMPUTED_VALUE"""),44697.66666666667)</f>
        <v>44697.66667</v>
      </c>
      <c r="B10686" s="2">
        <f>IFERROR(__xludf.DUMMYFUNCTION("""COMPUTED_VALUE"""),133.1)</f>
        <v>133.1</v>
      </c>
      <c r="C10686" s="2">
        <f>IFERROR(__xludf.DUMMYFUNCTION("""COMPUTED_VALUE"""),136.51)</f>
        <v>136.51</v>
      </c>
      <c r="D10686" s="2">
        <f>IFERROR(__xludf.DUMMYFUNCTION("""COMPUTED_VALUE"""),132.41)</f>
        <v>132.41</v>
      </c>
      <c r="E10686" s="2">
        <f>IFERROR(__xludf.DUMMYFUNCTION("""COMPUTED_VALUE"""),135.03)</f>
        <v>135.03</v>
      </c>
      <c r="F10686" s="2">
        <f>IFERROR(__xludf.DUMMYFUNCTION("""COMPUTED_VALUE"""),4250395.0)</f>
        <v>4250395</v>
      </c>
    </row>
    <row r="10687">
      <c r="A10687" s="3">
        <f>IFERROR(__xludf.DUMMYFUNCTION("""COMPUTED_VALUE"""),44698.66666666667)</f>
        <v>44698.66667</v>
      </c>
      <c r="B10687" s="2">
        <f>IFERROR(__xludf.DUMMYFUNCTION("""COMPUTED_VALUE"""),137.19)</f>
        <v>137.19</v>
      </c>
      <c r="C10687" s="2">
        <f>IFERROR(__xludf.DUMMYFUNCTION("""COMPUTED_VALUE"""),138.37)</f>
        <v>138.37</v>
      </c>
      <c r="D10687" s="2">
        <f>IFERROR(__xludf.DUMMYFUNCTION("""COMPUTED_VALUE"""),135.64)</f>
        <v>135.64</v>
      </c>
      <c r="E10687" s="2">
        <f>IFERROR(__xludf.DUMMYFUNCTION("""COMPUTED_VALUE"""),138.37)</f>
        <v>138.37</v>
      </c>
      <c r="F10687" s="2">
        <f>IFERROR(__xludf.DUMMYFUNCTION("""COMPUTED_VALUE"""),4372909.0)</f>
        <v>4372909</v>
      </c>
    </row>
    <row r="10688">
      <c r="A10688" s="3">
        <f>IFERROR(__xludf.DUMMYFUNCTION("""COMPUTED_VALUE"""),44699.66666666667)</f>
        <v>44699.66667</v>
      </c>
      <c r="B10688" s="2">
        <f>IFERROR(__xludf.DUMMYFUNCTION("""COMPUTED_VALUE"""),137.1)</f>
        <v>137.1</v>
      </c>
      <c r="C10688" s="2">
        <f>IFERROR(__xludf.DUMMYFUNCTION("""COMPUTED_VALUE"""),137.62)</f>
        <v>137.62</v>
      </c>
      <c r="D10688" s="2">
        <f>IFERROR(__xludf.DUMMYFUNCTION("""COMPUTED_VALUE"""),132.17)</f>
        <v>132.17</v>
      </c>
      <c r="E10688" s="2">
        <f>IFERROR(__xludf.DUMMYFUNCTION("""COMPUTED_VALUE"""),132.94)</f>
        <v>132.94</v>
      </c>
      <c r="F10688" s="2">
        <f>IFERROR(__xludf.DUMMYFUNCTION("""COMPUTED_VALUE"""),6003015.0)</f>
        <v>6003015</v>
      </c>
    </row>
    <row r="10689">
      <c r="A10689" s="3">
        <f>IFERROR(__xludf.DUMMYFUNCTION("""COMPUTED_VALUE"""),44700.66666666667)</f>
        <v>44700.66667</v>
      </c>
      <c r="B10689" s="2">
        <f>IFERROR(__xludf.DUMMYFUNCTION("""COMPUTED_VALUE"""),132.0)</f>
        <v>132</v>
      </c>
      <c r="C10689" s="2">
        <f>IFERROR(__xludf.DUMMYFUNCTION("""COMPUTED_VALUE"""),132.32)</f>
        <v>132.32</v>
      </c>
      <c r="D10689" s="2">
        <f>IFERROR(__xludf.DUMMYFUNCTION("""COMPUTED_VALUE"""),128.71)</f>
        <v>128.71</v>
      </c>
      <c r="E10689" s="2">
        <f>IFERROR(__xludf.DUMMYFUNCTION("""COMPUTED_VALUE"""),129.66)</f>
        <v>129.66</v>
      </c>
      <c r="F10689" s="2">
        <f>IFERROR(__xludf.DUMMYFUNCTION("""COMPUTED_VALUE"""),5819664.0)</f>
        <v>5819664</v>
      </c>
    </row>
    <row r="10690">
      <c r="A10690" s="3">
        <f>IFERROR(__xludf.DUMMYFUNCTION("""COMPUTED_VALUE"""),44701.66666666667)</f>
        <v>44701.66667</v>
      </c>
      <c r="B10690" s="2">
        <f>IFERROR(__xludf.DUMMYFUNCTION("""COMPUTED_VALUE"""),130.18)</f>
        <v>130.18</v>
      </c>
      <c r="C10690" s="2">
        <f>IFERROR(__xludf.DUMMYFUNCTION("""COMPUTED_VALUE"""),130.37)</f>
        <v>130.37</v>
      </c>
      <c r="D10690" s="2">
        <f>IFERROR(__xludf.DUMMYFUNCTION("""COMPUTED_VALUE"""),125.8)</f>
        <v>125.8</v>
      </c>
      <c r="E10690" s="2">
        <f>IFERROR(__xludf.DUMMYFUNCTION("""COMPUTED_VALUE"""),128.48)</f>
        <v>128.48</v>
      </c>
      <c r="F10690" s="2">
        <f>IFERROR(__xludf.DUMMYFUNCTION("""COMPUTED_VALUE"""),6914458.0)</f>
        <v>6914458</v>
      </c>
    </row>
    <row r="10691">
      <c r="A10691" s="3">
        <f>IFERROR(__xludf.DUMMYFUNCTION("""COMPUTED_VALUE"""),44704.66666666667)</f>
        <v>44704.66667</v>
      </c>
      <c r="B10691" s="2">
        <f>IFERROR(__xludf.DUMMYFUNCTION("""COMPUTED_VALUE"""),129.5)</f>
        <v>129.5</v>
      </c>
      <c r="C10691" s="2">
        <f>IFERROR(__xludf.DUMMYFUNCTION("""COMPUTED_VALUE"""),131.95)</f>
        <v>131.95</v>
      </c>
      <c r="D10691" s="2">
        <f>IFERROR(__xludf.DUMMYFUNCTION("""COMPUTED_VALUE"""),129.42)</f>
        <v>129.42</v>
      </c>
      <c r="E10691" s="2">
        <f>IFERROR(__xludf.DUMMYFUNCTION("""COMPUTED_VALUE"""),131.17)</f>
        <v>131.17</v>
      </c>
      <c r="F10691" s="2">
        <f>IFERROR(__xludf.DUMMYFUNCTION("""COMPUTED_VALUE"""),3591511.0)</f>
        <v>3591511</v>
      </c>
    </row>
    <row r="10692">
      <c r="A10692" s="3">
        <f>IFERROR(__xludf.DUMMYFUNCTION("""COMPUTED_VALUE"""),44705.66666666667)</f>
        <v>44705.66667</v>
      </c>
      <c r="B10692" s="2">
        <f>IFERROR(__xludf.DUMMYFUNCTION("""COMPUTED_VALUE"""),130.57)</f>
        <v>130.57</v>
      </c>
      <c r="C10692" s="2">
        <f>IFERROR(__xludf.DUMMYFUNCTION("""COMPUTED_VALUE"""),134.37)</f>
        <v>134.37</v>
      </c>
      <c r="D10692" s="2">
        <f>IFERROR(__xludf.DUMMYFUNCTION("""COMPUTED_VALUE"""),130.42)</f>
        <v>130.42</v>
      </c>
      <c r="E10692" s="2">
        <f>IFERROR(__xludf.DUMMYFUNCTION("""COMPUTED_VALUE"""),133.8)</f>
        <v>133.8</v>
      </c>
      <c r="F10692" s="2">
        <f>IFERROR(__xludf.DUMMYFUNCTION("""COMPUTED_VALUE"""),4189723.0)</f>
        <v>4189723</v>
      </c>
    </row>
    <row r="10693">
      <c r="A10693" s="3">
        <f>IFERROR(__xludf.DUMMYFUNCTION("""COMPUTED_VALUE"""),44706.66666666667)</f>
        <v>44706.66667</v>
      </c>
      <c r="B10693" s="2">
        <f>IFERROR(__xludf.DUMMYFUNCTION("""COMPUTED_VALUE"""),132.86)</f>
        <v>132.86</v>
      </c>
      <c r="C10693" s="2">
        <f>IFERROR(__xludf.DUMMYFUNCTION("""COMPUTED_VALUE"""),134.82)</f>
        <v>134.82</v>
      </c>
      <c r="D10693" s="2">
        <f>IFERROR(__xludf.DUMMYFUNCTION("""COMPUTED_VALUE"""),132.86)</f>
        <v>132.86</v>
      </c>
      <c r="E10693" s="2">
        <f>IFERROR(__xludf.DUMMYFUNCTION("""COMPUTED_VALUE"""),134.39)</f>
        <v>134.39</v>
      </c>
      <c r="F10693" s="2">
        <f>IFERROR(__xludf.DUMMYFUNCTION("""COMPUTED_VALUE"""),3299303.0)</f>
        <v>3299303</v>
      </c>
    </row>
    <row r="10694">
      <c r="A10694" s="3">
        <f>IFERROR(__xludf.DUMMYFUNCTION("""COMPUTED_VALUE"""),44707.66666666667)</f>
        <v>44707.66667</v>
      </c>
      <c r="B10694" s="2">
        <f>IFERROR(__xludf.DUMMYFUNCTION("""COMPUTED_VALUE"""),135.0)</f>
        <v>135</v>
      </c>
      <c r="C10694" s="2">
        <f>IFERROR(__xludf.DUMMYFUNCTION("""COMPUTED_VALUE"""),137.55)</f>
        <v>137.55</v>
      </c>
      <c r="D10694" s="2">
        <f>IFERROR(__xludf.DUMMYFUNCTION("""COMPUTED_VALUE"""),134.52)</f>
        <v>134.52</v>
      </c>
      <c r="E10694" s="2">
        <f>IFERROR(__xludf.DUMMYFUNCTION("""COMPUTED_VALUE"""),136.89)</f>
        <v>136.89</v>
      </c>
      <c r="F10694" s="2">
        <f>IFERROR(__xludf.DUMMYFUNCTION("""COMPUTED_VALUE"""),3929338.0)</f>
        <v>3929338</v>
      </c>
    </row>
    <row r="10695">
      <c r="A10695" s="3">
        <f>IFERROR(__xludf.DUMMYFUNCTION("""COMPUTED_VALUE"""),44708.66666666667)</f>
        <v>44708.66667</v>
      </c>
      <c r="B10695" s="2">
        <f>IFERROR(__xludf.DUMMYFUNCTION("""COMPUTED_VALUE"""),137.39)</f>
        <v>137.39</v>
      </c>
      <c r="C10695" s="2">
        <f>IFERROR(__xludf.DUMMYFUNCTION("""COMPUTED_VALUE"""),139.74)</f>
        <v>139.74</v>
      </c>
      <c r="D10695" s="2">
        <f>IFERROR(__xludf.DUMMYFUNCTION("""COMPUTED_VALUE"""),137.24)</f>
        <v>137.24</v>
      </c>
      <c r="E10695" s="2">
        <f>IFERROR(__xludf.DUMMYFUNCTION("""COMPUTED_VALUE"""),139.27)</f>
        <v>139.27</v>
      </c>
      <c r="F10695" s="2">
        <f>IFERROR(__xludf.DUMMYFUNCTION("""COMPUTED_VALUE"""),4608215.0)</f>
        <v>4608215</v>
      </c>
    </row>
    <row r="10696">
      <c r="A10696" s="3">
        <f>IFERROR(__xludf.DUMMYFUNCTION("""COMPUTED_VALUE"""),44712.66666666667)</f>
        <v>44712.66667</v>
      </c>
      <c r="B10696" s="2">
        <f>IFERROR(__xludf.DUMMYFUNCTION("""COMPUTED_VALUE"""),138.2)</f>
        <v>138.2</v>
      </c>
      <c r="C10696" s="2">
        <f>IFERROR(__xludf.DUMMYFUNCTION("""COMPUTED_VALUE"""),139.83)</f>
        <v>139.83</v>
      </c>
      <c r="D10696" s="2">
        <f>IFERROR(__xludf.DUMMYFUNCTION("""COMPUTED_VALUE"""),136.81)</f>
        <v>136.81</v>
      </c>
      <c r="E10696" s="2">
        <f>IFERROR(__xludf.DUMMYFUNCTION("""COMPUTED_VALUE"""),138.84)</f>
        <v>138.84</v>
      </c>
      <c r="F10696" s="2">
        <f>IFERROR(__xludf.DUMMYFUNCTION("""COMPUTED_VALUE"""),7978053.0)</f>
        <v>7978053</v>
      </c>
    </row>
    <row r="10697">
      <c r="A10697" s="3">
        <f>IFERROR(__xludf.DUMMYFUNCTION("""COMPUTED_VALUE"""),44713.66666666667)</f>
        <v>44713.66667</v>
      </c>
      <c r="B10697" s="2">
        <f>IFERROR(__xludf.DUMMYFUNCTION("""COMPUTED_VALUE"""),139.67)</f>
        <v>139.67</v>
      </c>
      <c r="C10697" s="2">
        <f>IFERROR(__xludf.DUMMYFUNCTION("""COMPUTED_VALUE"""),140.47)</f>
        <v>140.47</v>
      </c>
      <c r="D10697" s="2">
        <f>IFERROR(__xludf.DUMMYFUNCTION("""COMPUTED_VALUE"""),138.52)</f>
        <v>138.52</v>
      </c>
      <c r="E10697" s="2">
        <f>IFERROR(__xludf.DUMMYFUNCTION("""COMPUTED_VALUE"""),139.43)</f>
        <v>139.43</v>
      </c>
      <c r="F10697" s="2">
        <f>IFERROR(__xludf.DUMMYFUNCTION("""COMPUTED_VALUE"""),3796488.0)</f>
        <v>3796488</v>
      </c>
    </row>
    <row r="10698">
      <c r="A10698" s="3">
        <f>IFERROR(__xludf.DUMMYFUNCTION("""COMPUTED_VALUE"""),44714.66666666667)</f>
        <v>44714.66667</v>
      </c>
      <c r="B10698" s="2">
        <f>IFERROR(__xludf.DUMMYFUNCTION("""COMPUTED_VALUE"""),139.45)</f>
        <v>139.45</v>
      </c>
      <c r="C10698" s="2">
        <f>IFERROR(__xludf.DUMMYFUNCTION("""COMPUTED_VALUE"""),140.29)</f>
        <v>140.29</v>
      </c>
      <c r="D10698" s="2">
        <f>IFERROR(__xludf.DUMMYFUNCTION("""COMPUTED_VALUE"""),136.85)</f>
        <v>136.85</v>
      </c>
      <c r="E10698" s="2">
        <f>IFERROR(__xludf.DUMMYFUNCTION("""COMPUTED_VALUE"""),140.15)</f>
        <v>140.15</v>
      </c>
      <c r="F10698" s="2">
        <f>IFERROR(__xludf.DUMMYFUNCTION("""COMPUTED_VALUE"""),3734812.0)</f>
        <v>3734812</v>
      </c>
    </row>
    <row r="10699">
      <c r="A10699" s="3">
        <f>IFERROR(__xludf.DUMMYFUNCTION("""COMPUTED_VALUE"""),44715.66666666667)</f>
        <v>44715.66667</v>
      </c>
      <c r="B10699" s="2">
        <f>IFERROR(__xludf.DUMMYFUNCTION("""COMPUTED_VALUE"""),140.26)</f>
        <v>140.26</v>
      </c>
      <c r="C10699" s="2">
        <f>IFERROR(__xludf.DUMMYFUNCTION("""COMPUTED_VALUE"""),142.58)</f>
        <v>142.58</v>
      </c>
      <c r="D10699" s="2">
        <f>IFERROR(__xludf.DUMMYFUNCTION("""COMPUTED_VALUE"""),139.74)</f>
        <v>139.74</v>
      </c>
      <c r="E10699" s="2">
        <f>IFERROR(__xludf.DUMMYFUNCTION("""COMPUTED_VALUE"""),141.18)</f>
        <v>141.18</v>
      </c>
      <c r="F10699" s="2">
        <f>IFERROR(__xludf.DUMMYFUNCTION("""COMPUTED_VALUE"""),4352213.0)</f>
        <v>4352213</v>
      </c>
    </row>
    <row r="10700">
      <c r="A10700" s="3">
        <f>IFERROR(__xludf.DUMMYFUNCTION("""COMPUTED_VALUE"""),44718.66666666667)</f>
        <v>44718.66667</v>
      </c>
      <c r="B10700" s="2">
        <f>IFERROR(__xludf.DUMMYFUNCTION("""COMPUTED_VALUE"""),142.98)</f>
        <v>142.98</v>
      </c>
      <c r="C10700" s="2">
        <f>IFERROR(__xludf.DUMMYFUNCTION("""COMPUTED_VALUE"""),144.73)</f>
        <v>144.73</v>
      </c>
      <c r="D10700" s="2">
        <f>IFERROR(__xludf.DUMMYFUNCTION("""COMPUTED_VALUE"""),142.0)</f>
        <v>142</v>
      </c>
      <c r="E10700" s="2">
        <f>IFERROR(__xludf.DUMMYFUNCTION("""COMPUTED_VALUE"""),142.88)</f>
        <v>142.88</v>
      </c>
      <c r="F10700" s="2">
        <f>IFERROR(__xludf.DUMMYFUNCTION("""COMPUTED_VALUE"""),4767100.0)</f>
        <v>4767100</v>
      </c>
    </row>
    <row r="10701">
      <c r="A10701" s="3">
        <f>IFERROR(__xludf.DUMMYFUNCTION("""COMPUTED_VALUE"""),44719.66666666667)</f>
        <v>44719.66667</v>
      </c>
      <c r="B10701" s="2">
        <f>IFERROR(__xludf.DUMMYFUNCTION("""COMPUTED_VALUE"""),142.6)</f>
        <v>142.6</v>
      </c>
      <c r="C10701" s="2">
        <f>IFERROR(__xludf.DUMMYFUNCTION("""COMPUTED_VALUE"""),142.98)</f>
        <v>142.98</v>
      </c>
      <c r="D10701" s="2">
        <f>IFERROR(__xludf.DUMMYFUNCTION("""COMPUTED_VALUE"""),140.96)</f>
        <v>140.96</v>
      </c>
      <c r="E10701" s="2">
        <f>IFERROR(__xludf.DUMMYFUNCTION("""COMPUTED_VALUE"""),142.78)</f>
        <v>142.78</v>
      </c>
      <c r="F10701" s="2">
        <f>IFERROR(__xludf.DUMMYFUNCTION("""COMPUTED_VALUE"""),2887051.0)</f>
        <v>2887051</v>
      </c>
    </row>
    <row r="10702">
      <c r="A10702" s="3">
        <f>IFERROR(__xludf.DUMMYFUNCTION("""COMPUTED_VALUE"""),44720.66666666667)</f>
        <v>44720.66667</v>
      </c>
      <c r="B10702" s="2">
        <f>IFERROR(__xludf.DUMMYFUNCTION("""COMPUTED_VALUE"""),142.07)</f>
        <v>142.07</v>
      </c>
      <c r="C10702" s="2">
        <f>IFERROR(__xludf.DUMMYFUNCTION("""COMPUTED_VALUE"""),142.8)</f>
        <v>142.8</v>
      </c>
      <c r="D10702" s="2">
        <f>IFERROR(__xludf.DUMMYFUNCTION("""COMPUTED_VALUE"""),140.15)</f>
        <v>140.15</v>
      </c>
      <c r="E10702" s="2">
        <f>IFERROR(__xludf.DUMMYFUNCTION("""COMPUTED_VALUE"""),140.83)</f>
        <v>140.83</v>
      </c>
      <c r="F10702" s="2">
        <f>IFERROR(__xludf.DUMMYFUNCTION("""COMPUTED_VALUE"""),3005666.0)</f>
        <v>3005666</v>
      </c>
    </row>
    <row r="10703">
      <c r="A10703" s="3">
        <f>IFERROR(__xludf.DUMMYFUNCTION("""COMPUTED_VALUE"""),44721.66666666667)</f>
        <v>44721.66667</v>
      </c>
      <c r="B10703" s="2">
        <f>IFERROR(__xludf.DUMMYFUNCTION("""COMPUTED_VALUE"""),140.15)</f>
        <v>140.15</v>
      </c>
      <c r="C10703" s="2">
        <f>IFERROR(__xludf.DUMMYFUNCTION("""COMPUTED_VALUE"""),141.04)</f>
        <v>141.04</v>
      </c>
      <c r="D10703" s="2">
        <f>IFERROR(__xludf.DUMMYFUNCTION("""COMPUTED_VALUE"""),137.93)</f>
        <v>137.93</v>
      </c>
      <c r="E10703" s="2">
        <f>IFERROR(__xludf.DUMMYFUNCTION("""COMPUTED_VALUE"""),137.96)</f>
        <v>137.96</v>
      </c>
      <c r="F10703" s="2">
        <f>IFERROR(__xludf.DUMMYFUNCTION("""COMPUTED_VALUE"""),3592551.0)</f>
        <v>3592551</v>
      </c>
    </row>
    <row r="10704">
      <c r="A10704" s="3">
        <f>IFERROR(__xludf.DUMMYFUNCTION("""COMPUTED_VALUE"""),44722.66666666667)</f>
        <v>44722.66667</v>
      </c>
      <c r="B10704" s="2">
        <f>IFERROR(__xludf.DUMMYFUNCTION("""COMPUTED_VALUE"""),137.8)</f>
        <v>137.8</v>
      </c>
      <c r="C10704" s="2">
        <f>IFERROR(__xludf.DUMMYFUNCTION("""COMPUTED_VALUE"""),137.8)</f>
        <v>137.8</v>
      </c>
      <c r="D10704" s="2">
        <f>IFERROR(__xludf.DUMMYFUNCTION("""COMPUTED_VALUE"""),135.25)</f>
        <v>135.25</v>
      </c>
      <c r="E10704" s="2">
        <f>IFERROR(__xludf.DUMMYFUNCTION("""COMPUTED_VALUE"""),136.19)</f>
        <v>136.19</v>
      </c>
      <c r="F10704" s="2">
        <f>IFERROR(__xludf.DUMMYFUNCTION("""COMPUTED_VALUE"""),4661716.0)</f>
        <v>4661716</v>
      </c>
    </row>
    <row r="10705">
      <c r="A10705" s="3">
        <f>IFERROR(__xludf.DUMMYFUNCTION("""COMPUTED_VALUE"""),44725.66666666667)</f>
        <v>44725.66667</v>
      </c>
      <c r="B10705" s="2">
        <f>IFERROR(__xludf.DUMMYFUNCTION("""COMPUTED_VALUE"""),133.97)</f>
        <v>133.97</v>
      </c>
      <c r="C10705" s="2">
        <f>IFERROR(__xludf.DUMMYFUNCTION("""COMPUTED_VALUE"""),137.57)</f>
        <v>137.57</v>
      </c>
      <c r="D10705" s="2">
        <f>IFERROR(__xludf.DUMMYFUNCTION("""COMPUTED_VALUE"""),133.76)</f>
        <v>133.76</v>
      </c>
      <c r="E10705" s="2">
        <f>IFERROR(__xludf.DUMMYFUNCTION("""COMPUTED_VALUE"""),135.11)</f>
        <v>135.11</v>
      </c>
      <c r="F10705" s="2">
        <f>IFERROR(__xludf.DUMMYFUNCTION("""COMPUTED_VALUE"""),6486044.0)</f>
        <v>6486044</v>
      </c>
    </row>
    <row r="10706">
      <c r="A10706" s="3">
        <f>IFERROR(__xludf.DUMMYFUNCTION("""COMPUTED_VALUE"""),44726.66666666667)</f>
        <v>44726.66667</v>
      </c>
      <c r="B10706" s="2">
        <f>IFERROR(__xludf.DUMMYFUNCTION("""COMPUTED_VALUE"""),135.0)</f>
        <v>135</v>
      </c>
      <c r="C10706" s="2">
        <f>IFERROR(__xludf.DUMMYFUNCTION("""COMPUTED_VALUE"""),136.95)</f>
        <v>136.95</v>
      </c>
      <c r="D10706" s="2">
        <f>IFERROR(__xludf.DUMMYFUNCTION("""COMPUTED_VALUE"""),134.86)</f>
        <v>134.86</v>
      </c>
      <c r="E10706" s="2">
        <f>IFERROR(__xludf.DUMMYFUNCTION("""COMPUTED_VALUE"""),135.72)</f>
        <v>135.72</v>
      </c>
      <c r="F10706" s="2">
        <f>IFERROR(__xludf.DUMMYFUNCTION("""COMPUTED_VALUE"""),4607785.0)</f>
        <v>4607785</v>
      </c>
    </row>
    <row r="10707">
      <c r="A10707" s="3">
        <f>IFERROR(__xludf.DUMMYFUNCTION("""COMPUTED_VALUE"""),44727.66666666667)</f>
        <v>44727.66667</v>
      </c>
      <c r="B10707" s="2">
        <f>IFERROR(__xludf.DUMMYFUNCTION("""COMPUTED_VALUE"""),136.01)</f>
        <v>136.01</v>
      </c>
      <c r="C10707" s="2">
        <f>IFERROR(__xludf.DUMMYFUNCTION("""COMPUTED_VALUE"""),138.45)</f>
        <v>138.45</v>
      </c>
      <c r="D10707" s="2">
        <f>IFERROR(__xludf.DUMMYFUNCTION("""COMPUTED_VALUE"""),135.58)</f>
        <v>135.58</v>
      </c>
      <c r="E10707" s="2">
        <f>IFERROR(__xludf.DUMMYFUNCTION("""COMPUTED_VALUE"""),137.06)</f>
        <v>137.06</v>
      </c>
      <c r="F10707" s="2">
        <f>IFERROR(__xludf.DUMMYFUNCTION("""COMPUTED_VALUE"""),4606887.0)</f>
        <v>4606887</v>
      </c>
    </row>
    <row r="10708">
      <c r="A10708" s="3">
        <f>IFERROR(__xludf.DUMMYFUNCTION("""COMPUTED_VALUE"""),44728.66666666667)</f>
        <v>44728.66667</v>
      </c>
      <c r="B10708" s="2">
        <f>IFERROR(__xludf.DUMMYFUNCTION("""COMPUTED_VALUE"""),135.3)</f>
        <v>135.3</v>
      </c>
      <c r="C10708" s="2">
        <f>IFERROR(__xludf.DUMMYFUNCTION("""COMPUTED_VALUE"""),136.24)</f>
        <v>136.24</v>
      </c>
      <c r="D10708" s="2">
        <f>IFERROR(__xludf.DUMMYFUNCTION("""COMPUTED_VALUE"""),134.39)</f>
        <v>134.39</v>
      </c>
      <c r="E10708" s="2">
        <f>IFERROR(__xludf.DUMMYFUNCTION("""COMPUTED_VALUE"""),135.67)</f>
        <v>135.67</v>
      </c>
      <c r="F10708" s="2">
        <f>IFERROR(__xludf.DUMMYFUNCTION("""COMPUTED_VALUE"""),5386396.0)</f>
        <v>5386396</v>
      </c>
    </row>
    <row r="10709">
      <c r="A10709" s="3">
        <f>IFERROR(__xludf.DUMMYFUNCTION("""COMPUTED_VALUE"""),44729.66666666667)</f>
        <v>44729.66667</v>
      </c>
      <c r="B10709" s="2">
        <f>IFERROR(__xludf.DUMMYFUNCTION("""COMPUTED_VALUE"""),135.99)</f>
        <v>135.99</v>
      </c>
      <c r="C10709" s="2">
        <f>IFERROR(__xludf.DUMMYFUNCTION("""COMPUTED_VALUE"""),136.98)</f>
        <v>136.98</v>
      </c>
      <c r="D10709" s="2">
        <f>IFERROR(__xludf.DUMMYFUNCTION("""COMPUTED_VALUE"""),132.85)</f>
        <v>132.85</v>
      </c>
      <c r="E10709" s="2">
        <f>IFERROR(__xludf.DUMMYFUNCTION("""COMPUTED_VALUE"""),135.02)</f>
        <v>135.02</v>
      </c>
      <c r="F10709" s="2">
        <f>IFERROR(__xludf.DUMMYFUNCTION("""COMPUTED_VALUE"""),1.2968509E7)</f>
        <v>12968509</v>
      </c>
    </row>
    <row r="10710">
      <c r="A10710" s="3">
        <f>IFERROR(__xludf.DUMMYFUNCTION("""COMPUTED_VALUE"""),44733.66666666667)</f>
        <v>44733.66667</v>
      </c>
      <c r="B10710" s="2">
        <f>IFERROR(__xludf.DUMMYFUNCTION("""COMPUTED_VALUE"""),136.0)</f>
        <v>136</v>
      </c>
      <c r="C10710" s="2">
        <f>IFERROR(__xludf.DUMMYFUNCTION("""COMPUTED_VALUE"""),138.5)</f>
        <v>138.5</v>
      </c>
      <c r="D10710" s="2">
        <f>IFERROR(__xludf.DUMMYFUNCTION("""COMPUTED_VALUE"""),135.9)</f>
        <v>135.9</v>
      </c>
      <c r="E10710" s="2">
        <f>IFERROR(__xludf.DUMMYFUNCTION("""COMPUTED_VALUE"""),137.85)</f>
        <v>137.85</v>
      </c>
      <c r="F10710" s="2">
        <f>IFERROR(__xludf.DUMMYFUNCTION("""COMPUTED_VALUE"""),4089272.0)</f>
        <v>4089272</v>
      </c>
    </row>
    <row r="10711">
      <c r="A10711" s="3">
        <f>IFERROR(__xludf.DUMMYFUNCTION("""COMPUTED_VALUE"""),44734.66666666667)</f>
        <v>44734.66667</v>
      </c>
      <c r="B10711" s="2">
        <f>IFERROR(__xludf.DUMMYFUNCTION("""COMPUTED_VALUE"""),136.1)</f>
        <v>136.1</v>
      </c>
      <c r="C10711" s="2">
        <f>IFERROR(__xludf.DUMMYFUNCTION("""COMPUTED_VALUE"""),138.18)</f>
        <v>138.18</v>
      </c>
      <c r="D10711" s="2">
        <f>IFERROR(__xludf.DUMMYFUNCTION("""COMPUTED_VALUE"""),136.03)</f>
        <v>136.03</v>
      </c>
      <c r="E10711" s="2">
        <f>IFERROR(__xludf.DUMMYFUNCTION("""COMPUTED_VALUE"""),137.08)</f>
        <v>137.08</v>
      </c>
      <c r="F10711" s="2">
        <f>IFERROR(__xludf.DUMMYFUNCTION("""COMPUTED_VALUE"""),3791635.0)</f>
        <v>3791635</v>
      </c>
    </row>
    <row r="10712">
      <c r="A10712" s="3">
        <f>IFERROR(__xludf.DUMMYFUNCTION("""COMPUTED_VALUE"""),44735.66666666667)</f>
        <v>44735.66667</v>
      </c>
      <c r="B10712" s="2">
        <f>IFERROR(__xludf.DUMMYFUNCTION("""COMPUTED_VALUE"""),137.14)</f>
        <v>137.14</v>
      </c>
      <c r="C10712" s="2">
        <f>IFERROR(__xludf.DUMMYFUNCTION("""COMPUTED_VALUE"""),138.62)</f>
        <v>138.62</v>
      </c>
      <c r="D10712" s="2">
        <f>IFERROR(__xludf.DUMMYFUNCTION("""COMPUTED_VALUE"""),136.5)</f>
        <v>136.5</v>
      </c>
      <c r="E10712" s="2">
        <f>IFERROR(__xludf.DUMMYFUNCTION("""COMPUTED_VALUE"""),138.44)</f>
        <v>138.44</v>
      </c>
      <c r="F10712" s="2">
        <f>IFERROR(__xludf.DUMMYFUNCTION("""COMPUTED_VALUE"""),4547925.0)</f>
        <v>4547925</v>
      </c>
    </row>
    <row r="10713">
      <c r="A10713" s="3">
        <f>IFERROR(__xludf.DUMMYFUNCTION("""COMPUTED_VALUE"""),44736.66666666667)</f>
        <v>44736.66667</v>
      </c>
      <c r="B10713" s="2">
        <f>IFERROR(__xludf.DUMMYFUNCTION("""COMPUTED_VALUE"""),139.2)</f>
        <v>139.2</v>
      </c>
      <c r="C10713" s="2">
        <f>IFERROR(__xludf.DUMMYFUNCTION("""COMPUTED_VALUE"""),142.37)</f>
        <v>142.37</v>
      </c>
      <c r="D10713" s="2">
        <f>IFERROR(__xludf.DUMMYFUNCTION("""COMPUTED_VALUE"""),139.13)</f>
        <v>139.13</v>
      </c>
      <c r="E10713" s="2">
        <f>IFERROR(__xludf.DUMMYFUNCTION("""COMPUTED_VALUE"""),142.06)</f>
        <v>142.06</v>
      </c>
      <c r="F10713" s="2">
        <f>IFERROR(__xludf.DUMMYFUNCTION("""COMPUTED_VALUE"""),1.1493012E7)</f>
        <v>11493012</v>
      </c>
    </row>
    <row r="10714">
      <c r="A10714" s="3">
        <f>IFERROR(__xludf.DUMMYFUNCTION("""COMPUTED_VALUE"""),44739.66666666667)</f>
        <v>44739.66667</v>
      </c>
      <c r="B10714" s="2">
        <f>IFERROR(__xludf.DUMMYFUNCTION("""COMPUTED_VALUE"""),142.26)</f>
        <v>142.26</v>
      </c>
      <c r="C10714" s="2">
        <f>IFERROR(__xludf.DUMMYFUNCTION("""COMPUTED_VALUE"""),143.83)</f>
        <v>143.83</v>
      </c>
      <c r="D10714" s="2">
        <f>IFERROR(__xludf.DUMMYFUNCTION("""COMPUTED_VALUE"""),141.95)</f>
        <v>141.95</v>
      </c>
      <c r="E10714" s="2">
        <f>IFERROR(__xludf.DUMMYFUNCTION("""COMPUTED_VALUE"""),142.8)</f>
        <v>142.8</v>
      </c>
      <c r="F10714" s="2">
        <f>IFERROR(__xludf.DUMMYFUNCTION("""COMPUTED_VALUE"""),3935968.0)</f>
        <v>3935968</v>
      </c>
    </row>
    <row r="10715">
      <c r="A10715" s="3">
        <f>IFERROR(__xludf.DUMMYFUNCTION("""COMPUTED_VALUE"""),44740.66666666667)</f>
        <v>44740.66667</v>
      </c>
      <c r="B10715" s="2">
        <f>IFERROR(__xludf.DUMMYFUNCTION("""COMPUTED_VALUE"""),142.92)</f>
        <v>142.92</v>
      </c>
      <c r="C10715" s="2">
        <f>IFERROR(__xludf.DUMMYFUNCTION("""COMPUTED_VALUE"""),144.16)</f>
        <v>144.16</v>
      </c>
      <c r="D10715" s="2">
        <f>IFERROR(__xludf.DUMMYFUNCTION("""COMPUTED_VALUE"""),141.32)</f>
        <v>141.32</v>
      </c>
      <c r="E10715" s="2">
        <f>IFERROR(__xludf.DUMMYFUNCTION("""COMPUTED_VALUE"""),141.86)</f>
        <v>141.86</v>
      </c>
      <c r="F10715" s="2">
        <f>IFERROR(__xludf.DUMMYFUNCTION("""COMPUTED_VALUE"""),4065202.0)</f>
        <v>4065202</v>
      </c>
    </row>
    <row r="10716">
      <c r="A10716" s="3">
        <f>IFERROR(__xludf.DUMMYFUNCTION("""COMPUTED_VALUE"""),44741.66666666667)</f>
        <v>44741.66667</v>
      </c>
      <c r="B10716" s="2">
        <f>IFERROR(__xludf.DUMMYFUNCTION("""COMPUTED_VALUE"""),142.74)</f>
        <v>142.74</v>
      </c>
      <c r="C10716" s="2">
        <f>IFERROR(__xludf.DUMMYFUNCTION("""COMPUTED_VALUE"""),143.52)</f>
        <v>143.52</v>
      </c>
      <c r="D10716" s="2">
        <f>IFERROR(__xludf.DUMMYFUNCTION("""COMPUTED_VALUE"""),139.5)</f>
        <v>139.5</v>
      </c>
      <c r="E10716" s="2">
        <f>IFERROR(__xludf.DUMMYFUNCTION("""COMPUTED_VALUE"""),140.71)</f>
        <v>140.71</v>
      </c>
      <c r="F10716" s="2">
        <f>IFERROR(__xludf.DUMMYFUNCTION("""COMPUTED_VALUE"""),4161491.0)</f>
        <v>4161491</v>
      </c>
    </row>
    <row r="10717">
      <c r="A10717" s="3">
        <f>IFERROR(__xludf.DUMMYFUNCTION("""COMPUTED_VALUE"""),44742.66666666667)</f>
        <v>44742.66667</v>
      </c>
      <c r="B10717" s="2">
        <f>IFERROR(__xludf.DUMMYFUNCTION("""COMPUTED_VALUE"""),139.58)</f>
        <v>139.58</v>
      </c>
      <c r="C10717" s="2">
        <f>IFERROR(__xludf.DUMMYFUNCTION("""COMPUTED_VALUE"""),142.46)</f>
        <v>142.46</v>
      </c>
      <c r="D10717" s="2">
        <f>IFERROR(__xludf.DUMMYFUNCTION("""COMPUTED_VALUE"""),139.28)</f>
        <v>139.28</v>
      </c>
      <c r="E10717" s="2">
        <f>IFERROR(__xludf.DUMMYFUNCTION("""COMPUTED_VALUE"""),141.19)</f>
        <v>141.19</v>
      </c>
      <c r="F10717" s="2">
        <f>IFERROR(__xludf.DUMMYFUNCTION("""COMPUTED_VALUE"""),4878020.0)</f>
        <v>4878020</v>
      </c>
    </row>
    <row r="10718">
      <c r="A10718" s="3">
        <f>IFERROR(__xludf.DUMMYFUNCTION("""COMPUTED_VALUE"""),44743.66666666667)</f>
        <v>44743.66667</v>
      </c>
      <c r="B10718" s="2">
        <f>IFERROR(__xludf.DUMMYFUNCTION("""COMPUTED_VALUE"""),141.0)</f>
        <v>141</v>
      </c>
      <c r="C10718" s="2">
        <f>IFERROR(__xludf.DUMMYFUNCTION("""COMPUTED_VALUE"""),141.67)</f>
        <v>141.67</v>
      </c>
      <c r="D10718" s="2">
        <f>IFERROR(__xludf.DUMMYFUNCTION("""COMPUTED_VALUE"""),139.26)</f>
        <v>139.26</v>
      </c>
      <c r="E10718" s="2">
        <f>IFERROR(__xludf.DUMMYFUNCTION("""COMPUTED_VALUE"""),141.12)</f>
        <v>141.12</v>
      </c>
      <c r="F10718" s="2">
        <f>IFERROR(__xludf.DUMMYFUNCTION("""COMPUTED_VALUE"""),4012106.0)</f>
        <v>4012106</v>
      </c>
    </row>
    <row r="10719">
      <c r="A10719" s="3">
        <f>IFERROR(__xludf.DUMMYFUNCTION("""COMPUTED_VALUE"""),44747.66666666667)</f>
        <v>44747.66667</v>
      </c>
      <c r="B10719" s="2">
        <f>IFERROR(__xludf.DUMMYFUNCTION("""COMPUTED_VALUE"""),139.97)</f>
        <v>139.97</v>
      </c>
      <c r="C10719" s="2">
        <f>IFERROR(__xludf.DUMMYFUNCTION("""COMPUTED_VALUE"""),139.97)</f>
        <v>139.97</v>
      </c>
      <c r="D10719" s="2">
        <f>IFERROR(__xludf.DUMMYFUNCTION("""COMPUTED_VALUE"""),135.27)</f>
        <v>135.27</v>
      </c>
      <c r="E10719" s="2">
        <f>IFERROR(__xludf.DUMMYFUNCTION("""COMPUTED_VALUE"""),137.62)</f>
        <v>137.62</v>
      </c>
      <c r="F10719" s="2">
        <f>IFERROR(__xludf.DUMMYFUNCTION("""COMPUTED_VALUE"""),6274067.0)</f>
        <v>6274067</v>
      </c>
    </row>
    <row r="10720">
      <c r="A10720" s="3">
        <f>IFERROR(__xludf.DUMMYFUNCTION("""COMPUTED_VALUE"""),44748.66666666667)</f>
        <v>44748.66667</v>
      </c>
      <c r="B10720" s="2">
        <f>IFERROR(__xludf.DUMMYFUNCTION("""COMPUTED_VALUE"""),138.0)</f>
        <v>138</v>
      </c>
      <c r="C10720" s="2">
        <f>IFERROR(__xludf.DUMMYFUNCTION("""COMPUTED_VALUE"""),139.14)</f>
        <v>139.14</v>
      </c>
      <c r="D10720" s="2">
        <f>IFERROR(__xludf.DUMMYFUNCTION("""COMPUTED_VALUE"""),137.13)</f>
        <v>137.13</v>
      </c>
      <c r="E10720" s="2">
        <f>IFERROR(__xludf.DUMMYFUNCTION("""COMPUTED_VALUE"""),138.08)</f>
        <v>138.08</v>
      </c>
      <c r="F10720" s="2">
        <f>IFERROR(__xludf.DUMMYFUNCTION("""COMPUTED_VALUE"""),3237059.0)</f>
        <v>3237059</v>
      </c>
    </row>
    <row r="10721">
      <c r="A10721" s="3">
        <f>IFERROR(__xludf.DUMMYFUNCTION("""COMPUTED_VALUE"""),44749.66666666667)</f>
        <v>44749.66667</v>
      </c>
      <c r="B10721" s="2">
        <f>IFERROR(__xludf.DUMMYFUNCTION("""COMPUTED_VALUE"""),138.91)</f>
        <v>138.91</v>
      </c>
      <c r="C10721" s="2">
        <f>IFERROR(__xludf.DUMMYFUNCTION("""COMPUTED_VALUE"""),141.32)</f>
        <v>141.32</v>
      </c>
      <c r="D10721" s="2">
        <f>IFERROR(__xludf.DUMMYFUNCTION("""COMPUTED_VALUE"""),138.83)</f>
        <v>138.83</v>
      </c>
      <c r="E10721" s="2">
        <f>IFERROR(__xludf.DUMMYFUNCTION("""COMPUTED_VALUE"""),140.83)</f>
        <v>140.83</v>
      </c>
      <c r="F10721" s="2">
        <f>IFERROR(__xludf.DUMMYFUNCTION("""COMPUTED_VALUE"""),3897077.0)</f>
        <v>3897077</v>
      </c>
    </row>
    <row r="10722">
      <c r="A10722" s="3">
        <f>IFERROR(__xludf.DUMMYFUNCTION("""COMPUTED_VALUE"""),44750.66666666667)</f>
        <v>44750.66667</v>
      </c>
      <c r="B10722" s="2">
        <f>IFERROR(__xludf.DUMMYFUNCTION("""COMPUTED_VALUE"""),140.76)</f>
        <v>140.76</v>
      </c>
      <c r="C10722" s="2">
        <f>IFERROR(__xludf.DUMMYFUNCTION("""COMPUTED_VALUE"""),141.32)</f>
        <v>141.32</v>
      </c>
      <c r="D10722" s="2">
        <f>IFERROR(__xludf.DUMMYFUNCTION("""COMPUTED_VALUE"""),139.82)</f>
        <v>139.82</v>
      </c>
      <c r="E10722" s="2">
        <f>IFERROR(__xludf.DUMMYFUNCTION("""COMPUTED_VALUE"""),140.47)</f>
        <v>140.47</v>
      </c>
      <c r="F10722" s="2">
        <f>IFERROR(__xludf.DUMMYFUNCTION("""COMPUTED_VALUE"""),2820928.0)</f>
        <v>2820928</v>
      </c>
    </row>
    <row r="10723">
      <c r="A10723" s="3">
        <f>IFERROR(__xludf.DUMMYFUNCTION("""COMPUTED_VALUE"""),44753.66666666667)</f>
        <v>44753.66667</v>
      </c>
      <c r="B10723" s="2">
        <f>IFERROR(__xludf.DUMMYFUNCTION("""COMPUTED_VALUE"""),140.62)</f>
        <v>140.62</v>
      </c>
      <c r="C10723" s="2">
        <f>IFERROR(__xludf.DUMMYFUNCTION("""COMPUTED_VALUE"""),141.87)</f>
        <v>141.87</v>
      </c>
      <c r="D10723" s="2">
        <f>IFERROR(__xludf.DUMMYFUNCTION("""COMPUTED_VALUE"""),140.13)</f>
        <v>140.13</v>
      </c>
      <c r="E10723" s="2">
        <f>IFERROR(__xludf.DUMMYFUNCTION("""COMPUTED_VALUE"""),141.0)</f>
        <v>141</v>
      </c>
      <c r="F10723" s="2">
        <f>IFERROR(__xludf.DUMMYFUNCTION("""COMPUTED_VALUE"""),3912773.0)</f>
        <v>3912773</v>
      </c>
    </row>
    <row r="10724">
      <c r="A10724" s="3">
        <f>IFERROR(__xludf.DUMMYFUNCTION("""COMPUTED_VALUE"""),44754.66666666667)</f>
        <v>44754.66667</v>
      </c>
      <c r="B10724" s="2">
        <f>IFERROR(__xludf.DUMMYFUNCTION("""COMPUTED_VALUE"""),140.84)</f>
        <v>140.84</v>
      </c>
      <c r="C10724" s="2">
        <f>IFERROR(__xludf.DUMMYFUNCTION("""COMPUTED_VALUE"""),141.55)</f>
        <v>141.55</v>
      </c>
      <c r="D10724" s="2">
        <f>IFERROR(__xludf.DUMMYFUNCTION("""COMPUTED_VALUE"""),138.57)</f>
        <v>138.57</v>
      </c>
      <c r="E10724" s="2">
        <f>IFERROR(__xludf.DUMMYFUNCTION("""COMPUTED_VALUE"""),139.18)</f>
        <v>139.18</v>
      </c>
      <c r="F10724" s="2">
        <f>IFERROR(__xludf.DUMMYFUNCTION("""COMPUTED_VALUE"""),3235571.0)</f>
        <v>3235571</v>
      </c>
    </row>
    <row r="10725">
      <c r="A10725" s="3">
        <f>IFERROR(__xludf.DUMMYFUNCTION("""COMPUTED_VALUE"""),44755.66666666667)</f>
        <v>44755.66667</v>
      </c>
      <c r="B10725" s="2">
        <f>IFERROR(__xludf.DUMMYFUNCTION("""COMPUTED_VALUE"""),137.18)</f>
        <v>137.18</v>
      </c>
      <c r="C10725" s="2">
        <f>IFERROR(__xludf.DUMMYFUNCTION("""COMPUTED_VALUE"""),138.9)</f>
        <v>138.9</v>
      </c>
      <c r="D10725" s="2">
        <f>IFERROR(__xludf.DUMMYFUNCTION("""COMPUTED_VALUE"""),136.8)</f>
        <v>136.8</v>
      </c>
      <c r="E10725" s="2">
        <f>IFERROR(__xludf.DUMMYFUNCTION("""COMPUTED_VALUE"""),137.18)</f>
        <v>137.18</v>
      </c>
      <c r="F10725" s="2">
        <f>IFERROR(__xludf.DUMMYFUNCTION("""COMPUTED_VALUE"""),4123213.0)</f>
        <v>4123213</v>
      </c>
    </row>
    <row r="10726">
      <c r="A10726" s="3">
        <f>IFERROR(__xludf.DUMMYFUNCTION("""COMPUTED_VALUE"""),44756.66666666667)</f>
        <v>44756.66667</v>
      </c>
      <c r="B10726" s="2">
        <f>IFERROR(__xludf.DUMMYFUNCTION("""COMPUTED_VALUE"""),135.6)</f>
        <v>135.6</v>
      </c>
      <c r="C10726" s="2">
        <f>IFERROR(__xludf.DUMMYFUNCTION("""COMPUTED_VALUE"""),139.43)</f>
        <v>139.43</v>
      </c>
      <c r="D10726" s="2">
        <f>IFERROR(__xludf.DUMMYFUNCTION("""COMPUTED_VALUE"""),135.02)</f>
        <v>135.02</v>
      </c>
      <c r="E10726" s="2">
        <f>IFERROR(__xludf.DUMMYFUNCTION("""COMPUTED_VALUE"""),139.06)</f>
        <v>139.06</v>
      </c>
      <c r="F10726" s="2">
        <f>IFERROR(__xludf.DUMMYFUNCTION("""COMPUTED_VALUE"""),5298351.0)</f>
        <v>5298351</v>
      </c>
    </row>
    <row r="10727">
      <c r="A10727" s="3">
        <f>IFERROR(__xludf.DUMMYFUNCTION("""COMPUTED_VALUE"""),44757.66666666667)</f>
        <v>44757.66667</v>
      </c>
      <c r="B10727" s="2">
        <f>IFERROR(__xludf.DUMMYFUNCTION("""COMPUTED_VALUE"""),140.68)</f>
        <v>140.68</v>
      </c>
      <c r="C10727" s="2">
        <f>IFERROR(__xludf.DUMMYFUNCTION("""COMPUTED_VALUE"""),140.68)</f>
        <v>140.68</v>
      </c>
      <c r="D10727" s="2">
        <f>IFERROR(__xludf.DUMMYFUNCTION("""COMPUTED_VALUE"""),138.61)</f>
        <v>138.61</v>
      </c>
      <c r="E10727" s="2">
        <f>IFERROR(__xludf.DUMMYFUNCTION("""COMPUTED_VALUE"""),139.92)</f>
        <v>139.92</v>
      </c>
      <c r="F10727" s="2">
        <f>IFERROR(__xludf.DUMMYFUNCTION("""COMPUTED_VALUE"""),4519320.0)</f>
        <v>4519320</v>
      </c>
    </row>
    <row r="10728">
      <c r="A10728" s="3">
        <f>IFERROR(__xludf.DUMMYFUNCTION("""COMPUTED_VALUE"""),44760.66666666667)</f>
        <v>44760.66667</v>
      </c>
      <c r="B10728" s="2">
        <f>IFERROR(__xludf.DUMMYFUNCTION("""COMPUTED_VALUE"""),140.15)</f>
        <v>140.15</v>
      </c>
      <c r="C10728" s="2">
        <f>IFERROR(__xludf.DUMMYFUNCTION("""COMPUTED_VALUE"""),140.31)</f>
        <v>140.31</v>
      </c>
      <c r="D10728" s="2">
        <f>IFERROR(__xludf.DUMMYFUNCTION("""COMPUTED_VALUE"""),137.78)</f>
        <v>137.78</v>
      </c>
      <c r="E10728" s="2">
        <f>IFERROR(__xludf.DUMMYFUNCTION("""COMPUTED_VALUE"""),138.13)</f>
        <v>138.13</v>
      </c>
      <c r="F10728" s="2">
        <f>IFERROR(__xludf.DUMMYFUNCTION("""COMPUTED_VALUE"""),8231694.0)</f>
        <v>8231694</v>
      </c>
    </row>
    <row r="10729">
      <c r="A10729" s="3">
        <f>IFERROR(__xludf.DUMMYFUNCTION("""COMPUTED_VALUE"""),44761.66666666667)</f>
        <v>44761.66667</v>
      </c>
      <c r="B10729" s="2">
        <f>IFERROR(__xludf.DUMMYFUNCTION("""COMPUTED_VALUE"""),131.58)</f>
        <v>131.58</v>
      </c>
      <c r="C10729" s="2">
        <f>IFERROR(__xludf.DUMMYFUNCTION("""COMPUTED_VALUE"""),132.56)</f>
        <v>132.56</v>
      </c>
      <c r="D10729" s="2">
        <f>IFERROR(__xludf.DUMMYFUNCTION("""COMPUTED_VALUE"""),127.72)</f>
        <v>127.72</v>
      </c>
      <c r="E10729" s="2">
        <f>IFERROR(__xludf.DUMMYFUNCTION("""COMPUTED_VALUE"""),130.88)</f>
        <v>130.88</v>
      </c>
      <c r="F10729" s="2">
        <f>IFERROR(__xludf.DUMMYFUNCTION("""COMPUTED_VALUE"""),2.9690535E7)</f>
        <v>29690535</v>
      </c>
    </row>
    <row r="10730">
      <c r="A10730" s="3">
        <f>IFERROR(__xludf.DUMMYFUNCTION("""COMPUTED_VALUE"""),44762.66666666667)</f>
        <v>44762.66667</v>
      </c>
      <c r="B10730" s="2">
        <f>IFERROR(__xludf.DUMMYFUNCTION("""COMPUTED_VALUE"""),130.7)</f>
        <v>130.7</v>
      </c>
      <c r="C10730" s="2">
        <f>IFERROR(__xludf.DUMMYFUNCTION("""COMPUTED_VALUE"""),130.72)</f>
        <v>130.72</v>
      </c>
      <c r="D10730" s="2">
        <f>IFERROR(__xludf.DUMMYFUNCTION("""COMPUTED_VALUE"""),128.06)</f>
        <v>128.06</v>
      </c>
      <c r="E10730" s="2">
        <f>IFERROR(__xludf.DUMMYFUNCTION("""COMPUTED_VALUE"""),129.18)</f>
        <v>129.18</v>
      </c>
      <c r="F10730" s="2">
        <f>IFERROR(__xludf.DUMMYFUNCTION("""COMPUTED_VALUE"""),9882016.0)</f>
        <v>9882016</v>
      </c>
    </row>
    <row r="10731">
      <c r="A10731" s="3">
        <f>IFERROR(__xludf.DUMMYFUNCTION("""COMPUTED_VALUE"""),44763.66666666667)</f>
        <v>44763.66667</v>
      </c>
      <c r="B10731" s="2">
        <f>IFERROR(__xludf.DUMMYFUNCTION("""COMPUTED_VALUE"""),128.75)</f>
        <v>128.75</v>
      </c>
      <c r="C10731" s="2">
        <f>IFERROR(__xludf.DUMMYFUNCTION("""COMPUTED_VALUE"""),128.81)</f>
        <v>128.81</v>
      </c>
      <c r="D10731" s="2">
        <f>IFERROR(__xludf.DUMMYFUNCTION("""COMPUTED_VALUE"""),125.13)</f>
        <v>125.13</v>
      </c>
      <c r="E10731" s="2">
        <f>IFERROR(__xludf.DUMMYFUNCTION("""COMPUTED_VALUE"""),127.15)</f>
        <v>127.15</v>
      </c>
      <c r="F10731" s="2">
        <f>IFERROR(__xludf.DUMMYFUNCTION("""COMPUTED_VALUE"""),1.1975361E7)</f>
        <v>11975361</v>
      </c>
    </row>
    <row r="10732">
      <c r="A10732" s="3">
        <f>IFERROR(__xludf.DUMMYFUNCTION("""COMPUTED_VALUE"""),44764.66666666667)</f>
        <v>44764.66667</v>
      </c>
      <c r="B10732" s="2">
        <f>IFERROR(__xludf.DUMMYFUNCTION("""COMPUTED_VALUE"""),127.03)</f>
        <v>127.03</v>
      </c>
      <c r="C10732" s="2">
        <f>IFERROR(__xludf.DUMMYFUNCTION("""COMPUTED_VALUE"""),128.32)</f>
        <v>128.32</v>
      </c>
      <c r="D10732" s="2">
        <f>IFERROR(__xludf.DUMMYFUNCTION("""COMPUTED_VALUE"""),125.71)</f>
        <v>125.71</v>
      </c>
      <c r="E10732" s="2">
        <f>IFERROR(__xludf.DUMMYFUNCTION("""COMPUTED_VALUE"""),128.25)</f>
        <v>128.25</v>
      </c>
      <c r="F10732" s="2">
        <f>IFERROR(__xludf.DUMMYFUNCTION("""COMPUTED_VALUE"""),6467205.0)</f>
        <v>6467205</v>
      </c>
    </row>
    <row r="10733">
      <c r="A10733" s="3">
        <f>IFERROR(__xludf.DUMMYFUNCTION("""COMPUTED_VALUE"""),44767.66666666667)</f>
        <v>44767.66667</v>
      </c>
      <c r="B10733" s="2">
        <f>IFERROR(__xludf.DUMMYFUNCTION("""COMPUTED_VALUE"""),128.44)</f>
        <v>128.44</v>
      </c>
      <c r="C10733" s="2">
        <f>IFERROR(__xludf.DUMMYFUNCTION("""COMPUTED_VALUE"""),129.13)</f>
        <v>129.13</v>
      </c>
      <c r="D10733" s="2">
        <f>IFERROR(__xludf.DUMMYFUNCTION("""COMPUTED_VALUE"""),127.9)</f>
        <v>127.9</v>
      </c>
      <c r="E10733" s="2">
        <f>IFERROR(__xludf.DUMMYFUNCTION("""COMPUTED_VALUE"""),128.54)</f>
        <v>128.54</v>
      </c>
      <c r="F10733" s="2">
        <f>IFERROR(__xludf.DUMMYFUNCTION("""COMPUTED_VALUE"""),4702352.0)</f>
        <v>4702352</v>
      </c>
    </row>
    <row r="10734">
      <c r="A10734" s="3">
        <f>IFERROR(__xludf.DUMMYFUNCTION("""COMPUTED_VALUE"""),44768.66666666667)</f>
        <v>44768.66667</v>
      </c>
      <c r="B10734" s="2">
        <f>IFERROR(__xludf.DUMMYFUNCTION("""COMPUTED_VALUE"""),128.26)</f>
        <v>128.26</v>
      </c>
      <c r="C10734" s="2">
        <f>IFERROR(__xludf.DUMMYFUNCTION("""COMPUTED_VALUE"""),129.3)</f>
        <v>129.3</v>
      </c>
      <c r="D10734" s="2">
        <f>IFERROR(__xludf.DUMMYFUNCTION("""COMPUTED_VALUE"""),127.63)</f>
        <v>127.63</v>
      </c>
      <c r="E10734" s="2">
        <f>IFERROR(__xludf.DUMMYFUNCTION("""COMPUTED_VALUE"""),128.08)</f>
        <v>128.08</v>
      </c>
      <c r="F10734" s="2">
        <f>IFERROR(__xludf.DUMMYFUNCTION("""COMPUTED_VALUE"""),3645313.0)</f>
        <v>3645313</v>
      </c>
    </row>
    <row r="10735">
      <c r="A10735" s="3">
        <f>IFERROR(__xludf.DUMMYFUNCTION("""COMPUTED_VALUE"""),44769.66666666667)</f>
        <v>44769.66667</v>
      </c>
      <c r="B10735" s="2">
        <f>IFERROR(__xludf.DUMMYFUNCTION("""COMPUTED_VALUE"""),127.97)</f>
        <v>127.97</v>
      </c>
      <c r="C10735" s="2">
        <f>IFERROR(__xludf.DUMMYFUNCTION("""COMPUTED_VALUE"""),129.43)</f>
        <v>129.43</v>
      </c>
      <c r="D10735" s="2">
        <f>IFERROR(__xludf.DUMMYFUNCTION("""COMPUTED_VALUE"""),127.58)</f>
        <v>127.58</v>
      </c>
      <c r="E10735" s="2">
        <f>IFERROR(__xludf.DUMMYFUNCTION("""COMPUTED_VALUE"""),129.12)</f>
        <v>129.12</v>
      </c>
      <c r="F10735" s="2">
        <f>IFERROR(__xludf.DUMMYFUNCTION("""COMPUTED_VALUE"""),4175625.0)</f>
        <v>4175625</v>
      </c>
    </row>
    <row r="10736">
      <c r="A10736" s="3">
        <f>IFERROR(__xludf.DUMMYFUNCTION("""COMPUTED_VALUE"""),44770.66666666667)</f>
        <v>44770.66667</v>
      </c>
      <c r="B10736" s="2">
        <f>IFERROR(__xludf.DUMMYFUNCTION("""COMPUTED_VALUE"""),128.75)</f>
        <v>128.75</v>
      </c>
      <c r="C10736" s="2">
        <f>IFERROR(__xludf.DUMMYFUNCTION("""COMPUTED_VALUE"""),129.81)</f>
        <v>129.81</v>
      </c>
      <c r="D10736" s="2">
        <f>IFERROR(__xludf.DUMMYFUNCTION("""COMPUTED_VALUE"""),128.61)</f>
        <v>128.61</v>
      </c>
      <c r="E10736" s="2">
        <f>IFERROR(__xludf.DUMMYFUNCTION("""COMPUTED_VALUE"""),129.22)</f>
        <v>129.22</v>
      </c>
      <c r="F10736" s="2">
        <f>IFERROR(__xludf.DUMMYFUNCTION("""COMPUTED_VALUE"""),3913680.0)</f>
        <v>3913680</v>
      </c>
    </row>
    <row r="10737">
      <c r="A10737" s="3">
        <f>IFERROR(__xludf.DUMMYFUNCTION("""COMPUTED_VALUE"""),44771.66666666667)</f>
        <v>44771.66667</v>
      </c>
      <c r="B10737" s="2">
        <f>IFERROR(__xludf.DUMMYFUNCTION("""COMPUTED_VALUE"""),129.52)</f>
        <v>129.52</v>
      </c>
      <c r="C10737" s="2">
        <f>IFERROR(__xludf.DUMMYFUNCTION("""COMPUTED_VALUE"""),131.0)</f>
        <v>131</v>
      </c>
      <c r="D10737" s="2">
        <f>IFERROR(__xludf.DUMMYFUNCTION("""COMPUTED_VALUE"""),129.31)</f>
        <v>129.31</v>
      </c>
      <c r="E10737" s="2">
        <f>IFERROR(__xludf.DUMMYFUNCTION("""COMPUTED_VALUE"""),130.79)</f>
        <v>130.79</v>
      </c>
      <c r="F10737" s="2">
        <f>IFERROR(__xludf.DUMMYFUNCTION("""COMPUTED_VALUE"""),5786815.0)</f>
        <v>5786815</v>
      </c>
    </row>
    <row r="10738">
      <c r="A10738" s="3">
        <f>IFERROR(__xludf.DUMMYFUNCTION("""COMPUTED_VALUE"""),44774.66666666667)</f>
        <v>44774.66667</v>
      </c>
      <c r="B10738" s="2">
        <f>IFERROR(__xludf.DUMMYFUNCTION("""COMPUTED_VALUE"""),130.75)</f>
        <v>130.75</v>
      </c>
      <c r="C10738" s="2">
        <f>IFERROR(__xludf.DUMMYFUNCTION("""COMPUTED_VALUE"""),132.7)</f>
        <v>132.7</v>
      </c>
      <c r="D10738" s="2">
        <f>IFERROR(__xludf.DUMMYFUNCTION("""COMPUTED_VALUE"""),130.7)</f>
        <v>130.7</v>
      </c>
      <c r="E10738" s="2">
        <f>IFERROR(__xludf.DUMMYFUNCTION("""COMPUTED_VALUE"""),132.04)</f>
        <v>132.04</v>
      </c>
      <c r="F10738" s="2">
        <f>IFERROR(__xludf.DUMMYFUNCTION("""COMPUTED_VALUE"""),4142099.0)</f>
        <v>4142099</v>
      </c>
    </row>
    <row r="10739">
      <c r="A10739" s="3">
        <f>IFERROR(__xludf.DUMMYFUNCTION("""COMPUTED_VALUE"""),44775.66666666667)</f>
        <v>44775.66667</v>
      </c>
      <c r="B10739" s="2">
        <f>IFERROR(__xludf.DUMMYFUNCTION("""COMPUTED_VALUE"""),132.2)</f>
        <v>132.2</v>
      </c>
      <c r="C10739" s="2">
        <f>IFERROR(__xludf.DUMMYFUNCTION("""COMPUTED_VALUE"""),132.78)</f>
        <v>132.78</v>
      </c>
      <c r="D10739" s="2">
        <f>IFERROR(__xludf.DUMMYFUNCTION("""COMPUTED_VALUE"""),130.51)</f>
        <v>130.51</v>
      </c>
      <c r="E10739" s="2">
        <f>IFERROR(__xludf.DUMMYFUNCTION("""COMPUTED_VALUE"""),131.81)</f>
        <v>131.81</v>
      </c>
      <c r="F10739" s="2">
        <f>IFERROR(__xludf.DUMMYFUNCTION("""COMPUTED_VALUE"""),4403633.0)</f>
        <v>4403633</v>
      </c>
    </row>
    <row r="10740">
      <c r="A10740" s="3">
        <f>IFERROR(__xludf.DUMMYFUNCTION("""COMPUTED_VALUE"""),44776.66666666667)</f>
        <v>44776.66667</v>
      </c>
      <c r="B10740" s="2">
        <f>IFERROR(__xludf.DUMMYFUNCTION("""COMPUTED_VALUE"""),131.82)</f>
        <v>131.82</v>
      </c>
      <c r="C10740" s="2">
        <f>IFERROR(__xludf.DUMMYFUNCTION("""COMPUTED_VALUE"""),132.86)</f>
        <v>132.86</v>
      </c>
      <c r="D10740" s="2">
        <f>IFERROR(__xludf.DUMMYFUNCTION("""COMPUTED_VALUE"""),131.32)</f>
        <v>131.32</v>
      </c>
      <c r="E10740" s="2">
        <f>IFERROR(__xludf.DUMMYFUNCTION("""COMPUTED_VALUE"""),132.34)</f>
        <v>132.34</v>
      </c>
      <c r="F10740" s="2">
        <f>IFERROR(__xludf.DUMMYFUNCTION("""COMPUTED_VALUE"""),3088532.0)</f>
        <v>3088532</v>
      </c>
    </row>
    <row r="10741">
      <c r="A10741" s="3">
        <f>IFERROR(__xludf.DUMMYFUNCTION("""COMPUTED_VALUE"""),44777.66666666667)</f>
        <v>44777.66667</v>
      </c>
      <c r="B10741" s="2">
        <f>IFERROR(__xludf.DUMMYFUNCTION("""COMPUTED_VALUE"""),132.15)</f>
        <v>132.15</v>
      </c>
      <c r="C10741" s="2">
        <f>IFERROR(__xludf.DUMMYFUNCTION("""COMPUTED_VALUE"""),132.29)</f>
        <v>132.29</v>
      </c>
      <c r="D10741" s="2">
        <f>IFERROR(__xludf.DUMMYFUNCTION("""COMPUTED_VALUE"""),131.02)</f>
        <v>131.02</v>
      </c>
      <c r="E10741" s="2">
        <f>IFERROR(__xludf.DUMMYFUNCTION("""COMPUTED_VALUE"""),131.64)</f>
        <v>131.64</v>
      </c>
      <c r="F10741" s="2">
        <f>IFERROR(__xludf.DUMMYFUNCTION("""COMPUTED_VALUE"""),3179789.0)</f>
        <v>3179789</v>
      </c>
    </row>
    <row r="10742">
      <c r="A10742" s="3">
        <f>IFERROR(__xludf.DUMMYFUNCTION("""COMPUTED_VALUE"""),44778.66666666667)</f>
        <v>44778.66667</v>
      </c>
      <c r="B10742" s="2">
        <f>IFERROR(__xludf.DUMMYFUNCTION("""COMPUTED_VALUE"""),131.25)</f>
        <v>131.25</v>
      </c>
      <c r="C10742" s="2">
        <f>IFERROR(__xludf.DUMMYFUNCTION("""COMPUTED_VALUE"""),132.67)</f>
        <v>132.67</v>
      </c>
      <c r="D10742" s="2">
        <f>IFERROR(__xludf.DUMMYFUNCTION("""COMPUTED_VALUE"""),131.07)</f>
        <v>131.07</v>
      </c>
      <c r="E10742" s="2">
        <f>IFERROR(__xludf.DUMMYFUNCTION("""COMPUTED_VALUE"""),132.48)</f>
        <v>132.48</v>
      </c>
      <c r="F10742" s="2">
        <f>IFERROR(__xludf.DUMMYFUNCTION("""COMPUTED_VALUE"""),2586519.0)</f>
        <v>2586519</v>
      </c>
    </row>
    <row r="10743">
      <c r="A10743" s="3">
        <f>IFERROR(__xludf.DUMMYFUNCTION("""COMPUTED_VALUE"""),44781.66666666667)</f>
        <v>44781.66667</v>
      </c>
      <c r="B10743" s="2">
        <f>IFERROR(__xludf.DUMMYFUNCTION("""COMPUTED_VALUE"""),133.1)</f>
        <v>133.1</v>
      </c>
      <c r="C10743" s="2">
        <f>IFERROR(__xludf.DUMMYFUNCTION("""COMPUTED_VALUE"""),133.35)</f>
        <v>133.35</v>
      </c>
      <c r="D10743" s="2">
        <f>IFERROR(__xludf.DUMMYFUNCTION("""COMPUTED_VALUE"""),132.02)</f>
        <v>132.02</v>
      </c>
      <c r="E10743" s="2">
        <f>IFERROR(__xludf.DUMMYFUNCTION("""COMPUTED_VALUE"""),132.61)</f>
        <v>132.61</v>
      </c>
      <c r="F10743" s="2">
        <f>IFERROR(__xludf.DUMMYFUNCTION("""COMPUTED_VALUE"""),3825145.0)</f>
        <v>3825145</v>
      </c>
    </row>
    <row r="10744">
      <c r="A10744" s="3">
        <f>IFERROR(__xludf.DUMMYFUNCTION("""COMPUTED_VALUE"""),44782.66666666667)</f>
        <v>44782.66667</v>
      </c>
      <c r="B10744" s="2">
        <f>IFERROR(__xludf.DUMMYFUNCTION("""COMPUTED_VALUE"""),129.92)</f>
        <v>129.92</v>
      </c>
      <c r="C10744" s="2">
        <f>IFERROR(__xludf.DUMMYFUNCTION("""COMPUTED_VALUE"""),130.79)</f>
        <v>130.79</v>
      </c>
      <c r="D10744" s="2">
        <f>IFERROR(__xludf.DUMMYFUNCTION("""COMPUTED_VALUE"""),129.12)</f>
        <v>129.12</v>
      </c>
      <c r="E10744" s="2">
        <f>IFERROR(__xludf.DUMMYFUNCTION("""COMPUTED_VALUE"""),129.47)</f>
        <v>129.47</v>
      </c>
      <c r="F10744" s="2">
        <f>IFERROR(__xludf.DUMMYFUNCTION("""COMPUTED_VALUE"""),3495991.0)</f>
        <v>3495991</v>
      </c>
    </row>
    <row r="10745">
      <c r="A10745" s="3">
        <f>IFERROR(__xludf.DUMMYFUNCTION("""COMPUTED_VALUE"""),44783.66666666667)</f>
        <v>44783.66667</v>
      </c>
      <c r="B10745" s="2">
        <f>IFERROR(__xludf.DUMMYFUNCTION("""COMPUTED_VALUE"""),130.75)</f>
        <v>130.75</v>
      </c>
      <c r="C10745" s="2">
        <f>IFERROR(__xludf.DUMMYFUNCTION("""COMPUTED_VALUE"""),131.78)</f>
        <v>131.78</v>
      </c>
      <c r="D10745" s="2">
        <f>IFERROR(__xludf.DUMMYFUNCTION("""COMPUTED_VALUE"""),130.34)</f>
        <v>130.34</v>
      </c>
      <c r="E10745" s="2">
        <f>IFERROR(__xludf.DUMMYFUNCTION("""COMPUTED_VALUE"""),131.5)</f>
        <v>131.5</v>
      </c>
      <c r="F10745" s="2">
        <f>IFERROR(__xludf.DUMMYFUNCTION("""COMPUTED_VALUE"""),3663995.0)</f>
        <v>3663995</v>
      </c>
    </row>
    <row r="10746">
      <c r="A10746" s="3">
        <f>IFERROR(__xludf.DUMMYFUNCTION("""COMPUTED_VALUE"""),44784.66666666667)</f>
        <v>44784.66667</v>
      </c>
      <c r="B10746" s="2">
        <f>IFERROR(__xludf.DUMMYFUNCTION("""COMPUTED_VALUE"""),132.36)</f>
        <v>132.36</v>
      </c>
      <c r="C10746" s="2">
        <f>IFERROR(__xludf.DUMMYFUNCTION("""COMPUTED_VALUE"""),133.23)</f>
        <v>133.23</v>
      </c>
      <c r="D10746" s="2">
        <f>IFERROR(__xludf.DUMMYFUNCTION("""COMPUTED_VALUE"""),132.0)</f>
        <v>132</v>
      </c>
      <c r="E10746" s="2">
        <f>IFERROR(__xludf.DUMMYFUNCTION("""COMPUTED_VALUE"""),132.54)</f>
        <v>132.54</v>
      </c>
      <c r="F10746" s="2">
        <f>IFERROR(__xludf.DUMMYFUNCTION("""COMPUTED_VALUE"""),3501925.0)</f>
        <v>3501925</v>
      </c>
    </row>
    <row r="10747">
      <c r="A10747" s="3">
        <f>IFERROR(__xludf.DUMMYFUNCTION("""COMPUTED_VALUE"""),44785.66666666667)</f>
        <v>44785.66667</v>
      </c>
      <c r="B10747" s="2">
        <f>IFERROR(__xludf.DUMMYFUNCTION("""COMPUTED_VALUE"""),132.62)</f>
        <v>132.62</v>
      </c>
      <c r="C10747" s="2">
        <f>IFERROR(__xludf.DUMMYFUNCTION("""COMPUTED_VALUE"""),134.09)</f>
        <v>134.09</v>
      </c>
      <c r="D10747" s="2">
        <f>IFERROR(__xludf.DUMMYFUNCTION("""COMPUTED_VALUE"""),131.98)</f>
        <v>131.98</v>
      </c>
      <c r="E10747" s="2">
        <f>IFERROR(__xludf.DUMMYFUNCTION("""COMPUTED_VALUE"""),134.01)</f>
        <v>134.01</v>
      </c>
      <c r="F10747" s="2">
        <f>IFERROR(__xludf.DUMMYFUNCTION("""COMPUTED_VALUE"""),2767054.0)</f>
        <v>2767054</v>
      </c>
    </row>
    <row r="10748">
      <c r="A10748" s="3">
        <f>IFERROR(__xludf.DUMMYFUNCTION("""COMPUTED_VALUE"""),44788.66666666667)</f>
        <v>44788.66667</v>
      </c>
      <c r="B10748" s="2">
        <f>IFERROR(__xludf.DUMMYFUNCTION("""COMPUTED_VALUE"""),132.96)</f>
        <v>132.96</v>
      </c>
      <c r="C10748" s="2">
        <f>IFERROR(__xludf.DUMMYFUNCTION("""COMPUTED_VALUE"""),135.19)</f>
        <v>135.19</v>
      </c>
      <c r="D10748" s="2">
        <f>IFERROR(__xludf.DUMMYFUNCTION("""COMPUTED_VALUE"""),132.24)</f>
        <v>132.24</v>
      </c>
      <c r="E10748" s="2">
        <f>IFERROR(__xludf.DUMMYFUNCTION("""COMPUTED_VALUE"""),134.93)</f>
        <v>134.93</v>
      </c>
      <c r="F10748" s="2">
        <f>IFERROR(__xludf.DUMMYFUNCTION("""COMPUTED_VALUE"""),2791241.0)</f>
        <v>2791241</v>
      </c>
    </row>
    <row r="10749">
      <c r="A10749" s="3">
        <f>IFERROR(__xludf.DUMMYFUNCTION("""COMPUTED_VALUE"""),44789.66666666667)</f>
        <v>44789.66667</v>
      </c>
      <c r="B10749" s="2">
        <f>IFERROR(__xludf.DUMMYFUNCTION("""COMPUTED_VALUE"""),134.6)</f>
        <v>134.6</v>
      </c>
      <c r="C10749" s="2">
        <f>IFERROR(__xludf.DUMMYFUNCTION("""COMPUTED_VALUE"""),137.37)</f>
        <v>137.37</v>
      </c>
      <c r="D10749" s="2">
        <f>IFERROR(__xludf.DUMMYFUNCTION("""COMPUTED_VALUE"""),134.45)</f>
        <v>134.45</v>
      </c>
      <c r="E10749" s="2">
        <f>IFERROR(__xludf.DUMMYFUNCTION("""COMPUTED_VALUE"""),136.56)</f>
        <v>136.56</v>
      </c>
      <c r="F10749" s="2">
        <f>IFERROR(__xludf.DUMMYFUNCTION("""COMPUTED_VALUE"""),4313600.0)</f>
        <v>4313600</v>
      </c>
    </row>
    <row r="10750">
      <c r="A10750" s="3">
        <f>IFERROR(__xludf.DUMMYFUNCTION("""COMPUTED_VALUE"""),44790.66666666667)</f>
        <v>44790.66667</v>
      </c>
      <c r="B10750" s="2">
        <f>IFERROR(__xludf.DUMMYFUNCTION("""COMPUTED_VALUE"""),136.46)</f>
        <v>136.46</v>
      </c>
      <c r="C10750" s="2">
        <f>IFERROR(__xludf.DUMMYFUNCTION("""COMPUTED_VALUE"""),138.42)</f>
        <v>138.42</v>
      </c>
      <c r="D10750" s="2">
        <f>IFERROR(__xludf.DUMMYFUNCTION("""COMPUTED_VALUE"""),136.3)</f>
        <v>136.3</v>
      </c>
      <c r="E10750" s="2">
        <f>IFERROR(__xludf.DUMMYFUNCTION("""COMPUTED_VALUE"""),137.79)</f>
        <v>137.79</v>
      </c>
      <c r="F10750" s="2">
        <f>IFERROR(__xludf.DUMMYFUNCTION("""COMPUTED_VALUE"""),3667568.0)</f>
        <v>3667568</v>
      </c>
    </row>
    <row r="10751">
      <c r="A10751" s="3">
        <f>IFERROR(__xludf.DUMMYFUNCTION("""COMPUTED_VALUE"""),44791.66666666667)</f>
        <v>44791.66667</v>
      </c>
      <c r="B10751" s="2">
        <f>IFERROR(__xludf.DUMMYFUNCTION("""COMPUTED_VALUE"""),137.79)</f>
        <v>137.79</v>
      </c>
      <c r="C10751" s="2">
        <f>IFERROR(__xludf.DUMMYFUNCTION("""COMPUTED_VALUE"""),139.12)</f>
        <v>139.12</v>
      </c>
      <c r="D10751" s="2">
        <f>IFERROR(__xludf.DUMMYFUNCTION("""COMPUTED_VALUE"""),137.75)</f>
        <v>137.75</v>
      </c>
      <c r="E10751" s="2">
        <f>IFERROR(__xludf.DUMMYFUNCTION("""COMPUTED_VALUE"""),139.07)</f>
        <v>139.07</v>
      </c>
      <c r="F10751" s="2">
        <f>IFERROR(__xludf.DUMMYFUNCTION("""COMPUTED_VALUE"""),3177726.0)</f>
        <v>3177726</v>
      </c>
    </row>
    <row r="10752">
      <c r="A10752" s="3">
        <f>IFERROR(__xludf.DUMMYFUNCTION("""COMPUTED_VALUE"""),44792.66666666667)</f>
        <v>44792.66667</v>
      </c>
      <c r="B10752" s="2">
        <f>IFERROR(__xludf.DUMMYFUNCTION("""COMPUTED_VALUE"""),138.75)</f>
        <v>138.75</v>
      </c>
      <c r="C10752" s="2">
        <f>IFERROR(__xludf.DUMMYFUNCTION("""COMPUTED_VALUE"""),139.34)</f>
        <v>139.34</v>
      </c>
      <c r="D10752" s="2">
        <f>IFERROR(__xludf.DUMMYFUNCTION("""COMPUTED_VALUE"""),137.66)</f>
        <v>137.66</v>
      </c>
      <c r="E10752" s="2">
        <f>IFERROR(__xludf.DUMMYFUNCTION("""COMPUTED_VALUE"""),138.37)</f>
        <v>138.37</v>
      </c>
      <c r="F10752" s="2">
        <f>IFERROR(__xludf.DUMMYFUNCTION("""COMPUTED_VALUE"""),3155842.0)</f>
        <v>3155842</v>
      </c>
    </row>
    <row r="10753">
      <c r="A10753" s="3">
        <f>IFERROR(__xludf.DUMMYFUNCTION("""COMPUTED_VALUE"""),44795.66666666667)</f>
        <v>44795.66667</v>
      </c>
      <c r="B10753" s="2">
        <f>IFERROR(__xludf.DUMMYFUNCTION("""COMPUTED_VALUE"""),137.65)</f>
        <v>137.65</v>
      </c>
      <c r="C10753" s="2">
        <f>IFERROR(__xludf.DUMMYFUNCTION("""COMPUTED_VALUE"""),137.85)</f>
        <v>137.85</v>
      </c>
      <c r="D10753" s="2">
        <f>IFERROR(__xludf.DUMMYFUNCTION("""COMPUTED_VALUE"""),135.47)</f>
        <v>135.47</v>
      </c>
      <c r="E10753" s="2">
        <f>IFERROR(__xludf.DUMMYFUNCTION("""COMPUTED_VALUE"""),135.55)</f>
        <v>135.55</v>
      </c>
      <c r="F10753" s="2">
        <f>IFERROR(__xludf.DUMMYFUNCTION("""COMPUTED_VALUE"""),3093629.0)</f>
        <v>3093629</v>
      </c>
    </row>
    <row r="10754">
      <c r="A10754" s="3">
        <f>IFERROR(__xludf.DUMMYFUNCTION("""COMPUTED_VALUE"""),44796.66666666667)</f>
        <v>44796.66667</v>
      </c>
      <c r="B10754" s="2">
        <f>IFERROR(__xludf.DUMMYFUNCTION("""COMPUTED_VALUE"""),135.37)</f>
        <v>135.37</v>
      </c>
      <c r="C10754" s="2">
        <f>IFERROR(__xludf.DUMMYFUNCTION("""COMPUTED_VALUE"""),136.1)</f>
        <v>136.1</v>
      </c>
      <c r="D10754" s="2">
        <f>IFERROR(__xludf.DUMMYFUNCTION("""COMPUTED_VALUE"""),134.72)</f>
        <v>134.72</v>
      </c>
      <c r="E10754" s="2">
        <f>IFERROR(__xludf.DUMMYFUNCTION("""COMPUTED_VALUE"""),134.74)</f>
        <v>134.74</v>
      </c>
      <c r="F10754" s="2">
        <f>IFERROR(__xludf.DUMMYFUNCTION("""COMPUTED_VALUE"""),4141798.0)</f>
        <v>4141798</v>
      </c>
    </row>
    <row r="10755">
      <c r="A10755" s="3">
        <f>IFERROR(__xludf.DUMMYFUNCTION("""COMPUTED_VALUE"""),44797.66666666667)</f>
        <v>44797.66667</v>
      </c>
      <c r="B10755" s="2">
        <f>IFERROR(__xludf.DUMMYFUNCTION("""COMPUTED_VALUE"""),134.89)</f>
        <v>134.89</v>
      </c>
      <c r="C10755" s="2">
        <f>IFERROR(__xludf.DUMMYFUNCTION("""COMPUTED_VALUE"""),135.11)</f>
        <v>135.11</v>
      </c>
      <c r="D10755" s="2">
        <f>IFERROR(__xludf.DUMMYFUNCTION("""COMPUTED_VALUE"""),133.11)</f>
        <v>133.11</v>
      </c>
      <c r="E10755" s="2">
        <f>IFERROR(__xludf.DUMMYFUNCTION("""COMPUTED_VALUE"""),133.23)</f>
        <v>133.23</v>
      </c>
      <c r="F10755" s="2">
        <f>IFERROR(__xludf.DUMMYFUNCTION("""COMPUTED_VALUE"""),2855421.0)</f>
        <v>2855421</v>
      </c>
    </row>
    <row r="10756">
      <c r="A10756" s="3">
        <f>IFERROR(__xludf.DUMMYFUNCTION("""COMPUTED_VALUE"""),44798.66666666667)</f>
        <v>44798.66667</v>
      </c>
      <c r="B10756" s="2">
        <f>IFERROR(__xludf.DUMMYFUNCTION("""COMPUTED_VALUE"""),133.65)</f>
        <v>133.65</v>
      </c>
      <c r="C10756" s="2">
        <f>IFERROR(__xludf.DUMMYFUNCTION("""COMPUTED_VALUE"""),134.43)</f>
        <v>134.43</v>
      </c>
      <c r="D10756" s="2">
        <f>IFERROR(__xludf.DUMMYFUNCTION("""COMPUTED_VALUE"""),133.07)</f>
        <v>133.07</v>
      </c>
      <c r="E10756" s="2">
        <f>IFERROR(__xludf.DUMMYFUNCTION("""COMPUTED_VALUE"""),133.98)</f>
        <v>133.98</v>
      </c>
      <c r="F10756" s="2">
        <f>IFERROR(__xludf.DUMMYFUNCTION("""COMPUTED_VALUE"""),2706005.0)</f>
        <v>2706005</v>
      </c>
    </row>
    <row r="10757">
      <c r="A10757" s="3">
        <f>IFERROR(__xludf.DUMMYFUNCTION("""COMPUTED_VALUE"""),44799.66666666667)</f>
        <v>44799.66667</v>
      </c>
      <c r="B10757" s="2">
        <f>IFERROR(__xludf.DUMMYFUNCTION("""COMPUTED_VALUE"""),134.1)</f>
        <v>134.1</v>
      </c>
      <c r="C10757" s="2">
        <f>IFERROR(__xludf.DUMMYFUNCTION("""COMPUTED_VALUE"""),134.18)</f>
        <v>134.18</v>
      </c>
      <c r="D10757" s="2">
        <f>IFERROR(__xludf.DUMMYFUNCTION("""COMPUTED_VALUE"""),130.34)</f>
        <v>130.34</v>
      </c>
      <c r="E10757" s="2">
        <f>IFERROR(__xludf.DUMMYFUNCTION("""COMPUTED_VALUE"""),130.38)</f>
        <v>130.38</v>
      </c>
      <c r="F10757" s="2">
        <f>IFERROR(__xludf.DUMMYFUNCTION("""COMPUTED_VALUE"""),4185254.0)</f>
        <v>4185254</v>
      </c>
    </row>
    <row r="10758">
      <c r="A10758" s="3">
        <f>IFERROR(__xludf.DUMMYFUNCTION("""COMPUTED_VALUE"""),44802.66666666667)</f>
        <v>44802.66667</v>
      </c>
      <c r="B10758" s="2">
        <f>IFERROR(__xludf.DUMMYFUNCTION("""COMPUTED_VALUE"""),129.99)</f>
        <v>129.99</v>
      </c>
      <c r="C10758" s="2">
        <f>IFERROR(__xludf.DUMMYFUNCTION("""COMPUTED_VALUE"""),131.42)</f>
        <v>131.42</v>
      </c>
      <c r="D10758" s="2">
        <f>IFERROR(__xludf.DUMMYFUNCTION("""COMPUTED_VALUE"""),129.57)</f>
        <v>129.57</v>
      </c>
      <c r="E10758" s="2">
        <f>IFERROR(__xludf.DUMMYFUNCTION("""COMPUTED_VALUE"""),130.31)</f>
        <v>130.31</v>
      </c>
      <c r="F10758" s="2">
        <f>IFERROR(__xludf.DUMMYFUNCTION("""COMPUTED_VALUE"""),2782973.0)</f>
        <v>2782973</v>
      </c>
    </row>
    <row r="10759">
      <c r="A10759" s="3">
        <f>IFERROR(__xludf.DUMMYFUNCTION("""COMPUTED_VALUE"""),44803.66666666667)</f>
        <v>44803.66667</v>
      </c>
      <c r="B10759" s="2">
        <f>IFERROR(__xludf.DUMMYFUNCTION("""COMPUTED_VALUE"""),130.56)</f>
        <v>130.56</v>
      </c>
      <c r="C10759" s="2">
        <f>IFERROR(__xludf.DUMMYFUNCTION("""COMPUTED_VALUE"""),130.77)</f>
        <v>130.77</v>
      </c>
      <c r="D10759" s="2">
        <f>IFERROR(__xludf.DUMMYFUNCTION("""COMPUTED_VALUE"""),129.29)</f>
        <v>129.29</v>
      </c>
      <c r="E10759" s="2">
        <f>IFERROR(__xludf.DUMMYFUNCTION("""COMPUTED_VALUE"""),129.58)</f>
        <v>129.58</v>
      </c>
      <c r="F10759" s="2">
        <f>IFERROR(__xludf.DUMMYFUNCTION("""COMPUTED_VALUE"""),2407888.0)</f>
        <v>2407888</v>
      </c>
    </row>
    <row r="10760">
      <c r="A10760" s="3">
        <f>IFERROR(__xludf.DUMMYFUNCTION("""COMPUTED_VALUE"""),44804.66666666667)</f>
        <v>44804.66667</v>
      </c>
      <c r="B10760" s="2">
        <f>IFERROR(__xludf.DUMMYFUNCTION("""COMPUTED_VALUE"""),129.92)</f>
        <v>129.92</v>
      </c>
      <c r="C10760" s="2">
        <f>IFERROR(__xludf.DUMMYFUNCTION("""COMPUTED_VALUE"""),130.0)</f>
        <v>130</v>
      </c>
      <c r="D10760" s="2">
        <f>IFERROR(__xludf.DUMMYFUNCTION("""COMPUTED_VALUE"""),128.4)</f>
        <v>128.4</v>
      </c>
      <c r="E10760" s="2">
        <f>IFERROR(__xludf.DUMMYFUNCTION("""COMPUTED_VALUE"""),128.45)</f>
        <v>128.45</v>
      </c>
      <c r="F10760" s="2">
        <f>IFERROR(__xludf.DUMMYFUNCTION("""COMPUTED_VALUE"""),3490380.0)</f>
        <v>3490380</v>
      </c>
    </row>
    <row r="10761">
      <c r="A10761" s="3">
        <f>IFERROR(__xludf.DUMMYFUNCTION("""COMPUTED_VALUE"""),44805.66666666667)</f>
        <v>44805.66667</v>
      </c>
      <c r="B10761" s="2">
        <f>IFERROR(__xludf.DUMMYFUNCTION("""COMPUTED_VALUE"""),128.4)</f>
        <v>128.4</v>
      </c>
      <c r="C10761" s="2">
        <f>IFERROR(__xludf.DUMMYFUNCTION("""COMPUTED_VALUE"""),129.82)</f>
        <v>129.82</v>
      </c>
      <c r="D10761" s="2">
        <f>IFERROR(__xludf.DUMMYFUNCTION("""COMPUTED_VALUE"""),127.74)</f>
        <v>127.74</v>
      </c>
      <c r="E10761" s="2">
        <f>IFERROR(__xludf.DUMMYFUNCTION("""COMPUTED_VALUE"""),129.66)</f>
        <v>129.66</v>
      </c>
      <c r="F10761" s="2">
        <f>IFERROR(__xludf.DUMMYFUNCTION("""COMPUTED_VALUE"""),3396219.0)</f>
        <v>3396219</v>
      </c>
    </row>
    <row r="10762">
      <c r="A10762" s="3">
        <f>IFERROR(__xludf.DUMMYFUNCTION("""COMPUTED_VALUE"""),44806.66666666667)</f>
        <v>44806.66667</v>
      </c>
      <c r="B10762" s="2">
        <f>IFERROR(__xludf.DUMMYFUNCTION("""COMPUTED_VALUE"""),130.3)</f>
        <v>130.3</v>
      </c>
      <c r="C10762" s="2">
        <f>IFERROR(__xludf.DUMMYFUNCTION("""COMPUTED_VALUE"""),130.56)</f>
        <v>130.56</v>
      </c>
      <c r="D10762" s="2">
        <f>IFERROR(__xludf.DUMMYFUNCTION("""COMPUTED_VALUE"""),127.24)</f>
        <v>127.24</v>
      </c>
      <c r="E10762" s="2">
        <f>IFERROR(__xludf.DUMMYFUNCTION("""COMPUTED_VALUE"""),127.79)</f>
        <v>127.79</v>
      </c>
      <c r="F10762" s="2">
        <f>IFERROR(__xludf.DUMMYFUNCTION("""COMPUTED_VALUE"""),3040813.0)</f>
        <v>3040813</v>
      </c>
    </row>
    <row r="10763">
      <c r="A10763" s="3">
        <f>IFERROR(__xludf.DUMMYFUNCTION("""COMPUTED_VALUE"""),44810.66666666667)</f>
        <v>44810.66667</v>
      </c>
      <c r="B10763" s="2">
        <f>IFERROR(__xludf.DUMMYFUNCTION("""COMPUTED_VALUE"""),127.8)</f>
        <v>127.8</v>
      </c>
      <c r="C10763" s="2">
        <f>IFERROR(__xludf.DUMMYFUNCTION("""COMPUTED_VALUE"""),128.06)</f>
        <v>128.06</v>
      </c>
      <c r="D10763" s="2">
        <f>IFERROR(__xludf.DUMMYFUNCTION("""COMPUTED_VALUE"""),126.3)</f>
        <v>126.3</v>
      </c>
      <c r="E10763" s="2">
        <f>IFERROR(__xludf.DUMMYFUNCTION("""COMPUTED_VALUE"""),126.72)</f>
        <v>126.72</v>
      </c>
      <c r="F10763" s="2">
        <f>IFERROR(__xludf.DUMMYFUNCTION("""COMPUTED_VALUE"""),3347108.0)</f>
        <v>3347108</v>
      </c>
    </row>
    <row r="10764">
      <c r="A10764" s="3">
        <f>IFERROR(__xludf.DUMMYFUNCTION("""COMPUTED_VALUE"""),44811.66666666667)</f>
        <v>44811.66667</v>
      </c>
      <c r="B10764" s="2">
        <f>IFERROR(__xludf.DUMMYFUNCTION("""COMPUTED_VALUE"""),126.69)</f>
        <v>126.69</v>
      </c>
      <c r="C10764" s="2">
        <f>IFERROR(__xludf.DUMMYFUNCTION("""COMPUTED_VALUE"""),127.87)</f>
        <v>127.87</v>
      </c>
      <c r="D10764" s="2">
        <f>IFERROR(__xludf.DUMMYFUNCTION("""COMPUTED_VALUE"""),126.28)</f>
        <v>126.28</v>
      </c>
      <c r="E10764" s="2">
        <f>IFERROR(__xludf.DUMMYFUNCTION("""COMPUTED_VALUE"""),127.71)</f>
        <v>127.71</v>
      </c>
      <c r="F10764" s="2">
        <f>IFERROR(__xludf.DUMMYFUNCTION("""COMPUTED_VALUE"""),2401513.0)</f>
        <v>2401513</v>
      </c>
    </row>
    <row r="10765">
      <c r="A10765" s="3">
        <f>IFERROR(__xludf.DUMMYFUNCTION("""COMPUTED_VALUE"""),44812.66666666667)</f>
        <v>44812.66667</v>
      </c>
      <c r="B10765" s="2">
        <f>IFERROR(__xludf.DUMMYFUNCTION("""COMPUTED_VALUE"""),127.2)</f>
        <v>127.2</v>
      </c>
      <c r="C10765" s="2">
        <f>IFERROR(__xludf.DUMMYFUNCTION("""COMPUTED_VALUE"""),128.54)</f>
        <v>128.54</v>
      </c>
      <c r="D10765" s="2">
        <f>IFERROR(__xludf.DUMMYFUNCTION("""COMPUTED_VALUE"""),126.59)</f>
        <v>126.59</v>
      </c>
      <c r="E10765" s="2">
        <f>IFERROR(__xludf.DUMMYFUNCTION("""COMPUTED_VALUE"""),128.47)</f>
        <v>128.47</v>
      </c>
      <c r="F10765" s="2">
        <f>IFERROR(__xludf.DUMMYFUNCTION("""COMPUTED_VALUE"""),2964613.0)</f>
        <v>2964613</v>
      </c>
    </row>
    <row r="10766">
      <c r="A10766" s="3">
        <f>IFERROR(__xludf.DUMMYFUNCTION("""COMPUTED_VALUE"""),44813.66666666667)</f>
        <v>44813.66667</v>
      </c>
      <c r="B10766" s="2">
        <f>IFERROR(__xludf.DUMMYFUNCTION("""COMPUTED_VALUE"""),128.9)</f>
        <v>128.9</v>
      </c>
      <c r="C10766" s="2">
        <f>IFERROR(__xludf.DUMMYFUNCTION("""COMPUTED_VALUE"""),129.49)</f>
        <v>129.49</v>
      </c>
      <c r="D10766" s="2">
        <f>IFERROR(__xludf.DUMMYFUNCTION("""COMPUTED_VALUE"""),128.06)</f>
        <v>128.06</v>
      </c>
      <c r="E10766" s="2">
        <f>IFERROR(__xludf.DUMMYFUNCTION("""COMPUTED_VALUE"""),129.19)</f>
        <v>129.19</v>
      </c>
      <c r="F10766" s="2">
        <f>IFERROR(__xludf.DUMMYFUNCTION("""COMPUTED_VALUE"""),3293365.0)</f>
        <v>3293365</v>
      </c>
    </row>
    <row r="10767">
      <c r="A10767" s="3">
        <f>IFERROR(__xludf.DUMMYFUNCTION("""COMPUTED_VALUE"""),44816.66666666667)</f>
        <v>44816.66667</v>
      </c>
      <c r="B10767" s="2">
        <f>IFERROR(__xludf.DUMMYFUNCTION("""COMPUTED_VALUE"""),130.33)</f>
        <v>130.33</v>
      </c>
      <c r="C10767" s="2">
        <f>IFERROR(__xludf.DUMMYFUNCTION("""COMPUTED_VALUE"""),130.99)</f>
        <v>130.99</v>
      </c>
      <c r="D10767" s="2">
        <f>IFERROR(__xludf.DUMMYFUNCTION("""COMPUTED_VALUE"""),129.89)</f>
        <v>129.89</v>
      </c>
      <c r="E10767" s="2">
        <f>IFERROR(__xludf.DUMMYFUNCTION("""COMPUTED_VALUE"""),130.66)</f>
        <v>130.66</v>
      </c>
      <c r="F10767" s="2">
        <f>IFERROR(__xludf.DUMMYFUNCTION("""COMPUTED_VALUE"""),3741168.0)</f>
        <v>3741168</v>
      </c>
    </row>
    <row r="10768">
      <c r="A10768" s="3">
        <f>IFERROR(__xludf.DUMMYFUNCTION("""COMPUTED_VALUE"""),44817.66666666667)</f>
        <v>44817.66667</v>
      </c>
      <c r="B10768" s="2">
        <f>IFERROR(__xludf.DUMMYFUNCTION("""COMPUTED_VALUE"""),129.14)</f>
        <v>129.14</v>
      </c>
      <c r="C10768" s="2">
        <f>IFERROR(__xludf.DUMMYFUNCTION("""COMPUTED_VALUE"""),129.91)</f>
        <v>129.91</v>
      </c>
      <c r="D10768" s="2">
        <f>IFERROR(__xludf.DUMMYFUNCTION("""COMPUTED_VALUE"""),126.77)</f>
        <v>126.77</v>
      </c>
      <c r="E10768" s="2">
        <f>IFERROR(__xludf.DUMMYFUNCTION("""COMPUTED_VALUE"""),127.25)</f>
        <v>127.25</v>
      </c>
      <c r="F10768" s="2">
        <f>IFERROR(__xludf.DUMMYFUNCTION("""COMPUTED_VALUE"""),4565585.0)</f>
        <v>4565585</v>
      </c>
    </row>
    <row r="10769">
      <c r="A10769" s="3">
        <f>IFERROR(__xludf.DUMMYFUNCTION("""COMPUTED_VALUE"""),44818.66666666667)</f>
        <v>44818.66667</v>
      </c>
      <c r="B10769" s="2">
        <f>IFERROR(__xludf.DUMMYFUNCTION("""COMPUTED_VALUE"""),127.5)</f>
        <v>127.5</v>
      </c>
      <c r="C10769" s="2">
        <f>IFERROR(__xludf.DUMMYFUNCTION("""COMPUTED_VALUE"""),129.0)</f>
        <v>129</v>
      </c>
      <c r="D10769" s="2">
        <f>IFERROR(__xludf.DUMMYFUNCTION("""COMPUTED_VALUE"""),126.85)</f>
        <v>126.85</v>
      </c>
      <c r="E10769" s="2">
        <f>IFERROR(__xludf.DUMMYFUNCTION("""COMPUTED_VALUE"""),127.69)</f>
        <v>127.69</v>
      </c>
      <c r="F10769" s="2">
        <f>IFERROR(__xludf.DUMMYFUNCTION("""COMPUTED_VALUE"""),3819067.0)</f>
        <v>3819067</v>
      </c>
    </row>
    <row r="10770">
      <c r="A10770" s="3">
        <f>IFERROR(__xludf.DUMMYFUNCTION("""COMPUTED_VALUE"""),44819.66666666667)</f>
        <v>44819.66667</v>
      </c>
      <c r="B10770" s="2">
        <f>IFERROR(__xludf.DUMMYFUNCTION("""COMPUTED_VALUE"""),127.39)</f>
        <v>127.39</v>
      </c>
      <c r="C10770" s="2">
        <f>IFERROR(__xludf.DUMMYFUNCTION("""COMPUTED_VALUE"""),127.47)</f>
        <v>127.47</v>
      </c>
      <c r="D10770" s="2">
        <f>IFERROR(__xludf.DUMMYFUNCTION("""COMPUTED_VALUE"""),124.9)</f>
        <v>124.9</v>
      </c>
      <c r="E10770" s="2">
        <f>IFERROR(__xludf.DUMMYFUNCTION("""COMPUTED_VALUE"""),125.49)</f>
        <v>125.49</v>
      </c>
      <c r="F10770" s="2">
        <f>IFERROR(__xludf.DUMMYFUNCTION("""COMPUTED_VALUE"""),5141671.0)</f>
        <v>5141671</v>
      </c>
    </row>
    <row r="10771">
      <c r="A10771" s="3">
        <f>IFERROR(__xludf.DUMMYFUNCTION("""COMPUTED_VALUE"""),44820.66666666667)</f>
        <v>44820.66667</v>
      </c>
      <c r="B10771" s="2">
        <f>IFERROR(__xludf.DUMMYFUNCTION("""COMPUTED_VALUE"""),124.36)</f>
        <v>124.36</v>
      </c>
      <c r="C10771" s="2">
        <f>IFERROR(__xludf.DUMMYFUNCTION("""COMPUTED_VALUE"""),127.53)</f>
        <v>127.53</v>
      </c>
      <c r="D10771" s="2">
        <f>IFERROR(__xludf.DUMMYFUNCTION("""COMPUTED_VALUE"""),123.83)</f>
        <v>123.83</v>
      </c>
      <c r="E10771" s="2">
        <f>IFERROR(__xludf.DUMMYFUNCTION("""COMPUTED_VALUE"""),127.27)</f>
        <v>127.27</v>
      </c>
      <c r="F10771" s="2">
        <f>IFERROR(__xludf.DUMMYFUNCTION("""COMPUTED_VALUE"""),9839696.0)</f>
        <v>9839696</v>
      </c>
    </row>
    <row r="10772">
      <c r="A10772" s="3">
        <f>IFERROR(__xludf.DUMMYFUNCTION("""COMPUTED_VALUE"""),44823.66666666667)</f>
        <v>44823.66667</v>
      </c>
      <c r="B10772" s="2">
        <f>IFERROR(__xludf.DUMMYFUNCTION("""COMPUTED_VALUE"""),126.49)</f>
        <v>126.49</v>
      </c>
      <c r="C10772" s="2">
        <f>IFERROR(__xludf.DUMMYFUNCTION("""COMPUTED_VALUE"""),128.06)</f>
        <v>128.06</v>
      </c>
      <c r="D10772" s="2">
        <f>IFERROR(__xludf.DUMMYFUNCTION("""COMPUTED_VALUE"""),126.28)</f>
        <v>126.28</v>
      </c>
      <c r="E10772" s="2">
        <f>IFERROR(__xludf.DUMMYFUNCTION("""COMPUTED_VALUE"""),127.73)</f>
        <v>127.73</v>
      </c>
      <c r="F10772" s="2">
        <f>IFERROR(__xludf.DUMMYFUNCTION("""COMPUTED_VALUE"""),3981606.0)</f>
        <v>3981606</v>
      </c>
    </row>
    <row r="10773">
      <c r="A10773" s="3">
        <f>IFERROR(__xludf.DUMMYFUNCTION("""COMPUTED_VALUE"""),44824.66666666667)</f>
        <v>44824.66667</v>
      </c>
      <c r="B10773" s="2">
        <f>IFERROR(__xludf.DUMMYFUNCTION("""COMPUTED_VALUE"""),126.9)</f>
        <v>126.9</v>
      </c>
      <c r="C10773" s="2">
        <f>IFERROR(__xludf.DUMMYFUNCTION("""COMPUTED_VALUE"""),126.99)</f>
        <v>126.99</v>
      </c>
      <c r="D10773" s="2">
        <f>IFERROR(__xludf.DUMMYFUNCTION("""COMPUTED_VALUE"""),125.52)</f>
        <v>125.52</v>
      </c>
      <c r="E10773" s="2">
        <f>IFERROR(__xludf.DUMMYFUNCTION("""COMPUTED_VALUE"""),126.3)</f>
        <v>126.3</v>
      </c>
      <c r="F10773" s="2">
        <f>IFERROR(__xludf.DUMMYFUNCTION("""COMPUTED_VALUE"""),2837485.0)</f>
        <v>2837485</v>
      </c>
    </row>
    <row r="10774">
      <c r="A10774" s="3">
        <f>IFERROR(__xludf.DUMMYFUNCTION("""COMPUTED_VALUE"""),44825.66666666667)</f>
        <v>44825.66667</v>
      </c>
      <c r="B10774" s="2">
        <f>IFERROR(__xludf.DUMMYFUNCTION("""COMPUTED_VALUE"""),126.89)</f>
        <v>126.89</v>
      </c>
      <c r="C10774" s="2">
        <f>IFERROR(__xludf.DUMMYFUNCTION("""COMPUTED_VALUE"""),127.84)</f>
        <v>127.84</v>
      </c>
      <c r="D10774" s="2">
        <f>IFERROR(__xludf.DUMMYFUNCTION("""COMPUTED_VALUE"""),124.92)</f>
        <v>124.92</v>
      </c>
      <c r="E10774" s="2">
        <f>IFERROR(__xludf.DUMMYFUNCTION("""COMPUTED_VALUE"""),124.93)</f>
        <v>124.93</v>
      </c>
      <c r="F10774" s="2">
        <f>IFERROR(__xludf.DUMMYFUNCTION("""COMPUTED_VALUE"""),3389545.0)</f>
        <v>3389545</v>
      </c>
    </row>
    <row r="10775">
      <c r="A10775" s="3">
        <f>IFERROR(__xludf.DUMMYFUNCTION("""COMPUTED_VALUE"""),44826.66666666667)</f>
        <v>44826.66667</v>
      </c>
      <c r="B10775" s="2">
        <f>IFERROR(__xludf.DUMMYFUNCTION("""COMPUTED_VALUE"""),124.76)</f>
        <v>124.76</v>
      </c>
      <c r="C10775" s="2">
        <f>IFERROR(__xludf.DUMMYFUNCTION("""COMPUTED_VALUE"""),126.51)</f>
        <v>126.51</v>
      </c>
      <c r="D10775" s="2">
        <f>IFERROR(__xludf.DUMMYFUNCTION("""COMPUTED_VALUE"""),124.41)</f>
        <v>124.41</v>
      </c>
      <c r="E10775" s="2">
        <f>IFERROR(__xludf.DUMMYFUNCTION("""COMPUTED_VALUE"""),125.31)</f>
        <v>125.31</v>
      </c>
      <c r="F10775" s="2">
        <f>IFERROR(__xludf.DUMMYFUNCTION("""COMPUTED_VALUE"""),4046748.0)</f>
        <v>4046748</v>
      </c>
    </row>
    <row r="10776">
      <c r="A10776" s="3">
        <f>IFERROR(__xludf.DUMMYFUNCTION("""COMPUTED_VALUE"""),44827.66666666667)</f>
        <v>44827.66667</v>
      </c>
      <c r="B10776" s="2">
        <f>IFERROR(__xludf.DUMMYFUNCTION("""COMPUTED_VALUE"""),124.53)</f>
        <v>124.53</v>
      </c>
      <c r="C10776" s="2">
        <f>IFERROR(__xludf.DUMMYFUNCTION("""COMPUTED_VALUE"""),125.0)</f>
        <v>125</v>
      </c>
      <c r="D10776" s="2">
        <f>IFERROR(__xludf.DUMMYFUNCTION("""COMPUTED_VALUE"""),121.74)</f>
        <v>121.74</v>
      </c>
      <c r="E10776" s="2">
        <f>IFERROR(__xludf.DUMMYFUNCTION("""COMPUTED_VALUE"""),122.71)</f>
        <v>122.71</v>
      </c>
      <c r="F10776" s="2">
        <f>IFERROR(__xludf.DUMMYFUNCTION("""COMPUTED_VALUE"""),5195693.0)</f>
        <v>5195693</v>
      </c>
    </row>
    <row r="10777">
      <c r="A10777" s="3">
        <f>IFERROR(__xludf.DUMMYFUNCTION("""COMPUTED_VALUE"""),44830.66666666667)</f>
        <v>44830.66667</v>
      </c>
      <c r="B10777" s="2">
        <f>IFERROR(__xludf.DUMMYFUNCTION("""COMPUTED_VALUE"""),122.3)</f>
        <v>122.3</v>
      </c>
      <c r="C10777" s="2">
        <f>IFERROR(__xludf.DUMMYFUNCTION("""COMPUTED_VALUE"""),124.26)</f>
        <v>124.26</v>
      </c>
      <c r="D10777" s="2">
        <f>IFERROR(__xludf.DUMMYFUNCTION("""COMPUTED_VALUE"""),121.75)</f>
        <v>121.75</v>
      </c>
      <c r="E10777" s="2">
        <f>IFERROR(__xludf.DUMMYFUNCTION("""COMPUTED_VALUE"""),122.01)</f>
        <v>122.01</v>
      </c>
      <c r="F10777" s="2">
        <f>IFERROR(__xludf.DUMMYFUNCTION("""COMPUTED_VALUE"""),3987817.0)</f>
        <v>3987817</v>
      </c>
    </row>
    <row r="10778">
      <c r="A10778" s="3">
        <f>IFERROR(__xludf.DUMMYFUNCTION("""COMPUTED_VALUE"""),44831.66666666667)</f>
        <v>44831.66667</v>
      </c>
      <c r="B10778" s="2">
        <f>IFERROR(__xludf.DUMMYFUNCTION("""COMPUTED_VALUE"""),122.6)</f>
        <v>122.6</v>
      </c>
      <c r="C10778" s="2">
        <f>IFERROR(__xludf.DUMMYFUNCTION("""COMPUTED_VALUE"""),123.95)</f>
        <v>123.95</v>
      </c>
      <c r="D10778" s="2">
        <f>IFERROR(__xludf.DUMMYFUNCTION("""COMPUTED_VALUE"""),121.08)</f>
        <v>121.08</v>
      </c>
      <c r="E10778" s="2">
        <f>IFERROR(__xludf.DUMMYFUNCTION("""COMPUTED_VALUE"""),121.74)</f>
        <v>121.74</v>
      </c>
      <c r="F10778" s="2">
        <f>IFERROR(__xludf.DUMMYFUNCTION("""COMPUTED_VALUE"""),4117215.0)</f>
        <v>4117215</v>
      </c>
    </row>
    <row r="10779">
      <c r="A10779" s="3">
        <f>IFERROR(__xludf.DUMMYFUNCTION("""COMPUTED_VALUE"""),44832.66666666667)</f>
        <v>44832.66667</v>
      </c>
      <c r="B10779" s="2">
        <f>IFERROR(__xludf.DUMMYFUNCTION("""COMPUTED_VALUE"""),121.65)</f>
        <v>121.65</v>
      </c>
      <c r="C10779" s="2">
        <f>IFERROR(__xludf.DUMMYFUNCTION("""COMPUTED_VALUE"""),123.23)</f>
        <v>123.23</v>
      </c>
      <c r="D10779" s="2">
        <f>IFERROR(__xludf.DUMMYFUNCTION("""COMPUTED_VALUE"""),119.81)</f>
        <v>119.81</v>
      </c>
      <c r="E10779" s="2">
        <f>IFERROR(__xludf.DUMMYFUNCTION("""COMPUTED_VALUE"""),122.76)</f>
        <v>122.76</v>
      </c>
      <c r="F10779" s="2">
        <f>IFERROR(__xludf.DUMMYFUNCTION("""COMPUTED_VALUE"""),4996378.0)</f>
        <v>4996378</v>
      </c>
    </row>
    <row r="10780">
      <c r="A10780" s="3">
        <f>IFERROR(__xludf.DUMMYFUNCTION("""COMPUTED_VALUE"""),44833.66666666667)</f>
        <v>44833.66667</v>
      </c>
      <c r="B10780" s="2">
        <f>IFERROR(__xludf.DUMMYFUNCTION("""COMPUTED_VALUE"""),121.85)</f>
        <v>121.85</v>
      </c>
      <c r="C10780" s="2">
        <f>IFERROR(__xludf.DUMMYFUNCTION("""COMPUTED_VALUE"""),122.62)</f>
        <v>122.62</v>
      </c>
      <c r="D10780" s="2">
        <f>IFERROR(__xludf.DUMMYFUNCTION("""COMPUTED_VALUE"""),120.57)</f>
        <v>120.57</v>
      </c>
      <c r="E10780" s="2">
        <f>IFERROR(__xludf.DUMMYFUNCTION("""COMPUTED_VALUE"""),121.63)</f>
        <v>121.63</v>
      </c>
      <c r="F10780" s="2">
        <f>IFERROR(__xludf.DUMMYFUNCTION("""COMPUTED_VALUE"""),3817723.0)</f>
        <v>3817723</v>
      </c>
    </row>
    <row r="10781">
      <c r="A10781" s="3">
        <f>IFERROR(__xludf.DUMMYFUNCTION("""COMPUTED_VALUE"""),44834.66666666667)</f>
        <v>44834.66667</v>
      </c>
      <c r="B10781" s="2">
        <f>IFERROR(__xludf.DUMMYFUNCTION("""COMPUTED_VALUE"""),121.66)</f>
        <v>121.66</v>
      </c>
      <c r="C10781" s="2">
        <f>IFERROR(__xludf.DUMMYFUNCTION("""COMPUTED_VALUE"""),122.43)</f>
        <v>122.43</v>
      </c>
      <c r="D10781" s="2">
        <f>IFERROR(__xludf.DUMMYFUNCTION("""COMPUTED_VALUE"""),118.61)</f>
        <v>118.61</v>
      </c>
      <c r="E10781" s="2">
        <f>IFERROR(__xludf.DUMMYFUNCTION("""COMPUTED_VALUE"""),118.81)</f>
        <v>118.81</v>
      </c>
      <c r="F10781" s="2">
        <f>IFERROR(__xludf.DUMMYFUNCTION("""COMPUTED_VALUE"""),5346108.0)</f>
        <v>5346108</v>
      </c>
    </row>
    <row r="10782">
      <c r="A10782" s="3">
        <f>IFERROR(__xludf.DUMMYFUNCTION("""COMPUTED_VALUE"""),44837.66666666667)</f>
        <v>44837.66667</v>
      </c>
      <c r="B10782" s="2">
        <f>IFERROR(__xludf.DUMMYFUNCTION("""COMPUTED_VALUE"""),120.16)</f>
        <v>120.16</v>
      </c>
      <c r="C10782" s="2">
        <f>IFERROR(__xludf.DUMMYFUNCTION("""COMPUTED_VALUE"""),122.21)</f>
        <v>122.21</v>
      </c>
      <c r="D10782" s="2">
        <f>IFERROR(__xludf.DUMMYFUNCTION("""COMPUTED_VALUE"""),119.6)</f>
        <v>119.6</v>
      </c>
      <c r="E10782" s="2">
        <f>IFERROR(__xludf.DUMMYFUNCTION("""COMPUTED_VALUE"""),121.51)</f>
        <v>121.51</v>
      </c>
      <c r="F10782" s="2">
        <f>IFERROR(__xludf.DUMMYFUNCTION("""COMPUTED_VALUE"""),4261729.0)</f>
        <v>4261729</v>
      </c>
    </row>
    <row r="10783">
      <c r="A10783" s="3">
        <f>IFERROR(__xludf.DUMMYFUNCTION("""COMPUTED_VALUE"""),44838.66666666667)</f>
        <v>44838.66667</v>
      </c>
      <c r="B10783" s="2">
        <f>IFERROR(__xludf.DUMMYFUNCTION("""COMPUTED_VALUE"""),122.8)</f>
        <v>122.8</v>
      </c>
      <c r="C10783" s="2">
        <f>IFERROR(__xludf.DUMMYFUNCTION("""COMPUTED_VALUE"""),125.65)</f>
        <v>125.65</v>
      </c>
      <c r="D10783" s="2">
        <f>IFERROR(__xludf.DUMMYFUNCTION("""COMPUTED_VALUE"""),122.52)</f>
        <v>122.52</v>
      </c>
      <c r="E10783" s="2">
        <f>IFERROR(__xludf.DUMMYFUNCTION("""COMPUTED_VALUE"""),125.5)</f>
        <v>125.5</v>
      </c>
      <c r="F10783" s="2">
        <f>IFERROR(__xludf.DUMMYFUNCTION("""COMPUTED_VALUE"""),4566055.0)</f>
        <v>4566055</v>
      </c>
    </row>
    <row r="10784">
      <c r="A10784" s="3">
        <f>IFERROR(__xludf.DUMMYFUNCTION("""COMPUTED_VALUE"""),44839.66666666667)</f>
        <v>44839.66667</v>
      </c>
      <c r="B10784" s="2">
        <f>IFERROR(__xludf.DUMMYFUNCTION("""COMPUTED_VALUE"""),124.71)</f>
        <v>124.71</v>
      </c>
      <c r="C10784" s="2">
        <f>IFERROR(__xludf.DUMMYFUNCTION("""COMPUTED_VALUE"""),126.46)</f>
        <v>126.46</v>
      </c>
      <c r="D10784" s="2">
        <f>IFERROR(__xludf.DUMMYFUNCTION("""COMPUTED_VALUE"""),124.23)</f>
        <v>124.23</v>
      </c>
      <c r="E10784" s="2">
        <f>IFERROR(__xludf.DUMMYFUNCTION("""COMPUTED_VALUE"""),125.74)</f>
        <v>125.74</v>
      </c>
      <c r="F10784" s="2">
        <f>IFERROR(__xludf.DUMMYFUNCTION("""COMPUTED_VALUE"""),3212872.0)</f>
        <v>3212872</v>
      </c>
    </row>
    <row r="10785">
      <c r="A10785" s="3">
        <f>IFERROR(__xludf.DUMMYFUNCTION("""COMPUTED_VALUE"""),44840.66666666667)</f>
        <v>44840.66667</v>
      </c>
      <c r="B10785" s="2">
        <f>IFERROR(__xludf.DUMMYFUNCTION("""COMPUTED_VALUE"""),124.88)</f>
        <v>124.88</v>
      </c>
      <c r="C10785" s="2">
        <f>IFERROR(__xludf.DUMMYFUNCTION("""COMPUTED_VALUE"""),125.3)</f>
        <v>125.3</v>
      </c>
      <c r="D10785" s="2">
        <f>IFERROR(__xludf.DUMMYFUNCTION("""COMPUTED_VALUE"""),121.77)</f>
        <v>121.77</v>
      </c>
      <c r="E10785" s="2">
        <f>IFERROR(__xludf.DUMMYFUNCTION("""COMPUTED_VALUE"""),122.23)</f>
        <v>122.23</v>
      </c>
      <c r="F10785" s="2">
        <f>IFERROR(__xludf.DUMMYFUNCTION("""COMPUTED_VALUE"""),5074624.0)</f>
        <v>5074624</v>
      </c>
    </row>
    <row r="10786">
      <c r="A10786" s="3">
        <f>IFERROR(__xludf.DUMMYFUNCTION("""COMPUTED_VALUE"""),44841.66666666667)</f>
        <v>44841.66667</v>
      </c>
      <c r="B10786" s="2">
        <f>IFERROR(__xludf.DUMMYFUNCTION("""COMPUTED_VALUE"""),121.5)</f>
        <v>121.5</v>
      </c>
      <c r="C10786" s="2">
        <f>IFERROR(__xludf.DUMMYFUNCTION("""COMPUTED_VALUE"""),121.8)</f>
        <v>121.8</v>
      </c>
      <c r="D10786" s="2">
        <f>IFERROR(__xludf.DUMMYFUNCTION("""COMPUTED_VALUE"""),118.07)</f>
        <v>118.07</v>
      </c>
      <c r="E10786" s="2">
        <f>IFERROR(__xludf.DUMMYFUNCTION("""COMPUTED_VALUE"""),118.82)</f>
        <v>118.82</v>
      </c>
      <c r="F10786" s="2">
        <f>IFERROR(__xludf.DUMMYFUNCTION("""COMPUTED_VALUE"""),4499672.0)</f>
        <v>4499672</v>
      </c>
    </row>
    <row r="10787">
      <c r="A10787" s="3">
        <f>IFERROR(__xludf.DUMMYFUNCTION("""COMPUTED_VALUE"""),44844.66666666667)</f>
        <v>44844.66667</v>
      </c>
      <c r="B10787" s="2">
        <f>IFERROR(__xludf.DUMMYFUNCTION("""COMPUTED_VALUE"""),119.79)</f>
        <v>119.79</v>
      </c>
      <c r="C10787" s="2">
        <f>IFERROR(__xludf.DUMMYFUNCTION("""COMPUTED_VALUE"""),119.96)</f>
        <v>119.96</v>
      </c>
      <c r="D10787" s="2">
        <f>IFERROR(__xludf.DUMMYFUNCTION("""COMPUTED_VALUE"""),117.04)</f>
        <v>117.04</v>
      </c>
      <c r="E10787" s="2">
        <f>IFERROR(__xludf.DUMMYFUNCTION("""COMPUTED_VALUE"""),117.75)</f>
        <v>117.75</v>
      </c>
      <c r="F10787" s="2">
        <f>IFERROR(__xludf.DUMMYFUNCTION("""COMPUTED_VALUE"""),5990008.0)</f>
        <v>5990008</v>
      </c>
    </row>
    <row r="10788">
      <c r="A10788" s="3">
        <f>IFERROR(__xludf.DUMMYFUNCTION("""COMPUTED_VALUE"""),44845.66666666667)</f>
        <v>44845.66667</v>
      </c>
      <c r="B10788" s="2">
        <f>IFERROR(__xludf.DUMMYFUNCTION("""COMPUTED_VALUE"""),117.46)</f>
        <v>117.46</v>
      </c>
      <c r="C10788" s="2">
        <f>IFERROR(__xludf.DUMMYFUNCTION("""COMPUTED_VALUE"""),119.23)</f>
        <v>119.23</v>
      </c>
      <c r="D10788" s="2">
        <f>IFERROR(__xludf.DUMMYFUNCTION("""COMPUTED_VALUE"""),116.94)</f>
        <v>116.94</v>
      </c>
      <c r="E10788" s="2">
        <f>IFERROR(__xludf.DUMMYFUNCTION("""COMPUTED_VALUE"""),117.8)</f>
        <v>117.8</v>
      </c>
      <c r="F10788" s="2">
        <f>IFERROR(__xludf.DUMMYFUNCTION("""COMPUTED_VALUE"""),4043265.0)</f>
        <v>4043265</v>
      </c>
    </row>
    <row r="10789">
      <c r="A10789" s="3">
        <f>IFERROR(__xludf.DUMMYFUNCTION("""COMPUTED_VALUE"""),44846.66666666667)</f>
        <v>44846.66667</v>
      </c>
      <c r="B10789" s="2">
        <f>IFERROR(__xludf.DUMMYFUNCTION("""COMPUTED_VALUE"""),118.0)</f>
        <v>118</v>
      </c>
      <c r="C10789" s="2">
        <f>IFERROR(__xludf.DUMMYFUNCTION("""COMPUTED_VALUE"""),118.81)</f>
        <v>118.81</v>
      </c>
      <c r="D10789" s="2">
        <f>IFERROR(__xludf.DUMMYFUNCTION("""COMPUTED_VALUE"""),117.2)</f>
        <v>117.2</v>
      </c>
      <c r="E10789" s="2">
        <f>IFERROR(__xludf.DUMMYFUNCTION("""COMPUTED_VALUE"""),117.57)</f>
        <v>117.57</v>
      </c>
      <c r="F10789" s="2">
        <f>IFERROR(__xludf.DUMMYFUNCTION("""COMPUTED_VALUE"""),3338754.0)</f>
        <v>3338754</v>
      </c>
    </row>
    <row r="10790">
      <c r="A10790" s="3">
        <f>IFERROR(__xludf.DUMMYFUNCTION("""COMPUTED_VALUE"""),44847.66666666667)</f>
        <v>44847.66667</v>
      </c>
      <c r="B10790" s="2">
        <f>IFERROR(__xludf.DUMMYFUNCTION("""COMPUTED_VALUE"""),116.1)</f>
        <v>116.1</v>
      </c>
      <c r="C10790" s="2">
        <f>IFERROR(__xludf.DUMMYFUNCTION("""COMPUTED_VALUE"""),122.15)</f>
        <v>122.15</v>
      </c>
      <c r="D10790" s="2">
        <f>IFERROR(__xludf.DUMMYFUNCTION("""COMPUTED_VALUE"""),115.55)</f>
        <v>115.55</v>
      </c>
      <c r="E10790" s="2">
        <f>IFERROR(__xludf.DUMMYFUNCTION("""COMPUTED_VALUE"""),121.79)</f>
        <v>121.79</v>
      </c>
      <c r="F10790" s="2">
        <f>IFERROR(__xludf.DUMMYFUNCTION("""COMPUTED_VALUE"""),5837645.0)</f>
        <v>5837645</v>
      </c>
    </row>
    <row r="10791">
      <c r="A10791" s="3">
        <f>IFERROR(__xludf.DUMMYFUNCTION("""COMPUTED_VALUE"""),44848.66666666667)</f>
        <v>44848.66667</v>
      </c>
      <c r="B10791" s="2">
        <f>IFERROR(__xludf.DUMMYFUNCTION("""COMPUTED_VALUE"""),121.8)</f>
        <v>121.8</v>
      </c>
      <c r="C10791" s="2">
        <f>IFERROR(__xludf.DUMMYFUNCTION("""COMPUTED_VALUE"""),122.54)</f>
        <v>122.54</v>
      </c>
      <c r="D10791" s="2">
        <f>IFERROR(__xludf.DUMMYFUNCTION("""COMPUTED_VALUE"""),119.84)</f>
        <v>119.84</v>
      </c>
      <c r="E10791" s="2">
        <f>IFERROR(__xludf.DUMMYFUNCTION("""COMPUTED_VALUE"""),120.04)</f>
        <v>120.04</v>
      </c>
      <c r="F10791" s="2">
        <f>IFERROR(__xludf.DUMMYFUNCTION("""COMPUTED_VALUE"""),3763840.0)</f>
        <v>3763840</v>
      </c>
    </row>
    <row r="10792">
      <c r="A10792" s="3">
        <f>IFERROR(__xludf.DUMMYFUNCTION("""COMPUTED_VALUE"""),44851.66666666667)</f>
        <v>44851.66667</v>
      </c>
      <c r="B10792" s="2">
        <f>IFERROR(__xludf.DUMMYFUNCTION("""COMPUTED_VALUE"""),121.8)</f>
        <v>121.8</v>
      </c>
      <c r="C10792" s="2">
        <f>IFERROR(__xludf.DUMMYFUNCTION("""COMPUTED_VALUE"""),122.88)</f>
        <v>122.88</v>
      </c>
      <c r="D10792" s="2">
        <f>IFERROR(__xludf.DUMMYFUNCTION("""COMPUTED_VALUE"""),121.43)</f>
        <v>121.43</v>
      </c>
      <c r="E10792" s="2">
        <f>IFERROR(__xludf.DUMMYFUNCTION("""COMPUTED_VALUE"""),121.52)</f>
        <v>121.52</v>
      </c>
      <c r="F10792" s="2">
        <f>IFERROR(__xludf.DUMMYFUNCTION("""COMPUTED_VALUE"""),5458585.0)</f>
        <v>5458585</v>
      </c>
    </row>
    <row r="10793">
      <c r="A10793" s="3">
        <f>IFERROR(__xludf.DUMMYFUNCTION("""COMPUTED_VALUE"""),44852.66666666667)</f>
        <v>44852.66667</v>
      </c>
      <c r="B10793" s="2">
        <f>IFERROR(__xludf.DUMMYFUNCTION("""COMPUTED_VALUE"""),123.0)</f>
        <v>123</v>
      </c>
      <c r="C10793" s="2">
        <f>IFERROR(__xludf.DUMMYFUNCTION("""COMPUTED_VALUE"""),123.94)</f>
        <v>123.94</v>
      </c>
      <c r="D10793" s="2">
        <f>IFERROR(__xludf.DUMMYFUNCTION("""COMPUTED_VALUE"""),121.82)</f>
        <v>121.82</v>
      </c>
      <c r="E10793" s="2">
        <f>IFERROR(__xludf.DUMMYFUNCTION("""COMPUTED_VALUE"""),122.94)</f>
        <v>122.94</v>
      </c>
      <c r="F10793" s="2">
        <f>IFERROR(__xludf.DUMMYFUNCTION("""COMPUTED_VALUE"""),5120336.0)</f>
        <v>5120336</v>
      </c>
    </row>
    <row r="10794">
      <c r="A10794" s="3">
        <f>IFERROR(__xludf.DUMMYFUNCTION("""COMPUTED_VALUE"""),44853.66666666667)</f>
        <v>44853.66667</v>
      </c>
      <c r="B10794" s="2">
        <f>IFERROR(__xludf.DUMMYFUNCTION("""COMPUTED_VALUE"""),122.36)</f>
        <v>122.36</v>
      </c>
      <c r="C10794" s="2">
        <f>IFERROR(__xludf.DUMMYFUNCTION("""COMPUTED_VALUE"""),123.94)</f>
        <v>123.94</v>
      </c>
      <c r="D10794" s="2">
        <f>IFERROR(__xludf.DUMMYFUNCTION("""COMPUTED_VALUE"""),121.99)</f>
        <v>121.99</v>
      </c>
      <c r="E10794" s="2">
        <f>IFERROR(__xludf.DUMMYFUNCTION("""COMPUTED_VALUE"""),122.51)</f>
        <v>122.51</v>
      </c>
      <c r="F10794" s="2">
        <f>IFERROR(__xludf.DUMMYFUNCTION("""COMPUTED_VALUE"""),5906576.0)</f>
        <v>5906576</v>
      </c>
    </row>
    <row r="10795">
      <c r="A10795" s="3">
        <f>IFERROR(__xludf.DUMMYFUNCTION("""COMPUTED_VALUE"""),44854.66666666667)</f>
        <v>44854.66667</v>
      </c>
      <c r="B10795" s="2">
        <f>IFERROR(__xludf.DUMMYFUNCTION("""COMPUTED_VALUE"""),126.25)</f>
        <v>126.25</v>
      </c>
      <c r="C10795" s="2">
        <f>IFERROR(__xludf.DUMMYFUNCTION("""COMPUTED_VALUE"""),128.96)</f>
        <v>128.96</v>
      </c>
      <c r="D10795" s="2">
        <f>IFERROR(__xludf.DUMMYFUNCTION("""COMPUTED_VALUE"""),125.15)</f>
        <v>125.15</v>
      </c>
      <c r="E10795" s="2">
        <f>IFERROR(__xludf.DUMMYFUNCTION("""COMPUTED_VALUE"""),128.3)</f>
        <v>128.3</v>
      </c>
      <c r="F10795" s="2">
        <f>IFERROR(__xludf.DUMMYFUNCTION("""COMPUTED_VALUE"""),1.3623115E7)</f>
        <v>13623115</v>
      </c>
    </row>
    <row r="10796">
      <c r="A10796" s="3">
        <f>IFERROR(__xludf.DUMMYFUNCTION("""COMPUTED_VALUE"""),44855.66666666667)</f>
        <v>44855.66667</v>
      </c>
      <c r="B10796" s="2">
        <f>IFERROR(__xludf.DUMMYFUNCTION("""COMPUTED_VALUE"""),128.39)</f>
        <v>128.39</v>
      </c>
      <c r="C10796" s="2">
        <f>IFERROR(__xludf.DUMMYFUNCTION("""COMPUTED_VALUE"""),130.85)</f>
        <v>130.85</v>
      </c>
      <c r="D10796" s="2">
        <f>IFERROR(__xludf.DUMMYFUNCTION("""COMPUTED_VALUE"""),127.59)</f>
        <v>127.59</v>
      </c>
      <c r="E10796" s="2">
        <f>IFERROR(__xludf.DUMMYFUNCTION("""COMPUTED_VALUE"""),129.9)</f>
        <v>129.9</v>
      </c>
      <c r="F10796" s="2">
        <f>IFERROR(__xludf.DUMMYFUNCTION("""COMPUTED_VALUE"""),7201256.0)</f>
        <v>7201256</v>
      </c>
    </row>
    <row r="10797">
      <c r="A10797" s="3">
        <f>IFERROR(__xludf.DUMMYFUNCTION("""COMPUTED_VALUE"""),44858.66666666667)</f>
        <v>44858.66667</v>
      </c>
      <c r="B10797" s="2">
        <f>IFERROR(__xludf.DUMMYFUNCTION("""COMPUTED_VALUE"""),130.9)</f>
        <v>130.9</v>
      </c>
      <c r="C10797" s="2">
        <f>IFERROR(__xludf.DUMMYFUNCTION("""COMPUTED_VALUE"""),133.11)</f>
        <v>133.11</v>
      </c>
      <c r="D10797" s="2">
        <f>IFERROR(__xludf.DUMMYFUNCTION("""COMPUTED_VALUE"""),129.85)</f>
        <v>129.85</v>
      </c>
      <c r="E10797" s="2">
        <f>IFERROR(__xludf.DUMMYFUNCTION("""COMPUTED_VALUE"""),132.69)</f>
        <v>132.69</v>
      </c>
      <c r="F10797" s="2">
        <f>IFERROR(__xludf.DUMMYFUNCTION("""COMPUTED_VALUE"""),5610914.0)</f>
        <v>5610914</v>
      </c>
    </row>
    <row r="10798">
      <c r="A10798" s="3">
        <f>IFERROR(__xludf.DUMMYFUNCTION("""COMPUTED_VALUE"""),44859.66666666667)</f>
        <v>44859.66667</v>
      </c>
      <c r="B10798" s="2">
        <f>IFERROR(__xludf.DUMMYFUNCTION("""COMPUTED_VALUE"""),132.0)</f>
        <v>132</v>
      </c>
      <c r="C10798" s="2">
        <f>IFERROR(__xludf.DUMMYFUNCTION("""COMPUTED_VALUE"""),133.3)</f>
        <v>133.3</v>
      </c>
      <c r="D10798" s="2">
        <f>IFERROR(__xludf.DUMMYFUNCTION("""COMPUTED_VALUE"""),131.3)</f>
        <v>131.3</v>
      </c>
      <c r="E10798" s="2">
        <f>IFERROR(__xludf.DUMMYFUNCTION("""COMPUTED_VALUE"""),132.93)</f>
        <v>132.93</v>
      </c>
      <c r="F10798" s="2">
        <f>IFERROR(__xludf.DUMMYFUNCTION("""COMPUTED_VALUE"""),5957623.0)</f>
        <v>5957623</v>
      </c>
    </row>
    <row r="10799">
      <c r="A10799" s="3">
        <f>IFERROR(__xludf.DUMMYFUNCTION("""COMPUTED_VALUE"""),44860.66666666667)</f>
        <v>44860.66667</v>
      </c>
      <c r="B10799" s="2">
        <f>IFERROR(__xludf.DUMMYFUNCTION("""COMPUTED_VALUE"""),133.72)</f>
        <v>133.72</v>
      </c>
      <c r="C10799" s="2">
        <f>IFERROR(__xludf.DUMMYFUNCTION("""COMPUTED_VALUE"""),135.86)</f>
        <v>135.86</v>
      </c>
      <c r="D10799" s="2">
        <f>IFERROR(__xludf.DUMMYFUNCTION("""COMPUTED_VALUE"""),132.81)</f>
        <v>132.81</v>
      </c>
      <c r="E10799" s="2">
        <f>IFERROR(__xludf.DUMMYFUNCTION("""COMPUTED_VALUE"""),135.01)</f>
        <v>135.01</v>
      </c>
      <c r="F10799" s="2">
        <f>IFERROR(__xludf.DUMMYFUNCTION("""COMPUTED_VALUE"""),5140023.0)</f>
        <v>5140023</v>
      </c>
    </row>
    <row r="10800">
      <c r="A10800" s="3">
        <f>IFERROR(__xludf.DUMMYFUNCTION("""COMPUTED_VALUE"""),44861.66666666667)</f>
        <v>44861.66667</v>
      </c>
      <c r="B10800" s="2">
        <f>IFERROR(__xludf.DUMMYFUNCTION("""COMPUTED_VALUE"""),135.55)</f>
        <v>135.55</v>
      </c>
      <c r="C10800" s="2">
        <f>IFERROR(__xludf.DUMMYFUNCTION("""COMPUTED_VALUE"""),136.4)</f>
        <v>136.4</v>
      </c>
      <c r="D10800" s="2">
        <f>IFERROR(__xludf.DUMMYFUNCTION("""COMPUTED_VALUE"""),134.45)</f>
        <v>134.45</v>
      </c>
      <c r="E10800" s="2">
        <f>IFERROR(__xludf.DUMMYFUNCTION("""COMPUTED_VALUE"""),134.77)</f>
        <v>134.77</v>
      </c>
      <c r="F10800" s="2">
        <f>IFERROR(__xludf.DUMMYFUNCTION("""COMPUTED_VALUE"""),3993168.0)</f>
        <v>3993168</v>
      </c>
    </row>
    <row r="10801">
      <c r="A10801" s="3">
        <f>IFERROR(__xludf.DUMMYFUNCTION("""COMPUTED_VALUE"""),44862.66666666667)</f>
        <v>44862.66667</v>
      </c>
      <c r="B10801" s="2">
        <f>IFERROR(__xludf.DUMMYFUNCTION("""COMPUTED_VALUE"""),135.56)</f>
        <v>135.56</v>
      </c>
      <c r="C10801" s="2">
        <f>IFERROR(__xludf.DUMMYFUNCTION("""COMPUTED_VALUE"""),138.86)</f>
        <v>138.86</v>
      </c>
      <c r="D10801" s="2">
        <f>IFERROR(__xludf.DUMMYFUNCTION("""COMPUTED_VALUE"""),135.22)</f>
        <v>135.22</v>
      </c>
      <c r="E10801" s="2">
        <f>IFERROR(__xludf.DUMMYFUNCTION("""COMPUTED_VALUE"""),138.51)</f>
        <v>138.51</v>
      </c>
      <c r="F10801" s="2">
        <f>IFERROR(__xludf.DUMMYFUNCTION("""COMPUTED_VALUE"""),5965457.0)</f>
        <v>5965457</v>
      </c>
    </row>
    <row r="10802">
      <c r="A10802" s="3">
        <f>IFERROR(__xludf.DUMMYFUNCTION("""COMPUTED_VALUE"""),44865.66666666667)</f>
        <v>44865.66667</v>
      </c>
      <c r="B10802" s="2">
        <f>IFERROR(__xludf.DUMMYFUNCTION("""COMPUTED_VALUE"""),138.06)</f>
        <v>138.06</v>
      </c>
      <c r="C10802" s="2">
        <f>IFERROR(__xludf.DUMMYFUNCTION("""COMPUTED_VALUE"""),138.77)</f>
        <v>138.77</v>
      </c>
      <c r="D10802" s="2">
        <f>IFERROR(__xludf.DUMMYFUNCTION("""COMPUTED_VALUE"""),136.6)</f>
        <v>136.6</v>
      </c>
      <c r="E10802" s="2">
        <f>IFERROR(__xludf.DUMMYFUNCTION("""COMPUTED_VALUE"""),138.29)</f>
        <v>138.29</v>
      </c>
      <c r="F10802" s="2">
        <f>IFERROR(__xludf.DUMMYFUNCTION("""COMPUTED_VALUE"""),4915270.0)</f>
        <v>4915270</v>
      </c>
    </row>
    <row r="10803">
      <c r="A10803" s="3">
        <f>IFERROR(__xludf.DUMMYFUNCTION("""COMPUTED_VALUE"""),44866.66666666667)</f>
        <v>44866.66667</v>
      </c>
      <c r="B10803" s="2">
        <f>IFERROR(__xludf.DUMMYFUNCTION("""COMPUTED_VALUE"""),138.25)</f>
        <v>138.25</v>
      </c>
      <c r="C10803" s="2">
        <f>IFERROR(__xludf.DUMMYFUNCTION("""COMPUTED_VALUE"""),138.65)</f>
        <v>138.65</v>
      </c>
      <c r="D10803" s="2">
        <f>IFERROR(__xludf.DUMMYFUNCTION("""COMPUTED_VALUE"""),136.7)</f>
        <v>136.7</v>
      </c>
      <c r="E10803" s="2">
        <f>IFERROR(__xludf.DUMMYFUNCTION("""COMPUTED_VALUE"""),138.2)</f>
        <v>138.2</v>
      </c>
      <c r="F10803" s="2">
        <f>IFERROR(__xludf.DUMMYFUNCTION("""COMPUTED_VALUE"""),3590607.0)</f>
        <v>3590607</v>
      </c>
    </row>
    <row r="10804">
      <c r="A10804" s="3">
        <f>IFERROR(__xludf.DUMMYFUNCTION("""COMPUTED_VALUE"""),44867.66666666667)</f>
        <v>44867.66667</v>
      </c>
      <c r="B10804" s="2">
        <f>IFERROR(__xludf.DUMMYFUNCTION("""COMPUTED_VALUE"""),137.75)</f>
        <v>137.75</v>
      </c>
      <c r="C10804" s="2">
        <f>IFERROR(__xludf.DUMMYFUNCTION("""COMPUTED_VALUE"""),140.17)</f>
        <v>140.17</v>
      </c>
      <c r="D10804" s="2">
        <f>IFERROR(__xludf.DUMMYFUNCTION("""COMPUTED_VALUE"""),136.8)</f>
        <v>136.8</v>
      </c>
      <c r="E10804" s="2">
        <f>IFERROR(__xludf.DUMMYFUNCTION("""COMPUTED_VALUE"""),136.83)</f>
        <v>136.83</v>
      </c>
      <c r="F10804" s="2">
        <f>IFERROR(__xludf.DUMMYFUNCTION("""COMPUTED_VALUE"""),5365264.0)</f>
        <v>5365264</v>
      </c>
    </row>
    <row r="10805">
      <c r="A10805" s="3">
        <f>IFERROR(__xludf.DUMMYFUNCTION("""COMPUTED_VALUE"""),44868.66666666667)</f>
        <v>44868.66667</v>
      </c>
      <c r="B10805" s="2">
        <f>IFERROR(__xludf.DUMMYFUNCTION("""COMPUTED_VALUE"""),136.42)</f>
        <v>136.42</v>
      </c>
      <c r="C10805" s="2">
        <f>IFERROR(__xludf.DUMMYFUNCTION("""COMPUTED_VALUE"""),136.48)</f>
        <v>136.48</v>
      </c>
      <c r="D10805" s="2">
        <f>IFERROR(__xludf.DUMMYFUNCTION("""COMPUTED_VALUE"""),133.97)</f>
        <v>133.97</v>
      </c>
      <c r="E10805" s="2">
        <f>IFERROR(__xludf.DUMMYFUNCTION("""COMPUTED_VALUE"""),134.47)</f>
        <v>134.47</v>
      </c>
      <c r="F10805" s="2">
        <f>IFERROR(__xludf.DUMMYFUNCTION("""COMPUTED_VALUE"""),4442443.0)</f>
        <v>4442443</v>
      </c>
    </row>
    <row r="10806">
      <c r="A10806" s="3">
        <f>IFERROR(__xludf.DUMMYFUNCTION("""COMPUTED_VALUE"""),44869.66666666667)</f>
        <v>44869.66667</v>
      </c>
      <c r="B10806" s="2">
        <f>IFERROR(__xludf.DUMMYFUNCTION("""COMPUTED_VALUE"""),135.65)</f>
        <v>135.65</v>
      </c>
      <c r="C10806" s="2">
        <f>IFERROR(__xludf.DUMMYFUNCTION("""COMPUTED_VALUE"""),137.73)</f>
        <v>137.73</v>
      </c>
      <c r="D10806" s="2">
        <f>IFERROR(__xludf.DUMMYFUNCTION("""COMPUTED_VALUE"""),134.94)</f>
        <v>134.94</v>
      </c>
      <c r="E10806" s="2">
        <f>IFERROR(__xludf.DUMMYFUNCTION("""COMPUTED_VALUE"""),136.96)</f>
        <v>136.96</v>
      </c>
      <c r="F10806" s="2">
        <f>IFERROR(__xludf.DUMMYFUNCTION("""COMPUTED_VALUE"""),4177972.0)</f>
        <v>4177972</v>
      </c>
    </row>
    <row r="10807">
      <c r="A10807" s="3">
        <f>IFERROR(__xludf.DUMMYFUNCTION("""COMPUTED_VALUE"""),44872.66666666667)</f>
        <v>44872.66667</v>
      </c>
      <c r="B10807" s="2">
        <f>IFERROR(__xludf.DUMMYFUNCTION("""COMPUTED_VALUE"""),136.64)</f>
        <v>136.64</v>
      </c>
      <c r="C10807" s="2">
        <f>IFERROR(__xludf.DUMMYFUNCTION("""COMPUTED_VALUE"""),138.7)</f>
        <v>138.7</v>
      </c>
      <c r="D10807" s="2">
        <f>IFERROR(__xludf.DUMMYFUNCTION("""COMPUTED_VALUE"""),136.51)</f>
        <v>136.51</v>
      </c>
      <c r="E10807" s="2">
        <f>IFERROR(__xludf.DUMMYFUNCTION("""COMPUTED_VALUE"""),138.34)</f>
        <v>138.34</v>
      </c>
      <c r="F10807" s="2">
        <f>IFERROR(__xludf.DUMMYFUNCTION("""COMPUTED_VALUE"""),4043062.0)</f>
        <v>4043062</v>
      </c>
    </row>
    <row r="10808">
      <c r="A10808" s="3">
        <f>IFERROR(__xludf.DUMMYFUNCTION("""COMPUTED_VALUE"""),44873.66666666667)</f>
        <v>44873.66667</v>
      </c>
      <c r="B10808" s="2">
        <f>IFERROR(__xludf.DUMMYFUNCTION("""COMPUTED_VALUE"""),139.0)</f>
        <v>139</v>
      </c>
      <c r="C10808" s="2">
        <f>IFERROR(__xludf.DUMMYFUNCTION("""COMPUTED_VALUE"""),140.93)</f>
        <v>140.93</v>
      </c>
      <c r="D10808" s="2">
        <f>IFERROR(__xludf.DUMMYFUNCTION("""COMPUTED_VALUE"""),138.72)</f>
        <v>138.72</v>
      </c>
      <c r="E10808" s="2">
        <f>IFERROR(__xludf.DUMMYFUNCTION("""COMPUTED_VALUE"""),140.04)</f>
        <v>140.04</v>
      </c>
      <c r="F10808" s="2">
        <f>IFERROR(__xludf.DUMMYFUNCTION("""COMPUTED_VALUE"""),5042756.0)</f>
        <v>5042756</v>
      </c>
    </row>
    <row r="10809">
      <c r="A10809" s="3">
        <f>IFERROR(__xludf.DUMMYFUNCTION("""COMPUTED_VALUE"""),44874.66666666667)</f>
        <v>44874.66667</v>
      </c>
      <c r="B10809" s="2">
        <f>IFERROR(__xludf.DUMMYFUNCTION("""COMPUTED_VALUE"""),137.95)</f>
        <v>137.95</v>
      </c>
      <c r="C10809" s="2">
        <f>IFERROR(__xludf.DUMMYFUNCTION("""COMPUTED_VALUE"""),138.9)</f>
        <v>138.9</v>
      </c>
      <c r="D10809" s="2">
        <f>IFERROR(__xludf.DUMMYFUNCTION("""COMPUTED_VALUE"""),136.94)</f>
        <v>136.94</v>
      </c>
      <c r="E10809" s="2">
        <f>IFERROR(__xludf.DUMMYFUNCTION("""COMPUTED_VALUE"""),137.39)</f>
        <v>137.39</v>
      </c>
      <c r="F10809" s="2">
        <f>IFERROR(__xludf.DUMMYFUNCTION("""COMPUTED_VALUE"""),4720007.0)</f>
        <v>4720007</v>
      </c>
    </row>
    <row r="10810">
      <c r="A10810" s="3">
        <f>IFERROR(__xludf.DUMMYFUNCTION("""COMPUTED_VALUE"""),44875.66666666667)</f>
        <v>44875.66667</v>
      </c>
      <c r="B10810" s="2">
        <f>IFERROR(__xludf.DUMMYFUNCTION("""COMPUTED_VALUE"""),140.26)</f>
        <v>140.26</v>
      </c>
      <c r="C10810" s="2">
        <f>IFERROR(__xludf.DUMMYFUNCTION("""COMPUTED_VALUE"""),141.37)</f>
        <v>141.37</v>
      </c>
      <c r="D10810" s="2">
        <f>IFERROR(__xludf.DUMMYFUNCTION("""COMPUTED_VALUE"""),138.29)</f>
        <v>138.29</v>
      </c>
      <c r="E10810" s="2">
        <f>IFERROR(__xludf.DUMMYFUNCTION("""COMPUTED_VALUE"""),141.23)</f>
        <v>141.23</v>
      </c>
      <c r="F10810" s="2">
        <f>IFERROR(__xludf.DUMMYFUNCTION("""COMPUTED_VALUE"""),5389025.0)</f>
        <v>5389025</v>
      </c>
    </row>
    <row r="10811">
      <c r="A10811" s="3">
        <f>IFERROR(__xludf.DUMMYFUNCTION("""COMPUTED_VALUE"""),44876.66666666667)</f>
        <v>44876.66667</v>
      </c>
      <c r="B10811" s="2">
        <f>IFERROR(__xludf.DUMMYFUNCTION("""COMPUTED_VALUE"""),141.5)</f>
        <v>141.5</v>
      </c>
      <c r="C10811" s="2">
        <f>IFERROR(__xludf.DUMMYFUNCTION("""COMPUTED_VALUE"""),144.13)</f>
        <v>144.13</v>
      </c>
      <c r="D10811" s="2">
        <f>IFERROR(__xludf.DUMMYFUNCTION("""COMPUTED_VALUE"""),140.96)</f>
        <v>140.96</v>
      </c>
      <c r="E10811" s="2">
        <f>IFERROR(__xludf.DUMMYFUNCTION("""COMPUTED_VALUE"""),143.17)</f>
        <v>143.17</v>
      </c>
      <c r="F10811" s="2">
        <f>IFERROR(__xludf.DUMMYFUNCTION("""COMPUTED_VALUE"""),5871264.0)</f>
        <v>5871264</v>
      </c>
    </row>
    <row r="10812">
      <c r="A10812" s="3">
        <f>IFERROR(__xludf.DUMMYFUNCTION("""COMPUTED_VALUE"""),44879.66666666667)</f>
        <v>44879.66667</v>
      </c>
      <c r="B10812" s="2">
        <f>IFERROR(__xludf.DUMMYFUNCTION("""COMPUTED_VALUE"""),142.63)</f>
        <v>142.63</v>
      </c>
      <c r="C10812" s="2">
        <f>IFERROR(__xludf.DUMMYFUNCTION("""COMPUTED_VALUE"""),146.08)</f>
        <v>146.08</v>
      </c>
      <c r="D10812" s="2">
        <f>IFERROR(__xludf.DUMMYFUNCTION("""COMPUTED_VALUE"""),142.18)</f>
        <v>142.18</v>
      </c>
      <c r="E10812" s="2">
        <f>IFERROR(__xludf.DUMMYFUNCTION("""COMPUTED_VALUE"""),144.2)</f>
        <v>144.2</v>
      </c>
      <c r="F10812" s="2">
        <f>IFERROR(__xludf.DUMMYFUNCTION("""COMPUTED_VALUE"""),5245624.0)</f>
        <v>5245624</v>
      </c>
    </row>
    <row r="10813">
      <c r="A10813" s="3">
        <f>IFERROR(__xludf.DUMMYFUNCTION("""COMPUTED_VALUE"""),44880.66666666667)</f>
        <v>44880.66667</v>
      </c>
      <c r="B10813" s="2">
        <f>IFERROR(__xludf.DUMMYFUNCTION("""COMPUTED_VALUE"""),144.08)</f>
        <v>144.08</v>
      </c>
      <c r="C10813" s="2">
        <f>IFERROR(__xludf.DUMMYFUNCTION("""COMPUTED_VALUE"""),146.16)</f>
        <v>146.16</v>
      </c>
      <c r="D10813" s="2">
        <f>IFERROR(__xludf.DUMMYFUNCTION("""COMPUTED_VALUE"""),142.0)</f>
        <v>142</v>
      </c>
      <c r="E10813" s="2">
        <f>IFERROR(__xludf.DUMMYFUNCTION("""COMPUTED_VALUE"""),144.34)</f>
        <v>144.34</v>
      </c>
      <c r="F10813" s="2">
        <f>IFERROR(__xludf.DUMMYFUNCTION("""COMPUTED_VALUE"""),4727107.0)</f>
        <v>4727107</v>
      </c>
    </row>
    <row r="10814">
      <c r="A10814" s="3">
        <f>IFERROR(__xludf.DUMMYFUNCTION("""COMPUTED_VALUE"""),44881.66666666667)</f>
        <v>44881.66667</v>
      </c>
      <c r="B10814" s="2">
        <f>IFERROR(__xludf.DUMMYFUNCTION("""COMPUTED_VALUE"""),144.13)</f>
        <v>144.13</v>
      </c>
      <c r="C10814" s="2">
        <f>IFERROR(__xludf.DUMMYFUNCTION("""COMPUTED_VALUE"""),144.95)</f>
        <v>144.95</v>
      </c>
      <c r="D10814" s="2">
        <f>IFERROR(__xludf.DUMMYFUNCTION("""COMPUTED_VALUE"""),144.01)</f>
        <v>144.01</v>
      </c>
      <c r="E10814" s="2">
        <f>IFERROR(__xludf.DUMMYFUNCTION("""COMPUTED_VALUE"""),144.52)</f>
        <v>144.52</v>
      </c>
      <c r="F10814" s="2">
        <f>IFERROR(__xludf.DUMMYFUNCTION("""COMPUTED_VALUE"""),3445302.0)</f>
        <v>3445302</v>
      </c>
    </row>
    <row r="10815">
      <c r="A10815" s="3">
        <f>IFERROR(__xludf.DUMMYFUNCTION("""COMPUTED_VALUE"""),44882.66666666667)</f>
        <v>44882.66667</v>
      </c>
      <c r="B10815" s="2">
        <f>IFERROR(__xludf.DUMMYFUNCTION("""COMPUTED_VALUE"""),143.41)</f>
        <v>143.41</v>
      </c>
      <c r="C10815" s="2">
        <f>IFERROR(__xludf.DUMMYFUNCTION("""COMPUTED_VALUE"""),146.18)</f>
        <v>146.18</v>
      </c>
      <c r="D10815" s="2">
        <f>IFERROR(__xludf.DUMMYFUNCTION("""COMPUTED_VALUE"""),143.25)</f>
        <v>143.25</v>
      </c>
      <c r="E10815" s="2">
        <f>IFERROR(__xludf.DUMMYFUNCTION("""COMPUTED_VALUE"""),146.09)</f>
        <v>146.09</v>
      </c>
      <c r="F10815" s="2">
        <f>IFERROR(__xludf.DUMMYFUNCTION("""COMPUTED_VALUE"""),3955162.0)</f>
        <v>3955162</v>
      </c>
    </row>
    <row r="10816">
      <c r="A10816" s="3">
        <f>IFERROR(__xludf.DUMMYFUNCTION("""COMPUTED_VALUE"""),44883.66666666667)</f>
        <v>44883.66667</v>
      </c>
      <c r="B10816" s="2">
        <f>IFERROR(__xludf.DUMMYFUNCTION("""COMPUTED_VALUE"""),146.56)</f>
        <v>146.56</v>
      </c>
      <c r="C10816" s="2">
        <f>IFERROR(__xludf.DUMMYFUNCTION("""COMPUTED_VALUE"""),148.31)</f>
        <v>148.31</v>
      </c>
      <c r="D10816" s="2">
        <f>IFERROR(__xludf.DUMMYFUNCTION("""COMPUTED_VALUE"""),145.94)</f>
        <v>145.94</v>
      </c>
      <c r="E10816" s="2">
        <f>IFERROR(__xludf.DUMMYFUNCTION("""COMPUTED_VALUE"""),147.64)</f>
        <v>147.64</v>
      </c>
      <c r="F10816" s="2">
        <f>IFERROR(__xludf.DUMMYFUNCTION("""COMPUTED_VALUE"""),4661735.0)</f>
        <v>4661735</v>
      </c>
    </row>
    <row r="10817">
      <c r="A10817" s="3">
        <f>IFERROR(__xludf.DUMMYFUNCTION("""COMPUTED_VALUE"""),44886.66666666667)</f>
        <v>44886.66667</v>
      </c>
      <c r="B10817" s="2">
        <f>IFERROR(__xludf.DUMMYFUNCTION("""COMPUTED_VALUE"""),147.55)</f>
        <v>147.55</v>
      </c>
      <c r="C10817" s="2">
        <f>IFERROR(__xludf.DUMMYFUNCTION("""COMPUTED_VALUE"""),147.93)</f>
        <v>147.93</v>
      </c>
      <c r="D10817" s="2">
        <f>IFERROR(__xludf.DUMMYFUNCTION("""COMPUTED_VALUE"""),146.45)</f>
        <v>146.45</v>
      </c>
      <c r="E10817" s="2">
        <f>IFERROR(__xludf.DUMMYFUNCTION("""COMPUTED_VALUE"""),146.68)</f>
        <v>146.68</v>
      </c>
      <c r="F10817" s="2">
        <f>IFERROR(__xludf.DUMMYFUNCTION("""COMPUTED_VALUE"""),3476208.0)</f>
        <v>3476208</v>
      </c>
    </row>
    <row r="10818">
      <c r="A10818" s="3">
        <f>IFERROR(__xludf.DUMMYFUNCTION("""COMPUTED_VALUE"""),44887.66666666667)</f>
        <v>44887.66667</v>
      </c>
      <c r="B10818" s="2">
        <f>IFERROR(__xludf.DUMMYFUNCTION("""COMPUTED_VALUE"""),147.6)</f>
        <v>147.6</v>
      </c>
      <c r="C10818" s="2">
        <f>IFERROR(__xludf.DUMMYFUNCTION("""COMPUTED_VALUE"""),149.35)</f>
        <v>149.35</v>
      </c>
      <c r="D10818" s="2">
        <f>IFERROR(__xludf.DUMMYFUNCTION("""COMPUTED_VALUE"""),147.02)</f>
        <v>147.02</v>
      </c>
      <c r="E10818" s="2">
        <f>IFERROR(__xludf.DUMMYFUNCTION("""COMPUTED_VALUE"""),149.1)</f>
        <v>149.1</v>
      </c>
      <c r="F10818" s="2">
        <f>IFERROR(__xludf.DUMMYFUNCTION("""COMPUTED_VALUE"""),7062060.0)</f>
        <v>7062060</v>
      </c>
    </row>
    <row r="10819">
      <c r="A10819" s="3">
        <f>IFERROR(__xludf.DUMMYFUNCTION("""COMPUTED_VALUE"""),44888.66666666667)</f>
        <v>44888.66667</v>
      </c>
      <c r="B10819" s="2">
        <f>IFERROR(__xludf.DUMMYFUNCTION("""COMPUTED_VALUE"""),149.1)</f>
        <v>149.1</v>
      </c>
      <c r="C10819" s="2">
        <f>IFERROR(__xludf.DUMMYFUNCTION("""COMPUTED_VALUE"""),150.46)</f>
        <v>150.46</v>
      </c>
      <c r="D10819" s="2">
        <f>IFERROR(__xludf.DUMMYFUNCTION("""COMPUTED_VALUE"""),148.3)</f>
        <v>148.3</v>
      </c>
      <c r="E10819" s="2">
        <f>IFERROR(__xludf.DUMMYFUNCTION("""COMPUTED_VALUE"""),148.75)</f>
        <v>148.75</v>
      </c>
      <c r="F10819" s="2">
        <f>IFERROR(__xludf.DUMMYFUNCTION("""COMPUTED_VALUE"""),3658459.0)</f>
        <v>3658459</v>
      </c>
    </row>
    <row r="10820">
      <c r="A10820" s="3">
        <f>IFERROR(__xludf.DUMMYFUNCTION("""COMPUTED_VALUE"""),44890.54166666667)</f>
        <v>44890.54167</v>
      </c>
      <c r="B10820" s="2">
        <f>IFERROR(__xludf.DUMMYFUNCTION("""COMPUTED_VALUE"""),148.27)</f>
        <v>148.27</v>
      </c>
      <c r="C10820" s="2">
        <f>IFERROR(__xludf.DUMMYFUNCTION("""COMPUTED_VALUE"""),149.49)</f>
        <v>149.49</v>
      </c>
      <c r="D10820" s="2">
        <f>IFERROR(__xludf.DUMMYFUNCTION("""COMPUTED_VALUE"""),148.1)</f>
        <v>148.1</v>
      </c>
      <c r="E10820" s="2">
        <f>IFERROR(__xludf.DUMMYFUNCTION("""COMPUTED_VALUE"""),148.37)</f>
        <v>148.37</v>
      </c>
      <c r="F10820" s="2">
        <f>IFERROR(__xludf.DUMMYFUNCTION("""COMPUTED_VALUE"""),2075156.0)</f>
        <v>2075156</v>
      </c>
    </row>
    <row r="10821">
      <c r="A10821" s="3">
        <f>IFERROR(__xludf.DUMMYFUNCTION("""COMPUTED_VALUE"""),44893.66666666667)</f>
        <v>44893.66667</v>
      </c>
      <c r="B10821" s="2">
        <f>IFERROR(__xludf.DUMMYFUNCTION("""COMPUTED_VALUE"""),147.98)</f>
        <v>147.98</v>
      </c>
      <c r="C10821" s="2">
        <f>IFERROR(__xludf.DUMMYFUNCTION("""COMPUTED_VALUE"""),148.24)</f>
        <v>148.24</v>
      </c>
      <c r="D10821" s="2">
        <f>IFERROR(__xludf.DUMMYFUNCTION("""COMPUTED_VALUE"""),145.94)</f>
        <v>145.94</v>
      </c>
      <c r="E10821" s="2">
        <f>IFERROR(__xludf.DUMMYFUNCTION("""COMPUTED_VALUE"""),146.18)</f>
        <v>146.18</v>
      </c>
      <c r="F10821" s="2">
        <f>IFERROR(__xludf.DUMMYFUNCTION("""COMPUTED_VALUE"""),3538696.0)</f>
        <v>3538696</v>
      </c>
    </row>
    <row r="10822">
      <c r="A10822" s="3">
        <f>IFERROR(__xludf.DUMMYFUNCTION("""COMPUTED_VALUE"""),44894.66666666667)</f>
        <v>44894.66667</v>
      </c>
      <c r="B10822" s="2">
        <f>IFERROR(__xludf.DUMMYFUNCTION("""COMPUTED_VALUE"""),145.91)</f>
        <v>145.91</v>
      </c>
      <c r="C10822" s="2">
        <f>IFERROR(__xludf.DUMMYFUNCTION("""COMPUTED_VALUE"""),147.17)</f>
        <v>147.17</v>
      </c>
      <c r="D10822" s="2">
        <f>IFERROR(__xludf.DUMMYFUNCTION("""COMPUTED_VALUE"""),145.7)</f>
        <v>145.7</v>
      </c>
      <c r="E10822" s="2">
        <f>IFERROR(__xludf.DUMMYFUNCTION("""COMPUTED_VALUE"""),146.49)</f>
        <v>146.49</v>
      </c>
      <c r="F10822" s="2">
        <f>IFERROR(__xludf.DUMMYFUNCTION("""COMPUTED_VALUE"""),2754744.0)</f>
        <v>2754744</v>
      </c>
    </row>
    <row r="10823">
      <c r="A10823" s="3">
        <f>IFERROR(__xludf.DUMMYFUNCTION("""COMPUTED_VALUE"""),44895.66666666667)</f>
        <v>44895.66667</v>
      </c>
      <c r="B10823" s="2">
        <f>IFERROR(__xludf.DUMMYFUNCTION("""COMPUTED_VALUE"""),146.19)</f>
        <v>146.19</v>
      </c>
      <c r="C10823" s="2">
        <f>IFERROR(__xludf.DUMMYFUNCTION("""COMPUTED_VALUE"""),149.64)</f>
        <v>149.64</v>
      </c>
      <c r="D10823" s="2">
        <f>IFERROR(__xludf.DUMMYFUNCTION("""COMPUTED_VALUE"""),145.67)</f>
        <v>145.67</v>
      </c>
      <c r="E10823" s="2">
        <f>IFERROR(__xludf.DUMMYFUNCTION("""COMPUTED_VALUE"""),148.9)</f>
        <v>148.9</v>
      </c>
      <c r="F10823" s="2">
        <f>IFERROR(__xludf.DUMMYFUNCTION("""COMPUTED_VALUE"""),6377582.0)</f>
        <v>6377582</v>
      </c>
    </row>
    <row r="10824">
      <c r="A10824" s="3">
        <f>IFERROR(__xludf.DUMMYFUNCTION("""COMPUTED_VALUE"""),44896.66666666667)</f>
        <v>44896.66667</v>
      </c>
      <c r="B10824" s="2">
        <f>IFERROR(__xludf.DUMMYFUNCTION("""COMPUTED_VALUE"""),149.98)</f>
        <v>149.98</v>
      </c>
      <c r="C10824" s="2">
        <f>IFERROR(__xludf.DUMMYFUNCTION("""COMPUTED_VALUE"""),150.01)</f>
        <v>150.01</v>
      </c>
      <c r="D10824" s="2">
        <f>IFERROR(__xludf.DUMMYFUNCTION("""COMPUTED_VALUE"""),147.34)</f>
        <v>147.34</v>
      </c>
      <c r="E10824" s="2">
        <f>IFERROR(__xludf.DUMMYFUNCTION("""COMPUTED_VALUE"""),149.16)</f>
        <v>149.16</v>
      </c>
      <c r="F10824" s="2">
        <f>IFERROR(__xludf.DUMMYFUNCTION("""COMPUTED_VALUE"""),4495924.0)</f>
        <v>4495924</v>
      </c>
    </row>
    <row r="10825">
      <c r="A10825" s="3">
        <f>IFERROR(__xludf.DUMMYFUNCTION("""COMPUTED_VALUE"""),44897.66666666667)</f>
        <v>44897.66667</v>
      </c>
      <c r="B10825" s="2">
        <f>IFERROR(__xludf.DUMMYFUNCTION("""COMPUTED_VALUE"""),148.13)</f>
        <v>148.13</v>
      </c>
      <c r="C10825" s="2">
        <f>IFERROR(__xludf.DUMMYFUNCTION("""COMPUTED_VALUE"""),149.16)</f>
        <v>149.16</v>
      </c>
      <c r="D10825" s="2">
        <f>IFERROR(__xludf.DUMMYFUNCTION("""COMPUTED_VALUE"""),147.73)</f>
        <v>147.73</v>
      </c>
      <c r="E10825" s="2">
        <f>IFERROR(__xludf.DUMMYFUNCTION("""COMPUTED_VALUE"""),148.67)</f>
        <v>148.67</v>
      </c>
      <c r="F10825" s="2">
        <f>IFERROR(__xludf.DUMMYFUNCTION("""COMPUTED_VALUE"""),2899995.0)</f>
        <v>2899995</v>
      </c>
    </row>
    <row r="10826">
      <c r="A10826" s="3">
        <f>IFERROR(__xludf.DUMMYFUNCTION("""COMPUTED_VALUE"""),44900.66666666667)</f>
        <v>44900.66667</v>
      </c>
      <c r="B10826" s="2">
        <f>IFERROR(__xludf.DUMMYFUNCTION("""COMPUTED_VALUE"""),147.94)</f>
        <v>147.94</v>
      </c>
      <c r="C10826" s="2">
        <f>IFERROR(__xludf.DUMMYFUNCTION("""COMPUTED_VALUE"""),148.93)</f>
        <v>148.93</v>
      </c>
      <c r="D10826" s="2">
        <f>IFERROR(__xludf.DUMMYFUNCTION("""COMPUTED_VALUE"""),146.8)</f>
        <v>146.8</v>
      </c>
      <c r="E10826" s="2">
        <f>IFERROR(__xludf.DUMMYFUNCTION("""COMPUTED_VALUE"""),147.41)</f>
        <v>147.41</v>
      </c>
      <c r="F10826" s="2">
        <f>IFERROR(__xludf.DUMMYFUNCTION("""COMPUTED_VALUE"""),2784767.0)</f>
        <v>2784767</v>
      </c>
    </row>
    <row r="10827">
      <c r="A10827" s="3">
        <f>IFERROR(__xludf.DUMMYFUNCTION("""COMPUTED_VALUE"""),44901.66666666667)</f>
        <v>44901.66667</v>
      </c>
      <c r="B10827" s="2">
        <f>IFERROR(__xludf.DUMMYFUNCTION("""COMPUTED_VALUE"""),147.3)</f>
        <v>147.3</v>
      </c>
      <c r="C10827" s="2">
        <f>IFERROR(__xludf.DUMMYFUNCTION("""COMPUTED_VALUE"""),147.8)</f>
        <v>147.8</v>
      </c>
      <c r="D10827" s="2">
        <f>IFERROR(__xludf.DUMMYFUNCTION("""COMPUTED_VALUE"""),146.7)</f>
        <v>146.7</v>
      </c>
      <c r="E10827" s="2">
        <f>IFERROR(__xludf.DUMMYFUNCTION("""COMPUTED_VALUE"""),147.5)</f>
        <v>147.5</v>
      </c>
      <c r="F10827" s="2">
        <f>IFERROR(__xludf.DUMMYFUNCTION("""COMPUTED_VALUE"""),2847610.0)</f>
        <v>2847610</v>
      </c>
    </row>
    <row r="10828">
      <c r="A10828" s="3">
        <f>IFERROR(__xludf.DUMMYFUNCTION("""COMPUTED_VALUE"""),44902.66666666667)</f>
        <v>44902.66667</v>
      </c>
      <c r="B10828" s="2">
        <f>IFERROR(__xludf.DUMMYFUNCTION("""COMPUTED_VALUE"""),147.33)</f>
        <v>147.33</v>
      </c>
      <c r="C10828" s="2">
        <f>IFERROR(__xludf.DUMMYFUNCTION("""COMPUTED_VALUE"""),148.1)</f>
        <v>148.1</v>
      </c>
      <c r="D10828" s="2">
        <f>IFERROR(__xludf.DUMMYFUNCTION("""COMPUTED_VALUE"""),146.29)</f>
        <v>146.29</v>
      </c>
      <c r="E10828" s="2">
        <f>IFERROR(__xludf.DUMMYFUNCTION("""COMPUTED_VALUE"""),147.27)</f>
        <v>147.27</v>
      </c>
      <c r="F10828" s="2">
        <f>IFERROR(__xludf.DUMMYFUNCTION("""COMPUTED_VALUE"""),3971285.0)</f>
        <v>3971285</v>
      </c>
    </row>
    <row r="10829">
      <c r="A10829" s="3">
        <f>IFERROR(__xludf.DUMMYFUNCTION("""COMPUTED_VALUE"""),44903.66666666667)</f>
        <v>44903.66667</v>
      </c>
      <c r="B10829" s="2">
        <f>IFERROR(__xludf.DUMMYFUNCTION("""COMPUTED_VALUE"""),147.9)</f>
        <v>147.9</v>
      </c>
      <c r="C10829" s="2">
        <f>IFERROR(__xludf.DUMMYFUNCTION("""COMPUTED_VALUE"""),149.15)</f>
        <v>149.15</v>
      </c>
      <c r="D10829" s="2">
        <f>IFERROR(__xludf.DUMMYFUNCTION("""COMPUTED_VALUE"""),147.37)</f>
        <v>147.37</v>
      </c>
      <c r="E10829" s="2">
        <f>IFERROR(__xludf.DUMMYFUNCTION("""COMPUTED_VALUE"""),147.78)</f>
        <v>147.78</v>
      </c>
      <c r="F10829" s="2">
        <f>IFERROR(__xludf.DUMMYFUNCTION("""COMPUTED_VALUE"""),2665687.0)</f>
        <v>2665687</v>
      </c>
    </row>
    <row r="10830">
      <c r="A10830" s="3">
        <f>IFERROR(__xludf.DUMMYFUNCTION("""COMPUTED_VALUE"""),44904.66666666667)</f>
        <v>44904.66667</v>
      </c>
      <c r="B10830" s="2">
        <f>IFERROR(__xludf.DUMMYFUNCTION("""COMPUTED_VALUE"""),147.4)</f>
        <v>147.4</v>
      </c>
      <c r="C10830" s="2">
        <f>IFERROR(__xludf.DUMMYFUNCTION("""COMPUTED_VALUE"""),148.34)</f>
        <v>148.34</v>
      </c>
      <c r="D10830" s="2">
        <f>IFERROR(__xludf.DUMMYFUNCTION("""COMPUTED_VALUE"""),146.97)</f>
        <v>146.97</v>
      </c>
      <c r="E10830" s="2">
        <f>IFERROR(__xludf.DUMMYFUNCTION("""COMPUTED_VALUE"""),147.05)</f>
        <v>147.05</v>
      </c>
      <c r="F10830" s="2">
        <f>IFERROR(__xludf.DUMMYFUNCTION("""COMPUTED_VALUE"""),3047581.0)</f>
        <v>3047581</v>
      </c>
    </row>
    <row r="10831">
      <c r="A10831" s="3">
        <f>IFERROR(__xludf.DUMMYFUNCTION("""COMPUTED_VALUE"""),44907.66666666667)</f>
        <v>44907.66667</v>
      </c>
      <c r="B10831" s="2">
        <f>IFERROR(__xludf.DUMMYFUNCTION("""COMPUTED_VALUE"""),147.82)</f>
        <v>147.82</v>
      </c>
      <c r="C10831" s="2">
        <f>IFERROR(__xludf.DUMMYFUNCTION("""COMPUTED_VALUE"""),149.21)</f>
        <v>149.21</v>
      </c>
      <c r="D10831" s="2">
        <f>IFERROR(__xludf.DUMMYFUNCTION("""COMPUTED_VALUE"""),146.94)</f>
        <v>146.94</v>
      </c>
      <c r="E10831" s="2">
        <f>IFERROR(__xludf.DUMMYFUNCTION("""COMPUTED_VALUE"""),149.21)</f>
        <v>149.21</v>
      </c>
      <c r="F10831" s="2">
        <f>IFERROR(__xludf.DUMMYFUNCTION("""COMPUTED_VALUE"""),4032780.0)</f>
        <v>4032780</v>
      </c>
    </row>
    <row r="10832">
      <c r="A10832" s="3">
        <f>IFERROR(__xludf.DUMMYFUNCTION("""COMPUTED_VALUE"""),44908.66666666667)</f>
        <v>44908.66667</v>
      </c>
      <c r="B10832" s="2">
        <f>IFERROR(__xludf.DUMMYFUNCTION("""COMPUTED_VALUE"""),150.37)</f>
        <v>150.37</v>
      </c>
      <c r="C10832" s="2">
        <f>IFERROR(__xludf.DUMMYFUNCTION("""COMPUTED_VALUE"""),153.21)</f>
        <v>153.21</v>
      </c>
      <c r="D10832" s="2">
        <f>IFERROR(__xludf.DUMMYFUNCTION("""COMPUTED_VALUE"""),149.95)</f>
        <v>149.95</v>
      </c>
      <c r="E10832" s="2">
        <f>IFERROR(__xludf.DUMMYFUNCTION("""COMPUTED_VALUE"""),150.57)</f>
        <v>150.57</v>
      </c>
      <c r="F10832" s="2">
        <f>IFERROR(__xludf.DUMMYFUNCTION("""COMPUTED_VALUE"""),8811553.0)</f>
        <v>8811553</v>
      </c>
    </row>
    <row r="10833">
      <c r="A10833" s="3">
        <f>IFERROR(__xludf.DUMMYFUNCTION("""COMPUTED_VALUE"""),44909.66666666667)</f>
        <v>44909.66667</v>
      </c>
      <c r="B10833" s="2">
        <f>IFERROR(__xludf.DUMMYFUNCTION("""COMPUTED_VALUE"""),150.47)</f>
        <v>150.47</v>
      </c>
      <c r="C10833" s="2">
        <f>IFERROR(__xludf.DUMMYFUNCTION("""COMPUTED_VALUE"""),151.91)</f>
        <v>151.91</v>
      </c>
      <c r="D10833" s="2">
        <f>IFERROR(__xludf.DUMMYFUNCTION("""COMPUTED_VALUE"""),148.45)</f>
        <v>148.45</v>
      </c>
      <c r="E10833" s="2">
        <f>IFERROR(__xludf.DUMMYFUNCTION("""COMPUTED_VALUE"""),149.86)</f>
        <v>149.86</v>
      </c>
      <c r="F10833" s="2">
        <f>IFERROR(__xludf.DUMMYFUNCTION("""COMPUTED_VALUE"""),4205878.0)</f>
        <v>4205878</v>
      </c>
    </row>
    <row r="10834">
      <c r="A10834" s="3">
        <f>IFERROR(__xludf.DUMMYFUNCTION("""COMPUTED_VALUE"""),44910.66666666667)</f>
        <v>44910.66667</v>
      </c>
      <c r="B10834" s="2">
        <f>IFERROR(__xludf.DUMMYFUNCTION("""COMPUTED_VALUE"""),148.52)</f>
        <v>148.52</v>
      </c>
      <c r="C10834" s="2">
        <f>IFERROR(__xludf.DUMMYFUNCTION("""COMPUTED_VALUE"""),148.98)</f>
        <v>148.98</v>
      </c>
      <c r="D10834" s="2">
        <f>IFERROR(__xludf.DUMMYFUNCTION("""COMPUTED_VALUE"""),141.58)</f>
        <v>141.58</v>
      </c>
      <c r="E10834" s="2">
        <f>IFERROR(__xludf.DUMMYFUNCTION("""COMPUTED_VALUE"""),142.36)</f>
        <v>142.36</v>
      </c>
      <c r="F10834" s="2">
        <f>IFERROR(__xludf.DUMMYFUNCTION("""COMPUTED_VALUE"""),6687744.0)</f>
        <v>6687744</v>
      </c>
    </row>
    <row r="10835">
      <c r="A10835" s="3">
        <f>IFERROR(__xludf.DUMMYFUNCTION("""COMPUTED_VALUE"""),44911.66666666667)</f>
        <v>44911.66667</v>
      </c>
      <c r="B10835" s="2">
        <f>IFERROR(__xludf.DUMMYFUNCTION("""COMPUTED_VALUE"""),141.25)</f>
        <v>141.25</v>
      </c>
      <c r="C10835" s="2">
        <f>IFERROR(__xludf.DUMMYFUNCTION("""COMPUTED_VALUE"""),141.92)</f>
        <v>141.92</v>
      </c>
      <c r="D10835" s="2">
        <f>IFERROR(__xludf.DUMMYFUNCTION("""COMPUTED_VALUE"""),138.97)</f>
        <v>138.97</v>
      </c>
      <c r="E10835" s="2">
        <f>IFERROR(__xludf.DUMMYFUNCTION("""COMPUTED_VALUE"""),140.16)</f>
        <v>140.16</v>
      </c>
      <c r="F10835" s="2">
        <f>IFERROR(__xludf.DUMMYFUNCTION("""COMPUTED_VALUE"""),9834427.0)</f>
        <v>9834427</v>
      </c>
    </row>
    <row r="10836">
      <c r="A10836" s="3">
        <f>IFERROR(__xludf.DUMMYFUNCTION("""COMPUTED_VALUE"""),44914.66666666667)</f>
        <v>44914.66667</v>
      </c>
      <c r="B10836" s="2">
        <f>IFERROR(__xludf.DUMMYFUNCTION("""COMPUTED_VALUE"""),140.16)</f>
        <v>140.16</v>
      </c>
      <c r="C10836" s="2">
        <f>IFERROR(__xludf.DUMMYFUNCTION("""COMPUTED_VALUE"""),140.44)</f>
        <v>140.44</v>
      </c>
      <c r="D10836" s="2">
        <f>IFERROR(__xludf.DUMMYFUNCTION("""COMPUTED_VALUE"""),137.2)</f>
        <v>137.2</v>
      </c>
      <c r="E10836" s="2">
        <f>IFERROR(__xludf.DUMMYFUNCTION("""COMPUTED_VALUE"""),138.87)</f>
        <v>138.87</v>
      </c>
      <c r="F10836" s="2">
        <f>IFERROR(__xludf.DUMMYFUNCTION("""COMPUTED_VALUE"""),5282860.0)</f>
        <v>5282860</v>
      </c>
    </row>
    <row r="10837">
      <c r="A10837" s="3">
        <f>IFERROR(__xludf.DUMMYFUNCTION("""COMPUTED_VALUE"""),44915.66666666667)</f>
        <v>44915.66667</v>
      </c>
      <c r="B10837" s="2">
        <f>IFERROR(__xludf.DUMMYFUNCTION("""COMPUTED_VALUE"""),138.84)</f>
        <v>138.84</v>
      </c>
      <c r="C10837" s="2">
        <f>IFERROR(__xludf.DUMMYFUNCTION("""COMPUTED_VALUE"""),141.43)</f>
        <v>141.43</v>
      </c>
      <c r="D10837" s="2">
        <f>IFERROR(__xludf.DUMMYFUNCTION("""COMPUTED_VALUE"""),138.34)</f>
        <v>138.34</v>
      </c>
      <c r="E10837" s="2">
        <f>IFERROR(__xludf.DUMMYFUNCTION("""COMPUTED_VALUE"""),141.28)</f>
        <v>141.28</v>
      </c>
      <c r="F10837" s="2">
        <f>IFERROR(__xludf.DUMMYFUNCTION("""COMPUTED_VALUE"""),5156450.0)</f>
        <v>5156450</v>
      </c>
    </row>
    <row r="10838">
      <c r="A10838" s="3">
        <f>IFERROR(__xludf.DUMMYFUNCTION("""COMPUTED_VALUE"""),44916.66666666667)</f>
        <v>44916.66667</v>
      </c>
      <c r="B10838" s="2">
        <f>IFERROR(__xludf.DUMMYFUNCTION("""COMPUTED_VALUE"""),141.84)</f>
        <v>141.84</v>
      </c>
      <c r="C10838" s="2">
        <f>IFERROR(__xludf.DUMMYFUNCTION("""COMPUTED_VALUE"""),143.09)</f>
        <v>143.09</v>
      </c>
      <c r="D10838" s="2">
        <f>IFERROR(__xludf.DUMMYFUNCTION("""COMPUTED_VALUE"""),140.98)</f>
        <v>140.98</v>
      </c>
      <c r="E10838" s="2">
        <f>IFERROR(__xludf.DUMMYFUNCTION("""COMPUTED_VALUE"""),142.14)</f>
        <v>142.14</v>
      </c>
      <c r="F10838" s="2">
        <f>IFERROR(__xludf.DUMMYFUNCTION("""COMPUTED_VALUE"""),3793700.0)</f>
        <v>3793700</v>
      </c>
    </row>
    <row r="10839">
      <c r="A10839" s="3">
        <f>IFERROR(__xludf.DUMMYFUNCTION("""COMPUTED_VALUE"""),44917.66666666667)</f>
        <v>44917.66667</v>
      </c>
      <c r="B10839" s="2">
        <f>IFERROR(__xludf.DUMMYFUNCTION("""COMPUTED_VALUE"""),140.95)</f>
        <v>140.95</v>
      </c>
      <c r="C10839" s="2">
        <f>IFERROR(__xludf.DUMMYFUNCTION("""COMPUTED_VALUE"""),141.44)</f>
        <v>141.44</v>
      </c>
      <c r="D10839" s="2">
        <f>IFERROR(__xludf.DUMMYFUNCTION("""COMPUTED_VALUE"""),138.62)</f>
        <v>138.62</v>
      </c>
      <c r="E10839" s="2">
        <f>IFERROR(__xludf.DUMMYFUNCTION("""COMPUTED_VALUE"""),140.88)</f>
        <v>140.88</v>
      </c>
      <c r="F10839" s="2">
        <f>IFERROR(__xludf.DUMMYFUNCTION("""COMPUTED_VALUE"""),3337851.0)</f>
        <v>3337851</v>
      </c>
    </row>
    <row r="10840">
      <c r="A10840" s="3">
        <f>IFERROR(__xludf.DUMMYFUNCTION("""COMPUTED_VALUE"""),44918.66666666667)</f>
        <v>44918.66667</v>
      </c>
      <c r="B10840" s="2">
        <f>IFERROR(__xludf.DUMMYFUNCTION("""COMPUTED_VALUE"""),140.59)</f>
        <v>140.59</v>
      </c>
      <c r="C10840" s="2">
        <f>IFERROR(__xludf.DUMMYFUNCTION("""COMPUTED_VALUE"""),141.86)</f>
        <v>141.86</v>
      </c>
      <c r="D10840" s="2">
        <f>IFERROR(__xludf.DUMMYFUNCTION("""COMPUTED_VALUE"""),139.6)</f>
        <v>139.6</v>
      </c>
      <c r="E10840" s="2">
        <f>IFERROR(__xludf.DUMMYFUNCTION("""COMPUTED_VALUE"""),141.65)</f>
        <v>141.65</v>
      </c>
      <c r="F10840" s="2">
        <f>IFERROR(__xludf.DUMMYFUNCTION("""COMPUTED_VALUE"""),2092715.0)</f>
        <v>2092715</v>
      </c>
    </row>
    <row r="10841">
      <c r="A10841" s="3">
        <f>IFERROR(__xludf.DUMMYFUNCTION("""COMPUTED_VALUE"""),44922.66666666667)</f>
        <v>44922.66667</v>
      </c>
      <c r="B10841" s="2">
        <f>IFERROR(__xludf.DUMMYFUNCTION("""COMPUTED_VALUE"""),141.73)</f>
        <v>141.73</v>
      </c>
      <c r="C10841" s="2">
        <f>IFERROR(__xludf.DUMMYFUNCTION("""COMPUTED_VALUE"""),142.72)</f>
        <v>142.72</v>
      </c>
      <c r="D10841" s="2">
        <f>IFERROR(__xludf.DUMMYFUNCTION("""COMPUTED_VALUE"""),141.23)</f>
        <v>141.23</v>
      </c>
      <c r="E10841" s="2">
        <f>IFERROR(__xludf.DUMMYFUNCTION("""COMPUTED_VALUE"""),142.42)</f>
        <v>142.42</v>
      </c>
      <c r="F10841" s="2">
        <f>IFERROR(__xludf.DUMMYFUNCTION("""COMPUTED_VALUE"""),2742525.0)</f>
        <v>2742525</v>
      </c>
    </row>
    <row r="10842">
      <c r="A10842" s="3">
        <f>IFERROR(__xludf.DUMMYFUNCTION("""COMPUTED_VALUE"""),44923.66666666667)</f>
        <v>44923.66667</v>
      </c>
      <c r="B10842" s="2">
        <f>IFERROR(__xludf.DUMMYFUNCTION("""COMPUTED_VALUE"""),142.4)</f>
        <v>142.4</v>
      </c>
      <c r="C10842" s="2">
        <f>IFERROR(__xludf.DUMMYFUNCTION("""COMPUTED_VALUE"""),142.81)</f>
        <v>142.81</v>
      </c>
      <c r="D10842" s="2">
        <f>IFERROR(__xludf.DUMMYFUNCTION("""COMPUTED_VALUE"""),139.95)</f>
        <v>139.95</v>
      </c>
      <c r="E10842" s="2">
        <f>IFERROR(__xludf.DUMMYFUNCTION("""COMPUTED_VALUE"""),140.02)</f>
        <v>140.02</v>
      </c>
      <c r="F10842" s="2">
        <f>IFERROR(__xludf.DUMMYFUNCTION("""COMPUTED_VALUE"""),2539577.0)</f>
        <v>2539577</v>
      </c>
    </row>
    <row r="10843">
      <c r="A10843" s="3">
        <f>IFERROR(__xludf.DUMMYFUNCTION("""COMPUTED_VALUE"""),44924.66666666667)</f>
        <v>44924.66667</v>
      </c>
      <c r="B10843" s="2">
        <f>IFERROR(__xludf.DUMMYFUNCTION("""COMPUTED_VALUE"""),140.58)</f>
        <v>140.58</v>
      </c>
      <c r="C10843" s="2">
        <f>IFERROR(__xludf.DUMMYFUNCTION("""COMPUTED_VALUE"""),142.26)</f>
        <v>142.26</v>
      </c>
      <c r="D10843" s="2">
        <f>IFERROR(__xludf.DUMMYFUNCTION("""COMPUTED_VALUE"""),140.45)</f>
        <v>140.45</v>
      </c>
      <c r="E10843" s="2">
        <f>IFERROR(__xludf.DUMMYFUNCTION("""COMPUTED_VALUE"""),141.06)</f>
        <v>141.06</v>
      </c>
      <c r="F10843" s="2">
        <f>IFERROR(__xludf.DUMMYFUNCTION("""COMPUTED_VALUE"""),2337207.0)</f>
        <v>2337207</v>
      </c>
    </row>
    <row r="10844">
      <c r="A10844" s="3">
        <f>IFERROR(__xludf.DUMMYFUNCTION("""COMPUTED_VALUE"""),44925.66666666667)</f>
        <v>44925.66667</v>
      </c>
      <c r="B10844" s="2">
        <f>IFERROR(__xludf.DUMMYFUNCTION("""COMPUTED_VALUE"""),140.54)</f>
        <v>140.54</v>
      </c>
      <c r="C10844" s="2">
        <f>IFERROR(__xludf.DUMMYFUNCTION("""COMPUTED_VALUE"""),140.9)</f>
        <v>140.9</v>
      </c>
      <c r="D10844" s="2">
        <f>IFERROR(__xludf.DUMMYFUNCTION("""COMPUTED_VALUE"""),139.45)</f>
        <v>139.45</v>
      </c>
      <c r="E10844" s="2">
        <f>IFERROR(__xludf.DUMMYFUNCTION("""COMPUTED_VALUE"""),140.89)</f>
        <v>140.89</v>
      </c>
      <c r="F10844" s="2">
        <f>IFERROR(__xludf.DUMMYFUNCTION("""COMPUTED_VALUE"""),2858110.0)</f>
        <v>2858110</v>
      </c>
    </row>
    <row r="10845">
      <c r="A10845" s="3">
        <f>IFERROR(__xludf.DUMMYFUNCTION("""COMPUTED_VALUE"""),44929.66666666667)</f>
        <v>44929.66667</v>
      </c>
      <c r="B10845" s="2">
        <f>IFERROR(__xludf.DUMMYFUNCTION("""COMPUTED_VALUE"""),141.1)</f>
        <v>141.1</v>
      </c>
      <c r="C10845" s="2">
        <f>IFERROR(__xludf.DUMMYFUNCTION("""COMPUTED_VALUE"""),141.9)</f>
        <v>141.9</v>
      </c>
      <c r="D10845" s="2">
        <f>IFERROR(__xludf.DUMMYFUNCTION("""COMPUTED_VALUE"""),140.48)</f>
        <v>140.48</v>
      </c>
      <c r="E10845" s="2">
        <f>IFERROR(__xludf.DUMMYFUNCTION("""COMPUTED_VALUE"""),141.55)</f>
        <v>141.55</v>
      </c>
      <c r="F10845" s="2">
        <f>IFERROR(__xludf.DUMMYFUNCTION("""COMPUTED_VALUE"""),3338829.0)</f>
        <v>3338829</v>
      </c>
    </row>
    <row r="10846">
      <c r="A10846" s="3">
        <f>IFERROR(__xludf.DUMMYFUNCTION("""COMPUTED_VALUE"""),44930.66666666667)</f>
        <v>44930.66667</v>
      </c>
      <c r="B10846" s="2">
        <f>IFERROR(__xludf.DUMMYFUNCTION("""COMPUTED_VALUE"""),142.07)</f>
        <v>142.07</v>
      </c>
      <c r="C10846" s="2">
        <f>IFERROR(__xludf.DUMMYFUNCTION("""COMPUTED_VALUE"""),143.62)</f>
        <v>143.62</v>
      </c>
      <c r="D10846" s="2">
        <f>IFERROR(__xludf.DUMMYFUNCTION("""COMPUTED_VALUE"""),141.37)</f>
        <v>141.37</v>
      </c>
      <c r="E10846" s="2">
        <f>IFERROR(__xludf.DUMMYFUNCTION("""COMPUTED_VALUE"""),142.6)</f>
        <v>142.6</v>
      </c>
      <c r="F10846" s="2">
        <f>IFERROR(__xludf.DUMMYFUNCTION("""COMPUTED_VALUE"""),3869236.0)</f>
        <v>3869236</v>
      </c>
    </row>
    <row r="10847">
      <c r="A10847" s="3">
        <f>IFERROR(__xludf.DUMMYFUNCTION("""COMPUTED_VALUE"""),44931.66666666667)</f>
        <v>44931.66667</v>
      </c>
      <c r="B10847" s="2">
        <f>IFERROR(__xludf.DUMMYFUNCTION("""COMPUTED_VALUE"""),142.44)</f>
        <v>142.44</v>
      </c>
      <c r="C10847" s="2">
        <f>IFERROR(__xludf.DUMMYFUNCTION("""COMPUTED_VALUE"""),142.5)</f>
        <v>142.5</v>
      </c>
      <c r="D10847" s="2">
        <f>IFERROR(__xludf.DUMMYFUNCTION("""COMPUTED_VALUE"""),140.01)</f>
        <v>140.01</v>
      </c>
      <c r="E10847" s="2">
        <f>IFERROR(__xludf.DUMMYFUNCTION("""COMPUTED_VALUE"""),141.11)</f>
        <v>141.11</v>
      </c>
      <c r="F10847" s="2">
        <f>IFERROR(__xludf.DUMMYFUNCTION("""COMPUTED_VALUE"""),2866648.0)</f>
        <v>2866648</v>
      </c>
    </row>
    <row r="10848">
      <c r="A10848" s="3">
        <f>IFERROR(__xludf.DUMMYFUNCTION("""COMPUTED_VALUE"""),44932.66666666667)</f>
        <v>44932.66667</v>
      </c>
      <c r="B10848" s="2">
        <f>IFERROR(__xludf.DUMMYFUNCTION("""COMPUTED_VALUE"""),142.38)</f>
        <v>142.38</v>
      </c>
      <c r="C10848" s="2">
        <f>IFERROR(__xludf.DUMMYFUNCTION("""COMPUTED_VALUE"""),144.25)</f>
        <v>144.25</v>
      </c>
      <c r="D10848" s="2">
        <f>IFERROR(__xludf.DUMMYFUNCTION("""COMPUTED_VALUE"""),141.58)</f>
        <v>141.58</v>
      </c>
      <c r="E10848" s="2">
        <f>IFERROR(__xludf.DUMMYFUNCTION("""COMPUTED_VALUE"""),143.7)</f>
        <v>143.7</v>
      </c>
      <c r="F10848" s="2">
        <f>IFERROR(__xludf.DUMMYFUNCTION("""COMPUTED_VALUE"""),3574042.0)</f>
        <v>3574042</v>
      </c>
    </row>
    <row r="10849">
      <c r="A10849" s="3">
        <f>IFERROR(__xludf.DUMMYFUNCTION("""COMPUTED_VALUE"""),44935.66666666667)</f>
        <v>44935.66667</v>
      </c>
      <c r="B10849" s="2">
        <f>IFERROR(__xludf.DUMMYFUNCTION("""COMPUTED_VALUE"""),144.08)</f>
        <v>144.08</v>
      </c>
      <c r="C10849" s="2">
        <f>IFERROR(__xludf.DUMMYFUNCTION("""COMPUTED_VALUE"""),145.47)</f>
        <v>145.47</v>
      </c>
      <c r="D10849" s="2">
        <f>IFERROR(__xludf.DUMMYFUNCTION("""COMPUTED_VALUE"""),143.4)</f>
        <v>143.4</v>
      </c>
      <c r="E10849" s="2">
        <f>IFERROR(__xludf.DUMMYFUNCTION("""COMPUTED_VALUE"""),143.55)</f>
        <v>143.55</v>
      </c>
      <c r="F10849" s="2">
        <f>IFERROR(__xludf.DUMMYFUNCTION("""COMPUTED_VALUE"""),3987782.0)</f>
        <v>3987782</v>
      </c>
    </row>
    <row r="10850">
      <c r="A10850" s="3">
        <f>IFERROR(__xludf.DUMMYFUNCTION("""COMPUTED_VALUE"""),44936.66666666667)</f>
        <v>44936.66667</v>
      </c>
      <c r="B10850" s="2">
        <f>IFERROR(__xludf.DUMMYFUNCTION("""COMPUTED_VALUE"""),143.61)</f>
        <v>143.61</v>
      </c>
      <c r="C10850" s="2">
        <f>IFERROR(__xludf.DUMMYFUNCTION("""COMPUTED_VALUE"""),144.85)</f>
        <v>144.85</v>
      </c>
      <c r="D10850" s="2">
        <f>IFERROR(__xludf.DUMMYFUNCTION("""COMPUTED_VALUE"""),142.9)</f>
        <v>142.9</v>
      </c>
      <c r="E10850" s="2">
        <f>IFERROR(__xludf.DUMMYFUNCTION("""COMPUTED_VALUE"""),144.8)</f>
        <v>144.8</v>
      </c>
      <c r="F10850" s="2">
        <f>IFERROR(__xludf.DUMMYFUNCTION("""COMPUTED_VALUE"""),2152172.0)</f>
        <v>2152172</v>
      </c>
    </row>
    <row r="10851">
      <c r="A10851" s="3">
        <f>IFERROR(__xludf.DUMMYFUNCTION("""COMPUTED_VALUE"""),44937.66666666667)</f>
        <v>44937.66667</v>
      </c>
      <c r="B10851" s="2">
        <f>IFERROR(__xludf.DUMMYFUNCTION("""COMPUTED_VALUE"""),145.0)</f>
        <v>145</v>
      </c>
      <c r="C10851" s="2">
        <f>IFERROR(__xludf.DUMMYFUNCTION("""COMPUTED_VALUE"""),145.53)</f>
        <v>145.53</v>
      </c>
      <c r="D10851" s="2">
        <f>IFERROR(__xludf.DUMMYFUNCTION("""COMPUTED_VALUE"""),143.45)</f>
        <v>143.45</v>
      </c>
      <c r="E10851" s="2">
        <f>IFERROR(__xludf.DUMMYFUNCTION("""COMPUTED_VALUE"""),145.26)</f>
        <v>145.26</v>
      </c>
      <c r="F10851" s="2">
        <f>IFERROR(__xludf.DUMMYFUNCTION("""COMPUTED_VALUE"""),3268738.0)</f>
        <v>3268738</v>
      </c>
    </row>
    <row r="10852">
      <c r="A10852" s="3">
        <f>IFERROR(__xludf.DUMMYFUNCTION("""COMPUTED_VALUE"""),44938.66666666667)</f>
        <v>44938.66667</v>
      </c>
      <c r="B10852" s="2">
        <f>IFERROR(__xludf.DUMMYFUNCTION("""COMPUTED_VALUE"""),144.88)</f>
        <v>144.88</v>
      </c>
      <c r="C10852" s="2">
        <f>IFERROR(__xludf.DUMMYFUNCTION("""COMPUTED_VALUE"""),146.66)</f>
        <v>146.66</v>
      </c>
      <c r="D10852" s="2">
        <f>IFERROR(__xludf.DUMMYFUNCTION("""COMPUTED_VALUE"""),144.52)</f>
        <v>144.52</v>
      </c>
      <c r="E10852" s="2">
        <f>IFERROR(__xludf.DUMMYFUNCTION("""COMPUTED_VALUE"""),145.55)</f>
        <v>145.55</v>
      </c>
      <c r="F10852" s="2">
        <f>IFERROR(__xludf.DUMMYFUNCTION("""COMPUTED_VALUE"""),2716118.0)</f>
        <v>2716118</v>
      </c>
    </row>
    <row r="10853">
      <c r="A10853" s="3">
        <f>IFERROR(__xludf.DUMMYFUNCTION("""COMPUTED_VALUE"""),44939.66666666667)</f>
        <v>44939.66667</v>
      </c>
      <c r="B10853" s="2">
        <f>IFERROR(__xludf.DUMMYFUNCTION("""COMPUTED_VALUE"""),144.06)</f>
        <v>144.06</v>
      </c>
      <c r="C10853" s="2">
        <f>IFERROR(__xludf.DUMMYFUNCTION("""COMPUTED_VALUE"""),146.1)</f>
        <v>146.1</v>
      </c>
      <c r="D10853" s="2">
        <f>IFERROR(__xludf.DUMMYFUNCTION("""COMPUTED_VALUE"""),144.01)</f>
        <v>144.01</v>
      </c>
      <c r="E10853" s="2">
        <f>IFERROR(__xludf.DUMMYFUNCTION("""COMPUTED_VALUE"""),145.89)</f>
        <v>145.89</v>
      </c>
      <c r="F10853" s="2">
        <f>IFERROR(__xludf.DUMMYFUNCTION("""COMPUTED_VALUE"""),2455786.0)</f>
        <v>2455786</v>
      </c>
    </row>
    <row r="10854">
      <c r="A10854" s="3">
        <f>IFERROR(__xludf.DUMMYFUNCTION("""COMPUTED_VALUE"""),44943.66666666667)</f>
        <v>44943.66667</v>
      </c>
      <c r="B10854" s="2">
        <f>IFERROR(__xludf.DUMMYFUNCTION("""COMPUTED_VALUE"""),146.42)</f>
        <v>146.42</v>
      </c>
      <c r="C10854" s="2">
        <f>IFERROR(__xludf.DUMMYFUNCTION("""COMPUTED_VALUE"""),147.18)</f>
        <v>147.18</v>
      </c>
      <c r="D10854" s="2">
        <f>IFERROR(__xludf.DUMMYFUNCTION("""COMPUTED_VALUE"""),145.01)</f>
        <v>145.01</v>
      </c>
      <c r="E10854" s="2">
        <f>IFERROR(__xludf.DUMMYFUNCTION("""COMPUTED_VALUE"""),145.19)</f>
        <v>145.19</v>
      </c>
      <c r="F10854" s="2">
        <f>IFERROR(__xludf.DUMMYFUNCTION("""COMPUTED_VALUE"""),2986461.0)</f>
        <v>2986461</v>
      </c>
    </row>
    <row r="10855">
      <c r="A10855" s="3">
        <f>IFERROR(__xludf.DUMMYFUNCTION("""COMPUTED_VALUE"""),44944.66666666667)</f>
        <v>44944.66667</v>
      </c>
      <c r="B10855" s="2">
        <f>IFERROR(__xludf.DUMMYFUNCTION("""COMPUTED_VALUE"""),144.4)</f>
        <v>144.4</v>
      </c>
      <c r="C10855" s="2">
        <f>IFERROR(__xludf.DUMMYFUNCTION("""COMPUTED_VALUE"""),144.68)</f>
        <v>144.68</v>
      </c>
      <c r="D10855" s="2">
        <f>IFERROR(__xludf.DUMMYFUNCTION("""COMPUTED_VALUE"""),140.23)</f>
        <v>140.23</v>
      </c>
      <c r="E10855" s="2">
        <f>IFERROR(__xludf.DUMMYFUNCTION("""COMPUTED_VALUE"""),140.41)</f>
        <v>140.41</v>
      </c>
      <c r="F10855" s="2">
        <f>IFERROR(__xludf.DUMMYFUNCTION("""COMPUTED_VALUE"""),6445642.0)</f>
        <v>6445642</v>
      </c>
    </row>
    <row r="10856">
      <c r="A10856" s="3">
        <f>IFERROR(__xludf.DUMMYFUNCTION("""COMPUTED_VALUE"""),44945.66666666667)</f>
        <v>44945.66667</v>
      </c>
      <c r="B10856" s="2">
        <f>IFERROR(__xludf.DUMMYFUNCTION("""COMPUTED_VALUE"""),140.0)</f>
        <v>140</v>
      </c>
      <c r="C10856" s="2">
        <f>IFERROR(__xludf.DUMMYFUNCTION("""COMPUTED_VALUE"""),142.23)</f>
        <v>142.23</v>
      </c>
      <c r="D10856" s="2">
        <f>IFERROR(__xludf.DUMMYFUNCTION("""COMPUTED_VALUE"""),139.75)</f>
        <v>139.75</v>
      </c>
      <c r="E10856" s="2">
        <f>IFERROR(__xludf.DUMMYFUNCTION("""COMPUTED_VALUE"""),140.62)</f>
        <v>140.62</v>
      </c>
      <c r="F10856" s="2">
        <f>IFERROR(__xludf.DUMMYFUNCTION("""COMPUTED_VALUE"""),4833924.0)</f>
        <v>4833924</v>
      </c>
    </row>
    <row r="10857">
      <c r="A10857" s="3">
        <f>IFERROR(__xludf.DUMMYFUNCTION("""COMPUTED_VALUE"""),44946.66666666667)</f>
        <v>44946.66667</v>
      </c>
      <c r="B10857" s="2">
        <f>IFERROR(__xludf.DUMMYFUNCTION("""COMPUTED_VALUE"""),141.67)</f>
        <v>141.67</v>
      </c>
      <c r="C10857" s="2">
        <f>IFERROR(__xludf.DUMMYFUNCTION("""COMPUTED_VALUE"""),141.86)</f>
        <v>141.86</v>
      </c>
      <c r="D10857" s="2">
        <f>IFERROR(__xludf.DUMMYFUNCTION("""COMPUTED_VALUE"""),140.51)</f>
        <v>140.51</v>
      </c>
      <c r="E10857" s="2">
        <f>IFERROR(__xludf.DUMMYFUNCTION("""COMPUTED_VALUE"""),141.2)</f>
        <v>141.2</v>
      </c>
      <c r="F10857" s="2">
        <f>IFERROR(__xludf.DUMMYFUNCTION("""COMPUTED_VALUE"""),7153341.0)</f>
        <v>7153341</v>
      </c>
    </row>
    <row r="10858">
      <c r="A10858" s="3">
        <f>IFERROR(__xludf.DUMMYFUNCTION("""COMPUTED_VALUE"""),44949.66666666667)</f>
        <v>44949.66667</v>
      </c>
      <c r="B10858" s="2">
        <f>IFERROR(__xludf.DUMMYFUNCTION("""COMPUTED_VALUE"""),141.4)</f>
        <v>141.4</v>
      </c>
      <c r="C10858" s="2">
        <f>IFERROR(__xludf.DUMMYFUNCTION("""COMPUTED_VALUE"""),142.99)</f>
        <v>142.99</v>
      </c>
      <c r="D10858" s="2">
        <f>IFERROR(__xludf.DUMMYFUNCTION("""COMPUTED_VALUE"""),141.06)</f>
        <v>141.06</v>
      </c>
      <c r="E10858" s="2">
        <f>IFERROR(__xludf.DUMMYFUNCTION("""COMPUTED_VALUE"""),141.86)</f>
        <v>141.86</v>
      </c>
      <c r="F10858" s="2">
        <f>IFERROR(__xludf.DUMMYFUNCTION("""COMPUTED_VALUE"""),5898436.0)</f>
        <v>5898436</v>
      </c>
    </row>
    <row r="10859">
      <c r="A10859" s="3">
        <f>IFERROR(__xludf.DUMMYFUNCTION("""COMPUTED_VALUE"""),44950.66666666667)</f>
        <v>44950.66667</v>
      </c>
      <c r="B10859" s="2">
        <f>IFERROR(__xludf.DUMMYFUNCTION("""COMPUTED_VALUE"""),141.25)</f>
        <v>141.25</v>
      </c>
      <c r="C10859" s="2">
        <f>IFERROR(__xludf.DUMMYFUNCTION("""COMPUTED_VALUE"""),142.75)</f>
        <v>142.75</v>
      </c>
      <c r="D10859" s="2">
        <f>IFERROR(__xludf.DUMMYFUNCTION("""COMPUTED_VALUE"""),140.0)</f>
        <v>140</v>
      </c>
      <c r="E10859" s="2">
        <f>IFERROR(__xludf.DUMMYFUNCTION("""COMPUTED_VALUE"""),141.49)</f>
        <v>141.49</v>
      </c>
      <c r="F10859" s="2">
        <f>IFERROR(__xludf.DUMMYFUNCTION("""COMPUTED_VALUE"""),4407622.0)</f>
        <v>4407622</v>
      </c>
    </row>
    <row r="10860">
      <c r="A10860" s="3">
        <f>IFERROR(__xludf.DUMMYFUNCTION("""COMPUTED_VALUE"""),44951.66666666667)</f>
        <v>44951.66667</v>
      </c>
      <c r="B10860" s="2">
        <f>IFERROR(__xludf.DUMMYFUNCTION("""COMPUTED_VALUE"""),140.47)</f>
        <v>140.47</v>
      </c>
      <c r="C10860" s="2">
        <f>IFERROR(__xludf.DUMMYFUNCTION("""COMPUTED_VALUE"""),141.03)</f>
        <v>141.03</v>
      </c>
      <c r="D10860" s="2">
        <f>IFERROR(__xludf.DUMMYFUNCTION("""COMPUTED_VALUE"""),139.36)</f>
        <v>139.36</v>
      </c>
      <c r="E10860" s="2">
        <f>IFERROR(__xludf.DUMMYFUNCTION("""COMPUTED_VALUE"""),140.76)</f>
        <v>140.76</v>
      </c>
      <c r="F10860" s="2">
        <f>IFERROR(__xludf.DUMMYFUNCTION("""COMPUTED_VALUE"""),7347453.0)</f>
        <v>7347453</v>
      </c>
    </row>
    <row r="10861">
      <c r="A10861" s="3">
        <f>IFERROR(__xludf.DUMMYFUNCTION("""COMPUTED_VALUE"""),44952.66666666667)</f>
        <v>44952.66667</v>
      </c>
      <c r="B10861" s="2">
        <f>IFERROR(__xludf.DUMMYFUNCTION("""COMPUTED_VALUE"""),137.53)</f>
        <v>137.53</v>
      </c>
      <c r="C10861" s="2">
        <f>IFERROR(__xludf.DUMMYFUNCTION("""COMPUTED_VALUE"""),138.27)</f>
        <v>138.27</v>
      </c>
      <c r="D10861" s="2">
        <f>IFERROR(__xludf.DUMMYFUNCTION("""COMPUTED_VALUE"""),132.98)</f>
        <v>132.98</v>
      </c>
      <c r="E10861" s="2">
        <f>IFERROR(__xludf.DUMMYFUNCTION("""COMPUTED_VALUE"""),134.45)</f>
        <v>134.45</v>
      </c>
      <c r="F10861" s="2">
        <f>IFERROR(__xludf.DUMMYFUNCTION("""COMPUTED_VALUE"""),1.7548483E7)</f>
        <v>17548483</v>
      </c>
    </row>
    <row r="10862">
      <c r="A10862" s="3">
        <f>IFERROR(__xludf.DUMMYFUNCTION("""COMPUTED_VALUE"""),44953.66666666667)</f>
        <v>44953.66667</v>
      </c>
      <c r="B10862" s="2">
        <f>IFERROR(__xludf.DUMMYFUNCTION("""COMPUTED_VALUE"""),134.44)</f>
        <v>134.44</v>
      </c>
      <c r="C10862" s="2">
        <f>IFERROR(__xludf.DUMMYFUNCTION("""COMPUTED_VALUE"""),135.49)</f>
        <v>135.49</v>
      </c>
      <c r="D10862" s="2">
        <f>IFERROR(__xludf.DUMMYFUNCTION("""COMPUTED_VALUE"""),133.77)</f>
        <v>133.77</v>
      </c>
      <c r="E10862" s="2">
        <f>IFERROR(__xludf.DUMMYFUNCTION("""COMPUTED_VALUE"""),134.39)</f>
        <v>134.39</v>
      </c>
      <c r="F10862" s="2">
        <f>IFERROR(__xludf.DUMMYFUNCTION("""COMPUTED_VALUE"""),8143146.0)</f>
        <v>8143146</v>
      </c>
    </row>
    <row r="10863">
      <c r="A10863" s="3">
        <f>IFERROR(__xludf.DUMMYFUNCTION("""COMPUTED_VALUE"""),44956.66666666667)</f>
        <v>44956.66667</v>
      </c>
      <c r="B10863" s="2">
        <f>IFERROR(__xludf.DUMMYFUNCTION("""COMPUTED_VALUE"""),134.32)</f>
        <v>134.32</v>
      </c>
      <c r="C10863" s="2">
        <f>IFERROR(__xludf.DUMMYFUNCTION("""COMPUTED_VALUE"""),136.11)</f>
        <v>136.11</v>
      </c>
      <c r="D10863" s="2">
        <f>IFERROR(__xludf.DUMMYFUNCTION("""COMPUTED_VALUE"""),133.98)</f>
        <v>133.98</v>
      </c>
      <c r="E10863" s="2">
        <f>IFERROR(__xludf.DUMMYFUNCTION("""COMPUTED_VALUE"""),135.3)</f>
        <v>135.3</v>
      </c>
      <c r="F10863" s="2">
        <f>IFERROR(__xludf.DUMMYFUNCTION("""COMPUTED_VALUE"""),5375712.0)</f>
        <v>5375712</v>
      </c>
    </row>
    <row r="10864">
      <c r="A10864" s="3">
        <f>IFERROR(__xludf.DUMMYFUNCTION("""COMPUTED_VALUE"""),44957.66666666667)</f>
        <v>44957.66667</v>
      </c>
      <c r="B10864" s="2">
        <f>IFERROR(__xludf.DUMMYFUNCTION("""COMPUTED_VALUE"""),135.5)</f>
        <v>135.5</v>
      </c>
      <c r="C10864" s="2">
        <f>IFERROR(__xludf.DUMMYFUNCTION("""COMPUTED_VALUE"""),135.65)</f>
        <v>135.65</v>
      </c>
      <c r="D10864" s="2">
        <f>IFERROR(__xludf.DUMMYFUNCTION("""COMPUTED_VALUE"""),133.76)</f>
        <v>133.76</v>
      </c>
      <c r="E10864" s="2">
        <f>IFERROR(__xludf.DUMMYFUNCTION("""COMPUTED_VALUE"""),134.73)</f>
        <v>134.73</v>
      </c>
      <c r="F10864" s="2">
        <f>IFERROR(__xludf.DUMMYFUNCTION("""COMPUTED_VALUE"""),7206448.0)</f>
        <v>7206448</v>
      </c>
    </row>
    <row r="10865">
      <c r="A10865" s="3">
        <f>IFERROR(__xludf.DUMMYFUNCTION("""COMPUTED_VALUE"""),44958.66666666667)</f>
        <v>44958.66667</v>
      </c>
      <c r="B10865" s="2">
        <f>IFERROR(__xludf.DUMMYFUNCTION("""COMPUTED_VALUE"""),134.49)</f>
        <v>134.49</v>
      </c>
      <c r="C10865" s="2">
        <f>IFERROR(__xludf.DUMMYFUNCTION("""COMPUTED_VALUE"""),135.79)</f>
        <v>135.79</v>
      </c>
      <c r="D10865" s="2">
        <f>IFERROR(__xludf.DUMMYFUNCTION("""COMPUTED_VALUE"""),132.8)</f>
        <v>132.8</v>
      </c>
      <c r="E10865" s="2">
        <f>IFERROR(__xludf.DUMMYFUNCTION("""COMPUTED_VALUE"""),135.09)</f>
        <v>135.09</v>
      </c>
      <c r="F10865" s="2">
        <f>IFERROR(__xludf.DUMMYFUNCTION("""COMPUTED_VALUE"""),5428898.0)</f>
        <v>5428898</v>
      </c>
    </row>
    <row r="10866">
      <c r="A10866" s="3">
        <f>IFERROR(__xludf.DUMMYFUNCTION("""COMPUTED_VALUE"""),44959.66666666667)</f>
        <v>44959.66667</v>
      </c>
      <c r="B10866" s="2">
        <f>IFERROR(__xludf.DUMMYFUNCTION("""COMPUTED_VALUE"""),135.96)</f>
        <v>135.96</v>
      </c>
      <c r="C10866" s="2">
        <f>IFERROR(__xludf.DUMMYFUNCTION("""COMPUTED_VALUE"""),136.72)</f>
        <v>136.72</v>
      </c>
      <c r="D10866" s="2">
        <f>IFERROR(__xludf.DUMMYFUNCTION("""COMPUTED_VALUE"""),134.85)</f>
        <v>134.85</v>
      </c>
      <c r="E10866" s="2">
        <f>IFERROR(__xludf.DUMMYFUNCTION("""COMPUTED_VALUE"""),136.39)</f>
        <v>136.39</v>
      </c>
      <c r="F10866" s="2">
        <f>IFERROR(__xludf.DUMMYFUNCTION("""COMPUTED_VALUE"""),6107793.0)</f>
        <v>6107793</v>
      </c>
    </row>
    <row r="10867">
      <c r="A10867" s="3">
        <f>IFERROR(__xludf.DUMMYFUNCTION("""COMPUTED_VALUE"""),44960.66666666667)</f>
        <v>44960.66667</v>
      </c>
      <c r="B10867" s="2">
        <f>IFERROR(__xludf.DUMMYFUNCTION("""COMPUTED_VALUE"""),136.35)</f>
        <v>136.35</v>
      </c>
      <c r="C10867" s="2">
        <f>IFERROR(__xludf.DUMMYFUNCTION("""COMPUTED_VALUE"""),136.95)</f>
        <v>136.95</v>
      </c>
      <c r="D10867" s="2">
        <f>IFERROR(__xludf.DUMMYFUNCTION("""COMPUTED_VALUE"""),135.53)</f>
        <v>135.53</v>
      </c>
      <c r="E10867" s="2">
        <f>IFERROR(__xludf.DUMMYFUNCTION("""COMPUTED_VALUE"""),136.94)</f>
        <v>136.94</v>
      </c>
      <c r="F10867" s="2">
        <f>IFERROR(__xludf.DUMMYFUNCTION("""COMPUTED_VALUE"""),3755720.0)</f>
        <v>3755720</v>
      </c>
    </row>
    <row r="10868">
      <c r="A10868" s="3">
        <f>IFERROR(__xludf.DUMMYFUNCTION("""COMPUTED_VALUE"""),44963.66666666667)</f>
        <v>44963.66667</v>
      </c>
      <c r="B10868" s="2">
        <f>IFERROR(__xludf.DUMMYFUNCTION("""COMPUTED_VALUE"""),135.83)</f>
        <v>135.83</v>
      </c>
      <c r="C10868" s="2">
        <f>IFERROR(__xludf.DUMMYFUNCTION("""COMPUTED_VALUE"""),136.32)</f>
        <v>136.32</v>
      </c>
      <c r="D10868" s="2">
        <f>IFERROR(__xludf.DUMMYFUNCTION("""COMPUTED_VALUE"""),134.95)</f>
        <v>134.95</v>
      </c>
      <c r="E10868" s="2">
        <f>IFERROR(__xludf.DUMMYFUNCTION("""COMPUTED_VALUE"""),136.18)</f>
        <v>136.18</v>
      </c>
      <c r="F10868" s="2">
        <f>IFERROR(__xludf.DUMMYFUNCTION("""COMPUTED_VALUE"""),4841300.0)</f>
        <v>4841300</v>
      </c>
    </row>
    <row r="10869">
      <c r="A10869" s="3">
        <f>IFERROR(__xludf.DUMMYFUNCTION("""COMPUTED_VALUE"""),44964.66666666667)</f>
        <v>44964.66667</v>
      </c>
      <c r="B10869" s="2">
        <f>IFERROR(__xludf.DUMMYFUNCTION("""COMPUTED_VALUE"""),135.67)</f>
        <v>135.67</v>
      </c>
      <c r="C10869" s="2">
        <f>IFERROR(__xludf.DUMMYFUNCTION("""COMPUTED_VALUE"""),136.4)</f>
        <v>136.4</v>
      </c>
      <c r="D10869" s="2">
        <f>IFERROR(__xludf.DUMMYFUNCTION("""COMPUTED_VALUE"""),134.45)</f>
        <v>134.45</v>
      </c>
      <c r="E10869" s="2">
        <f>IFERROR(__xludf.DUMMYFUNCTION("""COMPUTED_VALUE"""),135.84)</f>
        <v>135.84</v>
      </c>
      <c r="F10869" s="2">
        <f>IFERROR(__xludf.DUMMYFUNCTION("""COMPUTED_VALUE"""),3737553.0)</f>
        <v>3737553</v>
      </c>
    </row>
    <row r="10870">
      <c r="A10870" s="3">
        <f>IFERROR(__xludf.DUMMYFUNCTION("""COMPUTED_VALUE"""),44965.66666666667)</f>
        <v>44965.66667</v>
      </c>
      <c r="B10870" s="2">
        <f>IFERROR(__xludf.DUMMYFUNCTION("""COMPUTED_VALUE"""),135.71)</f>
        <v>135.71</v>
      </c>
      <c r="C10870" s="2">
        <f>IFERROR(__xludf.DUMMYFUNCTION("""COMPUTED_VALUE"""),136.74)</f>
        <v>136.74</v>
      </c>
      <c r="D10870" s="2">
        <f>IFERROR(__xludf.DUMMYFUNCTION("""COMPUTED_VALUE"""),135.16)</f>
        <v>135.16</v>
      </c>
      <c r="E10870" s="2">
        <f>IFERROR(__xludf.DUMMYFUNCTION("""COMPUTED_VALUE"""),135.98)</f>
        <v>135.98</v>
      </c>
      <c r="F10870" s="2">
        <f>IFERROR(__xludf.DUMMYFUNCTION("""COMPUTED_VALUE"""),4593748.0)</f>
        <v>4593748</v>
      </c>
    </row>
    <row r="10871">
      <c r="A10871" s="3">
        <f>IFERROR(__xludf.DUMMYFUNCTION("""COMPUTED_VALUE"""),44966.66666666667)</f>
        <v>44966.66667</v>
      </c>
      <c r="B10871" s="2">
        <f>IFERROR(__xludf.DUMMYFUNCTION("""COMPUTED_VALUE"""),134.99)</f>
        <v>134.99</v>
      </c>
      <c r="C10871" s="2">
        <f>IFERROR(__xludf.DUMMYFUNCTION("""COMPUTED_VALUE"""),135.73)</f>
        <v>135.73</v>
      </c>
      <c r="D10871" s="2">
        <f>IFERROR(__xludf.DUMMYFUNCTION("""COMPUTED_VALUE"""),133.34)</f>
        <v>133.34</v>
      </c>
      <c r="E10871" s="2">
        <f>IFERROR(__xludf.DUMMYFUNCTION("""COMPUTED_VALUE"""),133.75)</f>
        <v>133.75</v>
      </c>
      <c r="F10871" s="2">
        <f>IFERROR(__xludf.DUMMYFUNCTION("""COMPUTED_VALUE"""),3918817.0)</f>
        <v>3918817</v>
      </c>
    </row>
    <row r="10872">
      <c r="A10872" s="3">
        <f>IFERROR(__xludf.DUMMYFUNCTION("""COMPUTED_VALUE"""),44967.66666666667)</f>
        <v>44967.66667</v>
      </c>
      <c r="B10872" s="2">
        <f>IFERROR(__xludf.DUMMYFUNCTION("""COMPUTED_VALUE"""),133.78)</f>
        <v>133.78</v>
      </c>
      <c r="C10872" s="2">
        <f>IFERROR(__xludf.DUMMYFUNCTION("""COMPUTED_VALUE"""),135.77)</f>
        <v>135.77</v>
      </c>
      <c r="D10872" s="2">
        <f>IFERROR(__xludf.DUMMYFUNCTION("""COMPUTED_VALUE"""),133.5)</f>
        <v>133.5</v>
      </c>
      <c r="E10872" s="2">
        <f>IFERROR(__xludf.DUMMYFUNCTION("""COMPUTED_VALUE"""),135.6)</f>
        <v>135.6</v>
      </c>
      <c r="F10872" s="2">
        <f>IFERROR(__xludf.DUMMYFUNCTION("""COMPUTED_VALUE"""),5049571.0)</f>
        <v>5049571</v>
      </c>
    </row>
    <row r="10873">
      <c r="A10873" s="3">
        <f>IFERROR(__xludf.DUMMYFUNCTION("""COMPUTED_VALUE"""),44970.66666666667)</f>
        <v>44970.66667</v>
      </c>
      <c r="B10873" s="2">
        <f>IFERROR(__xludf.DUMMYFUNCTION("""COMPUTED_VALUE"""),136.0)</f>
        <v>136</v>
      </c>
      <c r="C10873" s="2">
        <f>IFERROR(__xludf.DUMMYFUNCTION("""COMPUTED_VALUE"""),137.39)</f>
        <v>137.39</v>
      </c>
      <c r="D10873" s="2">
        <f>IFERROR(__xludf.DUMMYFUNCTION("""COMPUTED_VALUE"""),135.85)</f>
        <v>135.85</v>
      </c>
      <c r="E10873" s="2">
        <f>IFERROR(__xludf.DUMMYFUNCTION("""COMPUTED_VALUE"""),137.35)</f>
        <v>137.35</v>
      </c>
      <c r="F10873" s="2">
        <f>IFERROR(__xludf.DUMMYFUNCTION("""COMPUTED_VALUE"""),4403015.0)</f>
        <v>4403015</v>
      </c>
    </row>
    <row r="10874">
      <c r="A10874" s="3">
        <f>IFERROR(__xludf.DUMMYFUNCTION("""COMPUTED_VALUE"""),44971.66666666667)</f>
        <v>44971.66667</v>
      </c>
      <c r="B10874" s="2">
        <f>IFERROR(__xludf.DUMMYFUNCTION("""COMPUTED_VALUE"""),137.05)</f>
        <v>137.05</v>
      </c>
      <c r="C10874" s="2">
        <f>IFERROR(__xludf.DUMMYFUNCTION("""COMPUTED_VALUE"""),137.24)</f>
        <v>137.24</v>
      </c>
      <c r="D10874" s="2">
        <f>IFERROR(__xludf.DUMMYFUNCTION("""COMPUTED_VALUE"""),135.05)</f>
        <v>135.05</v>
      </c>
      <c r="E10874" s="2">
        <f>IFERROR(__xludf.DUMMYFUNCTION("""COMPUTED_VALUE"""),136.01)</f>
        <v>136.01</v>
      </c>
      <c r="F10874" s="2">
        <f>IFERROR(__xludf.DUMMYFUNCTION("""COMPUTED_VALUE"""),3202172.0)</f>
        <v>3202172</v>
      </c>
    </row>
    <row r="10875">
      <c r="A10875" s="3">
        <f>IFERROR(__xludf.DUMMYFUNCTION("""COMPUTED_VALUE"""),44972.66666666667)</f>
        <v>44972.66667</v>
      </c>
      <c r="B10875" s="2">
        <f>IFERROR(__xludf.DUMMYFUNCTION("""COMPUTED_VALUE"""),135.2)</f>
        <v>135.2</v>
      </c>
      <c r="C10875" s="2">
        <f>IFERROR(__xludf.DUMMYFUNCTION("""COMPUTED_VALUE"""),136.45)</f>
        <v>136.45</v>
      </c>
      <c r="D10875" s="2">
        <f>IFERROR(__xludf.DUMMYFUNCTION("""COMPUTED_VALUE"""),135.07)</f>
        <v>135.07</v>
      </c>
      <c r="E10875" s="2">
        <f>IFERROR(__xludf.DUMMYFUNCTION("""COMPUTED_VALUE"""),136.4)</f>
        <v>136.4</v>
      </c>
      <c r="F10875" s="2">
        <f>IFERROR(__xludf.DUMMYFUNCTION("""COMPUTED_VALUE"""),2507004.0)</f>
        <v>2507004</v>
      </c>
    </row>
    <row r="10876">
      <c r="A10876" s="3">
        <f>IFERROR(__xludf.DUMMYFUNCTION("""COMPUTED_VALUE"""),44973.66666666667)</f>
        <v>44973.66667</v>
      </c>
      <c r="B10876" s="2">
        <f>IFERROR(__xludf.DUMMYFUNCTION("""COMPUTED_VALUE"""),135.57)</f>
        <v>135.57</v>
      </c>
      <c r="C10876" s="2">
        <f>IFERROR(__xludf.DUMMYFUNCTION("""COMPUTED_VALUE"""),135.97)</f>
        <v>135.97</v>
      </c>
      <c r="D10876" s="2">
        <f>IFERROR(__xludf.DUMMYFUNCTION("""COMPUTED_VALUE"""),134.59)</f>
        <v>134.59</v>
      </c>
      <c r="E10876" s="2">
        <f>IFERROR(__xludf.DUMMYFUNCTION("""COMPUTED_VALUE"""),135.0)</f>
        <v>135</v>
      </c>
      <c r="F10876" s="2">
        <f>IFERROR(__xludf.DUMMYFUNCTION("""COMPUTED_VALUE"""),2965495.0)</f>
        <v>2965495</v>
      </c>
    </row>
    <row r="10877">
      <c r="A10877" s="3">
        <f>IFERROR(__xludf.DUMMYFUNCTION("""COMPUTED_VALUE"""),44974.66666666667)</f>
        <v>44974.66667</v>
      </c>
      <c r="B10877" s="2">
        <f>IFERROR(__xludf.DUMMYFUNCTION("""COMPUTED_VALUE"""),134.5)</f>
        <v>134.5</v>
      </c>
      <c r="C10877" s="2">
        <f>IFERROR(__xludf.DUMMYFUNCTION("""COMPUTED_VALUE"""),135.58)</f>
        <v>135.58</v>
      </c>
      <c r="D10877" s="2">
        <f>IFERROR(__xludf.DUMMYFUNCTION("""COMPUTED_VALUE"""),133.89)</f>
        <v>133.89</v>
      </c>
      <c r="E10877" s="2">
        <f>IFERROR(__xludf.DUMMYFUNCTION("""COMPUTED_VALUE"""),135.02)</f>
        <v>135.02</v>
      </c>
      <c r="F10877" s="2">
        <f>IFERROR(__xludf.DUMMYFUNCTION("""COMPUTED_VALUE"""),3466184.0)</f>
        <v>3466184</v>
      </c>
    </row>
    <row r="10878">
      <c r="A10878" s="3">
        <f>IFERROR(__xludf.DUMMYFUNCTION("""COMPUTED_VALUE"""),44978.66666666667)</f>
        <v>44978.66667</v>
      </c>
      <c r="B10878" s="2">
        <f>IFERROR(__xludf.DUMMYFUNCTION("""COMPUTED_VALUE"""),134.0)</f>
        <v>134</v>
      </c>
      <c r="C10878" s="2">
        <f>IFERROR(__xludf.DUMMYFUNCTION("""COMPUTED_VALUE"""),134.39)</f>
        <v>134.39</v>
      </c>
      <c r="D10878" s="2">
        <f>IFERROR(__xludf.DUMMYFUNCTION("""COMPUTED_VALUE"""),131.66)</f>
        <v>131.66</v>
      </c>
      <c r="E10878" s="2">
        <f>IFERROR(__xludf.DUMMYFUNCTION("""COMPUTED_VALUE"""),131.71)</f>
        <v>131.71</v>
      </c>
      <c r="F10878" s="2">
        <f>IFERROR(__xludf.DUMMYFUNCTION("""COMPUTED_VALUE"""),4257210.0)</f>
        <v>4257210</v>
      </c>
    </row>
    <row r="10879">
      <c r="A10879" s="3">
        <f>IFERROR(__xludf.DUMMYFUNCTION("""COMPUTED_VALUE"""),44979.66666666667)</f>
        <v>44979.66667</v>
      </c>
      <c r="B10879" s="2">
        <f>IFERROR(__xludf.DUMMYFUNCTION("""COMPUTED_VALUE"""),131.9)</f>
        <v>131.9</v>
      </c>
      <c r="C10879" s="2">
        <f>IFERROR(__xludf.DUMMYFUNCTION("""COMPUTED_VALUE"""),131.99)</f>
        <v>131.99</v>
      </c>
      <c r="D10879" s="2">
        <f>IFERROR(__xludf.DUMMYFUNCTION("""COMPUTED_VALUE"""),130.29)</f>
        <v>130.29</v>
      </c>
      <c r="E10879" s="2">
        <f>IFERROR(__xludf.DUMMYFUNCTION("""COMPUTED_VALUE"""),130.97)</f>
        <v>130.97</v>
      </c>
      <c r="F10879" s="2">
        <f>IFERROR(__xludf.DUMMYFUNCTION("""COMPUTED_VALUE"""),3200185.0)</f>
        <v>3200185</v>
      </c>
    </row>
    <row r="10880">
      <c r="A10880" s="3">
        <f>IFERROR(__xludf.DUMMYFUNCTION("""COMPUTED_VALUE"""),44980.66666666667)</f>
        <v>44980.66667</v>
      </c>
      <c r="B10880" s="2">
        <f>IFERROR(__xludf.DUMMYFUNCTION("""COMPUTED_VALUE"""),131.5)</f>
        <v>131.5</v>
      </c>
      <c r="C10880" s="2">
        <f>IFERROR(__xludf.DUMMYFUNCTION("""COMPUTED_VALUE"""),131.7)</f>
        <v>131.7</v>
      </c>
      <c r="D10880" s="2">
        <f>IFERROR(__xludf.DUMMYFUNCTION("""COMPUTED_VALUE"""),128.86)</f>
        <v>128.86</v>
      </c>
      <c r="E10880" s="2">
        <f>IFERROR(__xludf.DUMMYFUNCTION("""COMPUTED_VALUE"""),130.79)</f>
        <v>130.79</v>
      </c>
      <c r="F10880" s="2">
        <f>IFERROR(__xludf.DUMMYFUNCTION("""COMPUTED_VALUE"""),3725648.0)</f>
        <v>3725648</v>
      </c>
    </row>
    <row r="10881">
      <c r="A10881" s="3">
        <f>IFERROR(__xludf.DUMMYFUNCTION("""COMPUTED_VALUE"""),44981.66666666667)</f>
        <v>44981.66667</v>
      </c>
      <c r="B10881" s="2">
        <f>IFERROR(__xludf.DUMMYFUNCTION("""COMPUTED_VALUE"""),129.62)</f>
        <v>129.62</v>
      </c>
      <c r="C10881" s="2">
        <f>IFERROR(__xludf.DUMMYFUNCTION("""COMPUTED_VALUE"""),130.67)</f>
        <v>130.67</v>
      </c>
      <c r="D10881" s="2">
        <f>IFERROR(__xludf.DUMMYFUNCTION("""COMPUTED_VALUE"""),129.22)</f>
        <v>129.22</v>
      </c>
      <c r="E10881" s="2">
        <f>IFERROR(__xludf.DUMMYFUNCTION("""COMPUTED_VALUE"""),130.57)</f>
        <v>130.57</v>
      </c>
      <c r="F10881" s="2">
        <f>IFERROR(__xludf.DUMMYFUNCTION("""COMPUTED_VALUE"""),3015907.0)</f>
        <v>3015907</v>
      </c>
    </row>
    <row r="10882">
      <c r="A10882" s="3">
        <f>IFERROR(__xludf.DUMMYFUNCTION("""COMPUTED_VALUE"""),44984.66666666667)</f>
        <v>44984.66667</v>
      </c>
      <c r="B10882" s="2">
        <f>IFERROR(__xludf.DUMMYFUNCTION("""COMPUTED_VALUE"""),131.42)</f>
        <v>131.42</v>
      </c>
      <c r="C10882" s="2">
        <f>IFERROR(__xludf.DUMMYFUNCTION("""COMPUTED_VALUE"""),131.87)</f>
        <v>131.87</v>
      </c>
      <c r="D10882" s="2">
        <f>IFERROR(__xludf.DUMMYFUNCTION("""COMPUTED_VALUE"""),130.13)</f>
        <v>130.13</v>
      </c>
      <c r="E10882" s="2">
        <f>IFERROR(__xludf.DUMMYFUNCTION("""COMPUTED_VALUE"""),130.49)</f>
        <v>130.49</v>
      </c>
      <c r="F10882" s="2">
        <f>IFERROR(__xludf.DUMMYFUNCTION("""COMPUTED_VALUE"""),2761326.0)</f>
        <v>2761326</v>
      </c>
    </row>
    <row r="10883">
      <c r="A10883" s="3">
        <f>IFERROR(__xludf.DUMMYFUNCTION("""COMPUTED_VALUE"""),44985.66666666667)</f>
        <v>44985.66667</v>
      </c>
      <c r="B10883" s="2">
        <f>IFERROR(__xludf.DUMMYFUNCTION("""COMPUTED_VALUE"""),130.55)</f>
        <v>130.55</v>
      </c>
      <c r="C10883" s="2">
        <f>IFERROR(__xludf.DUMMYFUNCTION("""COMPUTED_VALUE"""),130.61)</f>
        <v>130.61</v>
      </c>
      <c r="D10883" s="2">
        <f>IFERROR(__xludf.DUMMYFUNCTION("""COMPUTED_VALUE"""),129.14)</f>
        <v>129.14</v>
      </c>
      <c r="E10883" s="2">
        <f>IFERROR(__xludf.DUMMYFUNCTION("""COMPUTED_VALUE"""),129.3)</f>
        <v>129.3</v>
      </c>
      <c r="F10883" s="2">
        <f>IFERROR(__xludf.DUMMYFUNCTION("""COMPUTED_VALUE"""),5143133.0)</f>
        <v>5143133</v>
      </c>
    </row>
    <row r="10884">
      <c r="A10884" s="3">
        <f>IFERROR(__xludf.DUMMYFUNCTION("""COMPUTED_VALUE"""),44986.66666666667)</f>
        <v>44986.66667</v>
      </c>
      <c r="B10884" s="2">
        <f>IFERROR(__xludf.DUMMYFUNCTION("""COMPUTED_VALUE"""),128.9)</f>
        <v>128.9</v>
      </c>
      <c r="C10884" s="2">
        <f>IFERROR(__xludf.DUMMYFUNCTION("""COMPUTED_VALUE"""),129.47)</f>
        <v>129.47</v>
      </c>
      <c r="D10884" s="2">
        <f>IFERROR(__xludf.DUMMYFUNCTION("""COMPUTED_VALUE"""),127.74)</f>
        <v>127.74</v>
      </c>
      <c r="E10884" s="2">
        <f>IFERROR(__xludf.DUMMYFUNCTION("""COMPUTED_VALUE"""),128.19)</f>
        <v>128.19</v>
      </c>
      <c r="F10884" s="2">
        <f>IFERROR(__xludf.DUMMYFUNCTION("""COMPUTED_VALUE"""),3760678.0)</f>
        <v>3760678</v>
      </c>
    </row>
    <row r="10885">
      <c r="A10885" s="3">
        <f>IFERROR(__xludf.DUMMYFUNCTION("""COMPUTED_VALUE"""),44987.66666666667)</f>
        <v>44987.66667</v>
      </c>
      <c r="B10885" s="2">
        <f>IFERROR(__xludf.DUMMYFUNCTION("""COMPUTED_VALUE"""),128.39)</f>
        <v>128.39</v>
      </c>
      <c r="C10885" s="2">
        <f>IFERROR(__xludf.DUMMYFUNCTION("""COMPUTED_VALUE"""),129.22)</f>
        <v>129.22</v>
      </c>
      <c r="D10885" s="2">
        <f>IFERROR(__xludf.DUMMYFUNCTION("""COMPUTED_VALUE"""),127.71)</f>
        <v>127.71</v>
      </c>
      <c r="E10885" s="2">
        <f>IFERROR(__xludf.DUMMYFUNCTION("""COMPUTED_VALUE"""),128.93)</f>
        <v>128.93</v>
      </c>
      <c r="F10885" s="2">
        <f>IFERROR(__xludf.DUMMYFUNCTION("""COMPUTED_VALUE"""),3340254.0)</f>
        <v>3340254</v>
      </c>
    </row>
    <row r="10886">
      <c r="A10886" s="3">
        <f>IFERROR(__xludf.DUMMYFUNCTION("""COMPUTED_VALUE"""),44988.66666666667)</f>
        <v>44988.66667</v>
      </c>
      <c r="B10886" s="2">
        <f>IFERROR(__xludf.DUMMYFUNCTION("""COMPUTED_VALUE"""),129.35)</f>
        <v>129.35</v>
      </c>
      <c r="C10886" s="2">
        <f>IFERROR(__xludf.DUMMYFUNCTION("""COMPUTED_VALUE"""),129.91)</f>
        <v>129.91</v>
      </c>
      <c r="D10886" s="2">
        <f>IFERROR(__xludf.DUMMYFUNCTION("""COMPUTED_VALUE"""),128.77)</f>
        <v>128.77</v>
      </c>
      <c r="E10886" s="2">
        <f>IFERROR(__xludf.DUMMYFUNCTION("""COMPUTED_VALUE"""),129.64)</f>
        <v>129.64</v>
      </c>
      <c r="F10886" s="2">
        <f>IFERROR(__xludf.DUMMYFUNCTION("""COMPUTED_VALUE"""),2860286.0)</f>
        <v>2860286</v>
      </c>
    </row>
    <row r="10887">
      <c r="A10887" s="3">
        <f>IFERROR(__xludf.DUMMYFUNCTION("""COMPUTED_VALUE"""),44991.66666666667)</f>
        <v>44991.66667</v>
      </c>
      <c r="B10887" s="2">
        <f>IFERROR(__xludf.DUMMYFUNCTION("""COMPUTED_VALUE"""),129.64)</f>
        <v>129.64</v>
      </c>
      <c r="C10887" s="2">
        <f>IFERROR(__xludf.DUMMYFUNCTION("""COMPUTED_VALUE"""),130.86)</f>
        <v>130.86</v>
      </c>
      <c r="D10887" s="2">
        <f>IFERROR(__xludf.DUMMYFUNCTION("""COMPUTED_VALUE"""),129.59)</f>
        <v>129.59</v>
      </c>
      <c r="E10887" s="2">
        <f>IFERROR(__xludf.DUMMYFUNCTION("""COMPUTED_VALUE"""),130.19)</f>
        <v>130.19</v>
      </c>
      <c r="F10887" s="2">
        <f>IFERROR(__xludf.DUMMYFUNCTION("""COMPUTED_VALUE"""),2982980.0)</f>
        <v>2982980</v>
      </c>
    </row>
    <row r="10888">
      <c r="A10888" s="3">
        <f>IFERROR(__xludf.DUMMYFUNCTION("""COMPUTED_VALUE"""),44992.66666666667)</f>
        <v>44992.66667</v>
      </c>
      <c r="B10888" s="2">
        <f>IFERROR(__xludf.DUMMYFUNCTION("""COMPUTED_VALUE"""),130.28)</f>
        <v>130.28</v>
      </c>
      <c r="C10888" s="2">
        <f>IFERROR(__xludf.DUMMYFUNCTION("""COMPUTED_VALUE"""),130.42)</f>
        <v>130.42</v>
      </c>
      <c r="D10888" s="2">
        <f>IFERROR(__xludf.DUMMYFUNCTION("""COMPUTED_VALUE"""),128.19)</f>
        <v>128.19</v>
      </c>
      <c r="E10888" s="2">
        <f>IFERROR(__xludf.DUMMYFUNCTION("""COMPUTED_VALUE"""),128.25)</f>
        <v>128.25</v>
      </c>
      <c r="F10888" s="2">
        <f>IFERROR(__xludf.DUMMYFUNCTION("""COMPUTED_VALUE"""),3530439.0)</f>
        <v>3530439</v>
      </c>
    </row>
    <row r="10889">
      <c r="A10889" s="3">
        <f>IFERROR(__xludf.DUMMYFUNCTION("""COMPUTED_VALUE"""),44993.66666666667)</f>
        <v>44993.66667</v>
      </c>
      <c r="B10889" s="2">
        <f>IFERROR(__xludf.DUMMYFUNCTION("""COMPUTED_VALUE"""),128.48)</f>
        <v>128.48</v>
      </c>
      <c r="C10889" s="2">
        <f>IFERROR(__xludf.DUMMYFUNCTION("""COMPUTED_VALUE"""),128.74)</f>
        <v>128.74</v>
      </c>
      <c r="D10889" s="2">
        <f>IFERROR(__xludf.DUMMYFUNCTION("""COMPUTED_VALUE"""),127.55)</f>
        <v>127.55</v>
      </c>
      <c r="E10889" s="2">
        <f>IFERROR(__xludf.DUMMYFUNCTION("""COMPUTED_VALUE"""),128.05)</f>
        <v>128.05</v>
      </c>
      <c r="F10889" s="2">
        <f>IFERROR(__xludf.DUMMYFUNCTION("""COMPUTED_VALUE"""),2778798.0)</f>
        <v>2778798</v>
      </c>
    </row>
    <row r="10890">
      <c r="A10890" s="3">
        <f>IFERROR(__xludf.DUMMYFUNCTION("""COMPUTED_VALUE"""),44994.66666666667)</f>
        <v>44994.66667</v>
      </c>
      <c r="B10890" s="2">
        <f>IFERROR(__xludf.DUMMYFUNCTION("""COMPUTED_VALUE"""),128.3)</f>
        <v>128.3</v>
      </c>
      <c r="C10890" s="2">
        <f>IFERROR(__xludf.DUMMYFUNCTION("""COMPUTED_VALUE"""),128.53)</f>
        <v>128.53</v>
      </c>
      <c r="D10890" s="2">
        <f>IFERROR(__xludf.DUMMYFUNCTION("""COMPUTED_VALUE"""),125.98)</f>
        <v>125.98</v>
      </c>
      <c r="E10890" s="2">
        <f>IFERROR(__xludf.DUMMYFUNCTION("""COMPUTED_VALUE"""),126.16)</f>
        <v>126.16</v>
      </c>
      <c r="F10890" s="2">
        <f>IFERROR(__xludf.DUMMYFUNCTION("""COMPUTED_VALUE"""),5478317.0)</f>
        <v>5478317</v>
      </c>
    </row>
    <row r="10891">
      <c r="A10891" s="3">
        <f>IFERROR(__xludf.DUMMYFUNCTION("""COMPUTED_VALUE"""),44995.66666666667)</f>
        <v>44995.66667</v>
      </c>
      <c r="B10891" s="2">
        <f>IFERROR(__xludf.DUMMYFUNCTION("""COMPUTED_VALUE"""),126.12)</f>
        <v>126.12</v>
      </c>
      <c r="C10891" s="2">
        <f>IFERROR(__xludf.DUMMYFUNCTION("""COMPUTED_VALUE"""),127.29)</f>
        <v>127.29</v>
      </c>
      <c r="D10891" s="2">
        <f>IFERROR(__xludf.DUMMYFUNCTION("""COMPUTED_VALUE"""),125.13)</f>
        <v>125.13</v>
      </c>
      <c r="E10891" s="2">
        <f>IFERROR(__xludf.DUMMYFUNCTION("""COMPUTED_VALUE"""),125.45)</f>
        <v>125.45</v>
      </c>
      <c r="F10891" s="2">
        <f>IFERROR(__xludf.DUMMYFUNCTION("""COMPUTED_VALUE"""),5990867.0)</f>
        <v>5990867</v>
      </c>
    </row>
    <row r="10892">
      <c r="A10892" s="3">
        <f>IFERROR(__xludf.DUMMYFUNCTION("""COMPUTED_VALUE"""),44998.66666666667)</f>
        <v>44998.66667</v>
      </c>
      <c r="B10892" s="2">
        <f>IFERROR(__xludf.DUMMYFUNCTION("""COMPUTED_VALUE"""),125.15)</f>
        <v>125.15</v>
      </c>
      <c r="C10892" s="2">
        <f>IFERROR(__xludf.DUMMYFUNCTION("""COMPUTED_VALUE"""),128.19)</f>
        <v>128.19</v>
      </c>
      <c r="D10892" s="2">
        <f>IFERROR(__xludf.DUMMYFUNCTION("""COMPUTED_VALUE"""),124.85)</f>
        <v>124.85</v>
      </c>
      <c r="E10892" s="2">
        <f>IFERROR(__xludf.DUMMYFUNCTION("""COMPUTED_VALUE"""),125.58)</f>
        <v>125.58</v>
      </c>
      <c r="F10892" s="2">
        <f>IFERROR(__xludf.DUMMYFUNCTION("""COMPUTED_VALUE"""),8188369.0)</f>
        <v>8188369</v>
      </c>
    </row>
    <row r="10893">
      <c r="A10893" s="3">
        <f>IFERROR(__xludf.DUMMYFUNCTION("""COMPUTED_VALUE"""),44999.66666666667)</f>
        <v>44999.66667</v>
      </c>
      <c r="B10893" s="2">
        <f>IFERROR(__xludf.DUMMYFUNCTION("""COMPUTED_VALUE"""),126.49)</f>
        <v>126.49</v>
      </c>
      <c r="C10893" s="2">
        <f>IFERROR(__xludf.DUMMYFUNCTION("""COMPUTED_VALUE"""),126.64)</f>
        <v>126.64</v>
      </c>
      <c r="D10893" s="2">
        <f>IFERROR(__xludf.DUMMYFUNCTION("""COMPUTED_VALUE"""),123.2)</f>
        <v>123.2</v>
      </c>
      <c r="E10893" s="2">
        <f>IFERROR(__xludf.DUMMYFUNCTION("""COMPUTED_VALUE"""),124.65)</f>
        <v>124.65</v>
      </c>
      <c r="F10893" s="2">
        <f>IFERROR(__xludf.DUMMYFUNCTION("""COMPUTED_VALUE"""),8114792.0)</f>
        <v>8114792</v>
      </c>
    </row>
    <row r="10894">
      <c r="A10894" s="3">
        <f>IFERROR(__xludf.DUMMYFUNCTION("""COMPUTED_VALUE"""),45000.66666666667)</f>
        <v>45000.66667</v>
      </c>
      <c r="B10894" s="2">
        <f>IFERROR(__xludf.DUMMYFUNCTION("""COMPUTED_VALUE"""),122.99)</f>
        <v>122.99</v>
      </c>
      <c r="C10894" s="2">
        <f>IFERROR(__xludf.DUMMYFUNCTION("""COMPUTED_VALUE"""),123.35)</f>
        <v>123.35</v>
      </c>
      <c r="D10894" s="2">
        <f>IFERROR(__xludf.DUMMYFUNCTION("""COMPUTED_VALUE"""),121.71)</f>
        <v>121.71</v>
      </c>
      <c r="E10894" s="2">
        <f>IFERROR(__xludf.DUMMYFUNCTION("""COMPUTED_VALUE"""),123.28)</f>
        <v>123.28</v>
      </c>
      <c r="F10894" s="2">
        <f>IFERROR(__xludf.DUMMYFUNCTION("""COMPUTED_VALUE"""),5989339.0)</f>
        <v>5989339</v>
      </c>
    </row>
    <row r="10895">
      <c r="A10895" s="3">
        <f>IFERROR(__xludf.DUMMYFUNCTION("""COMPUTED_VALUE"""),45001.66666666667)</f>
        <v>45001.66667</v>
      </c>
      <c r="B10895" s="2">
        <f>IFERROR(__xludf.DUMMYFUNCTION("""COMPUTED_VALUE"""),122.96)</f>
        <v>122.96</v>
      </c>
      <c r="C10895" s="2">
        <f>IFERROR(__xludf.DUMMYFUNCTION("""COMPUTED_VALUE"""),124.82)</f>
        <v>124.82</v>
      </c>
      <c r="D10895" s="2">
        <f>IFERROR(__xludf.DUMMYFUNCTION("""COMPUTED_VALUE"""),121.92)</f>
        <v>121.92</v>
      </c>
      <c r="E10895" s="2">
        <f>IFERROR(__xludf.DUMMYFUNCTION("""COMPUTED_VALUE"""),124.7)</f>
        <v>124.7</v>
      </c>
      <c r="F10895" s="2">
        <f>IFERROR(__xludf.DUMMYFUNCTION("""COMPUTED_VALUE"""),6440023.0)</f>
        <v>6440023</v>
      </c>
    </row>
    <row r="10896">
      <c r="A10896" s="3">
        <f>IFERROR(__xludf.DUMMYFUNCTION("""COMPUTED_VALUE"""),45002.66666666667)</f>
        <v>45002.66667</v>
      </c>
      <c r="B10896" s="2">
        <f>IFERROR(__xludf.DUMMYFUNCTION("""COMPUTED_VALUE"""),124.08)</f>
        <v>124.08</v>
      </c>
      <c r="C10896" s="2">
        <f>IFERROR(__xludf.DUMMYFUNCTION("""COMPUTED_VALUE"""),124.52)</f>
        <v>124.52</v>
      </c>
      <c r="D10896" s="2">
        <f>IFERROR(__xludf.DUMMYFUNCTION("""COMPUTED_VALUE"""),122.93)</f>
        <v>122.93</v>
      </c>
      <c r="E10896" s="2">
        <f>IFERROR(__xludf.DUMMYFUNCTION("""COMPUTED_VALUE"""),123.69)</f>
        <v>123.69</v>
      </c>
      <c r="F10896" s="2">
        <f>IFERROR(__xludf.DUMMYFUNCTION("""COMPUTED_VALUE"""),3.7400167E7)</f>
        <v>37400167</v>
      </c>
    </row>
    <row r="10897">
      <c r="A10897" s="3">
        <f>IFERROR(__xludf.DUMMYFUNCTION("""COMPUTED_VALUE"""),45005.66666666667)</f>
        <v>45005.66667</v>
      </c>
      <c r="B10897" s="2">
        <f>IFERROR(__xludf.DUMMYFUNCTION("""COMPUTED_VALUE"""),124.31)</f>
        <v>124.31</v>
      </c>
      <c r="C10897" s="2">
        <f>IFERROR(__xludf.DUMMYFUNCTION("""COMPUTED_VALUE"""),126.16)</f>
        <v>126.16</v>
      </c>
      <c r="D10897" s="2">
        <f>IFERROR(__xludf.DUMMYFUNCTION("""COMPUTED_VALUE"""),124.19)</f>
        <v>124.19</v>
      </c>
      <c r="E10897" s="2">
        <f>IFERROR(__xludf.DUMMYFUNCTION("""COMPUTED_VALUE"""),125.94)</f>
        <v>125.94</v>
      </c>
      <c r="F10897" s="2">
        <f>IFERROR(__xludf.DUMMYFUNCTION("""COMPUTED_VALUE"""),4588304.0)</f>
        <v>4588304</v>
      </c>
    </row>
    <row r="10898">
      <c r="A10898" s="3">
        <f>IFERROR(__xludf.DUMMYFUNCTION("""COMPUTED_VALUE"""),45006.66666666667)</f>
        <v>45006.66667</v>
      </c>
      <c r="B10898" s="2">
        <f>IFERROR(__xludf.DUMMYFUNCTION("""COMPUTED_VALUE"""),126.9)</f>
        <v>126.9</v>
      </c>
      <c r="C10898" s="2">
        <f>IFERROR(__xludf.DUMMYFUNCTION("""COMPUTED_VALUE"""),127.15)</f>
        <v>127.15</v>
      </c>
      <c r="D10898" s="2">
        <f>IFERROR(__xludf.DUMMYFUNCTION("""COMPUTED_VALUE"""),125.66)</f>
        <v>125.66</v>
      </c>
      <c r="E10898" s="2">
        <f>IFERROR(__xludf.DUMMYFUNCTION("""COMPUTED_VALUE"""),126.57)</f>
        <v>126.57</v>
      </c>
      <c r="F10898" s="2">
        <f>IFERROR(__xludf.DUMMYFUNCTION("""COMPUTED_VALUE"""),3856345.0)</f>
        <v>3856345</v>
      </c>
    </row>
    <row r="10899">
      <c r="A10899" s="3">
        <f>IFERROR(__xludf.DUMMYFUNCTION("""COMPUTED_VALUE"""),45007.66666666667)</f>
        <v>45007.66667</v>
      </c>
      <c r="B10899" s="2">
        <f>IFERROR(__xludf.DUMMYFUNCTION("""COMPUTED_VALUE"""),127.0)</f>
        <v>127</v>
      </c>
      <c r="C10899" s="2">
        <f>IFERROR(__xludf.DUMMYFUNCTION("""COMPUTED_VALUE"""),127.22)</f>
        <v>127.22</v>
      </c>
      <c r="D10899" s="2">
        <f>IFERROR(__xludf.DUMMYFUNCTION("""COMPUTED_VALUE"""),124.01)</f>
        <v>124.01</v>
      </c>
      <c r="E10899" s="2">
        <f>IFERROR(__xludf.DUMMYFUNCTION("""COMPUTED_VALUE"""),124.05)</f>
        <v>124.05</v>
      </c>
      <c r="F10899" s="2">
        <f>IFERROR(__xludf.DUMMYFUNCTION("""COMPUTED_VALUE"""),3549024.0)</f>
        <v>3549024</v>
      </c>
    </row>
    <row r="10900">
      <c r="A10900" s="3">
        <f>IFERROR(__xludf.DUMMYFUNCTION("""COMPUTED_VALUE"""),45008.66666666667)</f>
        <v>45008.66667</v>
      </c>
      <c r="B10900" s="2">
        <f>IFERROR(__xludf.DUMMYFUNCTION("""COMPUTED_VALUE"""),123.81)</f>
        <v>123.81</v>
      </c>
      <c r="C10900" s="2">
        <f>IFERROR(__xludf.DUMMYFUNCTION("""COMPUTED_VALUE"""),124.93)</f>
        <v>124.93</v>
      </c>
      <c r="D10900" s="2">
        <f>IFERROR(__xludf.DUMMYFUNCTION("""COMPUTED_VALUE"""),122.6)</f>
        <v>122.6</v>
      </c>
      <c r="E10900" s="2">
        <f>IFERROR(__xludf.DUMMYFUNCTION("""COMPUTED_VALUE"""),123.37)</f>
        <v>123.37</v>
      </c>
      <c r="F10900" s="2">
        <f>IFERROR(__xludf.DUMMYFUNCTION("""COMPUTED_VALUE"""),4651936.0)</f>
        <v>4651936</v>
      </c>
    </row>
    <row r="10901">
      <c r="A10901" s="3">
        <f>IFERROR(__xludf.DUMMYFUNCTION("""COMPUTED_VALUE"""),45009.66666666667)</f>
        <v>45009.66667</v>
      </c>
      <c r="B10901" s="2">
        <f>IFERROR(__xludf.DUMMYFUNCTION("""COMPUTED_VALUE"""),123.36)</f>
        <v>123.36</v>
      </c>
      <c r="C10901" s="2">
        <f>IFERROR(__xludf.DUMMYFUNCTION("""COMPUTED_VALUE"""),125.4)</f>
        <v>125.4</v>
      </c>
      <c r="D10901" s="2">
        <f>IFERROR(__xludf.DUMMYFUNCTION("""COMPUTED_VALUE"""),122.88)</f>
        <v>122.88</v>
      </c>
      <c r="E10901" s="2">
        <f>IFERROR(__xludf.DUMMYFUNCTION("""COMPUTED_VALUE"""),125.29)</f>
        <v>125.29</v>
      </c>
      <c r="F10901" s="2">
        <f>IFERROR(__xludf.DUMMYFUNCTION("""COMPUTED_VALUE"""),3812644.0)</f>
        <v>3812644</v>
      </c>
    </row>
    <row r="10902">
      <c r="A10902" s="3">
        <f>IFERROR(__xludf.DUMMYFUNCTION("""COMPUTED_VALUE"""),45012.66666666667)</f>
        <v>45012.66667</v>
      </c>
      <c r="B10902" s="2">
        <f>IFERROR(__xludf.DUMMYFUNCTION("""COMPUTED_VALUE"""),126.47)</f>
        <v>126.47</v>
      </c>
      <c r="C10902" s="2">
        <f>IFERROR(__xludf.DUMMYFUNCTION("""COMPUTED_VALUE"""),130.26)</f>
        <v>130.26</v>
      </c>
      <c r="D10902" s="2">
        <f>IFERROR(__xludf.DUMMYFUNCTION("""COMPUTED_VALUE"""),126.47)</f>
        <v>126.47</v>
      </c>
      <c r="E10902" s="2">
        <f>IFERROR(__xludf.DUMMYFUNCTION("""COMPUTED_VALUE"""),129.31)</f>
        <v>129.31</v>
      </c>
      <c r="F10902" s="2">
        <f>IFERROR(__xludf.DUMMYFUNCTION("""COMPUTED_VALUE"""),6524113.0)</f>
        <v>6524113</v>
      </c>
    </row>
    <row r="10903">
      <c r="A10903" s="3">
        <f>IFERROR(__xludf.DUMMYFUNCTION("""COMPUTED_VALUE"""),45013.66666666667)</f>
        <v>45013.66667</v>
      </c>
      <c r="B10903" s="2">
        <f>IFERROR(__xludf.DUMMYFUNCTION("""COMPUTED_VALUE"""),129.18)</f>
        <v>129.18</v>
      </c>
      <c r="C10903" s="2">
        <f>IFERROR(__xludf.DUMMYFUNCTION("""COMPUTED_VALUE"""),129.66)</f>
        <v>129.66</v>
      </c>
      <c r="D10903" s="2">
        <f>IFERROR(__xludf.DUMMYFUNCTION("""COMPUTED_VALUE"""),128.8)</f>
        <v>128.8</v>
      </c>
      <c r="E10903" s="2">
        <f>IFERROR(__xludf.DUMMYFUNCTION("""COMPUTED_VALUE"""),129.34)</f>
        <v>129.34</v>
      </c>
      <c r="F10903" s="2">
        <f>IFERROR(__xludf.DUMMYFUNCTION("""COMPUTED_VALUE"""),2889115.0)</f>
        <v>2889115</v>
      </c>
    </row>
    <row r="10904">
      <c r="A10904" s="3">
        <f>IFERROR(__xludf.DUMMYFUNCTION("""COMPUTED_VALUE"""),45014.66666666667)</f>
        <v>45014.66667</v>
      </c>
      <c r="B10904" s="2">
        <f>IFERROR(__xludf.DUMMYFUNCTION("""COMPUTED_VALUE"""),130.12)</f>
        <v>130.12</v>
      </c>
      <c r="C10904" s="2">
        <f>IFERROR(__xludf.DUMMYFUNCTION("""COMPUTED_VALUE"""),130.35)</f>
        <v>130.35</v>
      </c>
      <c r="D10904" s="2">
        <f>IFERROR(__xludf.DUMMYFUNCTION("""COMPUTED_VALUE"""),129.18)</f>
        <v>129.18</v>
      </c>
      <c r="E10904" s="2">
        <f>IFERROR(__xludf.DUMMYFUNCTION("""COMPUTED_VALUE"""),129.71)</f>
        <v>129.71</v>
      </c>
      <c r="F10904" s="2">
        <f>IFERROR(__xludf.DUMMYFUNCTION("""COMPUTED_VALUE"""),3279846.0)</f>
        <v>3279846</v>
      </c>
    </row>
    <row r="10905">
      <c r="A10905" s="3">
        <f>IFERROR(__xludf.DUMMYFUNCTION("""COMPUTED_VALUE"""),45015.66666666667)</f>
        <v>45015.66667</v>
      </c>
      <c r="B10905" s="2">
        <f>IFERROR(__xludf.DUMMYFUNCTION("""COMPUTED_VALUE"""),130.16)</f>
        <v>130.16</v>
      </c>
      <c r="C10905" s="2">
        <f>IFERROR(__xludf.DUMMYFUNCTION("""COMPUTED_VALUE"""),131.48)</f>
        <v>131.48</v>
      </c>
      <c r="D10905" s="2">
        <f>IFERROR(__xludf.DUMMYFUNCTION("""COMPUTED_VALUE"""),129.1)</f>
        <v>129.1</v>
      </c>
      <c r="E10905" s="2">
        <f>IFERROR(__xludf.DUMMYFUNCTION("""COMPUTED_VALUE"""),129.22)</f>
        <v>129.22</v>
      </c>
      <c r="F10905" s="2">
        <f>IFERROR(__xludf.DUMMYFUNCTION("""COMPUTED_VALUE"""),3561762.0)</f>
        <v>3561762</v>
      </c>
    </row>
    <row r="10906">
      <c r="A10906" s="3">
        <f>IFERROR(__xludf.DUMMYFUNCTION("""COMPUTED_VALUE"""),45016.66666666667)</f>
        <v>45016.66667</v>
      </c>
      <c r="B10906" s="2">
        <f>IFERROR(__xludf.DUMMYFUNCTION("""COMPUTED_VALUE"""),129.47)</f>
        <v>129.47</v>
      </c>
      <c r="C10906" s="2">
        <f>IFERROR(__xludf.DUMMYFUNCTION("""COMPUTED_VALUE"""),131.23)</f>
        <v>131.23</v>
      </c>
      <c r="D10906" s="2">
        <f>IFERROR(__xludf.DUMMYFUNCTION("""COMPUTED_VALUE"""),129.42)</f>
        <v>129.42</v>
      </c>
      <c r="E10906" s="2">
        <f>IFERROR(__xludf.DUMMYFUNCTION("""COMPUTED_VALUE"""),131.09)</f>
        <v>131.09</v>
      </c>
      <c r="F10906" s="2">
        <f>IFERROR(__xludf.DUMMYFUNCTION("""COMPUTED_VALUE"""),4524686.0)</f>
        <v>4524686</v>
      </c>
    </row>
    <row r="10907">
      <c r="A10907" s="3">
        <f>IFERROR(__xludf.DUMMYFUNCTION("""COMPUTED_VALUE"""),45019.66666666667)</f>
        <v>45019.66667</v>
      </c>
      <c r="B10907" s="2">
        <f>IFERROR(__xludf.DUMMYFUNCTION("""COMPUTED_VALUE"""),130.97)</f>
        <v>130.97</v>
      </c>
      <c r="C10907" s="2">
        <f>IFERROR(__xludf.DUMMYFUNCTION("""COMPUTED_VALUE"""),132.61)</f>
        <v>132.61</v>
      </c>
      <c r="D10907" s="2">
        <f>IFERROR(__xludf.DUMMYFUNCTION("""COMPUTED_VALUE"""),130.77)</f>
        <v>130.77</v>
      </c>
      <c r="E10907" s="2">
        <f>IFERROR(__xludf.DUMMYFUNCTION("""COMPUTED_VALUE"""),132.06)</f>
        <v>132.06</v>
      </c>
      <c r="F10907" s="2">
        <f>IFERROR(__xludf.DUMMYFUNCTION("""COMPUTED_VALUE"""),3840139.0)</f>
        <v>3840139</v>
      </c>
    </row>
    <row r="10908">
      <c r="A10908" s="3">
        <f>IFERROR(__xludf.DUMMYFUNCTION("""COMPUTED_VALUE"""),45020.66666666667)</f>
        <v>45020.66667</v>
      </c>
      <c r="B10908" s="2">
        <f>IFERROR(__xludf.DUMMYFUNCTION("""COMPUTED_VALUE"""),131.99)</f>
        <v>131.99</v>
      </c>
      <c r="C10908" s="2">
        <f>IFERROR(__xludf.DUMMYFUNCTION("""COMPUTED_VALUE"""),132.15)</f>
        <v>132.15</v>
      </c>
      <c r="D10908" s="2">
        <f>IFERROR(__xludf.DUMMYFUNCTION("""COMPUTED_VALUE"""),130.89)</f>
        <v>130.89</v>
      </c>
      <c r="E10908" s="2">
        <f>IFERROR(__xludf.DUMMYFUNCTION("""COMPUTED_VALUE"""),131.6)</f>
        <v>131.6</v>
      </c>
      <c r="F10908" s="2">
        <f>IFERROR(__xludf.DUMMYFUNCTION("""COMPUTED_VALUE"""),3382783.0)</f>
        <v>3382783</v>
      </c>
    </row>
    <row r="10909">
      <c r="A10909" s="3">
        <f>IFERROR(__xludf.DUMMYFUNCTION("""COMPUTED_VALUE"""),45021.66666666667)</f>
        <v>45021.66667</v>
      </c>
      <c r="B10909" s="2">
        <f>IFERROR(__xludf.DUMMYFUNCTION("""COMPUTED_VALUE"""),131.37)</f>
        <v>131.37</v>
      </c>
      <c r="C10909" s="2">
        <f>IFERROR(__xludf.DUMMYFUNCTION("""COMPUTED_VALUE"""),132.61)</f>
        <v>132.61</v>
      </c>
      <c r="D10909" s="2">
        <f>IFERROR(__xludf.DUMMYFUNCTION("""COMPUTED_VALUE"""),131.37)</f>
        <v>131.37</v>
      </c>
      <c r="E10909" s="2">
        <f>IFERROR(__xludf.DUMMYFUNCTION("""COMPUTED_VALUE"""),132.14)</f>
        <v>132.14</v>
      </c>
      <c r="F10909" s="2">
        <f>IFERROR(__xludf.DUMMYFUNCTION("""COMPUTED_VALUE"""),2898759.0)</f>
        <v>2898759</v>
      </c>
    </row>
    <row r="10910">
      <c r="A10910" s="3">
        <f>IFERROR(__xludf.DUMMYFUNCTION("""COMPUTED_VALUE"""),45022.66666666667)</f>
        <v>45022.66667</v>
      </c>
      <c r="B10910" s="2">
        <f>IFERROR(__xludf.DUMMYFUNCTION("""COMPUTED_VALUE"""),132.16)</f>
        <v>132.16</v>
      </c>
      <c r="C10910" s="2">
        <f>IFERROR(__xludf.DUMMYFUNCTION("""COMPUTED_VALUE"""),132.6)</f>
        <v>132.6</v>
      </c>
      <c r="D10910" s="2">
        <f>IFERROR(__xludf.DUMMYFUNCTION("""COMPUTED_VALUE"""),130.32)</f>
        <v>130.32</v>
      </c>
      <c r="E10910" s="2">
        <f>IFERROR(__xludf.DUMMYFUNCTION("""COMPUTED_VALUE"""),130.5)</f>
        <v>130.5</v>
      </c>
      <c r="F10910" s="2">
        <f>IFERROR(__xludf.DUMMYFUNCTION("""COMPUTED_VALUE"""),3050581.0)</f>
        <v>3050581</v>
      </c>
    </row>
    <row r="10911">
      <c r="A10911" s="3">
        <f>IFERROR(__xludf.DUMMYFUNCTION("""COMPUTED_VALUE"""),45026.66666666667)</f>
        <v>45026.66667</v>
      </c>
      <c r="B10911" s="2">
        <f>IFERROR(__xludf.DUMMYFUNCTION("""COMPUTED_VALUE"""),129.83)</f>
        <v>129.83</v>
      </c>
      <c r="C10911" s="2">
        <f>IFERROR(__xludf.DUMMYFUNCTION("""COMPUTED_VALUE"""),131.08)</f>
        <v>131.08</v>
      </c>
      <c r="D10911" s="2">
        <f>IFERROR(__xludf.DUMMYFUNCTION("""COMPUTED_VALUE"""),129.24)</f>
        <v>129.24</v>
      </c>
      <c r="E10911" s="2">
        <f>IFERROR(__xludf.DUMMYFUNCTION("""COMPUTED_VALUE"""),131.03)</f>
        <v>131.03</v>
      </c>
      <c r="F10911" s="2">
        <f>IFERROR(__xludf.DUMMYFUNCTION("""COMPUTED_VALUE"""),2614402.0)</f>
        <v>2614402</v>
      </c>
    </row>
    <row r="10912">
      <c r="A10912" s="3">
        <f>IFERROR(__xludf.DUMMYFUNCTION("""COMPUTED_VALUE"""),45027.66666666667)</f>
        <v>45027.66667</v>
      </c>
      <c r="B10912" s="2">
        <f>IFERROR(__xludf.DUMMYFUNCTION("""COMPUTED_VALUE"""),130.58)</f>
        <v>130.58</v>
      </c>
      <c r="C10912" s="2">
        <f>IFERROR(__xludf.DUMMYFUNCTION("""COMPUTED_VALUE"""),131.1)</f>
        <v>131.1</v>
      </c>
      <c r="D10912" s="2">
        <f>IFERROR(__xludf.DUMMYFUNCTION("""COMPUTED_VALUE"""),130.18)</f>
        <v>130.18</v>
      </c>
      <c r="E10912" s="2">
        <f>IFERROR(__xludf.DUMMYFUNCTION("""COMPUTED_VALUE"""),130.42)</f>
        <v>130.42</v>
      </c>
      <c r="F10912" s="2">
        <f>IFERROR(__xludf.DUMMYFUNCTION("""COMPUTED_VALUE"""),3132430.0)</f>
        <v>3132430</v>
      </c>
    </row>
    <row r="10913">
      <c r="A10913" s="3">
        <f>IFERROR(__xludf.DUMMYFUNCTION("""COMPUTED_VALUE"""),45028.66666666667)</f>
        <v>45028.66667</v>
      </c>
      <c r="B10913" s="2">
        <f>IFERROR(__xludf.DUMMYFUNCTION("""COMPUTED_VALUE"""),130.4)</f>
        <v>130.4</v>
      </c>
      <c r="C10913" s="2">
        <f>IFERROR(__xludf.DUMMYFUNCTION("""COMPUTED_VALUE"""),130.89)</f>
        <v>130.89</v>
      </c>
      <c r="D10913" s="2">
        <f>IFERROR(__xludf.DUMMYFUNCTION("""COMPUTED_VALUE"""),128.17)</f>
        <v>128.17</v>
      </c>
      <c r="E10913" s="2">
        <f>IFERROR(__xludf.DUMMYFUNCTION("""COMPUTED_VALUE"""),128.54)</f>
        <v>128.54</v>
      </c>
      <c r="F10913" s="2">
        <f>IFERROR(__xludf.DUMMYFUNCTION("""COMPUTED_VALUE"""),3957542.0)</f>
        <v>3957542</v>
      </c>
    </row>
    <row r="10914">
      <c r="A10914" s="3">
        <f>IFERROR(__xludf.DUMMYFUNCTION("""COMPUTED_VALUE"""),45029.66666666667)</f>
        <v>45029.66667</v>
      </c>
      <c r="B10914" s="2">
        <f>IFERROR(__xludf.DUMMYFUNCTION("""COMPUTED_VALUE"""),128.01)</f>
        <v>128.01</v>
      </c>
      <c r="C10914" s="2">
        <f>IFERROR(__xludf.DUMMYFUNCTION("""COMPUTED_VALUE"""),128.39)</f>
        <v>128.39</v>
      </c>
      <c r="D10914" s="2">
        <f>IFERROR(__xludf.DUMMYFUNCTION("""COMPUTED_VALUE"""),126.0)</f>
        <v>126</v>
      </c>
      <c r="E10914" s="2">
        <f>IFERROR(__xludf.DUMMYFUNCTION("""COMPUTED_VALUE"""),127.9)</f>
        <v>127.9</v>
      </c>
      <c r="F10914" s="2">
        <f>IFERROR(__xludf.DUMMYFUNCTION("""COMPUTED_VALUE"""),5621512.0)</f>
        <v>5621512</v>
      </c>
    </row>
    <row r="10915">
      <c r="A10915" s="3">
        <f>IFERROR(__xludf.DUMMYFUNCTION("""COMPUTED_VALUE"""),45030.66666666667)</f>
        <v>45030.66667</v>
      </c>
      <c r="B10915" s="2">
        <f>IFERROR(__xludf.DUMMYFUNCTION("""COMPUTED_VALUE"""),128.46)</f>
        <v>128.46</v>
      </c>
      <c r="C10915" s="2">
        <f>IFERROR(__xludf.DUMMYFUNCTION("""COMPUTED_VALUE"""),129.84)</f>
        <v>129.84</v>
      </c>
      <c r="D10915" s="2">
        <f>IFERROR(__xludf.DUMMYFUNCTION("""COMPUTED_VALUE"""),127.31)</f>
        <v>127.31</v>
      </c>
      <c r="E10915" s="2">
        <f>IFERROR(__xludf.DUMMYFUNCTION("""COMPUTED_VALUE"""),128.14)</f>
        <v>128.14</v>
      </c>
      <c r="F10915" s="2">
        <f>IFERROR(__xludf.DUMMYFUNCTION("""COMPUTED_VALUE"""),4180614.0)</f>
        <v>4180614</v>
      </c>
    </row>
    <row r="10916">
      <c r="A10916" s="3">
        <f>IFERROR(__xludf.DUMMYFUNCTION("""COMPUTED_VALUE"""),45033.66666666667)</f>
        <v>45033.66667</v>
      </c>
      <c r="B10916" s="2">
        <f>IFERROR(__xludf.DUMMYFUNCTION("""COMPUTED_VALUE"""),128.3)</f>
        <v>128.3</v>
      </c>
      <c r="C10916" s="2">
        <f>IFERROR(__xludf.DUMMYFUNCTION("""COMPUTED_VALUE"""),128.72)</f>
        <v>128.72</v>
      </c>
      <c r="D10916" s="2">
        <f>IFERROR(__xludf.DUMMYFUNCTION("""COMPUTED_VALUE"""),126.8)</f>
        <v>126.8</v>
      </c>
      <c r="E10916" s="2">
        <f>IFERROR(__xludf.DUMMYFUNCTION("""COMPUTED_VALUE"""),127.82)</f>
        <v>127.82</v>
      </c>
      <c r="F10916" s="2">
        <f>IFERROR(__xludf.DUMMYFUNCTION("""COMPUTED_VALUE"""),3662666.0)</f>
        <v>3662666</v>
      </c>
    </row>
    <row r="10917">
      <c r="A10917" s="3">
        <f>IFERROR(__xludf.DUMMYFUNCTION("""COMPUTED_VALUE"""),45034.66666666667)</f>
        <v>45034.66667</v>
      </c>
      <c r="B10917" s="2">
        <f>IFERROR(__xludf.DUMMYFUNCTION("""COMPUTED_VALUE"""),128.14)</f>
        <v>128.14</v>
      </c>
      <c r="C10917" s="2">
        <f>IFERROR(__xludf.DUMMYFUNCTION("""COMPUTED_VALUE"""),128.68)</f>
        <v>128.68</v>
      </c>
      <c r="D10917" s="2">
        <f>IFERROR(__xludf.DUMMYFUNCTION("""COMPUTED_VALUE"""),127.35)</f>
        <v>127.35</v>
      </c>
      <c r="E10917" s="2">
        <f>IFERROR(__xludf.DUMMYFUNCTION("""COMPUTED_VALUE"""),127.78)</f>
        <v>127.78</v>
      </c>
      <c r="F10917" s="2">
        <f>IFERROR(__xludf.DUMMYFUNCTION("""COMPUTED_VALUE"""),3193787.0)</f>
        <v>3193787</v>
      </c>
    </row>
    <row r="10918">
      <c r="A10918" s="3">
        <f>IFERROR(__xludf.DUMMYFUNCTION("""COMPUTED_VALUE"""),45035.66666666667)</f>
        <v>45035.66667</v>
      </c>
      <c r="B10918" s="2">
        <f>IFERROR(__xludf.DUMMYFUNCTION("""COMPUTED_VALUE"""),126.5)</f>
        <v>126.5</v>
      </c>
      <c r="C10918" s="2">
        <f>IFERROR(__xludf.DUMMYFUNCTION("""COMPUTED_VALUE"""),126.98)</f>
        <v>126.98</v>
      </c>
      <c r="D10918" s="2">
        <f>IFERROR(__xludf.DUMMYFUNCTION("""COMPUTED_VALUE"""),125.3)</f>
        <v>125.3</v>
      </c>
      <c r="E10918" s="2">
        <f>IFERROR(__xludf.DUMMYFUNCTION("""COMPUTED_VALUE"""),126.32)</f>
        <v>126.32</v>
      </c>
      <c r="F10918" s="2">
        <f>IFERROR(__xludf.DUMMYFUNCTION("""COMPUTED_VALUE"""),7014368.0)</f>
        <v>7014368</v>
      </c>
    </row>
    <row r="10919">
      <c r="A10919" s="3">
        <f>IFERROR(__xludf.DUMMYFUNCTION("""COMPUTED_VALUE"""),45036.66666666667)</f>
        <v>45036.66667</v>
      </c>
      <c r="B10919" s="2">
        <f>IFERROR(__xludf.DUMMYFUNCTION("""COMPUTED_VALUE"""),130.15)</f>
        <v>130.15</v>
      </c>
      <c r="C10919" s="2">
        <f>IFERROR(__xludf.DUMMYFUNCTION("""COMPUTED_VALUE"""),130.98)</f>
        <v>130.98</v>
      </c>
      <c r="D10919" s="2">
        <f>IFERROR(__xludf.DUMMYFUNCTION("""COMPUTED_VALUE"""),125.84)</f>
        <v>125.84</v>
      </c>
      <c r="E10919" s="2">
        <f>IFERROR(__xludf.DUMMYFUNCTION("""COMPUTED_VALUE"""),126.36)</f>
        <v>126.36</v>
      </c>
      <c r="F10919" s="2">
        <f>IFERROR(__xludf.DUMMYFUNCTION("""COMPUTED_VALUE"""),9749618.0)</f>
        <v>9749618</v>
      </c>
    </row>
    <row r="10920">
      <c r="A10920" s="3">
        <f>IFERROR(__xludf.DUMMYFUNCTION("""COMPUTED_VALUE"""),45037.66666666667)</f>
        <v>45037.66667</v>
      </c>
      <c r="B10920" s="2">
        <f>IFERROR(__xludf.DUMMYFUNCTION("""COMPUTED_VALUE"""),126.0)</f>
        <v>126</v>
      </c>
      <c r="C10920" s="2">
        <f>IFERROR(__xludf.DUMMYFUNCTION("""COMPUTED_VALUE"""),126.7)</f>
        <v>126.7</v>
      </c>
      <c r="D10920" s="2">
        <f>IFERROR(__xludf.DUMMYFUNCTION("""COMPUTED_VALUE"""),125.27)</f>
        <v>125.27</v>
      </c>
      <c r="E10920" s="2">
        <f>IFERROR(__xludf.DUMMYFUNCTION("""COMPUTED_VALUE"""),125.73)</f>
        <v>125.73</v>
      </c>
      <c r="F10920" s="2">
        <f>IFERROR(__xludf.DUMMYFUNCTION("""COMPUTED_VALUE"""),6725426.0)</f>
        <v>6725426</v>
      </c>
    </row>
    <row r="10921">
      <c r="A10921" s="3">
        <f>IFERROR(__xludf.DUMMYFUNCTION("""COMPUTED_VALUE"""),45040.66666666667)</f>
        <v>45040.66667</v>
      </c>
      <c r="B10921" s="2">
        <f>IFERROR(__xludf.DUMMYFUNCTION("""COMPUTED_VALUE"""),125.55)</f>
        <v>125.55</v>
      </c>
      <c r="C10921" s="2">
        <f>IFERROR(__xludf.DUMMYFUNCTION("""COMPUTED_VALUE"""),126.05)</f>
        <v>126.05</v>
      </c>
      <c r="D10921" s="2">
        <f>IFERROR(__xludf.DUMMYFUNCTION("""COMPUTED_VALUE"""),124.56)</f>
        <v>124.56</v>
      </c>
      <c r="E10921" s="2">
        <f>IFERROR(__xludf.DUMMYFUNCTION("""COMPUTED_VALUE"""),125.4)</f>
        <v>125.4</v>
      </c>
      <c r="F10921" s="2">
        <f>IFERROR(__xludf.DUMMYFUNCTION("""COMPUTED_VALUE"""),4043892.0)</f>
        <v>4043892</v>
      </c>
    </row>
    <row r="10922">
      <c r="A10922" s="3">
        <f>IFERROR(__xludf.DUMMYFUNCTION("""COMPUTED_VALUE"""),45041.66666666667)</f>
        <v>45041.66667</v>
      </c>
      <c r="B10922" s="2">
        <f>IFERROR(__xludf.DUMMYFUNCTION("""COMPUTED_VALUE"""),124.9)</f>
        <v>124.9</v>
      </c>
      <c r="C10922" s="2">
        <f>IFERROR(__xludf.DUMMYFUNCTION("""COMPUTED_VALUE"""),126.19)</f>
        <v>126.19</v>
      </c>
      <c r="D10922" s="2">
        <f>IFERROR(__xludf.DUMMYFUNCTION("""COMPUTED_VALUE"""),124.76)</f>
        <v>124.76</v>
      </c>
      <c r="E10922" s="2">
        <f>IFERROR(__xludf.DUMMYFUNCTION("""COMPUTED_VALUE"""),125.89)</f>
        <v>125.89</v>
      </c>
      <c r="F10922" s="2">
        <f>IFERROR(__xludf.DUMMYFUNCTION("""COMPUTED_VALUE"""),4275396.0)</f>
        <v>4275396</v>
      </c>
    </row>
    <row r="10923">
      <c r="A10923" s="3">
        <f>IFERROR(__xludf.DUMMYFUNCTION("""COMPUTED_VALUE"""),45042.66666666667)</f>
        <v>45042.66667</v>
      </c>
      <c r="B10923" s="2">
        <f>IFERROR(__xludf.DUMMYFUNCTION("""COMPUTED_VALUE"""),125.81)</f>
        <v>125.81</v>
      </c>
      <c r="C10923" s="2">
        <f>IFERROR(__xludf.DUMMYFUNCTION("""COMPUTED_VALUE"""),126.55)</f>
        <v>126.55</v>
      </c>
      <c r="D10923" s="2">
        <f>IFERROR(__xludf.DUMMYFUNCTION("""COMPUTED_VALUE"""),125.12)</f>
        <v>125.12</v>
      </c>
      <c r="E10923" s="2">
        <f>IFERROR(__xludf.DUMMYFUNCTION("""COMPUTED_VALUE"""),125.85)</f>
        <v>125.85</v>
      </c>
      <c r="F10923" s="2">
        <f>IFERROR(__xludf.DUMMYFUNCTION("""COMPUTED_VALUE"""),4070168.0)</f>
        <v>4070168</v>
      </c>
    </row>
    <row r="10924">
      <c r="A10924" s="3">
        <f>IFERROR(__xludf.DUMMYFUNCTION("""COMPUTED_VALUE"""),45043.66666666667)</f>
        <v>45043.66667</v>
      </c>
      <c r="B10924" s="2">
        <f>IFERROR(__xludf.DUMMYFUNCTION("""COMPUTED_VALUE"""),126.37)</f>
        <v>126.37</v>
      </c>
      <c r="C10924" s="2">
        <f>IFERROR(__xludf.DUMMYFUNCTION("""COMPUTED_VALUE"""),127.02)</f>
        <v>127.02</v>
      </c>
      <c r="D10924" s="2">
        <f>IFERROR(__xludf.DUMMYFUNCTION("""COMPUTED_VALUE"""),125.46)</f>
        <v>125.46</v>
      </c>
      <c r="E10924" s="2">
        <f>IFERROR(__xludf.DUMMYFUNCTION("""COMPUTED_VALUE"""),126.97)</f>
        <v>126.97</v>
      </c>
      <c r="F10924" s="2">
        <f>IFERROR(__xludf.DUMMYFUNCTION("""COMPUTED_VALUE"""),3204889.0)</f>
        <v>3204889</v>
      </c>
    </row>
    <row r="10925">
      <c r="A10925" s="3">
        <f>IFERROR(__xludf.DUMMYFUNCTION("""COMPUTED_VALUE"""),45044.66666666667)</f>
        <v>45044.66667</v>
      </c>
      <c r="B10925" s="2">
        <f>IFERROR(__xludf.DUMMYFUNCTION("""COMPUTED_VALUE"""),126.58)</f>
        <v>126.58</v>
      </c>
      <c r="C10925" s="2">
        <f>IFERROR(__xludf.DUMMYFUNCTION("""COMPUTED_VALUE"""),127.25)</f>
        <v>127.25</v>
      </c>
      <c r="D10925" s="2">
        <f>IFERROR(__xludf.DUMMYFUNCTION("""COMPUTED_VALUE"""),125.64)</f>
        <v>125.64</v>
      </c>
      <c r="E10925" s="2">
        <f>IFERROR(__xludf.DUMMYFUNCTION("""COMPUTED_VALUE"""),126.41)</f>
        <v>126.41</v>
      </c>
      <c r="F10925" s="2">
        <f>IFERROR(__xludf.DUMMYFUNCTION("""COMPUTED_VALUE"""),5061247.0)</f>
        <v>5061247</v>
      </c>
    </row>
    <row r="10926">
      <c r="A10926" s="3">
        <f>IFERROR(__xludf.DUMMYFUNCTION("""COMPUTED_VALUE"""),45047.66666666667)</f>
        <v>45047.66667</v>
      </c>
      <c r="B10926" s="2">
        <f>IFERROR(__xludf.DUMMYFUNCTION("""COMPUTED_VALUE"""),126.35)</f>
        <v>126.35</v>
      </c>
      <c r="C10926" s="2">
        <f>IFERROR(__xludf.DUMMYFUNCTION("""COMPUTED_VALUE"""),126.75)</f>
        <v>126.75</v>
      </c>
      <c r="D10926" s="2">
        <f>IFERROR(__xludf.DUMMYFUNCTION("""COMPUTED_VALUE"""),126.06)</f>
        <v>126.06</v>
      </c>
      <c r="E10926" s="2">
        <f>IFERROR(__xludf.DUMMYFUNCTION("""COMPUTED_VALUE"""),126.09)</f>
        <v>126.09</v>
      </c>
      <c r="F10926" s="2">
        <f>IFERROR(__xludf.DUMMYFUNCTION("""COMPUTED_VALUE"""),2724992.0)</f>
        <v>2724992</v>
      </c>
    </row>
    <row r="10927">
      <c r="A10927" s="3">
        <f>IFERROR(__xludf.DUMMYFUNCTION("""COMPUTED_VALUE"""),45048.66666666667)</f>
        <v>45048.66667</v>
      </c>
      <c r="B10927" s="2">
        <f>IFERROR(__xludf.DUMMYFUNCTION("""COMPUTED_VALUE"""),126.3)</f>
        <v>126.3</v>
      </c>
      <c r="C10927" s="2">
        <f>IFERROR(__xludf.DUMMYFUNCTION("""COMPUTED_VALUE"""),126.45)</f>
        <v>126.45</v>
      </c>
      <c r="D10927" s="2">
        <f>IFERROR(__xludf.DUMMYFUNCTION("""COMPUTED_VALUE"""),123.27)</f>
        <v>123.27</v>
      </c>
      <c r="E10927" s="2">
        <f>IFERROR(__xludf.DUMMYFUNCTION("""COMPUTED_VALUE"""),125.16)</f>
        <v>125.16</v>
      </c>
      <c r="F10927" s="2">
        <f>IFERROR(__xludf.DUMMYFUNCTION("""COMPUTED_VALUE"""),4445283.0)</f>
        <v>4445283</v>
      </c>
    </row>
    <row r="10928">
      <c r="A10928" s="3">
        <f>IFERROR(__xludf.DUMMYFUNCTION("""COMPUTED_VALUE"""),45049.66666666667)</f>
        <v>45049.66667</v>
      </c>
      <c r="B10928" s="2">
        <f>IFERROR(__xludf.DUMMYFUNCTION("""COMPUTED_VALUE"""),125.46)</f>
        <v>125.46</v>
      </c>
      <c r="C10928" s="2">
        <f>IFERROR(__xludf.DUMMYFUNCTION("""COMPUTED_VALUE"""),125.57)</f>
        <v>125.57</v>
      </c>
      <c r="D10928" s="2">
        <f>IFERROR(__xludf.DUMMYFUNCTION("""COMPUTED_VALUE"""),123.26)</f>
        <v>123.26</v>
      </c>
      <c r="E10928" s="2">
        <f>IFERROR(__xludf.DUMMYFUNCTION("""COMPUTED_VALUE"""),123.45)</f>
        <v>123.45</v>
      </c>
      <c r="F10928" s="2">
        <f>IFERROR(__xludf.DUMMYFUNCTION("""COMPUTED_VALUE"""),4554212.0)</f>
        <v>4554212</v>
      </c>
    </row>
    <row r="10929">
      <c r="A10929" s="3">
        <f>IFERROR(__xludf.DUMMYFUNCTION("""COMPUTED_VALUE"""),45050.66666666667)</f>
        <v>45050.66667</v>
      </c>
      <c r="B10929" s="2">
        <f>IFERROR(__xludf.DUMMYFUNCTION("""COMPUTED_VALUE"""),123.03)</f>
        <v>123.03</v>
      </c>
      <c r="C10929" s="2">
        <f>IFERROR(__xludf.DUMMYFUNCTION("""COMPUTED_VALUE"""),123.52)</f>
        <v>123.52</v>
      </c>
      <c r="D10929" s="2">
        <f>IFERROR(__xludf.DUMMYFUNCTION("""COMPUTED_VALUE"""),121.76)</f>
        <v>121.76</v>
      </c>
      <c r="E10929" s="2">
        <f>IFERROR(__xludf.DUMMYFUNCTION("""COMPUTED_VALUE"""),122.57)</f>
        <v>122.57</v>
      </c>
      <c r="F10929" s="2">
        <f>IFERROR(__xludf.DUMMYFUNCTION("""COMPUTED_VALUE"""),4468237.0)</f>
        <v>4468237</v>
      </c>
    </row>
    <row r="10930">
      <c r="A10930" s="3">
        <f>IFERROR(__xludf.DUMMYFUNCTION("""COMPUTED_VALUE"""),45051.66666666667)</f>
        <v>45051.66667</v>
      </c>
      <c r="B10930" s="2">
        <f>IFERROR(__xludf.DUMMYFUNCTION("""COMPUTED_VALUE"""),123.11)</f>
        <v>123.11</v>
      </c>
      <c r="C10930" s="2">
        <f>IFERROR(__xludf.DUMMYFUNCTION("""COMPUTED_VALUE"""),124.1)</f>
        <v>124.1</v>
      </c>
      <c r="D10930" s="2">
        <f>IFERROR(__xludf.DUMMYFUNCTION("""COMPUTED_VALUE"""),122.81)</f>
        <v>122.81</v>
      </c>
      <c r="E10930" s="2">
        <f>IFERROR(__xludf.DUMMYFUNCTION("""COMPUTED_VALUE"""),123.65)</f>
        <v>123.65</v>
      </c>
      <c r="F10930" s="2">
        <f>IFERROR(__xludf.DUMMYFUNCTION("""COMPUTED_VALUE"""),4971936.0)</f>
        <v>4971936</v>
      </c>
    </row>
    <row r="10931">
      <c r="A10931" s="3">
        <f>IFERROR(__xludf.DUMMYFUNCTION("""COMPUTED_VALUE"""),45054.66666666667)</f>
        <v>45054.66667</v>
      </c>
      <c r="B10931" s="2">
        <f>IFERROR(__xludf.DUMMYFUNCTION("""COMPUTED_VALUE"""),123.76)</f>
        <v>123.76</v>
      </c>
      <c r="C10931" s="2">
        <f>IFERROR(__xludf.DUMMYFUNCTION("""COMPUTED_VALUE"""),123.92)</f>
        <v>123.92</v>
      </c>
      <c r="D10931" s="2">
        <f>IFERROR(__xludf.DUMMYFUNCTION("""COMPUTED_VALUE"""),122.55)</f>
        <v>122.55</v>
      </c>
      <c r="E10931" s="2">
        <f>IFERROR(__xludf.DUMMYFUNCTION("""COMPUTED_VALUE"""),123.4)</f>
        <v>123.4</v>
      </c>
      <c r="F10931" s="2">
        <f>IFERROR(__xludf.DUMMYFUNCTION("""COMPUTED_VALUE"""),3663818.0)</f>
        <v>3663818</v>
      </c>
    </row>
    <row r="10932">
      <c r="A10932" s="3">
        <f>IFERROR(__xludf.DUMMYFUNCTION("""COMPUTED_VALUE"""),45055.66666666667)</f>
        <v>45055.66667</v>
      </c>
      <c r="B10932" s="2">
        <f>IFERROR(__xludf.DUMMYFUNCTION("""COMPUTED_VALUE"""),121.9)</f>
        <v>121.9</v>
      </c>
      <c r="C10932" s="2">
        <f>IFERROR(__xludf.DUMMYFUNCTION("""COMPUTED_VALUE"""),121.97)</f>
        <v>121.97</v>
      </c>
      <c r="D10932" s="2">
        <f>IFERROR(__xludf.DUMMYFUNCTION("""COMPUTED_VALUE"""),120.66)</f>
        <v>120.66</v>
      </c>
      <c r="E10932" s="2">
        <f>IFERROR(__xludf.DUMMYFUNCTION("""COMPUTED_VALUE"""),121.17)</f>
        <v>121.17</v>
      </c>
      <c r="F10932" s="2">
        <f>IFERROR(__xludf.DUMMYFUNCTION("""COMPUTED_VALUE"""),4540047.0)</f>
        <v>4540047</v>
      </c>
    </row>
    <row r="10933">
      <c r="A10933" s="3">
        <f>IFERROR(__xludf.DUMMYFUNCTION("""COMPUTED_VALUE"""),45056.66666666667)</f>
        <v>45056.66667</v>
      </c>
      <c r="B10933" s="2">
        <f>IFERROR(__xludf.DUMMYFUNCTION("""COMPUTED_VALUE"""),121.99)</f>
        <v>121.99</v>
      </c>
      <c r="C10933" s="2">
        <f>IFERROR(__xludf.DUMMYFUNCTION("""COMPUTED_VALUE"""),122.49)</f>
        <v>122.49</v>
      </c>
      <c r="D10933" s="2">
        <f>IFERROR(__xludf.DUMMYFUNCTION("""COMPUTED_VALUE"""),121.1)</f>
        <v>121.1</v>
      </c>
      <c r="E10933" s="2">
        <f>IFERROR(__xludf.DUMMYFUNCTION("""COMPUTED_VALUE"""),122.02)</f>
        <v>122.02</v>
      </c>
      <c r="F10933" s="2">
        <f>IFERROR(__xludf.DUMMYFUNCTION("""COMPUTED_VALUE"""),4189222.0)</f>
        <v>4189222</v>
      </c>
    </row>
    <row r="10934">
      <c r="A10934" s="3">
        <f>IFERROR(__xludf.DUMMYFUNCTION("""COMPUTED_VALUE"""),45057.66666666667)</f>
        <v>45057.66667</v>
      </c>
      <c r="B10934" s="2">
        <f>IFERROR(__xludf.DUMMYFUNCTION("""COMPUTED_VALUE"""),122.02)</f>
        <v>122.02</v>
      </c>
      <c r="C10934" s="2">
        <f>IFERROR(__xludf.DUMMYFUNCTION("""COMPUTED_VALUE"""),122.24)</f>
        <v>122.24</v>
      </c>
      <c r="D10934" s="2">
        <f>IFERROR(__xludf.DUMMYFUNCTION("""COMPUTED_VALUE"""),120.55)</f>
        <v>120.55</v>
      </c>
      <c r="E10934" s="2">
        <f>IFERROR(__xludf.DUMMYFUNCTION("""COMPUTED_VALUE"""),120.9)</f>
        <v>120.9</v>
      </c>
      <c r="F10934" s="2">
        <f>IFERROR(__xludf.DUMMYFUNCTION("""COMPUTED_VALUE"""),3446452.0)</f>
        <v>3446452</v>
      </c>
    </row>
    <row r="10935">
      <c r="A10935" s="3">
        <f>IFERROR(__xludf.DUMMYFUNCTION("""COMPUTED_VALUE"""),45058.66666666667)</f>
        <v>45058.66667</v>
      </c>
      <c r="B10935" s="2">
        <f>IFERROR(__xludf.DUMMYFUNCTION("""COMPUTED_VALUE"""),121.41)</f>
        <v>121.41</v>
      </c>
      <c r="C10935" s="2">
        <f>IFERROR(__xludf.DUMMYFUNCTION("""COMPUTED_VALUE"""),122.86)</f>
        <v>122.86</v>
      </c>
      <c r="D10935" s="2">
        <f>IFERROR(__xludf.DUMMYFUNCTION("""COMPUTED_VALUE"""),121.11)</f>
        <v>121.11</v>
      </c>
      <c r="E10935" s="2">
        <f>IFERROR(__xludf.DUMMYFUNCTION("""COMPUTED_VALUE"""),122.84)</f>
        <v>122.84</v>
      </c>
      <c r="F10935" s="2">
        <f>IFERROR(__xludf.DUMMYFUNCTION("""COMPUTED_VALUE"""),4564825.0)</f>
        <v>4564825</v>
      </c>
    </row>
    <row r="10936">
      <c r="A10936" s="3">
        <f>IFERROR(__xludf.DUMMYFUNCTION("""COMPUTED_VALUE"""),45061.66666666667)</f>
        <v>45061.66667</v>
      </c>
      <c r="B10936" s="2">
        <f>IFERROR(__xludf.DUMMYFUNCTION("""COMPUTED_VALUE"""),123.0)</f>
        <v>123</v>
      </c>
      <c r="C10936" s="2">
        <f>IFERROR(__xludf.DUMMYFUNCTION("""COMPUTED_VALUE"""),123.69)</f>
        <v>123.69</v>
      </c>
      <c r="D10936" s="2">
        <f>IFERROR(__xludf.DUMMYFUNCTION("""COMPUTED_VALUE"""),122.34)</f>
        <v>122.34</v>
      </c>
      <c r="E10936" s="2">
        <f>IFERROR(__xludf.DUMMYFUNCTION("""COMPUTED_VALUE"""),123.36)</f>
        <v>123.36</v>
      </c>
      <c r="F10936" s="2">
        <f>IFERROR(__xludf.DUMMYFUNCTION("""COMPUTED_VALUE"""),2915725.0)</f>
        <v>2915725</v>
      </c>
    </row>
    <row r="10937">
      <c r="A10937" s="3">
        <f>IFERROR(__xludf.DUMMYFUNCTION("""COMPUTED_VALUE"""),45062.66666666667)</f>
        <v>45062.66667</v>
      </c>
      <c r="B10937" s="2">
        <f>IFERROR(__xludf.DUMMYFUNCTION("""COMPUTED_VALUE"""),123.35)</f>
        <v>123.35</v>
      </c>
      <c r="C10937" s="2">
        <f>IFERROR(__xludf.DUMMYFUNCTION("""COMPUTED_VALUE"""),123.86)</f>
        <v>123.86</v>
      </c>
      <c r="D10937" s="2">
        <f>IFERROR(__xludf.DUMMYFUNCTION("""COMPUTED_VALUE"""),122.45)</f>
        <v>122.45</v>
      </c>
      <c r="E10937" s="2">
        <f>IFERROR(__xludf.DUMMYFUNCTION("""COMPUTED_VALUE"""),123.46)</f>
        <v>123.46</v>
      </c>
      <c r="F10937" s="2">
        <f>IFERROR(__xludf.DUMMYFUNCTION("""COMPUTED_VALUE"""),2749125.0)</f>
        <v>2749125</v>
      </c>
    </row>
    <row r="10938">
      <c r="A10938" s="3">
        <f>IFERROR(__xludf.DUMMYFUNCTION("""COMPUTED_VALUE"""),45063.66666666667)</f>
        <v>45063.66667</v>
      </c>
      <c r="B10938" s="2">
        <f>IFERROR(__xludf.DUMMYFUNCTION("""COMPUTED_VALUE"""),123.94)</f>
        <v>123.94</v>
      </c>
      <c r="C10938" s="2">
        <f>IFERROR(__xludf.DUMMYFUNCTION("""COMPUTED_VALUE"""),125.85)</f>
        <v>125.85</v>
      </c>
      <c r="D10938" s="2">
        <f>IFERROR(__xludf.DUMMYFUNCTION("""COMPUTED_VALUE"""),123.47)</f>
        <v>123.47</v>
      </c>
      <c r="E10938" s="2">
        <f>IFERROR(__xludf.DUMMYFUNCTION("""COMPUTED_VALUE"""),125.71)</f>
        <v>125.71</v>
      </c>
      <c r="F10938" s="2">
        <f>IFERROR(__xludf.DUMMYFUNCTION("""COMPUTED_VALUE"""),4515134.0)</f>
        <v>4515134</v>
      </c>
    </row>
    <row r="10939">
      <c r="A10939" s="3">
        <f>IFERROR(__xludf.DUMMYFUNCTION("""COMPUTED_VALUE"""),45064.66666666667)</f>
        <v>45064.66667</v>
      </c>
      <c r="B10939" s="2">
        <f>IFERROR(__xludf.DUMMYFUNCTION("""COMPUTED_VALUE"""),125.3)</f>
        <v>125.3</v>
      </c>
      <c r="C10939" s="2">
        <f>IFERROR(__xludf.DUMMYFUNCTION("""COMPUTED_VALUE"""),126.51)</f>
        <v>126.51</v>
      </c>
      <c r="D10939" s="2">
        <f>IFERROR(__xludf.DUMMYFUNCTION("""COMPUTED_VALUE"""),125.19)</f>
        <v>125.19</v>
      </c>
      <c r="E10939" s="2">
        <f>IFERROR(__xludf.DUMMYFUNCTION("""COMPUTED_VALUE"""),126.15)</f>
        <v>126.15</v>
      </c>
      <c r="F10939" s="2">
        <f>IFERROR(__xludf.DUMMYFUNCTION("""COMPUTED_VALUE"""),3797883.0)</f>
        <v>3797883</v>
      </c>
    </row>
    <row r="10940">
      <c r="A10940" s="3">
        <f>IFERROR(__xludf.DUMMYFUNCTION("""COMPUTED_VALUE"""),45065.66666666667)</f>
        <v>45065.66667</v>
      </c>
      <c r="B10940" s="2">
        <f>IFERROR(__xludf.DUMMYFUNCTION("""COMPUTED_VALUE"""),126.79)</f>
        <v>126.79</v>
      </c>
      <c r="C10940" s="2">
        <f>IFERROR(__xludf.DUMMYFUNCTION("""COMPUTED_VALUE"""),128.29)</f>
        <v>128.29</v>
      </c>
      <c r="D10940" s="2">
        <f>IFERROR(__xludf.DUMMYFUNCTION("""COMPUTED_VALUE"""),126.55)</f>
        <v>126.55</v>
      </c>
      <c r="E10940" s="2">
        <f>IFERROR(__xludf.DUMMYFUNCTION("""COMPUTED_VALUE"""),127.26)</f>
        <v>127.26</v>
      </c>
      <c r="F10940" s="2">
        <f>IFERROR(__xludf.DUMMYFUNCTION("""COMPUTED_VALUE"""),4306657.0)</f>
        <v>4306657</v>
      </c>
    </row>
    <row r="10941">
      <c r="A10941" s="3">
        <f>IFERROR(__xludf.DUMMYFUNCTION("""COMPUTED_VALUE"""),45068.66666666667)</f>
        <v>45068.66667</v>
      </c>
      <c r="B10941" s="2">
        <f>IFERROR(__xludf.DUMMYFUNCTION("""COMPUTED_VALUE"""),127.5)</f>
        <v>127.5</v>
      </c>
      <c r="C10941" s="2">
        <f>IFERROR(__xludf.DUMMYFUNCTION("""COMPUTED_VALUE"""),128.19)</f>
        <v>128.19</v>
      </c>
      <c r="D10941" s="2">
        <f>IFERROR(__xludf.DUMMYFUNCTION("""COMPUTED_VALUE"""),127.15)</f>
        <v>127.15</v>
      </c>
      <c r="E10941" s="2">
        <f>IFERROR(__xludf.DUMMYFUNCTION("""COMPUTED_VALUE"""),127.5)</f>
        <v>127.5</v>
      </c>
      <c r="F10941" s="2">
        <f>IFERROR(__xludf.DUMMYFUNCTION("""COMPUTED_VALUE"""),2806770.0)</f>
        <v>2806770</v>
      </c>
    </row>
    <row r="10942">
      <c r="A10942" s="3">
        <f>IFERROR(__xludf.DUMMYFUNCTION("""COMPUTED_VALUE"""),45069.66666666667)</f>
        <v>45069.66667</v>
      </c>
      <c r="B10942" s="2">
        <f>IFERROR(__xludf.DUMMYFUNCTION("""COMPUTED_VALUE"""),127.24)</f>
        <v>127.24</v>
      </c>
      <c r="C10942" s="2">
        <f>IFERROR(__xludf.DUMMYFUNCTION("""COMPUTED_VALUE"""),129.09)</f>
        <v>129.09</v>
      </c>
      <c r="D10942" s="2">
        <f>IFERROR(__xludf.DUMMYFUNCTION("""COMPUTED_VALUE"""),127.13)</f>
        <v>127.13</v>
      </c>
      <c r="E10942" s="2">
        <f>IFERROR(__xludf.DUMMYFUNCTION("""COMPUTED_VALUE"""),128.18)</f>
        <v>128.18</v>
      </c>
      <c r="F10942" s="2">
        <f>IFERROR(__xludf.DUMMYFUNCTION("""COMPUTED_VALUE"""),4592280.0)</f>
        <v>4592280</v>
      </c>
    </row>
    <row r="10943">
      <c r="A10943" s="3">
        <f>IFERROR(__xludf.DUMMYFUNCTION("""COMPUTED_VALUE"""),45070.66666666667)</f>
        <v>45070.66667</v>
      </c>
      <c r="B10943" s="2">
        <f>IFERROR(__xludf.DUMMYFUNCTION("""COMPUTED_VALUE"""),127.82)</f>
        <v>127.82</v>
      </c>
      <c r="C10943" s="2">
        <f>IFERROR(__xludf.DUMMYFUNCTION("""COMPUTED_VALUE"""),127.9)</f>
        <v>127.9</v>
      </c>
      <c r="D10943" s="2">
        <f>IFERROR(__xludf.DUMMYFUNCTION("""COMPUTED_VALUE"""),125.47)</f>
        <v>125.47</v>
      </c>
      <c r="E10943" s="2">
        <f>IFERROR(__xludf.DUMMYFUNCTION("""COMPUTED_VALUE"""),125.68)</f>
        <v>125.68</v>
      </c>
      <c r="F10943" s="2">
        <f>IFERROR(__xludf.DUMMYFUNCTION("""COMPUTED_VALUE"""),3915505.0)</f>
        <v>3915505</v>
      </c>
    </row>
    <row r="10944">
      <c r="A10944" s="3">
        <f>IFERROR(__xludf.DUMMYFUNCTION("""COMPUTED_VALUE"""),45071.66666666667)</f>
        <v>45071.66667</v>
      </c>
      <c r="B10944" s="2">
        <f>IFERROR(__xludf.DUMMYFUNCTION("""COMPUTED_VALUE"""),125.61)</f>
        <v>125.61</v>
      </c>
      <c r="C10944" s="2">
        <f>IFERROR(__xludf.DUMMYFUNCTION("""COMPUTED_VALUE"""),127.23)</f>
        <v>127.23</v>
      </c>
      <c r="D10944" s="2">
        <f>IFERROR(__xludf.DUMMYFUNCTION("""COMPUTED_VALUE"""),125.01)</f>
        <v>125.01</v>
      </c>
      <c r="E10944" s="2">
        <f>IFERROR(__xludf.DUMMYFUNCTION("""COMPUTED_VALUE"""),126.76)</f>
        <v>126.76</v>
      </c>
      <c r="F10944" s="2">
        <f>IFERROR(__xludf.DUMMYFUNCTION("""COMPUTED_VALUE"""),4102854.0)</f>
        <v>4102854</v>
      </c>
    </row>
    <row r="10945">
      <c r="A10945" s="3">
        <f>IFERROR(__xludf.DUMMYFUNCTION("""COMPUTED_VALUE"""),45072.66666666667)</f>
        <v>45072.66667</v>
      </c>
      <c r="B10945" s="2">
        <f>IFERROR(__xludf.DUMMYFUNCTION("""COMPUTED_VALUE"""),127.06)</f>
        <v>127.06</v>
      </c>
      <c r="C10945" s="2">
        <f>IFERROR(__xludf.DUMMYFUNCTION("""COMPUTED_VALUE"""),129.66)</f>
        <v>129.66</v>
      </c>
      <c r="D10945" s="2">
        <f>IFERROR(__xludf.DUMMYFUNCTION("""COMPUTED_VALUE"""),126.81)</f>
        <v>126.81</v>
      </c>
      <c r="E10945" s="2">
        <f>IFERROR(__xludf.DUMMYFUNCTION("""COMPUTED_VALUE"""),128.89)</f>
        <v>128.89</v>
      </c>
      <c r="F10945" s="2">
        <f>IFERROR(__xludf.DUMMYFUNCTION("""COMPUTED_VALUE"""),5612570.0)</f>
        <v>5612570</v>
      </c>
    </row>
    <row r="10946">
      <c r="A10946" s="3">
        <f>IFERROR(__xludf.DUMMYFUNCTION("""COMPUTED_VALUE"""),45076.66666666667)</f>
        <v>45076.66667</v>
      </c>
      <c r="B10946" s="2">
        <f>IFERROR(__xludf.DUMMYFUNCTION("""COMPUTED_VALUE"""),129.56)</f>
        <v>129.56</v>
      </c>
      <c r="C10946" s="2">
        <f>IFERROR(__xludf.DUMMYFUNCTION("""COMPUTED_VALUE"""),130.07)</f>
        <v>130.07</v>
      </c>
      <c r="D10946" s="2">
        <f>IFERROR(__xludf.DUMMYFUNCTION("""COMPUTED_VALUE"""),128.26)</f>
        <v>128.26</v>
      </c>
      <c r="E10946" s="2">
        <f>IFERROR(__xludf.DUMMYFUNCTION("""COMPUTED_VALUE"""),129.48)</f>
        <v>129.48</v>
      </c>
      <c r="F10946" s="2">
        <f>IFERROR(__xludf.DUMMYFUNCTION("""COMPUTED_VALUE"""),3741050.0)</f>
        <v>3741050</v>
      </c>
    </row>
    <row r="10947">
      <c r="A10947" s="3">
        <f>IFERROR(__xludf.DUMMYFUNCTION("""COMPUTED_VALUE"""),45077.66666666667)</f>
        <v>45077.66667</v>
      </c>
      <c r="B10947" s="2">
        <f>IFERROR(__xludf.DUMMYFUNCTION("""COMPUTED_VALUE"""),128.51)</f>
        <v>128.51</v>
      </c>
      <c r="C10947" s="2">
        <f>IFERROR(__xludf.DUMMYFUNCTION("""COMPUTED_VALUE"""),129.44)</f>
        <v>129.44</v>
      </c>
      <c r="D10947" s="2">
        <f>IFERROR(__xludf.DUMMYFUNCTION("""COMPUTED_VALUE"""),127.46)</f>
        <v>127.46</v>
      </c>
      <c r="E10947" s="2">
        <f>IFERROR(__xludf.DUMMYFUNCTION("""COMPUTED_VALUE"""),128.59)</f>
        <v>128.59</v>
      </c>
      <c r="F10947" s="2">
        <f>IFERROR(__xludf.DUMMYFUNCTION("""COMPUTED_VALUE"""),1.1590211E7)</f>
        <v>11590211</v>
      </c>
    </row>
    <row r="10948">
      <c r="A10948" s="3">
        <f>IFERROR(__xludf.DUMMYFUNCTION("""COMPUTED_VALUE"""),45078.66666666667)</f>
        <v>45078.66667</v>
      </c>
      <c r="B10948" s="2">
        <f>IFERROR(__xludf.DUMMYFUNCTION("""COMPUTED_VALUE"""),128.44)</f>
        <v>128.44</v>
      </c>
      <c r="C10948" s="2">
        <f>IFERROR(__xludf.DUMMYFUNCTION("""COMPUTED_VALUE"""),130.15)</f>
        <v>130.15</v>
      </c>
      <c r="D10948" s="2">
        <f>IFERROR(__xludf.DUMMYFUNCTION("""COMPUTED_VALUE"""),127.78)</f>
        <v>127.78</v>
      </c>
      <c r="E10948" s="2">
        <f>IFERROR(__xludf.DUMMYFUNCTION("""COMPUTED_VALUE"""),129.82)</f>
        <v>129.82</v>
      </c>
      <c r="F10948" s="2">
        <f>IFERROR(__xludf.DUMMYFUNCTION("""COMPUTED_VALUE"""),4136086.0)</f>
        <v>4136086</v>
      </c>
    </row>
    <row r="10949">
      <c r="A10949" s="3">
        <f>IFERROR(__xludf.DUMMYFUNCTION("""COMPUTED_VALUE"""),45079.66666666667)</f>
        <v>45079.66667</v>
      </c>
      <c r="B10949" s="2">
        <f>IFERROR(__xludf.DUMMYFUNCTION("""COMPUTED_VALUE"""),130.38)</f>
        <v>130.38</v>
      </c>
      <c r="C10949" s="2">
        <f>IFERROR(__xludf.DUMMYFUNCTION("""COMPUTED_VALUE"""),133.12)</f>
        <v>133.12</v>
      </c>
      <c r="D10949" s="2">
        <f>IFERROR(__xludf.DUMMYFUNCTION("""COMPUTED_VALUE"""),130.15)</f>
        <v>130.15</v>
      </c>
      <c r="E10949" s="2">
        <f>IFERROR(__xludf.DUMMYFUNCTION("""COMPUTED_VALUE"""),132.42)</f>
        <v>132.42</v>
      </c>
      <c r="F10949" s="2">
        <f>IFERROR(__xludf.DUMMYFUNCTION("""COMPUTED_VALUE"""),5375796.0)</f>
        <v>5375796</v>
      </c>
    </row>
    <row r="10950">
      <c r="A10950" s="3">
        <f>IFERROR(__xludf.DUMMYFUNCTION("""COMPUTED_VALUE"""),45082.66666666667)</f>
        <v>45082.66667</v>
      </c>
      <c r="B10950" s="2">
        <f>IFERROR(__xludf.DUMMYFUNCTION("""COMPUTED_VALUE"""),133.12)</f>
        <v>133.12</v>
      </c>
      <c r="C10950" s="2">
        <f>IFERROR(__xludf.DUMMYFUNCTION("""COMPUTED_VALUE"""),133.58)</f>
        <v>133.58</v>
      </c>
      <c r="D10950" s="2">
        <f>IFERROR(__xludf.DUMMYFUNCTION("""COMPUTED_VALUE"""),132.27)</f>
        <v>132.27</v>
      </c>
      <c r="E10950" s="2">
        <f>IFERROR(__xludf.DUMMYFUNCTION("""COMPUTED_VALUE"""),132.64)</f>
        <v>132.64</v>
      </c>
      <c r="F10950" s="2">
        <f>IFERROR(__xludf.DUMMYFUNCTION("""COMPUTED_VALUE"""),3993516.0)</f>
        <v>3993516</v>
      </c>
    </row>
    <row r="10951">
      <c r="A10951" s="3">
        <f>IFERROR(__xludf.DUMMYFUNCTION("""COMPUTED_VALUE"""),45083.66666666667)</f>
        <v>45083.66667</v>
      </c>
      <c r="B10951" s="2">
        <f>IFERROR(__xludf.DUMMYFUNCTION("""COMPUTED_VALUE"""),132.43)</f>
        <v>132.43</v>
      </c>
      <c r="C10951" s="2">
        <f>IFERROR(__xludf.DUMMYFUNCTION("""COMPUTED_VALUE"""),132.94)</f>
        <v>132.94</v>
      </c>
      <c r="D10951" s="2">
        <f>IFERROR(__xludf.DUMMYFUNCTION("""COMPUTED_VALUE"""),131.88)</f>
        <v>131.88</v>
      </c>
      <c r="E10951" s="2">
        <f>IFERROR(__xludf.DUMMYFUNCTION("""COMPUTED_VALUE"""),132.69)</f>
        <v>132.69</v>
      </c>
      <c r="F10951" s="2">
        <f>IFERROR(__xludf.DUMMYFUNCTION("""COMPUTED_VALUE"""),3297951.0)</f>
        <v>3297951</v>
      </c>
    </row>
    <row r="10952">
      <c r="A10952" s="3">
        <f>IFERROR(__xludf.DUMMYFUNCTION("""COMPUTED_VALUE"""),45084.66666666667)</f>
        <v>45084.66667</v>
      </c>
      <c r="B10952" s="2">
        <f>IFERROR(__xludf.DUMMYFUNCTION("""COMPUTED_VALUE"""),132.5)</f>
        <v>132.5</v>
      </c>
      <c r="C10952" s="2">
        <f>IFERROR(__xludf.DUMMYFUNCTION("""COMPUTED_VALUE"""),134.44)</f>
        <v>134.44</v>
      </c>
      <c r="D10952" s="2">
        <f>IFERROR(__xludf.DUMMYFUNCTION("""COMPUTED_VALUE"""),132.19)</f>
        <v>132.19</v>
      </c>
      <c r="E10952" s="2">
        <f>IFERROR(__xludf.DUMMYFUNCTION("""COMPUTED_VALUE"""),134.38)</f>
        <v>134.38</v>
      </c>
      <c r="F10952" s="2">
        <f>IFERROR(__xludf.DUMMYFUNCTION("""COMPUTED_VALUE"""),5772024.0)</f>
        <v>5772024</v>
      </c>
    </row>
    <row r="10953">
      <c r="A10953" s="3">
        <f>IFERROR(__xludf.DUMMYFUNCTION("""COMPUTED_VALUE"""),45085.66666666667)</f>
        <v>45085.66667</v>
      </c>
      <c r="B10953" s="2">
        <f>IFERROR(__xludf.DUMMYFUNCTION("""COMPUTED_VALUE"""),134.69)</f>
        <v>134.69</v>
      </c>
      <c r="C10953" s="2">
        <f>IFERROR(__xludf.DUMMYFUNCTION("""COMPUTED_VALUE"""),135.98)</f>
        <v>135.98</v>
      </c>
      <c r="D10953" s="2">
        <f>IFERROR(__xludf.DUMMYFUNCTION("""COMPUTED_VALUE"""),134.01)</f>
        <v>134.01</v>
      </c>
      <c r="E10953" s="2">
        <f>IFERROR(__xludf.DUMMYFUNCTION("""COMPUTED_VALUE"""),134.41)</f>
        <v>134.41</v>
      </c>
      <c r="F10953" s="2">
        <f>IFERROR(__xludf.DUMMYFUNCTION("""COMPUTED_VALUE"""),4128939.0)</f>
        <v>4128939</v>
      </c>
    </row>
    <row r="10954">
      <c r="A10954" s="3">
        <f>IFERROR(__xludf.DUMMYFUNCTION("""COMPUTED_VALUE"""),45086.66666666667)</f>
        <v>45086.66667</v>
      </c>
      <c r="B10954" s="2">
        <f>IFERROR(__xludf.DUMMYFUNCTION("""COMPUTED_VALUE"""),134.36)</f>
        <v>134.36</v>
      </c>
      <c r="C10954" s="2">
        <f>IFERROR(__xludf.DUMMYFUNCTION("""COMPUTED_VALUE"""),136.1)</f>
        <v>136.1</v>
      </c>
      <c r="D10954" s="2">
        <f>IFERROR(__xludf.DUMMYFUNCTION("""COMPUTED_VALUE"""),134.17)</f>
        <v>134.17</v>
      </c>
      <c r="E10954" s="2">
        <f>IFERROR(__xludf.DUMMYFUNCTION("""COMPUTED_VALUE"""),135.3)</f>
        <v>135.3</v>
      </c>
      <c r="F10954" s="2">
        <f>IFERROR(__xludf.DUMMYFUNCTION("""COMPUTED_VALUE"""),3981748.0)</f>
        <v>3981748</v>
      </c>
    </row>
    <row r="10955">
      <c r="A10955" s="3">
        <f>IFERROR(__xludf.DUMMYFUNCTION("""COMPUTED_VALUE"""),45089.66666666667)</f>
        <v>45089.66667</v>
      </c>
      <c r="B10955" s="2">
        <f>IFERROR(__xludf.DUMMYFUNCTION("""COMPUTED_VALUE"""),136.0)</f>
        <v>136</v>
      </c>
      <c r="C10955" s="2">
        <f>IFERROR(__xludf.DUMMYFUNCTION("""COMPUTED_VALUE"""),136.62)</f>
        <v>136.62</v>
      </c>
      <c r="D10955" s="2">
        <f>IFERROR(__xludf.DUMMYFUNCTION("""COMPUTED_VALUE"""),135.82)</f>
        <v>135.82</v>
      </c>
      <c r="E10955" s="2">
        <f>IFERROR(__xludf.DUMMYFUNCTION("""COMPUTED_VALUE"""),136.42)</f>
        <v>136.42</v>
      </c>
      <c r="F10955" s="2">
        <f>IFERROR(__xludf.DUMMYFUNCTION("""COMPUTED_VALUE"""),4500120.0)</f>
        <v>4500120</v>
      </c>
    </row>
    <row r="10956">
      <c r="A10956" s="3">
        <f>IFERROR(__xludf.DUMMYFUNCTION("""COMPUTED_VALUE"""),45090.66666666667)</f>
        <v>45090.66667</v>
      </c>
      <c r="B10956" s="2">
        <f>IFERROR(__xludf.DUMMYFUNCTION("""COMPUTED_VALUE"""),136.51)</f>
        <v>136.51</v>
      </c>
      <c r="C10956" s="2">
        <f>IFERROR(__xludf.DUMMYFUNCTION("""COMPUTED_VALUE"""),138.17)</f>
        <v>138.17</v>
      </c>
      <c r="D10956" s="2">
        <f>IFERROR(__xludf.DUMMYFUNCTION("""COMPUTED_VALUE"""),136.0)</f>
        <v>136</v>
      </c>
      <c r="E10956" s="2">
        <f>IFERROR(__xludf.DUMMYFUNCTION("""COMPUTED_VALUE"""),137.6)</f>
        <v>137.6</v>
      </c>
      <c r="F10956" s="2">
        <f>IFERROR(__xludf.DUMMYFUNCTION("""COMPUTED_VALUE"""),3927331.0)</f>
        <v>3927331</v>
      </c>
    </row>
    <row r="10957">
      <c r="A10957" s="3">
        <f>IFERROR(__xludf.DUMMYFUNCTION("""COMPUTED_VALUE"""),45091.66666666667)</f>
        <v>45091.66667</v>
      </c>
      <c r="B10957" s="2">
        <f>IFERROR(__xludf.DUMMYFUNCTION("""COMPUTED_VALUE"""),137.8)</f>
        <v>137.8</v>
      </c>
      <c r="C10957" s="2">
        <f>IFERROR(__xludf.DUMMYFUNCTION("""COMPUTED_VALUE"""),138.93)</f>
        <v>138.93</v>
      </c>
      <c r="D10957" s="2">
        <f>IFERROR(__xludf.DUMMYFUNCTION("""COMPUTED_VALUE"""),136.94)</f>
        <v>136.94</v>
      </c>
      <c r="E10957" s="2">
        <f>IFERROR(__xludf.DUMMYFUNCTION("""COMPUTED_VALUE"""),137.2)</f>
        <v>137.2</v>
      </c>
      <c r="F10957" s="2">
        <f>IFERROR(__xludf.DUMMYFUNCTION("""COMPUTED_VALUE"""),4514888.0)</f>
        <v>4514888</v>
      </c>
    </row>
    <row r="10958">
      <c r="A10958" s="3">
        <f>IFERROR(__xludf.DUMMYFUNCTION("""COMPUTED_VALUE"""),45092.66666666667)</f>
        <v>45092.66667</v>
      </c>
      <c r="B10958" s="2">
        <f>IFERROR(__xludf.DUMMYFUNCTION("""COMPUTED_VALUE"""),137.27)</f>
        <v>137.27</v>
      </c>
      <c r="C10958" s="2">
        <f>IFERROR(__xludf.DUMMYFUNCTION("""COMPUTED_VALUE"""),138.8)</f>
        <v>138.8</v>
      </c>
      <c r="D10958" s="2">
        <f>IFERROR(__xludf.DUMMYFUNCTION("""COMPUTED_VALUE"""),137.18)</f>
        <v>137.18</v>
      </c>
      <c r="E10958" s="2">
        <f>IFERROR(__xludf.DUMMYFUNCTION("""COMPUTED_VALUE"""),138.4)</f>
        <v>138.4</v>
      </c>
      <c r="F10958" s="2">
        <f>IFERROR(__xludf.DUMMYFUNCTION("""COMPUTED_VALUE"""),3812582.0)</f>
        <v>3812582</v>
      </c>
    </row>
    <row r="10959">
      <c r="A10959" s="3">
        <f>IFERROR(__xludf.DUMMYFUNCTION("""COMPUTED_VALUE"""),45093.66666666667)</f>
        <v>45093.66667</v>
      </c>
      <c r="B10959" s="2">
        <f>IFERROR(__xludf.DUMMYFUNCTION("""COMPUTED_VALUE"""),139.23)</f>
        <v>139.23</v>
      </c>
      <c r="C10959" s="2">
        <f>IFERROR(__xludf.DUMMYFUNCTION("""COMPUTED_VALUE"""),139.47)</f>
        <v>139.47</v>
      </c>
      <c r="D10959" s="2">
        <f>IFERROR(__xludf.DUMMYFUNCTION("""COMPUTED_VALUE"""),137.47)</f>
        <v>137.47</v>
      </c>
      <c r="E10959" s="2">
        <f>IFERROR(__xludf.DUMMYFUNCTION("""COMPUTED_VALUE"""),137.48)</f>
        <v>137.48</v>
      </c>
      <c r="F10959" s="2">
        <f>IFERROR(__xludf.DUMMYFUNCTION("""COMPUTED_VALUE"""),7473676.0)</f>
        <v>7473676</v>
      </c>
    </row>
    <row r="10960">
      <c r="A10960" s="3">
        <f>IFERROR(__xludf.DUMMYFUNCTION("""COMPUTED_VALUE"""),45097.66666666667)</f>
        <v>45097.66667</v>
      </c>
      <c r="B10960" s="2">
        <f>IFERROR(__xludf.DUMMYFUNCTION("""COMPUTED_VALUE"""),136.36)</f>
        <v>136.36</v>
      </c>
      <c r="C10960" s="2">
        <f>IFERROR(__xludf.DUMMYFUNCTION("""COMPUTED_VALUE"""),137.23)</f>
        <v>137.23</v>
      </c>
      <c r="D10960" s="2">
        <f>IFERROR(__xludf.DUMMYFUNCTION("""COMPUTED_VALUE"""),135.89)</f>
        <v>135.89</v>
      </c>
      <c r="E10960" s="2">
        <f>IFERROR(__xludf.DUMMYFUNCTION("""COMPUTED_VALUE"""),135.96)</f>
        <v>135.96</v>
      </c>
      <c r="F10960" s="2">
        <f>IFERROR(__xludf.DUMMYFUNCTION("""COMPUTED_VALUE"""),4272511.0)</f>
        <v>4272511</v>
      </c>
    </row>
    <row r="10961">
      <c r="A10961" s="3">
        <f>IFERROR(__xludf.DUMMYFUNCTION("""COMPUTED_VALUE"""),45098.66666666667)</f>
        <v>45098.66667</v>
      </c>
      <c r="B10961" s="2">
        <f>IFERROR(__xludf.DUMMYFUNCTION("""COMPUTED_VALUE"""),135.11)</f>
        <v>135.11</v>
      </c>
      <c r="C10961" s="2">
        <f>IFERROR(__xludf.DUMMYFUNCTION("""COMPUTED_VALUE"""),135.39)</f>
        <v>135.39</v>
      </c>
      <c r="D10961" s="2">
        <f>IFERROR(__xludf.DUMMYFUNCTION("""COMPUTED_VALUE"""),133.29)</f>
        <v>133.29</v>
      </c>
      <c r="E10961" s="2">
        <f>IFERROR(__xludf.DUMMYFUNCTION("""COMPUTED_VALUE"""),133.69)</f>
        <v>133.69</v>
      </c>
      <c r="F10961" s="2">
        <f>IFERROR(__xludf.DUMMYFUNCTION("""COMPUTED_VALUE"""),5501272.0)</f>
        <v>5501272</v>
      </c>
    </row>
    <row r="10962">
      <c r="A10962" s="3">
        <f>IFERROR(__xludf.DUMMYFUNCTION("""COMPUTED_VALUE"""),45099.66666666667)</f>
        <v>45099.66667</v>
      </c>
      <c r="B10962" s="2">
        <f>IFERROR(__xludf.DUMMYFUNCTION("""COMPUTED_VALUE"""),131.68)</f>
        <v>131.68</v>
      </c>
      <c r="C10962" s="2">
        <f>IFERROR(__xludf.DUMMYFUNCTION("""COMPUTED_VALUE"""),132.96)</f>
        <v>132.96</v>
      </c>
      <c r="D10962" s="2">
        <f>IFERROR(__xludf.DUMMYFUNCTION("""COMPUTED_VALUE"""),130.68)</f>
        <v>130.68</v>
      </c>
      <c r="E10962" s="2">
        <f>IFERROR(__xludf.DUMMYFUNCTION("""COMPUTED_VALUE"""),131.17)</f>
        <v>131.17</v>
      </c>
      <c r="F10962" s="2">
        <f>IFERROR(__xludf.DUMMYFUNCTION("""COMPUTED_VALUE"""),6013021.0)</f>
        <v>6013021</v>
      </c>
    </row>
    <row r="10963">
      <c r="A10963" s="3">
        <f>IFERROR(__xludf.DUMMYFUNCTION("""COMPUTED_VALUE"""),45100.66666666667)</f>
        <v>45100.66667</v>
      </c>
      <c r="B10963" s="2">
        <f>IFERROR(__xludf.DUMMYFUNCTION("""COMPUTED_VALUE"""),130.4)</f>
        <v>130.4</v>
      </c>
      <c r="C10963" s="2">
        <f>IFERROR(__xludf.DUMMYFUNCTION("""COMPUTED_VALUE"""),130.62)</f>
        <v>130.62</v>
      </c>
      <c r="D10963" s="2">
        <f>IFERROR(__xludf.DUMMYFUNCTION("""COMPUTED_VALUE"""),129.18)</f>
        <v>129.18</v>
      </c>
      <c r="E10963" s="2">
        <f>IFERROR(__xludf.DUMMYFUNCTION("""COMPUTED_VALUE"""),129.43)</f>
        <v>129.43</v>
      </c>
      <c r="F10963" s="2">
        <f>IFERROR(__xludf.DUMMYFUNCTION("""COMPUTED_VALUE"""),1.1324705E7)</f>
        <v>11324705</v>
      </c>
    </row>
    <row r="10964">
      <c r="A10964" s="3">
        <f>IFERROR(__xludf.DUMMYFUNCTION("""COMPUTED_VALUE"""),45103.66666666667)</f>
        <v>45103.66667</v>
      </c>
      <c r="B10964" s="2">
        <f>IFERROR(__xludf.DUMMYFUNCTION("""COMPUTED_VALUE"""),129.39)</f>
        <v>129.39</v>
      </c>
      <c r="C10964" s="2">
        <f>IFERROR(__xludf.DUMMYFUNCTION("""COMPUTED_VALUE"""),131.41)</f>
        <v>131.41</v>
      </c>
      <c r="D10964" s="2">
        <f>IFERROR(__xludf.DUMMYFUNCTION("""COMPUTED_VALUE"""),129.31)</f>
        <v>129.31</v>
      </c>
      <c r="E10964" s="2">
        <f>IFERROR(__xludf.DUMMYFUNCTION("""COMPUTED_VALUE"""),131.34)</f>
        <v>131.34</v>
      </c>
      <c r="F10964" s="2">
        <f>IFERROR(__xludf.DUMMYFUNCTION("""COMPUTED_VALUE"""),4845649.0)</f>
        <v>4845649</v>
      </c>
    </row>
    <row r="10965">
      <c r="A10965" s="3">
        <f>IFERROR(__xludf.DUMMYFUNCTION("""COMPUTED_VALUE"""),45104.66666666667)</f>
        <v>45104.66667</v>
      </c>
      <c r="B10965" s="2">
        <f>IFERROR(__xludf.DUMMYFUNCTION("""COMPUTED_VALUE"""),131.3)</f>
        <v>131.3</v>
      </c>
      <c r="C10965" s="2">
        <f>IFERROR(__xludf.DUMMYFUNCTION("""COMPUTED_VALUE"""),132.95)</f>
        <v>132.95</v>
      </c>
      <c r="D10965" s="2">
        <f>IFERROR(__xludf.DUMMYFUNCTION("""COMPUTED_VALUE"""),130.83)</f>
        <v>130.83</v>
      </c>
      <c r="E10965" s="2">
        <f>IFERROR(__xludf.DUMMYFUNCTION("""COMPUTED_VALUE"""),132.34)</f>
        <v>132.34</v>
      </c>
      <c r="F10965" s="2">
        <f>IFERROR(__xludf.DUMMYFUNCTION("""COMPUTED_VALUE"""),3219909.0)</f>
        <v>3219909</v>
      </c>
    </row>
    <row r="10966">
      <c r="A10966" s="3">
        <f>IFERROR(__xludf.DUMMYFUNCTION("""COMPUTED_VALUE"""),45105.66666666667)</f>
        <v>45105.66667</v>
      </c>
      <c r="B10966" s="2">
        <f>IFERROR(__xludf.DUMMYFUNCTION("""COMPUTED_VALUE"""),132.06)</f>
        <v>132.06</v>
      </c>
      <c r="C10966" s="2">
        <f>IFERROR(__xludf.DUMMYFUNCTION("""COMPUTED_VALUE"""),132.17)</f>
        <v>132.17</v>
      </c>
      <c r="D10966" s="2">
        <f>IFERROR(__xludf.DUMMYFUNCTION("""COMPUTED_VALUE"""),130.91)</f>
        <v>130.91</v>
      </c>
      <c r="E10966" s="2">
        <f>IFERROR(__xludf.DUMMYFUNCTION("""COMPUTED_VALUE"""),131.76)</f>
        <v>131.76</v>
      </c>
      <c r="F10966" s="2">
        <f>IFERROR(__xludf.DUMMYFUNCTION("""COMPUTED_VALUE"""),2753779.0)</f>
        <v>2753779</v>
      </c>
    </row>
    <row r="10967">
      <c r="A10967" s="3">
        <f>IFERROR(__xludf.DUMMYFUNCTION("""COMPUTED_VALUE"""),45106.66666666667)</f>
        <v>45106.66667</v>
      </c>
      <c r="B10967" s="2">
        <f>IFERROR(__xludf.DUMMYFUNCTION("""COMPUTED_VALUE"""),131.75)</f>
        <v>131.75</v>
      </c>
      <c r="C10967" s="2">
        <f>IFERROR(__xludf.DUMMYFUNCTION("""COMPUTED_VALUE"""),134.35)</f>
        <v>134.35</v>
      </c>
      <c r="D10967" s="2">
        <f>IFERROR(__xludf.DUMMYFUNCTION("""COMPUTED_VALUE"""),131.69)</f>
        <v>131.69</v>
      </c>
      <c r="E10967" s="2">
        <f>IFERROR(__xludf.DUMMYFUNCTION("""COMPUTED_VALUE"""),134.06)</f>
        <v>134.06</v>
      </c>
      <c r="F10967" s="2">
        <f>IFERROR(__xludf.DUMMYFUNCTION("""COMPUTED_VALUE"""),3639836.0)</f>
        <v>3639836</v>
      </c>
    </row>
    <row r="10968">
      <c r="A10968" s="3">
        <f>IFERROR(__xludf.DUMMYFUNCTION("""COMPUTED_VALUE"""),45107.66666666667)</f>
        <v>45107.66667</v>
      </c>
      <c r="B10968" s="2">
        <f>IFERROR(__xludf.DUMMYFUNCTION("""COMPUTED_VALUE"""),134.69)</f>
        <v>134.69</v>
      </c>
      <c r="C10968" s="2">
        <f>IFERROR(__xludf.DUMMYFUNCTION("""COMPUTED_VALUE"""),135.03)</f>
        <v>135.03</v>
      </c>
      <c r="D10968" s="2">
        <f>IFERROR(__xludf.DUMMYFUNCTION("""COMPUTED_VALUE"""),133.43)</f>
        <v>133.43</v>
      </c>
      <c r="E10968" s="2">
        <f>IFERROR(__xludf.DUMMYFUNCTION("""COMPUTED_VALUE"""),133.81)</f>
        <v>133.81</v>
      </c>
      <c r="F10968" s="2">
        <f>IFERROR(__xludf.DUMMYFUNCTION("""COMPUTED_VALUE"""),4236677.0)</f>
        <v>4236677</v>
      </c>
    </row>
    <row r="10969">
      <c r="A10969" s="3">
        <f>IFERROR(__xludf.DUMMYFUNCTION("""COMPUTED_VALUE"""),45110.54166666667)</f>
        <v>45110.54167</v>
      </c>
      <c r="B10969" s="2">
        <f>IFERROR(__xludf.DUMMYFUNCTION("""COMPUTED_VALUE"""),133.42)</f>
        <v>133.42</v>
      </c>
      <c r="C10969" s="2">
        <f>IFERROR(__xludf.DUMMYFUNCTION("""COMPUTED_VALUE"""),134.35)</f>
        <v>134.35</v>
      </c>
      <c r="D10969" s="2">
        <f>IFERROR(__xludf.DUMMYFUNCTION("""COMPUTED_VALUE"""),132.87)</f>
        <v>132.87</v>
      </c>
      <c r="E10969" s="2">
        <f>IFERROR(__xludf.DUMMYFUNCTION("""COMPUTED_VALUE"""),133.67)</f>
        <v>133.67</v>
      </c>
      <c r="F10969" s="2">
        <f>IFERROR(__xludf.DUMMYFUNCTION("""COMPUTED_VALUE"""),1477149.0)</f>
        <v>1477149</v>
      </c>
    </row>
    <row r="10970">
      <c r="A10970" s="3">
        <f>IFERROR(__xludf.DUMMYFUNCTION("""COMPUTED_VALUE"""),45112.66666666667)</f>
        <v>45112.66667</v>
      </c>
      <c r="B10970" s="2">
        <f>IFERROR(__xludf.DUMMYFUNCTION("""COMPUTED_VALUE"""),133.32)</f>
        <v>133.32</v>
      </c>
      <c r="C10970" s="2">
        <f>IFERROR(__xludf.DUMMYFUNCTION("""COMPUTED_VALUE"""),134.31)</f>
        <v>134.31</v>
      </c>
      <c r="D10970" s="2">
        <f>IFERROR(__xludf.DUMMYFUNCTION("""COMPUTED_VALUE"""),132.59)</f>
        <v>132.59</v>
      </c>
      <c r="E10970" s="2">
        <f>IFERROR(__xludf.DUMMYFUNCTION("""COMPUTED_VALUE"""),134.24)</f>
        <v>134.24</v>
      </c>
      <c r="F10970" s="2">
        <f>IFERROR(__xludf.DUMMYFUNCTION("""COMPUTED_VALUE"""),2955870.0)</f>
        <v>2955870</v>
      </c>
    </row>
    <row r="10971">
      <c r="A10971" s="3">
        <f>IFERROR(__xludf.DUMMYFUNCTION("""COMPUTED_VALUE"""),45113.66666666667)</f>
        <v>45113.66667</v>
      </c>
      <c r="B10971" s="2">
        <f>IFERROR(__xludf.DUMMYFUNCTION("""COMPUTED_VALUE"""),133.24)</f>
        <v>133.24</v>
      </c>
      <c r="C10971" s="2">
        <f>IFERROR(__xludf.DUMMYFUNCTION("""COMPUTED_VALUE"""),133.9)</f>
        <v>133.9</v>
      </c>
      <c r="D10971" s="2">
        <f>IFERROR(__xludf.DUMMYFUNCTION("""COMPUTED_VALUE"""),131.55)</f>
        <v>131.55</v>
      </c>
      <c r="E10971" s="2">
        <f>IFERROR(__xludf.DUMMYFUNCTION("""COMPUTED_VALUE"""),132.16)</f>
        <v>132.16</v>
      </c>
      <c r="F10971" s="2">
        <f>IFERROR(__xludf.DUMMYFUNCTION("""COMPUTED_VALUE"""),3508083.0)</f>
        <v>3508083</v>
      </c>
    </row>
    <row r="10972">
      <c r="A10972" s="3">
        <f>IFERROR(__xludf.DUMMYFUNCTION("""COMPUTED_VALUE"""),45114.66666666667)</f>
        <v>45114.66667</v>
      </c>
      <c r="B10972" s="2">
        <f>IFERROR(__xludf.DUMMYFUNCTION("""COMPUTED_VALUE"""),131.78)</f>
        <v>131.78</v>
      </c>
      <c r="C10972" s="2">
        <f>IFERROR(__xludf.DUMMYFUNCTION("""COMPUTED_VALUE"""),133.85)</f>
        <v>133.85</v>
      </c>
      <c r="D10972" s="2">
        <f>IFERROR(__xludf.DUMMYFUNCTION("""COMPUTED_VALUE"""),131.75)</f>
        <v>131.75</v>
      </c>
      <c r="E10972" s="2">
        <f>IFERROR(__xludf.DUMMYFUNCTION("""COMPUTED_VALUE"""),132.08)</f>
        <v>132.08</v>
      </c>
      <c r="F10972" s="2">
        <f>IFERROR(__xludf.DUMMYFUNCTION("""COMPUTED_VALUE"""),2982738.0)</f>
        <v>2982738</v>
      </c>
    </row>
    <row r="10973">
      <c r="A10973" s="3">
        <f>IFERROR(__xludf.DUMMYFUNCTION("""COMPUTED_VALUE"""),45117.66666666667)</f>
        <v>45117.66667</v>
      </c>
      <c r="B10973" s="2">
        <f>IFERROR(__xludf.DUMMYFUNCTION("""COMPUTED_VALUE"""),131.76)</f>
        <v>131.76</v>
      </c>
      <c r="C10973" s="2">
        <f>IFERROR(__xludf.DUMMYFUNCTION("""COMPUTED_VALUE"""),133.05)</f>
        <v>133.05</v>
      </c>
      <c r="D10973" s="2">
        <f>IFERROR(__xludf.DUMMYFUNCTION("""COMPUTED_VALUE"""),131.7)</f>
        <v>131.7</v>
      </c>
      <c r="E10973" s="2">
        <f>IFERROR(__xludf.DUMMYFUNCTION("""COMPUTED_VALUE"""),132.9)</f>
        <v>132.9</v>
      </c>
      <c r="F10973" s="2">
        <f>IFERROR(__xludf.DUMMYFUNCTION("""COMPUTED_VALUE"""),2369425.0)</f>
        <v>2369425</v>
      </c>
    </row>
    <row r="10974">
      <c r="A10974" s="3">
        <f>IFERROR(__xludf.DUMMYFUNCTION("""COMPUTED_VALUE"""),45118.66666666667)</f>
        <v>45118.66667</v>
      </c>
      <c r="B10974" s="2">
        <f>IFERROR(__xludf.DUMMYFUNCTION("""COMPUTED_VALUE"""),133.66)</f>
        <v>133.66</v>
      </c>
      <c r="C10974" s="2">
        <f>IFERROR(__xludf.DUMMYFUNCTION("""COMPUTED_VALUE"""),134.56)</f>
        <v>134.56</v>
      </c>
      <c r="D10974" s="2">
        <f>IFERROR(__xludf.DUMMYFUNCTION("""COMPUTED_VALUE"""),133.23)</f>
        <v>133.23</v>
      </c>
      <c r="E10974" s="2">
        <f>IFERROR(__xludf.DUMMYFUNCTION("""COMPUTED_VALUE"""),134.44)</f>
        <v>134.44</v>
      </c>
      <c r="F10974" s="2">
        <f>IFERROR(__xludf.DUMMYFUNCTION("""COMPUTED_VALUE"""),2925238.0)</f>
        <v>2925238</v>
      </c>
    </row>
    <row r="10975">
      <c r="A10975" s="3">
        <f>IFERROR(__xludf.DUMMYFUNCTION("""COMPUTED_VALUE"""),45119.66666666667)</f>
        <v>45119.66667</v>
      </c>
      <c r="B10975" s="2">
        <f>IFERROR(__xludf.DUMMYFUNCTION("""COMPUTED_VALUE"""),135.07)</f>
        <v>135.07</v>
      </c>
      <c r="C10975" s="2">
        <f>IFERROR(__xludf.DUMMYFUNCTION("""COMPUTED_VALUE"""),135.33)</f>
        <v>135.33</v>
      </c>
      <c r="D10975" s="2">
        <f>IFERROR(__xludf.DUMMYFUNCTION("""COMPUTED_VALUE"""),132.57)</f>
        <v>132.57</v>
      </c>
      <c r="E10975" s="2">
        <f>IFERROR(__xludf.DUMMYFUNCTION("""COMPUTED_VALUE"""),132.84)</f>
        <v>132.84</v>
      </c>
      <c r="F10975" s="2">
        <f>IFERROR(__xludf.DUMMYFUNCTION("""COMPUTED_VALUE"""),3732189.0)</f>
        <v>3732189</v>
      </c>
    </row>
    <row r="10976">
      <c r="A10976" s="3">
        <f>IFERROR(__xludf.DUMMYFUNCTION("""COMPUTED_VALUE"""),45120.66666666667)</f>
        <v>45120.66667</v>
      </c>
      <c r="B10976" s="2">
        <f>IFERROR(__xludf.DUMMYFUNCTION("""COMPUTED_VALUE"""),133.51)</f>
        <v>133.51</v>
      </c>
      <c r="C10976" s="2">
        <f>IFERROR(__xludf.DUMMYFUNCTION("""COMPUTED_VALUE"""),135.07)</f>
        <v>135.07</v>
      </c>
      <c r="D10976" s="2">
        <f>IFERROR(__xludf.DUMMYFUNCTION("""COMPUTED_VALUE"""),133.36)</f>
        <v>133.36</v>
      </c>
      <c r="E10976" s="2">
        <f>IFERROR(__xludf.DUMMYFUNCTION("""COMPUTED_VALUE"""),133.92)</f>
        <v>133.92</v>
      </c>
      <c r="F10976" s="2">
        <f>IFERROR(__xludf.DUMMYFUNCTION("""COMPUTED_VALUE"""),3221422.0)</f>
        <v>3221422</v>
      </c>
    </row>
    <row r="10977">
      <c r="A10977" s="3">
        <f>IFERROR(__xludf.DUMMYFUNCTION("""COMPUTED_VALUE"""),45121.66666666667)</f>
        <v>45121.66667</v>
      </c>
      <c r="B10977" s="2">
        <f>IFERROR(__xludf.DUMMYFUNCTION("""COMPUTED_VALUE"""),133.91)</f>
        <v>133.91</v>
      </c>
      <c r="C10977" s="2">
        <f>IFERROR(__xludf.DUMMYFUNCTION("""COMPUTED_VALUE"""),133.92)</f>
        <v>133.92</v>
      </c>
      <c r="D10977" s="2">
        <f>IFERROR(__xludf.DUMMYFUNCTION("""COMPUTED_VALUE"""),132.94)</f>
        <v>132.94</v>
      </c>
      <c r="E10977" s="2">
        <f>IFERROR(__xludf.DUMMYFUNCTION("""COMPUTED_VALUE"""),133.4)</f>
        <v>133.4</v>
      </c>
      <c r="F10977" s="2">
        <f>IFERROR(__xludf.DUMMYFUNCTION("""COMPUTED_VALUE"""),2861496.0)</f>
        <v>2861496</v>
      </c>
    </row>
    <row r="10978">
      <c r="A10978" s="3">
        <f>IFERROR(__xludf.DUMMYFUNCTION("""COMPUTED_VALUE"""),45124.66666666667)</f>
        <v>45124.66667</v>
      </c>
      <c r="B10978" s="2">
        <f>IFERROR(__xludf.DUMMYFUNCTION("""COMPUTED_VALUE"""),133.26)</f>
        <v>133.26</v>
      </c>
      <c r="C10978" s="2">
        <f>IFERROR(__xludf.DUMMYFUNCTION("""COMPUTED_VALUE"""),134.61)</f>
        <v>134.61</v>
      </c>
      <c r="D10978" s="2">
        <f>IFERROR(__xludf.DUMMYFUNCTION("""COMPUTED_VALUE"""),133.1)</f>
        <v>133.1</v>
      </c>
      <c r="E10978" s="2">
        <f>IFERROR(__xludf.DUMMYFUNCTION("""COMPUTED_VALUE"""),134.24)</f>
        <v>134.24</v>
      </c>
      <c r="F10978" s="2">
        <f>IFERROR(__xludf.DUMMYFUNCTION("""COMPUTED_VALUE"""),3168419.0)</f>
        <v>3168419</v>
      </c>
    </row>
    <row r="10979">
      <c r="A10979" s="3">
        <f>IFERROR(__xludf.DUMMYFUNCTION("""COMPUTED_VALUE"""),45125.66666666667)</f>
        <v>45125.66667</v>
      </c>
      <c r="B10979" s="2">
        <f>IFERROR(__xludf.DUMMYFUNCTION("""COMPUTED_VALUE"""),134.71)</f>
        <v>134.71</v>
      </c>
      <c r="C10979" s="2">
        <f>IFERROR(__xludf.DUMMYFUNCTION("""COMPUTED_VALUE"""),135.95)</f>
        <v>135.95</v>
      </c>
      <c r="D10979" s="2">
        <f>IFERROR(__xludf.DUMMYFUNCTION("""COMPUTED_VALUE"""),134.29)</f>
        <v>134.29</v>
      </c>
      <c r="E10979" s="2">
        <f>IFERROR(__xludf.DUMMYFUNCTION("""COMPUTED_VALUE"""),135.36)</f>
        <v>135.36</v>
      </c>
      <c r="F10979" s="2">
        <f>IFERROR(__xludf.DUMMYFUNCTION("""COMPUTED_VALUE"""),3852058.0)</f>
        <v>3852058</v>
      </c>
    </row>
    <row r="10980">
      <c r="A10980" s="3">
        <f>IFERROR(__xludf.DUMMYFUNCTION("""COMPUTED_VALUE"""),45126.66666666667)</f>
        <v>45126.66667</v>
      </c>
      <c r="B10980" s="2">
        <f>IFERROR(__xludf.DUMMYFUNCTION("""COMPUTED_VALUE"""),135.53)</f>
        <v>135.53</v>
      </c>
      <c r="C10980" s="2">
        <f>IFERROR(__xludf.DUMMYFUNCTION("""COMPUTED_VALUE"""),136.45)</f>
        <v>136.45</v>
      </c>
      <c r="D10980" s="2">
        <f>IFERROR(__xludf.DUMMYFUNCTION("""COMPUTED_VALUE"""),135.19)</f>
        <v>135.19</v>
      </c>
      <c r="E10980" s="2">
        <f>IFERROR(__xludf.DUMMYFUNCTION("""COMPUTED_VALUE"""),135.48)</f>
        <v>135.48</v>
      </c>
      <c r="F10980" s="2">
        <f>IFERROR(__xludf.DUMMYFUNCTION("""COMPUTED_VALUE"""),5519992.0)</f>
        <v>5519992</v>
      </c>
    </row>
    <row r="10981">
      <c r="A10981" s="3">
        <f>IFERROR(__xludf.DUMMYFUNCTION("""COMPUTED_VALUE"""),45127.66666666667)</f>
        <v>45127.66667</v>
      </c>
      <c r="B10981" s="2">
        <f>IFERROR(__xludf.DUMMYFUNCTION("""COMPUTED_VALUE"""),137.19)</f>
        <v>137.19</v>
      </c>
      <c r="C10981" s="2">
        <f>IFERROR(__xludf.DUMMYFUNCTION("""COMPUTED_VALUE"""),140.32)</f>
        <v>140.32</v>
      </c>
      <c r="D10981" s="2">
        <f>IFERROR(__xludf.DUMMYFUNCTION("""COMPUTED_VALUE"""),136.56)</f>
        <v>136.56</v>
      </c>
      <c r="E10981" s="2">
        <f>IFERROR(__xludf.DUMMYFUNCTION("""COMPUTED_VALUE"""),138.38)</f>
        <v>138.38</v>
      </c>
      <c r="F10981" s="2">
        <f>IFERROR(__xludf.DUMMYFUNCTION("""COMPUTED_VALUE"""),1.089633E7)</f>
        <v>10896330</v>
      </c>
    </row>
    <row r="10982">
      <c r="A10982" s="3">
        <f>IFERROR(__xludf.DUMMYFUNCTION("""COMPUTED_VALUE"""),45128.66666666667)</f>
        <v>45128.66667</v>
      </c>
      <c r="B10982" s="2">
        <f>IFERROR(__xludf.DUMMYFUNCTION("""COMPUTED_VALUE"""),138.21)</f>
        <v>138.21</v>
      </c>
      <c r="C10982" s="2">
        <f>IFERROR(__xludf.DUMMYFUNCTION("""COMPUTED_VALUE"""),139.78)</f>
        <v>139.78</v>
      </c>
      <c r="D10982" s="2">
        <f>IFERROR(__xludf.DUMMYFUNCTION("""COMPUTED_VALUE"""),137.76)</f>
        <v>137.76</v>
      </c>
      <c r="E10982" s="2">
        <f>IFERROR(__xludf.DUMMYFUNCTION("""COMPUTED_VALUE"""),138.94)</f>
        <v>138.94</v>
      </c>
      <c r="F10982" s="2">
        <f>IFERROR(__xludf.DUMMYFUNCTION("""COMPUTED_VALUE"""),5858741.0)</f>
        <v>5858741</v>
      </c>
    </row>
    <row r="10983">
      <c r="A10983" s="3">
        <f>IFERROR(__xludf.DUMMYFUNCTION("""COMPUTED_VALUE"""),45131.66666666667)</f>
        <v>45131.66667</v>
      </c>
      <c r="B10983" s="2">
        <f>IFERROR(__xludf.DUMMYFUNCTION("""COMPUTED_VALUE"""),139.35)</f>
        <v>139.35</v>
      </c>
      <c r="C10983" s="2">
        <f>IFERROR(__xludf.DUMMYFUNCTION("""COMPUTED_VALUE"""),140.12)</f>
        <v>140.12</v>
      </c>
      <c r="D10983" s="2">
        <f>IFERROR(__xludf.DUMMYFUNCTION("""COMPUTED_VALUE"""),138.78)</f>
        <v>138.78</v>
      </c>
      <c r="E10983" s="2">
        <f>IFERROR(__xludf.DUMMYFUNCTION("""COMPUTED_VALUE"""),139.54)</f>
        <v>139.54</v>
      </c>
      <c r="F10983" s="2">
        <f>IFERROR(__xludf.DUMMYFUNCTION("""COMPUTED_VALUE"""),3475442.0)</f>
        <v>3475442</v>
      </c>
    </row>
    <row r="10984">
      <c r="A10984" s="3">
        <f>IFERROR(__xludf.DUMMYFUNCTION("""COMPUTED_VALUE"""),45132.66666666667)</f>
        <v>45132.66667</v>
      </c>
      <c r="B10984" s="2">
        <f>IFERROR(__xludf.DUMMYFUNCTION("""COMPUTED_VALUE"""),139.42)</f>
        <v>139.42</v>
      </c>
      <c r="C10984" s="2">
        <f>IFERROR(__xludf.DUMMYFUNCTION("""COMPUTED_VALUE"""),140.43)</f>
        <v>140.43</v>
      </c>
      <c r="D10984" s="2">
        <f>IFERROR(__xludf.DUMMYFUNCTION("""COMPUTED_VALUE"""),139.04)</f>
        <v>139.04</v>
      </c>
      <c r="E10984" s="2">
        <f>IFERROR(__xludf.DUMMYFUNCTION("""COMPUTED_VALUE"""),140.33)</f>
        <v>140.33</v>
      </c>
      <c r="F10984" s="2">
        <f>IFERROR(__xludf.DUMMYFUNCTION("""COMPUTED_VALUE"""),3770813.0)</f>
        <v>3770813</v>
      </c>
    </row>
    <row r="10985">
      <c r="A10985" s="3">
        <f>IFERROR(__xludf.DUMMYFUNCTION("""COMPUTED_VALUE"""),45133.66666666667)</f>
        <v>45133.66667</v>
      </c>
      <c r="B10985" s="2">
        <f>IFERROR(__xludf.DUMMYFUNCTION("""COMPUTED_VALUE"""),140.44)</f>
        <v>140.44</v>
      </c>
      <c r="C10985" s="2">
        <f>IFERROR(__xludf.DUMMYFUNCTION("""COMPUTED_VALUE"""),141.25)</f>
        <v>141.25</v>
      </c>
      <c r="D10985" s="2">
        <f>IFERROR(__xludf.DUMMYFUNCTION("""COMPUTED_VALUE"""),139.88)</f>
        <v>139.88</v>
      </c>
      <c r="E10985" s="2">
        <f>IFERROR(__xludf.DUMMYFUNCTION("""COMPUTED_VALUE"""),141.07)</f>
        <v>141.07</v>
      </c>
      <c r="F10985" s="2">
        <f>IFERROR(__xludf.DUMMYFUNCTION("""COMPUTED_VALUE"""),4046441.0)</f>
        <v>4046441</v>
      </c>
    </row>
    <row r="10986">
      <c r="A10986" s="3">
        <f>IFERROR(__xludf.DUMMYFUNCTION("""COMPUTED_VALUE"""),45134.66666666667)</f>
        <v>45134.66667</v>
      </c>
      <c r="B10986" s="2">
        <f>IFERROR(__xludf.DUMMYFUNCTION("""COMPUTED_VALUE"""),142.3)</f>
        <v>142.3</v>
      </c>
      <c r="C10986" s="2">
        <f>IFERROR(__xludf.DUMMYFUNCTION("""COMPUTED_VALUE"""),143.38)</f>
        <v>143.38</v>
      </c>
      <c r="D10986" s="2">
        <f>IFERROR(__xludf.DUMMYFUNCTION("""COMPUTED_VALUE"""),141.9)</f>
        <v>141.9</v>
      </c>
      <c r="E10986" s="2">
        <f>IFERROR(__xludf.DUMMYFUNCTION("""COMPUTED_VALUE"""),142.97)</f>
        <v>142.97</v>
      </c>
      <c r="F10986" s="2">
        <f>IFERROR(__xludf.DUMMYFUNCTION("""COMPUTED_VALUE"""),6331563.0)</f>
        <v>6331563</v>
      </c>
    </row>
    <row r="10987">
      <c r="A10987" s="3">
        <f>IFERROR(__xludf.DUMMYFUNCTION("""COMPUTED_VALUE"""),45135.66666666667)</f>
        <v>45135.66667</v>
      </c>
      <c r="B10987" s="2">
        <f>IFERROR(__xludf.DUMMYFUNCTION("""COMPUTED_VALUE"""),143.44)</f>
        <v>143.44</v>
      </c>
      <c r="C10987" s="2">
        <f>IFERROR(__xludf.DUMMYFUNCTION("""COMPUTED_VALUE"""),143.95)</f>
        <v>143.95</v>
      </c>
      <c r="D10987" s="2">
        <f>IFERROR(__xludf.DUMMYFUNCTION("""COMPUTED_VALUE"""),142.85)</f>
        <v>142.85</v>
      </c>
      <c r="E10987" s="2">
        <f>IFERROR(__xludf.DUMMYFUNCTION("""COMPUTED_VALUE"""),143.45)</f>
        <v>143.45</v>
      </c>
      <c r="F10987" s="2">
        <f>IFERROR(__xludf.DUMMYFUNCTION("""COMPUTED_VALUE"""),6686627.0)</f>
        <v>6686627</v>
      </c>
    </row>
    <row r="10988">
      <c r="A10988" s="3">
        <f>IFERROR(__xludf.DUMMYFUNCTION("""COMPUTED_VALUE"""),45138.66666666667)</f>
        <v>45138.66667</v>
      </c>
      <c r="B10988" s="2">
        <f>IFERROR(__xludf.DUMMYFUNCTION("""COMPUTED_VALUE"""),143.81)</f>
        <v>143.81</v>
      </c>
      <c r="C10988" s="2">
        <f>IFERROR(__xludf.DUMMYFUNCTION("""COMPUTED_VALUE"""),144.6)</f>
        <v>144.6</v>
      </c>
      <c r="D10988" s="2">
        <f>IFERROR(__xludf.DUMMYFUNCTION("""COMPUTED_VALUE"""),143.53)</f>
        <v>143.53</v>
      </c>
      <c r="E10988" s="2">
        <f>IFERROR(__xludf.DUMMYFUNCTION("""COMPUTED_VALUE"""),144.18)</f>
        <v>144.18</v>
      </c>
      <c r="F10988" s="2">
        <f>IFERROR(__xludf.DUMMYFUNCTION("""COMPUTED_VALUE"""),6138902.0)</f>
        <v>6138902</v>
      </c>
    </row>
    <row r="10989">
      <c r="A10989" s="3">
        <f>IFERROR(__xludf.DUMMYFUNCTION("""COMPUTED_VALUE"""),45139.66666666667)</f>
        <v>45139.66667</v>
      </c>
      <c r="B10989" s="2">
        <f>IFERROR(__xludf.DUMMYFUNCTION("""COMPUTED_VALUE"""),144.25)</f>
        <v>144.25</v>
      </c>
      <c r="C10989" s="2">
        <f>IFERROR(__xludf.DUMMYFUNCTION("""COMPUTED_VALUE"""),144.48)</f>
        <v>144.48</v>
      </c>
      <c r="D10989" s="2">
        <f>IFERROR(__xludf.DUMMYFUNCTION("""COMPUTED_VALUE"""),142.17)</f>
        <v>142.17</v>
      </c>
      <c r="E10989" s="2">
        <f>IFERROR(__xludf.DUMMYFUNCTION("""COMPUTED_VALUE"""),143.33)</f>
        <v>143.33</v>
      </c>
      <c r="F10989" s="2">
        <f>IFERROR(__xludf.DUMMYFUNCTION("""COMPUTED_VALUE"""),4798703.0)</f>
        <v>4798703</v>
      </c>
    </row>
    <row r="10990">
      <c r="A10990" s="3">
        <f>IFERROR(__xludf.DUMMYFUNCTION("""COMPUTED_VALUE"""),45140.66666666667)</f>
        <v>45140.66667</v>
      </c>
      <c r="B10990" s="2">
        <f>IFERROR(__xludf.DUMMYFUNCTION("""COMPUTED_VALUE"""),142.78)</f>
        <v>142.78</v>
      </c>
      <c r="C10990" s="2">
        <f>IFERROR(__xludf.DUMMYFUNCTION("""COMPUTED_VALUE"""),144.3)</f>
        <v>144.3</v>
      </c>
      <c r="D10990" s="2">
        <f>IFERROR(__xludf.DUMMYFUNCTION("""COMPUTED_VALUE"""),142.31)</f>
        <v>142.31</v>
      </c>
      <c r="E10990" s="2">
        <f>IFERROR(__xludf.DUMMYFUNCTION("""COMPUTED_VALUE"""),144.17)</f>
        <v>144.17</v>
      </c>
      <c r="F10990" s="2">
        <f>IFERROR(__xludf.DUMMYFUNCTION("""COMPUTED_VALUE"""),4959381.0)</f>
        <v>4959381</v>
      </c>
    </row>
    <row r="10991">
      <c r="A10991" s="3">
        <f>IFERROR(__xludf.DUMMYFUNCTION("""COMPUTED_VALUE"""),45141.66666666667)</f>
        <v>45141.66667</v>
      </c>
      <c r="B10991" s="2">
        <f>IFERROR(__xludf.DUMMYFUNCTION("""COMPUTED_VALUE"""),143.78)</f>
        <v>143.78</v>
      </c>
      <c r="C10991" s="2">
        <f>IFERROR(__xludf.DUMMYFUNCTION("""COMPUTED_VALUE"""),145.22)</f>
        <v>145.22</v>
      </c>
      <c r="D10991" s="2">
        <f>IFERROR(__xludf.DUMMYFUNCTION("""COMPUTED_VALUE"""),143.31)</f>
        <v>143.31</v>
      </c>
      <c r="E10991" s="2">
        <f>IFERROR(__xludf.DUMMYFUNCTION("""COMPUTED_VALUE"""),144.45)</f>
        <v>144.45</v>
      </c>
      <c r="F10991" s="2">
        <f>IFERROR(__xludf.DUMMYFUNCTION("""COMPUTED_VALUE"""),3952640.0)</f>
        <v>3952640</v>
      </c>
    </row>
    <row r="10992">
      <c r="A10992" s="3">
        <f>IFERROR(__xludf.DUMMYFUNCTION("""COMPUTED_VALUE"""),45142.66666666667)</f>
        <v>45142.66667</v>
      </c>
      <c r="B10992" s="2">
        <f>IFERROR(__xludf.DUMMYFUNCTION("""COMPUTED_VALUE"""),145.09)</f>
        <v>145.09</v>
      </c>
      <c r="C10992" s="2">
        <f>IFERROR(__xludf.DUMMYFUNCTION("""COMPUTED_VALUE"""),146.09)</f>
        <v>146.09</v>
      </c>
      <c r="D10992" s="2">
        <f>IFERROR(__xludf.DUMMYFUNCTION("""COMPUTED_VALUE"""),143.99)</f>
        <v>143.99</v>
      </c>
      <c r="E10992" s="2">
        <f>IFERROR(__xludf.DUMMYFUNCTION("""COMPUTED_VALUE"""),144.24)</f>
        <v>144.24</v>
      </c>
      <c r="F10992" s="2">
        <f>IFERROR(__xludf.DUMMYFUNCTION("""COMPUTED_VALUE"""),4223204.0)</f>
        <v>4223204</v>
      </c>
    </row>
    <row r="10993">
      <c r="A10993" s="3">
        <f>IFERROR(__xludf.DUMMYFUNCTION("""COMPUTED_VALUE"""),45145.66666666667)</f>
        <v>45145.66667</v>
      </c>
      <c r="B10993" s="2">
        <f>IFERROR(__xludf.DUMMYFUNCTION("""COMPUTED_VALUE"""),145.0)</f>
        <v>145</v>
      </c>
      <c r="C10993" s="2">
        <f>IFERROR(__xludf.DUMMYFUNCTION("""COMPUTED_VALUE"""),146.5)</f>
        <v>146.5</v>
      </c>
      <c r="D10993" s="2">
        <f>IFERROR(__xludf.DUMMYFUNCTION("""COMPUTED_VALUE"""),144.93)</f>
        <v>144.93</v>
      </c>
      <c r="E10993" s="2">
        <f>IFERROR(__xludf.DUMMYFUNCTION("""COMPUTED_VALUE"""),146.18)</f>
        <v>146.18</v>
      </c>
      <c r="F10993" s="2">
        <f>IFERROR(__xludf.DUMMYFUNCTION("""COMPUTED_VALUE"""),3438654.0)</f>
        <v>3438654</v>
      </c>
    </row>
    <row r="10994">
      <c r="A10994" s="3">
        <f>IFERROR(__xludf.DUMMYFUNCTION("""COMPUTED_VALUE"""),45146.66666666667)</f>
        <v>45146.66667</v>
      </c>
      <c r="B10994" s="2">
        <f>IFERROR(__xludf.DUMMYFUNCTION("""COMPUTED_VALUE"""),145.7)</f>
        <v>145.7</v>
      </c>
      <c r="C10994" s="2">
        <f>IFERROR(__xludf.DUMMYFUNCTION("""COMPUTED_VALUE"""),146.15)</f>
        <v>146.15</v>
      </c>
      <c r="D10994" s="2">
        <f>IFERROR(__xludf.DUMMYFUNCTION("""COMPUTED_VALUE"""),144.11)</f>
        <v>144.11</v>
      </c>
      <c r="E10994" s="2">
        <f>IFERROR(__xludf.DUMMYFUNCTION("""COMPUTED_VALUE"""),145.91)</f>
        <v>145.91</v>
      </c>
      <c r="F10994" s="2">
        <f>IFERROR(__xludf.DUMMYFUNCTION("""COMPUTED_VALUE"""),4654582.0)</f>
        <v>4654582</v>
      </c>
    </row>
    <row r="10995">
      <c r="A10995" s="3">
        <f>IFERROR(__xludf.DUMMYFUNCTION("""COMPUTED_VALUE"""),45147.66666666667)</f>
        <v>45147.66667</v>
      </c>
      <c r="B10995" s="2">
        <f>IFERROR(__xludf.DUMMYFUNCTION("""COMPUTED_VALUE"""),144.94)</f>
        <v>144.94</v>
      </c>
      <c r="C10995" s="2">
        <f>IFERROR(__xludf.DUMMYFUNCTION("""COMPUTED_VALUE"""),144.94)</f>
        <v>144.94</v>
      </c>
      <c r="D10995" s="2">
        <f>IFERROR(__xludf.DUMMYFUNCTION("""COMPUTED_VALUE"""),142.3)</f>
        <v>142.3</v>
      </c>
      <c r="E10995" s="2">
        <f>IFERROR(__xludf.DUMMYFUNCTION("""COMPUTED_VALUE"""),142.49)</f>
        <v>142.49</v>
      </c>
      <c r="F10995" s="2">
        <f>IFERROR(__xludf.DUMMYFUNCTION("""COMPUTED_VALUE"""),4073038.0)</f>
        <v>4073038</v>
      </c>
    </row>
    <row r="10996">
      <c r="A10996" s="3">
        <f>IFERROR(__xludf.DUMMYFUNCTION("""COMPUTED_VALUE"""),45148.66666666667)</f>
        <v>45148.66667</v>
      </c>
      <c r="B10996" s="2">
        <f>IFERROR(__xludf.DUMMYFUNCTION("""COMPUTED_VALUE"""),143.04)</f>
        <v>143.04</v>
      </c>
      <c r="C10996" s="2">
        <f>IFERROR(__xludf.DUMMYFUNCTION("""COMPUTED_VALUE"""),144.58)</f>
        <v>144.58</v>
      </c>
      <c r="D10996" s="2">
        <f>IFERROR(__xludf.DUMMYFUNCTION("""COMPUTED_VALUE"""),142.69)</f>
        <v>142.69</v>
      </c>
      <c r="E10996" s="2">
        <f>IFERROR(__xludf.DUMMYFUNCTION("""COMPUTED_VALUE"""),143.25)</f>
        <v>143.25</v>
      </c>
      <c r="F10996" s="2">
        <f>IFERROR(__xludf.DUMMYFUNCTION("""COMPUTED_VALUE"""),4735763.0)</f>
        <v>4735763</v>
      </c>
    </row>
    <row r="10997">
      <c r="A10997" s="3">
        <f>IFERROR(__xludf.DUMMYFUNCTION("""COMPUTED_VALUE"""),45149.66666666667)</f>
        <v>45149.66667</v>
      </c>
      <c r="B10997" s="2">
        <f>IFERROR(__xludf.DUMMYFUNCTION("""COMPUTED_VALUE"""),143.12)</f>
        <v>143.12</v>
      </c>
      <c r="C10997" s="2">
        <f>IFERROR(__xludf.DUMMYFUNCTION("""COMPUTED_VALUE"""),143.45)</f>
        <v>143.45</v>
      </c>
      <c r="D10997" s="2">
        <f>IFERROR(__xludf.DUMMYFUNCTION("""COMPUTED_VALUE"""),142.21)</f>
        <v>142.21</v>
      </c>
      <c r="E10997" s="2">
        <f>IFERROR(__xludf.DUMMYFUNCTION("""COMPUTED_VALUE"""),143.12)</f>
        <v>143.12</v>
      </c>
      <c r="F10997" s="2">
        <f>IFERROR(__xludf.DUMMYFUNCTION("""COMPUTED_VALUE"""),2526433.0)</f>
        <v>2526433</v>
      </c>
    </row>
    <row r="10998">
      <c r="A10998" s="3">
        <f>IFERROR(__xludf.DUMMYFUNCTION("""COMPUTED_VALUE"""),45152.66666666667)</f>
        <v>45152.66667</v>
      </c>
      <c r="B10998" s="2">
        <f>IFERROR(__xludf.DUMMYFUNCTION("""COMPUTED_VALUE"""),143.05)</f>
        <v>143.05</v>
      </c>
      <c r="C10998" s="2">
        <f>IFERROR(__xludf.DUMMYFUNCTION("""COMPUTED_VALUE"""),143.37)</f>
        <v>143.37</v>
      </c>
      <c r="D10998" s="2">
        <f>IFERROR(__xludf.DUMMYFUNCTION("""COMPUTED_VALUE"""),141.8)</f>
        <v>141.8</v>
      </c>
      <c r="E10998" s="2">
        <f>IFERROR(__xludf.DUMMYFUNCTION("""COMPUTED_VALUE"""),141.91)</f>
        <v>141.91</v>
      </c>
      <c r="F10998" s="2">
        <f>IFERROR(__xludf.DUMMYFUNCTION("""COMPUTED_VALUE"""),4226563.0)</f>
        <v>4226563</v>
      </c>
    </row>
    <row r="10999">
      <c r="A10999" s="3">
        <f>IFERROR(__xludf.DUMMYFUNCTION("""COMPUTED_VALUE"""),45153.66666666667)</f>
        <v>45153.66667</v>
      </c>
      <c r="B10999" s="2">
        <f>IFERROR(__xludf.DUMMYFUNCTION("""COMPUTED_VALUE"""),141.5)</f>
        <v>141.5</v>
      </c>
      <c r="C10999" s="2">
        <f>IFERROR(__xludf.DUMMYFUNCTION("""COMPUTED_VALUE"""),142.31)</f>
        <v>142.31</v>
      </c>
      <c r="D10999" s="2">
        <f>IFERROR(__xludf.DUMMYFUNCTION("""COMPUTED_VALUE"""),141.2)</f>
        <v>141.2</v>
      </c>
      <c r="E10999" s="2">
        <f>IFERROR(__xludf.DUMMYFUNCTION("""COMPUTED_VALUE"""),141.87)</f>
        <v>141.87</v>
      </c>
      <c r="F10999" s="2">
        <f>IFERROR(__xludf.DUMMYFUNCTION("""COMPUTED_VALUE"""),3656559.0)</f>
        <v>3656559</v>
      </c>
    </row>
    <row r="11000">
      <c r="A11000" s="3">
        <f>IFERROR(__xludf.DUMMYFUNCTION("""COMPUTED_VALUE"""),45154.66666666667)</f>
        <v>45154.66667</v>
      </c>
      <c r="B11000" s="2">
        <f>IFERROR(__xludf.DUMMYFUNCTION("""COMPUTED_VALUE"""),141.7)</f>
        <v>141.7</v>
      </c>
      <c r="C11000" s="2">
        <f>IFERROR(__xludf.DUMMYFUNCTION("""COMPUTED_VALUE"""),142.09)</f>
        <v>142.09</v>
      </c>
      <c r="D11000" s="2">
        <f>IFERROR(__xludf.DUMMYFUNCTION("""COMPUTED_VALUE"""),140.56)</f>
        <v>140.56</v>
      </c>
      <c r="E11000" s="2">
        <f>IFERROR(__xludf.DUMMYFUNCTION("""COMPUTED_VALUE"""),140.64)</f>
        <v>140.64</v>
      </c>
      <c r="F11000" s="2">
        <f>IFERROR(__xludf.DUMMYFUNCTION("""COMPUTED_VALUE"""),3285347.0)</f>
        <v>3285347</v>
      </c>
    </row>
    <row r="11001">
      <c r="A11001" s="3">
        <f>IFERROR(__xludf.DUMMYFUNCTION("""COMPUTED_VALUE"""),45155.66666666667)</f>
        <v>45155.66667</v>
      </c>
      <c r="B11001" s="2">
        <f>IFERROR(__xludf.DUMMYFUNCTION("""COMPUTED_VALUE"""),141.01)</f>
        <v>141.01</v>
      </c>
      <c r="C11001" s="2">
        <f>IFERROR(__xludf.DUMMYFUNCTION("""COMPUTED_VALUE"""),142.66)</f>
        <v>142.66</v>
      </c>
      <c r="D11001" s="2">
        <f>IFERROR(__xludf.DUMMYFUNCTION("""COMPUTED_VALUE"""),140.6)</f>
        <v>140.6</v>
      </c>
      <c r="E11001" s="2">
        <f>IFERROR(__xludf.DUMMYFUNCTION("""COMPUTED_VALUE"""),140.66)</f>
        <v>140.66</v>
      </c>
      <c r="F11001" s="2">
        <f>IFERROR(__xludf.DUMMYFUNCTION("""COMPUTED_VALUE"""),3742058.0)</f>
        <v>3742058</v>
      </c>
    </row>
    <row r="11002">
      <c r="A11002" s="3">
        <f>IFERROR(__xludf.DUMMYFUNCTION("""COMPUTED_VALUE"""),45156.66666666667)</f>
        <v>45156.66667</v>
      </c>
      <c r="B11002" s="2">
        <f>IFERROR(__xludf.DUMMYFUNCTION("""COMPUTED_VALUE"""),140.0)</f>
        <v>140</v>
      </c>
      <c r="C11002" s="2">
        <f>IFERROR(__xludf.DUMMYFUNCTION("""COMPUTED_VALUE"""),141.83)</f>
        <v>141.83</v>
      </c>
      <c r="D11002" s="2">
        <f>IFERROR(__xludf.DUMMYFUNCTION("""COMPUTED_VALUE"""),139.76)</f>
        <v>139.76</v>
      </c>
      <c r="E11002" s="2">
        <f>IFERROR(__xludf.DUMMYFUNCTION("""COMPUTED_VALUE"""),141.41)</f>
        <v>141.41</v>
      </c>
      <c r="F11002" s="2">
        <f>IFERROR(__xludf.DUMMYFUNCTION("""COMPUTED_VALUE"""),3915480.0)</f>
        <v>3915480</v>
      </c>
    </row>
    <row r="11003">
      <c r="A11003" s="3">
        <f>IFERROR(__xludf.DUMMYFUNCTION("""COMPUTED_VALUE"""),45159.66666666667)</f>
        <v>45159.66667</v>
      </c>
      <c r="B11003" s="2">
        <f>IFERROR(__xludf.DUMMYFUNCTION("""COMPUTED_VALUE"""),141.42)</f>
        <v>141.42</v>
      </c>
      <c r="C11003" s="2">
        <f>IFERROR(__xludf.DUMMYFUNCTION("""COMPUTED_VALUE"""),142.39)</f>
        <v>142.39</v>
      </c>
      <c r="D11003" s="2">
        <f>IFERROR(__xludf.DUMMYFUNCTION("""COMPUTED_VALUE"""),141.11)</f>
        <v>141.11</v>
      </c>
      <c r="E11003" s="2">
        <f>IFERROR(__xludf.DUMMYFUNCTION("""COMPUTED_VALUE"""),142.28)</f>
        <v>142.28</v>
      </c>
      <c r="F11003" s="2">
        <f>IFERROR(__xludf.DUMMYFUNCTION("""COMPUTED_VALUE"""),2937781.0)</f>
        <v>2937781</v>
      </c>
    </row>
    <row r="11004">
      <c r="A11004" s="3">
        <f>IFERROR(__xludf.DUMMYFUNCTION("""COMPUTED_VALUE"""),45160.66666666667)</f>
        <v>45160.66667</v>
      </c>
      <c r="B11004" s="2">
        <f>IFERROR(__xludf.DUMMYFUNCTION("""COMPUTED_VALUE"""),142.66)</f>
        <v>142.66</v>
      </c>
      <c r="C11004" s="2">
        <f>IFERROR(__xludf.DUMMYFUNCTION("""COMPUTED_VALUE"""),143.23)</f>
        <v>143.23</v>
      </c>
      <c r="D11004" s="2">
        <f>IFERROR(__xludf.DUMMYFUNCTION("""COMPUTED_VALUE"""),141.3)</f>
        <v>141.3</v>
      </c>
      <c r="E11004" s="2">
        <f>IFERROR(__xludf.DUMMYFUNCTION("""COMPUTED_VALUE"""),141.49)</f>
        <v>141.49</v>
      </c>
      <c r="F11004" s="2">
        <f>IFERROR(__xludf.DUMMYFUNCTION("""COMPUTED_VALUE"""),3557734.0)</f>
        <v>3557734</v>
      </c>
    </row>
    <row r="11005">
      <c r="A11005" s="3">
        <f>IFERROR(__xludf.DUMMYFUNCTION("""COMPUTED_VALUE"""),45161.66666666667)</f>
        <v>45161.66667</v>
      </c>
      <c r="B11005" s="2">
        <f>IFERROR(__xludf.DUMMYFUNCTION("""COMPUTED_VALUE"""),141.72)</f>
        <v>141.72</v>
      </c>
      <c r="C11005" s="2">
        <f>IFERROR(__xludf.DUMMYFUNCTION("""COMPUTED_VALUE"""),143.48)</f>
        <v>143.48</v>
      </c>
      <c r="D11005" s="2">
        <f>IFERROR(__xludf.DUMMYFUNCTION("""COMPUTED_VALUE"""),141.58)</f>
        <v>141.58</v>
      </c>
      <c r="E11005" s="2">
        <f>IFERROR(__xludf.DUMMYFUNCTION("""COMPUTED_VALUE"""),143.41)</f>
        <v>143.41</v>
      </c>
      <c r="F11005" s="2">
        <f>IFERROR(__xludf.DUMMYFUNCTION("""COMPUTED_VALUE"""),2559083.0)</f>
        <v>2559083</v>
      </c>
    </row>
    <row r="11006">
      <c r="A11006" s="3">
        <f>IFERROR(__xludf.DUMMYFUNCTION("""COMPUTED_VALUE"""),45162.66666666667)</f>
        <v>45162.66667</v>
      </c>
      <c r="B11006" s="2">
        <f>IFERROR(__xludf.DUMMYFUNCTION("""COMPUTED_VALUE"""),143.51)</f>
        <v>143.51</v>
      </c>
      <c r="C11006" s="2">
        <f>IFERROR(__xludf.DUMMYFUNCTION("""COMPUTED_VALUE"""),144.47)</f>
        <v>144.47</v>
      </c>
      <c r="D11006" s="2">
        <f>IFERROR(__xludf.DUMMYFUNCTION("""COMPUTED_VALUE"""),143.22)</f>
        <v>143.22</v>
      </c>
      <c r="E11006" s="2">
        <f>IFERROR(__xludf.DUMMYFUNCTION("""COMPUTED_VALUE"""),143.55)</f>
        <v>143.55</v>
      </c>
      <c r="F11006" s="2">
        <f>IFERROR(__xludf.DUMMYFUNCTION("""COMPUTED_VALUE"""),2900244.0)</f>
        <v>2900244</v>
      </c>
    </row>
    <row r="11007">
      <c r="A11007" s="3">
        <f>IFERROR(__xludf.DUMMYFUNCTION("""COMPUTED_VALUE"""),45163.66666666667)</f>
        <v>45163.66667</v>
      </c>
      <c r="B11007" s="2">
        <f>IFERROR(__xludf.DUMMYFUNCTION("""COMPUTED_VALUE"""),144.18)</f>
        <v>144.18</v>
      </c>
      <c r="C11007" s="2">
        <f>IFERROR(__xludf.DUMMYFUNCTION("""COMPUTED_VALUE"""),145.47)</f>
        <v>145.47</v>
      </c>
      <c r="D11007" s="2">
        <f>IFERROR(__xludf.DUMMYFUNCTION("""COMPUTED_VALUE"""),143.5)</f>
        <v>143.5</v>
      </c>
      <c r="E11007" s="2">
        <f>IFERROR(__xludf.DUMMYFUNCTION("""COMPUTED_VALUE"""),145.35)</f>
        <v>145.35</v>
      </c>
      <c r="F11007" s="2">
        <f>IFERROR(__xludf.DUMMYFUNCTION("""COMPUTED_VALUE"""),3660147.0)</f>
        <v>3660147</v>
      </c>
    </row>
    <row r="11008">
      <c r="A11008" s="3">
        <f>IFERROR(__xludf.DUMMYFUNCTION("""COMPUTED_VALUE"""),45166.66666666667)</f>
        <v>45166.66667</v>
      </c>
      <c r="B11008" s="2">
        <f>IFERROR(__xludf.DUMMYFUNCTION("""COMPUTED_VALUE"""),145.41)</f>
        <v>145.41</v>
      </c>
      <c r="C11008" s="2">
        <f>IFERROR(__xludf.DUMMYFUNCTION("""COMPUTED_VALUE"""),146.74)</f>
        <v>146.74</v>
      </c>
      <c r="D11008" s="2">
        <f>IFERROR(__xludf.DUMMYFUNCTION("""COMPUTED_VALUE"""),145.21)</f>
        <v>145.21</v>
      </c>
      <c r="E11008" s="2">
        <f>IFERROR(__xludf.DUMMYFUNCTION("""COMPUTED_VALUE"""),146.02)</f>
        <v>146.02</v>
      </c>
      <c r="F11008" s="2">
        <f>IFERROR(__xludf.DUMMYFUNCTION("""COMPUTED_VALUE"""),3561347.0)</f>
        <v>3561347</v>
      </c>
    </row>
    <row r="11009">
      <c r="A11009" s="3">
        <f>IFERROR(__xludf.DUMMYFUNCTION("""COMPUTED_VALUE"""),45167.66666666667)</f>
        <v>45167.66667</v>
      </c>
      <c r="B11009" s="2">
        <f>IFERROR(__xludf.DUMMYFUNCTION("""COMPUTED_VALUE"""),146.3)</f>
        <v>146.3</v>
      </c>
      <c r="C11009" s="2">
        <f>IFERROR(__xludf.DUMMYFUNCTION("""COMPUTED_VALUE"""),146.73)</f>
        <v>146.73</v>
      </c>
      <c r="D11009" s="2">
        <f>IFERROR(__xludf.DUMMYFUNCTION("""COMPUTED_VALUE"""),145.62)</f>
        <v>145.62</v>
      </c>
      <c r="E11009" s="2">
        <f>IFERROR(__xludf.DUMMYFUNCTION("""COMPUTED_VALUE"""),146.45)</f>
        <v>146.45</v>
      </c>
      <c r="F11009" s="2">
        <f>IFERROR(__xludf.DUMMYFUNCTION("""COMPUTED_VALUE"""),2778113.0)</f>
        <v>2778113</v>
      </c>
    </row>
    <row r="11010">
      <c r="A11010" s="3">
        <f>IFERROR(__xludf.DUMMYFUNCTION("""COMPUTED_VALUE"""),45168.66666666667)</f>
        <v>45168.66667</v>
      </c>
      <c r="B11010" s="2">
        <f>IFERROR(__xludf.DUMMYFUNCTION("""COMPUTED_VALUE"""),146.42)</f>
        <v>146.42</v>
      </c>
      <c r="C11010" s="2">
        <f>IFERROR(__xludf.DUMMYFUNCTION("""COMPUTED_VALUE"""),146.92)</f>
        <v>146.92</v>
      </c>
      <c r="D11010" s="2">
        <f>IFERROR(__xludf.DUMMYFUNCTION("""COMPUTED_VALUE"""),145.75)</f>
        <v>145.75</v>
      </c>
      <c r="E11010" s="2">
        <f>IFERROR(__xludf.DUMMYFUNCTION("""COMPUTED_VALUE"""),146.86)</f>
        <v>146.86</v>
      </c>
      <c r="F11010" s="2">
        <f>IFERROR(__xludf.DUMMYFUNCTION("""COMPUTED_VALUE"""),2245402.0)</f>
        <v>2245402</v>
      </c>
    </row>
    <row r="11011">
      <c r="A11011" s="3">
        <f>IFERROR(__xludf.DUMMYFUNCTION("""COMPUTED_VALUE"""),45169.66666666667)</f>
        <v>45169.66667</v>
      </c>
      <c r="B11011" s="2">
        <f>IFERROR(__xludf.DUMMYFUNCTION("""COMPUTED_VALUE"""),146.94)</f>
        <v>146.94</v>
      </c>
      <c r="C11011" s="2">
        <f>IFERROR(__xludf.DUMMYFUNCTION("""COMPUTED_VALUE"""),147.73)</f>
        <v>147.73</v>
      </c>
      <c r="D11011" s="2">
        <f>IFERROR(__xludf.DUMMYFUNCTION("""COMPUTED_VALUE"""),146.54)</f>
        <v>146.54</v>
      </c>
      <c r="E11011" s="2">
        <f>IFERROR(__xludf.DUMMYFUNCTION("""COMPUTED_VALUE"""),146.83)</f>
        <v>146.83</v>
      </c>
      <c r="F11011" s="2">
        <f>IFERROR(__xludf.DUMMYFUNCTION("""COMPUTED_VALUE"""),3885949.0)</f>
        <v>3885949</v>
      </c>
    </row>
    <row r="11012">
      <c r="A11012" s="3">
        <f>IFERROR(__xludf.DUMMYFUNCTION("""COMPUTED_VALUE"""),45170.66666666667)</f>
        <v>45170.66667</v>
      </c>
      <c r="B11012" s="2">
        <f>IFERROR(__xludf.DUMMYFUNCTION("""COMPUTED_VALUE"""),147.26)</f>
        <v>147.26</v>
      </c>
      <c r="C11012" s="2">
        <f>IFERROR(__xludf.DUMMYFUNCTION("""COMPUTED_VALUE"""),148.1)</f>
        <v>148.1</v>
      </c>
      <c r="D11012" s="2">
        <f>IFERROR(__xludf.DUMMYFUNCTION("""COMPUTED_VALUE"""),146.92)</f>
        <v>146.92</v>
      </c>
      <c r="E11012" s="2">
        <f>IFERROR(__xludf.DUMMYFUNCTION("""COMPUTED_VALUE"""),147.94)</f>
        <v>147.94</v>
      </c>
      <c r="F11012" s="2">
        <f>IFERROR(__xludf.DUMMYFUNCTION("""COMPUTED_VALUE"""),2727796.0)</f>
        <v>2727796</v>
      </c>
    </row>
    <row r="11013">
      <c r="A11013" s="3">
        <f>IFERROR(__xludf.DUMMYFUNCTION("""COMPUTED_VALUE"""),45174.66666666667)</f>
        <v>45174.66667</v>
      </c>
      <c r="B11013" s="2">
        <f>IFERROR(__xludf.DUMMYFUNCTION("""COMPUTED_VALUE"""),147.91)</f>
        <v>147.91</v>
      </c>
      <c r="C11013" s="2">
        <f>IFERROR(__xludf.DUMMYFUNCTION("""COMPUTED_VALUE"""),149.0)</f>
        <v>149</v>
      </c>
      <c r="D11013" s="2">
        <f>IFERROR(__xludf.DUMMYFUNCTION("""COMPUTED_VALUE"""),147.57)</f>
        <v>147.57</v>
      </c>
      <c r="E11013" s="2">
        <f>IFERROR(__xludf.DUMMYFUNCTION("""COMPUTED_VALUE"""),148.13)</f>
        <v>148.13</v>
      </c>
      <c r="F11013" s="2">
        <f>IFERROR(__xludf.DUMMYFUNCTION("""COMPUTED_VALUE"""),3731281.0)</f>
        <v>3731281</v>
      </c>
    </row>
    <row r="11014">
      <c r="A11014" s="3">
        <f>IFERROR(__xludf.DUMMYFUNCTION("""COMPUTED_VALUE"""),45175.66666666667)</f>
        <v>45175.66667</v>
      </c>
      <c r="B11014" s="2">
        <f>IFERROR(__xludf.DUMMYFUNCTION("""COMPUTED_VALUE"""),147.66)</f>
        <v>147.66</v>
      </c>
      <c r="C11014" s="2">
        <f>IFERROR(__xludf.DUMMYFUNCTION("""COMPUTED_VALUE"""),148.33)</f>
        <v>148.33</v>
      </c>
      <c r="D11014" s="2">
        <f>IFERROR(__xludf.DUMMYFUNCTION("""COMPUTED_VALUE"""),147.12)</f>
        <v>147.12</v>
      </c>
      <c r="E11014" s="2">
        <f>IFERROR(__xludf.DUMMYFUNCTION("""COMPUTED_VALUE"""),148.06)</f>
        <v>148.06</v>
      </c>
      <c r="F11014" s="2">
        <f>IFERROR(__xludf.DUMMYFUNCTION("""COMPUTED_VALUE"""),2932203.0)</f>
        <v>2932203</v>
      </c>
    </row>
    <row r="11015">
      <c r="A11015" s="3">
        <f>IFERROR(__xludf.DUMMYFUNCTION("""COMPUTED_VALUE"""),45176.66666666667)</f>
        <v>45176.66667</v>
      </c>
      <c r="B11015" s="2">
        <f>IFERROR(__xludf.DUMMYFUNCTION("""COMPUTED_VALUE"""),148.13)</f>
        <v>148.13</v>
      </c>
      <c r="C11015" s="2">
        <f>IFERROR(__xludf.DUMMYFUNCTION("""COMPUTED_VALUE"""),148.78)</f>
        <v>148.78</v>
      </c>
      <c r="D11015" s="2">
        <f>IFERROR(__xludf.DUMMYFUNCTION("""COMPUTED_VALUE"""),147.4)</f>
        <v>147.4</v>
      </c>
      <c r="E11015" s="2">
        <f>IFERROR(__xludf.DUMMYFUNCTION("""COMPUTED_VALUE"""),147.52)</f>
        <v>147.52</v>
      </c>
      <c r="F11015" s="2">
        <f>IFERROR(__xludf.DUMMYFUNCTION("""COMPUTED_VALUE"""),3333040.0)</f>
        <v>3333040</v>
      </c>
    </row>
    <row r="11016">
      <c r="A11016" s="3">
        <f>IFERROR(__xludf.DUMMYFUNCTION("""COMPUTED_VALUE"""),45177.66666666667)</f>
        <v>45177.66667</v>
      </c>
      <c r="B11016" s="2">
        <f>IFERROR(__xludf.DUMMYFUNCTION("""COMPUTED_VALUE"""),147.35)</f>
        <v>147.35</v>
      </c>
      <c r="C11016" s="2">
        <f>IFERROR(__xludf.DUMMYFUNCTION("""COMPUTED_VALUE"""),148.59)</f>
        <v>148.59</v>
      </c>
      <c r="D11016" s="2">
        <f>IFERROR(__xludf.DUMMYFUNCTION("""COMPUTED_VALUE"""),147.26)</f>
        <v>147.26</v>
      </c>
      <c r="E11016" s="2">
        <f>IFERROR(__xludf.DUMMYFUNCTION("""COMPUTED_VALUE"""),147.68)</f>
        <v>147.68</v>
      </c>
      <c r="F11016" s="2">
        <f>IFERROR(__xludf.DUMMYFUNCTION("""COMPUTED_VALUE"""),3722927.0)</f>
        <v>3722927</v>
      </c>
    </row>
    <row r="11017">
      <c r="A11017" s="3">
        <f>IFERROR(__xludf.DUMMYFUNCTION("""COMPUTED_VALUE"""),45180.66666666667)</f>
        <v>45180.66667</v>
      </c>
      <c r="B11017" s="2">
        <f>IFERROR(__xludf.DUMMYFUNCTION("""COMPUTED_VALUE"""),148.57)</f>
        <v>148.57</v>
      </c>
      <c r="C11017" s="2">
        <f>IFERROR(__xludf.DUMMYFUNCTION("""COMPUTED_VALUE"""),148.78)</f>
        <v>148.78</v>
      </c>
      <c r="D11017" s="2">
        <f>IFERROR(__xludf.DUMMYFUNCTION("""COMPUTED_VALUE"""),147.58)</f>
        <v>147.58</v>
      </c>
      <c r="E11017" s="2">
        <f>IFERROR(__xludf.DUMMYFUNCTION("""COMPUTED_VALUE"""),148.38)</f>
        <v>148.38</v>
      </c>
      <c r="F11017" s="2">
        <f>IFERROR(__xludf.DUMMYFUNCTION("""COMPUTED_VALUE"""),3273720.0)</f>
        <v>3273720</v>
      </c>
    </row>
    <row r="11018">
      <c r="A11018" s="3">
        <f>IFERROR(__xludf.DUMMYFUNCTION("""COMPUTED_VALUE"""),45181.66666666667)</f>
        <v>45181.66667</v>
      </c>
      <c r="B11018" s="2">
        <f>IFERROR(__xludf.DUMMYFUNCTION("""COMPUTED_VALUE"""),147.92)</f>
        <v>147.92</v>
      </c>
      <c r="C11018" s="2">
        <f>IFERROR(__xludf.DUMMYFUNCTION("""COMPUTED_VALUE"""),148.0)</f>
        <v>148</v>
      </c>
      <c r="D11018" s="2">
        <f>IFERROR(__xludf.DUMMYFUNCTION("""COMPUTED_VALUE"""),145.8)</f>
        <v>145.8</v>
      </c>
      <c r="E11018" s="2">
        <f>IFERROR(__xludf.DUMMYFUNCTION("""COMPUTED_VALUE"""),146.3)</f>
        <v>146.3</v>
      </c>
      <c r="F11018" s="2">
        <f>IFERROR(__xludf.DUMMYFUNCTION("""COMPUTED_VALUE"""),4457695.0)</f>
        <v>4457695</v>
      </c>
    </row>
    <row r="11019">
      <c r="A11019" s="3">
        <f>IFERROR(__xludf.DUMMYFUNCTION("""COMPUTED_VALUE"""),45182.66666666667)</f>
        <v>45182.66667</v>
      </c>
      <c r="B11019" s="2">
        <f>IFERROR(__xludf.DUMMYFUNCTION("""COMPUTED_VALUE"""),145.95)</f>
        <v>145.95</v>
      </c>
      <c r="C11019" s="2">
        <f>IFERROR(__xludf.DUMMYFUNCTION("""COMPUTED_VALUE"""),146.98)</f>
        <v>146.98</v>
      </c>
      <c r="D11019" s="2">
        <f>IFERROR(__xludf.DUMMYFUNCTION("""COMPUTED_VALUE"""),145.92)</f>
        <v>145.92</v>
      </c>
      <c r="E11019" s="2">
        <f>IFERROR(__xludf.DUMMYFUNCTION("""COMPUTED_VALUE"""),146.55)</f>
        <v>146.55</v>
      </c>
      <c r="F11019" s="2">
        <f>IFERROR(__xludf.DUMMYFUNCTION("""COMPUTED_VALUE"""),2627999.0)</f>
        <v>2627999</v>
      </c>
    </row>
    <row r="11020">
      <c r="A11020" s="3">
        <f>IFERROR(__xludf.DUMMYFUNCTION("""COMPUTED_VALUE"""),45183.66666666667)</f>
        <v>45183.66667</v>
      </c>
      <c r="B11020" s="2">
        <f>IFERROR(__xludf.DUMMYFUNCTION("""COMPUTED_VALUE"""),147.38)</f>
        <v>147.38</v>
      </c>
      <c r="C11020" s="2">
        <f>IFERROR(__xludf.DUMMYFUNCTION("""COMPUTED_VALUE"""),147.73)</f>
        <v>147.73</v>
      </c>
      <c r="D11020" s="2">
        <f>IFERROR(__xludf.DUMMYFUNCTION("""COMPUTED_VALUE"""),146.48)</f>
        <v>146.48</v>
      </c>
      <c r="E11020" s="2">
        <f>IFERROR(__xludf.DUMMYFUNCTION("""COMPUTED_VALUE"""),147.35)</f>
        <v>147.35</v>
      </c>
      <c r="F11020" s="2">
        <f>IFERROR(__xludf.DUMMYFUNCTION("""COMPUTED_VALUE"""),2723200.0)</f>
        <v>2723200</v>
      </c>
    </row>
    <row r="11021">
      <c r="A11021" s="3">
        <f>IFERROR(__xludf.DUMMYFUNCTION("""COMPUTED_VALUE"""),45184.66666666667)</f>
        <v>45184.66667</v>
      </c>
      <c r="B11021" s="2">
        <f>IFERROR(__xludf.DUMMYFUNCTION("""COMPUTED_VALUE"""),147.11)</f>
        <v>147.11</v>
      </c>
      <c r="C11021" s="2">
        <f>IFERROR(__xludf.DUMMYFUNCTION("""COMPUTED_VALUE"""),147.85)</f>
        <v>147.85</v>
      </c>
      <c r="D11021" s="2">
        <f>IFERROR(__xludf.DUMMYFUNCTION("""COMPUTED_VALUE"""),145.53)</f>
        <v>145.53</v>
      </c>
      <c r="E11021" s="2">
        <f>IFERROR(__xludf.DUMMYFUNCTION("""COMPUTED_VALUE"""),145.99)</f>
        <v>145.99</v>
      </c>
      <c r="F11021" s="2">
        <f>IFERROR(__xludf.DUMMYFUNCTION("""COMPUTED_VALUE"""),6234033.0)</f>
        <v>6234033</v>
      </c>
    </row>
    <row r="11022">
      <c r="A11022" s="3">
        <f>IFERROR(__xludf.DUMMYFUNCTION("""COMPUTED_VALUE"""),45187.66666666667)</f>
        <v>45187.66667</v>
      </c>
      <c r="B11022" s="2">
        <f>IFERROR(__xludf.DUMMYFUNCTION("""COMPUTED_VALUE"""),145.77)</f>
        <v>145.77</v>
      </c>
      <c r="C11022" s="2">
        <f>IFERROR(__xludf.DUMMYFUNCTION("""COMPUTED_VALUE"""),146.48)</f>
        <v>146.48</v>
      </c>
      <c r="D11022" s="2">
        <f>IFERROR(__xludf.DUMMYFUNCTION("""COMPUTED_VALUE"""),145.06)</f>
        <v>145.06</v>
      </c>
      <c r="E11022" s="2">
        <f>IFERROR(__xludf.DUMMYFUNCTION("""COMPUTED_VALUE"""),145.09)</f>
        <v>145.09</v>
      </c>
      <c r="F11022" s="2">
        <f>IFERROR(__xludf.DUMMYFUNCTION("""COMPUTED_VALUE"""),2508062.0)</f>
        <v>2508062</v>
      </c>
    </row>
    <row r="11023">
      <c r="A11023" s="3">
        <f>IFERROR(__xludf.DUMMYFUNCTION("""COMPUTED_VALUE"""),45188.66666666667)</f>
        <v>45188.66667</v>
      </c>
      <c r="B11023" s="2">
        <f>IFERROR(__xludf.DUMMYFUNCTION("""COMPUTED_VALUE"""),145.0)</f>
        <v>145</v>
      </c>
      <c r="C11023" s="2">
        <f>IFERROR(__xludf.DUMMYFUNCTION("""COMPUTED_VALUE"""),146.72)</f>
        <v>146.72</v>
      </c>
      <c r="D11023" s="2">
        <f>IFERROR(__xludf.DUMMYFUNCTION("""COMPUTED_VALUE"""),144.66)</f>
        <v>144.66</v>
      </c>
      <c r="E11023" s="2">
        <f>IFERROR(__xludf.DUMMYFUNCTION("""COMPUTED_VALUE"""),146.52)</f>
        <v>146.52</v>
      </c>
      <c r="F11023" s="2">
        <f>IFERROR(__xludf.DUMMYFUNCTION("""COMPUTED_VALUE"""),3945423.0)</f>
        <v>3945423</v>
      </c>
    </row>
    <row r="11024">
      <c r="A11024" s="3">
        <f>IFERROR(__xludf.DUMMYFUNCTION("""COMPUTED_VALUE"""),45189.66666666667)</f>
        <v>45189.66667</v>
      </c>
      <c r="B11024" s="2">
        <f>IFERROR(__xludf.DUMMYFUNCTION("""COMPUTED_VALUE"""),148.36)</f>
        <v>148.36</v>
      </c>
      <c r="C11024" s="2">
        <f>IFERROR(__xludf.DUMMYFUNCTION("""COMPUTED_VALUE"""),151.93)</f>
        <v>151.93</v>
      </c>
      <c r="D11024" s="2">
        <f>IFERROR(__xludf.DUMMYFUNCTION("""COMPUTED_VALUE"""),148.13)</f>
        <v>148.13</v>
      </c>
      <c r="E11024" s="2">
        <f>IFERROR(__xludf.DUMMYFUNCTION("""COMPUTED_VALUE"""),149.83)</f>
        <v>149.83</v>
      </c>
      <c r="F11024" s="2">
        <f>IFERROR(__xludf.DUMMYFUNCTION("""COMPUTED_VALUE"""),9636681.0)</f>
        <v>9636681</v>
      </c>
    </row>
    <row r="11025">
      <c r="A11025" s="3">
        <f>IFERROR(__xludf.DUMMYFUNCTION("""COMPUTED_VALUE"""),45190.66666666667)</f>
        <v>45190.66667</v>
      </c>
      <c r="B11025" s="2">
        <f>IFERROR(__xludf.DUMMYFUNCTION("""COMPUTED_VALUE"""),149.0)</f>
        <v>149</v>
      </c>
      <c r="C11025" s="2">
        <f>IFERROR(__xludf.DUMMYFUNCTION("""COMPUTED_VALUE"""),149.25)</f>
        <v>149.25</v>
      </c>
      <c r="D11025" s="2">
        <f>IFERROR(__xludf.DUMMYFUNCTION("""COMPUTED_VALUE"""),147.31)</f>
        <v>147.31</v>
      </c>
      <c r="E11025" s="2">
        <f>IFERROR(__xludf.DUMMYFUNCTION("""COMPUTED_VALUE"""),147.38)</f>
        <v>147.38</v>
      </c>
      <c r="F11025" s="2">
        <f>IFERROR(__xludf.DUMMYFUNCTION("""COMPUTED_VALUE"""),4944786.0)</f>
        <v>4944786</v>
      </c>
    </row>
    <row r="11026">
      <c r="A11026" s="3">
        <f>IFERROR(__xludf.DUMMYFUNCTION("""COMPUTED_VALUE"""),45191.66666666667)</f>
        <v>45191.66667</v>
      </c>
      <c r="B11026" s="2">
        <f>IFERROR(__xludf.DUMMYFUNCTION("""COMPUTED_VALUE"""),147.41)</f>
        <v>147.41</v>
      </c>
      <c r="C11026" s="2">
        <f>IFERROR(__xludf.DUMMYFUNCTION("""COMPUTED_VALUE"""),148.1)</f>
        <v>148.1</v>
      </c>
      <c r="D11026" s="2">
        <f>IFERROR(__xludf.DUMMYFUNCTION("""COMPUTED_VALUE"""),146.82)</f>
        <v>146.82</v>
      </c>
      <c r="E11026" s="2">
        <f>IFERROR(__xludf.DUMMYFUNCTION("""COMPUTED_VALUE"""),146.91)</f>
        <v>146.91</v>
      </c>
      <c r="F11026" s="2">
        <f>IFERROR(__xludf.DUMMYFUNCTION("""COMPUTED_VALUE"""),2562216.0)</f>
        <v>2562216</v>
      </c>
    </row>
    <row r="11027">
      <c r="A11027" s="3">
        <f>IFERROR(__xludf.DUMMYFUNCTION("""COMPUTED_VALUE"""),45194.66666666667)</f>
        <v>45194.66667</v>
      </c>
      <c r="B11027" s="2">
        <f>IFERROR(__xludf.DUMMYFUNCTION("""COMPUTED_VALUE"""),146.57)</f>
        <v>146.57</v>
      </c>
      <c r="C11027" s="2">
        <f>IFERROR(__xludf.DUMMYFUNCTION("""COMPUTED_VALUE"""),147.43)</f>
        <v>147.43</v>
      </c>
      <c r="D11027" s="2">
        <f>IFERROR(__xludf.DUMMYFUNCTION("""COMPUTED_VALUE"""),146.25)</f>
        <v>146.25</v>
      </c>
      <c r="E11027" s="2">
        <f>IFERROR(__xludf.DUMMYFUNCTION("""COMPUTED_VALUE"""),146.48)</f>
        <v>146.48</v>
      </c>
      <c r="F11027" s="2">
        <f>IFERROR(__xludf.DUMMYFUNCTION("""COMPUTED_VALUE"""),2694245.0)</f>
        <v>2694245</v>
      </c>
    </row>
    <row r="11028">
      <c r="A11028" s="3">
        <f>IFERROR(__xludf.DUMMYFUNCTION("""COMPUTED_VALUE"""),45195.66666666667)</f>
        <v>45195.66667</v>
      </c>
      <c r="B11028" s="2">
        <f>IFERROR(__xludf.DUMMYFUNCTION("""COMPUTED_VALUE"""),145.51)</f>
        <v>145.51</v>
      </c>
      <c r="C11028" s="2">
        <f>IFERROR(__xludf.DUMMYFUNCTION("""COMPUTED_VALUE"""),146.17)</f>
        <v>146.17</v>
      </c>
      <c r="D11028" s="2">
        <f>IFERROR(__xludf.DUMMYFUNCTION("""COMPUTED_VALUE"""),143.02)</f>
        <v>143.02</v>
      </c>
      <c r="E11028" s="2">
        <f>IFERROR(__xludf.DUMMYFUNCTION("""COMPUTED_VALUE"""),143.24)</f>
        <v>143.24</v>
      </c>
      <c r="F11028" s="2">
        <f>IFERROR(__xludf.DUMMYFUNCTION("""COMPUTED_VALUE"""),4824654.0)</f>
        <v>4824654</v>
      </c>
    </row>
    <row r="11029">
      <c r="A11029" s="3">
        <f>IFERROR(__xludf.DUMMYFUNCTION("""COMPUTED_VALUE"""),45196.66666666667)</f>
        <v>45196.66667</v>
      </c>
      <c r="B11029" s="2">
        <f>IFERROR(__xludf.DUMMYFUNCTION("""COMPUTED_VALUE"""),143.67)</f>
        <v>143.67</v>
      </c>
      <c r="C11029" s="2">
        <f>IFERROR(__xludf.DUMMYFUNCTION("""COMPUTED_VALUE"""),143.82)</f>
        <v>143.82</v>
      </c>
      <c r="D11029" s="2">
        <f>IFERROR(__xludf.DUMMYFUNCTION("""COMPUTED_VALUE"""),141.76)</f>
        <v>141.76</v>
      </c>
      <c r="E11029" s="2">
        <f>IFERROR(__xludf.DUMMYFUNCTION("""COMPUTED_VALUE"""),143.17)</f>
        <v>143.17</v>
      </c>
      <c r="F11029" s="2">
        <f>IFERROR(__xludf.DUMMYFUNCTION("""COMPUTED_VALUE"""),4439121.0)</f>
        <v>4439121</v>
      </c>
    </row>
    <row r="11030">
      <c r="A11030" s="3">
        <f>IFERROR(__xludf.DUMMYFUNCTION("""COMPUTED_VALUE"""),45197.66666666667)</f>
        <v>45197.66667</v>
      </c>
      <c r="B11030" s="2">
        <f>IFERROR(__xludf.DUMMYFUNCTION("""COMPUTED_VALUE"""),142.14)</f>
        <v>142.14</v>
      </c>
      <c r="C11030" s="2">
        <f>IFERROR(__xludf.DUMMYFUNCTION("""COMPUTED_VALUE"""),142.28)</f>
        <v>142.28</v>
      </c>
      <c r="D11030" s="2">
        <f>IFERROR(__xludf.DUMMYFUNCTION("""COMPUTED_VALUE"""),140.21)</f>
        <v>140.21</v>
      </c>
      <c r="E11030" s="2">
        <f>IFERROR(__xludf.DUMMYFUNCTION("""COMPUTED_VALUE"""),141.58)</f>
        <v>141.58</v>
      </c>
      <c r="F11030" s="2">
        <f>IFERROR(__xludf.DUMMYFUNCTION("""COMPUTED_VALUE"""),5783422.0)</f>
        <v>5783422</v>
      </c>
    </row>
    <row r="11031">
      <c r="A11031" s="3">
        <f>IFERROR(__xludf.DUMMYFUNCTION("""COMPUTED_VALUE"""),45198.66666666667)</f>
        <v>45198.66667</v>
      </c>
      <c r="B11031" s="2">
        <f>IFERROR(__xludf.DUMMYFUNCTION("""COMPUTED_VALUE"""),142.0)</f>
        <v>142</v>
      </c>
      <c r="C11031" s="2">
        <f>IFERROR(__xludf.DUMMYFUNCTION("""COMPUTED_VALUE"""),142.13)</f>
        <v>142.13</v>
      </c>
      <c r="D11031" s="2">
        <f>IFERROR(__xludf.DUMMYFUNCTION("""COMPUTED_VALUE"""),139.61)</f>
        <v>139.61</v>
      </c>
      <c r="E11031" s="2">
        <f>IFERROR(__xludf.DUMMYFUNCTION("""COMPUTED_VALUE"""),140.3)</f>
        <v>140.3</v>
      </c>
      <c r="F11031" s="2">
        <f>IFERROR(__xludf.DUMMYFUNCTION("""COMPUTED_VALUE"""),5703983.0)</f>
        <v>5703983</v>
      </c>
    </row>
    <row r="11032">
      <c r="A11032" s="3">
        <f>IFERROR(__xludf.DUMMYFUNCTION("""COMPUTED_VALUE"""),45201.66666666667)</f>
        <v>45201.66667</v>
      </c>
      <c r="B11032" s="2">
        <f>IFERROR(__xludf.DUMMYFUNCTION("""COMPUTED_VALUE"""),140.04)</f>
        <v>140.04</v>
      </c>
      <c r="C11032" s="2">
        <f>IFERROR(__xludf.DUMMYFUNCTION("""COMPUTED_VALUE"""),141.45)</f>
        <v>141.45</v>
      </c>
      <c r="D11032" s="2">
        <f>IFERROR(__xludf.DUMMYFUNCTION("""COMPUTED_VALUE"""),139.86)</f>
        <v>139.86</v>
      </c>
      <c r="E11032" s="2">
        <f>IFERROR(__xludf.DUMMYFUNCTION("""COMPUTED_VALUE"""),140.8)</f>
        <v>140.8</v>
      </c>
      <c r="F11032" s="2">
        <f>IFERROR(__xludf.DUMMYFUNCTION("""COMPUTED_VALUE"""),3275461.0)</f>
        <v>3275461</v>
      </c>
    </row>
    <row r="11033">
      <c r="A11033" s="3">
        <f>IFERROR(__xludf.DUMMYFUNCTION("""COMPUTED_VALUE"""),45202.66666666667)</f>
        <v>45202.66667</v>
      </c>
      <c r="B11033" s="2">
        <f>IFERROR(__xludf.DUMMYFUNCTION("""COMPUTED_VALUE"""),140.87)</f>
        <v>140.87</v>
      </c>
      <c r="C11033" s="2">
        <f>IFERROR(__xludf.DUMMYFUNCTION("""COMPUTED_VALUE"""),141.64)</f>
        <v>141.64</v>
      </c>
      <c r="D11033" s="2">
        <f>IFERROR(__xludf.DUMMYFUNCTION("""COMPUTED_VALUE"""),140.0)</f>
        <v>140</v>
      </c>
      <c r="E11033" s="2">
        <f>IFERROR(__xludf.DUMMYFUNCTION("""COMPUTED_VALUE"""),140.39)</f>
        <v>140.39</v>
      </c>
      <c r="F11033" s="2">
        <f>IFERROR(__xludf.DUMMYFUNCTION("""COMPUTED_VALUE"""),3284421.0)</f>
        <v>3284421</v>
      </c>
    </row>
    <row r="11034">
      <c r="A11034" s="3">
        <f>IFERROR(__xludf.DUMMYFUNCTION("""COMPUTED_VALUE"""),45203.66666666667)</f>
        <v>45203.66667</v>
      </c>
      <c r="B11034" s="2">
        <f>IFERROR(__xludf.DUMMYFUNCTION("""COMPUTED_VALUE"""),140.37)</f>
        <v>140.37</v>
      </c>
      <c r="C11034" s="2">
        <f>IFERROR(__xludf.DUMMYFUNCTION("""COMPUTED_VALUE"""),141.2)</f>
        <v>141.2</v>
      </c>
      <c r="D11034" s="2">
        <f>IFERROR(__xludf.DUMMYFUNCTION("""COMPUTED_VALUE"""),139.99)</f>
        <v>139.99</v>
      </c>
      <c r="E11034" s="2">
        <f>IFERROR(__xludf.DUMMYFUNCTION("""COMPUTED_VALUE"""),141.07)</f>
        <v>141.07</v>
      </c>
      <c r="F11034" s="2">
        <f>IFERROR(__xludf.DUMMYFUNCTION("""COMPUTED_VALUE"""),2637779.0)</f>
        <v>2637779</v>
      </c>
    </row>
    <row r="11035">
      <c r="A11035" s="3">
        <f>IFERROR(__xludf.DUMMYFUNCTION("""COMPUTED_VALUE"""),45204.66666666667)</f>
        <v>45204.66667</v>
      </c>
      <c r="B11035" s="2">
        <f>IFERROR(__xludf.DUMMYFUNCTION("""COMPUTED_VALUE"""),140.9)</f>
        <v>140.9</v>
      </c>
      <c r="C11035" s="2">
        <f>IFERROR(__xludf.DUMMYFUNCTION("""COMPUTED_VALUE"""),141.7)</f>
        <v>141.7</v>
      </c>
      <c r="D11035" s="2">
        <f>IFERROR(__xludf.DUMMYFUNCTION("""COMPUTED_VALUE"""),140.19)</f>
        <v>140.19</v>
      </c>
      <c r="E11035" s="2">
        <f>IFERROR(__xludf.DUMMYFUNCTION("""COMPUTED_VALUE"""),141.52)</f>
        <v>141.52</v>
      </c>
      <c r="F11035" s="2">
        <f>IFERROR(__xludf.DUMMYFUNCTION("""COMPUTED_VALUE"""),3223910.0)</f>
        <v>3223910</v>
      </c>
    </row>
    <row r="11036">
      <c r="A11036" s="3">
        <f>IFERROR(__xludf.DUMMYFUNCTION("""COMPUTED_VALUE"""),45205.66666666667)</f>
        <v>45205.66667</v>
      </c>
      <c r="B11036" s="2">
        <f>IFERROR(__xludf.DUMMYFUNCTION("""COMPUTED_VALUE"""),141.4)</f>
        <v>141.4</v>
      </c>
      <c r="C11036" s="2">
        <f>IFERROR(__xludf.DUMMYFUNCTION("""COMPUTED_VALUE"""),142.94)</f>
        <v>142.94</v>
      </c>
      <c r="D11036" s="2">
        <f>IFERROR(__xludf.DUMMYFUNCTION("""COMPUTED_VALUE"""),140.11)</f>
        <v>140.11</v>
      </c>
      <c r="E11036" s="2">
        <f>IFERROR(__xludf.DUMMYFUNCTION("""COMPUTED_VALUE"""),142.03)</f>
        <v>142.03</v>
      </c>
      <c r="F11036" s="2">
        <f>IFERROR(__xludf.DUMMYFUNCTION("""COMPUTED_VALUE"""),3511347.0)</f>
        <v>3511347</v>
      </c>
    </row>
    <row r="11037">
      <c r="A11037" s="3">
        <f>IFERROR(__xludf.DUMMYFUNCTION("""COMPUTED_VALUE"""),45208.66666666667)</f>
        <v>45208.66667</v>
      </c>
      <c r="B11037" s="2">
        <f>IFERROR(__xludf.DUMMYFUNCTION("""COMPUTED_VALUE"""),142.3)</f>
        <v>142.3</v>
      </c>
      <c r="C11037" s="2">
        <f>IFERROR(__xludf.DUMMYFUNCTION("""COMPUTED_VALUE"""),142.4)</f>
        <v>142.4</v>
      </c>
      <c r="D11037" s="2">
        <f>IFERROR(__xludf.DUMMYFUNCTION("""COMPUTED_VALUE"""),140.68)</f>
        <v>140.68</v>
      </c>
      <c r="E11037" s="2">
        <f>IFERROR(__xludf.DUMMYFUNCTION("""COMPUTED_VALUE"""),142.2)</f>
        <v>142.2</v>
      </c>
      <c r="F11037" s="2">
        <f>IFERROR(__xludf.DUMMYFUNCTION("""COMPUTED_VALUE"""),2354396.0)</f>
        <v>2354396</v>
      </c>
    </row>
    <row r="11038">
      <c r="A11038" s="3">
        <f>IFERROR(__xludf.DUMMYFUNCTION("""COMPUTED_VALUE"""),45209.66666666667)</f>
        <v>45209.66667</v>
      </c>
      <c r="B11038" s="2">
        <f>IFERROR(__xludf.DUMMYFUNCTION("""COMPUTED_VALUE"""),142.6)</f>
        <v>142.6</v>
      </c>
      <c r="C11038" s="2">
        <f>IFERROR(__xludf.DUMMYFUNCTION("""COMPUTED_VALUE"""),143.42)</f>
        <v>143.42</v>
      </c>
      <c r="D11038" s="2">
        <f>IFERROR(__xludf.DUMMYFUNCTION("""COMPUTED_VALUE"""),141.72)</f>
        <v>141.72</v>
      </c>
      <c r="E11038" s="2">
        <f>IFERROR(__xludf.DUMMYFUNCTION("""COMPUTED_VALUE"""),142.11)</f>
        <v>142.11</v>
      </c>
      <c r="F11038" s="2">
        <f>IFERROR(__xludf.DUMMYFUNCTION("""COMPUTED_VALUE"""),3015784.0)</f>
        <v>3015784</v>
      </c>
    </row>
    <row r="11039">
      <c r="A11039" s="3">
        <f>IFERROR(__xludf.DUMMYFUNCTION("""COMPUTED_VALUE"""),45210.66666666667)</f>
        <v>45210.66667</v>
      </c>
      <c r="B11039" s="2">
        <f>IFERROR(__xludf.DUMMYFUNCTION("""COMPUTED_VALUE"""),142.51)</f>
        <v>142.51</v>
      </c>
      <c r="C11039" s="2">
        <f>IFERROR(__xludf.DUMMYFUNCTION("""COMPUTED_VALUE"""),143.34)</f>
        <v>143.34</v>
      </c>
      <c r="D11039" s="2">
        <f>IFERROR(__xludf.DUMMYFUNCTION("""COMPUTED_VALUE"""),142.14)</f>
        <v>142.14</v>
      </c>
      <c r="E11039" s="2">
        <f>IFERROR(__xludf.DUMMYFUNCTION("""COMPUTED_VALUE"""),143.23)</f>
        <v>143.23</v>
      </c>
      <c r="F11039" s="2">
        <f>IFERROR(__xludf.DUMMYFUNCTION("""COMPUTED_VALUE"""),2511459.0)</f>
        <v>2511459</v>
      </c>
    </row>
    <row r="11040">
      <c r="A11040" s="3">
        <f>IFERROR(__xludf.DUMMYFUNCTION("""COMPUTED_VALUE"""),45211.66666666667)</f>
        <v>45211.66667</v>
      </c>
      <c r="B11040" s="2">
        <f>IFERROR(__xludf.DUMMYFUNCTION("""COMPUTED_VALUE"""),142.51)</f>
        <v>142.51</v>
      </c>
      <c r="C11040" s="2">
        <f>IFERROR(__xludf.DUMMYFUNCTION("""COMPUTED_VALUE"""),142.93)</f>
        <v>142.93</v>
      </c>
      <c r="D11040" s="2">
        <f>IFERROR(__xludf.DUMMYFUNCTION("""COMPUTED_VALUE"""),140.95)</f>
        <v>140.95</v>
      </c>
      <c r="E11040" s="2">
        <f>IFERROR(__xludf.DUMMYFUNCTION("""COMPUTED_VALUE"""),141.24)</f>
        <v>141.24</v>
      </c>
      <c r="F11040" s="2">
        <f>IFERROR(__xludf.DUMMYFUNCTION("""COMPUTED_VALUE"""),3921142.0)</f>
        <v>3921142</v>
      </c>
    </row>
    <row r="11041">
      <c r="A11041" s="3">
        <f>IFERROR(__xludf.DUMMYFUNCTION("""COMPUTED_VALUE"""),45212.66666666667)</f>
        <v>45212.66667</v>
      </c>
      <c r="B11041" s="2">
        <f>IFERROR(__xludf.DUMMYFUNCTION("""COMPUTED_VALUE"""),139.77)</f>
        <v>139.77</v>
      </c>
      <c r="C11041" s="2">
        <f>IFERROR(__xludf.DUMMYFUNCTION("""COMPUTED_VALUE"""),140.12)</f>
        <v>140.12</v>
      </c>
      <c r="D11041" s="2">
        <f>IFERROR(__xludf.DUMMYFUNCTION("""COMPUTED_VALUE"""),138.27)</f>
        <v>138.27</v>
      </c>
      <c r="E11041" s="2">
        <f>IFERROR(__xludf.DUMMYFUNCTION("""COMPUTED_VALUE"""),138.46)</f>
        <v>138.46</v>
      </c>
      <c r="F11041" s="2">
        <f>IFERROR(__xludf.DUMMYFUNCTION("""COMPUTED_VALUE"""),4583553.0)</f>
        <v>4583553</v>
      </c>
    </row>
    <row r="11042">
      <c r="A11042" s="3">
        <f>IFERROR(__xludf.DUMMYFUNCTION("""COMPUTED_VALUE"""),45215.66666666667)</f>
        <v>45215.66667</v>
      </c>
      <c r="B11042" s="2">
        <f>IFERROR(__xludf.DUMMYFUNCTION("""COMPUTED_VALUE"""),139.28)</f>
        <v>139.28</v>
      </c>
      <c r="C11042" s="2">
        <f>IFERROR(__xludf.DUMMYFUNCTION("""COMPUTED_VALUE"""),139.78)</f>
        <v>139.78</v>
      </c>
      <c r="D11042" s="2">
        <f>IFERROR(__xludf.DUMMYFUNCTION("""COMPUTED_VALUE"""),138.52)</f>
        <v>138.52</v>
      </c>
      <c r="E11042" s="2">
        <f>IFERROR(__xludf.DUMMYFUNCTION("""COMPUTED_VALUE"""),139.21)</f>
        <v>139.21</v>
      </c>
      <c r="F11042" s="2">
        <f>IFERROR(__xludf.DUMMYFUNCTION("""COMPUTED_VALUE"""),3361468.0)</f>
        <v>3361468</v>
      </c>
    </row>
    <row r="11043">
      <c r="A11043" s="3">
        <f>IFERROR(__xludf.DUMMYFUNCTION("""COMPUTED_VALUE"""),45216.66666666667)</f>
        <v>45216.66667</v>
      </c>
      <c r="B11043" s="2">
        <f>IFERROR(__xludf.DUMMYFUNCTION("""COMPUTED_VALUE"""),137.12)</f>
        <v>137.12</v>
      </c>
      <c r="C11043" s="2">
        <f>IFERROR(__xludf.DUMMYFUNCTION("""COMPUTED_VALUE"""),140.62)</f>
        <v>140.62</v>
      </c>
      <c r="D11043" s="2">
        <f>IFERROR(__xludf.DUMMYFUNCTION("""COMPUTED_VALUE"""),136.31)</f>
        <v>136.31</v>
      </c>
      <c r="E11043" s="2">
        <f>IFERROR(__xludf.DUMMYFUNCTION("""COMPUTED_VALUE"""),140.32)</f>
        <v>140.32</v>
      </c>
      <c r="F11043" s="2">
        <f>IFERROR(__xludf.DUMMYFUNCTION("""COMPUTED_VALUE"""),4172822.0)</f>
        <v>4172822</v>
      </c>
    </row>
    <row r="11044">
      <c r="A11044" s="3">
        <f>IFERROR(__xludf.DUMMYFUNCTION("""COMPUTED_VALUE"""),45217.66666666667)</f>
        <v>45217.66667</v>
      </c>
      <c r="B11044" s="2">
        <f>IFERROR(__xludf.DUMMYFUNCTION("""COMPUTED_VALUE"""),140.0)</f>
        <v>140</v>
      </c>
      <c r="C11044" s="2">
        <f>IFERROR(__xludf.DUMMYFUNCTION("""COMPUTED_VALUE"""),140.43)</f>
        <v>140.43</v>
      </c>
      <c r="D11044" s="2">
        <f>IFERROR(__xludf.DUMMYFUNCTION("""COMPUTED_VALUE"""),139.58)</f>
        <v>139.58</v>
      </c>
      <c r="E11044" s="2">
        <f>IFERROR(__xludf.DUMMYFUNCTION("""COMPUTED_VALUE"""),139.97)</f>
        <v>139.97</v>
      </c>
      <c r="F11044" s="2">
        <f>IFERROR(__xludf.DUMMYFUNCTION("""COMPUTED_VALUE"""),3329985.0)</f>
        <v>3329985</v>
      </c>
    </row>
    <row r="11045">
      <c r="A11045" s="3">
        <f>IFERROR(__xludf.DUMMYFUNCTION("""COMPUTED_VALUE"""),45218.66666666667)</f>
        <v>45218.66667</v>
      </c>
      <c r="B11045" s="2">
        <f>IFERROR(__xludf.DUMMYFUNCTION("""COMPUTED_VALUE"""),138.64)</f>
        <v>138.64</v>
      </c>
      <c r="C11045" s="2">
        <f>IFERROR(__xludf.DUMMYFUNCTION("""COMPUTED_VALUE"""),139.41)</f>
        <v>139.41</v>
      </c>
      <c r="D11045" s="2">
        <f>IFERROR(__xludf.DUMMYFUNCTION("""COMPUTED_VALUE"""),137.93)</f>
        <v>137.93</v>
      </c>
      <c r="E11045" s="2">
        <f>IFERROR(__xludf.DUMMYFUNCTION("""COMPUTED_VALUE"""),138.01)</f>
        <v>138.01</v>
      </c>
      <c r="F11045" s="2">
        <f>IFERROR(__xludf.DUMMYFUNCTION("""COMPUTED_VALUE"""),5314159.0)</f>
        <v>5314159</v>
      </c>
    </row>
    <row r="11046">
      <c r="A11046" s="3">
        <f>IFERROR(__xludf.DUMMYFUNCTION("""COMPUTED_VALUE"""),45219.66666666667)</f>
        <v>45219.66667</v>
      </c>
      <c r="B11046" s="2">
        <f>IFERROR(__xludf.DUMMYFUNCTION("""COMPUTED_VALUE"""),138.15)</f>
        <v>138.15</v>
      </c>
      <c r="C11046" s="2">
        <f>IFERROR(__xludf.DUMMYFUNCTION("""COMPUTED_VALUE"""),139.27)</f>
        <v>139.27</v>
      </c>
      <c r="D11046" s="2">
        <f>IFERROR(__xludf.DUMMYFUNCTION("""COMPUTED_VALUE"""),137.12)</f>
        <v>137.12</v>
      </c>
      <c r="E11046" s="2">
        <f>IFERROR(__xludf.DUMMYFUNCTION("""COMPUTED_VALUE"""),137.16)</f>
        <v>137.16</v>
      </c>
      <c r="F11046" s="2">
        <f>IFERROR(__xludf.DUMMYFUNCTION("""COMPUTED_VALUE"""),4865615.0)</f>
        <v>4865615</v>
      </c>
    </row>
    <row r="11047">
      <c r="A11047" s="3">
        <f>IFERROR(__xludf.DUMMYFUNCTION("""COMPUTED_VALUE"""),45222.66666666667)</f>
        <v>45222.66667</v>
      </c>
      <c r="B11047" s="2">
        <f>IFERROR(__xludf.DUMMYFUNCTION("""COMPUTED_VALUE"""),136.63)</f>
        <v>136.63</v>
      </c>
      <c r="C11047" s="2">
        <f>IFERROR(__xludf.DUMMYFUNCTION("""COMPUTED_VALUE"""),137.68)</f>
        <v>137.68</v>
      </c>
      <c r="D11047" s="2">
        <f>IFERROR(__xludf.DUMMYFUNCTION("""COMPUTED_VALUE"""),135.87)</f>
        <v>135.87</v>
      </c>
      <c r="E11047" s="2">
        <f>IFERROR(__xludf.DUMMYFUNCTION("""COMPUTED_VALUE"""),136.38)</f>
        <v>136.38</v>
      </c>
      <c r="F11047" s="2">
        <f>IFERROR(__xludf.DUMMYFUNCTION("""COMPUTED_VALUE"""),3457527.0)</f>
        <v>3457527</v>
      </c>
    </row>
    <row r="11048">
      <c r="A11048" s="3">
        <f>IFERROR(__xludf.DUMMYFUNCTION("""COMPUTED_VALUE"""),45223.66666666667)</f>
        <v>45223.66667</v>
      </c>
      <c r="B11048" s="2">
        <f>IFERROR(__xludf.DUMMYFUNCTION("""COMPUTED_VALUE"""),136.74)</f>
        <v>136.74</v>
      </c>
      <c r="C11048" s="2">
        <f>IFERROR(__xludf.DUMMYFUNCTION("""COMPUTED_VALUE"""),137.98)</f>
        <v>137.98</v>
      </c>
      <c r="D11048" s="2">
        <f>IFERROR(__xludf.DUMMYFUNCTION("""COMPUTED_VALUE"""),136.05)</f>
        <v>136.05</v>
      </c>
      <c r="E11048" s="2">
        <f>IFERROR(__xludf.DUMMYFUNCTION("""COMPUTED_VALUE"""),137.79)</f>
        <v>137.79</v>
      </c>
      <c r="F11048" s="2">
        <f>IFERROR(__xludf.DUMMYFUNCTION("""COMPUTED_VALUE"""),3697975.0)</f>
        <v>3697975</v>
      </c>
    </row>
    <row r="11049">
      <c r="A11049" s="3">
        <f>IFERROR(__xludf.DUMMYFUNCTION("""COMPUTED_VALUE"""),45224.66666666667)</f>
        <v>45224.66667</v>
      </c>
      <c r="B11049" s="2">
        <f>IFERROR(__xludf.DUMMYFUNCTION("""COMPUTED_VALUE"""),137.5)</f>
        <v>137.5</v>
      </c>
      <c r="C11049" s="2">
        <f>IFERROR(__xludf.DUMMYFUNCTION("""COMPUTED_VALUE"""),138.49)</f>
        <v>138.49</v>
      </c>
      <c r="D11049" s="2">
        <f>IFERROR(__xludf.DUMMYFUNCTION("""COMPUTED_VALUE"""),136.33)</f>
        <v>136.33</v>
      </c>
      <c r="E11049" s="2">
        <f>IFERROR(__xludf.DUMMYFUNCTION("""COMPUTED_VALUE"""),137.08)</f>
        <v>137.08</v>
      </c>
      <c r="F11049" s="2">
        <f>IFERROR(__xludf.DUMMYFUNCTION("""COMPUTED_VALUE"""),6472549.0)</f>
        <v>6472549</v>
      </c>
    </row>
    <row r="11050">
      <c r="A11050" s="3">
        <f>IFERROR(__xludf.DUMMYFUNCTION("""COMPUTED_VALUE"""),45225.66666666667)</f>
        <v>45225.66667</v>
      </c>
      <c r="B11050" s="2">
        <f>IFERROR(__xludf.DUMMYFUNCTION("""COMPUTED_VALUE"""),142.2)</f>
        <v>142.2</v>
      </c>
      <c r="C11050" s="2">
        <f>IFERROR(__xludf.DUMMYFUNCTION("""COMPUTED_VALUE"""),144.41)</f>
        <v>144.41</v>
      </c>
      <c r="D11050" s="2">
        <f>IFERROR(__xludf.DUMMYFUNCTION("""COMPUTED_VALUE"""),141.58)</f>
        <v>141.58</v>
      </c>
      <c r="E11050" s="2">
        <f>IFERROR(__xludf.DUMMYFUNCTION("""COMPUTED_VALUE"""),143.76)</f>
        <v>143.76</v>
      </c>
      <c r="F11050" s="2">
        <f>IFERROR(__xludf.DUMMYFUNCTION("""COMPUTED_VALUE"""),1.113017E7)</f>
        <v>11130170</v>
      </c>
    </row>
    <row r="11051">
      <c r="A11051" s="3">
        <f>IFERROR(__xludf.DUMMYFUNCTION("""COMPUTED_VALUE"""),45226.66666666667)</f>
        <v>45226.66667</v>
      </c>
      <c r="B11051" s="2">
        <f>IFERROR(__xludf.DUMMYFUNCTION("""COMPUTED_VALUE"""),143.62)</f>
        <v>143.62</v>
      </c>
      <c r="C11051" s="2">
        <f>IFERROR(__xludf.DUMMYFUNCTION("""COMPUTED_VALUE"""),144.7)</f>
        <v>144.7</v>
      </c>
      <c r="D11051" s="2">
        <f>IFERROR(__xludf.DUMMYFUNCTION("""COMPUTED_VALUE"""),141.71)</f>
        <v>141.71</v>
      </c>
      <c r="E11051" s="2">
        <f>IFERROR(__xludf.DUMMYFUNCTION("""COMPUTED_VALUE"""),142.52)</f>
        <v>142.52</v>
      </c>
      <c r="F11051" s="2">
        <f>IFERROR(__xludf.DUMMYFUNCTION("""COMPUTED_VALUE"""),5469227.0)</f>
        <v>5469227</v>
      </c>
    </row>
    <row r="11052">
      <c r="A11052" s="3">
        <f>IFERROR(__xludf.DUMMYFUNCTION("""COMPUTED_VALUE"""),45229.66666666667)</f>
        <v>45229.66667</v>
      </c>
      <c r="B11052" s="2">
        <f>IFERROR(__xludf.DUMMYFUNCTION("""COMPUTED_VALUE"""),143.19)</f>
        <v>143.19</v>
      </c>
      <c r="C11052" s="2">
        <f>IFERROR(__xludf.DUMMYFUNCTION("""COMPUTED_VALUE"""),144.5)</f>
        <v>144.5</v>
      </c>
      <c r="D11052" s="2">
        <f>IFERROR(__xludf.DUMMYFUNCTION("""COMPUTED_VALUE"""),142.58)</f>
        <v>142.58</v>
      </c>
      <c r="E11052" s="2">
        <f>IFERROR(__xludf.DUMMYFUNCTION("""COMPUTED_VALUE"""),142.63)</f>
        <v>142.63</v>
      </c>
      <c r="F11052" s="2">
        <f>IFERROR(__xludf.DUMMYFUNCTION("""COMPUTED_VALUE"""),4204190.0)</f>
        <v>4204190</v>
      </c>
    </row>
    <row r="11053">
      <c r="A11053" s="3">
        <f>IFERROR(__xludf.DUMMYFUNCTION("""COMPUTED_VALUE"""),45230.66666666667)</f>
        <v>45230.66667</v>
      </c>
      <c r="B11053" s="2">
        <f>IFERROR(__xludf.DUMMYFUNCTION("""COMPUTED_VALUE"""),143.0)</f>
        <v>143</v>
      </c>
      <c r="C11053" s="2">
        <f>IFERROR(__xludf.DUMMYFUNCTION("""COMPUTED_VALUE"""),144.76)</f>
        <v>144.76</v>
      </c>
      <c r="D11053" s="2">
        <f>IFERROR(__xludf.DUMMYFUNCTION("""COMPUTED_VALUE"""),142.59)</f>
        <v>142.59</v>
      </c>
      <c r="E11053" s="2">
        <f>IFERROR(__xludf.DUMMYFUNCTION("""COMPUTED_VALUE"""),144.64)</f>
        <v>144.64</v>
      </c>
      <c r="F11053" s="2">
        <f>IFERROR(__xludf.DUMMYFUNCTION("""COMPUTED_VALUE"""),6592041.0)</f>
        <v>6592041</v>
      </c>
    </row>
    <row r="11054">
      <c r="A11054" s="3">
        <f>IFERROR(__xludf.DUMMYFUNCTION("""COMPUTED_VALUE"""),45231.66666666667)</f>
        <v>45231.66667</v>
      </c>
      <c r="B11054" s="2">
        <f>IFERROR(__xludf.DUMMYFUNCTION("""COMPUTED_VALUE"""),145.0)</f>
        <v>145</v>
      </c>
      <c r="C11054" s="2">
        <f>IFERROR(__xludf.DUMMYFUNCTION("""COMPUTED_VALUE"""),146.51)</f>
        <v>146.51</v>
      </c>
      <c r="D11054" s="2">
        <f>IFERROR(__xludf.DUMMYFUNCTION("""COMPUTED_VALUE"""),144.45)</f>
        <v>144.45</v>
      </c>
      <c r="E11054" s="2">
        <f>IFERROR(__xludf.DUMMYFUNCTION("""COMPUTED_VALUE"""),145.4)</f>
        <v>145.4</v>
      </c>
      <c r="F11054" s="2">
        <f>IFERROR(__xludf.DUMMYFUNCTION("""COMPUTED_VALUE"""),4750081.0)</f>
        <v>4750081</v>
      </c>
    </row>
    <row r="11055">
      <c r="A11055" s="3">
        <f>IFERROR(__xludf.DUMMYFUNCTION("""COMPUTED_VALUE"""),45232.66666666667)</f>
        <v>45232.66667</v>
      </c>
      <c r="B11055" s="2">
        <f>IFERROR(__xludf.DUMMYFUNCTION("""COMPUTED_VALUE"""),145.77)</f>
        <v>145.77</v>
      </c>
      <c r="C11055" s="2">
        <f>IFERROR(__xludf.DUMMYFUNCTION("""COMPUTED_VALUE"""),147.1)</f>
        <v>147.1</v>
      </c>
      <c r="D11055" s="2">
        <f>IFERROR(__xludf.DUMMYFUNCTION("""COMPUTED_VALUE"""),144.84)</f>
        <v>144.84</v>
      </c>
      <c r="E11055" s="2">
        <f>IFERROR(__xludf.DUMMYFUNCTION("""COMPUTED_VALUE"""),147.01)</f>
        <v>147.01</v>
      </c>
      <c r="F11055" s="2">
        <f>IFERROR(__xludf.DUMMYFUNCTION("""COMPUTED_VALUE"""),3902657.0)</f>
        <v>3902657</v>
      </c>
    </row>
    <row r="11056">
      <c r="A11056" s="3">
        <f>IFERROR(__xludf.DUMMYFUNCTION("""COMPUTED_VALUE"""),45233.66666666667)</f>
        <v>45233.66667</v>
      </c>
      <c r="B11056" s="2">
        <f>IFERROR(__xludf.DUMMYFUNCTION("""COMPUTED_VALUE"""),147.45)</f>
        <v>147.45</v>
      </c>
      <c r="C11056" s="2">
        <f>IFERROR(__xludf.DUMMYFUNCTION("""COMPUTED_VALUE"""),148.45)</f>
        <v>148.45</v>
      </c>
      <c r="D11056" s="2">
        <f>IFERROR(__xludf.DUMMYFUNCTION("""COMPUTED_VALUE"""),147.28)</f>
        <v>147.28</v>
      </c>
      <c r="E11056" s="2">
        <f>IFERROR(__xludf.DUMMYFUNCTION("""COMPUTED_VALUE"""),147.9)</f>
        <v>147.9</v>
      </c>
      <c r="F11056" s="2">
        <f>IFERROR(__xludf.DUMMYFUNCTION("""COMPUTED_VALUE"""),3510495.0)</f>
        <v>3510495</v>
      </c>
    </row>
    <row r="11057">
      <c r="A11057" s="3">
        <f>IFERROR(__xludf.DUMMYFUNCTION("""COMPUTED_VALUE"""),45236.66666666667)</f>
        <v>45236.66667</v>
      </c>
      <c r="B11057" s="2">
        <f>IFERROR(__xludf.DUMMYFUNCTION("""COMPUTED_VALUE"""),147.89)</f>
        <v>147.89</v>
      </c>
      <c r="C11057" s="2">
        <f>IFERROR(__xludf.DUMMYFUNCTION("""COMPUTED_VALUE"""),149.23)</f>
        <v>149.23</v>
      </c>
      <c r="D11057" s="2">
        <f>IFERROR(__xludf.DUMMYFUNCTION("""COMPUTED_VALUE"""),147.85)</f>
        <v>147.85</v>
      </c>
      <c r="E11057" s="2">
        <f>IFERROR(__xludf.DUMMYFUNCTION("""COMPUTED_VALUE"""),148.97)</f>
        <v>148.97</v>
      </c>
      <c r="F11057" s="2">
        <f>IFERROR(__xludf.DUMMYFUNCTION("""COMPUTED_VALUE"""),4597249.0)</f>
        <v>4597249</v>
      </c>
    </row>
    <row r="11058">
      <c r="A11058" s="3">
        <f>IFERROR(__xludf.DUMMYFUNCTION("""COMPUTED_VALUE"""),45237.66666666667)</f>
        <v>45237.66667</v>
      </c>
      <c r="B11058" s="2">
        <f>IFERROR(__xludf.DUMMYFUNCTION("""COMPUTED_VALUE"""),149.03)</f>
        <v>149.03</v>
      </c>
      <c r="C11058" s="2">
        <f>IFERROR(__xludf.DUMMYFUNCTION("""COMPUTED_VALUE"""),149.28)</f>
        <v>149.28</v>
      </c>
      <c r="D11058" s="2">
        <f>IFERROR(__xludf.DUMMYFUNCTION("""COMPUTED_VALUE"""),148.03)</f>
        <v>148.03</v>
      </c>
      <c r="E11058" s="2">
        <f>IFERROR(__xludf.DUMMYFUNCTION("""COMPUTED_VALUE"""),148.83)</f>
        <v>148.83</v>
      </c>
      <c r="F11058" s="2">
        <f>IFERROR(__xludf.DUMMYFUNCTION("""COMPUTED_VALUE"""),3549853.0)</f>
        <v>3549853</v>
      </c>
    </row>
    <row r="11059">
      <c r="A11059" s="3">
        <f>IFERROR(__xludf.DUMMYFUNCTION("""COMPUTED_VALUE"""),45238.66666666667)</f>
        <v>45238.66667</v>
      </c>
      <c r="B11059" s="2">
        <f>IFERROR(__xludf.DUMMYFUNCTION("""COMPUTED_VALUE"""),149.25)</f>
        <v>149.25</v>
      </c>
      <c r="C11059" s="2">
        <f>IFERROR(__xludf.DUMMYFUNCTION("""COMPUTED_VALUE"""),149.68)</f>
        <v>149.68</v>
      </c>
      <c r="D11059" s="2">
        <f>IFERROR(__xludf.DUMMYFUNCTION("""COMPUTED_VALUE"""),147.59)</f>
        <v>147.59</v>
      </c>
      <c r="E11059" s="2">
        <f>IFERROR(__xludf.DUMMYFUNCTION("""COMPUTED_VALUE"""),148.03)</f>
        <v>148.03</v>
      </c>
      <c r="F11059" s="2">
        <f>IFERROR(__xludf.DUMMYFUNCTION("""COMPUTED_VALUE"""),3618588.0)</f>
        <v>3618588</v>
      </c>
    </row>
    <row r="11060">
      <c r="A11060" s="3">
        <f>IFERROR(__xludf.DUMMYFUNCTION("""COMPUTED_VALUE"""),45239.66666666667)</f>
        <v>45239.66667</v>
      </c>
      <c r="B11060" s="2">
        <f>IFERROR(__xludf.DUMMYFUNCTION("""COMPUTED_VALUE"""),146.55)</f>
        <v>146.55</v>
      </c>
      <c r="C11060" s="2">
        <f>IFERROR(__xludf.DUMMYFUNCTION("""COMPUTED_VALUE"""),146.99)</f>
        <v>146.99</v>
      </c>
      <c r="D11060" s="2">
        <f>IFERROR(__xludf.DUMMYFUNCTION("""COMPUTED_VALUE"""),145.28)</f>
        <v>145.28</v>
      </c>
      <c r="E11060" s="2">
        <f>IFERROR(__xludf.DUMMYFUNCTION("""COMPUTED_VALUE"""),146.62)</f>
        <v>146.62</v>
      </c>
      <c r="F11060" s="2">
        <f>IFERROR(__xludf.DUMMYFUNCTION("""COMPUTED_VALUE"""),3412713.0)</f>
        <v>3412713</v>
      </c>
    </row>
    <row r="11061">
      <c r="A11061" s="3">
        <f>IFERROR(__xludf.DUMMYFUNCTION("""COMPUTED_VALUE"""),45240.66666666667)</f>
        <v>45240.66667</v>
      </c>
      <c r="B11061" s="2">
        <f>IFERROR(__xludf.DUMMYFUNCTION("""COMPUTED_VALUE"""),147.44)</f>
        <v>147.44</v>
      </c>
      <c r="C11061" s="2">
        <f>IFERROR(__xludf.DUMMYFUNCTION("""COMPUTED_VALUE"""),149.17)</f>
        <v>149.17</v>
      </c>
      <c r="D11061" s="2">
        <f>IFERROR(__xludf.DUMMYFUNCTION("""COMPUTED_VALUE"""),146.85)</f>
        <v>146.85</v>
      </c>
      <c r="E11061" s="2">
        <f>IFERROR(__xludf.DUMMYFUNCTION("""COMPUTED_VALUE"""),149.02)</f>
        <v>149.02</v>
      </c>
      <c r="F11061" s="2">
        <f>IFERROR(__xludf.DUMMYFUNCTION("""COMPUTED_VALUE"""),3179541.0)</f>
        <v>3179541</v>
      </c>
    </row>
    <row r="11062">
      <c r="A11062" s="3">
        <f>IFERROR(__xludf.DUMMYFUNCTION("""COMPUTED_VALUE"""),45243.66666666667)</f>
        <v>45243.66667</v>
      </c>
      <c r="B11062" s="2">
        <f>IFERROR(__xludf.DUMMYFUNCTION("""COMPUTED_VALUE"""),148.46)</f>
        <v>148.46</v>
      </c>
      <c r="C11062" s="2">
        <f>IFERROR(__xludf.DUMMYFUNCTION("""COMPUTED_VALUE"""),148.49)</f>
        <v>148.49</v>
      </c>
      <c r="D11062" s="2">
        <f>IFERROR(__xludf.DUMMYFUNCTION("""COMPUTED_VALUE"""),147.35)</f>
        <v>147.35</v>
      </c>
      <c r="E11062" s="2">
        <f>IFERROR(__xludf.DUMMYFUNCTION("""COMPUTED_VALUE"""),148.1)</f>
        <v>148.1</v>
      </c>
      <c r="F11062" s="2">
        <f>IFERROR(__xludf.DUMMYFUNCTION("""COMPUTED_VALUE"""),2647288.0)</f>
        <v>2647288</v>
      </c>
    </row>
    <row r="11063">
      <c r="A11063" s="3">
        <f>IFERROR(__xludf.DUMMYFUNCTION("""COMPUTED_VALUE"""),45244.66666666667)</f>
        <v>45244.66667</v>
      </c>
      <c r="B11063" s="2">
        <f>IFERROR(__xludf.DUMMYFUNCTION("""COMPUTED_VALUE"""),149.45)</f>
        <v>149.45</v>
      </c>
      <c r="C11063" s="2">
        <f>IFERROR(__xludf.DUMMYFUNCTION("""COMPUTED_VALUE"""),150.81)</f>
        <v>150.81</v>
      </c>
      <c r="D11063" s="2">
        <f>IFERROR(__xludf.DUMMYFUNCTION("""COMPUTED_VALUE"""),149.05)</f>
        <v>149.05</v>
      </c>
      <c r="E11063" s="2">
        <f>IFERROR(__xludf.DUMMYFUNCTION("""COMPUTED_VALUE"""),150.41)</f>
        <v>150.41</v>
      </c>
      <c r="F11063" s="2">
        <f>IFERROR(__xludf.DUMMYFUNCTION("""COMPUTED_VALUE"""),4321940.0)</f>
        <v>4321940</v>
      </c>
    </row>
    <row r="11064">
      <c r="A11064" s="3">
        <f>IFERROR(__xludf.DUMMYFUNCTION("""COMPUTED_VALUE"""),45245.66666666667)</f>
        <v>45245.66667</v>
      </c>
      <c r="B11064" s="2">
        <f>IFERROR(__xludf.DUMMYFUNCTION("""COMPUTED_VALUE"""),150.4)</f>
        <v>150.4</v>
      </c>
      <c r="C11064" s="2">
        <f>IFERROR(__xludf.DUMMYFUNCTION("""COMPUTED_VALUE"""),153.22)</f>
        <v>153.22</v>
      </c>
      <c r="D11064" s="2">
        <f>IFERROR(__xludf.DUMMYFUNCTION("""COMPUTED_VALUE"""),150.4)</f>
        <v>150.4</v>
      </c>
      <c r="E11064" s="2">
        <f>IFERROR(__xludf.DUMMYFUNCTION("""COMPUTED_VALUE"""),152.58)</f>
        <v>152.58</v>
      </c>
      <c r="F11064" s="2">
        <f>IFERROR(__xludf.DUMMYFUNCTION("""COMPUTED_VALUE"""),4632519.0)</f>
        <v>4632519</v>
      </c>
    </row>
    <row r="11065">
      <c r="A11065" s="3">
        <f>IFERROR(__xludf.DUMMYFUNCTION("""COMPUTED_VALUE"""),45246.66666666667)</f>
        <v>45246.66667</v>
      </c>
      <c r="B11065" s="2">
        <f>IFERROR(__xludf.DUMMYFUNCTION("""COMPUTED_VALUE"""),153.0)</f>
        <v>153</v>
      </c>
      <c r="C11065" s="2">
        <f>IFERROR(__xludf.DUMMYFUNCTION("""COMPUTED_VALUE"""),153.35)</f>
        <v>153.35</v>
      </c>
      <c r="D11065" s="2">
        <f>IFERROR(__xludf.DUMMYFUNCTION("""COMPUTED_VALUE"""),152.13)</f>
        <v>152.13</v>
      </c>
      <c r="E11065" s="2">
        <f>IFERROR(__xludf.DUMMYFUNCTION("""COMPUTED_VALUE"""),153.06)</f>
        <v>153.06</v>
      </c>
      <c r="F11065" s="2">
        <f>IFERROR(__xludf.DUMMYFUNCTION("""COMPUTED_VALUE"""),3519172.0)</f>
        <v>3519172</v>
      </c>
    </row>
    <row r="11066">
      <c r="A11066" s="3">
        <f>IFERROR(__xludf.DUMMYFUNCTION("""COMPUTED_VALUE"""),45247.66666666667)</f>
        <v>45247.66667</v>
      </c>
      <c r="B11066" s="2">
        <f>IFERROR(__xludf.DUMMYFUNCTION("""COMPUTED_VALUE"""),153.29)</f>
        <v>153.29</v>
      </c>
      <c r="C11066" s="2">
        <f>IFERROR(__xludf.DUMMYFUNCTION("""COMPUTED_VALUE"""),153.5)</f>
        <v>153.5</v>
      </c>
      <c r="D11066" s="2">
        <f>IFERROR(__xludf.DUMMYFUNCTION("""COMPUTED_VALUE"""),152.46)</f>
        <v>152.46</v>
      </c>
      <c r="E11066" s="2">
        <f>IFERROR(__xludf.DUMMYFUNCTION("""COMPUTED_VALUE"""),152.89)</f>
        <v>152.89</v>
      </c>
      <c r="F11066" s="2">
        <f>IFERROR(__xludf.DUMMYFUNCTION("""COMPUTED_VALUE"""),4426676.0)</f>
        <v>4426676</v>
      </c>
    </row>
    <row r="11067">
      <c r="A11067" s="3">
        <f>IFERROR(__xludf.DUMMYFUNCTION("""COMPUTED_VALUE"""),45250.66666666667)</f>
        <v>45250.66667</v>
      </c>
      <c r="B11067" s="2">
        <f>IFERROR(__xludf.DUMMYFUNCTION("""COMPUTED_VALUE"""),152.51)</f>
        <v>152.51</v>
      </c>
      <c r="C11067" s="2">
        <f>IFERROR(__xludf.DUMMYFUNCTION("""COMPUTED_VALUE"""),154.68)</f>
        <v>154.68</v>
      </c>
      <c r="D11067" s="2">
        <f>IFERROR(__xludf.DUMMYFUNCTION("""COMPUTED_VALUE"""),152.35)</f>
        <v>152.35</v>
      </c>
      <c r="E11067" s="2">
        <f>IFERROR(__xludf.DUMMYFUNCTION("""COMPUTED_VALUE"""),154.35)</f>
        <v>154.35</v>
      </c>
      <c r="F11067" s="2">
        <f>IFERROR(__xludf.DUMMYFUNCTION("""COMPUTED_VALUE"""),3658936.0)</f>
        <v>3658936</v>
      </c>
    </row>
    <row r="11068">
      <c r="A11068" s="3">
        <f>IFERROR(__xludf.DUMMYFUNCTION("""COMPUTED_VALUE"""),45251.66666666667)</f>
        <v>45251.66667</v>
      </c>
      <c r="B11068" s="2">
        <f>IFERROR(__xludf.DUMMYFUNCTION("""COMPUTED_VALUE"""),154.6)</f>
        <v>154.6</v>
      </c>
      <c r="C11068" s="2">
        <f>IFERROR(__xludf.DUMMYFUNCTION("""COMPUTED_VALUE"""),154.66)</f>
        <v>154.66</v>
      </c>
      <c r="D11068" s="2">
        <f>IFERROR(__xludf.DUMMYFUNCTION("""COMPUTED_VALUE"""),153.51)</f>
        <v>153.51</v>
      </c>
      <c r="E11068" s="2">
        <f>IFERROR(__xludf.DUMMYFUNCTION("""COMPUTED_VALUE"""),153.91)</f>
        <v>153.91</v>
      </c>
      <c r="F11068" s="2">
        <f>IFERROR(__xludf.DUMMYFUNCTION("""COMPUTED_VALUE"""),2859508.0)</f>
        <v>2859508</v>
      </c>
    </row>
    <row r="11069">
      <c r="A11069" s="3">
        <f>IFERROR(__xludf.DUMMYFUNCTION("""COMPUTED_VALUE"""),45252.66666666667)</f>
        <v>45252.66667</v>
      </c>
      <c r="B11069" s="2">
        <f>IFERROR(__xludf.DUMMYFUNCTION("""COMPUTED_VALUE"""),154.5)</f>
        <v>154.5</v>
      </c>
      <c r="C11069" s="2">
        <f>IFERROR(__xludf.DUMMYFUNCTION("""COMPUTED_VALUE"""),155.71)</f>
        <v>155.71</v>
      </c>
      <c r="D11069" s="2">
        <f>IFERROR(__xludf.DUMMYFUNCTION("""COMPUTED_VALUE"""),154.16)</f>
        <v>154.16</v>
      </c>
      <c r="E11069" s="2">
        <f>IFERROR(__xludf.DUMMYFUNCTION("""COMPUTED_VALUE"""),155.13)</f>
        <v>155.13</v>
      </c>
      <c r="F11069" s="2">
        <f>IFERROR(__xludf.DUMMYFUNCTION("""COMPUTED_VALUE"""),3045091.0)</f>
        <v>3045091</v>
      </c>
    </row>
    <row r="11070">
      <c r="A11070" s="3">
        <f>IFERROR(__xludf.DUMMYFUNCTION("""COMPUTED_VALUE"""),45254.54166666667)</f>
        <v>45254.54167</v>
      </c>
      <c r="B11070" s="2">
        <f>IFERROR(__xludf.DUMMYFUNCTION("""COMPUTED_VALUE"""),155.13)</f>
        <v>155.13</v>
      </c>
      <c r="C11070" s="2">
        <f>IFERROR(__xludf.DUMMYFUNCTION("""COMPUTED_VALUE"""),155.4)</f>
        <v>155.4</v>
      </c>
      <c r="D11070" s="2">
        <f>IFERROR(__xludf.DUMMYFUNCTION("""COMPUTED_VALUE"""),153.92)</f>
        <v>153.92</v>
      </c>
      <c r="E11070" s="2">
        <f>IFERROR(__xludf.DUMMYFUNCTION("""COMPUTED_VALUE"""),155.18)</f>
        <v>155.18</v>
      </c>
      <c r="F11070" s="2">
        <f>IFERROR(__xludf.DUMMYFUNCTION("""COMPUTED_VALUE"""),1799161.0)</f>
        <v>1799161</v>
      </c>
    </row>
    <row r="11071">
      <c r="A11071" s="3">
        <f>IFERROR(__xludf.DUMMYFUNCTION("""COMPUTED_VALUE"""),45257.66666666667)</f>
        <v>45257.66667</v>
      </c>
      <c r="B11071" s="2">
        <f>IFERROR(__xludf.DUMMYFUNCTION("""COMPUTED_VALUE"""),154.99)</f>
        <v>154.99</v>
      </c>
      <c r="C11071" s="2">
        <f>IFERROR(__xludf.DUMMYFUNCTION("""COMPUTED_VALUE"""),156.14)</f>
        <v>156.14</v>
      </c>
      <c r="D11071" s="2">
        <f>IFERROR(__xludf.DUMMYFUNCTION("""COMPUTED_VALUE"""),154.75)</f>
        <v>154.75</v>
      </c>
      <c r="E11071" s="2">
        <f>IFERROR(__xludf.DUMMYFUNCTION("""COMPUTED_VALUE"""),155.57)</f>
        <v>155.57</v>
      </c>
      <c r="F11071" s="2">
        <f>IFERROR(__xludf.DUMMYFUNCTION("""COMPUTED_VALUE"""),4053093.0)</f>
        <v>4053093</v>
      </c>
    </row>
    <row r="11072">
      <c r="A11072" s="3">
        <f>IFERROR(__xludf.DUMMYFUNCTION("""COMPUTED_VALUE"""),45258.66666666667)</f>
        <v>45258.66667</v>
      </c>
      <c r="B11072" s="2">
        <f>IFERROR(__xludf.DUMMYFUNCTION("""COMPUTED_VALUE"""),155.44)</f>
        <v>155.44</v>
      </c>
      <c r="C11072" s="2">
        <f>IFERROR(__xludf.DUMMYFUNCTION("""COMPUTED_VALUE"""),155.75)</f>
        <v>155.75</v>
      </c>
      <c r="D11072" s="2">
        <f>IFERROR(__xludf.DUMMYFUNCTION("""COMPUTED_VALUE"""),154.86)</f>
        <v>154.86</v>
      </c>
      <c r="E11072" s="2">
        <f>IFERROR(__xludf.DUMMYFUNCTION("""COMPUTED_VALUE"""),155.65)</f>
        <v>155.65</v>
      </c>
      <c r="F11072" s="2">
        <f>IFERROR(__xludf.DUMMYFUNCTION("""COMPUTED_VALUE"""),2666182.0)</f>
        <v>2666182</v>
      </c>
    </row>
    <row r="11073">
      <c r="A11073" s="3">
        <f>IFERROR(__xludf.DUMMYFUNCTION("""COMPUTED_VALUE"""),45259.66666666667)</f>
        <v>45259.66667</v>
      </c>
      <c r="B11073" s="2">
        <f>IFERROR(__xludf.DUMMYFUNCTION("""COMPUTED_VALUE"""),156.15)</f>
        <v>156.15</v>
      </c>
      <c r="C11073" s="2">
        <f>IFERROR(__xludf.DUMMYFUNCTION("""COMPUTED_VALUE"""),157.51)</f>
        <v>157.51</v>
      </c>
      <c r="D11073" s="2">
        <f>IFERROR(__xludf.DUMMYFUNCTION("""COMPUTED_VALUE"""),156.02)</f>
        <v>156.02</v>
      </c>
      <c r="E11073" s="2">
        <f>IFERROR(__xludf.DUMMYFUNCTION("""COMPUTED_VALUE"""),156.41)</f>
        <v>156.41</v>
      </c>
      <c r="F11073" s="2">
        <f>IFERROR(__xludf.DUMMYFUNCTION("""COMPUTED_VALUE"""),3568887.0)</f>
        <v>3568887</v>
      </c>
    </row>
    <row r="11074">
      <c r="A11074" s="3">
        <f>IFERROR(__xludf.DUMMYFUNCTION("""COMPUTED_VALUE"""),45260.66666666667)</f>
        <v>45260.66667</v>
      </c>
      <c r="B11074" s="2">
        <f>IFERROR(__xludf.DUMMYFUNCTION("""COMPUTED_VALUE"""),156.95)</f>
        <v>156.95</v>
      </c>
      <c r="C11074" s="2">
        <f>IFERROR(__xludf.DUMMYFUNCTION("""COMPUTED_VALUE"""),158.6)</f>
        <v>158.6</v>
      </c>
      <c r="D11074" s="2">
        <f>IFERROR(__xludf.DUMMYFUNCTION("""COMPUTED_VALUE"""),156.89)</f>
        <v>156.89</v>
      </c>
      <c r="E11074" s="2">
        <f>IFERROR(__xludf.DUMMYFUNCTION("""COMPUTED_VALUE"""),158.56)</f>
        <v>158.56</v>
      </c>
      <c r="F11074" s="2">
        <f>IFERROR(__xludf.DUMMYFUNCTION("""COMPUTED_VALUE"""),6740622.0)</f>
        <v>6740622</v>
      </c>
    </row>
    <row r="11075">
      <c r="A11075" s="3">
        <f>IFERROR(__xludf.DUMMYFUNCTION("""COMPUTED_VALUE"""),45261.66666666667)</f>
        <v>45261.66667</v>
      </c>
      <c r="B11075" s="2">
        <f>IFERROR(__xludf.DUMMYFUNCTION("""COMPUTED_VALUE"""),158.41)</f>
        <v>158.41</v>
      </c>
      <c r="C11075" s="2">
        <f>IFERROR(__xludf.DUMMYFUNCTION("""COMPUTED_VALUE"""),160.59)</f>
        <v>160.59</v>
      </c>
      <c r="D11075" s="2">
        <f>IFERROR(__xludf.DUMMYFUNCTION("""COMPUTED_VALUE"""),158.0)</f>
        <v>158</v>
      </c>
      <c r="E11075" s="2">
        <f>IFERROR(__xludf.DUMMYFUNCTION("""COMPUTED_VALUE"""),160.55)</f>
        <v>160.55</v>
      </c>
      <c r="F11075" s="2">
        <f>IFERROR(__xludf.DUMMYFUNCTION("""COMPUTED_VALUE"""),4871860.0)</f>
        <v>4871860</v>
      </c>
    </row>
    <row r="11076">
      <c r="A11076" s="3">
        <f>IFERROR(__xludf.DUMMYFUNCTION("""COMPUTED_VALUE"""),45264.66666666667)</f>
        <v>45264.66667</v>
      </c>
      <c r="B11076" s="2">
        <f>IFERROR(__xludf.DUMMYFUNCTION("""COMPUTED_VALUE"""),160.29)</f>
        <v>160.29</v>
      </c>
      <c r="C11076" s="2">
        <f>IFERROR(__xludf.DUMMYFUNCTION("""COMPUTED_VALUE"""),162.79)</f>
        <v>162.79</v>
      </c>
      <c r="D11076" s="2">
        <f>IFERROR(__xludf.DUMMYFUNCTION("""COMPUTED_VALUE"""),160.29)</f>
        <v>160.29</v>
      </c>
      <c r="E11076" s="2">
        <f>IFERROR(__xludf.DUMMYFUNCTION("""COMPUTED_VALUE"""),161.1)</f>
        <v>161.1</v>
      </c>
      <c r="F11076" s="2">
        <f>IFERROR(__xludf.DUMMYFUNCTION("""COMPUTED_VALUE"""),5779017.0)</f>
        <v>5779017</v>
      </c>
    </row>
    <row r="11077">
      <c r="A11077" s="3">
        <f>IFERROR(__xludf.DUMMYFUNCTION("""COMPUTED_VALUE"""),45265.66666666667)</f>
        <v>45265.66667</v>
      </c>
      <c r="B11077" s="2">
        <f>IFERROR(__xludf.DUMMYFUNCTION("""COMPUTED_VALUE"""),160.76)</f>
        <v>160.76</v>
      </c>
      <c r="C11077" s="2">
        <f>IFERROR(__xludf.DUMMYFUNCTION("""COMPUTED_VALUE"""),162.47)</f>
        <v>162.47</v>
      </c>
      <c r="D11077" s="2">
        <f>IFERROR(__xludf.DUMMYFUNCTION("""COMPUTED_VALUE"""),160.72)</f>
        <v>160.72</v>
      </c>
      <c r="E11077" s="2">
        <f>IFERROR(__xludf.DUMMYFUNCTION("""COMPUTED_VALUE"""),161.39)</f>
        <v>161.39</v>
      </c>
      <c r="F11077" s="2">
        <f>IFERROR(__xludf.DUMMYFUNCTION("""COMPUTED_VALUE"""),4556668.0)</f>
        <v>4556668</v>
      </c>
    </row>
    <row r="11078">
      <c r="A11078" s="3">
        <f>IFERROR(__xludf.DUMMYFUNCTION("""COMPUTED_VALUE"""),45266.66666666667)</f>
        <v>45266.66667</v>
      </c>
      <c r="B11078" s="2">
        <f>IFERROR(__xludf.DUMMYFUNCTION("""COMPUTED_VALUE"""),161.59)</f>
        <v>161.59</v>
      </c>
      <c r="C11078" s="2">
        <f>IFERROR(__xludf.DUMMYFUNCTION("""COMPUTED_VALUE"""),162.35)</f>
        <v>162.35</v>
      </c>
      <c r="D11078" s="2">
        <f>IFERROR(__xludf.DUMMYFUNCTION("""COMPUTED_VALUE"""),160.01)</f>
        <v>160.01</v>
      </c>
      <c r="E11078" s="2">
        <f>IFERROR(__xludf.DUMMYFUNCTION("""COMPUTED_VALUE"""),160.28)</f>
        <v>160.28</v>
      </c>
      <c r="F11078" s="2">
        <f>IFERROR(__xludf.DUMMYFUNCTION("""COMPUTED_VALUE"""),3555863.0)</f>
        <v>3555863</v>
      </c>
    </row>
    <row r="11079">
      <c r="A11079" s="3">
        <f>IFERROR(__xludf.DUMMYFUNCTION("""COMPUTED_VALUE"""),45267.66666666667)</f>
        <v>45267.66667</v>
      </c>
      <c r="B11079" s="2">
        <f>IFERROR(__xludf.DUMMYFUNCTION("""COMPUTED_VALUE"""),161.0)</f>
        <v>161</v>
      </c>
      <c r="C11079" s="2">
        <f>IFERROR(__xludf.DUMMYFUNCTION("""COMPUTED_VALUE"""),161.47)</f>
        <v>161.47</v>
      </c>
      <c r="D11079" s="2">
        <f>IFERROR(__xludf.DUMMYFUNCTION("""COMPUTED_VALUE"""),159.97)</f>
        <v>159.97</v>
      </c>
      <c r="E11079" s="2">
        <f>IFERROR(__xludf.DUMMYFUNCTION("""COMPUTED_VALUE"""),160.22)</f>
        <v>160.22</v>
      </c>
      <c r="F11079" s="2">
        <f>IFERROR(__xludf.DUMMYFUNCTION("""COMPUTED_VALUE"""),3665498.0)</f>
        <v>3665498</v>
      </c>
    </row>
    <row r="11080">
      <c r="A11080" s="3">
        <f>IFERROR(__xludf.DUMMYFUNCTION("""COMPUTED_VALUE"""),45268.66666666667)</f>
        <v>45268.66667</v>
      </c>
      <c r="B11080" s="2">
        <f>IFERROR(__xludf.DUMMYFUNCTION("""COMPUTED_VALUE"""),160.0)</f>
        <v>160</v>
      </c>
      <c r="C11080" s="2">
        <f>IFERROR(__xludf.DUMMYFUNCTION("""COMPUTED_VALUE"""),162.04)</f>
        <v>162.04</v>
      </c>
      <c r="D11080" s="2">
        <f>IFERROR(__xludf.DUMMYFUNCTION("""COMPUTED_VALUE"""),160.0)</f>
        <v>160</v>
      </c>
      <c r="E11080" s="2">
        <f>IFERROR(__xludf.DUMMYFUNCTION("""COMPUTED_VALUE"""),161.96)</f>
        <v>161.96</v>
      </c>
      <c r="F11080" s="2">
        <f>IFERROR(__xludf.DUMMYFUNCTION("""COMPUTED_VALUE"""),4561342.0)</f>
        <v>4561342</v>
      </c>
    </row>
    <row r="11081">
      <c r="A11081" s="3">
        <f>IFERROR(__xludf.DUMMYFUNCTION("""COMPUTED_VALUE"""),45271.66666666667)</f>
        <v>45271.66667</v>
      </c>
      <c r="B11081" s="2">
        <f>IFERROR(__xludf.DUMMYFUNCTION("""COMPUTED_VALUE"""),162.68)</f>
        <v>162.68</v>
      </c>
      <c r="C11081" s="2">
        <f>IFERROR(__xludf.DUMMYFUNCTION("""COMPUTED_VALUE"""),163.65)</f>
        <v>163.65</v>
      </c>
      <c r="D11081" s="2">
        <f>IFERROR(__xludf.DUMMYFUNCTION("""COMPUTED_VALUE"""),161.95)</f>
        <v>161.95</v>
      </c>
      <c r="E11081" s="2">
        <f>IFERROR(__xludf.DUMMYFUNCTION("""COMPUTED_VALUE"""),163.51)</f>
        <v>163.51</v>
      </c>
      <c r="F11081" s="2">
        <f>IFERROR(__xludf.DUMMYFUNCTION("""COMPUTED_VALUE"""),6077207.0)</f>
        <v>6077207</v>
      </c>
    </row>
    <row r="11082">
      <c r="A11082" s="3">
        <f>IFERROR(__xludf.DUMMYFUNCTION("""COMPUTED_VALUE"""),45272.66666666667)</f>
        <v>45272.66667</v>
      </c>
      <c r="B11082" s="2">
        <f>IFERROR(__xludf.DUMMYFUNCTION("""COMPUTED_VALUE"""),163.27)</f>
        <v>163.27</v>
      </c>
      <c r="C11082" s="2">
        <f>IFERROR(__xludf.DUMMYFUNCTION("""COMPUTED_VALUE"""),166.34)</f>
        <v>166.34</v>
      </c>
      <c r="D11082" s="2">
        <f>IFERROR(__xludf.DUMMYFUNCTION("""COMPUTED_VALUE"""),162.92)</f>
        <v>162.92</v>
      </c>
      <c r="E11082" s="2">
        <f>IFERROR(__xludf.DUMMYFUNCTION("""COMPUTED_VALUE"""),164.71)</f>
        <v>164.71</v>
      </c>
      <c r="F11082" s="2">
        <f>IFERROR(__xludf.DUMMYFUNCTION("""COMPUTED_VALUE"""),5292290.0)</f>
        <v>5292290</v>
      </c>
    </row>
    <row r="11083">
      <c r="A11083" s="3">
        <f>IFERROR(__xludf.DUMMYFUNCTION("""COMPUTED_VALUE"""),45273.66666666667)</f>
        <v>45273.66667</v>
      </c>
      <c r="B11083" s="2">
        <f>IFERROR(__xludf.DUMMYFUNCTION("""COMPUTED_VALUE"""),164.37)</f>
        <v>164.37</v>
      </c>
      <c r="C11083" s="2">
        <f>IFERROR(__xludf.DUMMYFUNCTION("""COMPUTED_VALUE"""),164.97)</f>
        <v>164.97</v>
      </c>
      <c r="D11083" s="2">
        <f>IFERROR(__xludf.DUMMYFUNCTION("""COMPUTED_VALUE"""),162.74)</f>
        <v>162.74</v>
      </c>
      <c r="E11083" s="2">
        <f>IFERROR(__xludf.DUMMYFUNCTION("""COMPUTED_VALUE"""),163.62)</f>
        <v>163.62</v>
      </c>
      <c r="F11083" s="2">
        <f>IFERROR(__xludf.DUMMYFUNCTION("""COMPUTED_VALUE"""),4989141.0)</f>
        <v>4989141</v>
      </c>
    </row>
    <row r="11084">
      <c r="A11084" s="3">
        <f>IFERROR(__xludf.DUMMYFUNCTION("""COMPUTED_VALUE"""),45274.66666666667)</f>
        <v>45274.66667</v>
      </c>
      <c r="B11084" s="2">
        <f>IFERROR(__xludf.DUMMYFUNCTION("""COMPUTED_VALUE"""),162.93)</f>
        <v>162.93</v>
      </c>
      <c r="C11084" s="2">
        <f>IFERROR(__xludf.DUMMYFUNCTION("""COMPUTED_VALUE"""),163.5)</f>
        <v>163.5</v>
      </c>
      <c r="D11084" s="2">
        <f>IFERROR(__xludf.DUMMYFUNCTION("""COMPUTED_VALUE"""),160.15)</f>
        <v>160.15</v>
      </c>
      <c r="E11084" s="2">
        <f>IFERROR(__xludf.DUMMYFUNCTION("""COMPUTED_VALUE"""),162.91)</f>
        <v>162.91</v>
      </c>
      <c r="F11084" s="2">
        <f>IFERROR(__xludf.DUMMYFUNCTION("""COMPUTED_VALUE"""),6129804.0)</f>
        <v>6129804</v>
      </c>
    </row>
    <row r="11085">
      <c r="A11085" s="3">
        <f>IFERROR(__xludf.DUMMYFUNCTION("""COMPUTED_VALUE"""),45275.66666666667)</f>
        <v>45275.66667</v>
      </c>
      <c r="B11085" s="2">
        <f>IFERROR(__xludf.DUMMYFUNCTION("""COMPUTED_VALUE"""),162.3)</f>
        <v>162.3</v>
      </c>
      <c r="C11085" s="2">
        <f>IFERROR(__xludf.DUMMYFUNCTION("""COMPUTED_VALUE"""),164.09)</f>
        <v>164.09</v>
      </c>
      <c r="D11085" s="2">
        <f>IFERROR(__xludf.DUMMYFUNCTION("""COMPUTED_VALUE"""),162.04)</f>
        <v>162.04</v>
      </c>
      <c r="E11085" s="2">
        <f>IFERROR(__xludf.DUMMYFUNCTION("""COMPUTED_VALUE"""),162.23)</f>
        <v>162.23</v>
      </c>
      <c r="F11085" s="2">
        <f>IFERROR(__xludf.DUMMYFUNCTION("""COMPUTED_VALUE"""),1.1016108E7)</f>
        <v>11016108</v>
      </c>
    </row>
    <row r="11086">
      <c r="A11086" s="3">
        <f>IFERROR(__xludf.DUMMYFUNCTION("""COMPUTED_VALUE"""),45278.66666666667)</f>
        <v>45278.66667</v>
      </c>
      <c r="B11086" s="2">
        <f>IFERROR(__xludf.DUMMYFUNCTION("""COMPUTED_VALUE"""),162.23)</f>
        <v>162.23</v>
      </c>
      <c r="C11086" s="2">
        <f>IFERROR(__xludf.DUMMYFUNCTION("""COMPUTED_VALUE"""),163.33)</f>
        <v>163.33</v>
      </c>
      <c r="D11086" s="2">
        <f>IFERROR(__xludf.DUMMYFUNCTION("""COMPUTED_VALUE"""),161.58)</f>
        <v>161.58</v>
      </c>
      <c r="E11086" s="2">
        <f>IFERROR(__xludf.DUMMYFUNCTION("""COMPUTED_VALUE"""),162.74)</f>
        <v>162.74</v>
      </c>
      <c r="F11086" s="2">
        <f>IFERROR(__xludf.DUMMYFUNCTION("""COMPUTED_VALUE"""),3677533.0)</f>
        <v>3677533</v>
      </c>
    </row>
    <row r="11087">
      <c r="A11087" s="3">
        <f>IFERROR(__xludf.DUMMYFUNCTION("""COMPUTED_VALUE"""),45279.66666666667)</f>
        <v>45279.66667</v>
      </c>
      <c r="B11087" s="2">
        <f>IFERROR(__xludf.DUMMYFUNCTION("""COMPUTED_VALUE"""),161.8)</f>
        <v>161.8</v>
      </c>
      <c r="C11087" s="2">
        <f>IFERROR(__xludf.DUMMYFUNCTION("""COMPUTED_VALUE"""),162.28)</f>
        <v>162.28</v>
      </c>
      <c r="D11087" s="2">
        <f>IFERROR(__xludf.DUMMYFUNCTION("""COMPUTED_VALUE"""),161.32)</f>
        <v>161.32</v>
      </c>
      <c r="E11087" s="2">
        <f>IFERROR(__xludf.DUMMYFUNCTION("""COMPUTED_VALUE"""),161.56)</f>
        <v>161.56</v>
      </c>
      <c r="F11087" s="2">
        <f>IFERROR(__xludf.DUMMYFUNCTION("""COMPUTED_VALUE"""),3766591.0)</f>
        <v>3766591</v>
      </c>
    </row>
    <row r="11088">
      <c r="A11088" s="3">
        <f>IFERROR(__xludf.DUMMYFUNCTION("""COMPUTED_VALUE"""),45280.66666666667)</f>
        <v>45280.66667</v>
      </c>
      <c r="B11088" s="2">
        <f>IFERROR(__xludf.DUMMYFUNCTION("""COMPUTED_VALUE"""),161.29)</f>
        <v>161.29</v>
      </c>
      <c r="C11088" s="2">
        <f>IFERROR(__xludf.DUMMYFUNCTION("""COMPUTED_VALUE"""),161.8)</f>
        <v>161.8</v>
      </c>
      <c r="D11088" s="2">
        <f>IFERROR(__xludf.DUMMYFUNCTION("""COMPUTED_VALUE"""),160.01)</f>
        <v>160.01</v>
      </c>
      <c r="E11088" s="2">
        <f>IFERROR(__xludf.DUMMYFUNCTION("""COMPUTED_VALUE"""),160.05)</f>
        <v>160.05</v>
      </c>
      <c r="F11088" s="2">
        <f>IFERROR(__xludf.DUMMYFUNCTION("""COMPUTED_VALUE"""),4865797.0)</f>
        <v>4865797</v>
      </c>
    </row>
    <row r="11089">
      <c r="A11089" s="3">
        <f>IFERROR(__xludf.DUMMYFUNCTION("""COMPUTED_VALUE"""),45281.66666666667)</f>
        <v>45281.66667</v>
      </c>
      <c r="B11089" s="2">
        <f>IFERROR(__xludf.DUMMYFUNCTION("""COMPUTED_VALUE"""),160.59)</f>
        <v>160.59</v>
      </c>
      <c r="C11089" s="2">
        <f>IFERROR(__xludf.DUMMYFUNCTION("""COMPUTED_VALUE"""),161.08)</f>
        <v>161.08</v>
      </c>
      <c r="D11089" s="2">
        <f>IFERROR(__xludf.DUMMYFUNCTION("""COMPUTED_VALUE"""),159.53)</f>
        <v>159.53</v>
      </c>
      <c r="E11089" s="2">
        <f>IFERROR(__xludf.DUMMYFUNCTION("""COMPUTED_VALUE"""),160.78)</f>
        <v>160.78</v>
      </c>
      <c r="F11089" s="2">
        <f>IFERROR(__xludf.DUMMYFUNCTION("""COMPUTED_VALUE"""),2982924.0)</f>
        <v>2982924</v>
      </c>
    </row>
    <row r="11090">
      <c r="A11090" s="3">
        <f>IFERROR(__xludf.DUMMYFUNCTION("""COMPUTED_VALUE"""),45282.66666666667)</f>
        <v>45282.66667</v>
      </c>
      <c r="B11090" s="2">
        <f>IFERROR(__xludf.DUMMYFUNCTION("""COMPUTED_VALUE"""),161.1)</f>
        <v>161.1</v>
      </c>
      <c r="C11090" s="2">
        <f>IFERROR(__xludf.DUMMYFUNCTION("""COMPUTED_VALUE"""),162.41)</f>
        <v>162.41</v>
      </c>
      <c r="D11090" s="2">
        <f>IFERROR(__xludf.DUMMYFUNCTION("""COMPUTED_VALUE"""),161.0)</f>
        <v>161</v>
      </c>
      <c r="E11090" s="2">
        <f>IFERROR(__xludf.DUMMYFUNCTION("""COMPUTED_VALUE"""),162.14)</f>
        <v>162.14</v>
      </c>
      <c r="F11090" s="2">
        <f>IFERROR(__xludf.DUMMYFUNCTION("""COMPUTED_VALUE"""),2442715.0)</f>
        <v>2442715</v>
      </c>
    </row>
    <row r="11091">
      <c r="A11091" s="3">
        <f>IFERROR(__xludf.DUMMYFUNCTION("""COMPUTED_VALUE"""),45286.66666666667)</f>
        <v>45286.66667</v>
      </c>
      <c r="B11091" s="2">
        <f>IFERROR(__xludf.DUMMYFUNCTION("""COMPUTED_VALUE"""),162.23)</f>
        <v>162.23</v>
      </c>
      <c r="C11091" s="2">
        <f>IFERROR(__xludf.DUMMYFUNCTION("""COMPUTED_VALUE"""),163.31)</f>
        <v>163.31</v>
      </c>
      <c r="D11091" s="2">
        <f>IFERROR(__xludf.DUMMYFUNCTION("""COMPUTED_VALUE"""),162.05)</f>
        <v>162.05</v>
      </c>
      <c r="E11091" s="2">
        <f>IFERROR(__xludf.DUMMYFUNCTION("""COMPUTED_VALUE"""),163.21)</f>
        <v>163.21</v>
      </c>
      <c r="F11091" s="2">
        <f>IFERROR(__xludf.DUMMYFUNCTION("""COMPUTED_VALUE"""),1772443.0)</f>
        <v>1772443</v>
      </c>
    </row>
    <row r="11092">
      <c r="A11092" s="3">
        <f>IFERROR(__xludf.DUMMYFUNCTION("""COMPUTED_VALUE"""),45287.66666666667)</f>
        <v>45287.66667</v>
      </c>
      <c r="B11092" s="2">
        <f>IFERROR(__xludf.DUMMYFUNCTION("""COMPUTED_VALUE"""),163.14)</f>
        <v>163.14</v>
      </c>
      <c r="C11092" s="2">
        <f>IFERROR(__xludf.DUMMYFUNCTION("""COMPUTED_VALUE"""),163.64)</f>
        <v>163.64</v>
      </c>
      <c r="D11092" s="2">
        <f>IFERROR(__xludf.DUMMYFUNCTION("""COMPUTED_VALUE"""),162.68)</f>
        <v>162.68</v>
      </c>
      <c r="E11092" s="2">
        <f>IFERROR(__xludf.DUMMYFUNCTION("""COMPUTED_VALUE"""),163.46)</f>
        <v>163.46</v>
      </c>
      <c r="F11092" s="2">
        <f>IFERROR(__xludf.DUMMYFUNCTION("""COMPUTED_VALUE"""),3234550.0)</f>
        <v>3234550</v>
      </c>
    </row>
    <row r="11093">
      <c r="A11093" s="3">
        <f>IFERROR(__xludf.DUMMYFUNCTION("""COMPUTED_VALUE"""),45288.66666666667)</f>
        <v>45288.66667</v>
      </c>
      <c r="B11093" s="2">
        <f>IFERROR(__xludf.DUMMYFUNCTION("""COMPUTED_VALUE"""),163.96)</f>
        <v>163.96</v>
      </c>
      <c r="C11093" s="2">
        <f>IFERROR(__xludf.DUMMYFUNCTION("""COMPUTED_VALUE"""),163.96)</f>
        <v>163.96</v>
      </c>
      <c r="D11093" s="2">
        <f>IFERROR(__xludf.DUMMYFUNCTION("""COMPUTED_VALUE"""),163.4)</f>
        <v>163.4</v>
      </c>
      <c r="E11093" s="2">
        <f>IFERROR(__xludf.DUMMYFUNCTION("""COMPUTED_VALUE"""),163.75)</f>
        <v>163.75</v>
      </c>
      <c r="F11093" s="2">
        <f>IFERROR(__xludf.DUMMYFUNCTION("""COMPUTED_VALUE"""),2071313.0)</f>
        <v>2071313</v>
      </c>
    </row>
    <row r="11094">
      <c r="A11094" s="3">
        <f>IFERROR(__xludf.DUMMYFUNCTION("""COMPUTED_VALUE"""),45289.66666666667)</f>
        <v>45289.66667</v>
      </c>
      <c r="B11094" s="2">
        <f>IFERROR(__xludf.DUMMYFUNCTION("""COMPUTED_VALUE"""),163.75)</f>
        <v>163.75</v>
      </c>
      <c r="C11094" s="2">
        <f>IFERROR(__xludf.DUMMYFUNCTION("""COMPUTED_VALUE"""),164.18)</f>
        <v>164.18</v>
      </c>
      <c r="D11094" s="2">
        <f>IFERROR(__xludf.DUMMYFUNCTION("""COMPUTED_VALUE"""),162.83)</f>
        <v>162.83</v>
      </c>
      <c r="E11094" s="2">
        <f>IFERROR(__xludf.DUMMYFUNCTION("""COMPUTED_VALUE"""),163.55)</f>
        <v>163.55</v>
      </c>
      <c r="F11094" s="2">
        <f>IFERROR(__xludf.DUMMYFUNCTION("""COMPUTED_VALUE"""),2526169.0)</f>
        <v>2526169</v>
      </c>
    </row>
    <row r="11095">
      <c r="A11095" s="3">
        <f>IFERROR(__xludf.DUMMYFUNCTION("""COMPUTED_VALUE"""),45293.66666666667)</f>
        <v>45293.66667</v>
      </c>
      <c r="B11095" s="2">
        <f>IFERROR(__xludf.DUMMYFUNCTION("""COMPUTED_VALUE"""),162.83)</f>
        <v>162.83</v>
      </c>
      <c r="C11095" s="2">
        <f>IFERROR(__xludf.DUMMYFUNCTION("""COMPUTED_VALUE"""),163.29)</f>
        <v>163.29</v>
      </c>
      <c r="D11095" s="2">
        <f>IFERROR(__xludf.DUMMYFUNCTION("""COMPUTED_VALUE"""),160.46)</f>
        <v>160.46</v>
      </c>
      <c r="E11095" s="2">
        <f>IFERROR(__xludf.DUMMYFUNCTION("""COMPUTED_VALUE"""),161.5)</f>
        <v>161.5</v>
      </c>
      <c r="F11095" s="2">
        <f>IFERROR(__xludf.DUMMYFUNCTION("""COMPUTED_VALUE"""),3825044.0)</f>
        <v>3825044</v>
      </c>
    </row>
    <row r="11096">
      <c r="A11096" s="3">
        <f>IFERROR(__xludf.DUMMYFUNCTION("""COMPUTED_VALUE"""),45294.66666666667)</f>
        <v>45294.66667</v>
      </c>
      <c r="B11096" s="2">
        <f>IFERROR(__xludf.DUMMYFUNCTION("""COMPUTED_VALUE"""),161.0)</f>
        <v>161</v>
      </c>
      <c r="C11096" s="2">
        <f>IFERROR(__xludf.DUMMYFUNCTION("""COMPUTED_VALUE"""),161.73)</f>
        <v>161.73</v>
      </c>
      <c r="D11096" s="2">
        <f>IFERROR(__xludf.DUMMYFUNCTION("""COMPUTED_VALUE"""),160.08)</f>
        <v>160.08</v>
      </c>
      <c r="E11096" s="2">
        <f>IFERROR(__xludf.DUMMYFUNCTION("""COMPUTED_VALUE"""),160.1)</f>
        <v>160.1</v>
      </c>
      <c r="F11096" s="2">
        <f>IFERROR(__xludf.DUMMYFUNCTION("""COMPUTED_VALUE"""),4086065.0)</f>
        <v>4086065</v>
      </c>
    </row>
    <row r="11097">
      <c r="A11097" s="3">
        <f>IFERROR(__xludf.DUMMYFUNCTION("""COMPUTED_VALUE"""),45295.66666666667)</f>
        <v>45295.66667</v>
      </c>
      <c r="B11097" s="2">
        <f>IFERROR(__xludf.DUMMYFUNCTION("""COMPUTED_VALUE"""),160.22)</f>
        <v>160.22</v>
      </c>
      <c r="C11097" s="2">
        <f>IFERROR(__xludf.DUMMYFUNCTION("""COMPUTED_VALUE"""),161.81)</f>
        <v>161.81</v>
      </c>
      <c r="D11097" s="2">
        <f>IFERROR(__xludf.DUMMYFUNCTION("""COMPUTED_VALUE"""),160.17)</f>
        <v>160.17</v>
      </c>
      <c r="E11097" s="2">
        <f>IFERROR(__xludf.DUMMYFUNCTION("""COMPUTED_VALUE"""),160.86)</f>
        <v>160.86</v>
      </c>
      <c r="F11097" s="2">
        <f>IFERROR(__xludf.DUMMYFUNCTION("""COMPUTED_VALUE"""),3212004.0)</f>
        <v>3212004</v>
      </c>
    </row>
    <row r="11098">
      <c r="A11098" s="3">
        <f>IFERROR(__xludf.DUMMYFUNCTION("""COMPUTED_VALUE"""),45296.66666666667)</f>
        <v>45296.66667</v>
      </c>
      <c r="B11098" s="2">
        <f>IFERROR(__xludf.DUMMYFUNCTION("""COMPUTED_VALUE"""),159.91)</f>
        <v>159.91</v>
      </c>
      <c r="C11098" s="2">
        <f>IFERROR(__xludf.DUMMYFUNCTION("""COMPUTED_VALUE"""),160.55)</f>
        <v>160.55</v>
      </c>
      <c r="D11098" s="2">
        <f>IFERROR(__xludf.DUMMYFUNCTION("""COMPUTED_VALUE"""),158.67)</f>
        <v>158.67</v>
      </c>
      <c r="E11098" s="2">
        <f>IFERROR(__xludf.DUMMYFUNCTION("""COMPUTED_VALUE"""),159.16)</f>
        <v>159.16</v>
      </c>
      <c r="F11098" s="2">
        <f>IFERROR(__xludf.DUMMYFUNCTION("""COMPUTED_VALUE"""),4199504.0)</f>
        <v>4199504</v>
      </c>
    </row>
    <row r="11099">
      <c r="A11099" s="3">
        <f>IFERROR(__xludf.DUMMYFUNCTION("""COMPUTED_VALUE"""),45299.66666666667)</f>
        <v>45299.66667</v>
      </c>
      <c r="B11099" s="2">
        <f>IFERROR(__xludf.DUMMYFUNCTION("""COMPUTED_VALUE"""),158.69)</f>
        <v>158.69</v>
      </c>
      <c r="C11099" s="2">
        <f>IFERROR(__xludf.DUMMYFUNCTION("""COMPUTED_VALUE"""),161.22)</f>
        <v>161.22</v>
      </c>
      <c r="D11099" s="2">
        <f>IFERROR(__xludf.DUMMYFUNCTION("""COMPUTED_VALUE"""),157.89)</f>
        <v>157.89</v>
      </c>
      <c r="E11099" s="2">
        <f>IFERROR(__xludf.DUMMYFUNCTION("""COMPUTED_VALUE"""),161.14)</f>
        <v>161.14</v>
      </c>
      <c r="F11099" s="2">
        <f>IFERROR(__xludf.DUMMYFUNCTION("""COMPUTED_VALUE"""),3321698.0)</f>
        <v>3321698</v>
      </c>
    </row>
    <row r="11100">
      <c r="A11100" s="3">
        <f>IFERROR(__xludf.DUMMYFUNCTION("""COMPUTED_VALUE"""),45300.66666666667)</f>
        <v>45300.66667</v>
      </c>
      <c r="B11100" s="2">
        <f>IFERROR(__xludf.DUMMYFUNCTION("""COMPUTED_VALUE"""),160.0)</f>
        <v>160</v>
      </c>
      <c r="C11100" s="2">
        <f>IFERROR(__xludf.DUMMYFUNCTION("""COMPUTED_VALUE"""),160.48)</f>
        <v>160.48</v>
      </c>
      <c r="D11100" s="2">
        <f>IFERROR(__xludf.DUMMYFUNCTION("""COMPUTED_VALUE"""),159.51)</f>
        <v>159.51</v>
      </c>
      <c r="E11100" s="2">
        <f>IFERROR(__xludf.DUMMYFUNCTION("""COMPUTED_VALUE"""),160.08)</f>
        <v>160.08</v>
      </c>
      <c r="F11100" s="2">
        <f>IFERROR(__xludf.DUMMYFUNCTION("""COMPUTED_VALUE"""),2617186.0)</f>
        <v>2617186</v>
      </c>
    </row>
    <row r="11101">
      <c r="A11101" s="3">
        <f>IFERROR(__xludf.DUMMYFUNCTION("""COMPUTED_VALUE"""),45301.66666666667)</f>
        <v>45301.66667</v>
      </c>
      <c r="B11101" s="2">
        <f>IFERROR(__xludf.DUMMYFUNCTION("""COMPUTED_VALUE"""),160.28)</f>
        <v>160.28</v>
      </c>
      <c r="C11101" s="2">
        <f>IFERROR(__xludf.DUMMYFUNCTION("""COMPUTED_VALUE"""),161.34)</f>
        <v>161.34</v>
      </c>
      <c r="D11101" s="2">
        <f>IFERROR(__xludf.DUMMYFUNCTION("""COMPUTED_VALUE"""),159.74)</f>
        <v>159.74</v>
      </c>
      <c r="E11101" s="2">
        <f>IFERROR(__xludf.DUMMYFUNCTION("""COMPUTED_VALUE"""),161.23)</f>
        <v>161.23</v>
      </c>
      <c r="F11101" s="2">
        <f>IFERROR(__xludf.DUMMYFUNCTION("""COMPUTED_VALUE"""),2967852.0)</f>
        <v>2967852</v>
      </c>
    </row>
    <row r="11102">
      <c r="A11102" s="3">
        <f>IFERROR(__xludf.DUMMYFUNCTION("""COMPUTED_VALUE"""),45302.66666666667)</f>
        <v>45302.66667</v>
      </c>
      <c r="B11102" s="2">
        <f>IFERROR(__xludf.DUMMYFUNCTION("""COMPUTED_VALUE"""),161.02)</f>
        <v>161.02</v>
      </c>
      <c r="C11102" s="2">
        <f>IFERROR(__xludf.DUMMYFUNCTION("""COMPUTED_VALUE"""),162.23)</f>
        <v>162.23</v>
      </c>
      <c r="D11102" s="2">
        <f>IFERROR(__xludf.DUMMYFUNCTION("""COMPUTED_VALUE"""),160.29)</f>
        <v>160.29</v>
      </c>
      <c r="E11102" s="2">
        <f>IFERROR(__xludf.DUMMYFUNCTION("""COMPUTED_VALUE"""),162.16)</f>
        <v>162.16</v>
      </c>
      <c r="F11102" s="2">
        <f>IFERROR(__xludf.DUMMYFUNCTION("""COMPUTED_VALUE"""),3778395.0)</f>
        <v>3778395</v>
      </c>
    </row>
    <row r="11103">
      <c r="A11103" s="3">
        <f>IFERROR(__xludf.DUMMYFUNCTION("""COMPUTED_VALUE"""),45303.66666666667)</f>
        <v>45303.66667</v>
      </c>
      <c r="B11103" s="2">
        <f>IFERROR(__xludf.DUMMYFUNCTION("""COMPUTED_VALUE"""),162.97)</f>
        <v>162.97</v>
      </c>
      <c r="C11103" s="2">
        <f>IFERROR(__xludf.DUMMYFUNCTION("""COMPUTED_VALUE"""),165.98)</f>
        <v>165.98</v>
      </c>
      <c r="D11103" s="2">
        <f>IFERROR(__xludf.DUMMYFUNCTION("""COMPUTED_VALUE"""),162.35)</f>
        <v>162.35</v>
      </c>
      <c r="E11103" s="2">
        <f>IFERROR(__xludf.DUMMYFUNCTION("""COMPUTED_VALUE"""),165.8)</f>
        <v>165.8</v>
      </c>
      <c r="F11103" s="2">
        <f>IFERROR(__xludf.DUMMYFUNCTION("""COMPUTED_VALUE"""),4958261.0)</f>
        <v>4958261</v>
      </c>
    </row>
    <row r="11104">
      <c r="A11104" s="3">
        <f>IFERROR(__xludf.DUMMYFUNCTION("""COMPUTED_VALUE"""),45307.66666666667)</f>
        <v>45307.66667</v>
      </c>
      <c r="B11104" s="2">
        <f>IFERROR(__xludf.DUMMYFUNCTION("""COMPUTED_VALUE"""),165.8)</f>
        <v>165.8</v>
      </c>
      <c r="C11104" s="2">
        <f>IFERROR(__xludf.DUMMYFUNCTION("""COMPUTED_VALUE"""),167.25)</f>
        <v>167.25</v>
      </c>
      <c r="D11104" s="2">
        <f>IFERROR(__xludf.DUMMYFUNCTION("""COMPUTED_VALUE"""),165.34)</f>
        <v>165.34</v>
      </c>
      <c r="E11104" s="2">
        <f>IFERROR(__xludf.DUMMYFUNCTION("""COMPUTED_VALUE"""),166.96)</f>
        <v>166.96</v>
      </c>
      <c r="F11104" s="2">
        <f>IFERROR(__xludf.DUMMYFUNCTION("""COMPUTED_VALUE"""),4869635.0)</f>
        <v>4869635</v>
      </c>
    </row>
    <row r="11105">
      <c r="A11105" s="3">
        <f>IFERROR(__xludf.DUMMYFUNCTION("""COMPUTED_VALUE"""),45308.66666666667)</f>
        <v>45308.66667</v>
      </c>
      <c r="B11105" s="2">
        <f>IFERROR(__xludf.DUMMYFUNCTION("""COMPUTED_VALUE"""),166.79)</f>
        <v>166.79</v>
      </c>
      <c r="C11105" s="2">
        <f>IFERROR(__xludf.DUMMYFUNCTION("""COMPUTED_VALUE"""),167.82)</f>
        <v>167.82</v>
      </c>
      <c r="D11105" s="2">
        <f>IFERROR(__xludf.DUMMYFUNCTION("""COMPUTED_VALUE"""),165.5)</f>
        <v>165.5</v>
      </c>
      <c r="E11105" s="2">
        <f>IFERROR(__xludf.DUMMYFUNCTION("""COMPUTED_VALUE"""),166.08)</f>
        <v>166.08</v>
      </c>
      <c r="F11105" s="2">
        <f>IFERROR(__xludf.DUMMYFUNCTION("""COMPUTED_VALUE"""),4288604.0)</f>
        <v>4288604</v>
      </c>
    </row>
    <row r="11106">
      <c r="A11106" s="3">
        <f>IFERROR(__xludf.DUMMYFUNCTION("""COMPUTED_VALUE"""),45309.66666666667)</f>
        <v>45309.66667</v>
      </c>
      <c r="B11106" s="2">
        <f>IFERROR(__xludf.DUMMYFUNCTION("""COMPUTED_VALUE"""),166.49)</f>
        <v>166.49</v>
      </c>
      <c r="C11106" s="2">
        <f>IFERROR(__xludf.DUMMYFUNCTION("""COMPUTED_VALUE"""),166.99)</f>
        <v>166.99</v>
      </c>
      <c r="D11106" s="2">
        <f>IFERROR(__xludf.DUMMYFUNCTION("""COMPUTED_VALUE"""),165.04)</f>
        <v>165.04</v>
      </c>
      <c r="E11106" s="2">
        <f>IFERROR(__xludf.DUMMYFUNCTION("""COMPUTED_VALUE"""),166.84)</f>
        <v>166.84</v>
      </c>
      <c r="F11106" s="2">
        <f>IFERROR(__xludf.DUMMYFUNCTION("""COMPUTED_VALUE"""),3776990.0)</f>
        <v>3776990</v>
      </c>
    </row>
    <row r="11107">
      <c r="A11107" s="3">
        <f>IFERROR(__xludf.DUMMYFUNCTION("""COMPUTED_VALUE"""),45310.66666666667)</f>
        <v>45310.66667</v>
      </c>
      <c r="B11107" s="2">
        <f>IFERROR(__xludf.DUMMYFUNCTION("""COMPUTED_VALUE"""),170.59)</f>
        <v>170.59</v>
      </c>
      <c r="C11107" s="2">
        <f>IFERROR(__xludf.DUMMYFUNCTION("""COMPUTED_VALUE"""),171.58)</f>
        <v>171.58</v>
      </c>
      <c r="D11107" s="2">
        <f>IFERROR(__xludf.DUMMYFUNCTION("""COMPUTED_VALUE"""),169.18)</f>
        <v>169.18</v>
      </c>
      <c r="E11107" s="2">
        <f>IFERROR(__xludf.DUMMYFUNCTION("""COMPUTED_VALUE"""),171.48)</f>
        <v>171.48</v>
      </c>
      <c r="F11107" s="2">
        <f>IFERROR(__xludf.DUMMYFUNCTION("""COMPUTED_VALUE"""),6929079.0)</f>
        <v>6929079</v>
      </c>
    </row>
    <row r="11108">
      <c r="A11108" s="3">
        <f>IFERROR(__xludf.DUMMYFUNCTION("""COMPUTED_VALUE"""),45313.66666666667)</f>
        <v>45313.66667</v>
      </c>
      <c r="B11108" s="2">
        <f>IFERROR(__xludf.DUMMYFUNCTION("""COMPUTED_VALUE"""),172.82)</f>
        <v>172.82</v>
      </c>
      <c r="C11108" s="2">
        <f>IFERROR(__xludf.DUMMYFUNCTION("""COMPUTED_VALUE"""),174.45)</f>
        <v>174.45</v>
      </c>
      <c r="D11108" s="2">
        <f>IFERROR(__xludf.DUMMYFUNCTION("""COMPUTED_VALUE"""),172.4)</f>
        <v>172.4</v>
      </c>
      <c r="E11108" s="2">
        <f>IFERROR(__xludf.DUMMYFUNCTION("""COMPUTED_VALUE"""),172.83)</f>
        <v>172.83</v>
      </c>
      <c r="F11108" s="2">
        <f>IFERROR(__xludf.DUMMYFUNCTION("""COMPUTED_VALUE"""),4925964.0)</f>
        <v>4925964</v>
      </c>
    </row>
    <row r="11109">
      <c r="A11109" s="3">
        <f>IFERROR(__xludf.DUMMYFUNCTION("""COMPUTED_VALUE"""),45314.66666666667)</f>
        <v>45314.66667</v>
      </c>
      <c r="B11109" s="2">
        <f>IFERROR(__xludf.DUMMYFUNCTION("""COMPUTED_VALUE"""),172.9)</f>
        <v>172.9</v>
      </c>
      <c r="C11109" s="2">
        <f>IFERROR(__xludf.DUMMYFUNCTION("""COMPUTED_VALUE"""),174.02)</f>
        <v>174.02</v>
      </c>
      <c r="D11109" s="2">
        <f>IFERROR(__xludf.DUMMYFUNCTION("""COMPUTED_VALUE"""),172.48)</f>
        <v>172.48</v>
      </c>
      <c r="E11109" s="2">
        <f>IFERROR(__xludf.DUMMYFUNCTION("""COMPUTED_VALUE"""),173.94)</f>
        <v>173.94</v>
      </c>
      <c r="F11109" s="2">
        <f>IFERROR(__xludf.DUMMYFUNCTION("""COMPUTED_VALUE"""),3983461.0)</f>
        <v>3983461</v>
      </c>
    </row>
    <row r="11110">
      <c r="A11110" s="3">
        <f>IFERROR(__xludf.DUMMYFUNCTION("""COMPUTED_VALUE"""),45315.66666666667)</f>
        <v>45315.66667</v>
      </c>
      <c r="B11110" s="2">
        <f>IFERROR(__xludf.DUMMYFUNCTION("""COMPUTED_VALUE"""),174.76)</f>
        <v>174.76</v>
      </c>
      <c r="C11110" s="2">
        <f>IFERROR(__xludf.DUMMYFUNCTION("""COMPUTED_VALUE"""),174.86)</f>
        <v>174.86</v>
      </c>
      <c r="D11110" s="2">
        <f>IFERROR(__xludf.DUMMYFUNCTION("""COMPUTED_VALUE"""),172.9)</f>
        <v>172.9</v>
      </c>
      <c r="E11110" s="2">
        <f>IFERROR(__xludf.DUMMYFUNCTION("""COMPUTED_VALUE"""),173.93)</f>
        <v>173.93</v>
      </c>
      <c r="F11110" s="2">
        <f>IFERROR(__xludf.DUMMYFUNCTION("""COMPUTED_VALUE"""),9097827.0)</f>
        <v>9097827</v>
      </c>
    </row>
    <row r="11111">
      <c r="A11111" s="3">
        <f>IFERROR(__xludf.DUMMYFUNCTION("""COMPUTED_VALUE"""),45316.66666666667)</f>
        <v>45316.66667</v>
      </c>
      <c r="B11111" s="2">
        <f>IFERROR(__xludf.DUMMYFUNCTION("""COMPUTED_VALUE"""),184.96)</f>
        <v>184.96</v>
      </c>
      <c r="C11111" s="2">
        <f>IFERROR(__xludf.DUMMYFUNCTION("""COMPUTED_VALUE"""),196.9)</f>
        <v>196.9</v>
      </c>
      <c r="D11111" s="2">
        <f>IFERROR(__xludf.DUMMYFUNCTION("""COMPUTED_VALUE"""),184.83)</f>
        <v>184.83</v>
      </c>
      <c r="E11111" s="2">
        <f>IFERROR(__xludf.DUMMYFUNCTION("""COMPUTED_VALUE"""),190.43)</f>
        <v>190.43</v>
      </c>
      <c r="F11111" s="2">
        <f>IFERROR(__xludf.DUMMYFUNCTION("""COMPUTED_VALUE"""),2.9596239E7)</f>
        <v>29596239</v>
      </c>
    </row>
    <row r="11112">
      <c r="A11112" s="3">
        <f>IFERROR(__xludf.DUMMYFUNCTION("""COMPUTED_VALUE"""),45317.66666666667)</f>
        <v>45317.66667</v>
      </c>
      <c r="B11112" s="2">
        <f>IFERROR(__xludf.DUMMYFUNCTION("""COMPUTED_VALUE"""),191.31)</f>
        <v>191.31</v>
      </c>
      <c r="C11112" s="2">
        <f>IFERROR(__xludf.DUMMYFUNCTION("""COMPUTED_VALUE"""),192.39)</f>
        <v>192.39</v>
      </c>
      <c r="D11112" s="2">
        <f>IFERROR(__xludf.DUMMYFUNCTION("""COMPUTED_VALUE"""),186.16)</f>
        <v>186.16</v>
      </c>
      <c r="E11112" s="2">
        <f>IFERROR(__xludf.DUMMYFUNCTION("""COMPUTED_VALUE"""),187.42)</f>
        <v>187.42</v>
      </c>
      <c r="F11112" s="2">
        <f>IFERROR(__xludf.DUMMYFUNCTION("""COMPUTED_VALUE"""),9895941.0)</f>
        <v>9895941</v>
      </c>
    </row>
    <row r="11113">
      <c r="A11113" s="3">
        <f>IFERROR(__xludf.DUMMYFUNCTION("""COMPUTED_VALUE"""),45320.66666666667)</f>
        <v>45320.66667</v>
      </c>
      <c r="B11113" s="2">
        <f>IFERROR(__xludf.DUMMYFUNCTION("""COMPUTED_VALUE"""),187.46)</f>
        <v>187.46</v>
      </c>
      <c r="C11113" s="2">
        <f>IFERROR(__xludf.DUMMYFUNCTION("""COMPUTED_VALUE"""),189.46)</f>
        <v>189.46</v>
      </c>
      <c r="D11113" s="2">
        <f>IFERROR(__xludf.DUMMYFUNCTION("""COMPUTED_VALUE"""),186.05)</f>
        <v>186.05</v>
      </c>
      <c r="E11113" s="2">
        <f>IFERROR(__xludf.DUMMYFUNCTION("""COMPUTED_VALUE"""),187.14)</f>
        <v>187.14</v>
      </c>
      <c r="F11113" s="2">
        <f>IFERROR(__xludf.DUMMYFUNCTION("""COMPUTED_VALUE"""),6107908.0)</f>
        <v>6107908</v>
      </c>
    </row>
    <row r="11114">
      <c r="A11114" s="3">
        <f>IFERROR(__xludf.DUMMYFUNCTION("""COMPUTED_VALUE"""),45321.66666666667)</f>
        <v>45321.66667</v>
      </c>
      <c r="B11114" s="2">
        <f>IFERROR(__xludf.DUMMYFUNCTION("""COMPUTED_VALUE"""),187.71)</f>
        <v>187.71</v>
      </c>
      <c r="C11114" s="2">
        <f>IFERROR(__xludf.DUMMYFUNCTION("""COMPUTED_VALUE"""),188.65)</f>
        <v>188.65</v>
      </c>
      <c r="D11114" s="2">
        <f>IFERROR(__xludf.DUMMYFUNCTION("""COMPUTED_VALUE"""),186.77)</f>
        <v>186.77</v>
      </c>
      <c r="E11114" s="2">
        <f>IFERROR(__xludf.DUMMYFUNCTION("""COMPUTED_VALUE"""),187.87)</f>
        <v>187.87</v>
      </c>
      <c r="F11114" s="2">
        <f>IFERROR(__xludf.DUMMYFUNCTION("""COMPUTED_VALUE"""),4575058.0)</f>
        <v>4575058</v>
      </c>
    </row>
    <row r="11115">
      <c r="A11115" s="3">
        <f>IFERROR(__xludf.DUMMYFUNCTION("""COMPUTED_VALUE"""),45322.66666666667)</f>
        <v>45322.66667</v>
      </c>
      <c r="B11115" s="2">
        <f>IFERROR(__xludf.DUMMYFUNCTION("""COMPUTED_VALUE"""),187.05)</f>
        <v>187.05</v>
      </c>
      <c r="C11115" s="2">
        <f>IFERROR(__xludf.DUMMYFUNCTION("""COMPUTED_VALUE"""),187.65)</f>
        <v>187.65</v>
      </c>
      <c r="D11115" s="2">
        <f>IFERROR(__xludf.DUMMYFUNCTION("""COMPUTED_VALUE"""),183.14)</f>
        <v>183.14</v>
      </c>
      <c r="E11115" s="2">
        <f>IFERROR(__xludf.DUMMYFUNCTION("""COMPUTED_VALUE"""),183.66)</f>
        <v>183.66</v>
      </c>
      <c r="F11115" s="2">
        <f>IFERROR(__xludf.DUMMYFUNCTION("""COMPUTED_VALUE"""),8876055.0)</f>
        <v>8876055</v>
      </c>
    </row>
    <row r="11116">
      <c r="A11116" s="3">
        <f>IFERROR(__xludf.DUMMYFUNCTION("""COMPUTED_VALUE"""),45323.66666666667)</f>
        <v>45323.66667</v>
      </c>
      <c r="B11116" s="2">
        <f>IFERROR(__xludf.DUMMYFUNCTION("""COMPUTED_VALUE"""),183.63)</f>
        <v>183.63</v>
      </c>
      <c r="C11116" s="2">
        <f>IFERROR(__xludf.DUMMYFUNCTION("""COMPUTED_VALUE"""),187.51)</f>
        <v>187.51</v>
      </c>
      <c r="D11116" s="2">
        <f>IFERROR(__xludf.DUMMYFUNCTION("""COMPUTED_VALUE"""),182.71)</f>
        <v>182.71</v>
      </c>
      <c r="E11116" s="2">
        <f>IFERROR(__xludf.DUMMYFUNCTION("""COMPUTED_VALUE"""),186.9)</f>
        <v>186.9</v>
      </c>
      <c r="F11116" s="2">
        <f>IFERROR(__xludf.DUMMYFUNCTION("""COMPUTED_VALUE"""),4669444.0)</f>
        <v>4669444</v>
      </c>
    </row>
    <row r="11117">
      <c r="A11117" s="3">
        <f>IFERROR(__xludf.DUMMYFUNCTION("""COMPUTED_VALUE"""),45324.66666666667)</f>
        <v>45324.66667</v>
      </c>
      <c r="B11117" s="2">
        <f>IFERROR(__xludf.DUMMYFUNCTION("""COMPUTED_VALUE"""),187.1)</f>
        <v>187.1</v>
      </c>
      <c r="C11117" s="2">
        <f>IFERROR(__xludf.DUMMYFUNCTION("""COMPUTED_VALUE"""),187.39)</f>
        <v>187.39</v>
      </c>
      <c r="D11117" s="2">
        <f>IFERROR(__xludf.DUMMYFUNCTION("""COMPUTED_VALUE"""),185.62)</f>
        <v>185.62</v>
      </c>
      <c r="E11117" s="2">
        <f>IFERROR(__xludf.DUMMYFUNCTION("""COMPUTED_VALUE"""),185.79)</f>
        <v>185.79</v>
      </c>
      <c r="F11117" s="2">
        <f>IFERROR(__xludf.DUMMYFUNCTION("""COMPUTED_VALUE"""),4055411.0)</f>
        <v>4055411</v>
      </c>
    </row>
    <row r="11118">
      <c r="A11118" s="3">
        <f>IFERROR(__xludf.DUMMYFUNCTION("""COMPUTED_VALUE"""),45327.66666666667)</f>
        <v>45327.66667</v>
      </c>
      <c r="B11118" s="2">
        <f>IFERROR(__xludf.DUMMYFUNCTION("""COMPUTED_VALUE"""),185.51)</f>
        <v>185.51</v>
      </c>
      <c r="C11118" s="2">
        <f>IFERROR(__xludf.DUMMYFUNCTION("""COMPUTED_VALUE"""),185.78)</f>
        <v>185.78</v>
      </c>
      <c r="D11118" s="2">
        <f>IFERROR(__xludf.DUMMYFUNCTION("""COMPUTED_VALUE"""),183.26)</f>
        <v>183.26</v>
      </c>
      <c r="E11118" s="2">
        <f>IFERROR(__xludf.DUMMYFUNCTION("""COMPUTED_VALUE"""),183.42)</f>
        <v>183.42</v>
      </c>
      <c r="F11118" s="2">
        <f>IFERROR(__xludf.DUMMYFUNCTION("""COMPUTED_VALUE"""),4379602.0)</f>
        <v>4379602</v>
      </c>
    </row>
    <row r="11119">
      <c r="A11119" s="3">
        <f>IFERROR(__xludf.DUMMYFUNCTION("""COMPUTED_VALUE"""),45328.66666666667)</f>
        <v>45328.66667</v>
      </c>
      <c r="B11119" s="2">
        <f>IFERROR(__xludf.DUMMYFUNCTION("""COMPUTED_VALUE"""),183.55)</f>
        <v>183.55</v>
      </c>
      <c r="C11119" s="2">
        <f>IFERROR(__xludf.DUMMYFUNCTION("""COMPUTED_VALUE"""),184.68)</f>
        <v>184.68</v>
      </c>
      <c r="D11119" s="2">
        <f>IFERROR(__xludf.DUMMYFUNCTION("""COMPUTED_VALUE"""),183.04)</f>
        <v>183.04</v>
      </c>
      <c r="E11119" s="2">
        <f>IFERROR(__xludf.DUMMYFUNCTION("""COMPUTED_VALUE"""),183.41)</f>
        <v>183.41</v>
      </c>
      <c r="F11119" s="2">
        <f>IFERROR(__xludf.DUMMYFUNCTION("""COMPUTED_VALUE"""),3338196.0)</f>
        <v>3338196</v>
      </c>
    </row>
    <row r="11120">
      <c r="A11120" s="3">
        <f>IFERROR(__xludf.DUMMYFUNCTION("""COMPUTED_VALUE"""),45329.66666666667)</f>
        <v>45329.66667</v>
      </c>
      <c r="B11120" s="2">
        <f>IFERROR(__xludf.DUMMYFUNCTION("""COMPUTED_VALUE"""),183.34)</f>
        <v>183.34</v>
      </c>
      <c r="C11120" s="2">
        <f>IFERROR(__xludf.DUMMYFUNCTION("""COMPUTED_VALUE"""),184.02)</f>
        <v>184.02</v>
      </c>
      <c r="D11120" s="2">
        <f>IFERROR(__xludf.DUMMYFUNCTION("""COMPUTED_VALUE"""),182.63)</f>
        <v>182.63</v>
      </c>
      <c r="E11120" s="2">
        <f>IFERROR(__xludf.DUMMYFUNCTION("""COMPUTED_VALUE"""),183.74)</f>
        <v>183.74</v>
      </c>
      <c r="F11120" s="2">
        <f>IFERROR(__xludf.DUMMYFUNCTION("""COMPUTED_VALUE"""),4841188.0)</f>
        <v>4841188</v>
      </c>
    </row>
    <row r="11121">
      <c r="A11121" s="3">
        <f>IFERROR(__xludf.DUMMYFUNCTION("""COMPUTED_VALUE"""),45330.66666666667)</f>
        <v>45330.66667</v>
      </c>
      <c r="B11121" s="2">
        <f>IFERROR(__xludf.DUMMYFUNCTION("""COMPUTED_VALUE"""),182.63)</f>
        <v>182.63</v>
      </c>
      <c r="C11121" s="2">
        <f>IFERROR(__xludf.DUMMYFUNCTION("""COMPUTED_VALUE"""),184.55)</f>
        <v>184.55</v>
      </c>
      <c r="D11121" s="2">
        <f>IFERROR(__xludf.DUMMYFUNCTION("""COMPUTED_VALUE"""),181.49)</f>
        <v>181.49</v>
      </c>
      <c r="E11121" s="2">
        <f>IFERROR(__xludf.DUMMYFUNCTION("""COMPUTED_VALUE"""),184.36)</f>
        <v>184.36</v>
      </c>
      <c r="F11121" s="2">
        <f>IFERROR(__xludf.DUMMYFUNCTION("""COMPUTED_VALUE"""),5161185.0)</f>
        <v>5161185</v>
      </c>
    </row>
    <row r="11122">
      <c r="A11122" s="3">
        <f>IFERROR(__xludf.DUMMYFUNCTION("""COMPUTED_VALUE"""),45331.66666666667)</f>
        <v>45331.66667</v>
      </c>
      <c r="B11122" s="2">
        <f>IFERROR(__xludf.DUMMYFUNCTION("""COMPUTED_VALUE"""),184.44)</f>
        <v>184.44</v>
      </c>
      <c r="C11122" s="2">
        <f>IFERROR(__xludf.DUMMYFUNCTION("""COMPUTED_VALUE"""),187.18)</f>
        <v>187.18</v>
      </c>
      <c r="D11122" s="2">
        <f>IFERROR(__xludf.DUMMYFUNCTION("""COMPUTED_VALUE"""),183.85)</f>
        <v>183.85</v>
      </c>
      <c r="E11122" s="2">
        <f>IFERROR(__xludf.DUMMYFUNCTION("""COMPUTED_VALUE"""),186.34)</f>
        <v>186.34</v>
      </c>
      <c r="F11122" s="2">
        <f>IFERROR(__xludf.DUMMYFUNCTION("""COMPUTED_VALUE"""),5064641.0)</f>
        <v>5064641</v>
      </c>
    </row>
    <row r="11123">
      <c r="A11123" s="3">
        <f>IFERROR(__xludf.DUMMYFUNCTION("""COMPUTED_VALUE"""),45334.66666666667)</f>
        <v>45334.66667</v>
      </c>
      <c r="B11123" s="2">
        <f>IFERROR(__xludf.DUMMYFUNCTION("""COMPUTED_VALUE"""),185.9)</f>
        <v>185.9</v>
      </c>
      <c r="C11123" s="2">
        <f>IFERROR(__xludf.DUMMYFUNCTION("""COMPUTED_VALUE"""),186.48)</f>
        <v>186.48</v>
      </c>
      <c r="D11123" s="2">
        <f>IFERROR(__xludf.DUMMYFUNCTION("""COMPUTED_VALUE"""),184.03)</f>
        <v>184.03</v>
      </c>
      <c r="E11123" s="2">
        <f>IFERROR(__xludf.DUMMYFUNCTION("""COMPUTED_VALUE"""),186.16)</f>
        <v>186.16</v>
      </c>
      <c r="F11123" s="2">
        <f>IFERROR(__xludf.DUMMYFUNCTION("""COMPUTED_VALUE"""),4724021.0)</f>
        <v>4724021</v>
      </c>
    </row>
    <row r="11124">
      <c r="A11124" s="3">
        <f>IFERROR(__xludf.DUMMYFUNCTION("""COMPUTED_VALUE"""),45335.66666666667)</f>
        <v>45335.66667</v>
      </c>
      <c r="B11124" s="2">
        <f>IFERROR(__xludf.DUMMYFUNCTION("""COMPUTED_VALUE"""),184.28)</f>
        <v>184.28</v>
      </c>
      <c r="C11124" s="2">
        <f>IFERROR(__xludf.DUMMYFUNCTION("""COMPUTED_VALUE"""),184.77)</f>
        <v>184.77</v>
      </c>
      <c r="D11124" s="2">
        <f>IFERROR(__xludf.DUMMYFUNCTION("""COMPUTED_VALUE"""),182.36)</f>
        <v>182.36</v>
      </c>
      <c r="E11124" s="2">
        <f>IFERROR(__xludf.DUMMYFUNCTION("""COMPUTED_VALUE"""),183.7)</f>
        <v>183.7</v>
      </c>
      <c r="F11124" s="2">
        <f>IFERROR(__xludf.DUMMYFUNCTION("""COMPUTED_VALUE"""),4290453.0)</f>
        <v>4290453</v>
      </c>
    </row>
    <row r="11125">
      <c r="A11125" s="3">
        <f>IFERROR(__xludf.DUMMYFUNCTION("""COMPUTED_VALUE"""),45336.66666666667)</f>
        <v>45336.66667</v>
      </c>
      <c r="B11125" s="2">
        <f>IFERROR(__xludf.DUMMYFUNCTION("""COMPUTED_VALUE"""),185.0)</f>
        <v>185</v>
      </c>
      <c r="C11125" s="2">
        <f>IFERROR(__xludf.DUMMYFUNCTION("""COMPUTED_VALUE"""),185.0)</f>
        <v>185</v>
      </c>
      <c r="D11125" s="2">
        <f>IFERROR(__xludf.DUMMYFUNCTION("""COMPUTED_VALUE"""),182.26)</f>
        <v>182.26</v>
      </c>
      <c r="E11125" s="2">
        <f>IFERROR(__xludf.DUMMYFUNCTION("""COMPUTED_VALUE"""),183.57)</f>
        <v>183.57</v>
      </c>
      <c r="F11125" s="2">
        <f>IFERROR(__xludf.DUMMYFUNCTION("""COMPUTED_VALUE"""),3173391.0)</f>
        <v>3173391</v>
      </c>
    </row>
    <row r="11126">
      <c r="A11126" s="3">
        <f>IFERROR(__xludf.DUMMYFUNCTION("""COMPUTED_VALUE"""),45337.66666666667)</f>
        <v>45337.66667</v>
      </c>
      <c r="B11126" s="2">
        <f>IFERROR(__xludf.DUMMYFUNCTION("""COMPUTED_VALUE"""),183.62)</f>
        <v>183.62</v>
      </c>
      <c r="C11126" s="2">
        <f>IFERROR(__xludf.DUMMYFUNCTION("""COMPUTED_VALUE"""),186.98)</f>
        <v>186.98</v>
      </c>
      <c r="D11126" s="2">
        <f>IFERROR(__xludf.DUMMYFUNCTION("""COMPUTED_VALUE"""),183.62)</f>
        <v>183.62</v>
      </c>
      <c r="E11126" s="2">
        <f>IFERROR(__xludf.DUMMYFUNCTION("""COMPUTED_VALUE"""),186.87)</f>
        <v>186.87</v>
      </c>
      <c r="F11126" s="2">
        <f>IFERROR(__xludf.DUMMYFUNCTION("""COMPUTED_VALUE"""),4714301.0)</f>
        <v>4714301</v>
      </c>
    </row>
    <row r="11127">
      <c r="A11127" s="3">
        <f>IFERROR(__xludf.DUMMYFUNCTION("""COMPUTED_VALUE"""),45338.66666666667)</f>
        <v>45338.66667</v>
      </c>
      <c r="B11127" s="2">
        <f>IFERROR(__xludf.DUMMYFUNCTION("""COMPUTED_VALUE"""),186.63)</f>
        <v>186.63</v>
      </c>
      <c r="C11127" s="2">
        <f>IFERROR(__xludf.DUMMYFUNCTION("""COMPUTED_VALUE"""),188.95)</f>
        <v>188.95</v>
      </c>
      <c r="D11127" s="2">
        <f>IFERROR(__xludf.DUMMYFUNCTION("""COMPUTED_VALUE"""),185.95)</f>
        <v>185.95</v>
      </c>
      <c r="E11127" s="2">
        <f>IFERROR(__xludf.DUMMYFUNCTION("""COMPUTED_VALUE"""),187.64)</f>
        <v>187.64</v>
      </c>
      <c r="F11127" s="2">
        <f>IFERROR(__xludf.DUMMYFUNCTION("""COMPUTED_VALUE"""),4842840.0)</f>
        <v>4842840</v>
      </c>
    </row>
    <row r="11128">
      <c r="A11128" s="3">
        <f>IFERROR(__xludf.DUMMYFUNCTION("""COMPUTED_VALUE"""),45342.66666666667)</f>
        <v>45342.66667</v>
      </c>
      <c r="B11128" s="2">
        <f>IFERROR(__xludf.DUMMYFUNCTION("""COMPUTED_VALUE"""),187.64)</f>
        <v>187.64</v>
      </c>
      <c r="C11128" s="2">
        <f>IFERROR(__xludf.DUMMYFUNCTION("""COMPUTED_VALUE"""),188.77)</f>
        <v>188.77</v>
      </c>
      <c r="D11128" s="2">
        <f>IFERROR(__xludf.DUMMYFUNCTION("""COMPUTED_VALUE"""),183.06)</f>
        <v>183.06</v>
      </c>
      <c r="E11128" s="2">
        <f>IFERROR(__xludf.DUMMYFUNCTION("""COMPUTED_VALUE"""),183.44)</f>
        <v>183.44</v>
      </c>
      <c r="F11128" s="2">
        <f>IFERROR(__xludf.DUMMYFUNCTION("""COMPUTED_VALUE"""),4247181.0)</f>
        <v>4247181</v>
      </c>
    </row>
    <row r="11129">
      <c r="A11129" s="3">
        <f>IFERROR(__xludf.DUMMYFUNCTION("""COMPUTED_VALUE"""),45343.66666666667)</f>
        <v>45343.66667</v>
      </c>
      <c r="B11129" s="2">
        <f>IFERROR(__xludf.DUMMYFUNCTION("""COMPUTED_VALUE"""),182.56)</f>
        <v>182.56</v>
      </c>
      <c r="C11129" s="2">
        <f>IFERROR(__xludf.DUMMYFUNCTION("""COMPUTED_VALUE"""),183.03)</f>
        <v>183.03</v>
      </c>
      <c r="D11129" s="2">
        <f>IFERROR(__xludf.DUMMYFUNCTION("""COMPUTED_VALUE"""),178.75)</f>
        <v>178.75</v>
      </c>
      <c r="E11129" s="2">
        <f>IFERROR(__xludf.DUMMYFUNCTION("""COMPUTED_VALUE"""),179.7)</f>
        <v>179.7</v>
      </c>
      <c r="F11129" s="2">
        <f>IFERROR(__xludf.DUMMYFUNCTION("""COMPUTED_VALUE"""),4728473.0)</f>
        <v>4728473</v>
      </c>
    </row>
    <row r="11130">
      <c r="A11130" s="3">
        <f>IFERROR(__xludf.DUMMYFUNCTION("""COMPUTED_VALUE"""),45344.66666666667)</f>
        <v>45344.66667</v>
      </c>
      <c r="B11130" s="2">
        <f>IFERROR(__xludf.DUMMYFUNCTION("""COMPUTED_VALUE"""),182.45)</f>
        <v>182.45</v>
      </c>
      <c r="C11130" s="2">
        <f>IFERROR(__xludf.DUMMYFUNCTION("""COMPUTED_VALUE"""),184.55)</f>
        <v>184.55</v>
      </c>
      <c r="D11130" s="2">
        <f>IFERROR(__xludf.DUMMYFUNCTION("""COMPUTED_VALUE"""),181.93)</f>
        <v>181.93</v>
      </c>
      <c r="E11130" s="2">
        <f>IFERROR(__xludf.DUMMYFUNCTION("""COMPUTED_VALUE"""),184.21)</f>
        <v>184.21</v>
      </c>
      <c r="F11130" s="2">
        <f>IFERROR(__xludf.DUMMYFUNCTION("""COMPUTED_VALUE"""),5078398.0)</f>
        <v>5078398</v>
      </c>
    </row>
    <row r="11131">
      <c r="A11131" s="3">
        <f>IFERROR(__xludf.DUMMYFUNCTION("""COMPUTED_VALUE"""),45345.66666666667)</f>
        <v>45345.66667</v>
      </c>
      <c r="B11131" s="2">
        <f>IFERROR(__xludf.DUMMYFUNCTION("""COMPUTED_VALUE"""),184.9)</f>
        <v>184.9</v>
      </c>
      <c r="C11131" s="2">
        <f>IFERROR(__xludf.DUMMYFUNCTION("""COMPUTED_VALUE"""),186.46)</f>
        <v>186.46</v>
      </c>
      <c r="D11131" s="2">
        <f>IFERROR(__xludf.DUMMYFUNCTION("""COMPUTED_VALUE"""),184.57)</f>
        <v>184.57</v>
      </c>
      <c r="E11131" s="2">
        <f>IFERROR(__xludf.DUMMYFUNCTION("""COMPUTED_VALUE"""),185.72)</f>
        <v>185.72</v>
      </c>
      <c r="F11131" s="2">
        <f>IFERROR(__xludf.DUMMYFUNCTION("""COMPUTED_VALUE"""),3433800.0)</f>
        <v>3433800</v>
      </c>
    </row>
    <row r="11132">
      <c r="A11132" s="3">
        <f>IFERROR(__xludf.DUMMYFUNCTION("""COMPUTED_VALUE"""),45348.66666666667)</f>
        <v>45348.66667</v>
      </c>
      <c r="B11132" s="2">
        <f>IFERROR(__xludf.DUMMYFUNCTION("""COMPUTED_VALUE"""),185.6)</f>
        <v>185.6</v>
      </c>
      <c r="C11132" s="2">
        <f>IFERROR(__xludf.DUMMYFUNCTION("""COMPUTED_VALUE"""),186.13)</f>
        <v>186.13</v>
      </c>
      <c r="D11132" s="2">
        <f>IFERROR(__xludf.DUMMYFUNCTION("""COMPUTED_VALUE"""),184.06)</f>
        <v>184.06</v>
      </c>
      <c r="E11132" s="2">
        <f>IFERROR(__xludf.DUMMYFUNCTION("""COMPUTED_VALUE"""),184.13)</f>
        <v>184.13</v>
      </c>
      <c r="F11132" s="2">
        <f>IFERROR(__xludf.DUMMYFUNCTION("""COMPUTED_VALUE"""),4620815.0)</f>
        <v>4620815</v>
      </c>
    </row>
    <row r="11133">
      <c r="A11133" s="3">
        <f>IFERROR(__xludf.DUMMYFUNCTION("""COMPUTED_VALUE"""),45349.66666666667)</f>
        <v>45349.66667</v>
      </c>
      <c r="B11133" s="2">
        <f>IFERROR(__xludf.DUMMYFUNCTION("""COMPUTED_VALUE"""),184.16)</f>
        <v>184.16</v>
      </c>
      <c r="C11133" s="2">
        <f>IFERROR(__xludf.DUMMYFUNCTION("""COMPUTED_VALUE"""),185.13)</f>
        <v>185.13</v>
      </c>
      <c r="D11133" s="2">
        <f>IFERROR(__xludf.DUMMYFUNCTION("""COMPUTED_VALUE"""),182.62)</f>
        <v>182.62</v>
      </c>
      <c r="E11133" s="2">
        <f>IFERROR(__xludf.DUMMYFUNCTION("""COMPUTED_VALUE"""),184.87)</f>
        <v>184.87</v>
      </c>
      <c r="F11133" s="2">
        <f>IFERROR(__xludf.DUMMYFUNCTION("""COMPUTED_VALUE"""),3641378.0)</f>
        <v>3641378</v>
      </c>
    </row>
    <row r="11134">
      <c r="A11134" s="3">
        <f>IFERROR(__xludf.DUMMYFUNCTION("""COMPUTED_VALUE"""),45350.66666666667)</f>
        <v>45350.66667</v>
      </c>
      <c r="B11134" s="2">
        <f>IFERROR(__xludf.DUMMYFUNCTION("""COMPUTED_VALUE"""),184.63)</f>
        <v>184.63</v>
      </c>
      <c r="C11134" s="2">
        <f>IFERROR(__xludf.DUMMYFUNCTION("""COMPUTED_VALUE"""),185.37)</f>
        <v>185.37</v>
      </c>
      <c r="D11134" s="2">
        <f>IFERROR(__xludf.DUMMYFUNCTION("""COMPUTED_VALUE"""),183.55)</f>
        <v>183.55</v>
      </c>
      <c r="E11134" s="2">
        <f>IFERROR(__xludf.DUMMYFUNCTION("""COMPUTED_VALUE"""),185.3)</f>
        <v>185.3</v>
      </c>
      <c r="F11134" s="2">
        <f>IFERROR(__xludf.DUMMYFUNCTION("""COMPUTED_VALUE"""),3216345.0)</f>
        <v>3216345</v>
      </c>
    </row>
    <row r="11135">
      <c r="A11135" s="3">
        <f>IFERROR(__xludf.DUMMYFUNCTION("""COMPUTED_VALUE"""),45351.66666666667)</f>
        <v>45351.66667</v>
      </c>
      <c r="B11135" s="2">
        <f>IFERROR(__xludf.DUMMYFUNCTION("""COMPUTED_VALUE"""),186.15)</f>
        <v>186.15</v>
      </c>
      <c r="C11135" s="2">
        <f>IFERROR(__xludf.DUMMYFUNCTION("""COMPUTED_VALUE"""),186.85)</f>
        <v>186.85</v>
      </c>
      <c r="D11135" s="2">
        <f>IFERROR(__xludf.DUMMYFUNCTION("""COMPUTED_VALUE"""),184.69)</f>
        <v>184.69</v>
      </c>
      <c r="E11135" s="2">
        <f>IFERROR(__xludf.DUMMYFUNCTION("""COMPUTED_VALUE"""),185.03)</f>
        <v>185.03</v>
      </c>
      <c r="F11135" s="2">
        <f>IFERROR(__xludf.DUMMYFUNCTION("""COMPUTED_VALUE"""),6458487.0)</f>
        <v>6458487</v>
      </c>
    </row>
    <row r="11136">
      <c r="A11136" s="3">
        <f>IFERROR(__xludf.DUMMYFUNCTION("""COMPUTED_VALUE"""),45352.66666666667)</f>
        <v>45352.66667</v>
      </c>
      <c r="B11136" s="2">
        <f>IFERROR(__xludf.DUMMYFUNCTION("""COMPUTED_VALUE"""),185.49)</f>
        <v>185.49</v>
      </c>
      <c r="C11136" s="2">
        <f>IFERROR(__xludf.DUMMYFUNCTION("""COMPUTED_VALUE"""),188.38)</f>
        <v>188.38</v>
      </c>
      <c r="D11136" s="2">
        <f>IFERROR(__xludf.DUMMYFUNCTION("""COMPUTED_VALUE"""),185.18)</f>
        <v>185.18</v>
      </c>
      <c r="E11136" s="2">
        <f>IFERROR(__xludf.DUMMYFUNCTION("""COMPUTED_VALUE"""),188.2)</f>
        <v>188.2</v>
      </c>
      <c r="F11136" s="2">
        <f>IFERROR(__xludf.DUMMYFUNCTION("""COMPUTED_VALUE"""),4018354.0)</f>
        <v>4018354</v>
      </c>
    </row>
    <row r="11137">
      <c r="A11137" s="3">
        <f>IFERROR(__xludf.DUMMYFUNCTION("""COMPUTED_VALUE"""),45355.66666666667)</f>
        <v>45355.66667</v>
      </c>
      <c r="B11137" s="2">
        <f>IFERROR(__xludf.DUMMYFUNCTION("""COMPUTED_VALUE"""),187.76)</f>
        <v>187.76</v>
      </c>
      <c r="C11137" s="2">
        <f>IFERROR(__xludf.DUMMYFUNCTION("""COMPUTED_VALUE"""),193.9)</f>
        <v>193.9</v>
      </c>
      <c r="D11137" s="2">
        <f>IFERROR(__xludf.DUMMYFUNCTION("""COMPUTED_VALUE"""),187.6)</f>
        <v>187.6</v>
      </c>
      <c r="E11137" s="2">
        <f>IFERROR(__xludf.DUMMYFUNCTION("""COMPUTED_VALUE"""),193.06)</f>
        <v>193.06</v>
      </c>
      <c r="F11137" s="2">
        <f>IFERROR(__xludf.DUMMYFUNCTION("""COMPUTED_VALUE"""),7938266.0)</f>
        <v>7938266</v>
      </c>
    </row>
    <row r="11138">
      <c r="A11138" s="3">
        <f>IFERROR(__xludf.DUMMYFUNCTION("""COMPUTED_VALUE"""),45356.66666666667)</f>
        <v>45356.66667</v>
      </c>
      <c r="B11138" s="2">
        <f>IFERROR(__xludf.DUMMYFUNCTION("""COMPUTED_VALUE"""),192.0)</f>
        <v>192</v>
      </c>
      <c r="C11138" s="2">
        <f>IFERROR(__xludf.DUMMYFUNCTION("""COMPUTED_VALUE"""),193.94)</f>
        <v>193.94</v>
      </c>
      <c r="D11138" s="2">
        <f>IFERROR(__xludf.DUMMYFUNCTION("""COMPUTED_VALUE"""),190.57)</f>
        <v>190.57</v>
      </c>
      <c r="E11138" s="2">
        <f>IFERROR(__xludf.DUMMYFUNCTION("""COMPUTED_VALUE"""),191.95)</f>
        <v>191.95</v>
      </c>
      <c r="F11138" s="2">
        <f>IFERROR(__xludf.DUMMYFUNCTION("""COMPUTED_VALUE"""),5653641.0)</f>
        <v>5653641</v>
      </c>
    </row>
    <row r="11139">
      <c r="A11139" s="3">
        <f>IFERROR(__xludf.DUMMYFUNCTION("""COMPUTED_VALUE"""),45357.66666666667)</f>
        <v>45357.66667</v>
      </c>
      <c r="B11139" s="2">
        <f>IFERROR(__xludf.DUMMYFUNCTION("""COMPUTED_VALUE"""),193.5)</f>
        <v>193.5</v>
      </c>
      <c r="C11139" s="2">
        <f>IFERROR(__xludf.DUMMYFUNCTION("""COMPUTED_VALUE"""),198.13)</f>
        <v>198.13</v>
      </c>
      <c r="D11139" s="2">
        <f>IFERROR(__xludf.DUMMYFUNCTION("""COMPUTED_VALUE"""),192.96)</f>
        <v>192.96</v>
      </c>
      <c r="E11139" s="2">
        <f>IFERROR(__xludf.DUMMYFUNCTION("""COMPUTED_VALUE"""),196.16)</f>
        <v>196.16</v>
      </c>
      <c r="F11139" s="2">
        <f>IFERROR(__xludf.DUMMYFUNCTION("""COMPUTED_VALUE"""),6945818.0)</f>
        <v>6945818</v>
      </c>
    </row>
    <row r="11140">
      <c r="A11140" s="3">
        <f>IFERROR(__xludf.DUMMYFUNCTION("""COMPUTED_VALUE"""),45358.66666666667)</f>
        <v>45358.66667</v>
      </c>
      <c r="B11140" s="2">
        <f>IFERROR(__xludf.DUMMYFUNCTION("""COMPUTED_VALUE"""),197.58)</f>
        <v>197.58</v>
      </c>
      <c r="C11140" s="2">
        <f>IFERROR(__xludf.DUMMYFUNCTION("""COMPUTED_VALUE"""),198.73)</f>
        <v>198.73</v>
      </c>
      <c r="D11140" s="2">
        <f>IFERROR(__xludf.DUMMYFUNCTION("""COMPUTED_VALUE"""),196.14)</f>
        <v>196.14</v>
      </c>
      <c r="E11140" s="2">
        <f>IFERROR(__xludf.DUMMYFUNCTION("""COMPUTED_VALUE"""),196.54)</f>
        <v>196.54</v>
      </c>
      <c r="F11140" s="2">
        <f>IFERROR(__xludf.DUMMYFUNCTION("""COMPUTED_VALUE"""),4604458.0)</f>
        <v>4604458</v>
      </c>
    </row>
    <row r="11141">
      <c r="A11141" s="3">
        <f>IFERROR(__xludf.DUMMYFUNCTION("""COMPUTED_VALUE"""),45359.66666666667)</f>
        <v>45359.66667</v>
      </c>
      <c r="B11141" s="2">
        <f>IFERROR(__xludf.DUMMYFUNCTION("""COMPUTED_VALUE"""),196.06)</f>
        <v>196.06</v>
      </c>
      <c r="C11141" s="2">
        <f>IFERROR(__xludf.DUMMYFUNCTION("""COMPUTED_VALUE"""),197.77)</f>
        <v>197.77</v>
      </c>
      <c r="D11141" s="2">
        <f>IFERROR(__xludf.DUMMYFUNCTION("""COMPUTED_VALUE"""),194.38)</f>
        <v>194.38</v>
      </c>
      <c r="E11141" s="2">
        <f>IFERROR(__xludf.DUMMYFUNCTION("""COMPUTED_VALUE"""),195.95)</f>
        <v>195.95</v>
      </c>
      <c r="F11141" s="2">
        <f>IFERROR(__xludf.DUMMYFUNCTION("""COMPUTED_VALUE"""),3943113.0)</f>
        <v>3943113</v>
      </c>
    </row>
    <row r="11142">
      <c r="A11142" s="3">
        <f>IFERROR(__xludf.DUMMYFUNCTION("""COMPUTED_VALUE"""),45362.66666666667)</f>
        <v>45362.66667</v>
      </c>
      <c r="B11142" s="2">
        <f>IFERROR(__xludf.DUMMYFUNCTION("""COMPUTED_VALUE"""),195.09)</f>
        <v>195.09</v>
      </c>
      <c r="C11142" s="2">
        <f>IFERROR(__xludf.DUMMYFUNCTION("""COMPUTED_VALUE"""),195.38)</f>
        <v>195.38</v>
      </c>
      <c r="D11142" s="2">
        <f>IFERROR(__xludf.DUMMYFUNCTION("""COMPUTED_VALUE"""),190.88)</f>
        <v>190.88</v>
      </c>
      <c r="E11142" s="2">
        <f>IFERROR(__xludf.DUMMYFUNCTION("""COMPUTED_VALUE"""),191.73)</f>
        <v>191.73</v>
      </c>
      <c r="F11142" s="2">
        <f>IFERROR(__xludf.DUMMYFUNCTION("""COMPUTED_VALUE"""),4725057.0)</f>
        <v>4725057</v>
      </c>
    </row>
    <row r="11143">
      <c r="A11143" s="3">
        <f>IFERROR(__xludf.DUMMYFUNCTION("""COMPUTED_VALUE"""),45363.66666666667)</f>
        <v>45363.66667</v>
      </c>
      <c r="B11143" s="2">
        <f>IFERROR(__xludf.DUMMYFUNCTION("""COMPUTED_VALUE"""),192.46)</f>
        <v>192.46</v>
      </c>
      <c r="C11143" s="2">
        <f>IFERROR(__xludf.DUMMYFUNCTION("""COMPUTED_VALUE"""),199.18)</f>
        <v>199.18</v>
      </c>
      <c r="D11143" s="2">
        <f>IFERROR(__xludf.DUMMYFUNCTION("""COMPUTED_VALUE"""),192.15)</f>
        <v>192.15</v>
      </c>
      <c r="E11143" s="2">
        <f>IFERROR(__xludf.DUMMYFUNCTION("""COMPUTED_VALUE"""),197.78)</f>
        <v>197.78</v>
      </c>
      <c r="F11143" s="2">
        <f>IFERROR(__xludf.DUMMYFUNCTION("""COMPUTED_VALUE"""),5880075.0)</f>
        <v>5880075</v>
      </c>
    </row>
    <row r="11144">
      <c r="A11144" s="3">
        <f>IFERROR(__xludf.DUMMYFUNCTION("""COMPUTED_VALUE"""),45364.66666666667)</f>
        <v>45364.66667</v>
      </c>
      <c r="B11144" s="2">
        <f>IFERROR(__xludf.DUMMYFUNCTION("""COMPUTED_VALUE"""),197.55)</f>
        <v>197.55</v>
      </c>
      <c r="C11144" s="2">
        <f>IFERROR(__xludf.DUMMYFUNCTION("""COMPUTED_VALUE"""),198.1)</f>
        <v>198.1</v>
      </c>
      <c r="D11144" s="2">
        <f>IFERROR(__xludf.DUMMYFUNCTION("""COMPUTED_VALUE"""),195.32)</f>
        <v>195.32</v>
      </c>
      <c r="E11144" s="2">
        <f>IFERROR(__xludf.DUMMYFUNCTION("""COMPUTED_VALUE"""),196.7)</f>
        <v>196.7</v>
      </c>
      <c r="F11144" s="2">
        <f>IFERROR(__xludf.DUMMYFUNCTION("""COMPUTED_VALUE"""),3993258.0)</f>
        <v>3993258</v>
      </c>
    </row>
    <row r="11145">
      <c r="A11145" s="3">
        <f>IFERROR(__xludf.DUMMYFUNCTION("""COMPUTED_VALUE"""),45365.66666666667)</f>
        <v>45365.66667</v>
      </c>
      <c r="B11145" s="2">
        <f>IFERROR(__xludf.DUMMYFUNCTION("""COMPUTED_VALUE"""),196.95)</f>
        <v>196.95</v>
      </c>
      <c r="C11145" s="2">
        <f>IFERROR(__xludf.DUMMYFUNCTION("""COMPUTED_VALUE"""),197.75)</f>
        <v>197.75</v>
      </c>
      <c r="D11145" s="2">
        <f>IFERROR(__xludf.DUMMYFUNCTION("""COMPUTED_VALUE"""),192.12)</f>
        <v>192.12</v>
      </c>
      <c r="E11145" s="2">
        <f>IFERROR(__xludf.DUMMYFUNCTION("""COMPUTED_VALUE"""),193.43)</f>
        <v>193.43</v>
      </c>
      <c r="F11145" s="2">
        <f>IFERROR(__xludf.DUMMYFUNCTION("""COMPUTED_VALUE"""),4109636.0)</f>
        <v>4109636</v>
      </c>
    </row>
    <row r="11146">
      <c r="A11146" s="3">
        <f>IFERROR(__xludf.DUMMYFUNCTION("""COMPUTED_VALUE"""),45366.66666666667)</f>
        <v>45366.66667</v>
      </c>
      <c r="B11146" s="2">
        <f>IFERROR(__xludf.DUMMYFUNCTION("""COMPUTED_VALUE"""),191.99)</f>
        <v>191.99</v>
      </c>
      <c r="C11146" s="2">
        <f>IFERROR(__xludf.DUMMYFUNCTION("""COMPUTED_VALUE"""),193.06)</f>
        <v>193.06</v>
      </c>
      <c r="D11146" s="2">
        <f>IFERROR(__xludf.DUMMYFUNCTION("""COMPUTED_VALUE"""),190.7)</f>
        <v>190.7</v>
      </c>
      <c r="E11146" s="2">
        <f>IFERROR(__xludf.DUMMYFUNCTION("""COMPUTED_VALUE"""),191.07)</f>
        <v>191.07</v>
      </c>
      <c r="F11146" s="2">
        <f>IFERROR(__xludf.DUMMYFUNCTION("""COMPUTED_VALUE"""),8828184.0)</f>
        <v>8828184</v>
      </c>
    </row>
    <row r="11147">
      <c r="A11147" s="3">
        <f>IFERROR(__xludf.DUMMYFUNCTION("""COMPUTED_VALUE"""),45369.66666666667)</f>
        <v>45369.66667</v>
      </c>
      <c r="B11147" s="2">
        <f>IFERROR(__xludf.DUMMYFUNCTION("""COMPUTED_VALUE"""),191.7)</f>
        <v>191.7</v>
      </c>
      <c r="C11147" s="2">
        <f>IFERROR(__xludf.DUMMYFUNCTION("""COMPUTED_VALUE"""),193.23)</f>
        <v>193.23</v>
      </c>
      <c r="D11147" s="2">
        <f>IFERROR(__xludf.DUMMYFUNCTION("""COMPUTED_VALUE"""),190.32)</f>
        <v>190.32</v>
      </c>
      <c r="E11147" s="2">
        <f>IFERROR(__xludf.DUMMYFUNCTION("""COMPUTED_VALUE"""),191.69)</f>
        <v>191.69</v>
      </c>
      <c r="F11147" s="2">
        <f>IFERROR(__xludf.DUMMYFUNCTION("""COMPUTED_VALUE"""),5410562.0)</f>
        <v>5410562</v>
      </c>
    </row>
    <row r="11148">
      <c r="A11148" s="3">
        <f>IFERROR(__xludf.DUMMYFUNCTION("""COMPUTED_VALUE"""),45370.66666666667)</f>
        <v>45370.66667</v>
      </c>
      <c r="B11148" s="2">
        <f>IFERROR(__xludf.DUMMYFUNCTION("""COMPUTED_VALUE"""),191.49)</f>
        <v>191.49</v>
      </c>
      <c r="C11148" s="2">
        <f>IFERROR(__xludf.DUMMYFUNCTION("""COMPUTED_VALUE"""),193.58)</f>
        <v>193.58</v>
      </c>
      <c r="D11148" s="2">
        <f>IFERROR(__xludf.DUMMYFUNCTION("""COMPUTED_VALUE"""),190.28)</f>
        <v>190.28</v>
      </c>
      <c r="E11148" s="2">
        <f>IFERROR(__xludf.DUMMYFUNCTION("""COMPUTED_VALUE"""),193.34)</f>
        <v>193.34</v>
      </c>
      <c r="F11148" s="2">
        <f>IFERROR(__xludf.DUMMYFUNCTION("""COMPUTED_VALUE"""),5317341.0)</f>
        <v>5317341</v>
      </c>
    </row>
    <row r="11149">
      <c r="A11149" s="3">
        <f>IFERROR(__xludf.DUMMYFUNCTION("""COMPUTED_VALUE"""),45371.66666666667)</f>
        <v>45371.66667</v>
      </c>
      <c r="B11149" s="2">
        <f>IFERROR(__xludf.DUMMYFUNCTION("""COMPUTED_VALUE"""),192.87)</f>
        <v>192.87</v>
      </c>
      <c r="C11149" s="2">
        <f>IFERROR(__xludf.DUMMYFUNCTION("""COMPUTED_VALUE"""),193.98)</f>
        <v>193.98</v>
      </c>
      <c r="D11149" s="2">
        <f>IFERROR(__xludf.DUMMYFUNCTION("""COMPUTED_VALUE"""),191.31)</f>
        <v>191.31</v>
      </c>
      <c r="E11149" s="2">
        <f>IFERROR(__xludf.DUMMYFUNCTION("""COMPUTED_VALUE"""),193.96)</f>
        <v>193.96</v>
      </c>
      <c r="F11149" s="2">
        <f>IFERROR(__xludf.DUMMYFUNCTION("""COMPUTED_VALUE"""),3238643.0)</f>
        <v>3238643</v>
      </c>
    </row>
    <row r="11150">
      <c r="A11150" s="3">
        <f>IFERROR(__xludf.DUMMYFUNCTION("""COMPUTED_VALUE"""),45372.66666666667)</f>
        <v>45372.66667</v>
      </c>
      <c r="B11150" s="2">
        <f>IFERROR(__xludf.DUMMYFUNCTION("""COMPUTED_VALUE"""),193.0)</f>
        <v>193</v>
      </c>
      <c r="C11150" s="2">
        <f>IFERROR(__xludf.DUMMYFUNCTION("""COMPUTED_VALUE"""),193.37)</f>
        <v>193.37</v>
      </c>
      <c r="D11150" s="2">
        <f>IFERROR(__xludf.DUMMYFUNCTION("""COMPUTED_VALUE"""),190.01)</f>
        <v>190.01</v>
      </c>
      <c r="E11150" s="2">
        <f>IFERROR(__xludf.DUMMYFUNCTION("""COMPUTED_VALUE"""),191.9)</f>
        <v>191.9</v>
      </c>
      <c r="F11150" s="2">
        <f>IFERROR(__xludf.DUMMYFUNCTION("""COMPUTED_VALUE"""),6013561.0)</f>
        <v>6013561</v>
      </c>
    </row>
    <row r="11151">
      <c r="A11151" s="3">
        <f>IFERROR(__xludf.DUMMYFUNCTION("""COMPUTED_VALUE"""),45373.66666666667)</f>
        <v>45373.66667</v>
      </c>
      <c r="B11151" s="2">
        <f>IFERROR(__xludf.DUMMYFUNCTION("""COMPUTED_VALUE"""),192.0)</f>
        <v>192</v>
      </c>
      <c r="C11151" s="2">
        <f>IFERROR(__xludf.DUMMYFUNCTION("""COMPUTED_VALUE"""),192.99)</f>
        <v>192.99</v>
      </c>
      <c r="D11151" s="2">
        <f>IFERROR(__xludf.DUMMYFUNCTION("""COMPUTED_VALUE"""),190.51)</f>
        <v>190.51</v>
      </c>
      <c r="E11151" s="2">
        <f>IFERROR(__xludf.DUMMYFUNCTION("""COMPUTED_VALUE"""),190.84)</f>
        <v>190.84</v>
      </c>
      <c r="F11151" s="2">
        <f>IFERROR(__xludf.DUMMYFUNCTION("""COMPUTED_VALUE"""),3988398.0)</f>
        <v>3988398</v>
      </c>
    </row>
    <row r="11152">
      <c r="A11152" s="3">
        <f>IFERROR(__xludf.DUMMYFUNCTION("""COMPUTED_VALUE"""),45376.66666666667)</f>
        <v>45376.66667</v>
      </c>
      <c r="B11152" s="2">
        <f>IFERROR(__xludf.DUMMYFUNCTION("""COMPUTED_VALUE"""),190.26)</f>
        <v>190.26</v>
      </c>
      <c r="C11152" s="2">
        <f>IFERROR(__xludf.DUMMYFUNCTION("""COMPUTED_VALUE"""),190.82)</f>
        <v>190.82</v>
      </c>
      <c r="D11152" s="2">
        <f>IFERROR(__xludf.DUMMYFUNCTION("""COMPUTED_VALUE"""),188.75)</f>
        <v>188.75</v>
      </c>
      <c r="E11152" s="2">
        <f>IFERROR(__xludf.DUMMYFUNCTION("""COMPUTED_VALUE"""),188.79)</f>
        <v>188.79</v>
      </c>
      <c r="F11152" s="2">
        <f>IFERROR(__xludf.DUMMYFUNCTION("""COMPUTED_VALUE"""),3718289.0)</f>
        <v>3718289</v>
      </c>
    </row>
    <row r="11153">
      <c r="A11153" s="3">
        <f>IFERROR(__xludf.DUMMYFUNCTION("""COMPUTED_VALUE"""),45377.66666666667)</f>
        <v>45377.66667</v>
      </c>
      <c r="B11153" s="2">
        <f>IFERROR(__xludf.DUMMYFUNCTION("""COMPUTED_VALUE"""),189.02)</f>
        <v>189.02</v>
      </c>
      <c r="C11153" s="2">
        <f>IFERROR(__xludf.DUMMYFUNCTION("""COMPUTED_VALUE"""),190.0)</f>
        <v>190</v>
      </c>
      <c r="D11153" s="2">
        <f>IFERROR(__xludf.DUMMYFUNCTION("""COMPUTED_VALUE"""),188.5)</f>
        <v>188.5</v>
      </c>
      <c r="E11153" s="2">
        <f>IFERROR(__xludf.DUMMYFUNCTION("""COMPUTED_VALUE"""),188.5)</f>
        <v>188.5</v>
      </c>
      <c r="F11153" s="2">
        <f>IFERROR(__xludf.DUMMYFUNCTION("""COMPUTED_VALUE"""),4229535.0)</f>
        <v>4229535</v>
      </c>
    </row>
    <row r="11154">
      <c r="A11154" s="3">
        <f>IFERROR(__xludf.DUMMYFUNCTION("""COMPUTED_VALUE"""),45378.66666666667)</f>
        <v>45378.66667</v>
      </c>
      <c r="B11154" s="2">
        <f>IFERROR(__xludf.DUMMYFUNCTION("""COMPUTED_VALUE"""),189.6)</f>
        <v>189.6</v>
      </c>
      <c r="C11154" s="2">
        <f>IFERROR(__xludf.DUMMYFUNCTION("""COMPUTED_VALUE"""),190.96)</f>
        <v>190.96</v>
      </c>
      <c r="D11154" s="2">
        <f>IFERROR(__xludf.DUMMYFUNCTION("""COMPUTED_VALUE"""),188.6)</f>
        <v>188.6</v>
      </c>
      <c r="E11154" s="2">
        <f>IFERROR(__xludf.DUMMYFUNCTION("""COMPUTED_VALUE"""),190.8)</f>
        <v>190.8</v>
      </c>
      <c r="F11154" s="2">
        <f>IFERROR(__xludf.DUMMYFUNCTION("""COMPUTED_VALUE"""),3693305.0)</f>
        <v>3693305</v>
      </c>
    </row>
    <row r="11155">
      <c r="A11155" s="3">
        <f>IFERROR(__xludf.DUMMYFUNCTION("""COMPUTED_VALUE"""),45379.66666666667)</f>
        <v>45379.66667</v>
      </c>
      <c r="B11155" s="2">
        <f>IFERROR(__xludf.DUMMYFUNCTION("""COMPUTED_VALUE"""),190.94)</f>
        <v>190.94</v>
      </c>
      <c r="C11155" s="2">
        <f>IFERROR(__xludf.DUMMYFUNCTION("""COMPUTED_VALUE"""),191.93)</f>
        <v>191.93</v>
      </c>
      <c r="D11155" s="2">
        <f>IFERROR(__xludf.DUMMYFUNCTION("""COMPUTED_VALUE"""),190.34)</f>
        <v>190.34</v>
      </c>
      <c r="E11155" s="2">
        <f>IFERROR(__xludf.DUMMYFUNCTION("""COMPUTED_VALUE"""),190.96)</f>
        <v>190.96</v>
      </c>
      <c r="F11155" s="2">
        <f>IFERROR(__xludf.DUMMYFUNCTION("""COMPUTED_VALUE"""),3742169.0)</f>
        <v>3742169</v>
      </c>
    </row>
    <row r="11156">
      <c r="A11156" s="3">
        <f>IFERROR(__xludf.DUMMYFUNCTION("""COMPUTED_VALUE"""),45383.66666666667)</f>
        <v>45383.66667</v>
      </c>
      <c r="B11156" s="2">
        <f>IFERROR(__xludf.DUMMYFUNCTION("""COMPUTED_VALUE"""),190.0)</f>
        <v>190</v>
      </c>
      <c r="C11156" s="2">
        <f>IFERROR(__xludf.DUMMYFUNCTION("""COMPUTED_VALUE"""),190.46)</f>
        <v>190.46</v>
      </c>
      <c r="D11156" s="2">
        <f>IFERROR(__xludf.DUMMYFUNCTION("""COMPUTED_VALUE"""),188.52)</f>
        <v>188.52</v>
      </c>
      <c r="E11156" s="2">
        <f>IFERROR(__xludf.DUMMYFUNCTION("""COMPUTED_VALUE"""),189.83)</f>
        <v>189.83</v>
      </c>
      <c r="F11156" s="2">
        <f>IFERROR(__xludf.DUMMYFUNCTION("""COMPUTED_VALUE"""),2364320.0)</f>
        <v>2364320</v>
      </c>
    </row>
    <row r="11157">
      <c r="A11157" s="3">
        <f>IFERROR(__xludf.DUMMYFUNCTION("""COMPUTED_VALUE"""),45384.66666666667)</f>
        <v>45384.66667</v>
      </c>
      <c r="B11157" s="2">
        <f>IFERROR(__xludf.DUMMYFUNCTION("""COMPUTED_VALUE"""),189.14)</f>
        <v>189.14</v>
      </c>
      <c r="C11157" s="2">
        <f>IFERROR(__xludf.DUMMYFUNCTION("""COMPUTED_VALUE"""),189.8)</f>
        <v>189.8</v>
      </c>
      <c r="D11157" s="2">
        <f>IFERROR(__xludf.DUMMYFUNCTION("""COMPUTED_VALUE"""),187.6)</f>
        <v>187.6</v>
      </c>
      <c r="E11157" s="2">
        <f>IFERROR(__xludf.DUMMYFUNCTION("""COMPUTED_VALUE"""),188.88)</f>
        <v>188.88</v>
      </c>
      <c r="F11157" s="2">
        <f>IFERROR(__xludf.DUMMYFUNCTION("""COMPUTED_VALUE"""),2693455.0)</f>
        <v>2693455</v>
      </c>
    </row>
    <row r="11158">
      <c r="A11158" s="3">
        <f>IFERROR(__xludf.DUMMYFUNCTION("""COMPUTED_VALUE"""),45385.66666666667)</f>
        <v>45385.66667</v>
      </c>
      <c r="B11158" s="2">
        <f>IFERROR(__xludf.DUMMYFUNCTION("""COMPUTED_VALUE"""),188.6)</f>
        <v>188.6</v>
      </c>
      <c r="C11158" s="2">
        <f>IFERROR(__xludf.DUMMYFUNCTION("""COMPUTED_VALUE"""),191.35)</f>
        <v>191.35</v>
      </c>
      <c r="D11158" s="2">
        <f>IFERROR(__xludf.DUMMYFUNCTION("""COMPUTED_VALUE"""),188.49)</f>
        <v>188.49</v>
      </c>
      <c r="E11158" s="2">
        <f>IFERROR(__xludf.DUMMYFUNCTION("""COMPUTED_VALUE"""),190.9)</f>
        <v>190.9</v>
      </c>
      <c r="F11158" s="2">
        <f>IFERROR(__xludf.DUMMYFUNCTION("""COMPUTED_VALUE"""),2826193.0)</f>
        <v>2826193</v>
      </c>
    </row>
    <row r="11159">
      <c r="A11159" s="3">
        <f>IFERROR(__xludf.DUMMYFUNCTION("""COMPUTED_VALUE"""),45386.66666666667)</f>
        <v>45386.66667</v>
      </c>
      <c r="B11159" s="2">
        <f>IFERROR(__xludf.DUMMYFUNCTION("""COMPUTED_VALUE"""),192.0)</f>
        <v>192</v>
      </c>
      <c r="C11159" s="2">
        <f>IFERROR(__xludf.DUMMYFUNCTION("""COMPUTED_VALUE"""),193.28)</f>
        <v>193.28</v>
      </c>
      <c r="D11159" s="2">
        <f>IFERROR(__xludf.DUMMYFUNCTION("""COMPUTED_VALUE"""),187.34)</f>
        <v>187.34</v>
      </c>
      <c r="E11159" s="2">
        <f>IFERROR(__xludf.DUMMYFUNCTION("""COMPUTED_VALUE"""),187.94)</f>
        <v>187.94</v>
      </c>
      <c r="F11159" s="2">
        <f>IFERROR(__xludf.DUMMYFUNCTION("""COMPUTED_VALUE"""),2983853.0)</f>
        <v>2983853</v>
      </c>
    </row>
    <row r="11160">
      <c r="A11160" s="3">
        <f>IFERROR(__xludf.DUMMYFUNCTION("""COMPUTED_VALUE"""),45387.66666666667)</f>
        <v>45387.66667</v>
      </c>
      <c r="B11160" s="2">
        <f>IFERROR(__xludf.DUMMYFUNCTION("""COMPUTED_VALUE"""),188.59)</f>
        <v>188.59</v>
      </c>
      <c r="C11160" s="2">
        <f>IFERROR(__xludf.DUMMYFUNCTION("""COMPUTED_VALUE"""),190.32)</f>
        <v>190.32</v>
      </c>
      <c r="D11160" s="2">
        <f>IFERROR(__xludf.DUMMYFUNCTION("""COMPUTED_VALUE"""),188.02)</f>
        <v>188.02</v>
      </c>
      <c r="E11160" s="2">
        <f>IFERROR(__xludf.DUMMYFUNCTION("""COMPUTED_VALUE"""),189.14)</f>
        <v>189.14</v>
      </c>
      <c r="F11160" s="2">
        <f>IFERROR(__xludf.DUMMYFUNCTION("""COMPUTED_VALUE"""),2014264.0)</f>
        <v>2014264</v>
      </c>
    </row>
    <row r="11161">
      <c r="A11161" s="3">
        <f>IFERROR(__xludf.DUMMYFUNCTION("""COMPUTED_VALUE"""),45390.66666666667)</f>
        <v>45390.66667</v>
      </c>
      <c r="B11161" s="2">
        <f>IFERROR(__xludf.DUMMYFUNCTION("""COMPUTED_VALUE"""),189.24)</f>
        <v>189.24</v>
      </c>
      <c r="C11161" s="2">
        <f>IFERROR(__xludf.DUMMYFUNCTION("""COMPUTED_VALUE"""),190.24)</f>
        <v>190.24</v>
      </c>
      <c r="D11161" s="2">
        <f>IFERROR(__xludf.DUMMYFUNCTION("""COMPUTED_VALUE"""),188.91)</f>
        <v>188.91</v>
      </c>
      <c r="E11161" s="2">
        <f>IFERROR(__xludf.DUMMYFUNCTION("""COMPUTED_VALUE"""),189.82)</f>
        <v>189.82</v>
      </c>
      <c r="F11161" s="2">
        <f>IFERROR(__xludf.DUMMYFUNCTION("""COMPUTED_VALUE"""),2678284.0)</f>
        <v>2678284</v>
      </c>
    </row>
    <row r="11162">
      <c r="A11162" s="3">
        <f>IFERROR(__xludf.DUMMYFUNCTION("""COMPUTED_VALUE"""),45391.66666666667)</f>
        <v>45391.66667</v>
      </c>
      <c r="B11162" s="2">
        <f>IFERROR(__xludf.DUMMYFUNCTION("""COMPUTED_VALUE"""),190.54)</f>
        <v>190.54</v>
      </c>
      <c r="C11162" s="2">
        <f>IFERROR(__xludf.DUMMYFUNCTION("""COMPUTED_VALUE"""),191.25)</f>
        <v>191.25</v>
      </c>
      <c r="D11162" s="2">
        <f>IFERROR(__xludf.DUMMYFUNCTION("""COMPUTED_VALUE"""),186.66)</f>
        <v>186.66</v>
      </c>
      <c r="E11162" s="2">
        <f>IFERROR(__xludf.DUMMYFUNCTION("""COMPUTED_VALUE"""),189.31)</f>
        <v>189.31</v>
      </c>
      <c r="F11162" s="2">
        <f>IFERROR(__xludf.DUMMYFUNCTION("""COMPUTED_VALUE"""),2794381.0)</f>
        <v>2794381</v>
      </c>
    </row>
    <row r="11163">
      <c r="A11163" s="3">
        <f>IFERROR(__xludf.DUMMYFUNCTION("""COMPUTED_VALUE"""),45392.66666666667)</f>
        <v>45392.66667</v>
      </c>
      <c r="B11163" s="2">
        <f>IFERROR(__xludf.DUMMYFUNCTION("""COMPUTED_VALUE"""),187.42)</f>
        <v>187.42</v>
      </c>
      <c r="C11163" s="2">
        <f>IFERROR(__xludf.DUMMYFUNCTION("""COMPUTED_VALUE"""),187.92)</f>
        <v>187.92</v>
      </c>
      <c r="D11163" s="2">
        <f>IFERROR(__xludf.DUMMYFUNCTION("""COMPUTED_VALUE"""),185.52)</f>
        <v>185.52</v>
      </c>
      <c r="E11163" s="2">
        <f>IFERROR(__xludf.DUMMYFUNCTION("""COMPUTED_VALUE"""),186.04)</f>
        <v>186.04</v>
      </c>
      <c r="F11163" s="2">
        <f>IFERROR(__xludf.DUMMYFUNCTION("""COMPUTED_VALUE"""),3081915.0)</f>
        <v>3081915</v>
      </c>
    </row>
    <row r="11164">
      <c r="A11164" s="3">
        <f>IFERROR(__xludf.DUMMYFUNCTION("""COMPUTED_VALUE"""),45393.66666666667)</f>
        <v>45393.66667</v>
      </c>
      <c r="B11164" s="2">
        <f>IFERROR(__xludf.DUMMYFUNCTION("""COMPUTED_VALUE"""),186.04)</f>
        <v>186.04</v>
      </c>
      <c r="C11164" s="2">
        <f>IFERROR(__xludf.DUMMYFUNCTION("""COMPUTED_VALUE"""),186.8)</f>
        <v>186.8</v>
      </c>
      <c r="D11164" s="2">
        <f>IFERROR(__xludf.DUMMYFUNCTION("""COMPUTED_VALUE"""),184.58)</f>
        <v>184.58</v>
      </c>
      <c r="E11164" s="2">
        <f>IFERROR(__xludf.DUMMYFUNCTION("""COMPUTED_VALUE"""),185.9)</f>
        <v>185.9</v>
      </c>
      <c r="F11164" s="2">
        <f>IFERROR(__xludf.DUMMYFUNCTION("""COMPUTED_VALUE"""),2861736.0)</f>
        <v>2861736</v>
      </c>
    </row>
    <row r="11165">
      <c r="A11165" s="3">
        <f>IFERROR(__xludf.DUMMYFUNCTION("""COMPUTED_VALUE"""),45394.66666666667)</f>
        <v>45394.66667</v>
      </c>
      <c r="B11165" s="2">
        <f>IFERROR(__xludf.DUMMYFUNCTION("""COMPUTED_VALUE"""),184.0)</f>
        <v>184</v>
      </c>
      <c r="C11165" s="2">
        <f>IFERROR(__xludf.DUMMYFUNCTION("""COMPUTED_VALUE"""),185.17)</f>
        <v>185.17</v>
      </c>
      <c r="D11165" s="2">
        <f>IFERROR(__xludf.DUMMYFUNCTION("""COMPUTED_VALUE"""),181.69)</f>
        <v>181.69</v>
      </c>
      <c r="E11165" s="2">
        <f>IFERROR(__xludf.DUMMYFUNCTION("""COMPUTED_VALUE"""),182.27)</f>
        <v>182.27</v>
      </c>
      <c r="F11165" s="2">
        <f>IFERROR(__xludf.DUMMYFUNCTION("""COMPUTED_VALUE"""),3547378.0)</f>
        <v>3547378</v>
      </c>
    </row>
    <row r="11166">
      <c r="A11166" s="3">
        <f>IFERROR(__xludf.DUMMYFUNCTION("""COMPUTED_VALUE"""),45397.66666666667)</f>
        <v>45397.66667</v>
      </c>
      <c r="B11166" s="2">
        <f>IFERROR(__xludf.DUMMYFUNCTION("""COMPUTED_VALUE"""),185.57)</f>
        <v>185.57</v>
      </c>
      <c r="C11166" s="2">
        <f>IFERROR(__xludf.DUMMYFUNCTION("""COMPUTED_VALUE"""),187.48)</f>
        <v>187.48</v>
      </c>
      <c r="D11166" s="2">
        <f>IFERROR(__xludf.DUMMYFUNCTION("""COMPUTED_VALUE"""),180.88)</f>
        <v>180.88</v>
      </c>
      <c r="E11166" s="2">
        <f>IFERROR(__xludf.DUMMYFUNCTION("""COMPUTED_VALUE"""),181.25)</f>
        <v>181.25</v>
      </c>
      <c r="F11166" s="2">
        <f>IFERROR(__xludf.DUMMYFUNCTION("""COMPUTED_VALUE"""),3528140.0)</f>
        <v>3528140</v>
      </c>
    </row>
    <row r="11167">
      <c r="A11167" s="3">
        <f>IFERROR(__xludf.DUMMYFUNCTION("""COMPUTED_VALUE"""),45398.66666666667)</f>
        <v>45398.66667</v>
      </c>
      <c r="B11167" s="2">
        <f>IFERROR(__xludf.DUMMYFUNCTION("""COMPUTED_VALUE"""),185.59)</f>
        <v>185.59</v>
      </c>
      <c r="C11167" s="2">
        <f>IFERROR(__xludf.DUMMYFUNCTION("""COMPUTED_VALUE"""),185.71)</f>
        <v>185.71</v>
      </c>
      <c r="D11167" s="2">
        <f>IFERROR(__xludf.DUMMYFUNCTION("""COMPUTED_VALUE"""),182.86)</f>
        <v>182.86</v>
      </c>
      <c r="E11167" s="2">
        <f>IFERROR(__xludf.DUMMYFUNCTION("""COMPUTED_VALUE"""),183.75)</f>
        <v>183.75</v>
      </c>
      <c r="F11167" s="2">
        <f>IFERROR(__xludf.DUMMYFUNCTION("""COMPUTED_VALUE"""),4473654.0)</f>
        <v>4473654</v>
      </c>
    </row>
    <row r="11168">
      <c r="A11168" s="3">
        <f>IFERROR(__xludf.DUMMYFUNCTION("""COMPUTED_VALUE"""),45399.66666666667)</f>
        <v>45399.66667</v>
      </c>
      <c r="B11168" s="2">
        <f>IFERROR(__xludf.DUMMYFUNCTION("""COMPUTED_VALUE"""),184.16)</f>
        <v>184.16</v>
      </c>
      <c r="C11168" s="2">
        <f>IFERROR(__xludf.DUMMYFUNCTION("""COMPUTED_VALUE"""),184.67)</f>
        <v>184.67</v>
      </c>
      <c r="D11168" s="2">
        <f>IFERROR(__xludf.DUMMYFUNCTION("""COMPUTED_VALUE"""),181.78)</f>
        <v>181.78</v>
      </c>
      <c r="E11168" s="2">
        <f>IFERROR(__xludf.DUMMYFUNCTION("""COMPUTED_VALUE"""),183.1)</f>
        <v>183.1</v>
      </c>
      <c r="F11168" s="2">
        <f>IFERROR(__xludf.DUMMYFUNCTION("""COMPUTED_VALUE"""),3003033.0)</f>
        <v>3003033</v>
      </c>
    </row>
    <row r="11169">
      <c r="A11169" s="3">
        <f>IFERROR(__xludf.DUMMYFUNCTION("""COMPUTED_VALUE"""),45400.66666666667)</f>
        <v>45400.66667</v>
      </c>
      <c r="B11169" s="2">
        <f>IFERROR(__xludf.DUMMYFUNCTION("""COMPUTED_VALUE"""),182.35)</f>
        <v>182.35</v>
      </c>
      <c r="C11169" s="2">
        <f>IFERROR(__xludf.DUMMYFUNCTION("""COMPUTED_VALUE"""),183.46)</f>
        <v>183.46</v>
      </c>
      <c r="D11169" s="2">
        <f>IFERROR(__xludf.DUMMYFUNCTION("""COMPUTED_VALUE"""),180.17)</f>
        <v>180.17</v>
      </c>
      <c r="E11169" s="2">
        <f>IFERROR(__xludf.DUMMYFUNCTION("""COMPUTED_VALUE"""),181.47)</f>
        <v>181.47</v>
      </c>
      <c r="F11169" s="2">
        <f>IFERROR(__xludf.DUMMYFUNCTION("""COMPUTED_VALUE"""),2886733.0)</f>
        <v>2886733</v>
      </c>
    </row>
    <row r="11170">
      <c r="A11170" s="3">
        <f>IFERROR(__xludf.DUMMYFUNCTION("""COMPUTED_VALUE"""),45401.66666666667)</f>
        <v>45401.66667</v>
      </c>
      <c r="B11170" s="2">
        <f>IFERROR(__xludf.DUMMYFUNCTION("""COMPUTED_VALUE"""),182.43)</f>
        <v>182.43</v>
      </c>
      <c r="C11170" s="2">
        <f>IFERROR(__xludf.DUMMYFUNCTION("""COMPUTED_VALUE"""),182.8)</f>
        <v>182.8</v>
      </c>
      <c r="D11170" s="2">
        <f>IFERROR(__xludf.DUMMYFUNCTION("""COMPUTED_VALUE"""),180.57)</f>
        <v>180.57</v>
      </c>
      <c r="E11170" s="2">
        <f>IFERROR(__xludf.DUMMYFUNCTION("""COMPUTED_VALUE"""),181.58)</f>
        <v>181.58</v>
      </c>
      <c r="F11170" s="2">
        <f>IFERROR(__xludf.DUMMYFUNCTION("""COMPUTED_VALUE"""),3037990.0)</f>
        <v>3037990</v>
      </c>
    </row>
    <row r="11171">
      <c r="A11171" s="3">
        <f>IFERROR(__xludf.DUMMYFUNCTION("""COMPUTED_VALUE"""),45404.66666666667)</f>
        <v>45404.66667</v>
      </c>
      <c r="B11171" s="2">
        <f>IFERROR(__xludf.DUMMYFUNCTION("""COMPUTED_VALUE"""),182.45)</f>
        <v>182.45</v>
      </c>
      <c r="C11171" s="2">
        <f>IFERROR(__xludf.DUMMYFUNCTION("""COMPUTED_VALUE"""),183.32)</f>
        <v>183.32</v>
      </c>
      <c r="D11171" s="2">
        <f>IFERROR(__xludf.DUMMYFUNCTION("""COMPUTED_VALUE"""),180.45)</f>
        <v>180.45</v>
      </c>
      <c r="E11171" s="2">
        <f>IFERROR(__xludf.DUMMYFUNCTION("""COMPUTED_VALUE"""),181.9)</f>
        <v>181.9</v>
      </c>
      <c r="F11171" s="2">
        <f>IFERROR(__xludf.DUMMYFUNCTION("""COMPUTED_VALUE"""),3076451.0)</f>
        <v>3076451</v>
      </c>
    </row>
    <row r="11172">
      <c r="A11172" s="3">
        <f>IFERROR(__xludf.DUMMYFUNCTION("""COMPUTED_VALUE"""),45405.66666666667)</f>
        <v>45405.66667</v>
      </c>
      <c r="B11172" s="2">
        <f>IFERROR(__xludf.DUMMYFUNCTION("""COMPUTED_VALUE"""),182.73)</f>
        <v>182.73</v>
      </c>
      <c r="C11172" s="2">
        <f>IFERROR(__xludf.DUMMYFUNCTION("""COMPUTED_VALUE"""),184.68)</f>
        <v>184.68</v>
      </c>
      <c r="D11172" s="2">
        <f>IFERROR(__xludf.DUMMYFUNCTION("""COMPUTED_VALUE"""),179.0)</f>
        <v>179</v>
      </c>
      <c r="E11172" s="2">
        <f>IFERROR(__xludf.DUMMYFUNCTION("""COMPUTED_VALUE"""),182.19)</f>
        <v>182.19</v>
      </c>
      <c r="F11172" s="2">
        <f>IFERROR(__xludf.DUMMYFUNCTION("""COMPUTED_VALUE"""),5950229.0)</f>
        <v>5950229</v>
      </c>
    </row>
    <row r="11173">
      <c r="A11173" s="3">
        <f>IFERROR(__xludf.DUMMYFUNCTION("""COMPUTED_VALUE"""),45406.66666666667)</f>
        <v>45406.66667</v>
      </c>
      <c r="B11173" s="2">
        <f>IFERROR(__xludf.DUMMYFUNCTION("""COMPUTED_VALUE"""),183.17)</f>
        <v>183.17</v>
      </c>
      <c r="C11173" s="2">
        <f>IFERROR(__xludf.DUMMYFUNCTION("""COMPUTED_VALUE"""),184.29)</f>
        <v>184.29</v>
      </c>
      <c r="D11173" s="2">
        <f>IFERROR(__xludf.DUMMYFUNCTION("""COMPUTED_VALUE"""),181.4)</f>
        <v>181.4</v>
      </c>
      <c r="E11173" s="2">
        <f>IFERROR(__xludf.DUMMYFUNCTION("""COMPUTED_VALUE"""),184.1)</f>
        <v>184.1</v>
      </c>
      <c r="F11173" s="2">
        <f>IFERROR(__xludf.DUMMYFUNCTION("""COMPUTED_VALUE"""),7616643.0)</f>
        <v>7616643</v>
      </c>
    </row>
    <row r="11174">
      <c r="A11174" s="3">
        <f>IFERROR(__xludf.DUMMYFUNCTION("""COMPUTED_VALUE"""),45407.66666666667)</f>
        <v>45407.66667</v>
      </c>
      <c r="B11174" s="2">
        <f>IFERROR(__xludf.DUMMYFUNCTION("""COMPUTED_VALUE"""),168.2)</f>
        <v>168.2</v>
      </c>
      <c r="C11174" s="2">
        <f>IFERROR(__xludf.DUMMYFUNCTION("""COMPUTED_VALUE"""),172.45)</f>
        <v>172.45</v>
      </c>
      <c r="D11174" s="2">
        <f>IFERROR(__xludf.DUMMYFUNCTION("""COMPUTED_VALUE"""),165.66)</f>
        <v>165.66</v>
      </c>
      <c r="E11174" s="2">
        <f>IFERROR(__xludf.DUMMYFUNCTION("""COMPUTED_VALUE"""),168.91)</f>
        <v>168.91</v>
      </c>
      <c r="F11174" s="2">
        <f>IFERROR(__xludf.DUMMYFUNCTION("""COMPUTED_VALUE"""),1.670215E7)</f>
        <v>16702150</v>
      </c>
    </row>
    <row r="11175">
      <c r="A11175" s="3">
        <f>IFERROR(__xludf.DUMMYFUNCTION("""COMPUTED_VALUE"""),45408.66666666667)</f>
        <v>45408.66667</v>
      </c>
      <c r="B11175" s="2">
        <f>IFERROR(__xludf.DUMMYFUNCTION("""COMPUTED_VALUE"""),167.5)</f>
        <v>167.5</v>
      </c>
      <c r="C11175" s="2">
        <f>IFERROR(__xludf.DUMMYFUNCTION("""COMPUTED_VALUE"""),167.87)</f>
        <v>167.87</v>
      </c>
      <c r="D11175" s="2">
        <f>IFERROR(__xludf.DUMMYFUNCTION("""COMPUTED_VALUE"""),165.73)</f>
        <v>165.73</v>
      </c>
      <c r="E11175" s="2">
        <f>IFERROR(__xludf.DUMMYFUNCTION("""COMPUTED_VALUE"""),167.13)</f>
        <v>167.13</v>
      </c>
      <c r="F11175" s="2">
        <f>IFERROR(__xludf.DUMMYFUNCTION("""COMPUTED_VALUE"""),8983796.0)</f>
        <v>8983796</v>
      </c>
    </row>
    <row r="11176">
      <c r="A11176" s="3">
        <f>IFERROR(__xludf.DUMMYFUNCTION("""COMPUTED_VALUE"""),45411.66666666667)</f>
        <v>45411.66667</v>
      </c>
      <c r="B11176" s="2">
        <f>IFERROR(__xludf.DUMMYFUNCTION("""COMPUTED_VALUE"""),167.4)</f>
        <v>167.4</v>
      </c>
      <c r="C11176" s="2">
        <f>IFERROR(__xludf.DUMMYFUNCTION("""COMPUTED_VALUE"""),168.22)</f>
        <v>168.22</v>
      </c>
      <c r="D11176" s="2">
        <f>IFERROR(__xludf.DUMMYFUNCTION("""COMPUTED_VALUE"""),166.23)</f>
        <v>166.23</v>
      </c>
      <c r="E11176" s="2">
        <f>IFERROR(__xludf.DUMMYFUNCTION("""COMPUTED_VALUE"""),167.43)</f>
        <v>167.43</v>
      </c>
      <c r="F11176" s="2">
        <f>IFERROR(__xludf.DUMMYFUNCTION("""COMPUTED_VALUE"""),5263342.0)</f>
        <v>5263342</v>
      </c>
    </row>
    <row r="11177">
      <c r="A11177" s="3">
        <f>IFERROR(__xludf.DUMMYFUNCTION("""COMPUTED_VALUE"""),45412.66666666667)</f>
        <v>45412.66667</v>
      </c>
      <c r="B11177" s="2">
        <f>IFERROR(__xludf.DUMMYFUNCTION("""COMPUTED_VALUE"""),166.49)</f>
        <v>166.49</v>
      </c>
      <c r="C11177" s="2">
        <f>IFERROR(__xludf.DUMMYFUNCTION("""COMPUTED_VALUE"""),166.76)</f>
        <v>166.76</v>
      </c>
      <c r="D11177" s="2">
        <f>IFERROR(__xludf.DUMMYFUNCTION("""COMPUTED_VALUE"""),165.26)</f>
        <v>165.26</v>
      </c>
      <c r="E11177" s="2">
        <f>IFERROR(__xludf.DUMMYFUNCTION("""COMPUTED_VALUE"""),166.2)</f>
        <v>166.2</v>
      </c>
      <c r="F11177" s="2">
        <f>IFERROR(__xludf.DUMMYFUNCTION("""COMPUTED_VALUE"""),6011634.0)</f>
        <v>6011634</v>
      </c>
    </row>
    <row r="11178">
      <c r="A11178" s="3">
        <f>IFERROR(__xludf.DUMMYFUNCTION("""COMPUTED_VALUE"""),45413.66666666667)</f>
        <v>45413.66667</v>
      </c>
      <c r="B11178" s="2">
        <f>IFERROR(__xludf.DUMMYFUNCTION("""COMPUTED_VALUE"""),165.69)</f>
        <v>165.69</v>
      </c>
      <c r="C11178" s="2">
        <f>IFERROR(__xludf.DUMMYFUNCTION("""COMPUTED_VALUE"""),166.27)</f>
        <v>166.27</v>
      </c>
      <c r="D11178" s="2">
        <f>IFERROR(__xludf.DUMMYFUNCTION("""COMPUTED_VALUE"""),164.3)</f>
        <v>164.3</v>
      </c>
      <c r="E11178" s="2">
        <f>IFERROR(__xludf.DUMMYFUNCTION("""COMPUTED_VALUE"""),164.43)</f>
        <v>164.43</v>
      </c>
      <c r="F11178" s="2">
        <f>IFERROR(__xludf.DUMMYFUNCTION("""COMPUTED_VALUE"""),4030960.0)</f>
        <v>4030960</v>
      </c>
    </row>
    <row r="11179">
      <c r="A11179" s="3">
        <f>IFERROR(__xludf.DUMMYFUNCTION("""COMPUTED_VALUE"""),45414.66666666667)</f>
        <v>45414.66667</v>
      </c>
      <c r="B11179" s="2">
        <f>IFERROR(__xludf.DUMMYFUNCTION("""COMPUTED_VALUE"""),164.35)</f>
        <v>164.35</v>
      </c>
      <c r="C11179" s="2">
        <f>IFERROR(__xludf.DUMMYFUNCTION("""COMPUTED_VALUE"""),164.88)</f>
        <v>164.88</v>
      </c>
      <c r="D11179" s="2">
        <f>IFERROR(__xludf.DUMMYFUNCTION("""COMPUTED_VALUE"""),162.62)</f>
        <v>162.62</v>
      </c>
      <c r="E11179" s="2">
        <f>IFERROR(__xludf.DUMMYFUNCTION("""COMPUTED_VALUE"""),164.69)</f>
        <v>164.69</v>
      </c>
      <c r="F11179" s="2">
        <f>IFERROR(__xludf.DUMMYFUNCTION("""COMPUTED_VALUE"""),3829853.0)</f>
        <v>3829853</v>
      </c>
    </row>
    <row r="11180">
      <c r="A11180" s="3">
        <f>IFERROR(__xludf.DUMMYFUNCTION("""COMPUTED_VALUE"""),45415.66666666667)</f>
        <v>45415.66667</v>
      </c>
      <c r="B11180" s="2">
        <f>IFERROR(__xludf.DUMMYFUNCTION("""COMPUTED_VALUE"""),165.0)</f>
        <v>165</v>
      </c>
      <c r="C11180" s="2">
        <f>IFERROR(__xludf.DUMMYFUNCTION("""COMPUTED_VALUE"""),166.61)</f>
        <v>166.61</v>
      </c>
      <c r="D11180" s="2">
        <f>IFERROR(__xludf.DUMMYFUNCTION("""COMPUTED_VALUE"""),164.92)</f>
        <v>164.92</v>
      </c>
      <c r="E11180" s="2">
        <f>IFERROR(__xludf.DUMMYFUNCTION("""COMPUTED_VALUE"""),165.71)</f>
        <v>165.71</v>
      </c>
      <c r="F11180" s="2">
        <f>IFERROR(__xludf.DUMMYFUNCTION("""COMPUTED_VALUE"""),3400405.0)</f>
        <v>3400405</v>
      </c>
    </row>
    <row r="11181">
      <c r="A11181" s="3">
        <f>IFERROR(__xludf.DUMMYFUNCTION("""COMPUTED_VALUE"""),45418.66666666667)</f>
        <v>45418.66667</v>
      </c>
      <c r="B11181" s="2">
        <f>IFERROR(__xludf.DUMMYFUNCTION("""COMPUTED_VALUE"""),166.5)</f>
        <v>166.5</v>
      </c>
      <c r="C11181" s="2">
        <f>IFERROR(__xludf.DUMMYFUNCTION("""COMPUTED_VALUE"""),168.67)</f>
        <v>168.67</v>
      </c>
      <c r="D11181" s="2">
        <f>IFERROR(__xludf.DUMMYFUNCTION("""COMPUTED_VALUE"""),166.38)</f>
        <v>166.38</v>
      </c>
      <c r="E11181" s="2">
        <f>IFERROR(__xludf.DUMMYFUNCTION("""COMPUTED_VALUE"""),168.61)</f>
        <v>168.61</v>
      </c>
      <c r="F11181" s="2">
        <f>IFERROR(__xludf.DUMMYFUNCTION("""COMPUTED_VALUE"""),4222266.0)</f>
        <v>4222266</v>
      </c>
    </row>
    <row r="11182">
      <c r="A11182" s="3">
        <f>IFERROR(__xludf.DUMMYFUNCTION("""COMPUTED_VALUE"""),45419.66666666667)</f>
        <v>45419.66667</v>
      </c>
      <c r="B11182" s="2">
        <f>IFERROR(__xludf.DUMMYFUNCTION("""COMPUTED_VALUE"""),169.0)</f>
        <v>169</v>
      </c>
      <c r="C11182" s="2">
        <f>IFERROR(__xludf.DUMMYFUNCTION("""COMPUTED_VALUE"""),169.29)</f>
        <v>169.29</v>
      </c>
      <c r="D11182" s="2">
        <f>IFERROR(__xludf.DUMMYFUNCTION("""COMPUTED_VALUE"""),167.94)</f>
        <v>167.94</v>
      </c>
      <c r="E11182" s="2">
        <f>IFERROR(__xludf.DUMMYFUNCTION("""COMPUTED_VALUE"""),168.38)</f>
        <v>168.38</v>
      </c>
      <c r="F11182" s="2">
        <f>IFERROR(__xludf.DUMMYFUNCTION("""COMPUTED_VALUE"""),3155260.0)</f>
        <v>3155260</v>
      </c>
    </row>
    <row r="11183">
      <c r="A11183" s="3">
        <f>IFERROR(__xludf.DUMMYFUNCTION("""COMPUTED_VALUE"""),45420.66666666667)</f>
        <v>45420.66667</v>
      </c>
      <c r="B11183" s="2">
        <f>IFERROR(__xludf.DUMMYFUNCTION("""COMPUTED_VALUE"""),168.01)</f>
        <v>168.01</v>
      </c>
      <c r="C11183" s="2">
        <f>IFERROR(__xludf.DUMMYFUNCTION("""COMPUTED_VALUE"""),170.26)</f>
        <v>170.26</v>
      </c>
      <c r="D11183" s="2">
        <f>IFERROR(__xludf.DUMMYFUNCTION("""COMPUTED_VALUE"""),167.9)</f>
        <v>167.9</v>
      </c>
      <c r="E11183" s="2">
        <f>IFERROR(__xludf.DUMMYFUNCTION("""COMPUTED_VALUE"""),169.9)</f>
        <v>169.9</v>
      </c>
      <c r="F11183" s="2">
        <f>IFERROR(__xludf.DUMMYFUNCTION("""COMPUTED_VALUE"""),3522011.0)</f>
        <v>3522011</v>
      </c>
    </row>
    <row r="11184">
      <c r="A11184" s="3">
        <f>IFERROR(__xludf.DUMMYFUNCTION("""COMPUTED_VALUE"""),45421.66666666667)</f>
        <v>45421.66667</v>
      </c>
      <c r="B11184" s="2">
        <f>IFERROR(__xludf.DUMMYFUNCTION("""COMPUTED_VALUE"""),167.5)</f>
        <v>167.5</v>
      </c>
      <c r="C11184" s="2">
        <f>IFERROR(__xludf.DUMMYFUNCTION("""COMPUTED_VALUE"""),167.55)</f>
        <v>167.55</v>
      </c>
      <c r="D11184" s="2">
        <f>IFERROR(__xludf.DUMMYFUNCTION("""COMPUTED_VALUE"""),165.88)</f>
        <v>165.88</v>
      </c>
      <c r="E11184" s="2">
        <f>IFERROR(__xludf.DUMMYFUNCTION("""COMPUTED_VALUE"""),166.27)</f>
        <v>166.27</v>
      </c>
      <c r="F11184" s="2">
        <f>IFERROR(__xludf.DUMMYFUNCTION("""COMPUTED_VALUE"""),4266616.0)</f>
        <v>4266616</v>
      </c>
    </row>
    <row r="11185">
      <c r="A11185" s="3">
        <f>IFERROR(__xludf.DUMMYFUNCTION("""COMPUTED_VALUE"""),45422.66666666667)</f>
        <v>45422.66667</v>
      </c>
      <c r="B11185" s="2">
        <f>IFERROR(__xludf.DUMMYFUNCTION("""COMPUTED_VALUE"""),167.13)</f>
        <v>167.13</v>
      </c>
      <c r="C11185" s="2">
        <f>IFERROR(__xludf.DUMMYFUNCTION("""COMPUTED_VALUE"""),168.07)</f>
        <v>168.07</v>
      </c>
      <c r="D11185" s="2">
        <f>IFERROR(__xludf.DUMMYFUNCTION("""COMPUTED_VALUE"""),166.32)</f>
        <v>166.32</v>
      </c>
      <c r="E11185" s="2">
        <f>IFERROR(__xludf.DUMMYFUNCTION("""COMPUTED_VALUE"""),167.15)</f>
        <v>167.15</v>
      </c>
      <c r="F11185" s="2">
        <f>IFERROR(__xludf.DUMMYFUNCTION("""COMPUTED_VALUE"""),2255370.0)</f>
        <v>2255370</v>
      </c>
    </row>
    <row r="11186">
      <c r="A11186" s="3">
        <f>IFERROR(__xludf.DUMMYFUNCTION("""COMPUTED_VALUE"""),45425.66666666667)</f>
        <v>45425.66667</v>
      </c>
      <c r="B11186" s="2">
        <f>IFERROR(__xludf.DUMMYFUNCTION("""COMPUTED_VALUE"""),167.5)</f>
        <v>167.5</v>
      </c>
      <c r="C11186" s="2">
        <f>IFERROR(__xludf.DUMMYFUNCTION("""COMPUTED_VALUE"""),168.06)</f>
        <v>168.06</v>
      </c>
      <c r="D11186" s="2">
        <f>IFERROR(__xludf.DUMMYFUNCTION("""COMPUTED_VALUE"""),166.76)</f>
        <v>166.76</v>
      </c>
      <c r="E11186" s="2">
        <f>IFERROR(__xludf.DUMMYFUNCTION("""COMPUTED_VALUE"""),167.56)</f>
        <v>167.56</v>
      </c>
      <c r="F11186" s="2">
        <f>IFERROR(__xludf.DUMMYFUNCTION("""COMPUTED_VALUE"""),2414859.0)</f>
        <v>2414859</v>
      </c>
    </row>
    <row r="11187">
      <c r="A11187" s="3">
        <f>IFERROR(__xludf.DUMMYFUNCTION("""COMPUTED_VALUE"""),45426.66666666667)</f>
        <v>45426.66667</v>
      </c>
      <c r="B11187" s="2">
        <f>IFERROR(__xludf.DUMMYFUNCTION("""COMPUTED_VALUE"""),167.86)</f>
        <v>167.86</v>
      </c>
      <c r="C11187" s="2">
        <f>IFERROR(__xludf.DUMMYFUNCTION("""COMPUTED_VALUE"""),168.13)</f>
        <v>168.13</v>
      </c>
      <c r="D11187" s="2">
        <f>IFERROR(__xludf.DUMMYFUNCTION("""COMPUTED_VALUE"""),166.48)</f>
        <v>166.48</v>
      </c>
      <c r="E11187" s="2">
        <f>IFERROR(__xludf.DUMMYFUNCTION("""COMPUTED_VALUE"""),167.36)</f>
        <v>167.36</v>
      </c>
      <c r="F11187" s="2">
        <f>IFERROR(__xludf.DUMMYFUNCTION("""COMPUTED_VALUE"""),2600967.0)</f>
        <v>2600967</v>
      </c>
    </row>
    <row r="11188">
      <c r="A11188" s="3">
        <f>IFERROR(__xludf.DUMMYFUNCTION("""COMPUTED_VALUE"""),45427.66666666667)</f>
        <v>45427.66667</v>
      </c>
      <c r="B11188" s="2">
        <f>IFERROR(__xludf.DUMMYFUNCTION("""COMPUTED_VALUE"""),167.94)</f>
        <v>167.94</v>
      </c>
      <c r="C11188" s="2">
        <f>IFERROR(__xludf.DUMMYFUNCTION("""COMPUTED_VALUE"""),168.35)</f>
        <v>168.35</v>
      </c>
      <c r="D11188" s="2">
        <f>IFERROR(__xludf.DUMMYFUNCTION("""COMPUTED_VALUE"""),167.34)</f>
        <v>167.34</v>
      </c>
      <c r="E11188" s="2">
        <f>IFERROR(__xludf.DUMMYFUNCTION("""COMPUTED_VALUE"""),168.26)</f>
        <v>168.26</v>
      </c>
      <c r="F11188" s="2">
        <f>IFERROR(__xludf.DUMMYFUNCTION("""COMPUTED_VALUE"""),4468823.0)</f>
        <v>4468823</v>
      </c>
    </row>
    <row r="11189">
      <c r="A11189" s="3">
        <f>IFERROR(__xludf.DUMMYFUNCTION("""COMPUTED_VALUE"""),45428.66666666667)</f>
        <v>45428.66667</v>
      </c>
      <c r="B11189" s="2">
        <f>IFERROR(__xludf.DUMMYFUNCTION("""COMPUTED_VALUE"""),168.26)</f>
        <v>168.26</v>
      </c>
      <c r="C11189" s="2">
        <f>IFERROR(__xludf.DUMMYFUNCTION("""COMPUTED_VALUE"""),169.63)</f>
        <v>169.63</v>
      </c>
      <c r="D11189" s="2">
        <f>IFERROR(__xludf.DUMMYFUNCTION("""COMPUTED_VALUE"""),167.79)</f>
        <v>167.79</v>
      </c>
      <c r="E11189" s="2">
        <f>IFERROR(__xludf.DUMMYFUNCTION("""COMPUTED_VALUE"""),168.97)</f>
        <v>168.97</v>
      </c>
      <c r="F11189" s="2">
        <f>IFERROR(__xludf.DUMMYFUNCTION("""COMPUTED_VALUE"""),3492267.0)</f>
        <v>3492267</v>
      </c>
    </row>
    <row r="11190">
      <c r="A11190" s="3">
        <f>IFERROR(__xludf.DUMMYFUNCTION("""COMPUTED_VALUE"""),45429.66666666667)</f>
        <v>45429.66667</v>
      </c>
      <c r="B11190" s="2">
        <f>IFERROR(__xludf.DUMMYFUNCTION("""COMPUTED_VALUE"""),168.97)</f>
        <v>168.97</v>
      </c>
      <c r="C11190" s="2">
        <f>IFERROR(__xludf.DUMMYFUNCTION("""COMPUTED_VALUE"""),169.11)</f>
        <v>169.11</v>
      </c>
      <c r="D11190" s="2">
        <f>IFERROR(__xludf.DUMMYFUNCTION("""COMPUTED_VALUE"""),167.33)</f>
        <v>167.33</v>
      </c>
      <c r="E11190" s="2">
        <f>IFERROR(__xludf.DUMMYFUNCTION("""COMPUTED_VALUE"""),169.03)</f>
        <v>169.03</v>
      </c>
      <c r="F11190" s="2">
        <f>IFERROR(__xludf.DUMMYFUNCTION("""COMPUTED_VALUE"""),2956387.0)</f>
        <v>2956387</v>
      </c>
    </row>
    <row r="11191">
      <c r="A11191" s="3">
        <f>IFERROR(__xludf.DUMMYFUNCTION("""COMPUTED_VALUE"""),45432.66666666667)</f>
        <v>45432.66667</v>
      </c>
      <c r="B11191" s="2">
        <f>IFERROR(__xludf.DUMMYFUNCTION("""COMPUTED_VALUE"""),169.0)</f>
        <v>169</v>
      </c>
      <c r="C11191" s="2">
        <f>IFERROR(__xludf.DUMMYFUNCTION("""COMPUTED_VALUE"""),170.16)</f>
        <v>170.16</v>
      </c>
      <c r="D11191" s="2">
        <f>IFERROR(__xludf.DUMMYFUNCTION("""COMPUTED_VALUE"""),168.38)</f>
        <v>168.38</v>
      </c>
      <c r="E11191" s="2">
        <f>IFERROR(__xludf.DUMMYFUNCTION("""COMPUTED_VALUE"""),169.92)</f>
        <v>169.92</v>
      </c>
      <c r="F11191" s="2">
        <f>IFERROR(__xludf.DUMMYFUNCTION("""COMPUTED_VALUE"""),2726261.0)</f>
        <v>2726261</v>
      </c>
    </row>
    <row r="11192">
      <c r="A11192" s="3">
        <f>IFERROR(__xludf.DUMMYFUNCTION("""COMPUTED_VALUE"""),45433.66666666667)</f>
        <v>45433.66667</v>
      </c>
      <c r="B11192" s="2">
        <f>IFERROR(__xludf.DUMMYFUNCTION("""COMPUTED_VALUE"""),169.94)</f>
        <v>169.94</v>
      </c>
      <c r="C11192" s="2">
        <f>IFERROR(__xludf.DUMMYFUNCTION("""COMPUTED_VALUE"""),174.97)</f>
        <v>174.97</v>
      </c>
      <c r="D11192" s="2">
        <f>IFERROR(__xludf.DUMMYFUNCTION("""COMPUTED_VALUE"""),169.94)</f>
        <v>169.94</v>
      </c>
      <c r="E11192" s="2">
        <f>IFERROR(__xludf.DUMMYFUNCTION("""COMPUTED_VALUE"""),173.47)</f>
        <v>173.47</v>
      </c>
      <c r="F11192" s="2">
        <f>IFERROR(__xludf.DUMMYFUNCTION("""COMPUTED_VALUE"""),6459800.0)</f>
        <v>6459800</v>
      </c>
    </row>
    <row r="11193">
      <c r="A11193" s="3">
        <f>IFERROR(__xludf.DUMMYFUNCTION("""COMPUTED_VALUE"""),45434.66666666667)</f>
        <v>45434.66667</v>
      </c>
      <c r="B11193" s="2">
        <f>IFERROR(__xludf.DUMMYFUNCTION("""COMPUTED_VALUE"""),173.39)</f>
        <v>173.39</v>
      </c>
      <c r="C11193" s="2">
        <f>IFERROR(__xludf.DUMMYFUNCTION("""COMPUTED_VALUE"""),174.99)</f>
        <v>174.99</v>
      </c>
      <c r="D11193" s="2">
        <f>IFERROR(__xludf.DUMMYFUNCTION("""COMPUTED_VALUE"""),172.76)</f>
        <v>172.76</v>
      </c>
      <c r="E11193" s="2">
        <f>IFERROR(__xludf.DUMMYFUNCTION("""COMPUTED_VALUE"""),173.69)</f>
        <v>173.69</v>
      </c>
      <c r="F11193" s="2">
        <f>IFERROR(__xludf.DUMMYFUNCTION("""COMPUTED_VALUE"""),3294900.0)</f>
        <v>3294900</v>
      </c>
    </row>
    <row r="11194">
      <c r="A11194" s="3">
        <f>IFERROR(__xludf.DUMMYFUNCTION("""COMPUTED_VALUE"""),45435.66666666667)</f>
        <v>45435.66667</v>
      </c>
      <c r="B11194" s="2">
        <f>IFERROR(__xludf.DUMMYFUNCTION("""COMPUTED_VALUE"""),175.39)</f>
        <v>175.39</v>
      </c>
      <c r="C11194" s="2">
        <f>IFERROR(__xludf.DUMMYFUNCTION("""COMPUTED_VALUE"""),175.46)</f>
        <v>175.46</v>
      </c>
      <c r="D11194" s="2">
        <f>IFERROR(__xludf.DUMMYFUNCTION("""COMPUTED_VALUE"""),170.44)</f>
        <v>170.44</v>
      </c>
      <c r="E11194" s="2">
        <f>IFERROR(__xludf.DUMMYFUNCTION("""COMPUTED_VALUE"""),170.67)</f>
        <v>170.67</v>
      </c>
      <c r="F11194" s="2">
        <f>IFERROR(__xludf.DUMMYFUNCTION("""COMPUTED_VALUE"""),3341335.0)</f>
        <v>3341335</v>
      </c>
    </row>
    <row r="11195">
      <c r="A11195" s="3">
        <f>IFERROR(__xludf.DUMMYFUNCTION("""COMPUTED_VALUE"""),45436.66666666667)</f>
        <v>45436.66667</v>
      </c>
      <c r="B11195" s="2">
        <f>IFERROR(__xludf.DUMMYFUNCTION("""COMPUTED_VALUE"""),171.48)</f>
        <v>171.48</v>
      </c>
      <c r="C11195" s="2">
        <f>IFERROR(__xludf.DUMMYFUNCTION("""COMPUTED_VALUE"""),172.01)</f>
        <v>172.01</v>
      </c>
      <c r="D11195" s="2">
        <f>IFERROR(__xludf.DUMMYFUNCTION("""COMPUTED_VALUE"""),170.21)</f>
        <v>170.21</v>
      </c>
      <c r="E11195" s="2">
        <f>IFERROR(__xludf.DUMMYFUNCTION("""COMPUTED_VALUE"""),170.89)</f>
        <v>170.89</v>
      </c>
      <c r="F11195" s="2">
        <f>IFERROR(__xludf.DUMMYFUNCTION("""COMPUTED_VALUE"""),2587829.0)</f>
        <v>2587829</v>
      </c>
    </row>
    <row r="11196">
      <c r="A11196" s="3">
        <f>IFERROR(__xludf.DUMMYFUNCTION("""COMPUTED_VALUE"""),45440.66666666667)</f>
        <v>45440.66667</v>
      </c>
      <c r="B11196" s="2">
        <f>IFERROR(__xludf.DUMMYFUNCTION("""COMPUTED_VALUE"""),170.44)</f>
        <v>170.44</v>
      </c>
      <c r="C11196" s="2">
        <f>IFERROR(__xludf.DUMMYFUNCTION("""COMPUTED_VALUE"""),171.09)</f>
        <v>171.09</v>
      </c>
      <c r="D11196" s="2">
        <f>IFERROR(__xludf.DUMMYFUNCTION("""COMPUTED_VALUE"""),168.65)</f>
        <v>168.65</v>
      </c>
      <c r="E11196" s="2">
        <f>IFERROR(__xludf.DUMMYFUNCTION("""COMPUTED_VALUE"""),169.66)</f>
        <v>169.66</v>
      </c>
      <c r="F11196" s="2">
        <f>IFERROR(__xludf.DUMMYFUNCTION("""COMPUTED_VALUE"""),2629645.0)</f>
        <v>2629645</v>
      </c>
    </row>
    <row r="11197">
      <c r="A11197" s="3">
        <f>IFERROR(__xludf.DUMMYFUNCTION("""COMPUTED_VALUE"""),45441.66666666667)</f>
        <v>45441.66667</v>
      </c>
      <c r="B11197" s="2">
        <f>IFERROR(__xludf.DUMMYFUNCTION("""COMPUTED_VALUE"""),168.0)</f>
        <v>168</v>
      </c>
      <c r="C11197" s="2">
        <f>IFERROR(__xludf.DUMMYFUNCTION("""COMPUTED_VALUE"""),168.63)</f>
        <v>168.63</v>
      </c>
      <c r="D11197" s="2">
        <f>IFERROR(__xludf.DUMMYFUNCTION("""COMPUTED_VALUE"""),166.21)</f>
        <v>166.21</v>
      </c>
      <c r="E11197" s="2">
        <f>IFERROR(__xludf.DUMMYFUNCTION("""COMPUTED_VALUE"""),167.05)</f>
        <v>167.05</v>
      </c>
      <c r="F11197" s="2">
        <f>IFERROR(__xludf.DUMMYFUNCTION("""COMPUTED_VALUE"""),4206576.0)</f>
        <v>4206576</v>
      </c>
    </row>
    <row r="11198">
      <c r="A11198" s="3">
        <f>IFERROR(__xludf.DUMMYFUNCTION("""COMPUTED_VALUE"""),45442.66666666667)</f>
        <v>45442.66667</v>
      </c>
      <c r="B11198" s="2">
        <f>IFERROR(__xludf.DUMMYFUNCTION("""COMPUTED_VALUE"""),165.56)</f>
        <v>165.56</v>
      </c>
      <c r="C11198" s="2">
        <f>IFERROR(__xludf.DUMMYFUNCTION("""COMPUTED_VALUE"""),166.73)</f>
        <v>166.73</v>
      </c>
      <c r="D11198" s="2">
        <f>IFERROR(__xludf.DUMMYFUNCTION("""COMPUTED_VALUE"""),164.23)</f>
        <v>164.23</v>
      </c>
      <c r="E11198" s="2">
        <f>IFERROR(__xludf.DUMMYFUNCTION("""COMPUTED_VALUE"""),165.63)</f>
        <v>165.63</v>
      </c>
      <c r="F11198" s="2">
        <f>IFERROR(__xludf.DUMMYFUNCTION("""COMPUTED_VALUE"""),3852963.0)</f>
        <v>3852963</v>
      </c>
    </row>
    <row r="11199">
      <c r="A11199" s="3">
        <f>IFERROR(__xludf.DUMMYFUNCTION("""COMPUTED_VALUE"""),45443.66666666667)</f>
        <v>45443.66667</v>
      </c>
      <c r="B11199" s="2">
        <f>IFERROR(__xludf.DUMMYFUNCTION("""COMPUTED_VALUE"""),165.7)</f>
        <v>165.7</v>
      </c>
      <c r="C11199" s="2">
        <f>IFERROR(__xludf.DUMMYFUNCTION("""COMPUTED_VALUE"""),166.97)</f>
        <v>166.97</v>
      </c>
      <c r="D11199" s="2">
        <f>IFERROR(__xludf.DUMMYFUNCTION("""COMPUTED_VALUE"""),163.84)</f>
        <v>163.84</v>
      </c>
      <c r="E11199" s="2">
        <f>IFERROR(__xludf.DUMMYFUNCTION("""COMPUTED_VALUE"""),166.85)</f>
        <v>166.85</v>
      </c>
      <c r="F11199" s="2">
        <f>IFERROR(__xludf.DUMMYFUNCTION("""COMPUTED_VALUE"""),4905002.0)</f>
        <v>4905002</v>
      </c>
    </row>
    <row r="11200">
      <c r="A11200" s="3">
        <f>IFERROR(__xludf.DUMMYFUNCTION("""COMPUTED_VALUE"""),45446.66666666667)</f>
        <v>45446.66667</v>
      </c>
      <c r="B11200" s="2">
        <f>IFERROR(__xludf.DUMMYFUNCTION("""COMPUTED_VALUE"""),166.54)</f>
        <v>166.54</v>
      </c>
      <c r="C11200" s="2">
        <f>IFERROR(__xludf.DUMMYFUNCTION("""COMPUTED_VALUE"""),166.78)</f>
        <v>166.78</v>
      </c>
      <c r="D11200" s="2">
        <f>IFERROR(__xludf.DUMMYFUNCTION("""COMPUTED_VALUE"""),163.53)</f>
        <v>163.53</v>
      </c>
      <c r="E11200" s="2">
        <f>IFERROR(__xludf.DUMMYFUNCTION("""COMPUTED_VALUE"""),165.28)</f>
        <v>165.28</v>
      </c>
      <c r="F11200" s="2">
        <f>IFERROR(__xludf.DUMMYFUNCTION("""COMPUTED_VALUE"""),2776058.0)</f>
        <v>2776058</v>
      </c>
    </row>
    <row r="11201">
      <c r="A11201" s="3">
        <f>IFERROR(__xludf.DUMMYFUNCTION("""COMPUTED_VALUE"""),45447.66666666667)</f>
        <v>45447.66667</v>
      </c>
      <c r="B11201" s="2">
        <f>IFERROR(__xludf.DUMMYFUNCTION("""COMPUTED_VALUE"""),164.6)</f>
        <v>164.6</v>
      </c>
      <c r="C11201" s="2">
        <f>IFERROR(__xludf.DUMMYFUNCTION("""COMPUTED_VALUE"""),166.4)</f>
        <v>166.4</v>
      </c>
      <c r="D11201" s="2">
        <f>IFERROR(__xludf.DUMMYFUNCTION("""COMPUTED_VALUE"""),163.88)</f>
        <v>163.88</v>
      </c>
      <c r="E11201" s="2">
        <f>IFERROR(__xludf.DUMMYFUNCTION("""COMPUTED_VALUE"""),165.81)</f>
        <v>165.81</v>
      </c>
      <c r="F11201" s="2">
        <f>IFERROR(__xludf.DUMMYFUNCTION("""COMPUTED_VALUE"""),2594203.0)</f>
        <v>2594203</v>
      </c>
    </row>
    <row r="11202">
      <c r="A11202" s="3">
        <f>IFERROR(__xludf.DUMMYFUNCTION("""COMPUTED_VALUE"""),45448.66666666667)</f>
        <v>45448.66667</v>
      </c>
      <c r="B11202" s="2">
        <f>IFERROR(__xludf.DUMMYFUNCTION("""COMPUTED_VALUE"""),166.41)</f>
        <v>166.41</v>
      </c>
      <c r="C11202" s="2">
        <f>IFERROR(__xludf.DUMMYFUNCTION("""COMPUTED_VALUE"""),167.79)</f>
        <v>167.79</v>
      </c>
      <c r="D11202" s="2">
        <f>IFERROR(__xludf.DUMMYFUNCTION("""COMPUTED_VALUE"""),165.78)</f>
        <v>165.78</v>
      </c>
      <c r="E11202" s="2">
        <f>IFERROR(__xludf.DUMMYFUNCTION("""COMPUTED_VALUE"""),167.38)</f>
        <v>167.38</v>
      </c>
      <c r="F11202" s="2">
        <f>IFERROR(__xludf.DUMMYFUNCTION("""COMPUTED_VALUE"""),3049377.0)</f>
        <v>3049377</v>
      </c>
    </row>
    <row r="11203">
      <c r="A11203" s="3">
        <f>IFERROR(__xludf.DUMMYFUNCTION("""COMPUTED_VALUE"""),45449.66666666667)</f>
        <v>45449.66667</v>
      </c>
      <c r="B11203" s="2">
        <f>IFERROR(__xludf.DUMMYFUNCTION("""COMPUTED_VALUE"""),167.38)</f>
        <v>167.38</v>
      </c>
      <c r="C11203" s="2">
        <f>IFERROR(__xludf.DUMMYFUNCTION("""COMPUTED_VALUE"""),168.44)</f>
        <v>168.44</v>
      </c>
      <c r="D11203" s="2">
        <f>IFERROR(__xludf.DUMMYFUNCTION("""COMPUTED_VALUE"""),166.8)</f>
        <v>166.8</v>
      </c>
      <c r="E11203" s="2">
        <f>IFERROR(__xludf.DUMMYFUNCTION("""COMPUTED_VALUE"""),168.2)</f>
        <v>168.2</v>
      </c>
      <c r="F11203" s="2">
        <f>IFERROR(__xludf.DUMMYFUNCTION("""COMPUTED_VALUE"""),2207263.0)</f>
        <v>2207263</v>
      </c>
    </row>
    <row r="11204">
      <c r="A11204" s="3">
        <f>IFERROR(__xludf.DUMMYFUNCTION("""COMPUTED_VALUE"""),45450.66666666667)</f>
        <v>45450.66667</v>
      </c>
      <c r="B11204" s="2">
        <f>IFERROR(__xludf.DUMMYFUNCTION("""COMPUTED_VALUE"""),168.18)</f>
        <v>168.18</v>
      </c>
      <c r="C11204" s="2">
        <f>IFERROR(__xludf.DUMMYFUNCTION("""COMPUTED_VALUE"""),171.31)</f>
        <v>171.31</v>
      </c>
      <c r="D11204" s="2">
        <f>IFERROR(__xludf.DUMMYFUNCTION("""COMPUTED_VALUE"""),168.06)</f>
        <v>168.06</v>
      </c>
      <c r="E11204" s="2">
        <f>IFERROR(__xludf.DUMMYFUNCTION("""COMPUTED_VALUE"""),170.01)</f>
        <v>170.01</v>
      </c>
      <c r="F11204" s="2">
        <f>IFERROR(__xludf.DUMMYFUNCTION("""COMPUTED_VALUE"""),3475495.0)</f>
        <v>3475495</v>
      </c>
    </row>
    <row r="11205">
      <c r="A11205" s="3">
        <f>IFERROR(__xludf.DUMMYFUNCTION("""COMPUTED_VALUE"""),45453.66666666667)</f>
        <v>45453.66667</v>
      </c>
      <c r="B11205" s="2">
        <f>IFERROR(__xludf.DUMMYFUNCTION("""COMPUTED_VALUE"""),169.55)</f>
        <v>169.55</v>
      </c>
      <c r="C11205" s="2">
        <f>IFERROR(__xludf.DUMMYFUNCTION("""COMPUTED_VALUE"""),170.76)</f>
        <v>170.76</v>
      </c>
      <c r="D11205" s="2">
        <f>IFERROR(__xludf.DUMMYFUNCTION("""COMPUTED_VALUE"""),168.88)</f>
        <v>168.88</v>
      </c>
      <c r="E11205" s="2">
        <f>IFERROR(__xludf.DUMMYFUNCTION("""COMPUTED_VALUE"""),170.38)</f>
        <v>170.38</v>
      </c>
      <c r="F11205" s="2">
        <f>IFERROR(__xludf.DUMMYFUNCTION("""COMPUTED_VALUE"""),3444684.0)</f>
        <v>3444684</v>
      </c>
    </row>
    <row r="11206">
      <c r="A11206" s="3">
        <f>IFERROR(__xludf.DUMMYFUNCTION("""COMPUTED_VALUE"""),45454.66666666667)</f>
        <v>45454.66667</v>
      </c>
      <c r="B11206" s="2">
        <f>IFERROR(__xludf.DUMMYFUNCTION("""COMPUTED_VALUE"""),169.98)</f>
        <v>169.98</v>
      </c>
      <c r="C11206" s="2">
        <f>IFERROR(__xludf.DUMMYFUNCTION("""COMPUTED_VALUE"""),170.0)</f>
        <v>170</v>
      </c>
      <c r="D11206" s="2">
        <f>IFERROR(__xludf.DUMMYFUNCTION("""COMPUTED_VALUE"""),166.81)</f>
        <v>166.81</v>
      </c>
      <c r="E11206" s="2">
        <f>IFERROR(__xludf.DUMMYFUNCTION("""COMPUTED_VALUE"""),169.32)</f>
        <v>169.32</v>
      </c>
      <c r="F11206" s="2">
        <f>IFERROR(__xludf.DUMMYFUNCTION("""COMPUTED_VALUE"""),2951251.0)</f>
        <v>2951251</v>
      </c>
    </row>
    <row r="11207">
      <c r="A11207" s="3">
        <f>IFERROR(__xludf.DUMMYFUNCTION("""COMPUTED_VALUE"""),45455.66666666667)</f>
        <v>45455.66667</v>
      </c>
      <c r="B11207" s="2">
        <f>IFERROR(__xludf.DUMMYFUNCTION("""COMPUTED_VALUE"""),171.35)</f>
        <v>171.35</v>
      </c>
      <c r="C11207" s="2">
        <f>IFERROR(__xludf.DUMMYFUNCTION("""COMPUTED_VALUE"""),172.47)</f>
        <v>172.47</v>
      </c>
      <c r="D11207" s="2">
        <f>IFERROR(__xludf.DUMMYFUNCTION("""COMPUTED_VALUE"""),168.1)</f>
        <v>168.1</v>
      </c>
      <c r="E11207" s="2">
        <f>IFERROR(__xludf.DUMMYFUNCTION("""COMPUTED_VALUE"""),169.0)</f>
        <v>169</v>
      </c>
      <c r="F11207" s="2">
        <f>IFERROR(__xludf.DUMMYFUNCTION("""COMPUTED_VALUE"""),3522698.0)</f>
        <v>3522698</v>
      </c>
    </row>
    <row r="11208">
      <c r="A11208" s="3">
        <f>IFERROR(__xludf.DUMMYFUNCTION("""COMPUTED_VALUE"""),45456.66666666667)</f>
        <v>45456.66667</v>
      </c>
      <c r="B11208" s="2">
        <f>IFERROR(__xludf.DUMMYFUNCTION("""COMPUTED_VALUE"""),169.01)</f>
        <v>169.01</v>
      </c>
      <c r="C11208" s="2">
        <f>IFERROR(__xludf.DUMMYFUNCTION("""COMPUTED_VALUE"""),169.59)</f>
        <v>169.59</v>
      </c>
      <c r="D11208" s="2">
        <f>IFERROR(__xludf.DUMMYFUNCTION("""COMPUTED_VALUE"""),168.34)</f>
        <v>168.34</v>
      </c>
      <c r="E11208" s="2">
        <f>IFERROR(__xludf.DUMMYFUNCTION("""COMPUTED_VALUE"""),169.12)</f>
        <v>169.12</v>
      </c>
      <c r="F11208" s="2">
        <f>IFERROR(__xludf.DUMMYFUNCTION("""COMPUTED_VALUE"""),3525717.0)</f>
        <v>3525717</v>
      </c>
    </row>
    <row r="11209">
      <c r="A11209" s="3">
        <f>IFERROR(__xludf.DUMMYFUNCTION("""COMPUTED_VALUE"""),45457.66666666667)</f>
        <v>45457.66667</v>
      </c>
      <c r="B11209" s="2">
        <f>IFERROR(__xludf.DUMMYFUNCTION("""COMPUTED_VALUE"""),168.29)</f>
        <v>168.29</v>
      </c>
      <c r="C11209" s="2">
        <f>IFERROR(__xludf.DUMMYFUNCTION("""COMPUTED_VALUE"""),169.47)</f>
        <v>169.47</v>
      </c>
      <c r="D11209" s="2">
        <f>IFERROR(__xludf.DUMMYFUNCTION("""COMPUTED_VALUE"""),167.23)</f>
        <v>167.23</v>
      </c>
      <c r="E11209" s="2">
        <f>IFERROR(__xludf.DUMMYFUNCTION("""COMPUTED_VALUE"""),169.21)</f>
        <v>169.21</v>
      </c>
      <c r="F11209" s="2">
        <f>IFERROR(__xludf.DUMMYFUNCTION("""COMPUTED_VALUE"""),2777717.0)</f>
        <v>2777717</v>
      </c>
    </row>
    <row r="11210">
      <c r="A11210" s="3">
        <f>IFERROR(__xludf.DUMMYFUNCTION("""COMPUTED_VALUE"""),45460.66666666667)</f>
        <v>45460.66667</v>
      </c>
      <c r="B11210" s="2">
        <f>IFERROR(__xludf.DUMMYFUNCTION("""COMPUTED_VALUE"""),168.76)</f>
        <v>168.76</v>
      </c>
      <c r="C11210" s="2">
        <f>IFERROR(__xludf.DUMMYFUNCTION("""COMPUTED_VALUE"""),169.72)</f>
        <v>169.72</v>
      </c>
      <c r="D11210" s="2">
        <f>IFERROR(__xludf.DUMMYFUNCTION("""COMPUTED_VALUE"""),167.5)</f>
        <v>167.5</v>
      </c>
      <c r="E11210" s="2">
        <f>IFERROR(__xludf.DUMMYFUNCTION("""COMPUTED_VALUE"""),169.5)</f>
        <v>169.5</v>
      </c>
      <c r="F11210" s="2">
        <f>IFERROR(__xludf.DUMMYFUNCTION("""COMPUTED_VALUE"""),3239815.0)</f>
        <v>3239815</v>
      </c>
    </row>
    <row r="11211">
      <c r="A11211" s="3">
        <f>IFERROR(__xludf.DUMMYFUNCTION("""COMPUTED_VALUE"""),45461.66666666667)</f>
        <v>45461.66667</v>
      </c>
      <c r="B11211" s="2">
        <f>IFERROR(__xludf.DUMMYFUNCTION("""COMPUTED_VALUE"""),170.0)</f>
        <v>170</v>
      </c>
      <c r="C11211" s="2">
        <f>IFERROR(__xludf.DUMMYFUNCTION("""COMPUTED_VALUE"""),170.75)</f>
        <v>170.75</v>
      </c>
      <c r="D11211" s="2">
        <f>IFERROR(__xludf.DUMMYFUNCTION("""COMPUTED_VALUE"""),168.38)</f>
        <v>168.38</v>
      </c>
      <c r="E11211" s="2">
        <f>IFERROR(__xludf.DUMMYFUNCTION("""COMPUTED_VALUE"""),170.55)</f>
        <v>170.55</v>
      </c>
      <c r="F11211" s="2">
        <f>IFERROR(__xludf.DUMMYFUNCTION("""COMPUTED_VALUE"""),3386442.0)</f>
        <v>3386442</v>
      </c>
    </row>
    <row r="11212">
      <c r="A11212" s="3">
        <f>IFERROR(__xludf.DUMMYFUNCTION("""COMPUTED_VALUE"""),45463.66666666667)</f>
        <v>45463.66667</v>
      </c>
      <c r="B11212" s="2">
        <f>IFERROR(__xludf.DUMMYFUNCTION("""COMPUTED_VALUE"""),174.08)</f>
        <v>174.08</v>
      </c>
      <c r="C11212" s="2">
        <f>IFERROR(__xludf.DUMMYFUNCTION("""COMPUTED_VALUE"""),174.28)</f>
        <v>174.28</v>
      </c>
      <c r="D11212" s="2">
        <f>IFERROR(__xludf.DUMMYFUNCTION("""COMPUTED_VALUE"""),171.22)</f>
        <v>171.22</v>
      </c>
      <c r="E11212" s="2">
        <f>IFERROR(__xludf.DUMMYFUNCTION("""COMPUTED_VALUE"""),173.92)</f>
        <v>173.92</v>
      </c>
      <c r="F11212" s="2">
        <f>IFERROR(__xludf.DUMMYFUNCTION("""COMPUTED_VALUE"""),4723078.0)</f>
        <v>4723078</v>
      </c>
    </row>
    <row r="11213">
      <c r="A11213" s="3">
        <f>IFERROR(__xludf.DUMMYFUNCTION("""COMPUTED_VALUE"""),45464.66666666667)</f>
        <v>45464.66667</v>
      </c>
      <c r="B11213" s="2">
        <f>IFERROR(__xludf.DUMMYFUNCTION("""COMPUTED_VALUE"""),173.97)</f>
        <v>173.97</v>
      </c>
      <c r="C11213" s="2">
        <f>IFERROR(__xludf.DUMMYFUNCTION("""COMPUTED_VALUE"""),174.96)</f>
        <v>174.96</v>
      </c>
      <c r="D11213" s="2">
        <f>IFERROR(__xludf.DUMMYFUNCTION("""COMPUTED_VALUE"""),171.4)</f>
        <v>171.4</v>
      </c>
      <c r="E11213" s="2">
        <f>IFERROR(__xludf.DUMMYFUNCTION("""COMPUTED_VALUE"""),172.46)</f>
        <v>172.46</v>
      </c>
      <c r="F11213" s="2">
        <f>IFERROR(__xludf.DUMMYFUNCTION("""COMPUTED_VALUE"""),1.0182025E7)</f>
        <v>10182025</v>
      </c>
    </row>
    <row r="11214">
      <c r="A11214" s="3">
        <f>IFERROR(__xludf.DUMMYFUNCTION("""COMPUTED_VALUE"""),45467.66666666667)</f>
        <v>45467.66667</v>
      </c>
      <c r="B11214" s="2">
        <f>IFERROR(__xludf.DUMMYFUNCTION("""COMPUTED_VALUE"""),175.0)</f>
        <v>175</v>
      </c>
      <c r="C11214" s="2">
        <f>IFERROR(__xludf.DUMMYFUNCTION("""COMPUTED_VALUE"""),178.46)</f>
        <v>178.46</v>
      </c>
      <c r="D11214" s="2">
        <f>IFERROR(__xludf.DUMMYFUNCTION("""COMPUTED_VALUE"""),174.15)</f>
        <v>174.15</v>
      </c>
      <c r="E11214" s="2">
        <f>IFERROR(__xludf.DUMMYFUNCTION("""COMPUTED_VALUE"""),175.01)</f>
        <v>175.01</v>
      </c>
      <c r="F11214" s="2">
        <f>IFERROR(__xludf.DUMMYFUNCTION("""COMPUTED_VALUE"""),4864735.0)</f>
        <v>4864735</v>
      </c>
    </row>
    <row r="11215">
      <c r="A11215" s="3">
        <f>IFERROR(__xludf.DUMMYFUNCTION("""COMPUTED_VALUE"""),45468.66666666667)</f>
        <v>45468.66667</v>
      </c>
      <c r="B11215" s="2">
        <f>IFERROR(__xludf.DUMMYFUNCTION("""COMPUTED_VALUE"""),175.14)</f>
        <v>175.14</v>
      </c>
      <c r="C11215" s="2">
        <f>IFERROR(__xludf.DUMMYFUNCTION("""COMPUTED_VALUE"""),175.75)</f>
        <v>175.75</v>
      </c>
      <c r="D11215" s="2">
        <f>IFERROR(__xludf.DUMMYFUNCTION("""COMPUTED_VALUE"""),171.42)</f>
        <v>171.42</v>
      </c>
      <c r="E11215" s="2">
        <f>IFERROR(__xludf.DUMMYFUNCTION("""COMPUTED_VALUE"""),172.6)</f>
        <v>172.6</v>
      </c>
      <c r="F11215" s="2">
        <f>IFERROR(__xludf.DUMMYFUNCTION("""COMPUTED_VALUE"""),4119267.0)</f>
        <v>4119267</v>
      </c>
    </row>
    <row r="11216">
      <c r="A11216" s="3">
        <f>IFERROR(__xludf.DUMMYFUNCTION("""COMPUTED_VALUE"""),45469.66666666667)</f>
        <v>45469.66667</v>
      </c>
      <c r="B11216" s="2">
        <f>IFERROR(__xludf.DUMMYFUNCTION("""COMPUTED_VALUE"""),171.28)</f>
        <v>171.28</v>
      </c>
      <c r="C11216" s="2">
        <f>IFERROR(__xludf.DUMMYFUNCTION("""COMPUTED_VALUE"""),172.68)</f>
        <v>172.68</v>
      </c>
      <c r="D11216" s="2">
        <f>IFERROR(__xludf.DUMMYFUNCTION("""COMPUTED_VALUE"""),170.41)</f>
        <v>170.41</v>
      </c>
      <c r="E11216" s="2">
        <f>IFERROR(__xludf.DUMMYFUNCTION("""COMPUTED_VALUE"""),171.87)</f>
        <v>171.87</v>
      </c>
      <c r="F11216" s="2">
        <f>IFERROR(__xludf.DUMMYFUNCTION("""COMPUTED_VALUE"""),2779016.0)</f>
        <v>2779016</v>
      </c>
    </row>
    <row r="11217">
      <c r="A11217" s="3">
        <f>IFERROR(__xludf.DUMMYFUNCTION("""COMPUTED_VALUE"""),45470.66666666667)</f>
        <v>45470.66667</v>
      </c>
      <c r="B11217" s="2">
        <f>IFERROR(__xludf.DUMMYFUNCTION("""COMPUTED_VALUE"""),171.12)</f>
        <v>171.12</v>
      </c>
      <c r="C11217" s="2">
        <f>IFERROR(__xludf.DUMMYFUNCTION("""COMPUTED_VALUE"""),172.5)</f>
        <v>172.5</v>
      </c>
      <c r="D11217" s="2">
        <f>IFERROR(__xludf.DUMMYFUNCTION("""COMPUTED_VALUE"""),170.48)</f>
        <v>170.48</v>
      </c>
      <c r="E11217" s="2">
        <f>IFERROR(__xludf.DUMMYFUNCTION("""COMPUTED_VALUE"""),170.85)</f>
        <v>170.85</v>
      </c>
      <c r="F11217" s="2">
        <f>IFERROR(__xludf.DUMMYFUNCTION("""COMPUTED_VALUE"""),2894001.0)</f>
        <v>2894001</v>
      </c>
    </row>
    <row r="11218">
      <c r="A11218" s="3">
        <f>IFERROR(__xludf.DUMMYFUNCTION("""COMPUTED_VALUE"""),45471.66666666667)</f>
        <v>45471.66667</v>
      </c>
      <c r="B11218" s="2">
        <f>IFERROR(__xludf.DUMMYFUNCTION("""COMPUTED_VALUE"""),170.85)</f>
        <v>170.85</v>
      </c>
      <c r="C11218" s="2">
        <f>IFERROR(__xludf.DUMMYFUNCTION("""COMPUTED_VALUE"""),173.46)</f>
        <v>173.46</v>
      </c>
      <c r="D11218" s="2">
        <f>IFERROR(__xludf.DUMMYFUNCTION("""COMPUTED_VALUE"""),170.53)</f>
        <v>170.53</v>
      </c>
      <c r="E11218" s="2">
        <f>IFERROR(__xludf.DUMMYFUNCTION("""COMPUTED_VALUE"""),172.95)</f>
        <v>172.95</v>
      </c>
      <c r="F11218" s="2">
        <f>IFERROR(__xludf.DUMMYFUNCTION("""COMPUTED_VALUE"""),4193459.0)</f>
        <v>4193459</v>
      </c>
    </row>
    <row r="11219">
      <c r="A11219" s="3">
        <f>IFERROR(__xludf.DUMMYFUNCTION("""COMPUTED_VALUE"""),45474.66666666667)</f>
        <v>45474.66667</v>
      </c>
      <c r="B11219" s="2">
        <f>IFERROR(__xludf.DUMMYFUNCTION("""COMPUTED_VALUE"""),173.45)</f>
        <v>173.45</v>
      </c>
      <c r="C11219" s="2">
        <f>IFERROR(__xludf.DUMMYFUNCTION("""COMPUTED_VALUE"""),176.46)</f>
        <v>176.46</v>
      </c>
      <c r="D11219" s="2">
        <f>IFERROR(__xludf.DUMMYFUNCTION("""COMPUTED_VALUE"""),173.38)</f>
        <v>173.38</v>
      </c>
      <c r="E11219" s="2">
        <f>IFERROR(__xludf.DUMMYFUNCTION("""COMPUTED_VALUE"""),175.1)</f>
        <v>175.1</v>
      </c>
      <c r="F11219" s="2">
        <f>IFERROR(__xludf.DUMMYFUNCTION("""COMPUTED_VALUE"""),3320961.0)</f>
        <v>3320961</v>
      </c>
    </row>
    <row r="11220">
      <c r="A11220" s="3">
        <f>IFERROR(__xludf.DUMMYFUNCTION("""COMPUTED_VALUE"""),45475.66666666667)</f>
        <v>45475.66667</v>
      </c>
      <c r="B11220" s="2">
        <f>IFERROR(__xludf.DUMMYFUNCTION("""COMPUTED_VALUE"""),174.84)</f>
        <v>174.84</v>
      </c>
      <c r="C11220" s="2">
        <f>IFERROR(__xludf.DUMMYFUNCTION("""COMPUTED_VALUE"""),177.49)</f>
        <v>177.49</v>
      </c>
      <c r="D11220" s="2">
        <f>IFERROR(__xludf.DUMMYFUNCTION("""COMPUTED_VALUE"""),174.32)</f>
        <v>174.32</v>
      </c>
      <c r="E11220" s="2">
        <f>IFERROR(__xludf.DUMMYFUNCTION("""COMPUTED_VALUE"""),177.3)</f>
        <v>177.3</v>
      </c>
      <c r="F11220" s="2">
        <f>IFERROR(__xludf.DUMMYFUNCTION("""COMPUTED_VALUE"""),2883275.0)</f>
        <v>2883275</v>
      </c>
    </row>
    <row r="11221">
      <c r="A11221" s="3">
        <f>IFERROR(__xludf.DUMMYFUNCTION("""COMPUTED_VALUE"""),45476.54166666667)</f>
        <v>45476.54167</v>
      </c>
      <c r="B11221" s="2">
        <f>IFERROR(__xludf.DUMMYFUNCTION("""COMPUTED_VALUE"""),177.88)</f>
        <v>177.88</v>
      </c>
      <c r="C11221" s="2">
        <f>IFERROR(__xludf.DUMMYFUNCTION("""COMPUTED_VALUE"""),177.98)</f>
        <v>177.98</v>
      </c>
      <c r="D11221" s="2">
        <f>IFERROR(__xludf.DUMMYFUNCTION("""COMPUTED_VALUE"""),175.17)</f>
        <v>175.17</v>
      </c>
      <c r="E11221" s="2">
        <f>IFERROR(__xludf.DUMMYFUNCTION("""COMPUTED_VALUE"""),175.73)</f>
        <v>175.73</v>
      </c>
      <c r="F11221" s="2">
        <f>IFERROR(__xludf.DUMMYFUNCTION("""COMPUTED_VALUE"""),1649049.0)</f>
        <v>1649049</v>
      </c>
    </row>
    <row r="11222">
      <c r="A11222" s="3">
        <f>IFERROR(__xludf.DUMMYFUNCTION("""COMPUTED_VALUE"""),45478.66666666667)</f>
        <v>45478.66667</v>
      </c>
      <c r="B11222" s="2">
        <f>IFERROR(__xludf.DUMMYFUNCTION("""COMPUTED_VALUE"""),175.74)</f>
        <v>175.74</v>
      </c>
      <c r="C11222" s="2">
        <f>IFERROR(__xludf.DUMMYFUNCTION("""COMPUTED_VALUE"""),176.09)</f>
        <v>176.09</v>
      </c>
      <c r="D11222" s="2">
        <f>IFERROR(__xludf.DUMMYFUNCTION("""COMPUTED_VALUE"""),173.95)</f>
        <v>173.95</v>
      </c>
      <c r="E11222" s="2">
        <f>IFERROR(__xludf.DUMMYFUNCTION("""COMPUTED_VALUE"""),176.02)</f>
        <v>176.02</v>
      </c>
      <c r="F11222" s="2">
        <f>IFERROR(__xludf.DUMMYFUNCTION("""COMPUTED_VALUE"""),2085970.0)</f>
        <v>2085970</v>
      </c>
    </row>
    <row r="11223">
      <c r="A11223" s="3">
        <f>IFERROR(__xludf.DUMMYFUNCTION("""COMPUTED_VALUE"""),45481.66666666667)</f>
        <v>45481.66667</v>
      </c>
      <c r="B11223" s="2">
        <f>IFERROR(__xludf.DUMMYFUNCTION("""COMPUTED_VALUE"""),176.41)</f>
        <v>176.41</v>
      </c>
      <c r="C11223" s="2">
        <f>IFERROR(__xludf.DUMMYFUNCTION("""COMPUTED_VALUE"""),178.59)</f>
        <v>178.59</v>
      </c>
      <c r="D11223" s="2">
        <f>IFERROR(__xludf.DUMMYFUNCTION("""COMPUTED_VALUE"""),176.01)</f>
        <v>176.01</v>
      </c>
      <c r="E11223" s="2">
        <f>IFERROR(__xludf.DUMMYFUNCTION("""COMPUTED_VALUE"""),177.64)</f>
        <v>177.64</v>
      </c>
      <c r="F11223" s="2">
        <f>IFERROR(__xludf.DUMMYFUNCTION("""COMPUTED_VALUE"""),2503038.0)</f>
        <v>2503038</v>
      </c>
    </row>
    <row r="11224">
      <c r="A11224" s="3">
        <f>IFERROR(__xludf.DUMMYFUNCTION("""COMPUTED_VALUE"""),45482.66666666667)</f>
        <v>45482.66667</v>
      </c>
      <c r="B11224" s="2">
        <f>IFERROR(__xludf.DUMMYFUNCTION("""COMPUTED_VALUE"""),177.6)</f>
        <v>177.6</v>
      </c>
      <c r="C11224" s="2">
        <f>IFERROR(__xludf.DUMMYFUNCTION("""COMPUTED_VALUE"""),177.7)</f>
        <v>177.7</v>
      </c>
      <c r="D11224" s="2">
        <f>IFERROR(__xludf.DUMMYFUNCTION("""COMPUTED_VALUE"""),175.58)</f>
        <v>175.58</v>
      </c>
      <c r="E11224" s="2">
        <f>IFERROR(__xludf.DUMMYFUNCTION("""COMPUTED_VALUE"""),176.48)</f>
        <v>176.48</v>
      </c>
      <c r="F11224" s="2">
        <f>IFERROR(__xludf.DUMMYFUNCTION("""COMPUTED_VALUE"""),2513305.0)</f>
        <v>2513305</v>
      </c>
    </row>
    <row r="11225">
      <c r="A11225" s="3">
        <f>IFERROR(__xludf.DUMMYFUNCTION("""COMPUTED_VALUE"""),45483.66666666667)</f>
        <v>45483.66667</v>
      </c>
      <c r="B11225" s="2">
        <f>IFERROR(__xludf.DUMMYFUNCTION("""COMPUTED_VALUE"""),176.6)</f>
        <v>176.6</v>
      </c>
      <c r="C11225" s="2">
        <f>IFERROR(__xludf.DUMMYFUNCTION("""COMPUTED_VALUE"""),178.22)</f>
        <v>178.22</v>
      </c>
      <c r="D11225" s="2">
        <f>IFERROR(__xludf.DUMMYFUNCTION("""COMPUTED_VALUE"""),174.45)</f>
        <v>174.45</v>
      </c>
      <c r="E11225" s="2">
        <f>IFERROR(__xludf.DUMMYFUNCTION("""COMPUTED_VALUE"""),177.84)</f>
        <v>177.84</v>
      </c>
      <c r="F11225" s="2">
        <f>IFERROR(__xludf.DUMMYFUNCTION("""COMPUTED_VALUE"""),3462182.0)</f>
        <v>3462182</v>
      </c>
    </row>
    <row r="11226">
      <c r="A11226" s="3">
        <f>IFERROR(__xludf.DUMMYFUNCTION("""COMPUTED_VALUE"""),45484.66666666667)</f>
        <v>45484.66667</v>
      </c>
      <c r="B11226" s="2">
        <f>IFERROR(__xludf.DUMMYFUNCTION("""COMPUTED_VALUE"""),177.65)</f>
        <v>177.65</v>
      </c>
      <c r="C11226" s="2">
        <f>IFERROR(__xludf.DUMMYFUNCTION("""COMPUTED_VALUE"""),179.44)</f>
        <v>179.44</v>
      </c>
      <c r="D11226" s="2">
        <f>IFERROR(__xludf.DUMMYFUNCTION("""COMPUTED_VALUE"""),176.62)</f>
        <v>176.62</v>
      </c>
      <c r="E11226" s="2">
        <f>IFERROR(__xludf.DUMMYFUNCTION("""COMPUTED_VALUE"""),178.31)</f>
        <v>178.31</v>
      </c>
      <c r="F11226" s="2">
        <f>IFERROR(__xludf.DUMMYFUNCTION("""COMPUTED_VALUE"""),2807145.0)</f>
        <v>2807145</v>
      </c>
    </row>
    <row r="11227">
      <c r="A11227" s="3">
        <f>IFERROR(__xludf.DUMMYFUNCTION("""COMPUTED_VALUE"""),45485.66666666667)</f>
        <v>45485.66667</v>
      </c>
      <c r="B11227" s="2">
        <f>IFERROR(__xludf.DUMMYFUNCTION("""COMPUTED_VALUE"""),178.56)</f>
        <v>178.56</v>
      </c>
      <c r="C11227" s="2">
        <f>IFERROR(__xludf.DUMMYFUNCTION("""COMPUTED_VALUE"""),184.16)</f>
        <v>184.16</v>
      </c>
      <c r="D11227" s="2">
        <f>IFERROR(__xludf.DUMMYFUNCTION("""COMPUTED_VALUE"""),178.5)</f>
        <v>178.5</v>
      </c>
      <c r="E11227" s="2">
        <f>IFERROR(__xludf.DUMMYFUNCTION("""COMPUTED_VALUE"""),182.83)</f>
        <v>182.83</v>
      </c>
      <c r="F11227" s="2">
        <f>IFERROR(__xludf.DUMMYFUNCTION("""COMPUTED_VALUE"""),4785565.0)</f>
        <v>4785565</v>
      </c>
    </row>
    <row r="11228">
      <c r="A11228" s="3">
        <f>IFERROR(__xludf.DUMMYFUNCTION("""COMPUTED_VALUE"""),45488.66666666667)</f>
        <v>45488.66667</v>
      </c>
      <c r="B11228" s="2">
        <f>IFERROR(__xludf.DUMMYFUNCTION("""COMPUTED_VALUE"""),183.38)</f>
        <v>183.38</v>
      </c>
      <c r="C11228" s="2">
        <f>IFERROR(__xludf.DUMMYFUNCTION("""COMPUTED_VALUE"""),184.9)</f>
        <v>184.9</v>
      </c>
      <c r="D11228" s="2">
        <f>IFERROR(__xludf.DUMMYFUNCTION("""COMPUTED_VALUE"""),182.6)</f>
        <v>182.6</v>
      </c>
      <c r="E11228" s="2">
        <f>IFERROR(__xludf.DUMMYFUNCTION("""COMPUTED_VALUE"""),182.88)</f>
        <v>182.88</v>
      </c>
      <c r="F11228" s="2">
        <f>IFERROR(__xludf.DUMMYFUNCTION("""COMPUTED_VALUE"""),2925794.0)</f>
        <v>2925794</v>
      </c>
    </row>
    <row r="11229">
      <c r="A11229" s="3">
        <f>IFERROR(__xludf.DUMMYFUNCTION("""COMPUTED_VALUE"""),45489.66666666667)</f>
        <v>45489.66667</v>
      </c>
      <c r="B11229" s="2">
        <f>IFERROR(__xludf.DUMMYFUNCTION("""COMPUTED_VALUE"""),184.67)</f>
        <v>184.67</v>
      </c>
      <c r="C11229" s="2">
        <f>IFERROR(__xludf.DUMMYFUNCTION("""COMPUTED_VALUE"""),186.6)</f>
        <v>186.6</v>
      </c>
      <c r="D11229" s="2">
        <f>IFERROR(__xludf.DUMMYFUNCTION("""COMPUTED_VALUE"""),184.52)</f>
        <v>184.52</v>
      </c>
      <c r="E11229" s="2">
        <f>IFERROR(__xludf.DUMMYFUNCTION("""COMPUTED_VALUE"""),185.81)</f>
        <v>185.81</v>
      </c>
      <c r="F11229" s="2">
        <f>IFERROR(__xludf.DUMMYFUNCTION("""COMPUTED_VALUE"""),3374526.0)</f>
        <v>3374526</v>
      </c>
    </row>
    <row r="11230">
      <c r="A11230" s="3">
        <f>IFERROR(__xludf.DUMMYFUNCTION("""COMPUTED_VALUE"""),45490.66666666667)</f>
        <v>45490.66667</v>
      </c>
      <c r="B11230" s="2">
        <f>IFERROR(__xludf.DUMMYFUNCTION("""COMPUTED_VALUE"""),185.44)</f>
        <v>185.44</v>
      </c>
      <c r="C11230" s="2">
        <f>IFERROR(__xludf.DUMMYFUNCTION("""COMPUTED_VALUE"""),187.94)</f>
        <v>187.94</v>
      </c>
      <c r="D11230" s="2">
        <f>IFERROR(__xludf.DUMMYFUNCTION("""COMPUTED_VALUE"""),185.07)</f>
        <v>185.07</v>
      </c>
      <c r="E11230" s="2">
        <f>IFERROR(__xludf.DUMMYFUNCTION("""COMPUTED_VALUE"""),187.45)</f>
        <v>187.45</v>
      </c>
      <c r="F11230" s="2">
        <f>IFERROR(__xludf.DUMMYFUNCTION("""COMPUTED_VALUE"""),4225302.0)</f>
        <v>4225302</v>
      </c>
    </row>
    <row r="11231">
      <c r="A11231" s="3">
        <f>IFERROR(__xludf.DUMMYFUNCTION("""COMPUTED_VALUE"""),45491.66666666667)</f>
        <v>45491.66667</v>
      </c>
      <c r="B11231" s="2">
        <f>IFERROR(__xludf.DUMMYFUNCTION("""COMPUTED_VALUE"""),186.64)</f>
        <v>186.64</v>
      </c>
      <c r="C11231" s="2">
        <f>IFERROR(__xludf.DUMMYFUNCTION("""COMPUTED_VALUE"""),189.47)</f>
        <v>189.47</v>
      </c>
      <c r="D11231" s="2">
        <f>IFERROR(__xludf.DUMMYFUNCTION("""COMPUTED_VALUE"""),185.1)</f>
        <v>185.1</v>
      </c>
      <c r="E11231" s="2">
        <f>IFERROR(__xludf.DUMMYFUNCTION("""COMPUTED_VALUE"""),185.22)</f>
        <v>185.22</v>
      </c>
      <c r="F11231" s="2">
        <f>IFERROR(__xludf.DUMMYFUNCTION("""COMPUTED_VALUE"""),3487808.0)</f>
        <v>3487808</v>
      </c>
    </row>
    <row r="11232">
      <c r="A11232" s="3">
        <f>IFERROR(__xludf.DUMMYFUNCTION("""COMPUTED_VALUE"""),45492.66666666667)</f>
        <v>45492.66667</v>
      </c>
      <c r="B11232" s="2">
        <f>IFERROR(__xludf.DUMMYFUNCTION("""COMPUTED_VALUE"""),186.33)</f>
        <v>186.33</v>
      </c>
      <c r="C11232" s="2">
        <f>IFERROR(__xludf.DUMMYFUNCTION("""COMPUTED_VALUE"""),187.0)</f>
        <v>187</v>
      </c>
      <c r="D11232" s="2">
        <f>IFERROR(__xludf.DUMMYFUNCTION("""COMPUTED_VALUE"""),181.95)</f>
        <v>181.95</v>
      </c>
      <c r="E11232" s="2">
        <f>IFERROR(__xludf.DUMMYFUNCTION("""COMPUTED_VALUE"""),183.25)</f>
        <v>183.25</v>
      </c>
      <c r="F11232" s="2">
        <f>IFERROR(__xludf.DUMMYFUNCTION("""COMPUTED_VALUE"""),3816039.0)</f>
        <v>3816039</v>
      </c>
    </row>
    <row r="11233">
      <c r="A11233" s="3">
        <f>IFERROR(__xludf.DUMMYFUNCTION("""COMPUTED_VALUE"""),45495.66666666667)</f>
        <v>45495.66667</v>
      </c>
      <c r="B11233" s="2">
        <f>IFERROR(__xludf.DUMMYFUNCTION("""COMPUTED_VALUE"""),183.4)</f>
        <v>183.4</v>
      </c>
      <c r="C11233" s="2">
        <f>IFERROR(__xludf.DUMMYFUNCTION("""COMPUTED_VALUE"""),184.97)</f>
        <v>184.97</v>
      </c>
      <c r="D11233" s="2">
        <f>IFERROR(__xludf.DUMMYFUNCTION("""COMPUTED_VALUE"""),182.86)</f>
        <v>182.86</v>
      </c>
      <c r="E11233" s="2">
        <f>IFERROR(__xludf.DUMMYFUNCTION("""COMPUTED_VALUE"""),184.15)</f>
        <v>184.15</v>
      </c>
      <c r="F11233" s="2">
        <f>IFERROR(__xludf.DUMMYFUNCTION("""COMPUTED_VALUE"""),2488525.0)</f>
        <v>2488525</v>
      </c>
    </row>
    <row r="11234">
      <c r="A11234" s="3">
        <f>IFERROR(__xludf.DUMMYFUNCTION("""COMPUTED_VALUE"""),45496.66666666667)</f>
        <v>45496.66667</v>
      </c>
      <c r="B11234" s="2">
        <f>IFERROR(__xludf.DUMMYFUNCTION("""COMPUTED_VALUE"""),184.36)</f>
        <v>184.36</v>
      </c>
      <c r="C11234" s="2">
        <f>IFERROR(__xludf.DUMMYFUNCTION("""COMPUTED_VALUE"""),185.38)</f>
        <v>185.38</v>
      </c>
      <c r="D11234" s="2">
        <f>IFERROR(__xludf.DUMMYFUNCTION("""COMPUTED_VALUE"""),183.01)</f>
        <v>183.01</v>
      </c>
      <c r="E11234" s="2">
        <f>IFERROR(__xludf.DUMMYFUNCTION("""COMPUTED_VALUE"""),184.1)</f>
        <v>184.1</v>
      </c>
      <c r="F11234" s="2">
        <f>IFERROR(__xludf.DUMMYFUNCTION("""COMPUTED_VALUE"""),2180225.0)</f>
        <v>2180225</v>
      </c>
    </row>
    <row r="11235">
      <c r="A11235" s="3">
        <f>IFERROR(__xludf.DUMMYFUNCTION("""COMPUTED_VALUE"""),45497.66666666667)</f>
        <v>45497.66667</v>
      </c>
      <c r="B11235" s="2">
        <f>IFERROR(__xludf.DUMMYFUNCTION("""COMPUTED_VALUE"""),184.14)</f>
        <v>184.14</v>
      </c>
      <c r="C11235" s="2">
        <f>IFERROR(__xludf.DUMMYFUNCTION("""COMPUTED_VALUE"""),185.07)</f>
        <v>185.07</v>
      </c>
      <c r="D11235" s="2">
        <f>IFERROR(__xludf.DUMMYFUNCTION("""COMPUTED_VALUE"""),183.15)</f>
        <v>183.15</v>
      </c>
      <c r="E11235" s="2">
        <f>IFERROR(__xludf.DUMMYFUNCTION("""COMPUTED_VALUE"""),184.02)</f>
        <v>184.02</v>
      </c>
      <c r="F11235" s="2">
        <f>IFERROR(__xludf.DUMMYFUNCTION("""COMPUTED_VALUE"""),6962071.0)</f>
        <v>6962071</v>
      </c>
    </row>
    <row r="11236">
      <c r="A11236" s="3">
        <f>IFERROR(__xludf.DUMMYFUNCTION("""COMPUTED_VALUE"""),45498.66666666667)</f>
        <v>45498.66667</v>
      </c>
      <c r="B11236" s="2">
        <f>IFERROR(__xludf.DUMMYFUNCTION("""COMPUTED_VALUE"""),186.8)</f>
        <v>186.8</v>
      </c>
      <c r="C11236" s="2">
        <f>IFERROR(__xludf.DUMMYFUNCTION("""COMPUTED_VALUE"""),196.26)</f>
        <v>196.26</v>
      </c>
      <c r="D11236" s="2">
        <f>IFERROR(__xludf.DUMMYFUNCTION("""COMPUTED_VALUE"""),185.3)</f>
        <v>185.3</v>
      </c>
      <c r="E11236" s="2">
        <f>IFERROR(__xludf.DUMMYFUNCTION("""COMPUTED_VALUE"""),191.98)</f>
        <v>191.98</v>
      </c>
      <c r="F11236" s="2">
        <f>IFERROR(__xludf.DUMMYFUNCTION("""COMPUTED_VALUE"""),9532802.0)</f>
        <v>9532802</v>
      </c>
    </row>
    <row r="11237">
      <c r="A11237" s="3">
        <f>IFERROR(__xludf.DUMMYFUNCTION("""COMPUTED_VALUE"""),45499.66666666667)</f>
        <v>45499.66667</v>
      </c>
      <c r="B11237" s="2">
        <f>IFERROR(__xludf.DUMMYFUNCTION("""COMPUTED_VALUE"""),190.51)</f>
        <v>190.51</v>
      </c>
      <c r="C11237" s="2">
        <f>IFERROR(__xludf.DUMMYFUNCTION("""COMPUTED_VALUE"""),193.57)</f>
        <v>193.57</v>
      </c>
      <c r="D11237" s="2">
        <f>IFERROR(__xludf.DUMMYFUNCTION("""COMPUTED_VALUE"""),189.62)</f>
        <v>189.62</v>
      </c>
      <c r="E11237" s="2">
        <f>IFERROR(__xludf.DUMMYFUNCTION("""COMPUTED_VALUE"""),191.75)</f>
        <v>191.75</v>
      </c>
      <c r="F11237" s="2">
        <f>IFERROR(__xludf.DUMMYFUNCTION("""COMPUTED_VALUE"""),4294875.0)</f>
        <v>4294875</v>
      </c>
    </row>
    <row r="11238">
      <c r="A11238" s="3">
        <f>IFERROR(__xludf.DUMMYFUNCTION("""COMPUTED_VALUE"""),45502.66666666667)</f>
        <v>45502.66667</v>
      </c>
      <c r="B11238" s="2">
        <f>IFERROR(__xludf.DUMMYFUNCTION("""COMPUTED_VALUE"""),193.18)</f>
        <v>193.18</v>
      </c>
      <c r="C11238" s="2">
        <f>IFERROR(__xludf.DUMMYFUNCTION("""COMPUTED_VALUE"""),193.29)</f>
        <v>193.29</v>
      </c>
      <c r="D11238" s="2">
        <f>IFERROR(__xludf.DUMMYFUNCTION("""COMPUTED_VALUE"""),189.18)</f>
        <v>189.18</v>
      </c>
      <c r="E11238" s="2">
        <f>IFERROR(__xludf.DUMMYFUNCTION("""COMPUTED_VALUE"""),191.5)</f>
        <v>191.5</v>
      </c>
      <c r="F11238" s="2">
        <f>IFERROR(__xludf.DUMMYFUNCTION("""COMPUTED_VALUE"""),3336806.0)</f>
        <v>3336806</v>
      </c>
    </row>
    <row r="11239">
      <c r="A11239" s="3">
        <f>IFERROR(__xludf.DUMMYFUNCTION("""COMPUTED_VALUE"""),45503.66666666667)</f>
        <v>45503.66667</v>
      </c>
      <c r="B11239" s="2">
        <f>IFERROR(__xludf.DUMMYFUNCTION("""COMPUTED_VALUE"""),191.48)</f>
        <v>191.48</v>
      </c>
      <c r="C11239" s="2">
        <f>IFERROR(__xludf.DUMMYFUNCTION("""COMPUTED_VALUE"""),192.77)</f>
        <v>192.77</v>
      </c>
      <c r="D11239" s="2">
        <f>IFERROR(__xludf.DUMMYFUNCTION("""COMPUTED_VALUE"""),189.09)</f>
        <v>189.09</v>
      </c>
      <c r="E11239" s="2">
        <f>IFERROR(__xludf.DUMMYFUNCTION("""COMPUTED_VALUE"""),191.04)</f>
        <v>191.04</v>
      </c>
      <c r="F11239" s="2">
        <f>IFERROR(__xludf.DUMMYFUNCTION("""COMPUTED_VALUE"""),3064978.0)</f>
        <v>3064978</v>
      </c>
    </row>
    <row r="11240">
      <c r="A11240" s="3">
        <f>IFERROR(__xludf.DUMMYFUNCTION("""COMPUTED_VALUE"""),45504.66666666667)</f>
        <v>45504.66667</v>
      </c>
      <c r="B11240" s="2">
        <f>IFERROR(__xludf.DUMMYFUNCTION("""COMPUTED_VALUE"""),191.0)</f>
        <v>191</v>
      </c>
      <c r="C11240" s="2">
        <f>IFERROR(__xludf.DUMMYFUNCTION("""COMPUTED_VALUE"""),194.55)</f>
        <v>194.55</v>
      </c>
      <c r="D11240" s="2">
        <f>IFERROR(__xludf.DUMMYFUNCTION("""COMPUTED_VALUE"""),189.99)</f>
        <v>189.99</v>
      </c>
      <c r="E11240" s="2">
        <f>IFERROR(__xludf.DUMMYFUNCTION("""COMPUTED_VALUE"""),192.14)</f>
        <v>192.14</v>
      </c>
      <c r="F11240" s="2">
        <f>IFERROR(__xludf.DUMMYFUNCTION("""COMPUTED_VALUE"""),5558405.0)</f>
        <v>5558405</v>
      </c>
    </row>
    <row r="11241">
      <c r="A11241" s="3">
        <f>IFERROR(__xludf.DUMMYFUNCTION("""COMPUTED_VALUE"""),45505.66666666667)</f>
        <v>45505.66667</v>
      </c>
      <c r="B11241" s="2">
        <f>IFERROR(__xludf.DUMMYFUNCTION("""COMPUTED_VALUE"""),192.81)</f>
        <v>192.81</v>
      </c>
      <c r="C11241" s="2">
        <f>IFERROR(__xludf.DUMMYFUNCTION("""COMPUTED_VALUE"""),193.64)</f>
        <v>193.64</v>
      </c>
      <c r="D11241" s="2">
        <f>IFERROR(__xludf.DUMMYFUNCTION("""COMPUTED_VALUE"""),188.29)</f>
        <v>188.29</v>
      </c>
      <c r="E11241" s="2">
        <f>IFERROR(__xludf.DUMMYFUNCTION("""COMPUTED_VALUE"""),189.66)</f>
        <v>189.66</v>
      </c>
      <c r="F11241" s="2">
        <f>IFERROR(__xludf.DUMMYFUNCTION("""COMPUTED_VALUE"""),4085354.0)</f>
        <v>4085354</v>
      </c>
    </row>
    <row r="11242">
      <c r="A11242" s="3">
        <f>IFERROR(__xludf.DUMMYFUNCTION("""COMPUTED_VALUE"""),45506.66666666667)</f>
        <v>45506.66667</v>
      </c>
      <c r="B11242" s="2">
        <f>IFERROR(__xludf.DUMMYFUNCTION("""COMPUTED_VALUE"""),188.78)</f>
        <v>188.78</v>
      </c>
      <c r="C11242" s="2">
        <f>IFERROR(__xludf.DUMMYFUNCTION("""COMPUTED_VALUE"""),189.26)</f>
        <v>189.26</v>
      </c>
      <c r="D11242" s="2">
        <f>IFERROR(__xludf.DUMMYFUNCTION("""COMPUTED_VALUE"""),185.7)</f>
        <v>185.7</v>
      </c>
      <c r="E11242" s="2">
        <f>IFERROR(__xludf.DUMMYFUNCTION("""COMPUTED_VALUE"""),189.12)</f>
        <v>189.12</v>
      </c>
      <c r="F11242" s="2">
        <f>IFERROR(__xludf.DUMMYFUNCTION("""COMPUTED_VALUE"""),4548824.0)</f>
        <v>4548824</v>
      </c>
    </row>
    <row r="11243">
      <c r="A11243" s="3">
        <f>IFERROR(__xludf.DUMMYFUNCTION("""COMPUTED_VALUE"""),45509.66666666667)</f>
        <v>45509.66667</v>
      </c>
      <c r="B11243" s="2">
        <f>IFERROR(__xludf.DUMMYFUNCTION("""COMPUTED_VALUE"""),184.55)</f>
        <v>184.55</v>
      </c>
      <c r="C11243" s="2">
        <f>IFERROR(__xludf.DUMMYFUNCTION("""COMPUTED_VALUE"""),185.26)</f>
        <v>185.26</v>
      </c>
      <c r="D11243" s="2">
        <f>IFERROR(__xludf.DUMMYFUNCTION("""COMPUTED_VALUE"""),181.81)</f>
        <v>181.81</v>
      </c>
      <c r="E11243" s="2">
        <f>IFERROR(__xludf.DUMMYFUNCTION("""COMPUTED_VALUE"""),183.31)</f>
        <v>183.31</v>
      </c>
      <c r="F11243" s="2">
        <f>IFERROR(__xludf.DUMMYFUNCTION("""COMPUTED_VALUE"""),4975002.0)</f>
        <v>4975002</v>
      </c>
    </row>
    <row r="11244">
      <c r="A11244" s="3">
        <f>IFERROR(__xludf.DUMMYFUNCTION("""COMPUTED_VALUE"""),45510.66666666667)</f>
        <v>45510.66667</v>
      </c>
      <c r="B11244" s="2">
        <f>IFERROR(__xludf.DUMMYFUNCTION("""COMPUTED_VALUE"""),184.7)</f>
        <v>184.7</v>
      </c>
      <c r="C11244" s="2">
        <f>IFERROR(__xludf.DUMMYFUNCTION("""COMPUTED_VALUE"""),188.9)</f>
        <v>188.9</v>
      </c>
      <c r="D11244" s="2">
        <f>IFERROR(__xludf.DUMMYFUNCTION("""COMPUTED_VALUE"""),183.64)</f>
        <v>183.64</v>
      </c>
      <c r="E11244" s="2">
        <f>IFERROR(__xludf.DUMMYFUNCTION("""COMPUTED_VALUE"""),186.8)</f>
        <v>186.8</v>
      </c>
      <c r="F11244" s="2">
        <f>IFERROR(__xludf.DUMMYFUNCTION("""COMPUTED_VALUE"""),3632517.0)</f>
        <v>3632517</v>
      </c>
    </row>
    <row r="11245">
      <c r="A11245" s="3">
        <f>IFERROR(__xludf.DUMMYFUNCTION("""COMPUTED_VALUE"""),45511.66666666667)</f>
        <v>45511.66667</v>
      </c>
      <c r="B11245" s="2">
        <f>IFERROR(__xludf.DUMMYFUNCTION("""COMPUTED_VALUE"""),188.08)</f>
        <v>188.08</v>
      </c>
      <c r="C11245" s="2">
        <f>IFERROR(__xludf.DUMMYFUNCTION("""COMPUTED_VALUE"""),189.87)</f>
        <v>189.87</v>
      </c>
      <c r="D11245" s="2">
        <f>IFERROR(__xludf.DUMMYFUNCTION("""COMPUTED_VALUE"""),186.7)</f>
        <v>186.7</v>
      </c>
      <c r="E11245" s="2">
        <f>IFERROR(__xludf.DUMMYFUNCTION("""COMPUTED_VALUE"""),186.8)</f>
        <v>186.8</v>
      </c>
      <c r="F11245" s="2">
        <f>IFERROR(__xludf.DUMMYFUNCTION("""COMPUTED_VALUE"""),3801942.0)</f>
        <v>3801942</v>
      </c>
    </row>
    <row r="11246">
      <c r="A11246" s="3">
        <f>IFERROR(__xludf.DUMMYFUNCTION("""COMPUTED_VALUE"""),45512.66666666667)</f>
        <v>45512.66667</v>
      </c>
      <c r="B11246" s="2">
        <f>IFERROR(__xludf.DUMMYFUNCTION("""COMPUTED_VALUE"""),187.5)</f>
        <v>187.5</v>
      </c>
      <c r="C11246" s="2">
        <f>IFERROR(__xludf.DUMMYFUNCTION("""COMPUTED_VALUE"""),192.88)</f>
        <v>192.88</v>
      </c>
      <c r="D11246" s="2">
        <f>IFERROR(__xludf.DUMMYFUNCTION("""COMPUTED_VALUE"""),187.0)</f>
        <v>187</v>
      </c>
      <c r="E11246" s="2">
        <f>IFERROR(__xludf.DUMMYFUNCTION("""COMPUTED_VALUE"""),192.61)</f>
        <v>192.61</v>
      </c>
      <c r="F11246" s="2">
        <f>IFERROR(__xludf.DUMMYFUNCTION("""COMPUTED_VALUE"""),3712698.0)</f>
        <v>3712698</v>
      </c>
    </row>
    <row r="11247">
      <c r="A11247" s="3">
        <f>IFERROR(__xludf.DUMMYFUNCTION("""COMPUTED_VALUE"""),45513.66666666667)</f>
        <v>45513.66667</v>
      </c>
      <c r="B11247" s="2">
        <f>IFERROR(__xludf.DUMMYFUNCTION("""COMPUTED_VALUE"""),191.18)</f>
        <v>191.18</v>
      </c>
      <c r="C11247" s="2">
        <f>IFERROR(__xludf.DUMMYFUNCTION("""COMPUTED_VALUE"""),192.63)</f>
        <v>192.63</v>
      </c>
      <c r="D11247" s="2">
        <f>IFERROR(__xludf.DUMMYFUNCTION("""COMPUTED_VALUE"""),189.04)</f>
        <v>189.04</v>
      </c>
      <c r="E11247" s="2">
        <f>IFERROR(__xludf.DUMMYFUNCTION("""COMPUTED_VALUE"""),191.45)</f>
        <v>191.45</v>
      </c>
      <c r="F11247" s="2">
        <f>IFERROR(__xludf.DUMMYFUNCTION("""COMPUTED_VALUE"""),2773706.0)</f>
        <v>2773706</v>
      </c>
    </row>
    <row r="11248">
      <c r="A11248" s="3">
        <f>IFERROR(__xludf.DUMMYFUNCTION("""COMPUTED_VALUE"""),45516.66666666667)</f>
        <v>45516.66667</v>
      </c>
      <c r="B11248" s="2">
        <f>IFERROR(__xludf.DUMMYFUNCTION("""COMPUTED_VALUE"""),191.25)</f>
        <v>191.25</v>
      </c>
      <c r="C11248" s="2">
        <f>IFERROR(__xludf.DUMMYFUNCTION("""COMPUTED_VALUE"""),191.58)</f>
        <v>191.58</v>
      </c>
      <c r="D11248" s="2">
        <f>IFERROR(__xludf.DUMMYFUNCTION("""COMPUTED_VALUE"""),189.0)</f>
        <v>189</v>
      </c>
      <c r="E11248" s="2">
        <f>IFERROR(__xludf.DUMMYFUNCTION("""COMPUTED_VALUE"""),189.48)</f>
        <v>189.48</v>
      </c>
      <c r="F11248" s="2">
        <f>IFERROR(__xludf.DUMMYFUNCTION("""COMPUTED_VALUE"""),2290421.0)</f>
        <v>2290421</v>
      </c>
    </row>
    <row r="11249">
      <c r="A11249" s="3">
        <f>IFERROR(__xludf.DUMMYFUNCTION("""COMPUTED_VALUE"""),45517.66666666667)</f>
        <v>45517.66667</v>
      </c>
      <c r="B11249" s="2">
        <f>IFERROR(__xludf.DUMMYFUNCTION("""COMPUTED_VALUE"""),190.29)</f>
        <v>190.29</v>
      </c>
      <c r="C11249" s="2">
        <f>IFERROR(__xludf.DUMMYFUNCTION("""COMPUTED_VALUE"""),191.31)</f>
        <v>191.31</v>
      </c>
      <c r="D11249" s="2">
        <f>IFERROR(__xludf.DUMMYFUNCTION("""COMPUTED_VALUE"""),189.21)</f>
        <v>189.21</v>
      </c>
      <c r="E11249" s="2">
        <f>IFERROR(__xludf.DUMMYFUNCTION("""COMPUTED_VALUE"""),190.99)</f>
        <v>190.99</v>
      </c>
      <c r="F11249" s="2">
        <f>IFERROR(__xludf.DUMMYFUNCTION("""COMPUTED_VALUE"""),2178862.0)</f>
        <v>2178862</v>
      </c>
    </row>
    <row r="11250">
      <c r="A11250" s="3">
        <f>IFERROR(__xludf.DUMMYFUNCTION("""COMPUTED_VALUE"""),45518.66666666667)</f>
        <v>45518.66667</v>
      </c>
      <c r="B11250" s="2">
        <f>IFERROR(__xludf.DUMMYFUNCTION("""COMPUTED_VALUE"""),191.15)</f>
        <v>191.15</v>
      </c>
      <c r="C11250" s="2">
        <f>IFERROR(__xludf.DUMMYFUNCTION("""COMPUTED_VALUE"""),193.09)</f>
        <v>193.09</v>
      </c>
      <c r="D11250" s="2">
        <f>IFERROR(__xludf.DUMMYFUNCTION("""COMPUTED_VALUE"""),190.73)</f>
        <v>190.73</v>
      </c>
      <c r="E11250" s="2">
        <f>IFERROR(__xludf.DUMMYFUNCTION("""COMPUTED_VALUE"""),192.32)</f>
        <v>192.32</v>
      </c>
      <c r="F11250" s="2">
        <f>IFERROR(__xludf.DUMMYFUNCTION("""COMPUTED_VALUE"""),1895114.0)</f>
        <v>1895114</v>
      </c>
    </row>
    <row r="11251">
      <c r="A11251" s="3">
        <f>IFERROR(__xludf.DUMMYFUNCTION("""COMPUTED_VALUE"""),45519.66666666667)</f>
        <v>45519.66667</v>
      </c>
      <c r="B11251" s="2">
        <f>IFERROR(__xludf.DUMMYFUNCTION("""COMPUTED_VALUE"""),193.51)</f>
        <v>193.51</v>
      </c>
      <c r="C11251" s="2">
        <f>IFERROR(__xludf.DUMMYFUNCTION("""COMPUTED_VALUE"""),194.25)</f>
        <v>194.25</v>
      </c>
      <c r="D11251" s="2">
        <f>IFERROR(__xludf.DUMMYFUNCTION("""COMPUTED_VALUE"""),193.28)</f>
        <v>193.28</v>
      </c>
      <c r="E11251" s="2">
        <f>IFERROR(__xludf.DUMMYFUNCTION("""COMPUTED_VALUE"""),193.95)</f>
        <v>193.95</v>
      </c>
      <c r="F11251" s="2">
        <f>IFERROR(__xludf.DUMMYFUNCTION("""COMPUTED_VALUE"""),2471985.0)</f>
        <v>2471985</v>
      </c>
    </row>
    <row r="11252">
      <c r="A11252" s="3">
        <f>IFERROR(__xludf.DUMMYFUNCTION("""COMPUTED_VALUE"""),45520.66666666667)</f>
        <v>45520.66667</v>
      </c>
      <c r="B11252" s="2">
        <f>IFERROR(__xludf.DUMMYFUNCTION("""COMPUTED_VALUE"""),193.58)</f>
        <v>193.58</v>
      </c>
      <c r="C11252" s="2">
        <f>IFERROR(__xludf.DUMMYFUNCTION("""COMPUTED_VALUE"""),194.35)</f>
        <v>194.35</v>
      </c>
      <c r="D11252" s="2">
        <f>IFERROR(__xludf.DUMMYFUNCTION("""COMPUTED_VALUE"""),192.86)</f>
        <v>192.86</v>
      </c>
      <c r="E11252" s="2">
        <f>IFERROR(__xludf.DUMMYFUNCTION("""COMPUTED_VALUE"""),193.78)</f>
        <v>193.78</v>
      </c>
      <c r="F11252" s="2">
        <f>IFERROR(__xludf.DUMMYFUNCTION("""COMPUTED_VALUE"""),2494472.0)</f>
        <v>2494472</v>
      </c>
    </row>
    <row r="11253">
      <c r="A11253" s="3">
        <f>IFERROR(__xludf.DUMMYFUNCTION("""COMPUTED_VALUE"""),45523.66666666667)</f>
        <v>45523.66667</v>
      </c>
      <c r="B11253" s="2">
        <f>IFERROR(__xludf.DUMMYFUNCTION("""COMPUTED_VALUE"""),193.84)</f>
        <v>193.84</v>
      </c>
      <c r="C11253" s="2">
        <f>IFERROR(__xludf.DUMMYFUNCTION("""COMPUTED_VALUE"""),195.53)</f>
        <v>195.53</v>
      </c>
      <c r="D11253" s="2">
        <f>IFERROR(__xludf.DUMMYFUNCTION("""COMPUTED_VALUE"""),193.72)</f>
        <v>193.72</v>
      </c>
      <c r="E11253" s="2">
        <f>IFERROR(__xludf.DUMMYFUNCTION("""COMPUTED_VALUE"""),194.73)</f>
        <v>194.73</v>
      </c>
      <c r="F11253" s="2">
        <f>IFERROR(__xludf.DUMMYFUNCTION("""COMPUTED_VALUE"""),2361378.0)</f>
        <v>2361378</v>
      </c>
    </row>
    <row r="11254">
      <c r="A11254" s="3">
        <f>IFERROR(__xludf.DUMMYFUNCTION("""COMPUTED_VALUE"""),45524.66666666667)</f>
        <v>45524.66667</v>
      </c>
      <c r="B11254" s="2">
        <f>IFERROR(__xludf.DUMMYFUNCTION("""COMPUTED_VALUE"""),194.59)</f>
        <v>194.59</v>
      </c>
      <c r="C11254" s="2">
        <f>IFERROR(__xludf.DUMMYFUNCTION("""COMPUTED_VALUE"""),196.21)</f>
        <v>196.21</v>
      </c>
      <c r="D11254" s="2">
        <f>IFERROR(__xludf.DUMMYFUNCTION("""COMPUTED_VALUE"""),193.75)</f>
        <v>193.75</v>
      </c>
      <c r="E11254" s="2">
        <f>IFERROR(__xludf.DUMMYFUNCTION("""COMPUTED_VALUE"""),196.03)</f>
        <v>196.03</v>
      </c>
      <c r="F11254" s="2">
        <f>IFERROR(__xludf.DUMMYFUNCTION("""COMPUTED_VALUE"""),1790371.0)</f>
        <v>1790371</v>
      </c>
    </row>
    <row r="11255">
      <c r="A11255" s="3">
        <f>IFERROR(__xludf.DUMMYFUNCTION("""COMPUTED_VALUE"""),45525.66666666667)</f>
        <v>45525.66667</v>
      </c>
      <c r="B11255" s="2">
        <f>IFERROR(__xludf.DUMMYFUNCTION("""COMPUTED_VALUE"""),195.97)</f>
        <v>195.97</v>
      </c>
      <c r="C11255" s="2">
        <f>IFERROR(__xludf.DUMMYFUNCTION("""COMPUTED_VALUE"""),197.33)</f>
        <v>197.33</v>
      </c>
      <c r="D11255" s="2">
        <f>IFERROR(__xludf.DUMMYFUNCTION("""COMPUTED_VALUE"""),194.12)</f>
        <v>194.12</v>
      </c>
      <c r="E11255" s="2">
        <f>IFERROR(__xludf.DUMMYFUNCTION("""COMPUTED_VALUE"""),197.21)</f>
        <v>197.21</v>
      </c>
      <c r="F11255" s="2">
        <f>IFERROR(__xludf.DUMMYFUNCTION("""COMPUTED_VALUE"""),2579343.0)</f>
        <v>2579343</v>
      </c>
    </row>
    <row r="11256">
      <c r="A11256" s="3">
        <f>IFERROR(__xludf.DUMMYFUNCTION("""COMPUTED_VALUE"""),45526.66666666667)</f>
        <v>45526.66667</v>
      </c>
      <c r="B11256" s="2">
        <f>IFERROR(__xludf.DUMMYFUNCTION("""COMPUTED_VALUE"""),197.25)</f>
        <v>197.25</v>
      </c>
      <c r="C11256" s="2">
        <f>IFERROR(__xludf.DUMMYFUNCTION("""COMPUTED_VALUE"""),197.92)</f>
        <v>197.92</v>
      </c>
      <c r="D11256" s="2">
        <f>IFERROR(__xludf.DUMMYFUNCTION("""COMPUTED_VALUE"""),195.57)</f>
        <v>195.57</v>
      </c>
      <c r="E11256" s="2">
        <f>IFERROR(__xludf.DUMMYFUNCTION("""COMPUTED_VALUE"""),195.96)</f>
        <v>195.96</v>
      </c>
      <c r="F11256" s="2">
        <f>IFERROR(__xludf.DUMMYFUNCTION("""COMPUTED_VALUE"""),1969496.0)</f>
        <v>1969496</v>
      </c>
    </row>
    <row r="11257">
      <c r="A11257" s="3">
        <f>IFERROR(__xludf.DUMMYFUNCTION("""COMPUTED_VALUE"""),45527.66666666667)</f>
        <v>45527.66667</v>
      </c>
      <c r="B11257" s="2">
        <f>IFERROR(__xludf.DUMMYFUNCTION("""COMPUTED_VALUE"""),196.79)</f>
        <v>196.79</v>
      </c>
      <c r="C11257" s="2">
        <f>IFERROR(__xludf.DUMMYFUNCTION("""COMPUTED_VALUE"""),197.38)</f>
        <v>197.38</v>
      </c>
      <c r="D11257" s="2">
        <f>IFERROR(__xludf.DUMMYFUNCTION("""COMPUTED_VALUE"""),194.39)</f>
        <v>194.39</v>
      </c>
      <c r="E11257" s="2">
        <f>IFERROR(__xludf.DUMMYFUNCTION("""COMPUTED_VALUE"""),196.1)</f>
        <v>196.1</v>
      </c>
      <c r="F11257" s="2">
        <f>IFERROR(__xludf.DUMMYFUNCTION("""COMPUTED_VALUE"""),2321961.0)</f>
        <v>2321961</v>
      </c>
    </row>
    <row r="11258">
      <c r="A11258" s="3">
        <f>IFERROR(__xludf.DUMMYFUNCTION("""COMPUTED_VALUE"""),45530.66666666667)</f>
        <v>45530.66667</v>
      </c>
      <c r="B11258" s="2">
        <f>IFERROR(__xludf.DUMMYFUNCTION("""COMPUTED_VALUE"""),196.0)</f>
        <v>196</v>
      </c>
      <c r="C11258" s="2">
        <f>IFERROR(__xludf.DUMMYFUNCTION("""COMPUTED_VALUE"""),198.35)</f>
        <v>198.35</v>
      </c>
      <c r="D11258" s="2">
        <f>IFERROR(__xludf.DUMMYFUNCTION("""COMPUTED_VALUE"""),195.9)</f>
        <v>195.9</v>
      </c>
      <c r="E11258" s="2">
        <f>IFERROR(__xludf.DUMMYFUNCTION("""COMPUTED_VALUE"""),197.98)</f>
        <v>197.98</v>
      </c>
      <c r="F11258" s="2">
        <f>IFERROR(__xludf.DUMMYFUNCTION("""COMPUTED_VALUE"""),2567217.0)</f>
        <v>2567217</v>
      </c>
    </row>
    <row r="11259">
      <c r="A11259" s="3">
        <f>IFERROR(__xludf.DUMMYFUNCTION("""COMPUTED_VALUE"""),45531.66666666667)</f>
        <v>45531.66667</v>
      </c>
      <c r="B11259" s="2">
        <f>IFERROR(__xludf.DUMMYFUNCTION("""COMPUTED_VALUE"""),197.44)</f>
        <v>197.44</v>
      </c>
      <c r="C11259" s="2">
        <f>IFERROR(__xludf.DUMMYFUNCTION("""COMPUTED_VALUE"""),199.4)</f>
        <v>199.4</v>
      </c>
      <c r="D11259" s="2">
        <f>IFERROR(__xludf.DUMMYFUNCTION("""COMPUTED_VALUE"""),196.97)</f>
        <v>196.97</v>
      </c>
      <c r="E11259" s="2">
        <f>IFERROR(__xludf.DUMMYFUNCTION("""COMPUTED_VALUE"""),198.73)</f>
        <v>198.73</v>
      </c>
      <c r="F11259" s="2">
        <f>IFERROR(__xludf.DUMMYFUNCTION("""COMPUTED_VALUE"""),2617229.0)</f>
        <v>2617229</v>
      </c>
    </row>
    <row r="11260">
      <c r="A11260" s="3">
        <f>IFERROR(__xludf.DUMMYFUNCTION("""COMPUTED_VALUE"""),45532.66666666667)</f>
        <v>45532.66667</v>
      </c>
      <c r="B11260" s="2">
        <f>IFERROR(__xludf.DUMMYFUNCTION("""COMPUTED_VALUE"""),199.0)</f>
        <v>199</v>
      </c>
      <c r="C11260" s="2">
        <f>IFERROR(__xludf.DUMMYFUNCTION("""COMPUTED_VALUE"""),200.0)</f>
        <v>200</v>
      </c>
      <c r="D11260" s="2">
        <f>IFERROR(__xludf.DUMMYFUNCTION("""COMPUTED_VALUE"""),197.49)</f>
        <v>197.49</v>
      </c>
      <c r="E11260" s="2">
        <f>IFERROR(__xludf.DUMMYFUNCTION("""COMPUTED_VALUE"""),198.46)</f>
        <v>198.46</v>
      </c>
      <c r="F11260" s="2">
        <f>IFERROR(__xludf.DUMMYFUNCTION("""COMPUTED_VALUE"""),2645244.0)</f>
        <v>2645244</v>
      </c>
    </row>
    <row r="11261">
      <c r="A11261" s="3">
        <f>IFERROR(__xludf.DUMMYFUNCTION("""COMPUTED_VALUE"""),45533.66666666667)</f>
        <v>45533.66667</v>
      </c>
      <c r="B11261" s="2">
        <f>IFERROR(__xludf.DUMMYFUNCTION("""COMPUTED_VALUE"""),199.3)</f>
        <v>199.3</v>
      </c>
      <c r="C11261" s="2">
        <f>IFERROR(__xludf.DUMMYFUNCTION("""COMPUTED_VALUE"""),201.12)</f>
        <v>201.12</v>
      </c>
      <c r="D11261" s="2">
        <f>IFERROR(__xludf.DUMMYFUNCTION("""COMPUTED_VALUE"""),198.27)</f>
        <v>198.27</v>
      </c>
      <c r="E11261" s="2">
        <f>IFERROR(__xludf.DUMMYFUNCTION("""COMPUTED_VALUE"""),198.9)</f>
        <v>198.9</v>
      </c>
      <c r="F11261" s="2">
        <f>IFERROR(__xludf.DUMMYFUNCTION("""COMPUTED_VALUE"""),2989594.0)</f>
        <v>2989594</v>
      </c>
    </row>
    <row r="11262">
      <c r="A11262" s="3">
        <f>IFERROR(__xludf.DUMMYFUNCTION("""COMPUTED_VALUE"""),45534.66666666667)</f>
        <v>45534.66667</v>
      </c>
      <c r="B11262" s="2">
        <f>IFERROR(__xludf.DUMMYFUNCTION("""COMPUTED_VALUE"""),199.11)</f>
        <v>199.11</v>
      </c>
      <c r="C11262" s="2">
        <f>IFERROR(__xludf.DUMMYFUNCTION("""COMPUTED_VALUE"""),202.17)</f>
        <v>202.17</v>
      </c>
      <c r="D11262" s="2">
        <f>IFERROR(__xludf.DUMMYFUNCTION("""COMPUTED_VALUE"""),198.73)</f>
        <v>198.73</v>
      </c>
      <c r="E11262" s="2">
        <f>IFERROR(__xludf.DUMMYFUNCTION("""COMPUTED_VALUE"""),202.13)</f>
        <v>202.13</v>
      </c>
      <c r="F11262" s="2">
        <f>IFERROR(__xludf.DUMMYFUNCTION("""COMPUTED_VALUE"""),4750999.0)</f>
        <v>4750999</v>
      </c>
    </row>
    <row r="11263">
      <c r="A11263" s="3">
        <f>IFERROR(__xludf.DUMMYFUNCTION("""COMPUTED_VALUE"""),45538.66666666667)</f>
        <v>45538.66667</v>
      </c>
      <c r="B11263" s="2">
        <f>IFERROR(__xludf.DUMMYFUNCTION("""COMPUTED_VALUE"""),201.91)</f>
        <v>201.91</v>
      </c>
      <c r="C11263" s="2">
        <f>IFERROR(__xludf.DUMMYFUNCTION("""COMPUTED_VALUE"""),204.72)</f>
        <v>204.72</v>
      </c>
      <c r="D11263" s="2">
        <f>IFERROR(__xludf.DUMMYFUNCTION("""COMPUTED_VALUE"""),200.21)</f>
        <v>200.21</v>
      </c>
      <c r="E11263" s="2">
        <f>IFERROR(__xludf.DUMMYFUNCTION("""COMPUTED_VALUE"""),201.28)</f>
        <v>201.28</v>
      </c>
      <c r="F11263" s="2">
        <f>IFERROR(__xludf.DUMMYFUNCTION("""COMPUTED_VALUE"""),3874697.0)</f>
        <v>3874697</v>
      </c>
    </row>
    <row r="11264">
      <c r="A11264" s="3">
        <f>IFERROR(__xludf.DUMMYFUNCTION("""COMPUTED_VALUE"""),45539.66666666667)</f>
        <v>45539.66667</v>
      </c>
      <c r="B11264" s="2">
        <f>IFERROR(__xludf.DUMMYFUNCTION("""COMPUTED_VALUE"""),200.76)</f>
        <v>200.76</v>
      </c>
      <c r="C11264" s="2">
        <f>IFERROR(__xludf.DUMMYFUNCTION("""COMPUTED_VALUE"""),204.36)</f>
        <v>204.36</v>
      </c>
      <c r="D11264" s="2">
        <f>IFERROR(__xludf.DUMMYFUNCTION("""COMPUTED_VALUE"""),200.5)</f>
        <v>200.5</v>
      </c>
      <c r="E11264" s="2">
        <f>IFERROR(__xludf.DUMMYFUNCTION("""COMPUTED_VALUE"""),204.11)</f>
        <v>204.11</v>
      </c>
      <c r="F11264" s="2">
        <f>IFERROR(__xludf.DUMMYFUNCTION("""COMPUTED_VALUE"""),3142476.0)</f>
        <v>3142476</v>
      </c>
    </row>
    <row r="11265">
      <c r="A11265" s="3">
        <f>IFERROR(__xludf.DUMMYFUNCTION("""COMPUTED_VALUE"""),45540.66666666667)</f>
        <v>45540.66667</v>
      </c>
      <c r="B11265" s="2">
        <f>IFERROR(__xludf.DUMMYFUNCTION("""COMPUTED_VALUE"""),204.08)</f>
        <v>204.08</v>
      </c>
      <c r="C11265" s="2">
        <f>IFERROR(__xludf.DUMMYFUNCTION("""COMPUTED_VALUE"""),205.95)</f>
        <v>205.95</v>
      </c>
      <c r="D11265" s="2">
        <f>IFERROR(__xludf.DUMMYFUNCTION("""COMPUTED_VALUE"""),200.96)</f>
        <v>200.96</v>
      </c>
      <c r="E11265" s="2">
        <f>IFERROR(__xludf.DUMMYFUNCTION("""COMPUTED_VALUE"""),202.59)</f>
        <v>202.59</v>
      </c>
      <c r="F11265" s="2">
        <f>IFERROR(__xludf.DUMMYFUNCTION("""COMPUTED_VALUE"""),3229345.0)</f>
        <v>3229345</v>
      </c>
    </row>
    <row r="11266">
      <c r="A11266" s="3">
        <f>IFERROR(__xludf.DUMMYFUNCTION("""COMPUTED_VALUE"""),45541.66666666667)</f>
        <v>45541.66667</v>
      </c>
      <c r="B11266" s="2">
        <f>IFERROR(__xludf.DUMMYFUNCTION("""COMPUTED_VALUE"""),202.38)</f>
        <v>202.38</v>
      </c>
      <c r="C11266" s="2">
        <f>IFERROR(__xludf.DUMMYFUNCTION("""COMPUTED_VALUE"""),204.1)</f>
        <v>204.1</v>
      </c>
      <c r="D11266" s="2">
        <f>IFERROR(__xludf.DUMMYFUNCTION("""COMPUTED_VALUE"""),199.34)</f>
        <v>199.34</v>
      </c>
      <c r="E11266" s="2">
        <f>IFERROR(__xludf.DUMMYFUNCTION("""COMPUTED_VALUE"""),200.74)</f>
        <v>200.74</v>
      </c>
      <c r="F11266" s="2">
        <f>IFERROR(__xludf.DUMMYFUNCTION("""COMPUTED_VALUE"""),3304491.0)</f>
        <v>3304491</v>
      </c>
    </row>
    <row r="11267">
      <c r="A11267" s="3">
        <f>IFERROR(__xludf.DUMMYFUNCTION("""COMPUTED_VALUE"""),45544.66666666667)</f>
        <v>45544.66667</v>
      </c>
      <c r="B11267" s="2">
        <f>IFERROR(__xludf.DUMMYFUNCTION("""COMPUTED_VALUE"""),201.94)</f>
        <v>201.94</v>
      </c>
      <c r="C11267" s="2">
        <f>IFERROR(__xludf.DUMMYFUNCTION("""COMPUTED_VALUE"""),205.05)</f>
        <v>205.05</v>
      </c>
      <c r="D11267" s="2">
        <f>IFERROR(__xludf.DUMMYFUNCTION("""COMPUTED_VALUE"""),201.43)</f>
        <v>201.43</v>
      </c>
      <c r="E11267" s="2">
        <f>IFERROR(__xludf.DUMMYFUNCTION("""COMPUTED_VALUE"""),203.53)</f>
        <v>203.53</v>
      </c>
      <c r="F11267" s="2">
        <f>IFERROR(__xludf.DUMMYFUNCTION("""COMPUTED_VALUE"""),3705004.0)</f>
        <v>3705004</v>
      </c>
    </row>
    <row r="11268">
      <c r="A11268" s="3">
        <f>IFERROR(__xludf.DUMMYFUNCTION("""COMPUTED_VALUE"""),45545.66666666667)</f>
        <v>45545.66667</v>
      </c>
      <c r="B11268" s="2">
        <f>IFERROR(__xludf.DUMMYFUNCTION("""COMPUTED_VALUE"""),204.2)</f>
        <v>204.2</v>
      </c>
      <c r="C11268" s="2">
        <f>IFERROR(__xludf.DUMMYFUNCTION("""COMPUTED_VALUE"""),205.83)</f>
        <v>205.83</v>
      </c>
      <c r="D11268" s="2">
        <f>IFERROR(__xludf.DUMMYFUNCTION("""COMPUTED_VALUE"""),202.87)</f>
        <v>202.87</v>
      </c>
      <c r="E11268" s="2">
        <f>IFERROR(__xludf.DUMMYFUNCTION("""COMPUTED_VALUE"""),205.32)</f>
        <v>205.32</v>
      </c>
      <c r="F11268" s="2">
        <f>IFERROR(__xludf.DUMMYFUNCTION("""COMPUTED_VALUE"""),3070644.0)</f>
        <v>3070644</v>
      </c>
    </row>
    <row r="11269">
      <c r="A11269" s="3">
        <f>IFERROR(__xludf.DUMMYFUNCTION("""COMPUTED_VALUE"""),45546.66666666667)</f>
        <v>45546.66667</v>
      </c>
      <c r="B11269" s="2">
        <f>IFERROR(__xludf.DUMMYFUNCTION("""COMPUTED_VALUE"""),207.76)</f>
        <v>207.76</v>
      </c>
      <c r="C11269" s="2">
        <f>IFERROR(__xludf.DUMMYFUNCTION("""COMPUTED_VALUE"""),210.12)</f>
        <v>210.12</v>
      </c>
      <c r="D11269" s="2">
        <f>IFERROR(__xludf.DUMMYFUNCTION("""COMPUTED_VALUE"""),203.04)</f>
        <v>203.04</v>
      </c>
      <c r="E11269" s="2">
        <f>IFERROR(__xludf.DUMMYFUNCTION("""COMPUTED_VALUE"""),209.89)</f>
        <v>209.89</v>
      </c>
      <c r="F11269" s="2">
        <f>IFERROR(__xludf.DUMMYFUNCTION("""COMPUTED_VALUE"""),5554309.0)</f>
        <v>5554309</v>
      </c>
    </row>
    <row r="11270">
      <c r="A11270" s="3">
        <f>IFERROR(__xludf.DUMMYFUNCTION("""COMPUTED_VALUE"""),45547.66666666667)</f>
        <v>45547.66667</v>
      </c>
      <c r="B11270" s="2">
        <f>IFERROR(__xludf.DUMMYFUNCTION("""COMPUTED_VALUE"""),210.0)</f>
        <v>210</v>
      </c>
      <c r="C11270" s="2">
        <f>IFERROR(__xludf.DUMMYFUNCTION("""COMPUTED_VALUE"""),212.65)</f>
        <v>212.65</v>
      </c>
      <c r="D11270" s="2">
        <f>IFERROR(__xludf.DUMMYFUNCTION("""COMPUTED_VALUE"""),208.27)</f>
        <v>208.27</v>
      </c>
      <c r="E11270" s="2">
        <f>IFERROR(__xludf.DUMMYFUNCTION("""COMPUTED_VALUE"""),211.61)</f>
        <v>211.61</v>
      </c>
      <c r="F11270" s="2">
        <f>IFERROR(__xludf.DUMMYFUNCTION("""COMPUTED_VALUE"""),4616446.0)</f>
        <v>4616446</v>
      </c>
    </row>
    <row r="11271">
      <c r="A11271" s="3">
        <f>IFERROR(__xludf.DUMMYFUNCTION("""COMPUTED_VALUE"""),45548.66666666667)</f>
        <v>45548.66667</v>
      </c>
      <c r="B11271" s="2">
        <f>IFERROR(__xludf.DUMMYFUNCTION("""COMPUTED_VALUE"""),212.48)</f>
        <v>212.48</v>
      </c>
      <c r="C11271" s="2">
        <f>IFERROR(__xludf.DUMMYFUNCTION("""COMPUTED_VALUE"""),216.09)</f>
        <v>216.09</v>
      </c>
      <c r="D11271" s="2">
        <f>IFERROR(__xludf.DUMMYFUNCTION("""COMPUTED_VALUE"""),212.13)</f>
        <v>212.13</v>
      </c>
      <c r="E11271" s="2">
        <f>IFERROR(__xludf.DUMMYFUNCTION("""COMPUTED_VALUE"""),214.79)</f>
        <v>214.79</v>
      </c>
      <c r="F11271" s="2">
        <f>IFERROR(__xludf.DUMMYFUNCTION("""COMPUTED_VALUE"""),4572344.0)</f>
        <v>4572344</v>
      </c>
    </row>
    <row r="11272">
      <c r="A11272" s="3">
        <f>IFERROR(__xludf.DUMMYFUNCTION("""COMPUTED_VALUE"""),45551.66666666667)</f>
        <v>45551.66667</v>
      </c>
      <c r="B11272" s="2">
        <f>IFERROR(__xludf.DUMMYFUNCTION("""COMPUTED_VALUE"""),215.88)</f>
        <v>215.88</v>
      </c>
      <c r="C11272" s="2">
        <f>IFERROR(__xludf.DUMMYFUNCTION("""COMPUTED_VALUE"""),217.9)</f>
        <v>217.9</v>
      </c>
      <c r="D11272" s="2">
        <f>IFERROR(__xludf.DUMMYFUNCTION("""COMPUTED_VALUE"""),215.52)</f>
        <v>215.52</v>
      </c>
      <c r="E11272" s="2">
        <f>IFERROR(__xludf.DUMMYFUNCTION("""COMPUTED_VALUE"""),217.16)</f>
        <v>217.16</v>
      </c>
      <c r="F11272" s="2">
        <f>IFERROR(__xludf.DUMMYFUNCTION("""COMPUTED_VALUE"""),4176257.0)</f>
        <v>4176257</v>
      </c>
    </row>
    <row r="11273">
      <c r="A11273" s="3">
        <f>IFERROR(__xludf.DUMMYFUNCTION("""COMPUTED_VALUE"""),45552.66666666667)</f>
        <v>45552.66667</v>
      </c>
      <c r="B11273" s="2">
        <f>IFERROR(__xludf.DUMMYFUNCTION("""COMPUTED_VALUE"""),217.25)</f>
        <v>217.25</v>
      </c>
      <c r="C11273" s="2">
        <f>IFERROR(__xludf.DUMMYFUNCTION("""COMPUTED_VALUE"""),218.84)</f>
        <v>218.84</v>
      </c>
      <c r="D11273" s="2">
        <f>IFERROR(__xludf.DUMMYFUNCTION("""COMPUTED_VALUE"""),213.0)</f>
        <v>213</v>
      </c>
      <c r="E11273" s="2">
        <f>IFERROR(__xludf.DUMMYFUNCTION("""COMPUTED_VALUE"""),214.13)</f>
        <v>214.13</v>
      </c>
      <c r="F11273" s="2">
        <f>IFERROR(__xludf.DUMMYFUNCTION("""COMPUTED_VALUE"""),5635210.0)</f>
        <v>5635210</v>
      </c>
    </row>
    <row r="11274">
      <c r="A11274" s="3">
        <f>IFERROR(__xludf.DUMMYFUNCTION("""COMPUTED_VALUE"""),45553.66666666667)</f>
        <v>45553.66667</v>
      </c>
      <c r="B11274" s="2">
        <f>IFERROR(__xludf.DUMMYFUNCTION("""COMPUTED_VALUE"""),214.13)</f>
        <v>214.13</v>
      </c>
      <c r="C11274" s="2">
        <f>IFERROR(__xludf.DUMMYFUNCTION("""COMPUTED_VALUE"""),216.86)</f>
        <v>216.86</v>
      </c>
      <c r="D11274" s="2">
        <f>IFERROR(__xludf.DUMMYFUNCTION("""COMPUTED_VALUE"""),213.59)</f>
        <v>213.59</v>
      </c>
      <c r="E11274" s="2">
        <f>IFERROR(__xludf.DUMMYFUNCTION("""COMPUTED_VALUE"""),214.94)</f>
        <v>214.94</v>
      </c>
      <c r="F11274" s="2">
        <f>IFERROR(__xludf.DUMMYFUNCTION("""COMPUTED_VALUE"""),3482764.0)</f>
        <v>3482764</v>
      </c>
    </row>
    <row r="11275">
      <c r="A11275" s="3">
        <f>IFERROR(__xludf.DUMMYFUNCTION("""COMPUTED_VALUE"""),45554.66666666667)</f>
        <v>45554.66667</v>
      </c>
      <c r="B11275" s="2">
        <f>IFERROR(__xludf.DUMMYFUNCTION("""COMPUTED_VALUE"""),218.01)</f>
        <v>218.01</v>
      </c>
      <c r="C11275" s="2">
        <f>IFERROR(__xludf.DUMMYFUNCTION("""COMPUTED_VALUE"""),218.48)</f>
        <v>218.48</v>
      </c>
      <c r="D11275" s="2">
        <f>IFERROR(__xludf.DUMMYFUNCTION("""COMPUTED_VALUE"""),210.37)</f>
        <v>210.37</v>
      </c>
      <c r="E11275" s="2">
        <f>IFERROR(__xludf.DUMMYFUNCTION("""COMPUTED_VALUE"""),213.89)</f>
        <v>213.89</v>
      </c>
      <c r="F11275" s="2">
        <f>IFERROR(__xludf.DUMMYFUNCTION("""COMPUTED_VALUE"""),5279559.0)</f>
        <v>5279559</v>
      </c>
    </row>
    <row r="11276">
      <c r="A11276" s="3">
        <f>IFERROR(__xludf.DUMMYFUNCTION("""COMPUTED_VALUE"""),45555.66666666667)</f>
        <v>45555.66667</v>
      </c>
      <c r="B11276" s="2">
        <f>IFERROR(__xludf.DUMMYFUNCTION("""COMPUTED_VALUE"""),214.33)</f>
        <v>214.33</v>
      </c>
      <c r="C11276" s="2">
        <f>IFERROR(__xludf.DUMMYFUNCTION("""COMPUTED_VALUE"""),217.85)</f>
        <v>217.85</v>
      </c>
      <c r="D11276" s="2">
        <f>IFERROR(__xludf.DUMMYFUNCTION("""COMPUTED_VALUE"""),213.74)</f>
        <v>213.74</v>
      </c>
      <c r="E11276" s="2">
        <f>IFERROR(__xludf.DUMMYFUNCTION("""COMPUTED_VALUE"""),217.7)</f>
        <v>217.7</v>
      </c>
      <c r="F11276" s="2">
        <f>IFERROR(__xludf.DUMMYFUNCTION("""COMPUTED_VALUE"""),9958980.0)</f>
        <v>9958980</v>
      </c>
    </row>
    <row r="11277">
      <c r="A11277" s="3">
        <f>IFERROR(__xludf.DUMMYFUNCTION("""COMPUTED_VALUE"""),45558.66666666667)</f>
        <v>45558.66667</v>
      </c>
      <c r="B11277" s="2">
        <f>IFERROR(__xludf.DUMMYFUNCTION("""COMPUTED_VALUE"""),218.0)</f>
        <v>218</v>
      </c>
      <c r="C11277" s="2">
        <f>IFERROR(__xludf.DUMMYFUNCTION("""COMPUTED_VALUE"""),220.62)</f>
        <v>220.62</v>
      </c>
      <c r="D11277" s="2">
        <f>IFERROR(__xludf.DUMMYFUNCTION("""COMPUTED_VALUE"""),217.27)</f>
        <v>217.27</v>
      </c>
      <c r="E11277" s="2">
        <f>IFERROR(__xludf.DUMMYFUNCTION("""COMPUTED_VALUE"""),220.5)</f>
        <v>220.5</v>
      </c>
      <c r="F11277" s="2">
        <f>IFERROR(__xludf.DUMMYFUNCTION("""COMPUTED_VALUE"""),4074755.0)</f>
        <v>4074755</v>
      </c>
    </row>
    <row r="11278">
      <c r="A11278" s="3">
        <f>IFERROR(__xludf.DUMMYFUNCTION("""COMPUTED_VALUE"""),45559.66666666667)</f>
        <v>45559.66667</v>
      </c>
      <c r="B11278" s="2">
        <f>IFERROR(__xludf.DUMMYFUNCTION("""COMPUTED_VALUE"""),219.78)</f>
        <v>219.78</v>
      </c>
      <c r="C11278" s="2">
        <f>IFERROR(__xludf.DUMMYFUNCTION("""COMPUTED_VALUE"""),221.19)</f>
        <v>221.19</v>
      </c>
      <c r="D11278" s="2">
        <f>IFERROR(__xludf.DUMMYFUNCTION("""COMPUTED_VALUE"""),218.16)</f>
        <v>218.16</v>
      </c>
      <c r="E11278" s="2">
        <f>IFERROR(__xludf.DUMMYFUNCTION("""COMPUTED_VALUE"""),220.97)</f>
        <v>220.97</v>
      </c>
      <c r="F11278" s="2">
        <f>IFERROR(__xludf.DUMMYFUNCTION("""COMPUTED_VALUE"""),3184114.0)</f>
        <v>3184114</v>
      </c>
    </row>
    <row r="11279">
      <c r="A11279" s="3">
        <f>IFERROR(__xludf.DUMMYFUNCTION("""COMPUTED_VALUE"""),45560.66666666667)</f>
        <v>45560.66667</v>
      </c>
      <c r="B11279" s="2">
        <f>IFERROR(__xludf.DUMMYFUNCTION("""COMPUTED_VALUE"""),221.17)</f>
        <v>221.17</v>
      </c>
      <c r="C11279" s="2">
        <f>IFERROR(__xludf.DUMMYFUNCTION("""COMPUTED_VALUE"""),221.85)</f>
        <v>221.85</v>
      </c>
      <c r="D11279" s="2">
        <f>IFERROR(__xludf.DUMMYFUNCTION("""COMPUTED_VALUE"""),220.16)</f>
        <v>220.16</v>
      </c>
      <c r="E11279" s="2">
        <f>IFERROR(__xludf.DUMMYFUNCTION("""COMPUTED_VALUE"""),221.23)</f>
        <v>221.23</v>
      </c>
      <c r="F11279" s="2">
        <f>IFERROR(__xludf.DUMMYFUNCTION("""COMPUTED_VALUE"""),2537751.0)</f>
        <v>2537751</v>
      </c>
    </row>
    <row r="11280">
      <c r="A11280" s="3">
        <f>IFERROR(__xludf.DUMMYFUNCTION("""COMPUTED_VALUE"""),45561.66666666667)</f>
        <v>45561.66667</v>
      </c>
      <c r="B11280" s="2">
        <f>IFERROR(__xludf.DUMMYFUNCTION("""COMPUTED_VALUE"""),222.11)</f>
        <v>222.11</v>
      </c>
      <c r="C11280" s="2">
        <f>IFERROR(__xludf.DUMMYFUNCTION("""COMPUTED_VALUE"""),224.0)</f>
        <v>224</v>
      </c>
      <c r="D11280" s="2">
        <f>IFERROR(__xludf.DUMMYFUNCTION("""COMPUTED_VALUE"""),221.36)</f>
        <v>221.36</v>
      </c>
      <c r="E11280" s="2">
        <f>IFERROR(__xludf.DUMMYFUNCTION("""COMPUTED_VALUE"""),223.43)</f>
        <v>223.43</v>
      </c>
      <c r="F11280" s="2">
        <f>IFERROR(__xludf.DUMMYFUNCTION("""COMPUTED_VALUE"""),2673210.0)</f>
        <v>2673210</v>
      </c>
    </row>
    <row r="11281">
      <c r="A11281" s="3">
        <f>IFERROR(__xludf.DUMMYFUNCTION("""COMPUTED_VALUE"""),45562.66666666667)</f>
        <v>45562.66667</v>
      </c>
      <c r="B11281" s="2">
        <f>IFERROR(__xludf.DUMMYFUNCTION("""COMPUTED_VALUE"""),223.0)</f>
        <v>223</v>
      </c>
      <c r="C11281" s="2">
        <f>IFERROR(__xludf.DUMMYFUNCTION("""COMPUTED_VALUE"""),224.15)</f>
        <v>224.15</v>
      </c>
      <c r="D11281" s="2">
        <f>IFERROR(__xludf.DUMMYFUNCTION("""COMPUTED_VALUE"""),220.77)</f>
        <v>220.77</v>
      </c>
      <c r="E11281" s="2">
        <f>IFERROR(__xludf.DUMMYFUNCTION("""COMPUTED_VALUE"""),220.84)</f>
        <v>220.84</v>
      </c>
      <c r="F11281" s="2">
        <f>IFERROR(__xludf.DUMMYFUNCTION("""COMPUTED_VALUE"""),3830335.0)</f>
        <v>3830335</v>
      </c>
    </row>
    <row r="11282">
      <c r="A11282" s="3">
        <f>IFERROR(__xludf.DUMMYFUNCTION("""COMPUTED_VALUE"""),45565.66666666667)</f>
        <v>45565.66667</v>
      </c>
      <c r="B11282" s="2">
        <f>IFERROR(__xludf.DUMMYFUNCTION("""COMPUTED_VALUE"""),220.65)</f>
        <v>220.65</v>
      </c>
      <c r="C11282" s="2">
        <f>IFERROR(__xludf.DUMMYFUNCTION("""COMPUTED_VALUE"""),221.32)</f>
        <v>221.32</v>
      </c>
      <c r="D11282" s="2">
        <f>IFERROR(__xludf.DUMMYFUNCTION("""COMPUTED_VALUE"""),219.02)</f>
        <v>219.02</v>
      </c>
      <c r="E11282" s="2">
        <f>IFERROR(__xludf.DUMMYFUNCTION("""COMPUTED_VALUE"""),221.08)</f>
        <v>221.08</v>
      </c>
      <c r="F11282" s="2">
        <f>IFERROR(__xludf.DUMMYFUNCTION("""COMPUTED_VALUE"""),3544264.0)</f>
        <v>3544264</v>
      </c>
    </row>
    <row r="11283">
      <c r="A11283" s="3">
        <f>IFERROR(__xludf.DUMMYFUNCTION("""COMPUTED_VALUE"""),45566.66666666667)</f>
        <v>45566.66667</v>
      </c>
      <c r="B11283" s="2">
        <f>IFERROR(__xludf.DUMMYFUNCTION("""COMPUTED_VALUE"""),220.63)</f>
        <v>220.63</v>
      </c>
      <c r="C11283" s="2">
        <f>IFERROR(__xludf.DUMMYFUNCTION("""COMPUTED_VALUE"""),221.1)</f>
        <v>221.1</v>
      </c>
      <c r="D11283" s="2">
        <f>IFERROR(__xludf.DUMMYFUNCTION("""COMPUTED_VALUE"""),215.9)</f>
        <v>215.9</v>
      </c>
      <c r="E11283" s="2">
        <f>IFERROR(__xludf.DUMMYFUNCTION("""COMPUTED_VALUE"""),219.35)</f>
        <v>219.35</v>
      </c>
      <c r="F11283" s="2">
        <f>IFERROR(__xludf.DUMMYFUNCTION("""COMPUTED_VALUE"""),3548374.0)</f>
        <v>3548374</v>
      </c>
    </row>
    <row r="11284">
      <c r="A11284" s="3">
        <f>IFERROR(__xludf.DUMMYFUNCTION("""COMPUTED_VALUE"""),45567.66666666667)</f>
        <v>45567.66667</v>
      </c>
      <c r="B11284" s="2">
        <f>IFERROR(__xludf.DUMMYFUNCTION("""COMPUTED_VALUE"""),218.31)</f>
        <v>218.31</v>
      </c>
      <c r="C11284" s="2">
        <f>IFERROR(__xludf.DUMMYFUNCTION("""COMPUTED_VALUE"""),220.2)</f>
        <v>220.2</v>
      </c>
      <c r="D11284" s="2">
        <f>IFERROR(__xludf.DUMMYFUNCTION("""COMPUTED_VALUE"""),215.8)</f>
        <v>215.8</v>
      </c>
      <c r="E11284" s="2">
        <f>IFERROR(__xludf.DUMMYFUNCTION("""COMPUTED_VALUE"""),219.73)</f>
        <v>219.73</v>
      </c>
      <c r="F11284" s="2">
        <f>IFERROR(__xludf.DUMMYFUNCTION("""COMPUTED_VALUE"""),3343399.0)</f>
        <v>3343399</v>
      </c>
    </row>
    <row r="11285">
      <c r="A11285" s="3">
        <f>IFERROR(__xludf.DUMMYFUNCTION("""COMPUTED_VALUE"""),45568.66666666667)</f>
        <v>45568.66667</v>
      </c>
      <c r="B11285" s="2">
        <f>IFERROR(__xludf.DUMMYFUNCTION("""COMPUTED_VALUE"""),219.5)</f>
        <v>219.5</v>
      </c>
      <c r="C11285" s="2">
        <f>IFERROR(__xludf.DUMMYFUNCTION("""COMPUTED_VALUE"""),222.83)</f>
        <v>222.83</v>
      </c>
      <c r="D11285" s="2">
        <f>IFERROR(__xludf.DUMMYFUNCTION("""COMPUTED_VALUE"""),219.27)</f>
        <v>219.27</v>
      </c>
      <c r="E11285" s="2">
        <f>IFERROR(__xludf.DUMMYFUNCTION("""COMPUTED_VALUE"""),222.72)</f>
        <v>222.72</v>
      </c>
      <c r="F11285" s="2">
        <f>IFERROR(__xludf.DUMMYFUNCTION("""COMPUTED_VALUE"""),3788265.0)</f>
        <v>3788265</v>
      </c>
    </row>
    <row r="11286">
      <c r="A11286" s="3">
        <f>IFERROR(__xludf.DUMMYFUNCTION("""COMPUTED_VALUE"""),45569.66666666667)</f>
        <v>45569.66667</v>
      </c>
      <c r="B11286" s="2">
        <f>IFERROR(__xludf.DUMMYFUNCTION("""COMPUTED_VALUE"""),223.75)</f>
        <v>223.75</v>
      </c>
      <c r="C11286" s="2">
        <f>IFERROR(__xludf.DUMMYFUNCTION("""COMPUTED_VALUE"""),226.08)</f>
        <v>226.08</v>
      </c>
      <c r="D11286" s="2">
        <f>IFERROR(__xludf.DUMMYFUNCTION("""COMPUTED_VALUE"""),223.27)</f>
        <v>223.27</v>
      </c>
      <c r="E11286" s="2">
        <f>IFERROR(__xludf.DUMMYFUNCTION("""COMPUTED_VALUE"""),226.0)</f>
        <v>226</v>
      </c>
      <c r="F11286" s="2">
        <f>IFERROR(__xludf.DUMMYFUNCTION("""COMPUTED_VALUE"""),3554328.0)</f>
        <v>3554328</v>
      </c>
    </row>
    <row r="11287">
      <c r="A11287" s="3">
        <f>IFERROR(__xludf.DUMMYFUNCTION("""COMPUTED_VALUE"""),45572.66666666667)</f>
        <v>45572.66667</v>
      </c>
      <c r="B11287" s="2">
        <f>IFERROR(__xludf.DUMMYFUNCTION("""COMPUTED_VALUE"""),225.38)</f>
        <v>225.38</v>
      </c>
      <c r="C11287" s="2">
        <f>IFERROR(__xludf.DUMMYFUNCTION("""COMPUTED_VALUE"""),227.67)</f>
        <v>227.67</v>
      </c>
      <c r="D11287" s="2">
        <f>IFERROR(__xludf.DUMMYFUNCTION("""COMPUTED_VALUE"""),225.02)</f>
        <v>225.02</v>
      </c>
      <c r="E11287" s="2">
        <f>IFERROR(__xludf.DUMMYFUNCTION("""COMPUTED_VALUE"""),227.12)</f>
        <v>227.12</v>
      </c>
      <c r="F11287" s="2">
        <f>IFERROR(__xludf.DUMMYFUNCTION("""COMPUTED_VALUE"""),3457952.0)</f>
        <v>3457952</v>
      </c>
    </row>
    <row r="11288">
      <c r="A11288" s="3">
        <f>IFERROR(__xludf.DUMMYFUNCTION("""COMPUTED_VALUE"""),45573.66666666667)</f>
        <v>45573.66667</v>
      </c>
      <c r="B11288" s="2">
        <f>IFERROR(__xludf.DUMMYFUNCTION("""COMPUTED_VALUE"""),228.11)</f>
        <v>228.11</v>
      </c>
      <c r="C11288" s="2">
        <f>IFERROR(__xludf.DUMMYFUNCTION("""COMPUTED_VALUE"""),229.35)</f>
        <v>229.35</v>
      </c>
      <c r="D11288" s="2">
        <f>IFERROR(__xludf.DUMMYFUNCTION("""COMPUTED_VALUE"""),227.04)</f>
        <v>227.04</v>
      </c>
      <c r="E11288" s="2">
        <f>IFERROR(__xludf.DUMMYFUNCTION("""COMPUTED_VALUE"""),228.62)</f>
        <v>228.62</v>
      </c>
      <c r="F11288" s="2">
        <f>IFERROR(__xludf.DUMMYFUNCTION("""COMPUTED_VALUE"""),3245342.0)</f>
        <v>3245342</v>
      </c>
    </row>
    <row r="11289">
      <c r="A11289" s="3">
        <f>IFERROR(__xludf.DUMMYFUNCTION("""COMPUTED_VALUE"""),45574.66666666667)</f>
        <v>45574.66667</v>
      </c>
      <c r="B11289" s="2">
        <f>IFERROR(__xludf.DUMMYFUNCTION("""COMPUTED_VALUE"""),229.2)</f>
        <v>229.2</v>
      </c>
      <c r="C11289" s="2">
        <f>IFERROR(__xludf.DUMMYFUNCTION("""COMPUTED_VALUE"""),234.95)</f>
        <v>234.95</v>
      </c>
      <c r="D11289" s="2">
        <f>IFERROR(__xludf.DUMMYFUNCTION("""COMPUTED_VALUE"""),228.5)</f>
        <v>228.5</v>
      </c>
      <c r="E11289" s="2">
        <f>IFERROR(__xludf.DUMMYFUNCTION("""COMPUTED_VALUE"""),234.3)</f>
        <v>234.3</v>
      </c>
      <c r="F11289" s="2">
        <f>IFERROR(__xludf.DUMMYFUNCTION("""COMPUTED_VALUE"""),5083566.0)</f>
        <v>5083566</v>
      </c>
    </row>
    <row r="11290">
      <c r="A11290" s="3">
        <f>IFERROR(__xludf.DUMMYFUNCTION("""COMPUTED_VALUE"""),45575.66666666667)</f>
        <v>45575.66667</v>
      </c>
      <c r="B11290" s="2">
        <f>IFERROR(__xludf.DUMMYFUNCTION("""COMPUTED_VALUE"""),235.1)</f>
        <v>235.1</v>
      </c>
      <c r="C11290" s="2">
        <f>IFERROR(__xludf.DUMMYFUNCTION("""COMPUTED_VALUE"""),235.83)</f>
        <v>235.83</v>
      </c>
      <c r="D11290" s="2">
        <f>IFERROR(__xludf.DUMMYFUNCTION("""COMPUTED_VALUE"""),231.81)</f>
        <v>231.81</v>
      </c>
      <c r="E11290" s="2">
        <f>IFERROR(__xludf.DUMMYFUNCTION("""COMPUTED_VALUE"""),233.02)</f>
        <v>233.02</v>
      </c>
      <c r="F11290" s="2">
        <f>IFERROR(__xludf.DUMMYFUNCTION("""COMPUTED_VALUE"""),3142031.0)</f>
        <v>3142031</v>
      </c>
    </row>
    <row r="11291">
      <c r="A11291" s="3">
        <f>IFERROR(__xludf.DUMMYFUNCTION("""COMPUTED_VALUE"""),45576.66666666667)</f>
        <v>45576.66667</v>
      </c>
      <c r="B11291" s="2">
        <f>IFERROR(__xludf.DUMMYFUNCTION("""COMPUTED_VALUE"""),233.25)</f>
        <v>233.25</v>
      </c>
      <c r="C11291" s="2">
        <f>IFERROR(__xludf.DUMMYFUNCTION("""COMPUTED_VALUE"""),233.44)</f>
        <v>233.44</v>
      </c>
      <c r="D11291" s="2">
        <f>IFERROR(__xludf.DUMMYFUNCTION("""COMPUTED_VALUE"""),230.46)</f>
        <v>230.46</v>
      </c>
      <c r="E11291" s="2">
        <f>IFERROR(__xludf.DUMMYFUNCTION("""COMPUTED_VALUE"""),233.26)</f>
        <v>233.26</v>
      </c>
      <c r="F11291" s="2">
        <f>IFERROR(__xludf.DUMMYFUNCTION("""COMPUTED_VALUE"""),3469322.0)</f>
        <v>3469322</v>
      </c>
    </row>
    <row r="11292">
      <c r="A11292" s="3">
        <f>IFERROR(__xludf.DUMMYFUNCTION("""COMPUTED_VALUE"""),45579.66666666667)</f>
        <v>45579.66667</v>
      </c>
      <c r="B11292" s="2">
        <f>IFERROR(__xludf.DUMMYFUNCTION("""COMPUTED_VALUE"""),233.57)</f>
        <v>233.57</v>
      </c>
      <c r="C11292" s="2">
        <f>IFERROR(__xludf.DUMMYFUNCTION("""COMPUTED_VALUE"""),236.12)</f>
        <v>236.12</v>
      </c>
      <c r="D11292" s="2">
        <f>IFERROR(__xludf.DUMMYFUNCTION("""COMPUTED_VALUE"""),233.17)</f>
        <v>233.17</v>
      </c>
      <c r="E11292" s="2">
        <f>IFERROR(__xludf.DUMMYFUNCTION("""COMPUTED_VALUE"""),235.26)</f>
        <v>235.26</v>
      </c>
      <c r="F11292" s="2">
        <f>IFERROR(__xludf.DUMMYFUNCTION("""COMPUTED_VALUE"""),2524389.0)</f>
        <v>2524389</v>
      </c>
    </row>
    <row r="11293">
      <c r="A11293" s="3">
        <f>IFERROR(__xludf.DUMMYFUNCTION("""COMPUTED_VALUE"""),45580.66666666667)</f>
        <v>45580.66667</v>
      </c>
      <c r="B11293" s="2">
        <f>IFERROR(__xludf.DUMMYFUNCTION("""COMPUTED_VALUE"""),236.4)</f>
        <v>236.4</v>
      </c>
      <c r="C11293" s="2">
        <f>IFERROR(__xludf.DUMMYFUNCTION("""COMPUTED_VALUE"""),237.37)</f>
        <v>237.37</v>
      </c>
      <c r="D11293" s="2">
        <f>IFERROR(__xludf.DUMMYFUNCTION("""COMPUTED_VALUE"""),232.71)</f>
        <v>232.71</v>
      </c>
      <c r="E11293" s="2">
        <f>IFERROR(__xludf.DUMMYFUNCTION("""COMPUTED_VALUE"""),232.96)</f>
        <v>232.96</v>
      </c>
      <c r="F11293" s="2">
        <f>IFERROR(__xludf.DUMMYFUNCTION("""COMPUTED_VALUE"""),3350556.0)</f>
        <v>3350556</v>
      </c>
    </row>
    <row r="11294">
      <c r="A11294" s="3">
        <f>IFERROR(__xludf.DUMMYFUNCTION("""COMPUTED_VALUE"""),45581.66666666667)</f>
        <v>45581.66667</v>
      </c>
      <c r="B11294" s="2">
        <f>IFERROR(__xludf.DUMMYFUNCTION("""COMPUTED_VALUE"""),232.11)</f>
        <v>232.11</v>
      </c>
      <c r="C11294" s="2">
        <f>IFERROR(__xludf.DUMMYFUNCTION("""COMPUTED_VALUE"""),233.88)</f>
        <v>233.88</v>
      </c>
      <c r="D11294" s="2">
        <f>IFERROR(__xludf.DUMMYFUNCTION("""COMPUTED_VALUE"""),231.12)</f>
        <v>231.12</v>
      </c>
      <c r="E11294" s="2">
        <f>IFERROR(__xludf.DUMMYFUNCTION("""COMPUTED_VALUE"""),233.67)</f>
        <v>233.67</v>
      </c>
      <c r="F11294" s="2">
        <f>IFERROR(__xludf.DUMMYFUNCTION("""COMPUTED_VALUE"""),2846669.0)</f>
        <v>2846669</v>
      </c>
    </row>
    <row r="11295">
      <c r="A11295" s="3">
        <f>IFERROR(__xludf.DUMMYFUNCTION("""COMPUTED_VALUE"""),45582.66666666667)</f>
        <v>45582.66667</v>
      </c>
      <c r="B11295" s="2">
        <f>IFERROR(__xludf.DUMMYFUNCTION("""COMPUTED_VALUE"""),232.0)</f>
        <v>232</v>
      </c>
      <c r="C11295" s="2">
        <f>IFERROR(__xludf.DUMMYFUNCTION("""COMPUTED_VALUE"""),233.15)</f>
        <v>233.15</v>
      </c>
      <c r="D11295" s="2">
        <f>IFERROR(__xludf.DUMMYFUNCTION("""COMPUTED_VALUE"""),230.66)</f>
        <v>230.66</v>
      </c>
      <c r="E11295" s="2">
        <f>IFERROR(__xludf.DUMMYFUNCTION("""COMPUTED_VALUE"""),232.88)</f>
        <v>232.88</v>
      </c>
      <c r="F11295" s="2">
        <f>IFERROR(__xludf.DUMMYFUNCTION("""COMPUTED_VALUE"""),5040092.0)</f>
        <v>5040092</v>
      </c>
    </row>
    <row r="11296">
      <c r="A11296" s="3">
        <f>IFERROR(__xludf.DUMMYFUNCTION("""COMPUTED_VALUE"""),45583.66666666667)</f>
        <v>45583.66667</v>
      </c>
      <c r="B11296" s="2">
        <f>IFERROR(__xludf.DUMMYFUNCTION("""COMPUTED_VALUE"""),231.92)</f>
        <v>231.92</v>
      </c>
      <c r="C11296" s="2">
        <f>IFERROR(__xludf.DUMMYFUNCTION("""COMPUTED_VALUE"""),232.65)</f>
        <v>232.65</v>
      </c>
      <c r="D11296" s="2">
        <f>IFERROR(__xludf.DUMMYFUNCTION("""COMPUTED_VALUE"""),230.17)</f>
        <v>230.17</v>
      </c>
      <c r="E11296" s="2">
        <f>IFERROR(__xludf.DUMMYFUNCTION("""COMPUTED_VALUE"""),232.2)</f>
        <v>232.2</v>
      </c>
      <c r="F11296" s="2">
        <f>IFERROR(__xludf.DUMMYFUNCTION("""COMPUTED_VALUE"""),4715688.0)</f>
        <v>4715688</v>
      </c>
    </row>
    <row r="11297">
      <c r="A11297" s="3">
        <f>IFERROR(__xludf.DUMMYFUNCTION("""COMPUTED_VALUE"""),45586.66666666667)</f>
        <v>45586.66667</v>
      </c>
      <c r="B11297" s="2">
        <f>IFERROR(__xludf.DUMMYFUNCTION("""COMPUTED_VALUE"""),231.21)</f>
        <v>231.21</v>
      </c>
      <c r="C11297" s="2">
        <f>IFERROR(__xludf.DUMMYFUNCTION("""COMPUTED_VALUE"""),232.42)</f>
        <v>232.42</v>
      </c>
      <c r="D11297" s="2">
        <f>IFERROR(__xludf.DUMMYFUNCTION("""COMPUTED_VALUE"""),230.26)</f>
        <v>230.26</v>
      </c>
      <c r="E11297" s="2">
        <f>IFERROR(__xludf.DUMMYFUNCTION("""COMPUTED_VALUE"""),231.75)</f>
        <v>231.75</v>
      </c>
      <c r="F11297" s="2">
        <f>IFERROR(__xludf.DUMMYFUNCTION("""COMPUTED_VALUE"""),2733336.0)</f>
        <v>2733336</v>
      </c>
    </row>
    <row r="11298">
      <c r="A11298" s="3">
        <f>IFERROR(__xludf.DUMMYFUNCTION("""COMPUTED_VALUE"""),45587.66666666667)</f>
        <v>45587.66667</v>
      </c>
      <c r="B11298" s="2">
        <f>IFERROR(__xludf.DUMMYFUNCTION("""COMPUTED_VALUE"""),231.99)</f>
        <v>231.99</v>
      </c>
      <c r="C11298" s="2">
        <f>IFERROR(__xludf.DUMMYFUNCTION("""COMPUTED_VALUE"""),232.97)</f>
        <v>232.97</v>
      </c>
      <c r="D11298" s="2">
        <f>IFERROR(__xludf.DUMMYFUNCTION("""COMPUTED_VALUE"""),230.67)</f>
        <v>230.67</v>
      </c>
      <c r="E11298" s="2">
        <f>IFERROR(__xludf.DUMMYFUNCTION("""COMPUTED_VALUE"""),232.25)</f>
        <v>232.25</v>
      </c>
      <c r="F11298" s="2">
        <f>IFERROR(__xludf.DUMMYFUNCTION("""COMPUTED_VALUE"""),3180807.0)</f>
        <v>3180807</v>
      </c>
    </row>
    <row r="11299">
      <c r="A11299" s="3">
        <f>IFERROR(__xludf.DUMMYFUNCTION("""COMPUTED_VALUE"""),45588.66666666667)</f>
        <v>45588.66667</v>
      </c>
      <c r="B11299" s="2">
        <f>IFERROR(__xludf.DUMMYFUNCTION("""COMPUTED_VALUE"""),230.41)</f>
        <v>230.41</v>
      </c>
      <c r="C11299" s="2">
        <f>IFERROR(__xludf.DUMMYFUNCTION("""COMPUTED_VALUE"""),233.34)</f>
        <v>233.34</v>
      </c>
      <c r="D11299" s="2">
        <f>IFERROR(__xludf.DUMMYFUNCTION("""COMPUTED_VALUE"""),230.26)</f>
        <v>230.26</v>
      </c>
      <c r="E11299" s="2">
        <f>IFERROR(__xludf.DUMMYFUNCTION("""COMPUTED_VALUE"""),232.75)</f>
        <v>232.75</v>
      </c>
      <c r="F11299" s="2">
        <f>IFERROR(__xludf.DUMMYFUNCTION("""COMPUTED_VALUE"""),5791002.0)</f>
        <v>5791002</v>
      </c>
    </row>
    <row r="11300">
      <c r="A11300" s="3">
        <f>IFERROR(__xludf.DUMMYFUNCTION("""COMPUTED_VALUE"""),45589.66666666667)</f>
        <v>45589.66667</v>
      </c>
      <c r="B11300" s="2">
        <f>IFERROR(__xludf.DUMMYFUNCTION("""COMPUTED_VALUE"""),220.8)</f>
        <v>220.8</v>
      </c>
      <c r="C11300" s="2">
        <f>IFERROR(__xludf.DUMMYFUNCTION("""COMPUTED_VALUE"""),221.32)</f>
        <v>221.32</v>
      </c>
      <c r="D11300" s="2">
        <f>IFERROR(__xludf.DUMMYFUNCTION("""COMPUTED_VALUE"""),216.16)</f>
        <v>216.16</v>
      </c>
      <c r="E11300" s="2">
        <f>IFERROR(__xludf.DUMMYFUNCTION("""COMPUTED_VALUE"""),218.39)</f>
        <v>218.39</v>
      </c>
      <c r="F11300" s="2">
        <f>IFERROR(__xludf.DUMMYFUNCTION("""COMPUTED_VALUE"""),1.119344E7)</f>
        <v>11193440</v>
      </c>
    </row>
    <row r="11301">
      <c r="A11301" s="3">
        <f>IFERROR(__xludf.DUMMYFUNCTION("""COMPUTED_VALUE"""),45590.66666666667)</f>
        <v>45590.66667</v>
      </c>
      <c r="B11301" s="2">
        <f>IFERROR(__xludf.DUMMYFUNCTION("""COMPUTED_VALUE"""),216.8)</f>
        <v>216.8</v>
      </c>
      <c r="C11301" s="2">
        <f>IFERROR(__xludf.DUMMYFUNCTION("""COMPUTED_VALUE"""),218.65)</f>
        <v>218.65</v>
      </c>
      <c r="D11301" s="2">
        <f>IFERROR(__xludf.DUMMYFUNCTION("""COMPUTED_VALUE"""),214.39)</f>
        <v>214.39</v>
      </c>
      <c r="E11301" s="2">
        <f>IFERROR(__xludf.DUMMYFUNCTION("""COMPUTED_VALUE"""),214.67)</f>
        <v>214.67</v>
      </c>
      <c r="F11301" s="2">
        <f>IFERROR(__xludf.DUMMYFUNCTION("""COMPUTED_VALUE"""),8482235.0)</f>
        <v>8482235</v>
      </c>
    </row>
    <row r="11302">
      <c r="A11302" s="3">
        <f>IFERROR(__xludf.DUMMYFUNCTION("""COMPUTED_VALUE"""),45593.66666666667)</f>
        <v>45593.66667</v>
      </c>
      <c r="B11302" s="2">
        <f>IFERROR(__xludf.DUMMYFUNCTION("""COMPUTED_VALUE"""),215.5)</f>
        <v>215.5</v>
      </c>
      <c r="C11302" s="2">
        <f>IFERROR(__xludf.DUMMYFUNCTION("""COMPUTED_VALUE"""),216.25)</f>
        <v>216.25</v>
      </c>
      <c r="D11302" s="2">
        <f>IFERROR(__xludf.DUMMYFUNCTION("""COMPUTED_VALUE"""),212.7)</f>
        <v>212.7</v>
      </c>
      <c r="E11302" s="2">
        <f>IFERROR(__xludf.DUMMYFUNCTION("""COMPUTED_VALUE"""),212.91)</f>
        <v>212.91</v>
      </c>
      <c r="F11302" s="2">
        <f>IFERROR(__xludf.DUMMYFUNCTION("""COMPUTED_VALUE"""),4993343.0)</f>
        <v>4993343</v>
      </c>
    </row>
    <row r="11303">
      <c r="A11303" s="3">
        <f>IFERROR(__xludf.DUMMYFUNCTION("""COMPUTED_VALUE"""),45594.66666666667)</f>
        <v>45594.66667</v>
      </c>
      <c r="B11303" s="2">
        <f>IFERROR(__xludf.DUMMYFUNCTION("""COMPUTED_VALUE"""),211.99)</f>
        <v>211.99</v>
      </c>
      <c r="C11303" s="2">
        <f>IFERROR(__xludf.DUMMYFUNCTION("""COMPUTED_VALUE"""),213.34)</f>
        <v>213.34</v>
      </c>
      <c r="D11303" s="2">
        <f>IFERROR(__xludf.DUMMYFUNCTION("""COMPUTED_VALUE"""),209.85)</f>
        <v>209.85</v>
      </c>
      <c r="E11303" s="2">
        <f>IFERROR(__xludf.DUMMYFUNCTION("""COMPUTED_VALUE"""),210.43)</f>
        <v>210.43</v>
      </c>
      <c r="F11303" s="2">
        <f>IFERROR(__xludf.DUMMYFUNCTION("""COMPUTED_VALUE"""),5258366.0)</f>
        <v>5258366</v>
      </c>
    </row>
    <row r="11304">
      <c r="A11304" s="3">
        <f>IFERROR(__xludf.DUMMYFUNCTION("""COMPUTED_VALUE"""),45595.66666666667)</f>
        <v>45595.66667</v>
      </c>
      <c r="B11304" s="2">
        <f>IFERROR(__xludf.DUMMYFUNCTION("""COMPUTED_VALUE"""),209.48)</f>
        <v>209.48</v>
      </c>
      <c r="C11304" s="2">
        <f>IFERROR(__xludf.DUMMYFUNCTION("""COMPUTED_VALUE"""),211.12)</f>
        <v>211.12</v>
      </c>
      <c r="D11304" s="2">
        <f>IFERROR(__xludf.DUMMYFUNCTION("""COMPUTED_VALUE"""),204.26)</f>
        <v>204.26</v>
      </c>
      <c r="E11304" s="2">
        <f>IFERROR(__xludf.DUMMYFUNCTION("""COMPUTED_VALUE"""),204.9)</f>
        <v>204.9</v>
      </c>
      <c r="F11304" s="2">
        <f>IFERROR(__xludf.DUMMYFUNCTION("""COMPUTED_VALUE"""),6956624.0)</f>
        <v>6956624</v>
      </c>
    </row>
    <row r="11305">
      <c r="A11305" s="3">
        <f>IFERROR(__xludf.DUMMYFUNCTION("""COMPUTED_VALUE"""),45596.66666666667)</f>
        <v>45596.66667</v>
      </c>
      <c r="B11305" s="2">
        <f>IFERROR(__xludf.DUMMYFUNCTION("""COMPUTED_VALUE"""),204.13)</f>
        <v>204.13</v>
      </c>
      <c r="C11305" s="2">
        <f>IFERROR(__xludf.DUMMYFUNCTION("""COMPUTED_VALUE"""),208.13)</f>
        <v>208.13</v>
      </c>
      <c r="D11305" s="2">
        <f>IFERROR(__xludf.DUMMYFUNCTION("""COMPUTED_VALUE"""),203.51)</f>
        <v>203.51</v>
      </c>
      <c r="E11305" s="2">
        <f>IFERROR(__xludf.DUMMYFUNCTION("""COMPUTED_VALUE"""),206.72)</f>
        <v>206.72</v>
      </c>
      <c r="F11305" s="2">
        <f>IFERROR(__xludf.DUMMYFUNCTION("""COMPUTED_VALUE"""),5925250.0)</f>
        <v>5925250</v>
      </c>
    </row>
    <row r="11306">
      <c r="A11306" s="3">
        <f>IFERROR(__xludf.DUMMYFUNCTION("""COMPUTED_VALUE"""),45597.66666666667)</f>
        <v>45597.66667</v>
      </c>
      <c r="B11306" s="2">
        <f>IFERROR(__xludf.DUMMYFUNCTION("""COMPUTED_VALUE"""),207.77)</f>
        <v>207.77</v>
      </c>
      <c r="C11306" s="2">
        <f>IFERROR(__xludf.DUMMYFUNCTION("""COMPUTED_VALUE"""),209.84)</f>
        <v>209.84</v>
      </c>
      <c r="D11306" s="2">
        <f>IFERROR(__xludf.DUMMYFUNCTION("""COMPUTED_VALUE"""),207.41)</f>
        <v>207.41</v>
      </c>
      <c r="E11306" s="2">
        <f>IFERROR(__xludf.DUMMYFUNCTION("""COMPUTED_VALUE"""),208.25)</f>
        <v>208.25</v>
      </c>
      <c r="F11306" s="2">
        <f>IFERROR(__xludf.DUMMYFUNCTION("""COMPUTED_VALUE"""),3334308.0)</f>
        <v>3334308</v>
      </c>
    </row>
    <row r="11307">
      <c r="A11307" s="3">
        <f>IFERROR(__xludf.DUMMYFUNCTION("""COMPUTED_VALUE"""),45600.66666666667)</f>
        <v>45600.66667</v>
      </c>
      <c r="B11307" s="2">
        <f>IFERROR(__xludf.DUMMYFUNCTION("""COMPUTED_VALUE"""),207.65)</f>
        <v>207.65</v>
      </c>
      <c r="C11307" s="2">
        <f>IFERROR(__xludf.DUMMYFUNCTION("""COMPUTED_VALUE"""),207.7)</f>
        <v>207.7</v>
      </c>
      <c r="D11307" s="2">
        <f>IFERROR(__xludf.DUMMYFUNCTION("""COMPUTED_VALUE"""),205.8)</f>
        <v>205.8</v>
      </c>
      <c r="E11307" s="2">
        <f>IFERROR(__xludf.DUMMYFUNCTION("""COMPUTED_VALUE"""),206.32)</f>
        <v>206.32</v>
      </c>
      <c r="F11307" s="2">
        <f>IFERROR(__xludf.DUMMYFUNCTION("""COMPUTED_VALUE"""),2594119.0)</f>
        <v>2594119</v>
      </c>
    </row>
    <row r="11308">
      <c r="A11308" s="3">
        <f>IFERROR(__xludf.DUMMYFUNCTION("""COMPUTED_VALUE"""),45601.66666666667)</f>
        <v>45601.66667</v>
      </c>
      <c r="B11308" s="2">
        <f>IFERROR(__xludf.DUMMYFUNCTION("""COMPUTED_VALUE"""),206.17)</f>
        <v>206.17</v>
      </c>
      <c r="C11308" s="2">
        <f>IFERROR(__xludf.DUMMYFUNCTION("""COMPUTED_VALUE"""),208.12)</f>
        <v>208.12</v>
      </c>
      <c r="D11308" s="2">
        <f>IFERROR(__xludf.DUMMYFUNCTION("""COMPUTED_VALUE"""),205.57)</f>
        <v>205.57</v>
      </c>
      <c r="E11308" s="2">
        <f>IFERROR(__xludf.DUMMYFUNCTION("""COMPUTED_VALUE"""),207.57)</f>
        <v>207.57</v>
      </c>
      <c r="F11308" s="2">
        <f>IFERROR(__xludf.DUMMYFUNCTION("""COMPUTED_VALUE"""),2441535.0)</f>
        <v>2441535</v>
      </c>
    </row>
    <row r="11309">
      <c r="A11309" s="3">
        <f>IFERROR(__xludf.DUMMYFUNCTION("""COMPUTED_VALUE"""),45602.66666666667)</f>
        <v>45602.66667</v>
      </c>
      <c r="B11309" s="2">
        <f>IFERROR(__xludf.DUMMYFUNCTION("""COMPUTED_VALUE"""),213.48)</f>
        <v>213.48</v>
      </c>
      <c r="C11309" s="2">
        <f>IFERROR(__xludf.DUMMYFUNCTION("""COMPUTED_VALUE"""),214.33)</f>
        <v>214.33</v>
      </c>
      <c r="D11309" s="2">
        <f>IFERROR(__xludf.DUMMYFUNCTION("""COMPUTED_VALUE"""),210.37)</f>
        <v>210.37</v>
      </c>
      <c r="E11309" s="2">
        <f>IFERROR(__xludf.DUMMYFUNCTION("""COMPUTED_VALUE"""),213.6)</f>
        <v>213.6</v>
      </c>
      <c r="F11309" s="2">
        <f>IFERROR(__xludf.DUMMYFUNCTION("""COMPUTED_VALUE"""),3934386.0)</f>
        <v>3934386</v>
      </c>
    </row>
    <row r="11310">
      <c r="A11310" s="3">
        <f>IFERROR(__xludf.DUMMYFUNCTION("""COMPUTED_VALUE"""),45603.66666666667)</f>
        <v>45603.66667</v>
      </c>
      <c r="B11310" s="2">
        <f>IFERROR(__xludf.DUMMYFUNCTION("""COMPUTED_VALUE"""),213.64)</f>
        <v>213.64</v>
      </c>
      <c r="C11310" s="2">
        <f>IFERROR(__xludf.DUMMYFUNCTION("""COMPUTED_VALUE"""),214.52)</f>
        <v>214.52</v>
      </c>
      <c r="D11310" s="2">
        <f>IFERROR(__xludf.DUMMYFUNCTION("""COMPUTED_VALUE"""),211.93)</f>
        <v>211.93</v>
      </c>
      <c r="E11310" s="2">
        <f>IFERROR(__xludf.DUMMYFUNCTION("""COMPUTED_VALUE"""),213.69)</f>
        <v>213.69</v>
      </c>
      <c r="F11310" s="2">
        <f>IFERROR(__xludf.DUMMYFUNCTION("""COMPUTED_VALUE"""),3675812.0)</f>
        <v>3675812</v>
      </c>
    </row>
    <row r="11311">
      <c r="A11311" s="3">
        <f>IFERROR(__xludf.DUMMYFUNCTION("""COMPUTED_VALUE"""),45604.66666666667)</f>
        <v>45604.66667</v>
      </c>
      <c r="B11311" s="2">
        <f>IFERROR(__xludf.DUMMYFUNCTION("""COMPUTED_VALUE"""),214.16)</f>
        <v>214.16</v>
      </c>
      <c r="C11311" s="2">
        <f>IFERROR(__xludf.DUMMYFUNCTION("""COMPUTED_VALUE"""),216.7)</f>
        <v>216.7</v>
      </c>
      <c r="D11311" s="2">
        <f>IFERROR(__xludf.DUMMYFUNCTION("""COMPUTED_VALUE"""),212.78)</f>
        <v>212.78</v>
      </c>
      <c r="E11311" s="2">
        <f>IFERROR(__xludf.DUMMYFUNCTION("""COMPUTED_VALUE"""),213.72)</f>
        <v>213.72</v>
      </c>
      <c r="F11311" s="2">
        <f>IFERROR(__xludf.DUMMYFUNCTION("""COMPUTED_VALUE"""),3201038.0)</f>
        <v>3201038</v>
      </c>
    </row>
    <row r="11312">
      <c r="A11312" s="3">
        <f>IFERROR(__xludf.DUMMYFUNCTION("""COMPUTED_VALUE"""),45607.66666666667)</f>
        <v>45607.66667</v>
      </c>
      <c r="B11312" s="2">
        <f>IFERROR(__xludf.DUMMYFUNCTION("""COMPUTED_VALUE"""),214.4)</f>
        <v>214.4</v>
      </c>
      <c r="C11312" s="2">
        <f>IFERROR(__xludf.DUMMYFUNCTION("""COMPUTED_VALUE"""),215.41)</f>
        <v>215.41</v>
      </c>
      <c r="D11312" s="2">
        <f>IFERROR(__xludf.DUMMYFUNCTION("""COMPUTED_VALUE"""),213.48)</f>
        <v>213.48</v>
      </c>
      <c r="E11312" s="2">
        <f>IFERROR(__xludf.DUMMYFUNCTION("""COMPUTED_VALUE"""),213.57)</f>
        <v>213.57</v>
      </c>
      <c r="F11312" s="2">
        <f>IFERROR(__xludf.DUMMYFUNCTION("""COMPUTED_VALUE"""),3012987.0)</f>
        <v>3012987</v>
      </c>
    </row>
    <row r="11313">
      <c r="A11313" s="3">
        <f>IFERROR(__xludf.DUMMYFUNCTION("""COMPUTED_VALUE"""),45608.66666666667)</f>
        <v>45608.66667</v>
      </c>
      <c r="B11313" s="2">
        <f>IFERROR(__xludf.DUMMYFUNCTION("""COMPUTED_VALUE"""),211.9)</f>
        <v>211.9</v>
      </c>
      <c r="C11313" s="2">
        <f>IFERROR(__xludf.DUMMYFUNCTION("""COMPUTED_VALUE"""),213.03)</f>
        <v>213.03</v>
      </c>
      <c r="D11313" s="2">
        <f>IFERROR(__xludf.DUMMYFUNCTION("""COMPUTED_VALUE"""),209.06)</f>
        <v>209.06</v>
      </c>
      <c r="E11313" s="2">
        <f>IFERROR(__xludf.DUMMYFUNCTION("""COMPUTED_VALUE"""),210.86)</f>
        <v>210.86</v>
      </c>
      <c r="F11313" s="2">
        <f>IFERROR(__xludf.DUMMYFUNCTION("""COMPUTED_VALUE"""),2818216.0)</f>
        <v>2818216</v>
      </c>
    </row>
    <row r="11314">
      <c r="A11314" s="3">
        <f>IFERROR(__xludf.DUMMYFUNCTION("""COMPUTED_VALUE"""),45609.66666666667)</f>
        <v>45609.66667</v>
      </c>
      <c r="B11314" s="2">
        <f>IFERROR(__xludf.DUMMYFUNCTION("""COMPUTED_VALUE"""),209.5)</f>
        <v>209.5</v>
      </c>
      <c r="C11314" s="2">
        <f>IFERROR(__xludf.DUMMYFUNCTION("""COMPUTED_VALUE"""),211.41)</f>
        <v>211.41</v>
      </c>
      <c r="D11314" s="2">
        <f>IFERROR(__xludf.DUMMYFUNCTION("""COMPUTED_VALUE"""),209.07)</f>
        <v>209.07</v>
      </c>
      <c r="E11314" s="2">
        <f>IFERROR(__xludf.DUMMYFUNCTION("""COMPUTED_VALUE"""),210.92)</f>
        <v>210.92</v>
      </c>
      <c r="F11314" s="2">
        <f>IFERROR(__xludf.DUMMYFUNCTION("""COMPUTED_VALUE"""),3247830.0)</f>
        <v>3247830</v>
      </c>
    </row>
    <row r="11315">
      <c r="A11315" s="3">
        <f>IFERROR(__xludf.DUMMYFUNCTION("""COMPUTED_VALUE"""),45610.66666666667)</f>
        <v>45610.66667</v>
      </c>
      <c r="B11315" s="2">
        <f>IFERROR(__xludf.DUMMYFUNCTION("""COMPUTED_VALUE"""),210.0)</f>
        <v>210</v>
      </c>
      <c r="C11315" s="2">
        <f>IFERROR(__xludf.DUMMYFUNCTION("""COMPUTED_VALUE"""),210.5)</f>
        <v>210.5</v>
      </c>
      <c r="D11315" s="2">
        <f>IFERROR(__xludf.DUMMYFUNCTION("""COMPUTED_VALUE"""),206.35)</f>
        <v>206.35</v>
      </c>
      <c r="E11315" s="2">
        <f>IFERROR(__xludf.DUMMYFUNCTION("""COMPUTED_VALUE"""),208.99)</f>
        <v>208.99</v>
      </c>
      <c r="F11315" s="2">
        <f>IFERROR(__xludf.DUMMYFUNCTION("""COMPUTED_VALUE"""),6372853.0)</f>
        <v>6372853</v>
      </c>
    </row>
    <row r="11316">
      <c r="A11316" s="3">
        <f>IFERROR(__xludf.DUMMYFUNCTION("""COMPUTED_VALUE"""),45611.66666666667)</f>
        <v>45611.66667</v>
      </c>
      <c r="B11316" s="2">
        <f>IFERROR(__xludf.DUMMYFUNCTION("""COMPUTED_VALUE"""),207.46)</f>
        <v>207.46</v>
      </c>
      <c r="C11316" s="2">
        <f>IFERROR(__xludf.DUMMYFUNCTION("""COMPUTED_VALUE"""),208.49)</f>
        <v>208.49</v>
      </c>
      <c r="D11316" s="2">
        <f>IFERROR(__xludf.DUMMYFUNCTION("""COMPUTED_VALUE"""),204.07)</f>
        <v>204.07</v>
      </c>
      <c r="E11316" s="2">
        <f>IFERROR(__xludf.DUMMYFUNCTION("""COMPUTED_VALUE"""),204.99)</f>
        <v>204.99</v>
      </c>
      <c r="F11316" s="2">
        <f>IFERROR(__xludf.DUMMYFUNCTION("""COMPUTED_VALUE"""),3986460.0)</f>
        <v>3986460</v>
      </c>
    </row>
    <row r="11317">
      <c r="A11317" s="3">
        <f>IFERROR(__xludf.DUMMYFUNCTION("""COMPUTED_VALUE"""),45614.66666666667)</f>
        <v>45614.66667</v>
      </c>
      <c r="B11317" s="2">
        <f>IFERROR(__xludf.DUMMYFUNCTION("""COMPUTED_VALUE"""),207.0)</f>
        <v>207</v>
      </c>
      <c r="C11317" s="2">
        <f>IFERROR(__xludf.DUMMYFUNCTION("""COMPUTED_VALUE"""),208.42)</f>
        <v>208.42</v>
      </c>
      <c r="D11317" s="2">
        <f>IFERROR(__xludf.DUMMYFUNCTION("""COMPUTED_VALUE"""),205.37)</f>
        <v>205.37</v>
      </c>
      <c r="E11317" s="2">
        <f>IFERROR(__xludf.DUMMYFUNCTION("""COMPUTED_VALUE"""),208.09)</f>
        <v>208.09</v>
      </c>
      <c r="F11317" s="2">
        <f>IFERROR(__xludf.DUMMYFUNCTION("""COMPUTED_VALUE"""),3406045.0)</f>
        <v>3406045</v>
      </c>
    </row>
    <row r="11318">
      <c r="A11318" s="3">
        <f>IFERROR(__xludf.DUMMYFUNCTION("""COMPUTED_VALUE"""),45615.66666666667)</f>
        <v>45615.66667</v>
      </c>
      <c r="B11318" s="2">
        <f>IFERROR(__xludf.DUMMYFUNCTION("""COMPUTED_VALUE"""),206.5)</f>
        <v>206.5</v>
      </c>
      <c r="C11318" s="2">
        <f>IFERROR(__xludf.DUMMYFUNCTION("""COMPUTED_VALUE"""),210.33)</f>
        <v>210.33</v>
      </c>
      <c r="D11318" s="2">
        <f>IFERROR(__xludf.DUMMYFUNCTION("""COMPUTED_VALUE"""),206.19)</f>
        <v>206.19</v>
      </c>
      <c r="E11318" s="2">
        <f>IFERROR(__xludf.DUMMYFUNCTION("""COMPUTED_VALUE"""),210.25)</f>
        <v>210.25</v>
      </c>
      <c r="F11318" s="2">
        <f>IFERROR(__xludf.DUMMYFUNCTION("""COMPUTED_VALUE"""),2860746.0)</f>
        <v>2860746</v>
      </c>
    </row>
    <row r="11319">
      <c r="A11319" s="3">
        <f>IFERROR(__xludf.DUMMYFUNCTION("""COMPUTED_VALUE"""),45616.66666666667)</f>
        <v>45616.66667</v>
      </c>
      <c r="B11319" s="2">
        <f>IFERROR(__xludf.DUMMYFUNCTION("""COMPUTED_VALUE"""),211.0)</f>
        <v>211</v>
      </c>
      <c r="C11319" s="2">
        <f>IFERROR(__xludf.DUMMYFUNCTION("""COMPUTED_VALUE"""),214.96)</f>
        <v>214.96</v>
      </c>
      <c r="D11319" s="2">
        <f>IFERROR(__xludf.DUMMYFUNCTION("""COMPUTED_VALUE"""),209.77)</f>
        <v>209.77</v>
      </c>
      <c r="E11319" s="2">
        <f>IFERROR(__xludf.DUMMYFUNCTION("""COMPUTED_VALUE"""),214.6)</f>
        <v>214.6</v>
      </c>
      <c r="F11319" s="2">
        <f>IFERROR(__xludf.DUMMYFUNCTION("""COMPUTED_VALUE"""),4562901.0)</f>
        <v>4562901</v>
      </c>
    </row>
    <row r="11320">
      <c r="A11320" s="3">
        <f>IFERROR(__xludf.DUMMYFUNCTION("""COMPUTED_VALUE"""),45617.66666666667)</f>
        <v>45617.66667</v>
      </c>
      <c r="B11320" s="2">
        <f>IFERROR(__xludf.DUMMYFUNCTION("""COMPUTED_VALUE"""),215.81)</f>
        <v>215.81</v>
      </c>
      <c r="C11320" s="2">
        <f>IFERROR(__xludf.DUMMYFUNCTION("""COMPUTED_VALUE"""),222.63)</f>
        <v>222.63</v>
      </c>
      <c r="D11320" s="2">
        <f>IFERROR(__xludf.DUMMYFUNCTION("""COMPUTED_VALUE"""),215.27)</f>
        <v>215.27</v>
      </c>
      <c r="E11320" s="2">
        <f>IFERROR(__xludf.DUMMYFUNCTION("""COMPUTED_VALUE"""),222.4)</f>
        <v>222.4</v>
      </c>
      <c r="F11320" s="2">
        <f>IFERROR(__xludf.DUMMYFUNCTION("""COMPUTED_VALUE"""),5236434.0)</f>
        <v>5236434</v>
      </c>
    </row>
    <row r="11321">
      <c r="A11321" s="3">
        <f>IFERROR(__xludf.DUMMYFUNCTION("""COMPUTED_VALUE"""),45618.66666666667)</f>
        <v>45618.66667</v>
      </c>
      <c r="B11321" s="2">
        <f>IFERROR(__xludf.DUMMYFUNCTION("""COMPUTED_VALUE"""),223.35)</f>
        <v>223.35</v>
      </c>
      <c r="C11321" s="2">
        <f>IFERROR(__xludf.DUMMYFUNCTION("""COMPUTED_VALUE"""),227.2)</f>
        <v>227.2</v>
      </c>
      <c r="D11321" s="2">
        <f>IFERROR(__xludf.DUMMYFUNCTION("""COMPUTED_VALUE"""),220.89)</f>
        <v>220.89</v>
      </c>
      <c r="E11321" s="2">
        <f>IFERROR(__xludf.DUMMYFUNCTION("""COMPUTED_VALUE"""),222.97)</f>
        <v>222.97</v>
      </c>
      <c r="F11321" s="2">
        <f>IFERROR(__xludf.DUMMYFUNCTION("""COMPUTED_VALUE"""),5320740.0)</f>
        <v>5320740</v>
      </c>
    </row>
    <row r="11322">
      <c r="A11322" s="3">
        <f>IFERROR(__xludf.DUMMYFUNCTION("""COMPUTED_VALUE"""),45621.66666666667)</f>
        <v>45621.66667</v>
      </c>
      <c r="B11322" s="2">
        <f>IFERROR(__xludf.DUMMYFUNCTION("""COMPUTED_VALUE"""),223.35)</f>
        <v>223.35</v>
      </c>
      <c r="C11322" s="2">
        <f>IFERROR(__xludf.DUMMYFUNCTION("""COMPUTED_VALUE"""),226.42)</f>
        <v>226.42</v>
      </c>
      <c r="D11322" s="2">
        <f>IFERROR(__xludf.DUMMYFUNCTION("""COMPUTED_VALUE"""),222.65)</f>
        <v>222.65</v>
      </c>
      <c r="E11322" s="2">
        <f>IFERROR(__xludf.DUMMYFUNCTION("""COMPUTED_VALUE"""),226.13)</f>
        <v>226.13</v>
      </c>
      <c r="F11322" s="2">
        <f>IFERROR(__xludf.DUMMYFUNCTION("""COMPUTED_VALUE"""),7189260.0)</f>
        <v>7189260</v>
      </c>
    </row>
    <row r="11323">
      <c r="A11323" s="3">
        <f>IFERROR(__xludf.DUMMYFUNCTION("""COMPUTED_VALUE"""),45622.66666666667)</f>
        <v>45622.66667</v>
      </c>
      <c r="B11323" s="2">
        <f>IFERROR(__xludf.DUMMYFUNCTION("""COMPUTED_VALUE"""),226.73)</f>
        <v>226.73</v>
      </c>
      <c r="C11323" s="2">
        <f>IFERROR(__xludf.DUMMYFUNCTION("""COMPUTED_VALUE"""),228.98)</f>
        <v>228.98</v>
      </c>
      <c r="D11323" s="2">
        <f>IFERROR(__xludf.DUMMYFUNCTION("""COMPUTED_VALUE"""),225.51)</f>
        <v>225.51</v>
      </c>
      <c r="E11323" s="2">
        <f>IFERROR(__xludf.DUMMYFUNCTION("""COMPUTED_VALUE"""),228.83)</f>
        <v>228.83</v>
      </c>
      <c r="F11323" s="2">
        <f>IFERROR(__xludf.DUMMYFUNCTION("""COMPUTED_VALUE"""),4449543.0)</f>
        <v>4449543</v>
      </c>
    </row>
    <row r="11324">
      <c r="A11324" s="3">
        <f>IFERROR(__xludf.DUMMYFUNCTION("""COMPUTED_VALUE"""),45623.66666666667)</f>
        <v>45623.66667</v>
      </c>
      <c r="B11324" s="2">
        <f>IFERROR(__xludf.DUMMYFUNCTION("""COMPUTED_VALUE"""),228.83)</f>
        <v>228.83</v>
      </c>
      <c r="C11324" s="2">
        <f>IFERROR(__xludf.DUMMYFUNCTION("""COMPUTED_VALUE"""),229.19)</f>
        <v>229.19</v>
      </c>
      <c r="D11324" s="2">
        <f>IFERROR(__xludf.DUMMYFUNCTION("""COMPUTED_VALUE"""),224.27)</f>
        <v>224.27</v>
      </c>
      <c r="E11324" s="2">
        <f>IFERROR(__xludf.DUMMYFUNCTION("""COMPUTED_VALUE"""),226.92)</f>
        <v>226.92</v>
      </c>
      <c r="F11324" s="2">
        <f>IFERROR(__xludf.DUMMYFUNCTION("""COMPUTED_VALUE"""),2995121.0)</f>
        <v>2995121</v>
      </c>
    </row>
    <row r="11325">
      <c r="A11325" s="3">
        <f>IFERROR(__xludf.DUMMYFUNCTION("""COMPUTED_VALUE"""),45625.54166666667)</f>
        <v>45625.54167</v>
      </c>
      <c r="B11325" s="2">
        <f>IFERROR(__xludf.DUMMYFUNCTION("""COMPUTED_VALUE"""),227.75)</f>
        <v>227.75</v>
      </c>
      <c r="C11325" s="2">
        <f>IFERROR(__xludf.DUMMYFUNCTION("""COMPUTED_VALUE"""),230.36)</f>
        <v>230.36</v>
      </c>
      <c r="D11325" s="2">
        <f>IFERROR(__xludf.DUMMYFUNCTION("""COMPUTED_VALUE"""),227.19)</f>
        <v>227.19</v>
      </c>
      <c r="E11325" s="2">
        <f>IFERROR(__xludf.DUMMYFUNCTION("""COMPUTED_VALUE"""),227.41)</f>
        <v>227.41</v>
      </c>
      <c r="F11325" s="2">
        <f>IFERROR(__xludf.DUMMYFUNCTION("""COMPUTED_VALUE"""),2640253.0)</f>
        <v>2640253</v>
      </c>
    </row>
    <row r="11326">
      <c r="A11326" s="3">
        <f>IFERROR(__xludf.DUMMYFUNCTION("""COMPUTED_VALUE"""),45628.66666666667)</f>
        <v>45628.66667</v>
      </c>
      <c r="B11326" s="2">
        <f>IFERROR(__xludf.DUMMYFUNCTION("""COMPUTED_VALUE"""),227.5)</f>
        <v>227.5</v>
      </c>
      <c r="C11326" s="2">
        <f>IFERROR(__xludf.DUMMYFUNCTION("""COMPUTED_VALUE"""),228.38)</f>
        <v>228.38</v>
      </c>
      <c r="D11326" s="2">
        <f>IFERROR(__xludf.DUMMYFUNCTION("""COMPUTED_VALUE"""),225.51)</f>
        <v>225.51</v>
      </c>
      <c r="E11326" s="2">
        <f>IFERROR(__xludf.DUMMYFUNCTION("""COMPUTED_VALUE"""),227.39)</f>
        <v>227.39</v>
      </c>
      <c r="F11326" s="2">
        <f>IFERROR(__xludf.DUMMYFUNCTION("""COMPUTED_VALUE"""),2656181.0)</f>
        <v>2656181</v>
      </c>
    </row>
    <row r="11327">
      <c r="A11327" s="3">
        <f>IFERROR(__xludf.DUMMYFUNCTION("""COMPUTED_VALUE"""),45629.66666666667)</f>
        <v>45629.66667</v>
      </c>
      <c r="B11327" s="2">
        <f>IFERROR(__xludf.DUMMYFUNCTION("""COMPUTED_VALUE"""),227.24)</f>
        <v>227.24</v>
      </c>
      <c r="C11327" s="2">
        <f>IFERROR(__xludf.DUMMYFUNCTION("""COMPUTED_VALUE"""),229.11)</f>
        <v>229.11</v>
      </c>
      <c r="D11327" s="2">
        <f>IFERROR(__xludf.DUMMYFUNCTION("""COMPUTED_VALUE"""),226.67)</f>
        <v>226.67</v>
      </c>
      <c r="E11327" s="2">
        <f>IFERROR(__xludf.DUMMYFUNCTION("""COMPUTED_VALUE"""),229.0)</f>
        <v>229</v>
      </c>
      <c r="F11327" s="2">
        <f>IFERROR(__xludf.DUMMYFUNCTION("""COMPUTED_VALUE"""),3163815.0)</f>
        <v>3163815</v>
      </c>
    </row>
    <row r="11328">
      <c r="A11328" s="3">
        <f>IFERROR(__xludf.DUMMYFUNCTION("""COMPUTED_VALUE"""),45630.66666666667)</f>
        <v>45630.66667</v>
      </c>
      <c r="B11328" s="2">
        <f>IFERROR(__xludf.DUMMYFUNCTION("""COMPUTED_VALUE"""),230.0)</f>
        <v>230</v>
      </c>
      <c r="C11328" s="2">
        <f>IFERROR(__xludf.DUMMYFUNCTION("""COMPUTED_VALUE"""),233.74)</f>
        <v>233.74</v>
      </c>
      <c r="D11328" s="2">
        <f>IFERROR(__xludf.DUMMYFUNCTION("""COMPUTED_VALUE"""),229.35)</f>
        <v>229.35</v>
      </c>
      <c r="E11328" s="2">
        <f>IFERROR(__xludf.DUMMYFUNCTION("""COMPUTED_VALUE"""),233.49)</f>
        <v>233.49</v>
      </c>
      <c r="F11328" s="2">
        <f>IFERROR(__xludf.DUMMYFUNCTION("""COMPUTED_VALUE"""),4104195.0)</f>
        <v>4104195</v>
      </c>
    </row>
    <row r="11329">
      <c r="A11329" s="3">
        <f>IFERROR(__xludf.DUMMYFUNCTION("""COMPUTED_VALUE"""),45631.66666666667)</f>
        <v>45631.66667</v>
      </c>
      <c r="B11329" s="2">
        <f>IFERROR(__xludf.DUMMYFUNCTION("""COMPUTED_VALUE"""),233.55)</f>
        <v>233.55</v>
      </c>
      <c r="C11329" s="2">
        <f>IFERROR(__xludf.DUMMYFUNCTION("""COMPUTED_VALUE"""),236.52)</f>
        <v>236.52</v>
      </c>
      <c r="D11329" s="2">
        <f>IFERROR(__xludf.DUMMYFUNCTION("""COMPUTED_VALUE"""),233.46)</f>
        <v>233.46</v>
      </c>
      <c r="E11329" s="2">
        <f>IFERROR(__xludf.DUMMYFUNCTION("""COMPUTED_VALUE"""),234.75)</f>
        <v>234.75</v>
      </c>
      <c r="F11329" s="2">
        <f>IFERROR(__xludf.DUMMYFUNCTION("""COMPUTED_VALUE"""),4791116.0)</f>
        <v>4791116</v>
      </c>
    </row>
    <row r="11330">
      <c r="A11330" s="3">
        <f>IFERROR(__xludf.DUMMYFUNCTION("""COMPUTED_VALUE"""),45632.66666666667)</f>
        <v>45632.66667</v>
      </c>
      <c r="B11330" s="2">
        <f>IFERROR(__xludf.DUMMYFUNCTION("""COMPUTED_VALUE"""),234.43)</f>
        <v>234.43</v>
      </c>
      <c r="C11330" s="2">
        <f>IFERROR(__xludf.DUMMYFUNCTION("""COMPUTED_VALUE"""),238.38)</f>
        <v>238.38</v>
      </c>
      <c r="D11330" s="2">
        <f>IFERROR(__xludf.DUMMYFUNCTION("""COMPUTED_VALUE"""),234.22)</f>
        <v>234.22</v>
      </c>
      <c r="E11330" s="2">
        <f>IFERROR(__xludf.DUMMYFUNCTION("""COMPUTED_VALUE"""),238.04)</f>
        <v>238.04</v>
      </c>
      <c r="F11330" s="2">
        <f>IFERROR(__xludf.DUMMYFUNCTION("""COMPUTED_VALUE"""),4028430.0)</f>
        <v>4028430</v>
      </c>
    </row>
    <row r="11331">
      <c r="A11331" s="3">
        <f>IFERROR(__xludf.DUMMYFUNCTION("""COMPUTED_VALUE"""),45635.66666666667)</f>
        <v>45635.66667</v>
      </c>
      <c r="B11331" s="2">
        <f>IFERROR(__xludf.DUMMYFUNCTION("""COMPUTED_VALUE"""),238.0)</f>
        <v>238</v>
      </c>
      <c r="C11331" s="2">
        <f>IFERROR(__xludf.DUMMYFUNCTION("""COMPUTED_VALUE"""),239.35)</f>
        <v>239.35</v>
      </c>
      <c r="D11331" s="2">
        <f>IFERROR(__xludf.DUMMYFUNCTION("""COMPUTED_VALUE"""),228.91)</f>
        <v>228.91</v>
      </c>
      <c r="E11331" s="2">
        <f>IFERROR(__xludf.DUMMYFUNCTION("""COMPUTED_VALUE"""),230.0)</f>
        <v>230</v>
      </c>
      <c r="F11331" s="2">
        <f>IFERROR(__xludf.DUMMYFUNCTION("""COMPUTED_VALUE"""),4970449.0)</f>
        <v>4970449</v>
      </c>
    </row>
    <row r="11332">
      <c r="A11332" s="3">
        <f>IFERROR(__xludf.DUMMYFUNCTION("""COMPUTED_VALUE"""),45636.66666666667)</f>
        <v>45636.66667</v>
      </c>
      <c r="B11332" s="2">
        <f>IFERROR(__xludf.DUMMYFUNCTION("""COMPUTED_VALUE"""),228.4)</f>
        <v>228.4</v>
      </c>
      <c r="C11332" s="2">
        <f>IFERROR(__xludf.DUMMYFUNCTION("""COMPUTED_VALUE"""),234.39)</f>
        <v>234.39</v>
      </c>
      <c r="D11332" s="2">
        <f>IFERROR(__xludf.DUMMYFUNCTION("""COMPUTED_VALUE"""),227.8)</f>
        <v>227.8</v>
      </c>
      <c r="E11332" s="2">
        <f>IFERROR(__xludf.DUMMYFUNCTION("""COMPUTED_VALUE"""),231.72)</f>
        <v>231.72</v>
      </c>
      <c r="F11332" s="2">
        <f>IFERROR(__xludf.DUMMYFUNCTION("""COMPUTED_VALUE"""),4769531.0)</f>
        <v>4769531</v>
      </c>
    </row>
    <row r="11333">
      <c r="A11333" s="3">
        <f>IFERROR(__xludf.DUMMYFUNCTION("""COMPUTED_VALUE"""),45637.66666666667)</f>
        <v>45637.66667</v>
      </c>
      <c r="B11333" s="2">
        <f>IFERROR(__xludf.DUMMYFUNCTION("""COMPUTED_VALUE"""),232.69)</f>
        <v>232.69</v>
      </c>
      <c r="C11333" s="2">
        <f>IFERROR(__xludf.DUMMYFUNCTION("""COMPUTED_VALUE"""),233.0)</f>
        <v>233</v>
      </c>
      <c r="D11333" s="2">
        <f>IFERROR(__xludf.DUMMYFUNCTION("""COMPUTED_VALUE"""),229.13)</f>
        <v>229.13</v>
      </c>
      <c r="E11333" s="2">
        <f>IFERROR(__xludf.DUMMYFUNCTION("""COMPUTED_VALUE"""),230.12)</f>
        <v>230.12</v>
      </c>
      <c r="F11333" s="2">
        <f>IFERROR(__xludf.DUMMYFUNCTION("""COMPUTED_VALUE"""),3872680.0)</f>
        <v>3872680</v>
      </c>
    </row>
    <row r="11334">
      <c r="A11334" s="3">
        <f>IFERROR(__xludf.DUMMYFUNCTION("""COMPUTED_VALUE"""),45638.66666666667)</f>
        <v>45638.66667</v>
      </c>
      <c r="B11334" s="2">
        <f>IFERROR(__xludf.DUMMYFUNCTION("""COMPUTED_VALUE"""),230.66)</f>
        <v>230.66</v>
      </c>
      <c r="C11334" s="2">
        <f>IFERROR(__xludf.DUMMYFUNCTION("""COMPUTED_VALUE"""),233.89)</f>
        <v>233.89</v>
      </c>
      <c r="D11334" s="2">
        <f>IFERROR(__xludf.DUMMYFUNCTION("""COMPUTED_VALUE"""),230.38)</f>
        <v>230.38</v>
      </c>
      <c r="E11334" s="2">
        <f>IFERROR(__xludf.DUMMYFUNCTION("""COMPUTED_VALUE"""),232.26)</f>
        <v>232.26</v>
      </c>
      <c r="F11334" s="2">
        <f>IFERROR(__xludf.DUMMYFUNCTION("""COMPUTED_VALUE"""),4515741.0)</f>
        <v>4515741</v>
      </c>
    </row>
    <row r="11335">
      <c r="A11335" s="3">
        <f>IFERROR(__xludf.DUMMYFUNCTION("""COMPUTED_VALUE"""),45639.66666666667)</f>
        <v>45639.66667</v>
      </c>
      <c r="B11335" s="2">
        <f>IFERROR(__xludf.DUMMYFUNCTION("""COMPUTED_VALUE"""),232.25)</f>
        <v>232.25</v>
      </c>
      <c r="C11335" s="2">
        <f>IFERROR(__xludf.DUMMYFUNCTION("""COMPUTED_VALUE"""),233.78)</f>
        <v>233.78</v>
      </c>
      <c r="D11335" s="2">
        <f>IFERROR(__xludf.DUMMYFUNCTION("""COMPUTED_VALUE"""),230.26)</f>
        <v>230.26</v>
      </c>
      <c r="E11335" s="2">
        <f>IFERROR(__xludf.DUMMYFUNCTION("""COMPUTED_VALUE"""),230.82)</f>
        <v>230.82</v>
      </c>
      <c r="F11335" s="2">
        <f>IFERROR(__xludf.DUMMYFUNCTION("""COMPUTED_VALUE"""),2757683.0)</f>
        <v>2757683</v>
      </c>
    </row>
    <row r="11336">
      <c r="A11336" s="3">
        <f>IFERROR(__xludf.DUMMYFUNCTION("""COMPUTED_VALUE"""),45642.66666666667)</f>
        <v>45642.66667</v>
      </c>
      <c r="B11336" s="2">
        <f>IFERROR(__xludf.DUMMYFUNCTION("""COMPUTED_VALUE"""),230.73)</f>
        <v>230.73</v>
      </c>
      <c r="C11336" s="2">
        <f>IFERROR(__xludf.DUMMYFUNCTION("""COMPUTED_VALUE"""),231.03)</f>
        <v>231.03</v>
      </c>
      <c r="D11336" s="2">
        <f>IFERROR(__xludf.DUMMYFUNCTION("""COMPUTED_VALUE"""),226.88)</f>
        <v>226.88</v>
      </c>
      <c r="E11336" s="2">
        <f>IFERROR(__xludf.DUMMYFUNCTION("""COMPUTED_VALUE"""),229.33)</f>
        <v>229.33</v>
      </c>
      <c r="F11336" s="2">
        <f>IFERROR(__xludf.DUMMYFUNCTION("""COMPUTED_VALUE"""),3610257.0)</f>
        <v>3610257</v>
      </c>
    </row>
    <row r="11337">
      <c r="A11337" s="3">
        <f>IFERROR(__xludf.DUMMYFUNCTION("""COMPUTED_VALUE"""),45643.66666666667)</f>
        <v>45643.66667</v>
      </c>
      <c r="B11337" s="2">
        <f>IFERROR(__xludf.DUMMYFUNCTION("""COMPUTED_VALUE"""),229.23)</f>
        <v>229.23</v>
      </c>
      <c r="C11337" s="2">
        <f>IFERROR(__xludf.DUMMYFUNCTION("""COMPUTED_VALUE"""),230.2)</f>
        <v>230.2</v>
      </c>
      <c r="D11337" s="2">
        <f>IFERROR(__xludf.DUMMYFUNCTION("""COMPUTED_VALUE"""),227.62)</f>
        <v>227.62</v>
      </c>
      <c r="E11337" s="2">
        <f>IFERROR(__xludf.DUMMYFUNCTION("""COMPUTED_VALUE"""),228.97)</f>
        <v>228.97</v>
      </c>
      <c r="F11337" s="2">
        <f>IFERROR(__xludf.DUMMYFUNCTION("""COMPUTED_VALUE"""),3651346.0)</f>
        <v>3651346</v>
      </c>
    </row>
    <row r="11338">
      <c r="A11338" s="3">
        <f>IFERROR(__xludf.DUMMYFUNCTION("""COMPUTED_VALUE"""),45644.66666666667)</f>
        <v>45644.66667</v>
      </c>
      <c r="B11338" s="2">
        <f>IFERROR(__xludf.DUMMYFUNCTION("""COMPUTED_VALUE"""),229.04)</f>
        <v>229.04</v>
      </c>
      <c r="C11338" s="2">
        <f>IFERROR(__xludf.DUMMYFUNCTION("""COMPUTED_VALUE"""),229.04)</f>
        <v>229.04</v>
      </c>
      <c r="D11338" s="2">
        <f>IFERROR(__xludf.DUMMYFUNCTION("""COMPUTED_VALUE"""),220.03)</f>
        <v>220.03</v>
      </c>
      <c r="E11338" s="2">
        <f>IFERROR(__xludf.DUMMYFUNCTION("""COMPUTED_VALUE"""),220.17)</f>
        <v>220.17</v>
      </c>
      <c r="F11338" s="2">
        <f>IFERROR(__xludf.DUMMYFUNCTION("""COMPUTED_VALUE"""),4152517.0)</f>
        <v>4152517</v>
      </c>
    </row>
    <row r="11339">
      <c r="A11339" s="3">
        <f>IFERROR(__xludf.DUMMYFUNCTION("""COMPUTED_VALUE"""),45645.66666666667)</f>
        <v>45645.66667</v>
      </c>
      <c r="B11339" s="2">
        <f>IFERROR(__xludf.DUMMYFUNCTION("""COMPUTED_VALUE"""),224.42)</f>
        <v>224.42</v>
      </c>
      <c r="C11339" s="2">
        <f>IFERROR(__xludf.DUMMYFUNCTION("""COMPUTED_VALUE"""),226.2)</f>
        <v>226.2</v>
      </c>
      <c r="D11339" s="2">
        <f>IFERROR(__xludf.DUMMYFUNCTION("""COMPUTED_VALUE"""),222.98)</f>
        <v>222.98</v>
      </c>
      <c r="E11339" s="2">
        <f>IFERROR(__xludf.DUMMYFUNCTION("""COMPUTED_VALUE"""),223.92)</f>
        <v>223.92</v>
      </c>
      <c r="F11339" s="2">
        <f>IFERROR(__xludf.DUMMYFUNCTION("""COMPUTED_VALUE"""),4430120.0)</f>
        <v>4430120</v>
      </c>
    </row>
    <row r="11340">
      <c r="A11340" s="3">
        <f>IFERROR(__xludf.DUMMYFUNCTION("""COMPUTED_VALUE"""),45646.66666666667)</f>
        <v>45646.66667</v>
      </c>
      <c r="B11340" s="2">
        <f>IFERROR(__xludf.DUMMYFUNCTION("""COMPUTED_VALUE"""),222.73)</f>
        <v>222.73</v>
      </c>
      <c r="C11340" s="2">
        <f>IFERROR(__xludf.DUMMYFUNCTION("""COMPUTED_VALUE"""),227.68)</f>
        <v>227.68</v>
      </c>
      <c r="D11340" s="2">
        <f>IFERROR(__xludf.DUMMYFUNCTION("""COMPUTED_VALUE"""),221.68)</f>
        <v>221.68</v>
      </c>
      <c r="E11340" s="2">
        <f>IFERROR(__xludf.DUMMYFUNCTION("""COMPUTED_VALUE"""),223.36)</f>
        <v>223.36</v>
      </c>
      <c r="F11340" s="2">
        <f>IFERROR(__xludf.DUMMYFUNCTION("""COMPUTED_VALUE"""),1.24232E7)</f>
        <v>12423200</v>
      </c>
    </row>
    <row r="11341">
      <c r="A11341" s="3">
        <f>IFERROR(__xludf.DUMMYFUNCTION("""COMPUTED_VALUE"""),45649.66666666667)</f>
        <v>45649.66667</v>
      </c>
      <c r="B11341" s="2">
        <f>IFERROR(__xludf.DUMMYFUNCTION("""COMPUTED_VALUE"""),222.81)</f>
        <v>222.81</v>
      </c>
      <c r="C11341" s="2">
        <f>IFERROR(__xludf.DUMMYFUNCTION("""COMPUTED_VALUE"""),223.74)</f>
        <v>223.74</v>
      </c>
      <c r="D11341" s="2">
        <f>IFERROR(__xludf.DUMMYFUNCTION("""COMPUTED_VALUE"""),221.08)</f>
        <v>221.08</v>
      </c>
      <c r="E11341" s="2">
        <f>IFERROR(__xludf.DUMMYFUNCTION("""COMPUTED_VALUE"""),221.93)</f>
        <v>221.93</v>
      </c>
      <c r="F11341" s="2">
        <f>IFERROR(__xludf.DUMMYFUNCTION("""COMPUTED_VALUE"""),2988137.0)</f>
        <v>2988137</v>
      </c>
    </row>
    <row r="11342">
      <c r="A11342" s="3">
        <f>IFERROR(__xludf.DUMMYFUNCTION("""COMPUTED_VALUE"""),45650.54166666667)</f>
        <v>45650.54167</v>
      </c>
      <c r="B11342" s="2">
        <f>IFERROR(__xludf.DUMMYFUNCTION("""COMPUTED_VALUE"""),222.27)</f>
        <v>222.27</v>
      </c>
      <c r="C11342" s="2">
        <f>IFERROR(__xludf.DUMMYFUNCTION("""COMPUTED_VALUE"""),224.44)</f>
        <v>224.44</v>
      </c>
      <c r="D11342" s="2">
        <f>IFERROR(__xludf.DUMMYFUNCTION("""COMPUTED_VALUE"""),221.54)</f>
        <v>221.54</v>
      </c>
      <c r="E11342" s="2">
        <f>IFERROR(__xludf.DUMMYFUNCTION("""COMPUTED_VALUE"""),224.41)</f>
        <v>224.41</v>
      </c>
      <c r="F11342" s="2">
        <f>IFERROR(__xludf.DUMMYFUNCTION("""COMPUTED_VALUE"""),1186216.0)</f>
        <v>1186216</v>
      </c>
    </row>
    <row r="11343">
      <c r="A11343" s="3">
        <f>IFERROR(__xludf.DUMMYFUNCTION("""COMPUTED_VALUE"""),45652.66666666667)</f>
        <v>45652.66667</v>
      </c>
      <c r="B11343" s="2">
        <f>IFERROR(__xludf.DUMMYFUNCTION("""COMPUTED_VALUE"""),223.17)</f>
        <v>223.17</v>
      </c>
      <c r="C11343" s="2">
        <f>IFERROR(__xludf.DUMMYFUNCTION("""COMPUTED_VALUE"""),225.4)</f>
        <v>225.4</v>
      </c>
      <c r="D11343" s="2">
        <f>IFERROR(__xludf.DUMMYFUNCTION("""COMPUTED_VALUE"""),222.55)</f>
        <v>222.55</v>
      </c>
      <c r="E11343" s="2">
        <f>IFERROR(__xludf.DUMMYFUNCTION("""COMPUTED_VALUE"""),224.89)</f>
        <v>224.89</v>
      </c>
      <c r="F11343" s="2">
        <f>IFERROR(__xludf.DUMMYFUNCTION("""COMPUTED_VALUE"""),3287238.0)</f>
        <v>3287238</v>
      </c>
    </row>
    <row r="11344">
      <c r="A11344" s="3">
        <f>IFERROR(__xludf.DUMMYFUNCTION("""COMPUTED_VALUE"""),45653.66666666667)</f>
        <v>45653.66667</v>
      </c>
      <c r="B11344" s="2">
        <f>IFERROR(__xludf.DUMMYFUNCTION("""COMPUTED_VALUE"""),223.14)</f>
        <v>223.14</v>
      </c>
      <c r="C11344" s="2">
        <f>IFERROR(__xludf.DUMMYFUNCTION("""COMPUTED_VALUE"""),224.42)</f>
        <v>224.42</v>
      </c>
      <c r="D11344" s="2">
        <f>IFERROR(__xludf.DUMMYFUNCTION("""COMPUTED_VALUE"""),221.41)</f>
        <v>221.41</v>
      </c>
      <c r="E11344" s="2">
        <f>IFERROR(__xludf.DUMMYFUNCTION("""COMPUTED_VALUE"""),222.78)</f>
        <v>222.78</v>
      </c>
      <c r="F11344" s="2">
        <f>IFERROR(__xludf.DUMMYFUNCTION("""COMPUTED_VALUE"""),1810760.0)</f>
        <v>1810760</v>
      </c>
    </row>
    <row r="11345">
      <c r="A11345" s="3">
        <f>IFERROR(__xludf.DUMMYFUNCTION("""COMPUTED_VALUE"""),45656.66666666667)</f>
        <v>45656.66667</v>
      </c>
      <c r="B11345" s="2">
        <f>IFERROR(__xludf.DUMMYFUNCTION("""COMPUTED_VALUE"""),220.54)</f>
        <v>220.54</v>
      </c>
      <c r="C11345" s="2">
        <f>IFERROR(__xludf.DUMMYFUNCTION("""COMPUTED_VALUE"""),221.59)</f>
        <v>221.59</v>
      </c>
      <c r="D11345" s="2">
        <f>IFERROR(__xludf.DUMMYFUNCTION("""COMPUTED_VALUE"""),217.65)</f>
        <v>217.65</v>
      </c>
      <c r="E11345" s="2">
        <f>IFERROR(__xludf.DUMMYFUNCTION("""COMPUTED_VALUE"""),220.25)</f>
        <v>220.25</v>
      </c>
      <c r="F11345" s="2">
        <f>IFERROR(__xludf.DUMMYFUNCTION("""COMPUTED_VALUE"""),2095565.0)</f>
        <v>2095565</v>
      </c>
    </row>
    <row r="11346">
      <c r="A11346" s="3">
        <f>IFERROR(__xludf.DUMMYFUNCTION("""COMPUTED_VALUE"""),45657.66666666667)</f>
        <v>45657.66667</v>
      </c>
      <c r="B11346" s="2">
        <f>IFERROR(__xludf.DUMMYFUNCTION("""COMPUTED_VALUE"""),220.72)</f>
        <v>220.72</v>
      </c>
      <c r="C11346" s="2">
        <f>IFERROR(__xludf.DUMMYFUNCTION("""COMPUTED_VALUE"""),221.05)</f>
        <v>221.05</v>
      </c>
      <c r="D11346" s="2">
        <f>IFERROR(__xludf.DUMMYFUNCTION("""COMPUTED_VALUE"""),218.44)</f>
        <v>218.44</v>
      </c>
      <c r="E11346" s="2">
        <f>IFERROR(__xludf.DUMMYFUNCTION("""COMPUTED_VALUE"""),219.83)</f>
        <v>219.83</v>
      </c>
      <c r="F11346" s="2">
        <f>IFERROR(__xludf.DUMMYFUNCTION("""COMPUTED_VALUE"""),2270512.0)</f>
        <v>2270512</v>
      </c>
    </row>
    <row r="11347">
      <c r="A11347" s="3">
        <f>IFERROR(__xludf.DUMMYFUNCTION("""COMPUTED_VALUE"""),45659.66666666667)</f>
        <v>45659.66667</v>
      </c>
      <c r="B11347" s="2">
        <f>IFERROR(__xludf.DUMMYFUNCTION("""COMPUTED_VALUE"""),221.82)</f>
        <v>221.82</v>
      </c>
      <c r="C11347" s="2">
        <f>IFERROR(__xludf.DUMMYFUNCTION("""COMPUTED_VALUE"""),222.49)</f>
        <v>222.49</v>
      </c>
      <c r="D11347" s="2">
        <f>IFERROR(__xludf.DUMMYFUNCTION("""COMPUTED_VALUE"""),217.6)</f>
        <v>217.6</v>
      </c>
      <c r="E11347" s="2">
        <f>IFERROR(__xludf.DUMMYFUNCTION("""COMPUTED_VALUE"""),219.94)</f>
        <v>219.94</v>
      </c>
      <c r="F11347" s="2">
        <f>IFERROR(__xludf.DUMMYFUNCTION("""COMPUTED_VALUE"""),2579498.0)</f>
        <v>2579498</v>
      </c>
    </row>
    <row r="11348">
      <c r="A11348" s="3">
        <f>IFERROR(__xludf.DUMMYFUNCTION("""COMPUTED_VALUE"""),45660.66666666667)</f>
        <v>45660.66667</v>
      </c>
      <c r="B11348" s="2">
        <f>IFERROR(__xludf.DUMMYFUNCTION("""COMPUTED_VALUE"""),220.55)</f>
        <v>220.55</v>
      </c>
      <c r="C11348" s="2">
        <f>IFERROR(__xludf.DUMMYFUNCTION("""COMPUTED_VALUE"""),223.66)</f>
        <v>223.66</v>
      </c>
      <c r="D11348" s="2">
        <f>IFERROR(__xludf.DUMMYFUNCTION("""COMPUTED_VALUE"""),220.55)</f>
        <v>220.55</v>
      </c>
      <c r="E11348" s="2">
        <f>IFERROR(__xludf.DUMMYFUNCTION("""COMPUTED_VALUE"""),222.65)</f>
        <v>222.65</v>
      </c>
      <c r="F11348" s="2">
        <f>IFERROR(__xludf.DUMMYFUNCTION("""COMPUTED_VALUE"""),3873578.0)</f>
        <v>3873578</v>
      </c>
    </row>
    <row r="11349">
      <c r="A11349" s="3">
        <f>IFERROR(__xludf.DUMMYFUNCTION("""COMPUTED_VALUE"""),45663.66666666667)</f>
        <v>45663.66667</v>
      </c>
      <c r="B11349" s="2">
        <f>IFERROR(__xludf.DUMMYFUNCTION("""COMPUTED_VALUE"""),223.0)</f>
        <v>223</v>
      </c>
      <c r="C11349" s="2">
        <f>IFERROR(__xludf.DUMMYFUNCTION("""COMPUTED_VALUE"""),224.35)</f>
        <v>224.35</v>
      </c>
      <c r="D11349" s="2">
        <f>IFERROR(__xludf.DUMMYFUNCTION("""COMPUTED_VALUE"""),220.75)</f>
        <v>220.75</v>
      </c>
      <c r="E11349" s="2">
        <f>IFERROR(__xludf.DUMMYFUNCTION("""COMPUTED_VALUE"""),222.67)</f>
        <v>222.67</v>
      </c>
      <c r="F11349" s="2">
        <f>IFERROR(__xludf.DUMMYFUNCTION("""COMPUTED_VALUE"""),2847128.0)</f>
        <v>2847128</v>
      </c>
    </row>
    <row r="11350">
      <c r="A11350" s="3">
        <f>IFERROR(__xludf.DUMMYFUNCTION("""COMPUTED_VALUE"""),45664.66666666667)</f>
        <v>45664.66667</v>
      </c>
      <c r="B11350" s="2">
        <f>IFERROR(__xludf.DUMMYFUNCTION("""COMPUTED_VALUE"""),223.35)</f>
        <v>223.35</v>
      </c>
      <c r="C11350" s="2">
        <f>IFERROR(__xludf.DUMMYFUNCTION("""COMPUTED_VALUE"""),226.71)</f>
        <v>226.71</v>
      </c>
      <c r="D11350" s="2">
        <f>IFERROR(__xludf.DUMMYFUNCTION("""COMPUTED_VALUE"""),222.83)</f>
        <v>222.83</v>
      </c>
      <c r="E11350" s="2">
        <f>IFERROR(__xludf.DUMMYFUNCTION("""COMPUTED_VALUE"""),223.96)</f>
        <v>223.96</v>
      </c>
      <c r="F11350" s="2">
        <f>IFERROR(__xludf.DUMMYFUNCTION("""COMPUTED_VALUE"""),3299701.0)</f>
        <v>3299701</v>
      </c>
    </row>
    <row r="11351">
      <c r="A11351" s="3">
        <f>IFERROR(__xludf.DUMMYFUNCTION("""COMPUTED_VALUE"""),45665.66666666667)</f>
        <v>45665.66667</v>
      </c>
      <c r="B11351" s="2">
        <f>IFERROR(__xludf.DUMMYFUNCTION("""COMPUTED_VALUE"""),223.91)</f>
        <v>223.91</v>
      </c>
      <c r="C11351" s="2">
        <f>IFERROR(__xludf.DUMMYFUNCTION("""COMPUTED_VALUE"""),224.9)</f>
        <v>224.9</v>
      </c>
      <c r="D11351" s="2">
        <f>IFERROR(__xludf.DUMMYFUNCTION("""COMPUTED_VALUE"""),220.83)</f>
        <v>220.83</v>
      </c>
      <c r="E11351" s="2">
        <f>IFERROR(__xludf.DUMMYFUNCTION("""COMPUTED_VALUE"""),223.18)</f>
        <v>223.18</v>
      </c>
      <c r="F11351" s="2">
        <f>IFERROR(__xludf.DUMMYFUNCTION("""COMPUTED_VALUE"""),2619768.0)</f>
        <v>2619768</v>
      </c>
    </row>
    <row r="11352">
      <c r="A11352" s="3">
        <f>IFERROR(__xludf.DUMMYFUNCTION("""COMPUTED_VALUE"""),45667.66666666667)</f>
        <v>45667.66667</v>
      </c>
      <c r="B11352" s="2">
        <f>IFERROR(__xludf.DUMMYFUNCTION("""COMPUTED_VALUE"""),222.0)</f>
        <v>222</v>
      </c>
      <c r="C11352" s="2">
        <f>IFERROR(__xludf.DUMMYFUNCTION("""COMPUTED_VALUE"""),222.43)</f>
        <v>222.43</v>
      </c>
      <c r="D11352" s="2">
        <f>IFERROR(__xludf.DUMMYFUNCTION("""COMPUTED_VALUE"""),216.8)</f>
        <v>216.8</v>
      </c>
      <c r="E11352" s="2">
        <f>IFERROR(__xludf.DUMMYFUNCTION("""COMPUTED_VALUE"""),219.75)</f>
        <v>219.75</v>
      </c>
      <c r="F11352" s="2">
        <f>IFERROR(__xludf.DUMMYFUNCTION("""COMPUTED_VALUE"""),3570497.0)</f>
        <v>3570497</v>
      </c>
    </row>
    <row r="11353">
      <c r="A11353" s="3">
        <f>IFERROR(__xludf.DUMMYFUNCTION("""COMPUTED_VALUE"""),45670.66666666667)</f>
        <v>45670.66667</v>
      </c>
      <c r="B11353" s="2">
        <f>IFERROR(__xludf.DUMMYFUNCTION("""COMPUTED_VALUE"""),217.89)</f>
        <v>217.89</v>
      </c>
      <c r="C11353" s="2">
        <f>IFERROR(__xludf.DUMMYFUNCTION("""COMPUTED_VALUE"""),219.59)</f>
        <v>219.59</v>
      </c>
      <c r="D11353" s="2">
        <f>IFERROR(__xludf.DUMMYFUNCTION("""COMPUTED_VALUE"""),214.75)</f>
        <v>214.75</v>
      </c>
      <c r="E11353" s="2">
        <f>IFERROR(__xludf.DUMMYFUNCTION("""COMPUTED_VALUE"""),217.4)</f>
        <v>217.4</v>
      </c>
      <c r="F11353" s="2">
        <f>IFERROR(__xludf.DUMMYFUNCTION("""COMPUTED_VALUE"""),3716816.0)</f>
        <v>3716816</v>
      </c>
    </row>
    <row r="11354">
      <c r="A11354" s="3">
        <f>IFERROR(__xludf.DUMMYFUNCTION("""COMPUTED_VALUE"""),45671.66666666667)</f>
        <v>45671.66667</v>
      </c>
      <c r="B11354" s="2">
        <f>IFERROR(__xludf.DUMMYFUNCTION("""COMPUTED_VALUE"""),218.0)</f>
        <v>218</v>
      </c>
      <c r="C11354" s="2">
        <f>IFERROR(__xludf.DUMMYFUNCTION("""COMPUTED_VALUE"""),218.13)</f>
        <v>218.13</v>
      </c>
      <c r="D11354" s="2">
        <f>IFERROR(__xludf.DUMMYFUNCTION("""COMPUTED_VALUE"""),214.61)</f>
        <v>214.61</v>
      </c>
      <c r="E11354" s="2">
        <f>IFERROR(__xludf.DUMMYFUNCTION("""COMPUTED_VALUE"""),217.75)</f>
        <v>217.75</v>
      </c>
      <c r="F11354" s="2">
        <f>IFERROR(__xludf.DUMMYFUNCTION("""COMPUTED_VALUE"""),3485829.0)</f>
        <v>3485829</v>
      </c>
    </row>
    <row r="11355">
      <c r="A11355" s="3">
        <f>IFERROR(__xludf.DUMMYFUNCTION("""COMPUTED_VALUE"""),45672.66666666667)</f>
        <v>45672.66667</v>
      </c>
      <c r="B11355" s="2">
        <f>IFERROR(__xludf.DUMMYFUNCTION("""COMPUTED_VALUE"""),220.87)</f>
        <v>220.87</v>
      </c>
      <c r="C11355" s="2">
        <f>IFERROR(__xludf.DUMMYFUNCTION("""COMPUTED_VALUE"""),221.68)</f>
        <v>221.68</v>
      </c>
      <c r="D11355" s="2">
        <f>IFERROR(__xludf.DUMMYFUNCTION("""COMPUTED_VALUE"""),218.01)</f>
        <v>218.01</v>
      </c>
      <c r="E11355" s="2">
        <f>IFERROR(__xludf.DUMMYFUNCTION("""COMPUTED_VALUE"""),220.03)</f>
        <v>220.03</v>
      </c>
      <c r="F11355" s="2">
        <f>IFERROR(__xludf.DUMMYFUNCTION("""COMPUTED_VALUE"""),2951825.0)</f>
        <v>2951825</v>
      </c>
    </row>
    <row r="11356">
      <c r="A11356" s="3">
        <f>IFERROR(__xludf.DUMMYFUNCTION("""COMPUTED_VALUE"""),45673.66666666667)</f>
        <v>45673.66667</v>
      </c>
      <c r="B11356" s="2">
        <f>IFERROR(__xludf.DUMMYFUNCTION("""COMPUTED_VALUE"""),219.69)</f>
        <v>219.69</v>
      </c>
      <c r="C11356" s="2">
        <f>IFERROR(__xludf.DUMMYFUNCTION("""COMPUTED_VALUE"""),222.68)</f>
        <v>222.68</v>
      </c>
      <c r="D11356" s="2">
        <f>IFERROR(__xludf.DUMMYFUNCTION("""COMPUTED_VALUE"""),217.38)</f>
        <v>217.38</v>
      </c>
      <c r="E11356" s="2">
        <f>IFERROR(__xludf.DUMMYFUNCTION("""COMPUTED_VALUE"""),222.66)</f>
        <v>222.66</v>
      </c>
      <c r="F11356" s="2">
        <f>IFERROR(__xludf.DUMMYFUNCTION("""COMPUTED_VALUE"""),3329060.0)</f>
        <v>3329060</v>
      </c>
    </row>
    <row r="11357">
      <c r="A11357" s="3">
        <f>IFERROR(__xludf.DUMMYFUNCTION("""COMPUTED_VALUE"""),45674.66666666667)</f>
        <v>45674.66667</v>
      </c>
      <c r="B11357" s="2">
        <f>IFERROR(__xludf.DUMMYFUNCTION("""COMPUTED_VALUE"""),225.96)</f>
        <v>225.96</v>
      </c>
      <c r="C11357" s="2">
        <f>IFERROR(__xludf.DUMMYFUNCTION("""COMPUTED_VALUE"""),225.96)</f>
        <v>225.96</v>
      </c>
      <c r="D11357" s="2">
        <f>IFERROR(__xludf.DUMMYFUNCTION("""COMPUTED_VALUE"""),223.64)</f>
        <v>223.64</v>
      </c>
      <c r="E11357" s="2">
        <f>IFERROR(__xludf.DUMMYFUNCTION("""COMPUTED_VALUE"""),224.79)</f>
        <v>224.79</v>
      </c>
      <c r="F11357" s="2">
        <f>IFERROR(__xludf.DUMMYFUNCTION("""COMPUTED_VALUE"""),5506837.0)</f>
        <v>5506837</v>
      </c>
    </row>
    <row r="11358">
      <c r="A11358" s="3">
        <f>IFERROR(__xludf.DUMMYFUNCTION("""COMPUTED_VALUE"""),45678.66666666667)</f>
        <v>45678.66667</v>
      </c>
      <c r="B11358" s="2">
        <f>IFERROR(__xludf.DUMMYFUNCTION("""COMPUTED_VALUE"""),224.99)</f>
        <v>224.99</v>
      </c>
      <c r="C11358" s="2">
        <f>IFERROR(__xludf.DUMMYFUNCTION("""COMPUTED_VALUE"""),227.45)</f>
        <v>227.45</v>
      </c>
      <c r="D11358" s="2">
        <f>IFERROR(__xludf.DUMMYFUNCTION("""COMPUTED_VALUE"""),222.83)</f>
        <v>222.83</v>
      </c>
      <c r="E11358" s="2">
        <f>IFERROR(__xludf.DUMMYFUNCTION("""COMPUTED_VALUE"""),224.26)</f>
        <v>224.26</v>
      </c>
      <c r="F11358" s="2">
        <f>IFERROR(__xludf.DUMMYFUNCTION("""COMPUTED_VALUE"""),3982203.0)</f>
        <v>3982203</v>
      </c>
    </row>
    <row r="11359">
      <c r="A11359" s="3">
        <f>IFERROR(__xludf.DUMMYFUNCTION("""COMPUTED_VALUE"""),45679.66666666667)</f>
        <v>45679.66667</v>
      </c>
      <c r="B11359" s="2">
        <f>IFERROR(__xludf.DUMMYFUNCTION("""COMPUTED_VALUE"""),221.98)</f>
        <v>221.98</v>
      </c>
      <c r="C11359" s="2">
        <f>IFERROR(__xludf.DUMMYFUNCTION("""COMPUTED_VALUE"""),224.4)</f>
        <v>224.4</v>
      </c>
      <c r="D11359" s="2">
        <f>IFERROR(__xludf.DUMMYFUNCTION("""COMPUTED_VALUE"""),220.35)</f>
        <v>220.35</v>
      </c>
      <c r="E11359" s="2">
        <f>IFERROR(__xludf.DUMMYFUNCTION("""COMPUTED_VALUE"""),223.26)</f>
        <v>223.26</v>
      </c>
      <c r="F11359" s="2">
        <f>IFERROR(__xludf.DUMMYFUNCTION("""COMPUTED_VALUE"""),4759490.0)</f>
        <v>4759490</v>
      </c>
    </row>
    <row r="11360">
      <c r="A11360" s="3">
        <f>IFERROR(__xludf.DUMMYFUNCTION("""COMPUTED_VALUE"""),45680.66666666667)</f>
        <v>45680.66667</v>
      </c>
      <c r="B11360" s="2">
        <f>IFERROR(__xludf.DUMMYFUNCTION("""COMPUTED_VALUE"""),223.94)</f>
        <v>223.94</v>
      </c>
      <c r="C11360" s="2">
        <f>IFERROR(__xludf.DUMMYFUNCTION("""COMPUTED_VALUE"""),226.04)</f>
        <v>226.04</v>
      </c>
      <c r="D11360" s="2">
        <f>IFERROR(__xludf.DUMMYFUNCTION("""COMPUTED_VALUE"""),223.15)</f>
        <v>223.15</v>
      </c>
      <c r="E11360" s="2">
        <f>IFERROR(__xludf.DUMMYFUNCTION("""COMPUTED_VALUE"""),226.04)</f>
        <v>226.04</v>
      </c>
      <c r="F11360" s="2">
        <f>IFERROR(__xludf.DUMMYFUNCTION("""COMPUTED_VALUE"""),3619651.0)</f>
        <v>3619651</v>
      </c>
    </row>
    <row r="11361">
      <c r="A11361" s="3">
        <f>IFERROR(__xludf.DUMMYFUNCTION("""COMPUTED_VALUE"""),45681.66666666667)</f>
        <v>45681.66667</v>
      </c>
      <c r="B11361" s="2">
        <f>IFERROR(__xludf.DUMMYFUNCTION("""COMPUTED_VALUE"""),225.27)</f>
        <v>225.27</v>
      </c>
      <c r="C11361" s="2">
        <f>IFERROR(__xludf.DUMMYFUNCTION("""COMPUTED_VALUE"""),226.81)</f>
        <v>226.81</v>
      </c>
      <c r="D11361" s="2">
        <f>IFERROR(__xludf.DUMMYFUNCTION("""COMPUTED_VALUE"""),223.8)</f>
        <v>223.8</v>
      </c>
      <c r="E11361" s="2">
        <f>IFERROR(__xludf.DUMMYFUNCTION("""COMPUTED_VALUE"""),224.8)</f>
        <v>224.8</v>
      </c>
      <c r="F11361" s="2">
        <f>IFERROR(__xludf.DUMMYFUNCTION("""COMPUTED_VALUE"""),3233293.0)</f>
        <v>3233293</v>
      </c>
    </row>
    <row r="11362">
      <c r="A11362" s="3">
        <f>IFERROR(__xludf.DUMMYFUNCTION("""COMPUTED_VALUE"""),45684.66666666667)</f>
        <v>45684.66667</v>
      </c>
      <c r="B11362" s="2">
        <f>IFERROR(__xludf.DUMMYFUNCTION("""COMPUTED_VALUE"""),222.5)</f>
        <v>222.5</v>
      </c>
      <c r="C11362" s="2">
        <f>IFERROR(__xludf.DUMMYFUNCTION("""COMPUTED_VALUE"""),224.3)</f>
        <v>224.3</v>
      </c>
      <c r="D11362" s="2">
        <f>IFERROR(__xludf.DUMMYFUNCTION("""COMPUTED_VALUE"""),219.84)</f>
        <v>219.84</v>
      </c>
      <c r="E11362" s="2">
        <f>IFERROR(__xludf.DUMMYFUNCTION("""COMPUTED_VALUE"""),224.13)</f>
        <v>224.13</v>
      </c>
      <c r="F11362" s="2">
        <f>IFERROR(__xludf.DUMMYFUNCTION("""COMPUTED_VALUE"""),4898355.0)</f>
        <v>4898355</v>
      </c>
    </row>
    <row r="11363">
      <c r="A11363" s="3">
        <f>IFERROR(__xludf.DUMMYFUNCTION("""COMPUTED_VALUE"""),45685.66666666667)</f>
        <v>45685.66667</v>
      </c>
      <c r="B11363" s="2">
        <f>IFERROR(__xludf.DUMMYFUNCTION("""COMPUTED_VALUE"""),224.32)</f>
        <v>224.32</v>
      </c>
      <c r="C11363" s="2">
        <f>IFERROR(__xludf.DUMMYFUNCTION("""COMPUTED_VALUE"""),225.77)</f>
        <v>225.77</v>
      </c>
      <c r="D11363" s="2">
        <f>IFERROR(__xludf.DUMMYFUNCTION("""COMPUTED_VALUE"""),221.77)</f>
        <v>221.77</v>
      </c>
      <c r="E11363" s="2">
        <f>IFERROR(__xludf.DUMMYFUNCTION("""COMPUTED_VALUE"""),225.66)</f>
        <v>225.66</v>
      </c>
      <c r="F11363" s="2">
        <f>IFERROR(__xludf.DUMMYFUNCTION("""COMPUTED_VALUE"""),4485429.0)</f>
        <v>4485429</v>
      </c>
    </row>
    <row r="11364">
      <c r="A11364" s="3">
        <f>IFERROR(__xludf.DUMMYFUNCTION("""COMPUTED_VALUE"""),45686.66666666667)</f>
        <v>45686.66667</v>
      </c>
      <c r="B11364" s="2">
        <f>IFERROR(__xludf.DUMMYFUNCTION("""COMPUTED_VALUE"""),225.62)</f>
        <v>225.62</v>
      </c>
      <c r="C11364" s="2">
        <f>IFERROR(__xludf.DUMMYFUNCTION("""COMPUTED_VALUE"""),229.47)</f>
        <v>229.47</v>
      </c>
      <c r="D11364" s="2">
        <f>IFERROR(__xludf.DUMMYFUNCTION("""COMPUTED_VALUE"""),223.73)</f>
        <v>223.73</v>
      </c>
      <c r="E11364" s="2">
        <f>IFERROR(__xludf.DUMMYFUNCTION("""COMPUTED_VALUE"""),228.63)</f>
        <v>228.63</v>
      </c>
      <c r="F11364" s="2">
        <f>IFERROR(__xludf.DUMMYFUNCTION("""COMPUTED_VALUE"""),7079804.0)</f>
        <v>7079804</v>
      </c>
    </row>
    <row r="11365">
      <c r="A11365" s="3">
        <f>IFERROR(__xludf.DUMMYFUNCTION("""COMPUTED_VALUE"""),45687.66666666667)</f>
        <v>45687.66667</v>
      </c>
      <c r="B11365" s="2">
        <f>IFERROR(__xludf.DUMMYFUNCTION("""COMPUTED_VALUE"""),250.0)</f>
        <v>250</v>
      </c>
      <c r="C11365" s="2">
        <f>IFERROR(__xludf.DUMMYFUNCTION("""COMPUTED_VALUE"""),261.8)</f>
        <v>261.8</v>
      </c>
      <c r="D11365" s="2">
        <f>IFERROR(__xludf.DUMMYFUNCTION("""COMPUTED_VALUE"""),247.01)</f>
        <v>247.01</v>
      </c>
      <c r="E11365" s="2">
        <f>IFERROR(__xludf.DUMMYFUNCTION("""COMPUTED_VALUE"""),258.27)</f>
        <v>258.27</v>
      </c>
      <c r="F11365" s="2">
        <f>IFERROR(__xludf.DUMMYFUNCTION("""COMPUTED_VALUE"""),1.538189E7)</f>
        <v>15381890</v>
      </c>
    </row>
    <row r="11366">
      <c r="A11366" s="3">
        <f>IFERROR(__xludf.DUMMYFUNCTION("""COMPUTED_VALUE"""),45688.66666666667)</f>
        <v>45688.66667</v>
      </c>
      <c r="B11366" s="2">
        <f>IFERROR(__xludf.DUMMYFUNCTION("""COMPUTED_VALUE"""),256.05)</f>
        <v>256.05</v>
      </c>
      <c r="C11366" s="2">
        <f>IFERROR(__xludf.DUMMYFUNCTION("""COMPUTED_VALUE"""),257.24)</f>
        <v>257.24</v>
      </c>
      <c r="D11366" s="2">
        <f>IFERROR(__xludf.DUMMYFUNCTION("""COMPUTED_VALUE"""),251.89)</f>
        <v>251.89</v>
      </c>
      <c r="E11366" s="2">
        <f>IFERROR(__xludf.DUMMYFUNCTION("""COMPUTED_VALUE"""),255.7)</f>
        <v>255.7</v>
      </c>
      <c r="F11366" s="2">
        <f>IFERROR(__xludf.DUMMYFUNCTION("""COMPUTED_VALUE"""),7203519.0)</f>
        <v>7203519</v>
      </c>
    </row>
    <row r="11367">
      <c r="A11367" s="3">
        <f>IFERROR(__xludf.DUMMYFUNCTION("""COMPUTED_VALUE"""),45691.66666666667)</f>
        <v>45691.66667</v>
      </c>
      <c r="B11367" s="2">
        <f>IFERROR(__xludf.DUMMYFUNCTION("""COMPUTED_VALUE"""),252.4)</f>
        <v>252.4</v>
      </c>
      <c r="C11367" s="2">
        <f>IFERROR(__xludf.DUMMYFUNCTION("""COMPUTED_VALUE"""),262.06)</f>
        <v>262.06</v>
      </c>
      <c r="D11367" s="2">
        <f>IFERROR(__xludf.DUMMYFUNCTION("""COMPUTED_VALUE"""),251.84)</f>
        <v>251.84</v>
      </c>
      <c r="E11367" s="2">
        <f>IFERROR(__xludf.DUMMYFUNCTION("""COMPUTED_VALUE"""),260.73)</f>
        <v>260.73</v>
      </c>
      <c r="F11367" s="2">
        <f>IFERROR(__xludf.DUMMYFUNCTION("""COMPUTED_VALUE"""),8408523.0)</f>
        <v>8408523</v>
      </c>
    </row>
    <row r="11368">
      <c r="A11368" s="3">
        <f>IFERROR(__xludf.DUMMYFUNCTION("""COMPUTED_VALUE"""),45692.66666666667)</f>
        <v>45692.66667</v>
      </c>
      <c r="B11368" s="2">
        <f>IFERROR(__xludf.DUMMYFUNCTION("""COMPUTED_VALUE"""),260.0)</f>
        <v>260</v>
      </c>
      <c r="C11368" s="2">
        <f>IFERROR(__xludf.DUMMYFUNCTION("""COMPUTED_VALUE"""),265.25)</f>
        <v>265.25</v>
      </c>
      <c r="D11368" s="2">
        <f>IFERROR(__xludf.DUMMYFUNCTION("""COMPUTED_VALUE"""),258.12)</f>
        <v>258.12</v>
      </c>
      <c r="E11368" s="2">
        <f>IFERROR(__xludf.DUMMYFUNCTION("""COMPUTED_VALUE"""),264.46)</f>
        <v>264.46</v>
      </c>
      <c r="F11368" s="2">
        <f>IFERROR(__xludf.DUMMYFUNCTION("""COMPUTED_VALUE"""),6077652.0)</f>
        <v>6077652</v>
      </c>
    </row>
    <row r="11369">
      <c r="A11369" s="3">
        <f>IFERROR(__xludf.DUMMYFUNCTION("""COMPUTED_VALUE"""),45693.66666666667)</f>
        <v>45693.66667</v>
      </c>
      <c r="B11369" s="2">
        <f>IFERROR(__xludf.DUMMYFUNCTION("""COMPUTED_VALUE"""),265.71)</f>
        <v>265.71</v>
      </c>
      <c r="C11369" s="2">
        <f>IFERROR(__xludf.DUMMYFUNCTION("""COMPUTED_VALUE"""),265.72)</f>
        <v>265.72</v>
      </c>
      <c r="D11369" s="2">
        <f>IFERROR(__xludf.DUMMYFUNCTION("""COMPUTED_VALUE"""),261.18)</f>
        <v>261.18</v>
      </c>
      <c r="E11369" s="2">
        <f>IFERROR(__xludf.DUMMYFUNCTION("""COMPUTED_VALUE"""),263.3)</f>
        <v>263.3</v>
      </c>
      <c r="F11369" s="2">
        <f>IFERROR(__xludf.DUMMYFUNCTION("""COMPUTED_VALUE"""),6165096.0)</f>
        <v>6165096</v>
      </c>
    </row>
    <row r="11370">
      <c r="A11370" s="3">
        <f>IFERROR(__xludf.DUMMYFUNCTION("""COMPUTED_VALUE"""),45694.66666666667)</f>
        <v>45694.66667</v>
      </c>
      <c r="B11370" s="2">
        <f>IFERROR(__xludf.DUMMYFUNCTION("""COMPUTED_VALUE"""),262.98)</f>
        <v>262.98</v>
      </c>
      <c r="C11370" s="2">
        <f>IFERROR(__xludf.DUMMYFUNCTION("""COMPUTED_VALUE"""),263.38)</f>
        <v>263.38</v>
      </c>
      <c r="D11370" s="2">
        <f>IFERROR(__xludf.DUMMYFUNCTION("""COMPUTED_VALUE"""),252.73)</f>
        <v>252.73</v>
      </c>
      <c r="E11370" s="2">
        <f>IFERROR(__xludf.DUMMYFUNCTION("""COMPUTED_VALUE"""),253.44)</f>
        <v>253.44</v>
      </c>
      <c r="F11370" s="2">
        <f>IFERROR(__xludf.DUMMYFUNCTION("""COMPUTED_VALUE"""),6128293.0)</f>
        <v>6128293</v>
      </c>
    </row>
    <row r="11371">
      <c r="A11371" s="3">
        <f>IFERROR(__xludf.DUMMYFUNCTION("""COMPUTED_VALUE"""),45695.66666666667)</f>
        <v>45695.66667</v>
      </c>
      <c r="B11371" s="2">
        <f>IFERROR(__xludf.DUMMYFUNCTION("""COMPUTED_VALUE"""),255.28)</f>
        <v>255.28</v>
      </c>
      <c r="C11371" s="2">
        <f>IFERROR(__xludf.DUMMYFUNCTION("""COMPUTED_VALUE"""),256.93)</f>
        <v>256.93</v>
      </c>
      <c r="D11371" s="2">
        <f>IFERROR(__xludf.DUMMYFUNCTION("""COMPUTED_VALUE"""),252.02)</f>
        <v>252.02</v>
      </c>
      <c r="E11371" s="2">
        <f>IFERROR(__xludf.DUMMYFUNCTION("""COMPUTED_VALUE"""),252.34)</f>
        <v>252.34</v>
      </c>
      <c r="F11371" s="2">
        <f>IFERROR(__xludf.DUMMYFUNCTION("""COMPUTED_VALUE"""),3370284.0)</f>
        <v>3370284</v>
      </c>
    </row>
    <row r="11372">
      <c r="A11372" s="3">
        <f>IFERROR(__xludf.DUMMYFUNCTION("""COMPUTED_VALUE"""),45698.66666666667)</f>
        <v>45698.66667</v>
      </c>
      <c r="B11372" s="2">
        <f>IFERROR(__xludf.DUMMYFUNCTION("""COMPUTED_VALUE"""),250.86)</f>
        <v>250.86</v>
      </c>
      <c r="C11372" s="2">
        <f>IFERROR(__xludf.DUMMYFUNCTION("""COMPUTED_VALUE"""),251.95)</f>
        <v>251.95</v>
      </c>
      <c r="D11372" s="2">
        <f>IFERROR(__xludf.DUMMYFUNCTION("""COMPUTED_VALUE"""),246.87)</f>
        <v>246.87</v>
      </c>
      <c r="E11372" s="2">
        <f>IFERROR(__xludf.DUMMYFUNCTION("""COMPUTED_VALUE"""),249.27)</f>
        <v>249.27</v>
      </c>
      <c r="F11372" s="2">
        <f>IFERROR(__xludf.DUMMYFUNCTION("""COMPUTED_VALUE"""),3564400.0)</f>
        <v>3564400</v>
      </c>
    </row>
    <row r="11373">
      <c r="A11373" s="3">
        <f>IFERROR(__xludf.DUMMYFUNCTION("""COMPUTED_VALUE"""),45699.66666666667)</f>
        <v>45699.66667</v>
      </c>
      <c r="B11373" s="2">
        <f>IFERROR(__xludf.DUMMYFUNCTION("""COMPUTED_VALUE"""),251.1)</f>
        <v>251.1</v>
      </c>
      <c r="C11373" s="2">
        <f>IFERROR(__xludf.DUMMYFUNCTION("""COMPUTED_VALUE"""),256.75)</f>
        <v>256.75</v>
      </c>
      <c r="D11373" s="2">
        <f>IFERROR(__xludf.DUMMYFUNCTION("""COMPUTED_VALUE"""),250.58)</f>
        <v>250.58</v>
      </c>
      <c r="E11373" s="2">
        <f>IFERROR(__xludf.DUMMYFUNCTION("""COMPUTED_VALUE"""),254.7)</f>
        <v>254.7</v>
      </c>
      <c r="F11373" s="2">
        <f>IFERROR(__xludf.DUMMYFUNCTION("""COMPUTED_VALUE"""),4801550.0)</f>
        <v>4801550</v>
      </c>
    </row>
    <row r="11374">
      <c r="A11374" s="3">
        <f>IFERROR(__xludf.DUMMYFUNCTION("""COMPUTED_VALUE"""),45700.66666666667)</f>
        <v>45700.66667</v>
      </c>
      <c r="B11374" s="2">
        <f>IFERROR(__xludf.DUMMYFUNCTION("""COMPUTED_VALUE"""),252.72)</f>
        <v>252.72</v>
      </c>
      <c r="C11374" s="2">
        <f>IFERROR(__xludf.DUMMYFUNCTION("""COMPUTED_VALUE"""),256.4)</f>
        <v>256.4</v>
      </c>
      <c r="D11374" s="2">
        <f>IFERROR(__xludf.DUMMYFUNCTION("""COMPUTED_VALUE"""),252.02)</f>
        <v>252.02</v>
      </c>
      <c r="E11374" s="2">
        <f>IFERROR(__xludf.DUMMYFUNCTION("""COMPUTED_VALUE"""),255.81)</f>
        <v>255.81</v>
      </c>
      <c r="F11374" s="2">
        <f>IFERROR(__xludf.DUMMYFUNCTION("""COMPUTED_VALUE"""),3075308.0)</f>
        <v>3075308</v>
      </c>
    </row>
    <row r="11375">
      <c r="A11375" s="3">
        <f>IFERROR(__xludf.DUMMYFUNCTION("""COMPUTED_VALUE"""),45701.66666666667)</f>
        <v>45701.66667</v>
      </c>
      <c r="B11375" s="2">
        <f>IFERROR(__xludf.DUMMYFUNCTION("""COMPUTED_VALUE"""),255.66)</f>
        <v>255.66</v>
      </c>
      <c r="C11375" s="2">
        <f>IFERROR(__xludf.DUMMYFUNCTION("""COMPUTED_VALUE"""),259.28)</f>
        <v>259.28</v>
      </c>
      <c r="D11375" s="2">
        <f>IFERROR(__xludf.DUMMYFUNCTION("""COMPUTED_VALUE"""),254.41)</f>
        <v>254.41</v>
      </c>
      <c r="E11375" s="2">
        <f>IFERROR(__xludf.DUMMYFUNCTION("""COMPUTED_VALUE"""),259.19)</f>
        <v>259.19</v>
      </c>
      <c r="F11375" s="2">
        <f>IFERROR(__xludf.DUMMYFUNCTION("""COMPUTED_VALUE"""),4531538.0)</f>
        <v>4531538</v>
      </c>
    </row>
    <row r="11376">
      <c r="A11376" s="3">
        <f>IFERROR(__xludf.DUMMYFUNCTION("""COMPUTED_VALUE"""),45702.66666666667)</f>
        <v>45702.66667</v>
      </c>
      <c r="B11376" s="2">
        <f>IFERROR(__xludf.DUMMYFUNCTION("""COMPUTED_VALUE"""),259.0)</f>
        <v>259</v>
      </c>
      <c r="C11376" s="2">
        <f>IFERROR(__xludf.DUMMYFUNCTION("""COMPUTED_VALUE"""),261.94)</f>
        <v>261.94</v>
      </c>
      <c r="D11376" s="2">
        <f>IFERROR(__xludf.DUMMYFUNCTION("""COMPUTED_VALUE"""),257.91)</f>
        <v>257.91</v>
      </c>
      <c r="E11376" s="2">
        <f>IFERROR(__xludf.DUMMYFUNCTION("""COMPUTED_VALUE"""),261.28)</f>
        <v>261.28</v>
      </c>
      <c r="F11376" s="2">
        <f>IFERROR(__xludf.DUMMYFUNCTION("""COMPUTED_VALUE"""),3925277.0)</f>
        <v>3925277</v>
      </c>
    </row>
    <row r="11377">
      <c r="A11377" s="3">
        <f>IFERROR(__xludf.DUMMYFUNCTION("""COMPUTED_VALUE"""),45706.66666666667)</f>
        <v>45706.66667</v>
      </c>
      <c r="B11377" s="2">
        <f>IFERROR(__xludf.DUMMYFUNCTION("""COMPUTED_VALUE"""),261.93)</f>
        <v>261.93</v>
      </c>
      <c r="C11377" s="2">
        <f>IFERROR(__xludf.DUMMYFUNCTION("""COMPUTED_VALUE"""),263.96)</f>
        <v>263.96</v>
      </c>
      <c r="D11377" s="2">
        <f>IFERROR(__xludf.DUMMYFUNCTION("""COMPUTED_VALUE"""),259.83)</f>
        <v>259.83</v>
      </c>
      <c r="E11377" s="2">
        <f>IFERROR(__xludf.DUMMYFUNCTION("""COMPUTED_VALUE"""),263.07)</f>
        <v>263.07</v>
      </c>
      <c r="F11377" s="2">
        <f>IFERROR(__xludf.DUMMYFUNCTION("""COMPUTED_VALUE"""),4262812.0)</f>
        <v>4262812</v>
      </c>
    </row>
    <row r="11378">
      <c r="A11378" s="3">
        <f>IFERROR(__xludf.DUMMYFUNCTION("""COMPUTED_VALUE"""),45707.66666666667)</f>
        <v>45707.66667</v>
      </c>
      <c r="B11378" s="2">
        <f>IFERROR(__xludf.DUMMYFUNCTION("""COMPUTED_VALUE"""),262.0)</f>
        <v>262</v>
      </c>
      <c r="C11378" s="2">
        <f>IFERROR(__xludf.DUMMYFUNCTION("""COMPUTED_VALUE"""),264.36)</f>
        <v>264.36</v>
      </c>
      <c r="D11378" s="2">
        <f>IFERROR(__xludf.DUMMYFUNCTION("""COMPUTED_VALUE"""),260.09)</f>
        <v>260.09</v>
      </c>
      <c r="E11378" s="2">
        <f>IFERROR(__xludf.DUMMYFUNCTION("""COMPUTED_VALUE"""),264.32)</f>
        <v>264.32</v>
      </c>
      <c r="F11378" s="2">
        <f>IFERROR(__xludf.DUMMYFUNCTION("""COMPUTED_VALUE"""),3718678.0)</f>
        <v>3718678</v>
      </c>
    </row>
    <row r="11379">
      <c r="A11379" s="3">
        <f>IFERROR(__xludf.DUMMYFUNCTION("""COMPUTED_VALUE"""),45708.66666666667)</f>
        <v>45708.66667</v>
      </c>
      <c r="B11379" s="2">
        <f>IFERROR(__xludf.DUMMYFUNCTION("""COMPUTED_VALUE"""),263.65)</f>
        <v>263.65</v>
      </c>
      <c r="C11379" s="2">
        <f>IFERROR(__xludf.DUMMYFUNCTION("""COMPUTED_VALUE"""),265.09)</f>
        <v>265.09</v>
      </c>
      <c r="D11379" s="2">
        <f>IFERROR(__xludf.DUMMYFUNCTION("""COMPUTED_VALUE"""),262.15)</f>
        <v>262.15</v>
      </c>
      <c r="E11379" s="2">
        <f>IFERROR(__xludf.DUMMYFUNCTION("""COMPUTED_VALUE"""),264.74)</f>
        <v>264.74</v>
      </c>
      <c r="F11379" s="2">
        <f>IFERROR(__xludf.DUMMYFUNCTION("""COMPUTED_VALUE"""),4884805.0)</f>
        <v>4884805</v>
      </c>
    </row>
    <row r="11380">
      <c r="A11380" s="3">
        <f>IFERROR(__xludf.DUMMYFUNCTION("""COMPUTED_VALUE"""),45709.66666666667)</f>
        <v>45709.66667</v>
      </c>
      <c r="B11380" s="2">
        <f>IFERROR(__xludf.DUMMYFUNCTION("""COMPUTED_VALUE"""),263.85)</f>
        <v>263.85</v>
      </c>
      <c r="C11380" s="2">
        <f>IFERROR(__xludf.DUMMYFUNCTION("""COMPUTED_VALUE"""),264.83)</f>
        <v>264.83</v>
      </c>
      <c r="D11380" s="2">
        <f>IFERROR(__xludf.DUMMYFUNCTION("""COMPUTED_VALUE"""),261.1)</f>
        <v>261.1</v>
      </c>
      <c r="E11380" s="2">
        <f>IFERROR(__xludf.DUMMYFUNCTION("""COMPUTED_VALUE"""),261.48)</f>
        <v>261.48</v>
      </c>
      <c r="F11380" s="2">
        <f>IFERROR(__xludf.DUMMYFUNCTION("""COMPUTED_VALUE"""),5667874.0)</f>
        <v>5667874</v>
      </c>
    </row>
    <row r="11381">
      <c r="A11381" s="3">
        <f>IFERROR(__xludf.DUMMYFUNCTION("""COMPUTED_VALUE"""),45712.66666666667)</f>
        <v>45712.66667</v>
      </c>
      <c r="B11381" s="2">
        <f>IFERROR(__xludf.DUMMYFUNCTION("""COMPUTED_VALUE"""),261.5)</f>
        <v>261.5</v>
      </c>
      <c r="C11381" s="2">
        <f>IFERROR(__xludf.DUMMYFUNCTION("""COMPUTED_VALUE"""),263.85)</f>
        <v>263.85</v>
      </c>
      <c r="D11381" s="2">
        <f>IFERROR(__xludf.DUMMYFUNCTION("""COMPUTED_VALUE"""),259.58)</f>
        <v>259.58</v>
      </c>
      <c r="E11381" s="2">
        <f>IFERROR(__xludf.DUMMYFUNCTION("""COMPUTED_VALUE"""),261.87)</f>
        <v>261.87</v>
      </c>
      <c r="F11381" s="2">
        <f>IFERROR(__xludf.DUMMYFUNCTION("""COMPUTED_VALUE"""),4398107.0)</f>
        <v>4398107</v>
      </c>
    </row>
    <row r="11382">
      <c r="A11382" s="3">
        <f>IFERROR(__xludf.DUMMYFUNCTION("""COMPUTED_VALUE"""),45713.66666666667)</f>
        <v>45713.66667</v>
      </c>
      <c r="B11382" s="2">
        <f>IFERROR(__xludf.DUMMYFUNCTION("""COMPUTED_VALUE"""),261.08)</f>
        <v>261.08</v>
      </c>
      <c r="C11382" s="2">
        <f>IFERROR(__xludf.DUMMYFUNCTION("""COMPUTED_VALUE"""),263.48)</f>
        <v>263.48</v>
      </c>
      <c r="D11382" s="2">
        <f>IFERROR(__xludf.DUMMYFUNCTION("""COMPUTED_VALUE"""),256.77)</f>
        <v>256.77</v>
      </c>
      <c r="E11382" s="2">
        <f>IFERROR(__xludf.DUMMYFUNCTION("""COMPUTED_VALUE"""),257.75)</f>
        <v>257.75</v>
      </c>
      <c r="F11382" s="2">
        <f>IFERROR(__xludf.DUMMYFUNCTION("""COMPUTED_VALUE"""),6292487.0)</f>
        <v>6292487</v>
      </c>
    </row>
    <row r="11383">
      <c r="A11383" s="3">
        <f>IFERROR(__xludf.DUMMYFUNCTION("""COMPUTED_VALUE"""),45714.66666666667)</f>
        <v>45714.66667</v>
      </c>
      <c r="B11383" s="2">
        <f>IFERROR(__xludf.DUMMYFUNCTION("""COMPUTED_VALUE"""),258.1)</f>
        <v>258.1</v>
      </c>
      <c r="C11383" s="2">
        <f>IFERROR(__xludf.DUMMYFUNCTION("""COMPUTED_VALUE"""),258.33)</f>
        <v>258.33</v>
      </c>
      <c r="D11383" s="2">
        <f>IFERROR(__xludf.DUMMYFUNCTION("""COMPUTED_VALUE"""),254.41)</f>
        <v>254.41</v>
      </c>
      <c r="E11383" s="2">
        <f>IFERROR(__xludf.DUMMYFUNCTION("""COMPUTED_VALUE"""),255.84)</f>
        <v>255.84</v>
      </c>
      <c r="F11383" s="2">
        <f>IFERROR(__xludf.DUMMYFUNCTION("""COMPUTED_VALUE"""),3460124.0)</f>
        <v>3460124</v>
      </c>
    </row>
    <row r="11384">
      <c r="A11384" s="3">
        <f>IFERROR(__xludf.DUMMYFUNCTION("""COMPUTED_VALUE"""),45715.66666666667)</f>
        <v>45715.66667</v>
      </c>
      <c r="B11384" s="2">
        <f>IFERROR(__xludf.DUMMYFUNCTION("""COMPUTED_VALUE"""),255.22)</f>
        <v>255.22</v>
      </c>
      <c r="C11384" s="2">
        <f>IFERROR(__xludf.DUMMYFUNCTION("""COMPUTED_VALUE"""),257.63)</f>
        <v>257.63</v>
      </c>
      <c r="D11384" s="2">
        <f>IFERROR(__xludf.DUMMYFUNCTION("""COMPUTED_VALUE"""),253.05)</f>
        <v>253.05</v>
      </c>
      <c r="E11384" s="2">
        <f>IFERROR(__xludf.DUMMYFUNCTION("""COMPUTED_VALUE"""),253.23)</f>
        <v>253.23</v>
      </c>
      <c r="F11384" s="2">
        <f>IFERROR(__xludf.DUMMYFUNCTION("""COMPUTED_VALUE"""),3402234.0)</f>
        <v>3402234</v>
      </c>
    </row>
    <row r="11385">
      <c r="A11385" s="3">
        <f>IFERROR(__xludf.DUMMYFUNCTION("""COMPUTED_VALUE"""),45716.66666666667)</f>
        <v>45716.66667</v>
      </c>
      <c r="B11385" s="2">
        <f>IFERROR(__xludf.DUMMYFUNCTION("""COMPUTED_VALUE"""),250.86)</f>
        <v>250.86</v>
      </c>
      <c r="C11385" s="2">
        <f>IFERROR(__xludf.DUMMYFUNCTION("""COMPUTED_VALUE"""),252.81)</f>
        <v>252.81</v>
      </c>
      <c r="D11385" s="2">
        <f>IFERROR(__xludf.DUMMYFUNCTION("""COMPUTED_VALUE"""),246.54)</f>
        <v>246.54</v>
      </c>
      <c r="E11385" s="2">
        <f>IFERROR(__xludf.DUMMYFUNCTION("""COMPUTED_VALUE"""),252.44)</f>
        <v>252.44</v>
      </c>
      <c r="F11385" s="2">
        <f>IFERROR(__xludf.DUMMYFUNCTION("""COMPUTED_VALUE"""),7988809.0)</f>
        <v>7988809</v>
      </c>
    </row>
    <row r="11386">
      <c r="A11386" s="3">
        <f>IFERROR(__xludf.DUMMYFUNCTION("""COMPUTED_VALUE"""),45719.66666666667)</f>
        <v>45719.66667</v>
      </c>
      <c r="B11386" s="2">
        <f>IFERROR(__xludf.DUMMYFUNCTION("""COMPUTED_VALUE"""),254.74)</f>
        <v>254.74</v>
      </c>
      <c r="C11386" s="2">
        <f>IFERROR(__xludf.DUMMYFUNCTION("""COMPUTED_VALUE"""),255.99)</f>
        <v>255.99</v>
      </c>
      <c r="D11386" s="2">
        <f>IFERROR(__xludf.DUMMYFUNCTION("""COMPUTED_VALUE"""),248.25)</f>
        <v>248.25</v>
      </c>
      <c r="E11386" s="2">
        <f>IFERROR(__xludf.DUMMYFUNCTION("""COMPUTED_VALUE"""),250.19)</f>
        <v>250.19</v>
      </c>
      <c r="F11386" s="2">
        <f>IFERROR(__xludf.DUMMYFUNCTION("""COMPUTED_VALUE"""),2977699.0)</f>
        <v>2977699</v>
      </c>
    </row>
    <row r="11387">
      <c r="A11387" s="3">
        <f>IFERROR(__xludf.DUMMYFUNCTION("""COMPUTED_VALUE"""),45720.66666666667)</f>
        <v>45720.66667</v>
      </c>
      <c r="B11387" s="2">
        <f>IFERROR(__xludf.DUMMYFUNCTION("""COMPUTED_VALUE"""),248.75)</f>
        <v>248.75</v>
      </c>
      <c r="C11387" s="2">
        <f>IFERROR(__xludf.DUMMYFUNCTION("""COMPUTED_VALUE"""),255.48)</f>
        <v>255.48</v>
      </c>
      <c r="D11387" s="2">
        <f>IFERROR(__xludf.DUMMYFUNCTION("""COMPUTED_VALUE"""),248.1)</f>
        <v>248.1</v>
      </c>
      <c r="E11387" s="2">
        <f>IFERROR(__xludf.DUMMYFUNCTION("""COMPUTED_VALUE"""),253.21)</f>
        <v>253.21</v>
      </c>
      <c r="F11387" s="2">
        <f>IFERROR(__xludf.DUMMYFUNCTION("""COMPUTED_VALUE"""),5342106.0)</f>
        <v>5342106</v>
      </c>
    </row>
    <row r="11388">
      <c r="A11388" s="3">
        <f>IFERROR(__xludf.DUMMYFUNCTION("""COMPUTED_VALUE"""),45721.66666666667)</f>
        <v>45721.66667</v>
      </c>
      <c r="B11388" s="2">
        <f>IFERROR(__xludf.DUMMYFUNCTION("""COMPUTED_VALUE"""),251.58)</f>
        <v>251.58</v>
      </c>
      <c r="C11388" s="2">
        <f>IFERROR(__xludf.DUMMYFUNCTION("""COMPUTED_VALUE"""),252.74)</f>
        <v>252.74</v>
      </c>
      <c r="D11388" s="2">
        <f>IFERROR(__xludf.DUMMYFUNCTION("""COMPUTED_VALUE"""),247.01)</f>
        <v>247.01</v>
      </c>
      <c r="E11388" s="2">
        <f>IFERROR(__xludf.DUMMYFUNCTION("""COMPUTED_VALUE"""),251.35)</f>
        <v>251.35</v>
      </c>
      <c r="F11388" s="2">
        <f>IFERROR(__xludf.DUMMYFUNCTION("""COMPUTED_VALUE"""),4009813.0)</f>
        <v>4009813</v>
      </c>
    </row>
    <row r="11389">
      <c r="A11389" s="3">
        <f>IFERROR(__xludf.DUMMYFUNCTION("""COMPUTED_VALUE"""),45722.66666666667)</f>
        <v>45722.66667</v>
      </c>
      <c r="B11389" s="2">
        <f>IFERROR(__xludf.DUMMYFUNCTION("""COMPUTED_VALUE"""),249.75)</f>
        <v>249.75</v>
      </c>
      <c r="C11389" s="2">
        <f>IFERROR(__xludf.DUMMYFUNCTION("""COMPUTED_VALUE"""),252.1)</f>
        <v>252.1</v>
      </c>
      <c r="D11389" s="2">
        <f>IFERROR(__xludf.DUMMYFUNCTION("""COMPUTED_VALUE"""),246.8)</f>
        <v>246.8</v>
      </c>
      <c r="E11389" s="2">
        <f>IFERROR(__xludf.DUMMYFUNCTION("""COMPUTED_VALUE"""),248.69)</f>
        <v>248.69</v>
      </c>
      <c r="F11389" s="2">
        <f>IFERROR(__xludf.DUMMYFUNCTION("""COMPUTED_VALUE"""),3254358.0)</f>
        <v>3254358</v>
      </c>
    </row>
    <row r="11390">
      <c r="A11390" s="3">
        <f>IFERROR(__xludf.DUMMYFUNCTION("""COMPUTED_VALUE"""),45723.66666666667)</f>
        <v>45723.66667</v>
      </c>
      <c r="B11390" s="2">
        <f>IFERROR(__xludf.DUMMYFUNCTION("""COMPUTED_VALUE"""),245.95)</f>
        <v>245.95</v>
      </c>
      <c r="C11390" s="2">
        <f>IFERROR(__xludf.DUMMYFUNCTION("""COMPUTED_VALUE"""),261.96)</f>
        <v>261.96</v>
      </c>
      <c r="D11390" s="2">
        <f>IFERROR(__xludf.DUMMYFUNCTION("""COMPUTED_VALUE"""),245.18)</f>
        <v>245.18</v>
      </c>
      <c r="E11390" s="2">
        <f>IFERROR(__xludf.DUMMYFUNCTION("""COMPUTED_VALUE"""),261.54)</f>
        <v>261.54</v>
      </c>
      <c r="F11390" s="2">
        <f>IFERROR(__xludf.DUMMYFUNCTION("""COMPUTED_VALUE"""),6700184.0)</f>
        <v>6700184</v>
      </c>
    </row>
    <row r="11391">
      <c r="A11391" s="3">
        <f>IFERROR(__xludf.DUMMYFUNCTION("""COMPUTED_VALUE"""),45726.66666666667)</f>
        <v>45726.66667</v>
      </c>
      <c r="B11391" s="2">
        <f>IFERROR(__xludf.DUMMYFUNCTION("""COMPUTED_VALUE"""),261.14)</f>
        <v>261.14</v>
      </c>
      <c r="C11391" s="2">
        <f>IFERROR(__xludf.DUMMYFUNCTION("""COMPUTED_VALUE"""),266.45)</f>
        <v>266.45</v>
      </c>
      <c r="D11391" s="2">
        <f>IFERROR(__xludf.DUMMYFUNCTION("""COMPUTED_VALUE"""),254.75)</f>
        <v>254.75</v>
      </c>
      <c r="E11391" s="2">
        <f>IFERROR(__xludf.DUMMYFUNCTION("""COMPUTED_VALUE"""),256.9)</f>
        <v>256.9</v>
      </c>
      <c r="F11391" s="2">
        <f>IFERROR(__xludf.DUMMYFUNCTION("""COMPUTED_VALUE"""),8165503.0)</f>
        <v>8165503</v>
      </c>
    </row>
    <row r="11392">
      <c r="A11392" s="3">
        <f>IFERROR(__xludf.DUMMYFUNCTION("""COMPUTED_VALUE"""),45727.66666666667)</f>
        <v>45727.66667</v>
      </c>
      <c r="B11392" s="2">
        <f>IFERROR(__xludf.DUMMYFUNCTION("""COMPUTED_VALUE"""),255.99)</f>
        <v>255.99</v>
      </c>
      <c r="C11392" s="2">
        <f>IFERROR(__xludf.DUMMYFUNCTION("""COMPUTED_VALUE"""),256.7)</f>
        <v>256.7</v>
      </c>
      <c r="D11392" s="2">
        <f>IFERROR(__xludf.DUMMYFUNCTION("""COMPUTED_VALUE"""),245.86)</f>
        <v>245.86</v>
      </c>
      <c r="E11392" s="2">
        <f>IFERROR(__xludf.DUMMYFUNCTION("""COMPUTED_VALUE"""),248.95)</f>
        <v>248.95</v>
      </c>
      <c r="F11392" s="2">
        <f>IFERROR(__xludf.DUMMYFUNCTION("""COMPUTED_VALUE"""),5630570.0)</f>
        <v>5630570</v>
      </c>
    </row>
    <row r="11393">
      <c r="A11393" s="3">
        <f>IFERROR(__xludf.DUMMYFUNCTION("""COMPUTED_VALUE"""),45728.66666666667)</f>
        <v>45728.66667</v>
      </c>
      <c r="B11393" s="2">
        <f>IFERROR(__xludf.DUMMYFUNCTION("""COMPUTED_VALUE"""),250.35)</f>
        <v>250.35</v>
      </c>
      <c r="C11393" s="2">
        <f>IFERROR(__xludf.DUMMYFUNCTION("""COMPUTED_VALUE"""),253.13)</f>
        <v>253.13</v>
      </c>
      <c r="D11393" s="2">
        <f>IFERROR(__xludf.DUMMYFUNCTION("""COMPUTED_VALUE"""),245.53)</f>
        <v>245.53</v>
      </c>
      <c r="E11393" s="2">
        <f>IFERROR(__xludf.DUMMYFUNCTION("""COMPUTED_VALUE"""),249.63)</f>
        <v>249.63</v>
      </c>
      <c r="F11393" s="2">
        <f>IFERROR(__xludf.DUMMYFUNCTION("""COMPUTED_VALUE"""),3849206.0)</f>
        <v>3849206</v>
      </c>
    </row>
    <row r="11394">
      <c r="A11394" s="3">
        <f>IFERROR(__xludf.DUMMYFUNCTION("""COMPUTED_VALUE"""),45729.66666666667)</f>
        <v>45729.66667</v>
      </c>
      <c r="B11394" s="2">
        <f>IFERROR(__xludf.DUMMYFUNCTION("""COMPUTED_VALUE"""),248.8)</f>
        <v>248.8</v>
      </c>
      <c r="C11394" s="2">
        <f>IFERROR(__xludf.DUMMYFUNCTION("""COMPUTED_VALUE"""),249.27)</f>
        <v>249.27</v>
      </c>
      <c r="D11394" s="2">
        <f>IFERROR(__xludf.DUMMYFUNCTION("""COMPUTED_VALUE"""),243.04)</f>
        <v>243.04</v>
      </c>
      <c r="E11394" s="2">
        <f>IFERROR(__xludf.DUMMYFUNCTION("""COMPUTED_VALUE"""),245.8)</f>
        <v>245.8</v>
      </c>
      <c r="F11394" s="2">
        <f>IFERROR(__xludf.DUMMYFUNCTION("""COMPUTED_VALUE"""),3862416.0)</f>
        <v>3862416</v>
      </c>
    </row>
    <row r="11395">
      <c r="A11395" s="3">
        <f>IFERROR(__xludf.DUMMYFUNCTION("""COMPUTED_VALUE"""),45730.66666666667)</f>
        <v>45730.66667</v>
      </c>
      <c r="B11395" s="2">
        <f>IFERROR(__xludf.DUMMYFUNCTION("""COMPUTED_VALUE"""),242.75)</f>
        <v>242.75</v>
      </c>
      <c r="C11395" s="2">
        <f>IFERROR(__xludf.DUMMYFUNCTION("""COMPUTED_VALUE"""),248.95)</f>
        <v>248.95</v>
      </c>
      <c r="D11395" s="2">
        <f>IFERROR(__xludf.DUMMYFUNCTION("""COMPUTED_VALUE"""),241.68)</f>
        <v>241.68</v>
      </c>
      <c r="E11395" s="2">
        <f>IFERROR(__xludf.DUMMYFUNCTION("""COMPUTED_VALUE"""),248.35)</f>
        <v>248.35</v>
      </c>
      <c r="F11395" s="2">
        <f>IFERROR(__xludf.DUMMYFUNCTION("""COMPUTED_VALUE"""),4045284.0)</f>
        <v>4045284</v>
      </c>
    </row>
    <row r="11396">
      <c r="A11396" s="3">
        <f>IFERROR(__xludf.DUMMYFUNCTION("""COMPUTED_VALUE"""),45733.66666666667)</f>
        <v>45733.66667</v>
      </c>
      <c r="B11396" s="2">
        <f>IFERROR(__xludf.DUMMYFUNCTION("""COMPUTED_VALUE"""),249.25)</f>
        <v>249.25</v>
      </c>
      <c r="C11396" s="2">
        <f>IFERROR(__xludf.DUMMYFUNCTION("""COMPUTED_VALUE"""),254.63)</f>
        <v>254.63</v>
      </c>
      <c r="D11396" s="2">
        <f>IFERROR(__xludf.DUMMYFUNCTION("""COMPUTED_VALUE"""),249.0)</f>
        <v>249</v>
      </c>
      <c r="E11396" s="2">
        <f>IFERROR(__xludf.DUMMYFUNCTION("""COMPUTED_VALUE"""),252.97)</f>
        <v>252.97</v>
      </c>
      <c r="F11396" s="2">
        <f>IFERROR(__xludf.DUMMYFUNCTION("""COMPUTED_VALUE"""),3234149.0)</f>
        <v>3234149</v>
      </c>
    </row>
    <row r="11397">
      <c r="A11397" s="3">
        <f>IFERROR(__xludf.DUMMYFUNCTION("""COMPUTED_VALUE"""),45734.66666666667)</f>
        <v>45734.66667</v>
      </c>
      <c r="B11397" s="2">
        <f>IFERROR(__xludf.DUMMYFUNCTION("""COMPUTED_VALUE"""),252.51)</f>
        <v>252.51</v>
      </c>
      <c r="C11397" s="2">
        <f>IFERROR(__xludf.DUMMYFUNCTION("""COMPUTED_VALUE"""),252.57)</f>
        <v>252.57</v>
      </c>
      <c r="D11397" s="2">
        <f>IFERROR(__xludf.DUMMYFUNCTION("""COMPUTED_VALUE"""),245.12)</f>
        <v>245.12</v>
      </c>
      <c r="E11397" s="2">
        <f>IFERROR(__xludf.DUMMYFUNCTION("""COMPUTED_VALUE"""),246.95)</f>
        <v>246.95</v>
      </c>
      <c r="F11397" s="2">
        <f>IFERROR(__xludf.DUMMYFUNCTION("""COMPUTED_VALUE"""),4172239.0)</f>
        <v>4172239</v>
      </c>
    </row>
    <row r="11398">
      <c r="A11398" s="3">
        <f>IFERROR(__xludf.DUMMYFUNCTION("""COMPUTED_VALUE"""),45735.66666666667)</f>
        <v>45735.66667</v>
      </c>
      <c r="B11398" s="2">
        <f>IFERROR(__xludf.DUMMYFUNCTION("""COMPUTED_VALUE"""),248.33)</f>
        <v>248.33</v>
      </c>
      <c r="C11398" s="2">
        <f>IFERROR(__xludf.DUMMYFUNCTION("""COMPUTED_VALUE"""),253.66)</f>
        <v>253.66</v>
      </c>
      <c r="D11398" s="2">
        <f>IFERROR(__xludf.DUMMYFUNCTION("""COMPUTED_VALUE"""),246.64)</f>
        <v>246.64</v>
      </c>
      <c r="E11398" s="2">
        <f>IFERROR(__xludf.DUMMYFUNCTION("""COMPUTED_VALUE"""),252.29)</f>
        <v>252.29</v>
      </c>
      <c r="F11398" s="2">
        <f>IFERROR(__xludf.DUMMYFUNCTION("""COMPUTED_VALUE"""),3853598.0)</f>
        <v>3853598</v>
      </c>
    </row>
    <row r="11399">
      <c r="A11399" s="3">
        <f>IFERROR(__xludf.DUMMYFUNCTION("""COMPUTED_VALUE"""),45736.66666666667)</f>
        <v>45736.66667</v>
      </c>
      <c r="B11399" s="2">
        <f>IFERROR(__xludf.DUMMYFUNCTION("""COMPUTED_VALUE"""),244.24)</f>
        <v>244.24</v>
      </c>
      <c r="C11399" s="2">
        <f>IFERROR(__xludf.DUMMYFUNCTION("""COMPUTED_VALUE"""),246.8)</f>
        <v>246.8</v>
      </c>
      <c r="D11399" s="2">
        <f>IFERROR(__xludf.DUMMYFUNCTION("""COMPUTED_VALUE"""),237.22)</f>
        <v>237.22</v>
      </c>
      <c r="E11399" s="2">
        <f>IFERROR(__xludf.DUMMYFUNCTION("""COMPUTED_VALUE"""),243.32)</f>
        <v>243.32</v>
      </c>
      <c r="F11399" s="2">
        <f>IFERROR(__xludf.DUMMYFUNCTION("""COMPUTED_VALUE"""),7026796.0)</f>
        <v>7026796</v>
      </c>
    </row>
    <row r="11400">
      <c r="A11400" s="3">
        <f>IFERROR(__xludf.DUMMYFUNCTION("""COMPUTED_VALUE"""),45737.66666666667)</f>
        <v>45737.66667</v>
      </c>
      <c r="B11400" s="2">
        <f>IFERROR(__xludf.DUMMYFUNCTION("""COMPUTED_VALUE"""),241.69)</f>
        <v>241.69</v>
      </c>
      <c r="C11400" s="2">
        <f>IFERROR(__xludf.DUMMYFUNCTION("""COMPUTED_VALUE"""),245.21)</f>
        <v>245.21</v>
      </c>
      <c r="D11400" s="2">
        <f>IFERROR(__xludf.DUMMYFUNCTION("""COMPUTED_VALUE"""),238.5)</f>
        <v>238.5</v>
      </c>
      <c r="E11400" s="2">
        <f>IFERROR(__xludf.DUMMYFUNCTION("""COMPUTED_VALUE"""),243.87)</f>
        <v>243.87</v>
      </c>
      <c r="F11400" s="2">
        <f>IFERROR(__xludf.DUMMYFUNCTION("""COMPUTED_VALUE"""),9580084.0)</f>
        <v>9580084</v>
      </c>
    </row>
    <row r="11401">
      <c r="A11401" s="3">
        <f>IFERROR(__xludf.DUMMYFUNCTION("""COMPUTED_VALUE"""),45740.66666666667)</f>
        <v>45740.66667</v>
      </c>
      <c r="B11401" s="2">
        <f>IFERROR(__xludf.DUMMYFUNCTION("""COMPUTED_VALUE"""),247.31)</f>
        <v>247.31</v>
      </c>
      <c r="C11401" s="2">
        <f>IFERROR(__xludf.DUMMYFUNCTION("""COMPUTED_VALUE"""),248.82)</f>
        <v>248.82</v>
      </c>
      <c r="D11401" s="2">
        <f>IFERROR(__xludf.DUMMYFUNCTION("""COMPUTED_VALUE"""),245.97)</f>
        <v>245.97</v>
      </c>
      <c r="E11401" s="2">
        <f>IFERROR(__xludf.DUMMYFUNCTION("""COMPUTED_VALUE"""),248.45)</f>
        <v>248.45</v>
      </c>
      <c r="F11401" s="2">
        <f>IFERROR(__xludf.DUMMYFUNCTION("""COMPUTED_VALUE"""),4753331.0)</f>
        <v>4753331</v>
      </c>
    </row>
    <row r="11402">
      <c r="A11402" s="3">
        <f>IFERROR(__xludf.DUMMYFUNCTION("""COMPUTED_VALUE"""),45741.66666666667)</f>
        <v>45741.66667</v>
      </c>
      <c r="B11402" s="2">
        <f>IFERROR(__xludf.DUMMYFUNCTION("""COMPUTED_VALUE"""),248.36)</f>
        <v>248.36</v>
      </c>
      <c r="C11402" s="2">
        <f>IFERROR(__xludf.DUMMYFUNCTION("""COMPUTED_VALUE"""),250.9)</f>
        <v>250.9</v>
      </c>
      <c r="D11402" s="2">
        <f>IFERROR(__xludf.DUMMYFUNCTION("""COMPUTED_VALUE"""),248.2)</f>
        <v>248.2</v>
      </c>
      <c r="E11402" s="2">
        <f>IFERROR(__xludf.DUMMYFUNCTION("""COMPUTED_VALUE"""),249.9)</f>
        <v>249.9</v>
      </c>
      <c r="F11402" s="2">
        <f>IFERROR(__xludf.DUMMYFUNCTION("""COMPUTED_VALUE"""),3133809.0)</f>
        <v>3133809</v>
      </c>
    </row>
    <row r="11403">
      <c r="A11403" s="3">
        <f>IFERROR(__xludf.DUMMYFUNCTION("""COMPUTED_VALUE"""),45742.66666666667)</f>
        <v>45742.66667</v>
      </c>
      <c r="B11403" s="2">
        <f>IFERROR(__xludf.DUMMYFUNCTION("""COMPUTED_VALUE"""),251.25)</f>
        <v>251.25</v>
      </c>
      <c r="C11403" s="2">
        <f>IFERROR(__xludf.DUMMYFUNCTION("""COMPUTED_VALUE"""),254.32)</f>
        <v>254.32</v>
      </c>
      <c r="D11403" s="2">
        <f>IFERROR(__xludf.DUMMYFUNCTION("""COMPUTED_VALUE"""),249.53)</f>
        <v>249.53</v>
      </c>
      <c r="E11403" s="2">
        <f>IFERROR(__xludf.DUMMYFUNCTION("""COMPUTED_VALUE"""),250.34)</f>
        <v>250.34</v>
      </c>
      <c r="F11403" s="2">
        <f>IFERROR(__xludf.DUMMYFUNCTION("""COMPUTED_VALUE"""),4452220.0)</f>
        <v>4452220</v>
      </c>
    </row>
    <row r="11404">
      <c r="A11404" s="3">
        <f>IFERROR(__xludf.DUMMYFUNCTION("""COMPUTED_VALUE"""),45743.66666666667)</f>
        <v>45743.66667</v>
      </c>
      <c r="B11404" s="2">
        <f>IFERROR(__xludf.DUMMYFUNCTION("""COMPUTED_VALUE"""),249.71)</f>
        <v>249.71</v>
      </c>
      <c r="C11404" s="2">
        <f>IFERROR(__xludf.DUMMYFUNCTION("""COMPUTED_VALUE"""),250.3)</f>
        <v>250.3</v>
      </c>
      <c r="D11404" s="2">
        <f>IFERROR(__xludf.DUMMYFUNCTION("""COMPUTED_VALUE"""),245.73)</f>
        <v>245.73</v>
      </c>
      <c r="E11404" s="2">
        <f>IFERROR(__xludf.DUMMYFUNCTION("""COMPUTED_VALUE"""),246.21)</f>
        <v>246.21</v>
      </c>
      <c r="F11404" s="2">
        <f>IFERROR(__xludf.DUMMYFUNCTION("""COMPUTED_VALUE"""),2889328.0)</f>
        <v>2889328</v>
      </c>
    </row>
    <row r="11405">
      <c r="A11405" s="3">
        <f>IFERROR(__xludf.DUMMYFUNCTION("""COMPUTED_VALUE"""),45744.66666666667)</f>
        <v>45744.66667</v>
      </c>
      <c r="B11405" s="2">
        <f>IFERROR(__xludf.DUMMYFUNCTION("""COMPUTED_VALUE"""),246.27)</f>
        <v>246.27</v>
      </c>
      <c r="C11405" s="2">
        <f>IFERROR(__xludf.DUMMYFUNCTION("""COMPUTED_VALUE"""),247.57)</f>
        <v>247.57</v>
      </c>
      <c r="D11405" s="2">
        <f>IFERROR(__xludf.DUMMYFUNCTION("""COMPUTED_VALUE"""),242.07)</f>
        <v>242.07</v>
      </c>
      <c r="E11405" s="2">
        <f>IFERROR(__xludf.DUMMYFUNCTION("""COMPUTED_VALUE"""),244.0)</f>
        <v>244</v>
      </c>
      <c r="F11405" s="2">
        <f>IFERROR(__xludf.DUMMYFUNCTION("""COMPUTED_VALUE"""),3125594.0)</f>
        <v>3125594</v>
      </c>
    </row>
    <row r="11406">
      <c r="A11406" s="3">
        <f>IFERROR(__xludf.DUMMYFUNCTION("""COMPUTED_VALUE"""),45747.66666666667)</f>
        <v>45747.66667</v>
      </c>
      <c r="B11406" s="2">
        <f>IFERROR(__xludf.DUMMYFUNCTION("""COMPUTED_VALUE"""),242.74)</f>
        <v>242.74</v>
      </c>
      <c r="C11406" s="2">
        <f>IFERROR(__xludf.DUMMYFUNCTION("""COMPUTED_VALUE"""),250.89)</f>
        <v>250.89</v>
      </c>
      <c r="D11406" s="2">
        <f>IFERROR(__xludf.DUMMYFUNCTION("""COMPUTED_VALUE"""),242.49)</f>
        <v>242.49</v>
      </c>
      <c r="E11406" s="2">
        <f>IFERROR(__xludf.DUMMYFUNCTION("""COMPUTED_VALUE"""),248.66)</f>
        <v>248.66</v>
      </c>
      <c r="F11406" s="2">
        <f>IFERROR(__xludf.DUMMYFUNCTION("""COMPUTED_VALUE"""),6794972.0)</f>
        <v>6794972</v>
      </c>
    </row>
    <row r="11407">
      <c r="A11407" s="3">
        <f>IFERROR(__xludf.DUMMYFUNCTION("""COMPUTED_VALUE"""),45748.66666666667)</f>
        <v>45748.66667</v>
      </c>
      <c r="B11407" s="2">
        <f>IFERROR(__xludf.DUMMYFUNCTION("""COMPUTED_VALUE"""),248.03)</f>
        <v>248.03</v>
      </c>
      <c r="C11407" s="2">
        <f>IFERROR(__xludf.DUMMYFUNCTION("""COMPUTED_VALUE"""),250.62)</f>
        <v>250.62</v>
      </c>
      <c r="D11407" s="2">
        <f>IFERROR(__xludf.DUMMYFUNCTION("""COMPUTED_VALUE"""),243.49)</f>
        <v>243.49</v>
      </c>
      <c r="E11407" s="2">
        <f>IFERROR(__xludf.DUMMYFUNCTION("""COMPUTED_VALUE"""),250.34)</f>
        <v>250.34</v>
      </c>
      <c r="F11407" s="2">
        <f>IFERROR(__xludf.DUMMYFUNCTION("""COMPUTED_VALUE"""),4413139.0)</f>
        <v>4413139</v>
      </c>
    </row>
    <row r="11408">
      <c r="A11408" s="3">
        <f>IFERROR(__xludf.DUMMYFUNCTION("""COMPUTED_VALUE"""),45749.66666666667)</f>
        <v>45749.66667</v>
      </c>
      <c r="B11408" s="2">
        <f>IFERROR(__xludf.DUMMYFUNCTION("""COMPUTED_VALUE"""),248.22)</f>
        <v>248.22</v>
      </c>
      <c r="C11408" s="2">
        <f>IFERROR(__xludf.DUMMYFUNCTION("""COMPUTED_VALUE"""),252.79)</f>
        <v>252.79</v>
      </c>
      <c r="D11408" s="2">
        <f>IFERROR(__xludf.DUMMYFUNCTION("""COMPUTED_VALUE"""),247.23)</f>
        <v>247.23</v>
      </c>
      <c r="E11408" s="2">
        <f>IFERROR(__xludf.DUMMYFUNCTION("""COMPUTED_VALUE"""),249.98)</f>
        <v>249.98</v>
      </c>
      <c r="F11408" s="2">
        <f>IFERROR(__xludf.DUMMYFUNCTION("""COMPUTED_VALUE"""),4080832.0)</f>
        <v>4080832</v>
      </c>
    </row>
    <row r="11409">
      <c r="A11409" s="3">
        <f>IFERROR(__xludf.DUMMYFUNCTION("""COMPUTED_VALUE"""),45750.66666666667)</f>
        <v>45750.66667</v>
      </c>
      <c r="B11409" s="2">
        <f>IFERROR(__xludf.DUMMYFUNCTION("""COMPUTED_VALUE"""),242.71)</f>
        <v>242.71</v>
      </c>
      <c r="C11409" s="2">
        <f>IFERROR(__xludf.DUMMYFUNCTION("""COMPUTED_VALUE"""),250.61)</f>
        <v>250.61</v>
      </c>
      <c r="D11409" s="2">
        <f>IFERROR(__xludf.DUMMYFUNCTION("""COMPUTED_VALUE"""),242.53)</f>
        <v>242.53</v>
      </c>
      <c r="E11409" s="2">
        <f>IFERROR(__xludf.DUMMYFUNCTION("""COMPUTED_VALUE"""),243.49)</f>
        <v>243.49</v>
      </c>
      <c r="F11409" s="2">
        <f>IFERROR(__xludf.DUMMYFUNCTION("""COMPUTED_VALUE"""),5309626.0)</f>
        <v>5309626</v>
      </c>
    </row>
    <row r="11410">
      <c r="A11410" s="3">
        <f>IFERROR(__xludf.DUMMYFUNCTION("""COMPUTED_VALUE"""),45751.66666666667)</f>
        <v>45751.66667</v>
      </c>
      <c r="B11410" s="2">
        <f>IFERROR(__xludf.DUMMYFUNCTION("""COMPUTED_VALUE"""),238.0)</f>
        <v>238</v>
      </c>
      <c r="C11410" s="2">
        <f>IFERROR(__xludf.DUMMYFUNCTION("""COMPUTED_VALUE"""),240.16)</f>
        <v>240.16</v>
      </c>
      <c r="D11410" s="2">
        <f>IFERROR(__xludf.DUMMYFUNCTION("""COMPUTED_VALUE"""),226.88)</f>
        <v>226.88</v>
      </c>
      <c r="E11410" s="2">
        <f>IFERROR(__xludf.DUMMYFUNCTION("""COMPUTED_VALUE"""),227.48)</f>
        <v>227.48</v>
      </c>
      <c r="F11410" s="2">
        <f>IFERROR(__xludf.DUMMYFUNCTION("""COMPUTED_VALUE"""),7407096.0)</f>
        <v>7407096</v>
      </c>
    </row>
    <row r="11411">
      <c r="A11411" s="3">
        <f>IFERROR(__xludf.DUMMYFUNCTION("""COMPUTED_VALUE"""),45754.66666666667)</f>
        <v>45754.66667</v>
      </c>
      <c r="B11411" s="2">
        <f>IFERROR(__xludf.DUMMYFUNCTION("""COMPUTED_VALUE"""),219.24)</f>
        <v>219.24</v>
      </c>
      <c r="C11411" s="2">
        <f>IFERROR(__xludf.DUMMYFUNCTION("""COMPUTED_VALUE"""),232.29)</f>
        <v>232.29</v>
      </c>
      <c r="D11411" s="2">
        <f>IFERROR(__xludf.DUMMYFUNCTION("""COMPUTED_VALUE"""),214.5)</f>
        <v>214.5</v>
      </c>
      <c r="E11411" s="2">
        <f>IFERROR(__xludf.DUMMYFUNCTION("""COMPUTED_VALUE"""),225.78)</f>
        <v>225.78</v>
      </c>
      <c r="F11411" s="2">
        <f>IFERROR(__xludf.DUMMYFUNCTION("""COMPUTED_VALUE"""),7797889.0)</f>
        <v>7797889</v>
      </c>
    </row>
    <row r="11412">
      <c r="A11412" s="3">
        <f>IFERROR(__xludf.DUMMYFUNCTION("""COMPUTED_VALUE"""),45755.66666666667)</f>
        <v>45755.66667</v>
      </c>
      <c r="B11412" s="2">
        <f>IFERROR(__xludf.DUMMYFUNCTION("""COMPUTED_VALUE"""),232.56)</f>
        <v>232.56</v>
      </c>
      <c r="C11412" s="2">
        <f>IFERROR(__xludf.DUMMYFUNCTION("""COMPUTED_VALUE"""),233.05)</f>
        <v>233.05</v>
      </c>
      <c r="D11412" s="2">
        <f>IFERROR(__xludf.DUMMYFUNCTION("""COMPUTED_VALUE"""),217.28)</f>
        <v>217.28</v>
      </c>
      <c r="E11412" s="2">
        <f>IFERROR(__xludf.DUMMYFUNCTION("""COMPUTED_VALUE"""),221.03)</f>
        <v>221.03</v>
      </c>
      <c r="F11412" s="2">
        <f>IFERROR(__xludf.DUMMYFUNCTION("""COMPUTED_VALUE"""),6849996.0)</f>
        <v>6849996</v>
      </c>
    </row>
    <row r="11413">
      <c r="A11413" s="3">
        <f>IFERROR(__xludf.DUMMYFUNCTION("""COMPUTED_VALUE"""),45756.66666666667)</f>
        <v>45756.66667</v>
      </c>
      <c r="B11413" s="2">
        <f>IFERROR(__xludf.DUMMYFUNCTION("""COMPUTED_VALUE"""),217.12)</f>
        <v>217.12</v>
      </c>
      <c r="C11413" s="2">
        <f>IFERROR(__xludf.DUMMYFUNCTION("""COMPUTED_VALUE"""),236.3)</f>
        <v>236.3</v>
      </c>
      <c r="D11413" s="2">
        <f>IFERROR(__xludf.DUMMYFUNCTION("""COMPUTED_VALUE"""),215.16)</f>
        <v>215.16</v>
      </c>
      <c r="E11413" s="2">
        <f>IFERROR(__xludf.DUMMYFUNCTION("""COMPUTED_VALUE"""),235.31)</f>
        <v>235.31</v>
      </c>
      <c r="F11413" s="2">
        <f>IFERROR(__xludf.DUMMYFUNCTION("""COMPUTED_VALUE"""),7302808.0)</f>
        <v>7302808</v>
      </c>
    </row>
    <row r="11414">
      <c r="A11414" s="3">
        <f>IFERROR(__xludf.DUMMYFUNCTION("""COMPUTED_VALUE"""),45757.66666666667)</f>
        <v>45757.66667</v>
      </c>
      <c r="B11414" s="2">
        <f>IFERROR(__xludf.DUMMYFUNCTION("""COMPUTED_VALUE"""),231.0)</f>
        <v>231</v>
      </c>
      <c r="C11414" s="2">
        <f>IFERROR(__xludf.DUMMYFUNCTION("""COMPUTED_VALUE"""),232.57)</f>
        <v>232.57</v>
      </c>
      <c r="D11414" s="2">
        <f>IFERROR(__xludf.DUMMYFUNCTION("""COMPUTED_VALUE"""),222.02)</f>
        <v>222.02</v>
      </c>
      <c r="E11414" s="2">
        <f>IFERROR(__xludf.DUMMYFUNCTION("""COMPUTED_VALUE"""),229.55)</f>
        <v>229.55</v>
      </c>
      <c r="F11414" s="2">
        <f>IFERROR(__xludf.DUMMYFUNCTION("""COMPUTED_VALUE"""),5656108.0)</f>
        <v>5656108</v>
      </c>
    </row>
    <row r="11415">
      <c r="A11415" s="3">
        <f>IFERROR(__xludf.DUMMYFUNCTION("""COMPUTED_VALUE"""),45758.66666666667)</f>
        <v>45758.66667</v>
      </c>
      <c r="B11415" s="2">
        <f>IFERROR(__xludf.DUMMYFUNCTION("""COMPUTED_VALUE"""),229.72)</f>
        <v>229.72</v>
      </c>
      <c r="C11415" s="2">
        <f>IFERROR(__xludf.DUMMYFUNCTION("""COMPUTED_VALUE"""),237.58)</f>
        <v>237.58</v>
      </c>
      <c r="D11415" s="2">
        <f>IFERROR(__xludf.DUMMYFUNCTION("""COMPUTED_VALUE"""),227.51)</f>
        <v>227.51</v>
      </c>
      <c r="E11415" s="2">
        <f>IFERROR(__xludf.DUMMYFUNCTION("""COMPUTED_VALUE"""),235.48)</f>
        <v>235.48</v>
      </c>
      <c r="F11415" s="2">
        <f>IFERROR(__xludf.DUMMYFUNCTION("""COMPUTED_VALUE"""),4325895.0)</f>
        <v>4325895</v>
      </c>
    </row>
    <row r="11416">
      <c r="A11416" s="3">
        <f>IFERROR(__xludf.DUMMYFUNCTION("""COMPUTED_VALUE"""),45761.66666666667)</f>
        <v>45761.66667</v>
      </c>
      <c r="B11416" s="2">
        <f>IFERROR(__xludf.DUMMYFUNCTION("""COMPUTED_VALUE"""),239.77)</f>
        <v>239.77</v>
      </c>
      <c r="C11416" s="2">
        <f>IFERROR(__xludf.DUMMYFUNCTION("""COMPUTED_VALUE"""),241.77)</f>
        <v>241.77</v>
      </c>
      <c r="D11416" s="2">
        <f>IFERROR(__xludf.DUMMYFUNCTION("""COMPUTED_VALUE"""),236.73)</f>
        <v>236.73</v>
      </c>
      <c r="E11416" s="2">
        <f>IFERROR(__xludf.DUMMYFUNCTION("""COMPUTED_VALUE"""),239.06)</f>
        <v>239.06</v>
      </c>
      <c r="F11416" s="2">
        <f>IFERROR(__xludf.DUMMYFUNCTION("""COMPUTED_VALUE"""),3321717.0)</f>
        <v>3321717</v>
      </c>
    </row>
    <row r="11417">
      <c r="A11417" s="3">
        <f>IFERROR(__xludf.DUMMYFUNCTION("""COMPUTED_VALUE"""),45762.66666666667)</f>
        <v>45762.66667</v>
      </c>
      <c r="B11417" s="2">
        <f>IFERROR(__xludf.DUMMYFUNCTION("""COMPUTED_VALUE"""),239.55)</f>
        <v>239.55</v>
      </c>
      <c r="C11417" s="2">
        <f>IFERROR(__xludf.DUMMYFUNCTION("""COMPUTED_VALUE"""),241.53)</f>
        <v>241.53</v>
      </c>
      <c r="D11417" s="2">
        <f>IFERROR(__xludf.DUMMYFUNCTION("""COMPUTED_VALUE"""),238.27)</f>
        <v>238.27</v>
      </c>
      <c r="E11417" s="2">
        <f>IFERROR(__xludf.DUMMYFUNCTION("""COMPUTED_VALUE"""),240.7)</f>
        <v>240.7</v>
      </c>
      <c r="F11417" s="2">
        <f>IFERROR(__xludf.DUMMYFUNCTION("""COMPUTED_VALUE"""),3363708.0)</f>
        <v>3363708</v>
      </c>
    </row>
    <row r="11418">
      <c r="A11418" s="3">
        <f>IFERROR(__xludf.DUMMYFUNCTION("""COMPUTED_VALUE"""),45763.66666666667)</f>
        <v>45763.66667</v>
      </c>
      <c r="B11418" s="2">
        <f>IFERROR(__xludf.DUMMYFUNCTION("""COMPUTED_VALUE"""),240.28)</f>
        <v>240.28</v>
      </c>
      <c r="C11418" s="2">
        <f>IFERROR(__xludf.DUMMYFUNCTION("""COMPUTED_VALUE"""),243.3)</f>
        <v>243.3</v>
      </c>
      <c r="D11418" s="2">
        <f>IFERROR(__xludf.DUMMYFUNCTION("""COMPUTED_VALUE"""),235.89)</f>
        <v>235.89</v>
      </c>
      <c r="E11418" s="2">
        <f>IFERROR(__xludf.DUMMYFUNCTION("""COMPUTED_VALUE"""),238.57)</f>
        <v>238.57</v>
      </c>
      <c r="F11418" s="2">
        <f>IFERROR(__xludf.DUMMYFUNCTION("""COMPUTED_VALUE"""),4870299.0)</f>
        <v>4870299</v>
      </c>
    </row>
    <row r="11419">
      <c r="A11419" s="3">
        <f>IFERROR(__xludf.DUMMYFUNCTION("""COMPUTED_VALUE"""),45764.66666666667)</f>
        <v>45764.66667</v>
      </c>
      <c r="B11419" s="2">
        <f>IFERROR(__xludf.DUMMYFUNCTION("""COMPUTED_VALUE"""),239.68)</f>
        <v>239.68</v>
      </c>
      <c r="C11419" s="2">
        <f>IFERROR(__xludf.DUMMYFUNCTION("""COMPUTED_VALUE"""),241.78)</f>
        <v>241.78</v>
      </c>
      <c r="D11419" s="2">
        <f>IFERROR(__xludf.DUMMYFUNCTION("""COMPUTED_VALUE"""),237.4)</f>
        <v>237.4</v>
      </c>
      <c r="E11419" s="2">
        <f>IFERROR(__xludf.DUMMYFUNCTION("""COMPUTED_VALUE"""),238.81)</f>
        <v>238.81</v>
      </c>
      <c r="F11419" s="2">
        <f>IFERROR(__xludf.DUMMYFUNCTION("""COMPUTED_VALUE"""),4635204.0)</f>
        <v>4635204</v>
      </c>
    </row>
    <row r="11420">
      <c r="A11420" s="3">
        <f>IFERROR(__xludf.DUMMYFUNCTION("""COMPUTED_VALUE"""),45768.66666666667)</f>
        <v>45768.66667</v>
      </c>
      <c r="B11420" s="2">
        <f>IFERROR(__xludf.DUMMYFUNCTION("""COMPUTED_VALUE"""),238.07)</f>
        <v>238.07</v>
      </c>
      <c r="C11420" s="2">
        <f>IFERROR(__xludf.DUMMYFUNCTION("""COMPUTED_VALUE"""),240.81)</f>
        <v>240.81</v>
      </c>
      <c r="D11420" s="2">
        <f>IFERROR(__xludf.DUMMYFUNCTION("""COMPUTED_VALUE"""),232.93)</f>
        <v>232.93</v>
      </c>
      <c r="E11420" s="2">
        <f>IFERROR(__xludf.DUMMYFUNCTION("""COMPUTED_VALUE"""),236.22)</f>
        <v>236.22</v>
      </c>
      <c r="F11420" s="2">
        <f>IFERROR(__xludf.DUMMYFUNCTION("""COMPUTED_VALUE"""),4908923.0)</f>
        <v>4908923</v>
      </c>
    </row>
    <row r="11421">
      <c r="A11421" s="3">
        <f>IFERROR(__xludf.DUMMYFUNCTION("""COMPUTED_VALUE"""),45769.66666666667)</f>
        <v>45769.66667</v>
      </c>
      <c r="B11421" s="2">
        <f>IFERROR(__xludf.DUMMYFUNCTION("""COMPUTED_VALUE"""),238.5)</f>
        <v>238.5</v>
      </c>
      <c r="C11421" s="2">
        <f>IFERROR(__xludf.DUMMYFUNCTION("""COMPUTED_VALUE"""),242.64)</f>
        <v>242.64</v>
      </c>
      <c r="D11421" s="2">
        <f>IFERROR(__xludf.DUMMYFUNCTION("""COMPUTED_VALUE"""),238.02)</f>
        <v>238.02</v>
      </c>
      <c r="E11421" s="2">
        <f>IFERROR(__xludf.DUMMYFUNCTION("""COMPUTED_VALUE"""),240.9)</f>
        <v>240.9</v>
      </c>
      <c r="F11421" s="2">
        <f>IFERROR(__xludf.DUMMYFUNCTION("""COMPUTED_VALUE"""),4232658.0)</f>
        <v>4232658</v>
      </c>
    </row>
    <row r="11422">
      <c r="A11422" s="3">
        <f>IFERROR(__xludf.DUMMYFUNCTION("""COMPUTED_VALUE"""),45770.66666666667)</f>
        <v>45770.66667</v>
      </c>
      <c r="B11422" s="2">
        <f>IFERROR(__xludf.DUMMYFUNCTION("""COMPUTED_VALUE"""),246.0)</f>
        <v>246</v>
      </c>
      <c r="C11422" s="2">
        <f>IFERROR(__xludf.DUMMYFUNCTION("""COMPUTED_VALUE"""),249.34)</f>
        <v>249.34</v>
      </c>
      <c r="D11422" s="2">
        <f>IFERROR(__xludf.DUMMYFUNCTION("""COMPUTED_VALUE"""),243.66)</f>
        <v>243.66</v>
      </c>
      <c r="E11422" s="2">
        <f>IFERROR(__xludf.DUMMYFUNCTION("""COMPUTED_VALUE"""),245.48)</f>
        <v>245.48</v>
      </c>
      <c r="F11422" s="2">
        <f>IFERROR(__xludf.DUMMYFUNCTION("""COMPUTED_VALUE"""),7948259.0)</f>
        <v>7948259</v>
      </c>
    </row>
    <row r="11423">
      <c r="A11423" s="3">
        <f>IFERROR(__xludf.DUMMYFUNCTION("""COMPUTED_VALUE"""),45771.66666666667)</f>
        <v>45771.66667</v>
      </c>
      <c r="B11423" s="2">
        <f>IFERROR(__xludf.DUMMYFUNCTION("""COMPUTED_VALUE"""),231.18)</f>
        <v>231.18</v>
      </c>
      <c r="C11423" s="2">
        <f>IFERROR(__xludf.DUMMYFUNCTION("""COMPUTED_VALUE"""),232.78)</f>
        <v>232.78</v>
      </c>
      <c r="D11423" s="2">
        <f>IFERROR(__xludf.DUMMYFUNCTION("""COMPUTED_VALUE"""),224.44)</f>
        <v>224.44</v>
      </c>
      <c r="E11423" s="2">
        <f>IFERROR(__xludf.DUMMYFUNCTION("""COMPUTED_VALUE"""),229.33)</f>
        <v>229.33</v>
      </c>
      <c r="F11423" s="2">
        <f>IFERROR(__xludf.DUMMYFUNCTION("""COMPUTED_VALUE"""),1.5428144E7)</f>
        <v>15428144</v>
      </c>
    </row>
    <row r="11424">
      <c r="A11424" s="3">
        <f>IFERROR(__xludf.DUMMYFUNCTION("""COMPUTED_VALUE"""),45772.66666666667)</f>
        <v>45772.66667</v>
      </c>
      <c r="B11424" s="2">
        <f>IFERROR(__xludf.DUMMYFUNCTION("""COMPUTED_VALUE"""),228.95)</f>
        <v>228.95</v>
      </c>
      <c r="C11424" s="2">
        <f>IFERROR(__xludf.DUMMYFUNCTION("""COMPUTED_VALUE"""),233.36)</f>
        <v>233.36</v>
      </c>
      <c r="D11424" s="2">
        <f>IFERROR(__xludf.DUMMYFUNCTION("""COMPUTED_VALUE"""),226.32)</f>
        <v>226.32</v>
      </c>
      <c r="E11424" s="2">
        <f>IFERROR(__xludf.DUMMYFUNCTION("""COMPUTED_VALUE"""),232.41)</f>
        <v>232.41</v>
      </c>
      <c r="F11424" s="2">
        <f>IFERROR(__xludf.DUMMYFUNCTION("""COMPUTED_VALUE"""),6700068.0)</f>
        <v>6700068</v>
      </c>
    </row>
    <row r="11425">
      <c r="A11425" s="3">
        <f>IFERROR(__xludf.DUMMYFUNCTION("""COMPUTED_VALUE"""),45775.66666666667)</f>
        <v>45775.66667</v>
      </c>
      <c r="B11425" s="2">
        <f>IFERROR(__xludf.DUMMYFUNCTION("""COMPUTED_VALUE"""),232.86)</f>
        <v>232.86</v>
      </c>
      <c r="C11425" s="2">
        <f>IFERROR(__xludf.DUMMYFUNCTION("""COMPUTED_VALUE"""),236.63)</f>
        <v>236.63</v>
      </c>
      <c r="D11425" s="2">
        <f>IFERROR(__xludf.DUMMYFUNCTION("""COMPUTED_VALUE"""),232.07)</f>
        <v>232.07</v>
      </c>
      <c r="E11425" s="2">
        <f>IFERROR(__xludf.DUMMYFUNCTION("""COMPUTED_VALUE"""),236.16)</f>
        <v>236.16</v>
      </c>
      <c r="F11425" s="2">
        <f>IFERROR(__xludf.DUMMYFUNCTION("""COMPUTED_VALUE"""),3653461.0)</f>
        <v>3653461</v>
      </c>
    </row>
    <row r="11426">
      <c r="A11426" s="3">
        <f>IFERROR(__xludf.DUMMYFUNCTION("""COMPUTED_VALUE"""),45776.66666666667)</f>
        <v>45776.66667</v>
      </c>
      <c r="B11426" s="2">
        <f>IFERROR(__xludf.DUMMYFUNCTION("""COMPUTED_VALUE"""),237.0)</f>
        <v>237</v>
      </c>
      <c r="C11426" s="2">
        <f>IFERROR(__xludf.DUMMYFUNCTION("""COMPUTED_VALUE"""),239.98)</f>
        <v>239.98</v>
      </c>
      <c r="D11426" s="2">
        <f>IFERROR(__xludf.DUMMYFUNCTION("""COMPUTED_VALUE"""),236.14)</f>
        <v>236.14</v>
      </c>
      <c r="E11426" s="2">
        <f>IFERROR(__xludf.DUMMYFUNCTION("""COMPUTED_VALUE"""),239.39)</f>
        <v>239.39</v>
      </c>
      <c r="F11426" s="2">
        <f>IFERROR(__xludf.DUMMYFUNCTION("""COMPUTED_VALUE"""),3426508.0)</f>
        <v>3426508</v>
      </c>
    </row>
    <row r="11427">
      <c r="A11427" s="3">
        <f>IFERROR(__xludf.DUMMYFUNCTION("""COMPUTED_VALUE"""),45777.66666666667)</f>
        <v>45777.66667</v>
      </c>
      <c r="B11427" s="2">
        <f>IFERROR(__xludf.DUMMYFUNCTION("""COMPUTED_VALUE"""),236.73)</f>
        <v>236.73</v>
      </c>
      <c r="C11427" s="2">
        <f>IFERROR(__xludf.DUMMYFUNCTION("""COMPUTED_VALUE"""),242.47)</f>
        <v>242.47</v>
      </c>
      <c r="D11427" s="2">
        <f>IFERROR(__xludf.DUMMYFUNCTION("""COMPUTED_VALUE"""),234.34)</f>
        <v>234.34</v>
      </c>
      <c r="E11427" s="2">
        <f>IFERROR(__xludf.DUMMYFUNCTION("""COMPUTED_VALUE"""),241.82)</f>
        <v>241.82</v>
      </c>
      <c r="F11427" s="2">
        <f>IFERROR(__xludf.DUMMYFUNCTION("""COMPUTED_VALUE"""),5142993.0)</f>
        <v>5142993</v>
      </c>
    </row>
    <row r="11428">
      <c r="A11428" s="3">
        <f>IFERROR(__xludf.DUMMYFUNCTION("""COMPUTED_VALUE"""),45778.66666666667)</f>
        <v>45778.66667</v>
      </c>
      <c r="B11428" s="2">
        <f>IFERROR(__xludf.DUMMYFUNCTION("""COMPUTED_VALUE"""),241.44)</f>
        <v>241.44</v>
      </c>
      <c r="C11428" s="2">
        <f>IFERROR(__xludf.DUMMYFUNCTION("""COMPUTED_VALUE"""),242.37)</f>
        <v>242.37</v>
      </c>
      <c r="D11428" s="2">
        <f>IFERROR(__xludf.DUMMYFUNCTION("""COMPUTED_VALUE"""),237.95)</f>
        <v>237.95</v>
      </c>
      <c r="E11428" s="2">
        <f>IFERROR(__xludf.DUMMYFUNCTION("""COMPUTED_VALUE"""),239.66)</f>
        <v>239.66</v>
      </c>
      <c r="F11428" s="2">
        <f>IFERROR(__xludf.DUMMYFUNCTION("""COMPUTED_VALUE"""),4243294.0)</f>
        <v>4243294</v>
      </c>
    </row>
    <row r="11429">
      <c r="A11429" s="3">
        <f>IFERROR(__xludf.DUMMYFUNCTION("""COMPUTED_VALUE"""),45779.66666666667)</f>
        <v>45779.66667</v>
      </c>
      <c r="B11429" s="2">
        <f>IFERROR(__xludf.DUMMYFUNCTION("""COMPUTED_VALUE"""),243.13)</f>
        <v>243.13</v>
      </c>
      <c r="C11429" s="2">
        <f>IFERROR(__xludf.DUMMYFUNCTION("""COMPUTED_VALUE"""),245.69)</f>
        <v>245.69</v>
      </c>
      <c r="D11429" s="2">
        <f>IFERROR(__xludf.DUMMYFUNCTION("""COMPUTED_VALUE"""),241.33)</f>
        <v>241.33</v>
      </c>
      <c r="E11429" s="2">
        <f>IFERROR(__xludf.DUMMYFUNCTION("""COMPUTED_VALUE"""),245.55)</f>
        <v>245.55</v>
      </c>
      <c r="F11429" s="2">
        <f>IFERROR(__xludf.DUMMYFUNCTION("""COMPUTED_VALUE"""),3731946.0)</f>
        <v>3731946</v>
      </c>
    </row>
    <row r="11430">
      <c r="A11430" s="3">
        <f>IFERROR(__xludf.DUMMYFUNCTION("""COMPUTED_VALUE"""),45782.66666666667)</f>
        <v>45782.66667</v>
      </c>
      <c r="B11430" s="2">
        <f>IFERROR(__xludf.DUMMYFUNCTION("""COMPUTED_VALUE"""),243.74)</f>
        <v>243.74</v>
      </c>
      <c r="C11430" s="2">
        <f>IFERROR(__xludf.DUMMYFUNCTION("""COMPUTED_VALUE"""),249.8)</f>
        <v>249.8</v>
      </c>
      <c r="D11430" s="2">
        <f>IFERROR(__xludf.DUMMYFUNCTION("""COMPUTED_VALUE"""),243.64)</f>
        <v>243.64</v>
      </c>
      <c r="E11430" s="2">
        <f>IFERROR(__xludf.DUMMYFUNCTION("""COMPUTED_VALUE"""),249.18)</f>
        <v>249.18</v>
      </c>
      <c r="F11430" s="2">
        <f>IFERROR(__xludf.DUMMYFUNCTION("""COMPUTED_VALUE"""),4138168.0)</f>
        <v>4138168</v>
      </c>
    </row>
    <row r="11431">
      <c r="A11431" s="3">
        <f>IFERROR(__xludf.DUMMYFUNCTION("""COMPUTED_VALUE"""),45783.66666666667)</f>
        <v>45783.66667</v>
      </c>
      <c r="B11431" s="2">
        <f>IFERROR(__xludf.DUMMYFUNCTION("""COMPUTED_VALUE"""),247.76)</f>
        <v>247.76</v>
      </c>
      <c r="C11431" s="2">
        <f>IFERROR(__xludf.DUMMYFUNCTION("""COMPUTED_VALUE"""),250.19)</f>
        <v>250.19</v>
      </c>
      <c r="D11431" s="2">
        <f>IFERROR(__xludf.DUMMYFUNCTION("""COMPUTED_VALUE"""),246.11)</f>
        <v>246.11</v>
      </c>
      <c r="E11431" s="2">
        <f>IFERROR(__xludf.DUMMYFUNCTION("""COMPUTED_VALUE"""),249.12)</f>
        <v>249.12</v>
      </c>
      <c r="F11431" s="2">
        <f>IFERROR(__xludf.DUMMYFUNCTION("""COMPUTED_VALUE"""),2900556.0)</f>
        <v>2900556</v>
      </c>
    </row>
    <row r="11432">
      <c r="A11432" s="3">
        <f>IFERROR(__xludf.DUMMYFUNCTION("""COMPUTED_VALUE"""),45784.66666666667)</f>
        <v>45784.66667</v>
      </c>
      <c r="B11432" s="2">
        <f>IFERROR(__xludf.DUMMYFUNCTION("""COMPUTED_VALUE"""),249.45)</f>
        <v>249.45</v>
      </c>
      <c r="C11432" s="2">
        <f>IFERROR(__xludf.DUMMYFUNCTION("""COMPUTED_VALUE"""),254.47)</f>
        <v>254.47</v>
      </c>
      <c r="D11432" s="2">
        <f>IFERROR(__xludf.DUMMYFUNCTION("""COMPUTED_VALUE"""),248.83)</f>
        <v>248.83</v>
      </c>
      <c r="E11432" s="2">
        <f>IFERROR(__xludf.DUMMYFUNCTION("""COMPUTED_VALUE"""),253.37)</f>
        <v>253.37</v>
      </c>
      <c r="F11432" s="2">
        <f>IFERROR(__xludf.DUMMYFUNCTION("""COMPUTED_VALUE"""),3400001.0)</f>
        <v>3400001</v>
      </c>
    </row>
    <row r="11433">
      <c r="A11433" s="3">
        <f>IFERROR(__xludf.DUMMYFUNCTION("""COMPUTED_VALUE"""),45785.66666666667)</f>
        <v>45785.66667</v>
      </c>
      <c r="B11433" s="2">
        <f>IFERROR(__xludf.DUMMYFUNCTION("""COMPUTED_VALUE"""),255.0)</f>
        <v>255</v>
      </c>
      <c r="C11433" s="2">
        <f>IFERROR(__xludf.DUMMYFUNCTION("""COMPUTED_VALUE"""),256.52)</f>
        <v>256.52</v>
      </c>
      <c r="D11433" s="2">
        <f>IFERROR(__xludf.DUMMYFUNCTION("""COMPUTED_VALUE"""),253.25)</f>
        <v>253.25</v>
      </c>
      <c r="E11433" s="2">
        <f>IFERROR(__xludf.DUMMYFUNCTION("""COMPUTED_VALUE"""),254.14)</f>
        <v>254.14</v>
      </c>
      <c r="F11433" s="2">
        <f>IFERROR(__xludf.DUMMYFUNCTION("""COMPUTED_VALUE"""),3637012.0)</f>
        <v>3637012</v>
      </c>
    </row>
    <row r="11434">
      <c r="A11434" s="3">
        <f>IFERROR(__xludf.DUMMYFUNCTION("""COMPUTED_VALUE"""),45786.66666666667)</f>
        <v>45786.66667</v>
      </c>
      <c r="B11434" s="2">
        <f>IFERROR(__xludf.DUMMYFUNCTION("""COMPUTED_VALUE"""),252.51)</f>
        <v>252.51</v>
      </c>
      <c r="C11434" s="2">
        <f>IFERROR(__xludf.DUMMYFUNCTION("""COMPUTED_VALUE"""),253.0)</f>
        <v>253</v>
      </c>
      <c r="D11434" s="2">
        <f>IFERROR(__xludf.DUMMYFUNCTION("""COMPUTED_VALUE"""),247.64)</f>
        <v>247.64</v>
      </c>
      <c r="E11434" s="2">
        <f>IFERROR(__xludf.DUMMYFUNCTION("""COMPUTED_VALUE"""),249.2)</f>
        <v>249.2</v>
      </c>
      <c r="F11434" s="2">
        <f>IFERROR(__xludf.DUMMYFUNCTION("""COMPUTED_VALUE"""),2901346.0)</f>
        <v>2901346</v>
      </c>
    </row>
    <row r="11435">
      <c r="A11435" s="3">
        <f>IFERROR(__xludf.DUMMYFUNCTION("""COMPUTED_VALUE"""),45789.66666666667)</f>
        <v>45789.66667</v>
      </c>
      <c r="B11435" s="2">
        <f>IFERROR(__xludf.DUMMYFUNCTION("""COMPUTED_VALUE"""),252.5)</f>
        <v>252.5</v>
      </c>
      <c r="C11435" s="2">
        <f>IFERROR(__xludf.DUMMYFUNCTION("""COMPUTED_VALUE"""),253.81)</f>
        <v>253.81</v>
      </c>
      <c r="D11435" s="2">
        <f>IFERROR(__xludf.DUMMYFUNCTION("""COMPUTED_VALUE"""),244.65)</f>
        <v>244.65</v>
      </c>
      <c r="E11435" s="2">
        <f>IFERROR(__xludf.DUMMYFUNCTION("""COMPUTED_VALUE"""),253.69)</f>
        <v>253.69</v>
      </c>
      <c r="F11435" s="2">
        <f>IFERROR(__xludf.DUMMYFUNCTION("""COMPUTED_VALUE"""),4609520.0)</f>
        <v>4609520</v>
      </c>
    </row>
    <row r="11436">
      <c r="A11436" s="3">
        <f>IFERROR(__xludf.DUMMYFUNCTION("""COMPUTED_VALUE"""),45790.66666666667)</f>
        <v>45790.66667</v>
      </c>
      <c r="B11436" s="2">
        <f>IFERROR(__xludf.DUMMYFUNCTION("""COMPUTED_VALUE"""),254.43)</f>
        <v>254.43</v>
      </c>
      <c r="C11436" s="2">
        <f>IFERROR(__xludf.DUMMYFUNCTION("""COMPUTED_VALUE"""),259.58)</f>
        <v>259.58</v>
      </c>
      <c r="D11436" s="2">
        <f>IFERROR(__xludf.DUMMYFUNCTION("""COMPUTED_VALUE"""),252.88)</f>
        <v>252.88</v>
      </c>
      <c r="E11436" s="2">
        <f>IFERROR(__xludf.DUMMYFUNCTION("""COMPUTED_VALUE"""),258.59)</f>
        <v>258.59</v>
      </c>
      <c r="F11436" s="2">
        <f>IFERROR(__xludf.DUMMYFUNCTION("""COMPUTED_VALUE"""),3521389.0)</f>
        <v>3521389</v>
      </c>
    </row>
    <row r="11437">
      <c r="A11437" s="3">
        <f>IFERROR(__xludf.DUMMYFUNCTION("""COMPUTED_VALUE"""),45791.66666666667)</f>
        <v>45791.66667</v>
      </c>
      <c r="B11437" s="2">
        <f>IFERROR(__xludf.DUMMYFUNCTION("""COMPUTED_VALUE"""),257.6)</f>
        <v>257.6</v>
      </c>
      <c r="C11437" s="2">
        <f>IFERROR(__xludf.DUMMYFUNCTION("""COMPUTED_VALUE"""),260.55)</f>
        <v>260.55</v>
      </c>
      <c r="D11437" s="2">
        <f>IFERROR(__xludf.DUMMYFUNCTION("""COMPUTED_VALUE"""),256.22)</f>
        <v>256.22</v>
      </c>
      <c r="E11437" s="2">
        <f>IFERROR(__xludf.DUMMYFUNCTION("""COMPUTED_VALUE"""),257.82)</f>
        <v>257.82</v>
      </c>
      <c r="F11437" s="2">
        <f>IFERROR(__xludf.DUMMYFUNCTION("""COMPUTED_VALUE"""),3635124.0)</f>
        <v>3635124</v>
      </c>
    </row>
    <row r="11438">
      <c r="A11438" s="3">
        <f>IFERROR(__xludf.DUMMYFUNCTION("""COMPUTED_VALUE"""),45792.66666666667)</f>
        <v>45792.66667</v>
      </c>
      <c r="B11438" s="2">
        <f>IFERROR(__xludf.DUMMYFUNCTION("""COMPUTED_VALUE"""),259.01)</f>
        <v>259.01</v>
      </c>
      <c r="C11438" s="2">
        <f>IFERROR(__xludf.DUMMYFUNCTION("""COMPUTED_VALUE"""),267.43)</f>
        <v>267.43</v>
      </c>
      <c r="D11438" s="2">
        <f>IFERROR(__xludf.DUMMYFUNCTION("""COMPUTED_VALUE"""),258.61)</f>
        <v>258.61</v>
      </c>
      <c r="E11438" s="2">
        <f>IFERROR(__xludf.DUMMYFUNCTION("""COMPUTED_VALUE"""),266.68)</f>
        <v>266.68</v>
      </c>
      <c r="F11438" s="2">
        <f>IFERROR(__xludf.DUMMYFUNCTION("""COMPUTED_VALUE"""),4856276.0)</f>
        <v>4856276</v>
      </c>
    </row>
    <row r="11439">
      <c r="A11439" s="3">
        <f>IFERROR(__xludf.DUMMYFUNCTION("""COMPUTED_VALUE"""),45793.66666666667)</f>
        <v>45793.66667</v>
      </c>
      <c r="B11439" s="2">
        <f>IFERROR(__xludf.DUMMYFUNCTION("""COMPUTED_VALUE"""),266.35)</f>
        <v>266.35</v>
      </c>
      <c r="C11439" s="2">
        <f>IFERROR(__xludf.DUMMYFUNCTION("""COMPUTED_VALUE"""),267.98)</f>
        <v>267.98</v>
      </c>
      <c r="D11439" s="2">
        <f>IFERROR(__xludf.DUMMYFUNCTION("""COMPUTED_VALUE"""),264.59)</f>
        <v>264.59</v>
      </c>
      <c r="E11439" s="2">
        <f>IFERROR(__xludf.DUMMYFUNCTION("""COMPUTED_VALUE"""),266.76)</f>
        <v>266.76</v>
      </c>
      <c r="F11439" s="2">
        <f>IFERROR(__xludf.DUMMYFUNCTION("""COMPUTED_VALUE"""),3817937.0)</f>
        <v>3817937</v>
      </c>
    </row>
    <row r="11440">
      <c r="A11440" s="3">
        <f>IFERROR(__xludf.DUMMYFUNCTION("""COMPUTED_VALUE"""),45796.66666666667)</f>
        <v>45796.66667</v>
      </c>
      <c r="B11440" s="2">
        <f>IFERROR(__xludf.DUMMYFUNCTION("""COMPUTED_VALUE"""),265.45)</f>
        <v>265.45</v>
      </c>
      <c r="C11440" s="2">
        <f>IFERROR(__xludf.DUMMYFUNCTION("""COMPUTED_VALUE"""),269.14)</f>
        <v>269.14</v>
      </c>
      <c r="D11440" s="2">
        <f>IFERROR(__xludf.DUMMYFUNCTION("""COMPUTED_VALUE"""),265.08)</f>
        <v>265.08</v>
      </c>
      <c r="E11440" s="2">
        <f>IFERROR(__xludf.DUMMYFUNCTION("""COMPUTED_VALUE"""),268.41)</f>
        <v>268.41</v>
      </c>
      <c r="F11440" s="2">
        <f>IFERROR(__xludf.DUMMYFUNCTION("""COMPUTED_VALUE"""),3198903.0)</f>
        <v>3198903</v>
      </c>
    </row>
    <row r="11441">
      <c r="A11441" s="3">
        <f>IFERROR(__xludf.DUMMYFUNCTION("""COMPUTED_VALUE"""),45797.66666666667)</f>
        <v>45797.66667</v>
      </c>
      <c r="B11441" s="2">
        <f>IFERROR(__xludf.DUMMYFUNCTION("""COMPUTED_VALUE"""),267.4)</f>
        <v>267.4</v>
      </c>
      <c r="C11441" s="2">
        <f>IFERROR(__xludf.DUMMYFUNCTION("""COMPUTED_VALUE"""),269.28)</f>
        <v>269.28</v>
      </c>
      <c r="D11441" s="2">
        <f>IFERROR(__xludf.DUMMYFUNCTION("""COMPUTED_VALUE"""),265.62)</f>
        <v>265.62</v>
      </c>
      <c r="E11441" s="2">
        <f>IFERROR(__xludf.DUMMYFUNCTION("""COMPUTED_VALUE"""),266.95)</f>
        <v>266.95</v>
      </c>
      <c r="F11441" s="2">
        <f>IFERROR(__xludf.DUMMYFUNCTION("""COMPUTED_VALUE"""),2437860.0)</f>
        <v>2437860</v>
      </c>
    </row>
    <row r="11442">
      <c r="A11442" s="3">
        <f>IFERROR(__xludf.DUMMYFUNCTION("""COMPUTED_VALUE"""),45798.66666666667)</f>
        <v>45798.66667</v>
      </c>
      <c r="B11442" s="2">
        <f>IFERROR(__xludf.DUMMYFUNCTION("""COMPUTED_VALUE"""),264.97)</f>
        <v>264.97</v>
      </c>
      <c r="C11442" s="2">
        <f>IFERROR(__xludf.DUMMYFUNCTION("""COMPUTED_VALUE"""),265.65)</f>
        <v>265.65</v>
      </c>
      <c r="D11442" s="2">
        <f>IFERROR(__xludf.DUMMYFUNCTION("""COMPUTED_VALUE"""),260.41)</f>
        <v>260.41</v>
      </c>
      <c r="E11442" s="2">
        <f>IFERROR(__xludf.DUMMYFUNCTION("""COMPUTED_VALUE"""),260.87)</f>
        <v>260.87</v>
      </c>
      <c r="F11442" s="2">
        <f>IFERROR(__xludf.DUMMYFUNCTION("""COMPUTED_VALUE"""),3753904.0)</f>
        <v>3753904</v>
      </c>
    </row>
    <row r="11443">
      <c r="A11443" s="3">
        <f>IFERROR(__xludf.DUMMYFUNCTION("""COMPUTED_VALUE"""),45799.66666666667)</f>
        <v>45799.66667</v>
      </c>
      <c r="B11443" s="2">
        <f>IFERROR(__xludf.DUMMYFUNCTION("""COMPUTED_VALUE"""),264.97)</f>
        <v>264.97</v>
      </c>
      <c r="C11443" s="2">
        <f>IFERROR(__xludf.DUMMYFUNCTION("""COMPUTED_VALUE"""),265.65)</f>
        <v>265.65</v>
      </c>
      <c r="D11443" s="2">
        <f>IFERROR(__xludf.DUMMYFUNCTION("""COMPUTED_VALUE"""),260.41)</f>
        <v>260.41</v>
      </c>
      <c r="E11443" s="2">
        <f>IFERROR(__xludf.DUMMYFUNCTION("""COMPUTED_VALUE"""),260.87)</f>
        <v>260.87</v>
      </c>
      <c r="F11443" s="2">
        <f>IFERROR(__xludf.DUMMYFUNCTION("""COMPUTED_VALUE"""),42190.0)</f>
        <v>42190</v>
      </c>
    </row>
    <row r="11444">
      <c r="A11444" s="3">
        <f>IFERROR(__xludf.DUMMYFUNCTION("""COMPUTED_VALUE"""),45800.66666666667)</f>
        <v>45800.66667</v>
      </c>
      <c r="B11444" s="2">
        <f>IFERROR(__xludf.DUMMYFUNCTION("""COMPUTED_VALUE"""),258.58)</f>
        <v>258.58</v>
      </c>
      <c r="C11444" s="2">
        <f>IFERROR(__xludf.DUMMYFUNCTION("""COMPUTED_VALUE"""),259.87)</f>
        <v>259.87</v>
      </c>
      <c r="D11444" s="2">
        <f>IFERROR(__xludf.DUMMYFUNCTION("""COMPUTED_VALUE"""),255.79)</f>
        <v>255.79</v>
      </c>
      <c r="E11444" s="2">
        <f>IFERROR(__xludf.DUMMYFUNCTION("""COMPUTED_VALUE"""),258.63)</f>
        <v>258.63</v>
      </c>
      <c r="F11444" s="2">
        <f>IFERROR(__xludf.DUMMYFUNCTION("""COMPUTED_VALUE"""),2722721.0)</f>
        <v>2722721</v>
      </c>
    </row>
    <row r="11445">
      <c r="A11445" s="3">
        <f>IFERROR(__xludf.DUMMYFUNCTION("""COMPUTED_VALUE"""),45804.66666666667)</f>
        <v>45804.66667</v>
      </c>
      <c r="B11445" s="2">
        <f>IFERROR(__xludf.DUMMYFUNCTION("""COMPUTED_VALUE"""),261.0)</f>
        <v>261</v>
      </c>
      <c r="C11445" s="2">
        <f>IFERROR(__xludf.DUMMYFUNCTION("""COMPUTED_VALUE"""),263.79)</f>
        <v>263.79</v>
      </c>
      <c r="D11445" s="2">
        <f>IFERROR(__xludf.DUMMYFUNCTION("""COMPUTED_VALUE"""),259.63)</f>
        <v>259.63</v>
      </c>
      <c r="E11445" s="2">
        <f>IFERROR(__xludf.DUMMYFUNCTION("""COMPUTED_VALUE"""),263.23)</f>
        <v>263.23</v>
      </c>
      <c r="F11445" s="2">
        <f>IFERROR(__xludf.DUMMYFUNCTION("""COMPUTED_VALUE"""),3284216.0)</f>
        <v>3284216</v>
      </c>
    </row>
    <row r="11446">
      <c r="A11446" s="3">
        <f>IFERROR(__xludf.DUMMYFUNCTION("""COMPUTED_VALUE"""),45805.66666666667)</f>
        <v>45805.66667</v>
      </c>
      <c r="B11446" s="2">
        <f>IFERROR(__xludf.DUMMYFUNCTION("""COMPUTED_VALUE"""),263.16)</f>
        <v>263.16</v>
      </c>
      <c r="C11446" s="2">
        <f>IFERROR(__xludf.DUMMYFUNCTION("""COMPUTED_VALUE"""),265.0)</f>
        <v>265</v>
      </c>
      <c r="D11446" s="2">
        <f>IFERROR(__xludf.DUMMYFUNCTION("""COMPUTED_VALUE"""),259.94)</f>
        <v>259.94</v>
      </c>
      <c r="E11446" s="2">
        <f>IFERROR(__xludf.DUMMYFUNCTION("""COMPUTED_VALUE"""),260.24)</f>
        <v>260.24</v>
      </c>
      <c r="F11446" s="2">
        <f>IFERROR(__xludf.DUMMYFUNCTION("""COMPUTED_VALUE"""),2318437.0)</f>
        <v>2318437</v>
      </c>
    </row>
    <row r="11447">
      <c r="A11447" s="3">
        <f>IFERROR(__xludf.DUMMYFUNCTION("""COMPUTED_VALUE"""),45806.66666666667)</f>
        <v>45806.66667</v>
      </c>
      <c r="B11447" s="2">
        <f>IFERROR(__xludf.DUMMYFUNCTION("""COMPUTED_VALUE"""),260.75)</f>
        <v>260.75</v>
      </c>
      <c r="C11447" s="2">
        <f>IFERROR(__xludf.DUMMYFUNCTION("""COMPUTED_VALUE"""),261.13)</f>
        <v>261.13</v>
      </c>
      <c r="D11447" s="2">
        <f>IFERROR(__xludf.DUMMYFUNCTION("""COMPUTED_VALUE"""),256.77)</f>
        <v>256.77</v>
      </c>
      <c r="E11447" s="2">
        <f>IFERROR(__xludf.DUMMYFUNCTION("""COMPUTED_VALUE"""),258.69)</f>
        <v>258.69</v>
      </c>
      <c r="F11447" s="2">
        <f>IFERROR(__xludf.DUMMYFUNCTION("""COMPUTED_VALUE"""),2295228.0)</f>
        <v>2295228</v>
      </c>
    </row>
    <row r="11448">
      <c r="A11448" s="3">
        <f>IFERROR(__xludf.DUMMYFUNCTION("""COMPUTED_VALUE"""),45807.66666666667)</f>
        <v>45807.66667</v>
      </c>
      <c r="B11448" s="2">
        <f>IFERROR(__xludf.DUMMYFUNCTION("""COMPUTED_VALUE"""),258.75)</f>
        <v>258.75</v>
      </c>
      <c r="C11448" s="2">
        <f>IFERROR(__xludf.DUMMYFUNCTION("""COMPUTED_VALUE"""),260.12)</f>
        <v>260.12</v>
      </c>
      <c r="D11448" s="2">
        <f>IFERROR(__xludf.DUMMYFUNCTION("""COMPUTED_VALUE"""),257.1)</f>
        <v>257.1</v>
      </c>
      <c r="E11448" s="2">
        <f>IFERROR(__xludf.DUMMYFUNCTION("""COMPUTED_VALUE"""),259.06)</f>
        <v>259.06</v>
      </c>
      <c r="F11448" s="2">
        <f>IFERROR(__xludf.DUMMYFUNCTION("""COMPUTED_VALUE"""),9668923.0)</f>
        <v>9668923</v>
      </c>
    </row>
    <row r="11449">
      <c r="A11449" s="3">
        <f>IFERROR(__xludf.DUMMYFUNCTION("""COMPUTED_VALUE"""),45810.66666666667)</f>
        <v>45810.66667</v>
      </c>
      <c r="B11449" s="2">
        <f>IFERROR(__xludf.DUMMYFUNCTION("""COMPUTED_VALUE"""),257.85)</f>
        <v>257.85</v>
      </c>
      <c r="C11449" s="2">
        <f>IFERROR(__xludf.DUMMYFUNCTION("""COMPUTED_VALUE"""),263.98)</f>
        <v>263.98</v>
      </c>
      <c r="D11449" s="2">
        <f>IFERROR(__xludf.DUMMYFUNCTION("""COMPUTED_VALUE"""),257.22)</f>
        <v>257.22</v>
      </c>
      <c r="E11449" s="2">
        <f>IFERROR(__xludf.DUMMYFUNCTION("""COMPUTED_VALUE"""),263.9)</f>
        <v>263.9</v>
      </c>
      <c r="F11449" s="2">
        <f>IFERROR(__xludf.DUMMYFUNCTION("""COMPUTED_VALUE"""),2831881.0)</f>
        <v>2831881</v>
      </c>
    </row>
    <row r="11450">
      <c r="A11450" s="3">
        <f>IFERROR(__xludf.DUMMYFUNCTION("""COMPUTED_VALUE"""),45811.66666666667)</f>
        <v>45811.66667</v>
      </c>
      <c r="B11450" s="2">
        <f>IFERROR(__xludf.DUMMYFUNCTION("""COMPUTED_VALUE"""),263.35)</f>
        <v>263.35</v>
      </c>
      <c r="C11450" s="2">
        <f>IFERROR(__xludf.DUMMYFUNCTION("""COMPUTED_VALUE"""),265.56)</f>
        <v>265.56</v>
      </c>
      <c r="D11450" s="2">
        <f>IFERROR(__xludf.DUMMYFUNCTION("""COMPUTED_VALUE"""),262.58)</f>
        <v>262.58</v>
      </c>
      <c r="E11450" s="2">
        <f>IFERROR(__xludf.DUMMYFUNCTION("""COMPUTED_VALUE"""),265.2)</f>
        <v>265.2</v>
      </c>
      <c r="F11450" s="2">
        <f>IFERROR(__xludf.DUMMYFUNCTION("""COMPUTED_VALUE"""),2494922.0)</f>
        <v>2494922</v>
      </c>
    </row>
    <row r="11451">
      <c r="A11451" s="3">
        <f>IFERROR(__xludf.DUMMYFUNCTION("""COMPUTED_VALUE"""),45812.66666666667)</f>
        <v>45812.66667</v>
      </c>
      <c r="B11451" s="2">
        <f>IFERROR(__xludf.DUMMYFUNCTION("""COMPUTED_VALUE"""),264.9)</f>
        <v>264.9</v>
      </c>
      <c r="C11451" s="2">
        <f>IFERROR(__xludf.DUMMYFUNCTION("""COMPUTED_VALUE"""),267.0)</f>
        <v>267</v>
      </c>
      <c r="D11451" s="2">
        <f>IFERROR(__xludf.DUMMYFUNCTION("""COMPUTED_VALUE"""),264.79)</f>
        <v>264.79</v>
      </c>
      <c r="E11451" s="2">
        <f>IFERROR(__xludf.DUMMYFUNCTION("""COMPUTED_VALUE"""),265.52)</f>
        <v>265.52</v>
      </c>
      <c r="F11451" s="2">
        <f>IFERROR(__xludf.DUMMYFUNCTION("""COMPUTED_VALUE"""),2588741.0)</f>
        <v>2588741</v>
      </c>
    </row>
    <row r="11452">
      <c r="A11452" s="3">
        <f>IFERROR(__xludf.DUMMYFUNCTION("""COMPUTED_VALUE"""),45813.66666666667)</f>
        <v>45813.66667</v>
      </c>
      <c r="B11452" s="2">
        <f>IFERROR(__xludf.DUMMYFUNCTION("""COMPUTED_VALUE"""),265.2)</f>
        <v>265.2</v>
      </c>
      <c r="C11452" s="2">
        <f>IFERROR(__xludf.DUMMYFUNCTION("""COMPUTED_VALUE"""),267.51)</f>
        <v>267.51</v>
      </c>
      <c r="D11452" s="2">
        <f>IFERROR(__xludf.DUMMYFUNCTION("""COMPUTED_VALUE"""),265.1)</f>
        <v>265.1</v>
      </c>
      <c r="E11452" s="2">
        <f>IFERROR(__xludf.DUMMYFUNCTION("""COMPUTED_VALUE"""),266.86)</f>
        <v>266.86</v>
      </c>
      <c r="F11452" s="2">
        <f>IFERROR(__xludf.DUMMYFUNCTION("""COMPUTED_VALUE"""),2659478.0)</f>
        <v>2659478</v>
      </c>
    </row>
    <row r="11453">
      <c r="A11453" s="3">
        <f>IFERROR(__xludf.DUMMYFUNCTION("""COMPUTED_VALUE"""),45814.66666666667)</f>
        <v>45814.66667</v>
      </c>
      <c r="B11453" s="2">
        <f>IFERROR(__xludf.DUMMYFUNCTION("""COMPUTED_VALUE"""),267.99)</f>
        <v>267.99</v>
      </c>
      <c r="C11453" s="2">
        <f>IFERROR(__xludf.DUMMYFUNCTION("""COMPUTED_VALUE"""),270.17)</f>
        <v>270.17</v>
      </c>
      <c r="D11453" s="2">
        <f>IFERROR(__xludf.DUMMYFUNCTION("""COMPUTED_VALUE"""),267.53)</f>
        <v>267.53</v>
      </c>
      <c r="E11453" s="2">
        <f>IFERROR(__xludf.DUMMYFUNCTION("""COMPUTED_VALUE"""),268.87)</f>
        <v>268.87</v>
      </c>
      <c r="F11453" s="2">
        <f>IFERROR(__xludf.DUMMYFUNCTION("""COMPUTED_VALUE"""),2495543.0)</f>
        <v>2495543</v>
      </c>
    </row>
    <row r="11454">
      <c r="A11454" s="3">
        <f>IFERROR(__xludf.DUMMYFUNCTION("""COMPUTED_VALUE"""),45817.66666666667)</f>
        <v>45817.66667</v>
      </c>
      <c r="B11454" s="2">
        <f>IFERROR(__xludf.DUMMYFUNCTION("""COMPUTED_VALUE"""),268.1)</f>
        <v>268.1</v>
      </c>
      <c r="C11454" s="2">
        <f>IFERROR(__xludf.DUMMYFUNCTION("""COMPUTED_VALUE"""),273.47)</f>
        <v>273.47</v>
      </c>
      <c r="D11454" s="2">
        <f>IFERROR(__xludf.DUMMYFUNCTION("""COMPUTED_VALUE"""),266.71)</f>
        <v>266.71</v>
      </c>
      <c r="E11454" s="2">
        <f>IFERROR(__xludf.DUMMYFUNCTION("""COMPUTED_VALUE"""),272.08)</f>
        <v>272.08</v>
      </c>
      <c r="F11454" s="2">
        <f>IFERROR(__xludf.DUMMYFUNCTION("""COMPUTED_VALUE"""),4331464.0)</f>
        <v>4331464</v>
      </c>
    </row>
    <row r="11455">
      <c r="A11455" s="3">
        <f>IFERROR(__xludf.DUMMYFUNCTION("""COMPUTED_VALUE"""),45818.66666666667)</f>
        <v>45818.66667</v>
      </c>
      <c r="B11455" s="2">
        <f>IFERROR(__xludf.DUMMYFUNCTION("""COMPUTED_VALUE"""),273.19)</f>
        <v>273.19</v>
      </c>
      <c r="C11455" s="2">
        <f>IFERROR(__xludf.DUMMYFUNCTION("""COMPUTED_VALUE"""),277.47)</f>
        <v>277.47</v>
      </c>
      <c r="D11455" s="2">
        <f>IFERROR(__xludf.DUMMYFUNCTION("""COMPUTED_VALUE"""),272.56)</f>
        <v>272.56</v>
      </c>
      <c r="E11455" s="2">
        <f>IFERROR(__xludf.DUMMYFUNCTION("""COMPUTED_VALUE"""),276.24)</f>
        <v>276.24</v>
      </c>
      <c r="F11455" s="2">
        <f>IFERROR(__xludf.DUMMYFUNCTION("""COMPUTED_VALUE"""),5163507.0)</f>
        <v>5163507</v>
      </c>
    </row>
    <row r="11456">
      <c r="A11456" s="3">
        <f>IFERROR(__xludf.DUMMYFUNCTION("""COMPUTED_VALUE"""),45819.66666666667)</f>
        <v>45819.66667</v>
      </c>
      <c r="B11456" s="2">
        <f>IFERROR(__xludf.DUMMYFUNCTION("""COMPUTED_VALUE"""),276.7)</f>
        <v>276.7</v>
      </c>
      <c r="C11456" s="2">
        <f>IFERROR(__xludf.DUMMYFUNCTION("""COMPUTED_VALUE"""),281.75)</f>
        <v>281.75</v>
      </c>
      <c r="D11456" s="2">
        <f>IFERROR(__xludf.DUMMYFUNCTION("""COMPUTED_VALUE"""),275.11)</f>
        <v>275.11</v>
      </c>
      <c r="E11456" s="2">
        <f>IFERROR(__xludf.DUMMYFUNCTION("""COMPUTED_VALUE"""),281.52)</f>
        <v>281.52</v>
      </c>
      <c r="F11456" s="2">
        <f>IFERROR(__xludf.DUMMYFUNCTION("""COMPUTED_VALUE"""),4656034.0)</f>
        <v>4656034</v>
      </c>
    </row>
    <row r="11457">
      <c r="A11457" s="3">
        <f>IFERROR(__xludf.DUMMYFUNCTION("""COMPUTED_VALUE"""),45820.66666666667)</f>
        <v>45820.66667</v>
      </c>
      <c r="B11457" s="2">
        <f>IFERROR(__xludf.DUMMYFUNCTION("""COMPUTED_VALUE"""),281.53)</f>
        <v>281.53</v>
      </c>
      <c r="C11457" s="2">
        <f>IFERROR(__xludf.DUMMYFUNCTION("""COMPUTED_VALUE"""),283.06)</f>
        <v>283.06</v>
      </c>
      <c r="D11457" s="2">
        <f>IFERROR(__xludf.DUMMYFUNCTION("""COMPUTED_VALUE"""),279.83)</f>
        <v>279.83</v>
      </c>
      <c r="E11457" s="2">
        <f>IFERROR(__xludf.DUMMYFUNCTION("""COMPUTED_VALUE"""),281.03)</f>
        <v>281.03</v>
      </c>
      <c r="F11457" s="2">
        <f>IFERROR(__xludf.DUMMYFUNCTION("""COMPUTED_VALUE"""),3418007.0)</f>
        <v>3418007</v>
      </c>
    </row>
    <row r="11458">
      <c r="A11458" s="3">
        <f>IFERROR(__xludf.DUMMYFUNCTION("""COMPUTED_VALUE"""),45821.66666666667)</f>
        <v>45821.66667</v>
      </c>
      <c r="B11458" s="2">
        <f>IFERROR(__xludf.DUMMYFUNCTION("""COMPUTED_VALUE"""),278.21)</f>
        <v>278.21</v>
      </c>
      <c r="C11458" s="2">
        <f>IFERROR(__xludf.DUMMYFUNCTION("""COMPUTED_VALUE"""),279.84)</f>
        <v>279.84</v>
      </c>
      <c r="D11458" s="2">
        <f>IFERROR(__xludf.DUMMYFUNCTION("""COMPUTED_VALUE"""),275.83)</f>
        <v>275.83</v>
      </c>
      <c r="E11458" s="2">
        <f>IFERROR(__xludf.DUMMYFUNCTION("""COMPUTED_VALUE"""),277.22)</f>
        <v>277.22</v>
      </c>
      <c r="F11458" s="2">
        <f>IFERROR(__xludf.DUMMYFUNCTION("""COMPUTED_VALUE"""),3243824.0)</f>
        <v>3243824</v>
      </c>
    </row>
    <row r="11459">
      <c r="A11459" s="3">
        <f>IFERROR(__xludf.DUMMYFUNCTION("""COMPUTED_VALUE"""),45824.66666666667)</f>
        <v>45824.66667</v>
      </c>
      <c r="B11459" s="2">
        <f>IFERROR(__xludf.DUMMYFUNCTION("""COMPUTED_VALUE"""),279.31)</f>
        <v>279.31</v>
      </c>
      <c r="C11459" s="2">
        <f>IFERROR(__xludf.DUMMYFUNCTION("""COMPUTED_VALUE"""),284.5)</f>
        <v>284.5</v>
      </c>
      <c r="D11459" s="2">
        <f>IFERROR(__xludf.DUMMYFUNCTION("""COMPUTED_VALUE"""),278.67)</f>
        <v>278.67</v>
      </c>
      <c r="E11459" s="2">
        <f>IFERROR(__xludf.DUMMYFUNCTION("""COMPUTED_VALUE"""),281.83)</f>
        <v>281.83</v>
      </c>
      <c r="F11459" s="2">
        <f>IFERROR(__xludf.DUMMYFUNCTION("""COMPUTED_VALUE"""),3685321.0)</f>
        <v>3685321</v>
      </c>
    </row>
    <row r="11460">
      <c r="A11460" s="3">
        <f>IFERROR(__xludf.DUMMYFUNCTION("""COMPUTED_VALUE"""),45825.66666666667)</f>
        <v>45825.66667</v>
      </c>
      <c r="B11460" s="2">
        <f>IFERROR(__xludf.DUMMYFUNCTION("""COMPUTED_VALUE"""),281.15)</f>
        <v>281.15</v>
      </c>
      <c r="C11460" s="2">
        <f>IFERROR(__xludf.DUMMYFUNCTION("""COMPUTED_VALUE"""),284.79)</f>
        <v>284.79</v>
      </c>
      <c r="D11460" s="2">
        <f>IFERROR(__xludf.DUMMYFUNCTION("""COMPUTED_VALUE"""),281.0)</f>
        <v>281</v>
      </c>
      <c r="E11460" s="2">
        <f>IFERROR(__xludf.DUMMYFUNCTION("""COMPUTED_VALUE"""),283.05)</f>
        <v>283.05</v>
      </c>
      <c r="F11460" s="2">
        <f>IFERROR(__xludf.DUMMYFUNCTION("""COMPUTED_VALUE"""),3069556.0)</f>
        <v>3069556</v>
      </c>
    </row>
    <row r="11461">
      <c r="A11461" s="3">
        <f>IFERROR(__xludf.DUMMYFUNCTION("""COMPUTED_VALUE"""),45826.66666666667)</f>
        <v>45826.66667</v>
      </c>
      <c r="B11461" s="2">
        <f>IFERROR(__xludf.DUMMYFUNCTION("""COMPUTED_VALUE"""),285.0)</f>
        <v>285</v>
      </c>
      <c r="C11461" s="2">
        <f>IFERROR(__xludf.DUMMYFUNCTION("""COMPUTED_VALUE"""),286.91)</f>
        <v>286.91</v>
      </c>
      <c r="D11461" s="2">
        <f>IFERROR(__xludf.DUMMYFUNCTION("""COMPUTED_VALUE"""),282.94)</f>
        <v>282.94</v>
      </c>
      <c r="E11461" s="2">
        <f>IFERROR(__xludf.DUMMYFUNCTION("""COMPUTED_VALUE"""),283.21)</f>
        <v>283.21</v>
      </c>
      <c r="F11461" s="2">
        <f>IFERROR(__xludf.DUMMYFUNCTION("""COMPUTED_VALUE"""),3534110.0)</f>
        <v>3534110</v>
      </c>
    </row>
    <row r="11462">
      <c r="A11462" s="3">
        <f>IFERROR(__xludf.DUMMYFUNCTION("""COMPUTED_VALUE"""),45828.66666666667)</f>
        <v>45828.66667</v>
      </c>
      <c r="B11462" s="2">
        <f>IFERROR(__xludf.DUMMYFUNCTION("""COMPUTED_VALUE"""),279.28)</f>
        <v>279.28</v>
      </c>
      <c r="C11462" s="2">
        <f>IFERROR(__xludf.DUMMYFUNCTION("""COMPUTED_VALUE"""),284.12)</f>
        <v>284.12</v>
      </c>
      <c r="D11462" s="2">
        <f>IFERROR(__xludf.DUMMYFUNCTION("""COMPUTED_VALUE"""),277.2)</f>
        <v>277.2</v>
      </c>
      <c r="E11462" s="2">
        <f>IFERROR(__xludf.DUMMYFUNCTION("""COMPUTED_VALUE"""),280.97)</f>
        <v>280.97</v>
      </c>
      <c r="F11462" s="2">
        <f>IFERROR(__xludf.DUMMYFUNCTION("""COMPUTED_VALUE"""),7676962.0)</f>
        <v>7676962</v>
      </c>
    </row>
    <row r="11463">
      <c r="A11463" s="3">
        <f>IFERROR(__xludf.DUMMYFUNCTION("""COMPUTED_VALUE"""),45831.66666666667)</f>
        <v>45831.66667</v>
      </c>
      <c r="B11463" s="2">
        <f>IFERROR(__xludf.DUMMYFUNCTION("""COMPUTED_VALUE"""),281.65)</f>
        <v>281.65</v>
      </c>
      <c r="C11463" s="2">
        <f>IFERROR(__xludf.DUMMYFUNCTION("""COMPUTED_VALUE"""),289.58)</f>
        <v>289.58</v>
      </c>
      <c r="D11463" s="2">
        <f>IFERROR(__xludf.DUMMYFUNCTION("""COMPUTED_VALUE"""),280.21)</f>
        <v>280.21</v>
      </c>
      <c r="E11463" s="2">
        <f>IFERROR(__xludf.DUMMYFUNCTION("""COMPUTED_VALUE"""),289.18)</f>
        <v>289.18</v>
      </c>
      <c r="F11463" s="2">
        <f>IFERROR(__xludf.DUMMYFUNCTION("""COMPUTED_VALUE"""),3786159.0)</f>
        <v>3786159</v>
      </c>
    </row>
    <row r="11464">
      <c r="A11464" s="3">
        <f>IFERROR(__xludf.DUMMYFUNCTION("""COMPUTED_VALUE"""),45832.66666666667)</f>
        <v>45832.66667</v>
      </c>
      <c r="B11464" s="2">
        <f>IFERROR(__xludf.DUMMYFUNCTION("""COMPUTED_VALUE"""),290.46)</f>
        <v>290.46</v>
      </c>
      <c r="C11464" s="2">
        <f>IFERROR(__xludf.DUMMYFUNCTION("""COMPUTED_VALUE"""),294.34)</f>
        <v>294.34</v>
      </c>
      <c r="D11464" s="2">
        <f>IFERROR(__xludf.DUMMYFUNCTION("""COMPUTED_VALUE"""),288.41)</f>
        <v>288.41</v>
      </c>
      <c r="E11464" s="2">
        <f>IFERROR(__xludf.DUMMYFUNCTION("""COMPUTED_VALUE"""),293.79)</f>
        <v>293.79</v>
      </c>
      <c r="F11464" s="2">
        <f>IFERROR(__xludf.DUMMYFUNCTION("""COMPUTED_VALUE"""),4219120.0)</f>
        <v>4219120</v>
      </c>
    </row>
    <row r="11465">
      <c r="A11465" s="3">
        <f>IFERROR(__xludf.DUMMYFUNCTION("""COMPUTED_VALUE"""),45833.66666666667)</f>
        <v>45833.66667</v>
      </c>
      <c r="B11465" s="2">
        <f>IFERROR(__xludf.DUMMYFUNCTION("""COMPUTED_VALUE"""),294.49)</f>
        <v>294.49</v>
      </c>
      <c r="C11465" s="2">
        <f>IFERROR(__xludf.DUMMYFUNCTION("""COMPUTED_VALUE"""),296.16)</f>
        <v>296.16</v>
      </c>
      <c r="D11465" s="2">
        <f>IFERROR(__xludf.DUMMYFUNCTION("""COMPUTED_VALUE"""),289.5)</f>
        <v>289.5</v>
      </c>
      <c r="E11465" s="2">
        <f>IFERROR(__xludf.DUMMYFUNCTION("""COMPUTED_VALUE"""),291.06)</f>
        <v>291.06</v>
      </c>
      <c r="F11465" s="2">
        <f>IFERROR(__xludf.DUMMYFUNCTION("""COMPUTED_VALUE"""),3862309.0)</f>
        <v>3862309</v>
      </c>
    </row>
    <row r="11466">
      <c r="A11466" s="3">
        <f>IFERROR(__xludf.DUMMYFUNCTION("""COMPUTED_VALUE"""),45834.66666666667)</f>
        <v>45834.66667</v>
      </c>
      <c r="B11466" s="2">
        <f>IFERROR(__xludf.DUMMYFUNCTION("""COMPUTED_VALUE"""),291.8)</f>
        <v>291.8</v>
      </c>
      <c r="C11466" s="2">
        <f>IFERROR(__xludf.DUMMYFUNCTION("""COMPUTED_VALUE"""),292.91)</f>
        <v>292.91</v>
      </c>
      <c r="D11466" s="2">
        <f>IFERROR(__xludf.DUMMYFUNCTION("""COMPUTED_VALUE"""),290.17)</f>
        <v>290.17</v>
      </c>
      <c r="E11466" s="2">
        <f>IFERROR(__xludf.DUMMYFUNCTION("""COMPUTED_VALUE"""),291.93)</f>
        <v>291.93</v>
      </c>
      <c r="F11466" s="2">
        <f>IFERROR(__xludf.DUMMYFUNCTION("""COMPUTED_VALUE"""),3621110.0)</f>
        <v>3621110</v>
      </c>
    </row>
    <row r="11467">
      <c r="A11467" s="3">
        <f>IFERROR(__xludf.DUMMYFUNCTION("""COMPUTED_VALUE"""),45835.66666666667)</f>
        <v>45835.66667</v>
      </c>
      <c r="B11467" s="2">
        <f>IFERROR(__xludf.DUMMYFUNCTION("""COMPUTED_VALUE"""),292.97)</f>
        <v>292.97</v>
      </c>
      <c r="C11467" s="2">
        <f>IFERROR(__xludf.DUMMYFUNCTION("""COMPUTED_VALUE"""),293.12)</f>
        <v>293.12</v>
      </c>
      <c r="D11467" s="2">
        <f>IFERROR(__xludf.DUMMYFUNCTION("""COMPUTED_VALUE"""),288.52)</f>
        <v>288.52</v>
      </c>
      <c r="E11467" s="2">
        <f>IFERROR(__xludf.DUMMYFUNCTION("""COMPUTED_VALUE"""),289.7)</f>
        <v>289.7</v>
      </c>
      <c r="F11467" s="2">
        <f>IFERROR(__xludf.DUMMYFUNCTION("""COMPUTED_VALUE"""),3562501.0)</f>
        <v>3562501</v>
      </c>
    </row>
    <row r="11468">
      <c r="A11468" s="3">
        <f>IFERROR(__xludf.DUMMYFUNCTION("""COMPUTED_VALUE"""),45838.66666666667)</f>
        <v>45838.66667</v>
      </c>
      <c r="B11468" s="2">
        <f>IFERROR(__xludf.DUMMYFUNCTION("""COMPUTED_VALUE"""),290.93)</f>
        <v>290.93</v>
      </c>
      <c r="C11468" s="2">
        <f>IFERROR(__xludf.DUMMYFUNCTION("""COMPUTED_VALUE"""),294.81)</f>
        <v>294.81</v>
      </c>
      <c r="D11468" s="2">
        <f>IFERROR(__xludf.DUMMYFUNCTION("""COMPUTED_VALUE"""),290.0)</f>
        <v>290</v>
      </c>
      <c r="E11468" s="2">
        <f>IFERROR(__xludf.DUMMYFUNCTION("""COMPUTED_VALUE"""),294.78)</f>
        <v>294.78</v>
      </c>
      <c r="F11468" s="2">
        <f>IFERROR(__xludf.DUMMYFUNCTION("""COMPUTED_VALUE"""),3495386.0)</f>
        <v>3495386</v>
      </c>
    </row>
    <row r="11469">
      <c r="A11469" s="3">
        <f>IFERROR(__xludf.DUMMYFUNCTION("""COMPUTED_VALUE"""),45839.66666666667)</f>
        <v>45839.66667</v>
      </c>
      <c r="B11469" s="2">
        <f>IFERROR(__xludf.DUMMYFUNCTION("""COMPUTED_VALUE"""),294.55)</f>
        <v>294.55</v>
      </c>
      <c r="C11469" s="2">
        <f>IFERROR(__xludf.DUMMYFUNCTION("""COMPUTED_VALUE"""),295.11)</f>
        <v>295.11</v>
      </c>
      <c r="D11469" s="2">
        <f>IFERROR(__xludf.DUMMYFUNCTION("""COMPUTED_VALUE"""),290.08)</f>
        <v>290.08</v>
      </c>
      <c r="E11469" s="2">
        <f>IFERROR(__xludf.DUMMYFUNCTION("""COMPUTED_VALUE"""),291.2)</f>
        <v>291.2</v>
      </c>
      <c r="F11469" s="2">
        <f>IFERROR(__xludf.DUMMYFUNCTION("""COMPUTED_VALUE"""),3272797.0)</f>
        <v>3272797</v>
      </c>
    </row>
    <row r="11470">
      <c r="A11470" s="3">
        <f>IFERROR(__xludf.DUMMYFUNCTION("""COMPUTED_VALUE"""),45840.66666666667)</f>
        <v>45840.66667</v>
      </c>
      <c r="B11470" s="2">
        <f>IFERROR(__xludf.DUMMYFUNCTION("""COMPUTED_VALUE"""),290.0)</f>
        <v>290</v>
      </c>
      <c r="C11470" s="2">
        <f>IFERROR(__xludf.DUMMYFUNCTION("""COMPUTED_VALUE"""),290.19)</f>
        <v>290.19</v>
      </c>
      <c r="D11470" s="2">
        <f>IFERROR(__xludf.DUMMYFUNCTION("""COMPUTED_VALUE"""),286.9)</f>
        <v>286.9</v>
      </c>
      <c r="E11470" s="2">
        <f>IFERROR(__xludf.DUMMYFUNCTION("""COMPUTED_VALUE"""),287.65)</f>
        <v>287.65</v>
      </c>
      <c r="F11470" s="2">
        <f>IFERROR(__xludf.DUMMYFUNCTION("""COMPUTED_VALUE"""),3257515.0)</f>
        <v>3257515</v>
      </c>
    </row>
    <row r="11471">
      <c r="A11471" s="3">
        <f>IFERROR(__xludf.DUMMYFUNCTION("""COMPUTED_VALUE"""),45841.54166666667)</f>
        <v>45841.54167</v>
      </c>
      <c r="B11471" s="2">
        <f>IFERROR(__xludf.DUMMYFUNCTION("""COMPUTED_VALUE"""),287.94)</f>
        <v>287.94</v>
      </c>
      <c r="C11471" s="2">
        <f>IFERROR(__xludf.DUMMYFUNCTION("""COMPUTED_VALUE"""),292.32)</f>
        <v>292.32</v>
      </c>
      <c r="D11471" s="2">
        <f>IFERROR(__xludf.DUMMYFUNCTION("""COMPUTED_VALUE"""),287.9)</f>
        <v>287.9</v>
      </c>
      <c r="E11471" s="2">
        <f>IFERROR(__xludf.DUMMYFUNCTION("""COMPUTED_VALUE"""),291.97)</f>
        <v>291.97</v>
      </c>
      <c r="F11471" s="2">
        <f>IFERROR(__xludf.DUMMYFUNCTION("""COMPUTED_VALUE"""),1853289.0)</f>
        <v>1853289</v>
      </c>
    </row>
    <row r="11472">
      <c r="A11472" s="3">
        <f>IFERROR(__xludf.DUMMYFUNCTION("""COMPUTED_VALUE"""),45845.66666666667)</f>
        <v>45845.66667</v>
      </c>
      <c r="B11472" s="2">
        <f>IFERROR(__xludf.DUMMYFUNCTION("""COMPUTED_VALUE"""),292.26)</f>
        <v>292.26</v>
      </c>
      <c r="C11472" s="2">
        <f>IFERROR(__xludf.DUMMYFUNCTION("""COMPUTED_VALUE"""),295.22)</f>
        <v>295.22</v>
      </c>
      <c r="D11472" s="2">
        <f>IFERROR(__xludf.DUMMYFUNCTION("""COMPUTED_VALUE"""),290.36)</f>
        <v>290.36</v>
      </c>
      <c r="E11472" s="2">
        <f>IFERROR(__xludf.DUMMYFUNCTION("""COMPUTED_VALUE"""),292.47)</f>
        <v>292.47</v>
      </c>
      <c r="F11472" s="2">
        <f>IFERROR(__xludf.DUMMYFUNCTION("""COMPUTED_VALUE"""),4488064.0)</f>
        <v>4488064</v>
      </c>
    </row>
    <row r="11473">
      <c r="A11473" s="3">
        <f>IFERROR(__xludf.DUMMYFUNCTION("""COMPUTED_VALUE"""),45846.66666666667)</f>
        <v>45846.66667</v>
      </c>
      <c r="B11473" s="2">
        <f>IFERROR(__xludf.DUMMYFUNCTION("""COMPUTED_VALUE"""),293.1)</f>
        <v>293.1</v>
      </c>
      <c r="C11473" s="2">
        <f>IFERROR(__xludf.DUMMYFUNCTION("""COMPUTED_VALUE"""),295.61)</f>
        <v>295.61</v>
      </c>
      <c r="D11473" s="2">
        <f>IFERROR(__xludf.DUMMYFUNCTION("""COMPUTED_VALUE"""),289.49)</f>
        <v>289.49</v>
      </c>
      <c r="E11473" s="2">
        <f>IFERROR(__xludf.DUMMYFUNCTION("""COMPUTED_VALUE"""),290.42)</f>
        <v>290.42</v>
      </c>
      <c r="F11473" s="2">
        <f>IFERROR(__xludf.DUMMYFUNCTION("""COMPUTED_VALUE"""),2925329.0)</f>
        <v>2925329</v>
      </c>
    </row>
    <row r="11474">
      <c r="A11474" s="3">
        <f>IFERROR(__xludf.DUMMYFUNCTION("""COMPUTED_VALUE"""),45847.66666666667)</f>
        <v>45847.66667</v>
      </c>
      <c r="B11474" s="2">
        <f>IFERROR(__xludf.DUMMYFUNCTION("""COMPUTED_VALUE"""),291.39)</f>
        <v>291.39</v>
      </c>
      <c r="C11474" s="2">
        <f>IFERROR(__xludf.DUMMYFUNCTION("""COMPUTED_VALUE"""),291.6)</f>
        <v>291.6</v>
      </c>
      <c r="D11474" s="2">
        <f>IFERROR(__xludf.DUMMYFUNCTION("""COMPUTED_VALUE"""),288.63)</f>
        <v>288.63</v>
      </c>
      <c r="E11474" s="2">
        <f>IFERROR(__xludf.DUMMYFUNCTION("""COMPUTED_VALUE"""),290.14)</f>
        <v>290.14</v>
      </c>
      <c r="F11474" s="2">
        <f>IFERROR(__xludf.DUMMYFUNCTION("""COMPUTED_VALUE"""),2971309.0)</f>
        <v>2971309</v>
      </c>
    </row>
    <row r="11475">
      <c r="A11475" s="3">
        <f>IFERROR(__xludf.DUMMYFUNCTION("""COMPUTED_VALUE"""),45848.66666666667)</f>
        <v>45848.66667</v>
      </c>
      <c r="B11475" s="2">
        <f>IFERROR(__xludf.DUMMYFUNCTION("""COMPUTED_VALUE"""),288.9)</f>
        <v>288.9</v>
      </c>
      <c r="C11475" s="2">
        <f>IFERROR(__xludf.DUMMYFUNCTION("""COMPUTED_VALUE"""),288.9)</f>
        <v>288.9</v>
      </c>
      <c r="D11475" s="2">
        <f>IFERROR(__xludf.DUMMYFUNCTION("""COMPUTED_VALUE"""),282.21)</f>
        <v>282.21</v>
      </c>
      <c r="E11475" s="2">
        <f>IFERROR(__xludf.DUMMYFUNCTION("""COMPUTED_VALUE"""),287.43)</f>
        <v>287.43</v>
      </c>
      <c r="F11475" s="2">
        <f>IFERROR(__xludf.DUMMYFUNCTION("""COMPUTED_VALUE"""),3489068.0)</f>
        <v>3489068</v>
      </c>
    </row>
    <row r="11476">
      <c r="A11476" s="3">
        <f>IFERROR(__xludf.DUMMYFUNCTION("""COMPUTED_VALUE"""),45849.66666666667)</f>
        <v>45849.66667</v>
      </c>
      <c r="B11476" s="2">
        <f>IFERROR(__xludf.DUMMYFUNCTION("""COMPUTED_VALUE"""),285.01)</f>
        <v>285.01</v>
      </c>
      <c r="C11476" s="2">
        <f>IFERROR(__xludf.DUMMYFUNCTION("""COMPUTED_VALUE"""),287.43)</f>
        <v>287.43</v>
      </c>
      <c r="D11476" s="2">
        <f>IFERROR(__xludf.DUMMYFUNCTION("""COMPUTED_VALUE"""),282.92)</f>
        <v>282.92</v>
      </c>
      <c r="E11476" s="2">
        <f>IFERROR(__xludf.DUMMYFUNCTION("""COMPUTED_VALUE"""),283.59)</f>
        <v>283.59</v>
      </c>
      <c r="F11476" s="2">
        <f>IFERROR(__xludf.DUMMYFUNCTION("""COMPUTED_VALUE"""),3790679.0)</f>
        <v>3790679</v>
      </c>
    </row>
    <row r="11477">
      <c r="A11477" s="3">
        <f>IFERROR(__xludf.DUMMYFUNCTION("""COMPUTED_VALUE"""),45852.66666666667)</f>
        <v>45852.66667</v>
      </c>
      <c r="B11477" s="2">
        <f>IFERROR(__xludf.DUMMYFUNCTION("""COMPUTED_VALUE"""),282.83)</f>
        <v>282.83</v>
      </c>
      <c r="C11477" s="2">
        <f>IFERROR(__xludf.DUMMYFUNCTION("""COMPUTED_VALUE"""),284.93)</f>
        <v>284.93</v>
      </c>
      <c r="D11477" s="2">
        <f>IFERROR(__xludf.DUMMYFUNCTION("""COMPUTED_VALUE"""),281.71)</f>
        <v>281.71</v>
      </c>
      <c r="E11477" s="2">
        <f>IFERROR(__xludf.DUMMYFUNCTION("""COMPUTED_VALUE"""),283.79)</f>
        <v>283.79</v>
      </c>
      <c r="F11477" s="2">
        <f>IFERROR(__xludf.DUMMYFUNCTION("""COMPUTED_VALUE"""),2857401.0)</f>
        <v>2857401</v>
      </c>
    </row>
    <row r="11478">
      <c r="A11478" s="3">
        <f>IFERROR(__xludf.DUMMYFUNCTION("""COMPUTED_VALUE"""),45853.66666666667)</f>
        <v>45853.66667</v>
      </c>
      <c r="B11478" s="2">
        <f>IFERROR(__xludf.DUMMYFUNCTION("""COMPUTED_VALUE"""),283.77)</f>
        <v>283.77</v>
      </c>
      <c r="C11478" s="2">
        <f>IFERROR(__xludf.DUMMYFUNCTION("""COMPUTED_VALUE"""),284.15)</f>
        <v>284.15</v>
      </c>
      <c r="D11478" s="2">
        <f>IFERROR(__xludf.DUMMYFUNCTION("""COMPUTED_VALUE"""),280.73)</f>
        <v>280.73</v>
      </c>
      <c r="E11478" s="2">
        <f>IFERROR(__xludf.DUMMYFUNCTION("""COMPUTED_VALUE"""),282.7)</f>
        <v>282.7</v>
      </c>
      <c r="F11478" s="2">
        <f>IFERROR(__xludf.DUMMYFUNCTION("""COMPUTED_VALUE"""),2864106.0)</f>
        <v>2864106</v>
      </c>
    </row>
    <row r="11479">
      <c r="A11479" s="3">
        <f>IFERROR(__xludf.DUMMYFUNCTION("""COMPUTED_VALUE"""),45854.66666666667)</f>
        <v>45854.66667</v>
      </c>
      <c r="B11479" s="2">
        <f>IFERROR(__xludf.DUMMYFUNCTION("""COMPUTED_VALUE"""),282.75)</f>
        <v>282.75</v>
      </c>
      <c r="C11479" s="2">
        <f>IFERROR(__xludf.DUMMYFUNCTION("""COMPUTED_VALUE"""),283.87)</f>
        <v>283.87</v>
      </c>
      <c r="D11479" s="2">
        <f>IFERROR(__xludf.DUMMYFUNCTION("""COMPUTED_VALUE"""),279.87)</f>
        <v>279.87</v>
      </c>
      <c r="E11479" s="2">
        <f>IFERROR(__xludf.DUMMYFUNCTION("""COMPUTED_VALUE"""),281.92)</f>
        <v>281.92</v>
      </c>
      <c r="F11479" s="2">
        <f>IFERROR(__xludf.DUMMYFUNCTION("""COMPUTED_VALUE"""),2804831.0)</f>
        <v>2804831</v>
      </c>
    </row>
    <row r="11480">
      <c r="A11480" s="3">
        <f>IFERROR(__xludf.DUMMYFUNCTION("""COMPUTED_VALUE"""),45855.66666666667)</f>
        <v>45855.66667</v>
      </c>
      <c r="B11480" s="2">
        <f>IFERROR(__xludf.DUMMYFUNCTION("""COMPUTED_VALUE"""),281.5)</f>
        <v>281.5</v>
      </c>
      <c r="C11480" s="2">
        <f>IFERROR(__xludf.DUMMYFUNCTION("""COMPUTED_VALUE"""),283.46)</f>
        <v>283.46</v>
      </c>
      <c r="D11480" s="2">
        <f>IFERROR(__xludf.DUMMYFUNCTION("""COMPUTED_VALUE"""),280.9)</f>
        <v>280.9</v>
      </c>
      <c r="E11480" s="2">
        <f>IFERROR(__xludf.DUMMYFUNCTION("""COMPUTED_VALUE"""),282.0)</f>
        <v>282</v>
      </c>
      <c r="F11480" s="2">
        <f>IFERROR(__xludf.DUMMYFUNCTION("""COMPUTED_VALUE"""),3337168.0)</f>
        <v>3337168</v>
      </c>
    </row>
    <row r="11481">
      <c r="A11481" s="3">
        <f>IFERROR(__xludf.DUMMYFUNCTION("""COMPUTED_VALUE"""),45856.66666666667)</f>
        <v>45856.66667</v>
      </c>
      <c r="B11481" s="2">
        <f>IFERROR(__xludf.DUMMYFUNCTION("""COMPUTED_VALUE"""),283.38)</f>
        <v>283.38</v>
      </c>
      <c r="C11481" s="2">
        <f>IFERROR(__xludf.DUMMYFUNCTION("""COMPUTED_VALUE"""),287.16)</f>
        <v>287.16</v>
      </c>
      <c r="D11481" s="2">
        <f>IFERROR(__xludf.DUMMYFUNCTION("""COMPUTED_VALUE"""),282.22)</f>
        <v>282.22</v>
      </c>
      <c r="E11481" s="2">
        <f>IFERROR(__xludf.DUMMYFUNCTION("""COMPUTED_VALUE"""),285.87)</f>
        <v>285.87</v>
      </c>
      <c r="F11481" s="2">
        <f>IFERROR(__xludf.DUMMYFUNCTION("""COMPUTED_VALUE"""),4478165.0)</f>
        <v>4478165</v>
      </c>
    </row>
    <row r="11482">
      <c r="A11482" s="3">
        <f>IFERROR(__xludf.DUMMYFUNCTION("""COMPUTED_VALUE"""),45859.66666666667)</f>
        <v>45859.66667</v>
      </c>
      <c r="B11482" s="2">
        <f>IFERROR(__xludf.DUMMYFUNCTION("""COMPUTED_VALUE"""),286.29)</f>
        <v>286.29</v>
      </c>
      <c r="C11482" s="2">
        <f>IFERROR(__xludf.DUMMYFUNCTION("""COMPUTED_VALUE"""),287.73)</f>
        <v>287.73</v>
      </c>
      <c r="D11482" s="2">
        <f>IFERROR(__xludf.DUMMYFUNCTION("""COMPUTED_VALUE"""),284.38)</f>
        <v>284.38</v>
      </c>
      <c r="E11482" s="2">
        <f>IFERROR(__xludf.DUMMYFUNCTION("""COMPUTED_VALUE"""),284.71)</f>
        <v>284.71</v>
      </c>
      <c r="F11482" s="2">
        <f>IFERROR(__xludf.DUMMYFUNCTION("""COMPUTED_VALUE"""),3051791.0)</f>
        <v>3051791</v>
      </c>
    </row>
    <row r="11483">
      <c r="A11483" s="3">
        <f>IFERROR(__xludf.DUMMYFUNCTION("""COMPUTED_VALUE"""),45860.66666666667)</f>
        <v>45860.66667</v>
      </c>
      <c r="B11483" s="2">
        <f>IFERROR(__xludf.DUMMYFUNCTION("""COMPUTED_VALUE"""),284.74)</f>
        <v>284.74</v>
      </c>
      <c r="C11483" s="2">
        <f>IFERROR(__xludf.DUMMYFUNCTION("""COMPUTED_VALUE"""),284.88)</f>
        <v>284.88</v>
      </c>
      <c r="D11483" s="2">
        <f>IFERROR(__xludf.DUMMYFUNCTION("""COMPUTED_VALUE"""),281.25)</f>
        <v>281.25</v>
      </c>
      <c r="E11483" s="2">
        <f>IFERROR(__xludf.DUMMYFUNCTION("""COMPUTED_VALUE"""),281.96)</f>
        <v>281.96</v>
      </c>
      <c r="F11483" s="2">
        <f>IFERROR(__xludf.DUMMYFUNCTION("""COMPUTED_VALUE"""),4824219.0)</f>
        <v>4824219</v>
      </c>
    </row>
    <row r="11484">
      <c r="A11484" s="3">
        <f>IFERROR(__xludf.DUMMYFUNCTION("""COMPUTED_VALUE"""),45861.66666666667)</f>
        <v>45861.66667</v>
      </c>
      <c r="B11484" s="2">
        <f>IFERROR(__xludf.DUMMYFUNCTION("""COMPUTED_VALUE"""),284.3)</f>
        <v>284.3</v>
      </c>
      <c r="C11484" s="2">
        <f>IFERROR(__xludf.DUMMYFUNCTION("""COMPUTED_VALUE"""),288.08)</f>
        <v>288.08</v>
      </c>
      <c r="D11484" s="2">
        <f>IFERROR(__xludf.DUMMYFUNCTION("""COMPUTED_VALUE"""),281.44)</f>
        <v>281.44</v>
      </c>
      <c r="E11484" s="2">
        <f>IFERROR(__xludf.DUMMYFUNCTION("""COMPUTED_VALUE"""),282.01)</f>
        <v>282.01</v>
      </c>
      <c r="F11484" s="2">
        <f>IFERROR(__xludf.DUMMYFUNCTION("""COMPUTED_VALUE"""),8105906.0)</f>
        <v>8105906</v>
      </c>
    </row>
    <row r="11485">
      <c r="A11485" s="3">
        <f>IFERROR(__xludf.DUMMYFUNCTION("""COMPUTED_VALUE"""),45862.66666666667)</f>
        <v>45862.66667</v>
      </c>
      <c r="B11485" s="2">
        <f>IFERROR(__xludf.DUMMYFUNCTION("""COMPUTED_VALUE"""),261.25)</f>
        <v>261.25</v>
      </c>
      <c r="C11485" s="2">
        <f>IFERROR(__xludf.DUMMYFUNCTION("""COMPUTED_VALUE"""),262.05)</f>
        <v>262.05</v>
      </c>
      <c r="D11485" s="2">
        <f>IFERROR(__xludf.DUMMYFUNCTION("""COMPUTED_VALUE"""),252.75)</f>
        <v>252.75</v>
      </c>
      <c r="E11485" s="2">
        <f>IFERROR(__xludf.DUMMYFUNCTION("""COMPUTED_VALUE"""),260.51)</f>
        <v>260.51</v>
      </c>
      <c r="F11485" s="2">
        <f>IFERROR(__xludf.DUMMYFUNCTION("""COMPUTED_VALUE"""),2.264772E7)</f>
        <v>22647720</v>
      </c>
    </row>
    <row r="11486">
      <c r="A11486" s="3">
        <f>IFERROR(__xludf.DUMMYFUNCTION("""COMPUTED_VALUE"""),45863.66666666667)</f>
        <v>45863.66667</v>
      </c>
      <c r="B11486" s="2">
        <f>IFERROR(__xludf.DUMMYFUNCTION("""COMPUTED_VALUE"""),260.02)</f>
        <v>260.02</v>
      </c>
      <c r="C11486" s="2">
        <f>IFERROR(__xludf.DUMMYFUNCTION("""COMPUTED_VALUE"""),260.8)</f>
        <v>260.8</v>
      </c>
      <c r="D11486" s="2">
        <f>IFERROR(__xludf.DUMMYFUNCTION("""COMPUTED_VALUE"""),256.35)</f>
        <v>256.35</v>
      </c>
      <c r="E11486" s="2">
        <f>IFERROR(__xludf.DUMMYFUNCTION("""COMPUTED_VALUE"""),259.72)</f>
        <v>259.72</v>
      </c>
      <c r="F11486" s="2">
        <f>IFERROR(__xludf.DUMMYFUNCTION("""COMPUTED_VALUE"""),7758653.0)</f>
        <v>7758653</v>
      </c>
    </row>
    <row r="11487">
      <c r="A11487" s="3">
        <f>IFERROR(__xludf.DUMMYFUNCTION("""COMPUTED_VALUE"""),45866.66666666667)</f>
        <v>45866.66667</v>
      </c>
      <c r="B11487" s="2">
        <f>IFERROR(__xludf.DUMMYFUNCTION("""COMPUTED_VALUE"""),260.3)</f>
        <v>260.3</v>
      </c>
      <c r="C11487" s="2">
        <f>IFERROR(__xludf.DUMMYFUNCTION("""COMPUTED_VALUE"""),264.0)</f>
        <v>264</v>
      </c>
      <c r="D11487" s="2">
        <f>IFERROR(__xludf.DUMMYFUNCTION("""COMPUTED_VALUE"""),259.61)</f>
        <v>259.61</v>
      </c>
      <c r="E11487" s="2">
        <f>IFERROR(__xludf.DUMMYFUNCTION("""COMPUTED_VALUE"""),263.21)</f>
        <v>263.21</v>
      </c>
      <c r="F11487" s="2">
        <f>IFERROR(__xludf.DUMMYFUNCTION("""COMPUTED_VALUE"""),5192516.0)</f>
        <v>5192516</v>
      </c>
    </row>
    <row r="11488">
      <c r="A11488" s="3">
        <f>IFERROR(__xludf.DUMMYFUNCTION("""COMPUTED_VALUE"""),45867.66666666667)</f>
        <v>45867.66667</v>
      </c>
      <c r="B11488" s="2">
        <f>IFERROR(__xludf.DUMMYFUNCTION("""COMPUTED_VALUE"""),264.3)</f>
        <v>264.3</v>
      </c>
      <c r="C11488" s="2">
        <f>IFERROR(__xludf.DUMMYFUNCTION("""COMPUTED_VALUE"""),265.8)</f>
        <v>265.8</v>
      </c>
      <c r="D11488" s="2">
        <f>IFERROR(__xludf.DUMMYFUNCTION("""COMPUTED_VALUE"""),261.02)</f>
        <v>261.02</v>
      </c>
      <c r="E11488" s="2">
        <f>IFERROR(__xludf.DUMMYFUNCTION("""COMPUTED_VALUE"""),262.41)</f>
        <v>262.41</v>
      </c>
      <c r="F11488" s="2">
        <f>IFERROR(__xludf.DUMMYFUNCTION("""COMPUTED_VALUE"""),4627265.0)</f>
        <v>4627265</v>
      </c>
    </row>
    <row r="11489">
      <c r="A11489" s="3">
        <f>IFERROR(__xludf.DUMMYFUNCTION("""COMPUTED_VALUE"""),45868.66666666667)</f>
        <v>45868.66667</v>
      </c>
      <c r="B11489" s="2">
        <f>IFERROR(__xludf.DUMMYFUNCTION("""COMPUTED_VALUE"""),261.6)</f>
        <v>261.6</v>
      </c>
      <c r="C11489" s="2">
        <f>IFERROR(__xludf.DUMMYFUNCTION("""COMPUTED_VALUE"""),262.0)</f>
        <v>262</v>
      </c>
      <c r="D11489" s="2">
        <f>IFERROR(__xludf.DUMMYFUNCTION("""COMPUTED_VALUE"""),258.9)</f>
        <v>258.9</v>
      </c>
      <c r="E11489" s="2">
        <f>IFERROR(__xludf.DUMMYFUNCTION("""COMPUTED_VALUE"""),260.26)</f>
        <v>260.26</v>
      </c>
      <c r="F11489" s="2">
        <f>IFERROR(__xludf.DUMMYFUNCTION("""COMPUTED_VALUE"""),3718290.0)</f>
        <v>3718290</v>
      </c>
    </row>
    <row r="11490">
      <c r="A11490" s="3">
        <f>IFERROR(__xludf.DUMMYFUNCTION("""COMPUTED_VALUE"""),45869.66666666667)</f>
        <v>45869.66667</v>
      </c>
      <c r="B11490" s="2">
        <f>IFERROR(__xludf.DUMMYFUNCTION("""COMPUTED_VALUE"""),259.57)</f>
        <v>259.57</v>
      </c>
      <c r="C11490" s="2">
        <f>IFERROR(__xludf.DUMMYFUNCTION("""COMPUTED_VALUE"""),259.99)</f>
        <v>259.99</v>
      </c>
      <c r="D11490" s="2">
        <f>IFERROR(__xludf.DUMMYFUNCTION("""COMPUTED_VALUE"""),252.22)</f>
        <v>252.22</v>
      </c>
      <c r="E11490" s="2">
        <f>IFERROR(__xludf.DUMMYFUNCTION("""COMPUTED_VALUE"""),253.15)</f>
        <v>253.15</v>
      </c>
      <c r="F11490" s="2">
        <f>IFERROR(__xludf.DUMMYFUNCTION("""COMPUTED_VALUE"""),6739092.0)</f>
        <v>6739092</v>
      </c>
    </row>
    <row r="11491">
      <c r="A11491" s="3">
        <f>IFERROR(__xludf.DUMMYFUNCTION("""COMPUTED_VALUE"""),45870.66666666667)</f>
        <v>45870.66667</v>
      </c>
      <c r="B11491" s="2">
        <f>IFERROR(__xludf.DUMMYFUNCTION("""COMPUTED_VALUE"""),251.41)</f>
        <v>251.41</v>
      </c>
      <c r="C11491" s="2">
        <f>IFERROR(__xludf.DUMMYFUNCTION("""COMPUTED_VALUE"""),251.48)</f>
        <v>251.48</v>
      </c>
      <c r="D11491" s="2">
        <f>IFERROR(__xludf.DUMMYFUNCTION("""COMPUTED_VALUE"""),245.61)</f>
        <v>245.61</v>
      </c>
      <c r="E11491" s="2">
        <f>IFERROR(__xludf.DUMMYFUNCTION("""COMPUTED_VALUE"""),250.05)</f>
        <v>250.05</v>
      </c>
      <c r="F11491" s="2">
        <f>IFERROR(__xludf.DUMMYFUNCTION("""COMPUTED_VALUE"""),9683404.0)</f>
        <v>9683404</v>
      </c>
    </row>
    <row r="11492">
      <c r="A11492" s="3">
        <f>IFERROR(__xludf.DUMMYFUNCTION("""COMPUTED_VALUE"""),45873.66666666667)</f>
        <v>45873.66667</v>
      </c>
      <c r="B11492" s="2">
        <f>IFERROR(__xludf.DUMMYFUNCTION("""COMPUTED_VALUE"""),251.05)</f>
        <v>251.05</v>
      </c>
      <c r="C11492" s="2">
        <f>IFERROR(__xludf.DUMMYFUNCTION("""COMPUTED_VALUE"""),252.08)</f>
        <v>252.08</v>
      </c>
      <c r="D11492" s="2">
        <f>IFERROR(__xludf.DUMMYFUNCTION("""COMPUTED_VALUE"""),248.11)</f>
        <v>248.11</v>
      </c>
      <c r="E11492" s="2">
        <f>IFERROR(__xludf.DUMMYFUNCTION("""COMPUTED_VALUE"""),251.98)</f>
        <v>251.98</v>
      </c>
      <c r="F11492" s="2">
        <f>IFERROR(__xludf.DUMMYFUNCTION("""COMPUTED_VALUE"""),5280588.0)</f>
        <v>5280588</v>
      </c>
    </row>
    <row r="11493">
      <c r="A11493" s="3">
        <f>IFERROR(__xludf.DUMMYFUNCTION("""COMPUTED_VALUE"""),45874.66666666667)</f>
        <v>45874.66667</v>
      </c>
      <c r="B11493" s="2">
        <f>IFERROR(__xludf.DUMMYFUNCTION("""COMPUTED_VALUE"""),252.0)</f>
        <v>252</v>
      </c>
      <c r="C11493" s="2">
        <f>IFERROR(__xludf.DUMMYFUNCTION("""COMPUTED_VALUE"""),252.8)</f>
        <v>252.8</v>
      </c>
      <c r="D11493" s="2">
        <f>IFERROR(__xludf.DUMMYFUNCTION("""COMPUTED_VALUE"""),249.0)</f>
        <v>249</v>
      </c>
      <c r="E11493" s="2">
        <f>IFERROR(__xludf.DUMMYFUNCTION("""COMPUTED_VALUE"""),250.67)</f>
        <v>250.67</v>
      </c>
      <c r="F11493" s="2">
        <f>IFERROR(__xludf.DUMMYFUNCTION("""COMPUTED_VALUE"""),5823016.0)</f>
        <v>5823016</v>
      </c>
    </row>
    <row r="11494">
      <c r="A11494" s="3">
        <f>IFERROR(__xludf.DUMMYFUNCTION("""COMPUTED_VALUE"""),45875.66666666667)</f>
        <v>45875.66667</v>
      </c>
      <c r="B11494" s="2">
        <f>IFERROR(__xludf.DUMMYFUNCTION("""COMPUTED_VALUE"""),251.53)</f>
        <v>251.53</v>
      </c>
      <c r="C11494" s="2">
        <f>IFERROR(__xludf.DUMMYFUNCTION("""COMPUTED_VALUE"""),254.32)</f>
        <v>254.32</v>
      </c>
      <c r="D11494" s="2">
        <f>IFERROR(__xludf.DUMMYFUNCTION("""COMPUTED_VALUE"""),249.28)</f>
        <v>249.28</v>
      </c>
      <c r="E11494" s="2">
        <f>IFERROR(__xludf.DUMMYFUNCTION("""COMPUTED_VALUE"""),252.28)</f>
        <v>252.28</v>
      </c>
      <c r="F11494" s="2">
        <f>IFERROR(__xludf.DUMMYFUNCTION("""COMPUTED_VALUE"""),3692105.0)</f>
        <v>3692105</v>
      </c>
    </row>
    <row r="11495">
      <c r="A11495" s="3">
        <f>IFERROR(__xludf.DUMMYFUNCTION("""COMPUTED_VALUE"""),45876.66666666667)</f>
        <v>45876.66667</v>
      </c>
      <c r="B11495" s="2">
        <f>IFERROR(__xludf.DUMMYFUNCTION("""COMPUTED_VALUE"""),252.81)</f>
        <v>252.81</v>
      </c>
      <c r="C11495" s="2">
        <f>IFERROR(__xludf.DUMMYFUNCTION("""COMPUTED_VALUE"""),255.0)</f>
        <v>255</v>
      </c>
      <c r="D11495" s="2">
        <f>IFERROR(__xludf.DUMMYFUNCTION("""COMPUTED_VALUE"""),248.88)</f>
        <v>248.88</v>
      </c>
      <c r="E11495" s="2">
        <f>IFERROR(__xludf.DUMMYFUNCTION("""COMPUTED_VALUE"""),250.16)</f>
        <v>250.16</v>
      </c>
      <c r="F11495" s="2">
        <f>IFERROR(__xludf.DUMMYFUNCTION("""COMPUTED_VALUE"""),6251285.0)</f>
        <v>6251285</v>
      </c>
    </row>
    <row r="11496">
      <c r="A11496" s="3">
        <f>IFERROR(__xludf.DUMMYFUNCTION("""COMPUTED_VALUE"""),45877.66666666667)</f>
        <v>45877.66667</v>
      </c>
      <c r="B11496" s="2">
        <f>IFERROR(__xludf.DUMMYFUNCTION("""COMPUTED_VALUE"""),248.88)</f>
        <v>248.88</v>
      </c>
      <c r="C11496" s="2">
        <f>IFERROR(__xludf.DUMMYFUNCTION("""COMPUTED_VALUE"""),249.48)</f>
        <v>249.48</v>
      </c>
      <c r="D11496" s="2">
        <f>IFERROR(__xludf.DUMMYFUNCTION("""COMPUTED_VALUE"""),241.65)</f>
        <v>241.65</v>
      </c>
      <c r="E11496" s="2">
        <f>IFERROR(__xludf.DUMMYFUNCTION("""COMPUTED_VALUE"""),242.27)</f>
        <v>242.27</v>
      </c>
      <c r="F11496" s="2">
        <f>IFERROR(__xludf.DUMMYFUNCTION("""COMPUTED_VALUE"""),6828390.0)</f>
        <v>6828390</v>
      </c>
    </row>
    <row r="11497">
      <c r="A11497" s="3">
        <f>IFERROR(__xludf.DUMMYFUNCTION("""COMPUTED_VALUE"""),45880.66666666667)</f>
        <v>45880.66667</v>
      </c>
      <c r="B11497" s="2">
        <f>IFERROR(__xludf.DUMMYFUNCTION("""COMPUTED_VALUE"""),242.24)</f>
        <v>242.24</v>
      </c>
      <c r="C11497" s="2">
        <f>IFERROR(__xludf.DUMMYFUNCTION("""COMPUTED_VALUE"""),243.15)</f>
        <v>243.15</v>
      </c>
      <c r="D11497" s="2">
        <f>IFERROR(__xludf.DUMMYFUNCTION("""COMPUTED_VALUE"""),234.7)</f>
        <v>234.7</v>
      </c>
      <c r="E11497" s="2">
        <f>IFERROR(__xludf.DUMMYFUNCTION("""COMPUTED_VALUE"""),236.3)</f>
        <v>236.3</v>
      </c>
      <c r="F11497" s="2">
        <f>IFERROR(__xludf.DUMMYFUNCTION("""COMPUTED_VALUE"""),9381960.0)</f>
        <v>9381960</v>
      </c>
    </row>
    <row r="11498">
      <c r="A11498" s="3">
        <f>IFERROR(__xludf.DUMMYFUNCTION("""COMPUTED_VALUE"""),45881.66666666667)</f>
        <v>45881.66667</v>
      </c>
      <c r="B11498" s="2">
        <f>IFERROR(__xludf.DUMMYFUNCTION("""COMPUTED_VALUE"""),237.8)</f>
        <v>237.8</v>
      </c>
      <c r="C11498" s="2">
        <f>IFERROR(__xludf.DUMMYFUNCTION("""COMPUTED_VALUE"""),237.96)</f>
        <v>237.96</v>
      </c>
      <c r="D11498" s="2">
        <f>IFERROR(__xludf.DUMMYFUNCTION("""COMPUTED_VALUE"""),233.36)</f>
        <v>233.36</v>
      </c>
      <c r="E11498" s="2">
        <f>IFERROR(__xludf.DUMMYFUNCTION("""COMPUTED_VALUE"""),234.77)</f>
        <v>234.77</v>
      </c>
      <c r="F11498" s="2">
        <f>IFERROR(__xludf.DUMMYFUNCTION("""COMPUTED_VALUE"""),8800597.0)</f>
        <v>8800597</v>
      </c>
    </row>
    <row r="11499">
      <c r="A11499" s="3">
        <f>IFERROR(__xludf.DUMMYFUNCTION("""COMPUTED_VALUE"""),45882.66666666667)</f>
        <v>45882.66667</v>
      </c>
      <c r="B11499" s="2">
        <f>IFERROR(__xludf.DUMMYFUNCTION("""COMPUTED_VALUE"""),236.2)</f>
        <v>236.2</v>
      </c>
      <c r="C11499" s="2">
        <f>IFERROR(__xludf.DUMMYFUNCTION("""COMPUTED_VALUE"""),240.84)</f>
        <v>240.84</v>
      </c>
      <c r="D11499" s="2">
        <f>IFERROR(__xludf.DUMMYFUNCTION("""COMPUTED_VALUE"""),236.2)</f>
        <v>236.2</v>
      </c>
      <c r="E11499" s="2">
        <f>IFERROR(__xludf.DUMMYFUNCTION("""COMPUTED_VALUE"""),240.07)</f>
        <v>240.07</v>
      </c>
      <c r="F11499" s="2">
        <f>IFERROR(__xludf.DUMMYFUNCTION("""COMPUTED_VALUE"""),5663562.0)</f>
        <v>5663562</v>
      </c>
    </row>
    <row r="11500">
      <c r="A11500" s="3">
        <f>IFERROR(__xludf.DUMMYFUNCTION("""COMPUTED_VALUE"""),45883.66666666667)</f>
        <v>45883.66667</v>
      </c>
      <c r="B11500" s="2">
        <f>IFERROR(__xludf.DUMMYFUNCTION("""COMPUTED_VALUE"""),238.25)</f>
        <v>238.25</v>
      </c>
      <c r="C11500" s="2">
        <f>IFERROR(__xludf.DUMMYFUNCTION("""COMPUTED_VALUE"""),239.0)</f>
        <v>239</v>
      </c>
      <c r="D11500" s="2">
        <f>IFERROR(__xludf.DUMMYFUNCTION("""COMPUTED_VALUE"""),235.62)</f>
        <v>235.62</v>
      </c>
      <c r="E11500" s="2">
        <f>IFERROR(__xludf.DUMMYFUNCTION("""COMPUTED_VALUE"""),237.11)</f>
        <v>237.11</v>
      </c>
      <c r="F11500" s="2">
        <f>IFERROR(__xludf.DUMMYFUNCTION("""COMPUTED_VALUE"""),4556725.0)</f>
        <v>4556725</v>
      </c>
    </row>
    <row r="11501">
      <c r="A11501" s="3">
        <f>IFERROR(__xludf.DUMMYFUNCTION("""COMPUTED_VALUE"""),45884.66666666667)</f>
        <v>45884.66667</v>
      </c>
      <c r="B11501" s="2">
        <f>IFERROR(__xludf.DUMMYFUNCTION("""COMPUTED_VALUE"""),237.61)</f>
        <v>237.61</v>
      </c>
      <c r="C11501" s="2">
        <f>IFERROR(__xludf.DUMMYFUNCTION("""COMPUTED_VALUE"""),240.62)</f>
        <v>240.62</v>
      </c>
      <c r="D11501" s="2">
        <f>IFERROR(__xludf.DUMMYFUNCTION("""COMPUTED_VALUE"""),236.77)</f>
        <v>236.77</v>
      </c>
      <c r="E11501" s="2">
        <f>IFERROR(__xludf.DUMMYFUNCTION("""COMPUTED_VALUE"""),239.72)</f>
        <v>239.72</v>
      </c>
      <c r="F11501" s="2">
        <f>IFERROR(__xludf.DUMMYFUNCTION("""COMPUTED_VALUE"""),4344322.0)</f>
        <v>4344322</v>
      </c>
    </row>
    <row r="11502">
      <c r="A11502" s="3">
        <f>IFERROR(__xludf.DUMMYFUNCTION("""COMPUTED_VALUE"""),45887.66666666667)</f>
        <v>45887.66667</v>
      </c>
      <c r="B11502" s="2">
        <f>IFERROR(__xludf.DUMMYFUNCTION("""COMPUTED_VALUE"""),239.57)</f>
        <v>239.57</v>
      </c>
      <c r="C11502" s="2">
        <f>IFERROR(__xludf.DUMMYFUNCTION("""COMPUTED_VALUE"""),241.42)</f>
        <v>241.42</v>
      </c>
      <c r="D11502" s="2">
        <f>IFERROR(__xludf.DUMMYFUNCTION("""COMPUTED_VALUE"""),239.12)</f>
        <v>239.12</v>
      </c>
      <c r="E11502" s="2">
        <f>IFERROR(__xludf.DUMMYFUNCTION("""COMPUTED_VALUE"""),239.45)</f>
        <v>239.45</v>
      </c>
      <c r="F11502" s="2">
        <f>IFERROR(__xludf.DUMMYFUNCTION("""COMPUTED_VALUE"""),3569594.0)</f>
        <v>3569594</v>
      </c>
    </row>
    <row r="11503">
      <c r="A11503" s="3">
        <f>IFERROR(__xludf.DUMMYFUNCTION("""COMPUTED_VALUE"""),45888.66666666667)</f>
        <v>45888.66667</v>
      </c>
      <c r="B11503" s="2">
        <f>IFERROR(__xludf.DUMMYFUNCTION("""COMPUTED_VALUE"""),240.0)</f>
        <v>240</v>
      </c>
      <c r="C11503" s="2">
        <f>IFERROR(__xludf.DUMMYFUNCTION("""COMPUTED_VALUE"""),242.83)</f>
        <v>242.83</v>
      </c>
      <c r="D11503" s="2">
        <f>IFERROR(__xludf.DUMMYFUNCTION("""COMPUTED_VALUE"""),239.49)</f>
        <v>239.49</v>
      </c>
      <c r="E11503" s="2">
        <f>IFERROR(__xludf.DUMMYFUNCTION("""COMPUTED_VALUE"""),241.28)</f>
        <v>241.28</v>
      </c>
      <c r="F11503" s="2">
        <f>IFERROR(__xludf.DUMMYFUNCTION("""COMPUTED_VALUE"""),3328305.0)</f>
        <v>3328305</v>
      </c>
    </row>
    <row r="11504">
      <c r="A11504" s="3">
        <f>IFERROR(__xludf.DUMMYFUNCTION("""COMPUTED_VALUE"""),45889.66666666667)</f>
        <v>45889.66667</v>
      </c>
      <c r="B11504" s="2">
        <f>IFERROR(__xludf.DUMMYFUNCTION("""COMPUTED_VALUE"""),242.11)</f>
        <v>242.11</v>
      </c>
      <c r="C11504" s="2">
        <f>IFERROR(__xludf.DUMMYFUNCTION("""COMPUTED_VALUE"""),242.88)</f>
        <v>242.88</v>
      </c>
      <c r="D11504" s="2">
        <f>IFERROR(__xludf.DUMMYFUNCTION("""COMPUTED_VALUE"""),240.34)</f>
        <v>240.34</v>
      </c>
      <c r="E11504" s="2">
        <f>IFERROR(__xludf.DUMMYFUNCTION("""COMPUTED_VALUE"""),242.55)</f>
        <v>242.55</v>
      </c>
      <c r="F11504" s="2">
        <f>IFERROR(__xludf.DUMMYFUNCTION("""COMPUTED_VALUE"""),3240064.0)</f>
        <v>3240064</v>
      </c>
    </row>
    <row r="11505">
      <c r="A11505" s="3">
        <f>IFERROR(__xludf.DUMMYFUNCTION("""COMPUTED_VALUE"""),45890.66666666667)</f>
        <v>45890.66667</v>
      </c>
      <c r="B11505" s="2">
        <f>IFERROR(__xludf.DUMMYFUNCTION("""COMPUTED_VALUE"""),242.21)</f>
        <v>242.21</v>
      </c>
      <c r="C11505" s="2">
        <f>IFERROR(__xludf.DUMMYFUNCTION("""COMPUTED_VALUE"""),242.5)</f>
        <v>242.5</v>
      </c>
      <c r="D11505" s="2">
        <f>IFERROR(__xludf.DUMMYFUNCTION("""COMPUTED_VALUE"""),238.65)</f>
        <v>238.65</v>
      </c>
      <c r="E11505" s="2">
        <f>IFERROR(__xludf.DUMMYFUNCTION("""COMPUTED_VALUE"""),239.4)</f>
        <v>239.4</v>
      </c>
      <c r="F11505" s="2">
        <f>IFERROR(__xludf.DUMMYFUNCTION("""COMPUTED_VALUE"""),2991902.0)</f>
        <v>2991902</v>
      </c>
    </row>
    <row r="11506">
      <c r="A11506" s="3">
        <f>IFERROR(__xludf.DUMMYFUNCTION("""COMPUTED_VALUE"""),45891.66666666667)</f>
        <v>45891.66667</v>
      </c>
      <c r="B11506" s="2">
        <f>IFERROR(__xludf.DUMMYFUNCTION("""COMPUTED_VALUE"""),240.74)</f>
        <v>240.74</v>
      </c>
      <c r="C11506" s="2">
        <f>IFERROR(__xludf.DUMMYFUNCTION("""COMPUTED_VALUE"""),243.68)</f>
        <v>243.68</v>
      </c>
      <c r="D11506" s="2">
        <f>IFERROR(__xludf.DUMMYFUNCTION("""COMPUTED_VALUE"""),240.22)</f>
        <v>240.22</v>
      </c>
      <c r="E11506" s="2">
        <f>IFERROR(__xludf.DUMMYFUNCTION("""COMPUTED_VALUE"""),242.09)</f>
        <v>242.09</v>
      </c>
      <c r="F11506" s="2">
        <f>IFERROR(__xludf.DUMMYFUNCTION("""COMPUTED_VALUE"""),3134882.0)</f>
        <v>3134882</v>
      </c>
    </row>
    <row r="11507">
      <c r="A11507" s="3">
        <f>IFERROR(__xludf.DUMMYFUNCTION("""COMPUTED_VALUE"""),45894.66666666667)</f>
        <v>45894.66667</v>
      </c>
      <c r="B11507" s="2">
        <f>IFERROR(__xludf.DUMMYFUNCTION("""COMPUTED_VALUE"""),242.57)</f>
        <v>242.57</v>
      </c>
      <c r="C11507" s="2">
        <f>IFERROR(__xludf.DUMMYFUNCTION("""COMPUTED_VALUE"""),242.57)</f>
        <v>242.57</v>
      </c>
      <c r="D11507" s="2">
        <f>IFERROR(__xludf.DUMMYFUNCTION("""COMPUTED_VALUE"""),239.43)</f>
        <v>239.43</v>
      </c>
      <c r="E11507" s="2">
        <f>IFERROR(__xludf.DUMMYFUNCTION("""COMPUTED_VALUE"""),239.43)</f>
        <v>239.43</v>
      </c>
      <c r="F11507" s="2">
        <f>IFERROR(__xludf.DUMMYFUNCTION("""COMPUTED_VALUE"""),3513327.0)</f>
        <v>3513327</v>
      </c>
    </row>
    <row r="11508">
      <c r="A11508" s="3">
        <f>IFERROR(__xludf.DUMMYFUNCTION("""COMPUTED_VALUE"""),45895.66666666667)</f>
        <v>45895.66667</v>
      </c>
      <c r="B11508" s="2">
        <f>IFERROR(__xludf.DUMMYFUNCTION("""COMPUTED_VALUE"""),241.02)</f>
        <v>241.02</v>
      </c>
      <c r="C11508" s="2">
        <f>IFERROR(__xludf.DUMMYFUNCTION("""COMPUTED_VALUE"""),244.98)</f>
        <v>244.98</v>
      </c>
      <c r="D11508" s="2">
        <f>IFERROR(__xludf.DUMMYFUNCTION("""COMPUTED_VALUE"""),240.38)</f>
        <v>240.38</v>
      </c>
      <c r="E11508" s="2">
        <f>IFERROR(__xludf.DUMMYFUNCTION("""COMPUTED_VALUE"""),242.63)</f>
        <v>242.63</v>
      </c>
      <c r="F11508" s="2">
        <f>IFERROR(__xludf.DUMMYFUNCTION("""COMPUTED_VALUE"""),5386582.0)</f>
        <v>5386582</v>
      </c>
    </row>
    <row r="11509">
      <c r="A11509" s="3">
        <f>IFERROR(__xludf.DUMMYFUNCTION("""COMPUTED_VALUE"""),45896.66666666667)</f>
        <v>45896.66667</v>
      </c>
      <c r="B11509" s="2">
        <f>IFERROR(__xludf.DUMMYFUNCTION("""COMPUTED_VALUE"""),242.87)</f>
        <v>242.87</v>
      </c>
      <c r="C11509" s="2">
        <f>IFERROR(__xludf.DUMMYFUNCTION("""COMPUTED_VALUE"""),245.96)</f>
        <v>245.96</v>
      </c>
      <c r="D11509" s="2">
        <f>IFERROR(__xludf.DUMMYFUNCTION("""COMPUTED_VALUE"""),242.0)</f>
        <v>242</v>
      </c>
      <c r="E11509" s="2">
        <f>IFERROR(__xludf.DUMMYFUNCTION("""COMPUTED_VALUE"""),244.84)</f>
        <v>244.84</v>
      </c>
      <c r="F11509" s="2">
        <f>IFERROR(__xludf.DUMMYFUNCTION("""COMPUTED_VALUE"""),3698372.0)</f>
        <v>3698372</v>
      </c>
    </row>
    <row r="11510">
      <c r="A11510" s="3">
        <f>IFERROR(__xludf.DUMMYFUNCTION("""COMPUTED_VALUE"""),45897.66666666667)</f>
        <v>45897.66667</v>
      </c>
      <c r="B11510" s="2">
        <f>IFERROR(__xludf.DUMMYFUNCTION("""COMPUTED_VALUE"""),245.43)</f>
        <v>245.43</v>
      </c>
      <c r="C11510" s="2">
        <f>IFERROR(__xludf.DUMMYFUNCTION("""COMPUTED_VALUE"""),245.88)</f>
        <v>245.88</v>
      </c>
      <c r="D11510" s="2">
        <f>IFERROR(__xludf.DUMMYFUNCTION("""COMPUTED_VALUE"""),243.36)</f>
        <v>243.36</v>
      </c>
      <c r="E11510" s="2">
        <f>IFERROR(__xludf.DUMMYFUNCTION("""COMPUTED_VALUE"""),245.73)</f>
        <v>245.73</v>
      </c>
      <c r="F11510" s="2">
        <f>IFERROR(__xludf.DUMMYFUNCTION("""COMPUTED_VALUE"""),2820817.0)</f>
        <v>2820817</v>
      </c>
    </row>
    <row r="11511">
      <c r="A11511" s="3">
        <f>IFERROR(__xludf.DUMMYFUNCTION("""COMPUTED_VALUE"""),45898.66666666667)</f>
        <v>45898.66667</v>
      </c>
      <c r="B11511" s="2">
        <f>IFERROR(__xludf.DUMMYFUNCTION("""COMPUTED_VALUE"""),245.23)</f>
        <v>245.23</v>
      </c>
      <c r="C11511" s="2">
        <f>IFERROR(__xludf.DUMMYFUNCTION("""COMPUTED_VALUE"""),245.46)</f>
        <v>245.46</v>
      </c>
      <c r="D11511" s="2">
        <f>IFERROR(__xludf.DUMMYFUNCTION("""COMPUTED_VALUE"""),241.72)</f>
        <v>241.72</v>
      </c>
      <c r="E11511" s="2">
        <f>IFERROR(__xludf.DUMMYFUNCTION("""COMPUTED_VALUE"""),243.49)</f>
        <v>243.49</v>
      </c>
      <c r="F11511" s="2">
        <f>IFERROR(__xludf.DUMMYFUNCTION("""COMPUTED_VALUE"""),2967558.0)</f>
        <v>2967558</v>
      </c>
    </row>
    <row r="11512">
      <c r="A11512" s="3">
        <f>IFERROR(__xludf.DUMMYFUNCTION("""COMPUTED_VALUE"""),45902.66666666667)</f>
        <v>45902.66667</v>
      </c>
      <c r="B11512" s="2">
        <f>IFERROR(__xludf.DUMMYFUNCTION("""COMPUTED_VALUE"""),240.9)</f>
        <v>240.9</v>
      </c>
      <c r="C11512" s="2">
        <f>IFERROR(__xludf.DUMMYFUNCTION("""COMPUTED_VALUE"""),241.55)</f>
        <v>241.55</v>
      </c>
      <c r="D11512" s="2">
        <f>IFERROR(__xludf.DUMMYFUNCTION("""COMPUTED_VALUE"""),238.25)</f>
        <v>238.25</v>
      </c>
      <c r="E11512" s="2">
        <f>IFERROR(__xludf.DUMMYFUNCTION("""COMPUTED_VALUE"""),241.5)</f>
        <v>241.5</v>
      </c>
      <c r="F11512" s="2">
        <f>IFERROR(__xludf.DUMMYFUNCTION("""COMPUTED_VALUE"""),3469501.0)</f>
        <v>3469501</v>
      </c>
    </row>
    <row r="11513">
      <c r="A11513" s="3">
        <f>IFERROR(__xludf.DUMMYFUNCTION("""COMPUTED_VALUE"""),45903.66666666667)</f>
        <v>45903.66667</v>
      </c>
      <c r="B11513" s="2">
        <f>IFERROR(__xludf.DUMMYFUNCTION("""COMPUTED_VALUE"""),240.02)</f>
        <v>240.02</v>
      </c>
      <c r="C11513" s="2">
        <f>IFERROR(__xludf.DUMMYFUNCTION("""COMPUTED_VALUE"""),244.25)</f>
        <v>244.25</v>
      </c>
      <c r="D11513" s="2">
        <f>IFERROR(__xludf.DUMMYFUNCTION("""COMPUTED_VALUE"""),239.41)</f>
        <v>239.41</v>
      </c>
      <c r="E11513" s="2">
        <f>IFERROR(__xludf.DUMMYFUNCTION("""COMPUTED_VALUE"""),244.1)</f>
        <v>244.1</v>
      </c>
      <c r="F11513" s="2">
        <f>IFERROR(__xludf.DUMMYFUNCTION("""COMPUTED_VALUE"""),3163225.0)</f>
        <v>3163225</v>
      </c>
    </row>
    <row r="11514">
      <c r="A11514" s="3">
        <f>IFERROR(__xludf.DUMMYFUNCTION("""COMPUTED_VALUE"""),45904.66666666667)</f>
        <v>45904.66667</v>
      </c>
      <c r="B11514" s="2">
        <f>IFERROR(__xludf.DUMMYFUNCTION("""COMPUTED_VALUE"""),245.42)</f>
        <v>245.42</v>
      </c>
      <c r="C11514" s="2">
        <f>IFERROR(__xludf.DUMMYFUNCTION("""COMPUTED_VALUE"""),249.28)</f>
        <v>249.28</v>
      </c>
      <c r="D11514" s="2">
        <f>IFERROR(__xludf.DUMMYFUNCTION("""COMPUTED_VALUE"""),242.85)</f>
        <v>242.85</v>
      </c>
      <c r="E11514" s="2">
        <f>IFERROR(__xludf.DUMMYFUNCTION("""COMPUTED_VALUE"""),247.18)</f>
        <v>247.18</v>
      </c>
      <c r="F11514" s="2">
        <f>IFERROR(__xludf.DUMMYFUNCTION("""COMPUTED_VALUE"""),4765087.0)</f>
        <v>4765087</v>
      </c>
    </row>
    <row r="11515">
      <c r="A11515" s="3">
        <f>IFERROR(__xludf.DUMMYFUNCTION("""COMPUTED_VALUE"""),45905.66666666667)</f>
        <v>45905.66667</v>
      </c>
      <c r="B11515" s="2">
        <f>IFERROR(__xludf.DUMMYFUNCTION("""COMPUTED_VALUE"""),248.23)</f>
        <v>248.23</v>
      </c>
      <c r="C11515" s="2">
        <f>IFERROR(__xludf.DUMMYFUNCTION("""COMPUTED_VALUE"""),249.03)</f>
        <v>249.03</v>
      </c>
      <c r="D11515" s="2">
        <f>IFERROR(__xludf.DUMMYFUNCTION("""COMPUTED_VALUE"""),245.45)</f>
        <v>245.45</v>
      </c>
      <c r="E11515" s="2">
        <f>IFERROR(__xludf.DUMMYFUNCTION("""COMPUTED_VALUE"""),248.53)</f>
        <v>248.53</v>
      </c>
      <c r="F11515" s="2">
        <f>IFERROR(__xludf.DUMMYFUNCTION("""COMPUTED_VALUE"""),3147478.0)</f>
        <v>3147478</v>
      </c>
    </row>
    <row r="11516">
      <c r="A11516" s="3">
        <f>IFERROR(__xludf.DUMMYFUNCTION("""COMPUTED_VALUE"""),45908.66666666667)</f>
        <v>45908.66667</v>
      </c>
      <c r="B11516" s="2">
        <f>IFERROR(__xludf.DUMMYFUNCTION("""COMPUTED_VALUE"""),248.63)</f>
        <v>248.63</v>
      </c>
      <c r="C11516" s="2">
        <f>IFERROR(__xludf.DUMMYFUNCTION("""COMPUTED_VALUE"""),257.15)</f>
        <v>257.15</v>
      </c>
      <c r="D11516" s="2">
        <f>IFERROR(__xludf.DUMMYFUNCTION("""COMPUTED_VALUE"""),247.02)</f>
        <v>247.02</v>
      </c>
      <c r="E11516" s="2">
        <f>IFERROR(__xludf.DUMMYFUNCTION("""COMPUTED_VALUE"""),256.09)</f>
        <v>256.09</v>
      </c>
      <c r="F11516" s="2">
        <f>IFERROR(__xludf.DUMMYFUNCTION("""COMPUTED_VALUE"""),6940270.0)</f>
        <v>6940270</v>
      </c>
    </row>
    <row r="11517">
      <c r="A11517" s="3">
        <f>IFERROR(__xludf.DUMMYFUNCTION("""COMPUTED_VALUE"""),45909.66666666667)</f>
        <v>45909.66667</v>
      </c>
      <c r="B11517" s="2">
        <f>IFERROR(__xludf.DUMMYFUNCTION("""COMPUTED_VALUE"""),256.12)</f>
        <v>256.12</v>
      </c>
      <c r="C11517" s="2">
        <f>IFERROR(__xludf.DUMMYFUNCTION("""COMPUTED_VALUE"""),260.66)</f>
        <v>260.66</v>
      </c>
      <c r="D11517" s="2">
        <f>IFERROR(__xludf.DUMMYFUNCTION("""COMPUTED_VALUE"""),254.88)</f>
        <v>254.88</v>
      </c>
      <c r="E11517" s="2">
        <f>IFERROR(__xludf.DUMMYFUNCTION("""COMPUTED_VALUE"""),259.11)</f>
        <v>259.11</v>
      </c>
      <c r="F11517" s="2">
        <f>IFERROR(__xludf.DUMMYFUNCTION("""COMPUTED_VALUE"""),4931105.0)</f>
        <v>4931105</v>
      </c>
    </row>
    <row r="11518">
      <c r="A11518" s="3">
        <f>IFERROR(__xludf.DUMMYFUNCTION("""COMPUTED_VALUE"""),45910.66666666667)</f>
        <v>45910.66667</v>
      </c>
      <c r="B11518" s="2">
        <f>IFERROR(__xludf.DUMMYFUNCTION("""COMPUTED_VALUE"""),259.65)</f>
        <v>259.65</v>
      </c>
      <c r="C11518" s="2">
        <f>IFERROR(__xludf.DUMMYFUNCTION("""COMPUTED_VALUE"""),260.08)</f>
        <v>260.08</v>
      </c>
      <c r="D11518" s="2">
        <f>IFERROR(__xludf.DUMMYFUNCTION("""COMPUTED_VALUE"""),254.56)</f>
        <v>254.56</v>
      </c>
      <c r="E11518" s="2">
        <f>IFERROR(__xludf.DUMMYFUNCTION("""COMPUTED_VALUE"""),256.88)</f>
        <v>256.88</v>
      </c>
      <c r="F11518" s="2">
        <f>IFERROR(__xludf.DUMMYFUNCTION("""COMPUTED_VALUE"""),5185420.0)</f>
        <v>5185420</v>
      </c>
    </row>
    <row r="11519">
      <c r="A11519" s="3">
        <f>IFERROR(__xludf.DUMMYFUNCTION("""COMPUTED_VALUE"""),45911.66666666667)</f>
        <v>45911.66667</v>
      </c>
      <c r="B11519" s="2">
        <f>IFERROR(__xludf.DUMMYFUNCTION("""COMPUTED_VALUE"""),257.56)</f>
        <v>257.56</v>
      </c>
      <c r="C11519" s="2">
        <f>IFERROR(__xludf.DUMMYFUNCTION("""COMPUTED_VALUE"""),258.55)</f>
        <v>258.55</v>
      </c>
      <c r="D11519" s="2">
        <f>IFERROR(__xludf.DUMMYFUNCTION("""COMPUTED_VALUE"""),255.66)</f>
        <v>255.66</v>
      </c>
      <c r="E11519" s="2">
        <f>IFERROR(__xludf.DUMMYFUNCTION("""COMPUTED_VALUE"""),257.01)</f>
        <v>257.01</v>
      </c>
      <c r="F11519" s="2">
        <f>IFERROR(__xludf.DUMMYFUNCTION("""COMPUTED_VALUE"""),3576048.0)</f>
        <v>3576048</v>
      </c>
    </row>
    <row r="11520">
      <c r="A11520" s="3">
        <f>IFERROR(__xludf.DUMMYFUNCTION("""COMPUTED_VALUE"""),45912.66666666667)</f>
        <v>45912.66667</v>
      </c>
      <c r="B11520" s="2">
        <f>IFERROR(__xludf.DUMMYFUNCTION("""COMPUTED_VALUE"""),256.95)</f>
        <v>256.95</v>
      </c>
      <c r="C11520" s="2">
        <f>IFERROR(__xludf.DUMMYFUNCTION("""COMPUTED_VALUE"""),257.25)</f>
        <v>257.25</v>
      </c>
      <c r="D11520" s="2">
        <f>IFERROR(__xludf.DUMMYFUNCTION("""COMPUTED_VALUE"""),252.43)</f>
        <v>252.43</v>
      </c>
      <c r="E11520" s="2">
        <f>IFERROR(__xludf.DUMMYFUNCTION("""COMPUTED_VALUE"""),253.44)</f>
        <v>253.44</v>
      </c>
      <c r="F11520" s="2">
        <f>IFERROR(__xludf.DUMMYFUNCTION("""COMPUTED_VALUE"""),3433300.0)</f>
        <v>3433300</v>
      </c>
    </row>
    <row r="11521">
      <c r="A11521" s="3">
        <f>IFERROR(__xludf.DUMMYFUNCTION("""COMPUTED_VALUE"""),45915.66666666667)</f>
        <v>45915.66667</v>
      </c>
      <c r="B11521" s="2">
        <f>IFERROR(__xludf.DUMMYFUNCTION("""COMPUTED_VALUE"""),254.02)</f>
        <v>254.02</v>
      </c>
      <c r="C11521" s="2">
        <f>IFERROR(__xludf.DUMMYFUNCTION("""COMPUTED_VALUE"""),259.05)</f>
        <v>259.05</v>
      </c>
      <c r="D11521" s="2">
        <f>IFERROR(__xludf.DUMMYFUNCTION("""COMPUTED_VALUE"""),254.0)</f>
        <v>254</v>
      </c>
      <c r="E11521" s="2">
        <f>IFERROR(__xludf.DUMMYFUNCTION("""COMPUTED_VALUE"""),256.24)</f>
        <v>256.24</v>
      </c>
      <c r="F11521" s="2">
        <f>IFERROR(__xludf.DUMMYFUNCTION("""COMPUTED_VALUE"""),4028365.0)</f>
        <v>4028365</v>
      </c>
    </row>
    <row r="11522">
      <c r="A11522" s="3">
        <f>IFERROR(__xludf.DUMMYFUNCTION("""COMPUTED_VALUE"""),45916.66666666667)</f>
        <v>45916.66667</v>
      </c>
      <c r="B11522" s="2">
        <f>IFERROR(__xludf.DUMMYFUNCTION("""COMPUTED_VALUE"""),256.26)</f>
        <v>256.26</v>
      </c>
      <c r="C11522" s="2">
        <f>IFERROR(__xludf.DUMMYFUNCTION("""COMPUTED_VALUE"""),258.0)</f>
        <v>258</v>
      </c>
      <c r="D11522" s="2">
        <f>IFERROR(__xludf.DUMMYFUNCTION("""COMPUTED_VALUE"""),254.41)</f>
        <v>254.41</v>
      </c>
      <c r="E11522" s="2">
        <f>IFERROR(__xludf.DUMMYFUNCTION("""COMPUTED_VALUE"""),257.52)</f>
        <v>257.52</v>
      </c>
      <c r="F11522" s="2">
        <f>IFERROR(__xludf.DUMMYFUNCTION("""COMPUTED_VALUE"""),2719918.0)</f>
        <v>2719918</v>
      </c>
    </row>
    <row r="11523">
      <c r="A11523" s="3">
        <f>IFERROR(__xludf.DUMMYFUNCTION("""COMPUTED_VALUE"""),45917.66666666667)</f>
        <v>45917.66667</v>
      </c>
      <c r="B11523" s="2">
        <f>IFERROR(__xludf.DUMMYFUNCTION("""COMPUTED_VALUE"""),257.5)</f>
        <v>257.5</v>
      </c>
      <c r="C11523" s="2">
        <f>IFERROR(__xludf.DUMMYFUNCTION("""COMPUTED_VALUE"""),260.96)</f>
        <v>260.96</v>
      </c>
      <c r="D11523" s="2">
        <f>IFERROR(__xludf.DUMMYFUNCTION("""COMPUTED_VALUE"""),257.01)</f>
        <v>257.01</v>
      </c>
      <c r="E11523" s="2">
        <f>IFERROR(__xludf.DUMMYFUNCTION("""COMPUTED_VALUE"""),259.08)</f>
        <v>259.08</v>
      </c>
      <c r="F11523" s="2">
        <f>IFERROR(__xludf.DUMMYFUNCTION("""COMPUTED_VALUE"""),3974785.0)</f>
        <v>3974785</v>
      </c>
    </row>
    <row r="11524">
      <c r="A11524" s="3">
        <f>IFERROR(__xludf.DUMMYFUNCTION("""COMPUTED_VALUE"""),45918.66666666667)</f>
        <v>45918.66667</v>
      </c>
      <c r="B11524" s="2">
        <f>IFERROR(__xludf.DUMMYFUNCTION("""COMPUTED_VALUE"""),258.86)</f>
        <v>258.86</v>
      </c>
      <c r="C11524" s="2">
        <f>IFERROR(__xludf.DUMMYFUNCTION("""COMPUTED_VALUE"""),265.23)</f>
        <v>265.23</v>
      </c>
      <c r="D11524" s="2">
        <f>IFERROR(__xludf.DUMMYFUNCTION("""COMPUTED_VALUE"""),256.8)</f>
        <v>256.8</v>
      </c>
      <c r="E11524" s="2">
        <f>IFERROR(__xludf.DUMMYFUNCTION("""COMPUTED_VALUE"""),265.0)</f>
        <v>265</v>
      </c>
      <c r="F11524" s="2">
        <f>IFERROR(__xludf.DUMMYFUNCTION("""COMPUTED_VALUE"""),4988421.0)</f>
        <v>4988421</v>
      </c>
    </row>
    <row r="11525">
      <c r="A11525" s="3">
        <f>IFERROR(__xludf.DUMMYFUNCTION("""COMPUTED_VALUE"""),45919.66666666667)</f>
        <v>45919.66667</v>
      </c>
      <c r="B11525" s="2">
        <f>IFERROR(__xludf.DUMMYFUNCTION("""COMPUTED_VALUE"""),266.05)</f>
        <v>266.05</v>
      </c>
      <c r="C11525" s="2">
        <f>IFERROR(__xludf.DUMMYFUNCTION("""COMPUTED_VALUE"""),267.87)</f>
        <v>267.87</v>
      </c>
      <c r="D11525" s="2">
        <f>IFERROR(__xludf.DUMMYFUNCTION("""COMPUTED_VALUE"""),263.64)</f>
        <v>263.64</v>
      </c>
      <c r="E11525" s="2">
        <f>IFERROR(__xludf.DUMMYFUNCTION("""COMPUTED_VALUE"""),266.4)</f>
        <v>266.4</v>
      </c>
      <c r="F11525" s="2">
        <f>IFERROR(__xludf.DUMMYFUNCTION("""COMPUTED_VALUE"""),9858112.0)</f>
        <v>9858112</v>
      </c>
    </row>
    <row r="11526">
      <c r="A11526" s="3">
        <f>IFERROR(__xludf.DUMMYFUNCTION("""COMPUTED_VALUE"""),45922.66666666667)</f>
        <v>45922.66667</v>
      </c>
      <c r="B11526" s="2">
        <f>IFERROR(__xludf.DUMMYFUNCTION("""COMPUTED_VALUE"""),266.62)</f>
        <v>266.62</v>
      </c>
      <c r="C11526" s="2">
        <f>IFERROR(__xludf.DUMMYFUNCTION("""COMPUTED_VALUE"""),272.31)</f>
        <v>272.31</v>
      </c>
      <c r="D11526" s="2">
        <f>IFERROR(__xludf.DUMMYFUNCTION("""COMPUTED_VALUE"""),266.0)</f>
        <v>266</v>
      </c>
      <c r="E11526" s="2">
        <f>IFERROR(__xludf.DUMMYFUNCTION("""COMPUTED_VALUE"""),271.37)</f>
        <v>271.37</v>
      </c>
      <c r="F11526" s="2">
        <f>IFERROR(__xludf.DUMMYFUNCTION("""COMPUTED_VALUE"""),5030540.0)</f>
        <v>5030540</v>
      </c>
    </row>
    <row r="11527">
      <c r="A11527" s="3">
        <f>IFERROR(__xludf.DUMMYFUNCTION("""COMPUTED_VALUE"""),45923.66666666667)</f>
        <v>45923.66667</v>
      </c>
      <c r="B11527" s="2">
        <f>IFERROR(__xludf.DUMMYFUNCTION("""COMPUTED_VALUE"""),272.7)</f>
        <v>272.7</v>
      </c>
      <c r="C11527" s="2">
        <f>IFERROR(__xludf.DUMMYFUNCTION("""COMPUTED_VALUE"""),273.3)</f>
        <v>273.3</v>
      </c>
      <c r="D11527" s="2">
        <f>IFERROR(__xludf.DUMMYFUNCTION("""COMPUTED_VALUE"""),269.27)</f>
        <v>269.27</v>
      </c>
      <c r="E11527" s="2">
        <f>IFERROR(__xludf.DUMMYFUNCTION("""COMPUTED_VALUE"""),272.24)</f>
        <v>272.24</v>
      </c>
      <c r="F11527" s="2">
        <f>IFERROR(__xludf.DUMMYFUNCTION("""COMPUTED_VALUE"""),5394121.0)</f>
        <v>5394121</v>
      </c>
    </row>
    <row r="11528">
      <c r="A11528" s="3">
        <f>IFERROR(__xludf.DUMMYFUNCTION("""COMPUTED_VALUE"""),45924.66666666667)</f>
        <v>45924.66667</v>
      </c>
      <c r="B11528" s="2">
        <f>IFERROR(__xludf.DUMMYFUNCTION("""COMPUTED_VALUE"""),272.62)</f>
        <v>272.62</v>
      </c>
      <c r="C11528" s="2">
        <f>IFERROR(__xludf.DUMMYFUNCTION("""COMPUTED_VALUE"""),273.65)</f>
        <v>273.65</v>
      </c>
      <c r="D11528" s="2">
        <f>IFERROR(__xludf.DUMMYFUNCTION("""COMPUTED_VALUE"""),267.3)</f>
        <v>267.3</v>
      </c>
      <c r="E11528" s="2">
        <f>IFERROR(__xludf.DUMMYFUNCTION("""COMPUTED_VALUE"""),267.53)</f>
        <v>267.53</v>
      </c>
      <c r="F11528" s="2">
        <f>IFERROR(__xludf.DUMMYFUNCTION("""COMPUTED_VALUE"""),3159924.0)</f>
        <v>3159924</v>
      </c>
    </row>
    <row r="11529">
      <c r="A11529" s="3">
        <f>IFERROR(__xludf.DUMMYFUNCTION("""COMPUTED_VALUE"""),45925.66666666667)</f>
        <v>45925.66667</v>
      </c>
      <c r="B11529" s="2">
        <f>IFERROR(__xludf.DUMMYFUNCTION("""COMPUTED_VALUE"""),272.94)</f>
        <v>272.94</v>
      </c>
      <c r="C11529" s="2">
        <f>IFERROR(__xludf.DUMMYFUNCTION("""COMPUTED_VALUE"""),284.23)</f>
        <v>284.23</v>
      </c>
      <c r="D11529" s="2">
        <f>IFERROR(__xludf.DUMMYFUNCTION("""COMPUTED_VALUE"""),271.15)</f>
        <v>271.15</v>
      </c>
      <c r="E11529" s="2">
        <f>IFERROR(__xludf.DUMMYFUNCTION("""COMPUTED_VALUE"""),281.44)</f>
        <v>281.44</v>
      </c>
      <c r="F11529" s="2">
        <f>IFERROR(__xludf.DUMMYFUNCTION("""COMPUTED_VALUE"""),1.1506192E7)</f>
        <v>11506192</v>
      </c>
    </row>
    <row r="11530">
      <c r="A11530" s="3">
        <f>IFERROR(__xludf.DUMMYFUNCTION("""COMPUTED_VALUE"""),45926.66666666667)</f>
        <v>45926.66667</v>
      </c>
      <c r="B11530" s="2">
        <f>IFERROR(__xludf.DUMMYFUNCTION("""COMPUTED_VALUE"""),280.51)</f>
        <v>280.51</v>
      </c>
      <c r="C11530" s="2">
        <f>IFERROR(__xludf.DUMMYFUNCTION("""COMPUTED_VALUE"""),288.85)</f>
        <v>288.85</v>
      </c>
      <c r="D11530" s="2">
        <f>IFERROR(__xludf.DUMMYFUNCTION("""COMPUTED_VALUE"""),280.11)</f>
        <v>280.11</v>
      </c>
      <c r="E11530" s="2">
        <f>IFERROR(__xludf.DUMMYFUNCTION("""COMPUTED_VALUE"""),284.31)</f>
        <v>284.31</v>
      </c>
      <c r="F11530" s="2">
        <f>IFERROR(__xludf.DUMMYFUNCTION("""COMPUTED_VALUE"""),9063938.0)</f>
        <v>9063938</v>
      </c>
    </row>
    <row r="11531">
      <c r="A11531" s="3">
        <f>IFERROR(__xludf.DUMMYFUNCTION("""COMPUTED_VALUE"""),45929.66666666667)</f>
        <v>45929.66667</v>
      </c>
      <c r="B11531" s="2">
        <f>IFERROR(__xludf.DUMMYFUNCTION("""COMPUTED_VALUE"""),286.0)</f>
        <v>286</v>
      </c>
      <c r="C11531" s="2">
        <f>IFERROR(__xludf.DUMMYFUNCTION("""COMPUTED_VALUE"""),286.0)</f>
        <v>286</v>
      </c>
      <c r="D11531" s="2">
        <f>IFERROR(__xludf.DUMMYFUNCTION("""COMPUTED_VALUE"""),279.66)</f>
        <v>279.66</v>
      </c>
      <c r="E11531" s="2">
        <f>IFERROR(__xludf.DUMMYFUNCTION("""COMPUTED_VALUE"""),279.8)</f>
        <v>279.8</v>
      </c>
      <c r="F11531" s="2">
        <f>IFERROR(__xludf.DUMMYFUNCTION("""COMPUTED_VALUE"""),6022125.0)</f>
        <v>6022125</v>
      </c>
    </row>
    <row r="11532">
      <c r="A11532" s="3">
        <f>IFERROR(__xludf.DUMMYFUNCTION("""COMPUTED_VALUE"""),45930.66666666667)</f>
        <v>45930.66667</v>
      </c>
      <c r="B11532" s="2">
        <f>IFERROR(__xludf.DUMMYFUNCTION("""COMPUTED_VALUE"""),280.88)</f>
        <v>280.88</v>
      </c>
      <c r="C11532" s="2">
        <f>IFERROR(__xludf.DUMMYFUNCTION("""COMPUTED_VALUE"""),286.02)</f>
        <v>286.02</v>
      </c>
      <c r="D11532" s="2">
        <f>IFERROR(__xludf.DUMMYFUNCTION("""COMPUTED_VALUE"""),280.52)</f>
        <v>280.52</v>
      </c>
      <c r="E11532" s="2">
        <f>IFERROR(__xludf.DUMMYFUNCTION("""COMPUTED_VALUE"""),282.16)</f>
        <v>282.16</v>
      </c>
      <c r="F11532" s="2">
        <f>IFERROR(__xludf.DUMMYFUNCTION("""COMPUTED_VALUE"""),5926924.0)</f>
        <v>5926924</v>
      </c>
    </row>
    <row r="11533">
      <c r="A11533" s="3">
        <f>IFERROR(__xludf.DUMMYFUNCTION("""COMPUTED_VALUE"""),45931.66666666667)</f>
        <v>45931.66667</v>
      </c>
      <c r="B11533" s="2">
        <f>IFERROR(__xludf.DUMMYFUNCTION("""COMPUTED_VALUE"""),280.2)</f>
        <v>280.2</v>
      </c>
      <c r="C11533" s="2">
        <f>IFERROR(__xludf.DUMMYFUNCTION("""COMPUTED_VALUE"""),286.59)</f>
        <v>286.59</v>
      </c>
      <c r="D11533" s="2">
        <f>IFERROR(__xludf.DUMMYFUNCTION("""COMPUTED_VALUE"""),280.15)</f>
        <v>280.15</v>
      </c>
      <c r="E11533" s="2">
        <f>IFERROR(__xludf.DUMMYFUNCTION("""COMPUTED_VALUE"""),286.49)</f>
        <v>286.49</v>
      </c>
      <c r="F11533" s="2">
        <f>IFERROR(__xludf.DUMMYFUNCTION("""COMPUTED_VALUE"""),4381338.0)</f>
        <v>4381338</v>
      </c>
    </row>
    <row r="11534">
      <c r="A11534" s="3">
        <f>IFERROR(__xludf.DUMMYFUNCTION("""COMPUTED_VALUE"""),45932.66666666667)</f>
        <v>45932.66667</v>
      </c>
      <c r="B11534" s="2">
        <f>IFERROR(__xludf.DUMMYFUNCTION("""COMPUTED_VALUE"""),285.79)</f>
        <v>285.79</v>
      </c>
      <c r="C11534" s="2">
        <f>IFERROR(__xludf.DUMMYFUNCTION("""COMPUTED_VALUE"""),288.54)</f>
        <v>288.54</v>
      </c>
      <c r="D11534" s="2">
        <f>IFERROR(__xludf.DUMMYFUNCTION("""COMPUTED_VALUE"""),282.79)</f>
        <v>282.79</v>
      </c>
      <c r="E11534" s="2">
        <f>IFERROR(__xludf.DUMMYFUNCTION("""COMPUTED_VALUE"""),286.72)</f>
        <v>286.72</v>
      </c>
      <c r="F11534" s="2">
        <f>IFERROR(__xludf.DUMMYFUNCTION("""COMPUTED_VALUE"""),3814232.0)</f>
        <v>3814232</v>
      </c>
    </row>
    <row r="11535">
      <c r="A11535" s="3">
        <f>IFERROR(__xludf.DUMMYFUNCTION("""COMPUTED_VALUE"""),45933.66666666667)</f>
        <v>45933.66667</v>
      </c>
      <c r="B11535" s="2">
        <f>IFERROR(__xludf.DUMMYFUNCTION("""COMPUTED_VALUE"""),287.5)</f>
        <v>287.5</v>
      </c>
      <c r="C11535" s="2">
        <f>IFERROR(__xludf.DUMMYFUNCTION("""COMPUTED_VALUE"""),293.32)</f>
        <v>293.32</v>
      </c>
      <c r="D11535" s="2">
        <f>IFERROR(__xludf.DUMMYFUNCTION("""COMPUTED_VALUE"""),287.3)</f>
        <v>287.3</v>
      </c>
      <c r="E11535" s="2">
        <f>IFERROR(__xludf.DUMMYFUNCTION("""COMPUTED_VALUE"""),288.37)</f>
        <v>288.37</v>
      </c>
      <c r="F11535" s="2">
        <f>IFERROR(__xludf.DUMMYFUNCTION("""COMPUTED_VALUE"""),4375082.0)</f>
        <v>4375082</v>
      </c>
    </row>
    <row r="11536">
      <c r="A11536" s="3">
        <f>IFERROR(__xludf.DUMMYFUNCTION("""COMPUTED_VALUE"""),45936.66666666667)</f>
        <v>45936.66667</v>
      </c>
      <c r="B11536" s="2">
        <f>IFERROR(__xludf.DUMMYFUNCTION("""COMPUTED_VALUE"""),288.61)</f>
        <v>288.61</v>
      </c>
      <c r="C11536" s="2">
        <f>IFERROR(__xludf.DUMMYFUNCTION("""COMPUTED_VALUE"""),291.45)</f>
        <v>291.45</v>
      </c>
      <c r="D11536" s="2">
        <f>IFERROR(__xludf.DUMMYFUNCTION("""COMPUTED_VALUE"""),287.8)</f>
        <v>287.8</v>
      </c>
      <c r="E11536" s="2">
        <f>IFERROR(__xludf.DUMMYFUNCTION("""COMPUTED_VALUE"""),289.42)</f>
        <v>289.42</v>
      </c>
      <c r="F11536" s="2">
        <f>IFERROR(__xludf.DUMMYFUNCTION("""COMPUTED_VALUE"""),2881947.0)</f>
        <v>2881947</v>
      </c>
    </row>
    <row r="11537">
      <c r="A11537" s="3">
        <f>IFERROR(__xludf.DUMMYFUNCTION("""COMPUTED_VALUE"""),45937.66666666667)</f>
        <v>45937.66667</v>
      </c>
      <c r="B11537" s="2">
        <f>IFERROR(__xludf.DUMMYFUNCTION("""COMPUTED_VALUE"""),295.55)</f>
        <v>295.55</v>
      </c>
      <c r="C11537" s="2">
        <f>IFERROR(__xludf.DUMMYFUNCTION("""COMPUTED_VALUE"""),301.04)</f>
        <v>301.04</v>
      </c>
      <c r="D11537" s="2">
        <f>IFERROR(__xludf.DUMMYFUNCTION("""COMPUTED_VALUE"""),293.29)</f>
        <v>293.29</v>
      </c>
      <c r="E11537" s="2">
        <f>IFERROR(__xludf.DUMMYFUNCTION("""COMPUTED_VALUE"""),293.87)</f>
        <v>293.87</v>
      </c>
      <c r="F11537" s="2">
        <f>IFERROR(__xludf.DUMMYFUNCTION("""COMPUTED_VALUE"""),7190126.0)</f>
        <v>7190126</v>
      </c>
    </row>
    <row r="11538">
      <c r="A11538" s="3">
        <f>IFERROR(__xludf.DUMMYFUNCTION("""COMPUTED_VALUE"""),45938.66666666667)</f>
        <v>45938.66667</v>
      </c>
      <c r="B11538" s="2">
        <f>IFERROR(__xludf.DUMMYFUNCTION("""COMPUTED_VALUE"""),294.16)</f>
        <v>294.16</v>
      </c>
      <c r="C11538" s="2">
        <f>IFERROR(__xludf.DUMMYFUNCTION("""COMPUTED_VALUE"""),294.2)</f>
        <v>294.2</v>
      </c>
      <c r="D11538" s="2">
        <f>IFERROR(__xludf.DUMMYFUNCTION("""COMPUTED_VALUE"""),286.47)</f>
        <v>286.47</v>
      </c>
      <c r="E11538" s="2">
        <f>IFERROR(__xludf.DUMMYFUNCTION("""COMPUTED_VALUE"""),289.46)</f>
        <v>289.46</v>
      </c>
      <c r="F11538" s="2">
        <f>IFERROR(__xludf.DUMMYFUNCTION("""COMPUTED_VALUE"""),5297030.0)</f>
        <v>5297030</v>
      </c>
    </row>
    <row r="11539">
      <c r="A11539" s="3">
        <f>IFERROR(__xludf.DUMMYFUNCTION("""COMPUTED_VALUE"""),45939.66666666667)</f>
        <v>45939.66667</v>
      </c>
      <c r="B11539" s="2">
        <f>IFERROR(__xludf.DUMMYFUNCTION("""COMPUTED_VALUE"""),289.82)</f>
        <v>289.82</v>
      </c>
      <c r="C11539" s="2">
        <f>IFERROR(__xludf.DUMMYFUNCTION("""COMPUTED_VALUE"""),290.13)</f>
        <v>290.13</v>
      </c>
      <c r="D11539" s="2">
        <f>IFERROR(__xludf.DUMMYFUNCTION("""COMPUTED_VALUE"""),283.32)</f>
        <v>283.32</v>
      </c>
      <c r="E11539" s="2">
        <f>IFERROR(__xludf.DUMMYFUNCTION("""COMPUTED_VALUE"""),288.23)</f>
        <v>288.23</v>
      </c>
      <c r="F11539" s="2">
        <f>IFERROR(__xludf.DUMMYFUNCTION("""COMPUTED_VALUE"""),4912375.0)</f>
        <v>4912375</v>
      </c>
    </row>
    <row r="11540">
      <c r="A11540" s="3">
        <f>IFERROR(__xludf.DUMMYFUNCTION("""COMPUTED_VALUE"""),45940.66666666667)</f>
        <v>45940.66667</v>
      </c>
      <c r="B11540" s="2">
        <f>IFERROR(__xludf.DUMMYFUNCTION("""COMPUTED_VALUE"""),288.97)</f>
        <v>288.97</v>
      </c>
      <c r="C11540" s="2">
        <f>IFERROR(__xludf.DUMMYFUNCTION("""COMPUTED_VALUE"""),290.39)</f>
        <v>290.39</v>
      </c>
      <c r="D11540" s="2">
        <f>IFERROR(__xludf.DUMMYFUNCTION("""COMPUTED_VALUE"""),277.5)</f>
        <v>277.5</v>
      </c>
      <c r="E11540" s="2">
        <f>IFERROR(__xludf.DUMMYFUNCTION("""COMPUTED_VALUE"""),277.82)</f>
        <v>277.82</v>
      </c>
      <c r="F11540" s="2">
        <f>IFERROR(__xludf.DUMMYFUNCTION("""COMPUTED_VALUE"""),4508506.0)</f>
        <v>4508506</v>
      </c>
    </row>
    <row r="11541">
      <c r="A11541" s="3">
        <f>IFERROR(__xludf.DUMMYFUNCTION("""COMPUTED_VALUE"""),45943.66666666667)</f>
        <v>45943.66667</v>
      </c>
      <c r="B11541" s="2">
        <f>IFERROR(__xludf.DUMMYFUNCTION("""COMPUTED_VALUE"""),279.79)</f>
        <v>279.79</v>
      </c>
      <c r="C11541" s="2">
        <f>IFERROR(__xludf.DUMMYFUNCTION("""COMPUTED_VALUE"""),282.44)</f>
        <v>282.44</v>
      </c>
      <c r="D11541" s="2">
        <f>IFERROR(__xludf.DUMMYFUNCTION("""COMPUTED_VALUE"""),274.64)</f>
        <v>274.64</v>
      </c>
      <c r="E11541" s="2">
        <f>IFERROR(__xludf.DUMMYFUNCTION("""COMPUTED_VALUE"""),277.22)</f>
        <v>277.22</v>
      </c>
      <c r="F11541" s="2">
        <f>IFERROR(__xludf.DUMMYFUNCTION("""COMPUTED_VALUE"""),4333836.0)</f>
        <v>4333836</v>
      </c>
    </row>
    <row r="11542">
      <c r="A11542" s="3">
        <f>IFERROR(__xludf.DUMMYFUNCTION("""COMPUTED_VALUE"""),45944.66666666667)</f>
        <v>45944.66667</v>
      </c>
      <c r="B11542" s="2">
        <f>IFERROR(__xludf.DUMMYFUNCTION("""COMPUTED_VALUE"""),275.52)</f>
        <v>275.52</v>
      </c>
      <c r="C11542" s="2">
        <f>IFERROR(__xludf.DUMMYFUNCTION("""COMPUTED_VALUE"""),277.53)</f>
        <v>277.53</v>
      </c>
      <c r="D11542" s="2">
        <f>IFERROR(__xludf.DUMMYFUNCTION("""COMPUTED_VALUE"""),272.55)</f>
        <v>272.55</v>
      </c>
      <c r="E11542" s="2">
        <f>IFERROR(__xludf.DUMMYFUNCTION("""COMPUTED_VALUE"""),276.15)</f>
        <v>276.15</v>
      </c>
      <c r="F11542" s="2">
        <f>IFERROR(__xludf.DUMMYFUNCTION("""COMPUTED_VALUE"""),3058149.0)</f>
        <v>3058149</v>
      </c>
    </row>
    <row r="11543">
      <c r="A11543" s="3">
        <f>IFERROR(__xludf.DUMMYFUNCTION("""COMPUTED_VALUE"""),45945.66666666667)</f>
        <v>45945.66667</v>
      </c>
      <c r="B11543" s="2">
        <f>IFERROR(__xludf.DUMMYFUNCTION("""COMPUTED_VALUE"""),278.38)</f>
        <v>278.38</v>
      </c>
      <c r="C11543" s="2">
        <f>IFERROR(__xludf.DUMMYFUNCTION("""COMPUTED_VALUE"""),285.45)</f>
        <v>285.45</v>
      </c>
      <c r="D11543" s="2">
        <f>IFERROR(__xludf.DUMMYFUNCTION("""COMPUTED_VALUE"""),277.0)</f>
        <v>277</v>
      </c>
      <c r="E11543" s="2">
        <f>IFERROR(__xludf.DUMMYFUNCTION("""COMPUTED_VALUE"""),280.75)</f>
        <v>280.75</v>
      </c>
      <c r="F11543" s="2">
        <f>IFERROR(__xludf.DUMMYFUNCTION("""COMPUTED_VALUE"""),3346753.0)</f>
        <v>3346753</v>
      </c>
    </row>
    <row r="11544">
      <c r="A11544" s="3">
        <f>IFERROR(__xludf.DUMMYFUNCTION("""COMPUTED_VALUE"""),45946.66666666667)</f>
        <v>45946.66667</v>
      </c>
      <c r="B11544" s="2">
        <f>IFERROR(__xludf.DUMMYFUNCTION("""COMPUTED_VALUE"""),281.11)</f>
        <v>281.11</v>
      </c>
      <c r="C11544" s="2">
        <f>IFERROR(__xludf.DUMMYFUNCTION("""COMPUTED_VALUE"""),282.56)</f>
        <v>282.56</v>
      </c>
      <c r="D11544" s="2">
        <f>IFERROR(__xludf.DUMMYFUNCTION("""COMPUTED_VALUE"""),275.6)</f>
        <v>275.6</v>
      </c>
      <c r="E11544" s="2">
        <f>IFERROR(__xludf.DUMMYFUNCTION("""COMPUTED_VALUE"""),275.97)</f>
        <v>275.97</v>
      </c>
      <c r="F11544" s="2">
        <f>IFERROR(__xludf.DUMMYFUNCTION("""COMPUTED_VALUE"""),2956923.0)</f>
        <v>2956923</v>
      </c>
    </row>
    <row r="11545">
      <c r="A11545" s="3">
        <f>IFERROR(__xludf.DUMMYFUNCTION("""COMPUTED_VALUE"""),45947.66666666667)</f>
        <v>45947.66667</v>
      </c>
      <c r="B11545" s="2">
        <f>IFERROR(__xludf.DUMMYFUNCTION("""COMPUTED_VALUE"""),276.15)</f>
        <v>276.15</v>
      </c>
      <c r="C11545" s="2">
        <f>IFERROR(__xludf.DUMMYFUNCTION("""COMPUTED_VALUE"""),283.4)</f>
        <v>283.4</v>
      </c>
      <c r="D11545" s="2">
        <f>IFERROR(__xludf.DUMMYFUNCTION("""COMPUTED_VALUE"""),275.35)</f>
        <v>275.35</v>
      </c>
      <c r="E11545" s="2">
        <f>IFERROR(__xludf.DUMMYFUNCTION("""COMPUTED_VALUE"""),281.28)</f>
        <v>281.28</v>
      </c>
      <c r="F11545" s="2">
        <f>IFERROR(__xludf.DUMMYFUNCTION("""COMPUTED_VALUE"""),5309565.0)</f>
        <v>5309565</v>
      </c>
    </row>
    <row r="11546">
      <c r="A11546" s="3">
        <f>IFERROR(__xludf.DUMMYFUNCTION("""COMPUTED_VALUE"""),45950.66666666667)</f>
        <v>45950.66667</v>
      </c>
      <c r="B11546" s="2">
        <f>IFERROR(__xludf.DUMMYFUNCTION("""COMPUTED_VALUE"""),281.25)</f>
        <v>281.25</v>
      </c>
      <c r="C11546" s="2">
        <f>IFERROR(__xludf.DUMMYFUNCTION("""COMPUTED_VALUE"""),285.5)</f>
        <v>285.5</v>
      </c>
      <c r="D11546" s="2">
        <f>IFERROR(__xludf.DUMMYFUNCTION("""COMPUTED_VALUE"""),280.96)</f>
        <v>280.96</v>
      </c>
      <c r="E11546" s="2">
        <f>IFERROR(__xludf.DUMMYFUNCTION("""COMPUTED_VALUE"""),283.65)</f>
        <v>283.65</v>
      </c>
      <c r="F11546" s="2">
        <f>IFERROR(__xludf.DUMMYFUNCTION("""COMPUTED_VALUE"""),3494336.0)</f>
        <v>3494336</v>
      </c>
    </row>
    <row r="11547">
      <c r="A11547" s="3">
        <f>IFERROR(__xludf.DUMMYFUNCTION("""COMPUTED_VALUE"""),45951.66666666667)</f>
        <v>45951.66667</v>
      </c>
      <c r="B11547" s="2">
        <f>IFERROR(__xludf.DUMMYFUNCTION("""COMPUTED_VALUE"""),283.31)</f>
        <v>283.31</v>
      </c>
      <c r="C11547" s="2">
        <f>IFERROR(__xludf.DUMMYFUNCTION("""COMPUTED_VALUE"""),285.31)</f>
        <v>285.31</v>
      </c>
      <c r="D11547" s="2">
        <f>IFERROR(__xludf.DUMMYFUNCTION("""COMPUTED_VALUE"""),281.6)</f>
        <v>281.6</v>
      </c>
      <c r="E11547" s="2">
        <f>IFERROR(__xludf.DUMMYFUNCTION("""COMPUTED_VALUE"""),282.05)</f>
        <v>282.05</v>
      </c>
      <c r="F11547" s="2">
        <f>IFERROR(__xludf.DUMMYFUNCTION("""COMPUTED_VALUE"""),4080981.0)</f>
        <v>4080981</v>
      </c>
    </row>
    <row r="11548">
      <c r="A11548" s="3">
        <f>IFERROR(__xludf.DUMMYFUNCTION("""COMPUTED_VALUE"""),45952.66666666667)</f>
        <v>45952.66667</v>
      </c>
      <c r="B11548" s="2">
        <f>IFERROR(__xludf.DUMMYFUNCTION("""COMPUTED_VALUE"""),281.99)</f>
        <v>281.99</v>
      </c>
      <c r="C11548" s="2">
        <f>IFERROR(__xludf.DUMMYFUNCTION("""COMPUTED_VALUE"""),289.17)</f>
        <v>289.17</v>
      </c>
      <c r="D11548" s="2">
        <f>IFERROR(__xludf.DUMMYFUNCTION("""COMPUTED_VALUE"""),281.35)</f>
        <v>281.35</v>
      </c>
      <c r="E11548" s="2">
        <f>IFERROR(__xludf.DUMMYFUNCTION("""COMPUTED_VALUE"""),287.51)</f>
        <v>287.51</v>
      </c>
      <c r="F11548" s="2">
        <f>IFERROR(__xludf.DUMMYFUNCTION("""COMPUTED_VALUE"""),1.053848E7)</f>
        <v>10538480</v>
      </c>
    </row>
    <row r="11549">
      <c r="A11549" s="3">
        <f>IFERROR(__xludf.DUMMYFUNCTION("""COMPUTED_VALUE"""),45953.66666666667)</f>
        <v>45953.66667</v>
      </c>
      <c r="B11549" s="2">
        <f>IFERROR(__xludf.DUMMYFUNCTION("""COMPUTED_VALUE"""),264.95)</f>
        <v>264.95</v>
      </c>
      <c r="C11549" s="2">
        <f>IFERROR(__xludf.DUMMYFUNCTION("""COMPUTED_VALUE"""),285.58)</f>
        <v>285.58</v>
      </c>
      <c r="D11549" s="2">
        <f>IFERROR(__xludf.DUMMYFUNCTION("""COMPUTED_VALUE"""),263.56)</f>
        <v>263.56</v>
      </c>
      <c r="E11549" s="2">
        <f>IFERROR(__xludf.DUMMYFUNCTION("""COMPUTED_VALUE"""),285.0)</f>
        <v>285</v>
      </c>
      <c r="F11549" s="2">
        <f>IFERROR(__xludf.DUMMYFUNCTION("""COMPUTED_VALUE"""),1.6676394E7)</f>
        <v>16676394</v>
      </c>
    </row>
    <row r="11550">
      <c r="A11550" s="3">
        <f>IFERROR(__xludf.DUMMYFUNCTION("""COMPUTED_VALUE"""),45954.66666666667)</f>
        <v>45954.66667</v>
      </c>
      <c r="B11550" s="2">
        <f>IFERROR(__xludf.DUMMYFUNCTION("""COMPUTED_VALUE"""),283.77)</f>
        <v>283.77</v>
      </c>
      <c r="C11550" s="2">
        <f>IFERROR(__xludf.DUMMYFUNCTION("""COMPUTED_VALUE"""),310.75)</f>
        <v>310.75</v>
      </c>
      <c r="D11550" s="2">
        <f>IFERROR(__xludf.DUMMYFUNCTION("""COMPUTED_VALUE"""),282.21)</f>
        <v>282.21</v>
      </c>
      <c r="E11550" s="2">
        <f>IFERROR(__xludf.DUMMYFUNCTION("""COMPUTED_VALUE"""),307.46)</f>
        <v>307.46</v>
      </c>
      <c r="F11550" s="2">
        <f>IFERROR(__xludf.DUMMYFUNCTION("""COMPUTED_VALUE"""),1.6914243E7)</f>
        <v>16914243</v>
      </c>
    </row>
    <row r="11551">
      <c r="A11551" s="3">
        <f>IFERROR(__xludf.DUMMYFUNCTION("""COMPUTED_VALUE"""),45957.66666666667)</f>
        <v>45957.66667</v>
      </c>
      <c r="B11551" s="2">
        <f>IFERROR(__xludf.DUMMYFUNCTION("""COMPUTED_VALUE"""),307.8)</f>
        <v>307.8</v>
      </c>
      <c r="C11551" s="2">
        <f>IFERROR(__xludf.DUMMYFUNCTION("""COMPUTED_VALUE"""),313.5)</f>
        <v>313.5</v>
      </c>
      <c r="D11551" s="2">
        <f>IFERROR(__xludf.DUMMYFUNCTION("""COMPUTED_VALUE"""),302.88)</f>
        <v>302.88</v>
      </c>
      <c r="E11551" s="2">
        <f>IFERROR(__xludf.DUMMYFUNCTION("""COMPUTED_VALUE"""),313.09)</f>
        <v>313.09</v>
      </c>
      <c r="F11551" s="2">
        <f>IFERROR(__xludf.DUMMYFUNCTION("""COMPUTED_VALUE"""),9868151.0)</f>
        <v>9868151</v>
      </c>
    </row>
    <row r="11552">
      <c r="A11552" s="3">
        <f>IFERROR(__xludf.DUMMYFUNCTION("""COMPUTED_VALUE"""),45958.66666666667)</f>
        <v>45958.66667</v>
      </c>
      <c r="B11552" s="2">
        <f>IFERROR(__xludf.DUMMYFUNCTION("""COMPUTED_VALUE"""),312.6)</f>
        <v>312.6</v>
      </c>
      <c r="C11552" s="2">
        <f>IFERROR(__xludf.DUMMYFUNCTION("""COMPUTED_VALUE"""),319.35)</f>
        <v>319.35</v>
      </c>
      <c r="D11552" s="2">
        <f>IFERROR(__xludf.DUMMYFUNCTION("""COMPUTED_VALUE"""),311.41)</f>
        <v>311.41</v>
      </c>
      <c r="E11552" s="2">
        <f>IFERROR(__xludf.DUMMYFUNCTION("""COMPUTED_VALUE"""),312.57)</f>
        <v>312.57</v>
      </c>
      <c r="F11552" s="2">
        <f>IFERROR(__xludf.DUMMYFUNCTION("""COMPUTED_VALUE"""),6044770.0)</f>
        <v>6044770</v>
      </c>
    </row>
    <row r="11553">
      <c r="A11553" s="3">
        <f>IFERROR(__xludf.DUMMYFUNCTION("""COMPUTED_VALUE"""),45959.66666666667)</f>
        <v>45959.66667</v>
      </c>
      <c r="B11553" s="2">
        <f>IFERROR(__xludf.DUMMYFUNCTION("""COMPUTED_VALUE"""),312.79)</f>
        <v>312.79</v>
      </c>
      <c r="C11553" s="2">
        <f>IFERROR(__xludf.DUMMYFUNCTION("""COMPUTED_VALUE"""),314.33)</f>
        <v>314.33</v>
      </c>
      <c r="D11553" s="2">
        <f>IFERROR(__xludf.DUMMYFUNCTION("""COMPUTED_VALUE"""),307.52)</f>
        <v>307.52</v>
      </c>
      <c r="E11553" s="2">
        <f>IFERROR(__xludf.DUMMYFUNCTION("""COMPUTED_VALUE"""),308.21)</f>
        <v>308.21</v>
      </c>
      <c r="F11553" s="2">
        <f>IFERROR(__xludf.DUMMYFUNCTION("""COMPUTED_VALUE"""),4135948.0)</f>
        <v>4135948</v>
      </c>
    </row>
    <row r="11554">
      <c r="A11554" s="3">
        <f>IFERROR(__xludf.DUMMYFUNCTION("""COMPUTED_VALUE"""),45960.66666666667)</f>
        <v>45960.66667</v>
      </c>
      <c r="B11554" s="2">
        <f>IFERROR(__xludf.DUMMYFUNCTION("""COMPUTED_VALUE"""),306.65)</f>
        <v>306.65</v>
      </c>
      <c r="C11554" s="2">
        <f>IFERROR(__xludf.DUMMYFUNCTION("""COMPUTED_VALUE"""),313.75)</f>
        <v>313.75</v>
      </c>
      <c r="D11554" s="2">
        <f>IFERROR(__xludf.DUMMYFUNCTION("""COMPUTED_VALUE"""),305.02)</f>
        <v>305.02</v>
      </c>
      <c r="E11554" s="2">
        <f>IFERROR(__xludf.DUMMYFUNCTION("""COMPUTED_VALUE"""),310.06)</f>
        <v>310.06</v>
      </c>
      <c r="F11554" s="2">
        <f>IFERROR(__xludf.DUMMYFUNCTION("""COMPUTED_VALUE"""),4694275.0)</f>
        <v>4694275</v>
      </c>
    </row>
    <row r="11555">
      <c r="A11555" s="3">
        <f>IFERROR(__xludf.DUMMYFUNCTION("""COMPUTED_VALUE"""),45961.66666666667)</f>
        <v>45961.66667</v>
      </c>
      <c r="B11555" s="2">
        <f>IFERROR(__xludf.DUMMYFUNCTION("""COMPUTED_VALUE"""),312.0)</f>
        <v>312</v>
      </c>
      <c r="C11555" s="2">
        <f>IFERROR(__xludf.DUMMYFUNCTION("""COMPUTED_VALUE"""),313.5)</f>
        <v>313.5</v>
      </c>
      <c r="D11555" s="2">
        <f>IFERROR(__xludf.DUMMYFUNCTION("""COMPUTED_VALUE"""),301.63)</f>
        <v>301.63</v>
      </c>
      <c r="E11555" s="2">
        <f>IFERROR(__xludf.DUMMYFUNCTION("""COMPUTED_VALUE"""),307.41)</f>
        <v>307.41</v>
      </c>
      <c r="F11555" s="2">
        <f>IFERROR(__xludf.DUMMYFUNCTION("""COMPUTED_VALUE"""),7697499.0)</f>
        <v>7697499</v>
      </c>
    </row>
    <row r="11556">
      <c r="A11556" s="3">
        <f>IFERROR(__xludf.DUMMYFUNCTION("""COMPUTED_VALUE"""),45964.66666666667)</f>
        <v>45964.66667</v>
      </c>
      <c r="B11556" s="2">
        <f>IFERROR(__xludf.DUMMYFUNCTION("""COMPUTED_VALUE"""),308.0)</f>
        <v>308</v>
      </c>
      <c r="C11556" s="2">
        <f>IFERROR(__xludf.DUMMYFUNCTION("""COMPUTED_VALUE"""),312.14)</f>
        <v>312.14</v>
      </c>
      <c r="D11556" s="2">
        <f>IFERROR(__xludf.DUMMYFUNCTION("""COMPUTED_VALUE"""),304.23)</f>
        <v>304.23</v>
      </c>
      <c r="E11556" s="2">
        <f>IFERROR(__xludf.DUMMYFUNCTION("""COMPUTED_VALUE"""),304.73)</f>
        <v>304.73</v>
      </c>
      <c r="F11556" s="2">
        <f>IFERROR(__xludf.DUMMYFUNCTION("""COMPUTED_VALUE"""),4957958.0)</f>
        <v>4957958</v>
      </c>
    </row>
    <row r="11557">
      <c r="A11557" s="3">
        <f>IFERROR(__xludf.DUMMYFUNCTION("""COMPUTED_VALUE"""),45965.66666666667)</f>
        <v>45965.66667</v>
      </c>
      <c r="B11557" s="2">
        <f>IFERROR(__xludf.DUMMYFUNCTION("""COMPUTED_VALUE"""),300.0)</f>
        <v>300</v>
      </c>
      <c r="C11557" s="2">
        <f>IFERROR(__xludf.DUMMYFUNCTION("""COMPUTED_VALUE"""),303.17)</f>
        <v>303.17</v>
      </c>
      <c r="D11557" s="2">
        <f>IFERROR(__xludf.DUMMYFUNCTION("""COMPUTED_VALUE"""),296.0)</f>
        <v>296</v>
      </c>
      <c r="E11557" s="2">
        <f>IFERROR(__xludf.DUMMYFUNCTION("""COMPUTED_VALUE"""),300.85)</f>
        <v>300.85</v>
      </c>
      <c r="F11557" s="2">
        <f>IFERROR(__xludf.DUMMYFUNCTION("""COMPUTED_VALUE"""),5677330.0)</f>
        <v>5677330</v>
      </c>
    </row>
    <row r="11558">
      <c r="A11558" s="3">
        <f>IFERROR(__xludf.DUMMYFUNCTION("""COMPUTED_VALUE"""),45966.66666666667)</f>
        <v>45966.66667</v>
      </c>
      <c r="B11558" s="2">
        <f>IFERROR(__xludf.DUMMYFUNCTION("""COMPUTED_VALUE"""),301.38)</f>
        <v>301.38</v>
      </c>
      <c r="C11558" s="2">
        <f>IFERROR(__xludf.DUMMYFUNCTION("""COMPUTED_VALUE"""),307.2)</f>
        <v>307.2</v>
      </c>
      <c r="D11558" s="2">
        <f>IFERROR(__xludf.DUMMYFUNCTION("""COMPUTED_VALUE"""),299.71)</f>
        <v>299.71</v>
      </c>
      <c r="E11558" s="2">
        <f>IFERROR(__xludf.DUMMYFUNCTION("""COMPUTED_VALUE"""),306.77)</f>
        <v>306.77</v>
      </c>
      <c r="F11558" s="2">
        <f>IFERROR(__xludf.DUMMYFUNCTION("""COMPUTED_VALUE"""),4650368.0)</f>
        <v>4650368</v>
      </c>
    </row>
    <row r="11559">
      <c r="A11559" s="3">
        <f>IFERROR(__xludf.DUMMYFUNCTION("""COMPUTED_VALUE"""),45967.66666666667)</f>
        <v>45967.66667</v>
      </c>
      <c r="B11559" s="2">
        <f>IFERROR(__xludf.DUMMYFUNCTION("""COMPUTED_VALUE"""),306.75)</f>
        <v>306.75</v>
      </c>
      <c r="C11559" s="2">
        <f>IFERROR(__xludf.DUMMYFUNCTION("""COMPUTED_VALUE"""),315.44)</f>
        <v>315.44</v>
      </c>
      <c r="D11559" s="2">
        <f>IFERROR(__xludf.DUMMYFUNCTION("""COMPUTED_VALUE"""),301.09)</f>
        <v>301.09</v>
      </c>
      <c r="E11559" s="2">
        <f>IFERROR(__xludf.DUMMYFUNCTION("""COMPUTED_VALUE"""),312.42)</f>
        <v>312.42</v>
      </c>
      <c r="F11559" s="2">
        <f>IFERROR(__xludf.DUMMYFUNCTION("""COMPUTED_VALUE"""),6818521.0)</f>
        <v>6818521</v>
      </c>
    </row>
    <row r="11560">
      <c r="A11560" s="3">
        <f>IFERROR(__xludf.DUMMYFUNCTION("""COMPUTED_VALUE"""),45968.66666666667)</f>
        <v>45968.66667</v>
      </c>
      <c r="B11560" s="2">
        <f>IFERROR(__xludf.DUMMYFUNCTION("""COMPUTED_VALUE"""),309.68)</f>
        <v>309.68</v>
      </c>
      <c r="C11560" s="2">
        <f>IFERROR(__xludf.DUMMYFUNCTION("""COMPUTED_VALUE"""),310.0)</f>
        <v>310</v>
      </c>
      <c r="D11560" s="2">
        <f>IFERROR(__xludf.DUMMYFUNCTION("""COMPUTED_VALUE"""),302.63)</f>
        <v>302.63</v>
      </c>
      <c r="E11560" s="2">
        <f>IFERROR(__xludf.DUMMYFUNCTION("""COMPUTED_VALUE"""),306.38)</f>
        <v>306.38</v>
      </c>
      <c r="F11560" s="2">
        <f>IFERROR(__xludf.DUMMYFUNCTION("""COMPUTED_VALUE"""),5070773.0)</f>
        <v>5070773</v>
      </c>
    </row>
    <row r="11561">
      <c r="A11561" s="3">
        <f>IFERROR(__xludf.DUMMYFUNCTION("""COMPUTED_VALUE"""),45971.66666666667)</f>
        <v>45971.66667</v>
      </c>
      <c r="B11561" s="2">
        <f>IFERROR(__xludf.DUMMYFUNCTION("""COMPUTED_VALUE"""),306.82)</f>
        <v>306.82</v>
      </c>
      <c r="C11561" s="2">
        <f>IFERROR(__xludf.DUMMYFUNCTION("""COMPUTED_VALUE"""),309.94)</f>
        <v>309.94</v>
      </c>
      <c r="D11561" s="2">
        <f>IFERROR(__xludf.DUMMYFUNCTION("""COMPUTED_VALUE"""),304.23)</f>
        <v>304.23</v>
      </c>
      <c r="E11561" s="2">
        <f>IFERROR(__xludf.DUMMYFUNCTION("""COMPUTED_VALUE"""),309.13)</f>
        <v>309.13</v>
      </c>
      <c r="F11561" s="2">
        <f>IFERROR(__xludf.DUMMYFUNCTION("""COMPUTED_VALUE"""),2975188.0)</f>
        <v>2975188</v>
      </c>
    </row>
    <row r="11562">
      <c r="A11562" s="3">
        <f>IFERROR(__xludf.DUMMYFUNCTION("""COMPUTED_VALUE"""),45972.66666666667)</f>
        <v>45972.66667</v>
      </c>
      <c r="B11562" s="2">
        <f>IFERROR(__xludf.DUMMYFUNCTION("""COMPUTED_VALUE"""),309.0)</f>
        <v>309</v>
      </c>
      <c r="C11562" s="2">
        <f>IFERROR(__xludf.DUMMYFUNCTION("""COMPUTED_VALUE"""),317.91)</f>
        <v>317.91</v>
      </c>
      <c r="D11562" s="2">
        <f>IFERROR(__xludf.DUMMYFUNCTION("""COMPUTED_VALUE"""),308.43)</f>
        <v>308.43</v>
      </c>
      <c r="E11562" s="2">
        <f>IFERROR(__xludf.DUMMYFUNCTION("""COMPUTED_VALUE"""),313.72)</f>
        <v>313.72</v>
      </c>
      <c r="F11562" s="2">
        <f>IFERROR(__xludf.DUMMYFUNCTION("""COMPUTED_VALUE"""),4381913.0)</f>
        <v>4381913</v>
      </c>
    </row>
    <row r="11563">
      <c r="A11563" s="3">
        <f>IFERROR(__xludf.DUMMYFUNCTION("""COMPUTED_VALUE"""),45973.66666666667)</f>
        <v>45973.66667</v>
      </c>
      <c r="B11563" s="2">
        <f>IFERROR(__xludf.DUMMYFUNCTION("""COMPUTED_VALUE"""),319.89)</f>
        <v>319.89</v>
      </c>
      <c r="C11563" s="2">
        <f>IFERROR(__xludf.DUMMYFUNCTION("""COMPUTED_VALUE"""),324.9)</f>
        <v>324.9</v>
      </c>
      <c r="D11563" s="2">
        <f>IFERROR(__xludf.DUMMYFUNCTION("""COMPUTED_VALUE"""),314.53)</f>
        <v>314.53</v>
      </c>
      <c r="E11563" s="2">
        <f>IFERROR(__xludf.DUMMYFUNCTION("""COMPUTED_VALUE"""),314.98)</f>
        <v>314.98</v>
      </c>
      <c r="F11563" s="2">
        <f>IFERROR(__xludf.DUMMYFUNCTION("""COMPUTED_VALUE"""),6042686.0)</f>
        <v>6042686</v>
      </c>
    </row>
    <row r="11564">
      <c r="A11564" s="3">
        <f>IFERROR(__xludf.DUMMYFUNCTION("""COMPUTED_VALUE"""),45974.66666666667)</f>
        <v>45974.66667</v>
      </c>
      <c r="B11564" s="2">
        <f>IFERROR(__xludf.DUMMYFUNCTION("""COMPUTED_VALUE"""),312.29)</f>
        <v>312.29</v>
      </c>
      <c r="C11564" s="2">
        <f>IFERROR(__xludf.DUMMYFUNCTION("""COMPUTED_VALUE"""),314.6)</f>
        <v>314.6</v>
      </c>
      <c r="D11564" s="2">
        <f>IFERROR(__xludf.DUMMYFUNCTION("""COMPUTED_VALUE"""),303.68)</f>
        <v>303.68</v>
      </c>
      <c r="E11564" s="2">
        <f>IFERROR(__xludf.DUMMYFUNCTION("""COMPUTED_VALUE"""),304.86)</f>
        <v>304.86</v>
      </c>
      <c r="F11564" s="2">
        <f>IFERROR(__xludf.DUMMYFUNCTION("""COMPUTED_VALUE"""),5310150.0)</f>
        <v>5310150</v>
      </c>
    </row>
    <row r="11565">
      <c r="A11565" s="3">
        <f>IFERROR(__xludf.DUMMYFUNCTION("""COMPUTED_VALUE"""),45975.66666666667)</f>
        <v>45975.66667</v>
      </c>
      <c r="B11565" s="2">
        <f>IFERROR(__xludf.DUMMYFUNCTION("""COMPUTED_VALUE"""),300.0)</f>
        <v>300</v>
      </c>
      <c r="C11565" s="2">
        <f>IFERROR(__xludf.DUMMYFUNCTION("""COMPUTED_VALUE"""),307.72)</f>
        <v>307.72</v>
      </c>
      <c r="D11565" s="2">
        <f>IFERROR(__xludf.DUMMYFUNCTION("""COMPUTED_VALUE"""),297.59)</f>
        <v>297.59</v>
      </c>
      <c r="E11565" s="2">
        <f>IFERROR(__xludf.DUMMYFUNCTION("""COMPUTED_VALUE"""),305.69)</f>
        <v>305.69</v>
      </c>
      <c r="F11565" s="2">
        <f>IFERROR(__xludf.DUMMYFUNCTION("""COMPUTED_VALUE"""),3592455.0)</f>
        <v>3592455</v>
      </c>
    </row>
    <row r="11566">
      <c r="A11566" s="3">
        <f>IFERROR(__xludf.DUMMYFUNCTION("""COMPUTED_VALUE"""),45978.66666666667)</f>
        <v>45978.66667</v>
      </c>
      <c r="B11566" s="2">
        <f>IFERROR(__xludf.DUMMYFUNCTION("""COMPUTED_VALUE"""),305.59)</f>
        <v>305.59</v>
      </c>
      <c r="C11566" s="2">
        <f>IFERROR(__xludf.DUMMYFUNCTION("""COMPUTED_VALUE"""),306.0)</f>
        <v>306</v>
      </c>
      <c r="D11566" s="2">
        <f>IFERROR(__xludf.DUMMYFUNCTION("""COMPUTED_VALUE"""),296.51)</f>
        <v>296.51</v>
      </c>
      <c r="E11566" s="2">
        <f>IFERROR(__xludf.DUMMYFUNCTION("""COMPUTED_VALUE"""),297.17)</f>
        <v>297.17</v>
      </c>
      <c r="F11566" s="2">
        <f>IFERROR(__xludf.DUMMYFUNCTION("""COMPUTED_VALUE"""),3909741.0)</f>
        <v>3909741</v>
      </c>
    </row>
    <row r="11567">
      <c r="A11567" s="3">
        <f>IFERROR(__xludf.DUMMYFUNCTION("""COMPUTED_VALUE"""),45979.66666666667)</f>
        <v>45979.66667</v>
      </c>
      <c r="B11567" s="2">
        <f>IFERROR(__xludf.DUMMYFUNCTION("""COMPUTED_VALUE"""),297.0)</f>
        <v>297</v>
      </c>
      <c r="C11567" s="2">
        <f>IFERROR(__xludf.DUMMYFUNCTION("""COMPUTED_VALUE"""),297.0)</f>
        <v>297</v>
      </c>
      <c r="D11567" s="2">
        <f>IFERROR(__xludf.DUMMYFUNCTION("""COMPUTED_VALUE"""),289.92)</f>
        <v>289.92</v>
      </c>
      <c r="E11567" s="2">
        <f>IFERROR(__xludf.DUMMYFUNCTION("""COMPUTED_VALUE"""),289.95)</f>
        <v>289.95</v>
      </c>
      <c r="F11567" s="2">
        <f>IFERROR(__xludf.DUMMYFUNCTION("""COMPUTED_VALUE"""),4861928.0)</f>
        <v>4861928</v>
      </c>
    </row>
    <row r="11568">
      <c r="A11568" s="3">
        <f>IFERROR(__xludf.DUMMYFUNCTION("""COMPUTED_VALUE"""),45980.66666666667)</f>
        <v>45980.66667</v>
      </c>
      <c r="B11568" s="2">
        <f>IFERROR(__xludf.DUMMYFUNCTION("""COMPUTED_VALUE"""),290.5)</f>
        <v>290.5</v>
      </c>
      <c r="C11568" s="2">
        <f>IFERROR(__xludf.DUMMYFUNCTION("""COMPUTED_VALUE"""),291.11)</f>
        <v>291.11</v>
      </c>
      <c r="D11568" s="2">
        <f>IFERROR(__xludf.DUMMYFUNCTION("""COMPUTED_VALUE"""),288.07)</f>
        <v>288.07</v>
      </c>
      <c r="E11568" s="2">
        <f>IFERROR(__xludf.DUMMYFUNCTION("""COMPUTED_VALUE"""),288.53)</f>
        <v>288.53</v>
      </c>
      <c r="F11568" s="2">
        <f>IFERROR(__xludf.DUMMYFUNCTION("""COMPUTED_VALUE"""),3595912.0)</f>
        <v>3595912</v>
      </c>
    </row>
    <row r="11569">
      <c r="A11569" s="3">
        <f>IFERROR(__xludf.DUMMYFUNCTION("""COMPUTED_VALUE"""),45981.66666666667)</f>
        <v>45981.66667</v>
      </c>
      <c r="B11569" s="2">
        <f>IFERROR(__xludf.DUMMYFUNCTION("""COMPUTED_VALUE"""),294.64)</f>
        <v>294.64</v>
      </c>
      <c r="C11569" s="2">
        <f>IFERROR(__xludf.DUMMYFUNCTION("""COMPUTED_VALUE"""),300.71)</f>
        <v>300.71</v>
      </c>
      <c r="D11569" s="2">
        <f>IFERROR(__xludf.DUMMYFUNCTION("""COMPUTED_VALUE"""),290.16)</f>
        <v>290.16</v>
      </c>
      <c r="E11569" s="2">
        <f>IFERROR(__xludf.DUMMYFUNCTION("""COMPUTED_VALUE"""),290.4)</f>
        <v>290.4</v>
      </c>
      <c r="F11569" s="2">
        <f>IFERROR(__xludf.DUMMYFUNCTION("""COMPUTED_VALUE"""),5597028.0)</f>
        <v>5597028</v>
      </c>
    </row>
    <row r="11570">
      <c r="A11570" s="3">
        <f>IFERROR(__xludf.DUMMYFUNCTION("""COMPUTED_VALUE"""),45982.66666666667)</f>
        <v>45982.66667</v>
      </c>
      <c r="B11570" s="2">
        <f>IFERROR(__xludf.DUMMYFUNCTION("""COMPUTED_VALUE"""),293.48)</f>
        <v>293.48</v>
      </c>
      <c r="C11570" s="2">
        <f>IFERROR(__xludf.DUMMYFUNCTION("""COMPUTED_VALUE"""),300.48)</f>
        <v>300.48</v>
      </c>
      <c r="D11570" s="2">
        <f>IFERROR(__xludf.DUMMYFUNCTION("""COMPUTED_VALUE"""),291.89)</f>
        <v>291.89</v>
      </c>
      <c r="E11570" s="2">
        <f>IFERROR(__xludf.DUMMYFUNCTION("""COMPUTED_VALUE"""),297.44)</f>
        <v>297.44</v>
      </c>
      <c r="F11570" s="2">
        <f>IFERROR(__xludf.DUMMYFUNCTION("""COMPUTED_VALUE"""),5710903.0)</f>
        <v>5710903</v>
      </c>
    </row>
    <row r="11571">
      <c r="A11571" s="3">
        <f>IFERROR(__xludf.DUMMYFUNCTION("""COMPUTED_VALUE"""),45985.66666666667)</f>
        <v>45985.66667</v>
      </c>
      <c r="B11571" s="2">
        <f>IFERROR(__xludf.DUMMYFUNCTION("""COMPUTED_VALUE"""),299.18)</f>
        <v>299.18</v>
      </c>
      <c r="C11571" s="2">
        <f>IFERROR(__xludf.DUMMYFUNCTION("""COMPUTED_VALUE"""),307.18)</f>
        <v>307.18</v>
      </c>
      <c r="D11571" s="2">
        <f>IFERROR(__xludf.DUMMYFUNCTION("""COMPUTED_VALUE"""),297.51)</f>
        <v>297.51</v>
      </c>
      <c r="E11571" s="2">
        <f>IFERROR(__xludf.DUMMYFUNCTION("""COMPUTED_VALUE"""),304.12)</f>
        <v>304.12</v>
      </c>
      <c r="F11571" s="2">
        <f>IFERROR(__xludf.DUMMYFUNCTION("""COMPUTED_VALUE"""),6050640.0)</f>
        <v>6050640</v>
      </c>
    </row>
    <row r="11572">
      <c r="A11572" s="3">
        <f>IFERROR(__xludf.DUMMYFUNCTION("""COMPUTED_VALUE"""),45986.66666666667)</f>
        <v>45986.66667</v>
      </c>
      <c r="B11572" s="2">
        <f>IFERROR(__xludf.DUMMYFUNCTION("""COMPUTED_VALUE"""),304.13)</f>
        <v>304.13</v>
      </c>
      <c r="C11572" s="2">
        <f>IFERROR(__xludf.DUMMYFUNCTION("""COMPUTED_VALUE"""),306.0)</f>
        <v>306</v>
      </c>
      <c r="D11572" s="2">
        <f>IFERROR(__xludf.DUMMYFUNCTION("""COMPUTED_VALUE"""),297.06)</f>
        <v>297.06</v>
      </c>
      <c r="E11572" s="2">
        <f>IFERROR(__xludf.DUMMYFUNCTION("""COMPUTED_VALUE"""),304.48)</f>
        <v>304.48</v>
      </c>
      <c r="F11572" s="2">
        <f>IFERROR(__xludf.DUMMYFUNCTION("""COMPUTED_VALUE"""),2825322.0)</f>
        <v>2825322</v>
      </c>
    </row>
    <row r="11573">
      <c r="A11573" s="3">
        <f>IFERROR(__xludf.DUMMYFUNCTION("""COMPUTED_VALUE"""),45987.66666666667)</f>
        <v>45987.66667</v>
      </c>
      <c r="B11573" s="2">
        <f>IFERROR(__xludf.DUMMYFUNCTION("""COMPUTED_VALUE"""),305.18)</f>
        <v>305.18</v>
      </c>
      <c r="C11573" s="2">
        <f>IFERROR(__xludf.DUMMYFUNCTION("""COMPUTED_VALUE"""),306.6)</f>
        <v>306.6</v>
      </c>
      <c r="D11573" s="2">
        <f>IFERROR(__xludf.DUMMYFUNCTION("""COMPUTED_VALUE"""),301.64)</f>
        <v>301.64</v>
      </c>
      <c r="E11573" s="2">
        <f>IFERROR(__xludf.DUMMYFUNCTION("""COMPUTED_VALUE"""),303.21)</f>
        <v>303.21</v>
      </c>
      <c r="F11573" s="2">
        <f>IFERROR(__xludf.DUMMYFUNCTION("""COMPUTED_VALUE"""),2196446.0)</f>
        <v>2196446</v>
      </c>
    </row>
    <row r="11574">
      <c r="A11574" s="3">
        <f>IFERROR(__xludf.DUMMYFUNCTION("""COMPUTED_VALUE"""),45989.54166666667)</f>
        <v>45989.54167</v>
      </c>
      <c r="B11574" s="2">
        <f>IFERROR(__xludf.DUMMYFUNCTION("""COMPUTED_VALUE"""),304.0)</f>
        <v>304</v>
      </c>
      <c r="C11574" s="2">
        <f>IFERROR(__xludf.DUMMYFUNCTION("""COMPUTED_VALUE"""),309.18)</f>
        <v>309.18</v>
      </c>
      <c r="D11574" s="2">
        <f>IFERROR(__xludf.DUMMYFUNCTION("""COMPUTED_VALUE"""),303.6)</f>
        <v>303.6</v>
      </c>
      <c r="E11574" s="2">
        <f>IFERROR(__xludf.DUMMYFUNCTION("""COMPUTED_VALUE"""),308.58)</f>
        <v>308.58</v>
      </c>
      <c r="F11574" s="2">
        <f>IFERROR(__xludf.DUMMYFUNCTION("""COMPUTED_VALUE"""),1689031.0)</f>
        <v>1689031</v>
      </c>
    </row>
    <row r="11575">
      <c r="A11575" s="3">
        <f>IFERROR(__xludf.DUMMYFUNCTION("""COMPUTED_VALUE"""),45992.66666666667)</f>
        <v>45992.66667</v>
      </c>
      <c r="B11575" s="2">
        <f>IFERROR(__xludf.DUMMYFUNCTION("""COMPUTED_VALUE"""),306.51)</f>
        <v>306.51</v>
      </c>
      <c r="C11575" s="2">
        <f>IFERROR(__xludf.DUMMYFUNCTION("""COMPUTED_VALUE"""),307.12)</f>
        <v>307.12</v>
      </c>
      <c r="D11575" s="2">
        <f>IFERROR(__xludf.DUMMYFUNCTION("""COMPUTED_VALUE"""),302.8)</f>
        <v>302.8</v>
      </c>
      <c r="E11575" s="2">
        <f>IFERROR(__xludf.DUMMYFUNCTION("""COMPUTED_VALUE"""),305.67)</f>
        <v>305.67</v>
      </c>
      <c r="F11575" s="2">
        <f>IFERROR(__xludf.DUMMYFUNCTION("""COMPUTED_VALUE"""),3166555.0)</f>
        <v>3166555</v>
      </c>
    </row>
    <row r="11576">
      <c r="A11576" s="3">
        <f>IFERROR(__xludf.DUMMYFUNCTION("""COMPUTED_VALUE"""),45993.66666666667)</f>
        <v>45993.66667</v>
      </c>
      <c r="B11576" s="2">
        <f>IFERROR(__xludf.DUMMYFUNCTION("""COMPUTED_VALUE"""),307.0)</f>
        <v>307</v>
      </c>
      <c r="C11576" s="2">
        <f>IFERROR(__xludf.DUMMYFUNCTION("""COMPUTED_VALUE"""),310.47)</f>
        <v>310.47</v>
      </c>
      <c r="D11576" s="2">
        <f>IFERROR(__xludf.DUMMYFUNCTION("""COMPUTED_VALUE"""),301.57)</f>
        <v>301.57</v>
      </c>
      <c r="E11576" s="2">
        <f>IFERROR(__xludf.DUMMYFUNCTION("""COMPUTED_VALUE"""),301.78)</f>
        <v>301.78</v>
      </c>
      <c r="F11576" s="2">
        <f>IFERROR(__xludf.DUMMYFUNCTION("""COMPUTED_VALUE"""),4261100.0)</f>
        <v>4261100</v>
      </c>
    </row>
    <row r="11577">
      <c r="A11577" s="3">
        <f>IFERROR(__xludf.DUMMYFUNCTION("""COMPUTED_VALUE"""),45994.66666666667)</f>
        <v>45994.66667</v>
      </c>
      <c r="B11577" s="2">
        <f>IFERROR(__xludf.DUMMYFUNCTION("""COMPUTED_VALUE"""),302.88)</f>
        <v>302.88</v>
      </c>
      <c r="C11577" s="2">
        <f>IFERROR(__xludf.DUMMYFUNCTION("""COMPUTED_VALUE"""),303.97)</f>
        <v>303.97</v>
      </c>
      <c r="D11577" s="2">
        <f>IFERROR(__xludf.DUMMYFUNCTION("""COMPUTED_VALUE"""),298.9)</f>
        <v>298.9</v>
      </c>
      <c r="E11577" s="2">
        <f>IFERROR(__xludf.DUMMYFUNCTION("""COMPUTED_VALUE"""),302.62)</f>
        <v>302.62</v>
      </c>
      <c r="F11577" s="2">
        <f>IFERROR(__xludf.DUMMYFUNCTION("""COMPUTED_VALUE"""),3953390.0)</f>
        <v>3953390</v>
      </c>
    </row>
    <row r="11578">
      <c r="A11578" s="3">
        <f>IFERROR(__xludf.DUMMYFUNCTION("""COMPUTED_VALUE"""),45995.66666666667)</f>
        <v>45995.66667</v>
      </c>
      <c r="B11578" s="2">
        <f>IFERROR(__xludf.DUMMYFUNCTION("""COMPUTED_VALUE"""),302.88)</f>
        <v>302.88</v>
      </c>
      <c r="C11578" s="2">
        <f>IFERROR(__xludf.DUMMYFUNCTION("""COMPUTED_VALUE"""),309.61)</f>
        <v>309.61</v>
      </c>
      <c r="D11578" s="2">
        <f>IFERROR(__xludf.DUMMYFUNCTION("""COMPUTED_VALUE"""),302.54)</f>
        <v>302.54</v>
      </c>
      <c r="E11578" s="2">
        <f>IFERROR(__xludf.DUMMYFUNCTION("""COMPUTED_VALUE"""),307.99)</f>
        <v>307.99</v>
      </c>
      <c r="F11578" s="2">
        <f>IFERROR(__xludf.DUMMYFUNCTION("""COMPUTED_VALUE"""),2962463.0)</f>
        <v>2962463</v>
      </c>
    </row>
    <row r="11579">
      <c r="A11579" s="3">
        <f>IFERROR(__xludf.DUMMYFUNCTION("""COMPUTED_VALUE"""),45996.66666666667)</f>
        <v>45996.66667</v>
      </c>
      <c r="B11579" s="2">
        <f>IFERROR(__xludf.DUMMYFUNCTION("""COMPUTED_VALUE"""),308.59)</f>
        <v>308.59</v>
      </c>
      <c r="C11579" s="2">
        <f>IFERROR(__xludf.DUMMYFUNCTION("""COMPUTED_VALUE"""),311.83)</f>
        <v>311.83</v>
      </c>
      <c r="D11579" s="2">
        <f>IFERROR(__xludf.DUMMYFUNCTION("""COMPUTED_VALUE"""),307.18)</f>
        <v>307.18</v>
      </c>
      <c r="E11579" s="2">
        <f>IFERROR(__xludf.DUMMYFUNCTION("""COMPUTED_VALUE"""),307.94)</f>
        <v>307.94</v>
      </c>
      <c r="F11579" s="2">
        <f>IFERROR(__xludf.DUMMYFUNCTION("""COMPUTED_VALUE"""),2344667.0)</f>
        <v>2344667</v>
      </c>
    </row>
    <row r="11580">
      <c r="A11580" s="3">
        <f>IFERROR(__xludf.DUMMYFUNCTION("""COMPUTED_VALUE"""),45999.66666666667)</f>
        <v>45999.66667</v>
      </c>
      <c r="B11580" s="2">
        <f>IFERROR(__xludf.DUMMYFUNCTION("""COMPUTED_VALUE"""),309.62)</f>
        <v>309.62</v>
      </c>
      <c r="C11580" s="2">
        <f>IFERROR(__xludf.DUMMYFUNCTION("""COMPUTED_VALUE"""),315.35)</f>
        <v>315.35</v>
      </c>
      <c r="D11580" s="2">
        <f>IFERROR(__xludf.DUMMYFUNCTION("""COMPUTED_VALUE"""),307.95)</f>
        <v>307.95</v>
      </c>
      <c r="E11580" s="2">
        <f>IFERROR(__xludf.DUMMYFUNCTION("""COMPUTED_VALUE"""),309.18)</f>
        <v>309.18</v>
      </c>
      <c r="F11580" s="2">
        <f>IFERROR(__xludf.DUMMYFUNCTION("""COMPUTED_VALUE"""),3630157.0)</f>
        <v>3630157</v>
      </c>
    </row>
    <row r="11581">
      <c r="A11581" s="3">
        <f>IFERROR(__xludf.DUMMYFUNCTION("""COMPUTED_VALUE"""),46000.66666666667)</f>
        <v>46000.66667</v>
      </c>
      <c r="B11581" s="2">
        <f>IFERROR(__xludf.DUMMYFUNCTION("""COMPUTED_VALUE"""),309.63)</f>
        <v>309.63</v>
      </c>
      <c r="C11581" s="2">
        <f>IFERROR(__xludf.DUMMYFUNCTION("""COMPUTED_VALUE"""),313.97)</f>
        <v>313.97</v>
      </c>
      <c r="D11581" s="2">
        <f>IFERROR(__xludf.DUMMYFUNCTION("""COMPUTED_VALUE"""),308.75)</f>
        <v>308.75</v>
      </c>
      <c r="E11581" s="2">
        <f>IFERROR(__xludf.DUMMYFUNCTION("""COMPUTED_VALUE"""),310.48)</f>
        <v>310.48</v>
      </c>
      <c r="F11581" s="2">
        <f>IFERROR(__xludf.DUMMYFUNCTION("""COMPUTED_VALUE"""),2935669.0)</f>
        <v>2935669</v>
      </c>
    </row>
    <row r="11582">
      <c r="A11582" s="3">
        <f>IFERROR(__xludf.DUMMYFUNCTION("""COMPUTED_VALUE"""),46001.66666666667)</f>
        <v>46001.66667</v>
      </c>
      <c r="B11582" s="2">
        <f>IFERROR(__xludf.DUMMYFUNCTION("""COMPUTED_VALUE"""),310.23)</f>
        <v>310.23</v>
      </c>
      <c r="C11582" s="2">
        <f>IFERROR(__xludf.DUMMYFUNCTION("""COMPUTED_VALUE"""),314.69)</f>
        <v>314.69</v>
      </c>
      <c r="D11582" s="2">
        <f>IFERROR(__xludf.DUMMYFUNCTION("""COMPUTED_VALUE"""),306.65)</f>
        <v>306.65</v>
      </c>
      <c r="E11582" s="2">
        <f>IFERROR(__xludf.DUMMYFUNCTION("""COMPUTED_VALUE"""),312.67)</f>
        <v>312.67</v>
      </c>
      <c r="F11582" s="2">
        <f>IFERROR(__xludf.DUMMYFUNCTION("""COMPUTED_VALUE"""),3411524.0)</f>
        <v>3411524</v>
      </c>
    </row>
    <row r="11583">
      <c r="A11583" s="3">
        <f>IFERROR(__xludf.DUMMYFUNCTION("""COMPUTED_VALUE"""),46002.66666666667)</f>
        <v>46002.66667</v>
      </c>
      <c r="B11583" s="2">
        <f>IFERROR(__xludf.DUMMYFUNCTION("""COMPUTED_VALUE"""),312.0)</f>
        <v>312</v>
      </c>
      <c r="C11583" s="2">
        <f>IFERROR(__xludf.DUMMYFUNCTION("""COMPUTED_VALUE"""),313.44)</f>
        <v>313.44</v>
      </c>
      <c r="D11583" s="2">
        <f>IFERROR(__xludf.DUMMYFUNCTION("""COMPUTED_VALUE"""),308.4)</f>
        <v>308.4</v>
      </c>
      <c r="E11583" s="2">
        <f>IFERROR(__xludf.DUMMYFUNCTION("""COMPUTED_VALUE"""),310.74)</f>
        <v>310.74</v>
      </c>
      <c r="F11583" s="2">
        <f>IFERROR(__xludf.DUMMYFUNCTION("""COMPUTED_VALUE"""),2755749.0)</f>
        <v>2755749</v>
      </c>
    </row>
    <row r="11584">
      <c r="A11584" s="3">
        <f>IFERROR(__xludf.DUMMYFUNCTION("""COMPUTED_VALUE"""),46003.66666666667)</f>
        <v>46003.66667</v>
      </c>
      <c r="B11584" s="2">
        <f>IFERROR(__xludf.DUMMYFUNCTION("""COMPUTED_VALUE"""),310.57)</f>
        <v>310.57</v>
      </c>
      <c r="C11584" s="2">
        <f>IFERROR(__xludf.DUMMYFUNCTION("""COMPUTED_VALUE"""),311.05)</f>
        <v>311.05</v>
      </c>
      <c r="D11584" s="2">
        <f>IFERROR(__xludf.DUMMYFUNCTION("""COMPUTED_VALUE"""),303.33)</f>
        <v>303.33</v>
      </c>
      <c r="E11584" s="2">
        <f>IFERROR(__xludf.DUMMYFUNCTION("""COMPUTED_VALUE"""),309.24)</f>
        <v>309.24</v>
      </c>
      <c r="F11584" s="2">
        <f>IFERROR(__xludf.DUMMYFUNCTION("""COMPUTED_VALUE"""),2953374.0)</f>
        <v>2953374</v>
      </c>
    </row>
    <row r="11585">
      <c r="A11585" s="3">
        <f>IFERROR(__xludf.DUMMYFUNCTION("""COMPUTED_VALUE"""),46006.66666666667)</f>
        <v>46006.66667</v>
      </c>
      <c r="B11585" s="2">
        <f>IFERROR(__xludf.DUMMYFUNCTION("""COMPUTED_VALUE"""),308.99)</f>
        <v>308.99</v>
      </c>
      <c r="C11585" s="2">
        <f>IFERROR(__xludf.DUMMYFUNCTION("""COMPUTED_VALUE"""),311.36)</f>
        <v>311.36</v>
      </c>
      <c r="D11585" s="2">
        <f>IFERROR(__xludf.DUMMYFUNCTION("""COMPUTED_VALUE"""),306.35)</f>
        <v>306.35</v>
      </c>
      <c r="E11585" s="2">
        <f>IFERROR(__xludf.DUMMYFUNCTION("""COMPUTED_VALUE"""),308.66)</f>
        <v>308.66</v>
      </c>
      <c r="F11585" s="2">
        <f>IFERROR(__xludf.DUMMYFUNCTION("""COMPUTED_VALUE"""),3566732.0)</f>
        <v>3566732</v>
      </c>
    </row>
    <row r="11586">
      <c r="A11586" s="3">
        <f>IFERROR(__xludf.DUMMYFUNCTION("""COMPUTED_VALUE"""),46007.66666666667)</f>
        <v>46007.66667</v>
      </c>
      <c r="B11586" s="2">
        <f>IFERROR(__xludf.DUMMYFUNCTION("""COMPUTED_VALUE"""),307.32)</f>
        <v>307.32</v>
      </c>
      <c r="C11586" s="2">
        <f>IFERROR(__xludf.DUMMYFUNCTION("""COMPUTED_VALUE"""),307.38)</f>
        <v>307.38</v>
      </c>
      <c r="D11586" s="2">
        <f>IFERROR(__xludf.DUMMYFUNCTION("""COMPUTED_VALUE"""),300.42)</f>
        <v>300.42</v>
      </c>
      <c r="E11586" s="2">
        <f>IFERROR(__xludf.DUMMYFUNCTION("""COMPUTED_VALUE"""),303.18)</f>
        <v>303.18</v>
      </c>
      <c r="F11586" s="2">
        <f>IFERROR(__xludf.DUMMYFUNCTION("""COMPUTED_VALUE"""),3366878.0)</f>
        <v>3366878</v>
      </c>
    </row>
    <row r="11587">
      <c r="A11587" s="3">
        <f>IFERROR(__xludf.DUMMYFUNCTION("""COMPUTED_VALUE"""),46008.66666666667)</f>
        <v>46008.66667</v>
      </c>
      <c r="B11587" s="2">
        <f>IFERROR(__xludf.DUMMYFUNCTION("""COMPUTED_VALUE"""),303.79)</f>
        <v>303.79</v>
      </c>
      <c r="C11587" s="2">
        <f>IFERROR(__xludf.DUMMYFUNCTION("""COMPUTED_VALUE"""),306.25)</f>
        <v>306.25</v>
      </c>
      <c r="D11587" s="2">
        <f>IFERROR(__xludf.DUMMYFUNCTION("""COMPUTED_VALUE"""),303.08)</f>
        <v>303.08</v>
      </c>
      <c r="E11587" s="2">
        <f>IFERROR(__xludf.DUMMYFUNCTION("""COMPUTED_VALUE"""),303.32)</f>
        <v>303.32</v>
      </c>
      <c r="F11587" s="2">
        <f>IFERROR(__xludf.DUMMYFUNCTION("""COMPUTED_VALUE"""),3130954.0)</f>
        <v>3130954</v>
      </c>
    </row>
    <row r="11588">
      <c r="A11588" s="3">
        <f>IFERROR(__xludf.DUMMYFUNCTION("""COMPUTED_VALUE"""),46009.66666666667)</f>
        <v>46009.66667</v>
      </c>
      <c r="B11588" s="2">
        <f>IFERROR(__xludf.DUMMYFUNCTION("""COMPUTED_VALUE"""),303.15)</f>
        <v>303.15</v>
      </c>
      <c r="C11588" s="2">
        <f>IFERROR(__xludf.DUMMYFUNCTION("""COMPUTED_VALUE"""),304.45)</f>
        <v>304.45</v>
      </c>
      <c r="D11588" s="2">
        <f>IFERROR(__xludf.DUMMYFUNCTION("""COMPUTED_VALUE"""),295.7)</f>
        <v>295.7</v>
      </c>
      <c r="E11588" s="2">
        <f>IFERROR(__xludf.DUMMYFUNCTION("""COMPUTED_VALUE"""),300.45)</f>
        <v>300.45</v>
      </c>
      <c r="F11588" s="2">
        <f>IFERROR(__xludf.DUMMYFUNCTION("""COMPUTED_VALUE"""),5411669.0)</f>
        <v>5411669</v>
      </c>
    </row>
    <row r="11589">
      <c r="A11589" s="3">
        <f>IFERROR(__xludf.DUMMYFUNCTION("""COMPUTED_VALUE"""),46010.66666666667)</f>
        <v>46010.66667</v>
      </c>
      <c r="B11589" s="2">
        <f>IFERROR(__xludf.DUMMYFUNCTION("""COMPUTED_VALUE"""),300.35)</f>
        <v>300.35</v>
      </c>
      <c r="C11589" s="2">
        <f>IFERROR(__xludf.DUMMYFUNCTION("""COMPUTED_VALUE"""),306.86)</f>
        <v>306.86</v>
      </c>
      <c r="D11589" s="2">
        <f>IFERROR(__xludf.DUMMYFUNCTION("""COMPUTED_VALUE"""),299.1)</f>
        <v>299.1</v>
      </c>
      <c r="E11589" s="2">
        <f>IFERROR(__xludf.DUMMYFUNCTION("""COMPUTED_VALUE"""),300.98)</f>
        <v>300.98</v>
      </c>
      <c r="F11589" s="2">
        <f>IFERROR(__xludf.DUMMYFUNCTION("""COMPUTED_VALUE"""),1.1031341E7)</f>
        <v>11031341</v>
      </c>
    </row>
    <row r="11590">
      <c r="A11590" s="3">
        <f>IFERROR(__xludf.DUMMYFUNCTION("""COMPUTED_VALUE"""),46013.66666666667)</f>
        <v>46013.66667</v>
      </c>
      <c r="B11590" s="2">
        <f>IFERROR(__xludf.DUMMYFUNCTION("""COMPUTED_VALUE"""),301.03)</f>
        <v>301.03</v>
      </c>
      <c r="C11590" s="2">
        <f>IFERROR(__xludf.DUMMYFUNCTION("""COMPUTED_VALUE"""),303.18)</f>
        <v>303.18</v>
      </c>
      <c r="D11590" s="2">
        <f>IFERROR(__xludf.DUMMYFUNCTION("""COMPUTED_VALUE"""),298.32)</f>
        <v>298.32</v>
      </c>
      <c r="E11590" s="2">
        <f>IFERROR(__xludf.DUMMYFUNCTION("""COMPUTED_VALUE"""),302.79)</f>
        <v>302.79</v>
      </c>
      <c r="F11590" s="2">
        <f>IFERROR(__xludf.DUMMYFUNCTION("""COMPUTED_VALUE"""),2612100.0)</f>
        <v>2612100</v>
      </c>
    </row>
    <row r="11591">
      <c r="A11591" s="3">
        <f>IFERROR(__xludf.DUMMYFUNCTION("""COMPUTED_VALUE"""),46014.66666666667)</f>
        <v>46014.66667</v>
      </c>
      <c r="B11591" s="2">
        <f>IFERROR(__xludf.DUMMYFUNCTION("""COMPUTED_VALUE"""),301.34)</f>
        <v>301.34</v>
      </c>
      <c r="C11591" s="2">
        <f>IFERROR(__xludf.DUMMYFUNCTION("""COMPUTED_VALUE"""),305.13)</f>
        <v>305.13</v>
      </c>
      <c r="D11591" s="2">
        <f>IFERROR(__xludf.DUMMYFUNCTION("""COMPUTED_VALUE"""),300.65)</f>
        <v>300.65</v>
      </c>
      <c r="E11591" s="2">
        <f>IFERROR(__xludf.DUMMYFUNCTION("""COMPUTED_VALUE"""),303.78)</f>
        <v>303.78</v>
      </c>
      <c r="F11591" s="2">
        <f>IFERROR(__xludf.DUMMYFUNCTION("""COMPUTED_VALUE"""),2923037.0)</f>
        <v>2923037</v>
      </c>
    </row>
    <row r="11592">
      <c r="A11592" s="3">
        <f>IFERROR(__xludf.DUMMYFUNCTION("""COMPUTED_VALUE"""),46015.54166666667)</f>
        <v>46015.54167</v>
      </c>
      <c r="B11592" s="2">
        <f>IFERROR(__xludf.DUMMYFUNCTION("""COMPUTED_VALUE"""),303.76)</f>
        <v>303.76</v>
      </c>
      <c r="C11592" s="2">
        <f>IFERROR(__xludf.DUMMYFUNCTION("""COMPUTED_VALUE"""),305.15)</f>
        <v>305.15</v>
      </c>
      <c r="D11592" s="2">
        <f>IFERROR(__xludf.DUMMYFUNCTION("""COMPUTED_VALUE"""),302.3)</f>
        <v>302.3</v>
      </c>
      <c r="E11592" s="2">
        <f>IFERROR(__xludf.DUMMYFUNCTION("""COMPUTED_VALUE"""),304.56)</f>
        <v>304.56</v>
      </c>
      <c r="F11592" s="2">
        <f>IFERROR(__xludf.DUMMYFUNCTION("""COMPUTED_VALUE"""),1210642.0)</f>
        <v>1210642</v>
      </c>
    </row>
    <row r="11593">
      <c r="A11593" s="3">
        <f>IFERROR(__xludf.DUMMYFUNCTION("""COMPUTED_VALUE"""),46017.66666666667)</f>
        <v>46017.66667</v>
      </c>
      <c r="B11593" s="2">
        <f>IFERROR(__xludf.DUMMYFUNCTION("""COMPUTED_VALUE"""),304.54)</f>
        <v>304.54</v>
      </c>
      <c r="C11593" s="2">
        <f>IFERROR(__xludf.DUMMYFUNCTION("""COMPUTED_VALUE"""),305.75)</f>
        <v>305.75</v>
      </c>
      <c r="D11593" s="2">
        <f>IFERROR(__xludf.DUMMYFUNCTION("""COMPUTED_VALUE"""),303.67)</f>
        <v>303.67</v>
      </c>
      <c r="E11593" s="2">
        <f>IFERROR(__xludf.DUMMYFUNCTION("""COMPUTED_VALUE"""),305.09)</f>
        <v>305.09</v>
      </c>
      <c r="F11593" s="2">
        <f>IFERROR(__xludf.DUMMYFUNCTION("""COMPUTED_VALUE"""),2814732.0)</f>
        <v>2814732</v>
      </c>
    </row>
    <row r="11594">
      <c r="A11594" s="3">
        <f>IFERROR(__xludf.DUMMYFUNCTION("""COMPUTED_VALUE"""),46020.66666666667)</f>
        <v>46020.66667</v>
      </c>
      <c r="B11594" s="2">
        <f>IFERROR(__xludf.DUMMYFUNCTION("""COMPUTED_VALUE"""),304.65)</f>
        <v>304.65</v>
      </c>
      <c r="C11594" s="2">
        <f>IFERROR(__xludf.DUMMYFUNCTION("""COMPUTED_VALUE"""),310.0)</f>
        <v>310</v>
      </c>
      <c r="D11594" s="2">
        <f>IFERROR(__xludf.DUMMYFUNCTION("""COMPUTED_VALUE"""),303.75)</f>
        <v>303.75</v>
      </c>
      <c r="E11594" s="2">
        <f>IFERROR(__xludf.DUMMYFUNCTION("""COMPUTED_VALUE"""),305.74)</f>
        <v>305.74</v>
      </c>
      <c r="F11594" s="2">
        <f>IFERROR(__xludf.DUMMYFUNCTION("""COMPUTED_VALUE"""),4664711.0)</f>
        <v>4664711</v>
      </c>
    </row>
    <row r="11595">
      <c r="A11595" s="3">
        <f>IFERROR(__xludf.DUMMYFUNCTION("""COMPUTED_VALUE"""),46021.66666666667)</f>
        <v>46021.66667</v>
      </c>
      <c r="B11595" s="2">
        <f>IFERROR(__xludf.DUMMYFUNCTION("""COMPUTED_VALUE"""),306.15)</f>
        <v>306.15</v>
      </c>
      <c r="C11595" s="2">
        <f>IFERROR(__xludf.DUMMYFUNCTION("""COMPUTED_VALUE"""),306.24)</f>
        <v>306.24</v>
      </c>
      <c r="D11595" s="2">
        <f>IFERROR(__xludf.DUMMYFUNCTION("""COMPUTED_VALUE"""),302.0)</f>
        <v>302</v>
      </c>
      <c r="E11595" s="2">
        <f>IFERROR(__xludf.DUMMYFUNCTION("""COMPUTED_VALUE"""),302.05)</f>
        <v>302.05</v>
      </c>
      <c r="F11595" s="2">
        <f>IFERROR(__xludf.DUMMYFUNCTION("""COMPUTED_VALUE"""),1883651.0)</f>
        <v>1883651</v>
      </c>
    </row>
    <row r="11596">
      <c r="A11596" s="3">
        <f>IFERROR(__xludf.DUMMYFUNCTION("""COMPUTED_VALUE"""),46022.66666666667)</f>
        <v>46022.66667</v>
      </c>
      <c r="B11596" s="2">
        <f>IFERROR(__xludf.DUMMYFUNCTION("""COMPUTED_VALUE"""),301.76)</f>
        <v>301.76</v>
      </c>
      <c r="C11596" s="2">
        <f>IFERROR(__xludf.DUMMYFUNCTION("""COMPUTED_VALUE"""),301.85)</f>
        <v>301.85</v>
      </c>
      <c r="D11596" s="2">
        <f>IFERROR(__xludf.DUMMYFUNCTION("""COMPUTED_VALUE"""),295.87)</f>
        <v>295.87</v>
      </c>
      <c r="E11596" s="2">
        <f>IFERROR(__xludf.DUMMYFUNCTION("""COMPUTED_VALUE"""),296.21)</f>
        <v>296.21</v>
      </c>
      <c r="F11596" s="2">
        <f>IFERROR(__xludf.DUMMYFUNCTION("""COMPUTED_VALUE"""),3430133.0)</f>
        <v>3430133</v>
      </c>
    </row>
    <row r="11597">
      <c r="A11597" s="3">
        <f>IFERROR(__xludf.DUMMYFUNCTION("""COMPUTED_VALUE"""),46024.66666666667)</f>
        <v>46024.66667</v>
      </c>
      <c r="B11597" s="2">
        <f>IFERROR(__xludf.DUMMYFUNCTION("""COMPUTED_VALUE"""),297.45)</f>
        <v>297.45</v>
      </c>
      <c r="C11597" s="2">
        <f>IFERROR(__xludf.DUMMYFUNCTION("""COMPUTED_VALUE"""),297.57)</f>
        <v>297.57</v>
      </c>
      <c r="D11597" s="2">
        <f>IFERROR(__xludf.DUMMYFUNCTION("""COMPUTED_VALUE"""),289.0)</f>
        <v>289</v>
      </c>
      <c r="E11597" s="2">
        <f>IFERROR(__xludf.DUMMYFUNCTION("""COMPUTED_VALUE"""),291.5)</f>
        <v>291.5</v>
      </c>
      <c r="F11597" s="2">
        <f>IFERROR(__xludf.DUMMYFUNCTION("""COMPUTED_VALUE"""),4662804.0)</f>
        <v>4662804</v>
      </c>
    </row>
    <row r="11598">
      <c r="A11598" s="3">
        <f>IFERROR(__xludf.DUMMYFUNCTION("""COMPUTED_VALUE"""),46027.66666666667)</f>
        <v>46027.66667</v>
      </c>
      <c r="B11598" s="2">
        <f>IFERROR(__xludf.DUMMYFUNCTION("""COMPUTED_VALUE"""),295.77)</f>
        <v>295.77</v>
      </c>
      <c r="C11598" s="2">
        <f>IFERROR(__xludf.DUMMYFUNCTION("""COMPUTED_VALUE"""),299.19)</f>
        <v>299.19</v>
      </c>
      <c r="D11598" s="2">
        <f>IFERROR(__xludf.DUMMYFUNCTION("""COMPUTED_VALUE"""),294.25)</f>
        <v>294.25</v>
      </c>
      <c r="E11598" s="2">
        <f>IFERROR(__xludf.DUMMYFUNCTION("""COMPUTED_VALUE"""),294.97)</f>
        <v>294.97</v>
      </c>
      <c r="F11598" s="2">
        <f>IFERROR(__xludf.DUMMYFUNCTION("""COMPUTED_VALUE"""),4189960.0)</f>
        <v>4189960</v>
      </c>
    </row>
    <row r="11599">
      <c r="A11599" s="3">
        <f>IFERROR(__xludf.DUMMYFUNCTION("""COMPUTED_VALUE"""),46028.66666666667)</f>
        <v>46028.66667</v>
      </c>
      <c r="B11599" s="2">
        <f>IFERROR(__xludf.DUMMYFUNCTION("""COMPUTED_VALUE"""),295.0)</f>
        <v>295</v>
      </c>
      <c r="C11599" s="2">
        <f>IFERROR(__xludf.DUMMYFUNCTION("""COMPUTED_VALUE"""),303.04)</f>
        <v>303.04</v>
      </c>
      <c r="D11599" s="2">
        <f>IFERROR(__xludf.DUMMYFUNCTION("""COMPUTED_VALUE"""),294.42)</f>
        <v>294.42</v>
      </c>
      <c r="E11599" s="2">
        <f>IFERROR(__xludf.DUMMYFUNCTION("""COMPUTED_VALUE"""),302.47)</f>
        <v>302.47</v>
      </c>
      <c r="F11599" s="2">
        <f>IFERROR(__xludf.DUMMYFUNCTION("""COMPUTED_VALUE"""),4147315.0)</f>
        <v>4147315</v>
      </c>
    </row>
    <row r="11600">
      <c r="A11600" s="3">
        <f>IFERROR(__xludf.DUMMYFUNCTION("""COMPUTED_VALUE"""),46029.66666666667)</f>
        <v>46029.66667</v>
      </c>
      <c r="B11600" s="2">
        <f>IFERROR(__xludf.DUMMYFUNCTION("""COMPUTED_VALUE"""),302.5)</f>
        <v>302.5</v>
      </c>
      <c r="C11600" s="2">
        <f>IFERROR(__xludf.DUMMYFUNCTION("""COMPUTED_VALUE"""),304.31)</f>
        <v>304.31</v>
      </c>
      <c r="D11600" s="2">
        <f>IFERROR(__xludf.DUMMYFUNCTION("""COMPUTED_VALUE"""),296.35)</f>
        <v>296.35</v>
      </c>
      <c r="E11600" s="2">
        <f>IFERROR(__xludf.DUMMYFUNCTION("""COMPUTED_VALUE"""),296.73)</f>
        <v>296.73</v>
      </c>
      <c r="F11600" s="2">
        <f>IFERROR(__xludf.DUMMYFUNCTION("""COMPUTED_VALUE"""),2833274.0)</f>
        <v>2833274</v>
      </c>
    </row>
    <row r="11601">
      <c r="A11601" s="3">
        <f>IFERROR(__xludf.DUMMYFUNCTION("""COMPUTED_VALUE"""),46030.66666666667)</f>
        <v>46030.66667</v>
      </c>
      <c r="B11601" s="2">
        <f>IFERROR(__xludf.DUMMYFUNCTION("""COMPUTED_VALUE"""),295.0)</f>
        <v>295</v>
      </c>
      <c r="C11601" s="2">
        <f>IFERROR(__xludf.DUMMYFUNCTION("""COMPUTED_VALUE"""),303.67)</f>
        <v>303.67</v>
      </c>
      <c r="D11601" s="2">
        <f>IFERROR(__xludf.DUMMYFUNCTION("""COMPUTED_VALUE"""),295.0)</f>
        <v>295</v>
      </c>
      <c r="E11601" s="2">
        <f>IFERROR(__xludf.DUMMYFUNCTION("""COMPUTED_VALUE"""),302.72)</f>
        <v>302.72</v>
      </c>
      <c r="F11601" s="2">
        <f>IFERROR(__xludf.DUMMYFUNCTION("""COMPUTED_VALUE"""),3343273.0)</f>
        <v>3343273</v>
      </c>
    </row>
    <row r="11602">
      <c r="A11602" s="3">
        <f>IFERROR(__xludf.DUMMYFUNCTION("""COMPUTED_VALUE"""),46031.66666666667)</f>
        <v>46031.66667</v>
      </c>
      <c r="B11602" s="2">
        <f>IFERROR(__xludf.DUMMYFUNCTION("""COMPUTED_VALUE"""),302.61)</f>
        <v>302.61</v>
      </c>
      <c r="C11602" s="2">
        <f>IFERROR(__xludf.DUMMYFUNCTION("""COMPUTED_VALUE"""),307.0)</f>
        <v>307</v>
      </c>
      <c r="D11602" s="2">
        <f>IFERROR(__xludf.DUMMYFUNCTION("""COMPUTED_VALUE"""),302.0)</f>
        <v>302</v>
      </c>
      <c r="E11602" s="2">
        <f>IFERROR(__xludf.DUMMYFUNCTION("""COMPUTED_VALUE"""),304.22)</f>
        <v>304.22</v>
      </c>
      <c r="F11602" s="2">
        <f>IFERROR(__xludf.DUMMYFUNCTION("""COMPUTED_VALUE"""),2718828.0)</f>
        <v>2718828</v>
      </c>
    </row>
    <row r="11603">
      <c r="A11603" s="3">
        <f>IFERROR(__xludf.DUMMYFUNCTION("""COMPUTED_VALUE"""),46034.66666666667)</f>
        <v>46034.66667</v>
      </c>
      <c r="B11603" s="2">
        <f>IFERROR(__xludf.DUMMYFUNCTION("""COMPUTED_VALUE"""),302.62)</f>
        <v>302.62</v>
      </c>
      <c r="C11603" s="2">
        <f>IFERROR(__xludf.DUMMYFUNCTION("""COMPUTED_VALUE"""),312.33)</f>
        <v>312.33</v>
      </c>
      <c r="D11603" s="2">
        <f>IFERROR(__xludf.DUMMYFUNCTION("""COMPUTED_VALUE"""),299.96)</f>
        <v>299.96</v>
      </c>
      <c r="E11603" s="2">
        <f>IFERROR(__xludf.DUMMYFUNCTION("""COMPUTED_VALUE"""),312.18)</f>
        <v>312.18</v>
      </c>
      <c r="F11603" s="2">
        <f>IFERROR(__xludf.DUMMYFUNCTION("""COMPUTED_VALUE"""),3895197.0)</f>
        <v>3895197</v>
      </c>
    </row>
    <row r="11604">
      <c r="A11604" s="3">
        <f>IFERROR(__xludf.DUMMYFUNCTION("""COMPUTED_VALUE"""),46035.66666666667)</f>
        <v>46035.66667</v>
      </c>
      <c r="B11604" s="2">
        <f>IFERROR(__xludf.DUMMYFUNCTION("""COMPUTED_VALUE"""),311.6)</f>
        <v>311.6</v>
      </c>
      <c r="C11604" s="2">
        <f>IFERROR(__xludf.DUMMYFUNCTION("""COMPUTED_VALUE"""),312.81)</f>
        <v>312.81</v>
      </c>
      <c r="D11604" s="2">
        <f>IFERROR(__xludf.DUMMYFUNCTION("""COMPUTED_VALUE"""),301.87)</f>
        <v>301.87</v>
      </c>
      <c r="E11604" s="2">
        <f>IFERROR(__xludf.DUMMYFUNCTION("""COMPUTED_VALUE"""),303.16)</f>
        <v>303.16</v>
      </c>
      <c r="F11604" s="2">
        <f>IFERROR(__xludf.DUMMYFUNCTION("""COMPUTED_VALUE"""),4507760.0)</f>
        <v>4507760</v>
      </c>
    </row>
    <row r="11605">
      <c r="A11605" s="3">
        <f>IFERROR(__xludf.DUMMYFUNCTION("""COMPUTED_VALUE"""),46036.66666666667)</f>
        <v>46036.66667</v>
      </c>
      <c r="B11605" s="2">
        <f>IFERROR(__xludf.DUMMYFUNCTION("""COMPUTED_VALUE"""),303.5)</f>
        <v>303.5</v>
      </c>
      <c r="C11605" s="2">
        <f>IFERROR(__xludf.DUMMYFUNCTION("""COMPUTED_VALUE"""),309.19)</f>
        <v>309.19</v>
      </c>
      <c r="D11605" s="2">
        <f>IFERROR(__xludf.DUMMYFUNCTION("""COMPUTED_VALUE"""),301.5)</f>
        <v>301.5</v>
      </c>
      <c r="E11605" s="2">
        <f>IFERROR(__xludf.DUMMYFUNCTION("""COMPUTED_VALUE"""),309.03)</f>
        <v>309.03</v>
      </c>
      <c r="F11605" s="2">
        <f>IFERROR(__xludf.DUMMYFUNCTION("""COMPUTED_VALUE"""),3779045.0)</f>
        <v>3779045</v>
      </c>
    </row>
    <row r="11606">
      <c r="A11606" s="3">
        <f>IFERROR(__xludf.DUMMYFUNCTION("""COMPUTED_VALUE"""),46037.66666666667)</f>
        <v>46037.66667</v>
      </c>
      <c r="B11606" s="2">
        <f>IFERROR(__xludf.DUMMYFUNCTION("""COMPUTED_VALUE"""),309.0)</f>
        <v>309</v>
      </c>
      <c r="C11606" s="2">
        <f>IFERROR(__xludf.DUMMYFUNCTION("""COMPUTED_VALUE"""),311.88)</f>
        <v>311.88</v>
      </c>
      <c r="D11606" s="2">
        <f>IFERROR(__xludf.DUMMYFUNCTION("""COMPUTED_VALUE"""),297.04)</f>
        <v>297.04</v>
      </c>
      <c r="E11606" s="2">
        <f>IFERROR(__xludf.DUMMYFUNCTION("""COMPUTED_VALUE"""),297.95)</f>
        <v>297.95</v>
      </c>
      <c r="F11606" s="2">
        <f>IFERROR(__xludf.DUMMYFUNCTION("""COMPUTED_VALUE"""),4932480.0)</f>
        <v>4932480</v>
      </c>
    </row>
    <row r="11607">
      <c r="A11607" s="3">
        <f>IFERROR(__xludf.DUMMYFUNCTION("""COMPUTED_VALUE"""),46038.66666666667)</f>
        <v>46038.66667</v>
      </c>
      <c r="B11607" s="2">
        <f>IFERROR(__xludf.DUMMYFUNCTION("""COMPUTED_VALUE"""),301.0)</f>
        <v>301</v>
      </c>
      <c r="C11607" s="2">
        <f>IFERROR(__xludf.DUMMYFUNCTION("""COMPUTED_VALUE"""),307.45)</f>
        <v>307.45</v>
      </c>
      <c r="D11607" s="2">
        <f>IFERROR(__xludf.DUMMYFUNCTION("""COMPUTED_VALUE"""),300.78)</f>
        <v>300.78</v>
      </c>
      <c r="E11607" s="2">
        <f>IFERROR(__xludf.DUMMYFUNCTION("""COMPUTED_VALUE"""),305.67)</f>
        <v>305.67</v>
      </c>
      <c r="F11607" s="2">
        <f>IFERROR(__xludf.DUMMYFUNCTION("""COMPUTED_VALUE"""),6199635.0)</f>
        <v>6199635</v>
      </c>
    </row>
    <row r="11608">
      <c r="A11608" s="3">
        <f>IFERROR(__xludf.DUMMYFUNCTION("""COMPUTED_VALUE"""),46042.66666666667)</f>
        <v>46042.66667</v>
      </c>
      <c r="B11608" s="2">
        <f>IFERROR(__xludf.DUMMYFUNCTION("""COMPUTED_VALUE"""),301.6)</f>
        <v>301.6</v>
      </c>
      <c r="C11608" s="2">
        <f>IFERROR(__xludf.DUMMYFUNCTION("""COMPUTED_VALUE"""),301.6)</f>
        <v>301.6</v>
      </c>
      <c r="D11608" s="2">
        <f>IFERROR(__xludf.DUMMYFUNCTION("""COMPUTED_VALUE"""),290.16)</f>
        <v>290.16</v>
      </c>
      <c r="E11608" s="2">
        <f>IFERROR(__xludf.DUMMYFUNCTION("""COMPUTED_VALUE"""),291.35)</f>
        <v>291.35</v>
      </c>
      <c r="F11608" s="2">
        <f>IFERROR(__xludf.DUMMYFUNCTION("""COMPUTED_VALUE"""),7275490.0)</f>
        <v>7275490</v>
      </c>
    </row>
    <row r="11609">
      <c r="A11609" s="3">
        <f>IFERROR(__xludf.DUMMYFUNCTION("""COMPUTED_VALUE"""),46043.66666666667)</f>
        <v>46043.66667</v>
      </c>
      <c r="B11609" s="2">
        <f>IFERROR(__xludf.DUMMYFUNCTION("""COMPUTED_VALUE"""),292.76)</f>
        <v>292.76</v>
      </c>
      <c r="C11609" s="2">
        <f>IFERROR(__xludf.DUMMYFUNCTION("""COMPUTED_VALUE"""),297.67)</f>
        <v>297.67</v>
      </c>
      <c r="D11609" s="2">
        <f>IFERROR(__xludf.DUMMYFUNCTION("""COMPUTED_VALUE"""),292.51)</f>
        <v>292.51</v>
      </c>
      <c r="E11609" s="2">
        <f>IFERROR(__xludf.DUMMYFUNCTION("""COMPUTED_VALUE"""),297.54)</f>
        <v>297.54</v>
      </c>
      <c r="F11609" s="2">
        <f>IFERROR(__xludf.DUMMYFUNCTION("""COMPUTED_VALUE"""),5185023.0)</f>
        <v>5185023</v>
      </c>
    </row>
    <row r="11610">
      <c r="A11610" s="3">
        <f>IFERROR(__xludf.DUMMYFUNCTION("""COMPUTED_VALUE"""),46044.66666666667)</f>
        <v>46044.66667</v>
      </c>
      <c r="B11610" s="2">
        <f>IFERROR(__xludf.DUMMYFUNCTION("""COMPUTED_VALUE"""),299.42)</f>
        <v>299.42</v>
      </c>
      <c r="C11610" s="2">
        <f>IFERROR(__xludf.DUMMYFUNCTION("""COMPUTED_VALUE"""),300.93)</f>
        <v>300.93</v>
      </c>
      <c r="D11610" s="2">
        <f>IFERROR(__xludf.DUMMYFUNCTION("""COMPUTED_VALUE"""),293.53)</f>
        <v>293.53</v>
      </c>
      <c r="E11610" s="2">
        <f>IFERROR(__xludf.DUMMYFUNCTION("""COMPUTED_VALUE"""),294.67)</f>
        <v>294.67</v>
      </c>
      <c r="F11610" s="2">
        <f>IFERROR(__xludf.DUMMYFUNCTION("""COMPUTED_VALUE"""),3670152.0)</f>
        <v>3670152</v>
      </c>
    </row>
    <row r="11611">
      <c r="A11611" s="3">
        <f>IFERROR(__xludf.DUMMYFUNCTION("""COMPUTED_VALUE"""),46045.66666666667)</f>
        <v>46045.66667</v>
      </c>
      <c r="B11611" s="2">
        <f>IFERROR(__xludf.DUMMYFUNCTION("""COMPUTED_VALUE"""),294.07)</f>
        <v>294.07</v>
      </c>
      <c r="C11611" s="2">
        <f>IFERROR(__xludf.DUMMYFUNCTION("""COMPUTED_VALUE"""),294.33)</f>
        <v>294.33</v>
      </c>
      <c r="D11611" s="2">
        <f>IFERROR(__xludf.DUMMYFUNCTION("""COMPUTED_VALUE"""),289.79)</f>
        <v>289.79</v>
      </c>
      <c r="E11611" s="2">
        <f>IFERROR(__xludf.DUMMYFUNCTION("""COMPUTED_VALUE"""),292.44)</f>
        <v>292.44</v>
      </c>
      <c r="F11611" s="2">
        <f>IFERROR(__xludf.DUMMYFUNCTION("""COMPUTED_VALUE"""),3298424.0)</f>
        <v>3298424</v>
      </c>
    </row>
    <row r="11612">
      <c r="A11612" s="3">
        <f>IFERROR(__xludf.DUMMYFUNCTION("""COMPUTED_VALUE"""),46048.66666666667)</f>
        <v>46048.66667</v>
      </c>
      <c r="B11612" s="2">
        <f>IFERROR(__xludf.DUMMYFUNCTION("""COMPUTED_VALUE"""),293.16)</f>
        <v>293.16</v>
      </c>
      <c r="C11612" s="2">
        <f>IFERROR(__xludf.DUMMYFUNCTION("""COMPUTED_VALUE"""),296.82)</f>
        <v>296.82</v>
      </c>
      <c r="D11612" s="2">
        <f>IFERROR(__xludf.DUMMYFUNCTION("""COMPUTED_VALUE"""),293.14)</f>
        <v>293.14</v>
      </c>
      <c r="E11612" s="2">
        <f>IFERROR(__xludf.DUMMYFUNCTION("""COMPUTED_VALUE"""),296.33)</f>
        <v>296.33</v>
      </c>
      <c r="F11612" s="2">
        <f>IFERROR(__xludf.DUMMYFUNCTION("""COMPUTED_VALUE"""),3726890.0)</f>
        <v>3726890</v>
      </c>
    </row>
    <row r="11613">
      <c r="A11613" s="3">
        <f>IFERROR(__xludf.DUMMYFUNCTION("""COMPUTED_VALUE"""),46049.66666666667)</f>
        <v>46049.66667</v>
      </c>
      <c r="B11613" s="2">
        <f>IFERROR(__xludf.DUMMYFUNCTION("""COMPUTED_VALUE"""),297.16)</f>
        <v>297.16</v>
      </c>
      <c r="C11613" s="2">
        <f>IFERROR(__xludf.DUMMYFUNCTION("""COMPUTED_VALUE"""),297.33)</f>
        <v>297.33</v>
      </c>
      <c r="D11613" s="2">
        <f>IFERROR(__xludf.DUMMYFUNCTION("""COMPUTED_VALUE"""),293.27)</f>
        <v>293.27</v>
      </c>
      <c r="E11613" s="2">
        <f>IFERROR(__xludf.DUMMYFUNCTION("""COMPUTED_VALUE"""),293.86)</f>
        <v>293.86</v>
      </c>
      <c r="F11613" s="2">
        <f>IFERROR(__xludf.DUMMYFUNCTION("""COMPUTED_VALUE"""),2954936.0)</f>
        <v>2954936</v>
      </c>
    </row>
    <row r="11614">
      <c r="A11614" s="3">
        <f>IFERROR(__xludf.DUMMYFUNCTION("""COMPUTED_VALUE"""),46050.66666666667)</f>
        <v>46050.66667</v>
      </c>
      <c r="B11614" s="2">
        <f>IFERROR(__xludf.DUMMYFUNCTION("""COMPUTED_VALUE"""),294.17)</f>
        <v>294.17</v>
      </c>
      <c r="C11614" s="2">
        <f>IFERROR(__xludf.DUMMYFUNCTION("""COMPUTED_VALUE"""),295.95)</f>
        <v>295.95</v>
      </c>
      <c r="D11614" s="2">
        <f>IFERROR(__xludf.DUMMYFUNCTION("""COMPUTED_VALUE"""),291.26)</f>
        <v>291.26</v>
      </c>
      <c r="E11614" s="2">
        <f>IFERROR(__xludf.DUMMYFUNCTION("""COMPUTED_VALUE"""),294.16)</f>
        <v>294.16</v>
      </c>
      <c r="F11614" s="2">
        <f>IFERROR(__xludf.DUMMYFUNCTION("""COMPUTED_VALUE"""),5790347.0)</f>
        <v>5790347</v>
      </c>
    </row>
    <row r="11615">
      <c r="A11615" s="3">
        <f>IFERROR(__xludf.DUMMYFUNCTION("""COMPUTED_VALUE"""),46051.66666666667)</f>
        <v>46051.66667</v>
      </c>
      <c r="B11615" s="2">
        <f>IFERROR(__xludf.DUMMYFUNCTION("""COMPUTED_VALUE"""),317.86)</f>
        <v>317.86</v>
      </c>
      <c r="C11615" s="2">
        <f>IFERROR(__xludf.DUMMYFUNCTION("""COMPUTED_VALUE"""),319.9)</f>
        <v>319.9</v>
      </c>
      <c r="D11615" s="2">
        <f>IFERROR(__xludf.DUMMYFUNCTION("""COMPUTED_VALUE"""),303.47)</f>
        <v>303.47</v>
      </c>
      <c r="E11615" s="2">
        <f>IFERROR(__xludf.DUMMYFUNCTION("""COMPUTED_VALUE"""),309.24)</f>
        <v>309.24</v>
      </c>
      <c r="F11615" s="2">
        <f>IFERROR(__xludf.DUMMYFUNCTION("""COMPUTED_VALUE"""),1.0124929E7)</f>
        <v>10124929</v>
      </c>
    </row>
    <row r="11616">
      <c r="A11616" s="3">
        <f>IFERROR(__xludf.DUMMYFUNCTION("""COMPUTED_VALUE"""),46052.66666666667)</f>
        <v>46052.66667</v>
      </c>
      <c r="B11616" s="2">
        <f>IFERROR(__xludf.DUMMYFUNCTION("""COMPUTED_VALUE"""),307.6)</f>
        <v>307.6</v>
      </c>
      <c r="C11616" s="2">
        <f>IFERROR(__xludf.DUMMYFUNCTION("""COMPUTED_VALUE"""),307.78)</f>
        <v>307.78</v>
      </c>
      <c r="D11616" s="2">
        <f>IFERROR(__xludf.DUMMYFUNCTION("""COMPUTED_VALUE"""),299.73)</f>
        <v>299.73</v>
      </c>
      <c r="E11616" s="2">
        <f>IFERROR(__xludf.DUMMYFUNCTION("""COMPUTED_VALUE"""),306.7)</f>
        <v>306.7</v>
      </c>
      <c r="F11616" s="2">
        <f>IFERROR(__xludf.DUMMYFUNCTION("""COMPUTED_VALUE"""),5940669.0)</f>
        <v>5940669</v>
      </c>
    </row>
    <row r="11617">
      <c r="A11617" s="3">
        <f>IFERROR(__xludf.DUMMYFUNCTION("""COMPUTED_VALUE"""),46055.66666666667)</f>
        <v>46055.66667</v>
      </c>
      <c r="B11617" s="2">
        <f>IFERROR(__xludf.DUMMYFUNCTION("""COMPUTED_VALUE"""),307.51)</f>
        <v>307.51</v>
      </c>
      <c r="C11617" s="2">
        <f>IFERROR(__xludf.DUMMYFUNCTION("""COMPUTED_VALUE"""),316.64)</f>
        <v>316.64</v>
      </c>
      <c r="D11617" s="2">
        <f>IFERROR(__xludf.DUMMYFUNCTION("""COMPUTED_VALUE"""),306.41)</f>
        <v>306.41</v>
      </c>
      <c r="E11617" s="2">
        <f>IFERROR(__xludf.DUMMYFUNCTION("""COMPUTED_VALUE"""),314.73)</f>
        <v>314.73</v>
      </c>
      <c r="F11617" s="2">
        <f>IFERROR(__xludf.DUMMYFUNCTION("""COMPUTED_VALUE"""),4581189.0)</f>
        <v>4581189</v>
      </c>
    </row>
    <row r="11618">
      <c r="A11618" s="3">
        <f>IFERROR(__xludf.DUMMYFUNCTION("""COMPUTED_VALUE"""),46056.66666666667)</f>
        <v>46056.66667</v>
      </c>
      <c r="B11618" s="2">
        <f>IFERROR(__xludf.DUMMYFUNCTION("""COMPUTED_VALUE"""),312.4)</f>
        <v>312.4</v>
      </c>
      <c r="C11618" s="2">
        <f>IFERROR(__xludf.DUMMYFUNCTION("""COMPUTED_VALUE"""),312.98)</f>
        <v>312.98</v>
      </c>
      <c r="D11618" s="2">
        <f>IFERROR(__xludf.DUMMYFUNCTION("""COMPUTED_VALUE"""),283.85)</f>
        <v>283.85</v>
      </c>
      <c r="E11618" s="2">
        <f>IFERROR(__xludf.DUMMYFUNCTION("""COMPUTED_VALUE"""),294.31)</f>
        <v>294.31</v>
      </c>
      <c r="F11618" s="2">
        <f>IFERROR(__xludf.DUMMYFUNCTION("""COMPUTED_VALUE"""),1.1466529E7)</f>
        <v>11466529</v>
      </c>
    </row>
    <row r="11619">
      <c r="A11619" s="3">
        <f>IFERROR(__xludf.DUMMYFUNCTION("""COMPUTED_VALUE"""),46057.66666666667)</f>
        <v>46057.66667</v>
      </c>
      <c r="B11619" s="2">
        <f>IFERROR(__xludf.DUMMYFUNCTION("""COMPUTED_VALUE"""),291.41)</f>
        <v>291.41</v>
      </c>
      <c r="C11619" s="2">
        <f>IFERROR(__xludf.DUMMYFUNCTION("""COMPUTED_VALUE"""),291.41)</f>
        <v>291.41</v>
      </c>
      <c r="D11619" s="2">
        <f>IFERROR(__xludf.DUMMYFUNCTION("""COMPUTED_VALUE"""),278.96)</f>
        <v>278.96</v>
      </c>
      <c r="E11619" s="2">
        <f>IFERROR(__xludf.DUMMYFUNCTION("""COMPUTED_VALUE"""),289.05)</f>
        <v>289.05</v>
      </c>
      <c r="F11619" s="2">
        <f>IFERROR(__xludf.DUMMYFUNCTION("""COMPUTED_VALUE"""),8708033.0)</f>
        <v>8708033</v>
      </c>
    </row>
    <row r="11620">
      <c r="A11620" s="3">
        <f>IFERROR(__xludf.DUMMYFUNCTION("""COMPUTED_VALUE"""),46058.66666666667)</f>
        <v>46058.66667</v>
      </c>
      <c r="B11620" s="2">
        <f>IFERROR(__xludf.DUMMYFUNCTION("""COMPUTED_VALUE"""),286.1)</f>
        <v>286.1</v>
      </c>
      <c r="C11620" s="2">
        <f>IFERROR(__xludf.DUMMYFUNCTION("""COMPUTED_VALUE"""),291.81)</f>
        <v>291.81</v>
      </c>
      <c r="D11620" s="2">
        <f>IFERROR(__xludf.DUMMYFUNCTION("""COMPUTED_VALUE"""),285.1)</f>
        <v>285.1</v>
      </c>
      <c r="E11620" s="2">
        <f>IFERROR(__xludf.DUMMYFUNCTION("""COMPUTED_VALUE"""),289.89)</f>
        <v>289.89</v>
      </c>
      <c r="F11620" s="2">
        <f>IFERROR(__xludf.DUMMYFUNCTION("""COMPUTED_VALUE"""),5532797.0)</f>
        <v>5532797</v>
      </c>
    </row>
    <row r="11621">
      <c r="A11621" s="3">
        <f>IFERROR(__xludf.DUMMYFUNCTION("""COMPUTED_VALUE"""),46059.66666666667)</f>
        <v>46059.66667</v>
      </c>
      <c r="B11621" s="2">
        <f>IFERROR(__xludf.DUMMYFUNCTION("""COMPUTED_VALUE"""),292.5)</f>
        <v>292.5</v>
      </c>
      <c r="C11621" s="2">
        <f>IFERROR(__xludf.DUMMYFUNCTION("""COMPUTED_VALUE"""),299.89)</f>
        <v>299.89</v>
      </c>
      <c r="D11621" s="2">
        <f>IFERROR(__xludf.DUMMYFUNCTION("""COMPUTED_VALUE"""),290.66)</f>
        <v>290.66</v>
      </c>
      <c r="E11621" s="2">
        <f>IFERROR(__xludf.DUMMYFUNCTION("""COMPUTED_VALUE"""),298.93)</f>
        <v>298.93</v>
      </c>
      <c r="F11621" s="2">
        <f>IFERROR(__xludf.DUMMYFUNCTION("""COMPUTED_VALUE"""),3744313.0)</f>
        <v>3744313</v>
      </c>
    </row>
    <row r="11622">
      <c r="A11622" s="3">
        <f>IFERROR(__xludf.DUMMYFUNCTION("""COMPUTED_VALUE"""),46062.66666666667)</f>
        <v>46062.66667</v>
      </c>
      <c r="B11622" s="2">
        <f>IFERROR(__xludf.DUMMYFUNCTION("""COMPUTED_VALUE"""),295.91)</f>
        <v>295.91</v>
      </c>
      <c r="C11622" s="2">
        <f>IFERROR(__xludf.DUMMYFUNCTION("""COMPUTED_VALUE"""),297.72)</f>
        <v>297.72</v>
      </c>
      <c r="D11622" s="2">
        <f>IFERROR(__xludf.DUMMYFUNCTION("""COMPUTED_VALUE"""),291.42)</f>
        <v>291.42</v>
      </c>
      <c r="E11622" s="2">
        <f>IFERROR(__xludf.DUMMYFUNCTION("""COMPUTED_VALUE"""),296.34)</f>
        <v>296.34</v>
      </c>
      <c r="F11622" s="2">
        <f>IFERROR(__xludf.DUMMYFUNCTION("""COMPUTED_VALUE"""),4627815.0)</f>
        <v>4627815</v>
      </c>
    </row>
    <row r="11623">
      <c r="A11623" s="3">
        <f>IFERROR(__xludf.DUMMYFUNCTION("""COMPUTED_VALUE"""),46063.66666666667)</f>
        <v>46063.66667</v>
      </c>
      <c r="B11623" s="2">
        <f>IFERROR(__xludf.DUMMYFUNCTION("""COMPUTED_VALUE"""),294.99)</f>
        <v>294.99</v>
      </c>
      <c r="C11623" s="2">
        <f>IFERROR(__xludf.DUMMYFUNCTION("""COMPUTED_VALUE"""),297.61)</f>
        <v>297.61</v>
      </c>
      <c r="D11623" s="2">
        <f>IFERROR(__xludf.DUMMYFUNCTION("""COMPUTED_VALUE"""),290.33)</f>
        <v>290.33</v>
      </c>
      <c r="E11623" s="2">
        <f>IFERROR(__xludf.DUMMYFUNCTION("""COMPUTED_VALUE"""),291.76)</f>
        <v>291.76</v>
      </c>
      <c r="F11623" s="2">
        <f>IFERROR(__xludf.DUMMYFUNCTION("""COMPUTED_VALUE"""),3837343.0)</f>
        <v>3837343</v>
      </c>
    </row>
    <row r="11624">
      <c r="A11624" s="3">
        <f>IFERROR(__xludf.DUMMYFUNCTION("""COMPUTED_VALUE"""),46064.66666666667)</f>
        <v>46064.66667</v>
      </c>
      <c r="B11624" s="2">
        <f>IFERROR(__xludf.DUMMYFUNCTION("""COMPUTED_VALUE"""),292.34)</f>
        <v>292.34</v>
      </c>
      <c r="C11624" s="2">
        <f>IFERROR(__xludf.DUMMYFUNCTION("""COMPUTED_VALUE"""),293.5)</f>
        <v>293.5</v>
      </c>
      <c r="D11624" s="2">
        <f>IFERROR(__xludf.DUMMYFUNCTION("""COMPUTED_VALUE"""),272.36)</f>
        <v>272.36</v>
      </c>
      <c r="E11624" s="2">
        <f>IFERROR(__xludf.DUMMYFUNCTION("""COMPUTED_VALUE"""),272.81)</f>
        <v>272.81</v>
      </c>
      <c r="F11624" s="2">
        <f>IFERROR(__xludf.DUMMYFUNCTION("""COMPUTED_VALUE"""),7628244.0)</f>
        <v>7628244</v>
      </c>
    </row>
    <row r="11625">
      <c r="A11625" s="3">
        <f>IFERROR(__xludf.DUMMYFUNCTION("""COMPUTED_VALUE"""),46065.66666666667)</f>
        <v>46065.66667</v>
      </c>
      <c r="B11625" s="2">
        <f>IFERROR(__xludf.DUMMYFUNCTION("""COMPUTED_VALUE"""),270.3)</f>
        <v>270.3</v>
      </c>
      <c r="C11625" s="2">
        <f>IFERROR(__xludf.DUMMYFUNCTION("""COMPUTED_VALUE"""),271.3)</f>
        <v>271.3</v>
      </c>
      <c r="D11625" s="2">
        <f>IFERROR(__xludf.DUMMYFUNCTION("""COMPUTED_VALUE"""),257.22)</f>
        <v>257.22</v>
      </c>
      <c r="E11625" s="2">
        <f>IFERROR(__xludf.DUMMYFUNCTION("""COMPUTED_VALUE"""),259.52)</f>
        <v>259.52</v>
      </c>
      <c r="F11625" s="2">
        <f>IFERROR(__xludf.DUMMYFUNCTION("""COMPUTED_VALUE"""),1.256538E7)</f>
        <v>12565380</v>
      </c>
    </row>
    <row r="11626">
      <c r="A11626" s="3">
        <f>IFERROR(__xludf.DUMMYFUNCTION("""COMPUTED_VALUE"""),46066.66666666667)</f>
        <v>46066.66667</v>
      </c>
      <c r="B11626" s="2">
        <f>IFERROR(__xludf.DUMMYFUNCTION("""COMPUTED_VALUE"""),260.0)</f>
        <v>260</v>
      </c>
      <c r="C11626" s="2">
        <f>IFERROR(__xludf.DUMMYFUNCTION("""COMPUTED_VALUE"""),264.66)</f>
        <v>264.66</v>
      </c>
      <c r="D11626" s="2">
        <f>IFERROR(__xludf.DUMMYFUNCTION("""COMPUTED_VALUE"""),256.64)</f>
        <v>256.64</v>
      </c>
      <c r="E11626" s="2">
        <f>IFERROR(__xludf.DUMMYFUNCTION("""COMPUTED_VALUE"""),262.38)</f>
        <v>262.38</v>
      </c>
      <c r="F11626" s="2">
        <f>IFERROR(__xludf.DUMMYFUNCTION("""COMPUTED_VALUE"""),6842620.0)</f>
        <v>6842620</v>
      </c>
    </row>
    <row r="11627">
      <c r="A11627" s="3">
        <f>IFERROR(__xludf.DUMMYFUNCTION("""COMPUTED_VALUE"""),46070.66666666667)</f>
        <v>46070.66667</v>
      </c>
      <c r="B11627" s="2">
        <f>IFERROR(__xludf.DUMMYFUNCTION("""COMPUTED_VALUE"""),259.2)</f>
        <v>259.2</v>
      </c>
      <c r="C11627" s="2">
        <f>IFERROR(__xludf.DUMMYFUNCTION("""COMPUTED_VALUE"""),260.7)</f>
        <v>260.7</v>
      </c>
      <c r="D11627" s="2">
        <f>IFERROR(__xludf.DUMMYFUNCTION("""COMPUTED_VALUE"""),254.65)</f>
        <v>254.65</v>
      </c>
      <c r="E11627" s="2">
        <f>IFERROR(__xludf.DUMMYFUNCTION("""COMPUTED_VALUE"""),258.31)</f>
        <v>258.31</v>
      </c>
      <c r="F11627" s="2">
        <f>IFERROR(__xludf.DUMMYFUNCTION("""COMPUTED_VALUE"""),4929733.0)</f>
        <v>4929733</v>
      </c>
    </row>
    <row r="11628">
      <c r="A11628" s="3">
        <f>IFERROR(__xludf.DUMMYFUNCTION("""COMPUTED_VALUE"""),46071.66666666667)</f>
        <v>46071.66667</v>
      </c>
      <c r="B11628" s="2">
        <f>IFERROR(__xludf.DUMMYFUNCTION("""COMPUTED_VALUE"""),258.64)</f>
        <v>258.64</v>
      </c>
      <c r="C11628" s="2">
        <f>IFERROR(__xludf.DUMMYFUNCTION("""COMPUTED_VALUE"""),261.11)</f>
        <v>261.11</v>
      </c>
      <c r="D11628" s="2">
        <f>IFERROR(__xludf.DUMMYFUNCTION("""COMPUTED_VALUE"""),256.25)</f>
        <v>256.25</v>
      </c>
      <c r="E11628" s="2">
        <f>IFERROR(__xludf.DUMMYFUNCTION("""COMPUTED_VALUE"""),260.79)</f>
        <v>260.79</v>
      </c>
      <c r="F11628" s="2">
        <f>IFERROR(__xludf.DUMMYFUNCTION("""COMPUTED_VALUE"""),3949229.0)</f>
        <v>3949229</v>
      </c>
    </row>
    <row r="11629">
      <c r="A11629" s="3">
        <f>IFERROR(__xludf.DUMMYFUNCTION("""COMPUTED_VALUE"""),46072.66666666667)</f>
        <v>46072.66667</v>
      </c>
      <c r="B11629" s="2">
        <f>IFERROR(__xludf.DUMMYFUNCTION("""COMPUTED_VALUE"""),256.0)</f>
        <v>256</v>
      </c>
      <c r="C11629" s="2">
        <f>IFERROR(__xludf.DUMMYFUNCTION("""COMPUTED_VALUE"""),258.28)</f>
        <v>258.28</v>
      </c>
      <c r="D11629" s="2">
        <f>IFERROR(__xludf.DUMMYFUNCTION("""COMPUTED_VALUE"""),253.51)</f>
        <v>253.51</v>
      </c>
      <c r="E11629" s="2">
        <f>IFERROR(__xludf.DUMMYFUNCTION("""COMPUTED_VALUE"""),256.28)</f>
        <v>256.28</v>
      </c>
      <c r="F11629" s="2">
        <f>IFERROR(__xludf.DUMMYFUNCTION("""COMPUTED_VALUE"""),4948700.0)</f>
        <v>4948700</v>
      </c>
    </row>
    <row r="11630">
      <c r="A11630" s="3">
        <f>IFERROR(__xludf.DUMMYFUNCTION("""COMPUTED_VALUE"""),46073.66666666667)</f>
        <v>46073.66667</v>
      </c>
      <c r="B11630" s="2">
        <f>IFERROR(__xludf.DUMMYFUNCTION("""COMPUTED_VALUE"""),255.2)</f>
        <v>255.2</v>
      </c>
      <c r="C11630" s="2">
        <f>IFERROR(__xludf.DUMMYFUNCTION("""COMPUTED_VALUE"""),259.04)</f>
        <v>259.04</v>
      </c>
      <c r="D11630" s="2">
        <f>IFERROR(__xludf.DUMMYFUNCTION("""COMPUTED_VALUE"""),253.8)</f>
        <v>253.8</v>
      </c>
      <c r="E11630" s="2">
        <f>IFERROR(__xludf.DUMMYFUNCTION("""COMPUTED_VALUE"""),257.16)</f>
        <v>257.16</v>
      </c>
      <c r="F11630" s="2">
        <f>IFERROR(__xludf.DUMMYFUNCTION("""COMPUTED_VALUE"""),4708550.0)</f>
        <v>4708550</v>
      </c>
    </row>
    <row r="11631">
      <c r="A11631" s="3">
        <f>IFERROR(__xludf.DUMMYFUNCTION("""COMPUTED_VALUE"""),46076.66666666667)</f>
        <v>46076.66667</v>
      </c>
      <c r="B11631" s="2">
        <f>IFERROR(__xludf.DUMMYFUNCTION("""COMPUTED_VALUE"""),254.37)</f>
        <v>254.37</v>
      </c>
      <c r="C11631" s="2">
        <f>IFERROR(__xludf.DUMMYFUNCTION("""COMPUTED_VALUE"""),255.19)</f>
        <v>255.19</v>
      </c>
      <c r="D11631" s="2">
        <f>IFERROR(__xludf.DUMMYFUNCTION("""COMPUTED_VALUE"""),220.72)</f>
        <v>220.72</v>
      </c>
      <c r="E11631" s="2">
        <f>IFERROR(__xludf.DUMMYFUNCTION("""COMPUTED_VALUE"""),223.35)</f>
        <v>223.35</v>
      </c>
      <c r="F11631" s="2">
        <f>IFERROR(__xludf.DUMMYFUNCTION("""COMPUTED_VALUE"""),1.9340828E7)</f>
        <v>19340828</v>
      </c>
    </row>
    <row r="11632">
      <c r="A11632" s="3">
        <f>IFERROR(__xludf.DUMMYFUNCTION("""COMPUTED_VALUE"""),46077.66666666667)</f>
        <v>46077.66667</v>
      </c>
      <c r="B11632" s="2">
        <f>IFERROR(__xludf.DUMMYFUNCTION("""COMPUTED_VALUE"""),227.8)</f>
        <v>227.8</v>
      </c>
      <c r="C11632" s="2">
        <f>IFERROR(__xludf.DUMMYFUNCTION("""COMPUTED_VALUE"""),236.59)</f>
        <v>236.59</v>
      </c>
      <c r="D11632" s="2">
        <f>IFERROR(__xludf.DUMMYFUNCTION("""COMPUTED_VALUE"""),223.63)</f>
        <v>223.63</v>
      </c>
      <c r="E11632" s="2">
        <f>IFERROR(__xludf.DUMMYFUNCTION("""COMPUTED_VALUE"""),229.32)</f>
        <v>229.32</v>
      </c>
      <c r="F11632" s="2">
        <f>IFERROR(__xludf.DUMMYFUNCTION("""COMPUTED_VALUE"""),1.3099357E7)</f>
        <v>13099357</v>
      </c>
    </row>
    <row r="11633">
      <c r="A11633" s="3">
        <f>IFERROR(__xludf.DUMMYFUNCTION("""COMPUTED_VALUE"""),46078.66666666667)</f>
        <v>46078.66667</v>
      </c>
      <c r="B11633" s="2">
        <f>IFERROR(__xludf.DUMMYFUNCTION("""COMPUTED_VALUE"""),233.22)</f>
        <v>233.22</v>
      </c>
      <c r="C11633" s="2">
        <f>IFERROR(__xludf.DUMMYFUNCTION("""COMPUTED_VALUE"""),239.55)</f>
        <v>239.55</v>
      </c>
      <c r="D11633" s="2">
        <f>IFERROR(__xludf.DUMMYFUNCTION("""COMPUTED_VALUE"""),231.22)</f>
        <v>231.22</v>
      </c>
      <c r="E11633" s="2">
        <f>IFERROR(__xludf.DUMMYFUNCTION("""COMPUTED_VALUE"""),237.54)</f>
        <v>237.54</v>
      </c>
      <c r="F11633" s="2">
        <f>IFERROR(__xludf.DUMMYFUNCTION("""COMPUTED_VALUE"""),8420924.0)</f>
        <v>8420924</v>
      </c>
    </row>
    <row r="11634">
      <c r="A11634" s="3">
        <f>IFERROR(__xludf.DUMMYFUNCTION("""COMPUTED_VALUE"""),46079.66666666667)</f>
        <v>46079.66667</v>
      </c>
      <c r="B11634" s="2">
        <f>IFERROR(__xludf.DUMMYFUNCTION("""COMPUTED_VALUE"""),239.71)</f>
        <v>239.71</v>
      </c>
      <c r="C11634" s="2">
        <f>IFERROR(__xludf.DUMMYFUNCTION("""COMPUTED_VALUE"""),247.49)</f>
        <v>247.49</v>
      </c>
      <c r="D11634" s="2">
        <f>IFERROR(__xludf.DUMMYFUNCTION("""COMPUTED_VALUE"""),238.95)</f>
        <v>238.95</v>
      </c>
      <c r="E11634" s="2">
        <f>IFERROR(__xludf.DUMMYFUNCTION("""COMPUTED_VALUE"""),242.01)</f>
        <v>242.01</v>
      </c>
      <c r="F11634" s="2">
        <f>IFERROR(__xludf.DUMMYFUNCTION("""COMPUTED_VALUE"""),7308901.0)</f>
        <v>7308901</v>
      </c>
    </row>
    <row r="11635">
      <c r="A11635" s="3">
        <f>IFERROR(__xludf.DUMMYFUNCTION("""COMPUTED_VALUE"""),46080.66666666667)</f>
        <v>46080.66667</v>
      </c>
      <c r="B11635" s="2">
        <f>IFERROR(__xludf.DUMMYFUNCTION("""COMPUTED_VALUE"""),238.07)</f>
        <v>238.07</v>
      </c>
      <c r="C11635" s="2">
        <f>IFERROR(__xludf.DUMMYFUNCTION("""COMPUTED_VALUE"""),240.21)</f>
        <v>240.21</v>
      </c>
      <c r="D11635" s="2">
        <f>IFERROR(__xludf.DUMMYFUNCTION("""COMPUTED_VALUE"""),234.57)</f>
        <v>234.57</v>
      </c>
      <c r="E11635" s="2">
        <f>IFERROR(__xludf.DUMMYFUNCTION("""COMPUTED_VALUE"""),240.21)</f>
        <v>240.21</v>
      </c>
      <c r="F11635" s="2">
        <f>IFERROR(__xludf.DUMMYFUNCTION("""COMPUTED_VALUE"""),6534043.0)</f>
        <v>6534043</v>
      </c>
    </row>
    <row r="11636">
      <c r="A11636" s="3">
        <f>IFERROR(__xludf.DUMMYFUNCTION("""COMPUTED_VALUE"""),46083.66666666667)</f>
        <v>46083.66667</v>
      </c>
      <c r="B11636" s="2">
        <f>IFERROR(__xludf.DUMMYFUNCTION("""COMPUTED_VALUE"""),235.7)</f>
        <v>235.7</v>
      </c>
      <c r="C11636" s="2">
        <f>IFERROR(__xludf.DUMMYFUNCTION("""COMPUTED_VALUE"""),240.78)</f>
        <v>240.78</v>
      </c>
      <c r="D11636" s="2">
        <f>IFERROR(__xludf.DUMMYFUNCTION("""COMPUTED_VALUE"""),233.78)</f>
        <v>233.78</v>
      </c>
      <c r="E11636" s="2">
        <f>IFERROR(__xludf.DUMMYFUNCTION("""COMPUTED_VALUE"""),239.37)</f>
        <v>239.37</v>
      </c>
      <c r="F11636" s="2">
        <f>IFERROR(__xludf.DUMMYFUNCTION("""COMPUTED_VALUE"""),6158737.0)</f>
        <v>6158737</v>
      </c>
    </row>
    <row r="11637">
      <c r="A11637" s="3">
        <f>IFERROR(__xludf.DUMMYFUNCTION("""COMPUTED_VALUE"""),46084.66666666667)</f>
        <v>46084.66667</v>
      </c>
      <c r="B11637" s="2">
        <f>IFERROR(__xludf.DUMMYFUNCTION("""COMPUTED_VALUE"""),236.35)</f>
        <v>236.35</v>
      </c>
      <c r="C11637" s="2">
        <f>IFERROR(__xludf.DUMMYFUNCTION("""COMPUTED_VALUE"""),246.09)</f>
        <v>246.09</v>
      </c>
      <c r="D11637" s="2">
        <f>IFERROR(__xludf.DUMMYFUNCTION("""COMPUTED_VALUE"""),234.29)</f>
        <v>234.29</v>
      </c>
      <c r="E11637" s="2">
        <f>IFERROR(__xludf.DUMMYFUNCTION("""COMPUTED_VALUE"""),245.28)</f>
        <v>245.28</v>
      </c>
      <c r="F11637" s="2">
        <f>IFERROR(__xludf.DUMMYFUNCTION("""COMPUTED_VALUE"""),6827238.0)</f>
        <v>6827238</v>
      </c>
    </row>
    <row r="11638">
      <c r="A11638" s="3">
        <f>IFERROR(__xludf.DUMMYFUNCTION("""COMPUTED_VALUE"""),46085.66666666667)</f>
        <v>46085.66667</v>
      </c>
      <c r="B11638" s="2">
        <f>IFERROR(__xludf.DUMMYFUNCTION("""COMPUTED_VALUE"""),245.75)</f>
        <v>245.75</v>
      </c>
      <c r="C11638" s="2">
        <f>IFERROR(__xludf.DUMMYFUNCTION("""COMPUTED_VALUE"""),250.85)</f>
        <v>250.85</v>
      </c>
      <c r="D11638" s="2">
        <f>IFERROR(__xludf.DUMMYFUNCTION("""COMPUTED_VALUE"""),244.96)</f>
        <v>244.96</v>
      </c>
      <c r="E11638" s="2">
        <f>IFERROR(__xludf.DUMMYFUNCTION("""COMPUTED_VALUE"""),250.06)</f>
        <v>250.06</v>
      </c>
      <c r="F11638" s="2">
        <f>IFERROR(__xludf.DUMMYFUNCTION("""COMPUTED_VALUE"""),6074792.0)</f>
        <v>6074792</v>
      </c>
    </row>
    <row r="11639">
      <c r="A11639" s="3">
        <f>IFERROR(__xludf.DUMMYFUNCTION("""COMPUTED_VALUE"""),46086.66666666667)</f>
        <v>46086.66667</v>
      </c>
      <c r="B11639" s="2">
        <f>IFERROR(__xludf.DUMMYFUNCTION("""COMPUTED_VALUE"""),249.32)</f>
        <v>249.32</v>
      </c>
      <c r="C11639" s="2">
        <f>IFERROR(__xludf.DUMMYFUNCTION("""COMPUTED_VALUE"""),260.38)</f>
        <v>260.38</v>
      </c>
      <c r="D11639" s="2">
        <f>IFERROR(__xludf.DUMMYFUNCTION("""COMPUTED_VALUE"""),249.0)</f>
        <v>249</v>
      </c>
      <c r="E11639" s="2">
        <f>IFERROR(__xludf.DUMMYFUNCTION("""COMPUTED_VALUE"""),256.55)</f>
        <v>256.55</v>
      </c>
      <c r="F11639" s="2">
        <f>IFERROR(__xludf.DUMMYFUNCTION("""COMPUTED_VALUE"""),9880535.0)</f>
        <v>9880535</v>
      </c>
    </row>
    <row r="11640">
      <c r="A11640" s="3">
        <f>IFERROR(__xludf.DUMMYFUNCTION("""COMPUTED_VALUE"""),46087.66666666667)</f>
        <v>46087.66667</v>
      </c>
      <c r="B11640" s="2">
        <f>IFERROR(__xludf.DUMMYFUNCTION("""COMPUTED_VALUE"""),256.44)</f>
        <v>256.44</v>
      </c>
      <c r="C11640" s="2">
        <f>IFERROR(__xludf.DUMMYFUNCTION("""COMPUTED_VALUE"""),259.4)</f>
        <v>259.4</v>
      </c>
      <c r="D11640" s="2">
        <f>IFERROR(__xludf.DUMMYFUNCTION("""COMPUTED_VALUE"""),252.21)</f>
        <v>252.21</v>
      </c>
      <c r="E11640" s="2">
        <f>IFERROR(__xludf.DUMMYFUNCTION("""COMPUTED_VALUE"""),258.85)</f>
        <v>258.85</v>
      </c>
      <c r="F11640" s="2">
        <f>IFERROR(__xludf.DUMMYFUNCTION("""COMPUTED_VALUE"""),6164113.0)</f>
        <v>6164113</v>
      </c>
    </row>
    <row r="11641">
      <c r="A11641" s="3">
        <f>IFERROR(__xludf.DUMMYFUNCTION("""COMPUTED_VALUE"""),46090.66666666667)</f>
        <v>46090.66667</v>
      </c>
      <c r="B11641" s="2">
        <f>IFERROR(__xludf.DUMMYFUNCTION("""COMPUTED_VALUE"""),255.38)</f>
        <v>255.38</v>
      </c>
      <c r="C11641" s="2">
        <f>IFERROR(__xludf.DUMMYFUNCTION("""COMPUTED_VALUE"""),258.08)</f>
        <v>258.08</v>
      </c>
      <c r="D11641" s="2">
        <f>IFERROR(__xludf.DUMMYFUNCTION("""COMPUTED_VALUE"""),251.57)</f>
        <v>251.57</v>
      </c>
      <c r="E11641" s="2">
        <f>IFERROR(__xludf.DUMMYFUNCTION("""COMPUTED_VALUE"""),253.33)</f>
        <v>253.33</v>
      </c>
      <c r="F11641" s="2">
        <f>IFERROR(__xludf.DUMMYFUNCTION("""COMPUTED_VALUE"""),6108154.0)</f>
        <v>6108154</v>
      </c>
    </row>
    <row r="11642">
      <c r="A11642" s="3">
        <f>IFERROR(__xludf.DUMMYFUNCTION("""COMPUTED_VALUE"""),46091.66666666667)</f>
        <v>46091.66667</v>
      </c>
      <c r="B11642" s="2">
        <f>IFERROR(__xludf.DUMMYFUNCTION("""COMPUTED_VALUE"""),253.26)</f>
        <v>253.26</v>
      </c>
      <c r="C11642" s="2">
        <f>IFERROR(__xludf.DUMMYFUNCTION("""COMPUTED_VALUE"""),253.44)</f>
        <v>253.44</v>
      </c>
      <c r="D11642" s="2">
        <f>IFERROR(__xludf.DUMMYFUNCTION("""COMPUTED_VALUE"""),246.55)</f>
        <v>246.55</v>
      </c>
      <c r="E11642" s="2">
        <f>IFERROR(__xludf.DUMMYFUNCTION("""COMPUTED_VALUE"""),250.2)</f>
        <v>250.2</v>
      </c>
      <c r="F11642" s="2">
        <f>IFERROR(__xludf.DUMMYFUNCTION("""COMPUTED_VALUE"""),4904867.0)</f>
        <v>4904867</v>
      </c>
    </row>
    <row r="11643">
      <c r="A11643" s="3">
        <f>IFERROR(__xludf.DUMMYFUNCTION("""COMPUTED_VALUE"""),46092.66666666667)</f>
        <v>46092.66667</v>
      </c>
      <c r="B11643" s="2">
        <f>IFERROR(__xludf.DUMMYFUNCTION("""COMPUTED_VALUE"""),250.01)</f>
        <v>250.01</v>
      </c>
      <c r="C11643" s="2">
        <f>IFERROR(__xludf.DUMMYFUNCTION("""COMPUTED_VALUE"""),253.72)</f>
        <v>253.72</v>
      </c>
      <c r="D11643" s="2">
        <f>IFERROR(__xludf.DUMMYFUNCTION("""COMPUTED_VALUE"""),247.2)</f>
        <v>247.2</v>
      </c>
      <c r="E11643" s="2">
        <f>IFERROR(__xludf.DUMMYFUNCTION("""COMPUTED_VALUE"""),248.87)</f>
        <v>248.87</v>
      </c>
      <c r="F11643" s="2">
        <f>IFERROR(__xludf.DUMMYFUNCTION("""COMPUTED_VALUE"""),4012239.0)</f>
        <v>4012239</v>
      </c>
    </row>
    <row r="11644">
      <c r="A11644" s="3">
        <f>IFERROR(__xludf.DUMMYFUNCTION("""COMPUTED_VALUE"""),46093.66666666667)</f>
        <v>46093.66667</v>
      </c>
      <c r="B11644" s="2">
        <f>IFERROR(__xludf.DUMMYFUNCTION("""COMPUTED_VALUE"""),248.35)</f>
        <v>248.35</v>
      </c>
      <c r="C11644" s="2">
        <f>IFERROR(__xludf.DUMMYFUNCTION("""COMPUTED_VALUE"""),250.05)</f>
        <v>250.05</v>
      </c>
      <c r="D11644" s="2">
        <f>IFERROR(__xludf.DUMMYFUNCTION("""COMPUTED_VALUE"""),245.64)</f>
        <v>245.64</v>
      </c>
      <c r="E11644" s="2">
        <f>IFERROR(__xludf.DUMMYFUNCTION("""COMPUTED_VALUE"""),247.68)</f>
        <v>247.68</v>
      </c>
      <c r="F11644" s="2">
        <f>IFERROR(__xludf.DUMMYFUNCTION("""COMPUTED_VALUE"""),5547724.0)</f>
        <v>5547724</v>
      </c>
    </row>
    <row r="11645">
      <c r="A11645" s="3">
        <f>IFERROR(__xludf.DUMMYFUNCTION("""COMPUTED_VALUE"""),46094.66666666667)</f>
        <v>46094.66667</v>
      </c>
      <c r="B11645" s="2">
        <f>IFERROR(__xludf.DUMMYFUNCTION("""COMPUTED_VALUE"""),247.6)</f>
        <v>247.6</v>
      </c>
      <c r="C11645" s="2">
        <f>IFERROR(__xludf.DUMMYFUNCTION("""COMPUTED_VALUE"""),249.72)</f>
        <v>249.72</v>
      </c>
      <c r="D11645" s="2">
        <f>IFERROR(__xludf.DUMMYFUNCTION("""COMPUTED_VALUE"""),244.71)</f>
        <v>244.71</v>
      </c>
      <c r="E11645" s="2">
        <f>IFERROR(__xludf.DUMMYFUNCTION("""COMPUTED_VALUE"""),246.28)</f>
        <v>246.28</v>
      </c>
      <c r="F11645" s="2">
        <f>IFERROR(__xludf.DUMMYFUNCTION("""COMPUTED_VALUE"""),4338431.0)</f>
        <v>4338431</v>
      </c>
    </row>
    <row r="11646">
      <c r="A11646" s="3">
        <f>IFERROR(__xludf.DUMMYFUNCTION("""COMPUTED_VALUE"""),46097.66666666667)</f>
        <v>46097.66667</v>
      </c>
      <c r="B11646" s="2">
        <f>IFERROR(__xludf.DUMMYFUNCTION("""COMPUTED_VALUE"""),247.85)</f>
        <v>247.85</v>
      </c>
      <c r="C11646" s="2">
        <f>IFERROR(__xludf.DUMMYFUNCTION("""COMPUTED_VALUE"""),252.2)</f>
        <v>252.2</v>
      </c>
      <c r="D11646" s="2">
        <f>IFERROR(__xludf.DUMMYFUNCTION("""COMPUTED_VALUE"""),246.1)</f>
        <v>246.1</v>
      </c>
      <c r="E11646" s="2">
        <f>IFERROR(__xludf.DUMMYFUNCTION("""COMPUTED_VALUE"""),249.25)</f>
        <v>249.25</v>
      </c>
      <c r="F11646" s="2">
        <f>IFERROR(__xludf.DUMMYFUNCTION("""COMPUTED_VALUE"""),5674228.0)</f>
        <v>5674228</v>
      </c>
    </row>
    <row r="11647">
      <c r="A11647" s="3">
        <f>IFERROR(__xludf.DUMMYFUNCTION("""COMPUTED_VALUE"""),46098.66666666667)</f>
        <v>46098.66667</v>
      </c>
      <c r="B11647" s="2">
        <f>IFERROR(__xludf.DUMMYFUNCTION("""COMPUTED_VALUE"""),250.0)</f>
        <v>250</v>
      </c>
      <c r="C11647" s="2">
        <f>IFERROR(__xludf.DUMMYFUNCTION("""COMPUTED_VALUE"""),256.39)</f>
        <v>256.39</v>
      </c>
      <c r="D11647" s="2">
        <f>IFERROR(__xludf.DUMMYFUNCTION("""COMPUTED_VALUE"""),250.0)</f>
        <v>250</v>
      </c>
      <c r="E11647" s="2">
        <f>IFERROR(__xludf.DUMMYFUNCTION("""COMPUTED_VALUE"""),256.11)</f>
        <v>256.11</v>
      </c>
      <c r="F11647" s="2">
        <f>IFERROR(__xludf.DUMMYFUNCTION("""COMPUTED_VALUE"""),5840140.0)</f>
        <v>5840140</v>
      </c>
    </row>
    <row r="11648">
      <c r="A11648" s="3">
        <f>IFERROR(__xludf.DUMMYFUNCTION("""COMPUTED_VALUE"""),46099.66666666667)</f>
        <v>46099.66667</v>
      </c>
      <c r="B11648" s="2">
        <f>IFERROR(__xludf.DUMMYFUNCTION("""COMPUTED_VALUE"""),254.1)</f>
        <v>254.1</v>
      </c>
      <c r="C11648" s="2">
        <f>IFERROR(__xludf.DUMMYFUNCTION("""COMPUTED_VALUE"""),258.28)</f>
        <v>258.28</v>
      </c>
      <c r="D11648" s="2">
        <f>IFERROR(__xludf.DUMMYFUNCTION("""COMPUTED_VALUE"""),250.16)</f>
        <v>250.16</v>
      </c>
      <c r="E11648" s="2">
        <f>IFERROR(__xludf.DUMMYFUNCTION("""COMPUTED_VALUE"""),251.6)</f>
        <v>251.6</v>
      </c>
      <c r="F11648" s="2">
        <f>IFERROR(__xludf.DUMMYFUNCTION("""COMPUTED_VALUE"""),5177047.0)</f>
        <v>5177047</v>
      </c>
    </row>
    <row r="11649">
      <c r="A11649" s="3">
        <f>IFERROR(__xludf.DUMMYFUNCTION("""COMPUTED_VALUE"""),46100.66666666667)</f>
        <v>46100.66667</v>
      </c>
      <c r="B11649" s="2">
        <f>IFERROR(__xludf.DUMMYFUNCTION("""COMPUTED_VALUE"""),248.96)</f>
        <v>248.96</v>
      </c>
      <c r="C11649" s="2">
        <f>IFERROR(__xludf.DUMMYFUNCTION("""COMPUTED_VALUE"""),252.19)</f>
        <v>252.19</v>
      </c>
      <c r="D11649" s="2">
        <f>IFERROR(__xludf.DUMMYFUNCTION("""COMPUTED_VALUE"""),248.25)</f>
        <v>248.25</v>
      </c>
      <c r="E11649" s="2">
        <f>IFERROR(__xludf.DUMMYFUNCTION("""COMPUTED_VALUE"""),250.37)</f>
        <v>250.37</v>
      </c>
      <c r="F11649" s="2">
        <f>IFERROR(__xludf.DUMMYFUNCTION("""COMPUTED_VALUE"""),4249459.0)</f>
        <v>4249459</v>
      </c>
    </row>
    <row r="11650">
      <c r="A11650" s="3">
        <f>IFERROR(__xludf.DUMMYFUNCTION("""COMPUTED_VALUE"""),46101.66666666667)</f>
        <v>46101.66667</v>
      </c>
      <c r="B11650" s="2">
        <f>IFERROR(__xludf.DUMMYFUNCTION("""COMPUTED_VALUE"""),249.0)</f>
        <v>249</v>
      </c>
      <c r="C11650" s="2">
        <f>IFERROR(__xludf.DUMMYFUNCTION("""COMPUTED_VALUE"""),250.28)</f>
        <v>250.28</v>
      </c>
      <c r="D11650" s="2">
        <f>IFERROR(__xludf.DUMMYFUNCTION("""COMPUTED_VALUE"""),241.77)</f>
        <v>241.77</v>
      </c>
      <c r="E11650" s="2">
        <f>IFERROR(__xludf.DUMMYFUNCTION("""COMPUTED_VALUE"""),241.77)</f>
        <v>241.77</v>
      </c>
      <c r="F11650" s="2">
        <f>IFERROR(__xludf.DUMMYFUNCTION("""COMPUTED_VALUE"""),1.1314094E7)</f>
        <v>11314094</v>
      </c>
    </row>
    <row r="11651">
      <c r="A11651" s="3">
        <f>IFERROR(__xludf.DUMMYFUNCTION("""COMPUTED_VALUE"""),46104.66666666667)</f>
        <v>46104.66667</v>
      </c>
      <c r="B11651" s="2">
        <f>IFERROR(__xludf.DUMMYFUNCTION("""COMPUTED_VALUE"""),245.73)</f>
        <v>245.73</v>
      </c>
      <c r="C11651" s="2">
        <f>IFERROR(__xludf.DUMMYFUNCTION("""COMPUTED_VALUE"""),251.35)</f>
        <v>251.35</v>
      </c>
      <c r="D11651" s="2">
        <f>IFERROR(__xludf.DUMMYFUNCTION("""COMPUTED_VALUE"""),244.71)</f>
        <v>244.71</v>
      </c>
      <c r="E11651" s="2">
        <f>IFERROR(__xludf.DUMMYFUNCTION("""COMPUTED_VALUE"""),248.44)</f>
        <v>248.44</v>
      </c>
      <c r="F11651" s="2">
        <f>IFERROR(__xludf.DUMMYFUNCTION("""COMPUTED_VALUE"""),4972008.0)</f>
        <v>4972008</v>
      </c>
    </row>
    <row r="11652">
      <c r="A11652" s="3">
        <f>IFERROR(__xludf.DUMMYFUNCTION("""COMPUTED_VALUE"""),46105.66666666667)</f>
        <v>46105.66667</v>
      </c>
      <c r="B11652" s="2">
        <f>IFERROR(__xludf.DUMMYFUNCTION("""COMPUTED_VALUE"""),246.45)</f>
        <v>246.45</v>
      </c>
      <c r="C11652" s="2">
        <f>IFERROR(__xludf.DUMMYFUNCTION("""COMPUTED_VALUE"""),247.11)</f>
        <v>247.11</v>
      </c>
      <c r="D11652" s="2">
        <f>IFERROR(__xludf.DUMMYFUNCTION("""COMPUTED_VALUE"""),238.0)</f>
        <v>238</v>
      </c>
      <c r="E11652" s="2">
        <f>IFERROR(__xludf.DUMMYFUNCTION("""COMPUTED_VALUE"""),240.59)</f>
        <v>240.59</v>
      </c>
      <c r="F11652" s="2">
        <f>IFERROR(__xludf.DUMMYFUNCTION("""COMPUTED_VALUE"""),4151491.0)</f>
        <v>4151491</v>
      </c>
    </row>
    <row r="11653">
      <c r="A11653" s="3">
        <f>IFERROR(__xludf.DUMMYFUNCTION("""COMPUTED_VALUE"""),46106.66666666667)</f>
        <v>46106.66667</v>
      </c>
      <c r="B11653" s="2">
        <f>IFERROR(__xludf.DUMMYFUNCTION("""COMPUTED_VALUE"""),243.6)</f>
        <v>243.6</v>
      </c>
      <c r="C11653" s="2">
        <f>IFERROR(__xludf.DUMMYFUNCTION("""COMPUTED_VALUE"""),246.19)</f>
        <v>246.19</v>
      </c>
      <c r="D11653" s="2">
        <f>IFERROR(__xludf.DUMMYFUNCTION("""COMPUTED_VALUE"""),238.0)</f>
        <v>238</v>
      </c>
      <c r="E11653" s="2">
        <f>IFERROR(__xludf.DUMMYFUNCTION("""COMPUTED_VALUE"""),241.39)</f>
        <v>241.39</v>
      </c>
      <c r="F11653" s="2">
        <f>IFERROR(__xludf.DUMMYFUNCTION("""COMPUTED_VALUE"""),4207946.0)</f>
        <v>4207946</v>
      </c>
    </row>
    <row r="11654">
      <c r="A11654" s="3">
        <f>IFERROR(__xludf.DUMMYFUNCTION("""COMPUTED_VALUE"""),46107.66666666667)</f>
        <v>46107.66667</v>
      </c>
      <c r="B11654" s="2">
        <f>IFERROR(__xludf.DUMMYFUNCTION("""COMPUTED_VALUE"""),240.56)</f>
        <v>240.56</v>
      </c>
      <c r="C11654" s="2">
        <f>IFERROR(__xludf.DUMMYFUNCTION("""COMPUTED_VALUE"""),246.67)</f>
        <v>246.67</v>
      </c>
      <c r="D11654" s="2">
        <f>IFERROR(__xludf.DUMMYFUNCTION("""COMPUTED_VALUE"""),239.8)</f>
        <v>239.8</v>
      </c>
      <c r="E11654" s="2">
        <f>IFERROR(__xludf.DUMMYFUNCTION("""COMPUTED_VALUE"""),241.67)</f>
        <v>241.67</v>
      </c>
      <c r="F11654" s="2">
        <f>IFERROR(__xludf.DUMMYFUNCTION("""COMPUTED_VALUE"""),3606840.0)</f>
        <v>3606840</v>
      </c>
    </row>
    <row r="11655">
      <c r="A11655" s="3">
        <f>IFERROR(__xludf.DUMMYFUNCTION("""COMPUTED_VALUE"""),46108.66666666667)</f>
        <v>46108.66667</v>
      </c>
      <c r="B11655" s="2">
        <f>IFERROR(__xludf.DUMMYFUNCTION("""COMPUTED_VALUE"""),238.85)</f>
        <v>238.85</v>
      </c>
      <c r="C11655" s="2">
        <f>IFERROR(__xludf.DUMMYFUNCTION("""COMPUTED_VALUE"""),239.44)</f>
        <v>239.44</v>
      </c>
      <c r="D11655" s="2">
        <f>IFERROR(__xludf.DUMMYFUNCTION("""COMPUTED_VALUE"""),233.75)</f>
        <v>233.75</v>
      </c>
      <c r="E11655" s="2">
        <f>IFERROR(__xludf.DUMMYFUNCTION("""COMPUTED_VALUE"""),236.34)</f>
        <v>236.34</v>
      </c>
      <c r="F11655" s="2">
        <f>IFERROR(__xludf.DUMMYFUNCTION("""COMPUTED_VALUE"""),4853707.0)</f>
        <v>4853707</v>
      </c>
    </row>
    <row r="11656">
      <c r="A11656" s="3">
        <f>IFERROR(__xludf.DUMMYFUNCTION("""COMPUTED_VALUE"""),46111.66666666667)</f>
        <v>46111.66667</v>
      </c>
      <c r="B11656" s="2">
        <f>IFERROR(__xludf.DUMMYFUNCTION("""COMPUTED_VALUE"""),237.8)</f>
        <v>237.8</v>
      </c>
      <c r="C11656" s="2">
        <f>IFERROR(__xludf.DUMMYFUNCTION("""COMPUTED_VALUE"""),240.21)</f>
        <v>240.21</v>
      </c>
      <c r="D11656" s="2">
        <f>IFERROR(__xludf.DUMMYFUNCTION("""COMPUTED_VALUE"""),236.13)</f>
        <v>236.13</v>
      </c>
      <c r="E11656" s="2">
        <f>IFERROR(__xludf.DUMMYFUNCTION("""COMPUTED_VALUE"""),237.25)</f>
        <v>237.25</v>
      </c>
      <c r="F11656" s="2">
        <f>IFERROR(__xludf.DUMMYFUNCTION("""COMPUTED_VALUE"""),3882603.0)</f>
        <v>3882603</v>
      </c>
    </row>
    <row r="11657">
      <c r="A11657" s="3">
        <f>IFERROR(__xludf.DUMMYFUNCTION("""COMPUTED_VALUE"""),46112.66666666667)</f>
        <v>46112.66667</v>
      </c>
      <c r="B11657" s="2">
        <f>IFERROR(__xludf.DUMMYFUNCTION("""COMPUTED_VALUE"""),240.4)</f>
        <v>240.4</v>
      </c>
      <c r="C11657" s="2">
        <f>IFERROR(__xludf.DUMMYFUNCTION("""COMPUTED_VALUE"""),242.85)</f>
        <v>242.85</v>
      </c>
      <c r="D11657" s="2">
        <f>IFERROR(__xludf.DUMMYFUNCTION("""COMPUTED_VALUE"""),236.38)</f>
        <v>236.38</v>
      </c>
      <c r="E11657" s="2">
        <f>IFERROR(__xludf.DUMMYFUNCTION("""COMPUTED_VALUE"""),242.39)</f>
        <v>242.39</v>
      </c>
      <c r="F11657" s="2">
        <f>IFERROR(__xludf.DUMMYFUNCTION("""COMPUTED_VALUE"""),4750294.0)</f>
        <v>4750294</v>
      </c>
    </row>
    <row r="11658">
      <c r="A11658" s="3">
        <f>IFERROR(__xludf.DUMMYFUNCTION("""COMPUTED_VALUE"""),46113.66666666667)</f>
        <v>46113.66667</v>
      </c>
      <c r="B11658" s="2">
        <f>IFERROR(__xludf.DUMMYFUNCTION("""COMPUTED_VALUE"""),242.12)</f>
        <v>242.12</v>
      </c>
      <c r="C11658" s="2">
        <f>IFERROR(__xludf.DUMMYFUNCTION("""COMPUTED_VALUE"""),246.26)</f>
        <v>246.26</v>
      </c>
      <c r="D11658" s="2">
        <f>IFERROR(__xludf.DUMMYFUNCTION("""COMPUTED_VALUE"""),240.14)</f>
        <v>240.14</v>
      </c>
      <c r="E11658" s="2">
        <f>IFERROR(__xludf.DUMMYFUNCTION("""COMPUTED_VALUE"""),243.14)</f>
        <v>243.14</v>
      </c>
      <c r="F11658" s="2">
        <f>IFERROR(__xludf.DUMMYFUNCTION("""COMPUTED_VALUE"""),4228653.0)</f>
        <v>4228653</v>
      </c>
    </row>
    <row r="11659">
      <c r="A11659" s="3">
        <f>IFERROR(__xludf.DUMMYFUNCTION("""COMPUTED_VALUE"""),46114.66666666667)</f>
        <v>46114.66667</v>
      </c>
      <c r="B11659" s="2">
        <f>IFERROR(__xludf.DUMMYFUNCTION("""COMPUTED_VALUE"""),243.0)</f>
        <v>243</v>
      </c>
      <c r="C11659" s="2">
        <f>IFERROR(__xludf.DUMMYFUNCTION("""COMPUTED_VALUE"""),248.21)</f>
        <v>248.21</v>
      </c>
      <c r="D11659" s="2">
        <f>IFERROR(__xludf.DUMMYFUNCTION("""COMPUTED_VALUE"""),241.49)</f>
        <v>241.49</v>
      </c>
      <c r="E11659" s="2">
        <f>IFERROR(__xludf.DUMMYFUNCTION("""COMPUTED_VALUE"""),248.16)</f>
        <v>248.16</v>
      </c>
      <c r="F11659" s="2">
        <f>IFERROR(__xludf.DUMMYFUNCTION("""COMPUTED_VALUE"""),3350858.0)</f>
        <v>3350858</v>
      </c>
    </row>
    <row r="11660">
      <c r="A11660" s="3">
        <f>IFERROR(__xludf.DUMMYFUNCTION("""COMPUTED_VALUE"""),46118.66666666667)</f>
        <v>46118.66667</v>
      </c>
      <c r="B11660" s="2">
        <f>IFERROR(__xludf.DUMMYFUNCTION("""COMPUTED_VALUE"""),248.14)</f>
        <v>248.14</v>
      </c>
      <c r="C11660" s="2">
        <f>IFERROR(__xludf.DUMMYFUNCTION("""COMPUTED_VALUE"""),248.9)</f>
        <v>248.9</v>
      </c>
      <c r="D11660" s="2">
        <f>IFERROR(__xludf.DUMMYFUNCTION("""COMPUTED_VALUE"""),244.74)</f>
        <v>244.74</v>
      </c>
      <c r="E11660" s="2">
        <f>IFERROR(__xludf.DUMMYFUNCTION("""COMPUTED_VALUE"""),246.74)</f>
        <v>246.74</v>
      </c>
      <c r="F11660" s="2">
        <f>IFERROR(__xludf.DUMMYFUNCTION("""COMPUTED_VALUE"""),3376019.0)</f>
        <v>3376019</v>
      </c>
    </row>
    <row r="11661">
      <c r="A11661" s="3">
        <f>IFERROR(__xludf.DUMMYFUNCTION("""COMPUTED_VALUE"""),46119.66666666667)</f>
        <v>46119.66667</v>
      </c>
      <c r="B11661" s="2">
        <f>IFERROR(__xludf.DUMMYFUNCTION("""COMPUTED_VALUE"""),245.32)</f>
        <v>245.32</v>
      </c>
      <c r="C11661" s="2">
        <f>IFERROR(__xludf.DUMMYFUNCTION("""COMPUTED_VALUE"""),245.76)</f>
        <v>245.76</v>
      </c>
      <c r="D11661" s="2">
        <f>IFERROR(__xludf.DUMMYFUNCTION("""COMPUTED_VALUE"""),241.1)</f>
        <v>241.1</v>
      </c>
      <c r="E11661" s="2">
        <f>IFERROR(__xludf.DUMMYFUNCTION("""COMPUTED_VALUE"""),245.07)</f>
        <v>245.07</v>
      </c>
      <c r="F11661" s="2">
        <f>IFERROR(__xludf.DUMMYFUNCTION("""COMPUTED_VALUE"""),2356072.0)</f>
        <v>2356072</v>
      </c>
    </row>
    <row r="11662">
      <c r="A11662" s="3">
        <f>IFERROR(__xludf.DUMMYFUNCTION("""COMPUTED_VALUE"""),46120.66666666667)</f>
        <v>46120.66667</v>
      </c>
      <c r="B11662" s="2">
        <f>IFERROR(__xludf.DUMMYFUNCTION("""COMPUTED_VALUE"""),248.63)</f>
        <v>248.63</v>
      </c>
      <c r="C11662" s="2">
        <f>IFERROR(__xludf.DUMMYFUNCTION("""COMPUTED_VALUE"""),250.0)</f>
        <v>250</v>
      </c>
      <c r="D11662" s="2">
        <f>IFERROR(__xludf.DUMMYFUNCTION("""COMPUTED_VALUE"""),240.8)</f>
        <v>240.8</v>
      </c>
      <c r="E11662" s="2">
        <f>IFERROR(__xludf.DUMMYFUNCTION("""COMPUTED_VALUE"""),241.74)</f>
        <v>241.74</v>
      </c>
      <c r="F11662" s="2">
        <f>IFERROR(__xludf.DUMMYFUNCTION("""COMPUTED_VALUE"""),4771476.0)</f>
        <v>4771476</v>
      </c>
    </row>
    <row r="11663">
      <c r="A11663" s="3">
        <f>IFERROR(__xludf.DUMMYFUNCTION("""COMPUTED_VALUE"""),46121.66666666667)</f>
        <v>46121.66667</v>
      </c>
      <c r="B11663" s="2">
        <f>IFERROR(__xludf.DUMMYFUNCTION("""COMPUTED_VALUE"""),240.88)</f>
        <v>240.88</v>
      </c>
      <c r="C11663" s="2">
        <f>IFERROR(__xludf.DUMMYFUNCTION("""COMPUTED_VALUE"""),241.74)</f>
        <v>241.74</v>
      </c>
      <c r="D11663" s="2">
        <f>IFERROR(__xludf.DUMMYFUNCTION("""COMPUTED_VALUE"""),233.76)</f>
        <v>233.76</v>
      </c>
      <c r="E11663" s="2">
        <f>IFERROR(__xludf.DUMMYFUNCTION("""COMPUTED_VALUE"""),237.18)</f>
        <v>237.18</v>
      </c>
      <c r="F11663" s="2">
        <f>IFERROR(__xludf.DUMMYFUNCTION("""COMPUTED_VALUE"""),5078595.0)</f>
        <v>5078595</v>
      </c>
    </row>
    <row r="11664">
      <c r="A11664" s="3">
        <f>IFERROR(__xludf.DUMMYFUNCTION("""COMPUTED_VALUE"""),46122.66666666667)</f>
        <v>46122.66667</v>
      </c>
      <c r="B11664" s="2">
        <f>IFERROR(__xludf.DUMMYFUNCTION("""COMPUTED_VALUE"""),239.19)</f>
        <v>239.19</v>
      </c>
      <c r="C11664" s="2">
        <f>IFERROR(__xludf.DUMMYFUNCTION("""COMPUTED_VALUE"""),239.27)</f>
        <v>239.27</v>
      </c>
      <c r="D11664" s="2">
        <f>IFERROR(__xludf.DUMMYFUNCTION("""COMPUTED_VALUE"""),230.51)</f>
        <v>230.51</v>
      </c>
      <c r="E11664" s="2">
        <f>IFERROR(__xludf.DUMMYFUNCTION("""COMPUTED_VALUE"""),230.76)</f>
        <v>230.76</v>
      </c>
      <c r="F11664" s="2">
        <f>IFERROR(__xludf.DUMMYFUNCTION("""COMPUTED_VALUE"""),5869361.0)</f>
        <v>5869361</v>
      </c>
    </row>
    <row r="11665">
      <c r="A11665" s="3">
        <f>IFERROR(__xludf.DUMMYFUNCTION("""COMPUTED_VALUE"""),46125.66666666667)</f>
        <v>46125.66667</v>
      </c>
      <c r="B11665" s="2">
        <f>IFERROR(__xludf.DUMMYFUNCTION("""COMPUTED_VALUE"""),233.63)</f>
        <v>233.63</v>
      </c>
      <c r="C11665" s="2">
        <f>IFERROR(__xludf.DUMMYFUNCTION("""COMPUTED_VALUE"""),238.07)</f>
        <v>238.07</v>
      </c>
      <c r="D11665" s="2">
        <f>IFERROR(__xludf.DUMMYFUNCTION("""COMPUTED_VALUE"""),231.7)</f>
        <v>231.7</v>
      </c>
      <c r="E11665" s="2">
        <f>IFERROR(__xludf.DUMMYFUNCTION("""COMPUTED_VALUE"""),237.82)</f>
        <v>237.82</v>
      </c>
      <c r="F11665" s="2">
        <f>IFERROR(__xludf.DUMMYFUNCTION("""COMPUTED_VALUE"""),5349619.0)</f>
        <v>5349619</v>
      </c>
    </row>
    <row r="11666">
      <c r="A11666" s="3">
        <f>IFERROR(__xludf.DUMMYFUNCTION("""COMPUTED_VALUE"""),46126.66666666667)</f>
        <v>46126.66667</v>
      </c>
      <c r="B11666" s="2">
        <f>IFERROR(__xludf.DUMMYFUNCTION("""COMPUTED_VALUE"""),238.75)</f>
        <v>238.75</v>
      </c>
      <c r="C11666" s="2">
        <f>IFERROR(__xludf.DUMMYFUNCTION("""COMPUTED_VALUE"""),241.54)</f>
        <v>241.54</v>
      </c>
      <c r="D11666" s="2">
        <f>IFERROR(__xludf.DUMMYFUNCTION("""COMPUTED_VALUE"""),238.12)</f>
        <v>238.12</v>
      </c>
      <c r="E11666" s="2">
        <f>IFERROR(__xludf.DUMMYFUNCTION("""COMPUTED_VALUE"""),240.27)</f>
        <v>240.27</v>
      </c>
      <c r="F11666" s="2">
        <f>IFERROR(__xludf.DUMMYFUNCTION("""COMPUTED_VALUE"""),3777273.0)</f>
        <v>3777273</v>
      </c>
    </row>
    <row r="11667">
      <c r="A11667" s="3">
        <f>IFERROR(__xludf.DUMMYFUNCTION("""COMPUTED_VALUE"""),46127.66666666667)</f>
        <v>46127.66667</v>
      </c>
      <c r="B11667" s="2">
        <f>IFERROR(__xludf.DUMMYFUNCTION("""COMPUTED_VALUE"""),242.25)</f>
        <v>242.25</v>
      </c>
      <c r="C11667" s="2">
        <f>IFERROR(__xludf.DUMMYFUNCTION("""COMPUTED_VALUE"""),246.06)</f>
        <v>246.06</v>
      </c>
      <c r="D11667" s="2">
        <f>IFERROR(__xludf.DUMMYFUNCTION("""COMPUTED_VALUE"""),240.99)</f>
        <v>240.99</v>
      </c>
      <c r="E11667" s="2">
        <f>IFERROR(__xludf.DUMMYFUNCTION("""COMPUTED_VALUE"""),244.8)</f>
        <v>244.8</v>
      </c>
      <c r="F11667" s="2">
        <f>IFERROR(__xludf.DUMMYFUNCTION("""COMPUTED_VALUE"""),3879518.0)</f>
        <v>3879518</v>
      </c>
    </row>
    <row r="11668">
      <c r="A11668" s="3">
        <f>IFERROR(__xludf.DUMMYFUNCTION("""COMPUTED_VALUE"""),46128.66666666667)</f>
        <v>46128.66667</v>
      </c>
      <c r="B11668" s="2">
        <f>IFERROR(__xludf.DUMMYFUNCTION("""COMPUTED_VALUE"""),248.75)</f>
        <v>248.75</v>
      </c>
      <c r="C11668" s="2">
        <f>IFERROR(__xludf.DUMMYFUNCTION("""COMPUTED_VALUE"""),251.22)</f>
        <v>251.22</v>
      </c>
      <c r="D11668" s="2">
        <f>IFERROR(__xludf.DUMMYFUNCTION("""COMPUTED_VALUE"""),246.13)</f>
        <v>246.13</v>
      </c>
      <c r="E11668" s="2">
        <f>IFERROR(__xludf.DUMMYFUNCTION("""COMPUTED_VALUE"""),251.0)</f>
        <v>251</v>
      </c>
      <c r="F11668" s="2">
        <f>IFERROR(__xludf.DUMMYFUNCTION("""COMPUTED_VALUE"""),4817500.0)</f>
        <v>4817500</v>
      </c>
    </row>
    <row r="11669">
      <c r="A11669" s="3">
        <f>IFERROR(__xludf.DUMMYFUNCTION("""COMPUTED_VALUE"""),46129.66666666667)</f>
        <v>46129.66667</v>
      </c>
      <c r="B11669" s="2">
        <f>IFERROR(__xludf.DUMMYFUNCTION("""COMPUTED_VALUE"""),254.67)</f>
        <v>254.67</v>
      </c>
      <c r="C11669" s="2">
        <f>IFERROR(__xludf.DUMMYFUNCTION("""COMPUTED_VALUE"""),255.65)</f>
        <v>255.65</v>
      </c>
      <c r="D11669" s="2">
        <f>IFERROR(__xludf.DUMMYFUNCTION("""COMPUTED_VALUE"""),251.04)</f>
        <v>251.04</v>
      </c>
      <c r="E11669" s="2">
        <f>IFERROR(__xludf.DUMMYFUNCTION("""COMPUTED_VALUE"""),253.47)</f>
        <v>253.47</v>
      </c>
      <c r="F11669" s="2">
        <f>IFERROR(__xludf.DUMMYFUNCTION("""COMPUTED_VALUE"""),5671471.0)</f>
        <v>5671471</v>
      </c>
    </row>
    <row r="11670">
      <c r="A11670" s="3">
        <f>IFERROR(__xludf.DUMMYFUNCTION("""COMPUTED_VALUE"""),46132.66666666667)</f>
        <v>46132.66667</v>
      </c>
      <c r="B11670" s="2">
        <f>IFERROR(__xludf.DUMMYFUNCTION("""COMPUTED_VALUE"""),255.0)</f>
        <v>255</v>
      </c>
      <c r="C11670" s="2">
        <f>IFERROR(__xludf.DUMMYFUNCTION("""COMPUTED_VALUE"""),258.5)</f>
        <v>258.5</v>
      </c>
      <c r="D11670" s="2">
        <f>IFERROR(__xludf.DUMMYFUNCTION("""COMPUTED_VALUE"""),252.56)</f>
        <v>252.56</v>
      </c>
      <c r="E11670" s="2">
        <f>IFERROR(__xludf.DUMMYFUNCTION("""COMPUTED_VALUE"""),253.71)</f>
        <v>253.71</v>
      </c>
      <c r="F11670" s="2">
        <f>IFERROR(__xludf.DUMMYFUNCTION("""COMPUTED_VALUE"""),5157714.0)</f>
        <v>5157714</v>
      </c>
    </row>
    <row r="11671">
      <c r="A11671" s="3">
        <f>IFERROR(__xludf.DUMMYFUNCTION("""COMPUTED_VALUE"""),46133.66666666667)</f>
        <v>46133.66667</v>
      </c>
      <c r="B11671" s="2">
        <f>IFERROR(__xludf.DUMMYFUNCTION("""COMPUTED_VALUE"""),254.0)</f>
        <v>254</v>
      </c>
      <c r="C11671" s="2">
        <f>IFERROR(__xludf.DUMMYFUNCTION("""COMPUTED_VALUE"""),258.09)</f>
        <v>258.09</v>
      </c>
      <c r="D11671" s="2">
        <f>IFERROR(__xludf.DUMMYFUNCTION("""COMPUTED_VALUE"""),251.87)</f>
        <v>251.87</v>
      </c>
      <c r="E11671" s="2">
        <f>IFERROR(__xludf.DUMMYFUNCTION("""COMPUTED_VALUE"""),255.68)</f>
        <v>255.68</v>
      </c>
      <c r="F11671" s="2">
        <f>IFERROR(__xludf.DUMMYFUNCTION("""COMPUTED_VALUE"""),5584902.0)</f>
        <v>5584902</v>
      </c>
    </row>
    <row r="11672">
      <c r="A11672" s="3">
        <f>IFERROR(__xludf.DUMMYFUNCTION("""COMPUTED_VALUE"""),46134.66666666667)</f>
        <v>46134.66667</v>
      </c>
      <c r="B11672" s="2">
        <f>IFERROR(__xludf.DUMMYFUNCTION("""COMPUTED_VALUE"""),254.51)</f>
        <v>254.51</v>
      </c>
      <c r="C11672" s="2">
        <f>IFERROR(__xludf.DUMMYFUNCTION("""COMPUTED_VALUE"""),257.54)</f>
        <v>257.54</v>
      </c>
      <c r="D11672" s="2">
        <f>IFERROR(__xludf.DUMMYFUNCTION("""COMPUTED_VALUE"""),247.21)</f>
        <v>247.21</v>
      </c>
      <c r="E11672" s="2">
        <f>IFERROR(__xludf.DUMMYFUNCTION("""COMPUTED_VALUE"""),251.86)</f>
        <v>251.86</v>
      </c>
      <c r="F11672" s="2">
        <f>IFERROR(__xludf.DUMMYFUNCTION("""COMPUTED_VALUE"""),1.2190198E7)</f>
        <v>12190198</v>
      </c>
    </row>
    <row r="11673">
      <c r="A11673" s="3">
        <f>IFERROR(__xludf.DUMMYFUNCTION("""COMPUTED_VALUE"""),46135.66666666667)</f>
        <v>46135.66667</v>
      </c>
      <c r="B11673" s="2">
        <f>IFERROR(__xludf.DUMMYFUNCTION("""COMPUTED_VALUE"""),232.27)</f>
        <v>232.27</v>
      </c>
      <c r="C11673" s="2">
        <f>IFERROR(__xludf.DUMMYFUNCTION("""COMPUTED_VALUE"""),232.91)</f>
        <v>232.91</v>
      </c>
      <c r="D11673" s="2">
        <f>IFERROR(__xludf.DUMMYFUNCTION("""COMPUTED_VALUE"""),221.73)</f>
        <v>221.73</v>
      </c>
      <c r="E11673" s="2">
        <f>IFERROR(__xludf.DUMMYFUNCTION("""COMPUTED_VALUE"""),231.08)</f>
        <v>231.08</v>
      </c>
      <c r="F11673" s="2">
        <f>IFERROR(__xludf.DUMMYFUNCTION("""COMPUTED_VALUE"""),2.2297831E7)</f>
        <v>22297831</v>
      </c>
    </row>
    <row r="11674">
      <c r="A11674" s="3">
        <f>IFERROR(__xludf.DUMMYFUNCTION("""COMPUTED_VALUE"""),46136.66666666667)</f>
        <v>46136.66667</v>
      </c>
      <c r="B11674" s="2">
        <f>IFERROR(__xludf.DUMMYFUNCTION("""COMPUTED_VALUE"""),231.93)</f>
        <v>231.93</v>
      </c>
      <c r="C11674" s="2">
        <f>IFERROR(__xludf.DUMMYFUNCTION("""COMPUTED_VALUE"""),232.8)</f>
        <v>232.8</v>
      </c>
      <c r="D11674" s="2">
        <f>IFERROR(__xludf.DUMMYFUNCTION("""COMPUTED_VALUE"""),225.0)</f>
        <v>225</v>
      </c>
      <c r="E11674" s="2">
        <f>IFERROR(__xludf.DUMMYFUNCTION("""COMPUTED_VALUE"""),231.98)</f>
        <v>231.98</v>
      </c>
      <c r="F11674" s="2">
        <f>IFERROR(__xludf.DUMMYFUNCTION("""COMPUTED_VALUE"""),9816859.0)</f>
        <v>9816859</v>
      </c>
    </row>
    <row r="11675">
      <c r="A11675" s="3">
        <f>IFERROR(__xludf.DUMMYFUNCTION("""COMPUTED_VALUE"""),46139.66666666667)</f>
        <v>46139.66667</v>
      </c>
      <c r="B11675" s="2">
        <f>IFERROR(__xludf.DUMMYFUNCTION("""COMPUTED_VALUE"""),229.95)</f>
        <v>229.95</v>
      </c>
      <c r="C11675" s="2">
        <f>IFERROR(__xludf.DUMMYFUNCTION("""COMPUTED_VALUE"""),231.32)</f>
        <v>231.32</v>
      </c>
      <c r="D11675" s="2">
        <f>IFERROR(__xludf.DUMMYFUNCTION("""COMPUTED_VALUE"""),227.12)</f>
        <v>227.12</v>
      </c>
      <c r="E11675" s="2">
        <f>IFERROR(__xludf.DUMMYFUNCTION("""COMPUTED_VALUE"""),228.05)</f>
        <v>228.05</v>
      </c>
      <c r="F11675" s="2">
        <f>IFERROR(__xludf.DUMMYFUNCTION("""COMPUTED_VALUE"""),8060666.0)</f>
        <v>8060666</v>
      </c>
    </row>
    <row r="11676">
      <c r="A11676" s="3">
        <f>IFERROR(__xludf.DUMMYFUNCTION("""COMPUTED_VALUE"""),46140.66666666667)</f>
        <v>46140.66667</v>
      </c>
      <c r="B11676" s="2">
        <f>IFERROR(__xludf.DUMMYFUNCTION("""COMPUTED_VALUE"""),230.5)</f>
        <v>230.5</v>
      </c>
      <c r="C11676" s="2">
        <f>IFERROR(__xludf.DUMMYFUNCTION("""COMPUTED_VALUE"""),233.56)</f>
        <v>233.56</v>
      </c>
      <c r="D11676" s="2">
        <f>IFERROR(__xludf.DUMMYFUNCTION("""COMPUTED_VALUE"""),228.46)</f>
        <v>228.46</v>
      </c>
      <c r="E11676" s="2">
        <f>IFERROR(__xludf.DUMMYFUNCTION("""COMPUTED_VALUE"""),233.04)</f>
        <v>233.04</v>
      </c>
      <c r="F11676" s="2">
        <f>IFERROR(__xludf.DUMMYFUNCTION("""COMPUTED_VALUE"""),5162895.0)</f>
        <v>5162895</v>
      </c>
    </row>
    <row r="11677">
      <c r="A11677" s="3">
        <f>IFERROR(__xludf.DUMMYFUNCTION("""COMPUTED_VALUE"""),46141.66666666667)</f>
        <v>46141.66667</v>
      </c>
      <c r="B11677" s="2">
        <f>IFERROR(__xludf.DUMMYFUNCTION("""COMPUTED_VALUE"""),230.34)</f>
        <v>230.34</v>
      </c>
      <c r="C11677" s="2">
        <f>IFERROR(__xludf.DUMMYFUNCTION("""COMPUTED_VALUE"""),231.48)</f>
        <v>231.48</v>
      </c>
      <c r="D11677" s="2">
        <f>IFERROR(__xludf.DUMMYFUNCTION("""COMPUTED_VALUE"""),226.82)</f>
        <v>226.82</v>
      </c>
      <c r="E11677" s="2">
        <f>IFERROR(__xludf.DUMMYFUNCTION("""COMPUTED_VALUE"""),227.1)</f>
        <v>227.1</v>
      </c>
      <c r="F11677" s="2">
        <f>IFERROR(__xludf.DUMMYFUNCTION("""COMPUTED_VALUE"""),6443725.0)</f>
        <v>6443725</v>
      </c>
    </row>
    <row r="11678">
      <c r="A11678" s="3">
        <f>IFERROR(__xludf.DUMMYFUNCTION("""COMPUTED_VALUE"""),46142.66666666667)</f>
        <v>46142.66667</v>
      </c>
      <c r="B11678" s="2">
        <f>IFERROR(__xludf.DUMMYFUNCTION("""COMPUTED_VALUE"""),226.53)</f>
        <v>226.53</v>
      </c>
      <c r="C11678" s="2">
        <f>IFERROR(__xludf.DUMMYFUNCTION("""COMPUTED_VALUE"""),231.6)</f>
        <v>231.6</v>
      </c>
      <c r="D11678" s="2">
        <f>IFERROR(__xludf.DUMMYFUNCTION("""COMPUTED_VALUE"""),224.9)</f>
        <v>224.9</v>
      </c>
      <c r="E11678" s="2">
        <f>IFERROR(__xludf.DUMMYFUNCTION("""COMPUTED_VALUE"""),230.98)</f>
        <v>230.98</v>
      </c>
      <c r="F11678" s="2">
        <f>IFERROR(__xludf.DUMMYFUNCTION("""COMPUTED_VALUE"""),6283335.0)</f>
        <v>6283335</v>
      </c>
    </row>
    <row r="11679">
      <c r="A11679" s="3">
        <f>IFERROR(__xludf.DUMMYFUNCTION("""COMPUTED_VALUE"""),46143.66666666667)</f>
        <v>46143.66667</v>
      </c>
      <c r="B11679" s="2">
        <f>IFERROR(__xludf.DUMMYFUNCTION("""COMPUTED_VALUE"""),234.55)</f>
        <v>234.55</v>
      </c>
      <c r="C11679" s="2">
        <f>IFERROR(__xludf.DUMMYFUNCTION("""COMPUTED_VALUE"""),235.95)</f>
        <v>235.95</v>
      </c>
      <c r="D11679" s="2">
        <f>IFERROR(__xludf.DUMMYFUNCTION("""COMPUTED_VALUE"""),231.75)</f>
        <v>231.75</v>
      </c>
      <c r="E11679" s="2">
        <f>IFERROR(__xludf.DUMMYFUNCTION("""COMPUTED_VALUE"""),232.2)</f>
        <v>232.2</v>
      </c>
      <c r="F11679" s="2">
        <f>IFERROR(__xludf.DUMMYFUNCTION("""COMPUTED_VALUE"""),3582092.0)</f>
        <v>3582092</v>
      </c>
    </row>
    <row r="11680">
      <c r="A11680" s="3">
        <f>IFERROR(__xludf.DUMMYFUNCTION("""COMPUTED_VALUE"""),46146.66666666667)</f>
        <v>46146.66667</v>
      </c>
      <c r="B11680" s="2">
        <f>IFERROR(__xludf.DUMMYFUNCTION("""COMPUTED_VALUE"""),232.0)</f>
        <v>232</v>
      </c>
      <c r="C11680" s="2">
        <f>IFERROR(__xludf.DUMMYFUNCTION("""COMPUTED_VALUE"""),234.09)</f>
        <v>234.09</v>
      </c>
      <c r="D11680" s="2">
        <f>IFERROR(__xludf.DUMMYFUNCTION("""COMPUTED_VALUE"""),228.62)</f>
        <v>228.62</v>
      </c>
      <c r="E11680" s="2">
        <f>IFERROR(__xludf.DUMMYFUNCTION("""COMPUTED_VALUE"""),229.48)</f>
        <v>229.48</v>
      </c>
      <c r="F11680" s="2">
        <f>IFERROR(__xludf.DUMMYFUNCTION("""COMPUTED_VALUE"""),4003082.0)</f>
        <v>4003082</v>
      </c>
    </row>
    <row r="11681">
      <c r="A11681" s="3">
        <f>IFERROR(__xludf.DUMMYFUNCTION("""COMPUTED_VALUE"""),46147.66666666667)</f>
        <v>46147.66667</v>
      </c>
      <c r="B11681" s="2">
        <f>IFERROR(__xludf.DUMMYFUNCTION("""COMPUTED_VALUE"""),230.16)</f>
        <v>230.16</v>
      </c>
      <c r="C11681" s="2">
        <f>IFERROR(__xludf.DUMMYFUNCTION("""COMPUTED_VALUE"""),231.0)</f>
        <v>231</v>
      </c>
      <c r="D11681" s="2">
        <f>IFERROR(__xludf.DUMMYFUNCTION("""COMPUTED_VALUE"""),227.15)</f>
        <v>227.15</v>
      </c>
      <c r="E11681" s="2">
        <f>IFERROR(__xludf.DUMMYFUNCTION("""COMPUTED_VALUE"""),229.03)</f>
        <v>229.03</v>
      </c>
      <c r="F11681" s="2">
        <f>IFERROR(__xludf.DUMMYFUNCTION("""COMPUTED_VALUE"""),4221890.0)</f>
        <v>4221890</v>
      </c>
    </row>
    <row r="11682">
      <c r="A11682" s="3">
        <f>IFERROR(__xludf.DUMMYFUNCTION("""COMPUTED_VALUE"""),46148.66666666667)</f>
        <v>46148.66667</v>
      </c>
      <c r="B11682" s="2">
        <f>IFERROR(__xludf.DUMMYFUNCTION("""COMPUTED_VALUE"""),228.75)</f>
        <v>228.75</v>
      </c>
      <c r="C11682" s="2">
        <f>IFERROR(__xludf.DUMMYFUNCTION("""COMPUTED_VALUE"""),229.0)</f>
        <v>229</v>
      </c>
      <c r="D11682" s="2">
        <f>IFERROR(__xludf.DUMMYFUNCTION("""COMPUTED_VALUE"""),224.38)</f>
        <v>224.38</v>
      </c>
      <c r="E11682" s="2">
        <f>IFERROR(__xludf.DUMMYFUNCTION("""COMPUTED_VALUE"""),225.74)</f>
        <v>225.74</v>
      </c>
      <c r="F11682" s="2">
        <f>IFERROR(__xludf.DUMMYFUNCTION("""COMPUTED_VALUE"""),7673186.0)</f>
        <v>7673186</v>
      </c>
    </row>
    <row r="11683">
      <c r="A11683" s="3">
        <f>IFERROR(__xludf.DUMMYFUNCTION("""COMPUTED_VALUE"""),46149.66666666667)</f>
        <v>46149.66667</v>
      </c>
      <c r="B11683" s="2">
        <f>IFERROR(__xludf.DUMMYFUNCTION("""COMPUTED_VALUE"""),227.5)</f>
        <v>227.5</v>
      </c>
      <c r="C11683" s="2">
        <f>IFERROR(__xludf.DUMMYFUNCTION("""COMPUTED_VALUE"""),231.82)</f>
        <v>231.82</v>
      </c>
      <c r="D11683" s="2">
        <f>IFERROR(__xludf.DUMMYFUNCTION("""COMPUTED_VALUE"""),227.41)</f>
        <v>227.41</v>
      </c>
      <c r="E11683" s="2">
        <f>IFERROR(__xludf.DUMMYFUNCTION("""COMPUTED_VALUE"""),231.31)</f>
        <v>231.31</v>
      </c>
      <c r="F11683" s="2">
        <f>IFERROR(__xludf.DUMMYFUNCTION("""COMPUTED_VALUE"""),5485545.0)</f>
        <v>5485545</v>
      </c>
    </row>
    <row r="11684">
      <c r="A11684" s="3">
        <f>IFERROR(__xludf.DUMMYFUNCTION("""COMPUTED_VALUE"""),46150.66666666667)</f>
        <v>46150.66667</v>
      </c>
      <c r="B11684" s="2">
        <f>IFERROR(__xludf.DUMMYFUNCTION("""COMPUTED_VALUE"""),229.73)</f>
        <v>229.73</v>
      </c>
      <c r="C11684" s="2">
        <f>IFERROR(__xludf.DUMMYFUNCTION("""COMPUTED_VALUE"""),230.71)</f>
        <v>230.71</v>
      </c>
      <c r="D11684" s="2">
        <f>IFERROR(__xludf.DUMMYFUNCTION("""COMPUTED_VALUE"""),224.83)</f>
        <v>224.83</v>
      </c>
      <c r="E11684" s="2">
        <f>IFERROR(__xludf.DUMMYFUNCTION("""COMPUTED_VALUE"""),229.76)</f>
        <v>229.76</v>
      </c>
      <c r="F11684" s="2">
        <f>IFERROR(__xludf.DUMMYFUNCTION("""COMPUTED_VALUE"""),5332800.0)</f>
        <v>5332800</v>
      </c>
    </row>
    <row r="11685">
      <c r="A11685" s="3">
        <f>IFERROR(__xludf.DUMMYFUNCTION("""COMPUTED_VALUE"""),46153.66666666667)</f>
        <v>46153.66667</v>
      </c>
      <c r="B11685" s="2">
        <f>IFERROR(__xludf.DUMMYFUNCTION("""COMPUTED_VALUE"""),228.66)</f>
        <v>228.66</v>
      </c>
      <c r="C11685" s="2">
        <f>IFERROR(__xludf.DUMMYFUNCTION("""COMPUTED_VALUE"""),230.23)</f>
        <v>230.23</v>
      </c>
      <c r="D11685" s="2">
        <f>IFERROR(__xludf.DUMMYFUNCTION("""COMPUTED_VALUE"""),222.55)</f>
        <v>222.55</v>
      </c>
      <c r="E11685" s="2">
        <f>IFERROR(__xludf.DUMMYFUNCTION("""COMPUTED_VALUE"""),223.55)</f>
        <v>223.55</v>
      </c>
      <c r="F11685" s="2">
        <f>IFERROR(__xludf.DUMMYFUNCTION("""COMPUTED_VALUE"""),6677187.0)</f>
        <v>6677187</v>
      </c>
    </row>
    <row r="11686">
      <c r="A11686" s="3">
        <f>IFERROR(__xludf.DUMMYFUNCTION("""COMPUTED_VALUE"""),46154.66666666667)</f>
        <v>46154.66667</v>
      </c>
      <c r="B11686" s="2">
        <f>IFERROR(__xludf.DUMMYFUNCTION("""COMPUTED_VALUE"""),224.43)</f>
        <v>224.43</v>
      </c>
      <c r="C11686" s="2">
        <f>IFERROR(__xludf.DUMMYFUNCTION("""COMPUTED_VALUE"""),224.43)</f>
        <v>224.43</v>
      </c>
      <c r="D11686" s="2">
        <f>IFERROR(__xludf.DUMMYFUNCTION("""COMPUTED_VALUE"""),219.22)</f>
        <v>219.22</v>
      </c>
      <c r="E11686" s="2">
        <f>IFERROR(__xludf.DUMMYFUNCTION("""COMPUTED_VALUE"""),219.22)</f>
        <v>219.22</v>
      </c>
      <c r="F11686" s="2">
        <f>IFERROR(__xludf.DUMMYFUNCTION("""COMPUTED_VALUE"""),6045226.0)</f>
        <v>6045226</v>
      </c>
    </row>
    <row r="11687">
      <c r="A11687" s="3">
        <f>IFERROR(__xludf.DUMMYFUNCTION("""COMPUTED_VALUE"""),46155.66666666667)</f>
        <v>46155.66667</v>
      </c>
      <c r="B11687" s="2">
        <f>IFERROR(__xludf.DUMMYFUNCTION("""COMPUTED_VALUE"""),218.27)</f>
        <v>218.27</v>
      </c>
      <c r="C11687" s="2">
        <f>IFERROR(__xludf.DUMMYFUNCTION("""COMPUTED_VALUE"""),218.31)</f>
        <v>218.31</v>
      </c>
      <c r="D11687" s="2">
        <f>IFERROR(__xludf.DUMMYFUNCTION("""COMPUTED_VALUE"""),212.34)</f>
        <v>212.34</v>
      </c>
      <c r="E11687" s="2">
        <f>IFERROR(__xludf.DUMMYFUNCTION("""COMPUTED_VALUE"""),214.64)</f>
        <v>214.64</v>
      </c>
      <c r="F11687" s="2">
        <f>IFERROR(__xludf.DUMMYFUNCTION("""COMPUTED_VALUE"""),8361215.0)</f>
        <v>8361215</v>
      </c>
    </row>
    <row r="11688">
      <c r="A11688" s="3">
        <f>IFERROR(__xludf.DUMMYFUNCTION("""COMPUTED_VALUE"""),46156.66666666667)</f>
        <v>46156.66667</v>
      </c>
      <c r="B11688" s="2">
        <f>IFERROR(__xludf.DUMMYFUNCTION("""COMPUTED_VALUE"""),215.55)</f>
        <v>215.55</v>
      </c>
      <c r="C11688" s="2">
        <f>IFERROR(__xludf.DUMMYFUNCTION("""COMPUTED_VALUE"""),220.96)</f>
        <v>220.96</v>
      </c>
      <c r="D11688" s="2">
        <f>IFERROR(__xludf.DUMMYFUNCTION("""COMPUTED_VALUE"""),215.0)</f>
        <v>215</v>
      </c>
      <c r="E11688" s="2">
        <f>IFERROR(__xludf.DUMMYFUNCTION("""COMPUTED_VALUE"""),218.37)</f>
        <v>218.37</v>
      </c>
      <c r="F11688" s="2">
        <f>IFERROR(__xludf.DUMMYFUNCTION("""COMPUTED_VALUE"""),5906199.0)</f>
        <v>5906199</v>
      </c>
    </row>
    <row r="11689">
      <c r="A11689" s="3">
        <f>IFERROR(__xludf.DUMMYFUNCTION("""COMPUTED_VALUE"""),46157.66666666667)</f>
        <v>46157.66667</v>
      </c>
      <c r="B11689" s="2">
        <f>IFERROR(__xludf.DUMMYFUNCTION("""COMPUTED_VALUE"""),218.2)</f>
        <v>218.2</v>
      </c>
      <c r="C11689" s="2">
        <f>IFERROR(__xludf.DUMMYFUNCTION("""COMPUTED_VALUE"""),220.91)</f>
        <v>220.91</v>
      </c>
      <c r="D11689" s="2">
        <f>IFERROR(__xludf.DUMMYFUNCTION("""COMPUTED_VALUE"""),217.62)</f>
        <v>217.62</v>
      </c>
      <c r="E11689" s="2">
        <f>IFERROR(__xludf.DUMMYFUNCTION("""COMPUTED_VALUE"""),219.3)</f>
        <v>219.3</v>
      </c>
      <c r="F11689" s="2">
        <f>IFERROR(__xludf.DUMMYFUNCTION("""COMPUTED_VALUE"""),6154451.0)</f>
        <v>6154451</v>
      </c>
    </row>
    <row r="11690">
      <c r="A11690" s="3">
        <f>IFERROR(__xludf.DUMMYFUNCTION("""COMPUTED_VALUE"""),46160.66666666667)</f>
        <v>46160.66667</v>
      </c>
      <c r="B11690" s="2">
        <f>IFERROR(__xludf.DUMMYFUNCTION("""COMPUTED_VALUE"""),218.55)</f>
        <v>218.55</v>
      </c>
      <c r="C11690" s="2">
        <f>IFERROR(__xludf.DUMMYFUNCTION("""COMPUTED_VALUE"""),223.33)</f>
        <v>223.33</v>
      </c>
      <c r="D11690" s="2">
        <f>IFERROR(__xludf.DUMMYFUNCTION("""COMPUTED_VALUE"""),217.75)</f>
        <v>217.75</v>
      </c>
      <c r="E11690" s="2">
        <f>IFERROR(__xludf.DUMMYFUNCTION("""COMPUTED_VALUE"""),222.75)</f>
        <v>222.75</v>
      </c>
      <c r="F11690" s="2">
        <f>IFERROR(__xludf.DUMMYFUNCTION("""COMPUTED_VALUE"""),5946368.0)</f>
        <v>5946368</v>
      </c>
    </row>
    <row r="11691">
      <c r="A11691" s="3">
        <f>IFERROR(__xludf.DUMMYFUNCTION("""COMPUTED_VALUE"""),46161.66666666667)</f>
        <v>46161.66667</v>
      </c>
      <c r="B11691" s="2">
        <f>IFERROR(__xludf.DUMMYFUNCTION("""COMPUTED_VALUE"""),224.5)</f>
        <v>224.5</v>
      </c>
      <c r="C11691" s="2">
        <f>IFERROR(__xludf.DUMMYFUNCTION("""COMPUTED_VALUE"""),227.35)</f>
        <v>227.35</v>
      </c>
      <c r="D11691" s="2">
        <f>IFERROR(__xludf.DUMMYFUNCTION("""COMPUTED_VALUE"""),221.92)</f>
        <v>221.92</v>
      </c>
      <c r="E11691" s="2">
        <f>IFERROR(__xludf.DUMMYFUNCTION("""COMPUTED_VALUE"""),222.33)</f>
        <v>222.33</v>
      </c>
      <c r="F11691" s="2">
        <f>IFERROR(__xludf.DUMMYFUNCTION("""COMPUTED_VALUE"""),5937754.0)</f>
        <v>5937754</v>
      </c>
    </row>
    <row r="11692">
      <c r="A11692" s="3">
        <f>IFERROR(__xludf.DUMMYFUNCTION("""COMPUTED_VALUE"""),46162.66666666667)</f>
        <v>46162.66667</v>
      </c>
      <c r="B11692" s="2">
        <f>IFERROR(__xludf.DUMMYFUNCTION("""COMPUTED_VALUE"""),221.05)</f>
        <v>221.05</v>
      </c>
      <c r="C11692" s="2">
        <f>IFERROR(__xludf.DUMMYFUNCTION("""COMPUTED_VALUE"""),225.0)</f>
        <v>225</v>
      </c>
      <c r="D11692" s="2">
        <f>IFERROR(__xludf.DUMMYFUNCTION("""COMPUTED_VALUE"""),216.78)</f>
        <v>216.78</v>
      </c>
      <c r="E11692" s="2">
        <f>IFERROR(__xludf.DUMMYFUNCTION("""COMPUTED_VALUE"""),225.0)</f>
        <v>225</v>
      </c>
      <c r="F11692" s="2">
        <f>IFERROR(__xludf.DUMMYFUNCTION("""COMPUTED_VALUE"""),4873381.0)</f>
        <v>4873381</v>
      </c>
    </row>
    <row r="11693">
      <c r="A11693" s="3">
        <f>IFERROR(__xludf.DUMMYFUNCTION("""COMPUTED_VALUE"""),46163.66666666667)</f>
        <v>46163.66667</v>
      </c>
      <c r="B11693" s="2">
        <f>IFERROR(__xludf.DUMMYFUNCTION("""COMPUTED_VALUE"""),232.58)</f>
        <v>232.58</v>
      </c>
      <c r="C11693" s="2">
        <f>IFERROR(__xludf.DUMMYFUNCTION("""COMPUTED_VALUE"""),253.63)</f>
        <v>253.63</v>
      </c>
      <c r="D11693" s="2">
        <f>IFERROR(__xludf.DUMMYFUNCTION("""COMPUTED_VALUE"""),230.94)</f>
        <v>230.94</v>
      </c>
      <c r="E11693" s="2">
        <f>IFERROR(__xludf.DUMMYFUNCTION("""COMPUTED_VALUE"""),252.97)</f>
        <v>252.97</v>
      </c>
      <c r="F11693" s="2">
        <f>IFERROR(__xludf.DUMMYFUNCTION("""COMPUTED_VALUE"""),2.5707791E7)</f>
        <v>25707791</v>
      </c>
    </row>
    <row r="11694">
      <c r="A11694" s="3">
        <f>IFERROR(__xludf.DUMMYFUNCTION("""COMPUTED_VALUE"""),46164.66666666667)</f>
        <v>46164.66667</v>
      </c>
      <c r="B11694" s="2">
        <f>IFERROR(__xludf.DUMMYFUNCTION("""COMPUTED_VALUE"""),262.05)</f>
        <v>262.05</v>
      </c>
      <c r="C11694" s="2">
        <f>IFERROR(__xludf.DUMMYFUNCTION("""COMPUTED_VALUE"""),264.38)</f>
        <v>264.38</v>
      </c>
      <c r="D11694" s="2">
        <f>IFERROR(__xludf.DUMMYFUNCTION("""COMPUTED_VALUE"""),253.39)</f>
        <v>253.39</v>
      </c>
      <c r="E11694" s="2">
        <f>IFERROR(__xludf.DUMMYFUNCTION("""COMPUTED_VALUE"""),253.84)</f>
        <v>253.84</v>
      </c>
      <c r="F11694" s="2">
        <f>IFERROR(__xludf.DUMMYFUNCTION("""COMPUTED_VALUE"""),1.9072873E7)</f>
        <v>19072873</v>
      </c>
    </row>
    <row r="11695">
      <c r="A11695" s="3">
        <f>IFERROR(__xludf.DUMMYFUNCTION("""COMPUTED_VALUE"""),46168.66666666667)</f>
        <v>46168.66667</v>
      </c>
      <c r="B11695" s="2">
        <f>IFERROR(__xludf.DUMMYFUNCTION("""COMPUTED_VALUE"""),254.55)</f>
        <v>254.55</v>
      </c>
      <c r="C11695" s="2">
        <f>IFERROR(__xludf.DUMMYFUNCTION("""COMPUTED_VALUE"""),254.55)</f>
        <v>254.55</v>
      </c>
      <c r="D11695" s="2">
        <f>IFERROR(__xludf.DUMMYFUNCTION("""COMPUTED_VALUE"""),245.45)</f>
        <v>245.45</v>
      </c>
      <c r="E11695" s="2">
        <f>IFERROR(__xludf.DUMMYFUNCTION("""COMPUTED_VALUE"""),250.69)</f>
        <v>250.69</v>
      </c>
      <c r="F11695" s="2">
        <f>IFERROR(__xludf.DUMMYFUNCTION("""COMPUTED_VALUE"""),9256110.0)</f>
        <v>9256110</v>
      </c>
    </row>
    <row r="11696">
      <c r="A11696" s="3">
        <f>IFERROR(__xludf.DUMMYFUNCTION("""COMPUTED_VALUE"""),46169.66666666667)</f>
        <v>46169.66667</v>
      </c>
      <c r="B11696" s="2">
        <f>IFERROR(__xludf.DUMMYFUNCTION("""COMPUTED_VALUE"""),250.46)</f>
        <v>250.46</v>
      </c>
      <c r="C11696" s="2">
        <f>IFERROR(__xludf.DUMMYFUNCTION("""COMPUTED_VALUE"""),257.62)</f>
        <v>257.62</v>
      </c>
      <c r="D11696" s="2">
        <f>IFERROR(__xludf.DUMMYFUNCTION("""COMPUTED_VALUE"""),250.46)</f>
        <v>250.46</v>
      </c>
      <c r="E11696" s="2">
        <f>IFERROR(__xludf.DUMMYFUNCTION("""COMPUTED_VALUE"""),255.2)</f>
        <v>255.2</v>
      </c>
      <c r="F11696" s="2">
        <f>IFERROR(__xludf.DUMMYFUNCTION("""COMPUTED_VALUE"""),9275544.0)</f>
        <v>9275544</v>
      </c>
    </row>
    <row r="11697">
      <c r="A11697" s="3">
        <f>IFERROR(__xludf.DUMMYFUNCTION("""COMPUTED_VALUE"""),46170.66666666667)</f>
        <v>46170.66667</v>
      </c>
      <c r="B11697" s="2">
        <f>IFERROR(__xludf.DUMMYFUNCTION("""COMPUTED_VALUE"""),261.0)</f>
        <v>261</v>
      </c>
      <c r="C11697" s="2">
        <f>IFERROR(__xludf.DUMMYFUNCTION("""COMPUTED_VALUE"""),268.89)</f>
        <v>268.89</v>
      </c>
      <c r="D11697" s="2">
        <f>IFERROR(__xludf.DUMMYFUNCTION("""COMPUTED_VALUE"""),257.0)</f>
        <v>257</v>
      </c>
      <c r="E11697" s="2">
        <f>IFERROR(__xludf.DUMMYFUNCTION("""COMPUTED_VALUE"""),264.22)</f>
        <v>264.22</v>
      </c>
      <c r="F11697" s="2">
        <f>IFERROR(__xludf.DUMMYFUNCTION("""COMPUTED_VALUE"""),1.2432879E7)</f>
        <v>12432879</v>
      </c>
    </row>
    <row r="11698">
      <c r="A11698" s="3">
        <f>IFERROR(__xludf.DUMMYFUNCTION("""COMPUTED_VALUE"""),46171.66666666667)</f>
        <v>46171.66667</v>
      </c>
      <c r="B11698" s="2">
        <f>IFERROR(__xludf.DUMMYFUNCTION("""COMPUTED_VALUE"""),277.3)</f>
        <v>277.3</v>
      </c>
      <c r="C11698" s="2">
        <f>IFERROR(__xludf.DUMMYFUNCTION("""COMPUTED_VALUE"""),301.0)</f>
        <v>301</v>
      </c>
      <c r="D11698" s="2">
        <f>IFERROR(__xludf.DUMMYFUNCTION("""COMPUTED_VALUE"""),273.33)</f>
        <v>273.33</v>
      </c>
      <c r="E11698" s="2">
        <f>IFERROR(__xludf.DUMMYFUNCTION("""COMPUTED_VALUE"""),297.8)</f>
        <v>297.8</v>
      </c>
      <c r="F11698" s="2">
        <f>IFERROR(__xludf.DUMMYFUNCTION("""COMPUTED_VALUE"""),2.8480996E7)</f>
        <v>28480996</v>
      </c>
    </row>
    <row r="11699">
      <c r="A11699" s="3">
        <f>IFERROR(__xludf.DUMMYFUNCTION("""COMPUTED_VALUE"""),46174.66666666667)</f>
        <v>46174.66667</v>
      </c>
      <c r="B11699" s="2">
        <f>IFERROR(__xludf.DUMMYFUNCTION("""COMPUTED_VALUE"""),322.55)</f>
        <v>322.55</v>
      </c>
      <c r="C11699" s="2">
        <f>IFERROR(__xludf.DUMMYFUNCTION("""COMPUTED_VALUE"""),327.98)</f>
        <v>327.98</v>
      </c>
      <c r="D11699" s="2">
        <f>IFERROR(__xludf.DUMMYFUNCTION("""COMPUTED_VALUE"""),308.0)</f>
        <v>308</v>
      </c>
      <c r="E11699" s="2">
        <f>IFERROR(__xludf.DUMMYFUNCTION("""COMPUTED_VALUE"""),320.42)</f>
        <v>320.42</v>
      </c>
      <c r="F11699" s="2">
        <f>IFERROR(__xludf.DUMMYFUNCTION("""COMPUTED_VALUE"""),3.288018E7)</f>
        <v>32880180</v>
      </c>
    </row>
    <row r="11700">
      <c r="A11700" s="3">
        <f>IFERROR(__xludf.DUMMYFUNCTION("""COMPUTED_VALUE"""),46175.66666666667)</f>
        <v>46175.66667</v>
      </c>
      <c r="B11700" s="2">
        <f>IFERROR(__xludf.DUMMYFUNCTION("""COMPUTED_VALUE"""),313.75)</f>
        <v>313.75</v>
      </c>
      <c r="C11700" s="2">
        <f>IFERROR(__xludf.DUMMYFUNCTION("""COMPUTED_VALUE"""),332.46)</f>
        <v>332.46</v>
      </c>
      <c r="D11700" s="2">
        <f>IFERROR(__xludf.DUMMYFUNCTION("""COMPUTED_VALUE"""),310.11)</f>
        <v>310.11</v>
      </c>
      <c r="E11700" s="2">
        <f>IFERROR(__xludf.DUMMYFUNCTION("""COMPUTED_VALUE"""),329.23)</f>
        <v>329.23</v>
      </c>
      <c r="F11700" s="2">
        <f>IFERROR(__xludf.DUMMYFUNCTION("""COMPUTED_VALUE"""),1.7210697E7)</f>
        <v>17210697</v>
      </c>
    </row>
    <row r="11701">
      <c r="A11701" s="3">
        <f>IFERROR(__xludf.DUMMYFUNCTION("""COMPUTED_VALUE"""),46176.66666666667)</f>
        <v>46176.66667</v>
      </c>
      <c r="B11701" s="2">
        <f>IFERROR(__xludf.DUMMYFUNCTION("""COMPUTED_VALUE"""),318.3)</f>
        <v>318.3</v>
      </c>
      <c r="C11701" s="2">
        <f>IFERROR(__xludf.DUMMYFUNCTION("""COMPUTED_VALUE"""),318.3)</f>
        <v>318.3</v>
      </c>
      <c r="D11701" s="2">
        <f>IFERROR(__xludf.DUMMYFUNCTION("""COMPUTED_VALUE"""),302.53)</f>
        <v>302.53</v>
      </c>
      <c r="E11701" s="2">
        <f>IFERROR(__xludf.DUMMYFUNCTION("""COMPUTED_VALUE"""),305.63)</f>
        <v>305.63</v>
      </c>
      <c r="F11701" s="2">
        <f>IFERROR(__xludf.DUMMYFUNCTION("""COMPUTED_VALUE"""),1.3926559E7)</f>
        <v>13926559</v>
      </c>
    </row>
    <row r="11702">
      <c r="A11702" s="3">
        <f>IFERROR(__xludf.DUMMYFUNCTION("""COMPUTED_VALUE"""),46177.66666666667)</f>
        <v>46177.66667</v>
      </c>
      <c r="B11702" s="2">
        <f>IFERROR(__xludf.DUMMYFUNCTION("""COMPUTED_VALUE"""),307.43)</f>
        <v>307.43</v>
      </c>
      <c r="C11702" s="2">
        <f>IFERROR(__xludf.DUMMYFUNCTION("""COMPUTED_VALUE"""),310.44)</f>
        <v>310.44</v>
      </c>
      <c r="D11702" s="2">
        <f>IFERROR(__xludf.DUMMYFUNCTION("""COMPUTED_VALUE"""),300.18)</f>
        <v>300.18</v>
      </c>
      <c r="E11702" s="2">
        <f>IFERROR(__xludf.DUMMYFUNCTION("""COMPUTED_VALUE"""),301.77)</f>
        <v>301.77</v>
      </c>
      <c r="F11702" s="2">
        <f>IFERROR(__xludf.DUMMYFUNCTION("""COMPUTED_VALUE"""),9608097.0)</f>
        <v>9608097</v>
      </c>
    </row>
    <row r="11703">
      <c r="A11703" s="3">
        <f>IFERROR(__xludf.DUMMYFUNCTION("""COMPUTED_VALUE"""),46178.66666666667)</f>
        <v>46178.66667</v>
      </c>
      <c r="B11703" s="2">
        <f>IFERROR(__xludf.DUMMYFUNCTION("""COMPUTED_VALUE"""),300.0)</f>
        <v>300</v>
      </c>
      <c r="C11703" s="2">
        <f>IFERROR(__xludf.DUMMYFUNCTION("""COMPUTED_VALUE"""),302.3)</f>
        <v>302.3</v>
      </c>
      <c r="D11703" s="2">
        <f>IFERROR(__xludf.DUMMYFUNCTION("""COMPUTED_VALUE"""),281.07)</f>
        <v>281.07</v>
      </c>
      <c r="E11703" s="2">
        <f>IFERROR(__xludf.DUMMYFUNCTION("""COMPUTED_VALUE"""),284.84)</f>
        <v>284.84</v>
      </c>
      <c r="F11703" s="2">
        <f>IFERROR(__xludf.DUMMYFUNCTION("""COMPUTED_VALUE"""),1.2509481E7)</f>
        <v>12509481</v>
      </c>
    </row>
  </sheetData>
  <drawing r:id="rId1"/>
</worksheet>
</file>